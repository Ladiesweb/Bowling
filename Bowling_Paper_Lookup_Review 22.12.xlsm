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Bowling\"/>
    </mc:Choice>
  </mc:AlternateContent>
  <xr:revisionPtr revIDLastSave="0" documentId="13_ncr:1_{7F44F051-FB4A-4DE7-A242-813D1455D1DC}" xr6:coauthVersionLast="47" xr6:coauthVersionMax="47" xr10:uidLastSave="{00000000-0000-0000-0000-000000000000}"/>
  <bookViews>
    <workbookView xWindow="3840" yWindow="-120" windowWidth="25080" windowHeight="16440" tabRatio="791" activeTab="3" xr2:uid="{BB7D6345-68A1-4C50-94FA-844E23FCBE22}"/>
  </bookViews>
  <sheets>
    <sheet name="Doc Info" sheetId="27" r:id="rId1"/>
    <sheet name="Result" sheetId="28" r:id="rId2"/>
    <sheet name="Review" sheetId="3" r:id="rId3"/>
    <sheet name="Reference_Table" sheetId="21" r:id="rId4"/>
    <sheet name="Brun" sheetId="1" r:id="rId5"/>
    <sheet name="AMF" sheetId="2" r:id="rId6"/>
    <sheet name="Formatter" sheetId="23" r:id="rId7"/>
    <sheet name="Cleaner" sheetId="25" r:id="rId8"/>
    <sheet name="Template" sheetId="26" r:id="rId9"/>
  </sheets>
  <definedNames>
    <definedName name="_xlnm._FilterDatabase" localSheetId="5" hidden="1">AMF!$A$2:$I$82</definedName>
    <definedName name="_xlnm._FilterDatabase" localSheetId="4" hidden="1">Brun!$A$2:$H$81</definedName>
    <definedName name="_xlnm._FilterDatabase" localSheetId="2" hidden="1">Review!$A$1:$M$178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8" l="1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4" i="28"/>
  <c r="B3" i="28" a="1"/>
  <c r="B3" i="28" s="1"/>
  <c r="I2191" i="21"/>
  <c r="I2192" i="21"/>
  <c r="I2193" i="21"/>
  <c r="I2194" i="21"/>
  <c r="I62" i="21"/>
  <c r="I61" i="21"/>
  <c r="I1611" i="21"/>
  <c r="I1612" i="21"/>
  <c r="I1613" i="21"/>
  <c r="I1614" i="21"/>
  <c r="I64" i="21"/>
  <c r="I63" i="21"/>
  <c r="I2104" i="21"/>
  <c r="I2106" i="21"/>
  <c r="I2108" i="21"/>
  <c r="I2113" i="21"/>
  <c r="I2115" i="21"/>
  <c r="I66" i="21"/>
  <c r="I65" i="21"/>
  <c r="I2120" i="21"/>
  <c r="I2125" i="21"/>
  <c r="I2130" i="21"/>
  <c r="I2132" i="21"/>
  <c r="I2121" i="21"/>
  <c r="I2122" i="21"/>
  <c r="I2123" i="21"/>
  <c r="I2124" i="21"/>
  <c r="I68" i="21"/>
  <c r="I2129" i="21"/>
  <c r="I67" i="21"/>
  <c r="I2131" i="21"/>
  <c r="I1535" i="21"/>
  <c r="I1536" i="21"/>
  <c r="I1537" i="21"/>
  <c r="I1538" i="21"/>
  <c r="I1540" i="21"/>
  <c r="I1543" i="21"/>
  <c r="I1544" i="21"/>
  <c r="I1546" i="21"/>
  <c r="I1539" i="21"/>
  <c r="I70" i="21"/>
  <c r="I1541" i="21"/>
  <c r="I1542" i="21"/>
  <c r="I69" i="21"/>
  <c r="I1545" i="21"/>
  <c r="I2103" i="21"/>
  <c r="I2105" i="21"/>
  <c r="I2107" i="21"/>
  <c r="I72" i="21"/>
  <c r="I2112" i="21"/>
  <c r="I71" i="21"/>
  <c r="I2114" i="21"/>
  <c r="I2574" i="21"/>
  <c r="I2575" i="21"/>
  <c r="I2576" i="21"/>
  <c r="I2577" i="21"/>
  <c r="I2579" i="21"/>
  <c r="I2583" i="21"/>
  <c r="I2585" i="21"/>
  <c r="I2578" i="21"/>
  <c r="I74" i="21"/>
  <c r="I2582" i="21"/>
  <c r="I73" i="21"/>
  <c r="I2584" i="21"/>
  <c r="I253" i="21"/>
  <c r="I254" i="21"/>
  <c r="I405" i="21"/>
  <c r="I415" i="21"/>
  <c r="I416" i="21"/>
  <c r="I417" i="21"/>
  <c r="I418" i="21"/>
  <c r="I419" i="21"/>
  <c r="I421" i="21"/>
  <c r="I420" i="21"/>
  <c r="I422" i="21"/>
  <c r="I423" i="21"/>
  <c r="I424" i="21"/>
  <c r="I425" i="21"/>
  <c r="I427" i="21"/>
  <c r="I426" i="21"/>
  <c r="I429" i="21"/>
  <c r="I428" i="21"/>
  <c r="I430" i="21"/>
  <c r="I508" i="21"/>
  <c r="I509" i="21"/>
  <c r="I510" i="21"/>
  <c r="I511" i="21"/>
  <c r="I512" i="21"/>
  <c r="I513" i="21"/>
  <c r="I514" i="21"/>
  <c r="I516" i="21"/>
  <c r="I515" i="21"/>
  <c r="I517" i="21"/>
  <c r="I518" i="21"/>
  <c r="I519" i="21"/>
  <c r="I520" i="21"/>
  <c r="I521" i="21"/>
  <c r="I523" i="21"/>
  <c r="I522" i="21"/>
  <c r="I524" i="21"/>
  <c r="I525" i="21"/>
  <c r="I606" i="21"/>
  <c r="I632" i="21"/>
  <c r="I633" i="21"/>
  <c r="I634" i="21"/>
  <c r="I640" i="21"/>
  <c r="I740" i="21"/>
  <c r="I741" i="21"/>
  <c r="I742" i="21"/>
  <c r="I743" i="21"/>
  <c r="I744" i="21"/>
  <c r="I745" i="21"/>
  <c r="I746" i="21"/>
  <c r="I747" i="21"/>
  <c r="I748" i="21"/>
  <c r="I749" i="21"/>
  <c r="I751" i="21"/>
  <c r="I750" i="21"/>
  <c r="I752" i="21"/>
  <c r="I753" i="21"/>
  <c r="I754" i="21"/>
  <c r="I755" i="21"/>
  <c r="I1547" i="21"/>
  <c r="I1548" i="21"/>
  <c r="I1561" i="21"/>
  <c r="I1562" i="21"/>
  <c r="I2109" i="21"/>
  <c r="I2110" i="21"/>
  <c r="I2111" i="21"/>
  <c r="I2126" i="21"/>
  <c r="I2127" i="21"/>
  <c r="I2128" i="21"/>
  <c r="I2195" i="21"/>
  <c r="I2196" i="21"/>
  <c r="I2197" i="21"/>
  <c r="I2580" i="21"/>
  <c r="I2581" i="21"/>
  <c r="I2773" i="21"/>
  <c r="I3934" i="21"/>
  <c r="I4951" i="21"/>
  <c r="I4952" i="21"/>
  <c r="I4953" i="21"/>
  <c r="I2766" i="21"/>
  <c r="I2767" i="21"/>
  <c r="I2768" i="21"/>
  <c r="I2769" i="21"/>
  <c r="I2774" i="21"/>
  <c r="I5031" i="21"/>
  <c r="I2775" i="21"/>
  <c r="I2770" i="21"/>
  <c r="I5032" i="21"/>
  <c r="I2771" i="21"/>
  <c r="I5033" i="21"/>
  <c r="I2772" i="21"/>
  <c r="I5034" i="21"/>
  <c r="I5035" i="21"/>
  <c r="I5036" i="21"/>
  <c r="I5037" i="21"/>
  <c r="I5038" i="21"/>
  <c r="I2782" i="21"/>
  <c r="I5039" i="21"/>
  <c r="I5040" i="21"/>
  <c r="I5041" i="21"/>
  <c r="I5043" i="21"/>
  <c r="I5042" i="21"/>
  <c r="I2778" i="21"/>
  <c r="I2780" i="21"/>
  <c r="I5045" i="21"/>
  <c r="I5044" i="21"/>
  <c r="I2785" i="21"/>
  <c r="I2786" i="21"/>
  <c r="I2779" i="21"/>
  <c r="I2781" i="21"/>
  <c r="I2783" i="21"/>
  <c r="I5047" i="21"/>
  <c r="I2784" i="21"/>
  <c r="I5046" i="21"/>
  <c r="I2757" i="21"/>
  <c r="I5145" i="21"/>
  <c r="I5146" i="21"/>
  <c r="I5147" i="21"/>
  <c r="I5148" i="21"/>
  <c r="I5149" i="21"/>
  <c r="I5150" i="21"/>
  <c r="I622" i="21"/>
  <c r="I625" i="21"/>
  <c r="I663" i="21"/>
  <c r="I665" i="21"/>
  <c r="I667" i="21"/>
  <c r="I670" i="21"/>
  <c r="I672" i="21"/>
  <c r="I674" i="21"/>
  <c r="I676" i="21"/>
  <c r="I679" i="21"/>
  <c r="I680" i="21"/>
  <c r="I681" i="21"/>
  <c r="I682" i="21"/>
  <c r="I683" i="21"/>
  <c r="I684" i="21"/>
  <c r="I685" i="21"/>
  <c r="I686" i="21"/>
  <c r="I687" i="21"/>
  <c r="I693" i="21"/>
  <c r="I695" i="21"/>
  <c r="I696" i="21"/>
  <c r="I697" i="21"/>
  <c r="I698" i="21"/>
  <c r="I699" i="21"/>
  <c r="I700" i="21"/>
  <c r="I702" i="21"/>
  <c r="I705" i="21"/>
  <c r="I707" i="21"/>
  <c r="I711" i="21"/>
  <c r="I712" i="21"/>
  <c r="I728" i="21"/>
  <c r="I730" i="21"/>
  <c r="I736" i="21"/>
  <c r="I738" i="21"/>
  <c r="I1025" i="21"/>
  <c r="I1027" i="21"/>
  <c r="I1029" i="21"/>
  <c r="I1031" i="21"/>
  <c r="I1035" i="21"/>
  <c r="I1037" i="21"/>
  <c r="I1040" i="21"/>
  <c r="I1042" i="21"/>
  <c r="I1580" i="21"/>
  <c r="I1582" i="21"/>
  <c r="I1586" i="21"/>
  <c r="I2170" i="21"/>
  <c r="I2179" i="21"/>
  <c r="I2181" i="21"/>
  <c r="I2186" i="21"/>
  <c r="I2187" i="21"/>
  <c r="I2616" i="21"/>
  <c r="I2617" i="21"/>
  <c r="I2618" i="21"/>
  <c r="I2619" i="21"/>
  <c r="I2620" i="21"/>
  <c r="I2621" i="21"/>
  <c r="I2622" i="21"/>
  <c r="I2623" i="21"/>
  <c r="I2671" i="21"/>
  <c r="I2674" i="21"/>
  <c r="I2677" i="21"/>
  <c r="I2680" i="21"/>
  <c r="I2683" i="21"/>
  <c r="I2685" i="21"/>
  <c r="I2692" i="21"/>
  <c r="I5427" i="21"/>
  <c r="I5428" i="21"/>
  <c r="I9" i="21"/>
  <c r="I1406" i="21"/>
  <c r="I1407" i="21"/>
  <c r="I1417" i="21"/>
  <c r="I1429" i="21"/>
  <c r="I1439" i="21"/>
  <c r="I1440" i="21"/>
  <c r="I1487" i="21"/>
  <c r="I1489" i="21"/>
  <c r="I1491" i="21"/>
  <c r="I1498" i="21"/>
  <c r="I1499" i="21"/>
  <c r="I1502" i="21"/>
  <c r="I1506" i="21"/>
  <c r="I1507" i="21"/>
  <c r="I1508" i="21"/>
  <c r="I1509" i="21"/>
  <c r="I1514" i="21"/>
  <c r="I1518" i="21"/>
  <c r="I1529" i="21"/>
  <c r="I1578" i="21"/>
  <c r="I1584" i="21"/>
  <c r="I1623" i="21"/>
  <c r="I1624" i="21"/>
  <c r="I1650" i="21"/>
  <c r="I1652" i="21"/>
  <c r="I1940" i="21"/>
  <c r="I1942" i="21"/>
  <c r="I1944" i="21"/>
  <c r="I1945" i="21"/>
  <c r="I1946" i="21"/>
  <c r="I1951" i="21"/>
  <c r="I1952" i="21"/>
  <c r="I1957" i="21"/>
  <c r="I1975" i="21"/>
  <c r="I1976" i="21"/>
  <c r="I2026" i="21"/>
  <c r="I2028" i="21"/>
  <c r="I2076" i="21"/>
  <c r="I2077" i="21"/>
  <c r="I2116" i="21"/>
  <c r="I2117" i="21"/>
  <c r="I2118" i="21"/>
  <c r="I2119" i="21"/>
  <c r="I2203" i="21"/>
  <c r="I2555" i="21"/>
  <c r="I2557" i="21"/>
  <c r="I2559" i="21"/>
  <c r="I2561" i="21"/>
  <c r="I2586" i="21"/>
  <c r="I2587" i="21"/>
  <c r="I2588" i="21"/>
  <c r="I2589" i="21"/>
  <c r="I2614" i="21"/>
  <c r="I2615" i="21"/>
  <c r="I2687" i="21"/>
  <c r="I2689" i="21"/>
  <c r="I3588" i="21"/>
  <c r="I3591" i="21"/>
  <c r="I3844" i="21"/>
  <c r="I5186" i="21"/>
  <c r="I5188" i="21"/>
  <c r="I5194" i="21"/>
  <c r="I5195" i="21"/>
  <c r="I5200" i="21"/>
  <c r="I5204" i="21"/>
  <c r="I5212" i="21"/>
  <c r="I5214" i="21"/>
  <c r="I5223" i="21"/>
  <c r="I5234" i="21"/>
  <c r="I5236" i="21"/>
  <c r="I5239" i="21"/>
  <c r="I5242" i="21"/>
  <c r="I5249" i="21"/>
  <c r="I5255" i="21"/>
  <c r="I5261" i="21"/>
  <c r="I5265" i="21"/>
  <c r="I5268" i="21"/>
  <c r="I5269" i="21"/>
  <c r="I5279" i="21"/>
  <c r="I5291" i="21"/>
  <c r="I5292" i="21"/>
  <c r="I5304" i="21"/>
  <c r="I5315" i="21"/>
  <c r="I5316" i="21"/>
  <c r="I5321" i="21"/>
  <c r="I5330" i="21"/>
  <c r="I5332" i="21"/>
  <c r="I5333" i="21"/>
  <c r="I5342" i="21"/>
  <c r="I5343" i="21"/>
  <c r="I5350" i="21"/>
  <c r="I5351" i="21"/>
  <c r="I5356" i="21"/>
  <c r="I5357" i="21"/>
  <c r="I5360" i="21"/>
  <c r="I5362" i="21"/>
  <c r="I5368" i="21"/>
  <c r="I5376" i="21"/>
  <c r="I5377" i="21"/>
  <c r="I5385" i="21"/>
  <c r="I5386" i="21"/>
  <c r="I5387" i="21"/>
  <c r="I5394" i="21"/>
  <c r="I5395" i="21"/>
  <c r="I5396" i="21"/>
  <c r="I5402" i="21"/>
  <c r="I5403" i="21"/>
  <c r="I5415" i="21"/>
  <c r="I8" i="21"/>
  <c r="I10" i="21"/>
  <c r="I58" i="21"/>
  <c r="I1067" i="21"/>
  <c r="I1078" i="21"/>
  <c r="I1090" i="21"/>
  <c r="I1095" i="21"/>
  <c r="I1100" i="21"/>
  <c r="I1112" i="21"/>
  <c r="I1119" i="21"/>
  <c r="I1409" i="21"/>
  <c r="I1410" i="21"/>
  <c r="I1411" i="21"/>
  <c r="I1413" i="21"/>
  <c r="I1419" i="21"/>
  <c r="I1431" i="21"/>
  <c r="I1433" i="21"/>
  <c r="I1443" i="21"/>
  <c r="I1444" i="21"/>
  <c r="I1445" i="21"/>
  <c r="I1969" i="21"/>
  <c r="I1970" i="21"/>
  <c r="I1971" i="21"/>
  <c r="I1972" i="21"/>
  <c r="I1983" i="21"/>
  <c r="I1984" i="21"/>
  <c r="I2027" i="21"/>
  <c r="I2029" i="21"/>
  <c r="I3593" i="21"/>
  <c r="I3594" i="21"/>
  <c r="I3595" i="21"/>
  <c r="I3855" i="21"/>
  <c r="I3856" i="21"/>
  <c r="I3861" i="21"/>
  <c r="I3862" i="21"/>
  <c r="I3863" i="21"/>
  <c r="I3865" i="21"/>
  <c r="I3866" i="21"/>
  <c r="I3869" i="21"/>
  <c r="I3870" i="21"/>
  <c r="I3871" i="21"/>
  <c r="I3874" i="21"/>
  <c r="I3875" i="21"/>
  <c r="I3881" i="21"/>
  <c r="I3882" i="21"/>
  <c r="I3884" i="21"/>
  <c r="I3885" i="21"/>
  <c r="I4686" i="21"/>
  <c r="I4692" i="21"/>
  <c r="I4693" i="21"/>
  <c r="I5173" i="21"/>
  <c r="I5183" i="21"/>
  <c r="I5185" i="21"/>
  <c r="I5191" i="21"/>
  <c r="I5197" i="21"/>
  <c r="I5202" i="21"/>
  <c r="I5203" i="21"/>
  <c r="I5210" i="21"/>
  <c r="I5211" i="21"/>
  <c r="I5217" i="21"/>
  <c r="I5225" i="21"/>
  <c r="I5227" i="21"/>
  <c r="I5231" i="21"/>
  <c r="I5238" i="21"/>
  <c r="I5244" i="21"/>
  <c r="I5245" i="21"/>
  <c r="I5246" i="21"/>
  <c r="I5252" i="21"/>
  <c r="I5258" i="21"/>
  <c r="I5263" i="21"/>
  <c r="I5267" i="21"/>
  <c r="I5271" i="21"/>
  <c r="I5276" i="21"/>
  <c r="I5281" i="21"/>
  <c r="I5282" i="21"/>
  <c r="I5288" i="21"/>
  <c r="I5296" i="21"/>
  <c r="I5297" i="21"/>
  <c r="I5298" i="21"/>
  <c r="I5302" i="21"/>
  <c r="I5307" i="21"/>
  <c r="I5308" i="21"/>
  <c r="I5312" i="21"/>
  <c r="I5318" i="21"/>
  <c r="I5337" i="21"/>
  <c r="I5338" i="21"/>
  <c r="I5339" i="21"/>
  <c r="I5345" i="21"/>
  <c r="I5346" i="21"/>
  <c r="I5347" i="21"/>
  <c r="I5353" i="21"/>
  <c r="I5354" i="21"/>
  <c r="I5355" i="21"/>
  <c r="I5365" i="21"/>
  <c r="I5379" i="21"/>
  <c r="I5380" i="21"/>
  <c r="I5381" i="21"/>
  <c r="I5384" i="21"/>
  <c r="I5390" i="21"/>
  <c r="I5392" i="21"/>
  <c r="I5398" i="21"/>
  <c r="I5399" i="21"/>
  <c r="I5406" i="21"/>
  <c r="I5407" i="21"/>
  <c r="I5408" i="21"/>
  <c r="I5418" i="21"/>
  <c r="I5419" i="21"/>
  <c r="I5478" i="21"/>
  <c r="I6762" i="21"/>
  <c r="I3873" i="21"/>
  <c r="I614" i="21"/>
  <c r="I643" i="21"/>
  <c r="I668" i="21"/>
  <c r="I677" i="21"/>
  <c r="I708" i="21"/>
  <c r="I731" i="21"/>
  <c r="I732" i="21"/>
  <c r="I733" i="21"/>
  <c r="I739" i="21"/>
  <c r="I1011" i="21"/>
  <c r="I1013" i="21"/>
  <c r="I1014" i="21"/>
  <c r="I1016" i="21"/>
  <c r="I1032" i="21"/>
  <c r="I1033" i="21"/>
  <c r="I1038" i="21"/>
  <c r="I1043" i="21"/>
  <c r="I1044" i="21"/>
  <c r="I1528" i="21"/>
  <c r="I1579" i="21"/>
  <c r="I1581" i="21"/>
  <c r="I1585" i="21"/>
  <c r="I2171" i="21"/>
  <c r="I2672" i="21"/>
  <c r="I2675" i="21"/>
  <c r="I2678" i="21"/>
  <c r="I2681" i="21"/>
  <c r="I2690" i="21"/>
  <c r="I2693" i="21"/>
  <c r="I55" i="21"/>
  <c r="I1052" i="21"/>
  <c r="I1064" i="21"/>
  <c r="I1075" i="21"/>
  <c r="I1088" i="21"/>
  <c r="I1091" i="21"/>
  <c r="I1097" i="21"/>
  <c r="I1109" i="21"/>
  <c r="I1115" i="21"/>
  <c r="I1120" i="21"/>
  <c r="I1132" i="21"/>
  <c r="I1144" i="21"/>
  <c r="I1428" i="21"/>
  <c r="I1500" i="21"/>
  <c r="I1501" i="21"/>
  <c r="I1511" i="21"/>
  <c r="I1515" i="21"/>
  <c r="I1567" i="21"/>
  <c r="I1577" i="21"/>
  <c r="I1583" i="21"/>
  <c r="I1625" i="21"/>
  <c r="I1626" i="21"/>
  <c r="I1640" i="21"/>
  <c r="I1645" i="21"/>
  <c r="I1647" i="21"/>
  <c r="I1949" i="21"/>
  <c r="I1950" i="21"/>
  <c r="I1955" i="21"/>
  <c r="I1956" i="21"/>
  <c r="I2566" i="21"/>
  <c r="I2567" i="21"/>
  <c r="I4676" i="21"/>
  <c r="I5189" i="21"/>
  <c r="I5208" i="21"/>
  <c r="I5228" i="21"/>
  <c r="I5235" i="21"/>
  <c r="I5283" i="21"/>
  <c r="I5286" i="21"/>
  <c r="I5300" i="21"/>
  <c r="I5310" i="21"/>
  <c r="I5324" i="21"/>
  <c r="I5325" i="21"/>
  <c r="I5414" i="21"/>
  <c r="I1054" i="21"/>
  <c r="I1098" i="21"/>
  <c r="I1130" i="21"/>
  <c r="I1139" i="21"/>
  <c r="I1147" i="21"/>
  <c r="I1418" i="21"/>
  <c r="I1685" i="21"/>
  <c r="I1687" i="21"/>
  <c r="I5206" i="21"/>
  <c r="I5219" i="21"/>
  <c r="I5226" i="21"/>
  <c r="I5253" i="21"/>
  <c r="I5277" i="21"/>
  <c r="I5278" i="21"/>
  <c r="I5313" i="21"/>
  <c r="I5323" i="21"/>
  <c r="I5331" i="21"/>
  <c r="I5358" i="21"/>
  <c r="I5359" i="21"/>
  <c r="I5367" i="21"/>
  <c r="I5370" i="21"/>
  <c r="I5372" i="21"/>
  <c r="I5373" i="21"/>
  <c r="I5382" i="21"/>
  <c r="I5476" i="21"/>
  <c r="I623" i="21"/>
  <c r="I624" i="21"/>
  <c r="I650" i="21"/>
  <c r="I709" i="21"/>
  <c r="I710" i="21"/>
  <c r="I1503" i="21"/>
  <c r="I1504" i="21"/>
  <c r="I1627" i="21"/>
  <c r="I1628" i="21"/>
  <c r="I1635" i="21"/>
  <c r="I1644" i="21"/>
  <c r="I1646" i="21"/>
  <c r="I1947" i="21"/>
  <c r="I1948" i="21"/>
  <c r="I1953" i="21"/>
  <c r="I1954" i="21"/>
  <c r="I2030" i="21"/>
  <c r="I2031" i="21"/>
  <c r="I56" i="21"/>
  <c r="I1055" i="21"/>
  <c r="I1058" i="21"/>
  <c r="I1060" i="21"/>
  <c r="I1061" i="21"/>
  <c r="I1065" i="21"/>
  <c r="I1071" i="21"/>
  <c r="I1072" i="21"/>
  <c r="I1076" i="21"/>
  <c r="I1082" i="21"/>
  <c r="I1089" i="21"/>
  <c r="I1093" i="21"/>
  <c r="I1110" i="21"/>
  <c r="I1113" i="21"/>
  <c r="I1117" i="21"/>
  <c r="I1106" i="21"/>
  <c r="I1124" i="21"/>
  <c r="I1131" i="21"/>
  <c r="I1141" i="21"/>
  <c r="I1145" i="21"/>
  <c r="I1422" i="21"/>
  <c r="I1423" i="21"/>
  <c r="I1424" i="21"/>
  <c r="I1425" i="21"/>
  <c r="I1436" i="21"/>
  <c r="I1437" i="21"/>
  <c r="I1446" i="21"/>
  <c r="I1447" i="21"/>
  <c r="I1684" i="21"/>
  <c r="I1686" i="21"/>
  <c r="I3562" i="21"/>
  <c r="I3564" i="21"/>
  <c r="I4678" i="21"/>
  <c r="I4680" i="21"/>
  <c r="I4682" i="21"/>
  <c r="I4696" i="21"/>
  <c r="I4698" i="21"/>
  <c r="I5167" i="21"/>
  <c r="I5169" i="21"/>
  <c r="I5207" i="21"/>
  <c r="I5322" i="21"/>
  <c r="I5329" i="21"/>
  <c r="I5371" i="21"/>
  <c r="I5411" i="21"/>
  <c r="I5412" i="21"/>
  <c r="I5423" i="21"/>
  <c r="I5424" i="21"/>
  <c r="I5474" i="21"/>
  <c r="I1102" i="21"/>
  <c r="I1107" i="21"/>
  <c r="I1143" i="21"/>
  <c r="I1015" i="21"/>
  <c r="I1017" i="21"/>
  <c r="I1505" i="21"/>
  <c r="I4689" i="21"/>
  <c r="I5181" i="21"/>
  <c r="I57" i="21"/>
  <c r="I1059" i="21"/>
  <c r="I1062" i="21"/>
  <c r="I1066" i="21"/>
  <c r="I1070" i="21"/>
  <c r="I1073" i="21"/>
  <c r="I1077" i="21"/>
  <c r="I1081" i="21"/>
  <c r="I1094" i="21"/>
  <c r="I1111" i="21"/>
  <c r="I1114" i="21"/>
  <c r="I1118" i="21"/>
  <c r="I1123" i="21"/>
  <c r="I1127" i="21"/>
  <c r="I1129" i="21"/>
  <c r="I1135" i="21"/>
  <c r="I1146" i="21"/>
  <c r="I3563" i="21"/>
  <c r="I4677" i="21"/>
  <c r="I4681" i="21"/>
  <c r="I4697" i="21"/>
  <c r="I5168" i="21"/>
  <c r="I5326" i="21"/>
  <c r="I5327" i="21"/>
  <c r="I5475" i="21"/>
  <c r="I4683" i="21"/>
  <c r="I4684" i="21"/>
  <c r="I4690" i="21"/>
  <c r="I5170" i="21"/>
  <c r="I5171" i="21"/>
  <c r="I5180" i="21"/>
  <c r="I6759" i="21"/>
  <c r="I6760" i="21"/>
  <c r="I1122" i="21"/>
  <c r="I1128" i="21"/>
  <c r="I1134" i="21"/>
  <c r="I1136" i="21"/>
  <c r="I666" i="21"/>
  <c r="I669" i="21"/>
  <c r="I1631" i="21"/>
  <c r="I1636" i="21"/>
  <c r="I1639" i="21"/>
  <c r="I1634" i="21"/>
  <c r="I3561" i="21"/>
  <c r="I4679" i="21"/>
  <c r="I4695" i="21"/>
  <c r="I675" i="21"/>
  <c r="I678" i="21"/>
  <c r="I637" i="21"/>
  <c r="I719" i="21"/>
  <c r="I636" i="21"/>
  <c r="I1568" i="21"/>
  <c r="I717" i="21"/>
  <c r="I718" i="21"/>
  <c r="I720" i="21"/>
  <c r="I1569" i="21"/>
  <c r="I2099" i="21"/>
  <c r="I2100" i="21"/>
  <c r="I4307" i="21"/>
  <c r="I4309" i="21"/>
  <c r="I4314" i="21"/>
  <c r="I4355" i="21"/>
  <c r="I4357" i="21"/>
  <c r="I4365" i="21"/>
  <c r="I4388" i="21"/>
  <c r="I4390" i="21"/>
  <c r="I4394" i="21"/>
  <c r="I4396" i="21"/>
  <c r="I4308" i="21"/>
  <c r="I4310" i="21"/>
  <c r="I4356" i="21"/>
  <c r="I4358" i="21"/>
  <c r="I4389" i="21"/>
  <c r="I4391" i="21"/>
  <c r="I4395" i="21"/>
  <c r="I5251" i="21"/>
  <c r="I5254" i="21"/>
  <c r="I5262" i="21"/>
  <c r="I4300" i="21"/>
  <c r="I4301" i="21"/>
  <c r="I4302" i="21"/>
  <c r="I4303" i="21"/>
  <c r="I4304" i="21"/>
  <c r="I4305" i="21"/>
  <c r="I4306" i="21"/>
  <c r="I4311" i="21"/>
  <c r="I4312" i="21"/>
  <c r="I4313" i="21"/>
  <c r="I4315" i="21"/>
  <c r="I4316" i="21"/>
  <c r="I4317" i="21"/>
  <c r="I4318" i="21"/>
  <c r="I4319" i="21"/>
  <c r="I4320" i="21"/>
  <c r="I4321" i="21"/>
  <c r="I4322" i="21"/>
  <c r="I4341" i="21"/>
  <c r="I4342" i="21"/>
  <c r="I4343" i="21"/>
  <c r="I4344" i="21"/>
  <c r="I4345" i="21"/>
  <c r="I4346" i="21"/>
  <c r="I4347" i="21"/>
  <c r="I4348" i="21"/>
  <c r="I4349" i="21"/>
  <c r="I4350" i="21"/>
  <c r="I4351" i="21"/>
  <c r="I4352" i="21"/>
  <c r="I4353" i="21"/>
  <c r="I4354" i="21"/>
  <c r="I4359" i="21"/>
  <c r="I4360" i="21"/>
  <c r="I4361" i="21"/>
  <c r="I4362" i="21"/>
  <c r="I4363" i="21"/>
  <c r="I4364" i="21"/>
  <c r="I4366" i="21"/>
  <c r="I4367" i="21"/>
  <c r="I4368" i="21"/>
  <c r="I4369" i="21"/>
  <c r="I4370" i="21"/>
  <c r="I4371" i="21"/>
  <c r="I4372" i="21"/>
  <c r="I4373" i="21"/>
  <c r="I4374" i="21"/>
  <c r="I4375" i="21"/>
  <c r="I4376" i="21"/>
  <c r="I4377" i="21"/>
  <c r="I4378" i="21"/>
  <c r="I4379" i="21"/>
  <c r="I4380" i="21"/>
  <c r="I4381" i="21"/>
  <c r="I4382" i="21"/>
  <c r="I4383" i="21"/>
  <c r="I4384" i="21"/>
  <c r="I4385" i="21"/>
  <c r="I4386" i="21"/>
  <c r="I4387" i="21"/>
  <c r="I4392" i="21"/>
  <c r="I4393" i="21"/>
  <c r="I4397" i="21"/>
  <c r="I4398" i="21"/>
  <c r="I4399" i="21"/>
  <c r="I4400" i="21"/>
  <c r="I4401" i="21"/>
  <c r="I4402" i="21"/>
  <c r="I4403" i="21"/>
  <c r="I4404" i="21"/>
  <c r="I4405" i="21"/>
  <c r="I4406" i="21"/>
  <c r="I4407" i="21"/>
  <c r="I4408" i="21"/>
  <c r="I4409" i="21"/>
  <c r="I4410" i="21"/>
  <c r="I4411" i="21"/>
  <c r="I4412" i="21"/>
  <c r="I4413" i="21"/>
  <c r="I4414" i="21"/>
  <c r="I4415" i="21"/>
  <c r="I4416" i="21"/>
  <c r="I79" i="21"/>
  <c r="I81" i="21"/>
  <c r="I83" i="21"/>
  <c r="I85" i="21"/>
  <c r="I721" i="21"/>
  <c r="I723" i="21"/>
  <c r="I725" i="21"/>
  <c r="I1018" i="21"/>
  <c r="I1020" i="21"/>
  <c r="I1022" i="21"/>
  <c r="I36" i="21"/>
  <c r="I37" i="21"/>
  <c r="I38" i="21"/>
  <c r="I297" i="21"/>
  <c r="I298" i="21"/>
  <c r="I713" i="21"/>
  <c r="I714" i="21"/>
  <c r="I715" i="21"/>
  <c r="I5248" i="21"/>
  <c r="I5257" i="21"/>
  <c r="I5260" i="21"/>
  <c r="I39" i="21"/>
  <c r="I40" i="21"/>
  <c r="I1522" i="21"/>
  <c r="I1523" i="21"/>
  <c r="I1524" i="21"/>
  <c r="I1525" i="21"/>
  <c r="I1526" i="21"/>
  <c r="I1527" i="21"/>
  <c r="I1549" i="21"/>
  <c r="I1550" i="21"/>
  <c r="I1551" i="21"/>
  <c r="I1552" i="21"/>
  <c r="I615" i="21"/>
  <c r="I621" i="21"/>
  <c r="I628" i="21"/>
  <c r="I631" i="21"/>
  <c r="I646" i="21"/>
  <c r="I647" i="21"/>
  <c r="I1622" i="21"/>
  <c r="I1642" i="21"/>
  <c r="I1649" i="21"/>
  <c r="I1656" i="21"/>
  <c r="I1657" i="21"/>
  <c r="I1668" i="21"/>
  <c r="I1669" i="21"/>
  <c r="I1671" i="21"/>
  <c r="I1677" i="21"/>
  <c r="I1683" i="21"/>
  <c r="I618" i="21"/>
  <c r="I619" i="21"/>
  <c r="I620" i="21"/>
  <c r="I626" i="21"/>
  <c r="I627" i="21"/>
  <c r="I629" i="21"/>
  <c r="I630" i="21"/>
  <c r="I644" i="21"/>
  <c r="I645" i="21"/>
  <c r="I648" i="21"/>
  <c r="I649" i="21"/>
  <c r="I1083" i="21"/>
  <c r="I1084" i="21"/>
  <c r="I1085" i="21"/>
  <c r="I1086" i="21"/>
  <c r="I1519" i="21"/>
  <c r="I1615" i="21"/>
  <c r="I1616" i="21"/>
  <c r="I1641" i="21"/>
  <c r="I1643" i="21"/>
  <c r="I1648" i="21"/>
  <c r="I1654" i="21"/>
  <c r="I1655" i="21"/>
  <c r="I1662" i="21"/>
  <c r="I1663" i="21"/>
  <c r="I1664" i="21"/>
  <c r="I1665" i="21"/>
  <c r="I1666" i="21"/>
  <c r="I1667" i="21"/>
  <c r="I1670" i="21"/>
  <c r="I1676" i="21"/>
  <c r="I1682" i="21"/>
  <c r="I1690" i="21"/>
  <c r="I1691" i="21"/>
  <c r="I1692" i="21"/>
  <c r="I1693" i="21"/>
  <c r="I612" i="21"/>
  <c r="I613" i="21"/>
  <c r="I616" i="21"/>
  <c r="I690" i="21"/>
  <c r="I691" i="21"/>
  <c r="I692" i="21"/>
  <c r="I694" i="21"/>
  <c r="I701" i="21"/>
  <c r="I1045" i="21"/>
  <c r="I1455" i="21"/>
  <c r="I1456" i="21"/>
  <c r="I1457" i="21"/>
  <c r="I1959" i="21"/>
  <c r="I1960" i="21"/>
  <c r="I1977" i="21"/>
  <c r="I1978" i="21"/>
  <c r="I1979" i="21"/>
  <c r="I1980" i="21"/>
  <c r="I1981" i="21"/>
  <c r="I1982" i="21"/>
  <c r="I2736" i="21"/>
  <c r="I3854" i="21"/>
  <c r="I3857" i="21"/>
  <c r="I3858" i="21"/>
  <c r="I3859" i="21"/>
  <c r="I3860" i="21"/>
  <c r="I3864" i="21"/>
  <c r="I3867" i="21"/>
  <c r="I3868" i="21"/>
  <c r="I3872" i="21"/>
  <c r="I3876" i="21"/>
  <c r="I3883" i="21"/>
  <c r="I3886" i="21"/>
  <c r="I688" i="21"/>
  <c r="I689" i="21"/>
  <c r="I957" i="21"/>
  <c r="I1046" i="21"/>
  <c r="I1462" i="21"/>
  <c r="I1463" i="21"/>
  <c r="I1961" i="21"/>
  <c r="I1962" i="21"/>
  <c r="I1963" i="21"/>
  <c r="I1964" i="21"/>
  <c r="I1965" i="21"/>
  <c r="I1966" i="21"/>
  <c r="I1967" i="21"/>
  <c r="I1968" i="21"/>
  <c r="I2022" i="21"/>
  <c r="I2023" i="21"/>
  <c r="I2024" i="21"/>
  <c r="I2025" i="21"/>
  <c r="I617" i="21"/>
  <c r="I5049" i="21"/>
  <c r="I5052" i="21"/>
  <c r="I5054" i="21"/>
  <c r="I5056" i="21"/>
  <c r="I5058" i="21"/>
  <c r="I5062" i="21"/>
  <c r="I5063" i="21"/>
  <c r="I5065" i="21"/>
  <c r="I5068" i="21"/>
  <c r="I5071" i="21"/>
  <c r="I5078" i="21"/>
  <c r="I5081" i="21"/>
  <c r="I5090" i="21"/>
  <c r="I5093" i="21"/>
  <c r="I5097" i="21"/>
  <c r="I5100" i="21"/>
  <c r="I703" i="21"/>
  <c r="I1048" i="21"/>
  <c r="I1050" i="21"/>
  <c r="I2760" i="21"/>
  <c r="I2762" i="21"/>
  <c r="I5048" i="21"/>
  <c r="I5051" i="21"/>
  <c r="I5055" i="21"/>
  <c r="I5057" i="21"/>
  <c r="I5060" i="21"/>
  <c r="I5066" i="21"/>
  <c r="I5067" i="21"/>
  <c r="I5070" i="21"/>
  <c r="I5076" i="21"/>
  <c r="I5079" i="21"/>
  <c r="I5091" i="21"/>
  <c r="I5092" i="21"/>
  <c r="I5095" i="21"/>
  <c r="I5098" i="21"/>
  <c r="I1049" i="21"/>
  <c r="I1051" i="21"/>
  <c r="I2761" i="21"/>
  <c r="I2763" i="21"/>
  <c r="I2764" i="21"/>
  <c r="I2841" i="21"/>
  <c r="I5050" i="21"/>
  <c r="I5053" i="21"/>
  <c r="I5059" i="21"/>
  <c r="I5061" i="21"/>
  <c r="I5064" i="21"/>
  <c r="I5069" i="21"/>
  <c r="I5072" i="21"/>
  <c r="I5073" i="21"/>
  <c r="I5074" i="21"/>
  <c r="I5075" i="21"/>
  <c r="I5077" i="21"/>
  <c r="I5080" i="21"/>
  <c r="I5094" i="21"/>
  <c r="I5096" i="21"/>
  <c r="I5099" i="21"/>
  <c r="I78" i="21"/>
  <c r="I296" i="21"/>
  <c r="I299" i="21"/>
  <c r="I302" i="21"/>
  <c r="I304" i="21"/>
  <c r="I306" i="21"/>
  <c r="I308" i="21"/>
  <c r="I310" i="21"/>
  <c r="I312" i="21"/>
  <c r="I314" i="21"/>
  <c r="I316" i="21"/>
  <c r="I318" i="21"/>
  <c r="I320" i="21"/>
  <c r="I321" i="21"/>
  <c r="I325" i="21"/>
  <c r="I328" i="21"/>
  <c r="I330" i="21"/>
  <c r="I331" i="21"/>
  <c r="I333" i="21"/>
  <c r="I336" i="21"/>
  <c r="I338" i="21"/>
  <c r="I341" i="21"/>
  <c r="I342" i="21"/>
  <c r="I345" i="21"/>
  <c r="I347" i="21"/>
  <c r="I349" i="21"/>
  <c r="I351" i="21"/>
  <c r="I352" i="21"/>
  <c r="I355" i="21"/>
  <c r="I357" i="21"/>
  <c r="I359" i="21"/>
  <c r="I361" i="21"/>
  <c r="I363" i="21"/>
  <c r="I365" i="21"/>
  <c r="I368" i="21"/>
  <c r="I370" i="21"/>
  <c r="I373" i="21"/>
  <c r="I375" i="21"/>
  <c r="I377" i="21"/>
  <c r="I381" i="21"/>
  <c r="I383" i="21"/>
  <c r="I385" i="21"/>
  <c r="I387" i="21"/>
  <c r="I389" i="21"/>
  <c r="I391" i="21"/>
  <c r="I393" i="21"/>
  <c r="I394" i="21"/>
  <c r="I397" i="21"/>
  <c r="I399" i="21"/>
  <c r="I401" i="21"/>
  <c r="I403" i="21"/>
  <c r="I1399" i="21"/>
  <c r="I1401" i="21"/>
  <c r="I1402" i="21"/>
  <c r="I1459" i="21"/>
  <c r="I1460" i="21"/>
  <c r="I1461" i="21"/>
  <c r="I1464" i="21"/>
  <c r="I1465" i="21"/>
  <c r="I1466" i="21"/>
  <c r="I1483" i="21"/>
  <c r="I1485" i="21"/>
  <c r="I1597" i="21"/>
  <c r="I1599" i="21"/>
  <c r="I1602" i="21"/>
  <c r="I1799" i="21"/>
  <c r="I1800" i="21"/>
  <c r="I1815" i="21"/>
  <c r="I1814" i="21"/>
  <c r="I1816" i="21"/>
  <c r="I1817" i="21"/>
  <c r="I1818" i="21"/>
  <c r="I1819" i="21"/>
  <c r="I1821" i="21"/>
  <c r="I1822" i="21"/>
  <c r="I1823" i="21"/>
  <c r="I1824" i="21"/>
  <c r="I1827" i="21"/>
  <c r="I1828" i="21"/>
  <c r="I1830" i="21"/>
  <c r="I1831" i="21"/>
  <c r="I1833" i="21"/>
  <c r="I1834" i="21"/>
  <c r="I1835" i="21"/>
  <c r="I1836" i="21"/>
  <c r="I1837" i="21"/>
  <c r="I1838" i="21"/>
  <c r="I1839" i="21"/>
  <c r="I1840" i="21"/>
  <c r="I1841" i="21"/>
  <c r="I1842" i="21"/>
  <c r="I1843" i="21"/>
  <c r="I1844" i="21"/>
  <c r="I1845" i="21"/>
  <c r="I1846" i="21"/>
  <c r="I1849" i="21"/>
  <c r="I1850" i="21"/>
  <c r="I1851" i="21"/>
  <c r="I1852" i="21"/>
  <c r="I1853" i="21"/>
  <c r="I1854" i="21"/>
  <c r="I1855" i="21"/>
  <c r="I1856" i="21"/>
  <c r="I1857" i="21"/>
  <c r="I1858" i="21"/>
  <c r="I1859" i="21"/>
  <c r="I1860" i="21"/>
  <c r="I1861" i="21"/>
  <c r="I1862" i="21"/>
  <c r="I1911" i="21"/>
  <c r="I1912" i="21"/>
  <c r="I1913" i="21"/>
  <c r="I1914" i="21"/>
  <c r="I1915" i="21"/>
  <c r="I1916" i="21"/>
  <c r="I1918" i="21"/>
  <c r="I1920" i="21"/>
  <c r="I1921" i="21"/>
  <c r="I1922" i="21"/>
  <c r="I1923" i="21"/>
  <c r="I1924" i="21"/>
  <c r="I1925" i="21"/>
  <c r="I1927" i="21"/>
  <c r="I1928" i="21"/>
  <c r="I1929" i="21"/>
  <c r="I1930" i="21"/>
  <c r="I1931" i="21"/>
  <c r="I1932" i="21"/>
  <c r="I1933" i="21"/>
  <c r="I1934" i="21"/>
  <c r="I1936" i="21"/>
  <c r="I1937" i="21"/>
  <c r="I1938" i="21"/>
  <c r="I2059" i="21"/>
  <c r="I2060" i="21"/>
  <c r="I2062" i="21"/>
  <c r="I2065" i="21"/>
  <c r="I2066" i="21"/>
  <c r="I2067" i="21"/>
  <c r="I2068" i="21"/>
  <c r="I2069" i="21"/>
  <c r="I2070" i="21"/>
  <c r="I2071" i="21"/>
  <c r="I2075" i="21"/>
  <c r="I2079" i="21"/>
  <c r="I2094" i="21"/>
  <c r="I2097" i="21"/>
  <c r="I2134" i="21"/>
  <c r="I2137" i="21"/>
  <c r="I2139" i="21"/>
  <c r="I2141" i="21"/>
  <c r="I2144" i="21"/>
  <c r="I2146" i="21"/>
  <c r="I2148" i="21"/>
  <c r="I2154" i="21"/>
  <c r="I2156" i="21"/>
  <c r="I2162" i="21"/>
  <c r="I2182" i="21"/>
  <c r="I2378" i="21"/>
  <c r="I2379" i="21"/>
  <c r="I2380" i="21"/>
  <c r="I2381" i="21"/>
  <c r="I2382" i="21"/>
  <c r="I2383" i="21"/>
  <c r="I2387" i="21"/>
  <c r="I2388" i="21"/>
  <c r="I2389" i="21"/>
  <c r="I2390" i="21"/>
  <c r="I2391" i="21"/>
  <c r="I2392" i="21"/>
  <c r="I2495" i="21"/>
  <c r="I2497" i="21"/>
  <c r="I2498" i="21"/>
  <c r="I2499" i="21"/>
  <c r="I2500" i="21"/>
  <c r="I2501" i="21"/>
  <c r="I2502" i="21"/>
  <c r="I2504" i="21"/>
  <c r="I2505" i="21"/>
  <c r="I2506" i="21"/>
  <c r="I2507" i="21"/>
  <c r="I2508" i="21"/>
  <c r="I2509" i="21"/>
  <c r="I2510" i="21"/>
  <c r="I2511" i="21"/>
  <c r="I2513" i="21"/>
  <c r="I2514" i="21"/>
  <c r="I2516" i="21"/>
  <c r="I2517" i="21"/>
  <c r="I2518" i="21"/>
  <c r="I2520" i="21"/>
  <c r="I2522" i="21"/>
  <c r="I2523" i="21"/>
  <c r="I2524" i="21"/>
  <c r="I2525" i="21"/>
  <c r="I2649" i="21"/>
  <c r="I2653" i="21"/>
  <c r="I2656" i="21"/>
  <c r="I2741" i="21"/>
  <c r="I2742" i="21"/>
  <c r="I2743" i="21"/>
  <c r="I2744" i="21"/>
  <c r="I2745" i="21"/>
  <c r="I2746" i="21"/>
  <c r="I2747" i="21"/>
  <c r="I2748" i="21"/>
  <c r="I2749" i="21"/>
  <c r="I2750" i="21"/>
  <c r="I2751" i="21"/>
  <c r="I2829" i="21"/>
  <c r="I2830" i="21"/>
  <c r="I2833" i="21"/>
  <c r="I2834" i="21"/>
  <c r="I2835" i="21"/>
  <c r="I2836" i="21"/>
  <c r="I2837" i="21"/>
  <c r="I2838" i="21"/>
  <c r="I2839" i="21"/>
  <c r="I2840" i="21"/>
  <c r="I3380" i="21"/>
  <c r="I3381" i="21"/>
  <c r="I3515" i="21"/>
  <c r="I3522" i="21"/>
  <c r="I3523" i="21"/>
  <c r="I3524" i="21"/>
  <c r="I3558" i="21"/>
  <c r="I3559" i="21"/>
  <c r="I3560" i="21"/>
  <c r="I3602" i="21"/>
  <c r="I3603" i="21"/>
  <c r="I3604" i="21"/>
  <c r="I3819" i="21"/>
  <c r="I3820" i="21"/>
  <c r="I3827" i="21"/>
  <c r="I3828" i="21"/>
  <c r="I3829" i="21"/>
  <c r="I3831" i="21"/>
  <c r="I3832" i="21"/>
  <c r="I3838" i="21"/>
  <c r="I3839" i="21"/>
  <c r="I3880" i="21"/>
  <c r="I4471" i="21"/>
  <c r="I4472" i="21"/>
  <c r="I4532" i="21"/>
  <c r="I4533" i="21"/>
  <c r="I4534" i="21"/>
  <c r="I4537" i="21"/>
  <c r="I4662" i="21"/>
  <c r="I4663" i="21"/>
  <c r="I4664" i="21"/>
  <c r="I4669" i="21"/>
  <c r="I4670" i="21"/>
  <c r="I4701" i="21"/>
  <c r="I4702" i="21"/>
  <c r="I4703" i="21"/>
  <c r="I4704" i="21"/>
  <c r="I4705" i="21"/>
  <c r="I4706" i="21"/>
  <c r="I4707" i="21"/>
  <c r="I4708" i="21"/>
  <c r="I4709" i="21"/>
  <c r="I4711" i="21"/>
  <c r="I4713" i="21"/>
  <c r="I4714" i="21"/>
  <c r="I4715" i="21"/>
  <c r="I4716" i="21"/>
  <c r="I4717" i="21"/>
  <c r="I4719" i="21"/>
  <c r="I4720" i="21"/>
  <c r="I4722" i="21"/>
  <c r="I4723" i="21"/>
  <c r="I4724" i="21"/>
  <c r="I4725" i="21"/>
  <c r="I4726" i="21"/>
  <c r="I4728" i="21"/>
  <c r="I4729" i="21"/>
  <c r="I4730" i="21"/>
  <c r="I4731" i="21"/>
  <c r="I4732" i="21"/>
  <c r="I4735" i="21"/>
  <c r="I4736" i="21"/>
  <c r="I4737" i="21"/>
  <c r="I4742" i="21"/>
  <c r="I4745" i="21"/>
  <c r="I4746" i="21"/>
  <c r="I4747" i="21"/>
  <c r="I4750" i="21"/>
  <c r="I4751" i="21"/>
  <c r="I4752" i="21"/>
  <c r="I4753" i="21"/>
  <c r="I4754" i="21"/>
  <c r="I4756" i="21"/>
  <c r="I4757" i="21"/>
  <c r="I4758" i="21"/>
  <c r="I4759" i="21"/>
  <c r="I4760" i="21"/>
  <c r="I4763" i="21"/>
  <c r="I4764" i="21"/>
  <c r="I4765" i="21"/>
  <c r="I4766" i="21"/>
  <c r="I4768" i="21"/>
  <c r="I4769" i="21"/>
  <c r="I4770" i="21"/>
  <c r="I4771" i="21"/>
  <c r="I4773" i="21"/>
  <c r="I4774" i="21"/>
  <c r="I4777" i="21"/>
  <c r="I4778" i="21"/>
  <c r="I4779" i="21"/>
  <c r="I4784" i="21"/>
  <c r="I4785" i="21"/>
  <c r="I4786" i="21"/>
  <c r="I4787" i="21"/>
  <c r="I4789" i="21"/>
  <c r="I4791" i="21"/>
  <c r="I4792" i="21"/>
  <c r="I4793" i="21"/>
  <c r="I4795" i="21"/>
  <c r="I4798" i="21"/>
  <c r="I4799" i="21"/>
  <c r="I4802" i="21"/>
  <c r="I4804" i="21"/>
  <c r="I4805" i="21"/>
  <c r="I4809" i="21"/>
  <c r="I4810" i="21"/>
  <c r="I4811" i="21"/>
  <c r="I4812" i="21"/>
  <c r="I4813" i="21"/>
  <c r="I4814" i="21"/>
  <c r="I4818" i="21"/>
  <c r="I4820" i="21"/>
  <c r="I4821" i="21"/>
  <c r="I4822" i="21"/>
  <c r="I4823" i="21"/>
  <c r="I4827" i="21"/>
  <c r="I4828" i="21"/>
  <c r="I4830" i="21"/>
  <c r="I4833" i="21"/>
  <c r="I4835" i="21"/>
  <c r="I4836" i="21"/>
  <c r="I4837" i="21"/>
  <c r="I4838" i="21"/>
  <c r="I4839" i="21"/>
  <c r="I4843" i="21"/>
  <c r="I4844" i="21"/>
  <c r="I4845" i="21"/>
  <c r="I4846" i="21"/>
  <c r="I4847" i="21"/>
  <c r="I4848" i="21"/>
  <c r="I4851" i="21"/>
  <c r="I4852" i="21"/>
  <c r="I4853" i="21"/>
  <c r="I4854" i="21"/>
  <c r="I4855" i="21"/>
  <c r="I4857" i="21"/>
  <c r="I4861" i="21"/>
  <c r="I4862" i="21"/>
  <c r="I4865" i="21"/>
  <c r="I4868" i="21"/>
  <c r="I4870" i="21"/>
  <c r="I4871" i="21"/>
  <c r="I4873" i="21"/>
  <c r="I4874" i="21"/>
  <c r="I4875" i="21"/>
  <c r="I4877" i="21"/>
  <c r="I4878" i="21"/>
  <c r="I4879" i="21"/>
  <c r="I4880" i="21"/>
  <c r="I4883" i="21"/>
  <c r="I4885" i="21"/>
  <c r="I4887" i="21"/>
  <c r="I4888" i="21"/>
  <c r="I4891" i="21"/>
  <c r="I4892" i="21"/>
  <c r="I4893" i="21"/>
  <c r="I4894" i="21"/>
  <c r="I4895" i="21"/>
  <c r="I4896" i="21"/>
  <c r="I4897" i="21"/>
  <c r="I4898" i="21"/>
  <c r="I4901" i="21"/>
  <c r="I4902" i="21"/>
  <c r="I5444" i="21"/>
  <c r="I5445" i="21"/>
  <c r="I5446" i="21"/>
  <c r="I5450" i="21"/>
  <c r="I5452" i="21"/>
  <c r="I5453" i="21"/>
  <c r="I5455" i="21"/>
  <c r="I5460" i="21"/>
  <c r="I5545" i="21"/>
  <c r="I5558" i="21"/>
  <c r="I5560" i="21"/>
  <c r="I5566" i="21"/>
  <c r="I6014" i="21"/>
  <c r="I6022" i="21"/>
  <c r="I6028" i="21"/>
  <c r="I6032" i="21"/>
  <c r="I6034" i="21"/>
  <c r="I6038" i="21"/>
  <c r="I6042" i="21"/>
  <c r="I6048" i="21"/>
  <c r="I6050" i="21"/>
  <c r="I6052" i="21"/>
  <c r="I6056" i="21"/>
  <c r="I6058" i="21"/>
  <c r="I6064" i="21"/>
  <c r="I6070" i="21"/>
  <c r="I6074" i="21"/>
  <c r="I6078" i="21"/>
  <c r="I6080" i="21"/>
  <c r="I6082" i="21"/>
  <c r="I6084" i="21"/>
  <c r="I6086" i="21"/>
  <c r="I6092" i="21"/>
  <c r="I6094" i="21"/>
  <c r="I6114" i="21"/>
  <c r="I6126" i="21"/>
  <c r="I6128" i="21"/>
  <c r="I6130" i="21"/>
  <c r="I6132" i="21"/>
  <c r="I6134" i="21"/>
  <c r="I6136" i="21"/>
  <c r="I6138" i="21"/>
  <c r="I6152" i="21"/>
  <c r="I6240" i="21"/>
  <c r="I6266" i="21"/>
  <c r="I6270" i="21"/>
  <c r="I6276" i="21"/>
  <c r="I6278" i="21"/>
  <c r="I6280" i="21"/>
  <c r="I6342" i="21"/>
  <c r="I6344" i="21"/>
  <c r="I6346" i="21"/>
  <c r="I6348" i="21"/>
  <c r="I6350" i="21"/>
  <c r="I6352" i="21"/>
  <c r="I6354" i="21"/>
  <c r="I6356" i="21"/>
  <c r="I6358" i="21"/>
  <c r="I6360" i="21"/>
  <c r="I6362" i="21"/>
  <c r="I6374" i="21"/>
  <c r="I6394" i="21"/>
  <c r="I6418" i="21"/>
  <c r="I6430" i="21"/>
  <c r="I6432" i="21"/>
  <c r="I6434" i="21"/>
  <c r="I6436" i="21"/>
  <c r="I6438" i="21"/>
  <c r="I6539" i="21"/>
  <c r="I6541" i="21"/>
  <c r="I6551" i="21"/>
  <c r="I6553" i="21"/>
  <c r="I6555" i="21"/>
  <c r="I6557" i="21"/>
  <c r="I6561" i="21"/>
  <c r="I6571" i="21"/>
  <c r="I6573" i="21"/>
  <c r="I6575" i="21"/>
  <c r="I6579" i="21"/>
  <c r="I6581" i="21"/>
  <c r="I6587" i="21"/>
  <c r="I6589" i="21"/>
  <c r="I6593" i="21"/>
  <c r="I6595" i="21"/>
  <c r="I6597" i="21"/>
  <c r="I6599" i="21"/>
  <c r="I6601" i="21"/>
  <c r="I6603" i="21"/>
  <c r="I6605" i="21"/>
  <c r="I6607" i="21"/>
  <c r="I6610" i="21"/>
  <c r="I6636" i="21"/>
  <c r="I6652" i="21"/>
  <c r="I6660" i="21"/>
  <c r="I6662" i="21"/>
  <c r="I6674" i="21"/>
  <c r="I6684" i="21"/>
  <c r="I6688" i="21"/>
  <c r="I6698" i="21"/>
  <c r="I6700" i="21"/>
  <c r="I6720" i="21"/>
  <c r="I6722" i="21"/>
  <c r="I6726" i="21"/>
  <c r="I6743" i="21"/>
  <c r="I6747" i="21"/>
  <c r="I6749" i="21"/>
  <c r="I6751" i="21"/>
  <c r="I6753" i="21"/>
  <c r="I6755" i="21"/>
  <c r="I77" i="21"/>
  <c r="I295" i="21"/>
  <c r="I300" i="21"/>
  <c r="I301" i="21"/>
  <c r="I303" i="21"/>
  <c r="I305" i="21"/>
  <c r="I307" i="21"/>
  <c r="I309" i="21"/>
  <c r="I311" i="21"/>
  <c r="I313" i="21"/>
  <c r="I315" i="21"/>
  <c r="I317" i="21"/>
  <c r="I319" i="21"/>
  <c r="I322" i="21"/>
  <c r="I326" i="21"/>
  <c r="I327" i="21"/>
  <c r="I329" i="21"/>
  <c r="I332" i="21"/>
  <c r="I337" i="21"/>
  <c r="I339" i="21"/>
  <c r="I340" i="21"/>
  <c r="I343" i="21"/>
  <c r="I344" i="21"/>
  <c r="I346" i="21"/>
  <c r="I348" i="21"/>
  <c r="I350" i="21"/>
  <c r="I353" i="21"/>
  <c r="I354" i="21"/>
  <c r="I356" i="21"/>
  <c r="I358" i="21"/>
  <c r="I360" i="21"/>
  <c r="I362" i="21"/>
  <c r="I364" i="21"/>
  <c r="I371" i="21"/>
  <c r="I372" i="21"/>
  <c r="I374" i="21"/>
  <c r="I376" i="21"/>
  <c r="I378" i="21"/>
  <c r="I379" i="21"/>
  <c r="I380" i="21"/>
  <c r="I382" i="21"/>
  <c r="I384" i="21"/>
  <c r="I386" i="21"/>
  <c r="I388" i="21"/>
  <c r="I390" i="21"/>
  <c r="I392" i="21"/>
  <c r="I395" i="21"/>
  <c r="I396" i="21"/>
  <c r="I398" i="21"/>
  <c r="I400" i="21"/>
  <c r="I402" i="21"/>
  <c r="I1398" i="21"/>
  <c r="I1400" i="21"/>
  <c r="I1403" i="21"/>
  <c r="I1471" i="21"/>
  <c r="I1472" i="21"/>
  <c r="I1474" i="21"/>
  <c r="I1510" i="21"/>
  <c r="I1595" i="21"/>
  <c r="I1596" i="21"/>
  <c r="I1598" i="21"/>
  <c r="I1600" i="21"/>
  <c r="I1601" i="21"/>
  <c r="I1603" i="21"/>
  <c r="I1604" i="21"/>
  <c r="I1801" i="21"/>
  <c r="I1829" i="21"/>
  <c r="I1832" i="21"/>
  <c r="I1847" i="21"/>
  <c r="I1848" i="21"/>
  <c r="I1917" i="21"/>
  <c r="I1926" i="21"/>
  <c r="I1935" i="21"/>
  <c r="I1973" i="21"/>
  <c r="I1974" i="21"/>
  <c r="I2016" i="21"/>
  <c r="I2017" i="21"/>
  <c r="I2018" i="21"/>
  <c r="I2019" i="21"/>
  <c r="I2020" i="21"/>
  <c r="I2021" i="21"/>
  <c r="I2058" i="21"/>
  <c r="I2061" i="21"/>
  <c r="I2064" i="21"/>
  <c r="I2072" i="21"/>
  <c r="I2073" i="21"/>
  <c r="I2074" i="21"/>
  <c r="I2078" i="21"/>
  <c r="I2082" i="21"/>
  <c r="I2083" i="21"/>
  <c r="I2084" i="21"/>
  <c r="I2085" i="21"/>
  <c r="I2086" i="21"/>
  <c r="I2087" i="21"/>
  <c r="I2088" i="21"/>
  <c r="I2089" i="21"/>
  <c r="I2090" i="21"/>
  <c r="I2091" i="21"/>
  <c r="I2092" i="21"/>
  <c r="I2093" i="21"/>
  <c r="I2095" i="21"/>
  <c r="I2096" i="21"/>
  <c r="I2098" i="21"/>
  <c r="I2133" i="21"/>
  <c r="I2135" i="21"/>
  <c r="I2136" i="21"/>
  <c r="I2138" i="21"/>
  <c r="I2140" i="21"/>
  <c r="I2142" i="21"/>
  <c r="I2143" i="21"/>
  <c r="I2145" i="21"/>
  <c r="I2147" i="21"/>
  <c r="I2149" i="21"/>
  <c r="I2150" i="21"/>
  <c r="I2151" i="21"/>
  <c r="I2152" i="21"/>
  <c r="I2153" i="21"/>
  <c r="I2155" i="21"/>
  <c r="I2157" i="21"/>
  <c r="I2158" i="21"/>
  <c r="I2159" i="21"/>
  <c r="I2160" i="21"/>
  <c r="I2161" i="21"/>
  <c r="I2183" i="21"/>
  <c r="I2384" i="21"/>
  <c r="I2385" i="21"/>
  <c r="I2386" i="21"/>
  <c r="I2393" i="21"/>
  <c r="I2394" i="21"/>
  <c r="I2395" i="21"/>
  <c r="I2503" i="21"/>
  <c r="I2512" i="21"/>
  <c r="I2515" i="21"/>
  <c r="I2519" i="21"/>
  <c r="I2521" i="21"/>
  <c r="I2563" i="21"/>
  <c r="I2564" i="21"/>
  <c r="I2565" i="21"/>
  <c r="I2639" i="21"/>
  <c r="I2640" i="21"/>
  <c r="I2641" i="21"/>
  <c r="I2642" i="21"/>
  <c r="I2643" i="21"/>
  <c r="I2644" i="21"/>
  <c r="I2645" i="21"/>
  <c r="I2646" i="21"/>
  <c r="I2647" i="21"/>
  <c r="I2648" i="21"/>
  <c r="I2650" i="21"/>
  <c r="I2651" i="21"/>
  <c r="I2652" i="21"/>
  <c r="I2654" i="21"/>
  <c r="I2655" i="21"/>
  <c r="I2753" i="21"/>
  <c r="I2754" i="21"/>
  <c r="I2755" i="21"/>
  <c r="I2756" i="21"/>
  <c r="I2793" i="21"/>
  <c r="I2795" i="21"/>
  <c r="I2797" i="21"/>
  <c r="I2799" i="21"/>
  <c r="I2801" i="21"/>
  <c r="I2803" i="21"/>
  <c r="I2808" i="21"/>
  <c r="I2809" i="21"/>
  <c r="I2811" i="21"/>
  <c r="I2819" i="21"/>
  <c r="I2821" i="21"/>
  <c r="I2822" i="21"/>
  <c r="I2823" i="21"/>
  <c r="I2828" i="21"/>
  <c r="I2832" i="21"/>
  <c r="I3382" i="21"/>
  <c r="I3384" i="21"/>
  <c r="I3386" i="21"/>
  <c r="I3388" i="21"/>
  <c r="I3390" i="21"/>
  <c r="I3392" i="21"/>
  <c r="I3516" i="21"/>
  <c r="I3517" i="21"/>
  <c r="I3518" i="21"/>
  <c r="I3551" i="21"/>
  <c r="I3555" i="21"/>
  <c r="I3605" i="21"/>
  <c r="I3606" i="21"/>
  <c r="I3830" i="21"/>
  <c r="I3834" i="21"/>
  <c r="I3837" i="21"/>
  <c r="I3840" i="21"/>
  <c r="I3841" i="21"/>
  <c r="I3879" i="21"/>
  <c r="I4469" i="21"/>
  <c r="I4470" i="21"/>
  <c r="I4473" i="21"/>
  <c r="I4535" i="21"/>
  <c r="I4536" i="21"/>
  <c r="I4710" i="21"/>
  <c r="I4712" i="21"/>
  <c r="I4718" i="21"/>
  <c r="I4721" i="21"/>
  <c r="I4727" i="21"/>
  <c r="I4733" i="21"/>
  <c r="I4734" i="21"/>
  <c r="I4738" i="21"/>
  <c r="I4739" i="21"/>
  <c r="I4740" i="21"/>
  <c r="I4741" i="21"/>
  <c r="I4743" i="21"/>
  <c r="I4744" i="21"/>
  <c r="I4748" i="21"/>
  <c r="I4749" i="21"/>
  <c r="I4755" i="21"/>
  <c r="I4761" i="21"/>
  <c r="I4762" i="21"/>
  <c r="I4767" i="21"/>
  <c r="I4772" i="21"/>
  <c r="I4775" i="21"/>
  <c r="I4776" i="21"/>
  <c r="I4781" i="21"/>
  <c r="I4780" i="21"/>
  <c r="I4783" i="21"/>
  <c r="I4782" i="21"/>
  <c r="I4788" i="21"/>
  <c r="I4790" i="21"/>
  <c r="I4794" i="21"/>
  <c r="I4796" i="21"/>
  <c r="I4797" i="21"/>
  <c r="I4800" i="21"/>
  <c r="I4801" i="21"/>
  <c r="I4803" i="21"/>
  <c r="I4807" i="21"/>
  <c r="I4806" i="21"/>
  <c r="I4808" i="21"/>
  <c r="I4815" i="21"/>
  <c r="I4816" i="21"/>
  <c r="I4817" i="21"/>
  <c r="I4819" i="21"/>
  <c r="I4824" i="21"/>
  <c r="I4825" i="21"/>
  <c r="I4826" i="21"/>
  <c r="I4829" i="21"/>
  <c r="I4831" i="21"/>
  <c r="I4832" i="21"/>
  <c r="I4834" i="21"/>
  <c r="I4840" i="21"/>
  <c r="I4841" i="21"/>
  <c r="I4842" i="21"/>
  <c r="I4849" i="21"/>
  <c r="I4850" i="21"/>
  <c r="I4856" i="21"/>
  <c r="I4858" i="21"/>
  <c r="I4859" i="21"/>
  <c r="I4860" i="21"/>
  <c r="I4863" i="21"/>
  <c r="I4864" i="21"/>
  <c r="I4866" i="21"/>
  <c r="I4867" i="21"/>
  <c r="I4869" i="21"/>
  <c r="I4872" i="21"/>
  <c r="I4876" i="21"/>
  <c r="I4881" i="21"/>
  <c r="I4882" i="21"/>
  <c r="I4884" i="21"/>
  <c r="I4886" i="21"/>
  <c r="I4889" i="21"/>
  <c r="I4890" i="21"/>
  <c r="I4899" i="21"/>
  <c r="I4900" i="21"/>
  <c r="I5015" i="21"/>
  <c r="I5022" i="21"/>
  <c r="I5023" i="21"/>
  <c r="I5025" i="21"/>
  <c r="I5028" i="21"/>
  <c r="I5029" i="21"/>
  <c r="I5030" i="21"/>
  <c r="I5449" i="21"/>
  <c r="I5451" i="21"/>
  <c r="I5454" i="21"/>
  <c r="I5456" i="21"/>
  <c r="I5458" i="21"/>
  <c r="I5459" i="21"/>
  <c r="I5479" i="21"/>
  <c r="I5547" i="21"/>
  <c r="I5549" i="21"/>
  <c r="I5551" i="21"/>
  <c r="I5553" i="21"/>
  <c r="I5555" i="21"/>
  <c r="I5564" i="21"/>
  <c r="I5562" i="21"/>
  <c r="I6016" i="21"/>
  <c r="I6018" i="21"/>
  <c r="I6020" i="21"/>
  <c r="I6024" i="21"/>
  <c r="I6026" i="21"/>
  <c r="I6030" i="21"/>
  <c r="I6036" i="21"/>
  <c r="I6040" i="21"/>
  <c r="I6044" i="21"/>
  <c r="I6046" i="21"/>
  <c r="I6054" i="21"/>
  <c r="I6060" i="21"/>
  <c r="I6062" i="21"/>
  <c r="I6066" i="21"/>
  <c r="I6068" i="21"/>
  <c r="I6072" i="21"/>
  <c r="I6076" i="21"/>
  <c r="I6088" i="21"/>
  <c r="I6090" i="21"/>
  <c r="I6096" i="21"/>
  <c r="I6098" i="21"/>
  <c r="I6100" i="21"/>
  <c r="I6102" i="21"/>
  <c r="I6104" i="21"/>
  <c r="I6106" i="21"/>
  <c r="I6108" i="21"/>
  <c r="I6110" i="21"/>
  <c r="I6112" i="21"/>
  <c r="I6116" i="21"/>
  <c r="I6118" i="21"/>
  <c r="I6120" i="21"/>
  <c r="I6122" i="21"/>
  <c r="I6124" i="21"/>
  <c r="I6140" i="21"/>
  <c r="I6142" i="21"/>
  <c r="I6144" i="21"/>
  <c r="I6146" i="21"/>
  <c r="I6148" i="21"/>
  <c r="I6150" i="21"/>
  <c r="I6154" i="21"/>
  <c r="I6156" i="21"/>
  <c r="I6158" i="21"/>
  <c r="I6160" i="21"/>
  <c r="I6162" i="21"/>
  <c r="I6164" i="21"/>
  <c r="I6166" i="21"/>
  <c r="I6168" i="21"/>
  <c r="I6170" i="21"/>
  <c r="I6172" i="21"/>
  <c r="I6174" i="21"/>
  <c r="I6176" i="21"/>
  <c r="I6178" i="21"/>
  <c r="I6180" i="21"/>
  <c r="I6182" i="21"/>
  <c r="I6184" i="21"/>
  <c r="I6186" i="21"/>
  <c r="I6188" i="21"/>
  <c r="I6190" i="21"/>
  <c r="I6192" i="21"/>
  <c r="I6194" i="21"/>
  <c r="I6196" i="21"/>
  <c r="I6198" i="21"/>
  <c r="I6200" i="21"/>
  <c r="I6202" i="21"/>
  <c r="I6204" i="21"/>
  <c r="I6206" i="21"/>
  <c r="I6208" i="21"/>
  <c r="I6210" i="21"/>
  <c r="I6212" i="21"/>
  <c r="I6214" i="21"/>
  <c r="I6216" i="21"/>
  <c r="I6218" i="21"/>
  <c r="I6220" i="21"/>
  <c r="I6222" i="21"/>
  <c r="I6224" i="21"/>
  <c r="I6226" i="21"/>
  <c r="I6228" i="21"/>
  <c r="I6230" i="21"/>
  <c r="I6232" i="21"/>
  <c r="I6234" i="21"/>
  <c r="I6236" i="21"/>
  <c r="I6238" i="21"/>
  <c r="I6242" i="21"/>
  <c r="I6244" i="21"/>
  <c r="I6246" i="21"/>
  <c r="I6248" i="21"/>
  <c r="I6250" i="21"/>
  <c r="I6252" i="21"/>
  <c r="I6254" i="21"/>
  <c r="I6256" i="21"/>
  <c r="I6258" i="21"/>
  <c r="I6260" i="21"/>
  <c r="I6262" i="21"/>
  <c r="I6264" i="21"/>
  <c r="I6268" i="21"/>
  <c r="I6272" i="21"/>
  <c r="I6274" i="21"/>
  <c r="I6282" i="21"/>
  <c r="I6284" i="21"/>
  <c r="I6286" i="21"/>
  <c r="I6288" i="21"/>
  <c r="I6290" i="21"/>
  <c r="I6292" i="21"/>
  <c r="I6294" i="21"/>
  <c r="I6296" i="21"/>
  <c r="I6298" i="21"/>
  <c r="I6300" i="21"/>
  <c r="I6302" i="21"/>
  <c r="I6304" i="21"/>
  <c r="I6306" i="21"/>
  <c r="I6308" i="21"/>
  <c r="I6310" i="21"/>
  <c r="I6312" i="21"/>
  <c r="I6314" i="21"/>
  <c r="I6316" i="21"/>
  <c r="I6318" i="21"/>
  <c r="I6320" i="21"/>
  <c r="I6322" i="21"/>
  <c r="I6324" i="21"/>
  <c r="I6326" i="21"/>
  <c r="I6328" i="21"/>
  <c r="I6330" i="21"/>
  <c r="I6332" i="21"/>
  <c r="I6334" i="21"/>
  <c r="I6336" i="21"/>
  <c r="I6338" i="21"/>
  <c r="I6340" i="21"/>
  <c r="I6364" i="21"/>
  <c r="I6366" i="21"/>
  <c r="I6368" i="21"/>
  <c r="I6370" i="21"/>
  <c r="I6372" i="21"/>
  <c r="I6376" i="21"/>
  <c r="I6378" i="21"/>
  <c r="I6380" i="21"/>
  <c r="I6382" i="21"/>
  <c r="I6384" i="21"/>
  <c r="I6386" i="21"/>
  <c r="I6388" i="21"/>
  <c r="I6390" i="21"/>
  <c r="I6392" i="21"/>
  <c r="I6396" i="21"/>
  <c r="I6398" i="21"/>
  <c r="I6400" i="21"/>
  <c r="I6402" i="21"/>
  <c r="I6404" i="21"/>
  <c r="I6406" i="21"/>
  <c r="I6408" i="21"/>
  <c r="I6410" i="21"/>
  <c r="I6412" i="21"/>
  <c r="I6414" i="21"/>
  <c r="I6416" i="21"/>
  <c r="I6420" i="21"/>
  <c r="I6422" i="21"/>
  <c r="I6424" i="21"/>
  <c r="I6426" i="21"/>
  <c r="I6428" i="21"/>
  <c r="I6440" i="21"/>
  <c r="I6442" i="21"/>
  <c r="I6444" i="21"/>
  <c r="I6446" i="21"/>
  <c r="I6448" i="21"/>
  <c r="I6450" i="21"/>
  <c r="I6452" i="21"/>
  <c r="I6454" i="21"/>
  <c r="I6456" i="21"/>
  <c r="I6458" i="21"/>
  <c r="I6460" i="21"/>
  <c r="I6462" i="21"/>
  <c r="I6464" i="21"/>
  <c r="I6466" i="21"/>
  <c r="I6468" i="21"/>
  <c r="I6470" i="21"/>
  <c r="I6472" i="21"/>
  <c r="I6474" i="21"/>
  <c r="I6476" i="21"/>
  <c r="I6478" i="21"/>
  <c r="I6480" i="21"/>
  <c r="I6482" i="21"/>
  <c r="I6484" i="21"/>
  <c r="I6486" i="21"/>
  <c r="I6488" i="21"/>
  <c r="I6490" i="21"/>
  <c r="I6492" i="21"/>
  <c r="I6494" i="21"/>
  <c r="I6497" i="21"/>
  <c r="I6499" i="21"/>
  <c r="I6501" i="21"/>
  <c r="I6503" i="21"/>
  <c r="I6505" i="21"/>
  <c r="I6507" i="21"/>
  <c r="I6509" i="21"/>
  <c r="I6511" i="21"/>
  <c r="I6513" i="21"/>
  <c r="I6515" i="21"/>
  <c r="I6517" i="21"/>
  <c r="I6519" i="21"/>
  <c r="I6521" i="21"/>
  <c r="I6523" i="21"/>
  <c r="I6525" i="21"/>
  <c r="I6527" i="21"/>
  <c r="I6529" i="21"/>
  <c r="I6531" i="21"/>
  <c r="I6533" i="21"/>
  <c r="I6535" i="21"/>
  <c r="I6537" i="21"/>
  <c r="I6543" i="21"/>
  <c r="I6545" i="21"/>
  <c r="I6547" i="21"/>
  <c r="I6549" i="21"/>
  <c r="I6559" i="21"/>
  <c r="I6563" i="21"/>
  <c r="I6565" i="21"/>
  <c r="I6567" i="21"/>
  <c r="I6569" i="21"/>
  <c r="I6577" i="21"/>
  <c r="I6583" i="21"/>
  <c r="I6585" i="21"/>
  <c r="I6591" i="21"/>
  <c r="I6612" i="21"/>
  <c r="I6614" i="21"/>
  <c r="I6616" i="21"/>
  <c r="I6618" i="21"/>
  <c r="I6620" i="21"/>
  <c r="I6622" i="21"/>
  <c r="I6624" i="21"/>
  <c r="I6626" i="21"/>
  <c r="I6628" i="21"/>
  <c r="I6630" i="21"/>
  <c r="I6632" i="21"/>
  <c r="I6634" i="21"/>
  <c r="I6638" i="21"/>
  <c r="I6640" i="21"/>
  <c r="I6642" i="21"/>
  <c r="I6644" i="21"/>
  <c r="I6646" i="21"/>
  <c r="I6648" i="21"/>
  <c r="I6650" i="21"/>
  <c r="I6654" i="21"/>
  <c r="I6656" i="21"/>
  <c r="I6658" i="21"/>
  <c r="I6664" i="21"/>
  <c r="I6666" i="21"/>
  <c r="I6668" i="21"/>
  <c r="I6670" i="21"/>
  <c r="I6672" i="21"/>
  <c r="I6676" i="21"/>
  <c r="I6678" i="21"/>
  <c r="I6680" i="21"/>
  <c r="I6682" i="21"/>
  <c r="I6686" i="21"/>
  <c r="I6690" i="21"/>
  <c r="I6692" i="21"/>
  <c r="I6694" i="21"/>
  <c r="I6696" i="21"/>
  <c r="I6702" i="21"/>
  <c r="I6704" i="21"/>
  <c r="I6706" i="21"/>
  <c r="I6708" i="21"/>
  <c r="I6710" i="21"/>
  <c r="I6712" i="21"/>
  <c r="I6714" i="21"/>
  <c r="I6716" i="21"/>
  <c r="I6718" i="21"/>
  <c r="I6729" i="21"/>
  <c r="I6731" i="21"/>
  <c r="I6733" i="21"/>
  <c r="I6735" i="21"/>
  <c r="I6737" i="21"/>
  <c r="I6739" i="21"/>
  <c r="I6741" i="21"/>
  <c r="I6745" i="21"/>
  <c r="I124" i="21"/>
  <c r="I163" i="21"/>
  <c r="I207" i="21"/>
  <c r="I206" i="21"/>
  <c r="I249" i="21"/>
  <c r="I248" i="21"/>
  <c r="I259" i="21"/>
  <c r="I258" i="21"/>
  <c r="I366" i="21"/>
  <c r="I367" i="21"/>
  <c r="I369" i="21"/>
  <c r="I410" i="21"/>
  <c r="I468" i="21"/>
  <c r="I469" i="21"/>
  <c r="I470" i="21"/>
  <c r="I471" i="21"/>
  <c r="I472" i="21"/>
  <c r="I473" i="21"/>
  <c r="I475" i="21"/>
  <c r="I474" i="21"/>
  <c r="I476" i="21"/>
  <c r="I477" i="21"/>
  <c r="I478" i="21"/>
  <c r="I479" i="21"/>
  <c r="I480" i="21"/>
  <c r="I481" i="21"/>
  <c r="I482" i="21"/>
  <c r="I483" i="21"/>
  <c r="I484" i="21"/>
  <c r="I485" i="21"/>
  <c r="I486" i="21"/>
  <c r="I562" i="21"/>
  <c r="I564" i="21"/>
  <c r="I563" i="21"/>
  <c r="I566" i="21"/>
  <c r="I565" i="21"/>
  <c r="I567" i="21"/>
  <c r="I568" i="21"/>
  <c r="I569" i="21"/>
  <c r="I570" i="21"/>
  <c r="I571" i="21"/>
  <c r="I572" i="21"/>
  <c r="I573" i="21"/>
  <c r="I575" i="21"/>
  <c r="I576" i="21"/>
  <c r="I574" i="21"/>
  <c r="I577" i="21"/>
  <c r="I578" i="21"/>
  <c r="I608" i="21"/>
  <c r="I609" i="21"/>
  <c r="I936" i="21"/>
  <c r="I935" i="21"/>
  <c r="I938" i="21"/>
  <c r="I937" i="21"/>
  <c r="I939" i="21"/>
  <c r="I940" i="21"/>
  <c r="I941" i="21"/>
  <c r="I942" i="21"/>
  <c r="I943" i="21"/>
  <c r="I944" i="21"/>
  <c r="I946" i="21"/>
  <c r="I945" i="21"/>
  <c r="I947" i="21"/>
  <c r="I948" i="21"/>
  <c r="I949" i="21"/>
  <c r="I950" i="21"/>
  <c r="I951" i="21"/>
  <c r="I952" i="21"/>
  <c r="I953" i="21"/>
  <c r="I954" i="21"/>
  <c r="I955" i="21"/>
  <c r="I956" i="21"/>
  <c r="I1162" i="21"/>
  <c r="I1203" i="21"/>
  <c r="I1204" i="21"/>
  <c r="I1205" i="21"/>
  <c r="I1206" i="21"/>
  <c r="I1207" i="21"/>
  <c r="I1208" i="21"/>
  <c r="I1209" i="21"/>
  <c r="I1210" i="21"/>
  <c r="I1389" i="21"/>
  <c r="I1390" i="21"/>
  <c r="I1391" i="21"/>
  <c r="I1392" i="21"/>
  <c r="I1393" i="21"/>
  <c r="I1605" i="21"/>
  <c r="I1606" i="21"/>
  <c r="I2081" i="21"/>
  <c r="I3586" i="21"/>
  <c r="I3587" i="21"/>
  <c r="I3612" i="21"/>
  <c r="I3613" i="21"/>
  <c r="I3622" i="21"/>
  <c r="I3623" i="21"/>
  <c r="I3624" i="21"/>
  <c r="I3625" i="21"/>
  <c r="I3633" i="21"/>
  <c r="I3657" i="21"/>
  <c r="I3678" i="21"/>
  <c r="I3679" i="21"/>
  <c r="I3937" i="21"/>
  <c r="I4965" i="21"/>
  <c r="I5157" i="21"/>
  <c r="I5463" i="21"/>
  <c r="I5464" i="21"/>
  <c r="I5465" i="21"/>
  <c r="I5466" i="21"/>
  <c r="I5467" i="21"/>
  <c r="I5468" i="21"/>
  <c r="I5469" i="21"/>
  <c r="I5491" i="21"/>
  <c r="I5492" i="21"/>
  <c r="I5493" i="21"/>
  <c r="I5494" i="21"/>
  <c r="I5495" i="21"/>
  <c r="I5496" i="21"/>
  <c r="I5516" i="21"/>
  <c r="I7" i="21"/>
  <c r="I662" i="21"/>
  <c r="I664" i="21"/>
  <c r="I671" i="21"/>
  <c r="I673" i="21"/>
  <c r="I704" i="21"/>
  <c r="I706" i="21"/>
  <c r="I727" i="21"/>
  <c r="I729" i="21"/>
  <c r="I735" i="21"/>
  <c r="I737" i="21"/>
  <c r="I1024" i="21"/>
  <c r="I1026" i="21"/>
  <c r="I1028" i="21"/>
  <c r="I1030" i="21"/>
  <c r="I1034" i="21"/>
  <c r="I1036" i="21"/>
  <c r="I1039" i="21"/>
  <c r="I1041" i="21"/>
  <c r="I1408" i="21"/>
  <c r="I1412" i="21"/>
  <c r="I1430" i="21"/>
  <c r="I1442" i="21"/>
  <c r="I1486" i="21"/>
  <c r="I1488" i="21"/>
  <c r="I1490" i="21"/>
  <c r="I1939" i="21"/>
  <c r="I1941" i="21"/>
  <c r="I1943" i="21"/>
  <c r="I2169" i="21"/>
  <c r="I2178" i="21"/>
  <c r="I2180" i="21"/>
  <c r="I2202" i="21"/>
  <c r="I2554" i="21"/>
  <c r="I2556" i="21"/>
  <c r="I2558" i="21"/>
  <c r="I2560" i="21"/>
  <c r="I2670" i="21"/>
  <c r="I2673" i="21"/>
  <c r="I2676" i="21"/>
  <c r="I2679" i="21"/>
  <c r="I2682" i="21"/>
  <c r="I2684" i="21"/>
  <c r="I2686" i="21"/>
  <c r="I2688" i="21"/>
  <c r="I2691" i="21"/>
  <c r="I3592" i="21"/>
  <c r="I4685" i="21"/>
  <c r="I4691" i="21"/>
  <c r="I5172" i="21"/>
  <c r="I5182" i="21"/>
  <c r="I5190" i="21"/>
  <c r="I5196" i="21"/>
  <c r="I5201" i="21"/>
  <c r="I5209" i="21"/>
  <c r="I5216" i="21"/>
  <c r="I5224" i="21"/>
  <c r="I5230" i="21"/>
  <c r="I5233" i="21"/>
  <c r="I5243" i="21"/>
  <c r="I5247" i="21"/>
  <c r="I5256" i="21"/>
  <c r="I5259" i="21"/>
  <c r="I5264" i="21"/>
  <c r="I5266" i="21"/>
  <c r="I5270" i="21"/>
  <c r="I5275" i="21"/>
  <c r="I5280" i="21"/>
  <c r="I5287" i="21"/>
  <c r="I5295" i="21"/>
  <c r="I5301" i="21"/>
  <c r="I5306" i="21"/>
  <c r="I5311" i="21"/>
  <c r="I5317" i="21"/>
  <c r="I5336" i="21"/>
  <c r="I5344" i="21"/>
  <c r="I5352" i="21"/>
  <c r="I5364" i="21"/>
  <c r="I5378" i="21"/>
  <c r="I5383" i="21"/>
  <c r="I5389" i="21"/>
  <c r="I5397" i="21"/>
  <c r="I5405" i="21"/>
  <c r="I5417" i="21"/>
  <c r="I5477" i="21"/>
  <c r="I6761" i="21"/>
  <c r="I404" i="21"/>
  <c r="I407" i="21"/>
  <c r="I408" i="21"/>
  <c r="I411" i="21"/>
  <c r="I412" i="21"/>
  <c r="I413" i="21"/>
  <c r="I414" i="21"/>
  <c r="I431" i="21"/>
  <c r="I1694" i="21"/>
  <c r="I1695" i="21"/>
  <c r="I1697" i="21"/>
  <c r="I1699" i="21"/>
  <c r="I1700" i="21"/>
  <c r="I1701" i="21"/>
  <c r="I1705" i="21"/>
  <c r="I1707" i="21"/>
  <c r="I1710" i="21"/>
  <c r="I1877" i="21"/>
  <c r="I1878" i="21"/>
  <c r="I1879" i="21"/>
  <c r="I1886" i="21"/>
  <c r="I2204" i="21"/>
  <c r="I2206" i="21"/>
  <c r="I2207" i="21"/>
  <c r="I2208" i="21"/>
  <c r="I2212" i="21"/>
  <c r="I2214" i="21"/>
  <c r="I2215" i="21"/>
  <c r="I2216" i="21"/>
  <c r="I2240" i="21"/>
  <c r="I2245" i="21"/>
  <c r="I2244" i="21"/>
  <c r="I2246" i="21"/>
  <c r="I2247" i="21"/>
  <c r="I2248" i="21"/>
  <c r="I2526" i="21"/>
  <c r="I2528" i="21"/>
  <c r="I2529" i="21"/>
  <c r="I2530" i="21"/>
  <c r="I2534" i="21"/>
  <c r="I2535" i="21"/>
  <c r="I2536" i="21"/>
  <c r="I2540" i="21"/>
  <c r="I2543" i="21"/>
  <c r="I2547" i="21"/>
  <c r="I2548" i="21"/>
  <c r="I2549" i="21"/>
  <c r="I2758" i="21"/>
  <c r="I2759" i="21"/>
  <c r="I2842" i="21"/>
  <c r="I2843" i="21"/>
  <c r="I2848" i="21"/>
  <c r="I2849" i="21"/>
  <c r="I2850" i="21"/>
  <c r="I2851" i="21"/>
  <c r="I2858" i="21"/>
  <c r="I2859" i="21"/>
  <c r="I2863" i="21"/>
  <c r="I2862" i="21"/>
  <c r="I2865" i="21"/>
  <c r="I2864" i="21"/>
  <c r="I2867" i="21"/>
  <c r="I2866" i="21"/>
  <c r="I2892" i="21"/>
  <c r="I2893" i="21"/>
  <c r="I2894" i="21"/>
  <c r="I2895" i="21"/>
  <c r="I2902" i="21"/>
  <c r="I2903" i="21"/>
  <c r="I2904" i="21"/>
  <c r="I2907" i="21"/>
  <c r="I2909" i="21"/>
  <c r="I2908" i="21"/>
  <c r="I2911" i="21"/>
  <c r="I2910" i="21"/>
  <c r="I2931" i="21"/>
  <c r="I2932" i="21"/>
  <c r="I2933" i="21"/>
  <c r="I2934" i="21"/>
  <c r="I2941" i="21"/>
  <c r="I2942" i="21"/>
  <c r="I2948" i="21"/>
  <c r="I2947" i="21"/>
  <c r="I2950" i="21"/>
  <c r="I2949" i="21"/>
  <c r="I2952" i="21"/>
  <c r="I2951" i="21"/>
  <c r="I2975" i="21"/>
  <c r="I2976" i="21"/>
  <c r="I2977" i="21"/>
  <c r="I2978" i="21"/>
  <c r="I2979" i="21"/>
  <c r="I2980" i="21"/>
  <c r="I2981" i="21"/>
  <c r="I2988" i="21"/>
  <c r="I2989" i="21"/>
  <c r="I2990" i="21"/>
  <c r="I2993" i="21"/>
  <c r="I2994" i="21"/>
  <c r="I2995" i="21"/>
  <c r="I3001" i="21"/>
  <c r="I3000" i="21"/>
  <c r="I3003" i="21"/>
  <c r="I3002" i="21"/>
  <c r="I3005" i="21"/>
  <c r="I3004" i="21"/>
  <c r="I3027" i="21"/>
  <c r="I3028" i="21"/>
  <c r="I3029" i="21"/>
  <c r="I3030" i="21"/>
  <c r="I3033" i="21"/>
  <c r="I3036" i="21"/>
  <c r="I3039" i="21"/>
  <c r="I3040" i="21"/>
  <c r="I3041" i="21"/>
  <c r="I3048" i="21"/>
  <c r="I3051" i="21"/>
  <c r="I3052" i="21"/>
  <c r="I3056" i="21"/>
  <c r="I3055" i="21"/>
  <c r="I3057" i="21"/>
  <c r="I3059" i="21"/>
  <c r="I3058" i="21"/>
  <c r="I3079" i="21"/>
  <c r="I3080" i="21"/>
  <c r="I3081" i="21"/>
  <c r="I3090" i="21"/>
  <c r="I3093" i="21"/>
  <c r="I3127" i="21"/>
  <c r="I3128" i="21"/>
  <c r="I3129" i="21"/>
  <c r="I3130" i="21"/>
  <c r="I3131" i="21"/>
  <c r="I3132" i="21"/>
  <c r="I3139" i="21"/>
  <c r="I3140" i="21"/>
  <c r="I3141" i="21"/>
  <c r="I3144" i="21"/>
  <c r="I3147" i="21"/>
  <c r="I3148" i="21"/>
  <c r="I3150" i="21"/>
  <c r="I3149" i="21"/>
  <c r="I3160" i="21"/>
  <c r="I3163" i="21"/>
  <c r="I3164" i="21"/>
  <c r="I3165" i="21"/>
  <c r="I3172" i="21"/>
  <c r="I3173" i="21"/>
  <c r="I3176" i="21"/>
  <c r="I3177" i="21"/>
  <c r="I3179" i="21"/>
  <c r="I3178" i="21"/>
  <c r="I3202" i="21"/>
  <c r="I3203" i="21"/>
  <c r="I3204" i="21"/>
  <c r="I3211" i="21"/>
  <c r="I3216" i="21"/>
  <c r="I3218" i="21"/>
  <c r="I3217" i="21"/>
  <c r="I3230" i="21"/>
  <c r="I3231" i="21"/>
  <c r="I3232" i="21"/>
  <c r="I3239" i="21"/>
  <c r="I3242" i="21"/>
  <c r="I3245" i="21"/>
  <c r="I3246" i="21"/>
  <c r="I3248" i="21"/>
  <c r="I3247" i="21"/>
  <c r="I3268" i="21"/>
  <c r="I3269" i="21"/>
  <c r="I3274" i="21"/>
  <c r="I3281" i="21"/>
  <c r="I3282" i="21"/>
  <c r="I3284" i="21"/>
  <c r="I3283" i="21"/>
  <c r="I3298" i="21"/>
  <c r="I3299" i="21"/>
  <c r="I3302" i="21"/>
  <c r="I3303" i="21"/>
  <c r="I3307" i="21"/>
  <c r="I3308" i="21"/>
  <c r="I3309" i="21"/>
  <c r="I3310" i="21"/>
  <c r="I3317" i="21"/>
  <c r="I3318" i="21"/>
  <c r="I3321" i="21"/>
  <c r="I3322" i="21"/>
  <c r="I3331" i="21"/>
  <c r="I3332" i="21"/>
  <c r="I3333" i="21"/>
  <c r="I3338" i="21"/>
  <c r="I3339" i="21"/>
  <c r="I3340" i="21"/>
  <c r="I3347" i="21"/>
  <c r="I3348" i="21"/>
  <c r="I3351" i="21"/>
  <c r="I3357" i="21"/>
  <c r="I3358" i="21"/>
  <c r="I3363" i="21"/>
  <c r="I3364" i="21"/>
  <c r="I3365" i="21"/>
  <c r="I3366" i="21"/>
  <c r="I3367" i="21"/>
  <c r="I3372" i="21"/>
  <c r="I3375" i="21"/>
  <c r="I3395" i="21"/>
  <c r="I3396" i="21"/>
  <c r="I3404" i="21"/>
  <c r="I3405" i="21"/>
  <c r="I3406" i="21"/>
  <c r="I3411" i="21"/>
  <c r="I3414" i="21"/>
  <c r="I3415" i="21"/>
  <c r="I3422" i="21"/>
  <c r="I3423" i="21"/>
  <c r="I3424" i="21"/>
  <c r="I3431" i="21"/>
  <c r="I3434" i="21"/>
  <c r="I3435" i="21"/>
  <c r="I3525" i="21"/>
  <c r="I3526" i="21"/>
  <c r="I3528" i="21"/>
  <c r="I3529" i="21"/>
  <c r="I3531" i="21"/>
  <c r="I3532" i="21"/>
  <c r="I3557" i="21"/>
  <c r="I3565" i="21"/>
  <c r="I3566" i="21"/>
  <c r="I3567" i="21"/>
  <c r="I3568" i="21"/>
  <c r="I3572" i="21"/>
  <c r="I3573" i="21"/>
  <c r="I3582" i="21"/>
  <c r="I3583" i="21"/>
  <c r="I3584" i="21"/>
  <c r="I3585" i="21"/>
  <c r="I3889" i="21"/>
  <c r="I3892" i="21"/>
  <c r="I3895" i="21"/>
  <c r="I3896" i="21"/>
  <c r="I3900" i="21"/>
  <c r="I3901" i="21"/>
  <c r="I3902" i="21"/>
  <c r="I3908" i="21"/>
  <c r="I3915" i="21"/>
  <c r="I3918" i="21"/>
  <c r="I3919" i="21"/>
  <c r="I3920" i="21"/>
  <c r="I3926" i="21"/>
  <c r="I3935" i="21"/>
  <c r="I3938" i="21"/>
  <c r="I3939" i="21"/>
  <c r="I3940" i="21"/>
  <c r="I3941" i="21"/>
  <c r="I3942" i="21"/>
  <c r="I3943" i="21"/>
  <c r="I3944" i="21"/>
  <c r="I3948" i="21"/>
  <c r="I3950" i="21"/>
  <c r="I3952" i="21"/>
  <c r="I3953" i="21"/>
  <c r="I3956" i="21"/>
  <c r="I3957" i="21"/>
  <c r="I3958" i="21"/>
  <c r="I3959" i="21"/>
  <c r="I3960" i="21"/>
  <c r="I3961" i="21"/>
  <c r="I3963" i="21"/>
  <c r="I3964" i="21"/>
  <c r="I3965" i="21"/>
  <c r="I3966" i="21"/>
  <c r="I3968" i="21"/>
  <c r="I3970" i="21"/>
  <c r="I3971" i="21"/>
  <c r="I3972" i="21"/>
  <c r="I3973" i="21"/>
  <c r="I3974" i="21"/>
  <c r="I3975" i="21"/>
  <c r="I3976" i="21"/>
  <c r="I3982" i="21"/>
  <c r="I3983" i="21"/>
  <c r="I4016" i="21"/>
  <c r="I4018" i="21"/>
  <c r="I4019" i="21"/>
  <c r="I4020" i="21"/>
  <c r="I4021" i="21"/>
  <c r="I4022" i="21"/>
  <c r="I4023" i="21"/>
  <c r="I4028" i="21"/>
  <c r="I4029" i="21"/>
  <c r="I4031" i="21"/>
  <c r="I4034" i="21"/>
  <c r="I4035" i="21"/>
  <c r="I4037" i="21"/>
  <c r="I4039" i="21"/>
  <c r="I4041" i="21"/>
  <c r="I4042" i="21"/>
  <c r="I4043" i="21"/>
  <c r="I4044" i="21"/>
  <c r="I4045" i="21"/>
  <c r="I4048" i="21"/>
  <c r="I4049" i="21"/>
  <c r="I4050" i="21"/>
  <c r="I4051" i="21"/>
  <c r="I4052" i="21"/>
  <c r="I4053" i="21"/>
  <c r="I4054" i="21"/>
  <c r="I4059" i="21"/>
  <c r="I4063" i="21"/>
  <c r="I4064" i="21"/>
  <c r="I4065" i="21"/>
  <c r="I4066" i="21"/>
  <c r="I4067" i="21"/>
  <c r="I4068" i="21"/>
  <c r="I4069" i="21"/>
  <c r="I4070" i="21"/>
  <c r="I4077" i="21"/>
  <c r="I4078" i="21"/>
  <c r="I4080" i="21"/>
  <c r="I4137" i="21"/>
  <c r="I4138" i="21"/>
  <c r="I4139" i="21"/>
  <c r="I4140" i="21"/>
  <c r="I4141" i="21"/>
  <c r="I4142" i="21"/>
  <c r="I4143" i="21"/>
  <c r="I4144" i="21"/>
  <c r="I4145" i="21"/>
  <c r="I4149" i="21"/>
  <c r="I4150" i="21"/>
  <c r="I4153" i="21"/>
  <c r="I4154" i="21"/>
  <c r="I4155" i="21"/>
  <c r="I4156" i="21"/>
  <c r="I4157" i="21"/>
  <c r="I4158" i="21"/>
  <c r="I4159" i="21"/>
  <c r="I4160" i="21"/>
  <c r="I4161" i="21"/>
  <c r="I4162" i="21"/>
  <c r="I4164" i="21"/>
  <c r="I4170" i="21"/>
  <c r="I4171" i="21"/>
  <c r="I4172" i="21"/>
  <c r="I4173" i="21"/>
  <c r="I4174" i="21"/>
  <c r="I4175" i="21"/>
  <c r="I4176" i="21"/>
  <c r="I4177" i="21"/>
  <c r="I4178" i="21"/>
  <c r="I4179" i="21"/>
  <c r="I4180" i="21"/>
  <c r="I4181" i="21"/>
  <c r="I4186" i="21"/>
  <c r="I4187" i="21"/>
  <c r="I4188" i="21"/>
  <c r="I4323" i="21"/>
  <c r="I4324" i="21"/>
  <c r="I4325" i="21"/>
  <c r="I4326" i="21"/>
  <c r="I4327" i="21"/>
  <c r="I4328" i="21"/>
  <c r="I4329" i="21"/>
  <c r="I4335" i="21"/>
  <c r="I4336" i="21"/>
  <c r="I4337" i="21"/>
  <c r="I4338" i="21"/>
  <c r="I4339" i="21"/>
  <c r="I4340" i="21"/>
  <c r="I4418" i="21"/>
  <c r="I4426" i="21"/>
  <c r="I4428" i="21"/>
  <c r="I4430" i="21"/>
  <c r="I4433" i="21"/>
  <c r="I4434" i="21"/>
  <c r="I4438" i="21"/>
  <c r="I4439" i="21"/>
  <c r="I4523" i="21"/>
  <c r="I4526" i="21"/>
  <c r="I4539" i="21"/>
  <c r="I4540" i="21"/>
  <c r="I4541" i="21"/>
  <c r="I4544" i="21"/>
  <c r="I4545" i="21"/>
  <c r="I4546" i="21"/>
  <c r="I4547" i="21"/>
  <c r="I4548" i="21"/>
  <c r="I4549" i="21"/>
  <c r="I4550" i="21"/>
  <c r="I4554" i="21"/>
  <c r="I4555" i="21"/>
  <c r="I4557" i="21"/>
  <c r="I4559" i="21"/>
  <c r="I4560" i="21"/>
  <c r="I4561" i="21"/>
  <c r="I4562" i="21"/>
  <c r="I4565" i="21"/>
  <c r="I4566" i="21"/>
  <c r="I4570" i="21"/>
  <c r="I4571" i="21"/>
  <c r="I4572" i="21"/>
  <c r="I4573" i="21"/>
  <c r="I4574" i="21"/>
  <c r="I4576" i="21"/>
  <c r="I4577" i="21"/>
  <c r="I4578" i="21"/>
  <c r="I4579" i="21"/>
  <c r="I4580" i="21"/>
  <c r="I4583" i="21"/>
  <c r="I4584" i="21"/>
  <c r="I4585" i="21"/>
  <c r="I4586" i="21"/>
  <c r="I4587" i="21"/>
  <c r="I4591" i="21"/>
  <c r="I4592" i="21"/>
  <c r="I4593" i="21"/>
  <c r="I4594" i="21"/>
  <c r="I4595" i="21"/>
  <c r="I4596" i="21"/>
  <c r="I4600" i="21"/>
  <c r="I4601" i="21"/>
  <c r="I4603" i="21"/>
  <c r="I4607" i="21"/>
  <c r="I4609" i="21"/>
  <c r="I4610" i="21"/>
  <c r="I4611" i="21"/>
  <c r="I4612" i="21"/>
  <c r="I4613" i="21"/>
  <c r="I4614" i="21"/>
  <c r="I4615" i="21"/>
  <c r="I4619" i="21"/>
  <c r="I4620" i="21"/>
  <c r="I4621" i="21"/>
  <c r="I4622" i="21"/>
  <c r="I4625" i="21"/>
  <c r="I4626" i="21"/>
  <c r="I4639" i="21"/>
  <c r="I4640" i="21"/>
  <c r="I4642" i="21"/>
  <c r="I4651" i="21"/>
  <c r="I4659" i="21"/>
  <c r="I4671" i="21"/>
  <c r="I4954" i="21"/>
  <c r="I4957" i="21"/>
  <c r="I4958" i="21"/>
  <c r="I4960" i="21"/>
  <c r="I4961" i="21"/>
  <c r="I4985" i="21"/>
  <c r="I5163" i="21"/>
  <c r="I5497" i="21"/>
  <c r="I5499" i="21"/>
  <c r="I5500" i="21"/>
  <c r="I5502" i="21"/>
  <c r="I5503" i="21"/>
  <c r="I5505" i="21"/>
  <c r="I5506" i="21"/>
  <c r="I5508" i="21"/>
  <c r="I5520" i="21"/>
  <c r="I406" i="21"/>
  <c r="I409" i="21"/>
  <c r="I1696" i="21"/>
  <c r="I1698" i="21"/>
  <c r="I1702" i="21"/>
  <c r="I1703" i="21"/>
  <c r="I1704" i="21"/>
  <c r="I1706" i="21"/>
  <c r="I1708" i="21"/>
  <c r="I1709" i="21"/>
  <c r="I1711" i="21"/>
  <c r="I1881" i="21"/>
  <c r="I1883" i="21"/>
  <c r="I1885" i="21"/>
  <c r="I1888" i="21"/>
  <c r="I1890" i="21"/>
  <c r="I2205" i="21"/>
  <c r="I2209" i="21"/>
  <c r="I2210" i="21"/>
  <c r="I2211" i="21"/>
  <c r="I2213" i="21"/>
  <c r="I2217" i="21"/>
  <c r="I2218" i="21"/>
  <c r="I2241" i="21"/>
  <c r="I2242" i="21"/>
  <c r="I2249" i="21"/>
  <c r="I2527" i="21"/>
  <c r="I2531" i="21"/>
  <c r="I2532" i="21"/>
  <c r="I2533" i="21"/>
  <c r="I2537" i="21"/>
  <c r="I2538" i="21"/>
  <c r="I2539" i="21"/>
  <c r="I2541" i="21"/>
  <c r="I2542" i="21"/>
  <c r="I2544" i="21"/>
  <c r="I2545" i="21"/>
  <c r="I2546" i="21"/>
  <c r="I2550" i="21"/>
  <c r="I2551" i="21"/>
  <c r="I2552" i="21"/>
  <c r="I2844" i="21"/>
  <c r="I2845" i="21"/>
  <c r="I2852" i="21"/>
  <c r="I2854" i="21"/>
  <c r="I2856" i="21"/>
  <c r="I2860" i="21"/>
  <c r="I2868" i="21"/>
  <c r="I2870" i="21"/>
  <c r="I2872" i="21"/>
  <c r="I2896" i="21"/>
  <c r="I2898" i="21"/>
  <c r="I2900" i="21"/>
  <c r="I2905" i="21"/>
  <c r="I2912" i="21"/>
  <c r="I2916" i="21"/>
  <c r="I2935" i="21"/>
  <c r="I2937" i="21"/>
  <c r="I2939" i="21"/>
  <c r="I2943" i="21"/>
  <c r="I2945" i="21"/>
  <c r="I2953" i="21"/>
  <c r="I2955" i="21"/>
  <c r="I2957" i="21"/>
  <c r="I2982" i="21"/>
  <c r="I2984" i="21"/>
  <c r="I2986" i="21"/>
  <c r="I2991" i="21"/>
  <c r="I2996" i="21"/>
  <c r="I2998" i="21"/>
  <c r="I3006" i="21"/>
  <c r="I3008" i="21"/>
  <c r="I3010" i="21"/>
  <c r="I3034" i="21"/>
  <c r="I3037" i="21"/>
  <c r="I3042" i="21"/>
  <c r="I3044" i="21"/>
  <c r="I3046" i="21"/>
  <c r="I3049" i="21"/>
  <c r="I3053" i="21"/>
  <c r="I3060" i="21"/>
  <c r="I3062" i="21"/>
  <c r="I3064" i="21"/>
  <c r="I3082" i="21"/>
  <c r="I3084" i="21"/>
  <c r="I3086" i="21"/>
  <c r="I3088" i="21"/>
  <c r="I3091" i="21"/>
  <c r="I3094" i="21"/>
  <c r="I3096" i="21"/>
  <c r="I3133" i="21"/>
  <c r="I3135" i="21"/>
  <c r="I3137" i="21"/>
  <c r="I3142" i="21"/>
  <c r="I3145" i="21"/>
  <c r="I3151" i="21"/>
  <c r="I3153" i="21"/>
  <c r="I3155" i="21"/>
  <c r="I3161" i="21"/>
  <c r="I3166" i="21"/>
  <c r="I3168" i="21"/>
  <c r="I3170" i="21"/>
  <c r="I3174" i="21"/>
  <c r="I3180" i="21"/>
  <c r="I3182" i="21"/>
  <c r="I3205" i="21"/>
  <c r="I3207" i="21"/>
  <c r="I3209" i="21"/>
  <c r="I3213" i="21"/>
  <c r="I3215" i="21"/>
  <c r="I3212" i="21"/>
  <c r="I3219" i="21"/>
  <c r="I3221" i="21"/>
  <c r="I3223" i="21"/>
  <c r="I3224" i="21"/>
  <c r="I3228" i="21"/>
  <c r="I3233" i="21"/>
  <c r="I3235" i="21"/>
  <c r="I3237" i="21"/>
  <c r="I3240" i="21"/>
  <c r="I3243" i="21"/>
  <c r="I3249" i="21"/>
  <c r="I3251" i="21"/>
  <c r="I3253" i="21"/>
  <c r="I3270" i="21"/>
  <c r="I3272" i="21"/>
  <c r="I3275" i="21"/>
  <c r="I3277" i="21"/>
  <c r="I3279" i="21"/>
  <c r="I3285" i="21"/>
  <c r="I3287" i="21"/>
  <c r="I3294" i="21"/>
  <c r="I3300" i="21"/>
  <c r="I3304" i="21"/>
  <c r="I3311" i="21"/>
  <c r="I3313" i="21"/>
  <c r="I3315" i="21"/>
  <c r="I3319" i="21"/>
  <c r="I3323" i="21"/>
  <c r="I3325" i="21"/>
  <c r="I3327" i="21"/>
  <c r="I3334" i="21"/>
  <c r="I3336" i="21"/>
  <c r="I3341" i="21"/>
  <c r="I3343" i="21"/>
  <c r="I3345" i="21"/>
  <c r="I3349" i="21"/>
  <c r="I3352" i="21"/>
  <c r="I3359" i="21"/>
  <c r="I3361" i="21"/>
  <c r="I3368" i="21"/>
  <c r="I3370" i="21"/>
  <c r="I3373" i="21"/>
  <c r="I3407" i="21"/>
  <c r="I3409" i="21"/>
  <c r="I3412" i="21"/>
  <c r="I3416" i="21"/>
  <c r="I3418" i="21"/>
  <c r="I3420" i="21"/>
  <c r="I3425" i="21"/>
  <c r="I3427" i="21"/>
  <c r="I3429" i="21"/>
  <c r="I3432" i="21"/>
  <c r="I3436" i="21"/>
  <c r="I3527" i="21"/>
  <c r="I3530" i="21"/>
  <c r="I3569" i="21"/>
  <c r="I3570" i="21"/>
  <c r="I3571" i="21"/>
  <c r="I3574" i="21"/>
  <c r="I3575" i="21"/>
  <c r="I3897" i="21"/>
  <c r="I3898" i="21"/>
  <c r="I3899" i="21"/>
  <c r="I3909" i="21"/>
  <c r="I3910" i="21"/>
  <c r="I3911" i="21"/>
  <c r="I3913" i="21"/>
  <c r="I3916" i="21"/>
  <c r="I3921" i="21"/>
  <c r="I3922" i="21"/>
  <c r="I3923" i="21"/>
  <c r="I3924" i="21"/>
  <c r="I3925" i="21"/>
  <c r="I3927" i="21"/>
  <c r="I3928" i="21"/>
  <c r="I3929" i="21"/>
  <c r="I3936" i="21"/>
  <c r="I3945" i="21"/>
  <c r="I3946" i="21"/>
  <c r="I3947" i="21"/>
  <c r="I3949" i="21"/>
  <c r="I3951" i="21"/>
  <c r="I3954" i="21"/>
  <c r="I3955" i="21"/>
  <c r="I3962" i="21"/>
  <c r="I3967" i="21"/>
  <c r="I3969" i="21"/>
  <c r="I3977" i="21"/>
  <c r="I3978" i="21"/>
  <c r="I3979" i="21"/>
  <c r="I3980" i="21"/>
  <c r="I3981" i="21"/>
  <c r="I4015" i="21"/>
  <c r="I4017" i="21"/>
  <c r="I4024" i="21"/>
  <c r="I4025" i="21"/>
  <c r="I4026" i="21"/>
  <c r="I4027" i="21"/>
  <c r="I4030" i="21"/>
  <c r="I4032" i="21"/>
  <c r="I4033" i="21"/>
  <c r="I4036" i="21"/>
  <c r="I4038" i="21"/>
  <c r="I4040" i="21"/>
  <c r="I4046" i="21"/>
  <c r="I4047" i="21"/>
  <c r="I4055" i="21"/>
  <c r="I4056" i="21"/>
  <c r="I4057" i="21"/>
  <c r="I4058" i="21"/>
  <c r="I4060" i="21"/>
  <c r="I4061" i="21"/>
  <c r="I4062" i="21"/>
  <c r="I4071" i="21"/>
  <c r="I4072" i="21"/>
  <c r="I4073" i="21"/>
  <c r="I4074" i="21"/>
  <c r="I4075" i="21"/>
  <c r="I4076" i="21"/>
  <c r="I4079" i="21"/>
  <c r="I4146" i="21"/>
  <c r="I4147" i="21"/>
  <c r="I4148" i="21"/>
  <c r="I4151" i="21"/>
  <c r="I4152" i="21"/>
  <c r="I4163" i="21"/>
  <c r="I4165" i="21"/>
  <c r="I4166" i="21"/>
  <c r="I4167" i="21"/>
  <c r="I4168" i="21"/>
  <c r="I4169" i="21"/>
  <c r="I4182" i="21"/>
  <c r="I4183" i="21"/>
  <c r="I4184" i="21"/>
  <c r="I4185" i="21"/>
  <c r="I4330" i="21"/>
  <c r="I4331" i="21"/>
  <c r="I4332" i="21"/>
  <c r="I4333" i="21"/>
  <c r="I4334" i="21"/>
  <c r="I4419" i="21"/>
  <c r="I4420" i="21"/>
  <c r="I4424" i="21"/>
  <c r="I4427" i="21"/>
  <c r="I4429" i="21"/>
  <c r="I4435" i="21"/>
  <c r="I4512" i="21"/>
  <c r="I4514" i="21"/>
  <c r="I4516" i="21"/>
  <c r="I4524" i="21"/>
  <c r="I4527" i="21"/>
  <c r="I4538" i="21"/>
  <c r="I4542" i="21"/>
  <c r="I4543" i="21"/>
  <c r="I4551" i="21"/>
  <c r="I4552" i="21"/>
  <c r="I4553" i="21"/>
  <c r="I4556" i="21"/>
  <c r="I4558" i="21"/>
  <c r="I4563" i="21"/>
  <c r="I4564" i="21"/>
  <c r="I4575" i="21"/>
  <c r="I4581" i="21"/>
  <c r="I4582" i="21"/>
  <c r="I4588" i="21"/>
  <c r="I4589" i="21"/>
  <c r="I4590" i="21"/>
  <c r="I4597" i="21"/>
  <c r="I4598" i="21"/>
  <c r="I4599" i="21"/>
  <c r="I4602" i="21"/>
  <c r="I4604" i="21"/>
  <c r="I4605" i="21"/>
  <c r="I4606" i="21"/>
  <c r="I4608" i="21"/>
  <c r="I4616" i="21"/>
  <c r="I4617" i="21"/>
  <c r="I4618" i="21"/>
  <c r="I4623" i="21"/>
  <c r="I4624" i="21"/>
  <c r="I4641" i="21"/>
  <c r="I4643" i="21"/>
  <c r="I4955" i="21"/>
  <c r="I4956" i="21"/>
  <c r="I4959" i="21"/>
  <c r="I4962" i="21"/>
  <c r="I4986" i="21"/>
  <c r="I5001" i="21"/>
  <c r="I5498" i="21"/>
  <c r="I5501" i="21"/>
  <c r="I5504" i="21"/>
  <c r="I5507" i="21"/>
  <c r="I5509" i="21"/>
  <c r="I5510" i="21"/>
  <c r="I2776" i="21"/>
  <c r="I3914" i="21"/>
  <c r="I3917" i="21"/>
  <c r="I3984" i="21"/>
  <c r="I3985" i="21"/>
  <c r="I3986" i="21"/>
  <c r="I3987" i="21"/>
  <c r="I3988" i="21"/>
  <c r="I3989" i="21"/>
  <c r="I3990" i="21"/>
  <c r="I3991" i="21"/>
  <c r="I3992" i="21"/>
  <c r="I3993" i="21"/>
  <c r="I3994" i="21"/>
  <c r="I3995" i="21"/>
  <c r="I3996" i="21"/>
  <c r="I3997" i="21"/>
  <c r="I3998" i="21"/>
  <c r="I3999" i="21"/>
  <c r="I4000" i="21"/>
  <c r="I4001" i="21"/>
  <c r="I4002" i="21"/>
  <c r="I4003" i="21"/>
  <c r="I4004" i="21"/>
  <c r="I4005" i="21"/>
  <c r="I4006" i="21"/>
  <c r="I4007" i="21"/>
  <c r="I4008" i="21"/>
  <c r="I4009" i="21"/>
  <c r="I4010" i="21"/>
  <c r="I4011" i="21"/>
  <c r="I4012" i="21"/>
  <c r="I4013" i="21"/>
  <c r="I4014" i="21"/>
  <c r="I4081" i="21"/>
  <c r="I4082" i="21"/>
  <c r="I4083" i="21"/>
  <c r="I4084" i="21"/>
  <c r="I4085" i="21"/>
  <c r="I4086" i="21"/>
  <c r="I4087" i="21"/>
  <c r="I4088" i="21"/>
  <c r="I4089" i="21"/>
  <c r="I4090" i="21"/>
  <c r="I4091" i="21"/>
  <c r="I4092" i="21"/>
  <c r="I4093" i="21"/>
  <c r="I4094" i="21"/>
  <c r="I4095" i="21"/>
  <c r="I4096" i="21"/>
  <c r="I4097" i="21"/>
  <c r="I4098" i="21"/>
  <c r="I4099" i="21"/>
  <c r="I4100" i="21"/>
  <c r="I4101" i="21"/>
  <c r="I4102" i="21"/>
  <c r="I4103" i="21"/>
  <c r="I4104" i="21"/>
  <c r="I4105" i="21"/>
  <c r="I4106" i="21"/>
  <c r="I4107" i="21"/>
  <c r="I4108" i="21"/>
  <c r="I4109" i="21"/>
  <c r="I4110" i="21"/>
  <c r="I4111" i="21"/>
  <c r="I4112" i="21"/>
  <c r="I4113" i="21"/>
  <c r="I4114" i="21"/>
  <c r="I4115" i="21"/>
  <c r="I4116" i="21"/>
  <c r="I4117" i="21"/>
  <c r="I4118" i="21"/>
  <c r="I4119" i="21"/>
  <c r="I4135" i="21"/>
  <c r="I4136" i="21"/>
  <c r="I4189" i="21"/>
  <c r="I4190" i="21"/>
  <c r="I4191" i="21"/>
  <c r="I4192" i="21"/>
  <c r="I4193" i="21"/>
  <c r="I4194" i="21"/>
  <c r="I4195" i="21"/>
  <c r="I4196" i="21"/>
  <c r="I4197" i="21"/>
  <c r="I4198" i="21"/>
  <c r="I4199" i="21"/>
  <c r="I4200" i="21"/>
  <c r="I4201" i="21"/>
  <c r="I4202" i="21"/>
  <c r="I4203" i="21"/>
  <c r="I4204" i="21"/>
  <c r="I4205" i="21"/>
  <c r="I4206" i="21"/>
  <c r="I4207" i="21"/>
  <c r="I4208" i="21"/>
  <c r="I4209" i="21"/>
  <c r="I4210" i="21"/>
  <c r="I4211" i="21"/>
  <c r="I4212" i="21"/>
  <c r="I4213" i="21"/>
  <c r="I4214" i="21"/>
  <c r="I4215" i="21"/>
  <c r="I4216" i="21"/>
  <c r="I4217" i="21"/>
  <c r="I4218" i="21"/>
  <c r="I4219" i="21"/>
  <c r="I4220" i="21"/>
  <c r="I4221" i="21"/>
  <c r="I4222" i="21"/>
  <c r="I4223" i="21"/>
  <c r="I4224" i="21"/>
  <c r="I4225" i="21"/>
  <c r="I4226" i="21"/>
  <c r="I4227" i="21"/>
  <c r="I4228" i="21"/>
  <c r="I4229" i="21"/>
  <c r="I4230" i="21"/>
  <c r="I4231" i="21"/>
  <c r="I4232" i="21"/>
  <c r="I4233" i="21"/>
  <c r="I4234" i="21"/>
  <c r="I4235" i="21"/>
  <c r="I4236" i="21"/>
  <c r="I4237" i="21"/>
  <c r="I4238" i="21"/>
  <c r="I4239" i="21"/>
  <c r="I4240" i="21"/>
  <c r="I4241" i="21"/>
  <c r="I4242" i="21"/>
  <c r="I4243" i="21"/>
  <c r="I4244" i="21"/>
  <c r="I4245" i="21"/>
  <c r="I4246" i="21"/>
  <c r="I4247" i="21"/>
  <c r="I4248" i="21"/>
  <c r="I4249" i="21"/>
  <c r="I4510" i="21"/>
  <c r="I4525" i="21"/>
  <c r="I4528" i="21"/>
  <c r="I4529" i="21"/>
  <c r="I4530" i="21"/>
  <c r="I4531" i="21"/>
  <c r="I4631" i="21"/>
  <c r="I4632" i="21"/>
  <c r="I4633" i="21"/>
  <c r="I4963" i="21"/>
  <c r="I4964" i="21"/>
  <c r="I5082" i="21"/>
  <c r="I5083" i="21"/>
  <c r="I5084" i="21"/>
  <c r="I5085" i="21"/>
  <c r="I5086" i="21"/>
  <c r="I5087" i="21"/>
  <c r="I5088" i="21"/>
  <c r="I5089" i="21"/>
  <c r="I5151" i="21"/>
  <c r="I5152" i="21"/>
  <c r="I5153" i="21"/>
  <c r="I5154" i="21"/>
  <c r="I5155" i="21"/>
  <c r="I5156" i="21"/>
  <c r="I5513" i="21"/>
  <c r="I5514" i="21"/>
  <c r="I5515" i="21"/>
  <c r="I2" i="21"/>
  <c r="I3" i="21"/>
  <c r="I4" i="21"/>
  <c r="I5" i="21"/>
  <c r="I6" i="21"/>
  <c r="I41" i="21"/>
  <c r="I46" i="21"/>
  <c r="I47" i="21"/>
  <c r="I48" i="21"/>
  <c r="I49" i="21"/>
  <c r="I50" i="21"/>
  <c r="I51" i="21"/>
  <c r="I52" i="21"/>
  <c r="I53" i="21"/>
  <c r="I102" i="21"/>
  <c r="I103" i="21"/>
  <c r="I105" i="21"/>
  <c r="I104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25" i="21"/>
  <c r="I126" i="21"/>
  <c r="I127" i="21"/>
  <c r="I128" i="21"/>
  <c r="I129" i="21"/>
  <c r="I130" i="21"/>
  <c r="I131" i="21"/>
  <c r="I132" i="21"/>
  <c r="I133" i="21"/>
  <c r="I134" i="21"/>
  <c r="I135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2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8" i="21"/>
  <c r="I179" i="21"/>
  <c r="I180" i="21"/>
  <c r="I181" i="21"/>
  <c r="I183" i="21"/>
  <c r="I182" i="21"/>
  <c r="I184" i="21"/>
  <c r="I185" i="21"/>
  <c r="I186" i="21"/>
  <c r="I187" i="21"/>
  <c r="I189" i="21"/>
  <c r="I188" i="21"/>
  <c r="I190" i="21"/>
  <c r="I191" i="21"/>
  <c r="I192" i="21"/>
  <c r="I193" i="21"/>
  <c r="I194" i="21"/>
  <c r="I195" i="21"/>
  <c r="I196" i="21"/>
  <c r="I197" i="21"/>
  <c r="I201" i="21"/>
  <c r="I202" i="21"/>
  <c r="I203" i="21"/>
  <c r="I214" i="21"/>
  <c r="I215" i="21"/>
  <c r="I216" i="21"/>
  <c r="I217" i="21"/>
  <c r="I218" i="21"/>
  <c r="I219" i="21"/>
  <c r="I220" i="21"/>
  <c r="I221" i="21"/>
  <c r="I222" i="21"/>
  <c r="I223" i="21"/>
  <c r="I224" i="21"/>
  <c r="I225" i="21"/>
  <c r="I226" i="21"/>
  <c r="I228" i="21"/>
  <c r="I229" i="21"/>
  <c r="I227" i="21"/>
  <c r="I231" i="21"/>
  <c r="I230" i="21"/>
  <c r="I233" i="21"/>
  <c r="I232" i="21"/>
  <c r="I234" i="21"/>
  <c r="I235" i="21"/>
  <c r="I236" i="21"/>
  <c r="I238" i="21"/>
  <c r="I239" i="21"/>
  <c r="I237" i="21"/>
  <c r="I241" i="21"/>
  <c r="I240" i="21"/>
  <c r="I242" i="21"/>
  <c r="I243" i="21"/>
  <c r="I244" i="21"/>
  <c r="I245" i="21"/>
  <c r="I246" i="21"/>
  <c r="I247" i="21"/>
  <c r="I250" i="21"/>
  <c r="I251" i="21"/>
  <c r="I252" i="21"/>
  <c r="I255" i="21"/>
  <c r="I265" i="21"/>
  <c r="I266" i="21"/>
  <c r="I267" i="21"/>
  <c r="I268" i="21"/>
  <c r="I269" i="21"/>
  <c r="I270" i="21"/>
  <c r="I271" i="21"/>
  <c r="I272" i="21"/>
  <c r="I273" i="21"/>
  <c r="I274" i="21"/>
  <c r="I275" i="21"/>
  <c r="I276" i="21"/>
  <c r="I278" i="21"/>
  <c r="I279" i="21"/>
  <c r="I277" i="21"/>
  <c r="I280" i="21"/>
  <c r="I282" i="21"/>
  <c r="I281" i="21"/>
  <c r="I283" i="21"/>
  <c r="I284" i="21"/>
  <c r="I286" i="21"/>
  <c r="I287" i="21"/>
  <c r="I285" i="21"/>
  <c r="I288" i="21"/>
  <c r="I289" i="21"/>
  <c r="I291" i="21"/>
  <c r="I292" i="21"/>
  <c r="I293" i="21"/>
  <c r="I294" i="21"/>
  <c r="I610" i="21"/>
  <c r="I611" i="21"/>
  <c r="I651" i="21"/>
  <c r="I652" i="21"/>
  <c r="I653" i="21"/>
  <c r="I654" i="21"/>
  <c r="I655" i="21"/>
  <c r="I656" i="21"/>
  <c r="I657" i="21"/>
  <c r="I658" i="21"/>
  <c r="I659" i="21"/>
  <c r="I660" i="21"/>
  <c r="I661" i="21"/>
  <c r="I756" i="21"/>
  <c r="I757" i="21"/>
  <c r="I758" i="21"/>
  <c r="I759" i="21"/>
  <c r="I760" i="21"/>
  <c r="I761" i="21"/>
  <c r="I762" i="21"/>
  <c r="I763" i="21"/>
  <c r="I765" i="21"/>
  <c r="I764" i="21"/>
  <c r="I766" i="21"/>
  <c r="I767" i="21"/>
  <c r="I768" i="21"/>
  <c r="I769" i="21"/>
  <c r="I770" i="21"/>
  <c r="I771" i="21"/>
  <c r="I772" i="21"/>
  <c r="I773" i="21"/>
  <c r="I774" i="21"/>
  <c r="I775" i="21"/>
  <c r="I776" i="21"/>
  <c r="I777" i="21"/>
  <c r="I778" i="21"/>
  <c r="I780" i="21"/>
  <c r="I779" i="21"/>
  <c r="I781" i="21"/>
  <c r="I782" i="21"/>
  <c r="I783" i="21"/>
  <c r="I784" i="21"/>
  <c r="I785" i="21"/>
  <c r="I786" i="21"/>
  <c r="I787" i="21"/>
  <c r="I788" i="21"/>
  <c r="I789" i="21"/>
  <c r="I790" i="21"/>
  <c r="I791" i="21"/>
  <c r="I792" i="21"/>
  <c r="I793" i="21"/>
  <c r="I795" i="21"/>
  <c r="I794" i="21"/>
  <c r="I797" i="21"/>
  <c r="I796" i="21"/>
  <c r="I798" i="21"/>
  <c r="I799" i="21"/>
  <c r="I800" i="21"/>
  <c r="I801" i="21"/>
  <c r="I802" i="21"/>
  <c r="I803" i="21"/>
  <c r="I804" i="21"/>
  <c r="I805" i="21"/>
  <c r="I806" i="21"/>
  <c r="I807" i="21"/>
  <c r="I808" i="21"/>
  <c r="I810" i="21"/>
  <c r="I809" i="21"/>
  <c r="I811" i="21"/>
  <c r="I812" i="21"/>
  <c r="I813" i="21"/>
  <c r="I814" i="21"/>
  <c r="I815" i="21"/>
  <c r="I816" i="21"/>
  <c r="I817" i="21"/>
  <c r="I818" i="21"/>
  <c r="I820" i="21"/>
  <c r="I819" i="21"/>
  <c r="I821" i="21"/>
  <c r="I822" i="21"/>
  <c r="I824" i="21"/>
  <c r="I823" i="21"/>
  <c r="I825" i="21"/>
  <c r="I827" i="21"/>
  <c r="I826" i="21"/>
  <c r="I828" i="21"/>
  <c r="I829" i="21"/>
  <c r="I830" i="21"/>
  <c r="I831" i="21"/>
  <c r="I832" i="21"/>
  <c r="I833" i="21"/>
  <c r="I834" i="21"/>
  <c r="I835" i="21"/>
  <c r="I836" i="21"/>
  <c r="I837" i="21"/>
  <c r="I838" i="21"/>
  <c r="I839" i="21"/>
  <c r="I840" i="21"/>
  <c r="I841" i="21"/>
  <c r="I842" i="21"/>
  <c r="I843" i="21"/>
  <c r="I844" i="21"/>
  <c r="I845" i="21"/>
  <c r="I846" i="21"/>
  <c r="I847" i="21"/>
  <c r="I848" i="21"/>
  <c r="I849" i="21"/>
  <c r="I850" i="21"/>
  <c r="I852" i="21"/>
  <c r="I851" i="21"/>
  <c r="I853" i="21"/>
  <c r="I854" i="21"/>
  <c r="I855" i="21"/>
  <c r="I856" i="21"/>
  <c r="I857" i="21"/>
  <c r="I858" i="21"/>
  <c r="I859" i="21"/>
  <c r="I860" i="21"/>
  <c r="I861" i="21"/>
  <c r="I863" i="21"/>
  <c r="I862" i="21"/>
  <c r="I865" i="21"/>
  <c r="I864" i="21"/>
  <c r="I867" i="21"/>
  <c r="I866" i="21"/>
  <c r="I868" i="21"/>
  <c r="I869" i="21"/>
  <c r="I870" i="21"/>
  <c r="I871" i="21"/>
  <c r="I872" i="21"/>
  <c r="I873" i="21"/>
  <c r="I874" i="21"/>
  <c r="I875" i="21"/>
  <c r="I876" i="21"/>
  <c r="I877" i="21"/>
  <c r="I878" i="21"/>
  <c r="I880" i="21"/>
  <c r="I879" i="21"/>
  <c r="I881" i="21"/>
  <c r="I882" i="21"/>
  <c r="I883" i="21"/>
  <c r="I884" i="21"/>
  <c r="I885" i="21"/>
  <c r="I886" i="21"/>
  <c r="I887" i="21"/>
  <c r="I888" i="21"/>
  <c r="I889" i="21"/>
  <c r="I890" i="21"/>
  <c r="I891" i="21"/>
  <c r="I892" i="21"/>
  <c r="I893" i="21"/>
  <c r="I894" i="21"/>
  <c r="I895" i="21"/>
  <c r="I896" i="21"/>
  <c r="I1047" i="21"/>
  <c r="I1157" i="21"/>
  <c r="I1158" i="21"/>
  <c r="I1159" i="21"/>
  <c r="I1160" i="21"/>
  <c r="I1161" i="21"/>
  <c r="I1163" i="21"/>
  <c r="I1165" i="21"/>
  <c r="I1164" i="21"/>
  <c r="I1166" i="21"/>
  <c r="I1167" i="21"/>
  <c r="I1169" i="21"/>
  <c r="I1168" i="21"/>
  <c r="I1171" i="21"/>
  <c r="I1170" i="21"/>
  <c r="I1172" i="21"/>
  <c r="I1174" i="21"/>
  <c r="I1173" i="21"/>
  <c r="I1176" i="21"/>
  <c r="I1175" i="21"/>
  <c r="I1178" i="21"/>
  <c r="I1177" i="21"/>
  <c r="I1179" i="21"/>
  <c r="I1181" i="21"/>
  <c r="I1180" i="21"/>
  <c r="I1182" i="21"/>
  <c r="I1184" i="21"/>
  <c r="I1183" i="21"/>
  <c r="I1186" i="21"/>
  <c r="I1185" i="21"/>
  <c r="I1188" i="21"/>
  <c r="I1187" i="21"/>
  <c r="I1189" i="21"/>
  <c r="I1190" i="21"/>
  <c r="I1191" i="21"/>
  <c r="I1192" i="21"/>
  <c r="I1194" i="21"/>
  <c r="I1193" i="21"/>
  <c r="I1196" i="21"/>
  <c r="I1195" i="21"/>
  <c r="I1198" i="21"/>
  <c r="I1197" i="21"/>
  <c r="I1199" i="21"/>
  <c r="I1212" i="21"/>
  <c r="I1214" i="21"/>
  <c r="I1215" i="21"/>
  <c r="I1216" i="21"/>
  <c r="I1217" i="21"/>
  <c r="I1218" i="21"/>
  <c r="I1219" i="21"/>
  <c r="I1220" i="21"/>
  <c r="I1221" i="21"/>
  <c r="I1222" i="21"/>
  <c r="I1223" i="21"/>
  <c r="I1234" i="21"/>
  <c r="I1243" i="21"/>
  <c r="I1244" i="21"/>
  <c r="I1245" i="21"/>
  <c r="I1247" i="21"/>
  <c r="I1248" i="21"/>
  <c r="I1246" i="21"/>
  <c r="I1249" i="21"/>
  <c r="I1250" i="21"/>
  <c r="I1251" i="21"/>
  <c r="I1252" i="21"/>
  <c r="I1253" i="21"/>
  <c r="I1254" i="21"/>
  <c r="I1255" i="21"/>
  <c r="I1256" i="21"/>
  <c r="I1257" i="21"/>
  <c r="I1258" i="21"/>
  <c r="I1259" i="21"/>
  <c r="I1260" i="21"/>
  <c r="I1262" i="21"/>
  <c r="I1263" i="21"/>
  <c r="I1264" i="21"/>
  <c r="I1265" i="21"/>
  <c r="I1266" i="21"/>
  <c r="I1267" i="21"/>
  <c r="I1269" i="21"/>
  <c r="I1268" i="21"/>
  <c r="I1270" i="21"/>
  <c r="I1272" i="21"/>
  <c r="I1271" i="21"/>
  <c r="I1274" i="21"/>
  <c r="I1273" i="21"/>
  <c r="I1276" i="21"/>
  <c r="I1275" i="21"/>
  <c r="I1278" i="21"/>
  <c r="I1277" i="21"/>
  <c r="I1280" i="21"/>
  <c r="I1281" i="21"/>
  <c r="I1279" i="21"/>
  <c r="I1283" i="21"/>
  <c r="I1282" i="21"/>
  <c r="I1284" i="21"/>
  <c r="I1285" i="21"/>
  <c r="I1286" i="21"/>
  <c r="I1288" i="21"/>
  <c r="I1287" i="21"/>
  <c r="I1289" i="21"/>
  <c r="I1290" i="21"/>
  <c r="I1291" i="21"/>
  <c r="I1292" i="21"/>
  <c r="I1293" i="21"/>
  <c r="I1294" i="21"/>
  <c r="I1295" i="21"/>
  <c r="I1296" i="21"/>
  <c r="I1306" i="21"/>
  <c r="I1307" i="21"/>
  <c r="I1308" i="21"/>
  <c r="I1309" i="21"/>
  <c r="I1310" i="21"/>
  <c r="I1311" i="21"/>
  <c r="I1312" i="21"/>
  <c r="I1313" i="21"/>
  <c r="I1314" i="21"/>
  <c r="I1316" i="21"/>
  <c r="I1315" i="21"/>
  <c r="I1318" i="21"/>
  <c r="I1317" i="21"/>
  <c r="I1319" i="21"/>
  <c r="I1321" i="21"/>
  <c r="I1320" i="21"/>
  <c r="I1322" i="21"/>
  <c r="I1323" i="21"/>
  <c r="I1325" i="21"/>
  <c r="I1324" i="21"/>
  <c r="I1326" i="21"/>
  <c r="I1327" i="21"/>
  <c r="I1328" i="21"/>
  <c r="I1330" i="21"/>
  <c r="I1331" i="21"/>
  <c r="I1329" i="21"/>
  <c r="I1333" i="21"/>
  <c r="I1334" i="21"/>
  <c r="I1332" i="21"/>
  <c r="I1335" i="21"/>
  <c r="I1337" i="21"/>
  <c r="I1336" i="21"/>
  <c r="I1338" i="21"/>
  <c r="I1339" i="21"/>
  <c r="I1340" i="21"/>
  <c r="I1341" i="21"/>
  <c r="I1342" i="21"/>
  <c r="I1343" i="21"/>
  <c r="I1344" i="21"/>
  <c r="I1345" i="21"/>
  <c r="I1346" i="21"/>
  <c r="I1347" i="21"/>
  <c r="I1348" i="21"/>
  <c r="I1349" i="21"/>
  <c r="I1350" i="21"/>
  <c r="I1351" i="21"/>
  <c r="I1352" i="21"/>
  <c r="I1353" i="21"/>
  <c r="I1354" i="21"/>
  <c r="I1355" i="21"/>
  <c r="I1356" i="21"/>
  <c r="I1357" i="21"/>
  <c r="I1358" i="21"/>
  <c r="I1359" i="21"/>
  <c r="I1360" i="21"/>
  <c r="I1361" i="21"/>
  <c r="I1362" i="21"/>
  <c r="I1363" i="21"/>
  <c r="I1364" i="21"/>
  <c r="I1365" i="21"/>
  <c r="I1366" i="21"/>
  <c r="I1367" i="21"/>
  <c r="I1368" i="21"/>
  <c r="I1371" i="21"/>
  <c r="I1372" i="21"/>
  <c r="I1373" i="21"/>
  <c r="I1374" i="21"/>
  <c r="I1375" i="21"/>
  <c r="I1376" i="21"/>
  <c r="I1382" i="21"/>
  <c r="I1383" i="21"/>
  <c r="I1384" i="21"/>
  <c r="I1385" i="21"/>
  <c r="I1386" i="21"/>
  <c r="I1387" i="21"/>
  <c r="I1880" i="21"/>
  <c r="I1882" i="21"/>
  <c r="I1884" i="21"/>
  <c r="I1887" i="21"/>
  <c r="I1889" i="21"/>
  <c r="I2777" i="21"/>
  <c r="I2853" i="21"/>
  <c r="I2855" i="21"/>
  <c r="I2857" i="21"/>
  <c r="I2861" i="21"/>
  <c r="I2869" i="21"/>
  <c r="I2871" i="21"/>
  <c r="I2873" i="21"/>
  <c r="I2887" i="21"/>
  <c r="I2889" i="21"/>
  <c r="I2891" i="21"/>
  <c r="I2897" i="21"/>
  <c r="I2899" i="21"/>
  <c r="I2901" i="21"/>
  <c r="I2906" i="21"/>
  <c r="I2913" i="21"/>
  <c r="I2915" i="21"/>
  <c r="I2917" i="21"/>
  <c r="I2926" i="21"/>
  <c r="I2928" i="21"/>
  <c r="I2930" i="21"/>
  <c r="I2936" i="21"/>
  <c r="I2938" i="21"/>
  <c r="I2940" i="21"/>
  <c r="I2944" i="21"/>
  <c r="I2946" i="21"/>
  <c r="I2954" i="21"/>
  <c r="I2956" i="21"/>
  <c r="I2958" i="21"/>
  <c r="I2969" i="21"/>
  <c r="I2971" i="21"/>
  <c r="I2973" i="21"/>
  <c r="I2983" i="21"/>
  <c r="I2985" i="21"/>
  <c r="I2987" i="21"/>
  <c r="I2992" i="21"/>
  <c r="I2997" i="21"/>
  <c r="I2999" i="21"/>
  <c r="I3007" i="21"/>
  <c r="I3009" i="21"/>
  <c r="I3011" i="21"/>
  <c r="I3022" i="21"/>
  <c r="I3024" i="21"/>
  <c r="I3026" i="21"/>
  <c r="I3035" i="21"/>
  <c r="I3038" i="21"/>
  <c r="I3043" i="21"/>
  <c r="I3045" i="21"/>
  <c r="I3047" i="21"/>
  <c r="I3050" i="21"/>
  <c r="I3054" i="21"/>
  <c r="I3061" i="21"/>
  <c r="I3063" i="21"/>
  <c r="I3065" i="21"/>
  <c r="I3074" i="21"/>
  <c r="I3076" i="21"/>
  <c r="I3078" i="21"/>
  <c r="I3083" i="21"/>
  <c r="I3085" i="21"/>
  <c r="I3087" i="21"/>
  <c r="I3089" i="21"/>
  <c r="I3092" i="21"/>
  <c r="I3095" i="21"/>
  <c r="I3097" i="21"/>
  <c r="I3102" i="21"/>
  <c r="I3104" i="21"/>
  <c r="I3106" i="21"/>
  <c r="I3109" i="21"/>
  <c r="I3111" i="21"/>
  <c r="I3114" i="21"/>
  <c r="I3116" i="21"/>
  <c r="I3119" i="21"/>
  <c r="I3121" i="21"/>
  <c r="I3123" i="21"/>
  <c r="I3126" i="21"/>
  <c r="I3134" i="21"/>
  <c r="I3136" i="21"/>
  <c r="I3138" i="21"/>
  <c r="I3143" i="21"/>
  <c r="I3146" i="21"/>
  <c r="I3152" i="21"/>
  <c r="I3154" i="21"/>
  <c r="I3156" i="21"/>
  <c r="I3162" i="21"/>
  <c r="I3167" i="21"/>
  <c r="I3169" i="21"/>
  <c r="I3171" i="21"/>
  <c r="I3175" i="21"/>
  <c r="I3181" i="21"/>
  <c r="I3183" i="21"/>
  <c r="I3194" i="21"/>
  <c r="I3196" i="21"/>
  <c r="I3198" i="21"/>
  <c r="I3201" i="21"/>
  <c r="I3206" i="21"/>
  <c r="I3208" i="21"/>
  <c r="I3210" i="21"/>
  <c r="I3214" i="21"/>
  <c r="I3220" i="21"/>
  <c r="I3222" i="21"/>
  <c r="I3225" i="21"/>
  <c r="I3229" i="21"/>
  <c r="I3234" i="21"/>
  <c r="I3236" i="21"/>
  <c r="I3238" i="21"/>
  <c r="I3241" i="21"/>
  <c r="I3244" i="21"/>
  <c r="I3250" i="21"/>
  <c r="I3252" i="21"/>
  <c r="I3254" i="21"/>
  <c r="I3263" i="21"/>
  <c r="I3265" i="21"/>
  <c r="I3267" i="21"/>
  <c r="I3271" i="21"/>
  <c r="I3273" i="21"/>
  <c r="I3276" i="21"/>
  <c r="I3278" i="21"/>
  <c r="I3280" i="21"/>
  <c r="I3286" i="21"/>
  <c r="I3288" i="21"/>
  <c r="I3293" i="21"/>
  <c r="I3295" i="21"/>
  <c r="I3297" i="21"/>
  <c r="I3301" i="21"/>
  <c r="I3305" i="21"/>
  <c r="I3312" i="21"/>
  <c r="I3314" i="21"/>
  <c r="I3316" i="21"/>
  <c r="I3320" i="21"/>
  <c r="I3324" i="21"/>
  <c r="I3326" i="21"/>
  <c r="I3328" i="21"/>
  <c r="I3335" i="21"/>
  <c r="I3337" i="21"/>
  <c r="I3342" i="21"/>
  <c r="I3344" i="21"/>
  <c r="I3346" i="21"/>
  <c r="I3350" i="21"/>
  <c r="I3353" i="21"/>
  <c r="I3360" i="21"/>
  <c r="I3362" i="21"/>
  <c r="I3369" i="21"/>
  <c r="I3371" i="21"/>
  <c r="I3374" i="21"/>
  <c r="I3379" i="21"/>
  <c r="I3383" i="21"/>
  <c r="I3385" i="21"/>
  <c r="I3387" i="21"/>
  <c r="I3389" i="21"/>
  <c r="I3391" i="21"/>
  <c r="I3393" i="21"/>
  <c r="I3399" i="21"/>
  <c r="I3401" i="21"/>
  <c r="I3403" i="21"/>
  <c r="I3408" i="21"/>
  <c r="I3410" i="21"/>
  <c r="I3413" i="21"/>
  <c r="I3417" i="21"/>
  <c r="I3419" i="21"/>
  <c r="I3421" i="21"/>
  <c r="I3426" i="21"/>
  <c r="I3428" i="21"/>
  <c r="I3430" i="21"/>
  <c r="I3433" i="21"/>
  <c r="I3437" i="21"/>
  <c r="I3614" i="21"/>
  <c r="I3615" i="21"/>
  <c r="I3616" i="21"/>
  <c r="I3617" i="21"/>
  <c r="I3618" i="21"/>
  <c r="I3619" i="21"/>
  <c r="I3620" i="21"/>
  <c r="I3621" i="21"/>
  <c r="I3626" i="21"/>
  <c r="I3627" i="21"/>
  <c r="I3632" i="21"/>
  <c r="I3659" i="21"/>
  <c r="I3658" i="21"/>
  <c r="I3660" i="21"/>
  <c r="I3661" i="21"/>
  <c r="I3662" i="21"/>
  <c r="I3664" i="21"/>
  <c r="I3663" i="21"/>
  <c r="I3665" i="21"/>
  <c r="I3666" i="21"/>
  <c r="I3667" i="21"/>
  <c r="I3668" i="21"/>
  <c r="I3669" i="21"/>
  <c r="I3670" i="21"/>
  <c r="I3671" i="21"/>
  <c r="I3672" i="21"/>
  <c r="I3674" i="21"/>
  <c r="I3673" i="21"/>
  <c r="I3676" i="21"/>
  <c r="I3675" i="21"/>
  <c r="I3677" i="21"/>
  <c r="I3682" i="21"/>
  <c r="I3684" i="21"/>
  <c r="I3683" i="21"/>
  <c r="I3685" i="21"/>
  <c r="I3686" i="21"/>
  <c r="I3687" i="21"/>
  <c r="I3727" i="21"/>
  <c r="I3726" i="21"/>
  <c r="I3728" i="21"/>
  <c r="I3729" i="21"/>
  <c r="I3731" i="21"/>
  <c r="I3730" i="21"/>
  <c r="I3893" i="21"/>
  <c r="I3894" i="21"/>
  <c r="I3903" i="21"/>
  <c r="I3904" i="21"/>
  <c r="I3905" i="21"/>
  <c r="I3906" i="21"/>
  <c r="I3907" i="21"/>
  <c r="I3912" i="21"/>
  <c r="I3930" i="21"/>
  <c r="I3931" i="21"/>
  <c r="I3932" i="21"/>
  <c r="I3933" i="21"/>
  <c r="I4124" i="21"/>
  <c r="I4125" i="21"/>
  <c r="I4126" i="21"/>
  <c r="I4120" i="21"/>
  <c r="I4121" i="21"/>
  <c r="I4122" i="21"/>
  <c r="I4123" i="21"/>
  <c r="I4127" i="21"/>
  <c r="I4128" i="21"/>
  <c r="I4129" i="21"/>
  <c r="I4130" i="21"/>
  <c r="I4131" i="21"/>
  <c r="I4132" i="21"/>
  <c r="I4133" i="21"/>
  <c r="I4134" i="21"/>
  <c r="I4250" i="21"/>
  <c r="I4251" i="21"/>
  <c r="I4252" i="21"/>
  <c r="I4253" i="21"/>
  <c r="I4254" i="21"/>
  <c r="I4255" i="21"/>
  <c r="I4256" i="21"/>
  <c r="I4257" i="21"/>
  <c r="I4258" i="21"/>
  <c r="I4259" i="21"/>
  <c r="I4260" i="21"/>
  <c r="I4261" i="21"/>
  <c r="I4262" i="21"/>
  <c r="I4263" i="21"/>
  <c r="I4264" i="21"/>
  <c r="I4265" i="21"/>
  <c r="I4266" i="21"/>
  <c r="I4267" i="21"/>
  <c r="I4268" i="21"/>
  <c r="I4269" i="21"/>
  <c r="I4270" i="21"/>
  <c r="I4271" i="21"/>
  <c r="I4272" i="21"/>
  <c r="I4273" i="21"/>
  <c r="I4274" i="21"/>
  <c r="I4275" i="21"/>
  <c r="I4276" i="21"/>
  <c r="I4277" i="21"/>
  <c r="I4278" i="21"/>
  <c r="I4279" i="21"/>
  <c r="I4280" i="21"/>
  <c r="I4281" i="21"/>
  <c r="I4282" i="21"/>
  <c r="I4283" i="21"/>
  <c r="I4284" i="21"/>
  <c r="I4285" i="21"/>
  <c r="I4286" i="21"/>
  <c r="I4287" i="21"/>
  <c r="I4288" i="21"/>
  <c r="I4289" i="21"/>
  <c r="I4290" i="21"/>
  <c r="I4291" i="21"/>
  <c r="I4292" i="21"/>
  <c r="I4293" i="21"/>
  <c r="I4294" i="21"/>
  <c r="I4295" i="21"/>
  <c r="I4296" i="21"/>
  <c r="I4297" i="21"/>
  <c r="I4298" i="21"/>
  <c r="I4299" i="21"/>
  <c r="I4417" i="21"/>
  <c r="I4421" i="21"/>
  <c r="I4422" i="21"/>
  <c r="I4423" i="21"/>
  <c r="I4425" i="21"/>
  <c r="I4431" i="21"/>
  <c r="I4432" i="21"/>
  <c r="I4567" i="21"/>
  <c r="I4568" i="21"/>
  <c r="I4569" i="21"/>
  <c r="I4627" i="21"/>
  <c r="I4628" i="21"/>
  <c r="I4629" i="21"/>
  <c r="I4637" i="21"/>
  <c r="I4638" i="21"/>
  <c r="I4907" i="21"/>
  <c r="I4912" i="21"/>
  <c r="I4913" i="21"/>
  <c r="I4914" i="21"/>
  <c r="I4915" i="21"/>
  <c r="I4924" i="21"/>
  <c r="I4925" i="21"/>
  <c r="I4926" i="21"/>
  <c r="I4927" i="21"/>
  <c r="I4928" i="21"/>
  <c r="I4929" i="21"/>
  <c r="I4930" i="21"/>
  <c r="I4931" i="21"/>
  <c r="I4932" i="21"/>
  <c r="I4933" i="21"/>
  <c r="I4934" i="21"/>
  <c r="I4935" i="21"/>
  <c r="I4936" i="21"/>
  <c r="I4937" i="21"/>
  <c r="I4938" i="21"/>
  <c r="I4939" i="21"/>
  <c r="I4947" i="21"/>
  <c r="I4948" i="21"/>
  <c r="I4949" i="21"/>
  <c r="I4950" i="21"/>
  <c r="I4983" i="21"/>
  <c r="I4984" i="21"/>
  <c r="I4993" i="21"/>
  <c r="I4994" i="21"/>
  <c r="I4995" i="21"/>
  <c r="I4996" i="21"/>
  <c r="I4997" i="21"/>
  <c r="I4998" i="21"/>
  <c r="I4999" i="21"/>
  <c r="I5000" i="21"/>
  <c r="I5004" i="21"/>
  <c r="I5006" i="21"/>
  <c r="I5007" i="21"/>
  <c r="I5008" i="21"/>
  <c r="I5009" i="21"/>
  <c r="I5010" i="21"/>
  <c r="I5011" i="21"/>
  <c r="I5012" i="21"/>
  <c r="I5013" i="21"/>
  <c r="I5114" i="21"/>
  <c r="I5115" i="21"/>
  <c r="I5125" i="21"/>
  <c r="I5126" i="21"/>
  <c r="I5127" i="21"/>
  <c r="I5128" i="21"/>
  <c r="I5129" i="21"/>
  <c r="I5130" i="21"/>
  <c r="I5131" i="21"/>
  <c r="I5132" i="21"/>
  <c r="I5133" i="21"/>
  <c r="I5134" i="21"/>
  <c r="I5135" i="21"/>
  <c r="I5136" i="21"/>
  <c r="I5137" i="21"/>
  <c r="I5138" i="21"/>
  <c r="I5139" i="21"/>
  <c r="I5140" i="21"/>
  <c r="I5141" i="21"/>
  <c r="I5142" i="21"/>
  <c r="I5143" i="21"/>
  <c r="I5144" i="21"/>
  <c r="I5164" i="21"/>
  <c r="I5482" i="21"/>
  <c r="I5511" i="21"/>
  <c r="I5512" i="21"/>
  <c r="I5517" i="21"/>
  <c r="I5518" i="21"/>
  <c r="I4436" i="21"/>
  <c r="I4437" i="21"/>
  <c r="I4440" i="21"/>
  <c r="I4441" i="21"/>
  <c r="I4442" i="21"/>
  <c r="I4443" i="21"/>
  <c r="I42" i="21"/>
  <c r="I43" i="21"/>
  <c r="I44" i="21"/>
  <c r="I45" i="21"/>
  <c r="I80" i="21"/>
  <c r="I82" i="21"/>
  <c r="I84" i="21"/>
  <c r="I86" i="21"/>
  <c r="I161" i="21"/>
  <c r="I164" i="21"/>
  <c r="I208" i="21"/>
  <c r="I210" i="21"/>
  <c r="I209" i="21"/>
  <c r="I211" i="21"/>
  <c r="I212" i="21"/>
  <c r="I213" i="21"/>
  <c r="I260" i="21"/>
  <c r="I261" i="21"/>
  <c r="I262" i="21"/>
  <c r="I263" i="21"/>
  <c r="I264" i="21"/>
  <c r="I290" i="21"/>
  <c r="I487" i="21"/>
  <c r="I488" i="21"/>
  <c r="I489" i="21"/>
  <c r="I490" i="21"/>
  <c r="I491" i="21"/>
  <c r="I492" i="21"/>
  <c r="I493" i="21"/>
  <c r="I494" i="21"/>
  <c r="I496" i="21"/>
  <c r="I495" i="21"/>
  <c r="I497" i="21"/>
  <c r="I498" i="21"/>
  <c r="I499" i="21"/>
  <c r="I500" i="21"/>
  <c r="I501" i="21"/>
  <c r="I503" i="21"/>
  <c r="I502" i="21"/>
  <c r="I504" i="21"/>
  <c r="I505" i="21"/>
  <c r="I506" i="21"/>
  <c r="I507" i="21"/>
  <c r="I579" i="21"/>
  <c r="I580" i="21"/>
  <c r="I581" i="21"/>
  <c r="I582" i="21"/>
  <c r="I583" i="21"/>
  <c r="I584" i="21"/>
  <c r="I585" i="21"/>
  <c r="I587" i="21"/>
  <c r="I586" i="21"/>
  <c r="I588" i="21"/>
  <c r="I589" i="21"/>
  <c r="I590" i="21"/>
  <c r="I592" i="21"/>
  <c r="I591" i="21"/>
  <c r="I593" i="21"/>
  <c r="I595" i="21"/>
  <c r="I594" i="21"/>
  <c r="I596" i="21"/>
  <c r="I597" i="21"/>
  <c r="I599" i="21"/>
  <c r="I598" i="21"/>
  <c r="I600" i="21"/>
  <c r="I602" i="21"/>
  <c r="I601" i="21"/>
  <c r="I603" i="21"/>
  <c r="I604" i="21"/>
  <c r="I605" i="21"/>
  <c r="I638" i="21"/>
  <c r="I639" i="21"/>
  <c r="I722" i="21"/>
  <c r="I724" i="21"/>
  <c r="I726" i="21"/>
  <c r="I734" i="21"/>
  <c r="I958" i="21"/>
  <c r="I959" i="21"/>
  <c r="I960" i="21"/>
  <c r="I961" i="21"/>
  <c r="I962" i="21"/>
  <c r="I963" i="21"/>
  <c r="I964" i="21"/>
  <c r="I965" i="21"/>
  <c r="I966" i="21"/>
  <c r="I967" i="21"/>
  <c r="I968" i="21"/>
  <c r="I969" i="21"/>
  <c r="I970" i="21"/>
  <c r="I971" i="21"/>
  <c r="I972" i="21"/>
  <c r="I973" i="21"/>
  <c r="I974" i="21"/>
  <c r="I975" i="21"/>
  <c r="I976" i="21"/>
  <c r="I978" i="21"/>
  <c r="I977" i="21"/>
  <c r="I979" i="21"/>
  <c r="I981" i="21"/>
  <c r="I980" i="21"/>
  <c r="I982" i="21"/>
  <c r="I983" i="21"/>
  <c r="I984" i="21"/>
  <c r="I985" i="21"/>
  <c r="I986" i="21"/>
  <c r="I987" i="21"/>
  <c r="I988" i="21"/>
  <c r="I989" i="21"/>
  <c r="I990" i="21"/>
  <c r="I991" i="21"/>
  <c r="I992" i="21"/>
  <c r="I993" i="21"/>
  <c r="I994" i="21"/>
  <c r="I995" i="21"/>
  <c r="I996" i="21"/>
  <c r="I997" i="21"/>
  <c r="I998" i="21"/>
  <c r="I999" i="21"/>
  <c r="I1000" i="21"/>
  <c r="I1001" i="21"/>
  <c r="I1003" i="21"/>
  <c r="I1002" i="21"/>
  <c r="I1005" i="21"/>
  <c r="I1004" i="21"/>
  <c r="I1007" i="21"/>
  <c r="I1006" i="21"/>
  <c r="I1008" i="21"/>
  <c r="I1009" i="21"/>
  <c r="I1010" i="21"/>
  <c r="I1019" i="21"/>
  <c r="I1021" i="21"/>
  <c r="I1023" i="21"/>
  <c r="I1150" i="21"/>
  <c r="I1151" i="21"/>
  <c r="I1152" i="21"/>
  <c r="I1153" i="21"/>
  <c r="I1154" i="21"/>
  <c r="I1155" i="21"/>
  <c r="I1156" i="21"/>
  <c r="I1211" i="21"/>
  <c r="I1394" i="21"/>
  <c r="I1395" i="21"/>
  <c r="I1563" i="21"/>
  <c r="I1564" i="21"/>
  <c r="I1565" i="21"/>
  <c r="I1566" i="21"/>
  <c r="I2101" i="21"/>
  <c r="I2102" i="21"/>
  <c r="I2189" i="21"/>
  <c r="I2190" i="21"/>
  <c r="I2198" i="21"/>
  <c r="I2199" i="21"/>
  <c r="I2200" i="21"/>
  <c r="I2201" i="21"/>
  <c r="I2667" i="21"/>
  <c r="I2668" i="21"/>
  <c r="I2669" i="21"/>
  <c r="I2765" i="21"/>
  <c r="I3579" i="21"/>
  <c r="I4908" i="21"/>
  <c r="I4909" i="21"/>
  <c r="I4910" i="21"/>
  <c r="I4911" i="21"/>
  <c r="I4916" i="21"/>
  <c r="I4917" i="21"/>
  <c r="I4918" i="21"/>
  <c r="I4919" i="21"/>
  <c r="I4920" i="21"/>
  <c r="I4921" i="21"/>
  <c r="I4922" i="21"/>
  <c r="I4923" i="21"/>
  <c r="I4966" i="21"/>
  <c r="I4967" i="21"/>
  <c r="I4968" i="21"/>
  <c r="I4969" i="21"/>
  <c r="I4970" i="21"/>
  <c r="I4971" i="21"/>
  <c r="I4972" i="21"/>
  <c r="I4973" i="21"/>
  <c r="I4974" i="21"/>
  <c r="I4975" i="21"/>
  <c r="I4976" i="21"/>
  <c r="I4977" i="21"/>
  <c r="I4978" i="21"/>
  <c r="I4979" i="21"/>
  <c r="I4980" i="21"/>
  <c r="I4981" i="21"/>
  <c r="I4982" i="21"/>
  <c r="I4988" i="21"/>
  <c r="I4989" i="21"/>
  <c r="I4990" i="21"/>
  <c r="I4991" i="21"/>
  <c r="I5005" i="21"/>
  <c r="I5101" i="21"/>
  <c r="I5102" i="21"/>
  <c r="I5103" i="21"/>
  <c r="I5104" i="21"/>
  <c r="I5105" i="21"/>
  <c r="I5106" i="21"/>
  <c r="I5107" i="21"/>
  <c r="I5108" i="21"/>
  <c r="I5109" i="21"/>
  <c r="I5110" i="21"/>
  <c r="I5111" i="21"/>
  <c r="I5112" i="21"/>
  <c r="I5113" i="21"/>
  <c r="I5116" i="21"/>
  <c r="I5117" i="21"/>
  <c r="I5118" i="21"/>
  <c r="I5119" i="21"/>
  <c r="I5120" i="21"/>
  <c r="I5121" i="21"/>
  <c r="I5122" i="21"/>
  <c r="I5123" i="21"/>
  <c r="I5124" i="21"/>
  <c r="I5158" i="21"/>
  <c r="I5159" i="21"/>
  <c r="I5160" i="21"/>
  <c r="I5161" i="21"/>
  <c r="I5162" i="21"/>
  <c r="I5486" i="21"/>
  <c r="I5487" i="21"/>
  <c r="I5488" i="21"/>
  <c r="I5489" i="21"/>
  <c r="I5490" i="21"/>
  <c r="I12" i="21"/>
  <c r="I13" i="21"/>
  <c r="I15" i="21"/>
  <c r="I17" i="21"/>
  <c r="I19" i="21"/>
  <c r="I21" i="21"/>
  <c r="I23" i="21"/>
  <c r="I25" i="21"/>
  <c r="I27" i="21"/>
  <c r="I28" i="21"/>
  <c r="I30" i="21"/>
  <c r="I32" i="21"/>
  <c r="I34" i="21"/>
  <c r="I59" i="21"/>
  <c r="I75" i="21"/>
  <c r="I87" i="21"/>
  <c r="I89" i="21"/>
  <c r="I91" i="21"/>
  <c r="I93" i="21"/>
  <c r="I95" i="21"/>
  <c r="I97" i="21"/>
  <c r="I99" i="21"/>
  <c r="I1148" i="21"/>
  <c r="I1378" i="21"/>
  <c r="I1381" i="21"/>
  <c r="I1396" i="21"/>
  <c r="I1467" i="21"/>
  <c r="I1469" i="21"/>
  <c r="I1470" i="21"/>
  <c r="I1473" i="21"/>
  <c r="I1475" i="21"/>
  <c r="I1476" i="21"/>
  <c r="I1477" i="21"/>
  <c r="I1481" i="21"/>
  <c r="I1482" i="21"/>
  <c r="I1492" i="21"/>
  <c r="I1493" i="21"/>
  <c r="I1494" i="21"/>
  <c r="I1495" i="21"/>
  <c r="I1496" i="21"/>
  <c r="I1497" i="21"/>
  <c r="I1716" i="21"/>
  <c r="I1718" i="21"/>
  <c r="I1721" i="21"/>
  <c r="I1722" i="21"/>
  <c r="I1727" i="21"/>
  <c r="I1729" i="21"/>
  <c r="I1731" i="21"/>
  <c r="I1732" i="21"/>
  <c r="I1733" i="21"/>
  <c r="I1734" i="21"/>
  <c r="I1736" i="21"/>
  <c r="I1737" i="21"/>
  <c r="I1738" i="21"/>
  <c r="I1743" i="21"/>
  <c r="I1744" i="21"/>
  <c r="I1747" i="21"/>
  <c r="I1751" i="21"/>
  <c r="I1772" i="21"/>
  <c r="I1773" i="21"/>
  <c r="I1793" i="21"/>
  <c r="I1794" i="21"/>
  <c r="I1795" i="21"/>
  <c r="I1797" i="21"/>
  <c r="I1805" i="21"/>
  <c r="I1808" i="21"/>
  <c r="I1810" i="21"/>
  <c r="I1811" i="21"/>
  <c r="I1812" i="21"/>
  <c r="I1825" i="21"/>
  <c r="I1826" i="21"/>
  <c r="I1863" i="21"/>
  <c r="I1864" i="21"/>
  <c r="I1865" i="21"/>
  <c r="I1866" i="21"/>
  <c r="I1867" i="21"/>
  <c r="I1868" i="21"/>
  <c r="I1869" i="21"/>
  <c r="I1870" i="21"/>
  <c r="I1871" i="21"/>
  <c r="I1872" i="21"/>
  <c r="I1873" i="21"/>
  <c r="I1874" i="21"/>
  <c r="I1875" i="21"/>
  <c r="I1876" i="21"/>
  <c r="I1910" i="21"/>
  <c r="I1985" i="21"/>
  <c r="I1986" i="21"/>
  <c r="I1987" i="21"/>
  <c r="I1988" i="21"/>
  <c r="I1989" i="21"/>
  <c r="I1990" i="21"/>
  <c r="I1994" i="21"/>
  <c r="I1995" i="21"/>
  <c r="I1996" i="21"/>
  <c r="I1997" i="21"/>
  <c r="I1998" i="21"/>
  <c r="I1999" i="21"/>
  <c r="I2000" i="21"/>
  <c r="I2001" i="21"/>
  <c r="I2002" i="21"/>
  <c r="I2003" i="21"/>
  <c r="I2007" i="21"/>
  <c r="I2008" i="21"/>
  <c r="I2009" i="21"/>
  <c r="I2010" i="21"/>
  <c r="I2011" i="21"/>
  <c r="I2015" i="21"/>
  <c r="I2032" i="21"/>
  <c r="I2034" i="21"/>
  <c r="I2037" i="21"/>
  <c r="I2038" i="21"/>
  <c r="I2040" i="21"/>
  <c r="I2041" i="21"/>
  <c r="I2042" i="21"/>
  <c r="I2043" i="21"/>
  <c r="I2044" i="21"/>
  <c r="I2045" i="21"/>
  <c r="I2048" i="21"/>
  <c r="I2049" i="21"/>
  <c r="I2052" i="21"/>
  <c r="I2055" i="21"/>
  <c r="I2057" i="21"/>
  <c r="I2063" i="21"/>
  <c r="I2238" i="21"/>
  <c r="I2243" i="21"/>
  <c r="I2254" i="21"/>
  <c r="I2257" i="21"/>
  <c r="I2264" i="21"/>
  <c r="I2265" i="21"/>
  <c r="I2266" i="21"/>
  <c r="I2282" i="21"/>
  <c r="I2313" i="21"/>
  <c r="I2320" i="21"/>
  <c r="I2321" i="21"/>
  <c r="I2325" i="21"/>
  <c r="I2326" i="21"/>
  <c r="I2327" i="21"/>
  <c r="I2328" i="21"/>
  <c r="I2329" i="21"/>
  <c r="I2330" i="21"/>
  <c r="I2331" i="21"/>
  <c r="I2332" i="21"/>
  <c r="I2333" i="21"/>
  <c r="I2334" i="21"/>
  <c r="I2336" i="21"/>
  <c r="I2337" i="21"/>
  <c r="I2338" i="21"/>
  <c r="I2342" i="21"/>
  <c r="I2343" i="21"/>
  <c r="I2363" i="21"/>
  <c r="I2373" i="21"/>
  <c r="I2375" i="21"/>
  <c r="I2411" i="21"/>
  <c r="I2418" i="21"/>
  <c r="I2443" i="21"/>
  <c r="I2444" i="21"/>
  <c r="I2474" i="21"/>
  <c r="I2475" i="21"/>
  <c r="I2477" i="21"/>
  <c r="I2479" i="21"/>
  <c r="I2482" i="21"/>
  <c r="I2487" i="21"/>
  <c r="I2490" i="21"/>
  <c r="I2553" i="21"/>
  <c r="I2630" i="21"/>
  <c r="I2632" i="21"/>
  <c r="I2633" i="21"/>
  <c r="I2634" i="21"/>
  <c r="I2635" i="21"/>
  <c r="I2636" i="21"/>
  <c r="I2637" i="21"/>
  <c r="I2638" i="21"/>
  <c r="I2664" i="21"/>
  <c r="I2694" i="21"/>
  <c r="I2695" i="21"/>
  <c r="I2697" i="21"/>
  <c r="I2698" i="21"/>
  <c r="I2699" i="21"/>
  <c r="I2700" i="21"/>
  <c r="I2701" i="21"/>
  <c r="I2702" i="21"/>
  <c r="I2703" i="21"/>
  <c r="I2704" i="21"/>
  <c r="I2705" i="21"/>
  <c r="I2706" i="21"/>
  <c r="I2707" i="21"/>
  <c r="I2710" i="21"/>
  <c r="I2711" i="21"/>
  <c r="I2712" i="21"/>
  <c r="I2713" i="21"/>
  <c r="I2714" i="21"/>
  <c r="I2715" i="21"/>
  <c r="I2717" i="21"/>
  <c r="I2719" i="21"/>
  <c r="I2721" i="21"/>
  <c r="I2722" i="21"/>
  <c r="I2725" i="21"/>
  <c r="I2726" i="21"/>
  <c r="I2727" i="21"/>
  <c r="I2728" i="21"/>
  <c r="I2730" i="21"/>
  <c r="I2733" i="21"/>
  <c r="I2787" i="21"/>
  <c r="I2788" i="21"/>
  <c r="I2789" i="21"/>
  <c r="I2790" i="21"/>
  <c r="I2792" i="21"/>
  <c r="I2794" i="21"/>
  <c r="I2796" i="21"/>
  <c r="I2798" i="21"/>
  <c r="I2800" i="21"/>
  <c r="I2802" i="21"/>
  <c r="I2804" i="21"/>
  <c r="I2805" i="21"/>
  <c r="I2806" i="21"/>
  <c r="I2807" i="21"/>
  <c r="I2810" i="21"/>
  <c r="I2812" i="21"/>
  <c r="I2813" i="21"/>
  <c r="I2814" i="21"/>
  <c r="I2815" i="21"/>
  <c r="I2816" i="21"/>
  <c r="I2817" i="21"/>
  <c r="I2818" i="21"/>
  <c r="I2820" i="21"/>
  <c r="I2824" i="21"/>
  <c r="I2825" i="21"/>
  <c r="I2826" i="21"/>
  <c r="I2827" i="21"/>
  <c r="I2831" i="21"/>
  <c r="I2886" i="21"/>
  <c r="I2888" i="21"/>
  <c r="I2890" i="21"/>
  <c r="I2914" i="21"/>
  <c r="I2925" i="21"/>
  <c r="I2927" i="21"/>
  <c r="I2929" i="21"/>
  <c r="I2968" i="21"/>
  <c r="I2970" i="21"/>
  <c r="I2972" i="21"/>
  <c r="I3021" i="21"/>
  <c r="I3023" i="21"/>
  <c r="I3025" i="21"/>
  <c r="I3032" i="21"/>
  <c r="I3073" i="21"/>
  <c r="I3075" i="21"/>
  <c r="I3077" i="21"/>
  <c r="I3101" i="21"/>
  <c r="I3103" i="21"/>
  <c r="I3105" i="21"/>
  <c r="I3108" i="21"/>
  <c r="I3110" i="21"/>
  <c r="I3113" i="21"/>
  <c r="I3115" i="21"/>
  <c r="I3118" i="21"/>
  <c r="I3120" i="21"/>
  <c r="I3122" i="21"/>
  <c r="I3125" i="21"/>
  <c r="I3193" i="21"/>
  <c r="I3195" i="21"/>
  <c r="I3197" i="21"/>
  <c r="I3200" i="21"/>
  <c r="I3262" i="21"/>
  <c r="I3264" i="21"/>
  <c r="I3266" i="21"/>
  <c r="I3292" i="21"/>
  <c r="I3296" i="21"/>
  <c r="I3378" i="21"/>
  <c r="I3398" i="21"/>
  <c r="I3400" i="21"/>
  <c r="I3402" i="21"/>
  <c r="I3438" i="21"/>
  <c r="I3439" i="21"/>
  <c r="I3505" i="21"/>
  <c r="I3508" i="21"/>
  <c r="I3511" i="21"/>
  <c r="I3519" i="21"/>
  <c r="I3538" i="21"/>
  <c r="I3539" i="21"/>
  <c r="I3540" i="21"/>
  <c r="I3541" i="21"/>
  <c r="I3542" i="21"/>
  <c r="I3543" i="21"/>
  <c r="I3544" i="21"/>
  <c r="I3545" i="21"/>
  <c r="I3546" i="21"/>
  <c r="I3547" i="21"/>
  <c r="I3548" i="21"/>
  <c r="I3550" i="21"/>
  <c r="I3552" i="21"/>
  <c r="I3553" i="21"/>
  <c r="I3554" i="21"/>
  <c r="I3556" i="21"/>
  <c r="I3599" i="21"/>
  <c r="I3600" i="21"/>
  <c r="I3601" i="21"/>
  <c r="I3680" i="21"/>
  <c r="I3690" i="21"/>
  <c r="I3691" i="21"/>
  <c r="I3698" i="21"/>
  <c r="I3697" i="21"/>
  <c r="I3701" i="21"/>
  <c r="I3702" i="21"/>
  <c r="I3703" i="21"/>
  <c r="I3705" i="21"/>
  <c r="I3704" i="21"/>
  <c r="I3706" i="21"/>
  <c r="I3707" i="21"/>
  <c r="I3708" i="21"/>
  <c r="I3710" i="21"/>
  <c r="I3713" i="21"/>
  <c r="I3716" i="21"/>
  <c r="I3717" i="21"/>
  <c r="I3718" i="21"/>
  <c r="I3719" i="21"/>
  <c r="I3720" i="21"/>
  <c r="I3721" i="21"/>
  <c r="I3722" i="21"/>
  <c r="I3723" i="21"/>
  <c r="I3724" i="21"/>
  <c r="I3725" i="21"/>
  <c r="I3755" i="21"/>
  <c r="I3762" i="21"/>
  <c r="I3761" i="21"/>
  <c r="I3767" i="21"/>
  <c r="I3766" i="21"/>
  <c r="I3769" i="21"/>
  <c r="I3768" i="21"/>
  <c r="I3771" i="21"/>
  <c r="I3772" i="21"/>
  <c r="I3770" i="21"/>
  <c r="I3773" i="21"/>
  <c r="I3774" i="21"/>
  <c r="I3775" i="21"/>
  <c r="I3778" i="21"/>
  <c r="I3777" i="21"/>
  <c r="I3782" i="21"/>
  <c r="I3781" i="21"/>
  <c r="I3783" i="21"/>
  <c r="I3784" i="21"/>
  <c r="I3786" i="21"/>
  <c r="I3785" i="21"/>
  <c r="I3787" i="21"/>
  <c r="I3793" i="21"/>
  <c r="I3800" i="21"/>
  <c r="I3801" i="21"/>
  <c r="I3802" i="21"/>
  <c r="I3806" i="21"/>
  <c r="I3805" i="21"/>
  <c r="I3807" i="21"/>
  <c r="I3809" i="21"/>
  <c r="I3808" i="21"/>
  <c r="I3816" i="21"/>
  <c r="I3823" i="21"/>
  <c r="I3824" i="21"/>
  <c r="I3833" i="21"/>
  <c r="I3836" i="21"/>
  <c r="I3843" i="21"/>
  <c r="I3846" i="21"/>
  <c r="I3848" i="21"/>
  <c r="I3850" i="21"/>
  <c r="I3852" i="21"/>
  <c r="I3877" i="21"/>
  <c r="I3887" i="21"/>
  <c r="I3890" i="21"/>
  <c r="I4446" i="21"/>
  <c r="I4447" i="21"/>
  <c r="I4448" i="21"/>
  <c r="I4449" i="21"/>
  <c r="I4450" i="21"/>
  <c r="I4452" i="21"/>
  <c r="I4453" i="21"/>
  <c r="I4454" i="21"/>
  <c r="I4455" i="21"/>
  <c r="I4456" i="21"/>
  <c r="I4457" i="21"/>
  <c r="I4458" i="21"/>
  <c r="I4459" i="21"/>
  <c r="I4461" i="21"/>
  <c r="I4464" i="21"/>
  <c r="I4467" i="21"/>
  <c r="I4468" i="21"/>
  <c r="I4480" i="21"/>
  <c r="I4481" i="21"/>
  <c r="I4489" i="21"/>
  <c r="I4494" i="21"/>
  <c r="I4495" i="21"/>
  <c r="I4499" i="21"/>
  <c r="I4500" i="21"/>
  <c r="I4501" i="21"/>
  <c r="I4505" i="21"/>
  <c r="I4506" i="21"/>
  <c r="I4507" i="21"/>
  <c r="I4508" i="21"/>
  <c r="I4509" i="21"/>
  <c r="I4511" i="21"/>
  <c r="I4513" i="21"/>
  <c r="I4515" i="21"/>
  <c r="I4517" i="21"/>
  <c r="I4518" i="21"/>
  <c r="I4519" i="21"/>
  <c r="I4520" i="21"/>
  <c r="I4521" i="21"/>
  <c r="I4646" i="21"/>
  <c r="I4649" i="21"/>
  <c r="I4660" i="21"/>
  <c r="I4661" i="21"/>
  <c r="I4666" i="21"/>
  <c r="I4667" i="21"/>
  <c r="I4668" i="21"/>
  <c r="I4672" i="21"/>
  <c r="I4674" i="21"/>
  <c r="I4699" i="21"/>
  <c r="I4903" i="21"/>
  <c r="I4906" i="21"/>
  <c r="I4943" i="21"/>
  <c r="I4944" i="21"/>
  <c r="I4946" i="21"/>
  <c r="I5003" i="21"/>
  <c r="I5014" i="21"/>
  <c r="I5016" i="21"/>
  <c r="I5017" i="21"/>
  <c r="I5018" i="21"/>
  <c r="I5019" i="21"/>
  <c r="I5020" i="21"/>
  <c r="I5021" i="21"/>
  <c r="I5024" i="21"/>
  <c r="I5026" i="21"/>
  <c r="I5027" i="21"/>
  <c r="I5177" i="21"/>
  <c r="I5178" i="21"/>
  <c r="I5426" i="21"/>
  <c r="I5431" i="21"/>
  <c r="I5435" i="21"/>
  <c r="I5447" i="21"/>
  <c r="I5457" i="21"/>
  <c r="I5461" i="21"/>
  <c r="I5471" i="21"/>
  <c r="I5473" i="21"/>
  <c r="I5480" i="21"/>
  <c r="I5481" i="21"/>
  <c r="I5543" i="21"/>
  <c r="I5544" i="21"/>
  <c r="I5548" i="21"/>
  <c r="I5550" i="21"/>
  <c r="I5552" i="21"/>
  <c r="I5554" i="21"/>
  <c r="I5556" i="21"/>
  <c r="I5563" i="21"/>
  <c r="I5561" i="21"/>
  <c r="I5569" i="21"/>
  <c r="I5570" i="21"/>
  <c r="I5591" i="21"/>
  <c r="I5592" i="21"/>
  <c r="I5593" i="21"/>
  <c r="I5595" i="21"/>
  <c r="I5598" i="21"/>
  <c r="I5599" i="21"/>
  <c r="I5629" i="21"/>
  <c r="I5630" i="21"/>
  <c r="I5632" i="21"/>
  <c r="I5633" i="21"/>
  <c r="I5637" i="21"/>
  <c r="I5638" i="21"/>
  <c r="I5640" i="21"/>
  <c r="I5641" i="21"/>
  <c r="I5642" i="21"/>
  <c r="I5643" i="21"/>
  <c r="I5644" i="21"/>
  <c r="I5645" i="21"/>
  <c r="I5646" i="21"/>
  <c r="I5647" i="21"/>
  <c r="I5648" i="21"/>
  <c r="I5649" i="21"/>
  <c r="I5650" i="21"/>
  <c r="I5657" i="21"/>
  <c r="I5660" i="21"/>
  <c r="I5664" i="21"/>
  <c r="I5666" i="21"/>
  <c r="I5667" i="21"/>
  <c r="I5672" i="21"/>
  <c r="I5675" i="21"/>
  <c r="I5676" i="21"/>
  <c r="I5686" i="21"/>
  <c r="I5688" i="21"/>
  <c r="I5689" i="21"/>
  <c r="I5690" i="21"/>
  <c r="I5691" i="21"/>
  <c r="I5693" i="21"/>
  <c r="I5694" i="21"/>
  <c r="I5695" i="21"/>
  <c r="I5696" i="21"/>
  <c r="I5697" i="21"/>
  <c r="I5698" i="21"/>
  <c r="I5699" i="21"/>
  <c r="I5700" i="21"/>
  <c r="I5701" i="21"/>
  <c r="I5702" i="21"/>
  <c r="I5703" i="21"/>
  <c r="I5705" i="21"/>
  <c r="I5707" i="21"/>
  <c r="I5708" i="21"/>
  <c r="I5709" i="21"/>
  <c r="I5710" i="21"/>
  <c r="I5711" i="21"/>
  <c r="I5712" i="21"/>
  <c r="I5713" i="21"/>
  <c r="I5714" i="21"/>
  <c r="I5715" i="21"/>
  <c r="I5716" i="21"/>
  <c r="I5717" i="21"/>
  <c r="I5718" i="21"/>
  <c r="I5720" i="21"/>
  <c r="I5722" i="21"/>
  <c r="I5726" i="21"/>
  <c r="I5728" i="21"/>
  <c r="I5729" i="21"/>
  <c r="I5730" i="21"/>
  <c r="I5731" i="21"/>
  <c r="I5732" i="21"/>
  <c r="I5733" i="21"/>
  <c r="I5746" i="21"/>
  <c r="I5747" i="21"/>
  <c r="I5766" i="21"/>
  <c r="I5767" i="21"/>
  <c r="I5768" i="21"/>
  <c r="I5769" i="21"/>
  <c r="I5770" i="21"/>
  <c r="I5771" i="21"/>
  <c r="I5772" i="21"/>
  <c r="I5773" i="21"/>
  <c r="I5774" i="21"/>
  <c r="I5775" i="21"/>
  <c r="I5776" i="21"/>
  <c r="I5777" i="21"/>
  <c r="I5778" i="21"/>
  <c r="I5779" i="21"/>
  <c r="I5780" i="21"/>
  <c r="I5781" i="21"/>
  <c r="I5782" i="21"/>
  <c r="I5783" i="21"/>
  <c r="I5784" i="21"/>
  <c r="I5785" i="21"/>
  <c r="I5786" i="21"/>
  <c r="I5787" i="21"/>
  <c r="I5788" i="21"/>
  <c r="I5789" i="21"/>
  <c r="I5790" i="21"/>
  <c r="I5791" i="21"/>
  <c r="I5794" i="21"/>
  <c r="I5795" i="21"/>
  <c r="I5798" i="21"/>
  <c r="I5799" i="21"/>
  <c r="I5820" i="21"/>
  <c r="I5821" i="21"/>
  <c r="I5830" i="21"/>
  <c r="I5831" i="21"/>
  <c r="I5834" i="21"/>
  <c r="I5835" i="21"/>
  <c r="I5836" i="21"/>
  <c r="I5837" i="21"/>
  <c r="I5838" i="21"/>
  <c r="I5839" i="21"/>
  <c r="I5840" i="21"/>
  <c r="I5841" i="21"/>
  <c r="I5842" i="21"/>
  <c r="I5843" i="21"/>
  <c r="I5850" i="21"/>
  <c r="I5851" i="21"/>
  <c r="I5858" i="21"/>
  <c r="I5859" i="21"/>
  <c r="I5860" i="21"/>
  <c r="I5861" i="21"/>
  <c r="I5884" i="21"/>
  <c r="I5885" i="21"/>
  <c r="I5904" i="21"/>
  <c r="I5905" i="21"/>
  <c r="I5914" i="21"/>
  <c r="I5915" i="21"/>
  <c r="I5916" i="21"/>
  <c r="I5917" i="21"/>
  <c r="I5918" i="21"/>
  <c r="I5919" i="21"/>
  <c r="I5920" i="21"/>
  <c r="I5921" i="21"/>
  <c r="I5926" i="21"/>
  <c r="I5934" i="21"/>
  <c r="I5938" i="21"/>
  <c r="I5944" i="21"/>
  <c r="I5946" i="21"/>
  <c r="I5949" i="21"/>
  <c r="I5955" i="21"/>
  <c r="I5956" i="21"/>
  <c r="I5958" i="21"/>
  <c r="I5960" i="21"/>
  <c r="I5961" i="21"/>
  <c r="I5962" i="21"/>
  <c r="I5963" i="21"/>
  <c r="I5964" i="21"/>
  <c r="I5965" i="21"/>
  <c r="I5966" i="21"/>
  <c r="I5967" i="21"/>
  <c r="I5969" i="21"/>
  <c r="I5970" i="21"/>
  <c r="I5971" i="21"/>
  <c r="I5972" i="21"/>
  <c r="I5973" i="21"/>
  <c r="I5974" i="21"/>
  <c r="I5975" i="21"/>
  <c r="I5976" i="21"/>
  <c r="I5979" i="21"/>
  <c r="I6009" i="21"/>
  <c r="I6010" i="21"/>
  <c r="I6011" i="21"/>
  <c r="I6012" i="21"/>
  <c r="I6017" i="21"/>
  <c r="I6019" i="21"/>
  <c r="I6021" i="21"/>
  <c r="I6025" i="21"/>
  <c r="I6027" i="21"/>
  <c r="I6031" i="21"/>
  <c r="I6037" i="21"/>
  <c r="I6041" i="21"/>
  <c r="I6045" i="21"/>
  <c r="I6047" i="21"/>
  <c r="I6055" i="21"/>
  <c r="I6061" i="21"/>
  <c r="I6063" i="21"/>
  <c r="I6067" i="21"/>
  <c r="I6069" i="21"/>
  <c r="I6073" i="21"/>
  <c r="I6077" i="21"/>
  <c r="I6089" i="21"/>
  <c r="I6091" i="21"/>
  <c r="I6097" i="21"/>
  <c r="I6099" i="21"/>
  <c r="I6101" i="21"/>
  <c r="I6103" i="21"/>
  <c r="I6105" i="21"/>
  <c r="I6107" i="21"/>
  <c r="I6109" i="21"/>
  <c r="I6111" i="21"/>
  <c r="I6113" i="21"/>
  <c r="I6117" i="21"/>
  <c r="I6119" i="21"/>
  <c r="I6121" i="21"/>
  <c r="I6123" i="21"/>
  <c r="I6125" i="21"/>
  <c r="I6141" i="21"/>
  <c r="I6143" i="21"/>
  <c r="I6145" i="21"/>
  <c r="I6147" i="21"/>
  <c r="I6149" i="21"/>
  <c r="I6151" i="21"/>
  <c r="I6155" i="21"/>
  <c r="I6157" i="21"/>
  <c r="I6159" i="21"/>
  <c r="I6161" i="21"/>
  <c r="I6163" i="21"/>
  <c r="I6165" i="21"/>
  <c r="I6167" i="21"/>
  <c r="I6169" i="21"/>
  <c r="I6171" i="21"/>
  <c r="I6173" i="21"/>
  <c r="I6175" i="21"/>
  <c r="I6177" i="21"/>
  <c r="I6179" i="21"/>
  <c r="I6181" i="21"/>
  <c r="I6183" i="21"/>
  <c r="I6185" i="21"/>
  <c r="I6187" i="21"/>
  <c r="I6189" i="21"/>
  <c r="I6191" i="21"/>
  <c r="I6193" i="21"/>
  <c r="I6195" i="21"/>
  <c r="I6197" i="21"/>
  <c r="I6199" i="21"/>
  <c r="I6201" i="21"/>
  <c r="I6203" i="21"/>
  <c r="I6205" i="21"/>
  <c r="I6207" i="21"/>
  <c r="I6209" i="21"/>
  <c r="I6211" i="21"/>
  <c r="I6213" i="21"/>
  <c r="I6215" i="21"/>
  <c r="I6217" i="21"/>
  <c r="I6219" i="21"/>
  <c r="I6221" i="21"/>
  <c r="I6223" i="21"/>
  <c r="I6225" i="21"/>
  <c r="I6227" i="21"/>
  <c r="I6229" i="21"/>
  <c r="I6231" i="21"/>
  <c r="I6233" i="21"/>
  <c r="I6235" i="21"/>
  <c r="I6237" i="21"/>
  <c r="I6239" i="21"/>
  <c r="I6243" i="21"/>
  <c r="I6245" i="21"/>
  <c r="I6247" i="21"/>
  <c r="I6249" i="21"/>
  <c r="I6251" i="21"/>
  <c r="I6253" i="21"/>
  <c r="I6255" i="21"/>
  <c r="I6257" i="21"/>
  <c r="I6259" i="21"/>
  <c r="I6261" i="21"/>
  <c r="I6263" i="21"/>
  <c r="I6265" i="21"/>
  <c r="I6269" i="21"/>
  <c r="I6273" i="21"/>
  <c r="I6275" i="21"/>
  <c r="I6283" i="21"/>
  <c r="I6285" i="21"/>
  <c r="I6287" i="21"/>
  <c r="I6289" i="21"/>
  <c r="I6291" i="21"/>
  <c r="I6293" i="21"/>
  <c r="I6295" i="21"/>
  <c r="I6297" i="21"/>
  <c r="I6299" i="21"/>
  <c r="I6301" i="21"/>
  <c r="I6303" i="21"/>
  <c r="I6305" i="21"/>
  <c r="I6307" i="21"/>
  <c r="I6309" i="21"/>
  <c r="I6311" i="21"/>
  <c r="I6313" i="21"/>
  <c r="I6315" i="21"/>
  <c r="I6317" i="21"/>
  <c r="I6319" i="21"/>
  <c r="I6321" i="21"/>
  <c r="I6323" i="21"/>
  <c r="I6325" i="21"/>
  <c r="I6327" i="21"/>
  <c r="I6329" i="21"/>
  <c r="I6331" i="21"/>
  <c r="I6333" i="21"/>
  <c r="I6335" i="21"/>
  <c r="I6337" i="21"/>
  <c r="I6339" i="21"/>
  <c r="I6341" i="21"/>
  <c r="I6365" i="21"/>
  <c r="I6367" i="21"/>
  <c r="I6369" i="21"/>
  <c r="I6371" i="21"/>
  <c r="I6373" i="21"/>
  <c r="I6377" i="21"/>
  <c r="I6379" i="21"/>
  <c r="I6381" i="21"/>
  <c r="I6383" i="21"/>
  <c r="I6385" i="21"/>
  <c r="I6387" i="21"/>
  <c r="I6389" i="21"/>
  <c r="I6391" i="21"/>
  <c r="I6393" i="21"/>
  <c r="I6397" i="21"/>
  <c r="I6399" i="21"/>
  <c r="I6401" i="21"/>
  <c r="I6403" i="21"/>
  <c r="I6405" i="21"/>
  <c r="I6407" i="21"/>
  <c r="I6409" i="21"/>
  <c r="I6411" i="21"/>
  <c r="I6413" i="21"/>
  <c r="I6415" i="21"/>
  <c r="I6417" i="21"/>
  <c r="I6421" i="21"/>
  <c r="I6423" i="21"/>
  <c r="I6425" i="21"/>
  <c r="I6427" i="21"/>
  <c r="I6429" i="21"/>
  <c r="I6441" i="21"/>
  <c r="I6443" i="21"/>
  <c r="I6445" i="21"/>
  <c r="I6447" i="21"/>
  <c r="I6449" i="21"/>
  <c r="I6451" i="21"/>
  <c r="I6453" i="21"/>
  <c r="I6455" i="21"/>
  <c r="I6457" i="21"/>
  <c r="I6459" i="21"/>
  <c r="I6461" i="21"/>
  <c r="I6463" i="21"/>
  <c r="I6465" i="21"/>
  <c r="I6467" i="21"/>
  <c r="I6469" i="21"/>
  <c r="I6471" i="21"/>
  <c r="I6473" i="21"/>
  <c r="I6475" i="21"/>
  <c r="I6477" i="21"/>
  <c r="I6479" i="21"/>
  <c r="I6481" i="21"/>
  <c r="I6483" i="21"/>
  <c r="I6485" i="21"/>
  <c r="I6487" i="21"/>
  <c r="I6489" i="21"/>
  <c r="I6491" i="21"/>
  <c r="I6493" i="21"/>
  <c r="I6495" i="21"/>
  <c r="I6496" i="21"/>
  <c r="I6498" i="21"/>
  <c r="I6500" i="21"/>
  <c r="I6502" i="21"/>
  <c r="I6504" i="21"/>
  <c r="I6506" i="21"/>
  <c r="I6508" i="21"/>
  <c r="I6510" i="21"/>
  <c r="I6512" i="21"/>
  <c r="I6514" i="21"/>
  <c r="I6516" i="21"/>
  <c r="I6518" i="21"/>
  <c r="I6520" i="21"/>
  <c r="I6522" i="21"/>
  <c r="I6524" i="21"/>
  <c r="I6526" i="21"/>
  <c r="I6528" i="21"/>
  <c r="I6530" i="21"/>
  <c r="I6532" i="21"/>
  <c r="I6534" i="21"/>
  <c r="I6536" i="21"/>
  <c r="I6538" i="21"/>
  <c r="I6544" i="21"/>
  <c r="I6546" i="21"/>
  <c r="I6548" i="21"/>
  <c r="I6550" i="21"/>
  <c r="I6560" i="21"/>
  <c r="I6564" i="21"/>
  <c r="I6566" i="21"/>
  <c r="I6568" i="21"/>
  <c r="I6570" i="21"/>
  <c r="I6578" i="21"/>
  <c r="I6584" i="21"/>
  <c r="I6586" i="21"/>
  <c r="I6592" i="21"/>
  <c r="I6609" i="21"/>
  <c r="I6613" i="21"/>
  <c r="I6615" i="21"/>
  <c r="I6617" i="21"/>
  <c r="I6619" i="21"/>
  <c r="I6621" i="21"/>
  <c r="I6623" i="21"/>
  <c r="I6625" i="21"/>
  <c r="I6627" i="21"/>
  <c r="I6629" i="21"/>
  <c r="I6631" i="21"/>
  <c r="I6633" i="21"/>
  <c r="I6635" i="21"/>
  <c r="I6639" i="21"/>
  <c r="I6641" i="21"/>
  <c r="I6643" i="21"/>
  <c r="I6645" i="21"/>
  <c r="I6647" i="21"/>
  <c r="I6649" i="21"/>
  <c r="I6651" i="21"/>
  <c r="I6655" i="21"/>
  <c r="I6657" i="21"/>
  <c r="I6659" i="21"/>
  <c r="I6665" i="21"/>
  <c r="I6667" i="21"/>
  <c r="I6669" i="21"/>
  <c r="I6671" i="21"/>
  <c r="I6673" i="21"/>
  <c r="I6677" i="21"/>
  <c r="I6679" i="21"/>
  <c r="I6681" i="21"/>
  <c r="I6683" i="21"/>
  <c r="I6687" i="21"/>
  <c r="I6691" i="21"/>
  <c r="I6693" i="21"/>
  <c r="I6695" i="21"/>
  <c r="I6697" i="21"/>
  <c r="I6703" i="21"/>
  <c r="I6705" i="21"/>
  <c r="I6707" i="21"/>
  <c r="I6709" i="21"/>
  <c r="I6711" i="21"/>
  <c r="I6713" i="21"/>
  <c r="I6715" i="21"/>
  <c r="I6717" i="21"/>
  <c r="I6719" i="21"/>
  <c r="I6730" i="21"/>
  <c r="I6732" i="21"/>
  <c r="I6734" i="21"/>
  <c r="I6736" i="21"/>
  <c r="I6738" i="21"/>
  <c r="I6740" i="21"/>
  <c r="I6742" i="21"/>
  <c r="I6746" i="21"/>
  <c r="I6757" i="21"/>
  <c r="I6758" i="21"/>
  <c r="I11" i="21"/>
  <c r="I14" i="21"/>
  <c r="I16" i="21"/>
  <c r="I18" i="21"/>
  <c r="I20" i="21"/>
  <c r="I22" i="21"/>
  <c r="I24" i="21"/>
  <c r="I26" i="21"/>
  <c r="I29" i="21"/>
  <c r="I31" i="21"/>
  <c r="I33" i="21"/>
  <c r="I35" i="21"/>
  <c r="I60" i="21"/>
  <c r="I76" i="21"/>
  <c r="I88" i="21"/>
  <c r="I90" i="21"/>
  <c r="I92" i="21"/>
  <c r="I94" i="21"/>
  <c r="I96" i="21"/>
  <c r="I98" i="21"/>
  <c r="I100" i="21"/>
  <c r="I1149" i="21"/>
  <c r="I1379" i="21"/>
  <c r="I1380" i="21"/>
  <c r="I1397" i="21"/>
  <c r="I1458" i="21"/>
  <c r="I1468" i="21"/>
  <c r="I1478" i="21"/>
  <c r="I1479" i="21"/>
  <c r="I1480" i="21"/>
  <c r="I1484" i="21"/>
  <c r="I1712" i="21"/>
  <c r="I1714" i="21"/>
  <c r="I1713" i="21"/>
  <c r="I1715" i="21"/>
  <c r="I1717" i="21"/>
  <c r="I1719" i="21"/>
  <c r="I1720" i="21"/>
  <c r="I1723" i="21"/>
  <c r="I1724" i="21"/>
  <c r="I1725" i="21"/>
  <c r="I1726" i="21"/>
  <c r="I1728" i="21"/>
  <c r="I1730" i="21"/>
  <c r="I1735" i="21"/>
  <c r="I1739" i="21"/>
  <c r="I1740" i="21"/>
  <c r="I1741" i="21"/>
  <c r="I1742" i="21"/>
  <c r="I1745" i="21"/>
  <c r="I1746" i="21"/>
  <c r="I1748" i="21"/>
  <c r="I1749" i="21"/>
  <c r="I1750" i="21"/>
  <c r="I1752" i="21"/>
  <c r="I1753" i="21"/>
  <c r="I1754" i="21"/>
  <c r="I1755" i="21"/>
  <c r="I1756" i="21"/>
  <c r="I1757" i="21"/>
  <c r="I1758" i="21"/>
  <c r="I1759" i="21"/>
  <c r="I1760" i="21"/>
  <c r="I1761" i="21"/>
  <c r="I1762" i="21"/>
  <c r="I1763" i="21"/>
  <c r="I1764" i="21"/>
  <c r="I1765" i="21"/>
  <c r="I1766" i="21"/>
  <c r="I1767" i="21"/>
  <c r="I1769" i="21"/>
  <c r="I1768" i="21"/>
  <c r="I1771" i="21"/>
  <c r="I1770" i="21"/>
  <c r="I1774" i="21"/>
  <c r="I1775" i="21"/>
  <c r="I1776" i="21"/>
  <c r="I1777" i="21"/>
  <c r="I1778" i="21"/>
  <c r="I1779" i="21"/>
  <c r="I1780" i="21"/>
  <c r="I1781" i="21"/>
  <c r="I1782" i="21"/>
  <c r="I1783" i="21"/>
  <c r="I1784" i="21"/>
  <c r="I1785" i="21"/>
  <c r="I1786" i="21"/>
  <c r="I1787" i="21"/>
  <c r="I1788" i="21"/>
  <c r="I1789" i="21"/>
  <c r="I1790" i="21"/>
  <c r="I1791" i="21"/>
  <c r="I1792" i="21"/>
  <c r="I1796" i="21"/>
  <c r="I1798" i="21"/>
  <c r="I1802" i="21"/>
  <c r="I1803" i="21"/>
  <c r="I1804" i="21"/>
  <c r="I1806" i="21"/>
  <c r="I1807" i="21"/>
  <c r="I1809" i="21"/>
  <c r="I1813" i="21"/>
  <c r="I1820" i="21"/>
  <c r="I1891" i="21"/>
  <c r="I1892" i="21"/>
  <c r="I1893" i="21"/>
  <c r="I1894" i="21"/>
  <c r="I1895" i="21"/>
  <c r="I1896" i="21"/>
  <c r="I1897" i="21"/>
  <c r="I1898" i="21"/>
  <c r="I1899" i="21"/>
  <c r="I1900" i="21"/>
  <c r="I1901" i="21"/>
  <c r="I1902" i="21"/>
  <c r="I1903" i="21"/>
  <c r="I1904" i="21"/>
  <c r="I1905" i="21"/>
  <c r="I1906" i="21"/>
  <c r="I1907" i="21"/>
  <c r="I1908" i="21"/>
  <c r="I1909" i="21"/>
  <c r="I1919" i="21"/>
  <c r="I1991" i="21"/>
  <c r="I1992" i="21"/>
  <c r="I1993" i="21"/>
  <c r="I2004" i="21"/>
  <c r="I2005" i="21"/>
  <c r="I2006" i="21"/>
  <c r="I2012" i="21"/>
  <c r="I2013" i="21"/>
  <c r="I2014" i="21"/>
  <c r="I2033" i="21"/>
  <c r="I2035" i="21"/>
  <c r="I2036" i="21"/>
  <c r="I2039" i="21"/>
  <c r="I2046" i="21"/>
  <c r="I2047" i="21"/>
  <c r="I2050" i="21"/>
  <c r="I2051" i="21"/>
  <c r="I2053" i="21"/>
  <c r="I2054" i="21"/>
  <c r="I2056" i="21"/>
  <c r="I2219" i="21"/>
  <c r="I2220" i="21"/>
  <c r="I2221" i="21"/>
  <c r="I2222" i="21"/>
  <c r="I2223" i="21"/>
  <c r="I2224" i="21"/>
  <c r="I2225" i="21"/>
  <c r="I2226" i="21"/>
  <c r="I2227" i="21"/>
  <c r="I2228" i="21"/>
  <c r="I2229" i="21"/>
  <c r="I2230" i="21"/>
  <c r="I2231" i="21"/>
  <c r="I2232" i="21"/>
  <c r="I2233" i="21"/>
  <c r="I2234" i="21"/>
  <c r="I2235" i="21"/>
  <c r="I2236" i="21"/>
  <c r="I2237" i="21"/>
  <c r="I2239" i="21"/>
  <c r="I2250" i="21"/>
  <c r="I2251" i="21"/>
  <c r="I2252" i="21"/>
  <c r="I2253" i="21"/>
  <c r="I2256" i="21"/>
  <c r="I2255" i="21"/>
  <c r="I2258" i="21"/>
  <c r="I2259" i="21"/>
  <c r="I2260" i="21"/>
  <c r="I2261" i="21"/>
  <c r="I2262" i="21"/>
  <c r="I2263" i="21"/>
  <c r="I2267" i="21"/>
  <c r="I2268" i="21"/>
  <c r="I2269" i="21"/>
  <c r="I2270" i="21"/>
  <c r="I2271" i="21"/>
  <c r="I2272" i="21"/>
  <c r="I2273" i="21"/>
  <c r="I2274" i="21"/>
  <c r="I2275" i="21"/>
  <c r="I2276" i="21"/>
  <c r="I2277" i="21"/>
  <c r="I2278" i="21"/>
  <c r="I2279" i="21"/>
  <c r="I2280" i="21"/>
  <c r="I2281" i="21"/>
  <c r="I2283" i="21"/>
  <c r="I2284" i="21"/>
  <c r="I2285" i="21"/>
  <c r="I2286" i="21"/>
  <c r="I2287" i="21"/>
  <c r="I2288" i="21"/>
  <c r="I2289" i="21"/>
  <c r="I2290" i="21"/>
  <c r="I2291" i="21"/>
  <c r="I2292" i="21"/>
  <c r="I2294" i="21"/>
  <c r="I2293" i="21"/>
  <c r="I2296" i="21"/>
  <c r="I2295" i="21"/>
  <c r="I2298" i="21"/>
  <c r="I2297" i="21"/>
  <c r="I2299" i="21"/>
  <c r="I2300" i="21"/>
  <c r="I2301" i="21"/>
  <c r="I2303" i="21"/>
  <c r="I2302" i="21"/>
  <c r="I2304" i="21"/>
  <c r="I2305" i="21"/>
  <c r="I2306" i="21"/>
  <c r="I2307" i="21"/>
  <c r="I2308" i="21"/>
  <c r="I2309" i="21"/>
  <c r="I2310" i="21"/>
  <c r="I2311" i="21"/>
  <c r="I2312" i="21"/>
  <c r="I2314" i="21"/>
  <c r="I2315" i="21"/>
  <c r="I2316" i="21"/>
  <c r="I2317" i="21"/>
  <c r="I2318" i="21"/>
  <c r="I2319" i="21"/>
  <c r="I2322" i="21"/>
  <c r="I2323" i="21"/>
  <c r="I2324" i="21"/>
  <c r="I2335" i="21"/>
  <c r="I2339" i="21"/>
  <c r="I2340" i="21"/>
  <c r="I2341" i="21"/>
  <c r="I2344" i="21"/>
  <c r="I2345" i="21"/>
  <c r="I2346" i="21"/>
  <c r="I2347" i="21"/>
  <c r="I2348" i="21"/>
  <c r="I2349" i="21"/>
  <c r="I2350" i="21"/>
  <c r="I2351" i="21"/>
  <c r="I2352" i="21"/>
  <c r="I2353" i="21"/>
  <c r="I2354" i="21"/>
  <c r="I2355" i="21"/>
  <c r="I2356" i="21"/>
  <c r="I2357" i="21"/>
  <c r="I2358" i="21"/>
  <c r="I2359" i="21"/>
  <c r="I2360" i="21"/>
  <c r="I2361" i="21"/>
  <c r="I2362" i="21"/>
  <c r="I2364" i="21"/>
  <c r="I2365" i="21"/>
  <c r="I2366" i="21"/>
  <c r="I2367" i="21"/>
  <c r="I2368" i="21"/>
  <c r="I2369" i="21"/>
  <c r="I2370" i="21"/>
  <c r="I2371" i="21"/>
  <c r="I2372" i="21"/>
  <c r="I2374" i="21"/>
  <c r="I2376" i="21"/>
  <c r="I2377" i="21"/>
  <c r="I2396" i="21"/>
  <c r="I2397" i="21"/>
  <c r="I2398" i="21"/>
  <c r="I2399" i="21"/>
  <c r="I2400" i="21"/>
  <c r="I2401" i="21"/>
  <c r="I2402" i="21"/>
  <c r="I2403" i="21"/>
  <c r="I2404" i="21"/>
  <c r="I2405" i="21"/>
  <c r="I2406" i="21"/>
  <c r="I2407" i="21"/>
  <c r="I2408" i="21"/>
  <c r="I2409" i="21"/>
  <c r="I2410" i="21"/>
  <c r="I2412" i="21"/>
  <c r="I2413" i="21"/>
  <c r="I2414" i="21"/>
  <c r="I2415" i="21"/>
  <c r="I2416" i="21"/>
  <c r="I2417" i="21"/>
  <c r="I2419" i="21"/>
  <c r="I2420" i="21"/>
  <c r="I2421" i="21"/>
  <c r="I2422" i="21"/>
  <c r="I2423" i="21"/>
  <c r="I2424" i="21"/>
  <c r="I2425" i="21"/>
  <c r="I2426" i="21"/>
  <c r="I2427" i="21"/>
  <c r="I2428" i="21"/>
  <c r="I2429" i="21"/>
  <c r="I2430" i="21"/>
  <c r="I2431" i="21"/>
  <c r="I2432" i="21"/>
  <c r="I2433" i="21"/>
  <c r="I2434" i="21"/>
  <c r="I2435" i="21"/>
  <c r="I2436" i="21"/>
  <c r="I2437" i="21"/>
  <c r="I2438" i="21"/>
  <c r="I2439" i="21"/>
  <c r="I2440" i="21"/>
  <c r="I2441" i="21"/>
  <c r="I2442" i="21"/>
  <c r="I2445" i="21"/>
  <c r="I2446" i="21"/>
  <c r="I2447" i="21"/>
  <c r="I2448" i="21"/>
  <c r="I2449" i="21"/>
  <c r="I2450" i="21"/>
  <c r="I2451" i="21"/>
  <c r="I2452" i="21"/>
  <c r="I2453" i="21"/>
  <c r="I2454" i="21"/>
  <c r="I2455" i="21"/>
  <c r="I2456" i="21"/>
  <c r="I2457" i="21"/>
  <c r="I2458" i="21"/>
  <c r="I2459" i="21"/>
  <c r="I2460" i="21"/>
  <c r="I2461" i="21"/>
  <c r="I2462" i="21"/>
  <c r="I2463" i="21"/>
  <c r="I2464" i="21"/>
  <c r="I2465" i="21"/>
  <c r="I2466" i="21"/>
  <c r="I2467" i="21"/>
  <c r="I2468" i="21"/>
  <c r="I2469" i="21"/>
  <c r="I2470" i="21"/>
  <c r="I2471" i="21"/>
  <c r="I2472" i="21"/>
  <c r="I2473" i="21"/>
  <c r="I2476" i="21"/>
  <c r="I2478" i="21"/>
  <c r="I2480" i="21"/>
  <c r="I2481" i="21"/>
  <c r="I2483" i="21"/>
  <c r="I2484" i="21"/>
  <c r="I2485" i="21"/>
  <c r="I2486" i="21"/>
  <c r="I2488" i="21"/>
  <c r="I2489" i="21"/>
  <c r="I2491" i="21"/>
  <c r="I2492" i="21"/>
  <c r="I2493" i="21"/>
  <c r="I2494" i="21"/>
  <c r="I2496" i="21"/>
  <c r="I2631" i="21"/>
  <c r="I2663" i="21"/>
  <c r="I2696" i="21"/>
  <c r="I2708" i="21"/>
  <c r="I2709" i="21"/>
  <c r="I2716" i="21"/>
  <c r="I2718" i="21"/>
  <c r="I2720" i="21"/>
  <c r="I2723" i="21"/>
  <c r="I2724" i="21"/>
  <c r="I2729" i="21"/>
  <c r="I2731" i="21"/>
  <c r="I2732" i="21"/>
  <c r="I2734" i="21"/>
  <c r="I2735" i="21"/>
  <c r="I2737" i="21"/>
  <c r="I2738" i="21"/>
  <c r="I2739" i="21"/>
  <c r="I2740" i="21"/>
  <c r="I2752" i="21"/>
  <c r="I2791" i="21"/>
  <c r="I2846" i="21"/>
  <c r="I2847" i="21"/>
  <c r="I2874" i="21"/>
  <c r="I2875" i="21"/>
  <c r="I2876" i="21"/>
  <c r="I2877" i="21"/>
  <c r="I2878" i="21"/>
  <c r="I2880" i="21"/>
  <c r="I2879" i="21"/>
  <c r="I2882" i="21"/>
  <c r="I2881" i="21"/>
  <c r="I2883" i="21"/>
  <c r="I2884" i="21"/>
  <c r="I2885" i="21"/>
  <c r="I2918" i="21"/>
  <c r="I2919" i="21"/>
  <c r="I2920" i="21"/>
  <c r="I2921" i="21"/>
  <c r="I2922" i="21"/>
  <c r="I2923" i="21"/>
  <c r="I2924" i="21"/>
  <c r="I2959" i="21"/>
  <c r="I2960" i="21"/>
  <c r="I2961" i="21"/>
  <c r="I2962" i="21"/>
  <c r="I2964" i="21"/>
  <c r="I2963" i="21"/>
  <c r="I2965" i="21"/>
  <c r="I2966" i="21"/>
  <c r="I2967" i="21"/>
  <c r="I2974" i="21"/>
  <c r="I3012" i="21"/>
  <c r="I3013" i="21"/>
  <c r="I3014" i="21"/>
  <c r="I3015" i="21"/>
  <c r="I3016" i="21"/>
  <c r="I3017" i="21"/>
  <c r="I3018" i="21"/>
  <c r="I3019" i="21"/>
  <c r="I3020" i="21"/>
  <c r="I3031" i="21"/>
  <c r="I3066" i="21"/>
  <c r="I3067" i="21"/>
  <c r="I3068" i="21"/>
  <c r="I3069" i="21"/>
  <c r="I3070" i="21"/>
  <c r="I3071" i="21"/>
  <c r="I3072" i="21"/>
  <c r="I3098" i="21"/>
  <c r="I3099" i="21"/>
  <c r="I3100" i="21"/>
  <c r="I3107" i="21"/>
  <c r="I3112" i="21"/>
  <c r="I3117" i="21"/>
  <c r="I3124" i="21"/>
  <c r="I3157" i="21"/>
  <c r="I3158" i="21"/>
  <c r="I3159" i="21"/>
  <c r="I3184" i="21"/>
  <c r="I3185" i="21"/>
  <c r="I3186" i="21"/>
  <c r="I3187" i="21"/>
  <c r="I3188" i="21"/>
  <c r="I3189" i="21"/>
  <c r="I3190" i="21"/>
  <c r="I3191" i="21"/>
  <c r="I3192" i="21"/>
  <c r="I3199" i="21"/>
  <c r="I3226" i="21"/>
  <c r="I3227" i="21"/>
  <c r="I3255" i="21"/>
  <c r="I3256" i="21"/>
  <c r="I3257" i="21"/>
  <c r="I3258" i="21"/>
  <c r="I3259" i="21"/>
  <c r="I3260" i="21"/>
  <c r="I3261" i="21"/>
  <c r="I3289" i="21"/>
  <c r="I3290" i="21"/>
  <c r="I3291" i="21"/>
  <c r="I3306" i="21"/>
  <c r="I3330" i="21"/>
  <c r="I3329" i="21"/>
  <c r="I3354" i="21"/>
  <c r="I3355" i="21"/>
  <c r="I3356" i="21"/>
  <c r="I3376" i="21"/>
  <c r="I3377" i="21"/>
  <c r="I3394" i="21"/>
  <c r="I3397" i="21"/>
  <c r="I3440" i="21"/>
  <c r="I3441" i="21"/>
  <c r="I3442" i="21"/>
  <c r="I3443" i="21"/>
  <c r="I3444" i="21"/>
  <c r="I3445" i="21"/>
  <c r="I3446" i="21"/>
  <c r="I3447" i="21"/>
  <c r="I3448" i="21"/>
  <c r="I3449" i="21"/>
  <c r="I3450" i="21"/>
  <c r="I3451" i="21"/>
  <c r="I3452" i="21"/>
  <c r="I3453" i="21"/>
  <c r="I3454" i="21"/>
  <c r="I3455" i="21"/>
  <c r="I3456" i="21"/>
  <c r="I3457" i="21"/>
  <c r="I3458" i="21"/>
  <c r="I3459" i="21"/>
  <c r="I3460" i="21"/>
  <c r="I3461" i="21"/>
  <c r="I3462" i="21"/>
  <c r="I3463" i="21"/>
  <c r="I3464" i="21"/>
  <c r="I3465" i="21"/>
  <c r="I3466" i="21"/>
  <c r="I3467" i="21"/>
  <c r="I3468" i="21"/>
  <c r="I3469" i="21"/>
  <c r="I3470" i="21"/>
  <c r="I3471" i="21"/>
  <c r="I3472" i="21"/>
  <c r="I3473" i="21"/>
  <c r="I3474" i="21"/>
  <c r="I3475" i="21"/>
  <c r="I3476" i="21"/>
  <c r="I3477" i="21"/>
  <c r="I3478" i="21"/>
  <c r="I3479" i="21"/>
  <c r="I3480" i="21"/>
  <c r="I3481" i="21"/>
  <c r="I3482" i="21"/>
  <c r="I3483" i="21"/>
  <c r="I3484" i="21"/>
  <c r="I3485" i="21"/>
  <c r="I3486" i="21"/>
  <c r="I3487" i="21"/>
  <c r="I3488" i="21"/>
  <c r="I3489" i="21"/>
  <c r="I3490" i="21"/>
  <c r="I3491" i="21"/>
  <c r="I3492" i="21"/>
  <c r="I3493" i="21"/>
  <c r="I3494" i="21"/>
  <c r="I3495" i="21"/>
  <c r="I3496" i="21"/>
  <c r="I3497" i="21"/>
  <c r="I3498" i="21"/>
  <c r="I3499" i="21"/>
  <c r="I3500" i="21"/>
  <c r="I3501" i="21"/>
  <c r="I3502" i="21"/>
  <c r="I3503" i="21"/>
  <c r="I3504" i="21"/>
  <c r="I3506" i="21"/>
  <c r="I3507" i="21"/>
  <c r="I3509" i="21"/>
  <c r="I3510" i="21"/>
  <c r="I3512" i="21"/>
  <c r="I3513" i="21"/>
  <c r="I3514" i="21"/>
  <c r="I3520" i="21"/>
  <c r="I3521" i="21"/>
  <c r="I3533" i="21"/>
  <c r="I3534" i="21"/>
  <c r="I3535" i="21"/>
  <c r="I3536" i="21"/>
  <c r="I3537" i="21"/>
  <c r="I3549" i="21"/>
  <c r="I3596" i="21"/>
  <c r="I3597" i="21"/>
  <c r="I3598" i="21"/>
  <c r="I3656" i="21"/>
  <c r="I3681" i="21"/>
  <c r="I3692" i="21"/>
  <c r="I3693" i="21"/>
  <c r="I3694" i="21"/>
  <c r="I3696" i="21"/>
  <c r="I3695" i="21"/>
  <c r="I3700" i="21"/>
  <c r="I3699" i="21"/>
  <c r="I3709" i="21"/>
  <c r="I3711" i="21"/>
  <c r="I3712" i="21"/>
  <c r="I3715" i="21"/>
  <c r="I3714" i="21"/>
  <c r="I3756" i="21"/>
  <c r="I3757" i="21"/>
  <c r="I3758" i="21"/>
  <c r="I3760" i="21"/>
  <c r="I3759" i="21"/>
  <c r="I3764" i="21"/>
  <c r="I3765" i="21"/>
  <c r="I3763" i="21"/>
  <c r="I3776" i="21"/>
  <c r="I3780" i="21"/>
  <c r="I3779" i="21"/>
  <c r="I3788" i="21"/>
  <c r="I3789" i="21"/>
  <c r="I3791" i="21"/>
  <c r="I3790" i="21"/>
  <c r="I3792" i="21"/>
  <c r="I3794" i="21"/>
  <c r="I3795" i="21"/>
  <c r="I3796" i="21"/>
  <c r="I3797" i="21"/>
  <c r="I3799" i="21"/>
  <c r="I3798" i="21"/>
  <c r="I3804" i="21"/>
  <c r="I3803" i="21"/>
  <c r="I3810" i="21"/>
  <c r="I3811" i="21"/>
  <c r="I3812" i="21"/>
  <c r="I3813" i="21"/>
  <c r="I3814" i="21"/>
  <c r="I3815" i="21"/>
  <c r="I3817" i="21"/>
  <c r="I3818" i="21"/>
  <c r="I3821" i="21"/>
  <c r="I3822" i="21"/>
  <c r="I3825" i="21"/>
  <c r="I3826" i="21"/>
  <c r="I3835" i="21"/>
  <c r="I3842" i="21"/>
  <c r="I3845" i="21"/>
  <c r="I3847" i="21"/>
  <c r="I3849" i="21"/>
  <c r="I3851" i="21"/>
  <c r="I3853" i="21"/>
  <c r="I3878" i="21"/>
  <c r="I3888" i="21"/>
  <c r="I3891" i="21"/>
  <c r="I4444" i="21"/>
  <c r="I4445" i="21"/>
  <c r="I4451" i="21"/>
  <c r="I4460" i="21"/>
  <c r="I4462" i="21"/>
  <c r="I4463" i="21"/>
  <c r="I4465" i="21"/>
  <c r="I4466" i="21"/>
  <c r="I4474" i="21"/>
  <c r="I4475" i="21"/>
  <c r="I4476" i="21"/>
  <c r="I4477" i="21"/>
  <c r="I4478" i="21"/>
  <c r="I4479" i="21"/>
  <c r="I4482" i="21"/>
  <c r="I4483" i="21"/>
  <c r="I4484" i="21"/>
  <c r="I4485" i="21"/>
  <c r="I4486" i="21"/>
  <c r="I4487" i="21"/>
  <c r="I4488" i="21"/>
  <c r="I4490" i="21"/>
  <c r="I4491" i="21"/>
  <c r="I4492" i="21"/>
  <c r="I4493" i="21"/>
  <c r="I4496" i="21"/>
  <c r="I4497" i="21"/>
  <c r="I4498" i="21"/>
  <c r="I4502" i="21"/>
  <c r="I4503" i="21"/>
  <c r="I4504" i="21"/>
  <c r="I4522" i="21"/>
  <c r="I4644" i="21"/>
  <c r="I4645" i="21"/>
  <c r="I4647" i="21"/>
  <c r="I4650" i="21"/>
  <c r="I4648" i="21"/>
  <c r="I4652" i="21"/>
  <c r="I4653" i="21"/>
  <c r="I4654" i="21"/>
  <c r="I4655" i="21"/>
  <c r="I4658" i="21"/>
  <c r="I4656" i="21"/>
  <c r="I4657" i="21"/>
  <c r="I4665" i="21"/>
  <c r="I4673" i="21"/>
  <c r="I4675" i="21"/>
  <c r="I4700" i="21"/>
  <c r="I4904" i="21"/>
  <c r="I4905" i="21"/>
  <c r="I4940" i="21"/>
  <c r="I4941" i="21"/>
  <c r="I4942" i="21"/>
  <c r="I4945" i="21"/>
  <c r="I4992" i="21"/>
  <c r="I5002" i="21"/>
  <c r="I5176" i="21"/>
  <c r="I5179" i="21"/>
  <c r="I5425" i="21"/>
  <c r="I5429" i="21"/>
  <c r="I5430" i="21"/>
  <c r="I5432" i="21"/>
  <c r="I5433" i="21"/>
  <c r="I5434" i="21"/>
  <c r="I5436" i="21"/>
  <c r="I5437" i="21"/>
  <c r="I5438" i="21"/>
  <c r="I5439" i="21"/>
  <c r="I5440" i="21"/>
  <c r="I5441" i="21"/>
  <c r="I5442" i="21"/>
  <c r="I5443" i="21"/>
  <c r="I5448" i="21"/>
  <c r="I5462" i="21"/>
  <c r="I5470" i="21"/>
  <c r="I5472" i="21"/>
  <c r="I5521" i="21"/>
  <c r="I5522" i="21"/>
  <c r="I5523" i="21"/>
  <c r="I5524" i="21"/>
  <c r="I5525" i="21"/>
  <c r="I5526" i="21"/>
  <c r="I5527" i="21"/>
  <c r="I5528" i="21"/>
  <c r="I5529" i="21"/>
  <c r="I5530" i="21"/>
  <c r="I5531" i="21"/>
  <c r="I5532" i="21"/>
  <c r="I5533" i="21"/>
  <c r="I5534" i="21"/>
  <c r="I5535" i="21"/>
  <c r="I5536" i="21"/>
  <c r="I5537" i="21"/>
  <c r="I5538" i="21"/>
  <c r="I5539" i="21"/>
  <c r="I5540" i="21"/>
  <c r="I5541" i="21"/>
  <c r="I5542" i="21"/>
  <c r="I5546" i="21"/>
  <c r="I5557" i="21"/>
  <c r="I5559" i="21"/>
  <c r="I5565" i="21"/>
  <c r="I5567" i="21"/>
  <c r="I5568" i="21"/>
  <c r="I5571" i="21"/>
  <c r="I5572" i="21"/>
  <c r="I5573" i="21"/>
  <c r="I5574" i="21"/>
  <c r="I5575" i="21"/>
  <c r="I5576" i="21"/>
  <c r="I5577" i="21"/>
  <c r="I5578" i="21"/>
  <c r="I5579" i="21"/>
  <c r="I5580" i="21"/>
  <c r="I5581" i="21"/>
  <c r="I5582" i="21"/>
  <c r="I5583" i="21"/>
  <c r="I5584" i="21"/>
  <c r="I5585" i="21"/>
  <c r="I5586" i="21"/>
  <c r="I5587" i="21"/>
  <c r="I5588" i="21"/>
  <c r="I5589" i="21"/>
  <c r="I5590" i="21"/>
  <c r="I5594" i="21"/>
  <c r="I5596" i="21"/>
  <c r="I5597" i="21"/>
  <c r="I5600" i="21"/>
  <c r="I5601" i="21"/>
  <c r="I5602" i="21"/>
  <c r="I5603" i="21"/>
  <c r="I5604" i="21"/>
  <c r="I5605" i="21"/>
  <c r="I5606" i="21"/>
  <c r="I5607" i="21"/>
  <c r="I5608" i="21"/>
  <c r="I5609" i="21"/>
  <c r="I5610" i="21"/>
  <c r="I5611" i="21"/>
  <c r="I5612" i="21"/>
  <c r="I5613" i="21"/>
  <c r="I5614" i="21"/>
  <c r="I5615" i="21"/>
  <c r="I5616" i="21"/>
  <c r="I5617" i="21"/>
  <c r="I5618" i="21"/>
  <c r="I5619" i="21"/>
  <c r="I5620" i="21"/>
  <c r="I5621" i="21"/>
  <c r="I5622" i="21"/>
  <c r="I5623" i="21"/>
  <c r="I5624" i="21"/>
  <c r="I5625" i="21"/>
  <c r="I5626" i="21"/>
  <c r="I5627" i="21"/>
  <c r="I5628" i="21"/>
  <c r="I5631" i="21"/>
  <c r="I5634" i="21"/>
  <c r="I5635" i="21"/>
  <c r="I5636" i="21"/>
  <c r="I5639" i="21"/>
  <c r="I5651" i="21"/>
  <c r="I5652" i="21"/>
  <c r="I5653" i="21"/>
  <c r="I5654" i="21"/>
  <c r="I5655" i="21"/>
  <c r="I5656" i="21"/>
  <c r="I5658" i="21"/>
  <c r="I5659" i="21"/>
  <c r="I5661" i="21"/>
  <c r="I5662" i="21"/>
  <c r="I5663" i="21"/>
  <c r="I5665" i="21"/>
  <c r="I5668" i="21"/>
  <c r="I5669" i="21"/>
  <c r="I5670" i="21"/>
  <c r="I5671" i="21"/>
  <c r="I5673" i="21"/>
  <c r="I5674" i="21"/>
  <c r="I5677" i="21"/>
  <c r="I5678" i="21"/>
  <c r="I5679" i="21"/>
  <c r="I5680" i="21"/>
  <c r="I5681" i="21"/>
  <c r="I5682" i="21"/>
  <c r="I5683" i="21"/>
  <c r="I5684" i="21"/>
  <c r="I5685" i="21"/>
  <c r="I5687" i="21"/>
  <c r="I5692" i="21"/>
  <c r="I5704" i="21"/>
  <c r="I5706" i="21"/>
  <c r="I5719" i="21"/>
  <c r="I5721" i="21"/>
  <c r="I5723" i="21"/>
  <c r="I5724" i="21"/>
  <c r="I5725" i="21"/>
  <c r="I5727" i="21"/>
  <c r="I5734" i="21"/>
  <c r="I5735" i="21"/>
  <c r="I5736" i="21"/>
  <c r="I5737" i="21"/>
  <c r="I5738" i="21"/>
  <c r="I5739" i="21"/>
  <c r="I5740" i="21"/>
  <c r="I5741" i="21"/>
  <c r="I5742" i="21"/>
  <c r="I5743" i="21"/>
  <c r="I5744" i="21"/>
  <c r="I5745" i="21"/>
  <c r="I5748" i="21"/>
  <c r="I5749" i="21"/>
  <c r="I5750" i="21"/>
  <c r="I5751" i="21"/>
  <c r="I5752" i="21"/>
  <c r="I5753" i="21"/>
  <c r="I5754" i="21"/>
  <c r="I5755" i="21"/>
  <c r="I5756" i="21"/>
  <c r="I5757" i="21"/>
  <c r="I5758" i="21"/>
  <c r="I5759" i="21"/>
  <c r="I5760" i="21"/>
  <c r="I5761" i="21"/>
  <c r="I5762" i="21"/>
  <c r="I5763" i="21"/>
  <c r="I5764" i="21"/>
  <c r="I5765" i="21"/>
  <c r="I5792" i="21"/>
  <c r="I5793" i="21"/>
  <c r="I5796" i="21"/>
  <c r="I5797" i="21"/>
  <c r="I5800" i="21"/>
  <c r="I5801" i="21"/>
  <c r="I5802" i="21"/>
  <c r="I5803" i="21"/>
  <c r="I5804" i="21"/>
  <c r="I5805" i="21"/>
  <c r="I5806" i="21"/>
  <c r="I5807" i="21"/>
  <c r="I5808" i="21"/>
  <c r="I5809" i="21"/>
  <c r="I5810" i="21"/>
  <c r="I5811" i="21"/>
  <c r="I5812" i="21"/>
  <c r="I5813" i="21"/>
  <c r="I5814" i="21"/>
  <c r="I5815" i="21"/>
  <c r="I5816" i="21"/>
  <c r="I5817" i="21"/>
  <c r="I5818" i="21"/>
  <c r="I5819" i="21"/>
  <c r="I5822" i="21"/>
  <c r="I5823" i="21"/>
  <c r="I5824" i="21"/>
  <c r="I5825" i="21"/>
  <c r="I5826" i="21"/>
  <c r="I5827" i="21"/>
  <c r="I5828" i="21"/>
  <c r="I5829" i="21"/>
  <c r="I5832" i="21"/>
  <c r="I5833" i="21"/>
  <c r="I5844" i="21"/>
  <c r="I5845" i="21"/>
  <c r="I5846" i="21"/>
  <c r="I5847" i="21"/>
  <c r="I5848" i="21"/>
  <c r="I5849" i="21"/>
  <c r="I5852" i="21"/>
  <c r="I5853" i="21"/>
  <c r="I5854" i="21"/>
  <c r="I5855" i="21"/>
  <c r="I5856" i="21"/>
  <c r="I5857" i="21"/>
  <c r="I5862" i="21"/>
  <c r="I5863" i="21"/>
  <c r="I5864" i="21"/>
  <c r="I5865" i="21"/>
  <c r="I5866" i="21"/>
  <c r="I5867" i="21"/>
  <c r="I5868" i="21"/>
  <c r="I5869" i="21"/>
  <c r="I5870" i="21"/>
  <c r="I5871" i="21"/>
  <c r="I5872" i="21"/>
  <c r="I5873" i="21"/>
  <c r="I5874" i="21"/>
  <c r="I5875" i="21"/>
  <c r="I5876" i="21"/>
  <c r="I5877" i="21"/>
  <c r="I5878" i="21"/>
  <c r="I5879" i="21"/>
  <c r="I5880" i="21"/>
  <c r="I5881" i="21"/>
  <c r="I5882" i="21"/>
  <c r="I5883" i="21"/>
  <c r="I5886" i="21"/>
  <c r="I5887" i="21"/>
  <c r="I5888" i="21"/>
  <c r="I5889" i="21"/>
  <c r="I5890" i="21"/>
  <c r="I5891" i="21"/>
  <c r="I5892" i="21"/>
  <c r="I5893" i="21"/>
  <c r="I5894" i="21"/>
  <c r="I5895" i="21"/>
  <c r="I5896" i="21"/>
  <c r="I5897" i="21"/>
  <c r="I5898" i="21"/>
  <c r="I5899" i="21"/>
  <c r="I5900" i="21"/>
  <c r="I5901" i="21"/>
  <c r="I5902" i="21"/>
  <c r="I5903" i="21"/>
  <c r="I5906" i="21"/>
  <c r="I5907" i="21"/>
  <c r="I5908" i="21"/>
  <c r="I5909" i="21"/>
  <c r="I5910" i="21"/>
  <c r="I5911" i="21"/>
  <c r="I5912" i="21"/>
  <c r="I5913" i="21"/>
  <c r="I5922" i="21"/>
  <c r="I5923" i="21"/>
  <c r="I5924" i="21"/>
  <c r="I5925" i="21"/>
  <c r="I5927" i="21"/>
  <c r="I5928" i="21"/>
  <c r="I5929" i="21"/>
  <c r="I5930" i="21"/>
  <c r="I5931" i="21"/>
  <c r="I5932" i="21"/>
  <c r="I5933" i="21"/>
  <c r="I5935" i="21"/>
  <c r="I5936" i="21"/>
  <c r="I5937" i="21"/>
  <c r="I5939" i="21"/>
  <c r="I5940" i="21"/>
  <c r="I5941" i="21"/>
  <c r="I5942" i="21"/>
  <c r="I5943" i="21"/>
  <c r="I5945" i="21"/>
  <c r="I5947" i="21"/>
  <c r="I5948" i="21"/>
  <c r="I5950" i="21"/>
  <c r="I5951" i="21"/>
  <c r="I5952" i="21"/>
  <c r="I5953" i="21"/>
  <c r="I5954" i="21"/>
  <c r="I5957" i="21"/>
  <c r="I5959" i="21"/>
  <c r="I5968" i="21"/>
  <c r="I5977" i="21"/>
  <c r="I5978" i="21"/>
  <c r="I5980" i="21"/>
  <c r="I5981" i="21"/>
  <c r="I5982" i="21"/>
  <c r="I5983" i="21"/>
  <c r="I5984" i="21"/>
  <c r="I5985" i="21"/>
  <c r="I5986" i="21"/>
  <c r="I5987" i="21"/>
  <c r="I5988" i="21"/>
  <c r="I5989" i="21"/>
  <c r="I5990" i="21"/>
  <c r="I5991" i="21"/>
  <c r="I5992" i="21"/>
  <c r="I5993" i="21"/>
  <c r="I5994" i="21"/>
  <c r="I5995" i="21"/>
  <c r="I5996" i="21"/>
  <c r="I5997" i="21"/>
  <c r="I5998" i="21"/>
  <c r="I5999" i="21"/>
  <c r="I6000" i="21"/>
  <c r="I6001" i="21"/>
  <c r="I6002" i="21"/>
  <c r="I6003" i="21"/>
  <c r="I6004" i="21"/>
  <c r="I6005" i="21"/>
  <c r="I6006" i="21"/>
  <c r="I6007" i="21"/>
  <c r="I6008" i="21"/>
  <c r="I6013" i="21"/>
  <c r="I6015" i="21"/>
  <c r="I6023" i="21"/>
  <c r="I6029" i="21"/>
  <c r="I6033" i="21"/>
  <c r="I6035" i="21"/>
  <c r="I6039" i="21"/>
  <c r="I6043" i="21"/>
  <c r="I6049" i="21"/>
  <c r="I6051" i="21"/>
  <c r="I6053" i="21"/>
  <c r="I6057" i="21"/>
  <c r="I6059" i="21"/>
  <c r="I6065" i="21"/>
  <c r="I6071" i="21"/>
  <c r="I6075" i="21"/>
  <c r="I6079" i="21"/>
  <c r="I6081" i="21"/>
  <c r="I6083" i="21"/>
  <c r="I6085" i="21"/>
  <c r="I6087" i="21"/>
  <c r="I6093" i="21"/>
  <c r="I6095" i="21"/>
  <c r="I6115" i="21"/>
  <c r="I6127" i="21"/>
  <c r="I6129" i="21"/>
  <c r="I6131" i="21"/>
  <c r="I6133" i="21"/>
  <c r="I6135" i="21"/>
  <c r="I6137" i="21"/>
  <c r="I6139" i="21"/>
  <c r="I6153" i="21"/>
  <c r="I6241" i="21"/>
  <c r="I6267" i="21"/>
  <c r="I6271" i="21"/>
  <c r="I6277" i="21"/>
  <c r="I6279" i="21"/>
  <c r="I6281" i="21"/>
  <c r="I6343" i="21"/>
  <c r="I6345" i="21"/>
  <c r="I6347" i="21"/>
  <c r="I6349" i="21"/>
  <c r="I6351" i="21"/>
  <c r="I6353" i="21"/>
  <c r="I6355" i="21"/>
  <c r="I6357" i="21"/>
  <c r="I6359" i="21"/>
  <c r="I6361" i="21"/>
  <c r="I6363" i="21"/>
  <c r="I6375" i="21"/>
  <c r="I6395" i="21"/>
  <c r="I6419" i="21"/>
  <c r="I6431" i="21"/>
  <c r="I6433" i="21"/>
  <c r="I6435" i="21"/>
  <c r="I6437" i="21"/>
  <c r="I6439" i="21"/>
  <c r="I6540" i="21"/>
  <c r="I6542" i="21"/>
  <c r="I6552" i="21"/>
  <c r="I6554" i="21"/>
  <c r="I6556" i="21"/>
  <c r="I6558" i="21"/>
  <c r="I6562" i="21"/>
  <c r="I6572" i="21"/>
  <c r="I6574" i="21"/>
  <c r="I6576" i="21"/>
  <c r="I6580" i="21"/>
  <c r="I6582" i="21"/>
  <c r="I6588" i="21"/>
  <c r="I6590" i="21"/>
  <c r="I6594" i="21"/>
  <c r="I6596" i="21"/>
  <c r="I6598" i="21"/>
  <c r="I6600" i="21"/>
  <c r="I6602" i="21"/>
  <c r="I6604" i="21"/>
  <c r="I6606" i="21"/>
  <c r="I6608" i="21"/>
  <c r="I6611" i="21"/>
  <c r="I6637" i="21"/>
  <c r="I6653" i="21"/>
  <c r="I6661" i="21"/>
  <c r="I6663" i="21"/>
  <c r="I6675" i="21"/>
  <c r="I6685" i="21"/>
  <c r="I6689" i="21"/>
  <c r="I6699" i="21"/>
  <c r="I6701" i="21"/>
  <c r="I6721" i="21"/>
  <c r="I6723" i="21"/>
  <c r="I6724" i="21"/>
  <c r="I6725" i="21"/>
  <c r="I6727" i="21"/>
  <c r="I6728" i="21"/>
  <c r="I6744" i="21"/>
  <c r="I6748" i="21"/>
  <c r="I6750" i="21"/>
  <c r="I6752" i="21"/>
  <c r="I6754" i="21"/>
  <c r="I6756" i="21"/>
  <c r="I101" i="21"/>
  <c r="I118" i="21"/>
  <c r="I119" i="21"/>
  <c r="I120" i="21"/>
  <c r="I121" i="21"/>
  <c r="I122" i="21"/>
  <c r="I123" i="21"/>
  <c r="I136" i="21"/>
  <c r="I137" i="21"/>
  <c r="I177" i="21"/>
  <c r="I198" i="21"/>
  <c r="I199" i="21"/>
  <c r="I200" i="21"/>
  <c r="I204" i="21"/>
  <c r="I205" i="21"/>
  <c r="I256" i="21"/>
  <c r="I257" i="21"/>
  <c r="I323" i="21"/>
  <c r="I324" i="21"/>
  <c r="I334" i="21"/>
  <c r="I335" i="21"/>
  <c r="I432" i="21"/>
  <c r="I433" i="21"/>
  <c r="I435" i="21"/>
  <c r="I434" i="21"/>
  <c r="I437" i="21"/>
  <c r="I436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4" i="21"/>
  <c r="I453" i="21"/>
  <c r="I456" i="21"/>
  <c r="I455" i="21"/>
  <c r="I458" i="21"/>
  <c r="I457" i="21"/>
  <c r="I459" i="21"/>
  <c r="I460" i="21"/>
  <c r="I462" i="21"/>
  <c r="I461" i="21"/>
  <c r="I464" i="21"/>
  <c r="I463" i="21"/>
  <c r="I466" i="21"/>
  <c r="I465" i="21"/>
  <c r="I467" i="21"/>
  <c r="I526" i="21"/>
  <c r="I527" i="21"/>
  <c r="I528" i="21"/>
  <c r="I529" i="21"/>
  <c r="I531" i="21"/>
  <c r="I530" i="21"/>
  <c r="I533" i="21"/>
  <c r="I532" i="21"/>
  <c r="I534" i="21"/>
  <c r="I535" i="21"/>
  <c r="I536" i="21"/>
  <c r="I537" i="21"/>
  <c r="I538" i="21"/>
  <c r="I539" i="21"/>
  <c r="I540" i="21"/>
  <c r="I541" i="21"/>
  <c r="I542" i="21"/>
  <c r="I543" i="21"/>
  <c r="I544" i="21"/>
  <c r="I546" i="21"/>
  <c r="I547" i="21"/>
  <c r="I545" i="21"/>
  <c r="I549" i="21"/>
  <c r="I548" i="21"/>
  <c r="I551" i="21"/>
  <c r="I550" i="21"/>
  <c r="I552" i="21"/>
  <c r="I553" i="21"/>
  <c r="I554" i="21"/>
  <c r="I556" i="21"/>
  <c r="I555" i="21"/>
  <c r="I558" i="21"/>
  <c r="I557" i="21"/>
  <c r="I559" i="21"/>
  <c r="I560" i="21"/>
  <c r="I561" i="21"/>
  <c r="I607" i="21"/>
  <c r="I635" i="21"/>
  <c r="I641" i="21"/>
  <c r="I642" i="21"/>
  <c r="I897" i="21"/>
  <c r="I899" i="21"/>
  <c r="I898" i="21"/>
  <c r="I901" i="21"/>
  <c r="I900" i="21"/>
  <c r="I902" i="21"/>
  <c r="I903" i="21"/>
  <c r="I904" i="21"/>
  <c r="I905" i="21"/>
  <c r="I906" i="21"/>
  <c r="I907" i="21"/>
  <c r="I908" i="21"/>
  <c r="I909" i="21"/>
  <c r="I911" i="21"/>
  <c r="I910" i="21"/>
  <c r="I913" i="21"/>
  <c r="I912" i="21"/>
  <c r="I915" i="21"/>
  <c r="I914" i="21"/>
  <c r="I917" i="21"/>
  <c r="I916" i="21"/>
  <c r="I919" i="21"/>
  <c r="I920" i="21"/>
  <c r="I918" i="21"/>
  <c r="I922" i="21"/>
  <c r="I923" i="21"/>
  <c r="I921" i="21"/>
  <c r="I924" i="21"/>
  <c r="I925" i="21"/>
  <c r="I926" i="21"/>
  <c r="I927" i="21"/>
  <c r="I928" i="21"/>
  <c r="I929" i="21"/>
  <c r="I931" i="21"/>
  <c r="I930" i="21"/>
  <c r="I932" i="21"/>
  <c r="I933" i="21"/>
  <c r="I934" i="21"/>
  <c r="I1200" i="21"/>
  <c r="I1201" i="21"/>
  <c r="I1202" i="21"/>
  <c r="I1213" i="21"/>
  <c r="I1224" i="21"/>
  <c r="I1225" i="21"/>
  <c r="I1226" i="21"/>
  <c r="I1227" i="21"/>
  <c r="I1228" i="21"/>
  <c r="I1229" i="21"/>
  <c r="I1230" i="21"/>
  <c r="I1231" i="21"/>
  <c r="I1232" i="21"/>
  <c r="I1233" i="21"/>
  <c r="I1235" i="21"/>
  <c r="I1236" i="21"/>
  <c r="I1237" i="21"/>
  <c r="I1238" i="21"/>
  <c r="I1239" i="21"/>
  <c r="I1240" i="21"/>
  <c r="I1241" i="21"/>
  <c r="I1242" i="21"/>
  <c r="I1261" i="21"/>
  <c r="I1297" i="21"/>
  <c r="I1299" i="21"/>
  <c r="I1298" i="21"/>
  <c r="I1300" i="21"/>
  <c r="I1301" i="21"/>
  <c r="I1302" i="21"/>
  <c r="I1303" i="21"/>
  <c r="I1304" i="21"/>
  <c r="I1305" i="21"/>
  <c r="I1369" i="21"/>
  <c r="I1370" i="21"/>
  <c r="I1377" i="21"/>
  <c r="I1388" i="21"/>
  <c r="I1448" i="21"/>
  <c r="I1449" i="21"/>
  <c r="I1450" i="21"/>
  <c r="I1451" i="21"/>
  <c r="I1452" i="21"/>
  <c r="I1453" i="21"/>
  <c r="I1454" i="21"/>
  <c r="I1553" i="21"/>
  <c r="I1554" i="21"/>
  <c r="I1555" i="21"/>
  <c r="I1556" i="21"/>
  <c r="I1557" i="21"/>
  <c r="I1558" i="21"/>
  <c r="I1559" i="21"/>
  <c r="I1560" i="21"/>
  <c r="I2080" i="21"/>
  <c r="I2184" i="21"/>
  <c r="I2185" i="21"/>
  <c r="I2188" i="21"/>
  <c r="I2657" i="21"/>
  <c r="I2658" i="21"/>
  <c r="I2659" i="21"/>
  <c r="I2660" i="21"/>
  <c r="I3576" i="21"/>
  <c r="I3577" i="21"/>
  <c r="I3578" i="21"/>
  <c r="I3581" i="21"/>
  <c r="I3580" i="21"/>
  <c r="I3607" i="21"/>
  <c r="I3608" i="21"/>
  <c r="I3609" i="21"/>
  <c r="I3610" i="21"/>
  <c r="I3611" i="21"/>
  <c r="I3628" i="21"/>
  <c r="I3629" i="21"/>
  <c r="I3630" i="21"/>
  <c r="I3631" i="21"/>
  <c r="I3635" i="21"/>
  <c r="I3634" i="21"/>
  <c r="I3637" i="21"/>
  <c r="I3636" i="21"/>
  <c r="I3638" i="21"/>
  <c r="I3639" i="21"/>
  <c r="I3640" i="21"/>
  <c r="I3641" i="21"/>
  <c r="I3642" i="21"/>
  <c r="I3643" i="21"/>
  <c r="I3644" i="21"/>
  <c r="I3646" i="21"/>
  <c r="I3645" i="21"/>
  <c r="I3647" i="21"/>
  <c r="I3648" i="21"/>
  <c r="I3649" i="21"/>
  <c r="I3651" i="21"/>
  <c r="I3650" i="21"/>
  <c r="I3652" i="21"/>
  <c r="I3654" i="21"/>
  <c r="I3653" i="21"/>
  <c r="I3655" i="21"/>
  <c r="I3688" i="21"/>
  <c r="I3689" i="21"/>
  <c r="I3732" i="21"/>
  <c r="I3733" i="21"/>
  <c r="I3734" i="21"/>
  <c r="I3735" i="21"/>
  <c r="I3736" i="21"/>
  <c r="I3737" i="21"/>
  <c r="I3738" i="21"/>
  <c r="I3739" i="21"/>
  <c r="I3740" i="21"/>
  <c r="I3741" i="21"/>
  <c r="I3742" i="21"/>
  <c r="I3743" i="21"/>
  <c r="I3744" i="21"/>
  <c r="I3745" i="21"/>
  <c r="I3746" i="21"/>
  <c r="I3747" i="21"/>
  <c r="I3748" i="21"/>
  <c r="I3749" i="21"/>
  <c r="I3750" i="21"/>
  <c r="I3751" i="21"/>
  <c r="I3752" i="21"/>
  <c r="I3753" i="21"/>
  <c r="I3754" i="21"/>
  <c r="I4630" i="21"/>
  <c r="I4634" i="21"/>
  <c r="I4635" i="21"/>
  <c r="I4636" i="21"/>
  <c r="I4987" i="21"/>
  <c r="I5483" i="21"/>
  <c r="I5484" i="21"/>
  <c r="I5485" i="21"/>
  <c r="I5519" i="21"/>
  <c r="I1590" i="21"/>
  <c r="I1588" i="21"/>
  <c r="I54" i="21"/>
  <c r="I1589" i="21"/>
  <c r="I1587" i="21"/>
  <c r="I1053" i="21"/>
  <c r="I1057" i="21"/>
  <c r="I1056" i="21"/>
  <c r="I1063" i="21"/>
  <c r="I1068" i="21"/>
  <c r="I1069" i="21"/>
  <c r="I1074" i="21"/>
  <c r="I1080" i="21"/>
  <c r="I1079" i="21"/>
  <c r="I1087" i="21"/>
  <c r="I1092" i="21"/>
  <c r="I1096" i="21"/>
  <c r="I1108" i="21"/>
  <c r="I1116" i="21"/>
  <c r="I1104" i="21"/>
  <c r="I1103" i="21"/>
  <c r="I1121" i="21"/>
  <c r="I1126" i="21"/>
  <c r="I1125" i="21"/>
  <c r="I1133" i="21"/>
  <c r="I1138" i="21"/>
  <c r="I1137" i="21"/>
  <c r="I1534" i="21"/>
  <c r="I1570" i="21"/>
  <c r="I1576" i="21"/>
  <c r="I1575" i="21"/>
  <c r="I1574" i="21"/>
  <c r="I1573" i="21"/>
  <c r="I1572" i="21"/>
  <c r="I1571" i="21"/>
  <c r="I1533" i="21"/>
  <c r="I1532" i="21"/>
  <c r="I1531" i="21"/>
  <c r="I1530" i="21"/>
  <c r="I1593" i="21"/>
  <c r="I5166" i="21"/>
  <c r="I1592" i="21"/>
  <c r="I5165" i="21"/>
  <c r="I1594" i="21"/>
  <c r="I1591" i="21"/>
  <c r="I1661" i="21"/>
  <c r="I1659" i="21"/>
  <c r="I1637" i="21"/>
  <c r="I1638" i="21"/>
  <c r="I1619" i="21"/>
  <c r="I1101" i="21"/>
  <c r="I1621" i="21"/>
  <c r="I1629" i="21"/>
  <c r="I1689" i="21"/>
  <c r="I1516" i="21"/>
  <c r="I1517" i="21"/>
  <c r="I1142" i="21"/>
  <c r="I1521" i="21"/>
  <c r="I1610" i="21"/>
  <c r="I1608" i="21"/>
  <c r="I1653" i="21"/>
  <c r="I1651" i="21"/>
  <c r="I1675" i="21"/>
  <c r="I1673" i="21"/>
  <c r="I1681" i="21"/>
  <c r="I1679" i="21"/>
  <c r="I1660" i="21"/>
  <c r="I1658" i="21"/>
  <c r="I1632" i="21"/>
  <c r="I1633" i="21"/>
  <c r="I1618" i="21"/>
  <c r="I1099" i="21"/>
  <c r="I1620" i="21"/>
  <c r="I1630" i="21"/>
  <c r="I1688" i="21"/>
  <c r="I1105" i="21"/>
  <c r="I1617" i="21"/>
  <c r="I1512" i="21"/>
  <c r="I1513" i="21"/>
  <c r="I1520" i="21"/>
  <c r="I1140" i="21"/>
  <c r="I1609" i="21"/>
  <c r="I1607" i="21"/>
  <c r="I1674" i="21"/>
  <c r="I1672" i="21"/>
  <c r="I1680" i="21"/>
  <c r="I1678" i="21"/>
  <c r="I1404" i="21"/>
  <c r="I1416" i="21"/>
  <c r="I1414" i="21"/>
  <c r="I1420" i="21"/>
  <c r="I1426" i="21"/>
  <c r="I1432" i="21"/>
  <c r="I1434" i="21"/>
  <c r="I1438" i="21"/>
  <c r="I2624" i="21"/>
  <c r="I3590" i="21"/>
  <c r="I2626" i="21"/>
  <c r="I2628" i="21"/>
  <c r="I4687" i="21"/>
  <c r="I2597" i="21"/>
  <c r="I2595" i="21"/>
  <c r="I2593" i="21"/>
  <c r="I2591" i="21"/>
  <c r="I5174" i="21"/>
  <c r="I2569" i="21"/>
  <c r="I2605" i="21"/>
  <c r="I2603" i="21"/>
  <c r="I2601" i="21"/>
  <c r="I2599" i="21"/>
  <c r="I5184" i="21"/>
  <c r="I2571" i="21"/>
  <c r="I5192" i="21"/>
  <c r="I5199" i="21"/>
  <c r="I5218" i="21"/>
  <c r="I5222" i="21"/>
  <c r="I5220" i="21"/>
  <c r="I5229" i="21"/>
  <c r="I5232" i="21"/>
  <c r="I5237" i="21"/>
  <c r="I5241" i="21"/>
  <c r="I5273" i="21"/>
  <c r="I716" i="21"/>
  <c r="I5285" i="21"/>
  <c r="I5289" i="21"/>
  <c r="I5293" i="21"/>
  <c r="I5299" i="21"/>
  <c r="I5303" i="21"/>
  <c r="I5305" i="21"/>
  <c r="I5309" i="21"/>
  <c r="I5320" i="21"/>
  <c r="I5328" i="21"/>
  <c r="I2174" i="21"/>
  <c r="I5334" i="21"/>
  <c r="I2175" i="21"/>
  <c r="I2172" i="21"/>
  <c r="I2165" i="21"/>
  <c r="I5340" i="21"/>
  <c r="I2167" i="21"/>
  <c r="I2163" i="21"/>
  <c r="I5348" i="21"/>
  <c r="I5366" i="21"/>
  <c r="I2666" i="21"/>
  <c r="I1958" i="21"/>
  <c r="I5374" i="21"/>
  <c r="I5391" i="21"/>
  <c r="I5393" i="21"/>
  <c r="I5401" i="21"/>
  <c r="I5409" i="21"/>
  <c r="I5413" i="21"/>
  <c r="I5421" i="21"/>
  <c r="I2662" i="21"/>
  <c r="I2613" i="21"/>
  <c r="I2611" i="21"/>
  <c r="I2609" i="21"/>
  <c r="I2607" i="21"/>
  <c r="I6763" i="21"/>
  <c r="I2573" i="21"/>
  <c r="I1012" i="21"/>
  <c r="I2562" i="21"/>
  <c r="I1405" i="21"/>
  <c r="I1415" i="21"/>
  <c r="I1421" i="21"/>
  <c r="I1427" i="21"/>
  <c r="I1435" i="21"/>
  <c r="I1441" i="21"/>
  <c r="I2627" i="21"/>
  <c r="I3589" i="21"/>
  <c r="I2629" i="21"/>
  <c r="I2625" i="21"/>
  <c r="I4688" i="21"/>
  <c r="I4694" i="21"/>
  <c r="I2596" i="21"/>
  <c r="I2594" i="21"/>
  <c r="I2592" i="21"/>
  <c r="I2590" i="21"/>
  <c r="I5175" i="21"/>
  <c r="I2568" i="21"/>
  <c r="I2604" i="21"/>
  <c r="I2602" i="21"/>
  <c r="I2600" i="21"/>
  <c r="I2598" i="21"/>
  <c r="I2570" i="21"/>
  <c r="I5187" i="21"/>
  <c r="I5193" i="21"/>
  <c r="I5198" i="21"/>
  <c r="I5205" i="21"/>
  <c r="I5213" i="21"/>
  <c r="I5215" i="21"/>
  <c r="I5221" i="21"/>
  <c r="I5240" i="21"/>
  <c r="I5250" i="21"/>
  <c r="I5272" i="21"/>
  <c r="I5274" i="21"/>
  <c r="I5284" i="21"/>
  <c r="I5290" i="21"/>
  <c r="I5294" i="21"/>
  <c r="I5314" i="21"/>
  <c r="I5319" i="21"/>
  <c r="I2176" i="21"/>
  <c r="I5335" i="21"/>
  <c r="I2177" i="21"/>
  <c r="I2173" i="21"/>
  <c r="I5341" i="21"/>
  <c r="I2168" i="21"/>
  <c r="I2166" i="21"/>
  <c r="I2164" i="21"/>
  <c r="I5349" i="21"/>
  <c r="I5363" i="21"/>
  <c r="I5361" i="21"/>
  <c r="I5369" i="21"/>
  <c r="I2665" i="21"/>
  <c r="I5375" i="21"/>
  <c r="I5388" i="21"/>
  <c r="I5400" i="21"/>
  <c r="I5404" i="21"/>
  <c r="I5410" i="21"/>
  <c r="I5416" i="21"/>
  <c r="I5420" i="21"/>
  <c r="I5422" i="21"/>
  <c r="I2661" i="21"/>
  <c r="I2612" i="21"/>
  <c r="I2610" i="21"/>
  <c r="I2608" i="21"/>
  <c r="I2606" i="21"/>
  <c r="I6764" i="21"/>
  <c r="I2572" i="21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53" i="25"/>
  <c r="I154" i="25"/>
  <c r="I155" i="25"/>
  <c r="I156" i="25"/>
  <c r="I157" i="25"/>
  <c r="I158" i="25"/>
  <c r="I159" i="25"/>
  <c r="I160" i="25"/>
  <c r="I161" i="25"/>
  <c r="I162" i="25"/>
  <c r="I163" i="25"/>
  <c r="I164" i="25"/>
  <c r="I165" i="25"/>
  <c r="I166" i="25"/>
  <c r="I167" i="25"/>
  <c r="I168" i="25"/>
  <c r="I169" i="25"/>
  <c r="I170" i="25"/>
  <c r="I171" i="25"/>
  <c r="I172" i="25"/>
  <c r="I173" i="25"/>
  <c r="I174" i="25"/>
  <c r="I175" i="25"/>
  <c r="I176" i="25"/>
  <c r="I177" i="25"/>
  <c r="I178" i="25"/>
  <c r="I179" i="25"/>
  <c r="I180" i="25"/>
  <c r="I181" i="25"/>
  <c r="I182" i="25"/>
  <c r="I183" i="25"/>
  <c r="I184" i="25"/>
  <c r="I185" i="25"/>
  <c r="I186" i="25"/>
  <c r="I187" i="25"/>
  <c r="I188" i="25"/>
  <c r="I189" i="25"/>
  <c r="I190" i="25"/>
  <c r="I191" i="25"/>
  <c r="I192" i="25"/>
  <c r="I193" i="25"/>
  <c r="I194" i="25"/>
  <c r="I195" i="25"/>
  <c r="I196" i="25"/>
  <c r="I197" i="25"/>
  <c r="I198" i="25"/>
  <c r="I199" i="25"/>
  <c r="I200" i="25"/>
  <c r="I201" i="25"/>
  <c r="I202" i="25"/>
  <c r="I203" i="25"/>
  <c r="I204" i="25"/>
  <c r="I205" i="25"/>
  <c r="I206" i="25"/>
  <c r="I207" i="25"/>
  <c r="I208" i="25"/>
  <c r="I209" i="25"/>
  <c r="I210" i="25"/>
  <c r="I211" i="25"/>
  <c r="I212" i="25"/>
  <c r="I213" i="25"/>
  <c r="I214" i="25"/>
  <c r="I215" i="25"/>
  <c r="I216" i="25"/>
  <c r="I217" i="25"/>
  <c r="I218" i="25"/>
  <c r="I219" i="25"/>
  <c r="I220" i="25"/>
  <c r="I221" i="25"/>
  <c r="I222" i="25"/>
  <c r="I223" i="25"/>
  <c r="I224" i="25"/>
  <c r="I225" i="25"/>
  <c r="I226" i="25"/>
  <c r="I227" i="25"/>
  <c r="I228" i="25"/>
  <c r="I229" i="25"/>
  <c r="I230" i="25"/>
  <c r="I231" i="25"/>
  <c r="I232" i="25"/>
  <c r="I233" i="25"/>
  <c r="I234" i="25"/>
  <c r="I235" i="25"/>
  <c r="I236" i="25"/>
  <c r="I237" i="25"/>
  <c r="I238" i="25"/>
  <c r="I239" i="25"/>
  <c r="I240" i="25"/>
  <c r="I241" i="25"/>
  <c r="I242" i="25"/>
  <c r="I243" i="25"/>
  <c r="I244" i="25"/>
  <c r="I245" i="25"/>
  <c r="I246" i="25"/>
  <c r="I247" i="25"/>
  <c r="I248" i="25"/>
  <c r="I249" i="25"/>
  <c r="I250" i="25"/>
  <c r="I251" i="25"/>
  <c r="I252" i="25"/>
  <c r="I253" i="25"/>
  <c r="I254" i="25"/>
  <c r="I255" i="25"/>
  <c r="I256" i="25"/>
  <c r="I257" i="25"/>
  <c r="I258" i="25"/>
  <c r="I259" i="25"/>
  <c r="I260" i="25"/>
  <c r="I261" i="25"/>
  <c r="I262" i="25"/>
  <c r="I263" i="25"/>
  <c r="I264" i="25"/>
  <c r="I265" i="25"/>
  <c r="I266" i="25"/>
  <c r="I267" i="25"/>
  <c r="I268" i="25"/>
  <c r="I269" i="25"/>
  <c r="I270" i="25"/>
  <c r="I271" i="25"/>
  <c r="I272" i="25"/>
  <c r="I273" i="25"/>
  <c r="I274" i="25"/>
  <c r="I275" i="25"/>
  <c r="I276" i="25"/>
  <c r="I277" i="25"/>
  <c r="I278" i="25"/>
  <c r="I279" i="25"/>
  <c r="I280" i="25"/>
  <c r="I281" i="25"/>
  <c r="I282" i="25"/>
  <c r="I283" i="25"/>
  <c r="I284" i="25"/>
  <c r="I285" i="25"/>
  <c r="I286" i="25"/>
  <c r="I287" i="25"/>
  <c r="I288" i="25"/>
  <c r="I289" i="25"/>
  <c r="I290" i="25"/>
  <c r="I291" i="25"/>
  <c r="I292" i="25"/>
  <c r="I293" i="25"/>
  <c r="I294" i="25"/>
  <c r="I295" i="25"/>
  <c r="I296" i="25"/>
  <c r="I297" i="25"/>
  <c r="I298" i="25"/>
  <c r="I299" i="25"/>
  <c r="I300" i="25"/>
  <c r="I301" i="25"/>
  <c r="I302" i="25"/>
  <c r="I303" i="25"/>
  <c r="I304" i="25"/>
  <c r="I305" i="25"/>
  <c r="I306" i="25"/>
  <c r="I307" i="25"/>
  <c r="I308" i="25"/>
  <c r="I309" i="25"/>
  <c r="I310" i="25"/>
  <c r="I311" i="25"/>
  <c r="I312" i="25"/>
  <c r="I313" i="25"/>
  <c r="I314" i="25"/>
  <c r="I315" i="25"/>
  <c r="I316" i="25"/>
  <c r="I317" i="25"/>
  <c r="I318" i="25"/>
  <c r="I319" i="25"/>
  <c r="I320" i="25"/>
  <c r="I321" i="25"/>
  <c r="I322" i="25"/>
  <c r="I323" i="25"/>
  <c r="I324" i="25"/>
  <c r="I325" i="25"/>
  <c r="I326" i="25"/>
  <c r="I327" i="25"/>
  <c r="I328" i="25"/>
  <c r="I329" i="25"/>
  <c r="I330" i="25"/>
  <c r="I331" i="25"/>
  <c r="I332" i="25"/>
  <c r="I333" i="25"/>
  <c r="I334" i="25"/>
  <c r="I335" i="25"/>
  <c r="I336" i="25"/>
  <c r="I337" i="25"/>
  <c r="I338" i="25"/>
  <c r="I339" i="25"/>
  <c r="I340" i="25"/>
  <c r="I341" i="25"/>
  <c r="I342" i="25"/>
  <c r="I343" i="25"/>
  <c r="I344" i="25"/>
  <c r="I345" i="25"/>
  <c r="I346" i="25"/>
  <c r="I347" i="25"/>
  <c r="I348" i="25"/>
  <c r="I349" i="25"/>
  <c r="I350" i="25"/>
  <c r="I351" i="25"/>
  <c r="I352" i="25"/>
  <c r="I353" i="25"/>
  <c r="I354" i="25"/>
  <c r="I355" i="25"/>
  <c r="I356" i="25"/>
  <c r="I357" i="25"/>
  <c r="I358" i="25"/>
  <c r="I359" i="25"/>
  <c r="I360" i="25"/>
  <c r="I361" i="25"/>
  <c r="I362" i="25"/>
  <c r="I363" i="25"/>
  <c r="I364" i="25"/>
  <c r="I365" i="25"/>
  <c r="I366" i="25"/>
  <c r="I367" i="25"/>
  <c r="I368" i="25"/>
  <c r="I369" i="25"/>
  <c r="I370" i="25"/>
  <c r="I371" i="25"/>
  <c r="I372" i="25"/>
  <c r="I373" i="25"/>
  <c r="I374" i="25"/>
  <c r="I375" i="25"/>
  <c r="I376" i="25"/>
  <c r="I377" i="25"/>
  <c r="I378" i="25"/>
  <c r="I379" i="25"/>
  <c r="I380" i="25"/>
  <c r="I381" i="25"/>
  <c r="I382" i="25"/>
  <c r="I383" i="25"/>
  <c r="I384" i="25"/>
  <c r="I385" i="25"/>
  <c r="I386" i="25"/>
  <c r="I387" i="25"/>
  <c r="I388" i="25"/>
  <c r="I389" i="25"/>
  <c r="I390" i="25"/>
  <c r="I391" i="25"/>
  <c r="I392" i="25"/>
  <c r="I393" i="25"/>
  <c r="I394" i="25"/>
  <c r="I395" i="25"/>
  <c r="I396" i="25"/>
  <c r="I397" i="25"/>
  <c r="I398" i="25"/>
  <c r="I399" i="25"/>
  <c r="I400" i="25"/>
  <c r="I401" i="25"/>
  <c r="I402" i="25"/>
  <c r="I403" i="25"/>
  <c r="I404" i="25"/>
  <c r="I405" i="25"/>
  <c r="I406" i="25"/>
  <c r="I407" i="25"/>
  <c r="I408" i="25"/>
  <c r="I409" i="25"/>
  <c r="I410" i="25"/>
  <c r="I411" i="25"/>
  <c r="I412" i="25"/>
  <c r="I413" i="25"/>
  <c r="I414" i="25"/>
  <c r="I415" i="25"/>
  <c r="I416" i="25"/>
  <c r="I417" i="25"/>
  <c r="I418" i="25"/>
  <c r="I419" i="25"/>
  <c r="I420" i="25"/>
  <c r="I421" i="25"/>
  <c r="I422" i="25"/>
  <c r="I423" i="25"/>
  <c r="I424" i="25"/>
  <c r="I425" i="25"/>
  <c r="I426" i="25"/>
  <c r="I427" i="25"/>
  <c r="I428" i="25"/>
  <c r="I429" i="25"/>
  <c r="I430" i="25"/>
  <c r="I431" i="25"/>
  <c r="I432" i="25"/>
  <c r="I433" i="25"/>
  <c r="I434" i="25"/>
  <c r="I435" i="25"/>
  <c r="I436" i="25"/>
  <c r="I437" i="25"/>
  <c r="I438" i="25"/>
  <c r="I439" i="25"/>
  <c r="I440" i="25"/>
  <c r="I441" i="25"/>
  <c r="I442" i="25"/>
  <c r="I443" i="25"/>
  <c r="I444" i="25"/>
  <c r="I445" i="25"/>
  <c r="I446" i="25"/>
  <c r="I447" i="25"/>
  <c r="I448" i="25"/>
  <c r="I449" i="25"/>
  <c r="I450" i="25"/>
  <c r="I451" i="25"/>
  <c r="I452" i="25"/>
  <c r="I453" i="25"/>
  <c r="I454" i="25"/>
  <c r="I455" i="25"/>
  <c r="I456" i="25"/>
  <c r="I457" i="25"/>
  <c r="I458" i="25"/>
  <c r="I459" i="25"/>
  <c r="I460" i="25"/>
  <c r="I461" i="25"/>
  <c r="I462" i="25"/>
  <c r="I463" i="25"/>
  <c r="I464" i="25"/>
  <c r="I465" i="25"/>
  <c r="I466" i="25"/>
  <c r="I467" i="25"/>
  <c r="I468" i="25"/>
  <c r="I469" i="25"/>
  <c r="I470" i="25"/>
  <c r="I471" i="25"/>
  <c r="I472" i="25"/>
  <c r="I473" i="25"/>
  <c r="I474" i="25"/>
  <c r="I475" i="25"/>
  <c r="I476" i="25"/>
  <c r="I477" i="25"/>
  <c r="I478" i="25"/>
  <c r="I479" i="25"/>
  <c r="I480" i="25"/>
  <c r="I481" i="25"/>
  <c r="I482" i="25"/>
  <c r="I483" i="25"/>
  <c r="I484" i="25"/>
  <c r="I485" i="25"/>
  <c r="I486" i="25"/>
  <c r="I487" i="25"/>
  <c r="I488" i="25"/>
  <c r="I489" i="25"/>
  <c r="I490" i="25"/>
  <c r="I491" i="25"/>
  <c r="I492" i="25"/>
  <c r="I493" i="25"/>
  <c r="I494" i="25"/>
  <c r="I495" i="25"/>
  <c r="I496" i="25"/>
  <c r="I497" i="25"/>
  <c r="I498" i="25"/>
  <c r="I499" i="25"/>
  <c r="I500" i="25"/>
  <c r="I501" i="25"/>
  <c r="I502" i="25"/>
  <c r="I503" i="25"/>
  <c r="I504" i="25"/>
  <c r="I505" i="25"/>
  <c r="I506" i="25"/>
  <c r="I507" i="25"/>
  <c r="I508" i="25"/>
  <c r="I509" i="25"/>
  <c r="I510" i="25"/>
  <c r="I511" i="25"/>
  <c r="I512" i="25"/>
  <c r="I513" i="25"/>
  <c r="I514" i="25"/>
  <c r="I515" i="25"/>
  <c r="I516" i="25"/>
  <c r="I517" i="25"/>
  <c r="I518" i="25"/>
  <c r="I519" i="25"/>
  <c r="I520" i="25"/>
  <c r="I521" i="25"/>
  <c r="I522" i="25"/>
  <c r="I523" i="25"/>
  <c r="I524" i="25"/>
  <c r="I525" i="25"/>
  <c r="I526" i="25"/>
  <c r="I527" i="25"/>
  <c r="I528" i="25"/>
  <c r="I529" i="25"/>
  <c r="I530" i="25"/>
  <c r="I531" i="25"/>
  <c r="I532" i="25"/>
  <c r="I533" i="25"/>
  <c r="I534" i="25"/>
  <c r="I535" i="25"/>
  <c r="I536" i="25"/>
  <c r="I537" i="25"/>
  <c r="I538" i="25"/>
  <c r="I539" i="25"/>
  <c r="I540" i="25"/>
  <c r="I541" i="25"/>
  <c r="I542" i="25"/>
  <c r="I543" i="25"/>
  <c r="I544" i="25"/>
  <c r="I545" i="25"/>
  <c r="I546" i="25"/>
  <c r="I547" i="25"/>
  <c r="I548" i="25"/>
  <c r="I549" i="25"/>
  <c r="I550" i="25"/>
  <c r="I551" i="25"/>
  <c r="I552" i="25"/>
  <c r="I553" i="25"/>
  <c r="I554" i="25"/>
  <c r="I555" i="25"/>
  <c r="I556" i="25"/>
  <c r="I557" i="25"/>
  <c r="I558" i="25"/>
  <c r="I559" i="25"/>
  <c r="I560" i="25"/>
  <c r="I561" i="25"/>
  <c r="I562" i="25"/>
  <c r="I563" i="25"/>
  <c r="I564" i="25"/>
  <c r="I565" i="25"/>
  <c r="I566" i="25"/>
  <c r="I567" i="25"/>
  <c r="I568" i="25"/>
  <c r="I569" i="25"/>
  <c r="I570" i="25"/>
  <c r="I571" i="25"/>
  <c r="I572" i="25"/>
  <c r="I573" i="25"/>
  <c r="I574" i="25"/>
  <c r="I575" i="25"/>
  <c r="I576" i="25"/>
  <c r="I577" i="25"/>
  <c r="I578" i="25"/>
  <c r="I579" i="25"/>
  <c r="I580" i="25"/>
  <c r="I581" i="25"/>
  <c r="I582" i="25"/>
  <c r="I583" i="25"/>
  <c r="I584" i="25"/>
  <c r="I585" i="25"/>
  <c r="I586" i="25"/>
  <c r="I587" i="25"/>
  <c r="I588" i="25"/>
  <c r="I589" i="25"/>
  <c r="I590" i="25"/>
  <c r="I591" i="25"/>
  <c r="I592" i="25"/>
  <c r="I593" i="25"/>
  <c r="I594" i="25"/>
  <c r="I595" i="25"/>
  <c r="I596" i="25"/>
  <c r="I597" i="25"/>
  <c r="I598" i="25"/>
  <c r="I599" i="25"/>
  <c r="I600" i="25"/>
  <c r="I601" i="25"/>
  <c r="I602" i="25"/>
  <c r="I603" i="25"/>
  <c r="I604" i="25"/>
  <c r="I605" i="25"/>
  <c r="I606" i="25"/>
  <c r="I607" i="25"/>
  <c r="I608" i="25"/>
  <c r="I609" i="25"/>
  <c r="I610" i="25"/>
  <c r="I611" i="25"/>
  <c r="I612" i="25"/>
  <c r="I613" i="25"/>
  <c r="I614" i="25"/>
  <c r="I615" i="25"/>
  <c r="I616" i="25"/>
  <c r="I617" i="25"/>
  <c r="I618" i="25"/>
  <c r="I619" i="25"/>
  <c r="I620" i="25"/>
  <c r="I621" i="25"/>
  <c r="I622" i="25"/>
  <c r="I623" i="25"/>
  <c r="I624" i="25"/>
  <c r="I625" i="25"/>
  <c r="I626" i="25"/>
  <c r="I627" i="25"/>
  <c r="I628" i="25"/>
  <c r="I629" i="25"/>
  <c r="I630" i="25"/>
  <c r="I631" i="25"/>
  <c r="I632" i="25"/>
  <c r="I633" i="25"/>
  <c r="I634" i="25"/>
  <c r="I635" i="25"/>
  <c r="I636" i="25"/>
  <c r="I637" i="25"/>
  <c r="I638" i="25"/>
  <c r="I639" i="25"/>
  <c r="I640" i="25"/>
  <c r="I641" i="25"/>
  <c r="I642" i="25"/>
  <c r="I643" i="25"/>
  <c r="I644" i="25"/>
  <c r="I645" i="25"/>
  <c r="I646" i="25"/>
  <c r="I647" i="25"/>
  <c r="I648" i="25"/>
  <c r="I649" i="25"/>
  <c r="I650" i="25"/>
  <c r="I651" i="25"/>
  <c r="I652" i="25"/>
  <c r="I653" i="25"/>
  <c r="I654" i="25"/>
  <c r="I655" i="25"/>
  <c r="I656" i="25"/>
  <c r="I657" i="25"/>
  <c r="I658" i="25"/>
  <c r="I659" i="25"/>
  <c r="I660" i="25"/>
  <c r="I661" i="25"/>
  <c r="I662" i="25"/>
  <c r="I663" i="25"/>
  <c r="I664" i="25"/>
  <c r="I665" i="25"/>
  <c r="I666" i="25"/>
  <c r="I667" i="25"/>
  <c r="I668" i="25"/>
  <c r="I669" i="25"/>
  <c r="I670" i="25"/>
  <c r="I671" i="25"/>
  <c r="I672" i="25"/>
  <c r="I673" i="25"/>
  <c r="I674" i="25"/>
  <c r="I675" i="25"/>
  <c r="I676" i="25"/>
  <c r="I677" i="25"/>
  <c r="I678" i="25"/>
  <c r="I679" i="25"/>
  <c r="I680" i="25"/>
  <c r="I681" i="25"/>
  <c r="I682" i="25"/>
  <c r="I683" i="25"/>
  <c r="I684" i="25"/>
  <c r="I685" i="25"/>
  <c r="I686" i="25"/>
  <c r="I687" i="25"/>
  <c r="I688" i="25"/>
  <c r="I689" i="25"/>
  <c r="I690" i="25"/>
  <c r="I691" i="25"/>
  <c r="I692" i="25"/>
  <c r="I693" i="25"/>
  <c r="I694" i="25"/>
  <c r="I695" i="25"/>
  <c r="I696" i="25"/>
  <c r="I697" i="25"/>
  <c r="I698" i="25"/>
  <c r="I699" i="25"/>
  <c r="I700" i="25"/>
  <c r="I701" i="25"/>
  <c r="I702" i="25"/>
  <c r="I703" i="25"/>
  <c r="I704" i="25"/>
  <c r="I705" i="25"/>
  <c r="I706" i="25"/>
  <c r="I707" i="25"/>
  <c r="I708" i="25"/>
  <c r="I709" i="25"/>
  <c r="I710" i="25"/>
  <c r="I711" i="25"/>
  <c r="I712" i="25"/>
  <c r="I713" i="25"/>
  <c r="I714" i="25"/>
  <c r="I715" i="25"/>
  <c r="I716" i="25"/>
  <c r="I717" i="25"/>
  <c r="I718" i="25"/>
  <c r="I719" i="25"/>
  <c r="I720" i="25"/>
  <c r="I721" i="25"/>
  <c r="I722" i="25"/>
  <c r="I723" i="25"/>
  <c r="I724" i="25"/>
  <c r="I725" i="25"/>
  <c r="I726" i="25"/>
  <c r="I727" i="25"/>
  <c r="I728" i="25"/>
  <c r="I729" i="25"/>
  <c r="I730" i="25"/>
  <c r="I731" i="25"/>
  <c r="I732" i="25"/>
  <c r="I733" i="25"/>
  <c r="I734" i="25"/>
  <c r="I735" i="25"/>
  <c r="I736" i="25"/>
  <c r="I737" i="25"/>
  <c r="I738" i="25"/>
  <c r="I739" i="25"/>
  <c r="I740" i="25"/>
  <c r="I741" i="25"/>
  <c r="I742" i="25"/>
  <c r="I743" i="25"/>
  <c r="I744" i="25"/>
  <c r="I745" i="25"/>
  <c r="I746" i="25"/>
  <c r="I747" i="25"/>
  <c r="I748" i="25"/>
  <c r="I749" i="25"/>
  <c r="I750" i="25"/>
  <c r="I751" i="25"/>
  <c r="I752" i="25"/>
  <c r="I753" i="25"/>
  <c r="I754" i="25"/>
  <c r="I755" i="25"/>
  <c r="I756" i="25"/>
  <c r="I757" i="25"/>
  <c r="I758" i="25"/>
  <c r="I759" i="25"/>
  <c r="I760" i="25"/>
  <c r="I761" i="25"/>
  <c r="I762" i="25"/>
  <c r="I763" i="25"/>
  <c r="I764" i="25"/>
  <c r="I765" i="25"/>
  <c r="I766" i="25"/>
  <c r="I767" i="25"/>
  <c r="I768" i="25"/>
  <c r="I769" i="25"/>
  <c r="I770" i="25"/>
  <c r="I771" i="25"/>
  <c r="I772" i="25"/>
  <c r="I773" i="25"/>
  <c r="I774" i="25"/>
  <c r="I775" i="25"/>
  <c r="I776" i="25"/>
  <c r="I777" i="25"/>
  <c r="I778" i="25"/>
  <c r="I779" i="25"/>
  <c r="I780" i="25"/>
  <c r="I781" i="25"/>
  <c r="I782" i="25"/>
  <c r="I783" i="25"/>
  <c r="I784" i="25"/>
  <c r="I785" i="25"/>
  <c r="I786" i="25"/>
  <c r="I787" i="25"/>
  <c r="I788" i="25"/>
  <c r="I789" i="25"/>
  <c r="I790" i="25"/>
  <c r="I791" i="25"/>
  <c r="I792" i="25"/>
  <c r="I793" i="25"/>
  <c r="I794" i="25"/>
  <c r="I795" i="25"/>
  <c r="I796" i="25"/>
  <c r="I797" i="25"/>
  <c r="I798" i="25"/>
  <c r="I799" i="25"/>
  <c r="I800" i="25"/>
  <c r="I801" i="25"/>
  <c r="I802" i="25"/>
  <c r="I803" i="25"/>
  <c r="I804" i="25"/>
  <c r="I805" i="25"/>
  <c r="I806" i="25"/>
  <c r="I807" i="25"/>
  <c r="I808" i="25"/>
  <c r="I809" i="25"/>
  <c r="I810" i="25"/>
  <c r="I811" i="25"/>
  <c r="I812" i="25"/>
  <c r="I813" i="25"/>
  <c r="I814" i="25"/>
  <c r="I815" i="25"/>
  <c r="I816" i="25"/>
  <c r="I817" i="25"/>
  <c r="I818" i="25"/>
  <c r="I819" i="25"/>
  <c r="I820" i="25"/>
  <c r="I821" i="25"/>
  <c r="I822" i="25"/>
  <c r="I823" i="25"/>
  <c r="I824" i="25"/>
  <c r="I825" i="25"/>
  <c r="I826" i="25"/>
  <c r="I827" i="25"/>
  <c r="I828" i="25"/>
  <c r="I829" i="25"/>
  <c r="I830" i="25"/>
  <c r="I831" i="25"/>
  <c r="I832" i="25"/>
  <c r="I833" i="25"/>
  <c r="I834" i="25"/>
  <c r="I835" i="25"/>
  <c r="I836" i="25"/>
  <c r="I837" i="25"/>
  <c r="I838" i="25"/>
  <c r="I839" i="25"/>
  <c r="I840" i="25"/>
  <c r="I841" i="25"/>
  <c r="I842" i="25"/>
  <c r="I843" i="25"/>
  <c r="I844" i="25"/>
  <c r="I845" i="25"/>
  <c r="I846" i="25"/>
  <c r="I847" i="25"/>
  <c r="I848" i="25"/>
  <c r="I849" i="25"/>
  <c r="I850" i="25"/>
  <c r="I851" i="25"/>
  <c r="I852" i="25"/>
  <c r="I853" i="25"/>
  <c r="I854" i="25"/>
  <c r="I855" i="25"/>
  <c r="I856" i="25"/>
  <c r="I857" i="25"/>
  <c r="I858" i="25"/>
  <c r="I859" i="25"/>
  <c r="I860" i="25"/>
  <c r="I861" i="25"/>
  <c r="I862" i="25"/>
  <c r="I863" i="25"/>
  <c r="I864" i="25"/>
  <c r="I865" i="25"/>
  <c r="I866" i="25"/>
  <c r="I867" i="25"/>
  <c r="I868" i="25"/>
  <c r="I869" i="25"/>
  <c r="I870" i="25"/>
  <c r="I871" i="25"/>
  <c r="I872" i="25"/>
  <c r="I873" i="25"/>
  <c r="I874" i="25"/>
  <c r="I875" i="25"/>
  <c r="I876" i="25"/>
  <c r="I877" i="25"/>
  <c r="I878" i="25"/>
  <c r="I879" i="25"/>
  <c r="I880" i="25"/>
  <c r="I881" i="25"/>
  <c r="I882" i="25"/>
  <c r="I883" i="25"/>
  <c r="I884" i="25"/>
  <c r="I885" i="25"/>
  <c r="I886" i="25"/>
  <c r="I887" i="25"/>
  <c r="I888" i="25"/>
  <c r="I889" i="25"/>
  <c r="I890" i="25"/>
  <c r="I891" i="25"/>
  <c r="I892" i="25"/>
  <c r="I893" i="25"/>
  <c r="I894" i="25"/>
  <c r="I895" i="25"/>
  <c r="I896" i="25"/>
  <c r="I897" i="25"/>
  <c r="I898" i="25"/>
  <c r="I899" i="25"/>
  <c r="I900" i="25"/>
  <c r="I901" i="25"/>
  <c r="I902" i="25"/>
  <c r="I903" i="25"/>
  <c r="I904" i="25"/>
  <c r="I905" i="25"/>
  <c r="I906" i="25"/>
  <c r="I907" i="25"/>
  <c r="I908" i="25"/>
  <c r="I909" i="25"/>
  <c r="I910" i="25"/>
  <c r="I911" i="25"/>
  <c r="I912" i="25"/>
  <c r="I913" i="25"/>
  <c r="I914" i="25"/>
  <c r="I915" i="25"/>
  <c r="I916" i="25"/>
  <c r="I917" i="25"/>
  <c r="I918" i="25"/>
  <c r="I919" i="25"/>
  <c r="I920" i="25"/>
  <c r="I921" i="25"/>
  <c r="I922" i="25"/>
  <c r="I923" i="25"/>
  <c r="I924" i="25"/>
  <c r="I925" i="25"/>
  <c r="I926" i="25"/>
  <c r="I927" i="25"/>
  <c r="I928" i="25"/>
  <c r="I929" i="25"/>
  <c r="I930" i="25"/>
  <c r="I931" i="25"/>
  <c r="I932" i="25"/>
  <c r="I933" i="25"/>
  <c r="I934" i="25"/>
  <c r="I935" i="25"/>
  <c r="I936" i="25"/>
  <c r="I937" i="25"/>
  <c r="I938" i="25"/>
  <c r="I939" i="25"/>
  <c r="I940" i="25"/>
  <c r="I941" i="25"/>
  <c r="I942" i="25"/>
  <c r="I943" i="25"/>
  <c r="I944" i="25"/>
  <c r="I945" i="25"/>
  <c r="I946" i="25"/>
  <c r="I947" i="25"/>
  <c r="I948" i="25"/>
  <c r="I949" i="25"/>
  <c r="I950" i="25"/>
  <c r="I951" i="25"/>
  <c r="I952" i="25"/>
  <c r="I953" i="25"/>
  <c r="I954" i="25"/>
  <c r="I955" i="25"/>
  <c r="I956" i="25"/>
  <c r="I957" i="25"/>
  <c r="I958" i="25"/>
  <c r="I959" i="25"/>
  <c r="I960" i="25"/>
  <c r="I961" i="25"/>
  <c r="I962" i="25"/>
  <c r="I963" i="25"/>
  <c r="I964" i="25"/>
  <c r="I965" i="25"/>
  <c r="I966" i="25"/>
  <c r="I967" i="25"/>
  <c r="I968" i="25"/>
  <c r="I969" i="25"/>
  <c r="I970" i="25"/>
  <c r="I971" i="25"/>
  <c r="I972" i="25"/>
  <c r="I973" i="25"/>
  <c r="I974" i="25"/>
  <c r="I975" i="25"/>
  <c r="I976" i="25"/>
  <c r="I977" i="25"/>
  <c r="I978" i="25"/>
  <c r="I979" i="25"/>
  <c r="I980" i="25"/>
  <c r="I981" i="25"/>
  <c r="I982" i="25"/>
  <c r="I983" i="25"/>
  <c r="I984" i="25"/>
  <c r="I985" i="25"/>
  <c r="I986" i="25"/>
  <c r="I987" i="25"/>
  <c r="I988" i="25"/>
  <c r="I989" i="25"/>
  <c r="I990" i="25"/>
  <c r="I991" i="25"/>
  <c r="I992" i="25"/>
  <c r="I993" i="25"/>
  <c r="I994" i="25"/>
  <c r="I995" i="25"/>
  <c r="I996" i="25"/>
  <c r="I997" i="25"/>
  <c r="I998" i="25"/>
  <c r="I999" i="25"/>
  <c r="I1000" i="25"/>
  <c r="I1001" i="25"/>
  <c r="I1002" i="25"/>
  <c r="I1003" i="25"/>
  <c r="I1004" i="25"/>
  <c r="I1005" i="25"/>
  <c r="I1006" i="25"/>
  <c r="I1007" i="25"/>
  <c r="I1008" i="25"/>
  <c r="I1009" i="25"/>
  <c r="I1010" i="25"/>
  <c r="I1011" i="25"/>
  <c r="I1012" i="25"/>
  <c r="I1013" i="25"/>
  <c r="I1014" i="25"/>
  <c r="I1015" i="25"/>
  <c r="I1016" i="25"/>
  <c r="I1017" i="25"/>
  <c r="I1018" i="25"/>
  <c r="I1019" i="25"/>
  <c r="I1020" i="25"/>
  <c r="I1021" i="25"/>
  <c r="I1022" i="25"/>
  <c r="I1023" i="25"/>
  <c r="I1024" i="25"/>
  <c r="I1025" i="25"/>
  <c r="I1026" i="25"/>
  <c r="I1027" i="25"/>
  <c r="I1028" i="25"/>
  <c r="I1029" i="25"/>
  <c r="I1030" i="25"/>
  <c r="I1031" i="25"/>
  <c r="I1032" i="25"/>
  <c r="I1033" i="25"/>
  <c r="I1034" i="25"/>
  <c r="I1035" i="25"/>
  <c r="I1036" i="25"/>
  <c r="I1037" i="25"/>
  <c r="I1038" i="25"/>
  <c r="I1039" i="25"/>
  <c r="I1040" i="25"/>
  <c r="I1041" i="25"/>
  <c r="I1042" i="25"/>
  <c r="I1043" i="25"/>
  <c r="I1044" i="25"/>
  <c r="I1045" i="25"/>
  <c r="I1046" i="25"/>
  <c r="I1047" i="25"/>
  <c r="I1048" i="25"/>
  <c r="I1049" i="25"/>
  <c r="I1050" i="25"/>
  <c r="I1051" i="25"/>
  <c r="I1052" i="25"/>
  <c r="I1053" i="25"/>
  <c r="I1054" i="25"/>
  <c r="I1055" i="25"/>
  <c r="I1056" i="25"/>
  <c r="I1057" i="25"/>
  <c r="I1058" i="25"/>
  <c r="I1059" i="25"/>
  <c r="I1060" i="25"/>
  <c r="I1061" i="25"/>
  <c r="I1062" i="25"/>
  <c r="I1063" i="25"/>
  <c r="I1064" i="25"/>
  <c r="I1065" i="25"/>
  <c r="I1066" i="25"/>
  <c r="I1067" i="25"/>
  <c r="I1068" i="25"/>
  <c r="I1069" i="25"/>
  <c r="I1070" i="25"/>
  <c r="I1071" i="25"/>
  <c r="I1072" i="25"/>
  <c r="I1073" i="25"/>
  <c r="I1074" i="25"/>
  <c r="I1075" i="25"/>
  <c r="I1076" i="25"/>
  <c r="I1077" i="25"/>
  <c r="I1078" i="25"/>
  <c r="I1079" i="25"/>
  <c r="I1080" i="25"/>
  <c r="I1081" i="25"/>
  <c r="I1082" i="25"/>
  <c r="I1083" i="25"/>
  <c r="I1084" i="25"/>
  <c r="I1085" i="25"/>
  <c r="I1086" i="25"/>
  <c r="I1087" i="25"/>
  <c r="I1088" i="25"/>
  <c r="I1089" i="25"/>
  <c r="I1090" i="25"/>
  <c r="I1091" i="25"/>
  <c r="I1092" i="25"/>
  <c r="I1093" i="25"/>
  <c r="I1094" i="25"/>
  <c r="I1095" i="25"/>
  <c r="I1096" i="25"/>
  <c r="I1097" i="25"/>
  <c r="I1098" i="25"/>
  <c r="I1099" i="25"/>
  <c r="I1100" i="25"/>
  <c r="I1101" i="25"/>
  <c r="I1102" i="25"/>
  <c r="I1103" i="25"/>
  <c r="I1104" i="25"/>
  <c r="I1105" i="25"/>
  <c r="I1106" i="25"/>
  <c r="I6" i="25"/>
  <c r="J2580" i="21" l="1"/>
  <c r="J5147" i="21"/>
  <c r="J2778" i="21"/>
  <c r="J2770" i="21"/>
  <c r="J2768" i="21"/>
  <c r="J513" i="21"/>
  <c r="J5150" i="21"/>
  <c r="J2784" i="21"/>
  <c r="J2779" i="21"/>
  <c r="J2780" i="21"/>
  <c r="J4952" i="21"/>
  <c r="J2127" i="21"/>
  <c r="J752" i="21"/>
  <c r="J522" i="21"/>
  <c r="J2103" i="21"/>
  <c r="J2125" i="21"/>
  <c r="J5149" i="21"/>
  <c r="J5145" i="21"/>
  <c r="J5046" i="21"/>
  <c r="J5047" i="21"/>
  <c r="J5044" i="21"/>
  <c r="J5045" i="21"/>
  <c r="J5042" i="21"/>
  <c r="J5043" i="21"/>
  <c r="J5041" i="21"/>
  <c r="J2771" i="21"/>
  <c r="J2769" i="21"/>
  <c r="J3934" i="21"/>
  <c r="J2195" i="21"/>
  <c r="J1562" i="21"/>
  <c r="J755" i="21"/>
  <c r="J751" i="21"/>
  <c r="J519" i="21"/>
  <c r="J508" i="21"/>
  <c r="J73" i="21"/>
  <c r="J2112" i="21"/>
  <c r="J2131" i="21"/>
  <c r="J5146" i="21"/>
  <c r="J2783" i="21"/>
  <c r="J2786" i="21"/>
  <c r="J740" i="21"/>
  <c r="J425" i="21"/>
  <c r="J5148" i="21"/>
  <c r="J2772" i="21"/>
  <c r="J2774" i="21"/>
  <c r="J2766" i="21"/>
  <c r="J2111" i="21"/>
  <c r="J749" i="21"/>
  <c r="J744" i="21"/>
  <c r="J632" i="21"/>
  <c r="J518" i="21"/>
  <c r="J421" i="21"/>
  <c r="J2577" i="21"/>
  <c r="J72" i="21"/>
  <c r="J1540" i="21"/>
  <c r="J2757" i="21"/>
  <c r="J2781" i="21"/>
  <c r="J2785" i="21"/>
  <c r="J2128" i="21"/>
  <c r="J2110" i="21"/>
  <c r="J1548" i="21"/>
  <c r="J2191" i="21"/>
  <c r="J2192" i="21"/>
  <c r="J1613" i="21"/>
  <c r="J64" i="21"/>
  <c r="J2115" i="21"/>
  <c r="J65" i="21"/>
  <c r="J2120" i="21"/>
  <c r="J2121" i="21"/>
  <c r="J2129" i="21"/>
  <c r="J1537" i="21"/>
  <c r="J1544" i="21"/>
  <c r="J70" i="21"/>
  <c r="J1542" i="21"/>
  <c r="J2107" i="21"/>
  <c r="J2575" i="21"/>
  <c r="J2583" i="21"/>
  <c r="J74" i="21"/>
  <c r="J2584" i="21"/>
  <c r="J254" i="21"/>
  <c r="J416" i="21"/>
  <c r="J420" i="21"/>
  <c r="J424" i="21"/>
  <c r="J428" i="21"/>
  <c r="J509" i="21"/>
  <c r="J514" i="21"/>
  <c r="J517" i="21"/>
  <c r="J523" i="21"/>
  <c r="J524" i="21"/>
  <c r="J606" i="21"/>
  <c r="J633" i="21"/>
  <c r="J640" i="21"/>
  <c r="J741" i="21"/>
  <c r="J743" i="21"/>
  <c r="J2194" i="21"/>
  <c r="J1612" i="21"/>
  <c r="J2104" i="21"/>
  <c r="J2113" i="21"/>
  <c r="J66" i="21"/>
  <c r="J2132" i="21"/>
  <c r="J2124" i="21"/>
  <c r="J1536" i="21"/>
  <c r="J1543" i="21"/>
  <c r="J1541" i="21"/>
  <c r="J2105" i="21"/>
  <c r="J71" i="21"/>
  <c r="J2574" i="21"/>
  <c r="J2579" i="21"/>
  <c r="J2582" i="21"/>
  <c r="J405" i="21"/>
  <c r="J419" i="21"/>
  <c r="J422" i="21"/>
  <c r="J426" i="21"/>
  <c r="J430" i="21"/>
  <c r="J512" i="21"/>
  <c r="J516" i="21"/>
  <c r="J520" i="21"/>
  <c r="J2193" i="21"/>
  <c r="J1611" i="21"/>
  <c r="J63" i="21"/>
  <c r="J2108" i="21"/>
  <c r="J2130" i="21"/>
  <c r="J1535" i="21"/>
  <c r="J1539" i="21"/>
  <c r="J69" i="21"/>
  <c r="J2114" i="21"/>
  <c r="J2578" i="21"/>
  <c r="J253" i="21"/>
  <c r="J417" i="21"/>
  <c r="J429" i="21"/>
  <c r="J510" i="21"/>
  <c r="J521" i="21"/>
  <c r="J525" i="21"/>
  <c r="J634" i="21"/>
  <c r="J742" i="21"/>
  <c r="J745" i="21"/>
  <c r="J748" i="21"/>
  <c r="J753" i="21"/>
  <c r="J1547" i="21"/>
  <c r="J2126" i="21"/>
  <c r="J2773" i="21"/>
  <c r="J5031" i="21"/>
  <c r="J5032" i="21"/>
  <c r="J5033" i="21"/>
  <c r="J5034" i="21"/>
  <c r="J5035" i="21"/>
  <c r="J5036" i="21"/>
  <c r="J5037" i="21"/>
  <c r="J5038" i="21"/>
  <c r="J5039" i="21"/>
  <c r="J5040" i="21"/>
  <c r="J62" i="21"/>
  <c r="J1614" i="21"/>
  <c r="J2122" i="21"/>
  <c r="J68" i="21"/>
  <c r="J1538" i="21"/>
  <c r="J1545" i="21"/>
  <c r="J2576" i="21"/>
  <c r="J418" i="21"/>
  <c r="J423" i="21"/>
  <c r="J511" i="21"/>
  <c r="J515" i="21"/>
  <c r="J746" i="21"/>
  <c r="J750" i="21"/>
  <c r="J754" i="21"/>
  <c r="J1561" i="21"/>
  <c r="J2109" i="21"/>
  <c r="J2196" i="21"/>
  <c r="J2581" i="21"/>
  <c r="J4951" i="21"/>
  <c r="J61" i="21"/>
  <c r="J2123" i="21"/>
  <c r="J67" i="21"/>
  <c r="J2782" i="21"/>
  <c r="J2775" i="21"/>
  <c r="J2767" i="21"/>
  <c r="J4953" i="21"/>
  <c r="J2197" i="21"/>
  <c r="J747" i="21"/>
  <c r="J427" i="21"/>
  <c r="J415" i="21"/>
  <c r="J2585" i="21"/>
  <c r="J1546" i="21"/>
  <c r="J2106" i="21"/>
  <c r="J663" i="21"/>
  <c r="J672" i="21"/>
  <c r="J680" i="21"/>
  <c r="J684" i="21"/>
  <c r="J693" i="21"/>
  <c r="J698" i="21"/>
  <c r="J705" i="21"/>
  <c r="J728" i="21"/>
  <c r="J1025" i="21"/>
  <c r="J1035" i="21"/>
  <c r="J1580" i="21"/>
  <c r="J2179" i="21"/>
  <c r="J2616" i="21"/>
  <c r="J2620" i="21"/>
  <c r="J2671" i="21"/>
  <c r="J2683" i="21"/>
  <c r="J5428" i="21"/>
  <c r="J625" i="21"/>
  <c r="J670" i="21"/>
  <c r="J679" i="21"/>
  <c r="J683" i="21"/>
  <c r="J687" i="21"/>
  <c r="J697" i="21"/>
  <c r="J702" i="21"/>
  <c r="J712" i="21"/>
  <c r="J738" i="21"/>
  <c r="J1031" i="21"/>
  <c r="J1042" i="21"/>
  <c r="J2170" i="21"/>
  <c r="J622" i="21"/>
  <c r="J667" i="21"/>
  <c r="J676" i="21"/>
  <c r="J682" i="21"/>
  <c r="J686" i="21"/>
  <c r="J696" i="21"/>
  <c r="J700" i="21"/>
  <c r="J665" i="21"/>
  <c r="J674" i="21"/>
  <c r="J681" i="21"/>
  <c r="J685" i="21"/>
  <c r="J695" i="21"/>
  <c r="J699" i="21"/>
  <c r="J2187" i="21"/>
  <c r="J5427" i="21"/>
  <c r="J2203" i="21"/>
  <c r="J2555" i="21"/>
  <c r="J2557" i="21"/>
  <c r="J2559" i="21"/>
  <c r="J2561" i="21"/>
  <c r="J2586" i="21"/>
  <c r="J2587" i="21"/>
  <c r="J2588" i="21"/>
  <c r="J2589" i="21"/>
  <c r="J2614" i="21"/>
  <c r="J2615" i="21"/>
  <c r="J2687" i="21"/>
  <c r="J2689" i="21"/>
  <c r="J3588" i="21"/>
  <c r="J3591" i="21"/>
  <c r="J3844" i="21"/>
  <c r="J5186" i="21"/>
  <c r="J5188" i="21"/>
  <c r="J5194" i="21"/>
  <c r="J5195" i="21"/>
  <c r="J5200" i="21"/>
  <c r="J5204" i="21"/>
  <c r="J5212" i="21"/>
  <c r="J5214" i="21"/>
  <c r="J5223" i="21"/>
  <c r="J5234" i="21"/>
  <c r="J5236" i="21"/>
  <c r="J5239" i="21"/>
  <c r="J5242" i="21"/>
  <c r="J5249" i="21"/>
  <c r="J5255" i="21"/>
  <c r="J5261" i="21"/>
  <c r="J5265" i="21"/>
  <c r="J5268" i="21"/>
  <c r="J5269" i="21"/>
  <c r="J5279" i="21"/>
  <c r="J5291" i="21"/>
  <c r="J5292" i="21"/>
  <c r="J5304" i="21"/>
  <c r="J5315" i="21"/>
  <c r="J5316" i="21"/>
  <c r="J5321" i="21"/>
  <c r="J5330" i="21"/>
  <c r="J5332" i="21"/>
  <c r="J5333" i="21"/>
  <c r="J5342" i="21"/>
  <c r="J5343" i="21"/>
  <c r="J5350" i="21"/>
  <c r="J5351" i="21"/>
  <c r="J5356" i="21"/>
  <c r="J5357" i="21"/>
  <c r="J5360" i="21"/>
  <c r="J5362" i="21"/>
  <c r="J5368" i="21"/>
  <c r="J5376" i="21"/>
  <c r="J5377" i="21"/>
  <c r="J5385" i="21"/>
  <c r="J2619" i="21"/>
  <c r="J2623" i="21"/>
  <c r="J2680" i="21"/>
  <c r="J5394" i="21"/>
  <c r="J5403" i="21"/>
  <c r="J58" i="21"/>
  <c r="J1095" i="21"/>
  <c r="J1409" i="21"/>
  <c r="J1419" i="21"/>
  <c r="J1444" i="21"/>
  <c r="J1971" i="21"/>
  <c r="J2027" i="21"/>
  <c r="J3595" i="21"/>
  <c r="J3862" i="21"/>
  <c r="J3863" i="21"/>
  <c r="J3865" i="21"/>
  <c r="J3866" i="21"/>
  <c r="J3869" i="21"/>
  <c r="J3870" i="21"/>
  <c r="J3871" i="21"/>
  <c r="J3874" i="21"/>
  <c r="J3875" i="21"/>
  <c r="J3881" i="21"/>
  <c r="J3882" i="21"/>
  <c r="J3884" i="21"/>
  <c r="J3885" i="21"/>
  <c r="J4686" i="21"/>
  <c r="J4692" i="21"/>
  <c r="J4693" i="21"/>
  <c r="J5173" i="21"/>
  <c r="J5183" i="21"/>
  <c r="J5185" i="21"/>
  <c r="J5191" i="21"/>
  <c r="J5197" i="21"/>
  <c r="J5202" i="21"/>
  <c r="J5203" i="21"/>
  <c r="J5210" i="21"/>
  <c r="J5211" i="21"/>
  <c r="J5217" i="21"/>
  <c r="J5225" i="21"/>
  <c r="J5227" i="21"/>
  <c r="J5231" i="21"/>
  <c r="J5238" i="21"/>
  <c r="J5244" i="21"/>
  <c r="J5245" i="21"/>
  <c r="J5246" i="21"/>
  <c r="J5252" i="21"/>
  <c r="J5258" i="21"/>
  <c r="J5263" i="21"/>
  <c r="J5267" i="21"/>
  <c r="J5271" i="21"/>
  <c r="J5276" i="21"/>
  <c r="J5281" i="21"/>
  <c r="J5282" i="21"/>
  <c r="J5288" i="21"/>
  <c r="J5296" i="21"/>
  <c r="J5297" i="21"/>
  <c r="J5298" i="21"/>
  <c r="J5302" i="21"/>
  <c r="J5307" i="21"/>
  <c r="J5308" i="21"/>
  <c r="J5312" i="21"/>
  <c r="J5318" i="21"/>
  <c r="J5337" i="21"/>
  <c r="J5338" i="21"/>
  <c r="J5339" i="21"/>
  <c r="J5345" i="21"/>
  <c r="J5346" i="21"/>
  <c r="J5347" i="21"/>
  <c r="J5353" i="21"/>
  <c r="J5354" i="21"/>
  <c r="J5355" i="21"/>
  <c r="J5365" i="21"/>
  <c r="J5379" i="21"/>
  <c r="J5380" i="21"/>
  <c r="J5381" i="21"/>
  <c r="J5384" i="21"/>
  <c r="J5390" i="21"/>
  <c r="J5392" i="21"/>
  <c r="J5398" i="21"/>
  <c r="J5399" i="21"/>
  <c r="J5406" i="21"/>
  <c r="J5407" i="21"/>
  <c r="J5408" i="21"/>
  <c r="J5418" i="21"/>
  <c r="J5419" i="21"/>
  <c r="J5478" i="21"/>
  <c r="J6762" i="21"/>
  <c r="J614" i="21"/>
  <c r="J668" i="21"/>
  <c r="J708" i="21"/>
  <c r="J732" i="21"/>
  <c r="J739" i="21"/>
  <c r="J1013" i="21"/>
  <c r="J1016" i="21"/>
  <c r="J1033" i="21"/>
  <c r="J1043" i="21"/>
  <c r="J1528" i="21"/>
  <c r="J1581" i="21"/>
  <c r="J2171" i="21"/>
  <c r="J2675" i="21"/>
  <c r="J2681" i="21"/>
  <c r="J2693" i="21"/>
  <c r="J55" i="21"/>
  <c r="J1064" i="21"/>
  <c r="J1088" i="21"/>
  <c r="J1097" i="21"/>
  <c r="J1115" i="21"/>
  <c r="J1132" i="21"/>
  <c r="J1428" i="21"/>
  <c r="J1501" i="21"/>
  <c r="J1515" i="21"/>
  <c r="J1577" i="21"/>
  <c r="J1625" i="21"/>
  <c r="J1640" i="21"/>
  <c r="J5387" i="21"/>
  <c r="J5402" i="21"/>
  <c r="J10" i="21"/>
  <c r="J1090" i="21"/>
  <c r="J1119" i="21"/>
  <c r="J1413" i="21"/>
  <c r="J1443" i="21"/>
  <c r="J1970" i="21"/>
  <c r="J1984" i="21"/>
  <c r="J3594" i="21"/>
  <c r="J3861" i="21"/>
  <c r="J5386" i="21"/>
  <c r="J5396" i="21"/>
  <c r="J8" i="21"/>
  <c r="J1078" i="21"/>
  <c r="J1112" i="21"/>
  <c r="J1411" i="21"/>
  <c r="J1433" i="21"/>
  <c r="J1969" i="21"/>
  <c r="J1983" i="21"/>
  <c r="J3593" i="21"/>
  <c r="J3856" i="21"/>
  <c r="J3873" i="21"/>
  <c r="J643" i="21"/>
  <c r="J677" i="21"/>
  <c r="J731" i="21"/>
  <c r="J733" i="21"/>
  <c r="J1011" i="21"/>
  <c r="J1014" i="21"/>
  <c r="J1032" i="21"/>
  <c r="J1038" i="21"/>
  <c r="J1044" i="21"/>
  <c r="J1579" i="21"/>
  <c r="J1585" i="21"/>
  <c r="J2672" i="21"/>
  <c r="J2678" i="21"/>
  <c r="J2690" i="21"/>
  <c r="J1052" i="21"/>
  <c r="J1075" i="21"/>
  <c r="J5395" i="21"/>
  <c r="J5415" i="21"/>
  <c r="J1067" i="21"/>
  <c r="J1100" i="21"/>
  <c r="J1410" i="21"/>
  <c r="J1431" i="21"/>
  <c r="J1445" i="21"/>
  <c r="J1972" i="21"/>
  <c r="J2029" i="21"/>
  <c r="J3855" i="21"/>
  <c r="J1144" i="21"/>
  <c r="J1583" i="21"/>
  <c r="J1091" i="21"/>
  <c r="J1500" i="21"/>
  <c r="J1626" i="21"/>
  <c r="J1949" i="21"/>
  <c r="J1955" i="21"/>
  <c r="J2566" i="21"/>
  <c r="J4676" i="21"/>
  <c r="J5208" i="21"/>
  <c r="J5235" i="21"/>
  <c r="J5286" i="21"/>
  <c r="J5310" i="21"/>
  <c r="J5325" i="21"/>
  <c r="J1054" i="21"/>
  <c r="J1130" i="21"/>
  <c r="J1147" i="21"/>
  <c r="J1685" i="21"/>
  <c r="J5206" i="21"/>
  <c r="J5226" i="21"/>
  <c r="J5277" i="21"/>
  <c r="J5313" i="21"/>
  <c r="J5331" i="21"/>
  <c r="J5359" i="21"/>
  <c r="J5370" i="21"/>
  <c r="J5373" i="21"/>
  <c r="J1109" i="21"/>
  <c r="J1511" i="21"/>
  <c r="J1645" i="21"/>
  <c r="J1120" i="21"/>
  <c r="J1567" i="21"/>
  <c r="J1647" i="21"/>
  <c r="J1950" i="21"/>
  <c r="J1956" i="21"/>
  <c r="J2567" i="21"/>
  <c r="J5189" i="21"/>
  <c r="J5228" i="21"/>
  <c r="J5283" i="21"/>
  <c r="J5300" i="21"/>
  <c r="J5324" i="21"/>
  <c r="J5414" i="21"/>
  <c r="J1098" i="21"/>
  <c r="J1139" i="21"/>
  <c r="J1418" i="21"/>
  <c r="J1687" i="21"/>
  <c r="J5219" i="21"/>
  <c r="J5253" i="21"/>
  <c r="J5278" i="21"/>
  <c r="J5323" i="21"/>
  <c r="J5358" i="21"/>
  <c r="J5367" i="21"/>
  <c r="J5372" i="21"/>
  <c r="J5382" i="21"/>
  <c r="J5476" i="21"/>
  <c r="J623" i="21"/>
  <c r="J624" i="21"/>
  <c r="J650" i="21"/>
  <c r="J709" i="21"/>
  <c r="J710" i="21"/>
  <c r="J1503" i="21"/>
  <c r="J1504" i="21"/>
  <c r="J1627" i="21"/>
  <c r="J1628" i="21"/>
  <c r="J1635" i="21"/>
  <c r="J1644" i="21"/>
  <c r="J1646" i="21"/>
  <c r="J1947" i="21"/>
  <c r="J1948" i="21"/>
  <c r="J1953" i="21"/>
  <c r="J1954" i="21"/>
  <c r="J2030" i="21"/>
  <c r="J2031" i="21"/>
  <c r="J56" i="21"/>
  <c r="J1055" i="21"/>
  <c r="J1058" i="21"/>
  <c r="J1060" i="21"/>
  <c r="J1061" i="21"/>
  <c r="J1065" i="21"/>
  <c r="J1071" i="21"/>
  <c r="J1072" i="21"/>
  <c r="J1076" i="21"/>
  <c r="J1082" i="21"/>
  <c r="J1089" i="21"/>
  <c r="J1093" i="21"/>
  <c r="J1110" i="21"/>
  <c r="J1113" i="21"/>
  <c r="J1117" i="21"/>
  <c r="J1106" i="21"/>
  <c r="J1124" i="21"/>
  <c r="J1131" i="21"/>
  <c r="J1141" i="21"/>
  <c r="J1145" i="21"/>
  <c r="J1422" i="21"/>
  <c r="J1423" i="21"/>
  <c r="J1424" i="21"/>
  <c r="J1425" i="21"/>
  <c r="J1436" i="21"/>
  <c r="J1437" i="21"/>
  <c r="J1446" i="21"/>
  <c r="J1447" i="21"/>
  <c r="J1684" i="21"/>
  <c r="J1686" i="21"/>
  <c r="J3562" i="21"/>
  <c r="J3564" i="21"/>
  <c r="J4678" i="21"/>
  <c r="J4680" i="21"/>
  <c r="J4682" i="21"/>
  <c r="J4696" i="21"/>
  <c r="J4698" i="21"/>
  <c r="J5167" i="21"/>
  <c r="J5169" i="21"/>
  <c r="J5207" i="21"/>
  <c r="J5322" i="21"/>
  <c r="J5329" i="21"/>
  <c r="J5371" i="21"/>
  <c r="J5411" i="21"/>
  <c r="J5412" i="21"/>
  <c r="J5423" i="21"/>
  <c r="J5424" i="21"/>
  <c r="J5474" i="21"/>
  <c r="J1143" i="21"/>
  <c r="J1015" i="21"/>
  <c r="J1505" i="21"/>
  <c r="J5181" i="21"/>
  <c r="J1059" i="21"/>
  <c r="J1066" i="21"/>
  <c r="J1073" i="21"/>
  <c r="J1081" i="21"/>
  <c r="J1107" i="21"/>
  <c r="J1062" i="21"/>
  <c r="J1114" i="21"/>
  <c r="J1123" i="21"/>
  <c r="J1129" i="21"/>
  <c r="J1146" i="21"/>
  <c r="J4677" i="21"/>
  <c r="J4697" i="21"/>
  <c r="J5326" i="21"/>
  <c r="J1136" i="21"/>
  <c r="J1639" i="21"/>
  <c r="J1634" i="21"/>
  <c r="J3561" i="21"/>
  <c r="J4679" i="21"/>
  <c r="J675" i="21"/>
  <c r="J678" i="21"/>
  <c r="J637" i="21"/>
  <c r="J636" i="21"/>
  <c r="J57" i="21"/>
  <c r="J1094" i="21"/>
  <c r="J719" i="21"/>
  <c r="J2100" i="21"/>
  <c r="J1102" i="21"/>
  <c r="J4689" i="21"/>
  <c r="J1077" i="21"/>
  <c r="J1111" i="21"/>
  <c r="J1118" i="21"/>
  <c r="J1127" i="21"/>
  <c r="J1135" i="21"/>
  <c r="J3563" i="21"/>
  <c r="J4681" i="21"/>
  <c r="J5168" i="21"/>
  <c r="J5327" i="21"/>
  <c r="J5475" i="21"/>
  <c r="J4683" i="21"/>
  <c r="J4684" i="21"/>
  <c r="J4690" i="21"/>
  <c r="J5170" i="21"/>
  <c r="J5171" i="21"/>
  <c r="J5180" i="21"/>
  <c r="J6759" i="21"/>
  <c r="J6760" i="21"/>
  <c r="J1122" i="21"/>
  <c r="J1128" i="21"/>
  <c r="J1134" i="21"/>
  <c r="J666" i="21"/>
  <c r="J1631" i="21"/>
  <c r="J4695" i="21"/>
  <c r="J2099" i="21"/>
  <c r="J1017" i="21"/>
  <c r="J1070" i="21"/>
  <c r="J669" i="21"/>
  <c r="J1636" i="21"/>
  <c r="J1568" i="21"/>
  <c r="J717" i="21"/>
  <c r="J718" i="21"/>
  <c r="J720" i="21"/>
  <c r="J1569" i="21"/>
  <c r="J2116" i="21"/>
  <c r="J2026" i="21"/>
  <c r="J1952" i="21"/>
  <c r="J1944" i="21"/>
  <c r="J1650" i="21"/>
  <c r="J1578" i="21"/>
  <c r="J1509" i="21"/>
  <c r="J2685" i="21"/>
  <c r="J2622" i="21"/>
  <c r="J2181" i="21"/>
  <c r="J1582" i="21"/>
  <c r="J1037" i="21"/>
  <c r="J1027" i="21"/>
  <c r="J730" i="21"/>
  <c r="J707" i="21"/>
  <c r="J2117" i="21"/>
  <c r="J2028" i="21"/>
  <c r="J1957" i="21"/>
  <c r="J1945" i="21"/>
  <c r="J1652" i="21"/>
  <c r="J1584" i="21"/>
  <c r="J1514" i="21"/>
  <c r="J1506" i="21"/>
  <c r="J1499" i="21"/>
  <c r="J1491" i="21"/>
  <c r="J1487" i="21"/>
  <c r="J1439" i="21"/>
  <c r="J1417" i="21"/>
  <c r="J1406" i="21"/>
  <c r="J2674" i="21"/>
  <c r="J2618" i="21"/>
  <c r="J2118" i="21"/>
  <c r="J2076" i="21"/>
  <c r="J1975" i="21"/>
  <c r="J1946" i="21"/>
  <c r="J1940" i="21"/>
  <c r="J1623" i="21"/>
  <c r="J1518" i="21"/>
  <c r="J1507" i="21"/>
  <c r="J2692" i="21"/>
  <c r="J2621" i="21"/>
  <c r="J2186" i="21"/>
  <c r="J1586" i="21"/>
  <c r="J1040" i="21"/>
  <c r="J1029" i="21"/>
  <c r="J736" i="21"/>
  <c r="J711" i="21"/>
  <c r="J2119" i="21"/>
  <c r="J2077" i="21"/>
  <c r="J1976" i="21"/>
  <c r="J1951" i="21"/>
  <c r="J1942" i="21"/>
  <c r="J1624" i="21"/>
  <c r="J1529" i="21"/>
  <c r="J1508" i="21"/>
  <c r="J1502" i="21"/>
  <c r="J1498" i="21"/>
  <c r="J1489" i="21"/>
  <c r="J1440" i="21"/>
  <c r="J1429" i="21"/>
  <c r="J1407" i="21"/>
  <c r="J9" i="21"/>
  <c r="J2677" i="21"/>
  <c r="J2617" i="21"/>
  <c r="J2606" i="21"/>
  <c r="J5400" i="21"/>
  <c r="J5361" i="21"/>
  <c r="J2177" i="21"/>
  <c r="J5290" i="21"/>
  <c r="J5240" i="21"/>
  <c r="J5215" i="21"/>
  <c r="J5205" i="21"/>
  <c r="J5198" i="21"/>
  <c r="J5187" i="21"/>
  <c r="J2602" i="21"/>
  <c r="J5175" i="21"/>
  <c r="J2594" i="21"/>
  <c r="J4694" i="21"/>
  <c r="J4688" i="21"/>
  <c r="J1441" i="21"/>
  <c r="J1421" i="21"/>
  <c r="J1405" i="21"/>
  <c r="J1012" i="21"/>
  <c r="J6763" i="21"/>
  <c r="J2611" i="21"/>
  <c r="J5409" i="21"/>
  <c r="J5391" i="21"/>
  <c r="J2167" i="21"/>
  <c r="J5305" i="21"/>
  <c r="J5303" i="21"/>
  <c r="J5293" i="21"/>
  <c r="J5289" i="21"/>
  <c r="J716" i="21"/>
  <c r="J5273" i="21"/>
  <c r="J5241" i="21"/>
  <c r="J5229" i="21"/>
  <c r="J2601" i="21"/>
  <c r="J2593" i="21"/>
  <c r="J2626" i="21"/>
  <c r="J2624" i="21"/>
  <c r="J1434" i="21"/>
  <c r="J1432" i="21"/>
  <c r="J1414" i="21"/>
  <c r="J1617" i="21"/>
  <c r="J1688" i="21"/>
  <c r="J1630" i="21"/>
  <c r="J1679" i="21"/>
  <c r="J1681" i="21"/>
  <c r="J1673" i="21"/>
  <c r="J1675" i="21"/>
  <c r="J1651" i="21"/>
  <c r="J1653" i="21"/>
  <c r="J1608" i="21"/>
  <c r="J1610" i="21"/>
  <c r="J1521" i="21"/>
  <c r="J1517" i="21"/>
  <c r="J1516" i="21"/>
  <c r="J1689" i="21"/>
  <c r="J1629" i="21"/>
  <c r="J1591" i="21"/>
  <c r="J5165" i="21"/>
  <c r="J1573" i="21"/>
  <c r="J1570" i="21"/>
  <c r="J1534" i="21"/>
  <c r="J1133" i="21"/>
  <c r="J1121" i="21"/>
  <c r="J1116" i="21"/>
  <c r="J1063" i="21"/>
  <c r="J1053" i="21"/>
  <c r="J5484" i="21"/>
  <c r="J4635" i="21"/>
  <c r="J3753" i="21"/>
  <c r="J3749" i="21"/>
  <c r="J3745" i="21"/>
  <c r="J3741" i="21"/>
  <c r="J3737" i="21"/>
  <c r="J3733" i="21"/>
  <c r="J3655" i="21"/>
  <c r="J3650" i="21"/>
  <c r="J3647" i="21"/>
  <c r="J3643" i="21"/>
  <c r="J3639" i="21"/>
  <c r="J3634" i="21"/>
  <c r="J3629" i="21"/>
  <c r="J3609" i="21"/>
  <c r="J3581" i="21"/>
  <c r="J2660" i="21"/>
  <c r="J2188" i="21"/>
  <c r="J1560" i="21"/>
  <c r="J1556" i="21"/>
  <c r="J1454" i="21"/>
  <c r="J1450" i="21"/>
  <c r="J1377" i="21"/>
  <c r="J1304" i="21"/>
  <c r="J1300" i="21"/>
  <c r="J1261" i="21"/>
  <c r="J1239" i="21"/>
  <c r="J1235" i="21"/>
  <c r="J1230" i="21"/>
  <c r="J1226" i="21"/>
  <c r="J1202" i="21"/>
  <c r="J933" i="21"/>
  <c r="J929" i="21"/>
  <c r="J925" i="21"/>
  <c r="J922" i="21"/>
  <c r="J916" i="21"/>
  <c r="J912" i="21"/>
  <c r="J909" i="21"/>
  <c r="J905" i="21"/>
  <c r="J900" i="21"/>
  <c r="J897" i="21"/>
  <c r="J607" i="21"/>
  <c r="J557" i="21"/>
  <c r="J554" i="21"/>
  <c r="J551" i="21"/>
  <c r="J547" i="21"/>
  <c r="J542" i="21"/>
  <c r="J538" i="21"/>
  <c r="J534" i="21"/>
  <c r="J531" i="21"/>
  <c r="J526" i="21"/>
  <c r="J463" i="21"/>
  <c r="J460" i="21"/>
  <c r="J455" i="21"/>
  <c r="J452" i="21"/>
  <c r="J448" i="21"/>
  <c r="J444" i="21"/>
  <c r="J440" i="21"/>
  <c r="J437" i="21"/>
  <c r="J432" i="21"/>
  <c r="J323" i="21"/>
  <c r="J204" i="21"/>
  <c r="J177" i="21"/>
  <c r="J122" i="21"/>
  <c r="J118" i="21"/>
  <c r="J6754" i="21"/>
  <c r="J6744" i="21"/>
  <c r="J6724" i="21"/>
  <c r="J6699" i="21"/>
  <c r="J6663" i="21"/>
  <c r="J6611" i="21"/>
  <c r="J6602" i="21"/>
  <c r="J6594" i="21"/>
  <c r="J6580" i="21"/>
  <c r="J6562" i="21"/>
  <c r="J6552" i="21"/>
  <c r="J6437" i="21"/>
  <c r="J6419" i="21"/>
  <c r="J6361" i="21"/>
  <c r="J6353" i="21"/>
  <c r="J6345" i="21"/>
  <c r="J6277" i="21"/>
  <c r="J6153" i="21"/>
  <c r="J6133" i="21"/>
  <c r="J6115" i="21"/>
  <c r="J6085" i="21"/>
  <c r="J6075" i="21"/>
  <c r="J6057" i="21"/>
  <c r="J6043" i="21"/>
  <c r="J6029" i="21"/>
  <c r="J6008" i="21"/>
  <c r="J2572" i="21"/>
  <c r="J5349" i="21"/>
  <c r="J2173" i="21"/>
  <c r="J5272" i="21"/>
  <c r="J2609" i="21"/>
  <c r="J5393" i="21"/>
  <c r="J5340" i="21"/>
  <c r="J2591" i="21"/>
  <c r="J3590" i="21"/>
  <c r="J1105" i="21"/>
  <c r="J1633" i="21"/>
  <c r="J1632" i="21"/>
  <c r="J1142" i="21"/>
  <c r="J1621" i="21"/>
  <c r="J1619" i="21"/>
  <c r="J1638" i="21"/>
  <c r="J1637" i="21"/>
  <c r="J1572" i="21"/>
  <c r="J1576" i="21"/>
  <c r="J1096" i="21"/>
  <c r="J1087" i="21"/>
  <c r="J1074" i="21"/>
  <c r="J1588" i="21"/>
  <c r="J1590" i="21"/>
  <c r="J5483" i="21"/>
  <c r="J4634" i="21"/>
  <c r="J3752" i="21"/>
  <c r="J3748" i="21"/>
  <c r="J3744" i="21"/>
  <c r="J3740" i="21"/>
  <c r="J3736" i="21"/>
  <c r="J3732" i="21"/>
  <c r="J3653" i="21"/>
  <c r="J3651" i="21"/>
  <c r="J3645" i="21"/>
  <c r="J3642" i="21"/>
  <c r="J3638" i="21"/>
  <c r="J3635" i="21"/>
  <c r="J3628" i="21"/>
  <c r="J3608" i="21"/>
  <c r="J3578" i="21"/>
  <c r="J2659" i="21"/>
  <c r="J2185" i="21"/>
  <c r="J1559" i="21"/>
  <c r="J1555" i="21"/>
  <c r="J1453" i="21"/>
  <c r="J1449" i="21"/>
  <c r="J1370" i="21"/>
  <c r="J1303" i="21"/>
  <c r="J1298" i="21"/>
  <c r="J1242" i="21"/>
  <c r="J1238" i="21"/>
  <c r="J1233" i="21"/>
  <c r="J1229" i="21"/>
  <c r="J1225" i="21"/>
  <c r="J1201" i="21"/>
  <c r="J932" i="21"/>
  <c r="J928" i="21"/>
  <c r="J924" i="21"/>
  <c r="J918" i="21"/>
  <c r="J917" i="21"/>
  <c r="J913" i="21"/>
  <c r="J908" i="21"/>
  <c r="J904" i="21"/>
  <c r="J901" i="21"/>
  <c r="J642" i="21"/>
  <c r="J561" i="21"/>
  <c r="J558" i="21"/>
  <c r="J553" i="21"/>
  <c r="J548" i="21"/>
  <c r="J546" i="21"/>
  <c r="J541" i="21"/>
  <c r="J537" i="21"/>
  <c r="J532" i="21"/>
  <c r="J529" i="21"/>
  <c r="J467" i="21"/>
  <c r="J464" i="21"/>
  <c r="J459" i="21"/>
  <c r="J456" i="21"/>
  <c r="J451" i="21"/>
  <c r="J447" i="21"/>
  <c r="J443" i="21"/>
  <c r="J439" i="21"/>
  <c r="J434" i="21"/>
  <c r="J335" i="21"/>
  <c r="J257" i="21"/>
  <c r="J200" i="21"/>
  <c r="J137" i="21"/>
  <c r="J121" i="21"/>
  <c r="J101" i="21"/>
  <c r="J6752" i="21"/>
  <c r="J6728" i="21"/>
  <c r="J6723" i="21"/>
  <c r="J6689" i="21"/>
  <c r="J6661" i="21"/>
  <c r="J6608" i="21"/>
  <c r="J6600" i="21"/>
  <c r="J6590" i="21"/>
  <c r="J6576" i="21"/>
  <c r="J6558" i="21"/>
  <c r="J6542" i="21"/>
  <c r="J6435" i="21"/>
  <c r="J6395" i="21"/>
  <c r="J6359" i="21"/>
  <c r="J6351" i="21"/>
  <c r="J6343" i="21"/>
  <c r="J6271" i="21"/>
  <c r="J6139" i="21"/>
  <c r="J6131" i="21"/>
  <c r="J6095" i="21"/>
  <c r="J6083" i="21"/>
  <c r="J6071" i="21"/>
  <c r="J6053" i="21"/>
  <c r="J6039" i="21"/>
  <c r="J6023" i="21"/>
  <c r="J6007" i="21"/>
  <c r="J6003" i="21"/>
  <c r="J5999" i="21"/>
  <c r="J5995" i="21"/>
  <c r="J5991" i="21"/>
  <c r="J5987" i="21"/>
  <c r="J5983" i="21"/>
  <c r="J5978" i="21"/>
  <c r="J5957" i="21"/>
  <c r="J5951" i="21"/>
  <c r="J5945" i="21"/>
  <c r="J5940" i="21"/>
  <c r="J5935" i="21"/>
  <c r="J5930" i="21"/>
  <c r="J5925" i="21"/>
  <c r="J5913" i="21"/>
  <c r="J5909" i="21"/>
  <c r="J5903" i="21"/>
  <c r="J5899" i="21"/>
  <c r="J5895" i="21"/>
  <c r="J5891" i="21"/>
  <c r="J5887" i="21"/>
  <c r="J5881" i="21"/>
  <c r="J5877" i="21"/>
  <c r="J5873" i="21"/>
  <c r="J5869" i="21"/>
  <c r="J5865" i="21"/>
  <c r="J5857" i="21"/>
  <c r="J5853" i="21"/>
  <c r="J5847" i="21"/>
  <c r="J5833" i="21"/>
  <c r="J5827" i="21"/>
  <c r="J5823" i="21"/>
  <c r="J5817" i="21"/>
  <c r="J5813" i="21"/>
  <c r="J5809" i="21"/>
  <c r="J5805" i="21"/>
  <c r="J5801" i="21"/>
  <c r="J5793" i="21"/>
  <c r="J5763" i="21"/>
  <c r="J5759" i="21"/>
  <c r="J5755" i="21"/>
  <c r="J5751" i="21"/>
  <c r="J5745" i="21"/>
  <c r="J5741" i="21"/>
  <c r="J5737" i="21"/>
  <c r="J5727" i="21"/>
  <c r="J5721" i="21"/>
  <c r="J5692" i="21"/>
  <c r="J5683" i="21"/>
  <c r="J5679" i="21"/>
  <c r="J5673" i="21"/>
  <c r="J5668" i="21"/>
  <c r="J5661" i="21"/>
  <c r="J5655" i="21"/>
  <c r="J5651" i="21"/>
  <c r="J5634" i="21"/>
  <c r="J5626" i="21"/>
  <c r="J5622" i="21"/>
  <c r="J5618" i="21"/>
  <c r="J5614" i="21"/>
  <c r="J5610" i="21"/>
  <c r="J5606" i="21"/>
  <c r="J5602" i="21"/>
  <c r="J5596" i="21"/>
  <c r="J5588" i="21"/>
  <c r="J5584" i="21"/>
  <c r="J5580" i="21"/>
  <c r="J5576" i="21"/>
  <c r="J5572" i="21"/>
  <c r="J5565" i="21"/>
  <c r="J5542" i="21"/>
  <c r="J5538" i="21"/>
  <c r="J5534" i="21"/>
  <c r="J5530" i="21"/>
  <c r="J5526" i="21"/>
  <c r="J5522" i="21"/>
  <c r="J5462" i="21"/>
  <c r="J5441" i="21"/>
  <c r="J5437" i="21"/>
  <c r="J5432" i="21"/>
  <c r="J5179" i="21"/>
  <c r="J4945" i="21"/>
  <c r="J4905" i="21"/>
  <c r="J4673" i="21"/>
  <c r="J4658" i="21"/>
  <c r="J4652" i="21"/>
  <c r="J4645" i="21"/>
  <c r="J4503" i="21"/>
  <c r="J4496" i="21"/>
  <c r="J4490" i="21"/>
  <c r="J4485" i="21"/>
  <c r="J4479" i="21"/>
  <c r="J4475" i="21"/>
  <c r="J4463" i="21"/>
  <c r="J4445" i="21"/>
  <c r="J3878" i="21"/>
  <c r="J3847" i="21"/>
  <c r="J3826" i="21"/>
  <c r="J3818" i="21"/>
  <c r="J3813" i="21"/>
  <c r="J3803" i="21"/>
  <c r="J3797" i="21"/>
  <c r="J3792" i="21"/>
  <c r="J3788" i="21"/>
  <c r="J3763" i="21"/>
  <c r="J3760" i="21"/>
  <c r="J3714" i="21"/>
  <c r="J3709" i="21"/>
  <c r="J3696" i="21"/>
  <c r="J3681" i="21"/>
  <c r="J3596" i="21"/>
  <c r="J3535" i="21"/>
  <c r="J3520" i="21"/>
  <c r="J3510" i="21"/>
  <c r="J3504" i="21"/>
  <c r="J3500" i="21"/>
  <c r="J3496" i="21"/>
  <c r="J3492" i="21"/>
  <c r="J3488" i="21"/>
  <c r="J3484" i="21"/>
  <c r="J3480" i="21"/>
  <c r="J3476" i="21"/>
  <c r="J3472" i="21"/>
  <c r="J3468" i="21"/>
  <c r="J3464" i="21"/>
  <c r="J3460" i="21"/>
  <c r="J3456" i="21"/>
  <c r="J3452" i="21"/>
  <c r="J3448" i="21"/>
  <c r="J3444" i="21"/>
  <c r="J3440" i="21"/>
  <c r="J3376" i="21"/>
  <c r="J3329" i="21"/>
  <c r="J3290" i="21"/>
  <c r="J3259" i="21"/>
  <c r="J3255" i="21"/>
  <c r="J3192" i="21"/>
  <c r="J3188" i="21"/>
  <c r="J3184" i="21"/>
  <c r="J3124" i="21"/>
  <c r="J3100" i="21"/>
  <c r="J3071" i="21"/>
  <c r="J3067" i="21"/>
  <c r="J3019" i="21"/>
  <c r="J3015" i="21"/>
  <c r="J2974" i="21"/>
  <c r="J2963" i="21"/>
  <c r="J2960" i="21"/>
  <c r="J2922" i="21"/>
  <c r="J2918" i="21"/>
  <c r="J2881" i="21"/>
  <c r="J2878" i="21"/>
  <c r="J2874" i="21"/>
  <c r="J2752" i="21"/>
  <c r="J2737" i="21"/>
  <c r="J2731" i="21"/>
  <c r="J2720" i="21"/>
  <c r="J2708" i="21"/>
  <c r="J2496" i="21"/>
  <c r="J2491" i="21"/>
  <c r="J2485" i="21"/>
  <c r="J2480" i="21"/>
  <c r="J2472" i="21"/>
  <c r="J2468" i="21"/>
  <c r="J2464" i="21"/>
  <c r="J2460" i="21"/>
  <c r="J2456" i="21"/>
  <c r="J2452" i="21"/>
  <c r="J2448" i="21"/>
  <c r="J2442" i="21"/>
  <c r="J2438" i="21"/>
  <c r="J2434" i="21"/>
  <c r="J2430" i="21"/>
  <c r="J2426" i="21"/>
  <c r="J2422" i="21"/>
  <c r="J2417" i="21"/>
  <c r="J2413" i="21"/>
  <c r="J2408" i="21"/>
  <c r="J2404" i="21"/>
  <c r="J2400" i="21"/>
  <c r="J2396" i="21"/>
  <c r="J2372" i="21"/>
  <c r="J2368" i="21"/>
  <c r="J2364" i="21"/>
  <c r="J2359" i="21"/>
  <c r="J2355" i="21"/>
  <c r="J2351" i="21"/>
  <c r="J2347" i="21"/>
  <c r="J2341" i="21"/>
  <c r="J2324" i="21"/>
  <c r="J2318" i="21"/>
  <c r="J2314" i="21"/>
  <c r="J2309" i="21"/>
  <c r="J2305" i="21"/>
  <c r="J2301" i="21"/>
  <c r="J2298" i="21"/>
  <c r="J2294" i="21"/>
  <c r="J2289" i="21"/>
  <c r="J2285" i="21"/>
  <c r="J2280" i="21"/>
  <c r="J2276" i="21"/>
  <c r="J2272" i="21"/>
  <c r="J2268" i="21"/>
  <c r="J2261" i="21"/>
  <c r="J2255" i="21"/>
  <c r="J2251" i="21"/>
  <c r="J2236" i="21"/>
  <c r="J2232" i="21"/>
  <c r="J2228" i="21"/>
  <c r="J2224" i="21"/>
  <c r="J2220" i="21"/>
  <c r="J2053" i="21"/>
  <c r="J2046" i="21"/>
  <c r="J2033" i="21"/>
  <c r="J2006" i="21"/>
  <c r="J1992" i="21"/>
  <c r="J1908" i="21"/>
  <c r="J1904" i="21"/>
  <c r="J1900" i="21"/>
  <c r="J1896" i="21"/>
  <c r="J1892" i="21"/>
  <c r="J1809" i="21"/>
  <c r="J1803" i="21"/>
  <c r="J1792" i="21"/>
  <c r="J1788" i="21"/>
  <c r="J1784" i="21"/>
  <c r="J1780" i="21"/>
  <c r="J1776" i="21"/>
  <c r="J1771" i="21"/>
  <c r="J1766" i="21"/>
  <c r="J1762" i="21"/>
  <c r="J1758" i="21"/>
  <c r="J1754" i="21"/>
  <c r="J1749" i="21"/>
  <c r="J1742" i="21"/>
  <c r="J1735" i="21"/>
  <c r="J1725" i="21"/>
  <c r="J1719" i="21"/>
  <c r="J1714" i="21"/>
  <c r="J1479" i="21"/>
  <c r="J1397" i="21"/>
  <c r="J100" i="21"/>
  <c r="J92" i="21"/>
  <c r="J60" i="21"/>
  <c r="J29" i="21"/>
  <c r="J20" i="21"/>
  <c r="J11" i="21"/>
  <c r="J6757" i="21"/>
  <c r="J6738" i="21"/>
  <c r="J6730" i="21"/>
  <c r="J6713" i="21"/>
  <c r="J6705" i="21"/>
  <c r="J6693" i="21"/>
  <c r="J6681" i="21"/>
  <c r="J6671" i="21"/>
  <c r="J6659" i="21"/>
  <c r="J6649" i="21"/>
  <c r="J6641" i="21"/>
  <c r="J6631" i="21"/>
  <c r="J6623" i="21"/>
  <c r="J6615" i="21"/>
  <c r="J6586" i="21"/>
  <c r="J6568" i="21"/>
  <c r="J6550" i="21"/>
  <c r="J6538" i="21"/>
  <c r="J6530" i="21"/>
  <c r="J6522" i="21"/>
  <c r="J6514" i="21"/>
  <c r="J6506" i="21"/>
  <c r="J6498" i="21"/>
  <c r="J6491" i="21"/>
  <c r="J6483" i="21"/>
  <c r="J6475" i="21"/>
  <c r="J6467" i="21"/>
  <c r="J6459" i="21"/>
  <c r="J6451" i="21"/>
  <c r="J6443" i="21"/>
  <c r="J6425" i="21"/>
  <c r="J6415" i="21"/>
  <c r="J6407" i="21"/>
  <c r="J6399" i="21"/>
  <c r="J2661" i="21"/>
  <c r="J5422" i="21"/>
  <c r="J5420" i="21"/>
  <c r="J5319" i="21"/>
  <c r="J5294" i="21"/>
  <c r="J2600" i="21"/>
  <c r="J2174" i="21"/>
  <c r="J5328" i="21"/>
  <c r="J5199" i="21"/>
  <c r="J1618" i="21"/>
  <c r="J5410" i="21"/>
  <c r="J2166" i="21"/>
  <c r="J5341" i="21"/>
  <c r="J5284" i="21"/>
  <c r="J5250" i="21"/>
  <c r="J5193" i="21"/>
  <c r="J2598" i="21"/>
  <c r="J2590" i="21"/>
  <c r="J2629" i="21"/>
  <c r="J1427" i="21"/>
  <c r="J2607" i="21"/>
  <c r="J5413" i="21"/>
  <c r="J2175" i="21"/>
  <c r="J5309" i="21"/>
  <c r="J5285" i="21"/>
  <c r="J5232" i="21"/>
  <c r="J5222" i="21"/>
  <c r="J5218" i="21"/>
  <c r="J2571" i="21"/>
  <c r="J2605" i="21"/>
  <c r="J2569" i="21"/>
  <c r="J2597" i="21"/>
  <c r="J4687" i="21"/>
  <c r="J1438" i="21"/>
  <c r="J1404" i="21"/>
  <c r="J1099" i="21"/>
  <c r="J1101" i="21"/>
  <c r="J1592" i="21"/>
  <c r="J1593" i="21"/>
  <c r="J1571" i="21"/>
  <c r="J1575" i="21"/>
  <c r="J1138" i="21"/>
  <c r="J1126" i="21"/>
  <c r="J1104" i="21"/>
  <c r="J1092" i="21"/>
  <c r="J1080" i="21"/>
  <c r="J1068" i="21"/>
  <c r="J5416" i="21"/>
  <c r="J5404" i="21"/>
  <c r="J5388" i="21"/>
  <c r="J2612" i="21"/>
  <c r="J2665" i="21"/>
  <c r="J5369" i="21"/>
  <c r="J2168" i="21"/>
  <c r="J5335" i="21"/>
  <c r="J5274" i="21"/>
  <c r="J5221" i="21"/>
  <c r="J2592" i="21"/>
  <c r="J2627" i="21"/>
  <c r="J2562" i="21"/>
  <c r="J5374" i="21"/>
  <c r="J2163" i="21"/>
  <c r="J5192" i="21"/>
  <c r="J2599" i="21"/>
  <c r="J2628" i="21"/>
  <c r="J1420" i="21"/>
  <c r="J1620" i="21"/>
  <c r="J6764" i="21"/>
  <c r="J2610" i="21"/>
  <c r="J2608" i="21"/>
  <c r="J5375" i="21"/>
  <c r="J5363" i="21"/>
  <c r="J2164" i="21"/>
  <c r="J2176" i="21"/>
  <c r="J5314" i="21"/>
  <c r="J5213" i="21"/>
  <c r="J2570" i="21"/>
  <c r="J2604" i="21"/>
  <c r="J2568" i="21"/>
  <c r="J2596" i="21"/>
  <c r="J2625" i="21"/>
  <c r="J3589" i="21"/>
  <c r="J1435" i="21"/>
  <c r="J1415" i="21"/>
  <c r="J2573" i="21"/>
  <c r="J2613" i="21"/>
  <c r="J2662" i="21"/>
  <c r="J5421" i="21"/>
  <c r="J5401" i="21"/>
  <c r="J1958" i="21"/>
  <c r="J2666" i="21"/>
  <c r="J5366" i="21"/>
  <c r="J5348" i="21"/>
  <c r="J2165" i="21"/>
  <c r="J2172" i="21"/>
  <c r="J5334" i="21"/>
  <c r="J5320" i="21"/>
  <c r="J5299" i="21"/>
  <c r="J5237" i="21"/>
  <c r="J5220" i="21"/>
  <c r="J5184" i="21"/>
  <c r="J2603" i="21"/>
  <c r="J5174" i="21"/>
  <c r="J2595" i="21"/>
  <c r="J1426" i="21"/>
  <c r="J1416" i="21"/>
  <c r="J1678" i="21"/>
  <c r="J1680" i="21"/>
  <c r="J1672" i="21"/>
  <c r="J1674" i="21"/>
  <c r="J1607" i="21"/>
  <c r="J1609" i="21"/>
  <c r="J1140" i="21"/>
  <c r="J1520" i="21"/>
  <c r="J1513" i="21"/>
  <c r="J1512" i="21"/>
  <c r="J1658" i="21"/>
  <c r="J1660" i="21"/>
  <c r="J1659" i="21"/>
  <c r="J1661" i="21"/>
  <c r="J1594" i="21"/>
  <c r="J5166" i="21"/>
  <c r="J1530" i="21"/>
  <c r="J1531" i="21"/>
  <c r="J1532" i="21"/>
  <c r="J1533" i="21"/>
  <c r="J1574" i="21"/>
  <c r="J1137" i="21"/>
  <c r="J1125" i="21"/>
  <c r="J1103" i="21"/>
  <c r="J1108" i="21"/>
  <c r="J1079" i="21"/>
  <c r="J1069" i="21"/>
  <c r="J1056" i="21"/>
  <c r="J1587" i="21"/>
  <c r="J54" i="21"/>
  <c r="J5485" i="21"/>
  <c r="J4636" i="21"/>
  <c r="J3754" i="21"/>
  <c r="J3750" i="21"/>
  <c r="J3746" i="21"/>
  <c r="J3742" i="21"/>
  <c r="J3738" i="21"/>
  <c r="J3734" i="21"/>
  <c r="J3688" i="21"/>
  <c r="J3652" i="21"/>
  <c r="J3648" i="21"/>
  <c r="J3644" i="21"/>
  <c r="J3640" i="21"/>
  <c r="J3637" i="21"/>
  <c r="J3630" i="21"/>
  <c r="J3610" i="21"/>
  <c r="J3580" i="21"/>
  <c r="J3576" i="21"/>
  <c r="J2657" i="21"/>
  <c r="J2080" i="21"/>
  <c r="J1557" i="21"/>
  <c r="J1553" i="21"/>
  <c r="J1451" i="21"/>
  <c r="J1388" i="21"/>
  <c r="J1305" i="21"/>
  <c r="J1301" i="21"/>
  <c r="J1297" i="21"/>
  <c r="J1240" i="21"/>
  <c r="J1236" i="21"/>
  <c r="J1231" i="21"/>
  <c r="J1227" i="21"/>
  <c r="J1213" i="21"/>
  <c r="J934" i="21"/>
  <c r="J931" i="21"/>
  <c r="J926" i="21"/>
  <c r="J923" i="21"/>
  <c r="J919" i="21"/>
  <c r="J915" i="21"/>
  <c r="J911" i="21"/>
  <c r="J906" i="21"/>
  <c r="J902" i="21"/>
  <c r="J899" i="21"/>
  <c r="J635" i="21"/>
  <c r="J6004" i="21"/>
  <c r="J6000" i="21"/>
  <c r="J5996" i="21"/>
  <c r="J5992" i="21"/>
  <c r="J5988" i="21"/>
  <c r="J5984" i="21"/>
  <c r="J5980" i="21"/>
  <c r="J5959" i="21"/>
  <c r="J5952" i="21"/>
  <c r="J5947" i="21"/>
  <c r="J5941" i="21"/>
  <c r="J5936" i="21"/>
  <c r="J5931" i="21"/>
  <c r="J5927" i="21"/>
  <c r="J5922" i="21"/>
  <c r="J5910" i="21"/>
  <c r="J5906" i="21"/>
  <c r="J5900" i="21"/>
  <c r="J5896" i="21"/>
  <c r="J5892" i="21"/>
  <c r="J5888" i="21"/>
  <c r="J5882" i="21"/>
  <c r="J5878" i="21"/>
  <c r="J5874" i="21"/>
  <c r="J5870" i="21"/>
  <c r="J5866" i="21"/>
  <c r="J5862" i="21"/>
  <c r="J5854" i="21"/>
  <c r="J5848" i="21"/>
  <c r="J5844" i="21"/>
  <c r="J5828" i="21"/>
  <c r="J5824" i="21"/>
  <c r="J5818" i="21"/>
  <c r="J5814" i="21"/>
  <c r="J5810" i="21"/>
  <c r="J5806" i="21"/>
  <c r="J5802" i="21"/>
  <c r="J5796" i="21"/>
  <c r="J5764" i="21"/>
  <c r="J5760" i="21"/>
  <c r="J5756" i="21"/>
  <c r="J5752" i="21"/>
  <c r="J5748" i="21"/>
  <c r="J5742" i="21"/>
  <c r="J5738" i="21"/>
  <c r="J5734" i="21"/>
  <c r="J5723" i="21"/>
  <c r="J5704" i="21"/>
  <c r="J5684" i="21"/>
  <c r="J5680" i="21"/>
  <c r="J5674" i="21"/>
  <c r="J5669" i="21"/>
  <c r="J5662" i="21"/>
  <c r="J5656" i="21"/>
  <c r="J5652" i="21"/>
  <c r="J5635" i="21"/>
  <c r="J5627" i="21"/>
  <c r="J5623" i="21"/>
  <c r="J5619" i="21"/>
  <c r="J5615" i="21"/>
  <c r="J5611" i="21"/>
  <c r="J5607" i="21"/>
  <c r="J5603" i="21"/>
  <c r="J5597" i="21"/>
  <c r="J5589" i="21"/>
  <c r="J5585" i="21"/>
  <c r="J5581" i="21"/>
  <c r="J5577" i="21"/>
  <c r="J5573" i="21"/>
  <c r="J5567" i="21"/>
  <c r="J5546" i="21"/>
  <c r="J5539" i="21"/>
  <c r="J5535" i="21"/>
  <c r="J5531" i="21"/>
  <c r="J5527" i="21"/>
  <c r="J5523" i="21"/>
  <c r="J5470" i="21"/>
  <c r="J5442" i="21"/>
  <c r="J5438" i="21"/>
  <c r="J5433" i="21"/>
  <c r="J5425" i="21"/>
  <c r="J4992" i="21"/>
  <c r="J4940" i="21"/>
  <c r="J4675" i="21"/>
  <c r="J4656" i="21"/>
  <c r="J4653" i="21"/>
  <c r="J4647" i="21"/>
  <c r="J4504" i="21"/>
  <c r="J4497" i="21"/>
  <c r="J4491" i="21"/>
  <c r="J4486" i="21"/>
  <c r="J4482" i="21"/>
  <c r="J4476" i="21"/>
  <c r="J4465" i="21"/>
  <c r="J4451" i="21"/>
  <c r="J3888" i="21"/>
  <c r="J3849" i="21"/>
  <c r="J3835" i="21"/>
  <c r="J3821" i="21"/>
  <c r="J3814" i="21"/>
  <c r="J3810" i="21"/>
  <c r="J3799" i="21"/>
  <c r="J3794" i="21"/>
  <c r="J3789" i="21"/>
  <c r="J3776" i="21"/>
  <c r="J3759" i="21"/>
  <c r="J3756" i="21"/>
  <c r="J3711" i="21"/>
  <c r="J3695" i="21"/>
  <c r="J3692" i="21"/>
  <c r="J3597" i="21"/>
  <c r="J3536" i="21"/>
  <c r="J3521" i="21"/>
  <c r="J3512" i="21"/>
  <c r="J3506" i="21"/>
  <c r="J3501" i="21"/>
  <c r="J3497" i="21"/>
  <c r="J3493" i="21"/>
  <c r="J3489" i="21"/>
  <c r="J3485" i="21"/>
  <c r="J3481" i="21"/>
  <c r="J3477" i="21"/>
  <c r="J3473" i="21"/>
  <c r="J3469" i="21"/>
  <c r="J3465" i="21"/>
  <c r="J3461" i="21"/>
  <c r="J3457" i="21"/>
  <c r="J3453" i="21"/>
  <c r="J3449" i="21"/>
  <c r="J3445" i="21"/>
  <c r="J3441" i="21"/>
  <c r="J3377" i="21"/>
  <c r="J3354" i="21"/>
  <c r="J3291" i="21"/>
  <c r="J3260" i="21"/>
  <c r="J3256" i="21"/>
  <c r="J3199" i="21"/>
  <c r="J3189" i="21"/>
  <c r="J3185" i="21"/>
  <c r="J3157" i="21"/>
  <c r="J3107" i="21"/>
  <c r="J3072" i="21"/>
  <c r="J3068" i="21"/>
  <c r="J3020" i="21"/>
  <c r="J3016" i="21"/>
  <c r="J3012" i="21"/>
  <c r="J2965" i="21"/>
  <c r="J2961" i="21"/>
  <c r="J2923" i="21"/>
  <c r="J2919" i="21"/>
  <c r="J2883" i="21"/>
  <c r="J2880" i="21"/>
  <c r="J2875" i="21"/>
  <c r="J2791" i="21"/>
  <c r="J2738" i="21"/>
  <c r="J2732" i="21"/>
  <c r="J2723" i="21"/>
  <c r="J2709" i="21"/>
  <c r="J2631" i="21"/>
  <c r="J2492" i="21"/>
  <c r="J2486" i="21"/>
  <c r="J2481" i="21"/>
  <c r="J2473" i="21"/>
  <c r="J2469" i="21"/>
  <c r="J2465" i="21"/>
  <c r="J2461" i="21"/>
  <c r="J2457" i="21"/>
  <c r="J2453" i="21"/>
  <c r="J2449" i="21"/>
  <c r="J2445" i="21"/>
  <c r="J2439" i="21"/>
  <c r="J2435" i="21"/>
  <c r="J2431" i="21"/>
  <c r="J2427" i="21"/>
  <c r="J2423" i="21"/>
  <c r="J2419" i="21"/>
  <c r="J2414" i="21"/>
  <c r="J2409" i="21"/>
  <c r="J2405" i="21"/>
  <c r="J2401" i="21"/>
  <c r="J2397" i="21"/>
  <c r="J2374" i="21"/>
  <c r="J2369" i="21"/>
  <c r="J2365" i="21"/>
  <c r="J2360" i="21"/>
  <c r="J2356" i="21"/>
  <c r="J2352" i="21"/>
  <c r="J2348" i="21"/>
  <c r="J2344" i="21"/>
  <c r="J2335" i="21"/>
  <c r="J2319" i="21"/>
  <c r="J2315" i="21"/>
  <c r="J2310" i="21"/>
  <c r="J2306" i="21"/>
  <c r="J2303" i="21"/>
  <c r="J2297" i="21"/>
  <c r="J2293" i="21"/>
  <c r="J2290" i="21"/>
  <c r="J2286" i="21"/>
  <c r="J2281" i="21"/>
  <c r="J2277" i="21"/>
  <c r="J2273" i="21"/>
  <c r="J2269" i="21"/>
  <c r="J2262" i="21"/>
  <c r="J2258" i="21"/>
  <c r="J2252" i="21"/>
  <c r="J2237" i="21"/>
  <c r="J2233" i="21"/>
  <c r="J2229" i="21"/>
  <c r="J2225" i="21"/>
  <c r="J2221" i="21"/>
  <c r="J2054" i="21"/>
  <c r="J2047" i="21"/>
  <c r="J2035" i="21"/>
  <c r="J2012" i="21"/>
  <c r="J1993" i="21"/>
  <c r="J1909" i="21"/>
  <c r="J1905" i="21"/>
  <c r="J1901" i="21"/>
  <c r="J1897" i="21"/>
  <c r="J1893" i="21"/>
  <c r="J1813" i="21"/>
  <c r="J1804" i="21"/>
  <c r="J1796" i="21"/>
  <c r="J1789" i="21"/>
  <c r="J1785" i="21"/>
  <c r="J1781" i="21"/>
  <c r="J1777" i="21"/>
  <c r="J1770" i="21"/>
  <c r="J1767" i="21"/>
  <c r="J1763" i="21"/>
  <c r="J1759" i="21"/>
  <c r="J1755" i="21"/>
  <c r="J1750" i="21"/>
  <c r="J1745" i="21"/>
  <c r="J1739" i="21"/>
  <c r="J1726" i="21"/>
  <c r="J1720" i="21"/>
  <c r="J1713" i="21"/>
  <c r="J1480" i="21"/>
  <c r="J1458" i="21"/>
  <c r="J1149" i="21"/>
  <c r="J94" i="21"/>
  <c r="J76" i="21"/>
  <c r="J31" i="21"/>
  <c r="J22" i="21"/>
  <c r="J14" i="21"/>
  <c r="J6758" i="21"/>
  <c r="J6740" i="21"/>
  <c r="J6732" i="21"/>
  <c r="J6715" i="21"/>
  <c r="J6707" i="21"/>
  <c r="J6695" i="21"/>
  <c r="J6683" i="21"/>
  <c r="J6673" i="21"/>
  <c r="J6665" i="21"/>
  <c r="J6651" i="21"/>
  <c r="J6643" i="21"/>
  <c r="J6633" i="21"/>
  <c r="J6625" i="21"/>
  <c r="J6617" i="21"/>
  <c r="J6592" i="21"/>
  <c r="J6570" i="21"/>
  <c r="J6560" i="21"/>
  <c r="J6544" i="21"/>
  <c r="J6532" i="21"/>
  <c r="J6524" i="21"/>
  <c r="J6516" i="21"/>
  <c r="J6508" i="21"/>
  <c r="J6500" i="21"/>
  <c r="J6493" i="21"/>
  <c r="J6485" i="21"/>
  <c r="J6477" i="21"/>
  <c r="J6469" i="21"/>
  <c r="J6461" i="21"/>
  <c r="J6453" i="21"/>
  <c r="J6445" i="21"/>
  <c r="J6427" i="21"/>
  <c r="J6417" i="21"/>
  <c r="J6409" i="21"/>
  <c r="J6401" i="21"/>
  <c r="J6391" i="21"/>
  <c r="J6383" i="21"/>
  <c r="J6373" i="21"/>
  <c r="J6365" i="21"/>
  <c r="J6335" i="21"/>
  <c r="J6327" i="21"/>
  <c r="J6319" i="21"/>
  <c r="J6311" i="21"/>
  <c r="J6303" i="21"/>
  <c r="J6295" i="21"/>
  <c r="J6287" i="21"/>
  <c r="J6273" i="21"/>
  <c r="J6261" i="21"/>
  <c r="J6253" i="21"/>
  <c r="J6245" i="21"/>
  <c r="J6235" i="21"/>
  <c r="J6227" i="21"/>
  <c r="J6219" i="21"/>
  <c r="J6211" i="21"/>
  <c r="J6203" i="21"/>
  <c r="J6195" i="21"/>
  <c r="J6187" i="21"/>
  <c r="J6179" i="21"/>
  <c r="J6171" i="21"/>
  <c r="J6163" i="21"/>
  <c r="J6155" i="21"/>
  <c r="J6145" i="21"/>
  <c r="J6123" i="21"/>
  <c r="J6113" i="21"/>
  <c r="J6105" i="21"/>
  <c r="J6097" i="21"/>
  <c r="J6073" i="21"/>
  <c r="J6061" i="21"/>
  <c r="J6041" i="21"/>
  <c r="J6025" i="21"/>
  <c r="J6012" i="21"/>
  <c r="J5979" i="21"/>
  <c r="J5973" i="21"/>
  <c r="J5969" i="21"/>
  <c r="J5964" i="21"/>
  <c r="J5960" i="21"/>
  <c r="J5949" i="21"/>
  <c r="J5934" i="21"/>
  <c r="J5919" i="21"/>
  <c r="J5915" i="21"/>
  <c r="J5885" i="21"/>
  <c r="J5859" i="21"/>
  <c r="J5843" i="21"/>
  <c r="J5839" i="21"/>
  <c r="J5835" i="21"/>
  <c r="J5821" i="21"/>
  <c r="J5795" i="21"/>
  <c r="J5789" i="21"/>
  <c r="J5785" i="21"/>
  <c r="J5781" i="21"/>
  <c r="J5777" i="21"/>
  <c r="J5773" i="21"/>
  <c r="J5769" i="21"/>
  <c r="J5747" i="21"/>
  <c r="J5731" i="21"/>
  <c r="J5726" i="21"/>
  <c r="J5717" i="21"/>
  <c r="J5713" i="21"/>
  <c r="J5709" i="21"/>
  <c r="J5703" i="21"/>
  <c r="J5699" i="21"/>
  <c r="J5695" i="21"/>
  <c r="J5690" i="21"/>
  <c r="J5676" i="21"/>
  <c r="J5666" i="21"/>
  <c r="J5650" i="21"/>
  <c r="J5646" i="21"/>
  <c r="J5642" i="21"/>
  <c r="J5637" i="21"/>
  <c r="J5629" i="21"/>
  <c r="J5593" i="21"/>
  <c r="J5569" i="21"/>
  <c r="J5554" i="21"/>
  <c r="J5544" i="21"/>
  <c r="J5473" i="21"/>
  <c r="J5447" i="21"/>
  <c r="J5178" i="21"/>
  <c r="J5024" i="21"/>
  <c r="J5018" i="21"/>
  <c r="J5003" i="21"/>
  <c r="J4906" i="21"/>
  <c r="J4672" i="21"/>
  <c r="J4661" i="21"/>
  <c r="J4521" i="21"/>
  <c r="J4517" i="21"/>
  <c r="J4509" i="21"/>
  <c r="J4505" i="21"/>
  <c r="J4495" i="21"/>
  <c r="J4480" i="21"/>
  <c r="J4461" i="21"/>
  <c r="J4456" i="21"/>
  <c r="J4452" i="21"/>
  <c r="J4447" i="21"/>
  <c r="J3877" i="21"/>
  <c r="J3846" i="21"/>
  <c r="J3836" i="21"/>
  <c r="J3816" i="21"/>
  <c r="J3805" i="21"/>
  <c r="J3800" i="21"/>
  <c r="J3786" i="21"/>
  <c r="J3782" i="21"/>
  <c r="J3774" i="21"/>
  <c r="J3771" i="21"/>
  <c r="J3767" i="21"/>
  <c r="J3725" i="21"/>
  <c r="J3721" i="21"/>
  <c r="J3717" i="21"/>
  <c r="J3708" i="21"/>
  <c r="J3705" i="21"/>
  <c r="J3697" i="21"/>
  <c r="J3680" i="21"/>
  <c r="J3556" i="21"/>
  <c r="J3550" i="21"/>
  <c r="J3545" i="21"/>
  <c r="J3541" i="21"/>
  <c r="J3519" i="21"/>
  <c r="J3439" i="21"/>
  <c r="J3398" i="21"/>
  <c r="J3266" i="21"/>
  <c r="J3197" i="21"/>
  <c r="J3122" i="21"/>
  <c r="J3113" i="21"/>
  <c r="J3103" i="21"/>
  <c r="J3073" i="21"/>
  <c r="J3021" i="21"/>
  <c r="J2929" i="21"/>
  <c r="J2890" i="21"/>
  <c r="J2827" i="21"/>
  <c r="J2820" i="21"/>
  <c r="J2815" i="21"/>
  <c r="J2810" i="21"/>
  <c r="J2804" i="21"/>
  <c r="J2796" i="21"/>
  <c r="J2789" i="21"/>
  <c r="J2730" i="21"/>
  <c r="J2725" i="21"/>
  <c r="J2717" i="21"/>
  <c r="J2712" i="21"/>
  <c r="J2706" i="21"/>
  <c r="J2702" i="21"/>
  <c r="J2698" i="21"/>
  <c r="J2664" i="21"/>
  <c r="J2635" i="21"/>
  <c r="J2630" i="21"/>
  <c r="J2482" i="21"/>
  <c r="J2474" i="21"/>
  <c r="J2411" i="21"/>
  <c r="J2343" i="21"/>
  <c r="J2336" i="21"/>
  <c r="J2331" i="21"/>
  <c r="J2327" i="21"/>
  <c r="J2320" i="21"/>
  <c r="J2265" i="21"/>
  <c r="J2243" i="21"/>
  <c r="J2055" i="21"/>
  <c r="J2045" i="21"/>
  <c r="J2041" i="21"/>
  <c r="J2034" i="21"/>
  <c r="J2010" i="21"/>
  <c r="J2003" i="21"/>
  <c r="J1999" i="21"/>
  <c r="J1995" i="21"/>
  <c r="J1988" i="21"/>
  <c r="J1910" i="21"/>
  <c r="J1873" i="21"/>
  <c r="J1869" i="21"/>
  <c r="J1865" i="21"/>
  <c r="J1825" i="21"/>
  <c r="J1808" i="21"/>
  <c r="J1794" i="21"/>
  <c r="J1751" i="21"/>
  <c r="J1738" i="21"/>
  <c r="J1733" i="21"/>
  <c r="J1727" i="21"/>
  <c r="J1716" i="21"/>
  <c r="J1494" i="21"/>
  <c r="J1481" i="21"/>
  <c r="J1473" i="21"/>
  <c r="J1396" i="21"/>
  <c r="J99" i="21"/>
  <c r="J91" i="21"/>
  <c r="J59" i="21"/>
  <c r="J28" i="21"/>
  <c r="J21" i="21"/>
  <c r="J13" i="21"/>
  <c r="J5487" i="21"/>
  <c r="J5160" i="21"/>
  <c r="J5123" i="21"/>
  <c r="J5119" i="21"/>
  <c r="J5113" i="21"/>
  <c r="J5109" i="21"/>
  <c r="J5105" i="21"/>
  <c r="J5101" i="21"/>
  <c r="J4989" i="21"/>
  <c r="J4980" i="21"/>
  <c r="J4976" i="21"/>
  <c r="J4972" i="21"/>
  <c r="J4968" i="21"/>
  <c r="J4922" i="21"/>
  <c r="J4918" i="21"/>
  <c r="J4910" i="21"/>
  <c r="J2765" i="21"/>
  <c r="J2201" i="21"/>
  <c r="J2190" i="21"/>
  <c r="J1566" i="21"/>
  <c r="J1395" i="21"/>
  <c r="J1155" i="21"/>
  <c r="J1151" i="21"/>
  <c r="J1019" i="21"/>
  <c r="J1006" i="21"/>
  <c r="J1002" i="21"/>
  <c r="J999" i="21"/>
  <c r="J995" i="21"/>
  <c r="J991" i="21"/>
  <c r="J987" i="21"/>
  <c r="J983" i="21"/>
  <c r="J979" i="21"/>
  <c r="J975" i="21"/>
  <c r="J971" i="21"/>
  <c r="J967" i="21"/>
  <c r="J963" i="21"/>
  <c r="J959" i="21"/>
  <c r="J724" i="21"/>
  <c r="J605" i="21"/>
  <c r="J602" i="21"/>
  <c r="J597" i="21"/>
  <c r="J593" i="21"/>
  <c r="J589" i="21"/>
  <c r="J585" i="21"/>
  <c r="J581" i="21"/>
  <c r="J506" i="21"/>
  <c r="J503" i="21"/>
  <c r="J498" i="21"/>
  <c r="J494" i="21"/>
  <c r="J490" i="21"/>
  <c r="J290" i="21"/>
  <c r="J261" i="21"/>
  <c r="J211" i="21"/>
  <c r="J164" i="21"/>
  <c r="J82" i="21"/>
  <c r="J43" i="21"/>
  <c r="J4442" i="21"/>
  <c r="J4436" i="21"/>
  <c r="J5511" i="21"/>
  <c r="J5143" i="21"/>
  <c r="J5139" i="21"/>
  <c r="J5135" i="21"/>
  <c r="J5131" i="21"/>
  <c r="J5127" i="21"/>
  <c r="J5114" i="21"/>
  <c r="J5010" i="21"/>
  <c r="J5006" i="21"/>
  <c r="J4998" i="21"/>
  <c r="J4994" i="21"/>
  <c r="J4950" i="21"/>
  <c r="J4939" i="21"/>
  <c r="J4935" i="21"/>
  <c r="J4931" i="21"/>
  <c r="J4927" i="21"/>
  <c r="J4915" i="21"/>
  <c r="J4907" i="21"/>
  <c r="J4628" i="21"/>
  <c r="J4567" i="21"/>
  <c r="J4423" i="21"/>
  <c r="J4299" i="21"/>
  <c r="J4295" i="21"/>
  <c r="J4291" i="21"/>
  <c r="J4287" i="21"/>
  <c r="J4283" i="21"/>
  <c r="J4279" i="21"/>
  <c r="J4275" i="21"/>
  <c r="J4271" i="21"/>
  <c r="J4267" i="21"/>
  <c r="J4263" i="21"/>
  <c r="J4259" i="21"/>
  <c r="J4255" i="21"/>
  <c r="J4251" i="21"/>
  <c r="J4132" i="21"/>
  <c r="J4128" i="21"/>
  <c r="J4121" i="21"/>
  <c r="J4124" i="21"/>
  <c r="J3930" i="21"/>
  <c r="J3905" i="21"/>
  <c r="J3893" i="21"/>
  <c r="J3728" i="21"/>
  <c r="J3686" i="21"/>
  <c r="J3682" i="21"/>
  <c r="J3673" i="21"/>
  <c r="J3670" i="21"/>
  <c r="J3666" i="21"/>
  <c r="J3662" i="21"/>
  <c r="J3659" i="21"/>
  <c r="J3621" i="21"/>
  <c r="J3617" i="21"/>
  <c r="J3437" i="21"/>
  <c r="J3426" i="21"/>
  <c r="J3413" i="21"/>
  <c r="J3401" i="21"/>
  <c r="J3389" i="21"/>
  <c r="J3379" i="21"/>
  <c r="J3362" i="21"/>
  <c r="J3346" i="21"/>
  <c r="J3335" i="21"/>
  <c r="J3320" i="21"/>
  <c r="J3305" i="21"/>
  <c r="J3293" i="21"/>
  <c r="J3278" i="21"/>
  <c r="J3267" i="21"/>
  <c r="J3252" i="21"/>
  <c r="J3238" i="21"/>
  <c r="J3225" i="21"/>
  <c r="J3210" i="21"/>
  <c r="J3198" i="21"/>
  <c r="J3181" i="21"/>
  <c r="J3167" i="21"/>
  <c r="J3152" i="21"/>
  <c r="J3136" i="21"/>
  <c r="J3121" i="21"/>
  <c r="J3111" i="21"/>
  <c r="J3102" i="21"/>
  <c r="J3089" i="21"/>
  <c r="J3078" i="21"/>
  <c r="J3063" i="21"/>
  <c r="J3047" i="21"/>
  <c r="J3035" i="21"/>
  <c r="J3011" i="21"/>
  <c r="J2997" i="21"/>
  <c r="J2983" i="21"/>
  <c r="J2958" i="21"/>
  <c r="J2944" i="21"/>
  <c r="J2930" i="21"/>
  <c r="J2915" i="21"/>
  <c r="J2899" i="21"/>
  <c r="J2887" i="21"/>
  <c r="J2861" i="21"/>
  <c r="J2777" i="21"/>
  <c r="J1882" i="21"/>
  <c r="J1385" i="21"/>
  <c r="J1376" i="21"/>
  <c r="J1372" i="21"/>
  <c r="J1366" i="21"/>
  <c r="J1362" i="21"/>
  <c r="J1358" i="21"/>
  <c r="J1354" i="21"/>
  <c r="J1350" i="21"/>
  <c r="J1346" i="21"/>
  <c r="J1342" i="21"/>
  <c r="J1338" i="21"/>
  <c r="J1332" i="21"/>
  <c r="J1331" i="21"/>
  <c r="J1326" i="21"/>
  <c r="J1322" i="21"/>
  <c r="J1317" i="21"/>
  <c r="J1314" i="21"/>
  <c r="J1310" i="21"/>
  <c r="J1306" i="21"/>
  <c r="J1293" i="21"/>
  <c r="J1289" i="21"/>
  <c r="J1285" i="21"/>
  <c r="J1279" i="21"/>
  <c r="J1278" i="21"/>
  <c r="J1274" i="21"/>
  <c r="J1268" i="21"/>
  <c r="J1265" i="21"/>
  <c r="J1260" i="21"/>
  <c r="J1256" i="21"/>
  <c r="J1252" i="21"/>
  <c r="J1246" i="21"/>
  <c r="J1244" i="21"/>
  <c r="J1222" i="21"/>
  <c r="J1218" i="21"/>
  <c r="J1214" i="21"/>
  <c r="J1198" i="21"/>
  <c r="J1194" i="21"/>
  <c r="J1189" i="21"/>
  <c r="J1186" i="21"/>
  <c r="J1180" i="21"/>
  <c r="J1178" i="21"/>
  <c r="J1174" i="21"/>
  <c r="J1168" i="21"/>
  <c r="J1164" i="21"/>
  <c r="J1160" i="21"/>
  <c r="J1047" i="21"/>
  <c r="J893" i="21"/>
  <c r="J889" i="21"/>
  <c r="J885" i="21"/>
  <c r="J881" i="21"/>
  <c r="J877" i="21"/>
  <c r="J873" i="21"/>
  <c r="J869" i="21"/>
  <c r="J864" i="21"/>
  <c r="J861" i="21"/>
  <c r="J857" i="21"/>
  <c r="J6389" i="21"/>
  <c r="J6381" i="21"/>
  <c r="J6371" i="21"/>
  <c r="J6341" i="21"/>
  <c r="J6333" i="21"/>
  <c r="J6325" i="21"/>
  <c r="J6317" i="21"/>
  <c r="J6309" i="21"/>
  <c r="J6301" i="21"/>
  <c r="J6293" i="21"/>
  <c r="J6285" i="21"/>
  <c r="J6269" i="21"/>
  <c r="J6259" i="21"/>
  <c r="J6251" i="21"/>
  <c r="J6243" i="21"/>
  <c r="J6233" i="21"/>
  <c r="J6225" i="21"/>
  <c r="J6217" i="21"/>
  <c r="J6209" i="21"/>
  <c r="J6201" i="21"/>
  <c r="J6193" i="21"/>
  <c r="J6185" i="21"/>
  <c r="J6177" i="21"/>
  <c r="J6169" i="21"/>
  <c r="J6161" i="21"/>
  <c r="J6151" i="21"/>
  <c r="J6143" i="21"/>
  <c r="J6121" i="21"/>
  <c r="J6111" i="21"/>
  <c r="J6103" i="21"/>
  <c r="J6091" i="21"/>
  <c r="J6069" i="21"/>
  <c r="J6055" i="21"/>
  <c r="J6037" i="21"/>
  <c r="J6021" i="21"/>
  <c r="J6011" i="21"/>
  <c r="J5976" i="21"/>
  <c r="J5972" i="21"/>
  <c r="J5967" i="21"/>
  <c r="J5963" i="21"/>
  <c r="J5958" i="21"/>
  <c r="J5946" i="21"/>
  <c r="J5926" i="21"/>
  <c r="J5918" i="21"/>
  <c r="J5914" i="21"/>
  <c r="J5884" i="21"/>
  <c r="J5858" i="21"/>
  <c r="J5842" i="21"/>
  <c r="J5838" i="21"/>
  <c r="J5834" i="21"/>
  <c r="J5820" i="21"/>
  <c r="J5794" i="21"/>
  <c r="J5788" i="21"/>
  <c r="J5784" i="21"/>
  <c r="J5780" i="21"/>
  <c r="J5776" i="21"/>
  <c r="J5772" i="21"/>
  <c r="J5768" i="21"/>
  <c r="J5746" i="21"/>
  <c r="J5730" i="21"/>
  <c r="J5722" i="21"/>
  <c r="J5716" i="21"/>
  <c r="J5712" i="21"/>
  <c r="J5708" i="21"/>
  <c r="J5702" i="21"/>
  <c r="J5698" i="21"/>
  <c r="J5694" i="21"/>
  <c r="J5689" i="21"/>
  <c r="J5675" i="21"/>
  <c r="J5664" i="21"/>
  <c r="J5649" i="21"/>
  <c r="J5645" i="21"/>
  <c r="J5641" i="21"/>
  <c r="J5633" i="21"/>
  <c r="J5599" i="21"/>
  <c r="J5592" i="21"/>
  <c r="J5561" i="21"/>
  <c r="J5552" i="21"/>
  <c r="J5543" i="21"/>
  <c r="J5471" i="21"/>
  <c r="J5435" i="21"/>
  <c r="J5177" i="21"/>
  <c r="J5021" i="21"/>
  <c r="J5017" i="21"/>
  <c r="J4946" i="21"/>
  <c r="J4903" i="21"/>
  <c r="J4668" i="21"/>
  <c r="J4660" i="21"/>
  <c r="J4520" i="21"/>
  <c r="J4515" i="21"/>
  <c r="J4508" i="21"/>
  <c r="J4501" i="21"/>
  <c r="J4494" i="21"/>
  <c r="J4468" i="21"/>
  <c r="J4459" i="21"/>
  <c r="J4455" i="21"/>
  <c r="J4450" i="21"/>
  <c r="J4446" i="21"/>
  <c r="J3852" i="21"/>
  <c r="J3843" i="21"/>
  <c r="J3833" i="21"/>
  <c r="J3808" i="21"/>
  <c r="J3806" i="21"/>
  <c r="J3793" i="21"/>
  <c r="J3784" i="21"/>
  <c r="J3777" i="21"/>
  <c r="J3773" i="21"/>
  <c r="J3768" i="21"/>
  <c r="J3761" i="21"/>
  <c r="J3724" i="21"/>
  <c r="J3720" i="21"/>
  <c r="J3716" i="21"/>
  <c r="J3707" i="21"/>
  <c r="J3703" i="21"/>
  <c r="J3698" i="21"/>
  <c r="J3601" i="21"/>
  <c r="J3554" i="21"/>
  <c r="J3548" i="21"/>
  <c r="J3544" i="21"/>
  <c r="J3540" i="21"/>
  <c r="J3511" i="21"/>
  <c r="J3438" i="21"/>
  <c r="J3378" i="21"/>
  <c r="J3264" i="21"/>
  <c r="J3195" i="21"/>
  <c r="J3120" i="21"/>
  <c r="J3110" i="21"/>
  <c r="J3101" i="21"/>
  <c r="J3032" i="21"/>
  <c r="J2972" i="21"/>
  <c r="J2927" i="21"/>
  <c r="J2888" i="21"/>
  <c r="J2826" i="21"/>
  <c r="J2818" i="21"/>
  <c r="J2814" i="21"/>
  <c r="J2807" i="21"/>
  <c r="J2802" i="21"/>
  <c r="J2794" i="21"/>
  <c r="J2788" i="21"/>
  <c r="J2728" i="21"/>
  <c r="J2722" i="21"/>
  <c r="J2715" i="21"/>
  <c r="J2711" i="21"/>
  <c r="J2705" i="21"/>
  <c r="J2701" i="21"/>
  <c r="J2697" i="21"/>
  <c r="J2638" i="21"/>
  <c r="J2634" i="21"/>
  <c r="J2553" i="21"/>
  <c r="J2479" i="21"/>
  <c r="J2444" i="21"/>
  <c r="J2375" i="21"/>
  <c r="J2342" i="21"/>
  <c r="J2334" i="21"/>
  <c r="J2330" i="21"/>
  <c r="J2326" i="21"/>
  <c r="J2313" i="21"/>
  <c r="J2264" i="21"/>
  <c r="J2238" i="21"/>
  <c r="J2052" i="21"/>
  <c r="J2044" i="21"/>
  <c r="J2040" i="21"/>
  <c r="J2032" i="21"/>
  <c r="J2009" i="21"/>
  <c r="J2002" i="21"/>
  <c r="J1998" i="21"/>
  <c r="J1994" i="21"/>
  <c r="J1987" i="21"/>
  <c r="J1876" i="21"/>
  <c r="J1872" i="21"/>
  <c r="J1868" i="21"/>
  <c r="J1864" i="21"/>
  <c r="J1812" i="21"/>
  <c r="J1805" i="21"/>
  <c r="J1793" i="21"/>
  <c r="J1747" i="21"/>
  <c r="J1737" i="21"/>
  <c r="J1732" i="21"/>
  <c r="J1722" i="21"/>
  <c r="J1497" i="21"/>
  <c r="J1493" i="21"/>
  <c r="J1477" i="21"/>
  <c r="J1470" i="21"/>
  <c r="J1381" i="21"/>
  <c r="J97" i="21"/>
  <c r="J89" i="21"/>
  <c r="J34" i="21"/>
  <c r="J27" i="21"/>
  <c r="J19" i="21"/>
  <c r="J12" i="21"/>
  <c r="J5490" i="21"/>
  <c r="J5486" i="21"/>
  <c r="J5159" i="21"/>
  <c r="J5122" i="21"/>
  <c r="J5118" i="21"/>
  <c r="J5112" i="21"/>
  <c r="J5108" i="21"/>
  <c r="J5104" i="21"/>
  <c r="J5005" i="21"/>
  <c r="J4988" i="21"/>
  <c r="J4979" i="21"/>
  <c r="J4975" i="21"/>
  <c r="J4971" i="21"/>
  <c r="J4967" i="21"/>
  <c r="J4921" i="21"/>
  <c r="J4917" i="21"/>
  <c r="J4909" i="21"/>
  <c r="J2669" i="21"/>
  <c r="J2200" i="21"/>
  <c r="J2189" i="21"/>
  <c r="J1565" i="21"/>
  <c r="J1394" i="21"/>
  <c r="J1154" i="21"/>
  <c r="J1150" i="21"/>
  <c r="J1010" i="21"/>
  <c r="J1007" i="21"/>
  <c r="J1003" i="21"/>
  <c r="J998" i="21"/>
  <c r="J994" i="21"/>
  <c r="J990" i="21"/>
  <c r="J986" i="21"/>
  <c r="J982" i="21"/>
  <c r="J977" i="21"/>
  <c r="J974" i="21"/>
  <c r="J970" i="21"/>
  <c r="J966" i="21"/>
  <c r="J962" i="21"/>
  <c r="J958" i="21"/>
  <c r="J722" i="21"/>
  <c r="J604" i="21"/>
  <c r="J600" i="21"/>
  <c r="J596" i="21"/>
  <c r="J591" i="21"/>
  <c r="J588" i="21"/>
  <c r="J584" i="21"/>
  <c r="J580" i="21"/>
  <c r="J505" i="21"/>
  <c r="J501" i="21"/>
  <c r="J497" i="21"/>
  <c r="J493" i="21"/>
  <c r="J489" i="21"/>
  <c r="J264" i="21"/>
  <c r="J260" i="21"/>
  <c r="J209" i="21"/>
  <c r="J161" i="21"/>
  <c r="J80" i="21"/>
  <c r="J42" i="21"/>
  <c r="J4441" i="21"/>
  <c r="J5518" i="21"/>
  <c r="J5482" i="21"/>
  <c r="J5142" i="21"/>
  <c r="J5138" i="21"/>
  <c r="J5134" i="21"/>
  <c r="J5130" i="21"/>
  <c r="J5126" i="21"/>
  <c r="J5013" i="21"/>
  <c r="J5009" i="21"/>
  <c r="J5004" i="21"/>
  <c r="J4997" i="21"/>
  <c r="J4993" i="21"/>
  <c r="J4949" i="21"/>
  <c r="J4938" i="21"/>
  <c r="J4934" i="21"/>
  <c r="J4930" i="21"/>
  <c r="J4926" i="21"/>
  <c r="J4914" i="21"/>
  <c r="J4638" i="21"/>
  <c r="J4627" i="21"/>
  <c r="J4432" i="21"/>
  <c r="J4422" i="21"/>
  <c r="J4298" i="21"/>
  <c r="J4294" i="21"/>
  <c r="J4290" i="21"/>
  <c r="J4286" i="21"/>
  <c r="J4282" i="21"/>
  <c r="J4278" i="21"/>
  <c r="J4274" i="21"/>
  <c r="J4270" i="21"/>
  <c r="J4266" i="21"/>
  <c r="J4262" i="21"/>
  <c r="J4258" i="21"/>
  <c r="J4254" i="21"/>
  <c r="J4250" i="21"/>
  <c r="J4131" i="21"/>
  <c r="J4127" i="21"/>
  <c r="J4120" i="21"/>
  <c r="J3933" i="21"/>
  <c r="J3912" i="21"/>
  <c r="J3904" i="21"/>
  <c r="J3730" i="21"/>
  <c r="J3726" i="21"/>
  <c r="J3685" i="21"/>
  <c r="J3677" i="21"/>
  <c r="J3674" i="21"/>
  <c r="J3669" i="21"/>
  <c r="J3665" i="21"/>
  <c r="J3661" i="21"/>
  <c r="J3632" i="21"/>
  <c r="J3620" i="21"/>
  <c r="J3616" i="21"/>
  <c r="J3433" i="21"/>
  <c r="J3421" i="21"/>
  <c r="J3410" i="21"/>
  <c r="J3399" i="21"/>
  <c r="J3387" i="21"/>
  <c r="J3374" i="21"/>
  <c r="J3360" i="21"/>
  <c r="J3344" i="21"/>
  <c r="J3328" i="21"/>
  <c r="J3316" i="21"/>
  <c r="J3301" i="21"/>
  <c r="J3288" i="21"/>
  <c r="J3276" i="21"/>
  <c r="J3265" i="21"/>
  <c r="J3250" i="21"/>
  <c r="J3236" i="21"/>
  <c r="J3222" i="21"/>
  <c r="J3208" i="21"/>
  <c r="J3196" i="21"/>
  <c r="J3175" i="21"/>
  <c r="J3162" i="21"/>
  <c r="J3146" i="21"/>
  <c r="J3134" i="21"/>
  <c r="J3119" i="21"/>
  <c r="J3109" i="21"/>
  <c r="J3097" i="21"/>
  <c r="J3087" i="21"/>
  <c r="J3076" i="21"/>
  <c r="J3061" i="21"/>
  <c r="J3045" i="21"/>
  <c r="J3026" i="21"/>
  <c r="J3009" i="21"/>
  <c r="J2992" i="21"/>
  <c r="J2973" i="21"/>
  <c r="J2956" i="21"/>
  <c r="J2940" i="21"/>
  <c r="J2928" i="21"/>
  <c r="J2913" i="21"/>
  <c r="J2897" i="21"/>
  <c r="J2873" i="21"/>
  <c r="J2857" i="21"/>
  <c r="J1889" i="21"/>
  <c r="J1880" i="21"/>
  <c r="J1384" i="21"/>
  <c r="J1375" i="21"/>
  <c r="J1371" i="21"/>
  <c r="J1365" i="21"/>
  <c r="J1361" i="21"/>
  <c r="J1357" i="21"/>
  <c r="J1353" i="21"/>
  <c r="J1349" i="21"/>
  <c r="J1345" i="21"/>
  <c r="J1341" i="21"/>
  <c r="J1336" i="21"/>
  <c r="J1334" i="21"/>
  <c r="J1330" i="21"/>
  <c r="J1324" i="21"/>
  <c r="J1320" i="21"/>
  <c r="J1318" i="21"/>
  <c r="J1313" i="21"/>
  <c r="J1309" i="21"/>
  <c r="J1296" i="21"/>
  <c r="J1292" i="21"/>
  <c r="J1287" i="21"/>
  <c r="J1284" i="21"/>
  <c r="J1281" i="21"/>
  <c r="J1275" i="21"/>
  <c r="J1271" i="21"/>
  <c r="J1269" i="21"/>
  <c r="J1264" i="21"/>
  <c r="J1259" i="21"/>
  <c r="J1255" i="21"/>
  <c r="J1251" i="21"/>
  <c r="J1248" i="21"/>
  <c r="J1243" i="21"/>
  <c r="J1221" i="21"/>
  <c r="J1217" i="21"/>
  <c r="J1212" i="21"/>
  <c r="J1195" i="21"/>
  <c r="J1192" i="21"/>
  <c r="J1187" i="21"/>
  <c r="J1183" i="21"/>
  <c r="J1181" i="21"/>
  <c r="J1175" i="21"/>
  <c r="J1172" i="21"/>
  <c r="J1169" i="21"/>
  <c r="J1165" i="21"/>
  <c r="J1159" i="21"/>
  <c r="J896" i="21"/>
  <c r="J892" i="21"/>
  <c r="J888" i="21"/>
  <c r="J884" i="21"/>
  <c r="J879" i="21"/>
  <c r="J876" i="21"/>
  <c r="J872" i="21"/>
  <c r="J868" i="21"/>
  <c r="J865" i="21"/>
  <c r="J860" i="21"/>
  <c r="J856" i="21"/>
  <c r="J851" i="21"/>
  <c r="J848" i="21"/>
  <c r="J844" i="21"/>
  <c r="J840" i="21"/>
  <c r="J836" i="21"/>
  <c r="J832" i="21"/>
  <c r="J828" i="21"/>
  <c r="J823" i="21"/>
  <c r="J819" i="21"/>
  <c r="J816" i="21"/>
  <c r="J812" i="21"/>
  <c r="J808" i="21"/>
  <c r="J804" i="21"/>
  <c r="J800" i="21"/>
  <c r="J797" i="21"/>
  <c r="J792" i="21"/>
  <c r="J788" i="21"/>
  <c r="J784" i="21"/>
  <c r="J779" i="21"/>
  <c r="J776" i="21"/>
  <c r="J772" i="21"/>
  <c r="J768" i="21"/>
  <c r="J765" i="21"/>
  <c r="J760" i="21"/>
  <c r="J756" i="21"/>
  <c r="J658" i="21"/>
  <c r="J654" i="21"/>
  <c r="J611" i="21"/>
  <c r="J292" i="21"/>
  <c r="J285" i="21"/>
  <c r="J283" i="21"/>
  <c r="J277" i="21"/>
  <c r="J275" i="21"/>
  <c r="J271" i="21"/>
  <c r="J267" i="21"/>
  <c r="J252" i="21"/>
  <c r="J246" i="21"/>
  <c r="J242" i="21"/>
  <c r="J239" i="21"/>
  <c r="J234" i="21"/>
  <c r="J231" i="21"/>
  <c r="J226" i="21"/>
  <c r="J222" i="21"/>
  <c r="J218" i="21"/>
  <c r="J214" i="21"/>
  <c r="J197" i="21"/>
  <c r="J193" i="21"/>
  <c r="J188" i="21"/>
  <c r="J185" i="21"/>
  <c r="J181" i="21"/>
  <c r="J176" i="21"/>
  <c r="J172" i="21"/>
  <c r="J168" i="21"/>
  <c r="J162" i="21"/>
  <c r="J157" i="21"/>
  <c r="J153" i="21"/>
  <c r="J149" i="21"/>
  <c r="J145" i="21"/>
  <c r="J141" i="21"/>
  <c r="J135" i="21"/>
  <c r="J131" i="21"/>
  <c r="J127" i="21"/>
  <c r="J116" i="21"/>
  <c r="J112" i="21"/>
  <c r="J108" i="21"/>
  <c r="J105" i="21"/>
  <c r="J52" i="21"/>
  <c r="J48" i="21"/>
  <c r="J6" i="21"/>
  <c r="J2" i="21"/>
  <c r="J5515" i="21"/>
  <c r="J5155" i="21"/>
  <c r="J5151" i="21"/>
  <c r="J5086" i="21"/>
  <c r="J5082" i="21"/>
  <c r="J4632" i="21"/>
  <c r="J4529" i="21"/>
  <c r="J4249" i="21"/>
  <c r="J4245" i="21"/>
  <c r="J4241" i="21"/>
  <c r="J4237" i="21"/>
  <c r="J4233" i="21"/>
  <c r="J4229" i="21"/>
  <c r="J4225" i="21"/>
  <c r="J4221" i="21"/>
  <c r="J4217" i="21"/>
  <c r="J4213" i="21"/>
  <c r="J4209" i="21"/>
  <c r="J4205" i="21"/>
  <c r="J4201" i="21"/>
  <c r="J4197" i="21"/>
  <c r="J4193" i="21"/>
  <c r="J4189" i="21"/>
  <c r="J4118" i="21"/>
  <c r="J4114" i="21"/>
  <c r="J4110" i="21"/>
  <c r="J4106" i="21"/>
  <c r="J4102" i="21"/>
  <c r="J4098" i="21"/>
  <c r="J4094" i="21"/>
  <c r="J4090" i="21"/>
  <c r="J4086" i="21"/>
  <c r="J4082" i="21"/>
  <c r="J4012" i="21"/>
  <c r="J4008" i="21"/>
  <c r="J4004" i="21"/>
  <c r="J4000" i="21"/>
  <c r="J3996" i="21"/>
  <c r="J3992" i="21"/>
  <c r="J3988" i="21"/>
  <c r="J3984" i="21"/>
  <c r="J5510" i="21"/>
  <c r="J5501" i="21"/>
  <c r="J4962" i="21"/>
  <c r="J4643" i="21"/>
  <c r="J4618" i="21"/>
  <c r="J4606" i="21"/>
  <c r="J4599" i="21"/>
  <c r="J4589" i="21"/>
  <c r="J4575" i="21"/>
  <c r="J4556" i="21"/>
  <c r="J4543" i="21"/>
  <c r="J4524" i="21"/>
  <c r="J4435" i="21"/>
  <c r="J4420" i="21"/>
  <c r="J4332" i="21"/>
  <c r="J4184" i="21"/>
  <c r="J4168" i="21"/>
  <c r="J4163" i="21"/>
  <c r="J4147" i="21"/>
  <c r="J4075" i="21"/>
  <c r="J4071" i="21"/>
  <c r="J4058" i="21"/>
  <c r="J4047" i="21"/>
  <c r="J4036" i="21"/>
  <c r="J4027" i="21"/>
  <c r="J4017" i="21"/>
  <c r="J3979" i="21"/>
  <c r="J3967" i="21"/>
  <c r="J3951" i="21"/>
  <c r="J3945" i="21"/>
  <c r="J3927" i="21"/>
  <c r="J3922" i="21"/>
  <c r="J3911" i="21"/>
  <c r="J3898" i="21"/>
  <c r="J3571" i="21"/>
  <c r="J3527" i="21"/>
  <c r="J3427" i="21"/>
  <c r="J3416" i="21"/>
  <c r="J3373" i="21"/>
  <c r="J3359" i="21"/>
  <c r="J3343" i="21"/>
  <c r="J3327" i="21"/>
  <c r="J3315" i="21"/>
  <c r="J3300" i="21"/>
  <c r="J3279" i="21"/>
  <c r="J3270" i="21"/>
  <c r="J3243" i="21"/>
  <c r="J3233" i="21"/>
  <c r="J3221" i="21"/>
  <c r="J3213" i="21"/>
  <c r="J3182" i="21"/>
  <c r="J3168" i="21"/>
  <c r="J3153" i="21"/>
  <c r="J3137" i="21"/>
  <c r="J3094" i="21"/>
  <c r="J3084" i="21"/>
  <c r="J3060" i="21"/>
  <c r="J3044" i="21"/>
  <c r="J3010" i="21"/>
  <c r="J2996" i="21"/>
  <c r="J2982" i="21"/>
  <c r="J2945" i="21"/>
  <c r="J2935" i="21"/>
  <c r="J2900" i="21"/>
  <c r="J2870" i="21"/>
  <c r="J2854" i="21"/>
  <c r="J2552" i="21"/>
  <c r="J2545" i="21"/>
  <c r="J2539" i="21"/>
  <c r="J2532" i="21"/>
  <c r="J2242" i="21"/>
  <c r="J2213" i="21"/>
  <c r="J2205" i="21"/>
  <c r="J1883" i="21"/>
  <c r="J1708" i="21"/>
  <c r="J1702" i="21"/>
  <c r="J406" i="21"/>
  <c r="J5506" i="21"/>
  <c r="J5500" i="21"/>
  <c r="J4985" i="21"/>
  <c r="J4957" i="21"/>
  <c r="J4651" i="21"/>
  <c r="J4626" i="21"/>
  <c r="J4620" i="21"/>
  <c r="J4613" i="21"/>
  <c r="J4609" i="21"/>
  <c r="J4600" i="21"/>
  <c r="J4593" i="21"/>
  <c r="J4586" i="21"/>
  <c r="J4580" i="21"/>
  <c r="J4576" i="21"/>
  <c r="J4571" i="21"/>
  <c r="J4562" i="21"/>
  <c r="J4557" i="21"/>
  <c r="J4549" i="21"/>
  <c r="J4545" i="21"/>
  <c r="J4539" i="21"/>
  <c r="J4438" i="21"/>
  <c r="J4428" i="21"/>
  <c r="J4339" i="21"/>
  <c r="J4335" i="21"/>
  <c r="J4326" i="21"/>
  <c r="J4188" i="21"/>
  <c r="J4180" i="21"/>
  <c r="J4176" i="21"/>
  <c r="J4172" i="21"/>
  <c r="J4162" i="21"/>
  <c r="J4158" i="21"/>
  <c r="J4154" i="21"/>
  <c r="J4145" i="21"/>
  <c r="J4141" i="21"/>
  <c r="J4137" i="21"/>
  <c r="J4070" i="21"/>
  <c r="J4066" i="21"/>
  <c r="J4059" i="21"/>
  <c r="J4051" i="21"/>
  <c r="J4045" i="21"/>
  <c r="J4041" i="21"/>
  <c r="J4034" i="21"/>
  <c r="J4023" i="21"/>
  <c r="J4019" i="21"/>
  <c r="J3982" i="21"/>
  <c r="J3973" i="21"/>
  <c r="J3968" i="21"/>
  <c r="J3963" i="21"/>
  <c r="J3958" i="21"/>
  <c r="J3952" i="21"/>
  <c r="J3943" i="21"/>
  <c r="J3939" i="21"/>
  <c r="J3920" i="21"/>
  <c r="J3908" i="21"/>
  <c r="J3896" i="21"/>
  <c r="J3585" i="21"/>
  <c r="J3573" i="21"/>
  <c r="J3566" i="21"/>
  <c r="J3531" i="21"/>
  <c r="J3525" i="21"/>
  <c r="J3424" i="21"/>
  <c r="J3414" i="21"/>
  <c r="J3404" i="21"/>
  <c r="J3372" i="21"/>
  <c r="J3364" i="21"/>
  <c r="J3351" i="21"/>
  <c r="J3339" i="21"/>
  <c r="J3331" i="21"/>
  <c r="J3317" i="21"/>
  <c r="J3307" i="21"/>
  <c r="J3298" i="21"/>
  <c r="J3281" i="21"/>
  <c r="J3247" i="21"/>
  <c r="J3242" i="21"/>
  <c r="J3230" i="21"/>
  <c r="J3211" i="21"/>
  <c r="J3178" i="21"/>
  <c r="J3173" i="21"/>
  <c r="J3163" i="21"/>
  <c r="J3148" i="21"/>
  <c r="J3140" i="21"/>
  <c r="J3130" i="21"/>
  <c r="J3093" i="21"/>
  <c r="J3079" i="21"/>
  <c r="J3055" i="21"/>
  <c r="J3048" i="21"/>
  <c r="J3036" i="21"/>
  <c r="J3028" i="21"/>
  <c r="J3002" i="21"/>
  <c r="J2995" i="21"/>
  <c r="J2989" i="21"/>
  <c r="J2979" i="21"/>
  <c r="J2975" i="21"/>
  <c r="J2950" i="21"/>
  <c r="J2941" i="21"/>
  <c r="J2931" i="21"/>
  <c r="J2909" i="21"/>
  <c r="J2902" i="21"/>
  <c r="J2892" i="21"/>
  <c r="J2865" i="21"/>
  <c r="J2858" i="21"/>
  <c r="J2848" i="21"/>
  <c r="J2758" i="21"/>
  <c r="J2543" i="21"/>
  <c r="J2534" i="21"/>
  <c r="J2526" i="21"/>
  <c r="J2244" i="21"/>
  <c r="J2215" i="21"/>
  <c r="J2207" i="21"/>
  <c r="J1879" i="21"/>
  <c r="J1707" i="21"/>
  <c r="J1699" i="21"/>
  <c r="J431" i="21"/>
  <c r="J411" i="21"/>
  <c r="J6761" i="21"/>
  <c r="J5397" i="21"/>
  <c r="J5364" i="21"/>
  <c r="J5317" i="21"/>
  <c r="J5295" i="21"/>
  <c r="J5270" i="21"/>
  <c r="J5256" i="21"/>
  <c r="J5230" i="21"/>
  <c r="J5201" i="21"/>
  <c r="J5172" i="21"/>
  <c r="J2691" i="21"/>
  <c r="J2682" i="21"/>
  <c r="J2670" i="21"/>
  <c r="J2554" i="21"/>
  <c r="J2169" i="21"/>
  <c r="J1490" i="21"/>
  <c r="J1430" i="21"/>
  <c r="J1039" i="21"/>
  <c r="J1028" i="21"/>
  <c r="J735" i="21"/>
  <c r="J704" i="21"/>
  <c r="J662" i="21"/>
  <c r="J5495" i="21"/>
  <c r="J5491" i="21"/>
  <c r="J5466" i="21"/>
  <c r="J5157" i="21"/>
  <c r="J3678" i="21"/>
  <c r="J3624" i="21"/>
  <c r="J3612" i="21"/>
  <c r="J1606" i="21"/>
  <c r="J1391" i="21"/>
  <c r="J1209" i="21"/>
  <c r="J1205" i="21"/>
  <c r="J956" i="21"/>
  <c r="J952" i="21"/>
  <c r="J948" i="21"/>
  <c r="J944" i="21"/>
  <c r="J940" i="21"/>
  <c r="J935" i="21"/>
  <c r="J578" i="21"/>
  <c r="J575" i="21"/>
  <c r="J570" i="21"/>
  <c r="J565" i="21"/>
  <c r="J562" i="21"/>
  <c r="J483" i="21"/>
  <c r="J479" i="21"/>
  <c r="J474" i="21"/>
  <c r="J471" i="21"/>
  <c r="J410" i="21"/>
  <c r="J258" i="21"/>
  <c r="J206" i="21"/>
  <c r="J6737" i="21"/>
  <c r="J6729" i="21"/>
  <c r="J6712" i="21"/>
  <c r="J6704" i="21"/>
  <c r="J6692" i="21"/>
  <c r="J6680" i="21"/>
  <c r="J6670" i="21"/>
  <c r="J6658" i="21"/>
  <c r="J6648" i="21"/>
  <c r="J6640" i="21"/>
  <c r="J6630" i="21"/>
  <c r="J6622" i="21"/>
  <c r="J6614" i="21"/>
  <c r="J6583" i="21"/>
  <c r="J6565" i="21"/>
  <c r="J6547" i="21"/>
  <c r="J6535" i="21"/>
  <c r="J6527" i="21"/>
  <c r="J6519" i="21"/>
  <c r="J6511" i="21"/>
  <c r="J6503" i="21"/>
  <c r="J6494" i="21"/>
  <c r="J6486" i="21"/>
  <c r="J6478" i="21"/>
  <c r="J6470" i="21"/>
  <c r="J6462" i="21"/>
  <c r="J6454" i="21"/>
  <c r="J6446" i="21"/>
  <c r="J6428" i="21"/>
  <c r="J6420" i="21"/>
  <c r="J6410" i="21"/>
  <c r="J6402" i="21"/>
  <c r="J6392" i="21"/>
  <c r="J6384" i="21"/>
  <c r="J6376" i="21"/>
  <c r="J6366" i="21"/>
  <c r="J6336" i="21"/>
  <c r="J6328" i="21"/>
  <c r="J6320" i="21"/>
  <c r="J6312" i="21"/>
  <c r="J6304" i="21"/>
  <c r="J6296" i="21"/>
  <c r="J6288" i="21"/>
  <c r="J6274" i="21"/>
  <c r="J6262" i="21"/>
  <c r="J1057" i="21"/>
  <c r="J1589" i="21"/>
  <c r="J5519" i="21"/>
  <c r="J4987" i="21"/>
  <c r="J4630" i="21"/>
  <c r="J3751" i="21"/>
  <c r="J3747" i="21"/>
  <c r="J3743" i="21"/>
  <c r="J3739" i="21"/>
  <c r="J3735" i="21"/>
  <c r="J3689" i="21"/>
  <c r="J3654" i="21"/>
  <c r="J3649" i="21"/>
  <c r="J3646" i="21"/>
  <c r="J3641" i="21"/>
  <c r="J3636" i="21"/>
  <c r="J3631" i="21"/>
  <c r="J3611" i="21"/>
  <c r="J3607" i="21"/>
  <c r="J3577" i="21"/>
  <c r="J2658" i="21"/>
  <c r="J2184" i="21"/>
  <c r="J1558" i="21"/>
  <c r="J1554" i="21"/>
  <c r="J1452" i="21"/>
  <c r="J1448" i="21"/>
  <c r="J1369" i="21"/>
  <c r="J1302" i="21"/>
  <c r="J1299" i="21"/>
  <c r="J1241" i="21"/>
  <c r="J1237" i="21"/>
  <c r="J1232" i="21"/>
  <c r="J1228" i="21"/>
  <c r="J1224" i="21"/>
  <c r="J1200" i="21"/>
  <c r="J930" i="21"/>
  <c r="J927" i="21"/>
  <c r="J921" i="21"/>
  <c r="J920" i="21"/>
  <c r="J914" i="21"/>
  <c r="J910" i="21"/>
  <c r="J907" i="21"/>
  <c r="J903" i="21"/>
  <c r="J898" i="21"/>
  <c r="J641" i="21"/>
  <c r="J560" i="21"/>
  <c r="J555" i="21"/>
  <c r="J552" i="21"/>
  <c r="J549" i="21"/>
  <c r="J544" i="21"/>
  <c r="J540" i="21"/>
  <c r="J536" i="21"/>
  <c r="J533" i="21"/>
  <c r="J528" i="21"/>
  <c r="J465" i="21"/>
  <c r="J461" i="21"/>
  <c r="J457" i="21"/>
  <c r="J453" i="21"/>
  <c r="J450" i="21"/>
  <c r="J446" i="21"/>
  <c r="J442" i="21"/>
  <c r="J438" i="21"/>
  <c r="J435" i="21"/>
  <c r="J334" i="21"/>
  <c r="J256" i="21"/>
  <c r="J199" i="21"/>
  <c r="J136" i="21"/>
  <c r="J120" i="21"/>
  <c r="J6750" i="21"/>
  <c r="J6727" i="21"/>
  <c r="J6721" i="21"/>
  <c r="J6685" i="21"/>
  <c r="J6653" i="21"/>
  <c r="J6606" i="21"/>
  <c r="J6598" i="21"/>
  <c r="J6588" i="21"/>
  <c r="J6574" i="21"/>
  <c r="J6556" i="21"/>
  <c r="J6540" i="21"/>
  <c r="J6433" i="21"/>
  <c r="J6375" i="21"/>
  <c r="J6357" i="21"/>
  <c r="J6349" i="21"/>
  <c r="J6281" i="21"/>
  <c r="J6267" i="21"/>
  <c r="J6137" i="21"/>
  <c r="J6129" i="21"/>
  <c r="J6093" i="21"/>
  <c r="J6081" i="21"/>
  <c r="J6065" i="21"/>
  <c r="J6051" i="21"/>
  <c r="J6035" i="21"/>
  <c r="J6015" i="21"/>
  <c r="J6006" i="21"/>
  <c r="J6002" i="21"/>
  <c r="J5998" i="21"/>
  <c r="J5994" i="21"/>
  <c r="J5990" i="21"/>
  <c r="J5986" i="21"/>
  <c r="J5982" i="21"/>
  <c r="J5977" i="21"/>
  <c r="J5954" i="21"/>
  <c r="J5950" i="21"/>
  <c r="J5943" i="21"/>
  <c r="J5939" i="21"/>
  <c r="J5933" i="21"/>
  <c r="J5929" i="21"/>
  <c r="J5924" i="21"/>
  <c r="J5912" i="21"/>
  <c r="J5908" i="21"/>
  <c r="J5902" i="21"/>
  <c r="J5898" i="21"/>
  <c r="J5894" i="21"/>
  <c r="J5890" i="21"/>
  <c r="J5886" i="21"/>
  <c r="J5880" i="21"/>
  <c r="J5876" i="21"/>
  <c r="J5872" i="21"/>
  <c r="J5868" i="21"/>
  <c r="J5864" i="21"/>
  <c r="J5856" i="21"/>
  <c r="J5852" i="21"/>
  <c r="J5846" i="21"/>
  <c r="J5832" i="21"/>
  <c r="J5826" i="21"/>
  <c r="J5822" i="21"/>
  <c r="J5816" i="21"/>
  <c r="J5812" i="21"/>
  <c r="J5808" i="21"/>
  <c r="J5804" i="21"/>
  <c r="J5800" i="21"/>
  <c r="J5792" i="21"/>
  <c r="J5762" i="21"/>
  <c r="J5758" i="21"/>
  <c r="J5754" i="21"/>
  <c r="J5750" i="21"/>
  <c r="J5744" i="21"/>
  <c r="J5740" i="21"/>
  <c r="J5736" i="21"/>
  <c r="J5725" i="21"/>
  <c r="J5719" i="21"/>
  <c r="J5687" i="21"/>
  <c r="J5682" i="21"/>
  <c r="J5678" i="21"/>
  <c r="J5671" i="21"/>
  <c r="J5665" i="21"/>
  <c r="J5659" i="21"/>
  <c r="J5654" i="21"/>
  <c r="J5639" i="21"/>
  <c r="J5631" i="21"/>
  <c r="J5625" i="21"/>
  <c r="J5621" i="21"/>
  <c r="J5617" i="21"/>
  <c r="J5613" i="21"/>
  <c r="J5609" i="21"/>
  <c r="J5605" i="21"/>
  <c r="J5601" i="21"/>
  <c r="J5594" i="21"/>
  <c r="J5587" i="21"/>
  <c r="J5583" i="21"/>
  <c r="J5579" i="21"/>
  <c r="J5575" i="21"/>
  <c r="J5571" i="21"/>
  <c r="J5559" i="21"/>
  <c r="J5541" i="21"/>
  <c r="J5537" i="21"/>
  <c r="J5533" i="21"/>
  <c r="J5529" i="21"/>
  <c r="J5525" i="21"/>
  <c r="J5521" i="21"/>
  <c r="J5448" i="21"/>
  <c r="J5440" i="21"/>
  <c r="J5436" i="21"/>
  <c r="J5430" i="21"/>
  <c r="J5176" i="21"/>
  <c r="J4942" i="21"/>
  <c r="J4904" i="21"/>
  <c r="J4665" i="21"/>
  <c r="J4655" i="21"/>
  <c r="J4648" i="21"/>
  <c r="J4644" i="21"/>
  <c r="J4502" i="21"/>
  <c r="J4493" i="21"/>
  <c r="J4488" i="21"/>
  <c r="J4484" i="21"/>
  <c r="J4478" i="21"/>
  <c r="J4474" i="21"/>
  <c r="J4462" i="21"/>
  <c r="J4444" i="21"/>
  <c r="J3853" i="21"/>
  <c r="J3845" i="21"/>
  <c r="J3825" i="21"/>
  <c r="J3817" i="21"/>
  <c r="J3812" i="21"/>
  <c r="J3804" i="21"/>
  <c r="J3796" i="21"/>
  <c r="J3790" i="21"/>
  <c r="J3779" i="21"/>
  <c r="J3765" i="21"/>
  <c r="J3758" i="21"/>
  <c r="J3715" i="21"/>
  <c r="J3699" i="21"/>
  <c r="J3694" i="21"/>
  <c r="J3656" i="21"/>
  <c r="J3549" i="21"/>
  <c r="J3534" i="21"/>
  <c r="J3514" i="21"/>
  <c r="J3509" i="21"/>
  <c r="J3503" i="21"/>
  <c r="J3499" i="21"/>
  <c r="J3495" i="21"/>
  <c r="J3491" i="21"/>
  <c r="J3487" i="21"/>
  <c r="J3483" i="21"/>
  <c r="J3479" i="21"/>
  <c r="J3475" i="21"/>
  <c r="J3471" i="21"/>
  <c r="J3467" i="21"/>
  <c r="J3463" i="21"/>
  <c r="J3459" i="21"/>
  <c r="J3455" i="21"/>
  <c r="J3451" i="21"/>
  <c r="J3447" i="21"/>
  <c r="J3443" i="21"/>
  <c r="J3397" i="21"/>
  <c r="J3356" i="21"/>
  <c r="J3330" i="21"/>
  <c r="J3289" i="21"/>
  <c r="J3258" i="21"/>
  <c r="J3227" i="21"/>
  <c r="J3191" i="21"/>
  <c r="J3187" i="21"/>
  <c r="J3159" i="21"/>
  <c r="J3117" i="21"/>
  <c r="J3099" i="21"/>
  <c r="J3070" i="21"/>
  <c r="J3066" i="21"/>
  <c r="J3018" i="21"/>
  <c r="J3014" i="21"/>
  <c r="J2967" i="21"/>
  <c r="J2964" i="21"/>
  <c r="J2959" i="21"/>
  <c r="J2921" i="21"/>
  <c r="J2885" i="21"/>
  <c r="J2882" i="21"/>
  <c r="J2877" i="21"/>
  <c r="J2847" i="21"/>
  <c r="J2740" i="21"/>
  <c r="J2735" i="21"/>
  <c r="J2729" i="21"/>
  <c r="J2718" i="21"/>
  <c r="J2696" i="21"/>
  <c r="J2494" i="21"/>
  <c r="J2489" i="21"/>
  <c r="J2484" i="21"/>
  <c r="J2478" i="21"/>
  <c r="J2471" i="21"/>
  <c r="J2467" i="21"/>
  <c r="J2463" i="21"/>
  <c r="J2459" i="21"/>
  <c r="J2455" i="21"/>
  <c r="J2451" i="21"/>
  <c r="J2447" i="21"/>
  <c r="J2441" i="21"/>
  <c r="J2437" i="21"/>
  <c r="J2433" i="21"/>
  <c r="J2429" i="21"/>
  <c r="J2425" i="21"/>
  <c r="J2421" i="21"/>
  <c r="J2416" i="21"/>
  <c r="J2412" i="21"/>
  <c r="J2407" i="21"/>
  <c r="J2403" i="21"/>
  <c r="J2399" i="21"/>
  <c r="J2377" i="21"/>
  <c r="J2371" i="21"/>
  <c r="J2367" i="21"/>
  <c r="J2362" i="21"/>
  <c r="J2358" i="21"/>
  <c r="J2354" i="21"/>
  <c r="J2350" i="21"/>
  <c r="J2346" i="21"/>
  <c r="J2340" i="21"/>
  <c r="J2323" i="21"/>
  <c r="J2317" i="21"/>
  <c r="J2312" i="21"/>
  <c r="J2308" i="21"/>
  <c r="J2304" i="21"/>
  <c r="J2300" i="21"/>
  <c r="J2295" i="21"/>
  <c r="J2292" i="21"/>
  <c r="J2288" i="21"/>
  <c r="J2284" i="21"/>
  <c r="J2279" i="21"/>
  <c r="J2275" i="21"/>
  <c r="J2271" i="21"/>
  <c r="J2267" i="21"/>
  <c r="J2260" i="21"/>
  <c r="J2256" i="21"/>
  <c r="J2250" i="21"/>
  <c r="J2235" i="21"/>
  <c r="J2231" i="21"/>
  <c r="J2227" i="21"/>
  <c r="J2223" i="21"/>
  <c r="J2219" i="21"/>
  <c r="J2051" i="21"/>
  <c r="J2039" i="21"/>
  <c r="J2014" i="21"/>
  <c r="J2005" i="21"/>
  <c r="J1991" i="21"/>
  <c r="J1907" i="21"/>
  <c r="J1903" i="21"/>
  <c r="J1899" i="21"/>
  <c r="J1895" i="21"/>
  <c r="J1891" i="21"/>
  <c r="J1807" i="21"/>
  <c r="J1802" i="21"/>
  <c r="J1791" i="21"/>
  <c r="J1787" i="21"/>
  <c r="J1783" i="21"/>
  <c r="J1779" i="21"/>
  <c r="J1775" i="21"/>
  <c r="J1768" i="21"/>
  <c r="J1765" i="21"/>
  <c r="J1761" i="21"/>
  <c r="J1757" i="21"/>
  <c r="J1753" i="21"/>
  <c r="J1748" i="21"/>
  <c r="J1741" i="21"/>
  <c r="J1730" i="21"/>
  <c r="J1724" i="21"/>
  <c r="J1717" i="21"/>
  <c r="J1712" i="21"/>
  <c r="J1478" i="21"/>
  <c r="J1380" i="21"/>
  <c r="J98" i="21"/>
  <c r="J90" i="21"/>
  <c r="J35" i="21"/>
  <c r="J26" i="21"/>
  <c r="J18" i="21"/>
  <c r="J6746" i="21"/>
  <c r="J6736" i="21"/>
  <c r="J6719" i="21"/>
  <c r="J6711" i="21"/>
  <c r="J6703" i="21"/>
  <c r="J6691" i="21"/>
  <c r="J6679" i="21"/>
  <c r="J6669" i="21"/>
  <c r="J6657" i="21"/>
  <c r="J6647" i="21"/>
  <c r="J6639" i="21"/>
  <c r="J6629" i="21"/>
  <c r="J6621" i="21"/>
  <c r="J6613" i="21"/>
  <c r="J6584" i="21"/>
  <c r="J6566" i="21"/>
  <c r="J6548" i="21"/>
  <c r="J6536" i="21"/>
  <c r="J6528" i="21"/>
  <c r="J6520" i="21"/>
  <c r="J6512" i="21"/>
  <c r="J6504" i="21"/>
  <c r="J6496" i="21"/>
  <c r="J6489" i="21"/>
  <c r="J6481" i="21"/>
  <c r="J6473" i="21"/>
  <c r="J6465" i="21"/>
  <c r="J6457" i="21"/>
  <c r="J6449" i="21"/>
  <c r="J6441" i="21"/>
  <c r="J6423" i="21"/>
  <c r="J6413" i="21"/>
  <c r="J6405" i="21"/>
  <c r="J6397" i="21"/>
  <c r="J6387" i="21"/>
  <c r="J6379" i="21"/>
  <c r="J6369" i="21"/>
  <c r="J6339" i="21"/>
  <c r="J6331" i="21"/>
  <c r="J6323" i="21"/>
  <c r="J6315" i="21"/>
  <c r="J6307" i="21"/>
  <c r="J6299" i="21"/>
  <c r="J6291" i="21"/>
  <c r="J6283" i="21"/>
  <c r="J6265" i="21"/>
  <c r="J6257" i="21"/>
  <c r="J6249" i="21"/>
  <c r="J6239" i="21"/>
  <c r="J6231" i="21"/>
  <c r="J6223" i="21"/>
  <c r="J6215" i="21"/>
  <c r="J6207" i="21"/>
  <c r="J6199" i="21"/>
  <c r="J6191" i="21"/>
  <c r="J6183" i="21"/>
  <c r="J6175" i="21"/>
  <c r="J6167" i="21"/>
  <c r="J6159" i="21"/>
  <c r="J6149" i="21"/>
  <c r="J6141" i="21"/>
  <c r="J6119" i="21"/>
  <c r="J6109" i="21"/>
  <c r="J6101" i="21"/>
  <c r="J6089" i="21"/>
  <c r="J6067" i="21"/>
  <c r="J6047" i="21"/>
  <c r="J6031" i="21"/>
  <c r="J6019" i="21"/>
  <c r="J6010" i="21"/>
  <c r="J5975" i="21"/>
  <c r="J5971" i="21"/>
  <c r="J5966" i="21"/>
  <c r="J5962" i="21"/>
  <c r="J5956" i="21"/>
  <c r="J5944" i="21"/>
  <c r="J5921" i="21"/>
  <c r="J5917" i="21"/>
  <c r="J5905" i="21"/>
  <c r="J5861" i="21"/>
  <c r="J5851" i="21"/>
  <c r="J5841" i="21"/>
  <c r="J5837" i="21"/>
  <c r="J5831" i="21"/>
  <c r="J5799" i="21"/>
  <c r="J5791" i="21"/>
  <c r="J5787" i="21"/>
  <c r="J5783" i="21"/>
  <c r="J5779" i="21"/>
  <c r="J5775" i="21"/>
  <c r="J5771" i="21"/>
  <c r="J5767" i="21"/>
  <c r="J5733" i="21"/>
  <c r="J5729" i="21"/>
  <c r="J5720" i="21"/>
  <c r="J5715" i="21"/>
  <c r="J5711" i="21"/>
  <c r="J5707" i="21"/>
  <c r="J5701" i="21"/>
  <c r="J5697" i="21"/>
  <c r="J5693" i="21"/>
  <c r="J5688" i="21"/>
  <c r="J5672" i="21"/>
  <c r="J5660" i="21"/>
  <c r="J5648" i="21"/>
  <c r="J5644" i="21"/>
  <c r="J5640" i="21"/>
  <c r="J5632" i="21"/>
  <c r="J5598" i="21"/>
  <c r="J5591" i="21"/>
  <c r="J5563" i="21"/>
  <c r="J5550" i="21"/>
  <c r="J5481" i="21"/>
  <c r="J5461" i="21"/>
  <c r="J5431" i="21"/>
  <c r="J5027" i="21"/>
  <c r="J5020" i="21"/>
  <c r="J5016" i="21"/>
  <c r="J4944" i="21"/>
  <c r="J4699" i="21"/>
  <c r="J4667" i="21"/>
  <c r="J4649" i="21"/>
  <c r="J4519" i="21"/>
  <c r="J4513" i="21"/>
  <c r="J4507" i="21"/>
  <c r="J4500" i="21"/>
  <c r="J4489" i="21"/>
  <c r="J4467" i="21"/>
  <c r="J4458" i="21"/>
  <c r="J4454" i="21"/>
  <c r="J4449" i="21"/>
  <c r="J3890" i="21"/>
  <c r="J3850" i="21"/>
  <c r="J3824" i="21"/>
  <c r="J3809" i="21"/>
  <c r="J3802" i="21"/>
  <c r="J3787" i="21"/>
  <c r="J3783" i="21"/>
  <c r="J3778" i="21"/>
  <c r="J3770" i="21"/>
  <c r="J3769" i="21"/>
  <c r="J3762" i="21"/>
  <c r="J3723" i="21"/>
  <c r="J3719" i="21"/>
  <c r="J3713" i="21"/>
  <c r="J3706" i="21"/>
  <c r="J3702" i="21"/>
  <c r="J3691" i="21"/>
  <c r="J3600" i="21"/>
  <c r="J3553" i="21"/>
  <c r="J3547" i="21"/>
  <c r="J3543" i="21"/>
  <c r="J3539" i="21"/>
  <c r="J3508" i="21"/>
  <c r="J3402" i="21"/>
  <c r="J3296" i="21"/>
  <c r="J3262" i="21"/>
  <c r="J3193" i="21"/>
  <c r="J3118" i="21"/>
  <c r="J3108" i="21"/>
  <c r="J3077" i="21"/>
  <c r="J3025" i="21"/>
  <c r="J2970" i="21"/>
  <c r="J2925" i="21"/>
  <c r="J2886" i="21"/>
  <c r="J2825" i="21"/>
  <c r="J2817" i="21"/>
  <c r="J2813" i="21"/>
  <c r="J2806" i="21"/>
  <c r="J2800" i="21"/>
  <c r="J2792" i="21"/>
  <c r="J2787" i="21"/>
  <c r="J2727" i="21"/>
  <c r="J2721" i="21"/>
  <c r="J2714" i="21"/>
  <c r="J2710" i="21"/>
  <c r="J2704" i="21"/>
  <c r="J2700" i="21"/>
  <c r="J2695" i="21"/>
  <c r="J2637" i="21"/>
  <c r="J2633" i="21"/>
  <c r="J2490" i="21"/>
  <c r="J2477" i="21"/>
  <c r="J2443" i="21"/>
  <c r="J2373" i="21"/>
  <c r="J2338" i="21"/>
  <c r="J2333" i="21"/>
  <c r="J2329" i="21"/>
  <c r="J2325" i="21"/>
  <c r="J2282" i="21"/>
  <c r="J2257" i="21"/>
  <c r="J2063" i="21"/>
  <c r="J2049" i="21"/>
  <c r="J2043" i="21"/>
  <c r="J2038" i="21"/>
  <c r="J2015" i="21"/>
  <c r="J2008" i="21"/>
  <c r="J2001" i="21"/>
  <c r="J1997" i="21"/>
  <c r="J1990" i="21"/>
  <c r="J1986" i="21"/>
  <c r="J1875" i="21"/>
  <c r="J1871" i="21"/>
  <c r="J1867" i="21"/>
  <c r="J1863" i="21"/>
  <c r="J1811" i="21"/>
  <c r="J1797" i="21"/>
  <c r="J1773" i="21"/>
  <c r="J1744" i="21"/>
  <c r="J1736" i="21"/>
  <c r="J1731" i="21"/>
  <c r="J1721" i="21"/>
  <c r="J1496" i="21"/>
  <c r="J1492" i="21"/>
  <c r="J1476" i="21"/>
  <c r="J1469" i="21"/>
  <c r="J1378" i="21"/>
  <c r="J95" i="21"/>
  <c r="J87" i="21"/>
  <c r="J32" i="21"/>
  <c r="J25" i="21"/>
  <c r="J17" i="21"/>
  <c r="J5489" i="21"/>
  <c r="J5162" i="21"/>
  <c r="J5158" i="21"/>
  <c r="J5121" i="21"/>
  <c r="J5117" i="21"/>
  <c r="J5111" i="21"/>
  <c r="J5107" i="21"/>
  <c r="J5103" i="21"/>
  <c r="J4991" i="21"/>
  <c r="J4982" i="21"/>
  <c r="J4978" i="21"/>
  <c r="J4974" i="21"/>
  <c r="J4970" i="21"/>
  <c r="J4966" i="21"/>
  <c r="J4920" i="21"/>
  <c r="J4916" i="21"/>
  <c r="J4908" i="21"/>
  <c r="J2668" i="21"/>
  <c r="J2199" i="21"/>
  <c r="J2102" i="21"/>
  <c r="J1564" i="21"/>
  <c r="J1211" i="21"/>
  <c r="J1153" i="21"/>
  <c r="J1023" i="21"/>
  <c r="J1009" i="21"/>
  <c r="J1004" i="21"/>
  <c r="J1001" i="21"/>
  <c r="J997" i="21"/>
  <c r="J993" i="21"/>
  <c r="J989" i="21"/>
  <c r="J985" i="21"/>
  <c r="J980" i="21"/>
  <c r="J978" i="21"/>
  <c r="J973" i="21"/>
  <c r="J969" i="21"/>
  <c r="J965" i="21"/>
  <c r="J961" i="21"/>
  <c r="J734" i="21"/>
  <c r="J639" i="21"/>
  <c r="J603" i="21"/>
  <c r="J598" i="21"/>
  <c r="J594" i="21"/>
  <c r="J592" i="21"/>
  <c r="J586" i="21"/>
  <c r="J583" i="21"/>
  <c r="J579" i="21"/>
  <c r="J504" i="21"/>
  <c r="J500" i="21"/>
  <c r="J495" i="21"/>
  <c r="J492" i="21"/>
  <c r="J488" i="21"/>
  <c r="J263" i="21"/>
  <c r="J213" i="21"/>
  <c r="J210" i="21"/>
  <c r="J86" i="21"/>
  <c r="J45" i="21"/>
  <c r="J4440" i="21"/>
  <c r="J5517" i="21"/>
  <c r="J5164" i="21"/>
  <c r="J5141" i="21"/>
  <c r="J5137" i="21"/>
  <c r="J5133" i="21"/>
  <c r="J5129" i="21"/>
  <c r="J5125" i="21"/>
  <c r="J5012" i="21"/>
  <c r="J5008" i="21"/>
  <c r="J5000" i="21"/>
  <c r="J4996" i="21"/>
  <c r="J4984" i="21"/>
  <c r="J4948" i="21"/>
  <c r="J4937" i="21"/>
  <c r="J4933" i="21"/>
  <c r="J4929" i="21"/>
  <c r="J4925" i="21"/>
  <c r="J4913" i="21"/>
  <c r="J4637" i="21"/>
  <c r="J4569" i="21"/>
  <c r="J4431" i="21"/>
  <c r="J4421" i="21"/>
  <c r="J4297" i="21"/>
  <c r="J4293" i="21"/>
  <c r="J4289" i="21"/>
  <c r="J4285" i="21"/>
  <c r="J4281" i="21"/>
  <c r="J4277" i="21"/>
  <c r="J4273" i="21"/>
  <c r="J4269" i="21"/>
  <c r="J4265" i="21"/>
  <c r="J4261" i="21"/>
  <c r="J4257" i="21"/>
  <c r="J4253" i="21"/>
  <c r="J4134" i="21"/>
  <c r="J4130" i="21"/>
  <c r="J4123" i="21"/>
  <c r="J4126" i="21"/>
  <c r="J3932" i="21"/>
  <c r="J3907" i="21"/>
  <c r="J3903" i="21"/>
  <c r="J3731" i="21"/>
  <c r="J3727" i="21"/>
  <c r="J3683" i="21"/>
  <c r="J3675" i="21"/>
  <c r="J3672" i="21"/>
  <c r="J3668" i="21"/>
  <c r="J3663" i="21"/>
  <c r="J3660" i="21"/>
  <c r="J3627" i="21"/>
  <c r="J3619" i="21"/>
  <c r="J3615" i="21"/>
  <c r="J3430" i="21"/>
  <c r="J3419" i="21"/>
  <c r="J3408" i="21"/>
  <c r="J3393" i="21"/>
  <c r="J3385" i="21"/>
  <c r="J3371" i="21"/>
  <c r="J3353" i="21"/>
  <c r="J3342" i="21"/>
  <c r="J3326" i="21"/>
  <c r="J3314" i="21"/>
  <c r="J3297" i="21"/>
  <c r="J3286" i="21"/>
  <c r="J3273" i="21"/>
  <c r="J3263" i="21"/>
  <c r="J3244" i="21"/>
  <c r="J3234" i="21"/>
  <c r="J3220" i="21"/>
  <c r="J3206" i="21"/>
  <c r="J3194" i="21"/>
  <c r="J3171" i="21"/>
  <c r="J3156" i="21"/>
  <c r="J3143" i="21"/>
  <c r="J3126" i="21"/>
  <c r="J3116" i="21"/>
  <c r="J3106" i="21"/>
  <c r="J3095" i="21"/>
  <c r="J3085" i="21"/>
  <c r="J3074" i="21"/>
  <c r="J3054" i="21"/>
  <c r="J3043" i="21"/>
  <c r="J3024" i="21"/>
  <c r="J3007" i="21"/>
  <c r="J2987" i="21"/>
  <c r="J2971" i="21"/>
  <c r="J2954" i="21"/>
  <c r="J2938" i="21"/>
  <c r="J2926" i="21"/>
  <c r="J2906" i="21"/>
  <c r="J2891" i="21"/>
  <c r="J2871" i="21"/>
  <c r="J2855" i="21"/>
  <c r="J1887" i="21"/>
  <c r="J1387" i="21"/>
  <c r="J1383" i="21"/>
  <c r="J1374" i="21"/>
  <c r="J1368" i="21"/>
  <c r="J1364" i="21"/>
  <c r="J1360" i="21"/>
  <c r="J1356" i="21"/>
  <c r="J559" i="21"/>
  <c r="J556" i="21"/>
  <c r="J550" i="21"/>
  <c r="J545" i="21"/>
  <c r="J543" i="21"/>
  <c r="J539" i="21"/>
  <c r="J535" i="21"/>
  <c r="J530" i="21"/>
  <c r="J527" i="21"/>
  <c r="J466" i="21"/>
  <c r="J462" i="21"/>
  <c r="J458" i="21"/>
  <c r="J454" i="21"/>
  <c r="J449" i="21"/>
  <c r="J445" i="21"/>
  <c r="J441" i="21"/>
  <c r="J436" i="21"/>
  <c r="J433" i="21"/>
  <c r="J324" i="21"/>
  <c r="J205" i="21"/>
  <c r="J198" i="21"/>
  <c r="J123" i="21"/>
  <c r="J119" i="21"/>
  <c r="J6756" i="21"/>
  <c r="J6748" i="21"/>
  <c r="J6725" i="21"/>
  <c r="J6701" i="21"/>
  <c r="J6675" i="21"/>
  <c r="J6637" i="21"/>
  <c r="J6604" i="21"/>
  <c r="J6596" i="21"/>
  <c r="J6582" i="21"/>
  <c r="J6572" i="21"/>
  <c r="J6554" i="21"/>
  <c r="J6439" i="21"/>
  <c r="J6431" i="21"/>
  <c r="J6363" i="21"/>
  <c r="J6355" i="21"/>
  <c r="J6347" i="21"/>
  <c r="J6279" i="21"/>
  <c r="J6241" i="21"/>
  <c r="J6135" i="21"/>
  <c r="J6127" i="21"/>
  <c r="J6087" i="21"/>
  <c r="J6079" i="21"/>
  <c r="J6059" i="21"/>
  <c r="J6049" i="21"/>
  <c r="J6033" i="21"/>
  <c r="J6013" i="21"/>
  <c r="J6005" i="21"/>
  <c r="J6001" i="21"/>
  <c r="J5997" i="21"/>
  <c r="J5993" i="21"/>
  <c r="J5989" i="21"/>
  <c r="J5985" i="21"/>
  <c r="J5981" i="21"/>
  <c r="J5968" i="21"/>
  <c r="J5953" i="21"/>
  <c r="J5948" i="21"/>
  <c r="J5942" i="21"/>
  <c r="J5937" i="21"/>
  <c r="J5932" i="21"/>
  <c r="J5928" i="21"/>
  <c r="J5923" i="21"/>
  <c r="J5911" i="21"/>
  <c r="J5907" i="21"/>
  <c r="J5901" i="21"/>
  <c r="J5897" i="21"/>
  <c r="J5893" i="21"/>
  <c r="J5889" i="21"/>
  <c r="J5883" i="21"/>
  <c r="J5879" i="21"/>
  <c r="J5875" i="21"/>
  <c r="J5871" i="21"/>
  <c r="J5867" i="21"/>
  <c r="J5863" i="21"/>
  <c r="J5855" i="21"/>
  <c r="J5849" i="21"/>
  <c r="J5845" i="21"/>
  <c r="J5829" i="21"/>
  <c r="J5825" i="21"/>
  <c r="J5819" i="21"/>
  <c r="J5815" i="21"/>
  <c r="J5811" i="21"/>
  <c r="J5807" i="21"/>
  <c r="J5803" i="21"/>
  <c r="J5797" i="21"/>
  <c r="J5765" i="21"/>
  <c r="J5761" i="21"/>
  <c r="J5757" i="21"/>
  <c r="J5753" i="21"/>
  <c r="J5749" i="21"/>
  <c r="J5743" i="21"/>
  <c r="J5739" i="21"/>
  <c r="J5735" i="21"/>
  <c r="J5724" i="21"/>
  <c r="J5706" i="21"/>
  <c r="J5685" i="21"/>
  <c r="J5681" i="21"/>
  <c r="J5677" i="21"/>
  <c r="J5670" i="21"/>
  <c r="J5663" i="21"/>
  <c r="J5658" i="21"/>
  <c r="J5653" i="21"/>
  <c r="J5636" i="21"/>
  <c r="J5628" i="21"/>
  <c r="J5624" i="21"/>
  <c r="J5620" i="21"/>
  <c r="J5616" i="21"/>
  <c r="J5612" i="21"/>
  <c r="J5608" i="21"/>
  <c r="J5604" i="21"/>
  <c r="J5600" i="21"/>
  <c r="J5590" i="21"/>
  <c r="J5586" i="21"/>
  <c r="J5582" i="21"/>
  <c r="J5578" i="21"/>
  <c r="J5574" i="21"/>
  <c r="J5568" i="21"/>
  <c r="J5557" i="21"/>
  <c r="J5540" i="21"/>
  <c r="J5536" i="21"/>
  <c r="J5532" i="21"/>
  <c r="J5528" i="21"/>
  <c r="J5524" i="21"/>
  <c r="J5472" i="21"/>
  <c r="J5443" i="21"/>
  <c r="J5439" i="21"/>
  <c r="J5434" i="21"/>
  <c r="J5429" i="21"/>
  <c r="J5002" i="21"/>
  <c r="J4941" i="21"/>
  <c r="J4700" i="21"/>
  <c r="J4657" i="21"/>
  <c r="J4654" i="21"/>
  <c r="J4650" i="21"/>
  <c r="J4522" i="21"/>
  <c r="J4498" i="21"/>
  <c r="J4492" i="21"/>
  <c r="J4487" i="21"/>
  <c r="J4483" i="21"/>
  <c r="J4477" i="21"/>
  <c r="J4466" i="21"/>
  <c r="J4460" i="21"/>
  <c r="J3891" i="21"/>
  <c r="J3851" i="21"/>
  <c r="J3842" i="21"/>
  <c r="J3822" i="21"/>
  <c r="J3815" i="21"/>
  <c r="J3811" i="21"/>
  <c r="J3798" i="21"/>
  <c r="J3795" i="21"/>
  <c r="J3791" i="21"/>
  <c r="J3780" i="21"/>
  <c r="J3764" i="21"/>
  <c r="J3757" i="21"/>
  <c r="J3712" i="21"/>
  <c r="J3700" i="21"/>
  <c r="J3693" i="21"/>
  <c r="J3598" i="21"/>
  <c r="J3537" i="21"/>
  <c r="J3533" i="21"/>
  <c r="J3513" i="21"/>
  <c r="J3507" i="21"/>
  <c r="J3502" i="21"/>
  <c r="J3498" i="21"/>
  <c r="J3494" i="21"/>
  <c r="J3490" i="21"/>
  <c r="J3486" i="21"/>
  <c r="J3482" i="21"/>
  <c r="J3478" i="21"/>
  <c r="J3474" i="21"/>
  <c r="J3470" i="21"/>
  <c r="J3466" i="21"/>
  <c r="J3462" i="21"/>
  <c r="J3458" i="21"/>
  <c r="J3454" i="21"/>
  <c r="J3450" i="21"/>
  <c r="J3446" i="21"/>
  <c r="J3442" i="21"/>
  <c r="J3394" i="21"/>
  <c r="J3355" i="21"/>
  <c r="J3306" i="21"/>
  <c r="J3261" i="21"/>
  <c r="J3257" i="21"/>
  <c r="J3226" i="21"/>
  <c r="J3190" i="21"/>
  <c r="J3186" i="21"/>
  <c r="J3158" i="21"/>
  <c r="J3112" i="21"/>
  <c r="J3098" i="21"/>
  <c r="J3069" i="21"/>
  <c r="J3031" i="21"/>
  <c r="J3017" i="21"/>
  <c r="J3013" i="21"/>
  <c r="J2966" i="21"/>
  <c r="J2962" i="21"/>
  <c r="J2924" i="21"/>
  <c r="J2920" i="21"/>
  <c r="J2884" i="21"/>
  <c r="J2879" i="21"/>
  <c r="J2876" i="21"/>
  <c r="J2846" i="21"/>
  <c r="J2739" i="21"/>
  <c r="J2734" i="21"/>
  <c r="J2724" i="21"/>
  <c r="J2716" i="21"/>
  <c r="J2663" i="21"/>
  <c r="J2493" i="21"/>
  <c r="J2488" i="21"/>
  <c r="J2483" i="21"/>
  <c r="J2476" i="21"/>
  <c r="J2470" i="21"/>
  <c r="J2466" i="21"/>
  <c r="J2462" i="21"/>
  <c r="J2458" i="21"/>
  <c r="J2454" i="21"/>
  <c r="J2450" i="21"/>
  <c r="J2446" i="21"/>
  <c r="J2440" i="21"/>
  <c r="J2436" i="21"/>
  <c r="J2432" i="21"/>
  <c r="J2428" i="21"/>
  <c r="J2424" i="21"/>
  <c r="J2420" i="21"/>
  <c r="J2415" i="21"/>
  <c r="J2410" i="21"/>
  <c r="J2406" i="21"/>
  <c r="J2402" i="21"/>
  <c r="J2398" i="21"/>
  <c r="J2376" i="21"/>
  <c r="J2370" i="21"/>
  <c r="J2366" i="21"/>
  <c r="J2361" i="21"/>
  <c r="J2357" i="21"/>
  <c r="J2353" i="21"/>
  <c r="J2349" i="21"/>
  <c r="J2345" i="21"/>
  <c r="J2339" i="21"/>
  <c r="J2322" i="21"/>
  <c r="J2316" i="21"/>
  <c r="J2311" i="21"/>
  <c r="J2307" i="21"/>
  <c r="J2302" i="21"/>
  <c r="J2299" i="21"/>
  <c r="J2296" i="21"/>
  <c r="J2291" i="21"/>
  <c r="J2287" i="21"/>
  <c r="J2283" i="21"/>
  <c r="J2278" i="21"/>
  <c r="J2274" i="21"/>
  <c r="J2270" i="21"/>
  <c r="J2263" i="21"/>
  <c r="J2259" i="21"/>
  <c r="J2253" i="21"/>
  <c r="J2239" i="21"/>
  <c r="J2234" i="21"/>
  <c r="J2230" i="21"/>
  <c r="J2226" i="21"/>
  <c r="J2222" i="21"/>
  <c r="J2056" i="21"/>
  <c r="J2050" i="21"/>
  <c r="J2036" i="21"/>
  <c r="J2013" i="21"/>
  <c r="J2004" i="21"/>
  <c r="J1919" i="21"/>
  <c r="J1906" i="21"/>
  <c r="J1902" i="21"/>
  <c r="J1898" i="21"/>
  <c r="J1894" i="21"/>
  <c r="J1820" i="21"/>
  <c r="J1806" i="21"/>
  <c r="J1798" i="21"/>
  <c r="J1790" i="21"/>
  <c r="J1786" i="21"/>
  <c r="J1782" i="21"/>
  <c r="J1778" i="21"/>
  <c r="J1774" i="21"/>
  <c r="J1769" i="21"/>
  <c r="J1764" i="21"/>
  <c r="J1760" i="21"/>
  <c r="J1756" i="21"/>
  <c r="J1752" i="21"/>
  <c r="J1746" i="21"/>
  <c r="J1740" i="21"/>
  <c r="J1728" i="21"/>
  <c r="J1723" i="21"/>
  <c r="J1715" i="21"/>
  <c r="J1484" i="21"/>
  <c r="J1468" i="21"/>
  <c r="J1379" i="21"/>
  <c r="J96" i="21"/>
  <c r="J88" i="21"/>
  <c r="J33" i="21"/>
  <c r="J24" i="21"/>
  <c r="J16" i="21"/>
  <c r="J6742" i="21"/>
  <c r="J6734" i="21"/>
  <c r="J6717" i="21"/>
  <c r="J6709" i="21"/>
  <c r="J6697" i="21"/>
  <c r="J6687" i="21"/>
  <c r="J6677" i="21"/>
  <c r="J6667" i="21"/>
  <c r="J6655" i="21"/>
  <c r="J6645" i="21"/>
  <c r="J6635" i="21"/>
  <c r="J6627" i="21"/>
  <c r="J6619" i="21"/>
  <c r="J6609" i="21"/>
  <c r="J6578" i="21"/>
  <c r="J6564" i="21"/>
  <c r="J6546" i="21"/>
  <c r="J6534" i="21"/>
  <c r="J6526" i="21"/>
  <c r="J6518" i="21"/>
  <c r="J6510" i="21"/>
  <c r="J6502" i="21"/>
  <c r="J6495" i="21"/>
  <c r="J6487" i="21"/>
  <c r="J6479" i="21"/>
  <c r="J6471" i="21"/>
  <c r="J6463" i="21"/>
  <c r="J6455" i="21"/>
  <c r="J6447" i="21"/>
  <c r="J6429" i="21"/>
  <c r="J6421" i="21"/>
  <c r="J6411" i="21"/>
  <c r="J6403" i="21"/>
  <c r="J6393" i="21"/>
  <c r="J6385" i="21"/>
  <c r="J6377" i="21"/>
  <c r="J6367" i="21"/>
  <c r="J6337" i="21"/>
  <c r="J6329" i="21"/>
  <c r="J6321" i="21"/>
  <c r="J6313" i="21"/>
  <c r="J6305" i="21"/>
  <c r="J6297" i="21"/>
  <c r="J6289" i="21"/>
  <c r="J6275" i="21"/>
  <c r="J6263" i="21"/>
  <c r="J6255" i="21"/>
  <c r="J6247" i="21"/>
  <c r="J6237" i="21"/>
  <c r="J6229" i="21"/>
  <c r="J6221" i="21"/>
  <c r="J6213" i="21"/>
  <c r="J6205" i="21"/>
  <c r="J6197" i="21"/>
  <c r="J6189" i="21"/>
  <c r="J6181" i="21"/>
  <c r="J6173" i="21"/>
  <c r="J6165" i="21"/>
  <c r="J6157" i="21"/>
  <c r="J6147" i="21"/>
  <c r="J6125" i="21"/>
  <c r="J6117" i="21"/>
  <c r="J6107" i="21"/>
  <c r="J6099" i="21"/>
  <c r="J6077" i="21"/>
  <c r="J6063" i="21"/>
  <c r="J6045" i="21"/>
  <c r="J6027" i="21"/>
  <c r="J6017" i="21"/>
  <c r="J6009" i="21"/>
  <c r="J5974" i="21"/>
  <c r="J5970" i="21"/>
  <c r="J5965" i="21"/>
  <c r="J5961" i="21"/>
  <c r="J5955" i="21"/>
  <c r="J5938" i="21"/>
  <c r="J5920" i="21"/>
  <c r="J5916" i="21"/>
  <c r="J5904" i="21"/>
  <c r="J5860" i="21"/>
  <c r="J5850" i="21"/>
  <c r="J5840" i="21"/>
  <c r="J5836" i="21"/>
  <c r="J5830" i="21"/>
  <c r="J5798" i="21"/>
  <c r="J5790" i="21"/>
  <c r="J5786" i="21"/>
  <c r="J5782" i="21"/>
  <c r="J5778" i="21"/>
  <c r="J5774" i="21"/>
  <c r="J5770" i="21"/>
  <c r="J5766" i="21"/>
  <c r="J5732" i="21"/>
  <c r="J5728" i="21"/>
  <c r="J5718" i="21"/>
  <c r="J5714" i="21"/>
  <c r="J5710" i="21"/>
  <c r="J5705" i="21"/>
  <c r="J5700" i="21"/>
  <c r="J5696" i="21"/>
  <c r="J5691" i="21"/>
  <c r="J5686" i="21"/>
  <c r="J5667" i="21"/>
  <c r="J5657" i="21"/>
  <c r="J5647" i="21"/>
  <c r="J5643" i="21"/>
  <c r="J5638" i="21"/>
  <c r="J5630" i="21"/>
  <c r="J5595" i="21"/>
  <c r="J5570" i="21"/>
  <c r="J5556" i="21"/>
  <c r="J5548" i="21"/>
  <c r="J5480" i="21"/>
  <c r="J5457" i="21"/>
  <c r="J5426" i="21"/>
  <c r="J5026" i="21"/>
  <c r="J5019" i="21"/>
  <c r="J5014" i="21"/>
  <c r="J4943" i="21"/>
  <c r="J4674" i="21"/>
  <c r="J4666" i="21"/>
  <c r="J4646" i="21"/>
  <c r="J4518" i="21"/>
  <c r="J4511" i="21"/>
  <c r="J4506" i="21"/>
  <c r="J4499" i="21"/>
  <c r="J4481" i="21"/>
  <c r="J4464" i="21"/>
  <c r="J4457" i="21"/>
  <c r="J4453" i="21"/>
  <c r="J4448" i="21"/>
  <c r="J3887" i="21"/>
  <c r="J3848" i="21"/>
  <c r="J3823" i="21"/>
  <c r="J3807" i="21"/>
  <c r="J3801" i="21"/>
  <c r="J3785" i="21"/>
  <c r="J3781" i="21"/>
  <c r="J3775" i="21"/>
  <c r="J3772" i="21"/>
  <c r="J3766" i="21"/>
  <c r="J3755" i="21"/>
  <c r="J3722" i="21"/>
  <c r="J3718" i="21"/>
  <c r="J3710" i="21"/>
  <c r="J3704" i="21"/>
  <c r="J3701" i="21"/>
  <c r="J3690" i="21"/>
  <c r="J3599" i="21"/>
  <c r="J3552" i="21"/>
  <c r="J3546" i="21"/>
  <c r="J3542" i="21"/>
  <c r="J3538" i="21"/>
  <c r="J3505" i="21"/>
  <c r="J3400" i="21"/>
  <c r="J3292" i="21"/>
  <c r="J3200" i="21"/>
  <c r="J3125" i="21"/>
  <c r="J3115" i="21"/>
  <c r="J3105" i="21"/>
  <c r="J3075" i="21"/>
  <c r="J3023" i="21"/>
  <c r="J2968" i="21"/>
  <c r="J2914" i="21"/>
  <c r="J2831" i="21"/>
  <c r="J2824" i="21"/>
  <c r="J2816" i="21"/>
  <c r="J2812" i="21"/>
  <c r="J2805" i="21"/>
  <c r="J2798" i="21"/>
  <c r="J2790" i="21"/>
  <c r="J2733" i="21"/>
  <c r="J2726" i="21"/>
  <c r="J2719" i="21"/>
  <c r="J2713" i="21"/>
  <c r="J2707" i="21"/>
  <c r="J2703" i="21"/>
  <c r="J2699" i="21"/>
  <c r="J2694" i="21"/>
  <c r="J2636" i="21"/>
  <c r="J2632" i="21"/>
  <c r="J2487" i="21"/>
  <c r="J2475" i="21"/>
  <c r="J2418" i="21"/>
  <c r="J2363" i="21"/>
  <c r="J2337" i="21"/>
  <c r="J2332" i="21"/>
  <c r="J2328" i="21"/>
  <c r="J2321" i="21"/>
  <c r="J2266" i="21"/>
  <c r="J2254" i="21"/>
  <c r="J2057" i="21"/>
  <c r="J2048" i="21"/>
  <c r="J2042" i="21"/>
  <c r="J2037" i="21"/>
  <c r="J2011" i="21"/>
  <c r="J2007" i="21"/>
  <c r="J2000" i="21"/>
  <c r="J1996" i="21"/>
  <c r="J1989" i="21"/>
  <c r="J1985" i="21"/>
  <c r="J1874" i="21"/>
  <c r="J1870" i="21"/>
  <c r="J1866" i="21"/>
  <c r="J1826" i="21"/>
  <c r="J1810" i="21"/>
  <c r="J1795" i="21"/>
  <c r="J1772" i="21"/>
  <c r="J1743" i="21"/>
  <c r="J1734" i="21"/>
  <c r="J1729" i="21"/>
  <c r="J1718" i="21"/>
  <c r="J1495" i="21"/>
  <c r="J1482" i="21"/>
  <c r="J1475" i="21"/>
  <c r="J1467" i="21"/>
  <c r="J1148" i="21"/>
  <c r="J93" i="21"/>
  <c r="J75" i="21"/>
  <c r="J30" i="21"/>
  <c r="J23" i="21"/>
  <c r="J15" i="21"/>
  <c r="J5488" i="21"/>
  <c r="J5161" i="21"/>
  <c r="J5124" i="21"/>
  <c r="J5120" i="21"/>
  <c r="J5116" i="21"/>
  <c r="J5110" i="21"/>
  <c r="J5106" i="21"/>
  <c r="J5102" i="21"/>
  <c r="J4990" i="21"/>
  <c r="J4981" i="21"/>
  <c r="J4977" i="21"/>
  <c r="J4973" i="21"/>
  <c r="J4969" i="21"/>
  <c r="J4923" i="21"/>
  <c r="J4919" i="21"/>
  <c r="J4911" i="21"/>
  <c r="J3579" i="21"/>
  <c r="J2667" i="21"/>
  <c r="J2198" i="21"/>
  <c r="J2101" i="21"/>
  <c r="J1563" i="21"/>
  <c r="J1156" i="21"/>
  <c r="J1152" i="21"/>
  <c r="J1021" i="21"/>
  <c r="J1008" i="21"/>
  <c r="J1005" i="21"/>
  <c r="J1000" i="21"/>
  <c r="J996" i="21"/>
  <c r="J992" i="21"/>
  <c r="J988" i="21"/>
  <c r="J984" i="21"/>
  <c r="J981" i="21"/>
  <c r="J976" i="21"/>
  <c r="J972" i="21"/>
  <c r="J968" i="21"/>
  <c r="J964" i="21"/>
  <c r="J960" i="21"/>
  <c r="J726" i="21"/>
  <c r="J638" i="21"/>
  <c r="J601" i="21"/>
  <c r="J599" i="21"/>
  <c r="J595" i="21"/>
  <c r="J590" i="21"/>
  <c r="J587" i="21"/>
  <c r="J582" i="21"/>
  <c r="J507" i="21"/>
  <c r="J502" i="21"/>
  <c r="J499" i="21"/>
  <c r="J496" i="21"/>
  <c r="J491" i="21"/>
  <c r="J487" i="21"/>
  <c r="J262" i="21"/>
  <c r="J212" i="21"/>
  <c r="J208" i="21"/>
  <c r="J84" i="21"/>
  <c r="J44" i="21"/>
  <c r="J4443" i="21"/>
  <c r="J4437" i="21"/>
  <c r="J5512" i="21"/>
  <c r="J5144" i="21"/>
  <c r="J5140" i="21"/>
  <c r="J5136" i="21"/>
  <c r="J5132" i="21"/>
  <c r="J5128" i="21"/>
  <c r="J5115" i="21"/>
  <c r="J5011" i="21"/>
  <c r="J5007" i="21"/>
  <c r="J4999" i="21"/>
  <c r="J4995" i="21"/>
  <c r="J4983" i="21"/>
  <c r="J4947" i="21"/>
  <c r="J4936" i="21"/>
  <c r="J4932" i="21"/>
  <c r="J4928" i="21"/>
  <c r="J4924" i="21"/>
  <c r="J4912" i="21"/>
  <c r="J4629" i="21"/>
  <c r="J4568" i="21"/>
  <c r="J4425" i="21"/>
  <c r="J4417" i="21"/>
  <c r="J4296" i="21"/>
  <c r="J4292" i="21"/>
  <c r="J4288" i="21"/>
  <c r="J4284" i="21"/>
  <c r="J4280" i="21"/>
  <c r="J4276" i="21"/>
  <c r="J4272" i="21"/>
  <c r="J4268" i="21"/>
  <c r="J4264" i="21"/>
  <c r="J4260" i="21"/>
  <c r="J4256" i="21"/>
  <c r="J4252" i="21"/>
  <c r="J4133" i="21"/>
  <c r="J4129" i="21"/>
  <c r="J4122" i="21"/>
  <c r="J4125" i="21"/>
  <c r="J3931" i="21"/>
  <c r="J3906" i="21"/>
  <c r="J3894" i="21"/>
  <c r="J3729" i="21"/>
  <c r="J3687" i="21"/>
  <c r="J3684" i="21"/>
  <c r="J3676" i="21"/>
  <c r="J3671" i="21"/>
  <c r="J3667" i="21"/>
  <c r="J3664" i="21"/>
  <c r="J3658" i="21"/>
  <c r="J3626" i="21"/>
  <c r="J3618" i="21"/>
  <c r="J3614" i="21"/>
  <c r="J3428" i="21"/>
  <c r="J3417" i="21"/>
  <c r="J3403" i="21"/>
  <c r="J3391" i="21"/>
  <c r="J3383" i="21"/>
  <c r="J3369" i="21"/>
  <c r="J3350" i="21"/>
  <c r="J3337" i="21"/>
  <c r="J3324" i="21"/>
  <c r="J3312" i="21"/>
  <c r="J3295" i="21"/>
  <c r="J3280" i="21"/>
  <c r="J3271" i="21"/>
  <c r="J3254" i="21"/>
  <c r="J3241" i="21"/>
  <c r="J3229" i="21"/>
  <c r="J3214" i="21"/>
  <c r="J3201" i="21"/>
  <c r="J3183" i="21"/>
  <c r="J3169" i="21"/>
  <c r="J3154" i="21"/>
  <c r="J3138" i="21"/>
  <c r="J3123" i="21"/>
  <c r="J3114" i="21"/>
  <c r="J3104" i="21"/>
  <c r="J3092" i="21"/>
  <c r="J3083" i="21"/>
  <c r="J3065" i="21"/>
  <c r="J3050" i="21"/>
  <c r="J3038" i="21"/>
  <c r="J3022" i="21"/>
  <c r="J2999" i="21"/>
  <c r="J2985" i="21"/>
  <c r="J2969" i="21"/>
  <c r="J2946" i="21"/>
  <c r="J2936" i="21"/>
  <c r="J2917" i="21"/>
  <c r="J2901" i="21"/>
  <c r="J2889" i="21"/>
  <c r="J2869" i="21"/>
  <c r="J2853" i="21"/>
  <c r="J1884" i="21"/>
  <c r="J1386" i="21"/>
  <c r="J1382" i="21"/>
  <c r="J1373" i="21"/>
  <c r="J1367" i="21"/>
  <c r="J1363" i="21"/>
  <c r="J1359" i="21"/>
  <c r="J1355" i="21"/>
  <c r="J1351" i="21"/>
  <c r="J1347" i="21"/>
  <c r="J1343" i="21"/>
  <c r="J1339" i="21"/>
  <c r="J1335" i="21"/>
  <c r="J1329" i="21"/>
  <c r="J1327" i="21"/>
  <c r="J1323" i="21"/>
  <c r="J1319" i="21"/>
  <c r="J1316" i="21"/>
  <c r="J1311" i="21"/>
  <c r="J1307" i="21"/>
  <c r="J1294" i="21"/>
  <c r="J1290" i="21"/>
  <c r="J1286" i="21"/>
  <c r="J1283" i="21"/>
  <c r="J1277" i="21"/>
  <c r="J1273" i="21"/>
  <c r="J1270" i="21"/>
  <c r="J1266" i="21"/>
  <c r="J1262" i="21"/>
  <c r="J1257" i="21"/>
  <c r="J1253" i="21"/>
  <c r="J1249" i="21"/>
  <c r="J1245" i="21"/>
  <c r="J1223" i="21"/>
  <c r="J1219" i="21"/>
  <c r="J1215" i="21"/>
  <c r="J1197" i="21"/>
  <c r="J1193" i="21"/>
  <c r="J1190" i="21"/>
  <c r="J1185" i="21"/>
  <c r="J1182" i="21"/>
  <c r="J1177" i="21"/>
  <c r="J1173" i="21"/>
  <c r="J1171" i="21"/>
  <c r="J1166" i="21"/>
  <c r="J1161" i="21"/>
  <c r="J1157" i="21"/>
  <c r="J894" i="21"/>
  <c r="J890" i="21"/>
  <c r="J886" i="21"/>
  <c r="J882" i="21"/>
  <c r="J878" i="21"/>
  <c r="J874" i="21"/>
  <c r="J870" i="21"/>
  <c r="J867" i="21"/>
  <c r="J863" i="21"/>
  <c r="J858" i="21"/>
  <c r="J854" i="21"/>
  <c r="J850" i="21"/>
  <c r="J846" i="21"/>
  <c r="J842" i="21"/>
  <c r="J838" i="21"/>
  <c r="J834" i="21"/>
  <c r="J830" i="21"/>
  <c r="J827" i="21"/>
  <c r="J822" i="21"/>
  <c r="J818" i="21"/>
  <c r="J814" i="21"/>
  <c r="J809" i="21"/>
  <c r="J806" i="21"/>
  <c r="J802" i="21"/>
  <c r="J798" i="21"/>
  <c r="J795" i="21"/>
  <c r="J790" i="21"/>
  <c r="J786" i="21"/>
  <c r="J782" i="21"/>
  <c r="J778" i="21"/>
  <c r="J774" i="21"/>
  <c r="J770" i="21"/>
  <c r="J766" i="21"/>
  <c r="J762" i="21"/>
  <c r="J758" i="21"/>
  <c r="J660" i="21"/>
  <c r="J656" i="21"/>
  <c r="J652" i="21"/>
  <c r="J294" i="21"/>
  <c r="J289" i="21"/>
  <c r="J286" i="21"/>
  <c r="J282" i="21"/>
  <c r="J278" i="21"/>
  <c r="J273" i="21"/>
  <c r="J269" i="21"/>
  <c r="J265" i="21"/>
  <c r="J250" i="21"/>
  <c r="J244" i="21"/>
  <c r="J241" i="21"/>
  <c r="J236" i="21"/>
  <c r="J233" i="21"/>
  <c r="J229" i="21"/>
  <c r="J224" i="21"/>
  <c r="J220" i="21"/>
  <c r="J216" i="21"/>
  <c r="J202" i="21"/>
  <c r="J195" i="21"/>
  <c r="J191" i="21"/>
  <c r="J187" i="21"/>
  <c r="J182" i="21"/>
  <c r="J179" i="21"/>
  <c r="J174" i="21"/>
  <c r="J170" i="21"/>
  <c r="J166" i="21"/>
  <c r="J159" i="21"/>
  <c r="J155" i="21"/>
  <c r="J151" i="21"/>
  <c r="J147" i="21"/>
  <c r="J143" i="21"/>
  <c r="J139" i="21"/>
  <c r="J133" i="21"/>
  <c r="J129" i="21"/>
  <c r="J125" i="21"/>
  <c r="J114" i="21"/>
  <c r="J110" i="21"/>
  <c r="J106" i="21"/>
  <c r="J102" i="21"/>
  <c r="J50" i="21"/>
  <c r="J46" i="21"/>
  <c r="J4" i="21"/>
  <c r="J5513" i="21"/>
  <c r="J5153" i="21"/>
  <c r="J5088" i="21"/>
  <c r="J5084" i="21"/>
  <c r="J4963" i="21"/>
  <c r="J4531" i="21"/>
  <c r="J4525" i="21"/>
  <c r="J4247" i="21"/>
  <c r="J4243" i="21"/>
  <c r="J4239" i="21"/>
  <c r="J4235" i="21"/>
  <c r="J4231" i="21"/>
  <c r="J4227" i="21"/>
  <c r="J4223" i="21"/>
  <c r="J4219" i="21"/>
  <c r="J4215" i="21"/>
  <c r="J4211" i="21"/>
  <c r="J4207" i="21"/>
  <c r="J4203" i="21"/>
  <c r="J4199" i="21"/>
  <c r="J4195" i="21"/>
  <c r="J4191" i="21"/>
  <c r="J4135" i="21"/>
  <c r="J4116" i="21"/>
  <c r="J4112" i="21"/>
  <c r="J4108" i="21"/>
  <c r="J4104" i="21"/>
  <c r="J4100" i="21"/>
  <c r="J4096" i="21"/>
  <c r="J4092" i="21"/>
  <c r="J4088" i="21"/>
  <c r="J4084" i="21"/>
  <c r="J4014" i="21"/>
  <c r="J4010" i="21"/>
  <c r="J4006" i="21"/>
  <c r="J4002" i="21"/>
  <c r="J3998" i="21"/>
  <c r="J3994" i="21"/>
  <c r="J3990" i="21"/>
  <c r="J3986" i="21"/>
  <c r="J3914" i="21"/>
  <c r="J5507" i="21"/>
  <c r="J5001" i="21"/>
  <c r="J4956" i="21"/>
  <c r="J4624" i="21"/>
  <c r="J4616" i="21"/>
  <c r="J4604" i="21"/>
  <c r="J4597" i="21"/>
  <c r="J4582" i="21"/>
  <c r="J4563" i="21"/>
  <c r="J4552" i="21"/>
  <c r="J4538" i="21"/>
  <c r="J4514" i="21"/>
  <c r="J4427" i="21"/>
  <c r="J4334" i="21"/>
  <c r="J4330" i="21"/>
  <c r="J4182" i="21"/>
  <c r="J4166" i="21"/>
  <c r="J4151" i="21"/>
  <c r="J4079" i="21"/>
  <c r="J4073" i="21"/>
  <c r="J4061" i="21"/>
  <c r="J4056" i="21"/>
  <c r="J4040" i="21"/>
  <c r="J4032" i="21"/>
  <c r="J4025" i="21"/>
  <c r="J3981" i="21"/>
  <c r="J3977" i="21"/>
  <c r="J3955" i="21"/>
  <c r="J3947" i="21"/>
  <c r="J3929" i="21"/>
  <c r="J3924" i="21"/>
  <c r="J3916" i="21"/>
  <c r="J3909" i="21"/>
  <c r="J3575" i="21"/>
  <c r="J3569" i="21"/>
  <c r="J3432" i="21"/>
  <c r="J3420" i="21"/>
  <c r="J3409" i="21"/>
  <c r="J3368" i="21"/>
  <c r="J3349" i="21"/>
  <c r="J3336" i="21"/>
  <c r="J3323" i="21"/>
  <c r="J3311" i="21"/>
  <c r="J3287" i="21"/>
  <c r="J3275" i="21"/>
  <c r="J3251" i="21"/>
  <c r="J3237" i="21"/>
  <c r="J3224" i="21"/>
  <c r="J3212" i="21"/>
  <c r="J3207" i="21"/>
  <c r="J3174" i="21"/>
  <c r="J3161" i="21"/>
  <c r="J3145" i="21"/>
  <c r="J3133" i="21"/>
  <c r="J3088" i="21"/>
  <c r="J3064" i="21"/>
  <c r="J3049" i="21"/>
  <c r="J3037" i="21"/>
  <c r="J3006" i="21"/>
  <c r="J2986" i="21"/>
  <c r="J2955" i="21"/>
  <c r="J2939" i="21"/>
  <c r="J2912" i="21"/>
  <c r="J2896" i="21"/>
  <c r="J2860" i="21"/>
  <c r="J2845" i="21"/>
  <c r="J2550" i="21"/>
  <c r="J2542" i="21"/>
  <c r="J2537" i="21"/>
  <c r="J2527" i="21"/>
  <c r="J2218" i="21"/>
  <c r="J2210" i="21"/>
  <c r="J1888" i="21"/>
  <c r="J1711" i="21"/>
  <c r="J1704" i="21"/>
  <c r="J1696" i="21"/>
  <c r="J5520" i="21"/>
  <c r="J5503" i="21"/>
  <c r="J5497" i="21"/>
  <c r="J4960" i="21"/>
  <c r="J4671" i="21"/>
  <c r="J4640" i="21"/>
  <c r="J4622" i="21"/>
  <c r="J4615" i="21"/>
  <c r="J4611" i="21"/>
  <c r="J4603" i="21"/>
  <c r="J4595" i="21"/>
  <c r="J4591" i="21"/>
  <c r="J4584" i="21"/>
  <c r="J4578" i="21"/>
  <c r="J4573" i="21"/>
  <c r="J4566" i="21"/>
  <c r="J4560" i="21"/>
  <c r="J4554" i="21"/>
  <c r="J4547" i="21"/>
  <c r="J4541" i="21"/>
  <c r="J4523" i="21"/>
  <c r="J4433" i="21"/>
  <c r="J4418" i="21"/>
  <c r="J4337" i="21"/>
  <c r="J4328" i="21"/>
  <c r="J4324" i="21"/>
  <c r="J4186" i="21"/>
  <c r="J4178" i="21"/>
  <c r="J4174" i="21"/>
  <c r="J4170" i="21"/>
  <c r="J4160" i="21"/>
  <c r="J4156" i="21"/>
  <c r="J4150" i="21"/>
  <c r="J4143" i="21"/>
  <c r="J4139" i="21"/>
  <c r="J4078" i="21"/>
  <c r="J4068" i="21"/>
  <c r="J4064" i="21"/>
  <c r="J4053" i="21"/>
  <c r="J4049" i="21"/>
  <c r="J4043" i="21"/>
  <c r="J4037" i="21"/>
  <c r="J4029" i="21"/>
  <c r="J4021" i="21"/>
  <c r="J4016" i="21"/>
  <c r="J3975" i="21"/>
  <c r="J3971" i="21"/>
  <c r="J3965" i="21"/>
  <c r="J3960" i="21"/>
  <c r="J3956" i="21"/>
  <c r="J3948" i="21"/>
  <c r="J3941" i="21"/>
  <c r="J3935" i="21"/>
  <c r="J3918" i="21"/>
  <c r="J3901" i="21"/>
  <c r="J3892" i="21"/>
  <c r="J3583" i="21"/>
  <c r="J3568" i="21"/>
  <c r="J3557" i="21"/>
  <c r="J3528" i="21"/>
  <c r="J3434" i="21"/>
  <c r="J3422" i="21"/>
  <c r="J3406" i="21"/>
  <c r="J3395" i="21"/>
  <c r="J3366" i="21"/>
  <c r="J3358" i="21"/>
  <c r="J3347" i="21"/>
  <c r="J3333" i="21"/>
  <c r="J3321" i="21"/>
  <c r="J3309" i="21"/>
  <c r="J3302" i="21"/>
  <c r="J3284" i="21"/>
  <c r="J3269" i="21"/>
  <c r="J3246" i="21"/>
  <c r="J3232" i="21"/>
  <c r="J3218" i="21"/>
  <c r="J3203" i="21"/>
  <c r="J3177" i="21"/>
  <c r="J3165" i="21"/>
  <c r="J3149" i="21"/>
  <c r="J3144" i="21"/>
  <c r="J3132" i="21"/>
  <c r="J3128" i="21"/>
  <c r="J3081" i="21"/>
  <c r="J3059" i="21"/>
  <c r="J3052" i="21"/>
  <c r="J3040" i="21"/>
  <c r="J3030" i="21"/>
  <c r="J3004" i="21"/>
  <c r="J3000" i="21"/>
  <c r="J2993" i="21"/>
  <c r="J2981" i="21"/>
  <c r="J2977" i="21"/>
  <c r="J2952" i="21"/>
  <c r="J2948" i="21"/>
  <c r="J2933" i="21"/>
  <c r="J2911" i="21"/>
  <c r="J2904" i="21"/>
  <c r="J2894" i="21"/>
  <c r="J2867" i="21"/>
  <c r="J2863" i="21"/>
  <c r="J2850" i="21"/>
  <c r="J2842" i="21"/>
  <c r="J2548" i="21"/>
  <c r="J2536" i="21"/>
  <c r="J2529" i="21"/>
  <c r="J2247" i="21"/>
  <c r="J2240" i="21"/>
  <c r="J2212" i="21"/>
  <c r="J2204" i="21"/>
  <c r="J1877" i="21"/>
  <c r="J1701" i="21"/>
  <c r="J1695" i="21"/>
  <c r="J413" i="21"/>
  <c r="J407" i="21"/>
  <c r="J5417" i="21"/>
  <c r="J5383" i="21"/>
  <c r="J5344" i="21"/>
  <c r="J5306" i="21"/>
  <c r="J5280" i="21"/>
  <c r="J5264" i="21"/>
  <c r="J5243" i="21"/>
  <c r="J5216" i="21"/>
  <c r="J5190" i="21"/>
  <c r="J4685" i="21"/>
  <c r="J2686" i="21"/>
  <c r="J2676" i="21"/>
  <c r="J2558" i="21"/>
  <c r="J2180" i="21"/>
  <c r="J1941" i="21"/>
  <c r="J1486" i="21"/>
  <c r="J1408" i="21"/>
  <c r="J1034" i="21"/>
  <c r="J1024" i="21"/>
  <c r="J727" i="21"/>
  <c r="J671" i="21"/>
  <c r="J5516" i="21"/>
  <c r="J5493" i="21"/>
  <c r="J5468" i="21"/>
  <c r="J5464" i="21"/>
  <c r="J3937" i="21"/>
  <c r="J3633" i="21"/>
  <c r="J3622" i="21"/>
  <c r="J3586" i="21"/>
  <c r="J1393" i="21"/>
  <c r="J1389" i="21"/>
  <c r="J1207" i="21"/>
  <c r="J1203" i="21"/>
  <c r="J954" i="21"/>
  <c r="J950" i="21"/>
  <c r="J945" i="21"/>
  <c r="J942" i="21"/>
  <c r="J937" i="21"/>
  <c r="J609" i="21"/>
  <c r="J574" i="21"/>
  <c r="J572" i="21"/>
  <c r="J568" i="21"/>
  <c r="J563" i="21"/>
  <c r="J485" i="21"/>
  <c r="J481" i="21"/>
  <c r="J853" i="21"/>
  <c r="J849" i="21"/>
  <c r="J845" i="21"/>
  <c r="J841" i="21"/>
  <c r="J837" i="21"/>
  <c r="J833" i="21"/>
  <c r="J829" i="21"/>
  <c r="J825" i="21"/>
  <c r="J821" i="21"/>
  <c r="J817" i="21"/>
  <c r="J813" i="21"/>
  <c r="J810" i="21"/>
  <c r="J805" i="21"/>
  <c r="J801" i="21"/>
  <c r="J796" i="21"/>
  <c r="J793" i="21"/>
  <c r="J789" i="21"/>
  <c r="J785" i="21"/>
  <c r="J781" i="21"/>
  <c r="J777" i="21"/>
  <c r="J773" i="21"/>
  <c r="J769" i="21"/>
  <c r="J764" i="21"/>
  <c r="J761" i="21"/>
  <c r="J757" i="21"/>
  <c r="J659" i="21"/>
  <c r="J655" i="21"/>
  <c r="J651" i="21"/>
  <c r="J293" i="21"/>
  <c r="J288" i="21"/>
  <c r="J284" i="21"/>
  <c r="J280" i="21"/>
  <c r="J276" i="21"/>
  <c r="J272" i="21"/>
  <c r="J268" i="21"/>
  <c r="J255" i="21"/>
  <c r="J247" i="21"/>
  <c r="J243" i="21"/>
  <c r="J237" i="21"/>
  <c r="J235" i="21"/>
  <c r="J230" i="21"/>
  <c r="J228" i="21"/>
  <c r="J223" i="21"/>
  <c r="J219" i="21"/>
  <c r="J215" i="21"/>
  <c r="J201" i="21"/>
  <c r="J194" i="21"/>
  <c r="J190" i="21"/>
  <c r="J186" i="21"/>
  <c r="J183" i="21"/>
  <c r="J178" i="21"/>
  <c r="J173" i="21"/>
  <c r="J169" i="21"/>
  <c r="J165" i="21"/>
  <c r="J158" i="21"/>
  <c r="J154" i="21"/>
  <c r="J150" i="21"/>
  <c r="J146" i="21"/>
  <c r="J142" i="21"/>
  <c r="J138" i="21"/>
  <c r="J132" i="21"/>
  <c r="J128" i="21"/>
  <c r="J117" i="21"/>
  <c r="J113" i="21"/>
  <c r="J109" i="21"/>
  <c r="J104" i="21"/>
  <c r="J53" i="21"/>
  <c r="J49" i="21"/>
  <c r="J41" i="21"/>
  <c r="J3" i="21"/>
  <c r="J5156" i="21"/>
  <c r="J5152" i="21"/>
  <c r="J5087" i="21"/>
  <c r="J5083" i="21"/>
  <c r="J4633" i="21"/>
  <c r="J4530" i="21"/>
  <c r="J4510" i="21"/>
  <c r="J4246" i="21"/>
  <c r="J4242" i="21"/>
  <c r="J4238" i="21"/>
  <c r="J4234" i="21"/>
  <c r="J4230" i="21"/>
  <c r="J4226" i="21"/>
  <c r="J4222" i="21"/>
  <c r="J4218" i="21"/>
  <c r="J4214" i="21"/>
  <c r="J4210" i="21"/>
  <c r="J4206" i="21"/>
  <c r="J4202" i="21"/>
  <c r="J4198" i="21"/>
  <c r="J4194" i="21"/>
  <c r="J4190" i="21"/>
  <c r="J4119" i="21"/>
  <c r="J4115" i="21"/>
  <c r="J4111" i="21"/>
  <c r="J4107" i="21"/>
  <c r="J4103" i="21"/>
  <c r="J4099" i="21"/>
  <c r="J4095" i="21"/>
  <c r="J4091" i="21"/>
  <c r="J4087" i="21"/>
  <c r="J4083" i="21"/>
  <c r="J4013" i="21"/>
  <c r="J4009" i="21"/>
  <c r="J4005" i="21"/>
  <c r="J4001" i="21"/>
  <c r="J3997" i="21"/>
  <c r="J3993" i="21"/>
  <c r="J3989" i="21"/>
  <c r="J3985" i="21"/>
  <c r="J2776" i="21"/>
  <c r="J5504" i="21"/>
  <c r="J4986" i="21"/>
  <c r="J4955" i="21"/>
  <c r="J4623" i="21"/>
  <c r="J4608" i="21"/>
  <c r="J4602" i="21"/>
  <c r="J4590" i="21"/>
  <c r="J4581" i="21"/>
  <c r="J4558" i="21"/>
  <c r="J4551" i="21"/>
  <c r="J4527" i="21"/>
  <c r="J4512" i="21"/>
  <c r="J4424" i="21"/>
  <c r="J4333" i="21"/>
  <c r="J4185" i="21"/>
  <c r="J4169" i="21"/>
  <c r="J4165" i="21"/>
  <c r="J4148" i="21"/>
  <c r="J4076" i="21"/>
  <c r="J4072" i="21"/>
  <c r="J4060" i="21"/>
  <c r="J4055" i="21"/>
  <c r="J4038" i="21"/>
  <c r="J4030" i="21"/>
  <c r="J4024" i="21"/>
  <c r="J3980" i="21"/>
  <c r="J3969" i="21"/>
  <c r="J3954" i="21"/>
  <c r="J3946" i="21"/>
  <c r="J3928" i="21"/>
  <c r="J3923" i="21"/>
  <c r="J3913" i="21"/>
  <c r="J3899" i="21"/>
  <c r="J3574" i="21"/>
  <c r="J3530" i="21"/>
  <c r="J3429" i="21"/>
  <c r="J3418" i="21"/>
  <c r="J3407" i="21"/>
  <c r="J3361" i="21"/>
  <c r="J3345" i="21"/>
  <c r="J3334" i="21"/>
  <c r="J3319" i="21"/>
  <c r="J3304" i="21"/>
  <c r="J3285" i="21"/>
  <c r="J3272" i="21"/>
  <c r="J3249" i="21"/>
  <c r="J3235" i="21"/>
  <c r="J3223" i="21"/>
  <c r="J3215" i="21"/>
  <c r="J3205" i="21"/>
  <c r="J3170" i="21"/>
  <c r="J3155" i="21"/>
  <c r="J3142" i="21"/>
  <c r="J3096" i="21"/>
  <c r="J3086" i="21"/>
  <c r="J3062" i="21"/>
  <c r="J3046" i="21"/>
  <c r="J3034" i="21"/>
  <c r="J2998" i="21"/>
  <c r="J2984" i="21"/>
  <c r="J2953" i="21"/>
  <c r="J2937" i="21"/>
  <c r="J2905" i="21"/>
  <c r="J2872" i="21"/>
  <c r="J2856" i="21"/>
  <c r="J2844" i="21"/>
  <c r="J2546" i="21"/>
  <c r="J2541" i="21"/>
  <c r="J2533" i="21"/>
  <c r="J2249" i="21"/>
  <c r="J2217" i="21"/>
  <c r="J2209" i="21"/>
  <c r="J1885" i="21"/>
  <c r="J1709" i="21"/>
  <c r="J1703" i="21"/>
  <c r="J409" i="21"/>
  <c r="J5508" i="21"/>
  <c r="J5502" i="21"/>
  <c r="J5163" i="21"/>
  <c r="J4958" i="21"/>
  <c r="J4659" i="21"/>
  <c r="J4639" i="21"/>
  <c r="J4621" i="21"/>
  <c r="J4614" i="21"/>
  <c r="J4610" i="21"/>
  <c r="J4601" i="21"/>
  <c r="J4594" i="21"/>
  <c r="J4587" i="21"/>
  <c r="J4583" i="21"/>
  <c r="J4577" i="21"/>
  <c r="J4572" i="21"/>
  <c r="J4565" i="21"/>
  <c r="J4559" i="21"/>
  <c r="J4550" i="21"/>
  <c r="J4546" i="21"/>
  <c r="J4540" i="21"/>
  <c r="J4439" i="21"/>
  <c r="J4430" i="21"/>
  <c r="J4340" i="21"/>
  <c r="J4336" i="21"/>
  <c r="J4327" i="21"/>
  <c r="J4323" i="21"/>
  <c r="J4181" i="21"/>
  <c r="J4177" i="21"/>
  <c r="J4173" i="21"/>
  <c r="J4164" i="21"/>
  <c r="J4159" i="21"/>
  <c r="J4155" i="21"/>
  <c r="J4149" i="21"/>
  <c r="J4142" i="21"/>
  <c r="J4138" i="21"/>
  <c r="J4077" i="21"/>
  <c r="J4067" i="21"/>
  <c r="J4063" i="21"/>
  <c r="J4052" i="21"/>
  <c r="J4048" i="21"/>
  <c r="J4042" i="21"/>
  <c r="J4035" i="21"/>
  <c r="J4028" i="21"/>
  <c r="J4020" i="21"/>
  <c r="J3983" i="21"/>
  <c r="J3974" i="21"/>
  <c r="J3970" i="21"/>
  <c r="J3964" i="21"/>
  <c r="J3959" i="21"/>
  <c r="J3953" i="21"/>
  <c r="J3944" i="21"/>
  <c r="J3940" i="21"/>
  <c r="J3926" i="21"/>
  <c r="J3915" i="21"/>
  <c r="J3900" i="21"/>
  <c r="J3889" i="21"/>
  <c r="J3582" i="21"/>
  <c r="J3567" i="21"/>
  <c r="J3532" i="21"/>
  <c r="J3526" i="21"/>
  <c r="J3431" i="21"/>
  <c r="J3415" i="21"/>
  <c r="J3405" i="21"/>
  <c r="J3375" i="21"/>
  <c r="J3365" i="21"/>
  <c r="J3357" i="21"/>
  <c r="J3340" i="21"/>
  <c r="J3332" i="21"/>
  <c r="J3318" i="21"/>
  <c r="J3308" i="21"/>
  <c r="J3299" i="21"/>
  <c r="J3282" i="21"/>
  <c r="J3268" i="21"/>
  <c r="J3245" i="21"/>
  <c r="J3231" i="21"/>
  <c r="J3216" i="21"/>
  <c r="J3202" i="21"/>
  <c r="J3176" i="21"/>
  <c r="J3164" i="21"/>
  <c r="J3150" i="21"/>
  <c r="J3141" i="21"/>
  <c r="J3131" i="21"/>
  <c r="J3127" i="21"/>
  <c r="J3080" i="21"/>
  <c r="J3057" i="21"/>
  <c r="J3051" i="21"/>
  <c r="J3039" i="21"/>
  <c r="J3029" i="21"/>
  <c r="J3005" i="21"/>
  <c r="J3001" i="21"/>
  <c r="J2990" i="21"/>
  <c r="J2980" i="21"/>
  <c r="J2976" i="21"/>
  <c r="J2949" i="21"/>
  <c r="J2942" i="21"/>
  <c r="J2932" i="21"/>
  <c r="J2908" i="21"/>
  <c r="J2903" i="21"/>
  <c r="J2893" i="21"/>
  <c r="J2864" i="21"/>
  <c r="J2859" i="21"/>
  <c r="J2849" i="21"/>
  <c r="J2759" i="21"/>
  <c r="J2547" i="21"/>
  <c r="J2535" i="21"/>
  <c r="J2528" i="21"/>
  <c r="J2246" i="21"/>
  <c r="J2216" i="21"/>
  <c r="J2208" i="21"/>
  <c r="J1886" i="21"/>
  <c r="J1710" i="21"/>
  <c r="J1700" i="21"/>
  <c r="J1694" i="21"/>
  <c r="J412" i="21"/>
  <c r="J404" i="21"/>
  <c r="J5405" i="21"/>
  <c r="J5378" i="21"/>
  <c r="J5336" i="21"/>
  <c r="J5301" i="21"/>
  <c r="J5275" i="21"/>
  <c r="J5259" i="21"/>
  <c r="J5233" i="21"/>
  <c r="J5209" i="21"/>
  <c r="J5182" i="21"/>
  <c r="J3592" i="21"/>
  <c r="J2684" i="21"/>
  <c r="J2673" i="21"/>
  <c r="J2556" i="21"/>
  <c r="J2178" i="21"/>
  <c r="J1939" i="21"/>
  <c r="J1442" i="21"/>
  <c r="J1041" i="21"/>
  <c r="J1030" i="21"/>
  <c r="J737" i="21"/>
  <c r="J706" i="21"/>
  <c r="J664" i="21"/>
  <c r="J5496" i="21"/>
  <c r="J5492" i="21"/>
  <c r="J5467" i="21"/>
  <c r="J5463" i="21"/>
  <c r="J3679" i="21"/>
  <c r="J3625" i="21"/>
  <c r="J3613" i="21"/>
  <c r="J2081" i="21"/>
  <c r="J1392" i="21"/>
  <c r="J1210" i="21"/>
  <c r="J1206" i="21"/>
  <c r="J1162" i="21"/>
  <c r="J953" i="21"/>
  <c r="J949" i="21"/>
  <c r="J946" i="21"/>
  <c r="J941" i="21"/>
  <c r="J938" i="21"/>
  <c r="J608" i="21"/>
  <c r="J576" i="21"/>
  <c r="J571" i="21"/>
  <c r="J6254" i="21"/>
  <c r="J6246" i="21"/>
  <c r="J6236" i="21"/>
  <c r="J6228" i="21"/>
  <c r="J6220" i="21"/>
  <c r="J6212" i="21"/>
  <c r="J6204" i="21"/>
  <c r="J6196" i="21"/>
  <c r="J6188" i="21"/>
  <c r="J6180" i="21"/>
  <c r="J6172" i="21"/>
  <c r="J6164" i="21"/>
  <c r="J6156" i="21"/>
  <c r="J6146" i="21"/>
  <c r="J6124" i="21"/>
  <c r="J6116" i="21"/>
  <c r="J6106" i="21"/>
  <c r="J6098" i="21"/>
  <c r="J6076" i="21"/>
  <c r="J6062" i="21"/>
  <c r="J6044" i="21"/>
  <c r="J6026" i="21"/>
  <c r="J6016" i="21"/>
  <c r="J5553" i="21"/>
  <c r="J5479" i="21"/>
  <c r="J5454" i="21"/>
  <c r="J5029" i="21"/>
  <c r="J5022" i="21"/>
  <c r="J4890" i="21"/>
  <c r="J4882" i="21"/>
  <c r="J4869" i="21"/>
  <c r="J4863" i="21"/>
  <c r="J4856" i="21"/>
  <c r="J4841" i="21"/>
  <c r="J4831" i="21"/>
  <c r="J4824" i="21"/>
  <c r="J4815" i="21"/>
  <c r="J4803" i="21"/>
  <c r="J4796" i="21"/>
  <c r="J4782" i="21"/>
  <c r="J4776" i="21"/>
  <c r="J4762" i="21"/>
  <c r="J4748" i="21"/>
  <c r="J4740" i="21"/>
  <c r="J4733" i="21"/>
  <c r="J4712" i="21"/>
  <c r="J4473" i="21"/>
  <c r="J3841" i="21"/>
  <c r="J3830" i="21"/>
  <c r="J3551" i="21"/>
  <c r="J3392" i="21"/>
  <c r="J3384" i="21"/>
  <c r="J2823" i="21"/>
  <c r="J2811" i="21"/>
  <c r="J2801" i="21"/>
  <c r="J2793" i="21"/>
  <c r="J2753" i="21"/>
  <c r="J2651" i="21"/>
  <c r="J2646" i="21"/>
  <c r="J2642" i="21"/>
  <c r="J2565" i="21"/>
  <c r="J2519" i="21"/>
  <c r="J2395" i="21"/>
  <c r="J2385" i="21"/>
  <c r="J2160" i="21"/>
  <c r="J2155" i="21"/>
  <c r="J2150" i="21"/>
  <c r="J2143" i="21"/>
  <c r="J2136" i="21"/>
  <c r="J2096" i="21"/>
  <c r="J2091" i="21"/>
  <c r="J2087" i="21"/>
  <c r="J2083" i="21"/>
  <c r="J2073" i="21"/>
  <c r="J2058" i="21"/>
  <c r="J2018" i="21"/>
  <c r="J1973" i="21"/>
  <c r="J1848" i="21"/>
  <c r="J1801" i="21"/>
  <c r="J1600" i="21"/>
  <c r="J1510" i="21"/>
  <c r="J1403" i="21"/>
  <c r="J400" i="21"/>
  <c r="J392" i="21"/>
  <c r="J384" i="21"/>
  <c r="J378" i="21"/>
  <c r="J371" i="21"/>
  <c r="J358" i="21"/>
  <c r="J350" i="21"/>
  <c r="J343" i="21"/>
  <c r="J332" i="21"/>
  <c r="J322" i="21"/>
  <c r="J313" i="21"/>
  <c r="J305" i="21"/>
  <c r="J295" i="21"/>
  <c r="J6755" i="21"/>
  <c r="J6747" i="21"/>
  <c r="J6720" i="21"/>
  <c r="J6684" i="21"/>
  <c r="J6652" i="21"/>
  <c r="J6605" i="21"/>
  <c r="J6597" i="21"/>
  <c r="J6587" i="21"/>
  <c r="J6573" i="21"/>
  <c r="J6555" i="21"/>
  <c r="J6539" i="21"/>
  <c r="J6432" i="21"/>
  <c r="J6374" i="21"/>
  <c r="J6356" i="21"/>
  <c r="J6348" i="21"/>
  <c r="J6280" i="21"/>
  <c r="J6266" i="21"/>
  <c r="J6136" i="21"/>
  <c r="J6128" i="21"/>
  <c r="J6092" i="21"/>
  <c r="J6080" i="21"/>
  <c r="J6064" i="21"/>
  <c r="J6050" i="21"/>
  <c r="J6034" i="21"/>
  <c r="J6014" i="21"/>
  <c r="J5545" i="21"/>
  <c r="J5452" i="21"/>
  <c r="J5444" i="21"/>
  <c r="J4897" i="21"/>
  <c r="J4893" i="21"/>
  <c r="J4887" i="21"/>
  <c r="J4879" i="21"/>
  <c r="J4874" i="21"/>
  <c r="J4868" i="21"/>
  <c r="J4857" i="21"/>
  <c r="J4852" i="21"/>
  <c r="J4846" i="21"/>
  <c r="J4839" i="21"/>
  <c r="J4835" i="21"/>
  <c r="J4827" i="21"/>
  <c r="J4820" i="21"/>
  <c r="J4812" i="21"/>
  <c r="J4805" i="21"/>
  <c r="J4798" i="21"/>
  <c r="J4791" i="21"/>
  <c r="J4785" i="21"/>
  <c r="J4777" i="21"/>
  <c r="J4770" i="21"/>
  <c r="J4765" i="21"/>
  <c r="J4759" i="21"/>
  <c r="J4754" i="21"/>
  <c r="J4750" i="21"/>
  <c r="J4742" i="21"/>
  <c r="J4732" i="21"/>
  <c r="J4728" i="21"/>
  <c r="J4723" i="21"/>
  <c r="J4717" i="21"/>
  <c r="J4713" i="21"/>
  <c r="J4707" i="21"/>
  <c r="J4703" i="21"/>
  <c r="J4669" i="21"/>
  <c r="J4537" i="21"/>
  <c r="J4472" i="21"/>
  <c r="J3838" i="21"/>
  <c r="J3828" i="21"/>
  <c r="J3604" i="21"/>
  <c r="J3559" i="21"/>
  <c r="J3522" i="21"/>
  <c r="J2840" i="21"/>
  <c r="J2836" i="21"/>
  <c r="J2830" i="21"/>
  <c r="J2749" i="21"/>
  <c r="J2745" i="21"/>
  <c r="J2741" i="21"/>
  <c r="J2525" i="21"/>
  <c r="J2520" i="21"/>
  <c r="J2514" i="21"/>
  <c r="J2509" i="21"/>
  <c r="J2505" i="21"/>
  <c r="J2500" i="21"/>
  <c r="J2495" i="21"/>
  <c r="J2389" i="21"/>
  <c r="J2382" i="21"/>
  <c r="J2378" i="21"/>
  <c r="J2154" i="21"/>
  <c r="J2141" i="21"/>
  <c r="J2097" i="21"/>
  <c r="J2071" i="21"/>
  <c r="J2067" i="21"/>
  <c r="J2060" i="21"/>
  <c r="J1936" i="21"/>
  <c r="J1931" i="21"/>
  <c r="J1927" i="21"/>
  <c r="J1922" i="21"/>
  <c r="J1916" i="21"/>
  <c r="J1912" i="21"/>
  <c r="J1860" i="21"/>
  <c r="J1856" i="21"/>
  <c r="J1852" i="21"/>
  <c r="J1846" i="21"/>
  <c r="J1842" i="21"/>
  <c r="J1838" i="21"/>
  <c r="J1834" i="21"/>
  <c r="J1828" i="21"/>
  <c r="J1822" i="21"/>
  <c r="J1817" i="21"/>
  <c r="J1800" i="21"/>
  <c r="J1597" i="21"/>
  <c r="J1465" i="21"/>
  <c r="J1459" i="21"/>
  <c r="J403" i="21"/>
  <c r="J394" i="21"/>
  <c r="J387" i="21"/>
  <c r="J377" i="21"/>
  <c r="J368" i="21"/>
  <c r="J359" i="21"/>
  <c r="J351" i="21"/>
  <c r="J342" i="21"/>
  <c r="J333" i="21"/>
  <c r="J325" i="21"/>
  <c r="J316" i="21"/>
  <c r="J308" i="21"/>
  <c r="J299" i="21"/>
  <c r="J5080" i="21"/>
  <c r="J5073" i="21"/>
  <c r="J5061" i="21"/>
  <c r="J2841" i="21"/>
  <c r="J1051" i="21"/>
  <c r="J5092" i="21"/>
  <c r="J5070" i="21"/>
  <c r="J5057" i="21"/>
  <c r="J2762" i="21"/>
  <c r="J703" i="21"/>
  <c r="J5090" i="21"/>
  <c r="J5068" i="21"/>
  <c r="J5058" i="21"/>
  <c r="J5049" i="21"/>
  <c r="J2022" i="21"/>
  <c r="J1965" i="21"/>
  <c r="J1961" i="21"/>
  <c r="J957" i="21"/>
  <c r="J3883" i="21"/>
  <c r="J3867" i="21"/>
  <c r="J3858" i="21"/>
  <c r="J1982" i="21"/>
  <c r="J1978" i="21"/>
  <c r="J1457" i="21"/>
  <c r="J701" i="21"/>
  <c r="J690" i="21"/>
  <c r="J1693" i="21"/>
  <c r="J1682" i="21"/>
  <c r="J1666" i="21"/>
  <c r="J1662" i="21"/>
  <c r="J1643" i="21"/>
  <c r="J1519" i="21"/>
  <c r="J1083" i="21"/>
  <c r="J644" i="21"/>
  <c r="J626" i="21"/>
  <c r="J1683" i="21"/>
  <c r="J1668" i="21"/>
  <c r="J1642" i="21"/>
  <c r="J631" i="21"/>
  <c r="J1552" i="21"/>
  <c r="J1527" i="21"/>
  <c r="J1523" i="21"/>
  <c r="J5260" i="21"/>
  <c r="J714" i="21"/>
  <c r="J38" i="21"/>
  <c r="J1022" i="21"/>
  <c r="J723" i="21"/>
  <c r="J81" i="21"/>
  <c r="J4414" i="21"/>
  <c r="J4410" i="21"/>
  <c r="J4406" i="21"/>
  <c r="J4402" i="21"/>
  <c r="J4398" i="21"/>
  <c r="J4387" i="21"/>
  <c r="J4383" i="21"/>
  <c r="J4379" i="21"/>
  <c r="J4375" i="21"/>
  <c r="J4371" i="21"/>
  <c r="J4367" i="21"/>
  <c r="J4362" i="21"/>
  <c r="J4354" i="21"/>
  <c r="J4350" i="21"/>
  <c r="J4346" i="21"/>
  <c r="J4342" i="21"/>
  <c r="J4320" i="21"/>
  <c r="J4316" i="21"/>
  <c r="J4311" i="21"/>
  <c r="J4303" i="21"/>
  <c r="J5254" i="21"/>
  <c r="J4391" i="21"/>
  <c r="J4310" i="21"/>
  <c r="J4388" i="21"/>
  <c r="J4314" i="21"/>
  <c r="J1352" i="21"/>
  <c r="J1348" i="21"/>
  <c r="J1344" i="21"/>
  <c r="J1340" i="21"/>
  <c r="J1337" i="21"/>
  <c r="J1333" i="21"/>
  <c r="J1328" i="21"/>
  <c r="J1325" i="21"/>
  <c r="J1321" i="21"/>
  <c r="J1315" i="21"/>
  <c r="J1312" i="21"/>
  <c r="J1308" i="21"/>
  <c r="J1295" i="21"/>
  <c r="J1291" i="21"/>
  <c r="J1288" i="21"/>
  <c r="J1282" i="21"/>
  <c r="J1280" i="21"/>
  <c r="J1276" i="21"/>
  <c r="J1272" i="21"/>
  <c r="J1267" i="21"/>
  <c r="J1263" i="21"/>
  <c r="J1258" i="21"/>
  <c r="J1254" i="21"/>
  <c r="J1250" i="21"/>
  <c r="J1247" i="21"/>
  <c r="J1234" i="21"/>
  <c r="J1220" i="21"/>
  <c r="J1216" i="21"/>
  <c r="J1199" i="21"/>
  <c r="J1196" i="21"/>
  <c r="J1191" i="21"/>
  <c r="J1188" i="21"/>
  <c r="J1184" i="21"/>
  <c r="J1179" i="21"/>
  <c r="J1176" i="21"/>
  <c r="J1170" i="21"/>
  <c r="J1167" i="21"/>
  <c r="J1163" i="21"/>
  <c r="J1158" i="21"/>
  <c r="J895" i="21"/>
  <c r="J891" i="21"/>
  <c r="J887" i="21"/>
  <c r="J883" i="21"/>
  <c r="J880" i="21"/>
  <c r="J875" i="21"/>
  <c r="J871" i="21"/>
  <c r="J866" i="21"/>
  <c r="J862" i="21"/>
  <c r="J859" i="21"/>
  <c r="J855" i="21"/>
  <c r="J852" i="21"/>
  <c r="J847" i="21"/>
  <c r="J843" i="21"/>
  <c r="J839" i="21"/>
  <c r="J835" i="21"/>
  <c r="J831" i="21"/>
  <c r="J826" i="21"/>
  <c r="J824" i="21"/>
  <c r="J820" i="21"/>
  <c r="J815" i="21"/>
  <c r="J811" i="21"/>
  <c r="J807" i="21"/>
  <c r="J803" i="21"/>
  <c r="J799" i="21"/>
  <c r="J794" i="21"/>
  <c r="J791" i="21"/>
  <c r="J787" i="21"/>
  <c r="J783" i="21"/>
  <c r="J780" i="21"/>
  <c r="J775" i="21"/>
  <c r="J771" i="21"/>
  <c r="J767" i="21"/>
  <c r="J763" i="21"/>
  <c r="J759" i="21"/>
  <c r="J661" i="21"/>
  <c r="J657" i="21"/>
  <c r="J653" i="21"/>
  <c r="J610" i="21"/>
  <c r="J291" i="21"/>
  <c r="J287" i="21"/>
  <c r="J281" i="21"/>
  <c r="J279" i="21"/>
  <c r="J274" i="21"/>
  <c r="J270" i="21"/>
  <c r="J266" i="21"/>
  <c r="J251" i="21"/>
  <c r="J245" i="21"/>
  <c r="J240" i="21"/>
  <c r="J238" i="21"/>
  <c r="J232" i="21"/>
  <c r="J227" i="21"/>
  <c r="J225" i="21"/>
  <c r="J221" i="21"/>
  <c r="J217" i="21"/>
  <c r="J203" i="21"/>
  <c r="J196" i="21"/>
  <c r="J192" i="21"/>
  <c r="J189" i="21"/>
  <c r="J184" i="21"/>
  <c r="J180" i="21"/>
  <c r="J175" i="21"/>
  <c r="J171" i="21"/>
  <c r="J167" i="21"/>
  <c r="J160" i="21"/>
  <c r="J156" i="21"/>
  <c r="J152" i="21"/>
  <c r="J148" i="21"/>
  <c r="J144" i="21"/>
  <c r="J140" i="21"/>
  <c r="J134" i="21"/>
  <c r="J130" i="21"/>
  <c r="J126" i="21"/>
  <c r="J115" i="21"/>
  <c r="J111" i="21"/>
  <c r="J107" i="21"/>
  <c r="J103" i="21"/>
  <c r="J51" i="21"/>
  <c r="J47" i="21"/>
  <c r="J5" i="21"/>
  <c r="J5514" i="21"/>
  <c r="J5154" i="21"/>
  <c r="J5089" i="21"/>
  <c r="J5085" i="21"/>
  <c r="J4964" i="21"/>
  <c r="J4631" i="21"/>
  <c r="J4528" i="21"/>
  <c r="J4248" i="21"/>
  <c r="J4244" i="21"/>
  <c r="J4240" i="21"/>
  <c r="J4236" i="21"/>
  <c r="J4232" i="21"/>
  <c r="J4228" i="21"/>
  <c r="J4224" i="21"/>
  <c r="J4220" i="21"/>
  <c r="J4216" i="21"/>
  <c r="J4212" i="21"/>
  <c r="J4208" i="21"/>
  <c r="J4204" i="21"/>
  <c r="J4200" i="21"/>
  <c r="J4196" i="21"/>
  <c r="J4192" i="21"/>
  <c r="J4136" i="21"/>
  <c r="J4117" i="21"/>
  <c r="J4113" i="21"/>
  <c r="J4109" i="21"/>
  <c r="J4105" i="21"/>
  <c r="J4101" i="21"/>
  <c r="J4097" i="21"/>
  <c r="J4093" i="21"/>
  <c r="J4089" i="21"/>
  <c r="J4085" i="21"/>
  <c r="J4081" i="21"/>
  <c r="J4011" i="21"/>
  <c r="J4007" i="21"/>
  <c r="J4003" i="21"/>
  <c r="J3999" i="21"/>
  <c r="J3995" i="21"/>
  <c r="J3991" i="21"/>
  <c r="J3987" i="21"/>
  <c r="J3917" i="21"/>
  <c r="J5509" i="21"/>
  <c r="J5498" i="21"/>
  <c r="J4959" i="21"/>
  <c r="J4641" i="21"/>
  <c r="J4617" i="21"/>
  <c r="J4605" i="21"/>
  <c r="J4598" i="21"/>
  <c r="J4588" i="21"/>
  <c r="J4564" i="21"/>
  <c r="J4553" i="21"/>
  <c r="J4542" i="21"/>
  <c r="J4516" i="21"/>
  <c r="J4429" i="21"/>
  <c r="J4419" i="21"/>
  <c r="J4331" i="21"/>
  <c r="J4183" i="21"/>
  <c r="J4167" i="21"/>
  <c r="J4152" i="21"/>
  <c r="J4146" i="21"/>
  <c r="J4074" i="21"/>
  <c r="J4062" i="21"/>
  <c r="J4057" i="21"/>
  <c r="J4046" i="21"/>
  <c r="J4033" i="21"/>
  <c r="J4026" i="21"/>
  <c r="J4015" i="21"/>
  <c r="J3978" i="21"/>
  <c r="J3962" i="21"/>
  <c r="J3949" i="21"/>
  <c r="J3936" i="21"/>
  <c r="J3925" i="21"/>
  <c r="J3921" i="21"/>
  <c r="J3910" i="21"/>
  <c r="J3897" i="21"/>
  <c r="J3570" i="21"/>
  <c r="J3436" i="21"/>
  <c r="J3425" i="21"/>
  <c r="J3412" i="21"/>
  <c r="J3370" i="21"/>
  <c r="J3352" i="21"/>
  <c r="J3341" i="21"/>
  <c r="J3325" i="21"/>
  <c r="J3313" i="21"/>
  <c r="J3294" i="21"/>
  <c r="J3277" i="21"/>
  <c r="J3253" i="21"/>
  <c r="J3240" i="21"/>
  <c r="J3228" i="21"/>
  <c r="J3219" i="21"/>
  <c r="J3209" i="21"/>
  <c r="J3180" i="21"/>
  <c r="J3166" i="21"/>
  <c r="J3151" i="21"/>
  <c r="J3135" i="21"/>
  <c r="J3091" i="21"/>
  <c r="J3082" i="21"/>
  <c r="J3053" i="21"/>
  <c r="J3042" i="21"/>
  <c r="J3008" i="21"/>
  <c r="J2991" i="21"/>
  <c r="J2957" i="21"/>
  <c r="J2943" i="21"/>
  <c r="J2916" i="21"/>
  <c r="J2898" i="21"/>
  <c r="J2868" i="21"/>
  <c r="J2852" i="21"/>
  <c r="J2551" i="21"/>
  <c r="J2544" i="21"/>
  <c r="J2538" i="21"/>
  <c r="J2531" i="21"/>
  <c r="J2241" i="21"/>
  <c r="J2211" i="21"/>
  <c r="J1890" i="21"/>
  <c r="J1881" i="21"/>
  <c r="J1706" i="21"/>
  <c r="J1698" i="21"/>
  <c r="J5505" i="21"/>
  <c r="J5499" i="21"/>
  <c r="J4961" i="21"/>
  <c r="J4954" i="21"/>
  <c r="J4642" i="21"/>
  <c r="J4625" i="21"/>
  <c r="J4619" i="21"/>
  <c r="J4612" i="21"/>
  <c r="J4607" i="21"/>
  <c r="J4596" i="21"/>
  <c r="J4592" i="21"/>
  <c r="J4585" i="21"/>
  <c r="J4579" i="21"/>
  <c r="J4574" i="21"/>
  <c r="J4570" i="21"/>
  <c r="J4561" i="21"/>
  <c r="J4555" i="21"/>
  <c r="J4548" i="21"/>
  <c r="J4544" i="21"/>
  <c r="J4526" i="21"/>
  <c r="J4434" i="21"/>
  <c r="J4426" i="21"/>
  <c r="J4338" i="21"/>
  <c r="J4329" i="21"/>
  <c r="J4325" i="21"/>
  <c r="J4187" i="21"/>
  <c r="J4179" i="21"/>
  <c r="J4175" i="21"/>
  <c r="J4171" i="21"/>
  <c r="J4161" i="21"/>
  <c r="J4157" i="21"/>
  <c r="J4153" i="21"/>
  <c r="J4144" i="21"/>
  <c r="J4140" i="21"/>
  <c r="J4080" i="21"/>
  <c r="J4069" i="21"/>
  <c r="J4065" i="21"/>
  <c r="J4054" i="21"/>
  <c r="J4050" i="21"/>
  <c r="J4044" i="21"/>
  <c r="J4039" i="21"/>
  <c r="J4031" i="21"/>
  <c r="J4022" i="21"/>
  <c r="J4018" i="21"/>
  <c r="J3976" i="21"/>
  <c r="J3972" i="21"/>
  <c r="J3966" i="21"/>
  <c r="J3961" i="21"/>
  <c r="J3957" i="21"/>
  <c r="J3950" i="21"/>
  <c r="J3942" i="21"/>
  <c r="J3938" i="21"/>
  <c r="J3919" i="21"/>
  <c r="J3902" i="21"/>
  <c r="J3895" i="21"/>
  <c r="J3584" i="21"/>
  <c r="J3572" i="21"/>
  <c r="J3565" i="21"/>
  <c r="J3529" i="21"/>
  <c r="J3435" i="21"/>
  <c r="J3423" i="21"/>
  <c r="J3411" i="21"/>
  <c r="J3396" i="21"/>
  <c r="J3367" i="21"/>
  <c r="J3363" i="21"/>
  <c r="J3348" i="21"/>
  <c r="J3338" i="21"/>
  <c r="J3322" i="21"/>
  <c r="J3310" i="21"/>
  <c r="J3303" i="21"/>
  <c r="J3283" i="21"/>
  <c r="J3274" i="21"/>
  <c r="J3248" i="21"/>
  <c r="J3239" i="21"/>
  <c r="J3217" i="21"/>
  <c r="J3204" i="21"/>
  <c r="J3179" i="21"/>
  <c r="J3172" i="21"/>
  <c r="J3160" i="21"/>
  <c r="J3147" i="21"/>
  <c r="J3139" i="21"/>
  <c r="J3129" i="21"/>
  <c r="J3090" i="21"/>
  <c r="J3058" i="21"/>
  <c r="J3056" i="21"/>
  <c r="J3041" i="21"/>
  <c r="J3033" i="21"/>
  <c r="J3027" i="21"/>
  <c r="J3003" i="21"/>
  <c r="J2994" i="21"/>
  <c r="J2988" i="21"/>
  <c r="J2978" i="21"/>
  <c r="J2951" i="21"/>
  <c r="J2947" i="21"/>
  <c r="J2934" i="21"/>
  <c r="J2910" i="21"/>
  <c r="J2907" i="21"/>
  <c r="J2895" i="21"/>
  <c r="J2866" i="21"/>
  <c r="J2862" i="21"/>
  <c r="J2851" i="21"/>
  <c r="J2843" i="21"/>
  <c r="J2549" i="21"/>
  <c r="J2540" i="21"/>
  <c r="J2530" i="21"/>
  <c r="J2248" i="21"/>
  <c r="J2245" i="21"/>
  <c r="J2214" i="21"/>
  <c r="J2206" i="21"/>
  <c r="J1878" i="21"/>
  <c r="J1705" i="21"/>
  <c r="J1697" i="21"/>
  <c r="J414" i="21"/>
  <c r="J408" i="21"/>
  <c r="J5477" i="21"/>
  <c r="J5389" i="21"/>
  <c r="J5352" i="21"/>
  <c r="J5311" i="21"/>
  <c r="J5287" i="21"/>
  <c r="J5266" i="21"/>
  <c r="J5247" i="21"/>
  <c r="J5224" i="21"/>
  <c r="J5196" i="21"/>
  <c r="J4691" i="21"/>
  <c r="J2688" i="21"/>
  <c r="J2679" i="21"/>
  <c r="J2560" i="21"/>
  <c r="J2202" i="21"/>
  <c r="J1943" i="21"/>
  <c r="J1488" i="21"/>
  <c r="J1412" i="21"/>
  <c r="J1036" i="21"/>
  <c r="J1026" i="21"/>
  <c r="J729" i="21"/>
  <c r="J673" i="21"/>
  <c r="J7" i="21"/>
  <c r="J5494" i="21"/>
  <c r="J5469" i="21"/>
  <c r="J5465" i="21"/>
  <c r="J4965" i="21"/>
  <c r="J3657" i="21"/>
  <c r="J3623" i="21"/>
  <c r="J3587" i="21"/>
  <c r="J1605" i="21"/>
  <c r="J1390" i="21"/>
  <c r="J1208" i="21"/>
  <c r="J1204" i="21"/>
  <c r="J955" i="21"/>
  <c r="J951" i="21"/>
  <c r="J947" i="21"/>
  <c r="J943" i="21"/>
  <c r="J939" i="21"/>
  <c r="J936" i="21"/>
  <c r="J577" i="21"/>
  <c r="J573" i="21"/>
  <c r="J569" i="21"/>
  <c r="J566" i="21"/>
  <c r="J486" i="21"/>
  <c r="J482" i="21"/>
  <c r="J478" i="21"/>
  <c r="J475" i="21"/>
  <c r="J470" i="21"/>
  <c r="J369" i="21"/>
  <c r="J259" i="21"/>
  <c r="J207" i="21"/>
  <c r="J6745" i="21"/>
  <c r="J6735" i="21"/>
  <c r="J6718" i="21"/>
  <c r="J6710" i="21"/>
  <c r="J6702" i="21"/>
  <c r="J6690" i="21"/>
  <c r="J6678" i="21"/>
  <c r="J6668" i="21"/>
  <c r="J6656" i="21"/>
  <c r="J6646" i="21"/>
  <c r="J6638" i="21"/>
  <c r="J6628" i="21"/>
  <c r="J6620" i="21"/>
  <c r="J6612" i="21"/>
  <c r="J6577" i="21"/>
  <c r="J6563" i="21"/>
  <c r="J6545" i="21"/>
  <c r="J6533" i="21"/>
  <c r="J6525" i="21"/>
  <c r="J6517" i="21"/>
  <c r="J6509" i="21"/>
  <c r="J6501" i="21"/>
  <c r="J6492" i="21"/>
  <c r="J6484" i="21"/>
  <c r="J6476" i="21"/>
  <c r="J6468" i="21"/>
  <c r="J6460" i="21"/>
  <c r="J6452" i="21"/>
  <c r="J6444" i="21"/>
  <c r="J6426" i="21"/>
  <c r="J6416" i="21"/>
  <c r="J6408" i="21"/>
  <c r="J6400" i="21"/>
  <c r="J6390" i="21"/>
  <c r="J6382" i="21"/>
  <c r="J6372" i="21"/>
  <c r="J6364" i="21"/>
  <c r="J6334" i="21"/>
  <c r="J6326" i="21"/>
  <c r="J6318" i="21"/>
  <c r="J6310" i="21"/>
  <c r="J6302" i="21"/>
  <c r="J6294" i="21"/>
  <c r="J6286" i="21"/>
  <c r="J6272" i="21"/>
  <c r="J6260" i="21"/>
  <c r="J6252" i="21"/>
  <c r="J6244" i="21"/>
  <c r="J6234" i="21"/>
  <c r="J6226" i="21"/>
  <c r="J6218" i="21"/>
  <c r="J6210" i="21"/>
  <c r="J6202" i="21"/>
  <c r="J6194" i="21"/>
  <c r="J6186" i="21"/>
  <c r="J6178" i="21"/>
  <c r="J6170" i="21"/>
  <c r="J6162" i="21"/>
  <c r="J6154" i="21"/>
  <c r="J6144" i="21"/>
  <c r="J6122" i="21"/>
  <c r="J6112" i="21"/>
  <c r="J6104" i="21"/>
  <c r="J6096" i="21"/>
  <c r="J6072" i="21"/>
  <c r="J6060" i="21"/>
  <c r="J6040" i="21"/>
  <c r="J6024" i="21"/>
  <c r="J5562" i="21"/>
  <c r="J5551" i="21"/>
  <c r="J5459" i="21"/>
  <c r="J5451" i="21"/>
  <c r="J5028" i="21"/>
  <c r="J5015" i="21"/>
  <c r="J4889" i="21"/>
  <c r="J4881" i="21"/>
  <c r="J4867" i="21"/>
  <c r="J4860" i="21"/>
  <c r="J4850" i="21"/>
  <c r="J4840" i="21"/>
  <c r="J4829" i="21"/>
  <c r="J4819" i="21"/>
  <c r="J4808" i="21"/>
  <c r="J4801" i="21"/>
  <c r="J4794" i="21"/>
  <c r="J4783" i="21"/>
  <c r="J4775" i="21"/>
  <c r="J4761" i="21"/>
  <c r="J4744" i="21"/>
  <c r="J4739" i="21"/>
  <c r="J4727" i="21"/>
  <c r="J4710" i="21"/>
  <c r="J4470" i="21"/>
  <c r="J3840" i="21"/>
  <c r="J3606" i="21"/>
  <c r="J3518" i="21"/>
  <c r="J3390" i="21"/>
  <c r="J3382" i="21"/>
  <c r="J2822" i="21"/>
  <c r="J2809" i="21"/>
  <c r="J2799" i="21"/>
  <c r="J2756" i="21"/>
  <c r="J2655" i="21"/>
  <c r="J2650" i="21"/>
  <c r="J2645" i="21"/>
  <c r="J2641" i="21"/>
  <c r="J2564" i="21"/>
  <c r="J2515" i="21"/>
  <c r="J2394" i="21"/>
  <c r="J2384" i="21"/>
  <c r="J2159" i="21"/>
  <c r="J2153" i="21"/>
  <c r="J2149" i="21"/>
  <c r="J2142" i="21"/>
  <c r="J2135" i="21"/>
  <c r="J2095" i="21"/>
  <c r="J2090" i="21"/>
  <c r="J2086" i="21"/>
  <c r="J2082" i="21"/>
  <c r="J2072" i="21"/>
  <c r="J2021" i="21"/>
  <c r="J2017" i="21"/>
  <c r="J1935" i="21"/>
  <c r="J1847" i="21"/>
  <c r="J1604" i="21"/>
  <c r="J1598" i="21"/>
  <c r="J1474" i="21"/>
  <c r="J1400" i="21"/>
  <c r="J398" i="21"/>
  <c r="J390" i="21"/>
  <c r="J382" i="21"/>
  <c r="J376" i="21"/>
  <c r="J364" i="21"/>
  <c r="J356" i="21"/>
  <c r="J348" i="21"/>
  <c r="J340" i="21"/>
  <c r="J329" i="21"/>
  <c r="J319" i="21"/>
  <c r="J311" i="21"/>
  <c r="J303" i="21"/>
  <c r="J77" i="21"/>
  <c r="J6753" i="21"/>
  <c r="J6743" i="21"/>
  <c r="J6700" i="21"/>
  <c r="J6674" i="21"/>
  <c r="J6636" i="21"/>
  <c r="J6603" i="21"/>
  <c r="J6595" i="21"/>
  <c r="J6581" i="21"/>
  <c r="J6571" i="21"/>
  <c r="J6553" i="21"/>
  <c r="J6438" i="21"/>
  <c r="J6430" i="21"/>
  <c r="J6362" i="21"/>
  <c r="J6354" i="21"/>
  <c r="J6346" i="21"/>
  <c r="J6278" i="21"/>
  <c r="J6240" i="21"/>
  <c r="J6134" i="21"/>
  <c r="J6126" i="21"/>
  <c r="J6086" i="21"/>
  <c r="J6078" i="21"/>
  <c r="J6058" i="21"/>
  <c r="J6048" i="21"/>
  <c r="J6032" i="21"/>
  <c r="J5566" i="21"/>
  <c r="J5460" i="21"/>
  <c r="J5450" i="21"/>
  <c r="J4902" i="21"/>
  <c r="J4896" i="21"/>
  <c r="J4892" i="21"/>
  <c r="J4885" i="21"/>
  <c r="J4878" i="21"/>
  <c r="J4873" i="21"/>
  <c r="J4865" i="21"/>
  <c r="J4855" i="21"/>
  <c r="J4851" i="21"/>
  <c r="J4845" i="21"/>
  <c r="J4838" i="21"/>
  <c r="J4833" i="21"/>
  <c r="J4823" i="21"/>
  <c r="J4818" i="21"/>
  <c r="J4811" i="21"/>
  <c r="J4804" i="21"/>
  <c r="J4795" i="21"/>
  <c r="J4789" i="21"/>
  <c r="J4784" i="21"/>
  <c r="J4774" i="21"/>
  <c r="J4769" i="21"/>
  <c r="J4764" i="21"/>
  <c r="J4758" i="21"/>
  <c r="J4753" i="21"/>
  <c r="J4747" i="21"/>
  <c r="J4737" i="21"/>
  <c r="J4731" i="21"/>
  <c r="J4726" i="21"/>
  <c r="J4722" i="21"/>
  <c r="J4716" i="21"/>
  <c r="J4711" i="21"/>
  <c r="J4706" i="21"/>
  <c r="J4702" i="21"/>
  <c r="J4664" i="21"/>
  <c r="J4534" i="21"/>
  <c r="J4471" i="21"/>
  <c r="J3832" i="21"/>
  <c r="J3827" i="21"/>
  <c r="J3603" i="21"/>
  <c r="J3558" i="21"/>
  <c r="J3515" i="21"/>
  <c r="J2839" i="21"/>
  <c r="J2835" i="21"/>
  <c r="J2829" i="21"/>
  <c r="J2748" i="21"/>
  <c r="J2744" i="21"/>
  <c r="J2656" i="21"/>
  <c r="J2524" i="21"/>
  <c r="J2518" i="21"/>
  <c r="J2513" i="21"/>
  <c r="J2508" i="21"/>
  <c r="J2504" i="21"/>
  <c r="J2499" i="21"/>
  <c r="J2392" i="21"/>
  <c r="J2388" i="21"/>
  <c r="J2381" i="21"/>
  <c r="J2182" i="21"/>
  <c r="J2148" i="21"/>
  <c r="J2139" i="21"/>
  <c r="J2094" i="21"/>
  <c r="J2070" i="21"/>
  <c r="J2066" i="21"/>
  <c r="J2059" i="21"/>
  <c r="J1934" i="21"/>
  <c r="J1930" i="21"/>
  <c r="J1925" i="21"/>
  <c r="J1921" i="21"/>
  <c r="J1915" i="21"/>
  <c r="J1911" i="21"/>
  <c r="J1859" i="21"/>
  <c r="J1855" i="21"/>
  <c r="J1851" i="21"/>
  <c r="J1845" i="21"/>
  <c r="J1841" i="21"/>
  <c r="J1837" i="21"/>
  <c r="J1833" i="21"/>
  <c r="J1827" i="21"/>
  <c r="J1821" i="21"/>
  <c r="J1816" i="21"/>
  <c r="J1799" i="21"/>
  <c r="J1485" i="21"/>
  <c r="J1464" i="21"/>
  <c r="J1402" i="21"/>
  <c r="J401" i="21"/>
  <c r="J393" i="21"/>
  <c r="J385" i="21"/>
  <c r="J375" i="21"/>
  <c r="J365" i="21"/>
  <c r="J357" i="21"/>
  <c r="J349" i="21"/>
  <c r="J341" i="21"/>
  <c r="J331" i="21"/>
  <c r="J321" i="21"/>
  <c r="J314" i="21"/>
  <c r="J306" i="21"/>
  <c r="J296" i="21"/>
  <c r="J5099" i="21"/>
  <c r="J5077" i="21"/>
  <c r="J5072" i="21"/>
  <c r="J5059" i="21"/>
  <c r="J2764" i="21"/>
  <c r="J1049" i="21"/>
  <c r="J5091" i="21"/>
  <c r="J5067" i="21"/>
  <c r="J5055" i="21"/>
  <c r="J2760" i="21"/>
  <c r="J5100" i="21"/>
  <c r="J5081" i="21"/>
  <c r="J5065" i="21"/>
  <c r="J5056" i="21"/>
  <c r="J617" i="21"/>
  <c r="J2025" i="21"/>
  <c r="J1968" i="21"/>
  <c r="J1964" i="21"/>
  <c r="J1463" i="21"/>
  <c r="J689" i="21"/>
  <c r="J3876" i="21"/>
  <c r="J3864" i="21"/>
  <c r="J3857" i="21"/>
  <c r="J1981" i="21"/>
  <c r="J1977" i="21"/>
  <c r="J1456" i="21"/>
  <c r="J694" i="21"/>
  <c r="J616" i="21"/>
  <c r="J1692" i="21"/>
  <c r="J1676" i="21"/>
  <c r="J1665" i="21"/>
  <c r="J1655" i="21"/>
  <c r="J1641" i="21"/>
  <c r="J1086" i="21"/>
  <c r="J649" i="21"/>
  <c r="J630" i="21"/>
  <c r="J620" i="21"/>
  <c r="J1677" i="21"/>
  <c r="J1657" i="21"/>
  <c r="J1622" i="21"/>
  <c r="J628" i="21"/>
  <c r="J1551" i="21"/>
  <c r="J1526" i="21"/>
  <c r="J1522" i="21"/>
  <c r="J5257" i="21"/>
  <c r="J713" i="21"/>
  <c r="J37" i="21"/>
  <c r="J1020" i="21"/>
  <c r="J721" i="21"/>
  <c r="J79" i="21"/>
  <c r="J4413" i="21"/>
  <c r="J4409" i="21"/>
  <c r="J4405" i="21"/>
  <c r="J4401" i="21"/>
  <c r="J4397" i="21"/>
  <c r="J4386" i="21"/>
  <c r="J4382" i="21"/>
  <c r="J4378" i="21"/>
  <c r="J4374" i="21"/>
  <c r="J4370" i="21"/>
  <c r="J4366" i="21"/>
  <c r="J4361" i="21"/>
  <c r="J4353" i="21"/>
  <c r="J4349" i="21"/>
  <c r="J4345" i="21"/>
  <c r="J4341" i="21"/>
  <c r="J4319" i="21"/>
  <c r="J4315" i="21"/>
  <c r="J4306" i="21"/>
  <c r="J4302" i="21"/>
  <c r="J5251" i="21"/>
  <c r="J4389" i="21"/>
  <c r="J4308" i="21"/>
  <c r="J4396" i="21"/>
  <c r="J4365" i="21"/>
  <c r="J4309" i="21"/>
  <c r="J477" i="21"/>
  <c r="J473" i="21"/>
  <c r="J469" i="21"/>
  <c r="J367" i="21"/>
  <c r="J248" i="21"/>
  <c r="J163" i="21"/>
  <c r="J6741" i="21"/>
  <c r="J6733" i="21"/>
  <c r="J6716" i="21"/>
  <c r="J6708" i="21"/>
  <c r="J6696" i="21"/>
  <c r="J6686" i="21"/>
  <c r="J6676" i="21"/>
  <c r="J6666" i="21"/>
  <c r="J6654" i="21"/>
  <c r="J6644" i="21"/>
  <c r="J6634" i="21"/>
  <c r="J6626" i="21"/>
  <c r="J6618" i="21"/>
  <c r="J6591" i="21"/>
  <c r="J6569" i="21"/>
  <c r="J6559" i="21"/>
  <c r="J6543" i="21"/>
  <c r="J6531" i="21"/>
  <c r="J6523" i="21"/>
  <c r="J6515" i="21"/>
  <c r="J6507" i="21"/>
  <c r="J6499" i="21"/>
  <c r="J6490" i="21"/>
  <c r="J6482" i="21"/>
  <c r="J6474" i="21"/>
  <c r="J6466" i="21"/>
  <c r="J6458" i="21"/>
  <c r="J6450" i="21"/>
  <c r="J6442" i="21"/>
  <c r="J6424" i="21"/>
  <c r="J6414" i="21"/>
  <c r="J6406" i="21"/>
  <c r="J6398" i="21"/>
  <c r="J6388" i="21"/>
  <c r="J6380" i="21"/>
  <c r="J6370" i="21"/>
  <c r="J6340" i="21"/>
  <c r="J6332" i="21"/>
  <c r="J6324" i="21"/>
  <c r="J6316" i="21"/>
  <c r="J6308" i="21"/>
  <c r="J6300" i="21"/>
  <c r="J6292" i="21"/>
  <c r="J6284" i="21"/>
  <c r="J6268" i="21"/>
  <c r="J6258" i="21"/>
  <c r="J6250" i="21"/>
  <c r="J6242" i="21"/>
  <c r="J6232" i="21"/>
  <c r="J6224" i="21"/>
  <c r="J6216" i="21"/>
  <c r="J6208" i="21"/>
  <c r="J6200" i="21"/>
  <c r="J6192" i="21"/>
  <c r="J6184" i="21"/>
  <c r="J6176" i="21"/>
  <c r="J6168" i="21"/>
  <c r="J6160" i="21"/>
  <c r="J6150" i="21"/>
  <c r="J6142" i="21"/>
  <c r="J6120" i="21"/>
  <c r="J6110" i="21"/>
  <c r="J6102" i="21"/>
  <c r="J6090" i="21"/>
  <c r="J6068" i="21"/>
  <c r="J6054" i="21"/>
  <c r="J6036" i="21"/>
  <c r="J6020" i="21"/>
  <c r="J5564" i="21"/>
  <c r="J5549" i="21"/>
  <c r="J5458" i="21"/>
  <c r="J5449" i="21"/>
  <c r="J5025" i="21"/>
  <c r="J4900" i="21"/>
  <c r="J4886" i="21"/>
  <c r="J4876" i="21"/>
  <c r="J4866" i="21"/>
  <c r="J4859" i="21"/>
  <c r="J4849" i="21"/>
  <c r="J4834" i="21"/>
  <c r="J4826" i="21"/>
  <c r="J4817" i="21"/>
  <c r="J4806" i="21"/>
  <c r="J4800" i="21"/>
  <c r="J4790" i="21"/>
  <c r="J4780" i="21"/>
  <c r="J4772" i="21"/>
  <c r="J4755" i="21"/>
  <c r="J4743" i="21"/>
  <c r="J4738" i="21"/>
  <c r="J4721" i="21"/>
  <c r="J4536" i="21"/>
  <c r="J4469" i="21"/>
  <c r="J3837" i="21"/>
  <c r="J3605" i="21"/>
  <c r="J3517" i="21"/>
  <c r="J3388" i="21"/>
  <c r="J2832" i="21"/>
  <c r="J2821" i="21"/>
  <c r="J2808" i="21"/>
  <c r="J2797" i="21"/>
  <c r="J2755" i="21"/>
  <c r="J2654" i="21"/>
  <c r="J2648" i="21"/>
  <c r="J2644" i="21"/>
  <c r="J2640" i="21"/>
  <c r="J2563" i="21"/>
  <c r="J2512" i="21"/>
  <c r="J2393" i="21"/>
  <c r="J2183" i="21"/>
  <c r="J2158" i="21"/>
  <c r="J2152" i="21"/>
  <c r="J2147" i="21"/>
  <c r="J2140" i="21"/>
  <c r="J2133" i="21"/>
  <c r="J2093" i="21"/>
  <c r="J2089" i="21"/>
  <c r="J2085" i="21"/>
  <c r="J2078" i="21"/>
  <c r="J2064" i="21"/>
  <c r="J2020" i="21"/>
  <c r="J2016" i="21"/>
  <c r="J1926" i="21"/>
  <c r="J1832" i="21"/>
  <c r="J1603" i="21"/>
  <c r="J1596" i="21"/>
  <c r="J1472" i="21"/>
  <c r="J1398" i="21"/>
  <c r="J396" i="21"/>
  <c r="J388" i="21"/>
  <c r="J380" i="21"/>
  <c r="J374" i="21"/>
  <c r="J362" i="21"/>
  <c r="J354" i="21"/>
  <c r="J346" i="21"/>
  <c r="J339" i="21"/>
  <c r="J327" i="21"/>
  <c r="J317" i="21"/>
  <c r="J309" i="21"/>
  <c r="J301" i="21"/>
  <c r="J6751" i="21"/>
  <c r="J6726" i="21"/>
  <c r="J6698" i="21"/>
  <c r="J6662" i="21"/>
  <c r="J6610" i="21"/>
  <c r="J6601" i="21"/>
  <c r="J6593" i="21"/>
  <c r="J6579" i="21"/>
  <c r="J6561" i="21"/>
  <c r="J6551" i="21"/>
  <c r="J6436" i="21"/>
  <c r="J6418" i="21"/>
  <c r="J6360" i="21"/>
  <c r="J6352" i="21"/>
  <c r="J6344" i="21"/>
  <c r="J6276" i="21"/>
  <c r="J6152" i="21"/>
  <c r="J6132" i="21"/>
  <c r="J6114" i="21"/>
  <c r="J6084" i="21"/>
  <c r="J6074" i="21"/>
  <c r="J6056" i="21"/>
  <c r="J6042" i="21"/>
  <c r="J6028" i="21"/>
  <c r="J5560" i="21"/>
  <c r="J5455" i="21"/>
  <c r="J5446" i="21"/>
  <c r="J4901" i="21"/>
  <c r="J4895" i="21"/>
  <c r="J4891" i="21"/>
  <c r="J4883" i="21"/>
  <c r="J4877" i="21"/>
  <c r="J4871" i="21"/>
  <c r="J4862" i="21"/>
  <c r="J4854" i="21"/>
  <c r="J4848" i="21"/>
  <c r="J4844" i="21"/>
  <c r="J4837" i="21"/>
  <c r="J4830" i="21"/>
  <c r="J4822" i="21"/>
  <c r="J4814" i="21"/>
  <c r="J4810" i="21"/>
  <c r="J4802" i="21"/>
  <c r="J4793" i="21"/>
  <c r="J4787" i="21"/>
  <c r="J4779" i="21"/>
  <c r="J4773" i="21"/>
  <c r="J4768" i="21"/>
  <c r="J4763" i="21"/>
  <c r="J4757" i="21"/>
  <c r="J4752" i="21"/>
  <c r="J4746" i="21"/>
  <c r="J4736" i="21"/>
  <c r="J4730" i="21"/>
  <c r="J4725" i="21"/>
  <c r="J4720" i="21"/>
  <c r="J4715" i="21"/>
  <c r="J4709" i="21"/>
  <c r="J4705" i="21"/>
  <c r="J4701" i="21"/>
  <c r="J4663" i="21"/>
  <c r="J4533" i="21"/>
  <c r="J3880" i="21"/>
  <c r="J3831" i="21"/>
  <c r="J3820" i="21"/>
  <c r="J3602" i="21"/>
  <c r="J3524" i="21"/>
  <c r="J3381" i="21"/>
  <c r="J2838" i="21"/>
  <c r="J2834" i="21"/>
  <c r="J2751" i="21"/>
  <c r="J2747" i="21"/>
  <c r="J2743" i="21"/>
  <c r="J2653" i="21"/>
  <c r="J2523" i="21"/>
  <c r="J2517" i="21"/>
  <c r="J2511" i="21"/>
  <c r="J2507" i="21"/>
  <c r="J2502" i="21"/>
  <c r="J2498" i="21"/>
  <c r="J2391" i="21"/>
  <c r="J2387" i="21"/>
  <c r="J2380" i="21"/>
  <c r="J2162" i="21"/>
  <c r="J2146" i="21"/>
  <c r="J2137" i="21"/>
  <c r="J2079" i="21"/>
  <c r="J2069" i="21"/>
  <c r="J2065" i="21"/>
  <c r="J1938" i="21"/>
  <c r="J1933" i="21"/>
  <c r="J1929" i="21"/>
  <c r="J1924" i="21"/>
  <c r="J1920" i="21"/>
  <c r="J1914" i="21"/>
  <c r="J1862" i="21"/>
  <c r="J1858" i="21"/>
  <c r="J1854" i="21"/>
  <c r="J1850" i="21"/>
  <c r="J1844" i="21"/>
  <c r="J1840" i="21"/>
  <c r="J1836" i="21"/>
  <c r="J1831" i="21"/>
  <c r="J1824" i="21"/>
  <c r="J1819" i="21"/>
  <c r="J1814" i="21"/>
  <c r="J1602" i="21"/>
  <c r="J1483" i="21"/>
  <c r="J1461" i="21"/>
  <c r="J1401" i="21"/>
  <c r="J399" i="21"/>
  <c r="J391" i="21"/>
  <c r="J383" i="21"/>
  <c r="J373" i="21"/>
  <c r="J363" i="21"/>
  <c r="J355" i="21"/>
  <c r="J347" i="21"/>
  <c r="J338" i="21"/>
  <c r="J330" i="21"/>
  <c r="J320" i="21"/>
  <c r="J312" i="21"/>
  <c r="J304" i="21"/>
  <c r="J78" i="21"/>
  <c r="J5096" i="21"/>
  <c r="J5075" i="21"/>
  <c r="J5069" i="21"/>
  <c r="J5053" i="21"/>
  <c r="J2763" i="21"/>
  <c r="J5098" i="21"/>
  <c r="J5079" i="21"/>
  <c r="J5066" i="21"/>
  <c r="J5051" i="21"/>
  <c r="J1050" i="21"/>
  <c r="J5097" i="21"/>
  <c r="J5078" i="21"/>
  <c r="J5063" i="21"/>
  <c r="J5054" i="21"/>
  <c r="J2024" i="21"/>
  <c r="J1967" i="21"/>
  <c r="J1963" i="21"/>
  <c r="J1462" i="21"/>
  <c r="J688" i="21"/>
  <c r="J3872" i="21"/>
  <c r="J3860" i="21"/>
  <c r="J3854" i="21"/>
  <c r="J1980" i="21"/>
  <c r="J1960" i="21"/>
  <c r="J1455" i="21"/>
  <c r="J692" i="21"/>
  <c r="J613" i="21"/>
  <c r="J1691" i="21"/>
  <c r="J1670" i="21"/>
  <c r="J1664" i="21"/>
  <c r="J1654" i="21"/>
  <c r="J1616" i="21"/>
  <c r="J1085" i="21"/>
  <c r="J648" i="21"/>
  <c r="J629" i="21"/>
  <c r="J619" i="21"/>
  <c r="J1671" i="21"/>
  <c r="J1656" i="21"/>
  <c r="J647" i="21"/>
  <c r="J621" i="21"/>
  <c r="J1550" i="21"/>
  <c r="J1525" i="21"/>
  <c r="J40" i="21"/>
  <c r="J5248" i="21"/>
  <c r="J298" i="21"/>
  <c r="J36" i="21"/>
  <c r="J1018" i="21"/>
  <c r="J85" i="21"/>
  <c r="J4416" i="21"/>
  <c r="J4412" i="21"/>
  <c r="J4408" i="21"/>
  <c r="J4404" i="21"/>
  <c r="J4400" i="21"/>
  <c r="J4393" i="21"/>
  <c r="J4385" i="21"/>
  <c r="J4381" i="21"/>
  <c r="J4377" i="21"/>
  <c r="J4373" i="21"/>
  <c r="J4369" i="21"/>
  <c r="J4364" i="21"/>
  <c r="J4360" i="21"/>
  <c r="J4352" i="21"/>
  <c r="J4348" i="21"/>
  <c r="J4344" i="21"/>
  <c r="J4322" i="21"/>
  <c r="J4318" i="21"/>
  <c r="J4313" i="21"/>
  <c r="J4305" i="21"/>
  <c r="J4301" i="21"/>
  <c r="J567" i="21"/>
  <c r="J564" i="21"/>
  <c r="J484" i="21"/>
  <c r="J480" i="21"/>
  <c r="J476" i="21"/>
  <c r="J472" i="21"/>
  <c r="J468" i="21"/>
  <c r="J366" i="21"/>
  <c r="J249" i="21"/>
  <c r="J124" i="21"/>
  <c r="J6739" i="21"/>
  <c r="J6731" i="21"/>
  <c r="J6714" i="21"/>
  <c r="J6706" i="21"/>
  <c r="J6694" i="21"/>
  <c r="J6682" i="21"/>
  <c r="J6672" i="21"/>
  <c r="J6664" i="21"/>
  <c r="J6650" i="21"/>
  <c r="J6642" i="21"/>
  <c r="J6632" i="21"/>
  <c r="J6624" i="21"/>
  <c r="J6616" i="21"/>
  <c r="J6585" i="21"/>
  <c r="J6567" i="21"/>
  <c r="J6549" i="21"/>
  <c r="J6537" i="21"/>
  <c r="J6529" i="21"/>
  <c r="J6521" i="21"/>
  <c r="J6513" i="21"/>
  <c r="J6505" i="21"/>
  <c r="J6497" i="21"/>
  <c r="J6488" i="21"/>
  <c r="J6480" i="21"/>
  <c r="J6472" i="21"/>
  <c r="J6464" i="21"/>
  <c r="J6456" i="21"/>
  <c r="J6448" i="21"/>
  <c r="J6440" i="21"/>
  <c r="J6422" i="21"/>
  <c r="J6412" i="21"/>
  <c r="J6404" i="21"/>
  <c r="J6396" i="21"/>
  <c r="J6386" i="21"/>
  <c r="J6378" i="21"/>
  <c r="J6368" i="21"/>
  <c r="J6338" i="21"/>
  <c r="J6330" i="21"/>
  <c r="J6322" i="21"/>
  <c r="J6314" i="21"/>
  <c r="J6306" i="21"/>
  <c r="J6298" i="21"/>
  <c r="J6290" i="21"/>
  <c r="J6282" i="21"/>
  <c r="J6264" i="21"/>
  <c r="J6256" i="21"/>
  <c r="J6248" i="21"/>
  <c r="J6238" i="21"/>
  <c r="J6230" i="21"/>
  <c r="J6222" i="21"/>
  <c r="J6214" i="21"/>
  <c r="J6206" i="21"/>
  <c r="J6198" i="21"/>
  <c r="J6190" i="21"/>
  <c r="J6182" i="21"/>
  <c r="J6174" i="21"/>
  <c r="J6166" i="21"/>
  <c r="J6158" i="21"/>
  <c r="J6148" i="21"/>
  <c r="J6140" i="21"/>
  <c r="J6118" i="21"/>
  <c r="J6108" i="21"/>
  <c r="J6100" i="21"/>
  <c r="J6088" i="21"/>
  <c r="J6066" i="21"/>
  <c r="J6046" i="21"/>
  <c r="J6030" i="21"/>
  <c r="J6018" i="21"/>
  <c r="J5555" i="21"/>
  <c r="J5547" i="21"/>
  <c r="J5456" i="21"/>
  <c r="J5030" i="21"/>
  <c r="J5023" i="21"/>
  <c r="J4899" i="21"/>
  <c r="J4884" i="21"/>
  <c r="J4872" i="21"/>
  <c r="J4864" i="21"/>
  <c r="J4858" i="21"/>
  <c r="J4842" i="21"/>
  <c r="J4832" i="21"/>
  <c r="J4825" i="21"/>
  <c r="J4816" i="21"/>
  <c r="J4807" i="21"/>
  <c r="J4797" i="21"/>
  <c r="J4788" i="21"/>
  <c r="J4781" i="21"/>
  <c r="J4767" i="21"/>
  <c r="J4749" i="21"/>
  <c r="J4741" i="21"/>
  <c r="J4734" i="21"/>
  <c r="J4718" i="21"/>
  <c r="J4535" i="21"/>
  <c r="J3879" i="21"/>
  <c r="J3834" i="21"/>
  <c r="J3555" i="21"/>
  <c r="J3516" i="21"/>
  <c r="J3386" i="21"/>
  <c r="J2828" i="21"/>
  <c r="J2819" i="21"/>
  <c r="J2803" i="21"/>
  <c r="J2795" i="21"/>
  <c r="J2754" i="21"/>
  <c r="J2652" i="21"/>
  <c r="J2647" i="21"/>
  <c r="J2643" i="21"/>
  <c r="J2639" i="21"/>
  <c r="J2521" i="21"/>
  <c r="J2503" i="21"/>
  <c r="J2386" i="21"/>
  <c r="J2161" i="21"/>
  <c r="J2157" i="21"/>
  <c r="J2151" i="21"/>
  <c r="J2145" i="21"/>
  <c r="J2138" i="21"/>
  <c r="J2098" i="21"/>
  <c r="J2092" i="21"/>
  <c r="J2088" i="21"/>
  <c r="J2084" i="21"/>
  <c r="J2074" i="21"/>
  <c r="J2061" i="21"/>
  <c r="J2019" i="21"/>
  <c r="J1974" i="21"/>
  <c r="J1917" i="21"/>
  <c r="J1829" i="21"/>
  <c r="J1601" i="21"/>
  <c r="J1595" i="21"/>
  <c r="J1471" i="21"/>
  <c r="J402" i="21"/>
  <c r="J395" i="21"/>
  <c r="J386" i="21"/>
  <c r="J379" i="21"/>
  <c r="J372" i="21"/>
  <c r="J360" i="21"/>
  <c r="J353" i="21"/>
  <c r="J344" i="21"/>
  <c r="J337" i="21"/>
  <c r="J326" i="21"/>
  <c r="J315" i="21"/>
  <c r="J307" i="21"/>
  <c r="J300" i="21"/>
  <c r="J6749" i="21"/>
  <c r="J6722" i="21"/>
  <c r="J6688" i="21"/>
  <c r="J6660" i="21"/>
  <c r="J6607" i="21"/>
  <c r="J6599" i="21"/>
  <c r="J6589" i="21"/>
  <c r="J6575" i="21"/>
  <c r="J6557" i="21"/>
  <c r="J6541" i="21"/>
  <c r="J6434" i="21"/>
  <c r="J6394" i="21"/>
  <c r="J6358" i="21"/>
  <c r="J6350" i="21"/>
  <c r="J6342" i="21"/>
  <c r="J6270" i="21"/>
  <c r="J6138" i="21"/>
  <c r="J6130" i="21"/>
  <c r="J6094" i="21"/>
  <c r="J6082" i="21"/>
  <c r="J6070" i="21"/>
  <c r="J6052" i="21"/>
  <c r="J6038" i="21"/>
  <c r="J6022" i="21"/>
  <c r="J5558" i="21"/>
  <c r="J5453" i="21"/>
  <c r="J5445" i="21"/>
  <c r="J4898" i="21"/>
  <c r="J4894" i="21"/>
  <c r="J4888" i="21"/>
  <c r="J4880" i="21"/>
  <c r="J4875" i="21"/>
  <c r="J4870" i="21"/>
  <c r="J4861" i="21"/>
  <c r="J4853" i="21"/>
  <c r="J4847" i="21"/>
  <c r="J4843" i="21"/>
  <c r="J4836" i="21"/>
  <c r="J4828" i="21"/>
  <c r="J4821" i="21"/>
  <c r="J4813" i="21"/>
  <c r="J4809" i="21"/>
  <c r="J4799" i="21"/>
  <c r="J4792" i="21"/>
  <c r="J4786" i="21"/>
  <c r="J4778" i="21"/>
  <c r="J4771" i="21"/>
  <c r="J4766" i="21"/>
  <c r="J4760" i="21"/>
  <c r="J4756" i="21"/>
  <c r="J4751" i="21"/>
  <c r="J4745" i="21"/>
  <c r="J4735" i="21"/>
  <c r="J4729" i="21"/>
  <c r="J4724" i="21"/>
  <c r="J4719" i="21"/>
  <c r="J4714" i="21"/>
  <c r="J4708" i="21"/>
  <c r="J4704" i="21"/>
  <c r="J4670" i="21"/>
  <c r="J4662" i="21"/>
  <c r="J4532" i="21"/>
  <c r="J3839" i="21"/>
  <c r="J3829" i="21"/>
  <c r="J3819" i="21"/>
  <c r="J3560" i="21"/>
  <c r="J3523" i="21"/>
  <c r="J3380" i="21"/>
  <c r="J2837" i="21"/>
  <c r="J2833" i="21"/>
  <c r="J2750" i="21"/>
  <c r="J2746" i="21"/>
  <c r="J2742" i="21"/>
  <c r="J2649" i="21"/>
  <c r="J2522" i="21"/>
  <c r="J2516" i="21"/>
  <c r="J2510" i="21"/>
  <c r="J2506" i="21"/>
  <c r="J2501" i="21"/>
  <c r="J2497" i="21"/>
  <c r="J2390" i="21"/>
  <c r="J2383" i="21"/>
  <c r="J2379" i="21"/>
  <c r="J2156" i="21"/>
  <c r="J2144" i="21"/>
  <c r="J2134" i="21"/>
  <c r="J2075" i="21"/>
  <c r="J2068" i="21"/>
  <c r="J2062" i="21"/>
  <c r="J1937" i="21"/>
  <c r="J1932" i="21"/>
  <c r="J1928" i="21"/>
  <c r="J1923" i="21"/>
  <c r="J1918" i="21"/>
  <c r="J1913" i="21"/>
  <c r="J1861" i="21"/>
  <c r="J1857" i="21"/>
  <c r="J1853" i="21"/>
  <c r="J1849" i="21"/>
  <c r="J1843" i="21"/>
  <c r="J1839" i="21"/>
  <c r="J1835" i="21"/>
  <c r="J1830" i="21"/>
  <c r="J1823" i="21"/>
  <c r="J1818" i="21"/>
  <c r="J1815" i="21"/>
  <c r="J1599" i="21"/>
  <c r="J1466" i="21"/>
  <c r="J1460" i="21"/>
  <c r="J1399" i="21"/>
  <c r="J397" i="21"/>
  <c r="J389" i="21"/>
  <c r="J381" i="21"/>
  <c r="J370" i="21"/>
  <c r="J361" i="21"/>
  <c r="J352" i="21"/>
  <c r="J345" i="21"/>
  <c r="J336" i="21"/>
  <c r="J328" i="21"/>
  <c r="J318" i="21"/>
  <c r="J310" i="21"/>
  <c r="J302" i="21"/>
  <c r="J5094" i="21"/>
  <c r="J5074" i="21"/>
  <c r="J5064" i="21"/>
  <c r="J5050" i="21"/>
  <c r="J2761" i="21"/>
  <c r="J5095" i="21"/>
  <c r="J5076" i="21"/>
  <c r="J5060" i="21"/>
  <c r="J5048" i="21"/>
  <c r="J1048" i="21"/>
  <c r="J5093" i="21"/>
  <c r="J5071" i="21"/>
  <c r="J5062" i="21"/>
  <c r="J5052" i="21"/>
  <c r="J2023" i="21"/>
  <c r="J1966" i="21"/>
  <c r="J1962" i="21"/>
  <c r="J1046" i="21"/>
  <c r="J3886" i="21"/>
  <c r="J3868" i="21"/>
  <c r="J3859" i="21"/>
  <c r="J2736" i="21"/>
  <c r="J1979" i="21"/>
  <c r="J1959" i="21"/>
  <c r="J1045" i="21"/>
  <c r="J691" i="21"/>
  <c r="J612" i="21"/>
  <c r="J1690" i="21"/>
  <c r="J1667" i="21"/>
  <c r="J1663" i="21"/>
  <c r="J1648" i="21"/>
  <c r="J1615" i="21"/>
  <c r="J1084" i="21"/>
  <c r="J645" i="21"/>
  <c r="J627" i="21"/>
  <c r="J618" i="21"/>
  <c r="J1669" i="21"/>
  <c r="J1649" i="21"/>
  <c r="J646" i="21"/>
  <c r="J615" i="21"/>
  <c r="J1549" i="21"/>
  <c r="J1524" i="21"/>
  <c r="J39" i="21"/>
  <c r="J715" i="21"/>
  <c r="J297" i="21"/>
  <c r="J725" i="21"/>
  <c r="J83" i="21"/>
  <c r="J4415" i="21"/>
  <c r="J4411" i="21"/>
  <c r="J4407" i="21"/>
  <c r="J4403" i="21"/>
  <c r="J4399" i="21"/>
  <c r="J4392" i="21"/>
  <c r="J4384" i="21"/>
  <c r="J4380" i="21"/>
  <c r="J4376" i="21"/>
  <c r="J4372" i="21"/>
  <c r="J4368" i="21"/>
  <c r="J4363" i="21"/>
  <c r="J4359" i="21"/>
  <c r="J4351" i="21"/>
  <c r="J4347" i="21"/>
  <c r="J4343" i="21"/>
  <c r="J4321" i="21"/>
  <c r="J4317" i="21"/>
  <c r="J4312" i="21"/>
  <c r="J4304" i="21"/>
  <c r="J4300" i="21"/>
  <c r="J5262" i="21"/>
  <c r="J4395" i="21"/>
  <c r="J4356" i="21"/>
  <c r="J4390" i="21"/>
  <c r="J4355" i="21"/>
  <c r="J4358" i="21"/>
  <c r="J4394" i="21"/>
  <c r="J4357" i="21"/>
  <c r="J4307" i="21"/>
  <c r="I94" i="2"/>
  <c r="I95" i="2"/>
  <c r="I96" i="2"/>
  <c r="I97" i="2"/>
  <c r="I98" i="2"/>
  <c r="I99" i="2"/>
  <c r="I100" i="2"/>
  <c r="O1106" i="26"/>
  <c r="N1106" i="26"/>
  <c r="M1106" i="26"/>
  <c r="L1106" i="26"/>
  <c r="K1106" i="26"/>
  <c r="J1106" i="26"/>
  <c r="I1106" i="26"/>
  <c r="H1106" i="26"/>
  <c r="O1105" i="26"/>
  <c r="N1105" i="26"/>
  <c r="M1105" i="26"/>
  <c r="L1105" i="26"/>
  <c r="K1105" i="26"/>
  <c r="J1105" i="26"/>
  <c r="I1105" i="26"/>
  <c r="H1105" i="26"/>
  <c r="O1104" i="26"/>
  <c r="N1104" i="26"/>
  <c r="M1104" i="26"/>
  <c r="L1104" i="26"/>
  <c r="K1104" i="26"/>
  <c r="J1104" i="26"/>
  <c r="I1104" i="26"/>
  <c r="H1104" i="26"/>
  <c r="O1103" i="26"/>
  <c r="N1103" i="26"/>
  <c r="M1103" i="26"/>
  <c r="L1103" i="26"/>
  <c r="K1103" i="26"/>
  <c r="J1103" i="26"/>
  <c r="I1103" i="26"/>
  <c r="H1103" i="26"/>
  <c r="O1102" i="26"/>
  <c r="N1102" i="26"/>
  <c r="M1102" i="26"/>
  <c r="L1102" i="26"/>
  <c r="K1102" i="26"/>
  <c r="J1102" i="26"/>
  <c r="I1102" i="26"/>
  <c r="H1102" i="26"/>
  <c r="O1101" i="26"/>
  <c r="N1101" i="26"/>
  <c r="M1101" i="26"/>
  <c r="L1101" i="26"/>
  <c r="K1101" i="26"/>
  <c r="J1101" i="26"/>
  <c r="I1101" i="26"/>
  <c r="H1101" i="26"/>
  <c r="O1100" i="26"/>
  <c r="N1100" i="26"/>
  <c r="M1100" i="26"/>
  <c r="L1100" i="26"/>
  <c r="K1100" i="26"/>
  <c r="J1100" i="26"/>
  <c r="I1100" i="26"/>
  <c r="H1100" i="26"/>
  <c r="O1099" i="26"/>
  <c r="N1099" i="26"/>
  <c r="M1099" i="26"/>
  <c r="L1099" i="26"/>
  <c r="K1099" i="26"/>
  <c r="J1099" i="26"/>
  <c r="I1099" i="26"/>
  <c r="H1099" i="26"/>
  <c r="O1098" i="26"/>
  <c r="N1098" i="26"/>
  <c r="M1098" i="26"/>
  <c r="L1098" i="26"/>
  <c r="K1098" i="26"/>
  <c r="J1098" i="26"/>
  <c r="I1098" i="26"/>
  <c r="H1098" i="26"/>
  <c r="O1097" i="26"/>
  <c r="N1097" i="26"/>
  <c r="M1097" i="26"/>
  <c r="L1097" i="26"/>
  <c r="K1097" i="26"/>
  <c r="J1097" i="26"/>
  <c r="I1097" i="26"/>
  <c r="H1097" i="26"/>
  <c r="O1096" i="26"/>
  <c r="N1096" i="26"/>
  <c r="M1096" i="26"/>
  <c r="L1096" i="26"/>
  <c r="K1096" i="26"/>
  <c r="J1096" i="26"/>
  <c r="I1096" i="26"/>
  <c r="H1096" i="26"/>
  <c r="O1095" i="26"/>
  <c r="N1095" i="26"/>
  <c r="M1095" i="26"/>
  <c r="L1095" i="26"/>
  <c r="K1095" i="26"/>
  <c r="J1095" i="26"/>
  <c r="I1095" i="26"/>
  <c r="H1095" i="26"/>
  <c r="O1094" i="26"/>
  <c r="N1094" i="26"/>
  <c r="M1094" i="26"/>
  <c r="L1094" i="26"/>
  <c r="K1094" i="26"/>
  <c r="J1094" i="26"/>
  <c r="I1094" i="26"/>
  <c r="H1094" i="26"/>
  <c r="O1093" i="26"/>
  <c r="N1093" i="26"/>
  <c r="M1093" i="26"/>
  <c r="L1093" i="26"/>
  <c r="K1093" i="26"/>
  <c r="J1093" i="26"/>
  <c r="I1093" i="26"/>
  <c r="H1093" i="26"/>
  <c r="O1092" i="26"/>
  <c r="N1092" i="26"/>
  <c r="M1092" i="26"/>
  <c r="L1092" i="26"/>
  <c r="K1092" i="26"/>
  <c r="J1092" i="26"/>
  <c r="I1092" i="26"/>
  <c r="H1092" i="26"/>
  <c r="O1091" i="26"/>
  <c r="N1091" i="26"/>
  <c r="M1091" i="26"/>
  <c r="L1091" i="26"/>
  <c r="K1091" i="26"/>
  <c r="J1091" i="26"/>
  <c r="I1091" i="26"/>
  <c r="H1091" i="26"/>
  <c r="O1090" i="26"/>
  <c r="N1090" i="26"/>
  <c r="M1090" i="26"/>
  <c r="L1090" i="26"/>
  <c r="K1090" i="26"/>
  <c r="J1090" i="26"/>
  <c r="I1090" i="26"/>
  <c r="H1090" i="26"/>
  <c r="O1089" i="26"/>
  <c r="N1089" i="26"/>
  <c r="M1089" i="26"/>
  <c r="L1089" i="26"/>
  <c r="K1089" i="26"/>
  <c r="J1089" i="26"/>
  <c r="I1089" i="26"/>
  <c r="H1089" i="26"/>
  <c r="O1088" i="26"/>
  <c r="N1088" i="26"/>
  <c r="M1088" i="26"/>
  <c r="L1088" i="26"/>
  <c r="K1088" i="26"/>
  <c r="J1088" i="26"/>
  <c r="I1088" i="26"/>
  <c r="H1088" i="26"/>
  <c r="O1087" i="26"/>
  <c r="N1087" i="26"/>
  <c r="M1087" i="26"/>
  <c r="L1087" i="26"/>
  <c r="K1087" i="26"/>
  <c r="J1087" i="26"/>
  <c r="I1087" i="26"/>
  <c r="H1087" i="26"/>
  <c r="O1086" i="26"/>
  <c r="N1086" i="26"/>
  <c r="M1086" i="26"/>
  <c r="L1086" i="26"/>
  <c r="K1086" i="26"/>
  <c r="J1086" i="26"/>
  <c r="I1086" i="26"/>
  <c r="H1086" i="26"/>
  <c r="O1085" i="26"/>
  <c r="N1085" i="26"/>
  <c r="M1085" i="26"/>
  <c r="L1085" i="26"/>
  <c r="K1085" i="26"/>
  <c r="J1085" i="26"/>
  <c r="I1085" i="26"/>
  <c r="H1085" i="26"/>
  <c r="O1084" i="26"/>
  <c r="N1084" i="26"/>
  <c r="M1084" i="26"/>
  <c r="L1084" i="26"/>
  <c r="K1084" i="26"/>
  <c r="J1084" i="26"/>
  <c r="I1084" i="26"/>
  <c r="H1084" i="26"/>
  <c r="O1083" i="26"/>
  <c r="N1083" i="26"/>
  <c r="M1083" i="26"/>
  <c r="L1083" i="26"/>
  <c r="K1083" i="26"/>
  <c r="J1083" i="26"/>
  <c r="I1083" i="26"/>
  <c r="H1083" i="26"/>
  <c r="O1082" i="26"/>
  <c r="N1082" i="26"/>
  <c r="M1082" i="26"/>
  <c r="L1082" i="26"/>
  <c r="K1082" i="26"/>
  <c r="J1082" i="26"/>
  <c r="I1082" i="26"/>
  <c r="H1082" i="26"/>
  <c r="O1081" i="26"/>
  <c r="N1081" i="26"/>
  <c r="M1081" i="26"/>
  <c r="L1081" i="26"/>
  <c r="K1081" i="26"/>
  <c r="J1081" i="26"/>
  <c r="I1081" i="26"/>
  <c r="H1081" i="26"/>
  <c r="O1080" i="26"/>
  <c r="N1080" i="26"/>
  <c r="M1080" i="26"/>
  <c r="L1080" i="26"/>
  <c r="K1080" i="26"/>
  <c r="J1080" i="26"/>
  <c r="I1080" i="26"/>
  <c r="H1080" i="26"/>
  <c r="O1079" i="26"/>
  <c r="N1079" i="26"/>
  <c r="M1079" i="26"/>
  <c r="L1079" i="26"/>
  <c r="K1079" i="26"/>
  <c r="J1079" i="26"/>
  <c r="I1079" i="26"/>
  <c r="H1079" i="26"/>
  <c r="O1078" i="26"/>
  <c r="N1078" i="26"/>
  <c r="M1078" i="26"/>
  <c r="L1078" i="26"/>
  <c r="K1078" i="26"/>
  <c r="J1078" i="26"/>
  <c r="I1078" i="26"/>
  <c r="H1078" i="26"/>
  <c r="O1077" i="26"/>
  <c r="N1077" i="26"/>
  <c r="M1077" i="26"/>
  <c r="L1077" i="26"/>
  <c r="K1077" i="26"/>
  <c r="J1077" i="26"/>
  <c r="I1077" i="26"/>
  <c r="H1077" i="26"/>
  <c r="O1076" i="26"/>
  <c r="N1076" i="26"/>
  <c r="M1076" i="26"/>
  <c r="L1076" i="26"/>
  <c r="K1076" i="26"/>
  <c r="J1076" i="26"/>
  <c r="I1076" i="26"/>
  <c r="H1076" i="26"/>
  <c r="O1075" i="26"/>
  <c r="N1075" i="26"/>
  <c r="M1075" i="26"/>
  <c r="L1075" i="26"/>
  <c r="K1075" i="26"/>
  <c r="J1075" i="26"/>
  <c r="I1075" i="26"/>
  <c r="H1075" i="26"/>
  <c r="O1074" i="26"/>
  <c r="N1074" i="26"/>
  <c r="M1074" i="26"/>
  <c r="L1074" i="26"/>
  <c r="K1074" i="26"/>
  <c r="J1074" i="26"/>
  <c r="I1074" i="26"/>
  <c r="H1074" i="26"/>
  <c r="O1073" i="26"/>
  <c r="N1073" i="26"/>
  <c r="M1073" i="26"/>
  <c r="L1073" i="26"/>
  <c r="K1073" i="26"/>
  <c r="J1073" i="26"/>
  <c r="I1073" i="26"/>
  <c r="H1073" i="26"/>
  <c r="O1072" i="26"/>
  <c r="N1072" i="26"/>
  <c r="M1072" i="26"/>
  <c r="L1072" i="26"/>
  <c r="K1072" i="26"/>
  <c r="J1072" i="26"/>
  <c r="I1072" i="26"/>
  <c r="H1072" i="26"/>
  <c r="O1071" i="26"/>
  <c r="N1071" i="26"/>
  <c r="M1071" i="26"/>
  <c r="L1071" i="26"/>
  <c r="K1071" i="26"/>
  <c r="J1071" i="26"/>
  <c r="I1071" i="26"/>
  <c r="H1071" i="26"/>
  <c r="O1070" i="26"/>
  <c r="N1070" i="26"/>
  <c r="M1070" i="26"/>
  <c r="L1070" i="26"/>
  <c r="K1070" i="26"/>
  <c r="J1070" i="26"/>
  <c r="I1070" i="26"/>
  <c r="H1070" i="26"/>
  <c r="O1069" i="26"/>
  <c r="N1069" i="26"/>
  <c r="M1069" i="26"/>
  <c r="L1069" i="26"/>
  <c r="K1069" i="26"/>
  <c r="J1069" i="26"/>
  <c r="I1069" i="26"/>
  <c r="H1069" i="26"/>
  <c r="O1068" i="26"/>
  <c r="N1068" i="26"/>
  <c r="M1068" i="26"/>
  <c r="L1068" i="26"/>
  <c r="K1068" i="26"/>
  <c r="J1068" i="26"/>
  <c r="I1068" i="26"/>
  <c r="H1068" i="26"/>
  <c r="O1067" i="26"/>
  <c r="N1067" i="26"/>
  <c r="M1067" i="26"/>
  <c r="L1067" i="26"/>
  <c r="K1067" i="26"/>
  <c r="J1067" i="26"/>
  <c r="I1067" i="26"/>
  <c r="H1067" i="26"/>
  <c r="O1066" i="26"/>
  <c r="N1066" i="26"/>
  <c r="M1066" i="26"/>
  <c r="L1066" i="26"/>
  <c r="K1066" i="26"/>
  <c r="J1066" i="26"/>
  <c r="I1066" i="26"/>
  <c r="H1066" i="26"/>
  <c r="O1065" i="26"/>
  <c r="N1065" i="26"/>
  <c r="M1065" i="26"/>
  <c r="L1065" i="26"/>
  <c r="K1065" i="26"/>
  <c r="J1065" i="26"/>
  <c r="I1065" i="26"/>
  <c r="H1065" i="26"/>
  <c r="O1064" i="26"/>
  <c r="N1064" i="26"/>
  <c r="M1064" i="26"/>
  <c r="L1064" i="26"/>
  <c r="K1064" i="26"/>
  <c r="J1064" i="26"/>
  <c r="I1064" i="26"/>
  <c r="H1064" i="26"/>
  <c r="O1063" i="26"/>
  <c r="N1063" i="26"/>
  <c r="M1063" i="26"/>
  <c r="L1063" i="26"/>
  <c r="K1063" i="26"/>
  <c r="J1063" i="26"/>
  <c r="I1063" i="26"/>
  <c r="H1063" i="26"/>
  <c r="O1062" i="26"/>
  <c r="N1062" i="26"/>
  <c r="M1062" i="26"/>
  <c r="L1062" i="26"/>
  <c r="K1062" i="26"/>
  <c r="J1062" i="26"/>
  <c r="I1062" i="26"/>
  <c r="H1062" i="26"/>
  <c r="O1061" i="26"/>
  <c r="N1061" i="26"/>
  <c r="M1061" i="26"/>
  <c r="L1061" i="26"/>
  <c r="K1061" i="26"/>
  <c r="J1061" i="26"/>
  <c r="I1061" i="26"/>
  <c r="H1061" i="26"/>
  <c r="O1060" i="26"/>
  <c r="N1060" i="26"/>
  <c r="M1060" i="26"/>
  <c r="L1060" i="26"/>
  <c r="K1060" i="26"/>
  <c r="J1060" i="26"/>
  <c r="I1060" i="26"/>
  <c r="H1060" i="26"/>
  <c r="O1059" i="26"/>
  <c r="N1059" i="26"/>
  <c r="M1059" i="26"/>
  <c r="L1059" i="26"/>
  <c r="K1059" i="26"/>
  <c r="J1059" i="26"/>
  <c r="I1059" i="26"/>
  <c r="H1059" i="26"/>
  <c r="O1058" i="26"/>
  <c r="N1058" i="26"/>
  <c r="M1058" i="26"/>
  <c r="L1058" i="26"/>
  <c r="K1058" i="26"/>
  <c r="J1058" i="26"/>
  <c r="I1058" i="26"/>
  <c r="H1058" i="26"/>
  <c r="O1057" i="26"/>
  <c r="N1057" i="26"/>
  <c r="M1057" i="26"/>
  <c r="L1057" i="26"/>
  <c r="K1057" i="26"/>
  <c r="J1057" i="26"/>
  <c r="I1057" i="26"/>
  <c r="H1057" i="26"/>
  <c r="O1056" i="26"/>
  <c r="N1056" i="26"/>
  <c r="M1056" i="26"/>
  <c r="L1056" i="26"/>
  <c r="K1056" i="26"/>
  <c r="J1056" i="26"/>
  <c r="I1056" i="26"/>
  <c r="H1056" i="26"/>
  <c r="O1055" i="26"/>
  <c r="N1055" i="26"/>
  <c r="M1055" i="26"/>
  <c r="L1055" i="26"/>
  <c r="K1055" i="26"/>
  <c r="J1055" i="26"/>
  <c r="I1055" i="26"/>
  <c r="H1055" i="26"/>
  <c r="O1054" i="26"/>
  <c r="N1054" i="26"/>
  <c r="M1054" i="26"/>
  <c r="L1054" i="26"/>
  <c r="K1054" i="26"/>
  <c r="J1054" i="26"/>
  <c r="I1054" i="26"/>
  <c r="H1054" i="26"/>
  <c r="O1053" i="26"/>
  <c r="N1053" i="26"/>
  <c r="M1053" i="26"/>
  <c r="L1053" i="26"/>
  <c r="K1053" i="26"/>
  <c r="J1053" i="26"/>
  <c r="I1053" i="26"/>
  <c r="H1053" i="26"/>
  <c r="O1052" i="26"/>
  <c r="N1052" i="26"/>
  <c r="M1052" i="26"/>
  <c r="L1052" i="26"/>
  <c r="K1052" i="26"/>
  <c r="J1052" i="26"/>
  <c r="I1052" i="26"/>
  <c r="H1052" i="26"/>
  <c r="O1051" i="26"/>
  <c r="N1051" i="26"/>
  <c r="M1051" i="26"/>
  <c r="L1051" i="26"/>
  <c r="K1051" i="26"/>
  <c r="J1051" i="26"/>
  <c r="I1051" i="26"/>
  <c r="H1051" i="26"/>
  <c r="O1050" i="26"/>
  <c r="N1050" i="26"/>
  <c r="M1050" i="26"/>
  <c r="L1050" i="26"/>
  <c r="K1050" i="26"/>
  <c r="J1050" i="26"/>
  <c r="I1050" i="26"/>
  <c r="H1050" i="26"/>
  <c r="O1049" i="26"/>
  <c r="N1049" i="26"/>
  <c r="M1049" i="26"/>
  <c r="L1049" i="26"/>
  <c r="K1049" i="26"/>
  <c r="J1049" i="26"/>
  <c r="I1049" i="26"/>
  <c r="H1049" i="26"/>
  <c r="O1048" i="26"/>
  <c r="N1048" i="26"/>
  <c r="M1048" i="26"/>
  <c r="L1048" i="26"/>
  <c r="K1048" i="26"/>
  <c r="J1048" i="26"/>
  <c r="I1048" i="26"/>
  <c r="H1048" i="26"/>
  <c r="O1047" i="26"/>
  <c r="N1047" i="26"/>
  <c r="M1047" i="26"/>
  <c r="L1047" i="26"/>
  <c r="K1047" i="26"/>
  <c r="J1047" i="26"/>
  <c r="I1047" i="26"/>
  <c r="H1047" i="26"/>
  <c r="O1046" i="26"/>
  <c r="N1046" i="26"/>
  <c r="M1046" i="26"/>
  <c r="L1046" i="26"/>
  <c r="K1046" i="26"/>
  <c r="J1046" i="26"/>
  <c r="I1046" i="26"/>
  <c r="H1046" i="26"/>
  <c r="O1045" i="26"/>
  <c r="N1045" i="26"/>
  <c r="M1045" i="26"/>
  <c r="L1045" i="26"/>
  <c r="K1045" i="26"/>
  <c r="J1045" i="26"/>
  <c r="I1045" i="26"/>
  <c r="H1045" i="26"/>
  <c r="O1044" i="26"/>
  <c r="N1044" i="26"/>
  <c r="M1044" i="26"/>
  <c r="L1044" i="26"/>
  <c r="K1044" i="26"/>
  <c r="J1044" i="26"/>
  <c r="I1044" i="26"/>
  <c r="H1044" i="26"/>
  <c r="O1043" i="26"/>
  <c r="N1043" i="26"/>
  <c r="M1043" i="26"/>
  <c r="L1043" i="26"/>
  <c r="K1043" i="26"/>
  <c r="J1043" i="26"/>
  <c r="I1043" i="26"/>
  <c r="H1043" i="26"/>
  <c r="O1042" i="26"/>
  <c r="N1042" i="26"/>
  <c r="M1042" i="26"/>
  <c r="L1042" i="26"/>
  <c r="K1042" i="26"/>
  <c r="J1042" i="26"/>
  <c r="I1042" i="26"/>
  <c r="H1042" i="26"/>
  <c r="O1041" i="26"/>
  <c r="N1041" i="26"/>
  <c r="M1041" i="26"/>
  <c r="L1041" i="26"/>
  <c r="K1041" i="26"/>
  <c r="J1041" i="26"/>
  <c r="I1041" i="26"/>
  <c r="H1041" i="26"/>
  <c r="O1040" i="26"/>
  <c r="N1040" i="26"/>
  <c r="M1040" i="26"/>
  <c r="L1040" i="26"/>
  <c r="K1040" i="26"/>
  <c r="J1040" i="26"/>
  <c r="I1040" i="26"/>
  <c r="H1040" i="26"/>
  <c r="O1039" i="26"/>
  <c r="N1039" i="26"/>
  <c r="M1039" i="26"/>
  <c r="L1039" i="26"/>
  <c r="K1039" i="26"/>
  <c r="J1039" i="26"/>
  <c r="I1039" i="26"/>
  <c r="H1039" i="26"/>
  <c r="O1038" i="26"/>
  <c r="N1038" i="26"/>
  <c r="M1038" i="26"/>
  <c r="L1038" i="26"/>
  <c r="K1038" i="26"/>
  <c r="J1038" i="26"/>
  <c r="I1038" i="26"/>
  <c r="H1038" i="26"/>
  <c r="O1037" i="26"/>
  <c r="N1037" i="26"/>
  <c r="M1037" i="26"/>
  <c r="L1037" i="26"/>
  <c r="K1037" i="26"/>
  <c r="J1037" i="26"/>
  <c r="I1037" i="26"/>
  <c r="H1037" i="26"/>
  <c r="O1036" i="26"/>
  <c r="N1036" i="26"/>
  <c r="M1036" i="26"/>
  <c r="L1036" i="26"/>
  <c r="K1036" i="26"/>
  <c r="J1036" i="26"/>
  <c r="I1036" i="26"/>
  <c r="H1036" i="26"/>
  <c r="O1035" i="26"/>
  <c r="N1035" i="26"/>
  <c r="M1035" i="26"/>
  <c r="L1035" i="26"/>
  <c r="K1035" i="26"/>
  <c r="J1035" i="26"/>
  <c r="I1035" i="26"/>
  <c r="H1035" i="26"/>
  <c r="O1034" i="26"/>
  <c r="N1034" i="26"/>
  <c r="M1034" i="26"/>
  <c r="L1034" i="26"/>
  <c r="K1034" i="26"/>
  <c r="J1034" i="26"/>
  <c r="I1034" i="26"/>
  <c r="H1034" i="26"/>
  <c r="O1033" i="26"/>
  <c r="N1033" i="26"/>
  <c r="M1033" i="26"/>
  <c r="L1033" i="26"/>
  <c r="K1033" i="26"/>
  <c r="J1033" i="26"/>
  <c r="I1033" i="26"/>
  <c r="H1033" i="26"/>
  <c r="O1032" i="26"/>
  <c r="N1032" i="26"/>
  <c r="M1032" i="26"/>
  <c r="L1032" i="26"/>
  <c r="K1032" i="26"/>
  <c r="J1032" i="26"/>
  <c r="I1032" i="26"/>
  <c r="H1032" i="26"/>
  <c r="O1031" i="26"/>
  <c r="N1031" i="26"/>
  <c r="M1031" i="26"/>
  <c r="L1031" i="26"/>
  <c r="K1031" i="26"/>
  <c r="J1031" i="26"/>
  <c r="I1031" i="26"/>
  <c r="H1031" i="26"/>
  <c r="O1030" i="26"/>
  <c r="N1030" i="26"/>
  <c r="M1030" i="26"/>
  <c r="L1030" i="26"/>
  <c r="K1030" i="26"/>
  <c r="J1030" i="26"/>
  <c r="I1030" i="26"/>
  <c r="H1030" i="26"/>
  <c r="O1029" i="26"/>
  <c r="N1029" i="26"/>
  <c r="M1029" i="26"/>
  <c r="L1029" i="26"/>
  <c r="K1029" i="26"/>
  <c r="J1029" i="26"/>
  <c r="I1029" i="26"/>
  <c r="H1029" i="26"/>
  <c r="O1028" i="26"/>
  <c r="N1028" i="26"/>
  <c r="M1028" i="26"/>
  <c r="L1028" i="26"/>
  <c r="K1028" i="26"/>
  <c r="J1028" i="26"/>
  <c r="I1028" i="26"/>
  <c r="H1028" i="26"/>
  <c r="O1027" i="26"/>
  <c r="N1027" i="26"/>
  <c r="M1027" i="26"/>
  <c r="L1027" i="26"/>
  <c r="K1027" i="26"/>
  <c r="J1027" i="26"/>
  <c r="I1027" i="26"/>
  <c r="H1027" i="26"/>
  <c r="O1026" i="26"/>
  <c r="N1026" i="26"/>
  <c r="M1026" i="26"/>
  <c r="L1026" i="26"/>
  <c r="K1026" i="26"/>
  <c r="J1026" i="26"/>
  <c r="I1026" i="26"/>
  <c r="H1026" i="26"/>
  <c r="O1025" i="26"/>
  <c r="N1025" i="26"/>
  <c r="M1025" i="26"/>
  <c r="L1025" i="26"/>
  <c r="K1025" i="26"/>
  <c r="J1025" i="26"/>
  <c r="I1025" i="26"/>
  <c r="H1025" i="26"/>
  <c r="O1024" i="26"/>
  <c r="N1024" i="26"/>
  <c r="M1024" i="26"/>
  <c r="L1024" i="26"/>
  <c r="K1024" i="26"/>
  <c r="J1024" i="26"/>
  <c r="I1024" i="26"/>
  <c r="H1024" i="26"/>
  <c r="O1023" i="26"/>
  <c r="N1023" i="26"/>
  <c r="M1023" i="26"/>
  <c r="L1023" i="26"/>
  <c r="K1023" i="26"/>
  <c r="J1023" i="26"/>
  <c r="I1023" i="26"/>
  <c r="H1023" i="26"/>
  <c r="O1022" i="26"/>
  <c r="N1022" i="26"/>
  <c r="M1022" i="26"/>
  <c r="L1022" i="26"/>
  <c r="K1022" i="26"/>
  <c r="J1022" i="26"/>
  <c r="I1022" i="26"/>
  <c r="H1022" i="26"/>
  <c r="O1021" i="26"/>
  <c r="N1021" i="26"/>
  <c r="M1021" i="26"/>
  <c r="L1021" i="26"/>
  <c r="K1021" i="26"/>
  <c r="J1021" i="26"/>
  <c r="I1021" i="26"/>
  <c r="H1021" i="26"/>
  <c r="O1020" i="26"/>
  <c r="N1020" i="26"/>
  <c r="M1020" i="26"/>
  <c r="L1020" i="26"/>
  <c r="K1020" i="26"/>
  <c r="J1020" i="26"/>
  <c r="I1020" i="26"/>
  <c r="H1020" i="26"/>
  <c r="O1019" i="26"/>
  <c r="N1019" i="26"/>
  <c r="M1019" i="26"/>
  <c r="L1019" i="26"/>
  <c r="K1019" i="26"/>
  <c r="J1019" i="26"/>
  <c r="I1019" i="26"/>
  <c r="H1019" i="26"/>
  <c r="O1018" i="26"/>
  <c r="N1018" i="26"/>
  <c r="M1018" i="26"/>
  <c r="L1018" i="26"/>
  <c r="K1018" i="26"/>
  <c r="J1018" i="26"/>
  <c r="I1018" i="26"/>
  <c r="H1018" i="26"/>
  <c r="O1017" i="26"/>
  <c r="N1017" i="26"/>
  <c r="M1017" i="26"/>
  <c r="L1017" i="26"/>
  <c r="K1017" i="26"/>
  <c r="J1017" i="26"/>
  <c r="I1017" i="26"/>
  <c r="H1017" i="26"/>
  <c r="O1016" i="26"/>
  <c r="N1016" i="26"/>
  <c r="M1016" i="26"/>
  <c r="L1016" i="26"/>
  <c r="K1016" i="26"/>
  <c r="J1016" i="26"/>
  <c r="I1016" i="26"/>
  <c r="H1016" i="26"/>
  <c r="O1015" i="26"/>
  <c r="N1015" i="26"/>
  <c r="M1015" i="26"/>
  <c r="L1015" i="26"/>
  <c r="K1015" i="26"/>
  <c r="J1015" i="26"/>
  <c r="I1015" i="26"/>
  <c r="H1015" i="26"/>
  <c r="O1014" i="26"/>
  <c r="N1014" i="26"/>
  <c r="M1014" i="26"/>
  <c r="L1014" i="26"/>
  <c r="K1014" i="26"/>
  <c r="J1014" i="26"/>
  <c r="I1014" i="26"/>
  <c r="H1014" i="26"/>
  <c r="O1013" i="26"/>
  <c r="N1013" i="26"/>
  <c r="M1013" i="26"/>
  <c r="L1013" i="26"/>
  <c r="K1013" i="26"/>
  <c r="J1013" i="26"/>
  <c r="I1013" i="26"/>
  <c r="H1013" i="26"/>
  <c r="O1012" i="26"/>
  <c r="N1012" i="26"/>
  <c r="M1012" i="26"/>
  <c r="L1012" i="26"/>
  <c r="K1012" i="26"/>
  <c r="J1012" i="26"/>
  <c r="I1012" i="26"/>
  <c r="H1012" i="26"/>
  <c r="O1011" i="26"/>
  <c r="N1011" i="26"/>
  <c r="M1011" i="26"/>
  <c r="L1011" i="26"/>
  <c r="K1011" i="26"/>
  <c r="J1011" i="26"/>
  <c r="I1011" i="26"/>
  <c r="H1011" i="26"/>
  <c r="O1010" i="26"/>
  <c r="N1010" i="26"/>
  <c r="M1010" i="26"/>
  <c r="L1010" i="26"/>
  <c r="K1010" i="26"/>
  <c r="J1010" i="26"/>
  <c r="I1010" i="26"/>
  <c r="H1010" i="26"/>
  <c r="O1009" i="26"/>
  <c r="N1009" i="26"/>
  <c r="M1009" i="26"/>
  <c r="L1009" i="26"/>
  <c r="K1009" i="26"/>
  <c r="J1009" i="26"/>
  <c r="I1009" i="26"/>
  <c r="H1009" i="26"/>
  <c r="O1008" i="26"/>
  <c r="N1008" i="26"/>
  <c r="M1008" i="26"/>
  <c r="L1008" i="26"/>
  <c r="K1008" i="26"/>
  <c r="J1008" i="26"/>
  <c r="I1008" i="26"/>
  <c r="H1008" i="26"/>
  <c r="O1007" i="26"/>
  <c r="N1007" i="26"/>
  <c r="M1007" i="26"/>
  <c r="L1007" i="26"/>
  <c r="K1007" i="26"/>
  <c r="J1007" i="26"/>
  <c r="I1007" i="26"/>
  <c r="H1007" i="26"/>
  <c r="O1006" i="26"/>
  <c r="N1006" i="26"/>
  <c r="M1006" i="26"/>
  <c r="L1006" i="26"/>
  <c r="K1006" i="26"/>
  <c r="J1006" i="26"/>
  <c r="I1006" i="26"/>
  <c r="H1006" i="26"/>
  <c r="O1005" i="26"/>
  <c r="N1005" i="26"/>
  <c r="M1005" i="26"/>
  <c r="L1005" i="26"/>
  <c r="K1005" i="26"/>
  <c r="J1005" i="26"/>
  <c r="I1005" i="26"/>
  <c r="H1005" i="26"/>
  <c r="O1004" i="26"/>
  <c r="N1004" i="26"/>
  <c r="M1004" i="26"/>
  <c r="L1004" i="26"/>
  <c r="K1004" i="26"/>
  <c r="J1004" i="26"/>
  <c r="I1004" i="26"/>
  <c r="H1004" i="26"/>
  <c r="O1003" i="26"/>
  <c r="N1003" i="26"/>
  <c r="M1003" i="26"/>
  <c r="L1003" i="26"/>
  <c r="K1003" i="26"/>
  <c r="J1003" i="26"/>
  <c r="I1003" i="26"/>
  <c r="H1003" i="26"/>
  <c r="O1002" i="26"/>
  <c r="N1002" i="26"/>
  <c r="M1002" i="26"/>
  <c r="L1002" i="26"/>
  <c r="K1002" i="26"/>
  <c r="J1002" i="26"/>
  <c r="I1002" i="26"/>
  <c r="H1002" i="26"/>
  <c r="O1001" i="26"/>
  <c r="N1001" i="26"/>
  <c r="M1001" i="26"/>
  <c r="L1001" i="26"/>
  <c r="K1001" i="26"/>
  <c r="J1001" i="26"/>
  <c r="I1001" i="26"/>
  <c r="H1001" i="26"/>
  <c r="O1000" i="26"/>
  <c r="N1000" i="26"/>
  <c r="M1000" i="26"/>
  <c r="L1000" i="26"/>
  <c r="K1000" i="26"/>
  <c r="J1000" i="26"/>
  <c r="I1000" i="26"/>
  <c r="H1000" i="26"/>
  <c r="O999" i="26"/>
  <c r="N999" i="26"/>
  <c r="M999" i="26"/>
  <c r="L999" i="26"/>
  <c r="K999" i="26"/>
  <c r="J999" i="26"/>
  <c r="I999" i="26"/>
  <c r="H999" i="26"/>
  <c r="O998" i="26"/>
  <c r="N998" i="26"/>
  <c r="M998" i="26"/>
  <c r="L998" i="26"/>
  <c r="K998" i="26"/>
  <c r="J998" i="26"/>
  <c r="I998" i="26"/>
  <c r="H998" i="26"/>
  <c r="O997" i="26"/>
  <c r="N997" i="26"/>
  <c r="M997" i="26"/>
  <c r="L997" i="26"/>
  <c r="K997" i="26"/>
  <c r="J997" i="26"/>
  <c r="I997" i="26"/>
  <c r="H997" i="26"/>
  <c r="O996" i="26"/>
  <c r="N996" i="26"/>
  <c r="M996" i="26"/>
  <c r="L996" i="26"/>
  <c r="K996" i="26"/>
  <c r="J996" i="26"/>
  <c r="I996" i="26"/>
  <c r="H996" i="26"/>
  <c r="O995" i="26"/>
  <c r="N995" i="26"/>
  <c r="M995" i="26"/>
  <c r="L995" i="26"/>
  <c r="K995" i="26"/>
  <c r="J995" i="26"/>
  <c r="I995" i="26"/>
  <c r="H995" i="26"/>
  <c r="O994" i="26"/>
  <c r="N994" i="26"/>
  <c r="M994" i="26"/>
  <c r="L994" i="26"/>
  <c r="K994" i="26"/>
  <c r="J994" i="26"/>
  <c r="I994" i="26"/>
  <c r="H994" i="26"/>
  <c r="O993" i="26"/>
  <c r="N993" i="26"/>
  <c r="M993" i="26"/>
  <c r="L993" i="26"/>
  <c r="K993" i="26"/>
  <c r="J993" i="26"/>
  <c r="I993" i="26"/>
  <c r="H993" i="26"/>
  <c r="O992" i="26"/>
  <c r="N992" i="26"/>
  <c r="M992" i="26"/>
  <c r="L992" i="26"/>
  <c r="K992" i="26"/>
  <c r="J992" i="26"/>
  <c r="I992" i="26"/>
  <c r="H992" i="26"/>
  <c r="O991" i="26"/>
  <c r="N991" i="26"/>
  <c r="M991" i="26"/>
  <c r="L991" i="26"/>
  <c r="K991" i="26"/>
  <c r="J991" i="26"/>
  <c r="I991" i="26"/>
  <c r="H991" i="26"/>
  <c r="O990" i="26"/>
  <c r="N990" i="26"/>
  <c r="M990" i="26"/>
  <c r="L990" i="26"/>
  <c r="K990" i="26"/>
  <c r="J990" i="26"/>
  <c r="I990" i="26"/>
  <c r="H990" i="26"/>
  <c r="O989" i="26"/>
  <c r="N989" i="26"/>
  <c r="M989" i="26"/>
  <c r="L989" i="26"/>
  <c r="K989" i="26"/>
  <c r="J989" i="26"/>
  <c r="I989" i="26"/>
  <c r="H989" i="26"/>
  <c r="O988" i="26"/>
  <c r="N988" i="26"/>
  <c r="M988" i="26"/>
  <c r="L988" i="26"/>
  <c r="K988" i="26"/>
  <c r="J988" i="26"/>
  <c r="I988" i="26"/>
  <c r="H988" i="26"/>
  <c r="O987" i="26"/>
  <c r="N987" i="26"/>
  <c r="M987" i="26"/>
  <c r="L987" i="26"/>
  <c r="K987" i="26"/>
  <c r="J987" i="26"/>
  <c r="I987" i="26"/>
  <c r="H987" i="26"/>
  <c r="O986" i="26"/>
  <c r="N986" i="26"/>
  <c r="M986" i="26"/>
  <c r="L986" i="26"/>
  <c r="K986" i="26"/>
  <c r="J986" i="26"/>
  <c r="I986" i="26"/>
  <c r="H986" i="26"/>
  <c r="O985" i="26"/>
  <c r="N985" i="26"/>
  <c r="M985" i="26"/>
  <c r="L985" i="26"/>
  <c r="K985" i="26"/>
  <c r="J985" i="26"/>
  <c r="I985" i="26"/>
  <c r="H985" i="26"/>
  <c r="O984" i="26"/>
  <c r="N984" i="26"/>
  <c r="M984" i="26"/>
  <c r="L984" i="26"/>
  <c r="K984" i="26"/>
  <c r="J984" i="26"/>
  <c r="I984" i="26"/>
  <c r="H984" i="26"/>
  <c r="O983" i="26"/>
  <c r="N983" i="26"/>
  <c r="M983" i="26"/>
  <c r="L983" i="26"/>
  <c r="K983" i="26"/>
  <c r="J983" i="26"/>
  <c r="I983" i="26"/>
  <c r="H983" i="26"/>
  <c r="O982" i="26"/>
  <c r="N982" i="26"/>
  <c r="M982" i="26"/>
  <c r="L982" i="26"/>
  <c r="K982" i="26"/>
  <c r="J982" i="26"/>
  <c r="I982" i="26"/>
  <c r="H982" i="26"/>
  <c r="O981" i="26"/>
  <c r="N981" i="26"/>
  <c r="M981" i="26"/>
  <c r="L981" i="26"/>
  <c r="K981" i="26"/>
  <c r="J981" i="26"/>
  <c r="I981" i="26"/>
  <c r="H981" i="26"/>
  <c r="O980" i="26"/>
  <c r="N980" i="26"/>
  <c r="M980" i="26"/>
  <c r="L980" i="26"/>
  <c r="K980" i="26"/>
  <c r="J980" i="26"/>
  <c r="I980" i="26"/>
  <c r="H980" i="26"/>
  <c r="O979" i="26"/>
  <c r="N979" i="26"/>
  <c r="M979" i="26"/>
  <c r="L979" i="26"/>
  <c r="K979" i="26"/>
  <c r="J979" i="26"/>
  <c r="I979" i="26"/>
  <c r="H979" i="26"/>
  <c r="O978" i="26"/>
  <c r="N978" i="26"/>
  <c r="M978" i="26"/>
  <c r="L978" i="26"/>
  <c r="K978" i="26"/>
  <c r="J978" i="26"/>
  <c r="I978" i="26"/>
  <c r="H978" i="26"/>
  <c r="O977" i="26"/>
  <c r="N977" i="26"/>
  <c r="M977" i="26"/>
  <c r="L977" i="26"/>
  <c r="K977" i="26"/>
  <c r="J977" i="26"/>
  <c r="I977" i="26"/>
  <c r="H977" i="26"/>
  <c r="O976" i="26"/>
  <c r="N976" i="26"/>
  <c r="M976" i="26"/>
  <c r="L976" i="26"/>
  <c r="K976" i="26"/>
  <c r="J976" i="26"/>
  <c r="I976" i="26"/>
  <c r="H976" i="26"/>
  <c r="O975" i="26"/>
  <c r="N975" i="26"/>
  <c r="M975" i="26"/>
  <c r="L975" i="26"/>
  <c r="K975" i="26"/>
  <c r="J975" i="26"/>
  <c r="I975" i="26"/>
  <c r="H975" i="26"/>
  <c r="O974" i="26"/>
  <c r="N974" i="26"/>
  <c r="M974" i="26"/>
  <c r="L974" i="26"/>
  <c r="K974" i="26"/>
  <c r="J974" i="26"/>
  <c r="I974" i="26"/>
  <c r="H974" i="26"/>
  <c r="O973" i="26"/>
  <c r="N973" i="26"/>
  <c r="M973" i="26"/>
  <c r="L973" i="26"/>
  <c r="K973" i="26"/>
  <c r="J973" i="26"/>
  <c r="I973" i="26"/>
  <c r="H973" i="26"/>
  <c r="O972" i="26"/>
  <c r="N972" i="26"/>
  <c r="M972" i="26"/>
  <c r="L972" i="26"/>
  <c r="K972" i="26"/>
  <c r="J972" i="26"/>
  <c r="I972" i="26"/>
  <c r="H972" i="26"/>
  <c r="O971" i="26"/>
  <c r="N971" i="26"/>
  <c r="M971" i="26"/>
  <c r="L971" i="26"/>
  <c r="K971" i="26"/>
  <c r="J971" i="26"/>
  <c r="I971" i="26"/>
  <c r="H971" i="26"/>
  <c r="O970" i="26"/>
  <c r="N970" i="26"/>
  <c r="M970" i="26"/>
  <c r="L970" i="26"/>
  <c r="K970" i="26"/>
  <c r="J970" i="26"/>
  <c r="I970" i="26"/>
  <c r="H970" i="26"/>
  <c r="O969" i="26"/>
  <c r="N969" i="26"/>
  <c r="M969" i="26"/>
  <c r="L969" i="26"/>
  <c r="K969" i="26"/>
  <c r="J969" i="26"/>
  <c r="I969" i="26"/>
  <c r="H969" i="26"/>
  <c r="O968" i="26"/>
  <c r="N968" i="26"/>
  <c r="M968" i="26"/>
  <c r="L968" i="26"/>
  <c r="K968" i="26"/>
  <c r="J968" i="26"/>
  <c r="I968" i="26"/>
  <c r="H968" i="26"/>
  <c r="O967" i="26"/>
  <c r="N967" i="26"/>
  <c r="M967" i="26"/>
  <c r="L967" i="26"/>
  <c r="K967" i="26"/>
  <c r="J967" i="26"/>
  <c r="I967" i="26"/>
  <c r="H967" i="26"/>
  <c r="O966" i="26"/>
  <c r="N966" i="26"/>
  <c r="M966" i="26"/>
  <c r="L966" i="26"/>
  <c r="K966" i="26"/>
  <c r="J966" i="26"/>
  <c r="I966" i="26"/>
  <c r="H966" i="26"/>
  <c r="O965" i="26"/>
  <c r="N965" i="26"/>
  <c r="M965" i="26"/>
  <c r="L965" i="26"/>
  <c r="K965" i="26"/>
  <c r="J965" i="26"/>
  <c r="I965" i="26"/>
  <c r="H965" i="26"/>
  <c r="O964" i="26"/>
  <c r="N964" i="26"/>
  <c r="M964" i="26"/>
  <c r="L964" i="26"/>
  <c r="K964" i="26"/>
  <c r="J964" i="26"/>
  <c r="I964" i="26"/>
  <c r="H964" i="26"/>
  <c r="O963" i="26"/>
  <c r="N963" i="26"/>
  <c r="M963" i="26"/>
  <c r="L963" i="26"/>
  <c r="K963" i="26"/>
  <c r="J963" i="26"/>
  <c r="I963" i="26"/>
  <c r="H963" i="26"/>
  <c r="O962" i="26"/>
  <c r="N962" i="26"/>
  <c r="M962" i="26"/>
  <c r="L962" i="26"/>
  <c r="K962" i="26"/>
  <c r="J962" i="26"/>
  <c r="I962" i="26"/>
  <c r="H962" i="26"/>
  <c r="O961" i="26"/>
  <c r="N961" i="26"/>
  <c r="M961" i="26"/>
  <c r="L961" i="26"/>
  <c r="K961" i="26"/>
  <c r="J961" i="26"/>
  <c r="I961" i="26"/>
  <c r="H961" i="26"/>
  <c r="O960" i="26"/>
  <c r="N960" i="26"/>
  <c r="M960" i="26"/>
  <c r="L960" i="26"/>
  <c r="K960" i="26"/>
  <c r="J960" i="26"/>
  <c r="I960" i="26"/>
  <c r="H960" i="26"/>
  <c r="O959" i="26"/>
  <c r="N959" i="26"/>
  <c r="M959" i="26"/>
  <c r="L959" i="26"/>
  <c r="K959" i="26"/>
  <c r="J959" i="26"/>
  <c r="I959" i="26"/>
  <c r="H959" i="26"/>
  <c r="O958" i="26"/>
  <c r="N958" i="26"/>
  <c r="M958" i="26"/>
  <c r="L958" i="26"/>
  <c r="K958" i="26"/>
  <c r="J958" i="26"/>
  <c r="I958" i="26"/>
  <c r="H958" i="26"/>
  <c r="O957" i="26"/>
  <c r="N957" i="26"/>
  <c r="M957" i="26"/>
  <c r="L957" i="26"/>
  <c r="K957" i="26"/>
  <c r="J957" i="26"/>
  <c r="I957" i="26"/>
  <c r="H957" i="26"/>
  <c r="O956" i="26"/>
  <c r="N956" i="26"/>
  <c r="M956" i="26"/>
  <c r="L956" i="26"/>
  <c r="K956" i="26"/>
  <c r="J956" i="26"/>
  <c r="I956" i="26"/>
  <c r="H956" i="26"/>
  <c r="O955" i="26"/>
  <c r="N955" i="26"/>
  <c r="M955" i="26"/>
  <c r="L955" i="26"/>
  <c r="K955" i="26"/>
  <c r="J955" i="26"/>
  <c r="I955" i="26"/>
  <c r="H955" i="26"/>
  <c r="O954" i="26"/>
  <c r="N954" i="26"/>
  <c r="M954" i="26"/>
  <c r="L954" i="26"/>
  <c r="K954" i="26"/>
  <c r="J954" i="26"/>
  <c r="I954" i="26"/>
  <c r="H954" i="26"/>
  <c r="O953" i="26"/>
  <c r="N953" i="26"/>
  <c r="M953" i="26"/>
  <c r="L953" i="26"/>
  <c r="K953" i="26"/>
  <c r="J953" i="26"/>
  <c r="I953" i="26"/>
  <c r="H953" i="26"/>
  <c r="O952" i="26"/>
  <c r="N952" i="26"/>
  <c r="M952" i="26"/>
  <c r="L952" i="26"/>
  <c r="K952" i="26"/>
  <c r="J952" i="26"/>
  <c r="I952" i="26"/>
  <c r="H952" i="26"/>
  <c r="O951" i="26"/>
  <c r="N951" i="26"/>
  <c r="M951" i="26"/>
  <c r="L951" i="26"/>
  <c r="K951" i="26"/>
  <c r="J951" i="26"/>
  <c r="I951" i="26"/>
  <c r="H951" i="26"/>
  <c r="O950" i="26"/>
  <c r="N950" i="26"/>
  <c r="M950" i="26"/>
  <c r="L950" i="26"/>
  <c r="K950" i="26"/>
  <c r="J950" i="26"/>
  <c r="I950" i="26"/>
  <c r="H950" i="26"/>
  <c r="O949" i="26"/>
  <c r="N949" i="26"/>
  <c r="M949" i="26"/>
  <c r="L949" i="26"/>
  <c r="K949" i="26"/>
  <c r="J949" i="26"/>
  <c r="I949" i="26"/>
  <c r="H949" i="26"/>
  <c r="O948" i="26"/>
  <c r="N948" i="26"/>
  <c r="M948" i="26"/>
  <c r="L948" i="26"/>
  <c r="K948" i="26"/>
  <c r="J948" i="26"/>
  <c r="I948" i="26"/>
  <c r="H948" i="26"/>
  <c r="O947" i="26"/>
  <c r="N947" i="26"/>
  <c r="M947" i="26"/>
  <c r="L947" i="26"/>
  <c r="K947" i="26"/>
  <c r="J947" i="26"/>
  <c r="I947" i="26"/>
  <c r="H947" i="26"/>
  <c r="O946" i="26"/>
  <c r="N946" i="26"/>
  <c r="M946" i="26"/>
  <c r="L946" i="26"/>
  <c r="K946" i="26"/>
  <c r="J946" i="26"/>
  <c r="I946" i="26"/>
  <c r="H946" i="26"/>
  <c r="O945" i="26"/>
  <c r="N945" i="26"/>
  <c r="M945" i="26"/>
  <c r="L945" i="26"/>
  <c r="K945" i="26"/>
  <c r="J945" i="26"/>
  <c r="I945" i="26"/>
  <c r="H945" i="26"/>
  <c r="O944" i="26"/>
  <c r="N944" i="26"/>
  <c r="M944" i="26"/>
  <c r="L944" i="26"/>
  <c r="K944" i="26"/>
  <c r="J944" i="26"/>
  <c r="I944" i="26"/>
  <c r="H944" i="26"/>
  <c r="O943" i="26"/>
  <c r="N943" i="26"/>
  <c r="M943" i="26"/>
  <c r="L943" i="26"/>
  <c r="K943" i="26"/>
  <c r="J943" i="26"/>
  <c r="I943" i="26"/>
  <c r="H943" i="26"/>
  <c r="O942" i="26"/>
  <c r="N942" i="26"/>
  <c r="M942" i="26"/>
  <c r="L942" i="26"/>
  <c r="K942" i="26"/>
  <c r="J942" i="26"/>
  <c r="I942" i="26"/>
  <c r="H942" i="26"/>
  <c r="O941" i="26"/>
  <c r="N941" i="26"/>
  <c r="M941" i="26"/>
  <c r="L941" i="26"/>
  <c r="K941" i="26"/>
  <c r="J941" i="26"/>
  <c r="I941" i="26"/>
  <c r="H941" i="26"/>
  <c r="O940" i="26"/>
  <c r="N940" i="26"/>
  <c r="M940" i="26"/>
  <c r="L940" i="26"/>
  <c r="K940" i="26"/>
  <c r="J940" i="26"/>
  <c r="I940" i="26"/>
  <c r="H940" i="26"/>
  <c r="O939" i="26"/>
  <c r="N939" i="26"/>
  <c r="M939" i="26"/>
  <c r="L939" i="26"/>
  <c r="K939" i="26"/>
  <c r="J939" i="26"/>
  <c r="I939" i="26"/>
  <c r="H939" i="26"/>
  <c r="O938" i="26"/>
  <c r="N938" i="26"/>
  <c r="M938" i="26"/>
  <c r="L938" i="26"/>
  <c r="K938" i="26"/>
  <c r="J938" i="26"/>
  <c r="I938" i="26"/>
  <c r="H938" i="26"/>
  <c r="O937" i="26"/>
  <c r="N937" i="26"/>
  <c r="M937" i="26"/>
  <c r="L937" i="26"/>
  <c r="K937" i="26"/>
  <c r="J937" i="26"/>
  <c r="I937" i="26"/>
  <c r="H937" i="26"/>
  <c r="O936" i="26"/>
  <c r="N936" i="26"/>
  <c r="M936" i="26"/>
  <c r="L936" i="26"/>
  <c r="K936" i="26"/>
  <c r="J936" i="26"/>
  <c r="I936" i="26"/>
  <c r="H936" i="26"/>
  <c r="O935" i="26"/>
  <c r="N935" i="26"/>
  <c r="M935" i="26"/>
  <c r="L935" i="26"/>
  <c r="K935" i="26"/>
  <c r="J935" i="26"/>
  <c r="I935" i="26"/>
  <c r="H935" i="26"/>
  <c r="O934" i="26"/>
  <c r="N934" i="26"/>
  <c r="M934" i="26"/>
  <c r="L934" i="26"/>
  <c r="K934" i="26"/>
  <c r="J934" i="26"/>
  <c r="I934" i="26"/>
  <c r="H934" i="26"/>
  <c r="O933" i="26"/>
  <c r="N933" i="26"/>
  <c r="M933" i="26"/>
  <c r="L933" i="26"/>
  <c r="K933" i="26"/>
  <c r="J933" i="26"/>
  <c r="I933" i="26"/>
  <c r="H933" i="26"/>
  <c r="O932" i="26"/>
  <c r="N932" i="26"/>
  <c r="M932" i="26"/>
  <c r="L932" i="26"/>
  <c r="K932" i="26"/>
  <c r="J932" i="26"/>
  <c r="I932" i="26"/>
  <c r="H932" i="26"/>
  <c r="O931" i="26"/>
  <c r="N931" i="26"/>
  <c r="M931" i="26"/>
  <c r="L931" i="26"/>
  <c r="K931" i="26"/>
  <c r="J931" i="26"/>
  <c r="I931" i="26"/>
  <c r="H931" i="26"/>
  <c r="O930" i="26"/>
  <c r="N930" i="26"/>
  <c r="M930" i="26"/>
  <c r="L930" i="26"/>
  <c r="K930" i="26"/>
  <c r="J930" i="26"/>
  <c r="I930" i="26"/>
  <c r="H930" i="26"/>
  <c r="O929" i="26"/>
  <c r="N929" i="26"/>
  <c r="M929" i="26"/>
  <c r="L929" i="26"/>
  <c r="K929" i="26"/>
  <c r="J929" i="26"/>
  <c r="I929" i="26"/>
  <c r="H929" i="26"/>
  <c r="O928" i="26"/>
  <c r="N928" i="26"/>
  <c r="M928" i="26"/>
  <c r="L928" i="26"/>
  <c r="K928" i="26"/>
  <c r="J928" i="26"/>
  <c r="I928" i="26"/>
  <c r="H928" i="26"/>
  <c r="O927" i="26"/>
  <c r="N927" i="26"/>
  <c r="M927" i="26"/>
  <c r="L927" i="26"/>
  <c r="K927" i="26"/>
  <c r="J927" i="26"/>
  <c r="I927" i="26"/>
  <c r="H927" i="26"/>
  <c r="O926" i="26"/>
  <c r="N926" i="26"/>
  <c r="M926" i="26"/>
  <c r="L926" i="26"/>
  <c r="K926" i="26"/>
  <c r="J926" i="26"/>
  <c r="I926" i="26"/>
  <c r="H926" i="26"/>
  <c r="O925" i="26"/>
  <c r="N925" i="26"/>
  <c r="M925" i="26"/>
  <c r="L925" i="26"/>
  <c r="K925" i="26"/>
  <c r="J925" i="26"/>
  <c r="I925" i="26"/>
  <c r="H925" i="26"/>
  <c r="O924" i="26"/>
  <c r="N924" i="26"/>
  <c r="M924" i="26"/>
  <c r="L924" i="26"/>
  <c r="K924" i="26"/>
  <c r="J924" i="26"/>
  <c r="I924" i="26"/>
  <c r="H924" i="26"/>
  <c r="O923" i="26"/>
  <c r="N923" i="26"/>
  <c r="M923" i="26"/>
  <c r="L923" i="26"/>
  <c r="K923" i="26"/>
  <c r="J923" i="26"/>
  <c r="I923" i="26"/>
  <c r="H923" i="26"/>
  <c r="O922" i="26"/>
  <c r="N922" i="26"/>
  <c r="M922" i="26"/>
  <c r="L922" i="26"/>
  <c r="K922" i="26"/>
  <c r="J922" i="26"/>
  <c r="I922" i="26"/>
  <c r="H922" i="26"/>
  <c r="O921" i="26"/>
  <c r="N921" i="26"/>
  <c r="M921" i="26"/>
  <c r="L921" i="26"/>
  <c r="K921" i="26"/>
  <c r="J921" i="26"/>
  <c r="I921" i="26"/>
  <c r="H921" i="26"/>
  <c r="O920" i="26"/>
  <c r="N920" i="26"/>
  <c r="M920" i="26"/>
  <c r="L920" i="26"/>
  <c r="K920" i="26"/>
  <c r="J920" i="26"/>
  <c r="I920" i="26"/>
  <c r="H920" i="26"/>
  <c r="O919" i="26"/>
  <c r="N919" i="26"/>
  <c r="M919" i="26"/>
  <c r="L919" i="26"/>
  <c r="K919" i="26"/>
  <c r="J919" i="26"/>
  <c r="I919" i="26"/>
  <c r="H919" i="26"/>
  <c r="O918" i="26"/>
  <c r="N918" i="26"/>
  <c r="M918" i="26"/>
  <c r="L918" i="26"/>
  <c r="K918" i="26"/>
  <c r="J918" i="26"/>
  <c r="I918" i="26"/>
  <c r="H918" i="26"/>
  <c r="O917" i="26"/>
  <c r="N917" i="26"/>
  <c r="M917" i="26"/>
  <c r="L917" i="26"/>
  <c r="K917" i="26"/>
  <c r="J917" i="26"/>
  <c r="I917" i="26"/>
  <c r="H917" i="26"/>
  <c r="O916" i="26"/>
  <c r="N916" i="26"/>
  <c r="M916" i="26"/>
  <c r="L916" i="26"/>
  <c r="K916" i="26"/>
  <c r="J916" i="26"/>
  <c r="I916" i="26"/>
  <c r="H916" i="26"/>
  <c r="O915" i="26"/>
  <c r="N915" i="26"/>
  <c r="M915" i="26"/>
  <c r="L915" i="26"/>
  <c r="K915" i="26"/>
  <c r="J915" i="26"/>
  <c r="I915" i="26"/>
  <c r="H915" i="26"/>
  <c r="O914" i="26"/>
  <c r="N914" i="26"/>
  <c r="M914" i="26"/>
  <c r="L914" i="26"/>
  <c r="K914" i="26"/>
  <c r="J914" i="26"/>
  <c r="I914" i="26"/>
  <c r="H914" i="26"/>
  <c r="O913" i="26"/>
  <c r="N913" i="26"/>
  <c r="M913" i="26"/>
  <c r="L913" i="26"/>
  <c r="K913" i="26"/>
  <c r="J913" i="26"/>
  <c r="I913" i="26"/>
  <c r="H913" i="26"/>
  <c r="O912" i="26"/>
  <c r="N912" i="26"/>
  <c r="M912" i="26"/>
  <c r="L912" i="26"/>
  <c r="K912" i="26"/>
  <c r="J912" i="26"/>
  <c r="I912" i="26"/>
  <c r="H912" i="26"/>
  <c r="O911" i="26"/>
  <c r="N911" i="26"/>
  <c r="M911" i="26"/>
  <c r="L911" i="26"/>
  <c r="K911" i="26"/>
  <c r="J911" i="26"/>
  <c r="I911" i="26"/>
  <c r="H911" i="26"/>
  <c r="O910" i="26"/>
  <c r="N910" i="26"/>
  <c r="M910" i="26"/>
  <c r="L910" i="26"/>
  <c r="K910" i="26"/>
  <c r="J910" i="26"/>
  <c r="I910" i="26"/>
  <c r="H910" i="26"/>
  <c r="O909" i="26"/>
  <c r="N909" i="26"/>
  <c r="M909" i="26"/>
  <c r="L909" i="26"/>
  <c r="K909" i="26"/>
  <c r="J909" i="26"/>
  <c r="I909" i="26"/>
  <c r="H909" i="26"/>
  <c r="O908" i="26"/>
  <c r="N908" i="26"/>
  <c r="M908" i="26"/>
  <c r="L908" i="26"/>
  <c r="K908" i="26"/>
  <c r="J908" i="26"/>
  <c r="I908" i="26"/>
  <c r="H908" i="26"/>
  <c r="O907" i="26"/>
  <c r="N907" i="26"/>
  <c r="M907" i="26"/>
  <c r="L907" i="26"/>
  <c r="K907" i="26"/>
  <c r="J907" i="26"/>
  <c r="I907" i="26"/>
  <c r="H907" i="26"/>
  <c r="O906" i="26"/>
  <c r="N906" i="26"/>
  <c r="M906" i="26"/>
  <c r="L906" i="26"/>
  <c r="K906" i="26"/>
  <c r="J906" i="26"/>
  <c r="I906" i="26"/>
  <c r="H906" i="26"/>
  <c r="O905" i="26"/>
  <c r="N905" i="26"/>
  <c r="M905" i="26"/>
  <c r="L905" i="26"/>
  <c r="K905" i="26"/>
  <c r="J905" i="26"/>
  <c r="I905" i="26"/>
  <c r="H905" i="26"/>
  <c r="O904" i="26"/>
  <c r="N904" i="26"/>
  <c r="M904" i="26"/>
  <c r="L904" i="26"/>
  <c r="K904" i="26"/>
  <c r="J904" i="26"/>
  <c r="I904" i="26"/>
  <c r="H904" i="26"/>
  <c r="O903" i="26"/>
  <c r="N903" i="26"/>
  <c r="M903" i="26"/>
  <c r="L903" i="26"/>
  <c r="K903" i="26"/>
  <c r="J903" i="26"/>
  <c r="I903" i="26"/>
  <c r="H903" i="26"/>
  <c r="O902" i="26"/>
  <c r="N902" i="26"/>
  <c r="M902" i="26"/>
  <c r="L902" i="26"/>
  <c r="K902" i="26"/>
  <c r="J902" i="26"/>
  <c r="I902" i="26"/>
  <c r="H902" i="26"/>
  <c r="O901" i="26"/>
  <c r="N901" i="26"/>
  <c r="M901" i="26"/>
  <c r="L901" i="26"/>
  <c r="K901" i="26"/>
  <c r="J901" i="26"/>
  <c r="I901" i="26"/>
  <c r="H901" i="26"/>
  <c r="O900" i="26"/>
  <c r="N900" i="26"/>
  <c r="M900" i="26"/>
  <c r="L900" i="26"/>
  <c r="K900" i="26"/>
  <c r="J900" i="26"/>
  <c r="I900" i="26"/>
  <c r="H900" i="26"/>
  <c r="O899" i="26"/>
  <c r="N899" i="26"/>
  <c r="M899" i="26"/>
  <c r="L899" i="26"/>
  <c r="K899" i="26"/>
  <c r="J899" i="26"/>
  <c r="I899" i="26"/>
  <c r="H899" i="26"/>
  <c r="O898" i="26"/>
  <c r="N898" i="26"/>
  <c r="M898" i="26"/>
  <c r="L898" i="26"/>
  <c r="K898" i="26"/>
  <c r="J898" i="26"/>
  <c r="I898" i="26"/>
  <c r="H898" i="26"/>
  <c r="O897" i="26"/>
  <c r="N897" i="26"/>
  <c r="M897" i="26"/>
  <c r="L897" i="26"/>
  <c r="K897" i="26"/>
  <c r="J897" i="26"/>
  <c r="I897" i="26"/>
  <c r="H897" i="26"/>
  <c r="O896" i="26"/>
  <c r="N896" i="26"/>
  <c r="M896" i="26"/>
  <c r="L896" i="26"/>
  <c r="K896" i="26"/>
  <c r="J896" i="26"/>
  <c r="I896" i="26"/>
  <c r="H896" i="26"/>
  <c r="O895" i="26"/>
  <c r="N895" i="26"/>
  <c r="M895" i="26"/>
  <c r="L895" i="26"/>
  <c r="K895" i="26"/>
  <c r="J895" i="26"/>
  <c r="I895" i="26"/>
  <c r="H895" i="26"/>
  <c r="O894" i="26"/>
  <c r="N894" i="26"/>
  <c r="M894" i="26"/>
  <c r="L894" i="26"/>
  <c r="K894" i="26"/>
  <c r="J894" i="26"/>
  <c r="I894" i="26"/>
  <c r="H894" i="26"/>
  <c r="O893" i="26"/>
  <c r="N893" i="26"/>
  <c r="M893" i="26"/>
  <c r="L893" i="26"/>
  <c r="K893" i="26"/>
  <c r="J893" i="26"/>
  <c r="I893" i="26"/>
  <c r="H893" i="26"/>
  <c r="O892" i="26"/>
  <c r="N892" i="26"/>
  <c r="M892" i="26"/>
  <c r="L892" i="26"/>
  <c r="K892" i="26"/>
  <c r="J892" i="26"/>
  <c r="I892" i="26"/>
  <c r="H892" i="26"/>
  <c r="O891" i="26"/>
  <c r="N891" i="26"/>
  <c r="M891" i="26"/>
  <c r="L891" i="26"/>
  <c r="K891" i="26"/>
  <c r="J891" i="26"/>
  <c r="I891" i="26"/>
  <c r="H891" i="26"/>
  <c r="O890" i="26"/>
  <c r="N890" i="26"/>
  <c r="M890" i="26"/>
  <c r="L890" i="26"/>
  <c r="K890" i="26"/>
  <c r="J890" i="26"/>
  <c r="I890" i="26"/>
  <c r="H890" i="26"/>
  <c r="O889" i="26"/>
  <c r="N889" i="26"/>
  <c r="M889" i="26"/>
  <c r="L889" i="26"/>
  <c r="K889" i="26"/>
  <c r="J889" i="26"/>
  <c r="I889" i="26"/>
  <c r="H889" i="26"/>
  <c r="O888" i="26"/>
  <c r="N888" i="26"/>
  <c r="M888" i="26"/>
  <c r="L888" i="26"/>
  <c r="K888" i="26"/>
  <c r="J888" i="26"/>
  <c r="I888" i="26"/>
  <c r="H888" i="26"/>
  <c r="O887" i="26"/>
  <c r="N887" i="26"/>
  <c r="M887" i="26"/>
  <c r="L887" i="26"/>
  <c r="K887" i="26"/>
  <c r="J887" i="26"/>
  <c r="I887" i="26"/>
  <c r="H887" i="26"/>
  <c r="O886" i="26"/>
  <c r="N886" i="26"/>
  <c r="M886" i="26"/>
  <c r="L886" i="26"/>
  <c r="K886" i="26"/>
  <c r="J886" i="26"/>
  <c r="I886" i="26"/>
  <c r="H886" i="26"/>
  <c r="O885" i="26"/>
  <c r="N885" i="26"/>
  <c r="M885" i="26"/>
  <c r="L885" i="26"/>
  <c r="K885" i="26"/>
  <c r="J885" i="26"/>
  <c r="I885" i="26"/>
  <c r="H885" i="26"/>
  <c r="O884" i="26"/>
  <c r="N884" i="26"/>
  <c r="M884" i="26"/>
  <c r="L884" i="26"/>
  <c r="K884" i="26"/>
  <c r="J884" i="26"/>
  <c r="I884" i="26"/>
  <c r="H884" i="26"/>
  <c r="O883" i="26"/>
  <c r="N883" i="26"/>
  <c r="M883" i="26"/>
  <c r="L883" i="26"/>
  <c r="K883" i="26"/>
  <c r="J883" i="26"/>
  <c r="I883" i="26"/>
  <c r="H883" i="26"/>
  <c r="O882" i="26"/>
  <c r="N882" i="26"/>
  <c r="M882" i="26"/>
  <c r="L882" i="26"/>
  <c r="K882" i="26"/>
  <c r="J882" i="26"/>
  <c r="I882" i="26"/>
  <c r="H882" i="26"/>
  <c r="O881" i="26"/>
  <c r="N881" i="26"/>
  <c r="M881" i="26"/>
  <c r="L881" i="26"/>
  <c r="K881" i="26"/>
  <c r="J881" i="26"/>
  <c r="I881" i="26"/>
  <c r="H881" i="26"/>
  <c r="O880" i="26"/>
  <c r="N880" i="26"/>
  <c r="M880" i="26"/>
  <c r="L880" i="26"/>
  <c r="K880" i="26"/>
  <c r="J880" i="26"/>
  <c r="I880" i="26"/>
  <c r="H880" i="26"/>
  <c r="O879" i="26"/>
  <c r="N879" i="26"/>
  <c r="M879" i="26"/>
  <c r="L879" i="26"/>
  <c r="K879" i="26"/>
  <c r="J879" i="26"/>
  <c r="I879" i="26"/>
  <c r="H879" i="26"/>
  <c r="O878" i="26"/>
  <c r="N878" i="26"/>
  <c r="M878" i="26"/>
  <c r="L878" i="26"/>
  <c r="K878" i="26"/>
  <c r="J878" i="26"/>
  <c r="I878" i="26"/>
  <c r="H878" i="26"/>
  <c r="O877" i="26"/>
  <c r="N877" i="26"/>
  <c r="M877" i="26"/>
  <c r="L877" i="26"/>
  <c r="K877" i="26"/>
  <c r="J877" i="26"/>
  <c r="I877" i="26"/>
  <c r="H877" i="26"/>
  <c r="O876" i="26"/>
  <c r="N876" i="26"/>
  <c r="M876" i="26"/>
  <c r="L876" i="26"/>
  <c r="K876" i="26"/>
  <c r="J876" i="26"/>
  <c r="I876" i="26"/>
  <c r="H876" i="26"/>
  <c r="O875" i="26"/>
  <c r="N875" i="26"/>
  <c r="M875" i="26"/>
  <c r="L875" i="26"/>
  <c r="K875" i="26"/>
  <c r="J875" i="26"/>
  <c r="I875" i="26"/>
  <c r="H875" i="26"/>
  <c r="O874" i="26"/>
  <c r="N874" i="26"/>
  <c r="M874" i="26"/>
  <c r="L874" i="26"/>
  <c r="K874" i="26"/>
  <c r="J874" i="26"/>
  <c r="I874" i="26"/>
  <c r="H874" i="26"/>
  <c r="O873" i="26"/>
  <c r="N873" i="26"/>
  <c r="M873" i="26"/>
  <c r="L873" i="26"/>
  <c r="K873" i="26"/>
  <c r="J873" i="26"/>
  <c r="I873" i="26"/>
  <c r="H873" i="26"/>
  <c r="O872" i="26"/>
  <c r="N872" i="26"/>
  <c r="M872" i="26"/>
  <c r="L872" i="26"/>
  <c r="K872" i="26"/>
  <c r="J872" i="26"/>
  <c r="I872" i="26"/>
  <c r="H872" i="26"/>
  <c r="O871" i="26"/>
  <c r="N871" i="26"/>
  <c r="M871" i="26"/>
  <c r="L871" i="26"/>
  <c r="K871" i="26"/>
  <c r="J871" i="26"/>
  <c r="I871" i="26"/>
  <c r="H871" i="26"/>
  <c r="O870" i="26"/>
  <c r="N870" i="26"/>
  <c r="M870" i="26"/>
  <c r="L870" i="26"/>
  <c r="K870" i="26"/>
  <c r="J870" i="26"/>
  <c r="I870" i="26"/>
  <c r="H870" i="26"/>
  <c r="O869" i="26"/>
  <c r="N869" i="26"/>
  <c r="M869" i="26"/>
  <c r="L869" i="26"/>
  <c r="K869" i="26"/>
  <c r="J869" i="26"/>
  <c r="I869" i="26"/>
  <c r="H869" i="26"/>
  <c r="O868" i="26"/>
  <c r="N868" i="26"/>
  <c r="M868" i="26"/>
  <c r="L868" i="26"/>
  <c r="K868" i="26"/>
  <c r="J868" i="26"/>
  <c r="I868" i="26"/>
  <c r="H868" i="26"/>
  <c r="O867" i="26"/>
  <c r="N867" i="26"/>
  <c r="M867" i="26"/>
  <c r="L867" i="26"/>
  <c r="K867" i="26"/>
  <c r="J867" i="26"/>
  <c r="I867" i="26"/>
  <c r="H867" i="26"/>
  <c r="O866" i="26"/>
  <c r="N866" i="26"/>
  <c r="M866" i="26"/>
  <c r="L866" i="26"/>
  <c r="K866" i="26"/>
  <c r="J866" i="26"/>
  <c r="I866" i="26"/>
  <c r="H866" i="26"/>
  <c r="O865" i="26"/>
  <c r="N865" i="26"/>
  <c r="M865" i="26"/>
  <c r="L865" i="26"/>
  <c r="K865" i="26"/>
  <c r="J865" i="26"/>
  <c r="I865" i="26"/>
  <c r="H865" i="26"/>
  <c r="O864" i="26"/>
  <c r="N864" i="26"/>
  <c r="M864" i="26"/>
  <c r="L864" i="26"/>
  <c r="K864" i="26"/>
  <c r="J864" i="26"/>
  <c r="I864" i="26"/>
  <c r="H864" i="26"/>
  <c r="O863" i="26"/>
  <c r="N863" i="26"/>
  <c r="M863" i="26"/>
  <c r="L863" i="26"/>
  <c r="K863" i="26"/>
  <c r="J863" i="26"/>
  <c r="I863" i="26"/>
  <c r="H863" i="26"/>
  <c r="O862" i="26"/>
  <c r="N862" i="26"/>
  <c r="M862" i="26"/>
  <c r="L862" i="26"/>
  <c r="K862" i="26"/>
  <c r="J862" i="26"/>
  <c r="I862" i="26"/>
  <c r="H862" i="26"/>
  <c r="O861" i="26"/>
  <c r="N861" i="26"/>
  <c r="M861" i="26"/>
  <c r="L861" i="26"/>
  <c r="K861" i="26"/>
  <c r="J861" i="26"/>
  <c r="I861" i="26"/>
  <c r="H861" i="26"/>
  <c r="O860" i="26"/>
  <c r="N860" i="26"/>
  <c r="M860" i="26"/>
  <c r="L860" i="26"/>
  <c r="K860" i="26"/>
  <c r="J860" i="26"/>
  <c r="I860" i="26"/>
  <c r="H860" i="26"/>
  <c r="O859" i="26"/>
  <c r="N859" i="26"/>
  <c r="M859" i="26"/>
  <c r="L859" i="26"/>
  <c r="K859" i="26"/>
  <c r="J859" i="26"/>
  <c r="I859" i="26"/>
  <c r="H859" i="26"/>
  <c r="O858" i="26"/>
  <c r="N858" i="26"/>
  <c r="M858" i="26"/>
  <c r="L858" i="26"/>
  <c r="K858" i="26"/>
  <c r="J858" i="26"/>
  <c r="I858" i="26"/>
  <c r="H858" i="26"/>
  <c r="O857" i="26"/>
  <c r="N857" i="26"/>
  <c r="M857" i="26"/>
  <c r="L857" i="26"/>
  <c r="K857" i="26"/>
  <c r="J857" i="26"/>
  <c r="I857" i="26"/>
  <c r="H857" i="26"/>
  <c r="O856" i="26"/>
  <c r="N856" i="26"/>
  <c r="M856" i="26"/>
  <c r="L856" i="26"/>
  <c r="K856" i="26"/>
  <c r="J856" i="26"/>
  <c r="I856" i="26"/>
  <c r="H856" i="26"/>
  <c r="O855" i="26"/>
  <c r="N855" i="26"/>
  <c r="M855" i="26"/>
  <c r="L855" i="26"/>
  <c r="K855" i="26"/>
  <c r="J855" i="26"/>
  <c r="I855" i="26"/>
  <c r="H855" i="26"/>
  <c r="O854" i="26"/>
  <c r="N854" i="26"/>
  <c r="M854" i="26"/>
  <c r="L854" i="26"/>
  <c r="K854" i="26"/>
  <c r="J854" i="26"/>
  <c r="I854" i="26"/>
  <c r="H854" i="26"/>
  <c r="O853" i="26"/>
  <c r="N853" i="26"/>
  <c r="M853" i="26"/>
  <c r="L853" i="26"/>
  <c r="K853" i="26"/>
  <c r="J853" i="26"/>
  <c r="I853" i="26"/>
  <c r="H853" i="26"/>
  <c r="O852" i="26"/>
  <c r="N852" i="26"/>
  <c r="M852" i="26"/>
  <c r="L852" i="26"/>
  <c r="K852" i="26"/>
  <c r="J852" i="26"/>
  <c r="I852" i="26"/>
  <c r="H852" i="26"/>
  <c r="O851" i="26"/>
  <c r="N851" i="26"/>
  <c r="M851" i="26"/>
  <c r="L851" i="26"/>
  <c r="K851" i="26"/>
  <c r="J851" i="26"/>
  <c r="I851" i="26"/>
  <c r="H851" i="26"/>
  <c r="O850" i="26"/>
  <c r="N850" i="26"/>
  <c r="M850" i="26"/>
  <c r="L850" i="26"/>
  <c r="K850" i="26"/>
  <c r="J850" i="26"/>
  <c r="I850" i="26"/>
  <c r="H850" i="26"/>
  <c r="O849" i="26"/>
  <c r="N849" i="26"/>
  <c r="M849" i="26"/>
  <c r="L849" i="26"/>
  <c r="K849" i="26"/>
  <c r="J849" i="26"/>
  <c r="I849" i="26"/>
  <c r="H849" i="26"/>
  <c r="O848" i="26"/>
  <c r="N848" i="26"/>
  <c r="M848" i="26"/>
  <c r="L848" i="26"/>
  <c r="K848" i="26"/>
  <c r="J848" i="26"/>
  <c r="I848" i="26"/>
  <c r="H848" i="26"/>
  <c r="O847" i="26"/>
  <c r="N847" i="26"/>
  <c r="M847" i="26"/>
  <c r="L847" i="26"/>
  <c r="K847" i="26"/>
  <c r="J847" i="26"/>
  <c r="I847" i="26"/>
  <c r="H847" i="26"/>
  <c r="O846" i="26"/>
  <c r="N846" i="26"/>
  <c r="M846" i="26"/>
  <c r="L846" i="26"/>
  <c r="K846" i="26"/>
  <c r="J846" i="26"/>
  <c r="I846" i="26"/>
  <c r="H846" i="26"/>
  <c r="O845" i="26"/>
  <c r="N845" i="26"/>
  <c r="M845" i="26"/>
  <c r="L845" i="26"/>
  <c r="K845" i="26"/>
  <c r="J845" i="26"/>
  <c r="I845" i="26"/>
  <c r="H845" i="26"/>
  <c r="O844" i="26"/>
  <c r="N844" i="26"/>
  <c r="M844" i="26"/>
  <c r="L844" i="26"/>
  <c r="K844" i="26"/>
  <c r="J844" i="26"/>
  <c r="I844" i="26"/>
  <c r="H844" i="26"/>
  <c r="O843" i="26"/>
  <c r="N843" i="26"/>
  <c r="M843" i="26"/>
  <c r="L843" i="26"/>
  <c r="K843" i="26"/>
  <c r="J843" i="26"/>
  <c r="I843" i="26"/>
  <c r="H843" i="26"/>
  <c r="O842" i="26"/>
  <c r="N842" i="26"/>
  <c r="M842" i="26"/>
  <c r="L842" i="26"/>
  <c r="K842" i="26"/>
  <c r="J842" i="26"/>
  <c r="I842" i="26"/>
  <c r="H842" i="26"/>
  <c r="O841" i="26"/>
  <c r="N841" i="26"/>
  <c r="M841" i="26"/>
  <c r="L841" i="26"/>
  <c r="K841" i="26"/>
  <c r="J841" i="26"/>
  <c r="I841" i="26"/>
  <c r="H841" i="26"/>
  <c r="O840" i="26"/>
  <c r="N840" i="26"/>
  <c r="M840" i="26"/>
  <c r="L840" i="26"/>
  <c r="K840" i="26"/>
  <c r="J840" i="26"/>
  <c r="I840" i="26"/>
  <c r="H840" i="26"/>
  <c r="O839" i="26"/>
  <c r="N839" i="26"/>
  <c r="M839" i="26"/>
  <c r="L839" i="26"/>
  <c r="K839" i="26"/>
  <c r="J839" i="26"/>
  <c r="I839" i="26"/>
  <c r="H839" i="26"/>
  <c r="O838" i="26"/>
  <c r="N838" i="26"/>
  <c r="M838" i="26"/>
  <c r="L838" i="26"/>
  <c r="K838" i="26"/>
  <c r="J838" i="26"/>
  <c r="I838" i="26"/>
  <c r="H838" i="26"/>
  <c r="O837" i="26"/>
  <c r="N837" i="26"/>
  <c r="M837" i="26"/>
  <c r="L837" i="26"/>
  <c r="K837" i="26"/>
  <c r="J837" i="26"/>
  <c r="I837" i="26"/>
  <c r="H837" i="26"/>
  <c r="O836" i="26"/>
  <c r="N836" i="26"/>
  <c r="M836" i="26"/>
  <c r="L836" i="26"/>
  <c r="K836" i="26"/>
  <c r="J836" i="26"/>
  <c r="I836" i="26"/>
  <c r="H836" i="26"/>
  <c r="O835" i="26"/>
  <c r="N835" i="26"/>
  <c r="M835" i="26"/>
  <c r="L835" i="26"/>
  <c r="K835" i="26"/>
  <c r="J835" i="26"/>
  <c r="I835" i="26"/>
  <c r="H835" i="26"/>
  <c r="O834" i="26"/>
  <c r="N834" i="26"/>
  <c r="M834" i="26"/>
  <c r="L834" i="26"/>
  <c r="K834" i="26"/>
  <c r="J834" i="26"/>
  <c r="I834" i="26"/>
  <c r="H834" i="26"/>
  <c r="O833" i="26"/>
  <c r="N833" i="26"/>
  <c r="M833" i="26"/>
  <c r="L833" i="26"/>
  <c r="K833" i="26"/>
  <c r="J833" i="26"/>
  <c r="I833" i="26"/>
  <c r="H833" i="26"/>
  <c r="O832" i="26"/>
  <c r="N832" i="26"/>
  <c r="M832" i="26"/>
  <c r="L832" i="26"/>
  <c r="K832" i="26"/>
  <c r="J832" i="26"/>
  <c r="I832" i="26"/>
  <c r="H832" i="26"/>
  <c r="O831" i="26"/>
  <c r="N831" i="26"/>
  <c r="M831" i="26"/>
  <c r="L831" i="26"/>
  <c r="K831" i="26"/>
  <c r="J831" i="26"/>
  <c r="I831" i="26"/>
  <c r="H831" i="26"/>
  <c r="O830" i="26"/>
  <c r="N830" i="26"/>
  <c r="M830" i="26"/>
  <c r="L830" i="26"/>
  <c r="K830" i="26"/>
  <c r="J830" i="26"/>
  <c r="I830" i="26"/>
  <c r="H830" i="26"/>
  <c r="O829" i="26"/>
  <c r="N829" i="26"/>
  <c r="M829" i="26"/>
  <c r="L829" i="26"/>
  <c r="K829" i="26"/>
  <c r="J829" i="26"/>
  <c r="I829" i="26"/>
  <c r="H829" i="26"/>
  <c r="O828" i="26"/>
  <c r="N828" i="26"/>
  <c r="M828" i="26"/>
  <c r="L828" i="26"/>
  <c r="K828" i="26"/>
  <c r="J828" i="26"/>
  <c r="I828" i="26"/>
  <c r="H828" i="26"/>
  <c r="O827" i="26"/>
  <c r="N827" i="26"/>
  <c r="M827" i="26"/>
  <c r="L827" i="26"/>
  <c r="K827" i="26"/>
  <c r="J827" i="26"/>
  <c r="I827" i="26"/>
  <c r="H827" i="26"/>
  <c r="O826" i="26"/>
  <c r="N826" i="26"/>
  <c r="M826" i="26"/>
  <c r="L826" i="26"/>
  <c r="K826" i="26"/>
  <c r="J826" i="26"/>
  <c r="I826" i="26"/>
  <c r="H826" i="26"/>
  <c r="O825" i="26"/>
  <c r="N825" i="26"/>
  <c r="M825" i="26"/>
  <c r="L825" i="26"/>
  <c r="K825" i="26"/>
  <c r="J825" i="26"/>
  <c r="I825" i="26"/>
  <c r="H825" i="26"/>
  <c r="O824" i="26"/>
  <c r="N824" i="26"/>
  <c r="M824" i="26"/>
  <c r="L824" i="26"/>
  <c r="K824" i="26"/>
  <c r="J824" i="26"/>
  <c r="I824" i="26"/>
  <c r="H824" i="26"/>
  <c r="O823" i="26"/>
  <c r="N823" i="26"/>
  <c r="M823" i="26"/>
  <c r="L823" i="26"/>
  <c r="K823" i="26"/>
  <c r="J823" i="26"/>
  <c r="I823" i="26"/>
  <c r="H823" i="26"/>
  <c r="O822" i="26"/>
  <c r="N822" i="26"/>
  <c r="M822" i="26"/>
  <c r="L822" i="26"/>
  <c r="K822" i="26"/>
  <c r="J822" i="26"/>
  <c r="I822" i="26"/>
  <c r="H822" i="26"/>
  <c r="O821" i="26"/>
  <c r="N821" i="26"/>
  <c r="M821" i="26"/>
  <c r="L821" i="26"/>
  <c r="K821" i="26"/>
  <c r="J821" i="26"/>
  <c r="I821" i="26"/>
  <c r="H821" i="26"/>
  <c r="O820" i="26"/>
  <c r="N820" i="26"/>
  <c r="M820" i="26"/>
  <c r="L820" i="26"/>
  <c r="K820" i="26"/>
  <c r="J820" i="26"/>
  <c r="I820" i="26"/>
  <c r="H820" i="26"/>
  <c r="O819" i="26"/>
  <c r="N819" i="26"/>
  <c r="M819" i="26"/>
  <c r="L819" i="26"/>
  <c r="K819" i="26"/>
  <c r="J819" i="26"/>
  <c r="I819" i="26"/>
  <c r="H819" i="26"/>
  <c r="O818" i="26"/>
  <c r="N818" i="26"/>
  <c r="M818" i="26"/>
  <c r="L818" i="26"/>
  <c r="K818" i="26"/>
  <c r="J818" i="26"/>
  <c r="I818" i="26"/>
  <c r="H818" i="26"/>
  <c r="O817" i="26"/>
  <c r="N817" i="26"/>
  <c r="M817" i="26"/>
  <c r="L817" i="26"/>
  <c r="K817" i="26"/>
  <c r="J817" i="26"/>
  <c r="I817" i="26"/>
  <c r="H817" i="26"/>
  <c r="O816" i="26"/>
  <c r="N816" i="26"/>
  <c r="M816" i="26"/>
  <c r="L816" i="26"/>
  <c r="K816" i="26"/>
  <c r="J816" i="26"/>
  <c r="I816" i="26"/>
  <c r="H816" i="26"/>
  <c r="O815" i="26"/>
  <c r="N815" i="26"/>
  <c r="M815" i="26"/>
  <c r="L815" i="26"/>
  <c r="K815" i="26"/>
  <c r="J815" i="26"/>
  <c r="I815" i="26"/>
  <c r="H815" i="26"/>
  <c r="O814" i="26"/>
  <c r="N814" i="26"/>
  <c r="M814" i="26"/>
  <c r="L814" i="26"/>
  <c r="K814" i="26"/>
  <c r="J814" i="26"/>
  <c r="I814" i="26"/>
  <c r="H814" i="26"/>
  <c r="O813" i="26"/>
  <c r="N813" i="26"/>
  <c r="M813" i="26"/>
  <c r="L813" i="26"/>
  <c r="K813" i="26"/>
  <c r="J813" i="26"/>
  <c r="I813" i="26"/>
  <c r="H813" i="26"/>
  <c r="O812" i="26"/>
  <c r="N812" i="26"/>
  <c r="M812" i="26"/>
  <c r="L812" i="26"/>
  <c r="K812" i="26"/>
  <c r="J812" i="26"/>
  <c r="I812" i="26"/>
  <c r="H812" i="26"/>
  <c r="O811" i="26"/>
  <c r="N811" i="26"/>
  <c r="M811" i="26"/>
  <c r="L811" i="26"/>
  <c r="K811" i="26"/>
  <c r="J811" i="26"/>
  <c r="I811" i="26"/>
  <c r="H811" i="26"/>
  <c r="O810" i="26"/>
  <c r="N810" i="26"/>
  <c r="M810" i="26"/>
  <c r="L810" i="26"/>
  <c r="K810" i="26"/>
  <c r="J810" i="26"/>
  <c r="I810" i="26"/>
  <c r="H810" i="26"/>
  <c r="O809" i="26"/>
  <c r="N809" i="26"/>
  <c r="M809" i="26"/>
  <c r="L809" i="26"/>
  <c r="K809" i="26"/>
  <c r="J809" i="26"/>
  <c r="I809" i="26"/>
  <c r="H809" i="26"/>
  <c r="O808" i="26"/>
  <c r="N808" i="26"/>
  <c r="M808" i="26"/>
  <c r="L808" i="26"/>
  <c r="K808" i="26"/>
  <c r="J808" i="26"/>
  <c r="I808" i="26"/>
  <c r="H808" i="26"/>
  <c r="O807" i="26"/>
  <c r="N807" i="26"/>
  <c r="M807" i="26"/>
  <c r="L807" i="26"/>
  <c r="K807" i="26"/>
  <c r="J807" i="26"/>
  <c r="I807" i="26"/>
  <c r="H807" i="26"/>
  <c r="O806" i="26"/>
  <c r="N806" i="26"/>
  <c r="M806" i="26"/>
  <c r="L806" i="26"/>
  <c r="K806" i="26"/>
  <c r="J806" i="26"/>
  <c r="I806" i="26"/>
  <c r="H806" i="26"/>
  <c r="O805" i="26"/>
  <c r="N805" i="26"/>
  <c r="M805" i="26"/>
  <c r="L805" i="26"/>
  <c r="K805" i="26"/>
  <c r="J805" i="26"/>
  <c r="I805" i="26"/>
  <c r="H805" i="26"/>
  <c r="O804" i="26"/>
  <c r="N804" i="26"/>
  <c r="M804" i="26"/>
  <c r="L804" i="26"/>
  <c r="K804" i="26"/>
  <c r="J804" i="26"/>
  <c r="I804" i="26"/>
  <c r="H804" i="26"/>
  <c r="O803" i="26"/>
  <c r="N803" i="26"/>
  <c r="M803" i="26"/>
  <c r="L803" i="26"/>
  <c r="K803" i="26"/>
  <c r="J803" i="26"/>
  <c r="I803" i="26"/>
  <c r="H803" i="26"/>
  <c r="O802" i="26"/>
  <c r="N802" i="26"/>
  <c r="M802" i="26"/>
  <c r="L802" i="26"/>
  <c r="K802" i="26"/>
  <c r="J802" i="26"/>
  <c r="I802" i="26"/>
  <c r="H802" i="26"/>
  <c r="O801" i="26"/>
  <c r="N801" i="26"/>
  <c r="M801" i="26"/>
  <c r="L801" i="26"/>
  <c r="K801" i="26"/>
  <c r="J801" i="26"/>
  <c r="I801" i="26"/>
  <c r="H801" i="26"/>
  <c r="O800" i="26"/>
  <c r="N800" i="26"/>
  <c r="M800" i="26"/>
  <c r="L800" i="26"/>
  <c r="K800" i="26"/>
  <c r="J800" i="26"/>
  <c r="I800" i="26"/>
  <c r="H800" i="26"/>
  <c r="O799" i="26"/>
  <c r="N799" i="26"/>
  <c r="M799" i="26"/>
  <c r="L799" i="26"/>
  <c r="K799" i="26"/>
  <c r="J799" i="26"/>
  <c r="I799" i="26"/>
  <c r="H799" i="26"/>
  <c r="O798" i="26"/>
  <c r="N798" i="26"/>
  <c r="M798" i="26"/>
  <c r="L798" i="26"/>
  <c r="K798" i="26"/>
  <c r="J798" i="26"/>
  <c r="I798" i="26"/>
  <c r="H798" i="26"/>
  <c r="O797" i="26"/>
  <c r="N797" i="26"/>
  <c r="M797" i="26"/>
  <c r="L797" i="26"/>
  <c r="K797" i="26"/>
  <c r="J797" i="26"/>
  <c r="I797" i="26"/>
  <c r="H797" i="26"/>
  <c r="O796" i="26"/>
  <c r="N796" i="26"/>
  <c r="M796" i="26"/>
  <c r="L796" i="26"/>
  <c r="K796" i="26"/>
  <c r="J796" i="26"/>
  <c r="I796" i="26"/>
  <c r="H796" i="26"/>
  <c r="O795" i="26"/>
  <c r="N795" i="26"/>
  <c r="M795" i="26"/>
  <c r="L795" i="26"/>
  <c r="K795" i="26"/>
  <c r="J795" i="26"/>
  <c r="I795" i="26"/>
  <c r="H795" i="26"/>
  <c r="O794" i="26"/>
  <c r="N794" i="26"/>
  <c r="M794" i="26"/>
  <c r="L794" i="26"/>
  <c r="K794" i="26"/>
  <c r="J794" i="26"/>
  <c r="I794" i="26"/>
  <c r="H794" i="26"/>
  <c r="O793" i="26"/>
  <c r="N793" i="26"/>
  <c r="M793" i="26"/>
  <c r="L793" i="26"/>
  <c r="K793" i="26"/>
  <c r="J793" i="26"/>
  <c r="I793" i="26"/>
  <c r="H793" i="26"/>
  <c r="O792" i="26"/>
  <c r="N792" i="26"/>
  <c r="M792" i="26"/>
  <c r="L792" i="26"/>
  <c r="K792" i="26"/>
  <c r="J792" i="26"/>
  <c r="I792" i="26"/>
  <c r="H792" i="26"/>
  <c r="O791" i="26"/>
  <c r="N791" i="26"/>
  <c r="M791" i="26"/>
  <c r="L791" i="26"/>
  <c r="K791" i="26"/>
  <c r="J791" i="26"/>
  <c r="I791" i="26"/>
  <c r="H791" i="26"/>
  <c r="O790" i="26"/>
  <c r="N790" i="26"/>
  <c r="M790" i="26"/>
  <c r="L790" i="26"/>
  <c r="K790" i="26"/>
  <c r="J790" i="26"/>
  <c r="I790" i="26"/>
  <c r="H790" i="26"/>
  <c r="O789" i="26"/>
  <c r="N789" i="26"/>
  <c r="M789" i="26"/>
  <c r="L789" i="26"/>
  <c r="K789" i="26"/>
  <c r="J789" i="26"/>
  <c r="I789" i="26"/>
  <c r="H789" i="26"/>
  <c r="O788" i="26"/>
  <c r="N788" i="26"/>
  <c r="M788" i="26"/>
  <c r="L788" i="26"/>
  <c r="K788" i="26"/>
  <c r="J788" i="26"/>
  <c r="I788" i="26"/>
  <c r="H788" i="26"/>
  <c r="O787" i="26"/>
  <c r="N787" i="26"/>
  <c r="M787" i="26"/>
  <c r="L787" i="26"/>
  <c r="K787" i="26"/>
  <c r="J787" i="26"/>
  <c r="I787" i="26"/>
  <c r="H787" i="26"/>
  <c r="O786" i="26"/>
  <c r="N786" i="26"/>
  <c r="M786" i="26"/>
  <c r="L786" i="26"/>
  <c r="K786" i="26"/>
  <c r="J786" i="26"/>
  <c r="I786" i="26"/>
  <c r="H786" i="26"/>
  <c r="O785" i="26"/>
  <c r="N785" i="26"/>
  <c r="M785" i="26"/>
  <c r="L785" i="26"/>
  <c r="K785" i="26"/>
  <c r="J785" i="26"/>
  <c r="I785" i="26"/>
  <c r="H785" i="26"/>
  <c r="O784" i="26"/>
  <c r="N784" i="26"/>
  <c r="M784" i="26"/>
  <c r="L784" i="26"/>
  <c r="K784" i="26"/>
  <c r="J784" i="26"/>
  <c r="I784" i="26"/>
  <c r="H784" i="26"/>
  <c r="O783" i="26"/>
  <c r="N783" i="26"/>
  <c r="M783" i="26"/>
  <c r="L783" i="26"/>
  <c r="K783" i="26"/>
  <c r="J783" i="26"/>
  <c r="I783" i="26"/>
  <c r="H783" i="26"/>
  <c r="O782" i="26"/>
  <c r="N782" i="26"/>
  <c r="M782" i="26"/>
  <c r="L782" i="26"/>
  <c r="K782" i="26"/>
  <c r="J782" i="26"/>
  <c r="I782" i="26"/>
  <c r="H782" i="26"/>
  <c r="O781" i="26"/>
  <c r="N781" i="26"/>
  <c r="M781" i="26"/>
  <c r="L781" i="26"/>
  <c r="K781" i="26"/>
  <c r="J781" i="26"/>
  <c r="I781" i="26"/>
  <c r="H781" i="26"/>
  <c r="O780" i="26"/>
  <c r="N780" i="26"/>
  <c r="M780" i="26"/>
  <c r="L780" i="26"/>
  <c r="K780" i="26"/>
  <c r="J780" i="26"/>
  <c r="I780" i="26"/>
  <c r="H780" i="26"/>
  <c r="O779" i="26"/>
  <c r="N779" i="26"/>
  <c r="M779" i="26"/>
  <c r="L779" i="26"/>
  <c r="K779" i="26"/>
  <c r="J779" i="26"/>
  <c r="I779" i="26"/>
  <c r="H779" i="26"/>
  <c r="O778" i="26"/>
  <c r="N778" i="26"/>
  <c r="M778" i="26"/>
  <c r="L778" i="26"/>
  <c r="K778" i="26"/>
  <c r="J778" i="26"/>
  <c r="I778" i="26"/>
  <c r="H778" i="26"/>
  <c r="O777" i="26"/>
  <c r="N777" i="26"/>
  <c r="M777" i="26"/>
  <c r="L777" i="26"/>
  <c r="K777" i="26"/>
  <c r="J777" i="26"/>
  <c r="I777" i="26"/>
  <c r="H777" i="26"/>
  <c r="O776" i="26"/>
  <c r="N776" i="26"/>
  <c r="M776" i="26"/>
  <c r="L776" i="26"/>
  <c r="K776" i="26"/>
  <c r="J776" i="26"/>
  <c r="I776" i="26"/>
  <c r="H776" i="26"/>
  <c r="O775" i="26"/>
  <c r="N775" i="26"/>
  <c r="M775" i="26"/>
  <c r="L775" i="26"/>
  <c r="K775" i="26"/>
  <c r="J775" i="26"/>
  <c r="I775" i="26"/>
  <c r="H775" i="26"/>
  <c r="O774" i="26"/>
  <c r="N774" i="26"/>
  <c r="M774" i="26"/>
  <c r="L774" i="26"/>
  <c r="K774" i="26"/>
  <c r="J774" i="26"/>
  <c r="I774" i="26"/>
  <c r="H774" i="26"/>
  <c r="O773" i="26"/>
  <c r="N773" i="26"/>
  <c r="M773" i="26"/>
  <c r="L773" i="26"/>
  <c r="K773" i="26"/>
  <c r="J773" i="26"/>
  <c r="I773" i="26"/>
  <c r="H773" i="26"/>
  <c r="O772" i="26"/>
  <c r="N772" i="26"/>
  <c r="M772" i="26"/>
  <c r="L772" i="26"/>
  <c r="K772" i="26"/>
  <c r="J772" i="26"/>
  <c r="I772" i="26"/>
  <c r="H772" i="26"/>
  <c r="O771" i="26"/>
  <c r="N771" i="26"/>
  <c r="M771" i="26"/>
  <c r="L771" i="26"/>
  <c r="K771" i="26"/>
  <c r="J771" i="26"/>
  <c r="I771" i="26"/>
  <c r="H771" i="26"/>
  <c r="O770" i="26"/>
  <c r="N770" i="26"/>
  <c r="M770" i="26"/>
  <c r="L770" i="26"/>
  <c r="K770" i="26"/>
  <c r="J770" i="26"/>
  <c r="I770" i="26"/>
  <c r="H770" i="26"/>
  <c r="O769" i="26"/>
  <c r="N769" i="26"/>
  <c r="M769" i="26"/>
  <c r="L769" i="26"/>
  <c r="K769" i="26"/>
  <c r="J769" i="26"/>
  <c r="I769" i="26"/>
  <c r="H769" i="26"/>
  <c r="O768" i="26"/>
  <c r="N768" i="26"/>
  <c r="M768" i="26"/>
  <c r="L768" i="26"/>
  <c r="K768" i="26"/>
  <c r="J768" i="26"/>
  <c r="I768" i="26"/>
  <c r="H768" i="26"/>
  <c r="O767" i="26"/>
  <c r="N767" i="26"/>
  <c r="M767" i="26"/>
  <c r="L767" i="26"/>
  <c r="K767" i="26"/>
  <c r="J767" i="26"/>
  <c r="I767" i="26"/>
  <c r="H767" i="26"/>
  <c r="O766" i="26"/>
  <c r="N766" i="26"/>
  <c r="M766" i="26"/>
  <c r="L766" i="26"/>
  <c r="K766" i="26"/>
  <c r="J766" i="26"/>
  <c r="I766" i="26"/>
  <c r="H766" i="26"/>
  <c r="O765" i="26"/>
  <c r="N765" i="26"/>
  <c r="M765" i="26"/>
  <c r="L765" i="26"/>
  <c r="K765" i="26"/>
  <c r="J765" i="26"/>
  <c r="I765" i="26"/>
  <c r="H765" i="26"/>
  <c r="O764" i="26"/>
  <c r="N764" i="26"/>
  <c r="M764" i="26"/>
  <c r="L764" i="26"/>
  <c r="K764" i="26"/>
  <c r="J764" i="26"/>
  <c r="I764" i="26"/>
  <c r="H764" i="26"/>
  <c r="O763" i="26"/>
  <c r="N763" i="26"/>
  <c r="M763" i="26"/>
  <c r="L763" i="26"/>
  <c r="K763" i="26"/>
  <c r="J763" i="26"/>
  <c r="I763" i="26"/>
  <c r="H763" i="26"/>
  <c r="O762" i="26"/>
  <c r="N762" i="26"/>
  <c r="M762" i="26"/>
  <c r="L762" i="26"/>
  <c r="K762" i="26"/>
  <c r="J762" i="26"/>
  <c r="I762" i="26"/>
  <c r="H762" i="26"/>
  <c r="O761" i="26"/>
  <c r="N761" i="26"/>
  <c r="M761" i="26"/>
  <c r="L761" i="26"/>
  <c r="K761" i="26"/>
  <c r="J761" i="26"/>
  <c r="I761" i="26"/>
  <c r="H761" i="26"/>
  <c r="O760" i="26"/>
  <c r="N760" i="26"/>
  <c r="M760" i="26"/>
  <c r="L760" i="26"/>
  <c r="K760" i="26"/>
  <c r="J760" i="26"/>
  <c r="I760" i="26"/>
  <c r="H760" i="26"/>
  <c r="O759" i="26"/>
  <c r="N759" i="26"/>
  <c r="M759" i="26"/>
  <c r="L759" i="26"/>
  <c r="K759" i="26"/>
  <c r="J759" i="26"/>
  <c r="I759" i="26"/>
  <c r="H759" i="26"/>
  <c r="O758" i="26"/>
  <c r="N758" i="26"/>
  <c r="M758" i="26"/>
  <c r="L758" i="26"/>
  <c r="K758" i="26"/>
  <c r="J758" i="26"/>
  <c r="I758" i="26"/>
  <c r="H758" i="26"/>
  <c r="O757" i="26"/>
  <c r="N757" i="26"/>
  <c r="M757" i="26"/>
  <c r="L757" i="26"/>
  <c r="K757" i="26"/>
  <c r="J757" i="26"/>
  <c r="I757" i="26"/>
  <c r="H757" i="26"/>
  <c r="O756" i="26"/>
  <c r="N756" i="26"/>
  <c r="M756" i="26"/>
  <c r="L756" i="26"/>
  <c r="K756" i="26"/>
  <c r="J756" i="26"/>
  <c r="I756" i="26"/>
  <c r="H756" i="26"/>
  <c r="O755" i="26"/>
  <c r="N755" i="26"/>
  <c r="M755" i="26"/>
  <c r="L755" i="26"/>
  <c r="K755" i="26"/>
  <c r="J755" i="26"/>
  <c r="I755" i="26"/>
  <c r="H755" i="26"/>
  <c r="O754" i="26"/>
  <c r="N754" i="26"/>
  <c r="M754" i="26"/>
  <c r="L754" i="26"/>
  <c r="K754" i="26"/>
  <c r="J754" i="26"/>
  <c r="I754" i="26"/>
  <c r="H754" i="26"/>
  <c r="O753" i="26"/>
  <c r="N753" i="26"/>
  <c r="M753" i="26"/>
  <c r="L753" i="26"/>
  <c r="K753" i="26"/>
  <c r="J753" i="26"/>
  <c r="I753" i="26"/>
  <c r="H753" i="26"/>
  <c r="O752" i="26"/>
  <c r="N752" i="26"/>
  <c r="M752" i="26"/>
  <c r="L752" i="26"/>
  <c r="K752" i="26"/>
  <c r="J752" i="26"/>
  <c r="I752" i="26"/>
  <c r="H752" i="26"/>
  <c r="O751" i="26"/>
  <c r="N751" i="26"/>
  <c r="M751" i="26"/>
  <c r="L751" i="26"/>
  <c r="K751" i="26"/>
  <c r="J751" i="26"/>
  <c r="I751" i="26"/>
  <c r="H751" i="26"/>
  <c r="O750" i="26"/>
  <c r="N750" i="26"/>
  <c r="M750" i="26"/>
  <c r="L750" i="26"/>
  <c r="K750" i="26"/>
  <c r="J750" i="26"/>
  <c r="I750" i="26"/>
  <c r="H750" i="26"/>
  <c r="O749" i="26"/>
  <c r="N749" i="26"/>
  <c r="M749" i="26"/>
  <c r="L749" i="26"/>
  <c r="K749" i="26"/>
  <c r="J749" i="26"/>
  <c r="I749" i="26"/>
  <c r="H749" i="26"/>
  <c r="O748" i="26"/>
  <c r="N748" i="26"/>
  <c r="M748" i="26"/>
  <c r="L748" i="26"/>
  <c r="K748" i="26"/>
  <c r="J748" i="26"/>
  <c r="I748" i="26"/>
  <c r="H748" i="26"/>
  <c r="O747" i="26"/>
  <c r="N747" i="26"/>
  <c r="M747" i="26"/>
  <c r="L747" i="26"/>
  <c r="K747" i="26"/>
  <c r="J747" i="26"/>
  <c r="I747" i="26"/>
  <c r="H747" i="26"/>
  <c r="O746" i="26"/>
  <c r="N746" i="26"/>
  <c r="M746" i="26"/>
  <c r="L746" i="26"/>
  <c r="K746" i="26"/>
  <c r="J746" i="26"/>
  <c r="I746" i="26"/>
  <c r="H746" i="26"/>
  <c r="O745" i="26"/>
  <c r="N745" i="26"/>
  <c r="M745" i="26"/>
  <c r="L745" i="26"/>
  <c r="K745" i="26"/>
  <c r="J745" i="26"/>
  <c r="I745" i="26"/>
  <c r="H745" i="26"/>
  <c r="O744" i="26"/>
  <c r="N744" i="26"/>
  <c r="M744" i="26"/>
  <c r="L744" i="26"/>
  <c r="K744" i="26"/>
  <c r="J744" i="26"/>
  <c r="I744" i="26"/>
  <c r="H744" i="26"/>
  <c r="O743" i="26"/>
  <c r="N743" i="26"/>
  <c r="M743" i="26"/>
  <c r="L743" i="26"/>
  <c r="K743" i="26"/>
  <c r="J743" i="26"/>
  <c r="I743" i="26"/>
  <c r="H743" i="26"/>
  <c r="O742" i="26"/>
  <c r="N742" i="26"/>
  <c r="M742" i="26"/>
  <c r="L742" i="26"/>
  <c r="K742" i="26"/>
  <c r="J742" i="26"/>
  <c r="I742" i="26"/>
  <c r="H742" i="26"/>
  <c r="O741" i="26"/>
  <c r="N741" i="26"/>
  <c r="M741" i="26"/>
  <c r="L741" i="26"/>
  <c r="K741" i="26"/>
  <c r="J741" i="26"/>
  <c r="I741" i="26"/>
  <c r="H741" i="26"/>
  <c r="O740" i="26"/>
  <c r="N740" i="26"/>
  <c r="M740" i="26"/>
  <c r="L740" i="26"/>
  <c r="K740" i="26"/>
  <c r="J740" i="26"/>
  <c r="I740" i="26"/>
  <c r="H740" i="26"/>
  <c r="O739" i="26"/>
  <c r="N739" i="26"/>
  <c r="M739" i="26"/>
  <c r="L739" i="26"/>
  <c r="K739" i="26"/>
  <c r="J739" i="26"/>
  <c r="I739" i="26"/>
  <c r="H739" i="26"/>
  <c r="O738" i="26"/>
  <c r="N738" i="26"/>
  <c r="M738" i="26"/>
  <c r="L738" i="26"/>
  <c r="K738" i="26"/>
  <c r="J738" i="26"/>
  <c r="I738" i="26"/>
  <c r="H738" i="26"/>
  <c r="O737" i="26"/>
  <c r="N737" i="26"/>
  <c r="M737" i="26"/>
  <c r="L737" i="26"/>
  <c r="K737" i="26"/>
  <c r="J737" i="26"/>
  <c r="I737" i="26"/>
  <c r="H737" i="26"/>
  <c r="O736" i="26"/>
  <c r="N736" i="26"/>
  <c r="M736" i="26"/>
  <c r="L736" i="26"/>
  <c r="K736" i="26"/>
  <c r="J736" i="26"/>
  <c r="I736" i="26"/>
  <c r="H736" i="26"/>
  <c r="O735" i="26"/>
  <c r="N735" i="26"/>
  <c r="M735" i="26"/>
  <c r="L735" i="26"/>
  <c r="K735" i="26"/>
  <c r="J735" i="26"/>
  <c r="I735" i="26"/>
  <c r="H735" i="26"/>
  <c r="O734" i="26"/>
  <c r="N734" i="26"/>
  <c r="M734" i="26"/>
  <c r="L734" i="26"/>
  <c r="K734" i="26"/>
  <c r="J734" i="26"/>
  <c r="I734" i="26"/>
  <c r="H734" i="26"/>
  <c r="O733" i="26"/>
  <c r="N733" i="26"/>
  <c r="M733" i="26"/>
  <c r="L733" i="26"/>
  <c r="K733" i="26"/>
  <c r="J733" i="26"/>
  <c r="I733" i="26"/>
  <c r="H733" i="26"/>
  <c r="O732" i="26"/>
  <c r="N732" i="26"/>
  <c r="M732" i="26"/>
  <c r="L732" i="26"/>
  <c r="K732" i="26"/>
  <c r="J732" i="26"/>
  <c r="I732" i="26"/>
  <c r="H732" i="26"/>
  <c r="O731" i="26"/>
  <c r="N731" i="26"/>
  <c r="M731" i="26"/>
  <c r="L731" i="26"/>
  <c r="K731" i="26"/>
  <c r="J731" i="26"/>
  <c r="I731" i="26"/>
  <c r="H731" i="26"/>
  <c r="O730" i="26"/>
  <c r="N730" i="26"/>
  <c r="M730" i="26"/>
  <c r="L730" i="26"/>
  <c r="K730" i="26"/>
  <c r="J730" i="26"/>
  <c r="I730" i="26"/>
  <c r="H730" i="26"/>
  <c r="O729" i="26"/>
  <c r="N729" i="26"/>
  <c r="M729" i="26"/>
  <c r="L729" i="26"/>
  <c r="K729" i="26"/>
  <c r="J729" i="26"/>
  <c r="I729" i="26"/>
  <c r="H729" i="26"/>
  <c r="O728" i="26"/>
  <c r="N728" i="26"/>
  <c r="M728" i="26"/>
  <c r="L728" i="26"/>
  <c r="K728" i="26"/>
  <c r="J728" i="26"/>
  <c r="I728" i="26"/>
  <c r="H728" i="26"/>
  <c r="O727" i="26"/>
  <c r="N727" i="26"/>
  <c r="M727" i="26"/>
  <c r="L727" i="26"/>
  <c r="K727" i="26"/>
  <c r="J727" i="26"/>
  <c r="I727" i="26"/>
  <c r="H727" i="26"/>
  <c r="O726" i="26"/>
  <c r="N726" i="26"/>
  <c r="M726" i="26"/>
  <c r="L726" i="26"/>
  <c r="K726" i="26"/>
  <c r="J726" i="26"/>
  <c r="I726" i="26"/>
  <c r="H726" i="26"/>
  <c r="O725" i="26"/>
  <c r="N725" i="26"/>
  <c r="M725" i="26"/>
  <c r="L725" i="26"/>
  <c r="K725" i="26"/>
  <c r="J725" i="26"/>
  <c r="I725" i="26"/>
  <c r="H725" i="26"/>
  <c r="O724" i="26"/>
  <c r="N724" i="26"/>
  <c r="M724" i="26"/>
  <c r="L724" i="26"/>
  <c r="K724" i="26"/>
  <c r="J724" i="26"/>
  <c r="I724" i="26"/>
  <c r="H724" i="26"/>
  <c r="O723" i="26"/>
  <c r="N723" i="26"/>
  <c r="M723" i="26"/>
  <c r="L723" i="26"/>
  <c r="K723" i="26"/>
  <c r="J723" i="26"/>
  <c r="I723" i="26"/>
  <c r="H723" i="26"/>
  <c r="O722" i="26"/>
  <c r="N722" i="26"/>
  <c r="M722" i="26"/>
  <c r="L722" i="26"/>
  <c r="K722" i="26"/>
  <c r="J722" i="26"/>
  <c r="I722" i="26"/>
  <c r="H722" i="26"/>
  <c r="O721" i="26"/>
  <c r="N721" i="26"/>
  <c r="M721" i="26"/>
  <c r="L721" i="26"/>
  <c r="K721" i="26"/>
  <c r="J721" i="26"/>
  <c r="I721" i="26"/>
  <c r="H721" i="26"/>
  <c r="O720" i="26"/>
  <c r="N720" i="26"/>
  <c r="M720" i="26"/>
  <c r="L720" i="26"/>
  <c r="K720" i="26"/>
  <c r="J720" i="26"/>
  <c r="I720" i="26"/>
  <c r="H720" i="26"/>
  <c r="O719" i="26"/>
  <c r="N719" i="26"/>
  <c r="M719" i="26"/>
  <c r="L719" i="26"/>
  <c r="K719" i="26"/>
  <c r="J719" i="26"/>
  <c r="I719" i="26"/>
  <c r="H719" i="26"/>
  <c r="O718" i="26"/>
  <c r="N718" i="26"/>
  <c r="M718" i="26"/>
  <c r="L718" i="26"/>
  <c r="K718" i="26"/>
  <c r="J718" i="26"/>
  <c r="I718" i="26"/>
  <c r="H718" i="26"/>
  <c r="O717" i="26"/>
  <c r="N717" i="26"/>
  <c r="M717" i="26"/>
  <c r="L717" i="26"/>
  <c r="K717" i="26"/>
  <c r="J717" i="26"/>
  <c r="I717" i="26"/>
  <c r="H717" i="26"/>
  <c r="O716" i="26"/>
  <c r="N716" i="26"/>
  <c r="M716" i="26"/>
  <c r="L716" i="26"/>
  <c r="K716" i="26"/>
  <c r="J716" i="26"/>
  <c r="I716" i="26"/>
  <c r="H716" i="26"/>
  <c r="O715" i="26"/>
  <c r="N715" i="26"/>
  <c r="M715" i="26"/>
  <c r="L715" i="26"/>
  <c r="K715" i="26"/>
  <c r="J715" i="26"/>
  <c r="I715" i="26"/>
  <c r="H715" i="26"/>
  <c r="O714" i="26"/>
  <c r="N714" i="26"/>
  <c r="M714" i="26"/>
  <c r="L714" i="26"/>
  <c r="K714" i="26"/>
  <c r="J714" i="26"/>
  <c r="I714" i="26"/>
  <c r="H714" i="26"/>
  <c r="O713" i="26"/>
  <c r="N713" i="26"/>
  <c r="M713" i="26"/>
  <c r="L713" i="26"/>
  <c r="K713" i="26"/>
  <c r="J713" i="26"/>
  <c r="I713" i="26"/>
  <c r="H713" i="26"/>
  <c r="O712" i="26"/>
  <c r="N712" i="26"/>
  <c r="M712" i="26"/>
  <c r="L712" i="26"/>
  <c r="K712" i="26"/>
  <c r="J712" i="26"/>
  <c r="I712" i="26"/>
  <c r="H712" i="26"/>
  <c r="O711" i="26"/>
  <c r="N711" i="26"/>
  <c r="M711" i="26"/>
  <c r="L711" i="26"/>
  <c r="K711" i="26"/>
  <c r="J711" i="26"/>
  <c r="I711" i="26"/>
  <c r="H711" i="26"/>
  <c r="O710" i="26"/>
  <c r="N710" i="26"/>
  <c r="M710" i="26"/>
  <c r="L710" i="26"/>
  <c r="K710" i="26"/>
  <c r="J710" i="26"/>
  <c r="I710" i="26"/>
  <c r="H710" i="26"/>
  <c r="O709" i="26"/>
  <c r="N709" i="26"/>
  <c r="M709" i="26"/>
  <c r="L709" i="26"/>
  <c r="K709" i="26"/>
  <c r="J709" i="26"/>
  <c r="I709" i="26"/>
  <c r="H709" i="26"/>
  <c r="O708" i="26"/>
  <c r="N708" i="26"/>
  <c r="M708" i="26"/>
  <c r="L708" i="26"/>
  <c r="K708" i="26"/>
  <c r="J708" i="26"/>
  <c r="I708" i="26"/>
  <c r="H708" i="26"/>
  <c r="O707" i="26"/>
  <c r="N707" i="26"/>
  <c r="M707" i="26"/>
  <c r="L707" i="26"/>
  <c r="K707" i="26"/>
  <c r="J707" i="26"/>
  <c r="I707" i="26"/>
  <c r="H707" i="26"/>
  <c r="O706" i="26"/>
  <c r="N706" i="26"/>
  <c r="M706" i="26"/>
  <c r="L706" i="26"/>
  <c r="K706" i="26"/>
  <c r="J706" i="26"/>
  <c r="I706" i="26"/>
  <c r="H706" i="26"/>
  <c r="O705" i="26"/>
  <c r="N705" i="26"/>
  <c r="M705" i="26"/>
  <c r="L705" i="26"/>
  <c r="K705" i="26"/>
  <c r="J705" i="26"/>
  <c r="I705" i="26"/>
  <c r="H705" i="26"/>
  <c r="O704" i="26"/>
  <c r="N704" i="26"/>
  <c r="M704" i="26"/>
  <c r="L704" i="26"/>
  <c r="K704" i="26"/>
  <c r="J704" i="26"/>
  <c r="I704" i="26"/>
  <c r="H704" i="26"/>
  <c r="O703" i="26"/>
  <c r="N703" i="26"/>
  <c r="M703" i="26"/>
  <c r="L703" i="26"/>
  <c r="K703" i="26"/>
  <c r="J703" i="26"/>
  <c r="I703" i="26"/>
  <c r="H703" i="26"/>
  <c r="O702" i="26"/>
  <c r="N702" i="26"/>
  <c r="M702" i="26"/>
  <c r="L702" i="26"/>
  <c r="K702" i="26"/>
  <c r="J702" i="26"/>
  <c r="I702" i="26"/>
  <c r="H702" i="26"/>
  <c r="O701" i="26"/>
  <c r="N701" i="26"/>
  <c r="M701" i="26"/>
  <c r="L701" i="26"/>
  <c r="K701" i="26"/>
  <c r="J701" i="26"/>
  <c r="I701" i="26"/>
  <c r="H701" i="26"/>
  <c r="O700" i="26"/>
  <c r="N700" i="26"/>
  <c r="M700" i="26"/>
  <c r="L700" i="26"/>
  <c r="K700" i="26"/>
  <c r="J700" i="26"/>
  <c r="I700" i="26"/>
  <c r="H700" i="26"/>
  <c r="O699" i="26"/>
  <c r="N699" i="26"/>
  <c r="M699" i="26"/>
  <c r="L699" i="26"/>
  <c r="K699" i="26"/>
  <c r="J699" i="26"/>
  <c r="I699" i="26"/>
  <c r="H699" i="26"/>
  <c r="O698" i="26"/>
  <c r="N698" i="26"/>
  <c r="M698" i="26"/>
  <c r="L698" i="26"/>
  <c r="K698" i="26"/>
  <c r="J698" i="26"/>
  <c r="I698" i="26"/>
  <c r="H698" i="26"/>
  <c r="O697" i="26"/>
  <c r="N697" i="26"/>
  <c r="M697" i="26"/>
  <c r="L697" i="26"/>
  <c r="K697" i="26"/>
  <c r="J697" i="26"/>
  <c r="I697" i="26"/>
  <c r="H697" i="26"/>
  <c r="O696" i="26"/>
  <c r="N696" i="26"/>
  <c r="M696" i="26"/>
  <c r="L696" i="26"/>
  <c r="K696" i="26"/>
  <c r="J696" i="26"/>
  <c r="I696" i="26"/>
  <c r="H696" i="26"/>
  <c r="O695" i="26"/>
  <c r="N695" i="26"/>
  <c r="M695" i="26"/>
  <c r="L695" i="26"/>
  <c r="K695" i="26"/>
  <c r="J695" i="26"/>
  <c r="I695" i="26"/>
  <c r="H695" i="26"/>
  <c r="O694" i="26"/>
  <c r="N694" i="26"/>
  <c r="M694" i="26"/>
  <c r="L694" i="26"/>
  <c r="K694" i="26"/>
  <c r="J694" i="26"/>
  <c r="I694" i="26"/>
  <c r="H694" i="26"/>
  <c r="O693" i="26"/>
  <c r="N693" i="26"/>
  <c r="M693" i="26"/>
  <c r="L693" i="26"/>
  <c r="K693" i="26"/>
  <c r="J693" i="26"/>
  <c r="I693" i="26"/>
  <c r="H693" i="26"/>
  <c r="O692" i="26"/>
  <c r="N692" i="26"/>
  <c r="M692" i="26"/>
  <c r="L692" i="26"/>
  <c r="K692" i="26"/>
  <c r="J692" i="26"/>
  <c r="I692" i="26"/>
  <c r="H692" i="26"/>
  <c r="O691" i="26"/>
  <c r="N691" i="26"/>
  <c r="M691" i="26"/>
  <c r="L691" i="26"/>
  <c r="K691" i="26"/>
  <c r="J691" i="26"/>
  <c r="I691" i="26"/>
  <c r="H691" i="26"/>
  <c r="O690" i="26"/>
  <c r="N690" i="26"/>
  <c r="M690" i="26"/>
  <c r="L690" i="26"/>
  <c r="K690" i="26"/>
  <c r="J690" i="26"/>
  <c r="I690" i="26"/>
  <c r="H690" i="26"/>
  <c r="O689" i="26"/>
  <c r="N689" i="26"/>
  <c r="M689" i="26"/>
  <c r="L689" i="26"/>
  <c r="K689" i="26"/>
  <c r="J689" i="26"/>
  <c r="I689" i="26"/>
  <c r="H689" i="26"/>
  <c r="O688" i="26"/>
  <c r="N688" i="26"/>
  <c r="M688" i="26"/>
  <c r="L688" i="26"/>
  <c r="K688" i="26"/>
  <c r="J688" i="26"/>
  <c r="I688" i="26"/>
  <c r="H688" i="26"/>
  <c r="O687" i="26"/>
  <c r="N687" i="26"/>
  <c r="M687" i="26"/>
  <c r="L687" i="26"/>
  <c r="K687" i="26"/>
  <c r="J687" i="26"/>
  <c r="I687" i="26"/>
  <c r="H687" i="26"/>
  <c r="O686" i="26"/>
  <c r="N686" i="26"/>
  <c r="M686" i="26"/>
  <c r="L686" i="26"/>
  <c r="K686" i="26"/>
  <c r="J686" i="26"/>
  <c r="I686" i="26"/>
  <c r="H686" i="26"/>
  <c r="O685" i="26"/>
  <c r="N685" i="26"/>
  <c r="M685" i="26"/>
  <c r="L685" i="26"/>
  <c r="K685" i="26"/>
  <c r="J685" i="26"/>
  <c r="I685" i="26"/>
  <c r="H685" i="26"/>
  <c r="O684" i="26"/>
  <c r="N684" i="26"/>
  <c r="M684" i="26"/>
  <c r="L684" i="26"/>
  <c r="K684" i="26"/>
  <c r="J684" i="26"/>
  <c r="I684" i="26"/>
  <c r="H684" i="26"/>
  <c r="O683" i="26"/>
  <c r="N683" i="26"/>
  <c r="M683" i="26"/>
  <c r="L683" i="26"/>
  <c r="K683" i="26"/>
  <c r="J683" i="26"/>
  <c r="I683" i="26"/>
  <c r="H683" i="26"/>
  <c r="O682" i="26"/>
  <c r="N682" i="26"/>
  <c r="M682" i="26"/>
  <c r="L682" i="26"/>
  <c r="K682" i="26"/>
  <c r="J682" i="26"/>
  <c r="I682" i="26"/>
  <c r="H682" i="26"/>
  <c r="O681" i="26"/>
  <c r="N681" i="26"/>
  <c r="M681" i="26"/>
  <c r="L681" i="26"/>
  <c r="K681" i="26"/>
  <c r="J681" i="26"/>
  <c r="I681" i="26"/>
  <c r="H681" i="26"/>
  <c r="O680" i="26"/>
  <c r="N680" i="26"/>
  <c r="M680" i="26"/>
  <c r="L680" i="26"/>
  <c r="K680" i="26"/>
  <c r="J680" i="26"/>
  <c r="I680" i="26"/>
  <c r="H680" i="26"/>
  <c r="O679" i="26"/>
  <c r="N679" i="26"/>
  <c r="M679" i="26"/>
  <c r="L679" i="26"/>
  <c r="K679" i="26"/>
  <c r="J679" i="26"/>
  <c r="I679" i="26"/>
  <c r="H679" i="26"/>
  <c r="O678" i="26"/>
  <c r="N678" i="26"/>
  <c r="M678" i="26"/>
  <c r="L678" i="26"/>
  <c r="K678" i="26"/>
  <c r="J678" i="26"/>
  <c r="I678" i="26"/>
  <c r="H678" i="26"/>
  <c r="O677" i="26"/>
  <c r="N677" i="26"/>
  <c r="M677" i="26"/>
  <c r="L677" i="26"/>
  <c r="K677" i="26"/>
  <c r="J677" i="26"/>
  <c r="I677" i="26"/>
  <c r="H677" i="26"/>
  <c r="O676" i="26"/>
  <c r="N676" i="26"/>
  <c r="M676" i="26"/>
  <c r="L676" i="26"/>
  <c r="K676" i="26"/>
  <c r="J676" i="26"/>
  <c r="I676" i="26"/>
  <c r="H676" i="26"/>
  <c r="O675" i="26"/>
  <c r="N675" i="26"/>
  <c r="M675" i="26"/>
  <c r="L675" i="26"/>
  <c r="K675" i="26"/>
  <c r="J675" i="26"/>
  <c r="I675" i="26"/>
  <c r="H675" i="26"/>
  <c r="O674" i="26"/>
  <c r="N674" i="26"/>
  <c r="M674" i="26"/>
  <c r="L674" i="26"/>
  <c r="K674" i="26"/>
  <c r="J674" i="26"/>
  <c r="I674" i="26"/>
  <c r="H674" i="26"/>
  <c r="O673" i="26"/>
  <c r="N673" i="26"/>
  <c r="M673" i="26"/>
  <c r="L673" i="26"/>
  <c r="K673" i="26"/>
  <c r="J673" i="26"/>
  <c r="I673" i="26"/>
  <c r="H673" i="26"/>
  <c r="O672" i="26"/>
  <c r="N672" i="26"/>
  <c r="M672" i="26"/>
  <c r="L672" i="26"/>
  <c r="K672" i="26"/>
  <c r="J672" i="26"/>
  <c r="I672" i="26"/>
  <c r="H672" i="26"/>
  <c r="O671" i="26"/>
  <c r="N671" i="26"/>
  <c r="M671" i="26"/>
  <c r="L671" i="26"/>
  <c r="K671" i="26"/>
  <c r="J671" i="26"/>
  <c r="I671" i="26"/>
  <c r="H671" i="26"/>
  <c r="O670" i="26"/>
  <c r="N670" i="26"/>
  <c r="M670" i="26"/>
  <c r="L670" i="26"/>
  <c r="K670" i="26"/>
  <c r="J670" i="26"/>
  <c r="I670" i="26"/>
  <c r="H670" i="26"/>
  <c r="O669" i="26"/>
  <c r="N669" i="26"/>
  <c r="M669" i="26"/>
  <c r="L669" i="26"/>
  <c r="K669" i="26"/>
  <c r="J669" i="26"/>
  <c r="I669" i="26"/>
  <c r="H669" i="26"/>
  <c r="O668" i="26"/>
  <c r="N668" i="26"/>
  <c r="M668" i="26"/>
  <c r="L668" i="26"/>
  <c r="K668" i="26"/>
  <c r="J668" i="26"/>
  <c r="I668" i="26"/>
  <c r="H668" i="26"/>
  <c r="O667" i="26"/>
  <c r="N667" i="26"/>
  <c r="M667" i="26"/>
  <c r="L667" i="26"/>
  <c r="K667" i="26"/>
  <c r="J667" i="26"/>
  <c r="I667" i="26"/>
  <c r="H667" i="26"/>
  <c r="O666" i="26"/>
  <c r="N666" i="26"/>
  <c r="M666" i="26"/>
  <c r="L666" i="26"/>
  <c r="K666" i="26"/>
  <c r="J666" i="26"/>
  <c r="I666" i="26"/>
  <c r="H666" i="26"/>
  <c r="O665" i="26"/>
  <c r="N665" i="26"/>
  <c r="M665" i="26"/>
  <c r="L665" i="26"/>
  <c r="K665" i="26"/>
  <c r="J665" i="26"/>
  <c r="I665" i="26"/>
  <c r="H665" i="26"/>
  <c r="O664" i="26"/>
  <c r="N664" i="26"/>
  <c r="M664" i="26"/>
  <c r="L664" i="26"/>
  <c r="K664" i="26"/>
  <c r="J664" i="26"/>
  <c r="I664" i="26"/>
  <c r="H664" i="26"/>
  <c r="O663" i="26"/>
  <c r="N663" i="26"/>
  <c r="M663" i="26"/>
  <c r="L663" i="26"/>
  <c r="K663" i="26"/>
  <c r="J663" i="26"/>
  <c r="I663" i="26"/>
  <c r="H663" i="26"/>
  <c r="O662" i="26"/>
  <c r="N662" i="26"/>
  <c r="M662" i="26"/>
  <c r="L662" i="26"/>
  <c r="K662" i="26"/>
  <c r="J662" i="26"/>
  <c r="I662" i="26"/>
  <c r="H662" i="26"/>
  <c r="O661" i="26"/>
  <c r="N661" i="26"/>
  <c r="M661" i="26"/>
  <c r="L661" i="26"/>
  <c r="K661" i="26"/>
  <c r="J661" i="26"/>
  <c r="I661" i="26"/>
  <c r="H661" i="26"/>
  <c r="O660" i="26"/>
  <c r="N660" i="26"/>
  <c r="M660" i="26"/>
  <c r="L660" i="26"/>
  <c r="K660" i="26"/>
  <c r="J660" i="26"/>
  <c r="I660" i="26"/>
  <c r="H660" i="26"/>
  <c r="O659" i="26"/>
  <c r="N659" i="26"/>
  <c r="M659" i="26"/>
  <c r="L659" i="26"/>
  <c r="K659" i="26"/>
  <c r="J659" i="26"/>
  <c r="I659" i="26"/>
  <c r="H659" i="26"/>
  <c r="O658" i="26"/>
  <c r="N658" i="26"/>
  <c r="M658" i="26"/>
  <c r="L658" i="26"/>
  <c r="K658" i="26"/>
  <c r="J658" i="26"/>
  <c r="I658" i="26"/>
  <c r="H658" i="26"/>
  <c r="O657" i="26"/>
  <c r="N657" i="26"/>
  <c r="M657" i="26"/>
  <c r="L657" i="26"/>
  <c r="K657" i="26"/>
  <c r="J657" i="26"/>
  <c r="I657" i="26"/>
  <c r="H657" i="26"/>
  <c r="O656" i="26"/>
  <c r="N656" i="26"/>
  <c r="M656" i="26"/>
  <c r="L656" i="26"/>
  <c r="K656" i="26"/>
  <c r="J656" i="26"/>
  <c r="I656" i="26"/>
  <c r="H656" i="26"/>
  <c r="O655" i="26"/>
  <c r="N655" i="26"/>
  <c r="M655" i="26"/>
  <c r="L655" i="26"/>
  <c r="K655" i="26"/>
  <c r="J655" i="26"/>
  <c r="I655" i="26"/>
  <c r="H655" i="26"/>
  <c r="O654" i="26"/>
  <c r="N654" i="26"/>
  <c r="M654" i="26"/>
  <c r="L654" i="26"/>
  <c r="K654" i="26"/>
  <c r="J654" i="26"/>
  <c r="I654" i="26"/>
  <c r="H654" i="26"/>
  <c r="O653" i="26"/>
  <c r="N653" i="26"/>
  <c r="M653" i="26"/>
  <c r="L653" i="26"/>
  <c r="K653" i="26"/>
  <c r="J653" i="26"/>
  <c r="I653" i="26"/>
  <c r="H653" i="26"/>
  <c r="O652" i="26"/>
  <c r="N652" i="26"/>
  <c r="M652" i="26"/>
  <c r="L652" i="26"/>
  <c r="K652" i="26"/>
  <c r="J652" i="26"/>
  <c r="I652" i="26"/>
  <c r="H652" i="26"/>
  <c r="O651" i="26"/>
  <c r="N651" i="26"/>
  <c r="M651" i="26"/>
  <c r="L651" i="26"/>
  <c r="K651" i="26"/>
  <c r="J651" i="26"/>
  <c r="I651" i="26"/>
  <c r="H651" i="26"/>
  <c r="O650" i="26"/>
  <c r="N650" i="26"/>
  <c r="M650" i="26"/>
  <c r="L650" i="26"/>
  <c r="K650" i="26"/>
  <c r="J650" i="26"/>
  <c r="I650" i="26"/>
  <c r="H650" i="26"/>
  <c r="O649" i="26"/>
  <c r="N649" i="26"/>
  <c r="M649" i="26"/>
  <c r="L649" i="26"/>
  <c r="K649" i="26"/>
  <c r="J649" i="26"/>
  <c r="I649" i="26"/>
  <c r="H649" i="26"/>
  <c r="O648" i="26"/>
  <c r="N648" i="26"/>
  <c r="M648" i="26"/>
  <c r="L648" i="26"/>
  <c r="K648" i="26"/>
  <c r="J648" i="26"/>
  <c r="I648" i="26"/>
  <c r="H648" i="26"/>
  <c r="O647" i="26"/>
  <c r="N647" i="26"/>
  <c r="M647" i="26"/>
  <c r="L647" i="26"/>
  <c r="K647" i="26"/>
  <c r="J647" i="26"/>
  <c r="I647" i="26"/>
  <c r="H647" i="26"/>
  <c r="O646" i="26"/>
  <c r="N646" i="26"/>
  <c r="M646" i="26"/>
  <c r="L646" i="26"/>
  <c r="K646" i="26"/>
  <c r="J646" i="26"/>
  <c r="I646" i="26"/>
  <c r="H646" i="26"/>
  <c r="O645" i="26"/>
  <c r="N645" i="26"/>
  <c r="M645" i="26"/>
  <c r="L645" i="26"/>
  <c r="K645" i="26"/>
  <c r="J645" i="26"/>
  <c r="I645" i="26"/>
  <c r="H645" i="26"/>
  <c r="O644" i="26"/>
  <c r="N644" i="26"/>
  <c r="M644" i="26"/>
  <c r="L644" i="26"/>
  <c r="K644" i="26"/>
  <c r="J644" i="26"/>
  <c r="I644" i="26"/>
  <c r="H644" i="26"/>
  <c r="O643" i="26"/>
  <c r="N643" i="26"/>
  <c r="M643" i="26"/>
  <c r="L643" i="26"/>
  <c r="K643" i="26"/>
  <c r="J643" i="26"/>
  <c r="I643" i="26"/>
  <c r="H643" i="26"/>
  <c r="O642" i="26"/>
  <c r="N642" i="26"/>
  <c r="M642" i="26"/>
  <c r="L642" i="26"/>
  <c r="K642" i="26"/>
  <c r="J642" i="26"/>
  <c r="I642" i="26"/>
  <c r="H642" i="26"/>
  <c r="O641" i="26"/>
  <c r="N641" i="26"/>
  <c r="M641" i="26"/>
  <c r="L641" i="26"/>
  <c r="K641" i="26"/>
  <c r="J641" i="26"/>
  <c r="I641" i="26"/>
  <c r="H641" i="26"/>
  <c r="O640" i="26"/>
  <c r="N640" i="26"/>
  <c r="M640" i="26"/>
  <c r="L640" i="26"/>
  <c r="K640" i="26"/>
  <c r="J640" i="26"/>
  <c r="I640" i="26"/>
  <c r="H640" i="26"/>
  <c r="O639" i="26"/>
  <c r="N639" i="26"/>
  <c r="M639" i="26"/>
  <c r="L639" i="26"/>
  <c r="K639" i="26"/>
  <c r="J639" i="26"/>
  <c r="I639" i="26"/>
  <c r="H639" i="26"/>
  <c r="O638" i="26"/>
  <c r="N638" i="26"/>
  <c r="M638" i="26"/>
  <c r="L638" i="26"/>
  <c r="K638" i="26"/>
  <c r="J638" i="26"/>
  <c r="I638" i="26"/>
  <c r="H638" i="26"/>
  <c r="O637" i="26"/>
  <c r="N637" i="26"/>
  <c r="M637" i="26"/>
  <c r="L637" i="26"/>
  <c r="K637" i="26"/>
  <c r="J637" i="26"/>
  <c r="I637" i="26"/>
  <c r="H637" i="26"/>
  <c r="O636" i="26"/>
  <c r="N636" i="26"/>
  <c r="M636" i="26"/>
  <c r="L636" i="26"/>
  <c r="K636" i="26"/>
  <c r="J636" i="26"/>
  <c r="I636" i="26"/>
  <c r="H636" i="26"/>
  <c r="O635" i="26"/>
  <c r="N635" i="26"/>
  <c r="M635" i="26"/>
  <c r="L635" i="26"/>
  <c r="K635" i="26"/>
  <c r="J635" i="26"/>
  <c r="I635" i="26"/>
  <c r="H635" i="26"/>
  <c r="O634" i="26"/>
  <c r="N634" i="26"/>
  <c r="M634" i="26"/>
  <c r="L634" i="26"/>
  <c r="K634" i="26"/>
  <c r="J634" i="26"/>
  <c r="I634" i="26"/>
  <c r="H634" i="26"/>
  <c r="O633" i="26"/>
  <c r="N633" i="26"/>
  <c r="M633" i="26"/>
  <c r="L633" i="26"/>
  <c r="K633" i="26"/>
  <c r="J633" i="26"/>
  <c r="I633" i="26"/>
  <c r="H633" i="26"/>
  <c r="O632" i="26"/>
  <c r="N632" i="26"/>
  <c r="M632" i="26"/>
  <c r="L632" i="26"/>
  <c r="K632" i="26"/>
  <c r="J632" i="26"/>
  <c r="I632" i="26"/>
  <c r="H632" i="26"/>
  <c r="O631" i="26"/>
  <c r="N631" i="26"/>
  <c r="M631" i="26"/>
  <c r="L631" i="26"/>
  <c r="K631" i="26"/>
  <c r="J631" i="26"/>
  <c r="I631" i="26"/>
  <c r="H631" i="26"/>
  <c r="O630" i="26"/>
  <c r="N630" i="26"/>
  <c r="M630" i="26"/>
  <c r="L630" i="26"/>
  <c r="K630" i="26"/>
  <c r="J630" i="26"/>
  <c r="I630" i="26"/>
  <c r="H630" i="26"/>
  <c r="O629" i="26"/>
  <c r="N629" i="26"/>
  <c r="M629" i="26"/>
  <c r="L629" i="26"/>
  <c r="K629" i="26"/>
  <c r="J629" i="26"/>
  <c r="I629" i="26"/>
  <c r="H629" i="26"/>
  <c r="O628" i="26"/>
  <c r="N628" i="26"/>
  <c r="M628" i="26"/>
  <c r="L628" i="26"/>
  <c r="K628" i="26"/>
  <c r="J628" i="26"/>
  <c r="I628" i="26"/>
  <c r="H628" i="26"/>
  <c r="O627" i="26"/>
  <c r="N627" i="26"/>
  <c r="M627" i="26"/>
  <c r="L627" i="26"/>
  <c r="K627" i="26"/>
  <c r="J627" i="26"/>
  <c r="I627" i="26"/>
  <c r="H627" i="26"/>
  <c r="O626" i="26"/>
  <c r="N626" i="26"/>
  <c r="M626" i="26"/>
  <c r="L626" i="26"/>
  <c r="K626" i="26"/>
  <c r="J626" i="26"/>
  <c r="I626" i="26"/>
  <c r="H626" i="26"/>
  <c r="O625" i="26"/>
  <c r="N625" i="26"/>
  <c r="M625" i="26"/>
  <c r="L625" i="26"/>
  <c r="K625" i="26"/>
  <c r="J625" i="26"/>
  <c r="I625" i="26"/>
  <c r="H625" i="26"/>
  <c r="O624" i="26"/>
  <c r="N624" i="26"/>
  <c r="M624" i="26"/>
  <c r="L624" i="26"/>
  <c r="K624" i="26"/>
  <c r="J624" i="26"/>
  <c r="I624" i="26"/>
  <c r="H624" i="26"/>
  <c r="O623" i="26"/>
  <c r="N623" i="26"/>
  <c r="M623" i="26"/>
  <c r="L623" i="26"/>
  <c r="K623" i="26"/>
  <c r="J623" i="26"/>
  <c r="I623" i="26"/>
  <c r="H623" i="26"/>
  <c r="O622" i="26"/>
  <c r="N622" i="26"/>
  <c r="M622" i="26"/>
  <c r="L622" i="26"/>
  <c r="K622" i="26"/>
  <c r="J622" i="26"/>
  <c r="I622" i="26"/>
  <c r="H622" i="26"/>
  <c r="O621" i="26"/>
  <c r="N621" i="26"/>
  <c r="M621" i="26"/>
  <c r="L621" i="26"/>
  <c r="K621" i="26"/>
  <c r="J621" i="26"/>
  <c r="I621" i="26"/>
  <c r="H621" i="26"/>
  <c r="O620" i="26"/>
  <c r="N620" i="26"/>
  <c r="M620" i="26"/>
  <c r="L620" i="26"/>
  <c r="K620" i="26"/>
  <c r="J620" i="26"/>
  <c r="I620" i="26"/>
  <c r="H620" i="26"/>
  <c r="O619" i="26"/>
  <c r="N619" i="26"/>
  <c r="M619" i="26"/>
  <c r="L619" i="26"/>
  <c r="K619" i="26"/>
  <c r="J619" i="26"/>
  <c r="I619" i="26"/>
  <c r="H619" i="26"/>
  <c r="O618" i="26"/>
  <c r="N618" i="26"/>
  <c r="M618" i="26"/>
  <c r="L618" i="26"/>
  <c r="K618" i="26"/>
  <c r="J618" i="26"/>
  <c r="I618" i="26"/>
  <c r="H618" i="26"/>
  <c r="O617" i="26"/>
  <c r="N617" i="26"/>
  <c r="M617" i="26"/>
  <c r="L617" i="26"/>
  <c r="K617" i="26"/>
  <c r="J617" i="26"/>
  <c r="I617" i="26"/>
  <c r="H617" i="26"/>
  <c r="O616" i="26"/>
  <c r="N616" i="26"/>
  <c r="M616" i="26"/>
  <c r="L616" i="26"/>
  <c r="K616" i="26"/>
  <c r="J616" i="26"/>
  <c r="I616" i="26"/>
  <c r="H616" i="26"/>
  <c r="O615" i="26"/>
  <c r="N615" i="26"/>
  <c r="M615" i="26"/>
  <c r="L615" i="26"/>
  <c r="K615" i="26"/>
  <c r="J615" i="26"/>
  <c r="I615" i="26"/>
  <c r="H615" i="26"/>
  <c r="O614" i="26"/>
  <c r="N614" i="26"/>
  <c r="M614" i="26"/>
  <c r="L614" i="26"/>
  <c r="K614" i="26"/>
  <c r="J614" i="26"/>
  <c r="I614" i="26"/>
  <c r="H614" i="26"/>
  <c r="O613" i="26"/>
  <c r="N613" i="26"/>
  <c r="M613" i="26"/>
  <c r="L613" i="26"/>
  <c r="K613" i="26"/>
  <c r="J613" i="26"/>
  <c r="I613" i="26"/>
  <c r="H613" i="26"/>
  <c r="O612" i="26"/>
  <c r="N612" i="26"/>
  <c r="M612" i="26"/>
  <c r="L612" i="26"/>
  <c r="K612" i="26"/>
  <c r="J612" i="26"/>
  <c r="I612" i="26"/>
  <c r="H612" i="26"/>
  <c r="O611" i="26"/>
  <c r="N611" i="26"/>
  <c r="M611" i="26"/>
  <c r="L611" i="26"/>
  <c r="K611" i="26"/>
  <c r="J611" i="26"/>
  <c r="I611" i="26"/>
  <c r="H611" i="26"/>
  <c r="O610" i="26"/>
  <c r="N610" i="26"/>
  <c r="M610" i="26"/>
  <c r="L610" i="26"/>
  <c r="K610" i="26"/>
  <c r="J610" i="26"/>
  <c r="I610" i="26"/>
  <c r="H610" i="26"/>
  <c r="O609" i="26"/>
  <c r="N609" i="26"/>
  <c r="M609" i="26"/>
  <c r="L609" i="26"/>
  <c r="K609" i="26"/>
  <c r="J609" i="26"/>
  <c r="I609" i="26"/>
  <c r="H609" i="26"/>
  <c r="O608" i="26"/>
  <c r="N608" i="26"/>
  <c r="M608" i="26"/>
  <c r="L608" i="26"/>
  <c r="K608" i="26"/>
  <c r="J608" i="26"/>
  <c r="I608" i="26"/>
  <c r="H608" i="26"/>
  <c r="O607" i="26"/>
  <c r="N607" i="26"/>
  <c r="M607" i="26"/>
  <c r="L607" i="26"/>
  <c r="K607" i="26"/>
  <c r="J607" i="26"/>
  <c r="I607" i="26"/>
  <c r="H607" i="26"/>
  <c r="O606" i="26"/>
  <c r="N606" i="26"/>
  <c r="M606" i="26"/>
  <c r="L606" i="26"/>
  <c r="K606" i="26"/>
  <c r="J606" i="26"/>
  <c r="I606" i="26"/>
  <c r="H606" i="26"/>
  <c r="O605" i="26"/>
  <c r="N605" i="26"/>
  <c r="M605" i="26"/>
  <c r="L605" i="26"/>
  <c r="K605" i="26"/>
  <c r="J605" i="26"/>
  <c r="I605" i="26"/>
  <c r="H605" i="26"/>
  <c r="O604" i="26"/>
  <c r="N604" i="26"/>
  <c r="M604" i="26"/>
  <c r="L604" i="26"/>
  <c r="K604" i="26"/>
  <c r="J604" i="26"/>
  <c r="I604" i="26"/>
  <c r="H604" i="26"/>
  <c r="O603" i="26"/>
  <c r="N603" i="26"/>
  <c r="M603" i="26"/>
  <c r="L603" i="26"/>
  <c r="K603" i="26"/>
  <c r="J603" i="26"/>
  <c r="I603" i="26"/>
  <c r="H603" i="26"/>
  <c r="O602" i="26"/>
  <c r="N602" i="26"/>
  <c r="M602" i="26"/>
  <c r="L602" i="26"/>
  <c r="K602" i="26"/>
  <c r="J602" i="26"/>
  <c r="I602" i="26"/>
  <c r="H602" i="26"/>
  <c r="O601" i="26"/>
  <c r="N601" i="26"/>
  <c r="M601" i="26"/>
  <c r="L601" i="26"/>
  <c r="K601" i="26"/>
  <c r="J601" i="26"/>
  <c r="I601" i="26"/>
  <c r="H601" i="26"/>
  <c r="O600" i="26"/>
  <c r="N600" i="26"/>
  <c r="M600" i="26"/>
  <c r="L600" i="26"/>
  <c r="K600" i="26"/>
  <c r="J600" i="26"/>
  <c r="I600" i="26"/>
  <c r="H600" i="26"/>
  <c r="O599" i="26"/>
  <c r="N599" i="26"/>
  <c r="M599" i="26"/>
  <c r="L599" i="26"/>
  <c r="K599" i="26"/>
  <c r="J599" i="26"/>
  <c r="I599" i="26"/>
  <c r="H599" i="26"/>
  <c r="O598" i="26"/>
  <c r="N598" i="26"/>
  <c r="M598" i="26"/>
  <c r="L598" i="26"/>
  <c r="K598" i="26"/>
  <c r="J598" i="26"/>
  <c r="I598" i="26"/>
  <c r="H598" i="26"/>
  <c r="O597" i="26"/>
  <c r="N597" i="26"/>
  <c r="M597" i="26"/>
  <c r="L597" i="26"/>
  <c r="K597" i="26"/>
  <c r="J597" i="26"/>
  <c r="I597" i="26"/>
  <c r="H597" i="26"/>
  <c r="O596" i="26"/>
  <c r="N596" i="26"/>
  <c r="M596" i="26"/>
  <c r="L596" i="26"/>
  <c r="K596" i="26"/>
  <c r="J596" i="26"/>
  <c r="I596" i="26"/>
  <c r="H596" i="26"/>
  <c r="O595" i="26"/>
  <c r="N595" i="26"/>
  <c r="M595" i="26"/>
  <c r="L595" i="26"/>
  <c r="K595" i="26"/>
  <c r="J595" i="26"/>
  <c r="I595" i="26"/>
  <c r="H595" i="26"/>
  <c r="O594" i="26"/>
  <c r="N594" i="26"/>
  <c r="M594" i="26"/>
  <c r="L594" i="26"/>
  <c r="K594" i="26"/>
  <c r="J594" i="26"/>
  <c r="I594" i="26"/>
  <c r="H594" i="26"/>
  <c r="O593" i="26"/>
  <c r="N593" i="26"/>
  <c r="M593" i="26"/>
  <c r="L593" i="26"/>
  <c r="K593" i="26"/>
  <c r="J593" i="26"/>
  <c r="I593" i="26"/>
  <c r="H593" i="26"/>
  <c r="O592" i="26"/>
  <c r="N592" i="26"/>
  <c r="M592" i="26"/>
  <c r="L592" i="26"/>
  <c r="K592" i="26"/>
  <c r="J592" i="26"/>
  <c r="I592" i="26"/>
  <c r="H592" i="26"/>
  <c r="O591" i="26"/>
  <c r="N591" i="26"/>
  <c r="M591" i="26"/>
  <c r="L591" i="26"/>
  <c r="K591" i="26"/>
  <c r="J591" i="26"/>
  <c r="I591" i="26"/>
  <c r="H591" i="26"/>
  <c r="O590" i="26"/>
  <c r="N590" i="26"/>
  <c r="M590" i="26"/>
  <c r="L590" i="26"/>
  <c r="K590" i="26"/>
  <c r="J590" i="26"/>
  <c r="I590" i="26"/>
  <c r="H590" i="26"/>
  <c r="O589" i="26"/>
  <c r="N589" i="26"/>
  <c r="M589" i="26"/>
  <c r="L589" i="26"/>
  <c r="K589" i="26"/>
  <c r="J589" i="26"/>
  <c r="I589" i="26"/>
  <c r="H589" i="26"/>
  <c r="O588" i="26"/>
  <c r="N588" i="26"/>
  <c r="M588" i="26"/>
  <c r="L588" i="26"/>
  <c r="K588" i="26"/>
  <c r="J588" i="26"/>
  <c r="I588" i="26"/>
  <c r="H588" i="26"/>
  <c r="O587" i="26"/>
  <c r="N587" i="26"/>
  <c r="M587" i="26"/>
  <c r="L587" i="26"/>
  <c r="K587" i="26"/>
  <c r="J587" i="26"/>
  <c r="I587" i="26"/>
  <c r="H587" i="26"/>
  <c r="O586" i="26"/>
  <c r="N586" i="26"/>
  <c r="M586" i="26"/>
  <c r="L586" i="26"/>
  <c r="K586" i="26"/>
  <c r="J586" i="26"/>
  <c r="I586" i="26"/>
  <c r="H586" i="26"/>
  <c r="O585" i="26"/>
  <c r="N585" i="26"/>
  <c r="M585" i="26"/>
  <c r="L585" i="26"/>
  <c r="K585" i="26"/>
  <c r="J585" i="26"/>
  <c r="I585" i="26"/>
  <c r="H585" i="26"/>
  <c r="O584" i="26"/>
  <c r="N584" i="26"/>
  <c r="M584" i="26"/>
  <c r="L584" i="26"/>
  <c r="K584" i="26"/>
  <c r="J584" i="26"/>
  <c r="I584" i="26"/>
  <c r="H584" i="26"/>
  <c r="O583" i="26"/>
  <c r="N583" i="26"/>
  <c r="M583" i="26"/>
  <c r="L583" i="26"/>
  <c r="K583" i="26"/>
  <c r="J583" i="26"/>
  <c r="I583" i="26"/>
  <c r="H583" i="26"/>
  <c r="O582" i="26"/>
  <c r="N582" i="26"/>
  <c r="M582" i="26"/>
  <c r="L582" i="26"/>
  <c r="K582" i="26"/>
  <c r="J582" i="26"/>
  <c r="I582" i="26"/>
  <c r="H582" i="26"/>
  <c r="O581" i="26"/>
  <c r="N581" i="26"/>
  <c r="M581" i="26"/>
  <c r="L581" i="26"/>
  <c r="K581" i="26"/>
  <c r="J581" i="26"/>
  <c r="I581" i="26"/>
  <c r="H581" i="26"/>
  <c r="O580" i="26"/>
  <c r="N580" i="26"/>
  <c r="M580" i="26"/>
  <c r="L580" i="26"/>
  <c r="K580" i="26"/>
  <c r="J580" i="26"/>
  <c r="I580" i="26"/>
  <c r="H580" i="26"/>
  <c r="O579" i="26"/>
  <c r="N579" i="26"/>
  <c r="M579" i="26"/>
  <c r="L579" i="26"/>
  <c r="K579" i="26"/>
  <c r="J579" i="26"/>
  <c r="I579" i="26"/>
  <c r="H579" i="26"/>
  <c r="O578" i="26"/>
  <c r="N578" i="26"/>
  <c r="M578" i="26"/>
  <c r="L578" i="26"/>
  <c r="K578" i="26"/>
  <c r="J578" i="26"/>
  <c r="I578" i="26"/>
  <c r="H578" i="26"/>
  <c r="O577" i="26"/>
  <c r="N577" i="26"/>
  <c r="M577" i="26"/>
  <c r="L577" i="26"/>
  <c r="K577" i="26"/>
  <c r="J577" i="26"/>
  <c r="I577" i="26"/>
  <c r="H577" i="26"/>
  <c r="O576" i="26"/>
  <c r="N576" i="26"/>
  <c r="M576" i="26"/>
  <c r="L576" i="26"/>
  <c r="K576" i="26"/>
  <c r="J576" i="26"/>
  <c r="I576" i="26"/>
  <c r="H576" i="26"/>
  <c r="O575" i="26"/>
  <c r="N575" i="26"/>
  <c r="M575" i="26"/>
  <c r="L575" i="26"/>
  <c r="K575" i="26"/>
  <c r="J575" i="26"/>
  <c r="I575" i="26"/>
  <c r="H575" i="26"/>
  <c r="O574" i="26"/>
  <c r="N574" i="26"/>
  <c r="M574" i="26"/>
  <c r="L574" i="26"/>
  <c r="K574" i="26"/>
  <c r="J574" i="26"/>
  <c r="I574" i="26"/>
  <c r="H574" i="26"/>
  <c r="O573" i="26"/>
  <c r="N573" i="26"/>
  <c r="M573" i="26"/>
  <c r="L573" i="26"/>
  <c r="K573" i="26"/>
  <c r="J573" i="26"/>
  <c r="I573" i="26"/>
  <c r="H573" i="26"/>
  <c r="O572" i="26"/>
  <c r="N572" i="26"/>
  <c r="M572" i="26"/>
  <c r="L572" i="26"/>
  <c r="K572" i="26"/>
  <c r="J572" i="26"/>
  <c r="I572" i="26"/>
  <c r="H572" i="26"/>
  <c r="O571" i="26"/>
  <c r="N571" i="26"/>
  <c r="M571" i="26"/>
  <c r="L571" i="26"/>
  <c r="K571" i="26"/>
  <c r="J571" i="26"/>
  <c r="I571" i="26"/>
  <c r="H571" i="26"/>
  <c r="O570" i="26"/>
  <c r="N570" i="26"/>
  <c r="M570" i="26"/>
  <c r="L570" i="26"/>
  <c r="K570" i="26"/>
  <c r="J570" i="26"/>
  <c r="I570" i="26"/>
  <c r="H570" i="26"/>
  <c r="O569" i="26"/>
  <c r="N569" i="26"/>
  <c r="M569" i="26"/>
  <c r="L569" i="26"/>
  <c r="K569" i="26"/>
  <c r="J569" i="26"/>
  <c r="I569" i="26"/>
  <c r="H569" i="26"/>
  <c r="O568" i="26"/>
  <c r="N568" i="26"/>
  <c r="M568" i="26"/>
  <c r="L568" i="26"/>
  <c r="K568" i="26"/>
  <c r="J568" i="26"/>
  <c r="I568" i="26"/>
  <c r="H568" i="26"/>
  <c r="O567" i="26"/>
  <c r="N567" i="26"/>
  <c r="M567" i="26"/>
  <c r="L567" i="26"/>
  <c r="K567" i="26"/>
  <c r="J567" i="26"/>
  <c r="I567" i="26"/>
  <c r="H567" i="26"/>
  <c r="O566" i="26"/>
  <c r="N566" i="26"/>
  <c r="M566" i="26"/>
  <c r="L566" i="26"/>
  <c r="K566" i="26"/>
  <c r="J566" i="26"/>
  <c r="I566" i="26"/>
  <c r="H566" i="26"/>
  <c r="O565" i="26"/>
  <c r="N565" i="26"/>
  <c r="M565" i="26"/>
  <c r="L565" i="26"/>
  <c r="K565" i="26"/>
  <c r="J565" i="26"/>
  <c r="I565" i="26"/>
  <c r="H565" i="26"/>
  <c r="O564" i="26"/>
  <c r="N564" i="26"/>
  <c r="M564" i="26"/>
  <c r="L564" i="26"/>
  <c r="K564" i="26"/>
  <c r="J564" i="26"/>
  <c r="I564" i="26"/>
  <c r="H564" i="26"/>
  <c r="O563" i="26"/>
  <c r="N563" i="26"/>
  <c r="M563" i="26"/>
  <c r="L563" i="26"/>
  <c r="K563" i="26"/>
  <c r="J563" i="26"/>
  <c r="I563" i="26"/>
  <c r="H563" i="26"/>
  <c r="O562" i="26"/>
  <c r="N562" i="26"/>
  <c r="M562" i="26"/>
  <c r="L562" i="26"/>
  <c r="K562" i="26"/>
  <c r="J562" i="26"/>
  <c r="I562" i="26"/>
  <c r="H562" i="26"/>
  <c r="O561" i="26"/>
  <c r="N561" i="26"/>
  <c r="M561" i="26"/>
  <c r="L561" i="26"/>
  <c r="K561" i="26"/>
  <c r="J561" i="26"/>
  <c r="I561" i="26"/>
  <c r="H561" i="26"/>
  <c r="O560" i="26"/>
  <c r="N560" i="26"/>
  <c r="M560" i="26"/>
  <c r="L560" i="26"/>
  <c r="K560" i="26"/>
  <c r="J560" i="26"/>
  <c r="I560" i="26"/>
  <c r="H560" i="26"/>
  <c r="O559" i="26"/>
  <c r="N559" i="26"/>
  <c r="M559" i="26"/>
  <c r="L559" i="26"/>
  <c r="K559" i="26"/>
  <c r="J559" i="26"/>
  <c r="I559" i="26"/>
  <c r="H559" i="26"/>
  <c r="O558" i="26"/>
  <c r="N558" i="26"/>
  <c r="M558" i="26"/>
  <c r="L558" i="26"/>
  <c r="K558" i="26"/>
  <c r="J558" i="26"/>
  <c r="I558" i="26"/>
  <c r="H558" i="26"/>
  <c r="O557" i="26"/>
  <c r="N557" i="26"/>
  <c r="M557" i="26"/>
  <c r="L557" i="26"/>
  <c r="K557" i="26"/>
  <c r="J557" i="26"/>
  <c r="I557" i="26"/>
  <c r="H557" i="26"/>
  <c r="O556" i="26"/>
  <c r="N556" i="26"/>
  <c r="M556" i="26"/>
  <c r="L556" i="26"/>
  <c r="K556" i="26"/>
  <c r="J556" i="26"/>
  <c r="I556" i="26"/>
  <c r="H556" i="26"/>
  <c r="O555" i="26"/>
  <c r="N555" i="26"/>
  <c r="M555" i="26"/>
  <c r="L555" i="26"/>
  <c r="K555" i="26"/>
  <c r="J555" i="26"/>
  <c r="I555" i="26"/>
  <c r="H555" i="26"/>
  <c r="O554" i="26"/>
  <c r="N554" i="26"/>
  <c r="M554" i="26"/>
  <c r="L554" i="26"/>
  <c r="K554" i="26"/>
  <c r="J554" i="26"/>
  <c r="I554" i="26"/>
  <c r="H554" i="26"/>
  <c r="O553" i="26"/>
  <c r="N553" i="26"/>
  <c r="M553" i="26"/>
  <c r="L553" i="26"/>
  <c r="K553" i="26"/>
  <c r="J553" i="26"/>
  <c r="I553" i="26"/>
  <c r="H553" i="26"/>
  <c r="O552" i="26"/>
  <c r="N552" i="26"/>
  <c r="M552" i="26"/>
  <c r="L552" i="26"/>
  <c r="K552" i="26"/>
  <c r="J552" i="26"/>
  <c r="I552" i="26"/>
  <c r="H552" i="26"/>
  <c r="O551" i="26"/>
  <c r="N551" i="26"/>
  <c r="M551" i="26"/>
  <c r="L551" i="26"/>
  <c r="K551" i="26"/>
  <c r="J551" i="26"/>
  <c r="I551" i="26"/>
  <c r="H551" i="26"/>
  <c r="O550" i="26"/>
  <c r="N550" i="26"/>
  <c r="M550" i="26"/>
  <c r="L550" i="26"/>
  <c r="K550" i="26"/>
  <c r="J550" i="26"/>
  <c r="I550" i="26"/>
  <c r="H550" i="26"/>
  <c r="O549" i="26"/>
  <c r="N549" i="26"/>
  <c r="M549" i="26"/>
  <c r="L549" i="26"/>
  <c r="K549" i="26"/>
  <c r="J549" i="26"/>
  <c r="I549" i="26"/>
  <c r="H549" i="26"/>
  <c r="O548" i="26"/>
  <c r="N548" i="26"/>
  <c r="M548" i="26"/>
  <c r="L548" i="26"/>
  <c r="K548" i="26"/>
  <c r="J548" i="26"/>
  <c r="I548" i="26"/>
  <c r="H548" i="26"/>
  <c r="O547" i="26"/>
  <c r="N547" i="26"/>
  <c r="M547" i="26"/>
  <c r="L547" i="26"/>
  <c r="K547" i="26"/>
  <c r="J547" i="26"/>
  <c r="I547" i="26"/>
  <c r="H547" i="26"/>
  <c r="O546" i="26"/>
  <c r="N546" i="26"/>
  <c r="M546" i="26"/>
  <c r="L546" i="26"/>
  <c r="K546" i="26"/>
  <c r="J546" i="26"/>
  <c r="I546" i="26"/>
  <c r="H546" i="26"/>
  <c r="O545" i="26"/>
  <c r="N545" i="26"/>
  <c r="M545" i="26"/>
  <c r="L545" i="26"/>
  <c r="K545" i="26"/>
  <c r="J545" i="26"/>
  <c r="I545" i="26"/>
  <c r="H545" i="26"/>
  <c r="O544" i="26"/>
  <c r="N544" i="26"/>
  <c r="M544" i="26"/>
  <c r="L544" i="26"/>
  <c r="K544" i="26"/>
  <c r="J544" i="26"/>
  <c r="I544" i="26"/>
  <c r="H544" i="26"/>
  <c r="O543" i="26"/>
  <c r="N543" i="26"/>
  <c r="M543" i="26"/>
  <c r="L543" i="26"/>
  <c r="K543" i="26"/>
  <c r="J543" i="26"/>
  <c r="I543" i="26"/>
  <c r="H543" i="26"/>
  <c r="O542" i="26"/>
  <c r="N542" i="26"/>
  <c r="M542" i="26"/>
  <c r="L542" i="26"/>
  <c r="K542" i="26"/>
  <c r="J542" i="26"/>
  <c r="I542" i="26"/>
  <c r="H542" i="26"/>
  <c r="O541" i="26"/>
  <c r="N541" i="26"/>
  <c r="M541" i="26"/>
  <c r="L541" i="26"/>
  <c r="K541" i="26"/>
  <c r="J541" i="26"/>
  <c r="I541" i="26"/>
  <c r="H541" i="26"/>
  <c r="O540" i="26"/>
  <c r="N540" i="26"/>
  <c r="M540" i="26"/>
  <c r="L540" i="26"/>
  <c r="K540" i="26"/>
  <c r="J540" i="26"/>
  <c r="I540" i="26"/>
  <c r="H540" i="26"/>
  <c r="O539" i="26"/>
  <c r="N539" i="26"/>
  <c r="M539" i="26"/>
  <c r="L539" i="26"/>
  <c r="K539" i="26"/>
  <c r="J539" i="26"/>
  <c r="I539" i="26"/>
  <c r="H539" i="26"/>
  <c r="O538" i="26"/>
  <c r="N538" i="26"/>
  <c r="M538" i="26"/>
  <c r="L538" i="26"/>
  <c r="K538" i="26"/>
  <c r="J538" i="26"/>
  <c r="I538" i="26"/>
  <c r="H538" i="26"/>
  <c r="O537" i="26"/>
  <c r="N537" i="26"/>
  <c r="M537" i="26"/>
  <c r="L537" i="26"/>
  <c r="K537" i="26"/>
  <c r="J537" i="26"/>
  <c r="I537" i="26"/>
  <c r="H537" i="26"/>
  <c r="O536" i="26"/>
  <c r="N536" i="26"/>
  <c r="M536" i="26"/>
  <c r="L536" i="26"/>
  <c r="K536" i="26"/>
  <c r="J536" i="26"/>
  <c r="I536" i="26"/>
  <c r="H536" i="26"/>
  <c r="O535" i="26"/>
  <c r="N535" i="26"/>
  <c r="M535" i="26"/>
  <c r="L535" i="26"/>
  <c r="K535" i="26"/>
  <c r="J535" i="26"/>
  <c r="I535" i="26"/>
  <c r="H535" i="26"/>
  <c r="O534" i="26"/>
  <c r="N534" i="26"/>
  <c r="M534" i="26"/>
  <c r="L534" i="26"/>
  <c r="K534" i="26"/>
  <c r="J534" i="26"/>
  <c r="I534" i="26"/>
  <c r="H534" i="26"/>
  <c r="O533" i="26"/>
  <c r="N533" i="26"/>
  <c r="M533" i="26"/>
  <c r="L533" i="26"/>
  <c r="K533" i="26"/>
  <c r="J533" i="26"/>
  <c r="I533" i="26"/>
  <c r="H533" i="26"/>
  <c r="O532" i="26"/>
  <c r="N532" i="26"/>
  <c r="M532" i="26"/>
  <c r="L532" i="26"/>
  <c r="K532" i="26"/>
  <c r="J532" i="26"/>
  <c r="I532" i="26"/>
  <c r="H532" i="26"/>
  <c r="O531" i="26"/>
  <c r="N531" i="26"/>
  <c r="M531" i="26"/>
  <c r="L531" i="26"/>
  <c r="K531" i="26"/>
  <c r="J531" i="26"/>
  <c r="I531" i="26"/>
  <c r="H531" i="26"/>
  <c r="O530" i="26"/>
  <c r="N530" i="26"/>
  <c r="M530" i="26"/>
  <c r="L530" i="26"/>
  <c r="K530" i="26"/>
  <c r="J530" i="26"/>
  <c r="I530" i="26"/>
  <c r="H530" i="26"/>
  <c r="O529" i="26"/>
  <c r="N529" i="26"/>
  <c r="M529" i="26"/>
  <c r="L529" i="26"/>
  <c r="K529" i="26"/>
  <c r="J529" i="26"/>
  <c r="I529" i="26"/>
  <c r="H529" i="26"/>
  <c r="O528" i="26"/>
  <c r="N528" i="26"/>
  <c r="M528" i="26"/>
  <c r="L528" i="26"/>
  <c r="K528" i="26"/>
  <c r="J528" i="26"/>
  <c r="I528" i="26"/>
  <c r="H528" i="26"/>
  <c r="O527" i="26"/>
  <c r="N527" i="26"/>
  <c r="M527" i="26"/>
  <c r="L527" i="26"/>
  <c r="K527" i="26"/>
  <c r="J527" i="26"/>
  <c r="I527" i="26"/>
  <c r="H527" i="26"/>
  <c r="O526" i="26"/>
  <c r="N526" i="26"/>
  <c r="M526" i="26"/>
  <c r="L526" i="26"/>
  <c r="K526" i="26"/>
  <c r="J526" i="26"/>
  <c r="I526" i="26"/>
  <c r="H526" i="26"/>
  <c r="O525" i="26"/>
  <c r="N525" i="26"/>
  <c r="M525" i="26"/>
  <c r="L525" i="26"/>
  <c r="K525" i="26"/>
  <c r="J525" i="26"/>
  <c r="I525" i="26"/>
  <c r="H525" i="26"/>
  <c r="O524" i="26"/>
  <c r="N524" i="26"/>
  <c r="M524" i="26"/>
  <c r="L524" i="26"/>
  <c r="K524" i="26"/>
  <c r="J524" i="26"/>
  <c r="I524" i="26"/>
  <c r="H524" i="26"/>
  <c r="O523" i="26"/>
  <c r="N523" i="26"/>
  <c r="M523" i="26"/>
  <c r="L523" i="26"/>
  <c r="K523" i="26"/>
  <c r="J523" i="26"/>
  <c r="I523" i="26"/>
  <c r="H523" i="26"/>
  <c r="O522" i="26"/>
  <c r="N522" i="26"/>
  <c r="M522" i="26"/>
  <c r="L522" i="26"/>
  <c r="K522" i="26"/>
  <c r="J522" i="26"/>
  <c r="I522" i="26"/>
  <c r="H522" i="26"/>
  <c r="O521" i="26"/>
  <c r="N521" i="26"/>
  <c r="M521" i="26"/>
  <c r="L521" i="26"/>
  <c r="K521" i="26"/>
  <c r="J521" i="26"/>
  <c r="I521" i="26"/>
  <c r="H521" i="26"/>
  <c r="O520" i="26"/>
  <c r="N520" i="26"/>
  <c r="M520" i="26"/>
  <c r="L520" i="26"/>
  <c r="K520" i="26"/>
  <c r="J520" i="26"/>
  <c r="I520" i="26"/>
  <c r="H520" i="26"/>
  <c r="O519" i="26"/>
  <c r="N519" i="26"/>
  <c r="M519" i="26"/>
  <c r="L519" i="26"/>
  <c r="K519" i="26"/>
  <c r="J519" i="26"/>
  <c r="I519" i="26"/>
  <c r="H519" i="26"/>
  <c r="O518" i="26"/>
  <c r="N518" i="26"/>
  <c r="M518" i="26"/>
  <c r="L518" i="26"/>
  <c r="K518" i="26"/>
  <c r="J518" i="26"/>
  <c r="I518" i="26"/>
  <c r="H518" i="26"/>
  <c r="O517" i="26"/>
  <c r="N517" i="26"/>
  <c r="M517" i="26"/>
  <c r="L517" i="26"/>
  <c r="K517" i="26"/>
  <c r="J517" i="26"/>
  <c r="I517" i="26"/>
  <c r="H517" i="26"/>
  <c r="O516" i="26"/>
  <c r="N516" i="26"/>
  <c r="M516" i="26"/>
  <c r="L516" i="26"/>
  <c r="K516" i="26"/>
  <c r="J516" i="26"/>
  <c r="I516" i="26"/>
  <c r="H516" i="26"/>
  <c r="O515" i="26"/>
  <c r="N515" i="26"/>
  <c r="M515" i="26"/>
  <c r="L515" i="26"/>
  <c r="K515" i="26"/>
  <c r="J515" i="26"/>
  <c r="I515" i="26"/>
  <c r="H515" i="26"/>
  <c r="O514" i="26"/>
  <c r="N514" i="26"/>
  <c r="M514" i="26"/>
  <c r="L514" i="26"/>
  <c r="K514" i="26"/>
  <c r="J514" i="26"/>
  <c r="I514" i="26"/>
  <c r="H514" i="26"/>
  <c r="O513" i="26"/>
  <c r="N513" i="26"/>
  <c r="M513" i="26"/>
  <c r="L513" i="26"/>
  <c r="K513" i="26"/>
  <c r="J513" i="26"/>
  <c r="I513" i="26"/>
  <c r="H513" i="26"/>
  <c r="O512" i="26"/>
  <c r="N512" i="26"/>
  <c r="M512" i="26"/>
  <c r="L512" i="26"/>
  <c r="K512" i="26"/>
  <c r="J512" i="26"/>
  <c r="I512" i="26"/>
  <c r="H512" i="26"/>
  <c r="O511" i="26"/>
  <c r="N511" i="26"/>
  <c r="M511" i="26"/>
  <c r="L511" i="26"/>
  <c r="K511" i="26"/>
  <c r="J511" i="26"/>
  <c r="I511" i="26"/>
  <c r="H511" i="26"/>
  <c r="O510" i="26"/>
  <c r="N510" i="26"/>
  <c r="M510" i="26"/>
  <c r="L510" i="26"/>
  <c r="K510" i="26"/>
  <c r="J510" i="26"/>
  <c r="I510" i="26"/>
  <c r="H510" i="26"/>
  <c r="O509" i="26"/>
  <c r="N509" i="26"/>
  <c r="M509" i="26"/>
  <c r="L509" i="26"/>
  <c r="K509" i="26"/>
  <c r="J509" i="26"/>
  <c r="I509" i="26"/>
  <c r="H509" i="26"/>
  <c r="O508" i="26"/>
  <c r="N508" i="26"/>
  <c r="M508" i="26"/>
  <c r="L508" i="26"/>
  <c r="K508" i="26"/>
  <c r="J508" i="26"/>
  <c r="I508" i="26"/>
  <c r="H508" i="26"/>
  <c r="O507" i="26"/>
  <c r="N507" i="26"/>
  <c r="M507" i="26"/>
  <c r="L507" i="26"/>
  <c r="K507" i="26"/>
  <c r="J507" i="26"/>
  <c r="I507" i="26"/>
  <c r="H507" i="26"/>
  <c r="O506" i="26"/>
  <c r="N506" i="26"/>
  <c r="M506" i="26"/>
  <c r="L506" i="26"/>
  <c r="K506" i="26"/>
  <c r="J506" i="26"/>
  <c r="I506" i="26"/>
  <c r="H506" i="26"/>
  <c r="O505" i="26"/>
  <c r="N505" i="26"/>
  <c r="M505" i="26"/>
  <c r="L505" i="26"/>
  <c r="K505" i="26"/>
  <c r="J505" i="26"/>
  <c r="I505" i="26"/>
  <c r="H505" i="26"/>
  <c r="O504" i="26"/>
  <c r="N504" i="26"/>
  <c r="M504" i="26"/>
  <c r="L504" i="26"/>
  <c r="K504" i="26"/>
  <c r="J504" i="26"/>
  <c r="I504" i="26"/>
  <c r="H504" i="26"/>
  <c r="O503" i="26"/>
  <c r="N503" i="26"/>
  <c r="M503" i="26"/>
  <c r="L503" i="26"/>
  <c r="K503" i="26"/>
  <c r="J503" i="26"/>
  <c r="I503" i="26"/>
  <c r="H503" i="26"/>
  <c r="O502" i="26"/>
  <c r="N502" i="26"/>
  <c r="M502" i="26"/>
  <c r="L502" i="26"/>
  <c r="K502" i="26"/>
  <c r="J502" i="26"/>
  <c r="I502" i="26"/>
  <c r="H502" i="26"/>
  <c r="O501" i="26"/>
  <c r="N501" i="26"/>
  <c r="M501" i="26"/>
  <c r="L501" i="26"/>
  <c r="K501" i="26"/>
  <c r="J501" i="26"/>
  <c r="I501" i="26"/>
  <c r="H501" i="26"/>
  <c r="O500" i="26"/>
  <c r="N500" i="26"/>
  <c r="M500" i="26"/>
  <c r="L500" i="26"/>
  <c r="K500" i="26"/>
  <c r="J500" i="26"/>
  <c r="I500" i="26"/>
  <c r="H500" i="26"/>
  <c r="O499" i="26"/>
  <c r="N499" i="26"/>
  <c r="M499" i="26"/>
  <c r="L499" i="26"/>
  <c r="K499" i="26"/>
  <c r="J499" i="26"/>
  <c r="I499" i="26"/>
  <c r="H499" i="26"/>
  <c r="O498" i="26"/>
  <c r="N498" i="26"/>
  <c r="M498" i="26"/>
  <c r="L498" i="26"/>
  <c r="K498" i="26"/>
  <c r="J498" i="26"/>
  <c r="I498" i="26"/>
  <c r="H498" i="26"/>
  <c r="O497" i="26"/>
  <c r="N497" i="26"/>
  <c r="M497" i="26"/>
  <c r="L497" i="26"/>
  <c r="K497" i="26"/>
  <c r="J497" i="26"/>
  <c r="I497" i="26"/>
  <c r="H497" i="26"/>
  <c r="O496" i="26"/>
  <c r="N496" i="26"/>
  <c r="M496" i="26"/>
  <c r="L496" i="26"/>
  <c r="K496" i="26"/>
  <c r="J496" i="26"/>
  <c r="I496" i="26"/>
  <c r="H496" i="26"/>
  <c r="O495" i="26"/>
  <c r="N495" i="26"/>
  <c r="M495" i="26"/>
  <c r="L495" i="26"/>
  <c r="K495" i="26"/>
  <c r="J495" i="26"/>
  <c r="I495" i="26"/>
  <c r="H495" i="26"/>
  <c r="O494" i="26"/>
  <c r="N494" i="26"/>
  <c r="M494" i="26"/>
  <c r="L494" i="26"/>
  <c r="K494" i="26"/>
  <c r="J494" i="26"/>
  <c r="I494" i="26"/>
  <c r="H494" i="26"/>
  <c r="O493" i="26"/>
  <c r="N493" i="26"/>
  <c r="M493" i="26"/>
  <c r="L493" i="26"/>
  <c r="K493" i="26"/>
  <c r="J493" i="26"/>
  <c r="I493" i="26"/>
  <c r="H493" i="26"/>
  <c r="O492" i="26"/>
  <c r="N492" i="26"/>
  <c r="M492" i="26"/>
  <c r="L492" i="26"/>
  <c r="K492" i="26"/>
  <c r="J492" i="26"/>
  <c r="I492" i="26"/>
  <c r="H492" i="26"/>
  <c r="O491" i="26"/>
  <c r="N491" i="26"/>
  <c r="M491" i="26"/>
  <c r="L491" i="26"/>
  <c r="K491" i="26"/>
  <c r="J491" i="26"/>
  <c r="I491" i="26"/>
  <c r="H491" i="26"/>
  <c r="O490" i="26"/>
  <c r="N490" i="26"/>
  <c r="M490" i="26"/>
  <c r="L490" i="26"/>
  <c r="K490" i="26"/>
  <c r="J490" i="26"/>
  <c r="I490" i="26"/>
  <c r="H490" i="26"/>
  <c r="O489" i="26"/>
  <c r="N489" i="26"/>
  <c r="M489" i="26"/>
  <c r="L489" i="26"/>
  <c r="K489" i="26"/>
  <c r="J489" i="26"/>
  <c r="I489" i="26"/>
  <c r="H489" i="26"/>
  <c r="O488" i="26"/>
  <c r="N488" i="26"/>
  <c r="M488" i="26"/>
  <c r="L488" i="26"/>
  <c r="K488" i="26"/>
  <c r="J488" i="26"/>
  <c r="I488" i="26"/>
  <c r="H488" i="26"/>
  <c r="O487" i="26"/>
  <c r="N487" i="26"/>
  <c r="M487" i="26"/>
  <c r="L487" i="26"/>
  <c r="K487" i="26"/>
  <c r="J487" i="26"/>
  <c r="I487" i="26"/>
  <c r="H487" i="26"/>
  <c r="O486" i="26"/>
  <c r="N486" i="26"/>
  <c r="M486" i="26"/>
  <c r="L486" i="26"/>
  <c r="K486" i="26"/>
  <c r="J486" i="26"/>
  <c r="I486" i="26"/>
  <c r="H486" i="26"/>
  <c r="O485" i="26"/>
  <c r="N485" i="26"/>
  <c r="M485" i="26"/>
  <c r="L485" i="26"/>
  <c r="K485" i="26"/>
  <c r="J485" i="26"/>
  <c r="I485" i="26"/>
  <c r="H485" i="26"/>
  <c r="O484" i="26"/>
  <c r="N484" i="26"/>
  <c r="M484" i="26"/>
  <c r="L484" i="26"/>
  <c r="K484" i="26"/>
  <c r="J484" i="26"/>
  <c r="I484" i="26"/>
  <c r="H484" i="26"/>
  <c r="O483" i="26"/>
  <c r="N483" i="26"/>
  <c r="M483" i="26"/>
  <c r="L483" i="26"/>
  <c r="K483" i="26"/>
  <c r="J483" i="26"/>
  <c r="I483" i="26"/>
  <c r="H483" i="26"/>
  <c r="O482" i="26"/>
  <c r="N482" i="26"/>
  <c r="M482" i="26"/>
  <c r="L482" i="26"/>
  <c r="K482" i="26"/>
  <c r="J482" i="26"/>
  <c r="I482" i="26"/>
  <c r="H482" i="26"/>
  <c r="O481" i="26"/>
  <c r="N481" i="26"/>
  <c r="M481" i="26"/>
  <c r="L481" i="26"/>
  <c r="K481" i="26"/>
  <c r="J481" i="26"/>
  <c r="I481" i="26"/>
  <c r="H481" i="26"/>
  <c r="O480" i="26"/>
  <c r="N480" i="26"/>
  <c r="M480" i="26"/>
  <c r="L480" i="26"/>
  <c r="K480" i="26"/>
  <c r="J480" i="26"/>
  <c r="I480" i="26"/>
  <c r="H480" i="26"/>
  <c r="O479" i="26"/>
  <c r="N479" i="26"/>
  <c r="M479" i="26"/>
  <c r="L479" i="26"/>
  <c r="K479" i="26"/>
  <c r="J479" i="26"/>
  <c r="I479" i="26"/>
  <c r="H479" i="26"/>
  <c r="O478" i="26"/>
  <c r="N478" i="26"/>
  <c r="M478" i="26"/>
  <c r="L478" i="26"/>
  <c r="K478" i="26"/>
  <c r="J478" i="26"/>
  <c r="I478" i="26"/>
  <c r="H478" i="26"/>
  <c r="O477" i="26"/>
  <c r="N477" i="26"/>
  <c r="M477" i="26"/>
  <c r="L477" i="26"/>
  <c r="K477" i="26"/>
  <c r="J477" i="26"/>
  <c r="I477" i="26"/>
  <c r="H477" i="26"/>
  <c r="O476" i="26"/>
  <c r="N476" i="26"/>
  <c r="M476" i="26"/>
  <c r="L476" i="26"/>
  <c r="K476" i="26"/>
  <c r="J476" i="26"/>
  <c r="I476" i="26"/>
  <c r="H476" i="26"/>
  <c r="O475" i="26"/>
  <c r="N475" i="26"/>
  <c r="M475" i="26"/>
  <c r="L475" i="26"/>
  <c r="K475" i="26"/>
  <c r="J475" i="26"/>
  <c r="I475" i="26"/>
  <c r="H475" i="26"/>
  <c r="O474" i="26"/>
  <c r="N474" i="26"/>
  <c r="M474" i="26"/>
  <c r="L474" i="26"/>
  <c r="K474" i="26"/>
  <c r="J474" i="26"/>
  <c r="I474" i="26"/>
  <c r="H474" i="26"/>
  <c r="O473" i="26"/>
  <c r="N473" i="26"/>
  <c r="M473" i="26"/>
  <c r="L473" i="26"/>
  <c r="K473" i="26"/>
  <c r="J473" i="26"/>
  <c r="I473" i="26"/>
  <c r="H473" i="26"/>
  <c r="O472" i="26"/>
  <c r="N472" i="26"/>
  <c r="M472" i="26"/>
  <c r="L472" i="26"/>
  <c r="K472" i="26"/>
  <c r="J472" i="26"/>
  <c r="I472" i="26"/>
  <c r="H472" i="26"/>
  <c r="O471" i="26"/>
  <c r="N471" i="26"/>
  <c r="M471" i="26"/>
  <c r="L471" i="26"/>
  <c r="K471" i="26"/>
  <c r="J471" i="26"/>
  <c r="I471" i="26"/>
  <c r="H471" i="26"/>
  <c r="O470" i="26"/>
  <c r="N470" i="26"/>
  <c r="M470" i="26"/>
  <c r="L470" i="26"/>
  <c r="K470" i="26"/>
  <c r="J470" i="26"/>
  <c r="I470" i="26"/>
  <c r="H470" i="26"/>
  <c r="O469" i="26"/>
  <c r="N469" i="26"/>
  <c r="M469" i="26"/>
  <c r="L469" i="26"/>
  <c r="K469" i="26"/>
  <c r="J469" i="26"/>
  <c r="I469" i="26"/>
  <c r="H469" i="26"/>
  <c r="O468" i="26"/>
  <c r="N468" i="26"/>
  <c r="M468" i="26"/>
  <c r="L468" i="26"/>
  <c r="K468" i="26"/>
  <c r="J468" i="26"/>
  <c r="I468" i="26"/>
  <c r="H468" i="26"/>
  <c r="O467" i="26"/>
  <c r="N467" i="26"/>
  <c r="M467" i="26"/>
  <c r="L467" i="26"/>
  <c r="K467" i="26"/>
  <c r="J467" i="26"/>
  <c r="I467" i="26"/>
  <c r="H467" i="26"/>
  <c r="O466" i="26"/>
  <c r="N466" i="26"/>
  <c r="M466" i="26"/>
  <c r="L466" i="26"/>
  <c r="K466" i="26"/>
  <c r="J466" i="26"/>
  <c r="I466" i="26"/>
  <c r="H466" i="26"/>
  <c r="O465" i="26"/>
  <c r="N465" i="26"/>
  <c r="M465" i="26"/>
  <c r="L465" i="26"/>
  <c r="K465" i="26"/>
  <c r="J465" i="26"/>
  <c r="I465" i="26"/>
  <c r="H465" i="26"/>
  <c r="O464" i="26"/>
  <c r="N464" i="26"/>
  <c r="M464" i="26"/>
  <c r="L464" i="26"/>
  <c r="K464" i="26"/>
  <c r="J464" i="26"/>
  <c r="I464" i="26"/>
  <c r="H464" i="26"/>
  <c r="O463" i="26"/>
  <c r="N463" i="26"/>
  <c r="M463" i="26"/>
  <c r="L463" i="26"/>
  <c r="K463" i="26"/>
  <c r="J463" i="26"/>
  <c r="I463" i="26"/>
  <c r="H463" i="26"/>
  <c r="O462" i="26"/>
  <c r="N462" i="26"/>
  <c r="M462" i="26"/>
  <c r="L462" i="26"/>
  <c r="K462" i="26"/>
  <c r="J462" i="26"/>
  <c r="I462" i="26"/>
  <c r="H462" i="26"/>
  <c r="O461" i="26"/>
  <c r="N461" i="26"/>
  <c r="M461" i="26"/>
  <c r="L461" i="26"/>
  <c r="K461" i="26"/>
  <c r="J461" i="26"/>
  <c r="I461" i="26"/>
  <c r="H461" i="26"/>
  <c r="O460" i="26"/>
  <c r="N460" i="26"/>
  <c r="M460" i="26"/>
  <c r="L460" i="26"/>
  <c r="K460" i="26"/>
  <c r="J460" i="26"/>
  <c r="I460" i="26"/>
  <c r="H460" i="26"/>
  <c r="O459" i="26"/>
  <c r="N459" i="26"/>
  <c r="M459" i="26"/>
  <c r="L459" i="26"/>
  <c r="K459" i="26"/>
  <c r="J459" i="26"/>
  <c r="I459" i="26"/>
  <c r="H459" i="26"/>
  <c r="O458" i="26"/>
  <c r="N458" i="26"/>
  <c r="M458" i="26"/>
  <c r="L458" i="26"/>
  <c r="K458" i="26"/>
  <c r="J458" i="26"/>
  <c r="I458" i="26"/>
  <c r="H458" i="26"/>
  <c r="O457" i="26"/>
  <c r="N457" i="26"/>
  <c r="M457" i="26"/>
  <c r="L457" i="26"/>
  <c r="K457" i="26"/>
  <c r="J457" i="26"/>
  <c r="I457" i="26"/>
  <c r="H457" i="26"/>
  <c r="O456" i="26"/>
  <c r="N456" i="26"/>
  <c r="M456" i="26"/>
  <c r="L456" i="26"/>
  <c r="K456" i="26"/>
  <c r="J456" i="26"/>
  <c r="I456" i="26"/>
  <c r="H456" i="26"/>
  <c r="O455" i="26"/>
  <c r="N455" i="26"/>
  <c r="M455" i="26"/>
  <c r="L455" i="26"/>
  <c r="K455" i="26"/>
  <c r="J455" i="26"/>
  <c r="I455" i="26"/>
  <c r="H455" i="26"/>
  <c r="O454" i="26"/>
  <c r="N454" i="26"/>
  <c r="M454" i="26"/>
  <c r="L454" i="26"/>
  <c r="K454" i="26"/>
  <c r="J454" i="26"/>
  <c r="I454" i="26"/>
  <c r="H454" i="26"/>
  <c r="O453" i="26"/>
  <c r="N453" i="26"/>
  <c r="M453" i="26"/>
  <c r="L453" i="26"/>
  <c r="K453" i="26"/>
  <c r="J453" i="26"/>
  <c r="I453" i="26"/>
  <c r="H453" i="26"/>
  <c r="O452" i="26"/>
  <c r="N452" i="26"/>
  <c r="M452" i="26"/>
  <c r="L452" i="26"/>
  <c r="K452" i="26"/>
  <c r="J452" i="26"/>
  <c r="I452" i="26"/>
  <c r="H452" i="26"/>
  <c r="O451" i="26"/>
  <c r="N451" i="26"/>
  <c r="M451" i="26"/>
  <c r="L451" i="26"/>
  <c r="K451" i="26"/>
  <c r="J451" i="26"/>
  <c r="I451" i="26"/>
  <c r="H451" i="26"/>
  <c r="O450" i="26"/>
  <c r="N450" i="26"/>
  <c r="M450" i="26"/>
  <c r="L450" i="26"/>
  <c r="K450" i="26"/>
  <c r="J450" i="26"/>
  <c r="I450" i="26"/>
  <c r="H450" i="26"/>
  <c r="O449" i="26"/>
  <c r="N449" i="26"/>
  <c r="M449" i="26"/>
  <c r="L449" i="26"/>
  <c r="K449" i="26"/>
  <c r="J449" i="26"/>
  <c r="I449" i="26"/>
  <c r="H449" i="26"/>
  <c r="O448" i="26"/>
  <c r="N448" i="26"/>
  <c r="M448" i="26"/>
  <c r="L448" i="26"/>
  <c r="K448" i="26"/>
  <c r="J448" i="26"/>
  <c r="I448" i="26"/>
  <c r="H448" i="26"/>
  <c r="O447" i="26"/>
  <c r="N447" i="26"/>
  <c r="M447" i="26"/>
  <c r="L447" i="26"/>
  <c r="K447" i="26"/>
  <c r="J447" i="26"/>
  <c r="I447" i="26"/>
  <c r="H447" i="26"/>
  <c r="O446" i="26"/>
  <c r="N446" i="26"/>
  <c r="M446" i="26"/>
  <c r="L446" i="26"/>
  <c r="K446" i="26"/>
  <c r="J446" i="26"/>
  <c r="I446" i="26"/>
  <c r="H446" i="26"/>
  <c r="O445" i="26"/>
  <c r="N445" i="26"/>
  <c r="M445" i="26"/>
  <c r="L445" i="26"/>
  <c r="K445" i="26"/>
  <c r="J445" i="26"/>
  <c r="I445" i="26"/>
  <c r="H445" i="26"/>
  <c r="O444" i="26"/>
  <c r="N444" i="26"/>
  <c r="M444" i="26"/>
  <c r="L444" i="26"/>
  <c r="K444" i="26"/>
  <c r="J444" i="26"/>
  <c r="I444" i="26"/>
  <c r="H444" i="26"/>
  <c r="O443" i="26"/>
  <c r="N443" i="26"/>
  <c r="M443" i="26"/>
  <c r="L443" i="26"/>
  <c r="K443" i="26"/>
  <c r="J443" i="26"/>
  <c r="I443" i="26"/>
  <c r="H443" i="26"/>
  <c r="O442" i="26"/>
  <c r="N442" i="26"/>
  <c r="M442" i="26"/>
  <c r="L442" i="26"/>
  <c r="K442" i="26"/>
  <c r="J442" i="26"/>
  <c r="I442" i="26"/>
  <c r="H442" i="26"/>
  <c r="O441" i="26"/>
  <c r="N441" i="26"/>
  <c r="M441" i="26"/>
  <c r="L441" i="26"/>
  <c r="K441" i="26"/>
  <c r="J441" i="26"/>
  <c r="I441" i="26"/>
  <c r="H441" i="26"/>
  <c r="O440" i="26"/>
  <c r="N440" i="26"/>
  <c r="M440" i="26"/>
  <c r="L440" i="26"/>
  <c r="K440" i="26"/>
  <c r="J440" i="26"/>
  <c r="I440" i="26"/>
  <c r="H440" i="26"/>
  <c r="O439" i="26"/>
  <c r="N439" i="26"/>
  <c r="M439" i="26"/>
  <c r="L439" i="26"/>
  <c r="K439" i="26"/>
  <c r="J439" i="26"/>
  <c r="I439" i="26"/>
  <c r="H439" i="26"/>
  <c r="O438" i="26"/>
  <c r="N438" i="26"/>
  <c r="M438" i="26"/>
  <c r="L438" i="26"/>
  <c r="K438" i="26"/>
  <c r="J438" i="26"/>
  <c r="I438" i="26"/>
  <c r="H438" i="26"/>
  <c r="O437" i="26"/>
  <c r="N437" i="26"/>
  <c r="M437" i="26"/>
  <c r="L437" i="26"/>
  <c r="K437" i="26"/>
  <c r="J437" i="26"/>
  <c r="I437" i="26"/>
  <c r="H437" i="26"/>
  <c r="O436" i="26"/>
  <c r="N436" i="26"/>
  <c r="M436" i="26"/>
  <c r="L436" i="26"/>
  <c r="K436" i="26"/>
  <c r="J436" i="26"/>
  <c r="I436" i="26"/>
  <c r="H436" i="26"/>
  <c r="O435" i="26"/>
  <c r="N435" i="26"/>
  <c r="M435" i="26"/>
  <c r="L435" i="26"/>
  <c r="K435" i="26"/>
  <c r="J435" i="26"/>
  <c r="I435" i="26"/>
  <c r="H435" i="26"/>
  <c r="O434" i="26"/>
  <c r="N434" i="26"/>
  <c r="M434" i="26"/>
  <c r="L434" i="26"/>
  <c r="K434" i="26"/>
  <c r="J434" i="26"/>
  <c r="I434" i="26"/>
  <c r="H434" i="26"/>
  <c r="O433" i="26"/>
  <c r="N433" i="26"/>
  <c r="M433" i="26"/>
  <c r="L433" i="26"/>
  <c r="K433" i="26"/>
  <c r="J433" i="26"/>
  <c r="I433" i="26"/>
  <c r="H433" i="26"/>
  <c r="O432" i="26"/>
  <c r="N432" i="26"/>
  <c r="M432" i="26"/>
  <c r="L432" i="26"/>
  <c r="K432" i="26"/>
  <c r="J432" i="26"/>
  <c r="I432" i="26"/>
  <c r="H432" i="26"/>
  <c r="O431" i="26"/>
  <c r="N431" i="26"/>
  <c r="M431" i="26"/>
  <c r="L431" i="26"/>
  <c r="K431" i="26"/>
  <c r="J431" i="26"/>
  <c r="I431" i="26"/>
  <c r="H431" i="26"/>
  <c r="O430" i="26"/>
  <c r="N430" i="26"/>
  <c r="M430" i="26"/>
  <c r="L430" i="26"/>
  <c r="K430" i="26"/>
  <c r="J430" i="26"/>
  <c r="I430" i="26"/>
  <c r="H430" i="26"/>
  <c r="O429" i="26"/>
  <c r="N429" i="26"/>
  <c r="M429" i="26"/>
  <c r="L429" i="26"/>
  <c r="K429" i="26"/>
  <c r="J429" i="26"/>
  <c r="I429" i="26"/>
  <c r="H429" i="26"/>
  <c r="O428" i="26"/>
  <c r="N428" i="26"/>
  <c r="M428" i="26"/>
  <c r="L428" i="26"/>
  <c r="K428" i="26"/>
  <c r="J428" i="26"/>
  <c r="I428" i="26"/>
  <c r="H428" i="26"/>
  <c r="O427" i="26"/>
  <c r="N427" i="26"/>
  <c r="M427" i="26"/>
  <c r="L427" i="26"/>
  <c r="K427" i="26"/>
  <c r="J427" i="26"/>
  <c r="I427" i="26"/>
  <c r="H427" i="26"/>
  <c r="O426" i="26"/>
  <c r="N426" i="26"/>
  <c r="M426" i="26"/>
  <c r="L426" i="26"/>
  <c r="K426" i="26"/>
  <c r="J426" i="26"/>
  <c r="I426" i="26"/>
  <c r="H426" i="26"/>
  <c r="O425" i="26"/>
  <c r="N425" i="26"/>
  <c r="M425" i="26"/>
  <c r="L425" i="26"/>
  <c r="K425" i="26"/>
  <c r="J425" i="26"/>
  <c r="I425" i="26"/>
  <c r="H425" i="26"/>
  <c r="O424" i="26"/>
  <c r="N424" i="26"/>
  <c r="M424" i="26"/>
  <c r="L424" i="26"/>
  <c r="K424" i="26"/>
  <c r="J424" i="26"/>
  <c r="I424" i="26"/>
  <c r="H424" i="26"/>
  <c r="O423" i="26"/>
  <c r="N423" i="26"/>
  <c r="M423" i="26"/>
  <c r="L423" i="26"/>
  <c r="K423" i="26"/>
  <c r="J423" i="26"/>
  <c r="I423" i="26"/>
  <c r="H423" i="26"/>
  <c r="O422" i="26"/>
  <c r="N422" i="26"/>
  <c r="M422" i="26"/>
  <c r="L422" i="26"/>
  <c r="K422" i="26"/>
  <c r="J422" i="26"/>
  <c r="I422" i="26"/>
  <c r="H422" i="26"/>
  <c r="O421" i="26"/>
  <c r="N421" i="26"/>
  <c r="M421" i="26"/>
  <c r="L421" i="26"/>
  <c r="K421" i="26"/>
  <c r="J421" i="26"/>
  <c r="I421" i="26"/>
  <c r="H421" i="26"/>
  <c r="O420" i="26"/>
  <c r="N420" i="26"/>
  <c r="M420" i="26"/>
  <c r="L420" i="26"/>
  <c r="K420" i="26"/>
  <c r="J420" i="26"/>
  <c r="I420" i="26"/>
  <c r="H420" i="26"/>
  <c r="O419" i="26"/>
  <c r="N419" i="26"/>
  <c r="M419" i="26"/>
  <c r="L419" i="26"/>
  <c r="K419" i="26"/>
  <c r="J419" i="26"/>
  <c r="I419" i="26"/>
  <c r="H419" i="26"/>
  <c r="O418" i="26"/>
  <c r="N418" i="26"/>
  <c r="M418" i="26"/>
  <c r="L418" i="26"/>
  <c r="K418" i="26"/>
  <c r="J418" i="26"/>
  <c r="I418" i="26"/>
  <c r="H418" i="26"/>
  <c r="O417" i="26"/>
  <c r="N417" i="26"/>
  <c r="M417" i="26"/>
  <c r="L417" i="26"/>
  <c r="K417" i="26"/>
  <c r="J417" i="26"/>
  <c r="I417" i="26"/>
  <c r="H417" i="26"/>
  <c r="O416" i="26"/>
  <c r="N416" i="26"/>
  <c r="M416" i="26"/>
  <c r="L416" i="26"/>
  <c r="K416" i="26"/>
  <c r="J416" i="26"/>
  <c r="I416" i="26"/>
  <c r="H416" i="26"/>
  <c r="O415" i="26"/>
  <c r="N415" i="26"/>
  <c r="M415" i="26"/>
  <c r="L415" i="26"/>
  <c r="K415" i="26"/>
  <c r="J415" i="26"/>
  <c r="I415" i="26"/>
  <c r="H415" i="26"/>
  <c r="O414" i="26"/>
  <c r="N414" i="26"/>
  <c r="M414" i="26"/>
  <c r="L414" i="26"/>
  <c r="K414" i="26"/>
  <c r="J414" i="26"/>
  <c r="I414" i="26"/>
  <c r="H414" i="26"/>
  <c r="O413" i="26"/>
  <c r="N413" i="26"/>
  <c r="M413" i="26"/>
  <c r="L413" i="26"/>
  <c r="K413" i="26"/>
  <c r="J413" i="26"/>
  <c r="I413" i="26"/>
  <c r="H413" i="26"/>
  <c r="O412" i="26"/>
  <c r="N412" i="26"/>
  <c r="M412" i="26"/>
  <c r="L412" i="26"/>
  <c r="K412" i="26"/>
  <c r="J412" i="26"/>
  <c r="I412" i="26"/>
  <c r="H412" i="26"/>
  <c r="O411" i="26"/>
  <c r="N411" i="26"/>
  <c r="M411" i="26"/>
  <c r="L411" i="26"/>
  <c r="K411" i="26"/>
  <c r="J411" i="26"/>
  <c r="I411" i="26"/>
  <c r="H411" i="26"/>
  <c r="O410" i="26"/>
  <c r="N410" i="26"/>
  <c r="M410" i="26"/>
  <c r="L410" i="26"/>
  <c r="K410" i="26"/>
  <c r="J410" i="26"/>
  <c r="I410" i="26"/>
  <c r="H410" i="26"/>
  <c r="O409" i="26"/>
  <c r="N409" i="26"/>
  <c r="M409" i="26"/>
  <c r="L409" i="26"/>
  <c r="K409" i="26"/>
  <c r="J409" i="26"/>
  <c r="I409" i="26"/>
  <c r="H409" i="26"/>
  <c r="O408" i="26"/>
  <c r="N408" i="26"/>
  <c r="M408" i="26"/>
  <c r="L408" i="26"/>
  <c r="K408" i="26"/>
  <c r="J408" i="26"/>
  <c r="I408" i="26"/>
  <c r="H408" i="26"/>
  <c r="O407" i="26"/>
  <c r="N407" i="26"/>
  <c r="M407" i="26"/>
  <c r="L407" i="26"/>
  <c r="K407" i="26"/>
  <c r="J407" i="26"/>
  <c r="I407" i="26"/>
  <c r="H407" i="26"/>
  <c r="O406" i="26"/>
  <c r="N406" i="26"/>
  <c r="M406" i="26"/>
  <c r="L406" i="26"/>
  <c r="K406" i="26"/>
  <c r="J406" i="26"/>
  <c r="I406" i="26"/>
  <c r="H406" i="26"/>
  <c r="O405" i="26"/>
  <c r="N405" i="26"/>
  <c r="M405" i="26"/>
  <c r="L405" i="26"/>
  <c r="K405" i="26"/>
  <c r="J405" i="26"/>
  <c r="I405" i="26"/>
  <c r="H405" i="26"/>
  <c r="O404" i="26"/>
  <c r="N404" i="26"/>
  <c r="M404" i="26"/>
  <c r="L404" i="26"/>
  <c r="K404" i="26"/>
  <c r="J404" i="26"/>
  <c r="I404" i="26"/>
  <c r="H404" i="26"/>
  <c r="O403" i="26"/>
  <c r="N403" i="26"/>
  <c r="M403" i="26"/>
  <c r="L403" i="26"/>
  <c r="K403" i="26"/>
  <c r="J403" i="26"/>
  <c r="I403" i="26"/>
  <c r="H403" i="26"/>
  <c r="O402" i="26"/>
  <c r="N402" i="26"/>
  <c r="M402" i="26"/>
  <c r="L402" i="26"/>
  <c r="K402" i="26"/>
  <c r="J402" i="26"/>
  <c r="I402" i="26"/>
  <c r="H402" i="26"/>
  <c r="O401" i="26"/>
  <c r="N401" i="26"/>
  <c r="M401" i="26"/>
  <c r="L401" i="26"/>
  <c r="K401" i="26"/>
  <c r="J401" i="26"/>
  <c r="I401" i="26"/>
  <c r="H401" i="26"/>
  <c r="O400" i="26"/>
  <c r="N400" i="26"/>
  <c r="M400" i="26"/>
  <c r="L400" i="26"/>
  <c r="K400" i="26"/>
  <c r="J400" i="26"/>
  <c r="I400" i="26"/>
  <c r="H400" i="26"/>
  <c r="O399" i="26"/>
  <c r="N399" i="26"/>
  <c r="M399" i="26"/>
  <c r="L399" i="26"/>
  <c r="K399" i="26"/>
  <c r="J399" i="26"/>
  <c r="I399" i="26"/>
  <c r="H399" i="26"/>
  <c r="O398" i="26"/>
  <c r="N398" i="26"/>
  <c r="M398" i="26"/>
  <c r="L398" i="26"/>
  <c r="K398" i="26"/>
  <c r="J398" i="26"/>
  <c r="I398" i="26"/>
  <c r="H398" i="26"/>
  <c r="O397" i="26"/>
  <c r="N397" i="26"/>
  <c r="M397" i="26"/>
  <c r="L397" i="26"/>
  <c r="K397" i="26"/>
  <c r="J397" i="26"/>
  <c r="I397" i="26"/>
  <c r="H397" i="26"/>
  <c r="O396" i="26"/>
  <c r="N396" i="26"/>
  <c r="M396" i="26"/>
  <c r="L396" i="26"/>
  <c r="K396" i="26"/>
  <c r="J396" i="26"/>
  <c r="I396" i="26"/>
  <c r="H396" i="26"/>
  <c r="O395" i="26"/>
  <c r="N395" i="26"/>
  <c r="M395" i="26"/>
  <c r="L395" i="26"/>
  <c r="K395" i="26"/>
  <c r="J395" i="26"/>
  <c r="I395" i="26"/>
  <c r="H395" i="26"/>
  <c r="O394" i="26"/>
  <c r="N394" i="26"/>
  <c r="M394" i="26"/>
  <c r="L394" i="26"/>
  <c r="K394" i="26"/>
  <c r="J394" i="26"/>
  <c r="I394" i="26"/>
  <c r="H394" i="26"/>
  <c r="O393" i="26"/>
  <c r="N393" i="26"/>
  <c r="M393" i="26"/>
  <c r="L393" i="26"/>
  <c r="K393" i="26"/>
  <c r="J393" i="26"/>
  <c r="I393" i="26"/>
  <c r="H393" i="26"/>
  <c r="O392" i="26"/>
  <c r="N392" i="26"/>
  <c r="M392" i="26"/>
  <c r="L392" i="26"/>
  <c r="K392" i="26"/>
  <c r="J392" i="26"/>
  <c r="I392" i="26"/>
  <c r="H392" i="26"/>
  <c r="O391" i="26"/>
  <c r="N391" i="26"/>
  <c r="M391" i="26"/>
  <c r="L391" i="26"/>
  <c r="K391" i="26"/>
  <c r="J391" i="26"/>
  <c r="I391" i="26"/>
  <c r="H391" i="26"/>
  <c r="O390" i="26"/>
  <c r="N390" i="26"/>
  <c r="M390" i="26"/>
  <c r="L390" i="26"/>
  <c r="K390" i="26"/>
  <c r="J390" i="26"/>
  <c r="I390" i="26"/>
  <c r="H390" i="26"/>
  <c r="O389" i="26"/>
  <c r="N389" i="26"/>
  <c r="M389" i="26"/>
  <c r="L389" i="26"/>
  <c r="K389" i="26"/>
  <c r="J389" i="26"/>
  <c r="I389" i="26"/>
  <c r="H389" i="26"/>
  <c r="O388" i="26"/>
  <c r="N388" i="26"/>
  <c r="M388" i="26"/>
  <c r="L388" i="26"/>
  <c r="K388" i="26"/>
  <c r="J388" i="26"/>
  <c r="I388" i="26"/>
  <c r="H388" i="26"/>
  <c r="O387" i="26"/>
  <c r="N387" i="26"/>
  <c r="M387" i="26"/>
  <c r="L387" i="26"/>
  <c r="K387" i="26"/>
  <c r="J387" i="26"/>
  <c r="I387" i="26"/>
  <c r="H387" i="26"/>
  <c r="O386" i="26"/>
  <c r="N386" i="26"/>
  <c r="M386" i="26"/>
  <c r="L386" i="26"/>
  <c r="K386" i="26"/>
  <c r="J386" i="26"/>
  <c r="I386" i="26"/>
  <c r="H386" i="26"/>
  <c r="O385" i="26"/>
  <c r="N385" i="26"/>
  <c r="M385" i="26"/>
  <c r="L385" i="26"/>
  <c r="K385" i="26"/>
  <c r="J385" i="26"/>
  <c r="I385" i="26"/>
  <c r="H385" i="26"/>
  <c r="O384" i="26"/>
  <c r="N384" i="26"/>
  <c r="M384" i="26"/>
  <c r="L384" i="26"/>
  <c r="K384" i="26"/>
  <c r="J384" i="26"/>
  <c r="I384" i="26"/>
  <c r="H384" i="26"/>
  <c r="O383" i="26"/>
  <c r="N383" i="26"/>
  <c r="M383" i="26"/>
  <c r="L383" i="26"/>
  <c r="K383" i="26"/>
  <c r="J383" i="26"/>
  <c r="I383" i="26"/>
  <c r="H383" i="26"/>
  <c r="O382" i="26"/>
  <c r="N382" i="26"/>
  <c r="M382" i="26"/>
  <c r="L382" i="26"/>
  <c r="K382" i="26"/>
  <c r="J382" i="26"/>
  <c r="I382" i="26"/>
  <c r="H382" i="26"/>
  <c r="O381" i="26"/>
  <c r="N381" i="26"/>
  <c r="M381" i="26"/>
  <c r="L381" i="26"/>
  <c r="K381" i="26"/>
  <c r="J381" i="26"/>
  <c r="I381" i="26"/>
  <c r="H381" i="26"/>
  <c r="O380" i="26"/>
  <c r="N380" i="26"/>
  <c r="M380" i="26"/>
  <c r="L380" i="26"/>
  <c r="K380" i="26"/>
  <c r="J380" i="26"/>
  <c r="I380" i="26"/>
  <c r="H380" i="26"/>
  <c r="O379" i="26"/>
  <c r="N379" i="26"/>
  <c r="M379" i="26"/>
  <c r="L379" i="26"/>
  <c r="K379" i="26"/>
  <c r="J379" i="26"/>
  <c r="I379" i="26"/>
  <c r="H379" i="26"/>
  <c r="O378" i="26"/>
  <c r="N378" i="26"/>
  <c r="M378" i="26"/>
  <c r="L378" i="26"/>
  <c r="K378" i="26"/>
  <c r="J378" i="26"/>
  <c r="I378" i="26"/>
  <c r="H378" i="26"/>
  <c r="O377" i="26"/>
  <c r="N377" i="26"/>
  <c r="M377" i="26"/>
  <c r="L377" i="26"/>
  <c r="K377" i="26"/>
  <c r="J377" i="26"/>
  <c r="I377" i="26"/>
  <c r="H377" i="26"/>
  <c r="O376" i="26"/>
  <c r="N376" i="26"/>
  <c r="M376" i="26"/>
  <c r="L376" i="26"/>
  <c r="K376" i="26"/>
  <c r="J376" i="26"/>
  <c r="I376" i="26"/>
  <c r="H376" i="26"/>
  <c r="O375" i="26"/>
  <c r="N375" i="26"/>
  <c r="M375" i="26"/>
  <c r="L375" i="26"/>
  <c r="K375" i="26"/>
  <c r="J375" i="26"/>
  <c r="I375" i="26"/>
  <c r="H375" i="26"/>
  <c r="O374" i="26"/>
  <c r="N374" i="26"/>
  <c r="M374" i="26"/>
  <c r="L374" i="26"/>
  <c r="K374" i="26"/>
  <c r="J374" i="26"/>
  <c r="I374" i="26"/>
  <c r="H374" i="26"/>
  <c r="O373" i="26"/>
  <c r="N373" i="26"/>
  <c r="M373" i="26"/>
  <c r="L373" i="26"/>
  <c r="K373" i="26"/>
  <c r="J373" i="26"/>
  <c r="I373" i="26"/>
  <c r="H373" i="26"/>
  <c r="O372" i="26"/>
  <c r="N372" i="26"/>
  <c r="M372" i="26"/>
  <c r="L372" i="26"/>
  <c r="K372" i="26"/>
  <c r="J372" i="26"/>
  <c r="I372" i="26"/>
  <c r="H372" i="26"/>
  <c r="O371" i="26"/>
  <c r="N371" i="26"/>
  <c r="M371" i="26"/>
  <c r="L371" i="26"/>
  <c r="K371" i="26"/>
  <c r="J371" i="26"/>
  <c r="I371" i="26"/>
  <c r="H371" i="26"/>
  <c r="O370" i="26"/>
  <c r="N370" i="26"/>
  <c r="M370" i="26"/>
  <c r="L370" i="26"/>
  <c r="K370" i="26"/>
  <c r="J370" i="26"/>
  <c r="I370" i="26"/>
  <c r="H370" i="26"/>
  <c r="O369" i="26"/>
  <c r="N369" i="26"/>
  <c r="M369" i="26"/>
  <c r="L369" i="26"/>
  <c r="K369" i="26"/>
  <c r="J369" i="26"/>
  <c r="I369" i="26"/>
  <c r="H369" i="26"/>
  <c r="O368" i="26"/>
  <c r="N368" i="26"/>
  <c r="M368" i="26"/>
  <c r="L368" i="26"/>
  <c r="K368" i="26"/>
  <c r="J368" i="26"/>
  <c r="I368" i="26"/>
  <c r="H368" i="26"/>
  <c r="O367" i="26"/>
  <c r="N367" i="26"/>
  <c r="M367" i="26"/>
  <c r="L367" i="26"/>
  <c r="K367" i="26"/>
  <c r="J367" i="26"/>
  <c r="I367" i="26"/>
  <c r="H367" i="26"/>
  <c r="O366" i="26"/>
  <c r="N366" i="26"/>
  <c r="M366" i="26"/>
  <c r="L366" i="26"/>
  <c r="K366" i="26"/>
  <c r="J366" i="26"/>
  <c r="I366" i="26"/>
  <c r="H366" i="26"/>
  <c r="O365" i="26"/>
  <c r="N365" i="26"/>
  <c r="M365" i="26"/>
  <c r="L365" i="26"/>
  <c r="K365" i="26"/>
  <c r="J365" i="26"/>
  <c r="I365" i="26"/>
  <c r="H365" i="26"/>
  <c r="O364" i="26"/>
  <c r="N364" i="26"/>
  <c r="M364" i="26"/>
  <c r="L364" i="26"/>
  <c r="K364" i="26"/>
  <c r="J364" i="26"/>
  <c r="I364" i="26"/>
  <c r="H364" i="26"/>
  <c r="O363" i="26"/>
  <c r="N363" i="26"/>
  <c r="M363" i="26"/>
  <c r="L363" i="26"/>
  <c r="K363" i="26"/>
  <c r="J363" i="26"/>
  <c r="I363" i="26"/>
  <c r="H363" i="26"/>
  <c r="O362" i="26"/>
  <c r="N362" i="26"/>
  <c r="M362" i="26"/>
  <c r="L362" i="26"/>
  <c r="K362" i="26"/>
  <c r="J362" i="26"/>
  <c r="I362" i="26"/>
  <c r="H362" i="26"/>
  <c r="O361" i="26"/>
  <c r="N361" i="26"/>
  <c r="M361" i="26"/>
  <c r="L361" i="26"/>
  <c r="K361" i="26"/>
  <c r="J361" i="26"/>
  <c r="I361" i="26"/>
  <c r="H361" i="26"/>
  <c r="O360" i="26"/>
  <c r="N360" i="26"/>
  <c r="M360" i="26"/>
  <c r="L360" i="26"/>
  <c r="K360" i="26"/>
  <c r="J360" i="26"/>
  <c r="I360" i="26"/>
  <c r="H360" i="26"/>
  <c r="O359" i="26"/>
  <c r="N359" i="26"/>
  <c r="M359" i="26"/>
  <c r="L359" i="26"/>
  <c r="K359" i="26"/>
  <c r="J359" i="26"/>
  <c r="I359" i="26"/>
  <c r="H359" i="26"/>
  <c r="O358" i="26"/>
  <c r="N358" i="26"/>
  <c r="M358" i="26"/>
  <c r="L358" i="26"/>
  <c r="K358" i="26"/>
  <c r="J358" i="26"/>
  <c r="I358" i="26"/>
  <c r="H358" i="26"/>
  <c r="O357" i="26"/>
  <c r="N357" i="26"/>
  <c r="M357" i="26"/>
  <c r="L357" i="26"/>
  <c r="K357" i="26"/>
  <c r="J357" i="26"/>
  <c r="I357" i="26"/>
  <c r="H357" i="26"/>
  <c r="O356" i="26"/>
  <c r="N356" i="26"/>
  <c r="M356" i="26"/>
  <c r="L356" i="26"/>
  <c r="K356" i="26"/>
  <c r="J356" i="26"/>
  <c r="I356" i="26"/>
  <c r="H356" i="26"/>
  <c r="O355" i="26"/>
  <c r="N355" i="26"/>
  <c r="M355" i="26"/>
  <c r="L355" i="26"/>
  <c r="K355" i="26"/>
  <c r="J355" i="26"/>
  <c r="I355" i="26"/>
  <c r="H355" i="26"/>
  <c r="O354" i="26"/>
  <c r="N354" i="26"/>
  <c r="M354" i="26"/>
  <c r="L354" i="26"/>
  <c r="K354" i="26"/>
  <c r="J354" i="26"/>
  <c r="I354" i="26"/>
  <c r="H354" i="26"/>
  <c r="O353" i="26"/>
  <c r="N353" i="26"/>
  <c r="M353" i="26"/>
  <c r="L353" i="26"/>
  <c r="K353" i="26"/>
  <c r="J353" i="26"/>
  <c r="I353" i="26"/>
  <c r="H353" i="26"/>
  <c r="O352" i="26"/>
  <c r="N352" i="26"/>
  <c r="M352" i="26"/>
  <c r="L352" i="26"/>
  <c r="K352" i="26"/>
  <c r="J352" i="26"/>
  <c r="I352" i="26"/>
  <c r="H352" i="26"/>
  <c r="O351" i="26"/>
  <c r="N351" i="26"/>
  <c r="M351" i="26"/>
  <c r="L351" i="26"/>
  <c r="K351" i="26"/>
  <c r="J351" i="26"/>
  <c r="I351" i="26"/>
  <c r="H351" i="26"/>
  <c r="O350" i="26"/>
  <c r="N350" i="26"/>
  <c r="M350" i="26"/>
  <c r="L350" i="26"/>
  <c r="K350" i="26"/>
  <c r="J350" i="26"/>
  <c r="I350" i="26"/>
  <c r="H350" i="26"/>
  <c r="O349" i="26"/>
  <c r="N349" i="26"/>
  <c r="M349" i="26"/>
  <c r="L349" i="26"/>
  <c r="K349" i="26"/>
  <c r="J349" i="26"/>
  <c r="I349" i="26"/>
  <c r="H349" i="26"/>
  <c r="O348" i="26"/>
  <c r="N348" i="26"/>
  <c r="M348" i="26"/>
  <c r="L348" i="26"/>
  <c r="K348" i="26"/>
  <c r="J348" i="26"/>
  <c r="I348" i="26"/>
  <c r="H348" i="26"/>
  <c r="O347" i="26"/>
  <c r="N347" i="26"/>
  <c r="M347" i="26"/>
  <c r="L347" i="26"/>
  <c r="K347" i="26"/>
  <c r="J347" i="26"/>
  <c r="I347" i="26"/>
  <c r="H347" i="26"/>
  <c r="O346" i="26"/>
  <c r="N346" i="26"/>
  <c r="M346" i="26"/>
  <c r="L346" i="26"/>
  <c r="K346" i="26"/>
  <c r="J346" i="26"/>
  <c r="I346" i="26"/>
  <c r="H346" i="26"/>
  <c r="O345" i="26"/>
  <c r="N345" i="26"/>
  <c r="M345" i="26"/>
  <c r="L345" i="26"/>
  <c r="K345" i="26"/>
  <c r="J345" i="26"/>
  <c r="I345" i="26"/>
  <c r="H345" i="26"/>
  <c r="O344" i="26"/>
  <c r="N344" i="26"/>
  <c r="M344" i="26"/>
  <c r="L344" i="26"/>
  <c r="K344" i="26"/>
  <c r="J344" i="26"/>
  <c r="I344" i="26"/>
  <c r="H344" i="26"/>
  <c r="O343" i="26"/>
  <c r="N343" i="26"/>
  <c r="M343" i="26"/>
  <c r="L343" i="26"/>
  <c r="K343" i="26"/>
  <c r="J343" i="26"/>
  <c r="I343" i="26"/>
  <c r="H343" i="26"/>
  <c r="O342" i="26"/>
  <c r="N342" i="26"/>
  <c r="M342" i="26"/>
  <c r="L342" i="26"/>
  <c r="K342" i="26"/>
  <c r="J342" i="26"/>
  <c r="I342" i="26"/>
  <c r="H342" i="26"/>
  <c r="O341" i="26"/>
  <c r="N341" i="26"/>
  <c r="M341" i="26"/>
  <c r="L341" i="26"/>
  <c r="K341" i="26"/>
  <c r="J341" i="26"/>
  <c r="I341" i="26"/>
  <c r="H341" i="26"/>
  <c r="O340" i="26"/>
  <c r="N340" i="26"/>
  <c r="M340" i="26"/>
  <c r="L340" i="26"/>
  <c r="K340" i="26"/>
  <c r="J340" i="26"/>
  <c r="I340" i="26"/>
  <c r="H340" i="26"/>
  <c r="O339" i="26"/>
  <c r="N339" i="26"/>
  <c r="M339" i="26"/>
  <c r="L339" i="26"/>
  <c r="K339" i="26"/>
  <c r="J339" i="26"/>
  <c r="I339" i="26"/>
  <c r="H339" i="26"/>
  <c r="O338" i="26"/>
  <c r="N338" i="26"/>
  <c r="M338" i="26"/>
  <c r="L338" i="26"/>
  <c r="K338" i="26"/>
  <c r="J338" i="26"/>
  <c r="I338" i="26"/>
  <c r="H338" i="26"/>
  <c r="O337" i="26"/>
  <c r="N337" i="26"/>
  <c r="M337" i="26"/>
  <c r="L337" i="26"/>
  <c r="K337" i="26"/>
  <c r="J337" i="26"/>
  <c r="I337" i="26"/>
  <c r="H337" i="26"/>
  <c r="O336" i="26"/>
  <c r="N336" i="26"/>
  <c r="M336" i="26"/>
  <c r="L336" i="26"/>
  <c r="K336" i="26"/>
  <c r="J336" i="26"/>
  <c r="I336" i="26"/>
  <c r="H336" i="26"/>
  <c r="O335" i="26"/>
  <c r="N335" i="26"/>
  <c r="M335" i="26"/>
  <c r="L335" i="26"/>
  <c r="K335" i="26"/>
  <c r="J335" i="26"/>
  <c r="I335" i="26"/>
  <c r="H335" i="26"/>
  <c r="O334" i="26"/>
  <c r="N334" i="26"/>
  <c r="M334" i="26"/>
  <c r="L334" i="26"/>
  <c r="K334" i="26"/>
  <c r="J334" i="26"/>
  <c r="I334" i="26"/>
  <c r="H334" i="26"/>
  <c r="O333" i="26"/>
  <c r="N333" i="26"/>
  <c r="M333" i="26"/>
  <c r="L333" i="26"/>
  <c r="K333" i="26"/>
  <c r="J333" i="26"/>
  <c r="I333" i="26"/>
  <c r="H333" i="26"/>
  <c r="O332" i="26"/>
  <c r="N332" i="26"/>
  <c r="M332" i="26"/>
  <c r="L332" i="26"/>
  <c r="K332" i="26"/>
  <c r="J332" i="26"/>
  <c r="I332" i="26"/>
  <c r="H332" i="26"/>
  <c r="O331" i="26"/>
  <c r="N331" i="26"/>
  <c r="M331" i="26"/>
  <c r="L331" i="26"/>
  <c r="K331" i="26"/>
  <c r="J331" i="26"/>
  <c r="I331" i="26"/>
  <c r="H331" i="26"/>
  <c r="O330" i="26"/>
  <c r="N330" i="26"/>
  <c r="M330" i="26"/>
  <c r="L330" i="26"/>
  <c r="K330" i="26"/>
  <c r="J330" i="26"/>
  <c r="I330" i="26"/>
  <c r="H330" i="26"/>
  <c r="O329" i="26"/>
  <c r="N329" i="26"/>
  <c r="M329" i="26"/>
  <c r="L329" i="26"/>
  <c r="K329" i="26"/>
  <c r="J329" i="26"/>
  <c r="I329" i="26"/>
  <c r="H329" i="26"/>
  <c r="O328" i="26"/>
  <c r="N328" i="26"/>
  <c r="M328" i="26"/>
  <c r="L328" i="26"/>
  <c r="K328" i="26"/>
  <c r="J328" i="26"/>
  <c r="I328" i="26"/>
  <c r="H328" i="26"/>
  <c r="O327" i="26"/>
  <c r="N327" i="26"/>
  <c r="M327" i="26"/>
  <c r="L327" i="26"/>
  <c r="K327" i="26"/>
  <c r="J327" i="26"/>
  <c r="I327" i="26"/>
  <c r="H327" i="26"/>
  <c r="O326" i="26"/>
  <c r="N326" i="26"/>
  <c r="M326" i="26"/>
  <c r="L326" i="26"/>
  <c r="K326" i="26"/>
  <c r="J326" i="26"/>
  <c r="I326" i="26"/>
  <c r="H326" i="26"/>
  <c r="O325" i="26"/>
  <c r="N325" i="26"/>
  <c r="M325" i="26"/>
  <c r="L325" i="26"/>
  <c r="K325" i="26"/>
  <c r="J325" i="26"/>
  <c r="I325" i="26"/>
  <c r="H325" i="26"/>
  <c r="O324" i="26"/>
  <c r="N324" i="26"/>
  <c r="M324" i="26"/>
  <c r="L324" i="26"/>
  <c r="K324" i="26"/>
  <c r="J324" i="26"/>
  <c r="I324" i="26"/>
  <c r="H324" i="26"/>
  <c r="O323" i="26"/>
  <c r="N323" i="26"/>
  <c r="M323" i="26"/>
  <c r="L323" i="26"/>
  <c r="K323" i="26"/>
  <c r="J323" i="26"/>
  <c r="I323" i="26"/>
  <c r="H323" i="26"/>
  <c r="O322" i="26"/>
  <c r="N322" i="26"/>
  <c r="M322" i="26"/>
  <c r="L322" i="26"/>
  <c r="K322" i="26"/>
  <c r="J322" i="26"/>
  <c r="I322" i="26"/>
  <c r="H322" i="26"/>
  <c r="O321" i="26"/>
  <c r="N321" i="26"/>
  <c r="M321" i="26"/>
  <c r="L321" i="26"/>
  <c r="K321" i="26"/>
  <c r="J321" i="26"/>
  <c r="I321" i="26"/>
  <c r="H321" i="26"/>
  <c r="O320" i="26"/>
  <c r="N320" i="26"/>
  <c r="M320" i="26"/>
  <c r="L320" i="26"/>
  <c r="K320" i="26"/>
  <c r="J320" i="26"/>
  <c r="I320" i="26"/>
  <c r="H320" i="26"/>
  <c r="O319" i="26"/>
  <c r="N319" i="26"/>
  <c r="M319" i="26"/>
  <c r="L319" i="26"/>
  <c r="K319" i="26"/>
  <c r="J319" i="26"/>
  <c r="I319" i="26"/>
  <c r="H319" i="26"/>
  <c r="O318" i="26"/>
  <c r="N318" i="26"/>
  <c r="M318" i="26"/>
  <c r="L318" i="26"/>
  <c r="K318" i="26"/>
  <c r="J318" i="26"/>
  <c r="I318" i="26"/>
  <c r="H318" i="26"/>
  <c r="O317" i="26"/>
  <c r="N317" i="26"/>
  <c r="M317" i="26"/>
  <c r="L317" i="26"/>
  <c r="K317" i="26"/>
  <c r="J317" i="26"/>
  <c r="I317" i="26"/>
  <c r="H317" i="26"/>
  <c r="O316" i="26"/>
  <c r="N316" i="26"/>
  <c r="M316" i="26"/>
  <c r="L316" i="26"/>
  <c r="K316" i="26"/>
  <c r="J316" i="26"/>
  <c r="I316" i="26"/>
  <c r="H316" i="26"/>
  <c r="O315" i="26"/>
  <c r="N315" i="26"/>
  <c r="M315" i="26"/>
  <c r="L315" i="26"/>
  <c r="K315" i="26"/>
  <c r="J315" i="26"/>
  <c r="I315" i="26"/>
  <c r="H315" i="26"/>
  <c r="O314" i="26"/>
  <c r="N314" i="26"/>
  <c r="M314" i="26"/>
  <c r="L314" i="26"/>
  <c r="K314" i="26"/>
  <c r="J314" i="26"/>
  <c r="I314" i="26"/>
  <c r="H314" i="26"/>
  <c r="O313" i="26"/>
  <c r="N313" i="26"/>
  <c r="M313" i="26"/>
  <c r="L313" i="26"/>
  <c r="K313" i="26"/>
  <c r="J313" i="26"/>
  <c r="I313" i="26"/>
  <c r="H313" i="26"/>
  <c r="O312" i="26"/>
  <c r="N312" i="26"/>
  <c r="M312" i="26"/>
  <c r="L312" i="26"/>
  <c r="K312" i="26"/>
  <c r="J312" i="26"/>
  <c r="I312" i="26"/>
  <c r="H312" i="26"/>
  <c r="O311" i="26"/>
  <c r="N311" i="26"/>
  <c r="M311" i="26"/>
  <c r="L311" i="26"/>
  <c r="K311" i="26"/>
  <c r="J311" i="26"/>
  <c r="I311" i="26"/>
  <c r="H311" i="26"/>
  <c r="O310" i="26"/>
  <c r="N310" i="26"/>
  <c r="M310" i="26"/>
  <c r="L310" i="26"/>
  <c r="K310" i="26"/>
  <c r="J310" i="26"/>
  <c r="I310" i="26"/>
  <c r="H310" i="26"/>
  <c r="O309" i="26"/>
  <c r="N309" i="26"/>
  <c r="M309" i="26"/>
  <c r="L309" i="26"/>
  <c r="K309" i="26"/>
  <c r="J309" i="26"/>
  <c r="I309" i="26"/>
  <c r="H309" i="26"/>
  <c r="O308" i="26"/>
  <c r="N308" i="26"/>
  <c r="M308" i="26"/>
  <c r="L308" i="26"/>
  <c r="K308" i="26"/>
  <c r="J308" i="26"/>
  <c r="I308" i="26"/>
  <c r="H308" i="26"/>
  <c r="O307" i="26"/>
  <c r="N307" i="26"/>
  <c r="M307" i="26"/>
  <c r="L307" i="26"/>
  <c r="K307" i="26"/>
  <c r="J307" i="26"/>
  <c r="I307" i="26"/>
  <c r="H307" i="26"/>
  <c r="O306" i="26"/>
  <c r="N306" i="26"/>
  <c r="M306" i="26"/>
  <c r="L306" i="26"/>
  <c r="K306" i="26"/>
  <c r="J306" i="26"/>
  <c r="I306" i="26"/>
  <c r="H306" i="26"/>
  <c r="O305" i="26"/>
  <c r="N305" i="26"/>
  <c r="M305" i="26"/>
  <c r="L305" i="26"/>
  <c r="K305" i="26"/>
  <c r="J305" i="26"/>
  <c r="I305" i="26"/>
  <c r="H305" i="26"/>
  <c r="O304" i="26"/>
  <c r="N304" i="26"/>
  <c r="M304" i="26"/>
  <c r="L304" i="26"/>
  <c r="K304" i="26"/>
  <c r="J304" i="26"/>
  <c r="I304" i="26"/>
  <c r="H304" i="26"/>
  <c r="O303" i="26"/>
  <c r="N303" i="26"/>
  <c r="M303" i="26"/>
  <c r="L303" i="26"/>
  <c r="K303" i="26"/>
  <c r="J303" i="26"/>
  <c r="I303" i="26"/>
  <c r="H303" i="26"/>
  <c r="O302" i="26"/>
  <c r="N302" i="26"/>
  <c r="M302" i="26"/>
  <c r="L302" i="26"/>
  <c r="K302" i="26"/>
  <c r="J302" i="26"/>
  <c r="I302" i="26"/>
  <c r="H302" i="26"/>
  <c r="O301" i="26"/>
  <c r="N301" i="26"/>
  <c r="M301" i="26"/>
  <c r="L301" i="26"/>
  <c r="K301" i="26"/>
  <c r="J301" i="26"/>
  <c r="I301" i="26"/>
  <c r="H301" i="26"/>
  <c r="O300" i="26"/>
  <c r="N300" i="26"/>
  <c r="M300" i="26"/>
  <c r="L300" i="26"/>
  <c r="K300" i="26"/>
  <c r="J300" i="26"/>
  <c r="I300" i="26"/>
  <c r="H300" i="26"/>
  <c r="O299" i="26"/>
  <c r="N299" i="26"/>
  <c r="M299" i="26"/>
  <c r="L299" i="26"/>
  <c r="K299" i="26"/>
  <c r="J299" i="26"/>
  <c r="I299" i="26"/>
  <c r="H299" i="26"/>
  <c r="O298" i="26"/>
  <c r="N298" i="26"/>
  <c r="M298" i="26"/>
  <c r="L298" i="26"/>
  <c r="K298" i="26"/>
  <c r="J298" i="26"/>
  <c r="I298" i="26"/>
  <c r="H298" i="26"/>
  <c r="O297" i="26"/>
  <c r="N297" i="26"/>
  <c r="M297" i="26"/>
  <c r="L297" i="26"/>
  <c r="K297" i="26"/>
  <c r="J297" i="26"/>
  <c r="I297" i="26"/>
  <c r="H297" i="26"/>
  <c r="O296" i="26"/>
  <c r="N296" i="26"/>
  <c r="M296" i="26"/>
  <c r="L296" i="26"/>
  <c r="K296" i="26"/>
  <c r="J296" i="26"/>
  <c r="I296" i="26"/>
  <c r="H296" i="26"/>
  <c r="O295" i="26"/>
  <c r="N295" i="26"/>
  <c r="M295" i="26"/>
  <c r="L295" i="26"/>
  <c r="K295" i="26"/>
  <c r="J295" i="26"/>
  <c r="I295" i="26"/>
  <c r="H295" i="26"/>
  <c r="O294" i="26"/>
  <c r="N294" i="26"/>
  <c r="M294" i="26"/>
  <c r="L294" i="26"/>
  <c r="K294" i="26"/>
  <c r="J294" i="26"/>
  <c r="I294" i="26"/>
  <c r="H294" i="26"/>
  <c r="O293" i="26"/>
  <c r="N293" i="26"/>
  <c r="M293" i="26"/>
  <c r="L293" i="26"/>
  <c r="K293" i="26"/>
  <c r="J293" i="26"/>
  <c r="I293" i="26"/>
  <c r="H293" i="26"/>
  <c r="O292" i="26"/>
  <c r="N292" i="26"/>
  <c r="M292" i="26"/>
  <c r="L292" i="26"/>
  <c r="K292" i="26"/>
  <c r="J292" i="26"/>
  <c r="I292" i="26"/>
  <c r="H292" i="26"/>
  <c r="O291" i="26"/>
  <c r="N291" i="26"/>
  <c r="M291" i="26"/>
  <c r="L291" i="26"/>
  <c r="K291" i="26"/>
  <c r="J291" i="26"/>
  <c r="I291" i="26"/>
  <c r="H291" i="26"/>
  <c r="O290" i="26"/>
  <c r="N290" i="26"/>
  <c r="M290" i="26"/>
  <c r="L290" i="26"/>
  <c r="K290" i="26"/>
  <c r="J290" i="26"/>
  <c r="I290" i="26"/>
  <c r="H290" i="26"/>
  <c r="O289" i="26"/>
  <c r="N289" i="26"/>
  <c r="M289" i="26"/>
  <c r="L289" i="26"/>
  <c r="K289" i="26"/>
  <c r="J289" i="26"/>
  <c r="I289" i="26"/>
  <c r="H289" i="26"/>
  <c r="O288" i="26"/>
  <c r="N288" i="26"/>
  <c r="M288" i="26"/>
  <c r="L288" i="26"/>
  <c r="K288" i="26"/>
  <c r="J288" i="26"/>
  <c r="I288" i="26"/>
  <c r="H288" i="26"/>
  <c r="O287" i="26"/>
  <c r="N287" i="26"/>
  <c r="M287" i="26"/>
  <c r="L287" i="26"/>
  <c r="K287" i="26"/>
  <c r="J287" i="26"/>
  <c r="I287" i="26"/>
  <c r="H287" i="26"/>
  <c r="O286" i="26"/>
  <c r="N286" i="26"/>
  <c r="M286" i="26"/>
  <c r="L286" i="26"/>
  <c r="K286" i="26"/>
  <c r="J286" i="26"/>
  <c r="I286" i="26"/>
  <c r="H286" i="26"/>
  <c r="O285" i="26"/>
  <c r="N285" i="26"/>
  <c r="M285" i="26"/>
  <c r="L285" i="26"/>
  <c r="K285" i="26"/>
  <c r="J285" i="26"/>
  <c r="I285" i="26"/>
  <c r="H285" i="26"/>
  <c r="O284" i="26"/>
  <c r="N284" i="26"/>
  <c r="M284" i="26"/>
  <c r="L284" i="26"/>
  <c r="K284" i="26"/>
  <c r="J284" i="26"/>
  <c r="I284" i="26"/>
  <c r="H284" i="26"/>
  <c r="O283" i="26"/>
  <c r="N283" i="26"/>
  <c r="M283" i="26"/>
  <c r="L283" i="26"/>
  <c r="K283" i="26"/>
  <c r="J283" i="26"/>
  <c r="I283" i="26"/>
  <c r="H283" i="26"/>
  <c r="O282" i="26"/>
  <c r="N282" i="26"/>
  <c r="M282" i="26"/>
  <c r="L282" i="26"/>
  <c r="K282" i="26"/>
  <c r="J282" i="26"/>
  <c r="I282" i="26"/>
  <c r="H282" i="26"/>
  <c r="O281" i="26"/>
  <c r="N281" i="26"/>
  <c r="M281" i="26"/>
  <c r="L281" i="26"/>
  <c r="K281" i="26"/>
  <c r="J281" i="26"/>
  <c r="I281" i="26"/>
  <c r="H281" i="26"/>
  <c r="O280" i="26"/>
  <c r="N280" i="26"/>
  <c r="M280" i="26"/>
  <c r="L280" i="26"/>
  <c r="K280" i="26"/>
  <c r="J280" i="26"/>
  <c r="I280" i="26"/>
  <c r="H280" i="26"/>
  <c r="O279" i="26"/>
  <c r="N279" i="26"/>
  <c r="M279" i="26"/>
  <c r="L279" i="26"/>
  <c r="K279" i="26"/>
  <c r="J279" i="26"/>
  <c r="I279" i="26"/>
  <c r="H279" i="26"/>
  <c r="O278" i="26"/>
  <c r="N278" i="26"/>
  <c r="M278" i="26"/>
  <c r="L278" i="26"/>
  <c r="K278" i="26"/>
  <c r="J278" i="26"/>
  <c r="I278" i="26"/>
  <c r="H278" i="26"/>
  <c r="O277" i="26"/>
  <c r="N277" i="26"/>
  <c r="M277" i="26"/>
  <c r="L277" i="26"/>
  <c r="K277" i="26"/>
  <c r="J277" i="26"/>
  <c r="I277" i="26"/>
  <c r="H277" i="26"/>
  <c r="O276" i="26"/>
  <c r="N276" i="26"/>
  <c r="M276" i="26"/>
  <c r="L276" i="26"/>
  <c r="K276" i="26"/>
  <c r="J276" i="26"/>
  <c r="I276" i="26"/>
  <c r="H276" i="26"/>
  <c r="O275" i="26"/>
  <c r="N275" i="26"/>
  <c r="M275" i="26"/>
  <c r="L275" i="26"/>
  <c r="K275" i="26"/>
  <c r="J275" i="26"/>
  <c r="I275" i="26"/>
  <c r="H275" i="26"/>
  <c r="O274" i="26"/>
  <c r="N274" i="26"/>
  <c r="M274" i="26"/>
  <c r="L274" i="26"/>
  <c r="K274" i="26"/>
  <c r="J274" i="26"/>
  <c r="I274" i="26"/>
  <c r="H274" i="26"/>
  <c r="O273" i="26"/>
  <c r="N273" i="26"/>
  <c r="M273" i="26"/>
  <c r="L273" i="26"/>
  <c r="K273" i="26"/>
  <c r="J273" i="26"/>
  <c r="I273" i="26"/>
  <c r="H273" i="26"/>
  <c r="O272" i="26"/>
  <c r="N272" i="26"/>
  <c r="M272" i="26"/>
  <c r="L272" i="26"/>
  <c r="K272" i="26"/>
  <c r="J272" i="26"/>
  <c r="I272" i="26"/>
  <c r="H272" i="26"/>
  <c r="O271" i="26"/>
  <c r="N271" i="26"/>
  <c r="M271" i="26"/>
  <c r="L271" i="26"/>
  <c r="K271" i="26"/>
  <c r="J271" i="26"/>
  <c r="I271" i="26"/>
  <c r="H271" i="26"/>
  <c r="O270" i="26"/>
  <c r="N270" i="26"/>
  <c r="M270" i="26"/>
  <c r="L270" i="26"/>
  <c r="K270" i="26"/>
  <c r="J270" i="26"/>
  <c r="I270" i="26"/>
  <c r="H270" i="26"/>
  <c r="O269" i="26"/>
  <c r="N269" i="26"/>
  <c r="M269" i="26"/>
  <c r="L269" i="26"/>
  <c r="K269" i="26"/>
  <c r="J269" i="26"/>
  <c r="I269" i="26"/>
  <c r="H269" i="26"/>
  <c r="O268" i="26"/>
  <c r="N268" i="26"/>
  <c r="M268" i="26"/>
  <c r="L268" i="26"/>
  <c r="K268" i="26"/>
  <c r="J268" i="26"/>
  <c r="I268" i="26"/>
  <c r="H268" i="26"/>
  <c r="O267" i="26"/>
  <c r="N267" i="26"/>
  <c r="M267" i="26"/>
  <c r="L267" i="26"/>
  <c r="K267" i="26"/>
  <c r="J267" i="26"/>
  <c r="I267" i="26"/>
  <c r="H267" i="26"/>
  <c r="O266" i="26"/>
  <c r="N266" i="26"/>
  <c r="M266" i="26"/>
  <c r="L266" i="26"/>
  <c r="K266" i="26"/>
  <c r="J266" i="26"/>
  <c r="I266" i="26"/>
  <c r="H266" i="26"/>
  <c r="O265" i="26"/>
  <c r="N265" i="26"/>
  <c r="M265" i="26"/>
  <c r="L265" i="26"/>
  <c r="K265" i="26"/>
  <c r="J265" i="26"/>
  <c r="I265" i="26"/>
  <c r="H265" i="26"/>
  <c r="O264" i="26"/>
  <c r="N264" i="26"/>
  <c r="M264" i="26"/>
  <c r="L264" i="26"/>
  <c r="K264" i="26"/>
  <c r="J264" i="26"/>
  <c r="I264" i="26"/>
  <c r="H264" i="26"/>
  <c r="O263" i="26"/>
  <c r="N263" i="26"/>
  <c r="M263" i="26"/>
  <c r="L263" i="26"/>
  <c r="K263" i="26"/>
  <c r="J263" i="26"/>
  <c r="I263" i="26"/>
  <c r="H263" i="26"/>
  <c r="O262" i="26"/>
  <c r="N262" i="26"/>
  <c r="M262" i="26"/>
  <c r="L262" i="26"/>
  <c r="K262" i="26"/>
  <c r="J262" i="26"/>
  <c r="I262" i="26"/>
  <c r="H262" i="26"/>
  <c r="O261" i="26"/>
  <c r="N261" i="26"/>
  <c r="M261" i="26"/>
  <c r="L261" i="26"/>
  <c r="K261" i="26"/>
  <c r="J261" i="26"/>
  <c r="I261" i="26"/>
  <c r="H261" i="26"/>
  <c r="O260" i="26"/>
  <c r="N260" i="26"/>
  <c r="M260" i="26"/>
  <c r="L260" i="26"/>
  <c r="K260" i="26"/>
  <c r="J260" i="26"/>
  <c r="I260" i="26"/>
  <c r="H260" i="26"/>
  <c r="O259" i="26"/>
  <c r="N259" i="26"/>
  <c r="M259" i="26"/>
  <c r="L259" i="26"/>
  <c r="K259" i="26"/>
  <c r="J259" i="26"/>
  <c r="I259" i="26"/>
  <c r="H259" i="26"/>
  <c r="O258" i="26"/>
  <c r="N258" i="26"/>
  <c r="M258" i="26"/>
  <c r="L258" i="26"/>
  <c r="K258" i="26"/>
  <c r="J258" i="26"/>
  <c r="I258" i="26"/>
  <c r="H258" i="26"/>
  <c r="O257" i="26"/>
  <c r="N257" i="26"/>
  <c r="M257" i="26"/>
  <c r="L257" i="26"/>
  <c r="K257" i="26"/>
  <c r="J257" i="26"/>
  <c r="I257" i="26"/>
  <c r="H257" i="26"/>
  <c r="O256" i="26"/>
  <c r="N256" i="26"/>
  <c r="M256" i="26"/>
  <c r="L256" i="26"/>
  <c r="K256" i="26"/>
  <c r="J256" i="26"/>
  <c r="I256" i="26"/>
  <c r="H256" i="26"/>
  <c r="O255" i="26"/>
  <c r="N255" i="26"/>
  <c r="M255" i="26"/>
  <c r="L255" i="26"/>
  <c r="K255" i="26"/>
  <c r="J255" i="26"/>
  <c r="I255" i="26"/>
  <c r="H255" i="26"/>
  <c r="O254" i="26"/>
  <c r="N254" i="26"/>
  <c r="M254" i="26"/>
  <c r="L254" i="26"/>
  <c r="K254" i="26"/>
  <c r="J254" i="26"/>
  <c r="I254" i="26"/>
  <c r="H254" i="26"/>
  <c r="O253" i="26"/>
  <c r="N253" i="26"/>
  <c r="M253" i="26"/>
  <c r="L253" i="26"/>
  <c r="K253" i="26"/>
  <c r="J253" i="26"/>
  <c r="I253" i="26"/>
  <c r="H253" i="26"/>
  <c r="O252" i="26"/>
  <c r="N252" i="26"/>
  <c r="M252" i="26"/>
  <c r="L252" i="26"/>
  <c r="K252" i="26"/>
  <c r="J252" i="26"/>
  <c r="I252" i="26"/>
  <c r="H252" i="26"/>
  <c r="O251" i="26"/>
  <c r="N251" i="26"/>
  <c r="M251" i="26"/>
  <c r="L251" i="26"/>
  <c r="K251" i="26"/>
  <c r="J251" i="26"/>
  <c r="I251" i="26"/>
  <c r="H251" i="26"/>
  <c r="O250" i="26"/>
  <c r="N250" i="26"/>
  <c r="M250" i="26"/>
  <c r="L250" i="26"/>
  <c r="K250" i="26"/>
  <c r="J250" i="26"/>
  <c r="I250" i="26"/>
  <c r="H250" i="26"/>
  <c r="O249" i="26"/>
  <c r="N249" i="26"/>
  <c r="M249" i="26"/>
  <c r="L249" i="26"/>
  <c r="K249" i="26"/>
  <c r="J249" i="26"/>
  <c r="I249" i="26"/>
  <c r="H249" i="26"/>
  <c r="O248" i="26"/>
  <c r="N248" i="26"/>
  <c r="M248" i="26"/>
  <c r="L248" i="26"/>
  <c r="K248" i="26"/>
  <c r="J248" i="26"/>
  <c r="I248" i="26"/>
  <c r="H248" i="26"/>
  <c r="O247" i="26"/>
  <c r="N247" i="26"/>
  <c r="M247" i="26"/>
  <c r="L247" i="26"/>
  <c r="K247" i="26"/>
  <c r="J247" i="26"/>
  <c r="I247" i="26"/>
  <c r="H247" i="26"/>
  <c r="O246" i="26"/>
  <c r="N246" i="26"/>
  <c r="M246" i="26"/>
  <c r="L246" i="26"/>
  <c r="K246" i="26"/>
  <c r="J246" i="26"/>
  <c r="I246" i="26"/>
  <c r="H246" i="26"/>
  <c r="O245" i="26"/>
  <c r="N245" i="26"/>
  <c r="M245" i="26"/>
  <c r="L245" i="26"/>
  <c r="K245" i="26"/>
  <c r="J245" i="26"/>
  <c r="I245" i="26"/>
  <c r="H245" i="26"/>
  <c r="O244" i="26"/>
  <c r="N244" i="26"/>
  <c r="M244" i="26"/>
  <c r="L244" i="26"/>
  <c r="K244" i="26"/>
  <c r="J244" i="26"/>
  <c r="I244" i="26"/>
  <c r="H244" i="26"/>
  <c r="O243" i="26"/>
  <c r="N243" i="26"/>
  <c r="M243" i="26"/>
  <c r="L243" i="26"/>
  <c r="K243" i="26"/>
  <c r="J243" i="26"/>
  <c r="I243" i="26"/>
  <c r="H243" i="26"/>
  <c r="O242" i="26"/>
  <c r="N242" i="26"/>
  <c r="M242" i="26"/>
  <c r="L242" i="26"/>
  <c r="K242" i="26"/>
  <c r="J242" i="26"/>
  <c r="I242" i="26"/>
  <c r="H242" i="26"/>
  <c r="O241" i="26"/>
  <c r="N241" i="26"/>
  <c r="M241" i="26"/>
  <c r="L241" i="26"/>
  <c r="K241" i="26"/>
  <c r="J241" i="26"/>
  <c r="I241" i="26"/>
  <c r="H241" i="26"/>
  <c r="O240" i="26"/>
  <c r="N240" i="26"/>
  <c r="M240" i="26"/>
  <c r="L240" i="26"/>
  <c r="K240" i="26"/>
  <c r="J240" i="26"/>
  <c r="I240" i="26"/>
  <c r="H240" i="26"/>
  <c r="O239" i="26"/>
  <c r="N239" i="26"/>
  <c r="M239" i="26"/>
  <c r="L239" i="26"/>
  <c r="K239" i="26"/>
  <c r="J239" i="26"/>
  <c r="I239" i="26"/>
  <c r="H239" i="26"/>
  <c r="O238" i="26"/>
  <c r="N238" i="26"/>
  <c r="M238" i="26"/>
  <c r="L238" i="26"/>
  <c r="K238" i="26"/>
  <c r="J238" i="26"/>
  <c r="I238" i="26"/>
  <c r="H238" i="26"/>
  <c r="O237" i="26"/>
  <c r="N237" i="26"/>
  <c r="M237" i="26"/>
  <c r="L237" i="26"/>
  <c r="K237" i="26"/>
  <c r="J237" i="26"/>
  <c r="I237" i="26"/>
  <c r="H237" i="26"/>
  <c r="O236" i="26"/>
  <c r="N236" i="26"/>
  <c r="M236" i="26"/>
  <c r="L236" i="26"/>
  <c r="K236" i="26"/>
  <c r="J236" i="26"/>
  <c r="I236" i="26"/>
  <c r="H236" i="26"/>
  <c r="O235" i="26"/>
  <c r="N235" i="26"/>
  <c r="M235" i="26"/>
  <c r="L235" i="26"/>
  <c r="K235" i="26"/>
  <c r="J235" i="26"/>
  <c r="I235" i="26"/>
  <c r="H235" i="26"/>
  <c r="O234" i="26"/>
  <c r="N234" i="26"/>
  <c r="M234" i="26"/>
  <c r="L234" i="26"/>
  <c r="K234" i="26"/>
  <c r="J234" i="26"/>
  <c r="I234" i="26"/>
  <c r="H234" i="26"/>
  <c r="O233" i="26"/>
  <c r="N233" i="26"/>
  <c r="M233" i="26"/>
  <c r="L233" i="26"/>
  <c r="K233" i="26"/>
  <c r="J233" i="26"/>
  <c r="I233" i="26"/>
  <c r="H233" i="26"/>
  <c r="O232" i="26"/>
  <c r="N232" i="26"/>
  <c r="M232" i="26"/>
  <c r="L232" i="26"/>
  <c r="K232" i="26"/>
  <c r="J232" i="26"/>
  <c r="I232" i="26"/>
  <c r="H232" i="26"/>
  <c r="O231" i="26"/>
  <c r="N231" i="26"/>
  <c r="M231" i="26"/>
  <c r="L231" i="26"/>
  <c r="K231" i="26"/>
  <c r="J231" i="26"/>
  <c r="I231" i="26"/>
  <c r="H231" i="26"/>
  <c r="O230" i="26"/>
  <c r="N230" i="26"/>
  <c r="M230" i="26"/>
  <c r="L230" i="26"/>
  <c r="K230" i="26"/>
  <c r="J230" i="26"/>
  <c r="I230" i="26"/>
  <c r="H230" i="26"/>
  <c r="O229" i="26"/>
  <c r="N229" i="26"/>
  <c r="M229" i="26"/>
  <c r="L229" i="26"/>
  <c r="K229" i="26"/>
  <c r="J229" i="26"/>
  <c r="I229" i="26"/>
  <c r="H229" i="26"/>
  <c r="O228" i="26"/>
  <c r="N228" i="26"/>
  <c r="M228" i="26"/>
  <c r="L228" i="26"/>
  <c r="K228" i="26"/>
  <c r="J228" i="26"/>
  <c r="I228" i="26"/>
  <c r="H228" i="26"/>
  <c r="O227" i="26"/>
  <c r="N227" i="26"/>
  <c r="M227" i="26"/>
  <c r="L227" i="26"/>
  <c r="K227" i="26"/>
  <c r="J227" i="26"/>
  <c r="I227" i="26"/>
  <c r="H227" i="26"/>
  <c r="O226" i="26"/>
  <c r="N226" i="26"/>
  <c r="M226" i="26"/>
  <c r="L226" i="26"/>
  <c r="K226" i="26"/>
  <c r="J226" i="26"/>
  <c r="I226" i="26"/>
  <c r="H226" i="26"/>
  <c r="O225" i="26"/>
  <c r="N225" i="26"/>
  <c r="M225" i="26"/>
  <c r="L225" i="26"/>
  <c r="K225" i="26"/>
  <c r="J225" i="26"/>
  <c r="I225" i="26"/>
  <c r="H225" i="26"/>
  <c r="O224" i="26"/>
  <c r="N224" i="26"/>
  <c r="M224" i="26"/>
  <c r="L224" i="26"/>
  <c r="K224" i="26"/>
  <c r="J224" i="26"/>
  <c r="I224" i="26"/>
  <c r="H224" i="26"/>
  <c r="O223" i="26"/>
  <c r="N223" i="26"/>
  <c r="M223" i="26"/>
  <c r="L223" i="26"/>
  <c r="K223" i="26"/>
  <c r="J223" i="26"/>
  <c r="I223" i="26"/>
  <c r="H223" i="26"/>
  <c r="O222" i="26"/>
  <c r="N222" i="26"/>
  <c r="M222" i="26"/>
  <c r="L222" i="26"/>
  <c r="K222" i="26"/>
  <c r="J222" i="26"/>
  <c r="I222" i="26"/>
  <c r="H222" i="26"/>
  <c r="O221" i="26"/>
  <c r="N221" i="26"/>
  <c r="M221" i="26"/>
  <c r="L221" i="26"/>
  <c r="K221" i="26"/>
  <c r="J221" i="26"/>
  <c r="I221" i="26"/>
  <c r="H221" i="26"/>
  <c r="O220" i="26"/>
  <c r="N220" i="26"/>
  <c r="M220" i="26"/>
  <c r="L220" i="26"/>
  <c r="K220" i="26"/>
  <c r="J220" i="26"/>
  <c r="I220" i="26"/>
  <c r="H220" i="26"/>
  <c r="O219" i="26"/>
  <c r="N219" i="26"/>
  <c r="M219" i="26"/>
  <c r="L219" i="26"/>
  <c r="K219" i="26"/>
  <c r="J219" i="26"/>
  <c r="I219" i="26"/>
  <c r="H219" i="26"/>
  <c r="O218" i="26"/>
  <c r="N218" i="26"/>
  <c r="M218" i="26"/>
  <c r="L218" i="26"/>
  <c r="K218" i="26"/>
  <c r="J218" i="26"/>
  <c r="I218" i="26"/>
  <c r="H218" i="26"/>
  <c r="O217" i="26"/>
  <c r="N217" i="26"/>
  <c r="M217" i="26"/>
  <c r="L217" i="26"/>
  <c r="K217" i="26"/>
  <c r="J217" i="26"/>
  <c r="I217" i="26"/>
  <c r="H217" i="26"/>
  <c r="O216" i="26"/>
  <c r="N216" i="26"/>
  <c r="M216" i="26"/>
  <c r="L216" i="26"/>
  <c r="K216" i="26"/>
  <c r="J216" i="26"/>
  <c r="I216" i="26"/>
  <c r="H216" i="26"/>
  <c r="O215" i="26"/>
  <c r="N215" i="26"/>
  <c r="M215" i="26"/>
  <c r="L215" i="26"/>
  <c r="K215" i="26"/>
  <c r="J215" i="26"/>
  <c r="I215" i="26"/>
  <c r="H215" i="26"/>
  <c r="O214" i="26"/>
  <c r="N214" i="26"/>
  <c r="M214" i="26"/>
  <c r="L214" i="26"/>
  <c r="K214" i="26"/>
  <c r="J214" i="26"/>
  <c r="I214" i="26"/>
  <c r="H214" i="26"/>
  <c r="O213" i="26"/>
  <c r="N213" i="26"/>
  <c r="M213" i="26"/>
  <c r="L213" i="26"/>
  <c r="K213" i="26"/>
  <c r="J213" i="26"/>
  <c r="I213" i="26"/>
  <c r="H213" i="26"/>
  <c r="O212" i="26"/>
  <c r="N212" i="26"/>
  <c r="M212" i="26"/>
  <c r="L212" i="26"/>
  <c r="K212" i="26"/>
  <c r="J212" i="26"/>
  <c r="I212" i="26"/>
  <c r="H212" i="26"/>
  <c r="O211" i="26"/>
  <c r="N211" i="26"/>
  <c r="M211" i="26"/>
  <c r="L211" i="26"/>
  <c r="K211" i="26"/>
  <c r="J211" i="26"/>
  <c r="I211" i="26"/>
  <c r="H211" i="26"/>
  <c r="O210" i="26"/>
  <c r="N210" i="26"/>
  <c r="M210" i="26"/>
  <c r="L210" i="26"/>
  <c r="K210" i="26"/>
  <c r="J210" i="26"/>
  <c r="I210" i="26"/>
  <c r="H210" i="26"/>
  <c r="O209" i="26"/>
  <c r="N209" i="26"/>
  <c r="M209" i="26"/>
  <c r="L209" i="26"/>
  <c r="K209" i="26"/>
  <c r="J209" i="26"/>
  <c r="I209" i="26"/>
  <c r="H209" i="26"/>
  <c r="O208" i="26"/>
  <c r="N208" i="26"/>
  <c r="M208" i="26"/>
  <c r="L208" i="26"/>
  <c r="K208" i="26"/>
  <c r="J208" i="26"/>
  <c r="I208" i="26"/>
  <c r="H208" i="26"/>
  <c r="O207" i="26"/>
  <c r="N207" i="26"/>
  <c r="M207" i="26"/>
  <c r="L207" i="26"/>
  <c r="K207" i="26"/>
  <c r="J207" i="26"/>
  <c r="I207" i="26"/>
  <c r="H207" i="26"/>
  <c r="O206" i="26"/>
  <c r="N206" i="26"/>
  <c r="M206" i="26"/>
  <c r="L206" i="26"/>
  <c r="K206" i="26"/>
  <c r="J206" i="26"/>
  <c r="I206" i="26"/>
  <c r="H206" i="26"/>
  <c r="O205" i="26"/>
  <c r="N205" i="26"/>
  <c r="M205" i="26"/>
  <c r="L205" i="26"/>
  <c r="K205" i="26"/>
  <c r="J205" i="26"/>
  <c r="I205" i="26"/>
  <c r="H205" i="26"/>
  <c r="O204" i="26"/>
  <c r="N204" i="26"/>
  <c r="M204" i="26"/>
  <c r="L204" i="26"/>
  <c r="K204" i="26"/>
  <c r="J204" i="26"/>
  <c r="I204" i="26"/>
  <c r="H204" i="26"/>
  <c r="O203" i="26"/>
  <c r="N203" i="26"/>
  <c r="M203" i="26"/>
  <c r="L203" i="26"/>
  <c r="K203" i="26"/>
  <c r="J203" i="26"/>
  <c r="I203" i="26"/>
  <c r="H203" i="26"/>
  <c r="O202" i="26"/>
  <c r="N202" i="26"/>
  <c r="M202" i="26"/>
  <c r="L202" i="26"/>
  <c r="K202" i="26"/>
  <c r="J202" i="26"/>
  <c r="I202" i="26"/>
  <c r="H202" i="26"/>
  <c r="O201" i="26"/>
  <c r="N201" i="26"/>
  <c r="M201" i="26"/>
  <c r="L201" i="26"/>
  <c r="K201" i="26"/>
  <c r="J201" i="26"/>
  <c r="I201" i="26"/>
  <c r="H201" i="26"/>
  <c r="O200" i="26"/>
  <c r="N200" i="26"/>
  <c r="M200" i="26"/>
  <c r="L200" i="26"/>
  <c r="K200" i="26"/>
  <c r="J200" i="26"/>
  <c r="I200" i="26"/>
  <c r="H200" i="26"/>
  <c r="O199" i="26"/>
  <c r="N199" i="26"/>
  <c r="M199" i="26"/>
  <c r="L199" i="26"/>
  <c r="K199" i="26"/>
  <c r="J199" i="26"/>
  <c r="I199" i="26"/>
  <c r="H199" i="26"/>
  <c r="O198" i="26"/>
  <c r="N198" i="26"/>
  <c r="M198" i="26"/>
  <c r="L198" i="26"/>
  <c r="K198" i="26"/>
  <c r="J198" i="26"/>
  <c r="I198" i="26"/>
  <c r="H198" i="26"/>
  <c r="O197" i="26"/>
  <c r="N197" i="26"/>
  <c r="M197" i="26"/>
  <c r="L197" i="26"/>
  <c r="K197" i="26"/>
  <c r="J197" i="26"/>
  <c r="I197" i="26"/>
  <c r="H197" i="26"/>
  <c r="O196" i="26"/>
  <c r="N196" i="26"/>
  <c r="M196" i="26"/>
  <c r="L196" i="26"/>
  <c r="K196" i="26"/>
  <c r="J196" i="26"/>
  <c r="I196" i="26"/>
  <c r="H196" i="26"/>
  <c r="O195" i="26"/>
  <c r="N195" i="26"/>
  <c r="M195" i="26"/>
  <c r="L195" i="26"/>
  <c r="K195" i="26"/>
  <c r="J195" i="26"/>
  <c r="I195" i="26"/>
  <c r="H195" i="26"/>
  <c r="O194" i="26"/>
  <c r="N194" i="26"/>
  <c r="M194" i="26"/>
  <c r="L194" i="26"/>
  <c r="K194" i="26"/>
  <c r="J194" i="26"/>
  <c r="I194" i="26"/>
  <c r="H194" i="26"/>
  <c r="O193" i="26"/>
  <c r="N193" i="26"/>
  <c r="M193" i="26"/>
  <c r="L193" i="26"/>
  <c r="K193" i="26"/>
  <c r="J193" i="26"/>
  <c r="I193" i="26"/>
  <c r="H193" i="26"/>
  <c r="O192" i="26"/>
  <c r="N192" i="26"/>
  <c r="M192" i="26"/>
  <c r="L192" i="26"/>
  <c r="K192" i="26"/>
  <c r="J192" i="26"/>
  <c r="I192" i="26"/>
  <c r="H192" i="26"/>
  <c r="O191" i="26"/>
  <c r="N191" i="26"/>
  <c r="M191" i="26"/>
  <c r="L191" i="26"/>
  <c r="K191" i="26"/>
  <c r="J191" i="26"/>
  <c r="I191" i="26"/>
  <c r="H191" i="26"/>
  <c r="O190" i="26"/>
  <c r="N190" i="26"/>
  <c r="M190" i="26"/>
  <c r="L190" i="26"/>
  <c r="K190" i="26"/>
  <c r="J190" i="26"/>
  <c r="I190" i="26"/>
  <c r="H190" i="26"/>
  <c r="O189" i="26"/>
  <c r="N189" i="26"/>
  <c r="M189" i="26"/>
  <c r="L189" i="26"/>
  <c r="K189" i="26"/>
  <c r="J189" i="26"/>
  <c r="I189" i="26"/>
  <c r="H189" i="26"/>
  <c r="O188" i="26"/>
  <c r="N188" i="26"/>
  <c r="M188" i="26"/>
  <c r="L188" i="26"/>
  <c r="K188" i="26"/>
  <c r="J188" i="26"/>
  <c r="I188" i="26"/>
  <c r="H188" i="26"/>
  <c r="O187" i="26"/>
  <c r="N187" i="26"/>
  <c r="M187" i="26"/>
  <c r="L187" i="26"/>
  <c r="K187" i="26"/>
  <c r="J187" i="26"/>
  <c r="I187" i="26"/>
  <c r="H187" i="26"/>
  <c r="O186" i="26"/>
  <c r="N186" i="26"/>
  <c r="M186" i="26"/>
  <c r="L186" i="26"/>
  <c r="K186" i="26"/>
  <c r="J186" i="26"/>
  <c r="I186" i="26"/>
  <c r="H186" i="26"/>
  <c r="O185" i="26"/>
  <c r="N185" i="26"/>
  <c r="M185" i="26"/>
  <c r="L185" i="26"/>
  <c r="K185" i="26"/>
  <c r="J185" i="26"/>
  <c r="I185" i="26"/>
  <c r="H185" i="26"/>
  <c r="O184" i="26"/>
  <c r="N184" i="26"/>
  <c r="M184" i="26"/>
  <c r="L184" i="26"/>
  <c r="K184" i="26"/>
  <c r="J184" i="26"/>
  <c r="I184" i="26"/>
  <c r="H184" i="26"/>
  <c r="O183" i="26"/>
  <c r="N183" i="26"/>
  <c r="M183" i="26"/>
  <c r="L183" i="26"/>
  <c r="K183" i="26"/>
  <c r="J183" i="26"/>
  <c r="I183" i="26"/>
  <c r="H183" i="26"/>
  <c r="O182" i="26"/>
  <c r="N182" i="26"/>
  <c r="M182" i="26"/>
  <c r="L182" i="26"/>
  <c r="K182" i="26"/>
  <c r="J182" i="26"/>
  <c r="I182" i="26"/>
  <c r="H182" i="26"/>
  <c r="O181" i="26"/>
  <c r="N181" i="26"/>
  <c r="M181" i="26"/>
  <c r="L181" i="26"/>
  <c r="K181" i="26"/>
  <c r="J181" i="26"/>
  <c r="I181" i="26"/>
  <c r="H181" i="26"/>
  <c r="O180" i="26"/>
  <c r="N180" i="26"/>
  <c r="M180" i="26"/>
  <c r="L180" i="26"/>
  <c r="K180" i="26"/>
  <c r="J180" i="26"/>
  <c r="I180" i="26"/>
  <c r="H180" i="26"/>
  <c r="O179" i="26"/>
  <c r="N179" i="26"/>
  <c r="M179" i="26"/>
  <c r="L179" i="26"/>
  <c r="K179" i="26"/>
  <c r="J179" i="26"/>
  <c r="I179" i="26"/>
  <c r="H179" i="26"/>
  <c r="O178" i="26"/>
  <c r="N178" i="26"/>
  <c r="M178" i="26"/>
  <c r="L178" i="26"/>
  <c r="K178" i="26"/>
  <c r="J178" i="26"/>
  <c r="I178" i="26"/>
  <c r="H178" i="26"/>
  <c r="O177" i="26"/>
  <c r="N177" i="26"/>
  <c r="M177" i="26"/>
  <c r="L177" i="26"/>
  <c r="K177" i="26"/>
  <c r="J177" i="26"/>
  <c r="I177" i="26"/>
  <c r="H177" i="26"/>
  <c r="O176" i="26"/>
  <c r="N176" i="26"/>
  <c r="M176" i="26"/>
  <c r="L176" i="26"/>
  <c r="K176" i="26"/>
  <c r="J176" i="26"/>
  <c r="I176" i="26"/>
  <c r="H176" i="26"/>
  <c r="O175" i="26"/>
  <c r="N175" i="26"/>
  <c r="M175" i="26"/>
  <c r="L175" i="26"/>
  <c r="K175" i="26"/>
  <c r="J175" i="26"/>
  <c r="I175" i="26"/>
  <c r="H175" i="26"/>
  <c r="O174" i="26"/>
  <c r="N174" i="26"/>
  <c r="M174" i="26"/>
  <c r="L174" i="26"/>
  <c r="K174" i="26"/>
  <c r="J174" i="26"/>
  <c r="I174" i="26"/>
  <c r="H174" i="26"/>
  <c r="O173" i="26"/>
  <c r="N173" i="26"/>
  <c r="M173" i="26"/>
  <c r="L173" i="26"/>
  <c r="K173" i="26"/>
  <c r="J173" i="26"/>
  <c r="I173" i="26"/>
  <c r="H173" i="26"/>
  <c r="O172" i="26"/>
  <c r="N172" i="26"/>
  <c r="M172" i="26"/>
  <c r="L172" i="26"/>
  <c r="K172" i="26"/>
  <c r="J172" i="26"/>
  <c r="I172" i="26"/>
  <c r="H172" i="26"/>
  <c r="O171" i="26"/>
  <c r="N171" i="26"/>
  <c r="M171" i="26"/>
  <c r="L171" i="26"/>
  <c r="K171" i="26"/>
  <c r="J171" i="26"/>
  <c r="I171" i="26"/>
  <c r="H171" i="26"/>
  <c r="O170" i="26"/>
  <c r="N170" i="26"/>
  <c r="M170" i="26"/>
  <c r="L170" i="26"/>
  <c r="K170" i="26"/>
  <c r="J170" i="26"/>
  <c r="I170" i="26"/>
  <c r="H170" i="26"/>
  <c r="O169" i="26"/>
  <c r="N169" i="26"/>
  <c r="M169" i="26"/>
  <c r="L169" i="26"/>
  <c r="K169" i="26"/>
  <c r="J169" i="26"/>
  <c r="I169" i="26"/>
  <c r="H169" i="26"/>
  <c r="O168" i="26"/>
  <c r="N168" i="26"/>
  <c r="M168" i="26"/>
  <c r="L168" i="26"/>
  <c r="K168" i="26"/>
  <c r="J168" i="26"/>
  <c r="I168" i="26"/>
  <c r="H168" i="26"/>
  <c r="O167" i="26"/>
  <c r="N167" i="26"/>
  <c r="M167" i="26"/>
  <c r="L167" i="26"/>
  <c r="K167" i="26"/>
  <c r="J167" i="26"/>
  <c r="I167" i="26"/>
  <c r="H167" i="26"/>
  <c r="O166" i="26"/>
  <c r="N166" i="26"/>
  <c r="M166" i="26"/>
  <c r="L166" i="26"/>
  <c r="K166" i="26"/>
  <c r="J166" i="26"/>
  <c r="I166" i="26"/>
  <c r="H166" i="26"/>
  <c r="O165" i="26"/>
  <c r="N165" i="26"/>
  <c r="M165" i="26"/>
  <c r="L165" i="26"/>
  <c r="K165" i="26"/>
  <c r="J165" i="26"/>
  <c r="I165" i="26"/>
  <c r="H165" i="26"/>
  <c r="O164" i="26"/>
  <c r="N164" i="26"/>
  <c r="M164" i="26"/>
  <c r="L164" i="26"/>
  <c r="K164" i="26"/>
  <c r="J164" i="26"/>
  <c r="I164" i="26"/>
  <c r="H164" i="26"/>
  <c r="O163" i="26"/>
  <c r="N163" i="26"/>
  <c r="M163" i="26"/>
  <c r="L163" i="26"/>
  <c r="K163" i="26"/>
  <c r="J163" i="26"/>
  <c r="I163" i="26"/>
  <c r="H163" i="26"/>
  <c r="O162" i="26"/>
  <c r="N162" i="26"/>
  <c r="M162" i="26"/>
  <c r="L162" i="26"/>
  <c r="K162" i="26"/>
  <c r="J162" i="26"/>
  <c r="I162" i="26"/>
  <c r="H162" i="26"/>
  <c r="O161" i="26"/>
  <c r="N161" i="26"/>
  <c r="M161" i="26"/>
  <c r="L161" i="26"/>
  <c r="K161" i="26"/>
  <c r="J161" i="26"/>
  <c r="I161" i="26"/>
  <c r="H161" i="26"/>
  <c r="O160" i="26"/>
  <c r="N160" i="26"/>
  <c r="M160" i="26"/>
  <c r="L160" i="26"/>
  <c r="K160" i="26"/>
  <c r="J160" i="26"/>
  <c r="I160" i="26"/>
  <c r="H160" i="26"/>
  <c r="O159" i="26"/>
  <c r="N159" i="26"/>
  <c r="M159" i="26"/>
  <c r="L159" i="26"/>
  <c r="K159" i="26"/>
  <c r="J159" i="26"/>
  <c r="I159" i="26"/>
  <c r="H159" i="26"/>
  <c r="O158" i="26"/>
  <c r="N158" i="26"/>
  <c r="M158" i="26"/>
  <c r="L158" i="26"/>
  <c r="K158" i="26"/>
  <c r="J158" i="26"/>
  <c r="I158" i="26"/>
  <c r="H158" i="26"/>
  <c r="O157" i="26"/>
  <c r="N157" i="26"/>
  <c r="M157" i="26"/>
  <c r="L157" i="26"/>
  <c r="K157" i="26"/>
  <c r="J157" i="26"/>
  <c r="I157" i="26"/>
  <c r="H157" i="26"/>
  <c r="O156" i="26"/>
  <c r="N156" i="26"/>
  <c r="M156" i="26"/>
  <c r="L156" i="26"/>
  <c r="K156" i="26"/>
  <c r="J156" i="26"/>
  <c r="I156" i="26"/>
  <c r="H156" i="26"/>
  <c r="O155" i="26"/>
  <c r="N155" i="26"/>
  <c r="M155" i="26"/>
  <c r="L155" i="26"/>
  <c r="K155" i="26"/>
  <c r="J155" i="26"/>
  <c r="I155" i="26"/>
  <c r="H155" i="26"/>
  <c r="O154" i="26"/>
  <c r="N154" i="26"/>
  <c r="M154" i="26"/>
  <c r="L154" i="26"/>
  <c r="K154" i="26"/>
  <c r="J154" i="26"/>
  <c r="I154" i="26"/>
  <c r="H154" i="26"/>
  <c r="O153" i="26"/>
  <c r="N153" i="26"/>
  <c r="M153" i="26"/>
  <c r="L153" i="26"/>
  <c r="K153" i="26"/>
  <c r="J153" i="26"/>
  <c r="I153" i="26"/>
  <c r="H153" i="26"/>
  <c r="O152" i="26"/>
  <c r="N152" i="26"/>
  <c r="M152" i="26"/>
  <c r="L152" i="26"/>
  <c r="K152" i="26"/>
  <c r="J152" i="26"/>
  <c r="I152" i="26"/>
  <c r="H152" i="26"/>
  <c r="O151" i="26"/>
  <c r="N151" i="26"/>
  <c r="M151" i="26"/>
  <c r="L151" i="26"/>
  <c r="K151" i="26"/>
  <c r="J151" i="26"/>
  <c r="I151" i="26"/>
  <c r="H151" i="26"/>
  <c r="O150" i="26"/>
  <c r="N150" i="26"/>
  <c r="M150" i="26"/>
  <c r="L150" i="26"/>
  <c r="K150" i="26"/>
  <c r="J150" i="26"/>
  <c r="I150" i="26"/>
  <c r="H150" i="26"/>
  <c r="O149" i="26"/>
  <c r="N149" i="26"/>
  <c r="M149" i="26"/>
  <c r="L149" i="26"/>
  <c r="K149" i="26"/>
  <c r="J149" i="26"/>
  <c r="I149" i="26"/>
  <c r="H149" i="26"/>
  <c r="O148" i="26"/>
  <c r="N148" i="26"/>
  <c r="M148" i="26"/>
  <c r="L148" i="26"/>
  <c r="K148" i="26"/>
  <c r="J148" i="26"/>
  <c r="I148" i="26"/>
  <c r="H148" i="26"/>
  <c r="O147" i="26"/>
  <c r="N147" i="26"/>
  <c r="M147" i="26"/>
  <c r="L147" i="26"/>
  <c r="K147" i="26"/>
  <c r="J147" i="26"/>
  <c r="I147" i="26"/>
  <c r="H147" i="26"/>
  <c r="O146" i="26"/>
  <c r="N146" i="26"/>
  <c r="M146" i="26"/>
  <c r="L146" i="26"/>
  <c r="K146" i="26"/>
  <c r="J146" i="26"/>
  <c r="I146" i="26"/>
  <c r="H146" i="26"/>
  <c r="O145" i="26"/>
  <c r="N145" i="26"/>
  <c r="M145" i="26"/>
  <c r="L145" i="26"/>
  <c r="K145" i="26"/>
  <c r="J145" i="26"/>
  <c r="I145" i="26"/>
  <c r="H145" i="26"/>
  <c r="O144" i="26"/>
  <c r="N144" i="26"/>
  <c r="M144" i="26"/>
  <c r="L144" i="26"/>
  <c r="K144" i="26"/>
  <c r="J144" i="26"/>
  <c r="I144" i="26"/>
  <c r="H144" i="26"/>
  <c r="O143" i="26"/>
  <c r="N143" i="26"/>
  <c r="M143" i="26"/>
  <c r="L143" i="26"/>
  <c r="K143" i="26"/>
  <c r="J143" i="26"/>
  <c r="I143" i="26"/>
  <c r="H143" i="26"/>
  <c r="O142" i="26"/>
  <c r="N142" i="26"/>
  <c r="M142" i="26"/>
  <c r="L142" i="26"/>
  <c r="K142" i="26"/>
  <c r="J142" i="26"/>
  <c r="I142" i="26"/>
  <c r="H142" i="26"/>
  <c r="O141" i="26"/>
  <c r="N141" i="26"/>
  <c r="M141" i="26"/>
  <c r="L141" i="26"/>
  <c r="K141" i="26"/>
  <c r="J141" i="26"/>
  <c r="I141" i="26"/>
  <c r="H141" i="26"/>
  <c r="O140" i="26"/>
  <c r="N140" i="26"/>
  <c r="M140" i="26"/>
  <c r="L140" i="26"/>
  <c r="K140" i="26"/>
  <c r="J140" i="26"/>
  <c r="I140" i="26"/>
  <c r="H140" i="26"/>
  <c r="O139" i="26"/>
  <c r="N139" i="26"/>
  <c r="M139" i="26"/>
  <c r="L139" i="26"/>
  <c r="K139" i="26"/>
  <c r="J139" i="26"/>
  <c r="I139" i="26"/>
  <c r="H139" i="26"/>
  <c r="O138" i="26"/>
  <c r="N138" i="26"/>
  <c r="M138" i="26"/>
  <c r="L138" i="26"/>
  <c r="K138" i="26"/>
  <c r="J138" i="26"/>
  <c r="I138" i="26"/>
  <c r="H138" i="26"/>
  <c r="O137" i="26"/>
  <c r="N137" i="26"/>
  <c r="M137" i="26"/>
  <c r="L137" i="26"/>
  <c r="K137" i="26"/>
  <c r="J137" i="26"/>
  <c r="I137" i="26"/>
  <c r="H137" i="26"/>
  <c r="O136" i="26"/>
  <c r="N136" i="26"/>
  <c r="M136" i="26"/>
  <c r="L136" i="26"/>
  <c r="K136" i="26"/>
  <c r="J136" i="26"/>
  <c r="I136" i="26"/>
  <c r="H136" i="26"/>
  <c r="O135" i="26"/>
  <c r="N135" i="26"/>
  <c r="M135" i="26"/>
  <c r="L135" i="26"/>
  <c r="K135" i="26"/>
  <c r="J135" i="26"/>
  <c r="I135" i="26"/>
  <c r="H135" i="26"/>
  <c r="O134" i="26"/>
  <c r="N134" i="26"/>
  <c r="M134" i="26"/>
  <c r="L134" i="26"/>
  <c r="K134" i="26"/>
  <c r="J134" i="26"/>
  <c r="I134" i="26"/>
  <c r="H134" i="26"/>
  <c r="O133" i="26"/>
  <c r="N133" i="26"/>
  <c r="M133" i="26"/>
  <c r="L133" i="26"/>
  <c r="K133" i="26"/>
  <c r="J133" i="26"/>
  <c r="I133" i="26"/>
  <c r="H133" i="26"/>
  <c r="O132" i="26"/>
  <c r="N132" i="26"/>
  <c r="M132" i="26"/>
  <c r="L132" i="26"/>
  <c r="K132" i="26"/>
  <c r="J132" i="26"/>
  <c r="I132" i="26"/>
  <c r="H132" i="26"/>
  <c r="O131" i="26"/>
  <c r="N131" i="26"/>
  <c r="M131" i="26"/>
  <c r="L131" i="26"/>
  <c r="K131" i="26"/>
  <c r="J131" i="26"/>
  <c r="I131" i="26"/>
  <c r="H131" i="26"/>
  <c r="O130" i="26"/>
  <c r="N130" i="26"/>
  <c r="M130" i="26"/>
  <c r="L130" i="26"/>
  <c r="K130" i="26"/>
  <c r="J130" i="26"/>
  <c r="I130" i="26"/>
  <c r="H130" i="26"/>
  <c r="O129" i="26"/>
  <c r="N129" i="26"/>
  <c r="M129" i="26"/>
  <c r="L129" i="26"/>
  <c r="K129" i="26"/>
  <c r="J129" i="26"/>
  <c r="I129" i="26"/>
  <c r="H129" i="26"/>
  <c r="O128" i="26"/>
  <c r="N128" i="26"/>
  <c r="M128" i="26"/>
  <c r="L128" i="26"/>
  <c r="K128" i="26"/>
  <c r="J128" i="26"/>
  <c r="I128" i="26"/>
  <c r="H128" i="26"/>
  <c r="O127" i="26"/>
  <c r="N127" i="26"/>
  <c r="M127" i="26"/>
  <c r="L127" i="26"/>
  <c r="K127" i="26"/>
  <c r="J127" i="26"/>
  <c r="I127" i="26"/>
  <c r="H127" i="26"/>
  <c r="O126" i="26"/>
  <c r="N126" i="26"/>
  <c r="M126" i="26"/>
  <c r="L126" i="26"/>
  <c r="K126" i="26"/>
  <c r="J126" i="26"/>
  <c r="I126" i="26"/>
  <c r="H126" i="26"/>
  <c r="O125" i="26"/>
  <c r="N125" i="26"/>
  <c r="M125" i="26"/>
  <c r="L125" i="26"/>
  <c r="K125" i="26"/>
  <c r="J125" i="26"/>
  <c r="I125" i="26"/>
  <c r="H125" i="26"/>
  <c r="O124" i="26"/>
  <c r="N124" i="26"/>
  <c r="M124" i="26"/>
  <c r="L124" i="26"/>
  <c r="K124" i="26"/>
  <c r="J124" i="26"/>
  <c r="I124" i="26"/>
  <c r="H124" i="26"/>
  <c r="O123" i="26"/>
  <c r="N123" i="26"/>
  <c r="M123" i="26"/>
  <c r="L123" i="26"/>
  <c r="K123" i="26"/>
  <c r="J123" i="26"/>
  <c r="I123" i="26"/>
  <c r="H123" i="26"/>
  <c r="O122" i="26"/>
  <c r="N122" i="26"/>
  <c r="M122" i="26"/>
  <c r="L122" i="26"/>
  <c r="K122" i="26"/>
  <c r="J122" i="26"/>
  <c r="I122" i="26"/>
  <c r="H122" i="26"/>
  <c r="O121" i="26"/>
  <c r="N121" i="26"/>
  <c r="M121" i="26"/>
  <c r="L121" i="26"/>
  <c r="K121" i="26"/>
  <c r="J121" i="26"/>
  <c r="I121" i="26"/>
  <c r="H121" i="26"/>
  <c r="O120" i="26"/>
  <c r="N120" i="26"/>
  <c r="M120" i="26"/>
  <c r="L120" i="26"/>
  <c r="K120" i="26"/>
  <c r="J120" i="26"/>
  <c r="I120" i="26"/>
  <c r="H120" i="26"/>
  <c r="O119" i="26"/>
  <c r="N119" i="26"/>
  <c r="M119" i="26"/>
  <c r="L119" i="26"/>
  <c r="K119" i="26"/>
  <c r="J119" i="26"/>
  <c r="I119" i="26"/>
  <c r="H119" i="26"/>
  <c r="O118" i="26"/>
  <c r="N118" i="26"/>
  <c r="M118" i="26"/>
  <c r="L118" i="26"/>
  <c r="K118" i="26"/>
  <c r="J118" i="26"/>
  <c r="I118" i="26"/>
  <c r="H118" i="26"/>
  <c r="O117" i="26"/>
  <c r="N117" i="26"/>
  <c r="M117" i="26"/>
  <c r="L117" i="26"/>
  <c r="K117" i="26"/>
  <c r="J117" i="26"/>
  <c r="I117" i="26"/>
  <c r="H117" i="26"/>
  <c r="O116" i="26"/>
  <c r="N116" i="26"/>
  <c r="M116" i="26"/>
  <c r="L116" i="26"/>
  <c r="K116" i="26"/>
  <c r="J116" i="26"/>
  <c r="I116" i="26"/>
  <c r="H116" i="26"/>
  <c r="O115" i="26"/>
  <c r="N115" i="26"/>
  <c r="M115" i="26"/>
  <c r="L115" i="26"/>
  <c r="K115" i="26"/>
  <c r="J115" i="26"/>
  <c r="I115" i="26"/>
  <c r="H115" i="26"/>
  <c r="O114" i="26"/>
  <c r="N114" i="26"/>
  <c r="M114" i="26"/>
  <c r="L114" i="26"/>
  <c r="K114" i="26"/>
  <c r="J114" i="26"/>
  <c r="I114" i="26"/>
  <c r="H114" i="26"/>
  <c r="O113" i="26"/>
  <c r="N113" i="26"/>
  <c r="M113" i="26"/>
  <c r="L113" i="26"/>
  <c r="K113" i="26"/>
  <c r="J113" i="26"/>
  <c r="I113" i="26"/>
  <c r="H113" i="26"/>
  <c r="O112" i="26"/>
  <c r="N112" i="26"/>
  <c r="M112" i="26"/>
  <c r="L112" i="26"/>
  <c r="K112" i="26"/>
  <c r="J112" i="26"/>
  <c r="I112" i="26"/>
  <c r="H112" i="26"/>
  <c r="O111" i="26"/>
  <c r="N111" i="26"/>
  <c r="M111" i="26"/>
  <c r="L111" i="26"/>
  <c r="K111" i="26"/>
  <c r="J111" i="26"/>
  <c r="I111" i="26"/>
  <c r="H111" i="26"/>
  <c r="O110" i="26"/>
  <c r="N110" i="26"/>
  <c r="M110" i="26"/>
  <c r="L110" i="26"/>
  <c r="K110" i="26"/>
  <c r="J110" i="26"/>
  <c r="I110" i="26"/>
  <c r="H110" i="26"/>
  <c r="O109" i="26"/>
  <c r="N109" i="26"/>
  <c r="M109" i="26"/>
  <c r="L109" i="26"/>
  <c r="K109" i="26"/>
  <c r="J109" i="26"/>
  <c r="I109" i="26"/>
  <c r="H109" i="26"/>
  <c r="O108" i="26"/>
  <c r="N108" i="26"/>
  <c r="M108" i="26"/>
  <c r="L108" i="26"/>
  <c r="K108" i="26"/>
  <c r="J108" i="26"/>
  <c r="I108" i="26"/>
  <c r="H108" i="26"/>
  <c r="O107" i="26"/>
  <c r="N107" i="26"/>
  <c r="M107" i="26"/>
  <c r="L107" i="26"/>
  <c r="K107" i="26"/>
  <c r="J107" i="26"/>
  <c r="I107" i="26"/>
  <c r="H107" i="26"/>
  <c r="O106" i="26"/>
  <c r="N106" i="26"/>
  <c r="M106" i="26"/>
  <c r="L106" i="26"/>
  <c r="K106" i="26"/>
  <c r="J106" i="26"/>
  <c r="I106" i="26"/>
  <c r="H106" i="26"/>
  <c r="O105" i="26"/>
  <c r="N105" i="26"/>
  <c r="M105" i="26"/>
  <c r="L105" i="26"/>
  <c r="K105" i="26"/>
  <c r="J105" i="26"/>
  <c r="I105" i="26"/>
  <c r="H105" i="26"/>
  <c r="O104" i="26"/>
  <c r="N104" i="26"/>
  <c r="M104" i="26"/>
  <c r="L104" i="26"/>
  <c r="K104" i="26"/>
  <c r="J104" i="26"/>
  <c r="I104" i="26"/>
  <c r="H104" i="26"/>
  <c r="O103" i="26"/>
  <c r="N103" i="26"/>
  <c r="M103" i="26"/>
  <c r="L103" i="26"/>
  <c r="K103" i="26"/>
  <c r="J103" i="26"/>
  <c r="I103" i="26"/>
  <c r="H103" i="26"/>
  <c r="O102" i="26"/>
  <c r="N102" i="26"/>
  <c r="M102" i="26"/>
  <c r="L102" i="26"/>
  <c r="K102" i="26"/>
  <c r="J102" i="26"/>
  <c r="I102" i="26"/>
  <c r="H102" i="26"/>
  <c r="O101" i="26"/>
  <c r="N101" i="26"/>
  <c r="M101" i="26"/>
  <c r="L101" i="26"/>
  <c r="K101" i="26"/>
  <c r="J101" i="26"/>
  <c r="I101" i="26"/>
  <c r="H101" i="26"/>
  <c r="O100" i="26"/>
  <c r="N100" i="26"/>
  <c r="M100" i="26"/>
  <c r="L100" i="26"/>
  <c r="K100" i="26"/>
  <c r="J100" i="26"/>
  <c r="I100" i="26"/>
  <c r="H100" i="26"/>
  <c r="O99" i="26"/>
  <c r="N99" i="26"/>
  <c r="M99" i="26"/>
  <c r="L99" i="26"/>
  <c r="K99" i="26"/>
  <c r="J99" i="26"/>
  <c r="I99" i="26"/>
  <c r="H99" i="26"/>
  <c r="O98" i="26"/>
  <c r="N98" i="26"/>
  <c r="M98" i="26"/>
  <c r="L98" i="26"/>
  <c r="K98" i="26"/>
  <c r="J98" i="26"/>
  <c r="I98" i="26"/>
  <c r="H98" i="26"/>
  <c r="O97" i="26"/>
  <c r="N97" i="26"/>
  <c r="M97" i="26"/>
  <c r="L97" i="26"/>
  <c r="K97" i="26"/>
  <c r="J97" i="26"/>
  <c r="I97" i="26"/>
  <c r="H97" i="26"/>
  <c r="O96" i="26"/>
  <c r="N96" i="26"/>
  <c r="M96" i="26"/>
  <c r="L96" i="26"/>
  <c r="K96" i="26"/>
  <c r="J96" i="26"/>
  <c r="I96" i="26"/>
  <c r="H96" i="26"/>
  <c r="O95" i="26"/>
  <c r="N95" i="26"/>
  <c r="M95" i="26"/>
  <c r="L95" i="26"/>
  <c r="K95" i="26"/>
  <c r="J95" i="26"/>
  <c r="I95" i="26"/>
  <c r="H95" i="26"/>
  <c r="O94" i="26"/>
  <c r="N94" i="26"/>
  <c r="M94" i="26"/>
  <c r="L94" i="26"/>
  <c r="K94" i="26"/>
  <c r="J94" i="26"/>
  <c r="I94" i="26"/>
  <c r="H94" i="26"/>
  <c r="O93" i="26"/>
  <c r="N93" i="26"/>
  <c r="M93" i="26"/>
  <c r="L93" i="26"/>
  <c r="K93" i="26"/>
  <c r="J93" i="26"/>
  <c r="I93" i="26"/>
  <c r="H93" i="26"/>
  <c r="O92" i="26"/>
  <c r="N92" i="26"/>
  <c r="M92" i="26"/>
  <c r="L92" i="26"/>
  <c r="K92" i="26"/>
  <c r="J92" i="26"/>
  <c r="I92" i="26"/>
  <c r="H92" i="26"/>
  <c r="O91" i="26"/>
  <c r="N91" i="26"/>
  <c r="M91" i="26"/>
  <c r="L91" i="26"/>
  <c r="K91" i="26"/>
  <c r="J91" i="26"/>
  <c r="I91" i="26"/>
  <c r="H91" i="26"/>
  <c r="O90" i="26"/>
  <c r="N90" i="26"/>
  <c r="M90" i="26"/>
  <c r="L90" i="26"/>
  <c r="K90" i="26"/>
  <c r="J90" i="26"/>
  <c r="I90" i="26"/>
  <c r="H90" i="26"/>
  <c r="O89" i="26"/>
  <c r="N89" i="26"/>
  <c r="M89" i="26"/>
  <c r="L89" i="26"/>
  <c r="K89" i="26"/>
  <c r="J89" i="26"/>
  <c r="I89" i="26"/>
  <c r="H89" i="26"/>
  <c r="O88" i="26"/>
  <c r="N88" i="26"/>
  <c r="M88" i="26"/>
  <c r="L88" i="26"/>
  <c r="K88" i="26"/>
  <c r="J88" i="26"/>
  <c r="I88" i="26"/>
  <c r="H88" i="26"/>
  <c r="O87" i="26"/>
  <c r="N87" i="26"/>
  <c r="M87" i="26"/>
  <c r="L87" i="26"/>
  <c r="K87" i="26"/>
  <c r="J87" i="26"/>
  <c r="I87" i="26"/>
  <c r="H87" i="26"/>
  <c r="O86" i="26"/>
  <c r="N86" i="26"/>
  <c r="M86" i="26"/>
  <c r="L86" i="26"/>
  <c r="K86" i="26"/>
  <c r="J86" i="26"/>
  <c r="I86" i="26"/>
  <c r="H86" i="26"/>
  <c r="O85" i="26"/>
  <c r="N85" i="26"/>
  <c r="M85" i="26"/>
  <c r="L85" i="26"/>
  <c r="K85" i="26"/>
  <c r="J85" i="26"/>
  <c r="I85" i="26"/>
  <c r="H85" i="26"/>
  <c r="O84" i="26"/>
  <c r="N84" i="26"/>
  <c r="M84" i="26"/>
  <c r="L84" i="26"/>
  <c r="K84" i="26"/>
  <c r="J84" i="26"/>
  <c r="I84" i="26"/>
  <c r="H84" i="26"/>
  <c r="O83" i="26"/>
  <c r="N83" i="26"/>
  <c r="M83" i="26"/>
  <c r="L83" i="26"/>
  <c r="K83" i="26"/>
  <c r="J83" i="26"/>
  <c r="I83" i="26"/>
  <c r="H83" i="26"/>
  <c r="O82" i="26"/>
  <c r="N82" i="26"/>
  <c r="M82" i="26"/>
  <c r="L82" i="26"/>
  <c r="K82" i="26"/>
  <c r="J82" i="26"/>
  <c r="I82" i="26"/>
  <c r="H82" i="26"/>
  <c r="O81" i="26"/>
  <c r="N81" i="26"/>
  <c r="M81" i="26"/>
  <c r="L81" i="26"/>
  <c r="K81" i="26"/>
  <c r="J81" i="26"/>
  <c r="I81" i="26"/>
  <c r="H81" i="26"/>
  <c r="O80" i="26"/>
  <c r="N80" i="26"/>
  <c r="M80" i="26"/>
  <c r="L80" i="26"/>
  <c r="K80" i="26"/>
  <c r="J80" i="26"/>
  <c r="I80" i="26"/>
  <c r="H80" i="26"/>
  <c r="O79" i="26"/>
  <c r="N79" i="26"/>
  <c r="M79" i="26"/>
  <c r="L79" i="26"/>
  <c r="K79" i="26"/>
  <c r="J79" i="26"/>
  <c r="I79" i="26"/>
  <c r="H79" i="26"/>
  <c r="O78" i="26"/>
  <c r="N78" i="26"/>
  <c r="M78" i="26"/>
  <c r="L78" i="26"/>
  <c r="K78" i="26"/>
  <c r="J78" i="26"/>
  <c r="I78" i="26"/>
  <c r="H78" i="26"/>
  <c r="O77" i="26"/>
  <c r="N77" i="26"/>
  <c r="M77" i="26"/>
  <c r="L77" i="26"/>
  <c r="K77" i="26"/>
  <c r="J77" i="26"/>
  <c r="I77" i="26"/>
  <c r="H77" i="26"/>
  <c r="O76" i="26"/>
  <c r="N76" i="26"/>
  <c r="M76" i="26"/>
  <c r="L76" i="26"/>
  <c r="K76" i="26"/>
  <c r="J76" i="26"/>
  <c r="I76" i="26"/>
  <c r="H76" i="26"/>
  <c r="O75" i="26"/>
  <c r="N75" i="26"/>
  <c r="M75" i="26"/>
  <c r="L75" i="26"/>
  <c r="K75" i="26"/>
  <c r="J75" i="26"/>
  <c r="I75" i="26"/>
  <c r="H75" i="26"/>
  <c r="O74" i="26"/>
  <c r="N74" i="26"/>
  <c r="M74" i="26"/>
  <c r="L74" i="26"/>
  <c r="K74" i="26"/>
  <c r="J74" i="26"/>
  <c r="I74" i="26"/>
  <c r="H74" i="26"/>
  <c r="O73" i="26"/>
  <c r="N73" i="26"/>
  <c r="M73" i="26"/>
  <c r="L73" i="26"/>
  <c r="K73" i="26"/>
  <c r="J73" i="26"/>
  <c r="I73" i="26"/>
  <c r="H73" i="26"/>
  <c r="O72" i="26"/>
  <c r="N72" i="26"/>
  <c r="M72" i="26"/>
  <c r="L72" i="26"/>
  <c r="K72" i="26"/>
  <c r="J72" i="26"/>
  <c r="I72" i="26"/>
  <c r="H72" i="26"/>
  <c r="O71" i="26"/>
  <c r="N71" i="26"/>
  <c r="M71" i="26"/>
  <c r="L71" i="26"/>
  <c r="K71" i="26"/>
  <c r="J71" i="26"/>
  <c r="I71" i="26"/>
  <c r="H71" i="26"/>
  <c r="O70" i="26"/>
  <c r="N70" i="26"/>
  <c r="M70" i="26"/>
  <c r="L70" i="26"/>
  <c r="K70" i="26"/>
  <c r="J70" i="26"/>
  <c r="I70" i="26"/>
  <c r="H70" i="26"/>
  <c r="O69" i="26"/>
  <c r="N69" i="26"/>
  <c r="M69" i="26"/>
  <c r="L69" i="26"/>
  <c r="K69" i="26"/>
  <c r="J69" i="26"/>
  <c r="I69" i="26"/>
  <c r="H69" i="26"/>
  <c r="O68" i="26"/>
  <c r="N68" i="26"/>
  <c r="M68" i="26"/>
  <c r="L68" i="26"/>
  <c r="K68" i="26"/>
  <c r="J68" i="26"/>
  <c r="I68" i="26"/>
  <c r="H68" i="26"/>
  <c r="O67" i="26"/>
  <c r="N67" i="26"/>
  <c r="M67" i="26"/>
  <c r="L67" i="26"/>
  <c r="K67" i="26"/>
  <c r="J67" i="26"/>
  <c r="I67" i="26"/>
  <c r="H67" i="26"/>
  <c r="O66" i="26"/>
  <c r="N66" i="26"/>
  <c r="M66" i="26"/>
  <c r="L66" i="26"/>
  <c r="K66" i="26"/>
  <c r="J66" i="26"/>
  <c r="I66" i="26"/>
  <c r="H66" i="26"/>
  <c r="O65" i="26"/>
  <c r="N65" i="26"/>
  <c r="M65" i="26"/>
  <c r="L65" i="26"/>
  <c r="K65" i="26"/>
  <c r="J65" i="26"/>
  <c r="I65" i="26"/>
  <c r="H65" i="26"/>
  <c r="O64" i="26"/>
  <c r="N64" i="26"/>
  <c r="M64" i="26"/>
  <c r="L64" i="26"/>
  <c r="K64" i="26"/>
  <c r="J64" i="26"/>
  <c r="I64" i="26"/>
  <c r="H64" i="26"/>
  <c r="O63" i="26"/>
  <c r="N63" i="26"/>
  <c r="M63" i="26"/>
  <c r="L63" i="26"/>
  <c r="K63" i="26"/>
  <c r="J63" i="26"/>
  <c r="I63" i="26"/>
  <c r="H63" i="26"/>
  <c r="O62" i="26"/>
  <c r="N62" i="26"/>
  <c r="M62" i="26"/>
  <c r="L62" i="26"/>
  <c r="K62" i="26"/>
  <c r="J62" i="26"/>
  <c r="I62" i="26"/>
  <c r="H62" i="26"/>
  <c r="O61" i="26"/>
  <c r="N61" i="26"/>
  <c r="M61" i="26"/>
  <c r="L61" i="26"/>
  <c r="K61" i="26"/>
  <c r="J61" i="26"/>
  <c r="I61" i="26"/>
  <c r="H61" i="26"/>
  <c r="O60" i="26"/>
  <c r="N60" i="26"/>
  <c r="M60" i="26"/>
  <c r="L60" i="26"/>
  <c r="K60" i="26"/>
  <c r="J60" i="26"/>
  <c r="I60" i="26"/>
  <c r="H60" i="26"/>
  <c r="O59" i="26"/>
  <c r="N59" i="26"/>
  <c r="M59" i="26"/>
  <c r="L59" i="26"/>
  <c r="K59" i="26"/>
  <c r="J59" i="26"/>
  <c r="I59" i="26"/>
  <c r="H59" i="26"/>
  <c r="O58" i="26"/>
  <c r="N58" i="26"/>
  <c r="M58" i="26"/>
  <c r="L58" i="26"/>
  <c r="K58" i="26"/>
  <c r="J58" i="26"/>
  <c r="I58" i="26"/>
  <c r="H58" i="26"/>
  <c r="O57" i="26"/>
  <c r="N57" i="26"/>
  <c r="M57" i="26"/>
  <c r="L57" i="26"/>
  <c r="K57" i="26"/>
  <c r="J57" i="26"/>
  <c r="I57" i="26"/>
  <c r="H57" i="26"/>
  <c r="O56" i="26"/>
  <c r="N56" i="26"/>
  <c r="M56" i="26"/>
  <c r="L56" i="26"/>
  <c r="K56" i="26"/>
  <c r="J56" i="26"/>
  <c r="I56" i="26"/>
  <c r="H56" i="26"/>
  <c r="O55" i="26"/>
  <c r="N55" i="26"/>
  <c r="M55" i="26"/>
  <c r="L55" i="26"/>
  <c r="K55" i="26"/>
  <c r="J55" i="26"/>
  <c r="I55" i="26"/>
  <c r="H55" i="26"/>
  <c r="O54" i="26"/>
  <c r="N54" i="26"/>
  <c r="M54" i="26"/>
  <c r="L54" i="26"/>
  <c r="K54" i="26"/>
  <c r="J54" i="26"/>
  <c r="I54" i="26"/>
  <c r="H54" i="26"/>
  <c r="O53" i="26"/>
  <c r="N53" i="26"/>
  <c r="M53" i="26"/>
  <c r="L53" i="26"/>
  <c r="K53" i="26"/>
  <c r="J53" i="26"/>
  <c r="I53" i="26"/>
  <c r="H53" i="26"/>
  <c r="O52" i="26"/>
  <c r="N52" i="26"/>
  <c r="M52" i="26"/>
  <c r="L52" i="26"/>
  <c r="K52" i="26"/>
  <c r="J52" i="26"/>
  <c r="I52" i="26"/>
  <c r="H52" i="26"/>
  <c r="O51" i="26"/>
  <c r="N51" i="26"/>
  <c r="M51" i="26"/>
  <c r="L51" i="26"/>
  <c r="K51" i="26"/>
  <c r="J51" i="26"/>
  <c r="I51" i="26"/>
  <c r="H51" i="26"/>
  <c r="O50" i="26"/>
  <c r="N50" i="26"/>
  <c r="M50" i="26"/>
  <c r="L50" i="26"/>
  <c r="K50" i="26"/>
  <c r="J50" i="26"/>
  <c r="I50" i="26"/>
  <c r="H50" i="26"/>
  <c r="O49" i="26"/>
  <c r="N49" i="26"/>
  <c r="M49" i="26"/>
  <c r="L49" i="26"/>
  <c r="K49" i="26"/>
  <c r="J49" i="26"/>
  <c r="I49" i="26"/>
  <c r="H49" i="26"/>
  <c r="O48" i="26"/>
  <c r="N48" i="26"/>
  <c r="M48" i="26"/>
  <c r="L48" i="26"/>
  <c r="K48" i="26"/>
  <c r="J48" i="26"/>
  <c r="I48" i="26"/>
  <c r="H48" i="26"/>
  <c r="O47" i="26"/>
  <c r="N47" i="26"/>
  <c r="M47" i="26"/>
  <c r="L47" i="26"/>
  <c r="K47" i="26"/>
  <c r="J47" i="26"/>
  <c r="I47" i="26"/>
  <c r="H47" i="26"/>
  <c r="O46" i="26"/>
  <c r="N46" i="26"/>
  <c r="M46" i="26"/>
  <c r="L46" i="26"/>
  <c r="K46" i="26"/>
  <c r="J46" i="26"/>
  <c r="I46" i="26"/>
  <c r="H46" i="26"/>
  <c r="O45" i="26"/>
  <c r="N45" i="26"/>
  <c r="M45" i="26"/>
  <c r="L45" i="26"/>
  <c r="K45" i="26"/>
  <c r="J45" i="26"/>
  <c r="I45" i="26"/>
  <c r="H45" i="26"/>
  <c r="O44" i="26"/>
  <c r="N44" i="26"/>
  <c r="M44" i="26"/>
  <c r="L44" i="26"/>
  <c r="K44" i="26"/>
  <c r="J44" i="26"/>
  <c r="I44" i="26"/>
  <c r="H44" i="26"/>
  <c r="O43" i="26"/>
  <c r="N43" i="26"/>
  <c r="M43" i="26"/>
  <c r="L43" i="26"/>
  <c r="K43" i="26"/>
  <c r="J43" i="26"/>
  <c r="I43" i="26"/>
  <c r="H43" i="26"/>
  <c r="O42" i="26"/>
  <c r="N42" i="26"/>
  <c r="M42" i="26"/>
  <c r="L42" i="26"/>
  <c r="K42" i="26"/>
  <c r="J42" i="26"/>
  <c r="I42" i="26"/>
  <c r="H42" i="26"/>
  <c r="O41" i="26"/>
  <c r="N41" i="26"/>
  <c r="M41" i="26"/>
  <c r="L41" i="26"/>
  <c r="K41" i="26"/>
  <c r="J41" i="26"/>
  <c r="I41" i="26"/>
  <c r="H41" i="26"/>
  <c r="O40" i="26"/>
  <c r="N40" i="26"/>
  <c r="M40" i="26"/>
  <c r="L40" i="26"/>
  <c r="K40" i="26"/>
  <c r="J40" i="26"/>
  <c r="I40" i="26"/>
  <c r="H40" i="26"/>
  <c r="O39" i="26"/>
  <c r="N39" i="26"/>
  <c r="M39" i="26"/>
  <c r="L39" i="26"/>
  <c r="K39" i="26"/>
  <c r="J39" i="26"/>
  <c r="I39" i="26"/>
  <c r="H39" i="26"/>
  <c r="O38" i="26"/>
  <c r="N38" i="26"/>
  <c r="M38" i="26"/>
  <c r="L38" i="26"/>
  <c r="K38" i="26"/>
  <c r="J38" i="26"/>
  <c r="I38" i="26"/>
  <c r="H38" i="26"/>
  <c r="O37" i="26"/>
  <c r="N37" i="26"/>
  <c r="M37" i="26"/>
  <c r="L37" i="26"/>
  <c r="K37" i="26"/>
  <c r="J37" i="26"/>
  <c r="I37" i="26"/>
  <c r="H37" i="26"/>
  <c r="O36" i="26"/>
  <c r="N36" i="26"/>
  <c r="M36" i="26"/>
  <c r="L36" i="26"/>
  <c r="K36" i="26"/>
  <c r="J36" i="26"/>
  <c r="I36" i="26"/>
  <c r="H36" i="26"/>
  <c r="O35" i="26"/>
  <c r="N35" i="26"/>
  <c r="M35" i="26"/>
  <c r="L35" i="26"/>
  <c r="K35" i="26"/>
  <c r="J35" i="26"/>
  <c r="I35" i="26"/>
  <c r="H35" i="26"/>
  <c r="O34" i="26"/>
  <c r="N34" i="26"/>
  <c r="M34" i="26"/>
  <c r="L34" i="26"/>
  <c r="K34" i="26"/>
  <c r="J34" i="26"/>
  <c r="I34" i="26"/>
  <c r="H34" i="26"/>
  <c r="O33" i="26"/>
  <c r="N33" i="26"/>
  <c r="M33" i="26"/>
  <c r="L33" i="26"/>
  <c r="K33" i="26"/>
  <c r="J33" i="26"/>
  <c r="I33" i="26"/>
  <c r="H33" i="26"/>
  <c r="O32" i="26"/>
  <c r="N32" i="26"/>
  <c r="M32" i="26"/>
  <c r="L32" i="26"/>
  <c r="K32" i="26"/>
  <c r="J32" i="26"/>
  <c r="I32" i="26"/>
  <c r="H32" i="26"/>
  <c r="O31" i="26"/>
  <c r="N31" i="26"/>
  <c r="M31" i="26"/>
  <c r="L31" i="26"/>
  <c r="K31" i="26"/>
  <c r="J31" i="26"/>
  <c r="I31" i="26"/>
  <c r="H31" i="26"/>
  <c r="O30" i="26"/>
  <c r="N30" i="26"/>
  <c r="M30" i="26"/>
  <c r="L30" i="26"/>
  <c r="K30" i="26"/>
  <c r="J30" i="26"/>
  <c r="I30" i="26"/>
  <c r="H30" i="26"/>
  <c r="O29" i="26"/>
  <c r="N29" i="26"/>
  <c r="M29" i="26"/>
  <c r="L29" i="26"/>
  <c r="K29" i="26"/>
  <c r="J29" i="26"/>
  <c r="I29" i="26"/>
  <c r="H29" i="26"/>
  <c r="O28" i="26"/>
  <c r="N28" i="26"/>
  <c r="M28" i="26"/>
  <c r="L28" i="26"/>
  <c r="K28" i="26"/>
  <c r="J28" i="26"/>
  <c r="I28" i="26"/>
  <c r="H28" i="26"/>
  <c r="O27" i="26"/>
  <c r="N27" i="26"/>
  <c r="M27" i="26"/>
  <c r="L27" i="26"/>
  <c r="K27" i="26"/>
  <c r="J27" i="26"/>
  <c r="I27" i="26"/>
  <c r="H27" i="26"/>
  <c r="O26" i="26"/>
  <c r="N26" i="26"/>
  <c r="M26" i="26"/>
  <c r="L26" i="26"/>
  <c r="K26" i="26"/>
  <c r="J26" i="26"/>
  <c r="I26" i="26"/>
  <c r="H26" i="26"/>
  <c r="O25" i="26"/>
  <c r="N25" i="26"/>
  <c r="M25" i="26"/>
  <c r="L25" i="26"/>
  <c r="K25" i="26"/>
  <c r="J25" i="26"/>
  <c r="I25" i="26"/>
  <c r="H25" i="26"/>
  <c r="O24" i="26"/>
  <c r="N24" i="26"/>
  <c r="M24" i="26"/>
  <c r="L24" i="26"/>
  <c r="K24" i="26"/>
  <c r="J24" i="26"/>
  <c r="I24" i="26"/>
  <c r="H24" i="26"/>
  <c r="O23" i="26"/>
  <c r="N23" i="26"/>
  <c r="M23" i="26"/>
  <c r="L23" i="26"/>
  <c r="K23" i="26"/>
  <c r="J23" i="26"/>
  <c r="I23" i="26"/>
  <c r="H23" i="26"/>
  <c r="O22" i="26"/>
  <c r="N22" i="26"/>
  <c r="M22" i="26"/>
  <c r="L22" i="26"/>
  <c r="K22" i="26"/>
  <c r="J22" i="26"/>
  <c r="I22" i="26"/>
  <c r="H22" i="26"/>
  <c r="O21" i="26"/>
  <c r="N21" i="26"/>
  <c r="M21" i="26"/>
  <c r="L21" i="26"/>
  <c r="K21" i="26"/>
  <c r="J21" i="26"/>
  <c r="I21" i="26"/>
  <c r="H21" i="26"/>
  <c r="O20" i="26"/>
  <c r="N20" i="26"/>
  <c r="M20" i="26"/>
  <c r="L20" i="26"/>
  <c r="K20" i="26"/>
  <c r="J20" i="26"/>
  <c r="I20" i="26"/>
  <c r="H20" i="26"/>
  <c r="O19" i="26"/>
  <c r="N19" i="26"/>
  <c r="M19" i="26"/>
  <c r="L19" i="26"/>
  <c r="K19" i="26"/>
  <c r="J19" i="26"/>
  <c r="I19" i="26"/>
  <c r="H19" i="26"/>
  <c r="O18" i="26"/>
  <c r="N18" i="26"/>
  <c r="M18" i="26"/>
  <c r="L18" i="26"/>
  <c r="K18" i="26"/>
  <c r="J18" i="26"/>
  <c r="I18" i="26"/>
  <c r="H18" i="26"/>
  <c r="O17" i="26"/>
  <c r="N17" i="26"/>
  <c r="M17" i="26"/>
  <c r="L17" i="26"/>
  <c r="K17" i="26"/>
  <c r="J17" i="26"/>
  <c r="I17" i="26"/>
  <c r="H17" i="26"/>
  <c r="O16" i="26"/>
  <c r="N16" i="26"/>
  <c r="M16" i="26"/>
  <c r="L16" i="26"/>
  <c r="K16" i="26"/>
  <c r="J16" i="26"/>
  <c r="I16" i="26"/>
  <c r="H16" i="26"/>
  <c r="O15" i="26"/>
  <c r="N15" i="26"/>
  <c r="M15" i="26"/>
  <c r="L15" i="26"/>
  <c r="K15" i="26"/>
  <c r="J15" i="26"/>
  <c r="I15" i="26"/>
  <c r="H15" i="26"/>
  <c r="O14" i="26"/>
  <c r="N14" i="26"/>
  <c r="M14" i="26"/>
  <c r="L14" i="26"/>
  <c r="K14" i="26"/>
  <c r="J14" i="26"/>
  <c r="I14" i="26"/>
  <c r="H14" i="26"/>
  <c r="O13" i="26"/>
  <c r="N13" i="26"/>
  <c r="M13" i="26"/>
  <c r="L13" i="26"/>
  <c r="K13" i="26"/>
  <c r="J13" i="26"/>
  <c r="I13" i="26"/>
  <c r="H13" i="26"/>
  <c r="O12" i="26"/>
  <c r="N12" i="26"/>
  <c r="M12" i="26"/>
  <c r="L12" i="26"/>
  <c r="K12" i="26"/>
  <c r="J12" i="26"/>
  <c r="I12" i="26"/>
  <c r="H12" i="26"/>
  <c r="O11" i="26"/>
  <c r="N11" i="26"/>
  <c r="M11" i="26"/>
  <c r="L11" i="26"/>
  <c r="K11" i="26"/>
  <c r="J11" i="26"/>
  <c r="I11" i="26"/>
  <c r="H11" i="26"/>
  <c r="O10" i="26"/>
  <c r="N10" i="26"/>
  <c r="M10" i="26"/>
  <c r="L10" i="26"/>
  <c r="K10" i="26"/>
  <c r="J10" i="26"/>
  <c r="I10" i="26"/>
  <c r="H10" i="26"/>
  <c r="O9" i="26"/>
  <c r="N9" i="26"/>
  <c r="M9" i="26"/>
  <c r="L9" i="26"/>
  <c r="K9" i="26"/>
  <c r="J9" i="26"/>
  <c r="I9" i="26"/>
  <c r="H9" i="26"/>
  <c r="O8" i="26"/>
  <c r="N8" i="26"/>
  <c r="M8" i="26"/>
  <c r="L8" i="26"/>
  <c r="K8" i="26"/>
  <c r="J8" i="26"/>
  <c r="I8" i="26"/>
  <c r="H8" i="26"/>
  <c r="O7" i="26"/>
  <c r="N7" i="26"/>
  <c r="M7" i="26"/>
  <c r="L7" i="26"/>
  <c r="K7" i="26"/>
  <c r="J7" i="26"/>
  <c r="I7" i="26"/>
  <c r="H7" i="26"/>
  <c r="O6" i="26"/>
  <c r="N6" i="26"/>
  <c r="M6" i="26"/>
  <c r="L6" i="26"/>
  <c r="K6" i="26"/>
  <c r="J6" i="26"/>
  <c r="I6" i="26"/>
  <c r="H6" i="26"/>
  <c r="M5" i="26"/>
  <c r="L5" i="26"/>
  <c r="K5" i="26"/>
  <c r="J5" i="26"/>
  <c r="I5" i="26"/>
  <c r="H5" i="26"/>
  <c r="H903" i="25"/>
  <c r="J903" i="25"/>
  <c r="K903" i="25"/>
  <c r="L903" i="25"/>
  <c r="M903" i="25"/>
  <c r="N903" i="25"/>
  <c r="O903" i="25"/>
  <c r="H904" i="25"/>
  <c r="J904" i="25"/>
  <c r="K904" i="25"/>
  <c r="L904" i="25"/>
  <c r="M904" i="25"/>
  <c r="N904" i="25"/>
  <c r="O904" i="25"/>
  <c r="H905" i="25"/>
  <c r="J905" i="25"/>
  <c r="K905" i="25"/>
  <c r="L905" i="25"/>
  <c r="M905" i="25"/>
  <c r="N905" i="25"/>
  <c r="O905" i="25"/>
  <c r="H906" i="25"/>
  <c r="J906" i="25"/>
  <c r="K906" i="25"/>
  <c r="L906" i="25"/>
  <c r="M906" i="25"/>
  <c r="N906" i="25"/>
  <c r="O906" i="25"/>
  <c r="H907" i="25"/>
  <c r="J907" i="25"/>
  <c r="K907" i="25"/>
  <c r="L907" i="25"/>
  <c r="M907" i="25"/>
  <c r="N907" i="25"/>
  <c r="O907" i="25"/>
  <c r="H908" i="25"/>
  <c r="J908" i="25"/>
  <c r="K908" i="25"/>
  <c r="L908" i="25"/>
  <c r="M908" i="25"/>
  <c r="N908" i="25"/>
  <c r="O908" i="25"/>
  <c r="H909" i="25"/>
  <c r="J909" i="25"/>
  <c r="K909" i="25"/>
  <c r="L909" i="25"/>
  <c r="M909" i="25"/>
  <c r="N909" i="25"/>
  <c r="O909" i="25"/>
  <c r="H910" i="25"/>
  <c r="J910" i="25"/>
  <c r="K910" i="25"/>
  <c r="L910" i="25"/>
  <c r="M910" i="25"/>
  <c r="N910" i="25"/>
  <c r="O910" i="25"/>
  <c r="H911" i="25"/>
  <c r="J911" i="25"/>
  <c r="K911" i="25"/>
  <c r="L911" i="25"/>
  <c r="M911" i="25"/>
  <c r="N911" i="25"/>
  <c r="O911" i="25"/>
  <c r="H912" i="25"/>
  <c r="J912" i="25"/>
  <c r="K912" i="25"/>
  <c r="L912" i="25"/>
  <c r="M912" i="25"/>
  <c r="N912" i="25"/>
  <c r="O912" i="25"/>
  <c r="H913" i="25"/>
  <c r="J913" i="25"/>
  <c r="K913" i="25"/>
  <c r="L913" i="25"/>
  <c r="M913" i="25"/>
  <c r="N913" i="25"/>
  <c r="O913" i="25"/>
  <c r="H914" i="25"/>
  <c r="J914" i="25"/>
  <c r="K914" i="25"/>
  <c r="L914" i="25"/>
  <c r="M914" i="25"/>
  <c r="N914" i="25"/>
  <c r="O914" i="25"/>
  <c r="H915" i="25"/>
  <c r="J915" i="25"/>
  <c r="K915" i="25"/>
  <c r="L915" i="25"/>
  <c r="M915" i="25"/>
  <c r="N915" i="25"/>
  <c r="O915" i="25"/>
  <c r="H916" i="25"/>
  <c r="J916" i="25"/>
  <c r="K916" i="25"/>
  <c r="L916" i="25"/>
  <c r="M916" i="25"/>
  <c r="N916" i="25"/>
  <c r="O916" i="25"/>
  <c r="H917" i="25"/>
  <c r="J917" i="25"/>
  <c r="K917" i="25"/>
  <c r="L917" i="25"/>
  <c r="M917" i="25"/>
  <c r="N917" i="25"/>
  <c r="O917" i="25"/>
  <c r="H918" i="25"/>
  <c r="J918" i="25"/>
  <c r="K918" i="25"/>
  <c r="L918" i="25"/>
  <c r="M918" i="25"/>
  <c r="N918" i="25"/>
  <c r="O918" i="25"/>
  <c r="H919" i="25"/>
  <c r="J919" i="25"/>
  <c r="K919" i="25"/>
  <c r="L919" i="25"/>
  <c r="M919" i="25"/>
  <c r="N919" i="25"/>
  <c r="O919" i="25"/>
  <c r="H920" i="25"/>
  <c r="J920" i="25"/>
  <c r="K920" i="25"/>
  <c r="L920" i="25"/>
  <c r="M920" i="25"/>
  <c r="N920" i="25"/>
  <c r="O920" i="25"/>
  <c r="H921" i="25"/>
  <c r="J921" i="25"/>
  <c r="K921" i="25"/>
  <c r="L921" i="25"/>
  <c r="M921" i="25"/>
  <c r="N921" i="25"/>
  <c r="O921" i="25"/>
  <c r="H922" i="25"/>
  <c r="J922" i="25"/>
  <c r="K922" i="25"/>
  <c r="L922" i="25"/>
  <c r="M922" i="25"/>
  <c r="N922" i="25"/>
  <c r="O922" i="25"/>
  <c r="H923" i="25"/>
  <c r="J923" i="25"/>
  <c r="K923" i="25"/>
  <c r="L923" i="25"/>
  <c r="M923" i="25"/>
  <c r="N923" i="25"/>
  <c r="O923" i="25"/>
  <c r="H924" i="25"/>
  <c r="J924" i="25"/>
  <c r="K924" i="25"/>
  <c r="L924" i="25"/>
  <c r="M924" i="25"/>
  <c r="N924" i="25"/>
  <c r="O924" i="25"/>
  <c r="H925" i="25"/>
  <c r="J925" i="25"/>
  <c r="K925" i="25"/>
  <c r="L925" i="25"/>
  <c r="M925" i="25"/>
  <c r="N925" i="25"/>
  <c r="O925" i="25"/>
  <c r="H926" i="25"/>
  <c r="J926" i="25"/>
  <c r="K926" i="25"/>
  <c r="L926" i="25"/>
  <c r="M926" i="25"/>
  <c r="N926" i="25"/>
  <c r="O926" i="25"/>
  <c r="H927" i="25"/>
  <c r="J927" i="25"/>
  <c r="K927" i="25"/>
  <c r="L927" i="25"/>
  <c r="M927" i="25"/>
  <c r="N927" i="25"/>
  <c r="O927" i="25"/>
  <c r="H928" i="25"/>
  <c r="J928" i="25"/>
  <c r="K928" i="25"/>
  <c r="L928" i="25"/>
  <c r="M928" i="25"/>
  <c r="N928" i="25"/>
  <c r="O928" i="25"/>
  <c r="H929" i="25"/>
  <c r="J929" i="25"/>
  <c r="K929" i="25"/>
  <c r="L929" i="25"/>
  <c r="M929" i="25"/>
  <c r="N929" i="25"/>
  <c r="O929" i="25"/>
  <c r="H930" i="25"/>
  <c r="J930" i="25"/>
  <c r="K930" i="25"/>
  <c r="L930" i="25"/>
  <c r="M930" i="25"/>
  <c r="N930" i="25"/>
  <c r="O930" i="25"/>
  <c r="H931" i="25"/>
  <c r="J931" i="25"/>
  <c r="K931" i="25"/>
  <c r="L931" i="25"/>
  <c r="M931" i="25"/>
  <c r="N931" i="25"/>
  <c r="O931" i="25"/>
  <c r="H932" i="25"/>
  <c r="J932" i="25"/>
  <c r="K932" i="25"/>
  <c r="L932" i="25"/>
  <c r="M932" i="25"/>
  <c r="N932" i="25"/>
  <c r="O932" i="25"/>
  <c r="H933" i="25"/>
  <c r="J933" i="25"/>
  <c r="K933" i="25"/>
  <c r="L933" i="25"/>
  <c r="M933" i="25"/>
  <c r="N933" i="25"/>
  <c r="O933" i="25"/>
  <c r="H934" i="25"/>
  <c r="J934" i="25"/>
  <c r="K934" i="25"/>
  <c r="L934" i="25"/>
  <c r="M934" i="25"/>
  <c r="N934" i="25"/>
  <c r="O934" i="25"/>
  <c r="H935" i="25"/>
  <c r="J935" i="25"/>
  <c r="K935" i="25"/>
  <c r="L935" i="25"/>
  <c r="M935" i="25"/>
  <c r="N935" i="25"/>
  <c r="O935" i="25"/>
  <c r="H936" i="25"/>
  <c r="J936" i="25"/>
  <c r="K936" i="25"/>
  <c r="L936" i="25"/>
  <c r="M936" i="25"/>
  <c r="N936" i="25"/>
  <c r="O936" i="25"/>
  <c r="H937" i="25"/>
  <c r="J937" i="25"/>
  <c r="K937" i="25"/>
  <c r="L937" i="25"/>
  <c r="M937" i="25"/>
  <c r="N937" i="25"/>
  <c r="O937" i="25"/>
  <c r="H938" i="25"/>
  <c r="J938" i="25"/>
  <c r="K938" i="25"/>
  <c r="L938" i="25"/>
  <c r="M938" i="25"/>
  <c r="N938" i="25"/>
  <c r="O938" i="25"/>
  <c r="H939" i="25"/>
  <c r="J939" i="25"/>
  <c r="K939" i="25"/>
  <c r="L939" i="25"/>
  <c r="M939" i="25"/>
  <c r="N939" i="25"/>
  <c r="O939" i="25"/>
  <c r="H940" i="25"/>
  <c r="J940" i="25"/>
  <c r="K940" i="25"/>
  <c r="L940" i="25"/>
  <c r="M940" i="25"/>
  <c r="N940" i="25"/>
  <c r="O940" i="25"/>
  <c r="H941" i="25"/>
  <c r="J941" i="25"/>
  <c r="K941" i="25"/>
  <c r="L941" i="25"/>
  <c r="M941" i="25"/>
  <c r="N941" i="25"/>
  <c r="O941" i="25"/>
  <c r="H942" i="25"/>
  <c r="J942" i="25"/>
  <c r="K942" i="25"/>
  <c r="L942" i="25"/>
  <c r="M942" i="25"/>
  <c r="N942" i="25"/>
  <c r="O942" i="25"/>
  <c r="H943" i="25"/>
  <c r="J943" i="25"/>
  <c r="K943" i="25"/>
  <c r="L943" i="25"/>
  <c r="M943" i="25"/>
  <c r="N943" i="25"/>
  <c r="O943" i="25"/>
  <c r="H944" i="25"/>
  <c r="J944" i="25"/>
  <c r="K944" i="25"/>
  <c r="L944" i="25"/>
  <c r="M944" i="25"/>
  <c r="N944" i="25"/>
  <c r="O944" i="25"/>
  <c r="H945" i="25"/>
  <c r="J945" i="25"/>
  <c r="K945" i="25"/>
  <c r="L945" i="25"/>
  <c r="M945" i="25"/>
  <c r="N945" i="25"/>
  <c r="O945" i="25"/>
  <c r="H946" i="25"/>
  <c r="J946" i="25"/>
  <c r="K946" i="25"/>
  <c r="L946" i="25"/>
  <c r="M946" i="25"/>
  <c r="N946" i="25"/>
  <c r="O946" i="25"/>
  <c r="H947" i="25"/>
  <c r="J947" i="25"/>
  <c r="K947" i="25"/>
  <c r="L947" i="25"/>
  <c r="M947" i="25"/>
  <c r="N947" i="25"/>
  <c r="O947" i="25"/>
  <c r="H948" i="25"/>
  <c r="J948" i="25"/>
  <c r="K948" i="25"/>
  <c r="L948" i="25"/>
  <c r="M948" i="25"/>
  <c r="N948" i="25"/>
  <c r="O948" i="25"/>
  <c r="H949" i="25"/>
  <c r="J949" i="25"/>
  <c r="K949" i="25"/>
  <c r="L949" i="25"/>
  <c r="M949" i="25"/>
  <c r="N949" i="25"/>
  <c r="O949" i="25"/>
  <c r="H950" i="25"/>
  <c r="J950" i="25"/>
  <c r="K950" i="25"/>
  <c r="L950" i="25"/>
  <c r="M950" i="25"/>
  <c r="N950" i="25"/>
  <c r="O950" i="25"/>
  <c r="H951" i="25"/>
  <c r="J951" i="25"/>
  <c r="K951" i="25"/>
  <c r="L951" i="25"/>
  <c r="M951" i="25"/>
  <c r="N951" i="25"/>
  <c r="O951" i="25"/>
  <c r="H952" i="25"/>
  <c r="J952" i="25"/>
  <c r="K952" i="25"/>
  <c r="L952" i="25"/>
  <c r="M952" i="25"/>
  <c r="N952" i="25"/>
  <c r="O952" i="25"/>
  <c r="H953" i="25"/>
  <c r="J953" i="25"/>
  <c r="K953" i="25"/>
  <c r="L953" i="25"/>
  <c r="M953" i="25"/>
  <c r="N953" i="25"/>
  <c r="O953" i="25"/>
  <c r="H954" i="25"/>
  <c r="J954" i="25"/>
  <c r="K954" i="25"/>
  <c r="L954" i="25"/>
  <c r="M954" i="25"/>
  <c r="N954" i="25"/>
  <c r="O954" i="25"/>
  <c r="H955" i="25"/>
  <c r="J955" i="25"/>
  <c r="K955" i="25"/>
  <c r="L955" i="25"/>
  <c r="M955" i="25"/>
  <c r="N955" i="25"/>
  <c r="O955" i="25"/>
  <c r="H956" i="25"/>
  <c r="J956" i="25"/>
  <c r="K956" i="25"/>
  <c r="L956" i="25"/>
  <c r="M956" i="25"/>
  <c r="N956" i="25"/>
  <c r="O956" i="25"/>
  <c r="H957" i="25"/>
  <c r="J957" i="25"/>
  <c r="K957" i="25"/>
  <c r="L957" i="25"/>
  <c r="M957" i="25"/>
  <c r="N957" i="25"/>
  <c r="O957" i="25"/>
  <c r="H958" i="25"/>
  <c r="J958" i="25"/>
  <c r="K958" i="25"/>
  <c r="L958" i="25"/>
  <c r="M958" i="25"/>
  <c r="N958" i="25"/>
  <c r="O958" i="25"/>
  <c r="H959" i="25"/>
  <c r="J959" i="25"/>
  <c r="K959" i="25"/>
  <c r="L959" i="25"/>
  <c r="M959" i="25"/>
  <c r="N959" i="25"/>
  <c r="O959" i="25"/>
  <c r="H960" i="25"/>
  <c r="J960" i="25"/>
  <c r="K960" i="25"/>
  <c r="L960" i="25"/>
  <c r="M960" i="25"/>
  <c r="N960" i="25"/>
  <c r="O960" i="25"/>
  <c r="H961" i="25"/>
  <c r="J961" i="25"/>
  <c r="K961" i="25"/>
  <c r="L961" i="25"/>
  <c r="M961" i="25"/>
  <c r="N961" i="25"/>
  <c r="O961" i="25"/>
  <c r="H962" i="25"/>
  <c r="J962" i="25"/>
  <c r="K962" i="25"/>
  <c r="L962" i="25"/>
  <c r="M962" i="25"/>
  <c r="N962" i="25"/>
  <c r="O962" i="25"/>
  <c r="H963" i="25"/>
  <c r="J963" i="25"/>
  <c r="K963" i="25"/>
  <c r="L963" i="25"/>
  <c r="M963" i="25"/>
  <c r="N963" i="25"/>
  <c r="O963" i="25"/>
  <c r="H964" i="25"/>
  <c r="J964" i="25"/>
  <c r="K964" i="25"/>
  <c r="L964" i="25"/>
  <c r="M964" i="25"/>
  <c r="N964" i="25"/>
  <c r="O964" i="25"/>
  <c r="H965" i="25"/>
  <c r="J965" i="25"/>
  <c r="K965" i="25"/>
  <c r="L965" i="25"/>
  <c r="M965" i="25"/>
  <c r="N965" i="25"/>
  <c r="O965" i="25"/>
  <c r="H966" i="25"/>
  <c r="J966" i="25"/>
  <c r="K966" i="25"/>
  <c r="L966" i="25"/>
  <c r="M966" i="25"/>
  <c r="N966" i="25"/>
  <c r="O966" i="25"/>
  <c r="H967" i="25"/>
  <c r="J967" i="25"/>
  <c r="K967" i="25"/>
  <c r="L967" i="25"/>
  <c r="M967" i="25"/>
  <c r="N967" i="25"/>
  <c r="O967" i="25"/>
  <c r="H968" i="25"/>
  <c r="J968" i="25"/>
  <c r="K968" i="25"/>
  <c r="L968" i="25"/>
  <c r="M968" i="25"/>
  <c r="N968" i="25"/>
  <c r="O968" i="25"/>
  <c r="H969" i="25"/>
  <c r="J969" i="25"/>
  <c r="K969" i="25"/>
  <c r="L969" i="25"/>
  <c r="M969" i="25"/>
  <c r="N969" i="25"/>
  <c r="O969" i="25"/>
  <c r="H970" i="25"/>
  <c r="J970" i="25"/>
  <c r="K970" i="25"/>
  <c r="L970" i="25"/>
  <c r="M970" i="25"/>
  <c r="N970" i="25"/>
  <c r="O970" i="25"/>
  <c r="H971" i="25"/>
  <c r="J971" i="25"/>
  <c r="K971" i="25"/>
  <c r="L971" i="25"/>
  <c r="M971" i="25"/>
  <c r="N971" i="25"/>
  <c r="O971" i="25"/>
  <c r="H972" i="25"/>
  <c r="J972" i="25"/>
  <c r="K972" i="25"/>
  <c r="L972" i="25"/>
  <c r="M972" i="25"/>
  <c r="N972" i="25"/>
  <c r="O972" i="25"/>
  <c r="H973" i="25"/>
  <c r="J973" i="25"/>
  <c r="K973" i="25"/>
  <c r="L973" i="25"/>
  <c r="M973" i="25"/>
  <c r="N973" i="25"/>
  <c r="O973" i="25"/>
  <c r="H974" i="25"/>
  <c r="J974" i="25"/>
  <c r="K974" i="25"/>
  <c r="L974" i="25"/>
  <c r="M974" i="25"/>
  <c r="N974" i="25"/>
  <c r="O974" i="25"/>
  <c r="H975" i="25"/>
  <c r="J975" i="25"/>
  <c r="K975" i="25"/>
  <c r="L975" i="25"/>
  <c r="M975" i="25"/>
  <c r="N975" i="25"/>
  <c r="O975" i="25"/>
  <c r="H976" i="25"/>
  <c r="J976" i="25"/>
  <c r="K976" i="25"/>
  <c r="L976" i="25"/>
  <c r="M976" i="25"/>
  <c r="N976" i="25"/>
  <c r="O976" i="25"/>
  <c r="H977" i="25"/>
  <c r="J977" i="25"/>
  <c r="K977" i="25"/>
  <c r="L977" i="25"/>
  <c r="M977" i="25"/>
  <c r="N977" i="25"/>
  <c r="O977" i="25"/>
  <c r="H978" i="25"/>
  <c r="J978" i="25"/>
  <c r="K978" i="25"/>
  <c r="L978" i="25"/>
  <c r="M978" i="25"/>
  <c r="N978" i="25"/>
  <c r="O978" i="25"/>
  <c r="H979" i="25"/>
  <c r="J979" i="25"/>
  <c r="K979" i="25"/>
  <c r="L979" i="25"/>
  <c r="M979" i="25"/>
  <c r="N979" i="25"/>
  <c r="O979" i="25"/>
  <c r="H980" i="25"/>
  <c r="J980" i="25"/>
  <c r="K980" i="25"/>
  <c r="L980" i="25"/>
  <c r="M980" i="25"/>
  <c r="N980" i="25"/>
  <c r="O980" i="25"/>
  <c r="H981" i="25"/>
  <c r="J981" i="25"/>
  <c r="K981" i="25"/>
  <c r="L981" i="25"/>
  <c r="M981" i="25"/>
  <c r="N981" i="25"/>
  <c r="O981" i="25"/>
  <c r="H982" i="25"/>
  <c r="J982" i="25"/>
  <c r="K982" i="25"/>
  <c r="L982" i="25"/>
  <c r="M982" i="25"/>
  <c r="N982" i="25"/>
  <c r="O982" i="25"/>
  <c r="H983" i="25"/>
  <c r="J983" i="25"/>
  <c r="K983" i="25"/>
  <c r="L983" i="25"/>
  <c r="M983" i="25"/>
  <c r="N983" i="25"/>
  <c r="O983" i="25"/>
  <c r="H984" i="25"/>
  <c r="J984" i="25"/>
  <c r="K984" i="25"/>
  <c r="L984" i="25"/>
  <c r="M984" i="25"/>
  <c r="N984" i="25"/>
  <c r="O984" i="25"/>
  <c r="H985" i="25"/>
  <c r="J985" i="25"/>
  <c r="K985" i="25"/>
  <c r="L985" i="25"/>
  <c r="M985" i="25"/>
  <c r="N985" i="25"/>
  <c r="O985" i="25"/>
  <c r="H986" i="25"/>
  <c r="J986" i="25"/>
  <c r="K986" i="25"/>
  <c r="L986" i="25"/>
  <c r="M986" i="25"/>
  <c r="N986" i="25"/>
  <c r="O986" i="25"/>
  <c r="H987" i="25"/>
  <c r="J987" i="25"/>
  <c r="K987" i="25"/>
  <c r="L987" i="25"/>
  <c r="M987" i="25"/>
  <c r="N987" i="25"/>
  <c r="O987" i="25"/>
  <c r="H988" i="25"/>
  <c r="J988" i="25"/>
  <c r="K988" i="25"/>
  <c r="L988" i="25"/>
  <c r="M988" i="25"/>
  <c r="N988" i="25"/>
  <c r="O988" i="25"/>
  <c r="H989" i="25"/>
  <c r="J989" i="25"/>
  <c r="K989" i="25"/>
  <c r="L989" i="25"/>
  <c r="M989" i="25"/>
  <c r="N989" i="25"/>
  <c r="O989" i="25"/>
  <c r="H990" i="25"/>
  <c r="J990" i="25"/>
  <c r="K990" i="25"/>
  <c r="L990" i="25"/>
  <c r="M990" i="25"/>
  <c r="N990" i="25"/>
  <c r="O990" i="25"/>
  <c r="H991" i="25"/>
  <c r="J991" i="25"/>
  <c r="K991" i="25"/>
  <c r="L991" i="25"/>
  <c r="M991" i="25"/>
  <c r="N991" i="25"/>
  <c r="O991" i="25"/>
  <c r="H992" i="25"/>
  <c r="J992" i="25"/>
  <c r="K992" i="25"/>
  <c r="L992" i="25"/>
  <c r="M992" i="25"/>
  <c r="N992" i="25"/>
  <c r="O992" i="25"/>
  <c r="H993" i="25"/>
  <c r="J993" i="25"/>
  <c r="K993" i="25"/>
  <c r="L993" i="25"/>
  <c r="M993" i="25"/>
  <c r="N993" i="25"/>
  <c r="O993" i="25"/>
  <c r="H994" i="25"/>
  <c r="J994" i="25"/>
  <c r="K994" i="25"/>
  <c r="L994" i="25"/>
  <c r="M994" i="25"/>
  <c r="N994" i="25"/>
  <c r="O994" i="25"/>
  <c r="H995" i="25"/>
  <c r="J995" i="25"/>
  <c r="K995" i="25"/>
  <c r="L995" i="25"/>
  <c r="M995" i="25"/>
  <c r="N995" i="25"/>
  <c r="O995" i="25"/>
  <c r="H996" i="25"/>
  <c r="J996" i="25"/>
  <c r="K996" i="25"/>
  <c r="L996" i="25"/>
  <c r="M996" i="25"/>
  <c r="N996" i="25"/>
  <c r="O996" i="25"/>
  <c r="H997" i="25"/>
  <c r="J997" i="25"/>
  <c r="K997" i="25"/>
  <c r="L997" i="25"/>
  <c r="M997" i="25"/>
  <c r="N997" i="25"/>
  <c r="O997" i="25"/>
  <c r="H998" i="25"/>
  <c r="J998" i="25"/>
  <c r="K998" i="25"/>
  <c r="L998" i="25"/>
  <c r="M998" i="25"/>
  <c r="N998" i="25"/>
  <c r="O998" i="25"/>
  <c r="H999" i="25"/>
  <c r="J999" i="25"/>
  <c r="K999" i="25"/>
  <c r="L999" i="25"/>
  <c r="M999" i="25"/>
  <c r="N999" i="25"/>
  <c r="O999" i="25"/>
  <c r="H1000" i="25"/>
  <c r="J1000" i="25"/>
  <c r="K1000" i="25"/>
  <c r="L1000" i="25"/>
  <c r="M1000" i="25"/>
  <c r="N1000" i="25"/>
  <c r="O1000" i="25"/>
  <c r="H1001" i="25"/>
  <c r="J1001" i="25"/>
  <c r="K1001" i="25"/>
  <c r="L1001" i="25"/>
  <c r="M1001" i="25"/>
  <c r="N1001" i="25"/>
  <c r="O1001" i="25"/>
  <c r="H1002" i="25"/>
  <c r="J1002" i="25"/>
  <c r="K1002" i="25"/>
  <c r="L1002" i="25"/>
  <c r="M1002" i="25"/>
  <c r="N1002" i="25"/>
  <c r="O1002" i="25"/>
  <c r="H1003" i="25"/>
  <c r="J1003" i="25"/>
  <c r="K1003" i="25"/>
  <c r="L1003" i="25"/>
  <c r="M1003" i="25"/>
  <c r="N1003" i="25"/>
  <c r="O1003" i="25"/>
  <c r="H1004" i="25"/>
  <c r="J1004" i="25"/>
  <c r="K1004" i="25"/>
  <c r="L1004" i="25"/>
  <c r="M1004" i="25"/>
  <c r="N1004" i="25"/>
  <c r="O1004" i="25"/>
  <c r="H1005" i="25"/>
  <c r="J1005" i="25"/>
  <c r="K1005" i="25"/>
  <c r="L1005" i="25"/>
  <c r="M1005" i="25"/>
  <c r="N1005" i="25"/>
  <c r="O1005" i="25"/>
  <c r="H1006" i="25"/>
  <c r="J1006" i="25"/>
  <c r="K1006" i="25"/>
  <c r="L1006" i="25"/>
  <c r="M1006" i="25"/>
  <c r="N1006" i="25"/>
  <c r="O1006" i="25"/>
  <c r="H1007" i="25"/>
  <c r="J1007" i="25"/>
  <c r="K1007" i="25"/>
  <c r="L1007" i="25"/>
  <c r="M1007" i="25"/>
  <c r="N1007" i="25"/>
  <c r="O1007" i="25"/>
  <c r="H1008" i="25"/>
  <c r="J1008" i="25"/>
  <c r="K1008" i="25"/>
  <c r="L1008" i="25"/>
  <c r="M1008" i="25"/>
  <c r="N1008" i="25"/>
  <c r="O1008" i="25"/>
  <c r="H1009" i="25"/>
  <c r="J1009" i="25"/>
  <c r="K1009" i="25"/>
  <c r="L1009" i="25"/>
  <c r="M1009" i="25"/>
  <c r="N1009" i="25"/>
  <c r="O1009" i="25"/>
  <c r="H1010" i="25"/>
  <c r="J1010" i="25"/>
  <c r="K1010" i="25"/>
  <c r="L1010" i="25"/>
  <c r="M1010" i="25"/>
  <c r="N1010" i="25"/>
  <c r="O1010" i="25"/>
  <c r="H1011" i="25"/>
  <c r="J1011" i="25"/>
  <c r="K1011" i="25"/>
  <c r="L1011" i="25"/>
  <c r="M1011" i="25"/>
  <c r="N1011" i="25"/>
  <c r="O1011" i="25"/>
  <c r="H1012" i="25"/>
  <c r="J1012" i="25"/>
  <c r="K1012" i="25"/>
  <c r="L1012" i="25"/>
  <c r="M1012" i="25"/>
  <c r="N1012" i="25"/>
  <c r="O1012" i="25"/>
  <c r="H1013" i="25"/>
  <c r="J1013" i="25"/>
  <c r="K1013" i="25"/>
  <c r="L1013" i="25"/>
  <c r="M1013" i="25"/>
  <c r="N1013" i="25"/>
  <c r="O1013" i="25"/>
  <c r="H1014" i="25"/>
  <c r="J1014" i="25"/>
  <c r="K1014" i="25"/>
  <c r="L1014" i="25"/>
  <c r="M1014" i="25"/>
  <c r="N1014" i="25"/>
  <c r="O1014" i="25"/>
  <c r="H1015" i="25"/>
  <c r="J1015" i="25"/>
  <c r="K1015" i="25"/>
  <c r="L1015" i="25"/>
  <c r="M1015" i="25"/>
  <c r="N1015" i="25"/>
  <c r="O1015" i="25"/>
  <c r="H1016" i="25"/>
  <c r="J1016" i="25"/>
  <c r="K1016" i="25"/>
  <c r="L1016" i="25"/>
  <c r="M1016" i="25"/>
  <c r="N1016" i="25"/>
  <c r="O1016" i="25"/>
  <c r="H1017" i="25"/>
  <c r="J1017" i="25"/>
  <c r="K1017" i="25"/>
  <c r="L1017" i="25"/>
  <c r="M1017" i="25"/>
  <c r="N1017" i="25"/>
  <c r="O1017" i="25"/>
  <c r="H1018" i="25"/>
  <c r="J1018" i="25"/>
  <c r="K1018" i="25"/>
  <c r="L1018" i="25"/>
  <c r="M1018" i="25"/>
  <c r="N1018" i="25"/>
  <c r="O1018" i="25"/>
  <c r="H1019" i="25"/>
  <c r="J1019" i="25"/>
  <c r="K1019" i="25"/>
  <c r="L1019" i="25"/>
  <c r="M1019" i="25"/>
  <c r="N1019" i="25"/>
  <c r="O1019" i="25"/>
  <c r="H1020" i="25"/>
  <c r="J1020" i="25"/>
  <c r="K1020" i="25"/>
  <c r="L1020" i="25"/>
  <c r="M1020" i="25"/>
  <c r="N1020" i="25"/>
  <c r="O1020" i="25"/>
  <c r="H1021" i="25"/>
  <c r="J1021" i="25"/>
  <c r="K1021" i="25"/>
  <c r="L1021" i="25"/>
  <c r="M1021" i="25"/>
  <c r="N1021" i="25"/>
  <c r="O1021" i="25"/>
  <c r="H1022" i="25"/>
  <c r="J1022" i="25"/>
  <c r="K1022" i="25"/>
  <c r="L1022" i="25"/>
  <c r="M1022" i="25"/>
  <c r="N1022" i="25"/>
  <c r="O1022" i="25"/>
  <c r="H1023" i="25"/>
  <c r="J1023" i="25"/>
  <c r="K1023" i="25"/>
  <c r="L1023" i="25"/>
  <c r="M1023" i="25"/>
  <c r="N1023" i="25"/>
  <c r="O1023" i="25"/>
  <c r="H1024" i="25"/>
  <c r="J1024" i="25"/>
  <c r="K1024" i="25"/>
  <c r="L1024" i="25"/>
  <c r="M1024" i="25"/>
  <c r="N1024" i="25"/>
  <c r="O1024" i="25"/>
  <c r="H1025" i="25"/>
  <c r="J1025" i="25"/>
  <c r="K1025" i="25"/>
  <c r="L1025" i="25"/>
  <c r="M1025" i="25"/>
  <c r="N1025" i="25"/>
  <c r="O1025" i="25"/>
  <c r="H1026" i="25"/>
  <c r="J1026" i="25"/>
  <c r="K1026" i="25"/>
  <c r="L1026" i="25"/>
  <c r="M1026" i="25"/>
  <c r="N1026" i="25"/>
  <c r="O1026" i="25"/>
  <c r="H1027" i="25"/>
  <c r="J1027" i="25"/>
  <c r="K1027" i="25"/>
  <c r="L1027" i="25"/>
  <c r="M1027" i="25"/>
  <c r="N1027" i="25"/>
  <c r="O1027" i="25"/>
  <c r="H1028" i="25"/>
  <c r="J1028" i="25"/>
  <c r="K1028" i="25"/>
  <c r="L1028" i="25"/>
  <c r="M1028" i="25"/>
  <c r="N1028" i="25"/>
  <c r="O1028" i="25"/>
  <c r="H1029" i="25"/>
  <c r="J1029" i="25"/>
  <c r="K1029" i="25"/>
  <c r="L1029" i="25"/>
  <c r="M1029" i="25"/>
  <c r="N1029" i="25"/>
  <c r="O1029" i="25"/>
  <c r="H1030" i="25"/>
  <c r="J1030" i="25"/>
  <c r="K1030" i="25"/>
  <c r="L1030" i="25"/>
  <c r="M1030" i="25"/>
  <c r="N1030" i="25"/>
  <c r="O1030" i="25"/>
  <c r="H1031" i="25"/>
  <c r="J1031" i="25"/>
  <c r="K1031" i="25"/>
  <c r="L1031" i="25"/>
  <c r="M1031" i="25"/>
  <c r="N1031" i="25"/>
  <c r="O1031" i="25"/>
  <c r="H1032" i="25"/>
  <c r="J1032" i="25"/>
  <c r="K1032" i="25"/>
  <c r="L1032" i="25"/>
  <c r="M1032" i="25"/>
  <c r="N1032" i="25"/>
  <c r="O1032" i="25"/>
  <c r="H1033" i="25"/>
  <c r="J1033" i="25"/>
  <c r="K1033" i="25"/>
  <c r="L1033" i="25"/>
  <c r="M1033" i="25"/>
  <c r="N1033" i="25"/>
  <c r="O1033" i="25"/>
  <c r="H1034" i="25"/>
  <c r="J1034" i="25"/>
  <c r="K1034" i="25"/>
  <c r="L1034" i="25"/>
  <c r="M1034" i="25"/>
  <c r="N1034" i="25"/>
  <c r="O1034" i="25"/>
  <c r="H1035" i="25"/>
  <c r="J1035" i="25"/>
  <c r="K1035" i="25"/>
  <c r="L1035" i="25"/>
  <c r="M1035" i="25"/>
  <c r="N1035" i="25"/>
  <c r="O1035" i="25"/>
  <c r="H1036" i="25"/>
  <c r="J1036" i="25"/>
  <c r="K1036" i="25"/>
  <c r="L1036" i="25"/>
  <c r="M1036" i="25"/>
  <c r="N1036" i="25"/>
  <c r="O1036" i="25"/>
  <c r="H1037" i="25"/>
  <c r="J1037" i="25"/>
  <c r="K1037" i="25"/>
  <c r="L1037" i="25"/>
  <c r="M1037" i="25"/>
  <c r="N1037" i="25"/>
  <c r="O1037" i="25"/>
  <c r="H1038" i="25"/>
  <c r="J1038" i="25"/>
  <c r="K1038" i="25"/>
  <c r="L1038" i="25"/>
  <c r="M1038" i="25"/>
  <c r="N1038" i="25"/>
  <c r="O1038" i="25"/>
  <c r="H1039" i="25"/>
  <c r="J1039" i="25"/>
  <c r="K1039" i="25"/>
  <c r="L1039" i="25"/>
  <c r="M1039" i="25"/>
  <c r="N1039" i="25"/>
  <c r="O1039" i="25"/>
  <c r="H1040" i="25"/>
  <c r="J1040" i="25"/>
  <c r="K1040" i="25"/>
  <c r="L1040" i="25"/>
  <c r="M1040" i="25"/>
  <c r="N1040" i="25"/>
  <c r="O1040" i="25"/>
  <c r="H1041" i="25"/>
  <c r="J1041" i="25"/>
  <c r="K1041" i="25"/>
  <c r="L1041" i="25"/>
  <c r="M1041" i="25"/>
  <c r="N1041" i="25"/>
  <c r="O1041" i="25"/>
  <c r="H1042" i="25"/>
  <c r="J1042" i="25"/>
  <c r="K1042" i="25"/>
  <c r="L1042" i="25"/>
  <c r="M1042" i="25"/>
  <c r="N1042" i="25"/>
  <c r="O1042" i="25"/>
  <c r="H1043" i="25"/>
  <c r="J1043" i="25"/>
  <c r="K1043" i="25"/>
  <c r="L1043" i="25"/>
  <c r="M1043" i="25"/>
  <c r="N1043" i="25"/>
  <c r="O1043" i="25"/>
  <c r="H1044" i="25"/>
  <c r="J1044" i="25"/>
  <c r="K1044" i="25"/>
  <c r="L1044" i="25"/>
  <c r="M1044" i="25"/>
  <c r="N1044" i="25"/>
  <c r="O1044" i="25"/>
  <c r="H1045" i="25"/>
  <c r="J1045" i="25"/>
  <c r="K1045" i="25"/>
  <c r="L1045" i="25"/>
  <c r="M1045" i="25"/>
  <c r="N1045" i="25"/>
  <c r="O1045" i="25"/>
  <c r="H1046" i="25"/>
  <c r="J1046" i="25"/>
  <c r="K1046" i="25"/>
  <c r="L1046" i="25"/>
  <c r="M1046" i="25"/>
  <c r="N1046" i="25"/>
  <c r="O1046" i="25"/>
  <c r="H1047" i="25"/>
  <c r="J1047" i="25"/>
  <c r="K1047" i="25"/>
  <c r="L1047" i="25"/>
  <c r="M1047" i="25"/>
  <c r="N1047" i="25"/>
  <c r="O1047" i="25"/>
  <c r="H1048" i="25"/>
  <c r="J1048" i="25"/>
  <c r="K1048" i="25"/>
  <c r="L1048" i="25"/>
  <c r="M1048" i="25"/>
  <c r="N1048" i="25"/>
  <c r="O1048" i="25"/>
  <c r="H1049" i="25"/>
  <c r="J1049" i="25"/>
  <c r="K1049" i="25"/>
  <c r="L1049" i="25"/>
  <c r="M1049" i="25"/>
  <c r="N1049" i="25"/>
  <c r="O1049" i="25"/>
  <c r="H1050" i="25"/>
  <c r="J1050" i="25"/>
  <c r="K1050" i="25"/>
  <c r="L1050" i="25"/>
  <c r="M1050" i="25"/>
  <c r="N1050" i="25"/>
  <c r="O1050" i="25"/>
  <c r="H1051" i="25"/>
  <c r="J1051" i="25"/>
  <c r="K1051" i="25"/>
  <c r="L1051" i="25"/>
  <c r="M1051" i="25"/>
  <c r="N1051" i="25"/>
  <c r="O1051" i="25"/>
  <c r="H1052" i="25"/>
  <c r="J1052" i="25"/>
  <c r="K1052" i="25"/>
  <c r="L1052" i="25"/>
  <c r="M1052" i="25"/>
  <c r="N1052" i="25"/>
  <c r="O1052" i="25"/>
  <c r="H1053" i="25"/>
  <c r="J1053" i="25"/>
  <c r="K1053" i="25"/>
  <c r="L1053" i="25"/>
  <c r="M1053" i="25"/>
  <c r="N1053" i="25"/>
  <c r="O1053" i="25"/>
  <c r="H1054" i="25"/>
  <c r="J1054" i="25"/>
  <c r="K1054" i="25"/>
  <c r="L1054" i="25"/>
  <c r="M1054" i="25"/>
  <c r="N1054" i="25"/>
  <c r="O1054" i="25"/>
  <c r="H1055" i="25"/>
  <c r="J1055" i="25"/>
  <c r="K1055" i="25"/>
  <c r="L1055" i="25"/>
  <c r="M1055" i="25"/>
  <c r="N1055" i="25"/>
  <c r="O1055" i="25"/>
  <c r="H1056" i="25"/>
  <c r="J1056" i="25"/>
  <c r="K1056" i="25"/>
  <c r="L1056" i="25"/>
  <c r="M1056" i="25"/>
  <c r="N1056" i="25"/>
  <c r="O1056" i="25"/>
  <c r="H1057" i="25"/>
  <c r="J1057" i="25"/>
  <c r="K1057" i="25"/>
  <c r="L1057" i="25"/>
  <c r="M1057" i="25"/>
  <c r="N1057" i="25"/>
  <c r="O1057" i="25"/>
  <c r="H1058" i="25"/>
  <c r="J1058" i="25"/>
  <c r="K1058" i="25"/>
  <c r="L1058" i="25"/>
  <c r="M1058" i="25"/>
  <c r="N1058" i="25"/>
  <c r="O1058" i="25"/>
  <c r="H1059" i="25"/>
  <c r="J1059" i="25"/>
  <c r="K1059" i="25"/>
  <c r="L1059" i="25"/>
  <c r="M1059" i="25"/>
  <c r="N1059" i="25"/>
  <c r="O1059" i="25"/>
  <c r="H1060" i="25"/>
  <c r="J1060" i="25"/>
  <c r="K1060" i="25"/>
  <c r="L1060" i="25"/>
  <c r="M1060" i="25"/>
  <c r="N1060" i="25"/>
  <c r="O1060" i="25"/>
  <c r="H1061" i="25"/>
  <c r="J1061" i="25"/>
  <c r="K1061" i="25"/>
  <c r="L1061" i="25"/>
  <c r="M1061" i="25"/>
  <c r="N1061" i="25"/>
  <c r="O1061" i="25"/>
  <c r="H1062" i="25"/>
  <c r="J1062" i="25"/>
  <c r="K1062" i="25"/>
  <c r="L1062" i="25"/>
  <c r="M1062" i="25"/>
  <c r="N1062" i="25"/>
  <c r="O1062" i="25"/>
  <c r="H1063" i="25"/>
  <c r="J1063" i="25"/>
  <c r="K1063" i="25"/>
  <c r="L1063" i="25"/>
  <c r="M1063" i="25"/>
  <c r="N1063" i="25"/>
  <c r="O1063" i="25"/>
  <c r="H1064" i="25"/>
  <c r="J1064" i="25"/>
  <c r="K1064" i="25"/>
  <c r="L1064" i="25"/>
  <c r="M1064" i="25"/>
  <c r="N1064" i="25"/>
  <c r="O1064" i="25"/>
  <c r="H1065" i="25"/>
  <c r="J1065" i="25"/>
  <c r="K1065" i="25"/>
  <c r="L1065" i="25"/>
  <c r="M1065" i="25"/>
  <c r="N1065" i="25"/>
  <c r="O1065" i="25"/>
  <c r="H1066" i="25"/>
  <c r="J1066" i="25"/>
  <c r="K1066" i="25"/>
  <c r="L1066" i="25"/>
  <c r="M1066" i="25"/>
  <c r="N1066" i="25"/>
  <c r="O1066" i="25"/>
  <c r="H1067" i="25"/>
  <c r="J1067" i="25"/>
  <c r="K1067" i="25"/>
  <c r="L1067" i="25"/>
  <c r="M1067" i="25"/>
  <c r="N1067" i="25"/>
  <c r="O1067" i="25"/>
  <c r="H1068" i="25"/>
  <c r="J1068" i="25"/>
  <c r="K1068" i="25"/>
  <c r="L1068" i="25"/>
  <c r="M1068" i="25"/>
  <c r="N1068" i="25"/>
  <c r="O1068" i="25"/>
  <c r="H1069" i="25"/>
  <c r="J1069" i="25"/>
  <c r="K1069" i="25"/>
  <c r="L1069" i="25"/>
  <c r="M1069" i="25"/>
  <c r="N1069" i="25"/>
  <c r="O1069" i="25"/>
  <c r="H1070" i="25"/>
  <c r="J1070" i="25"/>
  <c r="K1070" i="25"/>
  <c r="L1070" i="25"/>
  <c r="M1070" i="25"/>
  <c r="N1070" i="25"/>
  <c r="O1070" i="25"/>
  <c r="H1071" i="25"/>
  <c r="J1071" i="25"/>
  <c r="K1071" i="25"/>
  <c r="L1071" i="25"/>
  <c r="M1071" i="25"/>
  <c r="N1071" i="25"/>
  <c r="O1071" i="25"/>
  <c r="H1072" i="25"/>
  <c r="J1072" i="25"/>
  <c r="K1072" i="25"/>
  <c r="L1072" i="25"/>
  <c r="M1072" i="25"/>
  <c r="N1072" i="25"/>
  <c r="O1072" i="25"/>
  <c r="H1073" i="25"/>
  <c r="J1073" i="25"/>
  <c r="K1073" i="25"/>
  <c r="L1073" i="25"/>
  <c r="M1073" i="25"/>
  <c r="N1073" i="25"/>
  <c r="O1073" i="25"/>
  <c r="H1074" i="25"/>
  <c r="J1074" i="25"/>
  <c r="K1074" i="25"/>
  <c r="L1074" i="25"/>
  <c r="M1074" i="25"/>
  <c r="N1074" i="25"/>
  <c r="O1074" i="25"/>
  <c r="H1075" i="25"/>
  <c r="J1075" i="25"/>
  <c r="K1075" i="25"/>
  <c r="L1075" i="25"/>
  <c r="M1075" i="25"/>
  <c r="N1075" i="25"/>
  <c r="O1075" i="25"/>
  <c r="H1076" i="25"/>
  <c r="J1076" i="25"/>
  <c r="K1076" i="25"/>
  <c r="L1076" i="25"/>
  <c r="M1076" i="25"/>
  <c r="N1076" i="25"/>
  <c r="O1076" i="25"/>
  <c r="H1077" i="25"/>
  <c r="J1077" i="25"/>
  <c r="K1077" i="25"/>
  <c r="L1077" i="25"/>
  <c r="M1077" i="25"/>
  <c r="N1077" i="25"/>
  <c r="O1077" i="25"/>
  <c r="H1078" i="25"/>
  <c r="J1078" i="25"/>
  <c r="K1078" i="25"/>
  <c r="L1078" i="25"/>
  <c r="M1078" i="25"/>
  <c r="N1078" i="25"/>
  <c r="O1078" i="25"/>
  <c r="H1079" i="25"/>
  <c r="J1079" i="25"/>
  <c r="K1079" i="25"/>
  <c r="L1079" i="25"/>
  <c r="M1079" i="25"/>
  <c r="N1079" i="25"/>
  <c r="O1079" i="25"/>
  <c r="H1080" i="25"/>
  <c r="J1080" i="25"/>
  <c r="K1080" i="25"/>
  <c r="L1080" i="25"/>
  <c r="M1080" i="25"/>
  <c r="N1080" i="25"/>
  <c r="O1080" i="25"/>
  <c r="H1081" i="25"/>
  <c r="J1081" i="25"/>
  <c r="K1081" i="25"/>
  <c r="L1081" i="25"/>
  <c r="M1081" i="25"/>
  <c r="N1081" i="25"/>
  <c r="O1081" i="25"/>
  <c r="H1082" i="25"/>
  <c r="J1082" i="25"/>
  <c r="K1082" i="25"/>
  <c r="L1082" i="25"/>
  <c r="M1082" i="25"/>
  <c r="N1082" i="25"/>
  <c r="O1082" i="25"/>
  <c r="H1083" i="25"/>
  <c r="J1083" i="25"/>
  <c r="K1083" i="25"/>
  <c r="L1083" i="25"/>
  <c r="M1083" i="25"/>
  <c r="N1083" i="25"/>
  <c r="O1083" i="25"/>
  <c r="H1084" i="25"/>
  <c r="J1084" i="25"/>
  <c r="K1084" i="25"/>
  <c r="L1084" i="25"/>
  <c r="M1084" i="25"/>
  <c r="N1084" i="25"/>
  <c r="O1084" i="25"/>
  <c r="H1085" i="25"/>
  <c r="J1085" i="25"/>
  <c r="K1085" i="25"/>
  <c r="L1085" i="25"/>
  <c r="M1085" i="25"/>
  <c r="N1085" i="25"/>
  <c r="O1085" i="25"/>
  <c r="H1086" i="25"/>
  <c r="J1086" i="25"/>
  <c r="K1086" i="25"/>
  <c r="L1086" i="25"/>
  <c r="M1086" i="25"/>
  <c r="N1086" i="25"/>
  <c r="O1086" i="25"/>
  <c r="H1087" i="25"/>
  <c r="J1087" i="25"/>
  <c r="K1087" i="25"/>
  <c r="L1087" i="25"/>
  <c r="M1087" i="25"/>
  <c r="N1087" i="25"/>
  <c r="O1087" i="25"/>
  <c r="H1088" i="25"/>
  <c r="J1088" i="25"/>
  <c r="K1088" i="25"/>
  <c r="L1088" i="25"/>
  <c r="M1088" i="25"/>
  <c r="N1088" i="25"/>
  <c r="O1088" i="25"/>
  <c r="H1089" i="25"/>
  <c r="J1089" i="25"/>
  <c r="K1089" i="25"/>
  <c r="L1089" i="25"/>
  <c r="M1089" i="25"/>
  <c r="N1089" i="25"/>
  <c r="O1089" i="25"/>
  <c r="H1090" i="25"/>
  <c r="J1090" i="25"/>
  <c r="K1090" i="25"/>
  <c r="L1090" i="25"/>
  <c r="M1090" i="25"/>
  <c r="N1090" i="25"/>
  <c r="O1090" i="25"/>
  <c r="H1091" i="25"/>
  <c r="J1091" i="25"/>
  <c r="K1091" i="25"/>
  <c r="L1091" i="25"/>
  <c r="M1091" i="25"/>
  <c r="N1091" i="25"/>
  <c r="O1091" i="25"/>
  <c r="H1092" i="25"/>
  <c r="J1092" i="25"/>
  <c r="K1092" i="25"/>
  <c r="L1092" i="25"/>
  <c r="M1092" i="25"/>
  <c r="N1092" i="25"/>
  <c r="O1092" i="25"/>
  <c r="H1093" i="25"/>
  <c r="J1093" i="25"/>
  <c r="K1093" i="25"/>
  <c r="L1093" i="25"/>
  <c r="M1093" i="25"/>
  <c r="N1093" i="25"/>
  <c r="O1093" i="25"/>
  <c r="H1094" i="25"/>
  <c r="J1094" i="25"/>
  <c r="K1094" i="25"/>
  <c r="L1094" i="25"/>
  <c r="M1094" i="25"/>
  <c r="N1094" i="25"/>
  <c r="O1094" i="25"/>
  <c r="H1095" i="25"/>
  <c r="J1095" i="25"/>
  <c r="K1095" i="25"/>
  <c r="L1095" i="25"/>
  <c r="M1095" i="25"/>
  <c r="N1095" i="25"/>
  <c r="O1095" i="25"/>
  <c r="H1096" i="25"/>
  <c r="J1096" i="25"/>
  <c r="K1096" i="25"/>
  <c r="L1096" i="25"/>
  <c r="M1096" i="25"/>
  <c r="N1096" i="25"/>
  <c r="O1096" i="25"/>
  <c r="H1097" i="25"/>
  <c r="J1097" i="25"/>
  <c r="K1097" i="25"/>
  <c r="L1097" i="25"/>
  <c r="M1097" i="25"/>
  <c r="N1097" i="25"/>
  <c r="O1097" i="25"/>
  <c r="H1098" i="25"/>
  <c r="J1098" i="25"/>
  <c r="K1098" i="25"/>
  <c r="L1098" i="25"/>
  <c r="M1098" i="25"/>
  <c r="N1098" i="25"/>
  <c r="O1098" i="25"/>
  <c r="H1099" i="25"/>
  <c r="J1099" i="25"/>
  <c r="K1099" i="25"/>
  <c r="L1099" i="25"/>
  <c r="M1099" i="25"/>
  <c r="N1099" i="25"/>
  <c r="O1099" i="25"/>
  <c r="H1100" i="25"/>
  <c r="J1100" i="25"/>
  <c r="K1100" i="25"/>
  <c r="L1100" i="25"/>
  <c r="M1100" i="25"/>
  <c r="N1100" i="25"/>
  <c r="O1100" i="25"/>
  <c r="H1101" i="25"/>
  <c r="J1101" i="25"/>
  <c r="K1101" i="25"/>
  <c r="L1101" i="25"/>
  <c r="M1101" i="25"/>
  <c r="N1101" i="25"/>
  <c r="O1101" i="25"/>
  <c r="H1102" i="25"/>
  <c r="J1102" i="25"/>
  <c r="K1102" i="25"/>
  <c r="L1102" i="25"/>
  <c r="M1102" i="25"/>
  <c r="N1102" i="25"/>
  <c r="O1102" i="25"/>
  <c r="H1103" i="25"/>
  <c r="J1103" i="25"/>
  <c r="K1103" i="25"/>
  <c r="L1103" i="25"/>
  <c r="M1103" i="25"/>
  <c r="N1103" i="25"/>
  <c r="O1103" i="25"/>
  <c r="H1104" i="25"/>
  <c r="J1104" i="25"/>
  <c r="K1104" i="25"/>
  <c r="L1104" i="25"/>
  <c r="M1104" i="25"/>
  <c r="N1104" i="25"/>
  <c r="O1104" i="25"/>
  <c r="H1105" i="25"/>
  <c r="J1105" i="25"/>
  <c r="K1105" i="25"/>
  <c r="L1105" i="25"/>
  <c r="M1105" i="25"/>
  <c r="N1105" i="25"/>
  <c r="O1105" i="25"/>
  <c r="H1106" i="25"/>
  <c r="J1106" i="25"/>
  <c r="K1106" i="25"/>
  <c r="L1106" i="25"/>
  <c r="M1106" i="25"/>
  <c r="N1106" i="25"/>
  <c r="O1106" i="25"/>
  <c r="H894" i="25"/>
  <c r="J894" i="25"/>
  <c r="K894" i="25"/>
  <c r="L894" i="25"/>
  <c r="M894" i="25"/>
  <c r="N894" i="25"/>
  <c r="O894" i="25"/>
  <c r="H895" i="25"/>
  <c r="J895" i="25"/>
  <c r="K895" i="25"/>
  <c r="L895" i="25"/>
  <c r="M895" i="25"/>
  <c r="N895" i="25"/>
  <c r="O895" i="25"/>
  <c r="H896" i="25"/>
  <c r="J896" i="25"/>
  <c r="K896" i="25"/>
  <c r="L896" i="25"/>
  <c r="M896" i="25"/>
  <c r="N896" i="25"/>
  <c r="O896" i="25"/>
  <c r="H897" i="25"/>
  <c r="J897" i="25"/>
  <c r="K897" i="25"/>
  <c r="L897" i="25"/>
  <c r="M897" i="25"/>
  <c r="N897" i="25"/>
  <c r="O897" i="25"/>
  <c r="H898" i="25"/>
  <c r="J898" i="25"/>
  <c r="K898" i="25"/>
  <c r="L898" i="25"/>
  <c r="M898" i="25"/>
  <c r="N898" i="25"/>
  <c r="O898" i="25"/>
  <c r="H899" i="25"/>
  <c r="J899" i="25"/>
  <c r="K899" i="25"/>
  <c r="L899" i="25"/>
  <c r="M899" i="25"/>
  <c r="N899" i="25"/>
  <c r="O899" i="25"/>
  <c r="H900" i="25"/>
  <c r="J900" i="25"/>
  <c r="K900" i="25"/>
  <c r="L900" i="25"/>
  <c r="M900" i="25"/>
  <c r="N900" i="25"/>
  <c r="O900" i="25"/>
  <c r="H901" i="25"/>
  <c r="J901" i="25"/>
  <c r="K901" i="25"/>
  <c r="L901" i="25"/>
  <c r="M901" i="25"/>
  <c r="N901" i="25"/>
  <c r="O901" i="25"/>
  <c r="H902" i="25"/>
  <c r="J902" i="25"/>
  <c r="K902" i="25"/>
  <c r="L902" i="25"/>
  <c r="M902" i="25"/>
  <c r="N902" i="25"/>
  <c r="O902" i="25"/>
  <c r="H569" i="25"/>
  <c r="J569" i="25"/>
  <c r="K569" i="25"/>
  <c r="L569" i="25"/>
  <c r="M569" i="25"/>
  <c r="N569" i="25"/>
  <c r="O569" i="25"/>
  <c r="H570" i="25"/>
  <c r="J570" i="25"/>
  <c r="K570" i="25"/>
  <c r="L570" i="25"/>
  <c r="M570" i="25"/>
  <c r="N570" i="25"/>
  <c r="O570" i="25"/>
  <c r="H571" i="25"/>
  <c r="J571" i="25"/>
  <c r="K571" i="25"/>
  <c r="L571" i="25"/>
  <c r="M571" i="25"/>
  <c r="N571" i="25"/>
  <c r="O571" i="25"/>
  <c r="H572" i="25"/>
  <c r="J572" i="25"/>
  <c r="K572" i="25"/>
  <c r="L572" i="25"/>
  <c r="M572" i="25"/>
  <c r="N572" i="25"/>
  <c r="O572" i="25"/>
  <c r="H573" i="25"/>
  <c r="J573" i="25"/>
  <c r="K573" i="25"/>
  <c r="L573" i="25"/>
  <c r="M573" i="25"/>
  <c r="N573" i="25"/>
  <c r="O573" i="25"/>
  <c r="H574" i="25"/>
  <c r="J574" i="25"/>
  <c r="K574" i="25"/>
  <c r="L574" i="25"/>
  <c r="M574" i="25"/>
  <c r="N574" i="25"/>
  <c r="O574" i="25"/>
  <c r="H575" i="25"/>
  <c r="J575" i="25"/>
  <c r="K575" i="25"/>
  <c r="L575" i="25"/>
  <c r="M575" i="25"/>
  <c r="N575" i="25"/>
  <c r="O575" i="25"/>
  <c r="H576" i="25"/>
  <c r="J576" i="25"/>
  <c r="K576" i="25"/>
  <c r="L576" i="25"/>
  <c r="M576" i="25"/>
  <c r="N576" i="25"/>
  <c r="O576" i="25"/>
  <c r="H577" i="25"/>
  <c r="J577" i="25"/>
  <c r="K577" i="25"/>
  <c r="L577" i="25"/>
  <c r="M577" i="25"/>
  <c r="N577" i="25"/>
  <c r="O577" i="25"/>
  <c r="H578" i="25"/>
  <c r="J578" i="25"/>
  <c r="K578" i="25"/>
  <c r="L578" i="25"/>
  <c r="M578" i="25"/>
  <c r="N578" i="25"/>
  <c r="O578" i="25"/>
  <c r="H579" i="25"/>
  <c r="J579" i="25"/>
  <c r="K579" i="25"/>
  <c r="L579" i="25"/>
  <c r="M579" i="25"/>
  <c r="N579" i="25"/>
  <c r="O579" i="25"/>
  <c r="H580" i="25"/>
  <c r="J580" i="25"/>
  <c r="K580" i="25"/>
  <c r="L580" i="25"/>
  <c r="M580" i="25"/>
  <c r="N580" i="25"/>
  <c r="O580" i="25"/>
  <c r="H581" i="25"/>
  <c r="J581" i="25"/>
  <c r="K581" i="25"/>
  <c r="L581" i="25"/>
  <c r="M581" i="25"/>
  <c r="N581" i="25"/>
  <c r="O581" i="25"/>
  <c r="H582" i="25"/>
  <c r="J582" i="25"/>
  <c r="K582" i="25"/>
  <c r="L582" i="25"/>
  <c r="M582" i="25"/>
  <c r="N582" i="25"/>
  <c r="O582" i="25"/>
  <c r="H583" i="25"/>
  <c r="J583" i="25"/>
  <c r="K583" i="25"/>
  <c r="L583" i="25"/>
  <c r="M583" i="25"/>
  <c r="N583" i="25"/>
  <c r="O583" i="25"/>
  <c r="H584" i="25"/>
  <c r="J584" i="25"/>
  <c r="K584" i="25"/>
  <c r="L584" i="25"/>
  <c r="M584" i="25"/>
  <c r="N584" i="25"/>
  <c r="O584" i="25"/>
  <c r="H585" i="25"/>
  <c r="J585" i="25"/>
  <c r="K585" i="25"/>
  <c r="L585" i="25"/>
  <c r="M585" i="25"/>
  <c r="N585" i="25"/>
  <c r="O585" i="25"/>
  <c r="H586" i="25"/>
  <c r="J586" i="25"/>
  <c r="K586" i="25"/>
  <c r="L586" i="25"/>
  <c r="M586" i="25"/>
  <c r="N586" i="25"/>
  <c r="O586" i="25"/>
  <c r="H587" i="25"/>
  <c r="J587" i="25"/>
  <c r="K587" i="25"/>
  <c r="L587" i="25"/>
  <c r="M587" i="25"/>
  <c r="N587" i="25"/>
  <c r="O587" i="25"/>
  <c r="H588" i="25"/>
  <c r="J588" i="25"/>
  <c r="K588" i="25"/>
  <c r="L588" i="25"/>
  <c r="M588" i="25"/>
  <c r="N588" i="25"/>
  <c r="O588" i="25"/>
  <c r="H589" i="25"/>
  <c r="J589" i="25"/>
  <c r="K589" i="25"/>
  <c r="L589" i="25"/>
  <c r="M589" i="25"/>
  <c r="N589" i="25"/>
  <c r="O589" i="25"/>
  <c r="H590" i="25"/>
  <c r="J590" i="25"/>
  <c r="K590" i="25"/>
  <c r="L590" i="25"/>
  <c r="M590" i="25"/>
  <c r="N590" i="25"/>
  <c r="O590" i="25"/>
  <c r="H591" i="25"/>
  <c r="J591" i="25"/>
  <c r="K591" i="25"/>
  <c r="L591" i="25"/>
  <c r="M591" i="25"/>
  <c r="N591" i="25"/>
  <c r="O591" i="25"/>
  <c r="H592" i="25"/>
  <c r="J592" i="25"/>
  <c r="K592" i="25"/>
  <c r="L592" i="25"/>
  <c r="M592" i="25"/>
  <c r="N592" i="25"/>
  <c r="O592" i="25"/>
  <c r="H593" i="25"/>
  <c r="J593" i="25"/>
  <c r="K593" i="25"/>
  <c r="L593" i="25"/>
  <c r="M593" i="25"/>
  <c r="N593" i="25"/>
  <c r="O593" i="25"/>
  <c r="H594" i="25"/>
  <c r="J594" i="25"/>
  <c r="K594" i="25"/>
  <c r="L594" i="25"/>
  <c r="M594" i="25"/>
  <c r="N594" i="25"/>
  <c r="O594" i="25"/>
  <c r="H595" i="25"/>
  <c r="J595" i="25"/>
  <c r="K595" i="25"/>
  <c r="L595" i="25"/>
  <c r="M595" i="25"/>
  <c r="N595" i="25"/>
  <c r="O595" i="25"/>
  <c r="H596" i="25"/>
  <c r="J596" i="25"/>
  <c r="K596" i="25"/>
  <c r="L596" i="25"/>
  <c r="M596" i="25"/>
  <c r="N596" i="25"/>
  <c r="O596" i="25"/>
  <c r="H597" i="25"/>
  <c r="J597" i="25"/>
  <c r="K597" i="25"/>
  <c r="L597" i="25"/>
  <c r="M597" i="25"/>
  <c r="N597" i="25"/>
  <c r="O597" i="25"/>
  <c r="H598" i="25"/>
  <c r="J598" i="25"/>
  <c r="K598" i="25"/>
  <c r="L598" i="25"/>
  <c r="M598" i="25"/>
  <c r="N598" i="25"/>
  <c r="O598" i="25"/>
  <c r="H599" i="25"/>
  <c r="J599" i="25"/>
  <c r="K599" i="25"/>
  <c r="L599" i="25"/>
  <c r="M599" i="25"/>
  <c r="N599" i="25"/>
  <c r="O599" i="25"/>
  <c r="H600" i="25"/>
  <c r="J600" i="25"/>
  <c r="K600" i="25"/>
  <c r="L600" i="25"/>
  <c r="M600" i="25"/>
  <c r="N600" i="25"/>
  <c r="O600" i="25"/>
  <c r="H601" i="25"/>
  <c r="J601" i="25"/>
  <c r="K601" i="25"/>
  <c r="L601" i="25"/>
  <c r="M601" i="25"/>
  <c r="N601" i="25"/>
  <c r="O601" i="25"/>
  <c r="H602" i="25"/>
  <c r="J602" i="25"/>
  <c r="K602" i="25"/>
  <c r="L602" i="25"/>
  <c r="M602" i="25"/>
  <c r="N602" i="25"/>
  <c r="O602" i="25"/>
  <c r="H603" i="25"/>
  <c r="J603" i="25"/>
  <c r="K603" i="25"/>
  <c r="L603" i="25"/>
  <c r="M603" i="25"/>
  <c r="N603" i="25"/>
  <c r="O603" i="25"/>
  <c r="H604" i="25"/>
  <c r="J604" i="25"/>
  <c r="K604" i="25"/>
  <c r="L604" i="25"/>
  <c r="M604" i="25"/>
  <c r="N604" i="25"/>
  <c r="O604" i="25"/>
  <c r="H605" i="25"/>
  <c r="J605" i="25"/>
  <c r="K605" i="25"/>
  <c r="L605" i="25"/>
  <c r="M605" i="25"/>
  <c r="N605" i="25"/>
  <c r="O605" i="25"/>
  <c r="H606" i="25"/>
  <c r="J606" i="25"/>
  <c r="K606" i="25"/>
  <c r="L606" i="25"/>
  <c r="M606" i="25"/>
  <c r="N606" i="25"/>
  <c r="O606" i="25"/>
  <c r="H607" i="25"/>
  <c r="J607" i="25"/>
  <c r="K607" i="25"/>
  <c r="L607" i="25"/>
  <c r="M607" i="25"/>
  <c r="N607" i="25"/>
  <c r="O607" i="25"/>
  <c r="H608" i="25"/>
  <c r="J608" i="25"/>
  <c r="K608" i="25"/>
  <c r="L608" i="25"/>
  <c r="M608" i="25"/>
  <c r="N608" i="25"/>
  <c r="O608" i="25"/>
  <c r="H609" i="25"/>
  <c r="J609" i="25"/>
  <c r="K609" i="25"/>
  <c r="L609" i="25"/>
  <c r="M609" i="25"/>
  <c r="N609" i="25"/>
  <c r="O609" i="25"/>
  <c r="H610" i="25"/>
  <c r="J610" i="25"/>
  <c r="K610" i="25"/>
  <c r="L610" i="25"/>
  <c r="M610" i="25"/>
  <c r="N610" i="25"/>
  <c r="O610" i="25"/>
  <c r="H611" i="25"/>
  <c r="J611" i="25"/>
  <c r="K611" i="25"/>
  <c r="L611" i="25"/>
  <c r="M611" i="25"/>
  <c r="N611" i="25"/>
  <c r="O611" i="25"/>
  <c r="H612" i="25"/>
  <c r="J612" i="25"/>
  <c r="K612" i="25"/>
  <c r="L612" i="25"/>
  <c r="M612" i="25"/>
  <c r="N612" i="25"/>
  <c r="O612" i="25"/>
  <c r="H613" i="25"/>
  <c r="J613" i="25"/>
  <c r="K613" i="25"/>
  <c r="L613" i="25"/>
  <c r="M613" i="25"/>
  <c r="N613" i="25"/>
  <c r="O613" i="25"/>
  <c r="H614" i="25"/>
  <c r="J614" i="25"/>
  <c r="K614" i="25"/>
  <c r="L614" i="25"/>
  <c r="M614" i="25"/>
  <c r="N614" i="25"/>
  <c r="O614" i="25"/>
  <c r="H615" i="25"/>
  <c r="J615" i="25"/>
  <c r="K615" i="25"/>
  <c r="L615" i="25"/>
  <c r="M615" i="25"/>
  <c r="N615" i="25"/>
  <c r="O615" i="25"/>
  <c r="H616" i="25"/>
  <c r="J616" i="25"/>
  <c r="K616" i="25"/>
  <c r="L616" i="25"/>
  <c r="M616" i="25"/>
  <c r="N616" i="25"/>
  <c r="O616" i="25"/>
  <c r="H617" i="25"/>
  <c r="J617" i="25"/>
  <c r="K617" i="25"/>
  <c r="L617" i="25"/>
  <c r="M617" i="25"/>
  <c r="N617" i="25"/>
  <c r="O617" i="25"/>
  <c r="H618" i="25"/>
  <c r="J618" i="25"/>
  <c r="K618" i="25"/>
  <c r="L618" i="25"/>
  <c r="M618" i="25"/>
  <c r="N618" i="25"/>
  <c r="O618" i="25"/>
  <c r="H619" i="25"/>
  <c r="J619" i="25"/>
  <c r="K619" i="25"/>
  <c r="L619" i="25"/>
  <c r="M619" i="25"/>
  <c r="N619" i="25"/>
  <c r="O619" i="25"/>
  <c r="H620" i="25"/>
  <c r="J620" i="25"/>
  <c r="K620" i="25"/>
  <c r="L620" i="25"/>
  <c r="M620" i="25"/>
  <c r="N620" i="25"/>
  <c r="O620" i="25"/>
  <c r="H621" i="25"/>
  <c r="J621" i="25"/>
  <c r="K621" i="25"/>
  <c r="L621" i="25"/>
  <c r="M621" i="25"/>
  <c r="N621" i="25"/>
  <c r="O621" i="25"/>
  <c r="H622" i="25"/>
  <c r="J622" i="25"/>
  <c r="K622" i="25"/>
  <c r="L622" i="25"/>
  <c r="M622" i="25"/>
  <c r="N622" i="25"/>
  <c r="O622" i="25"/>
  <c r="H623" i="25"/>
  <c r="J623" i="25"/>
  <c r="K623" i="25"/>
  <c r="L623" i="25"/>
  <c r="M623" i="25"/>
  <c r="N623" i="25"/>
  <c r="O623" i="25"/>
  <c r="H624" i="25"/>
  <c r="J624" i="25"/>
  <c r="K624" i="25"/>
  <c r="L624" i="25"/>
  <c r="M624" i="25"/>
  <c r="N624" i="25"/>
  <c r="O624" i="25"/>
  <c r="H625" i="25"/>
  <c r="J625" i="25"/>
  <c r="K625" i="25"/>
  <c r="L625" i="25"/>
  <c r="M625" i="25"/>
  <c r="N625" i="25"/>
  <c r="O625" i="25"/>
  <c r="H626" i="25"/>
  <c r="J626" i="25"/>
  <c r="K626" i="25"/>
  <c r="L626" i="25"/>
  <c r="M626" i="25"/>
  <c r="N626" i="25"/>
  <c r="O626" i="25"/>
  <c r="H627" i="25"/>
  <c r="J627" i="25"/>
  <c r="K627" i="25"/>
  <c r="L627" i="25"/>
  <c r="M627" i="25"/>
  <c r="N627" i="25"/>
  <c r="O627" i="25"/>
  <c r="H628" i="25"/>
  <c r="J628" i="25"/>
  <c r="K628" i="25"/>
  <c r="L628" i="25"/>
  <c r="M628" i="25"/>
  <c r="N628" i="25"/>
  <c r="O628" i="25"/>
  <c r="H629" i="25"/>
  <c r="J629" i="25"/>
  <c r="K629" i="25"/>
  <c r="L629" i="25"/>
  <c r="M629" i="25"/>
  <c r="N629" i="25"/>
  <c r="O629" i="25"/>
  <c r="H630" i="25"/>
  <c r="J630" i="25"/>
  <c r="K630" i="25"/>
  <c r="L630" i="25"/>
  <c r="M630" i="25"/>
  <c r="N630" i="25"/>
  <c r="O630" i="25"/>
  <c r="H631" i="25"/>
  <c r="J631" i="25"/>
  <c r="K631" i="25"/>
  <c r="L631" i="25"/>
  <c r="M631" i="25"/>
  <c r="N631" i="25"/>
  <c r="O631" i="25"/>
  <c r="H632" i="25"/>
  <c r="J632" i="25"/>
  <c r="K632" i="25"/>
  <c r="L632" i="25"/>
  <c r="M632" i="25"/>
  <c r="N632" i="25"/>
  <c r="O632" i="25"/>
  <c r="H633" i="25"/>
  <c r="J633" i="25"/>
  <c r="K633" i="25"/>
  <c r="L633" i="25"/>
  <c r="M633" i="25"/>
  <c r="N633" i="25"/>
  <c r="O633" i="25"/>
  <c r="H634" i="25"/>
  <c r="J634" i="25"/>
  <c r="K634" i="25"/>
  <c r="L634" i="25"/>
  <c r="M634" i="25"/>
  <c r="N634" i="25"/>
  <c r="O634" i="25"/>
  <c r="H635" i="25"/>
  <c r="J635" i="25"/>
  <c r="K635" i="25"/>
  <c r="L635" i="25"/>
  <c r="M635" i="25"/>
  <c r="N635" i="25"/>
  <c r="O635" i="25"/>
  <c r="H636" i="25"/>
  <c r="J636" i="25"/>
  <c r="K636" i="25"/>
  <c r="L636" i="25"/>
  <c r="M636" i="25"/>
  <c r="N636" i="25"/>
  <c r="O636" i="25"/>
  <c r="H637" i="25"/>
  <c r="J637" i="25"/>
  <c r="K637" i="25"/>
  <c r="L637" i="25"/>
  <c r="M637" i="25"/>
  <c r="N637" i="25"/>
  <c r="O637" i="25"/>
  <c r="H638" i="25"/>
  <c r="J638" i="25"/>
  <c r="K638" i="25"/>
  <c r="L638" i="25"/>
  <c r="M638" i="25"/>
  <c r="N638" i="25"/>
  <c r="O638" i="25"/>
  <c r="H639" i="25"/>
  <c r="J639" i="25"/>
  <c r="K639" i="25"/>
  <c r="L639" i="25"/>
  <c r="M639" i="25"/>
  <c r="N639" i="25"/>
  <c r="O639" i="25"/>
  <c r="H640" i="25"/>
  <c r="J640" i="25"/>
  <c r="K640" i="25"/>
  <c r="L640" i="25"/>
  <c r="M640" i="25"/>
  <c r="N640" i="25"/>
  <c r="O640" i="25"/>
  <c r="H641" i="25"/>
  <c r="J641" i="25"/>
  <c r="K641" i="25"/>
  <c r="L641" i="25"/>
  <c r="M641" i="25"/>
  <c r="N641" i="25"/>
  <c r="O641" i="25"/>
  <c r="H642" i="25"/>
  <c r="J642" i="25"/>
  <c r="K642" i="25"/>
  <c r="L642" i="25"/>
  <c r="M642" i="25"/>
  <c r="N642" i="25"/>
  <c r="O642" i="25"/>
  <c r="H643" i="25"/>
  <c r="J643" i="25"/>
  <c r="K643" i="25"/>
  <c r="L643" i="25"/>
  <c r="M643" i="25"/>
  <c r="N643" i="25"/>
  <c r="O643" i="25"/>
  <c r="H644" i="25"/>
  <c r="J644" i="25"/>
  <c r="K644" i="25"/>
  <c r="L644" i="25"/>
  <c r="M644" i="25"/>
  <c r="N644" i="25"/>
  <c r="O644" i="25"/>
  <c r="H645" i="25"/>
  <c r="J645" i="25"/>
  <c r="K645" i="25"/>
  <c r="L645" i="25"/>
  <c r="M645" i="25"/>
  <c r="N645" i="25"/>
  <c r="O645" i="25"/>
  <c r="H646" i="25"/>
  <c r="J646" i="25"/>
  <c r="K646" i="25"/>
  <c r="L646" i="25"/>
  <c r="M646" i="25"/>
  <c r="N646" i="25"/>
  <c r="O646" i="25"/>
  <c r="H647" i="25"/>
  <c r="J647" i="25"/>
  <c r="K647" i="25"/>
  <c r="L647" i="25"/>
  <c r="M647" i="25"/>
  <c r="N647" i="25"/>
  <c r="O647" i="25"/>
  <c r="H648" i="25"/>
  <c r="J648" i="25"/>
  <c r="K648" i="25"/>
  <c r="L648" i="25"/>
  <c r="M648" i="25"/>
  <c r="N648" i="25"/>
  <c r="O648" i="25"/>
  <c r="H649" i="25"/>
  <c r="J649" i="25"/>
  <c r="K649" i="25"/>
  <c r="L649" i="25"/>
  <c r="M649" i="25"/>
  <c r="N649" i="25"/>
  <c r="O649" i="25"/>
  <c r="H650" i="25"/>
  <c r="J650" i="25"/>
  <c r="K650" i="25"/>
  <c r="L650" i="25"/>
  <c r="M650" i="25"/>
  <c r="N650" i="25"/>
  <c r="O650" i="25"/>
  <c r="H651" i="25"/>
  <c r="J651" i="25"/>
  <c r="K651" i="25"/>
  <c r="L651" i="25"/>
  <c r="M651" i="25"/>
  <c r="N651" i="25"/>
  <c r="O651" i="25"/>
  <c r="H652" i="25"/>
  <c r="J652" i="25"/>
  <c r="K652" i="25"/>
  <c r="L652" i="25"/>
  <c r="M652" i="25"/>
  <c r="N652" i="25"/>
  <c r="O652" i="25"/>
  <c r="H653" i="25"/>
  <c r="J653" i="25"/>
  <c r="K653" i="25"/>
  <c r="L653" i="25"/>
  <c r="M653" i="25"/>
  <c r="N653" i="25"/>
  <c r="O653" i="25"/>
  <c r="H654" i="25"/>
  <c r="J654" i="25"/>
  <c r="K654" i="25"/>
  <c r="L654" i="25"/>
  <c r="M654" i="25"/>
  <c r="N654" i="25"/>
  <c r="O654" i="25"/>
  <c r="H655" i="25"/>
  <c r="J655" i="25"/>
  <c r="K655" i="25"/>
  <c r="L655" i="25"/>
  <c r="M655" i="25"/>
  <c r="N655" i="25"/>
  <c r="O655" i="25"/>
  <c r="H656" i="25"/>
  <c r="J656" i="25"/>
  <c r="K656" i="25"/>
  <c r="L656" i="25"/>
  <c r="M656" i="25"/>
  <c r="N656" i="25"/>
  <c r="O656" i="25"/>
  <c r="H657" i="25"/>
  <c r="J657" i="25"/>
  <c r="K657" i="25"/>
  <c r="L657" i="25"/>
  <c r="M657" i="25"/>
  <c r="N657" i="25"/>
  <c r="O657" i="25"/>
  <c r="H658" i="25"/>
  <c r="J658" i="25"/>
  <c r="K658" i="25"/>
  <c r="L658" i="25"/>
  <c r="M658" i="25"/>
  <c r="N658" i="25"/>
  <c r="O658" i="25"/>
  <c r="H659" i="25"/>
  <c r="J659" i="25"/>
  <c r="K659" i="25"/>
  <c r="L659" i="25"/>
  <c r="M659" i="25"/>
  <c r="N659" i="25"/>
  <c r="O659" i="25"/>
  <c r="H660" i="25"/>
  <c r="J660" i="25"/>
  <c r="K660" i="25"/>
  <c r="L660" i="25"/>
  <c r="M660" i="25"/>
  <c r="N660" i="25"/>
  <c r="O660" i="25"/>
  <c r="H661" i="25"/>
  <c r="J661" i="25"/>
  <c r="K661" i="25"/>
  <c r="L661" i="25"/>
  <c r="M661" i="25"/>
  <c r="N661" i="25"/>
  <c r="O661" i="25"/>
  <c r="H662" i="25"/>
  <c r="J662" i="25"/>
  <c r="K662" i="25"/>
  <c r="L662" i="25"/>
  <c r="M662" i="25"/>
  <c r="N662" i="25"/>
  <c r="O662" i="25"/>
  <c r="H663" i="25"/>
  <c r="J663" i="25"/>
  <c r="K663" i="25"/>
  <c r="L663" i="25"/>
  <c r="M663" i="25"/>
  <c r="N663" i="25"/>
  <c r="O663" i="25"/>
  <c r="H664" i="25"/>
  <c r="J664" i="25"/>
  <c r="K664" i="25"/>
  <c r="L664" i="25"/>
  <c r="M664" i="25"/>
  <c r="N664" i="25"/>
  <c r="O664" i="25"/>
  <c r="H665" i="25"/>
  <c r="J665" i="25"/>
  <c r="K665" i="25"/>
  <c r="L665" i="25"/>
  <c r="M665" i="25"/>
  <c r="N665" i="25"/>
  <c r="O665" i="25"/>
  <c r="H666" i="25"/>
  <c r="J666" i="25"/>
  <c r="K666" i="25"/>
  <c r="L666" i="25"/>
  <c r="M666" i="25"/>
  <c r="N666" i="25"/>
  <c r="O666" i="25"/>
  <c r="H667" i="25"/>
  <c r="J667" i="25"/>
  <c r="K667" i="25"/>
  <c r="L667" i="25"/>
  <c r="M667" i="25"/>
  <c r="N667" i="25"/>
  <c r="O667" i="25"/>
  <c r="H668" i="25"/>
  <c r="J668" i="25"/>
  <c r="K668" i="25"/>
  <c r="L668" i="25"/>
  <c r="M668" i="25"/>
  <c r="N668" i="25"/>
  <c r="O668" i="25"/>
  <c r="H669" i="25"/>
  <c r="J669" i="25"/>
  <c r="K669" i="25"/>
  <c r="L669" i="25"/>
  <c r="M669" i="25"/>
  <c r="N669" i="25"/>
  <c r="O669" i="25"/>
  <c r="H670" i="25"/>
  <c r="J670" i="25"/>
  <c r="K670" i="25"/>
  <c r="L670" i="25"/>
  <c r="M670" i="25"/>
  <c r="N670" i="25"/>
  <c r="O670" i="25"/>
  <c r="H671" i="25"/>
  <c r="J671" i="25"/>
  <c r="K671" i="25"/>
  <c r="L671" i="25"/>
  <c r="M671" i="25"/>
  <c r="N671" i="25"/>
  <c r="O671" i="25"/>
  <c r="H672" i="25"/>
  <c r="J672" i="25"/>
  <c r="K672" i="25"/>
  <c r="L672" i="25"/>
  <c r="M672" i="25"/>
  <c r="N672" i="25"/>
  <c r="O672" i="25"/>
  <c r="H673" i="25"/>
  <c r="J673" i="25"/>
  <c r="K673" i="25"/>
  <c r="L673" i="25"/>
  <c r="M673" i="25"/>
  <c r="N673" i="25"/>
  <c r="O673" i="25"/>
  <c r="H674" i="25"/>
  <c r="J674" i="25"/>
  <c r="K674" i="25"/>
  <c r="L674" i="25"/>
  <c r="M674" i="25"/>
  <c r="N674" i="25"/>
  <c r="O674" i="25"/>
  <c r="H675" i="25"/>
  <c r="J675" i="25"/>
  <c r="K675" i="25"/>
  <c r="L675" i="25"/>
  <c r="M675" i="25"/>
  <c r="N675" i="25"/>
  <c r="O675" i="25"/>
  <c r="H676" i="25"/>
  <c r="J676" i="25"/>
  <c r="K676" i="25"/>
  <c r="L676" i="25"/>
  <c r="M676" i="25"/>
  <c r="N676" i="25"/>
  <c r="O676" i="25"/>
  <c r="H677" i="25"/>
  <c r="J677" i="25"/>
  <c r="K677" i="25"/>
  <c r="L677" i="25"/>
  <c r="M677" i="25"/>
  <c r="N677" i="25"/>
  <c r="O677" i="25"/>
  <c r="H678" i="25"/>
  <c r="J678" i="25"/>
  <c r="K678" i="25"/>
  <c r="L678" i="25"/>
  <c r="M678" i="25"/>
  <c r="N678" i="25"/>
  <c r="O678" i="25"/>
  <c r="H679" i="25"/>
  <c r="J679" i="25"/>
  <c r="K679" i="25"/>
  <c r="L679" i="25"/>
  <c r="M679" i="25"/>
  <c r="N679" i="25"/>
  <c r="O679" i="25"/>
  <c r="H680" i="25"/>
  <c r="J680" i="25"/>
  <c r="K680" i="25"/>
  <c r="L680" i="25"/>
  <c r="M680" i="25"/>
  <c r="N680" i="25"/>
  <c r="O680" i="25"/>
  <c r="H681" i="25"/>
  <c r="J681" i="25"/>
  <c r="K681" i="25"/>
  <c r="L681" i="25"/>
  <c r="M681" i="25"/>
  <c r="N681" i="25"/>
  <c r="O681" i="25"/>
  <c r="H682" i="25"/>
  <c r="J682" i="25"/>
  <c r="K682" i="25"/>
  <c r="L682" i="25"/>
  <c r="M682" i="25"/>
  <c r="N682" i="25"/>
  <c r="O682" i="25"/>
  <c r="H683" i="25"/>
  <c r="J683" i="25"/>
  <c r="K683" i="25"/>
  <c r="L683" i="25"/>
  <c r="M683" i="25"/>
  <c r="N683" i="25"/>
  <c r="O683" i="25"/>
  <c r="H684" i="25"/>
  <c r="J684" i="25"/>
  <c r="K684" i="25"/>
  <c r="L684" i="25"/>
  <c r="M684" i="25"/>
  <c r="N684" i="25"/>
  <c r="O684" i="25"/>
  <c r="H685" i="25"/>
  <c r="J685" i="25"/>
  <c r="K685" i="25"/>
  <c r="L685" i="25"/>
  <c r="M685" i="25"/>
  <c r="N685" i="25"/>
  <c r="O685" i="25"/>
  <c r="H686" i="25"/>
  <c r="J686" i="25"/>
  <c r="K686" i="25"/>
  <c r="L686" i="25"/>
  <c r="M686" i="25"/>
  <c r="N686" i="25"/>
  <c r="O686" i="25"/>
  <c r="H687" i="25"/>
  <c r="J687" i="25"/>
  <c r="K687" i="25"/>
  <c r="L687" i="25"/>
  <c r="M687" i="25"/>
  <c r="N687" i="25"/>
  <c r="O687" i="25"/>
  <c r="H688" i="25"/>
  <c r="J688" i="25"/>
  <c r="K688" i="25"/>
  <c r="L688" i="25"/>
  <c r="M688" i="25"/>
  <c r="N688" i="25"/>
  <c r="O688" i="25"/>
  <c r="H689" i="25"/>
  <c r="J689" i="25"/>
  <c r="K689" i="25"/>
  <c r="L689" i="25"/>
  <c r="M689" i="25"/>
  <c r="N689" i="25"/>
  <c r="O689" i="25"/>
  <c r="H690" i="25"/>
  <c r="J690" i="25"/>
  <c r="K690" i="25"/>
  <c r="L690" i="25"/>
  <c r="M690" i="25"/>
  <c r="N690" i="25"/>
  <c r="O690" i="25"/>
  <c r="H691" i="25"/>
  <c r="J691" i="25"/>
  <c r="K691" i="25"/>
  <c r="L691" i="25"/>
  <c r="M691" i="25"/>
  <c r="N691" i="25"/>
  <c r="O691" i="25"/>
  <c r="H692" i="25"/>
  <c r="J692" i="25"/>
  <c r="K692" i="25"/>
  <c r="L692" i="25"/>
  <c r="M692" i="25"/>
  <c r="N692" i="25"/>
  <c r="O692" i="25"/>
  <c r="H693" i="25"/>
  <c r="J693" i="25"/>
  <c r="K693" i="25"/>
  <c r="L693" i="25"/>
  <c r="M693" i="25"/>
  <c r="N693" i="25"/>
  <c r="O693" i="25"/>
  <c r="H694" i="25"/>
  <c r="J694" i="25"/>
  <c r="K694" i="25"/>
  <c r="L694" i="25"/>
  <c r="M694" i="25"/>
  <c r="N694" i="25"/>
  <c r="O694" i="25"/>
  <c r="H695" i="25"/>
  <c r="J695" i="25"/>
  <c r="K695" i="25"/>
  <c r="L695" i="25"/>
  <c r="M695" i="25"/>
  <c r="N695" i="25"/>
  <c r="O695" i="25"/>
  <c r="H696" i="25"/>
  <c r="J696" i="25"/>
  <c r="K696" i="25"/>
  <c r="L696" i="25"/>
  <c r="M696" i="25"/>
  <c r="N696" i="25"/>
  <c r="O696" i="25"/>
  <c r="H697" i="25"/>
  <c r="J697" i="25"/>
  <c r="K697" i="25"/>
  <c r="L697" i="25"/>
  <c r="M697" i="25"/>
  <c r="N697" i="25"/>
  <c r="O697" i="25"/>
  <c r="H698" i="25"/>
  <c r="J698" i="25"/>
  <c r="K698" i="25"/>
  <c r="L698" i="25"/>
  <c r="M698" i="25"/>
  <c r="N698" i="25"/>
  <c r="O698" i="25"/>
  <c r="H699" i="25"/>
  <c r="J699" i="25"/>
  <c r="K699" i="25"/>
  <c r="L699" i="25"/>
  <c r="M699" i="25"/>
  <c r="N699" i="25"/>
  <c r="O699" i="25"/>
  <c r="H700" i="25"/>
  <c r="J700" i="25"/>
  <c r="K700" i="25"/>
  <c r="L700" i="25"/>
  <c r="M700" i="25"/>
  <c r="N700" i="25"/>
  <c r="O700" i="25"/>
  <c r="H701" i="25"/>
  <c r="J701" i="25"/>
  <c r="K701" i="25"/>
  <c r="L701" i="25"/>
  <c r="M701" i="25"/>
  <c r="N701" i="25"/>
  <c r="O701" i="25"/>
  <c r="H702" i="25"/>
  <c r="J702" i="25"/>
  <c r="K702" i="25"/>
  <c r="L702" i="25"/>
  <c r="M702" i="25"/>
  <c r="N702" i="25"/>
  <c r="O702" i="25"/>
  <c r="H703" i="25"/>
  <c r="J703" i="25"/>
  <c r="K703" i="25"/>
  <c r="L703" i="25"/>
  <c r="M703" i="25"/>
  <c r="N703" i="25"/>
  <c r="O703" i="25"/>
  <c r="H704" i="25"/>
  <c r="J704" i="25"/>
  <c r="K704" i="25"/>
  <c r="L704" i="25"/>
  <c r="M704" i="25"/>
  <c r="N704" i="25"/>
  <c r="O704" i="25"/>
  <c r="H705" i="25"/>
  <c r="J705" i="25"/>
  <c r="K705" i="25"/>
  <c r="L705" i="25"/>
  <c r="M705" i="25"/>
  <c r="N705" i="25"/>
  <c r="O705" i="25"/>
  <c r="H706" i="25"/>
  <c r="J706" i="25"/>
  <c r="K706" i="25"/>
  <c r="L706" i="25"/>
  <c r="M706" i="25"/>
  <c r="N706" i="25"/>
  <c r="O706" i="25"/>
  <c r="H707" i="25"/>
  <c r="J707" i="25"/>
  <c r="K707" i="25"/>
  <c r="L707" i="25"/>
  <c r="M707" i="25"/>
  <c r="N707" i="25"/>
  <c r="O707" i="25"/>
  <c r="H708" i="25"/>
  <c r="J708" i="25"/>
  <c r="K708" i="25"/>
  <c r="L708" i="25"/>
  <c r="M708" i="25"/>
  <c r="N708" i="25"/>
  <c r="O708" i="25"/>
  <c r="H709" i="25"/>
  <c r="J709" i="25"/>
  <c r="K709" i="25"/>
  <c r="L709" i="25"/>
  <c r="M709" i="25"/>
  <c r="N709" i="25"/>
  <c r="O709" i="25"/>
  <c r="H710" i="25"/>
  <c r="J710" i="25"/>
  <c r="K710" i="25"/>
  <c r="L710" i="25"/>
  <c r="M710" i="25"/>
  <c r="N710" i="25"/>
  <c r="O710" i="25"/>
  <c r="H711" i="25"/>
  <c r="J711" i="25"/>
  <c r="K711" i="25"/>
  <c r="L711" i="25"/>
  <c r="M711" i="25"/>
  <c r="N711" i="25"/>
  <c r="O711" i="25"/>
  <c r="H712" i="25"/>
  <c r="J712" i="25"/>
  <c r="K712" i="25"/>
  <c r="L712" i="25"/>
  <c r="M712" i="25"/>
  <c r="N712" i="25"/>
  <c r="O712" i="25"/>
  <c r="H713" i="25"/>
  <c r="J713" i="25"/>
  <c r="K713" i="25"/>
  <c r="L713" i="25"/>
  <c r="M713" i="25"/>
  <c r="N713" i="25"/>
  <c r="O713" i="25"/>
  <c r="H714" i="25"/>
  <c r="J714" i="25"/>
  <c r="K714" i="25"/>
  <c r="L714" i="25"/>
  <c r="M714" i="25"/>
  <c r="N714" i="25"/>
  <c r="O714" i="25"/>
  <c r="H715" i="25"/>
  <c r="J715" i="25"/>
  <c r="K715" i="25"/>
  <c r="L715" i="25"/>
  <c r="M715" i="25"/>
  <c r="N715" i="25"/>
  <c r="O715" i="25"/>
  <c r="H716" i="25"/>
  <c r="J716" i="25"/>
  <c r="K716" i="25"/>
  <c r="L716" i="25"/>
  <c r="M716" i="25"/>
  <c r="N716" i="25"/>
  <c r="O716" i="25"/>
  <c r="H717" i="25"/>
  <c r="J717" i="25"/>
  <c r="K717" i="25"/>
  <c r="L717" i="25"/>
  <c r="M717" i="25"/>
  <c r="N717" i="25"/>
  <c r="O717" i="25"/>
  <c r="H718" i="25"/>
  <c r="J718" i="25"/>
  <c r="K718" i="25"/>
  <c r="L718" i="25"/>
  <c r="M718" i="25"/>
  <c r="N718" i="25"/>
  <c r="O718" i="25"/>
  <c r="H719" i="25"/>
  <c r="J719" i="25"/>
  <c r="K719" i="25"/>
  <c r="L719" i="25"/>
  <c r="M719" i="25"/>
  <c r="N719" i="25"/>
  <c r="O719" i="25"/>
  <c r="H720" i="25"/>
  <c r="J720" i="25"/>
  <c r="K720" i="25"/>
  <c r="L720" i="25"/>
  <c r="M720" i="25"/>
  <c r="N720" i="25"/>
  <c r="O720" i="25"/>
  <c r="H721" i="25"/>
  <c r="J721" i="25"/>
  <c r="K721" i="25"/>
  <c r="L721" i="25"/>
  <c r="M721" i="25"/>
  <c r="N721" i="25"/>
  <c r="O721" i="25"/>
  <c r="H722" i="25"/>
  <c r="J722" i="25"/>
  <c r="K722" i="25"/>
  <c r="L722" i="25"/>
  <c r="M722" i="25"/>
  <c r="N722" i="25"/>
  <c r="O722" i="25"/>
  <c r="H723" i="25"/>
  <c r="J723" i="25"/>
  <c r="K723" i="25"/>
  <c r="L723" i="25"/>
  <c r="M723" i="25"/>
  <c r="N723" i="25"/>
  <c r="O723" i="25"/>
  <c r="H724" i="25"/>
  <c r="J724" i="25"/>
  <c r="K724" i="25"/>
  <c r="L724" i="25"/>
  <c r="M724" i="25"/>
  <c r="N724" i="25"/>
  <c r="O724" i="25"/>
  <c r="H725" i="25"/>
  <c r="J725" i="25"/>
  <c r="K725" i="25"/>
  <c r="L725" i="25"/>
  <c r="M725" i="25"/>
  <c r="N725" i="25"/>
  <c r="O725" i="25"/>
  <c r="H726" i="25"/>
  <c r="J726" i="25"/>
  <c r="K726" i="25"/>
  <c r="L726" i="25"/>
  <c r="M726" i="25"/>
  <c r="N726" i="25"/>
  <c r="O726" i="25"/>
  <c r="H727" i="25"/>
  <c r="J727" i="25"/>
  <c r="K727" i="25"/>
  <c r="L727" i="25"/>
  <c r="M727" i="25"/>
  <c r="N727" i="25"/>
  <c r="O727" i="25"/>
  <c r="H728" i="25"/>
  <c r="J728" i="25"/>
  <c r="K728" i="25"/>
  <c r="L728" i="25"/>
  <c r="M728" i="25"/>
  <c r="N728" i="25"/>
  <c r="O728" i="25"/>
  <c r="H729" i="25"/>
  <c r="J729" i="25"/>
  <c r="K729" i="25"/>
  <c r="L729" i="25"/>
  <c r="M729" i="25"/>
  <c r="N729" i="25"/>
  <c r="O729" i="25"/>
  <c r="H730" i="25"/>
  <c r="J730" i="25"/>
  <c r="K730" i="25"/>
  <c r="L730" i="25"/>
  <c r="M730" i="25"/>
  <c r="N730" i="25"/>
  <c r="O730" i="25"/>
  <c r="H731" i="25"/>
  <c r="J731" i="25"/>
  <c r="K731" i="25"/>
  <c r="L731" i="25"/>
  <c r="M731" i="25"/>
  <c r="N731" i="25"/>
  <c r="O731" i="25"/>
  <c r="H732" i="25"/>
  <c r="J732" i="25"/>
  <c r="K732" i="25"/>
  <c r="L732" i="25"/>
  <c r="M732" i="25"/>
  <c r="N732" i="25"/>
  <c r="O732" i="25"/>
  <c r="H733" i="25"/>
  <c r="J733" i="25"/>
  <c r="K733" i="25"/>
  <c r="L733" i="25"/>
  <c r="M733" i="25"/>
  <c r="N733" i="25"/>
  <c r="O733" i="25"/>
  <c r="H734" i="25"/>
  <c r="J734" i="25"/>
  <c r="K734" i="25"/>
  <c r="L734" i="25"/>
  <c r="M734" i="25"/>
  <c r="N734" i="25"/>
  <c r="O734" i="25"/>
  <c r="H735" i="25"/>
  <c r="J735" i="25"/>
  <c r="K735" i="25"/>
  <c r="L735" i="25"/>
  <c r="M735" i="25"/>
  <c r="N735" i="25"/>
  <c r="O735" i="25"/>
  <c r="H736" i="25"/>
  <c r="J736" i="25"/>
  <c r="K736" i="25"/>
  <c r="L736" i="25"/>
  <c r="M736" i="25"/>
  <c r="N736" i="25"/>
  <c r="O736" i="25"/>
  <c r="H737" i="25"/>
  <c r="J737" i="25"/>
  <c r="K737" i="25"/>
  <c r="L737" i="25"/>
  <c r="M737" i="25"/>
  <c r="N737" i="25"/>
  <c r="O737" i="25"/>
  <c r="H738" i="25"/>
  <c r="J738" i="25"/>
  <c r="K738" i="25"/>
  <c r="L738" i="25"/>
  <c r="M738" i="25"/>
  <c r="N738" i="25"/>
  <c r="O738" i="25"/>
  <c r="H739" i="25"/>
  <c r="J739" i="25"/>
  <c r="K739" i="25"/>
  <c r="L739" i="25"/>
  <c r="M739" i="25"/>
  <c r="N739" i="25"/>
  <c r="O739" i="25"/>
  <c r="H740" i="25"/>
  <c r="J740" i="25"/>
  <c r="K740" i="25"/>
  <c r="L740" i="25"/>
  <c r="M740" i="25"/>
  <c r="N740" i="25"/>
  <c r="O740" i="25"/>
  <c r="H741" i="25"/>
  <c r="J741" i="25"/>
  <c r="K741" i="25"/>
  <c r="L741" i="25"/>
  <c r="M741" i="25"/>
  <c r="N741" i="25"/>
  <c r="O741" i="25"/>
  <c r="H742" i="25"/>
  <c r="J742" i="25"/>
  <c r="K742" i="25"/>
  <c r="L742" i="25"/>
  <c r="M742" i="25"/>
  <c r="N742" i="25"/>
  <c r="O742" i="25"/>
  <c r="H743" i="25"/>
  <c r="J743" i="25"/>
  <c r="K743" i="25"/>
  <c r="L743" i="25"/>
  <c r="M743" i="25"/>
  <c r="N743" i="25"/>
  <c r="O743" i="25"/>
  <c r="H744" i="25"/>
  <c r="J744" i="25"/>
  <c r="K744" i="25"/>
  <c r="L744" i="25"/>
  <c r="M744" i="25"/>
  <c r="N744" i="25"/>
  <c r="O744" i="25"/>
  <c r="H745" i="25"/>
  <c r="J745" i="25"/>
  <c r="K745" i="25"/>
  <c r="L745" i="25"/>
  <c r="M745" i="25"/>
  <c r="N745" i="25"/>
  <c r="O745" i="25"/>
  <c r="H746" i="25"/>
  <c r="J746" i="25"/>
  <c r="K746" i="25"/>
  <c r="L746" i="25"/>
  <c r="M746" i="25"/>
  <c r="N746" i="25"/>
  <c r="O746" i="25"/>
  <c r="H747" i="25"/>
  <c r="J747" i="25"/>
  <c r="K747" i="25"/>
  <c r="L747" i="25"/>
  <c r="M747" i="25"/>
  <c r="N747" i="25"/>
  <c r="O747" i="25"/>
  <c r="H748" i="25"/>
  <c r="J748" i="25"/>
  <c r="K748" i="25"/>
  <c r="L748" i="25"/>
  <c r="M748" i="25"/>
  <c r="N748" i="25"/>
  <c r="O748" i="25"/>
  <c r="H749" i="25"/>
  <c r="J749" i="25"/>
  <c r="K749" i="25"/>
  <c r="L749" i="25"/>
  <c r="M749" i="25"/>
  <c r="N749" i="25"/>
  <c r="O749" i="25"/>
  <c r="H750" i="25"/>
  <c r="J750" i="25"/>
  <c r="K750" i="25"/>
  <c r="L750" i="25"/>
  <c r="M750" i="25"/>
  <c r="N750" i="25"/>
  <c r="O750" i="25"/>
  <c r="H751" i="25"/>
  <c r="J751" i="25"/>
  <c r="K751" i="25"/>
  <c r="L751" i="25"/>
  <c r="M751" i="25"/>
  <c r="N751" i="25"/>
  <c r="O751" i="25"/>
  <c r="H752" i="25"/>
  <c r="J752" i="25"/>
  <c r="K752" i="25"/>
  <c r="L752" i="25"/>
  <c r="M752" i="25"/>
  <c r="N752" i="25"/>
  <c r="O752" i="25"/>
  <c r="H753" i="25"/>
  <c r="J753" i="25"/>
  <c r="K753" i="25"/>
  <c r="L753" i="25"/>
  <c r="M753" i="25"/>
  <c r="N753" i="25"/>
  <c r="O753" i="25"/>
  <c r="H754" i="25"/>
  <c r="J754" i="25"/>
  <c r="K754" i="25"/>
  <c r="L754" i="25"/>
  <c r="M754" i="25"/>
  <c r="N754" i="25"/>
  <c r="O754" i="25"/>
  <c r="H755" i="25"/>
  <c r="J755" i="25"/>
  <c r="K755" i="25"/>
  <c r="L755" i="25"/>
  <c r="M755" i="25"/>
  <c r="N755" i="25"/>
  <c r="O755" i="25"/>
  <c r="H756" i="25"/>
  <c r="J756" i="25"/>
  <c r="K756" i="25"/>
  <c r="L756" i="25"/>
  <c r="M756" i="25"/>
  <c r="N756" i="25"/>
  <c r="O756" i="25"/>
  <c r="H757" i="25"/>
  <c r="J757" i="25"/>
  <c r="K757" i="25"/>
  <c r="L757" i="25"/>
  <c r="M757" i="25"/>
  <c r="N757" i="25"/>
  <c r="O757" i="25"/>
  <c r="H758" i="25"/>
  <c r="J758" i="25"/>
  <c r="K758" i="25"/>
  <c r="L758" i="25"/>
  <c r="M758" i="25"/>
  <c r="N758" i="25"/>
  <c r="O758" i="25"/>
  <c r="H759" i="25"/>
  <c r="J759" i="25"/>
  <c r="K759" i="25"/>
  <c r="L759" i="25"/>
  <c r="M759" i="25"/>
  <c r="N759" i="25"/>
  <c r="O759" i="25"/>
  <c r="H760" i="25"/>
  <c r="J760" i="25"/>
  <c r="K760" i="25"/>
  <c r="L760" i="25"/>
  <c r="M760" i="25"/>
  <c r="N760" i="25"/>
  <c r="O760" i="25"/>
  <c r="H761" i="25"/>
  <c r="J761" i="25"/>
  <c r="K761" i="25"/>
  <c r="L761" i="25"/>
  <c r="M761" i="25"/>
  <c r="N761" i="25"/>
  <c r="O761" i="25"/>
  <c r="H762" i="25"/>
  <c r="J762" i="25"/>
  <c r="K762" i="25"/>
  <c r="L762" i="25"/>
  <c r="M762" i="25"/>
  <c r="N762" i="25"/>
  <c r="O762" i="25"/>
  <c r="H763" i="25"/>
  <c r="J763" i="25"/>
  <c r="K763" i="25"/>
  <c r="L763" i="25"/>
  <c r="M763" i="25"/>
  <c r="N763" i="25"/>
  <c r="O763" i="25"/>
  <c r="H764" i="25"/>
  <c r="J764" i="25"/>
  <c r="K764" i="25"/>
  <c r="L764" i="25"/>
  <c r="M764" i="25"/>
  <c r="N764" i="25"/>
  <c r="O764" i="25"/>
  <c r="H765" i="25"/>
  <c r="J765" i="25"/>
  <c r="K765" i="25"/>
  <c r="L765" i="25"/>
  <c r="M765" i="25"/>
  <c r="N765" i="25"/>
  <c r="O765" i="25"/>
  <c r="H766" i="25"/>
  <c r="J766" i="25"/>
  <c r="K766" i="25"/>
  <c r="L766" i="25"/>
  <c r="M766" i="25"/>
  <c r="N766" i="25"/>
  <c r="O766" i="25"/>
  <c r="H767" i="25"/>
  <c r="J767" i="25"/>
  <c r="K767" i="25"/>
  <c r="L767" i="25"/>
  <c r="M767" i="25"/>
  <c r="N767" i="25"/>
  <c r="O767" i="25"/>
  <c r="H768" i="25"/>
  <c r="J768" i="25"/>
  <c r="K768" i="25"/>
  <c r="L768" i="25"/>
  <c r="M768" i="25"/>
  <c r="N768" i="25"/>
  <c r="O768" i="25"/>
  <c r="H769" i="25"/>
  <c r="J769" i="25"/>
  <c r="K769" i="25"/>
  <c r="L769" i="25"/>
  <c r="M769" i="25"/>
  <c r="N769" i="25"/>
  <c r="O769" i="25"/>
  <c r="H770" i="25"/>
  <c r="J770" i="25"/>
  <c r="K770" i="25"/>
  <c r="L770" i="25"/>
  <c r="M770" i="25"/>
  <c r="N770" i="25"/>
  <c r="O770" i="25"/>
  <c r="H771" i="25"/>
  <c r="J771" i="25"/>
  <c r="K771" i="25"/>
  <c r="L771" i="25"/>
  <c r="M771" i="25"/>
  <c r="N771" i="25"/>
  <c r="O771" i="25"/>
  <c r="H772" i="25"/>
  <c r="J772" i="25"/>
  <c r="K772" i="25"/>
  <c r="L772" i="25"/>
  <c r="M772" i="25"/>
  <c r="N772" i="25"/>
  <c r="O772" i="25"/>
  <c r="H773" i="25"/>
  <c r="J773" i="25"/>
  <c r="K773" i="25"/>
  <c r="L773" i="25"/>
  <c r="M773" i="25"/>
  <c r="N773" i="25"/>
  <c r="O773" i="25"/>
  <c r="H774" i="25"/>
  <c r="J774" i="25"/>
  <c r="K774" i="25"/>
  <c r="L774" i="25"/>
  <c r="M774" i="25"/>
  <c r="N774" i="25"/>
  <c r="O774" i="25"/>
  <c r="H775" i="25"/>
  <c r="J775" i="25"/>
  <c r="K775" i="25"/>
  <c r="L775" i="25"/>
  <c r="M775" i="25"/>
  <c r="N775" i="25"/>
  <c r="O775" i="25"/>
  <c r="H776" i="25"/>
  <c r="J776" i="25"/>
  <c r="K776" i="25"/>
  <c r="L776" i="25"/>
  <c r="M776" i="25"/>
  <c r="N776" i="25"/>
  <c r="O776" i="25"/>
  <c r="H777" i="25"/>
  <c r="J777" i="25"/>
  <c r="K777" i="25"/>
  <c r="L777" i="25"/>
  <c r="M777" i="25"/>
  <c r="N777" i="25"/>
  <c r="O777" i="25"/>
  <c r="H778" i="25"/>
  <c r="J778" i="25"/>
  <c r="K778" i="25"/>
  <c r="L778" i="25"/>
  <c r="M778" i="25"/>
  <c r="N778" i="25"/>
  <c r="O778" i="25"/>
  <c r="H779" i="25"/>
  <c r="J779" i="25"/>
  <c r="K779" i="25"/>
  <c r="L779" i="25"/>
  <c r="M779" i="25"/>
  <c r="N779" i="25"/>
  <c r="O779" i="25"/>
  <c r="H780" i="25"/>
  <c r="J780" i="25"/>
  <c r="K780" i="25"/>
  <c r="L780" i="25"/>
  <c r="M780" i="25"/>
  <c r="N780" i="25"/>
  <c r="O780" i="25"/>
  <c r="H781" i="25"/>
  <c r="J781" i="25"/>
  <c r="K781" i="25"/>
  <c r="L781" i="25"/>
  <c r="M781" i="25"/>
  <c r="N781" i="25"/>
  <c r="O781" i="25"/>
  <c r="H782" i="25"/>
  <c r="J782" i="25"/>
  <c r="K782" i="25"/>
  <c r="L782" i="25"/>
  <c r="M782" i="25"/>
  <c r="N782" i="25"/>
  <c r="O782" i="25"/>
  <c r="H783" i="25"/>
  <c r="J783" i="25"/>
  <c r="K783" i="25"/>
  <c r="L783" i="25"/>
  <c r="M783" i="25"/>
  <c r="N783" i="25"/>
  <c r="O783" i="25"/>
  <c r="H784" i="25"/>
  <c r="J784" i="25"/>
  <c r="K784" i="25"/>
  <c r="L784" i="25"/>
  <c r="M784" i="25"/>
  <c r="N784" i="25"/>
  <c r="O784" i="25"/>
  <c r="H785" i="25"/>
  <c r="J785" i="25"/>
  <c r="K785" i="25"/>
  <c r="L785" i="25"/>
  <c r="M785" i="25"/>
  <c r="N785" i="25"/>
  <c r="O785" i="25"/>
  <c r="H786" i="25"/>
  <c r="J786" i="25"/>
  <c r="K786" i="25"/>
  <c r="L786" i="25"/>
  <c r="M786" i="25"/>
  <c r="N786" i="25"/>
  <c r="O786" i="25"/>
  <c r="H787" i="25"/>
  <c r="J787" i="25"/>
  <c r="K787" i="25"/>
  <c r="L787" i="25"/>
  <c r="M787" i="25"/>
  <c r="N787" i="25"/>
  <c r="O787" i="25"/>
  <c r="H788" i="25"/>
  <c r="J788" i="25"/>
  <c r="K788" i="25"/>
  <c r="L788" i="25"/>
  <c r="M788" i="25"/>
  <c r="N788" i="25"/>
  <c r="O788" i="25"/>
  <c r="H789" i="25"/>
  <c r="J789" i="25"/>
  <c r="K789" i="25"/>
  <c r="L789" i="25"/>
  <c r="M789" i="25"/>
  <c r="N789" i="25"/>
  <c r="O789" i="25"/>
  <c r="H790" i="25"/>
  <c r="J790" i="25"/>
  <c r="K790" i="25"/>
  <c r="L790" i="25"/>
  <c r="M790" i="25"/>
  <c r="N790" i="25"/>
  <c r="O790" i="25"/>
  <c r="H791" i="25"/>
  <c r="J791" i="25"/>
  <c r="K791" i="25"/>
  <c r="L791" i="25"/>
  <c r="M791" i="25"/>
  <c r="N791" i="25"/>
  <c r="O791" i="25"/>
  <c r="H792" i="25"/>
  <c r="J792" i="25"/>
  <c r="K792" i="25"/>
  <c r="L792" i="25"/>
  <c r="M792" i="25"/>
  <c r="N792" i="25"/>
  <c r="O792" i="25"/>
  <c r="H793" i="25"/>
  <c r="J793" i="25"/>
  <c r="K793" i="25"/>
  <c r="L793" i="25"/>
  <c r="M793" i="25"/>
  <c r="N793" i="25"/>
  <c r="O793" i="25"/>
  <c r="H794" i="25"/>
  <c r="J794" i="25"/>
  <c r="K794" i="25"/>
  <c r="L794" i="25"/>
  <c r="M794" i="25"/>
  <c r="N794" i="25"/>
  <c r="O794" i="25"/>
  <c r="H795" i="25"/>
  <c r="J795" i="25"/>
  <c r="K795" i="25"/>
  <c r="L795" i="25"/>
  <c r="M795" i="25"/>
  <c r="N795" i="25"/>
  <c r="O795" i="25"/>
  <c r="H796" i="25"/>
  <c r="J796" i="25"/>
  <c r="K796" i="25"/>
  <c r="L796" i="25"/>
  <c r="M796" i="25"/>
  <c r="N796" i="25"/>
  <c r="O796" i="25"/>
  <c r="H797" i="25"/>
  <c r="J797" i="25"/>
  <c r="K797" i="25"/>
  <c r="L797" i="25"/>
  <c r="M797" i="25"/>
  <c r="N797" i="25"/>
  <c r="O797" i="25"/>
  <c r="H798" i="25"/>
  <c r="J798" i="25"/>
  <c r="K798" i="25"/>
  <c r="L798" i="25"/>
  <c r="M798" i="25"/>
  <c r="N798" i="25"/>
  <c r="O798" i="25"/>
  <c r="H799" i="25"/>
  <c r="J799" i="25"/>
  <c r="K799" i="25"/>
  <c r="L799" i="25"/>
  <c r="M799" i="25"/>
  <c r="N799" i="25"/>
  <c r="O799" i="25"/>
  <c r="H800" i="25"/>
  <c r="J800" i="25"/>
  <c r="K800" i="25"/>
  <c r="L800" i="25"/>
  <c r="M800" i="25"/>
  <c r="N800" i="25"/>
  <c r="O800" i="25"/>
  <c r="H801" i="25"/>
  <c r="J801" i="25"/>
  <c r="K801" i="25"/>
  <c r="L801" i="25"/>
  <c r="M801" i="25"/>
  <c r="N801" i="25"/>
  <c r="O801" i="25"/>
  <c r="H802" i="25"/>
  <c r="J802" i="25"/>
  <c r="K802" i="25"/>
  <c r="L802" i="25"/>
  <c r="M802" i="25"/>
  <c r="N802" i="25"/>
  <c r="O802" i="25"/>
  <c r="H803" i="25"/>
  <c r="J803" i="25"/>
  <c r="K803" i="25"/>
  <c r="L803" i="25"/>
  <c r="M803" i="25"/>
  <c r="N803" i="25"/>
  <c r="O803" i="25"/>
  <c r="H804" i="25"/>
  <c r="J804" i="25"/>
  <c r="K804" i="25"/>
  <c r="L804" i="25"/>
  <c r="M804" i="25"/>
  <c r="N804" i="25"/>
  <c r="O804" i="25"/>
  <c r="H805" i="25"/>
  <c r="J805" i="25"/>
  <c r="K805" i="25"/>
  <c r="L805" i="25"/>
  <c r="M805" i="25"/>
  <c r="N805" i="25"/>
  <c r="O805" i="25"/>
  <c r="H806" i="25"/>
  <c r="J806" i="25"/>
  <c r="K806" i="25"/>
  <c r="L806" i="25"/>
  <c r="M806" i="25"/>
  <c r="N806" i="25"/>
  <c r="O806" i="25"/>
  <c r="H807" i="25"/>
  <c r="J807" i="25"/>
  <c r="K807" i="25"/>
  <c r="L807" i="25"/>
  <c r="M807" i="25"/>
  <c r="N807" i="25"/>
  <c r="O807" i="25"/>
  <c r="H808" i="25"/>
  <c r="J808" i="25"/>
  <c r="K808" i="25"/>
  <c r="L808" i="25"/>
  <c r="M808" i="25"/>
  <c r="N808" i="25"/>
  <c r="O808" i="25"/>
  <c r="H809" i="25"/>
  <c r="J809" i="25"/>
  <c r="K809" i="25"/>
  <c r="L809" i="25"/>
  <c r="M809" i="25"/>
  <c r="N809" i="25"/>
  <c r="O809" i="25"/>
  <c r="H810" i="25"/>
  <c r="J810" i="25"/>
  <c r="K810" i="25"/>
  <c r="L810" i="25"/>
  <c r="M810" i="25"/>
  <c r="N810" i="25"/>
  <c r="O810" i="25"/>
  <c r="H811" i="25"/>
  <c r="J811" i="25"/>
  <c r="K811" i="25"/>
  <c r="L811" i="25"/>
  <c r="M811" i="25"/>
  <c r="N811" i="25"/>
  <c r="O811" i="25"/>
  <c r="H812" i="25"/>
  <c r="J812" i="25"/>
  <c r="K812" i="25"/>
  <c r="L812" i="25"/>
  <c r="M812" i="25"/>
  <c r="N812" i="25"/>
  <c r="O812" i="25"/>
  <c r="H813" i="25"/>
  <c r="J813" i="25"/>
  <c r="K813" i="25"/>
  <c r="L813" i="25"/>
  <c r="M813" i="25"/>
  <c r="N813" i="25"/>
  <c r="O813" i="25"/>
  <c r="H814" i="25"/>
  <c r="J814" i="25"/>
  <c r="K814" i="25"/>
  <c r="L814" i="25"/>
  <c r="M814" i="25"/>
  <c r="N814" i="25"/>
  <c r="O814" i="25"/>
  <c r="H815" i="25"/>
  <c r="J815" i="25"/>
  <c r="K815" i="25"/>
  <c r="L815" i="25"/>
  <c r="M815" i="25"/>
  <c r="N815" i="25"/>
  <c r="O815" i="25"/>
  <c r="H816" i="25"/>
  <c r="J816" i="25"/>
  <c r="K816" i="25"/>
  <c r="L816" i="25"/>
  <c r="M816" i="25"/>
  <c r="N816" i="25"/>
  <c r="O816" i="25"/>
  <c r="H817" i="25"/>
  <c r="J817" i="25"/>
  <c r="K817" i="25"/>
  <c r="L817" i="25"/>
  <c r="M817" i="25"/>
  <c r="N817" i="25"/>
  <c r="O817" i="25"/>
  <c r="H818" i="25"/>
  <c r="J818" i="25"/>
  <c r="K818" i="25"/>
  <c r="L818" i="25"/>
  <c r="M818" i="25"/>
  <c r="N818" i="25"/>
  <c r="O818" i="25"/>
  <c r="H819" i="25"/>
  <c r="J819" i="25"/>
  <c r="K819" i="25"/>
  <c r="L819" i="25"/>
  <c r="M819" i="25"/>
  <c r="N819" i="25"/>
  <c r="O819" i="25"/>
  <c r="H820" i="25"/>
  <c r="J820" i="25"/>
  <c r="K820" i="25"/>
  <c r="L820" i="25"/>
  <c r="M820" i="25"/>
  <c r="N820" i="25"/>
  <c r="O820" i="25"/>
  <c r="H821" i="25"/>
  <c r="J821" i="25"/>
  <c r="K821" i="25"/>
  <c r="L821" i="25"/>
  <c r="M821" i="25"/>
  <c r="N821" i="25"/>
  <c r="O821" i="25"/>
  <c r="H822" i="25"/>
  <c r="J822" i="25"/>
  <c r="K822" i="25"/>
  <c r="L822" i="25"/>
  <c r="M822" i="25"/>
  <c r="N822" i="25"/>
  <c r="O822" i="25"/>
  <c r="H823" i="25"/>
  <c r="J823" i="25"/>
  <c r="K823" i="25"/>
  <c r="L823" i="25"/>
  <c r="M823" i="25"/>
  <c r="N823" i="25"/>
  <c r="O823" i="25"/>
  <c r="H824" i="25"/>
  <c r="J824" i="25"/>
  <c r="K824" i="25"/>
  <c r="L824" i="25"/>
  <c r="M824" i="25"/>
  <c r="N824" i="25"/>
  <c r="O824" i="25"/>
  <c r="H825" i="25"/>
  <c r="J825" i="25"/>
  <c r="K825" i="25"/>
  <c r="L825" i="25"/>
  <c r="M825" i="25"/>
  <c r="N825" i="25"/>
  <c r="O825" i="25"/>
  <c r="H826" i="25"/>
  <c r="J826" i="25"/>
  <c r="K826" i="25"/>
  <c r="L826" i="25"/>
  <c r="M826" i="25"/>
  <c r="N826" i="25"/>
  <c r="O826" i="25"/>
  <c r="H827" i="25"/>
  <c r="J827" i="25"/>
  <c r="K827" i="25"/>
  <c r="L827" i="25"/>
  <c r="M827" i="25"/>
  <c r="N827" i="25"/>
  <c r="O827" i="25"/>
  <c r="H828" i="25"/>
  <c r="J828" i="25"/>
  <c r="K828" i="25"/>
  <c r="L828" i="25"/>
  <c r="M828" i="25"/>
  <c r="N828" i="25"/>
  <c r="O828" i="25"/>
  <c r="H829" i="25"/>
  <c r="J829" i="25"/>
  <c r="K829" i="25"/>
  <c r="L829" i="25"/>
  <c r="M829" i="25"/>
  <c r="N829" i="25"/>
  <c r="O829" i="25"/>
  <c r="H830" i="25"/>
  <c r="J830" i="25"/>
  <c r="K830" i="25"/>
  <c r="L830" i="25"/>
  <c r="M830" i="25"/>
  <c r="N830" i="25"/>
  <c r="O830" i="25"/>
  <c r="H831" i="25"/>
  <c r="J831" i="25"/>
  <c r="K831" i="25"/>
  <c r="L831" i="25"/>
  <c r="M831" i="25"/>
  <c r="N831" i="25"/>
  <c r="O831" i="25"/>
  <c r="H832" i="25"/>
  <c r="J832" i="25"/>
  <c r="K832" i="25"/>
  <c r="L832" i="25"/>
  <c r="M832" i="25"/>
  <c r="N832" i="25"/>
  <c r="O832" i="25"/>
  <c r="H833" i="25"/>
  <c r="J833" i="25"/>
  <c r="K833" i="25"/>
  <c r="L833" i="25"/>
  <c r="M833" i="25"/>
  <c r="N833" i="25"/>
  <c r="O833" i="25"/>
  <c r="H834" i="25"/>
  <c r="J834" i="25"/>
  <c r="K834" i="25"/>
  <c r="L834" i="25"/>
  <c r="M834" i="25"/>
  <c r="N834" i="25"/>
  <c r="O834" i="25"/>
  <c r="H835" i="25"/>
  <c r="J835" i="25"/>
  <c r="K835" i="25"/>
  <c r="L835" i="25"/>
  <c r="M835" i="25"/>
  <c r="N835" i="25"/>
  <c r="O835" i="25"/>
  <c r="H836" i="25"/>
  <c r="J836" i="25"/>
  <c r="K836" i="25"/>
  <c r="L836" i="25"/>
  <c r="M836" i="25"/>
  <c r="N836" i="25"/>
  <c r="O836" i="25"/>
  <c r="H837" i="25"/>
  <c r="J837" i="25"/>
  <c r="K837" i="25"/>
  <c r="L837" i="25"/>
  <c r="M837" i="25"/>
  <c r="N837" i="25"/>
  <c r="O837" i="25"/>
  <c r="H838" i="25"/>
  <c r="J838" i="25"/>
  <c r="K838" i="25"/>
  <c r="L838" i="25"/>
  <c r="M838" i="25"/>
  <c r="N838" i="25"/>
  <c r="O838" i="25"/>
  <c r="H839" i="25"/>
  <c r="J839" i="25"/>
  <c r="K839" i="25"/>
  <c r="L839" i="25"/>
  <c r="M839" i="25"/>
  <c r="N839" i="25"/>
  <c r="O839" i="25"/>
  <c r="H840" i="25"/>
  <c r="J840" i="25"/>
  <c r="K840" i="25"/>
  <c r="L840" i="25"/>
  <c r="M840" i="25"/>
  <c r="N840" i="25"/>
  <c r="O840" i="25"/>
  <c r="H841" i="25"/>
  <c r="J841" i="25"/>
  <c r="K841" i="25"/>
  <c r="L841" i="25"/>
  <c r="M841" i="25"/>
  <c r="N841" i="25"/>
  <c r="O841" i="25"/>
  <c r="H842" i="25"/>
  <c r="J842" i="25"/>
  <c r="K842" i="25"/>
  <c r="L842" i="25"/>
  <c r="M842" i="25"/>
  <c r="N842" i="25"/>
  <c r="O842" i="25"/>
  <c r="H843" i="25"/>
  <c r="J843" i="25"/>
  <c r="K843" i="25"/>
  <c r="L843" i="25"/>
  <c r="M843" i="25"/>
  <c r="N843" i="25"/>
  <c r="O843" i="25"/>
  <c r="H844" i="25"/>
  <c r="J844" i="25"/>
  <c r="K844" i="25"/>
  <c r="L844" i="25"/>
  <c r="M844" i="25"/>
  <c r="N844" i="25"/>
  <c r="O844" i="25"/>
  <c r="H845" i="25"/>
  <c r="J845" i="25"/>
  <c r="K845" i="25"/>
  <c r="L845" i="25"/>
  <c r="M845" i="25"/>
  <c r="N845" i="25"/>
  <c r="O845" i="25"/>
  <c r="H846" i="25"/>
  <c r="J846" i="25"/>
  <c r="K846" i="25"/>
  <c r="L846" i="25"/>
  <c r="M846" i="25"/>
  <c r="N846" i="25"/>
  <c r="O846" i="25"/>
  <c r="H847" i="25"/>
  <c r="J847" i="25"/>
  <c r="K847" i="25"/>
  <c r="L847" i="25"/>
  <c r="M847" i="25"/>
  <c r="N847" i="25"/>
  <c r="O847" i="25"/>
  <c r="H848" i="25"/>
  <c r="J848" i="25"/>
  <c r="K848" i="25"/>
  <c r="L848" i="25"/>
  <c r="M848" i="25"/>
  <c r="N848" i="25"/>
  <c r="O848" i="25"/>
  <c r="H849" i="25"/>
  <c r="J849" i="25"/>
  <c r="K849" i="25"/>
  <c r="L849" i="25"/>
  <c r="M849" i="25"/>
  <c r="N849" i="25"/>
  <c r="O849" i="25"/>
  <c r="H850" i="25"/>
  <c r="J850" i="25"/>
  <c r="K850" i="25"/>
  <c r="L850" i="25"/>
  <c r="M850" i="25"/>
  <c r="N850" i="25"/>
  <c r="O850" i="25"/>
  <c r="H851" i="25"/>
  <c r="J851" i="25"/>
  <c r="K851" i="25"/>
  <c r="L851" i="25"/>
  <c r="M851" i="25"/>
  <c r="N851" i="25"/>
  <c r="O851" i="25"/>
  <c r="H852" i="25"/>
  <c r="J852" i="25"/>
  <c r="K852" i="25"/>
  <c r="L852" i="25"/>
  <c r="M852" i="25"/>
  <c r="N852" i="25"/>
  <c r="O852" i="25"/>
  <c r="H853" i="25"/>
  <c r="J853" i="25"/>
  <c r="K853" i="25"/>
  <c r="L853" i="25"/>
  <c r="M853" i="25"/>
  <c r="N853" i="25"/>
  <c r="O853" i="25"/>
  <c r="H854" i="25"/>
  <c r="J854" i="25"/>
  <c r="K854" i="25"/>
  <c r="L854" i="25"/>
  <c r="M854" i="25"/>
  <c r="N854" i="25"/>
  <c r="O854" i="25"/>
  <c r="H855" i="25"/>
  <c r="J855" i="25"/>
  <c r="K855" i="25"/>
  <c r="L855" i="25"/>
  <c r="M855" i="25"/>
  <c r="N855" i="25"/>
  <c r="O855" i="25"/>
  <c r="H856" i="25"/>
  <c r="J856" i="25"/>
  <c r="K856" i="25"/>
  <c r="L856" i="25"/>
  <c r="M856" i="25"/>
  <c r="N856" i="25"/>
  <c r="O856" i="25"/>
  <c r="H857" i="25"/>
  <c r="J857" i="25"/>
  <c r="K857" i="25"/>
  <c r="L857" i="25"/>
  <c r="M857" i="25"/>
  <c r="N857" i="25"/>
  <c r="O857" i="25"/>
  <c r="H858" i="25"/>
  <c r="J858" i="25"/>
  <c r="K858" i="25"/>
  <c r="L858" i="25"/>
  <c r="M858" i="25"/>
  <c r="N858" i="25"/>
  <c r="O858" i="25"/>
  <c r="H859" i="25"/>
  <c r="J859" i="25"/>
  <c r="K859" i="25"/>
  <c r="L859" i="25"/>
  <c r="M859" i="25"/>
  <c r="N859" i="25"/>
  <c r="O859" i="25"/>
  <c r="H860" i="25"/>
  <c r="J860" i="25"/>
  <c r="K860" i="25"/>
  <c r="L860" i="25"/>
  <c r="M860" i="25"/>
  <c r="N860" i="25"/>
  <c r="O860" i="25"/>
  <c r="H861" i="25"/>
  <c r="J861" i="25"/>
  <c r="K861" i="25"/>
  <c r="L861" i="25"/>
  <c r="M861" i="25"/>
  <c r="N861" i="25"/>
  <c r="O861" i="25"/>
  <c r="H862" i="25"/>
  <c r="J862" i="25"/>
  <c r="K862" i="25"/>
  <c r="L862" i="25"/>
  <c r="M862" i="25"/>
  <c r="N862" i="25"/>
  <c r="O862" i="25"/>
  <c r="H863" i="25"/>
  <c r="J863" i="25"/>
  <c r="K863" i="25"/>
  <c r="L863" i="25"/>
  <c r="M863" i="25"/>
  <c r="N863" i="25"/>
  <c r="O863" i="25"/>
  <c r="H864" i="25"/>
  <c r="J864" i="25"/>
  <c r="K864" i="25"/>
  <c r="L864" i="25"/>
  <c r="M864" i="25"/>
  <c r="N864" i="25"/>
  <c r="O864" i="25"/>
  <c r="H865" i="25"/>
  <c r="J865" i="25"/>
  <c r="K865" i="25"/>
  <c r="L865" i="25"/>
  <c r="M865" i="25"/>
  <c r="N865" i="25"/>
  <c r="O865" i="25"/>
  <c r="H866" i="25"/>
  <c r="J866" i="25"/>
  <c r="K866" i="25"/>
  <c r="L866" i="25"/>
  <c r="M866" i="25"/>
  <c r="N866" i="25"/>
  <c r="O866" i="25"/>
  <c r="H867" i="25"/>
  <c r="J867" i="25"/>
  <c r="K867" i="25"/>
  <c r="L867" i="25"/>
  <c r="M867" i="25"/>
  <c r="N867" i="25"/>
  <c r="O867" i="25"/>
  <c r="H868" i="25"/>
  <c r="J868" i="25"/>
  <c r="K868" i="25"/>
  <c r="L868" i="25"/>
  <c r="M868" i="25"/>
  <c r="N868" i="25"/>
  <c r="O868" i="25"/>
  <c r="H869" i="25"/>
  <c r="J869" i="25"/>
  <c r="K869" i="25"/>
  <c r="L869" i="25"/>
  <c r="M869" i="25"/>
  <c r="N869" i="25"/>
  <c r="O869" i="25"/>
  <c r="H870" i="25"/>
  <c r="J870" i="25"/>
  <c r="K870" i="25"/>
  <c r="L870" i="25"/>
  <c r="M870" i="25"/>
  <c r="N870" i="25"/>
  <c r="O870" i="25"/>
  <c r="H871" i="25"/>
  <c r="J871" i="25"/>
  <c r="K871" i="25"/>
  <c r="L871" i="25"/>
  <c r="M871" i="25"/>
  <c r="N871" i="25"/>
  <c r="O871" i="25"/>
  <c r="H872" i="25"/>
  <c r="J872" i="25"/>
  <c r="K872" i="25"/>
  <c r="L872" i="25"/>
  <c r="M872" i="25"/>
  <c r="N872" i="25"/>
  <c r="O872" i="25"/>
  <c r="H873" i="25"/>
  <c r="J873" i="25"/>
  <c r="K873" i="25"/>
  <c r="L873" i="25"/>
  <c r="M873" i="25"/>
  <c r="N873" i="25"/>
  <c r="O873" i="25"/>
  <c r="H874" i="25"/>
  <c r="J874" i="25"/>
  <c r="K874" i="25"/>
  <c r="L874" i="25"/>
  <c r="M874" i="25"/>
  <c r="N874" i="25"/>
  <c r="O874" i="25"/>
  <c r="H875" i="25"/>
  <c r="J875" i="25"/>
  <c r="K875" i="25"/>
  <c r="L875" i="25"/>
  <c r="M875" i="25"/>
  <c r="N875" i="25"/>
  <c r="O875" i="25"/>
  <c r="H876" i="25"/>
  <c r="J876" i="25"/>
  <c r="K876" i="25"/>
  <c r="L876" i="25"/>
  <c r="M876" i="25"/>
  <c r="N876" i="25"/>
  <c r="O876" i="25"/>
  <c r="H877" i="25"/>
  <c r="J877" i="25"/>
  <c r="K877" i="25"/>
  <c r="L877" i="25"/>
  <c r="M877" i="25"/>
  <c r="N877" i="25"/>
  <c r="O877" i="25"/>
  <c r="H878" i="25"/>
  <c r="J878" i="25"/>
  <c r="K878" i="25"/>
  <c r="L878" i="25"/>
  <c r="M878" i="25"/>
  <c r="N878" i="25"/>
  <c r="O878" i="25"/>
  <c r="H879" i="25"/>
  <c r="J879" i="25"/>
  <c r="K879" i="25"/>
  <c r="L879" i="25"/>
  <c r="M879" i="25"/>
  <c r="N879" i="25"/>
  <c r="O879" i="25"/>
  <c r="H880" i="25"/>
  <c r="J880" i="25"/>
  <c r="K880" i="25"/>
  <c r="L880" i="25"/>
  <c r="M880" i="25"/>
  <c r="N880" i="25"/>
  <c r="O880" i="25"/>
  <c r="H881" i="25"/>
  <c r="J881" i="25"/>
  <c r="K881" i="25"/>
  <c r="L881" i="25"/>
  <c r="M881" i="25"/>
  <c r="N881" i="25"/>
  <c r="O881" i="25"/>
  <c r="H882" i="25"/>
  <c r="J882" i="25"/>
  <c r="K882" i="25"/>
  <c r="L882" i="25"/>
  <c r="M882" i="25"/>
  <c r="N882" i="25"/>
  <c r="O882" i="25"/>
  <c r="H883" i="25"/>
  <c r="J883" i="25"/>
  <c r="K883" i="25"/>
  <c r="L883" i="25"/>
  <c r="M883" i="25"/>
  <c r="N883" i="25"/>
  <c r="O883" i="25"/>
  <c r="H884" i="25"/>
  <c r="J884" i="25"/>
  <c r="K884" i="25"/>
  <c r="L884" i="25"/>
  <c r="M884" i="25"/>
  <c r="N884" i="25"/>
  <c r="O884" i="25"/>
  <c r="H885" i="25"/>
  <c r="J885" i="25"/>
  <c r="K885" i="25"/>
  <c r="L885" i="25"/>
  <c r="M885" i="25"/>
  <c r="N885" i="25"/>
  <c r="O885" i="25"/>
  <c r="H886" i="25"/>
  <c r="J886" i="25"/>
  <c r="K886" i="25"/>
  <c r="L886" i="25"/>
  <c r="M886" i="25"/>
  <c r="N886" i="25"/>
  <c r="O886" i="25"/>
  <c r="H887" i="25"/>
  <c r="J887" i="25"/>
  <c r="K887" i="25"/>
  <c r="L887" i="25"/>
  <c r="M887" i="25"/>
  <c r="N887" i="25"/>
  <c r="O887" i="25"/>
  <c r="H888" i="25"/>
  <c r="J888" i="25"/>
  <c r="K888" i="25"/>
  <c r="L888" i="25"/>
  <c r="M888" i="25"/>
  <c r="N888" i="25"/>
  <c r="O888" i="25"/>
  <c r="H889" i="25"/>
  <c r="J889" i="25"/>
  <c r="K889" i="25"/>
  <c r="L889" i="25"/>
  <c r="M889" i="25"/>
  <c r="N889" i="25"/>
  <c r="O889" i="25"/>
  <c r="H890" i="25"/>
  <c r="J890" i="25"/>
  <c r="K890" i="25"/>
  <c r="L890" i="25"/>
  <c r="M890" i="25"/>
  <c r="N890" i="25"/>
  <c r="O890" i="25"/>
  <c r="H891" i="25"/>
  <c r="J891" i="25"/>
  <c r="K891" i="25"/>
  <c r="L891" i="25"/>
  <c r="M891" i="25"/>
  <c r="N891" i="25"/>
  <c r="O891" i="25"/>
  <c r="H892" i="25"/>
  <c r="J892" i="25"/>
  <c r="K892" i="25"/>
  <c r="L892" i="25"/>
  <c r="M892" i="25"/>
  <c r="N892" i="25"/>
  <c r="O892" i="25"/>
  <c r="H893" i="25"/>
  <c r="J893" i="25"/>
  <c r="K893" i="25"/>
  <c r="L893" i="25"/>
  <c r="M893" i="25"/>
  <c r="N893" i="25"/>
  <c r="O893" i="25"/>
  <c r="H506" i="25"/>
  <c r="J506" i="25"/>
  <c r="K506" i="25"/>
  <c r="L506" i="25"/>
  <c r="M506" i="25"/>
  <c r="N506" i="25"/>
  <c r="O506" i="25"/>
  <c r="H507" i="25"/>
  <c r="J507" i="25"/>
  <c r="K507" i="25"/>
  <c r="L507" i="25"/>
  <c r="M507" i="25"/>
  <c r="N507" i="25"/>
  <c r="O507" i="25"/>
  <c r="H508" i="25"/>
  <c r="J508" i="25"/>
  <c r="K508" i="25"/>
  <c r="L508" i="25"/>
  <c r="M508" i="25"/>
  <c r="N508" i="25"/>
  <c r="O508" i="25"/>
  <c r="H509" i="25"/>
  <c r="J509" i="25"/>
  <c r="K509" i="25"/>
  <c r="L509" i="25"/>
  <c r="M509" i="25"/>
  <c r="N509" i="25"/>
  <c r="O509" i="25"/>
  <c r="H510" i="25"/>
  <c r="J510" i="25"/>
  <c r="K510" i="25"/>
  <c r="L510" i="25"/>
  <c r="M510" i="25"/>
  <c r="N510" i="25"/>
  <c r="O510" i="25"/>
  <c r="H511" i="25"/>
  <c r="J511" i="25"/>
  <c r="K511" i="25"/>
  <c r="L511" i="25"/>
  <c r="M511" i="25"/>
  <c r="N511" i="25"/>
  <c r="O511" i="25"/>
  <c r="H512" i="25"/>
  <c r="J512" i="25"/>
  <c r="K512" i="25"/>
  <c r="L512" i="25"/>
  <c r="M512" i="25"/>
  <c r="N512" i="25"/>
  <c r="O512" i="25"/>
  <c r="H513" i="25"/>
  <c r="J513" i="25"/>
  <c r="K513" i="25"/>
  <c r="L513" i="25"/>
  <c r="M513" i="25"/>
  <c r="N513" i="25"/>
  <c r="O513" i="25"/>
  <c r="H514" i="25"/>
  <c r="J514" i="25"/>
  <c r="K514" i="25"/>
  <c r="L514" i="25"/>
  <c r="M514" i="25"/>
  <c r="N514" i="25"/>
  <c r="O514" i="25"/>
  <c r="H515" i="25"/>
  <c r="J515" i="25"/>
  <c r="K515" i="25"/>
  <c r="L515" i="25"/>
  <c r="M515" i="25"/>
  <c r="N515" i="25"/>
  <c r="O515" i="25"/>
  <c r="H516" i="25"/>
  <c r="J516" i="25"/>
  <c r="K516" i="25"/>
  <c r="L516" i="25"/>
  <c r="M516" i="25"/>
  <c r="N516" i="25"/>
  <c r="O516" i="25"/>
  <c r="H517" i="25"/>
  <c r="J517" i="25"/>
  <c r="K517" i="25"/>
  <c r="L517" i="25"/>
  <c r="M517" i="25"/>
  <c r="N517" i="25"/>
  <c r="O517" i="25"/>
  <c r="H518" i="25"/>
  <c r="J518" i="25"/>
  <c r="K518" i="25"/>
  <c r="L518" i="25"/>
  <c r="M518" i="25"/>
  <c r="N518" i="25"/>
  <c r="O518" i="25"/>
  <c r="H519" i="25"/>
  <c r="J519" i="25"/>
  <c r="K519" i="25"/>
  <c r="L519" i="25"/>
  <c r="M519" i="25"/>
  <c r="N519" i="25"/>
  <c r="O519" i="25"/>
  <c r="H520" i="25"/>
  <c r="J520" i="25"/>
  <c r="K520" i="25"/>
  <c r="L520" i="25"/>
  <c r="M520" i="25"/>
  <c r="N520" i="25"/>
  <c r="O520" i="25"/>
  <c r="H521" i="25"/>
  <c r="J521" i="25"/>
  <c r="K521" i="25"/>
  <c r="L521" i="25"/>
  <c r="M521" i="25"/>
  <c r="N521" i="25"/>
  <c r="O521" i="25"/>
  <c r="H522" i="25"/>
  <c r="J522" i="25"/>
  <c r="K522" i="25"/>
  <c r="L522" i="25"/>
  <c r="M522" i="25"/>
  <c r="N522" i="25"/>
  <c r="O522" i="25"/>
  <c r="H523" i="25"/>
  <c r="J523" i="25"/>
  <c r="K523" i="25"/>
  <c r="L523" i="25"/>
  <c r="M523" i="25"/>
  <c r="N523" i="25"/>
  <c r="O523" i="25"/>
  <c r="H524" i="25"/>
  <c r="J524" i="25"/>
  <c r="K524" i="25"/>
  <c r="L524" i="25"/>
  <c r="M524" i="25"/>
  <c r="N524" i="25"/>
  <c r="O524" i="25"/>
  <c r="H525" i="25"/>
  <c r="J525" i="25"/>
  <c r="K525" i="25"/>
  <c r="L525" i="25"/>
  <c r="M525" i="25"/>
  <c r="N525" i="25"/>
  <c r="O525" i="25"/>
  <c r="H526" i="25"/>
  <c r="J526" i="25"/>
  <c r="K526" i="25"/>
  <c r="L526" i="25"/>
  <c r="M526" i="25"/>
  <c r="N526" i="25"/>
  <c r="O526" i="25"/>
  <c r="H527" i="25"/>
  <c r="J527" i="25"/>
  <c r="K527" i="25"/>
  <c r="L527" i="25"/>
  <c r="M527" i="25"/>
  <c r="N527" i="25"/>
  <c r="O527" i="25"/>
  <c r="H528" i="25"/>
  <c r="J528" i="25"/>
  <c r="K528" i="25"/>
  <c r="L528" i="25"/>
  <c r="M528" i="25"/>
  <c r="N528" i="25"/>
  <c r="O528" i="25"/>
  <c r="H529" i="25"/>
  <c r="J529" i="25"/>
  <c r="K529" i="25"/>
  <c r="L529" i="25"/>
  <c r="M529" i="25"/>
  <c r="N529" i="25"/>
  <c r="O529" i="25"/>
  <c r="H530" i="25"/>
  <c r="J530" i="25"/>
  <c r="K530" i="25"/>
  <c r="L530" i="25"/>
  <c r="M530" i="25"/>
  <c r="N530" i="25"/>
  <c r="O530" i="25"/>
  <c r="H531" i="25"/>
  <c r="J531" i="25"/>
  <c r="K531" i="25"/>
  <c r="L531" i="25"/>
  <c r="M531" i="25"/>
  <c r="N531" i="25"/>
  <c r="O531" i="25"/>
  <c r="H532" i="25"/>
  <c r="J532" i="25"/>
  <c r="K532" i="25"/>
  <c r="L532" i="25"/>
  <c r="M532" i="25"/>
  <c r="N532" i="25"/>
  <c r="O532" i="25"/>
  <c r="H533" i="25"/>
  <c r="J533" i="25"/>
  <c r="K533" i="25"/>
  <c r="L533" i="25"/>
  <c r="M533" i="25"/>
  <c r="N533" i="25"/>
  <c r="O533" i="25"/>
  <c r="H534" i="25"/>
  <c r="J534" i="25"/>
  <c r="K534" i="25"/>
  <c r="L534" i="25"/>
  <c r="M534" i="25"/>
  <c r="N534" i="25"/>
  <c r="O534" i="25"/>
  <c r="H535" i="25"/>
  <c r="J535" i="25"/>
  <c r="K535" i="25"/>
  <c r="L535" i="25"/>
  <c r="M535" i="25"/>
  <c r="N535" i="25"/>
  <c r="O535" i="25"/>
  <c r="H536" i="25"/>
  <c r="J536" i="25"/>
  <c r="K536" i="25"/>
  <c r="L536" i="25"/>
  <c r="M536" i="25"/>
  <c r="N536" i="25"/>
  <c r="O536" i="25"/>
  <c r="H537" i="25"/>
  <c r="J537" i="25"/>
  <c r="K537" i="25"/>
  <c r="L537" i="25"/>
  <c r="M537" i="25"/>
  <c r="N537" i="25"/>
  <c r="O537" i="25"/>
  <c r="H538" i="25"/>
  <c r="J538" i="25"/>
  <c r="K538" i="25"/>
  <c r="L538" i="25"/>
  <c r="M538" i="25"/>
  <c r="N538" i="25"/>
  <c r="O538" i="25"/>
  <c r="H539" i="25"/>
  <c r="J539" i="25"/>
  <c r="K539" i="25"/>
  <c r="L539" i="25"/>
  <c r="M539" i="25"/>
  <c r="N539" i="25"/>
  <c r="O539" i="25"/>
  <c r="H540" i="25"/>
  <c r="J540" i="25"/>
  <c r="K540" i="25"/>
  <c r="L540" i="25"/>
  <c r="M540" i="25"/>
  <c r="N540" i="25"/>
  <c r="O540" i="25"/>
  <c r="H541" i="25"/>
  <c r="J541" i="25"/>
  <c r="K541" i="25"/>
  <c r="L541" i="25"/>
  <c r="M541" i="25"/>
  <c r="N541" i="25"/>
  <c r="O541" i="25"/>
  <c r="H542" i="25"/>
  <c r="J542" i="25"/>
  <c r="K542" i="25"/>
  <c r="L542" i="25"/>
  <c r="M542" i="25"/>
  <c r="N542" i="25"/>
  <c r="O542" i="25"/>
  <c r="H543" i="25"/>
  <c r="J543" i="25"/>
  <c r="K543" i="25"/>
  <c r="L543" i="25"/>
  <c r="M543" i="25"/>
  <c r="N543" i="25"/>
  <c r="O543" i="25"/>
  <c r="H544" i="25"/>
  <c r="J544" i="25"/>
  <c r="K544" i="25"/>
  <c r="L544" i="25"/>
  <c r="M544" i="25"/>
  <c r="N544" i="25"/>
  <c r="O544" i="25"/>
  <c r="H545" i="25"/>
  <c r="J545" i="25"/>
  <c r="K545" i="25"/>
  <c r="L545" i="25"/>
  <c r="M545" i="25"/>
  <c r="N545" i="25"/>
  <c r="O545" i="25"/>
  <c r="H546" i="25"/>
  <c r="J546" i="25"/>
  <c r="K546" i="25"/>
  <c r="L546" i="25"/>
  <c r="M546" i="25"/>
  <c r="N546" i="25"/>
  <c r="O546" i="25"/>
  <c r="H547" i="25"/>
  <c r="J547" i="25"/>
  <c r="K547" i="25"/>
  <c r="L547" i="25"/>
  <c r="M547" i="25"/>
  <c r="N547" i="25"/>
  <c r="O547" i="25"/>
  <c r="H548" i="25"/>
  <c r="J548" i="25"/>
  <c r="K548" i="25"/>
  <c r="L548" i="25"/>
  <c r="M548" i="25"/>
  <c r="N548" i="25"/>
  <c r="O548" i="25"/>
  <c r="H549" i="25"/>
  <c r="J549" i="25"/>
  <c r="K549" i="25"/>
  <c r="L549" i="25"/>
  <c r="M549" i="25"/>
  <c r="N549" i="25"/>
  <c r="O549" i="25"/>
  <c r="H550" i="25"/>
  <c r="J550" i="25"/>
  <c r="K550" i="25"/>
  <c r="L550" i="25"/>
  <c r="M550" i="25"/>
  <c r="N550" i="25"/>
  <c r="O550" i="25"/>
  <c r="H551" i="25"/>
  <c r="J551" i="25"/>
  <c r="K551" i="25"/>
  <c r="L551" i="25"/>
  <c r="M551" i="25"/>
  <c r="N551" i="25"/>
  <c r="O551" i="25"/>
  <c r="H552" i="25"/>
  <c r="J552" i="25"/>
  <c r="K552" i="25"/>
  <c r="L552" i="25"/>
  <c r="M552" i="25"/>
  <c r="N552" i="25"/>
  <c r="O552" i="25"/>
  <c r="H553" i="25"/>
  <c r="J553" i="25"/>
  <c r="K553" i="25"/>
  <c r="L553" i="25"/>
  <c r="M553" i="25"/>
  <c r="N553" i="25"/>
  <c r="O553" i="25"/>
  <c r="H554" i="25"/>
  <c r="J554" i="25"/>
  <c r="K554" i="25"/>
  <c r="L554" i="25"/>
  <c r="M554" i="25"/>
  <c r="N554" i="25"/>
  <c r="O554" i="25"/>
  <c r="H555" i="25"/>
  <c r="J555" i="25"/>
  <c r="K555" i="25"/>
  <c r="L555" i="25"/>
  <c r="M555" i="25"/>
  <c r="N555" i="25"/>
  <c r="O555" i="25"/>
  <c r="H556" i="25"/>
  <c r="J556" i="25"/>
  <c r="K556" i="25"/>
  <c r="L556" i="25"/>
  <c r="M556" i="25"/>
  <c r="N556" i="25"/>
  <c r="O556" i="25"/>
  <c r="H557" i="25"/>
  <c r="J557" i="25"/>
  <c r="K557" i="25"/>
  <c r="L557" i="25"/>
  <c r="M557" i="25"/>
  <c r="N557" i="25"/>
  <c r="O557" i="25"/>
  <c r="H558" i="25"/>
  <c r="J558" i="25"/>
  <c r="K558" i="25"/>
  <c r="L558" i="25"/>
  <c r="M558" i="25"/>
  <c r="N558" i="25"/>
  <c r="O558" i="25"/>
  <c r="H559" i="25"/>
  <c r="J559" i="25"/>
  <c r="K559" i="25"/>
  <c r="L559" i="25"/>
  <c r="M559" i="25"/>
  <c r="N559" i="25"/>
  <c r="O559" i="25"/>
  <c r="H560" i="25"/>
  <c r="J560" i="25"/>
  <c r="K560" i="25"/>
  <c r="L560" i="25"/>
  <c r="M560" i="25"/>
  <c r="N560" i="25"/>
  <c r="O560" i="25"/>
  <c r="H561" i="25"/>
  <c r="J561" i="25"/>
  <c r="K561" i="25"/>
  <c r="L561" i="25"/>
  <c r="M561" i="25"/>
  <c r="N561" i="25"/>
  <c r="O561" i="25"/>
  <c r="H562" i="25"/>
  <c r="J562" i="25"/>
  <c r="K562" i="25"/>
  <c r="L562" i="25"/>
  <c r="M562" i="25"/>
  <c r="N562" i="25"/>
  <c r="O562" i="25"/>
  <c r="H563" i="25"/>
  <c r="J563" i="25"/>
  <c r="K563" i="25"/>
  <c r="L563" i="25"/>
  <c r="M563" i="25"/>
  <c r="N563" i="25"/>
  <c r="O563" i="25"/>
  <c r="H564" i="25"/>
  <c r="J564" i="25"/>
  <c r="K564" i="25"/>
  <c r="L564" i="25"/>
  <c r="M564" i="25"/>
  <c r="N564" i="25"/>
  <c r="O564" i="25"/>
  <c r="H565" i="25"/>
  <c r="J565" i="25"/>
  <c r="K565" i="25"/>
  <c r="L565" i="25"/>
  <c r="M565" i="25"/>
  <c r="N565" i="25"/>
  <c r="O565" i="25"/>
  <c r="H566" i="25"/>
  <c r="J566" i="25"/>
  <c r="K566" i="25"/>
  <c r="L566" i="25"/>
  <c r="M566" i="25"/>
  <c r="N566" i="25"/>
  <c r="O566" i="25"/>
  <c r="H567" i="25"/>
  <c r="J567" i="25"/>
  <c r="K567" i="25"/>
  <c r="L567" i="25"/>
  <c r="M567" i="25"/>
  <c r="N567" i="25"/>
  <c r="O567" i="25"/>
  <c r="H568" i="25"/>
  <c r="J568" i="25"/>
  <c r="K568" i="25"/>
  <c r="L568" i="25"/>
  <c r="M568" i="25"/>
  <c r="N568" i="25"/>
  <c r="O568" i="25"/>
  <c r="H96" i="25"/>
  <c r="J96" i="25"/>
  <c r="K96" i="25"/>
  <c r="L96" i="25"/>
  <c r="M96" i="25"/>
  <c r="N96" i="25"/>
  <c r="O96" i="25"/>
  <c r="H97" i="25"/>
  <c r="J97" i="25"/>
  <c r="K97" i="25"/>
  <c r="L97" i="25"/>
  <c r="M97" i="25"/>
  <c r="N97" i="25"/>
  <c r="O97" i="25"/>
  <c r="H98" i="25"/>
  <c r="J98" i="25"/>
  <c r="K98" i="25"/>
  <c r="L98" i="25"/>
  <c r="M98" i="25"/>
  <c r="N98" i="25"/>
  <c r="O98" i="25"/>
  <c r="H99" i="25"/>
  <c r="J99" i="25"/>
  <c r="K99" i="25"/>
  <c r="L99" i="25"/>
  <c r="M99" i="25"/>
  <c r="N99" i="25"/>
  <c r="O99" i="25"/>
  <c r="H100" i="25"/>
  <c r="J100" i="25"/>
  <c r="K100" i="25"/>
  <c r="L100" i="25"/>
  <c r="M100" i="25"/>
  <c r="N100" i="25"/>
  <c r="O100" i="25"/>
  <c r="H101" i="25"/>
  <c r="J101" i="25"/>
  <c r="K101" i="25"/>
  <c r="L101" i="25"/>
  <c r="M101" i="25"/>
  <c r="N101" i="25"/>
  <c r="O101" i="25"/>
  <c r="H102" i="25"/>
  <c r="J102" i="25"/>
  <c r="K102" i="25"/>
  <c r="L102" i="25"/>
  <c r="M102" i="25"/>
  <c r="N102" i="25"/>
  <c r="O102" i="25"/>
  <c r="H103" i="25"/>
  <c r="J103" i="25"/>
  <c r="K103" i="25"/>
  <c r="L103" i="25"/>
  <c r="M103" i="25"/>
  <c r="N103" i="25"/>
  <c r="O103" i="25"/>
  <c r="H104" i="25"/>
  <c r="J104" i="25"/>
  <c r="K104" i="25"/>
  <c r="L104" i="25"/>
  <c r="M104" i="25"/>
  <c r="N104" i="25"/>
  <c r="O104" i="25"/>
  <c r="H105" i="25"/>
  <c r="J105" i="25"/>
  <c r="K105" i="25"/>
  <c r="L105" i="25"/>
  <c r="M105" i="25"/>
  <c r="N105" i="25"/>
  <c r="O105" i="25"/>
  <c r="H106" i="25"/>
  <c r="J106" i="25"/>
  <c r="K106" i="25"/>
  <c r="L106" i="25"/>
  <c r="M106" i="25"/>
  <c r="N106" i="25"/>
  <c r="O106" i="25"/>
  <c r="H107" i="25"/>
  <c r="J107" i="25"/>
  <c r="K107" i="25"/>
  <c r="L107" i="25"/>
  <c r="M107" i="25"/>
  <c r="N107" i="25"/>
  <c r="O107" i="25"/>
  <c r="H108" i="25"/>
  <c r="J108" i="25"/>
  <c r="K108" i="25"/>
  <c r="L108" i="25"/>
  <c r="M108" i="25"/>
  <c r="N108" i="25"/>
  <c r="O108" i="25"/>
  <c r="H109" i="25"/>
  <c r="J109" i="25"/>
  <c r="K109" i="25"/>
  <c r="L109" i="25"/>
  <c r="M109" i="25"/>
  <c r="N109" i="25"/>
  <c r="O109" i="25"/>
  <c r="H110" i="25"/>
  <c r="J110" i="25"/>
  <c r="K110" i="25"/>
  <c r="L110" i="25"/>
  <c r="M110" i="25"/>
  <c r="N110" i="25"/>
  <c r="O110" i="25"/>
  <c r="H111" i="25"/>
  <c r="J111" i="25"/>
  <c r="K111" i="25"/>
  <c r="L111" i="25"/>
  <c r="M111" i="25"/>
  <c r="N111" i="25"/>
  <c r="O111" i="25"/>
  <c r="H112" i="25"/>
  <c r="J112" i="25"/>
  <c r="K112" i="25"/>
  <c r="L112" i="25"/>
  <c r="M112" i="25"/>
  <c r="N112" i="25"/>
  <c r="O112" i="25"/>
  <c r="H113" i="25"/>
  <c r="J113" i="25"/>
  <c r="K113" i="25"/>
  <c r="L113" i="25"/>
  <c r="M113" i="25"/>
  <c r="N113" i="25"/>
  <c r="O113" i="25"/>
  <c r="H114" i="25"/>
  <c r="J114" i="25"/>
  <c r="K114" i="25"/>
  <c r="L114" i="25"/>
  <c r="M114" i="25"/>
  <c r="N114" i="25"/>
  <c r="O114" i="25"/>
  <c r="H115" i="25"/>
  <c r="J115" i="25"/>
  <c r="K115" i="25"/>
  <c r="L115" i="25"/>
  <c r="M115" i="25"/>
  <c r="N115" i="25"/>
  <c r="O115" i="25"/>
  <c r="H116" i="25"/>
  <c r="J116" i="25"/>
  <c r="K116" i="25"/>
  <c r="L116" i="25"/>
  <c r="M116" i="25"/>
  <c r="N116" i="25"/>
  <c r="O116" i="25"/>
  <c r="H117" i="25"/>
  <c r="J117" i="25"/>
  <c r="K117" i="25"/>
  <c r="L117" i="25"/>
  <c r="M117" i="25"/>
  <c r="N117" i="25"/>
  <c r="O117" i="25"/>
  <c r="H118" i="25"/>
  <c r="J118" i="25"/>
  <c r="K118" i="25"/>
  <c r="L118" i="25"/>
  <c r="M118" i="25"/>
  <c r="N118" i="25"/>
  <c r="O118" i="25"/>
  <c r="H119" i="25"/>
  <c r="J119" i="25"/>
  <c r="K119" i="25"/>
  <c r="L119" i="25"/>
  <c r="M119" i="25"/>
  <c r="N119" i="25"/>
  <c r="O119" i="25"/>
  <c r="H120" i="25"/>
  <c r="J120" i="25"/>
  <c r="K120" i="25"/>
  <c r="L120" i="25"/>
  <c r="M120" i="25"/>
  <c r="N120" i="25"/>
  <c r="O120" i="25"/>
  <c r="H121" i="25"/>
  <c r="J121" i="25"/>
  <c r="K121" i="25"/>
  <c r="L121" i="25"/>
  <c r="M121" i="25"/>
  <c r="N121" i="25"/>
  <c r="O121" i="25"/>
  <c r="H122" i="25"/>
  <c r="J122" i="25"/>
  <c r="K122" i="25"/>
  <c r="L122" i="25"/>
  <c r="M122" i="25"/>
  <c r="N122" i="25"/>
  <c r="O122" i="25"/>
  <c r="H123" i="25"/>
  <c r="J123" i="25"/>
  <c r="K123" i="25"/>
  <c r="L123" i="25"/>
  <c r="M123" i="25"/>
  <c r="N123" i="25"/>
  <c r="O123" i="25"/>
  <c r="H124" i="25"/>
  <c r="J124" i="25"/>
  <c r="K124" i="25"/>
  <c r="L124" i="25"/>
  <c r="M124" i="25"/>
  <c r="N124" i="25"/>
  <c r="O124" i="25"/>
  <c r="H125" i="25"/>
  <c r="J125" i="25"/>
  <c r="K125" i="25"/>
  <c r="L125" i="25"/>
  <c r="M125" i="25"/>
  <c r="N125" i="25"/>
  <c r="O125" i="25"/>
  <c r="H126" i="25"/>
  <c r="J126" i="25"/>
  <c r="K126" i="25"/>
  <c r="L126" i="25"/>
  <c r="M126" i="25"/>
  <c r="N126" i="25"/>
  <c r="O126" i="25"/>
  <c r="H127" i="25"/>
  <c r="J127" i="25"/>
  <c r="K127" i="25"/>
  <c r="L127" i="25"/>
  <c r="M127" i="25"/>
  <c r="N127" i="25"/>
  <c r="O127" i="25"/>
  <c r="H128" i="25"/>
  <c r="J128" i="25"/>
  <c r="K128" i="25"/>
  <c r="L128" i="25"/>
  <c r="M128" i="25"/>
  <c r="N128" i="25"/>
  <c r="O128" i="25"/>
  <c r="H129" i="25"/>
  <c r="J129" i="25"/>
  <c r="K129" i="25"/>
  <c r="L129" i="25"/>
  <c r="M129" i="25"/>
  <c r="N129" i="25"/>
  <c r="O129" i="25"/>
  <c r="H130" i="25"/>
  <c r="J130" i="25"/>
  <c r="K130" i="25"/>
  <c r="L130" i="25"/>
  <c r="M130" i="25"/>
  <c r="N130" i="25"/>
  <c r="O130" i="25"/>
  <c r="H131" i="25"/>
  <c r="J131" i="25"/>
  <c r="K131" i="25"/>
  <c r="L131" i="25"/>
  <c r="M131" i="25"/>
  <c r="N131" i="25"/>
  <c r="O131" i="25"/>
  <c r="H132" i="25"/>
  <c r="J132" i="25"/>
  <c r="K132" i="25"/>
  <c r="L132" i="25"/>
  <c r="M132" i="25"/>
  <c r="N132" i="25"/>
  <c r="O132" i="25"/>
  <c r="H133" i="25"/>
  <c r="J133" i="25"/>
  <c r="K133" i="25"/>
  <c r="L133" i="25"/>
  <c r="M133" i="25"/>
  <c r="N133" i="25"/>
  <c r="O133" i="25"/>
  <c r="H134" i="25"/>
  <c r="J134" i="25"/>
  <c r="K134" i="25"/>
  <c r="L134" i="25"/>
  <c r="M134" i="25"/>
  <c r="N134" i="25"/>
  <c r="O134" i="25"/>
  <c r="H135" i="25"/>
  <c r="J135" i="25"/>
  <c r="K135" i="25"/>
  <c r="L135" i="25"/>
  <c r="M135" i="25"/>
  <c r="N135" i="25"/>
  <c r="O135" i="25"/>
  <c r="H136" i="25"/>
  <c r="J136" i="25"/>
  <c r="K136" i="25"/>
  <c r="L136" i="25"/>
  <c r="M136" i="25"/>
  <c r="N136" i="25"/>
  <c r="O136" i="25"/>
  <c r="H137" i="25"/>
  <c r="J137" i="25"/>
  <c r="K137" i="25"/>
  <c r="L137" i="25"/>
  <c r="M137" i="25"/>
  <c r="N137" i="25"/>
  <c r="O137" i="25"/>
  <c r="H138" i="25"/>
  <c r="J138" i="25"/>
  <c r="K138" i="25"/>
  <c r="L138" i="25"/>
  <c r="M138" i="25"/>
  <c r="N138" i="25"/>
  <c r="O138" i="25"/>
  <c r="H139" i="25"/>
  <c r="J139" i="25"/>
  <c r="K139" i="25"/>
  <c r="L139" i="25"/>
  <c r="M139" i="25"/>
  <c r="N139" i="25"/>
  <c r="O139" i="25"/>
  <c r="H140" i="25"/>
  <c r="J140" i="25"/>
  <c r="K140" i="25"/>
  <c r="L140" i="25"/>
  <c r="M140" i="25"/>
  <c r="N140" i="25"/>
  <c r="O140" i="25"/>
  <c r="H141" i="25"/>
  <c r="J141" i="25"/>
  <c r="K141" i="25"/>
  <c r="L141" i="25"/>
  <c r="M141" i="25"/>
  <c r="N141" i="25"/>
  <c r="O141" i="25"/>
  <c r="H142" i="25"/>
  <c r="J142" i="25"/>
  <c r="K142" i="25"/>
  <c r="L142" i="25"/>
  <c r="M142" i="25"/>
  <c r="N142" i="25"/>
  <c r="O142" i="25"/>
  <c r="H143" i="25"/>
  <c r="J143" i="25"/>
  <c r="K143" i="25"/>
  <c r="L143" i="25"/>
  <c r="M143" i="25"/>
  <c r="N143" i="25"/>
  <c r="O143" i="25"/>
  <c r="H144" i="25"/>
  <c r="J144" i="25"/>
  <c r="K144" i="25"/>
  <c r="L144" i="25"/>
  <c r="M144" i="25"/>
  <c r="N144" i="25"/>
  <c r="O144" i="25"/>
  <c r="H145" i="25"/>
  <c r="J145" i="25"/>
  <c r="K145" i="25"/>
  <c r="L145" i="25"/>
  <c r="M145" i="25"/>
  <c r="N145" i="25"/>
  <c r="O145" i="25"/>
  <c r="H146" i="25"/>
  <c r="J146" i="25"/>
  <c r="K146" i="25"/>
  <c r="L146" i="25"/>
  <c r="M146" i="25"/>
  <c r="N146" i="25"/>
  <c r="O146" i="25"/>
  <c r="H147" i="25"/>
  <c r="J147" i="25"/>
  <c r="K147" i="25"/>
  <c r="L147" i="25"/>
  <c r="M147" i="25"/>
  <c r="N147" i="25"/>
  <c r="O147" i="25"/>
  <c r="H148" i="25"/>
  <c r="J148" i="25"/>
  <c r="K148" i="25"/>
  <c r="L148" i="25"/>
  <c r="M148" i="25"/>
  <c r="N148" i="25"/>
  <c r="O148" i="25"/>
  <c r="H149" i="25"/>
  <c r="J149" i="25"/>
  <c r="K149" i="25"/>
  <c r="L149" i="25"/>
  <c r="M149" i="25"/>
  <c r="N149" i="25"/>
  <c r="O149" i="25"/>
  <c r="H150" i="25"/>
  <c r="J150" i="25"/>
  <c r="K150" i="25"/>
  <c r="L150" i="25"/>
  <c r="M150" i="25"/>
  <c r="N150" i="25"/>
  <c r="O150" i="25"/>
  <c r="H151" i="25"/>
  <c r="J151" i="25"/>
  <c r="K151" i="25"/>
  <c r="L151" i="25"/>
  <c r="M151" i="25"/>
  <c r="N151" i="25"/>
  <c r="O151" i="25"/>
  <c r="H152" i="25"/>
  <c r="J152" i="25"/>
  <c r="K152" i="25"/>
  <c r="L152" i="25"/>
  <c r="M152" i="25"/>
  <c r="N152" i="25"/>
  <c r="O152" i="25"/>
  <c r="H153" i="25"/>
  <c r="J153" i="25"/>
  <c r="K153" i="25"/>
  <c r="L153" i="25"/>
  <c r="M153" i="25"/>
  <c r="N153" i="25"/>
  <c r="O153" i="25"/>
  <c r="H154" i="25"/>
  <c r="J154" i="25"/>
  <c r="K154" i="25"/>
  <c r="L154" i="25"/>
  <c r="M154" i="25"/>
  <c r="N154" i="25"/>
  <c r="O154" i="25"/>
  <c r="H155" i="25"/>
  <c r="J155" i="25"/>
  <c r="K155" i="25"/>
  <c r="L155" i="25"/>
  <c r="M155" i="25"/>
  <c r="N155" i="25"/>
  <c r="O155" i="25"/>
  <c r="H156" i="25"/>
  <c r="J156" i="25"/>
  <c r="K156" i="25"/>
  <c r="L156" i="25"/>
  <c r="M156" i="25"/>
  <c r="N156" i="25"/>
  <c r="O156" i="25"/>
  <c r="H157" i="25"/>
  <c r="J157" i="25"/>
  <c r="K157" i="25"/>
  <c r="L157" i="25"/>
  <c r="M157" i="25"/>
  <c r="N157" i="25"/>
  <c r="O157" i="25"/>
  <c r="H158" i="25"/>
  <c r="J158" i="25"/>
  <c r="K158" i="25"/>
  <c r="L158" i="25"/>
  <c r="M158" i="25"/>
  <c r="N158" i="25"/>
  <c r="O158" i="25"/>
  <c r="H159" i="25"/>
  <c r="J159" i="25"/>
  <c r="K159" i="25"/>
  <c r="L159" i="25"/>
  <c r="M159" i="25"/>
  <c r="N159" i="25"/>
  <c r="O159" i="25"/>
  <c r="H160" i="25"/>
  <c r="J160" i="25"/>
  <c r="K160" i="25"/>
  <c r="L160" i="25"/>
  <c r="M160" i="25"/>
  <c r="N160" i="25"/>
  <c r="O160" i="25"/>
  <c r="H161" i="25"/>
  <c r="J161" i="25"/>
  <c r="K161" i="25"/>
  <c r="L161" i="25"/>
  <c r="M161" i="25"/>
  <c r="N161" i="25"/>
  <c r="O161" i="25"/>
  <c r="H162" i="25"/>
  <c r="J162" i="25"/>
  <c r="K162" i="25"/>
  <c r="L162" i="25"/>
  <c r="M162" i="25"/>
  <c r="N162" i="25"/>
  <c r="O162" i="25"/>
  <c r="H163" i="25"/>
  <c r="J163" i="25"/>
  <c r="K163" i="25"/>
  <c r="L163" i="25"/>
  <c r="M163" i="25"/>
  <c r="N163" i="25"/>
  <c r="O163" i="25"/>
  <c r="H164" i="25"/>
  <c r="J164" i="25"/>
  <c r="K164" i="25"/>
  <c r="L164" i="25"/>
  <c r="M164" i="25"/>
  <c r="N164" i="25"/>
  <c r="O164" i="25"/>
  <c r="H165" i="25"/>
  <c r="J165" i="25"/>
  <c r="K165" i="25"/>
  <c r="L165" i="25"/>
  <c r="M165" i="25"/>
  <c r="N165" i="25"/>
  <c r="O165" i="25"/>
  <c r="H166" i="25"/>
  <c r="J166" i="25"/>
  <c r="K166" i="25"/>
  <c r="L166" i="25"/>
  <c r="M166" i="25"/>
  <c r="N166" i="25"/>
  <c r="O166" i="25"/>
  <c r="H167" i="25"/>
  <c r="J167" i="25"/>
  <c r="K167" i="25"/>
  <c r="L167" i="25"/>
  <c r="M167" i="25"/>
  <c r="N167" i="25"/>
  <c r="O167" i="25"/>
  <c r="H168" i="25"/>
  <c r="J168" i="25"/>
  <c r="K168" i="25"/>
  <c r="L168" i="25"/>
  <c r="M168" i="25"/>
  <c r="N168" i="25"/>
  <c r="O168" i="25"/>
  <c r="H169" i="25"/>
  <c r="J169" i="25"/>
  <c r="K169" i="25"/>
  <c r="L169" i="25"/>
  <c r="M169" i="25"/>
  <c r="N169" i="25"/>
  <c r="O169" i="25"/>
  <c r="H170" i="25"/>
  <c r="J170" i="25"/>
  <c r="K170" i="25"/>
  <c r="L170" i="25"/>
  <c r="M170" i="25"/>
  <c r="N170" i="25"/>
  <c r="O170" i="25"/>
  <c r="H171" i="25"/>
  <c r="J171" i="25"/>
  <c r="K171" i="25"/>
  <c r="L171" i="25"/>
  <c r="M171" i="25"/>
  <c r="N171" i="25"/>
  <c r="O171" i="25"/>
  <c r="H172" i="25"/>
  <c r="J172" i="25"/>
  <c r="K172" i="25"/>
  <c r="L172" i="25"/>
  <c r="M172" i="25"/>
  <c r="N172" i="25"/>
  <c r="O172" i="25"/>
  <c r="H173" i="25"/>
  <c r="J173" i="25"/>
  <c r="K173" i="25"/>
  <c r="L173" i="25"/>
  <c r="M173" i="25"/>
  <c r="N173" i="25"/>
  <c r="O173" i="25"/>
  <c r="H174" i="25"/>
  <c r="J174" i="25"/>
  <c r="K174" i="25"/>
  <c r="L174" i="25"/>
  <c r="M174" i="25"/>
  <c r="N174" i="25"/>
  <c r="O174" i="25"/>
  <c r="H175" i="25"/>
  <c r="J175" i="25"/>
  <c r="K175" i="25"/>
  <c r="L175" i="25"/>
  <c r="M175" i="25"/>
  <c r="N175" i="25"/>
  <c r="O175" i="25"/>
  <c r="H176" i="25"/>
  <c r="J176" i="25"/>
  <c r="K176" i="25"/>
  <c r="L176" i="25"/>
  <c r="M176" i="25"/>
  <c r="N176" i="25"/>
  <c r="O176" i="25"/>
  <c r="H177" i="25"/>
  <c r="J177" i="25"/>
  <c r="K177" i="25"/>
  <c r="L177" i="25"/>
  <c r="M177" i="25"/>
  <c r="N177" i="25"/>
  <c r="O177" i="25"/>
  <c r="H178" i="25"/>
  <c r="J178" i="25"/>
  <c r="K178" i="25"/>
  <c r="L178" i="25"/>
  <c r="M178" i="25"/>
  <c r="N178" i="25"/>
  <c r="O178" i="25"/>
  <c r="H179" i="25"/>
  <c r="J179" i="25"/>
  <c r="K179" i="25"/>
  <c r="L179" i="25"/>
  <c r="M179" i="25"/>
  <c r="N179" i="25"/>
  <c r="O179" i="25"/>
  <c r="H180" i="25"/>
  <c r="J180" i="25"/>
  <c r="K180" i="25"/>
  <c r="L180" i="25"/>
  <c r="M180" i="25"/>
  <c r="N180" i="25"/>
  <c r="O180" i="25"/>
  <c r="H181" i="25"/>
  <c r="J181" i="25"/>
  <c r="K181" i="25"/>
  <c r="L181" i="25"/>
  <c r="M181" i="25"/>
  <c r="N181" i="25"/>
  <c r="O181" i="25"/>
  <c r="H182" i="25"/>
  <c r="J182" i="25"/>
  <c r="K182" i="25"/>
  <c r="L182" i="25"/>
  <c r="M182" i="25"/>
  <c r="N182" i="25"/>
  <c r="O182" i="25"/>
  <c r="H183" i="25"/>
  <c r="J183" i="25"/>
  <c r="K183" i="25"/>
  <c r="L183" i="25"/>
  <c r="M183" i="25"/>
  <c r="N183" i="25"/>
  <c r="O183" i="25"/>
  <c r="H184" i="25"/>
  <c r="J184" i="25"/>
  <c r="K184" i="25"/>
  <c r="L184" i="25"/>
  <c r="M184" i="25"/>
  <c r="N184" i="25"/>
  <c r="O184" i="25"/>
  <c r="H185" i="25"/>
  <c r="J185" i="25"/>
  <c r="K185" i="25"/>
  <c r="L185" i="25"/>
  <c r="M185" i="25"/>
  <c r="N185" i="25"/>
  <c r="O185" i="25"/>
  <c r="H186" i="25"/>
  <c r="J186" i="25"/>
  <c r="K186" i="25"/>
  <c r="L186" i="25"/>
  <c r="M186" i="25"/>
  <c r="N186" i="25"/>
  <c r="O186" i="25"/>
  <c r="H187" i="25"/>
  <c r="J187" i="25"/>
  <c r="K187" i="25"/>
  <c r="L187" i="25"/>
  <c r="M187" i="25"/>
  <c r="N187" i="25"/>
  <c r="O187" i="25"/>
  <c r="H188" i="25"/>
  <c r="J188" i="25"/>
  <c r="K188" i="25"/>
  <c r="L188" i="25"/>
  <c r="M188" i="25"/>
  <c r="N188" i="25"/>
  <c r="O188" i="25"/>
  <c r="H189" i="25"/>
  <c r="J189" i="25"/>
  <c r="K189" i="25"/>
  <c r="L189" i="25"/>
  <c r="M189" i="25"/>
  <c r="N189" i="25"/>
  <c r="O189" i="25"/>
  <c r="H190" i="25"/>
  <c r="J190" i="25"/>
  <c r="K190" i="25"/>
  <c r="L190" i="25"/>
  <c r="M190" i="25"/>
  <c r="N190" i="25"/>
  <c r="O190" i="25"/>
  <c r="H191" i="25"/>
  <c r="J191" i="25"/>
  <c r="K191" i="25"/>
  <c r="L191" i="25"/>
  <c r="M191" i="25"/>
  <c r="N191" i="25"/>
  <c r="O191" i="25"/>
  <c r="H192" i="25"/>
  <c r="J192" i="25"/>
  <c r="K192" i="25"/>
  <c r="L192" i="25"/>
  <c r="M192" i="25"/>
  <c r="N192" i="25"/>
  <c r="O192" i="25"/>
  <c r="H193" i="25"/>
  <c r="J193" i="25"/>
  <c r="K193" i="25"/>
  <c r="L193" i="25"/>
  <c r="M193" i="25"/>
  <c r="N193" i="25"/>
  <c r="O193" i="25"/>
  <c r="H194" i="25"/>
  <c r="J194" i="25"/>
  <c r="K194" i="25"/>
  <c r="L194" i="25"/>
  <c r="M194" i="25"/>
  <c r="N194" i="25"/>
  <c r="O194" i="25"/>
  <c r="H195" i="25"/>
  <c r="J195" i="25"/>
  <c r="K195" i="25"/>
  <c r="L195" i="25"/>
  <c r="M195" i="25"/>
  <c r="N195" i="25"/>
  <c r="O195" i="25"/>
  <c r="H196" i="25"/>
  <c r="J196" i="25"/>
  <c r="K196" i="25"/>
  <c r="L196" i="25"/>
  <c r="M196" i="25"/>
  <c r="N196" i="25"/>
  <c r="O196" i="25"/>
  <c r="H197" i="25"/>
  <c r="J197" i="25"/>
  <c r="K197" i="25"/>
  <c r="L197" i="25"/>
  <c r="M197" i="25"/>
  <c r="N197" i="25"/>
  <c r="O197" i="25"/>
  <c r="H198" i="25"/>
  <c r="J198" i="25"/>
  <c r="K198" i="25"/>
  <c r="L198" i="25"/>
  <c r="M198" i="25"/>
  <c r="N198" i="25"/>
  <c r="O198" i="25"/>
  <c r="H199" i="25"/>
  <c r="J199" i="25"/>
  <c r="K199" i="25"/>
  <c r="L199" i="25"/>
  <c r="M199" i="25"/>
  <c r="N199" i="25"/>
  <c r="O199" i="25"/>
  <c r="H200" i="25"/>
  <c r="J200" i="25"/>
  <c r="K200" i="25"/>
  <c r="L200" i="25"/>
  <c r="M200" i="25"/>
  <c r="N200" i="25"/>
  <c r="O200" i="25"/>
  <c r="H201" i="25"/>
  <c r="J201" i="25"/>
  <c r="K201" i="25"/>
  <c r="L201" i="25"/>
  <c r="M201" i="25"/>
  <c r="N201" i="25"/>
  <c r="O201" i="25"/>
  <c r="H202" i="25"/>
  <c r="J202" i="25"/>
  <c r="K202" i="25"/>
  <c r="L202" i="25"/>
  <c r="M202" i="25"/>
  <c r="N202" i="25"/>
  <c r="O202" i="25"/>
  <c r="H203" i="25"/>
  <c r="J203" i="25"/>
  <c r="K203" i="25"/>
  <c r="L203" i="25"/>
  <c r="M203" i="25"/>
  <c r="N203" i="25"/>
  <c r="O203" i="25"/>
  <c r="H204" i="25"/>
  <c r="J204" i="25"/>
  <c r="K204" i="25"/>
  <c r="L204" i="25"/>
  <c r="M204" i="25"/>
  <c r="N204" i="25"/>
  <c r="O204" i="25"/>
  <c r="H205" i="25"/>
  <c r="J205" i="25"/>
  <c r="K205" i="25"/>
  <c r="L205" i="25"/>
  <c r="M205" i="25"/>
  <c r="N205" i="25"/>
  <c r="O205" i="25"/>
  <c r="H206" i="25"/>
  <c r="J206" i="25"/>
  <c r="K206" i="25"/>
  <c r="L206" i="25"/>
  <c r="M206" i="25"/>
  <c r="N206" i="25"/>
  <c r="O206" i="25"/>
  <c r="H207" i="25"/>
  <c r="J207" i="25"/>
  <c r="K207" i="25"/>
  <c r="L207" i="25"/>
  <c r="M207" i="25"/>
  <c r="N207" i="25"/>
  <c r="O207" i="25"/>
  <c r="H208" i="25"/>
  <c r="J208" i="25"/>
  <c r="K208" i="25"/>
  <c r="L208" i="25"/>
  <c r="M208" i="25"/>
  <c r="N208" i="25"/>
  <c r="O208" i="25"/>
  <c r="H209" i="25"/>
  <c r="J209" i="25"/>
  <c r="K209" i="25"/>
  <c r="L209" i="25"/>
  <c r="M209" i="25"/>
  <c r="N209" i="25"/>
  <c r="O209" i="25"/>
  <c r="H210" i="25"/>
  <c r="J210" i="25"/>
  <c r="K210" i="25"/>
  <c r="L210" i="25"/>
  <c r="M210" i="25"/>
  <c r="N210" i="25"/>
  <c r="O210" i="25"/>
  <c r="H211" i="25"/>
  <c r="J211" i="25"/>
  <c r="K211" i="25"/>
  <c r="L211" i="25"/>
  <c r="M211" i="25"/>
  <c r="N211" i="25"/>
  <c r="O211" i="25"/>
  <c r="H212" i="25"/>
  <c r="J212" i="25"/>
  <c r="K212" i="25"/>
  <c r="L212" i="25"/>
  <c r="M212" i="25"/>
  <c r="N212" i="25"/>
  <c r="O212" i="25"/>
  <c r="H213" i="25"/>
  <c r="J213" i="25"/>
  <c r="K213" i="25"/>
  <c r="L213" i="25"/>
  <c r="M213" i="25"/>
  <c r="N213" i="25"/>
  <c r="O213" i="25"/>
  <c r="H214" i="25"/>
  <c r="J214" i="25"/>
  <c r="K214" i="25"/>
  <c r="L214" i="25"/>
  <c r="M214" i="25"/>
  <c r="N214" i="25"/>
  <c r="O214" i="25"/>
  <c r="H215" i="25"/>
  <c r="J215" i="25"/>
  <c r="K215" i="25"/>
  <c r="L215" i="25"/>
  <c r="M215" i="25"/>
  <c r="N215" i="25"/>
  <c r="O215" i="25"/>
  <c r="H216" i="25"/>
  <c r="J216" i="25"/>
  <c r="K216" i="25"/>
  <c r="L216" i="25"/>
  <c r="M216" i="25"/>
  <c r="N216" i="25"/>
  <c r="O216" i="25"/>
  <c r="H217" i="25"/>
  <c r="J217" i="25"/>
  <c r="K217" i="25"/>
  <c r="L217" i="25"/>
  <c r="M217" i="25"/>
  <c r="N217" i="25"/>
  <c r="O217" i="25"/>
  <c r="H218" i="25"/>
  <c r="J218" i="25"/>
  <c r="K218" i="25"/>
  <c r="L218" i="25"/>
  <c r="M218" i="25"/>
  <c r="N218" i="25"/>
  <c r="O218" i="25"/>
  <c r="H219" i="25"/>
  <c r="J219" i="25"/>
  <c r="K219" i="25"/>
  <c r="L219" i="25"/>
  <c r="M219" i="25"/>
  <c r="N219" i="25"/>
  <c r="O219" i="25"/>
  <c r="H220" i="25"/>
  <c r="J220" i="25"/>
  <c r="K220" i="25"/>
  <c r="L220" i="25"/>
  <c r="M220" i="25"/>
  <c r="N220" i="25"/>
  <c r="O220" i="25"/>
  <c r="H221" i="25"/>
  <c r="J221" i="25"/>
  <c r="K221" i="25"/>
  <c r="L221" i="25"/>
  <c r="M221" i="25"/>
  <c r="N221" i="25"/>
  <c r="O221" i="25"/>
  <c r="H222" i="25"/>
  <c r="J222" i="25"/>
  <c r="K222" i="25"/>
  <c r="L222" i="25"/>
  <c r="M222" i="25"/>
  <c r="N222" i="25"/>
  <c r="O222" i="25"/>
  <c r="H223" i="25"/>
  <c r="J223" i="25"/>
  <c r="K223" i="25"/>
  <c r="L223" i="25"/>
  <c r="M223" i="25"/>
  <c r="N223" i="25"/>
  <c r="O223" i="25"/>
  <c r="H224" i="25"/>
  <c r="J224" i="25"/>
  <c r="K224" i="25"/>
  <c r="L224" i="25"/>
  <c r="M224" i="25"/>
  <c r="N224" i="25"/>
  <c r="O224" i="25"/>
  <c r="H225" i="25"/>
  <c r="J225" i="25"/>
  <c r="K225" i="25"/>
  <c r="L225" i="25"/>
  <c r="M225" i="25"/>
  <c r="N225" i="25"/>
  <c r="O225" i="25"/>
  <c r="H226" i="25"/>
  <c r="J226" i="25"/>
  <c r="K226" i="25"/>
  <c r="L226" i="25"/>
  <c r="M226" i="25"/>
  <c r="N226" i="25"/>
  <c r="O226" i="25"/>
  <c r="H227" i="25"/>
  <c r="J227" i="25"/>
  <c r="K227" i="25"/>
  <c r="L227" i="25"/>
  <c r="M227" i="25"/>
  <c r="N227" i="25"/>
  <c r="O227" i="25"/>
  <c r="H228" i="25"/>
  <c r="J228" i="25"/>
  <c r="K228" i="25"/>
  <c r="L228" i="25"/>
  <c r="M228" i="25"/>
  <c r="N228" i="25"/>
  <c r="O228" i="25"/>
  <c r="H229" i="25"/>
  <c r="J229" i="25"/>
  <c r="K229" i="25"/>
  <c r="L229" i="25"/>
  <c r="M229" i="25"/>
  <c r="N229" i="25"/>
  <c r="O229" i="25"/>
  <c r="H230" i="25"/>
  <c r="J230" i="25"/>
  <c r="K230" i="25"/>
  <c r="L230" i="25"/>
  <c r="M230" i="25"/>
  <c r="N230" i="25"/>
  <c r="O230" i="25"/>
  <c r="H231" i="25"/>
  <c r="J231" i="25"/>
  <c r="K231" i="25"/>
  <c r="L231" i="25"/>
  <c r="M231" i="25"/>
  <c r="N231" i="25"/>
  <c r="O231" i="25"/>
  <c r="H232" i="25"/>
  <c r="J232" i="25"/>
  <c r="K232" i="25"/>
  <c r="L232" i="25"/>
  <c r="M232" i="25"/>
  <c r="N232" i="25"/>
  <c r="O232" i="25"/>
  <c r="H233" i="25"/>
  <c r="J233" i="25"/>
  <c r="K233" i="25"/>
  <c r="L233" i="25"/>
  <c r="M233" i="25"/>
  <c r="N233" i="25"/>
  <c r="O233" i="25"/>
  <c r="H234" i="25"/>
  <c r="J234" i="25"/>
  <c r="K234" i="25"/>
  <c r="L234" i="25"/>
  <c r="M234" i="25"/>
  <c r="N234" i="25"/>
  <c r="O234" i="25"/>
  <c r="H235" i="25"/>
  <c r="J235" i="25"/>
  <c r="K235" i="25"/>
  <c r="L235" i="25"/>
  <c r="M235" i="25"/>
  <c r="N235" i="25"/>
  <c r="O235" i="25"/>
  <c r="H236" i="25"/>
  <c r="J236" i="25"/>
  <c r="K236" i="25"/>
  <c r="L236" i="25"/>
  <c r="M236" i="25"/>
  <c r="N236" i="25"/>
  <c r="O236" i="25"/>
  <c r="H237" i="25"/>
  <c r="J237" i="25"/>
  <c r="K237" i="25"/>
  <c r="L237" i="25"/>
  <c r="M237" i="25"/>
  <c r="N237" i="25"/>
  <c r="O237" i="25"/>
  <c r="H238" i="25"/>
  <c r="J238" i="25"/>
  <c r="K238" i="25"/>
  <c r="L238" i="25"/>
  <c r="M238" i="25"/>
  <c r="N238" i="25"/>
  <c r="O238" i="25"/>
  <c r="H239" i="25"/>
  <c r="J239" i="25"/>
  <c r="K239" i="25"/>
  <c r="L239" i="25"/>
  <c r="M239" i="25"/>
  <c r="N239" i="25"/>
  <c r="O239" i="25"/>
  <c r="H240" i="25"/>
  <c r="J240" i="25"/>
  <c r="K240" i="25"/>
  <c r="L240" i="25"/>
  <c r="M240" i="25"/>
  <c r="N240" i="25"/>
  <c r="O240" i="25"/>
  <c r="H241" i="25"/>
  <c r="J241" i="25"/>
  <c r="K241" i="25"/>
  <c r="L241" i="25"/>
  <c r="M241" i="25"/>
  <c r="N241" i="25"/>
  <c r="O241" i="25"/>
  <c r="H242" i="25"/>
  <c r="J242" i="25"/>
  <c r="K242" i="25"/>
  <c r="L242" i="25"/>
  <c r="M242" i="25"/>
  <c r="N242" i="25"/>
  <c r="O242" i="25"/>
  <c r="H243" i="25"/>
  <c r="J243" i="25"/>
  <c r="K243" i="25"/>
  <c r="L243" i="25"/>
  <c r="M243" i="25"/>
  <c r="N243" i="25"/>
  <c r="O243" i="25"/>
  <c r="H244" i="25"/>
  <c r="J244" i="25"/>
  <c r="K244" i="25"/>
  <c r="L244" i="25"/>
  <c r="M244" i="25"/>
  <c r="N244" i="25"/>
  <c r="O244" i="25"/>
  <c r="H245" i="25"/>
  <c r="J245" i="25"/>
  <c r="K245" i="25"/>
  <c r="L245" i="25"/>
  <c r="M245" i="25"/>
  <c r="N245" i="25"/>
  <c r="O245" i="25"/>
  <c r="H246" i="25"/>
  <c r="J246" i="25"/>
  <c r="K246" i="25"/>
  <c r="L246" i="25"/>
  <c r="M246" i="25"/>
  <c r="N246" i="25"/>
  <c r="O246" i="25"/>
  <c r="H247" i="25"/>
  <c r="J247" i="25"/>
  <c r="K247" i="25"/>
  <c r="L247" i="25"/>
  <c r="M247" i="25"/>
  <c r="N247" i="25"/>
  <c r="O247" i="25"/>
  <c r="H248" i="25"/>
  <c r="J248" i="25"/>
  <c r="K248" i="25"/>
  <c r="L248" i="25"/>
  <c r="M248" i="25"/>
  <c r="N248" i="25"/>
  <c r="O248" i="25"/>
  <c r="H249" i="25"/>
  <c r="J249" i="25"/>
  <c r="K249" i="25"/>
  <c r="L249" i="25"/>
  <c r="M249" i="25"/>
  <c r="N249" i="25"/>
  <c r="O249" i="25"/>
  <c r="H250" i="25"/>
  <c r="J250" i="25"/>
  <c r="K250" i="25"/>
  <c r="L250" i="25"/>
  <c r="M250" i="25"/>
  <c r="N250" i="25"/>
  <c r="O250" i="25"/>
  <c r="H251" i="25"/>
  <c r="J251" i="25"/>
  <c r="K251" i="25"/>
  <c r="L251" i="25"/>
  <c r="M251" i="25"/>
  <c r="N251" i="25"/>
  <c r="O251" i="25"/>
  <c r="H252" i="25"/>
  <c r="J252" i="25"/>
  <c r="K252" i="25"/>
  <c r="L252" i="25"/>
  <c r="M252" i="25"/>
  <c r="N252" i="25"/>
  <c r="O252" i="25"/>
  <c r="H253" i="25"/>
  <c r="J253" i="25"/>
  <c r="K253" i="25"/>
  <c r="L253" i="25"/>
  <c r="M253" i="25"/>
  <c r="N253" i="25"/>
  <c r="O253" i="25"/>
  <c r="H254" i="25"/>
  <c r="J254" i="25"/>
  <c r="K254" i="25"/>
  <c r="L254" i="25"/>
  <c r="M254" i="25"/>
  <c r="N254" i="25"/>
  <c r="O254" i="25"/>
  <c r="H255" i="25"/>
  <c r="J255" i="25"/>
  <c r="K255" i="25"/>
  <c r="L255" i="25"/>
  <c r="M255" i="25"/>
  <c r="N255" i="25"/>
  <c r="O255" i="25"/>
  <c r="H256" i="25"/>
  <c r="J256" i="25"/>
  <c r="K256" i="25"/>
  <c r="L256" i="25"/>
  <c r="M256" i="25"/>
  <c r="N256" i="25"/>
  <c r="O256" i="25"/>
  <c r="H257" i="25"/>
  <c r="J257" i="25"/>
  <c r="K257" i="25"/>
  <c r="L257" i="25"/>
  <c r="M257" i="25"/>
  <c r="N257" i="25"/>
  <c r="O257" i="25"/>
  <c r="H258" i="25"/>
  <c r="J258" i="25"/>
  <c r="K258" i="25"/>
  <c r="L258" i="25"/>
  <c r="M258" i="25"/>
  <c r="N258" i="25"/>
  <c r="O258" i="25"/>
  <c r="H259" i="25"/>
  <c r="J259" i="25"/>
  <c r="K259" i="25"/>
  <c r="L259" i="25"/>
  <c r="M259" i="25"/>
  <c r="N259" i="25"/>
  <c r="O259" i="25"/>
  <c r="H260" i="25"/>
  <c r="J260" i="25"/>
  <c r="K260" i="25"/>
  <c r="L260" i="25"/>
  <c r="M260" i="25"/>
  <c r="N260" i="25"/>
  <c r="O260" i="25"/>
  <c r="H261" i="25"/>
  <c r="J261" i="25"/>
  <c r="K261" i="25"/>
  <c r="L261" i="25"/>
  <c r="M261" i="25"/>
  <c r="N261" i="25"/>
  <c r="O261" i="25"/>
  <c r="H262" i="25"/>
  <c r="J262" i="25"/>
  <c r="K262" i="25"/>
  <c r="L262" i="25"/>
  <c r="M262" i="25"/>
  <c r="N262" i="25"/>
  <c r="O262" i="25"/>
  <c r="H263" i="25"/>
  <c r="J263" i="25"/>
  <c r="K263" i="25"/>
  <c r="L263" i="25"/>
  <c r="M263" i="25"/>
  <c r="N263" i="25"/>
  <c r="O263" i="25"/>
  <c r="H264" i="25"/>
  <c r="J264" i="25"/>
  <c r="K264" i="25"/>
  <c r="L264" i="25"/>
  <c r="M264" i="25"/>
  <c r="N264" i="25"/>
  <c r="O264" i="25"/>
  <c r="H265" i="25"/>
  <c r="J265" i="25"/>
  <c r="K265" i="25"/>
  <c r="L265" i="25"/>
  <c r="M265" i="25"/>
  <c r="N265" i="25"/>
  <c r="O265" i="25"/>
  <c r="H266" i="25"/>
  <c r="J266" i="25"/>
  <c r="K266" i="25"/>
  <c r="L266" i="25"/>
  <c r="M266" i="25"/>
  <c r="N266" i="25"/>
  <c r="O266" i="25"/>
  <c r="H267" i="25"/>
  <c r="J267" i="25"/>
  <c r="K267" i="25"/>
  <c r="L267" i="25"/>
  <c r="M267" i="25"/>
  <c r="N267" i="25"/>
  <c r="O267" i="25"/>
  <c r="H268" i="25"/>
  <c r="J268" i="25"/>
  <c r="K268" i="25"/>
  <c r="L268" i="25"/>
  <c r="M268" i="25"/>
  <c r="N268" i="25"/>
  <c r="O268" i="25"/>
  <c r="H269" i="25"/>
  <c r="J269" i="25"/>
  <c r="K269" i="25"/>
  <c r="L269" i="25"/>
  <c r="M269" i="25"/>
  <c r="N269" i="25"/>
  <c r="O269" i="25"/>
  <c r="H270" i="25"/>
  <c r="J270" i="25"/>
  <c r="K270" i="25"/>
  <c r="L270" i="25"/>
  <c r="M270" i="25"/>
  <c r="N270" i="25"/>
  <c r="O270" i="25"/>
  <c r="H271" i="25"/>
  <c r="J271" i="25"/>
  <c r="K271" i="25"/>
  <c r="L271" i="25"/>
  <c r="M271" i="25"/>
  <c r="N271" i="25"/>
  <c r="O271" i="25"/>
  <c r="H272" i="25"/>
  <c r="J272" i="25"/>
  <c r="K272" i="25"/>
  <c r="L272" i="25"/>
  <c r="M272" i="25"/>
  <c r="N272" i="25"/>
  <c r="O272" i="25"/>
  <c r="H273" i="25"/>
  <c r="J273" i="25"/>
  <c r="K273" i="25"/>
  <c r="L273" i="25"/>
  <c r="M273" i="25"/>
  <c r="N273" i="25"/>
  <c r="O273" i="25"/>
  <c r="H274" i="25"/>
  <c r="J274" i="25"/>
  <c r="K274" i="25"/>
  <c r="L274" i="25"/>
  <c r="M274" i="25"/>
  <c r="N274" i="25"/>
  <c r="O274" i="25"/>
  <c r="H275" i="25"/>
  <c r="J275" i="25"/>
  <c r="K275" i="25"/>
  <c r="L275" i="25"/>
  <c r="M275" i="25"/>
  <c r="N275" i="25"/>
  <c r="O275" i="25"/>
  <c r="H276" i="25"/>
  <c r="J276" i="25"/>
  <c r="K276" i="25"/>
  <c r="L276" i="25"/>
  <c r="M276" i="25"/>
  <c r="N276" i="25"/>
  <c r="O276" i="25"/>
  <c r="H277" i="25"/>
  <c r="J277" i="25"/>
  <c r="K277" i="25"/>
  <c r="L277" i="25"/>
  <c r="M277" i="25"/>
  <c r="N277" i="25"/>
  <c r="O277" i="25"/>
  <c r="H278" i="25"/>
  <c r="J278" i="25"/>
  <c r="K278" i="25"/>
  <c r="L278" i="25"/>
  <c r="M278" i="25"/>
  <c r="N278" i="25"/>
  <c r="O278" i="25"/>
  <c r="H279" i="25"/>
  <c r="J279" i="25"/>
  <c r="K279" i="25"/>
  <c r="L279" i="25"/>
  <c r="M279" i="25"/>
  <c r="N279" i="25"/>
  <c r="O279" i="25"/>
  <c r="H280" i="25"/>
  <c r="J280" i="25"/>
  <c r="K280" i="25"/>
  <c r="L280" i="25"/>
  <c r="M280" i="25"/>
  <c r="N280" i="25"/>
  <c r="O280" i="25"/>
  <c r="H281" i="25"/>
  <c r="J281" i="25"/>
  <c r="K281" i="25"/>
  <c r="L281" i="25"/>
  <c r="M281" i="25"/>
  <c r="N281" i="25"/>
  <c r="O281" i="25"/>
  <c r="H282" i="25"/>
  <c r="J282" i="25"/>
  <c r="K282" i="25"/>
  <c r="L282" i="25"/>
  <c r="M282" i="25"/>
  <c r="N282" i="25"/>
  <c r="O282" i="25"/>
  <c r="H283" i="25"/>
  <c r="J283" i="25"/>
  <c r="K283" i="25"/>
  <c r="L283" i="25"/>
  <c r="M283" i="25"/>
  <c r="N283" i="25"/>
  <c r="O283" i="25"/>
  <c r="H284" i="25"/>
  <c r="J284" i="25"/>
  <c r="K284" i="25"/>
  <c r="L284" i="25"/>
  <c r="M284" i="25"/>
  <c r="N284" i="25"/>
  <c r="O284" i="25"/>
  <c r="H285" i="25"/>
  <c r="J285" i="25"/>
  <c r="K285" i="25"/>
  <c r="L285" i="25"/>
  <c r="M285" i="25"/>
  <c r="N285" i="25"/>
  <c r="O285" i="25"/>
  <c r="H286" i="25"/>
  <c r="J286" i="25"/>
  <c r="K286" i="25"/>
  <c r="L286" i="25"/>
  <c r="M286" i="25"/>
  <c r="N286" i="25"/>
  <c r="O286" i="25"/>
  <c r="H287" i="25"/>
  <c r="J287" i="25"/>
  <c r="K287" i="25"/>
  <c r="L287" i="25"/>
  <c r="M287" i="25"/>
  <c r="N287" i="25"/>
  <c r="O287" i="25"/>
  <c r="H288" i="25"/>
  <c r="J288" i="25"/>
  <c r="K288" i="25"/>
  <c r="L288" i="25"/>
  <c r="M288" i="25"/>
  <c r="N288" i="25"/>
  <c r="O288" i="25"/>
  <c r="H289" i="25"/>
  <c r="J289" i="25"/>
  <c r="K289" i="25"/>
  <c r="L289" i="25"/>
  <c r="M289" i="25"/>
  <c r="N289" i="25"/>
  <c r="O289" i="25"/>
  <c r="H290" i="25"/>
  <c r="J290" i="25"/>
  <c r="K290" i="25"/>
  <c r="L290" i="25"/>
  <c r="M290" i="25"/>
  <c r="N290" i="25"/>
  <c r="O290" i="25"/>
  <c r="H291" i="25"/>
  <c r="J291" i="25"/>
  <c r="K291" i="25"/>
  <c r="L291" i="25"/>
  <c r="M291" i="25"/>
  <c r="N291" i="25"/>
  <c r="O291" i="25"/>
  <c r="H292" i="25"/>
  <c r="J292" i="25"/>
  <c r="K292" i="25"/>
  <c r="L292" i="25"/>
  <c r="M292" i="25"/>
  <c r="N292" i="25"/>
  <c r="O292" i="25"/>
  <c r="H293" i="25"/>
  <c r="J293" i="25"/>
  <c r="K293" i="25"/>
  <c r="L293" i="25"/>
  <c r="M293" i="25"/>
  <c r="N293" i="25"/>
  <c r="O293" i="25"/>
  <c r="H294" i="25"/>
  <c r="J294" i="25"/>
  <c r="K294" i="25"/>
  <c r="L294" i="25"/>
  <c r="M294" i="25"/>
  <c r="N294" i="25"/>
  <c r="O294" i="25"/>
  <c r="H295" i="25"/>
  <c r="J295" i="25"/>
  <c r="K295" i="25"/>
  <c r="L295" i="25"/>
  <c r="M295" i="25"/>
  <c r="N295" i="25"/>
  <c r="O295" i="25"/>
  <c r="H296" i="25"/>
  <c r="J296" i="25"/>
  <c r="K296" i="25"/>
  <c r="L296" i="25"/>
  <c r="M296" i="25"/>
  <c r="N296" i="25"/>
  <c r="O296" i="25"/>
  <c r="H297" i="25"/>
  <c r="J297" i="25"/>
  <c r="K297" i="25"/>
  <c r="L297" i="25"/>
  <c r="M297" i="25"/>
  <c r="N297" i="25"/>
  <c r="O297" i="25"/>
  <c r="H298" i="25"/>
  <c r="J298" i="25"/>
  <c r="K298" i="25"/>
  <c r="L298" i="25"/>
  <c r="M298" i="25"/>
  <c r="N298" i="25"/>
  <c r="O298" i="25"/>
  <c r="H299" i="25"/>
  <c r="J299" i="25"/>
  <c r="K299" i="25"/>
  <c r="L299" i="25"/>
  <c r="M299" i="25"/>
  <c r="N299" i="25"/>
  <c r="O299" i="25"/>
  <c r="H300" i="25"/>
  <c r="J300" i="25"/>
  <c r="K300" i="25"/>
  <c r="L300" i="25"/>
  <c r="M300" i="25"/>
  <c r="N300" i="25"/>
  <c r="O300" i="25"/>
  <c r="H301" i="25"/>
  <c r="J301" i="25"/>
  <c r="K301" i="25"/>
  <c r="L301" i="25"/>
  <c r="M301" i="25"/>
  <c r="N301" i="25"/>
  <c r="O301" i="25"/>
  <c r="H302" i="25"/>
  <c r="J302" i="25"/>
  <c r="K302" i="25"/>
  <c r="L302" i="25"/>
  <c r="M302" i="25"/>
  <c r="N302" i="25"/>
  <c r="O302" i="25"/>
  <c r="H303" i="25"/>
  <c r="J303" i="25"/>
  <c r="K303" i="25"/>
  <c r="L303" i="25"/>
  <c r="M303" i="25"/>
  <c r="N303" i="25"/>
  <c r="O303" i="25"/>
  <c r="H304" i="25"/>
  <c r="J304" i="25"/>
  <c r="K304" i="25"/>
  <c r="L304" i="25"/>
  <c r="M304" i="25"/>
  <c r="N304" i="25"/>
  <c r="O304" i="25"/>
  <c r="H305" i="25"/>
  <c r="J305" i="25"/>
  <c r="K305" i="25"/>
  <c r="L305" i="25"/>
  <c r="M305" i="25"/>
  <c r="N305" i="25"/>
  <c r="O305" i="25"/>
  <c r="H306" i="25"/>
  <c r="J306" i="25"/>
  <c r="K306" i="25"/>
  <c r="L306" i="25"/>
  <c r="M306" i="25"/>
  <c r="N306" i="25"/>
  <c r="O306" i="25"/>
  <c r="H307" i="25"/>
  <c r="J307" i="25"/>
  <c r="K307" i="25"/>
  <c r="L307" i="25"/>
  <c r="M307" i="25"/>
  <c r="N307" i="25"/>
  <c r="O307" i="25"/>
  <c r="H308" i="25"/>
  <c r="J308" i="25"/>
  <c r="K308" i="25"/>
  <c r="L308" i="25"/>
  <c r="M308" i="25"/>
  <c r="N308" i="25"/>
  <c r="O308" i="25"/>
  <c r="H309" i="25"/>
  <c r="J309" i="25"/>
  <c r="K309" i="25"/>
  <c r="L309" i="25"/>
  <c r="M309" i="25"/>
  <c r="N309" i="25"/>
  <c r="O309" i="25"/>
  <c r="H310" i="25"/>
  <c r="J310" i="25"/>
  <c r="K310" i="25"/>
  <c r="L310" i="25"/>
  <c r="M310" i="25"/>
  <c r="N310" i="25"/>
  <c r="O310" i="25"/>
  <c r="H311" i="25"/>
  <c r="J311" i="25"/>
  <c r="K311" i="25"/>
  <c r="L311" i="25"/>
  <c r="M311" i="25"/>
  <c r="N311" i="25"/>
  <c r="O311" i="25"/>
  <c r="H312" i="25"/>
  <c r="J312" i="25"/>
  <c r="K312" i="25"/>
  <c r="L312" i="25"/>
  <c r="M312" i="25"/>
  <c r="N312" i="25"/>
  <c r="O312" i="25"/>
  <c r="H313" i="25"/>
  <c r="J313" i="25"/>
  <c r="K313" i="25"/>
  <c r="L313" i="25"/>
  <c r="M313" i="25"/>
  <c r="N313" i="25"/>
  <c r="O313" i="25"/>
  <c r="H314" i="25"/>
  <c r="J314" i="25"/>
  <c r="K314" i="25"/>
  <c r="L314" i="25"/>
  <c r="M314" i="25"/>
  <c r="N314" i="25"/>
  <c r="O314" i="25"/>
  <c r="H315" i="25"/>
  <c r="J315" i="25"/>
  <c r="K315" i="25"/>
  <c r="L315" i="25"/>
  <c r="M315" i="25"/>
  <c r="N315" i="25"/>
  <c r="O315" i="25"/>
  <c r="H316" i="25"/>
  <c r="J316" i="25"/>
  <c r="K316" i="25"/>
  <c r="L316" i="25"/>
  <c r="M316" i="25"/>
  <c r="N316" i="25"/>
  <c r="O316" i="25"/>
  <c r="H317" i="25"/>
  <c r="J317" i="25"/>
  <c r="K317" i="25"/>
  <c r="L317" i="25"/>
  <c r="M317" i="25"/>
  <c r="N317" i="25"/>
  <c r="O317" i="25"/>
  <c r="H318" i="25"/>
  <c r="J318" i="25"/>
  <c r="K318" i="25"/>
  <c r="L318" i="25"/>
  <c r="M318" i="25"/>
  <c r="N318" i="25"/>
  <c r="O318" i="25"/>
  <c r="H319" i="25"/>
  <c r="J319" i="25"/>
  <c r="K319" i="25"/>
  <c r="L319" i="25"/>
  <c r="M319" i="25"/>
  <c r="N319" i="25"/>
  <c r="O319" i="25"/>
  <c r="H320" i="25"/>
  <c r="J320" i="25"/>
  <c r="K320" i="25"/>
  <c r="L320" i="25"/>
  <c r="M320" i="25"/>
  <c r="N320" i="25"/>
  <c r="O320" i="25"/>
  <c r="H321" i="25"/>
  <c r="J321" i="25"/>
  <c r="K321" i="25"/>
  <c r="L321" i="25"/>
  <c r="M321" i="25"/>
  <c r="N321" i="25"/>
  <c r="O321" i="25"/>
  <c r="H322" i="25"/>
  <c r="J322" i="25"/>
  <c r="K322" i="25"/>
  <c r="L322" i="25"/>
  <c r="M322" i="25"/>
  <c r="N322" i="25"/>
  <c r="O322" i="25"/>
  <c r="H323" i="25"/>
  <c r="J323" i="25"/>
  <c r="K323" i="25"/>
  <c r="L323" i="25"/>
  <c r="M323" i="25"/>
  <c r="N323" i="25"/>
  <c r="O323" i="25"/>
  <c r="H324" i="25"/>
  <c r="J324" i="25"/>
  <c r="K324" i="25"/>
  <c r="L324" i="25"/>
  <c r="M324" i="25"/>
  <c r="N324" i="25"/>
  <c r="O324" i="25"/>
  <c r="H325" i="25"/>
  <c r="J325" i="25"/>
  <c r="K325" i="25"/>
  <c r="L325" i="25"/>
  <c r="M325" i="25"/>
  <c r="N325" i="25"/>
  <c r="O325" i="25"/>
  <c r="H326" i="25"/>
  <c r="J326" i="25"/>
  <c r="K326" i="25"/>
  <c r="L326" i="25"/>
  <c r="M326" i="25"/>
  <c r="N326" i="25"/>
  <c r="O326" i="25"/>
  <c r="H327" i="25"/>
  <c r="J327" i="25"/>
  <c r="K327" i="25"/>
  <c r="L327" i="25"/>
  <c r="M327" i="25"/>
  <c r="N327" i="25"/>
  <c r="O327" i="25"/>
  <c r="H328" i="25"/>
  <c r="J328" i="25"/>
  <c r="K328" i="25"/>
  <c r="L328" i="25"/>
  <c r="M328" i="25"/>
  <c r="N328" i="25"/>
  <c r="O328" i="25"/>
  <c r="H329" i="25"/>
  <c r="J329" i="25"/>
  <c r="K329" i="25"/>
  <c r="L329" i="25"/>
  <c r="M329" i="25"/>
  <c r="N329" i="25"/>
  <c r="O329" i="25"/>
  <c r="H330" i="25"/>
  <c r="J330" i="25"/>
  <c r="K330" i="25"/>
  <c r="L330" i="25"/>
  <c r="M330" i="25"/>
  <c r="N330" i="25"/>
  <c r="O330" i="25"/>
  <c r="H331" i="25"/>
  <c r="J331" i="25"/>
  <c r="K331" i="25"/>
  <c r="L331" i="25"/>
  <c r="M331" i="25"/>
  <c r="N331" i="25"/>
  <c r="O331" i="25"/>
  <c r="H332" i="25"/>
  <c r="J332" i="25"/>
  <c r="K332" i="25"/>
  <c r="L332" i="25"/>
  <c r="M332" i="25"/>
  <c r="N332" i="25"/>
  <c r="O332" i="25"/>
  <c r="H333" i="25"/>
  <c r="J333" i="25"/>
  <c r="K333" i="25"/>
  <c r="L333" i="25"/>
  <c r="M333" i="25"/>
  <c r="N333" i="25"/>
  <c r="O333" i="25"/>
  <c r="H334" i="25"/>
  <c r="J334" i="25"/>
  <c r="K334" i="25"/>
  <c r="L334" i="25"/>
  <c r="M334" i="25"/>
  <c r="N334" i="25"/>
  <c r="O334" i="25"/>
  <c r="H335" i="25"/>
  <c r="J335" i="25"/>
  <c r="K335" i="25"/>
  <c r="L335" i="25"/>
  <c r="M335" i="25"/>
  <c r="N335" i="25"/>
  <c r="O335" i="25"/>
  <c r="H336" i="25"/>
  <c r="J336" i="25"/>
  <c r="K336" i="25"/>
  <c r="L336" i="25"/>
  <c r="M336" i="25"/>
  <c r="N336" i="25"/>
  <c r="O336" i="25"/>
  <c r="H337" i="25"/>
  <c r="J337" i="25"/>
  <c r="K337" i="25"/>
  <c r="L337" i="25"/>
  <c r="M337" i="25"/>
  <c r="N337" i="25"/>
  <c r="O337" i="25"/>
  <c r="H338" i="25"/>
  <c r="J338" i="25"/>
  <c r="K338" i="25"/>
  <c r="L338" i="25"/>
  <c r="M338" i="25"/>
  <c r="N338" i="25"/>
  <c r="O338" i="25"/>
  <c r="H339" i="25"/>
  <c r="J339" i="25"/>
  <c r="K339" i="25"/>
  <c r="L339" i="25"/>
  <c r="M339" i="25"/>
  <c r="N339" i="25"/>
  <c r="O339" i="25"/>
  <c r="H340" i="25"/>
  <c r="J340" i="25"/>
  <c r="K340" i="25"/>
  <c r="L340" i="25"/>
  <c r="M340" i="25"/>
  <c r="N340" i="25"/>
  <c r="O340" i="25"/>
  <c r="H341" i="25"/>
  <c r="J341" i="25"/>
  <c r="K341" i="25"/>
  <c r="L341" i="25"/>
  <c r="M341" i="25"/>
  <c r="N341" i="25"/>
  <c r="O341" i="25"/>
  <c r="H342" i="25"/>
  <c r="J342" i="25"/>
  <c r="K342" i="25"/>
  <c r="L342" i="25"/>
  <c r="M342" i="25"/>
  <c r="N342" i="25"/>
  <c r="O342" i="25"/>
  <c r="H343" i="25"/>
  <c r="J343" i="25"/>
  <c r="K343" i="25"/>
  <c r="L343" i="25"/>
  <c r="M343" i="25"/>
  <c r="N343" i="25"/>
  <c r="O343" i="25"/>
  <c r="H344" i="25"/>
  <c r="J344" i="25"/>
  <c r="K344" i="25"/>
  <c r="L344" i="25"/>
  <c r="M344" i="25"/>
  <c r="N344" i="25"/>
  <c r="O344" i="25"/>
  <c r="H345" i="25"/>
  <c r="J345" i="25"/>
  <c r="K345" i="25"/>
  <c r="L345" i="25"/>
  <c r="M345" i="25"/>
  <c r="N345" i="25"/>
  <c r="O345" i="25"/>
  <c r="H346" i="25"/>
  <c r="J346" i="25"/>
  <c r="K346" i="25"/>
  <c r="L346" i="25"/>
  <c r="M346" i="25"/>
  <c r="N346" i="25"/>
  <c r="O346" i="25"/>
  <c r="H347" i="25"/>
  <c r="J347" i="25"/>
  <c r="K347" i="25"/>
  <c r="L347" i="25"/>
  <c r="M347" i="25"/>
  <c r="N347" i="25"/>
  <c r="O347" i="25"/>
  <c r="H348" i="25"/>
  <c r="J348" i="25"/>
  <c r="K348" i="25"/>
  <c r="L348" i="25"/>
  <c r="M348" i="25"/>
  <c r="N348" i="25"/>
  <c r="O348" i="25"/>
  <c r="H349" i="25"/>
  <c r="J349" i="25"/>
  <c r="K349" i="25"/>
  <c r="L349" i="25"/>
  <c r="M349" i="25"/>
  <c r="N349" i="25"/>
  <c r="O349" i="25"/>
  <c r="H350" i="25"/>
  <c r="J350" i="25"/>
  <c r="K350" i="25"/>
  <c r="L350" i="25"/>
  <c r="M350" i="25"/>
  <c r="N350" i="25"/>
  <c r="O350" i="25"/>
  <c r="H351" i="25"/>
  <c r="J351" i="25"/>
  <c r="K351" i="25"/>
  <c r="L351" i="25"/>
  <c r="M351" i="25"/>
  <c r="N351" i="25"/>
  <c r="O351" i="25"/>
  <c r="H352" i="25"/>
  <c r="J352" i="25"/>
  <c r="K352" i="25"/>
  <c r="L352" i="25"/>
  <c r="M352" i="25"/>
  <c r="N352" i="25"/>
  <c r="O352" i="25"/>
  <c r="H353" i="25"/>
  <c r="J353" i="25"/>
  <c r="K353" i="25"/>
  <c r="L353" i="25"/>
  <c r="M353" i="25"/>
  <c r="N353" i="25"/>
  <c r="O353" i="25"/>
  <c r="H354" i="25"/>
  <c r="J354" i="25"/>
  <c r="K354" i="25"/>
  <c r="L354" i="25"/>
  <c r="M354" i="25"/>
  <c r="N354" i="25"/>
  <c r="O354" i="25"/>
  <c r="H355" i="25"/>
  <c r="J355" i="25"/>
  <c r="K355" i="25"/>
  <c r="L355" i="25"/>
  <c r="M355" i="25"/>
  <c r="N355" i="25"/>
  <c r="O355" i="25"/>
  <c r="H356" i="25"/>
  <c r="J356" i="25"/>
  <c r="K356" i="25"/>
  <c r="L356" i="25"/>
  <c r="M356" i="25"/>
  <c r="N356" i="25"/>
  <c r="O356" i="25"/>
  <c r="H357" i="25"/>
  <c r="J357" i="25"/>
  <c r="K357" i="25"/>
  <c r="L357" i="25"/>
  <c r="M357" i="25"/>
  <c r="N357" i="25"/>
  <c r="O357" i="25"/>
  <c r="H358" i="25"/>
  <c r="J358" i="25"/>
  <c r="K358" i="25"/>
  <c r="L358" i="25"/>
  <c r="M358" i="25"/>
  <c r="N358" i="25"/>
  <c r="O358" i="25"/>
  <c r="H359" i="25"/>
  <c r="J359" i="25"/>
  <c r="K359" i="25"/>
  <c r="L359" i="25"/>
  <c r="M359" i="25"/>
  <c r="N359" i="25"/>
  <c r="O359" i="25"/>
  <c r="H360" i="25"/>
  <c r="J360" i="25"/>
  <c r="K360" i="25"/>
  <c r="L360" i="25"/>
  <c r="M360" i="25"/>
  <c r="N360" i="25"/>
  <c r="O360" i="25"/>
  <c r="H361" i="25"/>
  <c r="J361" i="25"/>
  <c r="K361" i="25"/>
  <c r="L361" i="25"/>
  <c r="M361" i="25"/>
  <c r="N361" i="25"/>
  <c r="O361" i="25"/>
  <c r="H362" i="25"/>
  <c r="J362" i="25"/>
  <c r="K362" i="25"/>
  <c r="L362" i="25"/>
  <c r="M362" i="25"/>
  <c r="N362" i="25"/>
  <c r="O362" i="25"/>
  <c r="H363" i="25"/>
  <c r="J363" i="25"/>
  <c r="K363" i="25"/>
  <c r="L363" i="25"/>
  <c r="M363" i="25"/>
  <c r="N363" i="25"/>
  <c r="O363" i="25"/>
  <c r="H364" i="25"/>
  <c r="J364" i="25"/>
  <c r="K364" i="25"/>
  <c r="L364" i="25"/>
  <c r="M364" i="25"/>
  <c r="N364" i="25"/>
  <c r="O364" i="25"/>
  <c r="H365" i="25"/>
  <c r="J365" i="25"/>
  <c r="K365" i="25"/>
  <c r="L365" i="25"/>
  <c r="M365" i="25"/>
  <c r="N365" i="25"/>
  <c r="O365" i="25"/>
  <c r="H366" i="25"/>
  <c r="J366" i="25"/>
  <c r="K366" i="25"/>
  <c r="L366" i="25"/>
  <c r="M366" i="25"/>
  <c r="N366" i="25"/>
  <c r="O366" i="25"/>
  <c r="H367" i="25"/>
  <c r="J367" i="25"/>
  <c r="K367" i="25"/>
  <c r="L367" i="25"/>
  <c r="M367" i="25"/>
  <c r="N367" i="25"/>
  <c r="O367" i="25"/>
  <c r="H368" i="25"/>
  <c r="J368" i="25"/>
  <c r="K368" i="25"/>
  <c r="L368" i="25"/>
  <c r="M368" i="25"/>
  <c r="N368" i="25"/>
  <c r="O368" i="25"/>
  <c r="H369" i="25"/>
  <c r="J369" i="25"/>
  <c r="K369" i="25"/>
  <c r="L369" i="25"/>
  <c r="M369" i="25"/>
  <c r="N369" i="25"/>
  <c r="O369" i="25"/>
  <c r="H370" i="25"/>
  <c r="J370" i="25"/>
  <c r="K370" i="25"/>
  <c r="L370" i="25"/>
  <c r="M370" i="25"/>
  <c r="N370" i="25"/>
  <c r="O370" i="25"/>
  <c r="H371" i="25"/>
  <c r="J371" i="25"/>
  <c r="K371" i="25"/>
  <c r="L371" i="25"/>
  <c r="M371" i="25"/>
  <c r="N371" i="25"/>
  <c r="O371" i="25"/>
  <c r="H372" i="25"/>
  <c r="J372" i="25"/>
  <c r="K372" i="25"/>
  <c r="L372" i="25"/>
  <c r="M372" i="25"/>
  <c r="N372" i="25"/>
  <c r="O372" i="25"/>
  <c r="H373" i="25"/>
  <c r="J373" i="25"/>
  <c r="K373" i="25"/>
  <c r="L373" i="25"/>
  <c r="M373" i="25"/>
  <c r="N373" i="25"/>
  <c r="O373" i="25"/>
  <c r="H374" i="25"/>
  <c r="J374" i="25"/>
  <c r="K374" i="25"/>
  <c r="L374" i="25"/>
  <c r="M374" i="25"/>
  <c r="N374" i="25"/>
  <c r="O374" i="25"/>
  <c r="H375" i="25"/>
  <c r="J375" i="25"/>
  <c r="K375" i="25"/>
  <c r="L375" i="25"/>
  <c r="M375" i="25"/>
  <c r="N375" i="25"/>
  <c r="O375" i="25"/>
  <c r="H376" i="25"/>
  <c r="J376" i="25"/>
  <c r="K376" i="25"/>
  <c r="L376" i="25"/>
  <c r="M376" i="25"/>
  <c r="N376" i="25"/>
  <c r="O376" i="25"/>
  <c r="H377" i="25"/>
  <c r="J377" i="25"/>
  <c r="K377" i="25"/>
  <c r="L377" i="25"/>
  <c r="M377" i="25"/>
  <c r="N377" i="25"/>
  <c r="O377" i="25"/>
  <c r="H378" i="25"/>
  <c r="J378" i="25"/>
  <c r="K378" i="25"/>
  <c r="L378" i="25"/>
  <c r="M378" i="25"/>
  <c r="N378" i="25"/>
  <c r="O378" i="25"/>
  <c r="H379" i="25"/>
  <c r="J379" i="25"/>
  <c r="K379" i="25"/>
  <c r="L379" i="25"/>
  <c r="M379" i="25"/>
  <c r="N379" i="25"/>
  <c r="O379" i="25"/>
  <c r="H380" i="25"/>
  <c r="J380" i="25"/>
  <c r="K380" i="25"/>
  <c r="L380" i="25"/>
  <c r="M380" i="25"/>
  <c r="N380" i="25"/>
  <c r="O380" i="25"/>
  <c r="H381" i="25"/>
  <c r="J381" i="25"/>
  <c r="K381" i="25"/>
  <c r="L381" i="25"/>
  <c r="M381" i="25"/>
  <c r="N381" i="25"/>
  <c r="O381" i="25"/>
  <c r="H382" i="25"/>
  <c r="J382" i="25"/>
  <c r="K382" i="25"/>
  <c r="L382" i="25"/>
  <c r="M382" i="25"/>
  <c r="N382" i="25"/>
  <c r="O382" i="25"/>
  <c r="H383" i="25"/>
  <c r="J383" i="25"/>
  <c r="K383" i="25"/>
  <c r="L383" i="25"/>
  <c r="M383" i="25"/>
  <c r="N383" i="25"/>
  <c r="O383" i="25"/>
  <c r="H384" i="25"/>
  <c r="J384" i="25"/>
  <c r="K384" i="25"/>
  <c r="L384" i="25"/>
  <c r="M384" i="25"/>
  <c r="N384" i="25"/>
  <c r="O384" i="25"/>
  <c r="H385" i="25"/>
  <c r="J385" i="25"/>
  <c r="K385" i="25"/>
  <c r="L385" i="25"/>
  <c r="M385" i="25"/>
  <c r="N385" i="25"/>
  <c r="O385" i="25"/>
  <c r="H386" i="25"/>
  <c r="J386" i="25"/>
  <c r="K386" i="25"/>
  <c r="L386" i="25"/>
  <c r="M386" i="25"/>
  <c r="N386" i="25"/>
  <c r="O386" i="25"/>
  <c r="H387" i="25"/>
  <c r="J387" i="25"/>
  <c r="K387" i="25"/>
  <c r="L387" i="25"/>
  <c r="M387" i="25"/>
  <c r="N387" i="25"/>
  <c r="O387" i="25"/>
  <c r="H388" i="25"/>
  <c r="J388" i="25"/>
  <c r="K388" i="25"/>
  <c r="L388" i="25"/>
  <c r="M388" i="25"/>
  <c r="N388" i="25"/>
  <c r="O388" i="25"/>
  <c r="H389" i="25"/>
  <c r="J389" i="25"/>
  <c r="K389" i="25"/>
  <c r="L389" i="25"/>
  <c r="M389" i="25"/>
  <c r="N389" i="25"/>
  <c r="O389" i="25"/>
  <c r="H390" i="25"/>
  <c r="J390" i="25"/>
  <c r="K390" i="25"/>
  <c r="L390" i="25"/>
  <c r="M390" i="25"/>
  <c r="N390" i="25"/>
  <c r="O390" i="25"/>
  <c r="H391" i="25"/>
  <c r="J391" i="25"/>
  <c r="K391" i="25"/>
  <c r="L391" i="25"/>
  <c r="M391" i="25"/>
  <c r="N391" i="25"/>
  <c r="O391" i="25"/>
  <c r="H392" i="25"/>
  <c r="J392" i="25"/>
  <c r="K392" i="25"/>
  <c r="L392" i="25"/>
  <c r="M392" i="25"/>
  <c r="N392" i="25"/>
  <c r="O392" i="25"/>
  <c r="H393" i="25"/>
  <c r="J393" i="25"/>
  <c r="K393" i="25"/>
  <c r="L393" i="25"/>
  <c r="M393" i="25"/>
  <c r="N393" i="25"/>
  <c r="O393" i="25"/>
  <c r="H394" i="25"/>
  <c r="J394" i="25"/>
  <c r="K394" i="25"/>
  <c r="L394" i="25"/>
  <c r="M394" i="25"/>
  <c r="N394" i="25"/>
  <c r="O394" i="25"/>
  <c r="H395" i="25"/>
  <c r="J395" i="25"/>
  <c r="K395" i="25"/>
  <c r="L395" i="25"/>
  <c r="M395" i="25"/>
  <c r="N395" i="25"/>
  <c r="O395" i="25"/>
  <c r="H396" i="25"/>
  <c r="J396" i="25"/>
  <c r="K396" i="25"/>
  <c r="L396" i="25"/>
  <c r="M396" i="25"/>
  <c r="N396" i="25"/>
  <c r="O396" i="25"/>
  <c r="H397" i="25"/>
  <c r="J397" i="25"/>
  <c r="K397" i="25"/>
  <c r="L397" i="25"/>
  <c r="M397" i="25"/>
  <c r="N397" i="25"/>
  <c r="O397" i="25"/>
  <c r="H398" i="25"/>
  <c r="J398" i="25"/>
  <c r="K398" i="25"/>
  <c r="L398" i="25"/>
  <c r="M398" i="25"/>
  <c r="N398" i="25"/>
  <c r="O398" i="25"/>
  <c r="H399" i="25"/>
  <c r="J399" i="25"/>
  <c r="K399" i="25"/>
  <c r="L399" i="25"/>
  <c r="M399" i="25"/>
  <c r="N399" i="25"/>
  <c r="O399" i="25"/>
  <c r="H400" i="25"/>
  <c r="J400" i="25"/>
  <c r="K400" i="25"/>
  <c r="L400" i="25"/>
  <c r="M400" i="25"/>
  <c r="N400" i="25"/>
  <c r="O400" i="25"/>
  <c r="H401" i="25"/>
  <c r="J401" i="25"/>
  <c r="K401" i="25"/>
  <c r="L401" i="25"/>
  <c r="M401" i="25"/>
  <c r="N401" i="25"/>
  <c r="O401" i="25"/>
  <c r="H402" i="25"/>
  <c r="J402" i="25"/>
  <c r="K402" i="25"/>
  <c r="L402" i="25"/>
  <c r="M402" i="25"/>
  <c r="N402" i="25"/>
  <c r="O402" i="25"/>
  <c r="H403" i="25"/>
  <c r="J403" i="25"/>
  <c r="K403" i="25"/>
  <c r="L403" i="25"/>
  <c r="M403" i="25"/>
  <c r="N403" i="25"/>
  <c r="O403" i="25"/>
  <c r="H404" i="25"/>
  <c r="J404" i="25"/>
  <c r="K404" i="25"/>
  <c r="L404" i="25"/>
  <c r="M404" i="25"/>
  <c r="N404" i="25"/>
  <c r="O404" i="25"/>
  <c r="H405" i="25"/>
  <c r="J405" i="25"/>
  <c r="K405" i="25"/>
  <c r="L405" i="25"/>
  <c r="M405" i="25"/>
  <c r="N405" i="25"/>
  <c r="O405" i="25"/>
  <c r="H406" i="25"/>
  <c r="J406" i="25"/>
  <c r="K406" i="25"/>
  <c r="L406" i="25"/>
  <c r="M406" i="25"/>
  <c r="N406" i="25"/>
  <c r="O406" i="25"/>
  <c r="H407" i="25"/>
  <c r="J407" i="25"/>
  <c r="K407" i="25"/>
  <c r="L407" i="25"/>
  <c r="M407" i="25"/>
  <c r="N407" i="25"/>
  <c r="O407" i="25"/>
  <c r="H408" i="25"/>
  <c r="J408" i="25"/>
  <c r="K408" i="25"/>
  <c r="L408" i="25"/>
  <c r="M408" i="25"/>
  <c r="N408" i="25"/>
  <c r="O408" i="25"/>
  <c r="H409" i="25"/>
  <c r="J409" i="25"/>
  <c r="K409" i="25"/>
  <c r="L409" i="25"/>
  <c r="M409" i="25"/>
  <c r="N409" i="25"/>
  <c r="O409" i="25"/>
  <c r="H410" i="25"/>
  <c r="J410" i="25"/>
  <c r="K410" i="25"/>
  <c r="L410" i="25"/>
  <c r="M410" i="25"/>
  <c r="N410" i="25"/>
  <c r="O410" i="25"/>
  <c r="H411" i="25"/>
  <c r="J411" i="25"/>
  <c r="K411" i="25"/>
  <c r="L411" i="25"/>
  <c r="M411" i="25"/>
  <c r="N411" i="25"/>
  <c r="O411" i="25"/>
  <c r="H412" i="25"/>
  <c r="J412" i="25"/>
  <c r="K412" i="25"/>
  <c r="L412" i="25"/>
  <c r="M412" i="25"/>
  <c r="N412" i="25"/>
  <c r="O412" i="25"/>
  <c r="H413" i="25"/>
  <c r="J413" i="25"/>
  <c r="K413" i="25"/>
  <c r="L413" i="25"/>
  <c r="M413" i="25"/>
  <c r="N413" i="25"/>
  <c r="O413" i="25"/>
  <c r="H414" i="25"/>
  <c r="J414" i="25"/>
  <c r="K414" i="25"/>
  <c r="L414" i="25"/>
  <c r="M414" i="25"/>
  <c r="N414" i="25"/>
  <c r="O414" i="25"/>
  <c r="H415" i="25"/>
  <c r="J415" i="25"/>
  <c r="K415" i="25"/>
  <c r="L415" i="25"/>
  <c r="M415" i="25"/>
  <c r="N415" i="25"/>
  <c r="O415" i="25"/>
  <c r="H416" i="25"/>
  <c r="J416" i="25"/>
  <c r="K416" i="25"/>
  <c r="L416" i="25"/>
  <c r="M416" i="25"/>
  <c r="N416" i="25"/>
  <c r="O416" i="25"/>
  <c r="H417" i="25"/>
  <c r="J417" i="25"/>
  <c r="K417" i="25"/>
  <c r="L417" i="25"/>
  <c r="M417" i="25"/>
  <c r="N417" i="25"/>
  <c r="O417" i="25"/>
  <c r="H418" i="25"/>
  <c r="J418" i="25"/>
  <c r="K418" i="25"/>
  <c r="L418" i="25"/>
  <c r="M418" i="25"/>
  <c r="N418" i="25"/>
  <c r="O418" i="25"/>
  <c r="H419" i="25"/>
  <c r="J419" i="25"/>
  <c r="K419" i="25"/>
  <c r="L419" i="25"/>
  <c r="M419" i="25"/>
  <c r="N419" i="25"/>
  <c r="O419" i="25"/>
  <c r="H420" i="25"/>
  <c r="J420" i="25"/>
  <c r="K420" i="25"/>
  <c r="L420" i="25"/>
  <c r="M420" i="25"/>
  <c r="N420" i="25"/>
  <c r="O420" i="25"/>
  <c r="H421" i="25"/>
  <c r="J421" i="25"/>
  <c r="K421" i="25"/>
  <c r="L421" i="25"/>
  <c r="M421" i="25"/>
  <c r="N421" i="25"/>
  <c r="O421" i="25"/>
  <c r="H422" i="25"/>
  <c r="J422" i="25"/>
  <c r="K422" i="25"/>
  <c r="L422" i="25"/>
  <c r="M422" i="25"/>
  <c r="N422" i="25"/>
  <c r="O422" i="25"/>
  <c r="H423" i="25"/>
  <c r="J423" i="25"/>
  <c r="K423" i="25"/>
  <c r="L423" i="25"/>
  <c r="M423" i="25"/>
  <c r="N423" i="25"/>
  <c r="O423" i="25"/>
  <c r="H424" i="25"/>
  <c r="J424" i="25"/>
  <c r="K424" i="25"/>
  <c r="L424" i="25"/>
  <c r="M424" i="25"/>
  <c r="N424" i="25"/>
  <c r="O424" i="25"/>
  <c r="H425" i="25"/>
  <c r="J425" i="25"/>
  <c r="K425" i="25"/>
  <c r="L425" i="25"/>
  <c r="M425" i="25"/>
  <c r="N425" i="25"/>
  <c r="O425" i="25"/>
  <c r="H426" i="25"/>
  <c r="J426" i="25"/>
  <c r="K426" i="25"/>
  <c r="L426" i="25"/>
  <c r="M426" i="25"/>
  <c r="N426" i="25"/>
  <c r="O426" i="25"/>
  <c r="H427" i="25"/>
  <c r="J427" i="25"/>
  <c r="K427" i="25"/>
  <c r="L427" i="25"/>
  <c r="M427" i="25"/>
  <c r="N427" i="25"/>
  <c r="O427" i="25"/>
  <c r="H428" i="25"/>
  <c r="J428" i="25"/>
  <c r="K428" i="25"/>
  <c r="L428" i="25"/>
  <c r="M428" i="25"/>
  <c r="N428" i="25"/>
  <c r="O428" i="25"/>
  <c r="H429" i="25"/>
  <c r="J429" i="25"/>
  <c r="K429" i="25"/>
  <c r="L429" i="25"/>
  <c r="M429" i="25"/>
  <c r="N429" i="25"/>
  <c r="O429" i="25"/>
  <c r="H430" i="25"/>
  <c r="J430" i="25"/>
  <c r="K430" i="25"/>
  <c r="L430" i="25"/>
  <c r="M430" i="25"/>
  <c r="N430" i="25"/>
  <c r="O430" i="25"/>
  <c r="H431" i="25"/>
  <c r="J431" i="25"/>
  <c r="K431" i="25"/>
  <c r="L431" i="25"/>
  <c r="M431" i="25"/>
  <c r="N431" i="25"/>
  <c r="O431" i="25"/>
  <c r="H432" i="25"/>
  <c r="J432" i="25"/>
  <c r="K432" i="25"/>
  <c r="L432" i="25"/>
  <c r="M432" i="25"/>
  <c r="N432" i="25"/>
  <c r="O432" i="25"/>
  <c r="H433" i="25"/>
  <c r="J433" i="25"/>
  <c r="K433" i="25"/>
  <c r="L433" i="25"/>
  <c r="M433" i="25"/>
  <c r="N433" i="25"/>
  <c r="O433" i="25"/>
  <c r="H434" i="25"/>
  <c r="J434" i="25"/>
  <c r="K434" i="25"/>
  <c r="L434" i="25"/>
  <c r="M434" i="25"/>
  <c r="N434" i="25"/>
  <c r="O434" i="25"/>
  <c r="H435" i="25"/>
  <c r="J435" i="25"/>
  <c r="K435" i="25"/>
  <c r="L435" i="25"/>
  <c r="M435" i="25"/>
  <c r="N435" i="25"/>
  <c r="O435" i="25"/>
  <c r="H436" i="25"/>
  <c r="J436" i="25"/>
  <c r="K436" i="25"/>
  <c r="L436" i="25"/>
  <c r="M436" i="25"/>
  <c r="N436" i="25"/>
  <c r="O436" i="25"/>
  <c r="H437" i="25"/>
  <c r="J437" i="25"/>
  <c r="K437" i="25"/>
  <c r="L437" i="25"/>
  <c r="M437" i="25"/>
  <c r="N437" i="25"/>
  <c r="O437" i="25"/>
  <c r="H438" i="25"/>
  <c r="J438" i="25"/>
  <c r="K438" i="25"/>
  <c r="L438" i="25"/>
  <c r="M438" i="25"/>
  <c r="N438" i="25"/>
  <c r="O438" i="25"/>
  <c r="H439" i="25"/>
  <c r="J439" i="25"/>
  <c r="K439" i="25"/>
  <c r="L439" i="25"/>
  <c r="M439" i="25"/>
  <c r="N439" i="25"/>
  <c r="O439" i="25"/>
  <c r="H440" i="25"/>
  <c r="J440" i="25"/>
  <c r="K440" i="25"/>
  <c r="L440" i="25"/>
  <c r="M440" i="25"/>
  <c r="N440" i="25"/>
  <c r="O440" i="25"/>
  <c r="H441" i="25"/>
  <c r="J441" i="25"/>
  <c r="K441" i="25"/>
  <c r="L441" i="25"/>
  <c r="M441" i="25"/>
  <c r="N441" i="25"/>
  <c r="O441" i="25"/>
  <c r="H442" i="25"/>
  <c r="J442" i="25"/>
  <c r="K442" i="25"/>
  <c r="L442" i="25"/>
  <c r="M442" i="25"/>
  <c r="N442" i="25"/>
  <c r="O442" i="25"/>
  <c r="H443" i="25"/>
  <c r="J443" i="25"/>
  <c r="K443" i="25"/>
  <c r="L443" i="25"/>
  <c r="M443" i="25"/>
  <c r="N443" i="25"/>
  <c r="O443" i="25"/>
  <c r="H444" i="25"/>
  <c r="J444" i="25"/>
  <c r="K444" i="25"/>
  <c r="L444" i="25"/>
  <c r="M444" i="25"/>
  <c r="N444" i="25"/>
  <c r="O444" i="25"/>
  <c r="H445" i="25"/>
  <c r="J445" i="25"/>
  <c r="K445" i="25"/>
  <c r="L445" i="25"/>
  <c r="M445" i="25"/>
  <c r="N445" i="25"/>
  <c r="O445" i="25"/>
  <c r="H446" i="25"/>
  <c r="J446" i="25"/>
  <c r="K446" i="25"/>
  <c r="L446" i="25"/>
  <c r="M446" i="25"/>
  <c r="N446" i="25"/>
  <c r="O446" i="25"/>
  <c r="H447" i="25"/>
  <c r="J447" i="25"/>
  <c r="K447" i="25"/>
  <c r="L447" i="25"/>
  <c r="M447" i="25"/>
  <c r="N447" i="25"/>
  <c r="O447" i="25"/>
  <c r="H448" i="25"/>
  <c r="J448" i="25"/>
  <c r="K448" i="25"/>
  <c r="L448" i="25"/>
  <c r="M448" i="25"/>
  <c r="N448" i="25"/>
  <c r="O448" i="25"/>
  <c r="H449" i="25"/>
  <c r="J449" i="25"/>
  <c r="K449" i="25"/>
  <c r="L449" i="25"/>
  <c r="M449" i="25"/>
  <c r="N449" i="25"/>
  <c r="O449" i="25"/>
  <c r="H450" i="25"/>
  <c r="J450" i="25"/>
  <c r="K450" i="25"/>
  <c r="L450" i="25"/>
  <c r="M450" i="25"/>
  <c r="N450" i="25"/>
  <c r="O450" i="25"/>
  <c r="H451" i="25"/>
  <c r="J451" i="25"/>
  <c r="K451" i="25"/>
  <c r="L451" i="25"/>
  <c r="M451" i="25"/>
  <c r="N451" i="25"/>
  <c r="O451" i="25"/>
  <c r="H452" i="25"/>
  <c r="J452" i="25"/>
  <c r="K452" i="25"/>
  <c r="L452" i="25"/>
  <c r="M452" i="25"/>
  <c r="N452" i="25"/>
  <c r="O452" i="25"/>
  <c r="H453" i="25"/>
  <c r="J453" i="25"/>
  <c r="K453" i="25"/>
  <c r="L453" i="25"/>
  <c r="M453" i="25"/>
  <c r="N453" i="25"/>
  <c r="O453" i="25"/>
  <c r="H454" i="25"/>
  <c r="J454" i="25"/>
  <c r="K454" i="25"/>
  <c r="L454" i="25"/>
  <c r="M454" i="25"/>
  <c r="N454" i="25"/>
  <c r="O454" i="25"/>
  <c r="H455" i="25"/>
  <c r="J455" i="25"/>
  <c r="K455" i="25"/>
  <c r="L455" i="25"/>
  <c r="M455" i="25"/>
  <c r="N455" i="25"/>
  <c r="O455" i="25"/>
  <c r="H456" i="25"/>
  <c r="J456" i="25"/>
  <c r="K456" i="25"/>
  <c r="L456" i="25"/>
  <c r="M456" i="25"/>
  <c r="N456" i="25"/>
  <c r="O456" i="25"/>
  <c r="H457" i="25"/>
  <c r="J457" i="25"/>
  <c r="K457" i="25"/>
  <c r="L457" i="25"/>
  <c r="M457" i="25"/>
  <c r="N457" i="25"/>
  <c r="O457" i="25"/>
  <c r="H458" i="25"/>
  <c r="J458" i="25"/>
  <c r="K458" i="25"/>
  <c r="L458" i="25"/>
  <c r="M458" i="25"/>
  <c r="N458" i="25"/>
  <c r="O458" i="25"/>
  <c r="H459" i="25"/>
  <c r="J459" i="25"/>
  <c r="K459" i="25"/>
  <c r="L459" i="25"/>
  <c r="M459" i="25"/>
  <c r="N459" i="25"/>
  <c r="O459" i="25"/>
  <c r="H460" i="25"/>
  <c r="J460" i="25"/>
  <c r="K460" i="25"/>
  <c r="L460" i="25"/>
  <c r="M460" i="25"/>
  <c r="N460" i="25"/>
  <c r="O460" i="25"/>
  <c r="H461" i="25"/>
  <c r="J461" i="25"/>
  <c r="K461" i="25"/>
  <c r="L461" i="25"/>
  <c r="M461" i="25"/>
  <c r="N461" i="25"/>
  <c r="O461" i="25"/>
  <c r="H462" i="25"/>
  <c r="J462" i="25"/>
  <c r="K462" i="25"/>
  <c r="L462" i="25"/>
  <c r="M462" i="25"/>
  <c r="N462" i="25"/>
  <c r="O462" i="25"/>
  <c r="H463" i="25"/>
  <c r="J463" i="25"/>
  <c r="K463" i="25"/>
  <c r="L463" i="25"/>
  <c r="M463" i="25"/>
  <c r="N463" i="25"/>
  <c r="O463" i="25"/>
  <c r="H464" i="25"/>
  <c r="J464" i="25"/>
  <c r="K464" i="25"/>
  <c r="L464" i="25"/>
  <c r="M464" i="25"/>
  <c r="N464" i="25"/>
  <c r="O464" i="25"/>
  <c r="H465" i="25"/>
  <c r="J465" i="25"/>
  <c r="K465" i="25"/>
  <c r="L465" i="25"/>
  <c r="M465" i="25"/>
  <c r="N465" i="25"/>
  <c r="O465" i="25"/>
  <c r="H466" i="25"/>
  <c r="J466" i="25"/>
  <c r="K466" i="25"/>
  <c r="L466" i="25"/>
  <c r="M466" i="25"/>
  <c r="N466" i="25"/>
  <c r="O466" i="25"/>
  <c r="H467" i="25"/>
  <c r="J467" i="25"/>
  <c r="K467" i="25"/>
  <c r="L467" i="25"/>
  <c r="M467" i="25"/>
  <c r="N467" i="25"/>
  <c r="O467" i="25"/>
  <c r="H468" i="25"/>
  <c r="J468" i="25"/>
  <c r="K468" i="25"/>
  <c r="L468" i="25"/>
  <c r="M468" i="25"/>
  <c r="N468" i="25"/>
  <c r="O468" i="25"/>
  <c r="H469" i="25"/>
  <c r="J469" i="25"/>
  <c r="K469" i="25"/>
  <c r="L469" i="25"/>
  <c r="M469" i="25"/>
  <c r="N469" i="25"/>
  <c r="O469" i="25"/>
  <c r="H470" i="25"/>
  <c r="J470" i="25"/>
  <c r="K470" i="25"/>
  <c r="L470" i="25"/>
  <c r="M470" i="25"/>
  <c r="N470" i="25"/>
  <c r="O470" i="25"/>
  <c r="H471" i="25"/>
  <c r="J471" i="25"/>
  <c r="K471" i="25"/>
  <c r="L471" i="25"/>
  <c r="M471" i="25"/>
  <c r="N471" i="25"/>
  <c r="O471" i="25"/>
  <c r="H472" i="25"/>
  <c r="J472" i="25"/>
  <c r="K472" i="25"/>
  <c r="L472" i="25"/>
  <c r="M472" i="25"/>
  <c r="N472" i="25"/>
  <c r="O472" i="25"/>
  <c r="H473" i="25"/>
  <c r="J473" i="25"/>
  <c r="K473" i="25"/>
  <c r="L473" i="25"/>
  <c r="M473" i="25"/>
  <c r="N473" i="25"/>
  <c r="O473" i="25"/>
  <c r="H474" i="25"/>
  <c r="J474" i="25"/>
  <c r="K474" i="25"/>
  <c r="L474" i="25"/>
  <c r="M474" i="25"/>
  <c r="N474" i="25"/>
  <c r="O474" i="25"/>
  <c r="H475" i="25"/>
  <c r="J475" i="25"/>
  <c r="K475" i="25"/>
  <c r="L475" i="25"/>
  <c r="M475" i="25"/>
  <c r="N475" i="25"/>
  <c r="O475" i="25"/>
  <c r="H476" i="25"/>
  <c r="J476" i="25"/>
  <c r="K476" i="25"/>
  <c r="L476" i="25"/>
  <c r="M476" i="25"/>
  <c r="N476" i="25"/>
  <c r="O476" i="25"/>
  <c r="H477" i="25"/>
  <c r="J477" i="25"/>
  <c r="K477" i="25"/>
  <c r="L477" i="25"/>
  <c r="M477" i="25"/>
  <c r="N477" i="25"/>
  <c r="O477" i="25"/>
  <c r="H478" i="25"/>
  <c r="J478" i="25"/>
  <c r="K478" i="25"/>
  <c r="L478" i="25"/>
  <c r="M478" i="25"/>
  <c r="N478" i="25"/>
  <c r="O478" i="25"/>
  <c r="H479" i="25"/>
  <c r="J479" i="25"/>
  <c r="K479" i="25"/>
  <c r="L479" i="25"/>
  <c r="M479" i="25"/>
  <c r="N479" i="25"/>
  <c r="O479" i="25"/>
  <c r="H480" i="25"/>
  <c r="J480" i="25"/>
  <c r="K480" i="25"/>
  <c r="L480" i="25"/>
  <c r="M480" i="25"/>
  <c r="N480" i="25"/>
  <c r="O480" i="25"/>
  <c r="H481" i="25"/>
  <c r="J481" i="25"/>
  <c r="K481" i="25"/>
  <c r="L481" i="25"/>
  <c r="M481" i="25"/>
  <c r="N481" i="25"/>
  <c r="O481" i="25"/>
  <c r="H482" i="25"/>
  <c r="J482" i="25"/>
  <c r="K482" i="25"/>
  <c r="L482" i="25"/>
  <c r="M482" i="25"/>
  <c r="N482" i="25"/>
  <c r="O482" i="25"/>
  <c r="H483" i="25"/>
  <c r="J483" i="25"/>
  <c r="K483" i="25"/>
  <c r="L483" i="25"/>
  <c r="M483" i="25"/>
  <c r="N483" i="25"/>
  <c r="O483" i="25"/>
  <c r="H484" i="25"/>
  <c r="J484" i="25"/>
  <c r="K484" i="25"/>
  <c r="L484" i="25"/>
  <c r="M484" i="25"/>
  <c r="N484" i="25"/>
  <c r="O484" i="25"/>
  <c r="H485" i="25"/>
  <c r="J485" i="25"/>
  <c r="K485" i="25"/>
  <c r="L485" i="25"/>
  <c r="M485" i="25"/>
  <c r="N485" i="25"/>
  <c r="O485" i="25"/>
  <c r="H486" i="25"/>
  <c r="J486" i="25"/>
  <c r="K486" i="25"/>
  <c r="L486" i="25"/>
  <c r="M486" i="25"/>
  <c r="N486" i="25"/>
  <c r="O486" i="25"/>
  <c r="H487" i="25"/>
  <c r="J487" i="25"/>
  <c r="K487" i="25"/>
  <c r="L487" i="25"/>
  <c r="M487" i="25"/>
  <c r="N487" i="25"/>
  <c r="O487" i="25"/>
  <c r="H488" i="25"/>
  <c r="J488" i="25"/>
  <c r="K488" i="25"/>
  <c r="L488" i="25"/>
  <c r="M488" i="25"/>
  <c r="N488" i="25"/>
  <c r="O488" i="25"/>
  <c r="H489" i="25"/>
  <c r="J489" i="25"/>
  <c r="K489" i="25"/>
  <c r="L489" i="25"/>
  <c r="M489" i="25"/>
  <c r="N489" i="25"/>
  <c r="O489" i="25"/>
  <c r="H490" i="25"/>
  <c r="J490" i="25"/>
  <c r="K490" i="25"/>
  <c r="L490" i="25"/>
  <c r="M490" i="25"/>
  <c r="N490" i="25"/>
  <c r="O490" i="25"/>
  <c r="H491" i="25"/>
  <c r="J491" i="25"/>
  <c r="K491" i="25"/>
  <c r="L491" i="25"/>
  <c r="M491" i="25"/>
  <c r="N491" i="25"/>
  <c r="O491" i="25"/>
  <c r="H492" i="25"/>
  <c r="J492" i="25"/>
  <c r="K492" i="25"/>
  <c r="L492" i="25"/>
  <c r="M492" i="25"/>
  <c r="N492" i="25"/>
  <c r="O492" i="25"/>
  <c r="H493" i="25"/>
  <c r="J493" i="25"/>
  <c r="K493" i="25"/>
  <c r="L493" i="25"/>
  <c r="M493" i="25"/>
  <c r="N493" i="25"/>
  <c r="O493" i="25"/>
  <c r="H494" i="25"/>
  <c r="J494" i="25"/>
  <c r="K494" i="25"/>
  <c r="L494" i="25"/>
  <c r="M494" i="25"/>
  <c r="N494" i="25"/>
  <c r="O494" i="25"/>
  <c r="H495" i="25"/>
  <c r="J495" i="25"/>
  <c r="K495" i="25"/>
  <c r="L495" i="25"/>
  <c r="M495" i="25"/>
  <c r="N495" i="25"/>
  <c r="O495" i="25"/>
  <c r="H496" i="25"/>
  <c r="J496" i="25"/>
  <c r="K496" i="25"/>
  <c r="L496" i="25"/>
  <c r="M496" i="25"/>
  <c r="N496" i="25"/>
  <c r="O496" i="25"/>
  <c r="H497" i="25"/>
  <c r="J497" i="25"/>
  <c r="K497" i="25"/>
  <c r="L497" i="25"/>
  <c r="M497" i="25"/>
  <c r="N497" i="25"/>
  <c r="O497" i="25"/>
  <c r="H498" i="25"/>
  <c r="J498" i="25"/>
  <c r="K498" i="25"/>
  <c r="L498" i="25"/>
  <c r="M498" i="25"/>
  <c r="N498" i="25"/>
  <c r="O498" i="25"/>
  <c r="H499" i="25"/>
  <c r="J499" i="25"/>
  <c r="K499" i="25"/>
  <c r="L499" i="25"/>
  <c r="M499" i="25"/>
  <c r="N499" i="25"/>
  <c r="O499" i="25"/>
  <c r="H500" i="25"/>
  <c r="J500" i="25"/>
  <c r="K500" i="25"/>
  <c r="L500" i="25"/>
  <c r="M500" i="25"/>
  <c r="N500" i="25"/>
  <c r="O500" i="25"/>
  <c r="H501" i="25"/>
  <c r="J501" i="25"/>
  <c r="K501" i="25"/>
  <c r="L501" i="25"/>
  <c r="M501" i="25"/>
  <c r="N501" i="25"/>
  <c r="O501" i="25"/>
  <c r="H502" i="25"/>
  <c r="J502" i="25"/>
  <c r="K502" i="25"/>
  <c r="L502" i="25"/>
  <c r="M502" i="25"/>
  <c r="N502" i="25"/>
  <c r="O502" i="25"/>
  <c r="H503" i="25"/>
  <c r="J503" i="25"/>
  <c r="K503" i="25"/>
  <c r="L503" i="25"/>
  <c r="M503" i="25"/>
  <c r="N503" i="25"/>
  <c r="O503" i="25"/>
  <c r="H504" i="25"/>
  <c r="J504" i="25"/>
  <c r="K504" i="25"/>
  <c r="L504" i="25"/>
  <c r="M504" i="25"/>
  <c r="N504" i="25"/>
  <c r="O504" i="25"/>
  <c r="H505" i="25"/>
  <c r="J505" i="25"/>
  <c r="K505" i="25"/>
  <c r="L505" i="25"/>
  <c r="M505" i="25"/>
  <c r="N505" i="25"/>
  <c r="O505" i="25"/>
  <c r="H33" i="25"/>
  <c r="J33" i="25"/>
  <c r="K33" i="25"/>
  <c r="L33" i="25"/>
  <c r="M33" i="25"/>
  <c r="N33" i="25"/>
  <c r="O33" i="25"/>
  <c r="H34" i="25"/>
  <c r="J34" i="25"/>
  <c r="K34" i="25"/>
  <c r="L34" i="25"/>
  <c r="M34" i="25"/>
  <c r="N34" i="25"/>
  <c r="O34" i="25"/>
  <c r="H35" i="25"/>
  <c r="J35" i="25"/>
  <c r="K35" i="25"/>
  <c r="L35" i="25"/>
  <c r="M35" i="25"/>
  <c r="N35" i="25"/>
  <c r="O35" i="25"/>
  <c r="H36" i="25"/>
  <c r="J36" i="25"/>
  <c r="K36" i="25"/>
  <c r="L36" i="25"/>
  <c r="M36" i="25"/>
  <c r="N36" i="25"/>
  <c r="O36" i="25"/>
  <c r="H37" i="25"/>
  <c r="J37" i="25"/>
  <c r="K37" i="25"/>
  <c r="L37" i="25"/>
  <c r="M37" i="25"/>
  <c r="N37" i="25"/>
  <c r="O37" i="25"/>
  <c r="H38" i="25"/>
  <c r="J38" i="25"/>
  <c r="K38" i="25"/>
  <c r="L38" i="25"/>
  <c r="M38" i="25"/>
  <c r="N38" i="25"/>
  <c r="O38" i="25"/>
  <c r="H39" i="25"/>
  <c r="J39" i="25"/>
  <c r="K39" i="25"/>
  <c r="L39" i="25"/>
  <c r="M39" i="25"/>
  <c r="N39" i="25"/>
  <c r="O39" i="25"/>
  <c r="H40" i="25"/>
  <c r="J40" i="25"/>
  <c r="K40" i="25"/>
  <c r="L40" i="25"/>
  <c r="M40" i="25"/>
  <c r="N40" i="25"/>
  <c r="O40" i="25"/>
  <c r="H41" i="25"/>
  <c r="J41" i="25"/>
  <c r="K41" i="25"/>
  <c r="L41" i="25"/>
  <c r="M41" i="25"/>
  <c r="N41" i="25"/>
  <c r="O41" i="25"/>
  <c r="H42" i="25"/>
  <c r="J42" i="25"/>
  <c r="K42" i="25"/>
  <c r="L42" i="25"/>
  <c r="M42" i="25"/>
  <c r="N42" i="25"/>
  <c r="O42" i="25"/>
  <c r="H43" i="25"/>
  <c r="J43" i="25"/>
  <c r="K43" i="25"/>
  <c r="L43" i="25"/>
  <c r="M43" i="25"/>
  <c r="N43" i="25"/>
  <c r="O43" i="25"/>
  <c r="H44" i="25"/>
  <c r="J44" i="25"/>
  <c r="K44" i="25"/>
  <c r="L44" i="25"/>
  <c r="M44" i="25"/>
  <c r="N44" i="25"/>
  <c r="O44" i="25"/>
  <c r="H45" i="25"/>
  <c r="J45" i="25"/>
  <c r="K45" i="25"/>
  <c r="L45" i="25"/>
  <c r="M45" i="25"/>
  <c r="N45" i="25"/>
  <c r="O45" i="25"/>
  <c r="H46" i="25"/>
  <c r="J46" i="25"/>
  <c r="K46" i="25"/>
  <c r="L46" i="25"/>
  <c r="M46" i="25"/>
  <c r="N46" i="25"/>
  <c r="O46" i="25"/>
  <c r="H47" i="25"/>
  <c r="J47" i="25"/>
  <c r="K47" i="25"/>
  <c r="L47" i="25"/>
  <c r="M47" i="25"/>
  <c r="N47" i="25"/>
  <c r="O47" i="25"/>
  <c r="H48" i="25"/>
  <c r="J48" i="25"/>
  <c r="K48" i="25"/>
  <c r="L48" i="25"/>
  <c r="M48" i="25"/>
  <c r="N48" i="25"/>
  <c r="O48" i="25"/>
  <c r="H49" i="25"/>
  <c r="J49" i="25"/>
  <c r="K49" i="25"/>
  <c r="L49" i="25"/>
  <c r="M49" i="25"/>
  <c r="N49" i="25"/>
  <c r="O49" i="25"/>
  <c r="H50" i="25"/>
  <c r="J50" i="25"/>
  <c r="K50" i="25"/>
  <c r="L50" i="25"/>
  <c r="M50" i="25"/>
  <c r="N50" i="25"/>
  <c r="O50" i="25"/>
  <c r="H51" i="25"/>
  <c r="J51" i="25"/>
  <c r="K51" i="25"/>
  <c r="L51" i="25"/>
  <c r="M51" i="25"/>
  <c r="N51" i="25"/>
  <c r="O51" i="25"/>
  <c r="H52" i="25"/>
  <c r="J52" i="25"/>
  <c r="K52" i="25"/>
  <c r="L52" i="25"/>
  <c r="M52" i="25"/>
  <c r="N52" i="25"/>
  <c r="O52" i="25"/>
  <c r="H53" i="25"/>
  <c r="J53" i="25"/>
  <c r="K53" i="25"/>
  <c r="L53" i="25"/>
  <c r="M53" i="25"/>
  <c r="N53" i="25"/>
  <c r="O53" i="25"/>
  <c r="H54" i="25"/>
  <c r="J54" i="25"/>
  <c r="K54" i="25"/>
  <c r="L54" i="25"/>
  <c r="M54" i="25"/>
  <c r="N54" i="25"/>
  <c r="O54" i="25"/>
  <c r="H55" i="25"/>
  <c r="J55" i="25"/>
  <c r="K55" i="25"/>
  <c r="L55" i="25"/>
  <c r="M55" i="25"/>
  <c r="N55" i="25"/>
  <c r="O55" i="25"/>
  <c r="H56" i="25"/>
  <c r="J56" i="25"/>
  <c r="K56" i="25"/>
  <c r="L56" i="25"/>
  <c r="M56" i="25"/>
  <c r="N56" i="25"/>
  <c r="O56" i="25"/>
  <c r="H57" i="25"/>
  <c r="J57" i="25"/>
  <c r="K57" i="25"/>
  <c r="L57" i="25"/>
  <c r="M57" i="25"/>
  <c r="N57" i="25"/>
  <c r="O57" i="25"/>
  <c r="H58" i="25"/>
  <c r="J58" i="25"/>
  <c r="K58" i="25"/>
  <c r="L58" i="25"/>
  <c r="M58" i="25"/>
  <c r="N58" i="25"/>
  <c r="O58" i="25"/>
  <c r="H59" i="25"/>
  <c r="J59" i="25"/>
  <c r="K59" i="25"/>
  <c r="L59" i="25"/>
  <c r="M59" i="25"/>
  <c r="N59" i="25"/>
  <c r="O59" i="25"/>
  <c r="H60" i="25"/>
  <c r="J60" i="25"/>
  <c r="K60" i="25"/>
  <c r="L60" i="25"/>
  <c r="M60" i="25"/>
  <c r="N60" i="25"/>
  <c r="O60" i="25"/>
  <c r="H61" i="25"/>
  <c r="J61" i="25"/>
  <c r="K61" i="25"/>
  <c r="L61" i="25"/>
  <c r="M61" i="25"/>
  <c r="N61" i="25"/>
  <c r="O61" i="25"/>
  <c r="H62" i="25"/>
  <c r="J62" i="25"/>
  <c r="K62" i="25"/>
  <c r="L62" i="25"/>
  <c r="M62" i="25"/>
  <c r="N62" i="25"/>
  <c r="O62" i="25"/>
  <c r="H63" i="25"/>
  <c r="J63" i="25"/>
  <c r="K63" i="25"/>
  <c r="L63" i="25"/>
  <c r="M63" i="25"/>
  <c r="N63" i="25"/>
  <c r="O63" i="25"/>
  <c r="H64" i="25"/>
  <c r="J64" i="25"/>
  <c r="K64" i="25"/>
  <c r="L64" i="25"/>
  <c r="M64" i="25"/>
  <c r="N64" i="25"/>
  <c r="O64" i="25"/>
  <c r="H65" i="25"/>
  <c r="J65" i="25"/>
  <c r="K65" i="25"/>
  <c r="L65" i="25"/>
  <c r="M65" i="25"/>
  <c r="N65" i="25"/>
  <c r="O65" i="25"/>
  <c r="H66" i="25"/>
  <c r="J66" i="25"/>
  <c r="K66" i="25"/>
  <c r="L66" i="25"/>
  <c r="M66" i="25"/>
  <c r="N66" i="25"/>
  <c r="O66" i="25"/>
  <c r="H67" i="25"/>
  <c r="J67" i="25"/>
  <c r="K67" i="25"/>
  <c r="L67" i="25"/>
  <c r="M67" i="25"/>
  <c r="N67" i="25"/>
  <c r="O67" i="25"/>
  <c r="H68" i="25"/>
  <c r="J68" i="25"/>
  <c r="K68" i="25"/>
  <c r="L68" i="25"/>
  <c r="M68" i="25"/>
  <c r="N68" i="25"/>
  <c r="O68" i="25"/>
  <c r="H69" i="25"/>
  <c r="J69" i="25"/>
  <c r="K69" i="25"/>
  <c r="L69" i="25"/>
  <c r="M69" i="25"/>
  <c r="N69" i="25"/>
  <c r="O69" i="25"/>
  <c r="H70" i="25"/>
  <c r="J70" i="25"/>
  <c r="K70" i="25"/>
  <c r="L70" i="25"/>
  <c r="M70" i="25"/>
  <c r="N70" i="25"/>
  <c r="O70" i="25"/>
  <c r="H71" i="25"/>
  <c r="J71" i="25"/>
  <c r="K71" i="25"/>
  <c r="L71" i="25"/>
  <c r="M71" i="25"/>
  <c r="N71" i="25"/>
  <c r="O71" i="25"/>
  <c r="H72" i="25"/>
  <c r="J72" i="25"/>
  <c r="K72" i="25"/>
  <c r="L72" i="25"/>
  <c r="M72" i="25"/>
  <c r="N72" i="25"/>
  <c r="O72" i="25"/>
  <c r="H73" i="25"/>
  <c r="J73" i="25"/>
  <c r="K73" i="25"/>
  <c r="L73" i="25"/>
  <c r="M73" i="25"/>
  <c r="N73" i="25"/>
  <c r="O73" i="25"/>
  <c r="H74" i="25"/>
  <c r="J74" i="25"/>
  <c r="K74" i="25"/>
  <c r="L74" i="25"/>
  <c r="M74" i="25"/>
  <c r="N74" i="25"/>
  <c r="O74" i="25"/>
  <c r="H75" i="25"/>
  <c r="J75" i="25"/>
  <c r="K75" i="25"/>
  <c r="L75" i="25"/>
  <c r="M75" i="25"/>
  <c r="N75" i="25"/>
  <c r="O75" i="25"/>
  <c r="H76" i="25"/>
  <c r="J76" i="25"/>
  <c r="K76" i="25"/>
  <c r="L76" i="25"/>
  <c r="M76" i="25"/>
  <c r="N76" i="25"/>
  <c r="O76" i="25"/>
  <c r="H77" i="25"/>
  <c r="J77" i="25"/>
  <c r="K77" i="25"/>
  <c r="L77" i="25"/>
  <c r="M77" i="25"/>
  <c r="N77" i="25"/>
  <c r="O77" i="25"/>
  <c r="H78" i="25"/>
  <c r="J78" i="25"/>
  <c r="K78" i="25"/>
  <c r="L78" i="25"/>
  <c r="M78" i="25"/>
  <c r="N78" i="25"/>
  <c r="O78" i="25"/>
  <c r="H79" i="25"/>
  <c r="J79" i="25"/>
  <c r="K79" i="25"/>
  <c r="L79" i="25"/>
  <c r="M79" i="25"/>
  <c r="N79" i="25"/>
  <c r="O79" i="25"/>
  <c r="H80" i="25"/>
  <c r="J80" i="25"/>
  <c r="K80" i="25"/>
  <c r="L80" i="25"/>
  <c r="M80" i="25"/>
  <c r="N80" i="25"/>
  <c r="O80" i="25"/>
  <c r="H81" i="25"/>
  <c r="J81" i="25"/>
  <c r="K81" i="25"/>
  <c r="L81" i="25"/>
  <c r="M81" i="25"/>
  <c r="N81" i="25"/>
  <c r="O81" i="25"/>
  <c r="H82" i="25"/>
  <c r="J82" i="25"/>
  <c r="K82" i="25"/>
  <c r="L82" i="25"/>
  <c r="M82" i="25"/>
  <c r="N82" i="25"/>
  <c r="O82" i="25"/>
  <c r="H83" i="25"/>
  <c r="J83" i="25"/>
  <c r="K83" i="25"/>
  <c r="L83" i="25"/>
  <c r="M83" i="25"/>
  <c r="N83" i="25"/>
  <c r="O83" i="25"/>
  <c r="H84" i="25"/>
  <c r="J84" i="25"/>
  <c r="K84" i="25"/>
  <c r="L84" i="25"/>
  <c r="M84" i="25"/>
  <c r="N84" i="25"/>
  <c r="O84" i="25"/>
  <c r="H85" i="25"/>
  <c r="J85" i="25"/>
  <c r="K85" i="25"/>
  <c r="L85" i="25"/>
  <c r="M85" i="25"/>
  <c r="N85" i="25"/>
  <c r="O85" i="25"/>
  <c r="H86" i="25"/>
  <c r="J86" i="25"/>
  <c r="K86" i="25"/>
  <c r="L86" i="25"/>
  <c r="M86" i="25"/>
  <c r="N86" i="25"/>
  <c r="O86" i="25"/>
  <c r="H87" i="25"/>
  <c r="J87" i="25"/>
  <c r="K87" i="25"/>
  <c r="L87" i="25"/>
  <c r="M87" i="25"/>
  <c r="N87" i="25"/>
  <c r="O87" i="25"/>
  <c r="H88" i="25"/>
  <c r="J88" i="25"/>
  <c r="K88" i="25"/>
  <c r="L88" i="25"/>
  <c r="M88" i="25"/>
  <c r="N88" i="25"/>
  <c r="O88" i="25"/>
  <c r="H89" i="25"/>
  <c r="J89" i="25"/>
  <c r="K89" i="25"/>
  <c r="L89" i="25"/>
  <c r="M89" i="25"/>
  <c r="N89" i="25"/>
  <c r="O89" i="25"/>
  <c r="H90" i="25"/>
  <c r="J90" i="25"/>
  <c r="K90" i="25"/>
  <c r="L90" i="25"/>
  <c r="M90" i="25"/>
  <c r="N90" i="25"/>
  <c r="O90" i="25"/>
  <c r="H91" i="25"/>
  <c r="J91" i="25"/>
  <c r="K91" i="25"/>
  <c r="L91" i="25"/>
  <c r="M91" i="25"/>
  <c r="N91" i="25"/>
  <c r="O91" i="25"/>
  <c r="H92" i="25"/>
  <c r="J92" i="25"/>
  <c r="K92" i="25"/>
  <c r="L92" i="25"/>
  <c r="M92" i="25"/>
  <c r="N92" i="25"/>
  <c r="O92" i="25"/>
  <c r="H93" i="25"/>
  <c r="J93" i="25"/>
  <c r="K93" i="25"/>
  <c r="L93" i="25"/>
  <c r="M93" i="25"/>
  <c r="N93" i="25"/>
  <c r="O93" i="25"/>
  <c r="H94" i="25"/>
  <c r="J94" i="25"/>
  <c r="K94" i="25"/>
  <c r="L94" i="25"/>
  <c r="M94" i="25"/>
  <c r="N94" i="25"/>
  <c r="O94" i="25"/>
  <c r="H95" i="25"/>
  <c r="J95" i="25"/>
  <c r="K95" i="25"/>
  <c r="L95" i="25"/>
  <c r="M95" i="25"/>
  <c r="N95" i="25"/>
  <c r="O95" i="25"/>
  <c r="H14" i="25"/>
  <c r="J14" i="25"/>
  <c r="K14" i="25"/>
  <c r="L14" i="25"/>
  <c r="M14" i="25"/>
  <c r="N14" i="25"/>
  <c r="O14" i="25"/>
  <c r="H15" i="25"/>
  <c r="J15" i="25"/>
  <c r="K15" i="25"/>
  <c r="L15" i="25"/>
  <c r="M15" i="25"/>
  <c r="N15" i="25"/>
  <c r="O15" i="25"/>
  <c r="H16" i="25"/>
  <c r="J16" i="25"/>
  <c r="K16" i="25"/>
  <c r="L16" i="25"/>
  <c r="M16" i="25"/>
  <c r="N16" i="25"/>
  <c r="O16" i="25"/>
  <c r="H17" i="25"/>
  <c r="J17" i="25"/>
  <c r="K17" i="25"/>
  <c r="L17" i="25"/>
  <c r="M17" i="25"/>
  <c r="N17" i="25"/>
  <c r="O17" i="25"/>
  <c r="H18" i="25"/>
  <c r="J18" i="25"/>
  <c r="K18" i="25"/>
  <c r="L18" i="25"/>
  <c r="M18" i="25"/>
  <c r="N18" i="25"/>
  <c r="O18" i="25"/>
  <c r="H19" i="25"/>
  <c r="J19" i="25"/>
  <c r="K19" i="25"/>
  <c r="L19" i="25"/>
  <c r="M19" i="25"/>
  <c r="N19" i="25"/>
  <c r="O19" i="25"/>
  <c r="H20" i="25"/>
  <c r="J20" i="25"/>
  <c r="K20" i="25"/>
  <c r="L20" i="25"/>
  <c r="M20" i="25"/>
  <c r="N20" i="25"/>
  <c r="O20" i="25"/>
  <c r="H21" i="25"/>
  <c r="J21" i="25"/>
  <c r="K21" i="25"/>
  <c r="L21" i="25"/>
  <c r="M21" i="25"/>
  <c r="N21" i="25"/>
  <c r="O21" i="25"/>
  <c r="H22" i="25"/>
  <c r="J22" i="25"/>
  <c r="K22" i="25"/>
  <c r="L22" i="25"/>
  <c r="M22" i="25"/>
  <c r="N22" i="25"/>
  <c r="O22" i="25"/>
  <c r="H23" i="25"/>
  <c r="J23" i="25"/>
  <c r="K23" i="25"/>
  <c r="L23" i="25"/>
  <c r="M23" i="25"/>
  <c r="N23" i="25"/>
  <c r="O23" i="25"/>
  <c r="H24" i="25"/>
  <c r="J24" i="25"/>
  <c r="K24" i="25"/>
  <c r="L24" i="25"/>
  <c r="M24" i="25"/>
  <c r="N24" i="25"/>
  <c r="O24" i="25"/>
  <c r="H25" i="25"/>
  <c r="J25" i="25"/>
  <c r="K25" i="25"/>
  <c r="L25" i="25"/>
  <c r="M25" i="25"/>
  <c r="N25" i="25"/>
  <c r="O25" i="25"/>
  <c r="H26" i="25"/>
  <c r="J26" i="25"/>
  <c r="K26" i="25"/>
  <c r="L26" i="25"/>
  <c r="M26" i="25"/>
  <c r="N26" i="25"/>
  <c r="O26" i="25"/>
  <c r="H27" i="25"/>
  <c r="J27" i="25"/>
  <c r="K27" i="25"/>
  <c r="L27" i="25"/>
  <c r="M27" i="25"/>
  <c r="N27" i="25"/>
  <c r="O27" i="25"/>
  <c r="H28" i="25"/>
  <c r="J28" i="25"/>
  <c r="K28" i="25"/>
  <c r="L28" i="25"/>
  <c r="M28" i="25"/>
  <c r="N28" i="25"/>
  <c r="O28" i="25"/>
  <c r="H29" i="25"/>
  <c r="J29" i="25"/>
  <c r="K29" i="25"/>
  <c r="L29" i="25"/>
  <c r="M29" i="25"/>
  <c r="N29" i="25"/>
  <c r="O29" i="25"/>
  <c r="H30" i="25"/>
  <c r="J30" i="25"/>
  <c r="K30" i="25"/>
  <c r="L30" i="25"/>
  <c r="M30" i="25"/>
  <c r="N30" i="25"/>
  <c r="O30" i="25"/>
  <c r="H31" i="25"/>
  <c r="J31" i="25"/>
  <c r="K31" i="25"/>
  <c r="L31" i="25"/>
  <c r="M31" i="25"/>
  <c r="N31" i="25"/>
  <c r="O31" i="25"/>
  <c r="H32" i="25"/>
  <c r="J32" i="25"/>
  <c r="K32" i="25"/>
  <c r="L32" i="25"/>
  <c r="M32" i="25"/>
  <c r="N32" i="25"/>
  <c r="O32" i="25"/>
  <c r="H7" i="25"/>
  <c r="J7" i="25"/>
  <c r="K7" i="25"/>
  <c r="L7" i="25"/>
  <c r="M7" i="25"/>
  <c r="N7" i="25"/>
  <c r="O7" i="25"/>
  <c r="H8" i="25"/>
  <c r="J8" i="25"/>
  <c r="K8" i="25"/>
  <c r="L8" i="25"/>
  <c r="M8" i="25"/>
  <c r="N8" i="25"/>
  <c r="O8" i="25"/>
  <c r="H9" i="25"/>
  <c r="J9" i="25"/>
  <c r="K9" i="25"/>
  <c r="L9" i="25"/>
  <c r="M9" i="25"/>
  <c r="N9" i="25"/>
  <c r="O9" i="25"/>
  <c r="H10" i="25"/>
  <c r="J10" i="25"/>
  <c r="K10" i="25"/>
  <c r="L10" i="25"/>
  <c r="M10" i="25"/>
  <c r="N10" i="25"/>
  <c r="O10" i="25"/>
  <c r="H11" i="25"/>
  <c r="J11" i="25"/>
  <c r="K11" i="25"/>
  <c r="L11" i="25"/>
  <c r="M11" i="25"/>
  <c r="N11" i="25"/>
  <c r="O11" i="25"/>
  <c r="H12" i="25"/>
  <c r="J12" i="25"/>
  <c r="K12" i="25"/>
  <c r="L12" i="25"/>
  <c r="M12" i="25"/>
  <c r="N12" i="25"/>
  <c r="O12" i="25"/>
  <c r="H13" i="25"/>
  <c r="J13" i="25"/>
  <c r="K13" i="25"/>
  <c r="L13" i="25"/>
  <c r="M13" i="25"/>
  <c r="N13" i="25"/>
  <c r="O13" i="25"/>
  <c r="H6" i="25"/>
  <c r="J6" i="25"/>
  <c r="K6" i="25"/>
  <c r="L6" i="25"/>
  <c r="M6" i="25"/>
  <c r="N6" i="25"/>
  <c r="O6" i="25"/>
  <c r="M5" i="25"/>
  <c r="L5" i="25"/>
  <c r="K5" i="25"/>
  <c r="J5" i="25"/>
  <c r="I5" i="25"/>
  <c r="H5" i="25"/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3" i="2"/>
  <c r="J17" i="3"/>
  <c r="K17" i="3"/>
  <c r="I17" i="3"/>
  <c r="J16" i="3"/>
  <c r="K16" i="3"/>
  <c r="I16" i="3"/>
  <c r="J19" i="3"/>
  <c r="K19" i="3"/>
  <c r="I19" i="3"/>
  <c r="J24" i="3"/>
  <c r="K24" i="3"/>
  <c r="I24" i="3"/>
  <c r="J18" i="3"/>
  <c r="K18" i="3"/>
  <c r="I18" i="3"/>
  <c r="J23" i="3"/>
  <c r="K23" i="3"/>
  <c r="I23" i="3"/>
  <c r="J22" i="3"/>
  <c r="K22" i="3"/>
  <c r="I22" i="3"/>
  <c r="J20" i="3"/>
  <c r="K20" i="3"/>
  <c r="I20" i="3"/>
  <c r="J21" i="3"/>
  <c r="K21" i="3"/>
  <c r="I21" i="3"/>
  <c r="J26" i="3"/>
  <c r="K26" i="3"/>
  <c r="I26" i="3"/>
  <c r="J27" i="3"/>
  <c r="K27" i="3"/>
  <c r="I27" i="3"/>
  <c r="J25" i="3"/>
  <c r="K25" i="3"/>
  <c r="I25" i="3"/>
  <c r="J28" i="3"/>
  <c r="K28" i="3"/>
  <c r="I28" i="3"/>
  <c r="J29" i="3"/>
  <c r="K29" i="3"/>
  <c r="I29" i="3"/>
  <c r="J30" i="3"/>
  <c r="K30" i="3"/>
  <c r="I30" i="3"/>
  <c r="J31" i="3"/>
  <c r="K31" i="3"/>
  <c r="I31" i="3"/>
  <c r="J32" i="3"/>
  <c r="K32" i="3"/>
  <c r="I32" i="3"/>
  <c r="J34" i="3"/>
  <c r="K34" i="3"/>
  <c r="I34" i="3"/>
  <c r="J33" i="3"/>
  <c r="K33" i="3"/>
  <c r="I33" i="3"/>
  <c r="J37" i="3"/>
  <c r="K37" i="3"/>
  <c r="I37" i="3"/>
  <c r="J36" i="3"/>
  <c r="K36" i="3"/>
  <c r="I36" i="3"/>
  <c r="J35" i="3"/>
  <c r="K35" i="3"/>
  <c r="I35" i="3"/>
  <c r="J38" i="3"/>
  <c r="K38" i="3"/>
  <c r="I38" i="3"/>
  <c r="J39" i="3"/>
  <c r="K39" i="3"/>
  <c r="I39" i="3"/>
  <c r="J40" i="3"/>
  <c r="K40" i="3"/>
  <c r="I40" i="3"/>
  <c r="J42" i="3"/>
  <c r="K42" i="3"/>
  <c r="I42" i="3"/>
  <c r="J44" i="3"/>
  <c r="K44" i="3"/>
  <c r="I44" i="3"/>
  <c r="J43" i="3"/>
  <c r="K43" i="3"/>
  <c r="I43" i="3"/>
  <c r="J41" i="3"/>
  <c r="K41" i="3"/>
  <c r="I41" i="3"/>
  <c r="J46" i="3"/>
  <c r="K46" i="3"/>
  <c r="I46" i="3"/>
  <c r="J45" i="3"/>
  <c r="K45" i="3"/>
  <c r="I45" i="3"/>
  <c r="J49" i="3"/>
  <c r="K49" i="3"/>
  <c r="I49" i="3"/>
  <c r="J48" i="3"/>
  <c r="K48" i="3"/>
  <c r="I48" i="3"/>
  <c r="J47" i="3"/>
  <c r="K47" i="3"/>
  <c r="I47" i="3"/>
  <c r="J51" i="3"/>
  <c r="K51" i="3"/>
  <c r="I51" i="3"/>
  <c r="J50" i="3"/>
  <c r="K50" i="3"/>
  <c r="I50" i="3"/>
  <c r="J52" i="3"/>
  <c r="K52" i="3"/>
  <c r="I52" i="3"/>
  <c r="J53" i="3"/>
  <c r="K53" i="3"/>
  <c r="I53" i="3"/>
  <c r="J54" i="3"/>
  <c r="K54" i="3"/>
  <c r="I54" i="3"/>
  <c r="J55" i="3"/>
  <c r="K55" i="3"/>
  <c r="I55" i="3"/>
  <c r="J58" i="3"/>
  <c r="K58" i="3"/>
  <c r="I58" i="3"/>
  <c r="J57" i="3"/>
  <c r="K57" i="3"/>
  <c r="I57" i="3"/>
  <c r="J60" i="3"/>
  <c r="K60" i="3"/>
  <c r="I60" i="3"/>
  <c r="J59" i="3"/>
  <c r="K59" i="3"/>
  <c r="I59" i="3"/>
  <c r="J56" i="3"/>
  <c r="K56" i="3"/>
  <c r="I56" i="3"/>
  <c r="J62" i="3"/>
  <c r="K62" i="3"/>
  <c r="I62" i="3"/>
  <c r="J61" i="3"/>
  <c r="K61" i="3"/>
  <c r="I61" i="3"/>
  <c r="J63" i="3"/>
  <c r="K63" i="3"/>
  <c r="I63" i="3"/>
  <c r="J64" i="3"/>
  <c r="K64" i="3"/>
  <c r="I64" i="3"/>
  <c r="J65" i="3"/>
  <c r="K65" i="3"/>
  <c r="I65" i="3"/>
  <c r="J69" i="3"/>
  <c r="K69" i="3"/>
  <c r="I69" i="3"/>
  <c r="J68" i="3"/>
  <c r="K68" i="3"/>
  <c r="I68" i="3"/>
  <c r="J72" i="3"/>
  <c r="K72" i="3"/>
  <c r="I72" i="3"/>
  <c r="J71" i="3"/>
  <c r="K71" i="3"/>
  <c r="I71" i="3"/>
  <c r="J70" i="3"/>
  <c r="K70" i="3"/>
  <c r="I70" i="3"/>
  <c r="J67" i="3"/>
  <c r="K67" i="3"/>
  <c r="I67" i="3"/>
  <c r="J74" i="3"/>
  <c r="K74" i="3"/>
  <c r="I74" i="3"/>
  <c r="J73" i="3"/>
  <c r="K73" i="3"/>
  <c r="I73" i="3"/>
  <c r="J66" i="3"/>
  <c r="K66" i="3"/>
  <c r="I66" i="3"/>
  <c r="J76" i="3"/>
  <c r="K76" i="3"/>
  <c r="I76" i="3"/>
  <c r="J77" i="3"/>
  <c r="K77" i="3"/>
  <c r="I77" i="3"/>
  <c r="J75" i="3"/>
  <c r="K75" i="3"/>
  <c r="I75" i="3"/>
  <c r="J78" i="3"/>
  <c r="K78" i="3"/>
  <c r="I78" i="3"/>
  <c r="J79" i="3"/>
  <c r="K79" i="3"/>
  <c r="I79" i="3"/>
  <c r="J80" i="3"/>
  <c r="K80" i="3"/>
  <c r="I80" i="3"/>
  <c r="J81" i="3"/>
  <c r="K81" i="3"/>
  <c r="I81" i="3"/>
  <c r="J82" i="3"/>
  <c r="K82" i="3"/>
  <c r="I82" i="3"/>
  <c r="J83" i="3"/>
  <c r="K83" i="3"/>
  <c r="I83" i="3"/>
  <c r="J84" i="3"/>
  <c r="K84" i="3"/>
  <c r="I84" i="3"/>
  <c r="J88" i="3"/>
  <c r="K88" i="3"/>
  <c r="I88" i="3"/>
  <c r="J87" i="3"/>
  <c r="K87" i="3"/>
  <c r="I87" i="3"/>
  <c r="J91" i="3"/>
  <c r="K91" i="3"/>
  <c r="I91" i="3"/>
  <c r="J90" i="3"/>
  <c r="K90" i="3"/>
  <c r="I90" i="3"/>
  <c r="J89" i="3"/>
  <c r="K89" i="3"/>
  <c r="I89" i="3"/>
  <c r="J86" i="3"/>
  <c r="K86" i="3"/>
  <c r="I86" i="3"/>
  <c r="J92" i="3"/>
  <c r="K92" i="3"/>
  <c r="I92" i="3"/>
  <c r="J85" i="3"/>
  <c r="K85" i="3"/>
  <c r="I85" i="3"/>
  <c r="J94" i="3"/>
  <c r="K94" i="3"/>
  <c r="I94" i="3"/>
  <c r="J93" i="3"/>
  <c r="K93" i="3"/>
  <c r="I93" i="3"/>
  <c r="J95" i="3"/>
  <c r="K95" i="3"/>
  <c r="I95" i="3"/>
  <c r="J96" i="3"/>
  <c r="K96" i="3"/>
  <c r="I96" i="3"/>
  <c r="J97" i="3"/>
  <c r="K97" i="3"/>
  <c r="I97" i="3"/>
  <c r="J98" i="3"/>
  <c r="K98" i="3"/>
  <c r="I98" i="3"/>
  <c r="J99" i="3"/>
  <c r="K99" i="3"/>
  <c r="I99" i="3"/>
  <c r="K104" i="3"/>
  <c r="K121" i="3"/>
  <c r="K131" i="3"/>
  <c r="K118" i="3"/>
  <c r="K124" i="3"/>
  <c r="K135" i="3"/>
  <c r="K127" i="3"/>
  <c r="K132" i="3"/>
  <c r="K125" i="3"/>
  <c r="K159" i="3"/>
  <c r="K137" i="3"/>
  <c r="K126" i="3"/>
  <c r="K136" i="3"/>
  <c r="K134" i="3"/>
  <c r="K129" i="3"/>
  <c r="K140" i="3"/>
  <c r="K130" i="3"/>
  <c r="K139" i="3"/>
  <c r="K117" i="3"/>
  <c r="K116" i="3"/>
  <c r="K161" i="3"/>
  <c r="K152" i="3"/>
  <c r="K162" i="3"/>
  <c r="K122" i="3"/>
  <c r="K150" i="3"/>
  <c r="K154" i="3"/>
  <c r="K163" i="3"/>
  <c r="K115" i="3"/>
  <c r="K155" i="3"/>
  <c r="K158" i="3"/>
  <c r="K157" i="3"/>
  <c r="K107" i="3"/>
  <c r="K141" i="3"/>
  <c r="K100" i="3"/>
  <c r="K114" i="3"/>
  <c r="K106" i="3"/>
  <c r="K113" i="3"/>
  <c r="K148" i="3"/>
  <c r="K151" i="3"/>
  <c r="K156" i="3"/>
  <c r="K120" i="3"/>
  <c r="K143" i="3"/>
  <c r="K128" i="3"/>
  <c r="K146" i="3"/>
  <c r="K110" i="3"/>
  <c r="K111" i="3"/>
  <c r="K108" i="3"/>
  <c r="K123" i="3"/>
  <c r="K133" i="3"/>
  <c r="K149" i="3"/>
  <c r="K160" i="3"/>
  <c r="K164" i="3"/>
  <c r="K145" i="3"/>
  <c r="K153" i="3"/>
  <c r="K102" i="3"/>
  <c r="K147" i="3"/>
  <c r="K101" i="3"/>
  <c r="K105" i="3"/>
  <c r="K119" i="3"/>
  <c r="K142" i="3"/>
  <c r="K138" i="3"/>
  <c r="K144" i="3"/>
  <c r="K112" i="3"/>
  <c r="K109" i="3"/>
  <c r="K2" i="3"/>
  <c r="K3" i="3"/>
  <c r="K5" i="3"/>
  <c r="K4" i="3"/>
  <c r="K6" i="3"/>
  <c r="K8" i="3"/>
  <c r="K7" i="3"/>
  <c r="K9" i="3"/>
  <c r="K10" i="3"/>
  <c r="K13" i="3"/>
  <c r="K12" i="3"/>
  <c r="K11" i="3"/>
  <c r="K14" i="3"/>
  <c r="K15" i="3"/>
  <c r="K103" i="3"/>
  <c r="J104" i="3"/>
  <c r="J121" i="3"/>
  <c r="J131" i="3"/>
  <c r="J118" i="3"/>
  <c r="J124" i="3"/>
  <c r="J135" i="3"/>
  <c r="J127" i="3"/>
  <c r="J132" i="3"/>
  <c r="J125" i="3"/>
  <c r="J159" i="3"/>
  <c r="J137" i="3"/>
  <c r="J126" i="3"/>
  <c r="J136" i="3"/>
  <c r="J134" i="3"/>
  <c r="J129" i="3"/>
  <c r="J140" i="3"/>
  <c r="J130" i="3"/>
  <c r="J139" i="3"/>
  <c r="J117" i="3"/>
  <c r="J116" i="3"/>
  <c r="J161" i="3"/>
  <c r="J152" i="3"/>
  <c r="J162" i="3"/>
  <c r="J122" i="3"/>
  <c r="J150" i="3"/>
  <c r="J154" i="3"/>
  <c r="J163" i="3"/>
  <c r="J115" i="3"/>
  <c r="J155" i="3"/>
  <c r="J158" i="3"/>
  <c r="J157" i="3"/>
  <c r="J107" i="3"/>
  <c r="J141" i="3"/>
  <c r="J100" i="3"/>
  <c r="J114" i="3"/>
  <c r="J106" i="3"/>
  <c r="J113" i="3"/>
  <c r="J148" i="3"/>
  <c r="J151" i="3"/>
  <c r="J156" i="3"/>
  <c r="J120" i="3"/>
  <c r="J143" i="3"/>
  <c r="J128" i="3"/>
  <c r="J146" i="3"/>
  <c r="J110" i="3"/>
  <c r="J111" i="3"/>
  <c r="J108" i="3"/>
  <c r="J123" i="3"/>
  <c r="J133" i="3"/>
  <c r="J149" i="3"/>
  <c r="J160" i="3"/>
  <c r="J164" i="3"/>
  <c r="J145" i="3"/>
  <c r="J153" i="3"/>
  <c r="J102" i="3"/>
  <c r="J147" i="3"/>
  <c r="J101" i="3"/>
  <c r="J105" i="3"/>
  <c r="J119" i="3"/>
  <c r="J142" i="3"/>
  <c r="J138" i="3"/>
  <c r="J144" i="3"/>
  <c r="J112" i="3"/>
  <c r="J109" i="3"/>
  <c r="J2" i="3"/>
  <c r="J3" i="3"/>
  <c r="J5" i="3"/>
  <c r="J4" i="3"/>
  <c r="J6" i="3"/>
  <c r="J8" i="3"/>
  <c r="J7" i="3"/>
  <c r="J9" i="3"/>
  <c r="J10" i="3"/>
  <c r="J13" i="3"/>
  <c r="J12" i="3"/>
  <c r="J11" i="3"/>
  <c r="J14" i="3"/>
  <c r="J15" i="3"/>
  <c r="J103" i="3"/>
  <c r="I104" i="3"/>
  <c r="I121" i="3"/>
  <c r="I131" i="3"/>
  <c r="I118" i="3"/>
  <c r="I124" i="3"/>
  <c r="I135" i="3"/>
  <c r="I127" i="3"/>
  <c r="I132" i="3"/>
  <c r="I125" i="3"/>
  <c r="I159" i="3"/>
  <c r="I137" i="3"/>
  <c r="I126" i="3"/>
  <c r="I136" i="3"/>
  <c r="I134" i="3"/>
  <c r="I129" i="3"/>
  <c r="I140" i="3"/>
  <c r="I130" i="3"/>
  <c r="I139" i="3"/>
  <c r="I117" i="3"/>
  <c r="I116" i="3"/>
  <c r="I161" i="3"/>
  <c r="I152" i="3"/>
  <c r="I162" i="3"/>
  <c r="I122" i="3"/>
  <c r="I150" i="3"/>
  <c r="I154" i="3"/>
  <c r="I163" i="3"/>
  <c r="I115" i="3"/>
  <c r="I155" i="3"/>
  <c r="I158" i="3"/>
  <c r="I157" i="3"/>
  <c r="I107" i="3"/>
  <c r="I141" i="3"/>
  <c r="I100" i="3"/>
  <c r="I114" i="3"/>
  <c r="I106" i="3"/>
  <c r="I113" i="3"/>
  <c r="I148" i="3"/>
  <c r="I151" i="3"/>
  <c r="I156" i="3"/>
  <c r="I120" i="3"/>
  <c r="I143" i="3"/>
  <c r="I128" i="3"/>
  <c r="I146" i="3"/>
  <c r="I110" i="3"/>
  <c r="I111" i="3"/>
  <c r="I108" i="3"/>
  <c r="I123" i="3"/>
  <c r="I133" i="3"/>
  <c r="I149" i="3"/>
  <c r="I160" i="3"/>
  <c r="I164" i="3"/>
  <c r="I145" i="3"/>
  <c r="I153" i="3"/>
  <c r="I102" i="3"/>
  <c r="I147" i="3"/>
  <c r="I101" i="3"/>
  <c r="I105" i="3"/>
  <c r="I119" i="3"/>
  <c r="I142" i="3"/>
  <c r="I138" i="3"/>
  <c r="I144" i="3"/>
  <c r="I112" i="3"/>
  <c r="I109" i="3"/>
  <c r="I2" i="3"/>
  <c r="I3" i="3"/>
  <c r="I5" i="3"/>
  <c r="I4" i="3"/>
  <c r="I6" i="3"/>
  <c r="I8" i="3"/>
  <c r="I7" i="3"/>
  <c r="I9" i="3"/>
  <c r="I10" i="3"/>
  <c r="I13" i="3"/>
  <c r="I12" i="3"/>
  <c r="I11" i="3"/>
  <c r="I14" i="3"/>
  <c r="I15" i="3"/>
  <c r="I103" i="3"/>
  <c r="I4" i="1"/>
  <c r="I5" i="1"/>
  <c r="H5" i="1" s="1"/>
  <c r="I6" i="1"/>
  <c r="I7" i="1"/>
  <c r="I8" i="1"/>
  <c r="I9" i="1"/>
  <c r="H9" i="1" s="1"/>
  <c r="I10" i="1"/>
  <c r="I11" i="1"/>
  <c r="I12" i="1"/>
  <c r="I13" i="1"/>
  <c r="H13" i="1" s="1"/>
  <c r="I14" i="1"/>
  <c r="I15" i="1"/>
  <c r="I16" i="1"/>
  <c r="I17" i="1"/>
  <c r="H17" i="1" s="1"/>
  <c r="I18" i="1"/>
  <c r="I19" i="1"/>
  <c r="I20" i="1"/>
  <c r="I21" i="1"/>
  <c r="H21" i="1" s="1"/>
  <c r="I22" i="1"/>
  <c r="I23" i="1"/>
  <c r="I24" i="1"/>
  <c r="I25" i="1"/>
  <c r="H25" i="1" s="1"/>
  <c r="I26" i="1"/>
  <c r="I27" i="1"/>
  <c r="I28" i="1"/>
  <c r="I29" i="1"/>
  <c r="H29" i="1" s="1"/>
  <c r="I30" i="1"/>
  <c r="I31" i="1"/>
  <c r="I32" i="1"/>
  <c r="I33" i="1"/>
  <c r="H33" i="1" s="1"/>
  <c r="I34" i="1"/>
  <c r="I35" i="1"/>
  <c r="I36" i="1"/>
  <c r="I37" i="1"/>
  <c r="H37" i="1" s="1"/>
  <c r="I38" i="1"/>
  <c r="I39" i="1"/>
  <c r="I40" i="1"/>
  <c r="I41" i="1"/>
  <c r="H41" i="1" s="1"/>
  <c r="I42" i="1"/>
  <c r="I43" i="1"/>
  <c r="I44" i="1"/>
  <c r="I45" i="1"/>
  <c r="H45" i="1" s="1"/>
  <c r="I46" i="1"/>
  <c r="I47" i="1"/>
  <c r="I48" i="1"/>
  <c r="I49" i="1"/>
  <c r="H49" i="1" s="1"/>
  <c r="I50" i="1"/>
  <c r="I51" i="1"/>
  <c r="I52" i="1"/>
  <c r="I53" i="1"/>
  <c r="H53" i="1" s="1"/>
  <c r="I54" i="1"/>
  <c r="I55" i="1"/>
  <c r="I56" i="1"/>
  <c r="I57" i="1"/>
  <c r="H57" i="1" s="1"/>
  <c r="I58" i="1"/>
  <c r="I59" i="1"/>
  <c r="I60" i="1"/>
  <c r="I61" i="1"/>
  <c r="H61" i="1" s="1"/>
  <c r="I62" i="1"/>
  <c r="I63" i="1"/>
  <c r="I64" i="1"/>
  <c r="I65" i="1"/>
  <c r="H65" i="1" s="1"/>
  <c r="I66" i="1"/>
  <c r="I67" i="1"/>
  <c r="I3" i="1"/>
  <c r="H97" i="2" l="1"/>
  <c r="H95" i="2"/>
  <c r="H99" i="2"/>
  <c r="H98" i="2"/>
  <c r="H96" i="2"/>
  <c r="H94" i="2"/>
  <c r="H100" i="2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8" i="1"/>
  <c r="H4" i="1"/>
  <c r="H67" i="1"/>
  <c r="H63" i="1"/>
  <c r="H59" i="1"/>
  <c r="H55" i="1"/>
  <c r="H51" i="1"/>
  <c r="H47" i="1"/>
  <c r="H43" i="1"/>
  <c r="H39" i="1"/>
  <c r="H35" i="1"/>
  <c r="H31" i="1"/>
  <c r="H27" i="1"/>
  <c r="H23" i="1"/>
  <c r="H19" i="1"/>
  <c r="H15" i="1"/>
  <c r="H11" i="1"/>
  <c r="H7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6" i="2"/>
  <c r="H3" i="1"/>
  <c r="H86" i="2"/>
  <c r="H70" i="2"/>
  <c r="H54" i="2"/>
  <c r="H38" i="2"/>
  <c r="H22" i="2"/>
  <c r="H83" i="2"/>
  <c r="H67" i="2"/>
  <c r="H51" i="2"/>
  <c r="H35" i="2"/>
  <c r="H19" i="2"/>
  <c r="H7" i="2"/>
  <c r="H3" i="2"/>
  <c r="H78" i="2"/>
  <c r="H62" i="2"/>
  <c r="H46" i="2"/>
  <c r="H30" i="2"/>
  <c r="H14" i="2"/>
  <c r="H91" i="2"/>
  <c r="H75" i="2"/>
  <c r="H59" i="2"/>
  <c r="H43" i="2"/>
  <c r="H27" i="2"/>
  <c r="H11" i="2"/>
  <c r="H93" i="2"/>
  <c r="H89" i="2"/>
  <c r="H85" i="2"/>
  <c r="H81" i="2"/>
  <c r="H77" i="2"/>
  <c r="H73" i="2"/>
  <c r="H69" i="2"/>
  <c r="H65" i="2"/>
  <c r="H61" i="2"/>
  <c r="H57" i="2"/>
  <c r="H53" i="2"/>
  <c r="H49" i="2"/>
  <c r="H45" i="2"/>
  <c r="H41" i="2"/>
  <c r="H37" i="2"/>
  <c r="H33" i="2"/>
  <c r="H29" i="2"/>
  <c r="H25" i="2"/>
  <c r="H21" i="2"/>
  <c r="H17" i="2"/>
  <c r="H13" i="2"/>
  <c r="H9" i="2"/>
  <c r="H5" i="2"/>
  <c r="H90" i="2"/>
  <c r="H82" i="2"/>
  <c r="H74" i="2"/>
  <c r="H66" i="2"/>
  <c r="H58" i="2"/>
  <c r="H50" i="2"/>
  <c r="H42" i="2"/>
  <c r="H34" i="2"/>
  <c r="H26" i="2"/>
  <c r="H18" i="2"/>
  <c r="H10" i="2"/>
  <c r="H92" i="2"/>
  <c r="H88" i="2"/>
  <c r="H84" i="2"/>
  <c r="H80" i="2"/>
  <c r="H76" i="2"/>
  <c r="H72" i="2"/>
  <c r="H68" i="2"/>
  <c r="H64" i="2"/>
  <c r="H60" i="2"/>
  <c r="H56" i="2"/>
  <c r="H52" i="2"/>
  <c r="H48" i="2"/>
  <c r="H44" i="2"/>
  <c r="H40" i="2"/>
  <c r="H36" i="2"/>
  <c r="H32" i="2"/>
  <c r="H28" i="2"/>
  <c r="H24" i="2"/>
  <c r="H20" i="2"/>
  <c r="H16" i="2"/>
  <c r="H12" i="2"/>
  <c r="H8" i="2"/>
  <c r="H4" i="2"/>
  <c r="H87" i="2"/>
  <c r="H79" i="2"/>
  <c r="H71" i="2"/>
  <c r="H63" i="2"/>
  <c r="H55" i="2"/>
  <c r="H47" i="2"/>
  <c r="H39" i="2"/>
  <c r="H31" i="2"/>
  <c r="H23" i="2"/>
  <c r="H15" i="2"/>
  <c r="M7" i="3"/>
  <c r="L7" i="3"/>
  <c r="M119" i="3"/>
  <c r="L119" i="3"/>
  <c r="M108" i="3"/>
  <c r="L108" i="3"/>
  <c r="M114" i="3"/>
  <c r="L114" i="3"/>
  <c r="M162" i="3"/>
  <c r="L162" i="3"/>
  <c r="M137" i="3"/>
  <c r="L137" i="3"/>
  <c r="M85" i="3"/>
  <c r="L85" i="3"/>
  <c r="M80" i="3"/>
  <c r="L80" i="3"/>
  <c r="M72" i="3"/>
  <c r="L72" i="3"/>
  <c r="M58" i="3"/>
  <c r="L58" i="3"/>
  <c r="M10" i="3"/>
  <c r="L10" i="3"/>
  <c r="M6" i="3"/>
  <c r="L6" i="3"/>
  <c r="M101" i="3"/>
  <c r="L101" i="3"/>
  <c r="M145" i="3"/>
  <c r="L145" i="3"/>
  <c r="M110" i="3"/>
  <c r="L110" i="3"/>
  <c r="M113" i="3"/>
  <c r="L113" i="3"/>
  <c r="M11" i="3"/>
  <c r="L11" i="3"/>
  <c r="L9" i="3"/>
  <c r="M9" i="3"/>
  <c r="M4" i="3"/>
  <c r="L4" i="3"/>
  <c r="L109" i="3"/>
  <c r="M109" i="3"/>
  <c r="M142" i="3"/>
  <c r="L142" i="3"/>
  <c r="L147" i="3"/>
  <c r="M147" i="3"/>
  <c r="M164" i="3"/>
  <c r="L164" i="3"/>
  <c r="L123" i="3"/>
  <c r="M123" i="3"/>
  <c r="M146" i="3"/>
  <c r="L146" i="3"/>
  <c r="L156" i="3"/>
  <c r="M156" i="3"/>
  <c r="M106" i="3"/>
  <c r="L106" i="3"/>
  <c r="M107" i="3"/>
  <c r="L107" i="3"/>
  <c r="M115" i="3"/>
  <c r="L115" i="3"/>
  <c r="L122" i="3"/>
  <c r="M122" i="3"/>
  <c r="M116" i="3"/>
  <c r="L116" i="3"/>
  <c r="L140" i="3"/>
  <c r="M140" i="3"/>
  <c r="M126" i="3"/>
  <c r="L126" i="3"/>
  <c r="L132" i="3"/>
  <c r="M132" i="3"/>
  <c r="M118" i="3"/>
  <c r="L118" i="3"/>
  <c r="L99" i="3"/>
  <c r="M99" i="3"/>
  <c r="L95" i="3"/>
  <c r="M95" i="3"/>
  <c r="L92" i="3"/>
  <c r="M92" i="3"/>
  <c r="L91" i="3"/>
  <c r="M91" i="3"/>
  <c r="L83" i="3"/>
  <c r="M83" i="3"/>
  <c r="L79" i="3"/>
  <c r="M79" i="3"/>
  <c r="L76" i="3"/>
  <c r="M76" i="3"/>
  <c r="L67" i="3"/>
  <c r="M67" i="3"/>
  <c r="L68" i="3"/>
  <c r="M68" i="3"/>
  <c r="L63" i="3"/>
  <c r="M63" i="3"/>
  <c r="L59" i="3"/>
  <c r="M59" i="3"/>
  <c r="L55" i="3"/>
  <c r="M55" i="3"/>
  <c r="L50" i="3"/>
  <c r="M50" i="3"/>
  <c r="L49" i="3"/>
  <c r="M49" i="3"/>
  <c r="L43" i="3"/>
  <c r="M43" i="3"/>
  <c r="L39" i="3"/>
  <c r="M39" i="3"/>
  <c r="L37" i="3"/>
  <c r="M37" i="3"/>
  <c r="L31" i="3"/>
  <c r="M31" i="3"/>
  <c r="L25" i="3"/>
  <c r="M25" i="3"/>
  <c r="L20" i="3"/>
  <c r="M20" i="3"/>
  <c r="L24" i="3"/>
  <c r="M24" i="3"/>
  <c r="M41" i="3"/>
  <c r="L41" i="3"/>
  <c r="M40" i="3"/>
  <c r="L40" i="3"/>
  <c r="M36" i="3"/>
  <c r="L36" i="3"/>
  <c r="M32" i="3"/>
  <c r="L32" i="3"/>
  <c r="M28" i="3"/>
  <c r="L28" i="3"/>
  <c r="M21" i="3"/>
  <c r="L21" i="3"/>
  <c r="M18" i="3"/>
  <c r="L18" i="3"/>
  <c r="M17" i="3"/>
  <c r="L17" i="3"/>
  <c r="M12" i="3"/>
  <c r="L12" i="3"/>
  <c r="M112" i="3"/>
  <c r="L112" i="3"/>
  <c r="M160" i="3"/>
  <c r="L160" i="3"/>
  <c r="M151" i="3"/>
  <c r="L151" i="3"/>
  <c r="M157" i="3"/>
  <c r="L157" i="3"/>
  <c r="M117" i="3"/>
  <c r="L117" i="3"/>
  <c r="M127" i="3"/>
  <c r="L127" i="3"/>
  <c r="M96" i="3"/>
  <c r="L96" i="3"/>
  <c r="M84" i="3"/>
  <c r="L84" i="3"/>
  <c r="M74" i="3"/>
  <c r="L74" i="3"/>
  <c r="M64" i="3"/>
  <c r="L64" i="3"/>
  <c r="M52" i="3"/>
  <c r="L52" i="3"/>
  <c r="M48" i="3"/>
  <c r="L48" i="3"/>
  <c r="M15" i="3"/>
  <c r="L15" i="3"/>
  <c r="M13" i="3"/>
  <c r="L13" i="3"/>
  <c r="M8" i="3"/>
  <c r="L8" i="3"/>
  <c r="M3" i="3"/>
  <c r="L3" i="3"/>
  <c r="M144" i="3"/>
  <c r="L144" i="3"/>
  <c r="M105" i="3"/>
  <c r="L105" i="3"/>
  <c r="M153" i="3"/>
  <c r="L153" i="3"/>
  <c r="M149" i="3"/>
  <c r="L149" i="3"/>
  <c r="M111" i="3"/>
  <c r="L111" i="3"/>
  <c r="M143" i="3"/>
  <c r="L143" i="3"/>
  <c r="M148" i="3"/>
  <c r="L148" i="3"/>
  <c r="M100" i="3"/>
  <c r="L100" i="3"/>
  <c r="M158" i="3"/>
  <c r="L158" i="3"/>
  <c r="M154" i="3"/>
  <c r="L154" i="3"/>
  <c r="M152" i="3"/>
  <c r="L152" i="3"/>
  <c r="M139" i="3"/>
  <c r="L139" i="3"/>
  <c r="M134" i="3"/>
  <c r="L134" i="3"/>
  <c r="M159" i="3"/>
  <c r="L159" i="3"/>
  <c r="M135" i="3"/>
  <c r="L135" i="3"/>
  <c r="M121" i="3"/>
  <c r="L121" i="3"/>
  <c r="L97" i="3"/>
  <c r="M97" i="3"/>
  <c r="M94" i="3"/>
  <c r="L94" i="3"/>
  <c r="L89" i="3"/>
  <c r="M89" i="3"/>
  <c r="M88" i="3"/>
  <c r="L88" i="3"/>
  <c r="L81" i="3"/>
  <c r="M81" i="3"/>
  <c r="M75" i="3"/>
  <c r="L75" i="3"/>
  <c r="L73" i="3"/>
  <c r="M73" i="3"/>
  <c r="M71" i="3"/>
  <c r="L71" i="3"/>
  <c r="M65" i="3"/>
  <c r="L65" i="3"/>
  <c r="M62" i="3"/>
  <c r="L62" i="3"/>
  <c r="L57" i="3"/>
  <c r="M57" i="3"/>
  <c r="M53" i="3"/>
  <c r="L53" i="3"/>
  <c r="L47" i="3"/>
  <c r="M47" i="3"/>
  <c r="M46" i="3"/>
  <c r="L46" i="3"/>
  <c r="L42" i="3"/>
  <c r="M42" i="3"/>
  <c r="M35" i="3"/>
  <c r="L35" i="3"/>
  <c r="M34" i="3"/>
  <c r="L34" i="3"/>
  <c r="M29" i="3"/>
  <c r="L29" i="3"/>
  <c r="L26" i="3"/>
  <c r="M26" i="3"/>
  <c r="M23" i="3"/>
  <c r="L23" i="3"/>
  <c r="L16" i="3"/>
  <c r="M16" i="3"/>
  <c r="M103" i="3"/>
  <c r="L103" i="3"/>
  <c r="M5" i="3"/>
  <c r="L5" i="3"/>
  <c r="M102" i="3"/>
  <c r="L102" i="3"/>
  <c r="M128" i="3"/>
  <c r="L128" i="3"/>
  <c r="M163" i="3"/>
  <c r="L163" i="3"/>
  <c r="M129" i="3"/>
  <c r="L129" i="3"/>
  <c r="M131" i="3"/>
  <c r="L131" i="3"/>
  <c r="M90" i="3"/>
  <c r="L90" i="3"/>
  <c r="M77" i="3"/>
  <c r="L77" i="3"/>
  <c r="M56" i="3"/>
  <c r="L56" i="3"/>
  <c r="M14" i="3"/>
  <c r="L14" i="3"/>
  <c r="M2" i="3"/>
  <c r="L2" i="3"/>
  <c r="M138" i="3"/>
  <c r="L138" i="3"/>
  <c r="M133" i="3"/>
  <c r="L133" i="3"/>
  <c r="M120" i="3"/>
  <c r="L120" i="3"/>
  <c r="M141" i="3"/>
  <c r="L141" i="3"/>
  <c r="M155" i="3"/>
  <c r="L155" i="3"/>
  <c r="M150" i="3"/>
  <c r="L150" i="3"/>
  <c r="M161" i="3"/>
  <c r="L161" i="3"/>
  <c r="M130" i="3"/>
  <c r="L130" i="3"/>
  <c r="M136" i="3"/>
  <c r="L136" i="3"/>
  <c r="M125" i="3"/>
  <c r="L125" i="3"/>
  <c r="M124" i="3"/>
  <c r="L124" i="3"/>
  <c r="M104" i="3"/>
  <c r="L104" i="3"/>
  <c r="M98" i="3"/>
  <c r="L98" i="3"/>
  <c r="M93" i="3"/>
  <c r="L93" i="3"/>
  <c r="M86" i="3"/>
  <c r="L86" i="3"/>
  <c r="M87" i="3"/>
  <c r="L87" i="3"/>
  <c r="M82" i="3"/>
  <c r="L82" i="3"/>
  <c r="M78" i="3"/>
  <c r="L78" i="3"/>
  <c r="M66" i="3"/>
  <c r="L66" i="3"/>
  <c r="M70" i="3"/>
  <c r="L70" i="3"/>
  <c r="M69" i="3"/>
  <c r="L69" i="3"/>
  <c r="M61" i="3"/>
  <c r="L61" i="3"/>
  <c r="M60" i="3"/>
  <c r="L60" i="3"/>
  <c r="M54" i="3"/>
  <c r="L54" i="3"/>
  <c r="M51" i="3"/>
  <c r="L51" i="3"/>
  <c r="M45" i="3"/>
  <c r="L45" i="3"/>
  <c r="M44" i="3"/>
  <c r="L44" i="3"/>
  <c r="M38" i="3"/>
  <c r="L38" i="3"/>
  <c r="M33" i="3"/>
  <c r="L33" i="3"/>
  <c r="M30" i="3"/>
  <c r="L30" i="3"/>
  <c r="M27" i="3"/>
  <c r="L27" i="3"/>
  <c r="M22" i="3"/>
  <c r="L22" i="3"/>
  <c r="M19" i="3"/>
  <c r="L1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<sst xmlns="http://schemas.openxmlformats.org/spreadsheetml/2006/main" count="30434" uniqueCount="9655">
  <si>
    <t>Order No</t>
  </si>
  <si>
    <t>Product ID</t>
  </si>
  <si>
    <t>Descr</t>
  </si>
  <si>
    <t>Prod Alias</t>
  </si>
  <si>
    <t>Sum Qty</t>
  </si>
  <si>
    <t>PO Number</t>
  </si>
  <si>
    <t>Sched Ship Dte</t>
  </si>
  <si>
    <t>SOA0275443</t>
  </si>
  <si>
    <t>JDOR1219SDB62</t>
  </si>
  <si>
    <t>BRUNS RAKE STORM GRAY 7.131 X</t>
  </si>
  <si>
    <t>12-252393-000</t>
  </si>
  <si>
    <t>1188346</t>
  </si>
  <si>
    <t>SOA0275444</t>
  </si>
  <si>
    <t>1190077</t>
  </si>
  <si>
    <t>J09RB973PM14</t>
  </si>
  <si>
    <t>DIG 7/16 ANVIL HEAD 41.84X126.</t>
  </si>
  <si>
    <t>SOA0275448</t>
  </si>
  <si>
    <t>G22WM991PM41</t>
  </si>
  <si>
    <t>GLOW MAPLE LANE 41.84 X 144</t>
  </si>
  <si>
    <t>84-200442-999</t>
  </si>
  <si>
    <t>1191177</t>
  </si>
  <si>
    <t>SOA0275373</t>
  </si>
  <si>
    <t>G24WM991PM41</t>
  </si>
  <si>
    <t>84-200693-999</t>
  </si>
  <si>
    <t>1191101</t>
  </si>
  <si>
    <t>SOA0275446</t>
  </si>
  <si>
    <t>J24ICHARPM41</t>
  </si>
  <si>
    <t>GLOW CHARACTER BLKS 41.84X144</t>
  </si>
  <si>
    <t>84-200694-999</t>
  </si>
  <si>
    <t>SOA0275431</t>
  </si>
  <si>
    <t>1191279</t>
  </si>
  <si>
    <t>J25IRAPPAM58</t>
  </si>
  <si>
    <t>PRO II TEX R APPR 59.5 X 144.0</t>
  </si>
  <si>
    <t>84-200696-999</t>
  </si>
  <si>
    <t>J25ILAPPAM51</t>
  </si>
  <si>
    <t>PRO II TEX L APPR 59.5 X 144.0</t>
  </si>
  <si>
    <t>84-200697-999</t>
  </si>
  <si>
    <t>J25IRFOUQM56</t>
  </si>
  <si>
    <t>PRO II TEX R T-FOUL 59.5 X 142</t>
  </si>
  <si>
    <t>84-200698-999</t>
  </si>
  <si>
    <t>J25ILFOUQM57</t>
  </si>
  <si>
    <t>PRO II TEX L T-FOUL 59.5 X 142</t>
  </si>
  <si>
    <t>84-200699-999</t>
  </si>
  <si>
    <t>G25WM111AM23</t>
  </si>
  <si>
    <t>PRO II TEX RET W/ #10 14.15 X</t>
  </si>
  <si>
    <t>84-200701-999</t>
  </si>
  <si>
    <t>G25WM111AM24</t>
  </si>
  <si>
    <t>PRO II TEX W RET W/ #10 15.25X</t>
  </si>
  <si>
    <t>G25WM111ARAE</t>
  </si>
  <si>
    <t>PRO II TEX WALK W/ #10 42 1/2X</t>
  </si>
  <si>
    <t>SOA0275434</t>
  </si>
  <si>
    <t>G44WM311PM61</t>
  </si>
  <si>
    <t>SYN3 UV L COMMON 41.875 X 144</t>
  </si>
  <si>
    <t>84-200705-999</t>
  </si>
  <si>
    <t>G44WM311PM37</t>
  </si>
  <si>
    <t>SYN3 UV L SHORT 41.875X47.125</t>
  </si>
  <si>
    <t>84-200709-999</t>
  </si>
  <si>
    <t>SOA0275215</t>
  </si>
  <si>
    <t>J46I8891AM31</t>
  </si>
  <si>
    <t>SYN3 TEX UV L/AP 59.641 X 144</t>
  </si>
  <si>
    <t>84-200711-999</t>
  </si>
  <si>
    <t>1190761</t>
  </si>
  <si>
    <t>J46I8890AM30</t>
  </si>
  <si>
    <t>SYN3 TEX UV R/AP  59.641 X 144</t>
  </si>
  <si>
    <t>84-200712-999</t>
  </si>
  <si>
    <t>G46WM301AM38</t>
  </si>
  <si>
    <t>SYN3 UV BALL RET 13.87 X 144</t>
  </si>
  <si>
    <t>84-200716-999</t>
  </si>
  <si>
    <t>G46WM311ASWG</t>
  </si>
  <si>
    <t>SYN3 UV W/WAY 42 7/8 X 145 1/4</t>
  </si>
  <si>
    <t>84-200717-999</t>
  </si>
  <si>
    <t>1190315</t>
  </si>
  <si>
    <t>J56I9361PM85</t>
  </si>
  <si>
    <t>SYN3 L L/O FOUL 41.875 X 144</t>
  </si>
  <si>
    <t>84-200718-000</t>
  </si>
  <si>
    <t>J56I9360PM85</t>
  </si>
  <si>
    <t>SYN3 R L/O FOUL 41.875 X 144</t>
  </si>
  <si>
    <t>84-200719-000</t>
  </si>
  <si>
    <t>SOA0275501</t>
  </si>
  <si>
    <t>J44B0105PM35</t>
  </si>
  <si>
    <t>DIG UV SPARK WT ARR 41.875X144</t>
  </si>
  <si>
    <t>84-400207-224</t>
  </si>
  <si>
    <t>1191373</t>
  </si>
  <si>
    <t>SOA0275445</t>
  </si>
  <si>
    <t>J44I9294AM31</t>
  </si>
  <si>
    <t>WW070 UV L APP 59.641 X 144</t>
  </si>
  <si>
    <t>84-400211-105</t>
  </si>
  <si>
    <t>1191282</t>
  </si>
  <si>
    <t>SOA0274765</t>
  </si>
  <si>
    <t>J44B0107QM33</t>
  </si>
  <si>
    <t>DIG UV SPARK WITCH L/F 59.641</t>
  </si>
  <si>
    <t>1189726</t>
  </si>
  <si>
    <t>J44B0151QM33</t>
  </si>
  <si>
    <t>DIG UV WX421/ WF131 LF 59.641X</t>
  </si>
  <si>
    <t>J44B0108QM32</t>
  </si>
  <si>
    <t>DIG UV SPARK WITCH R/F 59.641</t>
  </si>
  <si>
    <t>84-400214-222</t>
  </si>
  <si>
    <t>J44B0152QM32</t>
  </si>
  <si>
    <t>DIG UV WX421/ WF131 RF 59.641X</t>
  </si>
  <si>
    <t>SOA0275447</t>
  </si>
  <si>
    <t>G44KM009AM38</t>
  </si>
  <si>
    <t>KM009 UV NAR BALL RET 13.87X14</t>
  </si>
  <si>
    <t>84-400216-160</t>
  </si>
  <si>
    <t>SOA0274912</t>
  </si>
  <si>
    <t>J56RB725AM38</t>
  </si>
  <si>
    <t>DIG BLK W/GOLD NBR 13.87 X 144</t>
  </si>
  <si>
    <t>1190089</t>
  </si>
  <si>
    <t>SOA0275119</t>
  </si>
  <si>
    <t>J44RB882AM38</t>
  </si>
  <si>
    <t>DIG UV WA110 CF NBR 13.87X144</t>
  </si>
  <si>
    <t>84-400216-200</t>
  </si>
  <si>
    <t>1190421</t>
  </si>
  <si>
    <t>SOA0275243</t>
  </si>
  <si>
    <t>J44RB905AM38</t>
  </si>
  <si>
    <t>DIG UV WW960 MMW NBR 13.87X144</t>
  </si>
  <si>
    <t>84-400216-205</t>
  </si>
  <si>
    <t>1190838</t>
  </si>
  <si>
    <t>SOA0275549</t>
  </si>
  <si>
    <t>J44B0025AM38</t>
  </si>
  <si>
    <t>DIG UV HYB VANA NBR 13.87X144</t>
  </si>
  <si>
    <t>84-400216-214</t>
  </si>
  <si>
    <t>1191453</t>
  </si>
  <si>
    <t>SOA0275449</t>
  </si>
  <si>
    <t>J44B0228AM38</t>
  </si>
  <si>
    <t>DIG UV WO140 NBR 13.87 X 144</t>
  </si>
  <si>
    <t>84-400216-236</t>
  </si>
  <si>
    <t>1191160</t>
  </si>
  <si>
    <t>J44RB867AM38</t>
  </si>
  <si>
    <t>DIG UV WX421 NBR 13.87 X 144</t>
  </si>
  <si>
    <t>SOA0274784</t>
  </si>
  <si>
    <t>1189766</t>
  </si>
  <si>
    <t>J44YB102AM38</t>
  </si>
  <si>
    <t>DIG UV WR BE NBR 13.87 X 144</t>
  </si>
  <si>
    <t>J44YB102AB22</t>
  </si>
  <si>
    <t>DIG UV WR BE SNBR 13.87X72</t>
  </si>
  <si>
    <t>SOA0275502</t>
  </si>
  <si>
    <t>J24B0243PM41</t>
  </si>
  <si>
    <t>PRO OFCL LOGO COM 41.84X144</t>
  </si>
  <si>
    <t>84-700205-122</t>
  </si>
  <si>
    <t>1191321</t>
  </si>
  <si>
    <t>SOA0275450</t>
  </si>
  <si>
    <t>J24YB110AM23</t>
  </si>
  <si>
    <t>PRO GRIF UV WF131 NBR 14.15X14</t>
  </si>
  <si>
    <t>84-700215-121</t>
  </si>
  <si>
    <t>1190560</t>
  </si>
  <si>
    <t>J24YB111AB12</t>
  </si>
  <si>
    <t>PRO GRIF UV WF131 SBR 14.15X58</t>
  </si>
  <si>
    <t>84-700218-121</t>
  </si>
  <si>
    <t>GIDBRUNSPPK15</t>
  </si>
  <si>
    <t>PRO II TEX (2 LANE PK) W/ #10</t>
  </si>
  <si>
    <t>SOA0275217</t>
  </si>
  <si>
    <t>SYN3GLOWAPK12</t>
  </si>
  <si>
    <t>SYN3 UV TEX/PLATE LANE PACK</t>
  </si>
  <si>
    <t>84-860850-999</t>
  </si>
  <si>
    <t>SOA0275374</t>
  </si>
  <si>
    <t>SOA0275375</t>
  </si>
  <si>
    <t>SOA0275435</t>
  </si>
  <si>
    <t>SYN3GLOWAPK23</t>
  </si>
  <si>
    <t>SYN3 UV T/P RT LANE PACK</t>
  </si>
  <si>
    <t>84-860856-999</t>
  </si>
  <si>
    <t>CGWW070APPK2</t>
  </si>
  <si>
    <t>WW070 UV CL GUNSTOCK 2 LP</t>
  </si>
  <si>
    <t>DBLKGOLDAPPK1</t>
  </si>
  <si>
    <t>DIG BLK W/GOLD TWO LANE PACK</t>
  </si>
  <si>
    <t>84-864001-178</t>
  </si>
  <si>
    <t>DIGWF131APPK4</t>
  </si>
  <si>
    <t>DIG UV HYB VANA 2 LP</t>
  </si>
  <si>
    <t>84-864001-214</t>
  </si>
  <si>
    <t>DDIGKM009APK1</t>
  </si>
  <si>
    <t>DDIG KM009 UV BRUNS SILVER 2LP</t>
  </si>
  <si>
    <t>84-864001-218</t>
  </si>
  <si>
    <t>SOA0275106</t>
  </si>
  <si>
    <t>DIGSW813APPK1</t>
  </si>
  <si>
    <t>DIG UV SW813 ICE WHITE 2LP</t>
  </si>
  <si>
    <t>84-864001-221</t>
  </si>
  <si>
    <t>DIGWO140APK1</t>
  </si>
  <si>
    <t>DIG UV WO140 2LP</t>
  </si>
  <si>
    <t>84-864001-236</t>
  </si>
  <si>
    <t>CGWW070APPK3</t>
  </si>
  <si>
    <t>WW070 UV CL GUNSTOCK LEFT LP</t>
  </si>
  <si>
    <t>DDIGKM009APK2</t>
  </si>
  <si>
    <t>DDIG KM009 UV BRUNS SILVER LLP</t>
  </si>
  <si>
    <t>84-864002-218</t>
  </si>
  <si>
    <t>CGWW070APPK4</t>
  </si>
  <si>
    <t>WW070 UV CL GUNSTOCK RIGHT LP</t>
  </si>
  <si>
    <t>DIGWW960APPK3</t>
  </si>
  <si>
    <t>DIG UV WW960 HILLTOP 2LP</t>
  </si>
  <si>
    <t>84-864025-159</t>
  </si>
  <si>
    <t>DIGUCWRBETCPK1</t>
  </si>
  <si>
    <t>DIG UV WR BE TC 2LP</t>
  </si>
  <si>
    <t>DIGBLKFOAPK1</t>
  </si>
  <si>
    <t>DIG BLK FOREST EM LOGO 2LP</t>
  </si>
  <si>
    <t>DIGSPARKWTPK1</t>
  </si>
  <si>
    <t>DIG UV SPARK WT DOWN LP</t>
  </si>
  <si>
    <t>DIGWF131APPK6</t>
  </si>
  <si>
    <t>DIG UV WF131 VANA DOWN LP</t>
  </si>
  <si>
    <t>DIGWF131APPK7</t>
  </si>
  <si>
    <t>DIG UV WF131 VANA TRANS LP</t>
  </si>
  <si>
    <t>84-866021-121</t>
  </si>
  <si>
    <t>Lvl</t>
  </si>
  <si>
    <t>Item ID</t>
  </si>
  <si>
    <t>Description</t>
  </si>
  <si>
    <t>BOM Code</t>
  </si>
  <si>
    <t>Op Seq</t>
  </si>
  <si>
    <t>Quantity</t>
  </si>
  <si>
    <t>AMF UV L/A  R/E 61 X 143 3/4</t>
  </si>
  <si>
    <t>AMF UV S/A  R/E  61 X 143 3/4</t>
  </si>
  <si>
    <t>AMF UV P/A  R/E  61 X 143 3/4</t>
  </si>
  <si>
    <t>AMF LONG APPR  R/E  61 X 143 3</t>
  </si>
  <si>
    <t>AMF SHORT APPR  R/E  61 X 143</t>
  </si>
  <si>
    <t>AMF PLAIN APPR  R/E  61 X 143</t>
  </si>
  <si>
    <t>AMF APPR PLAIN R/E  61 X 143 3</t>
  </si>
  <si>
    <t>AMF APPR HALF R/E  61 X 143 3/</t>
  </si>
  <si>
    <t>110WM741-6200</t>
  </si>
  <si>
    <t>100WM991-4300</t>
  </si>
  <si>
    <t>100WM101-6200</t>
  </si>
  <si>
    <t>100WM981-6200</t>
  </si>
  <si>
    <t>100WM301-6200</t>
  </si>
  <si>
    <t>100WM311-4300</t>
  </si>
  <si>
    <t>100WM321-4300</t>
  </si>
  <si>
    <t>100WM332-6200</t>
  </si>
  <si>
    <t>100WM333-6200</t>
  </si>
  <si>
    <t>AMF UV L/A  L/O  61 X 143 3/4</t>
  </si>
  <si>
    <t>AMF UV S/A  L/O  61 X 143 3/4</t>
  </si>
  <si>
    <t>AMF LONG APPR  L/O  61 X 143 3</t>
  </si>
  <si>
    <t>AMF SHORT APPR  L/O  61 X 143</t>
  </si>
  <si>
    <t>AMF SHORT APPR L/O  61 X 143 3</t>
  </si>
  <si>
    <t>AMF APPR HALF L/0  61 X 143 3/</t>
  </si>
  <si>
    <t>C &amp; G DIG UV PRO 2 LANE PACK</t>
  </si>
  <si>
    <t>GLOW (LANE ONLY) PRO-LANE</t>
  </si>
  <si>
    <t>GLOW (HEAD LANE ONLY) PRO-LANE</t>
  </si>
  <si>
    <t>PRO II TEX (2 LANE PK) PROLANE</t>
  </si>
  <si>
    <t>GLOW (LANE ONLY)PROLANE W/ #10</t>
  </si>
  <si>
    <t>GLOW (HEAD L/O) PROLANE W/ #10</t>
  </si>
  <si>
    <t>PRO II (2 LANE PK) W/ #10</t>
  </si>
  <si>
    <t>PRO II TEX (ODD LANE PK) W/ #1</t>
  </si>
  <si>
    <t>PRO II TEX (RT LANE PK) W/ #10</t>
  </si>
  <si>
    <t>PRO KOH  LOGO 2LP W/ #10</t>
  </si>
  <si>
    <t>PRO REGER  LOGO 2LP W/ #10</t>
  </si>
  <si>
    <t>PRO II TEX 2LP W/ #10 &amp; S/H</t>
  </si>
  <si>
    <t>PRO HUNTER  LOGO 2LP W/ #10</t>
  </si>
  <si>
    <t>BUFF BOWL ODD LANE PK) W/ #10</t>
  </si>
  <si>
    <t>GLOW 5FT (2 LANE PK) PRO-LANE</t>
  </si>
  <si>
    <t>GLOW 5FT BULK PACK</t>
  </si>
  <si>
    <t>GLOW II 5FT(2 LANE PK) PROLANE</t>
  </si>
  <si>
    <t>PRO II TEX (2 L/P PALMS)</t>
  </si>
  <si>
    <t>PRO CAN PIN 2LP W/ #10</t>
  </si>
  <si>
    <t>GLOW24 H/O FOUL 41.84 X 143.25</t>
  </si>
  <si>
    <t>GLOW24 H/O HEAD 41.84 X 143.25</t>
  </si>
  <si>
    <t>GLOW BRUNS LOGO COM 41.84X144</t>
  </si>
  <si>
    <t>JR DIG/UV PRO TWO LANE PACK</t>
  </si>
  <si>
    <t>OCEAN UV PRO LEFT LANE PACK</t>
  </si>
  <si>
    <t>OCEAN GID 2 LANE PACK</t>
  </si>
  <si>
    <t>OCEAN FULL GLOW 2 LP</t>
  </si>
  <si>
    <t>SHSU DIG UV PRO 2LP</t>
  </si>
  <si>
    <t>WANDERER HP272 PRO 2LP SH</t>
  </si>
  <si>
    <t>PRO II TEX R/A NO DOTS 59.5X14</t>
  </si>
  <si>
    <t>PRO II TEX (APPR ONLY) PROLANE</t>
  </si>
  <si>
    <t>PRO II TEX (A/O)PROLANE W/ #10</t>
  </si>
  <si>
    <t>PRO II TEX (A/O) PRO SH2 W/ #1</t>
  </si>
  <si>
    <t>PRO II TEX R W/ARROWS 59.5X142</t>
  </si>
  <si>
    <t>PRO II TEX XL R FOUL 59.5 X 14</t>
  </si>
  <si>
    <t>OCEAN 2A PRO R APPR 59.5 X 144</t>
  </si>
  <si>
    <t>OCEAN 2B PRO R FOUL 59.5X142.5</t>
  </si>
  <si>
    <t>PRO II TEX R/A WEBER 59.5 X 14</t>
  </si>
  <si>
    <t>PRO II TEX RF HOLIDAY 59.5X142</t>
  </si>
  <si>
    <t>PRO II TEX L/A NO DOTS 59.5 X</t>
  </si>
  <si>
    <t>PRO II TEX L W/ARROWS 59.5X142</t>
  </si>
  <si>
    <t>OCEAN 1A PRO L APPR 59.5 X 144</t>
  </si>
  <si>
    <t>OCEAN 1B PRO L FOUL 59.5X142.5</t>
  </si>
  <si>
    <t>PRO II TEX L/A WEBER 59.5 X 14</t>
  </si>
  <si>
    <t>PRO II TEX LF HOLIDAY 59.5X142</t>
  </si>
  <si>
    <t>AMF GLOW 5 FT APPROACH PACK</t>
  </si>
  <si>
    <t>SYN W BALL RET 14.7 X 144.00</t>
  </si>
  <si>
    <t>SYN BALL RET 13.868 X 144</t>
  </si>
  <si>
    <t>SYN UV W BALL RET 14.7 X 144.0</t>
  </si>
  <si>
    <t>SYN UV BALL RET 13.868 X 144</t>
  </si>
  <si>
    <t>SYN UV BALL RET 13.87 X 144</t>
  </si>
  <si>
    <t>SYN UV W BALL RET 14.7 X 144</t>
  </si>
  <si>
    <t>SYN3 UV W BALL RET 14.7 X 144</t>
  </si>
  <si>
    <t>SYN3 TEX UV RET DO 13.87X144</t>
  </si>
  <si>
    <t>SYN3 TEXUV W RET DO 14.7X144</t>
  </si>
  <si>
    <t>SYN2 UV BALL RET 13.87 X 144</t>
  </si>
  <si>
    <t>SYN2 UV W BALL RET 14.7 X 144</t>
  </si>
  <si>
    <t>SYN2 UV W BALL RET 14.7 X 144.</t>
  </si>
  <si>
    <t>SYN2 UV BALL RET 13.868 X 144</t>
  </si>
  <si>
    <t>SYN2 W BALL RET 14.7 X 144.00</t>
  </si>
  <si>
    <t>SYN2 BALL RET 13.868 X 144</t>
  </si>
  <si>
    <t>SYN3 BALL RET 13.87 X 144</t>
  </si>
  <si>
    <t>SYN3 W BALL RET 14.7 X 144</t>
  </si>
  <si>
    <t>IQ CLASSIC 2-LANE PACK</t>
  </si>
  <si>
    <t>IQ CLASSIC 5 FT ONLY</t>
  </si>
  <si>
    <t>IQ UV CLASSIC 2-LANE PACK</t>
  </si>
  <si>
    <t>IQ UV TEX CLASSIC 2-LANE PACK</t>
  </si>
  <si>
    <t>IQ HEAD PANEL 44 X 145</t>
  </si>
  <si>
    <t>IQ FOUL LINE COMBO FINISH 44</t>
  </si>
  <si>
    <t>IQ APPROACH PANEL 44 X 145</t>
  </si>
  <si>
    <t>ARROW PANEL 41.875 X 143.625</t>
  </si>
  <si>
    <t>FOUL LN D/F PAN 41.875 X 142</t>
  </si>
  <si>
    <t>APPROACH PANEL 41.875 X 143</t>
  </si>
  <si>
    <t>SYN3 PIP UV NBR 13.87 X 144</t>
  </si>
  <si>
    <t>SYN3 UV LINES NSR 13.87X72</t>
  </si>
  <si>
    <t>SYN3 UV LINES NBR 13.87 X 144</t>
  </si>
  <si>
    <t>M-FAM D/F UV R FOUL 59.641X144</t>
  </si>
  <si>
    <t>ARROW .500 NO P/B 41.875X143.6</t>
  </si>
  <si>
    <t>FOUL LINE .500  NO P/B 41.875</t>
  </si>
  <si>
    <t>APPROACH .500 NO P/B 41.875 X</t>
  </si>
  <si>
    <t>SOCHI H1 TEX RETURN 13.87X144</t>
  </si>
  <si>
    <t>STREZ 1J TEX RETURN 13.87X144</t>
  </si>
  <si>
    <t>YAKU 1J TEX RETURN 13.87X144</t>
  </si>
  <si>
    <t>OCEAN 1J TEX RET 13.87 X 144</t>
  </si>
  <si>
    <t>OCEAN IJ TEX W/B RET 14.7X144</t>
  </si>
  <si>
    <t>OCEAN 1J RET F/G 13.87 X 144</t>
  </si>
  <si>
    <t>OCEAN 2B R/FOUL F/G 59.641X144</t>
  </si>
  <si>
    <t>OCEAN 1B L/FOUL F/G 59.641X144</t>
  </si>
  <si>
    <t>KINGSVILLE 1J TEX RET 13.87X14</t>
  </si>
  <si>
    <t>KINGSVILLE ANV GLOW NAVY 2LP</t>
  </si>
  <si>
    <t>OCEAN SYN 2 LANE PACK</t>
  </si>
  <si>
    <t>OCEAN SYN 2 LP FULL GLOW</t>
  </si>
  <si>
    <t>SOCHI SWIRL TEX LANE PACK</t>
  </si>
  <si>
    <t>STREZHEVOI TEX LANE PACK</t>
  </si>
  <si>
    <t>SYN3 TEX/PLATE LANE PACK</t>
  </si>
  <si>
    <t>SYN3 RIGHT TEX/PLATE LANE</t>
  </si>
  <si>
    <t>SYN3 LEFT TEX/PLATE LANE</t>
  </si>
  <si>
    <t>SYN3 UV TEX APP R/SHORT PACK</t>
  </si>
  <si>
    <t>SYN3 UV 45 FT TEX LANE PACK</t>
  </si>
  <si>
    <t>SYN3 UV T/P ODD LANE PACK</t>
  </si>
  <si>
    <t>SYN3 UV T/P VIRTUAL 11 FT PACK</t>
  </si>
  <si>
    <t>SYN3 UV T/P VIRTUAL 7 FT PACK</t>
  </si>
  <si>
    <t>SYN3 UV T/P VIRTUAL 7 FT SINGL</t>
  </si>
  <si>
    <t>SYN3 UV T/P VIRTUAL 11 FT SING</t>
  </si>
  <si>
    <t>SYN3 UV VIRTUAL STAIR PACK</t>
  </si>
  <si>
    <t>SYN3 UV TEX APP A/O PACK</t>
  </si>
  <si>
    <t>SYN3 UV T/P 8P LANE PACK</t>
  </si>
  <si>
    <t>SYN3 UV T/P ODD SHORT PACK</t>
  </si>
  <si>
    <t>SYN3 UV TEX SLIP HAZ LANE PACK</t>
  </si>
  <si>
    <t>SYN3 UV TEX BI SLIP HAZ LP</t>
  </si>
  <si>
    <t>SYN3 UV TEX BI SLIP HAZ L/O LP</t>
  </si>
  <si>
    <t>SYN3 UV 45 FT TEX LEFT LP</t>
  </si>
  <si>
    <t>SYN3 UV TUMBLE CREEK  8P LP</t>
  </si>
  <si>
    <t>SYN3 UV TEX SLIP HAZ RIGHT LP</t>
  </si>
  <si>
    <t>SYN3 UV LINES 2 LANE PACK</t>
  </si>
  <si>
    <t>SYN3 PIP UV 2 LANE PACK</t>
  </si>
  <si>
    <t>SYN LANE PACK</t>
  </si>
  <si>
    <t>SYN2 LANE PACK</t>
  </si>
  <si>
    <t>SYN2 UV ROUND 1 2-LANE PACK</t>
  </si>
  <si>
    <t>SYN2 UV ROUND 1 PACK</t>
  </si>
  <si>
    <t>SYN UV TEX/PLATE LANE PACK</t>
  </si>
  <si>
    <t>SYN2 UV TEX/PLATE LANE PACK</t>
  </si>
  <si>
    <t>SYN UV LANE PAIR</t>
  </si>
  <si>
    <t>SYN2 UV LANE PAIR</t>
  </si>
  <si>
    <t>WM361 UV WAN/SYN W/BL 2 LP</t>
  </si>
  <si>
    <t>YAKUTSK TEX LANE PACK</t>
  </si>
  <si>
    <t>SYN W/WAY FILL 42 7/8X145 1/4</t>
  </si>
  <si>
    <t>SYN UV W/WAY  42 7/8 X 145 1/4</t>
  </si>
  <si>
    <t>SYN UV W/WAY 42 7/8 X 145 1/4</t>
  </si>
  <si>
    <t>SYN3 UV DIV END 1.38 X 132</t>
  </si>
  <si>
    <t>SYN3 TEX UV WW DO 42 7/8X145 1</t>
  </si>
  <si>
    <t>SYN2 UV W/WAY 42 7/8 X 145 1/4</t>
  </si>
  <si>
    <t>SYN2 W/WAY FILL 42 7/8X145 1/4</t>
  </si>
  <si>
    <t>SYN3  WALKWAY 42 7/8 X 145 1/4</t>
  </si>
  <si>
    <t>IQ CLASSIC 42 IN. ONLY</t>
  </si>
  <si>
    <t>IQ CLASSIC LANE ONLY PACK</t>
  </si>
  <si>
    <t>IQ CLASSIC HEAD ONLY PACK</t>
  </si>
  <si>
    <t>IQ UV CLASSIC LANE ONLY PACK</t>
  </si>
  <si>
    <t>IQ UV CLASSIC HEAD ONLY PACK</t>
  </si>
  <si>
    <t>SYN3 PIP UV W/WAY 42 7/8X145 1</t>
  </si>
  <si>
    <t>SOCHI B1 TEX FILL 42 7/8 X 145</t>
  </si>
  <si>
    <t>STREZ 1L TEX FILL 42 7/8 X 145</t>
  </si>
  <si>
    <t>YAKU 1L TEX FILL 42 7/8 X 145</t>
  </si>
  <si>
    <t>OCEAN 1L TEX FILL 42 7/8X145 1</t>
  </si>
  <si>
    <t>OCEAN 1L FILL F/G 42 7/8X145 1</t>
  </si>
  <si>
    <t>KINGSVILLE 1L FILL 42 7/8X145</t>
  </si>
  <si>
    <t>SYN3 LANE ONLY PACK</t>
  </si>
  <si>
    <t>SYN3 UV LANE ONLY PACK</t>
  </si>
  <si>
    <t>SYN3 UV LEFT LANE ONLY PK</t>
  </si>
  <si>
    <t>SYN LANE ONLY PACK</t>
  </si>
  <si>
    <t>SYN2 LANE ONLY PACK</t>
  </si>
  <si>
    <t>SYN2 UV ROUND 1 COM PACK</t>
  </si>
  <si>
    <t>SYN UV LANE ONLY PACK</t>
  </si>
  <si>
    <t>SYN2 UV LANE ONLY PACK</t>
  </si>
  <si>
    <t>AMF GLOW LANE ONLY PACK</t>
  </si>
  <si>
    <t>IQ BALANCE PANEL 44 X 97</t>
  </si>
  <si>
    <t>EXP AMF .500 41.875 X 142.75</t>
  </si>
  <si>
    <t>AMF MINI W/GL 42 1/2 X 144 1/2</t>
  </si>
  <si>
    <t>SYN3 UV RIGHT LANE ONLY PK</t>
  </si>
  <si>
    <t>MURREY UV L/A KMC 59.5 X 68</t>
  </si>
  <si>
    <t>MURREY UV L/A UTAH 59.5 X 68</t>
  </si>
  <si>
    <t>MURREY GC L FOUL 59.5 X 144.00</t>
  </si>
  <si>
    <t>MURREY L/A DOUGLAS 59.5 X 68</t>
  </si>
  <si>
    <t>MURREY CELTIC TWO LANE PACK</t>
  </si>
  <si>
    <t>MURREY UV 5 FT WARNING  2LP(A)</t>
  </si>
  <si>
    <t>MURREY UV 5 FT TWO LANE PACK</t>
  </si>
  <si>
    <t>MURREY UV 5 FT TWO LANE PACK (</t>
  </si>
  <si>
    <t>MURREY UV 5 FT UTAH 2LPK (A)</t>
  </si>
  <si>
    <t>MURREY UV 5 FT WARNING  2LP</t>
  </si>
  <si>
    <t>MURREY UV STRIPE 2LP</t>
  </si>
  <si>
    <t>MURREY UV BOOM/STRIPE 2LP</t>
  </si>
  <si>
    <t>MURRY LANE/40 60 X 96</t>
  </si>
  <si>
    <t>MURREY UV RET 15.25 X 144.00</t>
  </si>
  <si>
    <t>MURREY UV FILL 59.5 X 144.25</t>
  </si>
  <si>
    <t>MURREY UV FILL 48 X 144</t>
  </si>
  <si>
    <t>MURREY UV S FILL 21.375 X 144</t>
  </si>
  <si>
    <t>MURREY UV S FILL 21.375 X 68</t>
  </si>
  <si>
    <t>MURREY CEL UV RET 15.25 X 144</t>
  </si>
  <si>
    <t>MURREY FILL 60 X 144</t>
  </si>
  <si>
    <t>MURREY RETURN 15.25 X 144.00</t>
  </si>
  <si>
    <t>MURREY FILL 59.5 X 144.25</t>
  </si>
  <si>
    <t>MURREY S FILL 21.375 X 144</t>
  </si>
  <si>
    <t>MURREY S FILL 21.375 X 68</t>
  </si>
  <si>
    <t>MURREY FILL PANEL 48 X 96</t>
  </si>
  <si>
    <t>MURREY UV R/A KMC 59.5 X 68</t>
  </si>
  <si>
    <t>MURREY UV R/A UTAH 59.5 X 68</t>
  </si>
  <si>
    <t>MURREY APPROACH 41.875 X 68</t>
  </si>
  <si>
    <t>MURREY FOUL 41.875 X 144</t>
  </si>
  <si>
    <t>MURREY GC R FOUL 59.5 X 144.00</t>
  </si>
  <si>
    <t>MURREY R/A DOUGLAS 59.5 X 68</t>
  </si>
  <si>
    <t>MURREY UV LANE PACK (2 LANES)</t>
  </si>
  <si>
    <t>lvl</t>
  </si>
  <si>
    <t>OP Seq</t>
  </si>
  <si>
    <t>AMF MAPLE R/E</t>
  </si>
  <si>
    <t>AMF MAPLE L/O</t>
  </si>
  <si>
    <t>RIGHT BRUNSWICK MAPLE (W)</t>
  </si>
  <si>
    <t>MAPLE LANE PRINT (W)</t>
  </si>
  <si>
    <t>LEFT BRUNSWICK MAPLE (W)</t>
  </si>
  <si>
    <t>IQ MAPLE LANE (CENTER)</t>
  </si>
  <si>
    <t>IQ MAPLE LANE LH</t>
  </si>
  <si>
    <t>IQ MAPLE LANE RH</t>
  </si>
  <si>
    <t>MURREY LANE LH</t>
  </si>
  <si>
    <t>MURREY LANE RH</t>
  </si>
  <si>
    <t>NG62HA0013PTYBF0</t>
  </si>
  <si>
    <t>Paper Description</t>
  </si>
  <si>
    <t>Paper Code</t>
  </si>
  <si>
    <t>NG62HA0015PTYBF0</t>
  </si>
  <si>
    <t>NG62HA0067PTYBF0</t>
  </si>
  <si>
    <t>NG63HA0013PTYBF0</t>
  </si>
  <si>
    <t>NG63HA0015PTYBF0</t>
  </si>
  <si>
    <t>NG63HA0067PTYBF0</t>
  </si>
  <si>
    <t>NG78HA0013SBYBF0</t>
  </si>
  <si>
    <t>NG78HA0015SBYBF0</t>
  </si>
  <si>
    <t>NG78HA0067SBYBF0</t>
  </si>
  <si>
    <t>NG78HA0109SBYBF0</t>
  </si>
  <si>
    <t>110WM742-6200</t>
  </si>
  <si>
    <t>NG62HA0014PTYBF0</t>
  </si>
  <si>
    <t>NG62HA0016PTYBF0</t>
  </si>
  <si>
    <t>NG63HA0014PTYBF0</t>
  </si>
  <si>
    <t>NG63HA0016PTYBF0</t>
  </si>
  <si>
    <t>NG78HA0014SBYBF0</t>
  </si>
  <si>
    <t>NG78HA0016SBYBF0</t>
  </si>
  <si>
    <t>NG78HA0108SBYBF0</t>
  </si>
  <si>
    <t>CAFE&amp;GAMEPK2</t>
  </si>
  <si>
    <t>GIDBRUNSPPK10</t>
  </si>
  <si>
    <t>GIDBRUNSPPK11</t>
  </si>
  <si>
    <t>GIDBRUNSPPK12</t>
  </si>
  <si>
    <t>GIDBRUNSPPK16</t>
  </si>
  <si>
    <t>GIDBRUNSPPK17</t>
  </si>
  <si>
    <t>GIDBRUNSPPK19</t>
  </si>
  <si>
    <t>GIDBRUNSPPK20</t>
  </si>
  <si>
    <t>GIDBRUNSPPK27</t>
  </si>
  <si>
    <t>GIDBRUNSPPK28</t>
  </si>
  <si>
    <t>GIDBRUNSPPK29</t>
  </si>
  <si>
    <t>GIDBRUNSPPK30</t>
  </si>
  <si>
    <t>GIDBRUNSPPK32</t>
  </si>
  <si>
    <t>GIDBRUNSPPK3</t>
  </si>
  <si>
    <t>GIDBRUNSPPK5</t>
  </si>
  <si>
    <t>GIDBRUNSPPK6</t>
  </si>
  <si>
    <t>GIDBRUNSPPK7</t>
  </si>
  <si>
    <t>GIDBRUNSPPK8</t>
  </si>
  <si>
    <t>GIDBRUNSPPK9</t>
  </si>
  <si>
    <t>GIDPALMSPPK14</t>
  </si>
  <si>
    <t>GIDPROCPPPK28</t>
  </si>
  <si>
    <t>J22I8402PM21</t>
  </si>
  <si>
    <t>J22I8403PM22</t>
  </si>
  <si>
    <t>J24IBL01PM29</t>
  </si>
  <si>
    <t>JOLLYROGERPK1</t>
  </si>
  <si>
    <t>OCEANGIDAPK01</t>
  </si>
  <si>
    <t>OCEANGIDAPK02</t>
  </si>
  <si>
    <t>OCEANGIDAPK05</t>
  </si>
  <si>
    <t>SHSUGIDAPPK1</t>
  </si>
  <si>
    <t>WPHP272APPK2</t>
  </si>
  <si>
    <t>G25WM101AM58</t>
  </si>
  <si>
    <t>GIDBRUNSPPK13</t>
  </si>
  <si>
    <t>GIDBRUNSPPK18</t>
  </si>
  <si>
    <t>GIDBRUNSPPK31</t>
  </si>
  <si>
    <t>J25I9459QB56</t>
  </si>
  <si>
    <t>J25I9459QM56</t>
  </si>
  <si>
    <t>J25IRFXLQB01</t>
  </si>
  <si>
    <t>J25RB151AM58</t>
  </si>
  <si>
    <t>J25RB153QM56</t>
  </si>
  <si>
    <t>J25YB004AM58</t>
  </si>
  <si>
    <t>J25YB006QM56</t>
  </si>
  <si>
    <t>G25WM981AM51</t>
  </si>
  <si>
    <t>J25I9460QB57</t>
  </si>
  <si>
    <t>J25I9460QM57</t>
  </si>
  <si>
    <t>J25ILFXLQB02</t>
  </si>
  <si>
    <t>J25RB150AM51</t>
  </si>
  <si>
    <t>J25RB152QM57</t>
  </si>
  <si>
    <t>J25YB003AM51</t>
  </si>
  <si>
    <t>J25YB005QM57</t>
  </si>
  <si>
    <t>AMFGLOWAPPK1</t>
  </si>
  <si>
    <t>G38WM301PM77</t>
  </si>
  <si>
    <t>G38WM301PM81</t>
  </si>
  <si>
    <t>G39WM301PM77</t>
  </si>
  <si>
    <t>G39WM301PM81</t>
  </si>
  <si>
    <t>G42WM301AM38</t>
  </si>
  <si>
    <t>G42WM301AM39</t>
  </si>
  <si>
    <t>G46WM301AM39</t>
  </si>
  <si>
    <t>G46YB056AM38</t>
  </si>
  <si>
    <t>G46YB056AM39</t>
  </si>
  <si>
    <t>G57WM301AM38</t>
  </si>
  <si>
    <t>G57WM301AM39</t>
  </si>
  <si>
    <t>G57WM301PM77</t>
  </si>
  <si>
    <t>G57WM301PM81</t>
  </si>
  <si>
    <t>G58WM301PM77</t>
  </si>
  <si>
    <t>G58WM301PM81</t>
  </si>
  <si>
    <t>G59WM301AM38</t>
  </si>
  <si>
    <t>G59WM301AM39</t>
  </si>
  <si>
    <t>IQBBRUNSPPK1</t>
  </si>
  <si>
    <t>IQBBRUNSPPK2</t>
  </si>
  <si>
    <t>IQGLOWSSPPK1</t>
  </si>
  <si>
    <t>IQGLOWSSPPK7</t>
  </si>
  <si>
    <t>J18I8450PRXC</t>
  </si>
  <si>
    <t>J18I8460QRXC</t>
  </si>
  <si>
    <t>J18I8490TRXC</t>
  </si>
  <si>
    <t>J38I8450PM62</t>
  </si>
  <si>
    <t>J38I8460QM63</t>
  </si>
  <si>
    <t>J38I8490TM64</t>
  </si>
  <si>
    <t>J44YB074AM38</t>
  </si>
  <si>
    <t>J44YB093AB22</t>
  </si>
  <si>
    <t>J44YB093AM38</t>
  </si>
  <si>
    <t>J46RB111QM32</t>
  </si>
  <si>
    <t>J50I8450PM62</t>
  </si>
  <si>
    <t>J50I8460PM63</t>
  </si>
  <si>
    <t>J50I8460QM63</t>
  </si>
  <si>
    <t>J50I8490PM64</t>
  </si>
  <si>
    <t>J59RB054AM38</t>
  </si>
  <si>
    <t>J59RB070AM38</t>
  </si>
  <si>
    <t>J59RB088AM38</t>
  </si>
  <si>
    <t>J59RB190AM38</t>
  </si>
  <si>
    <t>J59RB192AM39</t>
  </si>
  <si>
    <t>J59RB437AM38</t>
  </si>
  <si>
    <t>J59RB437QM32</t>
  </si>
  <si>
    <t>J59RB437QM33</t>
  </si>
  <si>
    <t>J59WM301AM38</t>
  </si>
  <si>
    <t>KINGSVILAPK01</t>
  </si>
  <si>
    <t>OCEANGIDAPK03</t>
  </si>
  <si>
    <t>OCEANGIDAPK04</t>
  </si>
  <si>
    <t>SOCSWIRLAPK16</t>
  </si>
  <si>
    <t>STREZSTARSPK1</t>
  </si>
  <si>
    <t>SYN3BRUNAPK16</t>
  </si>
  <si>
    <t>SYN3BRUNAPK18</t>
  </si>
  <si>
    <t>SYN3BRUNAPK19</t>
  </si>
  <si>
    <t>SYN3GLOWAPK02</t>
  </si>
  <si>
    <t>SYN3GLOWAPK13</t>
  </si>
  <si>
    <t>SYN3GLOWAPK14</t>
  </si>
  <si>
    <t>SYN3GLOWAPK15</t>
  </si>
  <si>
    <t>SYN3GLOWAPK16</t>
  </si>
  <si>
    <t>SYN3GLOWAPK18</t>
  </si>
  <si>
    <t>SYN3GLOWAPK19</t>
  </si>
  <si>
    <t>SYN3GLOWAPK20</t>
  </si>
  <si>
    <t>SYN3GLOWAPK21</t>
  </si>
  <si>
    <t>SYN3GLOWAPK22</t>
  </si>
  <si>
    <t>SYN3GLOWAPK24</t>
  </si>
  <si>
    <t>SYN3GLOWAPK25</t>
  </si>
  <si>
    <t>SYN3GLOWAPK28</t>
  </si>
  <si>
    <t>SYN3GLOWAPK29</t>
  </si>
  <si>
    <t>SYN3GLOWAPK30</t>
  </si>
  <si>
    <t>SYN3GLOWAPK31</t>
  </si>
  <si>
    <t>SYN3GLOWAPK32</t>
  </si>
  <si>
    <t>SYN3GLOWAPK33</t>
  </si>
  <si>
    <t>SYN3LINESAPPK1</t>
  </si>
  <si>
    <t>SYN3PIPUVAPPK1</t>
  </si>
  <si>
    <t>SYNBRUNSPPK2</t>
  </si>
  <si>
    <t>SYNBRUNSPPK6</t>
  </si>
  <si>
    <t>SYNGLOR1PPK11</t>
  </si>
  <si>
    <t>SYNGLOR1PPK9</t>
  </si>
  <si>
    <t>SYNGLOWSAPK1</t>
  </si>
  <si>
    <t>SYNGLOWSAPK5</t>
  </si>
  <si>
    <t>SYNGLOWSPPK3</t>
  </si>
  <si>
    <t>SYNGLOWSPPK7</t>
  </si>
  <si>
    <t>WPWM361APPK2</t>
  </si>
  <si>
    <t>YAKUTSKUVAPK1</t>
  </si>
  <si>
    <t>G38WM311PSWG</t>
  </si>
  <si>
    <t>G39WM311PSWG</t>
  </si>
  <si>
    <t>G42WM311ASWG</t>
  </si>
  <si>
    <t>G46WM311AM03</t>
  </si>
  <si>
    <t>G46WM311PSWG</t>
  </si>
  <si>
    <t>G46YB056ASWG</t>
  </si>
  <si>
    <t>G57WM311ASWG</t>
  </si>
  <si>
    <t>G57WM311PSWG</t>
  </si>
  <si>
    <t>G58WM311PSWG</t>
  </si>
  <si>
    <t>G59WM311ASWG</t>
  </si>
  <si>
    <t>G59WM311PSWG</t>
  </si>
  <si>
    <t>IQBBRUNSPPK3</t>
  </si>
  <si>
    <t>IQBBRUNSPPK4</t>
  </si>
  <si>
    <t>IQBBRUNSPPK8</t>
  </si>
  <si>
    <t>IQGLOWSSPPK4</t>
  </si>
  <si>
    <t>IQGLOWSSPPK8</t>
  </si>
  <si>
    <t>J44YB075ASWG</t>
  </si>
  <si>
    <t>J59RB055ASWG</t>
  </si>
  <si>
    <t>J59RB071ASWG</t>
  </si>
  <si>
    <t>J59RB089ASWG</t>
  </si>
  <si>
    <t>J59RB191ASWG</t>
  </si>
  <si>
    <t>J59RB438ASWG</t>
  </si>
  <si>
    <t>J59WM311ASWG</t>
  </si>
  <si>
    <t>SYN3BRUNPPK17</t>
  </si>
  <si>
    <t>SYN3GLOWPPK13</t>
  </si>
  <si>
    <t>SYN3GLOWPPK17</t>
  </si>
  <si>
    <t>SYN3GLOWPPK26</t>
  </si>
  <si>
    <t>SYNBRUNSPPK4</t>
  </si>
  <si>
    <t>SYNBRUNSPPK8</t>
  </si>
  <si>
    <t>SYNGLOR1PPK10</t>
  </si>
  <si>
    <t>SYNGLOWSPPK4</t>
  </si>
  <si>
    <t>SYNGLOWSPPK8</t>
  </si>
  <si>
    <t>AMFGLOWLPPK2</t>
  </si>
  <si>
    <t>G14WM321PRXB</t>
  </si>
  <si>
    <t>G52WM321PM82</t>
  </si>
  <si>
    <t>G54WM351PRBZ</t>
  </si>
  <si>
    <t>SYN3GLOWPPK27</t>
  </si>
  <si>
    <t>J40YM001NM45</t>
  </si>
  <si>
    <t>J40YM003NM45</t>
  </si>
  <si>
    <t>J41RB240NM47</t>
  </si>
  <si>
    <t>J41YM005NM45</t>
  </si>
  <si>
    <t>MURGIDCELPK5</t>
  </si>
  <si>
    <t>MURGLOWNPPK2</t>
  </si>
  <si>
    <t>MURGLOWNPPK3</t>
  </si>
  <si>
    <t>MURGLOWNPPK5</t>
  </si>
  <si>
    <t>MURGLOWNPPK6</t>
  </si>
  <si>
    <t>MURGLOWNPPK8</t>
  </si>
  <si>
    <t>MURUVSTNPPK1</t>
  </si>
  <si>
    <t>MURUVSTNPPK2</t>
  </si>
  <si>
    <t>U48WM334N580</t>
  </si>
  <si>
    <t>U48WM334SD580</t>
  </si>
  <si>
    <t>G40KC351NM49</t>
  </si>
  <si>
    <t>G40KC351NM50</t>
  </si>
  <si>
    <t>G40KC351NM59</t>
  </si>
  <si>
    <t>G40KC351PM49</t>
  </si>
  <si>
    <t>G40KC351PM50</t>
  </si>
  <si>
    <t>G40WM331N420</t>
  </si>
  <si>
    <t>G40WM331NM95</t>
  </si>
  <si>
    <t>G40WM331NM96</t>
  </si>
  <si>
    <t>G40WM333NM49</t>
  </si>
  <si>
    <t>G41KC351N520</t>
  </si>
  <si>
    <t>G41KC351NM49</t>
  </si>
  <si>
    <t>G41KC351NM50</t>
  </si>
  <si>
    <t>G41KC351P520</t>
  </si>
  <si>
    <t>G41WM331NM95</t>
  </si>
  <si>
    <t>G41WM331NM96</t>
  </si>
  <si>
    <t>G41WM331U480</t>
  </si>
  <si>
    <t>J40YM002NM46</t>
  </si>
  <si>
    <t>J40YM004NM46</t>
  </si>
  <si>
    <t>J41IMU01NM91</t>
  </si>
  <si>
    <t>J41IMU02NM92</t>
  </si>
  <si>
    <t>J41RB241NM48</t>
  </si>
  <si>
    <t>J41YM006NM46</t>
  </si>
  <si>
    <t>MURGLOWNPPK1</t>
  </si>
  <si>
    <t>110HA009-4300</t>
  </si>
  <si>
    <t>AMF BUTCHER BLOCK</t>
  </si>
  <si>
    <t>AMF UV SPL PINE  43.5 X 144</t>
  </si>
  <si>
    <t>UV DUCK PIN APPR-077 3/8" 43.5</t>
  </si>
  <si>
    <t>AMF UV PINE  43.5 X 144</t>
  </si>
  <si>
    <t>AMF UV SPL HEAD 43.5 X 144</t>
  </si>
  <si>
    <t>AMF UV HEAD 43.5 X 144</t>
  </si>
  <si>
    <t>AMF UV SPL ARROW 43.5 X 144</t>
  </si>
  <si>
    <t>AMF UV ARROW 43.5 X 144</t>
  </si>
  <si>
    <t>AMF UV CG FOUL LINE 43.5X144</t>
  </si>
  <si>
    <t>AMF UV SPL CG HEAD 43.5 X 144</t>
  </si>
  <si>
    <t>AMF UV CG HEAD 43.5 X 144</t>
  </si>
  <si>
    <t>bad part.  Not a valid part. u</t>
  </si>
  <si>
    <t>AMF UV SPL FOUL LINE 43.5 X 14</t>
  </si>
  <si>
    <t>AMF UV FOUL LINE 43.5 X 144</t>
  </si>
  <si>
    <t>UV DUCK PIN FOUL/ARROW 43.5X14</t>
  </si>
  <si>
    <t>AMF UV MISSPRINT FOUL 43.5X144</t>
  </si>
  <si>
    <t>AMF UV SPL CG FOUL LINE 43.5X1</t>
  </si>
  <si>
    <t>AMF SPL PINE  43.5 X 144</t>
  </si>
  <si>
    <t>DUCK PIN APPR 078 41.875X70.63</t>
  </si>
  <si>
    <t>DUCK PIN APPR 079 28.56 X 70.6</t>
  </si>
  <si>
    <t>DUCK PIN APPR 080 20.94 X 70.6</t>
  </si>
  <si>
    <t>DUCK PIN O APPR 081 19.47 X 70</t>
  </si>
  <si>
    <t>DUCK PIN E APPR 082 19.47 X 70</t>
  </si>
  <si>
    <t>DUCK PIN O APPR 083 11.85 X 70</t>
  </si>
  <si>
    <t>DUCK PIN E APPR 084 11.85 X 70</t>
  </si>
  <si>
    <t>DUCK PIN APPR-077 3/8" 43.5 X</t>
  </si>
  <si>
    <t>AMF PINE  43.5X144</t>
  </si>
  <si>
    <t>AMF SPL HEAD 43.5 X 144</t>
  </si>
  <si>
    <t>AMF HEAD 43.5X144</t>
  </si>
  <si>
    <t>AMF SPL ARROW 43.5X144</t>
  </si>
  <si>
    <t>AMF ARROW 43.5X144</t>
  </si>
  <si>
    <t>AMF CG FOUL LINE 43.5 X 144</t>
  </si>
  <si>
    <t>AMF CG HEAD 43.5X144</t>
  </si>
  <si>
    <t>AMF SPL CG HEAD 43.5 X 144</t>
  </si>
  <si>
    <t>AMF SPL CG FOUL LINE 43.5 X 14</t>
  </si>
  <si>
    <t>3/8" GT Pine AG 43.5X144</t>
  </si>
  <si>
    <t>3/8" GT Head (Dots) AG 43.5X14</t>
  </si>
  <si>
    <t>3/8" GT Arrows AG 43.5X144</t>
  </si>
  <si>
    <t>AMF SPL FOUL LINE 43.5 X 144</t>
  </si>
  <si>
    <t>AMF Foul Line 43.5X144</t>
  </si>
  <si>
    <t>AG GT Head with Foul Line 43.5</t>
  </si>
  <si>
    <t>DUCK PIN FOUL-AR 41.875X142.75</t>
  </si>
  <si>
    <t>AMF Foul Line II 43.5 X 144</t>
  </si>
  <si>
    <t>AG GT CG Head with Foul Line 4</t>
  </si>
  <si>
    <t>3/8" GT CG Head  43.5 X 144</t>
  </si>
  <si>
    <t>3/8" GT CG FOUL  43.5 X 144</t>
  </si>
  <si>
    <t>AMF GT AUB PINE  43.5 X 144</t>
  </si>
  <si>
    <t>AMF GT AUB ARROW 43.5X144</t>
  </si>
  <si>
    <t>AMF GT A FOUL LINE 43.5X144</t>
  </si>
  <si>
    <t>1/2" GT PINE AG 43.5X144</t>
  </si>
  <si>
    <t>AMF SPL GT PINE 43.5X144</t>
  </si>
  <si>
    <t>AMF OLD ARROW PANEL 43.5X144</t>
  </si>
  <si>
    <t>AMF OLD HEAD PANEL 43.5X144</t>
  </si>
  <si>
    <t>1/2" GT Head (Dots) AG 43.5X14</t>
  </si>
  <si>
    <t>1/2" GT Arrows AG 43.5X144</t>
  </si>
  <si>
    <t>AG GT CG HEAD W/ FOUL/L 43.5X1</t>
  </si>
  <si>
    <t>AG GT CG HEAD 43.5 X 144</t>
  </si>
  <si>
    <t>AMF SPL GT ARROW 43.5X144</t>
  </si>
  <si>
    <t>1/2" GT CG Head  43.5 X 144</t>
  </si>
  <si>
    <t>NG62HA0010BPVYM0</t>
  </si>
  <si>
    <t>NG62HA0010PTVYM0</t>
  </si>
  <si>
    <t>NG62HA0010SBVYM0</t>
  </si>
  <si>
    <t>NG62HA0011BPVYM0</t>
  </si>
  <si>
    <t>NG62HA0011SBVYM0</t>
  </si>
  <si>
    <t>NG62HA0012BPVYM0</t>
  </si>
  <si>
    <t>NG62HA0012SBVYM0</t>
  </si>
  <si>
    <t>NG62HA0031SBVYM0</t>
  </si>
  <si>
    <t>NG62HA0034BPVYM0</t>
  </si>
  <si>
    <t>NG62HA0034SBVYM0</t>
  </si>
  <si>
    <t>NG62HA0120SBVYM0</t>
  </si>
  <si>
    <t>NG62HA0122BPVYM0</t>
  </si>
  <si>
    <t>NG62HA0122SBVYM0</t>
  </si>
  <si>
    <t>NG62HA0123BPVYM0</t>
  </si>
  <si>
    <t>NG62HA0123SBVYM0</t>
  </si>
  <si>
    <t>NG62HA012MSBVYM0</t>
  </si>
  <si>
    <t>NG62HA0231BPVYM0</t>
  </si>
  <si>
    <t>NG62HA0231SBVYM0</t>
  </si>
  <si>
    <t>NG63HA0010BPVYM0</t>
  </si>
  <si>
    <t>NG63HA0010PTB590</t>
  </si>
  <si>
    <t>NG63HA0010PTB600</t>
  </si>
  <si>
    <t>NG63HA0010PTB610</t>
  </si>
  <si>
    <t>NG63HA0010PTB620</t>
  </si>
  <si>
    <t>NG63HA0010PTB630</t>
  </si>
  <si>
    <t>NG63HA0010PTB640</t>
  </si>
  <si>
    <t>NG63HA0010PTB650</t>
  </si>
  <si>
    <t>NG63HA0010PTVYM0</t>
  </si>
  <si>
    <t>NG63HA0010SBVYM0</t>
  </si>
  <si>
    <t>NG63HA0011BPVYM0</t>
  </si>
  <si>
    <t>NG63HA0011SBVYM0</t>
  </si>
  <si>
    <t>NG63HA0012BPVYM0</t>
  </si>
  <si>
    <t>NG63HA0012SBVYM0</t>
  </si>
  <si>
    <t>NG63HA0031SBVYM0</t>
  </si>
  <si>
    <t>NG63HA0033SBVYM0</t>
  </si>
  <si>
    <t>NG63HA0034BPVYM0</t>
  </si>
  <si>
    <t>NG63HA0034SBVYM0</t>
  </si>
  <si>
    <t>NG63HA0035BPVYM0</t>
  </si>
  <si>
    <t>NG63HA0035SBVYM0</t>
  </si>
  <si>
    <t>NG63HA0110SBVYM0</t>
  </si>
  <si>
    <t>NG63HA0111SBVYM0</t>
  </si>
  <si>
    <t>NG63HA0112SBVYM0</t>
  </si>
  <si>
    <t>NG63HA0120BPVYM0</t>
  </si>
  <si>
    <t>NG63HA0120SBVYM0</t>
  </si>
  <si>
    <t>NG63HA0121SBVYM0</t>
  </si>
  <si>
    <t>NG63HA0123SBB580</t>
  </si>
  <si>
    <t>NG63HA0123SBVYM0</t>
  </si>
  <si>
    <t>NG63HA0131SBVYM0</t>
  </si>
  <si>
    <t>NG63HA0133SBVYM0</t>
  </si>
  <si>
    <t>NG63HA0134SBVYM0</t>
  </si>
  <si>
    <t>NG63HA0135SBVYM0</t>
  </si>
  <si>
    <t>NG63HA0310BPVYM0</t>
  </si>
  <si>
    <t>NG63HA0310SBVYM0</t>
  </si>
  <si>
    <t>NG63HA0311SBVYM0</t>
  </si>
  <si>
    <t>NG63HA0312BPVYM0</t>
  </si>
  <si>
    <t>NG63HA0312SBVYM0</t>
  </si>
  <si>
    <t>NG63HA0321SBVYM0</t>
  </si>
  <si>
    <t>NG63HA0334SBVYM0</t>
  </si>
  <si>
    <t>NG63HA0335BPVYM0</t>
  </si>
  <si>
    <t>NG63HA0335SBVYM0</t>
  </si>
  <si>
    <t>NG78HA0010SBVYM0</t>
  </si>
  <si>
    <t>NG78HA0031SBVYM0</t>
  </si>
  <si>
    <t>NG78HA0033SBVYM0</t>
  </si>
  <si>
    <t>NG78HA0110SBVYM0</t>
  </si>
  <si>
    <t>NG78HA0131SBVYM0</t>
  </si>
  <si>
    <t>NG78HA0310SBVYM0</t>
  </si>
  <si>
    <t>NG79HA0011SBVYM0</t>
  </si>
  <si>
    <t>NG79HA0012SBVYM0</t>
  </si>
  <si>
    <t>NG79HA0031SBVYM0</t>
  </si>
  <si>
    <t>NG79HA0033SBVYM0</t>
  </si>
  <si>
    <t>NG79HA0034SBVYM0</t>
  </si>
  <si>
    <t>NG79HA0035SBVYM0</t>
  </si>
  <si>
    <t>NG79HA0048SBVYM0</t>
  </si>
  <si>
    <t>NG79HA0049SBVYM0</t>
  </si>
  <si>
    <t>NG79HA0111SBVYM0</t>
  </si>
  <si>
    <t>NG79HA0112SBVYM0</t>
  </si>
  <si>
    <t>NG79HA0131SBVYM0</t>
  </si>
  <si>
    <t>NG79HA0133SBVYM0</t>
  </si>
  <si>
    <t>NG79HA0134SBVYM0</t>
  </si>
  <si>
    <t>NG79HA0135SBVYM0</t>
  </si>
  <si>
    <t>NG79HA0311SBVYM0</t>
  </si>
  <si>
    <t>NG79HA0312SBVYM0</t>
  </si>
  <si>
    <t>NG79HA0334SBVYM0</t>
  </si>
  <si>
    <t>Paper ID</t>
  </si>
  <si>
    <t>Paper Name</t>
  </si>
  <si>
    <t>AMF orders by ship date</t>
  </si>
  <si>
    <t>NG63H31939BPVYM0</t>
  </si>
  <si>
    <t>AMF WHITE ARROW  43.5 X 144</t>
  </si>
  <si>
    <t>049208005-01</t>
  </si>
  <si>
    <t>NG63H31951BPVYM0</t>
  </si>
  <si>
    <t>AMF WHITE HEAD  43.5 X 144</t>
  </si>
  <si>
    <t>049208004-02</t>
  </si>
  <si>
    <t>NG63H31937BPVYM0</t>
  </si>
  <si>
    <t>AMF WHITE PINE  43.5 X 144</t>
  </si>
  <si>
    <t>049208006-01</t>
  </si>
  <si>
    <t>NG63H31942PTYBF0</t>
  </si>
  <si>
    <t>AMF WT LG APPR  L/O  61X143.75</t>
  </si>
  <si>
    <t>049208001</t>
  </si>
  <si>
    <t>J75IQU64NPFU</t>
  </si>
  <si>
    <t>Q WC013 5 FT FILL PAN 60 X 144</t>
  </si>
  <si>
    <t>049015110-10</t>
  </si>
  <si>
    <t>QUBWC013PPK6</t>
  </si>
  <si>
    <t>Q WC013 BLOSSOM CHR CG 2 LP</t>
  </si>
  <si>
    <t>QUBUVWGSPPK4</t>
  </si>
  <si>
    <t>Q UV H66 HW MINI 2 LANE PK</t>
  </si>
  <si>
    <t>060200000</t>
  </si>
  <si>
    <t>049209044-01</t>
  </si>
  <si>
    <t>AMF UV P/A  R/E  61 X 143 3/4</t>
  </si>
  <si>
    <t>049209007</t>
  </si>
  <si>
    <t>AMF UV S/A  R/E  61 X 143 3/4</t>
  </si>
  <si>
    <t>049209002</t>
  </si>
  <si>
    <t>SOA0274840</t>
  </si>
  <si>
    <t>J75IQU56NPFU</t>
  </si>
  <si>
    <t>Q PFA39 5 FT FILL PAN 60 X 144</t>
  </si>
  <si>
    <t>049015111-10</t>
  </si>
  <si>
    <t>1191434-001 OD</t>
  </si>
  <si>
    <t>SOA0274929</t>
  </si>
  <si>
    <t>QUBBLACKPPK8</t>
  </si>
  <si>
    <t>Q BLACK 2 LANE PACK</t>
  </si>
  <si>
    <t>049015132</t>
  </si>
  <si>
    <t>1191797-000 OD</t>
  </si>
  <si>
    <t>SOA0275135</t>
  </si>
  <si>
    <t>1192797-001 OD</t>
  </si>
  <si>
    <t>J75IQU82NPFU</t>
  </si>
  <si>
    <t>Q BLACK 5 FT FILL PAN 60 X 144</t>
  </si>
  <si>
    <t>049007541</t>
  </si>
  <si>
    <t>QUBDIGHWYPPK7</t>
  </si>
  <si>
    <t>Q HWY66 COMP LANE PK</t>
  </si>
  <si>
    <t>SOA0275333</t>
  </si>
  <si>
    <t>AMF UV L/A  L/O  61 X 143 3/4</t>
  </si>
  <si>
    <t>049209001</t>
  </si>
  <si>
    <t>22749765-000 OP</t>
  </si>
  <si>
    <t>AMF UV L/A  R/E 61 X 143 3/4</t>
  </si>
  <si>
    <t>049209000</t>
  </si>
  <si>
    <t>SOA0274846</t>
  </si>
  <si>
    <t>1191524-000 OD</t>
  </si>
  <si>
    <t>QUBBLACKPPK9</t>
  </si>
  <si>
    <t>Q BLACK LEFT LP</t>
  </si>
  <si>
    <t>049015133</t>
  </si>
  <si>
    <t>SOA0275197</t>
  </si>
  <si>
    <t>1193154-000 OD</t>
  </si>
  <si>
    <t>SOA0275277</t>
  </si>
  <si>
    <t>AMF LONG APPR  L/O  61 X 143 3</t>
  </si>
  <si>
    <t>049207051</t>
  </si>
  <si>
    <t>22749735-000 OP</t>
  </si>
  <si>
    <t>AMF LONG APPR  R/E  61 X 143 3</t>
  </si>
  <si>
    <t>049207050</t>
  </si>
  <si>
    <t>049209034-01</t>
  </si>
  <si>
    <t>AMF UV SPL PINE  43.5 X 144</t>
  </si>
  <si>
    <t>049209006-01</t>
  </si>
  <si>
    <t>SOA0275035</t>
  </si>
  <si>
    <t>22749372-000 OP</t>
  </si>
  <si>
    <t>SOA0275407</t>
  </si>
  <si>
    <t>049207001</t>
  </si>
  <si>
    <t>22749830-000 OP</t>
  </si>
  <si>
    <t>049207000</t>
  </si>
  <si>
    <t>AMF SHORT APPR  L/O  61 X 143</t>
  </si>
  <si>
    <t>049207003</t>
  </si>
  <si>
    <t>AMF SHORT APPR  R/E  61 X 143</t>
  </si>
  <si>
    <t>049207002</t>
  </si>
  <si>
    <t>SOA0275255</t>
  </si>
  <si>
    <t>22749595-000 OP</t>
  </si>
  <si>
    <t>NG63H31944PTYBF0</t>
  </si>
  <si>
    <t>AMF WHITE PLAIN FILL  61X143 3</t>
  </si>
  <si>
    <t>049208007</t>
  </si>
  <si>
    <t>NG63H31940PTYBF0</t>
  </si>
  <si>
    <t>AMF WT LG APPR  R/E  61X143.75</t>
  </si>
  <si>
    <t>049208000</t>
  </si>
  <si>
    <t>NG63H31941PTYBF0</t>
  </si>
  <si>
    <t>AMF WT SH APPR  R/E  61X143.75</t>
  </si>
  <si>
    <t>049208002</t>
  </si>
  <si>
    <t>SOA0275421</t>
  </si>
  <si>
    <t>049209024-01</t>
  </si>
  <si>
    <t>22749850-000 OP</t>
  </si>
  <si>
    <t>049209050-01</t>
  </si>
  <si>
    <t>SOA0275408</t>
  </si>
  <si>
    <t>J75RB341UQ68</t>
  </si>
  <si>
    <t>HWY66 FWEST UNION 4.75 X 48</t>
  </si>
  <si>
    <t>060200504</t>
  </si>
  <si>
    <t>22749831-000 OP</t>
  </si>
  <si>
    <t>QUBDIGHWYPPK4</t>
  </si>
  <si>
    <t>Q HWY66 FWEST LANE PK</t>
  </si>
  <si>
    <t>060200009</t>
  </si>
  <si>
    <t>QUBDIGHWYPPK2</t>
  </si>
  <si>
    <t>Q HWY66 W BLOND LANE PK</t>
  </si>
  <si>
    <t>SOA0275422</t>
  </si>
  <si>
    <t>22749848-000 OP</t>
  </si>
  <si>
    <t>AMF PLAIN APPR  R/E  61 X 143</t>
  </si>
  <si>
    <t>049207007</t>
  </si>
  <si>
    <t>SOA0275559</t>
  </si>
  <si>
    <t>049210074GT</t>
  </si>
  <si>
    <t>22749851-000 OP</t>
  </si>
  <si>
    <t>SOA0275351</t>
  </si>
  <si>
    <t>J76IQU22NQ38</t>
  </si>
  <si>
    <t>Q SPIDER UV L L/A 59.81 X 144.</t>
  </si>
  <si>
    <t>Q9416324</t>
  </si>
  <si>
    <t>1193919-001 OD</t>
  </si>
  <si>
    <t>J76IQU23NQ39</t>
  </si>
  <si>
    <t>Q SPIDER UV R L/A 59.81 X 144.</t>
  </si>
  <si>
    <t>Q9416327</t>
  </si>
  <si>
    <t>SOA0275423</t>
  </si>
  <si>
    <t>049209005-01</t>
  </si>
  <si>
    <t>22749852-000 OP</t>
  </si>
  <si>
    <t>SOA0275424</t>
  </si>
  <si>
    <t>22749849-000 OP</t>
  </si>
  <si>
    <t>AMF UV S/A  L/O  61 X 143 3/4</t>
  </si>
  <si>
    <t>049209003</t>
  </si>
  <si>
    <t>SOA0275528</t>
  </si>
  <si>
    <t>1194564-000 OD</t>
  </si>
  <si>
    <t>QUBBLACKPK11</t>
  </si>
  <si>
    <t>Q BLACK CG 2 LANE PACK</t>
  </si>
  <si>
    <t>049015132CG</t>
  </si>
  <si>
    <t>QUBBLACKPK12</t>
  </si>
  <si>
    <t>Q BLACK CG LEFT LP</t>
  </si>
  <si>
    <t>049015133CG</t>
  </si>
  <si>
    <t>QUBBLACKPK13</t>
  </si>
  <si>
    <t>Q BLACK CG RIGHT LP</t>
  </si>
  <si>
    <t>049015134CG</t>
  </si>
  <si>
    <t>SOA0275545</t>
  </si>
  <si>
    <t>22749938-000 OP</t>
  </si>
  <si>
    <t>SOA0275562</t>
  </si>
  <si>
    <t>22749949-000 OP</t>
  </si>
  <si>
    <t>SOA0275563</t>
  </si>
  <si>
    <t>NJ07HA0009BP4200</t>
  </si>
  <si>
    <t>AMF UV PINE FOR PLUGS 48X144</t>
  </si>
  <si>
    <t>049209012-01</t>
  </si>
  <si>
    <t>22749950-000 OP</t>
  </si>
  <si>
    <t>SOA0275455</t>
  </si>
  <si>
    <t>J75IQU48NPFU</t>
  </si>
  <si>
    <t>Q WW971 5 FT FILL PAN 60 X 144</t>
  </si>
  <si>
    <t>049015108-10</t>
  </si>
  <si>
    <t>1194322-000 OD</t>
  </si>
  <si>
    <t>QUBWW971PPK8</t>
  </si>
  <si>
    <t>Q WW971 CL GUN 2 LANE PACK</t>
  </si>
  <si>
    <t>049015129</t>
  </si>
  <si>
    <t>SOA0275565</t>
  </si>
  <si>
    <t>22749951-000 OP</t>
  </si>
  <si>
    <t>AMF</t>
  </si>
  <si>
    <t>Brun</t>
  </si>
  <si>
    <t>Brand</t>
  </si>
  <si>
    <t>100WW070-6200</t>
  </si>
  <si>
    <t>BRUNSWICK GUN SAV WAL W/BL</t>
  </si>
  <si>
    <t>WW070 CL GUNSTOCK W/BL 2 LP</t>
  </si>
  <si>
    <t>WW070  UV N/BALL RET 13.87X144</t>
  </si>
  <si>
    <t>WW070 UV W/BALL RET 14.7X144</t>
  </si>
  <si>
    <t>WW070 UV W/WAY 42 7/8 X 145 1/</t>
  </si>
  <si>
    <t>WW070 NAR BALL RET 13.87 X 144</t>
  </si>
  <si>
    <t>WW070 W BALL RET 14.7 X 144</t>
  </si>
  <si>
    <t>WW070 W/WAY 42 7/8 X 145 1/4</t>
  </si>
  <si>
    <t>CGWW070APPK1</t>
  </si>
  <si>
    <t>G44WW070AM38</t>
  </si>
  <si>
    <t>G44WW070AM39</t>
  </si>
  <si>
    <t>G44WW070ASWG</t>
  </si>
  <si>
    <t>G56WW070AM38</t>
  </si>
  <si>
    <t>G56WW070AM39</t>
  </si>
  <si>
    <t>G56WW070ASWG</t>
  </si>
  <si>
    <t>Brunswick orders by ship date</t>
  </si>
  <si>
    <t>100KM009-6200</t>
  </si>
  <si>
    <t>100KM010-6200</t>
  </si>
  <si>
    <t>100WM111-4300</t>
  </si>
  <si>
    <t>100WM111-6200</t>
  </si>
  <si>
    <t>100WM331-4300</t>
  </si>
  <si>
    <t>100WM331-5000</t>
  </si>
  <si>
    <t>100WM511-4300</t>
  </si>
  <si>
    <t>100WM521-6200</t>
  </si>
  <si>
    <t>100WM531-6200</t>
  </si>
  <si>
    <t>Bruns Silver w/lines Print</t>
  </si>
  <si>
    <t>MG BRUNS SILVER</t>
  </si>
  <si>
    <t>RETURN MAPLE PRINT</t>
  </si>
  <si>
    <t>MURREY LANE (CENTER)</t>
  </si>
  <si>
    <t>MURREY LANE</t>
  </si>
  <si>
    <t>OPEN MAPLE LANE (C)</t>
  </si>
  <si>
    <t>OPEN MAPLE LANE (L)</t>
  </si>
  <si>
    <t>OPEN MAPLE LANE (R)</t>
  </si>
  <si>
    <t>KM009 UV BRUNS SILVER 2 LP</t>
  </si>
  <si>
    <t>KM009 UV BRUNS SILVER LEFT LP</t>
  </si>
  <si>
    <t>KM009 UV BRUNS SILVER RIGHT LP</t>
  </si>
  <si>
    <t>KM009 UV W BALL RET 14.7 X 144</t>
  </si>
  <si>
    <t>KM009 UV W/WAY 42 7/8X145 1/4</t>
  </si>
  <si>
    <t>BSKM009APPK1</t>
  </si>
  <si>
    <t>BSKM009APPK2</t>
  </si>
  <si>
    <t>BSKM009APPK3</t>
  </si>
  <si>
    <t>G44KM009AM39</t>
  </si>
  <si>
    <t>G44KM009ASWG</t>
  </si>
  <si>
    <t>BRUNS SILVER  PRO UV 2LP</t>
  </si>
  <si>
    <t>BRUNS SILVER UV 2 LANE PK</t>
  </si>
  <si>
    <t>PRO UV DD B SILVER LA 59.5X144</t>
  </si>
  <si>
    <t>PRO UV DD B SILVER RA 59.5X144</t>
  </si>
  <si>
    <t>PRO UV DD B SILVER LF/A 59.5X1</t>
  </si>
  <si>
    <t>PRO UV DD B SILVER RF/A 59.5X1</t>
  </si>
  <si>
    <t>PRO UV DD B SILVER LN 41.84X14</t>
  </si>
  <si>
    <t>PRO UV DD B SILVER SH 41.84X47</t>
  </si>
  <si>
    <t>KM010 UV PRO L APPR 59.5 X 144</t>
  </si>
  <si>
    <t>KM010 UV PRO R APPR 59.5 X 144</t>
  </si>
  <si>
    <t>KM010 UV PRO L FOUL 59.5X142.5</t>
  </si>
  <si>
    <t>KM010 UV PRO R FOUL 59.5X142.5</t>
  </si>
  <si>
    <t>BSKM010APPK3</t>
  </si>
  <si>
    <t>BSKM010APPK4</t>
  </si>
  <si>
    <t>J24B0069AM51</t>
  </si>
  <si>
    <t>J24B0070AM58</t>
  </si>
  <si>
    <t>J24B0071QB57</t>
  </si>
  <si>
    <t>J24B0072QB56</t>
  </si>
  <si>
    <t>J24B0073PM41</t>
  </si>
  <si>
    <t>J24B0073PM42</t>
  </si>
  <si>
    <t>J24I9578AM51</t>
  </si>
  <si>
    <t>J24I9579AM58</t>
  </si>
  <si>
    <t>J24I9580QM57</t>
  </si>
  <si>
    <t>J24I9581QM56</t>
  </si>
  <si>
    <t>GLOW MAPLE (P) 42 1/2 X 145.25</t>
  </si>
  <si>
    <t>GLOW MAP WALK 42 1/2 X 145.25</t>
  </si>
  <si>
    <t>PRO II TEX WALK 42 1/2X145.25</t>
  </si>
  <si>
    <t>GLOW II MAP WALK 42 1/2X145.25</t>
  </si>
  <si>
    <t>PRO TEX W/WAY W/LOGO 42 1/2X14</t>
  </si>
  <si>
    <t>JR 1L PRO TX W/WAY 42 1/2X145.</t>
  </si>
  <si>
    <t>OCEAN 1L WALKWAY 42 1/2X145.25</t>
  </si>
  <si>
    <t>OCEAN-A 1L W/WAY 42 1/2X145.25</t>
  </si>
  <si>
    <t>OCEAN-A 1K W/WAY 42 1/2X145.25</t>
  </si>
  <si>
    <t>C &amp; G PRO S WALK 42.5 X 58.5</t>
  </si>
  <si>
    <t>C &amp; G PRO W/WAY 42 1/2X145.25</t>
  </si>
  <si>
    <t>BAD PART use RB495 091316</t>
  </si>
  <si>
    <t>OCEAN-B 1L WALKWAY 42 1/2X145.</t>
  </si>
  <si>
    <t>SHSU PRO UV W/WAY 42 1/2X145.2</t>
  </si>
  <si>
    <t>G17WM111PRAE</t>
  </si>
  <si>
    <t>G22WM111PRAE</t>
  </si>
  <si>
    <t>G23WM111ARAE</t>
  </si>
  <si>
    <t>G23WM111PRAE</t>
  </si>
  <si>
    <t>J25I9364ARAE</t>
  </si>
  <si>
    <t>J25RB097ARAE</t>
  </si>
  <si>
    <t>J25RB165ARAE</t>
  </si>
  <si>
    <t>J25RB199ARAE</t>
  </si>
  <si>
    <t>J25RB200ARAE</t>
  </si>
  <si>
    <t>J25RB495AB14</t>
  </si>
  <si>
    <t>J25RB495ARAE</t>
  </si>
  <si>
    <t>J25RB497AB14</t>
  </si>
  <si>
    <t>J25RB553ARAE</t>
  </si>
  <si>
    <t>J25RB630ARAE</t>
  </si>
  <si>
    <t>GLOW MAPLE RET 14.15 X 144.00</t>
  </si>
  <si>
    <t>GLOW MAP W RET 14.70 X 144.00</t>
  </si>
  <si>
    <t>GLOW MAP W RET 15.25 X 144.00</t>
  </si>
  <si>
    <t>PRO II TEX RET 14.15 X 144.00</t>
  </si>
  <si>
    <t>PRO II TEX W RET 15.25X144.00</t>
  </si>
  <si>
    <t>GLOW II MAPLE RET 14.15X144.00</t>
  </si>
  <si>
    <t>GLOW II MAP W RET 15.25X144.00</t>
  </si>
  <si>
    <t>PRO II TEX EW RET  16.75X144.0</t>
  </si>
  <si>
    <t>WM111 UV PRO XWW 45 X 145</t>
  </si>
  <si>
    <t>PRO TEX RET CUSTOM BRUNS LOGO</t>
  </si>
  <si>
    <t>PRO TEX RET CUSTOM USBC LOGO</t>
  </si>
  <si>
    <t>PRO II TEX W/R S/PLAY15.25X144</t>
  </si>
  <si>
    <t>PRO NBR BRUNS LOGO 14.15 X144</t>
  </si>
  <si>
    <t>PRO NBR SP LOGO 14.15 X 144</t>
  </si>
  <si>
    <t>JR 1J PRO TX WIDE RET 15.25X14</t>
  </si>
  <si>
    <t>BEAVER PRO WIDE RET 15.25X144</t>
  </si>
  <si>
    <t>OCEAN 1J WIDE RET 15.25 X 144</t>
  </si>
  <si>
    <t>OCEAN-A 1J WIDE RET 15.25X144</t>
  </si>
  <si>
    <t>OCEAN-A 1H WIDE RET 15.25X144</t>
  </si>
  <si>
    <t>C &amp; G PRO N/B RETURN 14.15X144</t>
  </si>
  <si>
    <t>C &amp; G PRO N/SHORT RET 14.15X58</t>
  </si>
  <si>
    <t>OCEAN-A 1H S/W RET 15.25 X 72</t>
  </si>
  <si>
    <t>OCEANA IJ PRO N/B RET 14.15X14</t>
  </si>
  <si>
    <t>OCEANA IH PRO N/B RET 14.15X14</t>
  </si>
  <si>
    <t>C &amp; G PRO W/RETURN 15.25X144</t>
  </si>
  <si>
    <t>C &amp; G PRO S/W RET 15.25 X 72</t>
  </si>
  <si>
    <t>OCEAN-B 1J WIDE RET 15.25 X 14</t>
  </si>
  <si>
    <t>SHSUPRO UV N/B RET 14.15X144</t>
  </si>
  <si>
    <t>VANDERBUILT LOGO 14.15X144</t>
  </si>
  <si>
    <t>PRO RET KUWATA LOGO 14.15X144</t>
  </si>
  <si>
    <t>PRO RET BRUNS BLK LOGO 14.15X1</t>
  </si>
  <si>
    <t>PRO RET OFF/BROAD 14.15X144</t>
  </si>
  <si>
    <t>G22WM111PM25</t>
  </si>
  <si>
    <t>G22WM111PM26</t>
  </si>
  <si>
    <t>G22WM111PM28</t>
  </si>
  <si>
    <t>G23WM111AM23</t>
  </si>
  <si>
    <t>G23WM111AM24</t>
  </si>
  <si>
    <t>G23WM111PM23</t>
  </si>
  <si>
    <t>G23WM111PM24</t>
  </si>
  <si>
    <t>G25WM111AM08</t>
  </si>
  <si>
    <t>G25WM111AYHL</t>
  </si>
  <si>
    <t>G25WM111PM23</t>
  </si>
  <si>
    <t>GIDBRUNSPPK21</t>
  </si>
  <si>
    <t>GIDBRUNSPPK22</t>
  </si>
  <si>
    <t>GIDBRUNSPPK25</t>
  </si>
  <si>
    <t>GIDBRUNSPPK26</t>
  </si>
  <si>
    <t>J23UB001AM24</t>
  </si>
  <si>
    <t>J25I9171AM23</t>
  </si>
  <si>
    <t>J25I9172AM23</t>
  </si>
  <si>
    <t>J25RB096AM24</t>
  </si>
  <si>
    <t>J25RB106AM24</t>
  </si>
  <si>
    <t>J25RB164AM24</t>
  </si>
  <si>
    <t>J25RB197AM24</t>
  </si>
  <si>
    <t>J25RB198AM24</t>
  </si>
  <si>
    <t>J25RB216AM23</t>
  </si>
  <si>
    <t>J25RB218AB12</t>
  </si>
  <si>
    <t>J25RB239AB20</t>
  </si>
  <si>
    <t>J25RB320AM23</t>
  </si>
  <si>
    <t>J25RB321AM23</t>
  </si>
  <si>
    <t>J25RB494AM24</t>
  </si>
  <si>
    <t>J25RB496AB20</t>
  </si>
  <si>
    <t>J25RB552AM24</t>
  </si>
  <si>
    <t>J25RB629AM23</t>
  </si>
  <si>
    <t>J26RB271AM23</t>
  </si>
  <si>
    <t>J26RB661AM23</t>
  </si>
  <si>
    <t>J26RB662AM23</t>
  </si>
  <si>
    <t>J26RB740AM23</t>
  </si>
  <si>
    <t>MURREY PC1 COM 42 1/2X145 1/4</t>
  </si>
  <si>
    <t>MUR PC1 BOOM COM 42.5X145.25</t>
  </si>
  <si>
    <t>MURRY PLUG PANEL 44 X 145</t>
  </si>
  <si>
    <t>MURREY UV COMMON 41.875 X 144</t>
  </si>
  <si>
    <t>MURREY COMMON 41.875 X 144</t>
  </si>
  <si>
    <t>MURREY COMMON 42 1/2 X 144 1/2</t>
  </si>
  <si>
    <t>MURREY PC1 APP 42 1/2X145 1/4</t>
  </si>
  <si>
    <t>MURREY PC1 FOUL 42 1/2X145 1/4</t>
  </si>
  <si>
    <t>MURREY PC1 DART 42 1/2X145 1/4</t>
  </si>
  <si>
    <t>MURREY UV APPROACH 41.875 X 68</t>
  </si>
  <si>
    <t>MURREY UV FOUL 41.875 X 144</t>
  </si>
  <si>
    <t>MURREY DOT 41.875 X 144</t>
  </si>
  <si>
    <t>MURREY DART 41.875 X 144</t>
  </si>
  <si>
    <t>MURREY APPROACH 41.875 X 144</t>
  </si>
  <si>
    <t>MURREY UV DART 42 1/2X144 1/2</t>
  </si>
  <si>
    <t>MURREY UV LANE ONLY PACK</t>
  </si>
  <si>
    <t>MURREY UV LANE ONLY (STEP)</t>
  </si>
  <si>
    <t>G06KC331PRAE</t>
  </si>
  <si>
    <t>G06KC332PRAE</t>
  </si>
  <si>
    <t>G18WM331PRXC</t>
  </si>
  <si>
    <t>G40WM331PM90</t>
  </si>
  <si>
    <t>G40WM331PM95</t>
  </si>
  <si>
    <t>G40WM331PM96</t>
  </si>
  <si>
    <t>G41KC331PM90</t>
  </si>
  <si>
    <t>G41WM331PM90</t>
  </si>
  <si>
    <t>G62WM331PRBZ</t>
  </si>
  <si>
    <t>J06IMU10PRAE</t>
  </si>
  <si>
    <t>J06IMU11PRAE</t>
  </si>
  <si>
    <t>J06IMU12PRAE</t>
  </si>
  <si>
    <t>J40IMU01PM91</t>
  </si>
  <si>
    <t>J40IMU02PM92</t>
  </si>
  <si>
    <t>J41IMU03PM93</t>
  </si>
  <si>
    <t>J41IMU04PM94</t>
  </si>
  <si>
    <t>J41IMU10PM99</t>
  </si>
  <si>
    <t>J41IMU11PM89</t>
  </si>
  <si>
    <t>J41IMU12PM94</t>
  </si>
  <si>
    <t>J41IMUA3PM93</t>
  </si>
  <si>
    <t>J63IMU04PRBZ</t>
  </si>
  <si>
    <t>MURGLOWLPPK2</t>
  </si>
  <si>
    <t>MURGLOWLPPK4</t>
  </si>
  <si>
    <t>MURGLOWLPPK7</t>
  </si>
  <si>
    <t>MURREY UV D FILL 29.125 X 144</t>
  </si>
  <si>
    <t>MURREY UV D FILL 29.125 X 68</t>
  </si>
  <si>
    <t>MURREY BOWLING PRINT 48 X 96</t>
  </si>
  <si>
    <t>MURREY PINDECK 40.938X47.563</t>
  </si>
  <si>
    <t>MURREY D FILL 29.125 X 144</t>
  </si>
  <si>
    <t>MURREY D FILL 29.125 X 68</t>
  </si>
  <si>
    <t>G40WM331NM97</t>
  </si>
  <si>
    <t>G40WM331NM98</t>
  </si>
  <si>
    <t>G48WM331N480</t>
  </si>
  <si>
    <t>G64WM331SD480</t>
  </si>
  <si>
    <t>J11IMPD1KM09</t>
  </si>
  <si>
    <t>J11IMPD1SBM09</t>
  </si>
  <si>
    <t>J40WM331NM95</t>
  </si>
  <si>
    <t>J40WM331NM96</t>
  </si>
  <si>
    <t>J40WM331NM97</t>
  </si>
  <si>
    <t>J40WM331NM98</t>
  </si>
  <si>
    <t>J40WM331PM95</t>
  </si>
  <si>
    <t>J40WM331PM96</t>
  </si>
  <si>
    <t>J40WM331PM97</t>
  </si>
  <si>
    <t>J40WM331PM98</t>
  </si>
  <si>
    <t>J41WM331NM95</t>
  </si>
  <si>
    <t>J41WM331NM96</t>
  </si>
  <si>
    <t>J41WM331NM97</t>
  </si>
  <si>
    <t>J41WM331NM98</t>
  </si>
  <si>
    <t>Q PLUG PANEL 44 X 145</t>
  </si>
  <si>
    <t>Q UV UST MAD LANE PACK</t>
  </si>
  <si>
    <t>Q UV DREAM LANE PACK</t>
  </si>
  <si>
    <t>Q SPIDER UV LANE ONLY PK</t>
  </si>
  <si>
    <t>Q UV SPIDER SINGLE LANE I PK</t>
  </si>
  <si>
    <t>Q UV SPIDER SINGLE LANE II PK</t>
  </si>
  <si>
    <t>Q SPIDER UV 2 LANE PK</t>
  </si>
  <si>
    <t>Q UV COM WOODGRAIN L/O PK</t>
  </si>
  <si>
    <t>Q UV WOOD HW SIN LANE I PK</t>
  </si>
  <si>
    <t>Q UV WOOD HW SIN LANE II PK</t>
  </si>
  <si>
    <t>Q UV WG NARROW 2 LANE PK</t>
  </si>
  <si>
    <t>BAD PART USE PPK9</t>
  </si>
  <si>
    <t>Q UV COM WOODGRAIN 2 LANE PK</t>
  </si>
  <si>
    <t>Q WOODGRAIN SINGLE LANE PK</t>
  </si>
  <si>
    <t>Q WOODGRAIN SINGLE LANE II PK</t>
  </si>
  <si>
    <t>Q 7/16 WOOD 2 LANE PACK</t>
  </si>
  <si>
    <t>Q COM WOODGRAIN 2 LANE PACK</t>
  </si>
  <si>
    <t>G18WM511PRXC</t>
  </si>
  <si>
    <t>QUBUSTMADPK22</t>
  </si>
  <si>
    <t>QUBUVDREPPK20</t>
  </si>
  <si>
    <t>QUBUVSPWPPK11</t>
  </si>
  <si>
    <t>QUBUVSPWPPK16</t>
  </si>
  <si>
    <t>QUBUVSPWPPK19</t>
  </si>
  <si>
    <t>QUBUVSPWPPK8</t>
  </si>
  <si>
    <t>QUBUVWGSPPK10</t>
  </si>
  <si>
    <t>QUBUVWGSPPK15</t>
  </si>
  <si>
    <t>QUBUVWGSPPK18</t>
  </si>
  <si>
    <t>QUBUVWGSPPK21</t>
  </si>
  <si>
    <t>QUBUVWGSPPK7</t>
  </si>
  <si>
    <t>QUBUVWGSPPK9</t>
  </si>
  <si>
    <t>QUBWGLPSPPK14</t>
  </si>
  <si>
    <t>QUBWGLPSPPK17</t>
  </si>
  <si>
    <t>QUBWGLPSPPK21</t>
  </si>
  <si>
    <t>QUBWGLPSPPK6</t>
  </si>
  <si>
    <t>Q 5 FT FILLER PANEL 60 X 144</t>
  </si>
  <si>
    <t>Q LEFT SHORT APPR 59.75X52.375</t>
  </si>
  <si>
    <t>Q LEFT LONG APPR 59.75 X 144.0</t>
  </si>
  <si>
    <t>G41WM521NPFU</t>
  </si>
  <si>
    <t>G75WM521NPFU</t>
  </si>
  <si>
    <t>G76WM521NPFU</t>
  </si>
  <si>
    <t>J75IQU10NQ20</t>
  </si>
  <si>
    <t>J75IQU12NQ22</t>
  </si>
  <si>
    <t>Q H66 WOOD U/FILLER 4 3/4 X 48</t>
  </si>
  <si>
    <t>Q H66 HW MINI U/FILL 4 3/4X48</t>
  </si>
  <si>
    <t>Q RIGHT SHORT APPR 59.75X52.37</t>
  </si>
  <si>
    <t>Q RIGHT LONG APPR 59.75X144.00</t>
  </si>
  <si>
    <t>Q H66 HW MINI EXT 29 7/8 X 12</t>
  </si>
  <si>
    <t>Q UV H66 HW MINI SINGLE PK</t>
  </si>
  <si>
    <t>Q UV H66 HW MINI 1 LANE PK</t>
  </si>
  <si>
    <t>G75WM531PQ07</t>
  </si>
  <si>
    <t>G76WM531PQ46</t>
  </si>
  <si>
    <t>J75IQU11NQ21</t>
  </si>
  <si>
    <t>J75IQU13NQ23</t>
  </si>
  <si>
    <t>J75IQU35PQ47</t>
  </si>
  <si>
    <t>J76IQU18PQ47</t>
  </si>
  <si>
    <t>QUBUVWGSPPK12</t>
  </si>
  <si>
    <t>QUBUVWGSPPK23</t>
  </si>
  <si>
    <t>QUBUVWGSPPK3</t>
  </si>
  <si>
    <t>10000020-5000</t>
  </si>
  <si>
    <t>Premium Inkjet MPK 9653</t>
  </si>
  <si>
    <t>EL MAGUEY TABLETOPS 36 X 144</t>
  </si>
  <si>
    <t>DIG WC200 UV 2LP</t>
  </si>
  <si>
    <t>DIG UV SYN ATK LOGO 2LP</t>
  </si>
  <si>
    <t>DIG UV WY160 AC 2LP</t>
  </si>
  <si>
    <t>DIG BRACKETT WALNUT 2LP</t>
  </si>
  <si>
    <t>DIG UV SYN FOX LOGO 2 LP</t>
  </si>
  <si>
    <t>DIG UV FRIGAT (AE2-2-14) 2LP</t>
  </si>
  <si>
    <t>DIG UV HORIZON 2LP</t>
  </si>
  <si>
    <t>DIG UV HP360 AFT SHOWERS LLP</t>
  </si>
  <si>
    <t>DIG UV HP689 2LP</t>
  </si>
  <si>
    <t>DIG UV MT340 ROC 2LP</t>
  </si>
  <si>
    <t>DIG UV MW580 2 LANE PACK</t>
  </si>
  <si>
    <t>DIG UV MW580 RIGHT LP</t>
  </si>
  <si>
    <t>DIG RINEY OAK LEFT LANE PK</t>
  </si>
  <si>
    <t>DIG UV S3023 2LP</t>
  </si>
  <si>
    <t>DIG UV SB027 SUMMER VACA LLP</t>
  </si>
  <si>
    <t>DIG UV SYN  STFD LOGO 2 LP</t>
  </si>
  <si>
    <t>DIG UV SYN  2 LANE PACK</t>
  </si>
  <si>
    <t>DIG UV WA090 DBC 2LP</t>
  </si>
  <si>
    <t>DIG UV WA120 A/NOON NAP LLP</t>
  </si>
  <si>
    <t>DIG UV WC200 2 LANE PACK</t>
  </si>
  <si>
    <t>DIG STIX WCAKE UV 2LP</t>
  </si>
  <si>
    <t>DIG UV WE360 AP 2LP</t>
  </si>
  <si>
    <t>DIG UV WF011 RIGHT LP</t>
  </si>
  <si>
    <t>DIG WF011 LEFT LP</t>
  </si>
  <si>
    <t>DIG UV WF011 2 LANE PACK</t>
  </si>
  <si>
    <t>DIG UV WF011 GUIDRY LOGO 2LP</t>
  </si>
  <si>
    <t>DIG UV WF013 2 LANE PACK</t>
  </si>
  <si>
    <t>DIG UV WF131 VANA 2 LP</t>
  </si>
  <si>
    <t>DIG UV WF131 GRAY VANA 2 LP</t>
  </si>
  <si>
    <t>DIG UV WF131 VANA RIGHT LP</t>
  </si>
  <si>
    <t>DIG UV SYN WHITAKER LOGO 2 LP</t>
  </si>
  <si>
    <t>BAD PART...USE WF013</t>
  </si>
  <si>
    <t>DIG UV WM046 2LP</t>
  </si>
  <si>
    <t>DIG UV WM221 AMBER CM 2 LP</t>
  </si>
  <si>
    <t>DIG UV WM858 BEIGE REN 2LP</t>
  </si>
  <si>
    <t>DIG UV WO004 STRAIGHT OAK 2LP</t>
  </si>
  <si>
    <t>DIG UV WO710 SIMPLICITY 2 LP</t>
  </si>
  <si>
    <t>DIG UV WT790 WEDDING CAKE 2LP</t>
  </si>
  <si>
    <t>DIG UV WT790 WEDDING CAKE LLP</t>
  </si>
  <si>
    <t>DIG UV WW960 MMW 2LP</t>
  </si>
  <si>
    <t>DIG UV WW960 MMW RIGHT LP</t>
  </si>
  <si>
    <t>DIG UV WX421 WITCHCRAFT 2LP</t>
  </si>
  <si>
    <t>DIG UV WZ053 ZULU 2LP</t>
  </si>
  <si>
    <t>DIG S/BLUES UV TWO LANE PACK</t>
  </si>
  <si>
    <t>DIG WM046 2PK</t>
  </si>
  <si>
    <t>DIG WM046 45 FT 2LP</t>
  </si>
  <si>
    <t>DIG WM046 LEFT LANE 45 FT PK</t>
  </si>
  <si>
    <t>DIG 7/16 ANVIL APPR 41.84X144</t>
  </si>
  <si>
    <t>DIG 7/16 ANVIL FOUL 41.84X142.</t>
  </si>
  <si>
    <t>DIG 7/16 UV ANVIL APPR 41.84X1</t>
  </si>
  <si>
    <t>DIG 7/16 UV ANVIL FOUL 41.84X1</t>
  </si>
  <si>
    <t>DIG 7/16 UV ANVIL HEAD 41.84X1</t>
  </si>
  <si>
    <t>MUR REG BLUE PLUG 43 X 72</t>
  </si>
  <si>
    <t>PINWORX PLUG  PANEL 43 X 72</t>
  </si>
  <si>
    <t>DIG UV WW971 LANE PAN 41.84X14</t>
  </si>
  <si>
    <t>DIG UV WW971 W/WAY 42 7/8X145</t>
  </si>
  <si>
    <t>DIG UV HP272 LANE PAN 41.84X14</t>
  </si>
  <si>
    <t>MC CAFE BURLAP D/G 36 X 96</t>
  </si>
  <si>
    <t>MC CAFE BURLAP 48 X 96</t>
  </si>
  <si>
    <t>NEUSONIC BLK OYSTER II 48X120</t>
  </si>
  <si>
    <t>NEUSONIC BLK OYSTER III 48X120</t>
  </si>
  <si>
    <t>NEUSONIC BLUE OYSTER 48X120</t>
  </si>
  <si>
    <t>EAST KAPOLEI MS 48 X 96</t>
  </si>
  <si>
    <t>PEIRCE SCHOOL 48 X 96</t>
  </si>
  <si>
    <t>DILLARDS H/COMB CG7 48 X 96</t>
  </si>
  <si>
    <t>DARWIN ELEMENTARY 48 X 96</t>
  </si>
  <si>
    <t>CRAFTEDWILD CABINET 48 X 120</t>
  </si>
  <si>
    <t>LGI WAYFINDING 48 X 120</t>
  </si>
  <si>
    <t>GREENVILLE EAGLE HEAD 48X96</t>
  </si>
  <si>
    <t>INOVABED SS-211 48 X 144</t>
  </si>
  <si>
    <t>BLUE OYSTER MASTER 48 X 120</t>
  </si>
  <si>
    <t>INOVABED SS-212 48 X 144</t>
  </si>
  <si>
    <t>CANADIAN HS GREEN LVS 48 X 144</t>
  </si>
  <si>
    <t>CFBISD WALL PANELS 48 X 96</t>
  </si>
  <si>
    <t>INOVABED SS-258 48 X 144</t>
  </si>
  <si>
    <t>WINNEBAGO TOPO 48 X 96</t>
  </si>
  <si>
    <t>WB PIEPER TABLE BASE 48 X 96</t>
  </si>
  <si>
    <t>WB PIEPER MONITOR 48 X 96</t>
  </si>
  <si>
    <t>INOVABED GFSH01 48 X 144</t>
  </si>
  <si>
    <t>WB STRANAHAN HS 48 X 96</t>
  </si>
  <si>
    <t>INOVABED BRSH01 48 X 144</t>
  </si>
  <si>
    <t>INOVABED BRSH02 48 X 144</t>
  </si>
  <si>
    <t>INOVABED GRSH02 48 X 144</t>
  </si>
  <si>
    <t>INOVABED DHSH01 - P/PAN 48X96</t>
  </si>
  <si>
    <t>MUST MIN WMN TV ROOM 48 X 96</t>
  </si>
  <si>
    <t>MUST MIN FAMILY RM 48 X 120</t>
  </si>
  <si>
    <t>INOVABED BRSH03 FOREST 48 X 96</t>
  </si>
  <si>
    <t>INOVABED BRSH04 C &amp; D 48 X 96</t>
  </si>
  <si>
    <t>SATORY DESIGN SILLY STRING 48X</t>
  </si>
  <si>
    <t>SPACEFILE UC OCEANSCAPE 48X96</t>
  </si>
  <si>
    <t>INVBD 6716 STD A SB 48 X 144</t>
  </si>
  <si>
    <t>INVBD 6716 STD B PT 48 X 144</t>
  </si>
  <si>
    <t>INVBD 6716 1BR PRIN-FROG 48X14</t>
  </si>
  <si>
    <t>INVBD BCV DAISDON FRWKS 48X144</t>
  </si>
  <si>
    <t>INVBD BCV HEUDEW SAND 48X144</t>
  </si>
  <si>
    <t>INVBD PASSH10 MICKEY 48 X 144</t>
  </si>
  <si>
    <t>BONHAM RESIDENCE 48 X 144</t>
  </si>
  <si>
    <t>INVBD URSA 6873 48 X 144</t>
  </si>
  <si>
    <t>PASCAL FIREFLY 48X96</t>
  </si>
  <si>
    <t>INVBD  PSCL 6716 FAIRIES 48X96</t>
  </si>
  <si>
    <t>UNIQUE ELEVATOR D/G 36 X 96</t>
  </si>
  <si>
    <t>MCD CONEXSA COMBO SHEET 48 X 1</t>
  </si>
  <si>
    <t>MCD CONEXSA LETTER B 48 X 120</t>
  </si>
  <si>
    <t>MCD CONEXSA LETTER C 48 X 120</t>
  </si>
  <si>
    <t>MCD CONEXSA LETTER F 48 X 120</t>
  </si>
  <si>
    <t>MCD CONEXSA LETTER S 48 X 120</t>
  </si>
  <si>
    <t>EAGAN FIRE TABLETOP 48 X 96</t>
  </si>
  <si>
    <t>KILLSPENCER BACKBOARDS 48 X 96</t>
  </si>
  <si>
    <t>KIMBERLY HALL CREATIVE D/G 36</t>
  </si>
  <si>
    <t>LOMA LINDA HEADWALL #1 48 X 96</t>
  </si>
  <si>
    <t>LOMA LINDA HEADWALL #2 48 X 96</t>
  </si>
  <si>
    <t>LOMA LINDA HEADWALL 48 X 96</t>
  </si>
  <si>
    <t>JC TELLER LINE 48 X 96</t>
  </si>
  <si>
    <t>BDG CHRISTIANA FC 36 X 120</t>
  </si>
  <si>
    <t>DONUTLAND 48 X 96</t>
  </si>
  <si>
    <t>WURTH POSTCARD 48 X 96</t>
  </si>
  <si>
    <t>BARNGREEN AND TURNIPS 48 X 96</t>
  </si>
  <si>
    <t>EDISON CAFE 104 EAST 48 X 96</t>
  </si>
  <si>
    <t>EDISON CAFE 104 WEST 48 X 96</t>
  </si>
  <si>
    <t>EDISON CAFE 103 FULL WALL 48X9</t>
  </si>
  <si>
    <t>EDISON CAFE 118 LOUNGE 48 X 96</t>
  </si>
  <si>
    <t>AYRES GRAFFITI TBLTOP 36 X 120</t>
  </si>
  <si>
    <t>AYRES GRAFFITI TBLTOP 36 X 96</t>
  </si>
  <si>
    <t>CCH PEAKS RETAIL 48 X 96</t>
  </si>
  <si>
    <t>INFINITY UV BDW COM 41.875X144</t>
  </si>
  <si>
    <t>INFINITY UV BDW SHORT 41.88X72</t>
  </si>
  <si>
    <t>INFINITY UV BDW ARROW 41.875X1</t>
  </si>
  <si>
    <t>DIG C/BLUES UV WW 42 7/8X145 1</t>
  </si>
  <si>
    <t>PINWORX WT W/ BLK APP 48 X 96</t>
  </si>
  <si>
    <t>PINWORX WT W/ BLK FOUL 31.5X72</t>
  </si>
  <si>
    <t>PINWORX WT W/ BLK COM 31.5X72</t>
  </si>
  <si>
    <t>PINWORX WT W/ BLK FILL 8 X 96</t>
  </si>
  <si>
    <t>PINWORX WT W/ BLK L APP 48X96</t>
  </si>
  <si>
    <t>PINWORX WT W/ BLK R APP 48X96</t>
  </si>
  <si>
    <t>PINWORX WT W/ BLK FILL 3.5X96</t>
  </si>
  <si>
    <t>DIG UV SYN WW 42 7/8X145 1/4</t>
  </si>
  <si>
    <t>DIG UV WM046 WW 42 7/8X145 1/4</t>
  </si>
  <si>
    <t>DIG UV AFT SHOW WW 42 7/8X145</t>
  </si>
  <si>
    <t>DIG UV MT340 WW 42 7/8X145 1/4</t>
  </si>
  <si>
    <t>DIG UV WC200 WW 42 7/8X145 1/4</t>
  </si>
  <si>
    <t>DIG UV MW580 WW 42 7/8X145 1/4</t>
  </si>
  <si>
    <t>DIG UV WF013 WW 42 7/8X145 1/4</t>
  </si>
  <si>
    <t>DIG UV WA090 WW 42 7/8X145 1/4</t>
  </si>
  <si>
    <t>DIG UV FREGAT S NBR 13.87X72</t>
  </si>
  <si>
    <t>DIG UV WF131 WW 42 7/8X145 1/4</t>
  </si>
  <si>
    <t>DIG UV WX421 WW 42 7/8X145 1/4</t>
  </si>
  <si>
    <t>DIG UV WZ053 WW 42 7/8X145 1/4</t>
  </si>
  <si>
    <t>DIG UV WT790  WW 42 7/8X145 1/</t>
  </si>
  <si>
    <t>LIGHTHOUSE INC D/G 36 X 120</t>
  </si>
  <si>
    <t>LIGHTHOUSE INC D/G 36 X 144</t>
  </si>
  <si>
    <t>LIGHTHOUSE INC D/G 36 X 96</t>
  </si>
  <si>
    <t>LIGHTHOUSE INC D/G 48 X 120</t>
  </si>
  <si>
    <t>LIGHTHOUSE INC D/G 48X144</t>
  </si>
  <si>
    <t>LIGHTHOUSE INC D/G 48 X 96</t>
  </si>
  <si>
    <t>MCDONALDS STONEWOOD II 48X120</t>
  </si>
  <si>
    <t>MCDONALDS STONEWOOD III 48X120</t>
  </si>
  <si>
    <t>VERSTEEL DAVIDSON TABLE 36X96</t>
  </si>
  <si>
    <t>PAPA GINO'S TABLE TOP D/G 48 X</t>
  </si>
  <si>
    <t>UNIV OF GUELPH TABLETOP 48 X 9</t>
  </si>
  <si>
    <t>HUMAN TOUCH TABLETOP 48 X 96</t>
  </si>
  <si>
    <t>DYNAMO TEXAS HOCKEY 42 1/2X82</t>
  </si>
  <si>
    <t>DIG CHECKERBOARD VI 38 X 38</t>
  </si>
  <si>
    <t>BEAL ELEM MURAL D 48 X 120</t>
  </si>
  <si>
    <t>BEAL ELEM MURAL A 48 X 120</t>
  </si>
  <si>
    <t>BEAL ELEM MURAL B 48 X 120</t>
  </si>
  <si>
    <t>BEAL ELEM MURAL C 48 X 120</t>
  </si>
  <si>
    <t>LIGHTHOUSE-HICK CAFE 36 X 120</t>
  </si>
  <si>
    <t>LIGHTHOUSE-HICK CAFE 36 X 96</t>
  </si>
  <si>
    <t>LIGHTHOUSE-HICK CAFE 48 X 96</t>
  </si>
  <si>
    <t>PANCAKE HOUSE TT A-D-E 48 X 12</t>
  </si>
  <si>
    <t>PANCAKE HOUSE TT B-F 48 X 144</t>
  </si>
  <si>
    <t>PANCAKE HOUSE TT A 48 X 96</t>
  </si>
  <si>
    <t>EL MAGUEY TABLETOPS 36 X 120</t>
  </si>
  <si>
    <t>EL MAGUEY TABLETOPS 48 X 120</t>
  </si>
  <si>
    <t>VALLEY DIG TOP RAILS 418 48X14</t>
  </si>
  <si>
    <t>DYNAMO DIG TORNADO IV 48X96</t>
  </si>
  <si>
    <t>VALLEYDIG TOP RAILS 419 48X96</t>
  </si>
  <si>
    <t>NANNIE ANNIE TT 48 X 144</t>
  </si>
  <si>
    <t>DIG BLK W/GOLD W/WAY 42 7/8X14</t>
  </si>
  <si>
    <t>DIG WM046 WW 42 7/8X145 1/4</t>
  </si>
  <si>
    <t>DIG WF011 WWF 42 7/8 X 145 1/4</t>
  </si>
  <si>
    <t>DYNAMO TORREY P HOCKEY 48X96</t>
  </si>
  <si>
    <t>DYNAMO NEW FIRESTORM 48X96</t>
  </si>
  <si>
    <t>DYNAMO CHARL HOC 42 1/2 X 82 1</t>
  </si>
  <si>
    <t>DYNAMO WT EST HOCKEY 48X96</t>
  </si>
  <si>
    <t>DYNAMO BLACK THUNDER 48 X 96</t>
  </si>
  <si>
    <t>DYNAMO FIRE STORM II 48 X 96</t>
  </si>
  <si>
    <t>DYNAMO CANVAS HOC 42 1/2X82 1/</t>
  </si>
  <si>
    <t>DYNAMO FOAC HOC 42 1/2 X 82 1/</t>
  </si>
  <si>
    <t>DYNAMO SM LOGO HOCKEY 48X96</t>
  </si>
  <si>
    <t>DYNAMO OK STATE HOCKEY 48X96</t>
  </si>
  <si>
    <t>DYNAMO GRAY/BLUE 48X96</t>
  </si>
  <si>
    <t>BREW HOUSE FOUL 41.875 X 96</t>
  </si>
  <si>
    <t>BREW HOUSE COM 41.875 X 144</t>
  </si>
  <si>
    <t>INFINITY DIG BLK/WT AR 41.875X</t>
  </si>
  <si>
    <t>INFINITY DIG BLK/WT COM 41.875</t>
  </si>
  <si>
    <t>INFINITY DIG RED/WT AR 41.875X</t>
  </si>
  <si>
    <t>INFINITY DIG RED/WT COM 41.875</t>
  </si>
  <si>
    <t>INFINITY DIG WB/BLK AR 41.875X</t>
  </si>
  <si>
    <t>INFINITY DIG WB/BLK COM 41.875</t>
  </si>
  <si>
    <t>INFINITY DIG WT/BLK AR 41.875X</t>
  </si>
  <si>
    <t>INFINITY DIG WT/BLK COM 41.875</t>
  </si>
  <si>
    <t>OBS ALLEYWOOD (W/MARK) 48 X 96</t>
  </si>
  <si>
    <t>OBS ALLEYWOOD (NO MARK) 48 X 9</t>
  </si>
  <si>
    <t>CHICKEN OR THE EGG H/W 48 X 96</t>
  </si>
  <si>
    <t>BACK COV YACHT H/W 48 X 120</t>
  </si>
  <si>
    <t>BACK COVE YACHT H/W 48 X 96</t>
  </si>
  <si>
    <t>MARRIOT GRAND VISTA 48 X 96</t>
  </si>
  <si>
    <t>LEGACY T103 LOBBY EAST 48 X 96</t>
  </si>
  <si>
    <t>LEGACY F100B WAITING N 48 X 96</t>
  </si>
  <si>
    <t>PANOLAM PLANT PLAQUE 48 X 96</t>
  </si>
  <si>
    <t>LF MSHS CORR 194 48 X 96</t>
  </si>
  <si>
    <t>LF MSHS CORR 123-29HA701 48X96</t>
  </si>
  <si>
    <t>LF MSHS CORR 123-30HA701 48X96</t>
  </si>
  <si>
    <t>MANGINI US MAP MAG M/B 47.5X95</t>
  </si>
  <si>
    <t>BAD PART.  USE 1237</t>
  </si>
  <si>
    <t>TEXAS A&amp;M MB D/G 48 X 96</t>
  </si>
  <si>
    <t>TEXAS A&amp;M MB T/TOP LG 48 X 96</t>
  </si>
  <si>
    <t>TEXAS A&amp;M MB T/TOP SM 48 X 96</t>
  </si>
  <si>
    <t>PIEDMONT ATHENS 48 X 96</t>
  </si>
  <si>
    <t>PIEDMONT ATHENS L/DOOR 48 X 96</t>
  </si>
  <si>
    <t>GP RULE BOARD DIG M/B 48 X 96</t>
  </si>
  <si>
    <t>MURREY REGIMENTAL BLUE  2LP</t>
  </si>
  <si>
    <t>ABC TRAVELIN BBQ TAB-2 48 X 12</t>
  </si>
  <si>
    <t>ABC RICALTINI 36 X 96</t>
  </si>
  <si>
    <t>LF MSHS 40" LOGO 48 X 96</t>
  </si>
  <si>
    <t>CAPU A102 FACILITY MAP 48 X 12</t>
  </si>
  <si>
    <t>CAPU A103 CON MAP 48 X 120</t>
  </si>
  <si>
    <t>CAPU A106-107 CON MAP 36 X 120</t>
  </si>
  <si>
    <t>KELLER M/B 48 X 96</t>
  </si>
  <si>
    <t>MILLWORK ONE CAB DOOR 36X120</t>
  </si>
  <si>
    <t>PAINTED DIST WOOD D/G 48 X 96</t>
  </si>
  <si>
    <t>BUDS AND BERRIES 48 X 96</t>
  </si>
  <si>
    <t>EAT YOUR VEGGIES 48 X 120</t>
  </si>
  <si>
    <t>EAT YOUR VEGGIES 48 X 96</t>
  </si>
  <si>
    <t>HOUNDSTOOTH CLASSIC 48 X 96</t>
  </si>
  <si>
    <t>CRACKED ICE 48 X 96</t>
  </si>
  <si>
    <t>SCATTERED NUMBERS 36 X 144</t>
  </si>
  <si>
    <t>SCIENCE LAB C/BOARD 48 X 96</t>
  </si>
  <si>
    <t>WHITE VENUS II 48 X 96</t>
  </si>
  <si>
    <t>LILAC BOOMERANG 48 X 96</t>
  </si>
  <si>
    <t>PLAID INTER ASH GRAY 48 X 96</t>
  </si>
  <si>
    <t>VIN HERRINGBONE WOOD 48 X 96</t>
  </si>
  <si>
    <t>MARBLED CHEVRON 48 X 96</t>
  </si>
  <si>
    <t>FADED TRIANGLE 48 X 96</t>
  </si>
  <si>
    <t>MANDELA 48 X 96</t>
  </si>
  <si>
    <t>RIPPLE STRIPE 48 X 96</t>
  </si>
  <si>
    <t>RIPPLE STRIPE 48 X 120</t>
  </si>
  <si>
    <t>FALLING TRIANGLES 48 X 96</t>
  </si>
  <si>
    <t>DOTTED DOTTIE 48 X 96</t>
  </si>
  <si>
    <t>RAIN DROPLET 48 X 96</t>
  </si>
  <si>
    <t>SILLY STRING 48 X 96</t>
  </si>
  <si>
    <t>CUBED CROSSING 49 X 121</t>
  </si>
  <si>
    <t>IT'S A ZOO 48 X 96</t>
  </si>
  <si>
    <t>STAMPED NUMBERS D/G 48 X 96</t>
  </si>
  <si>
    <t>BALOON DOG BLACK 48 X 96</t>
  </si>
  <si>
    <t>WHITE VENUS II 36 X 120</t>
  </si>
  <si>
    <t>WHITE VENUS II 48 X 120</t>
  </si>
  <si>
    <t>TURQUOISE VENUS II 48 X 144</t>
  </si>
  <si>
    <t>TURQUOISE VENUS II 48 X 96</t>
  </si>
  <si>
    <t>CARBON BLACK BOOM 36 X 96</t>
  </si>
  <si>
    <t>CARBON BLACK BOOM 48 X 96</t>
  </si>
  <si>
    <t>ODENTON PINK LADY 48 X 96</t>
  </si>
  <si>
    <t>ODENTON NEON LIGHT 36 X 120</t>
  </si>
  <si>
    <t>ODENTON NEON LIGHT 48 X 120</t>
  </si>
  <si>
    <t>ODENTON NEON LIGHT48 X 96</t>
  </si>
  <si>
    <t>ODENTON NEON LIGHT 48 X 96</t>
  </si>
  <si>
    <t>BABY ANIMAL FRIENDS 48 X 96</t>
  </si>
  <si>
    <t>MINI HOUNDSTOOTH MIST 48 X 96</t>
  </si>
  <si>
    <t>PLAID INTER PARCHMENT 48 X 96</t>
  </si>
  <si>
    <t>ABC RICALTINI 7345 48 X 120</t>
  </si>
  <si>
    <t>HONEYCOMB HEX WOOD 48 X 96</t>
  </si>
  <si>
    <t>MIDAS TOUCH 48 X 96</t>
  </si>
  <si>
    <t>MARBLED TRAPEZOID 48 X 96</t>
  </si>
  <si>
    <t>MAUI 48 X 96</t>
  </si>
  <si>
    <t>TIME FOR SPRING 48 X 96</t>
  </si>
  <si>
    <t>LEAF AND VINE 48 X 96</t>
  </si>
  <si>
    <t>PLAID INTERSECTION 48 X 96</t>
  </si>
  <si>
    <t>WAVES 48 X 96</t>
  </si>
  <si>
    <t>INK BRUSH WASABI 48 X 96</t>
  </si>
  <si>
    <t>INK BRUSH INDIGO 48 X 96</t>
  </si>
  <si>
    <t>TWISTED TWINE 48 X 96</t>
  </si>
  <si>
    <t>ISTANBUL 48 X 96</t>
  </si>
  <si>
    <t>PARIS PARISIAN 48 X 96</t>
  </si>
  <si>
    <t>CUBED CROSSING 36 X 144</t>
  </si>
  <si>
    <t>STAMPED NUMBERS 48 X 96</t>
  </si>
  <si>
    <t>SCIENCE LAB C/BOARD 48 X 144</t>
  </si>
  <si>
    <t>WHITEVENUS II 36 X 144</t>
  </si>
  <si>
    <t>WHITE VENUS II 36 X 96</t>
  </si>
  <si>
    <t>WHITE VENUS II 48 X 144</t>
  </si>
  <si>
    <t>TURQUOISE VENUS II 36 X 96</t>
  </si>
  <si>
    <t>TURQUOISE VENUS II 48 X 120</t>
  </si>
  <si>
    <t>ODENTON PINK LADY XL 48 X 96</t>
  </si>
  <si>
    <t>ODENTON NEON LIGHT XL 48 X 96</t>
  </si>
  <si>
    <t>CARBON BLACK BOOM 36 X 120</t>
  </si>
  <si>
    <t>CARBON BLACK BOOM 36 X 144</t>
  </si>
  <si>
    <t>CARBON BLACK BOOM 48 X 144</t>
  </si>
  <si>
    <t>ODENTON NEON LIGHT 36 X 144</t>
  </si>
  <si>
    <t>ODENTON NEON LIGHT 36 X 96</t>
  </si>
  <si>
    <t>GRAFFITI 48 X 96</t>
  </si>
  <si>
    <t>MINI HONDSTOOTH KHAKI 48 X 96</t>
  </si>
  <si>
    <t>MINI HOUNDSTOOTH CHOC 48X96</t>
  </si>
  <si>
    <t>VERI PERI SILLYSTRING 48 X 96</t>
  </si>
  <si>
    <t>VERI PERI ICELANDIC 48 X 96</t>
  </si>
  <si>
    <t>MANDALA 48 X 96</t>
  </si>
  <si>
    <t>MYKONOS 48 X 96</t>
  </si>
  <si>
    <t>ICELANDIC 48 X 96</t>
  </si>
  <si>
    <t>COAL TRAIN 48 X 120</t>
  </si>
  <si>
    <t>WHITE VENUS II 36 X 144</t>
  </si>
  <si>
    <t>TURQUIOSE VENUS II 48 X 96</t>
  </si>
  <si>
    <t>HOUNDSTOOTH CHOCOLATE 48 X 96</t>
  </si>
  <si>
    <t>MINI HOUNDSTOOTH MIST 36 X 144</t>
  </si>
  <si>
    <t>DYNAMO DIG FIRESTORM 48X96</t>
  </si>
  <si>
    <t>DYNAMO LRG LOGO PURPLE 48X96</t>
  </si>
  <si>
    <t>DYNAMO LRG LOGO BLUE 48X96</t>
  </si>
  <si>
    <t>US BOWLING BLACK 2 LANE PK</t>
  </si>
  <si>
    <t>US BOWLING GRAY 202 2 LANE PK</t>
  </si>
  <si>
    <t>US BOWLING GRAY 202 LEFT LP</t>
  </si>
  <si>
    <t>USB JONES TIEL 2 LANE PK</t>
  </si>
  <si>
    <t>US BOWLING WX231 2 LANE PK</t>
  </si>
  <si>
    <t>FRL PENN STATE ELEV 38 48 X 96</t>
  </si>
  <si>
    <t>RAIN DROPLET 48 X 120</t>
  </si>
  <si>
    <t>PRAIRE ECC ANIMAL  48 X 96</t>
  </si>
  <si>
    <t>AHS-MACPHAIL BRKOUT WALL 48X12</t>
  </si>
  <si>
    <t>ST.MARYS HS SPORTS 48 X 96</t>
  </si>
  <si>
    <t>MT SAC TEAM ROOM 48 X 120</t>
  </si>
  <si>
    <t>MT SAC WEIGHT ROOM 48 X 120</t>
  </si>
  <si>
    <t>LAFAYETTE APPLE 48 X 96</t>
  </si>
  <si>
    <t>SWED EDMUNDS BHU N1.1 48 X 96</t>
  </si>
  <si>
    <t>BSB HAMLIN WALL A 48 X 120</t>
  </si>
  <si>
    <t>BSB HAMLIN WALL B 48 X 120</t>
  </si>
  <si>
    <t>BSB HAMLIN WALL C 48 X 120</t>
  </si>
  <si>
    <t>ECMC ER TRAUMA COR 1 48 X 96</t>
  </si>
  <si>
    <t>ECMC ER TRAUMA COR 2 48 X 96</t>
  </si>
  <si>
    <t>ECMC ER L1 TRAUMA 48 X 96</t>
  </si>
  <si>
    <t>CCHMC B4-MFM B4 48 X 120</t>
  </si>
  <si>
    <t>NORTON CHIR A 36 X 120</t>
  </si>
  <si>
    <t>NORTON CHIR C1 48 X 96</t>
  </si>
  <si>
    <t>NORTON CHIR C2 36 X 96</t>
  </si>
  <si>
    <t>NORTON CHIR D 36 X 96</t>
  </si>
  <si>
    <t>NORTON CHIR E 48 X 96</t>
  </si>
  <si>
    <t>CARSON MIDDLE - ARCH 48 X 96</t>
  </si>
  <si>
    <t>FORT NELSON WALL PANEL 48 X 96</t>
  </si>
  <si>
    <t>EID CROWN COLONY ELEV 48X120</t>
  </si>
  <si>
    <t>ORANGE HS FIRST FLOOR 48 X 96</t>
  </si>
  <si>
    <t>PORT ALBERNI WALL 48 X 96</t>
  </si>
  <si>
    <t>PASO VERDE B1-B8 TUM 48 X 96</t>
  </si>
  <si>
    <t>PASO VERDE C1-C8 ROM 48 X 96</t>
  </si>
  <si>
    <t>PASO VERDE D1-D8 GRAPES 48X96</t>
  </si>
  <si>
    <t>PASO VERDE E1-E8 WHEAT 48X96</t>
  </si>
  <si>
    <t>PASO VERDE KINDER 1-8 48 X 120</t>
  </si>
  <si>
    <t>SICK KIDS WARD 48 X 120</t>
  </si>
  <si>
    <t>CCHMC GL2-428 48 X 120</t>
  </si>
  <si>
    <t>BAD PART   DO NOT USE</t>
  </si>
  <si>
    <t>JURAVINSKI TEW FALLS WALL 48X9</t>
  </si>
  <si>
    <t>BERLIN ELEMENTARY 48 X 120</t>
  </si>
  <si>
    <t>UHN BLOOD DRAW PANELS 48 X 96</t>
  </si>
  <si>
    <t>UHN SMALL BLANKS 48 X 96</t>
  </si>
  <si>
    <t>UHN REGISTRATION SM PAN 48 X 9</t>
  </si>
  <si>
    <t>HARDER ELEM 48 X 96</t>
  </si>
  <si>
    <t>CANMORE STONE/WOOD 48 X 120</t>
  </si>
  <si>
    <t>WATERTON WALL 48 X 96</t>
  </si>
  <si>
    <t>EAST AVE SCHOOL LOBBY 48 X 96</t>
  </si>
  <si>
    <t>JURAVINSKI WEBSTER FALLS 48X96</t>
  </si>
  <si>
    <t>JURAVINSKI ALBION FALLS 48X96</t>
  </si>
  <si>
    <t>CANMORE 139 ORNG SPCL 36 X 120</t>
  </si>
  <si>
    <t>CANMORE 139 ORANGE 36 X 120</t>
  </si>
  <si>
    <t>CANMORE 391 LT GREEN 36 X 120</t>
  </si>
  <si>
    <t>CANMORE 1605 DK ORANGE 36X120</t>
  </si>
  <si>
    <t>CANMORE 5763 DK GREEN 36 X 120</t>
  </si>
  <si>
    <t>SCH RIVER B L7G ELEV LOB 48X96</t>
  </si>
  <si>
    <t>CCHMC WP4 16C 48 X 120</t>
  </si>
  <si>
    <t>ADEX MENS RESTROOM 48 X 96</t>
  </si>
  <si>
    <t>WILLIAMSVILLE HS SO PAN 1 48X1</t>
  </si>
  <si>
    <t>WILLIAMSVILLE HS SO PAN 2 48X9</t>
  </si>
  <si>
    <t>WILLIAMSVILLE HS EAST 48 X 120</t>
  </si>
  <si>
    <t>WILLIAMSVILLE HS NORTH 48X96</t>
  </si>
  <si>
    <t>SCH FOREST B L1B PUB CIR 48X12</t>
  </si>
  <si>
    <t>BAYSTATE QUEENS WIL #4 48X120</t>
  </si>
  <si>
    <t>BAYSTATE QUEENS WIL #4 48X96</t>
  </si>
  <si>
    <t>JURAVINSKI WEB FALLS 48 X 96</t>
  </si>
  <si>
    <t>JURAVINSKI TEWS FALLS 48 X 96</t>
  </si>
  <si>
    <t>EAST AVE SCHOOL FOYER 48 X 96</t>
  </si>
  <si>
    <t>ND HOS PR T-2316 48 X 96</t>
  </si>
  <si>
    <t>SICK KIDS WARD 7A - D-F-G 48X1</t>
  </si>
  <si>
    <t>MT SAC TROPHY CASE 36 X 120</t>
  </si>
  <si>
    <t>MT SAC HERITAGE HALL B SEC 48X</t>
  </si>
  <si>
    <t>NT SAC LOW WALLS 48 X 120</t>
  </si>
  <si>
    <t>NT SAC HERITAGE HALL E SEC 48X</t>
  </si>
  <si>
    <t>BAYSTATE PEDIATRIC WALL 48 X 9</t>
  </si>
  <si>
    <t>FLORIN HS - LEFT WALL 48 X 96</t>
  </si>
  <si>
    <t>FLORIN HS - RIGHT WALL 48 X 96</t>
  </si>
  <si>
    <t>FT MCKAY GTHR 102-10 48 X 120</t>
  </si>
  <si>
    <t>FT MCKAY GTHR 102-11 48 X 120</t>
  </si>
  <si>
    <t>FT MCKAY GTHR 141-4 48 X 120</t>
  </si>
  <si>
    <t>FT MCKAY GTHR 160-70 48 X 120</t>
  </si>
  <si>
    <t>FT MCKAY CORODR 146-5 48 X 120</t>
  </si>
  <si>
    <t>FT MCKAY CORODR 146-6 48 X 120</t>
  </si>
  <si>
    <t>FT MCKAY CORODR 163-8 48 X 120</t>
  </si>
  <si>
    <t>FT MCKAY CORODR 163-9 48 X 120</t>
  </si>
  <si>
    <t>BETH ISRAEL LGL-SD-502G 48X120</t>
  </si>
  <si>
    <t>ND HOS CHAMBRE T2028 48 X 96</t>
  </si>
  <si>
    <t>ND HOS CHAMBRE T2308 48 X 96</t>
  </si>
  <si>
    <t>ND HOS CHAMBRE T2318 48 X 96</t>
  </si>
  <si>
    <t>ND HOS CHAMBRE T2320 48 X 96</t>
  </si>
  <si>
    <t>CAN SPRINGS HS WC2-A 48 X 96</t>
  </si>
  <si>
    <t>CAN SPRINGS HS WC2-E 48 X 120</t>
  </si>
  <si>
    <t>CAN SPRINGS HS WC2-C 48 X 96</t>
  </si>
  <si>
    <t>CAN SPRINGS HS WC2-H 48 X 96</t>
  </si>
  <si>
    <t>CAN SPRINGS HS WC2-D 48 X 120</t>
  </si>
  <si>
    <t>NORTH STAR TDHLTH GP1 48 X 96</t>
  </si>
  <si>
    <t>DOVER HILL ELEMENTARY 48 X 120</t>
  </si>
  <si>
    <t>FERRUCI MS L3 COUGAR 48 X 96</t>
  </si>
  <si>
    <t>BEHAVIORAL VESTIBULE 48 X 96</t>
  </si>
  <si>
    <t>BEHAVIORAL CHILDS UNIT 48 X 96</t>
  </si>
  <si>
    <t>BEHAVIORAL PRAIRIE GRASS 48 X</t>
  </si>
  <si>
    <t>BEHAVIORAL PG SW 48 X 96</t>
  </si>
  <si>
    <t>NOTRE DAME UFN 48 X 96</t>
  </si>
  <si>
    <t>ELK GROVE HS 48 X 120</t>
  </si>
  <si>
    <t>CCWC200APPK1</t>
  </si>
  <si>
    <t>DIGATKLOAPPK1</t>
  </si>
  <si>
    <t>DIGAY160APPK1</t>
  </si>
  <si>
    <t>DIGBRACKAPK1</t>
  </si>
  <si>
    <t>DIGFOXLOAPPK1</t>
  </si>
  <si>
    <t>DIGFRIGAAPPK1</t>
  </si>
  <si>
    <t>DIGHORIZAPPK1</t>
  </si>
  <si>
    <t>DIGHP360APPK1</t>
  </si>
  <si>
    <t>DIGHP689APK1</t>
  </si>
  <si>
    <t>DIGMT340APPK1</t>
  </si>
  <si>
    <t>DIGMW580APPK1</t>
  </si>
  <si>
    <t>DIGMW580APPK2</t>
  </si>
  <si>
    <t>DIGRINEYAPPK1</t>
  </si>
  <si>
    <t>DIGS3023APPK1</t>
  </si>
  <si>
    <t>DIGSB027APPK1</t>
  </si>
  <si>
    <t>DIGSTFDLOAPK1</t>
  </si>
  <si>
    <t>DIGUVSYNAPPK1</t>
  </si>
  <si>
    <t>DIGWA090APPK1</t>
  </si>
  <si>
    <t>DIGWA120APPK1</t>
  </si>
  <si>
    <t>DIGWC200APPK1</t>
  </si>
  <si>
    <t>DIGWCAKEAPPK1</t>
  </si>
  <si>
    <t>DIGWE360APPK1</t>
  </si>
  <si>
    <t>DIGWF011APPK1</t>
  </si>
  <si>
    <t>DIGWF011APPK2</t>
  </si>
  <si>
    <t>DIGWF011APPK3</t>
  </si>
  <si>
    <t>DIGWF011APPK4</t>
  </si>
  <si>
    <t>DIGWF013APPK1</t>
  </si>
  <si>
    <t>DIGWF131APPK1</t>
  </si>
  <si>
    <t>DIGWF131APPK2</t>
  </si>
  <si>
    <t>DIGWF131APPK3</t>
  </si>
  <si>
    <t>DIGWHITAKAPPK1</t>
  </si>
  <si>
    <t>DIGWK013APPK1</t>
  </si>
  <si>
    <t>DIGWM046APK1</t>
  </si>
  <si>
    <t>DIGWM221APPK1</t>
  </si>
  <si>
    <t>DIGWM858APPK1</t>
  </si>
  <si>
    <t>DIGWO004APPK1</t>
  </si>
  <si>
    <t>DIGWO710APPK1</t>
  </si>
  <si>
    <t>DIGWT790APPK1</t>
  </si>
  <si>
    <t>DIGWT790APPK2</t>
  </si>
  <si>
    <t>DIGWW960APPK1</t>
  </si>
  <si>
    <t>DIGWW960APPK2</t>
  </si>
  <si>
    <t>DIGWX421APPK1</t>
  </si>
  <si>
    <t>DIGWZ053APPK1</t>
  </si>
  <si>
    <t>DSCBLUESAPPK1</t>
  </si>
  <si>
    <t>IMWM046APPK3</t>
  </si>
  <si>
    <t>IMWM046APPK4</t>
  </si>
  <si>
    <t>IMWM046APPK5</t>
  </si>
  <si>
    <t>J09RB971PM13</t>
  </si>
  <si>
    <t>J09RB972PM12</t>
  </si>
  <si>
    <t>J12RB971PM13</t>
  </si>
  <si>
    <t>J12RB972PM12</t>
  </si>
  <si>
    <t>J12RB973PM14</t>
  </si>
  <si>
    <t>J16RB659PYBL</t>
  </si>
  <si>
    <t>J16RB950PYBL</t>
  </si>
  <si>
    <t>J24RB893PM41</t>
  </si>
  <si>
    <t>J24RB894ARAE</t>
  </si>
  <si>
    <t>J24RB897PM41</t>
  </si>
  <si>
    <t>J29R0745SD380</t>
  </si>
  <si>
    <t>J29R0745SD480</t>
  </si>
  <si>
    <t>J29R0871SD4001</t>
  </si>
  <si>
    <t>J29R0871SD400</t>
  </si>
  <si>
    <t>J29R0872SD400</t>
  </si>
  <si>
    <t>J29R0873SD400</t>
  </si>
  <si>
    <t>J29R0882SD480</t>
  </si>
  <si>
    <t>J29R0901SD480</t>
  </si>
  <si>
    <t>J29R0910SD480</t>
  </si>
  <si>
    <t>J29R0913SD480</t>
  </si>
  <si>
    <t>J29R0914SD400</t>
  </si>
  <si>
    <t>J29R0942SD400</t>
  </si>
  <si>
    <t>J29R0962SD480</t>
  </si>
  <si>
    <t>J29R0982SD420</t>
  </si>
  <si>
    <t>J29R1004SD4001</t>
  </si>
  <si>
    <t>J29R1050SD420</t>
  </si>
  <si>
    <t>J29R1099SD420</t>
  </si>
  <si>
    <t>J29R1110SD480</t>
  </si>
  <si>
    <t>J29R1145SD420</t>
  </si>
  <si>
    <t>J29R1200SD480</t>
  </si>
  <si>
    <t>J29R1201SD480</t>
  </si>
  <si>
    <t>J29R1202SD480</t>
  </si>
  <si>
    <t>J29R1205SD420</t>
  </si>
  <si>
    <t>J29R1207SD480</t>
  </si>
  <si>
    <t>J29R1214SD420</t>
  </si>
  <si>
    <t>J29R1215SD420</t>
  </si>
  <si>
    <t>J29R1234SD420</t>
  </si>
  <si>
    <t>J29R1239SD480</t>
  </si>
  <si>
    <t>J29R1256SD480</t>
  </si>
  <si>
    <t>J29R1257SD400</t>
  </si>
  <si>
    <t>J29R1269SD480</t>
  </si>
  <si>
    <t>J29R1270SD480</t>
  </si>
  <si>
    <t>J29R1352SD480</t>
  </si>
  <si>
    <t>J29R1356SM480</t>
  </si>
  <si>
    <t>J29R1368SD420</t>
  </si>
  <si>
    <t>J29R1388SD420</t>
  </si>
  <si>
    <t>J29R1389SD420</t>
  </si>
  <si>
    <t>J29R1397SD420</t>
  </si>
  <si>
    <t>J29R1398SD420</t>
  </si>
  <si>
    <t>J29R1401SD420</t>
  </si>
  <si>
    <t>J29R1403SD4201</t>
  </si>
  <si>
    <t>J29R1414SD420</t>
  </si>
  <si>
    <t>J29R1428SD480</t>
  </si>
  <si>
    <t>J29R1440SD480</t>
  </si>
  <si>
    <t>J37R0869SD380</t>
  </si>
  <si>
    <t>J37R0890SD400</t>
  </si>
  <si>
    <t>J37R0891SD400</t>
  </si>
  <si>
    <t>J37R0892SD400</t>
  </si>
  <si>
    <t>J37R0893SD400</t>
  </si>
  <si>
    <t>J37R0894SD400</t>
  </si>
  <si>
    <t>J37R0979SD480</t>
  </si>
  <si>
    <t>J37R1073SD480</t>
  </si>
  <si>
    <t>J37R1089SD300</t>
  </si>
  <si>
    <t>J37R1094SD480</t>
  </si>
  <si>
    <t>J37R1095SD480</t>
  </si>
  <si>
    <t>J37R1181SD480</t>
  </si>
  <si>
    <t>J37R1240SD480</t>
  </si>
  <si>
    <t>J37R1243SD300</t>
  </si>
  <si>
    <t>J37R1245SD480</t>
  </si>
  <si>
    <t>J37R1265SD480</t>
  </si>
  <si>
    <t>J37R1268SD4801</t>
  </si>
  <si>
    <t>J37R1357SD480</t>
  </si>
  <si>
    <t>J37R1358SD480</t>
  </si>
  <si>
    <t>J37R1359SD480</t>
  </si>
  <si>
    <t>J37R1360SD480</t>
  </si>
  <si>
    <t>J37R1400SD300</t>
  </si>
  <si>
    <t>J37R1400SD380</t>
  </si>
  <si>
    <t>J37R1402SD480</t>
  </si>
  <si>
    <t>J42RB602PB44</t>
  </si>
  <si>
    <t>J42RB602PB45</t>
  </si>
  <si>
    <t>J42RB603PB44</t>
  </si>
  <si>
    <t>J42RB719ASWG</t>
  </si>
  <si>
    <t>J42RB946AB58</t>
  </si>
  <si>
    <t>J42RB947PB59</t>
  </si>
  <si>
    <t>J42RB948PB60</t>
  </si>
  <si>
    <t>J42RB949AB61</t>
  </si>
  <si>
    <t>J42RB990AB62</t>
  </si>
  <si>
    <t>J42RB991AB63</t>
  </si>
  <si>
    <t>J42RB994AB66</t>
  </si>
  <si>
    <t>J44B0006ASWG</t>
  </si>
  <si>
    <t>J44B0170ASWG</t>
  </si>
  <si>
    <t>J44B0180ASWG</t>
  </si>
  <si>
    <t>J44RB746ASWG</t>
  </si>
  <si>
    <t>J44RB760ASWG</t>
  </si>
  <si>
    <t>J44RB764ASWG</t>
  </si>
  <si>
    <t>J44RB770ASWG</t>
  </si>
  <si>
    <t>J44RB796ASWG</t>
  </si>
  <si>
    <t>J44RB810AB22</t>
  </si>
  <si>
    <t>J44RB816ASWG</t>
  </si>
  <si>
    <t>J44RB867ASWG</t>
  </si>
  <si>
    <t>J44RB875ASWG</t>
  </si>
  <si>
    <t>J44RB945ASWG</t>
  </si>
  <si>
    <t>J48R0260N300</t>
  </si>
  <si>
    <t>J48R0260N320</t>
  </si>
  <si>
    <t>J48R0260N380</t>
  </si>
  <si>
    <t>J48R0260N400</t>
  </si>
  <si>
    <t>J48R0260N420</t>
  </si>
  <si>
    <t>J48R0260N480</t>
  </si>
  <si>
    <t>J48R0260SD300</t>
  </si>
  <si>
    <t>J48R0260SD320</t>
  </si>
  <si>
    <t>J48R0260SD380</t>
  </si>
  <si>
    <t>J48R0260SD400</t>
  </si>
  <si>
    <t>J48R0260SD420</t>
  </si>
  <si>
    <t>J48R0260SD480</t>
  </si>
  <si>
    <t>J48R0868AB400</t>
  </si>
  <si>
    <t>J48R0874AB400</t>
  </si>
  <si>
    <t>J48R0880SD380</t>
  </si>
  <si>
    <t>J48R0881SD480</t>
  </si>
  <si>
    <t>J48R0883SD480</t>
  </si>
  <si>
    <t>J48R0904SD480</t>
  </si>
  <si>
    <t>J48R0980GLCDA1</t>
  </si>
  <si>
    <t>J48R1217SDDCC</t>
  </si>
  <si>
    <t>J48R1221SD400</t>
  </si>
  <si>
    <t>J48R1222SD400</t>
  </si>
  <si>
    <t>J48R1223SD400</t>
  </si>
  <si>
    <t>J48R1224SD400</t>
  </si>
  <si>
    <t>J48R1298SD300</t>
  </si>
  <si>
    <t>J48R1298SD380</t>
  </si>
  <si>
    <t>J48R1298SD480</t>
  </si>
  <si>
    <t>J48R1361SD400</t>
  </si>
  <si>
    <t>J48R1362SD420</t>
  </si>
  <si>
    <t>J48R1364SD480</t>
  </si>
  <si>
    <t>J48R1369SD320</t>
  </si>
  <si>
    <t>J48R1370SD300</t>
  </si>
  <si>
    <t>J48R1372SD400</t>
  </si>
  <si>
    <t>J48R1387SD420</t>
  </si>
  <si>
    <t>J48R1390SD480</t>
  </si>
  <si>
    <t>J48R1395SD480</t>
  </si>
  <si>
    <t>J48R1405SD420</t>
  </si>
  <si>
    <t>J56RB725ASWG</t>
  </si>
  <si>
    <t>J56RB776ASWG</t>
  </si>
  <si>
    <t>J56RB931ASWG</t>
  </si>
  <si>
    <t>J64R0884GL4801</t>
  </si>
  <si>
    <t>J64R0905GL4801</t>
  </si>
  <si>
    <t>J64R1139GLCDA1</t>
  </si>
  <si>
    <t>J64R1159GL4801</t>
  </si>
  <si>
    <t>J64R1206GL4801</t>
  </si>
  <si>
    <t>J64R1211GL4801</t>
  </si>
  <si>
    <t>J64R1216GLCDA1</t>
  </si>
  <si>
    <t>J64R1255GLCDA1</t>
  </si>
  <si>
    <t>J64R1391GL4801</t>
  </si>
  <si>
    <t>J64R1404GL4801</t>
  </si>
  <si>
    <t>J64R1427GL4801</t>
  </si>
  <si>
    <t>J75RB664PB54</t>
  </si>
  <si>
    <t>J75RB665PB55</t>
  </si>
  <si>
    <t>J75RB906PB44</t>
  </si>
  <si>
    <t>J75RB907PB44</t>
  </si>
  <si>
    <t>J75RB908PB44</t>
  </si>
  <si>
    <t>J75RB909PB44</t>
  </si>
  <si>
    <t>J75RB910PB44</t>
  </si>
  <si>
    <t>J75RB911PB44</t>
  </si>
  <si>
    <t>J75RB926PB44</t>
  </si>
  <si>
    <t>J75RB927PB44</t>
  </si>
  <si>
    <t>JDOR0940MG480</t>
  </si>
  <si>
    <t>JDOR0941MG480</t>
  </si>
  <si>
    <t>JI4R0355N480</t>
  </si>
  <si>
    <t>JI4R0964WE400</t>
  </si>
  <si>
    <t>JI4R0964WE480</t>
  </si>
  <si>
    <t>JI4R1282SD480</t>
  </si>
  <si>
    <t>JIER1208SD480</t>
  </si>
  <si>
    <t>JIER1210SD480</t>
  </si>
  <si>
    <t>JM5R1005CR480</t>
  </si>
  <si>
    <t>KZ4R0944SD480</t>
  </si>
  <si>
    <t>KZ4R0945SD480</t>
  </si>
  <si>
    <t>KZ4R0946SD480</t>
  </si>
  <si>
    <t>MGBR1237GLYJC1</t>
  </si>
  <si>
    <t>MGBR1238GLYJC1</t>
  </si>
  <si>
    <t>MJ1R0878GL4801</t>
  </si>
  <si>
    <t>MJ1R0916GL4801</t>
  </si>
  <si>
    <t>MJ1R0917GL4801</t>
  </si>
  <si>
    <t>MJ1R1250GL4801</t>
  </si>
  <si>
    <t>MJ1R1325GL4801</t>
  </si>
  <si>
    <t>MJ4GEMBAGL480</t>
  </si>
  <si>
    <t>MURSB316PPK1</t>
  </si>
  <si>
    <t>NJ29ND0113GL4001</t>
  </si>
  <si>
    <t>NJ29ND0114GL3801</t>
  </si>
  <si>
    <t>NKZ4ND0102SD4800</t>
  </si>
  <si>
    <t>NKZ4ND0103SD4800</t>
  </si>
  <si>
    <t>NKZ4ND0104SD4800</t>
  </si>
  <si>
    <t>NKZ4ND0109SD4800</t>
  </si>
  <si>
    <t>NMJ1ND0117GL4001</t>
  </si>
  <si>
    <t>NMJ1ND0118GL4001</t>
  </si>
  <si>
    <t>NMJ1ND0119GL3001</t>
  </si>
  <si>
    <t>NMJ2ND0101GL4801</t>
  </si>
  <si>
    <t>NMJ2ND0120GL3001</t>
  </si>
  <si>
    <t>PJ28DG0006SD4800</t>
  </si>
  <si>
    <t>PJ28DG0019SD4800</t>
  </si>
  <si>
    <t>PJ28DG0031SD4000</t>
  </si>
  <si>
    <t>PJ28DG0031SD4800</t>
  </si>
  <si>
    <t>PJ28DG0034SD4800</t>
  </si>
  <si>
    <t>PJ28DG0041SD4800</t>
  </si>
  <si>
    <t>PJ28DG0061SD3200</t>
  </si>
  <si>
    <t>PJ28DG0064SD4800</t>
  </si>
  <si>
    <t>PJ28DG0064SD4803</t>
  </si>
  <si>
    <t>PJ28DG0071SD4800</t>
  </si>
  <si>
    <t>PJ28DG0075SD4800</t>
  </si>
  <si>
    <t>PJ28DG0084SD4800</t>
  </si>
  <si>
    <t>PJ29DG0003SD480</t>
  </si>
  <si>
    <t>PJ29DG0006SD4800</t>
  </si>
  <si>
    <t>PJ29DG0014SD4800</t>
  </si>
  <si>
    <t>PJ29DG0031SD4000</t>
  </si>
  <si>
    <t>PJ29DG0031SD4800</t>
  </si>
  <si>
    <t>PJ29DG0033T-4800</t>
  </si>
  <si>
    <t>PJ29DG0038SD4800</t>
  </si>
  <si>
    <t>PJ29DG0040EV4800</t>
  </si>
  <si>
    <t>PJ29DG0040SD4000</t>
  </si>
  <si>
    <t>PJ29DG0040SD4800</t>
  </si>
  <si>
    <t>PJ29DG0041SD4800</t>
  </si>
  <si>
    <t>PJ29DG0043SD4800</t>
  </si>
  <si>
    <t>PJ29DG0044T-4800</t>
  </si>
  <si>
    <t>PJ29DG0045SD4800</t>
  </si>
  <si>
    <t>PJ29DG0046SD4800</t>
  </si>
  <si>
    <t>PJ29DG0057SDFDT0</t>
  </si>
  <si>
    <t>PJ29DG0059SD4800</t>
  </si>
  <si>
    <t>PJ29DG0060SD4800</t>
  </si>
  <si>
    <t>PJ29DG0065SD4800</t>
  </si>
  <si>
    <t>PJ29DG0071SD3000</t>
  </si>
  <si>
    <t>PJ29DG0071SD4000</t>
  </si>
  <si>
    <t>PJ29DG0071SD4800</t>
  </si>
  <si>
    <t>PJ29DG0071T-4800</t>
  </si>
  <si>
    <t>PJ29DG0072SD4200</t>
  </si>
  <si>
    <t>PJ29DG0072SD4800</t>
  </si>
  <si>
    <t>PJ29DG0076SD3800</t>
  </si>
  <si>
    <t>PJ29DG0076SD4800</t>
  </si>
  <si>
    <t>PJ29DG0076T-4800</t>
  </si>
  <si>
    <t>PJ29DG0077SD4800</t>
  </si>
  <si>
    <t>PJ29DG0078SD3000</t>
  </si>
  <si>
    <t>PJ29DG0078SD4000</t>
  </si>
  <si>
    <t>PJ29DG0078SD4800</t>
  </si>
  <si>
    <t>PJ29DG0078T-4800</t>
  </si>
  <si>
    <t>PJ29DG0080SD4800</t>
  </si>
  <si>
    <t>PJ29DG0083SD4800</t>
  </si>
  <si>
    <t>PJ29DG0084SD4800</t>
  </si>
  <si>
    <t>PJ29DG0085SD4800</t>
  </si>
  <si>
    <t>PJ29ND0110GL4001</t>
  </si>
  <si>
    <t>PJ37DG0001SD4800</t>
  </si>
  <si>
    <t>PJ37DG0012SD4800</t>
  </si>
  <si>
    <t>PJ37DG0013SD4800</t>
  </si>
  <si>
    <t>PJ37DG0014SD4800</t>
  </si>
  <si>
    <t>PJ37DG0020SD4800</t>
  </si>
  <si>
    <t>PJ37DG0023SD4800</t>
  </si>
  <si>
    <t>PJ37DG0026SD4800</t>
  </si>
  <si>
    <t>PJ37DG0035SD4800</t>
  </si>
  <si>
    <t>PJ37DG0038SD4800</t>
  </si>
  <si>
    <t>PJ37DG0039SD4800</t>
  </si>
  <si>
    <t>PJ37DG0040SD4800</t>
  </si>
  <si>
    <t>PJ37DG0043SD4800</t>
  </si>
  <si>
    <t>PJ37DG0048SD4800</t>
  </si>
  <si>
    <t>PJ37DG0049SD4800</t>
  </si>
  <si>
    <t>PJ37DG0051SD4800</t>
  </si>
  <si>
    <t>PJ37DG0053SD4800</t>
  </si>
  <si>
    <t>PJ37DG0055SD4800</t>
  </si>
  <si>
    <t>PJ37DG0057SD3200</t>
  </si>
  <si>
    <t>PJ37DG0060SD4800</t>
  </si>
  <si>
    <t>PJ37DG0061SD3200</t>
  </si>
  <si>
    <t>PJ37DG0064SD4200</t>
  </si>
  <si>
    <t>PJ37DG0071MG4800</t>
  </si>
  <si>
    <t>PJ37DG0071SD3200</t>
  </si>
  <si>
    <t>PJ37DG0071SD3800</t>
  </si>
  <si>
    <t>PJ37DG0071SD4000</t>
  </si>
  <si>
    <t>PJ37DG0071SD4200</t>
  </si>
  <si>
    <t>PJ37DG0071SD4800</t>
  </si>
  <si>
    <t>PJ37DG0071T-4800</t>
  </si>
  <si>
    <t>PJ37DG0072SD3800</t>
  </si>
  <si>
    <t>PJ37DG0072SD4000</t>
  </si>
  <si>
    <t>PJ37DG0072SD4800</t>
  </si>
  <si>
    <t>PJ37DG0072SD4803</t>
  </si>
  <si>
    <t>PJ37DG0072T-4800</t>
  </si>
  <si>
    <t>PJ37DG0073SD4800</t>
  </si>
  <si>
    <t>PJ37DG0074SD4800</t>
  </si>
  <si>
    <t>PJ37DG0075SD4800</t>
  </si>
  <si>
    <t>PJ37DG0076SD3000</t>
  </si>
  <si>
    <t>PJ37DG0076SD3200</t>
  </si>
  <si>
    <t>PJ37DG0076SD3800</t>
  </si>
  <si>
    <t>PJ37DG0076SD4200</t>
  </si>
  <si>
    <t>PJ37DG0076SD4800</t>
  </si>
  <si>
    <t>PJ37DG0077SD4800</t>
  </si>
  <si>
    <t>PJ37DG0078SD3000</t>
  </si>
  <si>
    <t>PJ37DG0078SD3200</t>
  </si>
  <si>
    <t>PJ37DG0078SD3800</t>
  </si>
  <si>
    <t>PJ37DG0078SD4000</t>
  </si>
  <si>
    <t>PJ37DG0078SD4800</t>
  </si>
  <si>
    <t>PJ37DG0079SD4800</t>
  </si>
  <si>
    <t>PJ37DG0081SD4800</t>
  </si>
  <si>
    <t>PJ37DG0082SD4800</t>
  </si>
  <si>
    <t>PJ37DG0083SD4800</t>
  </si>
  <si>
    <t>PJ37DG0084SD4800</t>
  </si>
  <si>
    <t>PJ37DG0085SD4800</t>
  </si>
  <si>
    <t>PJ37DG0088SD4800</t>
  </si>
  <si>
    <t>PJ37DG0089SD4800</t>
  </si>
  <si>
    <t>PJ48DG0038SD4800</t>
  </si>
  <si>
    <t>PJ48DG0040SD4800</t>
  </si>
  <si>
    <t>PJ48DG0040T-4800</t>
  </si>
  <si>
    <t>PJ48DG0044T-4800</t>
  </si>
  <si>
    <t>PJ48DG0052SD4800</t>
  </si>
  <si>
    <t>PJ48DG0056T-4800</t>
  </si>
  <si>
    <t>PJ48DG0058SD4000</t>
  </si>
  <si>
    <t>PJ48DG0071SD3200</t>
  </si>
  <si>
    <t>PJ48DG0071SD3800</t>
  </si>
  <si>
    <t>PJ48DG0071SD4200</t>
  </si>
  <si>
    <t>PJ48DG0071SD4800</t>
  </si>
  <si>
    <t>PJ48DG0071T-4200</t>
  </si>
  <si>
    <t>PJ48DG0072SD4800</t>
  </si>
  <si>
    <t>PJ48DG0072T-4200</t>
  </si>
  <si>
    <t>PJ48DG0072T-4800</t>
  </si>
  <si>
    <t>PJ48DG0076SD4200</t>
  </si>
  <si>
    <t>PJ48DG0076SD4800</t>
  </si>
  <si>
    <t>PJ48DG0077T-4800</t>
  </si>
  <si>
    <t>PJ48DG0078GL4801</t>
  </si>
  <si>
    <t>PJ48DG0078SD3000</t>
  </si>
  <si>
    <t>PJ48DG0078SD3200</t>
  </si>
  <si>
    <t>PJ48DG0078SD3800</t>
  </si>
  <si>
    <t>PJ48DG0078SD4800</t>
  </si>
  <si>
    <t>PJ48DG0082SM4800</t>
  </si>
  <si>
    <t>PJ48DG0083T-3200</t>
  </si>
  <si>
    <t>UJ6R1392GL4801</t>
  </si>
  <si>
    <t>UJ6R1393GL4801</t>
  </si>
  <si>
    <t>UJ6R1394GL4801</t>
  </si>
  <si>
    <t>USBBLACKPK01</t>
  </si>
  <si>
    <t>USBGRAY2PK01</t>
  </si>
  <si>
    <t>USBGRAY2PK02</t>
  </si>
  <si>
    <t>USBJONESPK01</t>
  </si>
  <si>
    <t>USBWX231PK01</t>
  </si>
  <si>
    <t>XJ6R0960SD480</t>
  </si>
  <si>
    <t>XJ8DX0045LR4000</t>
  </si>
  <si>
    <t>XJ8DX0045SD4000</t>
  </si>
  <si>
    <t>XJ8DX0076SD4800</t>
  </si>
  <si>
    <t>XJ8R0863SD480</t>
  </si>
  <si>
    <t>XJ8R0877SD400</t>
  </si>
  <si>
    <t>XJ8R0895SD480</t>
  </si>
  <si>
    <t>XJ8R0897SD400</t>
  </si>
  <si>
    <t>XJ8R0898SD400</t>
  </si>
  <si>
    <t>XJ8R0900SD480</t>
  </si>
  <si>
    <t>XJ8R0907SD480</t>
  </si>
  <si>
    <t>XJ8R0918SD400</t>
  </si>
  <si>
    <t>XJ8R0919SD400</t>
  </si>
  <si>
    <t>XJ8R0920SD400</t>
  </si>
  <si>
    <t>XJ8R0922SD480</t>
  </si>
  <si>
    <t>XJ8R0923SD480</t>
  </si>
  <si>
    <t>XJ8R0926SD480</t>
  </si>
  <si>
    <t>XJ8R0929SD400</t>
  </si>
  <si>
    <t>XJ8R0931SD300</t>
  </si>
  <si>
    <t>XJ8R0933SD480</t>
  </si>
  <si>
    <t>XJ8R0934SD380</t>
  </si>
  <si>
    <t>XJ8R0935SD380</t>
  </si>
  <si>
    <t>XJ8R0936SD480</t>
  </si>
  <si>
    <t>XJ8R0937SD480</t>
  </si>
  <si>
    <t>XJ8R0943SD480</t>
  </si>
  <si>
    <t>XJ8R0949SD400</t>
  </si>
  <si>
    <t>XJ8R0965SD480</t>
  </si>
  <si>
    <t>XJ8R0972SD480</t>
  </si>
  <si>
    <t>XJ8R0973SD480</t>
  </si>
  <si>
    <t>XJ8R0974SD480</t>
  </si>
  <si>
    <t>XJ8R0975SD480</t>
  </si>
  <si>
    <t>XJ8R0976SD480</t>
  </si>
  <si>
    <t>XJ8R0977SD400</t>
  </si>
  <si>
    <t>XJ8R0978SD400</t>
  </si>
  <si>
    <t>XJ8R0990SD400</t>
  </si>
  <si>
    <t>XJ8R1030SD480</t>
  </si>
  <si>
    <t>XJ8R1045SD480</t>
  </si>
  <si>
    <t>XJ8R1052SD400</t>
  </si>
  <si>
    <t>XJ8R1055SD480</t>
  </si>
  <si>
    <t>XJ8R1056SD480</t>
  </si>
  <si>
    <t>XJ8R1057SD480</t>
  </si>
  <si>
    <t>XJ8R1090SD480</t>
  </si>
  <si>
    <t>XJ8R1092SD400</t>
  </si>
  <si>
    <t>XJ8R1093SD480</t>
  </si>
  <si>
    <t>XJ8R1096SD480</t>
  </si>
  <si>
    <t>XJ8R1097SD480</t>
  </si>
  <si>
    <t>XJ8R1098SD480</t>
  </si>
  <si>
    <t>XJ8R1100SD300</t>
  </si>
  <si>
    <t>XJ8R1101SD300</t>
  </si>
  <si>
    <t>XJ8R1102SD300</t>
  </si>
  <si>
    <t>XJ8R1103SD300</t>
  </si>
  <si>
    <t>XJ8R1104SD300</t>
  </si>
  <si>
    <t>XJ8R1112SD480</t>
  </si>
  <si>
    <t>XJ8R1122SD400</t>
  </si>
  <si>
    <t>XJ8R1134SD480</t>
  </si>
  <si>
    <t>XJ8R1141SD400</t>
  </si>
  <si>
    <t>XJ8R1142SD480</t>
  </si>
  <si>
    <t>XJ8R1143SD400</t>
  </si>
  <si>
    <t>XJ8R1144SD480</t>
  </si>
  <si>
    <t>XJ8R1146SD400</t>
  </si>
  <si>
    <t>XJ8R1227SD400</t>
  </si>
  <si>
    <t>XJ8R1227SD480</t>
  </si>
  <si>
    <t>XJ8R1235SD480</t>
  </si>
  <si>
    <t>XJ8R1236SD480</t>
  </si>
  <si>
    <t>XJ8R1242SD480</t>
  </si>
  <si>
    <t>XJ8R1246SD480</t>
  </si>
  <si>
    <t>XJ8R1249SD400</t>
  </si>
  <si>
    <t>XJ8R1258SD300</t>
  </si>
  <si>
    <t>XJ8R1259SD480</t>
  </si>
  <si>
    <t>XJ8R1260SD400</t>
  </si>
  <si>
    <t>XJ8R1261SD400</t>
  </si>
  <si>
    <t>XJ8R1262SD480</t>
  </si>
  <si>
    <t>XJ8R1271SD480</t>
  </si>
  <si>
    <t>XJ8R1272SD480</t>
  </si>
  <si>
    <t>XJ8R1274SD400</t>
  </si>
  <si>
    <t>XJ8R1275SD400</t>
  </si>
  <si>
    <t>XJ8R1276SD400</t>
  </si>
  <si>
    <t>XJ8R1277SD400</t>
  </si>
  <si>
    <t>XJ8R1278SD400</t>
  </si>
  <si>
    <t>XJ8R1279SD400</t>
  </si>
  <si>
    <t>XJ8R1280SD400</t>
  </si>
  <si>
    <t>XJ8R1281SD400</t>
  </si>
  <si>
    <t>XJ8R1285SD400</t>
  </si>
  <si>
    <t>XJ8R1299SD480</t>
  </si>
  <si>
    <t>XJ8R1307SD480</t>
  </si>
  <si>
    <t>XJ8R1311SD480</t>
  </si>
  <si>
    <t>XJ8R1312SD480</t>
  </si>
  <si>
    <t>XJ8R1329SD480</t>
  </si>
  <si>
    <t>XJ8R1334SD400</t>
  </si>
  <si>
    <t>XJ8R1336SD480</t>
  </si>
  <si>
    <t>XJ8R1341SD480</t>
  </si>
  <si>
    <t>XJ8R1342SD400</t>
  </si>
  <si>
    <t>XJ8R1366SD480</t>
  </si>
  <si>
    <t>XJ8R1367SD400</t>
  </si>
  <si>
    <t>XJ8R1376SD480</t>
  </si>
  <si>
    <t>XJ8R1409SD480</t>
  </si>
  <si>
    <t>XJ8R1411SD480</t>
  </si>
  <si>
    <t>XJ8R1412SD480</t>
  </si>
  <si>
    <t>XJ8R1413SD480</t>
  </si>
  <si>
    <t>XJ8R1426SD480</t>
  </si>
  <si>
    <t>XJ8R1429SD400</t>
  </si>
  <si>
    <t>10000020-6200</t>
  </si>
  <si>
    <t>CCHMC WP4-36A 60 X 96</t>
  </si>
  <si>
    <t>DIG WM577 LEFT LP</t>
  </si>
  <si>
    <t>DIG WM577 RIGHT LP</t>
  </si>
  <si>
    <t>HWY66 FWEST PLUG 60 X 72</t>
  </si>
  <si>
    <t>HWY66 C BURST PLUG 60 X 72</t>
  </si>
  <si>
    <t>HWY66 COMP PLUG 60 X 72</t>
  </si>
  <si>
    <t>DIG WC200 UV N/B RET 14.15X144</t>
  </si>
  <si>
    <t>DIG UV WW971 LF W/A 59.5X142.5</t>
  </si>
  <si>
    <t>DIG UV WW971 RF W/A 59.5X142.5</t>
  </si>
  <si>
    <t>DIG UV WW971 BALL RET 14.15X14</t>
  </si>
  <si>
    <t>DIG UV HP272 LF W/A 59.5X142.5</t>
  </si>
  <si>
    <t>DIG UV HP272 RF W/A 59.5X142.5</t>
  </si>
  <si>
    <t>DIG UV HP272 BALL RET 14.15X14</t>
  </si>
  <si>
    <t>DIG STIX WCAKE UV WBR 15.25X14</t>
  </si>
  <si>
    <t>MC CAFE BURLAP 60 X 120</t>
  </si>
  <si>
    <t>INOVABED SS-213 60 X 96</t>
  </si>
  <si>
    <t>GREENVILLE EAGLE HEAD 60 X 120</t>
  </si>
  <si>
    <t>MUST MIN MENS WING 60 X 96</t>
  </si>
  <si>
    <t>MUST MIN WAIT WALL 60 X 120</t>
  </si>
  <si>
    <t>OH PEDS ED BAY 60 X 144</t>
  </si>
  <si>
    <t>INTERIOR CONCEPTS TT 60 X 144</t>
  </si>
  <si>
    <t>SO COTTAGE GROVE ELEV 60 X 120</t>
  </si>
  <si>
    <t>US BOWL WX231 RET 15.25X144</t>
  </si>
  <si>
    <t>US BOWL WX231 W/W 59.5X144</t>
  </si>
  <si>
    <t>MUR REG BLUE RET 15.25X144.00</t>
  </si>
  <si>
    <t>MUR REG BLUE FILL 59.5 X 144.2</t>
  </si>
  <si>
    <t>US BOWLING BLACK RET 15.25X144</t>
  </si>
  <si>
    <t>MUS BOWLING BLACK RET 59.5 X 1</t>
  </si>
  <si>
    <t>US BOWL GRAY 202 RET 15.25X144</t>
  </si>
  <si>
    <t>US BOWL GRAY 202 W/W 59.5X144</t>
  </si>
  <si>
    <t>INFINITY UV BDW APP 60 1/2 X 7</t>
  </si>
  <si>
    <t>INFINITY UV BDW APP 60 1/2 X 1</t>
  </si>
  <si>
    <t>DIG C/BLUES UV NBR 13.87 X 144</t>
  </si>
  <si>
    <t>PINWORX WT W/ BLK FOUL 30X144</t>
  </si>
  <si>
    <t>PINWORX WT W/ BLK COM 30X144</t>
  </si>
  <si>
    <t>PINWORX WT W/ BLK PD 29X47.5</t>
  </si>
  <si>
    <t>DIG UV SYN NBR 13.87 X 144</t>
  </si>
  <si>
    <t>DIG UV WA120 AN NBR 13.87X144</t>
  </si>
  <si>
    <t>DIG UV WM858 BR NBR 13.87X144</t>
  </si>
  <si>
    <t>DIG UV SPARK FM L/F 59.641X144</t>
  </si>
  <si>
    <t>DIG UV SPARK FM R/F 59.641 X 1</t>
  </si>
  <si>
    <t>DIG UV SPARK OC L/F 59.641X144</t>
  </si>
  <si>
    <t>DIG UV SPARK OC R/F 59.641 X 1</t>
  </si>
  <si>
    <t>DDIG UV SB027 NBR 13.87 X 144</t>
  </si>
  <si>
    <t>DIG UV WM046 NBR 13.87 X 144</t>
  </si>
  <si>
    <t>DIG UV HP689 NBR 13.87 X 144</t>
  </si>
  <si>
    <t>DIG UV AFT SHOW NBR 13.87X144</t>
  </si>
  <si>
    <t>DIG UV MT340 NBR 13.87 X 144</t>
  </si>
  <si>
    <t>DIG UV S3023 NBR 13.87 X 144</t>
  </si>
  <si>
    <t>DIG UV WC200 NBR 13.87 X 144</t>
  </si>
  <si>
    <t>DIG UV MW580 NBR 13.87 X 144</t>
  </si>
  <si>
    <t>DIG UV WF013 NBR 13.87 X 144</t>
  </si>
  <si>
    <t>DIG UV WY160 AC NBR 13.87 X 14</t>
  </si>
  <si>
    <t>DIG UV WA090 NBR 13.87 X 144</t>
  </si>
  <si>
    <t>DIG UV FREGAT NBR 13.87 X 144</t>
  </si>
  <si>
    <t>DIG UV WF131 NBR 13.87 X 144</t>
  </si>
  <si>
    <t>DIG UV WF131 GRAY NBR 13.87X14</t>
  </si>
  <si>
    <t>DIG UV WM221 NBR 13.87X144</t>
  </si>
  <si>
    <t>DIG UV WO710 NBR 13.87 X 144</t>
  </si>
  <si>
    <t>DIG UV WO004 NBR 13.87 X 144</t>
  </si>
  <si>
    <t>DIG UV WZ053 ZULU NBR 13.87X14</t>
  </si>
  <si>
    <t>DIG UV WF011 NBR 13.87 X 144</t>
  </si>
  <si>
    <t>DIG UV WE360 AP NBR 13.87X144</t>
  </si>
  <si>
    <t>DIG UV HORIZON NBR 13.87X144</t>
  </si>
  <si>
    <t>DIG UV WT790 WC NBR 13.87X144</t>
  </si>
  <si>
    <t>LIGHTHOUSE INC D/G 60 X 120</t>
  </si>
  <si>
    <t>LIGHTHOUSE INC D/G 60 X 144</t>
  </si>
  <si>
    <t>LIGHTHOUSE INC D/G 60 X 96</t>
  </si>
  <si>
    <t>BEAL MAKE YOUR MARK 60 X 144</t>
  </si>
  <si>
    <t>SATORY DESIGN SILLY STRING 60X</t>
  </si>
  <si>
    <t>PANCAKE HOUSE TT C-G 60 X 144</t>
  </si>
  <si>
    <t>EL MAGUEY TABLETOPS 60 X 96</t>
  </si>
  <si>
    <t>LOWESVILLE TABLETOPS 60 X 96</t>
  </si>
  <si>
    <t>DIG BRACKETTS WAL NBR 13.87X14</t>
  </si>
  <si>
    <t>DIG BLK FOREST NBR 13.87X144</t>
  </si>
  <si>
    <t>DIG SCANDIA MAP NBR 13.87X144</t>
  </si>
  <si>
    <t>USB G WOLF APP A 31.5 X 54.09</t>
  </si>
  <si>
    <t>BAD PART use RB675</t>
  </si>
  <si>
    <t>USB G WOLF COM C 31.5 X 54.09</t>
  </si>
  <si>
    <t>USB G WOLF FILL D 23.61 X 54.0</t>
  </si>
  <si>
    <t>USB G WOLF FILL E 23.61 X 41.9</t>
  </si>
  <si>
    <t>USB G WOLF FILL F 17.5 X 54.09</t>
  </si>
  <si>
    <t>USB G WOLF FILL G 17.5 X 41.92</t>
  </si>
  <si>
    <t>USB G WOLF FOUL B 31.5 X 54.09</t>
  </si>
  <si>
    <t>DIG BLK W/GOLD W/BR 14.7 X 144</t>
  </si>
  <si>
    <t>DIG WM046 NBR 13.87 X 144</t>
  </si>
  <si>
    <t>DIG WM046 W BALL RET 14.7 X 14</t>
  </si>
  <si>
    <t>DIG RINEY NBR 13.87 X 144</t>
  </si>
  <si>
    <t>DIG WF011 NBR 13.87 X 144</t>
  </si>
  <si>
    <t>DIG DUCK 29 BLK APPR 28.875X69</t>
  </si>
  <si>
    <t>DIG DUCK 21 BLK APPR 21.25X69.</t>
  </si>
  <si>
    <t>DIG DUCK 18 BLK APPR 18.375X69</t>
  </si>
  <si>
    <t>DIG DUCK 10 BLK APPR 10.75X69.</t>
  </si>
  <si>
    <t>HWY66 COMP L APPR 51.19 X 96</t>
  </si>
  <si>
    <t>HWY66 COMP R APPR 51.19 X 96</t>
  </si>
  <si>
    <t>HWY66 FWEST L APPR 51.19 X 96</t>
  </si>
  <si>
    <t>HWY66 FWEST R APPR 51.19 X 96</t>
  </si>
  <si>
    <t>HWY66 C BURST UNION 4.75 X 48</t>
  </si>
  <si>
    <t>HWY66 COMP UNION 4.75 X 48</t>
  </si>
  <si>
    <t>HWY66 COMP APPR SIN 51.19X96</t>
  </si>
  <si>
    <t>HWY66 COMP APPR FILL 9.19 X 96</t>
  </si>
  <si>
    <t>HWY66 C BURST EXT 29.88X16.8</t>
  </si>
  <si>
    <t>BREW HOUSE APPR 59.563 X 98</t>
  </si>
  <si>
    <t>HWY66 COMP EXT 29.88 X 16.8</t>
  </si>
  <si>
    <t>BRUNS RAKE STORM GRAY 60X144</t>
  </si>
  <si>
    <t>BRUNS RAKE S/GRAY 58.375 72.25</t>
  </si>
  <si>
    <t>BRUNS RAKE N/BRN 60 X 144</t>
  </si>
  <si>
    <t>BRUNS NUBIAN BROWN 7.131X57.36</t>
  </si>
  <si>
    <t>BRUNS RAKE N/BRN 58.375X72.25</t>
  </si>
  <si>
    <t>CHICKEN OR THE EGG H/W 60 X 96</t>
  </si>
  <si>
    <t>CHICKEN OR THE EGG 60 X 120</t>
  </si>
  <si>
    <t>MARTIN WOODSTOCK D/G 60 X 96</t>
  </si>
  <si>
    <t>MARTIN LIFE IS GOOD UKE 60X96</t>
  </si>
  <si>
    <t>LF MSHS CORR 107-115 60 X 120</t>
  </si>
  <si>
    <t>LF MSHS MULTI RM110 &amp; HS 60X12</t>
  </si>
  <si>
    <t>WORKRITE STUDYVILLE 60 X 96</t>
  </si>
  <si>
    <t>BROWN HOCKEY M/B 60 X 144</t>
  </si>
  <si>
    <t>CROSSFIT 196  M/B 60 X 144</t>
  </si>
  <si>
    <t>GP RULE BOARD DIG M/B 60 X 144</t>
  </si>
  <si>
    <t>CEGEP VIEX-MON CAFÉ 60 X 120</t>
  </si>
  <si>
    <t>ABC TRAVELIN BBQ TAB-1 48X144</t>
  </si>
  <si>
    <t>WIND CREEK W/GRAIN D/G 60 X 96</t>
  </si>
  <si>
    <t>SCIENCE LAB C/BOARD 60 X 144</t>
  </si>
  <si>
    <t>WHITE VENUS II 60 X 144</t>
  </si>
  <si>
    <t>MARBLED CHEVRON 60 X 144</t>
  </si>
  <si>
    <t>FADED TRIANGLE D/G 60 X 96</t>
  </si>
  <si>
    <t>RIPPLE STRIPE 60 X 144</t>
  </si>
  <si>
    <t>TWISTED TWINE 60 X 144</t>
  </si>
  <si>
    <t>CUBED CROSSING 61 X 121</t>
  </si>
  <si>
    <t>STAMPED NUMBERS 60 X 144</t>
  </si>
  <si>
    <t>SCATTERED NUMBERS 60 X 144</t>
  </si>
  <si>
    <t>BALOON DOG BLACK  60 X 120</t>
  </si>
  <si>
    <t>BALOON DOG BLACK 60 X 144</t>
  </si>
  <si>
    <t>WHITE VENUS II 60 X 120</t>
  </si>
  <si>
    <t>CARBON BLACK BOOM D/G 60 X 96</t>
  </si>
  <si>
    <t>ODENTON NEON LIGHT  60 X 120</t>
  </si>
  <si>
    <t>ODENTON NEON LIGHT 60 X 144</t>
  </si>
  <si>
    <t>PLAID INTER ASH GRAY 60 X 144</t>
  </si>
  <si>
    <t>MIDAS TOUCH 60 X 144</t>
  </si>
  <si>
    <t>MARBLED CHEVRON 60 X 120</t>
  </si>
  <si>
    <t>NIMBUS CLOUD TILE 60 X 144</t>
  </si>
  <si>
    <t>CARNATION D/G 60 X 144</t>
  </si>
  <si>
    <t>BAD PART USE 5200</t>
  </si>
  <si>
    <t>GRILL HOUSE D/G 60 X 144</t>
  </si>
  <si>
    <t>RAIN DROPLET D/G 60 X 144</t>
  </si>
  <si>
    <t>BALLROOM BLITZ 60 X 120</t>
  </si>
  <si>
    <t>BALLROOM BLITZ 60 X 144</t>
  </si>
  <si>
    <t>CUBED CROSSING 60 X 144</t>
  </si>
  <si>
    <t>IT'S A ZOO 60 X 144</t>
  </si>
  <si>
    <t>STEPPING UP D/G 60 X 144</t>
  </si>
  <si>
    <t>WHITE VENUS II 60 X 96</t>
  </si>
  <si>
    <t>TURQUOISE VENUS II 60 X 144</t>
  </si>
  <si>
    <t>TURQUOISE VENUS II 60 X 96</t>
  </si>
  <si>
    <t>ODENTON PINK LADY XL 60 X 144</t>
  </si>
  <si>
    <t>ODENTON NEON LIGHT XL 60 X 144</t>
  </si>
  <si>
    <t>LILAC BOOMERANG 60 X 144</t>
  </si>
  <si>
    <t>CARBON BLACK BOOM 60 X 120</t>
  </si>
  <si>
    <t>CARBON BLACK BOOM 60 X 144</t>
  </si>
  <si>
    <t>CARBON BLACK BOOM 60 X 96</t>
  </si>
  <si>
    <t>ODENTON NEON LIGHT 60 X 120</t>
  </si>
  <si>
    <t>PLAID INTER PARCHMENT 60 X 120</t>
  </si>
  <si>
    <t>BLUE LUMINARY LEAF 60 X 144</t>
  </si>
  <si>
    <t>VINTAGE SQUARE WOOD 60 X 96</t>
  </si>
  <si>
    <t>MARBLED TRAPEZOID 60 X 144</t>
  </si>
  <si>
    <t>MANDELA 60 X 144</t>
  </si>
  <si>
    <t>RIPPLE STRIPE 60 X 96</t>
  </si>
  <si>
    <t>DOTTED DOTTIE 60 X 144</t>
  </si>
  <si>
    <t>ODENTON NEON LIGHT 60 X 96</t>
  </si>
  <si>
    <t>Q HWY66 C BURST L/P W/ FILL</t>
  </si>
  <si>
    <t>Q HWY66 C BURST LANE PK</t>
  </si>
  <si>
    <t>Q DIG DK/PIN MID BLK LP</t>
  </si>
  <si>
    <t>Q DIG DK/PIN 3QTR BLK LP</t>
  </si>
  <si>
    <t>Q DIG DK/PIN STD BLK LP</t>
  </si>
  <si>
    <t>USB PIRATE II MINI NG 2LP</t>
  </si>
  <si>
    <t>RB MINI DIG PIRATE 2 LP</t>
  </si>
  <si>
    <t>FRL #00020 BLANK DIG SH 60 X 1</t>
  </si>
  <si>
    <t>FRL PENN STATE ELEV 26 60 X 96</t>
  </si>
  <si>
    <t>DAY SHRINERS RM 2517 60 X 96</t>
  </si>
  <si>
    <t>DAY SHRINERS RM 2518-22-23 60X</t>
  </si>
  <si>
    <t>DAY SHRINERS RM 2519-20-24 60X</t>
  </si>
  <si>
    <t>DAY SHRINERS RM 2525 60 X 120</t>
  </si>
  <si>
    <t>CUBED CROSSING  60 X 120</t>
  </si>
  <si>
    <t>BAD PART S/B 5000</t>
  </si>
  <si>
    <t>CAL POLY POMONA B111  60 X 96</t>
  </si>
  <si>
    <t>CAL POLY POMONA B114  60 X 96</t>
  </si>
  <si>
    <t>CAL POLY POMONA A126C  60 X 96</t>
  </si>
  <si>
    <t>EAGLE RIDGE  60 X 120</t>
  </si>
  <si>
    <t>DIG FRL SAMPLE SHEET 60 X 96</t>
  </si>
  <si>
    <t>MT SAC HALLWAY 60 X 120</t>
  </si>
  <si>
    <t>MT SAC LOBBY 60 X 96</t>
  </si>
  <si>
    <t>SWED EDMUNDS BHU N1.3 60 X 96</t>
  </si>
  <si>
    <t>SWED EDMUNDS BHU N1.4 60 X 96</t>
  </si>
  <si>
    <t>SWED EDMUNDS BHU N1.2 60 X 96</t>
  </si>
  <si>
    <t>ECMC ER BLUE ZONE 60 X 96</t>
  </si>
  <si>
    <t>ECMC ER GREEN ZONE 60 X 96</t>
  </si>
  <si>
    <t>ECMC ER ORANGE ZONE 60 X 96</t>
  </si>
  <si>
    <t>ECMC ER IMAGING 60 X 120</t>
  </si>
  <si>
    <t>DIAGNOSTIC CARDIO 60 X 120</t>
  </si>
  <si>
    <t>CCHMC B4-MFM WP4 60 X 96</t>
  </si>
  <si>
    <t>NORTON CHIR B 60 X 120</t>
  </si>
  <si>
    <t>CARSON MIDDLE - ROVER 60 X 96</t>
  </si>
  <si>
    <t>FRL MLHS WAVELENGTH  60 X 120</t>
  </si>
  <si>
    <t>MMS B111 GRAY 60 X 120</t>
  </si>
  <si>
    <t>MMS C-133-N BLACK 60 X 120</t>
  </si>
  <si>
    <t>MMS C-133-N RED 60 X 120</t>
  </si>
  <si>
    <t>MMS C-208-N BLACK 60 X 120</t>
  </si>
  <si>
    <t>MMS C-208-N RED 60 X 120</t>
  </si>
  <si>
    <t>MMS B111 RED 60 X 120</t>
  </si>
  <si>
    <t>MMS B111 BLACK 60 X 120</t>
  </si>
  <si>
    <t>MMS CAFETERIA 60 X 120</t>
  </si>
  <si>
    <t>MMS TIMELINE 60 X 96</t>
  </si>
  <si>
    <t>ORANGE HS SECOND FLOOR 1 60 X</t>
  </si>
  <si>
    <t>ORANGE HS SECOND FLOOR 2 60 X</t>
  </si>
  <si>
    <t>FRL PENN STATE ELEV 48  60 X 1</t>
  </si>
  <si>
    <t>FRL PENN STATE ELEV 50  60 X 1</t>
  </si>
  <si>
    <t>KASIAN ERH CON ROOM  60 X 120</t>
  </si>
  <si>
    <t>PENN STATE ELEV 46 60 X 120</t>
  </si>
  <si>
    <t>SHERMAN WAY ELEVATOR 60 X 96</t>
  </si>
  <si>
    <t>CCHMC GL2-420 60 X 120</t>
  </si>
  <si>
    <t>CCHMC GL2-422 60 X 120</t>
  </si>
  <si>
    <t>CCHMC GL2-424 60 X 120</t>
  </si>
  <si>
    <t>CCHMC GL2-426 60 X 120</t>
  </si>
  <si>
    <t>CCHMC GL2-428 60 X 120</t>
  </si>
  <si>
    <t>CCHMC GL2-444 60 X 120</t>
  </si>
  <si>
    <t>CCHMC GL2-460 60 X 120</t>
  </si>
  <si>
    <t>CCHMC GL2-462 60 X 120</t>
  </si>
  <si>
    <t>CCHMC GL2-464 60 X 120</t>
  </si>
  <si>
    <t>CCHMC GL2-503 60 X 120</t>
  </si>
  <si>
    <t>CCHMC GL2-512 60 X 120</t>
  </si>
  <si>
    <t>CCHMC GL2-520 60 X 120</t>
  </si>
  <si>
    <t>CCHMC GL2-540 60 X 120</t>
  </si>
  <si>
    <t>CCHMC GL2-548 60 X 120</t>
  </si>
  <si>
    <t>CCHMC WP4-25B 60 X 120</t>
  </si>
  <si>
    <t>CCHMC WP4-37 60 X 96</t>
  </si>
  <si>
    <t>COOLIDGE FRUIT TREE 60 X 96</t>
  </si>
  <si>
    <t>DAYTON SHRINERS P 1-2-3 60 X 1</t>
  </si>
  <si>
    <t>DAYTON SHRINERS P 4-5-6 60 X 1</t>
  </si>
  <si>
    <t>DAYTON SHRINERS P 7-8 60 X 120</t>
  </si>
  <si>
    <t>DAYTON SHRINERS P 9-10 60 X 12</t>
  </si>
  <si>
    <t>DAYTON SHRINERS P 11-12 60 X 1</t>
  </si>
  <si>
    <t>DAYTON SHRINERS P 13-18 60 X 1</t>
  </si>
  <si>
    <t>CCHMC GL2-114 60 X 120</t>
  </si>
  <si>
    <t>CCHMC GL2-120 60 X 120</t>
  </si>
  <si>
    <t>CCHMC GL2-126 60 X 120</t>
  </si>
  <si>
    <t>CCHMC GL2-201 60 X 120</t>
  </si>
  <si>
    <t>CCHMC GL2-201 60 X 96</t>
  </si>
  <si>
    <t>CCHMC GL2-202 60 X 120</t>
  </si>
  <si>
    <t>CCHMC GL2-210 60 X 120</t>
  </si>
  <si>
    <t>CCHMC GL2-214 60 X 120</t>
  </si>
  <si>
    <t>CCHMC GL2-218 60 X 120</t>
  </si>
  <si>
    <t>CCHMC GL2-222 60 X 120</t>
  </si>
  <si>
    <t>CCHMC GL2-224 60 X 120</t>
  </si>
  <si>
    <t>CCHMC GL2-230 60 X 120</t>
  </si>
  <si>
    <t>CCHMC GL2-260 60 X 120</t>
  </si>
  <si>
    <t>CCHMC GL2-264 60 X 120</t>
  </si>
  <si>
    <t>CCHMC GL2-306 60 X 120</t>
  </si>
  <si>
    <t>CCHMC GL2-808 60 X 120</t>
  </si>
  <si>
    <t>CCHMC GL2-808 60 X 96</t>
  </si>
  <si>
    <t>CCHMC GL2-810 60 X 120</t>
  </si>
  <si>
    <t>CCHMC GL2-810 60 X 96</t>
  </si>
  <si>
    <t>CCHMC GL2-814 60 X 120</t>
  </si>
  <si>
    <t>CCHMC GL2-814 60 X 96</t>
  </si>
  <si>
    <t>CCHMC GL2-304 60 X 120</t>
  </si>
  <si>
    <t>CCHMC GL2-304 60 X 96</t>
  </si>
  <si>
    <t>CCHMC GL2-270E 60 X 120</t>
  </si>
  <si>
    <t>CCHMC GL2-270N 60 X 120</t>
  </si>
  <si>
    <t>CCHMC GL2-270S 60 X 120</t>
  </si>
  <si>
    <t>CCHMC GL2-314 60 X 120</t>
  </si>
  <si>
    <t>CCHMC GL2-330 60 X 120</t>
  </si>
  <si>
    <t>CCHMC GL2-334 60 X 120</t>
  </si>
  <si>
    <t>CCHMC GL2-340 60 X 120</t>
  </si>
  <si>
    <t>CCHMC GL2-344 60 X 120</t>
  </si>
  <si>
    <t>CCHMC GL2-356 60 X 120</t>
  </si>
  <si>
    <t>CCHMC GL2-372 60 X 120</t>
  </si>
  <si>
    <t>CCHMC GL2-386 60 X 120</t>
  </si>
  <si>
    <t>FRL GENERIC SAMPLE 60 X 96</t>
  </si>
  <si>
    <t>UHN LARGE BLANKS 60 X 96</t>
  </si>
  <si>
    <t>UHN REGISTRATION LG PAN 60 X 9</t>
  </si>
  <si>
    <t>CCHMC WP4-16A 60 X 120</t>
  </si>
  <si>
    <t>CCHMC WP4-16B 60 X 120</t>
  </si>
  <si>
    <t>CCHMC WP4-16C 60 X 120</t>
  </si>
  <si>
    <t>CCHMC WP4-16D 60 X 120</t>
  </si>
  <si>
    <t>CCHMC WP4-16E 60 X 120</t>
  </si>
  <si>
    <t>CCHMC WP4-16F 60 X 120</t>
  </si>
  <si>
    <t>CCHMC WP4-16G 60 X 120</t>
  </si>
  <si>
    <t>CCHMC WP4-16H 60 X 120</t>
  </si>
  <si>
    <t>CCHMC WP4-16J 60 X 120</t>
  </si>
  <si>
    <t>CCHMC WP4-37 60 X 120</t>
  </si>
  <si>
    <t>CCHMC WP4-38 60 X 120</t>
  </si>
  <si>
    <t>CCHMC WP4-41 60 X 120</t>
  </si>
  <si>
    <t>CANYON SPRINGS HS 60 X 120</t>
  </si>
  <si>
    <t>CCHMC GL2-230 REVISED 60 X 120</t>
  </si>
  <si>
    <t>CCHMC COR G3 060 NORTH 60 X 12</t>
  </si>
  <si>
    <t>CCHMC COR G4 060 NORTH 60 X 12</t>
  </si>
  <si>
    <t>CCHMC G3 060 NORTH 01 60 X 120</t>
  </si>
  <si>
    <t>CCHMC G3 060 NORTH 02 60 X 120</t>
  </si>
  <si>
    <t>CCHMC G3 060 WEST 60 X 120</t>
  </si>
  <si>
    <t>CCHMC G3 060D NORTH 60 X 120</t>
  </si>
  <si>
    <t>CCHMC G4 056 NORTH 01 60 X 120</t>
  </si>
  <si>
    <t>CCHMC G4 060 EAST 60 X 120</t>
  </si>
  <si>
    <t>CCHMC G4 060 NORTH 02 60 X 120</t>
  </si>
  <si>
    <t>CCHMC G4 060D NORTH 60 X 120</t>
  </si>
  <si>
    <t>SCH F B PUBLIC ELEV 60 X 120</t>
  </si>
  <si>
    <t>CANMORE BARNBOARD 60 X 96</t>
  </si>
  <si>
    <t>SCH F B PARKING ELEV 60 X 120</t>
  </si>
  <si>
    <t>SCH F B NON PUB ELEV 60 X 96</t>
  </si>
  <si>
    <t>CANMORE MOUNTAIN 60 X 96</t>
  </si>
  <si>
    <t>KENWOOD GC WEST WALL 60X120</t>
  </si>
  <si>
    <t>FRL SCH RIVER B L7G 60 X 120</t>
  </si>
  <si>
    <t>MICHELL K87 WALL 60 X 96</t>
  </si>
  <si>
    <t>FRL SCH FOREST B L7G 60 X 120</t>
  </si>
  <si>
    <t>ARDEN MID SCHOOL DOOR 60 X 96</t>
  </si>
  <si>
    <t>FRL CCHM GL2 350 WP4-23 60X120</t>
  </si>
  <si>
    <t>FRL CCHM GL2 442 WP4-25 60X120</t>
  </si>
  <si>
    <t>FRL CCHM GL2 440 WP4-25 60X120</t>
  </si>
  <si>
    <t>FRL SCH RIVER B L3G PUB 60X120</t>
  </si>
  <si>
    <t>CCHMC STAIRWAY 01 60 X 120</t>
  </si>
  <si>
    <t>CCHMC STAIRWAY 02 60 X 120</t>
  </si>
  <si>
    <t>CCHMC STAIRWAY 03 60 X 120</t>
  </si>
  <si>
    <t>CCHMC STAIRWAY 04 60 X 96</t>
  </si>
  <si>
    <t>CCHMC WP4-3 LV 1 GREEN 60X120</t>
  </si>
  <si>
    <t>CCHMC WP4-3A LV 4 GREEN 60X120</t>
  </si>
  <si>
    <t>CCHMC WP4-3B LV 6 GREEN 60X120</t>
  </si>
  <si>
    <t>CCHMC WP4-4 LV 3 ORANGE 60X120</t>
  </si>
  <si>
    <t>CCHMC WP4-4A LV 4 ORNG 60X120</t>
  </si>
  <si>
    <t>CCHMC WP4-4B LV 5 ORNG 60X120</t>
  </si>
  <si>
    <t>CCHMC WP4-5 LV 3 PURPLE 60X120</t>
  </si>
  <si>
    <t>CCHMC WP4-5A LV 5 PURP 60X120</t>
  </si>
  <si>
    <t>CCHMC WP4-6 LV 4 PINK 60 X 120</t>
  </si>
  <si>
    <t>CCHMC WP4-6A LV 6 PINK 60X120</t>
  </si>
  <si>
    <t>CCHMC WP4-6B LV 1 PINK 60X120</t>
  </si>
  <si>
    <t>CCHMC GL2-808 REV 60 X 96</t>
  </si>
  <si>
    <t>FRL SCH FOREST B LL1A E/L 60X1</t>
  </si>
  <si>
    <t>SCH FOREST B L1A PUB E/L60X120</t>
  </si>
  <si>
    <t>SCH RIVER B L3G TRANS 60 X 120</t>
  </si>
  <si>
    <t>SCH FOREST B L1D ED TRAN 60X12</t>
  </si>
  <si>
    <t>ARDEN MS PANTHER WALL 60X120</t>
  </si>
  <si>
    <t>CCHMC COR G4 060 NORTH 60X120</t>
  </si>
  <si>
    <t>CCHMC G1 050 EAST 60 X 120</t>
  </si>
  <si>
    <t>CCHMC G3 050 EAST 60 X 120</t>
  </si>
  <si>
    <t>CCHMC G4 050 EAST 60 X 120</t>
  </si>
  <si>
    <t>CCHMC G5 050 EAST 60 X 120</t>
  </si>
  <si>
    <t>CCHMC G6 050 EAST 60 X 120</t>
  </si>
  <si>
    <t>CCHMC GL2 050 EAST 60 X 120</t>
  </si>
  <si>
    <t>CCHMC GL2 642 WP4-32 60 X 120</t>
  </si>
  <si>
    <t>SCH FOR B L3A PUB ELEV 60X120</t>
  </si>
  <si>
    <t>UCFP-RCH-FOREST WALL 60 X 120</t>
  </si>
  <si>
    <t>CCHMC G3 060 E3 60 X 120</t>
  </si>
  <si>
    <t>CCHMC G3 060 E3 WP419E 60X120</t>
  </si>
  <si>
    <t>CCHMC G5 060 DN WP419D 60X120</t>
  </si>
  <si>
    <t>CCHMC G5 060 N1 WP419B 60X120</t>
  </si>
  <si>
    <t>CCHMC G5 060 N1 WP419C 60X120</t>
  </si>
  <si>
    <t>CCHMC G5 060 N2 WP419A 60X120</t>
  </si>
  <si>
    <t>CCHMC G5 060 W WP419F 60X120</t>
  </si>
  <si>
    <t>CCHMC G6 060 DN 60 X 120</t>
  </si>
  <si>
    <t>CCHMC G6 060 N1 60 X 120</t>
  </si>
  <si>
    <t>CCHMC G6 060 N1 WP420C 60X120</t>
  </si>
  <si>
    <t>CCHMC G6 060 N2 60 X 120</t>
  </si>
  <si>
    <t>CCHMC G6 060 W WP420F 60 X 120</t>
  </si>
  <si>
    <t>CCHMC G6 312 WP434 60 X 120</t>
  </si>
  <si>
    <t>CCHMC G6 316 WP434 60 X 120</t>
  </si>
  <si>
    <t>CCHMC G6 318 WP434 60 X 120</t>
  </si>
  <si>
    <t>CCHMC WP4-34 60 X 120</t>
  </si>
  <si>
    <t>TSD PK8 CIRCULATION W 60 X 96</t>
  </si>
  <si>
    <t>TSD PK8 ENTRY WAY 60 X 120</t>
  </si>
  <si>
    <t>TSD PK8 OSPREY WING 60 X 120</t>
  </si>
  <si>
    <t>TSD PK8 FALCON WING 60 X 120</t>
  </si>
  <si>
    <t>TSD PK8 OWL WING 60 X 120</t>
  </si>
  <si>
    <t>TSD PK8 HAWK-EAGLE WING 60X120</t>
  </si>
  <si>
    <t>TSD PK8 CIRCULATION N 60 X 120</t>
  </si>
  <si>
    <t>TSD PK8 LEARNING STAIR 60 X 12</t>
  </si>
  <si>
    <t>CCHMC WP4-1A 60 X 120</t>
  </si>
  <si>
    <t>CCHMC WP4-1B 60 X 120</t>
  </si>
  <si>
    <t>CCHMC WP4-1C 60 X 120</t>
  </si>
  <si>
    <t>CCHMC WP4-2A2B 60 X 120</t>
  </si>
  <si>
    <t>CCHMC WP4-31 60 X 120</t>
  </si>
  <si>
    <t>CCHMC WP4-35A 60 X 120</t>
  </si>
  <si>
    <t>CCHMC WP4-35B 60 X 120</t>
  </si>
  <si>
    <t>CBPAMES MEDIA CENTER 60 X 96</t>
  </si>
  <si>
    <t>CCHMC G4-050 EAST-03 REV 60X12</t>
  </si>
  <si>
    <t>SCH FOREST B L7A 60 X 120</t>
  </si>
  <si>
    <t>FAIRFIELD CULINARY ARTS 60X120</t>
  </si>
  <si>
    <t>TSD PK8 WING TYPE 60 X 120</t>
  </si>
  <si>
    <t>SCH FOREST B L8A TRANS 60X120</t>
  </si>
  <si>
    <t>BAYSTATE QUEENS WIL #4 60X120</t>
  </si>
  <si>
    <t>BAYSTATE QUEENS WIL #4 60X96</t>
  </si>
  <si>
    <t>DEL CAMPO STAIR 1 60 X 96</t>
  </si>
  <si>
    <t>DEL CAMPO STAIR 3 60 X 120</t>
  </si>
  <si>
    <t>SICK KIDS WARD 7A-C 60 X 120</t>
  </si>
  <si>
    <t>MS L6 ONCOL EAST 60 X 120</t>
  </si>
  <si>
    <t>MS L6 ONCOL WEST 60 X 120</t>
  </si>
  <si>
    <t>MS L6 ONCOL SOUTH 60 X 96</t>
  </si>
  <si>
    <t>RADYS CH KITE 60 X 120</t>
  </si>
  <si>
    <t>MT SAC LOW WALLS 60 X 120</t>
  </si>
  <si>
    <t>SHEPLEY BULLFINCH HEAD 60 X 96</t>
  </si>
  <si>
    <t>NORTH STAR TDHLTH 60 X 96</t>
  </si>
  <si>
    <t>FT MCKAY GTHR 102-1 60 X 120</t>
  </si>
  <si>
    <t>BETH ISRAEL LGL-SD-501A 60X120</t>
  </si>
  <si>
    <t>BETH ISRAEL LGL-SD-502C 60X120</t>
  </si>
  <si>
    <t>BETH ISRAEL LGL-SD-503B 60X120</t>
  </si>
  <si>
    <t>BETH ISRAEL LGL-SD-503D 60X120</t>
  </si>
  <si>
    <t>BETH ISRAEL LGL-SD-504B 60X120</t>
  </si>
  <si>
    <t>BETH ISRAEL LGL-SD-504D 60X120</t>
  </si>
  <si>
    <t>BETH ISRAEL LGL-SD-505B 60X120</t>
  </si>
  <si>
    <t>BETH ISRAEL LGL-SD-505D 60X120</t>
  </si>
  <si>
    <t>BETH ISRAEL LGL-SD-506B 60X120</t>
  </si>
  <si>
    <t>BETH ISRAEL LGL-SD-506D 60X120</t>
  </si>
  <si>
    <t>BETH ISRAEL LGL-SD-507B 60X120</t>
  </si>
  <si>
    <t>BETH ISRAEL LGL-SD-507D 60X120</t>
  </si>
  <si>
    <t>ND HOS CHAMBRE T2029 60 X 96</t>
  </si>
  <si>
    <t>ND HOS CHAMBRE T2030 60 X 96</t>
  </si>
  <si>
    <t>ND HOS CHAMBRE T2031 60 X 96</t>
  </si>
  <si>
    <t>ND HOS CHAMBRE T2033 60 X 96</t>
  </si>
  <si>
    <t>ND HOS CHAMBRE T2035 60 X 96</t>
  </si>
  <si>
    <t>ND HOS CHAMBRE T2304 60 X 96</t>
  </si>
  <si>
    <t>ND HOS CHAMBRE T2306 60 X 96</t>
  </si>
  <si>
    <t>ND HOS CHAMBRE T2310 60 X 96</t>
  </si>
  <si>
    <t>ND HOS CHAMBRE T2312 60 X 96</t>
  </si>
  <si>
    <t>ND HOS CHAMBRE T2314 60 X 96</t>
  </si>
  <si>
    <t>ND HOS CHAMBRE T2322 60 X 96</t>
  </si>
  <si>
    <t>ND HOS CORRIDOR-1 60 X 96</t>
  </si>
  <si>
    <t>ND HOS CORRIDOR-2 60 X 96</t>
  </si>
  <si>
    <t>ND HOS CORRIDOR-3 60 X 96</t>
  </si>
  <si>
    <t>CAN SPRINGS HS WC2-B 60 X 96</t>
  </si>
  <si>
    <t>CAN SPRINGS HS WC2-F 60 X 120</t>
  </si>
  <si>
    <t>CAN SPRINGS HS WC3-D 60 X 120</t>
  </si>
  <si>
    <t>CAN SPRINGS HS WC3-C 60 X 120</t>
  </si>
  <si>
    <t>CAN SPRINGS HS WC3-A 60 X 120</t>
  </si>
  <si>
    <t>CAN SPRINGS HS WC3-B 60 X 120</t>
  </si>
  <si>
    <t>CAN SPRINGS HS WC3-H 60 X 120</t>
  </si>
  <si>
    <t>CAN SPRINGS HS WC3-G 60 X 120</t>
  </si>
  <si>
    <t>CAN SPRINGS HS WC3-F 60 X 120</t>
  </si>
  <si>
    <t>CAN SPRINGS HS WC2-G 60 X 96</t>
  </si>
  <si>
    <t>CAN SPRINGS HS WC3-E 60 X 120</t>
  </si>
  <si>
    <t>EGUSD MIWOK WELCOME 60X120</t>
  </si>
  <si>
    <t>EGUSD MIWOK B1 CANOPY 60X120</t>
  </si>
  <si>
    <t>EGUSD MIWOK B2 BIRDS 60X120</t>
  </si>
  <si>
    <t>EGUSD MIWOK C1 PLANTS 60X120</t>
  </si>
  <si>
    <t>EGUSD MIWOK C2 PLANTS 60X120</t>
  </si>
  <si>
    <t>EGUSD MIWOK D1 ANI 2 60X120</t>
  </si>
  <si>
    <t>EGUSD MIWOK D1 ANI 60X120</t>
  </si>
  <si>
    <t>NATOMAS RIVER WALL 60 X 120</t>
  </si>
  <si>
    <t>CORRIDOR PODS A-B-C 60 X 120</t>
  </si>
  <si>
    <t>CORRIDOR 5-F4-02 60 X 120</t>
  </si>
  <si>
    <t>CORRIDOR 5-C3-07 60 X 120</t>
  </si>
  <si>
    <t>STRETCHER 3-E4-02 60 X 120</t>
  </si>
  <si>
    <t>CORRIDOR 3-B2-02 60 X 120</t>
  </si>
  <si>
    <t>SUB-WAITING 3-B4-02 60 X 120</t>
  </si>
  <si>
    <t>SUB-WAITING 3-C2-07 60 X 120</t>
  </si>
  <si>
    <t>BEHAVIORAL SURFBOARDS 60 X 96</t>
  </si>
  <si>
    <t>DIGWM577APPK2</t>
  </si>
  <si>
    <t>DIGWM577APPK3</t>
  </si>
  <si>
    <t>J16RB342U560</t>
  </si>
  <si>
    <t>J16RB346U560</t>
  </si>
  <si>
    <t>J16RB354U560</t>
  </si>
  <si>
    <t>J22RB739AM23</t>
  </si>
  <si>
    <t>J24RB891QB57</t>
  </si>
  <si>
    <t>J24RB892QB56</t>
  </si>
  <si>
    <t>J24RB894AM23</t>
  </si>
  <si>
    <t>J24RB895QB57</t>
  </si>
  <si>
    <t>J24RB896QB56</t>
  </si>
  <si>
    <t>J24RB898AM23</t>
  </si>
  <si>
    <t>J24RB925AM24</t>
  </si>
  <si>
    <t>J29R0745SD500</t>
  </si>
  <si>
    <t>J29R0983SD580</t>
  </si>
  <si>
    <t>J29R1091SD500</t>
  </si>
  <si>
    <t>J29R1263SD580</t>
  </si>
  <si>
    <t>J29R1264SD500</t>
  </si>
  <si>
    <t>J37R0911SD520</t>
  </si>
  <si>
    <t>J37R1241SD520</t>
  </si>
  <si>
    <t>J37R1365SD500</t>
  </si>
  <si>
    <t>J41B0102NM49</t>
  </si>
  <si>
    <t>J41B0102NM50</t>
  </si>
  <si>
    <t>J41RB660NM49</t>
  </si>
  <si>
    <t>J41RB660NM50</t>
  </si>
  <si>
    <t>J41RB784NM49</t>
  </si>
  <si>
    <t>J41RB784NM50</t>
  </si>
  <si>
    <t>J41RB855NM49</t>
  </si>
  <si>
    <t>J41RB855NM50</t>
  </si>
  <si>
    <t>J42RB602PB43</t>
  </si>
  <si>
    <t>J42RB602PB52</t>
  </si>
  <si>
    <t>J42RB719AM38</t>
  </si>
  <si>
    <t>J42RB992PB64</t>
  </si>
  <si>
    <t>J42RB993PB65</t>
  </si>
  <si>
    <t>J42RB993PB67</t>
  </si>
  <si>
    <t>J44B0006AM38</t>
  </si>
  <si>
    <t>J44B0029AM38</t>
  </si>
  <si>
    <t>J44B0079AM38</t>
  </si>
  <si>
    <t>J44B0109QM33</t>
  </si>
  <si>
    <t>J44B0110QM32</t>
  </si>
  <si>
    <t>J44B0111QM33</t>
  </si>
  <si>
    <t>J44B0112QM32</t>
  </si>
  <si>
    <t>J44B0133AM38</t>
  </si>
  <si>
    <t>J44B0170AM38</t>
  </si>
  <si>
    <t>J44B0176AM38</t>
  </si>
  <si>
    <t>J44B0180AM38</t>
  </si>
  <si>
    <t>J44RB746AM38</t>
  </si>
  <si>
    <t>J44RB754AM38</t>
  </si>
  <si>
    <t>J44RB760AM38</t>
  </si>
  <si>
    <t>J44RB764AM38</t>
  </si>
  <si>
    <t>J44RB770AM38</t>
  </si>
  <si>
    <t>J44RB790AM38</t>
  </si>
  <si>
    <t>J44RB796AM38</t>
  </si>
  <si>
    <t>J44RB809AM38</t>
  </si>
  <si>
    <t>J44RB816AM38</t>
  </si>
  <si>
    <t>J44RB822AM38</t>
  </si>
  <si>
    <t>J44RB828AM38</t>
  </si>
  <si>
    <t>J44RB834AM38</t>
  </si>
  <si>
    <t>J44RB861AM38</t>
  </si>
  <si>
    <t>J44RB875AM38</t>
  </si>
  <si>
    <t>J44RB890AM38</t>
  </si>
  <si>
    <t>J44RB917AM38</t>
  </si>
  <si>
    <t>J44RB938AM38</t>
  </si>
  <si>
    <t>J44RB945AM38</t>
  </si>
  <si>
    <t>J48R0260N500</t>
  </si>
  <si>
    <t>J48R0260N520</t>
  </si>
  <si>
    <t>J48R0260N580</t>
  </si>
  <si>
    <t>J48R0260SD500</t>
  </si>
  <si>
    <t>J48R0260SD520</t>
  </si>
  <si>
    <t>J48R0260SD580</t>
  </si>
  <si>
    <t>J48R1203SD5203</t>
  </si>
  <si>
    <t>J48R1352SD580</t>
  </si>
  <si>
    <t>J48R1363SD520</t>
  </si>
  <si>
    <t>J48R1371SD580</t>
  </si>
  <si>
    <t>J48R1373SD580</t>
  </si>
  <si>
    <t>J56B0150AM38</t>
  </si>
  <si>
    <t>J56B0186AM38</t>
  </si>
  <si>
    <t>J56B0210AM38</t>
  </si>
  <si>
    <t>J56RB668PB07</t>
  </si>
  <si>
    <t>J56RB669PB04</t>
  </si>
  <si>
    <t>J56RB669PB06</t>
  </si>
  <si>
    <t>J56RB670PB08</t>
  </si>
  <si>
    <t>J56RB671PB09</t>
  </si>
  <si>
    <t>J56RB672PB10</t>
  </si>
  <si>
    <t>J56RB673PB11</t>
  </si>
  <si>
    <t>J56RB675PB04</t>
  </si>
  <si>
    <t>J56RB725AM39</t>
  </si>
  <si>
    <t>J56RB731AM38</t>
  </si>
  <si>
    <t>J56RB731AM39</t>
  </si>
  <si>
    <t>J56RB776AM38</t>
  </si>
  <si>
    <t>J56RB801AM38</t>
  </si>
  <si>
    <t>J56RB931AM38</t>
  </si>
  <si>
    <t>J75B0239PTQ86</t>
  </si>
  <si>
    <t>J75B0240PTQ87</t>
  </si>
  <si>
    <t>J75B0241PTQ88</t>
  </si>
  <si>
    <t>J75B0242PTQ89</t>
  </si>
  <si>
    <t>J75RB329PTQ64</t>
  </si>
  <si>
    <t>J75RB330PTQ67</t>
  </si>
  <si>
    <t>J75RB331PTQ64</t>
  </si>
  <si>
    <t>J75RB331UQ64</t>
  </si>
  <si>
    <t>J75RB332PTQ67</t>
  </si>
  <si>
    <t>J75RB332UQ67</t>
  </si>
  <si>
    <t>J75RB343UQ68</t>
  </si>
  <si>
    <t>J75RB353UQ68</t>
  </si>
  <si>
    <t>J75RB372UQ68</t>
  </si>
  <si>
    <t>J75RB504UQ67</t>
  </si>
  <si>
    <t>J75RB505UQ78</t>
  </si>
  <si>
    <t>J75RB509UQ77</t>
  </si>
  <si>
    <t>J75RB663AB53</t>
  </si>
  <si>
    <t>J75RB797UQ77</t>
  </si>
  <si>
    <t>JDOR1219SD520</t>
  </si>
  <si>
    <t>JDOR1219SDYLQ</t>
  </si>
  <si>
    <t>JDOR1220SD520</t>
  </si>
  <si>
    <t>JDOR1220SDB62</t>
  </si>
  <si>
    <t>JDOR1220SDYLQ</t>
  </si>
  <si>
    <t>JI4R0355N580</t>
  </si>
  <si>
    <t>JI4R0355SD500</t>
  </si>
  <si>
    <t>JI4R0355SD580</t>
  </si>
  <si>
    <t>JI8R0782SD580</t>
  </si>
  <si>
    <t>JI8R1317SD580</t>
  </si>
  <si>
    <t>KZ4R0947SD500</t>
  </si>
  <si>
    <t>KZ4R0948SD500</t>
  </si>
  <si>
    <t>MJ1R0968GL5801</t>
  </si>
  <si>
    <t>MJ2R1232GL5201</t>
  </si>
  <si>
    <t>MJ3R0885GL5202</t>
  </si>
  <si>
    <t>MJ4GEMBAGL520</t>
  </si>
  <si>
    <t>MJ4R0885GL5202</t>
  </si>
  <si>
    <t>NJ29ND0100SD5000</t>
  </si>
  <si>
    <t>NJ29ND0112SGL4201</t>
  </si>
  <si>
    <t>NJ29ND0115SD5800</t>
  </si>
  <si>
    <t>NKZ4ND0105SD5000</t>
  </si>
  <si>
    <t>NKZ4ND0106SD5000</t>
  </si>
  <si>
    <t>PJ28DG0064SD5200</t>
  </si>
  <si>
    <t>PJ28DG0071SD5200</t>
  </si>
  <si>
    <t>PJ29DG0014SD5200</t>
  </si>
  <si>
    <t>PJ29DG0033SD5800</t>
  </si>
  <si>
    <t>PJ29DG0040SD5200</t>
  </si>
  <si>
    <t>PJ29DG0051SD5200</t>
  </si>
  <si>
    <t>PJ29DG0057SDCMT0</t>
  </si>
  <si>
    <t>PJ29DG0060SD5200</t>
  </si>
  <si>
    <t>PJ29DG0061SD5201</t>
  </si>
  <si>
    <t>PJ29DG0061SD5203</t>
  </si>
  <si>
    <t>PJ29DG0064SD5200</t>
  </si>
  <si>
    <t>PJ29DG0065SD5000</t>
  </si>
  <si>
    <t>PJ29DG0065SD5200</t>
  </si>
  <si>
    <t>PJ29DG0071SD5000</t>
  </si>
  <si>
    <t>PJ29DG0071SD5200</t>
  </si>
  <si>
    <t>PJ29DG0076SD5800</t>
  </si>
  <si>
    <t>PJ29DG0078SD5000</t>
  </si>
  <si>
    <t>PJ29DG0078SM5200</t>
  </si>
  <si>
    <t>PJ29DG0084SD5200</t>
  </si>
  <si>
    <t>PJ37DG0012VE5200</t>
  </si>
  <si>
    <t>PJ37DG0014SD5000</t>
  </si>
  <si>
    <t>PJ37DG0018SD5200</t>
  </si>
  <si>
    <t>PJ37DG0029SD5200</t>
  </si>
  <si>
    <t>PJ37DG0029SD520</t>
  </si>
  <si>
    <t>PJ37DG0032SD5200</t>
  </si>
  <si>
    <t>PJ37DG0032SD520</t>
  </si>
  <si>
    <t>PJ37DG0040SD5200</t>
  </si>
  <si>
    <t>PJ37DG0045SD5200</t>
  </si>
  <si>
    <t>PJ37DG0051SD5200</t>
  </si>
  <si>
    <t>PJ37DG0054SD5000</t>
  </si>
  <si>
    <t>PJ37DG0054SD5200</t>
  </si>
  <si>
    <t>PJ37DG0057SD5200</t>
  </si>
  <si>
    <t>PJ37DG0059SD5200</t>
  </si>
  <si>
    <t>PJ37DG0060SD5200</t>
  </si>
  <si>
    <t>PJ37DG0066SD5200</t>
  </si>
  <si>
    <t>PJ37DG0066SD520</t>
  </si>
  <si>
    <t>PJ37DG0071GL5201</t>
  </si>
  <si>
    <t>PJ37DG0071SD5001</t>
  </si>
  <si>
    <t>PJ37DG0071SD5200</t>
  </si>
  <si>
    <t>PJ37DG0071SD5800</t>
  </si>
  <si>
    <t>PJ37DG0071T-5200</t>
  </si>
  <si>
    <t>PJ37DG0072SD5200</t>
  </si>
  <si>
    <t>PJ37DG0072SD5800</t>
  </si>
  <si>
    <t>PJ37DG0072SM5200</t>
  </si>
  <si>
    <t>PJ37DG0073SD5200</t>
  </si>
  <si>
    <t>PJ37DG0074SD5200</t>
  </si>
  <si>
    <t>PJ37DG0074T-5200</t>
  </si>
  <si>
    <t>PJ37DG0075SD5200</t>
  </si>
  <si>
    <t>PJ37DG0076SD5000</t>
  </si>
  <si>
    <t>PJ37DG0076SD5200</t>
  </si>
  <si>
    <t>PJ37DG0076SD5800</t>
  </si>
  <si>
    <t>PJ37DG0078SD5000</t>
  </si>
  <si>
    <t>PJ37DG0078SD5200</t>
  </si>
  <si>
    <t>PJ37DG0084SD5200</t>
  </si>
  <si>
    <t>PJ37DG0085SD5000</t>
  </si>
  <si>
    <t>PJ37DG0086SD5200</t>
  </si>
  <si>
    <t>PJ37DG0086T-5200</t>
  </si>
  <si>
    <t>PJ48DG0005SD5800</t>
  </si>
  <si>
    <t>PJ48DG0013SD5200</t>
  </si>
  <si>
    <t>PJ48DG0038SD5200</t>
  </si>
  <si>
    <t>PJ48DG0040GL5801</t>
  </si>
  <si>
    <t>PJ48DG0040SD5200</t>
  </si>
  <si>
    <t>PJ48DG0044T-5200</t>
  </si>
  <si>
    <t>PJ48DG0071GL5201</t>
  </si>
  <si>
    <t>PJ48DG0071SD5000</t>
  </si>
  <si>
    <t>PJ48DG0071SD5200</t>
  </si>
  <si>
    <t>PJ48DG0071T-5200</t>
  </si>
  <si>
    <t>PJ48DG0072SD5200</t>
  </si>
  <si>
    <t>PJ48DG0072T-5200</t>
  </si>
  <si>
    <t>PJ48DG0072T-5800</t>
  </si>
  <si>
    <t>PJ48DG0078SD5200</t>
  </si>
  <si>
    <t>PJ48DG0078SD5800</t>
  </si>
  <si>
    <t>QUBDIGHWYPK11</t>
  </si>
  <si>
    <t>QUBDIGHWYPPK5</t>
  </si>
  <si>
    <t>QUBDKPINMBPK1</t>
  </si>
  <si>
    <t>QUBDKPINQBPK1</t>
  </si>
  <si>
    <t>QUBDKPINSBPK1</t>
  </si>
  <si>
    <t>USBPIRATEPK01</t>
  </si>
  <si>
    <t>USBRBMGPK03</t>
  </si>
  <si>
    <t>X75FS020SDPFQ</t>
  </si>
  <si>
    <t>XJ6R0961SD580</t>
  </si>
  <si>
    <t>XJ6R1046SD580</t>
  </si>
  <si>
    <t>XJ6R1047SD580</t>
  </si>
  <si>
    <t>XJ6R1048SD580</t>
  </si>
  <si>
    <t>XJ6R1049SD500</t>
  </si>
  <si>
    <t>XJ8DX0057SD5000</t>
  </si>
  <si>
    <t>XJ8DX0057SD500</t>
  </si>
  <si>
    <t>XJ8R0864SD580</t>
  </si>
  <si>
    <t>XJ8R0865SD580</t>
  </si>
  <si>
    <t>XJ8R0866SD580</t>
  </si>
  <si>
    <t>XJ8R0886SD500</t>
  </si>
  <si>
    <t>XJ8R0889SD580</t>
  </si>
  <si>
    <t>XJ8R0896SD500</t>
  </si>
  <si>
    <t>XJ8R0899SD580</t>
  </si>
  <si>
    <t>XJ8R0906SD580</t>
  </si>
  <si>
    <t>XJ8R0908SD580</t>
  </si>
  <si>
    <t>XJ8R0909SD580</t>
  </si>
  <si>
    <t>XJ8R0921SD580</t>
  </si>
  <si>
    <t>XJ8R0924SD580</t>
  </si>
  <si>
    <t>XJ8R0925SD580</t>
  </si>
  <si>
    <t>XJ8R0927SD500</t>
  </si>
  <si>
    <t>XJ8R0928SD500</t>
  </si>
  <si>
    <t>XJ8R0930SD580</t>
  </si>
  <si>
    <t>XJ8R0932SD500</t>
  </si>
  <si>
    <t>XJ8R0938SD580</t>
  </si>
  <si>
    <t>XJ8R0939SD500</t>
  </si>
  <si>
    <t>XJ8R0950SD500</t>
  </si>
  <si>
    <t>XJ8R0951SD500</t>
  </si>
  <si>
    <t>XJ8R0952SD500</t>
  </si>
  <si>
    <t>XJ8R0953SD500</t>
  </si>
  <si>
    <t>XJ8R0954SD500</t>
  </si>
  <si>
    <t>XJ8R0955SD500</t>
  </si>
  <si>
    <t>XJ8R0956SD500</t>
  </si>
  <si>
    <t>XJ8R0959SD500</t>
  </si>
  <si>
    <t>XJ8R0963SD580</t>
  </si>
  <si>
    <t>XJ8R0966SD580</t>
  </si>
  <si>
    <t>XJ8R0967SD580</t>
  </si>
  <si>
    <t>XJ8R0969SD500</t>
  </si>
  <si>
    <t>XJ8R0970SD500</t>
  </si>
  <si>
    <t>XJ8R0971SD500</t>
  </si>
  <si>
    <t>XJ8R0984SD500</t>
  </si>
  <si>
    <t>XJ8R0985SD580</t>
  </si>
  <si>
    <t>XJ8R0986SD500</t>
  </si>
  <si>
    <t>XJ8R0987SD500</t>
  </si>
  <si>
    <t>XJ8R0988SD500</t>
  </si>
  <si>
    <t>XJ8R0989SD500</t>
  </si>
  <si>
    <t>XJ8R0990SD500</t>
  </si>
  <si>
    <t>XJ8R0991SD500</t>
  </si>
  <si>
    <t>XJ8R0992SD500</t>
  </si>
  <si>
    <t>XJ8R0993SD500</t>
  </si>
  <si>
    <t>XJ8R0994SD500</t>
  </si>
  <si>
    <t>XJ8R0995SD500</t>
  </si>
  <si>
    <t>XJ8R0996SD500</t>
  </si>
  <si>
    <t>XJ8R0997SD500</t>
  </si>
  <si>
    <t>XJ8R0998SD500</t>
  </si>
  <si>
    <t>XJ8R0999SD500</t>
  </si>
  <si>
    <t>XJ8R1000SD500</t>
  </si>
  <si>
    <t>XJ8R1001SD580</t>
  </si>
  <si>
    <t>XJ8R1002SD580</t>
  </si>
  <si>
    <t>XJ8R1003SD580</t>
  </si>
  <si>
    <t>XJ8R1006SD500</t>
  </si>
  <si>
    <t>XJ8R1007SD500</t>
  </si>
  <si>
    <t>XJ8R1008SD500</t>
  </si>
  <si>
    <t>XJ8R1009SD500</t>
  </si>
  <si>
    <t>XJ8R1010SD500</t>
  </si>
  <si>
    <t>XJ8R1011SD500</t>
  </si>
  <si>
    <t>XJ8R1012SD500</t>
  </si>
  <si>
    <t>XJ8R1013SD500</t>
  </si>
  <si>
    <t>XJ8R1014SD500</t>
  </si>
  <si>
    <t>XJ8R1015SD500</t>
  </si>
  <si>
    <t>XJ8R1015SD580</t>
  </si>
  <si>
    <t>XJ8R1016SD500</t>
  </si>
  <si>
    <t>XJ8R1017SD500</t>
  </si>
  <si>
    <t>XJ8R1018SD500</t>
  </si>
  <si>
    <t>XJ8R1019SD500</t>
  </si>
  <si>
    <t>XJ8R1020SD500</t>
  </si>
  <si>
    <t>XJ8R1021SD500</t>
  </si>
  <si>
    <t>XJ8R1022SD500</t>
  </si>
  <si>
    <t>XJ8R1023SD500</t>
  </si>
  <si>
    <t>XJ8R1024SD500</t>
  </si>
  <si>
    <t>XJ8R1025SD500</t>
  </si>
  <si>
    <t>XJ8R1026SD500</t>
  </si>
  <si>
    <t>XJ8R1026SD580</t>
  </si>
  <si>
    <t>XJ8R1027SD500</t>
  </si>
  <si>
    <t>XJ8R1027SD580</t>
  </si>
  <si>
    <t>XJ8R1028SD500</t>
  </si>
  <si>
    <t>XJ8R1028SD580</t>
  </si>
  <si>
    <t>XJ8R1029SD500</t>
  </si>
  <si>
    <t>XJ8R1029SD580</t>
  </si>
  <si>
    <t>XJ8R1030SD500</t>
  </si>
  <si>
    <t>XJ8R1031SD500</t>
  </si>
  <si>
    <t>XJ8R1032SD500</t>
  </si>
  <si>
    <t>XJ8R1033SD500</t>
  </si>
  <si>
    <t>XJ8R1034SD500</t>
  </si>
  <si>
    <t>XJ8R1035SD500</t>
  </si>
  <si>
    <t>XJ8R1036SD500</t>
  </si>
  <si>
    <t>XJ8R1037SD500</t>
  </si>
  <si>
    <t>XJ8R1038SD500</t>
  </si>
  <si>
    <t>XJ8R1039SD500</t>
  </si>
  <si>
    <t>XJ8R1040SD500</t>
  </si>
  <si>
    <t>XJ8R1041SD500</t>
  </si>
  <si>
    <t>XJ8R1051SD580</t>
  </si>
  <si>
    <t>XJ8R1053SD580</t>
  </si>
  <si>
    <t>XJ8R1054SD580</t>
  </si>
  <si>
    <t>XJ8R1058SD500</t>
  </si>
  <si>
    <t>XJ8R1059SD500</t>
  </si>
  <si>
    <t>XJ8R1060SD500</t>
  </si>
  <si>
    <t>XJ8R1061SD500</t>
  </si>
  <si>
    <t>XJ8R1062SD500</t>
  </si>
  <si>
    <t>XJ8R1063SD500</t>
  </si>
  <si>
    <t>XJ8R1064SD500</t>
  </si>
  <si>
    <t>XJ8R1065SD500</t>
  </si>
  <si>
    <t>XJ8R1066SD500</t>
  </si>
  <si>
    <t>XJ8R1067SD500</t>
  </si>
  <si>
    <t>XJ8R1068SD500</t>
  </si>
  <si>
    <t>XJ8R1069SD500</t>
  </si>
  <si>
    <t>XJ8R1070SD500</t>
  </si>
  <si>
    <t>XJ8R1071SD500</t>
  </si>
  <si>
    <t>XJ8R1072SD500</t>
  </si>
  <si>
    <t>XJ8R1074SD500</t>
  </si>
  <si>
    <t>XJ8R1075SD500</t>
  </si>
  <si>
    <t>XJ8R1076SD500</t>
  </si>
  <si>
    <t>XJ8R1077SD500</t>
  </si>
  <si>
    <t>XJ8R1078SD500</t>
  </si>
  <si>
    <t>XJ8R1079SD500</t>
  </si>
  <si>
    <t>XJ8R1080SD500</t>
  </si>
  <si>
    <t>XJ8R1081SD500</t>
  </si>
  <si>
    <t>XJ8R1082SD500</t>
  </si>
  <si>
    <t>XJ8R1083SD500</t>
  </si>
  <si>
    <t>XJ8R1084SD500</t>
  </si>
  <si>
    <t>XJ8R1085SD500</t>
  </si>
  <si>
    <t>XJ8R1086SD580</t>
  </si>
  <si>
    <t>XJ8R1087SD500</t>
  </si>
  <si>
    <t>XJ8R1088SD580</t>
  </si>
  <si>
    <t>XJ8R1105SD580</t>
  </si>
  <si>
    <t>XJ8R1107SD500</t>
  </si>
  <si>
    <t>XJ8R1108SD500</t>
  </si>
  <si>
    <t>XJ8R1109SD580</t>
  </si>
  <si>
    <t>XJ8R1111SD500</t>
  </si>
  <si>
    <t>XJ8R1113SD580</t>
  </si>
  <si>
    <t>XJ8R1114SD500</t>
  </si>
  <si>
    <t>XJ8R1115SD500</t>
  </si>
  <si>
    <t>XJ8R1116SD500</t>
  </si>
  <si>
    <t>XJ8R1117SD500</t>
  </si>
  <si>
    <t>XJ8R1118SD500</t>
  </si>
  <si>
    <t>XJ8R1119SD500</t>
  </si>
  <si>
    <t>XJ8R1120SD500</t>
  </si>
  <si>
    <t>XJ8R1121SD580</t>
  </si>
  <si>
    <t>XJ8R1123SD500</t>
  </si>
  <si>
    <t>XJ8R1124SD500</t>
  </si>
  <si>
    <t>XJ8R1125SD500</t>
  </si>
  <si>
    <t>XJ8R1126SD500</t>
  </si>
  <si>
    <t>XJ8R1127SD500</t>
  </si>
  <si>
    <t>XJ8R1128SD500</t>
  </si>
  <si>
    <t>XJ8R1129SD500</t>
  </si>
  <si>
    <t>XJ8R1130SD500</t>
  </si>
  <si>
    <t>XJ8R1131SD500</t>
  </si>
  <si>
    <t>XJ8R1132SD500</t>
  </si>
  <si>
    <t>XJ8R1133SD500</t>
  </si>
  <si>
    <t>XJ8R1135SD580</t>
  </si>
  <si>
    <t>XJ8R1136SD500</t>
  </si>
  <si>
    <t>XJ8R1137SD500</t>
  </si>
  <si>
    <t>XJ8R1138SD500</t>
  </si>
  <si>
    <t>XJ8R1140SD500</t>
  </si>
  <si>
    <t>XJ8R1147SD500</t>
  </si>
  <si>
    <t>XJ8R1148SD500</t>
  </si>
  <si>
    <t>XJ8R1149SD500</t>
  </si>
  <si>
    <t>XJ8R1150SD500</t>
  </si>
  <si>
    <t>XJ8R1151SD500</t>
  </si>
  <si>
    <t>XJ8R1152SD500</t>
  </si>
  <si>
    <t>XJ8R1153SD500</t>
  </si>
  <si>
    <t>XJ8R1154SD500</t>
  </si>
  <si>
    <t>XJ8R1155SD500</t>
  </si>
  <si>
    <t>XJ8R1156SD500</t>
  </si>
  <si>
    <t>XJ8R1157SD500</t>
  </si>
  <si>
    <t>XJ8R1158SD500</t>
  </si>
  <si>
    <t>XJ8R1160SD500</t>
  </si>
  <si>
    <t>XJ8R1161SD500</t>
  </si>
  <si>
    <t>XJ8R1162SD500</t>
  </si>
  <si>
    <t>XJ8R1163SD500</t>
  </si>
  <si>
    <t>XJ8R1164SD500</t>
  </si>
  <si>
    <t>XJ8R1165SD500</t>
  </si>
  <si>
    <t>XJ8R1166SD500</t>
  </si>
  <si>
    <t>XJ8R1167SD500</t>
  </si>
  <si>
    <t>XJ8R1168SD500</t>
  </si>
  <si>
    <t>XJ8R1169SD500</t>
  </si>
  <si>
    <t>XJ8R1170SD500</t>
  </si>
  <si>
    <t>XJ8R1171SD500</t>
  </si>
  <si>
    <t>XJ8R1172SD500</t>
  </si>
  <si>
    <t>XJ8R1173SD500</t>
  </si>
  <si>
    <t>XJ8R1174SD500</t>
  </si>
  <si>
    <t>XJ8R1175SD500</t>
  </si>
  <si>
    <t>XJ8R1184SD580</t>
  </si>
  <si>
    <t>XJ8R1185SD500</t>
  </si>
  <si>
    <t>XJ8R1186SD500</t>
  </si>
  <si>
    <t>XJ8R1187SD500</t>
  </si>
  <si>
    <t>XJ8R1188SD500</t>
  </si>
  <si>
    <t>XJ8R1189SD500</t>
  </si>
  <si>
    <t>XJ8R1190SD500</t>
  </si>
  <si>
    <t>XJ8R1191SD500</t>
  </si>
  <si>
    <t>XJ8R1192SD500</t>
  </si>
  <si>
    <t>XJ8R1193SD500</t>
  </si>
  <si>
    <t>XJ8R1194SD500</t>
  </si>
  <si>
    <t>XJ8R1195SD500</t>
  </si>
  <si>
    <t>XJ8R1196SD500</t>
  </si>
  <si>
    <t>XJ8R1197SD500</t>
  </si>
  <si>
    <t>XJ8R1198SD500</t>
  </si>
  <si>
    <t>XJ8R1199SD580</t>
  </si>
  <si>
    <t>XJ8R1204SD500</t>
  </si>
  <si>
    <t>XJ8R1213SD500</t>
  </si>
  <si>
    <t>XJ8R1218SD500</t>
  </si>
  <si>
    <t>XJ8R1225SD500</t>
  </si>
  <si>
    <t>XJ8R1226SD500</t>
  </si>
  <si>
    <t>XJ8R1227SD500</t>
  </si>
  <si>
    <t>XJ8R1227SD580</t>
  </si>
  <si>
    <t>XJ8R1230SD580</t>
  </si>
  <si>
    <t>XJ8R1231SD500</t>
  </si>
  <si>
    <t>XJ8R1248SD500</t>
  </si>
  <si>
    <t>XJ8R1251SD500</t>
  </si>
  <si>
    <t>XJ8R1252SD500</t>
  </si>
  <si>
    <t>XJ8R1253SD580</t>
  </si>
  <si>
    <t>XJ8R1254SD500</t>
  </si>
  <si>
    <t>XJ8R1260SD500</t>
  </si>
  <si>
    <t>XJ8R1266SD580</t>
  </si>
  <si>
    <t>XJ8R1267SD580</t>
  </si>
  <si>
    <t>XJ8R1273SD500</t>
  </si>
  <si>
    <t>XJ8R1286SD500</t>
  </si>
  <si>
    <t>XJ8R1287SD500</t>
  </si>
  <si>
    <t>XJ8R1288SD500</t>
  </si>
  <si>
    <t>XJ8R1289SD500</t>
  </si>
  <si>
    <t>XJ8R1290SD500</t>
  </si>
  <si>
    <t>XJ8R1291SD500</t>
  </si>
  <si>
    <t>XJ8R1292SD500</t>
  </si>
  <si>
    <t>XJ8R1293SD500</t>
  </si>
  <si>
    <t>XJ8R1294SD500</t>
  </si>
  <si>
    <t>XJ8R1295SD500</t>
  </si>
  <si>
    <t>XJ8R1296SD500</t>
  </si>
  <si>
    <t>XJ8R1297SD500</t>
  </si>
  <si>
    <t>XJ8R1300SD580</t>
  </si>
  <si>
    <t>XJ8R1301SD580</t>
  </si>
  <si>
    <t>XJ8R1302SD580</t>
  </si>
  <si>
    <t>XJ8R1303SD580</t>
  </si>
  <si>
    <t>XJ8R1304SD580</t>
  </si>
  <si>
    <t>XJ8R1305SD580</t>
  </si>
  <si>
    <t>XJ8R1306SD580</t>
  </si>
  <si>
    <t>XJ8R1308SD580</t>
  </si>
  <si>
    <t>XJ8R1309SD580</t>
  </si>
  <si>
    <t>XJ8R1310SD580</t>
  </si>
  <si>
    <t>XJ8R1313SD580</t>
  </si>
  <si>
    <t>XJ8R1322SD580</t>
  </si>
  <si>
    <t>XJ8R1323SD580</t>
  </si>
  <si>
    <t>XJ8R1324SD580</t>
  </si>
  <si>
    <t>XJ8R1328SD580</t>
  </si>
  <si>
    <t>XJ8R1330SD500</t>
  </si>
  <si>
    <t>XJ8R1331SD500</t>
  </si>
  <si>
    <t>XJ8R1332SD500</t>
  </si>
  <si>
    <t>XJ8R1333SD500</t>
  </si>
  <si>
    <t>XJ8R1335SD500</t>
  </si>
  <si>
    <t>XJ8R1337SD500</t>
  </si>
  <si>
    <t>XJ8R1338SD500</t>
  </si>
  <si>
    <t>XJ8R1339SD500</t>
  </si>
  <si>
    <t>XJ8R1340SD580</t>
  </si>
  <si>
    <t>XJ8R1343SD500</t>
  </si>
  <si>
    <t>XJ8R1345SD500</t>
  </si>
  <si>
    <t>XJ8R1346SD500</t>
  </si>
  <si>
    <t>XJ8R1347SD500</t>
  </si>
  <si>
    <t>XJ8R1348SD500</t>
  </si>
  <si>
    <t>XJ8R1349SD500</t>
  </si>
  <si>
    <t>XJ8R1350SD500</t>
  </si>
  <si>
    <t>XJ8R1351SD500</t>
  </si>
  <si>
    <t>XJ8R1353SD500</t>
  </si>
  <si>
    <t>XJ8R1378SD500</t>
  </si>
  <si>
    <t>XJ8R1379SD500</t>
  </si>
  <si>
    <t>XJ8R1380SD500</t>
  </si>
  <si>
    <t>XJ8R1381SD500</t>
  </si>
  <si>
    <t>XJ8R1382SD500</t>
  </si>
  <si>
    <t>XJ8R1383SD500</t>
  </si>
  <si>
    <t>XJ8R1384SD500</t>
  </si>
  <si>
    <t>XJ8R1410SD580</t>
  </si>
  <si>
    <t>VANA 60 X 144</t>
  </si>
  <si>
    <t>VANA 60 X 96</t>
  </si>
  <si>
    <t>VANA 60 X 120</t>
  </si>
  <si>
    <t>DIG UV HYB VANA LEFT LP</t>
  </si>
  <si>
    <t>VANA</t>
  </si>
  <si>
    <t>VANA 30 X 120</t>
  </si>
  <si>
    <t>VANA 30 X 144</t>
  </si>
  <si>
    <t>VANA 30 X 96</t>
  </si>
  <si>
    <t>VANA 60 X 108</t>
  </si>
  <si>
    <t>FSC VANA 30 X 144</t>
  </si>
  <si>
    <t>FSC VANA 30 X 96</t>
  </si>
  <si>
    <t>VANA H/W 30 X 144</t>
  </si>
  <si>
    <t>VANA H/W 60 X 144</t>
  </si>
  <si>
    <t>VANA H/W 60 X 96</t>
  </si>
  <si>
    <t>WF131/C2  60 X 96</t>
  </si>
  <si>
    <t>WF131/C2  60 X 120</t>
  </si>
  <si>
    <t>VANA 61 1/2 X 56</t>
  </si>
  <si>
    <t>VANA 61 1/2 X 110</t>
  </si>
  <si>
    <t>VANA UV 2 LANE PK</t>
  </si>
  <si>
    <t>VANA 2 LANE PK</t>
  </si>
  <si>
    <t>VANA UV 2 LEFT ONLY LP</t>
  </si>
  <si>
    <t>VANA UV 2 RIGHT ONLY LP</t>
  </si>
  <si>
    <t>VANA NG RIGHT ONLY LP</t>
  </si>
  <si>
    <t>VANA PRO UV 2 LANE PK</t>
  </si>
  <si>
    <t>FRL VANA  60 X 48</t>
  </si>
  <si>
    <t>FRL VANA 60 X 96</t>
  </si>
  <si>
    <t>FRL VANA 60 X 120</t>
  </si>
  <si>
    <t>FRL VANA 60 X 108</t>
  </si>
  <si>
    <t>FRL VANA XG 48 X 120</t>
  </si>
  <si>
    <t>100WF131-6200</t>
  </si>
  <si>
    <t>D17WF131SD5201</t>
  </si>
  <si>
    <t>D45WF131N580</t>
  </si>
  <si>
    <t>D57WF131SD5002</t>
  </si>
  <si>
    <t>D57WF131SD500</t>
  </si>
  <si>
    <t>D68WF131SD5001</t>
  </si>
  <si>
    <t>D68WF131SD500</t>
  </si>
  <si>
    <t>D69WF131SD5002</t>
  </si>
  <si>
    <t>D69WF131SD500</t>
  </si>
  <si>
    <t>DIGWF131APPK5</t>
  </si>
  <si>
    <t>EF31WF1310T-5200</t>
  </si>
  <si>
    <t>F28WF131J520</t>
  </si>
  <si>
    <t>F28WF131N000</t>
  </si>
  <si>
    <t>F28WF131N020</t>
  </si>
  <si>
    <t>F28WF131N080</t>
  </si>
  <si>
    <t>F28WF131N500</t>
  </si>
  <si>
    <t>F28WF131N520</t>
  </si>
  <si>
    <t>F28WF131N5803</t>
  </si>
  <si>
    <t>F28WF131N580</t>
  </si>
  <si>
    <t>F28WF131N590</t>
  </si>
  <si>
    <t>F28WF131R020</t>
  </si>
  <si>
    <t>F28WF131R520</t>
  </si>
  <si>
    <t>F28WF131SD000</t>
  </si>
  <si>
    <t>F28WF131SD020</t>
  </si>
  <si>
    <t>F28WF131SD080</t>
  </si>
  <si>
    <t>F28WF131SD500</t>
  </si>
  <si>
    <t>F28WF131SD520</t>
  </si>
  <si>
    <t>F28WF131SD580</t>
  </si>
  <si>
    <t>F28WF131U000</t>
  </si>
  <si>
    <t>F28WF131U020</t>
  </si>
  <si>
    <t>F39WF131N000</t>
  </si>
  <si>
    <t>F39WF131N0203</t>
  </si>
  <si>
    <t>F39WF131N020</t>
  </si>
  <si>
    <t>F39WF131N0803</t>
  </si>
  <si>
    <t>F39WF131N080</t>
  </si>
  <si>
    <t>F39WF131N500</t>
  </si>
  <si>
    <t>F39WF131N520</t>
  </si>
  <si>
    <t>F39WF131N580</t>
  </si>
  <si>
    <t>F39WF131PV500</t>
  </si>
  <si>
    <t>F39WF131SD000</t>
  </si>
  <si>
    <t>F39WF131SD020</t>
  </si>
  <si>
    <t>F39WF131SD080</t>
  </si>
  <si>
    <t>F39WF131SD5001</t>
  </si>
  <si>
    <t>F39WF131SD5003</t>
  </si>
  <si>
    <t>F39WF131SD500</t>
  </si>
  <si>
    <t>F39WF131SD520</t>
  </si>
  <si>
    <t>F39WF131SD580</t>
  </si>
  <si>
    <t>FI4WF132N020</t>
  </si>
  <si>
    <t>G01WF131SD520</t>
  </si>
  <si>
    <t>G48WF131G5201</t>
  </si>
  <si>
    <t>G48WF131G520</t>
  </si>
  <si>
    <t>G48WF131GL5201</t>
  </si>
  <si>
    <t>G48WF131GL520</t>
  </si>
  <si>
    <t>G48WF131J520</t>
  </si>
  <si>
    <t>G48WF131L520</t>
  </si>
  <si>
    <t>G48WF131N000</t>
  </si>
  <si>
    <t>G48WF131N020</t>
  </si>
  <si>
    <t>G48WF131N080</t>
  </si>
  <si>
    <t>G48WF131N500</t>
  </si>
  <si>
    <t>G48WF131N5203</t>
  </si>
  <si>
    <t>G48WF131N520</t>
  </si>
  <si>
    <t>G48WF131N580</t>
  </si>
  <si>
    <t>G48WF131R520</t>
  </si>
  <si>
    <t>G48WF131SD020</t>
  </si>
  <si>
    <t>G48WF131SD080</t>
  </si>
  <si>
    <t>G48WF131SD500</t>
  </si>
  <si>
    <t>G48WF131SD520</t>
  </si>
  <si>
    <t>G48WF131SD580</t>
  </si>
  <si>
    <t>G48WF131V500</t>
  </si>
  <si>
    <t>G48WF131V520</t>
  </si>
  <si>
    <t>G48WF131W520</t>
  </si>
  <si>
    <t>H39WF131SD520</t>
  </si>
  <si>
    <t>H48WF131CR520</t>
  </si>
  <si>
    <t>H48WF131J520</t>
  </si>
  <si>
    <t>H48WF131N520</t>
  </si>
  <si>
    <t>H48WF131SD000</t>
  </si>
  <si>
    <t>H48WF131SD020</t>
  </si>
  <si>
    <t>H48WF131SD080</t>
  </si>
  <si>
    <t>H48WF131SD500</t>
  </si>
  <si>
    <t>H48WF131SD520</t>
  </si>
  <si>
    <t>I48WF132CR520</t>
  </si>
  <si>
    <t>I48WF132J520</t>
  </si>
  <si>
    <t>I48WF132N520</t>
  </si>
  <si>
    <t>I48WF132N580</t>
  </si>
  <si>
    <t>I48WF132SD520</t>
  </si>
  <si>
    <t>KI5WF132N580</t>
  </si>
  <si>
    <t>KI5WF132SD580</t>
  </si>
  <si>
    <t>M01PC206N580</t>
  </si>
  <si>
    <t>M01PC206SD580</t>
  </si>
  <si>
    <t>M02WF131N500</t>
  </si>
  <si>
    <t>M02WF131N580</t>
  </si>
  <si>
    <t>M02WF131SD500</t>
  </si>
  <si>
    <t>M02WF131SD580</t>
  </si>
  <si>
    <t>M39WF131SD020</t>
  </si>
  <si>
    <t>M55PC206N500</t>
  </si>
  <si>
    <t>M56WF131N500</t>
  </si>
  <si>
    <t>M56WF131N580</t>
  </si>
  <si>
    <t>NE30WF1310T-5200</t>
  </si>
  <si>
    <t>QIRWF131NRWZ0</t>
  </si>
  <si>
    <t>QZSWF131NFFF0</t>
  </si>
  <si>
    <t>VNWF131APPK1</t>
  </si>
  <si>
    <t>VNWF131APPK2</t>
  </si>
  <si>
    <t>VNWF131APPK3</t>
  </si>
  <si>
    <t>VNWF131APPK4</t>
  </si>
  <si>
    <t>VNWF131APPK5</t>
  </si>
  <si>
    <t>VNWF131APPK6</t>
  </si>
  <si>
    <t>VNWF131APPK7</t>
  </si>
  <si>
    <t>X75FW444NLSR</t>
  </si>
  <si>
    <t>X75FW444NNYR</t>
  </si>
  <si>
    <t>X75FW444NPFQ</t>
  </si>
  <si>
    <t>X75FW444NRAJ</t>
  </si>
  <si>
    <t>X75FW444SDNYR</t>
  </si>
  <si>
    <t>X75FW444SDPFQ</t>
  </si>
  <si>
    <t>X88JW444NPFN</t>
  </si>
  <si>
    <t>IQ MAPLE LANE (C) 60 X 144</t>
  </si>
  <si>
    <t>110SW736-5000</t>
  </si>
  <si>
    <t>PRECISION WHITE 43 X 145</t>
  </si>
  <si>
    <t>PRECISION WHITE 36 X 120</t>
  </si>
  <si>
    <t>PRECISION WHITE 36 X 144</t>
  </si>
  <si>
    <t>PRECISION WHITE 36 X 96</t>
  </si>
  <si>
    <t>PRECISION WHITE 48 X 96</t>
  </si>
  <si>
    <t>PRECISION WHITE</t>
  </si>
  <si>
    <t>PRECISION WHITE  48 X 120</t>
  </si>
  <si>
    <t>PERCISION WHITE 48 X 96</t>
  </si>
  <si>
    <t>FOSSIL D/G 48 X 144</t>
  </si>
  <si>
    <t>FOSSIL D/G 48 X 96</t>
  </si>
  <si>
    <t>FOSSIL D/G 48 X 120</t>
  </si>
  <si>
    <t>BENCHMARK D/G 48 X 96</t>
  </si>
  <si>
    <t>Q SW726 COMMON  41.875 X 144</t>
  </si>
  <si>
    <t>FOSSIL D/G (SB040 B) 48 X 96</t>
  </si>
  <si>
    <t>FOSSIL D/G 36 X 96</t>
  </si>
  <si>
    <t>FOSSIL  D/G 48 X 144</t>
  </si>
  <si>
    <t>BENCHMARK D/G 48 X 120</t>
  </si>
  <si>
    <t>FOSSIL H/W 48 X 120</t>
  </si>
  <si>
    <t>FOSSIL H/W 48 X 96</t>
  </si>
  <si>
    <t>FRL FOSSIL D/G 48 X 120</t>
  </si>
  <si>
    <t>FRL FOSSIL D/G 48 X 144</t>
  </si>
  <si>
    <t>FRL FOSSIL D/G 48 X 96</t>
  </si>
  <si>
    <t>PRECISION WHITE 36 X 72</t>
  </si>
  <si>
    <t>MXT003 / S-7036 48X96</t>
  </si>
  <si>
    <t>Precision White  48 x 96</t>
  </si>
  <si>
    <t>S-7036/S-6001 48 X 96</t>
  </si>
  <si>
    <t>WC5581/S-7036 48 X 96</t>
  </si>
  <si>
    <t>AL2005/S-7036 48 X 96</t>
  </si>
  <si>
    <t>MR5004/S-7036 48 X 96</t>
  </si>
  <si>
    <t>PRECISION WHITE 48 X 120</t>
  </si>
  <si>
    <t>PRECISION WHITE  48 X 96</t>
  </si>
  <si>
    <t>Precision White 48 x 96</t>
  </si>
  <si>
    <t>Precision White  48 x 120</t>
  </si>
  <si>
    <t>Precision White  48 x 144</t>
  </si>
  <si>
    <t>Precision White PC 48 x 96</t>
  </si>
  <si>
    <t>Precision White  36 x 120</t>
  </si>
  <si>
    <t>Precision White  36 x 96</t>
  </si>
  <si>
    <t>PRECISSION WHITE  48 X 120</t>
  </si>
  <si>
    <t>PERCISION WHITE 36 X 96</t>
  </si>
  <si>
    <t>PRECISION WHITE 48X120</t>
  </si>
  <si>
    <t>PRECISION WHITE 36.5 X 85</t>
  </si>
  <si>
    <t>PRECISION WHITE 48 x 96</t>
  </si>
  <si>
    <t>Precision White  36 x 144</t>
  </si>
  <si>
    <t>PRECISION WHITE 48 X 144</t>
  </si>
  <si>
    <t>Precision White  PC 48 x 120</t>
  </si>
  <si>
    <t>PRECISION WHITE 48X144</t>
  </si>
  <si>
    <t>PRECISION WHITE  48 x 96</t>
  </si>
  <si>
    <t>PRECISION WHITE  36 X 96</t>
  </si>
  <si>
    <t>PRECISION WHITE  36.5X108.75</t>
  </si>
  <si>
    <t>Precision White 48.75x85</t>
  </si>
  <si>
    <t>DIG PRECISION WT DUCKPIN APPR</t>
  </si>
  <si>
    <t>DIG PRECISION WT DUCKPIN F/A</t>
  </si>
  <si>
    <t>AMF WHITE PINE  43.5 X 144</t>
  </si>
  <si>
    <t>AMF WHITE PINE  43.5X144</t>
  </si>
  <si>
    <t>AMF WHITE HEAD  43.5X144</t>
  </si>
  <si>
    <t>AMF WHITE ARROW  43.5 X 144</t>
  </si>
  <si>
    <t>AMF WHITE ARROW  43.5X144</t>
  </si>
  <si>
    <t>AMF WHITE CG HEAD  43.5X144</t>
  </si>
  <si>
    <t>AMF WHITE CG HEAD  43.5 X 144</t>
  </si>
  <si>
    <t>AMF WHITE HEAD  43.5 X 144</t>
  </si>
  <si>
    <t>PRECISION WHITE 49 x 97</t>
  </si>
  <si>
    <t>PRECISION WHITE 36 1/2 X 96 3/</t>
  </si>
  <si>
    <t>AMF WHITE PLUGS 48 X 144</t>
  </si>
  <si>
    <t>AMF WHITE LAMINATE FOR PLUGS 4</t>
  </si>
  <si>
    <t>PRECISION WHITE  36X96</t>
  </si>
  <si>
    <t>PRECISON WHITE  48 X 120</t>
  </si>
  <si>
    <t>PRECISION WHITE  48X144</t>
  </si>
  <si>
    <t>BAD PART USE EM01</t>
  </si>
  <si>
    <t>PRECISION WHITE  48X120</t>
  </si>
  <si>
    <t>PRECISION WHITE  48 X 144</t>
  </si>
  <si>
    <t>PRECISION WHITE  36 X 144</t>
  </si>
  <si>
    <t>PRECISION WHITE  36 X 120</t>
  </si>
  <si>
    <t>PRECISION WHITE  M/B 48 X 96</t>
  </si>
  <si>
    <t>PRECISION WHITE 49 1/2</t>
  </si>
  <si>
    <t>PRECISION WHITE 49 1/2 X 98</t>
  </si>
  <si>
    <t>PRICISION WHITE 49 1/2 X 122</t>
  </si>
  <si>
    <t>PRECISION WHITE 38 X 80</t>
  </si>
  <si>
    <t>PRECISION WHITE 49 1/2 X 195 1</t>
  </si>
  <si>
    <t>FRL PRECISION WHITE 48 X 96</t>
  </si>
  <si>
    <t>FRL PRECISION WHITE 36 X 96</t>
  </si>
  <si>
    <t>FRL PRECISION WHITE 48 X 120</t>
  </si>
  <si>
    <t>EF28S-7036T-4003</t>
  </si>
  <si>
    <t>EF31S-7036T-4000</t>
  </si>
  <si>
    <t>EF31S-7036T-4003</t>
  </si>
  <si>
    <t>EM01S-7036SD4003</t>
  </si>
  <si>
    <t>EM01S-7036T-4000</t>
  </si>
  <si>
    <t>EM01S-7036T-4003</t>
  </si>
  <si>
    <t>EM01S-7036T-4800</t>
  </si>
  <si>
    <t>F28SW736G4801</t>
  </si>
  <si>
    <t>J27IFOSSH4201</t>
  </si>
  <si>
    <t>J27IFOSSH4801</t>
  </si>
  <si>
    <t>J27IFOSSPV4801</t>
  </si>
  <si>
    <t>J28IFOSSH4001</t>
  </si>
  <si>
    <t>J28IFOSSH4201</t>
  </si>
  <si>
    <t>J28IFOSSH4801</t>
  </si>
  <si>
    <t>J28IFOSSLS4801</t>
  </si>
  <si>
    <t>J28IFOSSPV4801</t>
  </si>
  <si>
    <t>J28IFOSSS4801</t>
  </si>
  <si>
    <t>J35IFOSSH4001</t>
  </si>
  <si>
    <t>J35IFOSSH4201</t>
  </si>
  <si>
    <t>J35IFOSSH4801</t>
  </si>
  <si>
    <t>J35IFOSSS4801</t>
  </si>
  <si>
    <t>J47IFOSSCR4801</t>
  </si>
  <si>
    <t>J47IFOSSH4001</t>
  </si>
  <si>
    <t>J47IFOSSH4201</t>
  </si>
  <si>
    <t>J47IFOSSH4801</t>
  </si>
  <si>
    <t>J47IFOSSPV4801</t>
  </si>
  <si>
    <t>J47IFOSSS4001</t>
  </si>
  <si>
    <t>J47IFOSSS4201</t>
  </si>
  <si>
    <t>J47IFOSSS4801</t>
  </si>
  <si>
    <t>J48IBENCSD480</t>
  </si>
  <si>
    <t>J48IFOSSJ4801</t>
  </si>
  <si>
    <t>J48IFOSSJ480</t>
  </si>
  <si>
    <t>J48IFOSSS4001</t>
  </si>
  <si>
    <t>J48IFOSSS4201</t>
  </si>
  <si>
    <t>J48IFOSSS4801</t>
  </si>
  <si>
    <t>J49IFOSSCR4801</t>
  </si>
  <si>
    <t>J49IFOSSH4001</t>
  </si>
  <si>
    <t>J49IFOSSH4201</t>
  </si>
  <si>
    <t>J49IFOSSH4801</t>
  </si>
  <si>
    <t>J49IFOSSJ4001</t>
  </si>
  <si>
    <t>J49IFOSSJ4201</t>
  </si>
  <si>
    <t>J49IFOSSJ4801</t>
  </si>
  <si>
    <t>J49IFOSSLS4801</t>
  </si>
  <si>
    <t>J49IFOSSPV4801</t>
  </si>
  <si>
    <t>J49IFOSSS4001</t>
  </si>
  <si>
    <t>J49IFOSSS4201</t>
  </si>
  <si>
    <t>J49IFOSSS4801</t>
  </si>
  <si>
    <t>J75IQU0APQ25</t>
  </si>
  <si>
    <t>J90IFOSSS4001</t>
  </si>
  <si>
    <t>J90IFOSSS4801</t>
  </si>
  <si>
    <t>JD1IFOSSCR4801</t>
  </si>
  <si>
    <t>JD1IFOSSH4001</t>
  </si>
  <si>
    <t>JD1IFOSSH4201</t>
  </si>
  <si>
    <t>JD1IFOSSH4801</t>
  </si>
  <si>
    <t>JD1IFOSSJ4801</t>
  </si>
  <si>
    <t>JD1IFOSSPV4801</t>
  </si>
  <si>
    <t>JD1IFOSSS4001</t>
  </si>
  <si>
    <t>JD1IFOSSS400</t>
  </si>
  <si>
    <t>JD1IFOSSS4201</t>
  </si>
  <si>
    <t>JD1IFOSSS420</t>
  </si>
  <si>
    <t>JD1IFOSSS4801</t>
  </si>
  <si>
    <t>JD1IFOSSS480</t>
  </si>
  <si>
    <t>JD2IFOSSG4801</t>
  </si>
  <si>
    <t>JD2IFOSSH4001</t>
  </si>
  <si>
    <t>JD2IFOSSH4201</t>
  </si>
  <si>
    <t>JD2IFOSSH4801</t>
  </si>
  <si>
    <t>JD2IFOSSJ4801</t>
  </si>
  <si>
    <t>JD2IFOSSLS4801</t>
  </si>
  <si>
    <t>JD2IFOSSPV4801</t>
  </si>
  <si>
    <t>JD2IFOSSS4001</t>
  </si>
  <si>
    <t>JD2IFOSSS4201</t>
  </si>
  <si>
    <t>JD2IFOSSS420</t>
  </si>
  <si>
    <t>JD2IFOSSS4801</t>
  </si>
  <si>
    <t>JD2IFOSSS480</t>
  </si>
  <si>
    <t>JD3IFOSSCR4801</t>
  </si>
  <si>
    <t>JD3IFOSSH4001</t>
  </si>
  <si>
    <t>JD3IFOSSH4201</t>
  </si>
  <si>
    <t>JD3IFOSSH4801</t>
  </si>
  <si>
    <t>JD3IFOSSJ4801</t>
  </si>
  <si>
    <t>JD3IFOSSPV4801</t>
  </si>
  <si>
    <t>JD3IFOSSS4001</t>
  </si>
  <si>
    <t>JD3IFOSSS400</t>
  </si>
  <si>
    <t>JD3IFOSSS4201</t>
  </si>
  <si>
    <t>JD3IFOSSS420</t>
  </si>
  <si>
    <t>JD3IFOSSS4801</t>
  </si>
  <si>
    <t>JD3IFOSSS480</t>
  </si>
  <si>
    <t>JD4IBENCSD480</t>
  </si>
  <si>
    <t>JD5IFOSCLS4801</t>
  </si>
  <si>
    <t>JD5IFOSCS4801</t>
  </si>
  <si>
    <t>JD5IFOSSCR4801</t>
  </si>
  <si>
    <t>JD5IFOSSH4001</t>
  </si>
  <si>
    <t>JD5IFOSSH4201</t>
  </si>
  <si>
    <t>JD5IFOSSH4801</t>
  </si>
  <si>
    <t>JD5IFOSSJ4001</t>
  </si>
  <si>
    <t>JD5IFOSSJ4201</t>
  </si>
  <si>
    <t>JD5IFOSSJ4801</t>
  </si>
  <si>
    <t>JD5IFOSSLS4801</t>
  </si>
  <si>
    <t>JD5IFOSSPV4001</t>
  </si>
  <si>
    <t>JD5IFOSSPV4801</t>
  </si>
  <si>
    <t>JD5IFOSSS4001</t>
  </si>
  <si>
    <t>JD5IFOSSS400</t>
  </si>
  <si>
    <t>JD5IFOSSS4201</t>
  </si>
  <si>
    <t>JD5IFOSSS420</t>
  </si>
  <si>
    <t>JD5IFOSSS4801</t>
  </si>
  <si>
    <t>JD5IFOSSS480</t>
  </si>
  <si>
    <t>JD6IFOSSH4801</t>
  </si>
  <si>
    <t>JD6IFOSSN380</t>
  </si>
  <si>
    <t>JD6IFOSSN480</t>
  </si>
  <si>
    <t>JD6IFOSSPV4801</t>
  </si>
  <si>
    <t>JD7IFOSSLS4801</t>
  </si>
  <si>
    <t>JD7IFOSSS4801</t>
  </si>
  <si>
    <t>JD8IFOSSH4001</t>
  </si>
  <si>
    <t>JD8IFOSSH4201</t>
  </si>
  <si>
    <t>JD8IFOSSH4801</t>
  </si>
  <si>
    <t>JD8IFOSSJ4801</t>
  </si>
  <si>
    <t>JD8IFOSSPV4001</t>
  </si>
  <si>
    <t>JD8IFOSSPV4801</t>
  </si>
  <si>
    <t>JD8IFOSSS4001</t>
  </si>
  <si>
    <t>JD8IFOSSS400</t>
  </si>
  <si>
    <t>JD8IFOSSS4201</t>
  </si>
  <si>
    <t>JD8IFOSSS4801</t>
  </si>
  <si>
    <t>JD8IFOSSS480</t>
  </si>
  <si>
    <t>JD9IFOSSH4001</t>
  </si>
  <si>
    <t>JD9IFOSSH4201</t>
  </si>
  <si>
    <t>JD9IFOSSH4801</t>
  </si>
  <si>
    <t>JD9IFOSSPV4801</t>
  </si>
  <si>
    <t>JD9IFOSSS4801</t>
  </si>
  <si>
    <t>JDAIFOSBS4801</t>
  </si>
  <si>
    <t>JDAIFOSSG4001</t>
  </si>
  <si>
    <t>JDAIFOSSG4801</t>
  </si>
  <si>
    <t>JDAIFOSSH4001</t>
  </si>
  <si>
    <t>JDAIFOSSH4201</t>
  </si>
  <si>
    <t>JDAIFOSSH4801</t>
  </si>
  <si>
    <t>JDAIFOSSJ4801</t>
  </si>
  <si>
    <t>JDAIFOSSLS4001</t>
  </si>
  <si>
    <t>JDAIFOSSLS4801</t>
  </si>
  <si>
    <t>JDAIFOSSPV4801</t>
  </si>
  <si>
    <t>JDAIFOSSS4001</t>
  </si>
  <si>
    <t>JDAIFOSSS4201</t>
  </si>
  <si>
    <t>JDAIFOSSS4801</t>
  </si>
  <si>
    <t>JDAIFOSSS480</t>
  </si>
  <si>
    <t>JDCIBENCSD480</t>
  </si>
  <si>
    <t>JDCIFOSSH4001</t>
  </si>
  <si>
    <t>JDCIFOSSH4201</t>
  </si>
  <si>
    <t>JDCIFOSSH4801</t>
  </si>
  <si>
    <t>JDCIFOSSLS4801</t>
  </si>
  <si>
    <t>JDCIFOSSPV4801</t>
  </si>
  <si>
    <t>JDCIFOSSS4001</t>
  </si>
  <si>
    <t>JDCIFOSSS4201</t>
  </si>
  <si>
    <t>JDCIFOSSS4801</t>
  </si>
  <si>
    <t>JDCIFOSSS480</t>
  </si>
  <si>
    <t>JDDIFOSSH4001</t>
  </si>
  <si>
    <t>JDDIFOSSH4201</t>
  </si>
  <si>
    <t>JDDIFOSSH4801</t>
  </si>
  <si>
    <t>JDDIFOSSPV4801</t>
  </si>
  <si>
    <t>JDDIFOSSS4001</t>
  </si>
  <si>
    <t>JDDIFOSSS4801</t>
  </si>
  <si>
    <t>JDDIFOSSS480</t>
  </si>
  <si>
    <t>JDEIFOSSH4001</t>
  </si>
  <si>
    <t>JDEIFOSSH4201</t>
  </si>
  <si>
    <t>JDEIFOSSH4801</t>
  </si>
  <si>
    <t>JDEIFOSSLS4801</t>
  </si>
  <si>
    <t>JDEIFOSSPV4801</t>
  </si>
  <si>
    <t>JDEIFOSSS4001</t>
  </si>
  <si>
    <t>JDEIFOSSS4201</t>
  </si>
  <si>
    <t>JDEIFOSSS4801</t>
  </si>
  <si>
    <t>JDEIFOSSS480</t>
  </si>
  <si>
    <t>JDFIFOSSH4001</t>
  </si>
  <si>
    <t>JDFIFOSSH4801</t>
  </si>
  <si>
    <t>JDFIFOSSJ4801</t>
  </si>
  <si>
    <t>JDFIFOSSS4001</t>
  </si>
  <si>
    <t>JDFIFOSSS4201</t>
  </si>
  <si>
    <t>JDFIFOSSS4801</t>
  </si>
  <si>
    <t>JDFIFOSSS480</t>
  </si>
  <si>
    <t>JDGIFOSSH4001</t>
  </si>
  <si>
    <t>JDGIFOSSH4801</t>
  </si>
  <si>
    <t>JDGIFOSSPV4001</t>
  </si>
  <si>
    <t>JDGIFOSSPV4801</t>
  </si>
  <si>
    <t>JDJIFOSBS4801</t>
  </si>
  <si>
    <t>JDJIFOSSH4001</t>
  </si>
  <si>
    <t>JDJIFOSSH4201</t>
  </si>
  <si>
    <t>JDJIFOSSH4801</t>
  </si>
  <si>
    <t>JDJIFOSSLS4801</t>
  </si>
  <si>
    <t>JDJIFOSSPV4801</t>
  </si>
  <si>
    <t>JDJIFOSSS4001</t>
  </si>
  <si>
    <t>JDJIFOSSS4801</t>
  </si>
  <si>
    <t>JDKIFOSSS4001</t>
  </si>
  <si>
    <t>JDKIFOSSS4201</t>
  </si>
  <si>
    <t>JDKIFOSSS4801</t>
  </si>
  <si>
    <t>JDLIFOSSH4001</t>
  </si>
  <si>
    <t>JDLIFOSSH4201</t>
  </si>
  <si>
    <t>JDLIFOSSH4801</t>
  </si>
  <si>
    <t>JDLIFOSSLS4801</t>
  </si>
  <si>
    <t>JDLIFOSSPV4801</t>
  </si>
  <si>
    <t>JDLIFOSSS4801</t>
  </si>
  <si>
    <t>JDMIFOSSH4001</t>
  </si>
  <si>
    <t>JDMIFOSSH4801</t>
  </si>
  <si>
    <t>JDMIFOSSS4001</t>
  </si>
  <si>
    <t>JDMIFOSSS4801</t>
  </si>
  <si>
    <t>JDOIFOSSH4001</t>
  </si>
  <si>
    <t>JDOIFOSSH4201</t>
  </si>
  <si>
    <t>JDOIFOSSH4801</t>
  </si>
  <si>
    <t>JDOIFOSSPV4801</t>
  </si>
  <si>
    <t>JDOIFOSSS4801</t>
  </si>
  <si>
    <t>JDRIFOSSH4001</t>
  </si>
  <si>
    <t>JDRIFOSSJ4801</t>
  </si>
  <si>
    <t>JDSIFOSSH4001</t>
  </si>
  <si>
    <t>JDSIFOSSH4201</t>
  </si>
  <si>
    <t>JDSIFOSSH4801</t>
  </si>
  <si>
    <t>JDSIFOSSPV4801</t>
  </si>
  <si>
    <t>JDSIFOSSS4001</t>
  </si>
  <si>
    <t>JDSIFOSSS4801</t>
  </si>
  <si>
    <t>JDTIFOSSH4001</t>
  </si>
  <si>
    <t>JDTIFOSSH4201</t>
  </si>
  <si>
    <t>JDTIFOSSH4801</t>
  </si>
  <si>
    <t>JDTIFOSSPV4801</t>
  </si>
  <si>
    <t>JDUIBENCSD400</t>
  </si>
  <si>
    <t>JDUIBENCSD480</t>
  </si>
  <si>
    <t>JI5IFOSSG4001</t>
  </si>
  <si>
    <t>JI5IFOSSG4801</t>
  </si>
  <si>
    <t>JI7IFOSSG4001</t>
  </si>
  <si>
    <t>JI7IFOSSG4801</t>
  </si>
  <si>
    <t>JI7IFOSSN4001</t>
  </si>
  <si>
    <t>JI7IFOSSPV4801</t>
  </si>
  <si>
    <t>JIEIFOSSJ4801</t>
  </si>
  <si>
    <t>JV1IFOSSS4801</t>
  </si>
  <si>
    <t>JX8IFOSSH4001</t>
  </si>
  <si>
    <t>JX8IFOSSH4201</t>
  </si>
  <si>
    <t>JX8IFOSSH4801</t>
  </si>
  <si>
    <t>JX8IFOSSPV4801</t>
  </si>
  <si>
    <t>JX8IFOSSUNYM1</t>
  </si>
  <si>
    <t>KD3SW736G300</t>
  </si>
  <si>
    <t>KD3SW736G360</t>
  </si>
  <si>
    <t>KD3SW736G380</t>
  </si>
  <si>
    <t>KD3SW736N480</t>
  </si>
  <si>
    <t>NA60S-7036T-4800</t>
  </si>
  <si>
    <t>NC20S-7036M-4800</t>
  </si>
  <si>
    <t>ND45H31936T-4800</t>
  </si>
  <si>
    <t>ND45S-7036T-4800</t>
  </si>
  <si>
    <t>ND57DF3020MG4800</t>
  </si>
  <si>
    <t>ND57DF3020PV4800</t>
  </si>
  <si>
    <t>ND57DF3020SD4800</t>
  </si>
  <si>
    <t>ND57S-7036MG4802</t>
  </si>
  <si>
    <t>ND68H31957MG4800</t>
  </si>
  <si>
    <t>ND68H31957N-4800</t>
  </si>
  <si>
    <t>ND69DF3002T-4800</t>
  </si>
  <si>
    <t>ND69DF3003T-4800</t>
  </si>
  <si>
    <t>ND69S-7036T-4800</t>
  </si>
  <si>
    <t>NE30S-7036T-4000</t>
  </si>
  <si>
    <t>NF28S-7036C-4800</t>
  </si>
  <si>
    <t>NF28S-7036CR4800</t>
  </si>
  <si>
    <t>NF28S-7036E-4800</t>
  </si>
  <si>
    <t>NF28S-7036G-4001</t>
  </si>
  <si>
    <t>NF28S-7036G-4201</t>
  </si>
  <si>
    <t>NF28S-7036G-4801</t>
  </si>
  <si>
    <t>NF28S-7036G-4804</t>
  </si>
  <si>
    <t>NF28S-7036GL3001</t>
  </si>
  <si>
    <t>NF28S-7036GL4001</t>
  </si>
  <si>
    <t>NF28S-7036GL4801</t>
  </si>
  <si>
    <t>NF28S-7036GL4804</t>
  </si>
  <si>
    <t>NF28S-7036LR4800</t>
  </si>
  <si>
    <t>NF28S-7036LZ4800</t>
  </si>
  <si>
    <t>NF28S-7036MG4800</t>
  </si>
  <si>
    <t>NF28S-7036N-4800</t>
  </si>
  <si>
    <t>NF28S-7036PV4000</t>
  </si>
  <si>
    <t>NF28S-7036PV4800</t>
  </si>
  <si>
    <t>NF28S-7036SM4000</t>
  </si>
  <si>
    <t>NF28S-7036SM4003</t>
  </si>
  <si>
    <t>NF28S-7036SM4800</t>
  </si>
  <si>
    <t>NF28S-7036SM4803</t>
  </si>
  <si>
    <t>NF28S-7036SX4800</t>
  </si>
  <si>
    <t>NF28S-7036T-3000</t>
  </si>
  <si>
    <t>NF28S-7036T-3800</t>
  </si>
  <si>
    <t>NF28S-7036T-4000</t>
  </si>
  <si>
    <t>NF28S-7036T-4003</t>
  </si>
  <si>
    <t>NF28S-7036T-4800</t>
  </si>
  <si>
    <t>NF28S-7036T-4801</t>
  </si>
  <si>
    <t>NF28S-7036T-4803</t>
  </si>
  <si>
    <t>NF28S-7036VE4000</t>
  </si>
  <si>
    <t>NF28S-7036VE4800</t>
  </si>
  <si>
    <t>NF39S-7036G-3001</t>
  </si>
  <si>
    <t>NF39S-7036G-3801</t>
  </si>
  <si>
    <t>NF39S-7036G-4001</t>
  </si>
  <si>
    <t>NF39S-7036G-4004</t>
  </si>
  <si>
    <t>NF39S-7036G-4201</t>
  </si>
  <si>
    <t>NF39S-7036G-4801</t>
  </si>
  <si>
    <t>NF39S-7036G-4804</t>
  </si>
  <si>
    <t>NF39S-7036GL3801</t>
  </si>
  <si>
    <t>NF39S-7036GL4001</t>
  </si>
  <si>
    <t>NF39S-7036GL4801</t>
  </si>
  <si>
    <t>NF39S-7036GV3700</t>
  </si>
  <si>
    <t>NF39S-7036GV4800</t>
  </si>
  <si>
    <t>NF39S-7036LR4800</t>
  </si>
  <si>
    <t>NF39S-7036MG4800</t>
  </si>
  <si>
    <t>NF39S-7036PV3200</t>
  </si>
  <si>
    <t>NF39S-7036PV3800</t>
  </si>
  <si>
    <t>NF39S-7036PV4000</t>
  </si>
  <si>
    <t>NF39S-7036PV4800</t>
  </si>
  <si>
    <t>NF39S-7036PV4801</t>
  </si>
  <si>
    <t>NF39S-7036SL4800</t>
  </si>
  <si>
    <t>NF39S-7036SM3000</t>
  </si>
  <si>
    <t>NF39S-7036SM3200</t>
  </si>
  <si>
    <t>NF39S-7036SM4000</t>
  </si>
  <si>
    <t>NF39S-7036SM4003</t>
  </si>
  <si>
    <t>NF39S-7036SM4200</t>
  </si>
  <si>
    <t>NF39S-7036SM4800</t>
  </si>
  <si>
    <t>NF39S-7036SX4800</t>
  </si>
  <si>
    <t>NF39S-7036T-3000</t>
  </si>
  <si>
    <t>NF39S-7036T-3200</t>
  </si>
  <si>
    <t>NF39S-7036T-3800</t>
  </si>
  <si>
    <t>NF39S-7036T-4000</t>
  </si>
  <si>
    <t>NF39S-7036T-4001</t>
  </si>
  <si>
    <t>NF39S-7036T-4200</t>
  </si>
  <si>
    <t>NF39S-7036T-4800</t>
  </si>
  <si>
    <t>NF39S-7036T-4801</t>
  </si>
  <si>
    <t>NF39S-7036VE4200</t>
  </si>
  <si>
    <t>NF39S-7036VE4800</t>
  </si>
  <si>
    <t>NF39S-7036WE4800</t>
  </si>
  <si>
    <t>NG48S-7036B-4800</t>
  </si>
  <si>
    <t>NG48S-7036C-4800</t>
  </si>
  <si>
    <t>NG48S-7036CV4800</t>
  </si>
  <si>
    <t>NG48S-7036E-4800</t>
  </si>
  <si>
    <t>NG48S-7036G-3001</t>
  </si>
  <si>
    <t>NG48S-7036G-4001</t>
  </si>
  <si>
    <t>NG48S-7036G-4201</t>
  </si>
  <si>
    <t>NG48S-7036G-4800</t>
  </si>
  <si>
    <t>NG48S-7036G-4801</t>
  </si>
  <si>
    <t>NG48S-7036GL4001</t>
  </si>
  <si>
    <t>NG48S-7036GL4801</t>
  </si>
  <si>
    <t>NG48S-7036LC4800</t>
  </si>
  <si>
    <t>NG48S-7036LR4800</t>
  </si>
  <si>
    <t>NG48S-7036N-4800</t>
  </si>
  <si>
    <t>NG48S-7036OL4800</t>
  </si>
  <si>
    <t>NG48S-7036OZ4800</t>
  </si>
  <si>
    <t>NG48S-7036PV4800</t>
  </si>
  <si>
    <t>NG48S-7036SC4800</t>
  </si>
  <si>
    <t>NG48S-7036SM3800</t>
  </si>
  <si>
    <t>NG48S-7036SM4000</t>
  </si>
  <si>
    <t>NG48S-7036SM4800</t>
  </si>
  <si>
    <t>NG48S-7036SX4800</t>
  </si>
  <si>
    <t>NG48S-7036T-3000</t>
  </si>
  <si>
    <t>NG48S-7036T-3200</t>
  </si>
  <si>
    <t>NG48S-7036T-3700</t>
  </si>
  <si>
    <t>NG48S-7036T-3800</t>
  </si>
  <si>
    <t>NG48S-7036T-3803</t>
  </si>
  <si>
    <t>NG48S-7036T-3900</t>
  </si>
  <si>
    <t>NG48S-7036T-3903</t>
  </si>
  <si>
    <t>NG48S-7036T-4000</t>
  </si>
  <si>
    <t>NG48S-7036T-4200</t>
  </si>
  <si>
    <t>NG48S-7036T-4700</t>
  </si>
  <si>
    <t>NG48S-7036T-4800</t>
  </si>
  <si>
    <t>NG48S-7036T-4803</t>
  </si>
  <si>
    <t>NG48S-7036VR4800</t>
  </si>
  <si>
    <t>NG48S-7036WE4800</t>
  </si>
  <si>
    <t>NG48S-7036Z-4800</t>
  </si>
  <si>
    <t>NG63B02440PTVYM0</t>
  </si>
  <si>
    <t>NG63B02450BPVYM0</t>
  </si>
  <si>
    <t>NG63H31937SBVYM0</t>
  </si>
  <si>
    <t>NG63H31938SBVYM0</t>
  </si>
  <si>
    <t>NG63H31939SBVYM0</t>
  </si>
  <si>
    <t>NG63H31948SBVYM0</t>
  </si>
  <si>
    <t>NG63H31949BPVYM0</t>
  </si>
  <si>
    <t>NG63H31949SBVYM0</t>
  </si>
  <si>
    <t>NG63H31950SBVYM0</t>
  </si>
  <si>
    <t>NG63H31951SBVYM0</t>
  </si>
  <si>
    <t>NH28S-7036CA4800</t>
  </si>
  <si>
    <t>NH48S-7036CA4800</t>
  </si>
  <si>
    <t>NHD8S-7036CACIG0</t>
  </si>
  <si>
    <t>NHD8S-7036CAQWJ0</t>
  </si>
  <si>
    <t>NI48S-7036E-4800</t>
  </si>
  <si>
    <t>NI48S-7036SD4800</t>
  </si>
  <si>
    <t>NJ07H31945BP4200</t>
  </si>
  <si>
    <t>NJ07H31945SB4200</t>
  </si>
  <si>
    <t>NK32S-7036G-4801</t>
  </si>
  <si>
    <t>NK51S-7036T-4800</t>
  </si>
  <si>
    <t>NM01S-7036E-4000</t>
  </si>
  <si>
    <t>NM01S-7036E-4800</t>
  </si>
  <si>
    <t>NM01S-7036E-4801</t>
  </si>
  <si>
    <t>NM01S-7036G-3801</t>
  </si>
  <si>
    <t>NM01S-7036G-4000</t>
  </si>
  <si>
    <t>NM01S-7036G-4001</t>
  </si>
  <si>
    <t>NM01S-7036G-4200</t>
  </si>
  <si>
    <t>NM01S-7036G-4201</t>
  </si>
  <si>
    <t>NM01S-7036G-4800</t>
  </si>
  <si>
    <t>NM01S-7036G-4801</t>
  </si>
  <si>
    <t>NM01S-7036GL4001</t>
  </si>
  <si>
    <t>NM01S-7036GL4801</t>
  </si>
  <si>
    <t>NM01S-7036MG4800</t>
  </si>
  <si>
    <t>NM01S-7036SD4000</t>
  </si>
  <si>
    <t>NM01S-7036SD4800</t>
  </si>
  <si>
    <t>NM01S-7036SD4801</t>
  </si>
  <si>
    <t>NM01S-7036SD4803</t>
  </si>
  <si>
    <t>NM01S-7036SM4800</t>
  </si>
  <si>
    <t>NM01S-7036T-4000</t>
  </si>
  <si>
    <t>NM39S-7036GL4001</t>
  </si>
  <si>
    <t>NM39S-7036GL4004</t>
  </si>
  <si>
    <t>NM39S-7036SD4000</t>
  </si>
  <si>
    <t>NM39S-7036SD4800</t>
  </si>
  <si>
    <t>NM39S-7036SD4801</t>
  </si>
  <si>
    <t>NM39S-7036SM4000</t>
  </si>
  <si>
    <t>NM39S-7036SM4001</t>
  </si>
  <si>
    <t>NM39S-7036SM4003</t>
  </si>
  <si>
    <t>NM39S-7036SM4203</t>
  </si>
  <si>
    <t>NM39S-7036SM4803</t>
  </si>
  <si>
    <t>NM55S-7036E-4000</t>
  </si>
  <si>
    <t>NM55S-7036E-4001</t>
  </si>
  <si>
    <t>NM55S-7036E-4003</t>
  </si>
  <si>
    <t>NM55S-7036E-4200</t>
  </si>
  <si>
    <t>NM55S-7036E-4800</t>
  </si>
  <si>
    <t>NM55S-7036G-3801</t>
  </si>
  <si>
    <t>NM55S-7036G-4000</t>
  </si>
  <si>
    <t>NM55S-7036G-4001</t>
  </si>
  <si>
    <t>NM55S-7036G-4004</t>
  </si>
  <si>
    <t>NM55S-7036G-4201</t>
  </si>
  <si>
    <t>NM55S-7036G-4801</t>
  </si>
  <si>
    <t>NM55S-7036GL3801</t>
  </si>
  <si>
    <t>NM55S-7036GL4001</t>
  </si>
  <si>
    <t>NM55S-7036GL4801</t>
  </si>
  <si>
    <t>NM55S-7036MG4800</t>
  </si>
  <si>
    <t>NM55S-7036N-4800</t>
  </si>
  <si>
    <t>NM55S-7036N-4801</t>
  </si>
  <si>
    <t>NM55S-7036SD3200</t>
  </si>
  <si>
    <t>NM55S-7036SD4000</t>
  </si>
  <si>
    <t>NM55S-7036SD4200</t>
  </si>
  <si>
    <t>NM55S-7036SD4800</t>
  </si>
  <si>
    <t>NM55S-7036SD4803</t>
  </si>
  <si>
    <t>NM55S-7036SM3001</t>
  </si>
  <si>
    <t>NM55S-7036SM4000</t>
  </si>
  <si>
    <t>NM55S-7036SM4800</t>
  </si>
  <si>
    <t>NM55S-7036SM4803</t>
  </si>
  <si>
    <t>NM55S-7036TL4800</t>
  </si>
  <si>
    <t>NM55S-7036VE4000</t>
  </si>
  <si>
    <t>NMB1S-7036GL4801</t>
  </si>
  <si>
    <t>NMB1S-7036GL4804</t>
  </si>
  <si>
    <t>NMB1S-7036MB4800</t>
  </si>
  <si>
    <t>NMB2S-7036GL4801</t>
  </si>
  <si>
    <t>NMD6S-7036T-4802</t>
  </si>
  <si>
    <t>NMM5S-7036GL4801</t>
  </si>
  <si>
    <t>QIRSW736NCIM0</t>
  </si>
  <si>
    <t>QIRSW736NKRL0</t>
  </si>
  <si>
    <t>QIRSW736NLVI0</t>
  </si>
  <si>
    <t>QIRSW736NSWH0</t>
  </si>
  <si>
    <t>QIRSW736NTNJ0</t>
  </si>
  <si>
    <t>QISSW736NCIM0</t>
  </si>
  <si>
    <t>QZTSW736NKRL0</t>
  </si>
  <si>
    <t>X75NS184LNNYM</t>
  </si>
  <si>
    <t>X75NS184LNPNY</t>
  </si>
  <si>
    <t>X75NS184NNYM</t>
  </si>
  <si>
    <t>X75NS184NPFN</t>
  </si>
  <si>
    <t>X75NS184OLNYM</t>
  </si>
  <si>
    <t>X75NS184OLPNY</t>
  </si>
  <si>
    <t>X75NS184SDNYM</t>
  </si>
  <si>
    <t>X75NS184SDPFN</t>
  </si>
  <si>
    <t>X89NS184NNYM</t>
  </si>
  <si>
    <t>PRECISION WHITE 60 X 144</t>
  </si>
  <si>
    <t>FOSSIL D/G 60 X 120</t>
  </si>
  <si>
    <t>FOSSIL D/G 60 X 144</t>
  </si>
  <si>
    <t>FOSSIL D/G 60 X 96</t>
  </si>
  <si>
    <t>BENCHMARK D/G 60 X 120</t>
  </si>
  <si>
    <t>BENCHMARK D/G 60 X 144</t>
  </si>
  <si>
    <t>IZONE D/G 60 X 144</t>
  </si>
  <si>
    <t>FOSSIL H/W 60 X 96</t>
  </si>
  <si>
    <t>FOSSIL H/W 60 X 120</t>
  </si>
  <si>
    <t>FRL FOSSIL D/G 60 X 120</t>
  </si>
  <si>
    <t>FRL FOSSIL D/G 60 X 144</t>
  </si>
  <si>
    <t>FRL FOSSIL D/G 60 X 96</t>
  </si>
  <si>
    <t>PRECISION WHITE 60 X 96</t>
  </si>
  <si>
    <t>PRECISION WHITE 48 X 65 3/4</t>
  </si>
  <si>
    <t>PRECISION WHITE 39 3/8 X 65 3/</t>
  </si>
  <si>
    <t>PRECISION WHITE  60 X 144</t>
  </si>
  <si>
    <t>WC5581/S-7036 48 X 120</t>
  </si>
  <si>
    <t>PRECISION WHITE 60 X 67</t>
  </si>
  <si>
    <t>PRECISION WHITE 60 X 65 3/4</t>
  </si>
  <si>
    <t>PRECISION WHITE  60 X 120</t>
  </si>
  <si>
    <t>Precision White  60 x 144</t>
  </si>
  <si>
    <t>Precision White 60 x 96</t>
  </si>
  <si>
    <t>Precision White 60 x 120</t>
  </si>
  <si>
    <t>Precision White 60X144</t>
  </si>
  <si>
    <t>Precision White 60X96</t>
  </si>
  <si>
    <t>PRECISION WHITE 60X144</t>
  </si>
  <si>
    <t>PRECISION WHITE 60X96</t>
  </si>
  <si>
    <t>Precision White  30 x 144</t>
  </si>
  <si>
    <t>Precision White  60 x 120</t>
  </si>
  <si>
    <t>Precision White  60 x 96</t>
  </si>
  <si>
    <t>PRECISION WHITE 30 1/2 X 145 1</t>
  </si>
  <si>
    <t>PRECISION WHITE 60 X 120</t>
  </si>
  <si>
    <t>Precision White 60x96</t>
  </si>
  <si>
    <t>PRECISION WHITE  60 x 96</t>
  </si>
  <si>
    <t>Precision White  30 x 120</t>
  </si>
  <si>
    <t>Precision White  30 x 96</t>
  </si>
  <si>
    <t>PRECISION  WHITE  60 X 144</t>
  </si>
  <si>
    <t>Precision White 30 x 144</t>
  </si>
  <si>
    <t>Precision White 30.500 x 084.7</t>
  </si>
  <si>
    <t>AMF WT LG APPR  R/E  61X143.75</t>
  </si>
  <si>
    <t>AMF WT SH APPR  R/E  61X143.75</t>
  </si>
  <si>
    <t>AMF WT LG APPR  L/O  61X143.75</t>
  </si>
  <si>
    <t>AMF WT SH APPR  L/O  61X143.75</t>
  </si>
  <si>
    <t>AMF WHITE PLAIN FILL  61X143 3</t>
  </si>
  <si>
    <t>PRECISION WHITE 61 X 145</t>
  </si>
  <si>
    <t>PRECISION WHITE H/W 60 X 120</t>
  </si>
  <si>
    <t>DUNHAMS STRIPES D/G 60 X 144</t>
  </si>
  <si>
    <t>DUNHAMS MONDRIAN D/G 60 X 144</t>
  </si>
  <si>
    <t>DUNHAMS GRAFITTI D/G 60 X 144</t>
  </si>
  <si>
    <t>PRECISION WHITE  60 X 96</t>
  </si>
  <si>
    <t>PRECISION WHITE  30 X 96</t>
  </si>
  <si>
    <t>PRECISION WHITE  60X144</t>
  </si>
  <si>
    <t>PRECISION WHITE  60X120</t>
  </si>
  <si>
    <t>PRECISION WHITE 61 1/2</t>
  </si>
  <si>
    <t>PRECISION WHITE 61 1/2 X 98</t>
  </si>
  <si>
    <t>PRECISION WHITE 61 1/2 X 146</t>
  </si>
  <si>
    <t>PRECISION WHITE 61 1/2 X 195 1</t>
  </si>
  <si>
    <t>PRECISION WHITE 61 1/2 X 97 1/</t>
  </si>
  <si>
    <t>FRL PRECISION WHITE 60 X 96</t>
  </si>
  <si>
    <t>FRL PRECISION WHITE 60 X 120</t>
  </si>
  <si>
    <t>110SW736-6200</t>
  </si>
  <si>
    <t>PRECISION WHITE 62"</t>
  </si>
  <si>
    <t>EF31S-7036G-5200</t>
  </si>
  <si>
    <t>EF31S-7036T-5200</t>
  </si>
  <si>
    <t>J27IFOSSH5001</t>
  </si>
  <si>
    <t>J27IFOSSPV5201</t>
  </si>
  <si>
    <t>J28IFOSSH5001</t>
  </si>
  <si>
    <t>J28IFOSSH5201</t>
  </si>
  <si>
    <t>J28IFOSSH5801</t>
  </si>
  <si>
    <t>J28IFOSSLS5201</t>
  </si>
  <si>
    <t>J28IFOSSPV5201</t>
  </si>
  <si>
    <t>J28IFOSSPV5801</t>
  </si>
  <si>
    <t>J28IFOSSS5201</t>
  </si>
  <si>
    <t>J35IFOSSH5001</t>
  </si>
  <si>
    <t>J35IFOSSH5201</t>
  </si>
  <si>
    <t>J35IFOSSH5801</t>
  </si>
  <si>
    <t>J35IFOSSS5001</t>
  </si>
  <si>
    <t>J35IFOSSS5801</t>
  </si>
  <si>
    <t>J47IFOSSG5201</t>
  </si>
  <si>
    <t>J47IFOSSH5001</t>
  </si>
  <si>
    <t>J47IFOSSH5201</t>
  </si>
  <si>
    <t>J47IFOSSH5801</t>
  </si>
  <si>
    <t>J47IFOSSPV5201</t>
  </si>
  <si>
    <t>J47IFOSSS5001</t>
  </si>
  <si>
    <t>J47IFOSSS5801</t>
  </si>
  <si>
    <t>J48IBENCSD500</t>
  </si>
  <si>
    <t>J48IBENCSD520</t>
  </si>
  <si>
    <t>J48IFOSSS5001</t>
  </si>
  <si>
    <t>J49IFOSSG5201</t>
  </si>
  <si>
    <t>J49IFOSSH5001</t>
  </si>
  <si>
    <t>J49IFOSSH5201</t>
  </si>
  <si>
    <t>J49IFOSSH5801</t>
  </si>
  <si>
    <t>J49IFOSSJ5001</t>
  </si>
  <si>
    <t>J49IFOSSJ5201</t>
  </si>
  <si>
    <t>J49IFOSSJ5801</t>
  </si>
  <si>
    <t>J49IFOSSLS5201</t>
  </si>
  <si>
    <t>J49IFOSSN5201</t>
  </si>
  <si>
    <t>J49IFOSSPV5001</t>
  </si>
  <si>
    <t>J49IFOSSPV5201</t>
  </si>
  <si>
    <t>J49IFOSSPV5801</t>
  </si>
  <si>
    <t>J49IFOSSS5001</t>
  </si>
  <si>
    <t>J49IFOSSS5201</t>
  </si>
  <si>
    <t>J49IFOSSS5801</t>
  </si>
  <si>
    <t>J90IFOSSS5001</t>
  </si>
  <si>
    <t>J90IFOSSS5801</t>
  </si>
  <si>
    <t>JD1IFOSSH5001</t>
  </si>
  <si>
    <t>JD1IFOSSH5201</t>
  </si>
  <si>
    <t>JD1IFOSSH5801</t>
  </si>
  <si>
    <t>JD1IFOSSPV5201</t>
  </si>
  <si>
    <t>JD1IFOSSS5001</t>
  </si>
  <si>
    <t>JD1IFOSSS5201</t>
  </si>
  <si>
    <t>JD1IFOSSS5801</t>
  </si>
  <si>
    <t>JD2IFOSSH5001</t>
  </si>
  <si>
    <t>JD2IFOSSH5201</t>
  </si>
  <si>
    <t>JD2IFOSSH5801</t>
  </si>
  <si>
    <t>JD2IFOSSPV5201</t>
  </si>
  <si>
    <t>JD2IFOSSS5001</t>
  </si>
  <si>
    <t>JD2IFOSSS5801</t>
  </si>
  <si>
    <t>JD3IFOSSH5001</t>
  </si>
  <si>
    <t>JD3IFOSSH5201</t>
  </si>
  <si>
    <t>JD3IFOSSH5801</t>
  </si>
  <si>
    <t>JD3IFOSSPV5001</t>
  </si>
  <si>
    <t>JD3IFOSSPV5201</t>
  </si>
  <si>
    <t>JD3IFOSSS5001</t>
  </si>
  <si>
    <t>JD3IFOSSS5201</t>
  </si>
  <si>
    <t>JD3IFOSSS5801</t>
  </si>
  <si>
    <t>JD5IFOSSH5001</t>
  </si>
  <si>
    <t>JD5IFOSSH5201</t>
  </si>
  <si>
    <t>JD5IFOSSH5801</t>
  </si>
  <si>
    <t>JD5IFOSSJ5201</t>
  </si>
  <si>
    <t>JD5IFOSSPV5201</t>
  </si>
  <si>
    <t>JD5IFOSSPV5801</t>
  </si>
  <si>
    <t>JD5IFOSSS5001</t>
  </si>
  <si>
    <t>JD5IFOSSS5201</t>
  </si>
  <si>
    <t>JD5IFOSSS5801</t>
  </si>
  <si>
    <t>JD7IFOSSLS5201</t>
  </si>
  <si>
    <t>JD7IFOSSS5201</t>
  </si>
  <si>
    <t>JD8IFOSSH5001</t>
  </si>
  <si>
    <t>JD8IFOSSH5201</t>
  </si>
  <si>
    <t>JD8IFOSSH5801</t>
  </si>
  <si>
    <t>JD8IFOSSJ5201</t>
  </si>
  <si>
    <t>JD8IFOSSPV5201</t>
  </si>
  <si>
    <t>JD8IFOSSS5001</t>
  </si>
  <si>
    <t>JD8IFOSSS5201</t>
  </si>
  <si>
    <t>JD8IFOSSS5801</t>
  </si>
  <si>
    <t>JD9IFOSSH5001</t>
  </si>
  <si>
    <t>JD9IFOSSH5201</t>
  </si>
  <si>
    <t>JD9IFOSSH5801</t>
  </si>
  <si>
    <t>JD9IFOSSLS5201</t>
  </si>
  <si>
    <t>JD9IFOSSPV5201</t>
  </si>
  <si>
    <t>JD9IFOSSS5201</t>
  </si>
  <si>
    <t>JD9IFOSSS5801</t>
  </si>
  <si>
    <t>JDAIFOSSH5001</t>
  </si>
  <si>
    <t>JDAIFOSSH5201</t>
  </si>
  <si>
    <t>JDAIFOSSH5801</t>
  </si>
  <si>
    <t>JDAIFOSSLS5201</t>
  </si>
  <si>
    <t>JDAIFOSSPV5201</t>
  </si>
  <si>
    <t>JDAIFOSSS5001</t>
  </si>
  <si>
    <t>JDAIFOSSS5201</t>
  </si>
  <si>
    <t>JDAIFOSSS5801</t>
  </si>
  <si>
    <t>JDCIBENCSD500</t>
  </si>
  <si>
    <t>JDCIFOSSH5001</t>
  </si>
  <si>
    <t>JDCIFOSSH5201</t>
  </si>
  <si>
    <t>JDCIFOSSH5801</t>
  </si>
  <si>
    <t>JDCIFOSSPV5201</t>
  </si>
  <si>
    <t>JDCIFOSSS5001</t>
  </si>
  <si>
    <t>JDCIFOSSS5201</t>
  </si>
  <si>
    <t>JDDIFOSSH5001</t>
  </si>
  <si>
    <t>JDDIFOSSH5201</t>
  </si>
  <si>
    <t>JDDIFOSSH5801</t>
  </si>
  <si>
    <t>JDDIFOSSPV5201</t>
  </si>
  <si>
    <t>JDDIFOSSPV5202</t>
  </si>
  <si>
    <t>JDDIFOSSPV520</t>
  </si>
  <si>
    <t>JDDIFOSSS5001</t>
  </si>
  <si>
    <t>JDDIFOSSS5201</t>
  </si>
  <si>
    <t>JDDIFOSSS5202</t>
  </si>
  <si>
    <t>JDDIFOSSS5801</t>
  </si>
  <si>
    <t>JDEIFOSSG520</t>
  </si>
  <si>
    <t>JDEIFOSSH5001</t>
  </si>
  <si>
    <t>JDEIFOSSH5201</t>
  </si>
  <si>
    <t>JDEIFOSSH5801</t>
  </si>
  <si>
    <t>JDEIFOSSLS5201</t>
  </si>
  <si>
    <t>JDEIFOSSPV5201</t>
  </si>
  <si>
    <t>JDEIFOSSS5001</t>
  </si>
  <si>
    <t>JDEIFOSSS5201</t>
  </si>
  <si>
    <t>JDEIFOSSS5801</t>
  </si>
  <si>
    <t>JDFIFOSSH5001</t>
  </si>
  <si>
    <t>JDFIFOSSH5201</t>
  </si>
  <si>
    <t>JDFIFOSSJ5001</t>
  </si>
  <si>
    <t>JDFIFOSSPV5001</t>
  </si>
  <si>
    <t>JDFIFOSSPV5201</t>
  </si>
  <si>
    <t>JDFIFOSSS5001</t>
  </si>
  <si>
    <t>JDFIFOSSS5801</t>
  </si>
  <si>
    <t>JDFIZONED5201</t>
  </si>
  <si>
    <t>JDGIFOSSH5201</t>
  </si>
  <si>
    <t>JDGIFOSSPV5201</t>
  </si>
  <si>
    <t>JDJIFOSSH5001</t>
  </si>
  <si>
    <t>JDJIFOSSH5201</t>
  </si>
  <si>
    <t>JDJIFOSSH5801</t>
  </si>
  <si>
    <t>JDJIFOSSPV5201</t>
  </si>
  <si>
    <t>JDJIFOSSS5001</t>
  </si>
  <si>
    <t>JDJIFOSSS5201</t>
  </si>
  <si>
    <t>JDJIFOSSS5801</t>
  </si>
  <si>
    <t>JDKIFOSSS5001</t>
  </si>
  <si>
    <t>JDKIFOSSS5801</t>
  </si>
  <si>
    <t>JDLIFOSSH5001</t>
  </si>
  <si>
    <t>JDLIFOSSH5201</t>
  </si>
  <si>
    <t>JDLIFOSSH5801</t>
  </si>
  <si>
    <t>JDLIFOSSPV5201</t>
  </si>
  <si>
    <t>JDLIFOSSS5201</t>
  </si>
  <si>
    <t>JDMIFOSSH5001</t>
  </si>
  <si>
    <t>JDMIFOSSH5801</t>
  </si>
  <si>
    <t>JDOIFOSSH5001</t>
  </si>
  <si>
    <t>JDOIFOSSH5801</t>
  </si>
  <si>
    <t>JDOIFOSSPV5201</t>
  </si>
  <si>
    <t>JDSIFOSSH5001</t>
  </si>
  <si>
    <t>JDSIFOSSH5201</t>
  </si>
  <si>
    <t>JDSIFOSSPV5201</t>
  </si>
  <si>
    <t>JDSIFOSSS5001</t>
  </si>
  <si>
    <t>JDSIFOSSS5201</t>
  </si>
  <si>
    <t>JDSIFOSSS5801</t>
  </si>
  <si>
    <t>JDTIFOSSH5001</t>
  </si>
  <si>
    <t>JDTIFOSSH5201</t>
  </si>
  <si>
    <t>JDTIFOSSH5801</t>
  </si>
  <si>
    <t>JDTIFOSSPV5201</t>
  </si>
  <si>
    <t>JDVIFOSSH5801</t>
  </si>
  <si>
    <t>JI5IFOSSG5801</t>
  </si>
  <si>
    <t>JI7IFOSSG5001</t>
  </si>
  <si>
    <t>JX8IFOSSH5001</t>
  </si>
  <si>
    <t>JX8IFOSSH5201</t>
  </si>
  <si>
    <t>JX8IFOSSH5801</t>
  </si>
  <si>
    <t>JX8IFOSSUPFQ1</t>
  </si>
  <si>
    <t>JX8IFOSSUPFU1</t>
  </si>
  <si>
    <t>ND45S-7036T-5200</t>
  </si>
  <si>
    <t>ND45S-7036T-5800</t>
  </si>
  <si>
    <t>ND51S-7036T-5200</t>
  </si>
  <si>
    <t>ND57S-7036MGYJS0</t>
  </si>
  <si>
    <t>ND57S-7036MGYJT0</t>
  </si>
  <si>
    <t>ND57S-7036T-5200</t>
  </si>
  <si>
    <t>ND68H31957MG4000</t>
  </si>
  <si>
    <t>ND68H31957N-4000</t>
  </si>
  <si>
    <t>ND69S-7036GLYJQ2</t>
  </si>
  <si>
    <t>ND69S-7036MGYJQ0</t>
  </si>
  <si>
    <t>ND69S-7036MGYJR0</t>
  </si>
  <si>
    <t>ND69S-7036MGYJS0</t>
  </si>
  <si>
    <t>ND69S-7036MGYJT0</t>
  </si>
  <si>
    <t>ND69S-7036T-5000</t>
  </si>
  <si>
    <t>ND69S-7036T-5200</t>
  </si>
  <si>
    <t>ND69S-7036T-5800</t>
  </si>
  <si>
    <t>NE30S-7036T-5200</t>
  </si>
  <si>
    <t>NF28S-7036G-5001</t>
  </si>
  <si>
    <t>NF28S-7036G-5201</t>
  </si>
  <si>
    <t>NF28S-7036G-5801</t>
  </si>
  <si>
    <t>NF28S-7036GL3201</t>
  </si>
  <si>
    <t>NF28S-7036GL4201</t>
  </si>
  <si>
    <t>NF28S-7036GL5201</t>
  </si>
  <si>
    <t>NF28S-7036GL5801</t>
  </si>
  <si>
    <t>NF28S-7036SD5800</t>
  </si>
  <si>
    <t>NF28S-7036SM5200</t>
  </si>
  <si>
    <t>NF28S-7036T-0200</t>
  </si>
  <si>
    <t>NF28S-7036T-5000</t>
  </si>
  <si>
    <t>NF28S-7036T-5200</t>
  </si>
  <si>
    <t>NF28S-7036T-5203</t>
  </si>
  <si>
    <t>NF28S-7036T-5800</t>
  </si>
  <si>
    <t>NF28S-7036T-RPF0</t>
  </si>
  <si>
    <t>NF31S-7036FL5000</t>
  </si>
  <si>
    <t>NF39S-7036G-3201</t>
  </si>
  <si>
    <t>NF39S-7036G-5001</t>
  </si>
  <si>
    <t>NF39S-7036G-5201</t>
  </si>
  <si>
    <t>NF39S-7036G-5801</t>
  </si>
  <si>
    <t>NF39S-7036GL3201</t>
  </si>
  <si>
    <t>NF39S-7036GL4201</t>
  </si>
  <si>
    <t>NF39S-7036GL5201</t>
  </si>
  <si>
    <t>NF39S-7036GL5801</t>
  </si>
  <si>
    <t>NF39S-7036GV5800</t>
  </si>
  <si>
    <t>NF39S-7036MG4000</t>
  </si>
  <si>
    <t>NF39S-7036MG5200</t>
  </si>
  <si>
    <t>NF39S-7036PV5000</t>
  </si>
  <si>
    <t>NF39S-7036PV5800</t>
  </si>
  <si>
    <t>NF39S-7036SM5000</t>
  </si>
  <si>
    <t>NF39S-7036SM5200</t>
  </si>
  <si>
    <t>NF39S-7036SM5203</t>
  </si>
  <si>
    <t>NF39S-7036SM5800</t>
  </si>
  <si>
    <t>NF39S-7036T-0000</t>
  </si>
  <si>
    <t>NF39S-7036T-0200</t>
  </si>
  <si>
    <t>NF39S-7036T-0800</t>
  </si>
  <si>
    <t>NF39S-7036T-5000</t>
  </si>
  <si>
    <t>NF39S-7036T-5003</t>
  </si>
  <si>
    <t>NF39S-7036T-5200</t>
  </si>
  <si>
    <t>NF39S-7036T-5201</t>
  </si>
  <si>
    <t>NF39S-7036T-5203</t>
  </si>
  <si>
    <t>NF39S-7036T-5800</t>
  </si>
  <si>
    <t>NF39S-7036VE5200</t>
  </si>
  <si>
    <t>NG48S-7036G-5001</t>
  </si>
  <si>
    <t>NG48S-7036G-5201</t>
  </si>
  <si>
    <t>NG48S-7036G-5801</t>
  </si>
  <si>
    <t>NG48S-7036GL5001</t>
  </si>
  <si>
    <t>NG48S-7036GL5201</t>
  </si>
  <si>
    <t>NG48S-7036SM5200</t>
  </si>
  <si>
    <t>NG48S-7036T-0000</t>
  </si>
  <si>
    <t>NG48S-7036T-0200</t>
  </si>
  <si>
    <t>NG48S-7036T-0700</t>
  </si>
  <si>
    <t>NG48S-7036T-0800</t>
  </si>
  <si>
    <t>NG48S-7036T-0803</t>
  </si>
  <si>
    <t>NG48S-7036T-5000</t>
  </si>
  <si>
    <t>NG48S-7036T-5200</t>
  </si>
  <si>
    <t>NG48S-7036T-5203</t>
  </si>
  <si>
    <t>NG48S-7036T-5800</t>
  </si>
  <si>
    <t>NG63H31943PTYBF0</t>
  </si>
  <si>
    <t>NH28S-7036CA5200</t>
  </si>
  <si>
    <t>NH28S-7036CA5201</t>
  </si>
  <si>
    <t>NH39S-7036CA5200</t>
  </si>
  <si>
    <t>NH48S-7036CA5200</t>
  </si>
  <si>
    <t>NHD8S-7036CADAN0</t>
  </si>
  <si>
    <t>NI48S-7036SD5000</t>
  </si>
  <si>
    <t>NJDEND0051T-5200</t>
  </si>
  <si>
    <t>NJDEND0052T-5200</t>
  </si>
  <si>
    <t>NJDEND0053T-5200</t>
  </si>
  <si>
    <t>NK32S-7036T-5800</t>
  </si>
  <si>
    <t>NK51S-7036T-5800</t>
  </si>
  <si>
    <t>NM01S-7036E-0800</t>
  </si>
  <si>
    <t>NM01S-7036E-5000</t>
  </si>
  <si>
    <t>NM01S-7036E-5200</t>
  </si>
  <si>
    <t>NM01S-7036G-5001</t>
  </si>
  <si>
    <t>NM01S-7036G-5200</t>
  </si>
  <si>
    <t>NM01S-7036G-5201</t>
  </si>
  <si>
    <t>NM01S-7036GL5001</t>
  </si>
  <si>
    <t>NM01S-7036MG5200</t>
  </si>
  <si>
    <t>NM01S-7036SD5000</t>
  </si>
  <si>
    <t>NM01S-7036SD5200</t>
  </si>
  <si>
    <t>NM39S-7036SD5200</t>
  </si>
  <si>
    <t>NM39S-7036SM5003</t>
  </si>
  <si>
    <t>NM39S-7036SM5200</t>
  </si>
  <si>
    <t>NM55S-7036E-5000</t>
  </si>
  <si>
    <t>NM55S-7036E-5200</t>
  </si>
  <si>
    <t>NM55S-7036E-5201</t>
  </si>
  <si>
    <t>NM55S-7036G-5001</t>
  </si>
  <si>
    <t>NM55S-7036G-5201</t>
  </si>
  <si>
    <t>NM55S-7036G-5801</t>
  </si>
  <si>
    <t>NM55S-7036GL4201</t>
  </si>
  <si>
    <t>NM55S-7036GL5001</t>
  </si>
  <si>
    <t>NM55S-7036GL5201</t>
  </si>
  <si>
    <t>NM55S-7036MG4000</t>
  </si>
  <si>
    <t>NM55S-7036N-4000</t>
  </si>
  <si>
    <t>NM55S-7036SD5000</t>
  </si>
  <si>
    <t>NM55S-7036SD5200</t>
  </si>
  <si>
    <t>NM55S-7036SD5201</t>
  </si>
  <si>
    <t>NM55S-7036SM5200</t>
  </si>
  <si>
    <t>NM55S-7036SM5203</t>
  </si>
  <si>
    <t>NMB1S-7036GL5201</t>
  </si>
  <si>
    <t>NMB1S-7036MB5200</t>
  </si>
  <si>
    <t>QIRSW736NCMZ0</t>
  </si>
  <si>
    <t>QIRSW736NKRK0</t>
  </si>
  <si>
    <t>QIRSW736NLWD0</t>
  </si>
  <si>
    <t>QIRSW736NTNL0</t>
  </si>
  <si>
    <t>QISSW736NCMZ0</t>
  </si>
  <si>
    <t>QIZSW736NLVU0</t>
  </si>
  <si>
    <t>X75NS184LNPFN</t>
  </si>
  <si>
    <t>X75NS184NNYR</t>
  </si>
  <si>
    <t>X75NS184OLPFN</t>
  </si>
  <si>
    <t>X75NS184SDNYR</t>
  </si>
  <si>
    <t>X75NS184SDPFQ</t>
  </si>
  <si>
    <t>X75NS184SMPFQ</t>
  </si>
  <si>
    <t>110WC013-6200</t>
  </si>
  <si>
    <t>BLOSSOM CHERRY</t>
  </si>
  <si>
    <t>Blossom Cherry  60 x 144</t>
  </si>
  <si>
    <t>BLOSSOM CHERRY 30 X 144</t>
  </si>
  <si>
    <t>BLOSSOM CHERRY  48 X 120</t>
  </si>
  <si>
    <t>BLOSSOM CHERRY PC 48X144</t>
  </si>
  <si>
    <t>BLOSSOM CHERRY  60 X 120</t>
  </si>
  <si>
    <t>BLOSSOM CHERRY  60 X 144</t>
  </si>
  <si>
    <t>BLOSSOM CHERRY  60 X 96</t>
  </si>
  <si>
    <t>BLOSSOM CHERRY PC 60X96</t>
  </si>
  <si>
    <t>BLOSSOM CHERRY 61  X 121</t>
  </si>
  <si>
    <t>BLOSSOM CHERRY  49 X 121</t>
  </si>
  <si>
    <t>BLOSSOM CHERRY 49 X 73</t>
  </si>
  <si>
    <t>BLOSSOM CHERRY 61 X 73</t>
  </si>
  <si>
    <t>BLOSSOM CHERRY  36 x 120</t>
  </si>
  <si>
    <t>Blossom Cherry  36 x 144</t>
  </si>
  <si>
    <t>Blossom Cherry  48 x 120</t>
  </si>
  <si>
    <t>Blossom Cherry  60 x 120</t>
  </si>
  <si>
    <t>Blossom Cherry  60 x 96</t>
  </si>
  <si>
    <t>BLOSSOM CHERRY 61  x 121</t>
  </si>
  <si>
    <t>BLOSSOM CHERRY 60 X 120</t>
  </si>
  <si>
    <t>BLOSSOM CHERRY 60X144</t>
  </si>
  <si>
    <t>BLOSSOM CHERRY 60 X 144</t>
  </si>
  <si>
    <t>BLOSSOM CHERRY  30 X 120</t>
  </si>
  <si>
    <t>BLOSSOM CHERRY  30 X 144</t>
  </si>
  <si>
    <t>BLOSSOM CHERRY  30 X 96</t>
  </si>
  <si>
    <t>BLOSSOM CHERRY  36 X 120</t>
  </si>
  <si>
    <t>BLOSSOM CHERRY  36 X 144</t>
  </si>
  <si>
    <t>BLOSSOM CHERRY 36 X 108</t>
  </si>
  <si>
    <t>BLOSSOM CHERRY  48 X 144</t>
  </si>
  <si>
    <t>BLOSSOM CHERRY PC  48 X 144</t>
  </si>
  <si>
    <t>Blossom Cherry  30 x 120</t>
  </si>
  <si>
    <t>Blossom Cherry  30 x 144</t>
  </si>
  <si>
    <t>Blossom Cherry  30 x 96</t>
  </si>
  <si>
    <t>Blossom Cherry  36 x 120</t>
  </si>
  <si>
    <t>Blossom Cherry  48 x 144</t>
  </si>
  <si>
    <t>Blossom Cherry PC  48 x 144</t>
  </si>
  <si>
    <t>Blossom Cherry PC  60 x 144</t>
  </si>
  <si>
    <t>BLOSSOM CHERRY  60 x 120</t>
  </si>
  <si>
    <t>BLOSSOM CHERRY 60 X 96</t>
  </si>
  <si>
    <t>BLOSSOM CHERRY 30.5 X 85</t>
  </si>
  <si>
    <t>BLOSSOM CHERRY  30 1/2 X 85</t>
  </si>
  <si>
    <t>BLOSSOM CHERRY PC 30.5X85</t>
  </si>
  <si>
    <t>BLOSSOM CHERRY PC 30.5 X 85</t>
  </si>
  <si>
    <t>BLOSSOM CHERRY 36 X 120</t>
  </si>
  <si>
    <t>BLOSSOM CHERRY PC 36.5 X 108.7</t>
  </si>
  <si>
    <t>BLOSSOM CHERRY 36.5 X 108.75</t>
  </si>
  <si>
    <t>BLOSSOM CHERRY 48.75 X 108.75</t>
  </si>
  <si>
    <t>BLOSSOM CHERRY 60 1/2 X 144 1/</t>
  </si>
  <si>
    <t>BLOSSOM CHERRY 25 X 49</t>
  </si>
  <si>
    <t>BLOSSOM CHERRY PC 24.5X54.5</t>
  </si>
  <si>
    <t>BLOSSOM CHERRY PC 18.75X24.75</t>
  </si>
  <si>
    <t>BLOSSOM CHERRY PC 26.75X48.75</t>
  </si>
  <si>
    <t>BLOSSOM CHERRY 30.25X72.25</t>
  </si>
  <si>
    <t>BLOSSOM CHERRY PC 22.75X23</t>
  </si>
  <si>
    <t>Blossom Cherry PC 30.5x85</t>
  </si>
  <si>
    <t>Blossom Cherry PC 30.5 x 85</t>
  </si>
  <si>
    <t>Blossom Cherry  PC 30.5 x 108.</t>
  </si>
  <si>
    <t>Blossom Cherry PC 36.5 x 108.7</t>
  </si>
  <si>
    <t>BLOSSOM CHERRY PC 48X120</t>
  </si>
  <si>
    <t>Blossom Cherry 30.25X72.25</t>
  </si>
  <si>
    <t>Blossom Cherry  30.50 x 84.75</t>
  </si>
  <si>
    <t>Blossom Cherry 60 x 144</t>
  </si>
  <si>
    <t>BLOSSOM CHERRY 30 1/2 x 85</t>
  </si>
  <si>
    <t>BLOSSOM CHERRY 30 1/2 X 85</t>
  </si>
  <si>
    <t>BLOSSOM CHERRY  60 x 144</t>
  </si>
  <si>
    <t>BAD PART NO LONGER AVAILABLE</t>
  </si>
  <si>
    <t>BLOSSOM CHERRY 48 X 120</t>
  </si>
  <si>
    <t>BLOSSOM CHERRY 61 1/2</t>
  </si>
  <si>
    <t>BLOSSOM CHERRY 20 3/16X26 3/16</t>
  </si>
  <si>
    <t>Q WC013 BLOSSOM CHR 2 LP</t>
  </si>
  <si>
    <t>Q WC013 BLOSSOM CHR RLP</t>
  </si>
  <si>
    <t>Q WC013 BLOSSOM CHR LLP</t>
  </si>
  <si>
    <t>Q WC013 BLOSSOM CHR CG LLP</t>
  </si>
  <si>
    <t>Q WC013 BLOSSOM CHR CG RLP</t>
  </si>
  <si>
    <t>BLOSSOM CHERRY 61 1/2 X 98</t>
  </si>
  <si>
    <t>BLOSSOM CHERRY 61 1/2 X  97 1/</t>
  </si>
  <si>
    <t>BLOSSOM CHR 61 1/2 X 121 1/2</t>
  </si>
  <si>
    <t>BLOSSOM CHERRY 61 1/2X73 1/2</t>
  </si>
  <si>
    <t>BLOSSOM CHR 61 1/2 X 145 1/2</t>
  </si>
  <si>
    <t>FRL BLOSSOM CHERRY 60 X 120</t>
  </si>
  <si>
    <t>FRL BLOSSOM CHERRY 60 X 96</t>
  </si>
  <si>
    <t>NF28WC5581E-5200</t>
  </si>
  <si>
    <t>NF28WC5581MG0200</t>
  </si>
  <si>
    <t>NF28WC5581MG4000</t>
  </si>
  <si>
    <t>NF28WC5581MG4201</t>
  </si>
  <si>
    <t>NF28WC5581MG5000</t>
  </si>
  <si>
    <t>NF28WC5581MG5200</t>
  </si>
  <si>
    <t>NF28WC5581MG5201</t>
  </si>
  <si>
    <t>NF28WC5581MG5800</t>
  </si>
  <si>
    <t>NF28WC5581MG5801</t>
  </si>
  <si>
    <t>NF28WC5581MGCMT0</t>
  </si>
  <si>
    <t>NF28WC5581MGFDT0</t>
  </si>
  <si>
    <t>NF28WC5581MGFDU0</t>
  </si>
  <si>
    <t>NF28WC5581MGFMR0</t>
  </si>
  <si>
    <t>NF28WC5581N-3000</t>
  </si>
  <si>
    <t>NF28WC5581N-3200</t>
  </si>
  <si>
    <t>NF28WC5581N-4000</t>
  </si>
  <si>
    <t>NF28WC5581N-4001</t>
  </si>
  <si>
    <t>NF28WC5581N-5000</t>
  </si>
  <si>
    <t>NF28WC5581N-5200</t>
  </si>
  <si>
    <t>NF28WC5581N-5201</t>
  </si>
  <si>
    <t>NF28WC5581N-5800</t>
  </si>
  <si>
    <t>NF28WC5581N-5801</t>
  </si>
  <si>
    <t>NF28WC5581N-CMT0</t>
  </si>
  <si>
    <t>NF28WC5581N-FDT0</t>
  </si>
  <si>
    <t>NF28WC5581N-FDU0</t>
  </si>
  <si>
    <t>NF28WC5581N-FMR0</t>
  </si>
  <si>
    <t>NF28WC5581PV5000</t>
  </si>
  <si>
    <t>NF28WC5581PV5200</t>
  </si>
  <si>
    <t>NF28WC5581SD5200</t>
  </si>
  <si>
    <t>NF28WC5581T-5200</t>
  </si>
  <si>
    <t>NF28WC5581T-5800</t>
  </si>
  <si>
    <t>NF39WC5581GL5201</t>
  </si>
  <si>
    <t>NF39WC5581MG0000</t>
  </si>
  <si>
    <t>NF39WC5581MG0200</t>
  </si>
  <si>
    <t>NF39WC5581MG0800</t>
  </si>
  <si>
    <t>NF39WC5581MG3000</t>
  </si>
  <si>
    <t>NF39WC5581MG3200</t>
  </si>
  <si>
    <t>NF39WC5581MG3900</t>
  </si>
  <si>
    <t>NF39WC5581MG4000</t>
  </si>
  <si>
    <t>NF39WC5581MG4001</t>
  </si>
  <si>
    <t>NF39WC5581MG4200</t>
  </si>
  <si>
    <t>NF39WC5581MG4201</t>
  </si>
  <si>
    <t>NF39WC5581MG5000</t>
  </si>
  <si>
    <t>NF39WC5581MG5200</t>
  </si>
  <si>
    <t>NF39WC5581MG5201</t>
  </si>
  <si>
    <t>NF39WC5581MG5203</t>
  </si>
  <si>
    <t>NF39WC5581MG5800</t>
  </si>
  <si>
    <t>NF39WC5581MG5801</t>
  </si>
  <si>
    <t>NF39WC5581N-0000</t>
  </si>
  <si>
    <t>NF39WC5581N-0200</t>
  </si>
  <si>
    <t>NF39WC5581N-0800</t>
  </si>
  <si>
    <t>NF39WC5581N-3000</t>
  </si>
  <si>
    <t>NF39WC5581N-3200</t>
  </si>
  <si>
    <t>NF39WC5581N-4000</t>
  </si>
  <si>
    <t>NF39WC5581N-4200</t>
  </si>
  <si>
    <t>NF39WC5581N-4201</t>
  </si>
  <si>
    <t>NF39WC5581N-5000</t>
  </si>
  <si>
    <t>NF39WC5581N-5200</t>
  </si>
  <si>
    <t>NF39WC5581N-5201</t>
  </si>
  <si>
    <t>NF39WC5581N-5800</t>
  </si>
  <si>
    <t>NF39WC5581PV5000</t>
  </si>
  <si>
    <t>NF39WC5581SD5000</t>
  </si>
  <si>
    <t>NF39WC5581SD5200</t>
  </si>
  <si>
    <t>NF39WC5581SM5200</t>
  </si>
  <si>
    <t>NF39WC5581T-5000</t>
  </si>
  <si>
    <t>NF39WC5581T-5200</t>
  </si>
  <si>
    <t>NF39WC5581T-5203</t>
  </si>
  <si>
    <t>NF39WC5581T-5800</t>
  </si>
  <si>
    <t>NG02WC5581MG4000</t>
  </si>
  <si>
    <t>NG02WC5581N-4000</t>
  </si>
  <si>
    <t>NG37WC5581G-5001</t>
  </si>
  <si>
    <t>NG37WC5581GL5001</t>
  </si>
  <si>
    <t>NG48WC5581AW5200</t>
  </si>
  <si>
    <t>NG48WC5581E-0704</t>
  </si>
  <si>
    <t>NG48WC5581E-5200</t>
  </si>
  <si>
    <t>NG48WC5581MG0700</t>
  </si>
  <si>
    <t>NG48WC5581MG0701</t>
  </si>
  <si>
    <t>NG48WC5581MG0703</t>
  </si>
  <si>
    <t>NG48WC5581MG0704</t>
  </si>
  <si>
    <t>NG48WC5581MG0800</t>
  </si>
  <si>
    <t>NG48WC5581MG3000</t>
  </si>
  <si>
    <t>NG48WC5581MG3003</t>
  </si>
  <si>
    <t>NG48WC5581MG3004</t>
  </si>
  <si>
    <t>NG48WC5581MG3200</t>
  </si>
  <si>
    <t>NG48WC5581MG3901</t>
  </si>
  <si>
    <t>NG48WC5581MG3903</t>
  </si>
  <si>
    <t>NG48WC5581MG4000</t>
  </si>
  <si>
    <t>NG48WC5581MG4004</t>
  </si>
  <si>
    <t>NG48WC5581MG4200</t>
  </si>
  <si>
    <t>NG48WC5581MG4903</t>
  </si>
  <si>
    <t>NG48WC5581MG5000</t>
  </si>
  <si>
    <t>NG48WC5581MG5200</t>
  </si>
  <si>
    <t>NG48WC5581MG5800</t>
  </si>
  <si>
    <t>NG48WC5581MG5801</t>
  </si>
  <si>
    <t>NG48WC5581MGCLK1</t>
  </si>
  <si>
    <t>NG48WC5581MGMFD1</t>
  </si>
  <si>
    <t>NG48WC5581MGMKW1</t>
  </si>
  <si>
    <t>NG48WC5581MGPAW1</t>
  </si>
  <si>
    <t>NG48WC5581MGSEQ1</t>
  </si>
  <si>
    <t>NG48WC5581MGTGC1</t>
  </si>
  <si>
    <t>NG48WC5581MGVAW1</t>
  </si>
  <si>
    <t>NG48WC5581N-0701</t>
  </si>
  <si>
    <t>NG48WC5581N-0704</t>
  </si>
  <si>
    <t>NG48WC5581N-0800</t>
  </si>
  <si>
    <t>NG48WC5581N-0901</t>
  </si>
  <si>
    <t>NG48WC5581N-3000</t>
  </si>
  <si>
    <t>NG48WC5581N-3200</t>
  </si>
  <si>
    <t>NG48WC5581N-3901</t>
  </si>
  <si>
    <t>NG48WC5581N-3904</t>
  </si>
  <si>
    <t>NG48WC5581N-4000</t>
  </si>
  <si>
    <t>NG48WC5581N-4001</t>
  </si>
  <si>
    <t>NG48WC5581N-4200</t>
  </si>
  <si>
    <t>NG48WC5581N-5000</t>
  </si>
  <si>
    <t>NG48WC5581N-5200</t>
  </si>
  <si>
    <t>NG48WC5581N-5800</t>
  </si>
  <si>
    <t>NG48WC5581N-5801</t>
  </si>
  <si>
    <t>NG48WC5581N-MKW1</t>
  </si>
  <si>
    <t>NG48WC5581N-PAW1</t>
  </si>
  <si>
    <t>NG48WC5581N-SEQ1</t>
  </si>
  <si>
    <t>NG48WC5581N-TGC1</t>
  </si>
  <si>
    <t>NG48WC5581N-VAW1</t>
  </si>
  <si>
    <t>NG48WC5581PV5200</t>
  </si>
  <si>
    <t>NG48WC5581SD0704</t>
  </si>
  <si>
    <t>NG48WC5581SD0800</t>
  </si>
  <si>
    <t>NG48WC5581SD5000</t>
  </si>
  <si>
    <t>NG48WC5581SD5200</t>
  </si>
  <si>
    <t>NG48WC5581SD5800</t>
  </si>
  <si>
    <t>NG48WC5581T-0700</t>
  </si>
  <si>
    <t>NG48WC5581T-5000</t>
  </si>
  <si>
    <t>NG48WC5581T-5200</t>
  </si>
  <si>
    <t>NG48WC5581V-0700</t>
  </si>
  <si>
    <t>NG48WC5581VE0700</t>
  </si>
  <si>
    <t>NG48WC5581Z-5200</t>
  </si>
  <si>
    <t>NJ48T21012N-5000</t>
  </si>
  <si>
    <t>NK32WC5581SD5801</t>
  </si>
  <si>
    <t>NKDEWC5581T-5000</t>
  </si>
  <si>
    <t>NKDEWC5581T-5200</t>
  </si>
  <si>
    <t>NKDFWC5581T-5000</t>
  </si>
  <si>
    <t>NKDFWC5581T-5200</t>
  </si>
  <si>
    <t>NM81WC5581MG4001</t>
  </si>
  <si>
    <t>NM81WC5581N-4000</t>
  </si>
  <si>
    <t>NM81WC5581N-4001</t>
  </si>
  <si>
    <t>QIRWC013NCMZ0</t>
  </si>
  <si>
    <t>QIRWC013NQHZ0</t>
  </si>
  <si>
    <t>QUBWC013PPK1</t>
  </si>
  <si>
    <t>QUBWC013PPK2</t>
  </si>
  <si>
    <t>QUBWC013PPK3</t>
  </si>
  <si>
    <t>QUBWC013PPK4</t>
  </si>
  <si>
    <t>QUBWC013PPK5</t>
  </si>
  <si>
    <t>QUBWC013PPK7</t>
  </si>
  <si>
    <t>QUBWC013PPK8</t>
  </si>
  <si>
    <t>QZSWC013NCMZ0</t>
  </si>
  <si>
    <t>QZSWC013NKRK0</t>
  </si>
  <si>
    <t>QZSWC013NLVU0</t>
  </si>
  <si>
    <t>QZSWC013NNJJ0</t>
  </si>
  <si>
    <t>QZSWC013NNST0</t>
  </si>
  <si>
    <t>QZSWC013NSJV0</t>
  </si>
  <si>
    <t>X75NW617NPFQ</t>
  </si>
  <si>
    <t>X75NW617SDNYR</t>
  </si>
  <si>
    <t>X75NW617SDPFQ</t>
  </si>
  <si>
    <t>100DS064-6200</t>
  </si>
  <si>
    <t>BLACK</t>
  </si>
  <si>
    <t>BLACK 60 X 120</t>
  </si>
  <si>
    <t>MERCURY 60 X 120</t>
  </si>
  <si>
    <t>MERCURY 60 X 96</t>
  </si>
  <si>
    <t>ASH GRAY 60 X 144</t>
  </si>
  <si>
    <t>SE101 BLACK UV 2 LANE PK</t>
  </si>
  <si>
    <t>BLACK 30 X 144</t>
  </si>
  <si>
    <t>BLACK 60 X 144</t>
  </si>
  <si>
    <t>BLACK 60 X 96</t>
  </si>
  <si>
    <t>BLACK 29 1/2 X 97 1/4</t>
  </si>
  <si>
    <t>BLACK 19 3/4 X 96 1/2</t>
  </si>
  <si>
    <t>BLACK 19 3/4 X 72 1/4</t>
  </si>
  <si>
    <t>BLACK PC 60 X 144</t>
  </si>
  <si>
    <t>BLACK 60 X 60</t>
  </si>
  <si>
    <t>BLACK 60 X 72</t>
  </si>
  <si>
    <t>SW811/SE101 60 X 96</t>
  </si>
  <si>
    <t>SW826/SE101 60 X 96</t>
  </si>
  <si>
    <t>SW803/SE101 60 X 96</t>
  </si>
  <si>
    <t>SW812/SE101 60 X 96</t>
  </si>
  <si>
    <t>BANKERS GRAY 60 X 120</t>
  </si>
  <si>
    <t>ANGEL WHITE 60 X 120</t>
  </si>
  <si>
    <t>ANGEL WHITE 60 X 96</t>
  </si>
  <si>
    <t>BLACK (ROUTER)</t>
  </si>
  <si>
    <t>BLACK 30 X 60</t>
  </si>
  <si>
    <t>BLACK 30 X 36</t>
  </si>
  <si>
    <t>BLACK 20 X 96</t>
  </si>
  <si>
    <t>SB009/SE101 30 X 120</t>
  </si>
  <si>
    <t>BLACK 30 X 48</t>
  </si>
  <si>
    <t>BLACK 30 X 96</t>
  </si>
  <si>
    <t>BLACK 30 X 30</t>
  </si>
  <si>
    <t>BLACK 30 X 42</t>
  </si>
  <si>
    <t>BLACK 30 X 120</t>
  </si>
  <si>
    <t>BLACK 60 X 48</t>
  </si>
  <si>
    <t>SE101/AG111 28 X 60</t>
  </si>
  <si>
    <t>MB050/SE101 28 X 60</t>
  </si>
  <si>
    <t>AB101/SE101 28 X 60</t>
  </si>
  <si>
    <t>BLACK 60 1/2 X 96</t>
  </si>
  <si>
    <t>BLACK 61 X 121</t>
  </si>
  <si>
    <t>SE101/SG211 60 X 96</t>
  </si>
  <si>
    <t>SE101/SG211 30 X 96</t>
  </si>
  <si>
    <t>SE101/SG211 30 X 120</t>
  </si>
  <si>
    <t>BLACK 19 7/8 X 20 1/2</t>
  </si>
  <si>
    <t>BLACK 50 3/4 X 69</t>
  </si>
  <si>
    <t>BLACK 61 X 145</t>
  </si>
  <si>
    <t>HP463/SE101 60 X 96</t>
  </si>
  <si>
    <t>MARITIME GRAY 19 7/8 X 20 1/2</t>
  </si>
  <si>
    <t>BLACK 61 X 109</t>
  </si>
  <si>
    <t>BLACK 19 X 41</t>
  </si>
  <si>
    <t>BLACK 20 X 41</t>
  </si>
  <si>
    <t>BLACK 18 7/8 X 36 5/8</t>
  </si>
  <si>
    <t>BLACK 19 X 37 5/16</t>
  </si>
  <si>
    <t>BLACK 18 X 40</t>
  </si>
  <si>
    <t>BLACK 20 X 41 1/4</t>
  </si>
  <si>
    <t>BLACK 19 5/8 X 40 1/4</t>
  </si>
  <si>
    <t>BLACK 19 1/2 X 40</t>
  </si>
  <si>
    <t>BLACK 19 3/8 X 40 3/8</t>
  </si>
  <si>
    <t>BLACK 20 X 41 5/8</t>
  </si>
  <si>
    <t>BLACK 60 X 108</t>
  </si>
  <si>
    <t>BLACK 61 X 97</t>
  </si>
  <si>
    <t>BLACK 27 X 27</t>
  </si>
  <si>
    <t>BLACK 19 X 19</t>
  </si>
  <si>
    <t>BLACK 30 1/4 X 72 1/4</t>
  </si>
  <si>
    <t>BLACK 16 3/4 X 33 1/8</t>
  </si>
  <si>
    <t>BLACK 18 7/8 X 32 7/8</t>
  </si>
  <si>
    <t>BLACK 26 7/8 X 48 3/4</t>
  </si>
  <si>
    <t>BLACK 26 7/8 X 48 1/2</t>
  </si>
  <si>
    <t>BLACK 28 1/2 X 68 1/4</t>
  </si>
  <si>
    <t>BLACK 48 X 120</t>
  </si>
  <si>
    <t>BLACK 36 X 144</t>
  </si>
  <si>
    <t>BLACK 8 15/16 X 83 1/4</t>
  </si>
  <si>
    <t>BLACK 20 1/8 X 38 5/8</t>
  </si>
  <si>
    <t>BLACK 9 1/16 X 64 5/8</t>
  </si>
  <si>
    <t>BLACK 11 1/2 X 53 7/8</t>
  </si>
  <si>
    <t>BLACK 48 X 144</t>
  </si>
  <si>
    <t>BLACK 30 1/2 X 84 1/2</t>
  </si>
  <si>
    <t>BLACK 30 X 72</t>
  </si>
  <si>
    <t>BLACK 20 1/4 X 72 1/4</t>
  </si>
  <si>
    <t>BLACK 30 1/4 X 60 1/4</t>
  </si>
  <si>
    <t>BLACK 18 3/4 X 26 3/4</t>
  </si>
  <si>
    <t>BLACK 18 3/4 X 17 5/8</t>
  </si>
  <si>
    <t>BLACK 27 3/4 X 51 3/4</t>
  </si>
  <si>
    <t>BLACK 27 X 22</t>
  </si>
  <si>
    <t>BLACK 30 X 23</t>
  </si>
  <si>
    <t>BLACK 48 X 24  (-0 +1/8)</t>
  </si>
  <si>
    <t>BLACK 24 X 48</t>
  </si>
  <si>
    <t>BLACK 26 X 48</t>
  </si>
  <si>
    <t>BLACK 58 X 24  (-0 +1/8)</t>
  </si>
  <si>
    <t>BLACK 58 X 28  (-0 +1/8)</t>
  </si>
  <si>
    <t>BLACK 50 3/4 X 24  (-0 +1/8)</t>
  </si>
  <si>
    <t>BLACK 50 3/4 X 26  (-0 +1/8)</t>
  </si>
  <si>
    <t>BLACK 56 3/4 X 26  (-0 +1/8)</t>
  </si>
  <si>
    <t>BLACK 58 X 35  (-0 +1/8)</t>
  </si>
  <si>
    <t>BLACK 60 X 24 (-0 +1/8)</t>
  </si>
  <si>
    <t>BLACK 24 1/8 X 48 3/4</t>
  </si>
  <si>
    <t>BLACK 36 X 120</t>
  </si>
  <si>
    <t>Q BLK 5 FT FILL PANEL 60 X 144</t>
  </si>
  <si>
    <t>BLACK 61 X 73</t>
  </si>
  <si>
    <t>BLACK  30 X 120</t>
  </si>
  <si>
    <t>BLACK 24 1/2 X 60 1/2</t>
  </si>
  <si>
    <t>BLACK UMBER 61 1/4 X 121 1/4</t>
  </si>
  <si>
    <t>SG241/SE101 60 X 144</t>
  </si>
  <si>
    <t>SW826/SE101 60 X 144</t>
  </si>
  <si>
    <t>SE101/SW813 60 X 72</t>
  </si>
  <si>
    <t>SG241/SE101 60 X 120</t>
  </si>
  <si>
    <t>BLACK 12 X 120</t>
  </si>
  <si>
    <t>BLACK W/PC 60 X 120</t>
  </si>
  <si>
    <t>BLACK 61 X 72 3/8</t>
  </si>
  <si>
    <t>ST606/SE101 30 X 120</t>
  </si>
  <si>
    <t>FSC BLACK 60 X 120</t>
  </si>
  <si>
    <t>BLACK 30 1/4 X 48 1/4</t>
  </si>
  <si>
    <t>BLACK 30 1/4 X 96 1/4</t>
  </si>
  <si>
    <t>BLACK 30 X 60 1/2</t>
  </si>
  <si>
    <t>BLACK 30 X 72 1/2</t>
  </si>
  <si>
    <t>BLACK 30 X 48 1/2</t>
  </si>
  <si>
    <t>BLACK 30 1/2 X 96 1/2</t>
  </si>
  <si>
    <t>BLACK 30 1/2 X 60 1/2</t>
  </si>
  <si>
    <t>BLACK 30 1/2 X 72 1/2</t>
  </si>
  <si>
    <t>BLACK 30 1/4 X 120 1/4</t>
  </si>
  <si>
    <t>SE101/SW806/SE101 30 X 120</t>
  </si>
  <si>
    <t>SE101/SW806/SE101 30 X 144</t>
  </si>
  <si>
    <t>SE101/SW806/SE101 30 X 96</t>
  </si>
  <si>
    <t>SE101/SW806/SE101 60 X 120</t>
  </si>
  <si>
    <t>SE101/SW806/SE101 60 X 144</t>
  </si>
  <si>
    <t>SE101/SW806/SE101 60 X 96</t>
  </si>
  <si>
    <t>IZONE D/G 60 X 120</t>
  </si>
  <si>
    <t>IZONE D/G 60 X 96</t>
  </si>
  <si>
    <t>RGB PROM P2 D/G 60 X 144</t>
  </si>
  <si>
    <t>RGB PROM P3 D/G 60 X 144</t>
  </si>
  <si>
    <t>RGB PROM P5 D/G 60 X 144</t>
  </si>
  <si>
    <t>RGB PROM P6 D/G 60 X 120</t>
  </si>
  <si>
    <t>RGB PROM P8 D/G 60 X 144</t>
  </si>
  <si>
    <t>RGB PROM P9 D/G 60 X 144</t>
  </si>
  <si>
    <t>RGB PROM P10 D/G 60 X 96</t>
  </si>
  <si>
    <t>RGB PROM P12 D/G 60 X 144</t>
  </si>
  <si>
    <t>LOGO NAME PLATE 57.087X19.881</t>
  </si>
  <si>
    <t>SABLE 60 X 120</t>
  </si>
  <si>
    <t>BLACK  60X120</t>
  </si>
  <si>
    <t>BLACK  60 X 144</t>
  </si>
  <si>
    <t>BLACK  60 X 96</t>
  </si>
  <si>
    <t>WX421/SE101  60 X 96</t>
  </si>
  <si>
    <t>MT310/SE101 60 X 144</t>
  </si>
  <si>
    <t>BLACK  60 X 120</t>
  </si>
  <si>
    <t>AE021/SE101  60 X 120</t>
  </si>
  <si>
    <t>AE021/SE101  60 X 144</t>
  </si>
  <si>
    <t>AE021/SE101  60 X 96</t>
  </si>
  <si>
    <t>WX421/SE101  60 X 120</t>
  </si>
  <si>
    <t>WX421/SE101  60 X 144</t>
  </si>
  <si>
    <t>AG601/SE101  60 X 120</t>
  </si>
  <si>
    <t>BLACK M/B 60 X 120</t>
  </si>
  <si>
    <t>BLACK M/B 60 X 144</t>
  </si>
  <si>
    <t>BLACK M/B 24 X 36</t>
  </si>
  <si>
    <t>BLACK M/B 48 X 144</t>
  </si>
  <si>
    <t>BLACK M/B 60 X 96</t>
  </si>
  <si>
    <t>MARITIME GRAY 60 X 144</t>
  </si>
  <si>
    <t>JETT BLACK 60 X 120</t>
  </si>
  <si>
    <t>JETT BLACK 60 X 144</t>
  </si>
  <si>
    <t>JETT BLACK 19 7/8 X 20 1/2</t>
  </si>
  <si>
    <t>JETT BLACK 60 X 96</t>
  </si>
  <si>
    <t>BLACK 30 X 54.75</t>
  </si>
  <si>
    <t>JUTE 60 X 96</t>
  </si>
  <si>
    <t>Jett Black 17 x 38.875</t>
  </si>
  <si>
    <t>Jett Black 17 x 29</t>
  </si>
  <si>
    <t>Jett Black 17 x 60.375</t>
  </si>
  <si>
    <t>JETT BLACK 17 X 38.875</t>
  </si>
  <si>
    <t>JETT BLACK 17 X 29</t>
  </si>
  <si>
    <t>Jett Black 17 x 47</t>
  </si>
  <si>
    <t>JETT BLACK 17 X 60.375</t>
  </si>
  <si>
    <t>PEARL BLACK 19.875X41</t>
  </si>
  <si>
    <t>PEARL BLACK PC 20X41.375</t>
  </si>
  <si>
    <t>Pearl Black PC 11.875 x 18.75</t>
  </si>
  <si>
    <t>PEARL BLACK PC 12X21</t>
  </si>
  <si>
    <t>PEARL BLACK PC 11.875 X 18.75</t>
  </si>
  <si>
    <t>JETT BLACK  60 X 144</t>
  </si>
  <si>
    <t>JETT BLACK  60 X 96</t>
  </si>
  <si>
    <t>Jett Black  30 x 144</t>
  </si>
  <si>
    <t>Jett Black  30 x 60</t>
  </si>
  <si>
    <t>Jett Black  30 x 72</t>
  </si>
  <si>
    <t>Jett Black  30 x 96</t>
  </si>
  <si>
    <t>Jett Black  60 x 144</t>
  </si>
  <si>
    <t>Jett Black  60 x 96</t>
  </si>
  <si>
    <t>Jett Black  60 x 120</t>
  </si>
  <si>
    <t>Jett Black PC 60X144</t>
  </si>
  <si>
    <t>JETT BLACK  60 X 120</t>
  </si>
  <si>
    <t>JETT BLACK 25 X 71 7/8</t>
  </si>
  <si>
    <t>JETT BLACK 48 X 144</t>
  </si>
  <si>
    <t>JETT BLACK  60 x 120</t>
  </si>
  <si>
    <t>Jett Black   60 x 144</t>
  </si>
  <si>
    <t>JETT BLACK 60X120</t>
  </si>
  <si>
    <t>JETT BLACK 30 X 120</t>
  </si>
  <si>
    <t>JETT BLACK  30 X 60</t>
  </si>
  <si>
    <t>JETT BLACK  30 X 72</t>
  </si>
  <si>
    <t>JETT BLACK  30 X 96</t>
  </si>
  <si>
    <t>JETT BLACK 30 X 96</t>
  </si>
  <si>
    <t>JETT BLACK  60 x 144</t>
  </si>
  <si>
    <t>JETT BLACK   60 X 144</t>
  </si>
  <si>
    <t>JETT BLACK 60X144</t>
  </si>
  <si>
    <t>JETT BLACK 30 x 144</t>
  </si>
  <si>
    <t>JETT BLACK PC 60X144</t>
  </si>
  <si>
    <t>JETT BLACK 60 X144</t>
  </si>
  <si>
    <t>RUSH 60 X 120</t>
  </si>
  <si>
    <t>EASY ELEGANCE 60 X 144</t>
  </si>
  <si>
    <t>PALAZZO  60 X 96</t>
  </si>
  <si>
    <t>BLACK 61 1/2</t>
  </si>
  <si>
    <t>BLACK 26 1/4 X 17 1/4</t>
  </si>
  <si>
    <t>BLACK 9 X 17 1/4</t>
  </si>
  <si>
    <t>BLACK 61 1/8 X 97 1/8</t>
  </si>
  <si>
    <t>BLACK 61 1/8 X 121 1/8</t>
  </si>
  <si>
    <t>BLACK 61 1/4 X 121 1/4</t>
  </si>
  <si>
    <t>BLACK 61 1/2 X 109 1/2</t>
  </si>
  <si>
    <t>BLACK 61 1/2 X 110</t>
  </si>
  <si>
    <t>BLACK 61 1/2 X 98</t>
  </si>
  <si>
    <t>BLACK 61 1/2 X 97 1/2</t>
  </si>
  <si>
    <t>BLACK 61 1/2 X 122</t>
  </si>
  <si>
    <t>BLACK 61 1/2 X 74</t>
  </si>
  <si>
    <t>BLACK 61 1/2 X 86</t>
  </si>
  <si>
    <t>BLACK 61 1/2 X 121 1/2</t>
  </si>
  <si>
    <t>BLACK 61 1/2 X 73 1/2</t>
  </si>
  <si>
    <t>BLACK 61 1/2 X 85 1/2</t>
  </si>
  <si>
    <t>BLACK 61 1/4 X 97 1/4</t>
  </si>
  <si>
    <t>BLACK 61 1/4 X 73 1/4</t>
  </si>
  <si>
    <t>BLACK 61 1/4 X 109 1/4</t>
  </si>
  <si>
    <t>BLACK 61 1/2 X 56</t>
  </si>
  <si>
    <t>BLACK 26 1/4 X 17 1/8</t>
  </si>
  <si>
    <t>BLACK 9 X 17 1/8</t>
  </si>
  <si>
    <t>BLACK 35 X 17 1/8</t>
  </si>
  <si>
    <t>BLACK 20 3/16 X 26 3/16</t>
  </si>
  <si>
    <t>BLACK 61 1/2 X 80</t>
  </si>
  <si>
    <t>BLACK 61 1/2 X 36</t>
  </si>
  <si>
    <t>BLACK 61 1/2 X 42</t>
  </si>
  <si>
    <t>BLACK 61 1/2 X 146</t>
  </si>
  <si>
    <t>BLACK 61 1/2 X 48</t>
  </si>
  <si>
    <t>Q BLACK RIGHT LP</t>
  </si>
  <si>
    <t>BAD PART...USE PPK7 AS OF 1024</t>
  </si>
  <si>
    <t>Q BLACK MAD 2 LANE PACK</t>
  </si>
  <si>
    <t>BLACK 61 1/2 X 37</t>
  </si>
  <si>
    <t>BLACK  61 1/2 X 110</t>
  </si>
  <si>
    <t>BLACK 61 1/2 X 145</t>
  </si>
  <si>
    <t>BLACK 61 1/2 X  97 1/2</t>
  </si>
  <si>
    <t>BLACK 61 1/2 X 49</t>
  </si>
  <si>
    <t>BLACK 61 1/2 X 145 1/2</t>
  </si>
  <si>
    <t>BLACK 61 1/2 X 219 1/2</t>
  </si>
  <si>
    <t>BLACK 61 1/2 X 195 1/2</t>
  </si>
  <si>
    <t>FRL BLACK 60 X 120</t>
  </si>
  <si>
    <t>FRL JETT BLACK 60 X 96</t>
  </si>
  <si>
    <t>FRL BLACK 60 X 144</t>
  </si>
  <si>
    <t>A74SG204LS500</t>
  </si>
  <si>
    <t>A76SG204LS500</t>
  </si>
  <si>
    <t>A76SG204LS580</t>
  </si>
  <si>
    <t>A76SG254LS520</t>
  </si>
  <si>
    <t>A76SG254S520</t>
  </si>
  <si>
    <t>BSSE101APPK1</t>
  </si>
  <si>
    <t>C21SE101M020</t>
  </si>
  <si>
    <t>C21SE101M500</t>
  </si>
  <si>
    <t>C21SE101M520</t>
  </si>
  <si>
    <t>C21SE101M580</t>
  </si>
  <si>
    <t>C21SE101MRCN</t>
  </si>
  <si>
    <t>C21SE101MRCQ</t>
  </si>
  <si>
    <t>C21SE101MRCR</t>
  </si>
  <si>
    <t>C21SE101MT500</t>
  </si>
  <si>
    <t>D12SE101H520</t>
  </si>
  <si>
    <t>D12SE101J520</t>
  </si>
  <si>
    <t>D12SE101N5201</t>
  </si>
  <si>
    <t>D12SE101N520</t>
  </si>
  <si>
    <t>D16SE101GL5201</t>
  </si>
  <si>
    <t>D16SE101SD5201</t>
  </si>
  <si>
    <t>D17SE101GL5201</t>
  </si>
  <si>
    <t>D17SE101N520</t>
  </si>
  <si>
    <t>D17SE101N550</t>
  </si>
  <si>
    <t>D17SE101N580</t>
  </si>
  <si>
    <t>D17SE101NNWP</t>
  </si>
  <si>
    <t>D17SE101NNWQ</t>
  </si>
  <si>
    <t>D17SE101NNYR</t>
  </si>
  <si>
    <t>D17SE101NPFQ</t>
  </si>
  <si>
    <t>D17SE101NPFU</t>
  </si>
  <si>
    <t>D17SE101SD5201</t>
  </si>
  <si>
    <t>D20SE101N520</t>
  </si>
  <si>
    <t>D20SE101N580</t>
  </si>
  <si>
    <t>D20SE101SD500</t>
  </si>
  <si>
    <t>D21DF103N580</t>
  </si>
  <si>
    <t>D21DF127N580</t>
  </si>
  <si>
    <t>D21DF139N580</t>
  </si>
  <si>
    <t>D21DF140N580</t>
  </si>
  <si>
    <t>D25SE101SD500</t>
  </si>
  <si>
    <t>D25SE101SD520</t>
  </si>
  <si>
    <t>D25SE101VE500</t>
  </si>
  <si>
    <t>D25SE101VE520</t>
  </si>
  <si>
    <t>D29SE101N500</t>
  </si>
  <si>
    <t>D29SE101N580</t>
  </si>
  <si>
    <t>D29SE101SD500</t>
  </si>
  <si>
    <t>D29SE101SD580</t>
  </si>
  <si>
    <t>D30SG214SD500</t>
  </si>
  <si>
    <t>D30SW826SD500</t>
  </si>
  <si>
    <t>D30SW826SD580</t>
  </si>
  <si>
    <t>D32SE101N580</t>
  </si>
  <si>
    <t>D37SE101N5201</t>
  </si>
  <si>
    <t>D37SE101SD5201</t>
  </si>
  <si>
    <t>D43SE101N520</t>
  </si>
  <si>
    <t>D43SE101NR003</t>
  </si>
  <si>
    <t>D43SE101SD520</t>
  </si>
  <si>
    <t>D44SE101CR500</t>
  </si>
  <si>
    <t>D44SE101H520</t>
  </si>
  <si>
    <t>D44SE101H580</t>
  </si>
  <si>
    <t>D44SE101J500</t>
  </si>
  <si>
    <t>D44SE101M500</t>
  </si>
  <si>
    <t>D44SE101N050</t>
  </si>
  <si>
    <t>D44SE101NBMA</t>
  </si>
  <si>
    <t>D44SE101NNIT</t>
  </si>
  <si>
    <t>D44SE101SD500</t>
  </si>
  <si>
    <t>D44SE101SD560</t>
  </si>
  <si>
    <t>D45DF049NSIJ</t>
  </si>
  <si>
    <t>D48SE101N520</t>
  </si>
  <si>
    <t>D48SE101N580</t>
  </si>
  <si>
    <t>D50SE101M520</t>
  </si>
  <si>
    <t>D50SE101N040</t>
  </si>
  <si>
    <t>D50SE101N080</t>
  </si>
  <si>
    <t>D50SE101NRII</t>
  </si>
  <si>
    <t>D50SE101NSLD</t>
  </si>
  <si>
    <t>D50SE101SD000</t>
  </si>
  <si>
    <t>D50SE101SD500</t>
  </si>
  <si>
    <t>D50SE101SD520</t>
  </si>
  <si>
    <t>D50SE101SD580</t>
  </si>
  <si>
    <t>D50SE101VE500</t>
  </si>
  <si>
    <t>D54SE101N500</t>
  </si>
  <si>
    <t>D56SE101CR5002</t>
  </si>
  <si>
    <t>D56SE101G5001</t>
  </si>
  <si>
    <t>D56SE101H5002</t>
  </si>
  <si>
    <t>D56SE101H5202</t>
  </si>
  <si>
    <t>D56SE101H520</t>
  </si>
  <si>
    <t>D56SE101H580</t>
  </si>
  <si>
    <t>D56SE101J500</t>
  </si>
  <si>
    <t>D56SE101M520</t>
  </si>
  <si>
    <t>D56SE101N080</t>
  </si>
  <si>
    <t>D56SE101N5002</t>
  </si>
  <si>
    <t>D56SE101N500</t>
  </si>
  <si>
    <t>D56SE101N5202</t>
  </si>
  <si>
    <t>D56SE101N540</t>
  </si>
  <si>
    <t>D56SE101N580</t>
  </si>
  <si>
    <t>D56SE101PV500</t>
  </si>
  <si>
    <t>D56SE101SD500</t>
  </si>
  <si>
    <t>D56SE101SD520</t>
  </si>
  <si>
    <t>D56SE101SD580</t>
  </si>
  <si>
    <t>D56SE101Z500</t>
  </si>
  <si>
    <t>D57DF172NSYJ</t>
  </si>
  <si>
    <t>D57DF174NSYJ</t>
  </si>
  <si>
    <t>D57DF177NSYJ</t>
  </si>
  <si>
    <t>D68SE101CR5002</t>
  </si>
  <si>
    <t>D68SE101CR520</t>
  </si>
  <si>
    <t>D68SE101E5002</t>
  </si>
  <si>
    <t>D68SE101E5202</t>
  </si>
  <si>
    <t>D68SE101G580</t>
  </si>
  <si>
    <t>D68SE101J500</t>
  </si>
  <si>
    <t>D68SE101J520</t>
  </si>
  <si>
    <t>D68SE101M500</t>
  </si>
  <si>
    <t>D68SE101M520</t>
  </si>
  <si>
    <t>D68SE101M580</t>
  </si>
  <si>
    <t>D68SE101N020</t>
  </si>
  <si>
    <t>D68SE101N080</t>
  </si>
  <si>
    <t>D68SE101N5001</t>
  </si>
  <si>
    <t>D68SE101N5201</t>
  </si>
  <si>
    <t>D68SE101N5202</t>
  </si>
  <si>
    <t>D68SE101N520</t>
  </si>
  <si>
    <t>D68SE101N5802</t>
  </si>
  <si>
    <t>D68SE101N580</t>
  </si>
  <si>
    <t>D68SE101NJPW2</t>
  </si>
  <si>
    <t>D68SE101NJPW</t>
  </si>
  <si>
    <t>D68SE101NRFC</t>
  </si>
  <si>
    <t>D68SE101P520</t>
  </si>
  <si>
    <t>D68SE101SD5002</t>
  </si>
  <si>
    <t>D68SE101SD5201</t>
  </si>
  <si>
    <t>D68SE101SD5202</t>
  </si>
  <si>
    <t>D68SE101SD520</t>
  </si>
  <si>
    <t>D68SE101SD5802</t>
  </si>
  <si>
    <t>D68SE101SD580</t>
  </si>
  <si>
    <t>D68SE101SDCMT2</t>
  </si>
  <si>
    <t>D68SE101SDJPW2</t>
  </si>
  <si>
    <t>D68SE101SDRFC</t>
  </si>
  <si>
    <t>D68SE101W520</t>
  </si>
  <si>
    <t>D68SE101Z500</t>
  </si>
  <si>
    <t>D68SE101Z580</t>
  </si>
  <si>
    <t>D69DF061N580</t>
  </si>
  <si>
    <t>D69DF061NRGC</t>
  </si>
  <si>
    <t>D69DF061NSIJ</t>
  </si>
  <si>
    <t>D69SE101N500</t>
  </si>
  <si>
    <t>D71SE101N520</t>
  </si>
  <si>
    <t>D71SE101NXYZ1</t>
  </si>
  <si>
    <t>D71SE101SDXYZ1</t>
  </si>
  <si>
    <t>D74SE101CR5002</t>
  </si>
  <si>
    <t>D74SE101CR5802</t>
  </si>
  <si>
    <t>D74SE101J080</t>
  </si>
  <si>
    <t>D74SE101J520</t>
  </si>
  <si>
    <t>D74SE101N000</t>
  </si>
  <si>
    <t>D74SE101N020</t>
  </si>
  <si>
    <t>D74SE101N050</t>
  </si>
  <si>
    <t>D74SE101N080</t>
  </si>
  <si>
    <t>D74SE101N5002</t>
  </si>
  <si>
    <t>D74SE101N5201</t>
  </si>
  <si>
    <t>D74SE101N5202</t>
  </si>
  <si>
    <t>D74SE101N520</t>
  </si>
  <si>
    <t>D74SE101N550</t>
  </si>
  <si>
    <t>D74SE101N5802</t>
  </si>
  <si>
    <t>D74SE101N580</t>
  </si>
  <si>
    <t>D74SE101NRUV</t>
  </si>
  <si>
    <t>D74SE101SD500</t>
  </si>
  <si>
    <t>D74SE101SD5201</t>
  </si>
  <si>
    <t>D74SE101SD5202</t>
  </si>
  <si>
    <t>D74SE101SD520</t>
  </si>
  <si>
    <t>D74SE101SD580</t>
  </si>
  <si>
    <t>D74SE101SDDAN2</t>
  </si>
  <si>
    <t>D76DF173N580</t>
  </si>
  <si>
    <t>D77ST627NXYZ1</t>
  </si>
  <si>
    <t>D77ST627SDXYZ1</t>
  </si>
  <si>
    <t>D83SE101SD500</t>
  </si>
  <si>
    <t>G02SE101N520</t>
  </si>
  <si>
    <t>G02SE101SDCMQ</t>
  </si>
  <si>
    <t>G37SE101CAUZ1</t>
  </si>
  <si>
    <t>G37SE101CMII</t>
  </si>
  <si>
    <t>G37SE101CQKY1</t>
  </si>
  <si>
    <t>G37SE101CQTI1</t>
  </si>
  <si>
    <t>G37SE101CRQK1</t>
  </si>
  <si>
    <t>G37SE101CSQG1</t>
  </si>
  <si>
    <t>G37SE101CSQH1</t>
  </si>
  <si>
    <t>G37SE101CSQL</t>
  </si>
  <si>
    <t>G37SE101CSQQ</t>
  </si>
  <si>
    <t>G37SE101CSQS</t>
  </si>
  <si>
    <t>G37SE101G5201</t>
  </si>
  <si>
    <t>G48SE101AW080</t>
  </si>
  <si>
    <t>G48SE101C020</t>
  </si>
  <si>
    <t>G48SE101C5001</t>
  </si>
  <si>
    <t>G48SE101C590</t>
  </si>
  <si>
    <t>G48SE101CDEM1</t>
  </si>
  <si>
    <t>G48SE101CLTK1</t>
  </si>
  <si>
    <t>G48SE101CNLL1</t>
  </si>
  <si>
    <t>G48SE101CR000</t>
  </si>
  <si>
    <t>G48SE101CR5001</t>
  </si>
  <si>
    <t>G48SE101CR500</t>
  </si>
  <si>
    <t>G48SE101CR580</t>
  </si>
  <si>
    <t>G48SE101CRTGC</t>
  </si>
  <si>
    <t>G48SE101CSQJ</t>
  </si>
  <si>
    <t>G48SE101CSQK</t>
  </si>
  <si>
    <t>G48SE101CSRR</t>
  </si>
  <si>
    <t>G48SE101CSRS</t>
  </si>
  <si>
    <t>G48SE101CTCV1</t>
  </si>
  <si>
    <t>G48SE101DL400</t>
  </si>
  <si>
    <t>G48SE101DL500</t>
  </si>
  <si>
    <t>G48SE101DL520</t>
  </si>
  <si>
    <t>G48SE101DL580</t>
  </si>
  <si>
    <t>G48SE101F500</t>
  </si>
  <si>
    <t>G48SE101F520</t>
  </si>
  <si>
    <t>G48SE101G0801</t>
  </si>
  <si>
    <t>G48SE101G080</t>
  </si>
  <si>
    <t>G48SE101G520</t>
  </si>
  <si>
    <t>G48SE101G580</t>
  </si>
  <si>
    <t>G48SE101GL3201</t>
  </si>
  <si>
    <t>G48SE101GL5201</t>
  </si>
  <si>
    <t>G48SE101GNXV1</t>
  </si>
  <si>
    <t>G48SE101GQAY1</t>
  </si>
  <si>
    <t>G48SE101GQBB1</t>
  </si>
  <si>
    <t>G48SE101GQBD1</t>
  </si>
  <si>
    <t>G48SE101GR420</t>
  </si>
  <si>
    <t>G48SE101GR500</t>
  </si>
  <si>
    <t>G48SE101GR520</t>
  </si>
  <si>
    <t>G48SE101GR580</t>
  </si>
  <si>
    <t>G48SE101H500</t>
  </si>
  <si>
    <t>G48SE101H5201</t>
  </si>
  <si>
    <t>G48SE101H520</t>
  </si>
  <si>
    <t>G48SE101H5801</t>
  </si>
  <si>
    <t>G48SE101H580</t>
  </si>
  <si>
    <t>G48SE101HBNT1</t>
  </si>
  <si>
    <t>G48SE101I520</t>
  </si>
  <si>
    <t>G48SE101I580</t>
  </si>
  <si>
    <t>G48SE101J000</t>
  </si>
  <si>
    <t>G48SE101J020</t>
  </si>
  <si>
    <t>G48SE101J060</t>
  </si>
  <si>
    <t>G48SE101J080</t>
  </si>
  <si>
    <t>G48SE101J5001</t>
  </si>
  <si>
    <t>G48SE101J580</t>
  </si>
  <si>
    <t>G48SE101JNTI1</t>
  </si>
  <si>
    <t>G48SE101JSIN</t>
  </si>
  <si>
    <t>G48SE101JTGC1</t>
  </si>
  <si>
    <t>G48SE101JTGC</t>
  </si>
  <si>
    <t>G48SE101L020</t>
  </si>
  <si>
    <t>G48SE101L320</t>
  </si>
  <si>
    <t>G48SE101L400</t>
  </si>
  <si>
    <t>G48SE101L500</t>
  </si>
  <si>
    <t>G48SE101L520</t>
  </si>
  <si>
    <t>G48SE101L580</t>
  </si>
  <si>
    <t>G48SE101LN520</t>
  </si>
  <si>
    <t>G48SE101LR500</t>
  </si>
  <si>
    <t>G48SE101LR5201</t>
  </si>
  <si>
    <t>G48SE101LR520</t>
  </si>
  <si>
    <t>G48SE101LRDEM1</t>
  </si>
  <si>
    <t>G48SE101LZ520</t>
  </si>
  <si>
    <t>G48SE101MG5001</t>
  </si>
  <si>
    <t>G48SE101MG500</t>
  </si>
  <si>
    <t>G48SE101MG520</t>
  </si>
  <si>
    <t>G48SE101N0001</t>
  </si>
  <si>
    <t>G48SE101N000</t>
  </si>
  <si>
    <t>G48SE101N020</t>
  </si>
  <si>
    <t>G48SE101N080</t>
  </si>
  <si>
    <t>G48SE101N5001</t>
  </si>
  <si>
    <t>G48SE101N5201</t>
  </si>
  <si>
    <t>G48SE101N580</t>
  </si>
  <si>
    <t>G48SE101NNLW</t>
  </si>
  <si>
    <t>G48SE101NRRJ</t>
  </si>
  <si>
    <t>G48SE101NSTF</t>
  </si>
  <si>
    <t>G48SE101NTMT1</t>
  </si>
  <si>
    <t>G48SE101NTMU1</t>
  </si>
  <si>
    <t>G48SE101OL520</t>
  </si>
  <si>
    <t>G48SE101OZ520</t>
  </si>
  <si>
    <t>G48SE101PCFP</t>
  </si>
  <si>
    <t>G48SE101PMWQ</t>
  </si>
  <si>
    <t>G48SE101PNCK</t>
  </si>
  <si>
    <t>G48SE101PRIF</t>
  </si>
  <si>
    <t>G48SE101PTJD</t>
  </si>
  <si>
    <t>G48SE101PTJZ</t>
  </si>
  <si>
    <t>G48SE101PTKA</t>
  </si>
  <si>
    <t>G48SE101PTKB</t>
  </si>
  <si>
    <t>G48SE101PTLA</t>
  </si>
  <si>
    <t>G48SE101PTLN</t>
  </si>
  <si>
    <t>G48SE101PV520</t>
  </si>
  <si>
    <t>G48SE101PV5801</t>
  </si>
  <si>
    <t>G48SE101PV580</t>
  </si>
  <si>
    <t>G48SE101PYGD</t>
  </si>
  <si>
    <t>G48SE101R020</t>
  </si>
  <si>
    <t>G48SE101R420</t>
  </si>
  <si>
    <t>G48SE101R500</t>
  </si>
  <si>
    <t>G48SE101R520</t>
  </si>
  <si>
    <t>G48SE101R580</t>
  </si>
  <si>
    <t>G48SE101SD000</t>
  </si>
  <si>
    <t>G48SE101SD020</t>
  </si>
  <si>
    <t>G48SE101SD080</t>
  </si>
  <si>
    <t>G48SE101SD5001</t>
  </si>
  <si>
    <t>G48SE101SD500</t>
  </si>
  <si>
    <t>G48SE101SD5201</t>
  </si>
  <si>
    <t>G48SE101SD520</t>
  </si>
  <si>
    <t>G48SE101SD5801</t>
  </si>
  <si>
    <t>G48SE101SD580</t>
  </si>
  <si>
    <t>G48SE101SL400</t>
  </si>
  <si>
    <t>G48SE101SL500</t>
  </si>
  <si>
    <t>G48SE101SL520</t>
  </si>
  <si>
    <t>G48SE101SL580</t>
  </si>
  <si>
    <t>G48SE101SM500</t>
  </si>
  <si>
    <t>G48SE101SM520</t>
  </si>
  <si>
    <t>G48SE101SX320</t>
  </si>
  <si>
    <t>G48SE101SX500</t>
  </si>
  <si>
    <t>G48SE101SX520</t>
  </si>
  <si>
    <t>G48SE101U320</t>
  </si>
  <si>
    <t>G48SE101U500</t>
  </si>
  <si>
    <t>G48SE101U5201</t>
  </si>
  <si>
    <t>G48SE101U520</t>
  </si>
  <si>
    <t>G48SE101V020</t>
  </si>
  <si>
    <t>G48SE101V420</t>
  </si>
  <si>
    <t>G48SE101V500</t>
  </si>
  <si>
    <t>G48SE101V520</t>
  </si>
  <si>
    <t>G48SE101V580</t>
  </si>
  <si>
    <t>G48SE101VE520</t>
  </si>
  <si>
    <t>G48SE101VP520</t>
  </si>
  <si>
    <t>G48SE101W020</t>
  </si>
  <si>
    <t>G48SE101W300</t>
  </si>
  <si>
    <t>G48SE101W320</t>
  </si>
  <si>
    <t>G48SE101W400</t>
  </si>
  <si>
    <t>G48SE101W420</t>
  </si>
  <si>
    <t>G48SE101W500</t>
  </si>
  <si>
    <t>G48SE101W520</t>
  </si>
  <si>
    <t>G48SE101W580</t>
  </si>
  <si>
    <t>G48SE101WE520</t>
  </si>
  <si>
    <t>G75SE101NPFU</t>
  </si>
  <si>
    <t>H28SE101SD520</t>
  </si>
  <si>
    <t>H28SE101SDCMT1</t>
  </si>
  <si>
    <t>H28SE101SDFMR1</t>
  </si>
  <si>
    <t>H39SE101SD500</t>
  </si>
  <si>
    <t>H39SE101SD520</t>
  </si>
  <si>
    <t>H48SE101CR5001</t>
  </si>
  <si>
    <t>H48SE101CR5201</t>
  </si>
  <si>
    <t>H48SE101CR520</t>
  </si>
  <si>
    <t>H48SE101CR580</t>
  </si>
  <si>
    <t>H48SE101CRSIN</t>
  </si>
  <si>
    <t>H48SE101J5201</t>
  </si>
  <si>
    <t>H48SE101J520</t>
  </si>
  <si>
    <t>H48SE101J5601</t>
  </si>
  <si>
    <t>H48SE101J560</t>
  </si>
  <si>
    <t>H48SE101J580</t>
  </si>
  <si>
    <t>H48SE101JSIN1</t>
  </si>
  <si>
    <t>H48SE101JSIN</t>
  </si>
  <si>
    <t>H48SE101N0001</t>
  </si>
  <si>
    <t>H48SE101N000</t>
  </si>
  <si>
    <t>H48SE101N0201</t>
  </si>
  <si>
    <t>H48SE101N020</t>
  </si>
  <si>
    <t>H48SE101N050</t>
  </si>
  <si>
    <t>H48SE101N0801</t>
  </si>
  <si>
    <t>H48SE101N080</t>
  </si>
  <si>
    <t>H48SE101N5001</t>
  </si>
  <si>
    <t>H48SE101N5201</t>
  </si>
  <si>
    <t>H48SE101N520</t>
  </si>
  <si>
    <t>H48SE101N5601</t>
  </si>
  <si>
    <t>H48SE101N560</t>
  </si>
  <si>
    <t>H48SE101N5801</t>
  </si>
  <si>
    <t>H48SE101N580</t>
  </si>
  <si>
    <t>H48SE101N590</t>
  </si>
  <si>
    <t>H48SE101NFET</t>
  </si>
  <si>
    <t>H48SE101SD000</t>
  </si>
  <si>
    <t>H48SE101SD0201</t>
  </si>
  <si>
    <t>H48SE101SD5001</t>
  </si>
  <si>
    <t>H48SE101SD500</t>
  </si>
  <si>
    <t>H48SE101SD5201</t>
  </si>
  <si>
    <t>H48SE101SD520</t>
  </si>
  <si>
    <t>H48SE101SD5801</t>
  </si>
  <si>
    <t>H48SE101SD580</t>
  </si>
  <si>
    <t>H48SE105NCLH</t>
  </si>
  <si>
    <t>H60SE101N520</t>
  </si>
  <si>
    <t>HD2DF059N520</t>
  </si>
  <si>
    <t>HD2DF127N520</t>
  </si>
  <si>
    <t>HD2SE101N500</t>
  </si>
  <si>
    <t>HD2SE101N520</t>
  </si>
  <si>
    <t>HD2SE101SD000</t>
  </si>
  <si>
    <t>HD2SE101SD020</t>
  </si>
  <si>
    <t>HD2SE101SD080</t>
  </si>
  <si>
    <t>HD2SE101SD500</t>
  </si>
  <si>
    <t>HD2SE101SD520</t>
  </si>
  <si>
    <t>HD2SE101SD580</t>
  </si>
  <si>
    <t>HD5DF091N560</t>
  </si>
  <si>
    <t>HD5DF127N520</t>
  </si>
  <si>
    <t>HD5SE101N020</t>
  </si>
  <si>
    <t>HD5SE101N500</t>
  </si>
  <si>
    <t>HD5SE101N5201</t>
  </si>
  <si>
    <t>HD5SE101N5202</t>
  </si>
  <si>
    <t>HD5SE101N520</t>
  </si>
  <si>
    <t>HD5SE101N580</t>
  </si>
  <si>
    <t>HD5SE101SD000</t>
  </si>
  <si>
    <t>HD5SE101SD020</t>
  </si>
  <si>
    <t>HD5SE101SD080</t>
  </si>
  <si>
    <t>HD5SE101SD500</t>
  </si>
  <si>
    <t>HD5SE101SD520</t>
  </si>
  <si>
    <t>HD5SE101SD580</t>
  </si>
  <si>
    <t>HD6DF059N500</t>
  </si>
  <si>
    <t>HD6SE101N500</t>
  </si>
  <si>
    <t>HD6SE101N520</t>
  </si>
  <si>
    <t>HD6SE101N580</t>
  </si>
  <si>
    <t>HD6SE101SDTSW</t>
  </si>
  <si>
    <t>HD8SE101CS5001</t>
  </si>
  <si>
    <t>HD8SE101CS5002</t>
  </si>
  <si>
    <t>HD8SE101CS5201</t>
  </si>
  <si>
    <t>HD8SE101CS5202</t>
  </si>
  <si>
    <t>HD8SE101CS5801</t>
  </si>
  <si>
    <t>HD8SE101CS5802</t>
  </si>
  <si>
    <t>HD8SE101J5001</t>
  </si>
  <si>
    <t>HD8SE101J500</t>
  </si>
  <si>
    <t>HD8SE101J520</t>
  </si>
  <si>
    <t>HD8SE101N0001</t>
  </si>
  <si>
    <t>HD8SE101N000</t>
  </si>
  <si>
    <t>HD8SE101N0201</t>
  </si>
  <si>
    <t>HD8SE101N020</t>
  </si>
  <si>
    <t>HD8SE101N0801</t>
  </si>
  <si>
    <t>HD8SE101N080</t>
  </si>
  <si>
    <t>HD8SE101N5001</t>
  </si>
  <si>
    <t>HD8SE101N500</t>
  </si>
  <si>
    <t>HD8SE101N5201</t>
  </si>
  <si>
    <t>HD8SE101N5202</t>
  </si>
  <si>
    <t>HD8SE101N520</t>
  </si>
  <si>
    <t>HD8SE101N5801</t>
  </si>
  <si>
    <t>HD8SE101N580</t>
  </si>
  <si>
    <t>HD8SE101SD000</t>
  </si>
  <si>
    <t>HD8SE101SD020</t>
  </si>
  <si>
    <t>HD8SE101SD080</t>
  </si>
  <si>
    <t>HD8SE101SD5001</t>
  </si>
  <si>
    <t>HD8SE101SD500</t>
  </si>
  <si>
    <t>HD8SE101SD5201</t>
  </si>
  <si>
    <t>HD8SE101SD5202</t>
  </si>
  <si>
    <t>HD8SE101SD560</t>
  </si>
  <si>
    <t>HD8SE101SD580</t>
  </si>
  <si>
    <t>HD8SE101SDCMT</t>
  </si>
  <si>
    <t>HD8SE101SDSIJ</t>
  </si>
  <si>
    <t>HD8SE101SDTGC</t>
  </si>
  <si>
    <t>HD8SE101SDXQW</t>
  </si>
  <si>
    <t>HDHDF110N000</t>
  </si>
  <si>
    <t>HDHSE101N500</t>
  </si>
  <si>
    <t>HDHSE101N560</t>
  </si>
  <si>
    <t>HDHSE101N580</t>
  </si>
  <si>
    <t>HDISE101CR000</t>
  </si>
  <si>
    <t>HDISE101CR500</t>
  </si>
  <si>
    <t>HDISE101E020</t>
  </si>
  <si>
    <t>HDISE101E080</t>
  </si>
  <si>
    <t>HDISE101E5202</t>
  </si>
  <si>
    <t>HDISE101J0001</t>
  </si>
  <si>
    <t>HDISE101J000</t>
  </si>
  <si>
    <t>HDISE101J0201</t>
  </si>
  <si>
    <t>HDISE101J020</t>
  </si>
  <si>
    <t>HDISE101J0801</t>
  </si>
  <si>
    <t>HDISE101J5001</t>
  </si>
  <si>
    <t>HDISE101J500</t>
  </si>
  <si>
    <t>HDISE101J5201</t>
  </si>
  <si>
    <t>HDISE101J5202</t>
  </si>
  <si>
    <t>HDISE101J5801</t>
  </si>
  <si>
    <t>HDISE101J580</t>
  </si>
  <si>
    <t>HDISE101JBNQ</t>
  </si>
  <si>
    <t>HDISE101MG320</t>
  </si>
  <si>
    <t>HDISE101MG520</t>
  </si>
  <si>
    <t>HDISE101N0001</t>
  </si>
  <si>
    <t>HDISE101N0002</t>
  </si>
  <si>
    <t>HDISE101N000</t>
  </si>
  <si>
    <t>HDISE101N0201</t>
  </si>
  <si>
    <t>HDISE101N0202</t>
  </si>
  <si>
    <t>HDISE101N020</t>
  </si>
  <si>
    <t>HDISE101N060</t>
  </si>
  <si>
    <t>HDISE101N0801</t>
  </si>
  <si>
    <t>HDISE101N080</t>
  </si>
  <si>
    <t>HDISE101N5001</t>
  </si>
  <si>
    <t>HDISE101N5002</t>
  </si>
  <si>
    <t>HDISE101N5003</t>
  </si>
  <si>
    <t>HDISE101N5201</t>
  </si>
  <si>
    <t>HDISE101N5202</t>
  </si>
  <si>
    <t>HDISE101N5801</t>
  </si>
  <si>
    <t>HDISE101NBPM</t>
  </si>
  <si>
    <t>HDISE101NBPY</t>
  </si>
  <si>
    <t>HDISE101NRFG</t>
  </si>
  <si>
    <t>HDISE101NSIN</t>
  </si>
  <si>
    <t>HDISE101NTGC</t>
  </si>
  <si>
    <t>HDISE101NXKM</t>
  </si>
  <si>
    <t>HDISE101NXXS</t>
  </si>
  <si>
    <t>HDISE101SD000</t>
  </si>
  <si>
    <t>HDISE101SD020</t>
  </si>
  <si>
    <t>HDISE101SD080</t>
  </si>
  <si>
    <t>HDISE101SD5001</t>
  </si>
  <si>
    <t>HDISE101SD5002</t>
  </si>
  <si>
    <t>HDISE101SD5201</t>
  </si>
  <si>
    <t>HDISE101SD5202</t>
  </si>
  <si>
    <t>HDISE101SD560</t>
  </si>
  <si>
    <t>HDISE101SD5802</t>
  </si>
  <si>
    <t>HDISE101SDBNX</t>
  </si>
  <si>
    <t>HDISE101SDBPM</t>
  </si>
  <si>
    <t>HDISE101SDBPR</t>
  </si>
  <si>
    <t>HDISE101SDBPW</t>
  </si>
  <si>
    <t>HDISE101SDBPY</t>
  </si>
  <si>
    <t>HDISE101SDSIN</t>
  </si>
  <si>
    <t>HDISE101SDTGC</t>
  </si>
  <si>
    <t>HDISE101SDYJW</t>
  </si>
  <si>
    <t>HDISE101U320</t>
  </si>
  <si>
    <t>HI1PE002N500</t>
  </si>
  <si>
    <t>HI1PE002N520</t>
  </si>
  <si>
    <t>HI1PE002N580</t>
  </si>
  <si>
    <t>HI1PE002SD500</t>
  </si>
  <si>
    <t>HI1PE002SD520</t>
  </si>
  <si>
    <t>HI1PE002SD580</t>
  </si>
  <si>
    <t>HS1DF041N000</t>
  </si>
  <si>
    <t>HS1DF041N020</t>
  </si>
  <si>
    <t>HS1DF041N080</t>
  </si>
  <si>
    <t>HS1DF041N500</t>
  </si>
  <si>
    <t>HS1DF041N520</t>
  </si>
  <si>
    <t>HS1DF041N580</t>
  </si>
  <si>
    <t>JD1IZONED5001</t>
  </si>
  <si>
    <t>JD1IZONED5201</t>
  </si>
  <si>
    <t>JD1IZONED5801</t>
  </si>
  <si>
    <t>JD2IFOSSS5201</t>
  </si>
  <si>
    <t>JD2IZONED5001</t>
  </si>
  <si>
    <t>JD2IZONED5201</t>
  </si>
  <si>
    <t>JD2IZONED5801</t>
  </si>
  <si>
    <t>JD3IZONED5001</t>
  </si>
  <si>
    <t>JD3IZONED5201</t>
  </si>
  <si>
    <t>JD3IZONED5801</t>
  </si>
  <si>
    <t>JD5IZONED5001</t>
  </si>
  <si>
    <t>JD5IZONED5201</t>
  </si>
  <si>
    <t>JD5IZONED5801</t>
  </si>
  <si>
    <t>JD8IZONED5001</t>
  </si>
  <si>
    <t>JD8IZONED5201</t>
  </si>
  <si>
    <t>JD8IZONED5801</t>
  </si>
  <si>
    <t>JD9IZONED5001</t>
  </si>
  <si>
    <t>JD9IZONED5201</t>
  </si>
  <si>
    <t>JD9IZONED5801</t>
  </si>
  <si>
    <t>JD9R0034N5201</t>
  </si>
  <si>
    <t>JD9R0035N5201</t>
  </si>
  <si>
    <t>JD9R0037N5201</t>
  </si>
  <si>
    <t>JD9R0038N5001</t>
  </si>
  <si>
    <t>JD9R0040N5201</t>
  </si>
  <si>
    <t>JD9R0041N5201</t>
  </si>
  <si>
    <t>JD9R0042N5801</t>
  </si>
  <si>
    <t>JD9R0044N5201</t>
  </si>
  <si>
    <t>JDCIZONED5001</t>
  </si>
  <si>
    <t>JDCIZONED5201</t>
  </si>
  <si>
    <t>JDCIZONED5801</t>
  </si>
  <si>
    <t>JDCRB175NB17</t>
  </si>
  <si>
    <t>JDEIZONED5001</t>
  </si>
  <si>
    <t>JDEIZONED5201</t>
  </si>
  <si>
    <t>JDEIZONED5801</t>
  </si>
  <si>
    <t>JDFIZONED5001</t>
  </si>
  <si>
    <t>JDFIZONED5801</t>
  </si>
  <si>
    <t>JDOIZONED5001</t>
  </si>
  <si>
    <t>JDRIZONED5001</t>
  </si>
  <si>
    <t>JDRIZONED5201</t>
  </si>
  <si>
    <t>JDRIZONED5801</t>
  </si>
  <si>
    <t>M02AG021SD500</t>
  </si>
  <si>
    <t>M02CE101N500</t>
  </si>
  <si>
    <t>M02CE101N520</t>
  </si>
  <si>
    <t>M02CE101N580</t>
  </si>
  <si>
    <t>M02CE101PV520</t>
  </si>
  <si>
    <t>M02CE101SD500</t>
  </si>
  <si>
    <t>M02CE101SD580</t>
  </si>
  <si>
    <t>M02PC203H580</t>
  </si>
  <si>
    <t>M39CE101SD500</t>
  </si>
  <si>
    <t>M39CE101SD520</t>
  </si>
  <si>
    <t>M39PC227SD520</t>
  </si>
  <si>
    <t>M56CE101G5001</t>
  </si>
  <si>
    <t>M56CE101G500</t>
  </si>
  <si>
    <t>M56CE101G5201</t>
  </si>
  <si>
    <t>M56CE101GL5201</t>
  </si>
  <si>
    <t>M56CE101N500</t>
  </si>
  <si>
    <t>M56CE101N5201</t>
  </si>
  <si>
    <t>M56CE101N520</t>
  </si>
  <si>
    <t>M56CE101N580</t>
  </si>
  <si>
    <t>M56CE101SD500</t>
  </si>
  <si>
    <t>M56CE101SD520</t>
  </si>
  <si>
    <t>M56CE101SD580</t>
  </si>
  <si>
    <t>M56PC052N500</t>
  </si>
  <si>
    <t>M56PC052N520</t>
  </si>
  <si>
    <t>M56PC052N580</t>
  </si>
  <si>
    <t>M56PC203H500</t>
  </si>
  <si>
    <t>M56PC203H5201</t>
  </si>
  <si>
    <t>M56PC203H520</t>
  </si>
  <si>
    <t>M56PC203H5801</t>
  </si>
  <si>
    <t>M56PC203H580</t>
  </si>
  <si>
    <t>M56PC214N500</t>
  </si>
  <si>
    <t>MB1SE109G5001</t>
  </si>
  <si>
    <t>MB1SE109G5201</t>
  </si>
  <si>
    <t>MB1SE109G520</t>
  </si>
  <si>
    <t>MB1SE109GL5001</t>
  </si>
  <si>
    <t>MB1SE109GL5201</t>
  </si>
  <si>
    <t>MB1SE109GPDM1</t>
  </si>
  <si>
    <t>MB2SE109G4201</t>
  </si>
  <si>
    <t>MB2SE109G420</t>
  </si>
  <si>
    <t>MB2SE109G500</t>
  </si>
  <si>
    <t>MB2SE109G520</t>
  </si>
  <si>
    <t>MB2SE109G5801</t>
  </si>
  <si>
    <t>MB2SE109G580</t>
  </si>
  <si>
    <t>ND30S-6027E-5201</t>
  </si>
  <si>
    <t>ND30S-6027SD5201</t>
  </si>
  <si>
    <t>ND57S-6001G-5801</t>
  </si>
  <si>
    <t>ND57S-6001GL5801</t>
  </si>
  <si>
    <t>ND57S-6053SM5000</t>
  </si>
  <si>
    <t>ND57S-6053SM5200</t>
  </si>
  <si>
    <t>ND57S-6053TL5002</t>
  </si>
  <si>
    <t>ND66S-6053SDXYZ1</t>
  </si>
  <si>
    <t>ND74S-6053SM5800</t>
  </si>
  <si>
    <t>ND75S-6053SMBNQ0</t>
  </si>
  <si>
    <t>ND75S-6053SMYJM0</t>
  </si>
  <si>
    <t>ND77S-2086T-5800</t>
  </si>
  <si>
    <t>NG03S-6053V-QDB0</t>
  </si>
  <si>
    <t>NG03S-6053V-UDC0</t>
  </si>
  <si>
    <t>NG03S-6053V-UDM0</t>
  </si>
  <si>
    <t>NG03S-6053VEQDB0</t>
  </si>
  <si>
    <t>NG03S-6053VEUDC0</t>
  </si>
  <si>
    <t>NG03S-6053VEUDJ0</t>
  </si>
  <si>
    <t>NG03S-6053VEUDM0</t>
  </si>
  <si>
    <t>NG28ST9216B-UOY1</t>
  </si>
  <si>
    <t>NG28ST9216B-UPJ1</t>
  </si>
  <si>
    <t>NG28ST9216E-XFR1</t>
  </si>
  <si>
    <t>NG28ST9216E-XFT1</t>
  </si>
  <si>
    <t>NG28ST9216LRUOY1</t>
  </si>
  <si>
    <t>NG28ST9216LRUPJ1</t>
  </si>
  <si>
    <t>NG28ST9216SDXFR1</t>
  </si>
  <si>
    <t>NG28ST9216SDXFT1</t>
  </si>
  <si>
    <t>NG49S-6053AW5200</t>
  </si>
  <si>
    <t>NG49S-6053AW5201</t>
  </si>
  <si>
    <t>NG49S-6053AW5800</t>
  </si>
  <si>
    <t>NG49S-6053B-0200</t>
  </si>
  <si>
    <t>NG49S-6053B-0500</t>
  </si>
  <si>
    <t>NG49S-6053B-0600</t>
  </si>
  <si>
    <t>NG49S-6053B-0800</t>
  </si>
  <si>
    <t>NG49S-6053B-5201</t>
  </si>
  <si>
    <t>NG49S-6053B-5800</t>
  </si>
  <si>
    <t>NG49S-6053C-5000</t>
  </si>
  <si>
    <t>NG49S-6053C-5200</t>
  </si>
  <si>
    <t>NG49S-6053C-5201</t>
  </si>
  <si>
    <t>NG49S-6053C-5800</t>
  </si>
  <si>
    <t>NG49S-6053CR5000</t>
  </si>
  <si>
    <t>NG49S-6053CR5200</t>
  </si>
  <si>
    <t>NG49S-6053CR5800</t>
  </si>
  <si>
    <t>NG49S-6053CRYGJ1</t>
  </si>
  <si>
    <t>NG49S-6053CV4200</t>
  </si>
  <si>
    <t>NG49S-6053CV5200</t>
  </si>
  <si>
    <t>NG49S-6053E-5000</t>
  </si>
  <si>
    <t>NG49S-6053E-5200</t>
  </si>
  <si>
    <t>NG49S-6053G-5001</t>
  </si>
  <si>
    <t>NG49S-6053G-5201</t>
  </si>
  <si>
    <t>NG49S-6053GL5001</t>
  </si>
  <si>
    <t>NG49S-6053GL5201</t>
  </si>
  <si>
    <t>NG49S-6053GL5801</t>
  </si>
  <si>
    <t>NG49S-6053LR0000</t>
  </si>
  <si>
    <t>NG49S-6053LR0500</t>
  </si>
  <si>
    <t>NG49S-6053LR0503</t>
  </si>
  <si>
    <t>NG49S-6053LR0600</t>
  </si>
  <si>
    <t>NG49S-6053LR0603</t>
  </si>
  <si>
    <t>NG49S-6053LR0800</t>
  </si>
  <si>
    <t>NG49S-6053LR0803</t>
  </si>
  <si>
    <t>NG49S-6053LR5201</t>
  </si>
  <si>
    <t>NG49S-6053N-5200</t>
  </si>
  <si>
    <t>NG49S-6053SD5000</t>
  </si>
  <si>
    <t>NG49S-6053SD5200</t>
  </si>
  <si>
    <t>NG49S-6053SM5200</t>
  </si>
  <si>
    <t>NG49S-6053SM5800</t>
  </si>
  <si>
    <t>NG49S-6053V-5000</t>
  </si>
  <si>
    <t>NG49S-6053V-5001</t>
  </si>
  <si>
    <t>NG49S-6053V-5200</t>
  </si>
  <si>
    <t>NG49S-6053VE5000</t>
  </si>
  <si>
    <t>NG49S-6053VE5001</t>
  </si>
  <si>
    <t>NG49S-6053VE5200</t>
  </si>
  <si>
    <t>NG49S-6053WE5200</t>
  </si>
  <si>
    <t>NG49S-6053Z-0200</t>
  </si>
  <si>
    <t>NG49S-6053Z-5200</t>
  </si>
  <si>
    <t>NG49S-6053Z-5201</t>
  </si>
  <si>
    <t>NG49S-6053Z-5800</t>
  </si>
  <si>
    <t>NH28S-6053CA5200</t>
  </si>
  <si>
    <t>NH39S-6053CA0000</t>
  </si>
  <si>
    <t>NH39S-6053CA0800</t>
  </si>
  <si>
    <t>NH39S-6053CA5200</t>
  </si>
  <si>
    <t>NH48S-6053CA5200</t>
  </si>
  <si>
    <t>NHDIS-6053CA5000</t>
  </si>
  <si>
    <t>NHDIS-6053CA5001</t>
  </si>
  <si>
    <t>NM02S-6053SD5200</t>
  </si>
  <si>
    <t>NM39FS6001SD5000</t>
  </si>
  <si>
    <t>NM39S-6053SD5000</t>
  </si>
  <si>
    <t>NM56S-6053SD5200</t>
  </si>
  <si>
    <t>NM56VA5002SD5200</t>
  </si>
  <si>
    <t>NM56WK0024WE5800</t>
  </si>
  <si>
    <t>NMB1S-6053G-5801</t>
  </si>
  <si>
    <t>NMB1S-6053GL5801</t>
  </si>
  <si>
    <t>QBZDS064NCMZ0</t>
  </si>
  <si>
    <t>QGTDS064NTFF0</t>
  </si>
  <si>
    <t>QGTDS064NTFG0</t>
  </si>
  <si>
    <t>QHRDS064NSYY0</t>
  </si>
  <si>
    <t>QHRDS064NSZA0</t>
  </si>
  <si>
    <t>QHZDS064NCLH0</t>
  </si>
  <si>
    <t>QHZDS064NCNC0</t>
  </si>
  <si>
    <t>QHZDS064NFFF0</t>
  </si>
  <si>
    <t>QHZDS064NKRK0</t>
  </si>
  <si>
    <t>QHZDS064NLVU0</t>
  </si>
  <si>
    <t>QHZDS064NLVW0</t>
  </si>
  <si>
    <t>QHZDS064NLVX0</t>
  </si>
  <si>
    <t>QHZDS064NLVY0</t>
  </si>
  <si>
    <t>QHZDS064NNJJ0</t>
  </si>
  <si>
    <t>QHZDS064NNST0</t>
  </si>
  <si>
    <t>QHZDS064NNSU0</t>
  </si>
  <si>
    <t>QHZDS064NPFZ0</t>
  </si>
  <si>
    <t>QHZDS064NSVU0</t>
  </si>
  <si>
    <t>QHZDS064NSVY0</t>
  </si>
  <si>
    <t>QHZDS064NSYY0</t>
  </si>
  <si>
    <t>QHZDS064NSZA0</t>
  </si>
  <si>
    <t>QIRDS064NRWZ0</t>
  </si>
  <si>
    <t>QIRDS064NTGX0</t>
  </si>
  <si>
    <t>QIRDS064NTGY0</t>
  </si>
  <si>
    <t>QIRDS064NWIU0</t>
  </si>
  <si>
    <t>QISDS064NQHZ0</t>
  </si>
  <si>
    <t>QISDS064NQVV0</t>
  </si>
  <si>
    <t>QIZDS064NFFF0</t>
  </si>
  <si>
    <t>QIZDS064NKRK0</t>
  </si>
  <si>
    <t>QIZDS064NLVP0</t>
  </si>
  <si>
    <t>QIZDS064NLVQ0</t>
  </si>
  <si>
    <t>QIZDS064NLVW0</t>
  </si>
  <si>
    <t>QIZDS064NLWD0</t>
  </si>
  <si>
    <t>QIZDS064NNSU0</t>
  </si>
  <si>
    <t>QIZDS064NSRM0</t>
  </si>
  <si>
    <t>QKLDS064NCMZ0</t>
  </si>
  <si>
    <t>QUBBLACKPK10</t>
  </si>
  <si>
    <t>QUBBLACKPPK6</t>
  </si>
  <si>
    <t>QUBBLACKPPK7</t>
  </si>
  <si>
    <t>QZBDS064NLVW0</t>
  </si>
  <si>
    <t>QZBDS064NLVX0</t>
  </si>
  <si>
    <t>QZQDS064NCMZ0</t>
  </si>
  <si>
    <t>QZQDS064NCNA0</t>
  </si>
  <si>
    <t>QZQDS064NCNC0</t>
  </si>
  <si>
    <t>QZQDS064NFFF0</t>
  </si>
  <si>
    <t>QZQDS064NKRE0</t>
  </si>
  <si>
    <t>QZQDS064NKRK0</t>
  </si>
  <si>
    <t>QZQDS064NLVP0</t>
  </si>
  <si>
    <t>QZQDS064NLVQ0</t>
  </si>
  <si>
    <t>QZQDS064NLVU0</t>
  </si>
  <si>
    <t>QZQDS064NLVW0</t>
  </si>
  <si>
    <t>QZQDS064NLWD0</t>
  </si>
  <si>
    <t>QZQDS064NMGE0</t>
  </si>
  <si>
    <t>QZQDS064NNJJ0</t>
  </si>
  <si>
    <t>QZQDS064NNST0</t>
  </si>
  <si>
    <t>QZQDS064NNSU0</t>
  </si>
  <si>
    <t>QZQDS064NSJV0</t>
  </si>
  <si>
    <t>QZQDS064NSPL0</t>
  </si>
  <si>
    <t>QZQDS064NSYY0</t>
  </si>
  <si>
    <t>QZQDS064NTNL0</t>
  </si>
  <si>
    <t>QZSDS064NCNC0</t>
  </si>
  <si>
    <t>QZUDS064NCNC0</t>
  </si>
  <si>
    <t>X75FS760SDPFQ</t>
  </si>
  <si>
    <t>X75NS878NNYR</t>
  </si>
  <si>
    <t>X75NS878SDNYR</t>
  </si>
  <si>
    <t>X89FS760NPFQ</t>
  </si>
  <si>
    <t>X89FS760NPFU</t>
  </si>
  <si>
    <t>110WM742-5000</t>
  </si>
  <si>
    <t>AMF MAPLE L/O (CUT DOWN)</t>
  </si>
  <si>
    <t>AMF PINE  48X144</t>
  </si>
  <si>
    <t>AMF SPL PINE FOR PLUGS 48 X 14</t>
  </si>
  <si>
    <t>AMF PINE FOR PLUGS 48X144</t>
  </si>
  <si>
    <t>NJ06HA0010BP4200</t>
  </si>
  <si>
    <t>NJ06HA0010SB4200</t>
  </si>
  <si>
    <t>NJ07HA0009SB4200</t>
  </si>
  <si>
    <t>NJ07HA0010BP4200</t>
  </si>
  <si>
    <t>NJ07HA0010SB4200</t>
  </si>
  <si>
    <t>100WW971-6200</t>
  </si>
  <si>
    <t>GUN SAVOY WALNUT</t>
  </si>
  <si>
    <t>GUN SAVOY WALNUT BES 1 5/8 X 1</t>
  </si>
  <si>
    <t>GUN SAVOY WALNUT 60 X 144</t>
  </si>
  <si>
    <t>GUN SAVOY WALNUT 60 X 96</t>
  </si>
  <si>
    <t>GUN SAVOY WALNUT 60 X 120</t>
  </si>
  <si>
    <t>GUN SAVOY WALNUT 30 X 120</t>
  </si>
  <si>
    <t>GUN SAVOY WALNUT 30 X 144</t>
  </si>
  <si>
    <t>GUN SAVOY WALNUT 30 X 60</t>
  </si>
  <si>
    <t>GUN SAVOY WALNUT 30 X 96</t>
  </si>
  <si>
    <t>GUN SAVOY WALNUT 60 X 72</t>
  </si>
  <si>
    <t>GUN SAVOY WALNUT 30 1/2X60 1/2</t>
  </si>
  <si>
    <t>GUN SAVOY WALNUT 30 1/2X72 1/2</t>
  </si>
  <si>
    <t>GUN SAVOY WALNUT 30 X 72</t>
  </si>
  <si>
    <t>WW974 CGS UV PRO NBR 14.15X144</t>
  </si>
  <si>
    <t>WW974 CGS UV PRO WW 42 1/2X145</t>
  </si>
  <si>
    <t>WW974 CGS UV BALL RET 13.87 X</t>
  </si>
  <si>
    <t>GUN SAVOT WALNUT 60 X 144</t>
  </si>
  <si>
    <t>GUN SAVOY WALNUT 55 X 97</t>
  </si>
  <si>
    <t>GUN SAVOY WALNUT 20 1/4X30 1/4</t>
  </si>
  <si>
    <t>GUN SAVOY WALNUT 20 1/4X72 1/4</t>
  </si>
  <si>
    <t>GUN SAVOY WALNUT 30 1/4X60 1/4</t>
  </si>
  <si>
    <t>GUN SAVOY WALNUT 30 1/4X72 1/4</t>
  </si>
  <si>
    <t>GUN SAVOY WALNUT 30 1/4 X 43</t>
  </si>
  <si>
    <t>GUN SAVOY WALNUT 30 X 84</t>
  </si>
  <si>
    <t>GUN SAVOY WALNUT 30 X 108</t>
  </si>
  <si>
    <t>GUN SAVOY WALNUT 60 X 60</t>
  </si>
  <si>
    <t>GUN SAVOY WALNUT 60 X 84</t>
  </si>
  <si>
    <t>GUN SAVOY WAL 19 3/4 X 19 3/4</t>
  </si>
  <si>
    <t>GUN SAVOY WAL 18 3/4 X 18 3/4</t>
  </si>
  <si>
    <t>GUN SAVOY WAL 25 1/2 X 47 1/2</t>
  </si>
  <si>
    <t>GUN SAVOY WAL 28 3/4 X 40 3/4</t>
  </si>
  <si>
    <t>GUN SAVOY WAL 18 7/8 X 48 3/4</t>
  </si>
  <si>
    <t>GUN SAVOY WALNUT 60 X 40</t>
  </si>
  <si>
    <t>GUN SAVOY WALNUT 18 7/8X32 7/8</t>
  </si>
  <si>
    <t>GUN SAVOY WALNUT 27 X 55</t>
  </si>
  <si>
    <t>GUN SAVOY WALNUT 19 X 85</t>
  </si>
  <si>
    <t>GUN SAVOY WALNUT 25 X 85</t>
  </si>
  <si>
    <t>GUN SAVOY WALNUT 28 X 44</t>
  </si>
  <si>
    <t>WW971 GS ONE LANE PK</t>
  </si>
  <si>
    <t>WW974 CGS TWO LANE PK</t>
  </si>
  <si>
    <t>WW971 GS TWO LANE PK</t>
  </si>
  <si>
    <t>WW974 CGS UV  TWO LANE PK</t>
  </si>
  <si>
    <t>WW974 CGS UV ONE LANE PK</t>
  </si>
  <si>
    <t>WW974 CGS UV  47 FT T/A 2LP</t>
  </si>
  <si>
    <t>GUN SAVOY WALNUT H/W 60X144</t>
  </si>
  <si>
    <t>WW974 CGS UV PRO LL 41.84X144</t>
  </si>
  <si>
    <t>WW974 CGS UV PRO RL 41.84X144</t>
  </si>
  <si>
    <t>WW974 UV PRO L FO/ARR 59.5X142</t>
  </si>
  <si>
    <t>WW974 UV PRO R FO/ARR 59.5X142</t>
  </si>
  <si>
    <t>WW974 CGS UV RETURN 13.87X144</t>
  </si>
  <si>
    <t>WW974 CGS UV W/WAY 42 7/8X145</t>
  </si>
  <si>
    <t>WW974 CGS UV L APP 59.641X144</t>
  </si>
  <si>
    <t>WW974 CGS UV R APP 59.641X144</t>
  </si>
  <si>
    <t>WW974 CGS UV L FOUL 59.641X144</t>
  </si>
  <si>
    <t>WW974 CGS UV R FOUL 59.641X144</t>
  </si>
  <si>
    <t>CL G/STOCK BALL RET 13.87X144</t>
  </si>
  <si>
    <t>CL G/STOCK W BALL RET 14.7X144</t>
  </si>
  <si>
    <t>CL G/STOCK W/WAY 42 7/8X145 1/</t>
  </si>
  <si>
    <t>GUN SAVOY WALNUT 61 1/2 X 110</t>
  </si>
  <si>
    <t>GUN SAVOY WALNUT 61 1/2 X 98</t>
  </si>
  <si>
    <t>GUN SAVOY WALNUT 61 1/2 X 70</t>
  </si>
  <si>
    <t>GUN SAVOY WALNUT 61 1/2 X 84</t>
  </si>
  <si>
    <t>GUN SAVOY WAL 61 1/2X109 1/2</t>
  </si>
  <si>
    <t>GUN SAVOY WAL 61 1/2 X 97 1/2</t>
  </si>
  <si>
    <t>GUN SAVOY WAL  61 1/4 X 97 1/4</t>
  </si>
  <si>
    <t>GUN SAVOY WAL 61 1/4 X 109 1/4</t>
  </si>
  <si>
    <t>GUN SAVOY WAL 61 1/8 X 97 1/8</t>
  </si>
  <si>
    <t>GUN SAVOY WAL 61 1/8 X 109 1/8</t>
  </si>
  <si>
    <t>GUN SAVOY WAL 61 1/8 X 121 1/8</t>
  </si>
  <si>
    <t>GUN SAVOY WALNUT 27 X 33</t>
  </si>
  <si>
    <t>GUN SAVOY WALNUT 61 1/2</t>
  </si>
  <si>
    <t>GUN SAVOY WALNUT 61 1/2 X 122</t>
  </si>
  <si>
    <t>GUN SAVOY WALNUT 61 1/2 X 219</t>
  </si>
  <si>
    <t>GUN SAVOY WALNUT 28 X 40</t>
  </si>
  <si>
    <t>GUN SAVOY WAL 61 1/2 X 77</t>
  </si>
  <si>
    <t>GUN SAVOY WAL 20 3/16X26 3/16</t>
  </si>
  <si>
    <t>GUN SAVOY WALNUT 61 1/2 X 53</t>
  </si>
  <si>
    <t>GUN SAVOY WALNUT 61 1/2 X 80</t>
  </si>
  <si>
    <t>GUN SAVOY WAL 30 1/2 X 38 1/4</t>
  </si>
  <si>
    <t>GUN SAVOY WALNUT 61 1/2 X 56</t>
  </si>
  <si>
    <t>GUN SAVOY WALNUT 61 1/2 X 40</t>
  </si>
  <si>
    <t>GUN SAVOY WALNUT 61 1/2 X 45</t>
  </si>
  <si>
    <t>GUN SAVOY WAL 14 3/4 X 15 3/4</t>
  </si>
  <si>
    <t>GUN SAVOY WALNUT 25 X 33 1/2</t>
  </si>
  <si>
    <t>GUN SAVOY WALNUT 61 1/2 X 67</t>
  </si>
  <si>
    <t>GUN SAVOY WALNUT 8 X 14 1/2</t>
  </si>
  <si>
    <t>Q WW971 CL GUN RIGHT LP</t>
  </si>
  <si>
    <t>Q WW971 CL GUN CG 2LP</t>
  </si>
  <si>
    <t>Q WW971 CL GUN CG LEFT LP</t>
  </si>
  <si>
    <t>Q WW971 CL GUN CG RIGHT LP</t>
  </si>
  <si>
    <t>Q WW971 CL GUN 2LP (- APP)</t>
  </si>
  <si>
    <t>Q WW971 CL GUN LEFT LP</t>
  </si>
  <si>
    <t>Q WW971 CL GUN (CG) 2LP</t>
  </si>
  <si>
    <t>Q WW971 CL GUN  (CG) RLP</t>
  </si>
  <si>
    <t>Q WW971 CL GUN (CG) LLP</t>
  </si>
  <si>
    <t>GUN SAVOY WALNUT 61 1/2 X 74</t>
  </si>
  <si>
    <t>GUN SAVOY WALNUT 61 1/2 X 195</t>
  </si>
  <si>
    <t>GUN SAVOY WAL 61 1/2 X 98 1/2</t>
  </si>
  <si>
    <t>GUN SAVOY WAL 61 1/2 X 122 1/2</t>
  </si>
  <si>
    <t>GUN SAVOY WAL 61 1/2 X 109 1/2</t>
  </si>
  <si>
    <t>FRL GUN SAVOY WALNUT 60 X 96</t>
  </si>
  <si>
    <t>FRL GUNSAVOY WALNUT 60 X 120</t>
  </si>
  <si>
    <t>FRL GUN SAVOY WALNUT 60 X 120</t>
  </si>
  <si>
    <t>BV1WW971NDEJ</t>
  </si>
  <si>
    <t>BV1WW971SDDEJ</t>
  </si>
  <si>
    <t>C20WW971M520</t>
  </si>
  <si>
    <t>C20WW971MT520</t>
  </si>
  <si>
    <t>D44WW971N520</t>
  </si>
  <si>
    <t>D45WW971N580</t>
  </si>
  <si>
    <t>D57WW971H500</t>
  </si>
  <si>
    <t>D57WW971N5002</t>
  </si>
  <si>
    <t>D57WW971N500</t>
  </si>
  <si>
    <t>D57WW971N520</t>
  </si>
  <si>
    <t>D57WW971SD500</t>
  </si>
  <si>
    <t>D57WW971SD520</t>
  </si>
  <si>
    <t>D69WW971H500</t>
  </si>
  <si>
    <t>D69WW971N500</t>
  </si>
  <si>
    <t>D69WW971N520</t>
  </si>
  <si>
    <t>D69WW971SD500</t>
  </si>
  <si>
    <t>D69WW971SD520</t>
  </si>
  <si>
    <t>D74WW971SD500</t>
  </si>
  <si>
    <t>F28WW971H520</t>
  </si>
  <si>
    <t>F28WW971J520</t>
  </si>
  <si>
    <t>F28WW971N000</t>
  </si>
  <si>
    <t>F28WW971N020</t>
  </si>
  <si>
    <t>F28WW971N050</t>
  </si>
  <si>
    <t>F28WW971N080</t>
  </si>
  <si>
    <t>F28WW971N5003</t>
  </si>
  <si>
    <t>F28WW971N560</t>
  </si>
  <si>
    <t>F28WW971N5801</t>
  </si>
  <si>
    <t>F28WW971N580</t>
  </si>
  <si>
    <t>F28WW971NBPR</t>
  </si>
  <si>
    <t>F28WW971NBPW</t>
  </si>
  <si>
    <t>F28WW971SD020</t>
  </si>
  <si>
    <t>F28WW971SD060</t>
  </si>
  <si>
    <t>F28WW971SD080</t>
  </si>
  <si>
    <t>F28WW971SD5003</t>
  </si>
  <si>
    <t>F28WW971SD500</t>
  </si>
  <si>
    <t>F28WW971SD5201</t>
  </si>
  <si>
    <t>F28WW971SD580</t>
  </si>
  <si>
    <t>F28WW971VE520</t>
  </si>
  <si>
    <t>F28WW971Z520</t>
  </si>
  <si>
    <t>F39WW971AW520</t>
  </si>
  <si>
    <t>F39WW971FL500</t>
  </si>
  <si>
    <t>F39WW971FL520</t>
  </si>
  <si>
    <t>F39WW971I080</t>
  </si>
  <si>
    <t>F39WW971J500</t>
  </si>
  <si>
    <t>F39WW971J520</t>
  </si>
  <si>
    <t>F39WW971LZ520</t>
  </si>
  <si>
    <t>F39WW971MG5001</t>
  </si>
  <si>
    <t>F39WW971MG500</t>
  </si>
  <si>
    <t>F39WW971MG520</t>
  </si>
  <si>
    <t>F39WW971N000</t>
  </si>
  <si>
    <t>F39WW971N080</t>
  </si>
  <si>
    <t>F39WW971N5001</t>
  </si>
  <si>
    <t>F39WW971N500</t>
  </si>
  <si>
    <t>F39WW971N520</t>
  </si>
  <si>
    <t>F39WW971N5803</t>
  </si>
  <si>
    <t>F39WW971N580</t>
  </si>
  <si>
    <t>F39WW971SD000</t>
  </si>
  <si>
    <t>F39WW971SD080</t>
  </si>
  <si>
    <t>F39WW971SD5001</t>
  </si>
  <si>
    <t>F39WW971SD500</t>
  </si>
  <si>
    <t>F39WW971SD520</t>
  </si>
  <si>
    <t>F39WW971SD5803</t>
  </si>
  <si>
    <t>F39WW971SD580</t>
  </si>
  <si>
    <t>F39WW971VE520</t>
  </si>
  <si>
    <t>F39WW971WE520</t>
  </si>
  <si>
    <t>F39WW971Z520</t>
  </si>
  <si>
    <t>G24WW974AM23</t>
  </si>
  <si>
    <t>G24WW974ARAE</t>
  </si>
  <si>
    <t>G46WW974AM38</t>
  </si>
  <si>
    <t>G48WW971G5001</t>
  </si>
  <si>
    <t>G48WW971G5201</t>
  </si>
  <si>
    <t>G48WW971G5801</t>
  </si>
  <si>
    <t>G48WW971GL5001</t>
  </si>
  <si>
    <t>G48WW971GL5201</t>
  </si>
  <si>
    <t>G48WW971GL5801</t>
  </si>
  <si>
    <t>G48WW971GLYGI1</t>
  </si>
  <si>
    <t>G48WW971H0501</t>
  </si>
  <si>
    <t>G48WW971H0601</t>
  </si>
  <si>
    <t>G48WW971H500</t>
  </si>
  <si>
    <t>G48WW971H520</t>
  </si>
  <si>
    <t>G48WW971HAZG1</t>
  </si>
  <si>
    <t>G48WW971HNTI1</t>
  </si>
  <si>
    <t>G48WW971HSIN1</t>
  </si>
  <si>
    <t>G48WW971HTGC1</t>
  </si>
  <si>
    <t>G48WW971HTNV1</t>
  </si>
  <si>
    <t>G48WW971MG5001</t>
  </si>
  <si>
    <t>G48WW971N000</t>
  </si>
  <si>
    <t>G48WW971N020</t>
  </si>
  <si>
    <t>G48WW971N0501</t>
  </si>
  <si>
    <t>G48WW971N050</t>
  </si>
  <si>
    <t>G48WW971N060</t>
  </si>
  <si>
    <t>G48WW971N0703</t>
  </si>
  <si>
    <t>G48WW971N070</t>
  </si>
  <si>
    <t>G48WW971N080</t>
  </si>
  <si>
    <t>G48WW971N0903</t>
  </si>
  <si>
    <t>G48WW971N550</t>
  </si>
  <si>
    <t>G48WW971N560</t>
  </si>
  <si>
    <t>G48WW971N5703</t>
  </si>
  <si>
    <t>G48WW971NMHJ</t>
  </si>
  <si>
    <t>G48WW971NNCQ1</t>
  </si>
  <si>
    <t>G48WW971NNKC1</t>
  </si>
  <si>
    <t>G48WW971NSFX</t>
  </si>
  <si>
    <t>G48WW971NSFY</t>
  </si>
  <si>
    <t>G48WW971NSQC</t>
  </si>
  <si>
    <t>G48WW971NSQK1</t>
  </si>
  <si>
    <t>G48WW971NTDM1</t>
  </si>
  <si>
    <t>G48WW971NTKU</t>
  </si>
  <si>
    <t>G48WW971NTKW</t>
  </si>
  <si>
    <t>G48WW971NTRA</t>
  </si>
  <si>
    <t>G48WW971PV520</t>
  </si>
  <si>
    <t>G48WW971PVNTI1</t>
  </si>
  <si>
    <t>G48WW971SD070</t>
  </si>
  <si>
    <t>G48WW971SD080</t>
  </si>
  <si>
    <t>G48WW971SD5001</t>
  </si>
  <si>
    <t>G48WW971SD500</t>
  </si>
  <si>
    <t>G48WW971SD5201</t>
  </si>
  <si>
    <t>G48WW971SD520</t>
  </si>
  <si>
    <t>G48WW971SD5801</t>
  </si>
  <si>
    <t>G48WW971SD580</t>
  </si>
  <si>
    <t>G48WW971Z500</t>
  </si>
  <si>
    <t>G48WW971Z520</t>
  </si>
  <si>
    <t>G48WW971Z580</t>
  </si>
  <si>
    <t>GUNSTOCKAPK1</t>
  </si>
  <si>
    <t>GUNSTOCKAPK2</t>
  </si>
  <si>
    <t>GUNSTOCKAPK3</t>
  </si>
  <si>
    <t>GUNSTOCKAPK4</t>
  </si>
  <si>
    <t>GUNSTOCKAPK5</t>
  </si>
  <si>
    <t>GUNSTOCKAPK6</t>
  </si>
  <si>
    <t>GUNSTOCKAPK7</t>
  </si>
  <si>
    <t>H48WW971N520</t>
  </si>
  <si>
    <t>I48WW975N520</t>
  </si>
  <si>
    <t>I48WW975SD520</t>
  </si>
  <si>
    <t>J24I9675PM41</t>
  </si>
  <si>
    <t>J24I9676PM41</t>
  </si>
  <si>
    <t>J24I9677QB57</t>
  </si>
  <si>
    <t>J24I9678QB56</t>
  </si>
  <si>
    <t>J44I8925AM38</t>
  </si>
  <si>
    <t>J44I8925ASWG</t>
  </si>
  <si>
    <t>J46I8925AM38</t>
  </si>
  <si>
    <t>J46I8925ASWG</t>
  </si>
  <si>
    <t>J46I9226AM31</t>
  </si>
  <si>
    <t>J46I9227AM30</t>
  </si>
  <si>
    <t>J46I9228QM33</t>
  </si>
  <si>
    <t>J46I9229QM32</t>
  </si>
  <si>
    <t>J59I8925AM38</t>
  </si>
  <si>
    <t>J59I8925AM39</t>
  </si>
  <si>
    <t>J59I8925ASWG</t>
  </si>
  <si>
    <t>K32WW971SD580</t>
  </si>
  <si>
    <t>QFKWW971NFFF0</t>
  </si>
  <si>
    <t>QFKWW971NKRK0</t>
  </si>
  <si>
    <t>QFKWW971NLWX0</t>
  </si>
  <si>
    <t>QFKWW971NQIG0</t>
  </si>
  <si>
    <t>QHRWW971NCNC0</t>
  </si>
  <si>
    <t>QHRWW971NLVU0</t>
  </si>
  <si>
    <t>QHRWW971NPFZ0</t>
  </si>
  <si>
    <t>QHRWW971NSVY0</t>
  </si>
  <si>
    <t>QHRWW971NSYY0</t>
  </si>
  <si>
    <t>QHRWW971NSYZ0</t>
  </si>
  <si>
    <t>QHRWW971NSZA0</t>
  </si>
  <si>
    <t>QHSWW971NFFF0</t>
  </si>
  <si>
    <t>QIRWW971NBJJ0</t>
  </si>
  <si>
    <t>QIRWW971NCMZ0</t>
  </si>
  <si>
    <t>QIRWW971NFFF0</t>
  </si>
  <si>
    <t>QIRWW971NKRK0</t>
  </si>
  <si>
    <t>QIRWW971NLVW0</t>
  </si>
  <si>
    <t>QIRWW971NLWJ0</t>
  </si>
  <si>
    <t>QIRWW971NMWR0</t>
  </si>
  <si>
    <t>QIRWW971NPAY0</t>
  </si>
  <si>
    <t>QIRWW971NQHZ0</t>
  </si>
  <si>
    <t>QIRWW971NQIZ0</t>
  </si>
  <si>
    <t>QIRWW971NQVV0</t>
  </si>
  <si>
    <t>QIRWW971NRRN0</t>
  </si>
  <si>
    <t>QIRWW971NRWZ0</t>
  </si>
  <si>
    <t>QIRWW971NRZI0</t>
  </si>
  <si>
    <t>QIRWW971NSLQ0</t>
  </si>
  <si>
    <t>QIRWW971NTGH0</t>
  </si>
  <si>
    <t>QIRWW971NTHT0</t>
  </si>
  <si>
    <t>QISWW971NQHZ0</t>
  </si>
  <si>
    <t>QISWW971NQVV0</t>
  </si>
  <si>
    <t>QISWW971NRQZ0</t>
  </si>
  <si>
    <t>QISWW971NTUN0</t>
  </si>
  <si>
    <t>QKLWW971NCMZ0</t>
  </si>
  <si>
    <t>QUBWW971PK10</t>
  </si>
  <si>
    <t>QUBWW971PK11</t>
  </si>
  <si>
    <t>QUBWW971PK12</t>
  </si>
  <si>
    <t>QUBWW971PK13</t>
  </si>
  <si>
    <t>QUBWW971PPK1</t>
  </si>
  <si>
    <t>QUBWW971PPK2</t>
  </si>
  <si>
    <t>QUBWW971PPK3</t>
  </si>
  <si>
    <t>QUBWW971PPK4</t>
  </si>
  <si>
    <t>QUBWW971PPK5</t>
  </si>
  <si>
    <t>QUBWW971PPK6</t>
  </si>
  <si>
    <t>QUBWW971PPK7</t>
  </si>
  <si>
    <t>QUBWW971PPK9</t>
  </si>
  <si>
    <t>QZBWW971NCMZ0</t>
  </si>
  <si>
    <t>QZBWW971NFFF0</t>
  </si>
  <si>
    <t>QZBWW971NKRK0</t>
  </si>
  <si>
    <t>QZBWW971NLVW0</t>
  </si>
  <si>
    <t>QZBWW971NLVX0</t>
  </si>
  <si>
    <t>QZBWW971NLWG0</t>
  </si>
  <si>
    <t>QZBWW971NLWJ0</t>
  </si>
  <si>
    <t>QZBWW971NPXM0</t>
  </si>
  <si>
    <t>QZBWW971NPYP0</t>
  </si>
  <si>
    <t>QZSWW971NCMZ0</t>
  </si>
  <si>
    <t>QZSWW971NCNC0</t>
  </si>
  <si>
    <t>QZSWW971NFFF0</t>
  </si>
  <si>
    <t>QZSWW971NLVU0</t>
  </si>
  <si>
    <t>QZSWW971NLVW0</t>
  </si>
  <si>
    <t>X75FW282NNYR</t>
  </si>
  <si>
    <t>X75FW282NPFQ</t>
  </si>
  <si>
    <t>X75FW282SDNYR</t>
  </si>
  <si>
    <t>X75FW282SDPFQ</t>
  </si>
  <si>
    <t>X75FW282WEPFQ</t>
  </si>
  <si>
    <t>100DS009-6200</t>
  </si>
  <si>
    <t>FROSTY WHITE</t>
  </si>
  <si>
    <t>FROSTY WHITE 60 X 144</t>
  </si>
  <si>
    <t>AVALANCHE MAD LANE PACK</t>
  </si>
  <si>
    <t>BASS PRO FISH LANE PACK</t>
  </si>
  <si>
    <t>BASS PRO FISH SINGLE LP</t>
  </si>
  <si>
    <t>BASS PRO FISH 13 LANE PACK</t>
  </si>
  <si>
    <t>BASS PRO FISH 16 LANE PACK</t>
  </si>
  <si>
    <t>BASS PRO FISH 16 TACOMA LP</t>
  </si>
  <si>
    <t>BASS PRO FISH 16 R ROCK</t>
  </si>
  <si>
    <t>BASS PRO FISH 16 RIDGEDALE</t>
  </si>
  <si>
    <t>DIG/WW780 UV TWO LANE PACK</t>
  </si>
  <si>
    <t>BIRUSINSK UV TWO LANE PACK</t>
  </si>
  <si>
    <t>GELENDJIK UV TWO LANE PACK</t>
  </si>
  <si>
    <t>NAUTILUS UV TWO LANE PACK</t>
  </si>
  <si>
    <t>CALUNA CHERRY DIG UV 2LP</t>
  </si>
  <si>
    <t>CCP UV TWO LANE PACK</t>
  </si>
  <si>
    <t>CHANG-LIN UV TWO LANE PACK</t>
  </si>
  <si>
    <t>CLA UV TWO LANE PACK</t>
  </si>
  <si>
    <t>CLA UV SPACE TWO LANE PACK</t>
  </si>
  <si>
    <t>CLA UV AQUATIC TWO LANE PACK</t>
  </si>
  <si>
    <t>CLA UV FOUR LANE PACK</t>
  </si>
  <si>
    <t>CLA UV SPACE FOUR LANE PACK</t>
  </si>
  <si>
    <t>CLA UV AQUATIC FOUR LANE PACK</t>
  </si>
  <si>
    <t>GLAZOW UV TWO LANE PACK</t>
  </si>
  <si>
    <t>HOLLYWOOD UV TWO LANE PACK</t>
  </si>
  <si>
    <t>HOLLYWOOD UV RIGHT L/PACK</t>
  </si>
  <si>
    <t>IMAFUKU UV TEX/PLATE LANE PACK</t>
  </si>
  <si>
    <t>HWY66 W BLOND PLUG 60 X 72</t>
  </si>
  <si>
    <t>HWY66 A BIRDS PLUG 60 X 96</t>
  </si>
  <si>
    <t>HWY66 MONSTER PLUG 60 X 72</t>
  </si>
  <si>
    <t>HWY66 VINTAGE PLUG 60 X 72</t>
  </si>
  <si>
    <t>HWY66 JUKE PLUG 60 X 72</t>
  </si>
  <si>
    <t>HWY66 POP66 PLUG 60 X 72</t>
  </si>
  <si>
    <t>HWY66 VT Cherry PLUG 60 X 72</t>
  </si>
  <si>
    <t>HWY66 WHITE PLUG 60 X 72</t>
  </si>
  <si>
    <t>SUPER STRIKE P4 28 X 71 1/2</t>
  </si>
  <si>
    <t>SUPER STRIKE P2 28 X 71 1/2</t>
  </si>
  <si>
    <t>SUPER STRIKE P3 28 X 47 3/4</t>
  </si>
  <si>
    <t>SUPER STRIKE P1 28 X 25</t>
  </si>
  <si>
    <t>SUPER STRIKE P5 28 X 25</t>
  </si>
  <si>
    <t>SUPER STRIKE P6 28 X 92</t>
  </si>
  <si>
    <t>CLINTON P1 D/G 60 X 96</t>
  </si>
  <si>
    <t>CLINTON P3 D/G 60 X 96</t>
  </si>
  <si>
    <t>CLINTON P6 D/G 60 X 120</t>
  </si>
  <si>
    <t>CLINTON P7 D/G 60 X 120</t>
  </si>
  <si>
    <t>CLINTON P12 D/G 60 X 120</t>
  </si>
  <si>
    <t>CLINTON P14 D/G 60 X 120</t>
  </si>
  <si>
    <t>CLINTON P18 D/G 60 X 120</t>
  </si>
  <si>
    <t>CLINTON P19 D/G 60 X 96</t>
  </si>
  <si>
    <t>CLINTON P23 D/G 60 X 120</t>
  </si>
  <si>
    <t>CLINTON P24 D/G 60 X 96</t>
  </si>
  <si>
    <t>CLINTON P26 D/G 60 X 120</t>
  </si>
  <si>
    <t>CLINTON P27 D/G 60 X 96</t>
  </si>
  <si>
    <t>CLINTON P28 D/G 60 X 120</t>
  </si>
  <si>
    <t>CLINTON D/G 60 X 96</t>
  </si>
  <si>
    <t>CLINTON D/G 60 X 120</t>
  </si>
  <si>
    <t>MR.POTATO HEAD D/G 60 X 120</t>
  </si>
  <si>
    <t>GMF ELEPHANT MURAL 60 X 96</t>
  </si>
  <si>
    <t>GHIRARDELLI  ELEV D/G 60 X 96</t>
  </si>
  <si>
    <t>FITZLOFF STAR GRAPHIC 60 X 144</t>
  </si>
  <si>
    <t>BAYSTATE LINEAR PROJ 2 60X120</t>
  </si>
  <si>
    <t>PDX CARPET 60 X 144</t>
  </si>
  <si>
    <t>DILLON EASTRIDGE MALL 60 X 120</t>
  </si>
  <si>
    <t>CANIDIAN HEARING SOC 60 X 120</t>
  </si>
  <si>
    <t>KAISER SC ELEVATION A 60 X 144</t>
  </si>
  <si>
    <t>KAISER SC ELEVATION C 60 X 144</t>
  </si>
  <si>
    <t>KAISER SC ELEVATION D 60 X 144</t>
  </si>
  <si>
    <t>KAISER SC MISC SHEETS 60 X 144</t>
  </si>
  <si>
    <t>PURG RANGER 3BN LOGO 60 X 96</t>
  </si>
  <si>
    <t>PURG RANGER NO LOGO 60 X 96</t>
  </si>
  <si>
    <t>PINWORX TRAIN 30 1/4 X 144 1/4</t>
  </si>
  <si>
    <t>PINWORX DIRT 30 1/4 X 144 1/4</t>
  </si>
  <si>
    <t>PINWORX JUNGLE 30 1/4X144 1/4</t>
  </si>
  <si>
    <t>PINWORX DINO 30 1/4 X 144 1/4</t>
  </si>
  <si>
    <t>PINWORX UNDER 30 1/4 X 144 1/4</t>
  </si>
  <si>
    <t>STARS &amp; SWIRLS 30 1/4X144 1/4</t>
  </si>
  <si>
    <t>STARS &amp; SWIRLS APPR 48 X 96</t>
  </si>
  <si>
    <t>PINWORX RACE 30 1/4 X 144 1/4</t>
  </si>
  <si>
    <t>PINWORX SQUIGGLE 30 1/4X144 1/</t>
  </si>
  <si>
    <t>PINWORX DINO II 30 1/4X144 1/4</t>
  </si>
  <si>
    <t>PINWORX CRATER 30 1/4X144 1/4</t>
  </si>
  <si>
    <t>PINWORX FRY DAY'S  30 1/4X144</t>
  </si>
  <si>
    <t>PINWORKS DIG MULTI 30 1/4X144</t>
  </si>
  <si>
    <t>PINWORKS DIG MULTI APPR 48X96</t>
  </si>
  <si>
    <t>FLASHER  BULLDOG DED 60 X 96</t>
  </si>
  <si>
    <t>MUR ANDRETTI RET 15.25X144.00</t>
  </si>
  <si>
    <t>MUR ANDRETTI FILL 59.5 X 144.2</t>
  </si>
  <si>
    <t>MUR F/STONE RET 15.25X144.00</t>
  </si>
  <si>
    <t>MUR F/STONE FILL 59.5 X 144.25</t>
  </si>
  <si>
    <t>MUR CHERRYWOOD L/A 59.5 X 68</t>
  </si>
  <si>
    <t>MUR CHERRYWOOD L/F 59.5X144.00</t>
  </si>
  <si>
    <t>MUR CHERRYWOOD RET 15.25X144.0</t>
  </si>
  <si>
    <t>MURREY ESU RET 15.25X144.00</t>
  </si>
  <si>
    <t>MUR FROSTY WHITE FILL 59.5X144</t>
  </si>
  <si>
    <t>MUR FROSTY WHITE RET 15.25X144</t>
  </si>
  <si>
    <t>MUR DIG BLACK FILL 59.5X144.25</t>
  </si>
  <si>
    <t>MUR DIG BLACK RET 15.25X144.00</t>
  </si>
  <si>
    <t>USB DIG VINTAGE LA 59.5 X 68</t>
  </si>
  <si>
    <t>USB DIG VINTAGE RA 59.5 X 68</t>
  </si>
  <si>
    <t>USB DIG VINTAGE LF 59.5X144.00</t>
  </si>
  <si>
    <t>USB DIG VINTAGE RF 59.5X144.00</t>
  </si>
  <si>
    <t>USB DIG VINTAGE RET 15.25X144.</t>
  </si>
  <si>
    <t>USB DIG BLUE LA 59.5 X 68</t>
  </si>
  <si>
    <t>USB DIG BLUE RA 59.5 X 68</t>
  </si>
  <si>
    <t>USB DIG BLUE LF 59.5X144.00</t>
  </si>
  <si>
    <t>USB DIG BLUE RF 59.5X144.00</t>
  </si>
  <si>
    <t>USB DIG BLUE RET 15.25X144.00</t>
  </si>
  <si>
    <t>BASS PRO FISH B/RET 13.87X144</t>
  </si>
  <si>
    <t>INFINITY WRR APP 60 1/2 X 72</t>
  </si>
  <si>
    <t>CLA AQUATIC RETURN 13.87 X 144</t>
  </si>
  <si>
    <t>DIG/WZ460 RETURN 13.87 X 144</t>
  </si>
  <si>
    <t>DIG/MG160 L APP 59.641 X 144</t>
  </si>
  <si>
    <t>DIG/MG160 R APP 59.641 X 144</t>
  </si>
  <si>
    <t>DIG/MG160 RETURN 13.87 X 144</t>
  </si>
  <si>
    <t>PIN PALS RETURN 13.87 X 144</t>
  </si>
  <si>
    <t>NEW YORK RETURN 13.87 X 144</t>
  </si>
  <si>
    <t>NEW YORK S/N RET 13.87X72</t>
  </si>
  <si>
    <t>HOLLYWOOD NBR 13.87 X 144</t>
  </si>
  <si>
    <t>HOLLYWOOD NSR 13.87 X 72</t>
  </si>
  <si>
    <t>INFINITY UV BLUE APP 60 1/2X72</t>
  </si>
  <si>
    <t>DIG/WO710 RETURN 13.87 X 144</t>
  </si>
  <si>
    <t>CHANG-LIN NAR BALL RET 13.87 X</t>
  </si>
  <si>
    <t>DIG/WW780 UV NBR 13.87 X 144</t>
  </si>
  <si>
    <t>BAR &amp; BOOTHS D/G 60 X 120</t>
  </si>
  <si>
    <t>ARJOJET BLANK PRINT 60 X 96</t>
  </si>
  <si>
    <t>INTERPRINT D/G 48 X 144</t>
  </si>
  <si>
    <t>INTERPRINT D/G 60 X 120</t>
  </si>
  <si>
    <t>INTERPRINT D/G 60 X 144</t>
  </si>
  <si>
    <t>INTERPRINT D/G 60 X 96</t>
  </si>
  <si>
    <t>SPECTRALITE D/G 60 X 144</t>
  </si>
  <si>
    <t>STRIDE RITE # 5 D/G 60 X 120</t>
  </si>
  <si>
    <t>AA GRID B&amp;W 60 X 144</t>
  </si>
  <si>
    <t>CLEMSON PAW 1 D/G 60 X 120</t>
  </si>
  <si>
    <t>CLEMSON PAW 4 D/G 60 X 120</t>
  </si>
  <si>
    <t>CLINTON P16 D/G 60 X 120</t>
  </si>
  <si>
    <t>CLINTON P17 D/G 60 X 120</t>
  </si>
  <si>
    <t>CLINTON P20 D/G 60 X 96</t>
  </si>
  <si>
    <t>CLINTON P21 D/G 60 X 120</t>
  </si>
  <si>
    <t>CLINTON P22 D/G 60 X 120</t>
  </si>
  <si>
    <t>ADVERTZ D/G 60 X 120</t>
  </si>
  <si>
    <t>CORONA WILDCATS D/G 60 X 120</t>
  </si>
  <si>
    <t>C B G LOGO D/G 60 X 96</t>
  </si>
  <si>
    <t>BP MAP TABLE 60 X 144</t>
  </si>
  <si>
    <t>ESPN FULL COURT D/G 60 X 120</t>
  </si>
  <si>
    <t>SILVER CROSS D/G 60 X 120</t>
  </si>
  <si>
    <t>CLEMSON PAW 7 D/G 60 X 120</t>
  </si>
  <si>
    <t>KUC WEST 2103 D/G 60 X 96</t>
  </si>
  <si>
    <t>UCS TRADE SHOW D/G 60 X 120</t>
  </si>
  <si>
    <t>WOODYS TABLE TOPS 60 X 144</t>
  </si>
  <si>
    <t>COMPUWARE TABLETOP 60 X 96</t>
  </si>
  <si>
    <t>COMPUWARE II 60 X 120</t>
  </si>
  <si>
    <t>ALLEE DESIGN GRID 60 X 144</t>
  </si>
  <si>
    <t>MPA AUCTION D/G 60 X 144</t>
  </si>
  <si>
    <t>DIG/WK024 RETURN 13.87 X 144</t>
  </si>
  <si>
    <t>USB BLACK COM C 31.5 X 54.09</t>
  </si>
  <si>
    <t>USB BLACK APP A 31.5 X 54.09</t>
  </si>
  <si>
    <t>USB BLACK FILL D 23.61 X 54.09</t>
  </si>
  <si>
    <t>USB BLACK FILL E 23.61 X 41.92</t>
  </si>
  <si>
    <t>USB BLACK FILL F 17.5 X 54.09</t>
  </si>
  <si>
    <t>USB BLACK FILL G 17.5 X 41.92</t>
  </si>
  <si>
    <t>USB BLACK FOUL B 31.5 X 54.09</t>
  </si>
  <si>
    <t>IMAFUKU UV BALL RET 13.87X144</t>
  </si>
  <si>
    <t>KRAS VIP IJ RETURN 13.87 X 144</t>
  </si>
  <si>
    <t>CLA 1E RETURN PANEL 13.87 X 14</t>
  </si>
  <si>
    <t>CCP RETURN PANEL 14.7 X 144</t>
  </si>
  <si>
    <t>CCP RETURN PANEL 14.7 X 72</t>
  </si>
  <si>
    <t>OLL NARROW RETURN 13.87X144</t>
  </si>
  <si>
    <t>BAD PART USE B22</t>
  </si>
  <si>
    <t>OLL SHORT NAR RETURN 13.87X72</t>
  </si>
  <si>
    <t>MAG NARROW RETURN 13.87X144</t>
  </si>
  <si>
    <t>MAG SHORT NAR RETURN 14.7X72</t>
  </si>
  <si>
    <t>MAG SHORT NAR RETURN 13.87X72</t>
  </si>
  <si>
    <t>BIRUSINSK NAR RET 13.87 X 144</t>
  </si>
  <si>
    <t>BIRUSINSK SH NAR RET 13.87X72</t>
  </si>
  <si>
    <t>NASCAR NAR RET 13.87 X 144</t>
  </si>
  <si>
    <t>NASCAR SH NAR RET 13.87X72</t>
  </si>
  <si>
    <t>MONOLIT NAR RET 13.87 X 144</t>
  </si>
  <si>
    <t>MONOLIT SH NAR RET 13.87X72</t>
  </si>
  <si>
    <t>MEGASTROJ NAR RET 13.87 X 144</t>
  </si>
  <si>
    <t>GLAZOW NAR RET 13.87 X 144</t>
  </si>
  <si>
    <t>CLA SPACE RETURN 13.87 X 144</t>
  </si>
  <si>
    <t>WANDERER NAR RET 13.87 X 144</t>
  </si>
  <si>
    <t>STERLITAMAK NAR RET 13.87X144</t>
  </si>
  <si>
    <t>STERLITAMAK S/N RET 13.87X72</t>
  </si>
  <si>
    <t>BAD PART USE AM58</t>
  </si>
  <si>
    <t>BAD PART USE QM57</t>
  </si>
  <si>
    <t>BAD PART USE QM56</t>
  </si>
  <si>
    <t>UPTOWN ALLEY NBR 14.15 X 144</t>
  </si>
  <si>
    <t>UPTOWN ALLEY SH RET 14.15 X 72</t>
  </si>
  <si>
    <t>UPTOWN ALLEY WW 24.12X145.25</t>
  </si>
  <si>
    <t>HWY66 W BLOND APPR 51.19X96</t>
  </si>
  <si>
    <t>HWY66 W BLOND FOUL 29.88X67.20</t>
  </si>
  <si>
    <t>HWY66 W BLOND COMMON 29.88X67.</t>
  </si>
  <si>
    <t>HWY66 W BLOND UNION 4.75X48</t>
  </si>
  <si>
    <t>HWY66 MONSTER L APPR 51.19 X 9</t>
  </si>
  <si>
    <t>HWY66 MONSTER R APPR 51.19 X 9</t>
  </si>
  <si>
    <t>HWY66 A BIRDS UNION 4.75 X 48</t>
  </si>
  <si>
    <t>HWY66 MONSTER UNION 4.75 X 48</t>
  </si>
  <si>
    <t>HWY66 VINTAGE APPR 51.19 X 96</t>
  </si>
  <si>
    <t>HWY66 JUKE L APPR 51.19 X 96</t>
  </si>
  <si>
    <t>HWY66 JUKE R APPR 51.19 X 96</t>
  </si>
  <si>
    <t>HWY66 JUKE UNION 4.75 X 48</t>
  </si>
  <si>
    <t>HWY66 VINTAGE APPR UN 4.75X48</t>
  </si>
  <si>
    <t>HWY66 POP66 UNION 4.75 X 48</t>
  </si>
  <si>
    <t>HWY66 W BLOND EXT 29.88X16.8</t>
  </si>
  <si>
    <t>HWY66 VT Cherry UNION 4.75 X 4</t>
  </si>
  <si>
    <t>HWY66 VT Cherry EXT 29.88X16.8</t>
  </si>
  <si>
    <t>HWY66 WHITE UNION 4.75 X 48</t>
  </si>
  <si>
    <t>HWY66 POP66 EXT 29.88 X 16.8</t>
  </si>
  <si>
    <t>MONSTER EXTENTION 29.88X16.8</t>
  </si>
  <si>
    <t>SCH PUB ELEV MURAL 60 X 96</t>
  </si>
  <si>
    <t>SCH SERV ELEV MURAL 60 X 96</t>
  </si>
  <si>
    <t>SEA LION H/W 60 X 96</t>
  </si>
  <si>
    <t>EAGLE H/W 60 X 96</t>
  </si>
  <si>
    <t>BCCWH T7-601 60 X 96</t>
  </si>
  <si>
    <t>HIPPIE GUITAR D/G H/W 60 X 120</t>
  </si>
  <si>
    <t>MARTIN LX D/G H/W 60 X 144</t>
  </si>
  <si>
    <t>MARTIN DX D/G H/W 60 X 144</t>
  </si>
  <si>
    <t>MARTIN NUB D/G H/W 60 X 144</t>
  </si>
  <si>
    <t>ELVIS GUITAR D/G H/W 60X144</t>
  </si>
  <si>
    <t>ELVIS GUITAR D/G H/W 60 X 60</t>
  </si>
  <si>
    <t>ELVIS GUITAR D/G H/W 60 X 96</t>
  </si>
  <si>
    <t>SEALASKA GUITAR D/G H/W 60X60</t>
  </si>
  <si>
    <t>LX TOUR GUITAR D/G H/W 60 X 60</t>
  </si>
  <si>
    <t>JIMMY BUFFET D/G H/W 60 X 60</t>
  </si>
  <si>
    <t>MARTIN TOUR D/G H/W 60 X 72</t>
  </si>
  <si>
    <t>MARTIN 420 GUITAR D/G H/W 60X9</t>
  </si>
  <si>
    <t>MARTIN MEXICO 30TH D/G 60 X 96</t>
  </si>
  <si>
    <t>MARTIN YUENGLING LX D/G 60X96</t>
  </si>
  <si>
    <t>KRAS VIP TWO LANE PACK</t>
  </si>
  <si>
    <t>ST PAUL HOSP HW/DIG 60 X 120</t>
  </si>
  <si>
    <t>MAG UV TWO LANE PACK</t>
  </si>
  <si>
    <t>FROSTY WHITE 30 X 60</t>
  </si>
  <si>
    <t>FROSTY WHITE 30 X 72</t>
  </si>
  <si>
    <t>FROSTY WHITE M/B 48 X 144</t>
  </si>
  <si>
    <t>FROSTY WHITE M/B 60 X 120</t>
  </si>
  <si>
    <t>FROSTY WHITE M/B 60 X 144</t>
  </si>
  <si>
    <t>FROSTY WHITE M/B 60 X 72</t>
  </si>
  <si>
    <t>FROSTY WHITE M/B 60 X 96</t>
  </si>
  <si>
    <t>FROSTY WHITE M/B 60 X 108</t>
  </si>
  <si>
    <t>FROSTY WHITE M/B 36 X 144</t>
  </si>
  <si>
    <t>FROSTY WHITE M/B 30 1/2 X 60 1</t>
  </si>
  <si>
    <t>FROSTY WHITE 36 1/2 X 72 1/2</t>
  </si>
  <si>
    <t>FROSTY WHITE M/B 49 X 97</t>
  </si>
  <si>
    <t>FROSTY WHITE M/B 60 1/2 X 72 1</t>
  </si>
  <si>
    <t>FROSTY WHITE 49 X 72</t>
  </si>
  <si>
    <t>FROSTY WHITE M/B 30 X 120</t>
  </si>
  <si>
    <t>FROSTY WHITE M/B 61 X 109</t>
  </si>
  <si>
    <t>FROSTY WHITE M/B 36 X 72</t>
  </si>
  <si>
    <t>FROSTY WHITE M/B 48 X 145</t>
  </si>
  <si>
    <t>MEGASTROJ UV R LANE PACK</t>
  </si>
  <si>
    <t>HELIX MAP MURAL D/G 60 X 120</t>
  </si>
  <si>
    <t>MIAMI VALLEY M/B 60 X 144</t>
  </si>
  <si>
    <t>TREK ACROSS MAINE M/B 60 X 144</t>
  </si>
  <si>
    <t>MONOLIT UV TWO LANE PACK</t>
  </si>
  <si>
    <t>MURREY ANDRETTI 2LP</t>
  </si>
  <si>
    <t>MURREY FROSTY WHITE  2LP</t>
  </si>
  <si>
    <t>MURREY DIG BLACK/DS009  2LP</t>
  </si>
  <si>
    <t>MURREY FOLKSTONE  2LP</t>
  </si>
  <si>
    <t>MURREY ESU SB009  2LP</t>
  </si>
  <si>
    <t>MC PYR MARBLE D/PRO L/PACK</t>
  </si>
  <si>
    <t>NASCAR UV TWO LANE PACK</t>
  </si>
  <si>
    <t>KAPIOLANI FLOWERS 60 X 144</t>
  </si>
  <si>
    <t>ZEBRA SKIN 60 X 144</t>
  </si>
  <si>
    <t>HARVEYS CANADA 60 X 96</t>
  </si>
  <si>
    <t>HARVEYS CANADA A 60 X 96</t>
  </si>
  <si>
    <t>HARVEYS CANADA B 60 X 96</t>
  </si>
  <si>
    <t>HARVEYS CANADA BI A  60 X 120</t>
  </si>
  <si>
    <t>HARVEYS CANADA BI B 60 X 96</t>
  </si>
  <si>
    <t>HARVEYS CANADA SH A 60 X 120</t>
  </si>
  <si>
    <t>ST. HUBERTS FRENCH A 60 X 96</t>
  </si>
  <si>
    <t>ST. HUBERTS FRENCH B  60 X 120</t>
  </si>
  <si>
    <t>AM TAB BULLDOG LOGO 60 X 96</t>
  </si>
  <si>
    <t>AM TAB PANTHER LOGO 60 X 96</t>
  </si>
  <si>
    <t>AM TAB DIG BLUE BAMBOO 60 X 96</t>
  </si>
  <si>
    <t>HARVEYS MONTREAL 60 X 96</t>
  </si>
  <si>
    <t>TACO BELL WHITE D/G 60 X 96</t>
  </si>
  <si>
    <t>AM TAB BELIEVE LOGO  60 X 120</t>
  </si>
  <si>
    <t>AM TAB ACHIEVE LOGO  60 X 120</t>
  </si>
  <si>
    <t>UTSW PATIENT ROOM 60 X 120</t>
  </si>
  <si>
    <t>UTSW PATIENT ROOM D/G 60 X 96</t>
  </si>
  <si>
    <t>MOONWALK 60 X 144</t>
  </si>
  <si>
    <t>SAM'S KNOB D/G 60 X 96</t>
  </si>
  <si>
    <t>SAM'S KNOB II D/G  60 X 144</t>
  </si>
  <si>
    <t>SAM'S KNOB WOMENS D/G 60 X 96</t>
  </si>
  <si>
    <t>SAM'S KNOB MENS D/G 60 X 120</t>
  </si>
  <si>
    <t>SAM'S KNOB MENS D/G 60 X 96</t>
  </si>
  <si>
    <t>WYLIE LIBRARY D/G 60 X 96</t>
  </si>
  <si>
    <t>NLH ELEVATOR IMAGE  60 X 96</t>
  </si>
  <si>
    <t>WURTH SAMPLE 60 X 144</t>
  </si>
  <si>
    <t>MAZZIO'S PIZZA T/TOPS 60 X 144</t>
  </si>
  <si>
    <t>SCH SITE ELEV MURAL 60 X 96</t>
  </si>
  <si>
    <t>HOSPITAL NATURE 60 X 120</t>
  </si>
  <si>
    <t>HOSPITAL COMMUNICATE 60X120</t>
  </si>
  <si>
    <t>KAPIOLANI M/B 60 X 144</t>
  </si>
  <si>
    <t>KAPIOLANI M/B 60 X 96</t>
  </si>
  <si>
    <t>KAPIOLANI FLOWERS M/B 60 X 144</t>
  </si>
  <si>
    <t>NUG MAD LANE PACK</t>
  </si>
  <si>
    <t>NEW YORK UV TWO LANE PACK</t>
  </si>
  <si>
    <t>OLL UV TWO LANE PACK</t>
  </si>
  <si>
    <t>PIN PALS UV TWO LANE PACK</t>
  </si>
  <si>
    <t>DIG/WK024  LEFT LP</t>
  </si>
  <si>
    <t>FROSTY WHITE 61 1/2 X 110</t>
  </si>
  <si>
    <t>FROSTY WHITE 61 1/2 X 98</t>
  </si>
  <si>
    <t>FROSTY WHITE 20 X 24</t>
  </si>
  <si>
    <t>FROSTY WHITE 61 1/2</t>
  </si>
  <si>
    <t>Q HWY66 POP66 LANE PK</t>
  </si>
  <si>
    <t>Q HWY66 VT Cherry LANE PK</t>
  </si>
  <si>
    <t>Q HWY66 WHITE LANE PK</t>
  </si>
  <si>
    <t>Q HWY66 SEGA LANE PK</t>
  </si>
  <si>
    <t>Q HWY66 A BIRDS LANE PK</t>
  </si>
  <si>
    <t>Q HWY66 MONSTER LANE PK</t>
  </si>
  <si>
    <t>Q HWY66 VINTAGE LANE PK</t>
  </si>
  <si>
    <t>Q HWY66 JUKE LANE PK</t>
  </si>
  <si>
    <t>DIG/WO710 UV LEFT LP</t>
  </si>
  <si>
    <t>STERLITAMAK UV TWO LANE PACK</t>
  </si>
  <si>
    <t>DIG/WZ460 UV LEFT LP</t>
  </si>
  <si>
    <t>WINE GLASSES III 60 X 96</t>
  </si>
  <si>
    <t>GOLDEN BOWL D/G  60 X 144</t>
  </si>
  <si>
    <t>UPTOWN ALLEY DIG PRO L/PACK</t>
  </si>
  <si>
    <t>RB MINI DIG ZOMBIE 2LP</t>
  </si>
  <si>
    <t>DIG/MG160 UV TWO LANE PACK</t>
  </si>
  <si>
    <t>WANDERER UV TWO LANE PACK</t>
  </si>
  <si>
    <t>WANDERER DIG UV 2LP</t>
  </si>
  <si>
    <t>FRL FROSTY WHITE 60 X 120</t>
  </si>
  <si>
    <t>FRL SCH OR PANEL 60 X 96</t>
  </si>
  <si>
    <t>FRL VILLA FLORANCE 60 X 96</t>
  </si>
  <si>
    <t>FRL BLANK DIGITAL SHEET 60X120</t>
  </si>
  <si>
    <t>FRL SACRED HEART 60 X 96</t>
  </si>
  <si>
    <t>FRL SPEEDY P2 60 X 96</t>
  </si>
  <si>
    <t>FRL PSP PEDIATRICS  60 X 96</t>
  </si>
  <si>
    <t>FRL PSP PEDI 60 X 120</t>
  </si>
  <si>
    <t>FRL STRIVE GROUP MURAL 60 X 77</t>
  </si>
  <si>
    <t>FRL MAGEE HOSPITAL 60 X 96</t>
  </si>
  <si>
    <t>FRL MAGEE HOSPITAL 58 1/2 X 96</t>
  </si>
  <si>
    <t>FRL SALMON DG 60 X 120</t>
  </si>
  <si>
    <t>FRL ORCA  DG 60 X 96</t>
  </si>
  <si>
    <t>FRL SEA LION 60 X 96</t>
  </si>
  <si>
    <t>FRL EAGLE 60 X 96</t>
  </si>
  <si>
    <t>FRL BRODY HALL WC-15 60 X 120</t>
  </si>
  <si>
    <t>FRL BRODY HALL WC-15 60 X 96</t>
  </si>
  <si>
    <t>FRL WW ENTRY LEVEL 60 X 96</t>
  </si>
  <si>
    <t>FRL WW LEVEL 1 60 X 120</t>
  </si>
  <si>
    <t>FRL WW LEVEL 2 60 X 120</t>
  </si>
  <si>
    <t>FRL WW LEVEL 3 60 X 120</t>
  </si>
  <si>
    <t>FRL WW LEVEL 3 60 X 96</t>
  </si>
  <si>
    <t>FRL WW LEVEL 4 60 X 120</t>
  </si>
  <si>
    <t>FRL WW LEVEL 4 60 X 96</t>
  </si>
  <si>
    <t>FRL BOSTON MED 60 X 120</t>
  </si>
  <si>
    <t>FRL BOSTON MED HISTORY 60X120</t>
  </si>
  <si>
    <t>FRL TRUMAN CRANBERRY 60X96</t>
  </si>
  <si>
    <t>FRL TRUMAN WHEAT 60 X 120</t>
  </si>
  <si>
    <t>FRL PHASE 3  CAFE 60 X 120</t>
  </si>
  <si>
    <t>FRL CARNEY HOSPITAL 60 X 120</t>
  </si>
  <si>
    <t>FRL SISKIYOUS 3.2     60 X 120</t>
  </si>
  <si>
    <t>FRL SISKIYOUS 5.4     60 X 120</t>
  </si>
  <si>
    <t>FRL SISKIYOUS 6.5     60 X 120</t>
  </si>
  <si>
    <t>FRL SISKIYOUS 17.12     60 X 9</t>
  </si>
  <si>
    <t>FRL ARK REENA D/G 60 X 96</t>
  </si>
  <si>
    <t>FRL ALICE LLOYD WRIGHT 60 X 96</t>
  </si>
  <si>
    <t>FRL BAYSTATE IMAGING 60 X 96</t>
  </si>
  <si>
    <t>FRL SCH LEVEL 8 MURAL 60 X 120</t>
  </si>
  <si>
    <t>FRL SCH LEVEL 8 VESTIBULE 60X1</t>
  </si>
  <si>
    <t>FRL SCH LEVEL 9 VESTIBULE 60 X</t>
  </si>
  <si>
    <t>FRL SCH LEVEL 7-1 60 X 120</t>
  </si>
  <si>
    <t>FRL SCH LEVEL 7-2A 60 X 120</t>
  </si>
  <si>
    <t>FRL SCH LEVEL 7-2B 60 X 120</t>
  </si>
  <si>
    <t>FRL SCH LEVEL 7-3 60 X 120</t>
  </si>
  <si>
    <t>FRL SCH LEVEL 7-4 60 X 120</t>
  </si>
  <si>
    <t>FRL SCH LEVEL 6-1 60 X 120</t>
  </si>
  <si>
    <t>FRL SCH LEVEL 6-2A 60 X 120</t>
  </si>
  <si>
    <t>FRL SCH LEVEL 6-2B 60 X 120</t>
  </si>
  <si>
    <t>FRL SCH LEVEL 6-3 60 X 120</t>
  </si>
  <si>
    <t>FRL SCH LEVEL 6-4 60 X 120</t>
  </si>
  <si>
    <t>FRL STUDIO 8 ELEVATOR 60 X 120</t>
  </si>
  <si>
    <t>FRL SCH LEVEL 3-1 60 X 120</t>
  </si>
  <si>
    <t>FRL SCH LEVEL 3-2B 60 X 120</t>
  </si>
  <si>
    <t>FRL SCH ED 1 60 X 120</t>
  </si>
  <si>
    <t>FRL SCH ED 2 60 X 120</t>
  </si>
  <si>
    <t>FRL SCH ED 3 60 X 120</t>
  </si>
  <si>
    <t>FRL SCH LEVEL 3-3 60 X 120</t>
  </si>
  <si>
    <t>FRL SCH LEVEL 3-4 60 X 120</t>
  </si>
  <si>
    <t>FRL TRUMAN CORN 60 X 96</t>
  </si>
  <si>
    <t>FRL RAHS DREAMLINER 60 X 96</t>
  </si>
  <si>
    <t>FRL RAHS HISTORY 60 X 96</t>
  </si>
  <si>
    <t>FRL RAHS HUBBLE 60 X 96</t>
  </si>
  <si>
    <t>FRL RAHS COMM 60 X 96</t>
  </si>
  <si>
    <t>FRL RAHS ROBOTICS 60 X 96</t>
  </si>
  <si>
    <t>FRL PEGULA ICE ARENA 60 X 120</t>
  </si>
  <si>
    <t>FRL COLLEGE - REDWOODS 60X96</t>
  </si>
  <si>
    <t>FRL SYHC WAVES 60 X 120</t>
  </si>
  <si>
    <t>FRL CHCH PHASE 1 60 X 96</t>
  </si>
  <si>
    <t>FRL OHSU 14TH FLOOR MUR 60X96</t>
  </si>
  <si>
    <t>FRL OGGI PIZZA 60 X 120</t>
  </si>
  <si>
    <t>FRL OGGI PIZA II 60 X 96</t>
  </si>
  <si>
    <t>FRL SCH LEVEL 4-1 MURAL 60 X 1</t>
  </si>
  <si>
    <t>FRL SCH LEVEL 4-2A MURAL 60 X</t>
  </si>
  <si>
    <t>FRL SCH LEVEL 4-2B MURAL 60 X</t>
  </si>
  <si>
    <t>FRL SCH LEVEL 4-3 MURAL 60 X 1</t>
  </si>
  <si>
    <t>FRL SCH LEVEL 4-4 MURAL 60 X 1</t>
  </si>
  <si>
    <t>FRL SCH LEVEL 4-5 MURAL 60 X 1</t>
  </si>
  <si>
    <t>FRL SCH LEVEL 5-1 MURAL 60 X 1</t>
  </si>
  <si>
    <t>FRL SCH LEVEL 5-2A MURAL 60 X</t>
  </si>
  <si>
    <t>FRL SCH LEVEL 5-2B MURAL 60 X</t>
  </si>
  <si>
    <t>FRL SCH LEVEL 5-3 MURAL 60 X 1</t>
  </si>
  <si>
    <t>FRL LEOMINSTER MURAL 60 X 120</t>
  </si>
  <si>
    <t>FRL CIVIC HOSP 4TH FLOOR 60 X</t>
  </si>
  <si>
    <t>FRL CHCH 5301 60 X 96</t>
  </si>
  <si>
    <t>FRL CORONADO SHORES 60 X 96</t>
  </si>
  <si>
    <t>FRL CHCH 5301 SOUTH 60 X 96</t>
  </si>
  <si>
    <t>FRL PROVIDENCE 3106-6-35C  60</t>
  </si>
  <si>
    <t>FRL SFU MURAL 60 X 120</t>
  </si>
  <si>
    <t>FRL CHCH 5106 WEST  60 X 96</t>
  </si>
  <si>
    <t>FRL CHCH 5104 WEST 60 X 96</t>
  </si>
  <si>
    <t>FRL CHCH PEDS SOUTH 60 X 96</t>
  </si>
  <si>
    <t>FRL CHCH PEDS 5102 EAST 60X96</t>
  </si>
  <si>
    <t>MCD ORLANDO G-01 FRL   60 X 96</t>
  </si>
  <si>
    <t>MCD ORLANDO G-05 FRL   60 X 96</t>
  </si>
  <si>
    <t>MCD ORLANDO SOFFIT FRL   60 X</t>
  </si>
  <si>
    <t>ICH PEDS CATH A4   60 X 96</t>
  </si>
  <si>
    <t>ARBOR HEIGHTS TENNIS 60 X 120</t>
  </si>
  <si>
    <t>DEBAKEY W-7 L-2 60 X 120</t>
  </si>
  <si>
    <t>DEBAKEY W-8 L-3 60 X 120</t>
  </si>
  <si>
    <t>DEBAKEY W-9 L-3 60 X 120</t>
  </si>
  <si>
    <t>DEBAKEY W-14 L-4 60 X 120</t>
  </si>
  <si>
    <t>DEBAKEY W-3 L-1 FRL 60 X 120</t>
  </si>
  <si>
    <t>DEBAKEY W-5 L-2 FRL 60 X 120</t>
  </si>
  <si>
    <t>DEBAKEY W-17 L-5 FRL 60 X 120</t>
  </si>
  <si>
    <t>FRL SCH CHILDREN OR 60 X 96</t>
  </si>
  <si>
    <t>FRL JHU MURAL 60 X 120</t>
  </si>
  <si>
    <t>FRL DESIGNTEX R&amp;D 60 X 120</t>
  </si>
  <si>
    <t>BCCWH T6-201 FRL 60 X 96</t>
  </si>
  <si>
    <t>BCCWH T7-601 FRL 60 X 96</t>
  </si>
  <si>
    <t>BCCWH T7-608 FRL 60 X 96</t>
  </si>
  <si>
    <t>BCCWH T7-900 FRL 60 X 96</t>
  </si>
  <si>
    <t>FRL NYU KIMMEL 60 X 120</t>
  </si>
  <si>
    <t>ST. LUKES MOOSE WALL 60 X 96</t>
  </si>
  <si>
    <t>FRL RIVERS EAST MOCK UP 60X120</t>
  </si>
  <si>
    <t>FRL TILLICUM MS L1 MEX 60X120</t>
  </si>
  <si>
    <t>FRL TILLICUM MS L2 PARIS 60X12</t>
  </si>
  <si>
    <t>FRL TILLICUM MS L3 WASH 60X120</t>
  </si>
  <si>
    <t>FRL RIVER EAST CORR 60 X 120</t>
  </si>
  <si>
    <t>FRL RIVER EAST ENTRY 60 X 120</t>
  </si>
  <si>
    <t>FRL CCHMC-B4-LDRP 60 X 120</t>
  </si>
  <si>
    <t>STANTON MED L0 - NORTH 60 X 12</t>
  </si>
  <si>
    <t>STANTON MED L1 - CAFE 60 X 120</t>
  </si>
  <si>
    <t>STANTON MED L2 - NORTH 60 X 12</t>
  </si>
  <si>
    <t>STANTON MED L2 - SW 60 X 120</t>
  </si>
  <si>
    <t>STANTON MED L2 - SS 60 X 120</t>
  </si>
  <si>
    <t>STANTON MED L3 - SOUTH 60 X 12</t>
  </si>
  <si>
    <t>STANTON MED L3 - WEST 60 X 120</t>
  </si>
  <si>
    <t>STANTON MED L4 60 X 120</t>
  </si>
  <si>
    <t>STANTON MED L5 60 X 120</t>
  </si>
  <si>
    <t>HEATHMAN HOTEL ELEV 60 X 96</t>
  </si>
  <si>
    <t>ST CHARLES FRL-2 60 X 120</t>
  </si>
  <si>
    <t>SJUSD DYER K N AMERICA 60 X 12</t>
  </si>
  <si>
    <t>ENOCH GRAPHIC #2 60 X 96</t>
  </si>
  <si>
    <t>ENOCH GRAPHIC #4  60 X 120</t>
  </si>
  <si>
    <t>ENOCH GRAPHIC #5 60 X 96</t>
  </si>
  <si>
    <t>FRL SCH LEVEL 8 REPLACE 60X120</t>
  </si>
  <si>
    <t>FRL HAMEL 60 X 120</t>
  </si>
  <si>
    <t>FRL R0209/R0210 FRUIT 60 X 96</t>
  </si>
  <si>
    <t>FRL R0209/R0210 FRUIT 60 X 120</t>
  </si>
  <si>
    <t>AVAMADLANEPK1</t>
  </si>
  <si>
    <t>BASSGLOWAPK01</t>
  </si>
  <si>
    <t>BASSGLOWAPK02</t>
  </si>
  <si>
    <t>BASSGLOWAPK03</t>
  </si>
  <si>
    <t>BASSGLOWAPK04</t>
  </si>
  <si>
    <t>BASSGLOWAPK05</t>
  </si>
  <si>
    <t>BASSGLOWAPK06</t>
  </si>
  <si>
    <t>BASSGLOWAPK07</t>
  </si>
  <si>
    <t>BBWW780APPK1</t>
  </si>
  <si>
    <t>BIRUVTLPAPPK1</t>
  </si>
  <si>
    <t>BIRUVTLPAPPK2</t>
  </si>
  <si>
    <t>BIRUVTLPAPPK3</t>
  </si>
  <si>
    <t>CALUNACAPPK2</t>
  </si>
  <si>
    <t>CCPUVTLPAPPK1</t>
  </si>
  <si>
    <t>CHANGDGAPPK1</t>
  </si>
  <si>
    <t>CLAUVTLPAPPK1</t>
  </si>
  <si>
    <t>CLAUVTLPAPPK2</t>
  </si>
  <si>
    <t>CLAUVTLPAPPK3</t>
  </si>
  <si>
    <t>CLAUVTLPAPPK4</t>
  </si>
  <si>
    <t>CLAUVTLPAPPK5</t>
  </si>
  <si>
    <t>CLAUVTLPAPPK6</t>
  </si>
  <si>
    <t>GLAZOWUVPPK1</t>
  </si>
  <si>
    <t>HOLLYDGAPPK1</t>
  </si>
  <si>
    <t>HOLLYDGAPPK2</t>
  </si>
  <si>
    <t>IMAFUKUAPK1</t>
  </si>
  <si>
    <t>J16RB328MG560</t>
  </si>
  <si>
    <t>J16RB328U560</t>
  </si>
  <si>
    <t>J16RB338U580</t>
  </si>
  <si>
    <t>J16RB350U560</t>
  </si>
  <si>
    <t>J16RB358U560</t>
  </si>
  <si>
    <t>J16RB364U560</t>
  </si>
  <si>
    <t>J16RB371U560</t>
  </si>
  <si>
    <t>J16RB539U560</t>
  </si>
  <si>
    <t>J16RB590U560</t>
  </si>
  <si>
    <t>J19RB014PWSP</t>
  </si>
  <si>
    <t>J19RB015PWSP</t>
  </si>
  <si>
    <t>J19RB016PWTE</t>
  </si>
  <si>
    <t>J19RB017PWTF</t>
  </si>
  <si>
    <t>J19RB029PWTF</t>
  </si>
  <si>
    <t>J19RB030PXHC</t>
  </si>
  <si>
    <t>J29R0048N580</t>
  </si>
  <si>
    <t>J29R0050N580</t>
  </si>
  <si>
    <t>J29R0053N500</t>
  </si>
  <si>
    <t>J29R0054N500</t>
  </si>
  <si>
    <t>J29R0059N500</t>
  </si>
  <si>
    <t>J29R0061N500</t>
  </si>
  <si>
    <t>J29R0106N500</t>
  </si>
  <si>
    <t>J29R0107N580</t>
  </si>
  <si>
    <t>J29R0111N500</t>
  </si>
  <si>
    <t>J29R0112N580</t>
  </si>
  <si>
    <t>J29R0115N500</t>
  </si>
  <si>
    <t>J29R0116N580</t>
  </si>
  <si>
    <t>J29R0117N500</t>
  </si>
  <si>
    <t>J29R0125N580</t>
  </si>
  <si>
    <t>J29R0126N500</t>
  </si>
  <si>
    <t>J29R0149N500</t>
  </si>
  <si>
    <t>J29R0191NNYR</t>
  </si>
  <si>
    <t>J29R0487N580</t>
  </si>
  <si>
    <t>J29R0487SD580</t>
  </si>
  <si>
    <t>J29R0625SD520</t>
  </si>
  <si>
    <t>J29R0631SD500</t>
  </si>
  <si>
    <t>J29R0718SD520</t>
  </si>
  <si>
    <t>J29R0721SM500</t>
  </si>
  <si>
    <t>J29R0784SD500</t>
  </si>
  <si>
    <t>J29R0838SD520</t>
  </si>
  <si>
    <t>J29R0840SD520</t>
  </si>
  <si>
    <t>J29R0841SD520</t>
  </si>
  <si>
    <t>J29R0842SD520</t>
  </si>
  <si>
    <t>J29R0957SD580</t>
  </si>
  <si>
    <t>J29R0958SD580</t>
  </si>
  <si>
    <t>J30RB018PSMB</t>
  </si>
  <si>
    <t>J30RB019PSMB</t>
  </si>
  <si>
    <t>J30RB020PSMB</t>
  </si>
  <si>
    <t>J30RB023PSMB</t>
  </si>
  <si>
    <t>J30RB024PSMB</t>
  </si>
  <si>
    <t>J30RB027PSMB</t>
  </si>
  <si>
    <t>J30RB028A480</t>
  </si>
  <si>
    <t>J30RB039PSMB</t>
  </si>
  <si>
    <t>J30RB272PSMB</t>
  </si>
  <si>
    <t>J30RB282PSMB</t>
  </si>
  <si>
    <t>J30RB283PSMB</t>
  </si>
  <si>
    <t>J30RB633PSMB</t>
  </si>
  <si>
    <t>J30RB666PSMB</t>
  </si>
  <si>
    <t>J30RB667A480</t>
  </si>
  <si>
    <t>J37R0837SD580</t>
  </si>
  <si>
    <t>J41RB387NM49</t>
  </si>
  <si>
    <t>J41RB387NM50</t>
  </si>
  <si>
    <t>J41RB395NM49</t>
  </si>
  <si>
    <t>J41RB395NM50</t>
  </si>
  <si>
    <t>J41RB498NM45</t>
  </si>
  <si>
    <t>J41RB499NM47</t>
  </si>
  <si>
    <t>J41RB503NM49</t>
  </si>
  <si>
    <t>J41RB517NM49</t>
  </si>
  <si>
    <t>J41RB582NM50</t>
  </si>
  <si>
    <t>J41RB583NM49</t>
  </si>
  <si>
    <t>J41RB600NM50</t>
  </si>
  <si>
    <t>J41RB601NM49</t>
  </si>
  <si>
    <t>J41RB605NM45</t>
  </si>
  <si>
    <t>J41RB606NM46</t>
  </si>
  <si>
    <t>J41RB607NM47</t>
  </si>
  <si>
    <t>J41RB608NM48</t>
  </si>
  <si>
    <t>J41RB612NM49</t>
  </si>
  <si>
    <t>J41RB613NM45</t>
  </si>
  <si>
    <t>J41RB614NM46</t>
  </si>
  <si>
    <t>J41RB615NM47</t>
  </si>
  <si>
    <t>J41RB616NM48</t>
  </si>
  <si>
    <t>J41RB620NM49</t>
  </si>
  <si>
    <t>J42RB038AM38</t>
  </si>
  <si>
    <t>J42RB322PB35</t>
  </si>
  <si>
    <t>J42RB429AM38</t>
  </si>
  <si>
    <t>J42RB456AM38</t>
  </si>
  <si>
    <t>J42RB457AM41</t>
  </si>
  <si>
    <t>J42RB458AM42</t>
  </si>
  <si>
    <t>J42RB464AM38</t>
  </si>
  <si>
    <t>J42RB471AM38</t>
  </si>
  <si>
    <t>J42RB478AM38</t>
  </si>
  <si>
    <t>J42RB479AB22</t>
  </si>
  <si>
    <t>J42RB490AM38</t>
  </si>
  <si>
    <t>J42RB491AB22</t>
  </si>
  <si>
    <t>J42RB506PB35</t>
  </si>
  <si>
    <t>J42RB525AM38</t>
  </si>
  <si>
    <t>J42RB533AM38</t>
  </si>
  <si>
    <t>J42RB639AM38</t>
  </si>
  <si>
    <t>J48IBAR1G5001</t>
  </si>
  <si>
    <t>J48IBLNKN580</t>
  </si>
  <si>
    <t>J48IMISCG4201</t>
  </si>
  <si>
    <t>J48IMISCG5001</t>
  </si>
  <si>
    <t>J48IMISCN500</t>
  </si>
  <si>
    <t>J48IMISCN520</t>
  </si>
  <si>
    <t>J48IMISCN580</t>
  </si>
  <si>
    <t>J48ISPECN520</t>
  </si>
  <si>
    <t>J48R0023N5001</t>
  </si>
  <si>
    <t>J48R0066U5201</t>
  </si>
  <si>
    <t>J48R0098N500</t>
  </si>
  <si>
    <t>J48R0101N500</t>
  </si>
  <si>
    <t>J48R0104N500</t>
  </si>
  <si>
    <t>J48R0105N500</t>
  </si>
  <si>
    <t>J48R0106N500</t>
  </si>
  <si>
    <t>J48R0107N580</t>
  </si>
  <si>
    <t>J48R0108N580</t>
  </si>
  <si>
    <t>J48R0109N500</t>
  </si>
  <si>
    <t>J48R0110N500</t>
  </si>
  <si>
    <t>J48R0111N500</t>
  </si>
  <si>
    <t>J48R0112N580</t>
  </si>
  <si>
    <t>J48R0115N500</t>
  </si>
  <si>
    <t>J48R0116N580</t>
  </si>
  <si>
    <t>J48R0117N500</t>
  </si>
  <si>
    <t>J48R0137N500</t>
  </si>
  <si>
    <t>J48R0140N500</t>
  </si>
  <si>
    <t>J48R0177N580</t>
  </si>
  <si>
    <t>J48R0223N520</t>
  </si>
  <si>
    <t>J48R0235Z500</t>
  </si>
  <si>
    <t>J48R0291N500</t>
  </si>
  <si>
    <t>J48R0350N500</t>
  </si>
  <si>
    <t>J48R0420N580</t>
  </si>
  <si>
    <t>J48R0420SD580</t>
  </si>
  <si>
    <t>J48R0508CR500</t>
  </si>
  <si>
    <t>J48R0508J500</t>
  </si>
  <si>
    <t>J48R0513N520</t>
  </si>
  <si>
    <t>J48R0513SD520</t>
  </si>
  <si>
    <t>J48R0626SD580</t>
  </si>
  <si>
    <t>J48R0717SD500</t>
  </si>
  <si>
    <t>J48R0755SD520</t>
  </si>
  <si>
    <t>J49R0743GL5201</t>
  </si>
  <si>
    <t>J56RB521AM38</t>
  </si>
  <si>
    <t>J56RB631PB06</t>
  </si>
  <si>
    <t>J56RB631PB07</t>
  </si>
  <si>
    <t>J56RB631PB08</t>
  </si>
  <si>
    <t>J56RB631PB09</t>
  </si>
  <si>
    <t>J56RB631PB10</t>
  </si>
  <si>
    <t>J56RB631PB11</t>
  </si>
  <si>
    <t>J56RB632PB04</t>
  </si>
  <si>
    <t>J57RB007AM38</t>
  </si>
  <si>
    <t>J60RB038AM38</t>
  </si>
  <si>
    <t>J60RB126AM38</t>
  </si>
  <si>
    <t>J60RB229AM38</t>
  </si>
  <si>
    <t>J60RB237AM39</t>
  </si>
  <si>
    <t>J60RB238AB19</t>
  </si>
  <si>
    <t>J60RB249AM38</t>
  </si>
  <si>
    <t>J60RB250AB19</t>
  </si>
  <si>
    <t>J60RB250AB22</t>
  </si>
  <si>
    <t>J60RB258AM38</t>
  </si>
  <si>
    <t>J60RB259AB19</t>
  </si>
  <si>
    <t>J60RB259AB22</t>
  </si>
  <si>
    <t>J60RB267AM38</t>
  </si>
  <si>
    <t>J60RB268AB22</t>
  </si>
  <si>
    <t>J60RB280AM38</t>
  </si>
  <si>
    <t>J60RB281AB22</t>
  </si>
  <si>
    <t>J60RB300AM38</t>
  </si>
  <si>
    <t>J60RB301AB22</t>
  </si>
  <si>
    <t>J60RB308AM38</t>
  </si>
  <si>
    <t>J60RB316AM38</t>
  </si>
  <si>
    <t>J60RB379AM38</t>
  </si>
  <si>
    <t>J60RB422AM38</t>
  </si>
  <si>
    <t>J60RB449AM38</t>
  </si>
  <si>
    <t>J60RB450AB22</t>
  </si>
  <si>
    <t>J61RB202AM51</t>
  </si>
  <si>
    <t>J61RB203QM56</t>
  </si>
  <si>
    <t>J61RB204QM57</t>
  </si>
  <si>
    <t>J61RB208AM23</t>
  </si>
  <si>
    <t>J61RB219AB13</t>
  </si>
  <si>
    <t>J61RB222AB16</t>
  </si>
  <si>
    <t>J75RB324PTQ64</t>
  </si>
  <si>
    <t>J75RB325PQ65</t>
  </si>
  <si>
    <t>J75RB326PQ65</t>
  </si>
  <si>
    <t>J75RB327MGQ68</t>
  </si>
  <si>
    <t>J75RB327UQ68</t>
  </si>
  <si>
    <t>J75RB333PTQ64</t>
  </si>
  <si>
    <t>J75RB334PTQ67</t>
  </si>
  <si>
    <t>J75RB335UQ68</t>
  </si>
  <si>
    <t>J75RB349UQ68</t>
  </si>
  <si>
    <t>J75RB355UQ64</t>
  </si>
  <si>
    <t>J75RB355UQ69</t>
  </si>
  <si>
    <t>J75RB359UQ64</t>
  </si>
  <si>
    <t>J75RB360UQ67</t>
  </si>
  <si>
    <t>J75RB363UQ68</t>
  </si>
  <si>
    <t>J75RB365UQ68</t>
  </si>
  <si>
    <t>J75RB370UQ68</t>
  </si>
  <si>
    <t>J75RB441UQ77</t>
  </si>
  <si>
    <t>J75RB538UQ68</t>
  </si>
  <si>
    <t>J75RB540UQ77</t>
  </si>
  <si>
    <t>J75RB589UQ68</t>
  </si>
  <si>
    <t>J75RB640UQ77</t>
  </si>
  <si>
    <t>J75RB674UQ77</t>
  </si>
  <si>
    <t>JD6IZONED5801</t>
  </si>
  <si>
    <t>JI2R0345N580</t>
  </si>
  <si>
    <t>JI2R0346N580</t>
  </si>
  <si>
    <t>JI4R0247N580</t>
  </si>
  <si>
    <t>JI4R0248H580</t>
  </si>
  <si>
    <t>JI4R0248N580</t>
  </si>
  <si>
    <t>JI4R0701SD580</t>
  </si>
  <si>
    <t>JI8R0136N500</t>
  </si>
  <si>
    <t>JI8R0161N520</t>
  </si>
  <si>
    <t>JI8R0162N520</t>
  </si>
  <si>
    <t>JI8R0163N520</t>
  </si>
  <si>
    <t>JI8R0180N520</t>
  </si>
  <si>
    <t>JI8R0180N550</t>
  </si>
  <si>
    <t>JI8R0180N580</t>
  </si>
  <si>
    <t>JI8R0187N550</t>
  </si>
  <si>
    <t>JI8R0206N550</t>
  </si>
  <si>
    <t>JI8R0207N550</t>
  </si>
  <si>
    <t>JI8R0208N560</t>
  </si>
  <si>
    <t>JI8R0726SD580</t>
  </si>
  <si>
    <t>JI8R0783SD580</t>
  </si>
  <si>
    <t>JI8R0794SD580</t>
  </si>
  <si>
    <t>KRASVIP2APK01</t>
  </si>
  <si>
    <t>KZ4R0445N500</t>
  </si>
  <si>
    <t>KZ4R0445SD500</t>
  </si>
  <si>
    <t>MAGUVTLPAPPK1</t>
  </si>
  <si>
    <t>MB1SW844G0501</t>
  </si>
  <si>
    <t>MB1SW844G0601</t>
  </si>
  <si>
    <t>MB1SW844G4201</t>
  </si>
  <si>
    <t>MB1SW844G420</t>
  </si>
  <si>
    <t>MB1SW844G500</t>
  </si>
  <si>
    <t>MB1SW844G520</t>
  </si>
  <si>
    <t>MB1SW844G5601</t>
  </si>
  <si>
    <t>MB1SW844G5801</t>
  </si>
  <si>
    <t>MB1SW844G580</t>
  </si>
  <si>
    <t>MB1SW844G5901</t>
  </si>
  <si>
    <t>MB1SW844GL0501</t>
  </si>
  <si>
    <t>MB1SW844GL0601</t>
  </si>
  <si>
    <t>MB1SW844GL3201</t>
  </si>
  <si>
    <t>MB1SW844GL4201</t>
  </si>
  <si>
    <t>MB1SW844GL500</t>
  </si>
  <si>
    <t>MB1SW844GL520</t>
  </si>
  <si>
    <t>MB1SW844GL5601</t>
  </si>
  <si>
    <t>MB1SW844GL5801</t>
  </si>
  <si>
    <t>MB1SW844GLBPR1</t>
  </si>
  <si>
    <t>MB1SW844GLBWX1</t>
  </si>
  <si>
    <t>MB1SW844GLCIG1</t>
  </si>
  <si>
    <t>MB1SW844GLRWR1</t>
  </si>
  <si>
    <t>MB1SW844GLYGG1</t>
  </si>
  <si>
    <t>MB1SW844GRWR1</t>
  </si>
  <si>
    <t>MB2SW844G0004</t>
  </si>
  <si>
    <t>MB2SW844G4201</t>
  </si>
  <si>
    <t>MB2SW844G420</t>
  </si>
  <si>
    <t>MB2SW844G5001</t>
  </si>
  <si>
    <t>MB2SW844G500</t>
  </si>
  <si>
    <t>MB2SW844G5201</t>
  </si>
  <si>
    <t>MB2SW844G520</t>
  </si>
  <si>
    <t>MB2SW844G5801</t>
  </si>
  <si>
    <t>MB2SW844G5804</t>
  </si>
  <si>
    <t>MB2SW844G580</t>
  </si>
  <si>
    <t>MB2SW844GCMQ</t>
  </si>
  <si>
    <t>MB2SW844GL3201</t>
  </si>
  <si>
    <t>MB2SW844GL3601</t>
  </si>
  <si>
    <t>MB2SW844GL4201</t>
  </si>
  <si>
    <t>MB2SW844GL420</t>
  </si>
  <si>
    <t>MB2SW844GL5001</t>
  </si>
  <si>
    <t>MB2SW844GL500</t>
  </si>
  <si>
    <t>MB2SW844GL5201</t>
  </si>
  <si>
    <t>MB2SW844GL5601</t>
  </si>
  <si>
    <t>MB2SW844GL5801</t>
  </si>
  <si>
    <t>MB2SW844GL580</t>
  </si>
  <si>
    <t>MB2SW844GLCGE</t>
  </si>
  <si>
    <t>MB3SW844GL4202</t>
  </si>
  <si>
    <t>MB5SW844G500</t>
  </si>
  <si>
    <t>MB5SW844G580</t>
  </si>
  <si>
    <t>MB5SW844GL3201</t>
  </si>
  <si>
    <t>MB5SW844GL5001</t>
  </si>
  <si>
    <t>MB5SW844GL500</t>
  </si>
  <si>
    <t>MB5SW844GL5201</t>
  </si>
  <si>
    <t>MB5SW844GL5801</t>
  </si>
  <si>
    <t>MB5SW844GL580</t>
  </si>
  <si>
    <t>MEGASTRUVPPK1</t>
  </si>
  <si>
    <t>MJ1R0708GL5001</t>
  </si>
  <si>
    <t>MJ1R0743GL5201</t>
  </si>
  <si>
    <t>MJ2R0279G520</t>
  </si>
  <si>
    <t>MJ3R0741GL5202</t>
  </si>
  <si>
    <t>MONOLITUVPPK1</t>
  </si>
  <si>
    <t>MURANDRETPPK1</t>
  </si>
  <si>
    <t>MURDS009PPK1</t>
  </si>
  <si>
    <t>MURDS009PPK2</t>
  </si>
  <si>
    <t>MURFOLKSTPPK1</t>
  </si>
  <si>
    <t>MURSB009PPK1</t>
  </si>
  <si>
    <t>MUSCLECARPK2</t>
  </si>
  <si>
    <t>NASUVTLPAPPK1</t>
  </si>
  <si>
    <t>NJ29ND0049E-5200</t>
  </si>
  <si>
    <t>NJ29ND0054E-5200</t>
  </si>
  <si>
    <t>NJ29ND0064T-5800</t>
  </si>
  <si>
    <t>NJ29ND0065T-5800</t>
  </si>
  <si>
    <t>NJ29ND0066T-5800</t>
  </si>
  <si>
    <t>NJ29ND0068T-5000</t>
  </si>
  <si>
    <t>NJ29ND0069T-5800</t>
  </si>
  <si>
    <t>NJ29ND0071T-5000</t>
  </si>
  <si>
    <t>NJ29ND0074T-5800</t>
  </si>
  <si>
    <t>NJ29ND0075T-5000</t>
  </si>
  <si>
    <t>NJ29ND0079SD5800</t>
  </si>
  <si>
    <t>NJ29ND0080SD5800</t>
  </si>
  <si>
    <t>NJ29ND0081SD5800</t>
  </si>
  <si>
    <t>NJ29ND0083T-5800</t>
  </si>
  <si>
    <t>NJ29ND0086SD5800</t>
  </si>
  <si>
    <t>NJ29ND0089SD5000</t>
  </si>
  <si>
    <t>NJ29ND0090SD5000</t>
  </si>
  <si>
    <t>NJ37ND0098SD5000</t>
  </si>
  <si>
    <t>NJ37ND0098SD5800</t>
  </si>
  <si>
    <t>NJ48ND0017E-5200</t>
  </si>
  <si>
    <t>NJ48ND0029E-5800</t>
  </si>
  <si>
    <t>NJ48ND0030E-5200</t>
  </si>
  <si>
    <t>NJ48ND0039E-5800</t>
  </si>
  <si>
    <t>NJ48ND0040E-5000</t>
  </si>
  <si>
    <t>NJ48ND0040E-5800</t>
  </si>
  <si>
    <t>NJ48ND0047E-5800</t>
  </si>
  <si>
    <t>NJ48ND0054G-5201</t>
  </si>
  <si>
    <t>NJ48ND0070SD5800</t>
  </si>
  <si>
    <t>NJ48ND0072SD5200</t>
  </si>
  <si>
    <t>NJ48ND0077SD5200</t>
  </si>
  <si>
    <t>NJI2ND0055E-5801</t>
  </si>
  <si>
    <t>NJI2ND0055SD5801</t>
  </si>
  <si>
    <t>NJI2ND0056E-5801</t>
  </si>
  <si>
    <t>NJI2ND0056SD5801</t>
  </si>
  <si>
    <t>NJI2ND0057E-5801</t>
  </si>
  <si>
    <t>NMB1SW8440G-5201</t>
  </si>
  <si>
    <t>NMB1SW8440GL5201</t>
  </si>
  <si>
    <t>NMJ1ND0058G-5001</t>
  </si>
  <si>
    <t>NMJ1ND0059G-5001</t>
  </si>
  <si>
    <t>NMJ2ND0048G-5200</t>
  </si>
  <si>
    <t>NMJ2ND0048G-5800</t>
  </si>
  <si>
    <t>NMJ2ND0049E-5200</t>
  </si>
  <si>
    <t>NUGMADLANEPK1</t>
  </si>
  <si>
    <t>NYDIG00APPK1</t>
  </si>
  <si>
    <t>OLLUVTLPAPPK1</t>
  </si>
  <si>
    <t>PPALSUVAPPK1</t>
  </si>
  <si>
    <t>PZWK024APPK1</t>
  </si>
  <si>
    <t>QIRDS009NFFF0</t>
  </si>
  <si>
    <t>QIRDS009NKRK0</t>
  </si>
  <si>
    <t>QIRDS009NTCH0</t>
  </si>
  <si>
    <t>QKIDS009NCMZ0</t>
  </si>
  <si>
    <t>QUBDIGHWYPK10</t>
  </si>
  <si>
    <t>QUBDIGHWYPK12</t>
  </si>
  <si>
    <t>QUBDIGHWYPK13</t>
  </si>
  <si>
    <t>QUBDIGHWYPPK1</t>
  </si>
  <si>
    <t>QUBDIGHWYPPK3</t>
  </si>
  <si>
    <t>QUBDIGHWYPPK6</t>
  </si>
  <si>
    <t>QUBDIGHWYPPK8</t>
  </si>
  <si>
    <t>QUBDIGHWYPPK9</t>
  </si>
  <si>
    <t>SPWO710APPK1</t>
  </si>
  <si>
    <t>STERLITUVPPK1</t>
  </si>
  <si>
    <t>TCWZ460APPK1</t>
  </si>
  <si>
    <t>UJ4R0013N580</t>
  </si>
  <si>
    <t>UJ4R0178N520</t>
  </si>
  <si>
    <t>UPTOWNDPROPK1</t>
  </si>
  <si>
    <t>USBRBMDZPK01</t>
  </si>
  <si>
    <t>USMG160APPK1</t>
  </si>
  <si>
    <t>WAHP272APPK1</t>
  </si>
  <si>
    <t>WAHP272APPK2</t>
  </si>
  <si>
    <t>X75FS576N500</t>
  </si>
  <si>
    <t>XJ6R0638SD580</t>
  </si>
  <si>
    <t>XJ6R0733SD580</t>
  </si>
  <si>
    <t>XJ8R0000N500</t>
  </si>
  <si>
    <t>XJ8R0025NNYR</t>
  </si>
  <si>
    <t>XJ8R0132NNYR</t>
  </si>
  <si>
    <t>XJ8R0139NNYR</t>
  </si>
  <si>
    <t>XJ8R0139NPFQ</t>
  </si>
  <si>
    <t>XJ8R0171NWWC</t>
  </si>
  <si>
    <t>XJ8R0183NNYR</t>
  </si>
  <si>
    <t>XJ8R0183NXBN</t>
  </si>
  <si>
    <t>XJ8R0244NPFQ</t>
  </si>
  <si>
    <t>XJ8R0245NNYR</t>
  </si>
  <si>
    <t>XJ8R0247NNYR</t>
  </si>
  <si>
    <t>XJ8R0248NNYR</t>
  </si>
  <si>
    <t>XJ8R0253N500</t>
  </si>
  <si>
    <t>XJ8R0253N580</t>
  </si>
  <si>
    <t>XJ8R0255N580</t>
  </si>
  <si>
    <t>XJ8R0256N500</t>
  </si>
  <si>
    <t>XJ8R0257N500</t>
  </si>
  <si>
    <t>XJ8R0258N500</t>
  </si>
  <si>
    <t>XJ8R0258N580</t>
  </si>
  <si>
    <t>XJ8R0259N500</t>
  </si>
  <si>
    <t>XJ8R0259N580</t>
  </si>
  <si>
    <t>XJ8R0261N500</t>
  </si>
  <si>
    <t>XJ8R0273N500</t>
  </si>
  <si>
    <t>XJ8R0283N580</t>
  </si>
  <si>
    <t>XJ8R0284N500</t>
  </si>
  <si>
    <t>XJ8R0293N500</t>
  </si>
  <si>
    <t>XJ8R0298N500</t>
  </si>
  <si>
    <t>XJ8R0302N500</t>
  </si>
  <si>
    <t>XJ8R0304N500</t>
  </si>
  <si>
    <t>XJ8R0305N500</t>
  </si>
  <si>
    <t>XJ8R0310N580</t>
  </si>
  <si>
    <t>XJ8R0312NNYR</t>
  </si>
  <si>
    <t>XJ8R0314N580</t>
  </si>
  <si>
    <t>XJ8R0321N580</t>
  </si>
  <si>
    <t>XJ8R0324N500</t>
  </si>
  <si>
    <t>XJ8R0325N500</t>
  </si>
  <si>
    <t>XJ8R0325SD500</t>
  </si>
  <si>
    <t>XJ8R0326N580</t>
  </si>
  <si>
    <t>XJ8R0328N500</t>
  </si>
  <si>
    <t>XJ8R0329N500</t>
  </si>
  <si>
    <t>XJ8R0330N500</t>
  </si>
  <si>
    <t>XJ8R0331N500</t>
  </si>
  <si>
    <t>XJ8R0332N500</t>
  </si>
  <si>
    <t>XJ8R0333N500</t>
  </si>
  <si>
    <t>XJ8R0334N500</t>
  </si>
  <si>
    <t>XJ8R0335N500</t>
  </si>
  <si>
    <t>XJ8R0336N500</t>
  </si>
  <si>
    <t>XJ8R0337N500</t>
  </si>
  <si>
    <t>XJ8R0338N500</t>
  </si>
  <si>
    <t>XJ8R0339N500</t>
  </si>
  <si>
    <t>XJ8R0341N500</t>
  </si>
  <si>
    <t>XJ8R0342N500</t>
  </si>
  <si>
    <t>XJ8R0343N500</t>
  </si>
  <si>
    <t>XJ8R0344N500</t>
  </si>
  <si>
    <t>XJ8R0347N500</t>
  </si>
  <si>
    <t>XJ8R0348N500</t>
  </si>
  <si>
    <t>XJ8R0349N580</t>
  </si>
  <si>
    <t>XJ8R0356J580</t>
  </si>
  <si>
    <t>XJ8R0357J580</t>
  </si>
  <si>
    <t>XJ8R0358J580</t>
  </si>
  <si>
    <t>XJ8R0359J580</t>
  </si>
  <si>
    <t>XJ8R0360J580</t>
  </si>
  <si>
    <t>XJ8R0366N500</t>
  </si>
  <si>
    <t>XJ8R0370N580</t>
  </si>
  <si>
    <t>XJ8R0394N500</t>
  </si>
  <si>
    <t>XJ8R0422N580</t>
  </si>
  <si>
    <t>XJ8R0422SD580</t>
  </si>
  <si>
    <t>XJ8R0424N580</t>
  </si>
  <si>
    <t>XJ8R0424SD580</t>
  </si>
  <si>
    <t>XJ8R0428N500</t>
  </si>
  <si>
    <t>XJ8R0428SD500</t>
  </si>
  <si>
    <t>XJ8R0447N580</t>
  </si>
  <si>
    <t>XJ8R0447SD580</t>
  </si>
  <si>
    <t>XJ8R0463N500</t>
  </si>
  <si>
    <t>XJ8R0463SD500</t>
  </si>
  <si>
    <t>XJ8R0464N500</t>
  </si>
  <si>
    <t>XJ8R0464SD500</t>
  </si>
  <si>
    <t>XJ8R0465N500</t>
  </si>
  <si>
    <t>XJ8R0465SD500</t>
  </si>
  <si>
    <t>XJ8R0466N500</t>
  </si>
  <si>
    <t>XJ8R0466SD500</t>
  </si>
  <si>
    <t>XJ8R0467N500</t>
  </si>
  <si>
    <t>XJ8R0467SD500</t>
  </si>
  <si>
    <t>XJ8R0468N500</t>
  </si>
  <si>
    <t>XJ8R0468SD500</t>
  </si>
  <si>
    <t>XJ8R0469N500</t>
  </si>
  <si>
    <t>XJ8R0469SD500</t>
  </si>
  <si>
    <t>XJ8R0470N500</t>
  </si>
  <si>
    <t>XJ8R0470SD500</t>
  </si>
  <si>
    <t>XJ8R0471N500</t>
  </si>
  <si>
    <t>XJ8R0471SD500</t>
  </si>
  <si>
    <t>XJ8R0472N500</t>
  </si>
  <si>
    <t>XJ8R0472SD500</t>
  </si>
  <si>
    <t>XJ8R0474N500</t>
  </si>
  <si>
    <t>XJ8R0474SD500</t>
  </si>
  <si>
    <t>XJ8R0479N580</t>
  </si>
  <si>
    <t>XJ8R0479SD580</t>
  </si>
  <si>
    <t>XJ8R0480N580</t>
  </si>
  <si>
    <t>XJ8R0480SD580</t>
  </si>
  <si>
    <t>XJ8R0482N580</t>
  </si>
  <si>
    <t>XJ8R0482SD580</t>
  </si>
  <si>
    <t>XJ8R0486N580</t>
  </si>
  <si>
    <t>XJ8R0486SD580</t>
  </si>
  <si>
    <t>XJ8R0499N580</t>
  </si>
  <si>
    <t>XJ8R0499SD580</t>
  </si>
  <si>
    <t>XJ8R0510N500</t>
  </si>
  <si>
    <t>XJ8R0510SD500</t>
  </si>
  <si>
    <t>XJ8R0514N580</t>
  </si>
  <si>
    <t>XJ8R0514NNYR</t>
  </si>
  <si>
    <t>XJ8R0514SD580</t>
  </si>
  <si>
    <t>XJ8R0514SDNYR</t>
  </si>
  <si>
    <t>XJ8R0515N580</t>
  </si>
  <si>
    <t>XJ8R0515SD580</t>
  </si>
  <si>
    <t>XJ8R0516N580</t>
  </si>
  <si>
    <t>XJ8R0516SD580</t>
  </si>
  <si>
    <t>XJ8R0517N580</t>
  </si>
  <si>
    <t>XJ8R0517SD580</t>
  </si>
  <si>
    <t>XJ8R0582N580</t>
  </si>
  <si>
    <t>XJ8R0582SD580</t>
  </si>
  <si>
    <t>XJ8R0586N580</t>
  </si>
  <si>
    <t>XJ8R0586SD580</t>
  </si>
  <si>
    <t>XJ8R0587N580</t>
  </si>
  <si>
    <t>XJ8R0587SD580</t>
  </si>
  <si>
    <t>XJ8R0600N580</t>
  </si>
  <si>
    <t>XJ8R0600SD580</t>
  </si>
  <si>
    <t>XJ8R0613N500</t>
  </si>
  <si>
    <t>XJ8R0613SD500</t>
  </si>
  <si>
    <t>XJ8R0627SD500</t>
  </si>
  <si>
    <t>XJ8R0628SD500</t>
  </si>
  <si>
    <t>XJ8R0629SD500</t>
  </si>
  <si>
    <t>XJ8R0630SD500</t>
  </si>
  <si>
    <t>XJ8R0633SD500</t>
  </si>
  <si>
    <t>XJ8R0634SD500</t>
  </si>
  <si>
    <t>XJ8R0635SD500</t>
  </si>
  <si>
    <t>XJ8R0638SDNYR</t>
  </si>
  <si>
    <t>XJ8R0660SD500</t>
  </si>
  <si>
    <t>XJ8R0688SD500</t>
  </si>
  <si>
    <t>XJ8R0695SD580</t>
  </si>
  <si>
    <t>XJ8R0701SD580</t>
  </si>
  <si>
    <t>XJ8R0703SD580</t>
  </si>
  <si>
    <t>XJ8R0705SD580</t>
  </si>
  <si>
    <t>XJ8R0737SD500</t>
  </si>
  <si>
    <t>XJ8R0740SD580</t>
  </si>
  <si>
    <t>XJ8R0746SD500</t>
  </si>
  <si>
    <t>XJ8R0751SD500</t>
  </si>
  <si>
    <t>XJ8R0752SD500</t>
  </si>
  <si>
    <t>XJ8R0753SD500</t>
  </si>
  <si>
    <t>XJ8R0771SD500</t>
  </si>
  <si>
    <t>XJ8R0772SD500</t>
  </si>
  <si>
    <t>XJ8R0788SD500</t>
  </si>
  <si>
    <t>XJ8R0795SD500</t>
  </si>
  <si>
    <t>XJ8R0796SD500</t>
  </si>
  <si>
    <t>XJ8R0798SD500</t>
  </si>
  <si>
    <t>XJ8R0799SD500</t>
  </si>
  <si>
    <t>XJ8R0800SD500</t>
  </si>
  <si>
    <t>XJ8R0801SD500</t>
  </si>
  <si>
    <t>XJ8R0802SD500</t>
  </si>
  <si>
    <t>XJ8R0803SD500</t>
  </si>
  <si>
    <t>XJ8R0804SD500</t>
  </si>
  <si>
    <t>XJ8R0806SD580</t>
  </si>
  <si>
    <t>XJ8R0814SD500</t>
  </si>
  <si>
    <t>XJ8R0855SD500</t>
  </si>
  <si>
    <t>XJ8R0856SD580</t>
  </si>
  <si>
    <t>XJ8R0857SD500</t>
  </si>
  <si>
    <t>XJ8R0858SD580</t>
  </si>
  <si>
    <t>XJ8R1182SD500</t>
  </si>
  <si>
    <t>XJ8R1284SD500</t>
  </si>
  <si>
    <t>100DS009-5000</t>
  </si>
  <si>
    <t>XJDRD001NNYR</t>
  </si>
  <si>
    <t>XJDRD001NPFQ</t>
  </si>
  <si>
    <t>FROSTY WHITE 48 X 120</t>
  </si>
  <si>
    <t>MURREY DIG SAMP 42 1/2X145 1/4</t>
  </si>
  <si>
    <t>HWY66 W BLOND PLUG 43 X 72</t>
  </si>
  <si>
    <t>MUR ANDRETTI PLUG 43 X 72</t>
  </si>
  <si>
    <t>MUR FOLKSTONE PLUG 43 X 72</t>
  </si>
  <si>
    <t>MUR C/WOOD PLUG 43 X 72</t>
  </si>
  <si>
    <t>RAINDROPS D/G 48 X 96</t>
  </si>
  <si>
    <t>STRIDE RITE STRIPES D/G 48 X 9</t>
  </si>
  <si>
    <t>STRIDE RITE SQUARES D/G 48 X 9</t>
  </si>
  <si>
    <t>CLINTON P2 D/G 48 X 120</t>
  </si>
  <si>
    <t>CLINTON P4 D/G 48 X 144</t>
  </si>
  <si>
    <t>CLINTON P5 D/G 48 X 144</t>
  </si>
  <si>
    <t>CLINTON P8 D/G 36 X 96</t>
  </si>
  <si>
    <t>CLINTON P9 D/G 48 X 96</t>
  </si>
  <si>
    <t>CLINTON P10 D/G 36 X 96</t>
  </si>
  <si>
    <t>CLINTON P11 D/G 48 X 96</t>
  </si>
  <si>
    <t>CLINTON P13 D/G 48 X 120</t>
  </si>
  <si>
    <t>CLINTON P15 D/G 48 X 120</t>
  </si>
  <si>
    <t>CLINTON P25 D/G 48 X 120</t>
  </si>
  <si>
    <t>CLINTON D/G 36 X 96</t>
  </si>
  <si>
    <t>CLINTON D/G 48 X 96</t>
  </si>
  <si>
    <t>CLINTON D/G 48 X 120</t>
  </si>
  <si>
    <t>CLINTON D/G 48 X 144</t>
  </si>
  <si>
    <t>RED DIGITAL DOTS 48 X 96</t>
  </si>
  <si>
    <t>BLUE WATER DROPS D/G 48 X 96</t>
  </si>
  <si>
    <t>QUOTE BOARD 48 X 96</t>
  </si>
  <si>
    <t>GMF ZEBRA MURAL 48 X 96</t>
  </si>
  <si>
    <t>GMF ELEPHANT MURAL 48 X 96</t>
  </si>
  <si>
    <t>GMF GIRAFFE MURAL 49 X 96</t>
  </si>
  <si>
    <t>MONROE HS BOARD 48 X 96</t>
  </si>
  <si>
    <t>PROSPECT HEIGHTS D/G 48 X 96</t>
  </si>
  <si>
    <t>HONEY MAPLE CUST/DIG 48 X 96</t>
  </si>
  <si>
    <t>HILLCREST HS BOARD D/G 48 X 96</t>
  </si>
  <si>
    <t>SOUTH BRONX HS BOARD D/G 48X96</t>
  </si>
  <si>
    <t>SMUD SALAD MURAL D/G 48 X 96</t>
  </si>
  <si>
    <t>SMUD WIND D/G 48 X 96</t>
  </si>
  <si>
    <t>SMUD RESERVOIR D/G 48 X 96</t>
  </si>
  <si>
    <t>CUS SOCKEYE PINK D/G 36 X 84</t>
  </si>
  <si>
    <t>CUS SOCKEYE PINK D/G 48 X 120</t>
  </si>
  <si>
    <t>CUS SOCKEYE PINK D/G 48 X 84</t>
  </si>
  <si>
    <t>EVANDER CHILDS HS BD 48 X 96</t>
  </si>
  <si>
    <t>PS15 DESK D/G 48 X 120</t>
  </si>
  <si>
    <t>PS15 DESK D/G 48 X 96</t>
  </si>
  <si>
    <t>PCI CUSTOM DIG PRINT 48 X 96</t>
  </si>
  <si>
    <t>AMER DUPAGE HOSP D/G 48 X 96</t>
  </si>
  <si>
    <t>ND PATIENT RM 1 D/G 48 X 120</t>
  </si>
  <si>
    <t>ND PATIENT RM 2 D/G 48 X 120</t>
  </si>
  <si>
    <t>ND PATIENT RM 3 D/G 48 X 120</t>
  </si>
  <si>
    <t>ND NURSE DESK D/G 48 X 120</t>
  </si>
  <si>
    <t>BAYSTATE XL1 RAISIN 48 X 120</t>
  </si>
  <si>
    <t>BAYSTATE XL2 RAISIN 48 X 120</t>
  </si>
  <si>
    <t>BAYSTATE XR1 RAISIN 48 X 120</t>
  </si>
  <si>
    <t>BAYSTATE XR2 RAISIN 48 X 120</t>
  </si>
  <si>
    <t>BAYSTATE LINEAR PROJECT 48 X 9</t>
  </si>
  <si>
    <t>FITZLOFF STAR GRAPHIC 48 X 96</t>
  </si>
  <si>
    <t>DILLON EASTRIDGE MALL 48 X 96</t>
  </si>
  <si>
    <t>BAYSTATE LINEAR PROJ-3 48 X 96</t>
  </si>
  <si>
    <t>TROUTDALE MURAL 48 X 96</t>
  </si>
  <si>
    <t>AMC DOOR PANEL 48 X 96</t>
  </si>
  <si>
    <t>OPTO DIGITAL 48 X 120</t>
  </si>
  <si>
    <t>BAYSTATE LINEAR PROJ-4 36 X 96</t>
  </si>
  <si>
    <t>RANGER LOGO TABLETOP 48 X 96</t>
  </si>
  <si>
    <t>KAISER SC ELEVATION B 48 X 144</t>
  </si>
  <si>
    <t>TOTUMO DIGITAL 48 X 120</t>
  </si>
  <si>
    <t>PURGISTICS RANGER 48 X 96</t>
  </si>
  <si>
    <t>FRESH EATS ORDER D/G 36 X 120</t>
  </si>
  <si>
    <t>FRESH EATS PICKUP D/G 36 X 120</t>
  </si>
  <si>
    <t>FRESH EATS LAYOUT D/G 36 X 120</t>
  </si>
  <si>
    <t>NEW LEAVES 48 X 120</t>
  </si>
  <si>
    <t>NEW LEAVES D/G 48 X 96</t>
  </si>
  <si>
    <t>WAVY LINES D/G 48 X 96</t>
  </si>
  <si>
    <t>TAPESTRY D/G 48 X 96</t>
  </si>
  <si>
    <t>GRAFFITI D/G 48 X 96</t>
  </si>
  <si>
    <t>STAR PATTERN D/G 48 X 96</t>
  </si>
  <si>
    <t>ERG WRANGLER D/G 36 X 120</t>
  </si>
  <si>
    <t>ECO WAVE D/G 48 X 96</t>
  </si>
  <si>
    <t>WILKES MURAL D/G 48 X 96</t>
  </si>
  <si>
    <t>FAIRVIEW MURAL D/G 48 X 96</t>
  </si>
  <si>
    <t>SWCH L2-15 48 X 120</t>
  </si>
  <si>
    <t>ERG COUGAR T/TOP D/G 36 X 144</t>
  </si>
  <si>
    <t>ERG COUGAR T/TOP D/G 36 X 96</t>
  </si>
  <si>
    <t>MUR CHERRYWOOD DOT 41.875X144</t>
  </si>
  <si>
    <t>MUR CHERRYWOOD DART 41.875X144</t>
  </si>
  <si>
    <t>MUR CHERRYWOOD COM 41.875X144</t>
  </si>
  <si>
    <t>USB DIG VINTAGE DOT 41.875X144</t>
  </si>
  <si>
    <t>USB DIG VINTAGE DART 41.875X14</t>
  </si>
  <si>
    <t>USB DIG VINTAGE COM 41.875X144</t>
  </si>
  <si>
    <t>USB DIG BLUE DOT 41.875X144</t>
  </si>
  <si>
    <t>USB DIG BLUE DART 41.875X144</t>
  </si>
  <si>
    <t>USB DIG BLUE COM 41.875X144</t>
  </si>
  <si>
    <t>BASS PRO W/WAY 42 7/8X145 1/4</t>
  </si>
  <si>
    <t>INFINITY WRR COM  41.875 X 144</t>
  </si>
  <si>
    <t>INFINITY WRR ARROW  41.875 X 1</t>
  </si>
  <si>
    <t>DIG/WZ460 W/WAY 42 7/8 X 145 1</t>
  </si>
  <si>
    <t>NEW YORK W/WAY 42 7/8 X 145 1/</t>
  </si>
  <si>
    <t>NEW YORK S WALK 42 7/8 X 72</t>
  </si>
  <si>
    <t>HOLLYWOOD W/WAY 42 7/8X145 1/4</t>
  </si>
  <si>
    <t>HOLLYWOOD S W/WAY 42 7/8 X 72</t>
  </si>
  <si>
    <t>INFINITY UV BLUE ARROW 41.875X</t>
  </si>
  <si>
    <t>INFINITYUV BLUE COM  41.875X14</t>
  </si>
  <si>
    <t>DIG/WO710 W/WAY 42 7/8 X 145 1</t>
  </si>
  <si>
    <t>ABC D/G 36 X 120</t>
  </si>
  <si>
    <t>ABC D/G 48 X 96</t>
  </si>
  <si>
    <t>ARDMORE 1 48 X 120</t>
  </si>
  <si>
    <t>ARDMORE 2 48 X 120</t>
  </si>
  <si>
    <t>ARDMORE 3 48 X 120</t>
  </si>
  <si>
    <t>ARDMORE 4 48 X 120</t>
  </si>
  <si>
    <t>ARDMORE 5 48 X 120</t>
  </si>
  <si>
    <t>ARDMORE 6 48 X 120</t>
  </si>
  <si>
    <t>ARDMORE 7 48 X 120</t>
  </si>
  <si>
    <t>ARDMORE 8 48 X 120</t>
  </si>
  <si>
    <t>ARDMORE 9 48 X 120</t>
  </si>
  <si>
    <t>ARDMORE 10 48 X 120</t>
  </si>
  <si>
    <t>ARDMORE 11 48 X 120</t>
  </si>
  <si>
    <t>ARDMORE 12 48 X 120</t>
  </si>
  <si>
    <t>ARDMORE 13 48 X 120</t>
  </si>
  <si>
    <t>ARDMORE 14 48 X 120</t>
  </si>
  <si>
    <t>ARDMORE 15 48 X 120</t>
  </si>
  <si>
    <t>ARDMORE 16 48 X 120</t>
  </si>
  <si>
    <t>ARDMORE 17 48 X 120</t>
  </si>
  <si>
    <t>BEETLE BAILEY D/G 48 X 96</t>
  </si>
  <si>
    <t>GOLD'S GYM D/G 1 48 X 120</t>
  </si>
  <si>
    <t>INTERPRINT D/G 36 X 144</t>
  </si>
  <si>
    <t>INTERPRINT D/G 36 X 96</t>
  </si>
  <si>
    <t>INTERPRINT D/G 48 X 120</t>
  </si>
  <si>
    <t>INTERPRINT D/G 48 X 96</t>
  </si>
  <si>
    <t>INTERPRINT D/G 36 X 120</t>
  </si>
  <si>
    <t>INTERPRINT D/G 48 X 48</t>
  </si>
  <si>
    <t>RAINDROPS D/G 36 X 96</t>
  </si>
  <si>
    <t>SAMPLE D/G OR S/P 48 X 96</t>
  </si>
  <si>
    <t>SPECTRALITE D/G 48 X 96</t>
  </si>
  <si>
    <t>SPECTRALITE D/G 36 X 120</t>
  </si>
  <si>
    <t>SPECTRALITE D/G 36 X 96</t>
  </si>
  <si>
    <t>SPRCTRALITE D/G 48 X 120</t>
  </si>
  <si>
    <t>SPECTRALITE D/G 48 X 144</t>
  </si>
  <si>
    <t>SWAN D/G 48 X 120</t>
  </si>
  <si>
    <t>SWAN D/G 48 X 144</t>
  </si>
  <si>
    <t>CINEMASTAR PL09L 48 X 96</t>
  </si>
  <si>
    <t>CINEMASTAR PL09R 48 X 96</t>
  </si>
  <si>
    <t>CINEMASTAR PL10L 48 X 96</t>
  </si>
  <si>
    <t>CINEMASTAR PL10R 48 X 96</t>
  </si>
  <si>
    <t>CINEMASTAR PL11L 48 X 96</t>
  </si>
  <si>
    <t>CINEMASTAR PL11R 48 X 96</t>
  </si>
  <si>
    <t>CINEMASTAR PL12L 48 X 96</t>
  </si>
  <si>
    <t>CINEMASTAR PL12R 48 X 96</t>
  </si>
  <si>
    <t>ROUND TABLE D/G 48 X 96</t>
  </si>
  <si>
    <t>SQUARE TABLE D/G 48 X 96</t>
  </si>
  <si>
    <t>MAN BOWLING D/G 48 X 96</t>
  </si>
  <si>
    <t>JUST TIRES D/G 36 X 120</t>
  </si>
  <si>
    <t>JUST TIRES D/G 36 X 144</t>
  </si>
  <si>
    <t>JUST TIRES D/G 36 X 96</t>
  </si>
  <si>
    <t>TRADE SHOW D/G 48 X 96</t>
  </si>
  <si>
    <t>CORN &amp; PANS D/G 36 X 96</t>
  </si>
  <si>
    <t>BURGER D/G 36 X 96</t>
  </si>
  <si>
    <t>SHRIMP D/G 36 X 96</t>
  </si>
  <si>
    <t>LONG JOHN SILVERS D/G 36 X 144</t>
  </si>
  <si>
    <t>A &amp; W D/G 36 X 144</t>
  </si>
  <si>
    <t>IHOP WEAVE D/G 48 X 96</t>
  </si>
  <si>
    <t>IHOP TEXT D/G 48 X 96</t>
  </si>
  <si>
    <t>STRIDE RITE # 1 D/G 48 X 96</t>
  </si>
  <si>
    <t>STRIDE RITE #2&amp;# 3 D/G 48X120</t>
  </si>
  <si>
    <t>STRIDE RITE # 4 D/G 48 X 96</t>
  </si>
  <si>
    <t>WALKERSVILLE LANE D/G 48 X 96</t>
  </si>
  <si>
    <t>YBN GRAY DROPS D/G 36 X 120</t>
  </si>
  <si>
    <t>YBN GRAY DROPS II  48 X 120</t>
  </si>
  <si>
    <t>WINGSTREET (30) D/G 36 X 96</t>
  </si>
  <si>
    <t>WINGSTREET (36) D/G 48X120</t>
  </si>
  <si>
    <t>CLEMSON PAW 2 D/G 36 X 120</t>
  </si>
  <si>
    <t>CLEMSON PAW 2 D/G 48X120</t>
  </si>
  <si>
    <t>CLEMSON PAW 3 D/G 48 X 96</t>
  </si>
  <si>
    <t>ADVERTZ D/G 48 X 96</t>
  </si>
  <si>
    <t>ADVERTZ D/G 36 X 120</t>
  </si>
  <si>
    <t>GOLD'S GYM  D/G 36 X 120</t>
  </si>
  <si>
    <t>FUDDRUCKERS RED D/G 48 X 96</t>
  </si>
  <si>
    <t>FUDDRUCKERS BLUE D/G 48 X 96</t>
  </si>
  <si>
    <t>CLEMSON PAW 5 D/G 36 X 144</t>
  </si>
  <si>
    <t>JOHNNYS FAM FLAV D/G 48X144</t>
  </si>
  <si>
    <t>JOHNNYS THREEBEES D/G 48 X 96</t>
  </si>
  <si>
    <t>JOHNNYS SHAKES &amp; FRIES 48X96</t>
  </si>
  <si>
    <t>JOHNNYS RICE &amp; RINGS 48 X 96</t>
  </si>
  <si>
    <t>ESPN TABLE D/G 48 X 120</t>
  </si>
  <si>
    <t>ESPN TABLE D/G 36 X 144</t>
  </si>
  <si>
    <t>ESPN TABLE D/G 48 X 96</t>
  </si>
  <si>
    <t>FLEET FEET MURAL 1 48 X 96</t>
  </si>
  <si>
    <t>FLEET FEET MURAL 2 48 X 96</t>
  </si>
  <si>
    <t>FLEET FEET MURAL 3 48 X 96</t>
  </si>
  <si>
    <t>FLEET FEET MURAL 4 P1 48 X 96</t>
  </si>
  <si>
    <t>FLEET FEET MURAL 4 P2 48 X 96</t>
  </si>
  <si>
    <t>FLEET FEET MURAL 4 P3 48 X 96</t>
  </si>
  <si>
    <t>FLEET FEET MURAL 4 P4 48 X 96</t>
  </si>
  <si>
    <t>TURQ GYPSY GUITAR D/G 48 X 96</t>
  </si>
  <si>
    <t>BAREFOOT BOOKS D/G 48 X 96</t>
  </si>
  <si>
    <t>MURREY FT HOOD MURAL 48 X 96</t>
  </si>
  <si>
    <t>CBG HOT LIPPS 48 X 96</t>
  </si>
  <si>
    <t>LEFT SWOOSH D/G 48X144</t>
  </si>
  <si>
    <t>RIGHT SWOOSH D/G 48X144</t>
  </si>
  <si>
    <t>INXS LOGO D/G 36 X 120</t>
  </si>
  <si>
    <t>INXS II LOGO D/G 36 X 144</t>
  </si>
  <si>
    <t>ELEVATOR CLOUDS P-A 48 X 96</t>
  </si>
  <si>
    <t>ELEVATOR CLOUDS P-B 48 X 96</t>
  </si>
  <si>
    <t>FALCON JET MAP 48 X 96</t>
  </si>
  <si>
    <t>EAGLES NEST TABLE D/G 48 X 96</t>
  </si>
  <si>
    <t>STEVENSON HS BOARD 48 X 96</t>
  </si>
  <si>
    <t>RIVERBOAT LANES D/G 48 X 96</t>
  </si>
  <si>
    <t>ELV CLOUDS P-C D/G 36 X 96</t>
  </si>
  <si>
    <t>ELV CLOUDS P-D D/G 36 X 96</t>
  </si>
  <si>
    <t>ELV CLOUDS P-E D/G 36 X 96</t>
  </si>
  <si>
    <t>ROOF CLOUDS P-A D/G 48 X 96</t>
  </si>
  <si>
    <t>ROOF CLOUDS P-B D/G 48 X 96</t>
  </si>
  <si>
    <t>ROOF CLOUDS P-C D/G 48 X 96</t>
  </si>
  <si>
    <t>ROOF CLOUDS P-D D/G 48 X 96</t>
  </si>
  <si>
    <t>BALLOON CLOUDS D/G 48 X 120</t>
  </si>
  <si>
    <t>ESPN 42" ROUND LOGO D/G 48X96</t>
  </si>
  <si>
    <t>RIVERBOAT LANES II D/G 48 X 96</t>
  </si>
  <si>
    <t>RANGER TABLES D/G 48 X 96</t>
  </si>
  <si>
    <t>UNCC D/G 48 X 120</t>
  </si>
  <si>
    <t>UNCC D/G 48 X 96</t>
  </si>
  <si>
    <t>SILVER CROSS D/G 36 X 96</t>
  </si>
  <si>
    <t>COSTA VIDA WAVE 30 X 96</t>
  </si>
  <si>
    <t>DIVERSIFIED PINK D/G 36 X 96</t>
  </si>
  <si>
    <t>DIVERSIFIED PINK 48 X 72</t>
  </si>
  <si>
    <t>DIVERSIFIED PINK D/G 48 X 96</t>
  </si>
  <si>
    <t>GRAFTON HS D/G 48 X 96</t>
  </si>
  <si>
    <t>CLEMSON PAW 6 D/G 36 X 96</t>
  </si>
  <si>
    <t>CUDDEBACK D/G 48 X 96</t>
  </si>
  <si>
    <t>CLEMSON PAW 8 D/G 36 X 144</t>
  </si>
  <si>
    <t>NEWOOD Y/STONE D/G 48 X 96</t>
  </si>
  <si>
    <t>CLEMSON PAW 9 D/G 36 X 120</t>
  </si>
  <si>
    <t>UOMEQ 2-1 STRAUSS D/G 36X96</t>
  </si>
  <si>
    <t>UOMEQ 2-6 ANDERSON 36 X 96</t>
  </si>
  <si>
    <t>UOMEQ 2-7 CENTER 36 X 96</t>
  </si>
  <si>
    <t>UOMEQ 2-8 PRESCOTT 36 X 96</t>
  </si>
  <si>
    <t>UOMEQ 2-9 TYLER 36 X 96</t>
  </si>
  <si>
    <t>UOMEQ 2-10 GREENE 36 X 96</t>
  </si>
  <si>
    <t>UOMEQ 2-3 HAYDEN 36 X 96</t>
  </si>
  <si>
    <t>UOMEQ 2-4 COOLEY 36 X 96</t>
  </si>
  <si>
    <t>UOMEQ 2-11 HINSDALE 36 X 96</t>
  </si>
  <si>
    <t>UOMEQ B-2 CORNER 36 X 96</t>
  </si>
  <si>
    <t>UOMEQ 1-2 CORNER 36 X 96</t>
  </si>
  <si>
    <t>UOMEQ 2-2 CORNER 36 X 96</t>
  </si>
  <si>
    <t>UOMEQ 2-5 CORNER 36 X 96</t>
  </si>
  <si>
    <t>UOMEQ 3-2 CORNER 36 X 96</t>
  </si>
  <si>
    <t>UOMEQ 3-5 CORNER 36 X 96</t>
  </si>
  <si>
    <t>UOMEQ 4-2 CORNER 36 X 96</t>
  </si>
  <si>
    <t>UOMEQ 4-5 CORNER 36 X 96</t>
  </si>
  <si>
    <t>MARSHALL LOGO D/G 48 X 96</t>
  </si>
  <si>
    <t>ELECTRIC WING TABLE D/G 48X96</t>
  </si>
  <si>
    <t>KUC T-3 D/G 48 X 96</t>
  </si>
  <si>
    <t>KUC T-5 D/G 48 X 96</t>
  </si>
  <si>
    <t>KUC T-9 D/G 48 X 96</t>
  </si>
  <si>
    <t>INDY U LOGO D/G 48 X 96</t>
  </si>
  <si>
    <t>KUC T-10 D/G 48 X 96</t>
  </si>
  <si>
    <t>KUC T-11 D/G 48 X 96</t>
  </si>
  <si>
    <t>KUC T-12 D/G 48 X 96</t>
  </si>
  <si>
    <t>KUC T-13 D/G 48 X 96</t>
  </si>
  <si>
    <t>KUC T-14 D/G 48 X 96</t>
  </si>
  <si>
    <t>ALASKA TABLES 36 X 96</t>
  </si>
  <si>
    <t>ALASKA TABLES 48 X 96</t>
  </si>
  <si>
    <t>MURREY ALASKA BKGRD 36 X 96</t>
  </si>
  <si>
    <t>I.S. TABLE TOP 36 X 96</t>
  </si>
  <si>
    <t>CHRIST HOSPITAL 48 X 96</t>
  </si>
  <si>
    <t>KOHANAIKI SHORES 48 X 96</t>
  </si>
  <si>
    <t>WOODYS TABLE TOPS 48 X 96</t>
  </si>
  <si>
    <t>GREEN LEAVES 48 X 96</t>
  </si>
  <si>
    <t>PALM TREE D/G 48 X 96</t>
  </si>
  <si>
    <t>PEDIATRIC CARTOON D/G 48 X 96</t>
  </si>
  <si>
    <t>BCCWH TI-700 D/G 48 X 96</t>
  </si>
  <si>
    <t>GREEN DOT TABLETOP D/G 48X96</t>
  </si>
  <si>
    <t>GRAFFITI  D/G 48 X 96</t>
  </si>
  <si>
    <t>ALLIED FOOSEBALL 48 1/2 X 29</t>
  </si>
  <si>
    <t>KNUCKLE FOOSEBALL 48 1/2 X 29</t>
  </si>
  <si>
    <t>MCDONALDS STONEWOOD 48 X 120</t>
  </si>
  <si>
    <t>EPIC ALICE G2  D/G 48 X 96</t>
  </si>
  <si>
    <t>FOX WHITE LINE D/G 48 X 96</t>
  </si>
  <si>
    <t>DIG/WK024 W/WAY 42 7/8 X 145 1</t>
  </si>
  <si>
    <t>IMAFUKU UV W/WAY 42 7/8 X 145</t>
  </si>
  <si>
    <t>KRAS VIP 1L W/WAY 42 7/8X145 1</t>
  </si>
  <si>
    <t>GELENDJIK W/WAY 42 7/8X145 1/4</t>
  </si>
  <si>
    <t>GELENDJIK S WALK 42 7/8 X 72</t>
  </si>
  <si>
    <t>ANVIL W/WAY 42 7/8X145 1/4</t>
  </si>
  <si>
    <t>WANDERER W/WAY 42 7/8X145 1/4</t>
  </si>
  <si>
    <t>STERLITAMAK W/WAY 42 7/8X145 1</t>
  </si>
  <si>
    <t>STERLITAMAK S WALK 42 7/8 X 72</t>
  </si>
  <si>
    <t>UPTOWN ALLEY WW 42 1/2X145.25</t>
  </si>
  <si>
    <t>UPTOWN ALLEY S WALK 42.5 X 58.</t>
  </si>
  <si>
    <t>UPTOWN ALLEY S WALK 24.12X58.5</t>
  </si>
  <si>
    <t>MC PYR MARBLE WW 42 1/2X145.25</t>
  </si>
  <si>
    <t>CALUNA CHR WW 42 1/2X145.25</t>
  </si>
  <si>
    <t>CHUCK/CHEESE HOC 33 3/4X63 3/4</t>
  </si>
  <si>
    <t>BRUNS HOCKEY PLAYFIELD 48 X 96</t>
  </si>
  <si>
    <t>DYNAMO RED STRIPE 48 X 96</t>
  </si>
  <si>
    <t>DYNAMO SMBG AIR HOCK 48 X 96</t>
  </si>
  <si>
    <t>SPECTRALITE D/G 48 X 120</t>
  </si>
  <si>
    <t>SPECTRALITE BB D/G 36 X 96</t>
  </si>
  <si>
    <t>SPECTRALITE BB D/G 48 X 120</t>
  </si>
  <si>
    <t>SPECTRALITE BB D/G 48 X 96</t>
  </si>
  <si>
    <t>SPECTRALITE  D/G 36 X 96</t>
  </si>
  <si>
    <t>IZONE D/G 48 X 120</t>
  </si>
  <si>
    <t>IZONE D/G 48 X 144</t>
  </si>
  <si>
    <t>IZONE D/G 48 X 96</t>
  </si>
  <si>
    <t>SPECTRALITE BB D/G 36 X 120</t>
  </si>
  <si>
    <t>SPECTRALITE BB D/G 48 X 144</t>
  </si>
  <si>
    <t>GEORGIA DC SIGNS 48 X 96</t>
  </si>
  <si>
    <t>SPECTRALITE BB D/G 36 X 144</t>
  </si>
  <si>
    <t>RGB PROM P1 D/G 48 X 120</t>
  </si>
  <si>
    <t>RGB PROM P4 D/G 48 X 120</t>
  </si>
  <si>
    <t>RGB PROM P7 D/G 48 X 120</t>
  </si>
  <si>
    <t>RGB PROM P11 D/G 48 X 144</t>
  </si>
  <si>
    <t>SPECTRALITE  BB D/G 36 X 96</t>
  </si>
  <si>
    <t>LOGO NAME PLATE 42 1/8X16 15/1</t>
  </si>
  <si>
    <t>SPRCTRALITE D/G 48 X 96</t>
  </si>
  <si>
    <t>TOBIN MENS 046 NRTH A 48X96</t>
  </si>
  <si>
    <t>TOBIN MENS 046 NRTH B 48X96</t>
  </si>
  <si>
    <t>TOBIN MENS 046 WEST 48X96</t>
  </si>
  <si>
    <t>TOBIN WOMNS 048 NRTH A 48X96</t>
  </si>
  <si>
    <t>TOBIN WOMNS 048 NRTH B 48X96</t>
  </si>
  <si>
    <t>TOBIN WOMNS 048 SO A 48X96</t>
  </si>
  <si>
    <t>TOBIN WOMNS 048 SO B 48X96</t>
  </si>
  <si>
    <t>TOBIN WOMNS 048 SO C 48X96</t>
  </si>
  <si>
    <t>TOBIN WOMNS 048 SO D 48X96</t>
  </si>
  <si>
    <t>TOBIN WOMNS 048 WEST 48X96</t>
  </si>
  <si>
    <t>TOBIN MENS 202 NRTH 48X96</t>
  </si>
  <si>
    <t>TOBIN WOMNS 206 NRTH 48X96</t>
  </si>
  <si>
    <t>TOBIN WOMNS 211 SO 48X96</t>
  </si>
  <si>
    <t>TOBIN WOMNS 211 WEST 48X96</t>
  </si>
  <si>
    <t>TOBIN MENS 363 NRTH 48X96</t>
  </si>
  <si>
    <t>TOBIN MENS 364 NRTH A 48X96</t>
  </si>
  <si>
    <t>TOBIN MENS 364 NRTH B 48X96</t>
  </si>
  <si>
    <t>TOBIN WOMNS 365 NRTH 48X96</t>
  </si>
  <si>
    <t>TOBIN WOMNS 365 WEST 48X96</t>
  </si>
  <si>
    <t>TOBIN WOMNS 366 NRTH A 48X96</t>
  </si>
  <si>
    <t>TOBIN WOMNS 366 NRTH B 48X96</t>
  </si>
  <si>
    <t>TOBIN WOMNS 366 SO 48X96</t>
  </si>
  <si>
    <t>TRU GREEN H/W 48 X 96</t>
  </si>
  <si>
    <t>TOTAL IMAGING H/W 36 X 96</t>
  </si>
  <si>
    <t>TOTAL IMAGING A  H/W 36 X 144</t>
  </si>
  <si>
    <t>TOTAL IMAGING B H/W 36 X 120</t>
  </si>
  <si>
    <t>TOTAL IMAGING C H/W 36 X 120</t>
  </si>
  <si>
    <t>TOTAL IMAGING D H/W 36 X 120</t>
  </si>
  <si>
    <t>TOTAL IMAGING E H/W 36 X 120</t>
  </si>
  <si>
    <t>TOTAL IMAGING F H/W 36 X 96</t>
  </si>
  <si>
    <t>TOTAL IMAGING G 48 X 120</t>
  </si>
  <si>
    <t>TOTAL IMAGING H 48 X 120</t>
  </si>
  <si>
    <t>TOTAL IMAGING I 48 X 120</t>
  </si>
  <si>
    <t>TOTAL IMAGING J 48 X 120</t>
  </si>
  <si>
    <t>TOTAL IMAGING K 48 X 120</t>
  </si>
  <si>
    <t>PAPA MURPHY'S PIZZA H/W 48 X 9</t>
  </si>
  <si>
    <t>PDG WILDLIFE H/W 48 X 96</t>
  </si>
  <si>
    <t>HOSPITAL SYSTEMS II H/W 48 X 9</t>
  </si>
  <si>
    <t>FOREST FLOOR H/W 48 X 96</t>
  </si>
  <si>
    <t>SALMON H/W DG 48 X 120</t>
  </si>
  <si>
    <t>ORCA H/W 48 X 96</t>
  </si>
  <si>
    <t>BEAR H/W 48 X 96</t>
  </si>
  <si>
    <t>EAGLE H/W 36 X 96</t>
  </si>
  <si>
    <t>EAGLE H/W 48 X 96</t>
  </si>
  <si>
    <t>CRAB H/W 48 X 96</t>
  </si>
  <si>
    <t>SISKIYOUS 4.3 H/W 36 X 96</t>
  </si>
  <si>
    <t>BCCWH T7-602  H/W 48 X 96</t>
  </si>
  <si>
    <t>SCHNEIDER DRIVER COUNT 48X144</t>
  </si>
  <si>
    <t>COWBOY 5 D/G H/W 48 X 120</t>
  </si>
  <si>
    <t>FELIX THE CAT D/G H/W 48 X 120</t>
  </si>
  <si>
    <t>CAMO BODIES D/G H/W 48 X 96</t>
  </si>
  <si>
    <t>CAMO SIDES D/G H/W 48 X 120</t>
  </si>
  <si>
    <t>FELIX TIE DIE D/G H/W 48 X 120</t>
  </si>
  <si>
    <t>MARTIN 420 GUITAR D/G H/W 48X9</t>
  </si>
  <si>
    <t>SACRED HEART III D/G 48 X 96</t>
  </si>
  <si>
    <t>SHRINERS MURAL H/W 48 X 96</t>
  </si>
  <si>
    <t>DS009/C2  48 X 96</t>
  </si>
  <si>
    <t>FROSTY WHITE M/B 36 X 120</t>
  </si>
  <si>
    <t>FROSTY WHITE M/B 36 X 96</t>
  </si>
  <si>
    <t>FROSTY WHITE M/B 48 X 120</t>
  </si>
  <si>
    <t>FROSTY WHITE M/B 48 X 96</t>
  </si>
  <si>
    <t>FROSTY WHITE M/B 48 X 108</t>
  </si>
  <si>
    <t>FROSTY WHITE MAG M/B 47.5 X 95</t>
  </si>
  <si>
    <t>UFP GOOD CATCH MB D/G 48 X 96</t>
  </si>
  <si>
    <t>UFP TEAM SUCESS MB D/G 48 X 96</t>
  </si>
  <si>
    <t>STEVENS CALENDAR MB D/G 48 X 9</t>
  </si>
  <si>
    <t>TREK ACROSS MAINE M/B 48X96</t>
  </si>
  <si>
    <t>BOP SEAL 48 X 120</t>
  </si>
  <si>
    <t>FCC FLOURISH D/G 48 X 96</t>
  </si>
  <si>
    <t>WURTH COUNTER FRONT 36 X 96</t>
  </si>
  <si>
    <t>CEDARS SINAI SOFT D/G 48 X 96</t>
  </si>
  <si>
    <t>TACO BELL BLACK V1 D/G 48 X 96</t>
  </si>
  <si>
    <t>TACO BELL BLACK V2 D/G 48 X 96</t>
  </si>
  <si>
    <t>ARC HOTEL ELEVTOR PAN 36 X 96</t>
  </si>
  <si>
    <t>TACO BELL BLACK V1-2 36 X 96</t>
  </si>
  <si>
    <t>CAROLE FABRICS GRID 48 X 96</t>
  </si>
  <si>
    <t>CHOC GREEN LEAVES 48 X 144</t>
  </si>
  <si>
    <t>CHOC ORANGE LEAVES 48 X 96</t>
  </si>
  <si>
    <t>CHOC RED  LEAVES 48 X 96</t>
  </si>
  <si>
    <t>CHOC YELLOW LEAVES 48 X 96</t>
  </si>
  <si>
    <t>CHOC BLUE LEAVES 48 X 96</t>
  </si>
  <si>
    <t>HARD ROCK TATOO D/G 48 X 96</t>
  </si>
  <si>
    <t>MANNS LEFT MADALION D/G 36X96</t>
  </si>
  <si>
    <t>MANNS LEFT MADALION D/G 48X96</t>
  </si>
  <si>
    <t>MANNS RIGHT MADALION D/G 36X96</t>
  </si>
  <si>
    <t>MANNS RIGHT MADALION D/G 48X96</t>
  </si>
  <si>
    <t>DANKU D/G 48 X 96</t>
  </si>
  <si>
    <t>MOONWALK 48 X 144</t>
  </si>
  <si>
    <t>WHATABURGER D/G 48 X 96</t>
  </si>
  <si>
    <t>WHATABURGER D/G 48 X 120</t>
  </si>
  <si>
    <t>NORTONS HOSPITAL D/G 36 X 96</t>
  </si>
  <si>
    <t>NORTON KCMC D/G 48 X 96</t>
  </si>
  <si>
    <t>SAM'S KNOB 1 TOP D/G 36 X 96</t>
  </si>
  <si>
    <t>SAM'S KNOB 2 TOP D/G 36 X 144</t>
  </si>
  <si>
    <t>SAM'S KNOB WOMENS D/G 48 X 96</t>
  </si>
  <si>
    <t>CHICAGO COIN NEW D/G 48 X 96</t>
  </si>
  <si>
    <t>WYLIE LIBRARY D/G 48 X 144</t>
  </si>
  <si>
    <t>WYLIE LIBRARY D/G 48 X 96</t>
  </si>
  <si>
    <t>FOSHAY LEARNING CEN 48 X 120</t>
  </si>
  <si>
    <t>FROSTY WHITE M/B 18 1/8X18 1/8</t>
  </si>
  <si>
    <t>FROSTY WHITE M/B 36 1/2X18 1/8</t>
  </si>
  <si>
    <t>JDT DIGITAL M/B 48 X 96</t>
  </si>
  <si>
    <t>FROSTY WHITE 15 X 15</t>
  </si>
  <si>
    <t>FROSTY WHITE 24 X 32</t>
  </si>
  <si>
    <t>FROSTY WHITE 24 1/2 X 24 1/2</t>
  </si>
  <si>
    <t>FROSTY WHITE 49 1/2 X 110</t>
  </si>
  <si>
    <t>FROSTY WHITE 16 X 24</t>
  </si>
  <si>
    <t>FROSTY WHITE 49 1/2</t>
  </si>
  <si>
    <t>WINE GLASSES D/G 36 X 96</t>
  </si>
  <si>
    <t>WINE GLASSES II D/G 48 X 96</t>
  </si>
  <si>
    <t>BLAST TABLE TOP D/G 36 X 96</t>
  </si>
  <si>
    <t>BLAST ROUND TABLES D/G 36X96</t>
  </si>
  <si>
    <t>GOLDEN BOWL II D/G 48 X 96</t>
  </si>
  <si>
    <t>DYNAMO HOT FLASH 48 X 96</t>
  </si>
  <si>
    <t>DYNAMO BLUE HOT FLASH 48 X 96</t>
  </si>
  <si>
    <t>DYNAMO MAIN EVENT HOC 48 X 96</t>
  </si>
  <si>
    <t>DYNAMO BLACK HOLE 48 X 96</t>
  </si>
  <si>
    <t>DYNAMO KINGS HOCKEY 48 X 96</t>
  </si>
  <si>
    <t>FRL BRUNS GRAPHICS 42 X 132</t>
  </si>
  <si>
    <t>FRL FED COM M-A P1 48 X 96</t>
  </si>
  <si>
    <t>FRL FED COM M-A P2 48 X 96</t>
  </si>
  <si>
    <t>FRL FED COM M-A P3 48 X 96</t>
  </si>
  <si>
    <t>FRL FED COM M-A P4 48 X 96</t>
  </si>
  <si>
    <t>FRL FED COM M-A P5 48 X 96</t>
  </si>
  <si>
    <t>FRL FED COM M-A P6 36 X 96</t>
  </si>
  <si>
    <t>FRL FED COM M-B P1 48 X 96</t>
  </si>
  <si>
    <t>FRL FED COM M-B P2 48 X 96</t>
  </si>
  <si>
    <t>FRL FED COM M-B P3 48 X 96</t>
  </si>
  <si>
    <t>FRL FED COM M-B P4 48 X 96</t>
  </si>
  <si>
    <t>FRL FED COM M-B P5 48 X 96</t>
  </si>
  <si>
    <t>FRL FED COM M-B P6 36 X 96</t>
  </si>
  <si>
    <t>FRL FED COM M-C P1 48 X 96</t>
  </si>
  <si>
    <t>FRL FED COM M-C P2 48 X 96</t>
  </si>
  <si>
    <t>FRL FED COM M-C P3 48 X 96</t>
  </si>
  <si>
    <t>FRL FED COM M-C P4 48 X 96</t>
  </si>
  <si>
    <t>FRL FED COM M-C P5 48 X 96</t>
  </si>
  <si>
    <t>FRL FED COM M-C P6 36 X 96</t>
  </si>
  <si>
    <t>FRL ROBESON HS MURALS 48 X 96</t>
  </si>
  <si>
    <t>FRL SUFFOLK MAP TABLE 48 X 96</t>
  </si>
  <si>
    <t>FRL SUFFOLK BRICK TABLE 48 X 9</t>
  </si>
  <si>
    <t>FRL SACRED HEART II 48 X 96</t>
  </si>
  <si>
    <t>FRL SPEEDY P1 48 X 96</t>
  </si>
  <si>
    <t>FRL SKYLINE OF ATLANTA 48 X 96</t>
  </si>
  <si>
    <t>FRL MAGEE HOSPITAL 36 X 96</t>
  </si>
  <si>
    <t>FRL MAGEE HOSPITAL 48 X 96</t>
  </si>
  <si>
    <t>FRL SAVANNAH MURAL 48 X 102</t>
  </si>
  <si>
    <t>FRL RAINFOREST M 48 1/2 X 102</t>
  </si>
  <si>
    <t>FRL QUOTE BOARD 48 X 96</t>
  </si>
  <si>
    <t>FRL HOSPITAL SYSTEMS 48 X 96</t>
  </si>
  <si>
    <t>FRL SHRINERS MURAL 48 X 84</t>
  </si>
  <si>
    <t>FRL MONROE HS BOARD 48 X 96</t>
  </si>
  <si>
    <t>FRL HILLCREST HS BOARD 48X96</t>
  </si>
  <si>
    <t>FRL CMC DAYTON YELLOW 48 X 96</t>
  </si>
  <si>
    <t>FRL CMC DAYTON YELLOW 36 X 96</t>
  </si>
  <si>
    <t>FRL CMC DAYTON PURPLE 48 X 96</t>
  </si>
  <si>
    <t>FRL CMC DAYTON PURPLE 36 X 120</t>
  </si>
  <si>
    <t>FRL CMC DAYTON PURPLE 48 X 120</t>
  </si>
  <si>
    <t>FRL CMC DAYTON PURPLE 36 X 96</t>
  </si>
  <si>
    <t>FRL CMC DAYTON GREEN 48 X 96</t>
  </si>
  <si>
    <t>FRL CMC DAYTON GREEN 36 X 96</t>
  </si>
  <si>
    <t>FRL CMC DAYTON BLUE 48 X 96</t>
  </si>
  <si>
    <t>FRL CMC DAYTON BLUE 48 X 120</t>
  </si>
  <si>
    <t>FRL CMC DAYTON BLUE 36 X 96</t>
  </si>
  <si>
    <t>FRL AURORA PARROTS 48 X 96</t>
  </si>
  <si>
    <t>FRL AURORA GIRAFFES 48 X 96</t>
  </si>
  <si>
    <t>FRL AURORA CHIMP 48 X 120</t>
  </si>
  <si>
    <t>FRL AURORA ELEPHANT 48 X 96</t>
  </si>
  <si>
    <t>FRL AURORA ELEPHANT II 48 X 96</t>
  </si>
  <si>
    <t>FRL AURORA ELEPHANT III 48X96</t>
  </si>
  <si>
    <t>FRL STEVENSON HS BOARD 48X96</t>
  </si>
  <si>
    <t>FRL SALMON DG 36 X 120</t>
  </si>
  <si>
    <t>FRL ORCA DG 36 X 96</t>
  </si>
  <si>
    <t>FRL EAGLE 36 X 96</t>
  </si>
  <si>
    <t>FRL BRODY HALL 48 X 96</t>
  </si>
  <si>
    <t>FRL BRODY HALL WC-15 48 X 144</t>
  </si>
  <si>
    <t>FRL BRODY HALL WC-9 48 X 96</t>
  </si>
  <si>
    <t>FRL RUSH HOSPITAL WG-16 48X120</t>
  </si>
  <si>
    <t>FRL RUSH HOSPITAL WG-17 48X120</t>
  </si>
  <si>
    <t>FRL RUSH HOSPITAL WG-18 48X120</t>
  </si>
  <si>
    <t>FRL RUSH HOSPITAL WG-20 48X96</t>
  </si>
  <si>
    <t>FRL PS 126 LIBRARY D/G 48 X 96</t>
  </si>
  <si>
    <t>FRL PHASE 3 CAFE 48 X 120</t>
  </si>
  <si>
    <t>FRL PS-15 HALL 48 X 96</t>
  </si>
  <si>
    <t>FRL CARNEY HOSPITAL 48 X 96</t>
  </si>
  <si>
    <t>FRL SISKIYOUS 1.1     36 X 96</t>
  </si>
  <si>
    <t>FRL SISKIYOUS 2.1     48 X 120</t>
  </si>
  <si>
    <t>FRL SISKIYOUS 4.3     36 X 96</t>
  </si>
  <si>
    <t>FRL SISKIYOUS 7.5     36 X 96</t>
  </si>
  <si>
    <t>FRL SISKIYOUS 8.6     36 X 96</t>
  </si>
  <si>
    <t>FRL SISKIYOUS 9.7     36 X 96</t>
  </si>
  <si>
    <t>FRL SISKIYOUS 16.11     36 X 9</t>
  </si>
  <si>
    <t>FRL SISKIYOUS 18.12     36 X 9</t>
  </si>
  <si>
    <t>FRL SISKIYOUS 18.12     48 X 9</t>
  </si>
  <si>
    <t>FRL B/STATE POD A GREEN 48X120</t>
  </si>
  <si>
    <t>FRL B/STATE POD B RAISIN 48X12</t>
  </si>
  <si>
    <t>FRL B/STATE POD C BLUE 48X120</t>
  </si>
  <si>
    <t>FRL B/STATE POD D CINN 48X120</t>
  </si>
  <si>
    <t>FRL B/STATE DBL DOORS 48X120</t>
  </si>
  <si>
    <t>FRL B/STATE DBL DOORS 48 X 96</t>
  </si>
  <si>
    <t>FRL WELLIES 48 X 96</t>
  </si>
  <si>
    <t>FRL BAYSTATE IMAGING 36 X 96</t>
  </si>
  <si>
    <t>FRL BAYSTATE IMAGING 48 X 96</t>
  </si>
  <si>
    <t>FRL BAY ST ASSESMENT RMS 48 X</t>
  </si>
  <si>
    <t>FRL  MATTAPAN HEALTH  48 X 96</t>
  </si>
  <si>
    <t>FRL SCH LEVEL 3-1 48X120</t>
  </si>
  <si>
    <t>FRL SCH LEVEL 3.2A 48X120</t>
  </si>
  <si>
    <t>FRL PEGULA ICE ARENA 48 X 120</t>
  </si>
  <si>
    <t>FRL COLLEGE - REDWOODS 36X96</t>
  </si>
  <si>
    <t>FRL ASTRO BOOM III 48 X 96</t>
  </si>
  <si>
    <t>FRL KCU PHASE T1 48 X 96</t>
  </si>
  <si>
    <t>FRL OHSU 13TH FLOOR MUR 48X96</t>
  </si>
  <si>
    <t>FRL UOMSQ 48 X 96</t>
  </si>
  <si>
    <t>FRL LOYOLA ED RM 1 48 X 120</t>
  </si>
  <si>
    <t>FRL LOYOLA ED RM 2 48 X 120</t>
  </si>
  <si>
    <t>FRL LOYOLA ED RM 3 48 X 120</t>
  </si>
  <si>
    <t>FRL LOYOLA ED CORR 1 48 X 96</t>
  </si>
  <si>
    <t>FRL LOYOLA ED CORR 2 48 X 96</t>
  </si>
  <si>
    <t>FRL NE METRO GRN LEAF 48X96</t>
  </si>
  <si>
    <t>FRL NE METRO BLUE RIP 48X96</t>
  </si>
  <si>
    <t>FRL NE METRO YELO WHEAT 48X96</t>
  </si>
  <si>
    <t>FRL NE METRO ORNG ROCK 48X96</t>
  </si>
  <si>
    <t>FRL BERKLEY N/STATION 48 X 96</t>
  </si>
  <si>
    <t>FRL BERKLEY NICU NORTH 48 X 96</t>
  </si>
  <si>
    <t>FRL BERKLEY NICU SOUTH 48 X 96</t>
  </si>
  <si>
    <t>FRL BERKLEY INFANT RM 48 X 96</t>
  </si>
  <si>
    <t>FRL BERKLEY ISOLATION RM 48 X</t>
  </si>
  <si>
    <t>FRL CHCH 5309 EAST 48 X 96</t>
  </si>
  <si>
    <t>FRL HARDIN HOSPITAL 48 X 96</t>
  </si>
  <si>
    <t>FRL CHOC 5TH FLOOR 48 X 120</t>
  </si>
  <si>
    <t>FRL CHOC 5TH FLOOR 48 X 96</t>
  </si>
  <si>
    <t>FRL PROVIDENCE 3028-3 48 X 96</t>
  </si>
  <si>
    <t>FRL PROVIDENCE 3028-4 48 X 96</t>
  </si>
  <si>
    <t>FRL PROVIDENCE 3106-5 48 X 96</t>
  </si>
  <si>
    <t>FRL PROVIDENCE 3106-6 48 X 96</t>
  </si>
  <si>
    <t>FRL PROVIDENCE NURSE 48 X 96</t>
  </si>
  <si>
    <t>FRL BAYSTATE 5TH FLOOR 48X120</t>
  </si>
  <si>
    <t>FRL BAYSTATE 6TH FLOOR 48X96</t>
  </si>
  <si>
    <t>FRL BAYSTATE 7TH FLOOR 48X120</t>
  </si>
  <si>
    <t>FRL ND PACU 1 48X120</t>
  </si>
  <si>
    <t>FRL ND PACU 2 48X120</t>
  </si>
  <si>
    <t>FRL ND PACU 3 48X120</t>
  </si>
  <si>
    <t>FRL COFFEE BEANERY 48 X 120</t>
  </si>
  <si>
    <t>FRL NATRONA HS MURAL 48 X 96</t>
  </si>
  <si>
    <t>UM DAISY FRL 48 X 96</t>
  </si>
  <si>
    <t>FRL NOR LEA FRL 48 X 96</t>
  </si>
  <si>
    <t>FRL OCH MAIN ENT 48 X 120</t>
  </si>
  <si>
    <t>MCD ORLANDO G-02 FRL 48X96</t>
  </si>
  <si>
    <t>MCD ORLANDO G-03 FRL 48X96</t>
  </si>
  <si>
    <t>MCD ORLANDO G-04 FRL 48X96</t>
  </si>
  <si>
    <t>FRL KETCHIKEN 2100 NORTH 48 X</t>
  </si>
  <si>
    <t>FRL KETCHIKEN 1364 NORTH 48 X</t>
  </si>
  <si>
    <t>FRL KETCHIKEN G101 NORTH 48 X</t>
  </si>
  <si>
    <t>FRL KETCHIKEN S100 NORTH 48 X</t>
  </si>
  <si>
    <t>FRL KETCHIKEN S102 NORTH 48 X</t>
  </si>
  <si>
    <t>FRL REDI MED MURAL 48 X 120</t>
  </si>
  <si>
    <t>FRL RICHELIEU VANCOVER 48X96</t>
  </si>
  <si>
    <t>FRL UCHC PATIENT TOWER 48 X 12</t>
  </si>
  <si>
    <t>ICH PEDS CATH A1 48 X 96</t>
  </si>
  <si>
    <t>ICH PEDS CATH A2 48 X 96</t>
  </si>
  <si>
    <t>ICH PEDS CATH A3 48 X 96</t>
  </si>
  <si>
    <t>ICH PEDS CATH A5 48 X 96</t>
  </si>
  <si>
    <t>FRL PT HERSHEY MED 48 X 96</t>
  </si>
  <si>
    <t>FRL ARBOR HEIGHTS STEAM 48X96</t>
  </si>
  <si>
    <t>FRL ARBOR HEIGHTS WATER 48X96</t>
  </si>
  <si>
    <t>FRL ARBOR HEIGHTS FIRE 48X96</t>
  </si>
  <si>
    <t>FRL ARBOR HEIGHTS EARTH 48X96</t>
  </si>
  <si>
    <t>FRL ARBOR HEIGHTS AIR 48X96</t>
  </si>
  <si>
    <t>FRL ARBOR HEIGHTS SPACE 48X96</t>
  </si>
  <si>
    <t>FRL ARBOR HEIGHTS NAUT 48X96</t>
  </si>
  <si>
    <t>FRL CHCH PHASE 4 48 X 96</t>
  </si>
  <si>
    <t>FRL CHCH PICU WAITING 48 X 96</t>
  </si>
  <si>
    <t>PINEHURST EARTH WALL 48X120</t>
  </si>
  <si>
    <t>PINEHURST EQUATION 48 X 120</t>
  </si>
  <si>
    <t>BCCWH T1-518 SOUTH 48 X 120</t>
  </si>
  <si>
    <t>BCCWH T1-518 WEST 48 X 120</t>
  </si>
  <si>
    <t>BCCWH T1-518 NORTH 48 X 120</t>
  </si>
  <si>
    <t>BCCWH T1-518 EAST 48 X 120</t>
  </si>
  <si>
    <t>BCCWH T6-500 SOUTH 48 X 96</t>
  </si>
  <si>
    <t>BCCWH T6-900 EAST 48 X 96</t>
  </si>
  <si>
    <t>BCCWH T6-608 NORTH 48 X 96</t>
  </si>
  <si>
    <t>BCCWH T1-812 SPACE CEN 48 X 12</t>
  </si>
  <si>
    <t>BCCWH T1-238 SEDATION 48 X 120</t>
  </si>
  <si>
    <t>BCCWH T6-302 CORR 48 X 96</t>
  </si>
  <si>
    <t>BCCWH T6-602 48 X 96</t>
  </si>
  <si>
    <t>MAKE PIZZA REST FRL 48 X 96</t>
  </si>
  <si>
    <t>BCCWH T1-700 FRL 48 X 96</t>
  </si>
  <si>
    <t>BCCWH T4-505 FRL 48 X 96</t>
  </si>
  <si>
    <t>BCCWH T6-523 FRL 48 X 120</t>
  </si>
  <si>
    <t>BCCWH T6-601 FRL 48 X 96</t>
  </si>
  <si>
    <t>BCCWH T7-201 FRL 48 X 96</t>
  </si>
  <si>
    <t>BCCWH T7-302 FRL 48 X 96</t>
  </si>
  <si>
    <t>BCCWH T7-500 FRL 48 X 96</t>
  </si>
  <si>
    <t>BCCWH T7-602 FRL 48 X 96</t>
  </si>
  <si>
    <t>BCCWH T7-725 FRL 48 X 120</t>
  </si>
  <si>
    <t>BCCWH T7-725 FRL 48 X 96</t>
  </si>
  <si>
    <t>BCCWH T8-319 FRL 48 X 120</t>
  </si>
  <si>
    <t>BCCWH T8-900 FRL 48 X 96</t>
  </si>
  <si>
    <t>SCH RIVER MURAL FRL 48 X 120</t>
  </si>
  <si>
    <t>BAYSTATE ED PL-6 FRL 48 X 96</t>
  </si>
  <si>
    <t>BAYSTATE ED PL-7 FRL 48 X 96</t>
  </si>
  <si>
    <t>ADENA MED HEADWALL FRL 48X120</t>
  </si>
  <si>
    <t>SLSD ELEMENTARY FRL 48 X 96</t>
  </si>
  <si>
    <t>STANTON MED L1 - ED 48 X 120</t>
  </si>
  <si>
    <t>ST CHARLES FRL-1 48 X 120</t>
  </si>
  <si>
    <t>ST CHARLES FRL-1A 48 X 120</t>
  </si>
  <si>
    <t>ST CHARLES FRL-3 BLUE 48 X 96</t>
  </si>
  <si>
    <t>ST CHARLES FRL-3 GREEN 48 X 96</t>
  </si>
  <si>
    <t>ST CHARLES FRL-3 BLUE SM 48 X</t>
  </si>
  <si>
    <t>ST CHARLES FRL-3 GREEN SM 48 X</t>
  </si>
  <si>
    <t>MILFORD HOSPITAL RM 3 48 X 96</t>
  </si>
  <si>
    <t>MILFORD HOSPITAL RM 1 48 X 96</t>
  </si>
  <si>
    <t>MILFORD HOSPITAL RM 2 48 X 96</t>
  </si>
  <si>
    <t>MILFORD HOSP END COR 48 X 96</t>
  </si>
  <si>
    <t>MILFORD HOSP COR CORNER 48 X 9</t>
  </si>
  <si>
    <t>BAYSTATE CORRIDOR 48 X 96</t>
  </si>
  <si>
    <t>GOLDEN WEST 114 48 X 120</t>
  </si>
  <si>
    <t>GOLDEN WEST 140 48 X 120</t>
  </si>
  <si>
    <t>GOLDEN WEST 160A 48 X 120</t>
  </si>
  <si>
    <t>GOLDEN WEST 160B 48 X 120</t>
  </si>
  <si>
    <t>GOLDEN WEST 250A 48 X 120</t>
  </si>
  <si>
    <t>GOLDEN WEST 250B 48 X 120</t>
  </si>
  <si>
    <t>GOLDEN WEST 318 48 X 120</t>
  </si>
  <si>
    <t>GOLDEN WEST 344A 48 X 120</t>
  </si>
  <si>
    <t>GOLDEN WEST 344B 48 X 120</t>
  </si>
  <si>
    <t>GOLDEN WEST 344C 48 X 120</t>
  </si>
  <si>
    <t>GOLDEN WEST 344D 48 X 120</t>
  </si>
  <si>
    <t>GOLDEN WEST 300 48 X 120</t>
  </si>
  <si>
    <t>SJUSD DYER K AFRICA 48 X 96</t>
  </si>
  <si>
    <t>SJUSD DYER K ASIA 48 X 96</t>
  </si>
  <si>
    <t>SJUSD DYER K AUSTRALIA 48 X 96</t>
  </si>
  <si>
    <t>SJUSD DYER K EUROPE 36 X 96</t>
  </si>
  <si>
    <t>SJUSD DYER K S AMERICA 36 X 96</t>
  </si>
  <si>
    <t>SJUSD DYER K S AMERICA 48 X 96</t>
  </si>
  <si>
    <t>SJUSD DYER K ANTARCTICA 48 X 9</t>
  </si>
  <si>
    <t>ENOCH GRAPHIC #6  48 X 96</t>
  </si>
  <si>
    <t>FERRUCI MS L2 STAIRWALL 48 X 9</t>
  </si>
  <si>
    <t>FERRUCI MS L1 GYM ENT 48 X 120</t>
  </si>
  <si>
    <t>FERRUCI MS L2 UPPER 48 X 120</t>
  </si>
  <si>
    <t>J06R0490PRAE</t>
  </si>
  <si>
    <t>J16RB328PYBL</t>
  </si>
  <si>
    <t>J16RB386PYBL</t>
  </si>
  <si>
    <t>J16RB394PYBL</t>
  </si>
  <si>
    <t>J16RB502PYBL</t>
  </si>
  <si>
    <t>J29IRAING4801</t>
  </si>
  <si>
    <t>J29R0006N4801</t>
  </si>
  <si>
    <t>J29R0006N480</t>
  </si>
  <si>
    <t>J29R0009N480</t>
  </si>
  <si>
    <t>J29R0049N400</t>
  </si>
  <si>
    <t>J29R0051N420</t>
  </si>
  <si>
    <t>J29R0052N420</t>
  </si>
  <si>
    <t>J29R0055N380</t>
  </si>
  <si>
    <t>J29R0056N480</t>
  </si>
  <si>
    <t>J29R0057N380</t>
  </si>
  <si>
    <t>J29R0058N480</t>
  </si>
  <si>
    <t>J29R0060N400</t>
  </si>
  <si>
    <t>J29R0062N400</t>
  </si>
  <si>
    <t>J29R0113N400</t>
  </si>
  <si>
    <t>J29R0119N380</t>
  </si>
  <si>
    <t>J29R0122N480</t>
  </si>
  <si>
    <t>J29R0123N400</t>
  </si>
  <si>
    <t>J29R0124N420</t>
  </si>
  <si>
    <t>J29R0144N480</t>
  </si>
  <si>
    <t>J29R0145G4801</t>
  </si>
  <si>
    <t>J29R0189N480</t>
  </si>
  <si>
    <t>J29R0190NNYM</t>
  </si>
  <si>
    <t>J29R0191NNYM</t>
  </si>
  <si>
    <t>J29R0192NTBK</t>
  </si>
  <si>
    <t>J29R0201N480</t>
  </si>
  <si>
    <t>J29R0213N480</t>
  </si>
  <si>
    <t>J29R0214N480</t>
  </si>
  <si>
    <t>J29R0220N480</t>
  </si>
  <si>
    <t>J29R0224N480</t>
  </si>
  <si>
    <t>J29R0226N480</t>
  </si>
  <si>
    <t>J29R0227N480</t>
  </si>
  <si>
    <t>J29R0228N480</t>
  </si>
  <si>
    <t>J29R0251N370</t>
  </si>
  <si>
    <t>J29R0251N400</t>
  </si>
  <si>
    <t>J29R0251N470</t>
  </si>
  <si>
    <t>J29R0275N480</t>
  </si>
  <si>
    <t>J29R0294N400</t>
  </si>
  <si>
    <t>J29R0294N480</t>
  </si>
  <si>
    <t>J29R0354G4801</t>
  </si>
  <si>
    <t>J29R0484MG4801</t>
  </si>
  <si>
    <t>J29R0484MG480</t>
  </si>
  <si>
    <t>J29R0484U4801</t>
  </si>
  <si>
    <t>J29R0484U480</t>
  </si>
  <si>
    <t>J29R0504CR400</t>
  </si>
  <si>
    <t>J29R0504J400</t>
  </si>
  <si>
    <t>J29R0505CR400</t>
  </si>
  <si>
    <t>J29R0505J400</t>
  </si>
  <si>
    <t>J29R0506CR400</t>
  </si>
  <si>
    <t>J29R0506J400</t>
  </si>
  <si>
    <t>J29R0507CR400</t>
  </si>
  <si>
    <t>J29R0507J400</t>
  </si>
  <si>
    <t>J29R0519N400</t>
  </si>
  <si>
    <t>J29R0519SD400</t>
  </si>
  <si>
    <t>J29R0520N400</t>
  </si>
  <si>
    <t>J29R0520SD400</t>
  </si>
  <si>
    <t>J29R0521N400</t>
  </si>
  <si>
    <t>J29R0521SD400</t>
  </si>
  <si>
    <t>J29R0522N400</t>
  </si>
  <si>
    <t>J29R0522SD400</t>
  </si>
  <si>
    <t>J29R0595N480</t>
  </si>
  <si>
    <t>J29R0595SD480</t>
  </si>
  <si>
    <t>J29R0625SD480</t>
  </si>
  <si>
    <t>J29R0721SM480</t>
  </si>
  <si>
    <t>J29R0722SD480</t>
  </si>
  <si>
    <t>J29R0769SD480</t>
  </si>
  <si>
    <t>J29R0770SD480</t>
  </si>
  <si>
    <t>J29R0775SD400</t>
  </si>
  <si>
    <t>J29R0811SD380</t>
  </si>
  <si>
    <t>J29R0825SD480</t>
  </si>
  <si>
    <t>J29R0839SD420</t>
  </si>
  <si>
    <t>J29R0867GL4001</t>
  </si>
  <si>
    <t>J29R0902SD480</t>
  </si>
  <si>
    <t>J37R0619N300</t>
  </si>
  <si>
    <t>J37R0619SD300</t>
  </si>
  <si>
    <t>J37R0620N300</t>
  </si>
  <si>
    <t>J37R0620SD300</t>
  </si>
  <si>
    <t>J37R0621N300</t>
  </si>
  <si>
    <t>J37R0621SD300</t>
  </si>
  <si>
    <t>J37R0647SD400</t>
  </si>
  <si>
    <t>J37R0647SD480</t>
  </si>
  <si>
    <t>J37R0727SD480</t>
  </si>
  <si>
    <t>J37R0728SD480</t>
  </si>
  <si>
    <t>J37R0729SD480</t>
  </si>
  <si>
    <t>J37R0734SD480</t>
  </si>
  <si>
    <t>J37R0748SD300</t>
  </si>
  <si>
    <t>J37R0754SD480</t>
  </si>
  <si>
    <t>J37R0762SD480</t>
  </si>
  <si>
    <t>J37R0766SD480</t>
  </si>
  <si>
    <t>J37R0767SD400</t>
  </si>
  <si>
    <t>J37R0793SD320</t>
  </si>
  <si>
    <t>J37R0793SD380</t>
  </si>
  <si>
    <t>J41RB500PM93</t>
  </si>
  <si>
    <t>J41RB501PM94</t>
  </si>
  <si>
    <t>J41RB502PM90</t>
  </si>
  <si>
    <t>J41RB609PM93</t>
  </si>
  <si>
    <t>J41RB610PM94</t>
  </si>
  <si>
    <t>J41RB611PM90</t>
  </si>
  <si>
    <t>J41RB617PM93</t>
  </si>
  <si>
    <t>J41RB618PM94</t>
  </si>
  <si>
    <t>J41RB619PM90</t>
  </si>
  <si>
    <t>J42RB317ASWG</t>
  </si>
  <si>
    <t>J42RB322PB36</t>
  </si>
  <si>
    <t>J42RB323PB36</t>
  </si>
  <si>
    <t>J42RB456ASWG</t>
  </si>
  <si>
    <t>J42RB480ASWG</t>
  </si>
  <si>
    <t>J42RB481AB24</t>
  </si>
  <si>
    <t>J42RB492ASWG</t>
  </si>
  <si>
    <t>J42RB493AB24</t>
  </si>
  <si>
    <t>J42RB507PB36</t>
  </si>
  <si>
    <t>J42RB508PB36</t>
  </si>
  <si>
    <t>J42RB525ASWG</t>
  </si>
  <si>
    <t>J48IABCEN300</t>
  </si>
  <si>
    <t>J48IABCEN480</t>
  </si>
  <si>
    <t>J48IAR01N400</t>
  </si>
  <si>
    <t>J48IAR02N400</t>
  </si>
  <si>
    <t>J48IAR03N400</t>
  </si>
  <si>
    <t>J48IAR04N400</t>
  </si>
  <si>
    <t>J48IAR05N400</t>
  </si>
  <si>
    <t>J48IAR06N400</t>
  </si>
  <si>
    <t>J48IAR07N400</t>
  </si>
  <si>
    <t>J48IAR08N400</t>
  </si>
  <si>
    <t>J48IAR09N400</t>
  </si>
  <si>
    <t>J48IAR10N400</t>
  </si>
  <si>
    <t>J48IAR11N400</t>
  </si>
  <si>
    <t>J48IAR12N400</t>
  </si>
  <si>
    <t>J48IAR13N400</t>
  </si>
  <si>
    <t>J48IAR14N400</t>
  </si>
  <si>
    <t>J48IAR15N400</t>
  </si>
  <si>
    <t>J48IAR16N400</t>
  </si>
  <si>
    <t>J48IAR17N400</t>
  </si>
  <si>
    <t>J48IBB01N480</t>
  </si>
  <si>
    <t>J48IGG01N400</t>
  </si>
  <si>
    <t>J48IMISCG3201</t>
  </si>
  <si>
    <t>J48IMISCG3801</t>
  </si>
  <si>
    <t>J48IMISCG4001</t>
  </si>
  <si>
    <t>J48IMISCG4801</t>
  </si>
  <si>
    <t>J48IMISCG480</t>
  </si>
  <si>
    <t>J48IMISCN300</t>
  </si>
  <si>
    <t>J48IMISCN320</t>
  </si>
  <si>
    <t>J48IMISCN380</t>
  </si>
  <si>
    <t>J48IMISCN400</t>
  </si>
  <si>
    <t>J48IMISCN420</t>
  </si>
  <si>
    <t>J48IMISCN480</t>
  </si>
  <si>
    <t>J48IMISCS400</t>
  </si>
  <si>
    <t>J48IMISCS420</t>
  </si>
  <si>
    <t>J48IMISCS440</t>
  </si>
  <si>
    <t>J48IMISCS480</t>
  </si>
  <si>
    <t>J48IRAING3801</t>
  </si>
  <si>
    <t>J48ISMP1G480</t>
  </si>
  <si>
    <t>J48ISMP1N480</t>
  </si>
  <si>
    <t>J48ISMP1U480</t>
  </si>
  <si>
    <t>J48ISMP2N480</t>
  </si>
  <si>
    <t>J48ISPECJ480</t>
  </si>
  <si>
    <t>J48ISPECN300</t>
  </si>
  <si>
    <t>J48ISPECN380</t>
  </si>
  <si>
    <t>J48ISPECN400</t>
  </si>
  <si>
    <t>J48ISPECN420</t>
  </si>
  <si>
    <t>J48ISPECN480</t>
  </si>
  <si>
    <t>J48ISWANN400</t>
  </si>
  <si>
    <t>J48ISWANN420</t>
  </si>
  <si>
    <t>J48PL09LN480</t>
  </si>
  <si>
    <t>J48PL09RN480</t>
  </si>
  <si>
    <t>J48PL10LN480</t>
  </si>
  <si>
    <t>J48PL10RN480</t>
  </si>
  <si>
    <t>J48PL11LN480</t>
  </si>
  <si>
    <t>J48PL11RN480</t>
  </si>
  <si>
    <t>J48PL12LN480</t>
  </si>
  <si>
    <t>J48PL12RN480</t>
  </si>
  <si>
    <t>J48R0003N4801</t>
  </si>
  <si>
    <t>J48R0003N480</t>
  </si>
  <si>
    <t>J48R0004N4801</t>
  </si>
  <si>
    <t>J48R0004N480</t>
  </si>
  <si>
    <t>J48R0005N4801</t>
  </si>
  <si>
    <t>J48R0005N480</t>
  </si>
  <si>
    <t>J48R0007N300</t>
  </si>
  <si>
    <t>J48R0007N320</t>
  </si>
  <si>
    <t>J48R0007N380</t>
  </si>
  <si>
    <t>J48R0010N4801</t>
  </si>
  <si>
    <t>J48R0010N480</t>
  </si>
  <si>
    <t>J48R0014N380</t>
  </si>
  <si>
    <t>J48R0015N380</t>
  </si>
  <si>
    <t>J48R0016N380</t>
  </si>
  <si>
    <t>J48R0017N320</t>
  </si>
  <si>
    <t>J48R0018N320</t>
  </si>
  <si>
    <t>J48R0019N4801</t>
  </si>
  <si>
    <t>J48R0020N4801</t>
  </si>
  <si>
    <t>J48R0021N4801</t>
  </si>
  <si>
    <t>J48R0022N4001</t>
  </si>
  <si>
    <t>J48R0024N4801</t>
  </si>
  <si>
    <t>J48R0028N480</t>
  </si>
  <si>
    <t>J48R0032G3001</t>
  </si>
  <si>
    <t>J48R0046G4001</t>
  </si>
  <si>
    <t>J48R0063N380</t>
  </si>
  <si>
    <t>J48R0064N400</t>
  </si>
  <si>
    <t>J48R0099N300</t>
  </si>
  <si>
    <t>J48R0099N400</t>
  </si>
  <si>
    <t>J48R0100N480</t>
  </si>
  <si>
    <t>J48R0113N400</t>
  </si>
  <si>
    <t>J48R0128N480</t>
  </si>
  <si>
    <t>J48R0129N300</t>
  </si>
  <si>
    <t>J48R0130N3001</t>
  </si>
  <si>
    <t>J48R0141N480</t>
  </si>
  <si>
    <t>J48R0142N480</t>
  </si>
  <si>
    <t>J48R0143N320</t>
  </si>
  <si>
    <t>J48R0145G4801</t>
  </si>
  <si>
    <t>J48R0150N420</t>
  </si>
  <si>
    <t>J48R0151N480</t>
  </si>
  <si>
    <t>J48R0152N480</t>
  </si>
  <si>
    <t>J48R0153N480</t>
  </si>
  <si>
    <t>J48R0158C400</t>
  </si>
  <si>
    <t>J48R0159C320</t>
  </si>
  <si>
    <t>J48R0160C480</t>
  </si>
  <si>
    <t>J48R0164N480</t>
  </si>
  <si>
    <t>J48R0165N480</t>
  </si>
  <si>
    <t>J48R0166N480</t>
  </si>
  <si>
    <t>J48R0167N480</t>
  </si>
  <si>
    <t>J48R0168N480</t>
  </si>
  <si>
    <t>J48R0169N480</t>
  </si>
  <si>
    <t>J48R0170N480</t>
  </si>
  <si>
    <t>J48R0175N480</t>
  </si>
  <si>
    <t>J48R0184N480</t>
  </si>
  <si>
    <t>J48R0196N480</t>
  </si>
  <si>
    <t>J48R0202N480</t>
  </si>
  <si>
    <t>J48R0204N420</t>
  </si>
  <si>
    <t>J48R0205N420</t>
  </si>
  <si>
    <t>J48R0215G3001</t>
  </si>
  <si>
    <t>J48R0216G3201</t>
  </si>
  <si>
    <t>J48R0218N480</t>
  </si>
  <si>
    <t>J48R0222N480</t>
  </si>
  <si>
    <t>J48R0229N480</t>
  </si>
  <si>
    <t>J48R0236N480</t>
  </si>
  <si>
    <t>J48R0243N480</t>
  </si>
  <si>
    <t>J48R0264N480</t>
  </si>
  <si>
    <t>J48R0266N380</t>
  </si>
  <si>
    <t>J48R0267N380</t>
  </si>
  <si>
    <t>J48R0268N380</t>
  </si>
  <si>
    <t>J48R0269N480</t>
  </si>
  <si>
    <t>J48R0270N480</t>
  </si>
  <si>
    <t>J48R0271N480</t>
  </si>
  <si>
    <t>J48R0272N480</t>
  </si>
  <si>
    <t>J48R0274N400</t>
  </si>
  <si>
    <t>J48R0276C480</t>
  </si>
  <si>
    <t>J48R0278N480</t>
  </si>
  <si>
    <t>J48R0280N480</t>
  </si>
  <si>
    <t>J48R0282N400</t>
  </si>
  <si>
    <t>J48R0282N480</t>
  </si>
  <si>
    <t>J48R0291N380</t>
  </si>
  <si>
    <t>J48R0292U080</t>
  </si>
  <si>
    <t>J48R0299N380</t>
  </si>
  <si>
    <t>J48R0299N460</t>
  </si>
  <si>
    <t>J48R0299N480</t>
  </si>
  <si>
    <t>J48R0313N480</t>
  </si>
  <si>
    <t>J48R0323N380</t>
  </si>
  <si>
    <t>J48R0361N480</t>
  </si>
  <si>
    <t>J48R0362N320</t>
  </si>
  <si>
    <t>J48R0364N480</t>
  </si>
  <si>
    <t>J48R0365N300</t>
  </si>
  <si>
    <t>J48R0373N380</t>
  </si>
  <si>
    <t>J48R0374N380</t>
  </si>
  <si>
    <t>J48R0375N380</t>
  </si>
  <si>
    <t>J48R0376N380</t>
  </si>
  <si>
    <t>J48R0377N380</t>
  </si>
  <si>
    <t>J48R0378N380</t>
  </si>
  <si>
    <t>J48R0379N380</t>
  </si>
  <si>
    <t>J48R0380N380</t>
  </si>
  <si>
    <t>J48R0381N380</t>
  </si>
  <si>
    <t>J48R0382N380</t>
  </si>
  <si>
    <t>J48R0383N380</t>
  </si>
  <si>
    <t>J48R0384N380</t>
  </si>
  <si>
    <t>J48R0385N380</t>
  </si>
  <si>
    <t>J48R0386N380</t>
  </si>
  <si>
    <t>J48R0387N380</t>
  </si>
  <si>
    <t>J48R0388N380</t>
  </si>
  <si>
    <t>J48R0389N380</t>
  </si>
  <si>
    <t>J48R0393N480</t>
  </si>
  <si>
    <t>J48R0419N480</t>
  </si>
  <si>
    <t>J48R0419SD480</t>
  </si>
  <si>
    <t>J48R0425N480</t>
  </si>
  <si>
    <t>J48R0425SD480</t>
  </si>
  <si>
    <t>J48R0426N480</t>
  </si>
  <si>
    <t>J48R0426SD480</t>
  </si>
  <si>
    <t>J48R0427N480</t>
  </si>
  <si>
    <t>J48R0427SD480</t>
  </si>
  <si>
    <t>J48R0431N480</t>
  </si>
  <si>
    <t>J48R0431SD480</t>
  </si>
  <si>
    <t>J48R0435N480</t>
  </si>
  <si>
    <t>J48R0435SD480</t>
  </si>
  <si>
    <t>J48R0436N480</t>
  </si>
  <si>
    <t>J48R0436SD480</t>
  </si>
  <si>
    <t>J48R0437N480</t>
  </si>
  <si>
    <t>J48R0437SD480</t>
  </si>
  <si>
    <t>J48R0438N480</t>
  </si>
  <si>
    <t>J48R0438SD480</t>
  </si>
  <si>
    <t>J48R0439N480</t>
  </si>
  <si>
    <t>J48R0439SD480</t>
  </si>
  <si>
    <t>J48R0453N380</t>
  </si>
  <si>
    <t>J48R0453N480</t>
  </si>
  <si>
    <t>J48R0453SD380</t>
  </si>
  <si>
    <t>J48R0453SD480</t>
  </si>
  <si>
    <t>J48R0462N380</t>
  </si>
  <si>
    <t>J48R0462SD380</t>
  </si>
  <si>
    <t>J48R0477N380</t>
  </si>
  <si>
    <t>J48R0483N480</t>
  </si>
  <si>
    <t>J48R0483SD480</t>
  </si>
  <si>
    <t>J48R0500N480</t>
  </si>
  <si>
    <t>J48R0500SD480</t>
  </si>
  <si>
    <t>J48R0513N480</t>
  </si>
  <si>
    <t>J48R0513SD480</t>
  </si>
  <si>
    <t>J48R0615N480</t>
  </si>
  <si>
    <t>J48R0615SD480</t>
  </si>
  <si>
    <t>J48R0645SD480</t>
  </si>
  <si>
    <t>J48R0646SD480</t>
  </si>
  <si>
    <t>J48R0647SD480</t>
  </si>
  <si>
    <t>J48R0693SD480</t>
  </si>
  <si>
    <t>J48R0723GL4801</t>
  </si>
  <si>
    <t>J48R0729SD480</t>
  </si>
  <si>
    <t>J48R0785SDXIH</t>
  </si>
  <si>
    <t>J48R0805SDXIH</t>
  </si>
  <si>
    <t>J48R0844AB400</t>
  </si>
  <si>
    <t>J48R0861SD480</t>
  </si>
  <si>
    <t>J48R0870SD480</t>
  </si>
  <si>
    <t>J56RB521ASWG</t>
  </si>
  <si>
    <t>J57RB006ASWG</t>
  </si>
  <si>
    <t>J60RB127ASWG</t>
  </si>
  <si>
    <t>J60RB269ASWG</t>
  </si>
  <si>
    <t>J60RB270AB24</t>
  </si>
  <si>
    <t>J60RB317ASWG</t>
  </si>
  <si>
    <t>J60RB420ASWG</t>
  </si>
  <si>
    <t>J60RB435ASWG</t>
  </si>
  <si>
    <t>J60RB451ASWG</t>
  </si>
  <si>
    <t>J60RB452AB24</t>
  </si>
  <si>
    <t>J61RB209ARAE</t>
  </si>
  <si>
    <t>J61RB220AB14</t>
  </si>
  <si>
    <t>J61RB221AB15</t>
  </si>
  <si>
    <t>J61RB403ARAE</t>
  </si>
  <si>
    <t>J61RB413ARAE</t>
  </si>
  <si>
    <t>J64R0029GRGQ1</t>
  </si>
  <si>
    <t>J64R0154G4801</t>
  </si>
  <si>
    <t>J64R0666GL4801</t>
  </si>
  <si>
    <t>J64R0846GL4801</t>
  </si>
  <si>
    <t>J65ISPECN480</t>
  </si>
  <si>
    <t>J75RB327PQ66</t>
  </si>
  <si>
    <t>J99ISPECN400</t>
  </si>
  <si>
    <t>J99ISPECN480</t>
  </si>
  <si>
    <t>JD1ISPE2D3801</t>
  </si>
  <si>
    <t>JD1ISPE2D4001</t>
  </si>
  <si>
    <t>JD1ISPE2D4801</t>
  </si>
  <si>
    <t>JD1ISPE2S3801</t>
  </si>
  <si>
    <t>JD1ISPE2S4801</t>
  </si>
  <si>
    <t>JD1ISPECD3001</t>
  </si>
  <si>
    <t>JD1ISPECD300</t>
  </si>
  <si>
    <t>JD1ISPECD3801</t>
  </si>
  <si>
    <t>JD1ISPECD380</t>
  </si>
  <si>
    <t>JD1IZONED4001</t>
  </si>
  <si>
    <t>JD1IZONED4201</t>
  </si>
  <si>
    <t>JD1IZONED4801</t>
  </si>
  <si>
    <t>JD2ISPE2N380</t>
  </si>
  <si>
    <t>JD2ISPE2N400</t>
  </si>
  <si>
    <t>JD2ISPE2N480</t>
  </si>
  <si>
    <t>JD2ISPECN480</t>
  </si>
  <si>
    <t>JD2IZONED4001</t>
  </si>
  <si>
    <t>JD2IZONED4201</t>
  </si>
  <si>
    <t>JD2IZONED4801</t>
  </si>
  <si>
    <t>JD3ISPE2D300</t>
  </si>
  <si>
    <t>JD3ISPE2D3801</t>
  </si>
  <si>
    <t>JD3ISPE2D4001</t>
  </si>
  <si>
    <t>JD3ISPE2D4201</t>
  </si>
  <si>
    <t>JD3ISPE2D4801</t>
  </si>
  <si>
    <t>JD3ISPE2D480</t>
  </si>
  <si>
    <t>JD3ISPE2S3801</t>
  </si>
  <si>
    <t>JD3IZONED4001</t>
  </si>
  <si>
    <t>JD3IZONED4801</t>
  </si>
  <si>
    <t>JD3R0903SD480</t>
  </si>
  <si>
    <t>JD5ISPE2D3201</t>
  </si>
  <si>
    <t>JD5ISPE2D3801</t>
  </si>
  <si>
    <t>JD5ISPE2D4001</t>
  </si>
  <si>
    <t>JD5ISPE2D4801</t>
  </si>
  <si>
    <t>JD5ISPE2S3801</t>
  </si>
  <si>
    <t>JD5ISPE2S4801</t>
  </si>
  <si>
    <t>JD5IZONED4001</t>
  </si>
  <si>
    <t>JD5IZONED4201</t>
  </si>
  <si>
    <t>JD5IZONED4801</t>
  </si>
  <si>
    <t>JD6IZONED4801</t>
  </si>
  <si>
    <t>JD8ISPE2D3801</t>
  </si>
  <si>
    <t>JD8ISPE2D4801</t>
  </si>
  <si>
    <t>JD8ISPE2S4001</t>
  </si>
  <si>
    <t>JD8ISPE2S4801</t>
  </si>
  <si>
    <t>JD8IZONED4001</t>
  </si>
  <si>
    <t>JD8IZONED4201</t>
  </si>
  <si>
    <t>JD8IZONED4801</t>
  </si>
  <si>
    <t>JD9IZONED4001</t>
  </si>
  <si>
    <t>JD9IZONED4201</t>
  </si>
  <si>
    <t>JD9IZONED4801</t>
  </si>
  <si>
    <t>JD9R0033N4001</t>
  </si>
  <si>
    <t>JD9R0036N4001</t>
  </si>
  <si>
    <t>JD9R0039N4001</t>
  </si>
  <si>
    <t>JD9R0043N4201</t>
  </si>
  <si>
    <t>JDAISPE2N380</t>
  </si>
  <si>
    <t>JDAISPE2N480</t>
  </si>
  <si>
    <t>JDAISPECN480</t>
  </si>
  <si>
    <t>JDCISPE2N400</t>
  </si>
  <si>
    <t>JDCISPE2N480</t>
  </si>
  <si>
    <t>JDCISPECN300</t>
  </si>
  <si>
    <t>JDCISPECN380</t>
  </si>
  <si>
    <t>JDCISPECN400</t>
  </si>
  <si>
    <t>JDCISPECN480</t>
  </si>
  <si>
    <t>JDCIZONED4001</t>
  </si>
  <si>
    <t>JDCIZONED4201</t>
  </si>
  <si>
    <t>JDCIZONED4801</t>
  </si>
  <si>
    <t>JDCRB175NB05</t>
  </si>
  <si>
    <t>JDDISPE2D3801</t>
  </si>
  <si>
    <t>JDDISPE2D4801</t>
  </si>
  <si>
    <t>JDEISPE2N400</t>
  </si>
  <si>
    <t>JDEISPE2N480</t>
  </si>
  <si>
    <t>JDEISPECN380</t>
  </si>
  <si>
    <t>JDEISPECN480</t>
  </si>
  <si>
    <t>JDEIZONED4001</t>
  </si>
  <si>
    <t>JDEIZONED4201</t>
  </si>
  <si>
    <t>JDEIZONED4801</t>
  </si>
  <si>
    <t>JDFISPE2S3801</t>
  </si>
  <si>
    <t>JDFIZONED4001</t>
  </si>
  <si>
    <t>JDFIZONED4801</t>
  </si>
  <si>
    <t>JDIISPECN480</t>
  </si>
  <si>
    <t>JDJISPE2D4801</t>
  </si>
  <si>
    <t>JDJISPE2D480</t>
  </si>
  <si>
    <t>JDLISPE2N400</t>
  </si>
  <si>
    <t>JDLISPECN400</t>
  </si>
  <si>
    <t>JDLISPECN480</t>
  </si>
  <si>
    <t>JDOISPE2D4801</t>
  </si>
  <si>
    <t>JDOIZONED4801</t>
  </si>
  <si>
    <t>JDPISPECN480</t>
  </si>
  <si>
    <t>JDRIZONED4801</t>
  </si>
  <si>
    <t>JI2R0396N480</t>
  </si>
  <si>
    <t>JI2R0396SD480</t>
  </si>
  <si>
    <t>JI2R0397N480</t>
  </si>
  <si>
    <t>JI2R0397SD480</t>
  </si>
  <si>
    <t>JI2R0398N480</t>
  </si>
  <si>
    <t>JI2R0398SD480</t>
  </si>
  <si>
    <t>JI2R0399N480</t>
  </si>
  <si>
    <t>JI2R0399SD480</t>
  </si>
  <si>
    <t>JI2R0400N480</t>
  </si>
  <si>
    <t>JI2R0400SD480</t>
  </si>
  <si>
    <t>JI2R0401N480</t>
  </si>
  <si>
    <t>JI2R0401SD480</t>
  </si>
  <si>
    <t>JI2R0402N480</t>
  </si>
  <si>
    <t>JI2R0402SD480</t>
  </si>
  <si>
    <t>JI2R0403N480</t>
  </si>
  <si>
    <t>JI2R0403SD480</t>
  </si>
  <si>
    <t>JI2R0404N480</t>
  </si>
  <si>
    <t>JI2R0404SD480</t>
  </si>
  <si>
    <t>JI2R0405N480</t>
  </si>
  <si>
    <t>JI2R0405SD480</t>
  </si>
  <si>
    <t>JI2R0406N480</t>
  </si>
  <si>
    <t>JI2R0406SD480</t>
  </si>
  <si>
    <t>JI2R0407N480</t>
  </si>
  <si>
    <t>JI2R0407SD480</t>
  </si>
  <si>
    <t>JI2R0408N480</t>
  </si>
  <si>
    <t>JI2R0408SD480</t>
  </si>
  <si>
    <t>JI2R0409N480</t>
  </si>
  <si>
    <t>JI2R0409SD480</t>
  </si>
  <si>
    <t>JI2R0410N480</t>
  </si>
  <si>
    <t>JI2R0410SD480</t>
  </si>
  <si>
    <t>JI2R0411N480</t>
  </si>
  <si>
    <t>JI2R0411SD480</t>
  </si>
  <si>
    <t>JI2R0412N480</t>
  </si>
  <si>
    <t>JI2R0412SD480</t>
  </si>
  <si>
    <t>JI2R0413N480</t>
  </si>
  <si>
    <t>JI2R0413SD480</t>
  </si>
  <si>
    <t>JI2R0414N480</t>
  </si>
  <si>
    <t>JI2R0414SD480</t>
  </si>
  <si>
    <t>JI2R0415N480</t>
  </si>
  <si>
    <t>JI2R0415SD480</t>
  </si>
  <si>
    <t>JI2R0416N480</t>
  </si>
  <si>
    <t>JI2R0416SD480</t>
  </si>
  <si>
    <t>JI2R0417N480</t>
  </si>
  <si>
    <t>JI2R0417SD480</t>
  </si>
  <si>
    <t>JI4R0001N480</t>
  </si>
  <si>
    <t>JI4R0030N380</t>
  </si>
  <si>
    <t>JI4R0067N320</t>
  </si>
  <si>
    <t>JI4R0068N300</t>
  </si>
  <si>
    <t>JI4R0069N300</t>
  </si>
  <si>
    <t>JI4R0070N300</t>
  </si>
  <si>
    <t>JI4R0071N300</t>
  </si>
  <si>
    <t>JI4R0072N380</t>
  </si>
  <si>
    <t>JI4R0073N400</t>
  </si>
  <si>
    <t>JI4R0074N400</t>
  </si>
  <si>
    <t>JI4R0075N400</t>
  </si>
  <si>
    <t>JI4R0076N400</t>
  </si>
  <si>
    <t>JI4R0077N400</t>
  </si>
  <si>
    <t>JI4R0157N480</t>
  </si>
  <si>
    <t>JI4R0185N480</t>
  </si>
  <si>
    <t>JI4R0219N480</t>
  </si>
  <si>
    <t>JI4R0221N480</t>
  </si>
  <si>
    <t>JI4R0244N400</t>
  </si>
  <si>
    <t>JI4R0245H480</t>
  </si>
  <si>
    <t>JI4R0245N480</t>
  </si>
  <si>
    <t>JI4R0246N480</t>
  </si>
  <si>
    <t>JI4R0248H380</t>
  </si>
  <si>
    <t>JI4R0248H480</t>
  </si>
  <si>
    <t>JI4R0248N380</t>
  </si>
  <si>
    <t>JI4R0248N480</t>
  </si>
  <si>
    <t>JI4R0249H480</t>
  </si>
  <si>
    <t>JI4R0249N480</t>
  </si>
  <si>
    <t>JI4R0303N380</t>
  </si>
  <si>
    <t>JI4R0702SD480</t>
  </si>
  <si>
    <t>JI4R0735SD420</t>
  </si>
  <si>
    <t>JI8R0047N400</t>
  </si>
  <si>
    <t>JI8R0065N400</t>
  </si>
  <si>
    <t>JI8R0078N480</t>
  </si>
  <si>
    <t>JI8R0079N400</t>
  </si>
  <si>
    <t>JI8R0118N400</t>
  </si>
  <si>
    <t>JI8R0726SD480</t>
  </si>
  <si>
    <t>KJ3R0027NNYM</t>
  </si>
  <si>
    <t>KJ7R0195N480</t>
  </si>
  <si>
    <t>M55PC196G4801</t>
  </si>
  <si>
    <t>MB1SW844G3001</t>
  </si>
  <si>
    <t>MB1SW844G3201</t>
  </si>
  <si>
    <t>MB1SW844G3801</t>
  </si>
  <si>
    <t>MB1SW844G4001</t>
  </si>
  <si>
    <t>MB1SW844G400</t>
  </si>
  <si>
    <t>MB1SW844G4801</t>
  </si>
  <si>
    <t>MB1SW844G480</t>
  </si>
  <si>
    <t>MB1SW844GL3001</t>
  </si>
  <si>
    <t>MB1SW844GL3801</t>
  </si>
  <si>
    <t>MB1SW844GL4001</t>
  </si>
  <si>
    <t>MB1SW844GL4801</t>
  </si>
  <si>
    <t>MB1SW844GL480</t>
  </si>
  <si>
    <t>MB2SW844G3004</t>
  </si>
  <si>
    <t>MB2SW844G3201</t>
  </si>
  <si>
    <t>MB2SW844G3801</t>
  </si>
  <si>
    <t>MB2SW844G4001</t>
  </si>
  <si>
    <t>MB2SW844G400</t>
  </si>
  <si>
    <t>MB2SW844G4801</t>
  </si>
  <si>
    <t>MB2SW844G4804</t>
  </si>
  <si>
    <t>MB2SW844G480</t>
  </si>
  <si>
    <t>MB2SW844GL4001</t>
  </si>
  <si>
    <t>MB2SW844GL4801</t>
  </si>
  <si>
    <t>MB2SW844GL480</t>
  </si>
  <si>
    <t>MB2SW844GQRY1</t>
  </si>
  <si>
    <t>MB2SW844U480</t>
  </si>
  <si>
    <t>MB3SW844G4802</t>
  </si>
  <si>
    <t>MB3SW844G480</t>
  </si>
  <si>
    <t>MB3SW844GL4002</t>
  </si>
  <si>
    <t>MB3SW844GL4802</t>
  </si>
  <si>
    <t>MB3SW844GL4902</t>
  </si>
  <si>
    <t>MB4SW844G480</t>
  </si>
  <si>
    <t>MB4SW844GL4801</t>
  </si>
  <si>
    <t>MB5SW844G4801</t>
  </si>
  <si>
    <t>MB5SW844G480</t>
  </si>
  <si>
    <t>MB5SW844GL4801</t>
  </si>
  <si>
    <t>MB5SW844GL480</t>
  </si>
  <si>
    <t>MD4SW844G4001</t>
  </si>
  <si>
    <t>MD4SW844G4201</t>
  </si>
  <si>
    <t>MD4SW844G4801</t>
  </si>
  <si>
    <t>MD5SW844G4802</t>
  </si>
  <si>
    <t>MD5SW844GL4802</t>
  </si>
  <si>
    <t>MG1SW844GLYKC1</t>
  </si>
  <si>
    <t>MG2SW844GLYKC1</t>
  </si>
  <si>
    <t>MJ1R0622G4801</t>
  </si>
  <si>
    <t>MJ1R0622GL4801</t>
  </si>
  <si>
    <t>MJ1R0744GL4801</t>
  </si>
  <si>
    <t>MJ1R0860GL4801</t>
  </si>
  <si>
    <t>MJ3R0741GL4802</t>
  </si>
  <si>
    <t>MM5SW844GL4001</t>
  </si>
  <si>
    <t>NJ29ND0027E-4000</t>
  </si>
  <si>
    <t>NJ29ND0042E-4800</t>
  </si>
  <si>
    <t>NJ29ND0067SD3800</t>
  </si>
  <si>
    <t>NJ29ND0082SD4800</t>
  </si>
  <si>
    <t>NJ29ND0084SD4800</t>
  </si>
  <si>
    <t>NJ29ND0085SD4800</t>
  </si>
  <si>
    <t>NJ29ND0087SD3800</t>
  </si>
  <si>
    <t>NJ29ND0088SD3800</t>
  </si>
  <si>
    <t>NJ37ND0078T-4800</t>
  </si>
  <si>
    <t>NJ37ND0093SD4200</t>
  </si>
  <si>
    <t>NJ37ND0094SD4800</t>
  </si>
  <si>
    <t>NJ37ND0095SD4800</t>
  </si>
  <si>
    <t>NJ37ND0096SD4800</t>
  </si>
  <si>
    <t>NJ37ND0097SD4800</t>
  </si>
  <si>
    <t>NJ48ND0002E-4800</t>
  </si>
  <si>
    <t>NJ48ND0010E-3800</t>
  </si>
  <si>
    <t>NJ48ND0010E-4800</t>
  </si>
  <si>
    <t>NJ48ND0011E-3800</t>
  </si>
  <si>
    <t>NJ48ND0011E-4800</t>
  </si>
  <si>
    <t>NJ48ND0015E-4800</t>
  </si>
  <si>
    <t>NJ48ND0017E-4200</t>
  </si>
  <si>
    <t>NJ48ND0020E-4800</t>
  </si>
  <si>
    <t>NJ48ND0021E-4000</t>
  </si>
  <si>
    <t>NJ48ND0023E-3800</t>
  </si>
  <si>
    <t>NJ48ND0025E-4800</t>
  </si>
  <si>
    <t>NJ48ND0037E-3800</t>
  </si>
  <si>
    <t>NJ48ND0038E-3200</t>
  </si>
  <si>
    <t>NJ48ND0039E-4800</t>
  </si>
  <si>
    <t>NJ48ND0045G-4800</t>
  </si>
  <si>
    <t>NJ48ND0047E-4200</t>
  </si>
  <si>
    <t>NJ48ND0047E-4800</t>
  </si>
  <si>
    <t>NJI4ND0099SD4000</t>
  </si>
  <si>
    <t>NMB1SW8440G-3201</t>
  </si>
  <si>
    <t>NMB1SW8440G-4801</t>
  </si>
  <si>
    <t>NMB1SW8440G-CZS1</t>
  </si>
  <si>
    <t>NMB1SW8440G-XLN1</t>
  </si>
  <si>
    <t>NMB1SW8440GL4801</t>
  </si>
  <si>
    <t>NMB2SW8440G-3201</t>
  </si>
  <si>
    <t>NMB2SW8440G-4001</t>
  </si>
  <si>
    <t>NMB2SW8440G-4801</t>
  </si>
  <si>
    <t>NMB2SW8440G-CZS1</t>
  </si>
  <si>
    <t>NMB2SW8440G-XLN1</t>
  </si>
  <si>
    <t>NMB2SW8440GL4001</t>
  </si>
  <si>
    <t>NMB2SW8440GL4801</t>
  </si>
  <si>
    <t>NMJ2ND0041G-4800</t>
  </si>
  <si>
    <t>QIRDS009NAJT0</t>
  </si>
  <si>
    <t>QIRDS009NBFC0</t>
  </si>
  <si>
    <t>QIRDS009NBFZ0</t>
  </si>
  <si>
    <t>QIRDS009NLVG0</t>
  </si>
  <si>
    <t>QIUDS009NALU0</t>
  </si>
  <si>
    <t>QKIDS009NCIM0</t>
  </si>
  <si>
    <t>UJ4R0011N380</t>
  </si>
  <si>
    <t>UJ4R0012N480</t>
  </si>
  <si>
    <t>UJ4R0114N380</t>
  </si>
  <si>
    <t>UJ4R0156N380</t>
  </si>
  <si>
    <t>UJ4R0156SD380</t>
  </si>
  <si>
    <t>UJ4R0179N480</t>
  </si>
  <si>
    <t>UJ6R0174G4801</t>
  </si>
  <si>
    <t>UJ6R0176G4801</t>
  </si>
  <si>
    <t>UJ6R0367G4801</t>
  </si>
  <si>
    <t>UJ6R0367GL4801</t>
  </si>
  <si>
    <t>UJ6R0395G4801</t>
  </si>
  <si>
    <t>UJ6R0461G4801</t>
  </si>
  <si>
    <t>UJ6R0461GL4801</t>
  </si>
  <si>
    <t>XD8RD001NTNX</t>
  </si>
  <si>
    <t>XJ4R0080N480</t>
  </si>
  <si>
    <t>XJ4R0081N480</t>
  </si>
  <si>
    <t>XJ4R0082N480</t>
  </si>
  <si>
    <t>XJ4R0083N480</t>
  </si>
  <si>
    <t>XJ4R0084N480</t>
  </si>
  <si>
    <t>XJ4R0085N380</t>
  </si>
  <si>
    <t>XJ4R0086N480</t>
  </si>
  <si>
    <t>XJ4R0087N480</t>
  </si>
  <si>
    <t>XJ4R0088N480</t>
  </si>
  <si>
    <t>XJ4R0089N480</t>
  </si>
  <si>
    <t>XJ4R0090N480</t>
  </si>
  <si>
    <t>XJ4R0091N380</t>
  </si>
  <si>
    <t>XJ4R0092N480</t>
  </si>
  <si>
    <t>XJ4R0093N480</t>
  </si>
  <si>
    <t>XJ4R0094N480</t>
  </si>
  <si>
    <t>XJ4R0095N480</t>
  </si>
  <si>
    <t>XJ4R0096N480</t>
  </si>
  <si>
    <t>XJ4R0097N380</t>
  </si>
  <si>
    <t>XJ6R0230N480</t>
  </si>
  <si>
    <t>XJ6R0262N480</t>
  </si>
  <si>
    <t>XJ6R0263N480</t>
  </si>
  <si>
    <t>XJ8IFOSSSNYM1</t>
  </si>
  <si>
    <t>XJ8IFOSSSPFN1</t>
  </si>
  <si>
    <t>XJ8R0026NNYM</t>
  </si>
  <si>
    <t>XJ8R0080NNYM</t>
  </si>
  <si>
    <t>XJ8R0081NNYM</t>
  </si>
  <si>
    <t>XJ8R0082NNYM</t>
  </si>
  <si>
    <t>XJ8R0083NNYM</t>
  </si>
  <si>
    <t>XJ8R0084NNYM</t>
  </si>
  <si>
    <t>XJ8R0085NPNY</t>
  </si>
  <si>
    <t>XJ8R0086NNYM</t>
  </si>
  <si>
    <t>XJ8R0087NNYM</t>
  </si>
  <si>
    <t>XJ8R0088NNYM</t>
  </si>
  <si>
    <t>XJ8R0089NNYM</t>
  </si>
  <si>
    <t>XJ8R0090NNYM</t>
  </si>
  <si>
    <t>XJ8R0091NPNY</t>
  </si>
  <si>
    <t>XJ8R0092NNYM</t>
  </si>
  <si>
    <t>XJ8R0093NNYM</t>
  </si>
  <si>
    <t>XJ8R0094NNYM</t>
  </si>
  <si>
    <t>XJ8R0095NNYM</t>
  </si>
  <si>
    <t>XJ8R0096NNYM</t>
  </si>
  <si>
    <t>XJ8R0097NPNY</t>
  </si>
  <si>
    <t>XJ8R0131NNYM</t>
  </si>
  <si>
    <t>XJ8R0155NNYM</t>
  </si>
  <si>
    <t>XJ8R0181NPNY</t>
  </si>
  <si>
    <t>XJ8R0182NNYM</t>
  </si>
  <si>
    <t>XJ8R0186NXCH</t>
  </si>
  <si>
    <t>XJ8R0188NXCG</t>
  </si>
  <si>
    <t>XJ8R0189NNYM</t>
  </si>
  <si>
    <t>XJ8R0193NNYM</t>
  </si>
  <si>
    <t>XJ8R0195NPYY</t>
  </si>
  <si>
    <t>XJ8R0201NNYM</t>
  </si>
  <si>
    <t>XJ8R0220NNYM</t>
  </si>
  <si>
    <t>XJ8R0230NNYM</t>
  </si>
  <si>
    <t>XJ8R0231NNYM</t>
  </si>
  <si>
    <t>XJ8R0231NPNY</t>
  </si>
  <si>
    <t>XJ8R0231SDPNY</t>
  </si>
  <si>
    <t>XJ8R0232NNYM</t>
  </si>
  <si>
    <t>XJ8R0232SDNYM</t>
  </si>
  <si>
    <t>XJ8R0232SDPFL</t>
  </si>
  <si>
    <t>XJ8R0232SDPFN</t>
  </si>
  <si>
    <t>XJ8R0232SDPNY</t>
  </si>
  <si>
    <t>XJ8R0233NNYM</t>
  </si>
  <si>
    <t>XJ8R0233SDPNY</t>
  </si>
  <si>
    <t>XJ8R0234NNYM</t>
  </si>
  <si>
    <t>XJ8R0234SDPFN</t>
  </si>
  <si>
    <t>XJ8R0234SDPNY</t>
  </si>
  <si>
    <t>XJ8R0237N480</t>
  </si>
  <si>
    <t>XJ8R0238N480</t>
  </si>
  <si>
    <t>XJ8R0239N400</t>
  </si>
  <si>
    <t>XJ8R0240N480</t>
  </si>
  <si>
    <t>XJ8R0241N480</t>
  </si>
  <si>
    <t>XJ8R0242N480</t>
  </si>
  <si>
    <t>XJ8R0243N480</t>
  </si>
  <si>
    <t>XJ8R0244NPFL</t>
  </si>
  <si>
    <t>XJ8R0245NPNY</t>
  </si>
  <si>
    <t>XJ8R0248NPNY</t>
  </si>
  <si>
    <t>XJ8R0252N480</t>
  </si>
  <si>
    <t>XJ8R0253N420</t>
  </si>
  <si>
    <t>XJ8R0254N480</t>
  </si>
  <si>
    <t>XJ8R0285N400</t>
  </si>
  <si>
    <t>XJ8R0286N400</t>
  </si>
  <si>
    <t>XJ8R0287N400</t>
  </si>
  <si>
    <t>XJ8R0288N480</t>
  </si>
  <si>
    <t>XJ8R0290N480</t>
  </si>
  <si>
    <t>XJ8R0293N400</t>
  </si>
  <si>
    <t>XJ8R0295N480</t>
  </si>
  <si>
    <t>XJ8R0298N480</t>
  </si>
  <si>
    <t>XJ8R0298SD480</t>
  </si>
  <si>
    <t>XJ8R0300N380</t>
  </si>
  <si>
    <t>XJ8R0301N400</t>
  </si>
  <si>
    <t>XJ8R0303N380</t>
  </si>
  <si>
    <t>XJ8R0306N380</t>
  </si>
  <si>
    <t>XJ8R0307N380</t>
  </si>
  <si>
    <t>XJ8R0308N380</t>
  </si>
  <si>
    <t>XJ8R0309N380</t>
  </si>
  <si>
    <t>XJ8R0311N380</t>
  </si>
  <si>
    <t>XJ8R0311N480</t>
  </si>
  <si>
    <t>XJ8R0315N400</t>
  </si>
  <si>
    <t>XJ8R0316N400</t>
  </si>
  <si>
    <t>XJ8R0317N400</t>
  </si>
  <si>
    <t>XJ8R0318N400</t>
  </si>
  <si>
    <t>XJ8R0319N400</t>
  </si>
  <si>
    <t>XJ8R0319N480</t>
  </si>
  <si>
    <t>XJ8R0320N480</t>
  </si>
  <si>
    <t>XJ8R0321N380</t>
  </si>
  <si>
    <t>XJ8R0321N480</t>
  </si>
  <si>
    <t>XJ8R0322NNYM</t>
  </si>
  <si>
    <t>XJ8R0327N480</t>
  </si>
  <si>
    <t>XJ8R0339N400</t>
  </si>
  <si>
    <t>XJ8R0340N400</t>
  </si>
  <si>
    <t>XJ8R0366N400</t>
  </si>
  <si>
    <t>XJ8R0370N380</t>
  </si>
  <si>
    <t>XJ8R0371N480</t>
  </si>
  <si>
    <t>XJ8R0371SD480</t>
  </si>
  <si>
    <t>XJ8R0375N480</t>
  </si>
  <si>
    <t>XJ8R0421N480</t>
  </si>
  <si>
    <t>XJ8R0429N480</t>
  </si>
  <si>
    <t>XJ8R0429SD480</t>
  </si>
  <si>
    <t>XJ8R0440N400</t>
  </si>
  <si>
    <t>XJ8R0440SD400</t>
  </si>
  <si>
    <t>XJ8R0441N400</t>
  </si>
  <si>
    <t>XJ8R0441SD400</t>
  </si>
  <si>
    <t>XJ8R0442N400</t>
  </si>
  <si>
    <t>XJ8R0442SD400</t>
  </si>
  <si>
    <t>XJ8R0443N480</t>
  </si>
  <si>
    <t>XJ8R0443SD480</t>
  </si>
  <si>
    <t>XJ8R0444N480</t>
  </si>
  <si>
    <t>XJ8R0444SD480</t>
  </si>
  <si>
    <t>XJ8R0448N480</t>
  </si>
  <si>
    <t>XJ8R0448SD480</t>
  </si>
  <si>
    <t>XJ8R0449N480</t>
  </si>
  <si>
    <t>XJ8R0449SD480</t>
  </si>
  <si>
    <t>XJ8R0450N480</t>
  </si>
  <si>
    <t>XJ8R0450SD480</t>
  </si>
  <si>
    <t>XJ8R0451N480</t>
  </si>
  <si>
    <t>XJ8R0451SD480</t>
  </si>
  <si>
    <t>XJ8R0454N480</t>
  </si>
  <si>
    <t>XJ8R0454SD480</t>
  </si>
  <si>
    <t>XJ8R0455N480</t>
  </si>
  <si>
    <t>XJ8R0455SD480</t>
  </si>
  <si>
    <t>XJ8R0456N480</t>
  </si>
  <si>
    <t>XJ8R0456SD480</t>
  </si>
  <si>
    <t>XJ8R0457N480</t>
  </si>
  <si>
    <t>XJ8R0457SD480</t>
  </si>
  <si>
    <t>XJ8R0458N480</t>
  </si>
  <si>
    <t>XJ8R0458SD480</t>
  </si>
  <si>
    <t>XJ8R0481N480</t>
  </si>
  <si>
    <t>XJ8R0481SD480</t>
  </si>
  <si>
    <t>XJ8R0485N480</t>
  </si>
  <si>
    <t>XJ8R0485SD480</t>
  </si>
  <si>
    <t>XJ8R0488N400</t>
  </si>
  <si>
    <t>XJ8R0488N480</t>
  </si>
  <si>
    <t>XJ8R0488SD400</t>
  </si>
  <si>
    <t>XJ8R0488SD480</t>
  </si>
  <si>
    <t>XJ8R0491N480</t>
  </si>
  <si>
    <t>XJ8R0491SD480</t>
  </si>
  <si>
    <t>XJ8R0492N480</t>
  </si>
  <si>
    <t>XJ8R0492SD480</t>
  </si>
  <si>
    <t>XJ8R0493N480</t>
  </si>
  <si>
    <t>XJ8R0493SD480</t>
  </si>
  <si>
    <t>XJ8R0494N480</t>
  </si>
  <si>
    <t>XJ8R0494SD480</t>
  </si>
  <si>
    <t>XJ8R0495N480</t>
  </si>
  <si>
    <t>XJ8R0495SD480</t>
  </si>
  <si>
    <t>XJ8R0496CR400</t>
  </si>
  <si>
    <t>XJ8R0496J400</t>
  </si>
  <si>
    <t>XJ8R0497CR480</t>
  </si>
  <si>
    <t>XJ8R0497J480</t>
  </si>
  <si>
    <t>XJ8R0498CR400</t>
  </si>
  <si>
    <t>XJ8R0498J400</t>
  </si>
  <si>
    <t>XJ8R0501CR400</t>
  </si>
  <si>
    <t>XJ8R0501J400</t>
  </si>
  <si>
    <t>XJ8R0502CR400</t>
  </si>
  <si>
    <t>XJ8R0502J400</t>
  </si>
  <si>
    <t>XJ8R0503CR400</t>
  </si>
  <si>
    <t>XJ8R0503J400</t>
  </si>
  <si>
    <t>XJ8R0509N400</t>
  </si>
  <si>
    <t>XJ8R0509SD400</t>
  </si>
  <si>
    <t>XJ8R0511N480</t>
  </si>
  <si>
    <t>XJ8R0511SD480</t>
  </si>
  <si>
    <t>XJ8R0525N480</t>
  </si>
  <si>
    <t>XJ8R0525SD480</t>
  </si>
  <si>
    <t>XJ8R0530N480</t>
  </si>
  <si>
    <t>XJ8R0530SD480</t>
  </si>
  <si>
    <t>XJ8R0581N400</t>
  </si>
  <si>
    <t>XJ8R0581SD400</t>
  </si>
  <si>
    <t>XJ8R0583N480</t>
  </si>
  <si>
    <t>XJ8R0583SD480</t>
  </si>
  <si>
    <t>XJ8R0584N480</t>
  </si>
  <si>
    <t>XJ8R0584SD480</t>
  </si>
  <si>
    <t>XJ8R0585N480</t>
  </si>
  <si>
    <t>XJ8R0585SD480</t>
  </si>
  <si>
    <t>XJ8R0588N400</t>
  </si>
  <si>
    <t>XJ8R0588SD400</t>
  </si>
  <si>
    <t>XJ8R0589N400</t>
  </si>
  <si>
    <t>XJ8R0589SD400</t>
  </si>
  <si>
    <t>XJ8R0590N400</t>
  </si>
  <si>
    <t>XJ8R0590SD400</t>
  </si>
  <si>
    <t>XJ8R0591N400</t>
  </si>
  <si>
    <t>XJ8R0591SD400</t>
  </si>
  <si>
    <t>XJ8R0592N400</t>
  </si>
  <si>
    <t>XJ8R0592SD400</t>
  </si>
  <si>
    <t>XJ8R0593N400</t>
  </si>
  <si>
    <t>XJ8R0593SD400</t>
  </si>
  <si>
    <t>XJ8R0594N480</t>
  </si>
  <si>
    <t>XJ8R0594SD480</t>
  </si>
  <si>
    <t>XJ8R0596N4003</t>
  </si>
  <si>
    <t>XJ8R0596SD4003</t>
  </si>
  <si>
    <t>XJ8R0597N480</t>
  </si>
  <si>
    <t>XJ8R0597SD480</t>
  </si>
  <si>
    <t>XJ8R0598N480</t>
  </si>
  <si>
    <t>XJ8R0598SD480</t>
  </si>
  <si>
    <t>XJ8R0599N480</t>
  </si>
  <si>
    <t>XJ8R0599SD480</t>
  </si>
  <si>
    <t>XJ8R0601N480</t>
  </si>
  <si>
    <t>XJ8R0601SD480</t>
  </si>
  <si>
    <t>XJ8R0605N480</t>
  </si>
  <si>
    <t>XJ8R0605SD480</t>
  </si>
  <si>
    <t>XJ8R0606N480</t>
  </si>
  <si>
    <t>XJ8R0606SD480</t>
  </si>
  <si>
    <t>XJ8R0607N480</t>
  </si>
  <si>
    <t>XJ8R0607SD480</t>
  </si>
  <si>
    <t>XJ8R0608N480</t>
  </si>
  <si>
    <t>XJ8R0608SD480</t>
  </si>
  <si>
    <t>XJ8R0609N480</t>
  </si>
  <si>
    <t>XJ8R0609SD480</t>
  </si>
  <si>
    <t>XJ8R0610N480</t>
  </si>
  <si>
    <t>XJ8R0610SD480</t>
  </si>
  <si>
    <t>XJ8R0611N480</t>
  </si>
  <si>
    <t>XJ8R0611SD480</t>
  </si>
  <si>
    <t>XJ8R0612N480</t>
  </si>
  <si>
    <t>XJ8R0612SD480</t>
  </si>
  <si>
    <t>XJ8R0614N480</t>
  </si>
  <si>
    <t>XJ8R0614SD480</t>
  </si>
  <si>
    <t>XJ8R0616N480</t>
  </si>
  <si>
    <t>XJ8R0616SD480</t>
  </si>
  <si>
    <t>XJ8R0617N400</t>
  </si>
  <si>
    <t>XJ8R0617SD400</t>
  </si>
  <si>
    <t>XJ8R0618N400</t>
  </si>
  <si>
    <t>XJ8R0618SD400</t>
  </si>
  <si>
    <t>XJ8R0650SD400</t>
  </si>
  <si>
    <t>XJ8R0651SD400</t>
  </si>
  <si>
    <t>XJ8R0652SD400</t>
  </si>
  <si>
    <t>XJ8R0653SD400</t>
  </si>
  <si>
    <t>XJ8R0661SD480</t>
  </si>
  <si>
    <t>XJ8R0662SD480</t>
  </si>
  <si>
    <t>XJ8R0663SD480</t>
  </si>
  <si>
    <t>XJ8R0664SD400</t>
  </si>
  <si>
    <t>XJ8R0665SD400</t>
  </si>
  <si>
    <t>XJ8R0667SD480</t>
  </si>
  <si>
    <t>XJ8R0687SD480</t>
  </si>
  <si>
    <t>XJ8R0692SD480</t>
  </si>
  <si>
    <t>XJ8R0693SD480</t>
  </si>
  <si>
    <t>XJ8R0694SD480</t>
  </si>
  <si>
    <t>XJ8R0696SD400</t>
  </si>
  <si>
    <t>XJ8R0697SD480</t>
  </si>
  <si>
    <t>XJ8R0698SD480</t>
  </si>
  <si>
    <t>XJ8R0699SD480</t>
  </si>
  <si>
    <t>XJ8R0700SD480</t>
  </si>
  <si>
    <t>XJ8R0702SD480</t>
  </si>
  <si>
    <t>XJ8R0704SD400</t>
  </si>
  <si>
    <t>XJ8R0704SD480</t>
  </si>
  <si>
    <t>XJ8R0706SD400</t>
  </si>
  <si>
    <t>XJ8R0707SD480</t>
  </si>
  <si>
    <t>XJ8R0709SD400</t>
  </si>
  <si>
    <t>XJ8R0719SD480</t>
  </si>
  <si>
    <t>XJ8R0720SD480</t>
  </si>
  <si>
    <t>XJ8R0742SD400</t>
  </si>
  <si>
    <t>XJ8R0750SD480</t>
  </si>
  <si>
    <t>XJ8R0797SD400</t>
  </si>
  <si>
    <t>XJ8R0812SD400</t>
  </si>
  <si>
    <t>XJ8R0813SD400</t>
  </si>
  <si>
    <t>XJ8R0815SD480</t>
  </si>
  <si>
    <t>XJ8R0816SD480</t>
  </si>
  <si>
    <t>XJ8R0817SD480</t>
  </si>
  <si>
    <t>XJ8R0818SD480</t>
  </si>
  <si>
    <t>XJ8R0819SD480</t>
  </si>
  <si>
    <t>XJ8R0820SD480</t>
  </si>
  <si>
    <t>XJ8R0821SD480</t>
  </si>
  <si>
    <t>XJ8R0822SD480</t>
  </si>
  <si>
    <t>XJ8R0823SD480</t>
  </si>
  <si>
    <t>XJ8R0824CR480</t>
  </si>
  <si>
    <t>XJ8R0826SD400</t>
  </si>
  <si>
    <t>XJ8R0827SD400</t>
  </si>
  <si>
    <t>XJ8R0828SD400</t>
  </si>
  <si>
    <t>XJ8R0829SD400</t>
  </si>
  <si>
    <t>XJ8R0830SD400</t>
  </si>
  <si>
    <t>XJ8R0831SD400</t>
  </si>
  <si>
    <t>XJ8R0832SD400</t>
  </si>
  <si>
    <t>XJ8R0833SD400</t>
  </si>
  <si>
    <t>XJ8R0834SD400</t>
  </si>
  <si>
    <t>XJ8R0835SD400</t>
  </si>
  <si>
    <t>XJ8R0836SD400</t>
  </si>
  <si>
    <t>XJ8R0845SD400</t>
  </si>
  <si>
    <t>XJ8R0847SD480</t>
  </si>
  <si>
    <t>XJ8R0848SD480</t>
  </si>
  <si>
    <t>XJ8R0849SD480</t>
  </si>
  <si>
    <t>XJ8R0850SD380</t>
  </si>
  <si>
    <t>XJ8R0851SD380</t>
  </si>
  <si>
    <t>XJ8R0851SD480</t>
  </si>
  <si>
    <t>XJ8R0854SD480</t>
  </si>
  <si>
    <t>XJ8R0859SD480</t>
  </si>
  <si>
    <t>XJ8R1374SD480</t>
  </si>
  <si>
    <t>XJ8R1375SD400</t>
  </si>
  <si>
    <t>XJ8R1377SD400</t>
  </si>
  <si>
    <t>100SW813-6200</t>
  </si>
  <si>
    <t>ICE WHITE</t>
  </si>
  <si>
    <t>ICE WHITE 60 X 120</t>
  </si>
  <si>
    <t>ICE WHITE 60 X 144</t>
  </si>
  <si>
    <t>ICE WHITE 60 X 96</t>
  </si>
  <si>
    <t>COBBLESTONE/SW813 UV 2LP</t>
  </si>
  <si>
    <t>ICE WHITE 60 X 60</t>
  </si>
  <si>
    <t>ICE WHITE 60 X 48</t>
  </si>
  <si>
    <t>ICE WHITE 8 1/2 X 22</t>
  </si>
  <si>
    <t>ICE WHITE 60 X 52</t>
  </si>
  <si>
    <t>ICE WHITE 52 X 71</t>
  </si>
  <si>
    <t>WM872/SW813 60 X 144</t>
  </si>
  <si>
    <t>WM861/SW813 60 X 72</t>
  </si>
  <si>
    <t>WM861/SW813 60 X 96</t>
  </si>
  <si>
    <t>PRO UV DD SW813 IW HAZ 2LP</t>
  </si>
  <si>
    <t>PROSYN UV DD SW813 IW HAZ 2LP</t>
  </si>
  <si>
    <t>DIG UV SW813 ICE WHITE LLP</t>
  </si>
  <si>
    <t>ICE WHITE 60 X 108</t>
  </si>
  <si>
    <t>ICE WHITE 61 X 121</t>
  </si>
  <si>
    <t>ICE WHITE 61 X 97</t>
  </si>
  <si>
    <t>ICE WHITE 61 X 73</t>
  </si>
  <si>
    <t>ICE WHITE 48 X 144</t>
  </si>
  <si>
    <t>ICE WHITE 57 X 99</t>
  </si>
  <si>
    <t>ICE WHITE 30 X 144</t>
  </si>
  <si>
    <t>ICE WHITE 30 X 120</t>
  </si>
  <si>
    <t>ICE WHITE 30 X 96</t>
  </si>
  <si>
    <t>FSC ICE WHITE 60 X 120</t>
  </si>
  <si>
    <t>ICE WHITE H/W 60 X 144</t>
  </si>
  <si>
    <t>SW813 UV PRO XWW 45 X 145</t>
  </si>
  <si>
    <t>SW813 UV PRO L APPR 59.5 X 144</t>
  </si>
  <si>
    <t>SW813 UV PRO R APPR 59.5 X 144</t>
  </si>
  <si>
    <t>ICE WHITE PC 36 X 144</t>
  </si>
  <si>
    <t>FSC ICE WHITE 30 X 120</t>
  </si>
  <si>
    <t>FSC ICE WHITE 30 X 144</t>
  </si>
  <si>
    <t>FSC ICE WHITE 30 X 96</t>
  </si>
  <si>
    <t>ICE WHITE 30 X 72</t>
  </si>
  <si>
    <t>ICE WHITE 48 X 120</t>
  </si>
  <si>
    <t>SG241/SW813 60 X 96</t>
  </si>
  <si>
    <t>SE103/SW813 30 X 120</t>
  </si>
  <si>
    <t>SE103/SW813 60 X 96</t>
  </si>
  <si>
    <t>SE103/SW813 60 X 120</t>
  </si>
  <si>
    <t>SE103/SW813 60 X 144</t>
  </si>
  <si>
    <t>SE103/SW813 60 X 72</t>
  </si>
  <si>
    <t>SG241/SW813 60 X 120</t>
  </si>
  <si>
    <t>SG241/SW813 60 X 72</t>
  </si>
  <si>
    <t>SB016/SW813 60 X 120</t>
  </si>
  <si>
    <t>SB009/SW813 60 X 120</t>
  </si>
  <si>
    <t>SB005/SW813 60 X 72</t>
  </si>
  <si>
    <t>ST655/SW813 60 X 120</t>
  </si>
  <si>
    <t>ST655/SW813 60 X 72</t>
  </si>
  <si>
    <t>ST655/SW813 60 X 96</t>
  </si>
  <si>
    <t>ST606/SW813 60 X 120</t>
  </si>
  <si>
    <t>ST606/SW813 60 X 72</t>
  </si>
  <si>
    <t>ST606/SW813 60 X 96</t>
  </si>
  <si>
    <t>ICE WHITE 60 X 72</t>
  </si>
  <si>
    <t>HIRAKATA UV SW813 2 LANE PK</t>
  </si>
  <si>
    <t>ICE WHITE UV 2 LANE PK</t>
  </si>
  <si>
    <t>ICE WHITE PRO UV PK</t>
  </si>
  <si>
    <t>ICE WHITE UV LEFT LANE PK</t>
  </si>
  <si>
    <t>ICE WHITE UV RIGHT LANE PK</t>
  </si>
  <si>
    <t>ICE WHITE PRO UV PK (1 # 9)</t>
  </si>
  <si>
    <t>ICE WHITE NG LEFT LANE PK</t>
  </si>
  <si>
    <t>ICE WHITE UV 2 LP W/HAZ</t>
  </si>
  <si>
    <t>SW813 UV PRO L FO/AR 59.5X142.</t>
  </si>
  <si>
    <t>SW813 UV PRO R FO/AR 59.5X142.</t>
  </si>
  <si>
    <t>DIG UV SW813 IW NBR 13.87X144</t>
  </si>
  <si>
    <t>DDIG UV SW813 IW LA 59.641X144</t>
  </si>
  <si>
    <t>DDIG UV SW813 IW RA 59.641X144</t>
  </si>
  <si>
    <t>DDIG UV SW813 IW LF 59.641X144</t>
  </si>
  <si>
    <t>DDIG UV SW813 IW RF 59.641X144</t>
  </si>
  <si>
    <t>DDIG UV SW813 IW NBR 13.87X144</t>
  </si>
  <si>
    <t>HIRAKATA D/F UV R FOUL 59.641X</t>
  </si>
  <si>
    <t>HIRAKATA D/F UV L FOUL 59.641X</t>
  </si>
  <si>
    <t>HIRAKATA TEX UV R/A 59.641 X 1</t>
  </si>
  <si>
    <t>HIRAKATA TEX UV L/A 59.641 X 1</t>
  </si>
  <si>
    <t>ICE WHITE  60 X 144</t>
  </si>
  <si>
    <t>ICE WHITE  60 X 120</t>
  </si>
  <si>
    <t>ICE WHITE  60 X 96</t>
  </si>
  <si>
    <t>ICE WHITE  48 X 144</t>
  </si>
  <si>
    <t>ICE WHITE  30 X 120</t>
  </si>
  <si>
    <t>ICE WHITE  30 X 96</t>
  </si>
  <si>
    <t>ICE WHITE M/B 60 X 96</t>
  </si>
  <si>
    <t>ICE WHITE 48 X 72</t>
  </si>
  <si>
    <t>ICE WHITE M/B 60 X 72</t>
  </si>
  <si>
    <t>ICE WHITE M/B 49 X 97</t>
  </si>
  <si>
    <t>ICE WHITE M/B 61 X 121</t>
  </si>
  <si>
    <t>ICE WHITE M/B 61 X 97</t>
  </si>
  <si>
    <t>ICE WHITE M/B 49 X 121</t>
  </si>
  <si>
    <t>ICE WHITE M/B 49 X 73</t>
  </si>
  <si>
    <t>ICE WHITE M/B 61 X 73</t>
  </si>
  <si>
    <t>ICE WHITE 36 X 72</t>
  </si>
  <si>
    <t>ICE WHITE M/B 61 X 61</t>
  </si>
  <si>
    <t>ICE WHITE 61 1/2 X 97 1/2</t>
  </si>
  <si>
    <t>FRL ICE WHITE 60 X 96</t>
  </si>
  <si>
    <t>FRL ICE WHITE 60 X 120</t>
  </si>
  <si>
    <t>CSSW813APPK2</t>
  </si>
  <si>
    <t>D17SW813N550</t>
  </si>
  <si>
    <t>D17SW813NLSR</t>
  </si>
  <si>
    <t>D17SW813NNWP</t>
  </si>
  <si>
    <t>D17SW813NPDW</t>
  </si>
  <si>
    <t>D17SW813NRYS</t>
  </si>
  <si>
    <t>D17SW813NSFT</t>
  </si>
  <si>
    <t>D25SW813VE500</t>
  </si>
  <si>
    <t>D25SW813VE580</t>
  </si>
  <si>
    <t>D51SW813VE500</t>
  </si>
  <si>
    <t>D57DF112G520</t>
  </si>
  <si>
    <t>D57DF118N560</t>
  </si>
  <si>
    <t>D57DF118N580</t>
  </si>
  <si>
    <t>D57SW813N500</t>
  </si>
  <si>
    <t>D57SW813SD520</t>
  </si>
  <si>
    <t>D69SW813N520</t>
  </si>
  <si>
    <t>D69SW813SD580</t>
  </si>
  <si>
    <t>DIGPSW813APK1</t>
  </si>
  <si>
    <t>DIGPSW813APK2</t>
  </si>
  <si>
    <t>DIGSW813APPK2</t>
  </si>
  <si>
    <t>F28SW813CR520</t>
  </si>
  <si>
    <t>F28SW813G5001</t>
  </si>
  <si>
    <t>F28SW813G5201</t>
  </si>
  <si>
    <t>F28SW813G520</t>
  </si>
  <si>
    <t>F28SW813G5801</t>
  </si>
  <si>
    <t>F28SW813G580</t>
  </si>
  <si>
    <t>F28SW813G5901</t>
  </si>
  <si>
    <t>F28SW813GCMT1</t>
  </si>
  <si>
    <t>F28SW813GDEM1</t>
  </si>
  <si>
    <t>F28SW813GFMR1</t>
  </si>
  <si>
    <t>F28SW813GL4201</t>
  </si>
  <si>
    <t>F28SW813GL5201</t>
  </si>
  <si>
    <t>F28SW813GLCMT1</t>
  </si>
  <si>
    <t>F28SW813GLDEM1</t>
  </si>
  <si>
    <t>F28SW813GLFMR1</t>
  </si>
  <si>
    <t>F28SW813GLYDA1</t>
  </si>
  <si>
    <t>F28SW813J020</t>
  </si>
  <si>
    <t>F28SW813LZ520</t>
  </si>
  <si>
    <t>F28SW813MG000</t>
  </si>
  <si>
    <t>F28SW813N020</t>
  </si>
  <si>
    <t>F28SW813N080</t>
  </si>
  <si>
    <t>F28SW813N5003</t>
  </si>
  <si>
    <t>F28SW813N500</t>
  </si>
  <si>
    <t>F28SW813N5203</t>
  </si>
  <si>
    <t>F28SW813N520</t>
  </si>
  <si>
    <t>F28SW813N5803</t>
  </si>
  <si>
    <t>F28SW813N580</t>
  </si>
  <si>
    <t>F28SW813OZ520</t>
  </si>
  <si>
    <t>F28SW813SD020</t>
  </si>
  <si>
    <t>F28SW813SD5003</t>
  </si>
  <si>
    <t>F28SW813SD500</t>
  </si>
  <si>
    <t>F28SW813SD5203</t>
  </si>
  <si>
    <t>F28SW813SD520</t>
  </si>
  <si>
    <t>F28SW813SD5803</t>
  </si>
  <si>
    <t>F28SW813SD580</t>
  </si>
  <si>
    <t>F28SW813V520</t>
  </si>
  <si>
    <t>F39SW813AW520</t>
  </si>
  <si>
    <t>F39SW813DL520</t>
  </si>
  <si>
    <t>F39SW813G020</t>
  </si>
  <si>
    <t>F39SW813G5001</t>
  </si>
  <si>
    <t>F39SW813G5201</t>
  </si>
  <si>
    <t>F39SW813G520</t>
  </si>
  <si>
    <t>F39SW813G5801</t>
  </si>
  <si>
    <t>F39SW813G580</t>
  </si>
  <si>
    <t>F39SW813GL5001</t>
  </si>
  <si>
    <t>F39SW813GL5201</t>
  </si>
  <si>
    <t>F39SW813GL5801</t>
  </si>
  <si>
    <t>F39SW813J000</t>
  </si>
  <si>
    <t>F39SW813J020</t>
  </si>
  <si>
    <t>F39SW813J500</t>
  </si>
  <si>
    <t>F39SW813J520</t>
  </si>
  <si>
    <t>F39SW813L520</t>
  </si>
  <si>
    <t>F39SW813N000</t>
  </si>
  <si>
    <t>F39SW813N020</t>
  </si>
  <si>
    <t>F39SW813N080</t>
  </si>
  <si>
    <t>F39SW813N5001</t>
  </si>
  <si>
    <t>F39SW813N5003</t>
  </si>
  <si>
    <t>F39SW813N500</t>
  </si>
  <si>
    <t>F39SW813N5201</t>
  </si>
  <si>
    <t>F39SW813N520</t>
  </si>
  <si>
    <t>F39SW813N5803</t>
  </si>
  <si>
    <t>F39SW813N580</t>
  </si>
  <si>
    <t>F39SW813SD000</t>
  </si>
  <si>
    <t>F39SW813SD020</t>
  </si>
  <si>
    <t>F39SW813SD080</t>
  </si>
  <si>
    <t>F39SW813SD5001</t>
  </si>
  <si>
    <t>F39SW813SD500</t>
  </si>
  <si>
    <t>F39SW813SD5201</t>
  </si>
  <si>
    <t>F39SW813SD520</t>
  </si>
  <si>
    <t>F39SW813SD580</t>
  </si>
  <si>
    <t>F39SW813TL520</t>
  </si>
  <si>
    <t>F39SW813Z520</t>
  </si>
  <si>
    <t>FI4PW013N520</t>
  </si>
  <si>
    <t>G24SW813AYHL</t>
  </si>
  <si>
    <t>G25SW813AM51</t>
  </si>
  <si>
    <t>G25SW813AM58</t>
  </si>
  <si>
    <t>G48SW813G0801</t>
  </si>
  <si>
    <t>G48SW813G5001</t>
  </si>
  <si>
    <t>G48SW813G500</t>
  </si>
  <si>
    <t>G48SW813G5201</t>
  </si>
  <si>
    <t>G48SW813G520</t>
  </si>
  <si>
    <t>G48SW813G5801</t>
  </si>
  <si>
    <t>G48SW813GL3201</t>
  </si>
  <si>
    <t>G48SW813GL5001</t>
  </si>
  <si>
    <t>G48SW813GL5201</t>
  </si>
  <si>
    <t>G48SW813GL5801</t>
  </si>
  <si>
    <t>G48SW813J500</t>
  </si>
  <si>
    <t>G48SW813J520</t>
  </si>
  <si>
    <t>G48SW813J580</t>
  </si>
  <si>
    <t>G48SW813N0003</t>
  </si>
  <si>
    <t>G48SW813N000</t>
  </si>
  <si>
    <t>G48SW813N0203</t>
  </si>
  <si>
    <t>G48SW813N020</t>
  </si>
  <si>
    <t>G48SW813N0803</t>
  </si>
  <si>
    <t>G48SW813N080</t>
  </si>
  <si>
    <t>G48SW813N5001</t>
  </si>
  <si>
    <t>G48SW813N500</t>
  </si>
  <si>
    <t>G48SW813N5201</t>
  </si>
  <si>
    <t>G48SW813N5203</t>
  </si>
  <si>
    <t>G48SW813N520</t>
  </si>
  <si>
    <t>G48SW813N5801</t>
  </si>
  <si>
    <t>G48SW813N5803</t>
  </si>
  <si>
    <t>G48SW813N580</t>
  </si>
  <si>
    <t>G48SW813SD000</t>
  </si>
  <si>
    <t>G48SW813SD020</t>
  </si>
  <si>
    <t>G48SW813SD060</t>
  </si>
  <si>
    <t>G48SW813SD080</t>
  </si>
  <si>
    <t>G48SW813SD500</t>
  </si>
  <si>
    <t>G48SW813SD5203</t>
  </si>
  <si>
    <t>G48SW813SD5803</t>
  </si>
  <si>
    <t>G48SW813SD580</t>
  </si>
  <si>
    <t>G48SW813W400</t>
  </si>
  <si>
    <t>G48SW813W520</t>
  </si>
  <si>
    <t>G48SW813Z580</t>
  </si>
  <si>
    <t>H48SW813N500</t>
  </si>
  <si>
    <t>H48SW813N520</t>
  </si>
  <si>
    <t>H48SW813N580</t>
  </si>
  <si>
    <t>HD2DF027N580</t>
  </si>
  <si>
    <t>HD3DF025N000</t>
  </si>
  <si>
    <t>HD3DF025N580</t>
  </si>
  <si>
    <t>HD5DF025N500</t>
  </si>
  <si>
    <t>HD5DF025N520</t>
  </si>
  <si>
    <t>HD5DF025N560</t>
  </si>
  <si>
    <t>HD5DF025N580</t>
  </si>
  <si>
    <t>HD5DF027N500</t>
  </si>
  <si>
    <t>HD5DF027N560</t>
  </si>
  <si>
    <t>HD5DF034N500</t>
  </si>
  <si>
    <t>HD5DF078N500</t>
  </si>
  <si>
    <t>HD5DF093N560</t>
  </si>
  <si>
    <t>HD5DF105N500</t>
  </si>
  <si>
    <t>HD5DF105N560</t>
  </si>
  <si>
    <t>HD5DF105N580</t>
  </si>
  <si>
    <t>HD5DF109N500</t>
  </si>
  <si>
    <t>HD5DF109N560</t>
  </si>
  <si>
    <t>HD5DF109N580</t>
  </si>
  <si>
    <t>HD6SW813N500</t>
  </si>
  <si>
    <t>HD8SW813N5001</t>
  </si>
  <si>
    <t>HD8SW813N5201</t>
  </si>
  <si>
    <t>HD8SW813N520</t>
  </si>
  <si>
    <t>HD8SW813N560</t>
  </si>
  <si>
    <t>HD8SW813N580</t>
  </si>
  <si>
    <t>HD8SW813SD5001</t>
  </si>
  <si>
    <t>HD8SW813SD5201</t>
  </si>
  <si>
    <t>HDADF109N580</t>
  </si>
  <si>
    <t>HDHDF109N580</t>
  </si>
  <si>
    <t>HDISW813N500</t>
  </si>
  <si>
    <t>HDISW813N520</t>
  </si>
  <si>
    <t>HIRAKUVSAPK1</t>
  </si>
  <si>
    <t>I48PW013N520</t>
  </si>
  <si>
    <t>IWSW813APPK1</t>
  </si>
  <si>
    <t>IWSW813APPK2</t>
  </si>
  <si>
    <t>IWSW813APPK3</t>
  </si>
  <si>
    <t>IWSW813APPK4</t>
  </si>
  <si>
    <t>IWSW813APPK5</t>
  </si>
  <si>
    <t>IWSW813APPK6</t>
  </si>
  <si>
    <t>IWSW813APPK7</t>
  </si>
  <si>
    <t>J24I9639QB57</t>
  </si>
  <si>
    <t>J24I9639QM57</t>
  </si>
  <si>
    <t>J24I9640QB56</t>
  </si>
  <si>
    <t>J24I9640QM56</t>
  </si>
  <si>
    <t>J44B0013AM38</t>
  </si>
  <si>
    <t>J46B0008AM31</t>
  </si>
  <si>
    <t>J46B0009AM30</t>
  </si>
  <si>
    <t>J46B0010QM33</t>
  </si>
  <si>
    <t>J46B0011QM32</t>
  </si>
  <si>
    <t>J46B0013AM38</t>
  </si>
  <si>
    <t>J57I8962QM32</t>
  </si>
  <si>
    <t>J57I8963QM33</t>
  </si>
  <si>
    <t>J57I8992AM30</t>
  </si>
  <si>
    <t>J57I8993AM31</t>
  </si>
  <si>
    <t>K32SW813G5001</t>
  </si>
  <si>
    <t>K32SW813GL5801</t>
  </si>
  <si>
    <t>K32SW813N500</t>
  </si>
  <si>
    <t>K51SW813G5201</t>
  </si>
  <si>
    <t>K51SW813G520</t>
  </si>
  <si>
    <t>M01CW813AW520</t>
  </si>
  <si>
    <t>M01CW813GL5001</t>
  </si>
  <si>
    <t>M01CW813GL5201</t>
  </si>
  <si>
    <t>M01CW813SD520</t>
  </si>
  <si>
    <t>M01CW813Z520</t>
  </si>
  <si>
    <t>M39CW813GL5201</t>
  </si>
  <si>
    <t>M39CW813SD500</t>
  </si>
  <si>
    <t>M39CW813SD520</t>
  </si>
  <si>
    <t>M39CW813SD5803</t>
  </si>
  <si>
    <t>M55CW813G5001</t>
  </si>
  <si>
    <t>M55CW813G500</t>
  </si>
  <si>
    <t>M55CW813G5201</t>
  </si>
  <si>
    <t>M55CW813G520</t>
  </si>
  <si>
    <t>M55CW813GL4201</t>
  </si>
  <si>
    <t>M55CW813GL5201</t>
  </si>
  <si>
    <t>M55CW813H5001</t>
  </si>
  <si>
    <t>M55CW813I520</t>
  </si>
  <si>
    <t>M55CW813N000</t>
  </si>
  <si>
    <t>M55CW813N080</t>
  </si>
  <si>
    <t>M55CW813N500</t>
  </si>
  <si>
    <t>M55CW813N5203</t>
  </si>
  <si>
    <t>M55CW813N520</t>
  </si>
  <si>
    <t>M55CW813N580</t>
  </si>
  <si>
    <t>M55CW813SD000</t>
  </si>
  <si>
    <t>M55CW813SD080</t>
  </si>
  <si>
    <t>M55CW813SD5003</t>
  </si>
  <si>
    <t>M55CW813SD500</t>
  </si>
  <si>
    <t>M55CW813SD520</t>
  </si>
  <si>
    <t>M55CW813SD5803</t>
  </si>
  <si>
    <t>M55CW813SD580</t>
  </si>
  <si>
    <t>M55CW813SM520</t>
  </si>
  <si>
    <t>MB1SW813G5801</t>
  </si>
  <si>
    <t>MB1SW813GL5801</t>
  </si>
  <si>
    <t>MB2SW813G4601</t>
  </si>
  <si>
    <t>MB2SW813G5501</t>
  </si>
  <si>
    <t>MB2SW813G5601</t>
  </si>
  <si>
    <t>MB2SW813G5801</t>
  </si>
  <si>
    <t>MB2SW813GCIG1</t>
  </si>
  <si>
    <t>MB2SW813GCMT1</t>
  </si>
  <si>
    <t>MB2SW813GDEM1</t>
  </si>
  <si>
    <t>MB2SW813GFDT1</t>
  </si>
  <si>
    <t>MB2SW813GFDU1</t>
  </si>
  <si>
    <t>MB2SW813GFMR1</t>
  </si>
  <si>
    <t>MB2SW813GL3601</t>
  </si>
  <si>
    <t>MB2SW813GL4601</t>
  </si>
  <si>
    <t>MB2SW813GL5501</t>
  </si>
  <si>
    <t>MB2SW813GL5601</t>
  </si>
  <si>
    <t>MB2SW813GL5801</t>
  </si>
  <si>
    <t>MB2SW813GLCIG1</t>
  </si>
  <si>
    <t>MB2SW813GLCMT1</t>
  </si>
  <si>
    <t>MB2SW813GLDEM1</t>
  </si>
  <si>
    <t>MB2SW813GLFDT1</t>
  </si>
  <si>
    <t>MB2SW813GLFDU1</t>
  </si>
  <si>
    <t>MB2SW813GLFMR1</t>
  </si>
  <si>
    <t>MB2SW813GLNCF1</t>
  </si>
  <si>
    <t>MB2SW813GNCF1</t>
  </si>
  <si>
    <t>NM81SW8130SD5800</t>
  </si>
  <si>
    <t>NM83SW8130SD5801</t>
  </si>
  <si>
    <t>NM86SW8130SD5800</t>
  </si>
  <si>
    <t>NM86SW8130SD5801</t>
  </si>
  <si>
    <t>QISSW813NLVU0</t>
  </si>
  <si>
    <t>X75FS853NNYR</t>
  </si>
  <si>
    <t>X75FS853SDNYR3</t>
  </si>
  <si>
    <t>X75FS853SDPFQ</t>
  </si>
  <si>
    <t>X89FS853NNYR</t>
  </si>
  <si>
    <t>related products in reference table</t>
  </si>
  <si>
    <t>copy bowling part</t>
  </si>
  <si>
    <t>enter into PS: Manufacturing BOMs (Manufacturing Definitions&gt; BOMs and Revisions&gt; Review BOM Information&gt; Manufacturing BOMs</t>
  </si>
  <si>
    <t>Run and copy the print component</t>
  </si>
  <si>
    <t>Run the component though the Manufacturing BOMs</t>
  </si>
  <si>
    <t>Copy the raw paper component</t>
  </si>
  <si>
    <t>enter paper component into PS: Item Where Used (Manufacturing Definitions&gt; BOMs and Revisions&gt; Review BOM Information&gt; Item Where Used)</t>
  </si>
  <si>
    <t>Enter Level as 9</t>
  </si>
  <si>
    <t>Click Search</t>
  </si>
  <si>
    <t>Copy all data</t>
  </si>
  <si>
    <t>Paste data in the Bowling_Paper_Lookup_Review file: tab Cleaner: Cell A6</t>
  </si>
  <si>
    <t>If pasting the results in overrunning column F:F, then undo and first paste to the Formatter tab - then copy over only the data needed</t>
  </si>
  <si>
    <t>Enter the raw paper component to B1 and the paper description to C1</t>
  </si>
  <si>
    <t>Ensure the formulas in columns H:O fill down far enough to meet your input's needs (fill down as needed)</t>
  </si>
  <si>
    <t>Copy the data from H:O</t>
  </si>
  <si>
    <t>Paste as Value to the table on tab: Reference_Table (to incorporate it to the table, enter to the first blank line after the table)</t>
  </si>
  <si>
    <t>How to back trace components and add to the Reference Table</t>
  </si>
  <si>
    <t>Update weekly data</t>
  </si>
  <si>
    <t>PIO_AMF_SHP_2</t>
  </si>
  <si>
    <t>PIO_BRUNSWICK_SHP</t>
  </si>
  <si>
    <t>Copy and Paste to the approriate tabs (Brun or AMF) - important: do not delete the top line</t>
  </si>
  <si>
    <t>Click the "Clear" button to remove previous bowling lists</t>
  </si>
  <si>
    <t>Click the "Update" button</t>
  </si>
  <si>
    <t>Run queries to Excel - 1 year past to 1 year future</t>
  </si>
  <si>
    <t xml:space="preserve"> 98</t>
  </si>
  <si>
    <t>SOA0275636</t>
  </si>
  <si>
    <t>22750082-000 OP</t>
  </si>
  <si>
    <t>SOA0275611</t>
  </si>
  <si>
    <t>22750018-000 OP</t>
  </si>
  <si>
    <t>SOA0275612</t>
  </si>
  <si>
    <t>22750019-000 OP</t>
  </si>
  <si>
    <t>SOA0275623</t>
  </si>
  <si>
    <t>1195320-000 OD</t>
  </si>
  <si>
    <t>049015129CG</t>
  </si>
  <si>
    <t>SOA0275652</t>
  </si>
  <si>
    <t>QUBDPWALSBPK1</t>
  </si>
  <si>
    <t>Q DIG DK/PIN WALNUT STD LP</t>
  </si>
  <si>
    <t>049012200-WLN</t>
  </si>
  <si>
    <t>1195082-000 OD</t>
  </si>
  <si>
    <t>SOA0275653</t>
  </si>
  <si>
    <t>1195321-000 OD</t>
  </si>
  <si>
    <t>SOA0275681</t>
  </si>
  <si>
    <t>1195749-000 OD</t>
  </si>
  <si>
    <t>SOA0275637</t>
  </si>
  <si>
    <t>22750083-000 OP</t>
  </si>
  <si>
    <t>SOA0275654</t>
  </si>
  <si>
    <t>22750109-000 OP</t>
  </si>
  <si>
    <t>SOA0275655</t>
  </si>
  <si>
    <t>22750110-000 OP</t>
  </si>
  <si>
    <t>SOA0275664</t>
  </si>
  <si>
    <t>049207054CG-01</t>
  </si>
  <si>
    <t>22750120-000 OP</t>
  </si>
  <si>
    <t>SOA0275665</t>
  </si>
  <si>
    <t>1195720-000 OD</t>
  </si>
  <si>
    <t>QUBPFA39PPK2</t>
  </si>
  <si>
    <t>Q PFA39 SING C/BLUES 2 LP</t>
  </si>
  <si>
    <t>049015135</t>
  </si>
  <si>
    <t>SOA0275682</t>
  </si>
  <si>
    <t>1195722-000 OD</t>
  </si>
  <si>
    <t>049015126</t>
  </si>
  <si>
    <t xml:space="preserve"> 65</t>
  </si>
  <si>
    <t>SOA0275608</t>
  </si>
  <si>
    <t>J24IHEADPM40</t>
  </si>
  <si>
    <t>GLOW HEAD ARROWS 41.84 X 144</t>
  </si>
  <si>
    <t>84-200692-999</t>
  </si>
  <si>
    <t>1191615</t>
  </si>
  <si>
    <t>SOA0275643</t>
  </si>
  <si>
    <t>1191702</t>
  </si>
  <si>
    <t>G44WM321PM61</t>
  </si>
  <si>
    <t>SYN3 UV R COMMON 41.875 X 144</t>
  </si>
  <si>
    <t>84-200706-999</t>
  </si>
  <si>
    <t>SOA0275644</t>
  </si>
  <si>
    <t>84-200715-999</t>
  </si>
  <si>
    <t>SOA0275616</t>
  </si>
  <si>
    <t>84-200716-000</t>
  </si>
  <si>
    <t>1191637</t>
  </si>
  <si>
    <t>SOA0275606</t>
  </si>
  <si>
    <t>SOA0275601</t>
  </si>
  <si>
    <t>1191617</t>
  </si>
  <si>
    <t>SOA0275645</t>
  </si>
  <si>
    <t>SOA0275680</t>
  </si>
  <si>
    <t>1191766</t>
  </si>
  <si>
    <t>84-400216-221</t>
  </si>
  <si>
    <t>SOA0275648</t>
  </si>
  <si>
    <t>J44B0235AM38</t>
  </si>
  <si>
    <t>DDIG UV WX075 NBR 13.87X144</t>
  </si>
  <si>
    <t>84-400216-237</t>
  </si>
  <si>
    <t>1191519</t>
  </si>
  <si>
    <t>84-400217-160</t>
  </si>
  <si>
    <t>DIGWX075APK1</t>
  </si>
  <si>
    <t>DDIG UV WX075 2LP</t>
  </si>
  <si>
    <t>84-864001-237</t>
  </si>
  <si>
    <t>SOA0275675</t>
  </si>
  <si>
    <t>DDIGKM009APK3</t>
  </si>
  <si>
    <t>DDIG KM009 UV BRUNS SILVER RLP</t>
  </si>
  <si>
    <t>84-864003-218</t>
  </si>
  <si>
    <t>1191335</t>
  </si>
  <si>
    <t>How to Read</t>
  </si>
  <si>
    <t>Sum
Qty</t>
  </si>
  <si>
    <t>PO
Number</t>
  </si>
  <si>
    <t>Sched
Ship Dte</t>
  </si>
  <si>
    <t>C &amp; G 1E PRO CHAR 41.84 X 144</t>
  </si>
  <si>
    <t>C &amp; G 1D PRO LANE 41.84 X 144</t>
  </si>
  <si>
    <t>C &amp; G 1G PRO SHORT 41.84X47.12</t>
  </si>
  <si>
    <t>C &amp; G 1C PRO HEAD 41.84 X 144</t>
  </si>
  <si>
    <t>GLOW MAPLE SHORT 41.84X47.125</t>
  </si>
  <si>
    <t>GLOW CHARACTER BLKS 41.84 X 14</t>
  </si>
  <si>
    <t>GLOW L/O FOUL 41.84 X 85.50</t>
  </si>
  <si>
    <t>SHORT DEADWOOD 41.84 X 47.125</t>
  </si>
  <si>
    <t>GLOW HEAD/LOB LINE 41.84 X 144</t>
  </si>
  <si>
    <t>JR 2G PRO SHORT 41.84 X 47.125</t>
  </si>
  <si>
    <t>JR 1G PRO SHORT 41.84 X 47.125</t>
  </si>
  <si>
    <t>JR 2F PRO LANE PANEL 41.84 X 1</t>
  </si>
  <si>
    <t>JR 1F PRO LANE PANEL 41.84 X 1</t>
  </si>
  <si>
    <t>JR 2D PRO LANE PANEL 41.84 X 1</t>
  </si>
  <si>
    <t>JR 1D PRO LANE PANEL 41.84 X 1</t>
  </si>
  <si>
    <t>JR 2E PRO CHARACTER 41.84X144</t>
  </si>
  <si>
    <t>JR 1E PRO CHARACTER 41.84X144</t>
  </si>
  <si>
    <t>JR 2C PRO HEAD PANEL 41.84 X 1</t>
  </si>
  <si>
    <t>JR 1C PRO HEAD PANEL 41.84 X 1</t>
  </si>
  <si>
    <t>OCEAN 1D PRO LANE 41.84 X 144</t>
  </si>
  <si>
    <t>OCEAN 1F PRO LANE 41.84 X 144</t>
  </si>
  <si>
    <t>OCEAN 1E CHARACTER 41.84X144</t>
  </si>
  <si>
    <t>OCEAN 1G SHORT 41.84 X 47.125</t>
  </si>
  <si>
    <t>OCEAN 1C PRO HEAD 41.84 X 144</t>
  </si>
  <si>
    <t>OCEAN 2D PRO LANE 41.84 X 144</t>
  </si>
  <si>
    <t>OCEAN 2F PRO LANE 41.84 X 144</t>
  </si>
  <si>
    <t>OCEAN 2E CHARACTER 41.84X144</t>
  </si>
  <si>
    <t>OCEAN 2G SHORT 41.84 X 47.125</t>
  </si>
  <si>
    <t>OCEAN 2C PRO HEAD 41.84 X 144</t>
  </si>
  <si>
    <t>SHSU PRO UV CHARACTER 41.84X14</t>
  </si>
  <si>
    <t>SHSU PRO UV LANE 41.84 X 144</t>
  </si>
  <si>
    <t>SHSU PRO UV SHORT 41.84 X 47.1</t>
  </si>
  <si>
    <t>SHSU PRO UV HEAD 41.84 X 144</t>
  </si>
  <si>
    <t>J24RB217PM41</t>
  </si>
  <si>
    <t>J24RB214PM41</t>
  </si>
  <si>
    <t>J24RB215PM42</t>
  </si>
  <si>
    <t>J24RB214PM40</t>
  </si>
  <si>
    <t>G22WM991PM42</t>
  </si>
  <si>
    <t>J22ICHARPM41</t>
  </si>
  <si>
    <t>J22IHEADPM40</t>
  </si>
  <si>
    <t>J22I8400PM43</t>
  </si>
  <si>
    <t>G24WM991PM42</t>
  </si>
  <si>
    <t>J24I8400PM43</t>
  </si>
  <si>
    <t>G22WM991PM13</t>
  </si>
  <si>
    <t>G22WM991PM44</t>
  </si>
  <si>
    <t>J22IHEADPM27</t>
  </si>
  <si>
    <t>J22ICHARPM13</t>
  </si>
  <si>
    <t>J22I8400PM15</t>
  </si>
  <si>
    <t>J24I9126PM42</t>
  </si>
  <si>
    <t>J24IHLOBPM40</t>
  </si>
  <si>
    <t>J24RB095PM42</t>
  </si>
  <si>
    <t>J24RB094PM42</t>
  </si>
  <si>
    <t>J24RB093PM41</t>
  </si>
  <si>
    <t>J24RB092PM41</t>
  </si>
  <si>
    <t>J24RB091PM41</t>
  </si>
  <si>
    <t>J24RB090PM41</t>
  </si>
  <si>
    <t>J24I8915PM41</t>
  </si>
  <si>
    <t>J24I8914PM41</t>
  </si>
  <si>
    <t>J24I8913PM40</t>
  </si>
  <si>
    <t>J24I8912PM40</t>
  </si>
  <si>
    <t>J24RB156PM41</t>
  </si>
  <si>
    <t>J24RB158PM41</t>
  </si>
  <si>
    <t>J24RB160PM41</t>
  </si>
  <si>
    <t>J24RB162PM42</t>
  </si>
  <si>
    <t>J24RB154PM40</t>
  </si>
  <si>
    <t>J24RB157PM41</t>
  </si>
  <si>
    <t>J24RB159PM41</t>
  </si>
  <si>
    <t>J24RB161PM41</t>
  </si>
  <si>
    <t>J24RB163PM42</t>
  </si>
  <si>
    <t>J24RB155PM40</t>
  </si>
  <si>
    <t>J24RB627PM41</t>
  </si>
  <si>
    <t>J24RB626PM41</t>
  </si>
  <si>
    <t>J24RB628PM42</t>
  </si>
  <si>
    <t>J24RB625PM40</t>
  </si>
  <si>
    <t>C &amp; G 2B PRO R FOUL 59.5 X 142</t>
  </si>
  <si>
    <t>C &amp; G 2A PRO R APPR 59.5 X 144</t>
  </si>
  <si>
    <t>GLOW II R APPR 59.5 X 144.00</t>
  </si>
  <si>
    <t>GLOW II R T-FOUL 59.5 X 142.5</t>
  </si>
  <si>
    <t>PRO KOH LOGO R/A 59.5X144.00</t>
  </si>
  <si>
    <t>PRO II TEX R/A W/LOGO 59.5 X 1</t>
  </si>
  <si>
    <t>PRO II TEX R FOUL S/H 59.5 X 1</t>
  </si>
  <si>
    <t>PRO II TEX R FOUL SH2 59.5 X 1</t>
  </si>
  <si>
    <t>PRO II TEX R/A HUNTER 59.5 X 1</t>
  </si>
  <si>
    <t>GLOW R APPROACH 59.5 X 144.00</t>
  </si>
  <si>
    <t>GLOW R FOUL (T) 59.5 X 142.5</t>
  </si>
  <si>
    <t>PRO II TEX RF PALMS 59.5X142.5</t>
  </si>
  <si>
    <t>JR 2B PRO TX R FOUL 59.5 X 142</t>
  </si>
  <si>
    <t>JR 2A PRO TX R APPR 59.5 X 144</t>
  </si>
  <si>
    <t>OCEAN-A 2B PRO R FOUL 59.5X142</t>
  </si>
  <si>
    <t>OCEAN-A 2A PRO R APPR 59.5X144</t>
  </si>
  <si>
    <t>OCEAN-B 2B PRO R FOUL 59.5X142</t>
  </si>
  <si>
    <t>OCEAN-B 2A PRO R APPR 59.5X144</t>
  </si>
  <si>
    <t>SHSU PRO UV  R FOUL 59.5X142.5</t>
  </si>
  <si>
    <t>SHSU PRO UV R APPR 59.5X144</t>
  </si>
  <si>
    <t>J25RB213QM56</t>
  </si>
  <si>
    <t>J25RB211AM58</t>
  </si>
  <si>
    <t>J23IRAPPAM58</t>
  </si>
  <si>
    <t>J23IRFOUQM56</t>
  </si>
  <si>
    <t>J25IRAPPPM58</t>
  </si>
  <si>
    <t>J25IRFOUPM56</t>
  </si>
  <si>
    <t>J25I9270AM58</t>
  </si>
  <si>
    <t>J25I9363AM58</t>
  </si>
  <si>
    <t>J25I9423QM56</t>
  </si>
  <si>
    <t>J25I9510QM56</t>
  </si>
  <si>
    <t>J25YB008AM58</t>
  </si>
  <si>
    <t>J22IRAPPPM52</t>
  </si>
  <si>
    <t>J22IRFOUPM53</t>
  </si>
  <si>
    <t>J23IRAPPPM58</t>
  </si>
  <si>
    <t>J23IRFOUPM56</t>
  </si>
  <si>
    <t>J23YB002QM56</t>
  </si>
  <si>
    <t>J25I8911QM56</t>
  </si>
  <si>
    <t>J25I8909AM58</t>
  </si>
  <si>
    <t>J25RB196QM56</t>
  </si>
  <si>
    <t>J25RB194AM58</t>
  </si>
  <si>
    <t>J25RB551QM56</t>
  </si>
  <si>
    <t>J25RB549AM58</t>
  </si>
  <si>
    <t>J25RB624QM56</t>
  </si>
  <si>
    <t>J25RB622AM58</t>
  </si>
  <si>
    <t>C &amp; G 1B PRO L FOUL 59.5 X 142</t>
  </si>
  <si>
    <t>C &amp; G 1A PRO L APPR 59.5 X 144</t>
  </si>
  <si>
    <t>GLOW II L APPR 59.5 X 144.00</t>
  </si>
  <si>
    <t>GLOW II L T-FOUL 59.5 X 142.5</t>
  </si>
  <si>
    <t>PRO KOH LOGO L/A 59.5X144.00</t>
  </si>
  <si>
    <t>PRO II TEX L/A W LOGO 59.5 X 1</t>
  </si>
  <si>
    <t>PRO II TEX L FOUL S/H 59.5 X 1</t>
  </si>
  <si>
    <t>PRO II TEX L FOUL SH2 59.5 X 1</t>
  </si>
  <si>
    <t>PRO II TEX L/A HUNTER 59.5 X 1</t>
  </si>
  <si>
    <t>BUFF BOWL L APPR 59.5 X 144.00</t>
  </si>
  <si>
    <t>GLOW L APPROACH 59.5 X 144.00</t>
  </si>
  <si>
    <t>GLOW L FOUL  (T) 59.5 X 142.5</t>
  </si>
  <si>
    <t>PRO II TEX LF PALMS 59.5X142.5</t>
  </si>
  <si>
    <t>JR 1B PRO TX L FOUL 59.5 X 142</t>
  </si>
  <si>
    <t>JR 1A PRO TX L APPR 59.5 X 144</t>
  </si>
  <si>
    <t>OCEAN-A 1B PRO L FOUL 59.5X142</t>
  </si>
  <si>
    <t>OCEAN-A 1A PRO L APPR 59.5X144</t>
  </si>
  <si>
    <t>OCEAN-B 1B PRO L FOUL 59.5X142</t>
  </si>
  <si>
    <t>OCEAN-B 1A PRO L APPR 59.5X144</t>
  </si>
  <si>
    <t>SHSU PRO UV L FOUL 59.5X142.5</t>
  </si>
  <si>
    <t>SHSU PRO UV  L APPR 59.5X144</t>
  </si>
  <si>
    <t>J25RB212QM57</t>
  </si>
  <si>
    <t>J25RB210AM51</t>
  </si>
  <si>
    <t>J23ILAPPAM51</t>
  </si>
  <si>
    <t>J23ILFOUQM57</t>
  </si>
  <si>
    <t>J25ILAPPPM51</t>
  </si>
  <si>
    <t>J25ILFOUPM57</t>
  </si>
  <si>
    <t>J25I9269AM51</t>
  </si>
  <si>
    <t>J25I9362AM51</t>
  </si>
  <si>
    <t>J25I9424QM57</t>
  </si>
  <si>
    <t>J25I9511QM57</t>
  </si>
  <si>
    <t>J25YB007AM51</t>
  </si>
  <si>
    <t>J25I9179AM51</t>
  </si>
  <si>
    <t>J22ILAPPPM54</t>
  </si>
  <si>
    <t>J22ILFOUPM55</t>
  </si>
  <si>
    <t>J23ILAPPPM51</t>
  </si>
  <si>
    <t>J23ILFOUPM57</t>
  </si>
  <si>
    <t>J23YB001QM57</t>
  </si>
  <si>
    <t>J25I8910QM57</t>
  </si>
  <si>
    <t>J25I8908AM51</t>
  </si>
  <si>
    <t>J25RB195QM57</t>
  </si>
  <si>
    <t>J25RB193AM51</t>
  </si>
  <si>
    <t>J25RB550QM57</t>
  </si>
  <si>
    <t>J25RB548AM51</t>
  </si>
  <si>
    <t>J25RB623QM57</t>
  </si>
  <si>
    <t>J25RB621AM51</t>
  </si>
  <si>
    <t>SYN L COMMON 41.875 X 144</t>
  </si>
  <si>
    <t>IQ L SHORT 41.875 X 47.125</t>
  </si>
  <si>
    <t>IQ L ARROW  41.875 X 144</t>
  </si>
  <si>
    <t>SYN L L/O ARROW 41.875 X 144</t>
  </si>
  <si>
    <t>SYN L L/O FOUL 41.875 X 144</t>
  </si>
  <si>
    <t>SYN UV L COMMON 41.875 X 144</t>
  </si>
  <si>
    <t>IQ UV L SHORT 41.875 X 47.125</t>
  </si>
  <si>
    <t>IQ UV L ARROW  41.875 X 144</t>
  </si>
  <si>
    <t>SYN UV L L/O ARROW 41.875X144</t>
  </si>
  <si>
    <t>SYN UV L L/O FOUL 41.875 X 144</t>
  </si>
  <si>
    <t>K/VILLE 1C L/ARROW  41.875X144</t>
  </si>
  <si>
    <t>K/VILLE 1D L COMMON 41.875 X 1</t>
  </si>
  <si>
    <t>K/VILLE 1G L SHORT 41.875X47.1</t>
  </si>
  <si>
    <t>OCEAN 1D  L COMMON 41.875 X 14</t>
  </si>
  <si>
    <t>OCEAN 1E  L COMMON 41.875 X 14</t>
  </si>
  <si>
    <t>OCEAN 1F  L COMMON 41.875 X 14</t>
  </si>
  <si>
    <t>OCEAN 1C L/ARROW  41.875X144</t>
  </si>
  <si>
    <t>OCEAN 1G L SHORT 41.875X47.125</t>
  </si>
  <si>
    <t>SOCHI 2G L SHORT 41.875X47.125</t>
  </si>
  <si>
    <t>SOCHI 2F L COMMON 41.875 X 144</t>
  </si>
  <si>
    <t>SOCHI 2E L COMMON 41.875 X 144</t>
  </si>
  <si>
    <t>SOCHI 2D L COMMON 41.875 X 144</t>
  </si>
  <si>
    <t>SOCHI 2C L ARROW 41.875 X 144</t>
  </si>
  <si>
    <t>STREZ 2G L SHORT 41.875X47.125</t>
  </si>
  <si>
    <t>STREZ 2F L COMMON 41.875 X 144</t>
  </si>
  <si>
    <t>STREZ 2E L COMMON 41.875 X 144</t>
  </si>
  <si>
    <t>STREZ 2D L COMMON 41.875 X 144</t>
  </si>
  <si>
    <t>STREZ 2C L ARROW 41.875 X 144</t>
  </si>
  <si>
    <t>SYN3  L SHORT 41.875 X 47.125</t>
  </si>
  <si>
    <t>SYN3 L COMMON 41.875 X 144</t>
  </si>
  <si>
    <t>SYN3 LEFT  ARROW  41.875 X 144</t>
  </si>
  <si>
    <t>SYN3 L L/O ARROW 41.875 X 144</t>
  </si>
  <si>
    <t>SYN3 UV L ARROW  41.875 X 144</t>
  </si>
  <si>
    <t>SYN3 UV L COMMON 41.875 X 124</t>
  </si>
  <si>
    <t>SYN3 UV L L/O ARROW 41.875X144</t>
  </si>
  <si>
    <t>SYN3 UV L L/O FOUL 41.875 X 14</t>
  </si>
  <si>
    <t>SYN3 UV LINES L SH 41.875X47.1</t>
  </si>
  <si>
    <t>SYN3 UV LINES L COM 41.875 X 1</t>
  </si>
  <si>
    <t>SYN3 UV LINES L ARR 41.875 X 1</t>
  </si>
  <si>
    <t>SYN3 PIP UV L COM 41.875 X 144</t>
  </si>
  <si>
    <t>SYN3 PIP UV L SH 41.875X47.125</t>
  </si>
  <si>
    <t>SYN3 PIP UV L ARR 41.875 X 144</t>
  </si>
  <si>
    <t>SYN L SHORT 41.875X47.125</t>
  </si>
  <si>
    <t>SYN L ARROW  41.875 X 144</t>
  </si>
  <si>
    <t>SYN2 L L/O FOUL 41.875 X 144</t>
  </si>
  <si>
    <t>SYN UV L COMMON R1 41.875 X 14</t>
  </si>
  <si>
    <t>SYN UV L SHORT 41.875X47.125</t>
  </si>
  <si>
    <t>SYN UV L ARROW  41.875 X 144</t>
  </si>
  <si>
    <t>SYN2 UV L L/O FOUL 41.875X144</t>
  </si>
  <si>
    <t>YAKU 2G L SHORT 41.875X47.125</t>
  </si>
  <si>
    <t>YAKU 2F L COMMON 41.875 X 144</t>
  </si>
  <si>
    <t>YAKU 2E L COMMON 41.875 X 144</t>
  </si>
  <si>
    <t>YAKU 2D L COMMON 41.875 X 144</t>
  </si>
  <si>
    <t>YAKU 2C L ARROW 41.875 X 144</t>
  </si>
  <si>
    <t>G38WM311PM61</t>
  </si>
  <si>
    <t>G38WM311PM80</t>
  </si>
  <si>
    <t>J38I8581PM78</t>
  </si>
  <si>
    <t>J38I9351PM86</t>
  </si>
  <si>
    <t>J38I9361PM85</t>
  </si>
  <si>
    <t>G39WM311PM61</t>
  </si>
  <si>
    <t>G39WM311PM80</t>
  </si>
  <si>
    <t>J39I8581PM78</t>
  </si>
  <si>
    <t>J39I9351PM86</t>
  </si>
  <si>
    <t>J39I9361PM85</t>
  </si>
  <si>
    <t>J56RB288PM35</t>
  </si>
  <si>
    <t>J56RB290PM61</t>
  </si>
  <si>
    <t>J56RB292PM37</t>
  </si>
  <si>
    <t>J56RB182PM61</t>
  </si>
  <si>
    <t>J56RB184PM61</t>
  </si>
  <si>
    <t>J56RB186PM61</t>
  </si>
  <si>
    <t>J56RB180PM35</t>
  </si>
  <si>
    <t>J56RB188PM37</t>
  </si>
  <si>
    <t>J56RB053PM37</t>
  </si>
  <si>
    <t>J56RB051PM61</t>
  </si>
  <si>
    <t>J56RB049PM61</t>
  </si>
  <si>
    <t>J56RB047PM61</t>
  </si>
  <si>
    <t>J56I8885PM35</t>
  </si>
  <si>
    <t>J56RB069PM37</t>
  </si>
  <si>
    <t>J56RB067PM61</t>
  </si>
  <si>
    <t>J56RB065PM61</t>
  </si>
  <si>
    <t>J56RB063PM61</t>
  </si>
  <si>
    <t>J56I8887PM35</t>
  </si>
  <si>
    <t>G56WM311PM37</t>
  </si>
  <si>
    <t>G56WM311PM61</t>
  </si>
  <si>
    <t>J56I8881PM35</t>
  </si>
  <si>
    <t>J56I9351PM86</t>
  </si>
  <si>
    <t>J44I8881PM35</t>
  </si>
  <si>
    <t>G44WM311PB23</t>
  </si>
  <si>
    <t>J44I9351PM86</t>
  </si>
  <si>
    <t>J44I9361PM85</t>
  </si>
  <si>
    <t>J44YB091PM37</t>
  </si>
  <si>
    <t>J44YB091PM61</t>
  </si>
  <si>
    <t>J44YB089PM35</t>
  </si>
  <si>
    <t>J44YB070PM61</t>
  </si>
  <si>
    <t>J44YB072PM37</t>
  </si>
  <si>
    <t>J44YB068PM35</t>
  </si>
  <si>
    <t>G43WM311PM37</t>
  </si>
  <si>
    <t>J43I8881PM35</t>
  </si>
  <si>
    <t>J58I9361PM85</t>
  </si>
  <si>
    <t>J39IBS04PM61</t>
  </si>
  <si>
    <t>G42WM311PM37</t>
  </si>
  <si>
    <t>J42I8881PM35</t>
  </si>
  <si>
    <t>J57I9361PM85</t>
  </si>
  <si>
    <t>J56RB087PM37</t>
  </si>
  <si>
    <t>J56RB085PM61</t>
  </si>
  <si>
    <t>J56RB083PM61</t>
  </si>
  <si>
    <t>J56RB081PM61</t>
  </si>
  <si>
    <t>J56I8889PM35</t>
  </si>
  <si>
    <t>EXP AMF .375 41.875 X 142.75</t>
  </si>
  <si>
    <t>IQ R SHORT 41.875 X 47.125</t>
  </si>
  <si>
    <t>SYN R COMMON 41.875 X 144</t>
  </si>
  <si>
    <t>IQ R ARROW  41.875 X 144</t>
  </si>
  <si>
    <t>SYN R L/O ARROW 41.875 X 144</t>
  </si>
  <si>
    <t>SYN R L/O FOUL 41.875 X 144</t>
  </si>
  <si>
    <t>SYN UV R COMMON 41.875 X 144</t>
  </si>
  <si>
    <t>IQ UV R SHORT 41.875 X 47.125</t>
  </si>
  <si>
    <t>IQ UV R ARROW  41.875 X 144</t>
  </si>
  <si>
    <t>SYN UV R L/O ARROW 41.875X144</t>
  </si>
  <si>
    <t>SYN UV R L/O FOUL 41.875 X 144</t>
  </si>
  <si>
    <t>K/VILLE 2D R COMMON 41.875 X 1</t>
  </si>
  <si>
    <t>K/VILLE 2G R SHORT 41.875X47.1</t>
  </si>
  <si>
    <t>K/VILLE 2C R/ARROW  41.875X144</t>
  </si>
  <si>
    <t>OCEAN 2D R COMMON 41.875 X 144</t>
  </si>
  <si>
    <t>OCEAN 2E R COMMON 41.875 X 144</t>
  </si>
  <si>
    <t>OCEAN 2F R COMMON 41.875 X 144</t>
  </si>
  <si>
    <t>OCEAN 2G R SHORT 41.875X47.125</t>
  </si>
  <si>
    <t>OCEAN 2C R/ARROW  41.875X144</t>
  </si>
  <si>
    <t>SOCHI 1G R SHORT 41.875X47.125</t>
  </si>
  <si>
    <t>SOCHI 1F R COMMON 41.875 X 144</t>
  </si>
  <si>
    <t>SOCHI 1E R COMMON 41.875 X 144</t>
  </si>
  <si>
    <t>SOCHI 1D R COMMON 41.875 X 144</t>
  </si>
  <si>
    <t>SOCHI 1C R ARROW 41.875 X 144</t>
  </si>
  <si>
    <t>STREZ 1G R SHORT 41.875X47.125</t>
  </si>
  <si>
    <t>STREZ 1F R COMMON 41.875 X 144</t>
  </si>
  <si>
    <t>STREZ 1E R COMMON 41.875 X 144</t>
  </si>
  <si>
    <t>STREZ 1D R COMMON 41.875X144</t>
  </si>
  <si>
    <t>STREZ 1C R ARROW 41.875 X 144</t>
  </si>
  <si>
    <t>SYN3 R SHORT 41.875 X 47.125</t>
  </si>
  <si>
    <t>SYN3 R COMMON 41.875 X 144</t>
  </si>
  <si>
    <t>SYN3 RIGHT ARROW  41.875 X 144</t>
  </si>
  <si>
    <t>SYN3 R L/O ARROW 41.875 X 144</t>
  </si>
  <si>
    <t>SYN3 UV R SHORT 41.875X47.125</t>
  </si>
  <si>
    <t>SYN3 UV R ARROW  41.875 X 144</t>
  </si>
  <si>
    <t>SYN3 UV R L/O ARROW 41.875X144</t>
  </si>
  <si>
    <t>SYN3 UV R L/O FOUL 41.875 X 14</t>
  </si>
  <si>
    <t>SYN3 UV LINES R SH 41.875X47.1</t>
  </si>
  <si>
    <t>SYN3 UV LINES R COM 41.875 X 1</t>
  </si>
  <si>
    <t>SYN3 UV LINES R ARR 41.875 X 1</t>
  </si>
  <si>
    <t>SYN3 PIP UV R SH 41.875X47.125</t>
  </si>
  <si>
    <t>SYN3 PIP UV R COM 41.875 X 144</t>
  </si>
  <si>
    <t>SYN3 PIP UV R ARR 41.875 X 144</t>
  </si>
  <si>
    <t>SYN R SHORT 41.875X47.125</t>
  </si>
  <si>
    <t>SYN R ARROW  41.875 X 144</t>
  </si>
  <si>
    <t>SYN2 R L/O FOUL 41.875 X 144</t>
  </si>
  <si>
    <t>SYN UV R COMMON R1 41.875 X 14</t>
  </si>
  <si>
    <t>SYN UV R SHORT 41.875X47.125</t>
  </si>
  <si>
    <t>SYN UV R ARROW  41.875 X 144</t>
  </si>
  <si>
    <t>SYN2 UV R L/O FOUL 41.875X144</t>
  </si>
  <si>
    <t>YAKU 1G R SHORT 41.875X47.125</t>
  </si>
  <si>
    <t>YAKU 1F R COMMON 41.875 X 144</t>
  </si>
  <si>
    <t>YAKU 1E R COMMON 41.875 X 144</t>
  </si>
  <si>
    <t>YAKU 1D R COMMON 41.875X144</t>
  </si>
  <si>
    <t>YAKU 1C R ARROW 41.875 X 144</t>
  </si>
  <si>
    <t>G53WM321PM87</t>
  </si>
  <si>
    <t>J53I8580PM82</t>
  </si>
  <si>
    <t>G38WM321PM80</t>
  </si>
  <si>
    <t>G38WM321PM61</t>
  </si>
  <si>
    <t>J38I8580PM79</t>
  </si>
  <si>
    <t>J38I9350PM86</t>
  </si>
  <si>
    <t>J38I9360PM85</t>
  </si>
  <si>
    <t>G39WM321PM61</t>
  </si>
  <si>
    <t>G39WM321PM80</t>
  </si>
  <si>
    <t>J39I8580PM79</t>
  </si>
  <si>
    <t>J39I9350PM86</t>
  </si>
  <si>
    <t>J39I9360PM85</t>
  </si>
  <si>
    <t>J56RB291PM61</t>
  </si>
  <si>
    <t>J56RB293PM36</t>
  </si>
  <si>
    <t>J56RB289PM34</t>
  </si>
  <si>
    <t>J56RB183PM61</t>
  </si>
  <si>
    <t>J56RB185PM61</t>
  </si>
  <si>
    <t>J56RB187PM61</t>
  </si>
  <si>
    <t>J56RB189PM36</t>
  </si>
  <si>
    <t>J56RB181PM34</t>
  </si>
  <si>
    <t>J56RB052PM36</t>
  </si>
  <si>
    <t>J56RB050PM61</t>
  </si>
  <si>
    <t>J56RB048PM61</t>
  </si>
  <si>
    <t>J56RB046PM61</t>
  </si>
  <si>
    <t>J56I8884PM34</t>
  </si>
  <si>
    <t>J56RB068PM36</t>
  </si>
  <si>
    <t>J56RB066PM61</t>
  </si>
  <si>
    <t>J56RB064PM61</t>
  </si>
  <si>
    <t>J56RB062PM61</t>
  </si>
  <si>
    <t>J56I8886PM34</t>
  </si>
  <si>
    <t>G56WM321PM36</t>
  </si>
  <si>
    <t>G56WM321PM61</t>
  </si>
  <si>
    <t>J56I8880PM34</t>
  </si>
  <si>
    <t>J56I9350PM86</t>
  </si>
  <si>
    <t>G44WM321PM36</t>
  </si>
  <si>
    <t>J44I8880PM34</t>
  </si>
  <si>
    <t>J44I9350PM86</t>
  </si>
  <si>
    <t>J44I9360PM85</t>
  </si>
  <si>
    <t>J44YB092PM36</t>
  </si>
  <si>
    <t>J44YB092PM61</t>
  </si>
  <si>
    <t>J44YB090PM34</t>
  </si>
  <si>
    <t>J44YB073PM36</t>
  </si>
  <si>
    <t>J44YB071PM61</t>
  </si>
  <si>
    <t>J44YB069PM34</t>
  </si>
  <si>
    <t>G43WM321PM36</t>
  </si>
  <si>
    <t>J43I8880PM34</t>
  </si>
  <si>
    <t>J58I9360PM85</t>
  </si>
  <si>
    <t>J39IBS01PM61</t>
  </si>
  <si>
    <t>G42WM321PM36</t>
  </si>
  <si>
    <t>J42I8880PM34</t>
  </si>
  <si>
    <t>J57I9360PM85</t>
  </si>
  <si>
    <t>J56RB086PM36</t>
  </si>
  <si>
    <t>J56RB084PM61</t>
  </si>
  <si>
    <t>J56RB082PM61</t>
  </si>
  <si>
    <t>J56RB080PM61</t>
  </si>
  <si>
    <t>J56I8888PM34</t>
  </si>
  <si>
    <t>Duplicate Check</t>
  </si>
  <si>
    <t>Duplicate Key</t>
  </si>
  <si>
    <t>100PFA39-6200</t>
  </si>
  <si>
    <t>SINGING THE CHICAGO BLUES</t>
  </si>
  <si>
    <t>CBPFA39APPK1View Related Links (Alt+6)</t>
  </si>
  <si>
    <t>CHICAGO BLUES 2LP</t>
  </si>
  <si>
    <t>J46I8944AM31View Related Links (Alt+6)</t>
  </si>
  <si>
    <t>PFA39 TEX L APP 59.641 X 144</t>
  </si>
  <si>
    <t>200I8944-520View Related Links (Alt+6)</t>
  </si>
  <si>
    <t>PFA39 LEFT APPR 60 X 144</t>
  </si>
  <si>
    <t>200PFA39-5201 &lt;-View Related Links (Alt+6)</t>
  </si>
  <si>
    <t>SING CHICAGO BLUES 60 X 144</t>
  </si>
  <si>
    <t>J46I8945AM30View Related Links (Alt+6)</t>
  </si>
  <si>
    <t>PFA39 TEX R APP 59.641 X 144</t>
  </si>
  <si>
    <t>200I8945-520View Related Links (Alt+6)</t>
  </si>
  <si>
    <t>PFA39 RIGHT APPR 60 X 144</t>
  </si>
  <si>
    <t>J46I8946QM33View Related Links (Alt+6)</t>
  </si>
  <si>
    <t>PFA39 D/F L FOUL 59.641 X 144</t>
  </si>
  <si>
    <t>200I8946-520View Related Links (Alt+6)</t>
  </si>
  <si>
    <t>PFA39 LEFT FOUL 60 X 144</t>
  </si>
  <si>
    <t>J46I8947QM32View Related Links (Alt+6)</t>
  </si>
  <si>
    <t>PFA39 D/F R FOUL 59.641 X 144</t>
  </si>
  <si>
    <t>200I8947-520View Related Links (Alt+6)</t>
  </si>
  <si>
    <t>PFA39 RIGHT FOUL 60 X 144</t>
  </si>
  <si>
    <t>J44I8949PM34View Related Links (Alt+6)</t>
  </si>
  <si>
    <t>PFA39 R ARROW 41.875 X 144</t>
  </si>
  <si>
    <t>200I8949-120View Related Links (Alt+6)</t>
  </si>
  <si>
    <t>PFA39 R  ARROW 43 X 145</t>
  </si>
  <si>
    <t>200PFA39-12R1 &lt;-View Related Links (Alt+6)</t>
  </si>
  <si>
    <t>SING CHICAGO BLUES (R) 43X145</t>
  </si>
  <si>
    <t>J44I8951PM61View Related Links (Alt+6)</t>
  </si>
  <si>
    <t>PFA39 R COMMON  41.875 X 144</t>
  </si>
  <si>
    <t>200I8951-120View Related Links (Alt+6)</t>
  </si>
  <si>
    <t>PFA39 R COMMON 43 X 145</t>
  </si>
  <si>
    <t>J44I8953PM36View Related Links (Alt+6)</t>
  </si>
  <si>
    <t>PFA39 R SHORT 41.87 5X 47.125</t>
  </si>
  <si>
    <t>J44I8948PM35View Related Links (Alt+6)</t>
  </si>
  <si>
    <t>PFA39 L ARROW 41.875 X 144</t>
  </si>
  <si>
    <t>200I8948-120View Related Links (Alt+6)</t>
  </si>
  <si>
    <t>PFA39 L  ARROW 43 X 145</t>
  </si>
  <si>
    <t>200PFA39-12L1 &lt;-View Related Links (Alt+6)</t>
  </si>
  <si>
    <t>SING CHICAGO BLUES (L) 43X145</t>
  </si>
  <si>
    <t>J44I8950PM61View Related Links (Alt+6)</t>
  </si>
  <si>
    <t>PFA39 L COMMON  41.875 X 144</t>
  </si>
  <si>
    <t>200I8950-120View Related Links (Alt+6)</t>
  </si>
  <si>
    <t>PFA39 L COMMON 43 X 145</t>
  </si>
  <si>
    <t>J44I8952PM37View Related Links (Alt+6)</t>
  </si>
  <si>
    <t>PFA39 L SHORT 41.875 X 47.125</t>
  </si>
  <si>
    <t>CBPFA39APPK2View Related Links (Alt+6)</t>
  </si>
  <si>
    <t>CHICAGO BLUES UV PRO 2LP</t>
  </si>
  <si>
    <t>J25I9152AM51View Related Links (Alt+6)</t>
  </si>
  <si>
    <t>PFA39 UV PRO L APPR 59.5 X 144</t>
  </si>
  <si>
    <t>200I9152-520View Related Links (Alt+6)</t>
  </si>
  <si>
    <t>PFA39 PRO UV L APPR 60 X 144</t>
  </si>
  <si>
    <t>J25I9153AM58View Related Links (Alt+6)</t>
  </si>
  <si>
    <t>PFA39 UV PRO R APPR 59.5 X 144</t>
  </si>
  <si>
    <t>200I9153-520View Related Links (Alt+6)</t>
  </si>
  <si>
    <t>PFA39 PRO UV R APPR 60 X 144</t>
  </si>
  <si>
    <t>J25I9154QM57View Related Links (Alt+6)</t>
  </si>
  <si>
    <t>PFA39 UV PRO L FOUL 59.5X142.5</t>
  </si>
  <si>
    <t>200I9154-520View Related Links (Alt+6)</t>
  </si>
  <si>
    <t>PFA39 PRO UV L FOUL 60 X 144</t>
  </si>
  <si>
    <t>J25I9155QM56View Related Links (Alt+6)</t>
  </si>
  <si>
    <t>PFA39 UV PRO R FOUL 59.5X142.5</t>
  </si>
  <si>
    <t>200I9155-520View Related Links (Alt+6)</t>
  </si>
  <si>
    <t>PFA39 PRO UV R FOUL 60 X 144</t>
  </si>
  <si>
    <t>J24I9157PM40View Related Links (Alt+6)</t>
  </si>
  <si>
    <t>PFA39 UV PRO R HEAD 41.84X144</t>
  </si>
  <si>
    <t>200I9157-120View Related Links (Alt+6)</t>
  </si>
  <si>
    <t>PFA39 PRO UV R HEAD 43 X 145</t>
  </si>
  <si>
    <t>J24I9159PM41View Related Links (Alt+6)</t>
  </si>
  <si>
    <t>PFA39 UV PRO R LANE 41.84X144</t>
  </si>
  <si>
    <t>200I9159-120View Related Links (Alt+6)</t>
  </si>
  <si>
    <t>PFA39 PRO UV R LANE 43 X 145</t>
  </si>
  <si>
    <t>J24I9159PM42View Related Links (Alt+6)</t>
  </si>
  <si>
    <t>PFA39 UV PRO R SHORT 41.84X47.</t>
  </si>
  <si>
    <t>J24I9161PM41View Related Links (Alt+6)</t>
  </si>
  <si>
    <t>PFA39 UV PRO R CHAR 41.875X144</t>
  </si>
  <si>
    <t>200I9161-120View Related Links (Alt+6)</t>
  </si>
  <si>
    <t>PFA39 PRO UV R CHAR 43 X 145</t>
  </si>
  <si>
    <t>J24I9156PM40View Related Links (Alt+6)</t>
  </si>
  <si>
    <t>PFA39 UV PRO L HEAD 41.84X144</t>
  </si>
  <si>
    <t>200I9156-120View Related Links (Alt+6)</t>
  </si>
  <si>
    <t>PFA39 PRO UV L HEAD 43 X 145</t>
  </si>
  <si>
    <t>J24I9158PM41View Related Links (Alt+6)</t>
  </si>
  <si>
    <t>PFA39 UV PRO L LANE 41.84X144</t>
  </si>
  <si>
    <t>200I9158-120View Related Links (Alt+6)</t>
  </si>
  <si>
    <t>PFA39 PRO UV L LANE 43 X 145</t>
  </si>
  <si>
    <t>J24I9158PM42View Related Links (Alt+6)</t>
  </si>
  <si>
    <t>PFA39 UV PRO L SHORT 41.84X47.</t>
  </si>
  <si>
    <t>J24I9160PM41View Related Links (Alt+6)</t>
  </si>
  <si>
    <t>PFA39 UV PRO L CHAR 41.875X144</t>
  </si>
  <si>
    <t>200I9160-120View Related Links (Alt+6)</t>
  </si>
  <si>
    <t>PFA39 PRO UV L CHAR 43 X 145</t>
  </si>
  <si>
    <t>CBPFA39APPK3View Related Links (Alt+6)</t>
  </si>
  <si>
    <t>J44I8944AM31View Related Links (Alt+6)</t>
  </si>
  <si>
    <t>J44I8945AM30View Related Links (Alt+6)</t>
  </si>
  <si>
    <t>J44I8946QM33View Related Links (Alt+6)</t>
  </si>
  <si>
    <t>J44I8947QM32View Related Links (Alt+6)</t>
  </si>
  <si>
    <t>CBPFA39APPK4View Related Links (Alt+6)</t>
  </si>
  <si>
    <t>CHICAGO BLUES 2LP W/ BLK LINES</t>
  </si>
  <si>
    <t>J44I9415AM31View Related Links (Alt+6)</t>
  </si>
  <si>
    <t>200I9415-520View Related Links (Alt+6)</t>
  </si>
  <si>
    <t>PFA39 TEX L APPROACH 60 X 144</t>
  </si>
  <si>
    <t>J44I9420PM34View Related Links (Alt+6)</t>
  </si>
  <si>
    <t>200I9420-120View Related Links (Alt+6)</t>
  </si>
  <si>
    <t>PFA39 RIGHT  ARROW 43 X 145</t>
  </si>
  <si>
    <t>J44I9422PM61View Related Links (Alt+6)</t>
  </si>
  <si>
    <t>200I9422-120View Related Links (Alt+6)</t>
  </si>
  <si>
    <t>PFA39 RIGHT COMMON 43 X 145</t>
  </si>
  <si>
    <t>J44I9424PM36View Related Links (Alt+6)</t>
  </si>
  <si>
    <t>J44I9416AM30View Related Links (Alt+6)</t>
  </si>
  <si>
    <t>200I9416-520View Related Links (Alt+6)</t>
  </si>
  <si>
    <t>PFA39 TEX R APPROACH 60 X 144</t>
  </si>
  <si>
    <t>J44I9417QM33View Related Links (Alt+6)</t>
  </si>
  <si>
    <t>200I9417-520View Related Links (Alt+6)</t>
  </si>
  <si>
    <t>PFA39 TEX LEFT FOUL 60 X 144</t>
  </si>
  <si>
    <t>J44I9418QM32View Related Links (Alt+6)</t>
  </si>
  <si>
    <t>200I9418-520View Related Links (Alt+6)</t>
  </si>
  <si>
    <t>PFA39 TEX RIGHT FOUL 60 X 144</t>
  </si>
  <si>
    <t>J44I9419PM35View Related Links (Alt+6)</t>
  </si>
  <si>
    <t>200I9419-120View Related Links (Alt+6)</t>
  </si>
  <si>
    <t>PFA39 LEFT  ARROW 43 X 145</t>
  </si>
  <si>
    <t>J44I9421PM61View Related Links (Alt+6)</t>
  </si>
  <si>
    <t>200I9421-120View Related Links (Alt+6)</t>
  </si>
  <si>
    <t>PFA39 LEFT COMMON 43 X 145</t>
  </si>
  <si>
    <t>J44I9423PM37View Related Links (Alt+6)</t>
  </si>
  <si>
    <t>CBPFA39APPK5View Related Links (Alt+6)</t>
  </si>
  <si>
    <t>J24I9152AM51View Related Links (Alt+6)</t>
  </si>
  <si>
    <t>J24I9153AM58View Related Links (Alt+6)</t>
  </si>
  <si>
    <t>J24I9154QM57View Related Links (Alt+6)</t>
  </si>
  <si>
    <t>J24I9155QM56View Related Links (Alt+6)</t>
  </si>
  <si>
    <t>CBPFA39APPK6View Related Links (Alt+6)</t>
  </si>
  <si>
    <t>CHICAGO BLUES LEFT LP</t>
  </si>
  <si>
    <t>CBPFA39APPK7View Related Links (Alt+6)</t>
  </si>
  <si>
    <t>CHICAGO BLUES NG 2LP</t>
  </si>
  <si>
    <t>J56I8944AM31View Related Links (Alt+6)</t>
  </si>
  <si>
    <t>PFA39 NG TEX L APP 59.641X144</t>
  </si>
  <si>
    <t>J56I8945AM30View Related Links (Alt+6)</t>
  </si>
  <si>
    <t>PFA39 NG TEX R APP 59.641X144</t>
  </si>
  <si>
    <t>J56I8946QM33View Related Links (Alt+6)</t>
  </si>
  <si>
    <t>PFA39 NG D/F L FOUL 59.641X144</t>
  </si>
  <si>
    <t>J56I8947QM32View Related Links (Alt+6)</t>
  </si>
  <si>
    <t>PFA39 NG D/F R FOUL 59.641X144</t>
  </si>
  <si>
    <t>J56I8949PM34View Related Links (Alt+6)</t>
  </si>
  <si>
    <t>PFA39 NG R ARROW 41.875X144</t>
  </si>
  <si>
    <t>J56I8951PM61View Related Links (Alt+6)</t>
  </si>
  <si>
    <t>PFA39 NG R COMMON  41.875X144</t>
  </si>
  <si>
    <t>J56I8953PM36View Related Links (Alt+6)</t>
  </si>
  <si>
    <t>PFA39 NG R SHORT 41.87 5X47.12</t>
  </si>
  <si>
    <t>J56I8948PM35View Related Links (Alt+6)</t>
  </si>
  <si>
    <t>PFA39 NG L ARROW 41.875X144</t>
  </si>
  <si>
    <t>J56I8950PM61View Related Links (Alt+6)</t>
  </si>
  <si>
    <t>PFA39 NG L COMMON  41.875X144</t>
  </si>
  <si>
    <t>J56I8952PM37View Related Links (Alt+6)</t>
  </si>
  <si>
    <t>PFA39 NG L SHORT 41.875X47.125</t>
  </si>
  <si>
    <t>D69PFA39N500View Related Links (Alt+6)</t>
  </si>
  <si>
    <t>SING CHICAGO BLUES 60 X 120</t>
  </si>
  <si>
    <t>200PFA39-5001 &lt;-View Related Links (Alt+6)</t>
  </si>
  <si>
    <t>D69PFA39N520View Related Links (Alt+6)</t>
  </si>
  <si>
    <t>EF31PFA390T-5200View Related Links (Alt+6)</t>
  </si>
  <si>
    <t>SING CHICAGO BLUES</t>
  </si>
  <si>
    <t>F28PFA39GL5801View Related Links (Alt+6)</t>
  </si>
  <si>
    <t>SING CHICAGO BLUES 60 X 96</t>
  </si>
  <si>
    <t>F28PFA39J520View Related Links (Alt+6)</t>
  </si>
  <si>
    <t>F28PFA39N000View Related Links (Alt+6)</t>
  </si>
  <si>
    <t>SING CHICAGO BLUES 30 X 120</t>
  </si>
  <si>
    <t>F28PFA39N020View Related Links (Alt+6)</t>
  </si>
  <si>
    <t>SING CHICAGO BLUES 30 X 144</t>
  </si>
  <si>
    <t>F28PFA39N080View Related Links (Alt+6)</t>
  </si>
  <si>
    <t>SING CHICAGO BLUES 30 X 96</t>
  </si>
  <si>
    <t>200PFA39-5801 &lt;-View Related Links (Alt+6)</t>
  </si>
  <si>
    <t>F28PFA39N5003View Related Links (Alt+6)</t>
  </si>
  <si>
    <t>F28PFA39N500View Related Links (Alt+6)</t>
  </si>
  <si>
    <t>F28PFA39N520View Related Links (Alt+6)</t>
  </si>
  <si>
    <t>F28PFA39N580View Related Links (Alt+6)</t>
  </si>
  <si>
    <t>F28PFA39SD020View Related Links (Alt+6)</t>
  </si>
  <si>
    <t>F28PFA39SD080View Related Links (Alt+6)</t>
  </si>
  <si>
    <t>F28PFA39SD5003View Related Links (Alt+6)</t>
  </si>
  <si>
    <t>F28PFA39SD500View Related Links (Alt+6)</t>
  </si>
  <si>
    <t>F28PFA39SD5201View Related Links (Alt+6)</t>
  </si>
  <si>
    <t>F28PFA39SD520View Related Links (Alt+6)</t>
  </si>
  <si>
    <t>F28PFA39SD580View Related Links (Alt+6)</t>
  </si>
  <si>
    <t>F39PFA39G020View Related Links (Alt+6)</t>
  </si>
  <si>
    <t>F39PFA39G080View Related Links (Alt+6)</t>
  </si>
  <si>
    <t>F39PFA39G520View Related Links (Alt+6)</t>
  </si>
  <si>
    <t>F39PFA39G580View Related Links (Alt+6)</t>
  </si>
  <si>
    <t>F39PFA39N000View Related Links (Alt+6)</t>
  </si>
  <si>
    <t>F39PFA39N020View Related Links (Alt+6)</t>
  </si>
  <si>
    <t>F39PFA39N080View Related Links (Alt+6)</t>
  </si>
  <si>
    <t>F39PFA39N5003View Related Links (Alt+6)</t>
  </si>
  <si>
    <t>F39PFA39N500View Related Links (Alt+6)</t>
  </si>
  <si>
    <t>F39PFA39N520View Related Links (Alt+6)</t>
  </si>
  <si>
    <t>F39PFA39N580View Related Links (Alt+6)</t>
  </si>
  <si>
    <t>F39PFA39SD000View Related Links (Alt+6)</t>
  </si>
  <si>
    <t>F39PFA39SD020View Related Links (Alt+6)</t>
  </si>
  <si>
    <t>F39PFA39SD080View Related Links (Alt+6)</t>
  </si>
  <si>
    <t>F39PFA39SD5003View Related Links (Alt+6)</t>
  </si>
  <si>
    <t>F39PFA39SD500View Related Links (Alt+6)</t>
  </si>
  <si>
    <t>F39PFA39SD520View Related Links (Alt+6)</t>
  </si>
  <si>
    <t>F39PFA39SD580View Related Links (Alt+6)</t>
  </si>
  <si>
    <t>FI3PFA40N580View Related Links (Alt+6)</t>
  </si>
  <si>
    <t>SING CHICAGO BLUES H/W 60 X 96</t>
  </si>
  <si>
    <t>G24PFA39AM23View Related Links (Alt+6)</t>
  </si>
  <si>
    <t>PFA39 UV PRO NBR 14.15 X 144</t>
  </si>
  <si>
    <t>G24PFA39AM24View Related Links (Alt+6)</t>
  </si>
  <si>
    <t>PFA39 UV PRO WBR 15.25 X 144</t>
  </si>
  <si>
    <t>G24PFA39ARAEView Related Links (Alt+6)</t>
  </si>
  <si>
    <t>PFA39 UV PRO WW 42 1/2X145.25</t>
  </si>
  <si>
    <t>G25PFA39ARAEView Related Links (Alt+6)</t>
  </si>
  <si>
    <t>G48PFA39CR520View Related Links (Alt+6)</t>
  </si>
  <si>
    <t>G48PFA39G5201View Related Links (Alt+6)</t>
  </si>
  <si>
    <t>G48PFA39GL5201View Related Links (Alt+6)</t>
  </si>
  <si>
    <t>G48PFA39J020View Related Links (Alt+6)</t>
  </si>
  <si>
    <t>G48PFA39J520View Related Links (Alt+6)</t>
  </si>
  <si>
    <t>G48PFA39N000View Related Links (Alt+6)</t>
  </si>
  <si>
    <t>G48PFA39N020View Related Links (Alt+6)</t>
  </si>
  <si>
    <t>G48PFA39N080View Related Links (Alt+6)</t>
  </si>
  <si>
    <t>G48PFA39N500View Related Links (Alt+6)</t>
  </si>
  <si>
    <t>G48PFA39N520View Related Links (Alt+6)</t>
  </si>
  <si>
    <t>G48PFA39N5801View Related Links (Alt+6)</t>
  </si>
  <si>
    <t>G48PFA39N580View Related Links (Alt+6)</t>
  </si>
  <si>
    <t>G48PFA39SD020View Related Links (Alt+6)</t>
  </si>
  <si>
    <t>G48PFA39SD500View Related Links (Alt+6)</t>
  </si>
  <si>
    <t>G48PFA39SD520View Related Links (Alt+6)</t>
  </si>
  <si>
    <t>G48PFA39SD580View Related Links (Alt+6)</t>
  </si>
  <si>
    <t>J24I9162PM42View Related Links (Alt+6)</t>
  </si>
  <si>
    <t>200I9162-120View Related Links (Alt+6)</t>
  </si>
  <si>
    <t>PFA39 PRO UV L SHORT 43 X 145</t>
  </si>
  <si>
    <t>J24I9163PM42View Related Links (Alt+6)</t>
  </si>
  <si>
    <t>200I9163-120View Related Links (Alt+6)</t>
  </si>
  <si>
    <t>PFA39 PRO UV R SHORT 43 X 145</t>
  </si>
  <si>
    <t>J24I9663QB57View Related Links (Alt+6)</t>
  </si>
  <si>
    <t>PFA39 UV PRO L FO/ARR 59.5X142</t>
  </si>
  <si>
    <t>200I9663-520View Related Links (Alt+6)</t>
  </si>
  <si>
    <t>PFA39 PRO UV L FO/ARR  60 X 14</t>
  </si>
  <si>
    <t>J24I9664QB56View Related Links (Alt+6)</t>
  </si>
  <si>
    <t>PFA39 UV PRO R FO/ARR 59.5X142</t>
  </si>
  <si>
    <t>200I9664-520View Related Links (Alt+6)</t>
  </si>
  <si>
    <t>PFA39 PRO UV R FO/ARR 60 X 144</t>
  </si>
  <si>
    <t>J44I8950AM38View Related Links (Alt+6)</t>
  </si>
  <si>
    <t>PFA39 N BALL RET 13.87 X 144</t>
  </si>
  <si>
    <t>J44I8950AM39View Related Links (Alt+6)</t>
  </si>
  <si>
    <t>PFA39 W BALL RET 14.7 X 144</t>
  </si>
  <si>
    <t>J44I8950ASWGView Related Links (Alt+6)</t>
  </si>
  <si>
    <t>PFA39 W/WAY 42 7/8 X 145 1/4</t>
  </si>
  <si>
    <t>J44I9421AM38View Related Links (Alt+6)</t>
  </si>
  <si>
    <t>PFA39 NAR BALL RET 13.87 X 144</t>
  </si>
  <si>
    <t>J44I9421AM39View Related Links (Alt+6)</t>
  </si>
  <si>
    <t>J44I9421ASWGView Related Links (Alt+6)</t>
  </si>
  <si>
    <t>PFA39 W/WAY FILL 42 7/8 X 145</t>
  </si>
  <si>
    <t>J46I8950AM38View Related Links (Alt+6)</t>
  </si>
  <si>
    <t>J46I8950AM39View Related Links (Alt+6)</t>
  </si>
  <si>
    <t>J46I8950ASWGView Related Links (Alt+6)</t>
  </si>
  <si>
    <t>J56I8950AM38View Related Links (Alt+6)</t>
  </si>
  <si>
    <t>PFA39 NG N BALL RET 13.87X144</t>
  </si>
  <si>
    <t>J56I8950ASWGView Related Links (Alt+6)</t>
  </si>
  <si>
    <t>PFA39 NG W/WAY 42 7/8X145 1/4</t>
  </si>
  <si>
    <t>J75IQU56NPFUView Related Links (Alt+6)</t>
  </si>
  <si>
    <t>200IQU56-520View Related Links (Alt+6)</t>
  </si>
  <si>
    <t>Q PFA39 RETURN FILLER 60 X 144</t>
  </si>
  <si>
    <t>NE30PFA390T-5200View Related Links (Alt+6)</t>
  </si>
  <si>
    <t>QIRPFA39NRWZ0 &lt;-View Related Links (Alt+6)</t>
  </si>
  <si>
    <t>SING CHICAGO BLUES 61 1/2 X 56</t>
  </si>
  <si>
    <t>QIRPFA39NSPL0 &lt;-View Related Links (Alt+6)</t>
  </si>
  <si>
    <t>SING CHICAGO BLUES 61 1/2X219</t>
  </si>
  <si>
    <t>QIRPFA39NTNL0 &lt;-View Related Links (Alt+6)</t>
  </si>
  <si>
    <t>SINGING CHICAGO BLUES 61 1/2 X</t>
  </si>
  <si>
    <t>QUBPFA39PPK1View Related Links (Alt+6)</t>
  </si>
  <si>
    <t>J75IQU49NQ36View Related Links (Alt+6)</t>
  </si>
  <si>
    <t>Q PFA39 L S\APP 59.81X67.25</t>
  </si>
  <si>
    <t>200IQU49-520View Related Links (Alt+6)</t>
  </si>
  <si>
    <t>Q PFA39 L SHORT APPR 60 X 144</t>
  </si>
  <si>
    <t>J75IQU50NQ37View Related Links (Alt+6)</t>
  </si>
  <si>
    <t>Q PFA39 R S\ APP 59.81X67.25</t>
  </si>
  <si>
    <t>200IQU50-520View Related Links (Alt+6)</t>
  </si>
  <si>
    <t>Q PFA39 R SHORT APPR 60 X 144</t>
  </si>
  <si>
    <t>J75IQU51NQ38View Related Links (Alt+6)</t>
  </si>
  <si>
    <t>Q PFA39 L  APPR 59.81 X 144.00</t>
  </si>
  <si>
    <t>200IQU51-520View Related Links (Alt+6)</t>
  </si>
  <si>
    <t>Q PFA39 L LONG APPR 60 X 144</t>
  </si>
  <si>
    <t>J75IQU52NQ39View Related Links (Alt+6)</t>
  </si>
  <si>
    <t>Q PFA39 R  APPR 59.81 X 144.00</t>
  </si>
  <si>
    <t>200IQU52-520View Related Links (Alt+6)</t>
  </si>
  <si>
    <t>Q PFA39 R LONG APPR 60 X 144</t>
  </si>
  <si>
    <t>J75IQU56NQ26View Related Links (Alt+6)</t>
  </si>
  <si>
    <t>Q PFA39 RET FILL LONG 15X144.0</t>
  </si>
  <si>
    <t>J75IQU56NQ27View Related Links (Alt+6)</t>
  </si>
  <si>
    <t>Q PFA39 RET FILL SHORT 15 X 61</t>
  </si>
  <si>
    <t>J75IQU53PQ24View Related Links (Alt+6)</t>
  </si>
  <si>
    <t>Q PFA39 FOUL LINE 41.875 X 144</t>
  </si>
  <si>
    <t>200IQU53-120View Related Links (Alt+6)</t>
  </si>
  <si>
    <t>Q PFA39 FOUL LINE 43 X 145</t>
  </si>
  <si>
    <t>J75IQU54PQ25View Related Links (Alt+6)</t>
  </si>
  <si>
    <t>Q PFA39 ARROW  41.875 X 144</t>
  </si>
  <si>
    <t>200IQU54-120View Related Links (Alt+6)</t>
  </si>
  <si>
    <t>Q PFA39 ARROW  43 X 145</t>
  </si>
  <si>
    <t>J75IQU55PQ25View Related Links (Alt+6)</t>
  </si>
  <si>
    <t>Q PFA39 COMMON  41.875 X 144</t>
  </si>
  <si>
    <t>200IQU55-120View Related Links (Alt+6)</t>
  </si>
  <si>
    <t>Q PFA39 COMMON  43 X 145</t>
  </si>
  <si>
    <t>QUBPFA39PPK2View Related Links (Alt+6)</t>
  </si>
  <si>
    <t>J75IQU99NQ27View Related Links (Alt+6)</t>
  </si>
  <si>
    <t>200IQU99-520View Related Links (Alt+6)</t>
  </si>
  <si>
    <t>J75IQU92NQ79View Related Links (Alt+6)</t>
  </si>
  <si>
    <t>Q PFA39 L S\APP 59.81 X 67.25</t>
  </si>
  <si>
    <t>200IQU92-520View Related Links (Alt+6)</t>
  </si>
  <si>
    <t>J75IQU93NQ80View Related Links (Alt+6)</t>
  </si>
  <si>
    <t>Q PFA39 R S\ APP 59.81 X 67.25</t>
  </si>
  <si>
    <t>200IQU93-520View Related Links (Alt+6)</t>
  </si>
  <si>
    <t>J75IQU94NQ81View Related Links (Alt+6)</t>
  </si>
  <si>
    <t>200IQU94-520View Related Links (Alt+6)</t>
  </si>
  <si>
    <t>J75IQU95NQ82View Related Links (Alt+6)</t>
  </si>
  <si>
    <t>200IQU95-520View Related Links (Alt+6)</t>
  </si>
  <si>
    <t>J75IQU99NQ26View Related Links (Alt+6)</t>
  </si>
  <si>
    <t>J75IQU96PQ83View Related Links (Alt+6)</t>
  </si>
  <si>
    <t>200IQU96-120View Related Links (Alt+6)</t>
  </si>
  <si>
    <t>J75IQU97PQ25View Related Links (Alt+6)</t>
  </si>
  <si>
    <t>Q PFA39 ARROW 41.875 X 144</t>
  </si>
  <si>
    <t>200IQU97-120View Related Links (Alt+6)</t>
  </si>
  <si>
    <t>J75IQU98PQ25View Related Links (Alt+6)</t>
  </si>
  <si>
    <t>200IQU98-120View Related Links (Alt+6)</t>
  </si>
  <si>
    <t>QUBPFA39PPK3View Related Links (Alt+6)</t>
  </si>
  <si>
    <t>Q PFA39 SING C/BLUES LEFT LP</t>
  </si>
  <si>
    <t>QUBPFA39PPK4View Related Links (Alt+6)</t>
  </si>
  <si>
    <t>Q PFA39 SING C/BLUES RIGHT LP</t>
  </si>
  <si>
    <t>QUBPFA39PPK5View Related Links (Alt+6)</t>
  </si>
  <si>
    <t>Q PFA39 SING C/BLUES CG 2 LP</t>
  </si>
  <si>
    <t>J75IQ117PQ83View Related Links (Alt+6)</t>
  </si>
  <si>
    <t>Q PFA39 CG FOUL 41.875 X 144</t>
  </si>
  <si>
    <t>200IQ117-120View Related Links (Alt+6)</t>
  </si>
  <si>
    <t>Q PFA39 CG FOUL LINE 43 X 145</t>
  </si>
  <si>
    <t>QUBPFA39PPK6View Related Links (Alt+6)</t>
  </si>
  <si>
    <t>Q PFA39 SING C/BLUES CG LEFT L</t>
  </si>
  <si>
    <t>QUBPFA39PPK7View Related Links (Alt+6)</t>
  </si>
  <si>
    <t>Q PFA39 SING C/BLUES CG R LP</t>
  </si>
  <si>
    <t>QZSPFA39NCMZ0 &lt;-View Related Links (Alt+6)</t>
  </si>
  <si>
    <t>SING CHICAGO BLUES 61 1/2</t>
  </si>
  <si>
    <t>QZSPFA39NFFF0 &lt;-View Related Links (Alt+6)</t>
  </si>
  <si>
    <t>SING CHICAGO BLUES 61 1/2X110</t>
  </si>
  <si>
    <t>QZSPFA39NKRK0 &lt;-View Related Links (Alt+6)</t>
  </si>
  <si>
    <t>SING CHICAGO BLUES 61 1/2 X 98</t>
  </si>
  <si>
    <t>QZSPFA39NLVW0 &lt;-View Related Links (Alt+6)</t>
  </si>
  <si>
    <t>SING CHICAGO BLUES 61 1/2X122</t>
  </si>
  <si>
    <t>QZSPFA39NSPL0 &lt;-View Related Links (Alt+6)</t>
  </si>
  <si>
    <t>S CHICAGO BLUES 61 1/2X219 1/2</t>
  </si>
  <si>
    <t>QZSPFA39NTNL0 &lt;-View Related Links (Alt+6)</t>
  </si>
  <si>
    <t>S CHICAGO BLUES 61 1/2X195 1/2</t>
  </si>
  <si>
    <t>CBPFA39APPK1</t>
  </si>
  <si>
    <t>J46I8944AM31</t>
  </si>
  <si>
    <t>J46I8945AM30</t>
  </si>
  <si>
    <t>J46I8946QM33</t>
  </si>
  <si>
    <t>J46I8947QM32</t>
  </si>
  <si>
    <t>J44I8949PM34</t>
  </si>
  <si>
    <t>J44I8951PM61</t>
  </si>
  <si>
    <t>J44I8953PM36</t>
  </si>
  <si>
    <t>J44I8948PM35</t>
  </si>
  <si>
    <t>J44I8950PM61</t>
  </si>
  <si>
    <t>J44I8952PM37</t>
  </si>
  <si>
    <t>CBPFA39APPK2</t>
  </si>
  <si>
    <t>J25I9152AM51</t>
  </si>
  <si>
    <t>J25I9153AM58</t>
  </si>
  <si>
    <t>J25I9154QM57</t>
  </si>
  <si>
    <t>J25I9155QM56</t>
  </si>
  <si>
    <t>J24I9157PM40</t>
  </si>
  <si>
    <t>J24I9159PM41</t>
  </si>
  <si>
    <t>J24I9159PM42</t>
  </si>
  <si>
    <t>J24I9161PM41</t>
  </si>
  <si>
    <t>J24I9156PM40</t>
  </si>
  <si>
    <t>J24I9158PM41</t>
  </si>
  <si>
    <t>J24I9158PM42</t>
  </si>
  <si>
    <t>J24I9160PM41</t>
  </si>
  <si>
    <t>CBPFA39APPK3</t>
  </si>
  <si>
    <t>J44I8944AM31</t>
  </si>
  <si>
    <t>J44I8945AM30</t>
  </si>
  <si>
    <t>J44I8946QM33</t>
  </si>
  <si>
    <t>J44I8947QM32</t>
  </si>
  <si>
    <t>CBPFA39APPK4</t>
  </si>
  <si>
    <t>J44I9415AM31</t>
  </si>
  <si>
    <t>J44I9420PM34</t>
  </si>
  <si>
    <t>J44I9422PM61</t>
  </si>
  <si>
    <t>J44I9424PM36</t>
  </si>
  <si>
    <t>J44I9416AM30</t>
  </si>
  <si>
    <t>J44I9417QM33</t>
  </si>
  <si>
    <t>J44I9418QM32</t>
  </si>
  <si>
    <t>J44I9419PM35</t>
  </si>
  <si>
    <t>J44I9421PM61</t>
  </si>
  <si>
    <t>J44I9423PM37</t>
  </si>
  <si>
    <t>CBPFA39APPK5</t>
  </si>
  <si>
    <t>J24I9152AM51</t>
  </si>
  <si>
    <t>J24I9153AM58</t>
  </si>
  <si>
    <t>J24I9154QM57</t>
  </si>
  <si>
    <t>J24I9155QM56</t>
  </si>
  <si>
    <t>CBPFA39APPK6</t>
  </si>
  <si>
    <t>CBPFA39APPK7</t>
  </si>
  <si>
    <t>J56I8944AM31</t>
  </si>
  <si>
    <t>J56I8945AM30</t>
  </si>
  <si>
    <t>J56I8946QM33</t>
  </si>
  <si>
    <t>J56I8947QM32</t>
  </si>
  <si>
    <t>J56I8949PM34</t>
  </si>
  <si>
    <t>J56I8951PM61</t>
  </si>
  <si>
    <t>J56I8953PM36</t>
  </si>
  <si>
    <t>J56I8948PM35</t>
  </si>
  <si>
    <t>J56I8950PM61</t>
  </si>
  <si>
    <t>J56I8952PM37</t>
  </si>
  <si>
    <t>D69PFA39N500</t>
  </si>
  <si>
    <t>D69PFA39N520</t>
  </si>
  <si>
    <t>EF31PFA390T-5200</t>
  </si>
  <si>
    <t>F28PFA39GL5801</t>
  </si>
  <si>
    <t>F28PFA39J520</t>
  </si>
  <si>
    <t>F28PFA39N000</t>
  </si>
  <si>
    <t>F28PFA39N020</t>
  </si>
  <si>
    <t>F28PFA39N080</t>
  </si>
  <si>
    <t>F28PFA39N5003</t>
  </si>
  <si>
    <t>F28PFA39N500</t>
  </si>
  <si>
    <t>F28PFA39N520</t>
  </si>
  <si>
    <t>F28PFA39N580</t>
  </si>
  <si>
    <t>F28PFA39SD020</t>
  </si>
  <si>
    <t>F28PFA39SD080</t>
  </si>
  <si>
    <t>F28PFA39SD5003</t>
  </si>
  <si>
    <t>F28PFA39SD500</t>
  </si>
  <si>
    <t>F28PFA39SD5201</t>
  </si>
  <si>
    <t>F28PFA39SD520</t>
  </si>
  <si>
    <t>F28PFA39SD580</t>
  </si>
  <si>
    <t>F39PFA39G020</t>
  </si>
  <si>
    <t>F39PFA39G080</t>
  </si>
  <si>
    <t>F39PFA39G520</t>
  </si>
  <si>
    <t>F39PFA39G580</t>
  </si>
  <si>
    <t>F39PFA39N000</t>
  </si>
  <si>
    <t>F39PFA39N020</t>
  </si>
  <si>
    <t>F39PFA39N080</t>
  </si>
  <si>
    <t>F39PFA39N5003</t>
  </si>
  <si>
    <t>F39PFA39N500</t>
  </si>
  <si>
    <t>F39PFA39N520</t>
  </si>
  <si>
    <t>F39PFA39N580</t>
  </si>
  <si>
    <t>F39PFA39SD000</t>
  </si>
  <si>
    <t>F39PFA39SD020</t>
  </si>
  <si>
    <t>F39PFA39SD080</t>
  </si>
  <si>
    <t>F39PFA39SD5003</t>
  </si>
  <si>
    <t>F39PFA39SD500</t>
  </si>
  <si>
    <t>F39PFA39SD520</t>
  </si>
  <si>
    <t>F39PFA39SD580</t>
  </si>
  <si>
    <t>FI3PFA40N580</t>
  </si>
  <si>
    <t>G24PFA39AM23</t>
  </si>
  <si>
    <t>G24PFA39AM24</t>
  </si>
  <si>
    <t>G24PFA39ARAE</t>
  </si>
  <si>
    <t>G25PFA39ARAE</t>
  </si>
  <si>
    <t>G48PFA39CR520</t>
  </si>
  <si>
    <t>G48PFA39G5201</t>
  </si>
  <si>
    <t>G48PFA39GL5201</t>
  </si>
  <si>
    <t>G48PFA39J020</t>
  </si>
  <si>
    <t>G48PFA39J520</t>
  </si>
  <si>
    <t>G48PFA39N000</t>
  </si>
  <si>
    <t>G48PFA39N020</t>
  </si>
  <si>
    <t>G48PFA39N080</t>
  </si>
  <si>
    <t>G48PFA39N500</t>
  </si>
  <si>
    <t>G48PFA39N520</t>
  </si>
  <si>
    <t>G48PFA39N5801</t>
  </si>
  <si>
    <t>G48PFA39N580</t>
  </si>
  <si>
    <t>G48PFA39SD020</t>
  </si>
  <si>
    <t>G48PFA39SD500</t>
  </si>
  <si>
    <t>G48PFA39SD520</t>
  </si>
  <si>
    <t>G48PFA39SD580</t>
  </si>
  <si>
    <t>J24I9162PM42</t>
  </si>
  <si>
    <t>J24I9163PM42</t>
  </si>
  <si>
    <t>J24I9663QB57</t>
  </si>
  <si>
    <t>J24I9664QB56</t>
  </si>
  <si>
    <t>J44I8950AM38</t>
  </si>
  <si>
    <t>J44I8950AM39</t>
  </si>
  <si>
    <t>J44I8950ASWG</t>
  </si>
  <si>
    <t>J44I9421AM38</t>
  </si>
  <si>
    <t>J44I9421AM39</t>
  </si>
  <si>
    <t>J44I9421ASWG</t>
  </si>
  <si>
    <t>J46I8950AM38</t>
  </si>
  <si>
    <t>J46I8950AM39</t>
  </si>
  <si>
    <t>J46I8950ASWG</t>
  </si>
  <si>
    <t>J56I8950AM38</t>
  </si>
  <si>
    <t>J56I8950ASWG</t>
  </si>
  <si>
    <t>NE30PFA390T-5200</t>
  </si>
  <si>
    <t>QIRPFA39NRWZ0</t>
  </si>
  <si>
    <t>QIRPFA39NSPL0</t>
  </si>
  <si>
    <t>QIRPFA39NTNL0</t>
  </si>
  <si>
    <t>QUBPFA39PPK1</t>
  </si>
  <si>
    <t>J75IQU49NQ36</t>
  </si>
  <si>
    <t>J75IQU50NQ37</t>
  </si>
  <si>
    <t>J75IQU51NQ38</t>
  </si>
  <si>
    <t>J75IQU52NQ39</t>
  </si>
  <si>
    <t>J75IQU56NQ26</t>
  </si>
  <si>
    <t>J75IQU56NQ27</t>
  </si>
  <si>
    <t>J75IQU53PQ24</t>
  </si>
  <si>
    <t>J75IQU54PQ25</t>
  </si>
  <si>
    <t>J75IQU55PQ25</t>
  </si>
  <si>
    <t>J75IQU99NQ27</t>
  </si>
  <si>
    <t>J75IQU92NQ79</t>
  </si>
  <si>
    <t>J75IQU93NQ80</t>
  </si>
  <si>
    <t>J75IQU94NQ81</t>
  </si>
  <si>
    <t>J75IQU95NQ82</t>
  </si>
  <si>
    <t>J75IQU99NQ26</t>
  </si>
  <si>
    <t>J75IQU96PQ83</t>
  </si>
  <si>
    <t>J75IQU97PQ25</t>
  </si>
  <si>
    <t>J75IQU98PQ25</t>
  </si>
  <si>
    <t>QUBPFA39PPK3</t>
  </si>
  <si>
    <t>QUBPFA39PPK4</t>
  </si>
  <si>
    <t>QUBPFA39PPK5</t>
  </si>
  <si>
    <t>J75IQ117PQ83</t>
  </si>
  <si>
    <t>QUBPFA39PPK6</t>
  </si>
  <si>
    <t>QUBPFA39PPK7</t>
  </si>
  <si>
    <t>QZSPFA39NCMZ0</t>
  </si>
  <si>
    <t>QZSPFA39NFFF0</t>
  </si>
  <si>
    <t>QZSPFA39NKRK0</t>
  </si>
  <si>
    <t>QZSPFA39NLVW0</t>
  </si>
  <si>
    <t>QZSPFA39NSPL0</t>
  </si>
  <si>
    <t>QZSPFA39NTNL0</t>
  </si>
  <si>
    <t>Sum
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</si>
</sst>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0"/>
    <numFmt numFmtId="165" formatCode="mm/dd/yy;@"/>
  </numFmts>
  <fonts count="7">
    <font>
      <sz val="10"/>
      <name val="Arial Unicode MS"/>
    </font>
    <font>
      <b/>
      <sz val="10"/>
      <name val="Arial Unicode MS"/>
    </font>
    <font>
      <u/>
      <sz val="10"/>
      <color theme="10"/>
      <name val="Arial Unicode MS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8"/>
      <name val="Arial Unicode MS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">
    <xf numFmtId="0" fontId="0" fillId="0" borderId="0" xfId="0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0" fillId="0" borderId="0" xfId="0" applyAlignment="1">
      <alignment horizontal="right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49" fontId="3" fillId="0" borderId="0" xfId="0" applyNumberFormat="1" applyFont="1"/>
    <xf numFmtId="14" fontId="3" fillId="0" borderId="0" xfId="0" applyNumberFormat="1" applyFont="1"/>
    <xf numFmtId="0" fontId="4" fillId="0" borderId="0" xfId="0" applyFont="1" applyAlignment="1">
      <alignment horizontal="center" vertical="center" wrapText="1"/>
    </xf>
    <xf numFmtId="165" fontId="3" fillId="0" borderId="0" xfId="0" applyNumberFormat="1" applyFont="1"/>
    <xf numFmtId="38" fontId="3" fillId="0" borderId="0" xfId="0" applyNumberFormat="1" applyFont="1"/>
    <xf numFmtId="0" fontId="0" fillId="3" borderId="0" xfId="0" applyFill="1"/>
    <xf numFmtId="0" fontId="0" fillId="4" borderId="2" xfId="0" applyFill="1" applyBorder="1"/>
    <xf numFmtId="0" fontId="0" fillId="4" borderId="2" xfId="0" applyFill="1" applyBorder="1" applyAlignment="1">
      <alignment horizontal="right" vertical="center" wrapText="1"/>
    </xf>
    <xf numFmtId="0" fontId="4" fillId="4" borderId="2" xfId="0" applyFont="1" applyFill="1" applyBorder="1" applyAlignment="1">
      <alignment horizontal="center" vertical="center" wrapText="1"/>
    </xf>
    <xf numFmtId="49" fontId="4" fillId="4" borderId="2" xfId="0" applyNumberFormat="1" applyFont="1" applyFill="1" applyBorder="1" applyAlignment="1">
      <alignment horizontal="center" vertical="center" wrapText="1"/>
    </xf>
    <xf numFmtId="38" fontId="4" fillId="4" borderId="2" xfId="0" applyNumberFormat="1" applyFont="1" applyFill="1" applyBorder="1" applyAlignment="1">
      <alignment horizontal="center" vertical="center" wrapText="1"/>
    </xf>
    <xf numFmtId="165" fontId="4" fillId="4" borderId="3" xfId="0" applyNumberFormat="1" applyFont="1" applyFill="1" applyBorder="1" applyAlignment="1">
      <alignment horizontal="center" vertical="center" wrapText="1"/>
    </xf>
    <xf numFmtId="14" fontId="4" fillId="5" borderId="4" xfId="0" applyNumberFormat="1" applyFont="1" applyFill="1" applyBorder="1" applyAlignment="1">
      <alignment horizontal="center" vertical="center" wrapText="1"/>
    </xf>
    <xf numFmtId="14" fontId="4" fillId="5" borderId="5" xfId="0" applyNumberFormat="1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2" fillId="0" borderId="0" xfId="1" applyAlignment="1">
      <alignment horizontal="left" vertical="center"/>
    </xf>
    <xf numFmtId="14" fontId="0" fillId="0" borderId="0" xfId="0" applyNumberFormat="1" applyAlignment="1">
      <alignment horizontal="left" vertical="center" wrapText="1"/>
    </xf>
    <xf numFmtId="43" fontId="0" fillId="0" borderId="0" xfId="0" applyNumberFormat="1"/>
    <xf numFmtId="49" fontId="1" fillId="2" borderId="1" xfId="0" applyNumberFormat="1" applyFont="1" applyFill="1" applyBorder="1"/>
    <xf numFmtId="0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3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8" fontId="0" fillId="0" borderId="0" xfId="0" applyNumberForma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5"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6');" TargetMode="External"/><Relationship Id="rId299" Type="http://schemas.openxmlformats.org/officeDocument/2006/relationships/hyperlink" Target="javascript:submitAction_win0(document.win0,'EN_BOMINQ_WRK_BOM_COMPONENT_DISP$popup$298');" TargetMode="External"/><Relationship Id="rId21" Type="http://schemas.openxmlformats.org/officeDocument/2006/relationships/hyperlink" Target="javascript:submitAction_win0(document.win0,'EN_BOMINQ_WRK_BOM_COMPONENT_DISP$popup$20');" TargetMode="External"/><Relationship Id="rId63" Type="http://schemas.openxmlformats.org/officeDocument/2006/relationships/hyperlink" Target="javascript:submitAction_win0(document.win0,'EN_BOMINQ_WRK_BOM_COMPONENT_DISP$popup$62');" TargetMode="External"/><Relationship Id="rId159" Type="http://schemas.openxmlformats.org/officeDocument/2006/relationships/hyperlink" Target="javascript:submitAction_win0(document.win0,'EN_BOMINQ_WRK_BOM_COMPONENT_DISP$popup$158');" TargetMode="External"/><Relationship Id="rId324" Type="http://schemas.openxmlformats.org/officeDocument/2006/relationships/hyperlink" Target="javascript:submitAction_win0(document.win0,'EN_BOMINQ_WRK_BOM_COMPONENT_DISP$popup$323');" TargetMode="External"/><Relationship Id="rId366" Type="http://schemas.openxmlformats.org/officeDocument/2006/relationships/hyperlink" Target="javascript:submitAction_win0(document.win0,'EN_BOMINQ_WRK_BOM_COMPONENT_DISP$popup$365');" TargetMode="External"/><Relationship Id="rId170" Type="http://schemas.openxmlformats.org/officeDocument/2006/relationships/hyperlink" Target="javascript:submitAction_win0(document.win0,'EN_BOMINQ_WRK_BOM_COMPONENT_DISP$popup$169');" TargetMode="External"/><Relationship Id="rId226" Type="http://schemas.openxmlformats.org/officeDocument/2006/relationships/hyperlink" Target="javascript:submitAction_win0(document.win0,'EN_BOMINQ_WRK_BOM_COMPONENT_DISP$popup$225');" TargetMode="External"/><Relationship Id="rId433" Type="http://schemas.openxmlformats.org/officeDocument/2006/relationships/hyperlink" Target="javascript:submitAction_win0(document.win0,'EN_BOMINQ_WRK_BOM_COMPONENT_DISP$popup$432');" TargetMode="External"/><Relationship Id="rId268" Type="http://schemas.openxmlformats.org/officeDocument/2006/relationships/hyperlink" Target="javascript:submitAction_win0(document.win0,'EN_BOMINQ_WRK_BOM_COMPONENT_DISP$popup$267');" TargetMode="External"/><Relationship Id="rId475" Type="http://schemas.openxmlformats.org/officeDocument/2006/relationships/hyperlink" Target="javascript:submitAction_win0(document.win0,'EN_BOMINQ_WRK_BOM_COMPONENT_DISP$popup$474');" TargetMode="External"/><Relationship Id="rId32" Type="http://schemas.openxmlformats.org/officeDocument/2006/relationships/hyperlink" Target="javascript:submitAction_win0(document.win0,'EN_BOMINQ_WRK_BOM_COMPONENT_DISP$popup$31');" TargetMode="External"/><Relationship Id="rId74" Type="http://schemas.openxmlformats.org/officeDocument/2006/relationships/hyperlink" Target="javascript:submitAction_win0(document.win0,'EN_BOMINQ_WRK_BOM_COMPONENT_DISP$popup$73');" TargetMode="External"/><Relationship Id="rId128" Type="http://schemas.openxmlformats.org/officeDocument/2006/relationships/hyperlink" Target="javascript:submitAction_win0(document.win0,'EN_BOMINQ_WRK_BOM_COMPONENT_DISP$popup$127');" TargetMode="External"/><Relationship Id="rId335" Type="http://schemas.openxmlformats.org/officeDocument/2006/relationships/hyperlink" Target="javascript:submitAction_win0(document.win0,'EN_BOMINQ_WRK_BOM_COMPONENT_DISP$popup$334');" TargetMode="External"/><Relationship Id="rId377" Type="http://schemas.openxmlformats.org/officeDocument/2006/relationships/hyperlink" Target="javascript:submitAction_win0(document.win0,'EN_BOMINQ_WRK_BOM_COMPONENT_DISP$popup$376');" TargetMode="External"/><Relationship Id="rId500" Type="http://schemas.openxmlformats.org/officeDocument/2006/relationships/hyperlink" Target="javascript:submitAction_win0(document.win0,'EN_BOMINQ_WRK_BOM_COMPONENT_DISP$popup$499');" TargetMode="External"/><Relationship Id="rId5" Type="http://schemas.openxmlformats.org/officeDocument/2006/relationships/hyperlink" Target="javascript:submitAction_win0(document.win0,'EN_BOMINQ_WRK_BOM_COMPONENT_DISP$popup$4');" TargetMode="External"/><Relationship Id="rId181" Type="http://schemas.openxmlformats.org/officeDocument/2006/relationships/hyperlink" Target="javascript:submitAction_win0(document.win0,'EN_BOMINQ_WRK_BOM_COMPONENT_DISP$popup$180');" TargetMode="External"/><Relationship Id="rId237" Type="http://schemas.openxmlformats.org/officeDocument/2006/relationships/hyperlink" Target="javascript:submitAction_win0(document.win0,'EN_BOMINQ_WRK_BOM_COMPONENT_DISP$popup$236');" TargetMode="External"/><Relationship Id="rId402" Type="http://schemas.openxmlformats.org/officeDocument/2006/relationships/hyperlink" Target="javascript:submitAction_win0(document.win0,'EN_BOMINQ_WRK_BOM_COMPONENT_DISP$popup$401');" TargetMode="External"/><Relationship Id="rId279" Type="http://schemas.openxmlformats.org/officeDocument/2006/relationships/hyperlink" Target="javascript:submitAction_win0(document.win0,'EN_BOMINQ_WRK_BOM_COMPONENT_DISP$popup$278');" TargetMode="External"/><Relationship Id="rId444" Type="http://schemas.openxmlformats.org/officeDocument/2006/relationships/hyperlink" Target="javascript:submitAction_win0(document.win0,'EN_BOMINQ_WRK_BOM_COMPONENT_DISP$popup$443');" TargetMode="External"/><Relationship Id="rId486" Type="http://schemas.openxmlformats.org/officeDocument/2006/relationships/hyperlink" Target="javascript:submitAction_win0(document.win0,'EN_BOMINQ_WRK_BOM_COMPONENT_DISP$popup$485');" TargetMode="External"/><Relationship Id="rId43" Type="http://schemas.openxmlformats.org/officeDocument/2006/relationships/hyperlink" Target="javascript:submitAction_win0(document.win0,'EN_BOMINQ_WRK_BOM_COMPONENT_DISP$popup$42');" TargetMode="External"/><Relationship Id="rId139" Type="http://schemas.openxmlformats.org/officeDocument/2006/relationships/hyperlink" Target="javascript:submitAction_win0(document.win0,'EN_BOMINQ_WRK_BOM_COMPONENT_DISP$popup$138');" TargetMode="External"/><Relationship Id="rId290" Type="http://schemas.openxmlformats.org/officeDocument/2006/relationships/hyperlink" Target="javascript:submitAction_win0(document.win0,'EN_BOMINQ_WRK_BOM_COMPONENT_DISP$popup$289');" TargetMode="External"/><Relationship Id="rId304" Type="http://schemas.openxmlformats.org/officeDocument/2006/relationships/hyperlink" Target="javascript:submitAction_win0(document.win0,'EN_BOMINQ_WRK_BOM_COMPONENT_DISP$popup$303');" TargetMode="External"/><Relationship Id="rId346" Type="http://schemas.openxmlformats.org/officeDocument/2006/relationships/hyperlink" Target="javascript:submitAction_win0(document.win0,'EN_BOMINQ_WRK_BOM_COMPONENT_DISP$popup$345');" TargetMode="External"/><Relationship Id="rId388" Type="http://schemas.openxmlformats.org/officeDocument/2006/relationships/hyperlink" Target="javascript:submitAction_win0(document.win0,'EN_BOMINQ_WRK_BOM_COMPONENT_DISP$popup$387');" TargetMode="External"/><Relationship Id="rId85" Type="http://schemas.openxmlformats.org/officeDocument/2006/relationships/hyperlink" Target="javascript:submitAction_win0(document.win0,'EN_BOMINQ_WRK_BOM_COMPONENT_DISP$popup$84');" TargetMode="External"/><Relationship Id="rId150" Type="http://schemas.openxmlformats.org/officeDocument/2006/relationships/hyperlink" Target="javascript:submitAction_win0(document.win0,'EN_BOMINQ_WRK_BOM_COMPONENT_DISP$popup$149');" TargetMode="External"/><Relationship Id="rId192" Type="http://schemas.openxmlformats.org/officeDocument/2006/relationships/hyperlink" Target="javascript:submitAction_win0(document.win0,'EN_BOMINQ_WRK_BOM_COMPONENT_DISP$popup$191');" TargetMode="External"/><Relationship Id="rId206" Type="http://schemas.openxmlformats.org/officeDocument/2006/relationships/hyperlink" Target="javascript:submitAction_win0(document.win0,'EN_BOMINQ_WRK_BOM_COMPONENT_DISP$popup$205');" TargetMode="External"/><Relationship Id="rId413" Type="http://schemas.openxmlformats.org/officeDocument/2006/relationships/hyperlink" Target="javascript:submitAction_win0(document.win0,'EN_BOMINQ_WRK_BOM_COMPONENT_DISP$popup$412');" TargetMode="External"/><Relationship Id="rId248" Type="http://schemas.openxmlformats.org/officeDocument/2006/relationships/hyperlink" Target="javascript:submitAction_win0(document.win0,'EN_BOMINQ_WRK_BOM_COMPONENT_DISP$popup$247');" TargetMode="External"/><Relationship Id="rId455" Type="http://schemas.openxmlformats.org/officeDocument/2006/relationships/hyperlink" Target="javascript:submitAction_win0(document.win0,'EN_BOMINQ_WRK_BOM_COMPONENT_DISP$popup$454');" TargetMode="External"/><Relationship Id="rId497" Type="http://schemas.openxmlformats.org/officeDocument/2006/relationships/hyperlink" Target="javascript:submitAction_win0(document.win0,'EN_BOMINQ_WRK_BOM_COMPONENT_DISP$popup$496');" TargetMode="External"/><Relationship Id="rId12" Type="http://schemas.openxmlformats.org/officeDocument/2006/relationships/hyperlink" Target="javascript:submitAction_win0(document.win0,'EN_BOMINQ_WRK_BOM_COMPONENT_DISP$popup$11');" TargetMode="External"/><Relationship Id="rId108" Type="http://schemas.openxmlformats.org/officeDocument/2006/relationships/hyperlink" Target="javascript:submitAction_win0(document.win0,'EN_BOMINQ_WRK_BOM_COMPONENT_DISP$popup$107');" TargetMode="External"/><Relationship Id="rId315" Type="http://schemas.openxmlformats.org/officeDocument/2006/relationships/hyperlink" Target="javascript:submitAction_win0(document.win0,'EN_BOMINQ_WRK_BOM_COMPONENT_DISP$popup$314');" TargetMode="External"/><Relationship Id="rId357" Type="http://schemas.openxmlformats.org/officeDocument/2006/relationships/hyperlink" Target="javascript:submitAction_win0(document.win0,'EN_BOMINQ_WRK_BOM_COMPONENT_DISP$popup$356');" TargetMode="External"/><Relationship Id="rId54" Type="http://schemas.openxmlformats.org/officeDocument/2006/relationships/hyperlink" Target="javascript:submitAction_win0(document.win0,'EN_BOMINQ_WRK_BOM_COMPONENT_DISP$popup$53');" TargetMode="External"/><Relationship Id="rId96" Type="http://schemas.openxmlformats.org/officeDocument/2006/relationships/hyperlink" Target="javascript:submitAction_win0(document.win0,'EN_BOMINQ_WRK_BOM_COMPONENT_DISP$popup$95');" TargetMode="External"/><Relationship Id="rId161" Type="http://schemas.openxmlformats.org/officeDocument/2006/relationships/hyperlink" Target="javascript:submitAction_win0(document.win0,'EN_BOMINQ_WRK_BOM_COMPONENT_DISP$popup$160');" TargetMode="External"/><Relationship Id="rId217" Type="http://schemas.openxmlformats.org/officeDocument/2006/relationships/hyperlink" Target="javascript:submitAction_win0(document.win0,'EN_BOMINQ_WRK_BOM_COMPONENT_DISP$popup$216');" TargetMode="External"/><Relationship Id="rId399" Type="http://schemas.openxmlformats.org/officeDocument/2006/relationships/hyperlink" Target="javascript:submitAction_win0(document.win0,'EN_BOMINQ_WRK_BOM_COMPONENT_DISP$popup$398');" TargetMode="External"/><Relationship Id="rId259" Type="http://schemas.openxmlformats.org/officeDocument/2006/relationships/hyperlink" Target="javascript:submitAction_win0(document.win0,'EN_BOMINQ_WRK_BOM_COMPONENT_DISP$popup$258');" TargetMode="External"/><Relationship Id="rId424" Type="http://schemas.openxmlformats.org/officeDocument/2006/relationships/hyperlink" Target="javascript:submitAction_win0(document.win0,'EN_BOMINQ_WRK_BOM_COMPONENT_DISP$popup$423');" TargetMode="External"/><Relationship Id="rId466" Type="http://schemas.openxmlformats.org/officeDocument/2006/relationships/hyperlink" Target="javascript:submitAction_win0(document.win0,'EN_BOMINQ_WRK_BOM_COMPONENT_DISP$popup$465');" TargetMode="External"/><Relationship Id="rId23" Type="http://schemas.openxmlformats.org/officeDocument/2006/relationships/hyperlink" Target="javascript:submitAction_win0(document.win0,'EN_BOMINQ_WRK_BOM_COMPONENT_DISP$popup$22');" TargetMode="External"/><Relationship Id="rId119" Type="http://schemas.openxmlformats.org/officeDocument/2006/relationships/hyperlink" Target="javascript:submitAction_win0(document.win0,'EN_BOMINQ_WRK_BOM_COMPONENT_DISP$popup$118');" TargetMode="External"/><Relationship Id="rId270" Type="http://schemas.openxmlformats.org/officeDocument/2006/relationships/hyperlink" Target="javascript:submitAction_win0(document.win0,'EN_BOMINQ_WRK_BOM_COMPONENT_DISP$popup$269');" TargetMode="External"/><Relationship Id="rId326" Type="http://schemas.openxmlformats.org/officeDocument/2006/relationships/hyperlink" Target="javascript:submitAction_win0(document.win0,'EN_BOMINQ_WRK_BOM_COMPONENT_DISP$popup$325');" TargetMode="External"/><Relationship Id="rId65" Type="http://schemas.openxmlformats.org/officeDocument/2006/relationships/hyperlink" Target="javascript:submitAction_win0(document.win0,'EN_BOMINQ_WRK_BOM_COMPONENT_DISP$popup$64');" TargetMode="External"/><Relationship Id="rId130" Type="http://schemas.openxmlformats.org/officeDocument/2006/relationships/hyperlink" Target="javascript:submitAction_win0(document.win0,'EN_BOMINQ_WRK_BOM_COMPONENT_DISP$popup$129');" TargetMode="External"/><Relationship Id="rId368" Type="http://schemas.openxmlformats.org/officeDocument/2006/relationships/hyperlink" Target="javascript:submitAction_win0(document.win0,'EN_BOMINQ_WRK_BOM_COMPONENT_DISP$popup$367');" TargetMode="External"/><Relationship Id="rId172" Type="http://schemas.openxmlformats.org/officeDocument/2006/relationships/hyperlink" Target="javascript:submitAction_win0(document.win0,'EN_BOMINQ_WRK_BOM_COMPONENT_DISP$popup$171');" TargetMode="External"/><Relationship Id="rId228" Type="http://schemas.openxmlformats.org/officeDocument/2006/relationships/hyperlink" Target="javascript:submitAction_win0(document.win0,'EN_BOMINQ_WRK_BOM_COMPONENT_DISP$popup$227');" TargetMode="External"/><Relationship Id="rId435" Type="http://schemas.openxmlformats.org/officeDocument/2006/relationships/hyperlink" Target="javascript:submitAction_win0(document.win0,'EN_BOMINQ_WRK_BOM_COMPONENT_DISP$popup$434');" TargetMode="External"/><Relationship Id="rId477" Type="http://schemas.openxmlformats.org/officeDocument/2006/relationships/hyperlink" Target="javascript:submitAction_win0(document.win0,'EN_BOMINQ_WRK_BOM_COMPONENT_DISP$popup$476');" TargetMode="External"/><Relationship Id="rId281" Type="http://schemas.openxmlformats.org/officeDocument/2006/relationships/hyperlink" Target="javascript:submitAction_win0(document.win0,'EN_BOMINQ_WRK_BOM_COMPONENT_DISP$popup$280');" TargetMode="External"/><Relationship Id="rId337" Type="http://schemas.openxmlformats.org/officeDocument/2006/relationships/hyperlink" Target="javascript:submitAction_win0(document.win0,'EN_BOMINQ_WRK_BOM_COMPONENT_DISP$popup$336');" TargetMode="External"/><Relationship Id="rId34" Type="http://schemas.openxmlformats.org/officeDocument/2006/relationships/hyperlink" Target="javascript:submitAction_win0(document.win0,'EN_BOMINQ_WRK_BOM_COMPONENT_DISP$popup$33');" TargetMode="External"/><Relationship Id="rId76" Type="http://schemas.openxmlformats.org/officeDocument/2006/relationships/hyperlink" Target="javascript:submitAction_win0(document.win0,'EN_BOMINQ_WRK_BOM_COMPONENT_DISP$popup$75');" TargetMode="External"/><Relationship Id="rId141" Type="http://schemas.openxmlformats.org/officeDocument/2006/relationships/hyperlink" Target="javascript:submitAction_win0(document.win0,'EN_BOMINQ_WRK_BOM_COMPONENT_DISP$popup$140');" TargetMode="External"/><Relationship Id="rId379" Type="http://schemas.openxmlformats.org/officeDocument/2006/relationships/hyperlink" Target="javascript:submitAction_win0(document.win0,'EN_BOMINQ_WRK_BOM_COMPONENT_DISP$popup$378');" TargetMode="External"/><Relationship Id="rId7" Type="http://schemas.openxmlformats.org/officeDocument/2006/relationships/hyperlink" Target="javascript:submitAction_win0(document.win0,'EN_BOMINQ_WRK_BOM_COMPONENT_DISP$popup$6');" TargetMode="External"/><Relationship Id="rId183" Type="http://schemas.openxmlformats.org/officeDocument/2006/relationships/hyperlink" Target="javascript:submitAction_win0(document.win0,'EN_BOMINQ_WRK_BOM_COMPONENT_DISP$popup$182');" TargetMode="External"/><Relationship Id="rId239" Type="http://schemas.openxmlformats.org/officeDocument/2006/relationships/hyperlink" Target="javascript:submitAction_win0(document.win0,'EN_BOMINQ_WRK_BOM_COMPONENT_DISP$popup$238');" TargetMode="External"/><Relationship Id="rId390" Type="http://schemas.openxmlformats.org/officeDocument/2006/relationships/hyperlink" Target="javascript:submitAction_win0(document.win0,'EN_BOMINQ_WRK_BOM_COMPONENT_DISP$popup$389');" TargetMode="External"/><Relationship Id="rId404" Type="http://schemas.openxmlformats.org/officeDocument/2006/relationships/hyperlink" Target="javascript:submitAction_win0(document.win0,'EN_BOMINQ_WRK_BOM_COMPONENT_DISP$popup$403');" TargetMode="External"/><Relationship Id="rId446" Type="http://schemas.openxmlformats.org/officeDocument/2006/relationships/hyperlink" Target="javascript:submitAction_win0(document.win0,'EN_BOMINQ_WRK_BOM_COMPONENT_DISP$popup$445');" TargetMode="External"/><Relationship Id="rId250" Type="http://schemas.openxmlformats.org/officeDocument/2006/relationships/hyperlink" Target="javascript:submitAction_win0(document.win0,'EN_BOMINQ_WRK_BOM_COMPONENT_DISP$popup$249');" TargetMode="External"/><Relationship Id="rId292" Type="http://schemas.openxmlformats.org/officeDocument/2006/relationships/hyperlink" Target="javascript:submitAction_win0(document.win0,'EN_BOMINQ_WRK_BOM_COMPONENT_DISP$popup$291');" TargetMode="External"/><Relationship Id="rId306" Type="http://schemas.openxmlformats.org/officeDocument/2006/relationships/hyperlink" Target="javascript:submitAction_win0(document.win0,'EN_BOMINQ_WRK_BOM_COMPONENT_DISP$popup$305');" TargetMode="External"/><Relationship Id="rId488" Type="http://schemas.openxmlformats.org/officeDocument/2006/relationships/hyperlink" Target="javascript:submitAction_win0(document.win0,'EN_BOMINQ_WRK_BOM_COMPONENT_DISP$popup$487');" TargetMode="External"/><Relationship Id="rId24" Type="http://schemas.openxmlformats.org/officeDocument/2006/relationships/hyperlink" Target="javascript:submitAction_win0(document.win0,'EN_BOMINQ_WRK_BOM_COMPONENT_DISP$popup$23');" TargetMode="External"/><Relationship Id="rId45" Type="http://schemas.openxmlformats.org/officeDocument/2006/relationships/hyperlink" Target="javascript:submitAction_win0(document.win0,'EN_BOMINQ_WRK_BOM_COMPONENT_DISP$popup$44');" TargetMode="External"/><Relationship Id="rId66" Type="http://schemas.openxmlformats.org/officeDocument/2006/relationships/hyperlink" Target="javascript:submitAction_win0(document.win0,'EN_BOMINQ_WRK_BOM_COMPONENT_DISP$popup$65');" TargetMode="External"/><Relationship Id="rId87" Type="http://schemas.openxmlformats.org/officeDocument/2006/relationships/hyperlink" Target="javascript:submitAction_win0(document.win0,'EN_BOMINQ_WRK_BOM_COMPONENT_DISP$popup$86');" TargetMode="External"/><Relationship Id="rId110" Type="http://schemas.openxmlformats.org/officeDocument/2006/relationships/hyperlink" Target="javascript:submitAction_win0(document.win0,'EN_BOMINQ_WRK_BOM_COMPONENT_DISP$popup$109');" TargetMode="External"/><Relationship Id="rId131" Type="http://schemas.openxmlformats.org/officeDocument/2006/relationships/hyperlink" Target="javascript:submitAction_win0(document.win0,'EN_BOMINQ_WRK_BOM_COMPONENT_DISP$popup$130');" TargetMode="External"/><Relationship Id="rId327" Type="http://schemas.openxmlformats.org/officeDocument/2006/relationships/hyperlink" Target="javascript:submitAction_win0(document.win0,'EN_BOMINQ_WRK_BOM_COMPONENT_DISP$popup$326');" TargetMode="External"/><Relationship Id="rId348" Type="http://schemas.openxmlformats.org/officeDocument/2006/relationships/hyperlink" Target="javascript:submitAction_win0(document.win0,'EN_BOMINQ_WRK_BOM_COMPONENT_DISP$popup$347');" TargetMode="External"/><Relationship Id="rId369" Type="http://schemas.openxmlformats.org/officeDocument/2006/relationships/hyperlink" Target="javascript:submitAction_win0(document.win0,'EN_BOMINQ_WRK_BOM_COMPONENT_DISP$popup$368');" TargetMode="External"/><Relationship Id="rId152" Type="http://schemas.openxmlformats.org/officeDocument/2006/relationships/hyperlink" Target="javascript:submitAction_win0(document.win0,'EN_BOMINQ_WRK_BOM_COMPONENT_DISP$popup$151');" TargetMode="External"/><Relationship Id="rId173" Type="http://schemas.openxmlformats.org/officeDocument/2006/relationships/hyperlink" Target="javascript:submitAction_win0(document.win0,'EN_BOMINQ_WRK_BOM_COMPONENT_DISP$popup$172');" TargetMode="External"/><Relationship Id="rId194" Type="http://schemas.openxmlformats.org/officeDocument/2006/relationships/hyperlink" Target="javascript:submitAction_win0(document.win0,'EN_BOMINQ_WRK_BOM_COMPONENT_DISP$popup$193');" TargetMode="External"/><Relationship Id="rId208" Type="http://schemas.openxmlformats.org/officeDocument/2006/relationships/hyperlink" Target="javascript:submitAction_win0(document.win0,'EN_BOMINQ_WRK_BOM_COMPONENT_DISP$popup$207');" TargetMode="External"/><Relationship Id="rId229" Type="http://schemas.openxmlformats.org/officeDocument/2006/relationships/hyperlink" Target="javascript:submitAction_win0(document.win0,'EN_BOMINQ_WRK_BOM_COMPONENT_DISP$popup$228');" TargetMode="External"/><Relationship Id="rId380" Type="http://schemas.openxmlformats.org/officeDocument/2006/relationships/hyperlink" Target="javascript:submitAction_win0(document.win0,'EN_BOMINQ_WRK_BOM_COMPONENT_DISP$popup$379');" TargetMode="External"/><Relationship Id="rId415" Type="http://schemas.openxmlformats.org/officeDocument/2006/relationships/hyperlink" Target="javascript:submitAction_win0(document.win0,'EN_BOMINQ_WRK_BOM_COMPONENT_DISP$popup$414');" TargetMode="External"/><Relationship Id="rId436" Type="http://schemas.openxmlformats.org/officeDocument/2006/relationships/hyperlink" Target="javascript:submitAction_win0(document.win0,'EN_BOMINQ_WRK_BOM_COMPONENT_DISP$popup$435');" TargetMode="External"/><Relationship Id="rId457" Type="http://schemas.openxmlformats.org/officeDocument/2006/relationships/hyperlink" Target="javascript:submitAction_win0(document.win0,'EN_BOMINQ_WRK_BOM_COMPONENT_DISP$popup$456');" TargetMode="External"/><Relationship Id="rId240" Type="http://schemas.openxmlformats.org/officeDocument/2006/relationships/hyperlink" Target="javascript:submitAction_win0(document.win0,'EN_BOMINQ_WRK_BOM_COMPONENT_DISP$popup$239');" TargetMode="External"/><Relationship Id="rId261" Type="http://schemas.openxmlformats.org/officeDocument/2006/relationships/hyperlink" Target="javascript:submitAction_win0(document.win0,'EN_BOMINQ_WRK_BOM_COMPONENT_DISP$popup$260');" TargetMode="External"/><Relationship Id="rId478" Type="http://schemas.openxmlformats.org/officeDocument/2006/relationships/hyperlink" Target="javascript:submitAction_win0(document.win0,'EN_BOMINQ_WRK_BOM_COMPONENT_DISP$popup$477');" TargetMode="External"/><Relationship Id="rId499" Type="http://schemas.openxmlformats.org/officeDocument/2006/relationships/hyperlink" Target="javascript:submitAction_win0(document.win0,'EN_BOMINQ_WRK_BOM_COMPONENT_DISP$popup$498');" TargetMode="External"/><Relationship Id="rId14" Type="http://schemas.openxmlformats.org/officeDocument/2006/relationships/hyperlink" Target="javascript:submitAction_win0(document.win0,'EN_BOMINQ_WRK_BOM_COMPONENT_DISP$popup$13');" TargetMode="External"/><Relationship Id="rId35" Type="http://schemas.openxmlformats.org/officeDocument/2006/relationships/hyperlink" Target="javascript:submitAction_win0(document.win0,'EN_BOMINQ_WRK_BOM_COMPONENT_DISP$popup$34');" TargetMode="External"/><Relationship Id="rId56" Type="http://schemas.openxmlformats.org/officeDocument/2006/relationships/hyperlink" Target="javascript:submitAction_win0(document.win0,'EN_BOMINQ_WRK_BOM_COMPONENT_DISP$popup$55');" TargetMode="External"/><Relationship Id="rId77" Type="http://schemas.openxmlformats.org/officeDocument/2006/relationships/hyperlink" Target="javascript:submitAction_win0(document.win0,'EN_BOMINQ_WRK_BOM_COMPONENT_DISP$popup$76');" TargetMode="External"/><Relationship Id="rId100" Type="http://schemas.openxmlformats.org/officeDocument/2006/relationships/hyperlink" Target="javascript:submitAction_win0(document.win0,'EN_BOMINQ_WRK_BOM_COMPONENT_DISP$popup$99');" TargetMode="External"/><Relationship Id="rId282" Type="http://schemas.openxmlformats.org/officeDocument/2006/relationships/hyperlink" Target="javascript:submitAction_win0(document.win0,'EN_BOMINQ_WRK_BOM_COMPONENT_DISP$popup$281');" TargetMode="External"/><Relationship Id="rId317" Type="http://schemas.openxmlformats.org/officeDocument/2006/relationships/hyperlink" Target="javascript:submitAction_win0(document.win0,'EN_BOMINQ_WRK_BOM_COMPONENT_DISP$popup$316');" TargetMode="External"/><Relationship Id="rId338" Type="http://schemas.openxmlformats.org/officeDocument/2006/relationships/hyperlink" Target="javascript:submitAction_win0(document.win0,'EN_BOMINQ_WRK_BOM_COMPONENT_DISP$popup$337');" TargetMode="External"/><Relationship Id="rId359" Type="http://schemas.openxmlformats.org/officeDocument/2006/relationships/hyperlink" Target="javascript:submitAction_win0(document.win0,'EN_BOMINQ_WRK_BOM_COMPONENT_DISP$popup$358');" TargetMode="External"/><Relationship Id="rId8" Type="http://schemas.openxmlformats.org/officeDocument/2006/relationships/hyperlink" Target="javascript:submitAction_win0(document.win0,'EN_BOMINQ_WRK_BOM_COMPONENT_DISP$popup$7');" TargetMode="External"/><Relationship Id="rId98" Type="http://schemas.openxmlformats.org/officeDocument/2006/relationships/hyperlink" Target="javascript:submitAction_win0(document.win0,'EN_BOMINQ_WRK_BOM_COMPONENT_DISP$popup$97');" TargetMode="External"/><Relationship Id="rId121" Type="http://schemas.openxmlformats.org/officeDocument/2006/relationships/hyperlink" Target="javascript:submitAction_win0(document.win0,'EN_BOMINQ_WRK_BOM_COMPONENT_DISP$popup$120');" TargetMode="External"/><Relationship Id="rId142" Type="http://schemas.openxmlformats.org/officeDocument/2006/relationships/hyperlink" Target="javascript:submitAction_win0(document.win0,'EN_BOMINQ_WRK_BOM_COMPONENT_DISP$popup$141');" TargetMode="External"/><Relationship Id="rId163" Type="http://schemas.openxmlformats.org/officeDocument/2006/relationships/hyperlink" Target="javascript:submitAction_win0(document.win0,'EN_BOMINQ_WRK_BOM_COMPONENT_DISP$popup$162');" TargetMode="External"/><Relationship Id="rId184" Type="http://schemas.openxmlformats.org/officeDocument/2006/relationships/hyperlink" Target="javascript:submitAction_win0(document.win0,'EN_BOMINQ_WRK_BOM_COMPONENT_DISP$popup$183');" TargetMode="External"/><Relationship Id="rId219" Type="http://schemas.openxmlformats.org/officeDocument/2006/relationships/hyperlink" Target="javascript:submitAction_win0(document.win0,'EN_BOMINQ_WRK_BOM_COMPONENT_DISP$popup$218');" TargetMode="External"/><Relationship Id="rId370" Type="http://schemas.openxmlformats.org/officeDocument/2006/relationships/hyperlink" Target="javascript:submitAction_win0(document.win0,'EN_BOMINQ_WRK_BOM_COMPONENT_DISP$popup$369');" TargetMode="External"/><Relationship Id="rId391" Type="http://schemas.openxmlformats.org/officeDocument/2006/relationships/hyperlink" Target="javascript:submitAction_win0(document.win0,'EN_BOMINQ_WRK_BOM_COMPONENT_DISP$popup$390');" TargetMode="External"/><Relationship Id="rId405" Type="http://schemas.openxmlformats.org/officeDocument/2006/relationships/hyperlink" Target="javascript:submitAction_win0(document.win0,'EN_BOMINQ_WRK_BOM_COMPONENT_DISP$popup$404');" TargetMode="External"/><Relationship Id="rId426" Type="http://schemas.openxmlformats.org/officeDocument/2006/relationships/hyperlink" Target="javascript:submitAction_win0(document.win0,'EN_BOMINQ_WRK_BOM_COMPONENT_DISP$popup$425');" TargetMode="External"/><Relationship Id="rId447" Type="http://schemas.openxmlformats.org/officeDocument/2006/relationships/hyperlink" Target="javascript:submitAction_win0(document.win0,'EN_BOMINQ_WRK_BOM_COMPONENT_DISP$popup$446');" TargetMode="External"/><Relationship Id="rId230" Type="http://schemas.openxmlformats.org/officeDocument/2006/relationships/hyperlink" Target="javascript:submitAction_win0(document.win0,'EN_BOMINQ_WRK_BOM_COMPONENT_DISP$popup$229');" TargetMode="External"/><Relationship Id="rId251" Type="http://schemas.openxmlformats.org/officeDocument/2006/relationships/hyperlink" Target="javascript:submitAction_win0(document.win0,'EN_BOMINQ_WRK_BOM_COMPONENT_DISP$popup$250');" TargetMode="External"/><Relationship Id="rId468" Type="http://schemas.openxmlformats.org/officeDocument/2006/relationships/hyperlink" Target="javascript:submitAction_win0(document.win0,'EN_BOMINQ_WRK_BOM_COMPONENT_DISP$popup$467');" TargetMode="External"/><Relationship Id="rId489" Type="http://schemas.openxmlformats.org/officeDocument/2006/relationships/hyperlink" Target="javascript:submitAction_win0(document.win0,'EN_BOMINQ_WRK_BOM_COMPONENT_DISP$popup$488');" TargetMode="External"/><Relationship Id="rId25" Type="http://schemas.openxmlformats.org/officeDocument/2006/relationships/hyperlink" Target="javascript:submitAction_win0(document.win0,'EN_BOMINQ_WRK_BOM_COMPONENT_DISP$popup$24');" TargetMode="External"/><Relationship Id="rId46" Type="http://schemas.openxmlformats.org/officeDocument/2006/relationships/hyperlink" Target="javascript:submitAction_win0(document.win0,'EN_BOMINQ_WRK_BOM_COMPONENT_DISP$popup$45');" TargetMode="External"/><Relationship Id="rId67" Type="http://schemas.openxmlformats.org/officeDocument/2006/relationships/hyperlink" Target="javascript:submitAction_win0(document.win0,'EN_BOMINQ_WRK_BOM_COMPONENT_DISP$popup$66');" TargetMode="External"/><Relationship Id="rId272" Type="http://schemas.openxmlformats.org/officeDocument/2006/relationships/hyperlink" Target="javascript:submitAction_win0(document.win0,'EN_BOMINQ_WRK_BOM_COMPONENT_DISP$popup$271');" TargetMode="External"/><Relationship Id="rId293" Type="http://schemas.openxmlformats.org/officeDocument/2006/relationships/hyperlink" Target="javascript:submitAction_win0(document.win0,'EN_BOMINQ_WRK_BOM_COMPONENT_DISP$popup$292');" TargetMode="External"/><Relationship Id="rId307" Type="http://schemas.openxmlformats.org/officeDocument/2006/relationships/hyperlink" Target="javascript:submitAction_win0(document.win0,'EN_BOMINQ_WRK_BOM_COMPONENT_DISP$popup$306');" TargetMode="External"/><Relationship Id="rId328" Type="http://schemas.openxmlformats.org/officeDocument/2006/relationships/hyperlink" Target="javascript:submitAction_win0(document.win0,'EN_BOMINQ_WRK_BOM_COMPONENT_DISP$popup$327');" TargetMode="External"/><Relationship Id="rId349" Type="http://schemas.openxmlformats.org/officeDocument/2006/relationships/hyperlink" Target="javascript:submitAction_win0(document.win0,'EN_BOMINQ_WRK_BOM_COMPONENT_DISP$popup$348');" TargetMode="External"/><Relationship Id="rId88" Type="http://schemas.openxmlformats.org/officeDocument/2006/relationships/hyperlink" Target="javascript:submitAction_win0(document.win0,'EN_BOMINQ_WRK_BOM_COMPONENT_DISP$popup$87');" TargetMode="External"/><Relationship Id="rId111" Type="http://schemas.openxmlformats.org/officeDocument/2006/relationships/hyperlink" Target="javascript:submitAction_win0(document.win0,'EN_BOMINQ_WRK_BOM_COMPONENT_DISP$popup$110');" TargetMode="External"/><Relationship Id="rId132" Type="http://schemas.openxmlformats.org/officeDocument/2006/relationships/hyperlink" Target="javascript:submitAction_win0(document.win0,'EN_BOMINQ_WRK_BOM_COMPONENT_DISP$popup$131');" TargetMode="External"/><Relationship Id="rId153" Type="http://schemas.openxmlformats.org/officeDocument/2006/relationships/hyperlink" Target="javascript:submitAction_win0(document.win0,'EN_BOMINQ_WRK_BOM_COMPONENT_DISP$popup$152');" TargetMode="External"/><Relationship Id="rId174" Type="http://schemas.openxmlformats.org/officeDocument/2006/relationships/hyperlink" Target="javascript:submitAction_win0(document.win0,'EN_BOMINQ_WRK_BOM_COMPONENT_DISP$popup$173');" TargetMode="External"/><Relationship Id="rId195" Type="http://schemas.openxmlformats.org/officeDocument/2006/relationships/hyperlink" Target="javascript:submitAction_win0(document.win0,'EN_BOMINQ_WRK_BOM_COMPONENT_DISP$popup$194');" TargetMode="External"/><Relationship Id="rId209" Type="http://schemas.openxmlformats.org/officeDocument/2006/relationships/hyperlink" Target="javascript:submitAction_win0(document.win0,'EN_BOMINQ_WRK_BOM_COMPONENT_DISP$popup$208');" TargetMode="External"/><Relationship Id="rId360" Type="http://schemas.openxmlformats.org/officeDocument/2006/relationships/hyperlink" Target="javascript:submitAction_win0(document.win0,'EN_BOMINQ_WRK_BOM_COMPONENT_DISP$popup$359');" TargetMode="External"/><Relationship Id="rId381" Type="http://schemas.openxmlformats.org/officeDocument/2006/relationships/hyperlink" Target="javascript:submitAction_win0(document.win0,'EN_BOMINQ_WRK_BOM_COMPONENT_DISP$popup$380');" TargetMode="External"/><Relationship Id="rId416" Type="http://schemas.openxmlformats.org/officeDocument/2006/relationships/hyperlink" Target="javascript:submitAction_win0(document.win0,'EN_BOMINQ_WRK_BOM_COMPONENT_DISP$popup$415');" TargetMode="External"/><Relationship Id="rId220" Type="http://schemas.openxmlformats.org/officeDocument/2006/relationships/hyperlink" Target="javascript:submitAction_win0(document.win0,'EN_BOMINQ_WRK_BOM_COMPONENT_DISP$popup$219');" TargetMode="External"/><Relationship Id="rId241" Type="http://schemas.openxmlformats.org/officeDocument/2006/relationships/hyperlink" Target="javascript:submitAction_win0(document.win0,'EN_BOMINQ_WRK_BOM_COMPONENT_DISP$popup$240');" TargetMode="External"/><Relationship Id="rId437" Type="http://schemas.openxmlformats.org/officeDocument/2006/relationships/hyperlink" Target="javascript:submitAction_win0(document.win0,'EN_BOMINQ_WRK_BOM_COMPONENT_DISP$popup$436');" TargetMode="External"/><Relationship Id="rId458" Type="http://schemas.openxmlformats.org/officeDocument/2006/relationships/hyperlink" Target="javascript:submitAction_win0(document.win0,'EN_BOMINQ_WRK_BOM_COMPONENT_DISP$popup$457');" TargetMode="External"/><Relationship Id="rId479" Type="http://schemas.openxmlformats.org/officeDocument/2006/relationships/hyperlink" Target="javascript:submitAction_win0(document.win0,'EN_BOMINQ_WRK_BOM_COMPONENT_DISP$popup$478');" TargetMode="External"/><Relationship Id="rId15" Type="http://schemas.openxmlformats.org/officeDocument/2006/relationships/hyperlink" Target="javascript:submitAction_win0(document.win0,'EN_BOMINQ_WRK_BOM_COMPONENT_DISP$popup$14');" TargetMode="External"/><Relationship Id="rId36" Type="http://schemas.openxmlformats.org/officeDocument/2006/relationships/hyperlink" Target="javascript:submitAction_win0(document.win0,'EN_BOMINQ_WRK_BOM_COMPONENT_DISP$popup$35');" TargetMode="External"/><Relationship Id="rId57" Type="http://schemas.openxmlformats.org/officeDocument/2006/relationships/hyperlink" Target="javascript:submitAction_win0(document.win0,'EN_BOMINQ_WRK_BOM_COMPONENT_DISP$popup$56');" TargetMode="External"/><Relationship Id="rId262" Type="http://schemas.openxmlformats.org/officeDocument/2006/relationships/hyperlink" Target="javascript:submitAction_win0(document.win0,'EN_BOMINQ_WRK_BOM_COMPONENT_DISP$popup$261');" TargetMode="External"/><Relationship Id="rId283" Type="http://schemas.openxmlformats.org/officeDocument/2006/relationships/hyperlink" Target="javascript:submitAction_win0(document.win0,'EN_BOMINQ_WRK_BOM_COMPONENT_DISP$popup$282');" TargetMode="External"/><Relationship Id="rId318" Type="http://schemas.openxmlformats.org/officeDocument/2006/relationships/hyperlink" Target="javascript:submitAction_win0(document.win0,'EN_BOMINQ_WRK_BOM_COMPONENT_DISP$popup$317');" TargetMode="External"/><Relationship Id="rId339" Type="http://schemas.openxmlformats.org/officeDocument/2006/relationships/hyperlink" Target="javascript:submitAction_win0(document.win0,'EN_BOMINQ_WRK_BOM_COMPONENT_DISP$popup$338');" TargetMode="External"/><Relationship Id="rId490" Type="http://schemas.openxmlformats.org/officeDocument/2006/relationships/hyperlink" Target="javascript:submitAction_win0(document.win0,'EN_BOMINQ_WRK_BOM_COMPONENT_DISP$popup$489');" TargetMode="External"/><Relationship Id="rId78" Type="http://schemas.openxmlformats.org/officeDocument/2006/relationships/hyperlink" Target="javascript:submitAction_win0(document.win0,'EN_BOMINQ_WRK_BOM_COMPONENT_DISP$popup$77');" TargetMode="External"/><Relationship Id="rId99" Type="http://schemas.openxmlformats.org/officeDocument/2006/relationships/hyperlink" Target="javascript:submitAction_win0(document.win0,'EN_BOMINQ_WRK_BOM_COMPONENT_DISP$popup$98');" TargetMode="External"/><Relationship Id="rId101" Type="http://schemas.openxmlformats.org/officeDocument/2006/relationships/hyperlink" Target="javascript:submitAction_win0(document.win0,'EN_BOMINQ_WRK_BOM_COMPONENT_DISP$popup$100');" TargetMode="External"/><Relationship Id="rId122" Type="http://schemas.openxmlformats.org/officeDocument/2006/relationships/hyperlink" Target="javascript:submitAction_win0(document.win0,'EN_BOMINQ_WRK_BOM_COMPONENT_DISP$popup$121');" TargetMode="External"/><Relationship Id="rId143" Type="http://schemas.openxmlformats.org/officeDocument/2006/relationships/hyperlink" Target="javascript:submitAction_win0(document.win0,'EN_BOMINQ_WRK_BOM_COMPONENT_DISP$popup$142');" TargetMode="External"/><Relationship Id="rId164" Type="http://schemas.openxmlformats.org/officeDocument/2006/relationships/hyperlink" Target="javascript:submitAction_win0(document.win0,'EN_BOMINQ_WRK_BOM_COMPONENT_DISP$popup$163');" TargetMode="External"/><Relationship Id="rId185" Type="http://schemas.openxmlformats.org/officeDocument/2006/relationships/hyperlink" Target="javascript:submitAction_win0(document.win0,'EN_BOMINQ_WRK_BOM_COMPONENT_DISP$popup$184');" TargetMode="External"/><Relationship Id="rId350" Type="http://schemas.openxmlformats.org/officeDocument/2006/relationships/hyperlink" Target="javascript:submitAction_win0(document.win0,'EN_BOMINQ_WRK_BOM_COMPONENT_DISP$popup$349');" TargetMode="External"/><Relationship Id="rId371" Type="http://schemas.openxmlformats.org/officeDocument/2006/relationships/hyperlink" Target="javascript:submitAction_win0(document.win0,'EN_BOMINQ_WRK_BOM_COMPONENT_DISP$popup$370');" TargetMode="External"/><Relationship Id="rId406" Type="http://schemas.openxmlformats.org/officeDocument/2006/relationships/hyperlink" Target="javascript:submitAction_win0(document.win0,'EN_BOMINQ_WRK_BOM_COMPONENT_DISP$popup$405');" TargetMode="External"/><Relationship Id="rId9" Type="http://schemas.openxmlformats.org/officeDocument/2006/relationships/hyperlink" Target="javascript:submitAction_win0(document.win0,'EN_BOMINQ_WRK_BOM_COMPONENT_DISP$popup$8');" TargetMode="External"/><Relationship Id="rId210" Type="http://schemas.openxmlformats.org/officeDocument/2006/relationships/hyperlink" Target="javascript:submitAction_win0(document.win0,'EN_BOMINQ_WRK_BOM_COMPONENT_DISP$popup$209');" TargetMode="External"/><Relationship Id="rId392" Type="http://schemas.openxmlformats.org/officeDocument/2006/relationships/hyperlink" Target="javascript:submitAction_win0(document.win0,'EN_BOMINQ_WRK_BOM_COMPONENT_DISP$popup$391');" TargetMode="External"/><Relationship Id="rId427" Type="http://schemas.openxmlformats.org/officeDocument/2006/relationships/hyperlink" Target="javascript:submitAction_win0(document.win0,'EN_BOMINQ_WRK_BOM_COMPONENT_DISP$popup$426');" TargetMode="External"/><Relationship Id="rId448" Type="http://schemas.openxmlformats.org/officeDocument/2006/relationships/hyperlink" Target="javascript:submitAction_win0(document.win0,'EN_BOMINQ_WRK_BOM_COMPONENT_DISP$popup$447');" TargetMode="External"/><Relationship Id="rId469" Type="http://schemas.openxmlformats.org/officeDocument/2006/relationships/hyperlink" Target="javascript:submitAction_win0(document.win0,'EN_BOMINQ_WRK_BOM_COMPONENT_DISP$popup$468');" TargetMode="External"/><Relationship Id="rId26" Type="http://schemas.openxmlformats.org/officeDocument/2006/relationships/hyperlink" Target="javascript:submitAction_win0(document.win0,'EN_BOMINQ_WRK_BOM_COMPONENT_DISP$popup$25');" TargetMode="External"/><Relationship Id="rId231" Type="http://schemas.openxmlformats.org/officeDocument/2006/relationships/hyperlink" Target="javascript:submitAction_win0(document.win0,'EN_BOMINQ_WRK_BOM_COMPONENT_DISP$popup$230');" TargetMode="External"/><Relationship Id="rId252" Type="http://schemas.openxmlformats.org/officeDocument/2006/relationships/hyperlink" Target="javascript:submitAction_win0(document.win0,'EN_BOMINQ_WRK_BOM_COMPONENT_DISP$popup$251');" TargetMode="External"/><Relationship Id="rId273" Type="http://schemas.openxmlformats.org/officeDocument/2006/relationships/hyperlink" Target="javascript:submitAction_win0(document.win0,'EN_BOMINQ_WRK_BOM_COMPONENT_DISP$popup$272');" TargetMode="External"/><Relationship Id="rId294" Type="http://schemas.openxmlformats.org/officeDocument/2006/relationships/hyperlink" Target="javascript:submitAction_win0(document.win0,'EN_BOMINQ_WRK_BOM_COMPONENT_DISP$popup$293');" TargetMode="External"/><Relationship Id="rId308" Type="http://schemas.openxmlformats.org/officeDocument/2006/relationships/hyperlink" Target="javascript:submitAction_win0(document.win0,'EN_BOMINQ_WRK_BOM_COMPONENT_DISP$popup$307');" TargetMode="External"/><Relationship Id="rId329" Type="http://schemas.openxmlformats.org/officeDocument/2006/relationships/hyperlink" Target="javascript:submitAction_win0(document.win0,'EN_BOMINQ_WRK_BOM_COMPONENT_DISP$popup$328');" TargetMode="External"/><Relationship Id="rId480" Type="http://schemas.openxmlformats.org/officeDocument/2006/relationships/hyperlink" Target="javascript:submitAction_win0(document.win0,'EN_BOMINQ_WRK_BOM_COMPONENT_DISP$popup$479');" TargetMode="External"/><Relationship Id="rId47" Type="http://schemas.openxmlformats.org/officeDocument/2006/relationships/hyperlink" Target="javascript:submitAction_win0(document.win0,'EN_BOMINQ_WRK_BOM_COMPONENT_DISP$popup$46');" TargetMode="External"/><Relationship Id="rId68" Type="http://schemas.openxmlformats.org/officeDocument/2006/relationships/hyperlink" Target="javascript:submitAction_win0(document.win0,'EN_BOMINQ_WRK_BOM_COMPONENT_DISP$popup$67');" TargetMode="External"/><Relationship Id="rId89" Type="http://schemas.openxmlformats.org/officeDocument/2006/relationships/hyperlink" Target="javascript:submitAction_win0(document.win0,'EN_BOMINQ_WRK_BOM_COMPONENT_DISP$popup$88');" TargetMode="External"/><Relationship Id="rId112" Type="http://schemas.openxmlformats.org/officeDocument/2006/relationships/hyperlink" Target="javascript:submitAction_win0(document.win0,'EN_BOMINQ_WRK_BOM_COMPONENT_DISP$popup$111');" TargetMode="External"/><Relationship Id="rId133" Type="http://schemas.openxmlformats.org/officeDocument/2006/relationships/hyperlink" Target="javascript:submitAction_win0(document.win0,'EN_BOMINQ_WRK_BOM_COMPONENT_DISP$popup$132');" TargetMode="External"/><Relationship Id="rId154" Type="http://schemas.openxmlformats.org/officeDocument/2006/relationships/hyperlink" Target="javascript:submitAction_win0(document.win0,'EN_BOMINQ_WRK_BOM_COMPONENT_DISP$popup$153');" TargetMode="External"/><Relationship Id="rId175" Type="http://schemas.openxmlformats.org/officeDocument/2006/relationships/hyperlink" Target="javascript:submitAction_win0(document.win0,'EN_BOMINQ_WRK_BOM_COMPONENT_DISP$popup$174');" TargetMode="External"/><Relationship Id="rId340" Type="http://schemas.openxmlformats.org/officeDocument/2006/relationships/hyperlink" Target="javascript:submitAction_win0(document.win0,'EN_BOMINQ_WRK_BOM_COMPONENT_DISP$popup$339');" TargetMode="External"/><Relationship Id="rId361" Type="http://schemas.openxmlformats.org/officeDocument/2006/relationships/hyperlink" Target="javascript:submitAction_win0(document.win0,'EN_BOMINQ_WRK_BOM_COMPONENT_DISP$popup$360');" TargetMode="External"/><Relationship Id="rId196" Type="http://schemas.openxmlformats.org/officeDocument/2006/relationships/hyperlink" Target="javascript:submitAction_win0(document.win0,'EN_BOMINQ_WRK_BOM_COMPONENT_DISP$popup$195');" TargetMode="External"/><Relationship Id="rId200" Type="http://schemas.openxmlformats.org/officeDocument/2006/relationships/hyperlink" Target="javascript:submitAction_win0(document.win0,'EN_BOMINQ_WRK_BOM_COMPONENT_DISP$popup$199');" TargetMode="External"/><Relationship Id="rId382" Type="http://schemas.openxmlformats.org/officeDocument/2006/relationships/hyperlink" Target="javascript:submitAction_win0(document.win0,'EN_BOMINQ_WRK_BOM_COMPONENT_DISP$popup$381');" TargetMode="External"/><Relationship Id="rId417" Type="http://schemas.openxmlformats.org/officeDocument/2006/relationships/hyperlink" Target="javascript:submitAction_win0(document.win0,'EN_BOMINQ_WRK_BOM_COMPONENT_DISP$popup$416');" TargetMode="External"/><Relationship Id="rId438" Type="http://schemas.openxmlformats.org/officeDocument/2006/relationships/hyperlink" Target="javascript:submitAction_win0(document.win0,'EN_BOMINQ_WRK_BOM_COMPONENT_DISP$popup$437');" TargetMode="External"/><Relationship Id="rId459" Type="http://schemas.openxmlformats.org/officeDocument/2006/relationships/hyperlink" Target="javascript:submitAction_win0(document.win0,'EN_BOMINQ_WRK_BOM_COMPONENT_DISP$popup$458');" TargetMode="External"/><Relationship Id="rId16" Type="http://schemas.openxmlformats.org/officeDocument/2006/relationships/hyperlink" Target="javascript:submitAction_win0(document.win0,'EN_BOMINQ_WRK_BOM_COMPONENT_DISP$popup$15');" TargetMode="External"/><Relationship Id="rId221" Type="http://schemas.openxmlformats.org/officeDocument/2006/relationships/hyperlink" Target="javascript:submitAction_win0(document.win0,'EN_BOMINQ_WRK_BOM_COMPONENT_DISP$popup$220');" TargetMode="External"/><Relationship Id="rId242" Type="http://schemas.openxmlformats.org/officeDocument/2006/relationships/hyperlink" Target="javascript:submitAction_win0(document.win0,'EN_BOMINQ_WRK_BOM_COMPONENT_DISP$popup$241');" TargetMode="External"/><Relationship Id="rId263" Type="http://schemas.openxmlformats.org/officeDocument/2006/relationships/hyperlink" Target="javascript:submitAction_win0(document.win0,'EN_BOMINQ_WRK_BOM_COMPONENT_DISP$popup$262');" TargetMode="External"/><Relationship Id="rId284" Type="http://schemas.openxmlformats.org/officeDocument/2006/relationships/hyperlink" Target="javascript:submitAction_win0(document.win0,'EN_BOMINQ_WRK_BOM_COMPONENT_DISP$popup$283');" TargetMode="External"/><Relationship Id="rId319" Type="http://schemas.openxmlformats.org/officeDocument/2006/relationships/hyperlink" Target="javascript:submitAction_win0(document.win0,'EN_BOMINQ_WRK_BOM_COMPONENT_DISP$popup$318');" TargetMode="External"/><Relationship Id="rId470" Type="http://schemas.openxmlformats.org/officeDocument/2006/relationships/hyperlink" Target="javascript:submitAction_win0(document.win0,'EN_BOMINQ_WRK_BOM_COMPONENT_DISP$popup$469');" TargetMode="External"/><Relationship Id="rId491" Type="http://schemas.openxmlformats.org/officeDocument/2006/relationships/hyperlink" Target="javascript:submitAction_win0(document.win0,'EN_BOMINQ_WRK_BOM_COMPONENT_DISP$popup$490');" TargetMode="External"/><Relationship Id="rId37" Type="http://schemas.openxmlformats.org/officeDocument/2006/relationships/hyperlink" Target="javascript:submitAction_win0(document.win0,'EN_BOMINQ_WRK_BOM_COMPONENT_DISP$popup$36');" TargetMode="External"/><Relationship Id="rId58" Type="http://schemas.openxmlformats.org/officeDocument/2006/relationships/hyperlink" Target="javascript:submitAction_win0(document.win0,'EN_BOMINQ_WRK_BOM_COMPONENT_DISP$popup$57');" TargetMode="External"/><Relationship Id="rId79" Type="http://schemas.openxmlformats.org/officeDocument/2006/relationships/hyperlink" Target="javascript:submitAction_win0(document.win0,'EN_BOMINQ_WRK_BOM_COMPONENT_DISP$popup$78');" TargetMode="External"/><Relationship Id="rId102" Type="http://schemas.openxmlformats.org/officeDocument/2006/relationships/hyperlink" Target="javascript:submitAction_win0(document.win0,'EN_BOMINQ_WRK_BOM_COMPONENT_DISP$popup$101');" TargetMode="External"/><Relationship Id="rId123" Type="http://schemas.openxmlformats.org/officeDocument/2006/relationships/hyperlink" Target="javascript:submitAction_win0(document.win0,'EN_BOMINQ_WRK_BOM_COMPONENT_DISP$popup$122');" TargetMode="External"/><Relationship Id="rId144" Type="http://schemas.openxmlformats.org/officeDocument/2006/relationships/hyperlink" Target="javascript:submitAction_win0(document.win0,'EN_BOMINQ_WRK_BOM_COMPONENT_DISP$popup$143');" TargetMode="External"/><Relationship Id="rId330" Type="http://schemas.openxmlformats.org/officeDocument/2006/relationships/hyperlink" Target="javascript:submitAction_win0(document.win0,'EN_BOMINQ_WRK_BOM_COMPONENT_DISP$popup$329');" TargetMode="External"/><Relationship Id="rId90" Type="http://schemas.openxmlformats.org/officeDocument/2006/relationships/hyperlink" Target="javascript:submitAction_win0(document.win0,'EN_BOMINQ_WRK_BOM_COMPONENT_DISP$popup$89');" TargetMode="External"/><Relationship Id="rId165" Type="http://schemas.openxmlformats.org/officeDocument/2006/relationships/hyperlink" Target="javascript:submitAction_win0(document.win0,'EN_BOMINQ_WRK_BOM_COMPONENT_DISP$popup$164');" TargetMode="External"/><Relationship Id="rId186" Type="http://schemas.openxmlformats.org/officeDocument/2006/relationships/hyperlink" Target="javascript:submitAction_win0(document.win0,'EN_BOMINQ_WRK_BOM_COMPONENT_DISP$popup$185');" TargetMode="External"/><Relationship Id="rId351" Type="http://schemas.openxmlformats.org/officeDocument/2006/relationships/hyperlink" Target="javascript:submitAction_win0(document.win0,'EN_BOMINQ_WRK_BOM_COMPONENT_DISP$popup$350');" TargetMode="External"/><Relationship Id="rId372" Type="http://schemas.openxmlformats.org/officeDocument/2006/relationships/hyperlink" Target="javascript:submitAction_win0(document.win0,'EN_BOMINQ_WRK_BOM_COMPONENT_DISP$popup$371');" TargetMode="External"/><Relationship Id="rId393" Type="http://schemas.openxmlformats.org/officeDocument/2006/relationships/hyperlink" Target="javascript:submitAction_win0(document.win0,'EN_BOMINQ_WRK_BOM_COMPONENT_DISP$popup$392');" TargetMode="External"/><Relationship Id="rId407" Type="http://schemas.openxmlformats.org/officeDocument/2006/relationships/hyperlink" Target="javascript:submitAction_win0(document.win0,'EN_BOMINQ_WRK_BOM_COMPONENT_DISP$popup$406');" TargetMode="External"/><Relationship Id="rId428" Type="http://schemas.openxmlformats.org/officeDocument/2006/relationships/hyperlink" Target="javascript:submitAction_win0(document.win0,'EN_BOMINQ_WRK_BOM_COMPONENT_DISP$popup$427');" TargetMode="External"/><Relationship Id="rId449" Type="http://schemas.openxmlformats.org/officeDocument/2006/relationships/hyperlink" Target="javascript:submitAction_win0(document.win0,'EN_BOMINQ_WRK_BOM_COMPONENT_DISP$popup$448');" TargetMode="External"/><Relationship Id="rId211" Type="http://schemas.openxmlformats.org/officeDocument/2006/relationships/hyperlink" Target="javascript:submitAction_win0(document.win0,'EN_BOMINQ_WRK_BOM_COMPONENT_DISP$popup$210');" TargetMode="External"/><Relationship Id="rId232" Type="http://schemas.openxmlformats.org/officeDocument/2006/relationships/hyperlink" Target="javascript:submitAction_win0(document.win0,'EN_BOMINQ_WRK_BOM_COMPONENT_DISP$popup$231');" TargetMode="External"/><Relationship Id="rId253" Type="http://schemas.openxmlformats.org/officeDocument/2006/relationships/hyperlink" Target="javascript:submitAction_win0(document.win0,'EN_BOMINQ_WRK_BOM_COMPONENT_DISP$popup$252');" TargetMode="External"/><Relationship Id="rId274" Type="http://schemas.openxmlformats.org/officeDocument/2006/relationships/hyperlink" Target="javascript:submitAction_win0(document.win0,'EN_BOMINQ_WRK_BOM_COMPONENT_DISP$popup$273');" TargetMode="External"/><Relationship Id="rId295" Type="http://schemas.openxmlformats.org/officeDocument/2006/relationships/hyperlink" Target="javascript:submitAction_win0(document.win0,'EN_BOMINQ_WRK_BOM_COMPONENT_DISP$popup$294');" TargetMode="External"/><Relationship Id="rId309" Type="http://schemas.openxmlformats.org/officeDocument/2006/relationships/hyperlink" Target="javascript:submitAction_win0(document.win0,'EN_BOMINQ_WRK_BOM_COMPONENT_DISP$popup$308');" TargetMode="External"/><Relationship Id="rId460" Type="http://schemas.openxmlformats.org/officeDocument/2006/relationships/hyperlink" Target="javascript:submitAction_win0(document.win0,'EN_BOMINQ_WRK_BOM_COMPONENT_DISP$popup$459');" TargetMode="External"/><Relationship Id="rId481" Type="http://schemas.openxmlformats.org/officeDocument/2006/relationships/hyperlink" Target="javascript:submitAction_win0(document.win0,'EN_BOMINQ_WRK_BOM_COMPONENT_DISP$popup$480');" TargetMode="External"/><Relationship Id="rId27" Type="http://schemas.openxmlformats.org/officeDocument/2006/relationships/hyperlink" Target="javascript:submitAction_win0(document.win0,'EN_BOMINQ_WRK_BOM_COMPONENT_DISP$popup$26');" TargetMode="External"/><Relationship Id="rId48" Type="http://schemas.openxmlformats.org/officeDocument/2006/relationships/hyperlink" Target="javascript:submitAction_win0(document.win0,'EN_BOMINQ_WRK_BOM_COMPONENT_DISP$popup$47');" TargetMode="External"/><Relationship Id="rId69" Type="http://schemas.openxmlformats.org/officeDocument/2006/relationships/hyperlink" Target="javascript:submitAction_win0(document.win0,'EN_BOMINQ_WRK_BOM_COMPONENT_DISP$popup$68');" TargetMode="External"/><Relationship Id="rId113" Type="http://schemas.openxmlformats.org/officeDocument/2006/relationships/hyperlink" Target="javascript:submitAction_win0(document.win0,'EN_BOMINQ_WRK_BOM_COMPONENT_DISP$popup$112');" TargetMode="External"/><Relationship Id="rId134" Type="http://schemas.openxmlformats.org/officeDocument/2006/relationships/hyperlink" Target="javascript:submitAction_win0(document.win0,'EN_BOMINQ_WRK_BOM_COMPONENT_DISP$popup$133');" TargetMode="External"/><Relationship Id="rId320" Type="http://schemas.openxmlformats.org/officeDocument/2006/relationships/hyperlink" Target="javascript:submitAction_win0(document.win0,'EN_BOMINQ_WRK_BOM_COMPONENT_DISP$popup$319');" TargetMode="External"/><Relationship Id="rId80" Type="http://schemas.openxmlformats.org/officeDocument/2006/relationships/hyperlink" Target="javascript:submitAction_win0(document.win0,'EN_BOMINQ_WRK_BOM_COMPONENT_DISP$popup$79');" TargetMode="External"/><Relationship Id="rId155" Type="http://schemas.openxmlformats.org/officeDocument/2006/relationships/hyperlink" Target="javascript:submitAction_win0(document.win0,'EN_BOMINQ_WRK_BOM_COMPONENT_DISP$popup$154');" TargetMode="External"/><Relationship Id="rId176" Type="http://schemas.openxmlformats.org/officeDocument/2006/relationships/hyperlink" Target="javascript:submitAction_win0(document.win0,'EN_BOMINQ_WRK_BOM_COMPONENT_DISP$popup$175');" TargetMode="External"/><Relationship Id="rId197" Type="http://schemas.openxmlformats.org/officeDocument/2006/relationships/hyperlink" Target="javascript:submitAction_win0(document.win0,'EN_BOMINQ_WRK_BOM_COMPONENT_DISP$popup$196');" TargetMode="External"/><Relationship Id="rId341" Type="http://schemas.openxmlformats.org/officeDocument/2006/relationships/hyperlink" Target="javascript:submitAction_win0(document.win0,'EN_BOMINQ_WRK_BOM_COMPONENT_DISP$popup$340');" TargetMode="External"/><Relationship Id="rId362" Type="http://schemas.openxmlformats.org/officeDocument/2006/relationships/hyperlink" Target="javascript:submitAction_win0(document.win0,'EN_BOMINQ_WRK_BOM_COMPONENT_DISP$popup$361');" TargetMode="External"/><Relationship Id="rId383" Type="http://schemas.openxmlformats.org/officeDocument/2006/relationships/hyperlink" Target="javascript:submitAction_win0(document.win0,'EN_BOMINQ_WRK_BOM_COMPONENT_DISP$popup$382');" TargetMode="External"/><Relationship Id="rId418" Type="http://schemas.openxmlformats.org/officeDocument/2006/relationships/hyperlink" Target="javascript:submitAction_win0(document.win0,'EN_BOMINQ_WRK_BOM_COMPONENT_DISP$popup$417');" TargetMode="External"/><Relationship Id="rId439" Type="http://schemas.openxmlformats.org/officeDocument/2006/relationships/hyperlink" Target="javascript:submitAction_win0(document.win0,'EN_BOMINQ_WRK_BOM_COMPONENT_DISP$popup$438');" TargetMode="External"/><Relationship Id="rId201" Type="http://schemas.openxmlformats.org/officeDocument/2006/relationships/hyperlink" Target="javascript:submitAction_win0(document.win0,'EN_BOMINQ_WRK_BOM_COMPONENT_DISP$popup$200');" TargetMode="External"/><Relationship Id="rId222" Type="http://schemas.openxmlformats.org/officeDocument/2006/relationships/hyperlink" Target="javascript:submitAction_win0(document.win0,'EN_BOMINQ_WRK_BOM_COMPONENT_DISP$popup$221');" TargetMode="External"/><Relationship Id="rId243" Type="http://schemas.openxmlformats.org/officeDocument/2006/relationships/hyperlink" Target="javascript:submitAction_win0(document.win0,'EN_BOMINQ_WRK_BOM_COMPONENT_DISP$popup$242');" TargetMode="External"/><Relationship Id="rId264" Type="http://schemas.openxmlformats.org/officeDocument/2006/relationships/hyperlink" Target="javascript:submitAction_win0(document.win0,'EN_BOMINQ_WRK_BOM_COMPONENT_DISP$popup$263');" TargetMode="External"/><Relationship Id="rId285" Type="http://schemas.openxmlformats.org/officeDocument/2006/relationships/hyperlink" Target="javascript:submitAction_win0(document.win0,'EN_BOMINQ_WRK_BOM_COMPONENT_DISP$popup$284');" TargetMode="External"/><Relationship Id="rId450" Type="http://schemas.openxmlformats.org/officeDocument/2006/relationships/hyperlink" Target="javascript:submitAction_win0(document.win0,'EN_BOMINQ_WRK_BOM_COMPONENT_DISP$popup$449');" TargetMode="External"/><Relationship Id="rId471" Type="http://schemas.openxmlformats.org/officeDocument/2006/relationships/hyperlink" Target="javascript:submitAction_win0(document.win0,'EN_BOMINQ_WRK_BOM_COMPONENT_DISP$popup$470');" TargetMode="External"/><Relationship Id="rId17" Type="http://schemas.openxmlformats.org/officeDocument/2006/relationships/hyperlink" Target="javascript:submitAction_win0(document.win0,'EN_BOMINQ_WRK_BOM_COMPONENT_DISP$popup$16');" TargetMode="External"/><Relationship Id="rId38" Type="http://schemas.openxmlformats.org/officeDocument/2006/relationships/hyperlink" Target="javascript:submitAction_win0(document.win0,'EN_BOMINQ_WRK_BOM_COMPONENT_DISP$popup$37');" TargetMode="External"/><Relationship Id="rId59" Type="http://schemas.openxmlformats.org/officeDocument/2006/relationships/hyperlink" Target="javascript:submitAction_win0(document.win0,'EN_BOMINQ_WRK_BOM_COMPONENT_DISP$popup$58');" TargetMode="External"/><Relationship Id="rId103" Type="http://schemas.openxmlformats.org/officeDocument/2006/relationships/hyperlink" Target="javascript:submitAction_win0(document.win0,'EN_BOMINQ_WRK_BOM_COMPONENT_DISP$popup$102');" TargetMode="External"/><Relationship Id="rId124" Type="http://schemas.openxmlformats.org/officeDocument/2006/relationships/hyperlink" Target="javascript:submitAction_win0(document.win0,'EN_BOMINQ_WRK_BOM_COMPONENT_DISP$popup$123');" TargetMode="External"/><Relationship Id="rId310" Type="http://schemas.openxmlformats.org/officeDocument/2006/relationships/hyperlink" Target="javascript:submitAction_win0(document.win0,'EN_BOMINQ_WRK_BOM_COMPONENT_DISP$popup$309');" TargetMode="External"/><Relationship Id="rId492" Type="http://schemas.openxmlformats.org/officeDocument/2006/relationships/hyperlink" Target="javascript:submitAction_win0(document.win0,'EN_BOMINQ_WRK_BOM_COMPONENT_DISP$popup$491');" TargetMode="External"/><Relationship Id="rId70" Type="http://schemas.openxmlformats.org/officeDocument/2006/relationships/hyperlink" Target="javascript:submitAction_win0(document.win0,'EN_BOMINQ_WRK_BOM_COMPONENT_DISP$popup$69');" TargetMode="External"/><Relationship Id="rId91" Type="http://schemas.openxmlformats.org/officeDocument/2006/relationships/hyperlink" Target="javascript:submitAction_win0(document.win0,'EN_BOMINQ_WRK_BOM_COMPONENT_DISP$popup$90');" TargetMode="External"/><Relationship Id="rId145" Type="http://schemas.openxmlformats.org/officeDocument/2006/relationships/hyperlink" Target="javascript:submitAction_win0(document.win0,'EN_BOMINQ_WRK_BOM_COMPONENT_DISP$popup$144');" TargetMode="External"/><Relationship Id="rId166" Type="http://schemas.openxmlformats.org/officeDocument/2006/relationships/hyperlink" Target="javascript:submitAction_win0(document.win0,'EN_BOMINQ_WRK_BOM_COMPONENT_DISP$popup$165');" TargetMode="External"/><Relationship Id="rId187" Type="http://schemas.openxmlformats.org/officeDocument/2006/relationships/hyperlink" Target="javascript:submitAction_win0(document.win0,'EN_BOMINQ_WRK_BOM_COMPONENT_DISP$popup$186');" TargetMode="External"/><Relationship Id="rId331" Type="http://schemas.openxmlformats.org/officeDocument/2006/relationships/hyperlink" Target="javascript:submitAction_win0(document.win0,'EN_BOMINQ_WRK_BOM_COMPONENT_DISP$popup$330');" TargetMode="External"/><Relationship Id="rId352" Type="http://schemas.openxmlformats.org/officeDocument/2006/relationships/hyperlink" Target="javascript:submitAction_win0(document.win0,'EN_BOMINQ_WRK_BOM_COMPONENT_DISP$popup$351');" TargetMode="External"/><Relationship Id="rId373" Type="http://schemas.openxmlformats.org/officeDocument/2006/relationships/hyperlink" Target="javascript:submitAction_win0(document.win0,'EN_BOMINQ_WRK_BOM_COMPONENT_DISP$popup$372');" TargetMode="External"/><Relationship Id="rId394" Type="http://schemas.openxmlformats.org/officeDocument/2006/relationships/hyperlink" Target="javascript:submitAction_win0(document.win0,'EN_BOMINQ_WRK_BOM_COMPONENT_DISP$popup$393');" TargetMode="External"/><Relationship Id="rId408" Type="http://schemas.openxmlformats.org/officeDocument/2006/relationships/hyperlink" Target="javascript:submitAction_win0(document.win0,'EN_BOMINQ_WRK_BOM_COMPONENT_DISP$popup$407');" TargetMode="External"/><Relationship Id="rId429" Type="http://schemas.openxmlformats.org/officeDocument/2006/relationships/hyperlink" Target="javascript:submitAction_win0(document.win0,'EN_BOMINQ_WRK_BOM_COMPONENT_DISP$popup$428');" TargetMode="External"/><Relationship Id="rId1" Type="http://schemas.openxmlformats.org/officeDocument/2006/relationships/hyperlink" Target="javascript:submitAction_win0(document.win0,'EN_BOMINQ_WRK_BOM_COMPONENT_DISP$popup$0');" TargetMode="External"/><Relationship Id="rId212" Type="http://schemas.openxmlformats.org/officeDocument/2006/relationships/hyperlink" Target="javascript:submitAction_win0(document.win0,'EN_BOMINQ_WRK_BOM_COMPONENT_DISP$popup$211');" TargetMode="External"/><Relationship Id="rId233" Type="http://schemas.openxmlformats.org/officeDocument/2006/relationships/hyperlink" Target="javascript:submitAction_win0(document.win0,'EN_BOMINQ_WRK_BOM_COMPONENT_DISP$popup$232');" TargetMode="External"/><Relationship Id="rId254" Type="http://schemas.openxmlformats.org/officeDocument/2006/relationships/hyperlink" Target="javascript:submitAction_win0(document.win0,'EN_BOMINQ_WRK_BOM_COMPONENT_DISP$popup$253');" TargetMode="External"/><Relationship Id="rId440" Type="http://schemas.openxmlformats.org/officeDocument/2006/relationships/hyperlink" Target="javascript:submitAction_win0(document.win0,'EN_BOMINQ_WRK_BOM_COMPONENT_DISP$popup$439');" TargetMode="External"/><Relationship Id="rId28" Type="http://schemas.openxmlformats.org/officeDocument/2006/relationships/hyperlink" Target="javascript:submitAction_win0(document.win0,'EN_BOMINQ_WRK_BOM_COMPONENT_DISP$popup$27');" TargetMode="External"/><Relationship Id="rId49" Type="http://schemas.openxmlformats.org/officeDocument/2006/relationships/hyperlink" Target="javascript:submitAction_win0(document.win0,'EN_BOMINQ_WRK_BOM_COMPONENT_DISP$popup$48');" TargetMode="External"/><Relationship Id="rId114" Type="http://schemas.openxmlformats.org/officeDocument/2006/relationships/hyperlink" Target="javascript:submitAction_win0(document.win0,'EN_BOMINQ_WRK_BOM_COMPONENT_DISP$popup$113');" TargetMode="External"/><Relationship Id="rId275" Type="http://schemas.openxmlformats.org/officeDocument/2006/relationships/hyperlink" Target="javascript:submitAction_win0(document.win0,'EN_BOMINQ_WRK_BOM_COMPONENT_DISP$popup$274');" TargetMode="External"/><Relationship Id="rId296" Type="http://schemas.openxmlformats.org/officeDocument/2006/relationships/hyperlink" Target="javascript:submitAction_win0(document.win0,'EN_BOMINQ_WRK_BOM_COMPONENT_DISP$popup$295');" TargetMode="External"/><Relationship Id="rId300" Type="http://schemas.openxmlformats.org/officeDocument/2006/relationships/hyperlink" Target="javascript:submitAction_win0(document.win0,'EN_BOMINQ_WRK_BOM_COMPONENT_DISP$popup$299');" TargetMode="External"/><Relationship Id="rId461" Type="http://schemas.openxmlformats.org/officeDocument/2006/relationships/hyperlink" Target="javascript:submitAction_win0(document.win0,'EN_BOMINQ_WRK_BOM_COMPONENT_DISP$popup$460');" TargetMode="External"/><Relationship Id="rId482" Type="http://schemas.openxmlformats.org/officeDocument/2006/relationships/hyperlink" Target="javascript:submitAction_win0(document.win0,'EN_BOMINQ_WRK_BOM_COMPONENT_DISP$popup$481');" TargetMode="External"/><Relationship Id="rId60" Type="http://schemas.openxmlformats.org/officeDocument/2006/relationships/hyperlink" Target="javascript:submitAction_win0(document.win0,'EN_BOMINQ_WRK_BOM_COMPONENT_DISP$popup$59');" TargetMode="External"/><Relationship Id="rId81" Type="http://schemas.openxmlformats.org/officeDocument/2006/relationships/hyperlink" Target="javascript:submitAction_win0(document.win0,'EN_BOMINQ_WRK_BOM_COMPONENT_DISP$popup$80');" TargetMode="External"/><Relationship Id="rId135" Type="http://schemas.openxmlformats.org/officeDocument/2006/relationships/hyperlink" Target="javascript:submitAction_win0(document.win0,'EN_BOMINQ_WRK_BOM_COMPONENT_DISP$popup$134');" TargetMode="External"/><Relationship Id="rId156" Type="http://schemas.openxmlformats.org/officeDocument/2006/relationships/hyperlink" Target="javascript:submitAction_win0(document.win0,'EN_BOMINQ_WRK_BOM_COMPONENT_DISP$popup$155');" TargetMode="External"/><Relationship Id="rId177" Type="http://schemas.openxmlformats.org/officeDocument/2006/relationships/hyperlink" Target="javascript:submitAction_win0(document.win0,'EN_BOMINQ_WRK_BOM_COMPONENT_DISP$popup$176');" TargetMode="External"/><Relationship Id="rId198" Type="http://schemas.openxmlformats.org/officeDocument/2006/relationships/hyperlink" Target="javascript:submitAction_win0(document.win0,'EN_BOMINQ_WRK_BOM_COMPONENT_DISP$popup$197');" TargetMode="External"/><Relationship Id="rId321" Type="http://schemas.openxmlformats.org/officeDocument/2006/relationships/hyperlink" Target="javascript:submitAction_win0(document.win0,'EN_BOMINQ_WRK_BOM_COMPONENT_DISP$popup$320');" TargetMode="External"/><Relationship Id="rId342" Type="http://schemas.openxmlformats.org/officeDocument/2006/relationships/hyperlink" Target="javascript:submitAction_win0(document.win0,'EN_BOMINQ_WRK_BOM_COMPONENT_DISP$popup$341');" TargetMode="External"/><Relationship Id="rId363" Type="http://schemas.openxmlformats.org/officeDocument/2006/relationships/hyperlink" Target="javascript:submitAction_win0(document.win0,'EN_BOMINQ_WRK_BOM_COMPONENT_DISP$popup$362');" TargetMode="External"/><Relationship Id="rId384" Type="http://schemas.openxmlformats.org/officeDocument/2006/relationships/hyperlink" Target="javascript:submitAction_win0(document.win0,'EN_BOMINQ_WRK_BOM_COMPONENT_DISP$popup$383');" TargetMode="External"/><Relationship Id="rId419" Type="http://schemas.openxmlformats.org/officeDocument/2006/relationships/hyperlink" Target="javascript:submitAction_win0(document.win0,'EN_BOMINQ_WRK_BOM_COMPONENT_DISP$popup$418');" TargetMode="External"/><Relationship Id="rId202" Type="http://schemas.openxmlformats.org/officeDocument/2006/relationships/hyperlink" Target="javascript:submitAction_win0(document.win0,'EN_BOMINQ_WRK_BOM_COMPONENT_DISP$popup$201');" TargetMode="External"/><Relationship Id="rId223" Type="http://schemas.openxmlformats.org/officeDocument/2006/relationships/hyperlink" Target="javascript:submitAction_win0(document.win0,'EN_BOMINQ_WRK_BOM_COMPONENT_DISP$popup$222');" TargetMode="External"/><Relationship Id="rId244" Type="http://schemas.openxmlformats.org/officeDocument/2006/relationships/hyperlink" Target="javascript:submitAction_win0(document.win0,'EN_BOMINQ_WRK_BOM_COMPONENT_DISP$popup$243');" TargetMode="External"/><Relationship Id="rId430" Type="http://schemas.openxmlformats.org/officeDocument/2006/relationships/hyperlink" Target="javascript:submitAction_win0(document.win0,'EN_BOMINQ_WRK_BOM_COMPONENT_DISP$popup$429');" TargetMode="External"/><Relationship Id="rId18" Type="http://schemas.openxmlformats.org/officeDocument/2006/relationships/hyperlink" Target="javascript:submitAction_win0(document.win0,'EN_BOMINQ_WRK_BOM_COMPONENT_DISP$popup$17');" TargetMode="External"/><Relationship Id="rId39" Type="http://schemas.openxmlformats.org/officeDocument/2006/relationships/hyperlink" Target="javascript:submitAction_win0(document.win0,'EN_BOMINQ_WRK_BOM_COMPONENT_DISP$popup$38');" TargetMode="External"/><Relationship Id="rId265" Type="http://schemas.openxmlformats.org/officeDocument/2006/relationships/hyperlink" Target="javascript:submitAction_win0(document.win0,'EN_BOMINQ_WRK_BOM_COMPONENT_DISP$popup$264');" TargetMode="External"/><Relationship Id="rId286" Type="http://schemas.openxmlformats.org/officeDocument/2006/relationships/hyperlink" Target="javascript:submitAction_win0(document.win0,'EN_BOMINQ_WRK_BOM_COMPONENT_DISP$popup$285');" TargetMode="External"/><Relationship Id="rId451" Type="http://schemas.openxmlformats.org/officeDocument/2006/relationships/hyperlink" Target="javascript:submitAction_win0(document.win0,'EN_BOMINQ_WRK_BOM_COMPONENT_DISP$popup$450');" TargetMode="External"/><Relationship Id="rId472" Type="http://schemas.openxmlformats.org/officeDocument/2006/relationships/hyperlink" Target="javascript:submitAction_win0(document.win0,'EN_BOMINQ_WRK_BOM_COMPONENT_DISP$popup$471');" TargetMode="External"/><Relationship Id="rId493" Type="http://schemas.openxmlformats.org/officeDocument/2006/relationships/hyperlink" Target="javascript:submitAction_win0(document.win0,'EN_BOMINQ_WRK_BOM_COMPONENT_DISP$popup$492');" TargetMode="External"/><Relationship Id="rId50" Type="http://schemas.openxmlformats.org/officeDocument/2006/relationships/hyperlink" Target="javascript:submitAction_win0(document.win0,'EN_BOMINQ_WRK_BOM_COMPONENT_DISP$popup$49');" TargetMode="External"/><Relationship Id="rId104" Type="http://schemas.openxmlformats.org/officeDocument/2006/relationships/hyperlink" Target="javascript:submitAction_win0(document.win0,'EN_BOMINQ_WRK_BOM_COMPONENT_DISP$popup$103');" TargetMode="External"/><Relationship Id="rId125" Type="http://schemas.openxmlformats.org/officeDocument/2006/relationships/hyperlink" Target="javascript:submitAction_win0(document.win0,'EN_BOMINQ_WRK_BOM_COMPONENT_DISP$popup$124');" TargetMode="External"/><Relationship Id="rId146" Type="http://schemas.openxmlformats.org/officeDocument/2006/relationships/hyperlink" Target="javascript:submitAction_win0(document.win0,'EN_BOMINQ_WRK_BOM_COMPONENT_DISP$popup$145');" TargetMode="External"/><Relationship Id="rId167" Type="http://schemas.openxmlformats.org/officeDocument/2006/relationships/hyperlink" Target="javascript:submitAction_win0(document.win0,'EN_BOMINQ_WRK_BOM_COMPONENT_DISP$popup$166');" TargetMode="External"/><Relationship Id="rId188" Type="http://schemas.openxmlformats.org/officeDocument/2006/relationships/hyperlink" Target="javascript:submitAction_win0(document.win0,'EN_BOMINQ_WRK_BOM_COMPONENT_DISP$popup$187');" TargetMode="External"/><Relationship Id="rId311" Type="http://schemas.openxmlformats.org/officeDocument/2006/relationships/hyperlink" Target="javascript:submitAction_win0(document.win0,'EN_BOMINQ_WRK_BOM_COMPONENT_DISP$popup$310');" TargetMode="External"/><Relationship Id="rId332" Type="http://schemas.openxmlformats.org/officeDocument/2006/relationships/hyperlink" Target="javascript:submitAction_win0(document.win0,'EN_BOMINQ_WRK_BOM_COMPONENT_DISP$popup$331');" TargetMode="External"/><Relationship Id="rId353" Type="http://schemas.openxmlformats.org/officeDocument/2006/relationships/hyperlink" Target="javascript:submitAction_win0(document.win0,'EN_BOMINQ_WRK_BOM_COMPONENT_DISP$popup$352');" TargetMode="External"/><Relationship Id="rId374" Type="http://schemas.openxmlformats.org/officeDocument/2006/relationships/hyperlink" Target="javascript:submitAction_win0(document.win0,'EN_BOMINQ_WRK_BOM_COMPONENT_DISP$popup$373');" TargetMode="External"/><Relationship Id="rId395" Type="http://schemas.openxmlformats.org/officeDocument/2006/relationships/hyperlink" Target="javascript:submitAction_win0(document.win0,'EN_BOMINQ_WRK_BOM_COMPONENT_DISP$popup$394');" TargetMode="External"/><Relationship Id="rId409" Type="http://schemas.openxmlformats.org/officeDocument/2006/relationships/hyperlink" Target="javascript:submitAction_win0(document.win0,'EN_BOMINQ_WRK_BOM_COMPONENT_DISP$popup$408');" TargetMode="External"/><Relationship Id="rId71" Type="http://schemas.openxmlformats.org/officeDocument/2006/relationships/hyperlink" Target="javascript:submitAction_win0(document.win0,'EN_BOMINQ_WRK_BOM_COMPONENT_DISP$popup$70');" TargetMode="External"/><Relationship Id="rId92" Type="http://schemas.openxmlformats.org/officeDocument/2006/relationships/hyperlink" Target="javascript:submitAction_win0(document.win0,'EN_BOMINQ_WRK_BOM_COMPONENT_DISP$popup$91');" TargetMode="External"/><Relationship Id="rId213" Type="http://schemas.openxmlformats.org/officeDocument/2006/relationships/hyperlink" Target="javascript:submitAction_win0(document.win0,'EN_BOMINQ_WRK_BOM_COMPONENT_DISP$popup$212');" TargetMode="External"/><Relationship Id="rId234" Type="http://schemas.openxmlformats.org/officeDocument/2006/relationships/hyperlink" Target="javascript:submitAction_win0(document.win0,'EN_BOMINQ_WRK_BOM_COMPONENT_DISP$popup$233');" TargetMode="External"/><Relationship Id="rId420" Type="http://schemas.openxmlformats.org/officeDocument/2006/relationships/hyperlink" Target="javascript:submitAction_win0(document.win0,'EN_BOMINQ_WRK_BOM_COMPONENT_DISP$popup$419');" TargetMode="External"/><Relationship Id="rId2" Type="http://schemas.openxmlformats.org/officeDocument/2006/relationships/hyperlink" Target="javascript:submitAction_win0(document.win0,'EN_BOMINQ_WRK_BOM_COMPONENT_DISP$popup$1');" TargetMode="External"/><Relationship Id="rId29" Type="http://schemas.openxmlformats.org/officeDocument/2006/relationships/hyperlink" Target="javascript:submitAction_win0(document.win0,'EN_BOMINQ_WRK_BOM_COMPONENT_DISP$popup$28');" TargetMode="External"/><Relationship Id="rId255" Type="http://schemas.openxmlformats.org/officeDocument/2006/relationships/hyperlink" Target="javascript:submitAction_win0(document.win0,'EN_BOMINQ_WRK_BOM_COMPONENT_DISP$popup$254');" TargetMode="External"/><Relationship Id="rId276" Type="http://schemas.openxmlformats.org/officeDocument/2006/relationships/hyperlink" Target="javascript:submitAction_win0(document.win0,'EN_BOMINQ_WRK_BOM_COMPONENT_DISP$popup$275');" TargetMode="External"/><Relationship Id="rId297" Type="http://schemas.openxmlformats.org/officeDocument/2006/relationships/hyperlink" Target="javascript:submitAction_win0(document.win0,'EN_BOMINQ_WRK_BOM_COMPONENT_DISP$popup$296');" TargetMode="External"/><Relationship Id="rId441" Type="http://schemas.openxmlformats.org/officeDocument/2006/relationships/hyperlink" Target="javascript:submitAction_win0(document.win0,'EN_BOMINQ_WRK_BOM_COMPONENT_DISP$popup$440');" TargetMode="External"/><Relationship Id="rId462" Type="http://schemas.openxmlformats.org/officeDocument/2006/relationships/hyperlink" Target="javascript:submitAction_win0(document.win0,'EN_BOMINQ_WRK_BOM_COMPONENT_DISP$popup$461');" TargetMode="External"/><Relationship Id="rId483" Type="http://schemas.openxmlformats.org/officeDocument/2006/relationships/hyperlink" Target="javascript:submitAction_win0(document.win0,'EN_BOMINQ_WRK_BOM_COMPONENT_DISP$popup$482');" TargetMode="External"/><Relationship Id="rId40" Type="http://schemas.openxmlformats.org/officeDocument/2006/relationships/hyperlink" Target="javascript:submitAction_win0(document.win0,'EN_BOMINQ_WRK_BOM_COMPONENT_DISP$popup$39');" TargetMode="External"/><Relationship Id="rId115" Type="http://schemas.openxmlformats.org/officeDocument/2006/relationships/hyperlink" Target="javascript:submitAction_win0(document.win0,'EN_BOMINQ_WRK_BOM_COMPONENT_DISP$popup$114');" TargetMode="External"/><Relationship Id="rId136" Type="http://schemas.openxmlformats.org/officeDocument/2006/relationships/hyperlink" Target="javascript:submitAction_win0(document.win0,'EN_BOMINQ_WRK_BOM_COMPONENT_DISP$popup$135');" TargetMode="External"/><Relationship Id="rId157" Type="http://schemas.openxmlformats.org/officeDocument/2006/relationships/hyperlink" Target="javascript:submitAction_win0(document.win0,'EN_BOMINQ_WRK_BOM_COMPONENT_DISP$popup$156');" TargetMode="External"/><Relationship Id="rId178" Type="http://schemas.openxmlformats.org/officeDocument/2006/relationships/hyperlink" Target="javascript:submitAction_win0(document.win0,'EN_BOMINQ_WRK_BOM_COMPONENT_DISP$popup$177');" TargetMode="External"/><Relationship Id="rId301" Type="http://schemas.openxmlformats.org/officeDocument/2006/relationships/hyperlink" Target="javascript:submitAction_win0(document.win0,'EN_BOMINQ_WRK_BOM_COMPONENT_DISP$popup$300');" TargetMode="External"/><Relationship Id="rId322" Type="http://schemas.openxmlformats.org/officeDocument/2006/relationships/hyperlink" Target="javascript:submitAction_win0(document.win0,'EN_BOMINQ_WRK_BOM_COMPONENT_DISP$popup$321');" TargetMode="External"/><Relationship Id="rId343" Type="http://schemas.openxmlformats.org/officeDocument/2006/relationships/hyperlink" Target="javascript:submitAction_win0(document.win0,'EN_BOMINQ_WRK_BOM_COMPONENT_DISP$popup$342');" TargetMode="External"/><Relationship Id="rId364" Type="http://schemas.openxmlformats.org/officeDocument/2006/relationships/hyperlink" Target="javascript:submitAction_win0(document.win0,'EN_BOMINQ_WRK_BOM_COMPONENT_DISP$popup$363');" TargetMode="External"/><Relationship Id="rId61" Type="http://schemas.openxmlformats.org/officeDocument/2006/relationships/hyperlink" Target="javascript:submitAction_win0(document.win0,'EN_BOMINQ_WRK_BOM_COMPONENT_DISP$popup$60');" TargetMode="External"/><Relationship Id="rId82" Type="http://schemas.openxmlformats.org/officeDocument/2006/relationships/hyperlink" Target="javascript:submitAction_win0(document.win0,'EN_BOMINQ_WRK_BOM_COMPONENT_DISP$popup$81');" TargetMode="External"/><Relationship Id="rId199" Type="http://schemas.openxmlformats.org/officeDocument/2006/relationships/hyperlink" Target="javascript:submitAction_win0(document.win0,'EN_BOMINQ_WRK_BOM_COMPONENT_DISP$popup$198');" TargetMode="External"/><Relationship Id="rId203" Type="http://schemas.openxmlformats.org/officeDocument/2006/relationships/hyperlink" Target="javascript:submitAction_win0(document.win0,'EN_BOMINQ_WRK_BOM_COMPONENT_DISP$popup$202');" TargetMode="External"/><Relationship Id="rId385" Type="http://schemas.openxmlformats.org/officeDocument/2006/relationships/hyperlink" Target="javascript:submitAction_win0(document.win0,'EN_BOMINQ_WRK_BOM_COMPONENT_DISP$popup$384');" TargetMode="External"/><Relationship Id="rId19" Type="http://schemas.openxmlformats.org/officeDocument/2006/relationships/hyperlink" Target="javascript:submitAction_win0(document.win0,'EN_BOMINQ_WRK_BOM_COMPONENT_DISP$popup$18');" TargetMode="External"/><Relationship Id="rId224" Type="http://schemas.openxmlformats.org/officeDocument/2006/relationships/hyperlink" Target="javascript:submitAction_win0(document.win0,'EN_BOMINQ_WRK_BOM_COMPONENT_DISP$popup$223');" TargetMode="External"/><Relationship Id="rId245" Type="http://schemas.openxmlformats.org/officeDocument/2006/relationships/hyperlink" Target="javascript:submitAction_win0(document.win0,'EN_BOMINQ_WRK_BOM_COMPONENT_DISP$popup$244');" TargetMode="External"/><Relationship Id="rId266" Type="http://schemas.openxmlformats.org/officeDocument/2006/relationships/hyperlink" Target="javascript:submitAction_win0(document.win0,'EN_BOMINQ_WRK_BOM_COMPONENT_DISP$popup$265');" TargetMode="External"/><Relationship Id="rId287" Type="http://schemas.openxmlformats.org/officeDocument/2006/relationships/hyperlink" Target="javascript:submitAction_win0(document.win0,'EN_BOMINQ_WRK_BOM_COMPONENT_DISP$popup$286');" TargetMode="External"/><Relationship Id="rId410" Type="http://schemas.openxmlformats.org/officeDocument/2006/relationships/hyperlink" Target="javascript:submitAction_win0(document.win0,'EN_BOMINQ_WRK_BOM_COMPONENT_DISP$popup$409');" TargetMode="External"/><Relationship Id="rId431" Type="http://schemas.openxmlformats.org/officeDocument/2006/relationships/hyperlink" Target="javascript:submitAction_win0(document.win0,'EN_BOMINQ_WRK_BOM_COMPONENT_DISP$popup$430');" TargetMode="External"/><Relationship Id="rId452" Type="http://schemas.openxmlformats.org/officeDocument/2006/relationships/hyperlink" Target="javascript:submitAction_win0(document.win0,'EN_BOMINQ_WRK_BOM_COMPONENT_DISP$popup$451');" TargetMode="External"/><Relationship Id="rId473" Type="http://schemas.openxmlformats.org/officeDocument/2006/relationships/hyperlink" Target="javascript:submitAction_win0(document.win0,'EN_BOMINQ_WRK_BOM_COMPONENT_DISP$popup$472');" TargetMode="External"/><Relationship Id="rId494" Type="http://schemas.openxmlformats.org/officeDocument/2006/relationships/hyperlink" Target="javascript:submitAction_win0(document.win0,'EN_BOMINQ_WRK_BOM_COMPONENT_DISP$popup$493');" TargetMode="External"/><Relationship Id="rId30" Type="http://schemas.openxmlformats.org/officeDocument/2006/relationships/hyperlink" Target="javascript:submitAction_win0(document.win0,'EN_BOMINQ_WRK_BOM_COMPONENT_DISP$popup$29');" TargetMode="External"/><Relationship Id="rId105" Type="http://schemas.openxmlformats.org/officeDocument/2006/relationships/hyperlink" Target="javascript:submitAction_win0(document.win0,'EN_BOMINQ_WRK_BOM_COMPONENT_DISP$popup$104');" TargetMode="External"/><Relationship Id="rId126" Type="http://schemas.openxmlformats.org/officeDocument/2006/relationships/hyperlink" Target="javascript:submitAction_win0(document.win0,'EN_BOMINQ_WRK_BOM_COMPONENT_DISP$popup$125');" TargetMode="External"/><Relationship Id="rId147" Type="http://schemas.openxmlformats.org/officeDocument/2006/relationships/hyperlink" Target="javascript:submitAction_win0(document.win0,'EN_BOMINQ_WRK_BOM_COMPONENT_DISP$popup$146');" TargetMode="External"/><Relationship Id="rId168" Type="http://schemas.openxmlformats.org/officeDocument/2006/relationships/hyperlink" Target="javascript:submitAction_win0(document.win0,'EN_BOMINQ_WRK_BOM_COMPONENT_DISP$popup$167');" TargetMode="External"/><Relationship Id="rId312" Type="http://schemas.openxmlformats.org/officeDocument/2006/relationships/hyperlink" Target="javascript:submitAction_win0(document.win0,'EN_BOMINQ_WRK_BOM_COMPONENT_DISP$popup$311');" TargetMode="External"/><Relationship Id="rId333" Type="http://schemas.openxmlformats.org/officeDocument/2006/relationships/hyperlink" Target="javascript:submitAction_win0(document.win0,'EN_BOMINQ_WRK_BOM_COMPONENT_DISP$popup$332');" TargetMode="External"/><Relationship Id="rId354" Type="http://schemas.openxmlformats.org/officeDocument/2006/relationships/hyperlink" Target="javascript:submitAction_win0(document.win0,'EN_BOMINQ_WRK_BOM_COMPONENT_DISP$popup$353');" TargetMode="External"/><Relationship Id="rId51" Type="http://schemas.openxmlformats.org/officeDocument/2006/relationships/hyperlink" Target="javascript:submitAction_win0(document.win0,'EN_BOMINQ_WRK_BOM_COMPONENT_DISP$popup$50');" TargetMode="External"/><Relationship Id="rId72" Type="http://schemas.openxmlformats.org/officeDocument/2006/relationships/hyperlink" Target="javascript:submitAction_win0(document.win0,'EN_BOMINQ_WRK_BOM_COMPONENT_DISP$popup$71');" TargetMode="External"/><Relationship Id="rId93" Type="http://schemas.openxmlformats.org/officeDocument/2006/relationships/hyperlink" Target="javascript:submitAction_win0(document.win0,'EN_BOMINQ_WRK_BOM_COMPONENT_DISP$popup$92');" TargetMode="External"/><Relationship Id="rId189" Type="http://schemas.openxmlformats.org/officeDocument/2006/relationships/hyperlink" Target="javascript:submitAction_win0(document.win0,'EN_BOMINQ_WRK_BOM_COMPONENT_DISP$popup$188');" TargetMode="External"/><Relationship Id="rId375" Type="http://schemas.openxmlformats.org/officeDocument/2006/relationships/hyperlink" Target="javascript:submitAction_win0(document.win0,'EN_BOMINQ_WRK_BOM_COMPONENT_DISP$popup$374');" TargetMode="External"/><Relationship Id="rId396" Type="http://schemas.openxmlformats.org/officeDocument/2006/relationships/hyperlink" Target="javascript:submitAction_win0(document.win0,'EN_BOMINQ_WRK_BOM_COMPONENT_DISP$popup$395');" TargetMode="External"/><Relationship Id="rId3" Type="http://schemas.openxmlformats.org/officeDocument/2006/relationships/hyperlink" Target="javascript:submitAction_win0(document.win0,'EN_BOMINQ_WRK_BOM_COMPONENT_DISP$popup$2');" TargetMode="External"/><Relationship Id="rId214" Type="http://schemas.openxmlformats.org/officeDocument/2006/relationships/hyperlink" Target="javascript:submitAction_win0(document.win0,'EN_BOMINQ_WRK_BOM_COMPONENT_DISP$popup$213');" TargetMode="External"/><Relationship Id="rId235" Type="http://schemas.openxmlformats.org/officeDocument/2006/relationships/hyperlink" Target="javascript:submitAction_win0(document.win0,'EN_BOMINQ_WRK_BOM_COMPONENT_DISP$popup$234');" TargetMode="External"/><Relationship Id="rId256" Type="http://schemas.openxmlformats.org/officeDocument/2006/relationships/hyperlink" Target="javascript:submitAction_win0(document.win0,'EN_BOMINQ_WRK_BOM_COMPONENT_DISP$popup$255');" TargetMode="External"/><Relationship Id="rId277" Type="http://schemas.openxmlformats.org/officeDocument/2006/relationships/hyperlink" Target="javascript:submitAction_win0(document.win0,'EN_BOMINQ_WRK_BOM_COMPONENT_DISP$popup$276');" TargetMode="External"/><Relationship Id="rId298" Type="http://schemas.openxmlformats.org/officeDocument/2006/relationships/hyperlink" Target="javascript:submitAction_win0(document.win0,'EN_BOMINQ_WRK_BOM_COMPONENT_DISP$popup$297');" TargetMode="External"/><Relationship Id="rId400" Type="http://schemas.openxmlformats.org/officeDocument/2006/relationships/hyperlink" Target="javascript:submitAction_win0(document.win0,'EN_BOMINQ_WRK_BOM_COMPONENT_DISP$popup$399');" TargetMode="External"/><Relationship Id="rId421" Type="http://schemas.openxmlformats.org/officeDocument/2006/relationships/hyperlink" Target="javascript:submitAction_win0(document.win0,'EN_BOMINQ_WRK_BOM_COMPONENT_DISP$popup$420');" TargetMode="External"/><Relationship Id="rId442" Type="http://schemas.openxmlformats.org/officeDocument/2006/relationships/hyperlink" Target="javascript:submitAction_win0(document.win0,'EN_BOMINQ_WRK_BOM_COMPONENT_DISP$popup$441');" TargetMode="External"/><Relationship Id="rId463" Type="http://schemas.openxmlformats.org/officeDocument/2006/relationships/hyperlink" Target="javascript:submitAction_win0(document.win0,'EN_BOMINQ_WRK_BOM_COMPONENT_DISP$popup$462');" TargetMode="External"/><Relationship Id="rId484" Type="http://schemas.openxmlformats.org/officeDocument/2006/relationships/hyperlink" Target="javascript:submitAction_win0(document.win0,'EN_BOMINQ_WRK_BOM_COMPONENT_DISP$popup$483');" TargetMode="External"/><Relationship Id="rId116" Type="http://schemas.openxmlformats.org/officeDocument/2006/relationships/hyperlink" Target="javascript:submitAction_win0(document.win0,'EN_BOMINQ_WRK_BOM_COMPONENT_DISP$popup$115');" TargetMode="External"/><Relationship Id="rId137" Type="http://schemas.openxmlformats.org/officeDocument/2006/relationships/hyperlink" Target="javascript:submitAction_win0(document.win0,'EN_BOMINQ_WRK_BOM_COMPONENT_DISP$popup$136');" TargetMode="External"/><Relationship Id="rId158" Type="http://schemas.openxmlformats.org/officeDocument/2006/relationships/hyperlink" Target="javascript:submitAction_win0(document.win0,'EN_BOMINQ_WRK_BOM_COMPONENT_DISP$popup$157');" TargetMode="External"/><Relationship Id="rId302" Type="http://schemas.openxmlformats.org/officeDocument/2006/relationships/hyperlink" Target="javascript:submitAction_win0(document.win0,'EN_BOMINQ_WRK_BOM_COMPONENT_DISP$popup$301');" TargetMode="External"/><Relationship Id="rId323" Type="http://schemas.openxmlformats.org/officeDocument/2006/relationships/hyperlink" Target="javascript:submitAction_win0(document.win0,'EN_BOMINQ_WRK_BOM_COMPONENT_DISP$popup$322');" TargetMode="External"/><Relationship Id="rId344" Type="http://schemas.openxmlformats.org/officeDocument/2006/relationships/hyperlink" Target="javascript:submitAction_win0(document.win0,'EN_BOMINQ_WRK_BOM_COMPONENT_DISP$popup$343');" TargetMode="External"/><Relationship Id="rId20" Type="http://schemas.openxmlformats.org/officeDocument/2006/relationships/hyperlink" Target="javascript:submitAction_win0(document.win0,'EN_BOMINQ_WRK_BOM_COMPONENT_DISP$popup$19');" TargetMode="External"/><Relationship Id="rId41" Type="http://schemas.openxmlformats.org/officeDocument/2006/relationships/hyperlink" Target="javascript:submitAction_win0(document.win0,'EN_BOMINQ_WRK_BOM_COMPONENT_DISP$popup$40');" TargetMode="External"/><Relationship Id="rId62" Type="http://schemas.openxmlformats.org/officeDocument/2006/relationships/hyperlink" Target="javascript:submitAction_win0(document.win0,'EN_BOMINQ_WRK_BOM_COMPONENT_DISP$popup$61');" TargetMode="External"/><Relationship Id="rId83" Type="http://schemas.openxmlformats.org/officeDocument/2006/relationships/hyperlink" Target="javascript:submitAction_win0(document.win0,'EN_BOMINQ_WRK_BOM_COMPONENT_DISP$popup$82');" TargetMode="External"/><Relationship Id="rId179" Type="http://schemas.openxmlformats.org/officeDocument/2006/relationships/hyperlink" Target="javascript:submitAction_win0(document.win0,'EN_BOMINQ_WRK_BOM_COMPONENT_DISP$popup$178');" TargetMode="External"/><Relationship Id="rId365" Type="http://schemas.openxmlformats.org/officeDocument/2006/relationships/hyperlink" Target="javascript:submitAction_win0(document.win0,'EN_BOMINQ_WRK_BOM_COMPONENT_DISP$popup$364');" TargetMode="External"/><Relationship Id="rId386" Type="http://schemas.openxmlformats.org/officeDocument/2006/relationships/hyperlink" Target="javascript:submitAction_win0(document.win0,'EN_BOMINQ_WRK_BOM_COMPONENT_DISP$popup$385');" TargetMode="External"/><Relationship Id="rId190" Type="http://schemas.openxmlformats.org/officeDocument/2006/relationships/hyperlink" Target="javascript:submitAction_win0(document.win0,'EN_BOMINQ_WRK_BOM_COMPONENT_DISP$popup$189');" TargetMode="External"/><Relationship Id="rId204" Type="http://schemas.openxmlformats.org/officeDocument/2006/relationships/hyperlink" Target="javascript:submitAction_win0(document.win0,'EN_BOMINQ_WRK_BOM_COMPONENT_DISP$popup$203');" TargetMode="External"/><Relationship Id="rId225" Type="http://schemas.openxmlformats.org/officeDocument/2006/relationships/hyperlink" Target="javascript:submitAction_win0(document.win0,'EN_BOMINQ_WRK_BOM_COMPONENT_DISP$popup$224');" TargetMode="External"/><Relationship Id="rId246" Type="http://schemas.openxmlformats.org/officeDocument/2006/relationships/hyperlink" Target="javascript:submitAction_win0(document.win0,'EN_BOMINQ_WRK_BOM_COMPONENT_DISP$popup$245');" TargetMode="External"/><Relationship Id="rId267" Type="http://schemas.openxmlformats.org/officeDocument/2006/relationships/hyperlink" Target="javascript:submitAction_win0(document.win0,'EN_BOMINQ_WRK_BOM_COMPONENT_DISP$popup$266');" TargetMode="External"/><Relationship Id="rId288" Type="http://schemas.openxmlformats.org/officeDocument/2006/relationships/hyperlink" Target="javascript:submitAction_win0(document.win0,'EN_BOMINQ_WRK_BOM_COMPONENT_DISP$popup$287');" TargetMode="External"/><Relationship Id="rId411" Type="http://schemas.openxmlformats.org/officeDocument/2006/relationships/hyperlink" Target="javascript:submitAction_win0(document.win0,'EN_BOMINQ_WRK_BOM_COMPONENT_DISP$popup$410');" TargetMode="External"/><Relationship Id="rId432" Type="http://schemas.openxmlformats.org/officeDocument/2006/relationships/hyperlink" Target="javascript:submitAction_win0(document.win0,'EN_BOMINQ_WRK_BOM_COMPONENT_DISP$popup$431');" TargetMode="External"/><Relationship Id="rId453" Type="http://schemas.openxmlformats.org/officeDocument/2006/relationships/hyperlink" Target="javascript:submitAction_win0(document.win0,'EN_BOMINQ_WRK_BOM_COMPONENT_DISP$popup$452');" TargetMode="External"/><Relationship Id="rId474" Type="http://schemas.openxmlformats.org/officeDocument/2006/relationships/hyperlink" Target="javascript:submitAction_win0(document.win0,'EN_BOMINQ_WRK_BOM_COMPONENT_DISP$popup$473');" TargetMode="External"/><Relationship Id="rId106" Type="http://schemas.openxmlformats.org/officeDocument/2006/relationships/hyperlink" Target="javascript:submitAction_win0(document.win0,'EN_BOMINQ_WRK_BOM_COMPONENT_DISP$popup$105');" TargetMode="External"/><Relationship Id="rId127" Type="http://schemas.openxmlformats.org/officeDocument/2006/relationships/hyperlink" Target="javascript:submitAction_win0(document.win0,'EN_BOMINQ_WRK_BOM_COMPONENT_DISP$popup$126');" TargetMode="External"/><Relationship Id="rId313" Type="http://schemas.openxmlformats.org/officeDocument/2006/relationships/hyperlink" Target="javascript:submitAction_win0(document.win0,'EN_BOMINQ_WRK_BOM_COMPONENT_DISP$popup$312');" TargetMode="External"/><Relationship Id="rId495" Type="http://schemas.openxmlformats.org/officeDocument/2006/relationships/hyperlink" Target="javascript:submitAction_win0(document.win0,'EN_BOMINQ_WRK_BOM_COMPONENT_DISP$popup$494');" TargetMode="External"/><Relationship Id="rId10" Type="http://schemas.openxmlformats.org/officeDocument/2006/relationships/hyperlink" Target="javascript:submitAction_win0(document.win0,'EN_BOMINQ_WRK_BOM_COMPONENT_DISP$popup$9');" TargetMode="External"/><Relationship Id="rId31" Type="http://schemas.openxmlformats.org/officeDocument/2006/relationships/hyperlink" Target="javascript:submitAction_win0(document.win0,'EN_BOMINQ_WRK_BOM_COMPONENT_DISP$popup$30');" TargetMode="External"/><Relationship Id="rId52" Type="http://schemas.openxmlformats.org/officeDocument/2006/relationships/hyperlink" Target="javascript:submitAction_win0(document.win0,'EN_BOMINQ_WRK_BOM_COMPONENT_DISP$popup$51');" TargetMode="External"/><Relationship Id="rId73" Type="http://schemas.openxmlformats.org/officeDocument/2006/relationships/hyperlink" Target="javascript:submitAction_win0(document.win0,'EN_BOMINQ_WRK_BOM_COMPONENT_DISP$popup$72');" TargetMode="External"/><Relationship Id="rId94" Type="http://schemas.openxmlformats.org/officeDocument/2006/relationships/hyperlink" Target="javascript:submitAction_win0(document.win0,'EN_BOMINQ_WRK_BOM_COMPONENT_DISP$popup$93');" TargetMode="External"/><Relationship Id="rId148" Type="http://schemas.openxmlformats.org/officeDocument/2006/relationships/hyperlink" Target="javascript:submitAction_win0(document.win0,'EN_BOMINQ_WRK_BOM_COMPONENT_DISP$popup$147');" TargetMode="External"/><Relationship Id="rId169" Type="http://schemas.openxmlformats.org/officeDocument/2006/relationships/hyperlink" Target="javascript:submitAction_win0(document.win0,'EN_BOMINQ_WRK_BOM_COMPONENT_DISP$popup$168');" TargetMode="External"/><Relationship Id="rId334" Type="http://schemas.openxmlformats.org/officeDocument/2006/relationships/hyperlink" Target="javascript:submitAction_win0(document.win0,'EN_BOMINQ_WRK_BOM_COMPONENT_DISP$popup$333');" TargetMode="External"/><Relationship Id="rId355" Type="http://schemas.openxmlformats.org/officeDocument/2006/relationships/hyperlink" Target="javascript:submitAction_win0(document.win0,'EN_BOMINQ_WRK_BOM_COMPONENT_DISP$popup$354');" TargetMode="External"/><Relationship Id="rId376" Type="http://schemas.openxmlformats.org/officeDocument/2006/relationships/hyperlink" Target="javascript:submitAction_win0(document.win0,'EN_BOMINQ_WRK_BOM_COMPONENT_DISP$popup$375');" TargetMode="External"/><Relationship Id="rId397" Type="http://schemas.openxmlformats.org/officeDocument/2006/relationships/hyperlink" Target="javascript:submitAction_win0(document.win0,'EN_BOMINQ_WRK_BOM_COMPONENT_DISP$popup$396');" TargetMode="External"/><Relationship Id="rId4" Type="http://schemas.openxmlformats.org/officeDocument/2006/relationships/hyperlink" Target="javascript:submitAction_win0(document.win0,'EN_BOMINQ_WRK_BOM_COMPONENT_DISP$popup$3');" TargetMode="External"/><Relationship Id="rId180" Type="http://schemas.openxmlformats.org/officeDocument/2006/relationships/hyperlink" Target="javascript:submitAction_win0(document.win0,'EN_BOMINQ_WRK_BOM_COMPONENT_DISP$popup$179');" TargetMode="External"/><Relationship Id="rId215" Type="http://schemas.openxmlformats.org/officeDocument/2006/relationships/hyperlink" Target="javascript:submitAction_win0(document.win0,'EN_BOMINQ_WRK_BOM_COMPONENT_DISP$popup$214');" TargetMode="External"/><Relationship Id="rId236" Type="http://schemas.openxmlformats.org/officeDocument/2006/relationships/hyperlink" Target="javascript:submitAction_win0(document.win0,'EN_BOMINQ_WRK_BOM_COMPONENT_DISP$popup$235');" TargetMode="External"/><Relationship Id="rId257" Type="http://schemas.openxmlformats.org/officeDocument/2006/relationships/hyperlink" Target="javascript:submitAction_win0(document.win0,'EN_BOMINQ_WRK_BOM_COMPONENT_DISP$popup$256');" TargetMode="External"/><Relationship Id="rId278" Type="http://schemas.openxmlformats.org/officeDocument/2006/relationships/hyperlink" Target="javascript:submitAction_win0(document.win0,'EN_BOMINQ_WRK_BOM_COMPONENT_DISP$popup$277');" TargetMode="External"/><Relationship Id="rId401" Type="http://schemas.openxmlformats.org/officeDocument/2006/relationships/hyperlink" Target="javascript:submitAction_win0(document.win0,'EN_BOMINQ_WRK_BOM_COMPONENT_DISP$popup$400');" TargetMode="External"/><Relationship Id="rId422" Type="http://schemas.openxmlformats.org/officeDocument/2006/relationships/hyperlink" Target="javascript:submitAction_win0(document.win0,'EN_BOMINQ_WRK_BOM_COMPONENT_DISP$popup$421');" TargetMode="External"/><Relationship Id="rId443" Type="http://schemas.openxmlformats.org/officeDocument/2006/relationships/hyperlink" Target="javascript:submitAction_win0(document.win0,'EN_BOMINQ_WRK_BOM_COMPONENT_DISP$popup$442');" TargetMode="External"/><Relationship Id="rId464" Type="http://schemas.openxmlformats.org/officeDocument/2006/relationships/hyperlink" Target="javascript:submitAction_win0(document.win0,'EN_BOMINQ_WRK_BOM_COMPONENT_DISP$popup$463');" TargetMode="External"/><Relationship Id="rId303" Type="http://schemas.openxmlformats.org/officeDocument/2006/relationships/hyperlink" Target="javascript:submitAction_win0(document.win0,'EN_BOMINQ_WRK_BOM_COMPONENT_DISP$popup$302');" TargetMode="External"/><Relationship Id="rId485" Type="http://schemas.openxmlformats.org/officeDocument/2006/relationships/hyperlink" Target="javascript:submitAction_win0(document.win0,'EN_BOMINQ_WRK_BOM_COMPONENT_DISP$popup$484');" TargetMode="External"/><Relationship Id="rId42" Type="http://schemas.openxmlformats.org/officeDocument/2006/relationships/hyperlink" Target="javascript:submitAction_win0(document.win0,'EN_BOMINQ_WRK_BOM_COMPONENT_DISP$popup$41');" TargetMode="External"/><Relationship Id="rId84" Type="http://schemas.openxmlformats.org/officeDocument/2006/relationships/hyperlink" Target="javascript:submitAction_win0(document.win0,'EN_BOMINQ_WRK_BOM_COMPONENT_DISP$popup$83');" TargetMode="External"/><Relationship Id="rId138" Type="http://schemas.openxmlformats.org/officeDocument/2006/relationships/hyperlink" Target="javascript:submitAction_win0(document.win0,'EN_BOMINQ_WRK_BOM_COMPONENT_DISP$popup$137');" TargetMode="External"/><Relationship Id="rId345" Type="http://schemas.openxmlformats.org/officeDocument/2006/relationships/hyperlink" Target="javascript:submitAction_win0(document.win0,'EN_BOMINQ_WRK_BOM_COMPONENT_DISP$popup$344');" TargetMode="External"/><Relationship Id="rId387" Type="http://schemas.openxmlformats.org/officeDocument/2006/relationships/hyperlink" Target="javascript:submitAction_win0(document.win0,'EN_BOMINQ_WRK_BOM_COMPONENT_DISP$popup$386');" TargetMode="External"/><Relationship Id="rId191" Type="http://schemas.openxmlformats.org/officeDocument/2006/relationships/hyperlink" Target="javascript:submitAction_win0(document.win0,'EN_BOMINQ_WRK_BOM_COMPONENT_DISP$popup$190');" TargetMode="External"/><Relationship Id="rId205" Type="http://schemas.openxmlformats.org/officeDocument/2006/relationships/hyperlink" Target="javascript:submitAction_win0(document.win0,'EN_BOMINQ_WRK_BOM_COMPONENT_DISP$popup$204');" TargetMode="External"/><Relationship Id="rId247" Type="http://schemas.openxmlformats.org/officeDocument/2006/relationships/hyperlink" Target="javascript:submitAction_win0(document.win0,'EN_BOMINQ_WRK_BOM_COMPONENT_DISP$popup$246');" TargetMode="External"/><Relationship Id="rId412" Type="http://schemas.openxmlformats.org/officeDocument/2006/relationships/hyperlink" Target="javascript:submitAction_win0(document.win0,'EN_BOMINQ_WRK_BOM_COMPONENT_DISP$popup$411');" TargetMode="External"/><Relationship Id="rId107" Type="http://schemas.openxmlformats.org/officeDocument/2006/relationships/hyperlink" Target="javascript:submitAction_win0(document.win0,'EN_BOMINQ_WRK_BOM_COMPONENT_DISP$popup$106');" TargetMode="External"/><Relationship Id="rId289" Type="http://schemas.openxmlformats.org/officeDocument/2006/relationships/hyperlink" Target="javascript:submitAction_win0(document.win0,'EN_BOMINQ_WRK_BOM_COMPONENT_DISP$popup$288');" TargetMode="External"/><Relationship Id="rId454" Type="http://schemas.openxmlformats.org/officeDocument/2006/relationships/hyperlink" Target="javascript:submitAction_win0(document.win0,'EN_BOMINQ_WRK_BOM_COMPONENT_DISP$popup$453');" TargetMode="External"/><Relationship Id="rId496" Type="http://schemas.openxmlformats.org/officeDocument/2006/relationships/hyperlink" Target="javascript:submitAction_win0(document.win0,'EN_BOMINQ_WRK_BOM_COMPONENT_DISP$popup$495');" TargetMode="External"/><Relationship Id="rId11" Type="http://schemas.openxmlformats.org/officeDocument/2006/relationships/hyperlink" Target="javascript:submitAction_win0(document.win0,'EN_BOMINQ_WRK_BOM_COMPONENT_DISP$popup$10');" TargetMode="External"/><Relationship Id="rId53" Type="http://schemas.openxmlformats.org/officeDocument/2006/relationships/hyperlink" Target="javascript:submitAction_win0(document.win0,'EN_BOMINQ_WRK_BOM_COMPONENT_DISP$popup$52');" TargetMode="External"/><Relationship Id="rId149" Type="http://schemas.openxmlformats.org/officeDocument/2006/relationships/hyperlink" Target="javascript:submitAction_win0(document.win0,'EN_BOMINQ_WRK_BOM_COMPONENT_DISP$popup$148');" TargetMode="External"/><Relationship Id="rId314" Type="http://schemas.openxmlformats.org/officeDocument/2006/relationships/hyperlink" Target="javascript:submitAction_win0(document.win0,'EN_BOMINQ_WRK_BOM_COMPONENT_DISP$popup$313');" TargetMode="External"/><Relationship Id="rId356" Type="http://schemas.openxmlformats.org/officeDocument/2006/relationships/hyperlink" Target="javascript:submitAction_win0(document.win0,'EN_BOMINQ_WRK_BOM_COMPONENT_DISP$popup$355');" TargetMode="External"/><Relationship Id="rId398" Type="http://schemas.openxmlformats.org/officeDocument/2006/relationships/hyperlink" Target="javascript:submitAction_win0(document.win0,'EN_BOMINQ_WRK_BOM_COMPONENT_DISP$popup$397');" TargetMode="External"/><Relationship Id="rId95" Type="http://schemas.openxmlformats.org/officeDocument/2006/relationships/hyperlink" Target="javascript:submitAction_win0(document.win0,'EN_BOMINQ_WRK_BOM_COMPONENT_DISP$popup$94');" TargetMode="External"/><Relationship Id="rId160" Type="http://schemas.openxmlformats.org/officeDocument/2006/relationships/hyperlink" Target="javascript:submitAction_win0(document.win0,'EN_BOMINQ_WRK_BOM_COMPONENT_DISP$popup$159');" TargetMode="External"/><Relationship Id="rId216" Type="http://schemas.openxmlformats.org/officeDocument/2006/relationships/hyperlink" Target="javascript:submitAction_win0(document.win0,'EN_BOMINQ_WRK_BOM_COMPONENT_DISP$popup$215');" TargetMode="External"/><Relationship Id="rId423" Type="http://schemas.openxmlformats.org/officeDocument/2006/relationships/hyperlink" Target="javascript:submitAction_win0(document.win0,'EN_BOMINQ_WRK_BOM_COMPONENT_DISP$popup$422');" TargetMode="External"/><Relationship Id="rId258" Type="http://schemas.openxmlformats.org/officeDocument/2006/relationships/hyperlink" Target="javascript:submitAction_win0(document.win0,'EN_BOMINQ_WRK_BOM_COMPONENT_DISP$popup$257');" TargetMode="External"/><Relationship Id="rId465" Type="http://schemas.openxmlformats.org/officeDocument/2006/relationships/hyperlink" Target="javascript:submitAction_win0(document.win0,'EN_BOMINQ_WRK_BOM_COMPONENT_DISP$popup$464');" TargetMode="External"/><Relationship Id="rId22" Type="http://schemas.openxmlformats.org/officeDocument/2006/relationships/hyperlink" Target="javascript:submitAction_win0(document.win0,'EN_BOMINQ_WRK_BOM_COMPONENT_DISP$popup$21');" TargetMode="External"/><Relationship Id="rId64" Type="http://schemas.openxmlformats.org/officeDocument/2006/relationships/hyperlink" Target="javascript:submitAction_win0(document.win0,'EN_BOMINQ_WRK_BOM_COMPONENT_DISP$popup$63');" TargetMode="External"/><Relationship Id="rId118" Type="http://schemas.openxmlformats.org/officeDocument/2006/relationships/hyperlink" Target="javascript:submitAction_win0(document.win0,'EN_BOMINQ_WRK_BOM_COMPONENT_DISP$popup$117');" TargetMode="External"/><Relationship Id="rId325" Type="http://schemas.openxmlformats.org/officeDocument/2006/relationships/hyperlink" Target="javascript:submitAction_win0(document.win0,'EN_BOMINQ_WRK_BOM_COMPONENT_DISP$popup$324');" TargetMode="External"/><Relationship Id="rId367" Type="http://schemas.openxmlformats.org/officeDocument/2006/relationships/hyperlink" Target="javascript:submitAction_win0(document.win0,'EN_BOMINQ_WRK_BOM_COMPONENT_DISP$popup$366');" TargetMode="External"/><Relationship Id="rId171" Type="http://schemas.openxmlformats.org/officeDocument/2006/relationships/hyperlink" Target="javascript:submitAction_win0(document.win0,'EN_BOMINQ_WRK_BOM_COMPONENT_DISP$popup$170');" TargetMode="External"/><Relationship Id="rId227" Type="http://schemas.openxmlformats.org/officeDocument/2006/relationships/hyperlink" Target="javascript:submitAction_win0(document.win0,'EN_BOMINQ_WRK_BOM_COMPONENT_DISP$popup$226');" TargetMode="External"/><Relationship Id="rId269" Type="http://schemas.openxmlformats.org/officeDocument/2006/relationships/hyperlink" Target="javascript:submitAction_win0(document.win0,'EN_BOMINQ_WRK_BOM_COMPONENT_DISP$popup$268');" TargetMode="External"/><Relationship Id="rId434" Type="http://schemas.openxmlformats.org/officeDocument/2006/relationships/hyperlink" Target="javascript:submitAction_win0(document.win0,'EN_BOMINQ_WRK_BOM_COMPONENT_DISP$popup$433');" TargetMode="External"/><Relationship Id="rId476" Type="http://schemas.openxmlformats.org/officeDocument/2006/relationships/hyperlink" Target="javascript:submitAction_win0(document.win0,'EN_BOMINQ_WRK_BOM_COMPONENT_DISP$popup$475');" TargetMode="External"/><Relationship Id="rId33" Type="http://schemas.openxmlformats.org/officeDocument/2006/relationships/hyperlink" Target="javascript:submitAction_win0(document.win0,'EN_BOMINQ_WRK_BOM_COMPONENT_DISP$popup$32');" TargetMode="External"/><Relationship Id="rId129" Type="http://schemas.openxmlformats.org/officeDocument/2006/relationships/hyperlink" Target="javascript:submitAction_win0(document.win0,'EN_BOMINQ_WRK_BOM_COMPONENT_DISP$popup$128');" TargetMode="External"/><Relationship Id="rId280" Type="http://schemas.openxmlformats.org/officeDocument/2006/relationships/hyperlink" Target="javascript:submitAction_win0(document.win0,'EN_BOMINQ_WRK_BOM_COMPONENT_DISP$popup$279');" TargetMode="External"/><Relationship Id="rId336" Type="http://schemas.openxmlformats.org/officeDocument/2006/relationships/hyperlink" Target="javascript:submitAction_win0(document.win0,'EN_BOMINQ_WRK_BOM_COMPONENT_DISP$popup$335');" TargetMode="External"/><Relationship Id="rId75" Type="http://schemas.openxmlformats.org/officeDocument/2006/relationships/hyperlink" Target="javascript:submitAction_win0(document.win0,'EN_BOMINQ_WRK_BOM_COMPONENT_DISP$popup$74');" TargetMode="External"/><Relationship Id="rId140" Type="http://schemas.openxmlformats.org/officeDocument/2006/relationships/hyperlink" Target="javascript:submitAction_win0(document.win0,'EN_BOMINQ_WRK_BOM_COMPONENT_DISP$popup$139');" TargetMode="External"/><Relationship Id="rId182" Type="http://schemas.openxmlformats.org/officeDocument/2006/relationships/hyperlink" Target="javascript:submitAction_win0(document.win0,'EN_BOMINQ_WRK_BOM_COMPONENT_DISP$popup$181');" TargetMode="External"/><Relationship Id="rId378" Type="http://schemas.openxmlformats.org/officeDocument/2006/relationships/hyperlink" Target="javascript:submitAction_win0(document.win0,'EN_BOMINQ_WRK_BOM_COMPONENT_DISP$popup$377');" TargetMode="External"/><Relationship Id="rId403" Type="http://schemas.openxmlformats.org/officeDocument/2006/relationships/hyperlink" Target="javascript:submitAction_win0(document.win0,'EN_BOMINQ_WRK_BOM_COMPONENT_DISP$popup$402');" TargetMode="External"/><Relationship Id="rId6" Type="http://schemas.openxmlformats.org/officeDocument/2006/relationships/hyperlink" Target="javascript:submitAction_win0(document.win0,'EN_BOMINQ_WRK_BOM_COMPONENT_DISP$popup$5');" TargetMode="External"/><Relationship Id="rId238" Type="http://schemas.openxmlformats.org/officeDocument/2006/relationships/hyperlink" Target="javascript:submitAction_win0(document.win0,'EN_BOMINQ_WRK_BOM_COMPONENT_DISP$popup$237');" TargetMode="External"/><Relationship Id="rId445" Type="http://schemas.openxmlformats.org/officeDocument/2006/relationships/hyperlink" Target="javascript:submitAction_win0(document.win0,'EN_BOMINQ_WRK_BOM_COMPONENT_DISP$popup$444');" TargetMode="External"/><Relationship Id="rId487" Type="http://schemas.openxmlformats.org/officeDocument/2006/relationships/hyperlink" Target="javascript:submitAction_win0(document.win0,'EN_BOMINQ_WRK_BOM_COMPONENT_DISP$popup$486');" TargetMode="External"/><Relationship Id="rId291" Type="http://schemas.openxmlformats.org/officeDocument/2006/relationships/hyperlink" Target="javascript:submitAction_win0(document.win0,'EN_BOMINQ_WRK_BOM_COMPONENT_DISP$popup$290');" TargetMode="External"/><Relationship Id="rId305" Type="http://schemas.openxmlformats.org/officeDocument/2006/relationships/hyperlink" Target="javascript:submitAction_win0(document.win0,'EN_BOMINQ_WRK_BOM_COMPONENT_DISP$popup$304');" TargetMode="External"/><Relationship Id="rId347" Type="http://schemas.openxmlformats.org/officeDocument/2006/relationships/hyperlink" Target="javascript:submitAction_win0(document.win0,'EN_BOMINQ_WRK_BOM_COMPONENT_DISP$popup$346');" TargetMode="External"/><Relationship Id="rId44" Type="http://schemas.openxmlformats.org/officeDocument/2006/relationships/hyperlink" Target="javascript:submitAction_win0(document.win0,'EN_BOMINQ_WRK_BOM_COMPONENT_DISP$popup$43');" TargetMode="External"/><Relationship Id="rId86" Type="http://schemas.openxmlformats.org/officeDocument/2006/relationships/hyperlink" Target="javascript:submitAction_win0(document.win0,'EN_BOMINQ_WRK_BOM_COMPONENT_DISP$popup$85');" TargetMode="External"/><Relationship Id="rId151" Type="http://schemas.openxmlformats.org/officeDocument/2006/relationships/hyperlink" Target="javascript:submitAction_win0(document.win0,'EN_BOMINQ_WRK_BOM_COMPONENT_DISP$popup$150');" TargetMode="External"/><Relationship Id="rId389" Type="http://schemas.openxmlformats.org/officeDocument/2006/relationships/hyperlink" Target="javascript:submitAction_win0(document.win0,'EN_BOMINQ_WRK_BOM_COMPONENT_DISP$popup$388');" TargetMode="External"/><Relationship Id="rId193" Type="http://schemas.openxmlformats.org/officeDocument/2006/relationships/hyperlink" Target="javascript:submitAction_win0(document.win0,'EN_BOMINQ_WRK_BOM_COMPONENT_DISP$popup$192');" TargetMode="External"/><Relationship Id="rId207" Type="http://schemas.openxmlformats.org/officeDocument/2006/relationships/hyperlink" Target="javascript:submitAction_win0(document.win0,'EN_BOMINQ_WRK_BOM_COMPONENT_DISP$popup$206');" TargetMode="External"/><Relationship Id="rId249" Type="http://schemas.openxmlformats.org/officeDocument/2006/relationships/hyperlink" Target="javascript:submitAction_win0(document.win0,'EN_BOMINQ_WRK_BOM_COMPONENT_DISP$popup$248');" TargetMode="External"/><Relationship Id="rId414" Type="http://schemas.openxmlformats.org/officeDocument/2006/relationships/hyperlink" Target="javascript:submitAction_win0(document.win0,'EN_BOMINQ_WRK_BOM_COMPONENT_DISP$popup$413');" TargetMode="External"/><Relationship Id="rId456" Type="http://schemas.openxmlformats.org/officeDocument/2006/relationships/hyperlink" Target="javascript:submitAction_win0(document.win0,'EN_BOMINQ_WRK_BOM_COMPONENT_DISP$popup$455');" TargetMode="External"/><Relationship Id="rId498" Type="http://schemas.openxmlformats.org/officeDocument/2006/relationships/hyperlink" Target="javascript:submitAction_win0(document.win0,'EN_BOMINQ_WRK_BOM_COMPONENT_DISP$popup$497');" TargetMode="External"/><Relationship Id="rId13" Type="http://schemas.openxmlformats.org/officeDocument/2006/relationships/hyperlink" Target="javascript:submitAction_win0(document.win0,'EN_BOMINQ_WRK_BOM_COMPONENT_DISP$popup$12');" TargetMode="External"/><Relationship Id="rId109" Type="http://schemas.openxmlformats.org/officeDocument/2006/relationships/hyperlink" Target="javascript:submitAction_win0(document.win0,'EN_BOMINQ_WRK_BOM_COMPONENT_DISP$popup$108');" TargetMode="External"/><Relationship Id="rId260" Type="http://schemas.openxmlformats.org/officeDocument/2006/relationships/hyperlink" Target="javascript:submitAction_win0(document.win0,'EN_BOMINQ_WRK_BOM_COMPONENT_DISP$popup$259');" TargetMode="External"/><Relationship Id="rId316" Type="http://schemas.openxmlformats.org/officeDocument/2006/relationships/hyperlink" Target="javascript:submitAction_win0(document.win0,'EN_BOMINQ_WRK_BOM_COMPONENT_DISP$popup$315');" TargetMode="External"/><Relationship Id="rId55" Type="http://schemas.openxmlformats.org/officeDocument/2006/relationships/hyperlink" Target="javascript:submitAction_win0(document.win0,'EN_BOMINQ_WRK_BOM_COMPONENT_DISP$popup$54');" TargetMode="External"/><Relationship Id="rId97" Type="http://schemas.openxmlformats.org/officeDocument/2006/relationships/hyperlink" Target="javascript:submitAction_win0(document.win0,'EN_BOMINQ_WRK_BOM_COMPONENT_DISP$popup$96');" TargetMode="External"/><Relationship Id="rId120" Type="http://schemas.openxmlformats.org/officeDocument/2006/relationships/hyperlink" Target="javascript:submitAction_win0(document.win0,'EN_BOMINQ_WRK_BOM_COMPONENT_DISP$popup$119');" TargetMode="External"/><Relationship Id="rId358" Type="http://schemas.openxmlformats.org/officeDocument/2006/relationships/hyperlink" Target="javascript:submitAction_win0(document.win0,'EN_BOMINQ_WRK_BOM_COMPONENT_DISP$popup$357');" TargetMode="External"/><Relationship Id="rId162" Type="http://schemas.openxmlformats.org/officeDocument/2006/relationships/hyperlink" Target="javascript:submitAction_win0(document.win0,'EN_BOMINQ_WRK_BOM_COMPONENT_DISP$popup$161');" TargetMode="External"/><Relationship Id="rId218" Type="http://schemas.openxmlformats.org/officeDocument/2006/relationships/hyperlink" Target="javascript:submitAction_win0(document.win0,'EN_BOMINQ_WRK_BOM_COMPONENT_DISP$popup$217');" TargetMode="External"/><Relationship Id="rId425" Type="http://schemas.openxmlformats.org/officeDocument/2006/relationships/hyperlink" Target="javascript:submitAction_win0(document.win0,'EN_BOMINQ_WRK_BOM_COMPONENT_DISP$popup$424');" TargetMode="External"/><Relationship Id="rId467" Type="http://schemas.openxmlformats.org/officeDocument/2006/relationships/hyperlink" Target="javascript:submitAction_win0(document.win0,'EN_BOMINQ_WRK_BOM_COMPONENT_DISP$popup$466');" TargetMode="External"/><Relationship Id="rId271" Type="http://schemas.openxmlformats.org/officeDocument/2006/relationships/hyperlink" Target="javascript:submitAction_win0(document.win0,'EN_BOMINQ_WRK_BOM_COMPONENT_DISP$popup$270');" TargetMode="Externa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7');" TargetMode="External"/><Relationship Id="rId299" Type="http://schemas.openxmlformats.org/officeDocument/2006/relationships/hyperlink" Target="javascript:submitAction_win0(document.win0,'EN_BOMINQ_WRK_BOM_COMPONENT_DISP$popup$299');" TargetMode="External"/><Relationship Id="rId303" Type="http://schemas.openxmlformats.org/officeDocument/2006/relationships/hyperlink" Target="javascript:submitAction_win0(document.win0,'EN_BOMINQ_WRK_BOM_COMPONENT_DISP$popup$303');" TargetMode="External"/><Relationship Id="rId21" Type="http://schemas.openxmlformats.org/officeDocument/2006/relationships/hyperlink" Target="javascript:submitAction_win0(document.win0,'EN_BOMINQ_WRK_BOM_COMPONENT_DISP$popup$21');" TargetMode="External"/><Relationship Id="rId42" Type="http://schemas.openxmlformats.org/officeDocument/2006/relationships/hyperlink" Target="javascript:submitAction_win0(document.win0,'EN_BOMINQ_WRK_BOM_COMPONENT_DISP$popup$42');" TargetMode="External"/><Relationship Id="rId63" Type="http://schemas.openxmlformats.org/officeDocument/2006/relationships/hyperlink" Target="javascript:submitAction_win0(document.win0,'EN_BOMINQ_WRK_BOM_COMPONENT_DISP$popup$63');" TargetMode="External"/><Relationship Id="rId84" Type="http://schemas.openxmlformats.org/officeDocument/2006/relationships/hyperlink" Target="javascript:submitAction_win0(document.win0,'EN_BOMINQ_WRK_BOM_COMPONENT_DISP$popup$84');" TargetMode="External"/><Relationship Id="rId138" Type="http://schemas.openxmlformats.org/officeDocument/2006/relationships/hyperlink" Target="javascript:submitAction_win0(document.win0,'EN_BOMINQ_WRK_BOM_COMPONENT_DISP$popup$138');" TargetMode="External"/><Relationship Id="rId159" Type="http://schemas.openxmlformats.org/officeDocument/2006/relationships/hyperlink" Target="javascript:submitAction_win0(document.win0,'EN_BOMINQ_WRK_BOM_COMPONENT_DISP$popup$159');" TargetMode="External"/><Relationship Id="rId170" Type="http://schemas.openxmlformats.org/officeDocument/2006/relationships/hyperlink" Target="javascript:submitAction_win0(document.win0,'EN_BOMINQ_WRK_BOM_COMPONENT_DISP$popup$170');" TargetMode="External"/><Relationship Id="rId191" Type="http://schemas.openxmlformats.org/officeDocument/2006/relationships/hyperlink" Target="javascript:submitAction_win0(document.win0,'EN_BOMINQ_WRK_BOM_COMPONENT_DISP$popup$191');" TargetMode="External"/><Relationship Id="rId205" Type="http://schemas.openxmlformats.org/officeDocument/2006/relationships/hyperlink" Target="javascript:submitAction_win0(document.win0,'EN_BOMINQ_WRK_BOM_COMPONENT_DISP$popup$205');" TargetMode="External"/><Relationship Id="rId226" Type="http://schemas.openxmlformats.org/officeDocument/2006/relationships/hyperlink" Target="javascript:submitAction_win0(document.win0,'EN_BOMINQ_WRK_BOM_COMPONENT_DISP$popup$226');" TargetMode="External"/><Relationship Id="rId247" Type="http://schemas.openxmlformats.org/officeDocument/2006/relationships/hyperlink" Target="javascript:submitAction_win0(document.win0,'EN_BOMINQ_WRK_BOM_COMPONENT_DISP$popup$247');" TargetMode="External"/><Relationship Id="rId107" Type="http://schemas.openxmlformats.org/officeDocument/2006/relationships/hyperlink" Target="javascript:submitAction_win0(document.win0,'EN_BOMINQ_WRK_BOM_COMPONENT_DISP$popup$107');" TargetMode="External"/><Relationship Id="rId268" Type="http://schemas.openxmlformats.org/officeDocument/2006/relationships/hyperlink" Target="javascript:submitAction_win0(document.win0,'EN_BOMINQ_WRK_BOM_COMPONENT_DISP$popup$268');" TargetMode="External"/><Relationship Id="rId289" Type="http://schemas.openxmlformats.org/officeDocument/2006/relationships/hyperlink" Target="javascript:submitAction_win0(document.win0,'EN_BOMINQ_WRK_BOM_COMPONENT_DISP$popup$289');" TargetMode="External"/><Relationship Id="rId11" Type="http://schemas.openxmlformats.org/officeDocument/2006/relationships/hyperlink" Target="javascript:submitAction_win0(document.win0,'EN_BOMINQ_WRK_BOM_COMPONENT_DISP$popup$11');" TargetMode="External"/><Relationship Id="rId32" Type="http://schemas.openxmlformats.org/officeDocument/2006/relationships/hyperlink" Target="javascript:submitAction_win0(document.win0,'EN_BOMINQ_WRK_BOM_COMPONENT_DISP$popup$32');" TargetMode="External"/><Relationship Id="rId53" Type="http://schemas.openxmlformats.org/officeDocument/2006/relationships/hyperlink" Target="javascript:submitAction_win0(document.win0,'EN_BOMINQ_WRK_BOM_COMPONENT_DISP$popup$53');" TargetMode="External"/><Relationship Id="rId74" Type="http://schemas.openxmlformats.org/officeDocument/2006/relationships/hyperlink" Target="javascript:submitAction_win0(document.win0,'EN_BOMINQ_WRK_BOM_COMPONENT_DISP$popup$74');" TargetMode="External"/><Relationship Id="rId128" Type="http://schemas.openxmlformats.org/officeDocument/2006/relationships/hyperlink" Target="javascript:submitAction_win0(document.win0,'EN_BOMINQ_WRK_BOM_COMPONENT_DISP$popup$128');" TargetMode="External"/><Relationship Id="rId149" Type="http://schemas.openxmlformats.org/officeDocument/2006/relationships/hyperlink" Target="javascript:submitAction_win0(document.win0,'EN_BOMINQ_WRK_BOM_COMPONENT_DISP$popup$149');" TargetMode="External"/><Relationship Id="rId5" Type="http://schemas.openxmlformats.org/officeDocument/2006/relationships/hyperlink" Target="javascript:submitAction_win0(document.win0,'EN_BOMINQ_WRK_BOM_COMPONENT_DISP$popup$5');" TargetMode="External"/><Relationship Id="rId95" Type="http://schemas.openxmlformats.org/officeDocument/2006/relationships/hyperlink" Target="javascript:submitAction_win0(document.win0,'EN_BOMINQ_WRK_BOM_COMPONENT_DISP$popup$95');" TargetMode="External"/><Relationship Id="rId160" Type="http://schemas.openxmlformats.org/officeDocument/2006/relationships/hyperlink" Target="javascript:submitAction_win0(document.win0,'EN_BOMINQ_WRK_BOM_COMPONENT_DISP$popup$160');" TargetMode="External"/><Relationship Id="rId181" Type="http://schemas.openxmlformats.org/officeDocument/2006/relationships/hyperlink" Target="javascript:submitAction_win0(document.win0,'EN_BOMINQ_WRK_BOM_COMPONENT_DISP$popup$181');" TargetMode="External"/><Relationship Id="rId216" Type="http://schemas.openxmlformats.org/officeDocument/2006/relationships/hyperlink" Target="javascript:submitAction_win0(document.win0,'EN_BOMINQ_WRK_BOM_COMPONENT_DISP$popup$216');" TargetMode="External"/><Relationship Id="rId237" Type="http://schemas.openxmlformats.org/officeDocument/2006/relationships/hyperlink" Target="javascript:submitAction_win0(document.win0,'EN_BOMINQ_WRK_BOM_COMPONENT_DISP$popup$237');" TargetMode="External"/><Relationship Id="rId258" Type="http://schemas.openxmlformats.org/officeDocument/2006/relationships/hyperlink" Target="javascript:submitAction_win0(document.win0,'EN_BOMINQ_WRK_BOM_COMPONENT_DISP$popup$258');" TargetMode="External"/><Relationship Id="rId279" Type="http://schemas.openxmlformats.org/officeDocument/2006/relationships/hyperlink" Target="javascript:submitAction_win0(document.win0,'EN_BOMINQ_WRK_BOM_COMPONENT_DISP$popup$279');" TargetMode="External"/><Relationship Id="rId22" Type="http://schemas.openxmlformats.org/officeDocument/2006/relationships/hyperlink" Target="javascript:submitAction_win0(document.win0,'EN_BOMINQ_WRK_BOM_COMPONENT_DISP$popup$22');" TargetMode="External"/><Relationship Id="rId43" Type="http://schemas.openxmlformats.org/officeDocument/2006/relationships/hyperlink" Target="javascript:submitAction_win0(document.win0,'EN_BOMINQ_WRK_BOM_COMPONENT_DISP$popup$43');" TargetMode="External"/><Relationship Id="rId64" Type="http://schemas.openxmlformats.org/officeDocument/2006/relationships/hyperlink" Target="javascript:submitAction_win0(document.win0,'EN_BOMINQ_WRK_BOM_COMPONENT_DISP$popup$64');" TargetMode="External"/><Relationship Id="rId118" Type="http://schemas.openxmlformats.org/officeDocument/2006/relationships/hyperlink" Target="javascript:submitAction_win0(document.win0,'EN_BOMINQ_WRK_BOM_COMPONENT_DISP$popup$118');" TargetMode="External"/><Relationship Id="rId139" Type="http://schemas.openxmlformats.org/officeDocument/2006/relationships/hyperlink" Target="javascript:submitAction_win0(document.win0,'EN_BOMINQ_WRK_BOM_COMPONENT_DISP$popup$139');" TargetMode="External"/><Relationship Id="rId290" Type="http://schemas.openxmlformats.org/officeDocument/2006/relationships/hyperlink" Target="javascript:submitAction_win0(document.win0,'EN_BOMINQ_WRK_BOM_COMPONENT_DISP$popup$290');" TargetMode="External"/><Relationship Id="rId304" Type="http://schemas.openxmlformats.org/officeDocument/2006/relationships/hyperlink" Target="javascript:submitAction_win0(document.win0,'EN_BOMINQ_WRK_BOM_COMPONENT_DISP$popup$304');" TargetMode="External"/><Relationship Id="rId85" Type="http://schemas.openxmlformats.org/officeDocument/2006/relationships/hyperlink" Target="javascript:submitAction_win0(document.win0,'EN_BOMINQ_WRK_BOM_COMPONENT_DISP$popup$85');" TargetMode="External"/><Relationship Id="rId150" Type="http://schemas.openxmlformats.org/officeDocument/2006/relationships/hyperlink" Target="javascript:submitAction_win0(document.win0,'EN_BOMINQ_WRK_BOM_COMPONENT_DISP$popup$150');" TargetMode="External"/><Relationship Id="rId171" Type="http://schemas.openxmlformats.org/officeDocument/2006/relationships/hyperlink" Target="javascript:submitAction_win0(document.win0,'EN_BOMINQ_WRK_BOM_COMPONENT_DISP$popup$171');" TargetMode="External"/><Relationship Id="rId192" Type="http://schemas.openxmlformats.org/officeDocument/2006/relationships/hyperlink" Target="javascript:submitAction_win0(document.win0,'EN_BOMINQ_WRK_BOM_COMPONENT_DISP$popup$192');" TargetMode="External"/><Relationship Id="rId206" Type="http://schemas.openxmlformats.org/officeDocument/2006/relationships/hyperlink" Target="javascript:submitAction_win0(document.win0,'EN_BOMINQ_WRK_BOM_COMPONENT_DISP$popup$206');" TargetMode="External"/><Relationship Id="rId227" Type="http://schemas.openxmlformats.org/officeDocument/2006/relationships/hyperlink" Target="javascript:submitAction_win0(document.win0,'EN_BOMINQ_WRK_BOM_COMPONENT_DISP$popup$227');" TargetMode="External"/><Relationship Id="rId248" Type="http://schemas.openxmlformats.org/officeDocument/2006/relationships/hyperlink" Target="javascript:submitAction_win0(document.win0,'EN_BOMINQ_WRK_BOM_COMPONENT_DISP$popup$248');" TargetMode="External"/><Relationship Id="rId269" Type="http://schemas.openxmlformats.org/officeDocument/2006/relationships/hyperlink" Target="javascript:submitAction_win0(document.win0,'EN_BOMINQ_WRK_BOM_COMPONENT_DISP$popup$269');" TargetMode="External"/><Relationship Id="rId12" Type="http://schemas.openxmlformats.org/officeDocument/2006/relationships/hyperlink" Target="javascript:submitAction_win0(document.win0,'EN_BOMINQ_WRK_BOM_COMPONENT_DISP$popup$12');" TargetMode="External"/><Relationship Id="rId33" Type="http://schemas.openxmlformats.org/officeDocument/2006/relationships/hyperlink" Target="javascript:submitAction_win0(document.win0,'EN_BOMINQ_WRK_BOM_COMPONENT_DISP$popup$33');" TargetMode="External"/><Relationship Id="rId108" Type="http://schemas.openxmlformats.org/officeDocument/2006/relationships/hyperlink" Target="javascript:submitAction_win0(document.win0,'EN_BOMINQ_WRK_BOM_COMPONENT_DISP$popup$108');" TargetMode="External"/><Relationship Id="rId129" Type="http://schemas.openxmlformats.org/officeDocument/2006/relationships/hyperlink" Target="javascript:submitAction_win0(document.win0,'EN_BOMINQ_WRK_BOM_COMPONENT_DISP$popup$129');" TargetMode="External"/><Relationship Id="rId280" Type="http://schemas.openxmlformats.org/officeDocument/2006/relationships/hyperlink" Target="javascript:submitAction_win0(document.win0,'EN_BOMINQ_WRK_BOM_COMPONENT_DISP$popup$280');" TargetMode="External"/><Relationship Id="rId54" Type="http://schemas.openxmlformats.org/officeDocument/2006/relationships/hyperlink" Target="javascript:submitAction_win0(document.win0,'EN_BOMINQ_WRK_BOM_COMPONENT_DISP$popup$54');" TargetMode="External"/><Relationship Id="rId75" Type="http://schemas.openxmlformats.org/officeDocument/2006/relationships/hyperlink" Target="javascript:submitAction_win0(document.win0,'EN_BOMINQ_WRK_BOM_COMPONENT_DISP$popup$75');" TargetMode="External"/><Relationship Id="rId96" Type="http://schemas.openxmlformats.org/officeDocument/2006/relationships/hyperlink" Target="javascript:submitAction_win0(document.win0,'EN_BOMINQ_WRK_BOM_COMPONENT_DISP$popup$96');" TargetMode="External"/><Relationship Id="rId140" Type="http://schemas.openxmlformats.org/officeDocument/2006/relationships/hyperlink" Target="javascript:submitAction_win0(document.win0,'EN_BOMINQ_WRK_BOM_COMPONENT_DISP$popup$140');" TargetMode="External"/><Relationship Id="rId161" Type="http://schemas.openxmlformats.org/officeDocument/2006/relationships/hyperlink" Target="javascript:submitAction_win0(document.win0,'EN_BOMINQ_WRK_BOM_COMPONENT_DISP$popup$161');" TargetMode="External"/><Relationship Id="rId182" Type="http://schemas.openxmlformats.org/officeDocument/2006/relationships/hyperlink" Target="javascript:submitAction_win0(document.win0,'EN_BOMINQ_WRK_BOM_COMPONENT_DISP$popup$182');" TargetMode="External"/><Relationship Id="rId217" Type="http://schemas.openxmlformats.org/officeDocument/2006/relationships/hyperlink" Target="javascript:submitAction_win0(document.win0,'EN_BOMINQ_WRK_BOM_COMPONENT_DISP$popup$217');" TargetMode="External"/><Relationship Id="rId6" Type="http://schemas.openxmlformats.org/officeDocument/2006/relationships/hyperlink" Target="javascript:submitAction_win0(document.win0,'EN_BOMINQ_WRK_BOM_COMPONENT_DISP$popup$6');" TargetMode="External"/><Relationship Id="rId238" Type="http://schemas.openxmlformats.org/officeDocument/2006/relationships/hyperlink" Target="javascript:submitAction_win0(document.win0,'EN_BOMINQ_WRK_BOM_COMPONENT_DISP$popup$238');" TargetMode="External"/><Relationship Id="rId259" Type="http://schemas.openxmlformats.org/officeDocument/2006/relationships/hyperlink" Target="javascript:submitAction_win0(document.win0,'EN_BOMINQ_WRK_BOM_COMPONENT_DISP$popup$259');" TargetMode="External"/><Relationship Id="rId23" Type="http://schemas.openxmlformats.org/officeDocument/2006/relationships/hyperlink" Target="javascript:submitAction_win0(document.win0,'EN_BOMINQ_WRK_BOM_COMPONENT_DISP$popup$23');" TargetMode="External"/><Relationship Id="rId119" Type="http://schemas.openxmlformats.org/officeDocument/2006/relationships/hyperlink" Target="javascript:submitAction_win0(document.win0,'EN_BOMINQ_WRK_BOM_COMPONENT_DISP$popup$119');" TargetMode="External"/><Relationship Id="rId270" Type="http://schemas.openxmlformats.org/officeDocument/2006/relationships/hyperlink" Target="javascript:submitAction_win0(document.win0,'EN_BOMINQ_WRK_BOM_COMPONENT_DISP$popup$270');" TargetMode="External"/><Relationship Id="rId291" Type="http://schemas.openxmlformats.org/officeDocument/2006/relationships/hyperlink" Target="javascript:submitAction_win0(document.win0,'EN_BOMINQ_WRK_BOM_COMPONENT_DISP$popup$291');" TargetMode="External"/><Relationship Id="rId305" Type="http://schemas.openxmlformats.org/officeDocument/2006/relationships/hyperlink" Target="javascript:submitAction_win0(document.win0,'EN_BOMINQ_WRK_BOM_COMPONENT_DISP$popup$305');" TargetMode="External"/><Relationship Id="rId44" Type="http://schemas.openxmlformats.org/officeDocument/2006/relationships/hyperlink" Target="javascript:submitAction_win0(document.win0,'EN_BOMINQ_WRK_BOM_COMPONENT_DISP$popup$44');" TargetMode="External"/><Relationship Id="rId65" Type="http://schemas.openxmlformats.org/officeDocument/2006/relationships/hyperlink" Target="javascript:submitAction_win0(document.win0,'EN_BOMINQ_WRK_BOM_COMPONENT_DISP$popup$65');" TargetMode="External"/><Relationship Id="rId86" Type="http://schemas.openxmlformats.org/officeDocument/2006/relationships/hyperlink" Target="javascript:submitAction_win0(document.win0,'EN_BOMINQ_WRK_BOM_COMPONENT_DISP$popup$86');" TargetMode="External"/><Relationship Id="rId130" Type="http://schemas.openxmlformats.org/officeDocument/2006/relationships/hyperlink" Target="javascript:submitAction_win0(document.win0,'EN_BOMINQ_WRK_BOM_COMPONENT_DISP$popup$130');" TargetMode="External"/><Relationship Id="rId151" Type="http://schemas.openxmlformats.org/officeDocument/2006/relationships/hyperlink" Target="javascript:submitAction_win0(document.win0,'EN_BOMINQ_WRK_BOM_COMPONENT_DISP$popup$151');" TargetMode="External"/><Relationship Id="rId172" Type="http://schemas.openxmlformats.org/officeDocument/2006/relationships/hyperlink" Target="javascript:submitAction_win0(document.win0,'EN_BOMINQ_WRK_BOM_COMPONENT_DISP$popup$172');" TargetMode="External"/><Relationship Id="rId193" Type="http://schemas.openxmlformats.org/officeDocument/2006/relationships/hyperlink" Target="javascript:submitAction_win0(document.win0,'EN_BOMINQ_WRK_BOM_COMPONENT_DISP$popup$193');" TargetMode="External"/><Relationship Id="rId207" Type="http://schemas.openxmlformats.org/officeDocument/2006/relationships/hyperlink" Target="javascript:submitAction_win0(document.win0,'EN_BOMINQ_WRK_BOM_COMPONENT_DISP$popup$207');" TargetMode="External"/><Relationship Id="rId228" Type="http://schemas.openxmlformats.org/officeDocument/2006/relationships/hyperlink" Target="javascript:submitAction_win0(document.win0,'EN_BOMINQ_WRK_BOM_COMPONENT_DISP$popup$228');" TargetMode="External"/><Relationship Id="rId249" Type="http://schemas.openxmlformats.org/officeDocument/2006/relationships/hyperlink" Target="javascript:submitAction_win0(document.win0,'EN_BOMINQ_WRK_BOM_COMPONENT_DISP$popup$249');" TargetMode="External"/><Relationship Id="rId13" Type="http://schemas.openxmlformats.org/officeDocument/2006/relationships/hyperlink" Target="javascript:submitAction_win0(document.win0,'EN_BOMINQ_WRK_BOM_COMPONENT_DISP$popup$13');" TargetMode="External"/><Relationship Id="rId109" Type="http://schemas.openxmlformats.org/officeDocument/2006/relationships/hyperlink" Target="javascript:submitAction_win0(document.win0,'EN_BOMINQ_WRK_BOM_COMPONENT_DISP$popup$109');" TargetMode="External"/><Relationship Id="rId260" Type="http://schemas.openxmlformats.org/officeDocument/2006/relationships/hyperlink" Target="javascript:submitAction_win0(document.win0,'EN_BOMINQ_WRK_BOM_COMPONENT_DISP$popup$260');" TargetMode="External"/><Relationship Id="rId281" Type="http://schemas.openxmlformats.org/officeDocument/2006/relationships/hyperlink" Target="javascript:submitAction_win0(document.win0,'EN_BOMINQ_WRK_BOM_COMPONENT_DISP$popup$281');" TargetMode="External"/><Relationship Id="rId34" Type="http://schemas.openxmlformats.org/officeDocument/2006/relationships/hyperlink" Target="javascript:submitAction_win0(document.win0,'EN_BOMINQ_WRK_BOM_COMPONENT_DISP$popup$34');" TargetMode="External"/><Relationship Id="rId55" Type="http://schemas.openxmlformats.org/officeDocument/2006/relationships/hyperlink" Target="javascript:submitAction_win0(document.win0,'EN_BOMINQ_WRK_BOM_COMPONENT_DISP$popup$55');" TargetMode="External"/><Relationship Id="rId76" Type="http://schemas.openxmlformats.org/officeDocument/2006/relationships/hyperlink" Target="javascript:submitAction_win0(document.win0,'EN_BOMINQ_WRK_BOM_COMPONENT_DISP$popup$76');" TargetMode="External"/><Relationship Id="rId97" Type="http://schemas.openxmlformats.org/officeDocument/2006/relationships/hyperlink" Target="javascript:submitAction_win0(document.win0,'EN_BOMINQ_WRK_BOM_COMPONENT_DISP$popup$97');" TargetMode="External"/><Relationship Id="rId120" Type="http://schemas.openxmlformats.org/officeDocument/2006/relationships/hyperlink" Target="javascript:submitAction_win0(document.win0,'EN_BOMINQ_WRK_BOM_COMPONENT_DISP$popup$120');" TargetMode="External"/><Relationship Id="rId141" Type="http://schemas.openxmlformats.org/officeDocument/2006/relationships/hyperlink" Target="javascript:submitAction_win0(document.win0,'EN_BOMINQ_WRK_BOM_COMPONENT_DISP$popup$141');" TargetMode="External"/><Relationship Id="rId7" Type="http://schemas.openxmlformats.org/officeDocument/2006/relationships/hyperlink" Target="javascript:submitAction_win0(document.win0,'EN_BOMINQ_WRK_BOM_COMPONENT_DISP$popup$7');" TargetMode="External"/><Relationship Id="rId162" Type="http://schemas.openxmlformats.org/officeDocument/2006/relationships/hyperlink" Target="javascript:submitAction_win0(document.win0,'EN_BOMINQ_WRK_BOM_COMPONENT_DISP$popup$162');" TargetMode="External"/><Relationship Id="rId183" Type="http://schemas.openxmlformats.org/officeDocument/2006/relationships/hyperlink" Target="javascript:submitAction_win0(document.win0,'EN_BOMINQ_WRK_BOM_COMPONENT_DISP$popup$183');" TargetMode="External"/><Relationship Id="rId218" Type="http://schemas.openxmlformats.org/officeDocument/2006/relationships/hyperlink" Target="javascript:submitAction_win0(document.win0,'EN_BOMINQ_WRK_BOM_COMPONENT_DISP$popup$218');" TargetMode="External"/><Relationship Id="rId239" Type="http://schemas.openxmlformats.org/officeDocument/2006/relationships/hyperlink" Target="javascript:submitAction_win0(document.win0,'EN_BOMINQ_WRK_BOM_COMPONENT_DISP$popup$239');" TargetMode="External"/><Relationship Id="rId2" Type="http://schemas.openxmlformats.org/officeDocument/2006/relationships/hyperlink" Target="javascript:submitAction_win0(document.win0,'EN_BOMINQ_WRK_BOM_COMPONENT_DISP$popup$2');" TargetMode="External"/><Relationship Id="rId29" Type="http://schemas.openxmlformats.org/officeDocument/2006/relationships/hyperlink" Target="javascript:submitAction_win0(document.win0,'EN_BOMINQ_WRK_BOM_COMPONENT_DISP$popup$29');" TargetMode="External"/><Relationship Id="rId250" Type="http://schemas.openxmlformats.org/officeDocument/2006/relationships/hyperlink" Target="javascript:submitAction_win0(document.win0,'EN_BOMINQ_WRK_BOM_COMPONENT_DISP$popup$250');" TargetMode="External"/><Relationship Id="rId255" Type="http://schemas.openxmlformats.org/officeDocument/2006/relationships/hyperlink" Target="javascript:submitAction_win0(document.win0,'EN_BOMINQ_WRK_BOM_COMPONENT_DISP$popup$255');" TargetMode="External"/><Relationship Id="rId271" Type="http://schemas.openxmlformats.org/officeDocument/2006/relationships/hyperlink" Target="javascript:submitAction_win0(document.win0,'EN_BOMINQ_WRK_BOM_COMPONENT_DISP$popup$271');" TargetMode="External"/><Relationship Id="rId276" Type="http://schemas.openxmlformats.org/officeDocument/2006/relationships/hyperlink" Target="javascript:submitAction_win0(document.win0,'EN_BOMINQ_WRK_BOM_COMPONENT_DISP$popup$276');" TargetMode="External"/><Relationship Id="rId292" Type="http://schemas.openxmlformats.org/officeDocument/2006/relationships/hyperlink" Target="javascript:submitAction_win0(document.win0,'EN_BOMINQ_WRK_BOM_COMPONENT_DISP$popup$292');" TargetMode="External"/><Relationship Id="rId297" Type="http://schemas.openxmlformats.org/officeDocument/2006/relationships/hyperlink" Target="javascript:submitAction_win0(document.win0,'EN_BOMINQ_WRK_BOM_COMPONENT_DISP$popup$297');" TargetMode="External"/><Relationship Id="rId24" Type="http://schemas.openxmlformats.org/officeDocument/2006/relationships/hyperlink" Target="javascript:submitAction_win0(document.win0,'EN_BOMINQ_WRK_BOM_COMPONENT_DISP$popup$24');" TargetMode="External"/><Relationship Id="rId40" Type="http://schemas.openxmlformats.org/officeDocument/2006/relationships/hyperlink" Target="javascript:submitAction_win0(document.win0,'EN_BOMINQ_WRK_BOM_COMPONENT_DISP$popup$40');" TargetMode="External"/><Relationship Id="rId45" Type="http://schemas.openxmlformats.org/officeDocument/2006/relationships/hyperlink" Target="javascript:submitAction_win0(document.win0,'EN_BOMINQ_WRK_BOM_COMPONENT_DISP$popup$45');" TargetMode="External"/><Relationship Id="rId66" Type="http://schemas.openxmlformats.org/officeDocument/2006/relationships/hyperlink" Target="javascript:submitAction_win0(document.win0,'EN_BOMINQ_WRK_BOM_COMPONENT_DISP$popup$66');" TargetMode="External"/><Relationship Id="rId87" Type="http://schemas.openxmlformats.org/officeDocument/2006/relationships/hyperlink" Target="javascript:submitAction_win0(document.win0,'EN_BOMINQ_WRK_BOM_COMPONENT_DISP$popup$87');" TargetMode="External"/><Relationship Id="rId110" Type="http://schemas.openxmlformats.org/officeDocument/2006/relationships/hyperlink" Target="javascript:submitAction_win0(document.win0,'EN_BOMINQ_WRK_BOM_COMPONENT_DISP$popup$110');" TargetMode="External"/><Relationship Id="rId115" Type="http://schemas.openxmlformats.org/officeDocument/2006/relationships/hyperlink" Target="javascript:submitAction_win0(document.win0,'EN_BOMINQ_WRK_BOM_COMPONENT_DISP$popup$115');" TargetMode="External"/><Relationship Id="rId131" Type="http://schemas.openxmlformats.org/officeDocument/2006/relationships/hyperlink" Target="javascript:submitAction_win0(document.win0,'EN_BOMINQ_WRK_BOM_COMPONENT_DISP$popup$131');" TargetMode="External"/><Relationship Id="rId136" Type="http://schemas.openxmlformats.org/officeDocument/2006/relationships/hyperlink" Target="javascript:submitAction_win0(document.win0,'EN_BOMINQ_WRK_BOM_COMPONENT_DISP$popup$136');" TargetMode="External"/><Relationship Id="rId157" Type="http://schemas.openxmlformats.org/officeDocument/2006/relationships/hyperlink" Target="javascript:submitAction_win0(document.win0,'EN_BOMINQ_WRK_BOM_COMPONENT_DISP$popup$157');" TargetMode="External"/><Relationship Id="rId178" Type="http://schemas.openxmlformats.org/officeDocument/2006/relationships/hyperlink" Target="javascript:submitAction_win0(document.win0,'EN_BOMINQ_WRK_BOM_COMPONENT_DISP$popup$178');" TargetMode="External"/><Relationship Id="rId301" Type="http://schemas.openxmlformats.org/officeDocument/2006/relationships/hyperlink" Target="javascript:submitAction_win0(document.win0,'EN_BOMINQ_WRK_BOM_COMPONENT_DISP$popup$301');" TargetMode="External"/><Relationship Id="rId61" Type="http://schemas.openxmlformats.org/officeDocument/2006/relationships/hyperlink" Target="javascript:submitAction_win0(document.win0,'EN_BOMINQ_WRK_BOM_COMPONENT_DISP$popup$61');" TargetMode="External"/><Relationship Id="rId82" Type="http://schemas.openxmlformats.org/officeDocument/2006/relationships/hyperlink" Target="javascript:submitAction_win0(document.win0,'EN_BOMINQ_WRK_BOM_COMPONENT_DISP$popup$82');" TargetMode="External"/><Relationship Id="rId152" Type="http://schemas.openxmlformats.org/officeDocument/2006/relationships/hyperlink" Target="javascript:submitAction_win0(document.win0,'EN_BOMINQ_WRK_BOM_COMPONENT_DISP$popup$152');" TargetMode="External"/><Relationship Id="rId173" Type="http://schemas.openxmlformats.org/officeDocument/2006/relationships/hyperlink" Target="javascript:submitAction_win0(document.win0,'EN_BOMINQ_WRK_BOM_COMPONENT_DISP$popup$173');" TargetMode="External"/><Relationship Id="rId194" Type="http://schemas.openxmlformats.org/officeDocument/2006/relationships/hyperlink" Target="javascript:submitAction_win0(document.win0,'EN_BOMINQ_WRK_BOM_COMPONENT_DISP$popup$194');" TargetMode="External"/><Relationship Id="rId199" Type="http://schemas.openxmlformats.org/officeDocument/2006/relationships/hyperlink" Target="javascript:submitAction_win0(document.win0,'EN_BOMINQ_WRK_BOM_COMPONENT_DISP$popup$199');" TargetMode="External"/><Relationship Id="rId203" Type="http://schemas.openxmlformats.org/officeDocument/2006/relationships/hyperlink" Target="javascript:submitAction_win0(document.win0,'EN_BOMINQ_WRK_BOM_COMPONENT_DISP$popup$203');" TargetMode="External"/><Relationship Id="rId208" Type="http://schemas.openxmlformats.org/officeDocument/2006/relationships/hyperlink" Target="javascript:submitAction_win0(document.win0,'EN_BOMINQ_WRK_BOM_COMPONENT_DISP$popup$208');" TargetMode="External"/><Relationship Id="rId229" Type="http://schemas.openxmlformats.org/officeDocument/2006/relationships/hyperlink" Target="javascript:submitAction_win0(document.win0,'EN_BOMINQ_WRK_BOM_COMPONENT_DISP$popup$229');" TargetMode="External"/><Relationship Id="rId19" Type="http://schemas.openxmlformats.org/officeDocument/2006/relationships/hyperlink" Target="javascript:submitAction_win0(document.win0,'EN_BOMINQ_WRK_BOM_COMPONENT_DISP$popup$19');" TargetMode="External"/><Relationship Id="rId224" Type="http://schemas.openxmlformats.org/officeDocument/2006/relationships/hyperlink" Target="javascript:submitAction_win0(document.win0,'EN_BOMINQ_WRK_BOM_COMPONENT_DISP$popup$224');" TargetMode="External"/><Relationship Id="rId240" Type="http://schemas.openxmlformats.org/officeDocument/2006/relationships/hyperlink" Target="javascript:submitAction_win0(document.win0,'EN_BOMINQ_WRK_BOM_COMPONENT_DISP$popup$240');" TargetMode="External"/><Relationship Id="rId245" Type="http://schemas.openxmlformats.org/officeDocument/2006/relationships/hyperlink" Target="javascript:submitAction_win0(document.win0,'EN_BOMINQ_WRK_BOM_COMPONENT_DISP$popup$245');" TargetMode="External"/><Relationship Id="rId261" Type="http://schemas.openxmlformats.org/officeDocument/2006/relationships/hyperlink" Target="javascript:submitAction_win0(document.win0,'EN_BOMINQ_WRK_BOM_COMPONENT_DISP$popup$261');" TargetMode="External"/><Relationship Id="rId266" Type="http://schemas.openxmlformats.org/officeDocument/2006/relationships/hyperlink" Target="javascript:submitAction_win0(document.win0,'EN_BOMINQ_WRK_BOM_COMPONENT_DISP$popup$266');" TargetMode="External"/><Relationship Id="rId287" Type="http://schemas.openxmlformats.org/officeDocument/2006/relationships/hyperlink" Target="javascript:submitAction_win0(document.win0,'EN_BOMINQ_WRK_BOM_COMPONENT_DISP$popup$287');" TargetMode="External"/><Relationship Id="rId14" Type="http://schemas.openxmlformats.org/officeDocument/2006/relationships/hyperlink" Target="javascript:submitAction_win0(document.win0,'EN_BOMINQ_WRK_BOM_COMPONENT_DISP$popup$14');" TargetMode="External"/><Relationship Id="rId30" Type="http://schemas.openxmlformats.org/officeDocument/2006/relationships/hyperlink" Target="javascript:submitAction_win0(document.win0,'EN_BOMINQ_WRK_BOM_COMPONENT_DISP$popup$30');" TargetMode="External"/><Relationship Id="rId35" Type="http://schemas.openxmlformats.org/officeDocument/2006/relationships/hyperlink" Target="javascript:submitAction_win0(document.win0,'EN_BOMINQ_WRK_BOM_COMPONENT_DISP$popup$35');" TargetMode="External"/><Relationship Id="rId56" Type="http://schemas.openxmlformats.org/officeDocument/2006/relationships/hyperlink" Target="javascript:submitAction_win0(document.win0,'EN_BOMINQ_WRK_BOM_COMPONENT_DISP$popup$56');" TargetMode="External"/><Relationship Id="rId77" Type="http://schemas.openxmlformats.org/officeDocument/2006/relationships/hyperlink" Target="javascript:submitAction_win0(document.win0,'EN_BOMINQ_WRK_BOM_COMPONENT_DISP$popup$77');" TargetMode="External"/><Relationship Id="rId100" Type="http://schemas.openxmlformats.org/officeDocument/2006/relationships/hyperlink" Target="javascript:submitAction_win0(document.win0,'EN_BOMINQ_WRK_BOM_COMPONENT_DISP$popup$100');" TargetMode="External"/><Relationship Id="rId105" Type="http://schemas.openxmlformats.org/officeDocument/2006/relationships/hyperlink" Target="javascript:submitAction_win0(document.win0,'EN_BOMINQ_WRK_BOM_COMPONENT_DISP$popup$105');" TargetMode="External"/><Relationship Id="rId126" Type="http://schemas.openxmlformats.org/officeDocument/2006/relationships/hyperlink" Target="javascript:submitAction_win0(document.win0,'EN_BOMINQ_WRK_BOM_COMPONENT_DISP$popup$126');" TargetMode="External"/><Relationship Id="rId147" Type="http://schemas.openxmlformats.org/officeDocument/2006/relationships/hyperlink" Target="javascript:submitAction_win0(document.win0,'EN_BOMINQ_WRK_BOM_COMPONENT_DISP$popup$147');" TargetMode="External"/><Relationship Id="rId168" Type="http://schemas.openxmlformats.org/officeDocument/2006/relationships/hyperlink" Target="javascript:submitAction_win0(document.win0,'EN_BOMINQ_WRK_BOM_COMPONENT_DISP$popup$168');" TargetMode="External"/><Relationship Id="rId282" Type="http://schemas.openxmlformats.org/officeDocument/2006/relationships/hyperlink" Target="javascript:submitAction_win0(document.win0,'EN_BOMINQ_WRK_BOM_COMPONENT_DISP$popup$282');" TargetMode="External"/><Relationship Id="rId8" Type="http://schemas.openxmlformats.org/officeDocument/2006/relationships/hyperlink" Target="javascript:submitAction_win0(document.win0,'EN_BOMINQ_WRK_BOM_COMPONENT_DISP$popup$8');" TargetMode="External"/><Relationship Id="rId51" Type="http://schemas.openxmlformats.org/officeDocument/2006/relationships/hyperlink" Target="javascript:submitAction_win0(document.win0,'EN_BOMINQ_WRK_BOM_COMPONENT_DISP$popup$51');" TargetMode="External"/><Relationship Id="rId72" Type="http://schemas.openxmlformats.org/officeDocument/2006/relationships/hyperlink" Target="javascript:submitAction_win0(document.win0,'EN_BOMINQ_WRK_BOM_COMPONENT_DISP$popup$72');" TargetMode="External"/><Relationship Id="rId93" Type="http://schemas.openxmlformats.org/officeDocument/2006/relationships/hyperlink" Target="javascript:submitAction_win0(document.win0,'EN_BOMINQ_WRK_BOM_COMPONENT_DISP$popup$93');" TargetMode="External"/><Relationship Id="rId98" Type="http://schemas.openxmlformats.org/officeDocument/2006/relationships/hyperlink" Target="javascript:submitAction_win0(document.win0,'EN_BOMINQ_WRK_BOM_COMPONENT_DISP$popup$98');" TargetMode="External"/><Relationship Id="rId121" Type="http://schemas.openxmlformats.org/officeDocument/2006/relationships/hyperlink" Target="javascript:submitAction_win0(document.win0,'EN_BOMINQ_WRK_BOM_COMPONENT_DISP$popup$121');" TargetMode="External"/><Relationship Id="rId142" Type="http://schemas.openxmlformats.org/officeDocument/2006/relationships/hyperlink" Target="javascript:submitAction_win0(document.win0,'EN_BOMINQ_WRK_BOM_COMPONENT_DISP$popup$142');" TargetMode="External"/><Relationship Id="rId163" Type="http://schemas.openxmlformats.org/officeDocument/2006/relationships/hyperlink" Target="javascript:submitAction_win0(document.win0,'EN_BOMINQ_WRK_BOM_COMPONENT_DISP$popup$163');" TargetMode="External"/><Relationship Id="rId184" Type="http://schemas.openxmlformats.org/officeDocument/2006/relationships/hyperlink" Target="javascript:submitAction_win0(document.win0,'EN_BOMINQ_WRK_BOM_COMPONENT_DISP$popup$184');" TargetMode="External"/><Relationship Id="rId189" Type="http://schemas.openxmlformats.org/officeDocument/2006/relationships/hyperlink" Target="javascript:submitAction_win0(document.win0,'EN_BOMINQ_WRK_BOM_COMPONENT_DISP$popup$189');" TargetMode="External"/><Relationship Id="rId219" Type="http://schemas.openxmlformats.org/officeDocument/2006/relationships/hyperlink" Target="javascript:submitAction_win0(document.win0,'EN_BOMINQ_WRK_BOM_COMPONENT_DISP$popup$219');" TargetMode="External"/><Relationship Id="rId3" Type="http://schemas.openxmlformats.org/officeDocument/2006/relationships/hyperlink" Target="javascript:submitAction_win0(document.win0,'EN_BOMINQ_WRK_BOM_COMPONENT_DISP$popup$3');" TargetMode="External"/><Relationship Id="rId214" Type="http://schemas.openxmlformats.org/officeDocument/2006/relationships/hyperlink" Target="javascript:submitAction_win0(document.win0,'EN_BOMINQ_WRK_BOM_COMPONENT_DISP$popup$214');" TargetMode="External"/><Relationship Id="rId230" Type="http://schemas.openxmlformats.org/officeDocument/2006/relationships/hyperlink" Target="javascript:submitAction_win0(document.win0,'EN_BOMINQ_WRK_BOM_COMPONENT_DISP$popup$230');" TargetMode="External"/><Relationship Id="rId235" Type="http://schemas.openxmlformats.org/officeDocument/2006/relationships/hyperlink" Target="javascript:submitAction_win0(document.win0,'EN_BOMINQ_WRK_BOM_COMPONENT_DISP$popup$235');" TargetMode="External"/><Relationship Id="rId251" Type="http://schemas.openxmlformats.org/officeDocument/2006/relationships/hyperlink" Target="javascript:submitAction_win0(document.win0,'EN_BOMINQ_WRK_BOM_COMPONENT_DISP$popup$251');" TargetMode="External"/><Relationship Id="rId256" Type="http://schemas.openxmlformats.org/officeDocument/2006/relationships/hyperlink" Target="javascript:submitAction_win0(document.win0,'EN_BOMINQ_WRK_BOM_COMPONENT_DISP$popup$256');" TargetMode="External"/><Relationship Id="rId277" Type="http://schemas.openxmlformats.org/officeDocument/2006/relationships/hyperlink" Target="javascript:submitAction_win0(document.win0,'EN_BOMINQ_WRK_BOM_COMPONENT_DISP$popup$277');" TargetMode="External"/><Relationship Id="rId298" Type="http://schemas.openxmlformats.org/officeDocument/2006/relationships/hyperlink" Target="javascript:submitAction_win0(document.win0,'EN_BOMINQ_WRK_BOM_COMPONENT_DISP$popup$298');" TargetMode="External"/><Relationship Id="rId25" Type="http://schemas.openxmlformats.org/officeDocument/2006/relationships/hyperlink" Target="javascript:submitAction_win0(document.win0,'EN_BOMINQ_WRK_BOM_COMPONENT_DISP$popup$25');" TargetMode="External"/><Relationship Id="rId46" Type="http://schemas.openxmlformats.org/officeDocument/2006/relationships/hyperlink" Target="javascript:submitAction_win0(document.win0,'EN_BOMINQ_WRK_BOM_COMPONENT_DISP$popup$46');" TargetMode="External"/><Relationship Id="rId67" Type="http://schemas.openxmlformats.org/officeDocument/2006/relationships/hyperlink" Target="javascript:submitAction_win0(document.win0,'EN_BOMINQ_WRK_BOM_COMPONENT_DISP$popup$67');" TargetMode="External"/><Relationship Id="rId116" Type="http://schemas.openxmlformats.org/officeDocument/2006/relationships/hyperlink" Target="javascript:submitAction_win0(document.win0,'EN_BOMINQ_WRK_BOM_COMPONENT_DISP$popup$116');" TargetMode="External"/><Relationship Id="rId137" Type="http://schemas.openxmlformats.org/officeDocument/2006/relationships/hyperlink" Target="javascript:submitAction_win0(document.win0,'EN_BOMINQ_WRK_BOM_COMPONENT_DISP$popup$137');" TargetMode="External"/><Relationship Id="rId158" Type="http://schemas.openxmlformats.org/officeDocument/2006/relationships/hyperlink" Target="javascript:submitAction_win0(document.win0,'EN_BOMINQ_WRK_BOM_COMPONENT_DISP$popup$158');" TargetMode="External"/><Relationship Id="rId272" Type="http://schemas.openxmlformats.org/officeDocument/2006/relationships/hyperlink" Target="javascript:submitAction_win0(document.win0,'EN_BOMINQ_WRK_BOM_COMPONENT_DISP$popup$272');" TargetMode="External"/><Relationship Id="rId293" Type="http://schemas.openxmlformats.org/officeDocument/2006/relationships/hyperlink" Target="javascript:submitAction_win0(document.win0,'EN_BOMINQ_WRK_BOM_COMPONENT_DISP$popup$293');" TargetMode="External"/><Relationship Id="rId302" Type="http://schemas.openxmlformats.org/officeDocument/2006/relationships/hyperlink" Target="javascript:submitAction_win0(document.win0,'EN_BOMINQ_WRK_BOM_COMPONENT_DISP$popup$302');" TargetMode="External"/><Relationship Id="rId20" Type="http://schemas.openxmlformats.org/officeDocument/2006/relationships/hyperlink" Target="javascript:submitAction_win0(document.win0,'EN_BOMINQ_WRK_BOM_COMPONENT_DISP$popup$20');" TargetMode="External"/><Relationship Id="rId41" Type="http://schemas.openxmlformats.org/officeDocument/2006/relationships/hyperlink" Target="javascript:submitAction_win0(document.win0,'EN_BOMINQ_WRK_BOM_COMPONENT_DISP$popup$41');" TargetMode="External"/><Relationship Id="rId62" Type="http://schemas.openxmlformats.org/officeDocument/2006/relationships/hyperlink" Target="javascript:submitAction_win0(document.win0,'EN_BOMINQ_WRK_BOM_COMPONENT_DISP$popup$62');" TargetMode="External"/><Relationship Id="rId83" Type="http://schemas.openxmlformats.org/officeDocument/2006/relationships/hyperlink" Target="javascript:submitAction_win0(document.win0,'EN_BOMINQ_WRK_BOM_COMPONENT_DISP$popup$83');" TargetMode="External"/><Relationship Id="rId88" Type="http://schemas.openxmlformats.org/officeDocument/2006/relationships/hyperlink" Target="javascript:submitAction_win0(document.win0,'EN_BOMINQ_WRK_BOM_COMPONENT_DISP$popup$88');" TargetMode="External"/><Relationship Id="rId111" Type="http://schemas.openxmlformats.org/officeDocument/2006/relationships/hyperlink" Target="javascript:submitAction_win0(document.win0,'EN_BOMINQ_WRK_BOM_COMPONENT_DISP$popup$111');" TargetMode="External"/><Relationship Id="rId132" Type="http://schemas.openxmlformats.org/officeDocument/2006/relationships/hyperlink" Target="javascript:submitAction_win0(document.win0,'EN_BOMINQ_WRK_BOM_COMPONENT_DISP$popup$132');" TargetMode="External"/><Relationship Id="rId153" Type="http://schemas.openxmlformats.org/officeDocument/2006/relationships/hyperlink" Target="javascript:submitAction_win0(document.win0,'EN_BOMINQ_WRK_BOM_COMPONENT_DISP$popup$153');" TargetMode="External"/><Relationship Id="rId174" Type="http://schemas.openxmlformats.org/officeDocument/2006/relationships/hyperlink" Target="javascript:submitAction_win0(document.win0,'EN_BOMINQ_WRK_BOM_COMPONENT_DISP$popup$174');" TargetMode="External"/><Relationship Id="rId179" Type="http://schemas.openxmlformats.org/officeDocument/2006/relationships/hyperlink" Target="javascript:submitAction_win0(document.win0,'EN_BOMINQ_WRK_BOM_COMPONENT_DISP$popup$179');" TargetMode="External"/><Relationship Id="rId195" Type="http://schemas.openxmlformats.org/officeDocument/2006/relationships/hyperlink" Target="javascript:submitAction_win0(document.win0,'EN_BOMINQ_WRK_BOM_COMPONENT_DISP$popup$195');" TargetMode="External"/><Relationship Id="rId209" Type="http://schemas.openxmlformats.org/officeDocument/2006/relationships/hyperlink" Target="javascript:submitAction_win0(document.win0,'EN_BOMINQ_WRK_BOM_COMPONENT_DISP$popup$209');" TargetMode="External"/><Relationship Id="rId190" Type="http://schemas.openxmlformats.org/officeDocument/2006/relationships/hyperlink" Target="javascript:submitAction_win0(document.win0,'EN_BOMINQ_WRK_BOM_COMPONENT_DISP$popup$190');" TargetMode="External"/><Relationship Id="rId204" Type="http://schemas.openxmlformats.org/officeDocument/2006/relationships/hyperlink" Target="javascript:submitAction_win0(document.win0,'EN_BOMINQ_WRK_BOM_COMPONENT_DISP$popup$204');" TargetMode="External"/><Relationship Id="rId220" Type="http://schemas.openxmlformats.org/officeDocument/2006/relationships/hyperlink" Target="javascript:submitAction_win0(document.win0,'EN_BOMINQ_WRK_BOM_COMPONENT_DISP$popup$220');" TargetMode="External"/><Relationship Id="rId225" Type="http://schemas.openxmlformats.org/officeDocument/2006/relationships/hyperlink" Target="javascript:submitAction_win0(document.win0,'EN_BOMINQ_WRK_BOM_COMPONENT_DISP$popup$225');" TargetMode="External"/><Relationship Id="rId241" Type="http://schemas.openxmlformats.org/officeDocument/2006/relationships/hyperlink" Target="javascript:submitAction_win0(document.win0,'EN_BOMINQ_WRK_BOM_COMPONENT_DISP$popup$241');" TargetMode="External"/><Relationship Id="rId246" Type="http://schemas.openxmlformats.org/officeDocument/2006/relationships/hyperlink" Target="javascript:submitAction_win0(document.win0,'EN_BOMINQ_WRK_BOM_COMPONENT_DISP$popup$246');" TargetMode="External"/><Relationship Id="rId267" Type="http://schemas.openxmlformats.org/officeDocument/2006/relationships/hyperlink" Target="javascript:submitAction_win0(document.win0,'EN_BOMINQ_WRK_BOM_COMPONENT_DISP$popup$267');" TargetMode="External"/><Relationship Id="rId288" Type="http://schemas.openxmlformats.org/officeDocument/2006/relationships/hyperlink" Target="javascript:submitAction_win0(document.win0,'EN_BOMINQ_WRK_BOM_COMPONENT_DISP$popup$288');" TargetMode="External"/><Relationship Id="rId15" Type="http://schemas.openxmlformats.org/officeDocument/2006/relationships/hyperlink" Target="javascript:submitAction_win0(document.win0,'EN_BOMINQ_WRK_BOM_COMPONENT_DISP$popup$15');" TargetMode="External"/><Relationship Id="rId36" Type="http://schemas.openxmlformats.org/officeDocument/2006/relationships/hyperlink" Target="javascript:submitAction_win0(document.win0,'EN_BOMINQ_WRK_BOM_COMPONENT_DISP$popup$36');" TargetMode="External"/><Relationship Id="rId57" Type="http://schemas.openxmlformats.org/officeDocument/2006/relationships/hyperlink" Target="javascript:submitAction_win0(document.win0,'EN_BOMINQ_WRK_BOM_COMPONENT_DISP$popup$57');" TargetMode="External"/><Relationship Id="rId106" Type="http://schemas.openxmlformats.org/officeDocument/2006/relationships/hyperlink" Target="javascript:submitAction_win0(document.win0,'EN_BOMINQ_WRK_BOM_COMPONENT_DISP$popup$106');" TargetMode="External"/><Relationship Id="rId127" Type="http://schemas.openxmlformats.org/officeDocument/2006/relationships/hyperlink" Target="javascript:submitAction_win0(document.win0,'EN_BOMINQ_WRK_BOM_COMPONENT_DISP$popup$127');" TargetMode="External"/><Relationship Id="rId262" Type="http://schemas.openxmlformats.org/officeDocument/2006/relationships/hyperlink" Target="javascript:submitAction_win0(document.win0,'EN_BOMINQ_WRK_BOM_COMPONENT_DISP$popup$262');" TargetMode="External"/><Relationship Id="rId283" Type="http://schemas.openxmlformats.org/officeDocument/2006/relationships/hyperlink" Target="javascript:submitAction_win0(document.win0,'EN_BOMINQ_WRK_BOM_COMPONENT_DISP$popup$283');" TargetMode="External"/><Relationship Id="rId10" Type="http://schemas.openxmlformats.org/officeDocument/2006/relationships/hyperlink" Target="javascript:submitAction_win0(document.win0,'EN_BOMINQ_WRK_BOM_COMPONENT_DISP$popup$10');" TargetMode="External"/><Relationship Id="rId31" Type="http://schemas.openxmlformats.org/officeDocument/2006/relationships/hyperlink" Target="javascript:submitAction_win0(document.win0,'EN_BOMINQ_WRK_BOM_COMPONENT_DISP$popup$31');" TargetMode="External"/><Relationship Id="rId52" Type="http://schemas.openxmlformats.org/officeDocument/2006/relationships/hyperlink" Target="javascript:submitAction_win0(document.win0,'EN_BOMINQ_WRK_BOM_COMPONENT_DISP$popup$52');" TargetMode="External"/><Relationship Id="rId73" Type="http://schemas.openxmlformats.org/officeDocument/2006/relationships/hyperlink" Target="javascript:submitAction_win0(document.win0,'EN_BOMINQ_WRK_BOM_COMPONENT_DISP$popup$73');" TargetMode="External"/><Relationship Id="rId78" Type="http://schemas.openxmlformats.org/officeDocument/2006/relationships/hyperlink" Target="javascript:submitAction_win0(document.win0,'EN_BOMINQ_WRK_BOM_COMPONENT_DISP$popup$78');" TargetMode="External"/><Relationship Id="rId94" Type="http://schemas.openxmlformats.org/officeDocument/2006/relationships/hyperlink" Target="javascript:submitAction_win0(document.win0,'EN_BOMINQ_WRK_BOM_COMPONENT_DISP$popup$94');" TargetMode="External"/><Relationship Id="rId99" Type="http://schemas.openxmlformats.org/officeDocument/2006/relationships/hyperlink" Target="javascript:submitAction_win0(document.win0,'EN_BOMINQ_WRK_BOM_COMPONENT_DISP$popup$99');" TargetMode="External"/><Relationship Id="rId101" Type="http://schemas.openxmlformats.org/officeDocument/2006/relationships/hyperlink" Target="javascript:submitAction_win0(document.win0,'EN_BOMINQ_WRK_BOM_COMPONENT_DISP$popup$101');" TargetMode="External"/><Relationship Id="rId122" Type="http://schemas.openxmlformats.org/officeDocument/2006/relationships/hyperlink" Target="javascript:submitAction_win0(document.win0,'EN_BOMINQ_WRK_BOM_COMPONENT_DISP$popup$122');" TargetMode="External"/><Relationship Id="rId143" Type="http://schemas.openxmlformats.org/officeDocument/2006/relationships/hyperlink" Target="javascript:submitAction_win0(document.win0,'EN_BOMINQ_WRK_BOM_COMPONENT_DISP$popup$143');" TargetMode="External"/><Relationship Id="rId148" Type="http://schemas.openxmlformats.org/officeDocument/2006/relationships/hyperlink" Target="javascript:submitAction_win0(document.win0,'EN_BOMINQ_WRK_BOM_COMPONENT_DISP$popup$148');" TargetMode="External"/><Relationship Id="rId164" Type="http://schemas.openxmlformats.org/officeDocument/2006/relationships/hyperlink" Target="javascript:submitAction_win0(document.win0,'EN_BOMINQ_WRK_BOM_COMPONENT_DISP$popup$164');" TargetMode="External"/><Relationship Id="rId169" Type="http://schemas.openxmlformats.org/officeDocument/2006/relationships/hyperlink" Target="javascript:submitAction_win0(document.win0,'EN_BOMINQ_WRK_BOM_COMPONENT_DISP$popup$169');" TargetMode="External"/><Relationship Id="rId185" Type="http://schemas.openxmlformats.org/officeDocument/2006/relationships/hyperlink" Target="javascript:submitAction_win0(document.win0,'EN_BOMINQ_WRK_BOM_COMPONENT_DISP$popup$185');" TargetMode="External"/><Relationship Id="rId4" Type="http://schemas.openxmlformats.org/officeDocument/2006/relationships/hyperlink" Target="javascript:submitAction_win0(document.win0,'EN_BOMINQ_WRK_BOM_COMPONENT_DISP$popup$4');" TargetMode="External"/><Relationship Id="rId9" Type="http://schemas.openxmlformats.org/officeDocument/2006/relationships/hyperlink" Target="javascript:submitAction_win0(document.win0,'EN_BOMINQ_WRK_BOM_COMPONENT_DISP$popup$9');" TargetMode="External"/><Relationship Id="rId180" Type="http://schemas.openxmlformats.org/officeDocument/2006/relationships/hyperlink" Target="javascript:submitAction_win0(document.win0,'EN_BOMINQ_WRK_BOM_COMPONENT_DISP$popup$180');" TargetMode="External"/><Relationship Id="rId210" Type="http://schemas.openxmlformats.org/officeDocument/2006/relationships/hyperlink" Target="javascript:submitAction_win0(document.win0,'EN_BOMINQ_WRK_BOM_COMPONENT_DISP$popup$210');" TargetMode="External"/><Relationship Id="rId215" Type="http://schemas.openxmlformats.org/officeDocument/2006/relationships/hyperlink" Target="javascript:submitAction_win0(document.win0,'EN_BOMINQ_WRK_BOM_COMPONENT_DISP$popup$215');" TargetMode="External"/><Relationship Id="rId236" Type="http://schemas.openxmlformats.org/officeDocument/2006/relationships/hyperlink" Target="javascript:submitAction_win0(document.win0,'EN_BOMINQ_WRK_BOM_COMPONENT_DISP$popup$236');" TargetMode="External"/><Relationship Id="rId257" Type="http://schemas.openxmlformats.org/officeDocument/2006/relationships/hyperlink" Target="javascript:submitAction_win0(document.win0,'EN_BOMINQ_WRK_BOM_COMPONENT_DISP$popup$257');" TargetMode="External"/><Relationship Id="rId278" Type="http://schemas.openxmlformats.org/officeDocument/2006/relationships/hyperlink" Target="javascript:submitAction_win0(document.win0,'EN_BOMINQ_WRK_BOM_COMPONENT_DISP$popup$278');" TargetMode="External"/><Relationship Id="rId26" Type="http://schemas.openxmlformats.org/officeDocument/2006/relationships/hyperlink" Target="javascript:submitAction_win0(document.win0,'EN_BOMINQ_WRK_BOM_COMPONENT_DISP$popup$26');" TargetMode="External"/><Relationship Id="rId231" Type="http://schemas.openxmlformats.org/officeDocument/2006/relationships/hyperlink" Target="javascript:submitAction_win0(document.win0,'EN_BOMINQ_WRK_BOM_COMPONENT_DISP$popup$231');" TargetMode="External"/><Relationship Id="rId252" Type="http://schemas.openxmlformats.org/officeDocument/2006/relationships/hyperlink" Target="javascript:submitAction_win0(document.win0,'EN_BOMINQ_WRK_BOM_COMPONENT_DISP$popup$252');" TargetMode="External"/><Relationship Id="rId273" Type="http://schemas.openxmlformats.org/officeDocument/2006/relationships/hyperlink" Target="javascript:submitAction_win0(document.win0,'EN_BOMINQ_WRK_BOM_COMPONENT_DISP$popup$273');" TargetMode="External"/><Relationship Id="rId294" Type="http://schemas.openxmlformats.org/officeDocument/2006/relationships/hyperlink" Target="javascript:submitAction_win0(document.win0,'EN_BOMINQ_WRK_BOM_COMPONENT_DISP$popup$294');" TargetMode="External"/><Relationship Id="rId47" Type="http://schemas.openxmlformats.org/officeDocument/2006/relationships/hyperlink" Target="javascript:submitAction_win0(document.win0,'EN_BOMINQ_WRK_BOM_COMPONENT_DISP$popup$47');" TargetMode="External"/><Relationship Id="rId68" Type="http://schemas.openxmlformats.org/officeDocument/2006/relationships/hyperlink" Target="javascript:submitAction_win0(document.win0,'EN_BOMINQ_WRK_BOM_COMPONENT_DISP$popup$68');" TargetMode="External"/><Relationship Id="rId89" Type="http://schemas.openxmlformats.org/officeDocument/2006/relationships/hyperlink" Target="javascript:submitAction_win0(document.win0,'EN_BOMINQ_WRK_BOM_COMPONENT_DISP$popup$89');" TargetMode="External"/><Relationship Id="rId112" Type="http://schemas.openxmlformats.org/officeDocument/2006/relationships/hyperlink" Target="javascript:submitAction_win0(document.win0,'EN_BOMINQ_WRK_BOM_COMPONENT_DISP$popup$112');" TargetMode="External"/><Relationship Id="rId133" Type="http://schemas.openxmlformats.org/officeDocument/2006/relationships/hyperlink" Target="javascript:submitAction_win0(document.win0,'EN_BOMINQ_WRK_BOM_COMPONENT_DISP$popup$133');" TargetMode="External"/><Relationship Id="rId154" Type="http://schemas.openxmlformats.org/officeDocument/2006/relationships/hyperlink" Target="javascript:submitAction_win0(document.win0,'EN_BOMINQ_WRK_BOM_COMPONENT_DISP$popup$154');" TargetMode="External"/><Relationship Id="rId175" Type="http://schemas.openxmlformats.org/officeDocument/2006/relationships/hyperlink" Target="javascript:submitAction_win0(document.win0,'EN_BOMINQ_WRK_BOM_COMPONENT_DISP$popup$175');" TargetMode="External"/><Relationship Id="rId196" Type="http://schemas.openxmlformats.org/officeDocument/2006/relationships/hyperlink" Target="javascript:submitAction_win0(document.win0,'EN_BOMINQ_WRK_BOM_COMPONENT_DISP$popup$196');" TargetMode="External"/><Relationship Id="rId200" Type="http://schemas.openxmlformats.org/officeDocument/2006/relationships/hyperlink" Target="javascript:submitAction_win0(document.win0,'EN_BOMINQ_WRK_BOM_COMPONENT_DISP$popup$200');" TargetMode="External"/><Relationship Id="rId16" Type="http://schemas.openxmlformats.org/officeDocument/2006/relationships/hyperlink" Target="javascript:submitAction_win0(document.win0,'EN_BOMINQ_WRK_BOM_COMPONENT_DISP$popup$16');" TargetMode="External"/><Relationship Id="rId221" Type="http://schemas.openxmlformats.org/officeDocument/2006/relationships/hyperlink" Target="javascript:submitAction_win0(document.win0,'EN_BOMINQ_WRK_BOM_COMPONENT_DISP$popup$221');" TargetMode="External"/><Relationship Id="rId242" Type="http://schemas.openxmlformats.org/officeDocument/2006/relationships/hyperlink" Target="javascript:submitAction_win0(document.win0,'EN_BOMINQ_WRK_BOM_COMPONENT_DISP$popup$242');" TargetMode="External"/><Relationship Id="rId263" Type="http://schemas.openxmlformats.org/officeDocument/2006/relationships/hyperlink" Target="javascript:submitAction_win0(document.win0,'EN_BOMINQ_WRK_BOM_COMPONENT_DISP$popup$263');" TargetMode="External"/><Relationship Id="rId284" Type="http://schemas.openxmlformats.org/officeDocument/2006/relationships/hyperlink" Target="javascript:submitAction_win0(document.win0,'EN_BOMINQ_WRK_BOM_COMPONENT_DISP$popup$284');" TargetMode="External"/><Relationship Id="rId37" Type="http://schemas.openxmlformats.org/officeDocument/2006/relationships/hyperlink" Target="javascript:submitAction_win0(document.win0,'EN_BOMINQ_WRK_BOM_COMPONENT_DISP$popup$37');" TargetMode="External"/><Relationship Id="rId58" Type="http://schemas.openxmlformats.org/officeDocument/2006/relationships/hyperlink" Target="javascript:submitAction_win0(document.win0,'EN_BOMINQ_WRK_BOM_COMPONENT_DISP$popup$58');" TargetMode="External"/><Relationship Id="rId79" Type="http://schemas.openxmlformats.org/officeDocument/2006/relationships/hyperlink" Target="javascript:submitAction_win0(document.win0,'EN_BOMINQ_WRK_BOM_COMPONENT_DISP$popup$79');" TargetMode="External"/><Relationship Id="rId102" Type="http://schemas.openxmlformats.org/officeDocument/2006/relationships/hyperlink" Target="javascript:submitAction_win0(document.win0,'EN_BOMINQ_WRK_BOM_COMPONENT_DISP$popup$102');" TargetMode="External"/><Relationship Id="rId123" Type="http://schemas.openxmlformats.org/officeDocument/2006/relationships/hyperlink" Target="javascript:submitAction_win0(document.win0,'EN_BOMINQ_WRK_BOM_COMPONENT_DISP$popup$123');" TargetMode="External"/><Relationship Id="rId144" Type="http://schemas.openxmlformats.org/officeDocument/2006/relationships/hyperlink" Target="javascript:submitAction_win0(document.win0,'EN_BOMINQ_WRK_BOM_COMPONENT_DISP$popup$144');" TargetMode="External"/><Relationship Id="rId90" Type="http://schemas.openxmlformats.org/officeDocument/2006/relationships/hyperlink" Target="javascript:submitAction_win0(document.win0,'EN_BOMINQ_WRK_BOM_COMPONENT_DISP$popup$90');" TargetMode="External"/><Relationship Id="rId165" Type="http://schemas.openxmlformats.org/officeDocument/2006/relationships/hyperlink" Target="javascript:submitAction_win0(document.win0,'EN_BOMINQ_WRK_BOM_COMPONENT_DISP$popup$165');" TargetMode="External"/><Relationship Id="rId186" Type="http://schemas.openxmlformats.org/officeDocument/2006/relationships/hyperlink" Target="javascript:submitAction_win0(document.win0,'EN_BOMINQ_WRK_BOM_COMPONENT_DISP$popup$186');" TargetMode="External"/><Relationship Id="rId211" Type="http://schemas.openxmlformats.org/officeDocument/2006/relationships/hyperlink" Target="javascript:submitAction_win0(document.win0,'EN_BOMINQ_WRK_BOM_COMPONENT_DISP$popup$211');" TargetMode="External"/><Relationship Id="rId232" Type="http://schemas.openxmlformats.org/officeDocument/2006/relationships/hyperlink" Target="javascript:submitAction_win0(document.win0,'EN_BOMINQ_WRK_BOM_COMPONENT_DISP$popup$232');" TargetMode="External"/><Relationship Id="rId253" Type="http://schemas.openxmlformats.org/officeDocument/2006/relationships/hyperlink" Target="javascript:submitAction_win0(document.win0,'EN_BOMINQ_WRK_BOM_COMPONENT_DISP$popup$253');" TargetMode="External"/><Relationship Id="rId274" Type="http://schemas.openxmlformats.org/officeDocument/2006/relationships/hyperlink" Target="javascript:submitAction_win0(document.win0,'EN_BOMINQ_WRK_BOM_COMPONENT_DISP$popup$274');" TargetMode="External"/><Relationship Id="rId295" Type="http://schemas.openxmlformats.org/officeDocument/2006/relationships/hyperlink" Target="javascript:submitAction_win0(document.win0,'EN_BOMINQ_WRK_BOM_COMPONENT_DISP$popup$295');" TargetMode="External"/><Relationship Id="rId27" Type="http://schemas.openxmlformats.org/officeDocument/2006/relationships/hyperlink" Target="javascript:submitAction_win0(document.win0,'EN_BOMINQ_WRK_BOM_COMPONENT_DISP$popup$27');" TargetMode="External"/><Relationship Id="rId48" Type="http://schemas.openxmlformats.org/officeDocument/2006/relationships/hyperlink" Target="javascript:submitAction_win0(document.win0,'EN_BOMINQ_WRK_BOM_COMPONENT_DISP$popup$48');" TargetMode="External"/><Relationship Id="rId69" Type="http://schemas.openxmlformats.org/officeDocument/2006/relationships/hyperlink" Target="javascript:submitAction_win0(document.win0,'EN_BOMINQ_WRK_BOM_COMPONENT_DISP$popup$69');" TargetMode="External"/><Relationship Id="rId113" Type="http://schemas.openxmlformats.org/officeDocument/2006/relationships/hyperlink" Target="javascript:submitAction_win0(document.win0,'EN_BOMINQ_WRK_BOM_COMPONENT_DISP$popup$113');" TargetMode="External"/><Relationship Id="rId134" Type="http://schemas.openxmlformats.org/officeDocument/2006/relationships/hyperlink" Target="javascript:submitAction_win0(document.win0,'EN_BOMINQ_WRK_BOM_COMPONENT_DISP$popup$134');" TargetMode="External"/><Relationship Id="rId80" Type="http://schemas.openxmlformats.org/officeDocument/2006/relationships/hyperlink" Target="javascript:submitAction_win0(document.win0,'EN_BOMINQ_WRK_BOM_COMPONENT_DISP$popup$80');" TargetMode="External"/><Relationship Id="rId155" Type="http://schemas.openxmlformats.org/officeDocument/2006/relationships/hyperlink" Target="javascript:submitAction_win0(document.win0,'EN_BOMINQ_WRK_BOM_COMPONENT_DISP$popup$155');" TargetMode="External"/><Relationship Id="rId176" Type="http://schemas.openxmlformats.org/officeDocument/2006/relationships/hyperlink" Target="javascript:submitAction_win0(document.win0,'EN_BOMINQ_WRK_BOM_COMPONENT_DISP$popup$176');" TargetMode="External"/><Relationship Id="rId197" Type="http://schemas.openxmlformats.org/officeDocument/2006/relationships/hyperlink" Target="javascript:submitAction_win0(document.win0,'EN_BOMINQ_WRK_BOM_COMPONENT_DISP$popup$197');" TargetMode="External"/><Relationship Id="rId201" Type="http://schemas.openxmlformats.org/officeDocument/2006/relationships/hyperlink" Target="javascript:submitAction_win0(document.win0,'EN_BOMINQ_WRK_BOM_COMPONENT_DISP$popup$201');" TargetMode="External"/><Relationship Id="rId222" Type="http://schemas.openxmlformats.org/officeDocument/2006/relationships/hyperlink" Target="javascript:submitAction_win0(document.win0,'EN_BOMINQ_WRK_BOM_COMPONENT_DISP$popup$222');" TargetMode="External"/><Relationship Id="rId243" Type="http://schemas.openxmlformats.org/officeDocument/2006/relationships/hyperlink" Target="javascript:submitAction_win0(document.win0,'EN_BOMINQ_WRK_BOM_COMPONENT_DISP$popup$243');" TargetMode="External"/><Relationship Id="rId264" Type="http://schemas.openxmlformats.org/officeDocument/2006/relationships/hyperlink" Target="javascript:submitAction_win0(document.win0,'EN_BOMINQ_WRK_BOM_COMPONENT_DISP$popup$264');" TargetMode="External"/><Relationship Id="rId285" Type="http://schemas.openxmlformats.org/officeDocument/2006/relationships/hyperlink" Target="javascript:submitAction_win0(document.win0,'EN_BOMINQ_WRK_BOM_COMPONENT_DISP$popup$285');" TargetMode="External"/><Relationship Id="rId17" Type="http://schemas.openxmlformats.org/officeDocument/2006/relationships/hyperlink" Target="javascript:submitAction_win0(document.win0,'EN_BOMINQ_WRK_BOM_COMPONENT_DISP$popup$17');" TargetMode="External"/><Relationship Id="rId38" Type="http://schemas.openxmlformats.org/officeDocument/2006/relationships/hyperlink" Target="javascript:submitAction_win0(document.win0,'EN_BOMINQ_WRK_BOM_COMPONENT_DISP$popup$38');" TargetMode="External"/><Relationship Id="rId59" Type="http://schemas.openxmlformats.org/officeDocument/2006/relationships/hyperlink" Target="javascript:submitAction_win0(document.win0,'EN_BOMINQ_WRK_BOM_COMPONENT_DISP$popup$59');" TargetMode="External"/><Relationship Id="rId103" Type="http://schemas.openxmlformats.org/officeDocument/2006/relationships/hyperlink" Target="javascript:submitAction_win0(document.win0,'EN_BOMINQ_WRK_BOM_COMPONENT_DISP$popup$103');" TargetMode="External"/><Relationship Id="rId124" Type="http://schemas.openxmlformats.org/officeDocument/2006/relationships/hyperlink" Target="javascript:submitAction_win0(document.win0,'EN_BOMINQ_WRK_BOM_COMPONENT_DISP$popup$124');" TargetMode="External"/><Relationship Id="rId70" Type="http://schemas.openxmlformats.org/officeDocument/2006/relationships/hyperlink" Target="javascript:submitAction_win0(document.win0,'EN_BOMINQ_WRK_BOM_COMPONENT_DISP$popup$70');" TargetMode="External"/><Relationship Id="rId91" Type="http://schemas.openxmlformats.org/officeDocument/2006/relationships/hyperlink" Target="javascript:submitAction_win0(document.win0,'EN_BOMINQ_WRK_BOM_COMPONENT_DISP$popup$91');" TargetMode="External"/><Relationship Id="rId145" Type="http://schemas.openxmlformats.org/officeDocument/2006/relationships/hyperlink" Target="javascript:submitAction_win0(document.win0,'EN_BOMINQ_WRK_BOM_COMPONENT_DISP$popup$145');" TargetMode="External"/><Relationship Id="rId166" Type="http://schemas.openxmlformats.org/officeDocument/2006/relationships/hyperlink" Target="javascript:submitAction_win0(document.win0,'EN_BOMINQ_WRK_BOM_COMPONENT_DISP$popup$166');" TargetMode="External"/><Relationship Id="rId187" Type="http://schemas.openxmlformats.org/officeDocument/2006/relationships/hyperlink" Target="javascript:submitAction_win0(document.win0,'EN_BOMINQ_WRK_BOM_COMPONENT_DISP$popup$187');" TargetMode="External"/><Relationship Id="rId1" Type="http://schemas.openxmlformats.org/officeDocument/2006/relationships/hyperlink" Target="javascript:submitAction_win0(document.win0,'EN_BOMINQ_WRK_BOM_COMPONENT_DISP$popup$1');" TargetMode="External"/><Relationship Id="rId212" Type="http://schemas.openxmlformats.org/officeDocument/2006/relationships/hyperlink" Target="javascript:submitAction_win0(document.win0,'EN_BOMINQ_WRK_BOM_COMPONENT_DISP$popup$212');" TargetMode="External"/><Relationship Id="rId233" Type="http://schemas.openxmlformats.org/officeDocument/2006/relationships/hyperlink" Target="javascript:submitAction_win0(document.win0,'EN_BOMINQ_WRK_BOM_COMPONENT_DISP$popup$233');" TargetMode="External"/><Relationship Id="rId254" Type="http://schemas.openxmlformats.org/officeDocument/2006/relationships/hyperlink" Target="javascript:submitAction_win0(document.win0,'EN_BOMINQ_WRK_BOM_COMPONENT_DISP$popup$254');" TargetMode="External"/><Relationship Id="rId28" Type="http://schemas.openxmlformats.org/officeDocument/2006/relationships/hyperlink" Target="javascript:submitAction_win0(document.win0,'EN_BOMINQ_WRK_BOM_COMPONENT_DISP$popup$28');" TargetMode="External"/><Relationship Id="rId49" Type="http://schemas.openxmlformats.org/officeDocument/2006/relationships/hyperlink" Target="javascript:submitAction_win0(document.win0,'EN_BOMINQ_WRK_BOM_COMPONENT_DISP$popup$49');" TargetMode="External"/><Relationship Id="rId114" Type="http://schemas.openxmlformats.org/officeDocument/2006/relationships/hyperlink" Target="javascript:submitAction_win0(document.win0,'EN_BOMINQ_WRK_BOM_COMPONENT_DISP$popup$114');" TargetMode="External"/><Relationship Id="rId275" Type="http://schemas.openxmlformats.org/officeDocument/2006/relationships/hyperlink" Target="javascript:submitAction_win0(document.win0,'EN_BOMINQ_WRK_BOM_COMPONENT_DISP$popup$275');" TargetMode="External"/><Relationship Id="rId296" Type="http://schemas.openxmlformats.org/officeDocument/2006/relationships/hyperlink" Target="javascript:submitAction_win0(document.win0,'EN_BOMINQ_WRK_BOM_COMPONENT_DISP$popup$296');" TargetMode="External"/><Relationship Id="rId300" Type="http://schemas.openxmlformats.org/officeDocument/2006/relationships/hyperlink" Target="javascript:submitAction_win0(document.win0,'EN_BOMINQ_WRK_BOM_COMPONENT_DISP$popup$300');" TargetMode="External"/><Relationship Id="rId60" Type="http://schemas.openxmlformats.org/officeDocument/2006/relationships/hyperlink" Target="javascript:submitAction_win0(document.win0,'EN_BOMINQ_WRK_BOM_COMPONENT_DISP$popup$60');" TargetMode="External"/><Relationship Id="rId81" Type="http://schemas.openxmlformats.org/officeDocument/2006/relationships/hyperlink" Target="javascript:submitAction_win0(document.win0,'EN_BOMINQ_WRK_BOM_COMPONENT_DISP$popup$81');" TargetMode="External"/><Relationship Id="rId135" Type="http://schemas.openxmlformats.org/officeDocument/2006/relationships/hyperlink" Target="javascript:submitAction_win0(document.win0,'EN_BOMINQ_WRK_BOM_COMPONENT_DISP$popup$135');" TargetMode="External"/><Relationship Id="rId156" Type="http://schemas.openxmlformats.org/officeDocument/2006/relationships/hyperlink" Target="javascript:submitAction_win0(document.win0,'EN_BOMINQ_WRK_BOM_COMPONENT_DISP$popup$156');" TargetMode="External"/><Relationship Id="rId177" Type="http://schemas.openxmlformats.org/officeDocument/2006/relationships/hyperlink" Target="javascript:submitAction_win0(document.win0,'EN_BOMINQ_WRK_BOM_COMPONENT_DISP$popup$177');" TargetMode="External"/><Relationship Id="rId198" Type="http://schemas.openxmlformats.org/officeDocument/2006/relationships/hyperlink" Target="javascript:submitAction_win0(document.win0,'EN_BOMINQ_WRK_BOM_COMPONENT_DISP$popup$198');" TargetMode="External"/><Relationship Id="rId202" Type="http://schemas.openxmlformats.org/officeDocument/2006/relationships/hyperlink" Target="javascript:submitAction_win0(document.win0,'EN_BOMINQ_WRK_BOM_COMPONENT_DISP$popup$202');" TargetMode="External"/><Relationship Id="rId223" Type="http://schemas.openxmlformats.org/officeDocument/2006/relationships/hyperlink" Target="javascript:submitAction_win0(document.win0,'EN_BOMINQ_WRK_BOM_COMPONENT_DISP$popup$223');" TargetMode="External"/><Relationship Id="rId244" Type="http://schemas.openxmlformats.org/officeDocument/2006/relationships/hyperlink" Target="javascript:submitAction_win0(document.win0,'EN_BOMINQ_WRK_BOM_COMPONENT_DISP$popup$244');" TargetMode="External"/><Relationship Id="rId18" Type="http://schemas.openxmlformats.org/officeDocument/2006/relationships/hyperlink" Target="javascript:submitAction_win0(document.win0,'EN_BOMINQ_WRK_BOM_COMPONENT_DISP$popup$18');" TargetMode="External"/><Relationship Id="rId39" Type="http://schemas.openxmlformats.org/officeDocument/2006/relationships/hyperlink" Target="javascript:submitAction_win0(document.win0,'EN_BOMINQ_WRK_BOM_COMPONENT_DISP$popup$39');" TargetMode="External"/><Relationship Id="rId265" Type="http://schemas.openxmlformats.org/officeDocument/2006/relationships/hyperlink" Target="javascript:submitAction_win0(document.win0,'EN_BOMINQ_WRK_BOM_COMPONENT_DISP$popup$265');" TargetMode="External"/><Relationship Id="rId286" Type="http://schemas.openxmlformats.org/officeDocument/2006/relationships/hyperlink" Target="javascript:submitAction_win0(document.win0,'EN_BOMINQ_WRK_BOM_COMPONENT_DISP$popup$286');" TargetMode="External"/><Relationship Id="rId50" Type="http://schemas.openxmlformats.org/officeDocument/2006/relationships/hyperlink" Target="javascript:submitAction_win0(document.win0,'EN_BOMINQ_WRK_BOM_COMPONENT_DISP$popup$50');" TargetMode="External"/><Relationship Id="rId104" Type="http://schemas.openxmlformats.org/officeDocument/2006/relationships/hyperlink" Target="javascript:submitAction_win0(document.win0,'EN_BOMINQ_WRK_BOM_COMPONENT_DISP$popup$104');" TargetMode="External"/><Relationship Id="rId125" Type="http://schemas.openxmlformats.org/officeDocument/2006/relationships/hyperlink" Target="javascript:submitAction_win0(document.win0,'EN_BOMINQ_WRK_BOM_COMPONENT_DISP$popup$125');" TargetMode="External"/><Relationship Id="rId146" Type="http://schemas.openxmlformats.org/officeDocument/2006/relationships/hyperlink" Target="javascript:submitAction_win0(document.win0,'EN_BOMINQ_WRK_BOM_COMPONENT_DISP$popup$146');" TargetMode="External"/><Relationship Id="rId167" Type="http://schemas.openxmlformats.org/officeDocument/2006/relationships/hyperlink" Target="javascript:submitAction_win0(document.win0,'EN_BOMINQ_WRK_BOM_COMPONENT_DISP$popup$167');" TargetMode="External"/><Relationship Id="rId188" Type="http://schemas.openxmlformats.org/officeDocument/2006/relationships/hyperlink" Target="javascript:submitAction_win0(document.win0,'EN_BOMINQ_WRK_BOM_COMPONENT_DISP$popup$188');" TargetMode="External"/><Relationship Id="rId71" Type="http://schemas.openxmlformats.org/officeDocument/2006/relationships/hyperlink" Target="javascript:submitAction_win0(document.win0,'EN_BOMINQ_WRK_BOM_COMPONENT_DISP$popup$71');" TargetMode="External"/><Relationship Id="rId92" Type="http://schemas.openxmlformats.org/officeDocument/2006/relationships/hyperlink" Target="javascript:submitAction_win0(document.win0,'EN_BOMINQ_WRK_BOM_COMPONENT_DISP$popup$92');" TargetMode="External"/><Relationship Id="rId213" Type="http://schemas.openxmlformats.org/officeDocument/2006/relationships/hyperlink" Target="javascript:submitAction_win0(document.win0,'EN_BOMINQ_WRK_BOM_COMPONENT_DISP$popup$213');" TargetMode="External"/><Relationship Id="rId234" Type="http://schemas.openxmlformats.org/officeDocument/2006/relationships/hyperlink" Target="javascript:submitAction_win0(document.win0,'EN_BOMINQ_WRK_BOM_COMPONENT_DISP$popup$234');" TargetMode="Externa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7');" TargetMode="External"/><Relationship Id="rId299" Type="http://schemas.openxmlformats.org/officeDocument/2006/relationships/hyperlink" Target="javascript:submitAction_win0(document.win0,'EN_BOMINQ_WRK_BOM_COMPONENT_DISP$popup$299');" TargetMode="External"/><Relationship Id="rId303" Type="http://schemas.openxmlformats.org/officeDocument/2006/relationships/hyperlink" Target="javascript:submitAction_win0(document.win0,'EN_BOMINQ_WRK_BOM_COMPONENT_DISP$popup$303');" TargetMode="External"/><Relationship Id="rId21" Type="http://schemas.openxmlformats.org/officeDocument/2006/relationships/hyperlink" Target="javascript:submitAction_win0(document.win0,'EN_BOMINQ_WRK_BOM_COMPONENT_DISP$popup$21');" TargetMode="External"/><Relationship Id="rId42" Type="http://schemas.openxmlformats.org/officeDocument/2006/relationships/hyperlink" Target="javascript:submitAction_win0(document.win0,'EN_BOMINQ_WRK_BOM_COMPONENT_DISP$popup$42');" TargetMode="External"/><Relationship Id="rId63" Type="http://schemas.openxmlformats.org/officeDocument/2006/relationships/hyperlink" Target="javascript:submitAction_win0(document.win0,'EN_BOMINQ_WRK_BOM_COMPONENT_DISP$popup$63');" TargetMode="External"/><Relationship Id="rId84" Type="http://schemas.openxmlformats.org/officeDocument/2006/relationships/hyperlink" Target="javascript:submitAction_win0(document.win0,'EN_BOMINQ_WRK_BOM_COMPONENT_DISP$popup$84');" TargetMode="External"/><Relationship Id="rId138" Type="http://schemas.openxmlformats.org/officeDocument/2006/relationships/hyperlink" Target="javascript:submitAction_win0(document.win0,'EN_BOMINQ_WRK_BOM_COMPONENT_DISP$popup$138');" TargetMode="External"/><Relationship Id="rId159" Type="http://schemas.openxmlformats.org/officeDocument/2006/relationships/hyperlink" Target="javascript:submitAction_win0(document.win0,'EN_BOMINQ_WRK_BOM_COMPONENT_DISP$popup$159');" TargetMode="External"/><Relationship Id="rId170" Type="http://schemas.openxmlformats.org/officeDocument/2006/relationships/hyperlink" Target="javascript:submitAction_win0(document.win0,'EN_BOMINQ_WRK_BOM_COMPONENT_DISP$popup$170');" TargetMode="External"/><Relationship Id="rId191" Type="http://schemas.openxmlformats.org/officeDocument/2006/relationships/hyperlink" Target="javascript:submitAction_win0(document.win0,'EN_BOMINQ_WRK_BOM_COMPONENT_DISP$popup$191');" TargetMode="External"/><Relationship Id="rId205" Type="http://schemas.openxmlformats.org/officeDocument/2006/relationships/hyperlink" Target="javascript:submitAction_win0(document.win0,'EN_BOMINQ_WRK_BOM_COMPONENT_DISP$popup$205');" TargetMode="External"/><Relationship Id="rId226" Type="http://schemas.openxmlformats.org/officeDocument/2006/relationships/hyperlink" Target="javascript:submitAction_win0(document.win0,'EN_BOMINQ_WRK_BOM_COMPONENT_DISP$popup$226');" TargetMode="External"/><Relationship Id="rId247" Type="http://schemas.openxmlformats.org/officeDocument/2006/relationships/hyperlink" Target="javascript:submitAction_win0(document.win0,'EN_BOMINQ_WRK_BOM_COMPONENT_DISP$popup$247');" TargetMode="External"/><Relationship Id="rId107" Type="http://schemas.openxmlformats.org/officeDocument/2006/relationships/hyperlink" Target="javascript:submitAction_win0(document.win0,'EN_BOMINQ_WRK_BOM_COMPONENT_DISP$popup$107');" TargetMode="External"/><Relationship Id="rId268" Type="http://schemas.openxmlformats.org/officeDocument/2006/relationships/hyperlink" Target="javascript:submitAction_win0(document.win0,'EN_BOMINQ_WRK_BOM_COMPONENT_DISP$popup$268');" TargetMode="External"/><Relationship Id="rId289" Type="http://schemas.openxmlformats.org/officeDocument/2006/relationships/hyperlink" Target="javascript:submitAction_win0(document.win0,'EN_BOMINQ_WRK_BOM_COMPONENT_DISP$popup$289');" TargetMode="External"/><Relationship Id="rId11" Type="http://schemas.openxmlformats.org/officeDocument/2006/relationships/hyperlink" Target="javascript:submitAction_win0(document.win0,'EN_BOMINQ_WRK_BOM_COMPONENT_DISP$popup$11');" TargetMode="External"/><Relationship Id="rId32" Type="http://schemas.openxmlformats.org/officeDocument/2006/relationships/hyperlink" Target="javascript:submitAction_win0(document.win0,'EN_BOMINQ_WRK_BOM_COMPONENT_DISP$popup$32');" TargetMode="External"/><Relationship Id="rId53" Type="http://schemas.openxmlformats.org/officeDocument/2006/relationships/hyperlink" Target="javascript:submitAction_win0(document.win0,'EN_BOMINQ_WRK_BOM_COMPONENT_DISP$popup$53');" TargetMode="External"/><Relationship Id="rId74" Type="http://schemas.openxmlformats.org/officeDocument/2006/relationships/hyperlink" Target="javascript:submitAction_win0(document.win0,'EN_BOMINQ_WRK_BOM_COMPONENT_DISP$popup$74');" TargetMode="External"/><Relationship Id="rId128" Type="http://schemas.openxmlformats.org/officeDocument/2006/relationships/hyperlink" Target="javascript:submitAction_win0(document.win0,'EN_BOMINQ_WRK_BOM_COMPONENT_DISP$popup$128');" TargetMode="External"/><Relationship Id="rId149" Type="http://schemas.openxmlformats.org/officeDocument/2006/relationships/hyperlink" Target="javascript:submitAction_win0(document.win0,'EN_BOMINQ_WRK_BOM_COMPONENT_DISP$popup$149');" TargetMode="External"/><Relationship Id="rId5" Type="http://schemas.openxmlformats.org/officeDocument/2006/relationships/hyperlink" Target="javascript:submitAction_win0(document.win0,'EN_BOMINQ_WRK_BOM_COMPONENT_DISP$popup$5');" TargetMode="External"/><Relationship Id="rId95" Type="http://schemas.openxmlformats.org/officeDocument/2006/relationships/hyperlink" Target="javascript:submitAction_win0(document.win0,'EN_BOMINQ_WRK_BOM_COMPONENT_DISP$popup$95');" TargetMode="External"/><Relationship Id="rId160" Type="http://schemas.openxmlformats.org/officeDocument/2006/relationships/hyperlink" Target="javascript:submitAction_win0(document.win0,'EN_BOMINQ_WRK_BOM_COMPONENT_DISP$popup$160');" TargetMode="External"/><Relationship Id="rId181" Type="http://schemas.openxmlformats.org/officeDocument/2006/relationships/hyperlink" Target="javascript:submitAction_win0(document.win0,'EN_BOMINQ_WRK_BOM_COMPONENT_DISP$popup$181');" TargetMode="External"/><Relationship Id="rId216" Type="http://schemas.openxmlformats.org/officeDocument/2006/relationships/hyperlink" Target="javascript:submitAction_win0(document.win0,'EN_BOMINQ_WRK_BOM_COMPONENT_DISP$popup$216');" TargetMode="External"/><Relationship Id="rId237" Type="http://schemas.openxmlformats.org/officeDocument/2006/relationships/hyperlink" Target="javascript:submitAction_win0(document.win0,'EN_BOMINQ_WRK_BOM_COMPONENT_DISP$popup$237');" TargetMode="External"/><Relationship Id="rId258" Type="http://schemas.openxmlformats.org/officeDocument/2006/relationships/hyperlink" Target="javascript:submitAction_win0(document.win0,'EN_BOMINQ_WRK_BOM_COMPONENT_DISP$popup$258');" TargetMode="External"/><Relationship Id="rId279" Type="http://schemas.openxmlformats.org/officeDocument/2006/relationships/hyperlink" Target="javascript:submitAction_win0(document.win0,'EN_BOMINQ_WRK_BOM_COMPONENT_DISP$popup$279');" TargetMode="External"/><Relationship Id="rId22" Type="http://schemas.openxmlformats.org/officeDocument/2006/relationships/hyperlink" Target="javascript:submitAction_win0(document.win0,'EN_BOMINQ_WRK_BOM_COMPONENT_DISP$popup$22');" TargetMode="External"/><Relationship Id="rId43" Type="http://schemas.openxmlformats.org/officeDocument/2006/relationships/hyperlink" Target="javascript:submitAction_win0(document.win0,'EN_BOMINQ_WRK_BOM_COMPONENT_DISP$popup$43');" TargetMode="External"/><Relationship Id="rId64" Type="http://schemas.openxmlformats.org/officeDocument/2006/relationships/hyperlink" Target="javascript:submitAction_win0(document.win0,'EN_BOMINQ_WRK_BOM_COMPONENT_DISP$popup$64');" TargetMode="External"/><Relationship Id="rId118" Type="http://schemas.openxmlformats.org/officeDocument/2006/relationships/hyperlink" Target="javascript:submitAction_win0(document.win0,'EN_BOMINQ_WRK_BOM_COMPONENT_DISP$popup$118');" TargetMode="External"/><Relationship Id="rId139" Type="http://schemas.openxmlformats.org/officeDocument/2006/relationships/hyperlink" Target="javascript:submitAction_win0(document.win0,'EN_BOMINQ_WRK_BOM_COMPONENT_DISP$popup$139');" TargetMode="External"/><Relationship Id="rId290" Type="http://schemas.openxmlformats.org/officeDocument/2006/relationships/hyperlink" Target="javascript:submitAction_win0(document.win0,'EN_BOMINQ_WRK_BOM_COMPONENT_DISP$popup$290');" TargetMode="External"/><Relationship Id="rId304" Type="http://schemas.openxmlformats.org/officeDocument/2006/relationships/hyperlink" Target="javascript:submitAction_win0(document.win0,'EN_BOMINQ_WRK_BOM_COMPONENT_DISP$popup$304');" TargetMode="External"/><Relationship Id="rId85" Type="http://schemas.openxmlformats.org/officeDocument/2006/relationships/hyperlink" Target="javascript:submitAction_win0(document.win0,'EN_BOMINQ_WRK_BOM_COMPONENT_DISP$popup$85');" TargetMode="External"/><Relationship Id="rId150" Type="http://schemas.openxmlformats.org/officeDocument/2006/relationships/hyperlink" Target="javascript:submitAction_win0(document.win0,'EN_BOMINQ_WRK_BOM_COMPONENT_DISP$popup$150');" TargetMode="External"/><Relationship Id="rId171" Type="http://schemas.openxmlformats.org/officeDocument/2006/relationships/hyperlink" Target="javascript:submitAction_win0(document.win0,'EN_BOMINQ_WRK_BOM_COMPONENT_DISP$popup$171');" TargetMode="External"/><Relationship Id="rId192" Type="http://schemas.openxmlformats.org/officeDocument/2006/relationships/hyperlink" Target="javascript:submitAction_win0(document.win0,'EN_BOMINQ_WRK_BOM_COMPONENT_DISP$popup$192');" TargetMode="External"/><Relationship Id="rId206" Type="http://schemas.openxmlformats.org/officeDocument/2006/relationships/hyperlink" Target="javascript:submitAction_win0(document.win0,'EN_BOMINQ_WRK_BOM_COMPONENT_DISP$popup$206');" TargetMode="External"/><Relationship Id="rId227" Type="http://schemas.openxmlformats.org/officeDocument/2006/relationships/hyperlink" Target="javascript:submitAction_win0(document.win0,'EN_BOMINQ_WRK_BOM_COMPONENT_DISP$popup$227');" TargetMode="External"/><Relationship Id="rId248" Type="http://schemas.openxmlformats.org/officeDocument/2006/relationships/hyperlink" Target="javascript:submitAction_win0(document.win0,'EN_BOMINQ_WRK_BOM_COMPONENT_DISP$popup$248');" TargetMode="External"/><Relationship Id="rId269" Type="http://schemas.openxmlformats.org/officeDocument/2006/relationships/hyperlink" Target="javascript:submitAction_win0(document.win0,'EN_BOMINQ_WRK_BOM_COMPONENT_DISP$popup$269');" TargetMode="External"/><Relationship Id="rId12" Type="http://schemas.openxmlformats.org/officeDocument/2006/relationships/hyperlink" Target="javascript:submitAction_win0(document.win0,'EN_BOMINQ_WRK_BOM_COMPONENT_DISP$popup$12');" TargetMode="External"/><Relationship Id="rId33" Type="http://schemas.openxmlformats.org/officeDocument/2006/relationships/hyperlink" Target="javascript:submitAction_win0(document.win0,'EN_BOMINQ_WRK_BOM_COMPONENT_DISP$popup$33');" TargetMode="External"/><Relationship Id="rId108" Type="http://schemas.openxmlformats.org/officeDocument/2006/relationships/hyperlink" Target="javascript:submitAction_win0(document.win0,'EN_BOMINQ_WRK_BOM_COMPONENT_DISP$popup$108');" TargetMode="External"/><Relationship Id="rId129" Type="http://schemas.openxmlformats.org/officeDocument/2006/relationships/hyperlink" Target="javascript:submitAction_win0(document.win0,'EN_BOMINQ_WRK_BOM_COMPONENT_DISP$popup$129');" TargetMode="External"/><Relationship Id="rId280" Type="http://schemas.openxmlformats.org/officeDocument/2006/relationships/hyperlink" Target="javascript:submitAction_win0(document.win0,'EN_BOMINQ_WRK_BOM_COMPONENT_DISP$popup$280');" TargetMode="External"/><Relationship Id="rId54" Type="http://schemas.openxmlformats.org/officeDocument/2006/relationships/hyperlink" Target="javascript:submitAction_win0(document.win0,'EN_BOMINQ_WRK_BOM_COMPONENT_DISP$popup$54');" TargetMode="External"/><Relationship Id="rId75" Type="http://schemas.openxmlformats.org/officeDocument/2006/relationships/hyperlink" Target="javascript:submitAction_win0(document.win0,'EN_BOMINQ_WRK_BOM_COMPONENT_DISP$popup$75');" TargetMode="External"/><Relationship Id="rId96" Type="http://schemas.openxmlformats.org/officeDocument/2006/relationships/hyperlink" Target="javascript:submitAction_win0(document.win0,'EN_BOMINQ_WRK_BOM_COMPONENT_DISP$popup$96');" TargetMode="External"/><Relationship Id="rId140" Type="http://schemas.openxmlformats.org/officeDocument/2006/relationships/hyperlink" Target="javascript:submitAction_win0(document.win0,'EN_BOMINQ_WRK_BOM_COMPONENT_DISP$popup$140');" TargetMode="External"/><Relationship Id="rId161" Type="http://schemas.openxmlformats.org/officeDocument/2006/relationships/hyperlink" Target="javascript:submitAction_win0(document.win0,'EN_BOMINQ_WRK_BOM_COMPONENT_DISP$popup$161');" TargetMode="External"/><Relationship Id="rId182" Type="http://schemas.openxmlformats.org/officeDocument/2006/relationships/hyperlink" Target="javascript:submitAction_win0(document.win0,'EN_BOMINQ_WRK_BOM_COMPONENT_DISP$popup$182');" TargetMode="External"/><Relationship Id="rId217" Type="http://schemas.openxmlformats.org/officeDocument/2006/relationships/hyperlink" Target="javascript:submitAction_win0(document.win0,'EN_BOMINQ_WRK_BOM_COMPONENT_DISP$popup$217');" TargetMode="External"/><Relationship Id="rId6" Type="http://schemas.openxmlformats.org/officeDocument/2006/relationships/hyperlink" Target="javascript:submitAction_win0(document.win0,'EN_BOMINQ_WRK_BOM_COMPONENT_DISP$popup$6');" TargetMode="External"/><Relationship Id="rId238" Type="http://schemas.openxmlformats.org/officeDocument/2006/relationships/hyperlink" Target="javascript:submitAction_win0(document.win0,'EN_BOMINQ_WRK_BOM_COMPONENT_DISP$popup$238');" TargetMode="External"/><Relationship Id="rId259" Type="http://schemas.openxmlformats.org/officeDocument/2006/relationships/hyperlink" Target="javascript:submitAction_win0(document.win0,'EN_BOMINQ_WRK_BOM_COMPONENT_DISP$popup$259');" TargetMode="External"/><Relationship Id="rId23" Type="http://schemas.openxmlformats.org/officeDocument/2006/relationships/hyperlink" Target="javascript:submitAction_win0(document.win0,'EN_BOMINQ_WRK_BOM_COMPONENT_DISP$popup$23');" TargetMode="External"/><Relationship Id="rId119" Type="http://schemas.openxmlformats.org/officeDocument/2006/relationships/hyperlink" Target="javascript:submitAction_win0(document.win0,'EN_BOMINQ_WRK_BOM_COMPONENT_DISP$popup$119');" TargetMode="External"/><Relationship Id="rId270" Type="http://schemas.openxmlformats.org/officeDocument/2006/relationships/hyperlink" Target="javascript:submitAction_win0(document.win0,'EN_BOMINQ_WRK_BOM_COMPONENT_DISP$popup$270');" TargetMode="External"/><Relationship Id="rId291" Type="http://schemas.openxmlformats.org/officeDocument/2006/relationships/hyperlink" Target="javascript:submitAction_win0(document.win0,'EN_BOMINQ_WRK_BOM_COMPONENT_DISP$popup$291');" TargetMode="External"/><Relationship Id="rId305" Type="http://schemas.openxmlformats.org/officeDocument/2006/relationships/hyperlink" Target="javascript:submitAction_win0(document.win0,'EN_BOMINQ_WRK_BOM_COMPONENT_DISP$popup$305');" TargetMode="External"/><Relationship Id="rId44" Type="http://schemas.openxmlformats.org/officeDocument/2006/relationships/hyperlink" Target="javascript:submitAction_win0(document.win0,'EN_BOMINQ_WRK_BOM_COMPONENT_DISP$popup$44');" TargetMode="External"/><Relationship Id="rId65" Type="http://schemas.openxmlformats.org/officeDocument/2006/relationships/hyperlink" Target="javascript:submitAction_win0(document.win0,'EN_BOMINQ_WRK_BOM_COMPONENT_DISP$popup$65');" TargetMode="External"/><Relationship Id="rId86" Type="http://schemas.openxmlformats.org/officeDocument/2006/relationships/hyperlink" Target="javascript:submitAction_win0(document.win0,'EN_BOMINQ_WRK_BOM_COMPONENT_DISP$popup$86');" TargetMode="External"/><Relationship Id="rId130" Type="http://schemas.openxmlformats.org/officeDocument/2006/relationships/hyperlink" Target="javascript:submitAction_win0(document.win0,'EN_BOMINQ_WRK_BOM_COMPONENT_DISP$popup$130');" TargetMode="External"/><Relationship Id="rId151" Type="http://schemas.openxmlformats.org/officeDocument/2006/relationships/hyperlink" Target="javascript:submitAction_win0(document.win0,'EN_BOMINQ_WRK_BOM_COMPONENT_DISP$popup$151');" TargetMode="External"/><Relationship Id="rId172" Type="http://schemas.openxmlformats.org/officeDocument/2006/relationships/hyperlink" Target="javascript:submitAction_win0(document.win0,'EN_BOMINQ_WRK_BOM_COMPONENT_DISP$popup$172');" TargetMode="External"/><Relationship Id="rId193" Type="http://schemas.openxmlformats.org/officeDocument/2006/relationships/hyperlink" Target="javascript:submitAction_win0(document.win0,'EN_BOMINQ_WRK_BOM_COMPONENT_DISP$popup$193');" TargetMode="External"/><Relationship Id="rId207" Type="http://schemas.openxmlformats.org/officeDocument/2006/relationships/hyperlink" Target="javascript:submitAction_win0(document.win0,'EN_BOMINQ_WRK_BOM_COMPONENT_DISP$popup$207');" TargetMode="External"/><Relationship Id="rId228" Type="http://schemas.openxmlformats.org/officeDocument/2006/relationships/hyperlink" Target="javascript:submitAction_win0(document.win0,'EN_BOMINQ_WRK_BOM_COMPONENT_DISP$popup$228');" TargetMode="External"/><Relationship Id="rId249" Type="http://schemas.openxmlformats.org/officeDocument/2006/relationships/hyperlink" Target="javascript:submitAction_win0(document.win0,'EN_BOMINQ_WRK_BOM_COMPONENT_DISP$popup$249');" TargetMode="External"/><Relationship Id="rId13" Type="http://schemas.openxmlformats.org/officeDocument/2006/relationships/hyperlink" Target="javascript:submitAction_win0(document.win0,'EN_BOMINQ_WRK_BOM_COMPONENT_DISP$popup$13');" TargetMode="External"/><Relationship Id="rId109" Type="http://schemas.openxmlformats.org/officeDocument/2006/relationships/hyperlink" Target="javascript:submitAction_win0(document.win0,'EN_BOMINQ_WRK_BOM_COMPONENT_DISP$popup$109');" TargetMode="External"/><Relationship Id="rId260" Type="http://schemas.openxmlformats.org/officeDocument/2006/relationships/hyperlink" Target="javascript:submitAction_win0(document.win0,'EN_BOMINQ_WRK_BOM_COMPONENT_DISP$popup$260');" TargetMode="External"/><Relationship Id="rId281" Type="http://schemas.openxmlformats.org/officeDocument/2006/relationships/hyperlink" Target="javascript:submitAction_win0(document.win0,'EN_BOMINQ_WRK_BOM_COMPONENT_DISP$popup$281');" TargetMode="External"/><Relationship Id="rId34" Type="http://schemas.openxmlformats.org/officeDocument/2006/relationships/hyperlink" Target="javascript:submitAction_win0(document.win0,'EN_BOMINQ_WRK_BOM_COMPONENT_DISP$popup$34');" TargetMode="External"/><Relationship Id="rId55" Type="http://schemas.openxmlformats.org/officeDocument/2006/relationships/hyperlink" Target="javascript:submitAction_win0(document.win0,'EN_BOMINQ_WRK_BOM_COMPONENT_DISP$popup$55');" TargetMode="External"/><Relationship Id="rId76" Type="http://schemas.openxmlformats.org/officeDocument/2006/relationships/hyperlink" Target="javascript:submitAction_win0(document.win0,'EN_BOMINQ_WRK_BOM_COMPONENT_DISP$popup$76');" TargetMode="External"/><Relationship Id="rId97" Type="http://schemas.openxmlformats.org/officeDocument/2006/relationships/hyperlink" Target="javascript:submitAction_win0(document.win0,'EN_BOMINQ_WRK_BOM_COMPONENT_DISP$popup$97');" TargetMode="External"/><Relationship Id="rId120" Type="http://schemas.openxmlformats.org/officeDocument/2006/relationships/hyperlink" Target="javascript:submitAction_win0(document.win0,'EN_BOMINQ_WRK_BOM_COMPONENT_DISP$popup$120');" TargetMode="External"/><Relationship Id="rId141" Type="http://schemas.openxmlformats.org/officeDocument/2006/relationships/hyperlink" Target="javascript:submitAction_win0(document.win0,'EN_BOMINQ_WRK_BOM_COMPONENT_DISP$popup$141');" TargetMode="External"/><Relationship Id="rId7" Type="http://schemas.openxmlformats.org/officeDocument/2006/relationships/hyperlink" Target="javascript:submitAction_win0(document.win0,'EN_BOMINQ_WRK_BOM_COMPONENT_DISP$popup$7');" TargetMode="External"/><Relationship Id="rId162" Type="http://schemas.openxmlformats.org/officeDocument/2006/relationships/hyperlink" Target="javascript:submitAction_win0(document.win0,'EN_BOMINQ_WRK_BOM_COMPONENT_DISP$popup$162');" TargetMode="External"/><Relationship Id="rId183" Type="http://schemas.openxmlformats.org/officeDocument/2006/relationships/hyperlink" Target="javascript:submitAction_win0(document.win0,'EN_BOMINQ_WRK_BOM_COMPONENT_DISP$popup$183');" TargetMode="External"/><Relationship Id="rId218" Type="http://schemas.openxmlformats.org/officeDocument/2006/relationships/hyperlink" Target="javascript:submitAction_win0(document.win0,'EN_BOMINQ_WRK_BOM_COMPONENT_DISP$popup$218');" TargetMode="External"/><Relationship Id="rId239" Type="http://schemas.openxmlformats.org/officeDocument/2006/relationships/hyperlink" Target="javascript:submitAction_win0(document.win0,'EN_BOMINQ_WRK_BOM_COMPONENT_DISP$popup$239');" TargetMode="External"/><Relationship Id="rId2" Type="http://schemas.openxmlformats.org/officeDocument/2006/relationships/hyperlink" Target="javascript:submitAction_win0(document.win0,'EN_BOMINQ_WRK_BOM_COMPONENT_DISP$popup$2');" TargetMode="External"/><Relationship Id="rId29" Type="http://schemas.openxmlformats.org/officeDocument/2006/relationships/hyperlink" Target="javascript:submitAction_win0(document.win0,'EN_BOMINQ_WRK_BOM_COMPONENT_DISP$popup$29');" TargetMode="External"/><Relationship Id="rId250" Type="http://schemas.openxmlformats.org/officeDocument/2006/relationships/hyperlink" Target="javascript:submitAction_win0(document.win0,'EN_BOMINQ_WRK_BOM_COMPONENT_DISP$popup$250');" TargetMode="External"/><Relationship Id="rId255" Type="http://schemas.openxmlformats.org/officeDocument/2006/relationships/hyperlink" Target="javascript:submitAction_win0(document.win0,'EN_BOMINQ_WRK_BOM_COMPONENT_DISP$popup$255');" TargetMode="External"/><Relationship Id="rId271" Type="http://schemas.openxmlformats.org/officeDocument/2006/relationships/hyperlink" Target="javascript:submitAction_win0(document.win0,'EN_BOMINQ_WRK_BOM_COMPONENT_DISP$popup$271');" TargetMode="External"/><Relationship Id="rId276" Type="http://schemas.openxmlformats.org/officeDocument/2006/relationships/hyperlink" Target="javascript:submitAction_win0(document.win0,'EN_BOMINQ_WRK_BOM_COMPONENT_DISP$popup$276');" TargetMode="External"/><Relationship Id="rId292" Type="http://schemas.openxmlformats.org/officeDocument/2006/relationships/hyperlink" Target="javascript:submitAction_win0(document.win0,'EN_BOMINQ_WRK_BOM_COMPONENT_DISP$popup$292');" TargetMode="External"/><Relationship Id="rId297" Type="http://schemas.openxmlformats.org/officeDocument/2006/relationships/hyperlink" Target="javascript:submitAction_win0(document.win0,'EN_BOMINQ_WRK_BOM_COMPONENT_DISP$popup$297');" TargetMode="External"/><Relationship Id="rId24" Type="http://schemas.openxmlformats.org/officeDocument/2006/relationships/hyperlink" Target="javascript:submitAction_win0(document.win0,'EN_BOMINQ_WRK_BOM_COMPONENT_DISP$popup$24');" TargetMode="External"/><Relationship Id="rId40" Type="http://schemas.openxmlformats.org/officeDocument/2006/relationships/hyperlink" Target="javascript:submitAction_win0(document.win0,'EN_BOMINQ_WRK_BOM_COMPONENT_DISP$popup$40');" TargetMode="External"/><Relationship Id="rId45" Type="http://schemas.openxmlformats.org/officeDocument/2006/relationships/hyperlink" Target="javascript:submitAction_win0(document.win0,'EN_BOMINQ_WRK_BOM_COMPONENT_DISP$popup$45');" TargetMode="External"/><Relationship Id="rId66" Type="http://schemas.openxmlformats.org/officeDocument/2006/relationships/hyperlink" Target="javascript:submitAction_win0(document.win0,'EN_BOMINQ_WRK_BOM_COMPONENT_DISP$popup$66');" TargetMode="External"/><Relationship Id="rId87" Type="http://schemas.openxmlformats.org/officeDocument/2006/relationships/hyperlink" Target="javascript:submitAction_win0(document.win0,'EN_BOMINQ_WRK_BOM_COMPONENT_DISP$popup$87');" TargetMode="External"/><Relationship Id="rId110" Type="http://schemas.openxmlformats.org/officeDocument/2006/relationships/hyperlink" Target="javascript:submitAction_win0(document.win0,'EN_BOMINQ_WRK_BOM_COMPONENT_DISP$popup$110');" TargetMode="External"/><Relationship Id="rId115" Type="http://schemas.openxmlformats.org/officeDocument/2006/relationships/hyperlink" Target="javascript:submitAction_win0(document.win0,'EN_BOMINQ_WRK_BOM_COMPONENT_DISP$popup$115');" TargetMode="External"/><Relationship Id="rId131" Type="http://schemas.openxmlformats.org/officeDocument/2006/relationships/hyperlink" Target="javascript:submitAction_win0(document.win0,'EN_BOMINQ_WRK_BOM_COMPONENT_DISP$popup$131');" TargetMode="External"/><Relationship Id="rId136" Type="http://schemas.openxmlformats.org/officeDocument/2006/relationships/hyperlink" Target="javascript:submitAction_win0(document.win0,'EN_BOMINQ_WRK_BOM_COMPONENT_DISP$popup$136');" TargetMode="External"/><Relationship Id="rId157" Type="http://schemas.openxmlformats.org/officeDocument/2006/relationships/hyperlink" Target="javascript:submitAction_win0(document.win0,'EN_BOMINQ_WRK_BOM_COMPONENT_DISP$popup$157');" TargetMode="External"/><Relationship Id="rId178" Type="http://schemas.openxmlformats.org/officeDocument/2006/relationships/hyperlink" Target="javascript:submitAction_win0(document.win0,'EN_BOMINQ_WRK_BOM_COMPONENT_DISP$popup$178');" TargetMode="External"/><Relationship Id="rId301" Type="http://schemas.openxmlformats.org/officeDocument/2006/relationships/hyperlink" Target="javascript:submitAction_win0(document.win0,'EN_BOMINQ_WRK_BOM_COMPONENT_DISP$popup$301');" TargetMode="External"/><Relationship Id="rId61" Type="http://schemas.openxmlformats.org/officeDocument/2006/relationships/hyperlink" Target="javascript:submitAction_win0(document.win0,'EN_BOMINQ_WRK_BOM_COMPONENT_DISP$popup$61');" TargetMode="External"/><Relationship Id="rId82" Type="http://schemas.openxmlformats.org/officeDocument/2006/relationships/hyperlink" Target="javascript:submitAction_win0(document.win0,'EN_BOMINQ_WRK_BOM_COMPONENT_DISP$popup$82');" TargetMode="External"/><Relationship Id="rId152" Type="http://schemas.openxmlformats.org/officeDocument/2006/relationships/hyperlink" Target="javascript:submitAction_win0(document.win0,'EN_BOMINQ_WRK_BOM_COMPONENT_DISP$popup$152');" TargetMode="External"/><Relationship Id="rId173" Type="http://schemas.openxmlformats.org/officeDocument/2006/relationships/hyperlink" Target="javascript:submitAction_win0(document.win0,'EN_BOMINQ_WRK_BOM_COMPONENT_DISP$popup$173');" TargetMode="External"/><Relationship Id="rId194" Type="http://schemas.openxmlformats.org/officeDocument/2006/relationships/hyperlink" Target="javascript:submitAction_win0(document.win0,'EN_BOMINQ_WRK_BOM_COMPONENT_DISP$popup$194');" TargetMode="External"/><Relationship Id="rId199" Type="http://schemas.openxmlformats.org/officeDocument/2006/relationships/hyperlink" Target="javascript:submitAction_win0(document.win0,'EN_BOMINQ_WRK_BOM_COMPONENT_DISP$popup$199');" TargetMode="External"/><Relationship Id="rId203" Type="http://schemas.openxmlformats.org/officeDocument/2006/relationships/hyperlink" Target="javascript:submitAction_win0(document.win0,'EN_BOMINQ_WRK_BOM_COMPONENT_DISP$popup$203');" TargetMode="External"/><Relationship Id="rId208" Type="http://schemas.openxmlformats.org/officeDocument/2006/relationships/hyperlink" Target="javascript:submitAction_win0(document.win0,'EN_BOMINQ_WRK_BOM_COMPONENT_DISP$popup$208');" TargetMode="External"/><Relationship Id="rId229" Type="http://schemas.openxmlformats.org/officeDocument/2006/relationships/hyperlink" Target="javascript:submitAction_win0(document.win0,'EN_BOMINQ_WRK_BOM_COMPONENT_DISP$popup$229');" TargetMode="External"/><Relationship Id="rId19" Type="http://schemas.openxmlformats.org/officeDocument/2006/relationships/hyperlink" Target="javascript:submitAction_win0(document.win0,'EN_BOMINQ_WRK_BOM_COMPONENT_DISP$popup$19');" TargetMode="External"/><Relationship Id="rId224" Type="http://schemas.openxmlformats.org/officeDocument/2006/relationships/hyperlink" Target="javascript:submitAction_win0(document.win0,'EN_BOMINQ_WRK_BOM_COMPONENT_DISP$popup$224');" TargetMode="External"/><Relationship Id="rId240" Type="http://schemas.openxmlformats.org/officeDocument/2006/relationships/hyperlink" Target="javascript:submitAction_win0(document.win0,'EN_BOMINQ_WRK_BOM_COMPONENT_DISP$popup$240');" TargetMode="External"/><Relationship Id="rId245" Type="http://schemas.openxmlformats.org/officeDocument/2006/relationships/hyperlink" Target="javascript:submitAction_win0(document.win0,'EN_BOMINQ_WRK_BOM_COMPONENT_DISP$popup$245');" TargetMode="External"/><Relationship Id="rId261" Type="http://schemas.openxmlformats.org/officeDocument/2006/relationships/hyperlink" Target="javascript:submitAction_win0(document.win0,'EN_BOMINQ_WRK_BOM_COMPONENT_DISP$popup$261');" TargetMode="External"/><Relationship Id="rId266" Type="http://schemas.openxmlformats.org/officeDocument/2006/relationships/hyperlink" Target="javascript:submitAction_win0(document.win0,'EN_BOMINQ_WRK_BOM_COMPONENT_DISP$popup$266');" TargetMode="External"/><Relationship Id="rId287" Type="http://schemas.openxmlformats.org/officeDocument/2006/relationships/hyperlink" Target="javascript:submitAction_win0(document.win0,'EN_BOMINQ_WRK_BOM_COMPONENT_DISP$popup$287');" TargetMode="External"/><Relationship Id="rId14" Type="http://schemas.openxmlformats.org/officeDocument/2006/relationships/hyperlink" Target="javascript:submitAction_win0(document.win0,'EN_BOMINQ_WRK_BOM_COMPONENT_DISP$popup$14');" TargetMode="External"/><Relationship Id="rId30" Type="http://schemas.openxmlformats.org/officeDocument/2006/relationships/hyperlink" Target="javascript:submitAction_win0(document.win0,'EN_BOMINQ_WRK_BOM_COMPONENT_DISP$popup$30');" TargetMode="External"/><Relationship Id="rId35" Type="http://schemas.openxmlformats.org/officeDocument/2006/relationships/hyperlink" Target="javascript:submitAction_win0(document.win0,'EN_BOMINQ_WRK_BOM_COMPONENT_DISP$popup$35');" TargetMode="External"/><Relationship Id="rId56" Type="http://schemas.openxmlformats.org/officeDocument/2006/relationships/hyperlink" Target="javascript:submitAction_win0(document.win0,'EN_BOMINQ_WRK_BOM_COMPONENT_DISP$popup$56');" TargetMode="External"/><Relationship Id="rId77" Type="http://schemas.openxmlformats.org/officeDocument/2006/relationships/hyperlink" Target="javascript:submitAction_win0(document.win0,'EN_BOMINQ_WRK_BOM_COMPONENT_DISP$popup$77');" TargetMode="External"/><Relationship Id="rId100" Type="http://schemas.openxmlformats.org/officeDocument/2006/relationships/hyperlink" Target="javascript:submitAction_win0(document.win0,'EN_BOMINQ_WRK_BOM_COMPONENT_DISP$popup$100');" TargetMode="External"/><Relationship Id="rId105" Type="http://schemas.openxmlformats.org/officeDocument/2006/relationships/hyperlink" Target="javascript:submitAction_win0(document.win0,'EN_BOMINQ_WRK_BOM_COMPONENT_DISP$popup$105');" TargetMode="External"/><Relationship Id="rId126" Type="http://schemas.openxmlformats.org/officeDocument/2006/relationships/hyperlink" Target="javascript:submitAction_win0(document.win0,'EN_BOMINQ_WRK_BOM_COMPONENT_DISP$popup$126');" TargetMode="External"/><Relationship Id="rId147" Type="http://schemas.openxmlformats.org/officeDocument/2006/relationships/hyperlink" Target="javascript:submitAction_win0(document.win0,'EN_BOMINQ_WRK_BOM_COMPONENT_DISP$popup$147');" TargetMode="External"/><Relationship Id="rId168" Type="http://schemas.openxmlformats.org/officeDocument/2006/relationships/hyperlink" Target="javascript:submitAction_win0(document.win0,'EN_BOMINQ_WRK_BOM_COMPONENT_DISP$popup$168');" TargetMode="External"/><Relationship Id="rId282" Type="http://schemas.openxmlformats.org/officeDocument/2006/relationships/hyperlink" Target="javascript:submitAction_win0(document.win0,'EN_BOMINQ_WRK_BOM_COMPONENT_DISP$popup$282');" TargetMode="External"/><Relationship Id="rId8" Type="http://schemas.openxmlformats.org/officeDocument/2006/relationships/hyperlink" Target="javascript:submitAction_win0(document.win0,'EN_BOMINQ_WRK_BOM_COMPONENT_DISP$popup$8');" TargetMode="External"/><Relationship Id="rId51" Type="http://schemas.openxmlformats.org/officeDocument/2006/relationships/hyperlink" Target="javascript:submitAction_win0(document.win0,'EN_BOMINQ_WRK_BOM_COMPONENT_DISP$popup$51');" TargetMode="External"/><Relationship Id="rId72" Type="http://schemas.openxmlformats.org/officeDocument/2006/relationships/hyperlink" Target="javascript:submitAction_win0(document.win0,'EN_BOMINQ_WRK_BOM_COMPONENT_DISP$popup$72');" TargetMode="External"/><Relationship Id="rId93" Type="http://schemas.openxmlformats.org/officeDocument/2006/relationships/hyperlink" Target="javascript:submitAction_win0(document.win0,'EN_BOMINQ_WRK_BOM_COMPONENT_DISP$popup$93');" TargetMode="External"/><Relationship Id="rId98" Type="http://schemas.openxmlformats.org/officeDocument/2006/relationships/hyperlink" Target="javascript:submitAction_win0(document.win0,'EN_BOMINQ_WRK_BOM_COMPONENT_DISP$popup$98');" TargetMode="External"/><Relationship Id="rId121" Type="http://schemas.openxmlformats.org/officeDocument/2006/relationships/hyperlink" Target="javascript:submitAction_win0(document.win0,'EN_BOMINQ_WRK_BOM_COMPONENT_DISP$popup$121');" TargetMode="External"/><Relationship Id="rId142" Type="http://schemas.openxmlformats.org/officeDocument/2006/relationships/hyperlink" Target="javascript:submitAction_win0(document.win0,'EN_BOMINQ_WRK_BOM_COMPONENT_DISP$popup$142');" TargetMode="External"/><Relationship Id="rId163" Type="http://schemas.openxmlformats.org/officeDocument/2006/relationships/hyperlink" Target="javascript:submitAction_win0(document.win0,'EN_BOMINQ_WRK_BOM_COMPONENT_DISP$popup$163');" TargetMode="External"/><Relationship Id="rId184" Type="http://schemas.openxmlformats.org/officeDocument/2006/relationships/hyperlink" Target="javascript:submitAction_win0(document.win0,'EN_BOMINQ_WRK_BOM_COMPONENT_DISP$popup$184');" TargetMode="External"/><Relationship Id="rId189" Type="http://schemas.openxmlformats.org/officeDocument/2006/relationships/hyperlink" Target="javascript:submitAction_win0(document.win0,'EN_BOMINQ_WRK_BOM_COMPONENT_DISP$popup$189');" TargetMode="External"/><Relationship Id="rId219" Type="http://schemas.openxmlformats.org/officeDocument/2006/relationships/hyperlink" Target="javascript:submitAction_win0(document.win0,'EN_BOMINQ_WRK_BOM_COMPONENT_DISP$popup$219');" TargetMode="External"/><Relationship Id="rId3" Type="http://schemas.openxmlformats.org/officeDocument/2006/relationships/hyperlink" Target="javascript:submitAction_win0(document.win0,'EN_BOMINQ_WRK_BOM_COMPONENT_DISP$popup$3');" TargetMode="External"/><Relationship Id="rId214" Type="http://schemas.openxmlformats.org/officeDocument/2006/relationships/hyperlink" Target="javascript:submitAction_win0(document.win0,'EN_BOMINQ_WRK_BOM_COMPONENT_DISP$popup$214');" TargetMode="External"/><Relationship Id="rId230" Type="http://schemas.openxmlformats.org/officeDocument/2006/relationships/hyperlink" Target="javascript:submitAction_win0(document.win0,'EN_BOMINQ_WRK_BOM_COMPONENT_DISP$popup$230');" TargetMode="External"/><Relationship Id="rId235" Type="http://schemas.openxmlformats.org/officeDocument/2006/relationships/hyperlink" Target="javascript:submitAction_win0(document.win0,'EN_BOMINQ_WRK_BOM_COMPONENT_DISP$popup$235');" TargetMode="External"/><Relationship Id="rId251" Type="http://schemas.openxmlformats.org/officeDocument/2006/relationships/hyperlink" Target="javascript:submitAction_win0(document.win0,'EN_BOMINQ_WRK_BOM_COMPONENT_DISP$popup$251');" TargetMode="External"/><Relationship Id="rId256" Type="http://schemas.openxmlformats.org/officeDocument/2006/relationships/hyperlink" Target="javascript:submitAction_win0(document.win0,'EN_BOMINQ_WRK_BOM_COMPONENT_DISP$popup$256');" TargetMode="External"/><Relationship Id="rId277" Type="http://schemas.openxmlformats.org/officeDocument/2006/relationships/hyperlink" Target="javascript:submitAction_win0(document.win0,'EN_BOMINQ_WRK_BOM_COMPONENT_DISP$popup$277');" TargetMode="External"/><Relationship Id="rId298" Type="http://schemas.openxmlformats.org/officeDocument/2006/relationships/hyperlink" Target="javascript:submitAction_win0(document.win0,'EN_BOMINQ_WRK_BOM_COMPONENT_DISP$popup$298');" TargetMode="External"/><Relationship Id="rId25" Type="http://schemas.openxmlformats.org/officeDocument/2006/relationships/hyperlink" Target="javascript:submitAction_win0(document.win0,'EN_BOMINQ_WRK_BOM_COMPONENT_DISP$popup$25');" TargetMode="External"/><Relationship Id="rId46" Type="http://schemas.openxmlformats.org/officeDocument/2006/relationships/hyperlink" Target="javascript:submitAction_win0(document.win0,'EN_BOMINQ_WRK_BOM_COMPONENT_DISP$popup$46');" TargetMode="External"/><Relationship Id="rId67" Type="http://schemas.openxmlformats.org/officeDocument/2006/relationships/hyperlink" Target="javascript:submitAction_win0(document.win0,'EN_BOMINQ_WRK_BOM_COMPONENT_DISP$popup$67');" TargetMode="External"/><Relationship Id="rId116" Type="http://schemas.openxmlformats.org/officeDocument/2006/relationships/hyperlink" Target="javascript:submitAction_win0(document.win0,'EN_BOMINQ_WRK_BOM_COMPONENT_DISP$popup$116');" TargetMode="External"/><Relationship Id="rId137" Type="http://schemas.openxmlformats.org/officeDocument/2006/relationships/hyperlink" Target="javascript:submitAction_win0(document.win0,'EN_BOMINQ_WRK_BOM_COMPONENT_DISP$popup$137');" TargetMode="External"/><Relationship Id="rId158" Type="http://schemas.openxmlformats.org/officeDocument/2006/relationships/hyperlink" Target="javascript:submitAction_win0(document.win0,'EN_BOMINQ_WRK_BOM_COMPONENT_DISP$popup$158');" TargetMode="External"/><Relationship Id="rId272" Type="http://schemas.openxmlformats.org/officeDocument/2006/relationships/hyperlink" Target="javascript:submitAction_win0(document.win0,'EN_BOMINQ_WRK_BOM_COMPONENT_DISP$popup$272');" TargetMode="External"/><Relationship Id="rId293" Type="http://schemas.openxmlformats.org/officeDocument/2006/relationships/hyperlink" Target="javascript:submitAction_win0(document.win0,'EN_BOMINQ_WRK_BOM_COMPONENT_DISP$popup$293');" TargetMode="External"/><Relationship Id="rId302" Type="http://schemas.openxmlformats.org/officeDocument/2006/relationships/hyperlink" Target="javascript:submitAction_win0(document.win0,'EN_BOMINQ_WRK_BOM_COMPONENT_DISP$popup$302');" TargetMode="External"/><Relationship Id="rId20" Type="http://schemas.openxmlformats.org/officeDocument/2006/relationships/hyperlink" Target="javascript:submitAction_win0(document.win0,'EN_BOMINQ_WRK_BOM_COMPONENT_DISP$popup$20');" TargetMode="External"/><Relationship Id="rId41" Type="http://schemas.openxmlformats.org/officeDocument/2006/relationships/hyperlink" Target="javascript:submitAction_win0(document.win0,'EN_BOMINQ_WRK_BOM_COMPONENT_DISP$popup$41');" TargetMode="External"/><Relationship Id="rId62" Type="http://schemas.openxmlformats.org/officeDocument/2006/relationships/hyperlink" Target="javascript:submitAction_win0(document.win0,'EN_BOMINQ_WRK_BOM_COMPONENT_DISP$popup$62');" TargetMode="External"/><Relationship Id="rId83" Type="http://schemas.openxmlformats.org/officeDocument/2006/relationships/hyperlink" Target="javascript:submitAction_win0(document.win0,'EN_BOMINQ_WRK_BOM_COMPONENT_DISP$popup$83');" TargetMode="External"/><Relationship Id="rId88" Type="http://schemas.openxmlformats.org/officeDocument/2006/relationships/hyperlink" Target="javascript:submitAction_win0(document.win0,'EN_BOMINQ_WRK_BOM_COMPONENT_DISP$popup$88');" TargetMode="External"/><Relationship Id="rId111" Type="http://schemas.openxmlformats.org/officeDocument/2006/relationships/hyperlink" Target="javascript:submitAction_win0(document.win0,'EN_BOMINQ_WRK_BOM_COMPONENT_DISP$popup$111');" TargetMode="External"/><Relationship Id="rId132" Type="http://schemas.openxmlformats.org/officeDocument/2006/relationships/hyperlink" Target="javascript:submitAction_win0(document.win0,'EN_BOMINQ_WRK_BOM_COMPONENT_DISP$popup$132');" TargetMode="External"/><Relationship Id="rId153" Type="http://schemas.openxmlformats.org/officeDocument/2006/relationships/hyperlink" Target="javascript:submitAction_win0(document.win0,'EN_BOMINQ_WRK_BOM_COMPONENT_DISP$popup$153');" TargetMode="External"/><Relationship Id="rId174" Type="http://schemas.openxmlformats.org/officeDocument/2006/relationships/hyperlink" Target="javascript:submitAction_win0(document.win0,'EN_BOMINQ_WRK_BOM_COMPONENT_DISP$popup$174');" TargetMode="External"/><Relationship Id="rId179" Type="http://schemas.openxmlformats.org/officeDocument/2006/relationships/hyperlink" Target="javascript:submitAction_win0(document.win0,'EN_BOMINQ_WRK_BOM_COMPONENT_DISP$popup$179');" TargetMode="External"/><Relationship Id="rId195" Type="http://schemas.openxmlformats.org/officeDocument/2006/relationships/hyperlink" Target="javascript:submitAction_win0(document.win0,'EN_BOMINQ_WRK_BOM_COMPONENT_DISP$popup$195');" TargetMode="External"/><Relationship Id="rId209" Type="http://schemas.openxmlformats.org/officeDocument/2006/relationships/hyperlink" Target="javascript:submitAction_win0(document.win0,'EN_BOMINQ_WRK_BOM_COMPONENT_DISP$popup$209');" TargetMode="External"/><Relationship Id="rId190" Type="http://schemas.openxmlformats.org/officeDocument/2006/relationships/hyperlink" Target="javascript:submitAction_win0(document.win0,'EN_BOMINQ_WRK_BOM_COMPONENT_DISP$popup$190');" TargetMode="External"/><Relationship Id="rId204" Type="http://schemas.openxmlformats.org/officeDocument/2006/relationships/hyperlink" Target="javascript:submitAction_win0(document.win0,'EN_BOMINQ_WRK_BOM_COMPONENT_DISP$popup$204');" TargetMode="External"/><Relationship Id="rId220" Type="http://schemas.openxmlformats.org/officeDocument/2006/relationships/hyperlink" Target="javascript:submitAction_win0(document.win0,'EN_BOMINQ_WRK_BOM_COMPONENT_DISP$popup$220');" TargetMode="External"/><Relationship Id="rId225" Type="http://schemas.openxmlformats.org/officeDocument/2006/relationships/hyperlink" Target="javascript:submitAction_win0(document.win0,'EN_BOMINQ_WRK_BOM_COMPONENT_DISP$popup$225');" TargetMode="External"/><Relationship Id="rId241" Type="http://schemas.openxmlformats.org/officeDocument/2006/relationships/hyperlink" Target="javascript:submitAction_win0(document.win0,'EN_BOMINQ_WRK_BOM_COMPONENT_DISP$popup$241');" TargetMode="External"/><Relationship Id="rId246" Type="http://schemas.openxmlformats.org/officeDocument/2006/relationships/hyperlink" Target="javascript:submitAction_win0(document.win0,'EN_BOMINQ_WRK_BOM_COMPONENT_DISP$popup$246');" TargetMode="External"/><Relationship Id="rId267" Type="http://schemas.openxmlformats.org/officeDocument/2006/relationships/hyperlink" Target="javascript:submitAction_win0(document.win0,'EN_BOMINQ_WRK_BOM_COMPONENT_DISP$popup$267');" TargetMode="External"/><Relationship Id="rId288" Type="http://schemas.openxmlformats.org/officeDocument/2006/relationships/hyperlink" Target="javascript:submitAction_win0(document.win0,'EN_BOMINQ_WRK_BOM_COMPONENT_DISP$popup$288');" TargetMode="External"/><Relationship Id="rId15" Type="http://schemas.openxmlformats.org/officeDocument/2006/relationships/hyperlink" Target="javascript:submitAction_win0(document.win0,'EN_BOMINQ_WRK_BOM_COMPONENT_DISP$popup$15');" TargetMode="External"/><Relationship Id="rId36" Type="http://schemas.openxmlformats.org/officeDocument/2006/relationships/hyperlink" Target="javascript:submitAction_win0(document.win0,'EN_BOMINQ_WRK_BOM_COMPONENT_DISP$popup$36');" TargetMode="External"/><Relationship Id="rId57" Type="http://schemas.openxmlformats.org/officeDocument/2006/relationships/hyperlink" Target="javascript:submitAction_win0(document.win0,'EN_BOMINQ_WRK_BOM_COMPONENT_DISP$popup$57');" TargetMode="External"/><Relationship Id="rId106" Type="http://schemas.openxmlformats.org/officeDocument/2006/relationships/hyperlink" Target="javascript:submitAction_win0(document.win0,'EN_BOMINQ_WRK_BOM_COMPONENT_DISP$popup$106');" TargetMode="External"/><Relationship Id="rId127" Type="http://schemas.openxmlformats.org/officeDocument/2006/relationships/hyperlink" Target="javascript:submitAction_win0(document.win0,'EN_BOMINQ_WRK_BOM_COMPONENT_DISP$popup$127');" TargetMode="External"/><Relationship Id="rId262" Type="http://schemas.openxmlformats.org/officeDocument/2006/relationships/hyperlink" Target="javascript:submitAction_win0(document.win0,'EN_BOMINQ_WRK_BOM_COMPONENT_DISP$popup$262');" TargetMode="External"/><Relationship Id="rId283" Type="http://schemas.openxmlformats.org/officeDocument/2006/relationships/hyperlink" Target="javascript:submitAction_win0(document.win0,'EN_BOMINQ_WRK_BOM_COMPONENT_DISP$popup$283');" TargetMode="External"/><Relationship Id="rId10" Type="http://schemas.openxmlformats.org/officeDocument/2006/relationships/hyperlink" Target="javascript:submitAction_win0(document.win0,'EN_BOMINQ_WRK_BOM_COMPONENT_DISP$popup$10');" TargetMode="External"/><Relationship Id="rId31" Type="http://schemas.openxmlformats.org/officeDocument/2006/relationships/hyperlink" Target="javascript:submitAction_win0(document.win0,'EN_BOMINQ_WRK_BOM_COMPONENT_DISP$popup$31');" TargetMode="External"/><Relationship Id="rId52" Type="http://schemas.openxmlformats.org/officeDocument/2006/relationships/hyperlink" Target="javascript:submitAction_win0(document.win0,'EN_BOMINQ_WRK_BOM_COMPONENT_DISP$popup$52');" TargetMode="External"/><Relationship Id="rId73" Type="http://schemas.openxmlformats.org/officeDocument/2006/relationships/hyperlink" Target="javascript:submitAction_win0(document.win0,'EN_BOMINQ_WRK_BOM_COMPONENT_DISP$popup$73');" TargetMode="External"/><Relationship Id="rId78" Type="http://schemas.openxmlformats.org/officeDocument/2006/relationships/hyperlink" Target="javascript:submitAction_win0(document.win0,'EN_BOMINQ_WRK_BOM_COMPONENT_DISP$popup$78');" TargetMode="External"/><Relationship Id="rId94" Type="http://schemas.openxmlformats.org/officeDocument/2006/relationships/hyperlink" Target="javascript:submitAction_win0(document.win0,'EN_BOMINQ_WRK_BOM_COMPONENT_DISP$popup$94');" TargetMode="External"/><Relationship Id="rId99" Type="http://schemas.openxmlformats.org/officeDocument/2006/relationships/hyperlink" Target="javascript:submitAction_win0(document.win0,'EN_BOMINQ_WRK_BOM_COMPONENT_DISP$popup$99');" TargetMode="External"/><Relationship Id="rId101" Type="http://schemas.openxmlformats.org/officeDocument/2006/relationships/hyperlink" Target="javascript:submitAction_win0(document.win0,'EN_BOMINQ_WRK_BOM_COMPONENT_DISP$popup$101');" TargetMode="External"/><Relationship Id="rId122" Type="http://schemas.openxmlformats.org/officeDocument/2006/relationships/hyperlink" Target="javascript:submitAction_win0(document.win0,'EN_BOMINQ_WRK_BOM_COMPONENT_DISP$popup$122');" TargetMode="External"/><Relationship Id="rId143" Type="http://schemas.openxmlformats.org/officeDocument/2006/relationships/hyperlink" Target="javascript:submitAction_win0(document.win0,'EN_BOMINQ_WRK_BOM_COMPONENT_DISP$popup$143');" TargetMode="External"/><Relationship Id="rId148" Type="http://schemas.openxmlformats.org/officeDocument/2006/relationships/hyperlink" Target="javascript:submitAction_win0(document.win0,'EN_BOMINQ_WRK_BOM_COMPONENT_DISP$popup$148');" TargetMode="External"/><Relationship Id="rId164" Type="http://schemas.openxmlformats.org/officeDocument/2006/relationships/hyperlink" Target="javascript:submitAction_win0(document.win0,'EN_BOMINQ_WRK_BOM_COMPONENT_DISP$popup$164');" TargetMode="External"/><Relationship Id="rId169" Type="http://schemas.openxmlformats.org/officeDocument/2006/relationships/hyperlink" Target="javascript:submitAction_win0(document.win0,'EN_BOMINQ_WRK_BOM_COMPONENT_DISP$popup$169');" TargetMode="External"/><Relationship Id="rId185" Type="http://schemas.openxmlformats.org/officeDocument/2006/relationships/hyperlink" Target="javascript:submitAction_win0(document.win0,'EN_BOMINQ_WRK_BOM_COMPONENT_DISP$popup$185');" TargetMode="External"/><Relationship Id="rId4" Type="http://schemas.openxmlformats.org/officeDocument/2006/relationships/hyperlink" Target="javascript:submitAction_win0(document.win0,'EN_BOMINQ_WRK_BOM_COMPONENT_DISP$popup$4');" TargetMode="External"/><Relationship Id="rId9" Type="http://schemas.openxmlformats.org/officeDocument/2006/relationships/hyperlink" Target="javascript:submitAction_win0(document.win0,'EN_BOMINQ_WRK_BOM_COMPONENT_DISP$popup$9');" TargetMode="External"/><Relationship Id="rId180" Type="http://schemas.openxmlformats.org/officeDocument/2006/relationships/hyperlink" Target="javascript:submitAction_win0(document.win0,'EN_BOMINQ_WRK_BOM_COMPONENT_DISP$popup$180');" TargetMode="External"/><Relationship Id="rId210" Type="http://schemas.openxmlformats.org/officeDocument/2006/relationships/hyperlink" Target="javascript:submitAction_win0(document.win0,'EN_BOMINQ_WRK_BOM_COMPONENT_DISP$popup$210');" TargetMode="External"/><Relationship Id="rId215" Type="http://schemas.openxmlformats.org/officeDocument/2006/relationships/hyperlink" Target="javascript:submitAction_win0(document.win0,'EN_BOMINQ_WRK_BOM_COMPONENT_DISP$popup$215');" TargetMode="External"/><Relationship Id="rId236" Type="http://schemas.openxmlformats.org/officeDocument/2006/relationships/hyperlink" Target="javascript:submitAction_win0(document.win0,'EN_BOMINQ_WRK_BOM_COMPONENT_DISP$popup$236');" TargetMode="External"/><Relationship Id="rId257" Type="http://schemas.openxmlformats.org/officeDocument/2006/relationships/hyperlink" Target="javascript:submitAction_win0(document.win0,'EN_BOMINQ_WRK_BOM_COMPONENT_DISP$popup$257');" TargetMode="External"/><Relationship Id="rId278" Type="http://schemas.openxmlformats.org/officeDocument/2006/relationships/hyperlink" Target="javascript:submitAction_win0(document.win0,'EN_BOMINQ_WRK_BOM_COMPONENT_DISP$popup$278');" TargetMode="External"/><Relationship Id="rId26" Type="http://schemas.openxmlformats.org/officeDocument/2006/relationships/hyperlink" Target="javascript:submitAction_win0(document.win0,'EN_BOMINQ_WRK_BOM_COMPONENT_DISP$popup$26');" TargetMode="External"/><Relationship Id="rId231" Type="http://schemas.openxmlformats.org/officeDocument/2006/relationships/hyperlink" Target="javascript:submitAction_win0(document.win0,'EN_BOMINQ_WRK_BOM_COMPONENT_DISP$popup$231');" TargetMode="External"/><Relationship Id="rId252" Type="http://schemas.openxmlformats.org/officeDocument/2006/relationships/hyperlink" Target="javascript:submitAction_win0(document.win0,'EN_BOMINQ_WRK_BOM_COMPONENT_DISP$popup$252');" TargetMode="External"/><Relationship Id="rId273" Type="http://schemas.openxmlformats.org/officeDocument/2006/relationships/hyperlink" Target="javascript:submitAction_win0(document.win0,'EN_BOMINQ_WRK_BOM_COMPONENT_DISP$popup$273');" TargetMode="External"/><Relationship Id="rId294" Type="http://schemas.openxmlformats.org/officeDocument/2006/relationships/hyperlink" Target="javascript:submitAction_win0(document.win0,'EN_BOMINQ_WRK_BOM_COMPONENT_DISP$popup$294');" TargetMode="External"/><Relationship Id="rId47" Type="http://schemas.openxmlformats.org/officeDocument/2006/relationships/hyperlink" Target="javascript:submitAction_win0(document.win0,'EN_BOMINQ_WRK_BOM_COMPONENT_DISP$popup$47');" TargetMode="External"/><Relationship Id="rId68" Type="http://schemas.openxmlformats.org/officeDocument/2006/relationships/hyperlink" Target="javascript:submitAction_win0(document.win0,'EN_BOMINQ_WRK_BOM_COMPONENT_DISP$popup$68');" TargetMode="External"/><Relationship Id="rId89" Type="http://schemas.openxmlformats.org/officeDocument/2006/relationships/hyperlink" Target="javascript:submitAction_win0(document.win0,'EN_BOMINQ_WRK_BOM_COMPONENT_DISP$popup$89');" TargetMode="External"/><Relationship Id="rId112" Type="http://schemas.openxmlformats.org/officeDocument/2006/relationships/hyperlink" Target="javascript:submitAction_win0(document.win0,'EN_BOMINQ_WRK_BOM_COMPONENT_DISP$popup$112');" TargetMode="External"/><Relationship Id="rId133" Type="http://schemas.openxmlformats.org/officeDocument/2006/relationships/hyperlink" Target="javascript:submitAction_win0(document.win0,'EN_BOMINQ_WRK_BOM_COMPONENT_DISP$popup$133');" TargetMode="External"/><Relationship Id="rId154" Type="http://schemas.openxmlformats.org/officeDocument/2006/relationships/hyperlink" Target="javascript:submitAction_win0(document.win0,'EN_BOMINQ_WRK_BOM_COMPONENT_DISP$popup$154');" TargetMode="External"/><Relationship Id="rId175" Type="http://schemas.openxmlformats.org/officeDocument/2006/relationships/hyperlink" Target="javascript:submitAction_win0(document.win0,'EN_BOMINQ_WRK_BOM_COMPONENT_DISP$popup$175');" TargetMode="External"/><Relationship Id="rId196" Type="http://schemas.openxmlformats.org/officeDocument/2006/relationships/hyperlink" Target="javascript:submitAction_win0(document.win0,'EN_BOMINQ_WRK_BOM_COMPONENT_DISP$popup$196');" TargetMode="External"/><Relationship Id="rId200" Type="http://schemas.openxmlformats.org/officeDocument/2006/relationships/hyperlink" Target="javascript:submitAction_win0(document.win0,'EN_BOMINQ_WRK_BOM_COMPONENT_DISP$popup$200');" TargetMode="External"/><Relationship Id="rId16" Type="http://schemas.openxmlformats.org/officeDocument/2006/relationships/hyperlink" Target="javascript:submitAction_win0(document.win0,'EN_BOMINQ_WRK_BOM_COMPONENT_DISP$popup$16');" TargetMode="External"/><Relationship Id="rId221" Type="http://schemas.openxmlformats.org/officeDocument/2006/relationships/hyperlink" Target="javascript:submitAction_win0(document.win0,'EN_BOMINQ_WRK_BOM_COMPONENT_DISP$popup$221');" TargetMode="External"/><Relationship Id="rId242" Type="http://schemas.openxmlformats.org/officeDocument/2006/relationships/hyperlink" Target="javascript:submitAction_win0(document.win0,'EN_BOMINQ_WRK_BOM_COMPONENT_DISP$popup$242');" TargetMode="External"/><Relationship Id="rId263" Type="http://schemas.openxmlformats.org/officeDocument/2006/relationships/hyperlink" Target="javascript:submitAction_win0(document.win0,'EN_BOMINQ_WRK_BOM_COMPONENT_DISP$popup$263');" TargetMode="External"/><Relationship Id="rId284" Type="http://schemas.openxmlformats.org/officeDocument/2006/relationships/hyperlink" Target="javascript:submitAction_win0(document.win0,'EN_BOMINQ_WRK_BOM_COMPONENT_DISP$popup$284');" TargetMode="External"/><Relationship Id="rId37" Type="http://schemas.openxmlformats.org/officeDocument/2006/relationships/hyperlink" Target="javascript:submitAction_win0(document.win0,'EN_BOMINQ_WRK_BOM_COMPONENT_DISP$popup$37');" TargetMode="External"/><Relationship Id="rId58" Type="http://schemas.openxmlformats.org/officeDocument/2006/relationships/hyperlink" Target="javascript:submitAction_win0(document.win0,'EN_BOMINQ_WRK_BOM_COMPONENT_DISP$popup$58');" TargetMode="External"/><Relationship Id="rId79" Type="http://schemas.openxmlformats.org/officeDocument/2006/relationships/hyperlink" Target="javascript:submitAction_win0(document.win0,'EN_BOMINQ_WRK_BOM_COMPONENT_DISP$popup$79');" TargetMode="External"/><Relationship Id="rId102" Type="http://schemas.openxmlformats.org/officeDocument/2006/relationships/hyperlink" Target="javascript:submitAction_win0(document.win0,'EN_BOMINQ_WRK_BOM_COMPONENT_DISP$popup$102');" TargetMode="External"/><Relationship Id="rId123" Type="http://schemas.openxmlformats.org/officeDocument/2006/relationships/hyperlink" Target="javascript:submitAction_win0(document.win0,'EN_BOMINQ_WRK_BOM_COMPONENT_DISP$popup$123');" TargetMode="External"/><Relationship Id="rId144" Type="http://schemas.openxmlformats.org/officeDocument/2006/relationships/hyperlink" Target="javascript:submitAction_win0(document.win0,'EN_BOMINQ_WRK_BOM_COMPONENT_DISP$popup$144');" TargetMode="External"/><Relationship Id="rId90" Type="http://schemas.openxmlformats.org/officeDocument/2006/relationships/hyperlink" Target="javascript:submitAction_win0(document.win0,'EN_BOMINQ_WRK_BOM_COMPONENT_DISP$popup$90');" TargetMode="External"/><Relationship Id="rId165" Type="http://schemas.openxmlformats.org/officeDocument/2006/relationships/hyperlink" Target="javascript:submitAction_win0(document.win0,'EN_BOMINQ_WRK_BOM_COMPONENT_DISP$popup$165');" TargetMode="External"/><Relationship Id="rId186" Type="http://schemas.openxmlformats.org/officeDocument/2006/relationships/hyperlink" Target="javascript:submitAction_win0(document.win0,'EN_BOMINQ_WRK_BOM_COMPONENT_DISP$popup$186');" TargetMode="External"/><Relationship Id="rId211" Type="http://schemas.openxmlformats.org/officeDocument/2006/relationships/hyperlink" Target="javascript:submitAction_win0(document.win0,'EN_BOMINQ_WRK_BOM_COMPONENT_DISP$popup$211');" TargetMode="External"/><Relationship Id="rId232" Type="http://schemas.openxmlformats.org/officeDocument/2006/relationships/hyperlink" Target="javascript:submitAction_win0(document.win0,'EN_BOMINQ_WRK_BOM_COMPONENT_DISP$popup$232');" TargetMode="External"/><Relationship Id="rId253" Type="http://schemas.openxmlformats.org/officeDocument/2006/relationships/hyperlink" Target="javascript:submitAction_win0(document.win0,'EN_BOMINQ_WRK_BOM_COMPONENT_DISP$popup$253');" TargetMode="External"/><Relationship Id="rId274" Type="http://schemas.openxmlformats.org/officeDocument/2006/relationships/hyperlink" Target="javascript:submitAction_win0(document.win0,'EN_BOMINQ_WRK_BOM_COMPONENT_DISP$popup$274');" TargetMode="External"/><Relationship Id="rId295" Type="http://schemas.openxmlformats.org/officeDocument/2006/relationships/hyperlink" Target="javascript:submitAction_win0(document.win0,'EN_BOMINQ_WRK_BOM_COMPONENT_DISP$popup$295');" TargetMode="External"/><Relationship Id="rId27" Type="http://schemas.openxmlformats.org/officeDocument/2006/relationships/hyperlink" Target="javascript:submitAction_win0(document.win0,'EN_BOMINQ_WRK_BOM_COMPONENT_DISP$popup$27');" TargetMode="External"/><Relationship Id="rId48" Type="http://schemas.openxmlformats.org/officeDocument/2006/relationships/hyperlink" Target="javascript:submitAction_win0(document.win0,'EN_BOMINQ_WRK_BOM_COMPONENT_DISP$popup$48');" TargetMode="External"/><Relationship Id="rId69" Type="http://schemas.openxmlformats.org/officeDocument/2006/relationships/hyperlink" Target="javascript:submitAction_win0(document.win0,'EN_BOMINQ_WRK_BOM_COMPONENT_DISP$popup$69');" TargetMode="External"/><Relationship Id="rId113" Type="http://schemas.openxmlformats.org/officeDocument/2006/relationships/hyperlink" Target="javascript:submitAction_win0(document.win0,'EN_BOMINQ_WRK_BOM_COMPONENT_DISP$popup$113');" TargetMode="External"/><Relationship Id="rId134" Type="http://schemas.openxmlformats.org/officeDocument/2006/relationships/hyperlink" Target="javascript:submitAction_win0(document.win0,'EN_BOMINQ_WRK_BOM_COMPONENT_DISP$popup$134');" TargetMode="External"/><Relationship Id="rId80" Type="http://schemas.openxmlformats.org/officeDocument/2006/relationships/hyperlink" Target="javascript:submitAction_win0(document.win0,'EN_BOMINQ_WRK_BOM_COMPONENT_DISP$popup$80');" TargetMode="External"/><Relationship Id="rId155" Type="http://schemas.openxmlformats.org/officeDocument/2006/relationships/hyperlink" Target="javascript:submitAction_win0(document.win0,'EN_BOMINQ_WRK_BOM_COMPONENT_DISP$popup$155');" TargetMode="External"/><Relationship Id="rId176" Type="http://schemas.openxmlformats.org/officeDocument/2006/relationships/hyperlink" Target="javascript:submitAction_win0(document.win0,'EN_BOMINQ_WRK_BOM_COMPONENT_DISP$popup$176');" TargetMode="External"/><Relationship Id="rId197" Type="http://schemas.openxmlformats.org/officeDocument/2006/relationships/hyperlink" Target="javascript:submitAction_win0(document.win0,'EN_BOMINQ_WRK_BOM_COMPONENT_DISP$popup$197');" TargetMode="External"/><Relationship Id="rId201" Type="http://schemas.openxmlformats.org/officeDocument/2006/relationships/hyperlink" Target="javascript:submitAction_win0(document.win0,'EN_BOMINQ_WRK_BOM_COMPONENT_DISP$popup$201');" TargetMode="External"/><Relationship Id="rId222" Type="http://schemas.openxmlformats.org/officeDocument/2006/relationships/hyperlink" Target="javascript:submitAction_win0(document.win0,'EN_BOMINQ_WRK_BOM_COMPONENT_DISP$popup$222');" TargetMode="External"/><Relationship Id="rId243" Type="http://schemas.openxmlformats.org/officeDocument/2006/relationships/hyperlink" Target="javascript:submitAction_win0(document.win0,'EN_BOMINQ_WRK_BOM_COMPONENT_DISP$popup$243');" TargetMode="External"/><Relationship Id="rId264" Type="http://schemas.openxmlformats.org/officeDocument/2006/relationships/hyperlink" Target="javascript:submitAction_win0(document.win0,'EN_BOMINQ_WRK_BOM_COMPONENT_DISP$popup$264');" TargetMode="External"/><Relationship Id="rId285" Type="http://schemas.openxmlformats.org/officeDocument/2006/relationships/hyperlink" Target="javascript:submitAction_win0(document.win0,'EN_BOMINQ_WRK_BOM_COMPONENT_DISP$popup$285');" TargetMode="External"/><Relationship Id="rId17" Type="http://schemas.openxmlformats.org/officeDocument/2006/relationships/hyperlink" Target="javascript:submitAction_win0(document.win0,'EN_BOMINQ_WRK_BOM_COMPONENT_DISP$popup$17');" TargetMode="External"/><Relationship Id="rId38" Type="http://schemas.openxmlformats.org/officeDocument/2006/relationships/hyperlink" Target="javascript:submitAction_win0(document.win0,'EN_BOMINQ_WRK_BOM_COMPONENT_DISP$popup$38');" TargetMode="External"/><Relationship Id="rId59" Type="http://schemas.openxmlformats.org/officeDocument/2006/relationships/hyperlink" Target="javascript:submitAction_win0(document.win0,'EN_BOMINQ_WRK_BOM_COMPONENT_DISP$popup$59');" TargetMode="External"/><Relationship Id="rId103" Type="http://schemas.openxmlformats.org/officeDocument/2006/relationships/hyperlink" Target="javascript:submitAction_win0(document.win0,'EN_BOMINQ_WRK_BOM_COMPONENT_DISP$popup$103');" TargetMode="External"/><Relationship Id="rId124" Type="http://schemas.openxmlformats.org/officeDocument/2006/relationships/hyperlink" Target="javascript:submitAction_win0(document.win0,'EN_BOMINQ_WRK_BOM_COMPONENT_DISP$popup$124');" TargetMode="External"/><Relationship Id="rId70" Type="http://schemas.openxmlformats.org/officeDocument/2006/relationships/hyperlink" Target="javascript:submitAction_win0(document.win0,'EN_BOMINQ_WRK_BOM_COMPONENT_DISP$popup$70');" TargetMode="External"/><Relationship Id="rId91" Type="http://schemas.openxmlformats.org/officeDocument/2006/relationships/hyperlink" Target="javascript:submitAction_win0(document.win0,'EN_BOMINQ_WRK_BOM_COMPONENT_DISP$popup$91');" TargetMode="External"/><Relationship Id="rId145" Type="http://schemas.openxmlformats.org/officeDocument/2006/relationships/hyperlink" Target="javascript:submitAction_win0(document.win0,'EN_BOMINQ_WRK_BOM_COMPONENT_DISP$popup$145');" TargetMode="External"/><Relationship Id="rId166" Type="http://schemas.openxmlformats.org/officeDocument/2006/relationships/hyperlink" Target="javascript:submitAction_win0(document.win0,'EN_BOMINQ_WRK_BOM_COMPONENT_DISP$popup$166');" TargetMode="External"/><Relationship Id="rId187" Type="http://schemas.openxmlformats.org/officeDocument/2006/relationships/hyperlink" Target="javascript:submitAction_win0(document.win0,'EN_BOMINQ_WRK_BOM_COMPONENT_DISP$popup$187');" TargetMode="External"/><Relationship Id="rId1" Type="http://schemas.openxmlformats.org/officeDocument/2006/relationships/hyperlink" Target="javascript:submitAction_win0(document.win0,'EN_BOMINQ_WRK_BOM_COMPONENT_DISP$popup$1');" TargetMode="External"/><Relationship Id="rId212" Type="http://schemas.openxmlformats.org/officeDocument/2006/relationships/hyperlink" Target="javascript:submitAction_win0(document.win0,'EN_BOMINQ_WRK_BOM_COMPONENT_DISP$popup$212');" TargetMode="External"/><Relationship Id="rId233" Type="http://schemas.openxmlformats.org/officeDocument/2006/relationships/hyperlink" Target="javascript:submitAction_win0(document.win0,'EN_BOMINQ_WRK_BOM_COMPONENT_DISP$popup$233');" TargetMode="External"/><Relationship Id="rId254" Type="http://schemas.openxmlformats.org/officeDocument/2006/relationships/hyperlink" Target="javascript:submitAction_win0(document.win0,'EN_BOMINQ_WRK_BOM_COMPONENT_DISP$popup$254');" TargetMode="External"/><Relationship Id="rId28" Type="http://schemas.openxmlformats.org/officeDocument/2006/relationships/hyperlink" Target="javascript:submitAction_win0(document.win0,'EN_BOMINQ_WRK_BOM_COMPONENT_DISP$popup$28');" TargetMode="External"/><Relationship Id="rId49" Type="http://schemas.openxmlformats.org/officeDocument/2006/relationships/hyperlink" Target="javascript:submitAction_win0(document.win0,'EN_BOMINQ_WRK_BOM_COMPONENT_DISP$popup$49');" TargetMode="External"/><Relationship Id="rId114" Type="http://schemas.openxmlformats.org/officeDocument/2006/relationships/hyperlink" Target="javascript:submitAction_win0(document.win0,'EN_BOMINQ_WRK_BOM_COMPONENT_DISP$popup$114');" TargetMode="External"/><Relationship Id="rId275" Type="http://schemas.openxmlformats.org/officeDocument/2006/relationships/hyperlink" Target="javascript:submitAction_win0(document.win0,'EN_BOMINQ_WRK_BOM_COMPONENT_DISP$popup$275');" TargetMode="External"/><Relationship Id="rId296" Type="http://schemas.openxmlformats.org/officeDocument/2006/relationships/hyperlink" Target="javascript:submitAction_win0(document.win0,'EN_BOMINQ_WRK_BOM_COMPONENT_DISP$popup$296');" TargetMode="External"/><Relationship Id="rId300" Type="http://schemas.openxmlformats.org/officeDocument/2006/relationships/hyperlink" Target="javascript:submitAction_win0(document.win0,'EN_BOMINQ_WRK_BOM_COMPONENT_DISP$popup$300');" TargetMode="External"/><Relationship Id="rId60" Type="http://schemas.openxmlformats.org/officeDocument/2006/relationships/hyperlink" Target="javascript:submitAction_win0(document.win0,'EN_BOMINQ_WRK_BOM_COMPONENT_DISP$popup$60');" TargetMode="External"/><Relationship Id="rId81" Type="http://schemas.openxmlformats.org/officeDocument/2006/relationships/hyperlink" Target="javascript:submitAction_win0(document.win0,'EN_BOMINQ_WRK_BOM_COMPONENT_DISP$popup$81');" TargetMode="External"/><Relationship Id="rId135" Type="http://schemas.openxmlformats.org/officeDocument/2006/relationships/hyperlink" Target="javascript:submitAction_win0(document.win0,'EN_BOMINQ_WRK_BOM_COMPONENT_DISP$popup$135');" TargetMode="External"/><Relationship Id="rId156" Type="http://schemas.openxmlformats.org/officeDocument/2006/relationships/hyperlink" Target="javascript:submitAction_win0(document.win0,'EN_BOMINQ_WRK_BOM_COMPONENT_DISP$popup$156');" TargetMode="External"/><Relationship Id="rId177" Type="http://schemas.openxmlformats.org/officeDocument/2006/relationships/hyperlink" Target="javascript:submitAction_win0(document.win0,'EN_BOMINQ_WRK_BOM_COMPONENT_DISP$popup$177');" TargetMode="External"/><Relationship Id="rId198" Type="http://schemas.openxmlformats.org/officeDocument/2006/relationships/hyperlink" Target="javascript:submitAction_win0(document.win0,'EN_BOMINQ_WRK_BOM_COMPONENT_DISP$popup$198');" TargetMode="External"/><Relationship Id="rId202" Type="http://schemas.openxmlformats.org/officeDocument/2006/relationships/hyperlink" Target="javascript:submitAction_win0(document.win0,'EN_BOMINQ_WRK_BOM_COMPONENT_DISP$popup$202');" TargetMode="External"/><Relationship Id="rId223" Type="http://schemas.openxmlformats.org/officeDocument/2006/relationships/hyperlink" Target="javascript:submitAction_win0(document.win0,'EN_BOMINQ_WRK_BOM_COMPONENT_DISP$popup$223');" TargetMode="External"/><Relationship Id="rId244" Type="http://schemas.openxmlformats.org/officeDocument/2006/relationships/hyperlink" Target="javascript:submitAction_win0(document.win0,'EN_BOMINQ_WRK_BOM_COMPONENT_DISP$popup$244');" TargetMode="External"/><Relationship Id="rId18" Type="http://schemas.openxmlformats.org/officeDocument/2006/relationships/hyperlink" Target="javascript:submitAction_win0(document.win0,'EN_BOMINQ_WRK_BOM_COMPONENT_DISP$popup$18');" TargetMode="External"/><Relationship Id="rId39" Type="http://schemas.openxmlformats.org/officeDocument/2006/relationships/hyperlink" Target="javascript:submitAction_win0(document.win0,'EN_BOMINQ_WRK_BOM_COMPONENT_DISP$popup$39');" TargetMode="External"/><Relationship Id="rId265" Type="http://schemas.openxmlformats.org/officeDocument/2006/relationships/hyperlink" Target="javascript:submitAction_win0(document.win0,'EN_BOMINQ_WRK_BOM_COMPONENT_DISP$popup$265');" TargetMode="External"/><Relationship Id="rId286" Type="http://schemas.openxmlformats.org/officeDocument/2006/relationships/hyperlink" Target="javascript:submitAction_win0(document.win0,'EN_BOMINQ_WRK_BOM_COMPONENT_DISP$popup$286');" TargetMode="External"/><Relationship Id="rId50" Type="http://schemas.openxmlformats.org/officeDocument/2006/relationships/hyperlink" Target="javascript:submitAction_win0(document.win0,'EN_BOMINQ_WRK_BOM_COMPONENT_DISP$popup$50');" TargetMode="External"/><Relationship Id="rId104" Type="http://schemas.openxmlformats.org/officeDocument/2006/relationships/hyperlink" Target="javascript:submitAction_win0(document.win0,'EN_BOMINQ_WRK_BOM_COMPONENT_DISP$popup$104');" TargetMode="External"/><Relationship Id="rId125" Type="http://schemas.openxmlformats.org/officeDocument/2006/relationships/hyperlink" Target="javascript:submitAction_win0(document.win0,'EN_BOMINQ_WRK_BOM_COMPONENT_DISP$popup$125');" TargetMode="External"/><Relationship Id="rId146" Type="http://schemas.openxmlformats.org/officeDocument/2006/relationships/hyperlink" Target="javascript:submitAction_win0(document.win0,'EN_BOMINQ_WRK_BOM_COMPONENT_DISP$popup$146');" TargetMode="External"/><Relationship Id="rId167" Type="http://schemas.openxmlformats.org/officeDocument/2006/relationships/hyperlink" Target="javascript:submitAction_win0(document.win0,'EN_BOMINQ_WRK_BOM_COMPONENT_DISP$popup$167');" TargetMode="External"/><Relationship Id="rId188" Type="http://schemas.openxmlformats.org/officeDocument/2006/relationships/hyperlink" Target="javascript:submitAction_win0(document.win0,'EN_BOMINQ_WRK_BOM_COMPONENT_DISP$popup$188');" TargetMode="External"/><Relationship Id="rId71" Type="http://schemas.openxmlformats.org/officeDocument/2006/relationships/hyperlink" Target="javascript:submitAction_win0(document.win0,'EN_BOMINQ_WRK_BOM_COMPONENT_DISP$popup$71');" TargetMode="External"/><Relationship Id="rId92" Type="http://schemas.openxmlformats.org/officeDocument/2006/relationships/hyperlink" Target="javascript:submitAction_win0(document.win0,'EN_BOMINQ_WRK_BOM_COMPONENT_DISP$popup$92');" TargetMode="External"/><Relationship Id="rId213" Type="http://schemas.openxmlformats.org/officeDocument/2006/relationships/hyperlink" Target="javascript:submitAction_win0(document.win0,'EN_BOMINQ_WRK_BOM_COMPONENT_DISP$popup$213');" TargetMode="External"/><Relationship Id="rId234" Type="http://schemas.openxmlformats.org/officeDocument/2006/relationships/hyperlink" Target="javascript:submitAction_win0(document.win0,'EN_BOMINQ_WRK_BOM_COMPONENT_DISP$popup$234');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24588" name="AutoShape 12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DCD30A-64B1-07C1-3402-3BA753DE095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24589" name="AutoShape 1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9A7B53-FB62-7989-2613-F39048DBE61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24590" name="AutoShape 1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7E1695-3CF6-EDC1-B77A-2111958550E5}"/>
            </a:ext>
          </a:extLst>
        </xdr:cNvPr>
        <xdr:cNvSpPr>
          <a:spLocks noChangeAspect="1" noChangeArrowheads="1"/>
        </xdr:cNvSpPr>
      </xdr:nvSpPr>
      <xdr:spPr bwMode="auto">
        <a:xfrm>
          <a:off x="3514725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24591" name="AutoShape 1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6898458-0320-080C-50B6-53D7E605D9B0}"/>
            </a:ext>
          </a:extLst>
        </xdr:cNvPr>
        <xdr:cNvSpPr>
          <a:spLocks noChangeAspect="1" noChangeArrowheads="1"/>
        </xdr:cNvSpPr>
      </xdr:nvSpPr>
      <xdr:spPr bwMode="auto">
        <a:xfrm>
          <a:off x="3514725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24592" name="AutoShape 1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0B57E8-74E5-73F5-9B66-08021DC1DBF9}"/>
            </a:ext>
          </a:extLst>
        </xdr:cNvPr>
        <xdr:cNvSpPr>
          <a:spLocks noChangeAspect="1" noChangeArrowheads="1"/>
        </xdr:cNvSpPr>
      </xdr:nvSpPr>
      <xdr:spPr bwMode="auto">
        <a:xfrm>
          <a:off x="3514725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24593" name="AutoShape 1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5152A1C-A510-B5A9-EBA6-D3542487F6CD}"/>
            </a:ext>
          </a:extLst>
        </xdr:cNvPr>
        <xdr:cNvSpPr>
          <a:spLocks noChangeAspect="1" noChangeArrowheads="1"/>
        </xdr:cNvSpPr>
      </xdr:nvSpPr>
      <xdr:spPr bwMode="auto">
        <a:xfrm>
          <a:off x="35147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24594" name="AutoShape 1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BEEDC-214A-28A7-E3D2-9344343A048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24595" name="AutoShape 1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A9523B0-A58C-A2AF-C161-3803D5CC46FA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24596" name="AutoShape 2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BDE7F2B-D66B-1C0B-229C-EADC559F08DF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24597" name="AutoShape 2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44F937C-D4C2-3774-76F4-6925B32F6DCC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24598" name="AutoShape 22">
          <a:extLst>
            <a:ext uri="{FF2B5EF4-FFF2-40B4-BE49-F238E27FC236}">
              <a16:creationId xmlns:a16="http://schemas.microsoft.com/office/drawing/2014/main" id="{47D26E66-AE29-BA6E-4F92-329939D1D718}"/>
            </a:ext>
          </a:extLst>
        </xdr:cNvPr>
        <xdr:cNvSpPr>
          <a:spLocks noChangeAspect="1" noChangeArrowheads="1"/>
        </xdr:cNvSpPr>
      </xdr:nvSpPr>
      <xdr:spPr bwMode="auto">
        <a:xfrm>
          <a:off x="352901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22" name="AutoShape 1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515352-4D94-84CD-E31A-49FF721974DC}"/>
            </a:ext>
          </a:extLst>
        </xdr:cNvPr>
        <xdr:cNvSpPr>
          <a:spLocks noChangeAspect="1" noChangeArrowheads="1"/>
        </xdr:cNvSpPr>
      </xdr:nvSpPr>
      <xdr:spPr bwMode="auto">
        <a:xfrm>
          <a:off x="2943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23" name="AutoShape 1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FF9E36-9900-3D5F-AB87-E3384480DAB9}"/>
            </a:ext>
          </a:extLst>
        </xdr:cNvPr>
        <xdr:cNvSpPr>
          <a:spLocks noChangeAspect="1" noChangeArrowheads="1"/>
        </xdr:cNvSpPr>
      </xdr:nvSpPr>
      <xdr:spPr bwMode="auto">
        <a:xfrm>
          <a:off x="2943225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24" name="AutoShape 1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55C7FF-C194-50C9-99DA-F19A1486B4B3}"/>
            </a:ext>
          </a:extLst>
        </xdr:cNvPr>
        <xdr:cNvSpPr>
          <a:spLocks noChangeAspect="1" noChangeArrowheads="1"/>
        </xdr:cNvSpPr>
      </xdr:nvSpPr>
      <xdr:spPr bwMode="auto">
        <a:xfrm>
          <a:off x="2943225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25" name="AutoShape 1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23BF4DE-23E5-47EC-186E-C7FBE3E46DE0}"/>
            </a:ext>
          </a:extLst>
        </xdr:cNvPr>
        <xdr:cNvSpPr>
          <a:spLocks noChangeAspect="1" noChangeArrowheads="1"/>
        </xdr:cNvSpPr>
      </xdr:nvSpPr>
      <xdr:spPr bwMode="auto">
        <a:xfrm>
          <a:off x="2943225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26" name="AutoShape 1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A27F45-0406-585F-87C0-186CA1667693}"/>
            </a:ext>
          </a:extLst>
        </xdr:cNvPr>
        <xdr:cNvSpPr>
          <a:spLocks noChangeAspect="1" noChangeArrowheads="1"/>
        </xdr:cNvSpPr>
      </xdr:nvSpPr>
      <xdr:spPr bwMode="auto">
        <a:xfrm>
          <a:off x="2943225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27" name="AutoShape 1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635BF0D-53FB-A9FF-CEF6-E2F6486BC4AF}"/>
            </a:ext>
          </a:extLst>
        </xdr:cNvPr>
        <xdr:cNvSpPr>
          <a:spLocks noChangeAspect="1" noChangeArrowheads="1"/>
        </xdr:cNvSpPr>
      </xdr:nvSpPr>
      <xdr:spPr bwMode="auto">
        <a:xfrm>
          <a:off x="2943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28" name="AutoShape 1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C93DBB5-6153-0E8A-477D-3AD63C6ED4E5}"/>
            </a:ext>
          </a:extLst>
        </xdr:cNvPr>
        <xdr:cNvSpPr>
          <a:spLocks noChangeAspect="1" noChangeArrowheads="1"/>
        </xdr:cNvSpPr>
      </xdr:nvSpPr>
      <xdr:spPr bwMode="auto">
        <a:xfrm>
          <a:off x="2943225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29" name="AutoShape 1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6EFB5F7-661F-80F7-3016-60F8A3C30DDE}"/>
            </a:ext>
          </a:extLst>
        </xdr:cNvPr>
        <xdr:cNvSpPr>
          <a:spLocks noChangeAspect="1" noChangeArrowheads="1"/>
        </xdr:cNvSpPr>
      </xdr:nvSpPr>
      <xdr:spPr bwMode="auto">
        <a:xfrm>
          <a:off x="2943225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859FF9CD-C6F7-122F-0A02-F3C32E7637E7}"/>
            </a:ext>
          </a:extLst>
        </xdr:cNvPr>
        <xdr:cNvSpPr>
          <a:spLocks noChangeAspect="1" noChangeArrowheads="1"/>
        </xdr:cNvSpPr>
      </xdr:nvSpPr>
      <xdr:spPr bwMode="auto">
        <a:xfrm>
          <a:off x="215169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31" name="AutoShape 1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EE7AD-4D36-9528-E559-27AD7207CC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32" name="AutoShape 2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EC24B0-96A0-5554-8CAE-6E6F4DCC59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33" name="AutoShape 2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9CBC7B-A237-B3EC-9822-6B927AB82E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34" name="AutoShape 2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AC8B1D0-A518-E518-E85D-1DE0F7E702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35" name="AutoShape 2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22D9BF-04E0-2F8A-8D15-A646ADEFE7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36" name="AutoShape 2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3B3E78A-A45A-7F64-57EC-B637B35D4EE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37" name="AutoShape 2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6FAA07C-63C5-4F98-03F0-7FC779BA869A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38" name="AutoShape 2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D76324-B1A1-8ABA-DA12-43F6DE3D0E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339" name="AutoShape 2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F58F4EE-4FB8-5E70-3FCC-38667835B0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378D1638-D271-7304-90D9-21721FF914A8}"/>
            </a:ext>
          </a:extLst>
        </xdr:cNvPr>
        <xdr:cNvSpPr>
          <a:spLocks noChangeAspect="1" noChangeArrowheads="1"/>
        </xdr:cNvSpPr>
      </xdr:nvSpPr>
      <xdr:spPr bwMode="auto">
        <a:xfrm>
          <a:off x="98774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41" name="AutoShape 2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1B183A-42A2-F668-DE1D-1F9C047E17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42" name="AutoShape 3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BCAAD3-9E79-8CAD-6386-202905FE2C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43" name="AutoShape 3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58703C-E688-96B7-9299-489C63B34B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44" name="AutoShape 3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E454175-8060-79F5-3E66-26A420188E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45" name="AutoShape 3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83CB59-5E5F-1D1F-32AD-CDFE3A8B02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46" name="AutoShape 3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6971905-AA2C-A84C-FC6C-581D0BB5BD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47" name="AutoShape 3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CC00578-33EC-656D-808D-841E74DD9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48" name="AutoShape 3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C76FEC3-A69B-FCC4-B7C0-452C59B49D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349" name="AutoShape 3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84ED203-E2CC-FBEE-B76E-3C5CA6FF31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350" name="AutoShape 38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93CCD1F-85FB-0C6F-94C3-0AC1BC1BC6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351" name="AutoShape 39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6BB6042-9135-A83A-5B81-BFE301D290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352" name="AutoShape 40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59A568E-66DC-7049-F763-A12B3C76A8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353" name="AutoShape 41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F8B889B-57C7-C0C1-5886-768011824F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354" name="AutoShape 42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7AE8124A-DBAD-8FA3-62AC-935C4244C66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355" name="AutoShape 43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C728FA-2460-D54B-B7EF-7D1772C667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356" name="AutoShape 44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D22E523-D292-AEFE-0003-86DAAF2C58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357" name="AutoShape 45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DE0FF12-E8BE-0C79-4B19-ED9AFD5250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358" name="AutoShape 46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45B3387-52A3-A06A-1624-6E2800B6E5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359" name="AutoShape 47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FAD1A0B-1573-E41B-6F0B-FCF48513254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360" name="AutoShape 48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06AF6C3-0823-31AB-8A4B-8D512100DB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361" name="AutoShape 49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445788F-D66B-5D4C-7848-5B45662327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362" name="AutoShape 50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24FE91C-1E9D-3B2E-2935-05F3964234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363" name="AutoShape 51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09AC216-98CF-9E80-0850-14A02EAB40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364" name="AutoShape 52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8929CC1A-2358-2D12-89C5-7A473B078A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365" name="AutoShape 53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961B8707-B1E7-2325-7C67-74F2E23A57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366" name="AutoShape 54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5D2727B-9E6C-4897-47A5-F4A4D356AC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367" name="AutoShape 55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9FB0131-6DFD-10F8-2046-C4CD456560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368" name="AutoShape 56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6B9A72C-CC1A-E9D7-76C3-A46E54C5AC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369" name="AutoShape 57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60B7258B-0920-335B-AAD1-FD9A54D9F6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370" name="AutoShape 58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1A28BB0E-FD0A-FA1B-95ED-C79AC5EA7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371" name="AutoShape 59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AFAD470-00C2-56D3-AC61-669C36232A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372" name="AutoShape 60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89F26CF5-4232-AA60-8F96-B6B8FC9127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373" name="AutoShape 61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FE4A27C2-10F9-FEA2-4E4A-BC45FF5CCB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374" name="AutoShape 62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FF78ED6-0B89-70DA-1024-9874808D10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375" name="AutoShape 63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741278C4-E330-F780-3C22-A384B216E7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376" name="AutoShape 64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C6BEF51-0B12-9427-5E54-7E489C2956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377" name="AutoShape 65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0E3FD39-AD83-C93A-E3F0-B4F399DF36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378" name="AutoShape 66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546EE18C-37E3-F8EF-C082-4A5538DF85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379" name="AutoShape 67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2471238D-5987-66F5-2E9E-7595BDC9E66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380" name="AutoShape 68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60BAA0A3-7FAF-2861-CE10-EEF98FDA4E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381" name="AutoShape 69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B8E44064-68FC-887D-2ED0-147BBA8BF2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382" name="AutoShape 70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15F8C55-7B96-3FDD-8D43-8B70005688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383" name="AutoShape 71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6C7971E-94E0-7943-E452-EF10310743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384" name="AutoShape 72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7CF0864-5E56-A0EB-AB1A-9D7A330239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385" name="AutoShape 73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B5FAB1B3-8054-5E45-6822-8E254BD7C4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386" name="AutoShape 74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E83674AD-E33F-A74B-AE04-490113BA98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387" name="AutoShape 75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5EC9FF6-B85E-F10D-FAA1-DE908A71A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388" name="AutoShape 76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BDD69A-0D0E-6146-716E-8264768106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389" name="AutoShape 77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296766CF-94C1-46AF-C463-C283F9D685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390" name="AutoShape 78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9EA10099-DC93-30E4-E313-3250EB7DD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391" name="AutoShape 79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4D7EB86-2DEA-69F0-8888-3A0001CDA5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392" name="AutoShape 80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B90D767D-65A9-E97B-C709-0384B8B586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393" name="AutoShape 81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79FDC903-FBED-2A52-CA33-D8F74DB49284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394" name="AutoShape 82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572829BA-BF8C-886F-05BF-39C20E06C6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395" name="AutoShape 83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DF99190D-365D-94A5-3EF0-18F3D22CF5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396" name="AutoShape 84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502E0E3-97DF-CC4B-ADA2-8FE97539CE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397" name="AutoShape 85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3D0161C5-83C5-3638-244B-A90630C65A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398" name="AutoShape 86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671351C2-A3E2-FB89-8039-C1FC81C721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399" name="AutoShape 87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D06743D-1B35-FB31-FB74-A33169BB2B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400" name="AutoShape 88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96BE723D-9BC3-E649-7601-E15FD24ECF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401" name="AutoShape 89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8474D458-0F0B-073D-21B8-0DEAF3FD40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402" name="AutoShape 90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41C9FB8C-3963-19E3-2E31-2867F6CCE5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403" name="AutoShape 91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87A2420D-967D-C445-C1E8-65815F84259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404" name="AutoShape 92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244DEC61-AF5B-B530-566F-F56B851ED7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405" name="AutoShape 93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633EC0A1-0A47-9EBA-D588-5E5625CF7A1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406" name="AutoShape 94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C0DEB1C2-D3AB-A118-EBD2-66118E7D09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407" name="AutoShape 95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8B48DB50-6DE6-EFBF-ADC7-A5C0E57267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408" name="AutoShape 96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A067A458-795C-1C39-732B-ABF785EAA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3409" name="AutoShape 97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6DBD87D3-2EA8-17AD-4393-A6D1ACCE61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3410" name="AutoShape 98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D4772B4E-BDA4-677C-FF6A-E532A5F8D8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3411" name="AutoShape 99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BECCFA9-2FAB-9EBF-2DAC-D4FE3906F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3412" name="AutoShape 100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7A7A104C-4F5B-ED09-9241-2B0377FEA7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3413" name="AutoShape 101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6501901D-7C4F-4E5B-88C8-9A596B83E9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3414" name="AutoShape 102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6FF80633-EBDA-1E40-1CBC-48BA7205F7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3415" name="AutoShape 103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3B8FF596-3CC5-5412-44D0-4A8D50D0F1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3416" name="AutoShape 104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47C405EF-6960-E2BF-7517-5D7385320A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3417" name="AutoShape 105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AD0AD5D9-9B50-0600-75C8-76DAA05585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3418" name="AutoShape 106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BEAF9505-D4D1-33E5-9CCA-6D2D93D99D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3419" name="AutoShape 107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D7C02BF1-674C-E700-C9EB-039FAB7D71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3420" name="AutoShape 108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D0AE8109-B090-8547-A3E7-77F7F0C82EB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3421" name="AutoShape 109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70CA346E-BF71-9B44-92B9-94D5F3DB9F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3422" name="AutoShape 110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12A0D3ED-3D97-5F2B-3239-51407CBD56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3423" name="AutoShape 111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EE28957E-6C27-8561-3B0B-E4B0D11FB4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3424" name="AutoShape 112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7EDA3D64-6CE4-FF97-943E-DF23698F4D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3425" name="AutoShape 113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C7DE3F8C-3952-70DC-0AF0-EF9138F4C6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3426" name="AutoShape 114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9E3753F3-821D-EE6C-17CA-1B1C7986DB6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3427" name="AutoShape 115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FC00169-439D-1D79-152C-7C5ECD044F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3428" name="AutoShape 116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DDD9BFA4-FE13-67CC-57C6-134FF367E67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3429" name="AutoShape 117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8C279B68-7E37-6556-7A95-6B2532656E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3430" name="AutoShape 118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63EFA1D4-1066-870D-B132-3C3E24647B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E69E4B49-B66E-2398-035B-B8C7FEA238C3}"/>
            </a:ext>
          </a:extLst>
        </xdr:cNvPr>
        <xdr:cNvSpPr>
          <a:spLocks noChangeAspect="1" noChangeArrowheads="1"/>
        </xdr:cNvSpPr>
      </xdr:nvSpPr>
      <xdr:spPr bwMode="auto">
        <a:xfrm>
          <a:off x="98774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432" name="AutoShape 12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92F4D0-8A32-931B-0A64-5D173B6DBD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433" name="AutoShape 12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DE5FED7-EEBF-9EF2-C324-090DAB6CE9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434" name="AutoShape 12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68E417B-D8CD-A9E6-B5C5-6EA15AA4A5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435" name="AutoShape 12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C545ED2-05D5-AEBA-F10B-74A5C154C3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436" name="AutoShape 12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BFB298-5896-9A5A-9B75-193A7D22A5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437" name="AutoShape 12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A6DD624-5B1D-979C-A8F4-B5EFCCAF34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438" name="AutoShape 12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45FFB1-7E63-7112-B17C-4A7F394A67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439" name="AutoShape 12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964C754-939D-AFD1-FA70-84EE2D99B9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440" name="AutoShape 128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58AD7FA-68CA-35F3-F5D4-B485B83EF6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441" name="AutoShape 129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0FCD9A5-AC15-28C3-56A6-3E1B2BF268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442" name="AutoShape 130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1F34CA6-A7C0-4CE4-9F75-20612DC61A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443" name="AutoShape 131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BB30C2D-D221-1A50-ABD5-AB537D8BA7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444" name="AutoShape 132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77A14C5-12B3-1794-9D59-49B80C5A7D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445" name="AutoShape 133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449B4AB-4AC3-7002-877B-29632711E5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446" name="AutoShape 134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AE27DFD-57E0-55A7-26D0-2030E80753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447" name="AutoShape 135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AC5F827-9F62-F8A8-1334-3026EDB21D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448" name="AutoShape 136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2AAF0DB-0826-E675-FBCE-73E822E07B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449" name="AutoShape 137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B3C1A2D-D75B-96CB-8ADF-D74AD48DB8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450" name="AutoShape 138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F3DE1FD-12D6-E0BF-A188-B575726C4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451" name="AutoShape 139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581D55C9-033C-4728-08BA-987444A6D3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452" name="AutoShape 140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CA915FE-8CEF-970E-4D22-4173124127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453" name="AutoShape 141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CC919C6A-6594-EC62-68CE-C8C3A083A9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454" name="AutoShape 142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506207E-96B7-E5B3-EF49-DD51027264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455" name="AutoShape 143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DFAF1C09-AC39-5A89-FE25-84A94ECF9B1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456" name="AutoShape 144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9CEB389-22E1-066B-A58B-93725B2F4E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457" name="AutoShape 145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4AFA7DC2-2A82-432C-65E5-65D1B1EF1F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458" name="AutoShape 146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2EEB53C-F5D4-7F2D-D85A-78B872CB30A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459" name="AutoShape 147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DF75FA22-ED4E-0775-100A-37F4E99E10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460" name="AutoShape 148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B6A93C0-F2FC-23A4-567A-C4C696A50D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461" name="AutoShape 149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C65962D7-6330-9670-FEFE-AD8FD46234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462" name="AutoShape 150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2AC187A-68C5-063D-4E67-F727B1ABFE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463" name="AutoShape 151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C61CC59-1AAB-BBD2-375E-B0C555F9A1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464" name="AutoShape 152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6EA4D0FE-658A-AD11-E018-B10EC32D27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465" name="AutoShape 153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ACB9040-9358-2FD2-8DE6-72C8C68EF3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466" name="AutoShape 154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FDEC07C4-DDE1-5425-DFA6-6C7F33C987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467" name="AutoShape 155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295246BC-3262-7432-77CB-0C4CF146DB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468" name="AutoShape 156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91F57790-70C7-CC79-C237-9F0B2D1E51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469" name="AutoShape 157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64864D1-5BB3-6C1F-DAE6-FAE7FEC1D6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470" name="AutoShape 158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57E14BA1-39BA-A123-79BF-99DD70C0AC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471" name="AutoShape 159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575A82FB-7878-16D5-6608-3A6145B4DF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472" name="AutoShape 160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D1F0010A-EC06-0E8B-D730-90D64FAB76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473" name="AutoShape 161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6F1EE5D5-A2CA-9E1A-E8D5-80F8CFD18D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474" name="AutoShape 162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6148977-30F8-1EA9-1F73-5BC94EF807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475" name="AutoShape 163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9A976C1-C45D-851B-D3F8-18C2077310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476" name="AutoShape 164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33E36323-0333-1663-8BD8-4064970A52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477" name="AutoShape 165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DE719B18-17AE-1C1E-2E2E-25C7805FBF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478" name="AutoShape 166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56FD8357-B2C6-170E-A042-98582B12D8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479" name="AutoShape 167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5B935F80-428E-8CF0-EA7B-073FB6BC4A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480" name="AutoShape 168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F95AF841-E6AD-2773-FB38-5F1B2A6389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481" name="AutoShape 169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756FE5E1-370E-71B9-133A-35A0398C7E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482" name="AutoShape 170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3870D7B-0C73-D1AE-FA70-62CAC0A09F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483" name="AutoShape 171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9116DB3-4DE6-6E61-5477-5C6F8496D2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484" name="AutoShape 172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F85C6F85-9D8C-7B75-6499-2C3808197F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485" name="AutoShape 173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133C45A7-1E19-61CF-C7B9-474E3003D0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486" name="AutoShape 174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6AD19D65-C79A-9759-1701-1557C7265D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487" name="AutoShape 175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5DF0B0AD-855E-4E96-3874-10C517A1BD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488" name="AutoShape 176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FA845864-47DE-4CD8-AD6B-08E5A9CE5C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489" name="AutoShape 177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8C10BB85-0D6C-8F94-27B4-E6CF382A873C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490" name="AutoShape 178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A66DB2B4-D782-7A54-BCA4-F2BC1D842C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491" name="AutoShape 179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316611E7-28B5-680F-0DC9-68A3150F34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492" name="AutoShape 180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C1E7069F-9762-8F56-84D1-3BC0D23DDD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493" name="AutoShape 181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B25722E6-A536-8196-7C9E-CC34826E5B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494" name="AutoShape 182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8B97B8FD-D739-73F1-4D3A-4C1F6AF6AE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495" name="AutoShape 183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74CAFC88-42EF-F630-6CC4-9B28231300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496" name="AutoShape 184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54C38BD6-077A-0D49-289E-1E7C25BD37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497" name="AutoShape 185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56B04547-784D-00D0-BAC7-6C71E096FB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498" name="AutoShape 186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65A24982-9BF5-C24E-1DB6-6CBE8DF4EE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499" name="AutoShape 187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54CC27EB-A477-9DDE-2A97-9AA260B02E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3500" name="AutoShape 188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6E1A5381-4E90-4BB8-B21D-BF29CF2C2A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3501" name="AutoShape 189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FF2E3ADE-926E-4EA0-E30E-0375309571D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3502" name="AutoShape 190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F6D0653A-9A83-73B2-7112-EEFB90F23F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3503" name="AutoShape 191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D51A7F5-3411-BFF8-27EB-D51B2D4062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3504" name="AutoShape 192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D0D537C8-5999-CA5E-CECC-13B2F490AA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3505" name="AutoShape 193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14544DFA-D4AA-71AE-14C4-4085D349EF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3506" name="AutoShape 194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2D826D20-037C-3AFF-2850-F375FB4B36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3507" name="AutoShape 195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A013924-FD7C-714B-99C6-03639F83FD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3508" name="AutoShape 196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2E7A6F98-13F7-A3DF-EE8A-DA7884C660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3509" name="AutoShape 197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D5C95F47-2694-15A7-30D7-1C54108057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3510" name="AutoShape 198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59067519-2E89-5024-FD77-6886F15839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3511" name="AutoShape 199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10AC3C4D-AE0A-0A22-C9A8-C32CC04B0C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3512" name="AutoShape 200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DB44F9CA-1FD1-93B8-5F0E-F7688D004B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3513" name="AutoShape 201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296BA7EE-9392-0252-68E3-F576E97CEF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3514" name="AutoShape 202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145FA383-30B2-C9D5-E785-AD78D6F386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3515" name="AutoShape 203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95D9A110-6B2F-538A-65A9-3D5B1ADF57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3516" name="AutoShape 204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CA5FBEB7-D23A-B835-3111-8ABB86E07C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3517" name="AutoShape 205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98D5159D-F366-C094-ECA6-95AE93EB3C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3518" name="AutoShape 206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7FBA2019-D104-261C-68F0-2A8E17C4FE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3519" name="AutoShape 207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54D4FA17-274D-533D-95A1-41CA565109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3520" name="AutoShape 208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C022D288-3908-FE9E-71C1-79913B5CCC1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3521" name="AutoShape 209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5DE7E414-2720-B7DB-871E-61F0384D00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3522" name="AutoShape 210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1F0781C5-4437-7071-3257-590D935E67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3523" name="AutoShape 211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CD157773-0E3F-9B11-EF69-EB4F5ABCBF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3524" name="AutoShape 212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5A1F22E7-D0B8-C61E-CA38-300C860D15D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3525" name="AutoShape 213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122B5EF3-8E50-9A44-BA15-7FA64696EA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3526" name="AutoShape 214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7B57A0CA-D306-DDD4-B92B-78D6B19C3F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3527" name="AutoShape 215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AAB8B0F3-D30B-1DB1-8C31-6F2B864169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3528" name="AutoShape 216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93812068-2B6A-F5F3-5711-754D421892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3529" name="AutoShape 217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E802023A-4B02-FA79-E3A4-09BAEA603A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3530" name="AutoShape 218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4A7AF311-DE8A-B510-1802-C31689C2C0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3531" name="AutoShape 219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7ADFDEC0-746F-254C-76C2-29DDCCA010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3532" name="AutoShape 220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6452D77C-3AE4-9468-0490-EC2B020A5F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3533" name="AutoShape 221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C9D64772-97AE-5129-267E-E4ABB8E84B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3534" name="AutoShape 222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22A870A-C6E5-F082-13F2-F769F535DA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3535" name="AutoShape 223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47007526-DA82-FDEE-8007-C38A9C8A35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3536" name="AutoShape 224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4A4017EA-0473-8B76-CDDD-C4D60EB2D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3537" name="AutoShape 225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644B86C7-F751-9B5E-1B74-7A36F2B8D8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3538" name="AutoShape 226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9D49054C-C4C6-5628-2D70-13366196D9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3539" name="AutoShape 227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C2AEFE8C-141F-E424-33AD-C0937A8011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3540" name="AutoShape 228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95C68AAE-17CB-5435-19E3-3CDA5FCB23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3541" name="AutoShape 229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3FD971-F18B-1484-A767-8CFD54441D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3542" name="AutoShape 230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12D94842-D1B9-2EAA-3556-1F9669A2EA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3543" name="AutoShape 231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1D1E9508-1FAD-8956-C802-23370D02D1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3544" name="AutoShape 232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4DB741E2-65FA-C61A-7BE7-1ACAA6F27B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3545" name="AutoShape 233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B594DD9-C879-EC00-149D-D1B245B69E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3546" name="AutoShape 234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1988E411-CDE6-1F29-5C9F-1C8D684E12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3547" name="AutoShape 235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B282A0F6-3229-1F3B-0B32-29D3B08A8E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3548" name="AutoShape 236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1AAA8302-3F3F-8B3F-318B-77428CC279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3549" name="AutoShape 237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C31568C5-3911-A61A-3102-CC3EFD4FD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3550" name="AutoShape 238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15C64270-5563-4DC9-AA21-1FC218DBC2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13551" name="AutoShape 239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5E91B6E3-4FC3-C2D8-2030-9F1F36B2AB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13552" name="AutoShape 240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AAA372CC-2F9C-FA98-74D6-82AB1725DD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13553" name="AutoShape 241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928FC0C0-1B25-4541-5391-20FC84F5A7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13554" name="AutoShape 242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4A7004EF-C15B-DB02-0CD7-CBBC356FD41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13555" name="AutoShape 243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26457082-038D-1085-A7A0-E663474E2F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13556" name="AutoShape 244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6F272CE4-920B-DE60-8A55-F8FE26C9ED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13557" name="AutoShape 245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966C2F41-D1F4-383F-A19C-D03C4B5CF4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13558" name="AutoShape 246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5E1FC82C-8FED-E3CB-6444-B5CDAF7B76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13559" name="AutoShape 247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651E7D4C-7695-B459-FB39-EED78CEC29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13560" name="AutoShape 248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8F2849CB-7B7E-9032-33AA-CBD27097B9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13561" name="AutoShape 249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B202719F-5220-4167-AE3E-8AABD8C6A1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13562" name="AutoShape 250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63895BF1-E96B-2B5C-CDEA-1ACAEFD00E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13563" name="AutoShape 251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A9EAE681-BFC8-3C68-8CDF-561CA515D1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13564" name="AutoShape 252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BFFC4B80-B4E4-1D5E-A11C-63E1D8A3689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13565" name="AutoShape 253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16FC6381-0AA1-2177-0E64-FB2C469992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13566" name="AutoShape 254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825B2518-79B8-D09A-D2C9-9F11A0397E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13567" name="AutoShape 255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79587F4A-3530-DC85-6AAA-57BA5BC3A2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13568" name="AutoShape 256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1CEDEE17-FB57-38E2-50C4-6939F82B7B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13569" name="AutoShape 257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A0154E28-31FC-DFCD-E43B-9AABDC9B11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13570" name="AutoShape 258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6157C350-8CF4-C88F-7280-A6352FC0C79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13571" name="AutoShape 259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39D8B023-E406-BAD4-7811-BD3E78B1DC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13572" name="AutoShape 260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78742171-0470-72DF-1D1A-2154294B69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13573" name="AutoShape 261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521494D4-A1AB-30BC-9496-3E0FFBA09A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13574" name="AutoShape 262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FEBD14D-8067-BE70-E1DE-55F973E8C9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13575" name="AutoShape 263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02CFB60C-C0C2-D019-8A81-13DAA823DF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13576" name="AutoShape 264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B2E465EE-7060-3EC0-BAEA-1CD41EA19A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13577" name="AutoShape 265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D26BD2A3-5DD9-58B9-BEB5-588CB27CC9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13578" name="AutoShape 266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D474CDFB-CC86-04F5-B7C8-A04AEA0FAB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13579" name="AutoShape 267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1F214FB0-E284-1395-AF7D-B63C9437A9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13580" name="AutoShape 268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1061CB48-6F9C-4604-43D0-50D3228CAD9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13581" name="AutoShape 269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8116930D-61F5-81D2-745F-A5F54F7EACF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13582" name="AutoShape 270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4B5CF9A6-3F21-2542-33EB-B2A82E54C2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13583" name="AutoShape 271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1DDFF09C-C7E7-D6C4-8A6D-0FEE60E39B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13584" name="AutoShape 272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CA510D41-A148-7635-E15F-0CFFFD41CF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13585" name="AutoShape 273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161FE50C-B5B0-F53D-D75A-7CE637761B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13586" name="AutoShape 274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D0FE62DB-7B44-1DC3-92C1-C34129C269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13587" name="AutoShape 275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1D68D795-CAC0-6FD8-7E34-43B7DC8F43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13588" name="AutoShape 276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F4A651A6-5A63-D3E8-EEA4-B8C2271DCD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13589" name="AutoShape 277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D647222F-7DB6-9027-5829-66427C3AEB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13590" name="AutoShape 278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B4CFFA2B-4ACA-A80A-0567-E703B98248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13591" name="AutoShape 279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F124346D-2A30-5F1F-A450-913ECBE568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13592" name="AutoShape 280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00D112F4-18F4-2C6F-209D-59EBCC4D4A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13593" name="AutoShape 281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5C260FF4-6384-8396-5A60-F329F752C6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13594" name="AutoShape 282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75DF16A2-8B75-7B57-B93A-56FD12291EB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13595" name="AutoShape 283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1CB36CA1-0EB3-A602-0D0A-795A179D7C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13596" name="AutoShape 284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67461413-AB37-A55F-22CC-9F1286A91E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13597" name="AutoShape 285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3294B709-AAB1-E125-0A32-34DB72CA1B0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13598" name="AutoShape 286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30FFDDC0-B1F7-1976-AD69-1FC3419CA7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13599" name="AutoShape 287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F831B270-D367-802F-D991-CE534C948B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13600" name="AutoShape 288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D42392DA-9DF0-A92F-D73E-5DA16F4F4E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13601" name="AutoShape 289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550AF484-68E0-56CA-0AD6-33E85E9E9A6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13602" name="AutoShape 290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737CA2B8-0B79-2556-16F9-C88C9C689DF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13603" name="AutoShape 291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DDBD3A27-6BDB-831D-4AED-B979AE1CEF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13604" name="AutoShape 292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0611DC74-4468-9AF5-3BE4-02926B78EA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13605" name="AutoShape 293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0FAC1125-5513-60DB-B148-19315218E6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13606" name="AutoShape 294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E8849662-82FF-345B-969E-2367B333EA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13607" name="AutoShape 295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25D20D04-4A62-7AA0-FD82-604F29149C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13608" name="AutoShape 296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8308CC55-55DA-EE30-F719-CE6A6A44E2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13609" name="AutoShape 297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C39BC231-1E6D-F173-9BFB-46FCF46D18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13610" name="AutoShape 298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F107E15F-8BCA-3719-C6E2-6E6E6F6892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13611" name="AutoShape 299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E12BE003-899A-1F24-998C-A026FD0AD9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13612" name="AutoShape 300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66074E31-F723-38D4-DD54-896D7A5F9F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13613" name="AutoShape 301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F479663B-29B6-795D-0F10-732217E249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13614" name="AutoShape 302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BB83C3EB-210B-DE6B-D5CF-42D42E9A68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13615" name="AutoShape 303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9A2C1864-C6F0-8BFA-A280-993E3348B6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13616" name="AutoShape 304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AFFC15F1-DE0B-D8DB-BD64-3E25F2407A6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13617" name="AutoShape 305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5CF8462F-A859-5664-3360-6C2EF1814D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13618" name="AutoShape 306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0249FA6A-4EE8-9E56-6F55-BB0D85FF9E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13619" name="AutoShape 307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291C54D8-BC53-EEC9-2D8E-F1AACBA3B1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13620" name="AutoShape 308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7497B794-6AB8-362A-594A-ED60513375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13621" name="AutoShape 309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FF428A27-D325-078E-D1A4-79D485D4CC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13622" name="AutoShape 310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C267F35E-913B-D796-725B-0A5C848F940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13623" name="AutoShape 311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A5089C49-81EE-13B3-9D13-A499F8D6CF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13624" name="AutoShape 312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60F9DF39-A333-A76A-E089-803EEB054D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13625" name="AutoShape 313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E177864B-A7B5-1DDC-F01D-13EB25BBA1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13626" name="AutoShape 314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AA36333F-77E8-9E06-0134-28A187560E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13627" name="AutoShape 315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463099E0-FDF1-0C9B-4F2F-3BE422726C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13628" name="AutoShape 316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8A8D289A-0D32-0F71-3912-07C7BC7F02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13629" name="AutoShape 317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3E913177-7A14-E054-1BB5-096C909549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13630" name="AutoShape 318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86636B76-5C81-4ADB-275C-742B59F237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13631" name="AutoShape 319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BF2FA8EA-8410-028F-B202-5F88C3951D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13632" name="AutoShape 320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B5B66B64-F0DA-610F-11BB-46DAE7C5BE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13633" name="AutoShape 321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DCE0C224-76B4-1614-9A4D-FA57621161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13634" name="AutoShape 322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AECC9B60-7A3B-15C0-334F-897CBE4003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13635" name="AutoShape 323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8600B925-648F-B8BD-3171-92F3CFD6F8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13636" name="AutoShape 324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12D5130A-06D8-FE48-8332-1DC43521E2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13637" name="AutoShape 325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C96439A5-745C-DE5A-5F07-10F13FA5AA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13638" name="AutoShape 326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4506E68D-BA95-4AA7-A099-D53C146D31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13639" name="AutoShape 327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3481C833-459C-2228-F732-255E13FA12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13640" name="AutoShape 328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614EB9C4-6043-9945-8AF7-C64DB2A2F8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13641" name="AutoShape 329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EDEAFB20-7013-DD75-9C5A-D12806F8B2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13642" name="AutoShape 330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13CE96C2-547A-860C-4AA9-3F6BEFC585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13643" name="AutoShape 331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D3954605-DB35-F6AB-D7F4-48EFBB183E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13644" name="AutoShape 332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C1BE6FDD-53DD-0472-D441-32A12576AC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13645" name="AutoShape 333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77E7E234-D9B6-E5DD-FBB2-F6338BC02A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13646" name="AutoShape 334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D0C7F9DC-DE2E-65D9-0A09-EA52B80BD4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13647" name="AutoShape 335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CFB6E1E6-F09F-86F3-37C0-2BBA0DCB9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13648" name="AutoShape 336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3D2E8206-F4C5-342C-8ADC-0DFB4D034C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13649" name="AutoShape 337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0F5C67E1-F9DB-D256-4212-855E152B2F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13650" name="AutoShape 338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2F3BBF5D-97F0-1D46-4169-E4F8BACF2B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13651" name="AutoShape 339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5D7168EB-01DD-04C8-0CE6-8E2FFE0B02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13652" name="AutoShape 340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FCCB7F28-5750-6F50-331D-034D059B7EB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13653" name="AutoShape 341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09B69D72-0BDC-419F-0924-50FA724F39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13654" name="AutoShape 342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4D9D1AFA-592D-14F0-33E5-B684FA1C84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13655" name="AutoShape 343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E2821629-8865-516A-5684-15EB6B6B19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13656" name="AutoShape 344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6771BDAC-2C79-DA9E-9596-788856384F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13657" name="AutoShape 345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44ED084B-7581-29CC-AE78-32DD2C36DB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13658" name="AutoShape 346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6517936A-0D54-C3D3-EB87-EDBF2440AA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13659" name="AutoShape 347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354E7407-C02C-1006-9268-F212DF16B1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13660" name="AutoShape 348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79D719BC-9042-1E54-63D6-AAA8080CCF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13661" name="AutoShape 349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323DB888-F10F-2550-350E-C2B4E9033F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13662" name="AutoShape 350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9F504ED6-2068-85B6-F89F-94F6287EA2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13663" name="AutoShape 351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F05BFAE7-E747-C85A-0123-A32DD0F76C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13664" name="AutoShape 352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3D0BBEC5-7D24-068F-F91F-2CFE0A3D77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13665" name="AutoShape 353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276699F2-A280-D1AA-9140-1A61FB843B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13666" name="AutoShape 354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3CF17990-446C-1F86-D40F-1051A07A1E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13667" name="AutoShape 355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F2C1ABBD-A98B-285D-B5B9-6FB652D9F8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13668" name="AutoShape 356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EF741001-4136-382F-57CC-5F58056092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13669" name="AutoShape 357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8DC04E0E-6786-5680-09B7-BC764D3C38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13670" name="AutoShape 358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4B34FBC8-01FB-4DCA-63A7-4B33E54636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13671" name="AutoShape 359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F39219CC-6334-0251-0A2E-090CD6D108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13672" name="AutoShape 360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BCAB2BBD-0C54-8EBA-126E-2ABE6F1800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13673" name="AutoShape 361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14C5BCF2-FC9E-5D7C-3050-B1CE64562D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13674" name="AutoShape 362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B99CC22E-DA95-D954-6474-7DD459B76E3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13675" name="AutoShape 363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26B41319-46D1-D7D4-D4D0-D5484EE422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13676" name="AutoShape 364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3F74DD5F-A9B9-A31F-0F97-8BB731E0C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13677" name="AutoShape 365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4F4B30F1-C8EA-BB94-7A3C-134BE5AC6F0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13678" name="AutoShape 366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74135B8C-3B67-EDD8-A05E-54D3E58552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13679" name="AutoShape 367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92380C22-5945-5766-0585-1496621854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13680" name="AutoShape 368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0C83DA9E-DF8E-5C27-2A99-7BCFE5A76D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13681" name="AutoShape 369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AEBB08BF-FDC8-7CF3-59B5-48EAD498A3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13682" name="AutoShape 370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519D7A53-834C-AB14-018D-6BDD6E7318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13683" name="AutoShape 371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4DA721A2-EC3D-2811-7AB7-A14FB349ED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13684" name="AutoShape 372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70C6BE05-7BF8-02E1-006B-FD545D0833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13685" name="AutoShape 373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179A5001-C3F1-6EC6-7576-C15655E274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13686" name="AutoShape 374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7B4DD6D9-FC88-ABEF-7BC2-F9AB890A67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13687" name="AutoShape 375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82A9E628-FC92-E869-DD7B-ECF7B88010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13688" name="AutoShape 376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78D51665-574C-BAB5-A01F-B7AE6997CC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13689" name="AutoShape 377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EAB87E8D-CEBA-45AB-3782-79040BB8E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13690" name="AutoShape 378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86E64992-9E17-3D87-4BB4-7A1F8AF06D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13691" name="AutoShape 379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200917A1-2437-CC51-5EFF-A8C941BD11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13692" name="AutoShape 380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B35C555-4EB3-8768-D1DE-936A2F61F3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13693" name="AutoShape 381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C2C1AC4E-03F5-B31F-4549-D10FEDA69F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13694" name="AutoShape 382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FBD93FA4-A30C-DC02-E27E-9C8ACB35BA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13695" name="AutoShape 383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340AE183-D8C2-BFA1-18C6-5129143B36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13696" name="AutoShape 384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3A8C9800-F84C-6CF5-F514-D0D8D18BC4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13697" name="AutoShape 385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74E9AD63-9F8A-684A-9C46-F29D97482B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13698" name="AutoShape 386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FE6275BB-495B-4C83-CBAC-496975F5246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13699" name="AutoShape 387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005CE8C8-AC4D-1925-97EB-9A5D404DAC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13700" name="AutoShape 388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C9D09198-38D7-E2C6-161C-E7C0855B2AE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13701" name="AutoShape 389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F4934B7F-FA1B-FE39-54ED-4ED0C46BE2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13702" name="AutoShape 390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EB0C6D84-2623-163A-C5E5-27CD7F751A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13703" name="AutoShape 391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273FB2C2-8AC1-68FF-0C99-BB68D787CD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13704" name="AutoShape 392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9A8C0D89-5979-80CF-A2DF-18558961C0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13705" name="AutoShape 393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E37F0D44-2DD1-97B0-BD9F-61CF9257A5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13706" name="AutoShape 394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9FE85722-1B8E-6BBA-7E3E-D6DCDE1058B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13707" name="AutoShape 395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1A15D9A4-C1BD-0E50-3D23-E9756FE13A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13708" name="AutoShape 396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A5882FA6-CE7C-23D8-4930-5E14AEE727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13709" name="AutoShape 397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C96AA42B-5A60-89F4-596F-D445F48F00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13710" name="AutoShape 398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0B4C3132-A5E0-44D6-86F1-09384084C1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13711" name="AutoShape 399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0467E266-954D-4DB3-2814-1CD22D13CC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13712" name="AutoShape 400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33D7EA7C-4EB2-A3E3-6D32-A8EE946DB52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13713" name="AutoShape 401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6A9E9D7E-D65D-24FE-0BA3-C6B85487BD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13714" name="AutoShape 402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1CCE26A3-A628-06A1-8BB4-60DE6C7E72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13715" name="AutoShape 403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74D0A034-AF75-11F7-25FD-9A6739FB91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13716" name="AutoShape 404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C081E029-768B-435D-3ADF-B334AA5F92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13717" name="AutoShape 405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8095CB30-C4E1-4D88-0462-13F7F9DB28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13718" name="AutoShape 406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5B3F8EF5-CEED-AC40-0D1C-4E5870FE9F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13719" name="AutoShape 407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95BBAFF7-C0BC-4B1C-F0C4-260EB94844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13720" name="AutoShape 408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FD5AEF1C-3ADF-C58B-51A4-8F0E0C58CB9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13721" name="AutoShape 409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9342550D-ECFC-FB83-CF08-360F0A32A4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13722" name="AutoShape 410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295D9DD9-6286-E433-6E9A-64175F5D1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13723" name="AutoShape 411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2CDF45D1-9871-2584-5EBC-7F2F29DBED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13724" name="AutoShape 412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4F5562BD-FE41-4D2A-44F9-27D38F11F5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13725" name="AutoShape 413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AF6C69B8-4751-28ED-50BE-2156E57C76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13726" name="AutoShape 414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79F314A4-C3D5-69E8-B741-D86879BFA6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13727" name="AutoShape 415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E19824B9-5290-4511-9FFF-7623367586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13728" name="AutoShape 416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57B8BCAC-3F37-CFE4-59CD-26E516A220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13729" name="AutoShape 417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3407F399-43F7-079E-1B73-F7A0AAB656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13730" name="AutoShape 418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37E0E178-5C82-E5AC-5F2E-E5651F3E09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13731" name="AutoShape 419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455FFB09-4086-3EC3-3133-F6F4562B91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13732" name="AutoShape 420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D45DAA30-3F25-4E73-24DB-74376720BB2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13733" name="AutoShape 421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91CE110F-928E-5016-9F50-B092F3E425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13734" name="AutoShape 422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55C2ECA5-2E76-03BC-2765-4CEB162EF8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13735" name="AutoShape 423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A6E8E9C0-9389-1028-8F19-75E320F576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13736" name="AutoShape 424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A4E83D08-6512-C76C-019C-FD171F002C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13737" name="AutoShape 425" descr="View Related Links (Alt+6)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10355B61-2A7B-77D0-BF5B-71A96A2FBD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307</xdr:row>
      <xdr:rowOff>142875</xdr:rowOff>
    </xdr:to>
    <xdr:sp macro="" textlink="">
      <xdr:nvSpPr>
        <xdr:cNvPr id="13738" name="AutoShape 426" descr="View Related Links (Alt+6)">
          <a:hlinkClick xmlns:r="http://schemas.openxmlformats.org/officeDocument/2006/relationships" r:id="rId307"/>
          <a:extLst>
            <a:ext uri="{FF2B5EF4-FFF2-40B4-BE49-F238E27FC236}">
              <a16:creationId xmlns:a16="http://schemas.microsoft.com/office/drawing/2014/main" id="{7A5CE697-4D72-D12B-7F0B-B141C65D98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54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308</xdr:row>
      <xdr:rowOff>142875</xdr:rowOff>
    </xdr:to>
    <xdr:sp macro="" textlink="">
      <xdr:nvSpPr>
        <xdr:cNvPr id="13739" name="AutoShape 427" descr="View Related Links (Alt+6)">
          <a:hlinkClick xmlns:r="http://schemas.openxmlformats.org/officeDocument/2006/relationships" r:id="rId308"/>
          <a:extLst>
            <a:ext uri="{FF2B5EF4-FFF2-40B4-BE49-F238E27FC236}">
              <a16:creationId xmlns:a16="http://schemas.microsoft.com/office/drawing/2014/main" id="{375FFED0-528C-C76D-E240-CA651546CD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309</xdr:row>
      <xdr:rowOff>142875</xdr:rowOff>
    </xdr:to>
    <xdr:sp macro="" textlink="">
      <xdr:nvSpPr>
        <xdr:cNvPr id="13740" name="AutoShape 428" descr="View Related Links (Alt+6)">
          <a:hlinkClick xmlns:r="http://schemas.openxmlformats.org/officeDocument/2006/relationships" r:id="rId309"/>
          <a:extLst>
            <a:ext uri="{FF2B5EF4-FFF2-40B4-BE49-F238E27FC236}">
              <a16:creationId xmlns:a16="http://schemas.microsoft.com/office/drawing/2014/main" id="{2FB18A11-9197-2C8A-9F0F-F214439441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87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310</xdr:row>
      <xdr:rowOff>142875</xdr:rowOff>
    </xdr:to>
    <xdr:sp macro="" textlink="">
      <xdr:nvSpPr>
        <xdr:cNvPr id="13741" name="AutoShape 429" descr="View Related Links (Alt+6)">
          <a:hlinkClick xmlns:r="http://schemas.openxmlformats.org/officeDocument/2006/relationships" r:id="rId310"/>
          <a:extLst>
            <a:ext uri="{FF2B5EF4-FFF2-40B4-BE49-F238E27FC236}">
              <a16:creationId xmlns:a16="http://schemas.microsoft.com/office/drawing/2014/main" id="{96C33562-69D1-81F6-9FF8-6E7F321AB23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311</xdr:row>
      <xdr:rowOff>142875</xdr:rowOff>
    </xdr:to>
    <xdr:sp macro="" textlink="">
      <xdr:nvSpPr>
        <xdr:cNvPr id="13742" name="AutoShape 430" descr="View Related Links (Alt+6)">
          <a:hlinkClick xmlns:r="http://schemas.openxmlformats.org/officeDocument/2006/relationships" r:id="rId311"/>
          <a:extLst>
            <a:ext uri="{FF2B5EF4-FFF2-40B4-BE49-F238E27FC236}">
              <a16:creationId xmlns:a16="http://schemas.microsoft.com/office/drawing/2014/main" id="{F874E411-77AC-75A3-436E-029BB14509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311</xdr:row>
      <xdr:rowOff>0</xdr:rowOff>
    </xdr:from>
    <xdr:to>
      <xdr:col>1</xdr:col>
      <xdr:colOff>304800</xdr:colOff>
      <xdr:row>312</xdr:row>
      <xdr:rowOff>142875</xdr:rowOff>
    </xdr:to>
    <xdr:sp macro="" textlink="">
      <xdr:nvSpPr>
        <xdr:cNvPr id="13743" name="AutoShape 431" descr="View Related Links (Alt+6)">
          <a:hlinkClick xmlns:r="http://schemas.openxmlformats.org/officeDocument/2006/relationships" r:id="rId312"/>
          <a:extLst>
            <a:ext uri="{FF2B5EF4-FFF2-40B4-BE49-F238E27FC236}">
              <a16:creationId xmlns:a16="http://schemas.microsoft.com/office/drawing/2014/main" id="{21D218A3-BE18-DB91-1B89-FB45302523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35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312</xdr:row>
      <xdr:rowOff>0</xdr:rowOff>
    </xdr:from>
    <xdr:to>
      <xdr:col>1</xdr:col>
      <xdr:colOff>304800</xdr:colOff>
      <xdr:row>313</xdr:row>
      <xdr:rowOff>142875</xdr:rowOff>
    </xdr:to>
    <xdr:sp macro="" textlink="">
      <xdr:nvSpPr>
        <xdr:cNvPr id="13744" name="AutoShape 432" descr="View Related Links (Alt+6)">
          <a:hlinkClick xmlns:r="http://schemas.openxmlformats.org/officeDocument/2006/relationships" r:id="rId313"/>
          <a:extLst>
            <a:ext uri="{FF2B5EF4-FFF2-40B4-BE49-F238E27FC236}">
              <a16:creationId xmlns:a16="http://schemas.microsoft.com/office/drawing/2014/main" id="{5DDD5751-7D8B-F9A4-DC49-3212CCF4F1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5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313</xdr:row>
      <xdr:rowOff>0</xdr:rowOff>
    </xdr:from>
    <xdr:to>
      <xdr:col>1</xdr:col>
      <xdr:colOff>304800</xdr:colOff>
      <xdr:row>314</xdr:row>
      <xdr:rowOff>142875</xdr:rowOff>
    </xdr:to>
    <xdr:sp macro="" textlink="">
      <xdr:nvSpPr>
        <xdr:cNvPr id="13745" name="AutoShape 433" descr="View Related Links (Alt+6)">
          <a:hlinkClick xmlns:r="http://schemas.openxmlformats.org/officeDocument/2006/relationships" r:id="rId314"/>
          <a:extLst>
            <a:ext uri="{FF2B5EF4-FFF2-40B4-BE49-F238E27FC236}">
              <a16:creationId xmlns:a16="http://schemas.microsoft.com/office/drawing/2014/main" id="{1C58BDF4-EDA8-CEC4-B239-0E8D8EDE48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68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314</xdr:row>
      <xdr:rowOff>0</xdr:rowOff>
    </xdr:from>
    <xdr:to>
      <xdr:col>1</xdr:col>
      <xdr:colOff>304800</xdr:colOff>
      <xdr:row>315</xdr:row>
      <xdr:rowOff>142875</xdr:rowOff>
    </xdr:to>
    <xdr:sp macro="" textlink="">
      <xdr:nvSpPr>
        <xdr:cNvPr id="13746" name="AutoShape 434" descr="View Related Links (Alt+6)">
          <a:hlinkClick xmlns:r="http://schemas.openxmlformats.org/officeDocument/2006/relationships" r:id="rId315"/>
          <a:extLst>
            <a:ext uri="{FF2B5EF4-FFF2-40B4-BE49-F238E27FC236}">
              <a16:creationId xmlns:a16="http://schemas.microsoft.com/office/drawing/2014/main" id="{CDA87B53-322C-1C73-94A7-AF9660440C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84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315</xdr:row>
      <xdr:rowOff>0</xdr:rowOff>
    </xdr:from>
    <xdr:to>
      <xdr:col>1</xdr:col>
      <xdr:colOff>304800</xdr:colOff>
      <xdr:row>316</xdr:row>
      <xdr:rowOff>142875</xdr:rowOff>
    </xdr:to>
    <xdr:sp macro="" textlink="">
      <xdr:nvSpPr>
        <xdr:cNvPr id="13747" name="AutoShape 435" descr="View Related Links (Alt+6)">
          <a:hlinkClick xmlns:r="http://schemas.openxmlformats.org/officeDocument/2006/relationships" r:id="rId316"/>
          <a:extLst>
            <a:ext uri="{FF2B5EF4-FFF2-40B4-BE49-F238E27FC236}">
              <a16:creationId xmlns:a16="http://schemas.microsoft.com/office/drawing/2014/main" id="{C8683E6E-6C8B-4CA9-26D7-75AE25497C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316</xdr:row>
      <xdr:rowOff>0</xdr:rowOff>
    </xdr:from>
    <xdr:to>
      <xdr:col>1</xdr:col>
      <xdr:colOff>304800</xdr:colOff>
      <xdr:row>317</xdr:row>
      <xdr:rowOff>142875</xdr:rowOff>
    </xdr:to>
    <xdr:sp macro="" textlink="">
      <xdr:nvSpPr>
        <xdr:cNvPr id="13748" name="AutoShape 436" descr="View Related Links (Alt+6)">
          <a:hlinkClick xmlns:r="http://schemas.openxmlformats.org/officeDocument/2006/relationships" r:id="rId317"/>
          <a:extLst>
            <a:ext uri="{FF2B5EF4-FFF2-40B4-BE49-F238E27FC236}">
              <a16:creationId xmlns:a16="http://schemas.microsoft.com/office/drawing/2014/main" id="{643060C3-5C2E-D18F-AD78-0ACF4F5F82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1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317</xdr:row>
      <xdr:rowOff>0</xdr:rowOff>
    </xdr:from>
    <xdr:to>
      <xdr:col>1</xdr:col>
      <xdr:colOff>304800</xdr:colOff>
      <xdr:row>318</xdr:row>
      <xdr:rowOff>142875</xdr:rowOff>
    </xdr:to>
    <xdr:sp macro="" textlink="">
      <xdr:nvSpPr>
        <xdr:cNvPr id="13749" name="AutoShape 437" descr="View Related Links (Alt+6)">
          <a:hlinkClick xmlns:r="http://schemas.openxmlformats.org/officeDocument/2006/relationships" r:id="rId318"/>
          <a:extLst>
            <a:ext uri="{FF2B5EF4-FFF2-40B4-BE49-F238E27FC236}">
              <a16:creationId xmlns:a16="http://schemas.microsoft.com/office/drawing/2014/main" id="{0DDA6992-C117-98D6-9B57-C749CAC83B5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33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318</xdr:row>
      <xdr:rowOff>0</xdr:rowOff>
    </xdr:from>
    <xdr:to>
      <xdr:col>1</xdr:col>
      <xdr:colOff>304800</xdr:colOff>
      <xdr:row>319</xdr:row>
      <xdr:rowOff>142875</xdr:rowOff>
    </xdr:to>
    <xdr:sp macro="" textlink="">
      <xdr:nvSpPr>
        <xdr:cNvPr id="13750" name="AutoShape 438" descr="View Related Links (Alt+6)">
          <a:hlinkClick xmlns:r="http://schemas.openxmlformats.org/officeDocument/2006/relationships" r:id="rId319"/>
          <a:extLst>
            <a:ext uri="{FF2B5EF4-FFF2-40B4-BE49-F238E27FC236}">
              <a16:creationId xmlns:a16="http://schemas.microsoft.com/office/drawing/2014/main" id="{3AEF9FFA-33A0-1811-0A33-F81E1BFBA4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49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319</xdr:row>
      <xdr:rowOff>0</xdr:rowOff>
    </xdr:from>
    <xdr:to>
      <xdr:col>1</xdr:col>
      <xdr:colOff>304800</xdr:colOff>
      <xdr:row>320</xdr:row>
      <xdr:rowOff>142875</xdr:rowOff>
    </xdr:to>
    <xdr:sp macro="" textlink="">
      <xdr:nvSpPr>
        <xdr:cNvPr id="13751" name="AutoShape 439" descr="View Related Links (Alt+6)">
          <a:hlinkClick xmlns:r="http://schemas.openxmlformats.org/officeDocument/2006/relationships" r:id="rId320"/>
          <a:extLst>
            <a:ext uri="{FF2B5EF4-FFF2-40B4-BE49-F238E27FC236}">
              <a16:creationId xmlns:a16="http://schemas.microsoft.com/office/drawing/2014/main" id="{0F4F3027-3B01-486C-643D-758161C71D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65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320</xdr:row>
      <xdr:rowOff>0</xdr:rowOff>
    </xdr:from>
    <xdr:to>
      <xdr:col>1</xdr:col>
      <xdr:colOff>304800</xdr:colOff>
      <xdr:row>321</xdr:row>
      <xdr:rowOff>142875</xdr:rowOff>
    </xdr:to>
    <xdr:sp macro="" textlink="">
      <xdr:nvSpPr>
        <xdr:cNvPr id="13752" name="AutoShape 440" descr="View Related Links (Alt+6)">
          <a:hlinkClick xmlns:r="http://schemas.openxmlformats.org/officeDocument/2006/relationships" r:id="rId321"/>
          <a:extLst>
            <a:ext uri="{FF2B5EF4-FFF2-40B4-BE49-F238E27FC236}">
              <a16:creationId xmlns:a16="http://schemas.microsoft.com/office/drawing/2014/main" id="{92680381-F531-F9EB-8CD4-C32420B6EB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321</xdr:row>
      <xdr:rowOff>0</xdr:rowOff>
    </xdr:from>
    <xdr:to>
      <xdr:col>1</xdr:col>
      <xdr:colOff>304800</xdr:colOff>
      <xdr:row>322</xdr:row>
      <xdr:rowOff>142875</xdr:rowOff>
    </xdr:to>
    <xdr:sp macro="" textlink="">
      <xdr:nvSpPr>
        <xdr:cNvPr id="13753" name="AutoShape 441" descr="View Related Links (Alt+6)">
          <a:hlinkClick xmlns:r="http://schemas.openxmlformats.org/officeDocument/2006/relationships" r:id="rId322"/>
          <a:extLst>
            <a:ext uri="{FF2B5EF4-FFF2-40B4-BE49-F238E27FC236}">
              <a16:creationId xmlns:a16="http://schemas.microsoft.com/office/drawing/2014/main" id="{4A15257B-84DA-CB6B-A949-0FCFAE2EF8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97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322</xdr:row>
      <xdr:rowOff>0</xdr:rowOff>
    </xdr:from>
    <xdr:to>
      <xdr:col>1</xdr:col>
      <xdr:colOff>304800</xdr:colOff>
      <xdr:row>323</xdr:row>
      <xdr:rowOff>142875</xdr:rowOff>
    </xdr:to>
    <xdr:sp macro="" textlink="">
      <xdr:nvSpPr>
        <xdr:cNvPr id="13754" name="AutoShape 442" descr="View Related Links (Alt+6)">
          <a:hlinkClick xmlns:r="http://schemas.openxmlformats.org/officeDocument/2006/relationships" r:id="rId323"/>
          <a:extLst>
            <a:ext uri="{FF2B5EF4-FFF2-40B4-BE49-F238E27FC236}">
              <a16:creationId xmlns:a16="http://schemas.microsoft.com/office/drawing/2014/main" id="{F0F15E3C-AFE5-659F-8561-EEB5C6E6A1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13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323</xdr:row>
      <xdr:rowOff>0</xdr:rowOff>
    </xdr:from>
    <xdr:to>
      <xdr:col>1</xdr:col>
      <xdr:colOff>304800</xdr:colOff>
      <xdr:row>324</xdr:row>
      <xdr:rowOff>142875</xdr:rowOff>
    </xdr:to>
    <xdr:sp macro="" textlink="">
      <xdr:nvSpPr>
        <xdr:cNvPr id="13755" name="AutoShape 443" descr="View Related Links (Alt+6)">
          <a:hlinkClick xmlns:r="http://schemas.openxmlformats.org/officeDocument/2006/relationships" r:id="rId324"/>
          <a:extLst>
            <a:ext uri="{FF2B5EF4-FFF2-40B4-BE49-F238E27FC236}">
              <a16:creationId xmlns:a16="http://schemas.microsoft.com/office/drawing/2014/main" id="{27287B09-3ECB-2FEE-0FBF-9BF1493315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30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324</xdr:row>
      <xdr:rowOff>0</xdr:rowOff>
    </xdr:from>
    <xdr:to>
      <xdr:col>1</xdr:col>
      <xdr:colOff>304800</xdr:colOff>
      <xdr:row>325</xdr:row>
      <xdr:rowOff>142875</xdr:rowOff>
    </xdr:to>
    <xdr:sp macro="" textlink="">
      <xdr:nvSpPr>
        <xdr:cNvPr id="13756" name="AutoShape 444" descr="View Related Links (Alt+6)">
          <a:hlinkClick xmlns:r="http://schemas.openxmlformats.org/officeDocument/2006/relationships" r:id="rId325"/>
          <a:extLst>
            <a:ext uri="{FF2B5EF4-FFF2-40B4-BE49-F238E27FC236}">
              <a16:creationId xmlns:a16="http://schemas.microsoft.com/office/drawing/2014/main" id="{12C552EF-73FA-23FD-4B9D-CA45EDF6F5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46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325</xdr:row>
      <xdr:rowOff>0</xdr:rowOff>
    </xdr:from>
    <xdr:to>
      <xdr:col>1</xdr:col>
      <xdr:colOff>304800</xdr:colOff>
      <xdr:row>326</xdr:row>
      <xdr:rowOff>142875</xdr:rowOff>
    </xdr:to>
    <xdr:sp macro="" textlink="">
      <xdr:nvSpPr>
        <xdr:cNvPr id="13757" name="AutoShape 445" descr="View Related Links (Alt+6)">
          <a:hlinkClick xmlns:r="http://schemas.openxmlformats.org/officeDocument/2006/relationships" r:id="rId326"/>
          <a:extLst>
            <a:ext uri="{FF2B5EF4-FFF2-40B4-BE49-F238E27FC236}">
              <a16:creationId xmlns:a16="http://schemas.microsoft.com/office/drawing/2014/main" id="{27312334-54C9-2786-61D4-B59B41A14C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62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326</xdr:row>
      <xdr:rowOff>0</xdr:rowOff>
    </xdr:from>
    <xdr:to>
      <xdr:col>1</xdr:col>
      <xdr:colOff>304800</xdr:colOff>
      <xdr:row>327</xdr:row>
      <xdr:rowOff>142875</xdr:rowOff>
    </xdr:to>
    <xdr:sp macro="" textlink="">
      <xdr:nvSpPr>
        <xdr:cNvPr id="13758" name="AutoShape 446" descr="View Related Links (Alt+6)">
          <a:hlinkClick xmlns:r="http://schemas.openxmlformats.org/officeDocument/2006/relationships" r:id="rId327"/>
          <a:extLst>
            <a:ext uri="{FF2B5EF4-FFF2-40B4-BE49-F238E27FC236}">
              <a16:creationId xmlns:a16="http://schemas.microsoft.com/office/drawing/2014/main" id="{C6DC536D-3797-62C9-730F-76084A584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78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327</xdr:row>
      <xdr:rowOff>0</xdr:rowOff>
    </xdr:from>
    <xdr:to>
      <xdr:col>1</xdr:col>
      <xdr:colOff>304800</xdr:colOff>
      <xdr:row>328</xdr:row>
      <xdr:rowOff>142875</xdr:rowOff>
    </xdr:to>
    <xdr:sp macro="" textlink="">
      <xdr:nvSpPr>
        <xdr:cNvPr id="13759" name="AutoShape 447" descr="View Related Links (Alt+6)">
          <a:hlinkClick xmlns:r="http://schemas.openxmlformats.org/officeDocument/2006/relationships" r:id="rId328"/>
          <a:extLst>
            <a:ext uri="{FF2B5EF4-FFF2-40B4-BE49-F238E27FC236}">
              <a16:creationId xmlns:a16="http://schemas.microsoft.com/office/drawing/2014/main" id="{507F0688-6A6B-5A22-F34A-E38016885F5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94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328</xdr:row>
      <xdr:rowOff>0</xdr:rowOff>
    </xdr:from>
    <xdr:to>
      <xdr:col>1</xdr:col>
      <xdr:colOff>304800</xdr:colOff>
      <xdr:row>329</xdr:row>
      <xdr:rowOff>142875</xdr:rowOff>
    </xdr:to>
    <xdr:sp macro="" textlink="">
      <xdr:nvSpPr>
        <xdr:cNvPr id="13760" name="AutoShape 448" descr="View Related Links (Alt+6)">
          <a:hlinkClick xmlns:r="http://schemas.openxmlformats.org/officeDocument/2006/relationships" r:id="rId329"/>
          <a:extLst>
            <a:ext uri="{FF2B5EF4-FFF2-40B4-BE49-F238E27FC236}">
              <a16:creationId xmlns:a16="http://schemas.microsoft.com/office/drawing/2014/main" id="{D01BD3FE-E8B1-9BF9-6FB8-96BA95842A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11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329</xdr:row>
      <xdr:rowOff>0</xdr:rowOff>
    </xdr:from>
    <xdr:to>
      <xdr:col>1</xdr:col>
      <xdr:colOff>304800</xdr:colOff>
      <xdr:row>330</xdr:row>
      <xdr:rowOff>142875</xdr:rowOff>
    </xdr:to>
    <xdr:sp macro="" textlink="">
      <xdr:nvSpPr>
        <xdr:cNvPr id="13761" name="AutoShape 449" descr="View Related Links (Alt+6)">
          <a:hlinkClick xmlns:r="http://schemas.openxmlformats.org/officeDocument/2006/relationships" r:id="rId330"/>
          <a:extLst>
            <a:ext uri="{FF2B5EF4-FFF2-40B4-BE49-F238E27FC236}">
              <a16:creationId xmlns:a16="http://schemas.microsoft.com/office/drawing/2014/main" id="{5C8960D0-6D99-C125-4F75-969638BE2CA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27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330</xdr:row>
      <xdr:rowOff>0</xdr:rowOff>
    </xdr:from>
    <xdr:to>
      <xdr:col>1</xdr:col>
      <xdr:colOff>304800</xdr:colOff>
      <xdr:row>331</xdr:row>
      <xdr:rowOff>142875</xdr:rowOff>
    </xdr:to>
    <xdr:sp macro="" textlink="">
      <xdr:nvSpPr>
        <xdr:cNvPr id="13762" name="AutoShape 450" descr="View Related Links (Alt+6)">
          <a:hlinkClick xmlns:r="http://schemas.openxmlformats.org/officeDocument/2006/relationships" r:id="rId331"/>
          <a:extLst>
            <a:ext uri="{FF2B5EF4-FFF2-40B4-BE49-F238E27FC236}">
              <a16:creationId xmlns:a16="http://schemas.microsoft.com/office/drawing/2014/main" id="{833621C3-F43C-8CA5-090C-D3E2EFC1DC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331</xdr:row>
      <xdr:rowOff>0</xdr:rowOff>
    </xdr:from>
    <xdr:to>
      <xdr:col>1</xdr:col>
      <xdr:colOff>304800</xdr:colOff>
      <xdr:row>332</xdr:row>
      <xdr:rowOff>142875</xdr:rowOff>
    </xdr:to>
    <xdr:sp macro="" textlink="">
      <xdr:nvSpPr>
        <xdr:cNvPr id="13763" name="AutoShape 451" descr="View Related Links (Alt+6)">
          <a:hlinkClick xmlns:r="http://schemas.openxmlformats.org/officeDocument/2006/relationships" r:id="rId332"/>
          <a:extLst>
            <a:ext uri="{FF2B5EF4-FFF2-40B4-BE49-F238E27FC236}">
              <a16:creationId xmlns:a16="http://schemas.microsoft.com/office/drawing/2014/main" id="{85FC10C5-6B6C-5A03-7C40-5A3D5F90C9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59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332</xdr:row>
      <xdr:rowOff>0</xdr:rowOff>
    </xdr:from>
    <xdr:to>
      <xdr:col>1</xdr:col>
      <xdr:colOff>304800</xdr:colOff>
      <xdr:row>333</xdr:row>
      <xdr:rowOff>142875</xdr:rowOff>
    </xdr:to>
    <xdr:sp macro="" textlink="">
      <xdr:nvSpPr>
        <xdr:cNvPr id="13764" name="AutoShape 452" descr="View Related Links (Alt+6)">
          <a:hlinkClick xmlns:r="http://schemas.openxmlformats.org/officeDocument/2006/relationships" r:id="rId333"/>
          <a:extLst>
            <a:ext uri="{FF2B5EF4-FFF2-40B4-BE49-F238E27FC236}">
              <a16:creationId xmlns:a16="http://schemas.microsoft.com/office/drawing/2014/main" id="{E92AC02E-65EE-C0A3-648B-A9D5B1C89B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75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333</xdr:row>
      <xdr:rowOff>0</xdr:rowOff>
    </xdr:from>
    <xdr:to>
      <xdr:col>1</xdr:col>
      <xdr:colOff>304800</xdr:colOff>
      <xdr:row>334</xdr:row>
      <xdr:rowOff>142875</xdr:rowOff>
    </xdr:to>
    <xdr:sp macro="" textlink="">
      <xdr:nvSpPr>
        <xdr:cNvPr id="13765" name="AutoShape 453" descr="View Related Links (Alt+6)">
          <a:hlinkClick xmlns:r="http://schemas.openxmlformats.org/officeDocument/2006/relationships" r:id="rId334"/>
          <a:extLst>
            <a:ext uri="{FF2B5EF4-FFF2-40B4-BE49-F238E27FC236}">
              <a16:creationId xmlns:a16="http://schemas.microsoft.com/office/drawing/2014/main" id="{872DB960-89C6-69F3-3A9F-BBE323E11C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9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334</xdr:row>
      <xdr:rowOff>0</xdr:rowOff>
    </xdr:from>
    <xdr:to>
      <xdr:col>1</xdr:col>
      <xdr:colOff>304800</xdr:colOff>
      <xdr:row>335</xdr:row>
      <xdr:rowOff>142875</xdr:rowOff>
    </xdr:to>
    <xdr:sp macro="" textlink="">
      <xdr:nvSpPr>
        <xdr:cNvPr id="13766" name="AutoShape 454" descr="View Related Links (Alt+6)">
          <a:hlinkClick xmlns:r="http://schemas.openxmlformats.org/officeDocument/2006/relationships" r:id="rId335"/>
          <a:extLst>
            <a:ext uri="{FF2B5EF4-FFF2-40B4-BE49-F238E27FC236}">
              <a16:creationId xmlns:a16="http://schemas.microsoft.com/office/drawing/2014/main" id="{B1686D28-3850-492B-2CED-E42F62923B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0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335</xdr:row>
      <xdr:rowOff>0</xdr:rowOff>
    </xdr:from>
    <xdr:to>
      <xdr:col>1</xdr:col>
      <xdr:colOff>304800</xdr:colOff>
      <xdr:row>336</xdr:row>
      <xdr:rowOff>142875</xdr:rowOff>
    </xdr:to>
    <xdr:sp macro="" textlink="">
      <xdr:nvSpPr>
        <xdr:cNvPr id="13767" name="AutoShape 455" descr="View Related Links (Alt+6)">
          <a:hlinkClick xmlns:r="http://schemas.openxmlformats.org/officeDocument/2006/relationships" r:id="rId336"/>
          <a:extLst>
            <a:ext uri="{FF2B5EF4-FFF2-40B4-BE49-F238E27FC236}">
              <a16:creationId xmlns:a16="http://schemas.microsoft.com/office/drawing/2014/main" id="{2BD4EF8A-5D12-7869-7FB2-F9B5B24BB7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2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336</xdr:row>
      <xdr:rowOff>0</xdr:rowOff>
    </xdr:from>
    <xdr:to>
      <xdr:col>1</xdr:col>
      <xdr:colOff>304800</xdr:colOff>
      <xdr:row>337</xdr:row>
      <xdr:rowOff>142875</xdr:rowOff>
    </xdr:to>
    <xdr:sp macro="" textlink="">
      <xdr:nvSpPr>
        <xdr:cNvPr id="13768" name="AutoShape 456" descr="View Related Links (Alt+6)">
          <a:hlinkClick xmlns:r="http://schemas.openxmlformats.org/officeDocument/2006/relationships" r:id="rId337"/>
          <a:extLst>
            <a:ext uri="{FF2B5EF4-FFF2-40B4-BE49-F238E27FC236}">
              <a16:creationId xmlns:a16="http://schemas.microsoft.com/office/drawing/2014/main" id="{F0F6980D-E904-2C68-FB7B-846DD5362C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40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337</xdr:row>
      <xdr:rowOff>0</xdr:rowOff>
    </xdr:from>
    <xdr:to>
      <xdr:col>1</xdr:col>
      <xdr:colOff>304800</xdr:colOff>
      <xdr:row>338</xdr:row>
      <xdr:rowOff>142875</xdr:rowOff>
    </xdr:to>
    <xdr:sp macro="" textlink="">
      <xdr:nvSpPr>
        <xdr:cNvPr id="13769" name="AutoShape 457" descr="View Related Links (Alt+6)">
          <a:hlinkClick xmlns:r="http://schemas.openxmlformats.org/officeDocument/2006/relationships" r:id="rId338"/>
          <a:extLst>
            <a:ext uri="{FF2B5EF4-FFF2-40B4-BE49-F238E27FC236}">
              <a16:creationId xmlns:a16="http://schemas.microsoft.com/office/drawing/2014/main" id="{2B2658AB-7F1D-537B-BE76-9E2D7637AA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56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338</xdr:row>
      <xdr:rowOff>0</xdr:rowOff>
    </xdr:from>
    <xdr:to>
      <xdr:col>1</xdr:col>
      <xdr:colOff>304800</xdr:colOff>
      <xdr:row>339</xdr:row>
      <xdr:rowOff>142875</xdr:rowOff>
    </xdr:to>
    <xdr:sp macro="" textlink="">
      <xdr:nvSpPr>
        <xdr:cNvPr id="13770" name="AutoShape 458" descr="View Related Links (Alt+6)">
          <a:hlinkClick xmlns:r="http://schemas.openxmlformats.org/officeDocument/2006/relationships" r:id="rId339"/>
          <a:extLst>
            <a:ext uri="{FF2B5EF4-FFF2-40B4-BE49-F238E27FC236}">
              <a16:creationId xmlns:a16="http://schemas.microsoft.com/office/drawing/2014/main" id="{10DD199A-F46D-FC75-11CE-9820F756CE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73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339</xdr:row>
      <xdr:rowOff>0</xdr:rowOff>
    </xdr:from>
    <xdr:to>
      <xdr:col>1</xdr:col>
      <xdr:colOff>304800</xdr:colOff>
      <xdr:row>340</xdr:row>
      <xdr:rowOff>142875</xdr:rowOff>
    </xdr:to>
    <xdr:sp macro="" textlink="">
      <xdr:nvSpPr>
        <xdr:cNvPr id="13771" name="AutoShape 459" descr="View Related Links (Alt+6)">
          <a:hlinkClick xmlns:r="http://schemas.openxmlformats.org/officeDocument/2006/relationships" r:id="rId340"/>
          <a:extLst>
            <a:ext uri="{FF2B5EF4-FFF2-40B4-BE49-F238E27FC236}">
              <a16:creationId xmlns:a16="http://schemas.microsoft.com/office/drawing/2014/main" id="{3CF9EFE6-C5D2-7DC0-E7C6-1F5E7CF551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89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340</xdr:row>
      <xdr:rowOff>0</xdr:rowOff>
    </xdr:from>
    <xdr:to>
      <xdr:col>1</xdr:col>
      <xdr:colOff>304800</xdr:colOff>
      <xdr:row>341</xdr:row>
      <xdr:rowOff>142875</xdr:rowOff>
    </xdr:to>
    <xdr:sp macro="" textlink="">
      <xdr:nvSpPr>
        <xdr:cNvPr id="13772" name="AutoShape 460" descr="View Related Links (Alt+6)">
          <a:hlinkClick xmlns:r="http://schemas.openxmlformats.org/officeDocument/2006/relationships" r:id="rId341"/>
          <a:extLst>
            <a:ext uri="{FF2B5EF4-FFF2-40B4-BE49-F238E27FC236}">
              <a16:creationId xmlns:a16="http://schemas.microsoft.com/office/drawing/2014/main" id="{C667C428-41B4-B8C5-B1AE-1DD4F5FFE1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341</xdr:row>
      <xdr:rowOff>0</xdr:rowOff>
    </xdr:from>
    <xdr:to>
      <xdr:col>1</xdr:col>
      <xdr:colOff>304800</xdr:colOff>
      <xdr:row>342</xdr:row>
      <xdr:rowOff>142875</xdr:rowOff>
    </xdr:to>
    <xdr:sp macro="" textlink="">
      <xdr:nvSpPr>
        <xdr:cNvPr id="13773" name="AutoShape 461" descr="View Related Links (Alt+6)">
          <a:hlinkClick xmlns:r="http://schemas.openxmlformats.org/officeDocument/2006/relationships" r:id="rId342"/>
          <a:extLst>
            <a:ext uri="{FF2B5EF4-FFF2-40B4-BE49-F238E27FC236}">
              <a16:creationId xmlns:a16="http://schemas.microsoft.com/office/drawing/2014/main" id="{09255A1F-F26F-39BA-0BE8-B35B1799C1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21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342</xdr:row>
      <xdr:rowOff>0</xdr:rowOff>
    </xdr:from>
    <xdr:to>
      <xdr:col>1</xdr:col>
      <xdr:colOff>304800</xdr:colOff>
      <xdr:row>343</xdr:row>
      <xdr:rowOff>142875</xdr:rowOff>
    </xdr:to>
    <xdr:sp macro="" textlink="">
      <xdr:nvSpPr>
        <xdr:cNvPr id="13774" name="AutoShape 462" descr="View Related Links (Alt+6)">
          <a:hlinkClick xmlns:r="http://schemas.openxmlformats.org/officeDocument/2006/relationships" r:id="rId343"/>
          <a:extLst>
            <a:ext uri="{FF2B5EF4-FFF2-40B4-BE49-F238E27FC236}">
              <a16:creationId xmlns:a16="http://schemas.microsoft.com/office/drawing/2014/main" id="{E95085E7-14FD-65E6-7C7C-5B85B116B5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37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343</xdr:row>
      <xdr:rowOff>0</xdr:rowOff>
    </xdr:from>
    <xdr:to>
      <xdr:col>1</xdr:col>
      <xdr:colOff>304800</xdr:colOff>
      <xdr:row>344</xdr:row>
      <xdr:rowOff>142875</xdr:rowOff>
    </xdr:to>
    <xdr:sp macro="" textlink="">
      <xdr:nvSpPr>
        <xdr:cNvPr id="13775" name="AutoShape 463" descr="View Related Links (Alt+6)">
          <a:hlinkClick xmlns:r="http://schemas.openxmlformats.org/officeDocument/2006/relationships" r:id="rId344"/>
          <a:extLst>
            <a:ext uri="{FF2B5EF4-FFF2-40B4-BE49-F238E27FC236}">
              <a16:creationId xmlns:a16="http://schemas.microsoft.com/office/drawing/2014/main" id="{0153C700-1027-A36E-CC85-B6EFF23FF3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54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344</xdr:row>
      <xdr:rowOff>0</xdr:rowOff>
    </xdr:from>
    <xdr:to>
      <xdr:col>1</xdr:col>
      <xdr:colOff>304800</xdr:colOff>
      <xdr:row>345</xdr:row>
      <xdr:rowOff>142875</xdr:rowOff>
    </xdr:to>
    <xdr:sp macro="" textlink="">
      <xdr:nvSpPr>
        <xdr:cNvPr id="13776" name="AutoShape 464" descr="View Related Links (Alt+6)">
          <a:hlinkClick xmlns:r="http://schemas.openxmlformats.org/officeDocument/2006/relationships" r:id="rId345"/>
          <a:extLst>
            <a:ext uri="{FF2B5EF4-FFF2-40B4-BE49-F238E27FC236}">
              <a16:creationId xmlns:a16="http://schemas.microsoft.com/office/drawing/2014/main" id="{F6B97C16-70FE-4BD6-F9EA-BC71A04B58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7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345</xdr:row>
      <xdr:rowOff>0</xdr:rowOff>
    </xdr:from>
    <xdr:to>
      <xdr:col>1</xdr:col>
      <xdr:colOff>304800</xdr:colOff>
      <xdr:row>346</xdr:row>
      <xdr:rowOff>142875</xdr:rowOff>
    </xdr:to>
    <xdr:sp macro="" textlink="">
      <xdr:nvSpPr>
        <xdr:cNvPr id="13777" name="AutoShape 465" descr="View Related Links (Alt+6)">
          <a:hlinkClick xmlns:r="http://schemas.openxmlformats.org/officeDocument/2006/relationships" r:id="rId346"/>
          <a:extLst>
            <a:ext uri="{FF2B5EF4-FFF2-40B4-BE49-F238E27FC236}">
              <a16:creationId xmlns:a16="http://schemas.microsoft.com/office/drawing/2014/main" id="{64A67A68-B4AB-B2B7-E63A-274FCED384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86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346</xdr:row>
      <xdr:rowOff>0</xdr:rowOff>
    </xdr:from>
    <xdr:to>
      <xdr:col>1</xdr:col>
      <xdr:colOff>304800</xdr:colOff>
      <xdr:row>347</xdr:row>
      <xdr:rowOff>142875</xdr:rowOff>
    </xdr:to>
    <xdr:sp macro="" textlink="">
      <xdr:nvSpPr>
        <xdr:cNvPr id="13778" name="AutoShape 466" descr="View Related Links (Alt+6)">
          <a:hlinkClick xmlns:r="http://schemas.openxmlformats.org/officeDocument/2006/relationships" r:id="rId347"/>
          <a:extLst>
            <a:ext uri="{FF2B5EF4-FFF2-40B4-BE49-F238E27FC236}">
              <a16:creationId xmlns:a16="http://schemas.microsoft.com/office/drawing/2014/main" id="{7C44D259-1C3E-1439-6CDF-CD921B4FED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0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347</xdr:row>
      <xdr:rowOff>0</xdr:rowOff>
    </xdr:from>
    <xdr:to>
      <xdr:col>1</xdr:col>
      <xdr:colOff>304800</xdr:colOff>
      <xdr:row>348</xdr:row>
      <xdr:rowOff>142875</xdr:rowOff>
    </xdr:to>
    <xdr:sp macro="" textlink="">
      <xdr:nvSpPr>
        <xdr:cNvPr id="13779" name="AutoShape 467" descr="View Related Links (Alt+6)">
          <a:hlinkClick xmlns:r="http://schemas.openxmlformats.org/officeDocument/2006/relationships" r:id="rId348"/>
          <a:extLst>
            <a:ext uri="{FF2B5EF4-FFF2-40B4-BE49-F238E27FC236}">
              <a16:creationId xmlns:a16="http://schemas.microsoft.com/office/drawing/2014/main" id="{5B740628-998B-9F9F-CE62-625E65709E4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18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348</xdr:row>
      <xdr:rowOff>0</xdr:rowOff>
    </xdr:from>
    <xdr:to>
      <xdr:col>1</xdr:col>
      <xdr:colOff>304800</xdr:colOff>
      <xdr:row>349</xdr:row>
      <xdr:rowOff>142875</xdr:rowOff>
    </xdr:to>
    <xdr:sp macro="" textlink="">
      <xdr:nvSpPr>
        <xdr:cNvPr id="13780" name="AutoShape 468" descr="View Related Links (Alt+6)">
          <a:hlinkClick xmlns:r="http://schemas.openxmlformats.org/officeDocument/2006/relationships" r:id="rId349"/>
          <a:extLst>
            <a:ext uri="{FF2B5EF4-FFF2-40B4-BE49-F238E27FC236}">
              <a16:creationId xmlns:a16="http://schemas.microsoft.com/office/drawing/2014/main" id="{4B31D181-0769-42AE-CECE-BEA76B0A03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34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349</xdr:row>
      <xdr:rowOff>0</xdr:rowOff>
    </xdr:from>
    <xdr:to>
      <xdr:col>1</xdr:col>
      <xdr:colOff>304800</xdr:colOff>
      <xdr:row>350</xdr:row>
      <xdr:rowOff>142875</xdr:rowOff>
    </xdr:to>
    <xdr:sp macro="" textlink="">
      <xdr:nvSpPr>
        <xdr:cNvPr id="13781" name="AutoShape 469" descr="View Related Links (Alt+6)">
          <a:hlinkClick xmlns:r="http://schemas.openxmlformats.org/officeDocument/2006/relationships" r:id="rId350"/>
          <a:extLst>
            <a:ext uri="{FF2B5EF4-FFF2-40B4-BE49-F238E27FC236}">
              <a16:creationId xmlns:a16="http://schemas.microsoft.com/office/drawing/2014/main" id="{D71C9C7B-4617-BEEB-4B42-20B7ABFCBD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51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350</xdr:row>
      <xdr:rowOff>0</xdr:rowOff>
    </xdr:from>
    <xdr:to>
      <xdr:col>1</xdr:col>
      <xdr:colOff>304800</xdr:colOff>
      <xdr:row>351</xdr:row>
      <xdr:rowOff>142875</xdr:rowOff>
    </xdr:to>
    <xdr:sp macro="" textlink="">
      <xdr:nvSpPr>
        <xdr:cNvPr id="13782" name="AutoShape 470" descr="View Related Links (Alt+6)">
          <a:hlinkClick xmlns:r="http://schemas.openxmlformats.org/officeDocument/2006/relationships" r:id="rId351"/>
          <a:extLst>
            <a:ext uri="{FF2B5EF4-FFF2-40B4-BE49-F238E27FC236}">
              <a16:creationId xmlns:a16="http://schemas.microsoft.com/office/drawing/2014/main" id="{C67A7F44-E99E-2D65-3A37-A42B0118E4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351</xdr:row>
      <xdr:rowOff>0</xdr:rowOff>
    </xdr:from>
    <xdr:to>
      <xdr:col>1</xdr:col>
      <xdr:colOff>304800</xdr:colOff>
      <xdr:row>352</xdr:row>
      <xdr:rowOff>142875</xdr:rowOff>
    </xdr:to>
    <xdr:sp macro="" textlink="">
      <xdr:nvSpPr>
        <xdr:cNvPr id="13783" name="AutoShape 471" descr="View Related Links (Alt+6)">
          <a:hlinkClick xmlns:r="http://schemas.openxmlformats.org/officeDocument/2006/relationships" r:id="rId352"/>
          <a:extLst>
            <a:ext uri="{FF2B5EF4-FFF2-40B4-BE49-F238E27FC236}">
              <a16:creationId xmlns:a16="http://schemas.microsoft.com/office/drawing/2014/main" id="{C4EA7E01-8F2F-D238-AC11-1397A0F703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8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352</xdr:row>
      <xdr:rowOff>0</xdr:rowOff>
    </xdr:from>
    <xdr:to>
      <xdr:col>1</xdr:col>
      <xdr:colOff>304800</xdr:colOff>
      <xdr:row>353</xdr:row>
      <xdr:rowOff>142875</xdr:rowOff>
    </xdr:to>
    <xdr:sp macro="" textlink="">
      <xdr:nvSpPr>
        <xdr:cNvPr id="13784" name="AutoShape 472" descr="View Related Links (Alt+6)">
          <a:hlinkClick xmlns:r="http://schemas.openxmlformats.org/officeDocument/2006/relationships" r:id="rId353"/>
          <a:extLst>
            <a:ext uri="{FF2B5EF4-FFF2-40B4-BE49-F238E27FC236}">
              <a16:creationId xmlns:a16="http://schemas.microsoft.com/office/drawing/2014/main" id="{D72A7B5D-F33F-0121-4EFB-CDF77DB15A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9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353</xdr:row>
      <xdr:rowOff>0</xdr:rowOff>
    </xdr:from>
    <xdr:to>
      <xdr:col>1</xdr:col>
      <xdr:colOff>304800</xdr:colOff>
      <xdr:row>354</xdr:row>
      <xdr:rowOff>142875</xdr:rowOff>
    </xdr:to>
    <xdr:sp macro="" textlink="">
      <xdr:nvSpPr>
        <xdr:cNvPr id="13785" name="AutoShape 473" descr="View Related Links (Alt+6)">
          <a:hlinkClick xmlns:r="http://schemas.openxmlformats.org/officeDocument/2006/relationships" r:id="rId354"/>
          <a:extLst>
            <a:ext uri="{FF2B5EF4-FFF2-40B4-BE49-F238E27FC236}">
              <a16:creationId xmlns:a16="http://schemas.microsoft.com/office/drawing/2014/main" id="{D6C66ECC-6932-FF7F-B8D6-A84FD89FC9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15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354</xdr:row>
      <xdr:rowOff>0</xdr:rowOff>
    </xdr:from>
    <xdr:to>
      <xdr:col>1</xdr:col>
      <xdr:colOff>304800</xdr:colOff>
      <xdr:row>355</xdr:row>
      <xdr:rowOff>142875</xdr:rowOff>
    </xdr:to>
    <xdr:sp macro="" textlink="">
      <xdr:nvSpPr>
        <xdr:cNvPr id="13786" name="AutoShape 474" descr="View Related Links (Alt+6)">
          <a:hlinkClick xmlns:r="http://schemas.openxmlformats.org/officeDocument/2006/relationships" r:id="rId355"/>
          <a:extLst>
            <a:ext uri="{FF2B5EF4-FFF2-40B4-BE49-F238E27FC236}">
              <a16:creationId xmlns:a16="http://schemas.microsoft.com/office/drawing/2014/main" id="{2D579B69-3EA0-407C-B1E9-FB67C7BC70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32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355</xdr:row>
      <xdr:rowOff>0</xdr:rowOff>
    </xdr:from>
    <xdr:to>
      <xdr:col>1</xdr:col>
      <xdr:colOff>304800</xdr:colOff>
      <xdr:row>356</xdr:row>
      <xdr:rowOff>142875</xdr:rowOff>
    </xdr:to>
    <xdr:sp macro="" textlink="">
      <xdr:nvSpPr>
        <xdr:cNvPr id="13787" name="AutoShape 475" descr="View Related Links (Alt+6)">
          <a:hlinkClick xmlns:r="http://schemas.openxmlformats.org/officeDocument/2006/relationships" r:id="rId356"/>
          <a:extLst>
            <a:ext uri="{FF2B5EF4-FFF2-40B4-BE49-F238E27FC236}">
              <a16:creationId xmlns:a16="http://schemas.microsoft.com/office/drawing/2014/main" id="{A715D810-1F9F-B8C9-CF37-045F7F94C8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48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356</xdr:row>
      <xdr:rowOff>0</xdr:rowOff>
    </xdr:from>
    <xdr:to>
      <xdr:col>1</xdr:col>
      <xdr:colOff>304800</xdr:colOff>
      <xdr:row>357</xdr:row>
      <xdr:rowOff>142875</xdr:rowOff>
    </xdr:to>
    <xdr:sp macro="" textlink="">
      <xdr:nvSpPr>
        <xdr:cNvPr id="13788" name="AutoShape 476" descr="View Related Links (Alt+6)">
          <a:hlinkClick xmlns:r="http://schemas.openxmlformats.org/officeDocument/2006/relationships" r:id="rId357"/>
          <a:extLst>
            <a:ext uri="{FF2B5EF4-FFF2-40B4-BE49-F238E27FC236}">
              <a16:creationId xmlns:a16="http://schemas.microsoft.com/office/drawing/2014/main" id="{57657298-460B-825B-0D6F-85BD92AE6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64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357</xdr:row>
      <xdr:rowOff>0</xdr:rowOff>
    </xdr:from>
    <xdr:to>
      <xdr:col>1</xdr:col>
      <xdr:colOff>304800</xdr:colOff>
      <xdr:row>358</xdr:row>
      <xdr:rowOff>142875</xdr:rowOff>
    </xdr:to>
    <xdr:sp macro="" textlink="">
      <xdr:nvSpPr>
        <xdr:cNvPr id="13789" name="AutoShape 477" descr="View Related Links (Alt+6)">
          <a:hlinkClick xmlns:r="http://schemas.openxmlformats.org/officeDocument/2006/relationships" r:id="rId358"/>
          <a:extLst>
            <a:ext uri="{FF2B5EF4-FFF2-40B4-BE49-F238E27FC236}">
              <a16:creationId xmlns:a16="http://schemas.microsoft.com/office/drawing/2014/main" id="{64510809-DB30-9BD5-3CB5-06C4039BC1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358</xdr:row>
      <xdr:rowOff>0</xdr:rowOff>
    </xdr:from>
    <xdr:to>
      <xdr:col>1</xdr:col>
      <xdr:colOff>304800</xdr:colOff>
      <xdr:row>359</xdr:row>
      <xdr:rowOff>142875</xdr:rowOff>
    </xdr:to>
    <xdr:sp macro="" textlink="">
      <xdr:nvSpPr>
        <xdr:cNvPr id="13790" name="AutoShape 478" descr="View Related Links (Alt+6)">
          <a:hlinkClick xmlns:r="http://schemas.openxmlformats.org/officeDocument/2006/relationships" r:id="rId359"/>
          <a:extLst>
            <a:ext uri="{FF2B5EF4-FFF2-40B4-BE49-F238E27FC236}">
              <a16:creationId xmlns:a16="http://schemas.microsoft.com/office/drawing/2014/main" id="{FDB6E49F-DFFC-730F-FB27-09778511D3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359</xdr:row>
      <xdr:rowOff>0</xdr:rowOff>
    </xdr:from>
    <xdr:to>
      <xdr:col>1</xdr:col>
      <xdr:colOff>304800</xdr:colOff>
      <xdr:row>360</xdr:row>
      <xdr:rowOff>142875</xdr:rowOff>
    </xdr:to>
    <xdr:sp macro="" textlink="">
      <xdr:nvSpPr>
        <xdr:cNvPr id="13791" name="AutoShape 479" descr="View Related Links (Alt+6)">
          <a:hlinkClick xmlns:r="http://schemas.openxmlformats.org/officeDocument/2006/relationships" r:id="rId360"/>
          <a:extLst>
            <a:ext uri="{FF2B5EF4-FFF2-40B4-BE49-F238E27FC236}">
              <a16:creationId xmlns:a16="http://schemas.microsoft.com/office/drawing/2014/main" id="{581D92E7-DDA9-F3B9-155F-58615ED2EF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13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360</xdr:row>
      <xdr:rowOff>0</xdr:rowOff>
    </xdr:from>
    <xdr:to>
      <xdr:col>1</xdr:col>
      <xdr:colOff>304800</xdr:colOff>
      <xdr:row>361</xdr:row>
      <xdr:rowOff>142875</xdr:rowOff>
    </xdr:to>
    <xdr:sp macro="" textlink="">
      <xdr:nvSpPr>
        <xdr:cNvPr id="13792" name="AutoShape 480" descr="View Related Links (Alt+6)">
          <a:hlinkClick xmlns:r="http://schemas.openxmlformats.org/officeDocument/2006/relationships" r:id="rId361"/>
          <a:extLst>
            <a:ext uri="{FF2B5EF4-FFF2-40B4-BE49-F238E27FC236}">
              <a16:creationId xmlns:a16="http://schemas.microsoft.com/office/drawing/2014/main" id="{1AFE20AE-2746-4F69-45C5-00868D57D6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361</xdr:row>
      <xdr:rowOff>0</xdr:rowOff>
    </xdr:from>
    <xdr:to>
      <xdr:col>1</xdr:col>
      <xdr:colOff>304800</xdr:colOff>
      <xdr:row>362</xdr:row>
      <xdr:rowOff>142875</xdr:rowOff>
    </xdr:to>
    <xdr:sp macro="" textlink="">
      <xdr:nvSpPr>
        <xdr:cNvPr id="13793" name="AutoShape 481" descr="View Related Links (Alt+6)">
          <a:hlinkClick xmlns:r="http://schemas.openxmlformats.org/officeDocument/2006/relationships" r:id="rId362"/>
          <a:extLst>
            <a:ext uri="{FF2B5EF4-FFF2-40B4-BE49-F238E27FC236}">
              <a16:creationId xmlns:a16="http://schemas.microsoft.com/office/drawing/2014/main" id="{0DD299B6-5116-49F2-1C75-A495126D15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45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362</xdr:row>
      <xdr:rowOff>0</xdr:rowOff>
    </xdr:from>
    <xdr:to>
      <xdr:col>1</xdr:col>
      <xdr:colOff>304800</xdr:colOff>
      <xdr:row>363</xdr:row>
      <xdr:rowOff>142875</xdr:rowOff>
    </xdr:to>
    <xdr:sp macro="" textlink="">
      <xdr:nvSpPr>
        <xdr:cNvPr id="13794" name="AutoShape 482" descr="View Related Links (Alt+6)">
          <a:hlinkClick xmlns:r="http://schemas.openxmlformats.org/officeDocument/2006/relationships" r:id="rId363"/>
          <a:extLst>
            <a:ext uri="{FF2B5EF4-FFF2-40B4-BE49-F238E27FC236}">
              <a16:creationId xmlns:a16="http://schemas.microsoft.com/office/drawing/2014/main" id="{8B4B1722-E26D-8834-3515-ADF1D0EED9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61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363</xdr:row>
      <xdr:rowOff>0</xdr:rowOff>
    </xdr:from>
    <xdr:to>
      <xdr:col>1</xdr:col>
      <xdr:colOff>304800</xdr:colOff>
      <xdr:row>364</xdr:row>
      <xdr:rowOff>142875</xdr:rowOff>
    </xdr:to>
    <xdr:sp macro="" textlink="">
      <xdr:nvSpPr>
        <xdr:cNvPr id="13795" name="AutoShape 483" descr="View Related Links (Alt+6)">
          <a:hlinkClick xmlns:r="http://schemas.openxmlformats.org/officeDocument/2006/relationships" r:id="rId364"/>
          <a:extLst>
            <a:ext uri="{FF2B5EF4-FFF2-40B4-BE49-F238E27FC236}">
              <a16:creationId xmlns:a16="http://schemas.microsoft.com/office/drawing/2014/main" id="{5E27185F-4D47-2489-2BBF-65E022A7D0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77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364</xdr:row>
      <xdr:rowOff>0</xdr:rowOff>
    </xdr:from>
    <xdr:to>
      <xdr:col>1</xdr:col>
      <xdr:colOff>304800</xdr:colOff>
      <xdr:row>365</xdr:row>
      <xdr:rowOff>142875</xdr:rowOff>
    </xdr:to>
    <xdr:sp macro="" textlink="">
      <xdr:nvSpPr>
        <xdr:cNvPr id="13796" name="AutoShape 484" descr="View Related Links (Alt+6)">
          <a:hlinkClick xmlns:r="http://schemas.openxmlformats.org/officeDocument/2006/relationships" r:id="rId365"/>
          <a:extLst>
            <a:ext uri="{FF2B5EF4-FFF2-40B4-BE49-F238E27FC236}">
              <a16:creationId xmlns:a16="http://schemas.microsoft.com/office/drawing/2014/main" id="{13BD0D4E-3FCC-E7D7-1239-31CEF4B91F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94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365</xdr:row>
      <xdr:rowOff>0</xdr:rowOff>
    </xdr:from>
    <xdr:to>
      <xdr:col>1</xdr:col>
      <xdr:colOff>304800</xdr:colOff>
      <xdr:row>366</xdr:row>
      <xdr:rowOff>142875</xdr:rowOff>
    </xdr:to>
    <xdr:sp macro="" textlink="">
      <xdr:nvSpPr>
        <xdr:cNvPr id="13797" name="AutoShape 485" descr="View Related Links (Alt+6)">
          <a:hlinkClick xmlns:r="http://schemas.openxmlformats.org/officeDocument/2006/relationships" r:id="rId366"/>
          <a:extLst>
            <a:ext uri="{FF2B5EF4-FFF2-40B4-BE49-F238E27FC236}">
              <a16:creationId xmlns:a16="http://schemas.microsoft.com/office/drawing/2014/main" id="{38CFBF4B-C132-4967-1480-C858C574A7C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10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366</xdr:row>
      <xdr:rowOff>0</xdr:rowOff>
    </xdr:from>
    <xdr:to>
      <xdr:col>1</xdr:col>
      <xdr:colOff>304800</xdr:colOff>
      <xdr:row>367</xdr:row>
      <xdr:rowOff>142875</xdr:rowOff>
    </xdr:to>
    <xdr:sp macro="" textlink="">
      <xdr:nvSpPr>
        <xdr:cNvPr id="13798" name="AutoShape 486" descr="View Related Links (Alt+6)">
          <a:hlinkClick xmlns:r="http://schemas.openxmlformats.org/officeDocument/2006/relationships" r:id="rId367"/>
          <a:extLst>
            <a:ext uri="{FF2B5EF4-FFF2-40B4-BE49-F238E27FC236}">
              <a16:creationId xmlns:a16="http://schemas.microsoft.com/office/drawing/2014/main" id="{BED07458-6083-D547-BCAB-1632D607DE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26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367</xdr:row>
      <xdr:rowOff>0</xdr:rowOff>
    </xdr:from>
    <xdr:to>
      <xdr:col>1</xdr:col>
      <xdr:colOff>304800</xdr:colOff>
      <xdr:row>368</xdr:row>
      <xdr:rowOff>142875</xdr:rowOff>
    </xdr:to>
    <xdr:sp macro="" textlink="">
      <xdr:nvSpPr>
        <xdr:cNvPr id="13799" name="AutoShape 487" descr="View Related Links (Alt+6)">
          <a:hlinkClick xmlns:r="http://schemas.openxmlformats.org/officeDocument/2006/relationships" r:id="rId368"/>
          <a:extLst>
            <a:ext uri="{FF2B5EF4-FFF2-40B4-BE49-F238E27FC236}">
              <a16:creationId xmlns:a16="http://schemas.microsoft.com/office/drawing/2014/main" id="{D6B88B89-FE1E-D82D-2799-5977D43545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42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368</xdr:row>
      <xdr:rowOff>0</xdr:rowOff>
    </xdr:from>
    <xdr:to>
      <xdr:col>1</xdr:col>
      <xdr:colOff>304800</xdr:colOff>
      <xdr:row>369</xdr:row>
      <xdr:rowOff>142875</xdr:rowOff>
    </xdr:to>
    <xdr:sp macro="" textlink="">
      <xdr:nvSpPr>
        <xdr:cNvPr id="13800" name="AutoShape 488" descr="View Related Links (Alt+6)">
          <a:hlinkClick xmlns:r="http://schemas.openxmlformats.org/officeDocument/2006/relationships" r:id="rId369"/>
          <a:extLst>
            <a:ext uri="{FF2B5EF4-FFF2-40B4-BE49-F238E27FC236}">
              <a16:creationId xmlns:a16="http://schemas.microsoft.com/office/drawing/2014/main" id="{BCABFF10-B249-2321-0DB4-726EF4D3B8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5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369</xdr:row>
      <xdr:rowOff>0</xdr:rowOff>
    </xdr:from>
    <xdr:to>
      <xdr:col>1</xdr:col>
      <xdr:colOff>304800</xdr:colOff>
      <xdr:row>370</xdr:row>
      <xdr:rowOff>142875</xdr:rowOff>
    </xdr:to>
    <xdr:sp macro="" textlink="">
      <xdr:nvSpPr>
        <xdr:cNvPr id="13801" name="AutoShape 489" descr="View Related Links (Alt+6)">
          <a:hlinkClick xmlns:r="http://schemas.openxmlformats.org/officeDocument/2006/relationships" r:id="rId370"/>
          <a:extLst>
            <a:ext uri="{FF2B5EF4-FFF2-40B4-BE49-F238E27FC236}">
              <a16:creationId xmlns:a16="http://schemas.microsoft.com/office/drawing/2014/main" id="{783FF2BD-A1A5-E55B-E508-8C436F1233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7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370</xdr:row>
      <xdr:rowOff>0</xdr:rowOff>
    </xdr:from>
    <xdr:to>
      <xdr:col>1</xdr:col>
      <xdr:colOff>304800</xdr:colOff>
      <xdr:row>371</xdr:row>
      <xdr:rowOff>142875</xdr:rowOff>
    </xdr:to>
    <xdr:sp macro="" textlink="">
      <xdr:nvSpPr>
        <xdr:cNvPr id="13802" name="AutoShape 490" descr="View Related Links (Alt+6)">
          <a:hlinkClick xmlns:r="http://schemas.openxmlformats.org/officeDocument/2006/relationships" r:id="rId371"/>
          <a:extLst>
            <a:ext uri="{FF2B5EF4-FFF2-40B4-BE49-F238E27FC236}">
              <a16:creationId xmlns:a16="http://schemas.microsoft.com/office/drawing/2014/main" id="{59431123-23A9-638A-B0D4-8D23166C52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371</xdr:row>
      <xdr:rowOff>0</xdr:rowOff>
    </xdr:from>
    <xdr:to>
      <xdr:col>1</xdr:col>
      <xdr:colOff>304800</xdr:colOff>
      <xdr:row>372</xdr:row>
      <xdr:rowOff>142875</xdr:rowOff>
    </xdr:to>
    <xdr:sp macro="" textlink="">
      <xdr:nvSpPr>
        <xdr:cNvPr id="13803" name="AutoShape 491" descr="View Related Links (Alt+6)">
          <a:hlinkClick xmlns:r="http://schemas.openxmlformats.org/officeDocument/2006/relationships" r:id="rId372"/>
          <a:extLst>
            <a:ext uri="{FF2B5EF4-FFF2-40B4-BE49-F238E27FC236}">
              <a16:creationId xmlns:a16="http://schemas.microsoft.com/office/drawing/2014/main" id="{FD61439E-4A8B-D885-B735-987DBAFAAF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07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372</xdr:row>
      <xdr:rowOff>0</xdr:rowOff>
    </xdr:from>
    <xdr:to>
      <xdr:col>1</xdr:col>
      <xdr:colOff>304800</xdr:colOff>
      <xdr:row>373</xdr:row>
      <xdr:rowOff>142875</xdr:rowOff>
    </xdr:to>
    <xdr:sp macro="" textlink="">
      <xdr:nvSpPr>
        <xdr:cNvPr id="13804" name="AutoShape 492" descr="View Related Links (Alt+6)">
          <a:hlinkClick xmlns:r="http://schemas.openxmlformats.org/officeDocument/2006/relationships" r:id="rId373"/>
          <a:extLst>
            <a:ext uri="{FF2B5EF4-FFF2-40B4-BE49-F238E27FC236}">
              <a16:creationId xmlns:a16="http://schemas.microsoft.com/office/drawing/2014/main" id="{C0A4A2BC-0B7C-B593-9645-104A797038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23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373</xdr:row>
      <xdr:rowOff>0</xdr:rowOff>
    </xdr:from>
    <xdr:to>
      <xdr:col>1</xdr:col>
      <xdr:colOff>304800</xdr:colOff>
      <xdr:row>374</xdr:row>
      <xdr:rowOff>142875</xdr:rowOff>
    </xdr:to>
    <xdr:sp macro="" textlink="">
      <xdr:nvSpPr>
        <xdr:cNvPr id="13805" name="AutoShape 493" descr="View Related Links (Alt+6)">
          <a:hlinkClick xmlns:r="http://schemas.openxmlformats.org/officeDocument/2006/relationships" r:id="rId374"/>
          <a:extLst>
            <a:ext uri="{FF2B5EF4-FFF2-40B4-BE49-F238E27FC236}">
              <a16:creationId xmlns:a16="http://schemas.microsoft.com/office/drawing/2014/main" id="{729FA753-8EE6-FAF6-BC53-DF8E55CA11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3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374</xdr:row>
      <xdr:rowOff>0</xdr:rowOff>
    </xdr:from>
    <xdr:to>
      <xdr:col>1</xdr:col>
      <xdr:colOff>304800</xdr:colOff>
      <xdr:row>375</xdr:row>
      <xdr:rowOff>142875</xdr:rowOff>
    </xdr:to>
    <xdr:sp macro="" textlink="">
      <xdr:nvSpPr>
        <xdr:cNvPr id="13806" name="AutoShape 494" descr="View Related Links (Alt+6)">
          <a:hlinkClick xmlns:r="http://schemas.openxmlformats.org/officeDocument/2006/relationships" r:id="rId375"/>
          <a:extLst>
            <a:ext uri="{FF2B5EF4-FFF2-40B4-BE49-F238E27FC236}">
              <a16:creationId xmlns:a16="http://schemas.microsoft.com/office/drawing/2014/main" id="{5599ADA3-0019-304B-1785-A15B50047B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55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375</xdr:row>
      <xdr:rowOff>0</xdr:rowOff>
    </xdr:from>
    <xdr:to>
      <xdr:col>1</xdr:col>
      <xdr:colOff>304800</xdr:colOff>
      <xdr:row>376</xdr:row>
      <xdr:rowOff>142875</xdr:rowOff>
    </xdr:to>
    <xdr:sp macro="" textlink="">
      <xdr:nvSpPr>
        <xdr:cNvPr id="13807" name="AutoShape 495" descr="View Related Links (Alt+6)">
          <a:hlinkClick xmlns:r="http://schemas.openxmlformats.org/officeDocument/2006/relationships" r:id="rId376"/>
          <a:extLst>
            <a:ext uri="{FF2B5EF4-FFF2-40B4-BE49-F238E27FC236}">
              <a16:creationId xmlns:a16="http://schemas.microsoft.com/office/drawing/2014/main" id="{54601677-44DA-854E-84EC-D7E4C5DAA6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376</xdr:row>
      <xdr:rowOff>0</xdr:rowOff>
    </xdr:from>
    <xdr:to>
      <xdr:col>1</xdr:col>
      <xdr:colOff>304800</xdr:colOff>
      <xdr:row>377</xdr:row>
      <xdr:rowOff>142875</xdr:rowOff>
    </xdr:to>
    <xdr:sp macro="" textlink="">
      <xdr:nvSpPr>
        <xdr:cNvPr id="13808" name="AutoShape 496" descr="View Related Links (Alt+6)">
          <a:hlinkClick xmlns:r="http://schemas.openxmlformats.org/officeDocument/2006/relationships" r:id="rId377"/>
          <a:extLst>
            <a:ext uri="{FF2B5EF4-FFF2-40B4-BE49-F238E27FC236}">
              <a16:creationId xmlns:a16="http://schemas.microsoft.com/office/drawing/2014/main" id="{A26E8934-0A00-EB3A-25D9-986D5F194B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88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377</xdr:row>
      <xdr:rowOff>0</xdr:rowOff>
    </xdr:from>
    <xdr:to>
      <xdr:col>1</xdr:col>
      <xdr:colOff>304800</xdr:colOff>
      <xdr:row>378</xdr:row>
      <xdr:rowOff>142875</xdr:rowOff>
    </xdr:to>
    <xdr:sp macro="" textlink="">
      <xdr:nvSpPr>
        <xdr:cNvPr id="13809" name="AutoShape 497" descr="View Related Links (Alt+6)">
          <a:hlinkClick xmlns:r="http://schemas.openxmlformats.org/officeDocument/2006/relationships" r:id="rId378"/>
          <a:extLst>
            <a:ext uri="{FF2B5EF4-FFF2-40B4-BE49-F238E27FC236}">
              <a16:creationId xmlns:a16="http://schemas.microsoft.com/office/drawing/2014/main" id="{D8DD8A24-8B42-510F-8A1B-C490031A2B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04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378</xdr:row>
      <xdr:rowOff>0</xdr:rowOff>
    </xdr:from>
    <xdr:to>
      <xdr:col>1</xdr:col>
      <xdr:colOff>304800</xdr:colOff>
      <xdr:row>379</xdr:row>
      <xdr:rowOff>142875</xdr:rowOff>
    </xdr:to>
    <xdr:sp macro="" textlink="">
      <xdr:nvSpPr>
        <xdr:cNvPr id="13810" name="AutoShape 498" descr="View Related Links (Alt+6)">
          <a:hlinkClick xmlns:r="http://schemas.openxmlformats.org/officeDocument/2006/relationships" r:id="rId379"/>
          <a:extLst>
            <a:ext uri="{FF2B5EF4-FFF2-40B4-BE49-F238E27FC236}">
              <a16:creationId xmlns:a16="http://schemas.microsoft.com/office/drawing/2014/main" id="{2984620D-7D27-2A5C-1247-C1B2EB0FD5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20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379</xdr:row>
      <xdr:rowOff>0</xdr:rowOff>
    </xdr:from>
    <xdr:to>
      <xdr:col>1</xdr:col>
      <xdr:colOff>304800</xdr:colOff>
      <xdr:row>380</xdr:row>
      <xdr:rowOff>142875</xdr:rowOff>
    </xdr:to>
    <xdr:sp macro="" textlink="">
      <xdr:nvSpPr>
        <xdr:cNvPr id="13811" name="AutoShape 499" descr="View Related Links (Alt+6)">
          <a:hlinkClick xmlns:r="http://schemas.openxmlformats.org/officeDocument/2006/relationships" r:id="rId380"/>
          <a:extLst>
            <a:ext uri="{FF2B5EF4-FFF2-40B4-BE49-F238E27FC236}">
              <a16:creationId xmlns:a16="http://schemas.microsoft.com/office/drawing/2014/main" id="{8B3E9ACE-7357-F736-FCD4-407484B01B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36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380</xdr:row>
      <xdr:rowOff>0</xdr:rowOff>
    </xdr:from>
    <xdr:to>
      <xdr:col>1</xdr:col>
      <xdr:colOff>304800</xdr:colOff>
      <xdr:row>381</xdr:row>
      <xdr:rowOff>142875</xdr:rowOff>
    </xdr:to>
    <xdr:sp macro="" textlink="">
      <xdr:nvSpPr>
        <xdr:cNvPr id="13812" name="AutoShape 500" descr="View Related Links (Alt+6)">
          <a:hlinkClick xmlns:r="http://schemas.openxmlformats.org/officeDocument/2006/relationships" r:id="rId381"/>
          <a:extLst>
            <a:ext uri="{FF2B5EF4-FFF2-40B4-BE49-F238E27FC236}">
              <a16:creationId xmlns:a16="http://schemas.microsoft.com/office/drawing/2014/main" id="{E76A066D-DA4F-2395-861D-299EB5A25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381</xdr:row>
      <xdr:rowOff>0</xdr:rowOff>
    </xdr:from>
    <xdr:to>
      <xdr:col>1</xdr:col>
      <xdr:colOff>304800</xdr:colOff>
      <xdr:row>382</xdr:row>
      <xdr:rowOff>142875</xdr:rowOff>
    </xdr:to>
    <xdr:sp macro="" textlink="">
      <xdr:nvSpPr>
        <xdr:cNvPr id="13813" name="AutoShape 501" descr="View Related Links (Alt+6)">
          <a:hlinkClick xmlns:r="http://schemas.openxmlformats.org/officeDocument/2006/relationships" r:id="rId382"/>
          <a:extLst>
            <a:ext uri="{FF2B5EF4-FFF2-40B4-BE49-F238E27FC236}">
              <a16:creationId xmlns:a16="http://schemas.microsoft.com/office/drawing/2014/main" id="{24F47904-FB68-952E-3662-CFA6F1AD1B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69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382</xdr:row>
      <xdr:rowOff>0</xdr:rowOff>
    </xdr:from>
    <xdr:to>
      <xdr:col>1</xdr:col>
      <xdr:colOff>304800</xdr:colOff>
      <xdr:row>383</xdr:row>
      <xdr:rowOff>142875</xdr:rowOff>
    </xdr:to>
    <xdr:sp macro="" textlink="">
      <xdr:nvSpPr>
        <xdr:cNvPr id="13814" name="AutoShape 502" descr="View Related Links (Alt+6)">
          <a:hlinkClick xmlns:r="http://schemas.openxmlformats.org/officeDocument/2006/relationships" r:id="rId383"/>
          <a:extLst>
            <a:ext uri="{FF2B5EF4-FFF2-40B4-BE49-F238E27FC236}">
              <a16:creationId xmlns:a16="http://schemas.microsoft.com/office/drawing/2014/main" id="{18E394A7-8BA9-5EDC-C951-FA37AF17F0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85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383</xdr:row>
      <xdr:rowOff>0</xdr:rowOff>
    </xdr:from>
    <xdr:to>
      <xdr:col>1</xdr:col>
      <xdr:colOff>304800</xdr:colOff>
      <xdr:row>384</xdr:row>
      <xdr:rowOff>142875</xdr:rowOff>
    </xdr:to>
    <xdr:sp macro="" textlink="">
      <xdr:nvSpPr>
        <xdr:cNvPr id="13815" name="AutoShape 503" descr="View Related Links (Alt+6)">
          <a:hlinkClick xmlns:r="http://schemas.openxmlformats.org/officeDocument/2006/relationships" r:id="rId384"/>
          <a:extLst>
            <a:ext uri="{FF2B5EF4-FFF2-40B4-BE49-F238E27FC236}">
              <a16:creationId xmlns:a16="http://schemas.microsoft.com/office/drawing/2014/main" id="{92611E03-F90F-35A9-7B4F-AF6098F53B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01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384</xdr:row>
      <xdr:rowOff>0</xdr:rowOff>
    </xdr:from>
    <xdr:to>
      <xdr:col>1</xdr:col>
      <xdr:colOff>304800</xdr:colOff>
      <xdr:row>385</xdr:row>
      <xdr:rowOff>142875</xdr:rowOff>
    </xdr:to>
    <xdr:sp macro="" textlink="">
      <xdr:nvSpPr>
        <xdr:cNvPr id="13816" name="AutoShape 504" descr="View Related Links (Alt+6)">
          <a:hlinkClick xmlns:r="http://schemas.openxmlformats.org/officeDocument/2006/relationships" r:id="rId385"/>
          <a:extLst>
            <a:ext uri="{FF2B5EF4-FFF2-40B4-BE49-F238E27FC236}">
              <a16:creationId xmlns:a16="http://schemas.microsoft.com/office/drawing/2014/main" id="{A117AF29-07F2-C046-A932-2837F995AC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1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385</xdr:row>
      <xdr:rowOff>0</xdr:rowOff>
    </xdr:from>
    <xdr:to>
      <xdr:col>1</xdr:col>
      <xdr:colOff>304800</xdr:colOff>
      <xdr:row>386</xdr:row>
      <xdr:rowOff>142875</xdr:rowOff>
    </xdr:to>
    <xdr:sp macro="" textlink="">
      <xdr:nvSpPr>
        <xdr:cNvPr id="13817" name="AutoShape 505" descr="View Related Links (Alt+6)">
          <a:hlinkClick xmlns:r="http://schemas.openxmlformats.org/officeDocument/2006/relationships" r:id="rId386"/>
          <a:extLst>
            <a:ext uri="{FF2B5EF4-FFF2-40B4-BE49-F238E27FC236}">
              <a16:creationId xmlns:a16="http://schemas.microsoft.com/office/drawing/2014/main" id="{1AC791B9-C529-8DC8-D13C-71A53644DF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3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386</xdr:row>
      <xdr:rowOff>0</xdr:rowOff>
    </xdr:from>
    <xdr:to>
      <xdr:col>1</xdr:col>
      <xdr:colOff>304800</xdr:colOff>
      <xdr:row>387</xdr:row>
      <xdr:rowOff>142875</xdr:rowOff>
    </xdr:to>
    <xdr:sp macro="" textlink="">
      <xdr:nvSpPr>
        <xdr:cNvPr id="13818" name="AutoShape 506" descr="View Related Links (Alt+6)">
          <a:hlinkClick xmlns:r="http://schemas.openxmlformats.org/officeDocument/2006/relationships" r:id="rId387"/>
          <a:extLst>
            <a:ext uri="{FF2B5EF4-FFF2-40B4-BE49-F238E27FC236}">
              <a16:creationId xmlns:a16="http://schemas.microsoft.com/office/drawing/2014/main" id="{4327BD97-D44B-3CCF-9804-C3346255B0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50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387</xdr:row>
      <xdr:rowOff>0</xdr:rowOff>
    </xdr:from>
    <xdr:to>
      <xdr:col>1</xdr:col>
      <xdr:colOff>304800</xdr:colOff>
      <xdr:row>388</xdr:row>
      <xdr:rowOff>142875</xdr:rowOff>
    </xdr:to>
    <xdr:sp macro="" textlink="">
      <xdr:nvSpPr>
        <xdr:cNvPr id="13819" name="AutoShape 507" descr="View Related Links (Alt+6)">
          <a:hlinkClick xmlns:r="http://schemas.openxmlformats.org/officeDocument/2006/relationships" r:id="rId388"/>
          <a:extLst>
            <a:ext uri="{FF2B5EF4-FFF2-40B4-BE49-F238E27FC236}">
              <a16:creationId xmlns:a16="http://schemas.microsoft.com/office/drawing/2014/main" id="{819DAB94-ADE0-93CF-9623-FBBC19291E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66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388</xdr:row>
      <xdr:rowOff>0</xdr:rowOff>
    </xdr:from>
    <xdr:to>
      <xdr:col>1</xdr:col>
      <xdr:colOff>304800</xdr:colOff>
      <xdr:row>389</xdr:row>
      <xdr:rowOff>142875</xdr:rowOff>
    </xdr:to>
    <xdr:sp macro="" textlink="">
      <xdr:nvSpPr>
        <xdr:cNvPr id="13820" name="AutoShape 508" descr="View Related Links (Alt+6)">
          <a:hlinkClick xmlns:r="http://schemas.openxmlformats.org/officeDocument/2006/relationships" r:id="rId389"/>
          <a:extLst>
            <a:ext uri="{FF2B5EF4-FFF2-40B4-BE49-F238E27FC236}">
              <a16:creationId xmlns:a16="http://schemas.microsoft.com/office/drawing/2014/main" id="{79DDC56F-A8DA-B978-D8EC-27A7279152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82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389</xdr:row>
      <xdr:rowOff>0</xdr:rowOff>
    </xdr:from>
    <xdr:to>
      <xdr:col>1</xdr:col>
      <xdr:colOff>304800</xdr:colOff>
      <xdr:row>390</xdr:row>
      <xdr:rowOff>142875</xdr:rowOff>
    </xdr:to>
    <xdr:sp macro="" textlink="">
      <xdr:nvSpPr>
        <xdr:cNvPr id="13821" name="AutoShape 509" descr="View Related Links (Alt+6)">
          <a:hlinkClick xmlns:r="http://schemas.openxmlformats.org/officeDocument/2006/relationships" r:id="rId390"/>
          <a:extLst>
            <a:ext uri="{FF2B5EF4-FFF2-40B4-BE49-F238E27FC236}">
              <a16:creationId xmlns:a16="http://schemas.microsoft.com/office/drawing/2014/main" id="{577FFCF4-5171-CC43-10CB-C71A567DB9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98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390</xdr:row>
      <xdr:rowOff>0</xdr:rowOff>
    </xdr:from>
    <xdr:to>
      <xdr:col>1</xdr:col>
      <xdr:colOff>304800</xdr:colOff>
      <xdr:row>391</xdr:row>
      <xdr:rowOff>142875</xdr:rowOff>
    </xdr:to>
    <xdr:sp macro="" textlink="">
      <xdr:nvSpPr>
        <xdr:cNvPr id="13822" name="AutoShape 510" descr="View Related Links (Alt+6)">
          <a:hlinkClick xmlns:r="http://schemas.openxmlformats.org/officeDocument/2006/relationships" r:id="rId391"/>
          <a:extLst>
            <a:ext uri="{FF2B5EF4-FFF2-40B4-BE49-F238E27FC236}">
              <a16:creationId xmlns:a16="http://schemas.microsoft.com/office/drawing/2014/main" id="{5647B216-C5EA-1237-38AA-3775C7F015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391</xdr:row>
      <xdr:rowOff>0</xdr:rowOff>
    </xdr:from>
    <xdr:to>
      <xdr:col>1</xdr:col>
      <xdr:colOff>304800</xdr:colOff>
      <xdr:row>392</xdr:row>
      <xdr:rowOff>142875</xdr:rowOff>
    </xdr:to>
    <xdr:sp macro="" textlink="">
      <xdr:nvSpPr>
        <xdr:cNvPr id="13823" name="AutoShape 511" descr="View Related Links (Alt+6)">
          <a:hlinkClick xmlns:r="http://schemas.openxmlformats.org/officeDocument/2006/relationships" r:id="rId392"/>
          <a:extLst>
            <a:ext uri="{FF2B5EF4-FFF2-40B4-BE49-F238E27FC236}">
              <a16:creationId xmlns:a16="http://schemas.microsoft.com/office/drawing/2014/main" id="{6FA90207-82EE-D030-06AA-045CA8FAD6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3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392</xdr:row>
      <xdr:rowOff>0</xdr:rowOff>
    </xdr:from>
    <xdr:to>
      <xdr:col>1</xdr:col>
      <xdr:colOff>304800</xdr:colOff>
      <xdr:row>393</xdr:row>
      <xdr:rowOff>142875</xdr:rowOff>
    </xdr:to>
    <xdr:sp macro="" textlink="">
      <xdr:nvSpPr>
        <xdr:cNvPr id="13824" name="AutoShape 512" descr="View Related Links (Alt+6)">
          <a:hlinkClick xmlns:r="http://schemas.openxmlformats.org/officeDocument/2006/relationships" r:id="rId393"/>
          <a:extLst>
            <a:ext uri="{FF2B5EF4-FFF2-40B4-BE49-F238E27FC236}">
              <a16:creationId xmlns:a16="http://schemas.microsoft.com/office/drawing/2014/main" id="{ADC01051-2FAF-26B1-ED71-9748AC185E1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393</xdr:row>
      <xdr:rowOff>0</xdr:rowOff>
    </xdr:from>
    <xdr:to>
      <xdr:col>1</xdr:col>
      <xdr:colOff>304800</xdr:colOff>
      <xdr:row>394</xdr:row>
      <xdr:rowOff>142875</xdr:rowOff>
    </xdr:to>
    <xdr:sp macro="" textlink="">
      <xdr:nvSpPr>
        <xdr:cNvPr id="13825" name="AutoShape 513" descr="View Related Links (Alt+6)">
          <a:hlinkClick xmlns:r="http://schemas.openxmlformats.org/officeDocument/2006/relationships" r:id="rId394"/>
          <a:extLst>
            <a:ext uri="{FF2B5EF4-FFF2-40B4-BE49-F238E27FC236}">
              <a16:creationId xmlns:a16="http://schemas.microsoft.com/office/drawing/2014/main" id="{EEC0624E-C071-E6C1-4C0D-F7694E9226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63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394</xdr:row>
      <xdr:rowOff>0</xdr:rowOff>
    </xdr:from>
    <xdr:to>
      <xdr:col>1</xdr:col>
      <xdr:colOff>304800</xdr:colOff>
      <xdr:row>395</xdr:row>
      <xdr:rowOff>142875</xdr:rowOff>
    </xdr:to>
    <xdr:sp macro="" textlink="">
      <xdr:nvSpPr>
        <xdr:cNvPr id="13826" name="AutoShape 514" descr="View Related Links (Alt+6)">
          <a:hlinkClick xmlns:r="http://schemas.openxmlformats.org/officeDocument/2006/relationships" r:id="rId395"/>
          <a:extLst>
            <a:ext uri="{FF2B5EF4-FFF2-40B4-BE49-F238E27FC236}">
              <a16:creationId xmlns:a16="http://schemas.microsoft.com/office/drawing/2014/main" id="{AE24204B-E569-16B5-7C4B-62F545955E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79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395</xdr:row>
      <xdr:rowOff>0</xdr:rowOff>
    </xdr:from>
    <xdr:to>
      <xdr:col>1</xdr:col>
      <xdr:colOff>304800</xdr:colOff>
      <xdr:row>396</xdr:row>
      <xdr:rowOff>142875</xdr:rowOff>
    </xdr:to>
    <xdr:sp macro="" textlink="">
      <xdr:nvSpPr>
        <xdr:cNvPr id="13827" name="AutoShape 515" descr="View Related Links (Alt+6)">
          <a:hlinkClick xmlns:r="http://schemas.openxmlformats.org/officeDocument/2006/relationships" r:id="rId396"/>
          <a:extLst>
            <a:ext uri="{FF2B5EF4-FFF2-40B4-BE49-F238E27FC236}">
              <a16:creationId xmlns:a16="http://schemas.microsoft.com/office/drawing/2014/main" id="{5FD58283-8EED-843B-EF3A-4B61DF6B02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96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396</xdr:row>
      <xdr:rowOff>0</xdr:rowOff>
    </xdr:from>
    <xdr:to>
      <xdr:col>1</xdr:col>
      <xdr:colOff>304800</xdr:colOff>
      <xdr:row>397</xdr:row>
      <xdr:rowOff>142875</xdr:rowOff>
    </xdr:to>
    <xdr:sp macro="" textlink="">
      <xdr:nvSpPr>
        <xdr:cNvPr id="13828" name="AutoShape 516" descr="View Related Links (Alt+6)">
          <a:hlinkClick xmlns:r="http://schemas.openxmlformats.org/officeDocument/2006/relationships" r:id="rId397"/>
          <a:extLst>
            <a:ext uri="{FF2B5EF4-FFF2-40B4-BE49-F238E27FC236}">
              <a16:creationId xmlns:a16="http://schemas.microsoft.com/office/drawing/2014/main" id="{9177D118-BAF4-6E98-CA42-4730B0BE16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12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397</xdr:row>
      <xdr:rowOff>0</xdr:rowOff>
    </xdr:from>
    <xdr:to>
      <xdr:col>1</xdr:col>
      <xdr:colOff>304800</xdr:colOff>
      <xdr:row>398</xdr:row>
      <xdr:rowOff>142875</xdr:rowOff>
    </xdr:to>
    <xdr:sp macro="" textlink="">
      <xdr:nvSpPr>
        <xdr:cNvPr id="13829" name="AutoShape 517" descr="View Related Links (Alt+6)">
          <a:hlinkClick xmlns:r="http://schemas.openxmlformats.org/officeDocument/2006/relationships" r:id="rId398"/>
          <a:extLst>
            <a:ext uri="{FF2B5EF4-FFF2-40B4-BE49-F238E27FC236}">
              <a16:creationId xmlns:a16="http://schemas.microsoft.com/office/drawing/2014/main" id="{3490A80F-4899-BB06-B618-77EFF22B5E8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28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398</xdr:row>
      <xdr:rowOff>0</xdr:rowOff>
    </xdr:from>
    <xdr:to>
      <xdr:col>1</xdr:col>
      <xdr:colOff>304800</xdr:colOff>
      <xdr:row>399</xdr:row>
      <xdr:rowOff>142875</xdr:rowOff>
    </xdr:to>
    <xdr:sp macro="" textlink="">
      <xdr:nvSpPr>
        <xdr:cNvPr id="13830" name="AutoShape 518" descr="View Related Links (Alt+6)">
          <a:hlinkClick xmlns:r="http://schemas.openxmlformats.org/officeDocument/2006/relationships" r:id="rId399"/>
          <a:extLst>
            <a:ext uri="{FF2B5EF4-FFF2-40B4-BE49-F238E27FC236}">
              <a16:creationId xmlns:a16="http://schemas.microsoft.com/office/drawing/2014/main" id="{85E20A89-C84B-751E-DD9E-8B83131AF1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44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399</xdr:row>
      <xdr:rowOff>0</xdr:rowOff>
    </xdr:from>
    <xdr:to>
      <xdr:col>1</xdr:col>
      <xdr:colOff>304800</xdr:colOff>
      <xdr:row>400</xdr:row>
      <xdr:rowOff>142875</xdr:rowOff>
    </xdr:to>
    <xdr:sp macro="" textlink="">
      <xdr:nvSpPr>
        <xdr:cNvPr id="13831" name="AutoShape 519" descr="View Related Links (Alt+6)">
          <a:hlinkClick xmlns:r="http://schemas.openxmlformats.org/officeDocument/2006/relationships" r:id="rId400"/>
          <a:extLst>
            <a:ext uri="{FF2B5EF4-FFF2-40B4-BE49-F238E27FC236}">
              <a16:creationId xmlns:a16="http://schemas.microsoft.com/office/drawing/2014/main" id="{D4F76E4D-9BE8-2568-2753-E5E1CE43A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6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400</xdr:row>
      <xdr:rowOff>0</xdr:rowOff>
    </xdr:from>
    <xdr:to>
      <xdr:col>1</xdr:col>
      <xdr:colOff>304800</xdr:colOff>
      <xdr:row>401</xdr:row>
      <xdr:rowOff>142875</xdr:rowOff>
    </xdr:to>
    <xdr:sp macro="" textlink="">
      <xdr:nvSpPr>
        <xdr:cNvPr id="13832" name="AutoShape 520" descr="View Related Links (Alt+6)">
          <a:hlinkClick xmlns:r="http://schemas.openxmlformats.org/officeDocument/2006/relationships" r:id="rId401"/>
          <a:extLst>
            <a:ext uri="{FF2B5EF4-FFF2-40B4-BE49-F238E27FC236}">
              <a16:creationId xmlns:a16="http://schemas.microsoft.com/office/drawing/2014/main" id="{46DC2B6E-92A0-8F10-CDA7-D4D20C4DD6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401</xdr:row>
      <xdr:rowOff>0</xdr:rowOff>
    </xdr:from>
    <xdr:to>
      <xdr:col>1</xdr:col>
      <xdr:colOff>304800</xdr:colOff>
      <xdr:row>402</xdr:row>
      <xdr:rowOff>142875</xdr:rowOff>
    </xdr:to>
    <xdr:sp macro="" textlink="">
      <xdr:nvSpPr>
        <xdr:cNvPr id="13833" name="AutoShape 521" descr="View Related Links (Alt+6)">
          <a:hlinkClick xmlns:r="http://schemas.openxmlformats.org/officeDocument/2006/relationships" r:id="rId402"/>
          <a:extLst>
            <a:ext uri="{FF2B5EF4-FFF2-40B4-BE49-F238E27FC236}">
              <a16:creationId xmlns:a16="http://schemas.microsoft.com/office/drawing/2014/main" id="{6E67BBA8-0890-2002-CEF4-867CD171DD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9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402</xdr:row>
      <xdr:rowOff>0</xdr:rowOff>
    </xdr:from>
    <xdr:to>
      <xdr:col>1</xdr:col>
      <xdr:colOff>304800</xdr:colOff>
      <xdr:row>403</xdr:row>
      <xdr:rowOff>142875</xdr:rowOff>
    </xdr:to>
    <xdr:sp macro="" textlink="">
      <xdr:nvSpPr>
        <xdr:cNvPr id="13834" name="AutoShape 522" descr="View Related Links (Alt+6)">
          <a:hlinkClick xmlns:r="http://schemas.openxmlformats.org/officeDocument/2006/relationships" r:id="rId403"/>
          <a:extLst>
            <a:ext uri="{FF2B5EF4-FFF2-40B4-BE49-F238E27FC236}">
              <a16:creationId xmlns:a16="http://schemas.microsoft.com/office/drawing/2014/main" id="{10FB211E-2738-0AF1-380E-DAC43272D1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0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403</xdr:row>
      <xdr:rowOff>0</xdr:rowOff>
    </xdr:from>
    <xdr:to>
      <xdr:col>1</xdr:col>
      <xdr:colOff>304800</xdr:colOff>
      <xdr:row>404</xdr:row>
      <xdr:rowOff>142875</xdr:rowOff>
    </xdr:to>
    <xdr:sp macro="" textlink="">
      <xdr:nvSpPr>
        <xdr:cNvPr id="13835" name="AutoShape 523" descr="View Related Links (Alt+6)">
          <a:hlinkClick xmlns:r="http://schemas.openxmlformats.org/officeDocument/2006/relationships" r:id="rId404"/>
          <a:extLst>
            <a:ext uri="{FF2B5EF4-FFF2-40B4-BE49-F238E27FC236}">
              <a16:creationId xmlns:a16="http://schemas.microsoft.com/office/drawing/2014/main" id="{177942C3-9ECF-FF80-766B-1931888205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25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404</xdr:row>
      <xdr:rowOff>0</xdr:rowOff>
    </xdr:from>
    <xdr:to>
      <xdr:col>1</xdr:col>
      <xdr:colOff>304800</xdr:colOff>
      <xdr:row>405</xdr:row>
      <xdr:rowOff>142875</xdr:rowOff>
    </xdr:to>
    <xdr:sp macro="" textlink="">
      <xdr:nvSpPr>
        <xdr:cNvPr id="13836" name="AutoShape 524" descr="View Related Links (Alt+6)">
          <a:hlinkClick xmlns:r="http://schemas.openxmlformats.org/officeDocument/2006/relationships" r:id="rId405"/>
          <a:extLst>
            <a:ext uri="{FF2B5EF4-FFF2-40B4-BE49-F238E27FC236}">
              <a16:creationId xmlns:a16="http://schemas.microsoft.com/office/drawing/2014/main" id="{6E7AE805-1CB4-77B6-0D8A-67A67B931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4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405</xdr:row>
      <xdr:rowOff>0</xdr:rowOff>
    </xdr:from>
    <xdr:to>
      <xdr:col>1</xdr:col>
      <xdr:colOff>304800</xdr:colOff>
      <xdr:row>406</xdr:row>
      <xdr:rowOff>142875</xdr:rowOff>
    </xdr:to>
    <xdr:sp macro="" textlink="">
      <xdr:nvSpPr>
        <xdr:cNvPr id="13837" name="AutoShape 525" descr="View Related Links (Alt+6)">
          <a:hlinkClick xmlns:r="http://schemas.openxmlformats.org/officeDocument/2006/relationships" r:id="rId406"/>
          <a:extLst>
            <a:ext uri="{FF2B5EF4-FFF2-40B4-BE49-F238E27FC236}">
              <a16:creationId xmlns:a16="http://schemas.microsoft.com/office/drawing/2014/main" id="{69E6E453-EEB0-FBC9-7E2A-3DE513D915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57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406</xdr:row>
      <xdr:rowOff>0</xdr:rowOff>
    </xdr:from>
    <xdr:to>
      <xdr:col>1</xdr:col>
      <xdr:colOff>304800</xdr:colOff>
      <xdr:row>407</xdr:row>
      <xdr:rowOff>142875</xdr:rowOff>
    </xdr:to>
    <xdr:sp macro="" textlink="">
      <xdr:nvSpPr>
        <xdr:cNvPr id="13838" name="AutoShape 526" descr="View Related Links (Alt+6)">
          <a:hlinkClick xmlns:r="http://schemas.openxmlformats.org/officeDocument/2006/relationships" r:id="rId407"/>
          <a:extLst>
            <a:ext uri="{FF2B5EF4-FFF2-40B4-BE49-F238E27FC236}">
              <a16:creationId xmlns:a16="http://schemas.microsoft.com/office/drawing/2014/main" id="{C6CD1422-9BAF-69BA-4B9C-A2D0BEE5C7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74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407</xdr:row>
      <xdr:rowOff>0</xdr:rowOff>
    </xdr:from>
    <xdr:to>
      <xdr:col>1</xdr:col>
      <xdr:colOff>304800</xdr:colOff>
      <xdr:row>408</xdr:row>
      <xdr:rowOff>142875</xdr:rowOff>
    </xdr:to>
    <xdr:sp macro="" textlink="">
      <xdr:nvSpPr>
        <xdr:cNvPr id="13839" name="AutoShape 527" descr="View Related Links (Alt+6)">
          <a:hlinkClick xmlns:r="http://schemas.openxmlformats.org/officeDocument/2006/relationships" r:id="rId408"/>
          <a:extLst>
            <a:ext uri="{FF2B5EF4-FFF2-40B4-BE49-F238E27FC236}">
              <a16:creationId xmlns:a16="http://schemas.microsoft.com/office/drawing/2014/main" id="{72016F1B-1D09-A876-4D22-4168340C09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9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408</xdr:row>
      <xdr:rowOff>0</xdr:rowOff>
    </xdr:from>
    <xdr:to>
      <xdr:col>1</xdr:col>
      <xdr:colOff>304800</xdr:colOff>
      <xdr:row>409</xdr:row>
      <xdr:rowOff>142875</xdr:rowOff>
    </xdr:to>
    <xdr:sp macro="" textlink="">
      <xdr:nvSpPr>
        <xdr:cNvPr id="13840" name="AutoShape 528" descr="View Related Links (Alt+6)">
          <a:hlinkClick xmlns:r="http://schemas.openxmlformats.org/officeDocument/2006/relationships" r:id="rId409"/>
          <a:extLst>
            <a:ext uri="{FF2B5EF4-FFF2-40B4-BE49-F238E27FC236}">
              <a16:creationId xmlns:a16="http://schemas.microsoft.com/office/drawing/2014/main" id="{60500846-0729-6987-2A64-6B32DEB141B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409</xdr:row>
      <xdr:rowOff>0</xdr:rowOff>
    </xdr:from>
    <xdr:to>
      <xdr:col>1</xdr:col>
      <xdr:colOff>304800</xdr:colOff>
      <xdr:row>410</xdr:row>
      <xdr:rowOff>142875</xdr:rowOff>
    </xdr:to>
    <xdr:sp macro="" textlink="">
      <xdr:nvSpPr>
        <xdr:cNvPr id="13841" name="AutoShape 529" descr="View Related Links (Alt+6)">
          <a:hlinkClick xmlns:r="http://schemas.openxmlformats.org/officeDocument/2006/relationships" r:id="rId410"/>
          <a:extLst>
            <a:ext uri="{FF2B5EF4-FFF2-40B4-BE49-F238E27FC236}">
              <a16:creationId xmlns:a16="http://schemas.microsoft.com/office/drawing/2014/main" id="{FEE85D0E-D1FA-8958-D012-C11096D1D4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22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410</xdr:row>
      <xdr:rowOff>0</xdr:rowOff>
    </xdr:from>
    <xdr:to>
      <xdr:col>1</xdr:col>
      <xdr:colOff>304800</xdr:colOff>
      <xdr:row>411</xdr:row>
      <xdr:rowOff>142875</xdr:rowOff>
    </xdr:to>
    <xdr:sp macro="" textlink="">
      <xdr:nvSpPr>
        <xdr:cNvPr id="13842" name="AutoShape 530" descr="View Related Links (Alt+6)">
          <a:hlinkClick xmlns:r="http://schemas.openxmlformats.org/officeDocument/2006/relationships" r:id="rId411"/>
          <a:extLst>
            <a:ext uri="{FF2B5EF4-FFF2-40B4-BE49-F238E27FC236}">
              <a16:creationId xmlns:a16="http://schemas.microsoft.com/office/drawing/2014/main" id="{EA2FFA44-4185-12AB-F845-9E8D3D8CF3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411</xdr:row>
      <xdr:rowOff>0</xdr:rowOff>
    </xdr:from>
    <xdr:to>
      <xdr:col>1</xdr:col>
      <xdr:colOff>304800</xdr:colOff>
      <xdr:row>412</xdr:row>
      <xdr:rowOff>142875</xdr:rowOff>
    </xdr:to>
    <xdr:sp macro="" textlink="">
      <xdr:nvSpPr>
        <xdr:cNvPr id="13843" name="AutoShape 531" descr="View Related Links (Alt+6)">
          <a:hlinkClick xmlns:r="http://schemas.openxmlformats.org/officeDocument/2006/relationships" r:id="rId412"/>
          <a:extLst>
            <a:ext uri="{FF2B5EF4-FFF2-40B4-BE49-F238E27FC236}">
              <a16:creationId xmlns:a16="http://schemas.microsoft.com/office/drawing/2014/main" id="{DEAC9544-BCF9-80E5-7D0D-124B6FF1F2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55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412</xdr:row>
      <xdr:rowOff>0</xdr:rowOff>
    </xdr:from>
    <xdr:to>
      <xdr:col>1</xdr:col>
      <xdr:colOff>304800</xdr:colOff>
      <xdr:row>413</xdr:row>
      <xdr:rowOff>142875</xdr:rowOff>
    </xdr:to>
    <xdr:sp macro="" textlink="">
      <xdr:nvSpPr>
        <xdr:cNvPr id="13844" name="AutoShape 532" descr="View Related Links (Alt+6)">
          <a:hlinkClick xmlns:r="http://schemas.openxmlformats.org/officeDocument/2006/relationships" r:id="rId413"/>
          <a:extLst>
            <a:ext uri="{FF2B5EF4-FFF2-40B4-BE49-F238E27FC236}">
              <a16:creationId xmlns:a16="http://schemas.microsoft.com/office/drawing/2014/main" id="{E1E2FED5-390C-CCD8-D3F7-61BD285917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71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413</xdr:row>
      <xdr:rowOff>0</xdr:rowOff>
    </xdr:from>
    <xdr:to>
      <xdr:col>1</xdr:col>
      <xdr:colOff>304800</xdr:colOff>
      <xdr:row>414</xdr:row>
      <xdr:rowOff>142875</xdr:rowOff>
    </xdr:to>
    <xdr:sp macro="" textlink="">
      <xdr:nvSpPr>
        <xdr:cNvPr id="13845" name="AutoShape 533" descr="View Related Links (Alt+6)">
          <a:hlinkClick xmlns:r="http://schemas.openxmlformats.org/officeDocument/2006/relationships" r:id="rId414"/>
          <a:extLst>
            <a:ext uri="{FF2B5EF4-FFF2-40B4-BE49-F238E27FC236}">
              <a16:creationId xmlns:a16="http://schemas.microsoft.com/office/drawing/2014/main" id="{C4F2D579-207B-1AE5-2634-11D31720FB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87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414</xdr:row>
      <xdr:rowOff>0</xdr:rowOff>
    </xdr:from>
    <xdr:to>
      <xdr:col>1</xdr:col>
      <xdr:colOff>304800</xdr:colOff>
      <xdr:row>415</xdr:row>
      <xdr:rowOff>142875</xdr:rowOff>
    </xdr:to>
    <xdr:sp macro="" textlink="">
      <xdr:nvSpPr>
        <xdr:cNvPr id="13846" name="AutoShape 534" descr="View Related Links (Alt+6)">
          <a:hlinkClick xmlns:r="http://schemas.openxmlformats.org/officeDocument/2006/relationships" r:id="rId415"/>
          <a:extLst>
            <a:ext uri="{FF2B5EF4-FFF2-40B4-BE49-F238E27FC236}">
              <a16:creationId xmlns:a16="http://schemas.microsoft.com/office/drawing/2014/main" id="{3A27E032-9BD5-6629-D805-1B8953D77F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03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415</xdr:row>
      <xdr:rowOff>0</xdr:rowOff>
    </xdr:from>
    <xdr:to>
      <xdr:col>1</xdr:col>
      <xdr:colOff>304800</xdr:colOff>
      <xdr:row>416</xdr:row>
      <xdr:rowOff>142875</xdr:rowOff>
    </xdr:to>
    <xdr:sp macro="" textlink="">
      <xdr:nvSpPr>
        <xdr:cNvPr id="13847" name="AutoShape 535" descr="View Related Links (Alt+6)">
          <a:hlinkClick xmlns:r="http://schemas.openxmlformats.org/officeDocument/2006/relationships" r:id="rId416"/>
          <a:extLst>
            <a:ext uri="{FF2B5EF4-FFF2-40B4-BE49-F238E27FC236}">
              <a16:creationId xmlns:a16="http://schemas.microsoft.com/office/drawing/2014/main" id="{C2882AE6-1949-F16D-928B-801FF9C7D7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19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416</xdr:row>
      <xdr:rowOff>0</xdr:rowOff>
    </xdr:from>
    <xdr:to>
      <xdr:col>1</xdr:col>
      <xdr:colOff>304800</xdr:colOff>
      <xdr:row>417</xdr:row>
      <xdr:rowOff>142875</xdr:rowOff>
    </xdr:to>
    <xdr:sp macro="" textlink="">
      <xdr:nvSpPr>
        <xdr:cNvPr id="13848" name="AutoShape 536" descr="View Related Links (Alt+6)">
          <a:hlinkClick xmlns:r="http://schemas.openxmlformats.org/officeDocument/2006/relationships" r:id="rId417"/>
          <a:extLst>
            <a:ext uri="{FF2B5EF4-FFF2-40B4-BE49-F238E27FC236}">
              <a16:creationId xmlns:a16="http://schemas.microsoft.com/office/drawing/2014/main" id="{CCF830B0-E98A-A70E-908F-C9575A8A89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3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417</xdr:row>
      <xdr:rowOff>0</xdr:rowOff>
    </xdr:from>
    <xdr:to>
      <xdr:col>1</xdr:col>
      <xdr:colOff>304800</xdr:colOff>
      <xdr:row>418</xdr:row>
      <xdr:rowOff>142875</xdr:rowOff>
    </xdr:to>
    <xdr:sp macro="" textlink="">
      <xdr:nvSpPr>
        <xdr:cNvPr id="13849" name="AutoShape 537" descr="View Related Links (Alt+6)">
          <a:hlinkClick xmlns:r="http://schemas.openxmlformats.org/officeDocument/2006/relationships" r:id="rId418"/>
          <a:extLst>
            <a:ext uri="{FF2B5EF4-FFF2-40B4-BE49-F238E27FC236}">
              <a16:creationId xmlns:a16="http://schemas.microsoft.com/office/drawing/2014/main" id="{F33DBFCA-99C7-A829-FD27-E66044A919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52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418</xdr:row>
      <xdr:rowOff>0</xdr:rowOff>
    </xdr:from>
    <xdr:to>
      <xdr:col>1</xdr:col>
      <xdr:colOff>304800</xdr:colOff>
      <xdr:row>419</xdr:row>
      <xdr:rowOff>142875</xdr:rowOff>
    </xdr:to>
    <xdr:sp macro="" textlink="">
      <xdr:nvSpPr>
        <xdr:cNvPr id="13850" name="AutoShape 538" descr="View Related Links (Alt+6)">
          <a:hlinkClick xmlns:r="http://schemas.openxmlformats.org/officeDocument/2006/relationships" r:id="rId419"/>
          <a:extLst>
            <a:ext uri="{FF2B5EF4-FFF2-40B4-BE49-F238E27FC236}">
              <a16:creationId xmlns:a16="http://schemas.microsoft.com/office/drawing/2014/main" id="{2AA38432-6E59-2A10-946F-02993FBB9A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68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419</xdr:row>
      <xdr:rowOff>0</xdr:rowOff>
    </xdr:from>
    <xdr:to>
      <xdr:col>1</xdr:col>
      <xdr:colOff>304800</xdr:colOff>
      <xdr:row>420</xdr:row>
      <xdr:rowOff>142875</xdr:rowOff>
    </xdr:to>
    <xdr:sp macro="" textlink="">
      <xdr:nvSpPr>
        <xdr:cNvPr id="13851" name="AutoShape 539" descr="View Related Links (Alt+6)">
          <a:hlinkClick xmlns:r="http://schemas.openxmlformats.org/officeDocument/2006/relationships" r:id="rId420"/>
          <a:extLst>
            <a:ext uri="{FF2B5EF4-FFF2-40B4-BE49-F238E27FC236}">
              <a16:creationId xmlns:a16="http://schemas.microsoft.com/office/drawing/2014/main" id="{B5DD367D-EFFB-B0BB-9166-F2004BD0C2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8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420</xdr:row>
      <xdr:rowOff>0</xdr:rowOff>
    </xdr:from>
    <xdr:to>
      <xdr:col>1</xdr:col>
      <xdr:colOff>304800</xdr:colOff>
      <xdr:row>421</xdr:row>
      <xdr:rowOff>142875</xdr:rowOff>
    </xdr:to>
    <xdr:sp macro="" textlink="">
      <xdr:nvSpPr>
        <xdr:cNvPr id="13852" name="AutoShape 540" descr="View Related Links (Alt+6)">
          <a:hlinkClick xmlns:r="http://schemas.openxmlformats.org/officeDocument/2006/relationships" r:id="rId421"/>
          <a:extLst>
            <a:ext uri="{FF2B5EF4-FFF2-40B4-BE49-F238E27FC236}">
              <a16:creationId xmlns:a16="http://schemas.microsoft.com/office/drawing/2014/main" id="{AF67EC70-929F-F68F-ABEF-384E613B49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421</xdr:row>
      <xdr:rowOff>0</xdr:rowOff>
    </xdr:from>
    <xdr:to>
      <xdr:col>1</xdr:col>
      <xdr:colOff>304800</xdr:colOff>
      <xdr:row>422</xdr:row>
      <xdr:rowOff>142875</xdr:rowOff>
    </xdr:to>
    <xdr:sp macro="" textlink="">
      <xdr:nvSpPr>
        <xdr:cNvPr id="13853" name="AutoShape 541" descr="View Related Links (Alt+6)">
          <a:hlinkClick xmlns:r="http://schemas.openxmlformats.org/officeDocument/2006/relationships" r:id="rId422"/>
          <a:extLst>
            <a:ext uri="{FF2B5EF4-FFF2-40B4-BE49-F238E27FC236}">
              <a16:creationId xmlns:a16="http://schemas.microsoft.com/office/drawing/2014/main" id="{B4C56E27-D5E0-FDD4-3544-CC2A49CB98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1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422</xdr:row>
      <xdr:rowOff>0</xdr:rowOff>
    </xdr:from>
    <xdr:to>
      <xdr:col>1</xdr:col>
      <xdr:colOff>304800</xdr:colOff>
      <xdr:row>423</xdr:row>
      <xdr:rowOff>142875</xdr:rowOff>
    </xdr:to>
    <xdr:sp macro="" textlink="">
      <xdr:nvSpPr>
        <xdr:cNvPr id="13854" name="AutoShape 542" descr="View Related Links (Alt+6)">
          <a:hlinkClick xmlns:r="http://schemas.openxmlformats.org/officeDocument/2006/relationships" r:id="rId423"/>
          <a:extLst>
            <a:ext uri="{FF2B5EF4-FFF2-40B4-BE49-F238E27FC236}">
              <a16:creationId xmlns:a16="http://schemas.microsoft.com/office/drawing/2014/main" id="{220F96B0-0B79-C1A6-2CE1-97FA530A11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3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423</xdr:row>
      <xdr:rowOff>0</xdr:rowOff>
    </xdr:from>
    <xdr:to>
      <xdr:col>1</xdr:col>
      <xdr:colOff>304800</xdr:colOff>
      <xdr:row>424</xdr:row>
      <xdr:rowOff>142875</xdr:rowOff>
    </xdr:to>
    <xdr:sp macro="" textlink="">
      <xdr:nvSpPr>
        <xdr:cNvPr id="13855" name="AutoShape 543" descr="View Related Links (Alt+6)">
          <a:hlinkClick xmlns:r="http://schemas.openxmlformats.org/officeDocument/2006/relationships" r:id="rId424"/>
          <a:extLst>
            <a:ext uri="{FF2B5EF4-FFF2-40B4-BE49-F238E27FC236}">
              <a16:creationId xmlns:a16="http://schemas.microsoft.com/office/drawing/2014/main" id="{C313B7D6-AF06-A969-202F-CE173ED2AC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49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424</xdr:row>
      <xdr:rowOff>0</xdr:rowOff>
    </xdr:from>
    <xdr:to>
      <xdr:col>1</xdr:col>
      <xdr:colOff>304800</xdr:colOff>
      <xdr:row>425</xdr:row>
      <xdr:rowOff>142875</xdr:rowOff>
    </xdr:to>
    <xdr:sp macro="" textlink="">
      <xdr:nvSpPr>
        <xdr:cNvPr id="13856" name="AutoShape 544" descr="View Related Links (Alt+6)">
          <a:hlinkClick xmlns:r="http://schemas.openxmlformats.org/officeDocument/2006/relationships" r:id="rId425"/>
          <a:extLst>
            <a:ext uri="{FF2B5EF4-FFF2-40B4-BE49-F238E27FC236}">
              <a16:creationId xmlns:a16="http://schemas.microsoft.com/office/drawing/2014/main" id="{F44CE458-7DF3-821D-C2E6-A18BA7541E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65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425</xdr:row>
      <xdr:rowOff>0</xdr:rowOff>
    </xdr:from>
    <xdr:to>
      <xdr:col>1</xdr:col>
      <xdr:colOff>304800</xdr:colOff>
      <xdr:row>426</xdr:row>
      <xdr:rowOff>142875</xdr:rowOff>
    </xdr:to>
    <xdr:sp macro="" textlink="">
      <xdr:nvSpPr>
        <xdr:cNvPr id="13857" name="AutoShape 545" descr="View Related Links (Alt+6)">
          <a:hlinkClick xmlns:r="http://schemas.openxmlformats.org/officeDocument/2006/relationships" r:id="rId426"/>
          <a:extLst>
            <a:ext uri="{FF2B5EF4-FFF2-40B4-BE49-F238E27FC236}">
              <a16:creationId xmlns:a16="http://schemas.microsoft.com/office/drawing/2014/main" id="{34041235-8AEF-ECB8-ECC0-21B84BC1349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81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426</xdr:row>
      <xdr:rowOff>0</xdr:rowOff>
    </xdr:from>
    <xdr:to>
      <xdr:col>1</xdr:col>
      <xdr:colOff>304800</xdr:colOff>
      <xdr:row>427</xdr:row>
      <xdr:rowOff>142875</xdr:rowOff>
    </xdr:to>
    <xdr:sp macro="" textlink="">
      <xdr:nvSpPr>
        <xdr:cNvPr id="13858" name="AutoShape 546" descr="View Related Links (Alt+6)">
          <a:hlinkClick xmlns:r="http://schemas.openxmlformats.org/officeDocument/2006/relationships" r:id="rId427"/>
          <a:extLst>
            <a:ext uri="{FF2B5EF4-FFF2-40B4-BE49-F238E27FC236}">
              <a16:creationId xmlns:a16="http://schemas.microsoft.com/office/drawing/2014/main" id="{4020BB42-D3C7-D6BE-D9E8-CA303A11EA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98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427</xdr:row>
      <xdr:rowOff>0</xdr:rowOff>
    </xdr:from>
    <xdr:to>
      <xdr:col>1</xdr:col>
      <xdr:colOff>304800</xdr:colOff>
      <xdr:row>428</xdr:row>
      <xdr:rowOff>142875</xdr:rowOff>
    </xdr:to>
    <xdr:sp macro="" textlink="">
      <xdr:nvSpPr>
        <xdr:cNvPr id="13859" name="AutoShape 547" descr="View Related Links (Alt+6)">
          <a:hlinkClick xmlns:r="http://schemas.openxmlformats.org/officeDocument/2006/relationships" r:id="rId428"/>
          <a:extLst>
            <a:ext uri="{FF2B5EF4-FFF2-40B4-BE49-F238E27FC236}">
              <a16:creationId xmlns:a16="http://schemas.microsoft.com/office/drawing/2014/main" id="{821FA969-9D10-0510-9BAA-6FE150C4F0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14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428</xdr:row>
      <xdr:rowOff>0</xdr:rowOff>
    </xdr:from>
    <xdr:to>
      <xdr:col>1</xdr:col>
      <xdr:colOff>304800</xdr:colOff>
      <xdr:row>429</xdr:row>
      <xdr:rowOff>142875</xdr:rowOff>
    </xdr:to>
    <xdr:sp macro="" textlink="">
      <xdr:nvSpPr>
        <xdr:cNvPr id="13860" name="AutoShape 548" descr="View Related Links (Alt+6)">
          <a:hlinkClick xmlns:r="http://schemas.openxmlformats.org/officeDocument/2006/relationships" r:id="rId429"/>
          <a:extLst>
            <a:ext uri="{FF2B5EF4-FFF2-40B4-BE49-F238E27FC236}">
              <a16:creationId xmlns:a16="http://schemas.microsoft.com/office/drawing/2014/main" id="{A44459ED-32C2-5FA2-7C77-043111A87C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30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429</xdr:row>
      <xdr:rowOff>0</xdr:rowOff>
    </xdr:from>
    <xdr:to>
      <xdr:col>1</xdr:col>
      <xdr:colOff>304800</xdr:colOff>
      <xdr:row>430</xdr:row>
      <xdr:rowOff>142875</xdr:rowOff>
    </xdr:to>
    <xdr:sp macro="" textlink="">
      <xdr:nvSpPr>
        <xdr:cNvPr id="13861" name="AutoShape 549" descr="View Related Links (Alt+6)">
          <a:hlinkClick xmlns:r="http://schemas.openxmlformats.org/officeDocument/2006/relationships" r:id="rId430"/>
          <a:extLst>
            <a:ext uri="{FF2B5EF4-FFF2-40B4-BE49-F238E27FC236}">
              <a16:creationId xmlns:a16="http://schemas.microsoft.com/office/drawing/2014/main" id="{A5C8375F-E361-73C0-C5F0-B64C64AB15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46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430</xdr:row>
      <xdr:rowOff>0</xdr:rowOff>
    </xdr:from>
    <xdr:to>
      <xdr:col>1</xdr:col>
      <xdr:colOff>304800</xdr:colOff>
      <xdr:row>431</xdr:row>
      <xdr:rowOff>142875</xdr:rowOff>
    </xdr:to>
    <xdr:sp macro="" textlink="">
      <xdr:nvSpPr>
        <xdr:cNvPr id="13862" name="AutoShape 550" descr="View Related Links (Alt+6)">
          <a:hlinkClick xmlns:r="http://schemas.openxmlformats.org/officeDocument/2006/relationships" r:id="rId431"/>
          <a:extLst>
            <a:ext uri="{FF2B5EF4-FFF2-40B4-BE49-F238E27FC236}">
              <a16:creationId xmlns:a16="http://schemas.microsoft.com/office/drawing/2014/main" id="{31141C69-F3BA-D9CC-5334-B1B93D1375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431</xdr:row>
      <xdr:rowOff>0</xdr:rowOff>
    </xdr:from>
    <xdr:to>
      <xdr:col>1</xdr:col>
      <xdr:colOff>304800</xdr:colOff>
      <xdr:row>432</xdr:row>
      <xdr:rowOff>142875</xdr:rowOff>
    </xdr:to>
    <xdr:sp macro="" textlink="">
      <xdr:nvSpPr>
        <xdr:cNvPr id="13863" name="AutoShape 551" descr="View Related Links (Alt+6)">
          <a:hlinkClick xmlns:r="http://schemas.openxmlformats.org/officeDocument/2006/relationships" r:id="rId432"/>
          <a:extLst>
            <a:ext uri="{FF2B5EF4-FFF2-40B4-BE49-F238E27FC236}">
              <a16:creationId xmlns:a16="http://schemas.microsoft.com/office/drawing/2014/main" id="{B6BC964D-D209-8D5F-2485-9524FEBD8F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78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432</xdr:row>
      <xdr:rowOff>0</xdr:rowOff>
    </xdr:from>
    <xdr:to>
      <xdr:col>1</xdr:col>
      <xdr:colOff>304800</xdr:colOff>
      <xdr:row>433</xdr:row>
      <xdr:rowOff>142875</xdr:rowOff>
    </xdr:to>
    <xdr:sp macro="" textlink="">
      <xdr:nvSpPr>
        <xdr:cNvPr id="13864" name="AutoShape 552" descr="View Related Links (Alt+6)">
          <a:hlinkClick xmlns:r="http://schemas.openxmlformats.org/officeDocument/2006/relationships" r:id="rId433"/>
          <a:extLst>
            <a:ext uri="{FF2B5EF4-FFF2-40B4-BE49-F238E27FC236}">
              <a16:creationId xmlns:a16="http://schemas.microsoft.com/office/drawing/2014/main" id="{20793351-D3B9-F2FD-A261-F985FF5B86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95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433</xdr:row>
      <xdr:rowOff>0</xdr:rowOff>
    </xdr:from>
    <xdr:to>
      <xdr:col>1</xdr:col>
      <xdr:colOff>304800</xdr:colOff>
      <xdr:row>434</xdr:row>
      <xdr:rowOff>142875</xdr:rowOff>
    </xdr:to>
    <xdr:sp macro="" textlink="">
      <xdr:nvSpPr>
        <xdr:cNvPr id="13865" name="AutoShape 553" descr="View Related Links (Alt+6)">
          <a:hlinkClick xmlns:r="http://schemas.openxmlformats.org/officeDocument/2006/relationships" r:id="rId434"/>
          <a:extLst>
            <a:ext uri="{FF2B5EF4-FFF2-40B4-BE49-F238E27FC236}">
              <a16:creationId xmlns:a16="http://schemas.microsoft.com/office/drawing/2014/main" id="{776EB14B-88F9-FA42-67FA-E1E5ABA9F8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11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434</xdr:row>
      <xdr:rowOff>0</xdr:rowOff>
    </xdr:from>
    <xdr:to>
      <xdr:col>1</xdr:col>
      <xdr:colOff>304800</xdr:colOff>
      <xdr:row>435</xdr:row>
      <xdr:rowOff>142875</xdr:rowOff>
    </xdr:to>
    <xdr:sp macro="" textlink="">
      <xdr:nvSpPr>
        <xdr:cNvPr id="13866" name="AutoShape 554" descr="View Related Links (Alt+6)">
          <a:hlinkClick xmlns:r="http://schemas.openxmlformats.org/officeDocument/2006/relationships" r:id="rId435"/>
          <a:extLst>
            <a:ext uri="{FF2B5EF4-FFF2-40B4-BE49-F238E27FC236}">
              <a16:creationId xmlns:a16="http://schemas.microsoft.com/office/drawing/2014/main" id="{9470200A-D924-6685-6D9F-F0D439001C8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27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435</xdr:row>
      <xdr:rowOff>0</xdr:rowOff>
    </xdr:from>
    <xdr:to>
      <xdr:col>1</xdr:col>
      <xdr:colOff>304800</xdr:colOff>
      <xdr:row>436</xdr:row>
      <xdr:rowOff>142875</xdr:rowOff>
    </xdr:to>
    <xdr:sp macro="" textlink="">
      <xdr:nvSpPr>
        <xdr:cNvPr id="13867" name="AutoShape 555" descr="View Related Links (Alt+6)">
          <a:hlinkClick xmlns:r="http://schemas.openxmlformats.org/officeDocument/2006/relationships" r:id="rId436"/>
          <a:extLst>
            <a:ext uri="{FF2B5EF4-FFF2-40B4-BE49-F238E27FC236}">
              <a16:creationId xmlns:a16="http://schemas.microsoft.com/office/drawing/2014/main" id="{50D8F12F-628B-E032-AF38-4999A59120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436</xdr:row>
      <xdr:rowOff>0</xdr:rowOff>
    </xdr:from>
    <xdr:to>
      <xdr:col>1</xdr:col>
      <xdr:colOff>304800</xdr:colOff>
      <xdr:row>437</xdr:row>
      <xdr:rowOff>142875</xdr:rowOff>
    </xdr:to>
    <xdr:sp macro="" textlink="">
      <xdr:nvSpPr>
        <xdr:cNvPr id="13868" name="AutoShape 556" descr="View Related Links (Alt+6)">
          <a:hlinkClick xmlns:r="http://schemas.openxmlformats.org/officeDocument/2006/relationships" r:id="rId437"/>
          <a:extLst>
            <a:ext uri="{FF2B5EF4-FFF2-40B4-BE49-F238E27FC236}">
              <a16:creationId xmlns:a16="http://schemas.microsoft.com/office/drawing/2014/main" id="{173C90DD-3578-7050-59A0-E2B19B9240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5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437</xdr:row>
      <xdr:rowOff>0</xdr:rowOff>
    </xdr:from>
    <xdr:to>
      <xdr:col>1</xdr:col>
      <xdr:colOff>304800</xdr:colOff>
      <xdr:row>438</xdr:row>
      <xdr:rowOff>142875</xdr:rowOff>
    </xdr:to>
    <xdr:sp macro="" textlink="">
      <xdr:nvSpPr>
        <xdr:cNvPr id="13869" name="AutoShape 557" descr="View Related Links (Alt+6)">
          <a:hlinkClick xmlns:r="http://schemas.openxmlformats.org/officeDocument/2006/relationships" r:id="rId438"/>
          <a:extLst>
            <a:ext uri="{FF2B5EF4-FFF2-40B4-BE49-F238E27FC236}">
              <a16:creationId xmlns:a16="http://schemas.microsoft.com/office/drawing/2014/main" id="{0F916928-9B18-AFFD-2BF0-ECB89BC9E9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438</xdr:row>
      <xdr:rowOff>0</xdr:rowOff>
    </xdr:from>
    <xdr:to>
      <xdr:col>1</xdr:col>
      <xdr:colOff>304800</xdr:colOff>
      <xdr:row>439</xdr:row>
      <xdr:rowOff>142875</xdr:rowOff>
    </xdr:to>
    <xdr:sp macro="" textlink="">
      <xdr:nvSpPr>
        <xdr:cNvPr id="13870" name="AutoShape 558" descr="View Related Links (Alt+6)">
          <a:hlinkClick xmlns:r="http://schemas.openxmlformats.org/officeDocument/2006/relationships" r:id="rId439"/>
          <a:extLst>
            <a:ext uri="{FF2B5EF4-FFF2-40B4-BE49-F238E27FC236}">
              <a16:creationId xmlns:a16="http://schemas.microsoft.com/office/drawing/2014/main" id="{EBCA3092-13B8-7EAF-7D76-C0A23F7E74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92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439</xdr:row>
      <xdr:rowOff>0</xdr:rowOff>
    </xdr:from>
    <xdr:to>
      <xdr:col>1</xdr:col>
      <xdr:colOff>304800</xdr:colOff>
      <xdr:row>440</xdr:row>
      <xdr:rowOff>142875</xdr:rowOff>
    </xdr:to>
    <xdr:sp macro="" textlink="">
      <xdr:nvSpPr>
        <xdr:cNvPr id="13871" name="AutoShape 559" descr="View Related Links (Alt+6)">
          <a:hlinkClick xmlns:r="http://schemas.openxmlformats.org/officeDocument/2006/relationships" r:id="rId440"/>
          <a:extLst>
            <a:ext uri="{FF2B5EF4-FFF2-40B4-BE49-F238E27FC236}">
              <a16:creationId xmlns:a16="http://schemas.microsoft.com/office/drawing/2014/main" id="{EA62D85B-C950-F06B-9DC8-5FC842B6A8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0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440</xdr:row>
      <xdr:rowOff>0</xdr:rowOff>
    </xdr:from>
    <xdr:to>
      <xdr:col>1</xdr:col>
      <xdr:colOff>304800</xdr:colOff>
      <xdr:row>441</xdr:row>
      <xdr:rowOff>142875</xdr:rowOff>
    </xdr:to>
    <xdr:sp macro="" textlink="">
      <xdr:nvSpPr>
        <xdr:cNvPr id="13872" name="AutoShape 560" descr="View Related Links (Alt+6)">
          <a:hlinkClick xmlns:r="http://schemas.openxmlformats.org/officeDocument/2006/relationships" r:id="rId441"/>
          <a:extLst>
            <a:ext uri="{FF2B5EF4-FFF2-40B4-BE49-F238E27FC236}">
              <a16:creationId xmlns:a16="http://schemas.microsoft.com/office/drawing/2014/main" id="{16172755-4C20-138F-23AF-CE979DF03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441</xdr:row>
      <xdr:rowOff>0</xdr:rowOff>
    </xdr:from>
    <xdr:to>
      <xdr:col>1</xdr:col>
      <xdr:colOff>304800</xdr:colOff>
      <xdr:row>442</xdr:row>
      <xdr:rowOff>142875</xdr:rowOff>
    </xdr:to>
    <xdr:sp macro="" textlink="">
      <xdr:nvSpPr>
        <xdr:cNvPr id="13873" name="AutoShape 561" descr="View Related Links (Alt+6)">
          <a:hlinkClick xmlns:r="http://schemas.openxmlformats.org/officeDocument/2006/relationships" r:id="rId442"/>
          <a:extLst>
            <a:ext uri="{FF2B5EF4-FFF2-40B4-BE49-F238E27FC236}">
              <a16:creationId xmlns:a16="http://schemas.microsoft.com/office/drawing/2014/main" id="{13E023FB-A89F-276D-9A9C-86967428EB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40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442</xdr:row>
      <xdr:rowOff>0</xdr:rowOff>
    </xdr:from>
    <xdr:to>
      <xdr:col>1</xdr:col>
      <xdr:colOff>304800</xdr:colOff>
      <xdr:row>443</xdr:row>
      <xdr:rowOff>142875</xdr:rowOff>
    </xdr:to>
    <xdr:sp macro="" textlink="">
      <xdr:nvSpPr>
        <xdr:cNvPr id="13874" name="AutoShape 562" descr="View Related Links (Alt+6)">
          <a:hlinkClick xmlns:r="http://schemas.openxmlformats.org/officeDocument/2006/relationships" r:id="rId443"/>
          <a:extLst>
            <a:ext uri="{FF2B5EF4-FFF2-40B4-BE49-F238E27FC236}">
              <a16:creationId xmlns:a16="http://schemas.microsoft.com/office/drawing/2014/main" id="{C94810E9-979F-743D-D16C-6EBE48A3AD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57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443</xdr:row>
      <xdr:rowOff>0</xdr:rowOff>
    </xdr:from>
    <xdr:to>
      <xdr:col>1</xdr:col>
      <xdr:colOff>304800</xdr:colOff>
      <xdr:row>444</xdr:row>
      <xdr:rowOff>142875</xdr:rowOff>
    </xdr:to>
    <xdr:sp macro="" textlink="">
      <xdr:nvSpPr>
        <xdr:cNvPr id="13875" name="AutoShape 563" descr="View Related Links (Alt+6)">
          <a:hlinkClick xmlns:r="http://schemas.openxmlformats.org/officeDocument/2006/relationships" r:id="rId444"/>
          <a:extLst>
            <a:ext uri="{FF2B5EF4-FFF2-40B4-BE49-F238E27FC236}">
              <a16:creationId xmlns:a16="http://schemas.microsoft.com/office/drawing/2014/main" id="{7E5BDEA4-7416-DD93-56A5-05A61C3EF8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73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444</xdr:row>
      <xdr:rowOff>0</xdr:rowOff>
    </xdr:from>
    <xdr:to>
      <xdr:col>1</xdr:col>
      <xdr:colOff>304800</xdr:colOff>
      <xdr:row>445</xdr:row>
      <xdr:rowOff>142875</xdr:rowOff>
    </xdr:to>
    <xdr:sp macro="" textlink="">
      <xdr:nvSpPr>
        <xdr:cNvPr id="13876" name="AutoShape 564" descr="View Related Links (Alt+6)">
          <a:hlinkClick xmlns:r="http://schemas.openxmlformats.org/officeDocument/2006/relationships" r:id="rId445"/>
          <a:extLst>
            <a:ext uri="{FF2B5EF4-FFF2-40B4-BE49-F238E27FC236}">
              <a16:creationId xmlns:a16="http://schemas.microsoft.com/office/drawing/2014/main" id="{95409FB3-13F1-6092-6235-A4C7823BB4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89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445</xdr:row>
      <xdr:rowOff>0</xdr:rowOff>
    </xdr:from>
    <xdr:to>
      <xdr:col>1</xdr:col>
      <xdr:colOff>304800</xdr:colOff>
      <xdr:row>446</xdr:row>
      <xdr:rowOff>142875</xdr:rowOff>
    </xdr:to>
    <xdr:sp macro="" textlink="">
      <xdr:nvSpPr>
        <xdr:cNvPr id="13877" name="AutoShape 565" descr="View Related Links (Alt+6)">
          <a:hlinkClick xmlns:r="http://schemas.openxmlformats.org/officeDocument/2006/relationships" r:id="rId446"/>
          <a:extLst>
            <a:ext uri="{FF2B5EF4-FFF2-40B4-BE49-F238E27FC236}">
              <a16:creationId xmlns:a16="http://schemas.microsoft.com/office/drawing/2014/main" id="{81015C17-35F7-A2FE-63D2-01501F951A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05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446</xdr:row>
      <xdr:rowOff>0</xdr:rowOff>
    </xdr:from>
    <xdr:to>
      <xdr:col>1</xdr:col>
      <xdr:colOff>304800</xdr:colOff>
      <xdr:row>447</xdr:row>
      <xdr:rowOff>142875</xdr:rowOff>
    </xdr:to>
    <xdr:sp macro="" textlink="">
      <xdr:nvSpPr>
        <xdr:cNvPr id="13878" name="AutoShape 566" descr="View Related Links (Alt+6)">
          <a:hlinkClick xmlns:r="http://schemas.openxmlformats.org/officeDocument/2006/relationships" r:id="rId447"/>
          <a:extLst>
            <a:ext uri="{FF2B5EF4-FFF2-40B4-BE49-F238E27FC236}">
              <a16:creationId xmlns:a16="http://schemas.microsoft.com/office/drawing/2014/main" id="{EE09AC9C-E6D9-7461-48AF-FBAB4A9E38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2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447</xdr:row>
      <xdr:rowOff>0</xdr:rowOff>
    </xdr:from>
    <xdr:to>
      <xdr:col>1</xdr:col>
      <xdr:colOff>304800</xdr:colOff>
      <xdr:row>448</xdr:row>
      <xdr:rowOff>142875</xdr:rowOff>
    </xdr:to>
    <xdr:sp macro="" textlink="">
      <xdr:nvSpPr>
        <xdr:cNvPr id="13879" name="AutoShape 567" descr="View Related Links (Alt+6)">
          <a:hlinkClick xmlns:r="http://schemas.openxmlformats.org/officeDocument/2006/relationships" r:id="rId448"/>
          <a:extLst>
            <a:ext uri="{FF2B5EF4-FFF2-40B4-BE49-F238E27FC236}">
              <a16:creationId xmlns:a16="http://schemas.microsoft.com/office/drawing/2014/main" id="{354303D4-E385-664C-D474-926A309227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38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448</xdr:row>
      <xdr:rowOff>0</xdr:rowOff>
    </xdr:from>
    <xdr:to>
      <xdr:col>1</xdr:col>
      <xdr:colOff>304800</xdr:colOff>
      <xdr:row>449</xdr:row>
      <xdr:rowOff>142875</xdr:rowOff>
    </xdr:to>
    <xdr:sp macro="" textlink="">
      <xdr:nvSpPr>
        <xdr:cNvPr id="13880" name="AutoShape 568" descr="View Related Links (Alt+6)">
          <a:hlinkClick xmlns:r="http://schemas.openxmlformats.org/officeDocument/2006/relationships" r:id="rId449"/>
          <a:extLst>
            <a:ext uri="{FF2B5EF4-FFF2-40B4-BE49-F238E27FC236}">
              <a16:creationId xmlns:a16="http://schemas.microsoft.com/office/drawing/2014/main" id="{D17F7337-7D94-CAA2-F79B-EE8F827DC0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5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449</xdr:row>
      <xdr:rowOff>0</xdr:rowOff>
    </xdr:from>
    <xdr:to>
      <xdr:col>1</xdr:col>
      <xdr:colOff>304800</xdr:colOff>
      <xdr:row>450</xdr:row>
      <xdr:rowOff>142875</xdr:rowOff>
    </xdr:to>
    <xdr:sp macro="" textlink="">
      <xdr:nvSpPr>
        <xdr:cNvPr id="13881" name="AutoShape 569" descr="View Related Links (Alt+6)">
          <a:hlinkClick xmlns:r="http://schemas.openxmlformats.org/officeDocument/2006/relationships" r:id="rId450"/>
          <a:extLst>
            <a:ext uri="{FF2B5EF4-FFF2-40B4-BE49-F238E27FC236}">
              <a16:creationId xmlns:a16="http://schemas.microsoft.com/office/drawing/2014/main" id="{C167B928-E0C6-D203-1E0A-0D8BFEE46E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70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450</xdr:row>
      <xdr:rowOff>0</xdr:rowOff>
    </xdr:from>
    <xdr:to>
      <xdr:col>1</xdr:col>
      <xdr:colOff>304800</xdr:colOff>
      <xdr:row>451</xdr:row>
      <xdr:rowOff>142875</xdr:rowOff>
    </xdr:to>
    <xdr:sp macro="" textlink="">
      <xdr:nvSpPr>
        <xdr:cNvPr id="13882" name="AutoShape 570" descr="View Related Links (Alt+6)">
          <a:hlinkClick xmlns:r="http://schemas.openxmlformats.org/officeDocument/2006/relationships" r:id="rId451"/>
          <a:extLst>
            <a:ext uri="{FF2B5EF4-FFF2-40B4-BE49-F238E27FC236}">
              <a16:creationId xmlns:a16="http://schemas.microsoft.com/office/drawing/2014/main" id="{E2CCCE53-45F7-B2AC-52B5-59FE88A76A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451</xdr:row>
      <xdr:rowOff>0</xdr:rowOff>
    </xdr:from>
    <xdr:to>
      <xdr:col>1</xdr:col>
      <xdr:colOff>304800</xdr:colOff>
      <xdr:row>452</xdr:row>
      <xdr:rowOff>142875</xdr:rowOff>
    </xdr:to>
    <xdr:sp macro="" textlink="">
      <xdr:nvSpPr>
        <xdr:cNvPr id="13883" name="AutoShape 571" descr="View Related Links (Alt+6)">
          <a:hlinkClick xmlns:r="http://schemas.openxmlformats.org/officeDocument/2006/relationships" r:id="rId452"/>
          <a:extLst>
            <a:ext uri="{FF2B5EF4-FFF2-40B4-BE49-F238E27FC236}">
              <a16:creationId xmlns:a16="http://schemas.microsoft.com/office/drawing/2014/main" id="{3C0FFCD1-A3F3-FACD-37CF-8F9E20B2F1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02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452</xdr:row>
      <xdr:rowOff>0</xdr:rowOff>
    </xdr:from>
    <xdr:to>
      <xdr:col>1</xdr:col>
      <xdr:colOff>304800</xdr:colOff>
      <xdr:row>453</xdr:row>
      <xdr:rowOff>142875</xdr:rowOff>
    </xdr:to>
    <xdr:sp macro="" textlink="">
      <xdr:nvSpPr>
        <xdr:cNvPr id="13884" name="AutoShape 572" descr="View Related Links (Alt+6)">
          <a:hlinkClick xmlns:r="http://schemas.openxmlformats.org/officeDocument/2006/relationships" r:id="rId453"/>
          <a:extLst>
            <a:ext uri="{FF2B5EF4-FFF2-40B4-BE49-F238E27FC236}">
              <a16:creationId xmlns:a16="http://schemas.microsoft.com/office/drawing/2014/main" id="{90AB4576-4CD2-47B6-5F76-BECF2734D8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19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453</xdr:row>
      <xdr:rowOff>0</xdr:rowOff>
    </xdr:from>
    <xdr:to>
      <xdr:col>1</xdr:col>
      <xdr:colOff>304800</xdr:colOff>
      <xdr:row>454</xdr:row>
      <xdr:rowOff>142875</xdr:rowOff>
    </xdr:to>
    <xdr:sp macro="" textlink="">
      <xdr:nvSpPr>
        <xdr:cNvPr id="13885" name="AutoShape 573" descr="View Related Links (Alt+6)">
          <a:hlinkClick xmlns:r="http://schemas.openxmlformats.org/officeDocument/2006/relationships" r:id="rId454"/>
          <a:extLst>
            <a:ext uri="{FF2B5EF4-FFF2-40B4-BE49-F238E27FC236}">
              <a16:creationId xmlns:a16="http://schemas.microsoft.com/office/drawing/2014/main" id="{6544A640-45C9-D42D-A1C2-7EACA754A0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35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454</xdr:row>
      <xdr:rowOff>0</xdr:rowOff>
    </xdr:from>
    <xdr:to>
      <xdr:col>1</xdr:col>
      <xdr:colOff>304800</xdr:colOff>
      <xdr:row>455</xdr:row>
      <xdr:rowOff>142875</xdr:rowOff>
    </xdr:to>
    <xdr:sp macro="" textlink="">
      <xdr:nvSpPr>
        <xdr:cNvPr id="13886" name="AutoShape 574" descr="View Related Links (Alt+6)">
          <a:hlinkClick xmlns:r="http://schemas.openxmlformats.org/officeDocument/2006/relationships" r:id="rId455"/>
          <a:extLst>
            <a:ext uri="{FF2B5EF4-FFF2-40B4-BE49-F238E27FC236}">
              <a16:creationId xmlns:a16="http://schemas.microsoft.com/office/drawing/2014/main" id="{EAD100B0-5004-6174-C519-2BC1E98C00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455</xdr:row>
      <xdr:rowOff>0</xdr:rowOff>
    </xdr:from>
    <xdr:to>
      <xdr:col>1</xdr:col>
      <xdr:colOff>304800</xdr:colOff>
      <xdr:row>456</xdr:row>
      <xdr:rowOff>142875</xdr:rowOff>
    </xdr:to>
    <xdr:sp macro="" textlink="">
      <xdr:nvSpPr>
        <xdr:cNvPr id="13887" name="AutoShape 575" descr="View Related Links (Alt+6)">
          <a:hlinkClick xmlns:r="http://schemas.openxmlformats.org/officeDocument/2006/relationships" r:id="rId456"/>
          <a:extLst>
            <a:ext uri="{FF2B5EF4-FFF2-40B4-BE49-F238E27FC236}">
              <a16:creationId xmlns:a16="http://schemas.microsoft.com/office/drawing/2014/main" id="{BE3752DC-C841-0890-0078-6325CAFCE0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67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456</xdr:row>
      <xdr:rowOff>0</xdr:rowOff>
    </xdr:from>
    <xdr:to>
      <xdr:col>1</xdr:col>
      <xdr:colOff>304800</xdr:colOff>
      <xdr:row>457</xdr:row>
      <xdr:rowOff>142875</xdr:rowOff>
    </xdr:to>
    <xdr:sp macro="" textlink="">
      <xdr:nvSpPr>
        <xdr:cNvPr id="13888" name="AutoShape 576" descr="View Related Links (Alt+6)">
          <a:hlinkClick xmlns:r="http://schemas.openxmlformats.org/officeDocument/2006/relationships" r:id="rId457"/>
          <a:extLst>
            <a:ext uri="{FF2B5EF4-FFF2-40B4-BE49-F238E27FC236}">
              <a16:creationId xmlns:a16="http://schemas.microsoft.com/office/drawing/2014/main" id="{4BEB0922-EB25-FE3F-3F51-AFE25A45A7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8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457</xdr:row>
      <xdr:rowOff>0</xdr:rowOff>
    </xdr:from>
    <xdr:to>
      <xdr:col>1</xdr:col>
      <xdr:colOff>304800</xdr:colOff>
      <xdr:row>458</xdr:row>
      <xdr:rowOff>142875</xdr:rowOff>
    </xdr:to>
    <xdr:sp macro="" textlink="">
      <xdr:nvSpPr>
        <xdr:cNvPr id="13889" name="AutoShape 577" descr="View Related Links (Alt+6)">
          <a:hlinkClick xmlns:r="http://schemas.openxmlformats.org/officeDocument/2006/relationships" r:id="rId458"/>
          <a:extLst>
            <a:ext uri="{FF2B5EF4-FFF2-40B4-BE49-F238E27FC236}">
              <a16:creationId xmlns:a16="http://schemas.microsoft.com/office/drawing/2014/main" id="{F2F21B45-05BF-3352-5A91-E71FADA8AF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99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458</xdr:row>
      <xdr:rowOff>0</xdr:rowOff>
    </xdr:from>
    <xdr:to>
      <xdr:col>1</xdr:col>
      <xdr:colOff>304800</xdr:colOff>
      <xdr:row>459</xdr:row>
      <xdr:rowOff>142875</xdr:rowOff>
    </xdr:to>
    <xdr:sp macro="" textlink="">
      <xdr:nvSpPr>
        <xdr:cNvPr id="13890" name="AutoShape 578" descr="View Related Links (Alt+6)">
          <a:hlinkClick xmlns:r="http://schemas.openxmlformats.org/officeDocument/2006/relationships" r:id="rId459"/>
          <a:extLst>
            <a:ext uri="{FF2B5EF4-FFF2-40B4-BE49-F238E27FC236}">
              <a16:creationId xmlns:a16="http://schemas.microsoft.com/office/drawing/2014/main" id="{AD97BEB4-0CE7-ABC7-2AFE-44DF787ABE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16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459</xdr:row>
      <xdr:rowOff>0</xdr:rowOff>
    </xdr:from>
    <xdr:to>
      <xdr:col>1</xdr:col>
      <xdr:colOff>304800</xdr:colOff>
      <xdr:row>460</xdr:row>
      <xdr:rowOff>142875</xdr:rowOff>
    </xdr:to>
    <xdr:sp macro="" textlink="">
      <xdr:nvSpPr>
        <xdr:cNvPr id="13891" name="AutoShape 579" descr="View Related Links (Alt+6)">
          <a:hlinkClick xmlns:r="http://schemas.openxmlformats.org/officeDocument/2006/relationships" r:id="rId460"/>
          <a:extLst>
            <a:ext uri="{FF2B5EF4-FFF2-40B4-BE49-F238E27FC236}">
              <a16:creationId xmlns:a16="http://schemas.microsoft.com/office/drawing/2014/main" id="{33611E04-8601-D4B0-D895-4E08E89795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32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460</xdr:row>
      <xdr:rowOff>0</xdr:rowOff>
    </xdr:from>
    <xdr:to>
      <xdr:col>1</xdr:col>
      <xdr:colOff>304800</xdr:colOff>
      <xdr:row>461</xdr:row>
      <xdr:rowOff>142875</xdr:rowOff>
    </xdr:to>
    <xdr:sp macro="" textlink="">
      <xdr:nvSpPr>
        <xdr:cNvPr id="13892" name="AutoShape 580" descr="View Related Links (Alt+6)">
          <a:hlinkClick xmlns:r="http://schemas.openxmlformats.org/officeDocument/2006/relationships" r:id="rId461"/>
          <a:extLst>
            <a:ext uri="{FF2B5EF4-FFF2-40B4-BE49-F238E27FC236}">
              <a16:creationId xmlns:a16="http://schemas.microsoft.com/office/drawing/2014/main" id="{89F9EE84-BC05-0E82-71D3-3C21E452BD4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461</xdr:row>
      <xdr:rowOff>0</xdr:rowOff>
    </xdr:from>
    <xdr:to>
      <xdr:col>1</xdr:col>
      <xdr:colOff>304800</xdr:colOff>
      <xdr:row>462</xdr:row>
      <xdr:rowOff>142875</xdr:rowOff>
    </xdr:to>
    <xdr:sp macro="" textlink="">
      <xdr:nvSpPr>
        <xdr:cNvPr id="13893" name="AutoShape 581" descr="View Related Links (Alt+6)">
          <a:hlinkClick xmlns:r="http://schemas.openxmlformats.org/officeDocument/2006/relationships" r:id="rId462"/>
          <a:extLst>
            <a:ext uri="{FF2B5EF4-FFF2-40B4-BE49-F238E27FC236}">
              <a16:creationId xmlns:a16="http://schemas.microsoft.com/office/drawing/2014/main" id="{ADC4D909-60C1-5B3E-7182-978476AA01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64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462</xdr:row>
      <xdr:rowOff>0</xdr:rowOff>
    </xdr:from>
    <xdr:to>
      <xdr:col>1</xdr:col>
      <xdr:colOff>304800</xdr:colOff>
      <xdr:row>463</xdr:row>
      <xdr:rowOff>142875</xdr:rowOff>
    </xdr:to>
    <xdr:sp macro="" textlink="">
      <xdr:nvSpPr>
        <xdr:cNvPr id="13894" name="AutoShape 582" descr="View Related Links (Alt+6)">
          <a:hlinkClick xmlns:r="http://schemas.openxmlformats.org/officeDocument/2006/relationships" r:id="rId463"/>
          <a:extLst>
            <a:ext uri="{FF2B5EF4-FFF2-40B4-BE49-F238E27FC236}">
              <a16:creationId xmlns:a16="http://schemas.microsoft.com/office/drawing/2014/main" id="{ECB07D7F-3E49-80AF-BAB5-79C2DD39AE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80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463</xdr:row>
      <xdr:rowOff>0</xdr:rowOff>
    </xdr:from>
    <xdr:to>
      <xdr:col>1</xdr:col>
      <xdr:colOff>304800</xdr:colOff>
      <xdr:row>464</xdr:row>
      <xdr:rowOff>142875</xdr:rowOff>
    </xdr:to>
    <xdr:sp macro="" textlink="">
      <xdr:nvSpPr>
        <xdr:cNvPr id="13895" name="AutoShape 583" descr="View Related Links (Alt+6)">
          <a:hlinkClick xmlns:r="http://schemas.openxmlformats.org/officeDocument/2006/relationships" r:id="rId464"/>
          <a:extLst>
            <a:ext uri="{FF2B5EF4-FFF2-40B4-BE49-F238E27FC236}">
              <a16:creationId xmlns:a16="http://schemas.microsoft.com/office/drawing/2014/main" id="{A43BBDD8-BB97-0104-732E-CFF51C99E6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9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464</xdr:row>
      <xdr:rowOff>0</xdr:rowOff>
    </xdr:from>
    <xdr:to>
      <xdr:col>1</xdr:col>
      <xdr:colOff>304800</xdr:colOff>
      <xdr:row>465</xdr:row>
      <xdr:rowOff>142875</xdr:rowOff>
    </xdr:to>
    <xdr:sp macro="" textlink="">
      <xdr:nvSpPr>
        <xdr:cNvPr id="13896" name="AutoShape 584" descr="View Related Links (Alt+6)">
          <a:hlinkClick xmlns:r="http://schemas.openxmlformats.org/officeDocument/2006/relationships" r:id="rId465"/>
          <a:extLst>
            <a:ext uri="{FF2B5EF4-FFF2-40B4-BE49-F238E27FC236}">
              <a16:creationId xmlns:a16="http://schemas.microsoft.com/office/drawing/2014/main" id="{783D618A-DDC6-8FFD-F342-04EB59B025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1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465</xdr:row>
      <xdr:rowOff>0</xdr:rowOff>
    </xdr:from>
    <xdr:to>
      <xdr:col>1</xdr:col>
      <xdr:colOff>304800</xdr:colOff>
      <xdr:row>466</xdr:row>
      <xdr:rowOff>142875</xdr:rowOff>
    </xdr:to>
    <xdr:sp macro="" textlink="">
      <xdr:nvSpPr>
        <xdr:cNvPr id="13897" name="AutoShape 585" descr="View Related Links (Alt+6)">
          <a:hlinkClick xmlns:r="http://schemas.openxmlformats.org/officeDocument/2006/relationships" r:id="rId466"/>
          <a:extLst>
            <a:ext uri="{FF2B5EF4-FFF2-40B4-BE49-F238E27FC236}">
              <a16:creationId xmlns:a16="http://schemas.microsoft.com/office/drawing/2014/main" id="{32B94D61-79C4-8E6C-0E63-48F77BB32A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29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466</xdr:row>
      <xdr:rowOff>0</xdr:rowOff>
    </xdr:from>
    <xdr:to>
      <xdr:col>1</xdr:col>
      <xdr:colOff>304800</xdr:colOff>
      <xdr:row>467</xdr:row>
      <xdr:rowOff>142875</xdr:rowOff>
    </xdr:to>
    <xdr:sp macro="" textlink="">
      <xdr:nvSpPr>
        <xdr:cNvPr id="13898" name="AutoShape 586" descr="View Related Links (Alt+6)">
          <a:hlinkClick xmlns:r="http://schemas.openxmlformats.org/officeDocument/2006/relationships" r:id="rId467"/>
          <a:extLst>
            <a:ext uri="{FF2B5EF4-FFF2-40B4-BE49-F238E27FC236}">
              <a16:creationId xmlns:a16="http://schemas.microsoft.com/office/drawing/2014/main" id="{799E8E03-EC92-2046-11BF-E46FE9F346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4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467</xdr:row>
      <xdr:rowOff>0</xdr:rowOff>
    </xdr:from>
    <xdr:to>
      <xdr:col>1</xdr:col>
      <xdr:colOff>304800</xdr:colOff>
      <xdr:row>468</xdr:row>
      <xdr:rowOff>142875</xdr:rowOff>
    </xdr:to>
    <xdr:sp macro="" textlink="">
      <xdr:nvSpPr>
        <xdr:cNvPr id="13899" name="AutoShape 587" descr="View Related Links (Alt+6)">
          <a:hlinkClick xmlns:r="http://schemas.openxmlformats.org/officeDocument/2006/relationships" r:id="rId468"/>
          <a:extLst>
            <a:ext uri="{FF2B5EF4-FFF2-40B4-BE49-F238E27FC236}">
              <a16:creationId xmlns:a16="http://schemas.microsoft.com/office/drawing/2014/main" id="{745AC428-F670-D264-0BB2-39F22596F3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61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468</xdr:row>
      <xdr:rowOff>0</xdr:rowOff>
    </xdr:from>
    <xdr:to>
      <xdr:col>1</xdr:col>
      <xdr:colOff>304800</xdr:colOff>
      <xdr:row>469</xdr:row>
      <xdr:rowOff>142875</xdr:rowOff>
    </xdr:to>
    <xdr:sp macro="" textlink="">
      <xdr:nvSpPr>
        <xdr:cNvPr id="13900" name="AutoShape 588" descr="View Related Links (Alt+6)">
          <a:hlinkClick xmlns:r="http://schemas.openxmlformats.org/officeDocument/2006/relationships" r:id="rId469"/>
          <a:extLst>
            <a:ext uri="{FF2B5EF4-FFF2-40B4-BE49-F238E27FC236}">
              <a16:creationId xmlns:a16="http://schemas.microsoft.com/office/drawing/2014/main" id="{03AD4278-072A-53CE-6F59-4CECEDE6D4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78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469</xdr:row>
      <xdr:rowOff>0</xdr:rowOff>
    </xdr:from>
    <xdr:to>
      <xdr:col>1</xdr:col>
      <xdr:colOff>304800</xdr:colOff>
      <xdr:row>470</xdr:row>
      <xdr:rowOff>142875</xdr:rowOff>
    </xdr:to>
    <xdr:sp macro="" textlink="">
      <xdr:nvSpPr>
        <xdr:cNvPr id="13901" name="AutoShape 589" descr="View Related Links (Alt+6)">
          <a:hlinkClick xmlns:r="http://schemas.openxmlformats.org/officeDocument/2006/relationships" r:id="rId470"/>
          <a:extLst>
            <a:ext uri="{FF2B5EF4-FFF2-40B4-BE49-F238E27FC236}">
              <a16:creationId xmlns:a16="http://schemas.microsoft.com/office/drawing/2014/main" id="{E6FB7082-29F5-EC68-8B5D-139C6EB556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94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470</xdr:row>
      <xdr:rowOff>0</xdr:rowOff>
    </xdr:from>
    <xdr:to>
      <xdr:col>1</xdr:col>
      <xdr:colOff>304800</xdr:colOff>
      <xdr:row>471</xdr:row>
      <xdr:rowOff>142875</xdr:rowOff>
    </xdr:to>
    <xdr:sp macro="" textlink="">
      <xdr:nvSpPr>
        <xdr:cNvPr id="13902" name="AutoShape 590" descr="View Related Links (Alt+6)">
          <a:hlinkClick xmlns:r="http://schemas.openxmlformats.org/officeDocument/2006/relationships" r:id="rId471"/>
          <a:extLst>
            <a:ext uri="{FF2B5EF4-FFF2-40B4-BE49-F238E27FC236}">
              <a16:creationId xmlns:a16="http://schemas.microsoft.com/office/drawing/2014/main" id="{5BDF2DC8-72A9-E83B-AEBB-5C0C7DC4E14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471</xdr:row>
      <xdr:rowOff>0</xdr:rowOff>
    </xdr:from>
    <xdr:to>
      <xdr:col>1</xdr:col>
      <xdr:colOff>304800</xdr:colOff>
      <xdr:row>472</xdr:row>
      <xdr:rowOff>142875</xdr:rowOff>
    </xdr:to>
    <xdr:sp macro="" textlink="">
      <xdr:nvSpPr>
        <xdr:cNvPr id="13903" name="AutoShape 591" descr="View Related Links (Alt+6)">
          <a:hlinkClick xmlns:r="http://schemas.openxmlformats.org/officeDocument/2006/relationships" r:id="rId472"/>
          <a:extLst>
            <a:ext uri="{FF2B5EF4-FFF2-40B4-BE49-F238E27FC236}">
              <a16:creationId xmlns:a16="http://schemas.microsoft.com/office/drawing/2014/main" id="{FBB4197B-F4AE-EB9B-41CC-AA97C8C61B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472</xdr:row>
      <xdr:rowOff>0</xdr:rowOff>
    </xdr:from>
    <xdr:to>
      <xdr:col>1</xdr:col>
      <xdr:colOff>304800</xdr:colOff>
      <xdr:row>473</xdr:row>
      <xdr:rowOff>142875</xdr:rowOff>
    </xdr:to>
    <xdr:sp macro="" textlink="">
      <xdr:nvSpPr>
        <xdr:cNvPr id="13904" name="AutoShape 592" descr="View Related Links (Alt+6)">
          <a:hlinkClick xmlns:r="http://schemas.openxmlformats.org/officeDocument/2006/relationships" r:id="rId473"/>
          <a:extLst>
            <a:ext uri="{FF2B5EF4-FFF2-40B4-BE49-F238E27FC236}">
              <a16:creationId xmlns:a16="http://schemas.microsoft.com/office/drawing/2014/main" id="{F3CFD6AE-981D-D3AB-D15F-3CAE8A135D8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4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473</xdr:row>
      <xdr:rowOff>0</xdr:rowOff>
    </xdr:from>
    <xdr:to>
      <xdr:col>1</xdr:col>
      <xdr:colOff>304800</xdr:colOff>
      <xdr:row>474</xdr:row>
      <xdr:rowOff>142875</xdr:rowOff>
    </xdr:to>
    <xdr:sp macro="" textlink="">
      <xdr:nvSpPr>
        <xdr:cNvPr id="13905" name="AutoShape 593" descr="View Related Links (Alt+6)">
          <a:hlinkClick xmlns:r="http://schemas.openxmlformats.org/officeDocument/2006/relationships" r:id="rId474"/>
          <a:extLst>
            <a:ext uri="{FF2B5EF4-FFF2-40B4-BE49-F238E27FC236}">
              <a16:creationId xmlns:a16="http://schemas.microsoft.com/office/drawing/2014/main" id="{EABD6063-1574-0938-D4F1-CF8A68503C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59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474</xdr:row>
      <xdr:rowOff>0</xdr:rowOff>
    </xdr:from>
    <xdr:to>
      <xdr:col>1</xdr:col>
      <xdr:colOff>304800</xdr:colOff>
      <xdr:row>475</xdr:row>
      <xdr:rowOff>142875</xdr:rowOff>
    </xdr:to>
    <xdr:sp macro="" textlink="">
      <xdr:nvSpPr>
        <xdr:cNvPr id="13906" name="AutoShape 594" descr="View Related Links (Alt+6)">
          <a:hlinkClick xmlns:r="http://schemas.openxmlformats.org/officeDocument/2006/relationships" r:id="rId475"/>
          <a:extLst>
            <a:ext uri="{FF2B5EF4-FFF2-40B4-BE49-F238E27FC236}">
              <a16:creationId xmlns:a16="http://schemas.microsoft.com/office/drawing/2014/main" id="{84055E3E-BE4A-F5F3-CEDE-22A3BD33E8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75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475</xdr:row>
      <xdr:rowOff>0</xdr:rowOff>
    </xdr:from>
    <xdr:to>
      <xdr:col>1</xdr:col>
      <xdr:colOff>304800</xdr:colOff>
      <xdr:row>476</xdr:row>
      <xdr:rowOff>142875</xdr:rowOff>
    </xdr:to>
    <xdr:sp macro="" textlink="">
      <xdr:nvSpPr>
        <xdr:cNvPr id="13907" name="AutoShape 595" descr="View Related Links (Alt+6)">
          <a:hlinkClick xmlns:r="http://schemas.openxmlformats.org/officeDocument/2006/relationships" r:id="rId476"/>
          <a:extLst>
            <a:ext uri="{FF2B5EF4-FFF2-40B4-BE49-F238E27FC236}">
              <a16:creationId xmlns:a16="http://schemas.microsoft.com/office/drawing/2014/main" id="{C5BBC996-3FD0-A43F-5D93-E6B6E4E17C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91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476</xdr:row>
      <xdr:rowOff>0</xdr:rowOff>
    </xdr:from>
    <xdr:to>
      <xdr:col>1</xdr:col>
      <xdr:colOff>304800</xdr:colOff>
      <xdr:row>477</xdr:row>
      <xdr:rowOff>142875</xdr:rowOff>
    </xdr:to>
    <xdr:sp macro="" textlink="">
      <xdr:nvSpPr>
        <xdr:cNvPr id="13908" name="AutoShape 596" descr="View Related Links (Alt+6)">
          <a:hlinkClick xmlns:r="http://schemas.openxmlformats.org/officeDocument/2006/relationships" r:id="rId477"/>
          <a:extLst>
            <a:ext uri="{FF2B5EF4-FFF2-40B4-BE49-F238E27FC236}">
              <a16:creationId xmlns:a16="http://schemas.microsoft.com/office/drawing/2014/main" id="{3FEEFEA5-8E96-FF4E-C5E7-6E26DFA991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477</xdr:row>
      <xdr:rowOff>0</xdr:rowOff>
    </xdr:from>
    <xdr:to>
      <xdr:col>1</xdr:col>
      <xdr:colOff>304800</xdr:colOff>
      <xdr:row>478</xdr:row>
      <xdr:rowOff>142875</xdr:rowOff>
    </xdr:to>
    <xdr:sp macro="" textlink="">
      <xdr:nvSpPr>
        <xdr:cNvPr id="13909" name="AutoShape 597" descr="View Related Links (Alt+6)">
          <a:hlinkClick xmlns:r="http://schemas.openxmlformats.org/officeDocument/2006/relationships" r:id="rId478"/>
          <a:extLst>
            <a:ext uri="{FF2B5EF4-FFF2-40B4-BE49-F238E27FC236}">
              <a16:creationId xmlns:a16="http://schemas.microsoft.com/office/drawing/2014/main" id="{1D37B32E-B633-E766-68D6-F5B3A0E027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23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478</xdr:row>
      <xdr:rowOff>0</xdr:rowOff>
    </xdr:from>
    <xdr:to>
      <xdr:col>1</xdr:col>
      <xdr:colOff>304800</xdr:colOff>
      <xdr:row>479</xdr:row>
      <xdr:rowOff>142875</xdr:rowOff>
    </xdr:to>
    <xdr:sp macro="" textlink="">
      <xdr:nvSpPr>
        <xdr:cNvPr id="13910" name="AutoShape 598" descr="View Related Links (Alt+6)">
          <a:hlinkClick xmlns:r="http://schemas.openxmlformats.org/officeDocument/2006/relationships" r:id="rId479"/>
          <a:extLst>
            <a:ext uri="{FF2B5EF4-FFF2-40B4-BE49-F238E27FC236}">
              <a16:creationId xmlns:a16="http://schemas.microsoft.com/office/drawing/2014/main" id="{6ACEA610-2E53-C864-46BF-AEB00E6D36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40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479</xdr:row>
      <xdr:rowOff>0</xdr:rowOff>
    </xdr:from>
    <xdr:to>
      <xdr:col>1</xdr:col>
      <xdr:colOff>304800</xdr:colOff>
      <xdr:row>480</xdr:row>
      <xdr:rowOff>142875</xdr:rowOff>
    </xdr:to>
    <xdr:sp macro="" textlink="">
      <xdr:nvSpPr>
        <xdr:cNvPr id="13911" name="AutoShape 599" descr="View Related Links (Alt+6)">
          <a:hlinkClick xmlns:r="http://schemas.openxmlformats.org/officeDocument/2006/relationships" r:id="rId480"/>
          <a:extLst>
            <a:ext uri="{FF2B5EF4-FFF2-40B4-BE49-F238E27FC236}">
              <a16:creationId xmlns:a16="http://schemas.microsoft.com/office/drawing/2014/main" id="{47821F23-218F-2B66-CFAD-3497F13732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5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480</xdr:row>
      <xdr:rowOff>0</xdr:rowOff>
    </xdr:from>
    <xdr:to>
      <xdr:col>1</xdr:col>
      <xdr:colOff>304800</xdr:colOff>
      <xdr:row>481</xdr:row>
      <xdr:rowOff>142875</xdr:rowOff>
    </xdr:to>
    <xdr:sp macro="" textlink="">
      <xdr:nvSpPr>
        <xdr:cNvPr id="13912" name="AutoShape 600" descr="View Related Links (Alt+6)">
          <a:hlinkClick xmlns:r="http://schemas.openxmlformats.org/officeDocument/2006/relationships" r:id="rId481"/>
          <a:extLst>
            <a:ext uri="{FF2B5EF4-FFF2-40B4-BE49-F238E27FC236}">
              <a16:creationId xmlns:a16="http://schemas.microsoft.com/office/drawing/2014/main" id="{0520692E-B30E-02EB-5D6C-35B168D08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481</xdr:row>
      <xdr:rowOff>0</xdr:rowOff>
    </xdr:from>
    <xdr:to>
      <xdr:col>1</xdr:col>
      <xdr:colOff>304800</xdr:colOff>
      <xdr:row>482</xdr:row>
      <xdr:rowOff>142875</xdr:rowOff>
    </xdr:to>
    <xdr:sp macro="" textlink="">
      <xdr:nvSpPr>
        <xdr:cNvPr id="13913" name="AutoShape 601" descr="View Related Links (Alt+6)">
          <a:hlinkClick xmlns:r="http://schemas.openxmlformats.org/officeDocument/2006/relationships" r:id="rId482"/>
          <a:extLst>
            <a:ext uri="{FF2B5EF4-FFF2-40B4-BE49-F238E27FC236}">
              <a16:creationId xmlns:a16="http://schemas.microsoft.com/office/drawing/2014/main" id="{3EDC793F-122D-7FF9-7074-C731E38386C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8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482</xdr:row>
      <xdr:rowOff>0</xdr:rowOff>
    </xdr:from>
    <xdr:to>
      <xdr:col>1</xdr:col>
      <xdr:colOff>304800</xdr:colOff>
      <xdr:row>483</xdr:row>
      <xdr:rowOff>142875</xdr:rowOff>
    </xdr:to>
    <xdr:sp macro="" textlink="">
      <xdr:nvSpPr>
        <xdr:cNvPr id="13914" name="AutoShape 602" descr="View Related Links (Alt+6)">
          <a:hlinkClick xmlns:r="http://schemas.openxmlformats.org/officeDocument/2006/relationships" r:id="rId483"/>
          <a:extLst>
            <a:ext uri="{FF2B5EF4-FFF2-40B4-BE49-F238E27FC236}">
              <a16:creationId xmlns:a16="http://schemas.microsoft.com/office/drawing/2014/main" id="{A398030F-2375-BB87-F46A-9392AD7AE14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0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483</xdr:row>
      <xdr:rowOff>0</xdr:rowOff>
    </xdr:from>
    <xdr:to>
      <xdr:col>1</xdr:col>
      <xdr:colOff>304800</xdr:colOff>
      <xdr:row>484</xdr:row>
      <xdr:rowOff>142875</xdr:rowOff>
    </xdr:to>
    <xdr:sp macro="" textlink="">
      <xdr:nvSpPr>
        <xdr:cNvPr id="13915" name="AutoShape 603" descr="View Related Links (Alt+6)">
          <a:hlinkClick xmlns:r="http://schemas.openxmlformats.org/officeDocument/2006/relationships" r:id="rId484"/>
          <a:extLst>
            <a:ext uri="{FF2B5EF4-FFF2-40B4-BE49-F238E27FC236}">
              <a16:creationId xmlns:a16="http://schemas.microsoft.com/office/drawing/2014/main" id="{AF412D27-9005-25E6-1F73-21BECB6391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20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484</xdr:row>
      <xdr:rowOff>0</xdr:rowOff>
    </xdr:from>
    <xdr:to>
      <xdr:col>1</xdr:col>
      <xdr:colOff>304800</xdr:colOff>
      <xdr:row>485</xdr:row>
      <xdr:rowOff>142875</xdr:rowOff>
    </xdr:to>
    <xdr:sp macro="" textlink="">
      <xdr:nvSpPr>
        <xdr:cNvPr id="13916" name="AutoShape 604" descr="View Related Links (Alt+6)">
          <a:hlinkClick xmlns:r="http://schemas.openxmlformats.org/officeDocument/2006/relationships" r:id="rId485"/>
          <a:extLst>
            <a:ext uri="{FF2B5EF4-FFF2-40B4-BE49-F238E27FC236}">
              <a16:creationId xmlns:a16="http://schemas.microsoft.com/office/drawing/2014/main" id="{7D17167B-3325-DB77-764B-A8F409678D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3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485</xdr:row>
      <xdr:rowOff>0</xdr:rowOff>
    </xdr:from>
    <xdr:to>
      <xdr:col>1</xdr:col>
      <xdr:colOff>304800</xdr:colOff>
      <xdr:row>486</xdr:row>
      <xdr:rowOff>142875</xdr:rowOff>
    </xdr:to>
    <xdr:sp macro="" textlink="">
      <xdr:nvSpPr>
        <xdr:cNvPr id="13917" name="AutoShape 605" descr="View Related Links (Alt+6)">
          <a:hlinkClick xmlns:r="http://schemas.openxmlformats.org/officeDocument/2006/relationships" r:id="rId486"/>
          <a:extLst>
            <a:ext uri="{FF2B5EF4-FFF2-40B4-BE49-F238E27FC236}">
              <a16:creationId xmlns:a16="http://schemas.microsoft.com/office/drawing/2014/main" id="{E36A37F6-0560-BE73-A8C9-3711CF7509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53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486</xdr:row>
      <xdr:rowOff>0</xdr:rowOff>
    </xdr:from>
    <xdr:to>
      <xdr:col>1</xdr:col>
      <xdr:colOff>304800</xdr:colOff>
      <xdr:row>487</xdr:row>
      <xdr:rowOff>142875</xdr:rowOff>
    </xdr:to>
    <xdr:sp macro="" textlink="">
      <xdr:nvSpPr>
        <xdr:cNvPr id="13918" name="AutoShape 606" descr="View Related Links (Alt+6)">
          <a:hlinkClick xmlns:r="http://schemas.openxmlformats.org/officeDocument/2006/relationships" r:id="rId487"/>
          <a:extLst>
            <a:ext uri="{FF2B5EF4-FFF2-40B4-BE49-F238E27FC236}">
              <a16:creationId xmlns:a16="http://schemas.microsoft.com/office/drawing/2014/main" id="{1EBD0279-AFFF-721D-5209-7E6994E115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69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487</xdr:row>
      <xdr:rowOff>0</xdr:rowOff>
    </xdr:from>
    <xdr:to>
      <xdr:col>1</xdr:col>
      <xdr:colOff>304800</xdr:colOff>
      <xdr:row>488</xdr:row>
      <xdr:rowOff>142875</xdr:rowOff>
    </xdr:to>
    <xdr:sp macro="" textlink="">
      <xdr:nvSpPr>
        <xdr:cNvPr id="13919" name="AutoShape 607" descr="View Related Links (Alt+6)">
          <a:hlinkClick xmlns:r="http://schemas.openxmlformats.org/officeDocument/2006/relationships" r:id="rId488"/>
          <a:extLst>
            <a:ext uri="{FF2B5EF4-FFF2-40B4-BE49-F238E27FC236}">
              <a16:creationId xmlns:a16="http://schemas.microsoft.com/office/drawing/2014/main" id="{D1FCD888-6FAD-7673-2487-07ED06BE38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85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488</xdr:row>
      <xdr:rowOff>0</xdr:rowOff>
    </xdr:from>
    <xdr:to>
      <xdr:col>1</xdr:col>
      <xdr:colOff>304800</xdr:colOff>
      <xdr:row>489</xdr:row>
      <xdr:rowOff>142875</xdr:rowOff>
    </xdr:to>
    <xdr:sp macro="" textlink="">
      <xdr:nvSpPr>
        <xdr:cNvPr id="13920" name="AutoShape 608" descr="View Related Links (Alt+6)">
          <a:hlinkClick xmlns:r="http://schemas.openxmlformats.org/officeDocument/2006/relationships" r:id="rId489"/>
          <a:extLst>
            <a:ext uri="{FF2B5EF4-FFF2-40B4-BE49-F238E27FC236}">
              <a16:creationId xmlns:a16="http://schemas.microsoft.com/office/drawing/2014/main" id="{464231B6-2D1A-7AE7-A8AA-C4650057CB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0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489</xdr:row>
      <xdr:rowOff>0</xdr:rowOff>
    </xdr:from>
    <xdr:to>
      <xdr:col>1</xdr:col>
      <xdr:colOff>304800</xdr:colOff>
      <xdr:row>490</xdr:row>
      <xdr:rowOff>142875</xdr:rowOff>
    </xdr:to>
    <xdr:sp macro="" textlink="">
      <xdr:nvSpPr>
        <xdr:cNvPr id="13921" name="AutoShape 609" descr="View Related Links (Alt+6)">
          <a:hlinkClick xmlns:r="http://schemas.openxmlformats.org/officeDocument/2006/relationships" r:id="rId490"/>
          <a:extLst>
            <a:ext uri="{FF2B5EF4-FFF2-40B4-BE49-F238E27FC236}">
              <a16:creationId xmlns:a16="http://schemas.microsoft.com/office/drawing/2014/main" id="{661131D7-4836-AC8A-A290-9FCB077E70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18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490</xdr:row>
      <xdr:rowOff>0</xdr:rowOff>
    </xdr:from>
    <xdr:to>
      <xdr:col>1</xdr:col>
      <xdr:colOff>304800</xdr:colOff>
      <xdr:row>491</xdr:row>
      <xdr:rowOff>142875</xdr:rowOff>
    </xdr:to>
    <xdr:sp macro="" textlink="">
      <xdr:nvSpPr>
        <xdr:cNvPr id="13922" name="AutoShape 610" descr="View Related Links (Alt+6)">
          <a:hlinkClick xmlns:r="http://schemas.openxmlformats.org/officeDocument/2006/relationships" r:id="rId491"/>
          <a:extLst>
            <a:ext uri="{FF2B5EF4-FFF2-40B4-BE49-F238E27FC236}">
              <a16:creationId xmlns:a16="http://schemas.microsoft.com/office/drawing/2014/main" id="{06338D08-D27E-6E3F-F387-54C5D9E74E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491</xdr:row>
      <xdr:rowOff>0</xdr:rowOff>
    </xdr:from>
    <xdr:to>
      <xdr:col>1</xdr:col>
      <xdr:colOff>304800</xdr:colOff>
      <xdr:row>492</xdr:row>
      <xdr:rowOff>142875</xdr:rowOff>
    </xdr:to>
    <xdr:sp macro="" textlink="">
      <xdr:nvSpPr>
        <xdr:cNvPr id="13923" name="AutoShape 611" descr="View Related Links (Alt+6)">
          <a:hlinkClick xmlns:r="http://schemas.openxmlformats.org/officeDocument/2006/relationships" r:id="rId492"/>
          <a:extLst>
            <a:ext uri="{FF2B5EF4-FFF2-40B4-BE49-F238E27FC236}">
              <a16:creationId xmlns:a16="http://schemas.microsoft.com/office/drawing/2014/main" id="{94DC31B2-E71D-F34A-1AD6-CB12C3824B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50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492</xdr:row>
      <xdr:rowOff>0</xdr:rowOff>
    </xdr:from>
    <xdr:to>
      <xdr:col>1</xdr:col>
      <xdr:colOff>304800</xdr:colOff>
      <xdr:row>493</xdr:row>
      <xdr:rowOff>142875</xdr:rowOff>
    </xdr:to>
    <xdr:sp macro="" textlink="">
      <xdr:nvSpPr>
        <xdr:cNvPr id="13924" name="AutoShape 612" descr="View Related Links (Alt+6)">
          <a:hlinkClick xmlns:r="http://schemas.openxmlformats.org/officeDocument/2006/relationships" r:id="rId493"/>
          <a:extLst>
            <a:ext uri="{FF2B5EF4-FFF2-40B4-BE49-F238E27FC236}">
              <a16:creationId xmlns:a16="http://schemas.microsoft.com/office/drawing/2014/main" id="{0A068A6D-34CC-3D02-3E69-FC63CF8E68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6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493</xdr:row>
      <xdr:rowOff>0</xdr:rowOff>
    </xdr:from>
    <xdr:to>
      <xdr:col>1</xdr:col>
      <xdr:colOff>304800</xdr:colOff>
      <xdr:row>494</xdr:row>
      <xdr:rowOff>142875</xdr:rowOff>
    </xdr:to>
    <xdr:sp macro="" textlink="">
      <xdr:nvSpPr>
        <xdr:cNvPr id="13925" name="AutoShape 613" descr="View Related Links (Alt+6)">
          <a:hlinkClick xmlns:r="http://schemas.openxmlformats.org/officeDocument/2006/relationships" r:id="rId494"/>
          <a:extLst>
            <a:ext uri="{FF2B5EF4-FFF2-40B4-BE49-F238E27FC236}">
              <a16:creationId xmlns:a16="http://schemas.microsoft.com/office/drawing/2014/main" id="{E3534232-9064-6B4B-CA25-55FE2AC5967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82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494</xdr:row>
      <xdr:rowOff>0</xdr:rowOff>
    </xdr:from>
    <xdr:to>
      <xdr:col>1</xdr:col>
      <xdr:colOff>304800</xdr:colOff>
      <xdr:row>495</xdr:row>
      <xdr:rowOff>142875</xdr:rowOff>
    </xdr:to>
    <xdr:sp macro="" textlink="">
      <xdr:nvSpPr>
        <xdr:cNvPr id="13926" name="AutoShape 614" descr="View Related Links (Alt+6)">
          <a:hlinkClick xmlns:r="http://schemas.openxmlformats.org/officeDocument/2006/relationships" r:id="rId495"/>
          <a:extLst>
            <a:ext uri="{FF2B5EF4-FFF2-40B4-BE49-F238E27FC236}">
              <a16:creationId xmlns:a16="http://schemas.microsoft.com/office/drawing/2014/main" id="{24034807-7AFF-E535-3C2C-C0B7C9AAF2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9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495</xdr:row>
      <xdr:rowOff>0</xdr:rowOff>
    </xdr:from>
    <xdr:to>
      <xdr:col>1</xdr:col>
      <xdr:colOff>304800</xdr:colOff>
      <xdr:row>496</xdr:row>
      <xdr:rowOff>142875</xdr:rowOff>
    </xdr:to>
    <xdr:sp macro="" textlink="">
      <xdr:nvSpPr>
        <xdr:cNvPr id="13927" name="AutoShape 615" descr="View Related Links (Alt+6)">
          <a:hlinkClick xmlns:r="http://schemas.openxmlformats.org/officeDocument/2006/relationships" r:id="rId496"/>
          <a:extLst>
            <a:ext uri="{FF2B5EF4-FFF2-40B4-BE49-F238E27FC236}">
              <a16:creationId xmlns:a16="http://schemas.microsoft.com/office/drawing/2014/main" id="{067D56B3-C481-DC0C-3868-5BC5D0E450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1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496</xdr:row>
      <xdr:rowOff>0</xdr:rowOff>
    </xdr:from>
    <xdr:to>
      <xdr:col>1</xdr:col>
      <xdr:colOff>304800</xdr:colOff>
      <xdr:row>497</xdr:row>
      <xdr:rowOff>142875</xdr:rowOff>
    </xdr:to>
    <xdr:sp macro="" textlink="">
      <xdr:nvSpPr>
        <xdr:cNvPr id="13928" name="AutoShape 616" descr="View Related Links (Alt+6)">
          <a:hlinkClick xmlns:r="http://schemas.openxmlformats.org/officeDocument/2006/relationships" r:id="rId497"/>
          <a:extLst>
            <a:ext uri="{FF2B5EF4-FFF2-40B4-BE49-F238E27FC236}">
              <a16:creationId xmlns:a16="http://schemas.microsoft.com/office/drawing/2014/main" id="{BECCD892-657C-D2D5-53A4-417DFC7394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31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497</xdr:row>
      <xdr:rowOff>0</xdr:rowOff>
    </xdr:from>
    <xdr:to>
      <xdr:col>1</xdr:col>
      <xdr:colOff>304800</xdr:colOff>
      <xdr:row>498</xdr:row>
      <xdr:rowOff>142875</xdr:rowOff>
    </xdr:to>
    <xdr:sp macro="" textlink="">
      <xdr:nvSpPr>
        <xdr:cNvPr id="13929" name="AutoShape 617" descr="View Related Links (Alt+6)">
          <a:hlinkClick xmlns:r="http://schemas.openxmlformats.org/officeDocument/2006/relationships" r:id="rId498"/>
          <a:extLst>
            <a:ext uri="{FF2B5EF4-FFF2-40B4-BE49-F238E27FC236}">
              <a16:creationId xmlns:a16="http://schemas.microsoft.com/office/drawing/2014/main" id="{CE9420B5-6254-B1CA-A88F-FD6CBDC8A4CB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47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498</xdr:row>
      <xdr:rowOff>0</xdr:rowOff>
    </xdr:from>
    <xdr:to>
      <xdr:col>1</xdr:col>
      <xdr:colOff>304800</xdr:colOff>
      <xdr:row>499</xdr:row>
      <xdr:rowOff>142875</xdr:rowOff>
    </xdr:to>
    <xdr:sp macro="" textlink="">
      <xdr:nvSpPr>
        <xdr:cNvPr id="13930" name="AutoShape 618" descr="View Related Links (Alt+6)">
          <a:hlinkClick xmlns:r="http://schemas.openxmlformats.org/officeDocument/2006/relationships" r:id="rId499"/>
          <a:extLst>
            <a:ext uri="{FF2B5EF4-FFF2-40B4-BE49-F238E27FC236}">
              <a16:creationId xmlns:a16="http://schemas.microsoft.com/office/drawing/2014/main" id="{6CAEDB2C-15CC-5E50-AA0C-7EFAD1D19B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63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499</xdr:row>
      <xdr:rowOff>0</xdr:rowOff>
    </xdr:from>
    <xdr:to>
      <xdr:col>1</xdr:col>
      <xdr:colOff>304800</xdr:colOff>
      <xdr:row>500</xdr:row>
      <xdr:rowOff>142875</xdr:rowOff>
    </xdr:to>
    <xdr:sp macro="" textlink="">
      <xdr:nvSpPr>
        <xdr:cNvPr id="13931" name="AutoShape 619" descr="View Related Links (Alt+6)">
          <a:hlinkClick xmlns:r="http://schemas.openxmlformats.org/officeDocument/2006/relationships" r:id="rId500"/>
          <a:extLst>
            <a:ext uri="{FF2B5EF4-FFF2-40B4-BE49-F238E27FC236}">
              <a16:creationId xmlns:a16="http://schemas.microsoft.com/office/drawing/2014/main" id="{A3320276-649E-011B-8BEC-CA422160005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80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932" name="AutoShape 62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29EC15-AE8B-3284-7BE5-F7E20ED3C0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933" name="AutoShape 62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BF50A2A-7B29-9DC8-2B0A-A9B67EA7A1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934" name="AutoShape 62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327F89-0788-1F68-95BE-DAE06B1CF4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935" name="AutoShape 62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08A24B-272C-51AF-598A-1EB70C8712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936" name="AutoShape 62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FF3448-EEFE-AF84-9D70-B353BE381F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937" name="AutoShape 62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6565F99-71FB-A561-BB04-CC365A2426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938" name="AutoShape 62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A086494-83F5-9736-BB35-F8686E0CC6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939" name="AutoShape 62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AF7BF38-E4F1-104F-D9FD-93C713392D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940" name="AutoShape 628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5104102-388C-516F-7050-EDF7FE8386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941" name="AutoShape 629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3156F3F-2079-3D5D-0F05-6E8E3FDA34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942" name="AutoShape 630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6C26EF2-3B34-15EA-3C9B-489358D3F2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943" name="AutoShape 631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D158BDE-E55C-F961-BD1D-8214BF1A22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944" name="AutoShape 632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B43264-B41E-5B37-3A3C-522CB3DDC3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945" name="AutoShape 633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79DF8D1-6613-A41F-7C14-4B5E990716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946" name="AutoShape 634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81702A4-512D-DC46-22A9-313A0C14CA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947" name="AutoShape 635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ADC44D2-2FAE-3E6F-7F7A-90A9405163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948" name="AutoShape 636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E902826-3E44-739A-228B-A5FA3AD36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949" name="AutoShape 637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331455D-0DBA-3BE3-9B07-AE32C34EB6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950" name="AutoShape 638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991FEE1-D681-8A05-B9F6-DD380E36E4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951" name="AutoShape 639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60D4EEE-BB32-2E26-4993-4E7815A029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952" name="AutoShape 640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A8E949F-E39A-E731-62F2-F56688CBE2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953" name="AutoShape 641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F5AFAC3-A221-7ACE-1D09-5EB7132A69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954" name="AutoShape 642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413EF503-02C9-2AB4-C5BB-D395E75FE2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955" name="AutoShape 643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7F9D371-33F8-8780-5252-3517188D13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956" name="AutoShape 644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CFBBA74-5EBF-4729-CF7F-6A50D8295E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957" name="AutoShape 645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D969885D-0236-739B-664A-42D6D0AC88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958" name="AutoShape 646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AE388A7D-F358-693F-895B-F734B1650E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959" name="AutoShape 647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D3F2BA1D-3E3A-80B8-565C-9AA5790E72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960" name="AutoShape 648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2492080-EBD9-6C1E-D00D-85355BD0C6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961" name="AutoShape 649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52755C6-020D-9001-0988-DCE0A91DDD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962" name="AutoShape 650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1A3E2CC1-1DA4-DF31-67B7-F4589DFC4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963" name="AutoShape 651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88FAFEF-9735-E29B-F971-653B6464FD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964" name="AutoShape 652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5E5D3F97-E569-1A9C-65CE-1E8799E139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965" name="AutoShape 653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155E0DD-7704-29A4-2DE2-1F42404FD1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966" name="AutoShape 654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8840CC8-DFC6-3FFF-A2D0-68C78E47F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967" name="AutoShape 655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A4580AE7-4F04-EAFC-58C0-A4789062DF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968" name="AutoShape 656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8DF201ED-A6C8-8BF7-E484-117F70F15C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969" name="AutoShape 657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F37CBC6B-3C27-9606-4BAB-513C9DA3019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970" name="AutoShape 658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1DDF98BA-CF90-533F-2BD3-F63EF6B251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971" name="AutoShape 659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9DFE6C22-343D-3975-F1FA-FA1E1A8BA7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972" name="AutoShape 660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CBD1C6C3-19A4-4FB0-8B5A-BE459806357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973" name="AutoShape 661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B7D3DB1-95B3-9A3A-D49D-31164394774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974" name="AutoShape 662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04E194A-529B-8E1A-323C-BA3862C66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975" name="AutoShape 663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8D4FA84-1068-1960-D138-CA91089F3B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976" name="AutoShape 664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AB7E7A79-5FBE-D7DB-8BFA-B9325341CD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977" name="AutoShape 665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3E07806-BE83-E524-5BEB-355BE11078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978" name="AutoShape 666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4EFDF90D-7E0B-7AF1-7323-1FBD205271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979" name="AutoShape 667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88704EC8-5106-7409-E4D1-4964E7390C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980" name="AutoShape 668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76228F6B-05CA-7F5A-17BE-732160ED01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981" name="AutoShape 669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A301E1E9-B478-3E96-6C9A-DBBE5C0F0E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982" name="AutoShape 670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6CAC1CBA-BCAF-B41B-DF17-8C3A3F59E5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983" name="AutoShape 671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27497F78-0A0A-CE5F-4DCB-9C8084DC1C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984" name="AutoShape 672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BE4F534C-28AB-AD41-E551-C32F231496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985" name="AutoShape 673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952F8827-3003-9FD4-92A7-4F7091140B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986" name="AutoShape 674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A9052192-8F69-548A-AD2E-DFAF76F62A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987" name="AutoShape 675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DBB409CE-D483-0073-9727-28051B7E54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988" name="AutoShape 676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5FF0E869-6828-3682-F7D3-967F6BB175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989" name="AutoShape 677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8239BDC5-3B89-642C-491D-0902DF2393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990" name="AutoShape 678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220B193B-6A44-3AB5-0F70-E0F8420789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991" name="AutoShape 679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E62BA45E-16C0-6079-6A73-3FBE1FDF17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992" name="AutoShape 680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9D3B69C8-D010-D90E-3368-132AF74B09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993" name="AutoShape 681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2D24A73-E11C-4FD8-CAD0-32A7E5BB0F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994" name="AutoShape 682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E68941CF-AFD2-89BE-902A-CB60646013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995" name="AutoShape 683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7B12CF9C-74DF-4AA6-AFBD-5D96D925D5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996" name="AutoShape 684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B2AF73E-43C0-FF28-0504-F2825189E8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997" name="AutoShape 685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33542BC7-FC32-BBF5-BC39-FE44F667AF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998" name="AutoShape 686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3DA374E4-9BA5-349D-B132-934B918DE4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999" name="AutoShape 687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BA28C0E2-C0DE-9A07-F47A-7DC56D2D0C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4000" name="AutoShape 688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F226BA34-B914-2017-E100-99C7632300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4001" name="AutoShape 689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34394C3-8B25-9F88-5993-500D1C5ABE2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4002" name="AutoShape 690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5599790E-950A-4628-F27A-991197E7C2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4003" name="AutoShape 691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35140449-CDA2-945B-15B7-89657AB5655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4004" name="AutoShape 692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FEADD29E-1EFD-57C9-29E1-EBD3F726C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4005" name="AutoShape 693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4C09892D-F18E-815A-58E3-D74581A2B3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4006" name="AutoShape 694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9F70AAF6-FB04-9162-3854-5CADA4649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4007" name="AutoShape 695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798D175-9468-848B-BF96-FA524B9312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4008" name="AutoShape 696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2F6736AA-87B5-3614-342A-F82A6B0AD7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4009" name="AutoShape 697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1D142CE5-AF33-22D0-A1A4-0236D2A894C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4010" name="AutoShape 698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925BD6-A716-032D-4721-E99D896A2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4011" name="AutoShape 699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E8796A96-1660-4CEA-70B0-FD63C24055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4012" name="AutoShape 700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A9559635-7583-208B-B4E1-31FCEA6DA70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4013" name="AutoShape 701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287E6284-BA22-8A18-215D-E59F896636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4014" name="AutoShape 702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C2ECC8D9-2554-0E69-0E7C-CF66A530D4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4015" name="AutoShape 703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DA48D012-53AF-F24F-7CA9-15B8381F73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4016" name="AutoShape 704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7191952F-D6A0-923D-5F71-DE6D55CD31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4017" name="AutoShape 705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65EE81D9-A722-D21B-3B7C-F653AAA2D1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4018" name="AutoShape 706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E2C8320D-2BF5-72D4-1F65-D75B8C6194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4019" name="AutoShape 707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BB718E39-CC11-8EFC-3C31-E599E1476F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4020" name="AutoShape 708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41243137-5268-F5EF-316A-CE5FD5DBF7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4021" name="AutoShape 709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D5609CC4-E112-5C7C-A457-A9B94A9BFB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4022" name="AutoShape 710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3F875CB3-908F-7858-9FA5-369D07211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4023" name="AutoShape 711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465487F4-9815-938D-1759-A774FC6D38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4024" name="AutoShape 712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5E63059A-3110-1A42-1C35-B17F16F43D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4025" name="AutoShape 713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4207BCF3-E7B7-5AD3-DD4B-A369425313C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4026" name="AutoShape 714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232F0519-A7DD-CDD1-50F7-DB07D0E6F0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4027" name="AutoShape 715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1D7FA77C-C2E5-C68A-4BB4-447B7D8565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4028" name="AutoShape 716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C8456920-BAFF-640A-4B75-D3A5F14AF7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4029" name="AutoShape 717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B6F255C0-E4B0-21DA-643F-098557B582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4030" name="AutoShape 718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5F946C66-BF01-6F8E-A4B3-C299A0F5F5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4031" name="AutoShape 719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B17F2FA6-1E06-0A06-C9EE-AF08A36CEE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4032" name="AutoShape 720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EA3EC803-6696-9D7D-655E-554DA505F8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4033" name="AutoShape 721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6FB25623-7060-A62B-7079-3556B88BBE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4034" name="AutoShape 722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70F93795-0D2C-EC22-2E7E-59C20E29E6C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4035" name="AutoShape 723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CECE0F90-6AEE-98FE-C425-C7FBC0C3DD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4036" name="AutoShape 724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27B8738B-7EE0-9F0F-CF3E-8F1C111269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4037" name="AutoShape 725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BC00E883-C2E0-4090-4737-0396823D852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4038" name="AutoShape 726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C819C3E0-E12A-52CE-9CA2-EE80FD3E87C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4039" name="AutoShape 727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F1AD7C8A-D13A-146A-7ECF-3D6934D482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4040" name="AutoShape 728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D7B2CBDD-38CA-3CC6-6607-512DBEFB68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4041" name="AutoShape 729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5ACFF43A-BCDD-48B8-F6A9-A244F9C792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4042" name="AutoShape 730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4565FE42-CC11-E9FC-94DE-0481AB8BB0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4043" name="AutoShape 731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91022CD0-4846-EC15-5D34-E6575ED808C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4044" name="AutoShape 732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8EE7FB42-898E-5E43-2B50-27EB508D3C1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4045" name="AutoShape 733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F1369BB4-F73A-43A4-8137-746FCCE465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4046" name="AutoShape 734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6EB848BE-B204-D1D2-6448-3DDE6A758F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4047" name="AutoShape 735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8AF8FADF-F57B-4B72-E8DB-D7F97BA599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4048" name="AutoShape 736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B63F55DA-CBE1-83AA-28F6-DB67F438B8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4049" name="AutoShape 737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9A2FBA50-91B7-9CBA-1D16-525172FBD7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4050" name="AutoShape 738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4C71C8C8-E503-460B-6377-C073313B06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4051" name="AutoShape 73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8B2386-28E6-9490-F5B6-814CB9F786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4052" name="AutoShape 74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7B9863-645E-1966-E495-8D519873CD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4053" name="AutoShape 74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FE264BD-0FB6-4EEE-8030-9BD3BD3D61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4054" name="AutoShape 74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6AA23C-5977-E0BF-0509-E83C4E39FE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4055" name="AutoShape 74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5F1917-8F5D-7E91-614E-9EFD8FE77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4056" name="AutoShape 74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57FC8B5-CC3E-9544-8925-9AB7FA20AA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4057" name="AutoShape 74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31B9D54-54C2-2BDD-8DF5-96BC36D11B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4058" name="AutoShape 74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8FA1CCE-3AF4-DBD4-6199-3EDC3E399A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4059" name="AutoShape 74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42CB219-3026-D0D6-F77B-A8E46212DB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4060" name="AutoShape 748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2B926B8-9536-2481-71C4-4037AE2E8B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4061" name="AutoShape 749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5CF7147-301F-F3EF-7DAE-39303803C1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4062" name="AutoShape 750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73E5854-CBFF-4AFC-9E5E-9FB6E422BE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4063" name="AutoShape 751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DF6E035-D405-F322-1171-1B4C5F52D6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4064" name="AutoShape 752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12D1723-8419-41A7-B6DB-2DF1F08056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4065" name="AutoShape 753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5CA97EB-173C-F255-7F8A-A3888997CC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4066" name="AutoShape 754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52C1FCD-4951-B563-A0CD-FF323789EE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4067" name="AutoShape 755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C86A1D8-9921-D718-B782-5CE466CD71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4068" name="AutoShape 756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394E28F-FCE4-E1EB-A5FD-D660213FD94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4069" name="AutoShape 757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9DFCB39-E51D-E5D2-0DA8-CAD05782FF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4070" name="AutoShape 758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B1E50636-1931-127E-22AC-2B0BC760C9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4071" name="AutoShape 759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E48076D-0345-361F-62E4-7767F1570A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4072" name="AutoShape 760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6469D678-45E3-7D7B-B880-13CA14D0D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4073" name="AutoShape 761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97B3EB7A-C60A-AD18-C4C6-45B74B1A24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4074" name="AutoShape 762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84A8AC9-0C06-BB66-345D-973A9F085B1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4075" name="AutoShape 763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9F22304-7022-6F76-65B2-BEE244DDED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4076" name="AutoShape 764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C6367BC6-2F94-1ED2-3BF1-D76860DF7A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4077" name="AutoShape 765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DABD2E2-E0E1-4C9E-FD37-BD2E60F4AD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4078" name="AutoShape 766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F61CD7C-C676-D705-14FF-847E868469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4079" name="AutoShape 767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05299CE-EE2F-71A7-1BE1-9348E2AA3E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4080" name="AutoShape 768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453C70CA-1CFB-4788-4905-5C25771AC1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4081" name="AutoShape 769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21E26D7-1210-3BD7-C61A-69ACC7D675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4082" name="AutoShape 770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BC9FD02F-1EA4-2DDF-889E-00EF92C703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4083" name="AutoShape 771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BF424D4-3C83-5F40-AC30-40BF18A9DA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4084" name="AutoShape 772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2ED752A-D0DB-509A-CBA7-23D5D8B301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4085" name="AutoShape 773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4A26ECD6-DA8E-306C-0BC4-EC1CCC3D65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4086" name="AutoShape 774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4DA7B6F-F0D0-A631-0158-0D8D7EFCE2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4087" name="AutoShape 775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AD540649-CB76-29D9-51BC-C50598244B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4088" name="AutoShape 776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B6E79066-971E-04B7-61A4-6CEBDA9AD3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4089" name="AutoShape 777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11D91A9C-6021-4444-C36C-A9863F20C0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4090" name="AutoShape 778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20E326E3-9BB8-5002-B94E-8D32E60BDE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4091" name="AutoShape 779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BBF06123-5943-0F43-30AB-4594F87B27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4092" name="AutoShape 780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3683477B-B06B-F2FD-D8C1-C407E409A6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4093" name="AutoShape 781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7E7DF1A3-932B-E342-9500-C7AB5A5859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4094" name="AutoShape 782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E64C8B1B-45D3-9AC5-85F1-DAEC255FC3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4095" name="AutoShape 783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6F2D69B-F364-3A7A-6069-73B53628C6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4096" name="AutoShape 784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7B622D0C-2F1B-8CA7-F6C4-E8D1565D4E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4097" name="AutoShape 785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8EBC668F-326C-BF8B-CF81-1E114E84A6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4098" name="AutoShape 786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C6C4087B-5A35-9916-1491-8C7E9553EB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4099" name="AutoShape 787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89E7C95F-3240-FDD8-4ED6-3B98E121CF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4100" name="AutoShape 788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DCC04DD1-B48B-1748-2661-454D84A7A8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4101" name="AutoShape 789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7FDD1590-3530-BD8B-27C1-7F9580C504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4102" name="AutoShape 790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5044402F-8A1A-41A1-425B-210555B573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4103" name="AutoShape 791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70BAE6C6-DC29-292C-C111-8F0C55620F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4104" name="AutoShape 792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DAB47795-8287-3A8D-F30E-5404CE4E46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4105" name="AutoShape 793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C4FB7D86-7C13-B0C3-2282-7F481A1D3D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4106" name="AutoShape 794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FB29EE4C-4BB4-C7BD-0E4C-0FE7F1949D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4107" name="AutoShape 795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A367BDA2-1402-7A0D-8A0F-26923D2A9A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4108" name="AutoShape 796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E794FD48-715A-0DD6-F2FD-CD11B304F9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4109" name="AutoShape 797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D80986B2-D1C2-52D7-ADC4-772C0B40C6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4110" name="AutoShape 798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10FD0AA1-87B6-5058-4D14-298B5418AF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4111" name="AutoShape 799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A66C4C39-C2B1-BCEC-0FE3-8CC24255E8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4112" name="AutoShape 800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CDEC26D5-8C26-F486-0C77-94317189E6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4113" name="AutoShape 801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D20C011D-6996-E696-E311-581D897164C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4114" name="AutoShape 802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C5273648-2748-0B6F-BDFD-06871C6518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4115" name="AutoShape 803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188EB381-F68F-3EAE-1E72-6C856340A5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4116" name="AutoShape 804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CDC4EA1F-352D-2C15-5D88-ACB8422BC9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4117" name="AutoShape 805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BA8C9FF4-F2FD-84EF-5463-0D57F39545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4118" name="AutoShape 806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B1690BE8-F55D-BBCC-9C96-1F69E2C454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4119" name="AutoShape 807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9E0C8A9-AABF-CD70-7CEF-E80D4FF625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4120" name="AutoShape 808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FE6ADFF2-87C7-6192-BC95-422A3078C8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4121" name="AutoShape 809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6FFF3634-C0FA-69F2-2A7F-974A98DBCD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4122" name="AutoShape 810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AE3A15BE-B258-BA44-0248-71C8C13D07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4123" name="AutoShape 811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93864269-44FA-527D-0751-37767177C3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4124" name="AutoShape 812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6888F4E-4935-F37B-5682-84D634D45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4125" name="AutoShape 813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79D43648-AB63-E9C3-6AEA-6331BF1BA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4126" name="AutoShape 814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EDEBAC6-FEBF-771E-3C69-306CA0B86D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4127" name="AutoShape 815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9D694AA0-426A-987A-364C-45B1EFE9A1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4128" name="AutoShape 816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C2AF94ED-F9EB-D265-12C0-518E180092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4129" name="AutoShape 817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DC10954F-1E63-5B9A-2A9E-B25E699255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4130" name="AutoShape 818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7EA875BD-90CF-0977-3520-A82A140A6D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4131" name="AutoShape 819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F8B3C986-0A73-7077-6EB6-E315422C20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4132" name="AutoShape 820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E5A3F1A9-CFC9-3E76-1CA4-0A02C21A9A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4133" name="AutoShape 821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DD35856F-E281-003F-B51B-AE26E7D912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4134" name="AutoShape 822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6C197D1C-0F11-4202-76E1-A2BFB7BA69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4135" name="AutoShape 823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DFE93DAE-72B6-5E9F-8E18-6E7DEC6CD1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4136" name="AutoShape 824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AE8927A-D366-D3FF-E9A7-B15A43ED84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4137" name="AutoShape 825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E5FDC7F-2462-DE05-706A-A230DD01E2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4138" name="AutoShape 826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220B43E9-3123-282E-66FC-03EBF5D5FC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4139" name="AutoShape 827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C5123F07-75FE-24C7-9B9A-EACD06396D8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4140" name="AutoShape 828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B410312-C8DD-590B-6AF4-EFE09A17289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4141" name="AutoShape 829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C94369A1-CFDA-0E63-8221-7F81FBB17A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4142" name="AutoShape 830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E50186F8-E731-7BE7-6495-8954E2B641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4143" name="AutoShape 831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B3B972C7-2007-94A6-49DA-E183F04AB5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4144" name="AutoShape 832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2FBC2BDB-F1F6-FD23-A953-B172C13A0C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4145" name="AutoShape 833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5873FAB8-DDB1-4DD0-D809-343CE91CF8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4146" name="AutoShape 834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1F5F7EBD-B63F-4716-AE56-5CCE335BB8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4147" name="AutoShape 835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303343CD-8AE9-5615-CE41-CE3F062A2E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4148" name="AutoShape 836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8665828B-EF9F-CCFB-977E-68797C43A0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4149" name="AutoShape 837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9E4ED218-97B9-346A-E402-6EEF2650B9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4150" name="AutoShape 838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71CC7938-FE12-AEDD-5F43-879DF4458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4151" name="AutoShape 839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BE086B2C-1A40-00A3-BA2F-69F9843EBD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4152" name="AutoShape 840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2D2FFE59-E2CA-0B0A-E72A-FA4516A352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4153" name="AutoShape 841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65CAC90C-7E59-BA83-6FFB-7A58630F34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4154" name="AutoShape 842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9648DAD-77BF-997E-873D-6F018E67DD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4155" name="AutoShape 843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5299354B-66D0-75D4-4AF0-2F68A1E8F29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4156" name="AutoShape 844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97C23742-1E41-D0F7-DBA2-3D8A62E5E9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4157" name="AutoShape 845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51754DB1-E47A-16B8-AD6F-3808CFD6A7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4158" name="AutoShape 846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1C627B6F-4536-0EFB-8CE7-4DE5153B10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4159" name="AutoShape 847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4DF3A84-B742-7E07-E22B-7A89B53C32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4160" name="AutoShape 848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BF16FCBF-E218-330C-01B9-B717161FC0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4161" name="AutoShape 849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A6C99DF6-E129-1A2E-7ACC-2136D59972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4162" name="AutoShape 850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E6AC81E4-607B-8172-499C-AB9EAE48A8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4163" name="AutoShape 851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BDDC33B5-925D-30D7-5BDD-095E5A0B5D5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4164" name="AutoShape 852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9D959F44-F88E-DEBB-57DA-2E6E7D2332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4165" name="AutoShape 853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448A8B22-8D67-8320-75E1-06EEFE559C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4166" name="AutoShape 854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13E2C0EF-07DE-14E2-E8FF-AF6F8FCBEB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4167" name="AutoShape 855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F5A24B7A-4329-01E4-ED3E-90D3DC78E2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4168" name="AutoShape 856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968FFA37-E31C-C38A-C79A-52FCC9015B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4169" name="AutoShape 857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2C8ED631-135E-4AE9-0F32-8640DE1554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14170" name="AutoShape 858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B9CF77FC-EBF4-4658-B38B-8EB66544D7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14171" name="AutoShape 859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A079EDDF-EE27-225C-D6C8-67E2702F2A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14172" name="AutoShape 860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1D402521-DE99-6E55-ED5D-D877AD67F4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14173" name="AutoShape 861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CAF5AB90-2F73-DB80-F450-073E5B3704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14174" name="AutoShape 862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97398D63-63D4-2700-B093-F77322D46E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14175" name="AutoShape 863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2EA57C17-F6F3-FD55-ACD4-7C42510622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14176" name="AutoShape 864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E5CDAF35-B7FC-106E-77AA-4F3378579B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14177" name="AutoShape 865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55DB0A5C-3F85-034F-7EFF-C7A4465358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14178" name="AutoShape 866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F2867BEE-180E-FAA8-66D8-C76FB0D32D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14179" name="AutoShape 867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E371D230-70B2-D3F5-3957-C3E5814F09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14180" name="AutoShape 868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69AE483B-1D19-A162-8B2D-9170731B221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14181" name="AutoShape 869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C4C19F14-6304-E458-A43B-69CCD9147C0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14182" name="AutoShape 870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8AAECA0C-2D3C-85BB-38DA-9E2CC26E01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14183" name="AutoShape 871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D6F5C8ED-9A65-7C3E-1A6E-CBD85BDC65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14184" name="AutoShape 872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5196FD2D-13FD-16A0-989E-94C6E039F8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14185" name="AutoShape 873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74899631-D390-420B-1A5A-C9D0B37E61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14186" name="AutoShape 874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BC23AE1E-5526-15C6-6233-6DA3687138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14187" name="AutoShape 875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5523143B-E641-B834-0DAF-6FB1D47D3C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14188" name="AutoShape 876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0A483DC6-198B-32EC-59AD-53F1609452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14189" name="AutoShape 877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708D156-818F-0AAF-A46B-443E2BDBFF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14190" name="AutoShape 878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29721DB2-75B2-4095-F1EB-C3446AC10F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14191" name="AutoShape 879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8EEB5FC5-738E-12D8-EE8C-0DCE69F6EF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14192" name="AutoShape 880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540A5EF8-8D39-26F6-F030-C99789C94E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14193" name="AutoShape 881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926EE940-C993-5E9B-AEC8-8B5072A5CC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14194" name="AutoShape 882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8205724F-8008-C7E3-6A09-F6BF15379C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14195" name="AutoShape 883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4D69B44F-D3B7-E7EC-5195-31602AE21A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14196" name="AutoShape 884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6AD49B55-9E37-9A43-9078-E3FE95B16D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14197" name="AutoShape 885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6665D1E5-9BCD-BFEF-5262-1E1006BE70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14198" name="AutoShape 886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1B6D48F2-3DC6-0C80-40D8-DD35530318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14199" name="AutoShape 887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6BD5AFC8-962A-48E2-10C0-A246DF2BC2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14200" name="AutoShape 888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4BE8E4D8-B0FB-DB3D-4182-41D354EF80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14201" name="AutoShape 889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35A65610-2C2B-C05A-920E-6270BF02BC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14202" name="AutoShape 890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14AA9161-FAF3-9A54-B8F9-A4909672D48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14203" name="AutoShape 891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C52C906D-CC59-378C-9F89-71A9CBD2EB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14204" name="AutoShape 892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8050E373-E4FF-FE6E-9A1D-B1236804B95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14205" name="AutoShape 893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09855FA8-F1D7-C6C9-32EB-72015F2575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14206" name="AutoShape 894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F0E87D84-4E8B-AC7C-A4DB-E39E49D288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14207" name="AutoShape 895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336CE150-1C9F-0284-3332-964A970EA9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14208" name="AutoShape 896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19F80659-E33D-D510-25B7-2B5EF9CCE7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14209" name="AutoShape 897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E7181916-B99F-C29C-896E-E881975EAC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14210" name="AutoShape 898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4CC6DFCB-0236-826E-E137-7A8E67FBF9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14211" name="AutoShape 899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18D8CBCA-D570-B58C-50F5-E157E3212B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14212" name="AutoShape 900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094D0201-1752-E5B6-9642-3F4EEAB326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14213" name="AutoShape 901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3F8C5223-F0DF-E890-29EA-0C7ECD4284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14214" name="AutoShape 902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8EE11C39-8D7A-0F0F-9EDE-2D4C29180C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14215" name="AutoShape 903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3019255B-E6DE-935D-67DA-96A57A337D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14216" name="AutoShape 904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DA5796F8-9453-433F-4700-D9EE8E92C6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14217" name="AutoShape 905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384B53B5-6E3C-ADC4-7EF1-524703D80F2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14218" name="AutoShape 906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B197CEEA-0919-509D-E0BE-B83FE54D84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14219" name="AutoShape 907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351CA055-D7D9-0B91-B9D2-7ABB101BA4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14220" name="AutoShape 908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43C7BD93-E96C-836A-4F50-AC997C619C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14221" name="AutoShape 909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712FE38B-4B15-7FD3-F755-9E40EF4880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14222" name="AutoShape 910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EEDCB1FF-889F-3204-7204-24168C2739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14223" name="AutoShape 911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9186BAF9-1231-934B-89FB-006B22DBD5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14224" name="AutoShape 912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C81481F0-0109-723A-FBFB-DB8DAACDAD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14225" name="AutoShape 913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E9C9A670-F538-B9A7-C47D-1483F4440C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14226" name="AutoShape 914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4D5C14B9-A9CA-882B-8DFD-D31FA1A3CF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14227" name="AutoShape 915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705F10BF-2F6E-EEC6-DDE5-3887DB4A0A1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14228" name="AutoShape 916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3443B09E-219C-62AD-7B90-6EFAEFFC54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14229" name="AutoShape 917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87D51659-194F-A566-4F34-F61E85F7EC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14230" name="AutoShape 918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6DD64458-A418-40B8-4BFB-B6DFDA22ED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14231" name="AutoShape 919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A7535C64-5B78-A735-D4FE-8C2129DDC7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14232" name="AutoShape 920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03FB2AA5-5740-B103-1E69-5EA67D3897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14233" name="AutoShape 921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943874CD-465A-782B-3071-E72E27F9C0A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14234" name="AutoShape 922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1E566042-9215-E299-CD52-EBD32B483D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14235" name="AutoShape 923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19319772-6519-DE0B-EE20-09EBFA79C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14236" name="AutoShape 924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B92C7E27-D450-90CC-9B70-53BCBDF242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14237" name="AutoShape 925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2DFD5196-4B1B-83CA-79B9-80844BD94A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14238" name="AutoShape 926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952B205A-103E-48A6-570B-D686D1BF1D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14239" name="AutoShape 927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30D64789-50F6-E507-7A08-84A721912C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14240" name="AutoShape 928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C695BC18-C1ED-E9FC-50A8-B4AA6413AB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14241" name="AutoShape 929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BCBBB545-2AAE-D6A0-CB85-39B7C45F74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14242" name="AutoShape 930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6BE8EA09-7F53-ABF2-ADD8-551CE88267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14243" name="AutoShape 931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F6EED0FF-A543-0789-3B4E-9710EB6EE5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14244" name="AutoShape 932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94CECDE0-A410-A92A-7BD7-8FE8487A73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14245" name="AutoShape 933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B66764E1-FDF0-EEC4-DFBD-E6109047FA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14246" name="AutoShape 934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6EA4B5C5-55AE-3555-CB5D-EC7010029D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14247" name="AutoShape 935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259A109D-D598-0279-6659-327C2794BE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14248" name="AutoShape 936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E0B62B5A-AE54-E6E5-CDEC-2EEB624AB6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14249" name="AutoShape 937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4FFAE156-48E8-0AFC-AAE3-A9E1C544FC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14250" name="AutoShape 938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94259E7C-C2EC-83E1-BE3A-0F4BD13961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14251" name="AutoShape 939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20825631-943E-C5C0-FA07-5D8289CCE9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14252" name="AutoShape 940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30959F19-82C0-BA57-798E-DE367420CA4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14253" name="AutoShape 941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D278D51A-055C-D54B-372F-507957996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14254" name="AutoShape 942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19EE017B-E427-A21B-C154-49DC0E933A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14255" name="AutoShape 943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EC3B3C75-0829-A107-AA4C-8BDA85654C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14256" name="AutoShape 944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AECA619C-0E3A-26E0-6C4C-553B33BBD1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14257" name="AutoShape 945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53FE0FEB-BBE7-D53F-FCDC-0C47C5B352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14258" name="AutoShape 946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2F6EEEC6-2EF5-B39A-776B-25321C88CE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14259" name="AutoShape 947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853A3338-E039-179E-444E-3AEFC27010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14260" name="AutoShape 948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A09AD229-4117-C821-77A4-8490CA69C9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14261" name="AutoShape 949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D38EDA87-6D01-85CD-0A3E-65FC63A37D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14262" name="AutoShape 950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0A68C978-7DBA-F07A-41FA-E8A76AF2A4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14263" name="AutoShape 951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28EA3E54-175A-9479-1526-61E12EF809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14264" name="AutoShape 952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4FE44546-B5F5-7E28-3D20-89B9FFCA29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14265" name="AutoShape 953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0CE69565-F9C5-7E2A-4EA7-B4A9B0EDEB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14266" name="AutoShape 954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7CF13DCF-A28C-52A5-2903-03D0EE56C1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14267" name="AutoShape 955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E1E5151F-89EA-7083-8C0B-EEEEF6F57B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14268" name="AutoShape 956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9C6883E8-5993-A7C8-33B8-40BC80A2242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14269" name="AutoShape 957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CB95231B-D820-6D5D-1436-70E935E159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14270" name="AutoShape 958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99C6758B-4C45-341A-702D-85E5A2B97A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14271" name="AutoShape 959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E6B49A41-723C-92BB-8170-9E1E860C4A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14272" name="AutoShape 960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9D76F5A2-7BBF-5B1A-E562-AC3222044C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14273" name="AutoShape 961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5565FABA-8F40-CE7C-E6CB-A7E5F5F580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14274" name="AutoShape 962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2FA6C50C-491F-C9E0-29F5-F4EA7A4B02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14275" name="AutoShape 963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19443671-9144-9EC6-7404-088492C1B9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14276" name="AutoShape 964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EBB7EF48-1D9C-F43D-13E7-7C271E45AE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14277" name="AutoShape 965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EAF1216F-F705-7615-2796-CE49D77ECB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14278" name="AutoShape 966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B74AD02F-F697-7A40-DC88-48147F6311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14279" name="AutoShape 967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CD14B4A4-46CB-307B-00E8-6385C40518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14280" name="AutoShape 968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4DB7C3C4-3C63-FCFD-23EE-59D1A63DA8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14281" name="AutoShape 969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C4F2E47F-8676-3D0B-BB69-239CCBD55B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14282" name="AutoShape 970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EBF2CD41-159D-F502-8E9F-5A619F1332C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14283" name="AutoShape 971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0D19340C-DEE7-C1BD-6A36-A7812580AF2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14284" name="AutoShape 972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4CA4C4DB-25DF-196E-B322-30CDC88618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14285" name="AutoShape 973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4E5358E3-88BC-1C48-A9F8-E8FD69ACEE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14286" name="AutoShape 974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4FFA34D5-8FE0-CCC1-CC60-1F5E5F11A0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14287" name="AutoShape 975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2DFF9E10-AF49-979C-700B-56282C9415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14288" name="AutoShape 976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08807C27-0D9A-3E29-37A3-EC42526E27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14289" name="AutoShape 977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EB588B37-2C7B-E49C-B621-C8B889FAD1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14290" name="AutoShape 978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08FCC873-C60F-1FDF-CE79-FB2830AD79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14291" name="AutoShape 979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E70037B0-DB2C-0179-DA53-A0A68BF468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14292" name="AutoShape 980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E46CED85-AFBD-3425-E10A-AE897647B6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14293" name="AutoShape 981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4178768F-2874-D769-77B9-4BDCE22EF2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14294" name="AutoShape 982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28DBD1EB-98D9-AF3E-703A-7166E25ADE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14295" name="AutoShape 983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C59EED9B-53C9-A3B8-018F-C22DB72E7A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14296" name="AutoShape 984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200642DF-392E-13EB-840D-6127948A6F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14297" name="AutoShape 985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80EF8D64-3159-2BED-D7C3-331CCB6E83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14298" name="AutoShape 986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9016B214-2A63-32E1-6C80-B535BE5AF0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14299" name="AutoShape 987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346F7C93-34FD-788B-73AE-DA3B6FDDBE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14300" name="AutoShape 988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821C5C36-AF22-2301-C1E1-A0BF32D67D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14301" name="AutoShape 989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B14B23C3-BCC7-4516-829E-7FCC204A59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14302" name="AutoShape 990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B40A3B61-02BC-4C4A-697C-ADD1640797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14303" name="AutoShape 991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1AE461F9-B08B-C295-330D-E1A1DD5640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14304" name="AutoShape 992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81DC5CFE-E3FA-3D29-8B0B-A028D0235E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14305" name="AutoShape 993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A47AFBDF-3655-A3F0-81E3-3E648579AB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14306" name="AutoShape 994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552E0758-8C7B-31B3-C6C5-13FFE06558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14307" name="AutoShape 995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FC4EF736-09F9-9B90-064B-242C1143367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14308" name="AutoShape 996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DCADA245-5A3C-CF02-77A6-49F6B897DF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14309" name="AutoShape 997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174D1202-96CB-53B4-448E-899BDB0E3B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14310" name="AutoShape 998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3ECC27C3-CB85-6602-0F2D-6B0DF690CE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14311" name="AutoShape 999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94821BC-ECB2-BE07-8710-F2D6E2B339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14312" name="AutoShape 1000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7FCB8272-AC03-13DB-57E7-C930F9A01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14313" name="AutoShape 1001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E9DD886A-4166-1AF6-831A-E6C4CFD2D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14314" name="AutoShape 1002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A62AA64E-53C0-8450-640C-9701E130C9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14315" name="AutoShape 1003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C95E6182-1469-8C3F-7CA4-55080B56C5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14316" name="AutoShape 1004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165428F1-1FF3-9D81-E5F5-133CBB02AA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14317" name="AutoShape 1005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EBCA23FE-2404-4492-3BD4-2D4B3F7891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14318" name="AutoShape 1006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EFA42239-4716-7AD8-8EA7-321EEF167F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14319" name="AutoShape 1007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B588943E-28FA-BCD9-AB75-82B5AC9D71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14320" name="AutoShape 1008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A2E97AB0-3D29-22B2-41A4-57B170BA48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14321" name="AutoShape 1009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F511FA7A-4AC8-5E18-9EF8-785FB528E1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14322" name="AutoShape 1010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23FB9DCA-F87F-1987-53FD-99877A96F2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14323" name="AutoShape 1011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D4C1F183-4C2F-5637-748F-6B50B10F52E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14324" name="AutoShape 1012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A2A36A9E-05C2-9BF9-6611-703CE397B0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14325" name="AutoShape 1013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AF78A956-CB0C-C226-400E-E826E1BF35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14326" name="AutoShape 1014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9A550554-0EC5-6963-605B-9721CB35BE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14327" name="AutoShape 1015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346DB67A-EAEA-B481-20BC-85E1AF9F7E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14328" name="AutoShape 1016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7DC47497-8BAC-531E-EFFD-EEE1FF66770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14329" name="AutoShape 1017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28E2EEBF-B63B-E2CF-26D4-70560A4A84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14330" name="AutoShape 1018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188EE0C4-C4C7-5515-2C9C-24013594B6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14331" name="AutoShape 1019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7F6DE8E5-94B8-B490-99E6-8D19FB79F3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14332" name="AutoShape 1020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0B4E4283-2D6D-C7FE-D449-F6002CEAA1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14333" name="AutoShape 1021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958AD03A-B8F9-7300-FD38-988403E3E4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14334" name="AutoShape 1022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7C2C2770-C66E-80F1-4BE0-F9398BDDE3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14335" name="AutoShape 1023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12A61432-E424-6C1B-4121-6074DBACB3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20480" name="AutoShape 1024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B773E724-A12F-BC2A-1136-4CFEF268D0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20481" name="AutoShape 1025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68C224DA-6FF8-85D0-435D-B8C1C9F5BE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20482" name="AutoShape 1026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244369B3-0B2D-3780-874D-2E74325235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20483" name="AutoShape 1027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D9B53E22-5244-CCA1-E4F2-B795E5D3C3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20484" name="AutoShape 1028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8F04DBFE-6B04-2EF2-6462-D21879D71C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20485" name="AutoShape 1029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2C6C4085-8536-24F5-6728-A321CFA34F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20486" name="AutoShape 1030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0825B976-5E0F-7F3F-B959-828999D733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20487" name="AutoShape 1031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57FF9F36-5EA6-E0DE-8E1A-C9A5D58465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20488" name="AutoShape 1032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7BB5045B-6429-D116-1C17-909EFAF38A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20489" name="AutoShape 1033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6A5656D7-BE9B-EB40-A113-1EC606C2D1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20490" name="AutoShape 1034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D5F4C0D9-EE43-E3F4-4F5C-5F9488113C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20491" name="AutoShape 1035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0393B210-19EA-4985-19ED-64EC0BD06B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20492" name="AutoShape 1036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B6CE941A-28A4-CD4E-9E85-28D5D08336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20493" name="AutoShape 1037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34613515-51B9-C4E0-78FF-F9FA140988A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20494" name="AutoShape 1038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D9FFAE84-D48F-5BA9-5510-2F8B7B4990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20495" name="AutoShape 1039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E2334223-378D-4B20-CFBF-907A5523B3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20496" name="AutoShape 1040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2BD33E09-462A-2AF5-DCD6-26F33871E9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20497" name="AutoShape 1041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C50870D8-EF3D-5E68-A617-29884C97164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20498" name="AutoShape 1042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450D12FB-110F-AFCF-C20F-D25B818A2B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20499" name="AutoShape 1043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66CFFD88-665A-FE23-FF52-40DC986B65D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20500" name="AutoShape 1044" descr="View Related Links (Alt+6)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5204338C-56F2-B9CF-79D0-F9AF8EAAAE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2" name="AutoShape 13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52E46-C835-45E9-9599-A3351EA8BC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8</xdr:row>
      <xdr:rowOff>304800</xdr:rowOff>
    </xdr:to>
    <xdr:sp macro="" textlink="">
      <xdr:nvSpPr>
        <xdr:cNvPr id="3" name="AutoShape 14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440C8C-2E01-4544-BBFF-BBB59DD7EF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9</xdr:row>
      <xdr:rowOff>304800</xdr:rowOff>
    </xdr:to>
    <xdr:sp macro="" textlink="">
      <xdr:nvSpPr>
        <xdr:cNvPr id="4" name="AutoShape 15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0039F22-D54B-4D79-8B88-750F3C57D8D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10</xdr:row>
      <xdr:rowOff>304800</xdr:rowOff>
    </xdr:to>
    <xdr:sp macro="" textlink="">
      <xdr:nvSpPr>
        <xdr:cNvPr id="5" name="AutoShape 16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5A6A0C9-83AE-41BD-BB15-A8F47BE01E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11</xdr:row>
      <xdr:rowOff>304800</xdr:rowOff>
    </xdr:to>
    <xdr:sp macro="" textlink="">
      <xdr:nvSpPr>
        <xdr:cNvPr id="6" name="AutoShape 17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C0B9C7-C9CB-4C14-9F65-42DE058F69E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12</xdr:row>
      <xdr:rowOff>304800</xdr:rowOff>
    </xdr:to>
    <xdr:sp macro="" textlink="">
      <xdr:nvSpPr>
        <xdr:cNvPr id="7" name="AutoShape 18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B9FA571-68F0-4EE7-BF71-E4D29B2CA5C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13</xdr:row>
      <xdr:rowOff>304800</xdr:rowOff>
    </xdr:to>
    <xdr:sp macro="" textlink="">
      <xdr:nvSpPr>
        <xdr:cNvPr id="8" name="AutoShape 19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7A6232-AB38-41BD-ACB4-A627D75742A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14</xdr:row>
      <xdr:rowOff>304800</xdr:rowOff>
    </xdr:to>
    <xdr:sp macro="" textlink="">
      <xdr:nvSpPr>
        <xdr:cNvPr id="9" name="AutoShape 20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9062F0B-3C92-42A8-9E11-D13CEF2000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15</xdr:row>
      <xdr:rowOff>304800</xdr:rowOff>
    </xdr:to>
    <xdr:sp macro="" textlink="">
      <xdr:nvSpPr>
        <xdr:cNvPr id="10" name="AutoShape 21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DAD157D-850C-40EE-9BA9-D6865259C8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12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CDE21D-DA83-425E-A0D4-ADBB31A55D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8</xdr:row>
      <xdr:rowOff>304800</xdr:rowOff>
    </xdr:to>
    <xdr:sp macro="" textlink="">
      <xdr:nvSpPr>
        <xdr:cNvPr id="13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09745B-8DD7-42A6-A6C8-F3BE545A22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9</xdr:row>
      <xdr:rowOff>304800</xdr:rowOff>
    </xdr:to>
    <xdr:sp macro="" textlink="">
      <xdr:nvSpPr>
        <xdr:cNvPr id="14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6D9401-8872-4936-9C75-EFFDAE26FE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10</xdr:row>
      <xdr:rowOff>304800</xdr:rowOff>
    </xdr:to>
    <xdr:sp macro="" textlink="">
      <xdr:nvSpPr>
        <xdr:cNvPr id="15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76A328-0C01-4584-A319-967FA24B12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11</xdr:row>
      <xdr:rowOff>304800</xdr:rowOff>
    </xdr:to>
    <xdr:sp macro="" textlink="">
      <xdr:nvSpPr>
        <xdr:cNvPr id="16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D4D375-5740-495C-A5D1-F9C3B763AC9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12</xdr:row>
      <xdr:rowOff>304800</xdr:rowOff>
    </xdr:to>
    <xdr:sp macro="" textlink="">
      <xdr:nvSpPr>
        <xdr:cNvPr id="17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DE190BC-935C-4B3D-83AD-82CCFD588EC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13</xdr:row>
      <xdr:rowOff>304800</xdr:rowOff>
    </xdr:to>
    <xdr:sp macro="" textlink="">
      <xdr:nvSpPr>
        <xdr:cNvPr id="18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5EE5BE5-B684-46AF-B4E2-F0C491CB50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14</xdr:row>
      <xdr:rowOff>304800</xdr:rowOff>
    </xdr:to>
    <xdr:sp macro="" textlink="">
      <xdr:nvSpPr>
        <xdr:cNvPr id="19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39FEADD-F28A-401F-9EFF-515D66E940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15</xdr:row>
      <xdr:rowOff>304800</xdr:rowOff>
    </xdr:to>
    <xdr:sp macro="" textlink="">
      <xdr:nvSpPr>
        <xdr:cNvPr id="20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7D4AB85-BDC4-4019-9FE1-23C3A81A01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16</xdr:row>
      <xdr:rowOff>304800</xdr:rowOff>
    </xdr:to>
    <xdr:sp macro="" textlink="">
      <xdr:nvSpPr>
        <xdr:cNvPr id="21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7F53705-CFDC-47D3-B4FB-8B87AA5EDE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17</xdr:row>
      <xdr:rowOff>304800</xdr:rowOff>
    </xdr:to>
    <xdr:sp macro="" textlink="">
      <xdr:nvSpPr>
        <xdr:cNvPr id="22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04A931E-2C84-4BB2-9FFC-5938EF1C439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18</xdr:row>
      <xdr:rowOff>304800</xdr:rowOff>
    </xdr:to>
    <xdr:sp macro="" textlink="">
      <xdr:nvSpPr>
        <xdr:cNvPr id="23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31F5045-0FED-459D-971E-AC33F7A58D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19</xdr:row>
      <xdr:rowOff>304800</xdr:rowOff>
    </xdr:to>
    <xdr:sp macro="" textlink="">
      <xdr:nvSpPr>
        <xdr:cNvPr id="24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0DC30D2-C987-4F5E-A0C8-CABCD01862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20</xdr:row>
      <xdr:rowOff>304800</xdr:rowOff>
    </xdr:to>
    <xdr:sp macro="" textlink="">
      <xdr:nvSpPr>
        <xdr:cNvPr id="25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2614308-C7E6-46AC-87C3-6BBAB5CE42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21</xdr:row>
      <xdr:rowOff>304800</xdr:rowOff>
    </xdr:to>
    <xdr:sp macro="" textlink="">
      <xdr:nvSpPr>
        <xdr:cNvPr id="26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B592220-963A-4312-A3E9-794B144124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22</xdr:row>
      <xdr:rowOff>304800</xdr:rowOff>
    </xdr:to>
    <xdr:sp macro="" textlink="">
      <xdr:nvSpPr>
        <xdr:cNvPr id="27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E443FE2-F26B-438D-9875-9B2ACDEFB2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23</xdr:row>
      <xdr:rowOff>304800</xdr:rowOff>
    </xdr:to>
    <xdr:sp macro="" textlink="">
      <xdr:nvSpPr>
        <xdr:cNvPr id="28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FFBF798-37C9-4FE0-BD93-0897428FE7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24</xdr:row>
      <xdr:rowOff>304800</xdr:rowOff>
    </xdr:to>
    <xdr:sp macro="" textlink="">
      <xdr:nvSpPr>
        <xdr:cNvPr id="29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C963032-C9D5-4941-BBC4-F229BB35D7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25</xdr:row>
      <xdr:rowOff>304800</xdr:rowOff>
    </xdr:to>
    <xdr:sp macro="" textlink="">
      <xdr:nvSpPr>
        <xdr:cNvPr id="30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5B400DB-9FA6-452B-85AE-69E299F9F4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26</xdr:row>
      <xdr:rowOff>304800</xdr:rowOff>
    </xdr:to>
    <xdr:sp macro="" textlink="">
      <xdr:nvSpPr>
        <xdr:cNvPr id="31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B17FBDC-4ECA-448E-BC33-E96ACCF604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27</xdr:row>
      <xdr:rowOff>304800</xdr:rowOff>
    </xdr:to>
    <xdr:sp macro="" textlink="">
      <xdr:nvSpPr>
        <xdr:cNvPr id="32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45BEC5A-EAD1-4DA4-84B1-59D43B8D1FC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28</xdr:row>
      <xdr:rowOff>304800</xdr:rowOff>
    </xdr:to>
    <xdr:sp macro="" textlink="">
      <xdr:nvSpPr>
        <xdr:cNvPr id="33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B305A43-A6D7-4C32-BE0C-E72CFB1865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29</xdr:row>
      <xdr:rowOff>304800</xdr:rowOff>
    </xdr:to>
    <xdr:sp macro="" textlink="">
      <xdr:nvSpPr>
        <xdr:cNvPr id="34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C2746C97-C3CD-43BB-9414-CAAA5A9682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30</xdr:row>
      <xdr:rowOff>304800</xdr:rowOff>
    </xdr:to>
    <xdr:sp macro="" textlink="">
      <xdr:nvSpPr>
        <xdr:cNvPr id="35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8E2D152-FC5F-4CEE-923F-1402828C3D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31</xdr:row>
      <xdr:rowOff>304800</xdr:rowOff>
    </xdr:to>
    <xdr:sp macro="" textlink="">
      <xdr:nvSpPr>
        <xdr:cNvPr id="36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E33B8A7-2031-4C42-81D4-5CFF16D3F2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32</xdr:row>
      <xdr:rowOff>304800</xdr:rowOff>
    </xdr:to>
    <xdr:sp macro="" textlink="">
      <xdr:nvSpPr>
        <xdr:cNvPr id="37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7E5715-5F64-43BA-9D22-8092B9F812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33</xdr:row>
      <xdr:rowOff>304800</xdr:rowOff>
    </xdr:to>
    <xdr:sp macro="" textlink="">
      <xdr:nvSpPr>
        <xdr:cNvPr id="38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FFCFB11-7F63-4843-8AF9-9D49064E6F4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34</xdr:row>
      <xdr:rowOff>304800</xdr:rowOff>
    </xdr:to>
    <xdr:sp macro="" textlink="">
      <xdr:nvSpPr>
        <xdr:cNvPr id="39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5711C95-BA1F-47C7-B220-74139C645C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35</xdr:row>
      <xdr:rowOff>304800</xdr:rowOff>
    </xdr:to>
    <xdr:sp macro="" textlink="">
      <xdr:nvSpPr>
        <xdr:cNvPr id="40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F4588A17-AA56-4E23-B908-04F98D5E2C2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36</xdr:row>
      <xdr:rowOff>304800</xdr:rowOff>
    </xdr:to>
    <xdr:sp macro="" textlink="">
      <xdr:nvSpPr>
        <xdr:cNvPr id="41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A723B28D-38CE-4208-ADF1-CF6E1778E6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7" name="AutoShape 22">
          <a:extLst>
            <a:ext uri="{FF2B5EF4-FFF2-40B4-BE49-F238E27FC236}">
              <a16:creationId xmlns:a16="http://schemas.microsoft.com/office/drawing/2014/main" id="{E645403B-1AB4-4C24-975E-3F44460236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8" name="AutoShape 33">
          <a:extLst>
            <a:ext uri="{FF2B5EF4-FFF2-40B4-BE49-F238E27FC236}">
              <a16:creationId xmlns:a16="http://schemas.microsoft.com/office/drawing/2014/main" id="{F01A0464-6D05-420A-9F75-32E8669867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49" name="AutoShape 22">
          <a:extLst>
            <a:ext uri="{FF2B5EF4-FFF2-40B4-BE49-F238E27FC236}">
              <a16:creationId xmlns:a16="http://schemas.microsoft.com/office/drawing/2014/main" id="{CFB36B21-3C1B-4062-B965-A435EC12A1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0" name="AutoShape 33">
          <a:extLst>
            <a:ext uri="{FF2B5EF4-FFF2-40B4-BE49-F238E27FC236}">
              <a16:creationId xmlns:a16="http://schemas.microsoft.com/office/drawing/2014/main" id="{4275DD2A-89A7-4DB7-A1BB-E0EA3CEAE47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1" name="AutoShape 22">
          <a:extLst>
            <a:ext uri="{FF2B5EF4-FFF2-40B4-BE49-F238E27FC236}">
              <a16:creationId xmlns:a16="http://schemas.microsoft.com/office/drawing/2014/main" id="{D1DCD1DF-F437-4572-AF7A-1CD706044F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2" name="AutoShape 33">
          <a:extLst>
            <a:ext uri="{FF2B5EF4-FFF2-40B4-BE49-F238E27FC236}">
              <a16:creationId xmlns:a16="http://schemas.microsoft.com/office/drawing/2014/main" id="{A87049F0-0348-4A19-8325-8AA8DCAEC4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3" name="AutoShape 22">
          <a:extLst>
            <a:ext uri="{FF2B5EF4-FFF2-40B4-BE49-F238E27FC236}">
              <a16:creationId xmlns:a16="http://schemas.microsoft.com/office/drawing/2014/main" id="{D3A9C472-8AF6-4FB0-BADC-BF0A339483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4" name="AutoShape 33">
          <a:extLst>
            <a:ext uri="{FF2B5EF4-FFF2-40B4-BE49-F238E27FC236}">
              <a16:creationId xmlns:a16="http://schemas.microsoft.com/office/drawing/2014/main" id="{2AA0069E-F38E-4D93-9953-C7AC643501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5" name="AutoShape 22">
          <a:extLst>
            <a:ext uri="{FF2B5EF4-FFF2-40B4-BE49-F238E27FC236}">
              <a16:creationId xmlns:a16="http://schemas.microsoft.com/office/drawing/2014/main" id="{1B4760B3-9D94-4E15-B708-632AB97327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6" name="AutoShape 33">
          <a:extLst>
            <a:ext uri="{FF2B5EF4-FFF2-40B4-BE49-F238E27FC236}">
              <a16:creationId xmlns:a16="http://schemas.microsoft.com/office/drawing/2014/main" id="{D454D1BC-7E1E-4678-9091-B130577815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7" name="AutoShape 22">
          <a:extLst>
            <a:ext uri="{FF2B5EF4-FFF2-40B4-BE49-F238E27FC236}">
              <a16:creationId xmlns:a16="http://schemas.microsoft.com/office/drawing/2014/main" id="{CFFCF44D-1300-4E26-87E6-8E5F27B6F3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8" name="AutoShape 33">
          <a:extLst>
            <a:ext uri="{FF2B5EF4-FFF2-40B4-BE49-F238E27FC236}">
              <a16:creationId xmlns:a16="http://schemas.microsoft.com/office/drawing/2014/main" id="{5DC6F9E7-564C-4758-9749-57280AE8B1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9" name="AutoShape 22">
          <a:extLst>
            <a:ext uri="{FF2B5EF4-FFF2-40B4-BE49-F238E27FC236}">
              <a16:creationId xmlns:a16="http://schemas.microsoft.com/office/drawing/2014/main" id="{96F31001-E2C8-4928-B62D-BC96FD8312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60" name="AutoShape 33">
          <a:extLst>
            <a:ext uri="{FF2B5EF4-FFF2-40B4-BE49-F238E27FC236}">
              <a16:creationId xmlns:a16="http://schemas.microsoft.com/office/drawing/2014/main" id="{0ECE2AA0-1C08-4606-9CCC-873C590D2F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1" name="AutoShape 22">
          <a:extLst>
            <a:ext uri="{FF2B5EF4-FFF2-40B4-BE49-F238E27FC236}">
              <a16:creationId xmlns:a16="http://schemas.microsoft.com/office/drawing/2014/main" id="{70FF9501-4DC5-46D4-8DB9-7D6802630D6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2" name="AutoShape 33">
          <a:extLst>
            <a:ext uri="{FF2B5EF4-FFF2-40B4-BE49-F238E27FC236}">
              <a16:creationId xmlns:a16="http://schemas.microsoft.com/office/drawing/2014/main" id="{5859E984-4783-4899-BB2D-45DBBE1CAB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3" name="AutoShape 22">
          <a:extLst>
            <a:ext uri="{FF2B5EF4-FFF2-40B4-BE49-F238E27FC236}">
              <a16:creationId xmlns:a16="http://schemas.microsoft.com/office/drawing/2014/main" id="{45C29439-FF71-4A67-ACAA-A2D5D5593F5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4" name="AutoShape 33">
          <a:extLst>
            <a:ext uri="{FF2B5EF4-FFF2-40B4-BE49-F238E27FC236}">
              <a16:creationId xmlns:a16="http://schemas.microsoft.com/office/drawing/2014/main" id="{ED9C3EAF-CE28-48D7-AA78-95F917F694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5" name="AutoShape 22">
          <a:extLst>
            <a:ext uri="{FF2B5EF4-FFF2-40B4-BE49-F238E27FC236}">
              <a16:creationId xmlns:a16="http://schemas.microsoft.com/office/drawing/2014/main" id="{9A825CCE-ED5B-418D-B9FC-3DFDF84C63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6" name="AutoShape 33">
          <a:extLst>
            <a:ext uri="{FF2B5EF4-FFF2-40B4-BE49-F238E27FC236}">
              <a16:creationId xmlns:a16="http://schemas.microsoft.com/office/drawing/2014/main" id="{86E4379C-52B9-4CA5-87E3-2FBABCB18D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7" name="AutoShape 22">
          <a:extLst>
            <a:ext uri="{FF2B5EF4-FFF2-40B4-BE49-F238E27FC236}">
              <a16:creationId xmlns:a16="http://schemas.microsoft.com/office/drawing/2014/main" id="{3D068377-6A70-4D0F-AD29-21500493FE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8" name="AutoShape 33">
          <a:extLst>
            <a:ext uri="{FF2B5EF4-FFF2-40B4-BE49-F238E27FC236}">
              <a16:creationId xmlns:a16="http://schemas.microsoft.com/office/drawing/2014/main" id="{332B587B-0B6F-46C7-B6A2-7C587325BDC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69" name="AutoShape 22">
          <a:extLst>
            <a:ext uri="{FF2B5EF4-FFF2-40B4-BE49-F238E27FC236}">
              <a16:creationId xmlns:a16="http://schemas.microsoft.com/office/drawing/2014/main" id="{9E9E2A09-2DA0-461B-B09C-490C3743E3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0" name="AutoShape 33">
          <a:extLst>
            <a:ext uri="{FF2B5EF4-FFF2-40B4-BE49-F238E27FC236}">
              <a16:creationId xmlns:a16="http://schemas.microsoft.com/office/drawing/2014/main" id="{4CF3AE3A-AC41-4AA5-AC6A-F7F22C5B080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1" name="AutoShape 22">
          <a:extLst>
            <a:ext uri="{FF2B5EF4-FFF2-40B4-BE49-F238E27FC236}">
              <a16:creationId xmlns:a16="http://schemas.microsoft.com/office/drawing/2014/main" id="{841B180A-06F6-4BB2-8274-3A90ADB26E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2" name="AutoShape 33">
          <a:extLst>
            <a:ext uri="{FF2B5EF4-FFF2-40B4-BE49-F238E27FC236}">
              <a16:creationId xmlns:a16="http://schemas.microsoft.com/office/drawing/2014/main" id="{EFF5B2A0-2A89-4801-BCF3-D783D45E3D8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3" name="AutoShape 22">
          <a:extLst>
            <a:ext uri="{FF2B5EF4-FFF2-40B4-BE49-F238E27FC236}">
              <a16:creationId xmlns:a16="http://schemas.microsoft.com/office/drawing/2014/main" id="{257CEA21-49B3-477C-B299-EB1983FE56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4" name="AutoShape 33">
          <a:extLst>
            <a:ext uri="{FF2B5EF4-FFF2-40B4-BE49-F238E27FC236}">
              <a16:creationId xmlns:a16="http://schemas.microsoft.com/office/drawing/2014/main" id="{41D77937-01F7-479C-AC18-769F8D03F5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5" name="AutoShape 22">
          <a:extLst>
            <a:ext uri="{FF2B5EF4-FFF2-40B4-BE49-F238E27FC236}">
              <a16:creationId xmlns:a16="http://schemas.microsoft.com/office/drawing/2014/main" id="{949E3ECB-E0B0-4977-B904-2E760DD18A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6" name="AutoShape 33">
          <a:extLst>
            <a:ext uri="{FF2B5EF4-FFF2-40B4-BE49-F238E27FC236}">
              <a16:creationId xmlns:a16="http://schemas.microsoft.com/office/drawing/2014/main" id="{F8B02513-5F67-43C1-A706-D28519813F1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7" name="AutoShape 22">
          <a:extLst>
            <a:ext uri="{FF2B5EF4-FFF2-40B4-BE49-F238E27FC236}">
              <a16:creationId xmlns:a16="http://schemas.microsoft.com/office/drawing/2014/main" id="{D17A2652-1B75-4A6F-B459-9DF6C8875A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8" name="AutoShape 33">
          <a:extLst>
            <a:ext uri="{FF2B5EF4-FFF2-40B4-BE49-F238E27FC236}">
              <a16:creationId xmlns:a16="http://schemas.microsoft.com/office/drawing/2014/main" id="{144EFD43-0246-449A-AAAD-0A88FC12B50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9" name="AutoShape 22">
          <a:extLst>
            <a:ext uri="{FF2B5EF4-FFF2-40B4-BE49-F238E27FC236}">
              <a16:creationId xmlns:a16="http://schemas.microsoft.com/office/drawing/2014/main" id="{703D0A5C-CA9A-485E-AD1D-EB0E709DBE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80" name="AutoShape 33">
          <a:extLst>
            <a:ext uri="{FF2B5EF4-FFF2-40B4-BE49-F238E27FC236}">
              <a16:creationId xmlns:a16="http://schemas.microsoft.com/office/drawing/2014/main" id="{887CD0DD-95FD-460C-A367-281686FCEE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1" name="AutoShape 22">
          <a:extLst>
            <a:ext uri="{FF2B5EF4-FFF2-40B4-BE49-F238E27FC236}">
              <a16:creationId xmlns:a16="http://schemas.microsoft.com/office/drawing/2014/main" id="{271069C8-9419-4B01-82A4-ED2DC7B9A2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2" name="AutoShape 33">
          <a:extLst>
            <a:ext uri="{FF2B5EF4-FFF2-40B4-BE49-F238E27FC236}">
              <a16:creationId xmlns:a16="http://schemas.microsoft.com/office/drawing/2014/main" id="{78F2D458-269B-48AA-AAA4-026AE9276BB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3" name="AutoShape 22">
          <a:extLst>
            <a:ext uri="{FF2B5EF4-FFF2-40B4-BE49-F238E27FC236}">
              <a16:creationId xmlns:a16="http://schemas.microsoft.com/office/drawing/2014/main" id="{8B50A6B7-B2E9-4FDF-AFC2-DDC3B8F1BB5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4" name="AutoShape 33">
          <a:extLst>
            <a:ext uri="{FF2B5EF4-FFF2-40B4-BE49-F238E27FC236}">
              <a16:creationId xmlns:a16="http://schemas.microsoft.com/office/drawing/2014/main" id="{AF7C4E87-D09A-4A2B-809C-ED6B1E3AC6E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5" name="AutoShape 22">
          <a:extLst>
            <a:ext uri="{FF2B5EF4-FFF2-40B4-BE49-F238E27FC236}">
              <a16:creationId xmlns:a16="http://schemas.microsoft.com/office/drawing/2014/main" id="{B2C7C1C1-9E54-4DF9-9DDB-CFE7307EDA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6" name="AutoShape 33">
          <a:extLst>
            <a:ext uri="{FF2B5EF4-FFF2-40B4-BE49-F238E27FC236}">
              <a16:creationId xmlns:a16="http://schemas.microsoft.com/office/drawing/2014/main" id="{F5C395CB-A52D-4D9E-B0CA-06ED6C0B02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7" name="AutoShape 22">
          <a:extLst>
            <a:ext uri="{FF2B5EF4-FFF2-40B4-BE49-F238E27FC236}">
              <a16:creationId xmlns:a16="http://schemas.microsoft.com/office/drawing/2014/main" id="{0E6A5A67-5B9E-4C53-B285-F74D2B447AF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8" name="AutoShape 33">
          <a:extLst>
            <a:ext uri="{FF2B5EF4-FFF2-40B4-BE49-F238E27FC236}">
              <a16:creationId xmlns:a16="http://schemas.microsoft.com/office/drawing/2014/main" id="{13569AEB-605C-4129-B710-5663C6580A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89" name="AutoShape 22">
          <a:extLst>
            <a:ext uri="{FF2B5EF4-FFF2-40B4-BE49-F238E27FC236}">
              <a16:creationId xmlns:a16="http://schemas.microsoft.com/office/drawing/2014/main" id="{3140DCE1-8811-49A4-8182-52FB1CA53A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0" name="AutoShape 33">
          <a:extLst>
            <a:ext uri="{FF2B5EF4-FFF2-40B4-BE49-F238E27FC236}">
              <a16:creationId xmlns:a16="http://schemas.microsoft.com/office/drawing/2014/main" id="{8DA0E053-B0C8-470E-8212-D9BBBBB63F2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1" name="AutoShape 22">
          <a:extLst>
            <a:ext uri="{FF2B5EF4-FFF2-40B4-BE49-F238E27FC236}">
              <a16:creationId xmlns:a16="http://schemas.microsoft.com/office/drawing/2014/main" id="{FE019CD2-5878-4856-8EF4-CABBF56409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2" name="AutoShape 33">
          <a:extLst>
            <a:ext uri="{FF2B5EF4-FFF2-40B4-BE49-F238E27FC236}">
              <a16:creationId xmlns:a16="http://schemas.microsoft.com/office/drawing/2014/main" id="{D68CE12B-C440-4A34-8A29-C96184349BA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3" name="AutoShape 22">
          <a:extLst>
            <a:ext uri="{FF2B5EF4-FFF2-40B4-BE49-F238E27FC236}">
              <a16:creationId xmlns:a16="http://schemas.microsoft.com/office/drawing/2014/main" id="{1BF5D42E-0770-4E19-8331-E81BC4EA46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4" name="AutoShape 33">
          <a:extLst>
            <a:ext uri="{FF2B5EF4-FFF2-40B4-BE49-F238E27FC236}">
              <a16:creationId xmlns:a16="http://schemas.microsoft.com/office/drawing/2014/main" id="{7626940D-9E58-4B18-8D5B-0F0AB728E13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5" name="AutoShape 22">
          <a:extLst>
            <a:ext uri="{FF2B5EF4-FFF2-40B4-BE49-F238E27FC236}">
              <a16:creationId xmlns:a16="http://schemas.microsoft.com/office/drawing/2014/main" id="{257FADCD-25DD-4384-B21B-F4D6BCBCD63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6" name="AutoShape 33">
          <a:extLst>
            <a:ext uri="{FF2B5EF4-FFF2-40B4-BE49-F238E27FC236}">
              <a16:creationId xmlns:a16="http://schemas.microsoft.com/office/drawing/2014/main" id="{20847575-2646-4B01-B0E4-C2211D9742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7" name="AutoShape 22">
          <a:extLst>
            <a:ext uri="{FF2B5EF4-FFF2-40B4-BE49-F238E27FC236}">
              <a16:creationId xmlns:a16="http://schemas.microsoft.com/office/drawing/2014/main" id="{EFAB2B9C-F574-4A39-80BE-42E221C356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8" name="AutoShape 33">
          <a:extLst>
            <a:ext uri="{FF2B5EF4-FFF2-40B4-BE49-F238E27FC236}">
              <a16:creationId xmlns:a16="http://schemas.microsoft.com/office/drawing/2014/main" id="{8FEA1358-23B4-4F2D-9320-A4F30766B4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9" name="AutoShape 22">
          <a:extLst>
            <a:ext uri="{FF2B5EF4-FFF2-40B4-BE49-F238E27FC236}">
              <a16:creationId xmlns:a16="http://schemas.microsoft.com/office/drawing/2014/main" id="{87DF1CFB-B9A0-4A52-BB7C-9DD449AC26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100" name="AutoShape 33">
          <a:extLst>
            <a:ext uri="{FF2B5EF4-FFF2-40B4-BE49-F238E27FC236}">
              <a16:creationId xmlns:a16="http://schemas.microsoft.com/office/drawing/2014/main" id="{550E7340-D5B8-422D-A496-5E26B00766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1" name="AutoShape 22">
          <a:extLst>
            <a:ext uri="{FF2B5EF4-FFF2-40B4-BE49-F238E27FC236}">
              <a16:creationId xmlns:a16="http://schemas.microsoft.com/office/drawing/2014/main" id="{94AA4F25-AD4D-43A5-82F6-FE4384526D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2" name="AutoShape 33">
          <a:extLst>
            <a:ext uri="{FF2B5EF4-FFF2-40B4-BE49-F238E27FC236}">
              <a16:creationId xmlns:a16="http://schemas.microsoft.com/office/drawing/2014/main" id="{B36CB246-7A3E-4098-B6F6-D90EA21335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3" name="AutoShape 22">
          <a:extLst>
            <a:ext uri="{FF2B5EF4-FFF2-40B4-BE49-F238E27FC236}">
              <a16:creationId xmlns:a16="http://schemas.microsoft.com/office/drawing/2014/main" id="{574FFB5E-8F9F-4DC7-A1B0-FBC2EA0841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4" name="AutoShape 33">
          <a:extLst>
            <a:ext uri="{FF2B5EF4-FFF2-40B4-BE49-F238E27FC236}">
              <a16:creationId xmlns:a16="http://schemas.microsoft.com/office/drawing/2014/main" id="{C363B84C-A7C0-4CFC-9179-E35836981F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5" name="AutoShape 22">
          <a:extLst>
            <a:ext uri="{FF2B5EF4-FFF2-40B4-BE49-F238E27FC236}">
              <a16:creationId xmlns:a16="http://schemas.microsoft.com/office/drawing/2014/main" id="{7EFF65F2-AFEE-4B9F-B5EB-BD1FA94301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6" name="AutoShape 33">
          <a:extLst>
            <a:ext uri="{FF2B5EF4-FFF2-40B4-BE49-F238E27FC236}">
              <a16:creationId xmlns:a16="http://schemas.microsoft.com/office/drawing/2014/main" id="{2D56BBBF-408E-4291-8511-B27AF80CB0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7" name="AutoShape 22">
          <a:extLst>
            <a:ext uri="{FF2B5EF4-FFF2-40B4-BE49-F238E27FC236}">
              <a16:creationId xmlns:a16="http://schemas.microsoft.com/office/drawing/2014/main" id="{6BE87968-3E26-4C6F-82BF-ACFAD4BFB64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8" name="AutoShape 33">
          <a:extLst>
            <a:ext uri="{FF2B5EF4-FFF2-40B4-BE49-F238E27FC236}">
              <a16:creationId xmlns:a16="http://schemas.microsoft.com/office/drawing/2014/main" id="{BB20683B-D1C0-4AAE-A2D9-FF2EAFE589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09" name="AutoShape 22">
          <a:extLst>
            <a:ext uri="{FF2B5EF4-FFF2-40B4-BE49-F238E27FC236}">
              <a16:creationId xmlns:a16="http://schemas.microsoft.com/office/drawing/2014/main" id="{6164E243-5249-468D-8473-99CE9D7351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0" name="AutoShape 33">
          <a:extLst>
            <a:ext uri="{FF2B5EF4-FFF2-40B4-BE49-F238E27FC236}">
              <a16:creationId xmlns:a16="http://schemas.microsoft.com/office/drawing/2014/main" id="{35244AAC-ADBA-4261-870F-E98BE00664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1" name="AutoShape 22">
          <a:extLst>
            <a:ext uri="{FF2B5EF4-FFF2-40B4-BE49-F238E27FC236}">
              <a16:creationId xmlns:a16="http://schemas.microsoft.com/office/drawing/2014/main" id="{F87189D4-48D0-4091-A706-9FC27B80E8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2" name="AutoShape 33">
          <a:extLst>
            <a:ext uri="{FF2B5EF4-FFF2-40B4-BE49-F238E27FC236}">
              <a16:creationId xmlns:a16="http://schemas.microsoft.com/office/drawing/2014/main" id="{95BD2E65-6B3F-4CCE-840A-467DCA7496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3" name="AutoShape 22">
          <a:extLst>
            <a:ext uri="{FF2B5EF4-FFF2-40B4-BE49-F238E27FC236}">
              <a16:creationId xmlns:a16="http://schemas.microsoft.com/office/drawing/2014/main" id="{6007E6CB-BAD2-41A3-9E6B-03D38B2E43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4" name="AutoShape 33">
          <a:extLst>
            <a:ext uri="{FF2B5EF4-FFF2-40B4-BE49-F238E27FC236}">
              <a16:creationId xmlns:a16="http://schemas.microsoft.com/office/drawing/2014/main" id="{5C900769-DC64-49EB-9F11-515AD39D4E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5" name="AutoShape 22">
          <a:extLst>
            <a:ext uri="{FF2B5EF4-FFF2-40B4-BE49-F238E27FC236}">
              <a16:creationId xmlns:a16="http://schemas.microsoft.com/office/drawing/2014/main" id="{2F556312-9B4B-4933-AD7F-FA1CB23FE5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6" name="AutoShape 33">
          <a:extLst>
            <a:ext uri="{FF2B5EF4-FFF2-40B4-BE49-F238E27FC236}">
              <a16:creationId xmlns:a16="http://schemas.microsoft.com/office/drawing/2014/main" id="{C31AF233-3DED-4773-9720-7CBF9238F8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7" name="AutoShape 22">
          <a:extLst>
            <a:ext uri="{FF2B5EF4-FFF2-40B4-BE49-F238E27FC236}">
              <a16:creationId xmlns:a16="http://schemas.microsoft.com/office/drawing/2014/main" id="{FD4AFFFF-8B09-400F-A974-A8BAFB52A15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8" name="AutoShape 33">
          <a:extLst>
            <a:ext uri="{FF2B5EF4-FFF2-40B4-BE49-F238E27FC236}">
              <a16:creationId xmlns:a16="http://schemas.microsoft.com/office/drawing/2014/main" id="{A6F7E60F-938E-4E5B-AFBD-9D7F6A7E4F3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9" name="AutoShape 22">
          <a:extLst>
            <a:ext uri="{FF2B5EF4-FFF2-40B4-BE49-F238E27FC236}">
              <a16:creationId xmlns:a16="http://schemas.microsoft.com/office/drawing/2014/main" id="{CB8997AA-9B39-46CE-B227-4B5584871B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20" name="AutoShape 33">
          <a:extLst>
            <a:ext uri="{FF2B5EF4-FFF2-40B4-BE49-F238E27FC236}">
              <a16:creationId xmlns:a16="http://schemas.microsoft.com/office/drawing/2014/main" id="{B6423476-9170-45BC-B128-7402AD0669C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1" name="AutoShape 22">
          <a:extLst>
            <a:ext uri="{FF2B5EF4-FFF2-40B4-BE49-F238E27FC236}">
              <a16:creationId xmlns:a16="http://schemas.microsoft.com/office/drawing/2014/main" id="{D8F2130E-8294-4F80-8BDE-648E5F0CC1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2" name="AutoShape 33">
          <a:extLst>
            <a:ext uri="{FF2B5EF4-FFF2-40B4-BE49-F238E27FC236}">
              <a16:creationId xmlns:a16="http://schemas.microsoft.com/office/drawing/2014/main" id="{D9FFCE41-E596-4D74-83F8-7FA0F16E4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3" name="AutoShape 22">
          <a:extLst>
            <a:ext uri="{FF2B5EF4-FFF2-40B4-BE49-F238E27FC236}">
              <a16:creationId xmlns:a16="http://schemas.microsoft.com/office/drawing/2014/main" id="{0A8C7ED5-921C-4188-96F0-EFBD84C54D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4" name="AutoShape 33">
          <a:extLst>
            <a:ext uri="{FF2B5EF4-FFF2-40B4-BE49-F238E27FC236}">
              <a16:creationId xmlns:a16="http://schemas.microsoft.com/office/drawing/2014/main" id="{1423867E-76BF-4911-B3DF-A44CB2324F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5" name="AutoShape 22">
          <a:extLst>
            <a:ext uri="{FF2B5EF4-FFF2-40B4-BE49-F238E27FC236}">
              <a16:creationId xmlns:a16="http://schemas.microsoft.com/office/drawing/2014/main" id="{E70F7BF4-246D-4E73-A15C-AD157EEAA7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6" name="AutoShape 33">
          <a:extLst>
            <a:ext uri="{FF2B5EF4-FFF2-40B4-BE49-F238E27FC236}">
              <a16:creationId xmlns:a16="http://schemas.microsoft.com/office/drawing/2014/main" id="{5E6927F9-2690-4493-95C2-8D05FC898C8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7" name="AutoShape 22">
          <a:extLst>
            <a:ext uri="{FF2B5EF4-FFF2-40B4-BE49-F238E27FC236}">
              <a16:creationId xmlns:a16="http://schemas.microsoft.com/office/drawing/2014/main" id="{A56B646E-DE60-4990-A561-C0BEE5184D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8" name="AutoShape 33">
          <a:extLst>
            <a:ext uri="{FF2B5EF4-FFF2-40B4-BE49-F238E27FC236}">
              <a16:creationId xmlns:a16="http://schemas.microsoft.com/office/drawing/2014/main" id="{5CE4DEB9-EA9F-4CD8-8C60-B88B9D4A978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29" name="AutoShape 22">
          <a:extLst>
            <a:ext uri="{FF2B5EF4-FFF2-40B4-BE49-F238E27FC236}">
              <a16:creationId xmlns:a16="http://schemas.microsoft.com/office/drawing/2014/main" id="{BC9A204C-3A6D-4330-BBB7-CC61473FC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0" name="AutoShape 33">
          <a:extLst>
            <a:ext uri="{FF2B5EF4-FFF2-40B4-BE49-F238E27FC236}">
              <a16:creationId xmlns:a16="http://schemas.microsoft.com/office/drawing/2014/main" id="{F4E1BDC4-D922-46FE-9D38-F732188BA57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1" name="AutoShape 22">
          <a:extLst>
            <a:ext uri="{FF2B5EF4-FFF2-40B4-BE49-F238E27FC236}">
              <a16:creationId xmlns:a16="http://schemas.microsoft.com/office/drawing/2014/main" id="{9615E5B5-0734-4E00-B091-0BC63827B8A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2" name="AutoShape 33">
          <a:extLst>
            <a:ext uri="{FF2B5EF4-FFF2-40B4-BE49-F238E27FC236}">
              <a16:creationId xmlns:a16="http://schemas.microsoft.com/office/drawing/2014/main" id="{8A5862CD-C04F-45AC-88B0-5B0D22F5DA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3" name="AutoShape 22">
          <a:extLst>
            <a:ext uri="{FF2B5EF4-FFF2-40B4-BE49-F238E27FC236}">
              <a16:creationId xmlns:a16="http://schemas.microsoft.com/office/drawing/2014/main" id="{449E3BBF-1091-4A34-9791-4988B6D7499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4" name="AutoShape 33">
          <a:extLst>
            <a:ext uri="{FF2B5EF4-FFF2-40B4-BE49-F238E27FC236}">
              <a16:creationId xmlns:a16="http://schemas.microsoft.com/office/drawing/2014/main" id="{9DDB6DD2-A739-4333-A71C-90686C9319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5" name="AutoShape 22">
          <a:extLst>
            <a:ext uri="{FF2B5EF4-FFF2-40B4-BE49-F238E27FC236}">
              <a16:creationId xmlns:a16="http://schemas.microsoft.com/office/drawing/2014/main" id="{1BDBA952-0C0B-4B78-95C7-AC15CB9BB9E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6" name="AutoShape 33">
          <a:extLst>
            <a:ext uri="{FF2B5EF4-FFF2-40B4-BE49-F238E27FC236}">
              <a16:creationId xmlns:a16="http://schemas.microsoft.com/office/drawing/2014/main" id="{4F7982DF-6B99-4CE5-9E8C-7A14FCCEA2C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7" name="AutoShape 22">
          <a:extLst>
            <a:ext uri="{FF2B5EF4-FFF2-40B4-BE49-F238E27FC236}">
              <a16:creationId xmlns:a16="http://schemas.microsoft.com/office/drawing/2014/main" id="{CDA1F04B-3E77-4950-89C6-CD92D4DB0D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8" name="AutoShape 33">
          <a:extLst>
            <a:ext uri="{FF2B5EF4-FFF2-40B4-BE49-F238E27FC236}">
              <a16:creationId xmlns:a16="http://schemas.microsoft.com/office/drawing/2014/main" id="{987A333F-BFD2-481C-83C6-1129B6C9285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9" name="AutoShape 22">
          <a:extLst>
            <a:ext uri="{FF2B5EF4-FFF2-40B4-BE49-F238E27FC236}">
              <a16:creationId xmlns:a16="http://schemas.microsoft.com/office/drawing/2014/main" id="{6E0BC58C-A01A-4FA1-A0E5-17AA7AC454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40" name="AutoShape 33">
          <a:extLst>
            <a:ext uri="{FF2B5EF4-FFF2-40B4-BE49-F238E27FC236}">
              <a16:creationId xmlns:a16="http://schemas.microsoft.com/office/drawing/2014/main" id="{EC5FEAA4-C51F-4990-B214-256D8D4BADB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1" name="AutoShape 22">
          <a:extLst>
            <a:ext uri="{FF2B5EF4-FFF2-40B4-BE49-F238E27FC236}">
              <a16:creationId xmlns:a16="http://schemas.microsoft.com/office/drawing/2014/main" id="{6522BA36-E829-46CC-9634-FCB7B86EC2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2" name="AutoShape 33">
          <a:extLst>
            <a:ext uri="{FF2B5EF4-FFF2-40B4-BE49-F238E27FC236}">
              <a16:creationId xmlns:a16="http://schemas.microsoft.com/office/drawing/2014/main" id="{6FDF38DE-6A47-4521-95FA-8CAAD71777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3" name="AutoShape 22">
          <a:extLst>
            <a:ext uri="{FF2B5EF4-FFF2-40B4-BE49-F238E27FC236}">
              <a16:creationId xmlns:a16="http://schemas.microsoft.com/office/drawing/2014/main" id="{EFEEE84E-4F53-4127-9A16-C4641A0F118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4" name="AutoShape 33">
          <a:extLst>
            <a:ext uri="{FF2B5EF4-FFF2-40B4-BE49-F238E27FC236}">
              <a16:creationId xmlns:a16="http://schemas.microsoft.com/office/drawing/2014/main" id="{5090889B-34BC-478B-9C2D-39FB7B4A36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5" name="AutoShape 22">
          <a:extLst>
            <a:ext uri="{FF2B5EF4-FFF2-40B4-BE49-F238E27FC236}">
              <a16:creationId xmlns:a16="http://schemas.microsoft.com/office/drawing/2014/main" id="{E0804B52-DDE2-4B24-93C7-DE1405D888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6" name="AutoShape 33">
          <a:extLst>
            <a:ext uri="{FF2B5EF4-FFF2-40B4-BE49-F238E27FC236}">
              <a16:creationId xmlns:a16="http://schemas.microsoft.com/office/drawing/2014/main" id="{F85E2E76-2F80-48F1-A55F-5EB744E272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7" name="AutoShape 22">
          <a:extLst>
            <a:ext uri="{FF2B5EF4-FFF2-40B4-BE49-F238E27FC236}">
              <a16:creationId xmlns:a16="http://schemas.microsoft.com/office/drawing/2014/main" id="{00038805-8B37-4F11-A480-03E4614B5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8" name="AutoShape 33">
          <a:extLst>
            <a:ext uri="{FF2B5EF4-FFF2-40B4-BE49-F238E27FC236}">
              <a16:creationId xmlns:a16="http://schemas.microsoft.com/office/drawing/2014/main" id="{0AEFCA6A-C064-494B-B4D7-ED7037FBD3B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49" name="AutoShape 22">
          <a:extLst>
            <a:ext uri="{FF2B5EF4-FFF2-40B4-BE49-F238E27FC236}">
              <a16:creationId xmlns:a16="http://schemas.microsoft.com/office/drawing/2014/main" id="{E784718C-8A55-404B-92D7-7EC2B2CB9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0" name="AutoShape 33">
          <a:extLst>
            <a:ext uri="{FF2B5EF4-FFF2-40B4-BE49-F238E27FC236}">
              <a16:creationId xmlns:a16="http://schemas.microsoft.com/office/drawing/2014/main" id="{59959EE2-4841-44B6-ABD9-CEA829C9FF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1" name="AutoShape 22">
          <a:extLst>
            <a:ext uri="{FF2B5EF4-FFF2-40B4-BE49-F238E27FC236}">
              <a16:creationId xmlns:a16="http://schemas.microsoft.com/office/drawing/2014/main" id="{82ED3636-6755-49E3-8E46-1042DFD939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2" name="AutoShape 33">
          <a:extLst>
            <a:ext uri="{FF2B5EF4-FFF2-40B4-BE49-F238E27FC236}">
              <a16:creationId xmlns:a16="http://schemas.microsoft.com/office/drawing/2014/main" id="{42B20E72-C32A-4875-B027-AFDEE73AFE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3" name="AutoShape 22">
          <a:extLst>
            <a:ext uri="{FF2B5EF4-FFF2-40B4-BE49-F238E27FC236}">
              <a16:creationId xmlns:a16="http://schemas.microsoft.com/office/drawing/2014/main" id="{9DEF3C76-7C70-48D0-B3BC-77D1FE096D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4" name="AutoShape 33">
          <a:extLst>
            <a:ext uri="{FF2B5EF4-FFF2-40B4-BE49-F238E27FC236}">
              <a16:creationId xmlns:a16="http://schemas.microsoft.com/office/drawing/2014/main" id="{E336BC8C-3767-4CB5-8C8E-432E07A4C9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5" name="AutoShape 22">
          <a:extLst>
            <a:ext uri="{FF2B5EF4-FFF2-40B4-BE49-F238E27FC236}">
              <a16:creationId xmlns:a16="http://schemas.microsoft.com/office/drawing/2014/main" id="{B55EC3CD-1D2E-4B72-96CB-6EB10CAC968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6" name="AutoShape 33">
          <a:extLst>
            <a:ext uri="{FF2B5EF4-FFF2-40B4-BE49-F238E27FC236}">
              <a16:creationId xmlns:a16="http://schemas.microsoft.com/office/drawing/2014/main" id="{FDA26BE2-2402-4D48-8E08-4FA3C10B9D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7" name="AutoShape 22">
          <a:extLst>
            <a:ext uri="{FF2B5EF4-FFF2-40B4-BE49-F238E27FC236}">
              <a16:creationId xmlns:a16="http://schemas.microsoft.com/office/drawing/2014/main" id="{20B6FF80-ECE0-4200-B354-F008E37A7F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8" name="AutoShape 33">
          <a:extLst>
            <a:ext uri="{FF2B5EF4-FFF2-40B4-BE49-F238E27FC236}">
              <a16:creationId xmlns:a16="http://schemas.microsoft.com/office/drawing/2014/main" id="{AB968D3C-129B-4FD9-A24A-6D16F3D178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9" name="AutoShape 22">
          <a:extLst>
            <a:ext uri="{FF2B5EF4-FFF2-40B4-BE49-F238E27FC236}">
              <a16:creationId xmlns:a16="http://schemas.microsoft.com/office/drawing/2014/main" id="{A9877D74-84AD-4779-ADD7-4AAB117D69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60" name="AutoShape 33">
          <a:extLst>
            <a:ext uri="{FF2B5EF4-FFF2-40B4-BE49-F238E27FC236}">
              <a16:creationId xmlns:a16="http://schemas.microsoft.com/office/drawing/2014/main" id="{F1FDB082-1589-4A11-BFD5-30783CF5E7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1" name="AutoShape 22">
          <a:extLst>
            <a:ext uri="{FF2B5EF4-FFF2-40B4-BE49-F238E27FC236}">
              <a16:creationId xmlns:a16="http://schemas.microsoft.com/office/drawing/2014/main" id="{040687EC-98CA-4A7B-B059-B65FAECF4A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2" name="AutoShape 33">
          <a:extLst>
            <a:ext uri="{FF2B5EF4-FFF2-40B4-BE49-F238E27FC236}">
              <a16:creationId xmlns:a16="http://schemas.microsoft.com/office/drawing/2014/main" id="{38A52602-2901-46E1-B09B-4CF82CA6093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3" name="AutoShape 22">
          <a:extLst>
            <a:ext uri="{FF2B5EF4-FFF2-40B4-BE49-F238E27FC236}">
              <a16:creationId xmlns:a16="http://schemas.microsoft.com/office/drawing/2014/main" id="{52857B98-8951-4A58-A79C-A0ABD2CEAA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4" name="AutoShape 33">
          <a:extLst>
            <a:ext uri="{FF2B5EF4-FFF2-40B4-BE49-F238E27FC236}">
              <a16:creationId xmlns:a16="http://schemas.microsoft.com/office/drawing/2014/main" id="{9E81679E-A549-42A6-8EB9-34A8EE41F4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5" name="AutoShape 22">
          <a:extLst>
            <a:ext uri="{FF2B5EF4-FFF2-40B4-BE49-F238E27FC236}">
              <a16:creationId xmlns:a16="http://schemas.microsoft.com/office/drawing/2014/main" id="{79ABBAD9-F688-49DE-8E2A-6F50DD31D1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6" name="AutoShape 33">
          <a:extLst>
            <a:ext uri="{FF2B5EF4-FFF2-40B4-BE49-F238E27FC236}">
              <a16:creationId xmlns:a16="http://schemas.microsoft.com/office/drawing/2014/main" id="{687BCDCF-C18A-4C43-88D7-A94465A56C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7" name="AutoShape 22">
          <a:extLst>
            <a:ext uri="{FF2B5EF4-FFF2-40B4-BE49-F238E27FC236}">
              <a16:creationId xmlns:a16="http://schemas.microsoft.com/office/drawing/2014/main" id="{9E76FBEE-8A67-4323-8B25-7BCF76520D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8" name="AutoShape 33">
          <a:extLst>
            <a:ext uri="{FF2B5EF4-FFF2-40B4-BE49-F238E27FC236}">
              <a16:creationId xmlns:a16="http://schemas.microsoft.com/office/drawing/2014/main" id="{135A1625-D2BE-4261-AAB8-D0296ADAF50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69" name="AutoShape 22">
          <a:extLst>
            <a:ext uri="{FF2B5EF4-FFF2-40B4-BE49-F238E27FC236}">
              <a16:creationId xmlns:a16="http://schemas.microsoft.com/office/drawing/2014/main" id="{8145A793-09D3-4790-BE2D-DC7A434AAC3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0" name="AutoShape 33">
          <a:extLst>
            <a:ext uri="{FF2B5EF4-FFF2-40B4-BE49-F238E27FC236}">
              <a16:creationId xmlns:a16="http://schemas.microsoft.com/office/drawing/2014/main" id="{DFA3CE10-C972-4E01-94D4-14BC0462978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1" name="AutoShape 22">
          <a:extLst>
            <a:ext uri="{FF2B5EF4-FFF2-40B4-BE49-F238E27FC236}">
              <a16:creationId xmlns:a16="http://schemas.microsoft.com/office/drawing/2014/main" id="{982CB1EC-5701-485D-A68B-8A33E7656A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2" name="AutoShape 33">
          <a:extLst>
            <a:ext uri="{FF2B5EF4-FFF2-40B4-BE49-F238E27FC236}">
              <a16:creationId xmlns:a16="http://schemas.microsoft.com/office/drawing/2014/main" id="{19F7E493-3F96-4EC0-AB6B-FBF9058F50E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3" name="AutoShape 22">
          <a:extLst>
            <a:ext uri="{FF2B5EF4-FFF2-40B4-BE49-F238E27FC236}">
              <a16:creationId xmlns:a16="http://schemas.microsoft.com/office/drawing/2014/main" id="{6F6CC35B-41BD-4BD5-A1F7-17C5511E358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4" name="AutoShape 33">
          <a:extLst>
            <a:ext uri="{FF2B5EF4-FFF2-40B4-BE49-F238E27FC236}">
              <a16:creationId xmlns:a16="http://schemas.microsoft.com/office/drawing/2014/main" id="{797E0A36-3195-4633-9CEF-F63245B62E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5" name="AutoShape 22">
          <a:extLst>
            <a:ext uri="{FF2B5EF4-FFF2-40B4-BE49-F238E27FC236}">
              <a16:creationId xmlns:a16="http://schemas.microsoft.com/office/drawing/2014/main" id="{330683C2-7830-4BCC-9704-AB78CB58B5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6" name="AutoShape 33">
          <a:extLst>
            <a:ext uri="{FF2B5EF4-FFF2-40B4-BE49-F238E27FC236}">
              <a16:creationId xmlns:a16="http://schemas.microsoft.com/office/drawing/2014/main" id="{B3786270-50A3-4C15-9304-26D1B391B1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7" name="AutoShape 22">
          <a:extLst>
            <a:ext uri="{FF2B5EF4-FFF2-40B4-BE49-F238E27FC236}">
              <a16:creationId xmlns:a16="http://schemas.microsoft.com/office/drawing/2014/main" id="{81876FF6-2D69-4D3D-B59B-41DCE66350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8" name="AutoShape 33">
          <a:extLst>
            <a:ext uri="{FF2B5EF4-FFF2-40B4-BE49-F238E27FC236}">
              <a16:creationId xmlns:a16="http://schemas.microsoft.com/office/drawing/2014/main" id="{75EE7D50-3CF0-42F3-A232-11E614CDBD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9" name="AutoShape 22">
          <a:extLst>
            <a:ext uri="{FF2B5EF4-FFF2-40B4-BE49-F238E27FC236}">
              <a16:creationId xmlns:a16="http://schemas.microsoft.com/office/drawing/2014/main" id="{CE02343B-B018-464A-9CE1-6EDC6D31B3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80" name="AutoShape 33">
          <a:extLst>
            <a:ext uri="{FF2B5EF4-FFF2-40B4-BE49-F238E27FC236}">
              <a16:creationId xmlns:a16="http://schemas.microsoft.com/office/drawing/2014/main" id="{44605B15-7AFF-48A9-8EF2-18EC26F9343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1" name="AutoShape 22">
          <a:extLst>
            <a:ext uri="{FF2B5EF4-FFF2-40B4-BE49-F238E27FC236}">
              <a16:creationId xmlns:a16="http://schemas.microsoft.com/office/drawing/2014/main" id="{49444F57-80D3-48BE-923F-35A1AA9EE8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2" name="AutoShape 33">
          <a:extLst>
            <a:ext uri="{FF2B5EF4-FFF2-40B4-BE49-F238E27FC236}">
              <a16:creationId xmlns:a16="http://schemas.microsoft.com/office/drawing/2014/main" id="{272AED25-A8A9-46A0-806B-4FD318AAC7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3" name="AutoShape 22">
          <a:extLst>
            <a:ext uri="{FF2B5EF4-FFF2-40B4-BE49-F238E27FC236}">
              <a16:creationId xmlns:a16="http://schemas.microsoft.com/office/drawing/2014/main" id="{6409A95A-6DDC-4251-A56B-91123B8841C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4" name="AutoShape 33">
          <a:extLst>
            <a:ext uri="{FF2B5EF4-FFF2-40B4-BE49-F238E27FC236}">
              <a16:creationId xmlns:a16="http://schemas.microsoft.com/office/drawing/2014/main" id="{D01C0F34-FDB4-4543-8925-2D2405EB3D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5" name="AutoShape 22">
          <a:extLst>
            <a:ext uri="{FF2B5EF4-FFF2-40B4-BE49-F238E27FC236}">
              <a16:creationId xmlns:a16="http://schemas.microsoft.com/office/drawing/2014/main" id="{D47AB82B-3857-44A7-832F-3F8B0368CE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6" name="AutoShape 33">
          <a:extLst>
            <a:ext uri="{FF2B5EF4-FFF2-40B4-BE49-F238E27FC236}">
              <a16:creationId xmlns:a16="http://schemas.microsoft.com/office/drawing/2014/main" id="{9D1A7BD2-1DB5-4369-8655-FDAD5C378C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7" name="AutoShape 22">
          <a:extLst>
            <a:ext uri="{FF2B5EF4-FFF2-40B4-BE49-F238E27FC236}">
              <a16:creationId xmlns:a16="http://schemas.microsoft.com/office/drawing/2014/main" id="{A84F151C-30E5-4B12-8FA2-0AFF6AFAE73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8" name="AutoShape 33">
          <a:extLst>
            <a:ext uri="{FF2B5EF4-FFF2-40B4-BE49-F238E27FC236}">
              <a16:creationId xmlns:a16="http://schemas.microsoft.com/office/drawing/2014/main" id="{E599775D-992B-4B2C-857F-4596902B09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89" name="AutoShape 22">
          <a:extLst>
            <a:ext uri="{FF2B5EF4-FFF2-40B4-BE49-F238E27FC236}">
              <a16:creationId xmlns:a16="http://schemas.microsoft.com/office/drawing/2014/main" id="{51F8EA8D-0376-4EA9-B731-EEED4F33F9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0" name="AutoShape 33">
          <a:extLst>
            <a:ext uri="{FF2B5EF4-FFF2-40B4-BE49-F238E27FC236}">
              <a16:creationId xmlns:a16="http://schemas.microsoft.com/office/drawing/2014/main" id="{9B20D717-B92A-409E-84E9-61A088EA4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1" name="AutoShape 22">
          <a:extLst>
            <a:ext uri="{FF2B5EF4-FFF2-40B4-BE49-F238E27FC236}">
              <a16:creationId xmlns:a16="http://schemas.microsoft.com/office/drawing/2014/main" id="{D9F7B9F8-12F7-4B2C-8771-B42A710116C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2" name="AutoShape 33">
          <a:extLst>
            <a:ext uri="{FF2B5EF4-FFF2-40B4-BE49-F238E27FC236}">
              <a16:creationId xmlns:a16="http://schemas.microsoft.com/office/drawing/2014/main" id="{51330860-12DB-4972-92FB-D1056FFA1E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3" name="AutoShape 22">
          <a:extLst>
            <a:ext uri="{FF2B5EF4-FFF2-40B4-BE49-F238E27FC236}">
              <a16:creationId xmlns:a16="http://schemas.microsoft.com/office/drawing/2014/main" id="{851A7CD7-655F-41CA-A2C5-017E595362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4" name="AutoShape 33">
          <a:extLst>
            <a:ext uri="{FF2B5EF4-FFF2-40B4-BE49-F238E27FC236}">
              <a16:creationId xmlns:a16="http://schemas.microsoft.com/office/drawing/2014/main" id="{23C30248-E9B4-417C-8C04-90F5666B2FB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5" name="AutoShape 22">
          <a:extLst>
            <a:ext uri="{FF2B5EF4-FFF2-40B4-BE49-F238E27FC236}">
              <a16:creationId xmlns:a16="http://schemas.microsoft.com/office/drawing/2014/main" id="{3FEE72E5-3846-4D43-8DB0-FC9D54AF87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6" name="AutoShape 33">
          <a:extLst>
            <a:ext uri="{FF2B5EF4-FFF2-40B4-BE49-F238E27FC236}">
              <a16:creationId xmlns:a16="http://schemas.microsoft.com/office/drawing/2014/main" id="{E117D85A-3BE6-4183-B869-FE531EE1E2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7" name="AutoShape 22">
          <a:extLst>
            <a:ext uri="{FF2B5EF4-FFF2-40B4-BE49-F238E27FC236}">
              <a16:creationId xmlns:a16="http://schemas.microsoft.com/office/drawing/2014/main" id="{4DBC8C8F-53CC-4CC6-91CE-1583A5A6B1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8" name="AutoShape 33">
          <a:extLst>
            <a:ext uri="{FF2B5EF4-FFF2-40B4-BE49-F238E27FC236}">
              <a16:creationId xmlns:a16="http://schemas.microsoft.com/office/drawing/2014/main" id="{7ED12F34-1F91-4BC3-86A5-50A911FF94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9" name="AutoShape 22">
          <a:extLst>
            <a:ext uri="{FF2B5EF4-FFF2-40B4-BE49-F238E27FC236}">
              <a16:creationId xmlns:a16="http://schemas.microsoft.com/office/drawing/2014/main" id="{75710C78-0098-4AEE-AAD9-D371147AFD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200" name="AutoShape 33">
          <a:extLst>
            <a:ext uri="{FF2B5EF4-FFF2-40B4-BE49-F238E27FC236}">
              <a16:creationId xmlns:a16="http://schemas.microsoft.com/office/drawing/2014/main" id="{1732ADFC-67C3-4C99-9792-72F85F9DED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1" name="AutoShape 22">
          <a:extLst>
            <a:ext uri="{FF2B5EF4-FFF2-40B4-BE49-F238E27FC236}">
              <a16:creationId xmlns:a16="http://schemas.microsoft.com/office/drawing/2014/main" id="{C184B5FA-737E-471A-BBB9-BB716DC0FCC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2" name="AutoShape 33">
          <a:extLst>
            <a:ext uri="{FF2B5EF4-FFF2-40B4-BE49-F238E27FC236}">
              <a16:creationId xmlns:a16="http://schemas.microsoft.com/office/drawing/2014/main" id="{7776E092-CF25-43C2-851B-8753115217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3" name="AutoShape 22">
          <a:extLst>
            <a:ext uri="{FF2B5EF4-FFF2-40B4-BE49-F238E27FC236}">
              <a16:creationId xmlns:a16="http://schemas.microsoft.com/office/drawing/2014/main" id="{7D1E7A74-3A82-4E7E-85EC-34C08FF23C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4" name="AutoShape 33">
          <a:extLst>
            <a:ext uri="{FF2B5EF4-FFF2-40B4-BE49-F238E27FC236}">
              <a16:creationId xmlns:a16="http://schemas.microsoft.com/office/drawing/2014/main" id="{9158DF6D-172A-4222-B436-6D1CC6C3A1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5" name="AutoShape 22">
          <a:extLst>
            <a:ext uri="{FF2B5EF4-FFF2-40B4-BE49-F238E27FC236}">
              <a16:creationId xmlns:a16="http://schemas.microsoft.com/office/drawing/2014/main" id="{9222B4C1-748E-4582-9795-7DC5097CD4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6" name="AutoShape 33">
          <a:extLst>
            <a:ext uri="{FF2B5EF4-FFF2-40B4-BE49-F238E27FC236}">
              <a16:creationId xmlns:a16="http://schemas.microsoft.com/office/drawing/2014/main" id="{2BD8287B-5562-45E9-8DDE-D59D81B12F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7" name="AutoShape 22">
          <a:extLst>
            <a:ext uri="{FF2B5EF4-FFF2-40B4-BE49-F238E27FC236}">
              <a16:creationId xmlns:a16="http://schemas.microsoft.com/office/drawing/2014/main" id="{CD3E5CF8-3D03-44A4-89DB-EFCA0E52E2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8" name="AutoShape 33">
          <a:extLst>
            <a:ext uri="{FF2B5EF4-FFF2-40B4-BE49-F238E27FC236}">
              <a16:creationId xmlns:a16="http://schemas.microsoft.com/office/drawing/2014/main" id="{C507A726-7F6B-4BE9-A065-746CEAD5E4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09" name="AutoShape 22">
          <a:extLst>
            <a:ext uri="{FF2B5EF4-FFF2-40B4-BE49-F238E27FC236}">
              <a16:creationId xmlns:a16="http://schemas.microsoft.com/office/drawing/2014/main" id="{C662368E-8419-43EC-9A67-FE2E9FED2C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0" name="AutoShape 33">
          <a:extLst>
            <a:ext uri="{FF2B5EF4-FFF2-40B4-BE49-F238E27FC236}">
              <a16:creationId xmlns:a16="http://schemas.microsoft.com/office/drawing/2014/main" id="{167F4945-B9F6-4167-B875-50B8C1CAEA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1" name="AutoShape 22">
          <a:extLst>
            <a:ext uri="{FF2B5EF4-FFF2-40B4-BE49-F238E27FC236}">
              <a16:creationId xmlns:a16="http://schemas.microsoft.com/office/drawing/2014/main" id="{CFCD8AB9-A830-49D2-9642-D43552FA97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2" name="AutoShape 33">
          <a:extLst>
            <a:ext uri="{FF2B5EF4-FFF2-40B4-BE49-F238E27FC236}">
              <a16:creationId xmlns:a16="http://schemas.microsoft.com/office/drawing/2014/main" id="{EE072B7A-C5A0-4848-9282-5847ACAB17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3" name="AutoShape 22">
          <a:extLst>
            <a:ext uri="{FF2B5EF4-FFF2-40B4-BE49-F238E27FC236}">
              <a16:creationId xmlns:a16="http://schemas.microsoft.com/office/drawing/2014/main" id="{F820D4A3-97CA-4E73-BD17-3531C33D51A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4" name="AutoShape 33">
          <a:extLst>
            <a:ext uri="{FF2B5EF4-FFF2-40B4-BE49-F238E27FC236}">
              <a16:creationId xmlns:a16="http://schemas.microsoft.com/office/drawing/2014/main" id="{59374739-4D3B-4C0C-B0F4-078608390E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5" name="AutoShape 22">
          <a:extLst>
            <a:ext uri="{FF2B5EF4-FFF2-40B4-BE49-F238E27FC236}">
              <a16:creationId xmlns:a16="http://schemas.microsoft.com/office/drawing/2014/main" id="{8FC8E295-F8CC-411B-9305-A71E73FE6C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6" name="AutoShape 33">
          <a:extLst>
            <a:ext uri="{FF2B5EF4-FFF2-40B4-BE49-F238E27FC236}">
              <a16:creationId xmlns:a16="http://schemas.microsoft.com/office/drawing/2014/main" id="{AA9D847E-8BAB-4B45-A5CB-B17FA3A94D2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7" name="AutoShape 22">
          <a:extLst>
            <a:ext uri="{FF2B5EF4-FFF2-40B4-BE49-F238E27FC236}">
              <a16:creationId xmlns:a16="http://schemas.microsoft.com/office/drawing/2014/main" id="{9A6DA043-2740-404A-B3E0-FB365AED5C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8" name="AutoShape 33">
          <a:extLst>
            <a:ext uri="{FF2B5EF4-FFF2-40B4-BE49-F238E27FC236}">
              <a16:creationId xmlns:a16="http://schemas.microsoft.com/office/drawing/2014/main" id="{5B995AFE-B285-4CA4-A0D9-7A6E28FA2F3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9" name="AutoShape 22">
          <a:extLst>
            <a:ext uri="{FF2B5EF4-FFF2-40B4-BE49-F238E27FC236}">
              <a16:creationId xmlns:a16="http://schemas.microsoft.com/office/drawing/2014/main" id="{A2E38EE2-BAA2-495E-B9D5-A87128213F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20" name="AutoShape 33">
          <a:extLst>
            <a:ext uri="{FF2B5EF4-FFF2-40B4-BE49-F238E27FC236}">
              <a16:creationId xmlns:a16="http://schemas.microsoft.com/office/drawing/2014/main" id="{A872B49C-152C-414B-BC22-C14B0D5478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1" name="AutoShape 22">
          <a:extLst>
            <a:ext uri="{FF2B5EF4-FFF2-40B4-BE49-F238E27FC236}">
              <a16:creationId xmlns:a16="http://schemas.microsoft.com/office/drawing/2014/main" id="{7A277176-5AAB-4CD2-B2BB-E2AACA0E3C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2" name="AutoShape 33">
          <a:extLst>
            <a:ext uri="{FF2B5EF4-FFF2-40B4-BE49-F238E27FC236}">
              <a16:creationId xmlns:a16="http://schemas.microsoft.com/office/drawing/2014/main" id="{EDD4ADAA-44E2-4801-B283-DC8198737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3" name="AutoShape 22">
          <a:extLst>
            <a:ext uri="{FF2B5EF4-FFF2-40B4-BE49-F238E27FC236}">
              <a16:creationId xmlns:a16="http://schemas.microsoft.com/office/drawing/2014/main" id="{BC162CEF-081B-4F3C-8D8B-CBD3FEE6EA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4" name="AutoShape 33">
          <a:extLst>
            <a:ext uri="{FF2B5EF4-FFF2-40B4-BE49-F238E27FC236}">
              <a16:creationId xmlns:a16="http://schemas.microsoft.com/office/drawing/2014/main" id="{E9D9CFB9-2B20-4CDA-BC53-8B1CC1D1BE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5" name="AutoShape 22">
          <a:extLst>
            <a:ext uri="{FF2B5EF4-FFF2-40B4-BE49-F238E27FC236}">
              <a16:creationId xmlns:a16="http://schemas.microsoft.com/office/drawing/2014/main" id="{988E8CEA-4FBA-4A9C-85DF-A20C069F89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6" name="AutoShape 33">
          <a:extLst>
            <a:ext uri="{FF2B5EF4-FFF2-40B4-BE49-F238E27FC236}">
              <a16:creationId xmlns:a16="http://schemas.microsoft.com/office/drawing/2014/main" id="{0D0A7774-79C9-4DD4-BF21-A3B657C1A1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7" name="AutoShape 22">
          <a:extLst>
            <a:ext uri="{FF2B5EF4-FFF2-40B4-BE49-F238E27FC236}">
              <a16:creationId xmlns:a16="http://schemas.microsoft.com/office/drawing/2014/main" id="{42B0D373-9997-40B0-BAA9-CB31268C27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8" name="AutoShape 33">
          <a:extLst>
            <a:ext uri="{FF2B5EF4-FFF2-40B4-BE49-F238E27FC236}">
              <a16:creationId xmlns:a16="http://schemas.microsoft.com/office/drawing/2014/main" id="{0EFDF921-423D-4A41-A311-450F1DA306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29" name="AutoShape 22">
          <a:extLst>
            <a:ext uri="{FF2B5EF4-FFF2-40B4-BE49-F238E27FC236}">
              <a16:creationId xmlns:a16="http://schemas.microsoft.com/office/drawing/2014/main" id="{FAA08222-DE49-4EBF-AA2D-B87E5E415C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0" name="AutoShape 33">
          <a:extLst>
            <a:ext uri="{FF2B5EF4-FFF2-40B4-BE49-F238E27FC236}">
              <a16:creationId xmlns:a16="http://schemas.microsoft.com/office/drawing/2014/main" id="{3937413B-8631-40F9-AB89-87B7D7BA36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1" name="AutoShape 22">
          <a:extLst>
            <a:ext uri="{FF2B5EF4-FFF2-40B4-BE49-F238E27FC236}">
              <a16:creationId xmlns:a16="http://schemas.microsoft.com/office/drawing/2014/main" id="{AB667513-0FF0-4413-8371-B2638F0E0F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2" name="AutoShape 33">
          <a:extLst>
            <a:ext uri="{FF2B5EF4-FFF2-40B4-BE49-F238E27FC236}">
              <a16:creationId xmlns:a16="http://schemas.microsoft.com/office/drawing/2014/main" id="{C7A8C343-2AFD-4D16-B6D4-AF1D9CD4FF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3" name="AutoShape 22">
          <a:extLst>
            <a:ext uri="{FF2B5EF4-FFF2-40B4-BE49-F238E27FC236}">
              <a16:creationId xmlns:a16="http://schemas.microsoft.com/office/drawing/2014/main" id="{DC3E00B9-8641-4F1F-8CD8-416342CF966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4" name="AutoShape 33">
          <a:extLst>
            <a:ext uri="{FF2B5EF4-FFF2-40B4-BE49-F238E27FC236}">
              <a16:creationId xmlns:a16="http://schemas.microsoft.com/office/drawing/2014/main" id="{DEF14CC0-9B8B-4DA8-9FB5-C11392F919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5" name="AutoShape 22">
          <a:extLst>
            <a:ext uri="{FF2B5EF4-FFF2-40B4-BE49-F238E27FC236}">
              <a16:creationId xmlns:a16="http://schemas.microsoft.com/office/drawing/2014/main" id="{77EF3C67-C890-4406-B12B-90AE55F03A9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6" name="AutoShape 33">
          <a:extLst>
            <a:ext uri="{FF2B5EF4-FFF2-40B4-BE49-F238E27FC236}">
              <a16:creationId xmlns:a16="http://schemas.microsoft.com/office/drawing/2014/main" id="{8A0B1179-D87B-47EB-BC14-10F23AC9165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7" name="AutoShape 22">
          <a:extLst>
            <a:ext uri="{FF2B5EF4-FFF2-40B4-BE49-F238E27FC236}">
              <a16:creationId xmlns:a16="http://schemas.microsoft.com/office/drawing/2014/main" id="{AAADB77B-10A1-4175-94D3-ABD50D5DF2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8" name="AutoShape 33">
          <a:extLst>
            <a:ext uri="{FF2B5EF4-FFF2-40B4-BE49-F238E27FC236}">
              <a16:creationId xmlns:a16="http://schemas.microsoft.com/office/drawing/2014/main" id="{84F1E2CC-85B5-40F6-921D-8C21008816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9" name="AutoShape 22">
          <a:extLst>
            <a:ext uri="{FF2B5EF4-FFF2-40B4-BE49-F238E27FC236}">
              <a16:creationId xmlns:a16="http://schemas.microsoft.com/office/drawing/2014/main" id="{1CAF2A7A-8F0F-40F0-8E3A-C6F92B4954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40" name="AutoShape 33">
          <a:extLst>
            <a:ext uri="{FF2B5EF4-FFF2-40B4-BE49-F238E27FC236}">
              <a16:creationId xmlns:a16="http://schemas.microsoft.com/office/drawing/2014/main" id="{4CB5D326-6794-444C-89F5-F40641567E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1" name="AutoShape 22">
          <a:extLst>
            <a:ext uri="{FF2B5EF4-FFF2-40B4-BE49-F238E27FC236}">
              <a16:creationId xmlns:a16="http://schemas.microsoft.com/office/drawing/2014/main" id="{DC76CD99-E1CF-4D10-B9C7-7C99C11A5A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2" name="AutoShape 33">
          <a:extLst>
            <a:ext uri="{FF2B5EF4-FFF2-40B4-BE49-F238E27FC236}">
              <a16:creationId xmlns:a16="http://schemas.microsoft.com/office/drawing/2014/main" id="{C532511B-F503-4316-9302-8066A2F457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3" name="AutoShape 22">
          <a:extLst>
            <a:ext uri="{FF2B5EF4-FFF2-40B4-BE49-F238E27FC236}">
              <a16:creationId xmlns:a16="http://schemas.microsoft.com/office/drawing/2014/main" id="{F404474A-4682-49C0-AE5B-218B311137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4" name="AutoShape 33">
          <a:extLst>
            <a:ext uri="{FF2B5EF4-FFF2-40B4-BE49-F238E27FC236}">
              <a16:creationId xmlns:a16="http://schemas.microsoft.com/office/drawing/2014/main" id="{2AAA9044-6D85-4AA0-9F1B-86FF1C01E2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5" name="AutoShape 22">
          <a:extLst>
            <a:ext uri="{FF2B5EF4-FFF2-40B4-BE49-F238E27FC236}">
              <a16:creationId xmlns:a16="http://schemas.microsoft.com/office/drawing/2014/main" id="{FC62E27D-E8BB-4275-AF2E-7D02DECF585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6" name="AutoShape 33">
          <a:extLst>
            <a:ext uri="{FF2B5EF4-FFF2-40B4-BE49-F238E27FC236}">
              <a16:creationId xmlns:a16="http://schemas.microsoft.com/office/drawing/2014/main" id="{16DE86CB-D1BD-46AF-BD6F-2A51EB1A02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7" name="AutoShape 22">
          <a:extLst>
            <a:ext uri="{FF2B5EF4-FFF2-40B4-BE49-F238E27FC236}">
              <a16:creationId xmlns:a16="http://schemas.microsoft.com/office/drawing/2014/main" id="{6A1A924E-EF13-4654-950C-6821742F36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8" name="AutoShape 33">
          <a:extLst>
            <a:ext uri="{FF2B5EF4-FFF2-40B4-BE49-F238E27FC236}">
              <a16:creationId xmlns:a16="http://schemas.microsoft.com/office/drawing/2014/main" id="{04537BDF-046E-497C-A0B0-B42AB3F8B4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49" name="AutoShape 22">
          <a:extLst>
            <a:ext uri="{FF2B5EF4-FFF2-40B4-BE49-F238E27FC236}">
              <a16:creationId xmlns:a16="http://schemas.microsoft.com/office/drawing/2014/main" id="{9CF61341-4CBD-44D0-B553-EBE5213067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0" name="AutoShape 33">
          <a:extLst>
            <a:ext uri="{FF2B5EF4-FFF2-40B4-BE49-F238E27FC236}">
              <a16:creationId xmlns:a16="http://schemas.microsoft.com/office/drawing/2014/main" id="{A4858E5F-0D80-4CDE-B811-393D38AE526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1" name="AutoShape 22">
          <a:extLst>
            <a:ext uri="{FF2B5EF4-FFF2-40B4-BE49-F238E27FC236}">
              <a16:creationId xmlns:a16="http://schemas.microsoft.com/office/drawing/2014/main" id="{52641F3C-9B7F-45F4-B158-F6FCD7B7EC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2" name="AutoShape 33">
          <a:extLst>
            <a:ext uri="{FF2B5EF4-FFF2-40B4-BE49-F238E27FC236}">
              <a16:creationId xmlns:a16="http://schemas.microsoft.com/office/drawing/2014/main" id="{DB86BC40-004F-4C45-8461-8600081FDF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3" name="AutoShape 22">
          <a:extLst>
            <a:ext uri="{FF2B5EF4-FFF2-40B4-BE49-F238E27FC236}">
              <a16:creationId xmlns:a16="http://schemas.microsoft.com/office/drawing/2014/main" id="{3EF01EFA-C172-4DEF-B6B9-D7466DB7E7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4" name="AutoShape 33">
          <a:extLst>
            <a:ext uri="{FF2B5EF4-FFF2-40B4-BE49-F238E27FC236}">
              <a16:creationId xmlns:a16="http://schemas.microsoft.com/office/drawing/2014/main" id="{70DCE39C-3BAE-4EB0-A9CA-5AF675538C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5" name="AutoShape 22">
          <a:extLst>
            <a:ext uri="{FF2B5EF4-FFF2-40B4-BE49-F238E27FC236}">
              <a16:creationId xmlns:a16="http://schemas.microsoft.com/office/drawing/2014/main" id="{C99C1644-8655-453A-A157-0D8A306551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6" name="AutoShape 33">
          <a:extLst>
            <a:ext uri="{FF2B5EF4-FFF2-40B4-BE49-F238E27FC236}">
              <a16:creationId xmlns:a16="http://schemas.microsoft.com/office/drawing/2014/main" id="{2124669A-B013-422F-A72A-D8F0256842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7" name="AutoShape 22">
          <a:extLst>
            <a:ext uri="{FF2B5EF4-FFF2-40B4-BE49-F238E27FC236}">
              <a16:creationId xmlns:a16="http://schemas.microsoft.com/office/drawing/2014/main" id="{95927113-3C3E-470C-B9B2-72FE57EBAF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8" name="AutoShape 33">
          <a:extLst>
            <a:ext uri="{FF2B5EF4-FFF2-40B4-BE49-F238E27FC236}">
              <a16:creationId xmlns:a16="http://schemas.microsoft.com/office/drawing/2014/main" id="{D6F52F45-0C5D-4846-AFEC-B967DEA271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9" name="AutoShape 22">
          <a:extLst>
            <a:ext uri="{FF2B5EF4-FFF2-40B4-BE49-F238E27FC236}">
              <a16:creationId xmlns:a16="http://schemas.microsoft.com/office/drawing/2014/main" id="{390E9CA9-3E07-4AD1-BFBC-B08C7FB81BD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60" name="AutoShape 33">
          <a:extLst>
            <a:ext uri="{FF2B5EF4-FFF2-40B4-BE49-F238E27FC236}">
              <a16:creationId xmlns:a16="http://schemas.microsoft.com/office/drawing/2014/main" id="{55E66CBC-88CE-46FF-AF7C-F9C77BE94E3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1" name="AutoShape 22">
          <a:extLst>
            <a:ext uri="{FF2B5EF4-FFF2-40B4-BE49-F238E27FC236}">
              <a16:creationId xmlns:a16="http://schemas.microsoft.com/office/drawing/2014/main" id="{96B60B4C-6FBC-4DDC-946E-5DDABED870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2" name="AutoShape 33">
          <a:extLst>
            <a:ext uri="{FF2B5EF4-FFF2-40B4-BE49-F238E27FC236}">
              <a16:creationId xmlns:a16="http://schemas.microsoft.com/office/drawing/2014/main" id="{4B0BA811-6445-4853-ABF6-E6A5D8F3E7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3" name="AutoShape 22">
          <a:extLst>
            <a:ext uri="{FF2B5EF4-FFF2-40B4-BE49-F238E27FC236}">
              <a16:creationId xmlns:a16="http://schemas.microsoft.com/office/drawing/2014/main" id="{A8AD6471-F236-477E-A415-4BD7B4D82CB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4" name="AutoShape 33">
          <a:extLst>
            <a:ext uri="{FF2B5EF4-FFF2-40B4-BE49-F238E27FC236}">
              <a16:creationId xmlns:a16="http://schemas.microsoft.com/office/drawing/2014/main" id="{B3872B51-C90E-4AAD-B5AE-3AA419AAAEB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5" name="AutoShape 22">
          <a:extLst>
            <a:ext uri="{FF2B5EF4-FFF2-40B4-BE49-F238E27FC236}">
              <a16:creationId xmlns:a16="http://schemas.microsoft.com/office/drawing/2014/main" id="{A69B8CD0-A5D3-4C91-A652-6D2008559E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6" name="AutoShape 33">
          <a:extLst>
            <a:ext uri="{FF2B5EF4-FFF2-40B4-BE49-F238E27FC236}">
              <a16:creationId xmlns:a16="http://schemas.microsoft.com/office/drawing/2014/main" id="{E2F9AFB6-608F-4935-BE6C-1665E222D7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7" name="AutoShape 22">
          <a:extLst>
            <a:ext uri="{FF2B5EF4-FFF2-40B4-BE49-F238E27FC236}">
              <a16:creationId xmlns:a16="http://schemas.microsoft.com/office/drawing/2014/main" id="{AB0A9301-D4B4-48D6-9967-9C2654FC51E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8" name="AutoShape 33">
          <a:extLst>
            <a:ext uri="{FF2B5EF4-FFF2-40B4-BE49-F238E27FC236}">
              <a16:creationId xmlns:a16="http://schemas.microsoft.com/office/drawing/2014/main" id="{FD7B3ABC-392F-43B4-B0F8-291309C9DB5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69" name="AutoShape 22">
          <a:extLst>
            <a:ext uri="{FF2B5EF4-FFF2-40B4-BE49-F238E27FC236}">
              <a16:creationId xmlns:a16="http://schemas.microsoft.com/office/drawing/2014/main" id="{C08F5B3F-9DA8-462A-8D12-950B6086F5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0" name="AutoShape 33">
          <a:extLst>
            <a:ext uri="{FF2B5EF4-FFF2-40B4-BE49-F238E27FC236}">
              <a16:creationId xmlns:a16="http://schemas.microsoft.com/office/drawing/2014/main" id="{9850CA31-6461-4BAC-89F3-9F8527A913B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1" name="AutoShape 22">
          <a:extLst>
            <a:ext uri="{FF2B5EF4-FFF2-40B4-BE49-F238E27FC236}">
              <a16:creationId xmlns:a16="http://schemas.microsoft.com/office/drawing/2014/main" id="{C1F4CBFF-14BB-4AE7-8F62-A97105E099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2" name="AutoShape 33">
          <a:extLst>
            <a:ext uri="{FF2B5EF4-FFF2-40B4-BE49-F238E27FC236}">
              <a16:creationId xmlns:a16="http://schemas.microsoft.com/office/drawing/2014/main" id="{8D4F2C23-137B-4F77-BD57-1AADF6525B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3" name="AutoShape 22">
          <a:extLst>
            <a:ext uri="{FF2B5EF4-FFF2-40B4-BE49-F238E27FC236}">
              <a16:creationId xmlns:a16="http://schemas.microsoft.com/office/drawing/2014/main" id="{D44B8889-4422-4996-B1FE-901DC6101D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4" name="AutoShape 33">
          <a:extLst>
            <a:ext uri="{FF2B5EF4-FFF2-40B4-BE49-F238E27FC236}">
              <a16:creationId xmlns:a16="http://schemas.microsoft.com/office/drawing/2014/main" id="{893DC81E-DF44-4315-8FA6-849F88D443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5" name="AutoShape 22">
          <a:extLst>
            <a:ext uri="{FF2B5EF4-FFF2-40B4-BE49-F238E27FC236}">
              <a16:creationId xmlns:a16="http://schemas.microsoft.com/office/drawing/2014/main" id="{C6238D7E-F100-4BBE-9156-6CEC5693AB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6" name="AutoShape 33">
          <a:extLst>
            <a:ext uri="{FF2B5EF4-FFF2-40B4-BE49-F238E27FC236}">
              <a16:creationId xmlns:a16="http://schemas.microsoft.com/office/drawing/2014/main" id="{99A6FDEE-9DB7-4670-9BE4-D66B7DEA819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7" name="AutoShape 22">
          <a:extLst>
            <a:ext uri="{FF2B5EF4-FFF2-40B4-BE49-F238E27FC236}">
              <a16:creationId xmlns:a16="http://schemas.microsoft.com/office/drawing/2014/main" id="{FE062708-6A70-4B7A-BC7D-EC04E66849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8" name="AutoShape 33">
          <a:extLst>
            <a:ext uri="{FF2B5EF4-FFF2-40B4-BE49-F238E27FC236}">
              <a16:creationId xmlns:a16="http://schemas.microsoft.com/office/drawing/2014/main" id="{C58720CE-A0FA-4C9B-A2C2-866CF225CF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9" name="AutoShape 22">
          <a:extLst>
            <a:ext uri="{FF2B5EF4-FFF2-40B4-BE49-F238E27FC236}">
              <a16:creationId xmlns:a16="http://schemas.microsoft.com/office/drawing/2014/main" id="{4691B14C-FD20-45A8-8769-716D887E2D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80" name="AutoShape 33">
          <a:extLst>
            <a:ext uri="{FF2B5EF4-FFF2-40B4-BE49-F238E27FC236}">
              <a16:creationId xmlns:a16="http://schemas.microsoft.com/office/drawing/2014/main" id="{5AC780ED-C6BE-487D-A847-A82FD2EF1A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1" name="AutoShape 22">
          <a:extLst>
            <a:ext uri="{FF2B5EF4-FFF2-40B4-BE49-F238E27FC236}">
              <a16:creationId xmlns:a16="http://schemas.microsoft.com/office/drawing/2014/main" id="{7E6A9A0D-9E2A-46E4-9BED-B8823895C5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2" name="AutoShape 33">
          <a:extLst>
            <a:ext uri="{FF2B5EF4-FFF2-40B4-BE49-F238E27FC236}">
              <a16:creationId xmlns:a16="http://schemas.microsoft.com/office/drawing/2014/main" id="{4DB78025-7213-4F34-9392-BDACE1081C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3" name="AutoShape 22">
          <a:extLst>
            <a:ext uri="{FF2B5EF4-FFF2-40B4-BE49-F238E27FC236}">
              <a16:creationId xmlns:a16="http://schemas.microsoft.com/office/drawing/2014/main" id="{66B318F7-913C-4E5F-BDD6-958052C65C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4" name="AutoShape 33">
          <a:extLst>
            <a:ext uri="{FF2B5EF4-FFF2-40B4-BE49-F238E27FC236}">
              <a16:creationId xmlns:a16="http://schemas.microsoft.com/office/drawing/2014/main" id="{E125492D-E598-4ACF-BE87-24CA4AB5F5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5" name="AutoShape 22">
          <a:extLst>
            <a:ext uri="{FF2B5EF4-FFF2-40B4-BE49-F238E27FC236}">
              <a16:creationId xmlns:a16="http://schemas.microsoft.com/office/drawing/2014/main" id="{1FEE07C6-63BF-46CA-B75D-F5B46FC71A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6" name="AutoShape 33">
          <a:extLst>
            <a:ext uri="{FF2B5EF4-FFF2-40B4-BE49-F238E27FC236}">
              <a16:creationId xmlns:a16="http://schemas.microsoft.com/office/drawing/2014/main" id="{E32CAD2C-5301-4173-BC8E-C3BDC7996E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7" name="AutoShape 22">
          <a:extLst>
            <a:ext uri="{FF2B5EF4-FFF2-40B4-BE49-F238E27FC236}">
              <a16:creationId xmlns:a16="http://schemas.microsoft.com/office/drawing/2014/main" id="{66730138-7750-4EE0-BB32-52FEC6BFAA2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8" name="AutoShape 33">
          <a:extLst>
            <a:ext uri="{FF2B5EF4-FFF2-40B4-BE49-F238E27FC236}">
              <a16:creationId xmlns:a16="http://schemas.microsoft.com/office/drawing/2014/main" id="{91E25A5B-86DF-485D-B367-A394A5EFBB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89" name="AutoShape 22">
          <a:extLst>
            <a:ext uri="{FF2B5EF4-FFF2-40B4-BE49-F238E27FC236}">
              <a16:creationId xmlns:a16="http://schemas.microsoft.com/office/drawing/2014/main" id="{521EB745-0BBE-4B41-9A55-274A9E480A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0" name="AutoShape 33">
          <a:extLst>
            <a:ext uri="{FF2B5EF4-FFF2-40B4-BE49-F238E27FC236}">
              <a16:creationId xmlns:a16="http://schemas.microsoft.com/office/drawing/2014/main" id="{6B908A47-2441-45DE-A6C3-DF185D5E05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1" name="AutoShape 22">
          <a:extLst>
            <a:ext uri="{FF2B5EF4-FFF2-40B4-BE49-F238E27FC236}">
              <a16:creationId xmlns:a16="http://schemas.microsoft.com/office/drawing/2014/main" id="{A740B852-31B2-4BBF-A3B0-A69B814580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2" name="AutoShape 33">
          <a:extLst>
            <a:ext uri="{FF2B5EF4-FFF2-40B4-BE49-F238E27FC236}">
              <a16:creationId xmlns:a16="http://schemas.microsoft.com/office/drawing/2014/main" id="{64EFE1EF-7202-4546-B968-BA4B89FA14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3" name="AutoShape 22">
          <a:extLst>
            <a:ext uri="{FF2B5EF4-FFF2-40B4-BE49-F238E27FC236}">
              <a16:creationId xmlns:a16="http://schemas.microsoft.com/office/drawing/2014/main" id="{FA2510EA-A01D-4928-8B43-C8155DEFE6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4" name="AutoShape 33">
          <a:extLst>
            <a:ext uri="{FF2B5EF4-FFF2-40B4-BE49-F238E27FC236}">
              <a16:creationId xmlns:a16="http://schemas.microsoft.com/office/drawing/2014/main" id="{C40052D0-8FFF-4059-BAAD-8E00697343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5" name="AutoShape 22">
          <a:extLst>
            <a:ext uri="{FF2B5EF4-FFF2-40B4-BE49-F238E27FC236}">
              <a16:creationId xmlns:a16="http://schemas.microsoft.com/office/drawing/2014/main" id="{DED0EE59-1C34-40F3-831C-BE3B07B407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6" name="AutoShape 33">
          <a:extLst>
            <a:ext uri="{FF2B5EF4-FFF2-40B4-BE49-F238E27FC236}">
              <a16:creationId xmlns:a16="http://schemas.microsoft.com/office/drawing/2014/main" id="{713A0253-6398-4992-8284-70A9D89B6BA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7" name="AutoShape 22">
          <a:extLst>
            <a:ext uri="{FF2B5EF4-FFF2-40B4-BE49-F238E27FC236}">
              <a16:creationId xmlns:a16="http://schemas.microsoft.com/office/drawing/2014/main" id="{54688254-DFF7-43F8-9753-448011B39C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8" name="AutoShape 33">
          <a:extLst>
            <a:ext uri="{FF2B5EF4-FFF2-40B4-BE49-F238E27FC236}">
              <a16:creationId xmlns:a16="http://schemas.microsoft.com/office/drawing/2014/main" id="{EB62A039-623F-4BFB-8951-4E1FBE3A7E9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9" name="AutoShape 22">
          <a:extLst>
            <a:ext uri="{FF2B5EF4-FFF2-40B4-BE49-F238E27FC236}">
              <a16:creationId xmlns:a16="http://schemas.microsoft.com/office/drawing/2014/main" id="{BE7C0EEB-13BD-46B0-ABD3-8007CEB35D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300" name="AutoShape 33">
          <a:extLst>
            <a:ext uri="{FF2B5EF4-FFF2-40B4-BE49-F238E27FC236}">
              <a16:creationId xmlns:a16="http://schemas.microsoft.com/office/drawing/2014/main" id="{7FDD65F1-0EF1-4480-B964-C7AAAE8C8F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1" name="AutoShape 22">
          <a:extLst>
            <a:ext uri="{FF2B5EF4-FFF2-40B4-BE49-F238E27FC236}">
              <a16:creationId xmlns:a16="http://schemas.microsoft.com/office/drawing/2014/main" id="{6531D0F8-C8E4-4D37-939F-7BF0AECAFA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2" name="AutoShape 33">
          <a:extLst>
            <a:ext uri="{FF2B5EF4-FFF2-40B4-BE49-F238E27FC236}">
              <a16:creationId xmlns:a16="http://schemas.microsoft.com/office/drawing/2014/main" id="{C4EDDF79-64B7-4392-8E61-DFAAB5A4BD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3" name="AutoShape 22">
          <a:extLst>
            <a:ext uri="{FF2B5EF4-FFF2-40B4-BE49-F238E27FC236}">
              <a16:creationId xmlns:a16="http://schemas.microsoft.com/office/drawing/2014/main" id="{830B9700-ACCB-4B0A-A328-5AE5FC07F52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4" name="AutoShape 33">
          <a:extLst>
            <a:ext uri="{FF2B5EF4-FFF2-40B4-BE49-F238E27FC236}">
              <a16:creationId xmlns:a16="http://schemas.microsoft.com/office/drawing/2014/main" id="{EC7DAAF1-D607-40CF-AF9B-E7C2F7AF44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5" name="AutoShape 22">
          <a:extLst>
            <a:ext uri="{FF2B5EF4-FFF2-40B4-BE49-F238E27FC236}">
              <a16:creationId xmlns:a16="http://schemas.microsoft.com/office/drawing/2014/main" id="{A112AB4C-2A79-4062-AE79-D6AD392F28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6" name="AutoShape 33">
          <a:extLst>
            <a:ext uri="{FF2B5EF4-FFF2-40B4-BE49-F238E27FC236}">
              <a16:creationId xmlns:a16="http://schemas.microsoft.com/office/drawing/2014/main" id="{9B27E259-0504-4D31-81B5-6471905316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7" name="AutoShape 22">
          <a:extLst>
            <a:ext uri="{FF2B5EF4-FFF2-40B4-BE49-F238E27FC236}">
              <a16:creationId xmlns:a16="http://schemas.microsoft.com/office/drawing/2014/main" id="{DD475A26-3BF9-4C14-9170-7D014F6AC5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8" name="AutoShape 33">
          <a:extLst>
            <a:ext uri="{FF2B5EF4-FFF2-40B4-BE49-F238E27FC236}">
              <a16:creationId xmlns:a16="http://schemas.microsoft.com/office/drawing/2014/main" id="{331403B6-AB19-429E-A657-8BC4E0C444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09" name="AutoShape 22">
          <a:extLst>
            <a:ext uri="{FF2B5EF4-FFF2-40B4-BE49-F238E27FC236}">
              <a16:creationId xmlns:a16="http://schemas.microsoft.com/office/drawing/2014/main" id="{C8809CDA-3E48-4703-A562-4E1C58B4B8D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0" name="AutoShape 33">
          <a:extLst>
            <a:ext uri="{FF2B5EF4-FFF2-40B4-BE49-F238E27FC236}">
              <a16:creationId xmlns:a16="http://schemas.microsoft.com/office/drawing/2014/main" id="{316D3684-A0C3-4064-9D11-CB17608992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1" name="AutoShape 22">
          <a:extLst>
            <a:ext uri="{FF2B5EF4-FFF2-40B4-BE49-F238E27FC236}">
              <a16:creationId xmlns:a16="http://schemas.microsoft.com/office/drawing/2014/main" id="{C5B875CD-EF9B-4E01-8629-183B6F0EA1E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2" name="AutoShape 33">
          <a:extLst>
            <a:ext uri="{FF2B5EF4-FFF2-40B4-BE49-F238E27FC236}">
              <a16:creationId xmlns:a16="http://schemas.microsoft.com/office/drawing/2014/main" id="{FB45FD3B-7D9B-4D24-9884-FA2C33B53B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3" name="AutoShape 22">
          <a:extLst>
            <a:ext uri="{FF2B5EF4-FFF2-40B4-BE49-F238E27FC236}">
              <a16:creationId xmlns:a16="http://schemas.microsoft.com/office/drawing/2014/main" id="{24E7621C-B687-4012-B2A3-85B63990D2D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4" name="AutoShape 33">
          <a:extLst>
            <a:ext uri="{FF2B5EF4-FFF2-40B4-BE49-F238E27FC236}">
              <a16:creationId xmlns:a16="http://schemas.microsoft.com/office/drawing/2014/main" id="{09E2DC6A-DDC0-4A30-8323-8B100537ED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5" name="AutoShape 22">
          <a:extLst>
            <a:ext uri="{FF2B5EF4-FFF2-40B4-BE49-F238E27FC236}">
              <a16:creationId xmlns:a16="http://schemas.microsoft.com/office/drawing/2014/main" id="{C46A1C32-4F67-4DF0-AAC9-25DCB9519A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6" name="AutoShape 33">
          <a:extLst>
            <a:ext uri="{FF2B5EF4-FFF2-40B4-BE49-F238E27FC236}">
              <a16:creationId xmlns:a16="http://schemas.microsoft.com/office/drawing/2014/main" id="{DFE4AC10-B131-4960-AF20-69A28BA5ED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7" name="AutoShape 22">
          <a:extLst>
            <a:ext uri="{FF2B5EF4-FFF2-40B4-BE49-F238E27FC236}">
              <a16:creationId xmlns:a16="http://schemas.microsoft.com/office/drawing/2014/main" id="{E0357C24-E413-4D50-85AA-EE0FCF51B9A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8" name="AutoShape 33">
          <a:extLst>
            <a:ext uri="{FF2B5EF4-FFF2-40B4-BE49-F238E27FC236}">
              <a16:creationId xmlns:a16="http://schemas.microsoft.com/office/drawing/2014/main" id="{385F6FAE-E19C-4EB5-BD4B-CF6FB777A2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9" name="AutoShape 22">
          <a:extLst>
            <a:ext uri="{FF2B5EF4-FFF2-40B4-BE49-F238E27FC236}">
              <a16:creationId xmlns:a16="http://schemas.microsoft.com/office/drawing/2014/main" id="{D09FE4FF-8009-4508-B633-EFF4D3CE6A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20" name="AutoShape 33">
          <a:extLst>
            <a:ext uri="{FF2B5EF4-FFF2-40B4-BE49-F238E27FC236}">
              <a16:creationId xmlns:a16="http://schemas.microsoft.com/office/drawing/2014/main" id="{EFB57CF8-7231-4E95-ACA5-39BE765A36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1" name="AutoShape 22">
          <a:extLst>
            <a:ext uri="{FF2B5EF4-FFF2-40B4-BE49-F238E27FC236}">
              <a16:creationId xmlns:a16="http://schemas.microsoft.com/office/drawing/2014/main" id="{C877844A-1B89-487D-B7CB-0177342892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2" name="AutoShape 33">
          <a:extLst>
            <a:ext uri="{FF2B5EF4-FFF2-40B4-BE49-F238E27FC236}">
              <a16:creationId xmlns:a16="http://schemas.microsoft.com/office/drawing/2014/main" id="{F58AAF32-E9B4-4E3C-B573-7432500846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3" name="AutoShape 22">
          <a:extLst>
            <a:ext uri="{FF2B5EF4-FFF2-40B4-BE49-F238E27FC236}">
              <a16:creationId xmlns:a16="http://schemas.microsoft.com/office/drawing/2014/main" id="{BFA78DBE-D239-4304-A350-6CC110DBD6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4" name="AutoShape 33">
          <a:extLst>
            <a:ext uri="{FF2B5EF4-FFF2-40B4-BE49-F238E27FC236}">
              <a16:creationId xmlns:a16="http://schemas.microsoft.com/office/drawing/2014/main" id="{49B2B80E-0975-475F-9D83-0D275651B3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5" name="AutoShape 22">
          <a:extLst>
            <a:ext uri="{FF2B5EF4-FFF2-40B4-BE49-F238E27FC236}">
              <a16:creationId xmlns:a16="http://schemas.microsoft.com/office/drawing/2014/main" id="{3BE7E03A-0083-4D97-8BBE-250C216B6B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6" name="AutoShape 33">
          <a:extLst>
            <a:ext uri="{FF2B5EF4-FFF2-40B4-BE49-F238E27FC236}">
              <a16:creationId xmlns:a16="http://schemas.microsoft.com/office/drawing/2014/main" id="{35671285-3F63-4CA2-9F5B-59EEC7894E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7" name="AutoShape 22">
          <a:extLst>
            <a:ext uri="{FF2B5EF4-FFF2-40B4-BE49-F238E27FC236}">
              <a16:creationId xmlns:a16="http://schemas.microsoft.com/office/drawing/2014/main" id="{1086ECCC-5BFB-4015-A775-FFC9DEB888F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8" name="AutoShape 33">
          <a:extLst>
            <a:ext uri="{FF2B5EF4-FFF2-40B4-BE49-F238E27FC236}">
              <a16:creationId xmlns:a16="http://schemas.microsoft.com/office/drawing/2014/main" id="{3D0F8587-D7B8-4093-9C7A-5371889C74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29" name="AutoShape 22">
          <a:extLst>
            <a:ext uri="{FF2B5EF4-FFF2-40B4-BE49-F238E27FC236}">
              <a16:creationId xmlns:a16="http://schemas.microsoft.com/office/drawing/2014/main" id="{A4CFB0C9-9515-45E2-A1E5-3F9CF6DB9B7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0" name="AutoShape 33">
          <a:extLst>
            <a:ext uri="{FF2B5EF4-FFF2-40B4-BE49-F238E27FC236}">
              <a16:creationId xmlns:a16="http://schemas.microsoft.com/office/drawing/2014/main" id="{B106014E-80E0-406E-AB66-4CDCCCA612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1" name="AutoShape 22">
          <a:extLst>
            <a:ext uri="{FF2B5EF4-FFF2-40B4-BE49-F238E27FC236}">
              <a16:creationId xmlns:a16="http://schemas.microsoft.com/office/drawing/2014/main" id="{88026ACB-B157-4226-827D-4112183293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2" name="AutoShape 33">
          <a:extLst>
            <a:ext uri="{FF2B5EF4-FFF2-40B4-BE49-F238E27FC236}">
              <a16:creationId xmlns:a16="http://schemas.microsoft.com/office/drawing/2014/main" id="{55BB1E69-CA7C-4A26-B2BA-DC3516461D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3" name="AutoShape 22">
          <a:extLst>
            <a:ext uri="{FF2B5EF4-FFF2-40B4-BE49-F238E27FC236}">
              <a16:creationId xmlns:a16="http://schemas.microsoft.com/office/drawing/2014/main" id="{37B3BB98-BE1E-4086-94D3-61A4B5B257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4" name="AutoShape 33">
          <a:extLst>
            <a:ext uri="{FF2B5EF4-FFF2-40B4-BE49-F238E27FC236}">
              <a16:creationId xmlns:a16="http://schemas.microsoft.com/office/drawing/2014/main" id="{C9C710F6-4259-4E64-A163-790505DD65B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5" name="AutoShape 22">
          <a:extLst>
            <a:ext uri="{FF2B5EF4-FFF2-40B4-BE49-F238E27FC236}">
              <a16:creationId xmlns:a16="http://schemas.microsoft.com/office/drawing/2014/main" id="{3C0BF3D9-82FB-4326-BDAB-4D4B9F2D2C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6" name="AutoShape 33">
          <a:extLst>
            <a:ext uri="{FF2B5EF4-FFF2-40B4-BE49-F238E27FC236}">
              <a16:creationId xmlns:a16="http://schemas.microsoft.com/office/drawing/2014/main" id="{02C4EE6D-692C-4BCA-BB17-5D73D866A5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7" name="AutoShape 22">
          <a:extLst>
            <a:ext uri="{FF2B5EF4-FFF2-40B4-BE49-F238E27FC236}">
              <a16:creationId xmlns:a16="http://schemas.microsoft.com/office/drawing/2014/main" id="{61D13BC9-3272-4982-ABB5-211BF3DFE1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8" name="AutoShape 33">
          <a:extLst>
            <a:ext uri="{FF2B5EF4-FFF2-40B4-BE49-F238E27FC236}">
              <a16:creationId xmlns:a16="http://schemas.microsoft.com/office/drawing/2014/main" id="{D5849327-3492-4B66-9625-83AB8E8631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9" name="AutoShape 22">
          <a:extLst>
            <a:ext uri="{FF2B5EF4-FFF2-40B4-BE49-F238E27FC236}">
              <a16:creationId xmlns:a16="http://schemas.microsoft.com/office/drawing/2014/main" id="{34C8D281-33F1-4C1E-A952-6A0A8E608EB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40" name="AutoShape 33">
          <a:extLst>
            <a:ext uri="{FF2B5EF4-FFF2-40B4-BE49-F238E27FC236}">
              <a16:creationId xmlns:a16="http://schemas.microsoft.com/office/drawing/2014/main" id="{D68489F6-660E-4A17-B2CE-8D9444CA390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1" name="AutoShape 22">
          <a:extLst>
            <a:ext uri="{FF2B5EF4-FFF2-40B4-BE49-F238E27FC236}">
              <a16:creationId xmlns:a16="http://schemas.microsoft.com/office/drawing/2014/main" id="{1E271E35-BB37-46A8-A388-67734DBAB27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2" name="AutoShape 33">
          <a:extLst>
            <a:ext uri="{FF2B5EF4-FFF2-40B4-BE49-F238E27FC236}">
              <a16:creationId xmlns:a16="http://schemas.microsoft.com/office/drawing/2014/main" id="{F7197D49-E7D4-4F64-91C8-EA06D1CEE5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3" name="AutoShape 22">
          <a:extLst>
            <a:ext uri="{FF2B5EF4-FFF2-40B4-BE49-F238E27FC236}">
              <a16:creationId xmlns:a16="http://schemas.microsoft.com/office/drawing/2014/main" id="{AAB62DDE-4350-489E-ADBE-0F0E84B5D2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4" name="AutoShape 33">
          <a:extLst>
            <a:ext uri="{FF2B5EF4-FFF2-40B4-BE49-F238E27FC236}">
              <a16:creationId xmlns:a16="http://schemas.microsoft.com/office/drawing/2014/main" id="{3C23EC90-FE34-4889-BDE3-B727C63FCA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5" name="AutoShape 22">
          <a:extLst>
            <a:ext uri="{FF2B5EF4-FFF2-40B4-BE49-F238E27FC236}">
              <a16:creationId xmlns:a16="http://schemas.microsoft.com/office/drawing/2014/main" id="{A2B7CE76-B374-473F-915E-D143215932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6" name="AutoShape 33">
          <a:extLst>
            <a:ext uri="{FF2B5EF4-FFF2-40B4-BE49-F238E27FC236}">
              <a16:creationId xmlns:a16="http://schemas.microsoft.com/office/drawing/2014/main" id="{53D49E14-BE14-4B36-9A04-9AD2FE5CC4D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7" name="AutoShape 22">
          <a:extLst>
            <a:ext uri="{FF2B5EF4-FFF2-40B4-BE49-F238E27FC236}">
              <a16:creationId xmlns:a16="http://schemas.microsoft.com/office/drawing/2014/main" id="{DFFBFAFD-D586-4F55-87E2-A8E2A08502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8" name="AutoShape 33">
          <a:extLst>
            <a:ext uri="{FF2B5EF4-FFF2-40B4-BE49-F238E27FC236}">
              <a16:creationId xmlns:a16="http://schemas.microsoft.com/office/drawing/2014/main" id="{4A017212-E8E6-4D68-94D7-5418C72656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49" name="AutoShape 22">
          <a:extLst>
            <a:ext uri="{FF2B5EF4-FFF2-40B4-BE49-F238E27FC236}">
              <a16:creationId xmlns:a16="http://schemas.microsoft.com/office/drawing/2014/main" id="{8B6F42BC-AD9E-4FA8-9654-62BA45B8DB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0" name="AutoShape 33">
          <a:extLst>
            <a:ext uri="{FF2B5EF4-FFF2-40B4-BE49-F238E27FC236}">
              <a16:creationId xmlns:a16="http://schemas.microsoft.com/office/drawing/2014/main" id="{78EE15E1-1D93-4629-93E3-6D2E0B4CBB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1" name="AutoShape 22">
          <a:extLst>
            <a:ext uri="{FF2B5EF4-FFF2-40B4-BE49-F238E27FC236}">
              <a16:creationId xmlns:a16="http://schemas.microsoft.com/office/drawing/2014/main" id="{CFD85E63-64CB-487A-B816-384B469C9AF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2" name="AutoShape 33">
          <a:extLst>
            <a:ext uri="{FF2B5EF4-FFF2-40B4-BE49-F238E27FC236}">
              <a16:creationId xmlns:a16="http://schemas.microsoft.com/office/drawing/2014/main" id="{1022FC49-CBCF-498C-9FF8-6ACDAE8E77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3" name="AutoShape 22">
          <a:extLst>
            <a:ext uri="{FF2B5EF4-FFF2-40B4-BE49-F238E27FC236}">
              <a16:creationId xmlns:a16="http://schemas.microsoft.com/office/drawing/2014/main" id="{2D7BAFC7-CC55-45C3-A942-23D712C0B0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4" name="AutoShape 33">
          <a:extLst>
            <a:ext uri="{FF2B5EF4-FFF2-40B4-BE49-F238E27FC236}">
              <a16:creationId xmlns:a16="http://schemas.microsoft.com/office/drawing/2014/main" id="{8DD3FC9A-B89C-40F4-B125-BE956D305B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5" name="AutoShape 22">
          <a:extLst>
            <a:ext uri="{FF2B5EF4-FFF2-40B4-BE49-F238E27FC236}">
              <a16:creationId xmlns:a16="http://schemas.microsoft.com/office/drawing/2014/main" id="{04CA6E13-0EA6-46E9-8025-8DA5BDB3E1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6" name="AutoShape 33">
          <a:extLst>
            <a:ext uri="{FF2B5EF4-FFF2-40B4-BE49-F238E27FC236}">
              <a16:creationId xmlns:a16="http://schemas.microsoft.com/office/drawing/2014/main" id="{04060B33-70BD-473B-A759-94DA189D03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7" name="AutoShape 22">
          <a:extLst>
            <a:ext uri="{FF2B5EF4-FFF2-40B4-BE49-F238E27FC236}">
              <a16:creationId xmlns:a16="http://schemas.microsoft.com/office/drawing/2014/main" id="{35B6112D-E676-40B7-B0A6-166AD642B98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8" name="AutoShape 33">
          <a:extLst>
            <a:ext uri="{FF2B5EF4-FFF2-40B4-BE49-F238E27FC236}">
              <a16:creationId xmlns:a16="http://schemas.microsoft.com/office/drawing/2014/main" id="{0EDF1DB0-6968-477C-AA16-EE759B64BD3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9" name="AutoShape 22">
          <a:extLst>
            <a:ext uri="{FF2B5EF4-FFF2-40B4-BE49-F238E27FC236}">
              <a16:creationId xmlns:a16="http://schemas.microsoft.com/office/drawing/2014/main" id="{EB9D3E89-8695-4F18-BA2E-35FDD0BA18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60" name="AutoShape 33">
          <a:extLst>
            <a:ext uri="{FF2B5EF4-FFF2-40B4-BE49-F238E27FC236}">
              <a16:creationId xmlns:a16="http://schemas.microsoft.com/office/drawing/2014/main" id="{96F0D472-9BB6-4A26-A16F-DEC8982C2E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1" name="AutoShape 22">
          <a:extLst>
            <a:ext uri="{FF2B5EF4-FFF2-40B4-BE49-F238E27FC236}">
              <a16:creationId xmlns:a16="http://schemas.microsoft.com/office/drawing/2014/main" id="{D6A530B6-22BF-4B09-9E0F-88AD4E25F3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2" name="AutoShape 33">
          <a:extLst>
            <a:ext uri="{FF2B5EF4-FFF2-40B4-BE49-F238E27FC236}">
              <a16:creationId xmlns:a16="http://schemas.microsoft.com/office/drawing/2014/main" id="{C438FFCA-D297-493B-A2AD-666C7B8A99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3" name="AutoShape 22">
          <a:extLst>
            <a:ext uri="{FF2B5EF4-FFF2-40B4-BE49-F238E27FC236}">
              <a16:creationId xmlns:a16="http://schemas.microsoft.com/office/drawing/2014/main" id="{16274618-5E45-44E9-8120-E58983F290A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4" name="AutoShape 33">
          <a:extLst>
            <a:ext uri="{FF2B5EF4-FFF2-40B4-BE49-F238E27FC236}">
              <a16:creationId xmlns:a16="http://schemas.microsoft.com/office/drawing/2014/main" id="{CDAEE0D6-32A7-4442-A698-EB968CDCC7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5" name="AutoShape 22">
          <a:extLst>
            <a:ext uri="{FF2B5EF4-FFF2-40B4-BE49-F238E27FC236}">
              <a16:creationId xmlns:a16="http://schemas.microsoft.com/office/drawing/2014/main" id="{E2B3346C-0B19-4878-81AF-7A74B98EDEA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6" name="AutoShape 33">
          <a:extLst>
            <a:ext uri="{FF2B5EF4-FFF2-40B4-BE49-F238E27FC236}">
              <a16:creationId xmlns:a16="http://schemas.microsoft.com/office/drawing/2014/main" id="{4DC46C65-00A6-459E-B4AF-69154FF314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7" name="AutoShape 22">
          <a:extLst>
            <a:ext uri="{FF2B5EF4-FFF2-40B4-BE49-F238E27FC236}">
              <a16:creationId xmlns:a16="http://schemas.microsoft.com/office/drawing/2014/main" id="{56FF92C2-7C56-4A94-96C7-98B3266B83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8" name="AutoShape 33">
          <a:extLst>
            <a:ext uri="{FF2B5EF4-FFF2-40B4-BE49-F238E27FC236}">
              <a16:creationId xmlns:a16="http://schemas.microsoft.com/office/drawing/2014/main" id="{E1145CEF-F27A-492C-AEE2-2DC8601B8F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69" name="AutoShape 22">
          <a:extLst>
            <a:ext uri="{FF2B5EF4-FFF2-40B4-BE49-F238E27FC236}">
              <a16:creationId xmlns:a16="http://schemas.microsoft.com/office/drawing/2014/main" id="{2FF61DFB-6747-4348-B741-C5837B1087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0" name="AutoShape 33">
          <a:extLst>
            <a:ext uri="{FF2B5EF4-FFF2-40B4-BE49-F238E27FC236}">
              <a16:creationId xmlns:a16="http://schemas.microsoft.com/office/drawing/2014/main" id="{85836277-6646-4274-845C-4C7613FCCC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1" name="AutoShape 22">
          <a:extLst>
            <a:ext uri="{FF2B5EF4-FFF2-40B4-BE49-F238E27FC236}">
              <a16:creationId xmlns:a16="http://schemas.microsoft.com/office/drawing/2014/main" id="{793C84E2-0924-4236-99DF-33CD207825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2" name="AutoShape 33">
          <a:extLst>
            <a:ext uri="{FF2B5EF4-FFF2-40B4-BE49-F238E27FC236}">
              <a16:creationId xmlns:a16="http://schemas.microsoft.com/office/drawing/2014/main" id="{14440AB4-A9DA-4059-978C-D95D0DB3CD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3" name="AutoShape 22">
          <a:extLst>
            <a:ext uri="{FF2B5EF4-FFF2-40B4-BE49-F238E27FC236}">
              <a16:creationId xmlns:a16="http://schemas.microsoft.com/office/drawing/2014/main" id="{8ADF12FC-76BA-4D8C-BD23-3AF19679EB1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4" name="AutoShape 33">
          <a:extLst>
            <a:ext uri="{FF2B5EF4-FFF2-40B4-BE49-F238E27FC236}">
              <a16:creationId xmlns:a16="http://schemas.microsoft.com/office/drawing/2014/main" id="{2B0350EC-71E9-480D-A62F-FF89E3C9DE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5" name="AutoShape 22">
          <a:extLst>
            <a:ext uri="{FF2B5EF4-FFF2-40B4-BE49-F238E27FC236}">
              <a16:creationId xmlns:a16="http://schemas.microsoft.com/office/drawing/2014/main" id="{AD3AEC14-E4A7-4E2D-A5C6-1F39BF8D945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6" name="AutoShape 33">
          <a:extLst>
            <a:ext uri="{FF2B5EF4-FFF2-40B4-BE49-F238E27FC236}">
              <a16:creationId xmlns:a16="http://schemas.microsoft.com/office/drawing/2014/main" id="{2FD60CFA-0CA6-4B27-80E8-867E577BA1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7" name="AutoShape 22">
          <a:extLst>
            <a:ext uri="{FF2B5EF4-FFF2-40B4-BE49-F238E27FC236}">
              <a16:creationId xmlns:a16="http://schemas.microsoft.com/office/drawing/2014/main" id="{40E19717-AD83-407A-95B2-8CA6203F04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8" name="AutoShape 33">
          <a:extLst>
            <a:ext uri="{FF2B5EF4-FFF2-40B4-BE49-F238E27FC236}">
              <a16:creationId xmlns:a16="http://schemas.microsoft.com/office/drawing/2014/main" id="{C4C14F7B-8EEA-4BB1-ACC4-4C4C6A8BED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19459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949AE0-264B-DDAB-D972-5CF60D7922E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8</xdr:row>
      <xdr:rowOff>304800</xdr:rowOff>
    </xdr:to>
    <xdr:sp macro="" textlink="">
      <xdr:nvSpPr>
        <xdr:cNvPr id="19460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88F099-6E4F-7150-311F-D9EEDBBB52C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9</xdr:row>
      <xdr:rowOff>304800</xdr:rowOff>
    </xdr:to>
    <xdr:sp macro="" textlink="">
      <xdr:nvSpPr>
        <xdr:cNvPr id="19461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475BEA-6F49-CAA5-BF88-025D2675B5A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10</xdr:row>
      <xdr:rowOff>304800</xdr:rowOff>
    </xdr:to>
    <xdr:sp macro="" textlink="">
      <xdr:nvSpPr>
        <xdr:cNvPr id="19462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067B7E-DB9C-B651-CA8C-E29CDD6EA25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11</xdr:row>
      <xdr:rowOff>304800</xdr:rowOff>
    </xdr:to>
    <xdr:sp macro="" textlink="">
      <xdr:nvSpPr>
        <xdr:cNvPr id="19463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2C1FEC7-5D84-F792-3699-01FF258F61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12</xdr:row>
      <xdr:rowOff>304800</xdr:rowOff>
    </xdr:to>
    <xdr:sp macro="" textlink="">
      <xdr:nvSpPr>
        <xdr:cNvPr id="19464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1595798-0681-5156-5242-B224873327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13</xdr:row>
      <xdr:rowOff>304800</xdr:rowOff>
    </xdr:to>
    <xdr:sp macro="" textlink="">
      <xdr:nvSpPr>
        <xdr:cNvPr id="19465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0691AA-B233-9266-01E5-2A05C63044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14</xdr:row>
      <xdr:rowOff>304800</xdr:rowOff>
    </xdr:to>
    <xdr:sp macro="" textlink="">
      <xdr:nvSpPr>
        <xdr:cNvPr id="19466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16B0937-28E7-6D99-7DE4-DC70BDD9FB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15</xdr:row>
      <xdr:rowOff>304800</xdr:rowOff>
    </xdr:to>
    <xdr:sp macro="" textlink="">
      <xdr:nvSpPr>
        <xdr:cNvPr id="19467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EBF1DF1-B77F-2C85-9116-F315A09275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16</xdr:row>
      <xdr:rowOff>304800</xdr:rowOff>
    </xdr:to>
    <xdr:sp macro="" textlink="">
      <xdr:nvSpPr>
        <xdr:cNvPr id="19468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509B099-1C85-0253-0092-40DD1F9805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17</xdr:row>
      <xdr:rowOff>304800</xdr:rowOff>
    </xdr:to>
    <xdr:sp macro="" textlink="">
      <xdr:nvSpPr>
        <xdr:cNvPr id="19469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837C87C-D85A-9EF9-4A68-3F7C4DC629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18</xdr:row>
      <xdr:rowOff>304800</xdr:rowOff>
    </xdr:to>
    <xdr:sp macro="" textlink="">
      <xdr:nvSpPr>
        <xdr:cNvPr id="19470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6378932-BB8E-8722-F7C9-838624F0B40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19</xdr:row>
      <xdr:rowOff>304800</xdr:rowOff>
    </xdr:to>
    <xdr:sp macro="" textlink="">
      <xdr:nvSpPr>
        <xdr:cNvPr id="19471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D5F2722-DD6A-D2E2-577F-0B82CA2D66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20</xdr:row>
      <xdr:rowOff>304800</xdr:rowOff>
    </xdr:to>
    <xdr:sp macro="" textlink="">
      <xdr:nvSpPr>
        <xdr:cNvPr id="19472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171AEA8-3CCA-3101-AEC0-E3F5224870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21</xdr:row>
      <xdr:rowOff>304800</xdr:rowOff>
    </xdr:to>
    <xdr:sp macro="" textlink="">
      <xdr:nvSpPr>
        <xdr:cNvPr id="19473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AF07D4F-5452-D308-B7F0-EC6907AE38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22</xdr:row>
      <xdr:rowOff>304800</xdr:rowOff>
    </xdr:to>
    <xdr:sp macro="" textlink="">
      <xdr:nvSpPr>
        <xdr:cNvPr id="19474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86EBA50-7798-DD59-C28D-72C31CADE2C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23</xdr:row>
      <xdr:rowOff>304800</xdr:rowOff>
    </xdr:to>
    <xdr:sp macro="" textlink="">
      <xdr:nvSpPr>
        <xdr:cNvPr id="19475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CB2E09B-E6AA-E39A-5C5F-FDE3807C68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24</xdr:row>
      <xdr:rowOff>304800</xdr:rowOff>
    </xdr:to>
    <xdr:sp macro="" textlink="">
      <xdr:nvSpPr>
        <xdr:cNvPr id="19476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ECD52F2-D958-83DD-F4A6-6EB26BD8767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25</xdr:row>
      <xdr:rowOff>304800</xdr:rowOff>
    </xdr:to>
    <xdr:sp macro="" textlink="">
      <xdr:nvSpPr>
        <xdr:cNvPr id="19477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DB4D8DC-A095-A19C-DE4B-7EAF1F5D30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26</xdr:row>
      <xdr:rowOff>304800</xdr:rowOff>
    </xdr:to>
    <xdr:sp macro="" textlink="">
      <xdr:nvSpPr>
        <xdr:cNvPr id="19478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B1C990A-1EB7-0F8D-8616-0CA4FA5635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27</xdr:row>
      <xdr:rowOff>304800</xdr:rowOff>
    </xdr:to>
    <xdr:sp macro="" textlink="">
      <xdr:nvSpPr>
        <xdr:cNvPr id="19479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13B0B87-7FBB-59E8-8C62-DEBD47138B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28</xdr:row>
      <xdr:rowOff>304800</xdr:rowOff>
    </xdr:to>
    <xdr:sp macro="" textlink="">
      <xdr:nvSpPr>
        <xdr:cNvPr id="19480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A935989B-CC08-DCF1-6282-A8B403CE997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29</xdr:row>
      <xdr:rowOff>304800</xdr:rowOff>
    </xdr:to>
    <xdr:sp macro="" textlink="">
      <xdr:nvSpPr>
        <xdr:cNvPr id="19481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158A8C3-6F42-6F23-1784-A2BA26D9D3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30</xdr:row>
      <xdr:rowOff>304800</xdr:rowOff>
    </xdr:to>
    <xdr:sp macro="" textlink="">
      <xdr:nvSpPr>
        <xdr:cNvPr id="19482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9F6A884-1F07-13B0-09F4-4B1A44E7765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31</xdr:row>
      <xdr:rowOff>304800</xdr:rowOff>
    </xdr:to>
    <xdr:sp macro="" textlink="">
      <xdr:nvSpPr>
        <xdr:cNvPr id="19483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E655F803-01AA-F7A1-8701-77541EC61C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32</xdr:row>
      <xdr:rowOff>304800</xdr:rowOff>
    </xdr:to>
    <xdr:sp macro="" textlink="">
      <xdr:nvSpPr>
        <xdr:cNvPr id="19484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AC0E07-F1BA-1125-340B-226F2D8FAE2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33</xdr:row>
      <xdr:rowOff>304800</xdr:rowOff>
    </xdr:to>
    <xdr:sp macro="" textlink="">
      <xdr:nvSpPr>
        <xdr:cNvPr id="19485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9812ED7-4C92-C743-5ED8-2DFEFFC908A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34</xdr:row>
      <xdr:rowOff>304800</xdr:rowOff>
    </xdr:to>
    <xdr:sp macro="" textlink="">
      <xdr:nvSpPr>
        <xdr:cNvPr id="19486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530C3FE4-8A93-8949-FD3F-E703493428F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35</xdr:row>
      <xdr:rowOff>304800</xdr:rowOff>
    </xdr:to>
    <xdr:sp macro="" textlink="">
      <xdr:nvSpPr>
        <xdr:cNvPr id="19487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B275013-12E5-06B0-BC51-6B9F77C5C2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36</xdr:row>
      <xdr:rowOff>304800</xdr:rowOff>
    </xdr:to>
    <xdr:sp macro="" textlink="">
      <xdr:nvSpPr>
        <xdr:cNvPr id="19488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2E0D4E54-72E6-E0CD-9164-8F7FA02475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37</xdr:row>
      <xdr:rowOff>304800</xdr:rowOff>
    </xdr:to>
    <xdr:sp macro="" textlink="">
      <xdr:nvSpPr>
        <xdr:cNvPr id="19489" name="AutoShape 33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0ADC29C-DD42-61F5-7418-8E0AEBD55B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38</xdr:row>
      <xdr:rowOff>304800</xdr:rowOff>
    </xdr:to>
    <xdr:sp macro="" textlink="">
      <xdr:nvSpPr>
        <xdr:cNvPr id="19490" name="AutoShape 34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32C707C6-81D0-6CCF-AE7C-F54B2ACE74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39</xdr:row>
      <xdr:rowOff>304800</xdr:rowOff>
    </xdr:to>
    <xdr:sp macro="" textlink="">
      <xdr:nvSpPr>
        <xdr:cNvPr id="19491" name="AutoShape 35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0BF2C5C-C969-CB2C-5695-B837C0D6C4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40</xdr:row>
      <xdr:rowOff>304800</xdr:rowOff>
    </xdr:to>
    <xdr:sp macro="" textlink="">
      <xdr:nvSpPr>
        <xdr:cNvPr id="19492" name="AutoShape 36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9FF87AF9-F4AD-40E0-F843-8C1C8566A53F}"/>
            </a:ext>
          </a:extLst>
        </xdr:cNvPr>
        <xdr:cNvSpPr>
          <a:spLocks noChangeAspect="1" noChangeArrowheads="1"/>
        </xdr:cNvSpPr>
      </xdr:nvSpPr>
      <xdr:spPr bwMode="auto">
        <a:xfrm>
          <a:off x="17145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41</xdr:row>
      <xdr:rowOff>304800</xdr:rowOff>
    </xdr:to>
    <xdr:sp macro="" textlink="">
      <xdr:nvSpPr>
        <xdr:cNvPr id="19493" name="AutoShape 37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480BF9B-70BD-5B2E-8830-0C4AAF7EFBF0}"/>
            </a:ext>
          </a:extLst>
        </xdr:cNvPr>
        <xdr:cNvSpPr>
          <a:spLocks noChangeAspect="1" noChangeArrowheads="1"/>
        </xdr:cNvSpPr>
      </xdr:nvSpPr>
      <xdr:spPr bwMode="auto">
        <a:xfrm>
          <a:off x="17145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42</xdr:row>
      <xdr:rowOff>304800</xdr:rowOff>
    </xdr:to>
    <xdr:sp macro="" textlink="">
      <xdr:nvSpPr>
        <xdr:cNvPr id="19494" name="AutoShape 38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38D4C72A-40B1-A10E-8E97-E35C0F6E28C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43</xdr:row>
      <xdr:rowOff>304800</xdr:rowOff>
    </xdr:to>
    <xdr:sp macro="" textlink="">
      <xdr:nvSpPr>
        <xdr:cNvPr id="19495" name="AutoShape 39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F585BC3F-FCA5-5ECD-F0B9-48DAD6FBAE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44</xdr:row>
      <xdr:rowOff>304800</xdr:rowOff>
    </xdr:to>
    <xdr:sp macro="" textlink="">
      <xdr:nvSpPr>
        <xdr:cNvPr id="19496" name="AutoShape 40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513D951-1D5B-0EDD-36EB-27B5BF722E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45</xdr:row>
      <xdr:rowOff>304800</xdr:rowOff>
    </xdr:to>
    <xdr:sp macro="" textlink="">
      <xdr:nvSpPr>
        <xdr:cNvPr id="19497" name="AutoShape 41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80407CC0-E3B4-F3EE-F90D-6BEE1A24D2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46</xdr:row>
      <xdr:rowOff>304800</xdr:rowOff>
    </xdr:to>
    <xdr:sp macro="" textlink="">
      <xdr:nvSpPr>
        <xdr:cNvPr id="19498" name="AutoShape 42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55C7D580-B586-48FC-E642-E480DB097A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47</xdr:row>
      <xdr:rowOff>304800</xdr:rowOff>
    </xdr:to>
    <xdr:sp macro="" textlink="">
      <xdr:nvSpPr>
        <xdr:cNvPr id="19499" name="AutoShape 43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786C12E-CF59-1D8A-CD1C-6D15720879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48</xdr:row>
      <xdr:rowOff>304800</xdr:rowOff>
    </xdr:to>
    <xdr:sp macro="" textlink="">
      <xdr:nvSpPr>
        <xdr:cNvPr id="19500" name="AutoShape 44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5526275-B182-E7C7-E68E-B3C7CF973AAB}"/>
            </a:ext>
          </a:extLst>
        </xdr:cNvPr>
        <xdr:cNvSpPr>
          <a:spLocks noChangeAspect="1" noChangeArrowheads="1"/>
        </xdr:cNvSpPr>
      </xdr:nvSpPr>
      <xdr:spPr bwMode="auto">
        <a:xfrm>
          <a:off x="17145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49</xdr:row>
      <xdr:rowOff>304800</xdr:rowOff>
    </xdr:to>
    <xdr:sp macro="" textlink="">
      <xdr:nvSpPr>
        <xdr:cNvPr id="19501" name="AutoShape 45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14EC5DB8-3108-FB71-57FD-624183F448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50</xdr:row>
      <xdr:rowOff>304800</xdr:rowOff>
    </xdr:to>
    <xdr:sp macro="" textlink="">
      <xdr:nvSpPr>
        <xdr:cNvPr id="19502" name="AutoShape 46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5C2A850C-A229-9D63-FF34-B1E0BF6070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51</xdr:row>
      <xdr:rowOff>304800</xdr:rowOff>
    </xdr:to>
    <xdr:sp macro="" textlink="">
      <xdr:nvSpPr>
        <xdr:cNvPr id="19503" name="AutoShape 47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9F147E0F-31AA-F98B-982F-2A646B0B13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52</xdr:row>
      <xdr:rowOff>304800</xdr:rowOff>
    </xdr:to>
    <xdr:sp macro="" textlink="">
      <xdr:nvSpPr>
        <xdr:cNvPr id="19504" name="AutoShape 48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5B32C0ED-B6F5-335C-B2A3-868B519E63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53</xdr:row>
      <xdr:rowOff>304800</xdr:rowOff>
    </xdr:to>
    <xdr:sp macro="" textlink="">
      <xdr:nvSpPr>
        <xdr:cNvPr id="19505" name="AutoShape 49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2397CC4B-2500-B660-6233-6AF77247ED4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54</xdr:row>
      <xdr:rowOff>304800</xdr:rowOff>
    </xdr:to>
    <xdr:sp macro="" textlink="">
      <xdr:nvSpPr>
        <xdr:cNvPr id="19506" name="AutoShape 50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8E897BBF-0CD7-1C34-56B6-BBAB7B9107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55</xdr:row>
      <xdr:rowOff>304800</xdr:rowOff>
    </xdr:to>
    <xdr:sp macro="" textlink="">
      <xdr:nvSpPr>
        <xdr:cNvPr id="19507" name="AutoShape 51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63D8DBED-2997-E909-3787-370E1BEA3A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56</xdr:row>
      <xdr:rowOff>304800</xdr:rowOff>
    </xdr:to>
    <xdr:sp macro="" textlink="">
      <xdr:nvSpPr>
        <xdr:cNvPr id="19508" name="AutoShape 52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7E239D49-B150-1A43-0039-480724DE6D4A}"/>
            </a:ext>
          </a:extLst>
        </xdr:cNvPr>
        <xdr:cNvSpPr>
          <a:spLocks noChangeAspect="1" noChangeArrowheads="1"/>
        </xdr:cNvSpPr>
      </xdr:nvSpPr>
      <xdr:spPr bwMode="auto">
        <a:xfrm>
          <a:off x="17145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57</xdr:row>
      <xdr:rowOff>304800</xdr:rowOff>
    </xdr:to>
    <xdr:sp macro="" textlink="">
      <xdr:nvSpPr>
        <xdr:cNvPr id="19509" name="AutoShape 53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19C87782-8203-1709-39BB-2CB4186245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58</xdr:row>
      <xdr:rowOff>304800</xdr:rowOff>
    </xdr:to>
    <xdr:sp macro="" textlink="">
      <xdr:nvSpPr>
        <xdr:cNvPr id="19510" name="AutoShape 54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3216ED53-2587-DE7C-D695-240F0CA7F5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59</xdr:row>
      <xdr:rowOff>304800</xdr:rowOff>
    </xdr:to>
    <xdr:sp macro="" textlink="">
      <xdr:nvSpPr>
        <xdr:cNvPr id="19511" name="AutoShape 55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875A4ADF-D025-36C4-53C2-266B3DD46D1D}"/>
            </a:ext>
          </a:extLst>
        </xdr:cNvPr>
        <xdr:cNvSpPr>
          <a:spLocks noChangeAspect="1" noChangeArrowheads="1"/>
        </xdr:cNvSpPr>
      </xdr:nvSpPr>
      <xdr:spPr bwMode="auto">
        <a:xfrm>
          <a:off x="17145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60</xdr:row>
      <xdr:rowOff>304800</xdr:rowOff>
    </xdr:to>
    <xdr:sp macro="" textlink="">
      <xdr:nvSpPr>
        <xdr:cNvPr id="19512" name="AutoShape 56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EFCCFE-A6A3-34E9-0D32-B37B5C6086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61</xdr:row>
      <xdr:rowOff>304800</xdr:rowOff>
    </xdr:to>
    <xdr:sp macro="" textlink="">
      <xdr:nvSpPr>
        <xdr:cNvPr id="19513" name="AutoShape 57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129363C2-1506-E501-1EF3-0CADE2D97E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62</xdr:row>
      <xdr:rowOff>304800</xdr:rowOff>
    </xdr:to>
    <xdr:sp macro="" textlink="">
      <xdr:nvSpPr>
        <xdr:cNvPr id="19514" name="AutoShape 58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D9E291B4-C726-ECB7-4BD2-2291213B86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63</xdr:row>
      <xdr:rowOff>304800</xdr:rowOff>
    </xdr:to>
    <xdr:sp macro="" textlink="">
      <xdr:nvSpPr>
        <xdr:cNvPr id="19515" name="AutoShape 59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9026C374-F158-59CD-4E26-378E80E7F0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64</xdr:row>
      <xdr:rowOff>304800</xdr:rowOff>
    </xdr:to>
    <xdr:sp macro="" textlink="">
      <xdr:nvSpPr>
        <xdr:cNvPr id="19516" name="AutoShape 60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2848D85A-F2C0-9FFB-4CE1-4687B8063C2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65</xdr:row>
      <xdr:rowOff>304800</xdr:rowOff>
    </xdr:to>
    <xdr:sp macro="" textlink="">
      <xdr:nvSpPr>
        <xdr:cNvPr id="19517" name="AutoShape 61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39981712-2CD6-C3F0-CC8A-A73D8C43E7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66</xdr:row>
      <xdr:rowOff>304800</xdr:rowOff>
    </xdr:to>
    <xdr:sp macro="" textlink="">
      <xdr:nvSpPr>
        <xdr:cNvPr id="19518" name="AutoShape 62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2054AE62-388B-1D04-4BDB-C62E2DBD83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67</xdr:row>
      <xdr:rowOff>304800</xdr:rowOff>
    </xdr:to>
    <xdr:sp macro="" textlink="">
      <xdr:nvSpPr>
        <xdr:cNvPr id="19519" name="AutoShape 63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DE254B51-A642-7CEC-BA86-6E9141FEC2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68</xdr:row>
      <xdr:rowOff>304800</xdr:rowOff>
    </xdr:to>
    <xdr:sp macro="" textlink="">
      <xdr:nvSpPr>
        <xdr:cNvPr id="19520" name="AutoShape 64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2D7DE386-5E99-EA43-42FA-18CCCAAA19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69</xdr:row>
      <xdr:rowOff>304800</xdr:rowOff>
    </xdr:to>
    <xdr:sp macro="" textlink="">
      <xdr:nvSpPr>
        <xdr:cNvPr id="19521" name="AutoShape 65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D7EFFC0F-E878-5F09-A1B8-5F05BF40CC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70</xdr:row>
      <xdr:rowOff>304800</xdr:rowOff>
    </xdr:to>
    <xdr:sp macro="" textlink="">
      <xdr:nvSpPr>
        <xdr:cNvPr id="19522" name="AutoShape 66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A4712587-8836-F573-0548-6DE1DFE660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71</xdr:row>
      <xdr:rowOff>304800</xdr:rowOff>
    </xdr:to>
    <xdr:sp macro="" textlink="">
      <xdr:nvSpPr>
        <xdr:cNvPr id="19523" name="AutoShape 67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5A05D952-B040-5802-D738-29417B93090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72</xdr:row>
      <xdr:rowOff>304800</xdr:rowOff>
    </xdr:to>
    <xdr:sp macro="" textlink="">
      <xdr:nvSpPr>
        <xdr:cNvPr id="19524" name="AutoShape 68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14218203-C348-135F-050D-12252E437E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73</xdr:row>
      <xdr:rowOff>304800</xdr:rowOff>
    </xdr:to>
    <xdr:sp macro="" textlink="">
      <xdr:nvSpPr>
        <xdr:cNvPr id="19525" name="AutoShape 69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5BBD63A1-FB55-2C66-C3A8-87662BC4577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74</xdr:row>
      <xdr:rowOff>304800</xdr:rowOff>
    </xdr:to>
    <xdr:sp macro="" textlink="">
      <xdr:nvSpPr>
        <xdr:cNvPr id="19526" name="AutoShape 70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910DE49-8186-668A-0FE3-D7A6D9BF65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75</xdr:row>
      <xdr:rowOff>304800</xdr:rowOff>
    </xdr:to>
    <xdr:sp macro="" textlink="">
      <xdr:nvSpPr>
        <xdr:cNvPr id="19527" name="AutoShape 71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8DA3D8CD-8DEB-6555-FAA6-7D9E63F35C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76</xdr:row>
      <xdr:rowOff>304800</xdr:rowOff>
    </xdr:to>
    <xdr:sp macro="" textlink="">
      <xdr:nvSpPr>
        <xdr:cNvPr id="19528" name="AutoShape 72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F79F2169-5D43-83AC-DCB8-3D522A355B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77</xdr:row>
      <xdr:rowOff>304800</xdr:rowOff>
    </xdr:to>
    <xdr:sp macro="" textlink="">
      <xdr:nvSpPr>
        <xdr:cNvPr id="19529" name="AutoShape 73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2063989B-BA97-1812-DB74-FBB18035084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78</xdr:row>
      <xdr:rowOff>304800</xdr:rowOff>
    </xdr:to>
    <xdr:sp macro="" textlink="">
      <xdr:nvSpPr>
        <xdr:cNvPr id="19530" name="AutoShape 74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77A0D7D8-AB6B-0BFB-8A65-9BFB6375563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79</xdr:row>
      <xdr:rowOff>304800</xdr:rowOff>
    </xdr:to>
    <xdr:sp macro="" textlink="">
      <xdr:nvSpPr>
        <xdr:cNvPr id="19531" name="AutoShape 75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7553D6D6-B505-B29F-386B-511181684B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80</xdr:row>
      <xdr:rowOff>304800</xdr:rowOff>
    </xdr:to>
    <xdr:sp macro="" textlink="">
      <xdr:nvSpPr>
        <xdr:cNvPr id="19532" name="AutoShape 76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25057DC9-C544-7725-A300-9476370468B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81</xdr:row>
      <xdr:rowOff>304800</xdr:rowOff>
    </xdr:to>
    <xdr:sp macro="" textlink="">
      <xdr:nvSpPr>
        <xdr:cNvPr id="19533" name="AutoShape 77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C0031A4A-4431-B47B-3B92-190CB4472C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82</xdr:row>
      <xdr:rowOff>304800</xdr:rowOff>
    </xdr:to>
    <xdr:sp macro="" textlink="">
      <xdr:nvSpPr>
        <xdr:cNvPr id="19534" name="AutoShape 78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C56E01E1-A554-9B87-061B-0762A19590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83</xdr:row>
      <xdr:rowOff>304800</xdr:rowOff>
    </xdr:to>
    <xdr:sp macro="" textlink="">
      <xdr:nvSpPr>
        <xdr:cNvPr id="19535" name="AutoShape 79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61DE46D9-7A4E-28DE-8416-3D8578A361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84</xdr:row>
      <xdr:rowOff>304800</xdr:rowOff>
    </xdr:to>
    <xdr:sp macro="" textlink="">
      <xdr:nvSpPr>
        <xdr:cNvPr id="19536" name="AutoShape 80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E4B2DD44-1566-4658-2E2F-8579DE83DDE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85</xdr:row>
      <xdr:rowOff>304800</xdr:rowOff>
    </xdr:to>
    <xdr:sp macro="" textlink="">
      <xdr:nvSpPr>
        <xdr:cNvPr id="19537" name="AutoShape 81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C3B90377-4F66-0033-B560-6A468D1D27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86</xdr:row>
      <xdr:rowOff>304800</xdr:rowOff>
    </xdr:to>
    <xdr:sp macro="" textlink="">
      <xdr:nvSpPr>
        <xdr:cNvPr id="19538" name="AutoShape 82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7E4D1A7A-1960-0B8B-2B5F-60962F4CB7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87</xdr:row>
      <xdr:rowOff>304800</xdr:rowOff>
    </xdr:to>
    <xdr:sp macro="" textlink="">
      <xdr:nvSpPr>
        <xdr:cNvPr id="19539" name="AutoShape 83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A0435B91-963E-B91D-6A54-061C2879420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88</xdr:row>
      <xdr:rowOff>304800</xdr:rowOff>
    </xdr:to>
    <xdr:sp macro="" textlink="">
      <xdr:nvSpPr>
        <xdr:cNvPr id="19540" name="AutoShape 84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FB9C8BFE-D98C-720D-28B0-E421A90BBD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89</xdr:row>
      <xdr:rowOff>304800</xdr:rowOff>
    </xdr:to>
    <xdr:sp macro="" textlink="">
      <xdr:nvSpPr>
        <xdr:cNvPr id="19541" name="AutoShape 85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26F9FCB0-A8FC-E8C5-1971-79C71D347EE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90</xdr:row>
      <xdr:rowOff>304800</xdr:rowOff>
    </xdr:to>
    <xdr:sp macro="" textlink="">
      <xdr:nvSpPr>
        <xdr:cNvPr id="19542" name="AutoShape 86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7F10ECC5-0C65-431B-5620-33843BAA7B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91</xdr:row>
      <xdr:rowOff>304800</xdr:rowOff>
    </xdr:to>
    <xdr:sp macro="" textlink="">
      <xdr:nvSpPr>
        <xdr:cNvPr id="19543" name="AutoShape 87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C9FEFFEA-1413-E56C-8D60-3C64710768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92</xdr:row>
      <xdr:rowOff>304800</xdr:rowOff>
    </xdr:to>
    <xdr:sp macro="" textlink="">
      <xdr:nvSpPr>
        <xdr:cNvPr id="19544" name="AutoShape 88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7D92AA1D-4996-272A-AA41-D164CBC6A67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93</xdr:row>
      <xdr:rowOff>304800</xdr:rowOff>
    </xdr:to>
    <xdr:sp macro="" textlink="">
      <xdr:nvSpPr>
        <xdr:cNvPr id="19545" name="AutoShape 89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CFF8478B-2C23-2BAF-E518-B7DB7FF481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94</xdr:row>
      <xdr:rowOff>304800</xdr:rowOff>
    </xdr:to>
    <xdr:sp macro="" textlink="">
      <xdr:nvSpPr>
        <xdr:cNvPr id="19546" name="AutoShape 90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DE680005-1030-BB54-1356-85EC321217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95</xdr:row>
      <xdr:rowOff>304800</xdr:rowOff>
    </xdr:to>
    <xdr:sp macro="" textlink="">
      <xdr:nvSpPr>
        <xdr:cNvPr id="19547" name="AutoShape 91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6F84E869-CA70-E192-2912-520F9B095B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96</xdr:row>
      <xdr:rowOff>304800</xdr:rowOff>
    </xdr:to>
    <xdr:sp macro="" textlink="">
      <xdr:nvSpPr>
        <xdr:cNvPr id="19548" name="AutoShape 92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26AFE48C-5996-9A99-33B7-C23A1C157E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97</xdr:row>
      <xdr:rowOff>304800</xdr:rowOff>
    </xdr:to>
    <xdr:sp macro="" textlink="">
      <xdr:nvSpPr>
        <xdr:cNvPr id="19549" name="AutoShape 93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94F2BFE3-E9FC-9D23-4977-D2F54D37F38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98</xdr:row>
      <xdr:rowOff>304800</xdr:rowOff>
    </xdr:to>
    <xdr:sp macro="" textlink="">
      <xdr:nvSpPr>
        <xdr:cNvPr id="19550" name="AutoShape 94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27657AA0-323B-E836-5B75-98E492ED51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99</xdr:row>
      <xdr:rowOff>304800</xdr:rowOff>
    </xdr:to>
    <xdr:sp macro="" textlink="">
      <xdr:nvSpPr>
        <xdr:cNvPr id="19551" name="AutoShape 95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64E9B2C2-29A1-3690-11A7-B9D20C879C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100</xdr:row>
      <xdr:rowOff>304800</xdr:rowOff>
    </xdr:to>
    <xdr:sp macro="" textlink="">
      <xdr:nvSpPr>
        <xdr:cNvPr id="19552" name="AutoShape 96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E2D86D95-C118-B3EA-F6FB-D59372B5D8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101</xdr:row>
      <xdr:rowOff>304800</xdr:rowOff>
    </xdr:to>
    <xdr:sp macro="" textlink="">
      <xdr:nvSpPr>
        <xdr:cNvPr id="19553" name="AutoShape 97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4F582F4A-8E66-B5EA-D49C-6EA6629B56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102</xdr:row>
      <xdr:rowOff>304800</xdr:rowOff>
    </xdr:to>
    <xdr:sp macro="" textlink="">
      <xdr:nvSpPr>
        <xdr:cNvPr id="19554" name="AutoShape 98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89D7BB0-66AA-BFB6-CB44-627F39193AE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103</xdr:row>
      <xdr:rowOff>304800</xdr:rowOff>
    </xdr:to>
    <xdr:sp macro="" textlink="">
      <xdr:nvSpPr>
        <xdr:cNvPr id="19555" name="AutoShape 99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4BA4BC2E-AC70-8E1E-A47B-A6BE3C34B7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104</xdr:row>
      <xdr:rowOff>304800</xdr:rowOff>
    </xdr:to>
    <xdr:sp macro="" textlink="">
      <xdr:nvSpPr>
        <xdr:cNvPr id="19556" name="AutoShape 100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DB273380-097F-3F0F-0075-F1A1F96D7F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105</xdr:row>
      <xdr:rowOff>304800</xdr:rowOff>
    </xdr:to>
    <xdr:sp macro="" textlink="">
      <xdr:nvSpPr>
        <xdr:cNvPr id="19557" name="AutoShape 101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6881B969-DDAD-424E-24E4-F9B11C2F07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106</xdr:row>
      <xdr:rowOff>304800</xdr:rowOff>
    </xdr:to>
    <xdr:sp macro="" textlink="">
      <xdr:nvSpPr>
        <xdr:cNvPr id="19558" name="AutoShape 102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93C44252-8242-104A-C896-912E85627B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107</xdr:row>
      <xdr:rowOff>304800</xdr:rowOff>
    </xdr:to>
    <xdr:sp macro="" textlink="">
      <xdr:nvSpPr>
        <xdr:cNvPr id="19559" name="AutoShape 103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58842298-C0B6-F04F-CD25-9D20B4304D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108</xdr:row>
      <xdr:rowOff>304800</xdr:rowOff>
    </xdr:to>
    <xdr:sp macro="" textlink="">
      <xdr:nvSpPr>
        <xdr:cNvPr id="19560" name="AutoShape 104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E5B598F9-0D7C-42C6-1406-438A188A38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109</xdr:row>
      <xdr:rowOff>304800</xdr:rowOff>
    </xdr:to>
    <xdr:sp macro="" textlink="">
      <xdr:nvSpPr>
        <xdr:cNvPr id="19561" name="AutoShape 105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7E652FEC-B013-EC57-7F58-300E54EDB6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110</xdr:row>
      <xdr:rowOff>304800</xdr:rowOff>
    </xdr:to>
    <xdr:sp macro="" textlink="">
      <xdr:nvSpPr>
        <xdr:cNvPr id="19562" name="AutoShape 106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70C36561-90D9-88E3-F632-E79832F254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111</xdr:row>
      <xdr:rowOff>304800</xdr:rowOff>
    </xdr:to>
    <xdr:sp macro="" textlink="">
      <xdr:nvSpPr>
        <xdr:cNvPr id="19563" name="AutoShape 107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6CFE64EF-FA3B-2CC2-DC7E-64A1FDDFC4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112</xdr:row>
      <xdr:rowOff>304800</xdr:rowOff>
    </xdr:to>
    <xdr:sp macro="" textlink="">
      <xdr:nvSpPr>
        <xdr:cNvPr id="19564" name="AutoShape 108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4B24ABCE-4F7D-44A1-CF1C-BBD7A8B64C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113</xdr:row>
      <xdr:rowOff>304800</xdr:rowOff>
    </xdr:to>
    <xdr:sp macro="" textlink="">
      <xdr:nvSpPr>
        <xdr:cNvPr id="19565" name="AutoShape 109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32C83AC5-E33D-04DB-B06C-86DD40EA3C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114</xdr:row>
      <xdr:rowOff>304800</xdr:rowOff>
    </xdr:to>
    <xdr:sp macro="" textlink="">
      <xdr:nvSpPr>
        <xdr:cNvPr id="19566" name="AutoShape 110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1C4CD64D-2DCB-1622-08B3-242C349E9F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115</xdr:row>
      <xdr:rowOff>304800</xdr:rowOff>
    </xdr:to>
    <xdr:sp macro="" textlink="">
      <xdr:nvSpPr>
        <xdr:cNvPr id="19567" name="AutoShape 111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3AD429C1-8D2E-4AF8-3E7D-CE631D3967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116</xdr:row>
      <xdr:rowOff>304800</xdr:rowOff>
    </xdr:to>
    <xdr:sp macro="" textlink="">
      <xdr:nvSpPr>
        <xdr:cNvPr id="19568" name="AutoShape 112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4E9A07D9-2E0D-1EF1-0D1B-C93DF42A0F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117</xdr:row>
      <xdr:rowOff>304800</xdr:rowOff>
    </xdr:to>
    <xdr:sp macro="" textlink="">
      <xdr:nvSpPr>
        <xdr:cNvPr id="19569" name="AutoShape 113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B86A1856-8EC6-5C81-0DA6-C2776A55A6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118</xdr:row>
      <xdr:rowOff>304800</xdr:rowOff>
    </xdr:to>
    <xdr:sp macro="" textlink="">
      <xdr:nvSpPr>
        <xdr:cNvPr id="19570" name="AutoShape 114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440F8D08-DBB6-6F21-B316-D7FEA41F44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119</xdr:row>
      <xdr:rowOff>304800</xdr:rowOff>
    </xdr:to>
    <xdr:sp macro="" textlink="">
      <xdr:nvSpPr>
        <xdr:cNvPr id="19571" name="AutoShape 115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3F9CAFE7-4B6F-A6D4-1AAA-E83B94BEA2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120</xdr:row>
      <xdr:rowOff>304800</xdr:rowOff>
    </xdr:to>
    <xdr:sp macro="" textlink="">
      <xdr:nvSpPr>
        <xdr:cNvPr id="19572" name="AutoShape 116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33E4A21C-8834-37DB-5B6C-0378F14E4C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121</xdr:row>
      <xdr:rowOff>304800</xdr:rowOff>
    </xdr:to>
    <xdr:sp macro="" textlink="">
      <xdr:nvSpPr>
        <xdr:cNvPr id="19573" name="AutoShape 117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C5D7D433-3F77-3621-6614-276EE4B0A4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122</xdr:row>
      <xdr:rowOff>304800</xdr:rowOff>
    </xdr:to>
    <xdr:sp macro="" textlink="">
      <xdr:nvSpPr>
        <xdr:cNvPr id="19574" name="AutoShape 118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34863452-C7B3-B659-FF57-3E0F2F53E8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123</xdr:row>
      <xdr:rowOff>304800</xdr:rowOff>
    </xdr:to>
    <xdr:sp macro="" textlink="">
      <xdr:nvSpPr>
        <xdr:cNvPr id="19575" name="AutoShape 119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BFB61C01-3B18-D64D-5B19-BA7D0D8DFC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124</xdr:row>
      <xdr:rowOff>304800</xdr:rowOff>
    </xdr:to>
    <xdr:sp macro="" textlink="">
      <xdr:nvSpPr>
        <xdr:cNvPr id="19576" name="AutoShape 120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A5150CB1-17CF-B1E0-8B87-EEF2424F92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125</xdr:row>
      <xdr:rowOff>304800</xdr:rowOff>
    </xdr:to>
    <xdr:sp macro="" textlink="">
      <xdr:nvSpPr>
        <xdr:cNvPr id="19577" name="AutoShape 121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A08199AB-8779-9D74-683B-21814DA3D4F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126</xdr:row>
      <xdr:rowOff>304800</xdr:rowOff>
    </xdr:to>
    <xdr:sp macro="" textlink="">
      <xdr:nvSpPr>
        <xdr:cNvPr id="19578" name="AutoShape 122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06155CD0-56CA-030C-D94A-B15A57CAD8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127</xdr:row>
      <xdr:rowOff>304800</xdr:rowOff>
    </xdr:to>
    <xdr:sp macro="" textlink="">
      <xdr:nvSpPr>
        <xdr:cNvPr id="19579" name="AutoShape 123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9B4902ED-5CA4-427B-E25C-D30C66CE22D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128</xdr:row>
      <xdr:rowOff>304800</xdr:rowOff>
    </xdr:to>
    <xdr:sp macro="" textlink="">
      <xdr:nvSpPr>
        <xdr:cNvPr id="19580" name="AutoShape 124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963994A8-8076-4CAB-DB8B-F249ABC32C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129</xdr:row>
      <xdr:rowOff>304800</xdr:rowOff>
    </xdr:to>
    <xdr:sp macro="" textlink="">
      <xdr:nvSpPr>
        <xdr:cNvPr id="19581" name="AutoShape 125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CBCCBC9F-3A7F-DBC4-7880-78FD5BDE9B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130</xdr:row>
      <xdr:rowOff>304800</xdr:rowOff>
    </xdr:to>
    <xdr:sp macro="" textlink="">
      <xdr:nvSpPr>
        <xdr:cNvPr id="19582" name="AutoShape 126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79556AAF-8AF8-323E-15FD-B8A936BCFA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131</xdr:row>
      <xdr:rowOff>304800</xdr:rowOff>
    </xdr:to>
    <xdr:sp macro="" textlink="">
      <xdr:nvSpPr>
        <xdr:cNvPr id="19583" name="AutoShape 127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CDC83126-0843-1595-1ED3-5829097134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132</xdr:row>
      <xdr:rowOff>304800</xdr:rowOff>
    </xdr:to>
    <xdr:sp macro="" textlink="">
      <xdr:nvSpPr>
        <xdr:cNvPr id="19584" name="AutoShape 128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9223E7BE-9A0D-27B9-883C-EC976DEBF77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133</xdr:row>
      <xdr:rowOff>304800</xdr:rowOff>
    </xdr:to>
    <xdr:sp macro="" textlink="">
      <xdr:nvSpPr>
        <xdr:cNvPr id="19585" name="AutoShape 129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477B6BA-3220-E336-B74D-0475504444E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134</xdr:row>
      <xdr:rowOff>304800</xdr:rowOff>
    </xdr:to>
    <xdr:sp macro="" textlink="">
      <xdr:nvSpPr>
        <xdr:cNvPr id="19586" name="AutoShape 130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54E99266-195F-674B-6463-28FC1995AD2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135</xdr:row>
      <xdr:rowOff>304800</xdr:rowOff>
    </xdr:to>
    <xdr:sp macro="" textlink="">
      <xdr:nvSpPr>
        <xdr:cNvPr id="19587" name="AutoShape 131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67B37904-E30F-62AB-7EE3-085C1935D5A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136</xdr:row>
      <xdr:rowOff>304800</xdr:rowOff>
    </xdr:to>
    <xdr:sp macro="" textlink="">
      <xdr:nvSpPr>
        <xdr:cNvPr id="19588" name="AutoShape 132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7662AE07-3F16-ADA4-869B-55A71F5F84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137</xdr:row>
      <xdr:rowOff>304800</xdr:rowOff>
    </xdr:to>
    <xdr:sp macro="" textlink="">
      <xdr:nvSpPr>
        <xdr:cNvPr id="19589" name="AutoShape 133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077CF221-5C6A-89F6-8C7C-31EA298F2AA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138</xdr:row>
      <xdr:rowOff>304800</xdr:rowOff>
    </xdr:to>
    <xdr:sp macro="" textlink="">
      <xdr:nvSpPr>
        <xdr:cNvPr id="19590" name="AutoShape 134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86899DE8-FCB6-AEC9-8922-148FCCCFFB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139</xdr:row>
      <xdr:rowOff>304800</xdr:rowOff>
    </xdr:to>
    <xdr:sp macro="" textlink="">
      <xdr:nvSpPr>
        <xdr:cNvPr id="19591" name="AutoShape 135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A9F33EF9-0E23-9237-5B33-95127DE5B8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140</xdr:row>
      <xdr:rowOff>304800</xdr:rowOff>
    </xdr:to>
    <xdr:sp macro="" textlink="">
      <xdr:nvSpPr>
        <xdr:cNvPr id="19592" name="AutoShape 136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28AE7E15-E546-DE75-8554-1EBDC46AC8B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141</xdr:row>
      <xdr:rowOff>304800</xdr:rowOff>
    </xdr:to>
    <xdr:sp macro="" textlink="">
      <xdr:nvSpPr>
        <xdr:cNvPr id="19593" name="AutoShape 137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9B5910C-7527-80A6-A949-0357C02BC3D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142</xdr:row>
      <xdr:rowOff>304800</xdr:rowOff>
    </xdr:to>
    <xdr:sp macro="" textlink="">
      <xdr:nvSpPr>
        <xdr:cNvPr id="19594" name="AutoShape 138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1F45031A-2903-EDD1-183C-D8CEB1ED232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143</xdr:row>
      <xdr:rowOff>304800</xdr:rowOff>
    </xdr:to>
    <xdr:sp macro="" textlink="">
      <xdr:nvSpPr>
        <xdr:cNvPr id="19595" name="AutoShape 139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D8BE4E8A-4677-ED2F-35F9-B8708F0C7F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144</xdr:row>
      <xdr:rowOff>304800</xdr:rowOff>
    </xdr:to>
    <xdr:sp macro="" textlink="">
      <xdr:nvSpPr>
        <xdr:cNvPr id="19596" name="AutoShape 140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FC0034A4-9C77-DC85-AF7F-73B34C3B94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145</xdr:row>
      <xdr:rowOff>304800</xdr:rowOff>
    </xdr:to>
    <xdr:sp macro="" textlink="">
      <xdr:nvSpPr>
        <xdr:cNvPr id="19597" name="AutoShape 141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8573D0F-D686-2B9B-F2ED-1855909F98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146</xdr:row>
      <xdr:rowOff>304800</xdr:rowOff>
    </xdr:to>
    <xdr:sp macro="" textlink="">
      <xdr:nvSpPr>
        <xdr:cNvPr id="19598" name="AutoShape 142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04398003-13F5-6709-BAFA-7214E8E685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147</xdr:row>
      <xdr:rowOff>304800</xdr:rowOff>
    </xdr:to>
    <xdr:sp macro="" textlink="">
      <xdr:nvSpPr>
        <xdr:cNvPr id="19599" name="AutoShape 143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C2C49D67-60E5-CF2A-D9ED-02692382190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148</xdr:row>
      <xdr:rowOff>304800</xdr:rowOff>
    </xdr:to>
    <xdr:sp macro="" textlink="">
      <xdr:nvSpPr>
        <xdr:cNvPr id="19600" name="AutoShape 144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C889372D-4E6F-FA4E-78F2-661D776CC4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149</xdr:row>
      <xdr:rowOff>304800</xdr:rowOff>
    </xdr:to>
    <xdr:sp macro="" textlink="">
      <xdr:nvSpPr>
        <xdr:cNvPr id="19601" name="AutoShape 145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433D08B8-7E7F-9369-DB4F-ABF3037C87B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150</xdr:row>
      <xdr:rowOff>304800</xdr:rowOff>
    </xdr:to>
    <xdr:sp macro="" textlink="">
      <xdr:nvSpPr>
        <xdr:cNvPr id="19602" name="AutoShape 146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1C301C82-8A95-A2FA-664D-6F8FC47870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151</xdr:row>
      <xdr:rowOff>304800</xdr:rowOff>
    </xdr:to>
    <xdr:sp macro="" textlink="">
      <xdr:nvSpPr>
        <xdr:cNvPr id="19603" name="AutoShape 147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AF6C1D29-E4BF-C446-3B9A-2ADB0A8D2BF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152</xdr:row>
      <xdr:rowOff>304800</xdr:rowOff>
    </xdr:to>
    <xdr:sp macro="" textlink="">
      <xdr:nvSpPr>
        <xdr:cNvPr id="19604" name="AutoShape 148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B856840B-230A-E625-F57B-C6C7A54FD2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153</xdr:row>
      <xdr:rowOff>304800</xdr:rowOff>
    </xdr:to>
    <xdr:sp macro="" textlink="">
      <xdr:nvSpPr>
        <xdr:cNvPr id="19605" name="AutoShape 149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ABF373EC-2B61-43C8-DD64-3ABE172722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154</xdr:row>
      <xdr:rowOff>304800</xdr:rowOff>
    </xdr:to>
    <xdr:sp macro="" textlink="">
      <xdr:nvSpPr>
        <xdr:cNvPr id="19606" name="AutoShape 150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0B9E5E34-B33D-1DB9-A4A5-337CCF49B4E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155</xdr:row>
      <xdr:rowOff>304800</xdr:rowOff>
    </xdr:to>
    <xdr:sp macro="" textlink="">
      <xdr:nvSpPr>
        <xdr:cNvPr id="19607" name="AutoShape 151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4D670A8A-515F-3A41-EF7E-F4A12CE275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156</xdr:row>
      <xdr:rowOff>304800</xdr:rowOff>
    </xdr:to>
    <xdr:sp macro="" textlink="">
      <xdr:nvSpPr>
        <xdr:cNvPr id="19608" name="AutoShape 152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30058885-5C73-67D3-5140-36E692C28A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157</xdr:row>
      <xdr:rowOff>304800</xdr:rowOff>
    </xdr:to>
    <xdr:sp macro="" textlink="">
      <xdr:nvSpPr>
        <xdr:cNvPr id="19609" name="AutoShape 153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3F67451D-B0E3-D58D-FC4D-C3399C1A523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158</xdr:row>
      <xdr:rowOff>304800</xdr:rowOff>
    </xdr:to>
    <xdr:sp macro="" textlink="">
      <xdr:nvSpPr>
        <xdr:cNvPr id="19610" name="AutoShape 154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80662E3A-8712-2C49-6E77-C5E289CC43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159</xdr:row>
      <xdr:rowOff>304800</xdr:rowOff>
    </xdr:to>
    <xdr:sp macro="" textlink="">
      <xdr:nvSpPr>
        <xdr:cNvPr id="19611" name="AutoShape 155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CCD6E2AE-D5DF-F0FA-EE1B-5FECBB594E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160</xdr:row>
      <xdr:rowOff>304800</xdr:rowOff>
    </xdr:to>
    <xdr:sp macro="" textlink="">
      <xdr:nvSpPr>
        <xdr:cNvPr id="19612" name="AutoShape 156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79BAB113-7681-3B8E-B664-773649B924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161</xdr:row>
      <xdr:rowOff>304800</xdr:rowOff>
    </xdr:to>
    <xdr:sp macro="" textlink="">
      <xdr:nvSpPr>
        <xdr:cNvPr id="19613" name="AutoShape 157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2B75EDD1-3BB1-DAD5-63AD-E4B36FFB9E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162</xdr:row>
      <xdr:rowOff>304800</xdr:rowOff>
    </xdr:to>
    <xdr:sp macro="" textlink="">
      <xdr:nvSpPr>
        <xdr:cNvPr id="19614" name="AutoShape 158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E8E9B34C-B1D6-AB67-8A5A-95B53D6CB38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163</xdr:row>
      <xdr:rowOff>304800</xdr:rowOff>
    </xdr:to>
    <xdr:sp macro="" textlink="">
      <xdr:nvSpPr>
        <xdr:cNvPr id="19615" name="AutoShape 159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5350F958-85AD-C09C-EA36-DD9131862D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164</xdr:row>
      <xdr:rowOff>304800</xdr:rowOff>
    </xdr:to>
    <xdr:sp macro="" textlink="">
      <xdr:nvSpPr>
        <xdr:cNvPr id="19616" name="AutoShape 160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5112E558-8AD9-8362-9920-F0917BA0C0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165</xdr:row>
      <xdr:rowOff>304800</xdr:rowOff>
    </xdr:to>
    <xdr:sp macro="" textlink="">
      <xdr:nvSpPr>
        <xdr:cNvPr id="19617" name="AutoShape 161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570E4FBB-C0FA-13D8-83A2-6B2734DFEC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166</xdr:row>
      <xdr:rowOff>304800</xdr:rowOff>
    </xdr:to>
    <xdr:sp macro="" textlink="">
      <xdr:nvSpPr>
        <xdr:cNvPr id="19618" name="AutoShape 162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03CA6FAA-AE32-28D3-20E3-F851B65D17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167</xdr:row>
      <xdr:rowOff>304800</xdr:rowOff>
    </xdr:to>
    <xdr:sp macro="" textlink="">
      <xdr:nvSpPr>
        <xdr:cNvPr id="19619" name="AutoShape 163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34D455BA-7E53-5405-E710-8A0CA368E9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168</xdr:row>
      <xdr:rowOff>304800</xdr:rowOff>
    </xdr:to>
    <xdr:sp macro="" textlink="">
      <xdr:nvSpPr>
        <xdr:cNvPr id="19620" name="AutoShape 164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74E14772-4380-F909-06BE-0ED061903D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169</xdr:row>
      <xdr:rowOff>304800</xdr:rowOff>
    </xdr:to>
    <xdr:sp macro="" textlink="">
      <xdr:nvSpPr>
        <xdr:cNvPr id="19621" name="AutoShape 165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CE42C9B2-8242-9E9F-BB3E-95C7EA2609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170</xdr:row>
      <xdr:rowOff>304800</xdr:rowOff>
    </xdr:to>
    <xdr:sp macro="" textlink="">
      <xdr:nvSpPr>
        <xdr:cNvPr id="19622" name="AutoShape 166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E2051515-2103-181D-2E12-89919C8EF0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171</xdr:row>
      <xdr:rowOff>304800</xdr:rowOff>
    </xdr:to>
    <xdr:sp macro="" textlink="">
      <xdr:nvSpPr>
        <xdr:cNvPr id="19623" name="AutoShape 167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9EF43D47-9C76-D6DA-8278-4D219FF2DC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172</xdr:row>
      <xdr:rowOff>304800</xdr:rowOff>
    </xdr:to>
    <xdr:sp macro="" textlink="">
      <xdr:nvSpPr>
        <xdr:cNvPr id="19624" name="AutoShape 168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9C23C200-F77F-3488-F4C4-74143F69D4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173</xdr:row>
      <xdr:rowOff>304800</xdr:rowOff>
    </xdr:to>
    <xdr:sp macro="" textlink="">
      <xdr:nvSpPr>
        <xdr:cNvPr id="19625" name="AutoShape 169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4CCE17B0-4C9D-D81D-BAD5-2B8E5B2B61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174</xdr:row>
      <xdr:rowOff>304800</xdr:rowOff>
    </xdr:to>
    <xdr:sp macro="" textlink="">
      <xdr:nvSpPr>
        <xdr:cNvPr id="19626" name="AutoShape 170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6D239705-4EB8-D084-D349-413695980D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175</xdr:row>
      <xdr:rowOff>304800</xdr:rowOff>
    </xdr:to>
    <xdr:sp macro="" textlink="">
      <xdr:nvSpPr>
        <xdr:cNvPr id="19627" name="AutoShape 171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A51E8726-607B-3AC9-FBEC-764B2921BC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176</xdr:row>
      <xdr:rowOff>304800</xdr:rowOff>
    </xdr:to>
    <xdr:sp macro="" textlink="">
      <xdr:nvSpPr>
        <xdr:cNvPr id="19628" name="AutoShape 172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ABBDB413-B6C6-AB0A-E8CF-1ACFAE0F5D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177</xdr:row>
      <xdr:rowOff>304800</xdr:rowOff>
    </xdr:to>
    <xdr:sp macro="" textlink="">
      <xdr:nvSpPr>
        <xdr:cNvPr id="19629" name="AutoShape 173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9B01577D-277C-B877-DDAD-B66963247C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178</xdr:row>
      <xdr:rowOff>304800</xdr:rowOff>
    </xdr:to>
    <xdr:sp macro="" textlink="">
      <xdr:nvSpPr>
        <xdr:cNvPr id="19630" name="AutoShape 174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40512945-CE51-9060-18C6-52D2CFE9E67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179</xdr:row>
      <xdr:rowOff>304800</xdr:rowOff>
    </xdr:to>
    <xdr:sp macro="" textlink="">
      <xdr:nvSpPr>
        <xdr:cNvPr id="19631" name="AutoShape 175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82770398-D15A-A60B-818C-A3095A0A37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180</xdr:row>
      <xdr:rowOff>304800</xdr:rowOff>
    </xdr:to>
    <xdr:sp macro="" textlink="">
      <xdr:nvSpPr>
        <xdr:cNvPr id="19632" name="AutoShape 176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5DC157FA-BDD0-FB7D-7EEC-6A0138510C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181</xdr:row>
      <xdr:rowOff>304800</xdr:rowOff>
    </xdr:to>
    <xdr:sp macro="" textlink="">
      <xdr:nvSpPr>
        <xdr:cNvPr id="19633" name="AutoShape 177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07C207EF-534C-518F-043E-899A343D8F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182</xdr:row>
      <xdr:rowOff>304800</xdr:rowOff>
    </xdr:to>
    <xdr:sp macro="" textlink="">
      <xdr:nvSpPr>
        <xdr:cNvPr id="19634" name="AutoShape 178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0FEFCF6B-D828-512F-0CED-B90680310EB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183</xdr:row>
      <xdr:rowOff>304800</xdr:rowOff>
    </xdr:to>
    <xdr:sp macro="" textlink="">
      <xdr:nvSpPr>
        <xdr:cNvPr id="19635" name="AutoShape 179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5986A912-0AF0-8BE6-7D9C-4D5A08E88D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184</xdr:row>
      <xdr:rowOff>304800</xdr:rowOff>
    </xdr:to>
    <xdr:sp macro="" textlink="">
      <xdr:nvSpPr>
        <xdr:cNvPr id="19636" name="AutoShape 180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B7F0B9E8-DABA-363B-21E4-A8FDB0CF75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185</xdr:row>
      <xdr:rowOff>304800</xdr:rowOff>
    </xdr:to>
    <xdr:sp macro="" textlink="">
      <xdr:nvSpPr>
        <xdr:cNvPr id="19637" name="AutoShape 181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4F06D239-9EC7-5F72-7D22-6F77C077E25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186</xdr:row>
      <xdr:rowOff>304800</xdr:rowOff>
    </xdr:to>
    <xdr:sp macro="" textlink="">
      <xdr:nvSpPr>
        <xdr:cNvPr id="19638" name="AutoShape 182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5A7479D8-A526-1FB0-67B8-025F987430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187</xdr:row>
      <xdr:rowOff>304800</xdr:rowOff>
    </xdr:to>
    <xdr:sp macro="" textlink="">
      <xdr:nvSpPr>
        <xdr:cNvPr id="19639" name="AutoShape 183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6808744D-247F-34FD-EAA8-F09BB9C859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188</xdr:row>
      <xdr:rowOff>304800</xdr:rowOff>
    </xdr:to>
    <xdr:sp macro="" textlink="">
      <xdr:nvSpPr>
        <xdr:cNvPr id="19640" name="AutoShape 184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C90CAB16-800E-5475-80AC-561C4065E2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189</xdr:row>
      <xdr:rowOff>304800</xdr:rowOff>
    </xdr:to>
    <xdr:sp macro="" textlink="">
      <xdr:nvSpPr>
        <xdr:cNvPr id="19641" name="AutoShape 185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8D96E723-3877-72B5-9DAD-129FA1BDA0B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190</xdr:row>
      <xdr:rowOff>304800</xdr:rowOff>
    </xdr:to>
    <xdr:sp macro="" textlink="">
      <xdr:nvSpPr>
        <xdr:cNvPr id="19642" name="AutoShape 186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C029CB7F-0B7C-B093-417C-0C3244046B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191</xdr:row>
      <xdr:rowOff>304800</xdr:rowOff>
    </xdr:to>
    <xdr:sp macro="" textlink="">
      <xdr:nvSpPr>
        <xdr:cNvPr id="19643" name="AutoShape 187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AD8D743E-D895-83FC-2759-576AA163E5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192</xdr:row>
      <xdr:rowOff>304800</xdr:rowOff>
    </xdr:to>
    <xdr:sp macro="" textlink="">
      <xdr:nvSpPr>
        <xdr:cNvPr id="19644" name="AutoShape 188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4CF048DE-F4B1-2985-E94A-BD17C67F85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193</xdr:row>
      <xdr:rowOff>304800</xdr:rowOff>
    </xdr:to>
    <xdr:sp macro="" textlink="">
      <xdr:nvSpPr>
        <xdr:cNvPr id="19645" name="AutoShape 189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4DF688F8-B8DE-6FBB-3EB7-28CD70371D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194</xdr:row>
      <xdr:rowOff>304800</xdr:rowOff>
    </xdr:to>
    <xdr:sp macro="" textlink="">
      <xdr:nvSpPr>
        <xdr:cNvPr id="19646" name="AutoShape 190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FF3C4AF7-CC3A-D4DE-7450-2B0273EFDBF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195</xdr:row>
      <xdr:rowOff>304800</xdr:rowOff>
    </xdr:to>
    <xdr:sp macro="" textlink="">
      <xdr:nvSpPr>
        <xdr:cNvPr id="19647" name="AutoShape 191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7F29714C-34A8-1E03-0A69-90DE200C48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196</xdr:row>
      <xdr:rowOff>304800</xdr:rowOff>
    </xdr:to>
    <xdr:sp macro="" textlink="">
      <xdr:nvSpPr>
        <xdr:cNvPr id="19648" name="AutoShape 192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5E13AD0F-4124-1132-987D-9D17341227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197</xdr:row>
      <xdr:rowOff>304800</xdr:rowOff>
    </xdr:to>
    <xdr:sp macro="" textlink="">
      <xdr:nvSpPr>
        <xdr:cNvPr id="19649" name="AutoShape 193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FB335233-D2BD-E610-50EF-CCB3887682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198</xdr:row>
      <xdr:rowOff>304800</xdr:rowOff>
    </xdr:to>
    <xdr:sp macro="" textlink="">
      <xdr:nvSpPr>
        <xdr:cNvPr id="19650" name="AutoShape 194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713E2D5A-1DB9-E76D-7643-81871E9CC11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199</xdr:row>
      <xdr:rowOff>304800</xdr:rowOff>
    </xdr:to>
    <xdr:sp macro="" textlink="">
      <xdr:nvSpPr>
        <xdr:cNvPr id="19651" name="AutoShape 195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6A141042-3025-C969-8828-2E8DD573C7C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200</xdr:row>
      <xdr:rowOff>304800</xdr:rowOff>
    </xdr:to>
    <xdr:sp macro="" textlink="">
      <xdr:nvSpPr>
        <xdr:cNvPr id="19652" name="AutoShape 196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D820FAA7-DCE1-06E6-EB0F-886B7AA8B0B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201</xdr:row>
      <xdr:rowOff>304800</xdr:rowOff>
    </xdr:to>
    <xdr:sp macro="" textlink="">
      <xdr:nvSpPr>
        <xdr:cNvPr id="19653" name="AutoShape 197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EE8B84E0-8EB1-498E-4F62-757F9AD0D3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202</xdr:row>
      <xdr:rowOff>304800</xdr:rowOff>
    </xdr:to>
    <xdr:sp macro="" textlink="">
      <xdr:nvSpPr>
        <xdr:cNvPr id="19654" name="AutoShape 198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7A3C5A9B-3823-91C3-E224-108C192CBB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203</xdr:row>
      <xdr:rowOff>304800</xdr:rowOff>
    </xdr:to>
    <xdr:sp macro="" textlink="">
      <xdr:nvSpPr>
        <xdr:cNvPr id="19655" name="AutoShape 199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E532895D-B519-A0C8-AC54-86A7D03D59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204</xdr:row>
      <xdr:rowOff>304800</xdr:rowOff>
    </xdr:to>
    <xdr:sp macro="" textlink="">
      <xdr:nvSpPr>
        <xdr:cNvPr id="19656" name="AutoShape 200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BFB54049-A606-84B8-D03D-8C9E112D6B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205</xdr:row>
      <xdr:rowOff>304800</xdr:rowOff>
    </xdr:to>
    <xdr:sp macro="" textlink="">
      <xdr:nvSpPr>
        <xdr:cNvPr id="19657" name="AutoShape 201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7C4BCCC0-36A7-B564-BAA4-5EA1FCE50C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206</xdr:row>
      <xdr:rowOff>304800</xdr:rowOff>
    </xdr:to>
    <xdr:sp macro="" textlink="">
      <xdr:nvSpPr>
        <xdr:cNvPr id="19658" name="AutoShape 202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E46BD410-D5F1-F4F5-114C-3960FA3488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207</xdr:row>
      <xdr:rowOff>304800</xdr:rowOff>
    </xdr:to>
    <xdr:sp macro="" textlink="">
      <xdr:nvSpPr>
        <xdr:cNvPr id="19659" name="AutoShape 203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D81E40D1-DC97-48F8-9052-27C632DB2C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208</xdr:row>
      <xdr:rowOff>304800</xdr:rowOff>
    </xdr:to>
    <xdr:sp macro="" textlink="">
      <xdr:nvSpPr>
        <xdr:cNvPr id="19660" name="AutoShape 204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C2B91269-E852-3D7C-0C58-62DDDD71E0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209</xdr:row>
      <xdr:rowOff>304800</xdr:rowOff>
    </xdr:to>
    <xdr:sp macro="" textlink="">
      <xdr:nvSpPr>
        <xdr:cNvPr id="19661" name="AutoShape 205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65D80149-79C8-3132-5227-13C83CE82B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210</xdr:row>
      <xdr:rowOff>304800</xdr:rowOff>
    </xdr:to>
    <xdr:sp macro="" textlink="">
      <xdr:nvSpPr>
        <xdr:cNvPr id="19662" name="AutoShape 206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F654119F-7D32-DE41-460B-A35F54100B9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211</xdr:row>
      <xdr:rowOff>304800</xdr:rowOff>
    </xdr:to>
    <xdr:sp macro="" textlink="">
      <xdr:nvSpPr>
        <xdr:cNvPr id="19663" name="AutoShape 207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05DE821D-0538-2895-C7AA-ECF1C90652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212</xdr:row>
      <xdr:rowOff>304800</xdr:rowOff>
    </xdr:to>
    <xdr:sp macro="" textlink="">
      <xdr:nvSpPr>
        <xdr:cNvPr id="19664" name="AutoShape 208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7E659AC2-40A0-3540-F2A4-4EA5D297D6D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213</xdr:row>
      <xdr:rowOff>304800</xdr:rowOff>
    </xdr:to>
    <xdr:sp macro="" textlink="">
      <xdr:nvSpPr>
        <xdr:cNvPr id="19665" name="AutoShape 209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F42A261A-E062-A3EC-2B72-453C19459C5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214</xdr:row>
      <xdr:rowOff>304800</xdr:rowOff>
    </xdr:to>
    <xdr:sp macro="" textlink="">
      <xdr:nvSpPr>
        <xdr:cNvPr id="19666" name="AutoShape 210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4C7125F3-3090-0ADA-74D0-741B252619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215</xdr:row>
      <xdr:rowOff>304800</xdr:rowOff>
    </xdr:to>
    <xdr:sp macro="" textlink="">
      <xdr:nvSpPr>
        <xdr:cNvPr id="19667" name="AutoShape 211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3C346A29-74CD-0D1C-C0D4-315E772A6F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216</xdr:row>
      <xdr:rowOff>304800</xdr:rowOff>
    </xdr:to>
    <xdr:sp macro="" textlink="">
      <xdr:nvSpPr>
        <xdr:cNvPr id="19668" name="AutoShape 212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AD19C59C-5C9A-FBD4-D522-6AD7049466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217</xdr:row>
      <xdr:rowOff>304800</xdr:rowOff>
    </xdr:to>
    <xdr:sp macro="" textlink="">
      <xdr:nvSpPr>
        <xdr:cNvPr id="19669" name="AutoShape 213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EEF7A6B3-16D1-9C44-77AA-DB50FAA4A4A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218</xdr:row>
      <xdr:rowOff>304800</xdr:rowOff>
    </xdr:to>
    <xdr:sp macro="" textlink="">
      <xdr:nvSpPr>
        <xdr:cNvPr id="19670" name="AutoShape 214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1F5139BC-FB72-8132-0CAC-19B4C40E1C2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219</xdr:row>
      <xdr:rowOff>304800</xdr:rowOff>
    </xdr:to>
    <xdr:sp macro="" textlink="">
      <xdr:nvSpPr>
        <xdr:cNvPr id="19671" name="AutoShape 215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29A6E4B8-A1FC-9FA0-5CB7-77543F11A73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220</xdr:row>
      <xdr:rowOff>304800</xdr:rowOff>
    </xdr:to>
    <xdr:sp macro="" textlink="">
      <xdr:nvSpPr>
        <xdr:cNvPr id="19672" name="AutoShape 216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74B3ED3D-9292-43D3-D1C1-5E2BFD8354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221</xdr:row>
      <xdr:rowOff>304800</xdr:rowOff>
    </xdr:to>
    <xdr:sp macro="" textlink="">
      <xdr:nvSpPr>
        <xdr:cNvPr id="19673" name="AutoShape 217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C269DB67-15DF-8930-11D0-9B699F043F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222</xdr:row>
      <xdr:rowOff>304800</xdr:rowOff>
    </xdr:to>
    <xdr:sp macro="" textlink="">
      <xdr:nvSpPr>
        <xdr:cNvPr id="19674" name="AutoShape 218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D7F6FEC0-46E1-7FE5-4E25-4674C9A3E8B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223</xdr:row>
      <xdr:rowOff>304800</xdr:rowOff>
    </xdr:to>
    <xdr:sp macro="" textlink="">
      <xdr:nvSpPr>
        <xdr:cNvPr id="19675" name="AutoShape 219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DAD2A80C-F69C-34CC-11E4-61E19D0C5C6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224</xdr:row>
      <xdr:rowOff>304800</xdr:rowOff>
    </xdr:to>
    <xdr:sp macro="" textlink="">
      <xdr:nvSpPr>
        <xdr:cNvPr id="19676" name="AutoShape 220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FAE670C6-C496-ED20-FD6E-025829EE1A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225</xdr:row>
      <xdr:rowOff>304800</xdr:rowOff>
    </xdr:to>
    <xdr:sp macro="" textlink="">
      <xdr:nvSpPr>
        <xdr:cNvPr id="19677" name="AutoShape 221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64E2284C-0D5B-F65B-457F-050478323A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226</xdr:row>
      <xdr:rowOff>304800</xdr:rowOff>
    </xdr:to>
    <xdr:sp macro="" textlink="">
      <xdr:nvSpPr>
        <xdr:cNvPr id="19678" name="AutoShape 222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EC482DB2-14EF-53F9-0EFA-89CD97BA96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227</xdr:row>
      <xdr:rowOff>304800</xdr:rowOff>
    </xdr:to>
    <xdr:sp macro="" textlink="">
      <xdr:nvSpPr>
        <xdr:cNvPr id="19679" name="AutoShape 223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60725B73-6BC9-3388-C23D-E7ADF51F1E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228</xdr:row>
      <xdr:rowOff>304800</xdr:rowOff>
    </xdr:to>
    <xdr:sp macro="" textlink="">
      <xdr:nvSpPr>
        <xdr:cNvPr id="19680" name="AutoShape 224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F9EDE74C-B2B3-580B-C0A8-60A52E6ED7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229</xdr:row>
      <xdr:rowOff>304800</xdr:rowOff>
    </xdr:to>
    <xdr:sp macro="" textlink="">
      <xdr:nvSpPr>
        <xdr:cNvPr id="19681" name="AutoShape 225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9DADC226-5A33-0792-A1A7-296195915D3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230</xdr:row>
      <xdr:rowOff>304800</xdr:rowOff>
    </xdr:to>
    <xdr:sp macro="" textlink="">
      <xdr:nvSpPr>
        <xdr:cNvPr id="19682" name="AutoShape 226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1AD5AF0D-257C-F718-2E17-2741B38532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231</xdr:row>
      <xdr:rowOff>304800</xdr:rowOff>
    </xdr:to>
    <xdr:sp macro="" textlink="">
      <xdr:nvSpPr>
        <xdr:cNvPr id="19683" name="AutoShape 227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A617C0C5-7667-1328-351A-AEF6DF3833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232</xdr:row>
      <xdr:rowOff>304800</xdr:rowOff>
    </xdr:to>
    <xdr:sp macro="" textlink="">
      <xdr:nvSpPr>
        <xdr:cNvPr id="19684" name="AutoShape 228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032A7F53-0CBA-9F7B-E568-A9F6337191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233</xdr:row>
      <xdr:rowOff>304800</xdr:rowOff>
    </xdr:to>
    <xdr:sp macro="" textlink="">
      <xdr:nvSpPr>
        <xdr:cNvPr id="19685" name="AutoShape 229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D33E218B-A796-FB26-B224-9C493B9D7C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234</xdr:row>
      <xdr:rowOff>304800</xdr:rowOff>
    </xdr:to>
    <xdr:sp macro="" textlink="">
      <xdr:nvSpPr>
        <xdr:cNvPr id="19686" name="AutoShape 230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132BD218-0DE7-4813-2870-9FACE3AD1A5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235</xdr:row>
      <xdr:rowOff>304800</xdr:rowOff>
    </xdr:to>
    <xdr:sp macro="" textlink="">
      <xdr:nvSpPr>
        <xdr:cNvPr id="19687" name="AutoShape 231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F753F6C9-C94A-12D1-7C62-158631BF42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236</xdr:row>
      <xdr:rowOff>304800</xdr:rowOff>
    </xdr:to>
    <xdr:sp macro="" textlink="">
      <xdr:nvSpPr>
        <xdr:cNvPr id="19688" name="AutoShape 232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5428C77A-321E-BDDF-9EFB-C4D30D8257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237</xdr:row>
      <xdr:rowOff>304800</xdr:rowOff>
    </xdr:to>
    <xdr:sp macro="" textlink="">
      <xdr:nvSpPr>
        <xdr:cNvPr id="19689" name="AutoShape 233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45E360FF-58C0-1B2D-D349-306D64115D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238</xdr:row>
      <xdr:rowOff>304800</xdr:rowOff>
    </xdr:to>
    <xdr:sp macro="" textlink="">
      <xdr:nvSpPr>
        <xdr:cNvPr id="19690" name="AutoShape 234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CA8A3DC9-34F0-ACF5-2F0A-968BADFE03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239</xdr:row>
      <xdr:rowOff>304800</xdr:rowOff>
    </xdr:to>
    <xdr:sp macro="" textlink="">
      <xdr:nvSpPr>
        <xdr:cNvPr id="19691" name="AutoShape 235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7A858D20-E0A0-0C22-050C-F5356F07F6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240</xdr:row>
      <xdr:rowOff>304800</xdr:rowOff>
    </xdr:to>
    <xdr:sp macro="" textlink="">
      <xdr:nvSpPr>
        <xdr:cNvPr id="19692" name="AutoShape 236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0ECE27F8-FDCC-5280-788B-388A77ADD4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241</xdr:row>
      <xdr:rowOff>304800</xdr:rowOff>
    </xdr:to>
    <xdr:sp macro="" textlink="">
      <xdr:nvSpPr>
        <xdr:cNvPr id="19693" name="AutoShape 237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85F0CE96-C148-30C9-C92B-346A4460E4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242</xdr:row>
      <xdr:rowOff>304800</xdr:rowOff>
    </xdr:to>
    <xdr:sp macro="" textlink="">
      <xdr:nvSpPr>
        <xdr:cNvPr id="19694" name="AutoShape 238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8DE75CB2-9D75-5F96-5881-A319FC9E26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243</xdr:row>
      <xdr:rowOff>304800</xdr:rowOff>
    </xdr:to>
    <xdr:sp macro="" textlink="">
      <xdr:nvSpPr>
        <xdr:cNvPr id="19695" name="AutoShape 239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72041A53-76F4-AF18-691C-22A846DEDF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244</xdr:row>
      <xdr:rowOff>304800</xdr:rowOff>
    </xdr:to>
    <xdr:sp macro="" textlink="">
      <xdr:nvSpPr>
        <xdr:cNvPr id="19696" name="AutoShape 240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5BF20EF0-27DB-490C-F070-359802B0D2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245</xdr:row>
      <xdr:rowOff>304800</xdr:rowOff>
    </xdr:to>
    <xdr:sp macro="" textlink="">
      <xdr:nvSpPr>
        <xdr:cNvPr id="19697" name="AutoShape 241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00D16101-6942-0AF4-0FDD-A4E3E173B59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246</xdr:row>
      <xdr:rowOff>304800</xdr:rowOff>
    </xdr:to>
    <xdr:sp macro="" textlink="">
      <xdr:nvSpPr>
        <xdr:cNvPr id="19698" name="AutoShape 242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A10351B6-F370-D7FD-859A-2A7155EC4B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247</xdr:row>
      <xdr:rowOff>304800</xdr:rowOff>
    </xdr:to>
    <xdr:sp macro="" textlink="">
      <xdr:nvSpPr>
        <xdr:cNvPr id="19699" name="AutoShape 243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C0706B20-FDDD-1266-C3E4-9CA7296284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248</xdr:row>
      <xdr:rowOff>304800</xdr:rowOff>
    </xdr:to>
    <xdr:sp macro="" textlink="">
      <xdr:nvSpPr>
        <xdr:cNvPr id="19700" name="AutoShape 244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93DC37B5-DBEC-5D51-BDCC-8F8C2EF8CC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249</xdr:row>
      <xdr:rowOff>304800</xdr:rowOff>
    </xdr:to>
    <xdr:sp macro="" textlink="">
      <xdr:nvSpPr>
        <xdr:cNvPr id="19701" name="AutoShape 245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F9981B70-1EAB-8375-A111-16EFEB9D3D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250</xdr:row>
      <xdr:rowOff>304800</xdr:rowOff>
    </xdr:to>
    <xdr:sp macro="" textlink="">
      <xdr:nvSpPr>
        <xdr:cNvPr id="19702" name="AutoShape 246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C40D4A0D-CD78-1EEB-2468-CDE2785649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251</xdr:row>
      <xdr:rowOff>304800</xdr:rowOff>
    </xdr:to>
    <xdr:sp macro="" textlink="">
      <xdr:nvSpPr>
        <xdr:cNvPr id="19703" name="AutoShape 247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CE6448A1-7FF7-60E8-1ABA-BB996D5B53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252</xdr:row>
      <xdr:rowOff>304800</xdr:rowOff>
    </xdr:to>
    <xdr:sp macro="" textlink="">
      <xdr:nvSpPr>
        <xdr:cNvPr id="19704" name="AutoShape 248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16D2AB80-7E7C-1FC4-E041-BBDB7A8185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253</xdr:row>
      <xdr:rowOff>304800</xdr:rowOff>
    </xdr:to>
    <xdr:sp macro="" textlink="">
      <xdr:nvSpPr>
        <xdr:cNvPr id="19705" name="AutoShape 249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6ECF3255-1B73-F77F-165B-9B81F3E762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254</xdr:row>
      <xdr:rowOff>304800</xdr:rowOff>
    </xdr:to>
    <xdr:sp macro="" textlink="">
      <xdr:nvSpPr>
        <xdr:cNvPr id="19706" name="AutoShape 250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7FFC353F-5EFA-479F-04DF-CF7DA757F7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255</xdr:row>
      <xdr:rowOff>304800</xdr:rowOff>
    </xdr:to>
    <xdr:sp macro="" textlink="">
      <xdr:nvSpPr>
        <xdr:cNvPr id="19707" name="AutoShape 251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75E88A80-62F2-1701-FAB4-C03FD2A793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256</xdr:row>
      <xdr:rowOff>304800</xdr:rowOff>
    </xdr:to>
    <xdr:sp macro="" textlink="">
      <xdr:nvSpPr>
        <xdr:cNvPr id="19708" name="AutoShape 252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6F71B83D-977D-12D8-2571-588DBCE0D2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257</xdr:row>
      <xdr:rowOff>304800</xdr:rowOff>
    </xdr:to>
    <xdr:sp macro="" textlink="">
      <xdr:nvSpPr>
        <xdr:cNvPr id="19709" name="AutoShape 253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6EF8F551-1279-CAEC-FD6C-0F70229A99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258</xdr:row>
      <xdr:rowOff>304800</xdr:rowOff>
    </xdr:to>
    <xdr:sp macro="" textlink="">
      <xdr:nvSpPr>
        <xdr:cNvPr id="19710" name="AutoShape 254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97E383A4-0B4E-3C69-6C91-870B051589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259</xdr:row>
      <xdr:rowOff>304800</xdr:rowOff>
    </xdr:to>
    <xdr:sp macro="" textlink="">
      <xdr:nvSpPr>
        <xdr:cNvPr id="19711" name="AutoShape 255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860CFFAF-7582-9E63-1044-9D2C08D199B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260</xdr:row>
      <xdr:rowOff>304800</xdr:rowOff>
    </xdr:to>
    <xdr:sp macro="" textlink="">
      <xdr:nvSpPr>
        <xdr:cNvPr id="19712" name="AutoShape 256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1322B4A7-4CC0-EA67-F6B8-4ABB944E5A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261</xdr:row>
      <xdr:rowOff>304800</xdr:rowOff>
    </xdr:to>
    <xdr:sp macro="" textlink="">
      <xdr:nvSpPr>
        <xdr:cNvPr id="19713" name="AutoShape 257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1AC1DCD0-FC0B-FCE1-D5F3-FE250ED804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262</xdr:row>
      <xdr:rowOff>304800</xdr:rowOff>
    </xdr:to>
    <xdr:sp macro="" textlink="">
      <xdr:nvSpPr>
        <xdr:cNvPr id="19714" name="AutoShape 258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C7036F13-5C4E-7561-72E5-FE6C12E003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263</xdr:row>
      <xdr:rowOff>304800</xdr:rowOff>
    </xdr:to>
    <xdr:sp macro="" textlink="">
      <xdr:nvSpPr>
        <xdr:cNvPr id="19715" name="AutoShape 259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109FE45B-0164-5213-957D-DCB834501E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264</xdr:row>
      <xdr:rowOff>304800</xdr:rowOff>
    </xdr:to>
    <xdr:sp macro="" textlink="">
      <xdr:nvSpPr>
        <xdr:cNvPr id="19716" name="AutoShape 260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AB578EF9-AA72-5A9B-9C4D-F47E8F6DE7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265</xdr:row>
      <xdr:rowOff>304800</xdr:rowOff>
    </xdr:to>
    <xdr:sp macro="" textlink="">
      <xdr:nvSpPr>
        <xdr:cNvPr id="19717" name="AutoShape 261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7F5CCB89-4E27-A3B0-DA9A-207CE48627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266</xdr:row>
      <xdr:rowOff>304800</xdr:rowOff>
    </xdr:to>
    <xdr:sp macro="" textlink="">
      <xdr:nvSpPr>
        <xdr:cNvPr id="19718" name="AutoShape 262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A4F7825C-4B58-9B4A-1189-9ED49FB3034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35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267</xdr:row>
      <xdr:rowOff>304800</xdr:rowOff>
    </xdr:to>
    <xdr:sp macro="" textlink="">
      <xdr:nvSpPr>
        <xdr:cNvPr id="19719" name="AutoShape 263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CF838EDA-6FCE-0D74-3C36-A3F495F8767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5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268</xdr:row>
      <xdr:rowOff>304800</xdr:rowOff>
    </xdr:to>
    <xdr:sp macro="" textlink="">
      <xdr:nvSpPr>
        <xdr:cNvPr id="19720" name="AutoShape 264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CF695458-2061-8B9B-E83A-D967DC72B5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68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269</xdr:row>
      <xdr:rowOff>304800</xdr:rowOff>
    </xdr:to>
    <xdr:sp macro="" textlink="">
      <xdr:nvSpPr>
        <xdr:cNvPr id="19721" name="AutoShape 265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94085197-6870-CA1D-BC1D-6DA42F4E1C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84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270</xdr:row>
      <xdr:rowOff>304800</xdr:rowOff>
    </xdr:to>
    <xdr:sp macro="" textlink="">
      <xdr:nvSpPr>
        <xdr:cNvPr id="19722" name="AutoShape 266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F1D55DF3-F003-8C5E-4D3C-B967380F13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271</xdr:row>
      <xdr:rowOff>304800</xdr:rowOff>
    </xdr:to>
    <xdr:sp macro="" textlink="">
      <xdr:nvSpPr>
        <xdr:cNvPr id="19723" name="AutoShape 267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95328CD2-F1EC-AE50-19F0-F8B37D1F0D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1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272</xdr:row>
      <xdr:rowOff>304800</xdr:rowOff>
    </xdr:to>
    <xdr:sp macro="" textlink="">
      <xdr:nvSpPr>
        <xdr:cNvPr id="19724" name="AutoShape 268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73EEA193-BA5D-7AD1-8F6E-99B45FF36F6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49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273</xdr:row>
      <xdr:rowOff>304800</xdr:rowOff>
    </xdr:to>
    <xdr:sp macro="" textlink="">
      <xdr:nvSpPr>
        <xdr:cNvPr id="19725" name="AutoShape 269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59C7921A-EAF4-ECC0-270C-0426A54A21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274</xdr:row>
      <xdr:rowOff>304800</xdr:rowOff>
    </xdr:to>
    <xdr:sp macro="" textlink="">
      <xdr:nvSpPr>
        <xdr:cNvPr id="19726" name="AutoShape 270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E1D50610-9C96-8E1B-31F4-FA62AD97930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13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275</xdr:row>
      <xdr:rowOff>304800</xdr:rowOff>
    </xdr:to>
    <xdr:sp macro="" textlink="">
      <xdr:nvSpPr>
        <xdr:cNvPr id="19727" name="AutoShape 271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4C7336B3-56AD-DBB1-169F-993BD4E216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46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276</xdr:row>
      <xdr:rowOff>304800</xdr:rowOff>
    </xdr:to>
    <xdr:sp macro="" textlink="">
      <xdr:nvSpPr>
        <xdr:cNvPr id="19728" name="AutoShape 272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3FF9C196-6C32-FD60-6520-9D515D7532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78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277</xdr:row>
      <xdr:rowOff>304800</xdr:rowOff>
    </xdr:to>
    <xdr:sp macro="" textlink="">
      <xdr:nvSpPr>
        <xdr:cNvPr id="19729" name="AutoShape 273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83266833-B6AB-8B30-5BDE-18F2FA33E6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11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278</xdr:row>
      <xdr:rowOff>304800</xdr:rowOff>
    </xdr:to>
    <xdr:sp macro="" textlink="">
      <xdr:nvSpPr>
        <xdr:cNvPr id="19730" name="AutoShape 274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81125333-EF21-B4A0-6AB3-21F17EDC8E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279</xdr:row>
      <xdr:rowOff>304800</xdr:rowOff>
    </xdr:to>
    <xdr:sp macro="" textlink="">
      <xdr:nvSpPr>
        <xdr:cNvPr id="19731" name="AutoShape 275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E0BE66C7-CEDB-885C-D81C-0C7BC93ECC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75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280</xdr:row>
      <xdr:rowOff>304800</xdr:rowOff>
    </xdr:to>
    <xdr:sp macro="" textlink="">
      <xdr:nvSpPr>
        <xdr:cNvPr id="19732" name="AutoShape 276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7A5D16C0-CDE7-624D-6AEE-E8069984EBB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0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281</xdr:row>
      <xdr:rowOff>304800</xdr:rowOff>
    </xdr:to>
    <xdr:sp macro="" textlink="">
      <xdr:nvSpPr>
        <xdr:cNvPr id="19733" name="AutoShape 277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70F27731-FC09-F406-8801-3571D1A21AC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40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282</xdr:row>
      <xdr:rowOff>304800</xdr:rowOff>
    </xdr:to>
    <xdr:sp macro="" textlink="">
      <xdr:nvSpPr>
        <xdr:cNvPr id="19734" name="AutoShape 278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17D1F24C-694A-2F36-3B18-BA1AF1E9C26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56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283</xdr:row>
      <xdr:rowOff>304800</xdr:rowOff>
    </xdr:to>
    <xdr:sp macro="" textlink="">
      <xdr:nvSpPr>
        <xdr:cNvPr id="19735" name="AutoShape 279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BFCCBC8F-D115-5330-F8C8-CE754667499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73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284</xdr:row>
      <xdr:rowOff>304800</xdr:rowOff>
    </xdr:to>
    <xdr:sp macro="" textlink="">
      <xdr:nvSpPr>
        <xdr:cNvPr id="19736" name="AutoShape 280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59356AFC-A0F3-5609-46D3-95B00E814F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89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285</xdr:row>
      <xdr:rowOff>304800</xdr:rowOff>
    </xdr:to>
    <xdr:sp macro="" textlink="">
      <xdr:nvSpPr>
        <xdr:cNvPr id="19737" name="AutoShape 281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B87B5502-6EDD-8A0B-1669-72897FCB1D7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21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286</xdr:row>
      <xdr:rowOff>304800</xdr:rowOff>
    </xdr:to>
    <xdr:sp macro="" textlink="">
      <xdr:nvSpPr>
        <xdr:cNvPr id="19738" name="AutoShape 282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91D950CC-A607-88AB-7CD8-2A11A8CA3A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54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287</xdr:row>
      <xdr:rowOff>304800</xdr:rowOff>
    </xdr:to>
    <xdr:sp macro="" textlink="">
      <xdr:nvSpPr>
        <xdr:cNvPr id="19739" name="AutoShape 283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E47749FA-154C-812C-6C54-C4764A6F2E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86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288</xdr:row>
      <xdr:rowOff>304800</xdr:rowOff>
    </xdr:to>
    <xdr:sp macro="" textlink="">
      <xdr:nvSpPr>
        <xdr:cNvPr id="19740" name="AutoShape 284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9101F71F-4574-EDB5-CAE0-24038660B4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18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289</xdr:row>
      <xdr:rowOff>304800</xdr:rowOff>
    </xdr:to>
    <xdr:sp macro="" textlink="">
      <xdr:nvSpPr>
        <xdr:cNvPr id="19741" name="AutoShape 285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C6527A37-3770-4EBA-7CF2-BBCBDB6629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51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290</xdr:row>
      <xdr:rowOff>304800</xdr:rowOff>
    </xdr:to>
    <xdr:sp macro="" textlink="">
      <xdr:nvSpPr>
        <xdr:cNvPr id="19742" name="AutoShape 286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9443D909-C6B0-3D95-18E6-B04BC842ED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8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291</xdr:row>
      <xdr:rowOff>304800</xdr:rowOff>
    </xdr:to>
    <xdr:sp macro="" textlink="">
      <xdr:nvSpPr>
        <xdr:cNvPr id="19743" name="AutoShape 287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DDB37B2C-80EE-6B66-FBA1-B75E3C8607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15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292</xdr:row>
      <xdr:rowOff>304800</xdr:rowOff>
    </xdr:to>
    <xdr:sp macro="" textlink="">
      <xdr:nvSpPr>
        <xdr:cNvPr id="19744" name="AutoShape 288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4C6BC7A2-3469-006B-F3FF-4496842206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32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293</xdr:row>
      <xdr:rowOff>304800</xdr:rowOff>
    </xdr:to>
    <xdr:sp macro="" textlink="">
      <xdr:nvSpPr>
        <xdr:cNvPr id="19745" name="AutoShape 289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93A2D426-B7D2-1B9A-4A02-EF20A2BDED5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64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294</xdr:row>
      <xdr:rowOff>304800</xdr:rowOff>
    </xdr:to>
    <xdr:sp macro="" textlink="">
      <xdr:nvSpPr>
        <xdr:cNvPr id="19746" name="AutoShape 290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DDE5E1DE-6B8F-6644-B3D4-F71B9F39A1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295</xdr:row>
      <xdr:rowOff>304800</xdr:rowOff>
    </xdr:to>
    <xdr:sp macro="" textlink="">
      <xdr:nvSpPr>
        <xdr:cNvPr id="19747" name="AutoShape 291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69D2A62F-DC67-F9A9-EF43-9EE0E3BD983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296</xdr:row>
      <xdr:rowOff>304800</xdr:rowOff>
    </xdr:to>
    <xdr:sp macro="" textlink="">
      <xdr:nvSpPr>
        <xdr:cNvPr id="19748" name="AutoShape 292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50168A65-B4B0-40AF-51F4-E85736DD7BE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61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297</xdr:row>
      <xdr:rowOff>304800</xdr:rowOff>
    </xdr:to>
    <xdr:sp macro="" textlink="">
      <xdr:nvSpPr>
        <xdr:cNvPr id="19749" name="AutoShape 293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2A04CA7D-6698-74C9-9BD0-E8002E77003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94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298</xdr:row>
      <xdr:rowOff>304800</xdr:rowOff>
    </xdr:to>
    <xdr:sp macro="" textlink="">
      <xdr:nvSpPr>
        <xdr:cNvPr id="19750" name="AutoShape 294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DE5214DB-6386-6A0A-A773-227803DB9B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26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299</xdr:row>
      <xdr:rowOff>304800</xdr:rowOff>
    </xdr:to>
    <xdr:sp macro="" textlink="">
      <xdr:nvSpPr>
        <xdr:cNvPr id="19751" name="AutoShape 295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987A5A2C-D1A4-88D6-1CDE-1A00E68E83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5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300</xdr:row>
      <xdr:rowOff>304800</xdr:rowOff>
    </xdr:to>
    <xdr:sp macro="" textlink="">
      <xdr:nvSpPr>
        <xdr:cNvPr id="19752" name="AutoShape 296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BBDD2196-E913-559D-58EC-8C38809BB8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7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301</xdr:row>
      <xdr:rowOff>304800</xdr:rowOff>
    </xdr:to>
    <xdr:sp macro="" textlink="">
      <xdr:nvSpPr>
        <xdr:cNvPr id="19753" name="AutoShape 297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06B2D39A-E8DE-D62B-7751-4457A06F50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302</xdr:row>
      <xdr:rowOff>304800</xdr:rowOff>
    </xdr:to>
    <xdr:sp macro="" textlink="">
      <xdr:nvSpPr>
        <xdr:cNvPr id="19754" name="AutoShape 298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C790ABA2-077C-B430-60A1-60C15038DE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07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303</xdr:row>
      <xdr:rowOff>304800</xdr:rowOff>
    </xdr:to>
    <xdr:sp macro="" textlink="">
      <xdr:nvSpPr>
        <xdr:cNvPr id="19755" name="AutoShape 299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E1F25AE3-DE3A-C9B1-F810-BF55B48BDC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23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304</xdr:row>
      <xdr:rowOff>304800</xdr:rowOff>
    </xdr:to>
    <xdr:sp macro="" textlink="">
      <xdr:nvSpPr>
        <xdr:cNvPr id="19756" name="AutoShape 300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2F965916-5BF0-EF08-61A1-223AB65F30C1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3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305</xdr:row>
      <xdr:rowOff>304800</xdr:rowOff>
    </xdr:to>
    <xdr:sp macro="" textlink="">
      <xdr:nvSpPr>
        <xdr:cNvPr id="19757" name="AutoShape 301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1C615543-6DFB-D82E-D7B0-426FB08E1E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55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306</xdr:row>
      <xdr:rowOff>304800</xdr:rowOff>
    </xdr:to>
    <xdr:sp macro="" textlink="">
      <xdr:nvSpPr>
        <xdr:cNvPr id="19758" name="AutoShape 302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51421DE7-BFD2-2AB1-0701-79FF51DB56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307</xdr:row>
      <xdr:rowOff>304800</xdr:rowOff>
    </xdr:to>
    <xdr:sp macro="" textlink="">
      <xdr:nvSpPr>
        <xdr:cNvPr id="19759" name="AutoShape 303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D28BE32D-5AA0-4255-6729-B23D957236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88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308</xdr:row>
      <xdr:rowOff>304800</xdr:rowOff>
    </xdr:to>
    <xdr:sp macro="" textlink="">
      <xdr:nvSpPr>
        <xdr:cNvPr id="19760" name="AutoShape 304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DA088269-65B7-A19B-2D2E-91796B9055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04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309</xdr:row>
      <xdr:rowOff>304800</xdr:rowOff>
    </xdr:to>
    <xdr:sp macro="" textlink="">
      <xdr:nvSpPr>
        <xdr:cNvPr id="19761" name="AutoShape 305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DE852481-244A-1129-CF9D-49338AD64A4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20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310</xdr:row>
      <xdr:rowOff>304800</xdr:rowOff>
    </xdr:to>
    <xdr:sp macro="" textlink="">
      <xdr:nvSpPr>
        <xdr:cNvPr id="19762" name="AutoShape 306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40F13275-A4A4-9944-3C88-CFB97E01984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36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2" name="AutoShape 13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75DCEC-2D17-45D9-934F-1592F42C66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" name="AutoShape 14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D00E253-A2E2-4A07-B28D-9F16448D92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4" name="AutoShape 15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9CB57E-EA32-48CE-B480-7B92D75486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5" name="AutoShape 16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6A183AC-8688-460A-9EE6-EFB29BD9621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6" name="AutoShape 17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3C1476-9562-4B2C-9657-955CDDA657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7" name="AutoShape 18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1370E9F-FAE8-4AF8-B6BB-E4C87BFC86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8" name="AutoShape 19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7004BEA-550A-4CB2-B54C-0AF8598F07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9" name="AutoShape 20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CEA4BD-30CE-4654-9FB8-BA5D3CB4DBD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0" name="AutoShape 21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56B9367-0DE9-488C-9F37-2F3EE3EB85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142875</xdr:rowOff>
    </xdr:to>
    <xdr:sp macro="" textlink="">
      <xdr:nvSpPr>
        <xdr:cNvPr id="11" name="AutoShape 22">
          <a:extLst>
            <a:ext uri="{FF2B5EF4-FFF2-40B4-BE49-F238E27FC236}">
              <a16:creationId xmlns:a16="http://schemas.microsoft.com/office/drawing/2014/main" id="{F3AAEC51-5DD6-496F-85C3-2CE6E67D590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2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15B3BB7-FE82-470F-BAA9-3FBC2AB9F3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6DA5C-EA69-498B-AB5C-ED0D938BB6B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4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436816-A753-4BA6-8AB1-F8D0CA95807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5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8347BBD-C836-4721-A21C-F4506510030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6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CAFAB4B-3564-45D5-9C41-971729777C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7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26DD810-AFD3-4D41-B0B5-8E964CBFF1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8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E00DE54-0E51-4D8B-AB22-798EFC4876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9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927EE84-697F-44B4-94C5-8E367C70CA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20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F79DE53-B451-4EEA-B8CF-DAC3CF432ED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21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B3F3D2-6D12-4B7C-B7C1-02B57694527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22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2A0E738-5D7B-4A61-9FDD-A764DDFAD6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23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808850D-C400-49B2-AF12-6597872967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24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33939A7-2D12-48A5-96B9-1BD45498E46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25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2F35CCE-A7E7-413A-AA9F-BC7ABB18A2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26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D4FBC1E-1547-47D6-BB11-FDF9E64329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27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F6DE89E-2C1F-4653-BFB9-F7141210B3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28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F789E563-09F4-4F54-802B-77097928B8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29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E3BE61E-77C2-484A-A20A-94014AC9FE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30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78A9527-EA86-442C-A873-F7F66E27E3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31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A66A55-D321-440E-9858-216B9AA75F1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32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D8C26097-F384-4036-9161-8C0B9DFC291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33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6039E0CD-19BF-409A-AF79-AE658EE32D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34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FCE8D4FF-4911-49E9-8786-069255BC4BF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35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5DE6DB3-8F56-4DD2-9AA3-0158D3104C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36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974075A-9978-46BF-9A83-58F345738BA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37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A4C11AA-19CC-4BD7-945F-3580478136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38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E7A93AB-B79E-448C-BC58-E9A4E0ADB9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39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180ECB41-B4D2-4C3D-AE95-8F930CDDDD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40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88463D2-225A-42FE-AF79-B0B10F9EDDE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41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93489F4F-DCC8-4972-8DFA-D59BAF56F2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142875</xdr:rowOff>
    </xdr:to>
    <xdr:sp macro="" textlink="">
      <xdr:nvSpPr>
        <xdr:cNvPr id="42" name="AutoShape 33">
          <a:extLst>
            <a:ext uri="{FF2B5EF4-FFF2-40B4-BE49-F238E27FC236}">
              <a16:creationId xmlns:a16="http://schemas.microsoft.com/office/drawing/2014/main" id="{6E214B8E-71D3-4271-9AAD-CFAED10CB5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4</xdr:row>
      <xdr:rowOff>0</xdr:rowOff>
    </xdr:from>
    <xdr:ext cx="304800" cy="304800"/>
    <xdr:sp macro="" textlink="">
      <xdr:nvSpPr>
        <xdr:cNvPr id="43" name="AutoShape 22">
          <a:extLst>
            <a:ext uri="{FF2B5EF4-FFF2-40B4-BE49-F238E27FC236}">
              <a16:creationId xmlns:a16="http://schemas.microsoft.com/office/drawing/2014/main" id="{BE58FA21-3642-4F46-B0F0-5373266760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</xdr:row>
      <xdr:rowOff>0</xdr:rowOff>
    </xdr:from>
    <xdr:ext cx="304800" cy="304800"/>
    <xdr:sp macro="" textlink="">
      <xdr:nvSpPr>
        <xdr:cNvPr id="44" name="AutoShape 33">
          <a:extLst>
            <a:ext uri="{FF2B5EF4-FFF2-40B4-BE49-F238E27FC236}">
              <a16:creationId xmlns:a16="http://schemas.microsoft.com/office/drawing/2014/main" id="{28356B2A-1C4B-408F-AA6E-C457184B4C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</xdr:row>
      <xdr:rowOff>0</xdr:rowOff>
    </xdr:from>
    <xdr:ext cx="304800" cy="304800"/>
    <xdr:sp macro="" textlink="">
      <xdr:nvSpPr>
        <xdr:cNvPr id="45" name="AutoShape 22">
          <a:extLst>
            <a:ext uri="{FF2B5EF4-FFF2-40B4-BE49-F238E27FC236}">
              <a16:creationId xmlns:a16="http://schemas.microsoft.com/office/drawing/2014/main" id="{F1D01A5D-0FBD-4472-8430-DF19B12842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</xdr:row>
      <xdr:rowOff>0</xdr:rowOff>
    </xdr:from>
    <xdr:ext cx="304800" cy="304800"/>
    <xdr:sp macro="" textlink="">
      <xdr:nvSpPr>
        <xdr:cNvPr id="46" name="AutoShape 33">
          <a:extLst>
            <a:ext uri="{FF2B5EF4-FFF2-40B4-BE49-F238E27FC236}">
              <a16:creationId xmlns:a16="http://schemas.microsoft.com/office/drawing/2014/main" id="{853A5AD5-883C-47C1-A8E2-6742590ADF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7" name="AutoShape 22">
          <a:extLst>
            <a:ext uri="{FF2B5EF4-FFF2-40B4-BE49-F238E27FC236}">
              <a16:creationId xmlns:a16="http://schemas.microsoft.com/office/drawing/2014/main" id="{378A1C0E-7659-4F72-84CA-4B59BA399C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8" name="AutoShape 33">
          <a:extLst>
            <a:ext uri="{FF2B5EF4-FFF2-40B4-BE49-F238E27FC236}">
              <a16:creationId xmlns:a16="http://schemas.microsoft.com/office/drawing/2014/main" id="{DFD2003A-40D5-489D-8B4C-C6C6EBB74D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49" name="AutoShape 22">
          <a:extLst>
            <a:ext uri="{FF2B5EF4-FFF2-40B4-BE49-F238E27FC236}">
              <a16:creationId xmlns:a16="http://schemas.microsoft.com/office/drawing/2014/main" id="{D9BF8D01-ED69-474E-98F8-90C7F6D3E90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0" name="AutoShape 33">
          <a:extLst>
            <a:ext uri="{FF2B5EF4-FFF2-40B4-BE49-F238E27FC236}">
              <a16:creationId xmlns:a16="http://schemas.microsoft.com/office/drawing/2014/main" id="{FB5915E3-E9FA-4CFF-A52D-12ABD6B7D7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1" name="AutoShape 22">
          <a:extLst>
            <a:ext uri="{FF2B5EF4-FFF2-40B4-BE49-F238E27FC236}">
              <a16:creationId xmlns:a16="http://schemas.microsoft.com/office/drawing/2014/main" id="{EA1542A4-7712-4587-B7EC-60B22302D8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2" name="AutoShape 33">
          <a:extLst>
            <a:ext uri="{FF2B5EF4-FFF2-40B4-BE49-F238E27FC236}">
              <a16:creationId xmlns:a16="http://schemas.microsoft.com/office/drawing/2014/main" id="{F5EB6708-2A1E-4CF2-B901-CB9AD6576E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3" name="AutoShape 22">
          <a:extLst>
            <a:ext uri="{FF2B5EF4-FFF2-40B4-BE49-F238E27FC236}">
              <a16:creationId xmlns:a16="http://schemas.microsoft.com/office/drawing/2014/main" id="{A99AAC81-075D-4069-B084-F289BF896E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4" name="AutoShape 33">
          <a:extLst>
            <a:ext uri="{FF2B5EF4-FFF2-40B4-BE49-F238E27FC236}">
              <a16:creationId xmlns:a16="http://schemas.microsoft.com/office/drawing/2014/main" id="{7065CA47-0621-4C61-AC99-229F2E421F7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5" name="AutoShape 22">
          <a:extLst>
            <a:ext uri="{FF2B5EF4-FFF2-40B4-BE49-F238E27FC236}">
              <a16:creationId xmlns:a16="http://schemas.microsoft.com/office/drawing/2014/main" id="{17D6093F-6BAB-4381-BAA1-B6DCDFF3A7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6" name="AutoShape 33">
          <a:extLst>
            <a:ext uri="{FF2B5EF4-FFF2-40B4-BE49-F238E27FC236}">
              <a16:creationId xmlns:a16="http://schemas.microsoft.com/office/drawing/2014/main" id="{C033AA6D-1487-4398-BCB6-CB57CE99BD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7" name="AutoShape 22">
          <a:extLst>
            <a:ext uri="{FF2B5EF4-FFF2-40B4-BE49-F238E27FC236}">
              <a16:creationId xmlns:a16="http://schemas.microsoft.com/office/drawing/2014/main" id="{E67C6B23-B303-445B-83DC-895B4D9B39B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8" name="AutoShape 33">
          <a:extLst>
            <a:ext uri="{FF2B5EF4-FFF2-40B4-BE49-F238E27FC236}">
              <a16:creationId xmlns:a16="http://schemas.microsoft.com/office/drawing/2014/main" id="{99C80361-8DE9-4B70-9A38-F093028761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9" name="AutoShape 22">
          <a:extLst>
            <a:ext uri="{FF2B5EF4-FFF2-40B4-BE49-F238E27FC236}">
              <a16:creationId xmlns:a16="http://schemas.microsoft.com/office/drawing/2014/main" id="{3F1FFC3C-2F30-48E1-B745-07D3144B8F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60" name="AutoShape 33">
          <a:extLst>
            <a:ext uri="{FF2B5EF4-FFF2-40B4-BE49-F238E27FC236}">
              <a16:creationId xmlns:a16="http://schemas.microsoft.com/office/drawing/2014/main" id="{92782367-F66C-456C-AE3A-BBCB6A8379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1" name="AutoShape 22">
          <a:extLst>
            <a:ext uri="{FF2B5EF4-FFF2-40B4-BE49-F238E27FC236}">
              <a16:creationId xmlns:a16="http://schemas.microsoft.com/office/drawing/2014/main" id="{A110F145-1DD9-46F8-A602-66BCECBF8C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2" name="AutoShape 33">
          <a:extLst>
            <a:ext uri="{FF2B5EF4-FFF2-40B4-BE49-F238E27FC236}">
              <a16:creationId xmlns:a16="http://schemas.microsoft.com/office/drawing/2014/main" id="{957CE2BC-F737-4AE7-9A0A-3F6CBB90BD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3" name="AutoShape 22">
          <a:extLst>
            <a:ext uri="{FF2B5EF4-FFF2-40B4-BE49-F238E27FC236}">
              <a16:creationId xmlns:a16="http://schemas.microsoft.com/office/drawing/2014/main" id="{87B8ED54-C794-44F2-BE1C-45A708FC841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4" name="AutoShape 33">
          <a:extLst>
            <a:ext uri="{FF2B5EF4-FFF2-40B4-BE49-F238E27FC236}">
              <a16:creationId xmlns:a16="http://schemas.microsoft.com/office/drawing/2014/main" id="{998EDC4E-E2A9-42AF-845A-649426B6FE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5" name="AutoShape 22">
          <a:extLst>
            <a:ext uri="{FF2B5EF4-FFF2-40B4-BE49-F238E27FC236}">
              <a16:creationId xmlns:a16="http://schemas.microsoft.com/office/drawing/2014/main" id="{9744D225-378C-45ED-BB3C-169E27A6E77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6" name="AutoShape 33">
          <a:extLst>
            <a:ext uri="{FF2B5EF4-FFF2-40B4-BE49-F238E27FC236}">
              <a16:creationId xmlns:a16="http://schemas.microsoft.com/office/drawing/2014/main" id="{5DB7FA3C-9B73-4134-8606-B78B6DE1BC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7" name="AutoShape 22">
          <a:extLst>
            <a:ext uri="{FF2B5EF4-FFF2-40B4-BE49-F238E27FC236}">
              <a16:creationId xmlns:a16="http://schemas.microsoft.com/office/drawing/2014/main" id="{9007110A-5CBF-41F4-BE8A-5AD3172C0C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8" name="AutoShape 33">
          <a:extLst>
            <a:ext uri="{FF2B5EF4-FFF2-40B4-BE49-F238E27FC236}">
              <a16:creationId xmlns:a16="http://schemas.microsoft.com/office/drawing/2014/main" id="{B59DB2D7-5112-488D-B89C-1814BD07D76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69" name="AutoShape 22">
          <a:extLst>
            <a:ext uri="{FF2B5EF4-FFF2-40B4-BE49-F238E27FC236}">
              <a16:creationId xmlns:a16="http://schemas.microsoft.com/office/drawing/2014/main" id="{881EEA9B-9D72-4C1E-93B6-F8AE422FC68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0" name="AutoShape 33">
          <a:extLst>
            <a:ext uri="{FF2B5EF4-FFF2-40B4-BE49-F238E27FC236}">
              <a16:creationId xmlns:a16="http://schemas.microsoft.com/office/drawing/2014/main" id="{ED028DCF-59D5-46C1-A912-D5EF242B8F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1" name="AutoShape 22">
          <a:extLst>
            <a:ext uri="{FF2B5EF4-FFF2-40B4-BE49-F238E27FC236}">
              <a16:creationId xmlns:a16="http://schemas.microsoft.com/office/drawing/2014/main" id="{1CF50227-8992-4954-B538-F184F0C81A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2" name="AutoShape 33">
          <a:extLst>
            <a:ext uri="{FF2B5EF4-FFF2-40B4-BE49-F238E27FC236}">
              <a16:creationId xmlns:a16="http://schemas.microsoft.com/office/drawing/2014/main" id="{5A747E52-9A6C-4A0C-ADCA-EE74621DF41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3" name="AutoShape 22">
          <a:extLst>
            <a:ext uri="{FF2B5EF4-FFF2-40B4-BE49-F238E27FC236}">
              <a16:creationId xmlns:a16="http://schemas.microsoft.com/office/drawing/2014/main" id="{B68868AC-F8B9-4171-9BD5-3EC2A975CB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4" name="AutoShape 33">
          <a:extLst>
            <a:ext uri="{FF2B5EF4-FFF2-40B4-BE49-F238E27FC236}">
              <a16:creationId xmlns:a16="http://schemas.microsoft.com/office/drawing/2014/main" id="{2FF65A8B-7DE0-4AD4-9684-9D6622923FB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5" name="AutoShape 22">
          <a:extLst>
            <a:ext uri="{FF2B5EF4-FFF2-40B4-BE49-F238E27FC236}">
              <a16:creationId xmlns:a16="http://schemas.microsoft.com/office/drawing/2014/main" id="{60FE5113-82C9-439D-BCAA-E1FA3C885D9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6" name="AutoShape 33">
          <a:extLst>
            <a:ext uri="{FF2B5EF4-FFF2-40B4-BE49-F238E27FC236}">
              <a16:creationId xmlns:a16="http://schemas.microsoft.com/office/drawing/2014/main" id="{EAC24C24-FC72-48A9-88AF-333B044C64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7" name="AutoShape 22">
          <a:extLst>
            <a:ext uri="{FF2B5EF4-FFF2-40B4-BE49-F238E27FC236}">
              <a16:creationId xmlns:a16="http://schemas.microsoft.com/office/drawing/2014/main" id="{B961B77A-79A2-4948-8F0C-40673AE281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8" name="AutoShape 33">
          <a:extLst>
            <a:ext uri="{FF2B5EF4-FFF2-40B4-BE49-F238E27FC236}">
              <a16:creationId xmlns:a16="http://schemas.microsoft.com/office/drawing/2014/main" id="{8547C504-E00D-4098-AC95-136CCC68A1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9" name="AutoShape 22">
          <a:extLst>
            <a:ext uri="{FF2B5EF4-FFF2-40B4-BE49-F238E27FC236}">
              <a16:creationId xmlns:a16="http://schemas.microsoft.com/office/drawing/2014/main" id="{D7328819-1B14-423E-B76B-677156369CD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80" name="AutoShape 33">
          <a:extLst>
            <a:ext uri="{FF2B5EF4-FFF2-40B4-BE49-F238E27FC236}">
              <a16:creationId xmlns:a16="http://schemas.microsoft.com/office/drawing/2014/main" id="{96485D51-4AF9-4B0A-96D6-5F225BAB85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1" name="AutoShape 22">
          <a:extLst>
            <a:ext uri="{FF2B5EF4-FFF2-40B4-BE49-F238E27FC236}">
              <a16:creationId xmlns:a16="http://schemas.microsoft.com/office/drawing/2014/main" id="{55C28FF7-8732-4EA2-A94D-E7E10BDEA9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2" name="AutoShape 33">
          <a:extLst>
            <a:ext uri="{FF2B5EF4-FFF2-40B4-BE49-F238E27FC236}">
              <a16:creationId xmlns:a16="http://schemas.microsoft.com/office/drawing/2014/main" id="{D4C48897-4F5D-4BAF-AF06-E9F3781502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3" name="AutoShape 22">
          <a:extLst>
            <a:ext uri="{FF2B5EF4-FFF2-40B4-BE49-F238E27FC236}">
              <a16:creationId xmlns:a16="http://schemas.microsoft.com/office/drawing/2014/main" id="{FF8EF18E-B961-438B-8A0B-8B8AA395F1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4" name="AutoShape 33">
          <a:extLst>
            <a:ext uri="{FF2B5EF4-FFF2-40B4-BE49-F238E27FC236}">
              <a16:creationId xmlns:a16="http://schemas.microsoft.com/office/drawing/2014/main" id="{8A7390E1-80AC-4FDB-8A4D-CB91EAEE0D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5" name="AutoShape 22">
          <a:extLst>
            <a:ext uri="{FF2B5EF4-FFF2-40B4-BE49-F238E27FC236}">
              <a16:creationId xmlns:a16="http://schemas.microsoft.com/office/drawing/2014/main" id="{398F2C5D-692C-49AB-92C8-8149E970ED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6" name="AutoShape 33">
          <a:extLst>
            <a:ext uri="{FF2B5EF4-FFF2-40B4-BE49-F238E27FC236}">
              <a16:creationId xmlns:a16="http://schemas.microsoft.com/office/drawing/2014/main" id="{31FA5C74-EAE0-40F2-BDE3-73E1089956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7" name="AutoShape 22">
          <a:extLst>
            <a:ext uri="{FF2B5EF4-FFF2-40B4-BE49-F238E27FC236}">
              <a16:creationId xmlns:a16="http://schemas.microsoft.com/office/drawing/2014/main" id="{2A903173-6651-4B6F-9FDE-81135CA948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8" name="AutoShape 33">
          <a:extLst>
            <a:ext uri="{FF2B5EF4-FFF2-40B4-BE49-F238E27FC236}">
              <a16:creationId xmlns:a16="http://schemas.microsoft.com/office/drawing/2014/main" id="{E7E7AB8B-BD26-43D3-B400-475BEC2C28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89" name="AutoShape 22">
          <a:extLst>
            <a:ext uri="{FF2B5EF4-FFF2-40B4-BE49-F238E27FC236}">
              <a16:creationId xmlns:a16="http://schemas.microsoft.com/office/drawing/2014/main" id="{40518382-87E3-41A9-84B9-688FE50246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0" name="AutoShape 33">
          <a:extLst>
            <a:ext uri="{FF2B5EF4-FFF2-40B4-BE49-F238E27FC236}">
              <a16:creationId xmlns:a16="http://schemas.microsoft.com/office/drawing/2014/main" id="{3CC2E06F-0832-40D4-A912-98AABE8990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1" name="AutoShape 22">
          <a:extLst>
            <a:ext uri="{FF2B5EF4-FFF2-40B4-BE49-F238E27FC236}">
              <a16:creationId xmlns:a16="http://schemas.microsoft.com/office/drawing/2014/main" id="{2C0BC4EF-B56D-4A25-AE0A-EDED71D17BA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2" name="AutoShape 33">
          <a:extLst>
            <a:ext uri="{FF2B5EF4-FFF2-40B4-BE49-F238E27FC236}">
              <a16:creationId xmlns:a16="http://schemas.microsoft.com/office/drawing/2014/main" id="{C32871A5-BC74-4765-B629-3F09D1AA58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3" name="AutoShape 22">
          <a:extLst>
            <a:ext uri="{FF2B5EF4-FFF2-40B4-BE49-F238E27FC236}">
              <a16:creationId xmlns:a16="http://schemas.microsoft.com/office/drawing/2014/main" id="{ED381911-0090-4913-8F7E-920AB82D64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4" name="AutoShape 33">
          <a:extLst>
            <a:ext uri="{FF2B5EF4-FFF2-40B4-BE49-F238E27FC236}">
              <a16:creationId xmlns:a16="http://schemas.microsoft.com/office/drawing/2014/main" id="{2FD329BB-233F-4556-B7E1-EB9A49EC540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5" name="AutoShape 22">
          <a:extLst>
            <a:ext uri="{FF2B5EF4-FFF2-40B4-BE49-F238E27FC236}">
              <a16:creationId xmlns:a16="http://schemas.microsoft.com/office/drawing/2014/main" id="{5AE14FD3-C82B-4E12-9608-21876FB2FF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6" name="AutoShape 33">
          <a:extLst>
            <a:ext uri="{FF2B5EF4-FFF2-40B4-BE49-F238E27FC236}">
              <a16:creationId xmlns:a16="http://schemas.microsoft.com/office/drawing/2014/main" id="{7980FCC1-FB06-40AD-8013-C50855B1EF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7" name="AutoShape 22">
          <a:extLst>
            <a:ext uri="{FF2B5EF4-FFF2-40B4-BE49-F238E27FC236}">
              <a16:creationId xmlns:a16="http://schemas.microsoft.com/office/drawing/2014/main" id="{523A0C44-C2F2-4232-B2D9-B8E63F9FAD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8" name="AutoShape 33">
          <a:extLst>
            <a:ext uri="{FF2B5EF4-FFF2-40B4-BE49-F238E27FC236}">
              <a16:creationId xmlns:a16="http://schemas.microsoft.com/office/drawing/2014/main" id="{19E63452-F678-4F88-B447-7517E2DD13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9" name="AutoShape 22">
          <a:extLst>
            <a:ext uri="{FF2B5EF4-FFF2-40B4-BE49-F238E27FC236}">
              <a16:creationId xmlns:a16="http://schemas.microsoft.com/office/drawing/2014/main" id="{F3C4534F-28F8-427B-9869-0FDFEE8A438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100" name="AutoShape 33">
          <a:extLst>
            <a:ext uri="{FF2B5EF4-FFF2-40B4-BE49-F238E27FC236}">
              <a16:creationId xmlns:a16="http://schemas.microsoft.com/office/drawing/2014/main" id="{AE96EE3C-C8E2-4D84-AA1A-A4C7F57035D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1" name="AutoShape 22">
          <a:extLst>
            <a:ext uri="{FF2B5EF4-FFF2-40B4-BE49-F238E27FC236}">
              <a16:creationId xmlns:a16="http://schemas.microsoft.com/office/drawing/2014/main" id="{91FA797D-1A22-4F20-B4A5-5D4152349E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2" name="AutoShape 33">
          <a:extLst>
            <a:ext uri="{FF2B5EF4-FFF2-40B4-BE49-F238E27FC236}">
              <a16:creationId xmlns:a16="http://schemas.microsoft.com/office/drawing/2014/main" id="{4903B12A-C1AD-45AE-83FB-7B5F6BA577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3" name="AutoShape 22">
          <a:extLst>
            <a:ext uri="{FF2B5EF4-FFF2-40B4-BE49-F238E27FC236}">
              <a16:creationId xmlns:a16="http://schemas.microsoft.com/office/drawing/2014/main" id="{2738DAD4-2FAD-4766-AA70-84424D212F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4" name="AutoShape 33">
          <a:extLst>
            <a:ext uri="{FF2B5EF4-FFF2-40B4-BE49-F238E27FC236}">
              <a16:creationId xmlns:a16="http://schemas.microsoft.com/office/drawing/2014/main" id="{9721E4A8-32F5-457F-B90F-4130E30C25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5" name="AutoShape 22">
          <a:extLst>
            <a:ext uri="{FF2B5EF4-FFF2-40B4-BE49-F238E27FC236}">
              <a16:creationId xmlns:a16="http://schemas.microsoft.com/office/drawing/2014/main" id="{2D151DC1-B3BB-4CCA-A4DF-E36C8AA4ED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6" name="AutoShape 33">
          <a:extLst>
            <a:ext uri="{FF2B5EF4-FFF2-40B4-BE49-F238E27FC236}">
              <a16:creationId xmlns:a16="http://schemas.microsoft.com/office/drawing/2014/main" id="{E5065A06-EBC6-41F7-B15D-1CB940ED1B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7" name="AutoShape 22">
          <a:extLst>
            <a:ext uri="{FF2B5EF4-FFF2-40B4-BE49-F238E27FC236}">
              <a16:creationId xmlns:a16="http://schemas.microsoft.com/office/drawing/2014/main" id="{A7CCBCBF-37B3-4738-9F35-05027ACC4C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8" name="AutoShape 33">
          <a:extLst>
            <a:ext uri="{FF2B5EF4-FFF2-40B4-BE49-F238E27FC236}">
              <a16:creationId xmlns:a16="http://schemas.microsoft.com/office/drawing/2014/main" id="{CA1E01E8-4355-413B-9C74-388622D2A7E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09" name="AutoShape 22">
          <a:extLst>
            <a:ext uri="{FF2B5EF4-FFF2-40B4-BE49-F238E27FC236}">
              <a16:creationId xmlns:a16="http://schemas.microsoft.com/office/drawing/2014/main" id="{6B33D66B-BC8B-4ACC-ADDE-AE11240BA4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0" name="AutoShape 33">
          <a:extLst>
            <a:ext uri="{FF2B5EF4-FFF2-40B4-BE49-F238E27FC236}">
              <a16:creationId xmlns:a16="http://schemas.microsoft.com/office/drawing/2014/main" id="{13DCB071-3A68-4DEA-ADDE-8B8CDF67D6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1" name="AutoShape 22">
          <a:extLst>
            <a:ext uri="{FF2B5EF4-FFF2-40B4-BE49-F238E27FC236}">
              <a16:creationId xmlns:a16="http://schemas.microsoft.com/office/drawing/2014/main" id="{113C6B96-19C2-4D4D-A275-1D73B94070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2" name="AutoShape 33">
          <a:extLst>
            <a:ext uri="{FF2B5EF4-FFF2-40B4-BE49-F238E27FC236}">
              <a16:creationId xmlns:a16="http://schemas.microsoft.com/office/drawing/2014/main" id="{4ADE4718-E022-4A2F-89CC-7A4DC1A146D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3" name="AutoShape 22">
          <a:extLst>
            <a:ext uri="{FF2B5EF4-FFF2-40B4-BE49-F238E27FC236}">
              <a16:creationId xmlns:a16="http://schemas.microsoft.com/office/drawing/2014/main" id="{785FEB6A-C1AB-4701-A438-D5494EE8E1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4" name="AutoShape 33">
          <a:extLst>
            <a:ext uri="{FF2B5EF4-FFF2-40B4-BE49-F238E27FC236}">
              <a16:creationId xmlns:a16="http://schemas.microsoft.com/office/drawing/2014/main" id="{BC0D7FDA-730D-43E9-903F-92D7CAF440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5" name="AutoShape 22">
          <a:extLst>
            <a:ext uri="{FF2B5EF4-FFF2-40B4-BE49-F238E27FC236}">
              <a16:creationId xmlns:a16="http://schemas.microsoft.com/office/drawing/2014/main" id="{4C1BE085-D80D-4D03-904E-8B93FC6961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6" name="AutoShape 33">
          <a:extLst>
            <a:ext uri="{FF2B5EF4-FFF2-40B4-BE49-F238E27FC236}">
              <a16:creationId xmlns:a16="http://schemas.microsoft.com/office/drawing/2014/main" id="{BCC58E2E-A0B4-4916-84CA-AA6C0591F4F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7" name="AutoShape 22">
          <a:extLst>
            <a:ext uri="{FF2B5EF4-FFF2-40B4-BE49-F238E27FC236}">
              <a16:creationId xmlns:a16="http://schemas.microsoft.com/office/drawing/2014/main" id="{73AE85A0-0952-4958-BA45-492F6D2583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8" name="AutoShape 33">
          <a:extLst>
            <a:ext uri="{FF2B5EF4-FFF2-40B4-BE49-F238E27FC236}">
              <a16:creationId xmlns:a16="http://schemas.microsoft.com/office/drawing/2014/main" id="{46AB5B7F-8659-42E3-94C1-A862323C78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9" name="AutoShape 22">
          <a:extLst>
            <a:ext uri="{FF2B5EF4-FFF2-40B4-BE49-F238E27FC236}">
              <a16:creationId xmlns:a16="http://schemas.microsoft.com/office/drawing/2014/main" id="{B34CF6DE-04A8-49F2-9482-0E38C1CA8D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20" name="AutoShape 33">
          <a:extLst>
            <a:ext uri="{FF2B5EF4-FFF2-40B4-BE49-F238E27FC236}">
              <a16:creationId xmlns:a16="http://schemas.microsoft.com/office/drawing/2014/main" id="{BFBB4208-F3E6-416D-9091-EABD5EB0E7B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1" name="AutoShape 22">
          <a:extLst>
            <a:ext uri="{FF2B5EF4-FFF2-40B4-BE49-F238E27FC236}">
              <a16:creationId xmlns:a16="http://schemas.microsoft.com/office/drawing/2014/main" id="{4A59F88D-1DFC-451A-874E-CF55FA7A11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2" name="AutoShape 33">
          <a:extLst>
            <a:ext uri="{FF2B5EF4-FFF2-40B4-BE49-F238E27FC236}">
              <a16:creationId xmlns:a16="http://schemas.microsoft.com/office/drawing/2014/main" id="{EA2844A2-FA4B-4B62-8BA3-1299E37EC9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3" name="AutoShape 22">
          <a:extLst>
            <a:ext uri="{FF2B5EF4-FFF2-40B4-BE49-F238E27FC236}">
              <a16:creationId xmlns:a16="http://schemas.microsoft.com/office/drawing/2014/main" id="{C8CCDCC2-9D7A-4C94-A918-8CFB89125C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4" name="AutoShape 33">
          <a:extLst>
            <a:ext uri="{FF2B5EF4-FFF2-40B4-BE49-F238E27FC236}">
              <a16:creationId xmlns:a16="http://schemas.microsoft.com/office/drawing/2014/main" id="{87446829-83DC-49DD-9BE4-367E4B73DB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5" name="AutoShape 22">
          <a:extLst>
            <a:ext uri="{FF2B5EF4-FFF2-40B4-BE49-F238E27FC236}">
              <a16:creationId xmlns:a16="http://schemas.microsoft.com/office/drawing/2014/main" id="{FC5CB67B-E42F-42CE-9FB9-BD7B63957B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6" name="AutoShape 33">
          <a:extLst>
            <a:ext uri="{FF2B5EF4-FFF2-40B4-BE49-F238E27FC236}">
              <a16:creationId xmlns:a16="http://schemas.microsoft.com/office/drawing/2014/main" id="{35FFB990-9755-4AED-BFDF-D52B66AAF09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7" name="AutoShape 22">
          <a:extLst>
            <a:ext uri="{FF2B5EF4-FFF2-40B4-BE49-F238E27FC236}">
              <a16:creationId xmlns:a16="http://schemas.microsoft.com/office/drawing/2014/main" id="{0D29284C-39E6-4DEC-AD80-F2E77FB447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8" name="AutoShape 33">
          <a:extLst>
            <a:ext uri="{FF2B5EF4-FFF2-40B4-BE49-F238E27FC236}">
              <a16:creationId xmlns:a16="http://schemas.microsoft.com/office/drawing/2014/main" id="{652D65DD-267A-4233-8AD9-0646836FCF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29" name="AutoShape 22">
          <a:extLst>
            <a:ext uri="{FF2B5EF4-FFF2-40B4-BE49-F238E27FC236}">
              <a16:creationId xmlns:a16="http://schemas.microsoft.com/office/drawing/2014/main" id="{B142583A-25D7-4B4F-8631-716B7965D5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0" name="AutoShape 33">
          <a:extLst>
            <a:ext uri="{FF2B5EF4-FFF2-40B4-BE49-F238E27FC236}">
              <a16:creationId xmlns:a16="http://schemas.microsoft.com/office/drawing/2014/main" id="{2A48C8B6-2CDF-4D1B-93E8-D6A5ECD997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1" name="AutoShape 22">
          <a:extLst>
            <a:ext uri="{FF2B5EF4-FFF2-40B4-BE49-F238E27FC236}">
              <a16:creationId xmlns:a16="http://schemas.microsoft.com/office/drawing/2014/main" id="{22E94127-5ED7-4337-9724-4CF4C67A6C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2" name="AutoShape 33">
          <a:extLst>
            <a:ext uri="{FF2B5EF4-FFF2-40B4-BE49-F238E27FC236}">
              <a16:creationId xmlns:a16="http://schemas.microsoft.com/office/drawing/2014/main" id="{64931655-0B44-4FD3-8966-153F8E004C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3" name="AutoShape 22">
          <a:extLst>
            <a:ext uri="{FF2B5EF4-FFF2-40B4-BE49-F238E27FC236}">
              <a16:creationId xmlns:a16="http://schemas.microsoft.com/office/drawing/2014/main" id="{A1CE6709-4E2F-4407-9FF2-E727A4D1B79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4" name="AutoShape 33">
          <a:extLst>
            <a:ext uri="{FF2B5EF4-FFF2-40B4-BE49-F238E27FC236}">
              <a16:creationId xmlns:a16="http://schemas.microsoft.com/office/drawing/2014/main" id="{7A9CA573-8275-4EA2-AFD7-AA65446035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5" name="AutoShape 22">
          <a:extLst>
            <a:ext uri="{FF2B5EF4-FFF2-40B4-BE49-F238E27FC236}">
              <a16:creationId xmlns:a16="http://schemas.microsoft.com/office/drawing/2014/main" id="{50C3034C-7024-49AA-A4CF-4A1196437B9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6" name="AutoShape 33">
          <a:extLst>
            <a:ext uri="{FF2B5EF4-FFF2-40B4-BE49-F238E27FC236}">
              <a16:creationId xmlns:a16="http://schemas.microsoft.com/office/drawing/2014/main" id="{5FC5A79E-FBBE-4391-9B3F-D68D85CA31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7" name="AutoShape 22">
          <a:extLst>
            <a:ext uri="{FF2B5EF4-FFF2-40B4-BE49-F238E27FC236}">
              <a16:creationId xmlns:a16="http://schemas.microsoft.com/office/drawing/2014/main" id="{91B408D6-BB6E-4DB1-8A58-CCBA52CF43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8" name="AutoShape 33">
          <a:extLst>
            <a:ext uri="{FF2B5EF4-FFF2-40B4-BE49-F238E27FC236}">
              <a16:creationId xmlns:a16="http://schemas.microsoft.com/office/drawing/2014/main" id="{F8555879-F6EF-4FA0-88E1-7C9EDDCCFB3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9" name="AutoShape 22">
          <a:extLst>
            <a:ext uri="{FF2B5EF4-FFF2-40B4-BE49-F238E27FC236}">
              <a16:creationId xmlns:a16="http://schemas.microsoft.com/office/drawing/2014/main" id="{D7AE0072-7260-4EA4-B397-C843021CD6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40" name="AutoShape 33">
          <a:extLst>
            <a:ext uri="{FF2B5EF4-FFF2-40B4-BE49-F238E27FC236}">
              <a16:creationId xmlns:a16="http://schemas.microsoft.com/office/drawing/2014/main" id="{F5F93405-D478-49D5-8682-5040916D5F6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1" name="AutoShape 22">
          <a:extLst>
            <a:ext uri="{FF2B5EF4-FFF2-40B4-BE49-F238E27FC236}">
              <a16:creationId xmlns:a16="http://schemas.microsoft.com/office/drawing/2014/main" id="{9D6A4728-9426-4FC7-BC49-1B4ECF57B2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2" name="AutoShape 33">
          <a:extLst>
            <a:ext uri="{FF2B5EF4-FFF2-40B4-BE49-F238E27FC236}">
              <a16:creationId xmlns:a16="http://schemas.microsoft.com/office/drawing/2014/main" id="{0CBB1F48-3C09-4D0E-9FC6-653A8BDB0D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3" name="AutoShape 22">
          <a:extLst>
            <a:ext uri="{FF2B5EF4-FFF2-40B4-BE49-F238E27FC236}">
              <a16:creationId xmlns:a16="http://schemas.microsoft.com/office/drawing/2014/main" id="{EEA49242-C554-412A-BBF8-588F3C68E2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4" name="AutoShape 33">
          <a:extLst>
            <a:ext uri="{FF2B5EF4-FFF2-40B4-BE49-F238E27FC236}">
              <a16:creationId xmlns:a16="http://schemas.microsoft.com/office/drawing/2014/main" id="{86CB4F5F-515F-4C4D-949A-B53F1419AE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5" name="AutoShape 22">
          <a:extLst>
            <a:ext uri="{FF2B5EF4-FFF2-40B4-BE49-F238E27FC236}">
              <a16:creationId xmlns:a16="http://schemas.microsoft.com/office/drawing/2014/main" id="{DA1C0A56-72E9-4C88-9351-62AA7F3D1A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6" name="AutoShape 33">
          <a:extLst>
            <a:ext uri="{FF2B5EF4-FFF2-40B4-BE49-F238E27FC236}">
              <a16:creationId xmlns:a16="http://schemas.microsoft.com/office/drawing/2014/main" id="{96D0024D-7A6A-4ED8-B6C4-558FA3FF4E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7" name="AutoShape 22">
          <a:extLst>
            <a:ext uri="{FF2B5EF4-FFF2-40B4-BE49-F238E27FC236}">
              <a16:creationId xmlns:a16="http://schemas.microsoft.com/office/drawing/2014/main" id="{2BB25F47-B8E7-405F-B002-9D304D2DB1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8" name="AutoShape 33">
          <a:extLst>
            <a:ext uri="{FF2B5EF4-FFF2-40B4-BE49-F238E27FC236}">
              <a16:creationId xmlns:a16="http://schemas.microsoft.com/office/drawing/2014/main" id="{E247D9E4-B2DE-4070-8DB8-51C6CF34B1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49" name="AutoShape 22">
          <a:extLst>
            <a:ext uri="{FF2B5EF4-FFF2-40B4-BE49-F238E27FC236}">
              <a16:creationId xmlns:a16="http://schemas.microsoft.com/office/drawing/2014/main" id="{52331C81-BEEF-4AE2-B12D-B6514D86AF4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0" name="AutoShape 33">
          <a:extLst>
            <a:ext uri="{FF2B5EF4-FFF2-40B4-BE49-F238E27FC236}">
              <a16:creationId xmlns:a16="http://schemas.microsoft.com/office/drawing/2014/main" id="{BB605A14-F278-4642-8E7C-299D8A643D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1" name="AutoShape 22">
          <a:extLst>
            <a:ext uri="{FF2B5EF4-FFF2-40B4-BE49-F238E27FC236}">
              <a16:creationId xmlns:a16="http://schemas.microsoft.com/office/drawing/2014/main" id="{489C96D0-6718-4634-B776-AFA3FE2CA3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2" name="AutoShape 33">
          <a:extLst>
            <a:ext uri="{FF2B5EF4-FFF2-40B4-BE49-F238E27FC236}">
              <a16:creationId xmlns:a16="http://schemas.microsoft.com/office/drawing/2014/main" id="{6CEEB4DB-8A45-4086-BCEC-4FDF51A54A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3" name="AutoShape 22">
          <a:extLst>
            <a:ext uri="{FF2B5EF4-FFF2-40B4-BE49-F238E27FC236}">
              <a16:creationId xmlns:a16="http://schemas.microsoft.com/office/drawing/2014/main" id="{FD4F0B67-00CD-47D0-9138-23B3540ABB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4" name="AutoShape 33">
          <a:extLst>
            <a:ext uri="{FF2B5EF4-FFF2-40B4-BE49-F238E27FC236}">
              <a16:creationId xmlns:a16="http://schemas.microsoft.com/office/drawing/2014/main" id="{A2CDC842-F072-49A6-8AAE-8E0173A35B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5" name="AutoShape 22">
          <a:extLst>
            <a:ext uri="{FF2B5EF4-FFF2-40B4-BE49-F238E27FC236}">
              <a16:creationId xmlns:a16="http://schemas.microsoft.com/office/drawing/2014/main" id="{7CF25BD2-236C-490F-8797-E0C99B0477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6" name="AutoShape 33">
          <a:extLst>
            <a:ext uri="{FF2B5EF4-FFF2-40B4-BE49-F238E27FC236}">
              <a16:creationId xmlns:a16="http://schemas.microsoft.com/office/drawing/2014/main" id="{42E9A91B-793B-49C0-85A0-1DEDD15349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7" name="AutoShape 22">
          <a:extLst>
            <a:ext uri="{FF2B5EF4-FFF2-40B4-BE49-F238E27FC236}">
              <a16:creationId xmlns:a16="http://schemas.microsoft.com/office/drawing/2014/main" id="{F57D520D-8FFE-4FCD-BB7F-3AEA38B5C5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8" name="AutoShape 33">
          <a:extLst>
            <a:ext uri="{FF2B5EF4-FFF2-40B4-BE49-F238E27FC236}">
              <a16:creationId xmlns:a16="http://schemas.microsoft.com/office/drawing/2014/main" id="{1C3F09C2-74C8-474C-9802-B6BF35D9DF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9" name="AutoShape 22">
          <a:extLst>
            <a:ext uri="{FF2B5EF4-FFF2-40B4-BE49-F238E27FC236}">
              <a16:creationId xmlns:a16="http://schemas.microsoft.com/office/drawing/2014/main" id="{D48D4E38-97F0-4017-A363-AAC0B88D3B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60" name="AutoShape 33">
          <a:extLst>
            <a:ext uri="{FF2B5EF4-FFF2-40B4-BE49-F238E27FC236}">
              <a16:creationId xmlns:a16="http://schemas.microsoft.com/office/drawing/2014/main" id="{385D675F-DEEE-41D2-98F3-8865EA7B95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1" name="AutoShape 22">
          <a:extLst>
            <a:ext uri="{FF2B5EF4-FFF2-40B4-BE49-F238E27FC236}">
              <a16:creationId xmlns:a16="http://schemas.microsoft.com/office/drawing/2014/main" id="{75AFD284-9488-4DE0-82EB-84C25939F89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2" name="AutoShape 33">
          <a:extLst>
            <a:ext uri="{FF2B5EF4-FFF2-40B4-BE49-F238E27FC236}">
              <a16:creationId xmlns:a16="http://schemas.microsoft.com/office/drawing/2014/main" id="{BB5EA0CB-C978-4050-A3AC-490E236A65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3" name="AutoShape 22">
          <a:extLst>
            <a:ext uri="{FF2B5EF4-FFF2-40B4-BE49-F238E27FC236}">
              <a16:creationId xmlns:a16="http://schemas.microsoft.com/office/drawing/2014/main" id="{9AFA869B-3002-4CF3-9279-24F55FE16E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4" name="AutoShape 33">
          <a:extLst>
            <a:ext uri="{FF2B5EF4-FFF2-40B4-BE49-F238E27FC236}">
              <a16:creationId xmlns:a16="http://schemas.microsoft.com/office/drawing/2014/main" id="{BC148AEE-A462-413E-801C-CA176A8E42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5" name="AutoShape 22">
          <a:extLst>
            <a:ext uri="{FF2B5EF4-FFF2-40B4-BE49-F238E27FC236}">
              <a16:creationId xmlns:a16="http://schemas.microsoft.com/office/drawing/2014/main" id="{A45547B2-9549-43CF-BAFD-CB62F139EB6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6" name="AutoShape 33">
          <a:extLst>
            <a:ext uri="{FF2B5EF4-FFF2-40B4-BE49-F238E27FC236}">
              <a16:creationId xmlns:a16="http://schemas.microsoft.com/office/drawing/2014/main" id="{6F4C4111-4157-4100-9A53-6769A9E3717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7" name="AutoShape 22">
          <a:extLst>
            <a:ext uri="{FF2B5EF4-FFF2-40B4-BE49-F238E27FC236}">
              <a16:creationId xmlns:a16="http://schemas.microsoft.com/office/drawing/2014/main" id="{63C87B18-DA9A-43F1-8E75-3BE12E371F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8" name="AutoShape 33">
          <a:extLst>
            <a:ext uri="{FF2B5EF4-FFF2-40B4-BE49-F238E27FC236}">
              <a16:creationId xmlns:a16="http://schemas.microsoft.com/office/drawing/2014/main" id="{D552C19D-4254-4FD2-9AC0-99A8DDD3805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69" name="AutoShape 22">
          <a:extLst>
            <a:ext uri="{FF2B5EF4-FFF2-40B4-BE49-F238E27FC236}">
              <a16:creationId xmlns:a16="http://schemas.microsoft.com/office/drawing/2014/main" id="{BF448F61-8E55-42DD-B00F-3A6AD047F15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0" name="AutoShape 33">
          <a:extLst>
            <a:ext uri="{FF2B5EF4-FFF2-40B4-BE49-F238E27FC236}">
              <a16:creationId xmlns:a16="http://schemas.microsoft.com/office/drawing/2014/main" id="{B9097C22-F9B3-4AB1-B51E-C620D4137D7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1" name="AutoShape 22">
          <a:extLst>
            <a:ext uri="{FF2B5EF4-FFF2-40B4-BE49-F238E27FC236}">
              <a16:creationId xmlns:a16="http://schemas.microsoft.com/office/drawing/2014/main" id="{A6490F7C-B4BD-497E-9ABA-73D2A584DB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2" name="AutoShape 33">
          <a:extLst>
            <a:ext uri="{FF2B5EF4-FFF2-40B4-BE49-F238E27FC236}">
              <a16:creationId xmlns:a16="http://schemas.microsoft.com/office/drawing/2014/main" id="{026596EF-9E49-434E-B15C-3C1D11C49B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3" name="AutoShape 22">
          <a:extLst>
            <a:ext uri="{FF2B5EF4-FFF2-40B4-BE49-F238E27FC236}">
              <a16:creationId xmlns:a16="http://schemas.microsoft.com/office/drawing/2014/main" id="{CB7F4DC0-459F-4C1B-BF93-2D8DDE50A13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4" name="AutoShape 33">
          <a:extLst>
            <a:ext uri="{FF2B5EF4-FFF2-40B4-BE49-F238E27FC236}">
              <a16:creationId xmlns:a16="http://schemas.microsoft.com/office/drawing/2014/main" id="{C8D5F86F-1519-41DC-AF78-797E0E03E3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5" name="AutoShape 22">
          <a:extLst>
            <a:ext uri="{FF2B5EF4-FFF2-40B4-BE49-F238E27FC236}">
              <a16:creationId xmlns:a16="http://schemas.microsoft.com/office/drawing/2014/main" id="{284FE897-2B22-4123-99BF-FF1DB5D0B0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6" name="AutoShape 33">
          <a:extLst>
            <a:ext uri="{FF2B5EF4-FFF2-40B4-BE49-F238E27FC236}">
              <a16:creationId xmlns:a16="http://schemas.microsoft.com/office/drawing/2014/main" id="{41108DF2-F077-4E16-992A-BD2033A210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7" name="AutoShape 22">
          <a:extLst>
            <a:ext uri="{FF2B5EF4-FFF2-40B4-BE49-F238E27FC236}">
              <a16:creationId xmlns:a16="http://schemas.microsoft.com/office/drawing/2014/main" id="{902C5C59-96E3-4953-8589-B62009AC53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8" name="AutoShape 33">
          <a:extLst>
            <a:ext uri="{FF2B5EF4-FFF2-40B4-BE49-F238E27FC236}">
              <a16:creationId xmlns:a16="http://schemas.microsoft.com/office/drawing/2014/main" id="{D9F3803E-05CD-49DF-8845-1828E6202D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9" name="AutoShape 22">
          <a:extLst>
            <a:ext uri="{FF2B5EF4-FFF2-40B4-BE49-F238E27FC236}">
              <a16:creationId xmlns:a16="http://schemas.microsoft.com/office/drawing/2014/main" id="{836290CF-0592-44EA-8485-B2ADC2BD3E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80" name="AutoShape 33">
          <a:extLst>
            <a:ext uri="{FF2B5EF4-FFF2-40B4-BE49-F238E27FC236}">
              <a16:creationId xmlns:a16="http://schemas.microsoft.com/office/drawing/2014/main" id="{7A0242C8-40EB-409C-9089-2C8FD46E05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1" name="AutoShape 22">
          <a:extLst>
            <a:ext uri="{FF2B5EF4-FFF2-40B4-BE49-F238E27FC236}">
              <a16:creationId xmlns:a16="http://schemas.microsoft.com/office/drawing/2014/main" id="{DAA6F3EF-26E2-46AD-A6C1-6B8B80A488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2" name="AutoShape 33">
          <a:extLst>
            <a:ext uri="{FF2B5EF4-FFF2-40B4-BE49-F238E27FC236}">
              <a16:creationId xmlns:a16="http://schemas.microsoft.com/office/drawing/2014/main" id="{119335F0-39FF-400B-AA32-A639180A8B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3" name="AutoShape 22">
          <a:extLst>
            <a:ext uri="{FF2B5EF4-FFF2-40B4-BE49-F238E27FC236}">
              <a16:creationId xmlns:a16="http://schemas.microsoft.com/office/drawing/2014/main" id="{583E65B4-3C1A-4660-9491-5EFFB28E29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4" name="AutoShape 33">
          <a:extLst>
            <a:ext uri="{FF2B5EF4-FFF2-40B4-BE49-F238E27FC236}">
              <a16:creationId xmlns:a16="http://schemas.microsoft.com/office/drawing/2014/main" id="{C5CEA1A8-C6FB-4B0A-BDC7-5378886FD8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5" name="AutoShape 22">
          <a:extLst>
            <a:ext uri="{FF2B5EF4-FFF2-40B4-BE49-F238E27FC236}">
              <a16:creationId xmlns:a16="http://schemas.microsoft.com/office/drawing/2014/main" id="{2B3382F9-1082-4B15-8BA9-7455777667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6" name="AutoShape 33">
          <a:extLst>
            <a:ext uri="{FF2B5EF4-FFF2-40B4-BE49-F238E27FC236}">
              <a16:creationId xmlns:a16="http://schemas.microsoft.com/office/drawing/2014/main" id="{5042AE1A-773F-44C0-9FC0-EF7DF76572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7" name="AutoShape 22">
          <a:extLst>
            <a:ext uri="{FF2B5EF4-FFF2-40B4-BE49-F238E27FC236}">
              <a16:creationId xmlns:a16="http://schemas.microsoft.com/office/drawing/2014/main" id="{090ECC41-8FAE-414B-BC23-4EA0ED1AA6A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8" name="AutoShape 33">
          <a:extLst>
            <a:ext uri="{FF2B5EF4-FFF2-40B4-BE49-F238E27FC236}">
              <a16:creationId xmlns:a16="http://schemas.microsoft.com/office/drawing/2014/main" id="{75630A12-4AC3-40AB-A810-6F12CC7F16F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89" name="AutoShape 22">
          <a:extLst>
            <a:ext uri="{FF2B5EF4-FFF2-40B4-BE49-F238E27FC236}">
              <a16:creationId xmlns:a16="http://schemas.microsoft.com/office/drawing/2014/main" id="{BBDD9C60-E79D-4E0E-9C1D-BA6C11FE5A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0" name="AutoShape 33">
          <a:extLst>
            <a:ext uri="{FF2B5EF4-FFF2-40B4-BE49-F238E27FC236}">
              <a16:creationId xmlns:a16="http://schemas.microsoft.com/office/drawing/2014/main" id="{3CA3978B-0B13-4EC3-BBD6-1541A45BB16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1" name="AutoShape 22">
          <a:extLst>
            <a:ext uri="{FF2B5EF4-FFF2-40B4-BE49-F238E27FC236}">
              <a16:creationId xmlns:a16="http://schemas.microsoft.com/office/drawing/2014/main" id="{80BB4645-DA89-49E3-90D8-76CF05A6CE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2" name="AutoShape 33">
          <a:extLst>
            <a:ext uri="{FF2B5EF4-FFF2-40B4-BE49-F238E27FC236}">
              <a16:creationId xmlns:a16="http://schemas.microsoft.com/office/drawing/2014/main" id="{F24B69DB-C1FA-43B3-993A-BA0E7B791F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3" name="AutoShape 22">
          <a:extLst>
            <a:ext uri="{FF2B5EF4-FFF2-40B4-BE49-F238E27FC236}">
              <a16:creationId xmlns:a16="http://schemas.microsoft.com/office/drawing/2014/main" id="{F2FDA51F-79D5-455C-9A50-4BDB329CF5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4" name="AutoShape 33">
          <a:extLst>
            <a:ext uri="{FF2B5EF4-FFF2-40B4-BE49-F238E27FC236}">
              <a16:creationId xmlns:a16="http://schemas.microsoft.com/office/drawing/2014/main" id="{E8AABEF5-2E31-48E6-8185-6240EE58FF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5" name="AutoShape 22">
          <a:extLst>
            <a:ext uri="{FF2B5EF4-FFF2-40B4-BE49-F238E27FC236}">
              <a16:creationId xmlns:a16="http://schemas.microsoft.com/office/drawing/2014/main" id="{02A4F698-F025-4934-9AF4-5AA34D593F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6" name="AutoShape 33">
          <a:extLst>
            <a:ext uri="{FF2B5EF4-FFF2-40B4-BE49-F238E27FC236}">
              <a16:creationId xmlns:a16="http://schemas.microsoft.com/office/drawing/2014/main" id="{A4C4747C-9FFE-40D9-8F07-A00D12D0D9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7" name="AutoShape 22">
          <a:extLst>
            <a:ext uri="{FF2B5EF4-FFF2-40B4-BE49-F238E27FC236}">
              <a16:creationId xmlns:a16="http://schemas.microsoft.com/office/drawing/2014/main" id="{73AEF5E0-CED7-4731-829D-E817DAD8BA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8" name="AutoShape 33">
          <a:extLst>
            <a:ext uri="{FF2B5EF4-FFF2-40B4-BE49-F238E27FC236}">
              <a16:creationId xmlns:a16="http://schemas.microsoft.com/office/drawing/2014/main" id="{CAC9701A-AB71-431D-9B1C-32883EDE37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9" name="AutoShape 22">
          <a:extLst>
            <a:ext uri="{FF2B5EF4-FFF2-40B4-BE49-F238E27FC236}">
              <a16:creationId xmlns:a16="http://schemas.microsoft.com/office/drawing/2014/main" id="{9CFA83D9-193B-4F59-8D76-89D5F59E21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200" name="AutoShape 33">
          <a:extLst>
            <a:ext uri="{FF2B5EF4-FFF2-40B4-BE49-F238E27FC236}">
              <a16:creationId xmlns:a16="http://schemas.microsoft.com/office/drawing/2014/main" id="{32738EA6-1303-4FA8-9F17-65651308F0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1" name="AutoShape 22">
          <a:extLst>
            <a:ext uri="{FF2B5EF4-FFF2-40B4-BE49-F238E27FC236}">
              <a16:creationId xmlns:a16="http://schemas.microsoft.com/office/drawing/2014/main" id="{FF45E2AD-54B6-4DF3-B675-60AB5210042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2" name="AutoShape 33">
          <a:extLst>
            <a:ext uri="{FF2B5EF4-FFF2-40B4-BE49-F238E27FC236}">
              <a16:creationId xmlns:a16="http://schemas.microsoft.com/office/drawing/2014/main" id="{6278F9CB-499F-47E2-BE3F-F4D9934EC9A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3" name="AutoShape 22">
          <a:extLst>
            <a:ext uri="{FF2B5EF4-FFF2-40B4-BE49-F238E27FC236}">
              <a16:creationId xmlns:a16="http://schemas.microsoft.com/office/drawing/2014/main" id="{B672DB92-8F8A-44A3-884D-B0009FD462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4" name="AutoShape 33">
          <a:extLst>
            <a:ext uri="{FF2B5EF4-FFF2-40B4-BE49-F238E27FC236}">
              <a16:creationId xmlns:a16="http://schemas.microsoft.com/office/drawing/2014/main" id="{3CD31C30-3453-4272-B2E6-755158AC44C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5" name="AutoShape 22">
          <a:extLst>
            <a:ext uri="{FF2B5EF4-FFF2-40B4-BE49-F238E27FC236}">
              <a16:creationId xmlns:a16="http://schemas.microsoft.com/office/drawing/2014/main" id="{97109994-3CCD-49BD-8E3A-0E3B3CC985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6" name="AutoShape 33">
          <a:extLst>
            <a:ext uri="{FF2B5EF4-FFF2-40B4-BE49-F238E27FC236}">
              <a16:creationId xmlns:a16="http://schemas.microsoft.com/office/drawing/2014/main" id="{AB3807C6-6806-4C70-8460-B1CB53DC813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7" name="AutoShape 22">
          <a:extLst>
            <a:ext uri="{FF2B5EF4-FFF2-40B4-BE49-F238E27FC236}">
              <a16:creationId xmlns:a16="http://schemas.microsoft.com/office/drawing/2014/main" id="{369D6B82-BCBE-44C5-8A88-88CA03AF94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8" name="AutoShape 33">
          <a:extLst>
            <a:ext uri="{FF2B5EF4-FFF2-40B4-BE49-F238E27FC236}">
              <a16:creationId xmlns:a16="http://schemas.microsoft.com/office/drawing/2014/main" id="{2F61DF80-33F9-42B4-A1FE-46684EC7B0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09" name="AutoShape 22">
          <a:extLst>
            <a:ext uri="{FF2B5EF4-FFF2-40B4-BE49-F238E27FC236}">
              <a16:creationId xmlns:a16="http://schemas.microsoft.com/office/drawing/2014/main" id="{489B6505-2AFC-498B-A1E4-F16975AFAF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0" name="AutoShape 33">
          <a:extLst>
            <a:ext uri="{FF2B5EF4-FFF2-40B4-BE49-F238E27FC236}">
              <a16:creationId xmlns:a16="http://schemas.microsoft.com/office/drawing/2014/main" id="{4AB65CFA-D37A-47B5-B018-7BC3B65CF7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1" name="AutoShape 22">
          <a:extLst>
            <a:ext uri="{FF2B5EF4-FFF2-40B4-BE49-F238E27FC236}">
              <a16:creationId xmlns:a16="http://schemas.microsoft.com/office/drawing/2014/main" id="{08AC0FEC-4A52-413B-A4F9-340F64BDF4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2" name="AutoShape 33">
          <a:extLst>
            <a:ext uri="{FF2B5EF4-FFF2-40B4-BE49-F238E27FC236}">
              <a16:creationId xmlns:a16="http://schemas.microsoft.com/office/drawing/2014/main" id="{10C99AB5-C8DB-4338-AD56-6FA7A387A08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3" name="AutoShape 22">
          <a:extLst>
            <a:ext uri="{FF2B5EF4-FFF2-40B4-BE49-F238E27FC236}">
              <a16:creationId xmlns:a16="http://schemas.microsoft.com/office/drawing/2014/main" id="{05ECE4C5-F815-4270-9F71-5B6B7876E0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4" name="AutoShape 33">
          <a:extLst>
            <a:ext uri="{FF2B5EF4-FFF2-40B4-BE49-F238E27FC236}">
              <a16:creationId xmlns:a16="http://schemas.microsoft.com/office/drawing/2014/main" id="{FC49D647-9326-4729-9C4E-3019D58B0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5" name="AutoShape 22">
          <a:extLst>
            <a:ext uri="{FF2B5EF4-FFF2-40B4-BE49-F238E27FC236}">
              <a16:creationId xmlns:a16="http://schemas.microsoft.com/office/drawing/2014/main" id="{6C6F8EE7-324B-450A-A603-7D3A2875369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6" name="AutoShape 33">
          <a:extLst>
            <a:ext uri="{FF2B5EF4-FFF2-40B4-BE49-F238E27FC236}">
              <a16:creationId xmlns:a16="http://schemas.microsoft.com/office/drawing/2014/main" id="{4B3543E9-0B5B-4513-B379-FC6259FE54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7" name="AutoShape 22">
          <a:extLst>
            <a:ext uri="{FF2B5EF4-FFF2-40B4-BE49-F238E27FC236}">
              <a16:creationId xmlns:a16="http://schemas.microsoft.com/office/drawing/2014/main" id="{4031F0C0-68F7-444E-9C43-F78FCD14857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8" name="AutoShape 33">
          <a:extLst>
            <a:ext uri="{FF2B5EF4-FFF2-40B4-BE49-F238E27FC236}">
              <a16:creationId xmlns:a16="http://schemas.microsoft.com/office/drawing/2014/main" id="{6CD074B2-645D-426E-A511-B5B7765AC0D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9" name="AutoShape 22">
          <a:extLst>
            <a:ext uri="{FF2B5EF4-FFF2-40B4-BE49-F238E27FC236}">
              <a16:creationId xmlns:a16="http://schemas.microsoft.com/office/drawing/2014/main" id="{606E586C-ED5E-41E4-AC05-56B7A1B7419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20" name="AutoShape 33">
          <a:extLst>
            <a:ext uri="{FF2B5EF4-FFF2-40B4-BE49-F238E27FC236}">
              <a16:creationId xmlns:a16="http://schemas.microsoft.com/office/drawing/2014/main" id="{20872DEF-4420-4979-9286-65C3460383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1" name="AutoShape 22">
          <a:extLst>
            <a:ext uri="{FF2B5EF4-FFF2-40B4-BE49-F238E27FC236}">
              <a16:creationId xmlns:a16="http://schemas.microsoft.com/office/drawing/2014/main" id="{C6184C71-CEFE-4C37-AA6A-17C2230851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2" name="AutoShape 33">
          <a:extLst>
            <a:ext uri="{FF2B5EF4-FFF2-40B4-BE49-F238E27FC236}">
              <a16:creationId xmlns:a16="http://schemas.microsoft.com/office/drawing/2014/main" id="{EE2F1C44-039E-46D8-95BB-D22DD10AC2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3" name="AutoShape 22">
          <a:extLst>
            <a:ext uri="{FF2B5EF4-FFF2-40B4-BE49-F238E27FC236}">
              <a16:creationId xmlns:a16="http://schemas.microsoft.com/office/drawing/2014/main" id="{9059E248-81BA-47EB-89A0-3F0E2DD524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4" name="AutoShape 33">
          <a:extLst>
            <a:ext uri="{FF2B5EF4-FFF2-40B4-BE49-F238E27FC236}">
              <a16:creationId xmlns:a16="http://schemas.microsoft.com/office/drawing/2014/main" id="{1BB95E58-4905-44F9-A227-326FEA5D2C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5" name="AutoShape 22">
          <a:extLst>
            <a:ext uri="{FF2B5EF4-FFF2-40B4-BE49-F238E27FC236}">
              <a16:creationId xmlns:a16="http://schemas.microsoft.com/office/drawing/2014/main" id="{C0E9A212-4D20-4C4B-8D89-B0610E98A1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6" name="AutoShape 33">
          <a:extLst>
            <a:ext uri="{FF2B5EF4-FFF2-40B4-BE49-F238E27FC236}">
              <a16:creationId xmlns:a16="http://schemas.microsoft.com/office/drawing/2014/main" id="{B43EED45-E9F4-4B2E-9636-13987701AD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7" name="AutoShape 22">
          <a:extLst>
            <a:ext uri="{FF2B5EF4-FFF2-40B4-BE49-F238E27FC236}">
              <a16:creationId xmlns:a16="http://schemas.microsoft.com/office/drawing/2014/main" id="{AB07D8B5-C266-4853-8403-0E080BFD1A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8" name="AutoShape 33">
          <a:extLst>
            <a:ext uri="{FF2B5EF4-FFF2-40B4-BE49-F238E27FC236}">
              <a16:creationId xmlns:a16="http://schemas.microsoft.com/office/drawing/2014/main" id="{3B0DD9D1-D1BA-483F-90CF-68F449C99A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29" name="AutoShape 22">
          <a:extLst>
            <a:ext uri="{FF2B5EF4-FFF2-40B4-BE49-F238E27FC236}">
              <a16:creationId xmlns:a16="http://schemas.microsoft.com/office/drawing/2014/main" id="{B01115F3-D81B-4158-99E0-E6C76C4E1E5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0" name="AutoShape 33">
          <a:extLst>
            <a:ext uri="{FF2B5EF4-FFF2-40B4-BE49-F238E27FC236}">
              <a16:creationId xmlns:a16="http://schemas.microsoft.com/office/drawing/2014/main" id="{9CEA0B92-83A3-4889-A8A4-E802CF2CC06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1" name="AutoShape 22">
          <a:extLst>
            <a:ext uri="{FF2B5EF4-FFF2-40B4-BE49-F238E27FC236}">
              <a16:creationId xmlns:a16="http://schemas.microsoft.com/office/drawing/2014/main" id="{13EA9C78-2619-47C2-B16A-62B51EF7841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2" name="AutoShape 33">
          <a:extLst>
            <a:ext uri="{FF2B5EF4-FFF2-40B4-BE49-F238E27FC236}">
              <a16:creationId xmlns:a16="http://schemas.microsoft.com/office/drawing/2014/main" id="{3EBF595A-6E27-4249-98BD-660B6B63EA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3" name="AutoShape 22">
          <a:extLst>
            <a:ext uri="{FF2B5EF4-FFF2-40B4-BE49-F238E27FC236}">
              <a16:creationId xmlns:a16="http://schemas.microsoft.com/office/drawing/2014/main" id="{06099EDE-6E39-48DB-9FDB-F5C29B95CD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4" name="AutoShape 33">
          <a:extLst>
            <a:ext uri="{FF2B5EF4-FFF2-40B4-BE49-F238E27FC236}">
              <a16:creationId xmlns:a16="http://schemas.microsoft.com/office/drawing/2014/main" id="{743B2906-5499-42EC-AFF8-FD8ABF44202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5" name="AutoShape 22">
          <a:extLst>
            <a:ext uri="{FF2B5EF4-FFF2-40B4-BE49-F238E27FC236}">
              <a16:creationId xmlns:a16="http://schemas.microsoft.com/office/drawing/2014/main" id="{4B13D89F-C370-4F9E-B51B-7A8D352D5F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6" name="AutoShape 33">
          <a:extLst>
            <a:ext uri="{FF2B5EF4-FFF2-40B4-BE49-F238E27FC236}">
              <a16:creationId xmlns:a16="http://schemas.microsoft.com/office/drawing/2014/main" id="{1E7BA459-F4C5-440B-B54D-8ADD600350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7" name="AutoShape 22">
          <a:extLst>
            <a:ext uri="{FF2B5EF4-FFF2-40B4-BE49-F238E27FC236}">
              <a16:creationId xmlns:a16="http://schemas.microsoft.com/office/drawing/2014/main" id="{BB7C0333-B55D-404F-BFE2-BAF7B036408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8" name="AutoShape 33">
          <a:extLst>
            <a:ext uri="{FF2B5EF4-FFF2-40B4-BE49-F238E27FC236}">
              <a16:creationId xmlns:a16="http://schemas.microsoft.com/office/drawing/2014/main" id="{90F219E2-1FB1-48C7-9549-DAA09D100A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9" name="AutoShape 22">
          <a:extLst>
            <a:ext uri="{FF2B5EF4-FFF2-40B4-BE49-F238E27FC236}">
              <a16:creationId xmlns:a16="http://schemas.microsoft.com/office/drawing/2014/main" id="{53176BC2-C92B-4AB3-8458-48FA6DD96E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40" name="AutoShape 33">
          <a:extLst>
            <a:ext uri="{FF2B5EF4-FFF2-40B4-BE49-F238E27FC236}">
              <a16:creationId xmlns:a16="http://schemas.microsoft.com/office/drawing/2014/main" id="{26570D5C-F326-42B6-9AF7-D7EB4D4825F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1" name="AutoShape 22">
          <a:extLst>
            <a:ext uri="{FF2B5EF4-FFF2-40B4-BE49-F238E27FC236}">
              <a16:creationId xmlns:a16="http://schemas.microsoft.com/office/drawing/2014/main" id="{2F1CB6AF-91A6-4FAC-A4DA-60A0D77979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2" name="AutoShape 33">
          <a:extLst>
            <a:ext uri="{FF2B5EF4-FFF2-40B4-BE49-F238E27FC236}">
              <a16:creationId xmlns:a16="http://schemas.microsoft.com/office/drawing/2014/main" id="{46873585-88BF-4DFB-AC98-CC04BE37D1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3" name="AutoShape 22">
          <a:extLst>
            <a:ext uri="{FF2B5EF4-FFF2-40B4-BE49-F238E27FC236}">
              <a16:creationId xmlns:a16="http://schemas.microsoft.com/office/drawing/2014/main" id="{E799D573-A0E0-4F34-B56D-98612FAD1E8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4" name="AutoShape 33">
          <a:extLst>
            <a:ext uri="{FF2B5EF4-FFF2-40B4-BE49-F238E27FC236}">
              <a16:creationId xmlns:a16="http://schemas.microsoft.com/office/drawing/2014/main" id="{931EE413-DA80-4903-A8F6-8ECB9B1D19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5" name="AutoShape 22">
          <a:extLst>
            <a:ext uri="{FF2B5EF4-FFF2-40B4-BE49-F238E27FC236}">
              <a16:creationId xmlns:a16="http://schemas.microsoft.com/office/drawing/2014/main" id="{DBCB5897-B20A-42BA-B21E-4ECC08CDFB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6" name="AutoShape 33">
          <a:extLst>
            <a:ext uri="{FF2B5EF4-FFF2-40B4-BE49-F238E27FC236}">
              <a16:creationId xmlns:a16="http://schemas.microsoft.com/office/drawing/2014/main" id="{D3CF9A33-1F97-4FF7-BBF1-8086155628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7" name="AutoShape 22">
          <a:extLst>
            <a:ext uri="{FF2B5EF4-FFF2-40B4-BE49-F238E27FC236}">
              <a16:creationId xmlns:a16="http://schemas.microsoft.com/office/drawing/2014/main" id="{A168FCB8-7C15-47EC-9513-365779BA76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8" name="AutoShape 33">
          <a:extLst>
            <a:ext uri="{FF2B5EF4-FFF2-40B4-BE49-F238E27FC236}">
              <a16:creationId xmlns:a16="http://schemas.microsoft.com/office/drawing/2014/main" id="{FA08702B-CE09-4931-9F55-D966C333A7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49" name="AutoShape 22">
          <a:extLst>
            <a:ext uri="{FF2B5EF4-FFF2-40B4-BE49-F238E27FC236}">
              <a16:creationId xmlns:a16="http://schemas.microsoft.com/office/drawing/2014/main" id="{ADE9F65A-01D9-47D0-8BFA-F62EDA84B7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0" name="AutoShape 33">
          <a:extLst>
            <a:ext uri="{FF2B5EF4-FFF2-40B4-BE49-F238E27FC236}">
              <a16:creationId xmlns:a16="http://schemas.microsoft.com/office/drawing/2014/main" id="{9F91E53C-1690-4FE1-9BC5-F29CC5F531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1" name="AutoShape 22">
          <a:extLst>
            <a:ext uri="{FF2B5EF4-FFF2-40B4-BE49-F238E27FC236}">
              <a16:creationId xmlns:a16="http://schemas.microsoft.com/office/drawing/2014/main" id="{B1CA75A7-B8F5-4333-9063-3779DF2AFB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2" name="AutoShape 33">
          <a:extLst>
            <a:ext uri="{FF2B5EF4-FFF2-40B4-BE49-F238E27FC236}">
              <a16:creationId xmlns:a16="http://schemas.microsoft.com/office/drawing/2014/main" id="{5085667C-0F68-4E87-855A-259A4DC3058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3" name="AutoShape 22">
          <a:extLst>
            <a:ext uri="{FF2B5EF4-FFF2-40B4-BE49-F238E27FC236}">
              <a16:creationId xmlns:a16="http://schemas.microsoft.com/office/drawing/2014/main" id="{5286D67F-D099-4A03-8342-38972B305B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4" name="AutoShape 33">
          <a:extLst>
            <a:ext uri="{FF2B5EF4-FFF2-40B4-BE49-F238E27FC236}">
              <a16:creationId xmlns:a16="http://schemas.microsoft.com/office/drawing/2014/main" id="{037E01E0-8FA6-4BC6-AB5A-791174DEC4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5" name="AutoShape 22">
          <a:extLst>
            <a:ext uri="{FF2B5EF4-FFF2-40B4-BE49-F238E27FC236}">
              <a16:creationId xmlns:a16="http://schemas.microsoft.com/office/drawing/2014/main" id="{2F00BBB8-4EDE-42B2-9919-D360EE9022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6" name="AutoShape 33">
          <a:extLst>
            <a:ext uri="{FF2B5EF4-FFF2-40B4-BE49-F238E27FC236}">
              <a16:creationId xmlns:a16="http://schemas.microsoft.com/office/drawing/2014/main" id="{BBB6B104-9096-460E-9823-6419145ECB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7" name="AutoShape 22">
          <a:extLst>
            <a:ext uri="{FF2B5EF4-FFF2-40B4-BE49-F238E27FC236}">
              <a16:creationId xmlns:a16="http://schemas.microsoft.com/office/drawing/2014/main" id="{A40C6FD0-3986-43D3-964B-1EB7235FD3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8" name="AutoShape 33">
          <a:extLst>
            <a:ext uri="{FF2B5EF4-FFF2-40B4-BE49-F238E27FC236}">
              <a16:creationId xmlns:a16="http://schemas.microsoft.com/office/drawing/2014/main" id="{62CCB0FE-683D-4491-91B8-8AE8B7D44B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9" name="AutoShape 22">
          <a:extLst>
            <a:ext uri="{FF2B5EF4-FFF2-40B4-BE49-F238E27FC236}">
              <a16:creationId xmlns:a16="http://schemas.microsoft.com/office/drawing/2014/main" id="{6A1EB610-618B-457F-9CC4-CA2CF78AA6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60" name="AutoShape 33">
          <a:extLst>
            <a:ext uri="{FF2B5EF4-FFF2-40B4-BE49-F238E27FC236}">
              <a16:creationId xmlns:a16="http://schemas.microsoft.com/office/drawing/2014/main" id="{CF1ADA94-8C44-4601-A00F-5B13B9325C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1" name="AutoShape 22">
          <a:extLst>
            <a:ext uri="{FF2B5EF4-FFF2-40B4-BE49-F238E27FC236}">
              <a16:creationId xmlns:a16="http://schemas.microsoft.com/office/drawing/2014/main" id="{BA67102F-1C61-40C8-ACB2-65C412102C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2" name="AutoShape 33">
          <a:extLst>
            <a:ext uri="{FF2B5EF4-FFF2-40B4-BE49-F238E27FC236}">
              <a16:creationId xmlns:a16="http://schemas.microsoft.com/office/drawing/2014/main" id="{AA1131C6-EEEB-4442-86A3-100B6BA0457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3" name="AutoShape 22">
          <a:extLst>
            <a:ext uri="{FF2B5EF4-FFF2-40B4-BE49-F238E27FC236}">
              <a16:creationId xmlns:a16="http://schemas.microsoft.com/office/drawing/2014/main" id="{54BB98BF-3EF0-414D-9529-D0389E9674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4" name="AutoShape 33">
          <a:extLst>
            <a:ext uri="{FF2B5EF4-FFF2-40B4-BE49-F238E27FC236}">
              <a16:creationId xmlns:a16="http://schemas.microsoft.com/office/drawing/2014/main" id="{DFF7A93E-632F-4A33-8CE8-C33C54424E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5" name="AutoShape 22">
          <a:extLst>
            <a:ext uri="{FF2B5EF4-FFF2-40B4-BE49-F238E27FC236}">
              <a16:creationId xmlns:a16="http://schemas.microsoft.com/office/drawing/2014/main" id="{C1E57199-A1EB-4965-992D-3A316AB336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6" name="AutoShape 33">
          <a:extLst>
            <a:ext uri="{FF2B5EF4-FFF2-40B4-BE49-F238E27FC236}">
              <a16:creationId xmlns:a16="http://schemas.microsoft.com/office/drawing/2014/main" id="{89EFA61E-C315-4174-B94A-7DB093625A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7" name="AutoShape 22">
          <a:extLst>
            <a:ext uri="{FF2B5EF4-FFF2-40B4-BE49-F238E27FC236}">
              <a16:creationId xmlns:a16="http://schemas.microsoft.com/office/drawing/2014/main" id="{B6C39C98-46A8-4889-A4C2-7F3EB2B4CFD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8" name="AutoShape 33">
          <a:extLst>
            <a:ext uri="{FF2B5EF4-FFF2-40B4-BE49-F238E27FC236}">
              <a16:creationId xmlns:a16="http://schemas.microsoft.com/office/drawing/2014/main" id="{961077F7-D1DC-412D-A473-50D15EA6DCD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69" name="AutoShape 22">
          <a:extLst>
            <a:ext uri="{FF2B5EF4-FFF2-40B4-BE49-F238E27FC236}">
              <a16:creationId xmlns:a16="http://schemas.microsoft.com/office/drawing/2014/main" id="{CFE7F8C9-3C6A-4E1C-96FA-EED525B249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0" name="AutoShape 33">
          <a:extLst>
            <a:ext uri="{FF2B5EF4-FFF2-40B4-BE49-F238E27FC236}">
              <a16:creationId xmlns:a16="http://schemas.microsoft.com/office/drawing/2014/main" id="{BA93FB98-33D8-417A-A808-7A6A11C5A8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1" name="AutoShape 22">
          <a:extLst>
            <a:ext uri="{FF2B5EF4-FFF2-40B4-BE49-F238E27FC236}">
              <a16:creationId xmlns:a16="http://schemas.microsoft.com/office/drawing/2014/main" id="{7ED60901-2A37-4897-9467-5564BE6E01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2" name="AutoShape 33">
          <a:extLst>
            <a:ext uri="{FF2B5EF4-FFF2-40B4-BE49-F238E27FC236}">
              <a16:creationId xmlns:a16="http://schemas.microsoft.com/office/drawing/2014/main" id="{6DBE3BAA-3CB8-49C1-BFE2-EE7E7F1B99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3" name="AutoShape 22">
          <a:extLst>
            <a:ext uri="{FF2B5EF4-FFF2-40B4-BE49-F238E27FC236}">
              <a16:creationId xmlns:a16="http://schemas.microsoft.com/office/drawing/2014/main" id="{0F6DB191-E34B-4EA8-8944-79B0B81015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4" name="AutoShape 33">
          <a:extLst>
            <a:ext uri="{FF2B5EF4-FFF2-40B4-BE49-F238E27FC236}">
              <a16:creationId xmlns:a16="http://schemas.microsoft.com/office/drawing/2014/main" id="{928F6A86-9FE0-4D8D-B7CD-8688036BCA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5" name="AutoShape 22">
          <a:extLst>
            <a:ext uri="{FF2B5EF4-FFF2-40B4-BE49-F238E27FC236}">
              <a16:creationId xmlns:a16="http://schemas.microsoft.com/office/drawing/2014/main" id="{8C592A4B-52FB-4249-80C0-FCCF27E7BE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6" name="AutoShape 33">
          <a:extLst>
            <a:ext uri="{FF2B5EF4-FFF2-40B4-BE49-F238E27FC236}">
              <a16:creationId xmlns:a16="http://schemas.microsoft.com/office/drawing/2014/main" id="{3C863216-1FDF-419A-8ABD-91D4ED1AF7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7" name="AutoShape 22">
          <a:extLst>
            <a:ext uri="{FF2B5EF4-FFF2-40B4-BE49-F238E27FC236}">
              <a16:creationId xmlns:a16="http://schemas.microsoft.com/office/drawing/2014/main" id="{2D866704-8900-4C35-8AC5-ED034AF7CB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8" name="AutoShape 33">
          <a:extLst>
            <a:ext uri="{FF2B5EF4-FFF2-40B4-BE49-F238E27FC236}">
              <a16:creationId xmlns:a16="http://schemas.microsoft.com/office/drawing/2014/main" id="{11AF69E9-5C75-4E39-878D-49D6A815D3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9" name="AutoShape 22">
          <a:extLst>
            <a:ext uri="{FF2B5EF4-FFF2-40B4-BE49-F238E27FC236}">
              <a16:creationId xmlns:a16="http://schemas.microsoft.com/office/drawing/2014/main" id="{6B171C22-FF99-49B9-8A14-9D9CBA78B5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80" name="AutoShape 33">
          <a:extLst>
            <a:ext uri="{FF2B5EF4-FFF2-40B4-BE49-F238E27FC236}">
              <a16:creationId xmlns:a16="http://schemas.microsoft.com/office/drawing/2014/main" id="{51B6451E-EEFC-43C2-86C2-1BC35FA9FE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1" name="AutoShape 22">
          <a:extLst>
            <a:ext uri="{FF2B5EF4-FFF2-40B4-BE49-F238E27FC236}">
              <a16:creationId xmlns:a16="http://schemas.microsoft.com/office/drawing/2014/main" id="{DC73C5F4-EC3B-4384-B378-EAE12ACB1F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2" name="AutoShape 33">
          <a:extLst>
            <a:ext uri="{FF2B5EF4-FFF2-40B4-BE49-F238E27FC236}">
              <a16:creationId xmlns:a16="http://schemas.microsoft.com/office/drawing/2014/main" id="{5B22FF68-9973-45A2-B2AE-6B438A5A81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3" name="AutoShape 22">
          <a:extLst>
            <a:ext uri="{FF2B5EF4-FFF2-40B4-BE49-F238E27FC236}">
              <a16:creationId xmlns:a16="http://schemas.microsoft.com/office/drawing/2014/main" id="{61B2D463-389E-48EC-A78D-2E70BFEE45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4" name="AutoShape 33">
          <a:extLst>
            <a:ext uri="{FF2B5EF4-FFF2-40B4-BE49-F238E27FC236}">
              <a16:creationId xmlns:a16="http://schemas.microsoft.com/office/drawing/2014/main" id="{CB841B56-60F2-490E-AF18-9C974F5A05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5" name="AutoShape 22">
          <a:extLst>
            <a:ext uri="{FF2B5EF4-FFF2-40B4-BE49-F238E27FC236}">
              <a16:creationId xmlns:a16="http://schemas.microsoft.com/office/drawing/2014/main" id="{32CF3E20-987D-43E3-AD38-1963BD614E2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6" name="AutoShape 33">
          <a:extLst>
            <a:ext uri="{FF2B5EF4-FFF2-40B4-BE49-F238E27FC236}">
              <a16:creationId xmlns:a16="http://schemas.microsoft.com/office/drawing/2014/main" id="{C09E4B35-7D1F-4DCB-BCC8-2A8AF54764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7" name="AutoShape 22">
          <a:extLst>
            <a:ext uri="{FF2B5EF4-FFF2-40B4-BE49-F238E27FC236}">
              <a16:creationId xmlns:a16="http://schemas.microsoft.com/office/drawing/2014/main" id="{DDF9E8D0-B994-4E47-AE66-42082CB5D4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8" name="AutoShape 33">
          <a:extLst>
            <a:ext uri="{FF2B5EF4-FFF2-40B4-BE49-F238E27FC236}">
              <a16:creationId xmlns:a16="http://schemas.microsoft.com/office/drawing/2014/main" id="{EF7515DA-29CA-4816-A337-574E3CE2C6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89" name="AutoShape 22">
          <a:extLst>
            <a:ext uri="{FF2B5EF4-FFF2-40B4-BE49-F238E27FC236}">
              <a16:creationId xmlns:a16="http://schemas.microsoft.com/office/drawing/2014/main" id="{EAE542C4-3E12-4D58-92F3-86131EA273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0" name="AutoShape 33">
          <a:extLst>
            <a:ext uri="{FF2B5EF4-FFF2-40B4-BE49-F238E27FC236}">
              <a16:creationId xmlns:a16="http://schemas.microsoft.com/office/drawing/2014/main" id="{F13854BC-5B1A-4D07-B09E-9F7D13D4CD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1" name="AutoShape 22">
          <a:extLst>
            <a:ext uri="{FF2B5EF4-FFF2-40B4-BE49-F238E27FC236}">
              <a16:creationId xmlns:a16="http://schemas.microsoft.com/office/drawing/2014/main" id="{ABEC747D-F716-4955-B303-F3A119B22DA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2" name="AutoShape 33">
          <a:extLst>
            <a:ext uri="{FF2B5EF4-FFF2-40B4-BE49-F238E27FC236}">
              <a16:creationId xmlns:a16="http://schemas.microsoft.com/office/drawing/2014/main" id="{B734E8A3-A35F-4FB2-BAD2-57937C4047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3" name="AutoShape 22">
          <a:extLst>
            <a:ext uri="{FF2B5EF4-FFF2-40B4-BE49-F238E27FC236}">
              <a16:creationId xmlns:a16="http://schemas.microsoft.com/office/drawing/2014/main" id="{D8800E16-8A36-48A8-9DBB-3DD3E45E56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4" name="AutoShape 33">
          <a:extLst>
            <a:ext uri="{FF2B5EF4-FFF2-40B4-BE49-F238E27FC236}">
              <a16:creationId xmlns:a16="http://schemas.microsoft.com/office/drawing/2014/main" id="{69BC281C-490D-486E-BC07-B74C4987E3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5" name="AutoShape 22">
          <a:extLst>
            <a:ext uri="{FF2B5EF4-FFF2-40B4-BE49-F238E27FC236}">
              <a16:creationId xmlns:a16="http://schemas.microsoft.com/office/drawing/2014/main" id="{174385EB-5634-4935-9229-222024CB1A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6" name="AutoShape 33">
          <a:extLst>
            <a:ext uri="{FF2B5EF4-FFF2-40B4-BE49-F238E27FC236}">
              <a16:creationId xmlns:a16="http://schemas.microsoft.com/office/drawing/2014/main" id="{0010B4A9-CB8F-4CD6-9672-567721CF7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7" name="AutoShape 22">
          <a:extLst>
            <a:ext uri="{FF2B5EF4-FFF2-40B4-BE49-F238E27FC236}">
              <a16:creationId xmlns:a16="http://schemas.microsoft.com/office/drawing/2014/main" id="{1596AC10-0731-4FE7-AE07-C870FFA8DD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8" name="AutoShape 33">
          <a:extLst>
            <a:ext uri="{FF2B5EF4-FFF2-40B4-BE49-F238E27FC236}">
              <a16:creationId xmlns:a16="http://schemas.microsoft.com/office/drawing/2014/main" id="{E656F7C4-98A4-4B31-9D99-FBF924C279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9" name="AutoShape 22">
          <a:extLst>
            <a:ext uri="{FF2B5EF4-FFF2-40B4-BE49-F238E27FC236}">
              <a16:creationId xmlns:a16="http://schemas.microsoft.com/office/drawing/2014/main" id="{D0266E9A-A3E5-4F92-A5A1-3D9EBCB38F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300" name="AutoShape 33">
          <a:extLst>
            <a:ext uri="{FF2B5EF4-FFF2-40B4-BE49-F238E27FC236}">
              <a16:creationId xmlns:a16="http://schemas.microsoft.com/office/drawing/2014/main" id="{F44036C1-9950-4C59-B17E-04DDE82F9F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1" name="AutoShape 22">
          <a:extLst>
            <a:ext uri="{FF2B5EF4-FFF2-40B4-BE49-F238E27FC236}">
              <a16:creationId xmlns:a16="http://schemas.microsoft.com/office/drawing/2014/main" id="{64424704-EFEE-41DF-8E54-8CFE5F7A96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2" name="AutoShape 33">
          <a:extLst>
            <a:ext uri="{FF2B5EF4-FFF2-40B4-BE49-F238E27FC236}">
              <a16:creationId xmlns:a16="http://schemas.microsoft.com/office/drawing/2014/main" id="{6210E96D-B66B-4340-BA35-6572689C7E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3" name="AutoShape 22">
          <a:extLst>
            <a:ext uri="{FF2B5EF4-FFF2-40B4-BE49-F238E27FC236}">
              <a16:creationId xmlns:a16="http://schemas.microsoft.com/office/drawing/2014/main" id="{7C6E5065-5844-4ED5-87C5-D822389AB0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4" name="AutoShape 33">
          <a:extLst>
            <a:ext uri="{FF2B5EF4-FFF2-40B4-BE49-F238E27FC236}">
              <a16:creationId xmlns:a16="http://schemas.microsoft.com/office/drawing/2014/main" id="{463281CD-89DF-4E21-8F00-DF446CC7C1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5" name="AutoShape 22">
          <a:extLst>
            <a:ext uri="{FF2B5EF4-FFF2-40B4-BE49-F238E27FC236}">
              <a16:creationId xmlns:a16="http://schemas.microsoft.com/office/drawing/2014/main" id="{79EC5E7D-8491-4877-B320-551AA9AED2F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6" name="AutoShape 33">
          <a:extLst>
            <a:ext uri="{FF2B5EF4-FFF2-40B4-BE49-F238E27FC236}">
              <a16:creationId xmlns:a16="http://schemas.microsoft.com/office/drawing/2014/main" id="{2D462325-4514-4887-AB47-24216CC93D2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7" name="AutoShape 22">
          <a:extLst>
            <a:ext uri="{FF2B5EF4-FFF2-40B4-BE49-F238E27FC236}">
              <a16:creationId xmlns:a16="http://schemas.microsoft.com/office/drawing/2014/main" id="{3166736D-49AA-4C85-AB50-74F827A3D4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8" name="AutoShape 33">
          <a:extLst>
            <a:ext uri="{FF2B5EF4-FFF2-40B4-BE49-F238E27FC236}">
              <a16:creationId xmlns:a16="http://schemas.microsoft.com/office/drawing/2014/main" id="{DF9824A1-9DE1-46E7-8AF9-2241A610379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09" name="AutoShape 22">
          <a:extLst>
            <a:ext uri="{FF2B5EF4-FFF2-40B4-BE49-F238E27FC236}">
              <a16:creationId xmlns:a16="http://schemas.microsoft.com/office/drawing/2014/main" id="{D25468E2-F1B3-4029-8982-5813F3DFD5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0" name="AutoShape 33">
          <a:extLst>
            <a:ext uri="{FF2B5EF4-FFF2-40B4-BE49-F238E27FC236}">
              <a16:creationId xmlns:a16="http://schemas.microsoft.com/office/drawing/2014/main" id="{4DE01464-15F0-4EC5-82D7-BF3A9AC924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1" name="AutoShape 22">
          <a:extLst>
            <a:ext uri="{FF2B5EF4-FFF2-40B4-BE49-F238E27FC236}">
              <a16:creationId xmlns:a16="http://schemas.microsoft.com/office/drawing/2014/main" id="{60192DDD-8C62-464C-B562-9978BAF658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2" name="AutoShape 33">
          <a:extLst>
            <a:ext uri="{FF2B5EF4-FFF2-40B4-BE49-F238E27FC236}">
              <a16:creationId xmlns:a16="http://schemas.microsoft.com/office/drawing/2014/main" id="{5D1158B0-7B87-42A5-B8B4-C5202F9DDCF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3" name="AutoShape 22">
          <a:extLst>
            <a:ext uri="{FF2B5EF4-FFF2-40B4-BE49-F238E27FC236}">
              <a16:creationId xmlns:a16="http://schemas.microsoft.com/office/drawing/2014/main" id="{9CE827E2-FDA8-41AB-A81A-38970797AD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4" name="AutoShape 33">
          <a:extLst>
            <a:ext uri="{FF2B5EF4-FFF2-40B4-BE49-F238E27FC236}">
              <a16:creationId xmlns:a16="http://schemas.microsoft.com/office/drawing/2014/main" id="{0E7C5C7F-9C76-43B0-9A16-B5FC92D4D97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5" name="AutoShape 22">
          <a:extLst>
            <a:ext uri="{FF2B5EF4-FFF2-40B4-BE49-F238E27FC236}">
              <a16:creationId xmlns:a16="http://schemas.microsoft.com/office/drawing/2014/main" id="{C77FDE5C-861F-4ACB-8C82-C5ADFA346B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6" name="AutoShape 33">
          <a:extLst>
            <a:ext uri="{FF2B5EF4-FFF2-40B4-BE49-F238E27FC236}">
              <a16:creationId xmlns:a16="http://schemas.microsoft.com/office/drawing/2014/main" id="{CF87D016-F417-43B6-92A2-B4CB2EE9C7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7" name="AutoShape 22">
          <a:extLst>
            <a:ext uri="{FF2B5EF4-FFF2-40B4-BE49-F238E27FC236}">
              <a16:creationId xmlns:a16="http://schemas.microsoft.com/office/drawing/2014/main" id="{B65FC388-ACFA-4A96-8C20-E551508A66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8" name="AutoShape 33">
          <a:extLst>
            <a:ext uri="{FF2B5EF4-FFF2-40B4-BE49-F238E27FC236}">
              <a16:creationId xmlns:a16="http://schemas.microsoft.com/office/drawing/2014/main" id="{C1973F40-0144-478E-90BD-445F59EF42B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9" name="AutoShape 22">
          <a:extLst>
            <a:ext uri="{FF2B5EF4-FFF2-40B4-BE49-F238E27FC236}">
              <a16:creationId xmlns:a16="http://schemas.microsoft.com/office/drawing/2014/main" id="{03311C1C-F137-49D9-BD23-D57A95979D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20" name="AutoShape 33">
          <a:extLst>
            <a:ext uri="{FF2B5EF4-FFF2-40B4-BE49-F238E27FC236}">
              <a16:creationId xmlns:a16="http://schemas.microsoft.com/office/drawing/2014/main" id="{0A7286DD-BC14-4F5A-B1A6-0DBACAF17A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1" name="AutoShape 22">
          <a:extLst>
            <a:ext uri="{FF2B5EF4-FFF2-40B4-BE49-F238E27FC236}">
              <a16:creationId xmlns:a16="http://schemas.microsoft.com/office/drawing/2014/main" id="{FA752EBB-41CC-485E-AF34-738D9722A1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2" name="AutoShape 33">
          <a:extLst>
            <a:ext uri="{FF2B5EF4-FFF2-40B4-BE49-F238E27FC236}">
              <a16:creationId xmlns:a16="http://schemas.microsoft.com/office/drawing/2014/main" id="{227A2267-6154-421D-84AC-3914880CBC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3" name="AutoShape 22">
          <a:extLst>
            <a:ext uri="{FF2B5EF4-FFF2-40B4-BE49-F238E27FC236}">
              <a16:creationId xmlns:a16="http://schemas.microsoft.com/office/drawing/2014/main" id="{04C615D6-5F27-42F3-AB06-C9559A31C6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4" name="AutoShape 33">
          <a:extLst>
            <a:ext uri="{FF2B5EF4-FFF2-40B4-BE49-F238E27FC236}">
              <a16:creationId xmlns:a16="http://schemas.microsoft.com/office/drawing/2014/main" id="{23231992-73DE-4214-82D7-67D425886B6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5" name="AutoShape 22">
          <a:extLst>
            <a:ext uri="{FF2B5EF4-FFF2-40B4-BE49-F238E27FC236}">
              <a16:creationId xmlns:a16="http://schemas.microsoft.com/office/drawing/2014/main" id="{7AB20414-04BD-4B13-8E38-ADE798856FA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6" name="AutoShape 33">
          <a:extLst>
            <a:ext uri="{FF2B5EF4-FFF2-40B4-BE49-F238E27FC236}">
              <a16:creationId xmlns:a16="http://schemas.microsoft.com/office/drawing/2014/main" id="{7AB42F9E-44A7-4FF2-8527-54CA886F12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7" name="AutoShape 22">
          <a:extLst>
            <a:ext uri="{FF2B5EF4-FFF2-40B4-BE49-F238E27FC236}">
              <a16:creationId xmlns:a16="http://schemas.microsoft.com/office/drawing/2014/main" id="{0DB01771-25FB-4966-9B38-D3F8A123EB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8" name="AutoShape 33">
          <a:extLst>
            <a:ext uri="{FF2B5EF4-FFF2-40B4-BE49-F238E27FC236}">
              <a16:creationId xmlns:a16="http://schemas.microsoft.com/office/drawing/2014/main" id="{AF0F7C22-D765-450F-8091-C6908AF19A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29" name="AutoShape 22">
          <a:extLst>
            <a:ext uri="{FF2B5EF4-FFF2-40B4-BE49-F238E27FC236}">
              <a16:creationId xmlns:a16="http://schemas.microsoft.com/office/drawing/2014/main" id="{F1C12A1A-199F-4CE9-AA3D-D3BB826A62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0" name="AutoShape 33">
          <a:extLst>
            <a:ext uri="{FF2B5EF4-FFF2-40B4-BE49-F238E27FC236}">
              <a16:creationId xmlns:a16="http://schemas.microsoft.com/office/drawing/2014/main" id="{9830487A-7CF6-4DBA-AF77-8CB0275CD4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1" name="AutoShape 22">
          <a:extLst>
            <a:ext uri="{FF2B5EF4-FFF2-40B4-BE49-F238E27FC236}">
              <a16:creationId xmlns:a16="http://schemas.microsoft.com/office/drawing/2014/main" id="{9372B723-CEC7-47FE-9425-D2C0C42A86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2" name="AutoShape 33">
          <a:extLst>
            <a:ext uri="{FF2B5EF4-FFF2-40B4-BE49-F238E27FC236}">
              <a16:creationId xmlns:a16="http://schemas.microsoft.com/office/drawing/2014/main" id="{D6EF188C-DF17-4950-A5B3-A12EC3DAB22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3" name="AutoShape 22">
          <a:extLst>
            <a:ext uri="{FF2B5EF4-FFF2-40B4-BE49-F238E27FC236}">
              <a16:creationId xmlns:a16="http://schemas.microsoft.com/office/drawing/2014/main" id="{A024C5CB-A7D9-4911-AF1F-7161063E2F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4" name="AutoShape 33">
          <a:extLst>
            <a:ext uri="{FF2B5EF4-FFF2-40B4-BE49-F238E27FC236}">
              <a16:creationId xmlns:a16="http://schemas.microsoft.com/office/drawing/2014/main" id="{05FA886D-FB2E-4631-BEA5-5172E9900B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5" name="AutoShape 22">
          <a:extLst>
            <a:ext uri="{FF2B5EF4-FFF2-40B4-BE49-F238E27FC236}">
              <a16:creationId xmlns:a16="http://schemas.microsoft.com/office/drawing/2014/main" id="{B595225F-8661-4699-B7A3-6459BCD751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6" name="AutoShape 33">
          <a:extLst>
            <a:ext uri="{FF2B5EF4-FFF2-40B4-BE49-F238E27FC236}">
              <a16:creationId xmlns:a16="http://schemas.microsoft.com/office/drawing/2014/main" id="{C2F5ACB0-5D12-4627-9D3A-7784EE50C1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7" name="AutoShape 22">
          <a:extLst>
            <a:ext uri="{FF2B5EF4-FFF2-40B4-BE49-F238E27FC236}">
              <a16:creationId xmlns:a16="http://schemas.microsoft.com/office/drawing/2014/main" id="{E895BD80-BCD4-41DF-B9D0-856E90D56C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8" name="AutoShape 33">
          <a:extLst>
            <a:ext uri="{FF2B5EF4-FFF2-40B4-BE49-F238E27FC236}">
              <a16:creationId xmlns:a16="http://schemas.microsoft.com/office/drawing/2014/main" id="{64AAA2C8-7923-4902-A7EA-6FF97D558A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9" name="AutoShape 22">
          <a:extLst>
            <a:ext uri="{FF2B5EF4-FFF2-40B4-BE49-F238E27FC236}">
              <a16:creationId xmlns:a16="http://schemas.microsoft.com/office/drawing/2014/main" id="{63AE6C14-9BE9-4FD5-8638-D90443F278C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40" name="AutoShape 33">
          <a:extLst>
            <a:ext uri="{FF2B5EF4-FFF2-40B4-BE49-F238E27FC236}">
              <a16:creationId xmlns:a16="http://schemas.microsoft.com/office/drawing/2014/main" id="{7A1D018F-8BB6-49EA-98B4-C6CB9E51883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1" name="AutoShape 22">
          <a:extLst>
            <a:ext uri="{FF2B5EF4-FFF2-40B4-BE49-F238E27FC236}">
              <a16:creationId xmlns:a16="http://schemas.microsoft.com/office/drawing/2014/main" id="{D51EFA62-D106-4AB7-9ACB-A16663694FA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2" name="AutoShape 33">
          <a:extLst>
            <a:ext uri="{FF2B5EF4-FFF2-40B4-BE49-F238E27FC236}">
              <a16:creationId xmlns:a16="http://schemas.microsoft.com/office/drawing/2014/main" id="{105EFF45-BF1F-4867-9D37-ECCAEB512E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3" name="AutoShape 22">
          <a:extLst>
            <a:ext uri="{FF2B5EF4-FFF2-40B4-BE49-F238E27FC236}">
              <a16:creationId xmlns:a16="http://schemas.microsoft.com/office/drawing/2014/main" id="{4F467E0A-9B8C-4327-8E30-1CF7F4FB9F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4" name="AutoShape 33">
          <a:extLst>
            <a:ext uri="{FF2B5EF4-FFF2-40B4-BE49-F238E27FC236}">
              <a16:creationId xmlns:a16="http://schemas.microsoft.com/office/drawing/2014/main" id="{A21118F6-A46E-40A1-AE85-5F9A0BE6E5B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5" name="AutoShape 22">
          <a:extLst>
            <a:ext uri="{FF2B5EF4-FFF2-40B4-BE49-F238E27FC236}">
              <a16:creationId xmlns:a16="http://schemas.microsoft.com/office/drawing/2014/main" id="{BD7B3B31-0DB4-4EBE-A1F3-F50301C423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6" name="AutoShape 33">
          <a:extLst>
            <a:ext uri="{FF2B5EF4-FFF2-40B4-BE49-F238E27FC236}">
              <a16:creationId xmlns:a16="http://schemas.microsoft.com/office/drawing/2014/main" id="{B68909D6-FBE2-4B42-99EB-F3779C43A8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7" name="AutoShape 22">
          <a:extLst>
            <a:ext uri="{FF2B5EF4-FFF2-40B4-BE49-F238E27FC236}">
              <a16:creationId xmlns:a16="http://schemas.microsoft.com/office/drawing/2014/main" id="{A38E55AE-4DBE-4634-AC6C-A2B4BF593A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8" name="AutoShape 33">
          <a:extLst>
            <a:ext uri="{FF2B5EF4-FFF2-40B4-BE49-F238E27FC236}">
              <a16:creationId xmlns:a16="http://schemas.microsoft.com/office/drawing/2014/main" id="{D895BA33-077D-49C7-A437-3BD4A31FF5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49" name="AutoShape 22">
          <a:extLst>
            <a:ext uri="{FF2B5EF4-FFF2-40B4-BE49-F238E27FC236}">
              <a16:creationId xmlns:a16="http://schemas.microsoft.com/office/drawing/2014/main" id="{89DC901F-C25F-4EF9-ABAC-1E2A7DEA17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0" name="AutoShape 33">
          <a:extLst>
            <a:ext uri="{FF2B5EF4-FFF2-40B4-BE49-F238E27FC236}">
              <a16:creationId xmlns:a16="http://schemas.microsoft.com/office/drawing/2014/main" id="{D77A3912-19D0-4A49-A141-B984703A282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1" name="AutoShape 22">
          <a:extLst>
            <a:ext uri="{FF2B5EF4-FFF2-40B4-BE49-F238E27FC236}">
              <a16:creationId xmlns:a16="http://schemas.microsoft.com/office/drawing/2014/main" id="{AE7B87A1-7649-4AF8-B4D3-C8F3DC2E3E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2" name="AutoShape 33">
          <a:extLst>
            <a:ext uri="{FF2B5EF4-FFF2-40B4-BE49-F238E27FC236}">
              <a16:creationId xmlns:a16="http://schemas.microsoft.com/office/drawing/2014/main" id="{D1BA205D-B563-44FC-BE25-E6158CDED4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3" name="AutoShape 22">
          <a:extLst>
            <a:ext uri="{FF2B5EF4-FFF2-40B4-BE49-F238E27FC236}">
              <a16:creationId xmlns:a16="http://schemas.microsoft.com/office/drawing/2014/main" id="{DFAC3774-215E-4E4C-B4B2-63951695748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4" name="AutoShape 33">
          <a:extLst>
            <a:ext uri="{FF2B5EF4-FFF2-40B4-BE49-F238E27FC236}">
              <a16:creationId xmlns:a16="http://schemas.microsoft.com/office/drawing/2014/main" id="{E7941770-F306-4A30-85A2-1370520CF0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5" name="AutoShape 22">
          <a:extLst>
            <a:ext uri="{FF2B5EF4-FFF2-40B4-BE49-F238E27FC236}">
              <a16:creationId xmlns:a16="http://schemas.microsoft.com/office/drawing/2014/main" id="{827FB1FA-4F5A-43AA-A3A8-2A9ECEF368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6" name="AutoShape 33">
          <a:extLst>
            <a:ext uri="{FF2B5EF4-FFF2-40B4-BE49-F238E27FC236}">
              <a16:creationId xmlns:a16="http://schemas.microsoft.com/office/drawing/2014/main" id="{8DCCB2D3-0870-4B52-9B7C-A5AE39264B3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7" name="AutoShape 22">
          <a:extLst>
            <a:ext uri="{FF2B5EF4-FFF2-40B4-BE49-F238E27FC236}">
              <a16:creationId xmlns:a16="http://schemas.microsoft.com/office/drawing/2014/main" id="{FCB3415B-0512-4546-B734-356236C33C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8" name="AutoShape 33">
          <a:extLst>
            <a:ext uri="{FF2B5EF4-FFF2-40B4-BE49-F238E27FC236}">
              <a16:creationId xmlns:a16="http://schemas.microsoft.com/office/drawing/2014/main" id="{E0A2A94C-C33F-4F81-9783-8F89AE9E62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9" name="AutoShape 22">
          <a:extLst>
            <a:ext uri="{FF2B5EF4-FFF2-40B4-BE49-F238E27FC236}">
              <a16:creationId xmlns:a16="http://schemas.microsoft.com/office/drawing/2014/main" id="{017798BA-02DF-430A-93DE-EBC19BECEC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60" name="AutoShape 33">
          <a:extLst>
            <a:ext uri="{FF2B5EF4-FFF2-40B4-BE49-F238E27FC236}">
              <a16:creationId xmlns:a16="http://schemas.microsoft.com/office/drawing/2014/main" id="{CE256AA5-72B5-4931-9185-4441D68FAD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1" name="AutoShape 22">
          <a:extLst>
            <a:ext uri="{FF2B5EF4-FFF2-40B4-BE49-F238E27FC236}">
              <a16:creationId xmlns:a16="http://schemas.microsoft.com/office/drawing/2014/main" id="{F4192B15-B37D-4879-A47E-0374F67126F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2" name="AutoShape 33">
          <a:extLst>
            <a:ext uri="{FF2B5EF4-FFF2-40B4-BE49-F238E27FC236}">
              <a16:creationId xmlns:a16="http://schemas.microsoft.com/office/drawing/2014/main" id="{850D2EB5-B880-4D3F-994C-2E9802BEA5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3" name="AutoShape 22">
          <a:extLst>
            <a:ext uri="{FF2B5EF4-FFF2-40B4-BE49-F238E27FC236}">
              <a16:creationId xmlns:a16="http://schemas.microsoft.com/office/drawing/2014/main" id="{1395C903-F26C-4BF5-B374-C0AEF5FA74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4" name="AutoShape 33">
          <a:extLst>
            <a:ext uri="{FF2B5EF4-FFF2-40B4-BE49-F238E27FC236}">
              <a16:creationId xmlns:a16="http://schemas.microsoft.com/office/drawing/2014/main" id="{F68BA5C3-79D7-4EED-A6C1-E1D019FDE1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5" name="AutoShape 22">
          <a:extLst>
            <a:ext uri="{FF2B5EF4-FFF2-40B4-BE49-F238E27FC236}">
              <a16:creationId xmlns:a16="http://schemas.microsoft.com/office/drawing/2014/main" id="{CE14017B-3791-4AEB-ADA5-CA7B3803AA1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6" name="AutoShape 33">
          <a:extLst>
            <a:ext uri="{FF2B5EF4-FFF2-40B4-BE49-F238E27FC236}">
              <a16:creationId xmlns:a16="http://schemas.microsoft.com/office/drawing/2014/main" id="{7F577FF6-0188-4C89-9CEA-9D362ECBC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7" name="AutoShape 22">
          <a:extLst>
            <a:ext uri="{FF2B5EF4-FFF2-40B4-BE49-F238E27FC236}">
              <a16:creationId xmlns:a16="http://schemas.microsoft.com/office/drawing/2014/main" id="{620254E4-71D5-499F-A137-6E3F42C267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8" name="AutoShape 33">
          <a:extLst>
            <a:ext uri="{FF2B5EF4-FFF2-40B4-BE49-F238E27FC236}">
              <a16:creationId xmlns:a16="http://schemas.microsoft.com/office/drawing/2014/main" id="{B0F1086B-B776-48DE-B15B-48C066FE12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69" name="AutoShape 22">
          <a:extLst>
            <a:ext uri="{FF2B5EF4-FFF2-40B4-BE49-F238E27FC236}">
              <a16:creationId xmlns:a16="http://schemas.microsoft.com/office/drawing/2014/main" id="{0F84CDC0-993D-49A0-8E23-59E8E1B9C3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0" name="AutoShape 33">
          <a:extLst>
            <a:ext uri="{FF2B5EF4-FFF2-40B4-BE49-F238E27FC236}">
              <a16:creationId xmlns:a16="http://schemas.microsoft.com/office/drawing/2014/main" id="{65F5EE70-C340-4104-8222-9CF77B224C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1" name="AutoShape 22">
          <a:extLst>
            <a:ext uri="{FF2B5EF4-FFF2-40B4-BE49-F238E27FC236}">
              <a16:creationId xmlns:a16="http://schemas.microsoft.com/office/drawing/2014/main" id="{AD4E78CA-0D2C-4505-B3E4-5CA4E91A062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2" name="AutoShape 33">
          <a:extLst>
            <a:ext uri="{FF2B5EF4-FFF2-40B4-BE49-F238E27FC236}">
              <a16:creationId xmlns:a16="http://schemas.microsoft.com/office/drawing/2014/main" id="{7AE174FA-5ECC-4744-B017-A1BDC68C540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3" name="AutoShape 22">
          <a:extLst>
            <a:ext uri="{FF2B5EF4-FFF2-40B4-BE49-F238E27FC236}">
              <a16:creationId xmlns:a16="http://schemas.microsoft.com/office/drawing/2014/main" id="{3998B912-ABFE-4FCB-B739-57387D4AC2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4" name="AutoShape 33">
          <a:extLst>
            <a:ext uri="{FF2B5EF4-FFF2-40B4-BE49-F238E27FC236}">
              <a16:creationId xmlns:a16="http://schemas.microsoft.com/office/drawing/2014/main" id="{5F406FF3-3F2D-4FE9-B22B-2E185C6AD2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5" name="AutoShape 22">
          <a:extLst>
            <a:ext uri="{FF2B5EF4-FFF2-40B4-BE49-F238E27FC236}">
              <a16:creationId xmlns:a16="http://schemas.microsoft.com/office/drawing/2014/main" id="{2AC0B970-7AD3-4E6A-8776-2B27082D2A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6" name="AutoShape 33">
          <a:extLst>
            <a:ext uri="{FF2B5EF4-FFF2-40B4-BE49-F238E27FC236}">
              <a16:creationId xmlns:a16="http://schemas.microsoft.com/office/drawing/2014/main" id="{2BB3841F-5889-4C83-8E72-5728399425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7" name="AutoShape 22">
          <a:extLst>
            <a:ext uri="{FF2B5EF4-FFF2-40B4-BE49-F238E27FC236}">
              <a16:creationId xmlns:a16="http://schemas.microsoft.com/office/drawing/2014/main" id="{07E5898D-0FCD-4364-9CF4-8A9E54F7CF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8" name="AutoShape 33">
          <a:extLst>
            <a:ext uri="{FF2B5EF4-FFF2-40B4-BE49-F238E27FC236}">
              <a16:creationId xmlns:a16="http://schemas.microsoft.com/office/drawing/2014/main" id="{FE056F82-E983-409E-9D00-D4219EEF37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379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C83BBD-96C2-43B9-9109-F701C1EB807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80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0B7CD70-EB6A-4372-91FB-61D0254D2A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381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BA6656C-2C62-43D2-A6AB-57BD4004E8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382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0353D1E-E98F-444E-9721-AB1A7999D6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383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24B8057-D36D-4784-BCEB-5606B2F660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384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492527D-42D7-4D34-8A2D-C3112F8A05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385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DD7170E-029E-4314-AD71-12466D7B44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386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EE248A7-823B-4FF5-BEAD-8DC45AE4F3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387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C5B03A3-E6C7-499D-BD9E-B5215F2052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388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7F0DD9D-257D-44CB-9E01-F5A0EB27829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389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F1D1DDA-5A57-4811-9D10-0C7202D100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390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D73970F-CA01-4274-AFF4-96FE090E7D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391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58C5F8D-C0D7-47FE-9C14-13C1777F00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392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1F94D5F-C66C-4B22-9231-5A1D44F6FC4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393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69BDC5C-0BC3-4A22-8591-DF08114F1E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394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3F65E90-B9DA-4589-BE23-248706E9F9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395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F436974-CC76-47C7-BA1D-4913000175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396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1000CBF-FA3B-4214-8FAB-9D5B870D949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397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6048F0E-3067-4206-BBAF-EFCEDB732A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398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4E7EA0D-D046-4F74-9D4A-03579FEC54D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399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2716F02-4A89-41EB-AADD-08E570DECA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400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176FCBC-2E27-4F1F-935A-45C3591360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401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E0FE942-F6B2-4BB0-9275-433111E0C2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402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EA4D3AF-CD24-4A28-A110-F0EE1312E1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403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415F58CD-F9D8-4513-B7AB-C8FC585596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404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772B528E-193A-43EA-98B8-E08A46B4F2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405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E0D908C-59AB-48D6-A471-C2A60A4118C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406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3742C91-7A62-4946-AA76-227DD8FDA5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407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FBB46A0-681E-473C-8D68-267407D757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408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DF1F5C14-93AC-45AD-838C-813F2B9084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409" name="AutoShape 33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A97983CC-0CF5-453E-81FE-C903532771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410" name="AutoShape 34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FB71283A-0AD2-4B75-938C-25A5876119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411" name="AutoShape 35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DEBAB52-A5F7-4404-B433-C9EC058F50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412" name="AutoShape 36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51EDF350-4808-40B1-BBA2-BF6C66BAC751}"/>
            </a:ext>
          </a:extLst>
        </xdr:cNvPr>
        <xdr:cNvSpPr>
          <a:spLocks noChangeAspect="1" noChangeArrowheads="1"/>
        </xdr:cNvSpPr>
      </xdr:nvSpPr>
      <xdr:spPr bwMode="auto">
        <a:xfrm>
          <a:off x="17145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413" name="AutoShape 37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B074FAE4-C818-445E-8402-6C090E346C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414" name="AutoShape 38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EA2978EE-75A4-492A-92D8-35132CD4D1C3}"/>
            </a:ext>
          </a:extLst>
        </xdr:cNvPr>
        <xdr:cNvSpPr>
          <a:spLocks noChangeAspect="1" noChangeArrowheads="1"/>
        </xdr:cNvSpPr>
      </xdr:nvSpPr>
      <xdr:spPr bwMode="auto">
        <a:xfrm>
          <a:off x="17145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415" name="AutoShape 39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EB0DB5B3-916B-473B-996E-2BD48D426D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416" name="AutoShape 40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64B49658-5D0F-42C9-8335-3AA22561DB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417" name="AutoShape 41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6C1BD918-C3D3-42EE-834C-50B6895293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418" name="AutoShape 42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535DD14-3F40-4599-8E79-4E8CEA982A2A}"/>
            </a:ext>
          </a:extLst>
        </xdr:cNvPr>
        <xdr:cNvSpPr>
          <a:spLocks noChangeAspect="1" noChangeArrowheads="1"/>
        </xdr:cNvSpPr>
      </xdr:nvSpPr>
      <xdr:spPr bwMode="auto">
        <a:xfrm>
          <a:off x="17145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419" name="AutoShape 43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B731EF39-DD48-4C4F-87BA-F402BABEBC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420" name="AutoShape 44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DB9E5F03-7620-48BB-86BB-A45888D07C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421" name="AutoShape 45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6C9358C3-4D63-4176-91F1-AC901BDC55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422" name="AutoShape 46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4BEA99EA-9526-47DB-8459-239DEB8AD8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423" name="AutoShape 47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B017A9E0-3145-47FC-A7CB-1E3DE59674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424" name="AutoShape 48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E666B0FC-1D28-482C-B01F-291FEB26B3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425" name="AutoShape 49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4E3CBA2F-B68C-4F08-A560-485371D7FA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426" name="AutoShape 50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35531C1E-1177-439A-9FC8-B6A70EED1C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427" name="AutoShape 51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274D6E98-AE1A-4397-A86B-31786564B6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428" name="AutoShape 52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4A251769-5FF0-455E-BAE7-BAD60771CC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429" name="AutoShape 53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8B308D79-1E39-4E33-BAE8-2E4E642061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430" name="AutoShape 54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A0783487-65C2-4A25-9B70-5322CCECF6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431" name="AutoShape 55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2397CDCF-E7EC-46E3-AA2B-507C35464F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432" name="AutoShape 56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BBED83A6-1289-4BEF-AA5C-401F1FDF6A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433" name="AutoShape 57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877800-B387-4518-9F6E-99F6782BC9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434" name="AutoShape 58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C2DE351C-A674-44EB-BF3A-6345968DBD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435" name="AutoShape 59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2D6C2A86-DADA-40B1-83E6-193C4B0EBA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436" name="AutoShape 60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5E19FFD0-EA9A-4C3E-BC00-8AB662509F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437" name="AutoShape 61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A6A178A2-984E-4C46-AC55-428D7482519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438" name="AutoShape 62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B940653-90EA-410D-868E-EFCD8BC562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439" name="AutoShape 63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EAE4F33B-539A-4D7B-8249-DB6CCFBD205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440" name="AutoShape 64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D1DAAE59-3A17-4587-A741-7B85521421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441" name="AutoShape 65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BAC7D05B-7144-45BA-91C9-9E7758A1AE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442" name="AutoShape 66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EB34F7A1-5903-41F7-9316-7EBB028572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443" name="AutoShape 67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D284E50A-035A-419E-9411-535ACEAB2CD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444" name="AutoShape 68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DCAE2A3A-F1BA-448F-9D1D-926DF9E997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445" name="AutoShape 69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80DA6095-FDF7-4494-A6CF-E1BAC7ADFA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446" name="AutoShape 70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309A5CF-79EA-4A5F-B429-C3B4FD47A1D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447" name="AutoShape 71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31281DC-5BF5-45A6-BB87-6FAB6C5248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448" name="AutoShape 72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7B73B383-FE99-47E2-A7F5-36CF793529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449" name="AutoShape 73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81AE4179-3D4F-4775-83FE-3EB353DAB2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450" name="AutoShape 74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84B7BB3E-66B5-46E3-9ABC-0727DF159B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451" name="AutoShape 75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562E6C91-79DD-46BC-941C-2E4060CABDB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452" name="AutoShape 76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A1D4880E-81CC-4807-950A-9DF861413F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453" name="AutoShape 77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0B93173-1A2E-4780-AB20-BFC83EFC6D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454" name="AutoShape 78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8DD106F6-C9D9-414E-8DC8-A99F4DBF8EE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455" name="AutoShape 79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62ADCE25-57C4-4E1D-BC54-EB971A0D22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456" name="AutoShape 80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84363410-F380-4329-9CE1-6E2C7BD22D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457" name="AutoShape 81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AF39C502-62E4-4716-B5CC-9AAD292C89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458" name="AutoShape 82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3A83CBBD-83DD-487F-B959-B85F4D3BFF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459" name="AutoShape 83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FFF8DE6B-7C53-40DE-8844-DB705F4765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460" name="AutoShape 84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4701E6A4-19F5-473C-B1E2-433F42BEAA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461" name="AutoShape 85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24F8601-CC12-4AA2-9964-6DF9779C5D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462" name="AutoShape 86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E03336B7-34E3-4715-AED4-1D2896A98F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463" name="AutoShape 87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5EECF488-2AE8-47A6-AD26-DF9320636A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464" name="AutoShape 88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522B23E-1ED1-47B7-B1A5-6D43C7D015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465" name="AutoShape 89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25B936B1-4061-4F78-BFE2-425D97AA23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466" name="AutoShape 90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75BC2198-1863-4733-A486-1B564CAFD5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467" name="AutoShape 91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2BA91A2C-751B-4768-86FB-4195E41B75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468" name="AutoShape 92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442D8457-DAAE-4288-B0EB-E270A11F8A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469" name="AutoShape 93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BA67CB91-A556-41F1-9E4F-7872E48E967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470" name="AutoShape 94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D202A401-B0CB-4993-8C84-A5AC1CDCBAF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471" name="AutoShape 95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C5436B05-9522-48E8-9FF7-63FEAD07E5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472" name="AutoShape 96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79617AA8-AF5B-487A-AD4D-38330B5F87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473" name="AutoShape 97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DF3D4600-BA4B-4BC7-AEE0-BFD2B55B600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474" name="AutoShape 98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CEC8D58B-56D2-46A0-AECC-6C30BA3C2E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475" name="AutoShape 99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D8B8C0AB-F6E8-419C-99B1-C0AB7B95F3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476" name="AutoShape 100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22911D78-D350-4FB2-B867-6264D87E2C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477" name="AutoShape 101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A26F2559-A2B8-4203-B87C-8B401F8B1D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478" name="AutoShape 102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6867F1FD-4689-42F8-9BF9-02F8427EF0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479" name="AutoShape 103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DECC2626-1981-419C-9ED9-ABAD94300C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480" name="AutoShape 104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FCF9D075-EE9E-4941-9AF9-97183FB6A7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481" name="AutoShape 105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B9090A20-E27E-4F5C-BBB3-B6A5970306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482" name="AutoShape 106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A715F76E-3940-4046-87F3-78BC57E6AB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483" name="AutoShape 107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222212D2-0938-4424-A6F2-4EFC5F32D7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484" name="AutoShape 108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613336F9-4C62-402A-8F38-27EDE8C7C90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485" name="AutoShape 109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E7086016-73F1-4D05-A313-011465C113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486" name="AutoShape 110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F99AC156-FF88-463A-B291-896A32B9E09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487" name="AutoShape 111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5F4BC6EF-25F4-4826-9E5F-C57A0AB81E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488" name="AutoShape 112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9D532242-68F3-4180-A154-DE67A7AA78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489" name="AutoShape 113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90DEDDA9-71F0-412B-A9D3-6109CC20CF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490" name="AutoShape 114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D07EF888-AE1C-432D-AA16-558E8834D85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491" name="AutoShape 115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B2E4970A-BADA-4818-8FCE-5DBB21C5C1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492" name="AutoShape 116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9EBE6739-7324-42BD-BF26-D8B3D16262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493" name="AutoShape 117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9CFE6EA3-20D1-43FF-8D74-ACEB9DA2DF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494" name="AutoShape 118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405CA014-56C5-41A1-9FB3-97F4FAFB12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495" name="AutoShape 119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4B5202E0-6569-401B-9275-F2F457D54B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496" name="AutoShape 120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1ADEB07A-900F-4728-98B3-8D74E8798B7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497" name="AutoShape 121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94704071-565F-4F8D-A85E-02157F0C98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498" name="AutoShape 122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FB5B0760-D6CB-4438-956B-5702F943766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499" name="AutoShape 123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8E85A45F-ADAB-4339-A921-FEA1A75533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500" name="AutoShape 124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F46C3D76-2A57-4A5E-AD75-9F62410C27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501" name="AutoShape 125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DA23FACF-BBA7-42A9-9A78-31AA1CFF66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502" name="AutoShape 126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8A9FB85B-1CA1-4F5B-B8BD-B0AFF4CE43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503" name="AutoShape 127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456C888-ED21-4779-B16F-21CE4946EB5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504" name="AutoShape 128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8564BDAF-9E4B-48CB-B01F-9961A8F930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505" name="AutoShape 129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833C9AC9-6F94-49DC-B265-B092F4B137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506" name="AutoShape 130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37A3A36E-6188-447F-A107-99E1939194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507" name="AutoShape 131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F2464A35-6CEA-4071-ACE0-7B7BB7869E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508" name="AutoShape 132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4014A7AA-0817-4711-81F3-64714B16F1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509" name="AutoShape 133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A31C045B-54F5-4F29-9A1A-3E78A60C9D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510" name="AutoShape 134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959AFC46-BC94-4D1B-B38A-004DB79614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511" name="AutoShape 135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F22C6EAB-A0D3-48BC-B52B-1FEF54AC3B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512" name="AutoShape 136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9A61DC7-CC00-45AB-8E7F-0AC3CA88A6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513" name="AutoShape 137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C474680A-C642-467F-BA4F-4CD29CF6771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514" name="AutoShape 138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7D99D49B-7119-4FC5-A1EB-AE19ADEA87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515" name="AutoShape 139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CECDD219-A1B0-4607-A8AD-FFDE56C5FFC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516" name="AutoShape 140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57693707-31CE-46B8-9B66-07248DCA40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517" name="AutoShape 141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16272EB0-AD6C-42BF-9CD7-5420F33463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518" name="AutoShape 142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4E280D8E-B064-4F33-80CE-661731A71B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519" name="AutoShape 143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FBB8FB92-2FF8-4400-86C0-3C96293D8F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520" name="AutoShape 144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6C9433BC-DF75-4330-ACBE-D64B3779DD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521" name="AutoShape 145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BDF8717B-BECB-4035-AA3B-1DAB09ACB8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522" name="AutoShape 146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F0A1F6A8-73B4-495A-87D4-51A8A94225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523" name="AutoShape 147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527601D9-C284-45BD-A34F-8D59A18D0D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524" name="AutoShape 148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BE144684-DCB7-4DE4-8C37-3A406BA498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525" name="AutoShape 149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7357365D-A4B6-4337-8F2E-444D2FF1BA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526" name="AutoShape 150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733CA9A8-841F-448A-A526-D730CAFF91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527" name="AutoShape 151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821125B8-6F67-40E4-9CB2-19A29D455D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528" name="AutoShape 152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C2FD0A70-B9A7-4C2F-AA18-02F6F2DE49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529" name="AutoShape 153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63DAAC35-DB75-4AE3-ACDB-9B2E3685DD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530" name="AutoShape 154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4ABC7E7F-5215-49FC-871C-AE34C23EDD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531" name="AutoShape 155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ADFA374B-2871-4C49-910C-6D35B0A35F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532" name="AutoShape 156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95999637-535F-48EC-BF41-5F5B6D70D2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533" name="AutoShape 157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3B4A9C53-8712-4A4C-BCC2-2AB6799095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534" name="AutoShape 158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C9D4AD38-8B11-46BE-8888-79284B834A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535" name="AutoShape 159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E4DE5531-E6BD-46E5-8ED5-7BA81E10DB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536" name="AutoShape 160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F70C4930-90AC-4205-A85A-DAD89DBF4D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537" name="AutoShape 161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24A25D46-F4D9-4E70-9773-22825B2375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538" name="AutoShape 162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49455584-1FC0-42AB-B456-407FA76E7A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539" name="AutoShape 163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8F4FACC4-5DDC-42DC-A519-08864BCBFE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540" name="AutoShape 164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34E6FB3F-6B20-4976-B77B-0BE1B9FD8F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541" name="AutoShape 165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83F05F6F-C52D-4D2A-BD78-008BEB086A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542" name="AutoShape 166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7FF9932B-3F3C-457E-B86F-8C9B507C11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543" name="AutoShape 167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3BE8E666-3928-4997-B7D9-599F2D62226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544" name="AutoShape 168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5EC230F4-56DC-4DBE-BD11-7D5C2BCED5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545" name="AutoShape 169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011F93A5-702D-47C2-A2D5-D5C1F97793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546" name="AutoShape 170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24813A2C-CB74-4557-98F1-3CAF1600C4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547" name="AutoShape 171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121E07CC-22CE-4343-A4D8-20E4909465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548" name="AutoShape 172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6642A73D-B1B9-46E8-B739-923D2347CE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549" name="AutoShape 173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1CD35730-5254-4EBA-8ACE-6EAC188F89D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550" name="AutoShape 174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ADA9D0D8-BDE2-4329-9C19-EDCC1C606D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551" name="AutoShape 175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4925BF39-FCA1-4719-B517-244586EAC7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552" name="AutoShape 176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92C4CB34-123B-4070-AEFA-6098942184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553" name="AutoShape 177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0C8F4355-01D9-4275-99BF-D89913F9EC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554" name="AutoShape 178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C7E97C94-6E8D-4FF8-B57C-67730FCF3F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555" name="AutoShape 179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6C58FB72-2173-4AE2-B2FC-645DF46692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556" name="AutoShape 180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A953733B-6E6D-4DAD-997C-F4C775549B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557" name="AutoShape 181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746B39E2-0F35-45AA-BA2B-449BB519085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558" name="AutoShape 182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7570AE0D-3AE7-49B2-82DF-4A5EAF85A1B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559" name="AutoShape 183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6F64F8BB-3FAA-4959-A4E5-084A16A508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560" name="AutoShape 184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50939013-9687-44FF-8887-E0345C05FA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561" name="AutoShape 185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7942271C-793C-41AB-A563-BE0BCBEA52D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562" name="AutoShape 186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A83C662C-2CA0-4986-B825-D927E05474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563" name="AutoShape 187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9B811051-D371-47B5-B985-F745E8945B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564" name="AutoShape 188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A7A04BF5-64EB-46BD-9DAB-275C61D142A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565" name="AutoShape 189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A5CA6E59-A214-4330-AD62-4FB0B188DD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566" name="AutoShape 190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CA1980A0-A176-45C8-B389-75D85B3477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567" name="AutoShape 191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B05C967C-F71C-47FA-A8C7-6E6809DFDC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568" name="AutoShape 192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9D93521A-5B3D-4725-84DB-2A4FB70ACE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569" name="AutoShape 193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FF3107C2-D328-4684-BF50-2F9BAD843C9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570" name="AutoShape 194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9F7C4351-2B9B-4CE5-9ABA-0CF8F634F80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571" name="AutoShape 195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7AC97086-DCDB-4C22-A330-29ABDA8C5B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572" name="AutoShape 196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D493DAD9-EE8D-491B-95FB-5514082FEA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573" name="AutoShape 197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F9D4B177-6C2F-46A3-BCF8-60E71E4AEB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574" name="AutoShape 198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6B79BA0A-A97A-4ECC-9219-9541574493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575" name="AutoShape 199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73CED4AE-270B-415D-841B-FE06D0BE95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576" name="AutoShape 200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F5AC08FE-C236-4A0D-80F7-A4B18F3B2D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577" name="AutoShape 201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758644F0-4519-4247-8678-665181F599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578" name="AutoShape 202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B01ED7B4-715D-459C-B697-FEEFD786B6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579" name="AutoShape 203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194D2228-E1BC-462C-A53D-422A3167D6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580" name="AutoShape 204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F8B6E3D4-DF42-43FF-9F9C-D8315696E7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581" name="AutoShape 205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1421F9B1-8A7C-4005-B210-61565984B08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582" name="AutoShape 206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8243D994-2645-46A0-8203-5474739CBA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583" name="AutoShape 207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25877836-0B14-4A8B-9F0B-AB324EFB74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584" name="AutoShape 208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B18009E0-E5F0-46A4-97DF-E1ABF0F9FC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585" name="AutoShape 209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D7C2DC99-C33D-422A-B984-2D35963F64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586" name="AutoShape 210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0E134B16-EFFB-4FE0-BF92-7858E0481B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587" name="AutoShape 211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B015B24F-BA9F-48BB-A09C-3694BB037E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588" name="AutoShape 212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32C01EC5-A0E0-4063-954D-9FDC17EB6C9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589" name="AutoShape 213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1506EC88-414D-4585-8DBF-420C366CE5E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590" name="AutoShape 214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7D8478DC-20BE-4C70-AEDD-63D063D95BE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591" name="AutoShape 215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C5D04CF1-5D12-4B28-8918-76E919C117A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592" name="AutoShape 216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BCFB8C68-0F55-44A4-B47E-507DFF38D3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593" name="AutoShape 217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DDF77C93-D259-439D-94F9-B4769098F9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594" name="AutoShape 218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5392814A-99D7-426C-8433-76A300E32B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595" name="AutoShape 219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C0E49E7A-4880-4AF7-A167-C03A08BE08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596" name="AutoShape 220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408C0095-B4C3-4073-8FDE-F3CF1EB6BD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597" name="AutoShape 221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73497736-D9BD-4946-A623-55156EBB4CB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598" name="AutoShape 222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F0CBC856-3758-49FA-92B1-5836A45AF1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599" name="AutoShape 223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DAD5AAF4-E67E-4FF5-9378-21A31A92E9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600" name="AutoShape 224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A98F4A36-DFDE-4F26-91E4-4EDF04FB4E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601" name="AutoShape 225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FF2D4347-8B69-44CF-ADF8-209327EFD21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602" name="AutoShape 226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80F72625-B191-4C03-9776-C9E02B2140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603" name="AutoShape 227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46E61F51-F4D6-4B60-83AF-ABEF1AAB1A2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604" name="AutoShape 228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DF789CC1-945C-4EB0-81B7-F875E31E34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605" name="AutoShape 229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F0A00FBB-F731-4CCF-A2E2-1488D0E7C7A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606" name="AutoShape 230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1737C7C5-F165-4C21-8207-564A9D5F2C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607" name="AutoShape 231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44C345EA-BFB1-4ECD-96DC-036F96003B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608" name="AutoShape 232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319E5EFE-3213-4AD9-9920-0C3915FB92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609" name="AutoShape 233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CDE957B4-EB0E-4774-BE3A-AB16163B12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610" name="AutoShape 234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4F595860-2FF2-4586-BF9E-8FC71CC1FC0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611" name="AutoShape 235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85E25D6D-EDFE-4CAC-ABE9-C885612773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612" name="AutoShape 236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FB958E11-C046-4BC5-A889-85E2F242EC1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613" name="AutoShape 237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8C7ED402-A73C-4B85-8503-F828E4B54F6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614" name="AutoShape 238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AF919EB1-F4FC-4D0D-98C4-8294FE33B1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615" name="AutoShape 239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BAB67699-C9CA-4A19-869E-32C13B3FEE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616" name="AutoShape 240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2340C4F8-7EC2-4270-A2E2-ED766394D3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617" name="AutoShape 241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AAC8FB91-D0F5-42A8-90C2-2FEFBB18288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618" name="AutoShape 242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37A678CF-EE1F-4D29-97A4-BDC4540D191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619" name="AutoShape 243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8CFDAEE3-3975-48CF-ACD1-3778D0042B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620" name="AutoShape 244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1121CCF5-8466-4875-8A3E-8A3DA8824DA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621" name="AutoShape 245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0D8DE228-80BA-4910-B1A2-D970567462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622" name="AutoShape 246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72A651AA-C4DD-4F3A-B0F7-BCA59F850D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623" name="AutoShape 247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3E90BA64-56DC-49A6-9CDD-0541AB848F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624" name="AutoShape 248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8E5AD1D0-A8A0-4A96-90F6-2EE329874F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625" name="AutoShape 249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D1B03369-CC09-4311-A9A2-0A2975BE272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626" name="AutoShape 250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2FCC5DA0-8312-415D-851F-5B5F887B5D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627" name="AutoShape 251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4EA9998D-372D-4D05-A943-AB1FEBCF65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628" name="AutoShape 252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3DA6CFEC-02D3-453F-87C6-2DAD1CBC8A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629" name="AutoShape 253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6FAC2AA1-1365-4577-8F27-C6A32DFCDC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630" name="AutoShape 254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53BEEB61-B35B-4C17-A6BE-3258F4D6AC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631" name="AutoShape 255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CDEC325D-829E-41E6-8018-7E6D6FB23E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632" name="AutoShape 256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7CD7D60E-8861-40D3-B6D2-458366D6D2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633" name="AutoShape 257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2C9F0FE0-679D-4008-A0A4-612CED921E6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634" name="AutoShape 258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BC8B39BF-F70E-479A-B175-285A2A49DB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635" name="AutoShape 259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AB6F08CD-1EE9-4003-B8E5-FDE21FFFC90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636" name="AutoShape 260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DC8C6D00-B9CF-4C0C-989F-901BCD72B5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637" name="AutoShape 261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82037692-23D7-4F6F-9D0E-E19DF72796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638" name="AutoShape 262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A4F13A3-36A5-4C91-9A72-500FA8F609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639" name="AutoShape 263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5A76A271-C009-4F17-BDA9-2A3D8E65669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640" name="AutoShape 264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1A62FBCF-612D-408C-84E3-88A3D7C0F6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641" name="AutoShape 265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F63BC2D6-14A0-4C60-91C7-23B2EE3A69C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642" name="AutoShape 266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EFDF6E5D-0557-4153-B870-415D69757A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643" name="AutoShape 267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716D600B-82AF-4C56-801A-6088C414A4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644" name="AutoShape 268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065BBEAA-B8DC-4C97-B1B8-63FDD3DCBA4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645" name="AutoShape 269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DB111A2A-0D21-4A50-A859-7E6A548591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646" name="AutoShape 270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05004778-16E9-4039-BAEA-38DEBA602B6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647" name="AutoShape 271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F0BFFF50-F617-4D90-BE7A-42C983E178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648" name="AutoShape 272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3340D035-B35A-47C6-9F78-8DDA581724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649" name="AutoShape 273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425593BF-7EF4-4F36-8F47-38FD046486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650" name="AutoShape 274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A14D6A98-227C-438E-8E24-3AE3B1AA76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651" name="AutoShape 275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139024E0-61FF-471A-99EA-ED26EC74D3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652" name="AutoShape 276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36AE1482-5F75-4B99-A849-F7676D92ED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653" name="AutoShape 277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57A15AAE-D357-45A3-B31D-986F8505112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654" name="AutoShape 278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D199A3B2-DEFD-4AA6-8701-961B9085DDB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655" name="AutoShape 279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382C8420-F051-428E-8692-41CD426DE4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656" name="AutoShape 280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461FD565-EB03-4D52-BB3E-1CE683E0EC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657" name="AutoShape 281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E6B1B024-F55D-41C6-AA3E-CDF2A4C9C1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658" name="AutoShape 282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56CA2FC3-36B8-48E8-93F8-B7DBB8509A6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659" name="AutoShape 283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B5665521-9DFF-49EE-BFF9-0DF415FBF1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660" name="AutoShape 284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34EB0BE7-E3B1-4ECB-9661-939361148B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661" name="AutoShape 285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E871CD9F-3605-4A1D-B440-A2E516579A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662" name="AutoShape 286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D63A3D05-63F5-4776-AD11-6E1D754A73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663" name="AutoShape 287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491260F4-25C4-4F22-B939-C55CA95AC5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664" name="AutoShape 288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E903FE0B-0254-4054-8DE5-428B50D5AC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665" name="AutoShape 289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D4F99DAA-4451-4B57-93DD-10816099F5D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666" name="AutoShape 290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EF245F73-F280-47EF-80D0-EE6C9B7850C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667" name="AutoShape 291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FF168BA9-F2C0-4E1C-ADCE-A4B07B0C83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668" name="AutoShape 292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56BB3EEC-80CD-43C1-929B-CABF11E525A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669" name="AutoShape 293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EB170D7D-FF3C-45D9-868D-3F3EBC1EDA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670" name="AutoShape 294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5CD4900B-F9DE-4CC7-937C-AECCD4DBB7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671" name="AutoShape 295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C4B8995D-6F8A-4888-A8F4-24DAD1D2ED7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672" name="AutoShape 296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93A810FC-1AC2-497E-A91B-8B7E0AB57B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673" name="AutoShape 297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CA2FA873-676A-46BE-BBDA-E40FD71B081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674" name="AutoShape 298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651740AC-88E3-4E78-BA79-17816F751D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675" name="AutoShape 299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2CF6FCAA-1D03-42B7-9EEA-7D3652162E7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676" name="AutoShape 300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BC05C6DD-3899-4671-BF23-136E9800D0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677" name="AutoShape 301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39232FBF-032D-4CF4-AE6A-58C5261F1BA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307</xdr:row>
      <xdr:rowOff>142875</xdr:rowOff>
    </xdr:to>
    <xdr:sp macro="" textlink="">
      <xdr:nvSpPr>
        <xdr:cNvPr id="678" name="AutoShape 302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3736C756-E3F6-42FF-8848-D609341FE4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54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308</xdr:row>
      <xdr:rowOff>142875</xdr:rowOff>
    </xdr:to>
    <xdr:sp macro="" textlink="">
      <xdr:nvSpPr>
        <xdr:cNvPr id="679" name="AutoShape 303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015E2331-65F0-4173-80D3-F040CFCDD6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309</xdr:row>
      <xdr:rowOff>142875</xdr:rowOff>
    </xdr:to>
    <xdr:sp macro="" textlink="">
      <xdr:nvSpPr>
        <xdr:cNvPr id="680" name="AutoShape 304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A9F08ECE-7DE6-4B0B-BD02-1DA7242B82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87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310</xdr:row>
      <xdr:rowOff>142875</xdr:rowOff>
    </xdr:to>
    <xdr:sp macro="" textlink="">
      <xdr:nvSpPr>
        <xdr:cNvPr id="681" name="AutoShape 305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FF81E05D-6214-4F6A-870E-6378E506174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311</xdr:row>
      <xdr:rowOff>142875</xdr:rowOff>
    </xdr:to>
    <xdr:sp macro="" textlink="">
      <xdr:nvSpPr>
        <xdr:cNvPr id="682" name="AutoShape 306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2CB35102-755D-431A-81C0-630858341C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D2B248-D024-4F26-BD81-ACC6693EBB28}" name="Paper_Reference" displayName="Paper_Reference" ref="A1:J6764" totalsRowShown="0" headerRowDxfId="14" dataDxfId="13">
  <autoFilter ref="A1:J6764" xr:uid="{ACD2B248-D024-4F26-BD81-ACC6693EBB28}"/>
  <sortState xmlns:xlrd2="http://schemas.microsoft.com/office/spreadsheetml/2017/richdata2" ref="A2:J6764">
    <sortCondition ref="B1:B6764"/>
  </sortState>
  <tableColumns count="10">
    <tableColumn id="1" xr3:uid="{756940ED-7ABD-4573-A146-0128D224A382}" name="Lvl" dataDxfId="12"/>
    <tableColumn id="2" xr3:uid="{6FC66002-F74C-435B-81F7-20CDBB0CC3FD}" name="Item ID" dataDxfId="11"/>
    <tableColumn id="3" xr3:uid="{2008FC87-4D79-4C35-9586-22ADCC3F0D66}" name="Description" dataDxfId="10"/>
    <tableColumn id="4" xr3:uid="{37D981AA-9B7F-4397-8018-E4D73EB0D352}" name="BOM Code" dataDxfId="9"/>
    <tableColumn id="5" xr3:uid="{CEC22C0A-320B-4836-AD2D-A7C21CDA059C}" name="Op Seq" dataDxfId="8"/>
    <tableColumn id="6" xr3:uid="{0F3379C7-03F0-4455-8712-776FA87C2C69}" name="Quantity" dataDxfId="7"/>
    <tableColumn id="7" xr3:uid="{B460ABCB-8E2B-4136-8728-5B3033DFAB1E}" name="Paper Code" dataDxfId="6"/>
    <tableColumn id="8" xr3:uid="{F136004A-4ED2-4EA9-B3A0-09C545AA6E96}" name="Paper Description" dataDxfId="5"/>
    <tableColumn id="9" xr3:uid="{BB28B124-F33D-40CB-AF57-20E75335B49A}" name="Duplicate Key" dataDxfId="4">
      <calculatedColumnFormula>_xlfn.CONCAT(Paper_Reference[[#This Row],[Lvl]:[Paper Description]])</calculatedColumnFormula>
    </tableColumn>
    <tableColumn id="10" xr3:uid="{143F1B8F-E053-4685-89E0-FE2C80201E2E}" name="Duplicate Check" dataDxfId="3">
      <calculatedColumnFormula>COUNTIF(Paper_Reference[Duplicate Key],Paper_Reference[[#This Row],[Duplicate Key]])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7D2C-7F01-43D4-A209-6885940657A3}">
  <dimension ref="B2:D27"/>
  <sheetViews>
    <sheetView workbookViewId="0">
      <selection activeCell="B28" sqref="B28"/>
    </sheetView>
  </sheetViews>
  <sheetFormatPr defaultRowHeight="15.75"/>
  <cols>
    <col min="1" max="16384" width="9.140625" style="10"/>
  </cols>
  <sheetData>
    <row r="2" spans="2:4">
      <c r="B2" s="10" t="s">
        <v>8674</v>
      </c>
    </row>
    <row r="3" spans="2:4">
      <c r="C3" s="10" t="s">
        <v>8678</v>
      </c>
    </row>
    <row r="4" spans="2:4">
      <c r="C4" s="10" t="s">
        <v>8680</v>
      </c>
    </row>
    <row r="5" spans="2:4">
      <c r="D5" s="10" t="s">
        <v>8675</v>
      </c>
    </row>
    <row r="6" spans="2:4">
      <c r="D6" s="10" t="s">
        <v>8676</v>
      </c>
    </row>
    <row r="7" spans="2:4">
      <c r="C7" s="10" t="s">
        <v>8677</v>
      </c>
    </row>
    <row r="8" spans="2:4">
      <c r="C8" s="10" t="s">
        <v>8679</v>
      </c>
    </row>
    <row r="10" spans="2:4">
      <c r="B10" s="10" t="s">
        <v>8673</v>
      </c>
    </row>
    <row r="11" spans="2:4">
      <c r="C11" s="10" t="s">
        <v>8658</v>
      </c>
    </row>
    <row r="12" spans="2:4">
      <c r="C12" s="10" t="s">
        <v>8659</v>
      </c>
    </row>
    <row r="13" spans="2:4">
      <c r="C13" s="10" t="s">
        <v>8660</v>
      </c>
    </row>
    <row r="14" spans="2:4">
      <c r="C14" s="10" t="s">
        <v>8661</v>
      </c>
    </row>
    <row r="15" spans="2:4">
      <c r="C15" s="10" t="s">
        <v>8662</v>
      </c>
    </row>
    <row r="16" spans="2:4">
      <c r="C16" s="10" t="s">
        <v>8663</v>
      </c>
    </row>
    <row r="17" spans="2:4">
      <c r="C17" s="10" t="s">
        <v>8664</v>
      </c>
    </row>
    <row r="18" spans="2:4">
      <c r="C18" s="10" t="s">
        <v>8665</v>
      </c>
    </row>
    <row r="19" spans="2:4">
      <c r="C19" s="10" t="s">
        <v>8666</v>
      </c>
    </row>
    <row r="20" spans="2:4">
      <c r="C20" s="10" t="s">
        <v>8667</v>
      </c>
    </row>
    <row r="21" spans="2:4">
      <c r="D21" s="10" t="s">
        <v>8668</v>
      </c>
    </row>
    <row r="22" spans="2:4">
      <c r="C22" s="10" t="s">
        <v>8669</v>
      </c>
    </row>
    <row r="23" spans="2:4">
      <c r="C23" s="10" t="s">
        <v>8670</v>
      </c>
    </row>
    <row r="24" spans="2:4">
      <c r="C24" s="10" t="s">
        <v>8671</v>
      </c>
    </row>
    <row r="25" spans="2:4">
      <c r="C25" s="10" t="s">
        <v>8672</v>
      </c>
    </row>
    <row r="27" spans="2:4">
      <c r="B27" s="10" t="s">
        <v>8754</v>
      </c>
    </row>
  </sheetData>
  <pageMargins left="0.7" right="0.7" top="0.75" bottom="0.75" header="0.3" footer="0.3"/>
  <pageSetup orientation="portrait" copies="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6B946-B657-433C-A1AB-A4B254B80290}">
  <dimension ref="B3:C171"/>
  <sheetViews>
    <sheetView workbookViewId="0">
      <selection activeCell="C4" sqref="C4:C171"/>
    </sheetView>
  </sheetViews>
  <sheetFormatPr defaultRowHeight="12.75"/>
  <cols>
    <col min="1" max="1" width="9.140625" style="33"/>
    <col min="2" max="2" width="9.140625" style="31"/>
    <col min="3" max="3" width="9.140625" style="32"/>
    <col min="4" max="16384" width="9.140625" style="33"/>
  </cols>
  <sheetData>
    <row r="3" spans="2:3" ht="25.5">
      <c r="B3" s="31" t="str" cm="1">
        <f t="array" ref="B3:B44">_xlfn.UNIQUE(Review!H:H)</f>
        <v>Sched
Ship Dte</v>
      </c>
      <c r="C3" s="34" t="s">
        <v>9654</v>
      </c>
    </row>
    <row r="4" spans="2:3">
      <c r="B4" s="31">
        <v>44893</v>
      </c>
      <c r="C4" s="32">
        <f>IF(SUMIF(Review!H:H,B4,Review!F:F)=0,"",SUMIF(Review!H:H,B4,Review!F:F))</f>
        <v>52</v>
      </c>
    </row>
    <row r="5" spans="2:3">
      <c r="B5" s="31">
        <v>44900</v>
      </c>
      <c r="C5" s="32">
        <f>IF(SUMIF(Review!H:H,B5,Review!F:F)=0,"",SUMIF(Review!H:H,B5,Review!F:F))</f>
        <v>51</v>
      </c>
    </row>
    <row r="6" spans="2:3">
      <c r="B6" s="31">
        <v>44907</v>
      </c>
      <c r="C6" s="32">
        <f>IF(SUMIF(Review!H:H,B6,Review!F:F)=0,"",SUMIF(Review!H:H,B6,Review!F:F))</f>
        <v>80</v>
      </c>
    </row>
    <row r="7" spans="2:3">
      <c r="B7" s="31">
        <v>44929</v>
      </c>
      <c r="C7" s="32">
        <f>IF(SUMIF(Review!H:H,B7,Review!F:F)=0,"",SUMIF(Review!H:H,B7,Review!F:F))</f>
        <v>380</v>
      </c>
    </row>
    <row r="8" spans="2:3">
      <c r="B8" s="31">
        <v>44935</v>
      </c>
      <c r="C8" s="32">
        <f>IF(SUMIF(Review!H:H,B8,Review!F:F)=0,"",SUMIF(Review!H:H,B8,Review!F:F))</f>
        <v>133</v>
      </c>
    </row>
    <row r="9" spans="2:3">
      <c r="B9" s="31">
        <v>44942</v>
      </c>
      <c r="C9" s="32">
        <f>IF(SUMIF(Review!H:H,B9,Review!F:F)=0,"",SUMIF(Review!H:H,B9,Review!F:F))</f>
        <v>404</v>
      </c>
    </row>
    <row r="10" spans="2:3">
      <c r="B10" s="31">
        <v>44949</v>
      </c>
      <c r="C10" s="32">
        <f>IF(SUMIF(Review!H:H,B10,Review!F:F)=0,"",SUMIF(Review!H:H,B10,Review!F:F))</f>
        <v>300</v>
      </c>
    </row>
    <row r="11" spans="2:3">
      <c r="B11" s="31">
        <v>44956</v>
      </c>
      <c r="C11" s="32">
        <f>IF(SUMIF(Review!H:H,B11,Review!F:F)=0,"",SUMIF(Review!H:H,B11,Review!F:F))</f>
        <v>384</v>
      </c>
    </row>
    <row r="12" spans="2:3">
      <c r="B12" s="31">
        <v>44963</v>
      </c>
      <c r="C12" s="32">
        <f>IF(SUMIF(Review!H:H,B12,Review!F:F)=0,"",SUMIF(Review!H:H,B12,Review!F:F))</f>
        <v>274</v>
      </c>
    </row>
    <row r="13" spans="2:3">
      <c r="B13" s="31">
        <v>44970</v>
      </c>
      <c r="C13" s="32">
        <f>IF(SUMIF(Review!H:H,B13,Review!F:F)=0,"",SUMIF(Review!H:H,B13,Review!F:F))</f>
        <v>380</v>
      </c>
    </row>
    <row r="14" spans="2:3">
      <c r="B14" s="31">
        <v>44978</v>
      </c>
      <c r="C14" s="32">
        <f>IF(SUMIF(Review!H:H,B14,Review!F:F)=0,"",SUMIF(Review!H:H,B14,Review!F:F))</f>
        <v>182</v>
      </c>
    </row>
    <row r="15" spans="2:3">
      <c r="B15" s="31">
        <v>44838</v>
      </c>
      <c r="C15" s="32">
        <f>IF(SUMIF(Review!H:H,B15,Review!F:F)=0,"",SUMIF(Review!H:H,B15,Review!F:F))</f>
        <v>4</v>
      </c>
    </row>
    <row r="16" spans="2:3">
      <c r="B16" s="31">
        <v>44841</v>
      </c>
      <c r="C16" s="32">
        <f>IF(SUMIF(Review!H:H,B16,Review!F:F)=0,"",SUMIF(Review!H:H,B16,Review!F:F))</f>
        <v>3</v>
      </c>
    </row>
    <row r="17" spans="2:3">
      <c r="B17" s="31">
        <v>44869</v>
      </c>
      <c r="C17" s="32">
        <f>IF(SUMIF(Review!H:H,B17,Review!F:F)=0,"",SUMIF(Review!H:H,B17,Review!F:F))</f>
        <v>4</v>
      </c>
    </row>
    <row r="18" spans="2:3">
      <c r="B18" s="31">
        <v>44874</v>
      </c>
      <c r="C18" s="32">
        <f>IF(SUMIF(Review!H:H,B18,Review!F:F)=0,"",SUMIF(Review!H:H,B18,Review!F:F))</f>
        <v>160</v>
      </c>
    </row>
    <row r="19" spans="2:3">
      <c r="B19" s="31">
        <v>44876</v>
      </c>
      <c r="C19" s="32">
        <f>IF(SUMIF(Review!H:H,B19,Review!F:F)=0,"",SUMIF(Review!H:H,B19,Review!F:F))</f>
        <v>160</v>
      </c>
    </row>
    <row r="20" spans="2:3">
      <c r="B20" s="31">
        <v>44887</v>
      </c>
      <c r="C20" s="32">
        <f>IF(SUMIF(Review!H:H,B20,Review!F:F)=0,"",SUMIF(Review!H:H,B20,Review!F:F))</f>
        <v>4</v>
      </c>
    </row>
    <row r="21" spans="2:3">
      <c r="B21" s="31">
        <v>44904</v>
      </c>
      <c r="C21" s="32">
        <f>IF(SUMIF(Review!H:H,B21,Review!F:F)=0,"",SUMIF(Review!H:H,B21,Review!F:F))</f>
        <v>3</v>
      </c>
    </row>
    <row r="22" spans="2:3">
      <c r="B22" s="31">
        <v>44908</v>
      </c>
      <c r="C22" s="32">
        <f>IF(SUMIF(Review!H:H,B22,Review!F:F)=0,"",SUMIF(Review!H:H,B22,Review!F:F))</f>
        <v>4</v>
      </c>
    </row>
    <row r="23" spans="2:3">
      <c r="B23" s="31">
        <v>44911</v>
      </c>
      <c r="C23" s="32">
        <f>IF(SUMIF(Review!H:H,B23,Review!F:F)=0,"",SUMIF(Review!H:H,B23,Review!F:F))</f>
        <v>16</v>
      </c>
    </row>
    <row r="24" spans="2:3">
      <c r="B24" s="31">
        <v>44915</v>
      </c>
      <c r="C24" s="32">
        <f>IF(SUMIF(Review!H:H,B24,Review!F:F)=0,"",SUMIF(Review!H:H,B24,Review!F:F))</f>
        <v>5</v>
      </c>
    </row>
    <row r="25" spans="2:3">
      <c r="B25" s="31">
        <v>44922</v>
      </c>
      <c r="C25" s="32">
        <f>IF(SUMIF(Review!H:H,B25,Review!F:F)=0,"",SUMIF(Review!H:H,B25,Review!F:F))</f>
        <v>22</v>
      </c>
    </row>
    <row r="26" spans="2:3">
      <c r="B26" s="31">
        <v>44939</v>
      </c>
      <c r="C26" s="32">
        <f>IF(SUMIF(Review!H:H,B26,Review!F:F)=0,"",SUMIF(Review!H:H,B26,Review!F:F))</f>
        <v>24</v>
      </c>
    </row>
    <row r="27" spans="2:3">
      <c r="B27" s="31">
        <v>44943</v>
      </c>
      <c r="C27" s="32">
        <f>IF(SUMIF(Review!H:H,B27,Review!F:F)=0,"",SUMIF(Review!H:H,B27,Review!F:F))</f>
        <v>23</v>
      </c>
    </row>
    <row r="28" spans="2:3">
      <c r="B28" s="31">
        <v>44950</v>
      </c>
      <c r="C28" s="32">
        <f>IF(SUMIF(Review!H:H,B28,Review!F:F)=0,"",SUMIF(Review!H:H,B28,Review!F:F))</f>
        <v>54</v>
      </c>
    </row>
    <row r="29" spans="2:3">
      <c r="B29" s="31">
        <v>44952</v>
      </c>
      <c r="C29" s="32">
        <f>IF(SUMIF(Review!H:H,B29,Review!F:F)=0,"",SUMIF(Review!H:H,B29,Review!F:F))</f>
        <v>18</v>
      </c>
    </row>
    <row r="30" spans="2:3">
      <c r="B30" s="31">
        <v>44953</v>
      </c>
      <c r="C30" s="32">
        <f>IF(SUMIF(Review!H:H,B30,Review!F:F)=0,"",SUMIF(Review!H:H,B30,Review!F:F))</f>
        <v>12</v>
      </c>
    </row>
    <row r="31" spans="2:3">
      <c r="B31" s="31">
        <v>44957</v>
      </c>
      <c r="C31" s="32">
        <f>IF(SUMIF(Review!H:H,B31,Review!F:F)=0,"",SUMIF(Review!H:H,B31,Review!F:F))</f>
        <v>34</v>
      </c>
    </row>
    <row r="32" spans="2:3">
      <c r="B32" s="31">
        <v>44960</v>
      </c>
      <c r="C32" s="32">
        <f>IF(SUMIF(Review!H:H,B32,Review!F:F)=0,"",SUMIF(Review!H:H,B32,Review!F:F))</f>
        <v>18</v>
      </c>
    </row>
    <row r="33" spans="2:3">
      <c r="B33" s="31">
        <v>44964</v>
      </c>
      <c r="C33" s="32">
        <f>IF(SUMIF(Review!H:H,B33,Review!F:F)=0,"",SUMIF(Review!H:H,B33,Review!F:F))</f>
        <v>48</v>
      </c>
    </row>
    <row r="34" spans="2:3">
      <c r="B34" s="31">
        <v>44967</v>
      </c>
      <c r="C34" s="32">
        <f>IF(SUMIF(Review!H:H,B34,Review!F:F)=0,"",SUMIF(Review!H:H,B34,Review!F:F))</f>
        <v>13</v>
      </c>
    </row>
    <row r="35" spans="2:3">
      <c r="B35" s="31">
        <v>44971</v>
      </c>
      <c r="C35" s="32">
        <f>IF(SUMIF(Review!H:H,B35,Review!F:F)=0,"",SUMIF(Review!H:H,B35,Review!F:F))</f>
        <v>3</v>
      </c>
    </row>
    <row r="36" spans="2:3">
      <c r="B36" s="31">
        <v>44974</v>
      </c>
      <c r="C36" s="32">
        <f>IF(SUMIF(Review!H:H,B36,Review!F:F)=0,"",SUMIF(Review!H:H,B36,Review!F:F))</f>
        <v>6</v>
      </c>
    </row>
    <row r="37" spans="2:3">
      <c r="B37" s="31">
        <v>44981</v>
      </c>
      <c r="C37" s="32">
        <f>IF(SUMIF(Review!H:H,B37,Review!F:F)=0,"",SUMIF(Review!H:H,B37,Review!F:F))</f>
        <v>54</v>
      </c>
    </row>
    <row r="38" spans="2:3">
      <c r="B38" s="31">
        <v>44985</v>
      </c>
      <c r="C38" s="32">
        <f>IF(SUMIF(Review!H:H,B38,Review!F:F)=0,"",SUMIF(Review!H:H,B38,Review!F:F))</f>
        <v>8</v>
      </c>
    </row>
    <row r="39" spans="2:3">
      <c r="B39" s="31">
        <v>44988</v>
      </c>
      <c r="C39" s="32">
        <f>IF(SUMIF(Review!H:H,B39,Review!F:F)=0,"",SUMIF(Review!H:H,B39,Review!F:F))</f>
        <v>80</v>
      </c>
    </row>
    <row r="40" spans="2:3">
      <c r="B40" s="31">
        <v>44992</v>
      </c>
      <c r="C40" s="32">
        <f>IF(SUMIF(Review!H:H,B40,Review!F:F)=0,"",SUMIF(Review!H:H,B40,Review!F:F))</f>
        <v>2</v>
      </c>
    </row>
    <row r="41" spans="2:3">
      <c r="B41" s="31">
        <v>44995</v>
      </c>
      <c r="C41" s="32">
        <f>IF(SUMIF(Review!H:H,B41,Review!F:F)=0,"",SUMIF(Review!H:H,B41,Review!F:F))</f>
        <v>38</v>
      </c>
    </row>
    <row r="42" spans="2:3">
      <c r="B42" s="31">
        <v>45002</v>
      </c>
      <c r="C42" s="32">
        <f>IF(SUMIF(Review!H:H,B42,Review!F:F)=0,"",SUMIF(Review!H:H,B42,Review!F:F))</f>
        <v>36</v>
      </c>
    </row>
    <row r="43" spans="2:3">
      <c r="B43" s="31">
        <v>45016</v>
      </c>
      <c r="C43" s="32">
        <f>IF(SUMIF(Review!H:H,B43,Review!F:F)=0,"",SUMIF(Review!H:H,B43,Review!F:F))</f>
        <v>18</v>
      </c>
    </row>
    <row r="44" spans="2:3">
      <c r="B44" s="31">
        <v>0</v>
      </c>
      <c r="C44" s="32" t="str">
        <f>IF(SUMIF(Review!H:H,B44,Review!F:F)=0,"",SUMIF(Review!H:H,B44,Review!F:F))</f>
        <v/>
      </c>
    </row>
    <row r="45" spans="2:3">
      <c r="C45" s="32" t="str">
        <f>IF(SUMIF(Review!H:H,B45,Review!F:F)=0,"",SUMIF(Review!H:H,B45,Review!F:F))</f>
        <v/>
      </c>
    </row>
    <row r="46" spans="2:3">
      <c r="C46" s="32" t="str">
        <f>IF(SUMIF(Review!H:H,B46,Review!F:F)=0,"",SUMIF(Review!H:H,B46,Review!F:F))</f>
        <v/>
      </c>
    </row>
    <row r="47" spans="2:3">
      <c r="C47" s="32" t="str">
        <f>IF(SUMIF(Review!H:H,B47,Review!F:F)=0,"",SUMIF(Review!H:H,B47,Review!F:F))</f>
        <v/>
      </c>
    </row>
    <row r="48" spans="2:3">
      <c r="C48" s="32" t="str">
        <f>IF(SUMIF(Review!H:H,B48,Review!F:F)=0,"",SUMIF(Review!H:H,B48,Review!F:F))</f>
        <v/>
      </c>
    </row>
    <row r="49" spans="3:3">
      <c r="C49" s="32" t="str">
        <f>IF(SUMIF(Review!H:H,B49,Review!F:F)=0,"",SUMIF(Review!H:H,B49,Review!F:F))</f>
        <v/>
      </c>
    </row>
    <row r="50" spans="3:3">
      <c r="C50" s="32" t="str">
        <f>IF(SUMIF(Review!H:H,B50,Review!F:F)=0,"",SUMIF(Review!H:H,B50,Review!F:F))</f>
        <v/>
      </c>
    </row>
    <row r="51" spans="3:3">
      <c r="C51" s="32" t="str">
        <f>IF(SUMIF(Review!H:H,B51,Review!F:F)=0,"",SUMIF(Review!H:H,B51,Review!F:F))</f>
        <v/>
      </c>
    </row>
    <row r="52" spans="3:3">
      <c r="C52" s="32" t="str">
        <f>IF(SUMIF(Review!H:H,B52,Review!F:F)=0,"",SUMIF(Review!H:H,B52,Review!F:F))</f>
        <v/>
      </c>
    </row>
    <row r="53" spans="3:3">
      <c r="C53" s="32" t="str">
        <f>IF(SUMIF(Review!H:H,B53,Review!F:F)=0,"",SUMIF(Review!H:H,B53,Review!F:F))</f>
        <v/>
      </c>
    </row>
    <row r="54" spans="3:3">
      <c r="C54" s="32" t="str">
        <f>IF(SUMIF(Review!H:H,B54,Review!F:F)=0,"",SUMIF(Review!H:H,B54,Review!F:F))</f>
        <v/>
      </c>
    </row>
    <row r="55" spans="3:3">
      <c r="C55" s="32" t="str">
        <f>IF(SUMIF(Review!H:H,B55,Review!F:F)=0,"",SUMIF(Review!H:H,B55,Review!F:F))</f>
        <v/>
      </c>
    </row>
    <row r="56" spans="3:3">
      <c r="C56" s="32" t="str">
        <f>IF(SUMIF(Review!H:H,B56,Review!F:F)=0,"",SUMIF(Review!H:H,B56,Review!F:F))</f>
        <v/>
      </c>
    </row>
    <row r="57" spans="3:3">
      <c r="C57" s="32" t="str">
        <f>IF(SUMIF(Review!H:H,B57,Review!F:F)=0,"",SUMIF(Review!H:H,B57,Review!F:F))</f>
        <v/>
      </c>
    </row>
    <row r="58" spans="3:3">
      <c r="C58" s="32" t="str">
        <f>IF(SUMIF(Review!H:H,B58,Review!F:F)=0,"",SUMIF(Review!H:H,B58,Review!F:F))</f>
        <v/>
      </c>
    </row>
    <row r="59" spans="3:3">
      <c r="C59" s="32" t="str">
        <f>IF(SUMIF(Review!H:H,B59,Review!F:F)=0,"",SUMIF(Review!H:H,B59,Review!F:F))</f>
        <v/>
      </c>
    </row>
    <row r="60" spans="3:3">
      <c r="C60" s="32" t="str">
        <f>IF(SUMIF(Review!H:H,B60,Review!F:F)=0,"",SUMIF(Review!H:H,B60,Review!F:F))</f>
        <v/>
      </c>
    </row>
    <row r="61" spans="3:3">
      <c r="C61" s="32" t="str">
        <f>IF(SUMIF(Review!H:H,B61,Review!F:F)=0,"",SUMIF(Review!H:H,B61,Review!F:F))</f>
        <v/>
      </c>
    </row>
    <row r="62" spans="3:3">
      <c r="C62" s="32" t="str">
        <f>IF(SUMIF(Review!H:H,B62,Review!F:F)=0,"",SUMIF(Review!H:H,B62,Review!F:F))</f>
        <v/>
      </c>
    </row>
    <row r="63" spans="3:3">
      <c r="C63" s="32" t="str">
        <f>IF(SUMIF(Review!H:H,B63,Review!F:F)=0,"",SUMIF(Review!H:H,B63,Review!F:F))</f>
        <v/>
      </c>
    </row>
    <row r="64" spans="3:3">
      <c r="C64" s="32" t="str">
        <f>IF(SUMIF(Review!H:H,B64,Review!F:F)=0,"",SUMIF(Review!H:H,B64,Review!F:F))</f>
        <v/>
      </c>
    </row>
    <row r="65" spans="3:3">
      <c r="C65" s="32" t="str">
        <f>IF(SUMIF(Review!H:H,B65,Review!F:F)=0,"",SUMIF(Review!H:H,B65,Review!F:F))</f>
        <v/>
      </c>
    </row>
    <row r="66" spans="3:3">
      <c r="C66" s="32" t="str">
        <f>IF(SUMIF(Review!H:H,B66,Review!F:F)=0,"",SUMIF(Review!H:H,B66,Review!F:F))</f>
        <v/>
      </c>
    </row>
    <row r="67" spans="3:3">
      <c r="C67" s="32" t="str">
        <f>IF(SUMIF(Review!H:H,B67,Review!F:F)=0,"",SUMIF(Review!H:H,B67,Review!F:F))</f>
        <v/>
      </c>
    </row>
    <row r="68" spans="3:3">
      <c r="C68" s="32" t="str">
        <f>IF(SUMIF(Review!H:H,B68,Review!F:F)=0,"",SUMIF(Review!H:H,B68,Review!F:F))</f>
        <v/>
      </c>
    </row>
    <row r="69" spans="3:3">
      <c r="C69" s="32" t="str">
        <f>IF(SUMIF(Review!H:H,B69,Review!F:F)=0,"",SUMIF(Review!H:H,B69,Review!F:F))</f>
        <v/>
      </c>
    </row>
    <row r="70" spans="3:3">
      <c r="C70" s="32" t="str">
        <f>IF(SUMIF(Review!H:H,B70,Review!F:F)=0,"",SUMIF(Review!H:H,B70,Review!F:F))</f>
        <v/>
      </c>
    </row>
    <row r="71" spans="3:3">
      <c r="C71" s="32" t="str">
        <f>IF(SUMIF(Review!H:H,B71,Review!F:F)=0,"",SUMIF(Review!H:H,B71,Review!F:F))</f>
        <v/>
      </c>
    </row>
    <row r="72" spans="3:3">
      <c r="C72" s="32" t="str">
        <f>IF(SUMIF(Review!H:H,B72,Review!F:F)=0,"",SUMIF(Review!H:H,B72,Review!F:F))</f>
        <v/>
      </c>
    </row>
    <row r="73" spans="3:3">
      <c r="C73" s="32" t="str">
        <f>IF(SUMIF(Review!H:H,B73,Review!F:F)=0,"",SUMIF(Review!H:H,B73,Review!F:F))</f>
        <v/>
      </c>
    </row>
    <row r="74" spans="3:3">
      <c r="C74" s="32" t="str">
        <f>IF(SUMIF(Review!H:H,B74,Review!F:F)=0,"",SUMIF(Review!H:H,B74,Review!F:F))</f>
        <v/>
      </c>
    </row>
    <row r="75" spans="3:3">
      <c r="C75" s="32" t="str">
        <f>IF(SUMIF(Review!H:H,B75,Review!F:F)=0,"",SUMIF(Review!H:H,B75,Review!F:F))</f>
        <v/>
      </c>
    </row>
    <row r="76" spans="3:3">
      <c r="C76" s="32" t="str">
        <f>IF(SUMIF(Review!H:H,B76,Review!F:F)=0,"",SUMIF(Review!H:H,B76,Review!F:F))</f>
        <v/>
      </c>
    </row>
    <row r="77" spans="3:3">
      <c r="C77" s="32" t="str">
        <f>IF(SUMIF(Review!H:H,B77,Review!F:F)=0,"",SUMIF(Review!H:H,B77,Review!F:F))</f>
        <v/>
      </c>
    </row>
    <row r="78" spans="3:3">
      <c r="C78" s="32" t="str">
        <f>IF(SUMIF(Review!H:H,B78,Review!F:F)=0,"",SUMIF(Review!H:H,B78,Review!F:F))</f>
        <v/>
      </c>
    </row>
    <row r="79" spans="3:3">
      <c r="C79" s="32" t="str">
        <f>IF(SUMIF(Review!H:H,B79,Review!F:F)=0,"",SUMIF(Review!H:H,B79,Review!F:F))</f>
        <v/>
      </c>
    </row>
    <row r="80" spans="3:3">
      <c r="C80" s="32" t="str">
        <f>IF(SUMIF(Review!H:H,B80,Review!F:F)=0,"",SUMIF(Review!H:H,B80,Review!F:F))</f>
        <v/>
      </c>
    </row>
    <row r="81" spans="3:3">
      <c r="C81" s="32" t="str">
        <f>IF(SUMIF(Review!H:H,B81,Review!F:F)=0,"",SUMIF(Review!H:H,B81,Review!F:F))</f>
        <v/>
      </c>
    </row>
    <row r="82" spans="3:3">
      <c r="C82" s="32" t="str">
        <f>IF(SUMIF(Review!H:H,B82,Review!F:F)=0,"",SUMIF(Review!H:H,B82,Review!F:F))</f>
        <v/>
      </c>
    </row>
    <row r="83" spans="3:3">
      <c r="C83" s="32" t="str">
        <f>IF(SUMIF(Review!H:H,B83,Review!F:F)=0,"",SUMIF(Review!H:H,B83,Review!F:F))</f>
        <v/>
      </c>
    </row>
    <row r="84" spans="3:3">
      <c r="C84" s="32" t="str">
        <f>IF(SUMIF(Review!H:H,B84,Review!F:F)=0,"",SUMIF(Review!H:H,B84,Review!F:F))</f>
        <v/>
      </c>
    </row>
    <row r="85" spans="3:3">
      <c r="C85" s="32" t="str">
        <f>IF(SUMIF(Review!H:H,B85,Review!F:F)=0,"",SUMIF(Review!H:H,B85,Review!F:F))</f>
        <v/>
      </c>
    </row>
    <row r="86" spans="3:3">
      <c r="C86" s="32" t="str">
        <f>IF(SUMIF(Review!H:H,B86,Review!F:F)=0,"",SUMIF(Review!H:H,B86,Review!F:F))</f>
        <v/>
      </c>
    </row>
    <row r="87" spans="3:3">
      <c r="C87" s="32" t="str">
        <f>IF(SUMIF(Review!H:H,B87,Review!F:F)=0,"",SUMIF(Review!H:H,B87,Review!F:F))</f>
        <v/>
      </c>
    </row>
    <row r="88" spans="3:3">
      <c r="C88" s="32" t="str">
        <f>IF(SUMIF(Review!H:H,B88,Review!F:F)=0,"",SUMIF(Review!H:H,B88,Review!F:F))</f>
        <v/>
      </c>
    </row>
    <row r="89" spans="3:3">
      <c r="C89" s="32" t="str">
        <f>IF(SUMIF(Review!H:H,B89,Review!F:F)=0,"",SUMIF(Review!H:H,B89,Review!F:F))</f>
        <v/>
      </c>
    </row>
    <row r="90" spans="3:3">
      <c r="C90" s="32" t="str">
        <f>IF(SUMIF(Review!H:H,B90,Review!F:F)=0,"",SUMIF(Review!H:H,B90,Review!F:F))</f>
        <v/>
      </c>
    </row>
    <row r="91" spans="3:3">
      <c r="C91" s="32" t="str">
        <f>IF(SUMIF(Review!H:H,B91,Review!F:F)=0,"",SUMIF(Review!H:H,B91,Review!F:F))</f>
        <v/>
      </c>
    </row>
    <row r="92" spans="3:3">
      <c r="C92" s="32" t="str">
        <f>IF(SUMIF(Review!H:H,B92,Review!F:F)=0,"",SUMIF(Review!H:H,B92,Review!F:F))</f>
        <v/>
      </c>
    </row>
    <row r="93" spans="3:3">
      <c r="C93" s="32" t="str">
        <f>IF(SUMIF(Review!H:H,B93,Review!F:F)=0,"",SUMIF(Review!H:H,B93,Review!F:F))</f>
        <v/>
      </c>
    </row>
    <row r="94" spans="3:3">
      <c r="C94" s="32" t="str">
        <f>IF(SUMIF(Review!H:H,B94,Review!F:F)=0,"",SUMIF(Review!H:H,B94,Review!F:F))</f>
        <v/>
      </c>
    </row>
    <row r="95" spans="3:3">
      <c r="C95" s="32" t="str">
        <f>IF(SUMIF(Review!H:H,B95,Review!F:F)=0,"",SUMIF(Review!H:H,B95,Review!F:F))</f>
        <v/>
      </c>
    </row>
    <row r="96" spans="3:3">
      <c r="C96" s="32" t="str">
        <f>IF(SUMIF(Review!H:H,B96,Review!F:F)=0,"",SUMIF(Review!H:H,B96,Review!F:F))</f>
        <v/>
      </c>
    </row>
    <row r="97" spans="3:3">
      <c r="C97" s="32" t="str">
        <f>IF(SUMIF(Review!H:H,B97,Review!F:F)=0,"",SUMIF(Review!H:H,B97,Review!F:F))</f>
        <v/>
      </c>
    </row>
    <row r="98" spans="3:3">
      <c r="C98" s="32" t="str">
        <f>IF(SUMIF(Review!H:H,B98,Review!F:F)=0,"",SUMIF(Review!H:H,B98,Review!F:F))</f>
        <v/>
      </c>
    </row>
    <row r="99" spans="3:3">
      <c r="C99" s="32" t="str">
        <f>IF(SUMIF(Review!H:H,B99,Review!F:F)=0,"",SUMIF(Review!H:H,B99,Review!F:F))</f>
        <v/>
      </c>
    </row>
    <row r="100" spans="3:3">
      <c r="C100" s="32" t="str">
        <f>IF(SUMIF(Review!H:H,B100,Review!F:F)=0,"",SUMIF(Review!H:H,B100,Review!F:F))</f>
        <v/>
      </c>
    </row>
    <row r="101" spans="3:3">
      <c r="C101" s="32" t="str">
        <f>IF(SUMIF(Review!H:H,B101,Review!F:F)=0,"",SUMIF(Review!H:H,B101,Review!F:F))</f>
        <v/>
      </c>
    </row>
    <row r="102" spans="3:3">
      <c r="C102" s="32" t="str">
        <f>IF(SUMIF(Review!H:H,B102,Review!F:F)=0,"",SUMIF(Review!H:H,B102,Review!F:F))</f>
        <v/>
      </c>
    </row>
    <row r="103" spans="3:3">
      <c r="C103" s="32" t="str">
        <f>IF(SUMIF(Review!H:H,B103,Review!F:F)=0,"",SUMIF(Review!H:H,B103,Review!F:F))</f>
        <v/>
      </c>
    </row>
    <row r="104" spans="3:3">
      <c r="C104" s="32" t="str">
        <f>IF(SUMIF(Review!H:H,B104,Review!F:F)=0,"",SUMIF(Review!H:H,B104,Review!F:F))</f>
        <v/>
      </c>
    </row>
    <row r="105" spans="3:3">
      <c r="C105" s="32" t="str">
        <f>IF(SUMIF(Review!H:H,B105,Review!F:F)=0,"",SUMIF(Review!H:H,B105,Review!F:F))</f>
        <v/>
      </c>
    </row>
    <row r="106" spans="3:3">
      <c r="C106" s="32" t="str">
        <f>IF(SUMIF(Review!H:H,B106,Review!F:F)=0,"",SUMIF(Review!H:H,B106,Review!F:F))</f>
        <v/>
      </c>
    </row>
    <row r="107" spans="3:3">
      <c r="C107" s="32" t="str">
        <f>IF(SUMIF(Review!H:H,B107,Review!F:F)=0,"",SUMIF(Review!H:H,B107,Review!F:F))</f>
        <v/>
      </c>
    </row>
    <row r="108" spans="3:3">
      <c r="C108" s="32" t="str">
        <f>IF(SUMIF(Review!H:H,B108,Review!F:F)=0,"",SUMIF(Review!H:H,B108,Review!F:F))</f>
        <v/>
      </c>
    </row>
    <row r="109" spans="3:3">
      <c r="C109" s="32" t="str">
        <f>IF(SUMIF(Review!H:H,B109,Review!F:F)=0,"",SUMIF(Review!H:H,B109,Review!F:F))</f>
        <v/>
      </c>
    </row>
    <row r="110" spans="3:3">
      <c r="C110" s="32" t="str">
        <f>IF(SUMIF(Review!H:H,B110,Review!F:F)=0,"",SUMIF(Review!H:H,B110,Review!F:F))</f>
        <v/>
      </c>
    </row>
    <row r="111" spans="3:3">
      <c r="C111" s="32" t="str">
        <f>IF(SUMIF(Review!H:H,B111,Review!F:F)=0,"",SUMIF(Review!H:H,B111,Review!F:F))</f>
        <v/>
      </c>
    </row>
    <row r="112" spans="3:3">
      <c r="C112" s="32" t="str">
        <f>IF(SUMIF(Review!H:H,B112,Review!F:F)=0,"",SUMIF(Review!H:H,B112,Review!F:F))</f>
        <v/>
      </c>
    </row>
    <row r="113" spans="3:3">
      <c r="C113" s="32" t="str">
        <f>IF(SUMIF(Review!H:H,B113,Review!F:F)=0,"",SUMIF(Review!H:H,B113,Review!F:F))</f>
        <v/>
      </c>
    </row>
    <row r="114" spans="3:3">
      <c r="C114" s="32" t="str">
        <f>IF(SUMIF(Review!H:H,B114,Review!F:F)=0,"",SUMIF(Review!H:H,B114,Review!F:F))</f>
        <v/>
      </c>
    </row>
    <row r="115" spans="3:3">
      <c r="C115" s="32" t="str">
        <f>IF(SUMIF(Review!H:H,B115,Review!F:F)=0,"",SUMIF(Review!H:H,B115,Review!F:F))</f>
        <v/>
      </c>
    </row>
    <row r="116" spans="3:3">
      <c r="C116" s="32" t="str">
        <f>IF(SUMIF(Review!H:H,B116,Review!F:F)=0,"",SUMIF(Review!H:H,B116,Review!F:F))</f>
        <v/>
      </c>
    </row>
    <row r="117" spans="3:3">
      <c r="C117" s="32" t="str">
        <f>IF(SUMIF(Review!H:H,B117,Review!F:F)=0,"",SUMIF(Review!H:H,B117,Review!F:F))</f>
        <v/>
      </c>
    </row>
    <row r="118" spans="3:3">
      <c r="C118" s="32" t="str">
        <f>IF(SUMIF(Review!H:H,B118,Review!F:F)=0,"",SUMIF(Review!H:H,B118,Review!F:F))</f>
        <v/>
      </c>
    </row>
    <row r="119" spans="3:3">
      <c r="C119" s="32" t="str">
        <f>IF(SUMIF(Review!H:H,B119,Review!F:F)=0,"",SUMIF(Review!H:H,B119,Review!F:F))</f>
        <v/>
      </c>
    </row>
    <row r="120" spans="3:3">
      <c r="C120" s="32" t="str">
        <f>IF(SUMIF(Review!H:H,B120,Review!F:F)=0,"",SUMIF(Review!H:H,B120,Review!F:F))</f>
        <v/>
      </c>
    </row>
    <row r="121" spans="3:3">
      <c r="C121" s="32" t="str">
        <f>IF(SUMIF(Review!H:H,B121,Review!F:F)=0,"",SUMIF(Review!H:H,B121,Review!F:F))</f>
        <v/>
      </c>
    </row>
    <row r="122" spans="3:3">
      <c r="C122" s="32" t="str">
        <f>IF(SUMIF(Review!H:H,B122,Review!F:F)=0,"",SUMIF(Review!H:H,B122,Review!F:F))</f>
        <v/>
      </c>
    </row>
    <row r="123" spans="3:3">
      <c r="C123" s="32" t="str">
        <f>IF(SUMIF(Review!H:H,B123,Review!F:F)=0,"",SUMIF(Review!H:H,B123,Review!F:F))</f>
        <v/>
      </c>
    </row>
    <row r="124" spans="3:3">
      <c r="C124" s="32" t="str">
        <f>IF(SUMIF(Review!H:H,B124,Review!F:F)=0,"",SUMIF(Review!H:H,B124,Review!F:F))</f>
        <v/>
      </c>
    </row>
    <row r="125" spans="3:3">
      <c r="C125" s="32" t="str">
        <f>IF(SUMIF(Review!H:H,B125,Review!F:F)=0,"",SUMIF(Review!H:H,B125,Review!F:F))</f>
        <v/>
      </c>
    </row>
    <row r="126" spans="3:3">
      <c r="C126" s="32" t="str">
        <f>IF(SUMIF(Review!H:H,B126,Review!F:F)=0,"",SUMIF(Review!H:H,B126,Review!F:F))</f>
        <v/>
      </c>
    </row>
    <row r="127" spans="3:3">
      <c r="C127" s="32" t="str">
        <f>IF(SUMIF(Review!H:H,B127,Review!F:F)=0,"",SUMIF(Review!H:H,B127,Review!F:F))</f>
        <v/>
      </c>
    </row>
    <row r="128" spans="3:3">
      <c r="C128" s="32" t="str">
        <f>IF(SUMIF(Review!H:H,B128,Review!F:F)=0,"",SUMIF(Review!H:H,B128,Review!F:F))</f>
        <v/>
      </c>
    </row>
    <row r="129" spans="3:3">
      <c r="C129" s="32" t="str">
        <f>IF(SUMIF(Review!H:H,B129,Review!F:F)=0,"",SUMIF(Review!H:H,B129,Review!F:F))</f>
        <v/>
      </c>
    </row>
    <row r="130" spans="3:3">
      <c r="C130" s="32" t="str">
        <f>IF(SUMIF(Review!H:H,B130,Review!F:F)=0,"",SUMIF(Review!H:H,B130,Review!F:F))</f>
        <v/>
      </c>
    </row>
    <row r="131" spans="3:3">
      <c r="C131" s="32" t="str">
        <f>IF(SUMIF(Review!H:H,B131,Review!F:F)=0,"",SUMIF(Review!H:H,B131,Review!F:F))</f>
        <v/>
      </c>
    </row>
    <row r="132" spans="3:3">
      <c r="C132" s="32" t="str">
        <f>IF(SUMIF(Review!H:H,B132,Review!F:F)=0,"",SUMIF(Review!H:H,B132,Review!F:F))</f>
        <v/>
      </c>
    </row>
    <row r="133" spans="3:3">
      <c r="C133" s="32" t="str">
        <f>IF(SUMIF(Review!H:H,B133,Review!F:F)=0,"",SUMIF(Review!H:H,B133,Review!F:F))</f>
        <v/>
      </c>
    </row>
    <row r="134" spans="3:3">
      <c r="C134" s="32" t="str">
        <f>IF(SUMIF(Review!H:H,B134,Review!F:F)=0,"",SUMIF(Review!H:H,B134,Review!F:F))</f>
        <v/>
      </c>
    </row>
    <row r="135" spans="3:3">
      <c r="C135" s="32" t="str">
        <f>IF(SUMIF(Review!H:H,B135,Review!F:F)=0,"",SUMIF(Review!H:H,B135,Review!F:F))</f>
        <v/>
      </c>
    </row>
    <row r="136" spans="3:3">
      <c r="C136" s="32" t="str">
        <f>IF(SUMIF(Review!H:H,B136,Review!F:F)=0,"",SUMIF(Review!H:H,B136,Review!F:F))</f>
        <v/>
      </c>
    </row>
    <row r="137" spans="3:3">
      <c r="C137" s="32" t="str">
        <f>IF(SUMIF(Review!H:H,B137,Review!F:F)=0,"",SUMIF(Review!H:H,B137,Review!F:F))</f>
        <v/>
      </c>
    </row>
    <row r="138" spans="3:3">
      <c r="C138" s="32" t="str">
        <f>IF(SUMIF(Review!H:H,B138,Review!F:F)=0,"",SUMIF(Review!H:H,B138,Review!F:F))</f>
        <v/>
      </c>
    </row>
    <row r="139" spans="3:3">
      <c r="C139" s="32" t="str">
        <f>IF(SUMIF(Review!H:H,B139,Review!F:F)=0,"",SUMIF(Review!H:H,B139,Review!F:F))</f>
        <v/>
      </c>
    </row>
    <row r="140" spans="3:3">
      <c r="C140" s="32" t="str">
        <f>IF(SUMIF(Review!H:H,B140,Review!F:F)=0,"",SUMIF(Review!H:H,B140,Review!F:F))</f>
        <v/>
      </c>
    </row>
    <row r="141" spans="3:3">
      <c r="C141" s="32" t="str">
        <f>IF(SUMIF(Review!H:H,B141,Review!F:F)=0,"",SUMIF(Review!H:H,B141,Review!F:F))</f>
        <v/>
      </c>
    </row>
    <row r="142" spans="3:3">
      <c r="C142" s="32" t="str">
        <f>IF(SUMIF(Review!H:H,B142,Review!F:F)=0,"",SUMIF(Review!H:H,B142,Review!F:F))</f>
        <v/>
      </c>
    </row>
    <row r="143" spans="3:3">
      <c r="C143" s="32" t="str">
        <f>IF(SUMIF(Review!H:H,B143,Review!F:F)=0,"",SUMIF(Review!H:H,B143,Review!F:F))</f>
        <v/>
      </c>
    </row>
    <row r="144" spans="3:3">
      <c r="C144" s="32" t="str">
        <f>IF(SUMIF(Review!H:H,B144,Review!F:F)=0,"",SUMIF(Review!H:H,B144,Review!F:F))</f>
        <v/>
      </c>
    </row>
    <row r="145" spans="3:3">
      <c r="C145" s="32" t="str">
        <f>IF(SUMIF(Review!H:H,B145,Review!F:F)=0,"",SUMIF(Review!H:H,B145,Review!F:F))</f>
        <v/>
      </c>
    </row>
    <row r="146" spans="3:3">
      <c r="C146" s="32" t="str">
        <f>IF(SUMIF(Review!H:H,B146,Review!F:F)=0,"",SUMIF(Review!H:H,B146,Review!F:F))</f>
        <v/>
      </c>
    </row>
    <row r="147" spans="3:3">
      <c r="C147" s="32" t="str">
        <f>IF(SUMIF(Review!H:H,B147,Review!F:F)=0,"",SUMIF(Review!H:H,B147,Review!F:F))</f>
        <v/>
      </c>
    </row>
    <row r="148" spans="3:3">
      <c r="C148" s="32" t="str">
        <f>IF(SUMIF(Review!H:H,B148,Review!F:F)=0,"",SUMIF(Review!H:H,B148,Review!F:F))</f>
        <v/>
      </c>
    </row>
    <row r="149" spans="3:3">
      <c r="C149" s="32" t="str">
        <f>IF(SUMIF(Review!H:H,B149,Review!F:F)=0,"",SUMIF(Review!H:H,B149,Review!F:F))</f>
        <v/>
      </c>
    </row>
    <row r="150" spans="3:3">
      <c r="C150" s="32" t="str">
        <f>IF(SUMIF(Review!H:H,B150,Review!F:F)=0,"",SUMIF(Review!H:H,B150,Review!F:F))</f>
        <v/>
      </c>
    </row>
    <row r="151" spans="3:3">
      <c r="C151" s="32" t="str">
        <f>IF(SUMIF(Review!H:H,B151,Review!F:F)=0,"",SUMIF(Review!H:H,B151,Review!F:F))</f>
        <v/>
      </c>
    </row>
    <row r="152" spans="3:3">
      <c r="C152" s="32" t="str">
        <f>IF(SUMIF(Review!H:H,B152,Review!F:F)=0,"",SUMIF(Review!H:H,B152,Review!F:F))</f>
        <v/>
      </c>
    </row>
    <row r="153" spans="3:3">
      <c r="C153" s="32" t="str">
        <f>IF(SUMIF(Review!H:H,B153,Review!F:F)=0,"",SUMIF(Review!H:H,B153,Review!F:F))</f>
        <v/>
      </c>
    </row>
    <row r="154" spans="3:3">
      <c r="C154" s="32" t="str">
        <f>IF(SUMIF(Review!H:H,B154,Review!F:F)=0,"",SUMIF(Review!H:H,B154,Review!F:F))</f>
        <v/>
      </c>
    </row>
    <row r="155" spans="3:3">
      <c r="C155" s="32" t="str">
        <f>IF(SUMIF(Review!H:H,B155,Review!F:F)=0,"",SUMIF(Review!H:H,B155,Review!F:F))</f>
        <v/>
      </c>
    </row>
    <row r="156" spans="3:3">
      <c r="C156" s="32" t="str">
        <f>IF(SUMIF(Review!H:H,B156,Review!F:F)=0,"",SUMIF(Review!H:H,B156,Review!F:F))</f>
        <v/>
      </c>
    </row>
    <row r="157" spans="3:3">
      <c r="C157" s="32" t="str">
        <f>IF(SUMIF(Review!H:H,B157,Review!F:F)=0,"",SUMIF(Review!H:H,B157,Review!F:F))</f>
        <v/>
      </c>
    </row>
    <row r="158" spans="3:3">
      <c r="C158" s="32" t="str">
        <f>IF(SUMIF(Review!H:H,B158,Review!F:F)=0,"",SUMIF(Review!H:H,B158,Review!F:F))</f>
        <v/>
      </c>
    </row>
    <row r="159" spans="3:3">
      <c r="C159" s="32" t="str">
        <f>IF(SUMIF(Review!H:H,B159,Review!F:F)=0,"",SUMIF(Review!H:H,B159,Review!F:F))</f>
        <v/>
      </c>
    </row>
    <row r="160" spans="3:3">
      <c r="C160" s="32" t="str">
        <f>IF(SUMIF(Review!H:H,B160,Review!F:F)=0,"",SUMIF(Review!H:H,B160,Review!F:F))</f>
        <v/>
      </c>
    </row>
    <row r="161" spans="3:3">
      <c r="C161" s="32" t="str">
        <f>IF(SUMIF(Review!H:H,B161,Review!F:F)=0,"",SUMIF(Review!H:H,B161,Review!F:F))</f>
        <v/>
      </c>
    </row>
    <row r="162" spans="3:3">
      <c r="C162" s="32" t="str">
        <f>IF(SUMIF(Review!H:H,B162,Review!F:F)=0,"",SUMIF(Review!H:H,B162,Review!F:F))</f>
        <v/>
      </c>
    </row>
    <row r="163" spans="3:3">
      <c r="C163" s="32" t="str">
        <f>IF(SUMIF(Review!H:H,B163,Review!F:F)=0,"",SUMIF(Review!H:H,B163,Review!F:F))</f>
        <v/>
      </c>
    </row>
    <row r="164" spans="3:3">
      <c r="C164" s="32" t="str">
        <f>IF(SUMIF(Review!H:H,B164,Review!F:F)=0,"",SUMIF(Review!H:H,B164,Review!F:F))</f>
        <v/>
      </c>
    </row>
    <row r="165" spans="3:3">
      <c r="C165" s="32" t="str">
        <f>IF(SUMIF(Review!H:H,B165,Review!F:F)=0,"",SUMIF(Review!H:H,B165,Review!F:F))</f>
        <v/>
      </c>
    </row>
    <row r="166" spans="3:3">
      <c r="C166" s="32" t="str">
        <f>IF(SUMIF(Review!H:H,B166,Review!F:F)=0,"",SUMIF(Review!H:H,B166,Review!F:F))</f>
        <v/>
      </c>
    </row>
    <row r="167" spans="3:3">
      <c r="C167" s="32" t="str">
        <f>IF(SUMIF(Review!H:H,B167,Review!F:F)=0,"",SUMIF(Review!H:H,B167,Review!F:F))</f>
        <v/>
      </c>
    </row>
    <row r="168" spans="3:3">
      <c r="C168" s="32" t="str">
        <f>IF(SUMIF(Review!H:H,B168,Review!F:F)=0,"",SUMIF(Review!H:H,B168,Review!F:F))</f>
        <v/>
      </c>
    </row>
    <row r="169" spans="3:3">
      <c r="C169" s="32" t="str">
        <f>IF(SUMIF(Review!H:H,B169,Review!F:F)=0,"",SUMIF(Review!H:H,B169,Review!F:F))</f>
        <v/>
      </c>
    </row>
    <row r="170" spans="3:3">
      <c r="C170" s="32" t="str">
        <f>IF(SUMIF(Review!H:H,B170,Review!F:F)=0,"",SUMIF(Review!H:H,B170,Review!F:F))</f>
        <v/>
      </c>
    </row>
    <row r="171" spans="3:3">
      <c r="C171" s="32" t="str">
        <f>IF(SUMIF(Review!H:H,B171,Review!F:F)=0,"",SUMIF(Review!H:H,B171,Review!F:F))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3806-5ECC-4E66-8C1F-AE23B284CFBA}">
  <sheetPr codeName="Sheet1">
    <tabColor theme="6" tint="-0.249977111117893"/>
  </sheetPr>
  <dimension ref="A1:M178"/>
  <sheetViews>
    <sheetView workbookViewId="0">
      <pane ySplit="1" topLeftCell="A2" activePane="bottomLeft" state="frozen"/>
      <selection pane="bottomLeft" activeCell="A2" sqref="A2"/>
    </sheetView>
  </sheetViews>
  <sheetFormatPr defaultRowHeight="15.75"/>
  <cols>
    <col min="1" max="1" width="7.85546875" style="10" bestFit="1" customWidth="1"/>
    <col min="2" max="2" width="14.140625" style="10" customWidth="1"/>
    <col min="3" max="3" width="21.7109375" style="10" bestFit="1" customWidth="1"/>
    <col min="4" max="4" width="37.7109375" style="10" bestFit="1" customWidth="1"/>
    <col min="5" max="5" width="17.28515625" style="10" bestFit="1" customWidth="1"/>
    <col min="6" max="6" width="6.140625" style="15" bestFit="1" customWidth="1"/>
    <col min="7" max="7" width="19.5703125" style="10" customWidth="1"/>
    <col min="8" max="8" width="10.42578125" style="14" bestFit="1" customWidth="1"/>
    <col min="9" max="9" width="16.140625" style="10" bestFit="1" customWidth="1"/>
    <col min="10" max="10" width="17.42578125" style="10" bestFit="1" customWidth="1"/>
    <col min="11" max="11" width="29.7109375" style="10" bestFit="1" customWidth="1"/>
    <col min="12" max="12" width="17.28515625" style="10" bestFit="1" customWidth="1"/>
    <col min="13" max="13" width="25.140625" style="10" bestFit="1" customWidth="1"/>
    <col min="14" max="259" width="10.28515625" style="10" customWidth="1"/>
    <col min="260" max="260" width="13.42578125" style="10" customWidth="1"/>
    <col min="261" max="261" width="24.28515625" style="10" customWidth="1"/>
    <col min="262" max="262" width="40.42578125" style="10" customWidth="1"/>
    <col min="263" max="263" width="24.28515625" style="10" customWidth="1"/>
    <col min="264" max="264" width="41.85546875" style="10" customWidth="1"/>
    <col min="265" max="265" width="33.7109375" style="10" customWidth="1"/>
    <col min="266" max="266" width="18.85546875" style="10" customWidth="1"/>
    <col min="267" max="515" width="10.28515625" style="10" customWidth="1"/>
    <col min="516" max="516" width="13.42578125" style="10" customWidth="1"/>
    <col min="517" max="517" width="24.28515625" style="10" customWidth="1"/>
    <col min="518" max="518" width="40.42578125" style="10" customWidth="1"/>
    <col min="519" max="519" width="24.28515625" style="10" customWidth="1"/>
    <col min="520" max="520" width="41.85546875" style="10" customWidth="1"/>
    <col min="521" max="521" width="33.7109375" style="10" customWidth="1"/>
    <col min="522" max="522" width="18.85546875" style="10" customWidth="1"/>
    <col min="523" max="771" width="10.28515625" style="10" customWidth="1"/>
    <col min="772" max="772" width="13.42578125" style="10" customWidth="1"/>
    <col min="773" max="773" width="24.28515625" style="10" customWidth="1"/>
    <col min="774" max="774" width="40.42578125" style="10" customWidth="1"/>
    <col min="775" max="775" width="24.28515625" style="10" customWidth="1"/>
    <col min="776" max="776" width="41.85546875" style="10" customWidth="1"/>
    <col min="777" max="777" width="33.7109375" style="10" customWidth="1"/>
    <col min="778" max="778" width="18.85546875" style="10" customWidth="1"/>
    <col min="779" max="1027" width="10.28515625" style="10" customWidth="1"/>
    <col min="1028" max="1028" width="13.42578125" style="10" customWidth="1"/>
    <col min="1029" max="1029" width="24.28515625" style="10" customWidth="1"/>
    <col min="1030" max="1030" width="40.42578125" style="10" customWidth="1"/>
    <col min="1031" max="1031" width="24.28515625" style="10" customWidth="1"/>
    <col min="1032" max="1032" width="41.85546875" style="10" customWidth="1"/>
    <col min="1033" max="1033" width="33.7109375" style="10" customWidth="1"/>
    <col min="1034" max="1034" width="18.85546875" style="10" customWidth="1"/>
    <col min="1035" max="1283" width="10.28515625" style="10" customWidth="1"/>
    <col min="1284" max="1284" width="13.42578125" style="10" customWidth="1"/>
    <col min="1285" max="1285" width="24.28515625" style="10" customWidth="1"/>
    <col min="1286" max="1286" width="40.42578125" style="10" customWidth="1"/>
    <col min="1287" max="1287" width="24.28515625" style="10" customWidth="1"/>
    <col min="1288" max="1288" width="41.85546875" style="10" customWidth="1"/>
    <col min="1289" max="1289" width="33.7109375" style="10" customWidth="1"/>
    <col min="1290" max="1290" width="18.85546875" style="10" customWidth="1"/>
    <col min="1291" max="1539" width="10.28515625" style="10" customWidth="1"/>
    <col min="1540" max="1540" width="13.42578125" style="10" customWidth="1"/>
    <col min="1541" max="1541" width="24.28515625" style="10" customWidth="1"/>
    <col min="1542" max="1542" width="40.42578125" style="10" customWidth="1"/>
    <col min="1543" max="1543" width="24.28515625" style="10" customWidth="1"/>
    <col min="1544" max="1544" width="41.85546875" style="10" customWidth="1"/>
    <col min="1545" max="1545" width="33.7109375" style="10" customWidth="1"/>
    <col min="1546" max="1546" width="18.85546875" style="10" customWidth="1"/>
    <col min="1547" max="1795" width="10.28515625" style="10" customWidth="1"/>
    <col min="1796" max="1796" width="13.42578125" style="10" customWidth="1"/>
    <col min="1797" max="1797" width="24.28515625" style="10" customWidth="1"/>
    <col min="1798" max="1798" width="40.42578125" style="10" customWidth="1"/>
    <col min="1799" max="1799" width="24.28515625" style="10" customWidth="1"/>
    <col min="1800" max="1800" width="41.85546875" style="10" customWidth="1"/>
    <col min="1801" max="1801" width="33.7109375" style="10" customWidth="1"/>
    <col min="1802" max="1802" width="18.85546875" style="10" customWidth="1"/>
    <col min="1803" max="2051" width="10.28515625" style="10" customWidth="1"/>
    <col min="2052" max="2052" width="13.42578125" style="10" customWidth="1"/>
    <col min="2053" max="2053" width="24.28515625" style="10" customWidth="1"/>
    <col min="2054" max="2054" width="40.42578125" style="10" customWidth="1"/>
    <col min="2055" max="2055" width="24.28515625" style="10" customWidth="1"/>
    <col min="2056" max="2056" width="41.85546875" style="10" customWidth="1"/>
    <col min="2057" max="2057" width="33.7109375" style="10" customWidth="1"/>
    <col min="2058" max="2058" width="18.85546875" style="10" customWidth="1"/>
    <col min="2059" max="2307" width="10.28515625" style="10" customWidth="1"/>
    <col min="2308" max="2308" width="13.42578125" style="10" customWidth="1"/>
    <col min="2309" max="2309" width="24.28515625" style="10" customWidth="1"/>
    <col min="2310" max="2310" width="40.42578125" style="10" customWidth="1"/>
    <col min="2311" max="2311" width="24.28515625" style="10" customWidth="1"/>
    <col min="2312" max="2312" width="41.85546875" style="10" customWidth="1"/>
    <col min="2313" max="2313" width="33.7109375" style="10" customWidth="1"/>
    <col min="2314" max="2314" width="18.85546875" style="10" customWidth="1"/>
    <col min="2315" max="2563" width="10.28515625" style="10" customWidth="1"/>
    <col min="2564" max="2564" width="13.42578125" style="10" customWidth="1"/>
    <col min="2565" max="2565" width="24.28515625" style="10" customWidth="1"/>
    <col min="2566" max="2566" width="40.42578125" style="10" customWidth="1"/>
    <col min="2567" max="2567" width="24.28515625" style="10" customWidth="1"/>
    <col min="2568" max="2568" width="41.85546875" style="10" customWidth="1"/>
    <col min="2569" max="2569" width="33.7109375" style="10" customWidth="1"/>
    <col min="2570" max="2570" width="18.85546875" style="10" customWidth="1"/>
    <col min="2571" max="2819" width="10.28515625" style="10" customWidth="1"/>
    <col min="2820" max="2820" width="13.42578125" style="10" customWidth="1"/>
    <col min="2821" max="2821" width="24.28515625" style="10" customWidth="1"/>
    <col min="2822" max="2822" width="40.42578125" style="10" customWidth="1"/>
    <col min="2823" max="2823" width="24.28515625" style="10" customWidth="1"/>
    <col min="2824" max="2824" width="41.85546875" style="10" customWidth="1"/>
    <col min="2825" max="2825" width="33.7109375" style="10" customWidth="1"/>
    <col min="2826" max="2826" width="18.85546875" style="10" customWidth="1"/>
    <col min="2827" max="3075" width="10.28515625" style="10" customWidth="1"/>
    <col min="3076" max="3076" width="13.42578125" style="10" customWidth="1"/>
    <col min="3077" max="3077" width="24.28515625" style="10" customWidth="1"/>
    <col min="3078" max="3078" width="40.42578125" style="10" customWidth="1"/>
    <col min="3079" max="3079" width="24.28515625" style="10" customWidth="1"/>
    <col min="3080" max="3080" width="41.85546875" style="10" customWidth="1"/>
    <col min="3081" max="3081" width="33.7109375" style="10" customWidth="1"/>
    <col min="3082" max="3082" width="18.85546875" style="10" customWidth="1"/>
    <col min="3083" max="3331" width="10.28515625" style="10" customWidth="1"/>
    <col min="3332" max="3332" width="13.42578125" style="10" customWidth="1"/>
    <col min="3333" max="3333" width="24.28515625" style="10" customWidth="1"/>
    <col min="3334" max="3334" width="40.42578125" style="10" customWidth="1"/>
    <col min="3335" max="3335" width="24.28515625" style="10" customWidth="1"/>
    <col min="3336" max="3336" width="41.85546875" style="10" customWidth="1"/>
    <col min="3337" max="3337" width="33.7109375" style="10" customWidth="1"/>
    <col min="3338" max="3338" width="18.85546875" style="10" customWidth="1"/>
    <col min="3339" max="3587" width="10.28515625" style="10" customWidth="1"/>
    <col min="3588" max="3588" width="13.42578125" style="10" customWidth="1"/>
    <col min="3589" max="3589" width="24.28515625" style="10" customWidth="1"/>
    <col min="3590" max="3590" width="40.42578125" style="10" customWidth="1"/>
    <col min="3591" max="3591" width="24.28515625" style="10" customWidth="1"/>
    <col min="3592" max="3592" width="41.85546875" style="10" customWidth="1"/>
    <col min="3593" max="3593" width="33.7109375" style="10" customWidth="1"/>
    <col min="3594" max="3594" width="18.85546875" style="10" customWidth="1"/>
    <col min="3595" max="3843" width="10.28515625" style="10" customWidth="1"/>
    <col min="3844" max="3844" width="13.42578125" style="10" customWidth="1"/>
    <col min="3845" max="3845" width="24.28515625" style="10" customWidth="1"/>
    <col min="3846" max="3846" width="40.42578125" style="10" customWidth="1"/>
    <col min="3847" max="3847" width="24.28515625" style="10" customWidth="1"/>
    <col min="3848" max="3848" width="41.85546875" style="10" customWidth="1"/>
    <col min="3849" max="3849" width="33.7109375" style="10" customWidth="1"/>
    <col min="3850" max="3850" width="18.85546875" style="10" customWidth="1"/>
    <col min="3851" max="4099" width="10.28515625" style="10" customWidth="1"/>
    <col min="4100" max="4100" width="13.42578125" style="10" customWidth="1"/>
    <col min="4101" max="4101" width="24.28515625" style="10" customWidth="1"/>
    <col min="4102" max="4102" width="40.42578125" style="10" customWidth="1"/>
    <col min="4103" max="4103" width="24.28515625" style="10" customWidth="1"/>
    <col min="4104" max="4104" width="41.85546875" style="10" customWidth="1"/>
    <col min="4105" max="4105" width="33.7109375" style="10" customWidth="1"/>
    <col min="4106" max="4106" width="18.85546875" style="10" customWidth="1"/>
    <col min="4107" max="4355" width="10.28515625" style="10" customWidth="1"/>
    <col min="4356" max="4356" width="13.42578125" style="10" customWidth="1"/>
    <col min="4357" max="4357" width="24.28515625" style="10" customWidth="1"/>
    <col min="4358" max="4358" width="40.42578125" style="10" customWidth="1"/>
    <col min="4359" max="4359" width="24.28515625" style="10" customWidth="1"/>
    <col min="4360" max="4360" width="41.85546875" style="10" customWidth="1"/>
    <col min="4361" max="4361" width="33.7109375" style="10" customWidth="1"/>
    <col min="4362" max="4362" width="18.85546875" style="10" customWidth="1"/>
    <col min="4363" max="4611" width="10.28515625" style="10" customWidth="1"/>
    <col min="4612" max="4612" width="13.42578125" style="10" customWidth="1"/>
    <col min="4613" max="4613" width="24.28515625" style="10" customWidth="1"/>
    <col min="4614" max="4614" width="40.42578125" style="10" customWidth="1"/>
    <col min="4615" max="4615" width="24.28515625" style="10" customWidth="1"/>
    <col min="4616" max="4616" width="41.85546875" style="10" customWidth="1"/>
    <col min="4617" max="4617" width="33.7109375" style="10" customWidth="1"/>
    <col min="4618" max="4618" width="18.85546875" style="10" customWidth="1"/>
    <col min="4619" max="4867" width="10.28515625" style="10" customWidth="1"/>
    <col min="4868" max="4868" width="13.42578125" style="10" customWidth="1"/>
    <col min="4869" max="4869" width="24.28515625" style="10" customWidth="1"/>
    <col min="4870" max="4870" width="40.42578125" style="10" customWidth="1"/>
    <col min="4871" max="4871" width="24.28515625" style="10" customWidth="1"/>
    <col min="4872" max="4872" width="41.85546875" style="10" customWidth="1"/>
    <col min="4873" max="4873" width="33.7109375" style="10" customWidth="1"/>
    <col min="4874" max="4874" width="18.85546875" style="10" customWidth="1"/>
    <col min="4875" max="5123" width="10.28515625" style="10" customWidth="1"/>
    <col min="5124" max="5124" width="13.42578125" style="10" customWidth="1"/>
    <col min="5125" max="5125" width="24.28515625" style="10" customWidth="1"/>
    <col min="5126" max="5126" width="40.42578125" style="10" customWidth="1"/>
    <col min="5127" max="5127" width="24.28515625" style="10" customWidth="1"/>
    <col min="5128" max="5128" width="41.85546875" style="10" customWidth="1"/>
    <col min="5129" max="5129" width="33.7109375" style="10" customWidth="1"/>
    <col min="5130" max="5130" width="18.85546875" style="10" customWidth="1"/>
    <col min="5131" max="5379" width="10.28515625" style="10" customWidth="1"/>
    <col min="5380" max="5380" width="13.42578125" style="10" customWidth="1"/>
    <col min="5381" max="5381" width="24.28515625" style="10" customWidth="1"/>
    <col min="5382" max="5382" width="40.42578125" style="10" customWidth="1"/>
    <col min="5383" max="5383" width="24.28515625" style="10" customWidth="1"/>
    <col min="5384" max="5384" width="41.85546875" style="10" customWidth="1"/>
    <col min="5385" max="5385" width="33.7109375" style="10" customWidth="1"/>
    <col min="5386" max="5386" width="18.85546875" style="10" customWidth="1"/>
    <col min="5387" max="5635" width="10.28515625" style="10" customWidth="1"/>
    <col min="5636" max="5636" width="13.42578125" style="10" customWidth="1"/>
    <col min="5637" max="5637" width="24.28515625" style="10" customWidth="1"/>
    <col min="5638" max="5638" width="40.42578125" style="10" customWidth="1"/>
    <col min="5639" max="5639" width="24.28515625" style="10" customWidth="1"/>
    <col min="5640" max="5640" width="41.85546875" style="10" customWidth="1"/>
    <col min="5641" max="5641" width="33.7109375" style="10" customWidth="1"/>
    <col min="5642" max="5642" width="18.85546875" style="10" customWidth="1"/>
    <col min="5643" max="5891" width="10.28515625" style="10" customWidth="1"/>
    <col min="5892" max="5892" width="13.42578125" style="10" customWidth="1"/>
    <col min="5893" max="5893" width="24.28515625" style="10" customWidth="1"/>
    <col min="5894" max="5894" width="40.42578125" style="10" customWidth="1"/>
    <col min="5895" max="5895" width="24.28515625" style="10" customWidth="1"/>
    <col min="5896" max="5896" width="41.85546875" style="10" customWidth="1"/>
    <col min="5897" max="5897" width="33.7109375" style="10" customWidth="1"/>
    <col min="5898" max="5898" width="18.85546875" style="10" customWidth="1"/>
    <col min="5899" max="6147" width="10.28515625" style="10" customWidth="1"/>
    <col min="6148" max="6148" width="13.42578125" style="10" customWidth="1"/>
    <col min="6149" max="6149" width="24.28515625" style="10" customWidth="1"/>
    <col min="6150" max="6150" width="40.42578125" style="10" customWidth="1"/>
    <col min="6151" max="6151" width="24.28515625" style="10" customWidth="1"/>
    <col min="6152" max="6152" width="41.85546875" style="10" customWidth="1"/>
    <col min="6153" max="6153" width="33.7109375" style="10" customWidth="1"/>
    <col min="6154" max="6154" width="18.85546875" style="10" customWidth="1"/>
    <col min="6155" max="6403" width="10.28515625" style="10" customWidth="1"/>
    <col min="6404" max="6404" width="13.42578125" style="10" customWidth="1"/>
    <col min="6405" max="6405" width="24.28515625" style="10" customWidth="1"/>
    <col min="6406" max="6406" width="40.42578125" style="10" customWidth="1"/>
    <col min="6407" max="6407" width="24.28515625" style="10" customWidth="1"/>
    <col min="6408" max="6408" width="41.85546875" style="10" customWidth="1"/>
    <col min="6409" max="6409" width="33.7109375" style="10" customWidth="1"/>
    <col min="6410" max="6410" width="18.85546875" style="10" customWidth="1"/>
    <col min="6411" max="6659" width="10.28515625" style="10" customWidth="1"/>
    <col min="6660" max="6660" width="13.42578125" style="10" customWidth="1"/>
    <col min="6661" max="6661" width="24.28515625" style="10" customWidth="1"/>
    <col min="6662" max="6662" width="40.42578125" style="10" customWidth="1"/>
    <col min="6663" max="6663" width="24.28515625" style="10" customWidth="1"/>
    <col min="6664" max="6664" width="41.85546875" style="10" customWidth="1"/>
    <col min="6665" max="6665" width="33.7109375" style="10" customWidth="1"/>
    <col min="6666" max="6666" width="18.85546875" style="10" customWidth="1"/>
    <col min="6667" max="6915" width="10.28515625" style="10" customWidth="1"/>
    <col min="6916" max="6916" width="13.42578125" style="10" customWidth="1"/>
    <col min="6917" max="6917" width="24.28515625" style="10" customWidth="1"/>
    <col min="6918" max="6918" width="40.42578125" style="10" customWidth="1"/>
    <col min="6919" max="6919" width="24.28515625" style="10" customWidth="1"/>
    <col min="6920" max="6920" width="41.85546875" style="10" customWidth="1"/>
    <col min="6921" max="6921" width="33.7109375" style="10" customWidth="1"/>
    <col min="6922" max="6922" width="18.85546875" style="10" customWidth="1"/>
    <col min="6923" max="7171" width="10.28515625" style="10" customWidth="1"/>
    <col min="7172" max="7172" width="13.42578125" style="10" customWidth="1"/>
    <col min="7173" max="7173" width="24.28515625" style="10" customWidth="1"/>
    <col min="7174" max="7174" width="40.42578125" style="10" customWidth="1"/>
    <col min="7175" max="7175" width="24.28515625" style="10" customWidth="1"/>
    <col min="7176" max="7176" width="41.85546875" style="10" customWidth="1"/>
    <col min="7177" max="7177" width="33.7109375" style="10" customWidth="1"/>
    <col min="7178" max="7178" width="18.85546875" style="10" customWidth="1"/>
    <col min="7179" max="7427" width="10.28515625" style="10" customWidth="1"/>
    <col min="7428" max="7428" width="13.42578125" style="10" customWidth="1"/>
    <col min="7429" max="7429" width="24.28515625" style="10" customWidth="1"/>
    <col min="7430" max="7430" width="40.42578125" style="10" customWidth="1"/>
    <col min="7431" max="7431" width="24.28515625" style="10" customWidth="1"/>
    <col min="7432" max="7432" width="41.85546875" style="10" customWidth="1"/>
    <col min="7433" max="7433" width="33.7109375" style="10" customWidth="1"/>
    <col min="7434" max="7434" width="18.85546875" style="10" customWidth="1"/>
    <col min="7435" max="7683" width="10.28515625" style="10" customWidth="1"/>
    <col min="7684" max="7684" width="13.42578125" style="10" customWidth="1"/>
    <col min="7685" max="7685" width="24.28515625" style="10" customWidth="1"/>
    <col min="7686" max="7686" width="40.42578125" style="10" customWidth="1"/>
    <col min="7687" max="7687" width="24.28515625" style="10" customWidth="1"/>
    <col min="7688" max="7688" width="41.85546875" style="10" customWidth="1"/>
    <col min="7689" max="7689" width="33.7109375" style="10" customWidth="1"/>
    <col min="7690" max="7690" width="18.85546875" style="10" customWidth="1"/>
    <col min="7691" max="7939" width="10.28515625" style="10" customWidth="1"/>
    <col min="7940" max="7940" width="13.42578125" style="10" customWidth="1"/>
    <col min="7941" max="7941" width="24.28515625" style="10" customWidth="1"/>
    <col min="7942" max="7942" width="40.42578125" style="10" customWidth="1"/>
    <col min="7943" max="7943" width="24.28515625" style="10" customWidth="1"/>
    <col min="7944" max="7944" width="41.85546875" style="10" customWidth="1"/>
    <col min="7945" max="7945" width="33.7109375" style="10" customWidth="1"/>
    <col min="7946" max="7946" width="18.85546875" style="10" customWidth="1"/>
    <col min="7947" max="8195" width="10.28515625" style="10" customWidth="1"/>
    <col min="8196" max="8196" width="13.42578125" style="10" customWidth="1"/>
    <col min="8197" max="8197" width="24.28515625" style="10" customWidth="1"/>
    <col min="8198" max="8198" width="40.42578125" style="10" customWidth="1"/>
    <col min="8199" max="8199" width="24.28515625" style="10" customWidth="1"/>
    <col min="8200" max="8200" width="41.85546875" style="10" customWidth="1"/>
    <col min="8201" max="8201" width="33.7109375" style="10" customWidth="1"/>
    <col min="8202" max="8202" width="18.85546875" style="10" customWidth="1"/>
    <col min="8203" max="8451" width="10.28515625" style="10" customWidth="1"/>
    <col min="8452" max="8452" width="13.42578125" style="10" customWidth="1"/>
    <col min="8453" max="8453" width="24.28515625" style="10" customWidth="1"/>
    <col min="8454" max="8454" width="40.42578125" style="10" customWidth="1"/>
    <col min="8455" max="8455" width="24.28515625" style="10" customWidth="1"/>
    <col min="8456" max="8456" width="41.85546875" style="10" customWidth="1"/>
    <col min="8457" max="8457" width="33.7109375" style="10" customWidth="1"/>
    <col min="8458" max="8458" width="18.85546875" style="10" customWidth="1"/>
    <col min="8459" max="8707" width="10.28515625" style="10" customWidth="1"/>
    <col min="8708" max="8708" width="13.42578125" style="10" customWidth="1"/>
    <col min="8709" max="8709" width="24.28515625" style="10" customWidth="1"/>
    <col min="8710" max="8710" width="40.42578125" style="10" customWidth="1"/>
    <col min="8711" max="8711" width="24.28515625" style="10" customWidth="1"/>
    <col min="8712" max="8712" width="41.85546875" style="10" customWidth="1"/>
    <col min="8713" max="8713" width="33.7109375" style="10" customWidth="1"/>
    <col min="8714" max="8714" width="18.85546875" style="10" customWidth="1"/>
    <col min="8715" max="8963" width="10.28515625" style="10" customWidth="1"/>
    <col min="8964" max="8964" width="13.42578125" style="10" customWidth="1"/>
    <col min="8965" max="8965" width="24.28515625" style="10" customWidth="1"/>
    <col min="8966" max="8966" width="40.42578125" style="10" customWidth="1"/>
    <col min="8967" max="8967" width="24.28515625" style="10" customWidth="1"/>
    <col min="8968" max="8968" width="41.85546875" style="10" customWidth="1"/>
    <col min="8969" max="8969" width="33.7109375" style="10" customWidth="1"/>
    <col min="8970" max="8970" width="18.85546875" style="10" customWidth="1"/>
    <col min="8971" max="9219" width="10.28515625" style="10" customWidth="1"/>
    <col min="9220" max="9220" width="13.42578125" style="10" customWidth="1"/>
    <col min="9221" max="9221" width="24.28515625" style="10" customWidth="1"/>
    <col min="9222" max="9222" width="40.42578125" style="10" customWidth="1"/>
    <col min="9223" max="9223" width="24.28515625" style="10" customWidth="1"/>
    <col min="9224" max="9224" width="41.85546875" style="10" customWidth="1"/>
    <col min="9225" max="9225" width="33.7109375" style="10" customWidth="1"/>
    <col min="9226" max="9226" width="18.85546875" style="10" customWidth="1"/>
    <col min="9227" max="9475" width="10.28515625" style="10" customWidth="1"/>
    <col min="9476" max="9476" width="13.42578125" style="10" customWidth="1"/>
    <col min="9477" max="9477" width="24.28515625" style="10" customWidth="1"/>
    <col min="9478" max="9478" width="40.42578125" style="10" customWidth="1"/>
    <col min="9479" max="9479" width="24.28515625" style="10" customWidth="1"/>
    <col min="9480" max="9480" width="41.85546875" style="10" customWidth="1"/>
    <col min="9481" max="9481" width="33.7109375" style="10" customWidth="1"/>
    <col min="9482" max="9482" width="18.85546875" style="10" customWidth="1"/>
    <col min="9483" max="9731" width="10.28515625" style="10" customWidth="1"/>
    <col min="9732" max="9732" width="13.42578125" style="10" customWidth="1"/>
    <col min="9733" max="9733" width="24.28515625" style="10" customWidth="1"/>
    <col min="9734" max="9734" width="40.42578125" style="10" customWidth="1"/>
    <col min="9735" max="9735" width="24.28515625" style="10" customWidth="1"/>
    <col min="9736" max="9736" width="41.85546875" style="10" customWidth="1"/>
    <col min="9737" max="9737" width="33.7109375" style="10" customWidth="1"/>
    <col min="9738" max="9738" width="18.85546875" style="10" customWidth="1"/>
    <col min="9739" max="9987" width="10.28515625" style="10" customWidth="1"/>
    <col min="9988" max="9988" width="13.42578125" style="10" customWidth="1"/>
    <col min="9989" max="9989" width="24.28515625" style="10" customWidth="1"/>
    <col min="9990" max="9990" width="40.42578125" style="10" customWidth="1"/>
    <col min="9991" max="9991" width="24.28515625" style="10" customWidth="1"/>
    <col min="9992" max="9992" width="41.85546875" style="10" customWidth="1"/>
    <col min="9993" max="9993" width="33.7109375" style="10" customWidth="1"/>
    <col min="9994" max="9994" width="18.85546875" style="10" customWidth="1"/>
    <col min="9995" max="10243" width="10.28515625" style="10" customWidth="1"/>
    <col min="10244" max="10244" width="13.42578125" style="10" customWidth="1"/>
    <col min="10245" max="10245" width="24.28515625" style="10" customWidth="1"/>
    <col min="10246" max="10246" width="40.42578125" style="10" customWidth="1"/>
    <col min="10247" max="10247" width="24.28515625" style="10" customWidth="1"/>
    <col min="10248" max="10248" width="41.85546875" style="10" customWidth="1"/>
    <col min="10249" max="10249" width="33.7109375" style="10" customWidth="1"/>
    <col min="10250" max="10250" width="18.85546875" style="10" customWidth="1"/>
    <col min="10251" max="10499" width="10.28515625" style="10" customWidth="1"/>
    <col min="10500" max="10500" width="13.42578125" style="10" customWidth="1"/>
    <col min="10501" max="10501" width="24.28515625" style="10" customWidth="1"/>
    <col min="10502" max="10502" width="40.42578125" style="10" customWidth="1"/>
    <col min="10503" max="10503" width="24.28515625" style="10" customWidth="1"/>
    <col min="10504" max="10504" width="41.85546875" style="10" customWidth="1"/>
    <col min="10505" max="10505" width="33.7109375" style="10" customWidth="1"/>
    <col min="10506" max="10506" width="18.85546875" style="10" customWidth="1"/>
    <col min="10507" max="10755" width="10.28515625" style="10" customWidth="1"/>
    <col min="10756" max="10756" width="13.42578125" style="10" customWidth="1"/>
    <col min="10757" max="10757" width="24.28515625" style="10" customWidth="1"/>
    <col min="10758" max="10758" width="40.42578125" style="10" customWidth="1"/>
    <col min="10759" max="10759" width="24.28515625" style="10" customWidth="1"/>
    <col min="10760" max="10760" width="41.85546875" style="10" customWidth="1"/>
    <col min="10761" max="10761" width="33.7109375" style="10" customWidth="1"/>
    <col min="10762" max="10762" width="18.85546875" style="10" customWidth="1"/>
    <col min="10763" max="11011" width="10.28515625" style="10" customWidth="1"/>
    <col min="11012" max="11012" width="13.42578125" style="10" customWidth="1"/>
    <col min="11013" max="11013" width="24.28515625" style="10" customWidth="1"/>
    <col min="11014" max="11014" width="40.42578125" style="10" customWidth="1"/>
    <col min="11015" max="11015" width="24.28515625" style="10" customWidth="1"/>
    <col min="11016" max="11016" width="41.85546875" style="10" customWidth="1"/>
    <col min="11017" max="11017" width="33.7109375" style="10" customWidth="1"/>
    <col min="11018" max="11018" width="18.85546875" style="10" customWidth="1"/>
    <col min="11019" max="11267" width="10.28515625" style="10" customWidth="1"/>
    <col min="11268" max="11268" width="13.42578125" style="10" customWidth="1"/>
    <col min="11269" max="11269" width="24.28515625" style="10" customWidth="1"/>
    <col min="11270" max="11270" width="40.42578125" style="10" customWidth="1"/>
    <col min="11271" max="11271" width="24.28515625" style="10" customWidth="1"/>
    <col min="11272" max="11272" width="41.85546875" style="10" customWidth="1"/>
    <col min="11273" max="11273" width="33.7109375" style="10" customWidth="1"/>
    <col min="11274" max="11274" width="18.85546875" style="10" customWidth="1"/>
    <col min="11275" max="11523" width="10.28515625" style="10" customWidth="1"/>
    <col min="11524" max="11524" width="13.42578125" style="10" customWidth="1"/>
    <col min="11525" max="11525" width="24.28515625" style="10" customWidth="1"/>
    <col min="11526" max="11526" width="40.42578125" style="10" customWidth="1"/>
    <col min="11527" max="11527" width="24.28515625" style="10" customWidth="1"/>
    <col min="11528" max="11528" width="41.85546875" style="10" customWidth="1"/>
    <col min="11529" max="11529" width="33.7109375" style="10" customWidth="1"/>
    <col min="11530" max="11530" width="18.85546875" style="10" customWidth="1"/>
    <col min="11531" max="11779" width="10.28515625" style="10" customWidth="1"/>
    <col min="11780" max="11780" width="13.42578125" style="10" customWidth="1"/>
    <col min="11781" max="11781" width="24.28515625" style="10" customWidth="1"/>
    <col min="11782" max="11782" width="40.42578125" style="10" customWidth="1"/>
    <col min="11783" max="11783" width="24.28515625" style="10" customWidth="1"/>
    <col min="11784" max="11784" width="41.85546875" style="10" customWidth="1"/>
    <col min="11785" max="11785" width="33.7109375" style="10" customWidth="1"/>
    <col min="11786" max="11786" width="18.85546875" style="10" customWidth="1"/>
    <col min="11787" max="12035" width="10.28515625" style="10" customWidth="1"/>
    <col min="12036" max="12036" width="13.42578125" style="10" customWidth="1"/>
    <col min="12037" max="12037" width="24.28515625" style="10" customWidth="1"/>
    <col min="12038" max="12038" width="40.42578125" style="10" customWidth="1"/>
    <col min="12039" max="12039" width="24.28515625" style="10" customWidth="1"/>
    <col min="12040" max="12040" width="41.85546875" style="10" customWidth="1"/>
    <col min="12041" max="12041" width="33.7109375" style="10" customWidth="1"/>
    <col min="12042" max="12042" width="18.85546875" style="10" customWidth="1"/>
    <col min="12043" max="12291" width="10.28515625" style="10" customWidth="1"/>
    <col min="12292" max="12292" width="13.42578125" style="10" customWidth="1"/>
    <col min="12293" max="12293" width="24.28515625" style="10" customWidth="1"/>
    <col min="12294" max="12294" width="40.42578125" style="10" customWidth="1"/>
    <col min="12295" max="12295" width="24.28515625" style="10" customWidth="1"/>
    <col min="12296" max="12296" width="41.85546875" style="10" customWidth="1"/>
    <col min="12297" max="12297" width="33.7109375" style="10" customWidth="1"/>
    <col min="12298" max="12298" width="18.85546875" style="10" customWidth="1"/>
    <col min="12299" max="12547" width="10.28515625" style="10" customWidth="1"/>
    <col min="12548" max="12548" width="13.42578125" style="10" customWidth="1"/>
    <col min="12549" max="12549" width="24.28515625" style="10" customWidth="1"/>
    <col min="12550" max="12550" width="40.42578125" style="10" customWidth="1"/>
    <col min="12551" max="12551" width="24.28515625" style="10" customWidth="1"/>
    <col min="12552" max="12552" width="41.85546875" style="10" customWidth="1"/>
    <col min="12553" max="12553" width="33.7109375" style="10" customWidth="1"/>
    <col min="12554" max="12554" width="18.85546875" style="10" customWidth="1"/>
    <col min="12555" max="12803" width="10.28515625" style="10" customWidth="1"/>
    <col min="12804" max="12804" width="13.42578125" style="10" customWidth="1"/>
    <col min="12805" max="12805" width="24.28515625" style="10" customWidth="1"/>
    <col min="12806" max="12806" width="40.42578125" style="10" customWidth="1"/>
    <col min="12807" max="12807" width="24.28515625" style="10" customWidth="1"/>
    <col min="12808" max="12808" width="41.85546875" style="10" customWidth="1"/>
    <col min="12809" max="12809" width="33.7109375" style="10" customWidth="1"/>
    <col min="12810" max="12810" width="18.85546875" style="10" customWidth="1"/>
    <col min="12811" max="13059" width="10.28515625" style="10" customWidth="1"/>
    <col min="13060" max="13060" width="13.42578125" style="10" customWidth="1"/>
    <col min="13061" max="13061" width="24.28515625" style="10" customWidth="1"/>
    <col min="13062" max="13062" width="40.42578125" style="10" customWidth="1"/>
    <col min="13063" max="13063" width="24.28515625" style="10" customWidth="1"/>
    <col min="13064" max="13064" width="41.85546875" style="10" customWidth="1"/>
    <col min="13065" max="13065" width="33.7109375" style="10" customWidth="1"/>
    <col min="13066" max="13066" width="18.85546875" style="10" customWidth="1"/>
    <col min="13067" max="13315" width="10.28515625" style="10" customWidth="1"/>
    <col min="13316" max="13316" width="13.42578125" style="10" customWidth="1"/>
    <col min="13317" max="13317" width="24.28515625" style="10" customWidth="1"/>
    <col min="13318" max="13318" width="40.42578125" style="10" customWidth="1"/>
    <col min="13319" max="13319" width="24.28515625" style="10" customWidth="1"/>
    <col min="13320" max="13320" width="41.85546875" style="10" customWidth="1"/>
    <col min="13321" max="13321" width="33.7109375" style="10" customWidth="1"/>
    <col min="13322" max="13322" width="18.85546875" style="10" customWidth="1"/>
    <col min="13323" max="13571" width="10.28515625" style="10" customWidth="1"/>
    <col min="13572" max="13572" width="13.42578125" style="10" customWidth="1"/>
    <col min="13573" max="13573" width="24.28515625" style="10" customWidth="1"/>
    <col min="13574" max="13574" width="40.42578125" style="10" customWidth="1"/>
    <col min="13575" max="13575" width="24.28515625" style="10" customWidth="1"/>
    <col min="13576" max="13576" width="41.85546875" style="10" customWidth="1"/>
    <col min="13577" max="13577" width="33.7109375" style="10" customWidth="1"/>
    <col min="13578" max="13578" width="18.85546875" style="10" customWidth="1"/>
    <col min="13579" max="13827" width="10.28515625" style="10" customWidth="1"/>
    <col min="13828" max="13828" width="13.42578125" style="10" customWidth="1"/>
    <col min="13829" max="13829" width="24.28515625" style="10" customWidth="1"/>
    <col min="13830" max="13830" width="40.42578125" style="10" customWidth="1"/>
    <col min="13831" max="13831" width="24.28515625" style="10" customWidth="1"/>
    <col min="13832" max="13832" width="41.85546875" style="10" customWidth="1"/>
    <col min="13833" max="13833" width="33.7109375" style="10" customWidth="1"/>
    <col min="13834" max="13834" width="18.85546875" style="10" customWidth="1"/>
    <col min="13835" max="14083" width="10.28515625" style="10" customWidth="1"/>
    <col min="14084" max="14084" width="13.42578125" style="10" customWidth="1"/>
    <col min="14085" max="14085" width="24.28515625" style="10" customWidth="1"/>
    <col min="14086" max="14086" width="40.42578125" style="10" customWidth="1"/>
    <col min="14087" max="14087" width="24.28515625" style="10" customWidth="1"/>
    <col min="14088" max="14088" width="41.85546875" style="10" customWidth="1"/>
    <col min="14089" max="14089" width="33.7109375" style="10" customWidth="1"/>
    <col min="14090" max="14090" width="18.85546875" style="10" customWidth="1"/>
    <col min="14091" max="14339" width="10.28515625" style="10" customWidth="1"/>
    <col min="14340" max="14340" width="13.42578125" style="10" customWidth="1"/>
    <col min="14341" max="14341" width="24.28515625" style="10" customWidth="1"/>
    <col min="14342" max="14342" width="40.42578125" style="10" customWidth="1"/>
    <col min="14343" max="14343" width="24.28515625" style="10" customWidth="1"/>
    <col min="14344" max="14344" width="41.85546875" style="10" customWidth="1"/>
    <col min="14345" max="14345" width="33.7109375" style="10" customWidth="1"/>
    <col min="14346" max="14346" width="18.85546875" style="10" customWidth="1"/>
    <col min="14347" max="14595" width="10.28515625" style="10" customWidth="1"/>
    <col min="14596" max="14596" width="13.42578125" style="10" customWidth="1"/>
    <col min="14597" max="14597" width="24.28515625" style="10" customWidth="1"/>
    <col min="14598" max="14598" width="40.42578125" style="10" customWidth="1"/>
    <col min="14599" max="14599" width="24.28515625" style="10" customWidth="1"/>
    <col min="14600" max="14600" width="41.85546875" style="10" customWidth="1"/>
    <col min="14601" max="14601" width="33.7109375" style="10" customWidth="1"/>
    <col min="14602" max="14602" width="18.85546875" style="10" customWidth="1"/>
    <col min="14603" max="14851" width="10.28515625" style="10" customWidth="1"/>
    <col min="14852" max="14852" width="13.42578125" style="10" customWidth="1"/>
    <col min="14853" max="14853" width="24.28515625" style="10" customWidth="1"/>
    <col min="14854" max="14854" width="40.42578125" style="10" customWidth="1"/>
    <col min="14855" max="14855" width="24.28515625" style="10" customWidth="1"/>
    <col min="14856" max="14856" width="41.85546875" style="10" customWidth="1"/>
    <col min="14857" max="14857" width="33.7109375" style="10" customWidth="1"/>
    <col min="14858" max="14858" width="18.85546875" style="10" customWidth="1"/>
    <col min="14859" max="15107" width="10.28515625" style="10" customWidth="1"/>
    <col min="15108" max="15108" width="13.42578125" style="10" customWidth="1"/>
    <col min="15109" max="15109" width="24.28515625" style="10" customWidth="1"/>
    <col min="15110" max="15110" width="40.42578125" style="10" customWidth="1"/>
    <col min="15111" max="15111" width="24.28515625" style="10" customWidth="1"/>
    <col min="15112" max="15112" width="41.85546875" style="10" customWidth="1"/>
    <col min="15113" max="15113" width="33.7109375" style="10" customWidth="1"/>
    <col min="15114" max="15114" width="18.85546875" style="10" customWidth="1"/>
    <col min="15115" max="15363" width="10.28515625" style="10" customWidth="1"/>
    <col min="15364" max="15364" width="13.42578125" style="10" customWidth="1"/>
    <col min="15365" max="15365" width="24.28515625" style="10" customWidth="1"/>
    <col min="15366" max="15366" width="40.42578125" style="10" customWidth="1"/>
    <col min="15367" max="15367" width="24.28515625" style="10" customWidth="1"/>
    <col min="15368" max="15368" width="41.85546875" style="10" customWidth="1"/>
    <col min="15369" max="15369" width="33.7109375" style="10" customWidth="1"/>
    <col min="15370" max="15370" width="18.85546875" style="10" customWidth="1"/>
    <col min="15371" max="15619" width="10.28515625" style="10" customWidth="1"/>
    <col min="15620" max="15620" width="13.42578125" style="10" customWidth="1"/>
    <col min="15621" max="15621" width="24.28515625" style="10" customWidth="1"/>
    <col min="15622" max="15622" width="40.42578125" style="10" customWidth="1"/>
    <col min="15623" max="15623" width="24.28515625" style="10" customWidth="1"/>
    <col min="15624" max="15624" width="41.85546875" style="10" customWidth="1"/>
    <col min="15625" max="15625" width="33.7109375" style="10" customWidth="1"/>
    <col min="15626" max="15626" width="18.85546875" style="10" customWidth="1"/>
    <col min="15627" max="15875" width="10.28515625" style="10" customWidth="1"/>
    <col min="15876" max="15876" width="13.42578125" style="10" customWidth="1"/>
    <col min="15877" max="15877" width="24.28515625" style="10" customWidth="1"/>
    <col min="15878" max="15878" width="40.42578125" style="10" customWidth="1"/>
    <col min="15879" max="15879" width="24.28515625" style="10" customWidth="1"/>
    <col min="15880" max="15880" width="41.85546875" style="10" customWidth="1"/>
    <col min="15881" max="15881" width="33.7109375" style="10" customWidth="1"/>
    <col min="15882" max="15882" width="18.85546875" style="10" customWidth="1"/>
    <col min="15883" max="16131" width="10.28515625" style="10" customWidth="1"/>
    <col min="16132" max="16132" width="13.42578125" style="10" customWidth="1"/>
    <col min="16133" max="16133" width="24.28515625" style="10" customWidth="1"/>
    <col min="16134" max="16134" width="40.42578125" style="10" customWidth="1"/>
    <col min="16135" max="16135" width="24.28515625" style="10" customWidth="1"/>
    <col min="16136" max="16136" width="41.85546875" style="10" customWidth="1"/>
    <col min="16137" max="16137" width="33.7109375" style="10" customWidth="1"/>
    <col min="16138" max="16138" width="18.85546875" style="10" customWidth="1"/>
    <col min="16139" max="16384" width="10.28515625" style="10" customWidth="1"/>
  </cols>
  <sheetData>
    <row r="1" spans="1:13" s="13" customFormat="1" ht="38.25" thickBot="1">
      <c r="A1" s="19" t="s">
        <v>954</v>
      </c>
      <c r="B1" s="20" t="s">
        <v>0</v>
      </c>
      <c r="C1" s="20" t="s">
        <v>1</v>
      </c>
      <c r="D1" s="20" t="s">
        <v>201</v>
      </c>
      <c r="E1" s="20" t="s">
        <v>3</v>
      </c>
      <c r="F1" s="21" t="s">
        <v>8755</v>
      </c>
      <c r="G1" s="20" t="s">
        <v>8756</v>
      </c>
      <c r="H1" s="22" t="s">
        <v>8757</v>
      </c>
      <c r="I1" s="25" t="s">
        <v>8657</v>
      </c>
      <c r="J1" s="23" t="s">
        <v>798</v>
      </c>
      <c r="K1" s="24" t="s">
        <v>799</v>
      </c>
      <c r="L1" s="23" t="s">
        <v>798</v>
      </c>
      <c r="M1" s="24" t="s">
        <v>799</v>
      </c>
    </row>
    <row r="2" spans="1:13">
      <c r="A2" s="10" t="s">
        <v>952</v>
      </c>
      <c r="B2" s="11" t="s">
        <v>826</v>
      </c>
      <c r="C2" s="11" t="s">
        <v>827</v>
      </c>
      <c r="D2" s="11" t="s">
        <v>828</v>
      </c>
      <c r="E2" s="11" t="s">
        <v>829</v>
      </c>
      <c r="F2" s="15">
        <v>3</v>
      </c>
      <c r="G2" s="11" t="s">
        <v>830</v>
      </c>
      <c r="H2" s="14">
        <v>44893</v>
      </c>
      <c r="I2" s="10">
        <f>COUNTIF(Paper_Reference[[#All],[Item ID]],C2)</f>
        <v>1</v>
      </c>
      <c r="J2" s="12" t="str">
        <f>IFERROR(INDEX(Paper_Reference[Paper Code],MATCH(C2,Paper_Reference[Item ID],0)),"")</f>
        <v>100PFA39-6200</v>
      </c>
      <c r="K2" s="12" t="str">
        <f>IFERROR(INDEX(Paper_Reference[Paper Description],MATCH(C2,Paper_Reference[Item ID],0)),"")</f>
        <v>SINGING THE CHICAGO BLUES</v>
      </c>
      <c r="L2" s="12" t="str">
        <f>IF(I2=2,_xlfn.XLOOKUP(C2,Paper_Reference[Item ID],Paper_Reference[Paper Code],"",0,-1),"")</f>
        <v/>
      </c>
      <c r="M2" s="12" t="str">
        <f>IF(I2=2,_xlfn.XLOOKUP(C2,Paper_Reference[Item ID],Paper_Reference[Paper Description],"",0,-1),"")</f>
        <v/>
      </c>
    </row>
    <row r="3" spans="1:13">
      <c r="A3" s="10" t="s">
        <v>952</v>
      </c>
      <c r="B3" s="11" t="s">
        <v>831</v>
      </c>
      <c r="C3" s="11" t="s">
        <v>832</v>
      </c>
      <c r="D3" s="11" t="s">
        <v>833</v>
      </c>
      <c r="E3" s="11" t="s">
        <v>834</v>
      </c>
      <c r="F3" s="15">
        <v>5</v>
      </c>
      <c r="G3" s="11" t="s">
        <v>835</v>
      </c>
      <c r="H3" s="14">
        <v>44893</v>
      </c>
      <c r="I3" s="10">
        <f>COUNTIF(Paper_Reference[[#All],[Item ID]],C3)</f>
        <v>1</v>
      </c>
      <c r="J3" s="12" t="str">
        <f>IFERROR(INDEX(Paper_Reference[Paper Code],MATCH(C3,Paper_Reference[Item ID],0)),"")</f>
        <v>100DS064-6200</v>
      </c>
      <c r="K3" s="12" t="str">
        <f>IFERROR(INDEX(Paper_Reference[Paper Description],MATCH(C3,Paper_Reference[Item ID],0)),"")</f>
        <v>BLACK</v>
      </c>
      <c r="L3" s="12" t="str">
        <f>IF(I3=2,_xlfn.XLOOKUP(C3,Paper_Reference[Item ID],Paper_Reference[Paper Code],"",0,-1),"")</f>
        <v/>
      </c>
      <c r="M3" s="12" t="str">
        <f>IF(I3=2,_xlfn.XLOOKUP(C3,Paper_Reference[Item ID],Paper_Reference[Paper Description],"",0,-1),"")</f>
        <v/>
      </c>
    </row>
    <row r="4" spans="1:13">
      <c r="A4" s="10" t="s">
        <v>952</v>
      </c>
      <c r="B4" s="11" t="s">
        <v>836</v>
      </c>
      <c r="C4" s="11" t="s">
        <v>838</v>
      </c>
      <c r="D4" s="11" t="s">
        <v>839</v>
      </c>
      <c r="E4" s="11" t="s">
        <v>840</v>
      </c>
      <c r="F4" s="15">
        <v>3</v>
      </c>
      <c r="G4" s="11" t="s">
        <v>837</v>
      </c>
      <c r="H4" s="14">
        <v>44893</v>
      </c>
      <c r="I4" s="10">
        <f>COUNTIF(Paper_Reference[[#All],[Item ID]],C4)</f>
        <v>1</v>
      </c>
      <c r="J4" s="12" t="str">
        <f>IFERROR(INDEX(Paper_Reference[Paper Code],MATCH(C4,Paper_Reference[Item ID],0)),"")</f>
        <v>100DS064-6200</v>
      </c>
      <c r="K4" s="12" t="str">
        <f>IFERROR(INDEX(Paper_Reference[Paper Description],MATCH(C4,Paper_Reference[Item ID],0)),"")</f>
        <v>BLACK</v>
      </c>
      <c r="L4" s="12" t="str">
        <f>IF(I4=2,_xlfn.XLOOKUP(C4,Paper_Reference[Item ID],Paper_Reference[Paper Code],"",0,-1),"")</f>
        <v/>
      </c>
      <c r="M4" s="12" t="str">
        <f>IF(I4=2,_xlfn.XLOOKUP(C4,Paper_Reference[Item ID],Paper_Reference[Paper Description],"",0,-1),"")</f>
        <v/>
      </c>
    </row>
    <row r="5" spans="1:13">
      <c r="A5" s="10" t="s">
        <v>952</v>
      </c>
      <c r="B5" s="11" t="s">
        <v>836</v>
      </c>
      <c r="C5" s="11" t="s">
        <v>832</v>
      </c>
      <c r="D5" s="11" t="s">
        <v>833</v>
      </c>
      <c r="E5" s="11" t="s">
        <v>834</v>
      </c>
      <c r="F5" s="15">
        <v>1</v>
      </c>
      <c r="G5" s="11" t="s">
        <v>837</v>
      </c>
      <c r="H5" s="14">
        <v>44893</v>
      </c>
      <c r="I5" s="10">
        <f>COUNTIF(Paper_Reference[[#All],[Item ID]],C5)</f>
        <v>1</v>
      </c>
      <c r="J5" s="12" t="str">
        <f>IFERROR(INDEX(Paper_Reference[Paper Code],MATCH(C5,Paper_Reference[Item ID],0)),"")</f>
        <v>100DS064-6200</v>
      </c>
      <c r="K5" s="12" t="str">
        <f>IFERROR(INDEX(Paper_Reference[Paper Description],MATCH(C5,Paper_Reference[Item ID],0)),"")</f>
        <v>BLACK</v>
      </c>
      <c r="L5" s="12" t="str">
        <f>IF(I5=2,_xlfn.XLOOKUP(C5,Paper_Reference[Item ID],Paper_Reference[Paper Code],"",0,-1),"")</f>
        <v/>
      </c>
      <c r="M5" s="12" t="str">
        <f>IF(I5=2,_xlfn.XLOOKUP(C5,Paper_Reference[Item ID],Paper_Reference[Paper Description],"",0,-1),"")</f>
        <v/>
      </c>
    </row>
    <row r="6" spans="1:13">
      <c r="A6" s="10" t="s">
        <v>952</v>
      </c>
      <c r="B6" s="11" t="s">
        <v>843</v>
      </c>
      <c r="C6" s="11" t="s">
        <v>430</v>
      </c>
      <c r="D6" s="11" t="s">
        <v>847</v>
      </c>
      <c r="E6" s="11" t="s">
        <v>848</v>
      </c>
      <c r="F6" s="15">
        <v>40</v>
      </c>
      <c r="G6" s="11" t="s">
        <v>846</v>
      </c>
      <c r="H6" s="14">
        <v>44893</v>
      </c>
      <c r="I6" s="10">
        <f>COUNTIF(Paper_Reference[[#All],[Item ID]],C6)</f>
        <v>1</v>
      </c>
      <c r="J6" s="12" t="str">
        <f>IFERROR(INDEX(Paper_Reference[Paper Code],MATCH(C6,Paper_Reference[Item ID],0)),"")</f>
        <v>110WM741-6200</v>
      </c>
      <c r="K6" s="12" t="str">
        <f>IFERROR(INDEX(Paper_Reference[Paper Description],MATCH(C6,Paper_Reference[Item ID],0)),"")</f>
        <v>AMF MAPLE R/E</v>
      </c>
      <c r="L6" s="12" t="str">
        <f>IF(I6=2,_xlfn.XLOOKUP(C6,Paper_Reference[Item ID],Paper_Reference[Paper Code],"",0,-1),"")</f>
        <v/>
      </c>
      <c r="M6" s="12" t="str">
        <f>IF(I6=2,_xlfn.XLOOKUP(C6,Paper_Reference[Item ID],Paper_Reference[Paper Description],"",0,-1),"")</f>
        <v/>
      </c>
    </row>
    <row r="7" spans="1:13">
      <c r="A7" s="10" t="s">
        <v>952</v>
      </c>
      <c r="B7" s="11" t="s">
        <v>849</v>
      </c>
      <c r="C7" s="11" t="s">
        <v>838</v>
      </c>
      <c r="D7" s="11" t="s">
        <v>839</v>
      </c>
      <c r="E7" s="11" t="s">
        <v>840</v>
      </c>
      <c r="F7" s="15">
        <v>4</v>
      </c>
      <c r="G7" s="11" t="s">
        <v>850</v>
      </c>
      <c r="H7" s="14">
        <v>44900</v>
      </c>
      <c r="I7" s="10">
        <f>COUNTIF(Paper_Reference[[#All],[Item ID]],C7)</f>
        <v>1</v>
      </c>
      <c r="J7" s="12" t="str">
        <f>IFERROR(INDEX(Paper_Reference[Paper Code],MATCH(C7,Paper_Reference[Item ID],0)),"")</f>
        <v>100DS064-6200</v>
      </c>
      <c r="K7" s="12" t="str">
        <f>IFERROR(INDEX(Paper_Reference[Paper Description],MATCH(C7,Paper_Reference[Item ID],0)),"")</f>
        <v>BLACK</v>
      </c>
      <c r="L7" s="12" t="str">
        <f>IF(I7=2,_xlfn.XLOOKUP(C7,Paper_Reference[Item ID],Paper_Reference[Paper Code],"",0,-1),"")</f>
        <v/>
      </c>
      <c r="M7" s="12" t="str">
        <f>IF(I7=2,_xlfn.XLOOKUP(C7,Paper_Reference[Item ID],Paper_Reference[Paper Description],"",0,-1),"")</f>
        <v/>
      </c>
    </row>
    <row r="8" spans="1:13">
      <c r="A8" s="10" t="s">
        <v>952</v>
      </c>
      <c r="B8" s="11" t="s">
        <v>849</v>
      </c>
      <c r="C8" s="11" t="s">
        <v>832</v>
      </c>
      <c r="D8" s="11" t="s">
        <v>833</v>
      </c>
      <c r="E8" s="11" t="s">
        <v>834</v>
      </c>
      <c r="F8" s="15">
        <v>1</v>
      </c>
      <c r="G8" s="11" t="s">
        <v>850</v>
      </c>
      <c r="H8" s="14">
        <v>44900</v>
      </c>
      <c r="I8" s="10">
        <f>COUNTIF(Paper_Reference[[#All],[Item ID]],C8)</f>
        <v>1</v>
      </c>
      <c r="J8" s="12" t="str">
        <f>IFERROR(INDEX(Paper_Reference[Paper Code],MATCH(C8,Paper_Reference[Item ID],0)),"")</f>
        <v>100DS064-6200</v>
      </c>
      <c r="K8" s="12" t="str">
        <f>IFERROR(INDEX(Paper_Reference[Paper Description],MATCH(C8,Paper_Reference[Item ID],0)),"")</f>
        <v>BLACK</v>
      </c>
      <c r="L8" s="12" t="str">
        <f>IF(I8=2,_xlfn.XLOOKUP(C8,Paper_Reference[Item ID],Paper_Reference[Paper Code],"",0,-1),"")</f>
        <v/>
      </c>
      <c r="M8" s="12" t="str">
        <f>IF(I8=2,_xlfn.XLOOKUP(C8,Paper_Reference[Item ID],Paper_Reference[Paper Description],"",0,-1),"")</f>
        <v/>
      </c>
    </row>
    <row r="9" spans="1:13">
      <c r="A9" s="10" t="s">
        <v>952</v>
      </c>
      <c r="B9" s="11" t="s">
        <v>849</v>
      </c>
      <c r="C9" s="11" t="s">
        <v>851</v>
      </c>
      <c r="D9" s="11" t="s">
        <v>852</v>
      </c>
      <c r="E9" s="11" t="s">
        <v>853</v>
      </c>
      <c r="F9" s="15">
        <v>1</v>
      </c>
      <c r="G9" s="11" t="s">
        <v>850</v>
      </c>
      <c r="H9" s="14">
        <v>44900</v>
      </c>
      <c r="I9" s="10">
        <f>COUNTIF(Paper_Reference[[#All],[Item ID]],C9)</f>
        <v>1</v>
      </c>
      <c r="J9" s="12" t="str">
        <f>IFERROR(INDEX(Paper_Reference[Paper Code],MATCH(C9,Paper_Reference[Item ID],0)),"")</f>
        <v>100DS064-6200</v>
      </c>
      <c r="K9" s="12" t="str">
        <f>IFERROR(INDEX(Paper_Reference[Paper Description],MATCH(C9,Paper_Reference[Item ID],0)),"")</f>
        <v>BLACK</v>
      </c>
      <c r="L9" s="12" t="str">
        <f>IF(I9=2,_xlfn.XLOOKUP(C9,Paper_Reference[Item ID],Paper_Reference[Paper Code],"",0,-1),"")</f>
        <v/>
      </c>
      <c r="M9" s="12" t="str">
        <f>IF(I9=2,_xlfn.XLOOKUP(C9,Paper_Reference[Item ID],Paper_Reference[Paper Description],"",0,-1),"")</f>
        <v/>
      </c>
    </row>
    <row r="10" spans="1:13">
      <c r="A10" s="10" t="s">
        <v>952</v>
      </c>
      <c r="B10" s="11" t="s">
        <v>854</v>
      </c>
      <c r="C10" s="11" t="s">
        <v>838</v>
      </c>
      <c r="D10" s="11" t="s">
        <v>839</v>
      </c>
      <c r="E10" s="11" t="s">
        <v>840</v>
      </c>
      <c r="F10" s="15">
        <v>1</v>
      </c>
      <c r="G10" s="11" t="s">
        <v>855</v>
      </c>
      <c r="H10" s="14">
        <v>44900</v>
      </c>
      <c r="I10" s="10">
        <f>COUNTIF(Paper_Reference[[#All],[Item ID]],C10)</f>
        <v>1</v>
      </c>
      <c r="J10" s="12" t="str">
        <f>IFERROR(INDEX(Paper_Reference[Paper Code],MATCH(C10,Paper_Reference[Item ID],0)),"")</f>
        <v>100DS064-6200</v>
      </c>
      <c r="K10" s="12" t="str">
        <f>IFERROR(INDEX(Paper_Reference[Paper Description],MATCH(C10,Paper_Reference[Item ID],0)),"")</f>
        <v>BLACK</v>
      </c>
      <c r="L10" s="12" t="str">
        <f>IF(I10=2,_xlfn.XLOOKUP(C10,Paper_Reference[Item ID],Paper_Reference[Paper Code],"",0,-1),"")</f>
        <v/>
      </c>
      <c r="M10" s="12" t="str">
        <f>IF(I10=2,_xlfn.XLOOKUP(C10,Paper_Reference[Item ID],Paper_Reference[Paper Description],"",0,-1),"")</f>
        <v/>
      </c>
    </row>
    <row r="11" spans="1:13">
      <c r="A11" s="10" t="s">
        <v>952</v>
      </c>
      <c r="B11" s="11" t="s">
        <v>856</v>
      </c>
      <c r="C11" s="11" t="s">
        <v>727</v>
      </c>
      <c r="D11" s="11" t="s">
        <v>669</v>
      </c>
      <c r="E11" s="11" t="s">
        <v>862</v>
      </c>
      <c r="F11" s="15">
        <v>20</v>
      </c>
      <c r="G11" s="11" t="s">
        <v>859</v>
      </c>
      <c r="H11" s="14">
        <v>44900</v>
      </c>
      <c r="I11" s="10">
        <f>COUNTIF(Paper_Reference[[#All],[Item ID]],C11)</f>
        <v>1</v>
      </c>
      <c r="J11" s="12" t="str">
        <f>IFERROR(INDEX(Paper_Reference[Paper Code],MATCH(C11,Paper_Reference[Item ID],0)),"")</f>
        <v>110HA009-4300</v>
      </c>
      <c r="K11" s="12" t="str">
        <f>IFERROR(INDEX(Paper_Reference[Paper Description],MATCH(C11,Paper_Reference[Item ID],0)),"")</f>
        <v>AMF BUTCHER BLOCK</v>
      </c>
      <c r="L11" s="12" t="str">
        <f>IF(I11=2,_xlfn.XLOOKUP(C11,Paper_Reference[Item ID],Paper_Reference[Paper Code],"",0,-1),"")</f>
        <v/>
      </c>
      <c r="M11" s="12" t="str">
        <f>IF(I11=2,_xlfn.XLOOKUP(C11,Paper_Reference[Item ID],Paper_Reference[Paper Description],"",0,-1),"")</f>
        <v/>
      </c>
    </row>
    <row r="12" spans="1:13">
      <c r="A12" s="10" t="s">
        <v>952</v>
      </c>
      <c r="B12" s="11" t="s">
        <v>856</v>
      </c>
      <c r="C12" s="11" t="s">
        <v>438</v>
      </c>
      <c r="D12" s="11" t="s">
        <v>860</v>
      </c>
      <c r="E12" s="11" t="s">
        <v>861</v>
      </c>
      <c r="F12" s="15">
        <v>15</v>
      </c>
      <c r="G12" s="11" t="s">
        <v>859</v>
      </c>
      <c r="H12" s="14">
        <v>44900</v>
      </c>
      <c r="I12" s="10">
        <f>COUNTIF(Paper_Reference[[#All],[Item ID]],C12)</f>
        <v>1</v>
      </c>
      <c r="J12" s="12" t="str">
        <f>IFERROR(INDEX(Paper_Reference[Paper Code],MATCH(C12,Paper_Reference[Item ID],0)),"")</f>
        <v>110WM741-6200</v>
      </c>
      <c r="K12" s="12" t="str">
        <f>IFERROR(INDEX(Paper_Reference[Paper Description],MATCH(C12,Paper_Reference[Item ID],0)),"")</f>
        <v>AMF MAPLE R/E</v>
      </c>
      <c r="L12" s="12" t="str">
        <f>IF(I12=2,_xlfn.XLOOKUP(C12,Paper_Reference[Item ID],Paper_Reference[Paper Code],"",0,-1),"")</f>
        <v/>
      </c>
      <c r="M12" s="12" t="str">
        <f>IF(I12=2,_xlfn.XLOOKUP(C12,Paper_Reference[Item ID],Paper_Reference[Paper Description],"",0,-1),"")</f>
        <v/>
      </c>
    </row>
    <row r="13" spans="1:13">
      <c r="A13" s="10" t="s">
        <v>952</v>
      </c>
      <c r="B13" s="11" t="s">
        <v>856</v>
      </c>
      <c r="C13" s="11" t="s">
        <v>447</v>
      </c>
      <c r="D13" s="11" t="s">
        <v>857</v>
      </c>
      <c r="E13" s="11" t="s">
        <v>858</v>
      </c>
      <c r="F13" s="15">
        <v>9</v>
      </c>
      <c r="G13" s="11" t="s">
        <v>859</v>
      </c>
      <c r="H13" s="14">
        <v>44900</v>
      </c>
      <c r="I13" s="10">
        <f>COUNTIF(Paper_Reference[[#All],[Item ID]],C13)</f>
        <v>1</v>
      </c>
      <c r="J13" s="12" t="str">
        <f>IFERROR(INDEX(Paper_Reference[Paper Code],MATCH(C13,Paper_Reference[Item ID],0)),"")</f>
        <v>110WM742-6200</v>
      </c>
      <c r="K13" s="12" t="str">
        <f>IFERROR(INDEX(Paper_Reference[Paper Description],MATCH(C13,Paper_Reference[Item ID],0)),"")</f>
        <v>AMF MAPLE L/O</v>
      </c>
      <c r="L13" s="12" t="str">
        <f>IF(I13=2,_xlfn.XLOOKUP(C13,Paper_Reference[Item ID],Paper_Reference[Paper Code],"",0,-1),"")</f>
        <v/>
      </c>
      <c r="M13" s="12" t="str">
        <f>IF(I13=2,_xlfn.XLOOKUP(C13,Paper_Reference[Item ID],Paper_Reference[Paper Description],"",0,-1),"")</f>
        <v/>
      </c>
    </row>
    <row r="14" spans="1:13">
      <c r="A14" s="10" t="s">
        <v>952</v>
      </c>
      <c r="B14" s="11" t="s">
        <v>865</v>
      </c>
      <c r="C14" s="11" t="s">
        <v>430</v>
      </c>
      <c r="D14" s="11" t="s">
        <v>847</v>
      </c>
      <c r="E14" s="11" t="s">
        <v>848</v>
      </c>
      <c r="F14" s="15">
        <v>20</v>
      </c>
      <c r="G14" s="11" t="s">
        <v>866</v>
      </c>
      <c r="H14" s="14">
        <v>44907</v>
      </c>
      <c r="I14" s="10">
        <f>COUNTIF(Paper_Reference[[#All],[Item ID]],C14)</f>
        <v>1</v>
      </c>
      <c r="J14" s="12" t="str">
        <f>IFERROR(INDEX(Paper_Reference[Paper Code],MATCH(C14,Paper_Reference[Item ID],0)),"")</f>
        <v>110WM741-6200</v>
      </c>
      <c r="K14" s="12" t="str">
        <f>IFERROR(INDEX(Paper_Reference[Paper Description],MATCH(C14,Paper_Reference[Item ID],0)),"")</f>
        <v>AMF MAPLE R/E</v>
      </c>
      <c r="L14" s="12" t="str">
        <f>IF(I14=2,_xlfn.XLOOKUP(C14,Paper_Reference[Item ID],Paper_Reference[Paper Code],"",0,-1),"")</f>
        <v/>
      </c>
      <c r="M14" s="12" t="str">
        <f>IF(I14=2,_xlfn.XLOOKUP(C14,Paper_Reference[Item ID],Paper_Reference[Paper Description],"",0,-1),"")</f>
        <v/>
      </c>
    </row>
    <row r="15" spans="1:13">
      <c r="A15" s="10" t="s">
        <v>952</v>
      </c>
      <c r="B15" s="11" t="s">
        <v>865</v>
      </c>
      <c r="C15" s="11" t="s">
        <v>434</v>
      </c>
      <c r="D15" s="11" t="s">
        <v>822</v>
      </c>
      <c r="E15" s="11" t="s">
        <v>823</v>
      </c>
      <c r="F15" s="15">
        <v>20</v>
      </c>
      <c r="G15" s="11" t="s">
        <v>866</v>
      </c>
      <c r="H15" s="14">
        <v>44907</v>
      </c>
      <c r="I15" s="10">
        <f>COUNTIF(Paper_Reference[[#All],[Item ID]],C15)</f>
        <v>1</v>
      </c>
      <c r="J15" s="12" t="str">
        <f>IFERROR(INDEX(Paper_Reference[Paper Code],MATCH(C15,Paper_Reference[Item ID],0)),"")</f>
        <v>110WM741-6200</v>
      </c>
      <c r="K15" s="12" t="str">
        <f>IFERROR(INDEX(Paper_Reference[Paper Description],MATCH(C15,Paper_Reference[Item ID],0)),"")</f>
        <v>AMF MAPLE R/E</v>
      </c>
      <c r="L15" s="12" t="str">
        <f>IF(I15=2,_xlfn.XLOOKUP(C15,Paper_Reference[Item ID],Paper_Reference[Paper Code],"",0,-1),"")</f>
        <v/>
      </c>
      <c r="M15" s="12" t="str">
        <f>IF(I15=2,_xlfn.XLOOKUP(C15,Paper_Reference[Item ID],Paper_Reference[Paper Description],"",0,-1),"")</f>
        <v/>
      </c>
    </row>
    <row r="16" spans="1:13">
      <c r="A16" s="10" t="s">
        <v>952</v>
      </c>
      <c r="B16" s="10" t="s">
        <v>867</v>
      </c>
      <c r="C16" s="10" t="s">
        <v>435</v>
      </c>
      <c r="D16" s="10" t="s">
        <v>860</v>
      </c>
      <c r="E16" s="10" t="s">
        <v>870</v>
      </c>
      <c r="F16" s="15">
        <v>20</v>
      </c>
      <c r="G16" s="10" t="s">
        <v>869</v>
      </c>
      <c r="H16" s="14">
        <v>44907</v>
      </c>
      <c r="I16" s="10">
        <f>COUNTIF(Paper_Reference[[#All],[Item ID]],C16)</f>
        <v>1</v>
      </c>
      <c r="J16" s="12" t="str">
        <f>IFERROR(INDEX(Paper_Reference[Paper Code],MATCH(C16,Paper_Reference[Item ID],0)),"")</f>
        <v>110WM741-6200</v>
      </c>
      <c r="K16" s="12" t="str">
        <f>IFERROR(INDEX(Paper_Reference[Paper Description],MATCH(C16,Paper_Reference[Item ID],0)),"")</f>
        <v>AMF MAPLE R/E</v>
      </c>
      <c r="L16" s="12" t="str">
        <f>IF(I16=2,_xlfn.XLOOKUP(C16,Paper_Reference[Item ID],Paper_Reference[Paper Code],"",0,-1),"")</f>
        <v/>
      </c>
      <c r="M16" s="12" t="str">
        <f>IF(I16=2,_xlfn.XLOOKUP(C16,Paper_Reference[Item ID],Paper_Reference[Paper Description],"",0,-1),"")</f>
        <v/>
      </c>
    </row>
    <row r="17" spans="1:13">
      <c r="A17" s="10" t="s">
        <v>952</v>
      </c>
      <c r="B17" s="10" t="s">
        <v>867</v>
      </c>
      <c r="C17" s="10" t="s">
        <v>445</v>
      </c>
      <c r="D17" s="10" t="s">
        <v>857</v>
      </c>
      <c r="E17" s="10" t="s">
        <v>868</v>
      </c>
      <c r="F17" s="15">
        <v>20</v>
      </c>
      <c r="G17" s="10" t="s">
        <v>869</v>
      </c>
      <c r="H17" s="14">
        <v>44907</v>
      </c>
      <c r="I17" s="10">
        <f>COUNTIF(Paper_Reference[[#All],[Item ID]],C17)</f>
        <v>1</v>
      </c>
      <c r="J17" s="12" t="str">
        <f>IFERROR(INDEX(Paper_Reference[Paper Code],MATCH(C17,Paper_Reference[Item ID],0)),"")</f>
        <v>110WM742-6200</v>
      </c>
      <c r="K17" s="12" t="str">
        <f>IFERROR(INDEX(Paper_Reference[Paper Description],MATCH(C17,Paper_Reference[Item ID],0)),"")</f>
        <v>AMF MAPLE L/O</v>
      </c>
      <c r="L17" s="12" t="str">
        <f>IF(I17=2,_xlfn.XLOOKUP(C17,Paper_Reference[Item ID],Paper_Reference[Paper Code],"",0,-1),"")</f>
        <v/>
      </c>
      <c r="M17" s="12" t="str">
        <f>IF(I17=2,_xlfn.XLOOKUP(C17,Paper_Reference[Item ID],Paper_Reference[Paper Description],"",0,-1),"")</f>
        <v/>
      </c>
    </row>
    <row r="18" spans="1:13">
      <c r="A18" s="10" t="s">
        <v>952</v>
      </c>
      <c r="B18" s="10" t="s">
        <v>875</v>
      </c>
      <c r="C18" s="10" t="s">
        <v>807</v>
      </c>
      <c r="D18" s="10" t="s">
        <v>808</v>
      </c>
      <c r="E18" s="10" t="s">
        <v>809</v>
      </c>
      <c r="F18" s="15">
        <v>80</v>
      </c>
      <c r="G18" s="10" t="s">
        <v>876</v>
      </c>
      <c r="H18" s="14">
        <v>44929</v>
      </c>
      <c r="I18" s="10">
        <f>COUNTIF(Paper_Reference[[#All],[Item ID]],C18)</f>
        <v>1</v>
      </c>
      <c r="J18" s="12" t="str">
        <f>IFERROR(INDEX(Paper_Reference[Paper Code],MATCH(C18,Paper_Reference[Item ID],0)),"")</f>
        <v>110SW736-5000</v>
      </c>
      <c r="K18" s="12" t="str">
        <f>IFERROR(INDEX(Paper_Reference[Paper Description],MATCH(C18,Paper_Reference[Item ID],0)),"")</f>
        <v>PRECISION WHITE 43 X 145</v>
      </c>
      <c r="L18" s="12" t="str">
        <f>IF(I18=2,_xlfn.XLOOKUP(C18,Paper_Reference[Item ID],Paper_Reference[Paper Code],"",0,-1),"")</f>
        <v/>
      </c>
      <c r="M18" s="12" t="str">
        <f>IF(I18=2,_xlfn.XLOOKUP(C18,Paper_Reference[Item ID],Paper_Reference[Paper Description],"",0,-1),"")</f>
        <v/>
      </c>
    </row>
    <row r="19" spans="1:13">
      <c r="A19" s="10" t="s">
        <v>952</v>
      </c>
      <c r="B19" s="10" t="s">
        <v>875</v>
      </c>
      <c r="C19" s="10" t="s">
        <v>801</v>
      </c>
      <c r="D19" s="10" t="s">
        <v>802</v>
      </c>
      <c r="E19" s="10" t="s">
        <v>803</v>
      </c>
      <c r="F19" s="15">
        <v>40</v>
      </c>
      <c r="G19" s="10" t="s">
        <v>876</v>
      </c>
      <c r="H19" s="14">
        <v>44929</v>
      </c>
      <c r="I19" s="10">
        <f>COUNTIF(Paper_Reference[[#All],[Item ID]],C19)</f>
        <v>1</v>
      </c>
      <c r="J19" s="12" t="str">
        <f>IFERROR(INDEX(Paper_Reference[Paper Code],MATCH(C19,Paper_Reference[Item ID],0)),"")</f>
        <v>110SW736-5000</v>
      </c>
      <c r="K19" s="12" t="str">
        <f>IFERROR(INDEX(Paper_Reference[Paper Description],MATCH(C19,Paper_Reference[Item ID],0)),"")</f>
        <v>PRECISION WHITE 43 X 145</v>
      </c>
      <c r="L19" s="12" t="str">
        <f>IF(I19=2,_xlfn.XLOOKUP(C19,Paper_Reference[Item ID],Paper_Reference[Paper Code],"",0,-1),"")</f>
        <v/>
      </c>
      <c r="M19" s="12" t="str">
        <f>IF(I19=2,_xlfn.XLOOKUP(C19,Paper_Reference[Item ID],Paper_Reference[Paper Description],"",0,-1),"")</f>
        <v/>
      </c>
    </row>
    <row r="20" spans="1:13">
      <c r="A20" s="10" t="s">
        <v>952</v>
      </c>
      <c r="B20" s="10" t="s">
        <v>875</v>
      </c>
      <c r="C20" s="10" t="s">
        <v>880</v>
      </c>
      <c r="D20" s="10" t="s">
        <v>881</v>
      </c>
      <c r="E20" s="10" t="s">
        <v>882</v>
      </c>
      <c r="F20" s="15">
        <v>20</v>
      </c>
      <c r="G20" s="10" t="s">
        <v>876</v>
      </c>
      <c r="H20" s="14">
        <v>44929</v>
      </c>
      <c r="I20" s="10">
        <f>COUNTIF(Paper_Reference[[#All],[Item ID]],C20)</f>
        <v>1</v>
      </c>
      <c r="J20" s="12" t="str">
        <f>IFERROR(INDEX(Paper_Reference[Paper Code],MATCH(C20,Paper_Reference[Item ID],0)),"")</f>
        <v>110SW736-6200</v>
      </c>
      <c r="K20" s="12" t="str">
        <f>IFERROR(INDEX(Paper_Reference[Paper Description],MATCH(C20,Paper_Reference[Item ID],0)),"")</f>
        <v>PRECISION WHITE 62"</v>
      </c>
      <c r="L20" s="12" t="str">
        <f>IF(I20=2,_xlfn.XLOOKUP(C20,Paper_Reference[Item ID],Paper_Reference[Paper Code],"",0,-1),"")</f>
        <v/>
      </c>
      <c r="M20" s="12" t="str">
        <f>IF(I20=2,_xlfn.XLOOKUP(C20,Paper_Reference[Item ID],Paper_Reference[Paper Description],"",0,-1),"")</f>
        <v/>
      </c>
    </row>
    <row r="21" spans="1:13">
      <c r="A21" s="10" t="s">
        <v>952</v>
      </c>
      <c r="B21" s="10" t="s">
        <v>875</v>
      </c>
      <c r="C21" s="10" t="s">
        <v>883</v>
      </c>
      <c r="D21" s="10" t="s">
        <v>884</v>
      </c>
      <c r="E21" s="10" t="s">
        <v>885</v>
      </c>
      <c r="F21" s="15">
        <v>20</v>
      </c>
      <c r="G21" s="10" t="s">
        <v>876</v>
      </c>
      <c r="H21" s="14">
        <v>44929</v>
      </c>
      <c r="I21" s="10">
        <f>COUNTIF(Paper_Reference[[#All],[Item ID]],C21)</f>
        <v>1</v>
      </c>
      <c r="J21" s="12" t="str">
        <f>IFERROR(INDEX(Paper_Reference[Paper Code],MATCH(C21,Paper_Reference[Item ID],0)),"")</f>
        <v>110SW736-6200</v>
      </c>
      <c r="K21" s="12" t="str">
        <f>IFERROR(INDEX(Paper_Reference[Paper Description],MATCH(C21,Paper_Reference[Item ID],0)),"")</f>
        <v>PRECISION WHITE 62"</v>
      </c>
      <c r="L21" s="12" t="str">
        <f>IF(I21=2,_xlfn.XLOOKUP(C21,Paper_Reference[Item ID],Paper_Reference[Paper Code],"",0,-1),"")</f>
        <v/>
      </c>
      <c r="M21" s="12" t="str">
        <f>IF(I21=2,_xlfn.XLOOKUP(C21,Paper_Reference[Item ID],Paper_Reference[Paper Description],"",0,-1),"")</f>
        <v/>
      </c>
    </row>
    <row r="22" spans="1:13">
      <c r="A22" s="10" t="s">
        <v>952</v>
      </c>
      <c r="B22" s="10" t="s">
        <v>875</v>
      </c>
      <c r="C22" s="10" t="s">
        <v>810</v>
      </c>
      <c r="D22" s="10" t="s">
        <v>811</v>
      </c>
      <c r="E22" s="10" t="s">
        <v>812</v>
      </c>
      <c r="F22" s="15">
        <v>20</v>
      </c>
      <c r="G22" s="10" t="s">
        <v>876</v>
      </c>
      <c r="H22" s="14">
        <v>44929</v>
      </c>
      <c r="I22" s="10">
        <f>COUNTIF(Paper_Reference[[#All],[Item ID]],C22)</f>
        <v>1</v>
      </c>
      <c r="J22" s="12" t="str">
        <f>IFERROR(INDEX(Paper_Reference[Paper Code],MATCH(C22,Paper_Reference[Item ID],0)),"")</f>
        <v>110SW736-6200</v>
      </c>
      <c r="K22" s="12" t="str">
        <f>IFERROR(INDEX(Paper_Reference[Paper Description],MATCH(C22,Paper_Reference[Item ID],0)),"")</f>
        <v>PRECISION WHITE 62"</v>
      </c>
      <c r="L22" s="12" t="str">
        <f>IF(I22=2,_xlfn.XLOOKUP(C22,Paper_Reference[Item ID],Paper_Reference[Paper Code],"",0,-1),"")</f>
        <v/>
      </c>
      <c r="M22" s="12" t="str">
        <f>IF(I22=2,_xlfn.XLOOKUP(C22,Paper_Reference[Item ID],Paper_Reference[Paper Description],"",0,-1),"")</f>
        <v/>
      </c>
    </row>
    <row r="23" spans="1:13">
      <c r="A23" s="10" t="s">
        <v>952</v>
      </c>
      <c r="B23" s="10" t="s">
        <v>875</v>
      </c>
      <c r="C23" s="10" t="s">
        <v>877</v>
      </c>
      <c r="D23" s="10" t="s">
        <v>878</v>
      </c>
      <c r="E23" s="10" t="s">
        <v>879</v>
      </c>
      <c r="F23" s="15">
        <v>20</v>
      </c>
      <c r="G23" s="10" t="s">
        <v>876</v>
      </c>
      <c r="H23" s="14">
        <v>44929</v>
      </c>
      <c r="I23" s="10">
        <f>COUNTIF(Paper_Reference[[#All],[Item ID]],C23)</f>
        <v>1</v>
      </c>
      <c r="J23" s="12" t="str">
        <f>IFERROR(INDEX(Paper_Reference[Paper Code],MATCH(C23,Paper_Reference[Item ID],0)),"")</f>
        <v>110SW736-6200</v>
      </c>
      <c r="K23" s="12" t="str">
        <f>IFERROR(INDEX(Paper_Reference[Paper Description],MATCH(C23,Paper_Reference[Item ID],0)),"")</f>
        <v>PRECISION WHITE 62"</v>
      </c>
      <c r="L23" s="12" t="str">
        <f>IF(I23=2,_xlfn.XLOOKUP(C23,Paper_Reference[Item ID],Paper_Reference[Paper Code],"",0,-1),"")</f>
        <v/>
      </c>
      <c r="M23" s="12" t="str">
        <f>IF(I23=2,_xlfn.XLOOKUP(C23,Paper_Reference[Item ID],Paper_Reference[Paper Description],"",0,-1),"")</f>
        <v/>
      </c>
    </row>
    <row r="24" spans="1:13">
      <c r="A24" s="10" t="s">
        <v>952</v>
      </c>
      <c r="B24" s="10" t="s">
        <v>875</v>
      </c>
      <c r="C24" s="10" t="s">
        <v>804</v>
      </c>
      <c r="D24" s="10" t="s">
        <v>805</v>
      </c>
      <c r="E24" s="10" t="s">
        <v>806</v>
      </c>
      <c r="F24" s="15">
        <v>20</v>
      </c>
      <c r="G24" s="10" t="s">
        <v>876</v>
      </c>
      <c r="H24" s="14">
        <v>44929</v>
      </c>
      <c r="I24" s="10">
        <f>COUNTIF(Paper_Reference[[#All],[Item ID]],C24)</f>
        <v>1</v>
      </c>
      <c r="J24" s="12" t="str">
        <f>IFERROR(INDEX(Paper_Reference[Paper Code],MATCH(C24,Paper_Reference[Item ID],0)),"")</f>
        <v>110SW736-5000</v>
      </c>
      <c r="K24" s="12" t="str">
        <f>IFERROR(INDEX(Paper_Reference[Paper Description],MATCH(C24,Paper_Reference[Item ID],0)),"")</f>
        <v>PRECISION WHITE 43 X 145</v>
      </c>
      <c r="L24" s="12" t="str">
        <f>IF(I24=2,_xlfn.XLOOKUP(C24,Paper_Reference[Item ID],Paper_Reference[Paper Code],"",0,-1),"")</f>
        <v/>
      </c>
      <c r="M24" s="12" t="str">
        <f>IF(I24=2,_xlfn.XLOOKUP(C24,Paper_Reference[Item ID],Paper_Reference[Paper Description],"",0,-1),"")</f>
        <v/>
      </c>
    </row>
    <row r="25" spans="1:13">
      <c r="A25" s="10" t="s">
        <v>952</v>
      </c>
      <c r="B25" s="10" t="s">
        <v>886</v>
      </c>
      <c r="C25" s="10" t="s">
        <v>716</v>
      </c>
      <c r="D25" s="10" t="s">
        <v>863</v>
      </c>
      <c r="E25" s="10" t="s">
        <v>864</v>
      </c>
      <c r="F25" s="15">
        <v>80</v>
      </c>
      <c r="G25" s="10" t="s">
        <v>888</v>
      </c>
      <c r="H25" s="14">
        <v>44929</v>
      </c>
      <c r="I25" s="10">
        <f>COUNTIF(Paper_Reference[[#All],[Item ID]],C25)</f>
        <v>1</v>
      </c>
      <c r="J25" s="12" t="str">
        <f>IFERROR(INDEX(Paper_Reference[Paper Code],MATCH(C25,Paper_Reference[Item ID],0)),"")</f>
        <v>110HA009-4300</v>
      </c>
      <c r="K25" s="12" t="str">
        <f>IFERROR(INDEX(Paper_Reference[Paper Description],MATCH(C25,Paper_Reference[Item ID],0)),"")</f>
        <v>AMF BUTCHER BLOCK</v>
      </c>
      <c r="L25" s="12" t="str">
        <f>IF(I25=2,_xlfn.XLOOKUP(C25,Paper_Reference[Item ID],Paper_Reference[Paper Code],"",0,-1),"")</f>
        <v/>
      </c>
      <c r="M25" s="12" t="str">
        <f>IF(I25=2,_xlfn.XLOOKUP(C25,Paper_Reference[Item ID],Paper_Reference[Paper Description],"",0,-1),"")</f>
        <v/>
      </c>
    </row>
    <row r="26" spans="1:13">
      <c r="A26" s="10" t="s">
        <v>952</v>
      </c>
      <c r="B26" s="10" t="s">
        <v>886</v>
      </c>
      <c r="C26" s="10" t="s">
        <v>724</v>
      </c>
      <c r="D26" s="10" t="s">
        <v>666</v>
      </c>
      <c r="E26" s="10" t="s">
        <v>887</v>
      </c>
      <c r="F26" s="15">
        <v>20</v>
      </c>
      <c r="G26" s="10" t="s">
        <v>888</v>
      </c>
      <c r="H26" s="14">
        <v>44929</v>
      </c>
      <c r="I26" s="10">
        <f>COUNTIF(Paper_Reference[[#All],[Item ID]],C26)</f>
        <v>1</v>
      </c>
      <c r="J26" s="12" t="str">
        <f>IFERROR(INDEX(Paper_Reference[Paper Code],MATCH(C26,Paper_Reference[Item ID],0)),"")</f>
        <v>110HA009-4300</v>
      </c>
      <c r="K26" s="12" t="str">
        <f>IFERROR(INDEX(Paper_Reference[Paper Description],MATCH(C26,Paper_Reference[Item ID],0)),"")</f>
        <v>AMF BUTCHER BLOCK</v>
      </c>
      <c r="L26" s="12" t="str">
        <f>IF(I26=2,_xlfn.XLOOKUP(C26,Paper_Reference[Item ID],Paper_Reference[Paper Code],"",0,-1),"")</f>
        <v/>
      </c>
      <c r="M26" s="12" t="str">
        <f>IF(I26=2,_xlfn.XLOOKUP(C26,Paper_Reference[Item ID],Paper_Reference[Paper Description],"",0,-1),"")</f>
        <v/>
      </c>
    </row>
    <row r="27" spans="1:13">
      <c r="A27" s="10" t="s">
        <v>952</v>
      </c>
      <c r="B27" s="10" t="s">
        <v>886</v>
      </c>
      <c r="C27" s="10" t="s">
        <v>727</v>
      </c>
      <c r="D27" s="10" t="s">
        <v>669</v>
      </c>
      <c r="E27" s="10" t="s">
        <v>862</v>
      </c>
      <c r="F27" s="15">
        <v>20</v>
      </c>
      <c r="G27" s="10" t="s">
        <v>888</v>
      </c>
      <c r="H27" s="14">
        <v>44929</v>
      </c>
      <c r="I27" s="10">
        <f>COUNTIF(Paper_Reference[[#All],[Item ID]],C27)</f>
        <v>1</v>
      </c>
      <c r="J27" s="12" t="str">
        <f>IFERROR(INDEX(Paper_Reference[Paper Code],MATCH(C27,Paper_Reference[Item ID],0)),"")</f>
        <v>110HA009-4300</v>
      </c>
      <c r="K27" s="12" t="str">
        <f>IFERROR(INDEX(Paper_Reference[Paper Description],MATCH(C27,Paper_Reference[Item ID],0)),"")</f>
        <v>AMF BUTCHER BLOCK</v>
      </c>
      <c r="L27" s="12" t="str">
        <f>IF(I27=2,_xlfn.XLOOKUP(C27,Paper_Reference[Item ID],Paper_Reference[Paper Code],"",0,-1),"")</f>
        <v/>
      </c>
      <c r="M27" s="12" t="str">
        <f>IF(I27=2,_xlfn.XLOOKUP(C27,Paper_Reference[Item ID],Paper_Reference[Paper Description],"",0,-1),"")</f>
        <v/>
      </c>
    </row>
    <row r="28" spans="1:13">
      <c r="A28" s="10" t="s">
        <v>952</v>
      </c>
      <c r="B28" s="10" t="s">
        <v>886</v>
      </c>
      <c r="C28" s="10" t="s">
        <v>729</v>
      </c>
      <c r="D28" s="10" t="s">
        <v>671</v>
      </c>
      <c r="E28" s="10" t="s">
        <v>889</v>
      </c>
      <c r="F28" s="15">
        <v>20</v>
      </c>
      <c r="G28" s="10" t="s">
        <v>888</v>
      </c>
      <c r="H28" s="14">
        <v>44929</v>
      </c>
      <c r="I28" s="10">
        <f>COUNTIF(Paper_Reference[[#All],[Item ID]],C28)</f>
        <v>1</v>
      </c>
      <c r="J28" s="12" t="str">
        <f>IFERROR(INDEX(Paper_Reference[Paper Code],MATCH(C28,Paper_Reference[Item ID],0)),"")</f>
        <v>110HA009-4300</v>
      </c>
      <c r="K28" s="12" t="str">
        <f>IFERROR(INDEX(Paper_Reference[Paper Description],MATCH(C28,Paper_Reference[Item ID],0)),"")</f>
        <v>AMF BUTCHER BLOCK</v>
      </c>
      <c r="L28" s="12" t="str">
        <f>IF(I28=2,_xlfn.XLOOKUP(C28,Paper_Reference[Item ID],Paper_Reference[Paper Code],"",0,-1),"")</f>
        <v/>
      </c>
      <c r="M28" s="12" t="str">
        <f>IF(I28=2,_xlfn.XLOOKUP(C28,Paper_Reference[Item ID],Paper_Reference[Paper Description],"",0,-1),"")</f>
        <v/>
      </c>
    </row>
    <row r="29" spans="1:13">
      <c r="A29" s="10" t="s">
        <v>952</v>
      </c>
      <c r="B29" s="10" t="s">
        <v>8682</v>
      </c>
      <c r="C29" s="10" t="s">
        <v>732</v>
      </c>
      <c r="D29" s="10" t="s">
        <v>673</v>
      </c>
      <c r="E29" s="10" t="s">
        <v>821</v>
      </c>
      <c r="F29" s="15">
        <v>20</v>
      </c>
      <c r="G29" s="10" t="s">
        <v>8683</v>
      </c>
      <c r="H29" s="14">
        <v>44929</v>
      </c>
      <c r="I29" s="10">
        <f>COUNTIF(Paper_Reference[[#All],[Item ID]],C29)</f>
        <v>1</v>
      </c>
      <c r="J29" s="12" t="str">
        <f>IFERROR(INDEX(Paper_Reference[Paper Code],MATCH(C29,Paper_Reference[Item ID],0)),"")</f>
        <v>110HA009-4300</v>
      </c>
      <c r="K29" s="12" t="str">
        <f>IFERROR(INDEX(Paper_Reference[Paper Description],MATCH(C29,Paper_Reference[Item ID],0)),"")</f>
        <v>AMF BUTCHER BLOCK</v>
      </c>
      <c r="L29" s="12" t="str">
        <f>IF(I29=2,_xlfn.XLOOKUP(C29,Paper_Reference[Item ID],Paper_Reference[Paper Code],"",0,-1),"")</f>
        <v/>
      </c>
      <c r="M29" s="12" t="str">
        <f>IF(I29=2,_xlfn.XLOOKUP(C29,Paper_Reference[Item ID],Paper_Reference[Paper Description],"",0,-1),"")</f>
        <v/>
      </c>
    </row>
    <row r="30" spans="1:13">
      <c r="A30" s="10" t="s">
        <v>952</v>
      </c>
      <c r="B30" s="10" t="s">
        <v>890</v>
      </c>
      <c r="C30" s="10" t="s">
        <v>891</v>
      </c>
      <c r="D30" s="10" t="s">
        <v>892</v>
      </c>
      <c r="E30" s="10" t="s">
        <v>893</v>
      </c>
      <c r="F30" s="15">
        <v>16</v>
      </c>
      <c r="G30" s="10" t="s">
        <v>894</v>
      </c>
      <c r="H30" s="14">
        <v>44935</v>
      </c>
      <c r="I30" s="10">
        <f>COUNTIF(Paper_Reference[[#All],[Item ID]],C30)</f>
        <v>1</v>
      </c>
      <c r="J30" s="12" t="str">
        <f>IFERROR(INDEX(Paper_Reference[Paper Code],MATCH(C30,Paper_Reference[Item ID],0)),"")</f>
        <v>10000020-6200</v>
      </c>
      <c r="K30" s="12" t="str">
        <f>IFERROR(INDEX(Paper_Reference[Paper Description],MATCH(C30,Paper_Reference[Item ID],0)),"")</f>
        <v>Premium Inkjet MPK 9653</v>
      </c>
      <c r="L30" s="12" t="str">
        <f>IF(I30=2,_xlfn.XLOOKUP(C30,Paper_Reference[Item ID],Paper_Reference[Paper Code],"",0,-1),"")</f>
        <v/>
      </c>
      <c r="M30" s="12" t="str">
        <f>IF(I30=2,_xlfn.XLOOKUP(C30,Paper_Reference[Item ID],Paper_Reference[Paper Description],"",0,-1),"")</f>
        <v/>
      </c>
    </row>
    <row r="31" spans="1:13">
      <c r="A31" s="10" t="s">
        <v>952</v>
      </c>
      <c r="B31" s="10" t="s">
        <v>890</v>
      </c>
      <c r="C31" s="10" t="s">
        <v>895</v>
      </c>
      <c r="D31" s="10" t="s">
        <v>896</v>
      </c>
      <c r="E31" s="10" t="s">
        <v>897</v>
      </c>
      <c r="F31" s="15">
        <v>3</v>
      </c>
      <c r="G31" s="10" t="s">
        <v>894</v>
      </c>
      <c r="H31" s="14">
        <v>44935</v>
      </c>
      <c r="I31" s="10">
        <f>COUNTIF(Paper_Reference[[#All],[Item ID]],C31)</f>
        <v>1</v>
      </c>
      <c r="J31" s="12" t="str">
        <f>IFERROR(INDEX(Paper_Reference[Paper Code],MATCH(C31,Paper_Reference[Item ID],0)),"")</f>
        <v>10000020-6200</v>
      </c>
      <c r="K31" s="12" t="str">
        <f>IFERROR(INDEX(Paper_Reference[Paper Description],MATCH(C31,Paper_Reference[Item ID],0)),"")</f>
        <v>Premium Inkjet MPK 9653</v>
      </c>
      <c r="L31" s="12" t="str">
        <f>IF(I31=2,_xlfn.XLOOKUP(C31,Paper_Reference[Item ID],Paper_Reference[Paper Code],"",0,-1),"")</f>
        <v/>
      </c>
      <c r="M31" s="12" t="str">
        <f>IF(I31=2,_xlfn.XLOOKUP(C31,Paper_Reference[Item ID],Paper_Reference[Paper Description],"",0,-1),"")</f>
        <v/>
      </c>
    </row>
    <row r="32" spans="1:13">
      <c r="A32" s="10" t="s">
        <v>952</v>
      </c>
      <c r="B32" s="10" t="s">
        <v>890</v>
      </c>
      <c r="C32" s="10" t="s">
        <v>818</v>
      </c>
      <c r="D32" s="10" t="s">
        <v>819</v>
      </c>
      <c r="E32" s="10" t="s">
        <v>820</v>
      </c>
      <c r="F32" s="15">
        <v>4</v>
      </c>
      <c r="G32" s="10" t="s">
        <v>894</v>
      </c>
      <c r="H32" s="14">
        <v>44935</v>
      </c>
      <c r="I32" s="10">
        <f>COUNTIF(Paper_Reference[[#All],[Item ID]],C32)</f>
        <v>1</v>
      </c>
      <c r="J32" s="12" t="str">
        <f>IFERROR(INDEX(Paper_Reference[Paper Code],MATCH(C32,Paper_Reference[Item ID],0)),"")</f>
        <v>100WM531-6200</v>
      </c>
      <c r="K32" s="12" t="str">
        <f>IFERROR(INDEX(Paper_Reference[Paper Description],MATCH(C32,Paper_Reference[Item ID],0)),"")</f>
        <v>OPEN MAPLE LANE (R)</v>
      </c>
      <c r="L32" s="12" t="str">
        <f>IF(I32=2,_xlfn.XLOOKUP(C32,Paper_Reference[Item ID],Paper_Reference[Paper Code],"",0,-1),"")</f>
        <v/>
      </c>
      <c r="M32" s="12" t="str">
        <f>IF(I32=2,_xlfn.XLOOKUP(C32,Paper_Reference[Item ID],Paper_Reference[Paper Description],"",0,-1),"")</f>
        <v/>
      </c>
    </row>
    <row r="33" spans="1:13">
      <c r="A33" s="10" t="s">
        <v>952</v>
      </c>
      <c r="B33" s="10" t="s">
        <v>900</v>
      </c>
      <c r="C33" s="10" t="s">
        <v>435</v>
      </c>
      <c r="D33" s="10" t="s">
        <v>860</v>
      </c>
      <c r="E33" s="10" t="s">
        <v>870</v>
      </c>
      <c r="F33" s="15">
        <v>20</v>
      </c>
      <c r="G33" s="10" t="s">
        <v>901</v>
      </c>
      <c r="H33" s="14">
        <v>44935</v>
      </c>
      <c r="I33" s="10">
        <f>COUNTIF(Paper_Reference[[#All],[Item ID]],C33)</f>
        <v>1</v>
      </c>
      <c r="J33" s="12" t="str">
        <f>IFERROR(INDEX(Paper_Reference[Paper Code],MATCH(C33,Paper_Reference[Item ID],0)),"")</f>
        <v>110WM741-6200</v>
      </c>
      <c r="K33" s="12" t="str">
        <f>IFERROR(INDEX(Paper_Reference[Paper Description],MATCH(C33,Paper_Reference[Item ID],0)),"")</f>
        <v>AMF MAPLE R/E</v>
      </c>
      <c r="L33" s="12" t="str">
        <f>IF(I33=2,_xlfn.XLOOKUP(C33,Paper_Reference[Item ID],Paper_Reference[Paper Code],"",0,-1),"")</f>
        <v/>
      </c>
      <c r="M33" s="12" t="str">
        <f>IF(I33=2,_xlfn.XLOOKUP(C33,Paper_Reference[Item ID],Paper_Reference[Paper Description],"",0,-1),"")</f>
        <v/>
      </c>
    </row>
    <row r="34" spans="1:13">
      <c r="A34" s="10" t="s">
        <v>952</v>
      </c>
      <c r="B34" s="10" t="s">
        <v>900</v>
      </c>
      <c r="C34" s="10" t="s">
        <v>445</v>
      </c>
      <c r="D34" s="10" t="s">
        <v>857</v>
      </c>
      <c r="E34" s="10" t="s">
        <v>868</v>
      </c>
      <c r="F34" s="15">
        <v>20</v>
      </c>
      <c r="G34" s="10" t="s">
        <v>901</v>
      </c>
      <c r="H34" s="14">
        <v>44935</v>
      </c>
      <c r="I34" s="10">
        <f>COUNTIF(Paper_Reference[[#All],[Item ID]],C34)</f>
        <v>1</v>
      </c>
      <c r="J34" s="12" t="str">
        <f>IFERROR(INDEX(Paper_Reference[Paper Code],MATCH(C34,Paper_Reference[Item ID],0)),"")</f>
        <v>110WM742-6200</v>
      </c>
      <c r="K34" s="12" t="str">
        <f>IFERROR(INDEX(Paper_Reference[Paper Description],MATCH(C34,Paper_Reference[Item ID],0)),"")</f>
        <v>AMF MAPLE L/O</v>
      </c>
      <c r="L34" s="12" t="str">
        <f>IF(I34=2,_xlfn.XLOOKUP(C34,Paper_Reference[Item ID],Paper_Reference[Paper Code],"",0,-1),"")</f>
        <v/>
      </c>
      <c r="M34" s="12" t="str">
        <f>IF(I34=2,_xlfn.XLOOKUP(C34,Paper_Reference[Item ID],Paper_Reference[Paper Description],"",0,-1),"")</f>
        <v/>
      </c>
    </row>
    <row r="35" spans="1:13">
      <c r="A35" s="10" t="s">
        <v>952</v>
      </c>
      <c r="B35" s="10" t="s">
        <v>900</v>
      </c>
      <c r="C35" s="10" t="s">
        <v>436</v>
      </c>
      <c r="D35" s="10" t="s">
        <v>873</v>
      </c>
      <c r="E35" s="10" t="s">
        <v>874</v>
      </c>
      <c r="F35" s="15">
        <v>20</v>
      </c>
      <c r="G35" s="10" t="s">
        <v>901</v>
      </c>
      <c r="H35" s="14">
        <v>44935</v>
      </c>
      <c r="I35" s="10">
        <f>COUNTIF(Paper_Reference[[#All],[Item ID]],C35)</f>
        <v>1</v>
      </c>
      <c r="J35" s="12" t="str">
        <f>IFERROR(INDEX(Paper_Reference[Paper Code],MATCH(C35,Paper_Reference[Item ID],0)),"")</f>
        <v>110WM741-6200</v>
      </c>
      <c r="K35" s="12" t="str">
        <f>IFERROR(INDEX(Paper_Reference[Paper Description],MATCH(C35,Paper_Reference[Item ID],0)),"")</f>
        <v>AMF MAPLE R/E</v>
      </c>
      <c r="L35" s="12" t="str">
        <f>IF(I35=2,_xlfn.XLOOKUP(C35,Paper_Reference[Item ID],Paper_Reference[Paper Code],"",0,-1),"")</f>
        <v/>
      </c>
      <c r="M35" s="12" t="str">
        <f>IF(I35=2,_xlfn.XLOOKUP(C35,Paper_Reference[Item ID],Paper_Reference[Paper Description],"",0,-1),"")</f>
        <v/>
      </c>
    </row>
    <row r="36" spans="1:13">
      <c r="A36" s="10" t="s">
        <v>952</v>
      </c>
      <c r="B36" s="10" t="s">
        <v>900</v>
      </c>
      <c r="C36" s="10" t="s">
        <v>446</v>
      </c>
      <c r="D36" s="10" t="s">
        <v>871</v>
      </c>
      <c r="E36" s="10" t="s">
        <v>872</v>
      </c>
      <c r="F36" s="15">
        <v>20</v>
      </c>
      <c r="G36" s="10" t="s">
        <v>901</v>
      </c>
      <c r="H36" s="14">
        <v>44935</v>
      </c>
      <c r="I36" s="10">
        <f>COUNTIF(Paper_Reference[[#All],[Item ID]],C36)</f>
        <v>1</v>
      </c>
      <c r="J36" s="12" t="str">
        <f>IFERROR(INDEX(Paper_Reference[Paper Code],MATCH(C36,Paper_Reference[Item ID],0)),"")</f>
        <v>110WM742-6200</v>
      </c>
      <c r="K36" s="12" t="str">
        <f>IFERROR(INDEX(Paper_Reference[Paper Description],MATCH(C36,Paper_Reference[Item ID],0)),"")</f>
        <v>AMF MAPLE L/O</v>
      </c>
      <c r="L36" s="12" t="str">
        <f>IF(I36=2,_xlfn.XLOOKUP(C36,Paper_Reference[Item ID],Paper_Reference[Paper Code],"",0,-1),"")</f>
        <v/>
      </c>
      <c r="M36" s="12" t="str">
        <f>IF(I36=2,_xlfn.XLOOKUP(C36,Paper_Reference[Item ID],Paper_Reference[Paper Description],"",0,-1),"")</f>
        <v/>
      </c>
    </row>
    <row r="37" spans="1:13">
      <c r="A37" s="10" t="s">
        <v>952</v>
      </c>
      <c r="B37" s="10" t="s">
        <v>900</v>
      </c>
      <c r="C37" s="10" t="s">
        <v>437</v>
      </c>
      <c r="D37" s="10" t="s">
        <v>902</v>
      </c>
      <c r="E37" s="10" t="s">
        <v>903</v>
      </c>
      <c r="F37" s="15">
        <v>20</v>
      </c>
      <c r="G37" s="10" t="s">
        <v>901</v>
      </c>
      <c r="H37" s="14">
        <v>44935</v>
      </c>
      <c r="I37" s="10">
        <f>COUNTIF(Paper_Reference[[#All],[Item ID]],C37)</f>
        <v>1</v>
      </c>
      <c r="J37" s="12" t="str">
        <f>IFERROR(INDEX(Paper_Reference[Paper Code],MATCH(C37,Paper_Reference[Item ID],0)),"")</f>
        <v>110WM741-6200</v>
      </c>
      <c r="K37" s="12" t="str">
        <f>IFERROR(INDEX(Paper_Reference[Paper Description],MATCH(C37,Paper_Reference[Item ID],0)),"")</f>
        <v>AMF MAPLE R/E</v>
      </c>
      <c r="L37" s="12" t="str">
        <f>IF(I37=2,_xlfn.XLOOKUP(C37,Paper_Reference[Item ID],Paper_Reference[Paper Code],"",0,-1),"")</f>
        <v/>
      </c>
      <c r="M37" s="12" t="str">
        <f>IF(I37=2,_xlfn.XLOOKUP(C37,Paper_Reference[Item ID],Paper_Reference[Paper Description],"",0,-1),"")</f>
        <v/>
      </c>
    </row>
    <row r="38" spans="1:13">
      <c r="A38" s="10" t="s">
        <v>952</v>
      </c>
      <c r="B38" s="10" t="s">
        <v>904</v>
      </c>
      <c r="C38" s="10" t="s">
        <v>794</v>
      </c>
      <c r="D38" s="10" t="s">
        <v>712</v>
      </c>
      <c r="E38" s="10" t="s">
        <v>905</v>
      </c>
      <c r="F38" s="15">
        <v>10</v>
      </c>
      <c r="G38" s="10" t="s">
        <v>906</v>
      </c>
      <c r="H38" s="14">
        <v>44935</v>
      </c>
      <c r="I38" s="10">
        <f>COUNTIF(Paper_Reference[[#All],[Item ID]],C38)</f>
        <v>1</v>
      </c>
      <c r="J38" s="12" t="str">
        <f>IFERROR(INDEX(Paper_Reference[Paper Code],MATCH(C38,Paper_Reference[Item ID],0)),"")</f>
        <v>110HA009-4300</v>
      </c>
      <c r="K38" s="12" t="str">
        <f>IFERROR(INDEX(Paper_Reference[Paper Description],MATCH(C38,Paper_Reference[Item ID],0)),"")</f>
        <v>AMF BUTCHER BLOCK</v>
      </c>
      <c r="L38" s="12" t="str">
        <f>IF(I38=2,_xlfn.XLOOKUP(C38,Paper_Reference[Item ID],Paper_Reference[Paper Code],"",0,-1),"")</f>
        <v/>
      </c>
      <c r="M38" s="12" t="str">
        <f>IF(I38=2,_xlfn.XLOOKUP(C38,Paper_Reference[Item ID],Paper_Reference[Paper Description],"",0,-1),"")</f>
        <v/>
      </c>
    </row>
    <row r="39" spans="1:13">
      <c r="A39" s="10" t="s">
        <v>952</v>
      </c>
      <c r="B39" s="10" t="s">
        <v>907</v>
      </c>
      <c r="C39" s="10" t="s">
        <v>908</v>
      </c>
      <c r="D39" s="10" t="s">
        <v>909</v>
      </c>
      <c r="E39" s="10" t="s">
        <v>910</v>
      </c>
      <c r="F39" s="15">
        <v>2</v>
      </c>
      <c r="G39" s="10" t="s">
        <v>911</v>
      </c>
      <c r="H39" s="14">
        <v>44942</v>
      </c>
      <c r="I39" s="10">
        <f>COUNTIF(Paper_Reference[[#All],[Item ID]],C39)</f>
        <v>0</v>
      </c>
      <c r="J39" s="12" t="str">
        <f>IFERROR(INDEX(Paper_Reference[Paper Code],MATCH(C39,Paper_Reference[Item ID],0)),"")</f>
        <v/>
      </c>
      <c r="K39" s="12" t="str">
        <f>IFERROR(INDEX(Paper_Reference[Paper Description],MATCH(C39,Paper_Reference[Item ID],0)),"")</f>
        <v/>
      </c>
      <c r="L39" s="12" t="str">
        <f>IF(I39=2,_xlfn.XLOOKUP(C39,Paper_Reference[Item ID],Paper_Reference[Paper Code],"",0,-1),"")</f>
        <v/>
      </c>
      <c r="M39" s="12" t="str">
        <f>IF(I39=2,_xlfn.XLOOKUP(C39,Paper_Reference[Item ID],Paper_Reference[Paper Description],"",0,-1),"")</f>
        <v/>
      </c>
    </row>
    <row r="40" spans="1:13">
      <c r="A40" s="10" t="s">
        <v>952</v>
      </c>
      <c r="B40" s="10" t="s">
        <v>907</v>
      </c>
      <c r="C40" s="10" t="s">
        <v>912</v>
      </c>
      <c r="D40" s="10" t="s">
        <v>913</v>
      </c>
      <c r="E40" s="10" t="s">
        <v>914</v>
      </c>
      <c r="F40" s="15">
        <v>2</v>
      </c>
      <c r="G40" s="10" t="s">
        <v>911</v>
      </c>
      <c r="H40" s="14">
        <v>44942</v>
      </c>
      <c r="I40" s="10">
        <f>COUNTIF(Paper_Reference[[#All],[Item ID]],C40)</f>
        <v>0</v>
      </c>
      <c r="J40" s="12" t="str">
        <f>IFERROR(INDEX(Paper_Reference[Paper Code],MATCH(C40,Paper_Reference[Item ID],0)),"")</f>
        <v/>
      </c>
      <c r="K40" s="12" t="str">
        <f>IFERROR(INDEX(Paper_Reference[Paper Description],MATCH(C40,Paper_Reference[Item ID],0)),"")</f>
        <v/>
      </c>
      <c r="L40" s="12" t="str">
        <f>IF(I40=2,_xlfn.XLOOKUP(C40,Paper_Reference[Item ID],Paper_Reference[Paper Code],"",0,-1),"")</f>
        <v/>
      </c>
      <c r="M40" s="12" t="str">
        <f>IF(I40=2,_xlfn.XLOOKUP(C40,Paper_Reference[Item ID],Paper_Reference[Paper Description],"",0,-1),"")</f>
        <v/>
      </c>
    </row>
    <row r="41" spans="1:13">
      <c r="A41" s="10" t="s">
        <v>952</v>
      </c>
      <c r="B41" s="10" t="s">
        <v>915</v>
      </c>
      <c r="C41" s="10" t="s">
        <v>716</v>
      </c>
      <c r="D41" s="10" t="s">
        <v>863</v>
      </c>
      <c r="E41" s="10" t="s">
        <v>864</v>
      </c>
      <c r="F41" s="15">
        <v>100</v>
      </c>
      <c r="G41" s="10" t="s">
        <v>917</v>
      </c>
      <c r="H41" s="14">
        <v>44942</v>
      </c>
      <c r="I41" s="10">
        <f>COUNTIF(Paper_Reference[[#All],[Item ID]],C41)</f>
        <v>1</v>
      </c>
      <c r="J41" s="12" t="str">
        <f>IFERROR(INDEX(Paper_Reference[Paper Code],MATCH(C41,Paper_Reference[Item ID],0)),"")</f>
        <v>110HA009-4300</v>
      </c>
      <c r="K41" s="12" t="str">
        <f>IFERROR(INDEX(Paper_Reference[Paper Description],MATCH(C41,Paper_Reference[Item ID],0)),"")</f>
        <v>AMF BUTCHER BLOCK</v>
      </c>
      <c r="L41" s="12" t="str">
        <f>IF(I41=2,_xlfn.XLOOKUP(C41,Paper_Reference[Item ID],Paper_Reference[Paper Code],"",0,-1),"")</f>
        <v/>
      </c>
      <c r="M41" s="12" t="str">
        <f>IF(I41=2,_xlfn.XLOOKUP(C41,Paper_Reference[Item ID],Paper_Reference[Paper Description],"",0,-1),"")</f>
        <v/>
      </c>
    </row>
    <row r="42" spans="1:13">
      <c r="A42" s="10" t="s">
        <v>952</v>
      </c>
      <c r="B42" s="10" t="s">
        <v>915</v>
      </c>
      <c r="C42" s="10" t="s">
        <v>721</v>
      </c>
      <c r="D42" s="10" t="s">
        <v>663</v>
      </c>
      <c r="E42" s="10" t="s">
        <v>916</v>
      </c>
      <c r="F42" s="15">
        <v>60</v>
      </c>
      <c r="G42" s="10" t="s">
        <v>917</v>
      </c>
      <c r="H42" s="14">
        <v>44942</v>
      </c>
      <c r="I42" s="10">
        <f>COUNTIF(Paper_Reference[[#All],[Item ID]],C42)</f>
        <v>1</v>
      </c>
      <c r="J42" s="12" t="str">
        <f>IFERROR(INDEX(Paper_Reference[Paper Code],MATCH(C42,Paper_Reference[Item ID],0)),"")</f>
        <v>110HA009-4300</v>
      </c>
      <c r="K42" s="12" t="str">
        <f>IFERROR(INDEX(Paper_Reference[Paper Description],MATCH(C42,Paper_Reference[Item ID],0)),"")</f>
        <v>AMF BUTCHER BLOCK</v>
      </c>
      <c r="L42" s="12" t="str">
        <f>IF(I42=2,_xlfn.XLOOKUP(C42,Paper_Reference[Item ID],Paper_Reference[Paper Code],"",0,-1),"")</f>
        <v/>
      </c>
      <c r="M42" s="12" t="str">
        <f>IF(I42=2,_xlfn.XLOOKUP(C42,Paper_Reference[Item ID],Paper_Reference[Paper Description],"",0,-1),"")</f>
        <v/>
      </c>
    </row>
    <row r="43" spans="1:13">
      <c r="A43" s="10" t="s">
        <v>952</v>
      </c>
      <c r="B43" s="10" t="s">
        <v>915</v>
      </c>
      <c r="C43" s="10" t="s">
        <v>727</v>
      </c>
      <c r="D43" s="10" t="s">
        <v>669</v>
      </c>
      <c r="E43" s="10" t="s">
        <v>862</v>
      </c>
      <c r="F43" s="15">
        <v>20</v>
      </c>
      <c r="G43" s="10" t="s">
        <v>917</v>
      </c>
      <c r="H43" s="14">
        <v>44942</v>
      </c>
      <c r="I43" s="10">
        <f>COUNTIF(Paper_Reference[[#All],[Item ID]],C43)</f>
        <v>1</v>
      </c>
      <c r="J43" s="12" t="str">
        <f>IFERROR(INDEX(Paper_Reference[Paper Code],MATCH(C43,Paper_Reference[Item ID],0)),"")</f>
        <v>110HA009-4300</v>
      </c>
      <c r="K43" s="12" t="str">
        <f>IFERROR(INDEX(Paper_Reference[Paper Description],MATCH(C43,Paper_Reference[Item ID],0)),"")</f>
        <v>AMF BUTCHER BLOCK</v>
      </c>
      <c r="L43" s="12" t="str">
        <f>IF(I43=2,_xlfn.XLOOKUP(C43,Paper_Reference[Item ID],Paper_Reference[Paper Code],"",0,-1),"")</f>
        <v/>
      </c>
      <c r="M43" s="12" t="str">
        <f>IF(I43=2,_xlfn.XLOOKUP(C43,Paper_Reference[Item ID],Paper_Reference[Paper Description],"",0,-1),"")</f>
        <v/>
      </c>
    </row>
    <row r="44" spans="1:13">
      <c r="A44" s="10" t="s">
        <v>952</v>
      </c>
      <c r="B44" s="10" t="s">
        <v>915</v>
      </c>
      <c r="C44" s="10" t="s">
        <v>732</v>
      </c>
      <c r="D44" s="10" t="s">
        <v>673</v>
      </c>
      <c r="E44" s="10" t="s">
        <v>821</v>
      </c>
      <c r="F44" s="15">
        <v>20</v>
      </c>
      <c r="G44" s="10" t="s">
        <v>917</v>
      </c>
      <c r="H44" s="14">
        <v>44942</v>
      </c>
      <c r="I44" s="10">
        <f>COUNTIF(Paper_Reference[[#All],[Item ID]],C44)</f>
        <v>1</v>
      </c>
      <c r="J44" s="12" t="str">
        <f>IFERROR(INDEX(Paper_Reference[Paper Code],MATCH(C44,Paper_Reference[Item ID],0)),"")</f>
        <v>110HA009-4300</v>
      </c>
      <c r="K44" s="12" t="str">
        <f>IFERROR(INDEX(Paper_Reference[Paper Description],MATCH(C44,Paper_Reference[Item ID],0)),"")</f>
        <v>AMF BUTCHER BLOCK</v>
      </c>
      <c r="L44" s="12" t="str">
        <f>IF(I44=2,_xlfn.XLOOKUP(C44,Paper_Reference[Item ID],Paper_Reference[Paper Code],"",0,-1),"")</f>
        <v/>
      </c>
      <c r="M44" s="12" t="str">
        <f>IF(I44=2,_xlfn.XLOOKUP(C44,Paper_Reference[Item ID],Paper_Reference[Paper Description],"",0,-1),"")</f>
        <v/>
      </c>
    </row>
    <row r="45" spans="1:13">
      <c r="A45" s="10" t="s">
        <v>952</v>
      </c>
      <c r="B45" s="10" t="s">
        <v>918</v>
      </c>
      <c r="C45" s="10" t="s">
        <v>430</v>
      </c>
      <c r="D45" s="10" t="s">
        <v>847</v>
      </c>
      <c r="E45" s="10" t="s">
        <v>848</v>
      </c>
      <c r="F45" s="15">
        <v>40</v>
      </c>
      <c r="G45" s="10" t="s">
        <v>919</v>
      </c>
      <c r="H45" s="14">
        <v>44942</v>
      </c>
      <c r="I45" s="10">
        <f>COUNTIF(Paper_Reference[[#All],[Item ID]],C45)</f>
        <v>1</v>
      </c>
      <c r="J45" s="12" t="str">
        <f>IFERROR(INDEX(Paper_Reference[Paper Code],MATCH(C45,Paper_Reference[Item ID],0)),"")</f>
        <v>110WM741-6200</v>
      </c>
      <c r="K45" s="12" t="str">
        <f>IFERROR(INDEX(Paper_Reference[Paper Description],MATCH(C45,Paper_Reference[Item ID],0)),"")</f>
        <v>AMF MAPLE R/E</v>
      </c>
      <c r="L45" s="12" t="str">
        <f>IF(I45=2,_xlfn.XLOOKUP(C45,Paper_Reference[Item ID],Paper_Reference[Paper Code],"",0,-1),"")</f>
        <v/>
      </c>
      <c r="M45" s="12" t="str">
        <f>IF(I45=2,_xlfn.XLOOKUP(C45,Paper_Reference[Item ID],Paper_Reference[Paper Description],"",0,-1),"")</f>
        <v/>
      </c>
    </row>
    <row r="46" spans="1:13">
      <c r="A46" s="10" t="s">
        <v>952</v>
      </c>
      <c r="B46" s="10" t="s">
        <v>918</v>
      </c>
      <c r="C46" s="10" t="s">
        <v>443</v>
      </c>
      <c r="D46" s="10" t="s">
        <v>844</v>
      </c>
      <c r="E46" s="10" t="s">
        <v>845</v>
      </c>
      <c r="F46" s="15">
        <v>40</v>
      </c>
      <c r="G46" s="10" t="s">
        <v>919</v>
      </c>
      <c r="H46" s="14">
        <v>44942</v>
      </c>
      <c r="I46" s="10">
        <f>COUNTIF(Paper_Reference[[#All],[Item ID]],C46)</f>
        <v>1</v>
      </c>
      <c r="J46" s="12" t="str">
        <f>IFERROR(INDEX(Paper_Reference[Paper Code],MATCH(C46,Paper_Reference[Item ID],0)),"")</f>
        <v>110WM742-6200</v>
      </c>
      <c r="K46" s="12" t="str">
        <f>IFERROR(INDEX(Paper_Reference[Paper Description],MATCH(C46,Paper_Reference[Item ID],0)),"")</f>
        <v>AMF MAPLE L/O</v>
      </c>
      <c r="L46" s="12" t="str">
        <f>IF(I46=2,_xlfn.XLOOKUP(C46,Paper_Reference[Item ID],Paper_Reference[Paper Code],"",0,-1),"")</f>
        <v/>
      </c>
      <c r="M46" s="12" t="str">
        <f>IF(I46=2,_xlfn.XLOOKUP(C46,Paper_Reference[Item ID],Paper_Reference[Paper Description],"",0,-1),"")</f>
        <v/>
      </c>
    </row>
    <row r="47" spans="1:13">
      <c r="A47" s="10" t="s">
        <v>952</v>
      </c>
      <c r="B47" s="10" t="s">
        <v>918</v>
      </c>
      <c r="C47" s="10" t="s">
        <v>433</v>
      </c>
      <c r="D47" s="10" t="s">
        <v>824</v>
      </c>
      <c r="E47" s="10" t="s">
        <v>825</v>
      </c>
      <c r="F47" s="15">
        <v>20</v>
      </c>
      <c r="G47" s="10" t="s">
        <v>919</v>
      </c>
      <c r="H47" s="14">
        <v>44942</v>
      </c>
      <c r="I47" s="10">
        <f>COUNTIF(Paper_Reference[[#All],[Item ID]],C47)</f>
        <v>1</v>
      </c>
      <c r="J47" s="12" t="str">
        <f>IFERROR(INDEX(Paper_Reference[Paper Code],MATCH(C47,Paper_Reference[Item ID],0)),"")</f>
        <v>110WM741-6200</v>
      </c>
      <c r="K47" s="12" t="str">
        <f>IFERROR(INDEX(Paper_Reference[Paper Description],MATCH(C47,Paper_Reference[Item ID],0)),"")</f>
        <v>AMF MAPLE R/E</v>
      </c>
      <c r="L47" s="12" t="str">
        <f>IF(I47=2,_xlfn.XLOOKUP(C47,Paper_Reference[Item ID],Paper_Reference[Paper Code],"",0,-1),"")</f>
        <v/>
      </c>
      <c r="M47" s="12" t="str">
        <f>IF(I47=2,_xlfn.XLOOKUP(C47,Paper_Reference[Item ID],Paper_Reference[Paper Description],"",0,-1),"")</f>
        <v/>
      </c>
    </row>
    <row r="48" spans="1:13">
      <c r="A48" s="10" t="s">
        <v>952</v>
      </c>
      <c r="B48" s="10" t="s">
        <v>918</v>
      </c>
      <c r="C48" s="10" t="s">
        <v>444</v>
      </c>
      <c r="D48" s="10" t="s">
        <v>920</v>
      </c>
      <c r="E48" s="10" t="s">
        <v>921</v>
      </c>
      <c r="F48" s="15">
        <v>20</v>
      </c>
      <c r="G48" s="10" t="s">
        <v>919</v>
      </c>
      <c r="H48" s="14">
        <v>44942</v>
      </c>
      <c r="I48" s="10">
        <f>COUNTIF(Paper_Reference[[#All],[Item ID]],C48)</f>
        <v>1</v>
      </c>
      <c r="J48" s="12" t="str">
        <f>IFERROR(INDEX(Paper_Reference[Paper Code],MATCH(C48,Paper_Reference[Item ID],0)),"")</f>
        <v>110WM742-6200</v>
      </c>
      <c r="K48" s="12" t="str">
        <f>IFERROR(INDEX(Paper_Reference[Paper Description],MATCH(C48,Paper_Reference[Item ID],0)),"")</f>
        <v>AMF MAPLE L/O</v>
      </c>
      <c r="L48" s="12" t="str">
        <f>IF(I48=2,_xlfn.XLOOKUP(C48,Paper_Reference[Item ID],Paper_Reference[Paper Code],"",0,-1),"")</f>
        <v/>
      </c>
      <c r="M48" s="12" t="str">
        <f>IF(I48=2,_xlfn.XLOOKUP(C48,Paper_Reference[Item ID],Paper_Reference[Paper Description],"",0,-1),"")</f>
        <v/>
      </c>
    </row>
    <row r="49" spans="1:13">
      <c r="A49" s="10" t="s">
        <v>952</v>
      </c>
      <c r="B49" s="10" t="s">
        <v>918</v>
      </c>
      <c r="C49" s="10" t="s">
        <v>434</v>
      </c>
      <c r="D49" s="10" t="s">
        <v>822</v>
      </c>
      <c r="E49" s="10" t="s">
        <v>823</v>
      </c>
      <c r="F49" s="15">
        <v>20</v>
      </c>
      <c r="G49" s="10" t="s">
        <v>919</v>
      </c>
      <c r="H49" s="14">
        <v>44942</v>
      </c>
      <c r="I49" s="10">
        <f>COUNTIF(Paper_Reference[[#All],[Item ID]],C49)</f>
        <v>1</v>
      </c>
      <c r="J49" s="12" t="str">
        <f>IFERROR(INDEX(Paper_Reference[Paper Code],MATCH(C49,Paper_Reference[Item ID],0)),"")</f>
        <v>110WM741-6200</v>
      </c>
      <c r="K49" s="12" t="str">
        <f>IFERROR(INDEX(Paper_Reference[Paper Description],MATCH(C49,Paper_Reference[Item ID],0)),"")</f>
        <v>AMF MAPLE R/E</v>
      </c>
      <c r="L49" s="12" t="str">
        <f>IF(I49=2,_xlfn.XLOOKUP(C49,Paper_Reference[Item ID],Paper_Reference[Paper Code],"",0,-1),"")</f>
        <v/>
      </c>
      <c r="M49" s="12" t="str">
        <f>IF(I49=2,_xlfn.XLOOKUP(C49,Paper_Reference[Item ID],Paper_Reference[Paper Description],"",0,-1),"")</f>
        <v/>
      </c>
    </row>
    <row r="50" spans="1:13">
      <c r="A50" s="10" t="s">
        <v>952</v>
      </c>
      <c r="B50" s="10" t="s">
        <v>8684</v>
      </c>
      <c r="C50" s="10" t="s">
        <v>716</v>
      </c>
      <c r="D50" s="10" t="s">
        <v>863</v>
      </c>
      <c r="E50" s="10" t="s">
        <v>864</v>
      </c>
      <c r="F50" s="15">
        <v>40</v>
      </c>
      <c r="G50" s="10" t="s">
        <v>8685</v>
      </c>
      <c r="H50" s="14">
        <v>44942</v>
      </c>
      <c r="I50" s="10">
        <f>COUNTIF(Paper_Reference[[#All],[Item ID]],C50)</f>
        <v>1</v>
      </c>
      <c r="J50" s="12" t="str">
        <f>IFERROR(INDEX(Paper_Reference[Paper Code],MATCH(C50,Paper_Reference[Item ID],0)),"")</f>
        <v>110HA009-4300</v>
      </c>
      <c r="K50" s="12" t="str">
        <f>IFERROR(INDEX(Paper_Reference[Paper Description],MATCH(C50,Paper_Reference[Item ID],0)),"")</f>
        <v>AMF BUTCHER BLOCK</v>
      </c>
      <c r="L50" s="12" t="str">
        <f>IF(I50=2,_xlfn.XLOOKUP(C50,Paper_Reference[Item ID],Paper_Reference[Paper Code],"",0,-1),"")</f>
        <v/>
      </c>
      <c r="M50" s="12" t="str">
        <f>IF(I50=2,_xlfn.XLOOKUP(C50,Paper_Reference[Item ID],Paper_Reference[Paper Description],"",0,-1),"")</f>
        <v/>
      </c>
    </row>
    <row r="51" spans="1:13">
      <c r="A51" s="10" t="s">
        <v>952</v>
      </c>
      <c r="B51" s="10" t="s">
        <v>8684</v>
      </c>
      <c r="C51" s="10" t="s">
        <v>727</v>
      </c>
      <c r="D51" s="10" t="s">
        <v>669</v>
      </c>
      <c r="E51" s="10" t="s">
        <v>862</v>
      </c>
      <c r="F51" s="15">
        <v>20</v>
      </c>
      <c r="G51" s="10" t="s">
        <v>8685</v>
      </c>
      <c r="H51" s="14">
        <v>44942</v>
      </c>
      <c r="I51" s="10">
        <f>COUNTIF(Paper_Reference[[#All],[Item ID]],C51)</f>
        <v>1</v>
      </c>
      <c r="J51" s="12" t="str">
        <f>IFERROR(INDEX(Paper_Reference[Paper Code],MATCH(C51,Paper_Reference[Item ID],0)),"")</f>
        <v>110HA009-4300</v>
      </c>
      <c r="K51" s="12" t="str">
        <f>IFERROR(INDEX(Paper_Reference[Paper Description],MATCH(C51,Paper_Reference[Item ID],0)),"")</f>
        <v>AMF BUTCHER BLOCK</v>
      </c>
      <c r="L51" s="12" t="str">
        <f>IF(I51=2,_xlfn.XLOOKUP(C51,Paper_Reference[Item ID],Paper_Reference[Paper Code],"",0,-1),"")</f>
        <v/>
      </c>
      <c r="M51" s="12" t="str">
        <f>IF(I51=2,_xlfn.XLOOKUP(C51,Paper_Reference[Item ID],Paper_Reference[Paper Description],"",0,-1),"")</f>
        <v/>
      </c>
    </row>
    <row r="52" spans="1:13">
      <c r="A52" s="10" t="s">
        <v>952</v>
      </c>
      <c r="B52" s="10" t="s">
        <v>922</v>
      </c>
      <c r="C52" s="10" t="s">
        <v>838</v>
      </c>
      <c r="D52" s="10" t="s">
        <v>839</v>
      </c>
      <c r="E52" s="10" t="s">
        <v>840</v>
      </c>
      <c r="F52" s="15">
        <v>14</v>
      </c>
      <c r="G52" s="10" t="s">
        <v>923</v>
      </c>
      <c r="H52" s="14">
        <v>44949</v>
      </c>
      <c r="I52" s="10">
        <f>COUNTIF(Paper_Reference[[#All],[Item ID]],C52)</f>
        <v>1</v>
      </c>
      <c r="J52" s="12" t="str">
        <f>IFERROR(INDEX(Paper_Reference[Paper Code],MATCH(C52,Paper_Reference[Item ID],0)),"")</f>
        <v>100DS064-6200</v>
      </c>
      <c r="K52" s="12" t="str">
        <f>IFERROR(INDEX(Paper_Reference[Paper Description],MATCH(C52,Paper_Reference[Item ID],0)),"")</f>
        <v>BLACK</v>
      </c>
      <c r="L52" s="12" t="str">
        <f>IF(I52=2,_xlfn.XLOOKUP(C52,Paper_Reference[Item ID],Paper_Reference[Paper Code],"",0,-1),"")</f>
        <v/>
      </c>
      <c r="M52" s="12" t="str">
        <f>IF(I52=2,_xlfn.XLOOKUP(C52,Paper_Reference[Item ID],Paper_Reference[Paper Description],"",0,-1),"")</f>
        <v/>
      </c>
    </row>
    <row r="53" spans="1:13">
      <c r="A53" s="10" t="s">
        <v>952</v>
      </c>
      <c r="B53" s="10" t="s">
        <v>922</v>
      </c>
      <c r="C53" s="10" t="s">
        <v>924</v>
      </c>
      <c r="D53" s="10" t="s">
        <v>925</v>
      </c>
      <c r="E53" s="10" t="s">
        <v>926</v>
      </c>
      <c r="F53" s="15">
        <v>4</v>
      </c>
      <c r="G53" s="10" t="s">
        <v>923</v>
      </c>
      <c r="H53" s="14">
        <v>44949</v>
      </c>
      <c r="I53" s="10">
        <f>COUNTIF(Paper_Reference[[#All],[Item ID]],C53)</f>
        <v>1</v>
      </c>
      <c r="J53" s="12" t="str">
        <f>IFERROR(INDEX(Paper_Reference[Paper Code],MATCH(C53,Paper_Reference[Item ID],0)),"")</f>
        <v>100DS064-6200</v>
      </c>
      <c r="K53" s="12" t="str">
        <f>IFERROR(INDEX(Paper_Reference[Paper Description],MATCH(C53,Paper_Reference[Item ID],0)),"")</f>
        <v>BLACK</v>
      </c>
      <c r="L53" s="12" t="str">
        <f>IF(I53=2,_xlfn.XLOOKUP(C53,Paper_Reference[Item ID],Paper_Reference[Paper Code],"",0,-1),"")</f>
        <v/>
      </c>
      <c r="M53" s="12" t="str">
        <f>IF(I53=2,_xlfn.XLOOKUP(C53,Paper_Reference[Item ID],Paper_Reference[Paper Description],"",0,-1),"")</f>
        <v/>
      </c>
    </row>
    <row r="54" spans="1:13">
      <c r="A54" s="10" t="s">
        <v>952</v>
      </c>
      <c r="B54" s="10" t="s">
        <v>922</v>
      </c>
      <c r="C54" s="10" t="s">
        <v>927</v>
      </c>
      <c r="D54" s="10" t="s">
        <v>928</v>
      </c>
      <c r="E54" s="10" t="s">
        <v>929</v>
      </c>
      <c r="F54" s="15">
        <v>1</v>
      </c>
      <c r="G54" s="10" t="s">
        <v>923</v>
      </c>
      <c r="H54" s="14">
        <v>44949</v>
      </c>
      <c r="I54" s="10">
        <f>COUNTIF(Paper_Reference[[#All],[Item ID]],C54)</f>
        <v>1</v>
      </c>
      <c r="J54" s="12" t="str">
        <f>IFERROR(INDEX(Paper_Reference[Paper Code],MATCH(C54,Paper_Reference[Item ID],0)),"")</f>
        <v>100DS064-6200</v>
      </c>
      <c r="K54" s="12" t="str">
        <f>IFERROR(INDEX(Paper_Reference[Paper Description],MATCH(C54,Paper_Reference[Item ID],0)),"")</f>
        <v>BLACK</v>
      </c>
      <c r="L54" s="12" t="str">
        <f>IF(I54=2,_xlfn.XLOOKUP(C54,Paper_Reference[Item ID],Paper_Reference[Paper Code],"",0,-1),"")</f>
        <v/>
      </c>
      <c r="M54" s="12" t="str">
        <f>IF(I54=2,_xlfn.XLOOKUP(C54,Paper_Reference[Item ID],Paper_Reference[Paper Description],"",0,-1),"")</f>
        <v/>
      </c>
    </row>
    <row r="55" spans="1:13">
      <c r="A55" s="10" t="s">
        <v>952</v>
      </c>
      <c r="B55" s="10" t="s">
        <v>922</v>
      </c>
      <c r="C55" s="10" t="s">
        <v>930</v>
      </c>
      <c r="D55" s="10" t="s">
        <v>931</v>
      </c>
      <c r="E55" s="10" t="s">
        <v>932</v>
      </c>
      <c r="F55" s="15">
        <v>1</v>
      </c>
      <c r="G55" s="10" t="s">
        <v>923</v>
      </c>
      <c r="H55" s="14">
        <v>44949</v>
      </c>
      <c r="I55" s="10">
        <f>COUNTIF(Paper_Reference[[#All],[Item ID]],C55)</f>
        <v>1</v>
      </c>
      <c r="J55" s="12" t="str">
        <f>IFERROR(INDEX(Paper_Reference[Paper Code],MATCH(C55,Paper_Reference[Item ID],0)),"")</f>
        <v>100DS064-6200</v>
      </c>
      <c r="K55" s="12" t="str">
        <f>IFERROR(INDEX(Paper_Reference[Paper Description],MATCH(C55,Paper_Reference[Item ID],0)),"")</f>
        <v>BLACK</v>
      </c>
      <c r="L55" s="12" t="str">
        <f>IF(I55=2,_xlfn.XLOOKUP(C55,Paper_Reference[Item ID],Paper_Reference[Paper Code],"",0,-1),"")</f>
        <v/>
      </c>
      <c r="M55" s="12" t="str">
        <f>IF(I55=2,_xlfn.XLOOKUP(C55,Paper_Reference[Item ID],Paper_Reference[Paper Description],"",0,-1),"")</f>
        <v/>
      </c>
    </row>
    <row r="56" spans="1:13">
      <c r="A56" s="10" t="s">
        <v>952</v>
      </c>
      <c r="B56" s="10" t="s">
        <v>933</v>
      </c>
      <c r="C56" s="10" t="s">
        <v>716</v>
      </c>
      <c r="D56" s="10" t="s">
        <v>863</v>
      </c>
      <c r="E56" s="10" t="s">
        <v>864</v>
      </c>
      <c r="F56" s="15">
        <v>100</v>
      </c>
      <c r="G56" s="10" t="s">
        <v>934</v>
      </c>
      <c r="H56" s="14">
        <v>44949</v>
      </c>
      <c r="I56" s="10">
        <f>COUNTIF(Paper_Reference[[#All],[Item ID]],C56)</f>
        <v>1</v>
      </c>
      <c r="J56" s="12" t="str">
        <f>IFERROR(INDEX(Paper_Reference[Paper Code],MATCH(C56,Paper_Reference[Item ID],0)),"")</f>
        <v>110HA009-4300</v>
      </c>
      <c r="K56" s="12" t="str">
        <f>IFERROR(INDEX(Paper_Reference[Paper Description],MATCH(C56,Paper_Reference[Item ID],0)),"")</f>
        <v>AMF BUTCHER BLOCK</v>
      </c>
      <c r="L56" s="12" t="str">
        <f>IF(I56=2,_xlfn.XLOOKUP(C56,Paper_Reference[Item ID],Paper_Reference[Paper Code],"",0,-1),"")</f>
        <v/>
      </c>
      <c r="M56" s="12" t="str">
        <f>IF(I56=2,_xlfn.XLOOKUP(C56,Paper_Reference[Item ID],Paper_Reference[Paper Description],"",0,-1),"")</f>
        <v/>
      </c>
    </row>
    <row r="57" spans="1:13">
      <c r="A57" s="10" t="s">
        <v>952</v>
      </c>
      <c r="B57" s="10" t="s">
        <v>933</v>
      </c>
      <c r="C57" s="10" t="s">
        <v>721</v>
      </c>
      <c r="D57" s="10" t="s">
        <v>663</v>
      </c>
      <c r="E57" s="10" t="s">
        <v>916</v>
      </c>
      <c r="F57" s="15">
        <v>20</v>
      </c>
      <c r="G57" s="10" t="s">
        <v>934</v>
      </c>
      <c r="H57" s="14">
        <v>44949</v>
      </c>
      <c r="I57" s="10">
        <f>COUNTIF(Paper_Reference[[#All],[Item ID]],C57)</f>
        <v>1</v>
      </c>
      <c r="J57" s="12" t="str">
        <f>IFERROR(INDEX(Paper_Reference[Paper Code],MATCH(C57,Paper_Reference[Item ID],0)),"")</f>
        <v>110HA009-4300</v>
      </c>
      <c r="K57" s="12" t="str">
        <f>IFERROR(INDEX(Paper_Reference[Paper Description],MATCH(C57,Paper_Reference[Item ID],0)),"")</f>
        <v>AMF BUTCHER BLOCK</v>
      </c>
      <c r="L57" s="12" t="str">
        <f>IF(I57=2,_xlfn.XLOOKUP(C57,Paper_Reference[Item ID],Paper_Reference[Paper Code],"",0,-1),"")</f>
        <v/>
      </c>
      <c r="M57" s="12" t="str">
        <f>IF(I57=2,_xlfn.XLOOKUP(C57,Paper_Reference[Item ID],Paper_Reference[Paper Description],"",0,-1),"")</f>
        <v/>
      </c>
    </row>
    <row r="58" spans="1:13">
      <c r="A58" s="10" t="s">
        <v>952</v>
      </c>
      <c r="B58" s="10" t="s">
        <v>933</v>
      </c>
      <c r="C58" s="10" t="s">
        <v>434</v>
      </c>
      <c r="D58" s="10" t="s">
        <v>822</v>
      </c>
      <c r="E58" s="10" t="s">
        <v>823</v>
      </c>
      <c r="F58" s="15">
        <v>20</v>
      </c>
      <c r="G58" s="10" t="s">
        <v>934</v>
      </c>
      <c r="H58" s="14">
        <v>44949</v>
      </c>
      <c r="I58" s="10">
        <f>COUNTIF(Paper_Reference[[#All],[Item ID]],C58)</f>
        <v>1</v>
      </c>
      <c r="J58" s="12" t="str">
        <f>IFERROR(INDEX(Paper_Reference[Paper Code],MATCH(C58,Paper_Reference[Item ID],0)),"")</f>
        <v>110WM741-6200</v>
      </c>
      <c r="K58" s="12" t="str">
        <f>IFERROR(INDEX(Paper_Reference[Paper Description],MATCH(C58,Paper_Reference[Item ID],0)),"")</f>
        <v>AMF MAPLE R/E</v>
      </c>
      <c r="L58" s="12" t="str">
        <f>IF(I58=2,_xlfn.XLOOKUP(C58,Paper_Reference[Item ID],Paper_Reference[Paper Code],"",0,-1),"")</f>
        <v/>
      </c>
      <c r="M58" s="12" t="str">
        <f>IF(I58=2,_xlfn.XLOOKUP(C58,Paper_Reference[Item ID],Paper_Reference[Paper Description],"",0,-1),"")</f>
        <v/>
      </c>
    </row>
    <row r="59" spans="1:13">
      <c r="A59" s="10" t="s">
        <v>952</v>
      </c>
      <c r="B59" s="10" t="s">
        <v>933</v>
      </c>
      <c r="C59" s="10" t="s">
        <v>727</v>
      </c>
      <c r="D59" s="10" t="s">
        <v>669</v>
      </c>
      <c r="E59" s="10" t="s">
        <v>862</v>
      </c>
      <c r="F59" s="15">
        <v>40</v>
      </c>
      <c r="G59" s="10" t="s">
        <v>934</v>
      </c>
      <c r="H59" s="14">
        <v>44949</v>
      </c>
      <c r="I59" s="10">
        <f>COUNTIF(Paper_Reference[[#All],[Item ID]],C59)</f>
        <v>1</v>
      </c>
      <c r="J59" s="12" t="str">
        <f>IFERROR(INDEX(Paper_Reference[Paper Code],MATCH(C59,Paper_Reference[Item ID],0)),"")</f>
        <v>110HA009-4300</v>
      </c>
      <c r="K59" s="12" t="str">
        <f>IFERROR(INDEX(Paper_Reference[Paper Description],MATCH(C59,Paper_Reference[Item ID],0)),"")</f>
        <v>AMF BUTCHER BLOCK</v>
      </c>
      <c r="L59" s="12" t="str">
        <f>IF(I59=2,_xlfn.XLOOKUP(C59,Paper_Reference[Item ID],Paper_Reference[Paper Code],"",0,-1),"")</f>
        <v/>
      </c>
      <c r="M59" s="12" t="str">
        <f>IF(I59=2,_xlfn.XLOOKUP(C59,Paper_Reference[Item ID],Paper_Reference[Paper Description],"",0,-1),"")</f>
        <v/>
      </c>
    </row>
    <row r="60" spans="1:13">
      <c r="A60" s="10" t="s">
        <v>952</v>
      </c>
      <c r="B60" s="10" t="s">
        <v>933</v>
      </c>
      <c r="C60" s="10" t="s">
        <v>732</v>
      </c>
      <c r="D60" s="10" t="s">
        <v>673</v>
      </c>
      <c r="E60" s="10" t="s">
        <v>821</v>
      </c>
      <c r="F60" s="15">
        <v>40</v>
      </c>
      <c r="G60" s="10" t="s">
        <v>934</v>
      </c>
      <c r="H60" s="14">
        <v>44949</v>
      </c>
      <c r="I60" s="10">
        <f>COUNTIF(Paper_Reference[[#All],[Item ID]],C60)</f>
        <v>1</v>
      </c>
      <c r="J60" s="12" t="str">
        <f>IFERROR(INDEX(Paper_Reference[Paper Code],MATCH(C60,Paper_Reference[Item ID],0)),"")</f>
        <v>110HA009-4300</v>
      </c>
      <c r="K60" s="12" t="str">
        <f>IFERROR(INDEX(Paper_Reference[Paper Description],MATCH(C60,Paper_Reference[Item ID],0)),"")</f>
        <v>AMF BUTCHER BLOCK</v>
      </c>
      <c r="L60" s="12" t="str">
        <f>IF(I60=2,_xlfn.XLOOKUP(C60,Paper_Reference[Item ID],Paper_Reference[Paper Code],"",0,-1),"")</f>
        <v/>
      </c>
      <c r="M60" s="12" t="str">
        <f>IF(I60=2,_xlfn.XLOOKUP(C60,Paper_Reference[Item ID],Paper_Reference[Paper Description],"",0,-1),"")</f>
        <v/>
      </c>
    </row>
    <row r="61" spans="1:13">
      <c r="A61" s="10" t="s">
        <v>952</v>
      </c>
      <c r="B61" s="10" t="s">
        <v>935</v>
      </c>
      <c r="C61" s="10" t="s">
        <v>435</v>
      </c>
      <c r="D61" s="10" t="s">
        <v>860</v>
      </c>
      <c r="E61" s="10" t="s">
        <v>870</v>
      </c>
      <c r="F61" s="15">
        <v>20</v>
      </c>
      <c r="G61" s="10" t="s">
        <v>936</v>
      </c>
      <c r="H61" s="14">
        <v>44949</v>
      </c>
      <c r="I61" s="10">
        <f>COUNTIF(Paper_Reference[[#All],[Item ID]],C61)</f>
        <v>1</v>
      </c>
      <c r="J61" s="12" t="str">
        <f>IFERROR(INDEX(Paper_Reference[Paper Code],MATCH(C61,Paper_Reference[Item ID],0)),"")</f>
        <v>110WM741-6200</v>
      </c>
      <c r="K61" s="12" t="str">
        <f>IFERROR(INDEX(Paper_Reference[Paper Description],MATCH(C61,Paper_Reference[Item ID],0)),"")</f>
        <v>AMF MAPLE R/E</v>
      </c>
      <c r="L61" s="12" t="str">
        <f>IF(I61=2,_xlfn.XLOOKUP(C61,Paper_Reference[Item ID],Paper_Reference[Paper Code],"",0,-1),"")</f>
        <v/>
      </c>
      <c r="M61" s="12" t="str">
        <f>IF(I61=2,_xlfn.XLOOKUP(C61,Paper_Reference[Item ID],Paper_Reference[Paper Description],"",0,-1),"")</f>
        <v/>
      </c>
    </row>
    <row r="62" spans="1:13">
      <c r="A62" s="10" t="s">
        <v>952</v>
      </c>
      <c r="B62" s="10" t="s">
        <v>935</v>
      </c>
      <c r="C62" s="10" t="s">
        <v>445</v>
      </c>
      <c r="D62" s="10" t="s">
        <v>857</v>
      </c>
      <c r="E62" s="10" t="s">
        <v>868</v>
      </c>
      <c r="F62" s="15">
        <v>20</v>
      </c>
      <c r="G62" s="10" t="s">
        <v>936</v>
      </c>
      <c r="H62" s="14">
        <v>44949</v>
      </c>
      <c r="I62" s="10">
        <f>COUNTIF(Paper_Reference[[#All],[Item ID]],C62)</f>
        <v>1</v>
      </c>
      <c r="J62" s="12" t="str">
        <f>IFERROR(INDEX(Paper_Reference[Paper Code],MATCH(C62,Paper_Reference[Item ID],0)),"")</f>
        <v>110WM742-6200</v>
      </c>
      <c r="K62" s="12" t="str">
        <f>IFERROR(INDEX(Paper_Reference[Paper Description],MATCH(C62,Paper_Reference[Item ID],0)),"")</f>
        <v>AMF MAPLE L/O</v>
      </c>
      <c r="L62" s="12" t="str">
        <f>IF(I62=2,_xlfn.XLOOKUP(C62,Paper_Reference[Item ID],Paper_Reference[Paper Code],"",0,-1),"")</f>
        <v/>
      </c>
      <c r="M62" s="12" t="str">
        <f>IF(I62=2,_xlfn.XLOOKUP(C62,Paper_Reference[Item ID],Paper_Reference[Paper Description],"",0,-1),"")</f>
        <v/>
      </c>
    </row>
    <row r="63" spans="1:13">
      <c r="A63" s="10" t="s">
        <v>952</v>
      </c>
      <c r="B63" s="10" t="s">
        <v>937</v>
      </c>
      <c r="C63" s="10" t="s">
        <v>938</v>
      </c>
      <c r="D63" s="10" t="s">
        <v>939</v>
      </c>
      <c r="E63" s="10" t="s">
        <v>940</v>
      </c>
      <c r="F63" s="15">
        <v>20</v>
      </c>
      <c r="G63" s="10" t="s">
        <v>941</v>
      </c>
      <c r="H63" s="14">
        <v>44949</v>
      </c>
      <c r="I63" s="10">
        <f>COUNTIF(Paper_Reference[[#All],[Item ID]],C63)</f>
        <v>1</v>
      </c>
      <c r="J63" s="12" t="str">
        <f>IFERROR(INDEX(Paper_Reference[Paper Code],MATCH(C63,Paper_Reference[Item ID],0)),"")</f>
        <v>110WM742-5000</v>
      </c>
      <c r="K63" s="12" t="str">
        <f>IFERROR(INDEX(Paper_Reference[Paper Description],MATCH(C63,Paper_Reference[Item ID],0)),"")</f>
        <v>AMF MAPLE L/O (CUT DOWN)</v>
      </c>
      <c r="L63" s="12" t="str">
        <f>IF(I63=2,_xlfn.XLOOKUP(C63,Paper_Reference[Item ID],Paper_Reference[Paper Code],"",0,-1),"")</f>
        <v/>
      </c>
      <c r="M63" s="12" t="str">
        <f>IF(I63=2,_xlfn.XLOOKUP(C63,Paper_Reference[Item ID],Paper_Reference[Paper Description],"",0,-1),"")</f>
        <v/>
      </c>
    </row>
    <row r="64" spans="1:13">
      <c r="A64" s="10" t="s">
        <v>952</v>
      </c>
      <c r="B64" s="10" t="s">
        <v>942</v>
      </c>
      <c r="C64" s="10" t="s">
        <v>943</v>
      </c>
      <c r="D64" s="10" t="s">
        <v>944</v>
      </c>
      <c r="E64" s="10" t="s">
        <v>945</v>
      </c>
      <c r="F64" s="15">
        <v>3</v>
      </c>
      <c r="G64" s="10" t="s">
        <v>946</v>
      </c>
      <c r="H64" s="14">
        <v>44956</v>
      </c>
      <c r="I64" s="10">
        <f>COUNTIF(Paper_Reference[[#All],[Item ID]],C64)</f>
        <v>1</v>
      </c>
      <c r="J64" s="12" t="str">
        <f>IFERROR(INDEX(Paper_Reference[Paper Code],MATCH(C64,Paper_Reference[Item ID],0)),"")</f>
        <v>100WW971-6200</v>
      </c>
      <c r="K64" s="12" t="str">
        <f>IFERROR(INDEX(Paper_Reference[Paper Description],MATCH(C64,Paper_Reference[Item ID],0)),"")</f>
        <v>GUN SAVOY WALNUT</v>
      </c>
      <c r="L64" s="12" t="str">
        <f>IF(I64=2,_xlfn.XLOOKUP(C64,Paper_Reference[Item ID],Paper_Reference[Paper Code],"",0,-1),"")</f>
        <v/>
      </c>
      <c r="M64" s="12" t="str">
        <f>IF(I64=2,_xlfn.XLOOKUP(C64,Paper_Reference[Item ID],Paper_Reference[Paper Description],"",0,-1),"")</f>
        <v/>
      </c>
    </row>
    <row r="65" spans="1:13">
      <c r="A65" s="10" t="s">
        <v>952</v>
      </c>
      <c r="B65" s="10" t="s">
        <v>942</v>
      </c>
      <c r="C65" s="10" t="s">
        <v>947</v>
      </c>
      <c r="D65" s="10" t="s">
        <v>948</v>
      </c>
      <c r="E65" s="10" t="s">
        <v>949</v>
      </c>
      <c r="F65" s="15">
        <v>1</v>
      </c>
      <c r="G65" s="10" t="s">
        <v>946</v>
      </c>
      <c r="H65" s="14">
        <v>44956</v>
      </c>
      <c r="I65" s="10">
        <f>COUNTIF(Paper_Reference[[#All],[Item ID]],C65)</f>
        <v>1</v>
      </c>
      <c r="J65" s="12" t="str">
        <f>IFERROR(INDEX(Paper_Reference[Paper Code],MATCH(C65,Paper_Reference[Item ID],0)),"")</f>
        <v>100WW971-6200</v>
      </c>
      <c r="K65" s="12" t="str">
        <f>IFERROR(INDEX(Paper_Reference[Paper Description],MATCH(C65,Paper_Reference[Item ID],0)),"")</f>
        <v>GUN SAVOY WALNUT</v>
      </c>
      <c r="L65" s="12" t="str">
        <f>IF(I65=2,_xlfn.XLOOKUP(C65,Paper_Reference[Item ID],Paper_Reference[Paper Code],"",0,-1),"")</f>
        <v/>
      </c>
      <c r="M65" s="12" t="str">
        <f>IF(I65=2,_xlfn.XLOOKUP(C65,Paper_Reference[Item ID],Paper_Reference[Paper Description],"",0,-1),"")</f>
        <v/>
      </c>
    </row>
    <row r="66" spans="1:13">
      <c r="A66" s="10" t="s">
        <v>952</v>
      </c>
      <c r="B66" s="10" t="s">
        <v>950</v>
      </c>
      <c r="C66" s="10" t="s">
        <v>716</v>
      </c>
      <c r="D66" s="10" t="s">
        <v>863</v>
      </c>
      <c r="E66" s="10" t="s">
        <v>864</v>
      </c>
      <c r="F66" s="15">
        <v>140</v>
      </c>
      <c r="G66" s="10" t="s">
        <v>951</v>
      </c>
      <c r="H66" s="14">
        <v>44956</v>
      </c>
      <c r="I66" s="10">
        <f>COUNTIF(Paper_Reference[[#All],[Item ID]],C66)</f>
        <v>1</v>
      </c>
      <c r="J66" s="12" t="str">
        <f>IFERROR(INDEX(Paper_Reference[Paper Code],MATCH(C66,Paper_Reference[Item ID],0)),"")</f>
        <v>110HA009-4300</v>
      </c>
      <c r="K66" s="12" t="str">
        <f>IFERROR(INDEX(Paper_Reference[Paper Description],MATCH(C66,Paper_Reference[Item ID],0)),"")</f>
        <v>AMF BUTCHER BLOCK</v>
      </c>
      <c r="L66" s="12" t="str">
        <f>IF(I66=2,_xlfn.XLOOKUP(C66,Paper_Reference[Item ID],Paper_Reference[Paper Code],"",0,-1),"")</f>
        <v/>
      </c>
      <c r="M66" s="12" t="str">
        <f>IF(I66=2,_xlfn.XLOOKUP(C66,Paper_Reference[Item ID],Paper_Reference[Paper Description],"",0,-1),"")</f>
        <v/>
      </c>
    </row>
    <row r="67" spans="1:13">
      <c r="A67" s="10" t="s">
        <v>952</v>
      </c>
      <c r="B67" s="10" t="s">
        <v>950</v>
      </c>
      <c r="C67" s="10" t="s">
        <v>721</v>
      </c>
      <c r="D67" s="10" t="s">
        <v>663</v>
      </c>
      <c r="E67" s="10" t="s">
        <v>916</v>
      </c>
      <c r="F67" s="15">
        <v>40</v>
      </c>
      <c r="G67" s="10" t="s">
        <v>951</v>
      </c>
      <c r="H67" s="14">
        <v>44956</v>
      </c>
      <c r="I67" s="10">
        <f>COUNTIF(Paper_Reference[[#All],[Item ID]],C67)</f>
        <v>1</v>
      </c>
      <c r="J67" s="12" t="str">
        <f>IFERROR(INDEX(Paper_Reference[Paper Code],MATCH(C67,Paper_Reference[Item ID],0)),"")</f>
        <v>110HA009-4300</v>
      </c>
      <c r="K67" s="12" t="str">
        <f>IFERROR(INDEX(Paper_Reference[Paper Description],MATCH(C67,Paper_Reference[Item ID],0)),"")</f>
        <v>AMF BUTCHER BLOCK</v>
      </c>
      <c r="L67" s="12" t="str">
        <f>IF(I67=2,_xlfn.XLOOKUP(C67,Paper_Reference[Item ID],Paper_Reference[Paper Code],"",0,-1),"")</f>
        <v/>
      </c>
      <c r="M67" s="12" t="str">
        <f>IF(I67=2,_xlfn.XLOOKUP(C67,Paper_Reference[Item ID],Paper_Reference[Paper Description],"",0,-1),"")</f>
        <v/>
      </c>
    </row>
    <row r="68" spans="1:13">
      <c r="A68" s="10" t="s">
        <v>952</v>
      </c>
      <c r="B68" s="10" t="s">
        <v>950</v>
      </c>
      <c r="C68" s="10" t="s">
        <v>430</v>
      </c>
      <c r="D68" s="10" t="s">
        <v>847</v>
      </c>
      <c r="E68" s="10" t="s">
        <v>848</v>
      </c>
      <c r="F68" s="15">
        <v>40</v>
      </c>
      <c r="G68" s="10" t="s">
        <v>951</v>
      </c>
      <c r="H68" s="14">
        <v>44956</v>
      </c>
      <c r="I68" s="10">
        <f>COUNTIF(Paper_Reference[[#All],[Item ID]],C68)</f>
        <v>1</v>
      </c>
      <c r="J68" s="12" t="str">
        <f>IFERROR(INDEX(Paper_Reference[Paper Code],MATCH(C68,Paper_Reference[Item ID],0)),"")</f>
        <v>110WM741-6200</v>
      </c>
      <c r="K68" s="12" t="str">
        <f>IFERROR(INDEX(Paper_Reference[Paper Description],MATCH(C68,Paper_Reference[Item ID],0)),"")</f>
        <v>AMF MAPLE R/E</v>
      </c>
      <c r="L68" s="12" t="str">
        <f>IF(I68=2,_xlfn.XLOOKUP(C68,Paper_Reference[Item ID],Paper_Reference[Paper Code],"",0,-1),"")</f>
        <v/>
      </c>
      <c r="M68" s="12" t="str">
        <f>IF(I68=2,_xlfn.XLOOKUP(C68,Paper_Reference[Item ID],Paper_Reference[Paper Description],"",0,-1),"")</f>
        <v/>
      </c>
    </row>
    <row r="69" spans="1:13">
      <c r="A69" s="10" t="s">
        <v>952</v>
      </c>
      <c r="B69" s="10" t="s">
        <v>950</v>
      </c>
      <c r="C69" s="10" t="s">
        <v>443</v>
      </c>
      <c r="D69" s="10" t="s">
        <v>844</v>
      </c>
      <c r="E69" s="10" t="s">
        <v>845</v>
      </c>
      <c r="F69" s="15">
        <v>40</v>
      </c>
      <c r="G69" s="10" t="s">
        <v>951</v>
      </c>
      <c r="H69" s="14">
        <v>44956</v>
      </c>
      <c r="I69" s="10">
        <f>COUNTIF(Paper_Reference[[#All],[Item ID]],C69)</f>
        <v>1</v>
      </c>
      <c r="J69" s="12" t="str">
        <f>IFERROR(INDEX(Paper_Reference[Paper Code],MATCH(C69,Paper_Reference[Item ID],0)),"")</f>
        <v>110WM742-6200</v>
      </c>
      <c r="K69" s="12" t="str">
        <f>IFERROR(INDEX(Paper_Reference[Paper Description],MATCH(C69,Paper_Reference[Item ID],0)),"")</f>
        <v>AMF MAPLE L/O</v>
      </c>
      <c r="L69" s="12" t="str">
        <f>IF(I69=2,_xlfn.XLOOKUP(C69,Paper_Reference[Item ID],Paper_Reference[Paper Code],"",0,-1),"")</f>
        <v/>
      </c>
      <c r="M69" s="12" t="str">
        <f>IF(I69=2,_xlfn.XLOOKUP(C69,Paper_Reference[Item ID],Paper_Reference[Paper Description],"",0,-1),"")</f>
        <v/>
      </c>
    </row>
    <row r="70" spans="1:13">
      <c r="A70" s="10" t="s">
        <v>952</v>
      </c>
      <c r="B70" s="10" t="s">
        <v>950</v>
      </c>
      <c r="C70" s="10" t="s">
        <v>433</v>
      </c>
      <c r="D70" s="10" t="s">
        <v>824</v>
      </c>
      <c r="E70" s="10" t="s">
        <v>825</v>
      </c>
      <c r="F70" s="15">
        <v>20</v>
      </c>
      <c r="G70" s="10" t="s">
        <v>951</v>
      </c>
      <c r="H70" s="14">
        <v>44956</v>
      </c>
      <c r="I70" s="10">
        <f>COUNTIF(Paper_Reference[[#All],[Item ID]],C70)</f>
        <v>1</v>
      </c>
      <c r="J70" s="12" t="str">
        <f>IFERROR(INDEX(Paper_Reference[Paper Code],MATCH(C70,Paper_Reference[Item ID],0)),"")</f>
        <v>110WM741-6200</v>
      </c>
      <c r="K70" s="12" t="str">
        <f>IFERROR(INDEX(Paper_Reference[Paper Description],MATCH(C70,Paper_Reference[Item ID],0)),"")</f>
        <v>AMF MAPLE R/E</v>
      </c>
      <c r="L70" s="12" t="str">
        <f>IF(I70=2,_xlfn.XLOOKUP(C70,Paper_Reference[Item ID],Paper_Reference[Paper Code],"",0,-1),"")</f>
        <v/>
      </c>
      <c r="M70" s="12" t="str">
        <f>IF(I70=2,_xlfn.XLOOKUP(C70,Paper_Reference[Item ID],Paper_Reference[Paper Description],"",0,-1),"")</f>
        <v/>
      </c>
    </row>
    <row r="71" spans="1:13">
      <c r="A71" s="10" t="s">
        <v>952</v>
      </c>
      <c r="B71" s="10" t="s">
        <v>950</v>
      </c>
      <c r="C71" s="10" t="s">
        <v>444</v>
      </c>
      <c r="D71" s="10" t="s">
        <v>920</v>
      </c>
      <c r="E71" s="10" t="s">
        <v>921</v>
      </c>
      <c r="F71" s="15">
        <v>20</v>
      </c>
      <c r="G71" s="10" t="s">
        <v>951</v>
      </c>
      <c r="H71" s="14">
        <v>44956</v>
      </c>
      <c r="I71" s="10">
        <f>COUNTIF(Paper_Reference[[#All],[Item ID]],C71)</f>
        <v>1</v>
      </c>
      <c r="J71" s="12" t="str">
        <f>IFERROR(INDEX(Paper_Reference[Paper Code],MATCH(C71,Paper_Reference[Item ID],0)),"")</f>
        <v>110WM742-6200</v>
      </c>
      <c r="K71" s="12" t="str">
        <f>IFERROR(INDEX(Paper_Reference[Paper Description],MATCH(C71,Paper_Reference[Item ID],0)),"")</f>
        <v>AMF MAPLE L/O</v>
      </c>
      <c r="L71" s="12" t="str">
        <f>IF(I71=2,_xlfn.XLOOKUP(C71,Paper_Reference[Item ID],Paper_Reference[Paper Code],"",0,-1),"")</f>
        <v/>
      </c>
      <c r="M71" s="12" t="str">
        <f>IF(I71=2,_xlfn.XLOOKUP(C71,Paper_Reference[Item ID],Paper_Reference[Paper Description],"",0,-1),"")</f>
        <v/>
      </c>
    </row>
    <row r="72" spans="1:13">
      <c r="A72" s="10" t="s">
        <v>952</v>
      </c>
      <c r="B72" s="10" t="s">
        <v>950</v>
      </c>
      <c r="C72" s="10" t="s">
        <v>434</v>
      </c>
      <c r="D72" s="10" t="s">
        <v>822</v>
      </c>
      <c r="E72" s="10" t="s">
        <v>823</v>
      </c>
      <c r="F72" s="15">
        <v>40</v>
      </c>
      <c r="G72" s="10" t="s">
        <v>951</v>
      </c>
      <c r="H72" s="14">
        <v>44956</v>
      </c>
      <c r="I72" s="10">
        <f>COUNTIF(Paper_Reference[[#All],[Item ID]],C72)</f>
        <v>1</v>
      </c>
      <c r="J72" s="12" t="str">
        <f>IFERROR(INDEX(Paper_Reference[Paper Code],MATCH(C72,Paper_Reference[Item ID],0)),"")</f>
        <v>110WM741-6200</v>
      </c>
      <c r="K72" s="12" t="str">
        <f>IFERROR(INDEX(Paper_Reference[Paper Description],MATCH(C72,Paper_Reference[Item ID],0)),"")</f>
        <v>AMF MAPLE R/E</v>
      </c>
      <c r="L72" s="12" t="str">
        <f>IF(I72=2,_xlfn.XLOOKUP(C72,Paper_Reference[Item ID],Paper_Reference[Paper Code],"",0,-1),"")</f>
        <v/>
      </c>
      <c r="M72" s="12" t="str">
        <f>IF(I72=2,_xlfn.XLOOKUP(C72,Paper_Reference[Item ID],Paper_Reference[Paper Description],"",0,-1),"")</f>
        <v/>
      </c>
    </row>
    <row r="73" spans="1:13">
      <c r="A73" s="10" t="s">
        <v>952</v>
      </c>
      <c r="B73" s="10" t="s">
        <v>950</v>
      </c>
      <c r="C73" s="10" t="s">
        <v>727</v>
      </c>
      <c r="D73" s="10" t="s">
        <v>669</v>
      </c>
      <c r="E73" s="10" t="s">
        <v>862</v>
      </c>
      <c r="F73" s="15">
        <v>20</v>
      </c>
      <c r="G73" s="10" t="s">
        <v>951</v>
      </c>
      <c r="H73" s="14">
        <v>44956</v>
      </c>
      <c r="I73" s="10">
        <f>COUNTIF(Paper_Reference[[#All],[Item ID]],C73)</f>
        <v>1</v>
      </c>
      <c r="J73" s="12" t="str">
        <f>IFERROR(INDEX(Paper_Reference[Paper Code],MATCH(C73,Paper_Reference[Item ID],0)),"")</f>
        <v>110HA009-4300</v>
      </c>
      <c r="K73" s="12" t="str">
        <f>IFERROR(INDEX(Paper_Reference[Paper Description],MATCH(C73,Paper_Reference[Item ID],0)),"")</f>
        <v>AMF BUTCHER BLOCK</v>
      </c>
      <c r="L73" s="12" t="str">
        <f>IF(I73=2,_xlfn.XLOOKUP(C73,Paper_Reference[Item ID],Paper_Reference[Paper Code],"",0,-1),"")</f>
        <v/>
      </c>
      <c r="M73" s="12" t="str">
        <f>IF(I73=2,_xlfn.XLOOKUP(C73,Paper_Reference[Item ID],Paper_Reference[Paper Description],"",0,-1),"")</f>
        <v/>
      </c>
    </row>
    <row r="74" spans="1:13">
      <c r="A74" s="10" t="s">
        <v>952</v>
      </c>
      <c r="B74" s="10" t="s">
        <v>950</v>
      </c>
      <c r="C74" s="10" t="s">
        <v>732</v>
      </c>
      <c r="D74" s="10" t="s">
        <v>673</v>
      </c>
      <c r="E74" s="10" t="s">
        <v>821</v>
      </c>
      <c r="F74" s="15">
        <v>20</v>
      </c>
      <c r="G74" s="10" t="s">
        <v>951</v>
      </c>
      <c r="H74" s="14">
        <v>44956</v>
      </c>
      <c r="I74" s="10">
        <f>COUNTIF(Paper_Reference[[#All],[Item ID]],C74)</f>
        <v>1</v>
      </c>
      <c r="J74" s="12" t="str">
        <f>IFERROR(INDEX(Paper_Reference[Paper Code],MATCH(C74,Paper_Reference[Item ID],0)),"")</f>
        <v>110HA009-4300</v>
      </c>
      <c r="K74" s="12" t="str">
        <f>IFERROR(INDEX(Paper_Reference[Paper Description],MATCH(C74,Paper_Reference[Item ID],0)),"")</f>
        <v>AMF BUTCHER BLOCK</v>
      </c>
      <c r="L74" s="12" t="str">
        <f>IF(I74=2,_xlfn.XLOOKUP(C74,Paper_Reference[Item ID],Paper_Reference[Paper Code],"",0,-1),"")</f>
        <v/>
      </c>
      <c r="M74" s="12" t="str">
        <f>IF(I74=2,_xlfn.XLOOKUP(C74,Paper_Reference[Item ID],Paper_Reference[Paper Description],"",0,-1),"")</f>
        <v/>
      </c>
    </row>
    <row r="75" spans="1:13">
      <c r="A75" s="10" t="s">
        <v>952</v>
      </c>
      <c r="B75" s="10" t="s">
        <v>8686</v>
      </c>
      <c r="C75" s="10" t="s">
        <v>716</v>
      </c>
      <c r="D75" s="10" t="s">
        <v>863</v>
      </c>
      <c r="E75" s="10" t="s">
        <v>864</v>
      </c>
      <c r="F75" s="15">
        <v>160</v>
      </c>
      <c r="G75" s="10" t="s">
        <v>8687</v>
      </c>
      <c r="H75" s="14">
        <v>44963</v>
      </c>
      <c r="I75" s="10">
        <f>COUNTIF(Paper_Reference[[#All],[Item ID]],C75)</f>
        <v>1</v>
      </c>
      <c r="J75" s="12" t="str">
        <f>IFERROR(INDEX(Paper_Reference[Paper Code],MATCH(C75,Paper_Reference[Item ID],0)),"")</f>
        <v>110HA009-4300</v>
      </c>
      <c r="K75" s="12" t="str">
        <f>IFERROR(INDEX(Paper_Reference[Paper Description],MATCH(C75,Paper_Reference[Item ID],0)),"")</f>
        <v>AMF BUTCHER BLOCK</v>
      </c>
      <c r="L75" s="12" t="str">
        <f>IF(I75=2,_xlfn.XLOOKUP(C75,Paper_Reference[Item ID],Paper_Reference[Paper Code],"",0,-1),"")</f>
        <v/>
      </c>
      <c r="M75" s="12" t="str">
        <f>IF(I75=2,_xlfn.XLOOKUP(C75,Paper_Reference[Item ID],Paper_Reference[Paper Description],"",0,-1),"")</f>
        <v/>
      </c>
    </row>
    <row r="76" spans="1:13">
      <c r="A76" s="10" t="s">
        <v>952</v>
      </c>
      <c r="B76" s="10" t="s">
        <v>8686</v>
      </c>
      <c r="C76" s="10" t="s">
        <v>721</v>
      </c>
      <c r="D76" s="10" t="s">
        <v>663</v>
      </c>
      <c r="E76" s="10" t="s">
        <v>916</v>
      </c>
      <c r="F76" s="15">
        <v>60</v>
      </c>
      <c r="G76" s="10" t="s">
        <v>8687</v>
      </c>
      <c r="H76" s="14">
        <v>44963</v>
      </c>
      <c r="I76" s="10">
        <f>COUNTIF(Paper_Reference[[#All],[Item ID]],C76)</f>
        <v>1</v>
      </c>
      <c r="J76" s="12" t="str">
        <f>IFERROR(INDEX(Paper_Reference[Paper Code],MATCH(C76,Paper_Reference[Item ID],0)),"")</f>
        <v>110HA009-4300</v>
      </c>
      <c r="K76" s="12" t="str">
        <f>IFERROR(INDEX(Paper_Reference[Paper Description],MATCH(C76,Paper_Reference[Item ID],0)),"")</f>
        <v>AMF BUTCHER BLOCK</v>
      </c>
      <c r="L76" s="12" t="str">
        <f>IF(I76=2,_xlfn.XLOOKUP(C76,Paper_Reference[Item ID],Paper_Reference[Paper Code],"",0,-1),"")</f>
        <v/>
      </c>
      <c r="M76" s="12" t="str">
        <f>IF(I76=2,_xlfn.XLOOKUP(C76,Paper_Reference[Item ID],Paper_Reference[Paper Description],"",0,-1),"")</f>
        <v/>
      </c>
    </row>
    <row r="77" spans="1:13">
      <c r="A77" s="10" t="s">
        <v>952</v>
      </c>
      <c r="B77" s="10" t="s">
        <v>8686</v>
      </c>
      <c r="C77" s="10" t="s">
        <v>727</v>
      </c>
      <c r="D77" s="10" t="s">
        <v>669</v>
      </c>
      <c r="E77" s="10" t="s">
        <v>862</v>
      </c>
      <c r="F77" s="15">
        <v>20</v>
      </c>
      <c r="G77" s="10" t="s">
        <v>8687</v>
      </c>
      <c r="H77" s="14">
        <v>44963</v>
      </c>
      <c r="I77" s="10">
        <f>COUNTIF(Paper_Reference[[#All],[Item ID]],C77)</f>
        <v>1</v>
      </c>
      <c r="J77" s="12" t="str">
        <f>IFERROR(INDEX(Paper_Reference[Paper Code],MATCH(C77,Paper_Reference[Item ID],0)),"")</f>
        <v>110HA009-4300</v>
      </c>
      <c r="K77" s="12" t="str">
        <f>IFERROR(INDEX(Paper_Reference[Paper Description],MATCH(C77,Paper_Reference[Item ID],0)),"")</f>
        <v>AMF BUTCHER BLOCK</v>
      </c>
      <c r="L77" s="12" t="str">
        <f>IF(I77=2,_xlfn.XLOOKUP(C77,Paper_Reference[Item ID],Paper_Reference[Paper Code],"",0,-1),"")</f>
        <v/>
      </c>
      <c r="M77" s="12" t="str">
        <f>IF(I77=2,_xlfn.XLOOKUP(C77,Paper_Reference[Item ID],Paper_Reference[Paper Description],"",0,-1),"")</f>
        <v/>
      </c>
    </row>
    <row r="78" spans="1:13">
      <c r="A78" s="10" t="s">
        <v>952</v>
      </c>
      <c r="B78" s="10" t="s">
        <v>8688</v>
      </c>
      <c r="C78" s="10" t="s">
        <v>943</v>
      </c>
      <c r="D78" s="10" t="s">
        <v>944</v>
      </c>
      <c r="E78" s="10" t="s">
        <v>945</v>
      </c>
      <c r="F78" s="15">
        <v>12</v>
      </c>
      <c r="G78" s="10" t="s">
        <v>8689</v>
      </c>
      <c r="H78" s="14">
        <v>44963</v>
      </c>
      <c r="I78" s="10">
        <f>COUNTIF(Paper_Reference[[#All],[Item ID]],C78)</f>
        <v>1</v>
      </c>
      <c r="J78" s="12" t="str">
        <f>IFERROR(INDEX(Paper_Reference[Paper Code],MATCH(C78,Paper_Reference[Item ID],0)),"")</f>
        <v>100WW971-6200</v>
      </c>
      <c r="K78" s="12" t="str">
        <f>IFERROR(INDEX(Paper_Reference[Paper Description],MATCH(C78,Paper_Reference[Item ID],0)),"")</f>
        <v>GUN SAVOY WALNUT</v>
      </c>
      <c r="L78" s="12" t="str">
        <f>IF(I78=2,_xlfn.XLOOKUP(C78,Paper_Reference[Item ID],Paper_Reference[Paper Code],"",0,-1),"")</f>
        <v/>
      </c>
      <c r="M78" s="12" t="str">
        <f>IF(I78=2,_xlfn.XLOOKUP(C78,Paper_Reference[Item ID],Paper_Reference[Paper Description],"",0,-1),"")</f>
        <v/>
      </c>
    </row>
    <row r="79" spans="1:13">
      <c r="A79" s="10" t="s">
        <v>952</v>
      </c>
      <c r="B79" s="10" t="s">
        <v>8688</v>
      </c>
      <c r="C79" s="10" t="s">
        <v>5660</v>
      </c>
      <c r="D79" s="10" t="s">
        <v>5461</v>
      </c>
      <c r="E79" s="10" t="s">
        <v>8690</v>
      </c>
      <c r="F79" s="15">
        <v>4</v>
      </c>
      <c r="G79" s="10" t="s">
        <v>8689</v>
      </c>
      <c r="H79" s="14">
        <v>44963</v>
      </c>
      <c r="I79" s="10">
        <f>COUNTIF(Paper_Reference[[#All],[Item ID]],C79)</f>
        <v>1</v>
      </c>
      <c r="J79" s="12" t="str">
        <f>IFERROR(INDEX(Paper_Reference[Paper Code],MATCH(C79,Paper_Reference[Item ID],0)),"")</f>
        <v>100WW971-6200</v>
      </c>
      <c r="K79" s="12" t="str">
        <f>IFERROR(INDEX(Paper_Reference[Paper Description],MATCH(C79,Paper_Reference[Item ID],0)),"")</f>
        <v>GUN SAVOY WALNUT</v>
      </c>
      <c r="L79" s="12" t="str">
        <f>IF(I79=2,_xlfn.XLOOKUP(C79,Paper_Reference[Item ID],Paper_Reference[Paper Code],"",0,-1),"")</f>
        <v/>
      </c>
      <c r="M79" s="12" t="str">
        <f>IF(I79=2,_xlfn.XLOOKUP(C79,Paper_Reference[Item ID],Paper_Reference[Paper Description],"",0,-1),"")</f>
        <v/>
      </c>
    </row>
    <row r="80" spans="1:13">
      <c r="A80" s="10" t="s">
        <v>952</v>
      </c>
      <c r="B80" s="10" t="s">
        <v>8691</v>
      </c>
      <c r="C80" s="10" t="s">
        <v>8692</v>
      </c>
      <c r="D80" s="10" t="s">
        <v>8693</v>
      </c>
      <c r="E80" s="10" t="s">
        <v>8694</v>
      </c>
      <c r="F80" s="15">
        <v>11</v>
      </c>
      <c r="G80" s="10" t="s">
        <v>8695</v>
      </c>
      <c r="H80" s="14">
        <v>44963</v>
      </c>
      <c r="I80" s="10">
        <f>COUNTIF(Paper_Reference[[#All],[Item ID]],C80)</f>
        <v>0</v>
      </c>
      <c r="J80" s="12" t="str">
        <f>IFERROR(INDEX(Paper_Reference[Paper Code],MATCH(C80,Paper_Reference[Item ID],0)),"")</f>
        <v/>
      </c>
      <c r="K80" s="12" t="str">
        <f>IFERROR(INDEX(Paper_Reference[Paper Description],MATCH(C80,Paper_Reference[Item ID],0)),"")</f>
        <v/>
      </c>
      <c r="L80" s="12" t="str">
        <f>IF(I80=2,_xlfn.XLOOKUP(C80,Paper_Reference[Item ID],Paper_Reference[Paper Code],"",0,-1),"")</f>
        <v/>
      </c>
      <c r="M80" s="12" t="str">
        <f>IF(I80=2,_xlfn.XLOOKUP(C80,Paper_Reference[Item ID],Paper_Reference[Paper Description],"",0,-1),"")</f>
        <v/>
      </c>
    </row>
    <row r="81" spans="1:13">
      <c r="A81" s="10" t="s">
        <v>952</v>
      </c>
      <c r="B81" s="10" t="s">
        <v>8696</v>
      </c>
      <c r="C81" s="10" t="s">
        <v>8692</v>
      </c>
      <c r="D81" s="10" t="s">
        <v>8693</v>
      </c>
      <c r="E81" s="10" t="s">
        <v>8694</v>
      </c>
      <c r="F81" s="15">
        <v>2</v>
      </c>
      <c r="G81" s="10" t="s">
        <v>8697</v>
      </c>
      <c r="H81" s="14">
        <v>44963</v>
      </c>
      <c r="I81" s="10">
        <f>COUNTIF(Paper_Reference[[#All],[Item ID]],C81)</f>
        <v>0</v>
      </c>
      <c r="J81" s="12" t="str">
        <f>IFERROR(INDEX(Paper_Reference[Paper Code],MATCH(C81,Paper_Reference[Item ID],0)),"")</f>
        <v/>
      </c>
      <c r="K81" s="12" t="str">
        <f>IFERROR(INDEX(Paper_Reference[Paper Description],MATCH(C81,Paper_Reference[Item ID],0)),"")</f>
        <v/>
      </c>
      <c r="L81" s="12" t="str">
        <f>IF(I81=2,_xlfn.XLOOKUP(C81,Paper_Reference[Item ID],Paper_Reference[Paper Code],"",0,-1),"")</f>
        <v/>
      </c>
      <c r="M81" s="12" t="str">
        <f>IF(I81=2,_xlfn.XLOOKUP(C81,Paper_Reference[Item ID],Paper_Reference[Paper Description],"",0,-1),"")</f>
        <v/>
      </c>
    </row>
    <row r="82" spans="1:13">
      <c r="A82" s="10" t="s">
        <v>952</v>
      </c>
      <c r="B82" s="10" t="s">
        <v>8698</v>
      </c>
      <c r="C82" s="10" t="s">
        <v>943</v>
      </c>
      <c r="D82" s="10" t="s">
        <v>944</v>
      </c>
      <c r="E82" s="10" t="s">
        <v>945</v>
      </c>
      <c r="F82" s="15">
        <v>3</v>
      </c>
      <c r="G82" s="10" t="s">
        <v>8699</v>
      </c>
      <c r="H82" s="14">
        <v>44963</v>
      </c>
      <c r="I82" s="10">
        <f>COUNTIF(Paper_Reference[[#All],[Item ID]],C82)</f>
        <v>1</v>
      </c>
      <c r="J82" s="12" t="str">
        <f>IFERROR(INDEX(Paper_Reference[Paper Code],MATCH(C82,Paper_Reference[Item ID],0)),"")</f>
        <v>100WW971-6200</v>
      </c>
      <c r="K82" s="12" t="str">
        <f>IFERROR(INDEX(Paper_Reference[Paper Description],MATCH(C82,Paper_Reference[Item ID],0)),"")</f>
        <v>GUN SAVOY WALNUT</v>
      </c>
      <c r="L82" s="12" t="str">
        <f>IF(I82=2,_xlfn.XLOOKUP(C82,Paper_Reference[Item ID],Paper_Reference[Paper Code],"",0,-1),"")</f>
        <v/>
      </c>
      <c r="M82" s="12" t="str">
        <f>IF(I82=2,_xlfn.XLOOKUP(C82,Paper_Reference[Item ID],Paper_Reference[Paper Description],"",0,-1),"")</f>
        <v/>
      </c>
    </row>
    <row r="83" spans="1:13">
      <c r="A83" s="10" t="s">
        <v>952</v>
      </c>
      <c r="B83" s="10" t="s">
        <v>8698</v>
      </c>
      <c r="C83" s="10" t="s">
        <v>5660</v>
      </c>
      <c r="D83" s="10" t="s">
        <v>5461</v>
      </c>
      <c r="E83" s="10" t="s">
        <v>8690</v>
      </c>
      <c r="F83" s="15">
        <v>2</v>
      </c>
      <c r="G83" s="10" t="s">
        <v>8699</v>
      </c>
      <c r="H83" s="14">
        <v>44963</v>
      </c>
      <c r="I83" s="10">
        <f>COUNTIF(Paper_Reference[[#All],[Item ID]],C83)</f>
        <v>1</v>
      </c>
      <c r="J83" s="12" t="str">
        <f>IFERROR(INDEX(Paper_Reference[Paper Code],MATCH(C83,Paper_Reference[Item ID],0)),"")</f>
        <v>100WW971-6200</v>
      </c>
      <c r="K83" s="12" t="str">
        <f>IFERROR(INDEX(Paper_Reference[Paper Description],MATCH(C83,Paper_Reference[Item ID],0)),"")</f>
        <v>GUN SAVOY WALNUT</v>
      </c>
      <c r="L83" s="12" t="str">
        <f>IF(I83=2,_xlfn.XLOOKUP(C83,Paper_Reference[Item ID],Paper_Reference[Paper Code],"",0,-1),"")</f>
        <v/>
      </c>
      <c r="M83" s="12" t="str">
        <f>IF(I83=2,_xlfn.XLOOKUP(C83,Paper_Reference[Item ID],Paper_Reference[Paper Description],"",0,-1),"")</f>
        <v/>
      </c>
    </row>
    <row r="84" spans="1:13">
      <c r="A84" s="10" t="s">
        <v>952</v>
      </c>
      <c r="B84" s="10" t="s">
        <v>8700</v>
      </c>
      <c r="C84" s="10" t="s">
        <v>732</v>
      </c>
      <c r="D84" s="10" t="s">
        <v>673</v>
      </c>
      <c r="E84" s="10" t="s">
        <v>821</v>
      </c>
      <c r="F84" s="15">
        <v>60</v>
      </c>
      <c r="G84" s="10" t="s">
        <v>8701</v>
      </c>
      <c r="H84" s="14">
        <v>44970</v>
      </c>
      <c r="I84" s="10">
        <f>COUNTIF(Paper_Reference[[#All],[Item ID]],C84)</f>
        <v>1</v>
      </c>
      <c r="J84" s="12" t="str">
        <f>IFERROR(INDEX(Paper_Reference[Paper Code],MATCH(C84,Paper_Reference[Item ID],0)),"")</f>
        <v>110HA009-4300</v>
      </c>
      <c r="K84" s="12" t="str">
        <f>IFERROR(INDEX(Paper_Reference[Paper Description],MATCH(C84,Paper_Reference[Item ID],0)),"")</f>
        <v>AMF BUTCHER BLOCK</v>
      </c>
      <c r="L84" s="12" t="str">
        <f>IF(I84=2,_xlfn.XLOOKUP(C84,Paper_Reference[Item ID],Paper_Reference[Paper Code],"",0,-1),"")</f>
        <v/>
      </c>
      <c r="M84" s="12" t="str">
        <f>IF(I84=2,_xlfn.XLOOKUP(C84,Paper_Reference[Item ID],Paper_Reference[Paper Description],"",0,-1),"")</f>
        <v/>
      </c>
    </row>
    <row r="85" spans="1:13">
      <c r="A85" s="10" t="s">
        <v>952</v>
      </c>
      <c r="B85" s="10" t="s">
        <v>8702</v>
      </c>
      <c r="C85" s="10" t="s">
        <v>716</v>
      </c>
      <c r="D85" s="10" t="s">
        <v>863</v>
      </c>
      <c r="E85" s="10" t="s">
        <v>864</v>
      </c>
      <c r="F85" s="15">
        <v>100</v>
      </c>
      <c r="G85" s="10" t="s">
        <v>8703</v>
      </c>
      <c r="H85" s="14">
        <v>44970</v>
      </c>
      <c r="I85" s="10">
        <f>COUNTIF(Paper_Reference[[#All],[Item ID]],C85)</f>
        <v>1</v>
      </c>
      <c r="J85" s="12" t="str">
        <f>IFERROR(INDEX(Paper_Reference[Paper Code],MATCH(C85,Paper_Reference[Item ID],0)),"")</f>
        <v>110HA009-4300</v>
      </c>
      <c r="K85" s="12" t="str">
        <f>IFERROR(INDEX(Paper_Reference[Paper Description],MATCH(C85,Paper_Reference[Item ID],0)),"")</f>
        <v>AMF BUTCHER BLOCK</v>
      </c>
      <c r="L85" s="12" t="str">
        <f>IF(I85=2,_xlfn.XLOOKUP(C85,Paper_Reference[Item ID],Paper_Reference[Paper Code],"",0,-1),"")</f>
        <v/>
      </c>
      <c r="M85" s="12" t="str">
        <f>IF(I85=2,_xlfn.XLOOKUP(C85,Paper_Reference[Item ID],Paper_Reference[Paper Description],"",0,-1),"")</f>
        <v/>
      </c>
    </row>
    <row r="86" spans="1:13">
      <c r="A86" s="10" t="s">
        <v>952</v>
      </c>
      <c r="B86" s="10" t="s">
        <v>8702</v>
      </c>
      <c r="C86" s="10" t="s">
        <v>721</v>
      </c>
      <c r="D86" s="10" t="s">
        <v>663</v>
      </c>
      <c r="E86" s="10" t="s">
        <v>916</v>
      </c>
      <c r="F86" s="15">
        <v>40</v>
      </c>
      <c r="G86" s="10" t="s">
        <v>8703</v>
      </c>
      <c r="H86" s="14">
        <v>44970</v>
      </c>
      <c r="I86" s="10">
        <f>COUNTIF(Paper_Reference[[#All],[Item ID]],C86)</f>
        <v>1</v>
      </c>
      <c r="J86" s="12" t="str">
        <f>IFERROR(INDEX(Paper_Reference[Paper Code],MATCH(C86,Paper_Reference[Item ID],0)),"")</f>
        <v>110HA009-4300</v>
      </c>
      <c r="K86" s="12" t="str">
        <f>IFERROR(INDEX(Paper_Reference[Paper Description],MATCH(C86,Paper_Reference[Item ID],0)),"")</f>
        <v>AMF BUTCHER BLOCK</v>
      </c>
      <c r="L86" s="12" t="str">
        <f>IF(I86=2,_xlfn.XLOOKUP(C86,Paper_Reference[Item ID],Paper_Reference[Paper Code],"",0,-1),"")</f>
        <v/>
      </c>
      <c r="M86" s="12" t="str">
        <f>IF(I86=2,_xlfn.XLOOKUP(C86,Paper_Reference[Item ID],Paper_Reference[Paper Description],"",0,-1),"")</f>
        <v/>
      </c>
    </row>
    <row r="87" spans="1:13">
      <c r="A87" s="10" t="s">
        <v>952</v>
      </c>
      <c r="B87" s="10" t="s">
        <v>8702</v>
      </c>
      <c r="C87" s="10" t="s">
        <v>430</v>
      </c>
      <c r="D87" s="10" t="s">
        <v>847</v>
      </c>
      <c r="E87" s="10" t="s">
        <v>848</v>
      </c>
      <c r="F87" s="15">
        <v>40</v>
      </c>
      <c r="G87" s="10" t="s">
        <v>8703</v>
      </c>
      <c r="H87" s="14">
        <v>44970</v>
      </c>
      <c r="I87" s="10">
        <f>COUNTIF(Paper_Reference[[#All],[Item ID]],C87)</f>
        <v>1</v>
      </c>
      <c r="J87" s="12" t="str">
        <f>IFERROR(INDEX(Paper_Reference[Paper Code],MATCH(C87,Paper_Reference[Item ID],0)),"")</f>
        <v>110WM741-6200</v>
      </c>
      <c r="K87" s="12" t="str">
        <f>IFERROR(INDEX(Paper_Reference[Paper Description],MATCH(C87,Paper_Reference[Item ID],0)),"")</f>
        <v>AMF MAPLE R/E</v>
      </c>
      <c r="L87" s="12" t="str">
        <f>IF(I87=2,_xlfn.XLOOKUP(C87,Paper_Reference[Item ID],Paper_Reference[Paper Code],"",0,-1),"")</f>
        <v/>
      </c>
      <c r="M87" s="12" t="str">
        <f>IF(I87=2,_xlfn.XLOOKUP(C87,Paper_Reference[Item ID],Paper_Reference[Paper Description],"",0,-1),"")</f>
        <v/>
      </c>
    </row>
    <row r="88" spans="1:13">
      <c r="A88" s="10" t="s">
        <v>952</v>
      </c>
      <c r="B88" s="10" t="s">
        <v>8702</v>
      </c>
      <c r="C88" s="10" t="s">
        <v>443</v>
      </c>
      <c r="D88" s="10" t="s">
        <v>844</v>
      </c>
      <c r="E88" s="10" t="s">
        <v>845</v>
      </c>
      <c r="F88" s="15">
        <v>40</v>
      </c>
      <c r="G88" s="10" t="s">
        <v>8703</v>
      </c>
      <c r="H88" s="14">
        <v>44970</v>
      </c>
      <c r="I88" s="10">
        <f>COUNTIF(Paper_Reference[[#All],[Item ID]],C88)</f>
        <v>1</v>
      </c>
      <c r="J88" s="12" t="str">
        <f>IFERROR(INDEX(Paper_Reference[Paper Code],MATCH(C88,Paper_Reference[Item ID],0)),"")</f>
        <v>110WM742-6200</v>
      </c>
      <c r="K88" s="12" t="str">
        <f>IFERROR(INDEX(Paper_Reference[Paper Description],MATCH(C88,Paper_Reference[Item ID],0)),"")</f>
        <v>AMF MAPLE L/O</v>
      </c>
      <c r="L88" s="12" t="str">
        <f>IF(I88=2,_xlfn.XLOOKUP(C88,Paper_Reference[Item ID],Paper_Reference[Paper Code],"",0,-1),"")</f>
        <v/>
      </c>
      <c r="M88" s="12" t="str">
        <f>IF(I88=2,_xlfn.XLOOKUP(C88,Paper_Reference[Item ID],Paper_Reference[Paper Description],"",0,-1),"")</f>
        <v/>
      </c>
    </row>
    <row r="89" spans="1:13">
      <c r="A89" s="10" t="s">
        <v>952</v>
      </c>
      <c r="B89" s="10" t="s">
        <v>8702</v>
      </c>
      <c r="C89" s="10" t="s">
        <v>433</v>
      </c>
      <c r="D89" s="10" t="s">
        <v>824</v>
      </c>
      <c r="E89" s="10" t="s">
        <v>825</v>
      </c>
      <c r="F89" s="15">
        <v>20</v>
      </c>
      <c r="G89" s="10" t="s">
        <v>8703</v>
      </c>
      <c r="H89" s="14">
        <v>44970</v>
      </c>
      <c r="I89" s="10">
        <f>COUNTIF(Paper_Reference[[#All],[Item ID]],C89)</f>
        <v>1</v>
      </c>
      <c r="J89" s="12" t="str">
        <f>IFERROR(INDEX(Paper_Reference[Paper Code],MATCH(C89,Paper_Reference[Item ID],0)),"")</f>
        <v>110WM741-6200</v>
      </c>
      <c r="K89" s="12" t="str">
        <f>IFERROR(INDEX(Paper_Reference[Paper Description],MATCH(C89,Paper_Reference[Item ID],0)),"")</f>
        <v>AMF MAPLE R/E</v>
      </c>
      <c r="L89" s="12" t="str">
        <f>IF(I89=2,_xlfn.XLOOKUP(C89,Paper_Reference[Item ID],Paper_Reference[Paper Code],"",0,-1),"")</f>
        <v/>
      </c>
      <c r="M89" s="12" t="str">
        <f>IF(I89=2,_xlfn.XLOOKUP(C89,Paper_Reference[Item ID],Paper_Reference[Paper Description],"",0,-1),"")</f>
        <v/>
      </c>
    </row>
    <row r="90" spans="1:13">
      <c r="A90" s="10" t="s">
        <v>952</v>
      </c>
      <c r="B90" s="10" t="s">
        <v>8702</v>
      </c>
      <c r="C90" s="10" t="s">
        <v>444</v>
      </c>
      <c r="D90" s="10" t="s">
        <v>920</v>
      </c>
      <c r="E90" s="10" t="s">
        <v>921</v>
      </c>
      <c r="F90" s="15">
        <v>20</v>
      </c>
      <c r="G90" s="10" t="s">
        <v>8703</v>
      </c>
      <c r="H90" s="14">
        <v>44970</v>
      </c>
      <c r="I90" s="10">
        <f>COUNTIF(Paper_Reference[[#All],[Item ID]],C90)</f>
        <v>1</v>
      </c>
      <c r="J90" s="12" t="str">
        <f>IFERROR(INDEX(Paper_Reference[Paper Code],MATCH(C90,Paper_Reference[Item ID],0)),"")</f>
        <v>110WM742-6200</v>
      </c>
      <c r="K90" s="12" t="str">
        <f>IFERROR(INDEX(Paper_Reference[Paper Description],MATCH(C90,Paper_Reference[Item ID],0)),"")</f>
        <v>AMF MAPLE L/O</v>
      </c>
      <c r="L90" s="12" t="str">
        <f>IF(I90=2,_xlfn.XLOOKUP(C90,Paper_Reference[Item ID],Paper_Reference[Paper Code],"",0,-1),"")</f>
        <v/>
      </c>
      <c r="M90" s="12" t="str">
        <f>IF(I90=2,_xlfn.XLOOKUP(C90,Paper_Reference[Item ID],Paper_Reference[Paper Description],"",0,-1),"")</f>
        <v/>
      </c>
    </row>
    <row r="91" spans="1:13">
      <c r="A91" s="10" t="s">
        <v>952</v>
      </c>
      <c r="B91" s="10" t="s">
        <v>8702</v>
      </c>
      <c r="C91" s="10" t="s">
        <v>434</v>
      </c>
      <c r="D91" s="10" t="s">
        <v>822</v>
      </c>
      <c r="E91" s="10" t="s">
        <v>823</v>
      </c>
      <c r="F91" s="15">
        <v>20</v>
      </c>
      <c r="G91" s="10" t="s">
        <v>8703</v>
      </c>
      <c r="H91" s="14">
        <v>44970</v>
      </c>
      <c r="I91" s="10">
        <f>COUNTIF(Paper_Reference[[#All],[Item ID]],C91)</f>
        <v>1</v>
      </c>
      <c r="J91" s="12" t="str">
        <f>IFERROR(INDEX(Paper_Reference[Paper Code],MATCH(C91,Paper_Reference[Item ID],0)),"")</f>
        <v>110WM741-6200</v>
      </c>
      <c r="K91" s="12" t="str">
        <f>IFERROR(INDEX(Paper_Reference[Paper Description],MATCH(C91,Paper_Reference[Item ID],0)),"")</f>
        <v>AMF MAPLE R/E</v>
      </c>
      <c r="L91" s="12" t="str">
        <f>IF(I91=2,_xlfn.XLOOKUP(C91,Paper_Reference[Item ID],Paper_Reference[Paper Code],"",0,-1),"")</f>
        <v/>
      </c>
      <c r="M91" s="12" t="str">
        <f>IF(I91=2,_xlfn.XLOOKUP(C91,Paper_Reference[Item ID],Paper_Reference[Paper Description],"",0,-1),"")</f>
        <v/>
      </c>
    </row>
    <row r="92" spans="1:13">
      <c r="A92" s="10" t="s">
        <v>952</v>
      </c>
      <c r="B92" s="10" t="s">
        <v>8702</v>
      </c>
      <c r="C92" s="10" t="s">
        <v>727</v>
      </c>
      <c r="D92" s="10" t="s">
        <v>669</v>
      </c>
      <c r="E92" s="10" t="s">
        <v>862</v>
      </c>
      <c r="F92" s="15">
        <v>40</v>
      </c>
      <c r="G92" s="10" t="s">
        <v>8703</v>
      </c>
      <c r="H92" s="14">
        <v>44970</v>
      </c>
      <c r="I92" s="10">
        <f>COUNTIF(Paper_Reference[[#All],[Item ID]],C92)</f>
        <v>1</v>
      </c>
      <c r="J92" s="12" t="str">
        <f>IFERROR(INDEX(Paper_Reference[Paper Code],MATCH(C92,Paper_Reference[Item ID],0)),"")</f>
        <v>110HA009-4300</v>
      </c>
      <c r="K92" s="12" t="str">
        <f>IFERROR(INDEX(Paper_Reference[Paper Description],MATCH(C92,Paper_Reference[Item ID],0)),"")</f>
        <v>AMF BUTCHER BLOCK</v>
      </c>
      <c r="L92" s="12" t="str">
        <f>IF(I92=2,_xlfn.XLOOKUP(C92,Paper_Reference[Item ID],Paper_Reference[Paper Code],"",0,-1),"")</f>
        <v/>
      </c>
      <c r="M92" s="12" t="str">
        <f>IF(I92=2,_xlfn.XLOOKUP(C92,Paper_Reference[Item ID],Paper_Reference[Paper Description],"",0,-1),"")</f>
        <v/>
      </c>
    </row>
    <row r="93" spans="1:13">
      <c r="A93" s="10" t="s">
        <v>952</v>
      </c>
      <c r="B93" s="10" t="s">
        <v>8704</v>
      </c>
      <c r="C93" s="10" t="s">
        <v>716</v>
      </c>
      <c r="D93" s="10" t="s">
        <v>863</v>
      </c>
      <c r="E93" s="10" t="s">
        <v>864</v>
      </c>
      <c r="F93" s="15">
        <v>100</v>
      </c>
      <c r="G93" s="10" t="s">
        <v>8705</v>
      </c>
      <c r="H93" s="14">
        <v>44978</v>
      </c>
      <c r="I93" s="10">
        <f>COUNTIF(Paper_Reference[[#All],[Item ID]],C93)</f>
        <v>1</v>
      </c>
      <c r="J93" s="12" t="str">
        <f>IFERROR(INDEX(Paper_Reference[Paper Code],MATCH(C93,Paper_Reference[Item ID],0)),"")</f>
        <v>110HA009-4300</v>
      </c>
      <c r="K93" s="12" t="str">
        <f>IFERROR(INDEX(Paper_Reference[Paper Description],MATCH(C93,Paper_Reference[Item ID],0)),"")</f>
        <v>AMF BUTCHER BLOCK</v>
      </c>
      <c r="L93" s="12" t="str">
        <f>IF(I93=2,_xlfn.XLOOKUP(C93,Paper_Reference[Item ID],Paper_Reference[Paper Code],"",0,-1),"")</f>
        <v/>
      </c>
      <c r="M93" s="12" t="str">
        <f>IF(I93=2,_xlfn.XLOOKUP(C93,Paper_Reference[Item ID],Paper_Reference[Paper Description],"",0,-1),"")</f>
        <v/>
      </c>
    </row>
    <row r="94" spans="1:13">
      <c r="A94" s="10" t="s">
        <v>952</v>
      </c>
      <c r="B94" s="10" t="s">
        <v>8704</v>
      </c>
      <c r="C94" s="10" t="s">
        <v>434</v>
      </c>
      <c r="D94" s="10" t="s">
        <v>822</v>
      </c>
      <c r="E94" s="10" t="s">
        <v>823</v>
      </c>
      <c r="F94" s="15">
        <v>20</v>
      </c>
      <c r="G94" s="10" t="s">
        <v>8705</v>
      </c>
      <c r="H94" s="14">
        <v>44978</v>
      </c>
      <c r="I94" s="10">
        <f>COUNTIF(Paper_Reference[[#All],[Item ID]],C94)</f>
        <v>1</v>
      </c>
      <c r="J94" s="12" t="str">
        <f>IFERROR(INDEX(Paper_Reference[Paper Code],MATCH(C94,Paper_Reference[Item ID],0)),"")</f>
        <v>110WM741-6200</v>
      </c>
      <c r="K94" s="12" t="str">
        <f>IFERROR(INDEX(Paper_Reference[Paper Description],MATCH(C94,Paper_Reference[Item ID],0)),"")</f>
        <v>AMF MAPLE R/E</v>
      </c>
      <c r="L94" s="12" t="str">
        <f>IF(I94=2,_xlfn.XLOOKUP(C94,Paper_Reference[Item ID],Paper_Reference[Paper Code],"",0,-1),"")</f>
        <v/>
      </c>
      <c r="M94" s="12" t="str">
        <f>IF(I94=2,_xlfn.XLOOKUP(C94,Paper_Reference[Item ID],Paper_Reference[Paper Description],"",0,-1),"")</f>
        <v/>
      </c>
    </row>
    <row r="95" spans="1:13">
      <c r="A95" s="10" t="s">
        <v>952</v>
      </c>
      <c r="B95" s="10" t="s">
        <v>8706</v>
      </c>
      <c r="C95" s="10" t="s">
        <v>785</v>
      </c>
      <c r="D95" s="10" t="s">
        <v>690</v>
      </c>
      <c r="E95" s="10" t="s">
        <v>8707</v>
      </c>
      <c r="F95" s="15">
        <v>30</v>
      </c>
      <c r="G95" s="10" t="s">
        <v>8708</v>
      </c>
      <c r="H95" s="14">
        <v>44978</v>
      </c>
      <c r="I95" s="10">
        <f>COUNTIF(Paper_Reference[[#All],[Item ID]],C95)</f>
        <v>1</v>
      </c>
      <c r="J95" s="12" t="str">
        <f>IFERROR(INDEX(Paper_Reference[Paper Code],MATCH(C95,Paper_Reference[Item ID],0)),"")</f>
        <v>110HA009-4300</v>
      </c>
      <c r="K95" s="12" t="str">
        <f>IFERROR(INDEX(Paper_Reference[Paper Description],MATCH(C95,Paper_Reference[Item ID],0)),"")</f>
        <v>AMF BUTCHER BLOCK</v>
      </c>
      <c r="L95" s="12" t="str">
        <f>IF(I95=2,_xlfn.XLOOKUP(C95,Paper_Reference[Item ID],Paper_Reference[Paper Code],"",0,-1),"")</f>
        <v/>
      </c>
      <c r="M95" s="12" t="str">
        <f>IF(I95=2,_xlfn.XLOOKUP(C95,Paper_Reference[Item ID],Paper_Reference[Paper Description],"",0,-1),"")</f>
        <v/>
      </c>
    </row>
    <row r="96" spans="1:13">
      <c r="A96" s="10" t="s">
        <v>952</v>
      </c>
      <c r="B96" s="10" t="s">
        <v>8709</v>
      </c>
      <c r="C96" s="10" t="s">
        <v>827</v>
      </c>
      <c r="D96" s="10" t="s">
        <v>828</v>
      </c>
      <c r="E96" s="10" t="s">
        <v>829</v>
      </c>
      <c r="F96" s="15">
        <v>3</v>
      </c>
      <c r="G96" s="10" t="s">
        <v>8710</v>
      </c>
      <c r="H96" s="14">
        <v>44978</v>
      </c>
      <c r="I96" s="10">
        <f>COUNTIF(Paper_Reference[[#All],[Item ID]],C96)</f>
        <v>1</v>
      </c>
      <c r="J96" s="12" t="str">
        <f>IFERROR(INDEX(Paper_Reference[Paper Code],MATCH(C96,Paper_Reference[Item ID],0)),"")</f>
        <v>100PFA39-6200</v>
      </c>
      <c r="K96" s="12" t="str">
        <f>IFERROR(INDEX(Paper_Reference[Paper Description],MATCH(C96,Paper_Reference[Item ID],0)),"")</f>
        <v>SINGING THE CHICAGO BLUES</v>
      </c>
      <c r="L96" s="12" t="str">
        <f>IF(I96=2,_xlfn.XLOOKUP(C96,Paper_Reference[Item ID],Paper_Reference[Paper Code],"",0,-1),"")</f>
        <v/>
      </c>
      <c r="M96" s="12" t="str">
        <f>IF(I96=2,_xlfn.XLOOKUP(C96,Paper_Reference[Item ID],Paper_Reference[Paper Description],"",0,-1),"")</f>
        <v/>
      </c>
    </row>
    <row r="97" spans="1:13">
      <c r="A97" s="10" t="s">
        <v>952</v>
      </c>
      <c r="B97" s="10" t="s">
        <v>8709</v>
      </c>
      <c r="C97" s="10" t="s">
        <v>8711</v>
      </c>
      <c r="D97" s="10" t="s">
        <v>8712</v>
      </c>
      <c r="E97" s="10" t="s">
        <v>8713</v>
      </c>
      <c r="F97" s="15">
        <v>6</v>
      </c>
      <c r="G97" s="10" t="s">
        <v>8710</v>
      </c>
      <c r="H97" s="14">
        <v>44978</v>
      </c>
      <c r="I97" s="10">
        <f>COUNTIF(Paper_Reference[[#All],[Item ID]],C97)</f>
        <v>3</v>
      </c>
      <c r="J97" s="12" t="str">
        <f>IFERROR(INDEX(Paper_Reference[Paper Code],MATCH(C97,Paper_Reference[Item ID],0)),"")</f>
        <v>100PFA39-6200</v>
      </c>
      <c r="K97" s="12" t="str">
        <f>IFERROR(INDEX(Paper_Reference[Paper Description],MATCH(C97,Paper_Reference[Item ID],0)),"")</f>
        <v>SINGING THE CHICAGO BLUES</v>
      </c>
      <c r="L97" s="12" t="str">
        <f>IF(I97=2,_xlfn.XLOOKUP(C97,Paper_Reference[Item ID],Paper_Reference[Paper Code],"",0,-1),"")</f>
        <v/>
      </c>
      <c r="M97" s="12" t="str">
        <f>IF(I97=2,_xlfn.XLOOKUP(C97,Paper_Reference[Item ID],Paper_Reference[Paper Description],"",0,-1),"")</f>
        <v/>
      </c>
    </row>
    <row r="98" spans="1:13">
      <c r="A98" s="10" t="s">
        <v>952</v>
      </c>
      <c r="B98" s="10" t="s">
        <v>8714</v>
      </c>
      <c r="C98" s="10" t="s">
        <v>813</v>
      </c>
      <c r="D98" s="10" t="s">
        <v>814</v>
      </c>
      <c r="E98" s="10" t="s">
        <v>815</v>
      </c>
      <c r="F98" s="15">
        <v>3</v>
      </c>
      <c r="G98" s="10" t="s">
        <v>8715</v>
      </c>
      <c r="H98" s="14">
        <v>44978</v>
      </c>
      <c r="I98" s="10">
        <f>COUNTIF(Paper_Reference[[#All],[Item ID]],C98)</f>
        <v>1</v>
      </c>
      <c r="J98" s="12" t="str">
        <f>IFERROR(INDEX(Paper_Reference[Paper Code],MATCH(C98,Paper_Reference[Item ID],0)),"")</f>
        <v>110WC013-6200</v>
      </c>
      <c r="K98" s="12" t="str">
        <f>IFERROR(INDEX(Paper_Reference[Paper Description],MATCH(C98,Paper_Reference[Item ID],0)),"")</f>
        <v>BLOSSOM CHERRY</v>
      </c>
      <c r="L98" s="12" t="str">
        <f>IF(I98=2,_xlfn.XLOOKUP(C98,Paper_Reference[Item ID],Paper_Reference[Paper Code],"",0,-1),"")</f>
        <v/>
      </c>
      <c r="M98" s="12" t="str">
        <f>IF(I98=2,_xlfn.XLOOKUP(C98,Paper_Reference[Item ID],Paper_Reference[Paper Description],"",0,-1),"")</f>
        <v/>
      </c>
    </row>
    <row r="99" spans="1:13">
      <c r="A99" s="10" t="s">
        <v>952</v>
      </c>
      <c r="B99" s="10" t="s">
        <v>8714</v>
      </c>
      <c r="C99" s="10" t="s">
        <v>4357</v>
      </c>
      <c r="D99" s="10" t="s">
        <v>4199</v>
      </c>
      <c r="E99" s="10" t="s">
        <v>8716</v>
      </c>
      <c r="F99" s="15">
        <v>2</v>
      </c>
      <c r="G99" s="10" t="s">
        <v>8715</v>
      </c>
      <c r="H99" s="14">
        <v>44978</v>
      </c>
      <c r="I99" s="10">
        <f>COUNTIF(Paper_Reference[[#All],[Item ID]],C99)</f>
        <v>1</v>
      </c>
      <c r="J99" s="12" t="str">
        <f>IFERROR(INDEX(Paper_Reference[Paper Code],MATCH(C99,Paper_Reference[Item ID],0)),"")</f>
        <v>110WC013-6200</v>
      </c>
      <c r="K99" s="12" t="str">
        <f>IFERROR(INDEX(Paper_Reference[Paper Description],MATCH(C99,Paper_Reference[Item ID],0)),"")</f>
        <v>BLOSSOM CHERRY</v>
      </c>
      <c r="L99" s="12" t="str">
        <f>IF(I99=2,_xlfn.XLOOKUP(C99,Paper_Reference[Item ID],Paper_Reference[Paper Code],"",0,-1),"")</f>
        <v/>
      </c>
      <c r="M99" s="12" t="str">
        <f>IF(I99=2,_xlfn.XLOOKUP(C99,Paper_Reference[Item ID],Paper_Reference[Paper Description],"",0,-1),"")</f>
        <v/>
      </c>
    </row>
    <row r="100" spans="1:13">
      <c r="A100" s="10" t="s">
        <v>953</v>
      </c>
      <c r="B100" s="11" t="s">
        <v>88</v>
      </c>
      <c r="C100" s="11" t="s">
        <v>94</v>
      </c>
      <c r="D100" s="11" t="s">
        <v>95</v>
      </c>
      <c r="E100" s="11" t="s">
        <v>96</v>
      </c>
      <c r="F100" s="15">
        <v>4</v>
      </c>
      <c r="G100" s="11" t="s">
        <v>91</v>
      </c>
      <c r="H100" s="14">
        <v>44838</v>
      </c>
      <c r="I100" s="10">
        <f>COUNTIF(Paper_Reference[[#All],[Item ID]],C100)</f>
        <v>1</v>
      </c>
      <c r="J100" s="12" t="str">
        <f>IFERROR(INDEX(Paper_Reference[Paper Code],MATCH(C100,Paper_Reference[Item ID],0)),"")</f>
        <v>10000020-6200</v>
      </c>
      <c r="K100" s="12" t="str">
        <f>IFERROR(INDEX(Paper_Reference[Paper Description],MATCH(C100,Paper_Reference[Item ID],0)),"")</f>
        <v>Premium Inkjet MPK 9653</v>
      </c>
      <c r="L100" s="12" t="str">
        <f>IF(I100=2,_xlfn.XLOOKUP(C100,Paper_Reference[Item ID],Paper_Reference[Paper Code],"",0,-1),"")</f>
        <v/>
      </c>
      <c r="M100" s="12" t="str">
        <f>IF(I100=2,_xlfn.XLOOKUP(C100,Paper_Reference[Item ID],Paper_Reference[Paper Description],"",0,-1),"")</f>
        <v/>
      </c>
    </row>
    <row r="101" spans="1:13">
      <c r="A101" s="10" t="s">
        <v>953</v>
      </c>
      <c r="B101" s="11" t="s">
        <v>129</v>
      </c>
      <c r="C101" s="11" t="s">
        <v>168</v>
      </c>
      <c r="D101" s="11" t="s">
        <v>169</v>
      </c>
      <c r="E101" s="11" t="s">
        <v>170</v>
      </c>
      <c r="F101" s="15">
        <v>3</v>
      </c>
      <c r="G101" s="11" t="s">
        <v>130</v>
      </c>
      <c r="H101" s="14">
        <v>44841</v>
      </c>
      <c r="I101" s="10">
        <f>COUNTIF(Paper_Reference[[#All],[Item ID]],C101)</f>
        <v>1</v>
      </c>
      <c r="J101" s="12" t="str">
        <f>IFERROR(INDEX(Paper_Reference[Paper Code],MATCH(C101,Paper_Reference[Item ID],0)),"")</f>
        <v>100KM009-6200</v>
      </c>
      <c r="K101" s="12" t="str">
        <f>IFERROR(INDEX(Paper_Reference[Paper Description],MATCH(C101,Paper_Reference[Item ID],0)),"")</f>
        <v>Bruns Silver w/lines Print</v>
      </c>
      <c r="L101" s="12" t="str">
        <f>IF(I101=2,_xlfn.XLOOKUP(C101,Paper_Reference[Item ID],Paper_Reference[Paper Code],"",0,-1),"")</f>
        <v/>
      </c>
      <c r="M101" s="12" t="str">
        <f>IF(I101=2,_xlfn.XLOOKUP(C101,Paper_Reference[Item ID],Paper_Reference[Paper Description],"",0,-1),"")</f>
        <v/>
      </c>
    </row>
    <row r="102" spans="1:13">
      <c r="A102" s="10" t="s">
        <v>953</v>
      </c>
      <c r="B102" s="11" t="s">
        <v>103</v>
      </c>
      <c r="C102" s="11" t="s">
        <v>162</v>
      </c>
      <c r="D102" s="11" t="s">
        <v>163</v>
      </c>
      <c r="E102" s="11" t="s">
        <v>164</v>
      </c>
      <c r="F102" s="15">
        <v>4</v>
      </c>
      <c r="G102" s="11" t="s">
        <v>106</v>
      </c>
      <c r="H102" s="14">
        <v>44869</v>
      </c>
      <c r="I102" s="10">
        <f>COUNTIF(Paper_Reference[[#All],[Item ID]],C102)</f>
        <v>2</v>
      </c>
      <c r="J102" s="12" t="str">
        <f>IFERROR(INDEX(Paper_Reference[Paper Code],MATCH(C102,Paper_Reference[Item ID],0)),"")</f>
        <v>10000020-6200</v>
      </c>
      <c r="K102" s="12" t="str">
        <f>IFERROR(INDEX(Paper_Reference[Paper Description],MATCH(C102,Paper_Reference[Item ID],0)),"")</f>
        <v>Premium Inkjet MPK 9653</v>
      </c>
      <c r="L102" s="12" t="str">
        <f>IF(I102=2,_xlfn.XLOOKUP(C102,Paper_Reference[Item ID],Paper_Reference[Paper Code],"",0,-1),"")</f>
        <v>10000020-5000</v>
      </c>
      <c r="M102" s="12" t="str">
        <f>IF(I102=2,_xlfn.XLOOKUP(C102,Paper_Reference[Item ID],Paper_Reference[Paper Description],"",0,-1),"")</f>
        <v>Premium Inkjet MPK 9653</v>
      </c>
    </row>
    <row r="103" spans="1:13">
      <c r="A103" s="10" t="s">
        <v>953</v>
      </c>
      <c r="B103" s="11" t="s">
        <v>7</v>
      </c>
      <c r="C103" s="11" t="s">
        <v>8</v>
      </c>
      <c r="D103" s="11" t="s">
        <v>9</v>
      </c>
      <c r="E103" s="11" t="s">
        <v>10</v>
      </c>
      <c r="F103" s="15">
        <v>160</v>
      </c>
      <c r="G103" s="11" t="s">
        <v>11</v>
      </c>
      <c r="H103" s="14">
        <v>44874</v>
      </c>
      <c r="I103" s="10">
        <f>COUNTIF(Paper_Reference[[#All],[Item ID]],C103)</f>
        <v>2</v>
      </c>
      <c r="J103" s="12" t="str">
        <f>IFERROR(INDEX(Paper_Reference[Paper Code],MATCH(C103,Paper_Reference[Item ID],0)),"")</f>
        <v>10000020-6200</v>
      </c>
      <c r="K103" s="12" t="str">
        <f>IFERROR(INDEX(Paper_Reference[Paper Description],MATCH(C103,Paper_Reference[Item ID],0)),"")</f>
        <v>Premium Inkjet MPK 9653</v>
      </c>
      <c r="L103" s="12" t="str">
        <f>IF(I103=2,_xlfn.XLOOKUP(C103,Paper_Reference[Item ID],Paper_Reference[Paper Code],"",0,-1),"")</f>
        <v>100DS064-6200</v>
      </c>
      <c r="M103" s="12" t="str">
        <f>IF(I103=2,_xlfn.XLOOKUP(C103,Paper_Reference[Item ID],Paper_Reference[Paper Description],"",0,-1),"")</f>
        <v>BLACK</v>
      </c>
    </row>
    <row r="104" spans="1:13">
      <c r="A104" s="10" t="s">
        <v>953</v>
      </c>
      <c r="B104" s="11" t="s">
        <v>12</v>
      </c>
      <c r="C104" s="11" t="s">
        <v>8</v>
      </c>
      <c r="D104" s="11" t="s">
        <v>9</v>
      </c>
      <c r="E104" s="11" t="s">
        <v>10</v>
      </c>
      <c r="F104" s="15">
        <v>160</v>
      </c>
      <c r="G104" s="11" t="s">
        <v>13</v>
      </c>
      <c r="H104" s="14">
        <v>44876</v>
      </c>
      <c r="I104" s="10">
        <f>COUNTIF(Paper_Reference[[#All],[Item ID]],C104)</f>
        <v>2</v>
      </c>
      <c r="J104" s="12" t="str">
        <f>IFERROR(INDEX(Paper_Reference[Paper Code],MATCH(C104,Paper_Reference[Item ID],0)),"")</f>
        <v>10000020-6200</v>
      </c>
      <c r="K104" s="12" t="str">
        <f>IFERROR(INDEX(Paper_Reference[Paper Description],MATCH(C104,Paper_Reference[Item ID],0)),"")</f>
        <v>Premium Inkjet MPK 9653</v>
      </c>
      <c r="L104" s="12" t="str">
        <f>IF(I104=2,_xlfn.XLOOKUP(C104,Paper_Reference[Item ID],Paper_Reference[Paper Code],"",0,-1),"")</f>
        <v>100DS064-6200</v>
      </c>
      <c r="M104" s="12" t="str">
        <f>IF(I104=2,_xlfn.XLOOKUP(C104,Paper_Reference[Item ID],Paper_Reference[Paper Description],"",0,-1),"")</f>
        <v>BLACK</v>
      </c>
    </row>
    <row r="105" spans="1:13">
      <c r="A105" s="10" t="s">
        <v>953</v>
      </c>
      <c r="B105" s="11" t="s">
        <v>171</v>
      </c>
      <c r="C105" s="11" t="s">
        <v>172</v>
      </c>
      <c r="D105" s="11" t="s">
        <v>173</v>
      </c>
      <c r="E105" s="11" t="s">
        <v>174</v>
      </c>
      <c r="F105" s="15">
        <v>4</v>
      </c>
      <c r="G105" s="11" t="s">
        <v>71</v>
      </c>
      <c r="H105" s="14">
        <v>44887</v>
      </c>
      <c r="I105" s="10">
        <f>COUNTIF(Paper_Reference[[#All],[Item ID]],C105)</f>
        <v>1</v>
      </c>
      <c r="J105" s="12" t="str">
        <f>IFERROR(INDEX(Paper_Reference[Paper Code],MATCH(C105,Paper_Reference[Item ID],0)),"")</f>
        <v>100SW813-6200</v>
      </c>
      <c r="K105" s="12" t="str">
        <f>IFERROR(INDEX(Paper_Reference[Paper Description],MATCH(C105,Paper_Reference[Item ID],0)),"")</f>
        <v>ICE WHITE</v>
      </c>
      <c r="L105" s="12" t="str">
        <f>IF(I105=2,_xlfn.XLOOKUP(C105,Paper_Reference[Item ID],Paper_Reference[Paper Code],"",0,-1),"")</f>
        <v/>
      </c>
      <c r="M105" s="12" t="str">
        <f>IF(I105=2,_xlfn.XLOOKUP(C105,Paper_Reference[Item ID],Paper_Reference[Paper Description],"",0,-1),"")</f>
        <v/>
      </c>
    </row>
    <row r="106" spans="1:13">
      <c r="A106" s="10" t="s">
        <v>953</v>
      </c>
      <c r="B106" s="11" t="s">
        <v>107</v>
      </c>
      <c r="C106" s="11" t="s">
        <v>108</v>
      </c>
      <c r="D106" s="11" t="s">
        <v>109</v>
      </c>
      <c r="E106" s="11" t="s">
        <v>110</v>
      </c>
      <c r="F106" s="15">
        <v>3</v>
      </c>
      <c r="G106" s="11" t="s">
        <v>111</v>
      </c>
      <c r="H106" s="14">
        <v>44904</v>
      </c>
      <c r="I106" s="10">
        <f>COUNTIF(Paper_Reference[[#All],[Item ID]],C106)</f>
        <v>0</v>
      </c>
      <c r="J106" s="12" t="str">
        <f>IFERROR(INDEX(Paper_Reference[Paper Code],MATCH(C106,Paper_Reference[Item ID],0)),"")</f>
        <v/>
      </c>
      <c r="K106" s="12" t="str">
        <f>IFERROR(INDEX(Paper_Reference[Paper Description],MATCH(C106,Paper_Reference[Item ID],0)),"")</f>
        <v/>
      </c>
      <c r="L106" s="12" t="str">
        <f>IF(I106=2,_xlfn.XLOOKUP(C106,Paper_Reference[Item ID],Paper_Reference[Paper Code],"",0,-1),"")</f>
        <v/>
      </c>
      <c r="M106" s="12" t="str">
        <f>IF(I106=2,_xlfn.XLOOKUP(C106,Paper_Reference[Item ID],Paper_Reference[Paper Description],"",0,-1),"")</f>
        <v/>
      </c>
    </row>
    <row r="107" spans="1:13">
      <c r="A107" s="10" t="s">
        <v>953</v>
      </c>
      <c r="B107" s="11" t="s">
        <v>78</v>
      </c>
      <c r="C107" s="11" t="s">
        <v>79</v>
      </c>
      <c r="D107" s="11" t="s">
        <v>80</v>
      </c>
      <c r="E107" s="11" t="s">
        <v>81</v>
      </c>
      <c r="F107" s="15">
        <v>4</v>
      </c>
      <c r="G107" s="11" t="s">
        <v>82</v>
      </c>
      <c r="H107" s="14">
        <v>44908</v>
      </c>
      <c r="I107" s="10">
        <f>COUNTIF(Paper_Reference[[#All],[Item ID]],C107)</f>
        <v>0</v>
      </c>
      <c r="J107" s="12" t="str">
        <f>IFERROR(INDEX(Paper_Reference[Paper Code],MATCH(C107,Paper_Reference[Item ID],0)),"")</f>
        <v/>
      </c>
      <c r="K107" s="12" t="str">
        <f>IFERROR(INDEX(Paper_Reference[Paper Description],MATCH(C107,Paper_Reference[Item ID],0)),"")</f>
        <v/>
      </c>
      <c r="L107" s="12" t="str">
        <f>IF(I107=2,_xlfn.XLOOKUP(C107,Paper_Reference[Item ID],Paper_Reference[Paper Code],"",0,-1),"")</f>
        <v/>
      </c>
      <c r="M107" s="12" t="str">
        <f>IF(I107=2,_xlfn.XLOOKUP(C107,Paper_Reference[Item ID],Paper_Reference[Paper Description],"",0,-1),"")</f>
        <v/>
      </c>
    </row>
    <row r="108" spans="1:13">
      <c r="A108" s="10" t="s">
        <v>953</v>
      </c>
      <c r="B108" s="11" t="s">
        <v>150</v>
      </c>
      <c r="C108" s="11" t="s">
        <v>151</v>
      </c>
      <c r="D108" s="11" t="s">
        <v>152</v>
      </c>
      <c r="E108" s="11" t="s">
        <v>153</v>
      </c>
      <c r="F108" s="15">
        <v>16</v>
      </c>
      <c r="G108" s="11" t="s">
        <v>61</v>
      </c>
      <c r="H108" s="14">
        <v>44911</v>
      </c>
      <c r="I108" s="10">
        <f>COUNTIF(Paper_Reference[[#All],[Item ID]],C108)</f>
        <v>8</v>
      </c>
      <c r="J108" s="12" t="str">
        <f>IFERROR(INDEX(Paper_Reference[Paper Code],MATCH(C108,Paper_Reference[Item ID],0)),"")</f>
        <v>100WM311-4300</v>
      </c>
      <c r="K108" s="12" t="str">
        <f>IFERROR(INDEX(Paper_Reference[Paper Description],MATCH(C108,Paper_Reference[Item ID],0)),"")</f>
        <v>IQ MAPLE LANE LH</v>
      </c>
      <c r="L108" s="12" t="str">
        <f>IF(I108=2,_xlfn.XLOOKUP(C108,Paper_Reference[Item ID],Paper_Reference[Paper Code],"",0,-1),"")</f>
        <v/>
      </c>
      <c r="M108" s="12" t="str">
        <f>IF(I108=2,_xlfn.XLOOKUP(C108,Paper_Reference[Item ID],Paper_Reference[Paper Description],"",0,-1),"")</f>
        <v/>
      </c>
    </row>
    <row r="109" spans="1:13">
      <c r="A109" s="10" t="s">
        <v>953</v>
      </c>
      <c r="B109" s="11" t="s">
        <v>140</v>
      </c>
      <c r="C109" s="11" t="s">
        <v>196</v>
      </c>
      <c r="D109" s="11" t="s">
        <v>197</v>
      </c>
      <c r="E109" s="11" t="s">
        <v>198</v>
      </c>
      <c r="F109" s="15">
        <v>1</v>
      </c>
      <c r="G109" s="11" t="s">
        <v>144</v>
      </c>
      <c r="H109" s="14">
        <v>44915</v>
      </c>
      <c r="I109" s="10">
        <f>COUNTIF(Paper_Reference[[#All],[Item ID]],C109)</f>
        <v>1</v>
      </c>
      <c r="J109" s="12" t="str">
        <f>IFERROR(INDEX(Paper_Reference[Paper Code],MATCH(C109,Paper_Reference[Item ID],0)),"")</f>
        <v>100WF131-6200</v>
      </c>
      <c r="K109" s="12" t="str">
        <f>IFERROR(INDEX(Paper_Reference[Paper Description],MATCH(C109,Paper_Reference[Item ID],0)),"")</f>
        <v>VANA</v>
      </c>
      <c r="L109" s="12" t="str">
        <f>IF(I109=2,_xlfn.XLOOKUP(C109,Paper_Reference[Item ID],Paper_Reference[Paper Code],"",0,-1),"")</f>
        <v/>
      </c>
      <c r="M109" s="12" t="str">
        <f>IF(I109=2,_xlfn.XLOOKUP(C109,Paper_Reference[Item ID],Paper_Reference[Paper Description],"",0,-1),"")</f>
        <v/>
      </c>
    </row>
    <row r="110" spans="1:13">
      <c r="A110" s="10" t="s">
        <v>953</v>
      </c>
      <c r="B110" s="11" t="s">
        <v>140</v>
      </c>
      <c r="C110" s="11" t="s">
        <v>141</v>
      </c>
      <c r="D110" s="11" t="s">
        <v>142</v>
      </c>
      <c r="E110" s="11" t="s">
        <v>143</v>
      </c>
      <c r="F110" s="15">
        <v>2</v>
      </c>
      <c r="G110" s="11" t="s">
        <v>144</v>
      </c>
      <c r="H110" s="14">
        <v>44915</v>
      </c>
      <c r="I110" s="10">
        <f>COUNTIF(Paper_Reference[[#All],[Item ID]],C110)</f>
        <v>1</v>
      </c>
      <c r="J110" s="12" t="str">
        <f>IFERROR(INDEX(Paper_Reference[Paper Code],MATCH(C110,Paper_Reference[Item ID],0)),"")</f>
        <v>100WF131-6200</v>
      </c>
      <c r="K110" s="12" t="str">
        <f>IFERROR(INDEX(Paper_Reference[Paper Description],MATCH(C110,Paper_Reference[Item ID],0)),"")</f>
        <v>VANA</v>
      </c>
      <c r="L110" s="12" t="str">
        <f>IF(I110=2,_xlfn.XLOOKUP(C110,Paper_Reference[Item ID],Paper_Reference[Paper Code],"",0,-1),"")</f>
        <v/>
      </c>
      <c r="M110" s="12" t="str">
        <f>IF(I110=2,_xlfn.XLOOKUP(C110,Paper_Reference[Item ID],Paper_Reference[Paper Description],"",0,-1),"")</f>
        <v/>
      </c>
    </row>
    <row r="111" spans="1:13">
      <c r="A111" s="10" t="s">
        <v>953</v>
      </c>
      <c r="B111" s="11" t="s">
        <v>140</v>
      </c>
      <c r="C111" s="11" t="s">
        <v>145</v>
      </c>
      <c r="D111" s="11" t="s">
        <v>146</v>
      </c>
      <c r="E111" s="11" t="s">
        <v>147</v>
      </c>
      <c r="F111" s="15">
        <v>2</v>
      </c>
      <c r="G111" s="11" t="s">
        <v>144</v>
      </c>
      <c r="H111" s="14">
        <v>44915</v>
      </c>
      <c r="I111" s="10">
        <f>COUNTIF(Paper_Reference[[#All],[Item ID]],C111)</f>
        <v>1</v>
      </c>
      <c r="J111" s="12" t="str">
        <f>IFERROR(INDEX(Paper_Reference[Paper Code],MATCH(C111,Paper_Reference[Item ID],0)),"")</f>
        <v>100WF131-6200</v>
      </c>
      <c r="K111" s="12" t="str">
        <f>IFERROR(INDEX(Paper_Reference[Paper Description],MATCH(C111,Paper_Reference[Item ID],0)),"")</f>
        <v>VANA</v>
      </c>
      <c r="L111" s="12" t="str">
        <f>IF(I111=2,_xlfn.XLOOKUP(C111,Paper_Reference[Item ID],Paper_Reference[Paper Code],"",0,-1),"")</f>
        <v/>
      </c>
      <c r="M111" s="12" t="str">
        <f>IF(I111=2,_xlfn.XLOOKUP(C111,Paper_Reference[Item ID],Paper_Reference[Paper Description],"",0,-1),"")</f>
        <v/>
      </c>
    </row>
    <row r="112" spans="1:13">
      <c r="A112" s="10" t="s">
        <v>953</v>
      </c>
      <c r="B112" s="11" t="s">
        <v>112</v>
      </c>
      <c r="C112" s="11" t="s">
        <v>185</v>
      </c>
      <c r="D112" s="11" t="s">
        <v>186</v>
      </c>
      <c r="E112" s="11" t="s">
        <v>187</v>
      </c>
      <c r="F112" s="15">
        <v>1</v>
      </c>
      <c r="G112" s="11" t="s">
        <v>116</v>
      </c>
      <c r="H112" s="14">
        <v>44922</v>
      </c>
      <c r="I112" s="10">
        <f>COUNTIF(Paper_Reference[[#All],[Item ID]],C112)</f>
        <v>2</v>
      </c>
      <c r="J112" s="12" t="str">
        <f>IFERROR(INDEX(Paper_Reference[Paper Code],MATCH(C112,Paper_Reference[Item ID],0)),"")</f>
        <v>10000020-6200</v>
      </c>
      <c r="K112" s="12" t="str">
        <f>IFERROR(INDEX(Paper_Reference[Paper Description],MATCH(C112,Paper_Reference[Item ID],0)),"")</f>
        <v>Premium Inkjet MPK 9653</v>
      </c>
      <c r="L112" s="12" t="str">
        <f>IF(I112=2,_xlfn.XLOOKUP(C112,Paper_Reference[Item ID],Paper_Reference[Paper Code],"",0,-1),"")</f>
        <v>10000020-5000</v>
      </c>
      <c r="M112" s="12" t="str">
        <f>IF(I112=2,_xlfn.XLOOKUP(C112,Paper_Reference[Item ID],Paper_Reference[Paper Description],"",0,-1),"")</f>
        <v>Premium Inkjet MPK 9653</v>
      </c>
    </row>
    <row r="113" spans="1:13">
      <c r="A113" s="10" t="s">
        <v>953</v>
      </c>
      <c r="B113" s="11" t="s">
        <v>112</v>
      </c>
      <c r="C113" s="11" t="s">
        <v>113</v>
      </c>
      <c r="D113" s="11" t="s">
        <v>114</v>
      </c>
      <c r="E113" s="11" t="s">
        <v>115</v>
      </c>
      <c r="F113" s="15">
        <v>3</v>
      </c>
      <c r="G113" s="11" t="s">
        <v>116</v>
      </c>
      <c r="H113" s="14">
        <v>44922</v>
      </c>
      <c r="I113" s="10">
        <f>COUNTIF(Paper_Reference[[#All],[Item ID]],C113)</f>
        <v>1</v>
      </c>
      <c r="J113" s="12" t="str">
        <f>IFERROR(INDEX(Paper_Reference[Paper Code],MATCH(C113,Paper_Reference[Item ID],0)),"")</f>
        <v>10000020-6200</v>
      </c>
      <c r="K113" s="12" t="str">
        <f>IFERROR(INDEX(Paper_Reference[Paper Description],MATCH(C113,Paper_Reference[Item ID],0)),"")</f>
        <v>Premium Inkjet MPK 9653</v>
      </c>
      <c r="L113" s="12" t="str">
        <f>IF(I113=2,_xlfn.XLOOKUP(C113,Paper_Reference[Item ID],Paper_Reference[Paper Code],"",0,-1),"")</f>
        <v/>
      </c>
      <c r="M113" s="12" t="str">
        <f>IF(I113=2,_xlfn.XLOOKUP(C113,Paper_Reference[Item ID],Paper_Reference[Paper Description],"",0,-1),"")</f>
        <v/>
      </c>
    </row>
    <row r="114" spans="1:13">
      <c r="A114" s="10" t="s">
        <v>953</v>
      </c>
      <c r="B114" s="11" t="s">
        <v>99</v>
      </c>
      <c r="C114" s="11" t="s">
        <v>100</v>
      </c>
      <c r="D114" s="11" t="s">
        <v>101</v>
      </c>
      <c r="E114" s="11" t="s">
        <v>102</v>
      </c>
      <c r="F114" s="15">
        <v>18</v>
      </c>
      <c r="G114" s="11" t="s">
        <v>20</v>
      </c>
      <c r="H114" s="14">
        <v>44922</v>
      </c>
      <c r="I114" s="10">
        <f>COUNTIF(Paper_Reference[[#All],[Item ID]],C114)</f>
        <v>1</v>
      </c>
      <c r="J114" s="12" t="str">
        <f>IFERROR(INDEX(Paper_Reference[Paper Code],MATCH(C114,Paper_Reference[Item ID],0)),"")</f>
        <v>100KM009-6200</v>
      </c>
      <c r="K114" s="12" t="str">
        <f>IFERROR(INDEX(Paper_Reference[Paper Description],MATCH(C114,Paper_Reference[Item ID],0)),"")</f>
        <v>Bruns Silver w/lines Print</v>
      </c>
      <c r="L114" s="12" t="str">
        <f>IF(I114=2,_xlfn.XLOOKUP(C114,Paper_Reference[Item ID],Paper_Reference[Paper Code],"",0,-1),"")</f>
        <v/>
      </c>
      <c r="M114" s="12" t="str">
        <f>IF(I114=2,_xlfn.XLOOKUP(C114,Paper_Reference[Item ID],Paper_Reference[Paper Description],"",0,-1),"")</f>
        <v/>
      </c>
    </row>
    <row r="115" spans="1:13">
      <c r="A115" s="10" t="s">
        <v>953</v>
      </c>
      <c r="B115" s="11" t="s">
        <v>57</v>
      </c>
      <c r="C115" s="11" t="s">
        <v>68</v>
      </c>
      <c r="D115" s="11" t="s">
        <v>69</v>
      </c>
      <c r="E115" s="11" t="s">
        <v>70</v>
      </c>
      <c r="F115" s="15">
        <v>18</v>
      </c>
      <c r="G115" s="11" t="s">
        <v>61</v>
      </c>
      <c r="H115" s="14">
        <v>44939</v>
      </c>
      <c r="I115" s="10">
        <f>COUNTIF(Paper_Reference[[#All],[Item ID]],C115)</f>
        <v>1</v>
      </c>
      <c r="J115" s="12" t="str">
        <f>IFERROR(INDEX(Paper_Reference[Paper Code],MATCH(C115,Paper_Reference[Item ID],0)),"")</f>
        <v>100WM311-4300</v>
      </c>
      <c r="K115" s="12" t="str">
        <f>IFERROR(INDEX(Paper_Reference[Paper Description],MATCH(C115,Paper_Reference[Item ID],0)),"")</f>
        <v>IQ MAPLE LANE LH</v>
      </c>
      <c r="L115" s="12" t="str">
        <f>IF(I115=2,_xlfn.XLOOKUP(C115,Paper_Reference[Item ID],Paper_Reference[Paper Code],"",0,-1),"")</f>
        <v/>
      </c>
      <c r="M115" s="12" t="str">
        <f>IF(I115=2,_xlfn.XLOOKUP(C115,Paper_Reference[Item ID],Paper_Reference[Paper Description],"",0,-1),"")</f>
        <v/>
      </c>
    </row>
    <row r="116" spans="1:13">
      <c r="A116" s="10" t="s">
        <v>953</v>
      </c>
      <c r="B116" s="11" t="s">
        <v>57</v>
      </c>
      <c r="C116" s="11" t="s">
        <v>62</v>
      </c>
      <c r="D116" s="11" t="s">
        <v>63</v>
      </c>
      <c r="E116" s="11" t="s">
        <v>64</v>
      </c>
      <c r="F116" s="15">
        <v>2</v>
      </c>
      <c r="G116" s="11" t="s">
        <v>61</v>
      </c>
      <c r="H116" s="14">
        <v>44939</v>
      </c>
      <c r="I116" s="10">
        <f>COUNTIF(Paper_Reference[[#All],[Item ID]],C116)</f>
        <v>0</v>
      </c>
      <c r="J116" s="12" t="str">
        <f>IFERROR(INDEX(Paper_Reference[Paper Code],MATCH(C116,Paper_Reference[Item ID],0)),"")</f>
        <v/>
      </c>
      <c r="K116" s="12" t="str">
        <f>IFERROR(INDEX(Paper_Reference[Paper Description],MATCH(C116,Paper_Reference[Item ID],0)),"")</f>
        <v/>
      </c>
      <c r="L116" s="12" t="str">
        <f>IF(I116=2,_xlfn.XLOOKUP(C116,Paper_Reference[Item ID],Paper_Reference[Paper Code],"",0,-1),"")</f>
        <v/>
      </c>
      <c r="M116" s="12" t="str">
        <f>IF(I116=2,_xlfn.XLOOKUP(C116,Paper_Reference[Item ID],Paper_Reference[Paper Description],"",0,-1),"")</f>
        <v/>
      </c>
    </row>
    <row r="117" spans="1:13">
      <c r="A117" s="10" t="s">
        <v>953</v>
      </c>
      <c r="B117" s="11" t="s">
        <v>57</v>
      </c>
      <c r="C117" s="11" t="s">
        <v>58</v>
      </c>
      <c r="D117" s="11" t="s">
        <v>59</v>
      </c>
      <c r="E117" s="11" t="s">
        <v>60</v>
      </c>
      <c r="F117" s="15">
        <v>4</v>
      </c>
      <c r="G117" s="11" t="s">
        <v>61</v>
      </c>
      <c r="H117" s="14">
        <v>44939</v>
      </c>
      <c r="I117" s="10">
        <f>COUNTIF(Paper_Reference[[#All],[Item ID]],C117)</f>
        <v>0</v>
      </c>
      <c r="J117" s="12" t="str">
        <f>IFERROR(INDEX(Paper_Reference[Paper Code],MATCH(C117,Paper_Reference[Item ID],0)),"")</f>
        <v/>
      </c>
      <c r="K117" s="12" t="str">
        <f>IFERROR(INDEX(Paper_Reference[Paper Description],MATCH(C117,Paper_Reference[Item ID],0)),"")</f>
        <v/>
      </c>
      <c r="L117" s="12" t="str">
        <f>IF(I117=2,_xlfn.XLOOKUP(C117,Paper_Reference[Item ID],Paper_Reference[Paper Code],"",0,-1),"")</f>
        <v/>
      </c>
      <c r="M117" s="12" t="str">
        <f>IF(I117=2,_xlfn.XLOOKUP(C117,Paper_Reference[Item ID],Paper_Reference[Paper Description],"",0,-1),"")</f>
        <v/>
      </c>
    </row>
    <row r="118" spans="1:13">
      <c r="A118" s="10" t="s">
        <v>953</v>
      </c>
      <c r="B118" s="11" t="s">
        <v>21</v>
      </c>
      <c r="C118" s="11" t="s">
        <v>22</v>
      </c>
      <c r="D118" s="11" t="s">
        <v>18</v>
      </c>
      <c r="E118" s="11" t="s">
        <v>23</v>
      </c>
      <c r="F118" s="15">
        <v>18</v>
      </c>
      <c r="G118" s="11" t="s">
        <v>24</v>
      </c>
      <c r="H118" s="14">
        <v>44943</v>
      </c>
      <c r="I118" s="10">
        <f>COUNTIF(Paper_Reference[[#All],[Item ID]],C118)</f>
        <v>1</v>
      </c>
      <c r="J118" s="12" t="str">
        <f>IFERROR(INDEX(Paper_Reference[Paper Code],MATCH(C118,Paper_Reference[Item ID],0)),"")</f>
        <v>100WM991-4300</v>
      </c>
      <c r="K118" s="12" t="str">
        <f>IFERROR(INDEX(Paper_Reference[Paper Description],MATCH(C118,Paper_Reference[Item ID],0)),"")</f>
        <v>MAPLE LANE PRINT (W)</v>
      </c>
      <c r="L118" s="12" t="str">
        <f>IF(I118=2,_xlfn.XLOOKUP(C118,Paper_Reference[Item ID],Paper_Reference[Paper Code],"",0,-1),"")</f>
        <v/>
      </c>
      <c r="M118" s="12" t="str">
        <f>IF(I118=2,_xlfn.XLOOKUP(C118,Paper_Reference[Item ID],Paper_Reference[Paper Description],"",0,-1),"")</f>
        <v/>
      </c>
    </row>
    <row r="119" spans="1:13">
      <c r="A119" s="10" t="s">
        <v>953</v>
      </c>
      <c r="B119" s="11" t="s">
        <v>122</v>
      </c>
      <c r="C119" s="11" t="s">
        <v>175</v>
      </c>
      <c r="D119" s="11" t="s">
        <v>176</v>
      </c>
      <c r="E119" s="11" t="s">
        <v>177</v>
      </c>
      <c r="F119" s="15">
        <v>1</v>
      </c>
      <c r="G119" s="11" t="s">
        <v>126</v>
      </c>
      <c r="H119" s="14">
        <v>44943</v>
      </c>
      <c r="I119" s="10">
        <f>COUNTIF(Paper_Reference[[#All],[Item ID]],C119)</f>
        <v>2</v>
      </c>
      <c r="J119" s="12" t="str">
        <f>IFERROR(INDEX(Paper_Reference[Paper Code],MATCH(C119,Paper_Reference[Item ID],0)),"")</f>
        <v>10000020-6200</v>
      </c>
      <c r="K119" s="12" t="str">
        <f>IFERROR(INDEX(Paper_Reference[Paper Description],MATCH(C119,Paper_Reference[Item ID],0)),"")</f>
        <v>Premium Inkjet MPK 9653</v>
      </c>
      <c r="L119" s="12" t="str">
        <f>IF(I119=2,_xlfn.XLOOKUP(C119,Paper_Reference[Item ID],Paper_Reference[Paper Code],"",0,-1),"")</f>
        <v>10000020-5000</v>
      </c>
      <c r="M119" s="12" t="str">
        <f>IF(I119=2,_xlfn.XLOOKUP(C119,Paper_Reference[Item ID],Paper_Reference[Paper Description],"",0,-1),"")</f>
        <v>Premium Inkjet MPK 9653</v>
      </c>
    </row>
    <row r="120" spans="1:13">
      <c r="A120" s="10" t="s">
        <v>953</v>
      </c>
      <c r="B120" s="11" t="s">
        <v>122</v>
      </c>
      <c r="C120" s="11" t="s">
        <v>123</v>
      </c>
      <c r="D120" s="11" t="s">
        <v>124</v>
      </c>
      <c r="E120" s="11" t="s">
        <v>125</v>
      </c>
      <c r="F120" s="15">
        <v>4</v>
      </c>
      <c r="G120" s="11" t="s">
        <v>126</v>
      </c>
      <c r="H120" s="14">
        <v>44943</v>
      </c>
      <c r="I120" s="10">
        <f>COUNTIF(Paper_Reference[[#All],[Item ID]],C120)</f>
        <v>1</v>
      </c>
      <c r="J120" s="12" t="str">
        <f>IFERROR(INDEX(Paper_Reference[Paper Code],MATCH(C120,Paper_Reference[Item ID],0)),"")</f>
        <v>10000020-6200</v>
      </c>
      <c r="K120" s="12" t="str">
        <f>IFERROR(INDEX(Paper_Reference[Paper Description],MATCH(C120,Paper_Reference[Item ID],0)),"")</f>
        <v>Premium Inkjet MPK 9653</v>
      </c>
      <c r="L120" s="12" t="str">
        <f>IF(I120=2,_xlfn.XLOOKUP(C120,Paper_Reference[Item ID],Paper_Reference[Paper Code],"",0,-1),"")</f>
        <v/>
      </c>
      <c r="M120" s="12" t="str">
        <f>IF(I120=2,_xlfn.XLOOKUP(C120,Paper_Reference[Item ID],Paper_Reference[Paper Description],"",0,-1),"")</f>
        <v/>
      </c>
    </row>
    <row r="121" spans="1:13">
      <c r="A121" s="10" t="s">
        <v>953</v>
      </c>
      <c r="B121" s="11" t="s">
        <v>16</v>
      </c>
      <c r="C121" s="11" t="s">
        <v>17</v>
      </c>
      <c r="D121" s="11" t="s">
        <v>18</v>
      </c>
      <c r="E121" s="11" t="s">
        <v>19</v>
      </c>
      <c r="F121" s="15">
        <v>18</v>
      </c>
      <c r="G121" s="11" t="s">
        <v>20</v>
      </c>
      <c r="H121" s="14">
        <v>44950</v>
      </c>
      <c r="I121" s="10">
        <f>COUNTIF(Paper_Reference[[#All],[Item ID]],C121)</f>
        <v>1</v>
      </c>
      <c r="J121" s="12" t="str">
        <f>IFERROR(INDEX(Paper_Reference[Paper Code],MATCH(C121,Paper_Reference[Item ID],0)),"")</f>
        <v>100WM991-4300</v>
      </c>
      <c r="K121" s="12" t="str">
        <f>IFERROR(INDEX(Paper_Reference[Paper Description],MATCH(C121,Paper_Reference[Item ID],0)),"")</f>
        <v>MAPLE LANE PRINT (W)</v>
      </c>
      <c r="L121" s="12" t="str">
        <f>IF(I121=2,_xlfn.XLOOKUP(C121,Paper_Reference[Item ID],Paper_Reference[Paper Code],"",0,-1),"")</f>
        <v/>
      </c>
      <c r="M121" s="12" t="str">
        <f>IF(I121=2,_xlfn.XLOOKUP(C121,Paper_Reference[Item ID],Paper_Reference[Paper Description],"",0,-1),"")</f>
        <v/>
      </c>
    </row>
    <row r="122" spans="1:13">
      <c r="A122" s="10" t="s">
        <v>953</v>
      </c>
      <c r="B122" s="11" t="s">
        <v>16</v>
      </c>
      <c r="C122" s="11" t="s">
        <v>65</v>
      </c>
      <c r="D122" s="11" t="s">
        <v>66</v>
      </c>
      <c r="E122" s="11" t="s">
        <v>67</v>
      </c>
      <c r="F122" s="15">
        <v>36</v>
      </c>
      <c r="G122" s="11" t="s">
        <v>20</v>
      </c>
      <c r="H122" s="14">
        <v>44950</v>
      </c>
      <c r="I122" s="10">
        <f>COUNTIF(Paper_Reference[[#All],[Item ID]],C122)</f>
        <v>2</v>
      </c>
      <c r="J122" s="12" t="str">
        <f>IFERROR(INDEX(Paper_Reference[Paper Code],MATCH(C122,Paper_Reference[Item ID],0)),"")</f>
        <v>100WM301-6200</v>
      </c>
      <c r="K122" s="12" t="str">
        <f>IFERROR(INDEX(Paper_Reference[Paper Description],MATCH(C122,Paper_Reference[Item ID],0)),"")</f>
        <v>IQ MAPLE LANE (C) 60 X 144</v>
      </c>
      <c r="L122" s="12" t="str">
        <f>IF(I122=2,_xlfn.XLOOKUP(C122,Paper_Reference[Item ID],Paper_Reference[Paper Code],"",0,-1),"")</f>
        <v>100WM301-6200</v>
      </c>
      <c r="M122" s="12" t="str">
        <f>IF(I122=2,_xlfn.XLOOKUP(C122,Paper_Reference[Item ID],Paper_Reference[Paper Description],"",0,-1),"")</f>
        <v>IQ MAPLE LANE (CENTER)</v>
      </c>
    </row>
    <row r="123" spans="1:13">
      <c r="A123" s="10" t="s">
        <v>953</v>
      </c>
      <c r="B123" s="11" t="s">
        <v>21</v>
      </c>
      <c r="C123" s="11" t="s">
        <v>151</v>
      </c>
      <c r="D123" s="11" t="s">
        <v>152</v>
      </c>
      <c r="E123" s="11" t="s">
        <v>153</v>
      </c>
      <c r="F123" s="15">
        <v>18</v>
      </c>
      <c r="G123" s="11" t="s">
        <v>24</v>
      </c>
      <c r="H123" s="14">
        <v>44952</v>
      </c>
      <c r="I123" s="10">
        <f>COUNTIF(Paper_Reference[[#All],[Item ID]],C123)</f>
        <v>8</v>
      </c>
      <c r="J123" s="12" t="str">
        <f>IFERROR(INDEX(Paper_Reference[Paper Code],MATCH(C123,Paper_Reference[Item ID],0)),"")</f>
        <v>100WM311-4300</v>
      </c>
      <c r="K123" s="12" t="str">
        <f>IFERROR(INDEX(Paper_Reference[Paper Description],MATCH(C123,Paper_Reference[Item ID],0)),"")</f>
        <v>IQ MAPLE LANE LH</v>
      </c>
      <c r="L123" s="12" t="str">
        <f>IF(I123=2,_xlfn.XLOOKUP(C123,Paper_Reference[Item ID],Paper_Reference[Paper Code],"",0,-1),"")</f>
        <v/>
      </c>
      <c r="M123" s="12" t="str">
        <f>IF(I123=2,_xlfn.XLOOKUP(C123,Paper_Reference[Item ID],Paper_Reference[Paper Description],"",0,-1),"")</f>
        <v/>
      </c>
    </row>
    <row r="124" spans="1:13">
      <c r="A124" s="10" t="s">
        <v>953</v>
      </c>
      <c r="B124" s="11" t="s">
        <v>25</v>
      </c>
      <c r="C124" s="11" t="s">
        <v>26</v>
      </c>
      <c r="D124" s="11" t="s">
        <v>27</v>
      </c>
      <c r="E124" s="11" t="s">
        <v>28</v>
      </c>
      <c r="F124" s="15">
        <v>3</v>
      </c>
      <c r="G124" s="11" t="s">
        <v>20</v>
      </c>
      <c r="H124" s="14">
        <v>44953</v>
      </c>
      <c r="I124" s="10">
        <f>COUNTIF(Paper_Reference[[#All],[Item ID]],C124)</f>
        <v>1</v>
      </c>
      <c r="J124" s="12" t="str">
        <f>IFERROR(INDEX(Paper_Reference[Paper Code],MATCH(C124,Paper_Reference[Item ID],0)),"")</f>
        <v>100WM991-4300</v>
      </c>
      <c r="K124" s="12" t="str">
        <f>IFERROR(INDEX(Paper_Reference[Paper Description],MATCH(C124,Paper_Reference[Item ID],0)),"")</f>
        <v>MAPLE LANE PRINT (W)</v>
      </c>
      <c r="L124" s="12" t="str">
        <f>IF(I124=2,_xlfn.XLOOKUP(C124,Paper_Reference[Item ID],Paper_Reference[Paper Code],"",0,-1),"")</f>
        <v/>
      </c>
      <c r="M124" s="12" t="str">
        <f>IF(I124=2,_xlfn.XLOOKUP(C124,Paper_Reference[Item ID],Paper_Reference[Paper Description],"",0,-1),"")</f>
        <v/>
      </c>
    </row>
    <row r="125" spans="1:13">
      <c r="A125" s="10" t="s">
        <v>953</v>
      </c>
      <c r="B125" s="11" t="s">
        <v>25</v>
      </c>
      <c r="C125" s="11" t="s">
        <v>34</v>
      </c>
      <c r="D125" s="11" t="s">
        <v>35</v>
      </c>
      <c r="E125" s="11" t="s">
        <v>36</v>
      </c>
      <c r="F125" s="15">
        <v>2</v>
      </c>
      <c r="G125" s="11" t="s">
        <v>20</v>
      </c>
      <c r="H125" s="14">
        <v>44953</v>
      </c>
      <c r="I125" s="10">
        <f>COUNTIF(Paper_Reference[[#All],[Item ID]],C125)</f>
        <v>1</v>
      </c>
      <c r="J125" s="12" t="str">
        <f>IFERROR(INDEX(Paper_Reference[Paper Code],MATCH(C125,Paper_Reference[Item ID],0)),"")</f>
        <v>100WM981-6200</v>
      </c>
      <c r="K125" s="12" t="str">
        <f>IFERROR(INDEX(Paper_Reference[Paper Description],MATCH(C125,Paper_Reference[Item ID],0)),"")</f>
        <v>LEFT BRUNSWICK MAPLE (W)</v>
      </c>
      <c r="L125" s="12" t="str">
        <f>IF(I125=2,_xlfn.XLOOKUP(C125,Paper_Reference[Item ID],Paper_Reference[Paper Code],"",0,-1),"")</f>
        <v/>
      </c>
      <c r="M125" s="12" t="str">
        <f>IF(I125=2,_xlfn.XLOOKUP(C125,Paper_Reference[Item ID],Paper_Reference[Paper Description],"",0,-1),"")</f>
        <v/>
      </c>
    </row>
    <row r="126" spans="1:13">
      <c r="A126" s="10" t="s">
        <v>953</v>
      </c>
      <c r="B126" s="11" t="s">
        <v>25</v>
      </c>
      <c r="C126" s="11" t="s">
        <v>40</v>
      </c>
      <c r="D126" s="11" t="s">
        <v>41</v>
      </c>
      <c r="E126" s="11" t="s">
        <v>42</v>
      </c>
      <c r="F126" s="15">
        <v>4</v>
      </c>
      <c r="G126" s="11" t="s">
        <v>20</v>
      </c>
      <c r="H126" s="14">
        <v>44953</v>
      </c>
      <c r="I126" s="10">
        <f>COUNTIF(Paper_Reference[[#All],[Item ID]],C126)</f>
        <v>1</v>
      </c>
      <c r="J126" s="12" t="str">
        <f>IFERROR(INDEX(Paper_Reference[Paper Code],MATCH(C126,Paper_Reference[Item ID],0)),"")</f>
        <v>100WM981-6200</v>
      </c>
      <c r="K126" s="12" t="str">
        <f>IFERROR(INDEX(Paper_Reference[Paper Description],MATCH(C126,Paper_Reference[Item ID],0)),"")</f>
        <v>LEFT BRUNSWICK MAPLE (W)</v>
      </c>
      <c r="L126" s="12" t="str">
        <f>IF(I126=2,_xlfn.XLOOKUP(C126,Paper_Reference[Item ID],Paper_Reference[Paper Code],"",0,-1),"")</f>
        <v/>
      </c>
      <c r="M126" s="12" t="str">
        <f>IF(I126=2,_xlfn.XLOOKUP(C126,Paper_Reference[Item ID],Paper_Reference[Paper Description],"",0,-1),"")</f>
        <v/>
      </c>
    </row>
    <row r="127" spans="1:13">
      <c r="A127" s="10" t="s">
        <v>953</v>
      </c>
      <c r="B127" s="11" t="s">
        <v>25</v>
      </c>
      <c r="C127" s="11" t="s">
        <v>31</v>
      </c>
      <c r="D127" s="11" t="s">
        <v>32</v>
      </c>
      <c r="E127" s="11" t="s">
        <v>33</v>
      </c>
      <c r="F127" s="15">
        <v>3</v>
      </c>
      <c r="G127" s="11" t="s">
        <v>20</v>
      </c>
      <c r="H127" s="14">
        <v>44953</v>
      </c>
      <c r="I127" s="10">
        <f>COUNTIF(Paper_Reference[[#All],[Item ID]],C127)</f>
        <v>1</v>
      </c>
      <c r="J127" s="12" t="str">
        <f>IFERROR(INDEX(Paper_Reference[Paper Code],MATCH(C127,Paper_Reference[Item ID],0)),"")</f>
        <v>100WM101-6200</v>
      </c>
      <c r="K127" s="12" t="str">
        <f>IFERROR(INDEX(Paper_Reference[Paper Description],MATCH(C127,Paper_Reference[Item ID],0)),"")</f>
        <v>RIGHT BRUNSWICK MAPLE (W)</v>
      </c>
      <c r="L127" s="12" t="str">
        <f>IF(I127=2,_xlfn.XLOOKUP(C127,Paper_Reference[Item ID],Paper_Reference[Paper Code],"",0,-1),"")</f>
        <v/>
      </c>
      <c r="M127" s="12" t="str">
        <f>IF(I127=2,_xlfn.XLOOKUP(C127,Paper_Reference[Item ID],Paper_Reference[Paper Description],"",0,-1),"")</f>
        <v/>
      </c>
    </row>
    <row r="128" spans="1:13">
      <c r="A128" s="10" t="s">
        <v>953</v>
      </c>
      <c r="B128" s="11" t="s">
        <v>8718</v>
      </c>
      <c r="C128" s="11" t="s">
        <v>998</v>
      </c>
      <c r="D128" s="11" t="s">
        <v>993</v>
      </c>
      <c r="E128" s="11" t="s">
        <v>8745</v>
      </c>
      <c r="F128" s="15">
        <v>8</v>
      </c>
      <c r="G128" s="11" t="s">
        <v>8722</v>
      </c>
      <c r="H128" s="14">
        <v>44957</v>
      </c>
      <c r="I128" s="10">
        <f>COUNTIF(Paper_Reference[[#All],[Item ID]],C128)</f>
        <v>1</v>
      </c>
      <c r="J128" s="12" t="str">
        <f>IFERROR(INDEX(Paper_Reference[Paper Code],MATCH(C128,Paper_Reference[Item ID],0)),"")</f>
        <v>100KM009-6200</v>
      </c>
      <c r="K128" s="12" t="str">
        <f>IFERROR(INDEX(Paper_Reference[Paper Description],MATCH(C128,Paper_Reference[Item ID],0)),"")</f>
        <v>Bruns Silver w/lines Print</v>
      </c>
      <c r="L128" s="12" t="str">
        <f>IF(I128=2,_xlfn.XLOOKUP(C128,Paper_Reference[Item ID],Paper_Reference[Paper Code],"",0,-1),"")</f>
        <v/>
      </c>
      <c r="M128" s="12" t="str">
        <f>IF(I128=2,_xlfn.XLOOKUP(C128,Paper_Reference[Item ID],Paper_Reference[Paper Description],"",0,-1),"")</f>
        <v/>
      </c>
    </row>
    <row r="129" spans="1:13">
      <c r="A129" s="10" t="s">
        <v>953</v>
      </c>
      <c r="B129" s="11" t="s">
        <v>8718</v>
      </c>
      <c r="C129" s="11" t="s">
        <v>51</v>
      </c>
      <c r="D129" s="11" t="s">
        <v>52</v>
      </c>
      <c r="E129" s="11" t="s">
        <v>53</v>
      </c>
      <c r="F129" s="15">
        <v>4</v>
      </c>
      <c r="G129" s="11" t="s">
        <v>8722</v>
      </c>
      <c r="H129" s="14">
        <v>44957</v>
      </c>
      <c r="I129" s="10">
        <f>COUNTIF(Paper_Reference[[#All],[Item ID]],C129)</f>
        <v>1</v>
      </c>
      <c r="J129" s="12" t="str">
        <f>IFERROR(INDEX(Paper_Reference[Paper Code],MATCH(C129,Paper_Reference[Item ID],0)),"")</f>
        <v>100WM311-4300</v>
      </c>
      <c r="K129" s="12" t="str">
        <f>IFERROR(INDEX(Paper_Reference[Paper Description],MATCH(C129,Paper_Reference[Item ID],0)),"")</f>
        <v>IQ MAPLE LANE LH</v>
      </c>
      <c r="L129" s="12" t="str">
        <f>IF(I129=2,_xlfn.XLOOKUP(C129,Paper_Reference[Item ID],Paper_Reference[Paper Code],"",0,-1),"")</f>
        <v/>
      </c>
      <c r="M129" s="12" t="str">
        <f>IF(I129=2,_xlfn.XLOOKUP(C129,Paper_Reference[Item ID],Paper_Reference[Paper Description],"",0,-1),"")</f>
        <v/>
      </c>
    </row>
    <row r="130" spans="1:13">
      <c r="A130" s="10" t="s">
        <v>953</v>
      </c>
      <c r="B130" s="11" t="s">
        <v>8718</v>
      </c>
      <c r="C130" s="11" t="s">
        <v>8725</v>
      </c>
      <c r="D130" s="11" t="s">
        <v>8726</v>
      </c>
      <c r="E130" s="11" t="s">
        <v>8727</v>
      </c>
      <c r="F130" s="15">
        <v>12</v>
      </c>
      <c r="G130" s="11" t="s">
        <v>8722</v>
      </c>
      <c r="H130" s="14">
        <v>44957</v>
      </c>
      <c r="I130" s="10">
        <f>COUNTIF(Paper_Reference[[#All],[Item ID]],C130)</f>
        <v>1</v>
      </c>
      <c r="J130" s="12" t="str">
        <f>IFERROR(INDEX(Paper_Reference[Paper Code],MATCH(C130,Paper_Reference[Item ID],0)),"")</f>
        <v>100WM321-4300</v>
      </c>
      <c r="K130" s="12" t="str">
        <f>IFERROR(INDEX(Paper_Reference[Paper Description],MATCH(C130,Paper_Reference[Item ID],0)),"")</f>
        <v>IQ MAPLE LANE RH</v>
      </c>
      <c r="L130" s="12" t="str">
        <f>IF(I130=2,_xlfn.XLOOKUP(C130,Paper_Reference[Item ID],Paper_Reference[Paper Code],"",0,-1),"")</f>
        <v/>
      </c>
      <c r="M130" s="12" t="str">
        <f>IF(I130=2,_xlfn.XLOOKUP(C130,Paper_Reference[Item ID],Paper_Reference[Paper Description],"",0,-1),"")</f>
        <v/>
      </c>
    </row>
    <row r="131" spans="1:13">
      <c r="A131" s="10" t="s">
        <v>953</v>
      </c>
      <c r="B131" s="11" t="s">
        <v>8718</v>
      </c>
      <c r="C131" s="11" t="s">
        <v>8719</v>
      </c>
      <c r="D131" s="11" t="s">
        <v>8720</v>
      </c>
      <c r="E131" s="11" t="s">
        <v>8721</v>
      </c>
      <c r="F131" s="15">
        <v>8</v>
      </c>
      <c r="G131" s="11" t="s">
        <v>8722</v>
      </c>
      <c r="H131" s="14">
        <v>44957</v>
      </c>
      <c r="I131" s="10">
        <f>COUNTIF(Paper_Reference[[#All],[Item ID]],C131)</f>
        <v>1</v>
      </c>
      <c r="J131" s="12" t="str">
        <f>IFERROR(INDEX(Paper_Reference[Paper Code],MATCH(C131,Paper_Reference[Item ID],0)),"")</f>
        <v>100WM991-4300</v>
      </c>
      <c r="K131" s="12" t="str">
        <f>IFERROR(INDEX(Paper_Reference[Paper Description],MATCH(C131,Paper_Reference[Item ID],0)),"")</f>
        <v>MAPLE LANE PRINT (W)</v>
      </c>
      <c r="L131" s="12" t="str">
        <f>IF(I131=2,_xlfn.XLOOKUP(C131,Paper_Reference[Item ID],Paper_Reference[Paper Code],"",0,-1),"")</f>
        <v/>
      </c>
      <c r="M131" s="12" t="str">
        <f>IF(I131=2,_xlfn.XLOOKUP(C131,Paper_Reference[Item ID],Paper_Reference[Paper Description],"",0,-1),"")</f>
        <v/>
      </c>
    </row>
    <row r="132" spans="1:13">
      <c r="A132" s="10" t="s">
        <v>953</v>
      </c>
      <c r="B132" s="11" t="s">
        <v>8718</v>
      </c>
      <c r="C132" s="11" t="s">
        <v>31</v>
      </c>
      <c r="D132" s="11" t="s">
        <v>32</v>
      </c>
      <c r="E132" s="11" t="s">
        <v>33</v>
      </c>
      <c r="F132" s="15">
        <v>2</v>
      </c>
      <c r="G132" s="11" t="s">
        <v>8722</v>
      </c>
      <c r="H132" s="14">
        <v>44957</v>
      </c>
      <c r="I132" s="10">
        <f>COUNTIF(Paper_Reference[[#All],[Item ID]],C132)</f>
        <v>1</v>
      </c>
      <c r="J132" s="12" t="str">
        <f>IFERROR(INDEX(Paper_Reference[Paper Code],MATCH(C132,Paper_Reference[Item ID],0)),"")</f>
        <v>100WM101-6200</v>
      </c>
      <c r="K132" s="12" t="str">
        <f>IFERROR(INDEX(Paper_Reference[Paper Description],MATCH(C132,Paper_Reference[Item ID],0)),"")</f>
        <v>RIGHT BRUNSWICK MAPLE (W)</v>
      </c>
      <c r="L132" s="12" t="str">
        <f>IF(I132=2,_xlfn.XLOOKUP(C132,Paper_Reference[Item ID],Paper_Reference[Paper Code],"",0,-1),"")</f>
        <v/>
      </c>
      <c r="M132" s="12" t="str">
        <f>IF(I132=2,_xlfn.XLOOKUP(C132,Paper_Reference[Item ID],Paper_Reference[Paper Description],"",0,-1),"")</f>
        <v/>
      </c>
    </row>
    <row r="133" spans="1:13">
      <c r="A133" s="10" t="s">
        <v>953</v>
      </c>
      <c r="B133" s="11" t="s">
        <v>154</v>
      </c>
      <c r="C133" s="11" t="s">
        <v>151</v>
      </c>
      <c r="D133" s="11" t="s">
        <v>152</v>
      </c>
      <c r="E133" s="11" t="s">
        <v>153</v>
      </c>
      <c r="F133" s="15">
        <v>18</v>
      </c>
      <c r="G133" s="11" t="s">
        <v>24</v>
      </c>
      <c r="H133" s="14">
        <v>44960</v>
      </c>
      <c r="I133" s="10">
        <f>COUNTIF(Paper_Reference[[#All],[Item ID]],C133)</f>
        <v>8</v>
      </c>
      <c r="J133" s="12" t="str">
        <f>IFERROR(INDEX(Paper_Reference[Paper Code],MATCH(C133,Paper_Reference[Item ID],0)),"")</f>
        <v>100WM311-4300</v>
      </c>
      <c r="K133" s="12" t="str">
        <f>IFERROR(INDEX(Paper_Reference[Paper Description],MATCH(C133,Paper_Reference[Item ID],0)),"")</f>
        <v>IQ MAPLE LANE LH</v>
      </c>
      <c r="L133" s="12" t="str">
        <f>IF(I133=2,_xlfn.XLOOKUP(C133,Paper_Reference[Item ID],Paper_Reference[Paper Code],"",0,-1),"")</f>
        <v/>
      </c>
      <c r="M133" s="12" t="str">
        <f>IF(I133=2,_xlfn.XLOOKUP(C133,Paper_Reference[Item ID],Paper_Reference[Paper Description],"",0,-1),"")</f>
        <v/>
      </c>
    </row>
    <row r="134" spans="1:13">
      <c r="A134" s="10" t="s">
        <v>953</v>
      </c>
      <c r="B134" s="11" t="s">
        <v>29</v>
      </c>
      <c r="C134" s="11" t="s">
        <v>43</v>
      </c>
      <c r="D134" s="11" t="s">
        <v>44</v>
      </c>
      <c r="E134" s="11" t="s">
        <v>45</v>
      </c>
      <c r="F134" s="15">
        <v>36</v>
      </c>
      <c r="G134" s="11" t="s">
        <v>30</v>
      </c>
      <c r="H134" s="14">
        <v>44964</v>
      </c>
      <c r="I134" s="10">
        <f>COUNTIF(Paper_Reference[[#All],[Item ID]],C134)</f>
        <v>1</v>
      </c>
      <c r="J134" s="12" t="str">
        <f>IFERROR(INDEX(Paper_Reference[Paper Code],MATCH(C134,Paper_Reference[Item ID],0)),"")</f>
        <v>100WM111-6200</v>
      </c>
      <c r="K134" s="12" t="str">
        <f>IFERROR(INDEX(Paper_Reference[Paper Description],MATCH(C134,Paper_Reference[Item ID],0)),"")</f>
        <v>RETURN MAPLE PRINT</v>
      </c>
      <c r="L134" s="12" t="str">
        <f>IF(I134=2,_xlfn.XLOOKUP(C134,Paper_Reference[Item ID],Paper_Reference[Paper Code],"",0,-1),"")</f>
        <v/>
      </c>
      <c r="M134" s="12" t="str">
        <f>IF(I134=2,_xlfn.XLOOKUP(C134,Paper_Reference[Item ID],Paper_Reference[Paper Description],"",0,-1),"")</f>
        <v/>
      </c>
    </row>
    <row r="135" spans="1:13">
      <c r="A135" s="10" t="s">
        <v>953</v>
      </c>
      <c r="B135" s="11" t="s">
        <v>29</v>
      </c>
      <c r="C135" s="11" t="s">
        <v>26</v>
      </c>
      <c r="D135" s="11" t="s">
        <v>27</v>
      </c>
      <c r="E135" s="11" t="s">
        <v>28</v>
      </c>
      <c r="F135" s="15">
        <v>3</v>
      </c>
      <c r="G135" s="11" t="s">
        <v>30</v>
      </c>
      <c r="H135" s="14">
        <v>44964</v>
      </c>
      <c r="I135" s="10">
        <f>COUNTIF(Paper_Reference[[#All],[Item ID]],C135)</f>
        <v>1</v>
      </c>
      <c r="J135" s="12" t="str">
        <f>IFERROR(INDEX(Paper_Reference[Paper Code],MATCH(C135,Paper_Reference[Item ID],0)),"")</f>
        <v>100WM991-4300</v>
      </c>
      <c r="K135" s="12" t="str">
        <f>IFERROR(INDEX(Paper_Reference[Paper Description],MATCH(C135,Paper_Reference[Item ID],0)),"")</f>
        <v>MAPLE LANE PRINT (W)</v>
      </c>
      <c r="L135" s="12" t="str">
        <f>IF(I135=2,_xlfn.XLOOKUP(C135,Paper_Reference[Item ID],Paper_Reference[Paper Code],"",0,-1),"")</f>
        <v/>
      </c>
      <c r="M135" s="12" t="str">
        <f>IF(I135=2,_xlfn.XLOOKUP(C135,Paper_Reference[Item ID],Paper_Reference[Paper Description],"",0,-1),"")</f>
        <v/>
      </c>
    </row>
    <row r="136" spans="1:13">
      <c r="A136" s="10" t="s">
        <v>953</v>
      </c>
      <c r="B136" s="11" t="s">
        <v>29</v>
      </c>
      <c r="C136" s="11" t="s">
        <v>40</v>
      </c>
      <c r="D136" s="11" t="s">
        <v>41</v>
      </c>
      <c r="E136" s="11" t="s">
        <v>42</v>
      </c>
      <c r="F136" s="15">
        <v>6</v>
      </c>
      <c r="G136" s="11" t="s">
        <v>30</v>
      </c>
      <c r="H136" s="14">
        <v>44964</v>
      </c>
      <c r="I136" s="10">
        <f>COUNTIF(Paper_Reference[[#All],[Item ID]],C136)</f>
        <v>1</v>
      </c>
      <c r="J136" s="12" t="str">
        <f>IFERROR(INDEX(Paper_Reference[Paper Code],MATCH(C136,Paper_Reference[Item ID],0)),"")</f>
        <v>100WM981-6200</v>
      </c>
      <c r="K136" s="12" t="str">
        <f>IFERROR(INDEX(Paper_Reference[Paper Description],MATCH(C136,Paper_Reference[Item ID],0)),"")</f>
        <v>LEFT BRUNSWICK MAPLE (W)</v>
      </c>
      <c r="L136" s="12" t="str">
        <f>IF(I136=2,_xlfn.XLOOKUP(C136,Paper_Reference[Item ID],Paper_Reference[Paper Code],"",0,-1),"")</f>
        <v/>
      </c>
      <c r="M136" s="12" t="str">
        <f>IF(I136=2,_xlfn.XLOOKUP(C136,Paper_Reference[Item ID],Paper_Reference[Paper Description],"",0,-1),"")</f>
        <v/>
      </c>
    </row>
    <row r="137" spans="1:13">
      <c r="A137" s="10" t="s">
        <v>953</v>
      </c>
      <c r="B137" s="11" t="s">
        <v>29</v>
      </c>
      <c r="C137" s="11" t="s">
        <v>37</v>
      </c>
      <c r="D137" s="11" t="s">
        <v>38</v>
      </c>
      <c r="E137" s="11" t="s">
        <v>39</v>
      </c>
      <c r="F137" s="15">
        <v>3</v>
      </c>
      <c r="G137" s="11" t="s">
        <v>30</v>
      </c>
      <c r="H137" s="14">
        <v>44964</v>
      </c>
      <c r="I137" s="10">
        <f>COUNTIF(Paper_Reference[[#All],[Item ID]],C137)</f>
        <v>1</v>
      </c>
      <c r="J137" s="12" t="str">
        <f>IFERROR(INDEX(Paper_Reference[Paper Code],MATCH(C137,Paper_Reference[Item ID],0)),"")</f>
        <v>100WM101-6200</v>
      </c>
      <c r="K137" s="12" t="str">
        <f>IFERROR(INDEX(Paper_Reference[Paper Description],MATCH(C137,Paper_Reference[Item ID],0)),"")</f>
        <v>RIGHT BRUNSWICK MAPLE (W)</v>
      </c>
      <c r="L137" s="12" t="str">
        <f>IF(I137=2,_xlfn.XLOOKUP(C137,Paper_Reference[Item ID],Paper_Reference[Paper Code],"",0,-1),"")</f>
        <v/>
      </c>
      <c r="M137" s="12" t="str">
        <f>IF(I137=2,_xlfn.XLOOKUP(C137,Paper_Reference[Item ID],Paper_Reference[Paper Description],"",0,-1),"")</f>
        <v/>
      </c>
    </row>
    <row r="138" spans="1:13">
      <c r="A138" s="10" t="s">
        <v>953</v>
      </c>
      <c r="B138" s="11" t="s">
        <v>50</v>
      </c>
      <c r="C138" s="11" t="s">
        <v>180</v>
      </c>
      <c r="D138" s="11" t="s">
        <v>181</v>
      </c>
      <c r="E138" s="11" t="s">
        <v>182</v>
      </c>
      <c r="F138" s="15">
        <v>1</v>
      </c>
      <c r="G138" s="11" t="s">
        <v>30</v>
      </c>
      <c r="H138" s="14">
        <v>44967</v>
      </c>
      <c r="I138" s="10">
        <f>COUNTIF(Paper_Reference[[#All],[Item ID]],C138)</f>
        <v>1</v>
      </c>
      <c r="J138" s="12" t="str">
        <f>IFERROR(INDEX(Paper_Reference[Paper Code],MATCH(C138,Paper_Reference[Item ID],0)),"")</f>
        <v>100KM009-6200</v>
      </c>
      <c r="K138" s="12" t="str">
        <f>IFERROR(INDEX(Paper_Reference[Paper Description],MATCH(C138,Paper_Reference[Item ID],0)),"")</f>
        <v>Bruns Silver w/lines Print</v>
      </c>
      <c r="L138" s="12" t="str">
        <f>IF(I138=2,_xlfn.XLOOKUP(C138,Paper_Reference[Item ID],Paper_Reference[Paper Code],"",0,-1),"")</f>
        <v/>
      </c>
      <c r="M138" s="12" t="str">
        <f>IF(I138=2,_xlfn.XLOOKUP(C138,Paper_Reference[Item ID],Paper_Reference[Paper Description],"",0,-1),"")</f>
        <v/>
      </c>
    </row>
    <row r="139" spans="1:13">
      <c r="A139" s="10" t="s">
        <v>953</v>
      </c>
      <c r="B139" s="11" t="s">
        <v>50</v>
      </c>
      <c r="C139" s="11" t="s">
        <v>54</v>
      </c>
      <c r="D139" s="11" t="s">
        <v>55</v>
      </c>
      <c r="E139" s="11" t="s">
        <v>56</v>
      </c>
      <c r="F139" s="15">
        <v>2</v>
      </c>
      <c r="G139" s="11" t="s">
        <v>30</v>
      </c>
      <c r="H139" s="14">
        <v>44967</v>
      </c>
      <c r="I139" s="10">
        <f>COUNTIF(Paper_Reference[[#All],[Item ID]],C139)</f>
        <v>1</v>
      </c>
      <c r="J139" s="12" t="str">
        <f>IFERROR(INDEX(Paper_Reference[Paper Code],MATCH(C139,Paper_Reference[Item ID],0)),"")</f>
        <v>100WM311-4300</v>
      </c>
      <c r="K139" s="12" t="str">
        <f>IFERROR(INDEX(Paper_Reference[Paper Description],MATCH(C139,Paper_Reference[Item ID],0)),"")</f>
        <v>IQ MAPLE LANE LH</v>
      </c>
      <c r="L139" s="12" t="str">
        <f>IF(I139=2,_xlfn.XLOOKUP(C139,Paper_Reference[Item ID],Paper_Reference[Paper Code],"",0,-1),"")</f>
        <v/>
      </c>
      <c r="M139" s="12" t="str">
        <f>IF(I139=2,_xlfn.XLOOKUP(C139,Paper_Reference[Item ID],Paper_Reference[Paper Description],"",0,-1),"")</f>
        <v/>
      </c>
    </row>
    <row r="140" spans="1:13">
      <c r="A140" s="10" t="s">
        <v>953</v>
      </c>
      <c r="B140" s="11" t="s">
        <v>50</v>
      </c>
      <c r="C140" s="11" t="s">
        <v>51</v>
      </c>
      <c r="D140" s="11" t="s">
        <v>52</v>
      </c>
      <c r="E140" s="11" t="s">
        <v>53</v>
      </c>
      <c r="F140" s="15">
        <v>4</v>
      </c>
      <c r="G140" s="11" t="s">
        <v>30</v>
      </c>
      <c r="H140" s="14">
        <v>44967</v>
      </c>
      <c r="I140" s="10">
        <f>COUNTIF(Paper_Reference[[#All],[Item ID]],C140)</f>
        <v>1</v>
      </c>
      <c r="J140" s="12" t="str">
        <f>IFERROR(INDEX(Paper_Reference[Paper Code],MATCH(C140,Paper_Reference[Item ID],0)),"")</f>
        <v>100WM311-4300</v>
      </c>
      <c r="K140" s="12" t="str">
        <f>IFERROR(INDEX(Paper_Reference[Paper Description],MATCH(C140,Paper_Reference[Item ID],0)),"")</f>
        <v>IQ MAPLE LANE LH</v>
      </c>
      <c r="L140" s="12" t="str">
        <f>IF(I140=2,_xlfn.XLOOKUP(C140,Paper_Reference[Item ID],Paper_Reference[Paper Code],"",0,-1),"")</f>
        <v/>
      </c>
      <c r="M140" s="12" t="str">
        <f>IF(I140=2,_xlfn.XLOOKUP(C140,Paper_Reference[Item ID],Paper_Reference[Paper Description],"",0,-1),"")</f>
        <v/>
      </c>
    </row>
    <row r="141" spans="1:13">
      <c r="A141" s="10" t="s">
        <v>953</v>
      </c>
      <c r="B141" s="11" t="s">
        <v>83</v>
      </c>
      <c r="C141" s="11" t="s">
        <v>84</v>
      </c>
      <c r="D141" s="11" t="s">
        <v>85</v>
      </c>
      <c r="E141" s="11" t="s">
        <v>86</v>
      </c>
      <c r="F141" s="15">
        <v>1</v>
      </c>
      <c r="G141" s="11" t="s">
        <v>87</v>
      </c>
      <c r="H141" s="14">
        <v>44967</v>
      </c>
      <c r="I141" s="10">
        <f>COUNTIF(Paper_Reference[[#All],[Item ID]],C141)</f>
        <v>0</v>
      </c>
      <c r="J141" s="12" t="str">
        <f>IFERROR(INDEX(Paper_Reference[Paper Code],MATCH(C141,Paper_Reference[Item ID],0)),"")</f>
        <v/>
      </c>
      <c r="K141" s="12" t="str">
        <f>IFERROR(INDEX(Paper_Reference[Paper Description],MATCH(C141,Paper_Reference[Item ID],0)),"")</f>
        <v/>
      </c>
      <c r="L141" s="12" t="str">
        <f>IF(I141=2,_xlfn.XLOOKUP(C141,Paper_Reference[Item ID],Paper_Reference[Paper Code],"",0,-1),"")</f>
        <v/>
      </c>
      <c r="M141" s="12" t="str">
        <f>IF(I141=2,_xlfn.XLOOKUP(C141,Paper_Reference[Item ID],Paper_Reference[Paper Description],"",0,-1),"")</f>
        <v/>
      </c>
    </row>
    <row r="142" spans="1:13">
      <c r="A142" s="10" t="s">
        <v>953</v>
      </c>
      <c r="B142" s="11" t="s">
        <v>8740</v>
      </c>
      <c r="C142" s="11" t="s">
        <v>8746</v>
      </c>
      <c r="D142" s="11" t="s">
        <v>8747</v>
      </c>
      <c r="E142" s="11" t="s">
        <v>8748</v>
      </c>
      <c r="F142" s="15">
        <v>1</v>
      </c>
      <c r="G142" s="11" t="s">
        <v>8744</v>
      </c>
      <c r="H142" s="14">
        <v>44967</v>
      </c>
      <c r="I142" s="10">
        <f>COUNTIF(Paper_Reference[[#All],[Item ID]],C142)</f>
        <v>0</v>
      </c>
      <c r="J142" s="12" t="str">
        <f>IFERROR(INDEX(Paper_Reference[Paper Code],MATCH(C142,Paper_Reference[Item ID],0)),"")</f>
        <v/>
      </c>
      <c r="K142" s="12" t="str">
        <f>IFERROR(INDEX(Paper_Reference[Paper Description],MATCH(C142,Paper_Reference[Item ID],0)),"")</f>
        <v/>
      </c>
      <c r="L142" s="12" t="str">
        <f>IF(I142=2,_xlfn.XLOOKUP(C142,Paper_Reference[Item ID],Paper_Reference[Paper Code],"",0,-1),"")</f>
        <v/>
      </c>
      <c r="M142" s="12" t="str">
        <f>IF(I142=2,_xlfn.XLOOKUP(C142,Paper_Reference[Item ID],Paper_Reference[Paper Description],"",0,-1),"")</f>
        <v/>
      </c>
    </row>
    <row r="143" spans="1:13">
      <c r="A143" s="10" t="s">
        <v>953</v>
      </c>
      <c r="B143" s="11" t="s">
        <v>8740</v>
      </c>
      <c r="C143" s="11" t="s">
        <v>8741</v>
      </c>
      <c r="D143" s="11" t="s">
        <v>8742</v>
      </c>
      <c r="E143" s="11" t="s">
        <v>8743</v>
      </c>
      <c r="F143" s="15">
        <v>3</v>
      </c>
      <c r="G143" s="11" t="s">
        <v>8744</v>
      </c>
      <c r="H143" s="14">
        <v>44967</v>
      </c>
      <c r="I143" s="10">
        <f>COUNTIF(Paper_Reference[[#All],[Item ID]],C143)</f>
        <v>0</v>
      </c>
      <c r="J143" s="12" t="str">
        <f>IFERROR(INDEX(Paper_Reference[Paper Code],MATCH(C143,Paper_Reference[Item ID],0)),"")</f>
        <v/>
      </c>
      <c r="K143" s="12" t="str">
        <f>IFERROR(INDEX(Paper_Reference[Paper Description],MATCH(C143,Paper_Reference[Item ID],0)),"")</f>
        <v/>
      </c>
      <c r="L143" s="12" t="str">
        <f>IF(I143=2,_xlfn.XLOOKUP(C143,Paper_Reference[Item ID],Paper_Reference[Paper Code],"",0,-1),"")</f>
        <v/>
      </c>
      <c r="M143" s="12" t="str">
        <f>IF(I143=2,_xlfn.XLOOKUP(C143,Paper_Reference[Item ID],Paper_Reference[Paper Description],"",0,-1),"")</f>
        <v/>
      </c>
    </row>
    <row r="144" spans="1:13">
      <c r="A144" s="10" t="s">
        <v>953</v>
      </c>
      <c r="B144" s="11" t="s">
        <v>8749</v>
      </c>
      <c r="C144" s="11" t="s">
        <v>8750</v>
      </c>
      <c r="D144" s="11" t="s">
        <v>8751</v>
      </c>
      <c r="E144" s="11" t="s">
        <v>8752</v>
      </c>
      <c r="F144" s="15">
        <v>1</v>
      </c>
      <c r="G144" s="11" t="s">
        <v>8753</v>
      </c>
      <c r="H144" s="14">
        <v>44967</v>
      </c>
      <c r="I144" s="10">
        <f>COUNTIF(Paper_Reference[[#All],[Item ID]],C144)</f>
        <v>0</v>
      </c>
      <c r="J144" s="12" t="str">
        <f>IFERROR(INDEX(Paper_Reference[Paper Code],MATCH(C144,Paper_Reference[Item ID],0)),"")</f>
        <v/>
      </c>
      <c r="K144" s="12" t="str">
        <f>IFERROR(INDEX(Paper_Reference[Paper Description],MATCH(C144,Paper_Reference[Item ID],0)),"")</f>
        <v/>
      </c>
      <c r="L144" s="12" t="str">
        <f>IF(I144=2,_xlfn.XLOOKUP(C144,Paper_Reference[Item ID],Paper_Reference[Paper Code],"",0,-1),"")</f>
        <v/>
      </c>
      <c r="M144" s="12" t="str">
        <f>IF(I144=2,_xlfn.XLOOKUP(C144,Paper_Reference[Item ID],Paper_Reference[Paper Description],"",0,-1),"")</f>
        <v/>
      </c>
    </row>
    <row r="145" spans="1:13">
      <c r="A145" s="10" t="s">
        <v>953</v>
      </c>
      <c r="B145" s="11" t="s">
        <v>156</v>
      </c>
      <c r="C145" s="11" t="s">
        <v>157</v>
      </c>
      <c r="D145" s="11" t="s">
        <v>158</v>
      </c>
      <c r="E145" s="11" t="s">
        <v>159</v>
      </c>
      <c r="F145" s="15">
        <v>3</v>
      </c>
      <c r="G145" s="11" t="s">
        <v>30</v>
      </c>
      <c r="H145" s="14">
        <v>44971</v>
      </c>
      <c r="I145" s="10">
        <f>COUNTIF(Paper_Reference[[#All],[Item ID]],C145)</f>
        <v>5</v>
      </c>
      <c r="J145" s="12" t="str">
        <f>IFERROR(INDEX(Paper_Reference[Paper Code],MATCH(C145,Paper_Reference[Item ID],0)),"")</f>
        <v>100WM321-4300</v>
      </c>
      <c r="K145" s="12" t="str">
        <f>IFERROR(INDEX(Paper_Reference[Paper Description],MATCH(C145,Paper_Reference[Item ID],0)),"")</f>
        <v>IQ MAPLE LANE RH</v>
      </c>
      <c r="L145" s="12" t="str">
        <f>IF(I145=2,_xlfn.XLOOKUP(C145,Paper_Reference[Item ID],Paper_Reference[Paper Code],"",0,-1),"")</f>
        <v/>
      </c>
      <c r="M145" s="12" t="str">
        <f>IF(I145=2,_xlfn.XLOOKUP(C145,Paper_Reference[Item ID],Paper_Reference[Paper Description],"",0,-1),"")</f>
        <v/>
      </c>
    </row>
    <row r="146" spans="1:13">
      <c r="A146" s="10" t="s">
        <v>953</v>
      </c>
      <c r="B146" s="11" t="s">
        <v>135</v>
      </c>
      <c r="C146" s="11" t="s">
        <v>136</v>
      </c>
      <c r="D146" s="11" t="s">
        <v>137</v>
      </c>
      <c r="E146" s="11" t="s">
        <v>138</v>
      </c>
      <c r="F146" s="15">
        <v>2</v>
      </c>
      <c r="G146" s="11" t="s">
        <v>139</v>
      </c>
      <c r="H146" s="14">
        <v>44974</v>
      </c>
      <c r="I146" s="10">
        <f>COUNTIF(Paper_Reference[[#All],[Item ID]],C146)</f>
        <v>1</v>
      </c>
      <c r="J146" s="12" t="str">
        <f>IFERROR(INDEX(Paper_Reference[Paper Code],MATCH(C146,Paper_Reference[Item ID],0)),"")</f>
        <v>100WM991-4300</v>
      </c>
      <c r="K146" s="12" t="str">
        <f>IFERROR(INDEX(Paper_Reference[Paper Description],MATCH(C146,Paper_Reference[Item ID],0)),"")</f>
        <v>MAPLE LANE PRINT (W)</v>
      </c>
      <c r="L146" s="12" t="str">
        <f>IF(I146=2,_xlfn.XLOOKUP(C146,Paper_Reference[Item ID],Paper_Reference[Paper Code],"",0,-1),"")</f>
        <v/>
      </c>
      <c r="M146" s="12" t="str">
        <f>IF(I146=2,_xlfn.XLOOKUP(C146,Paper_Reference[Item ID],Paper_Reference[Paper Description],"",0,-1),"")</f>
        <v/>
      </c>
    </row>
    <row r="147" spans="1:13">
      <c r="A147" s="10" t="s">
        <v>953</v>
      </c>
      <c r="B147" s="11" t="s">
        <v>117</v>
      </c>
      <c r="C147" s="11" t="s">
        <v>165</v>
      </c>
      <c r="D147" s="11" t="s">
        <v>166</v>
      </c>
      <c r="E147" s="11" t="s">
        <v>167</v>
      </c>
      <c r="F147" s="15">
        <v>1</v>
      </c>
      <c r="G147" s="11" t="s">
        <v>121</v>
      </c>
      <c r="H147" s="14">
        <v>44974</v>
      </c>
      <c r="I147" s="10">
        <f>COUNTIF(Paper_Reference[[#All],[Item ID]],C147)</f>
        <v>1</v>
      </c>
      <c r="J147" s="12" t="str">
        <f>IFERROR(INDEX(Paper_Reference[Paper Code],MATCH(C147,Paper_Reference[Item ID],0)),"")</f>
        <v>100WF131-6200</v>
      </c>
      <c r="K147" s="12" t="str">
        <f>IFERROR(INDEX(Paper_Reference[Paper Description],MATCH(C147,Paper_Reference[Item ID],0)),"")</f>
        <v>VANA</v>
      </c>
      <c r="L147" s="12" t="str">
        <f>IF(I147=2,_xlfn.XLOOKUP(C147,Paper_Reference[Item ID],Paper_Reference[Paper Code],"",0,-1),"")</f>
        <v/>
      </c>
      <c r="M147" s="12" t="str">
        <f>IF(I147=2,_xlfn.XLOOKUP(C147,Paper_Reference[Item ID],Paper_Reference[Paper Description],"",0,-1),"")</f>
        <v/>
      </c>
    </row>
    <row r="148" spans="1:13">
      <c r="A148" s="10" t="s">
        <v>953</v>
      </c>
      <c r="B148" s="11" t="s">
        <v>117</v>
      </c>
      <c r="C148" s="11" t="s">
        <v>118</v>
      </c>
      <c r="D148" s="11" t="s">
        <v>119</v>
      </c>
      <c r="E148" s="11" t="s">
        <v>120</v>
      </c>
      <c r="F148" s="15">
        <v>3</v>
      </c>
      <c r="G148" s="11" t="s">
        <v>121</v>
      </c>
      <c r="H148" s="14">
        <v>44974</v>
      </c>
      <c r="I148" s="10">
        <f>COUNTIF(Paper_Reference[[#All],[Item ID]],C148)</f>
        <v>1</v>
      </c>
      <c r="J148" s="12" t="str">
        <f>IFERROR(INDEX(Paper_Reference[Paper Code],MATCH(C148,Paper_Reference[Item ID],0)),"")</f>
        <v>100WF131-6200</v>
      </c>
      <c r="K148" s="12" t="str">
        <f>IFERROR(INDEX(Paper_Reference[Paper Description],MATCH(C148,Paper_Reference[Item ID],0)),"")</f>
        <v>VANA</v>
      </c>
      <c r="L148" s="12" t="str">
        <f>IF(I148=2,_xlfn.XLOOKUP(C148,Paper_Reference[Item ID],Paper_Reference[Paper Code],"",0,-1),"")</f>
        <v/>
      </c>
      <c r="M148" s="12" t="str">
        <f>IF(I148=2,_xlfn.XLOOKUP(C148,Paper_Reference[Item ID],Paper_Reference[Paper Description],"",0,-1),"")</f>
        <v/>
      </c>
    </row>
    <row r="149" spans="1:13">
      <c r="A149" s="10" t="s">
        <v>953</v>
      </c>
      <c r="B149" s="11" t="s">
        <v>25</v>
      </c>
      <c r="C149" s="11" t="s">
        <v>151</v>
      </c>
      <c r="D149" s="11" t="s">
        <v>152</v>
      </c>
      <c r="E149" s="11" t="s">
        <v>153</v>
      </c>
      <c r="F149" s="15">
        <v>18</v>
      </c>
      <c r="G149" s="11" t="s">
        <v>20</v>
      </c>
      <c r="H149" s="14">
        <v>44978</v>
      </c>
      <c r="I149" s="10">
        <f>COUNTIF(Paper_Reference[[#All],[Item ID]],C149)</f>
        <v>8</v>
      </c>
      <c r="J149" s="12" t="str">
        <f>IFERROR(INDEX(Paper_Reference[Paper Code],MATCH(C149,Paper_Reference[Item ID],0)),"")</f>
        <v>100WM311-4300</v>
      </c>
      <c r="K149" s="12" t="str">
        <f>IFERROR(INDEX(Paper_Reference[Paper Description],MATCH(C149,Paper_Reference[Item ID],0)),"")</f>
        <v>IQ MAPLE LANE LH</v>
      </c>
      <c r="L149" s="12" t="str">
        <f>IF(I149=2,_xlfn.XLOOKUP(C149,Paper_Reference[Item ID],Paper_Reference[Paper Code],"",0,-1),"")</f>
        <v/>
      </c>
      <c r="M149" s="12" t="str">
        <f>IF(I149=2,_xlfn.XLOOKUP(C149,Paper_Reference[Item ID],Paper_Reference[Paper Description],"",0,-1),"")</f>
        <v/>
      </c>
    </row>
    <row r="150" spans="1:13">
      <c r="A150" s="10" t="s">
        <v>953</v>
      </c>
      <c r="B150" s="11" t="s">
        <v>8733</v>
      </c>
      <c r="C150" s="11" t="s">
        <v>65</v>
      </c>
      <c r="D150" s="11" t="s">
        <v>66</v>
      </c>
      <c r="E150" s="11" t="s">
        <v>67</v>
      </c>
      <c r="F150" s="15">
        <v>36</v>
      </c>
      <c r="G150" s="11" t="s">
        <v>8722</v>
      </c>
      <c r="H150" s="14">
        <v>44981</v>
      </c>
      <c r="I150" s="10">
        <f>COUNTIF(Paper_Reference[[#All],[Item ID]],C150)</f>
        <v>2</v>
      </c>
      <c r="J150" s="12" t="str">
        <f>IFERROR(INDEX(Paper_Reference[Paper Code],MATCH(C150,Paper_Reference[Item ID],0)),"")</f>
        <v>100WM301-6200</v>
      </c>
      <c r="K150" s="12" t="str">
        <f>IFERROR(INDEX(Paper_Reference[Paper Description],MATCH(C150,Paper_Reference[Item ID],0)),"")</f>
        <v>IQ MAPLE LANE (C) 60 X 144</v>
      </c>
      <c r="L150" s="12" t="str">
        <f>IF(I150=2,_xlfn.XLOOKUP(C150,Paper_Reference[Item ID],Paper_Reference[Paper Code],"",0,-1),"")</f>
        <v>100WM301-6200</v>
      </c>
      <c r="M150" s="12" t="str">
        <f>IF(I150=2,_xlfn.XLOOKUP(C150,Paper_Reference[Item ID],Paper_Reference[Paper Description],"",0,-1),"")</f>
        <v>IQ MAPLE LANE (CENTER)</v>
      </c>
    </row>
    <row r="151" spans="1:13">
      <c r="A151" s="10" t="s">
        <v>953</v>
      </c>
      <c r="B151" s="11" t="s">
        <v>8733</v>
      </c>
      <c r="C151" s="11" t="s">
        <v>8577</v>
      </c>
      <c r="D151" s="11" t="s">
        <v>8367</v>
      </c>
      <c r="E151" s="11" t="s">
        <v>8739</v>
      </c>
      <c r="F151" s="15">
        <v>18</v>
      </c>
      <c r="G151" s="11" t="s">
        <v>8722</v>
      </c>
      <c r="H151" s="14">
        <v>44981</v>
      </c>
      <c r="I151" s="10">
        <f>COUNTIF(Paper_Reference[[#All],[Item ID]],C151)</f>
        <v>1</v>
      </c>
      <c r="J151" s="12" t="str">
        <f>IFERROR(INDEX(Paper_Reference[Paper Code],MATCH(C151,Paper_Reference[Item ID],0)),"")</f>
        <v>100SW813-6200</v>
      </c>
      <c r="K151" s="12" t="str">
        <f>IFERROR(INDEX(Paper_Reference[Paper Description],MATCH(C151,Paper_Reference[Item ID],0)),"")</f>
        <v>ICE WHITE</v>
      </c>
      <c r="L151" s="12" t="str">
        <f>IF(I151=2,_xlfn.XLOOKUP(C151,Paper_Reference[Item ID],Paper_Reference[Paper Code],"",0,-1),"")</f>
        <v/>
      </c>
      <c r="M151" s="12" t="str">
        <f>IF(I151=2,_xlfn.XLOOKUP(C151,Paper_Reference[Item ID],Paper_Reference[Paper Description],"",0,-1),"")</f>
        <v/>
      </c>
    </row>
    <row r="152" spans="1:13">
      <c r="A152" s="10" t="s">
        <v>953</v>
      </c>
      <c r="B152" s="11" t="s">
        <v>8730</v>
      </c>
      <c r="C152" s="11" t="s">
        <v>515</v>
      </c>
      <c r="D152" s="11" t="s">
        <v>288</v>
      </c>
      <c r="E152" s="11" t="s">
        <v>8731</v>
      </c>
      <c r="F152" s="15">
        <v>6</v>
      </c>
      <c r="G152" s="11" t="s">
        <v>8732</v>
      </c>
      <c r="H152" s="14">
        <v>44985</v>
      </c>
      <c r="I152" s="10">
        <f>COUNTIF(Paper_Reference[[#All],[Item ID]],C152)</f>
        <v>2</v>
      </c>
      <c r="J152" s="12" t="str">
        <f>IFERROR(INDEX(Paper_Reference[Paper Code],MATCH(C152,Paper_Reference[Item ID],0)),"")</f>
        <v>100WM301-6200</v>
      </c>
      <c r="K152" s="12" t="str">
        <f>IFERROR(INDEX(Paper_Reference[Paper Description],MATCH(C152,Paper_Reference[Item ID],0)),"")</f>
        <v>IQ MAPLE LANE (C) 60 X 144</v>
      </c>
      <c r="L152" s="12" t="str">
        <f>IF(I152=2,_xlfn.XLOOKUP(C152,Paper_Reference[Item ID],Paper_Reference[Paper Code],"",0,-1),"")</f>
        <v>100WM301-6200</v>
      </c>
      <c r="M152" s="12" t="str">
        <f>IF(I152=2,_xlfn.XLOOKUP(C152,Paper_Reference[Item ID],Paper_Reference[Paper Description],"",0,-1),"")</f>
        <v>IQ MAPLE LANE (CENTER)</v>
      </c>
    </row>
    <row r="153" spans="1:13">
      <c r="A153" s="10" t="s">
        <v>953</v>
      </c>
      <c r="B153" s="11" t="s">
        <v>8730</v>
      </c>
      <c r="C153" s="11" t="s">
        <v>157</v>
      </c>
      <c r="D153" s="11" t="s">
        <v>158</v>
      </c>
      <c r="E153" s="11" t="s">
        <v>159</v>
      </c>
      <c r="F153" s="15">
        <v>2</v>
      </c>
      <c r="G153" s="11" t="s">
        <v>8732</v>
      </c>
      <c r="H153" s="14">
        <v>44985</v>
      </c>
      <c r="I153" s="10">
        <f>COUNTIF(Paper_Reference[[#All],[Item ID]],C153)</f>
        <v>5</v>
      </c>
      <c r="J153" s="12" t="str">
        <f>IFERROR(INDEX(Paper_Reference[Paper Code],MATCH(C153,Paper_Reference[Item ID],0)),"")</f>
        <v>100WM321-4300</v>
      </c>
      <c r="K153" s="12" t="str">
        <f>IFERROR(INDEX(Paper_Reference[Paper Description],MATCH(C153,Paper_Reference[Item ID],0)),"")</f>
        <v>IQ MAPLE LANE RH</v>
      </c>
      <c r="L153" s="12" t="str">
        <f>IF(I153=2,_xlfn.XLOOKUP(C153,Paper_Reference[Item ID],Paper_Reference[Paper Code],"",0,-1),"")</f>
        <v/>
      </c>
      <c r="M153" s="12" t="str">
        <f>IF(I153=2,_xlfn.XLOOKUP(C153,Paper_Reference[Item ID],Paper_Reference[Paper Description],"",0,-1),"")</f>
        <v/>
      </c>
    </row>
    <row r="154" spans="1:13">
      <c r="A154" s="10" t="s">
        <v>953</v>
      </c>
      <c r="B154" s="11" t="s">
        <v>8734</v>
      </c>
      <c r="C154" s="11" t="s">
        <v>65</v>
      </c>
      <c r="D154" s="11" t="s">
        <v>66</v>
      </c>
      <c r="E154" s="11" t="s">
        <v>67</v>
      </c>
      <c r="F154" s="15">
        <v>36</v>
      </c>
      <c r="G154" s="11" t="s">
        <v>8735</v>
      </c>
      <c r="H154" s="14">
        <v>44988</v>
      </c>
      <c r="I154" s="10">
        <f>COUNTIF(Paper_Reference[[#All],[Item ID]],C154)</f>
        <v>2</v>
      </c>
      <c r="J154" s="12" t="str">
        <f>IFERROR(INDEX(Paper_Reference[Paper Code],MATCH(C154,Paper_Reference[Item ID],0)),"")</f>
        <v>100WM301-6200</v>
      </c>
      <c r="K154" s="12" t="str">
        <f>IFERROR(INDEX(Paper_Reference[Paper Description],MATCH(C154,Paper_Reference[Item ID],0)),"")</f>
        <v>IQ MAPLE LANE (C) 60 X 144</v>
      </c>
      <c r="L154" s="12" t="str">
        <f>IF(I154=2,_xlfn.XLOOKUP(C154,Paper_Reference[Item ID],Paper_Reference[Paper Code],"",0,-1),"")</f>
        <v>100WM301-6200</v>
      </c>
      <c r="M154" s="12" t="str">
        <f>IF(I154=2,_xlfn.XLOOKUP(C154,Paper_Reference[Item ID],Paper_Reference[Paper Description],"",0,-1),"")</f>
        <v>IQ MAPLE LANE (CENTER)</v>
      </c>
    </row>
    <row r="155" spans="1:13">
      <c r="A155" s="10" t="s">
        <v>953</v>
      </c>
      <c r="B155" s="11" t="s">
        <v>8734</v>
      </c>
      <c r="C155" s="11" t="s">
        <v>68</v>
      </c>
      <c r="D155" s="11" t="s">
        <v>69</v>
      </c>
      <c r="E155" s="11" t="s">
        <v>70</v>
      </c>
      <c r="F155" s="15">
        <v>18</v>
      </c>
      <c r="G155" s="11" t="s">
        <v>8735</v>
      </c>
      <c r="H155" s="14">
        <v>44988</v>
      </c>
      <c r="I155" s="10">
        <f>COUNTIF(Paper_Reference[[#All],[Item ID]],C155)</f>
        <v>1</v>
      </c>
      <c r="J155" s="12" t="str">
        <f>IFERROR(INDEX(Paper_Reference[Paper Code],MATCH(C155,Paper_Reference[Item ID],0)),"")</f>
        <v>100WM311-4300</v>
      </c>
      <c r="K155" s="12" t="str">
        <f>IFERROR(INDEX(Paper_Reference[Paper Description],MATCH(C155,Paper_Reference[Item ID],0)),"")</f>
        <v>IQ MAPLE LANE LH</v>
      </c>
      <c r="L155" s="12" t="str">
        <f>IF(I155=2,_xlfn.XLOOKUP(C155,Paper_Reference[Item ID],Paper_Reference[Paper Code],"",0,-1),"")</f>
        <v/>
      </c>
      <c r="M155" s="12" t="str">
        <f>IF(I155=2,_xlfn.XLOOKUP(C155,Paper_Reference[Item ID],Paper_Reference[Paper Description],"",0,-1),"")</f>
        <v/>
      </c>
    </row>
    <row r="156" spans="1:13">
      <c r="A156" s="10" t="s">
        <v>953</v>
      </c>
      <c r="B156" s="11" t="s">
        <v>8734</v>
      </c>
      <c r="C156" s="11" t="s">
        <v>8577</v>
      </c>
      <c r="D156" s="11" t="s">
        <v>8367</v>
      </c>
      <c r="E156" s="11" t="s">
        <v>8739</v>
      </c>
      <c r="F156" s="15">
        <v>18</v>
      </c>
      <c r="G156" s="11" t="s">
        <v>8735</v>
      </c>
      <c r="H156" s="14">
        <v>44988</v>
      </c>
      <c r="I156" s="10">
        <f>COUNTIF(Paper_Reference[[#All],[Item ID]],C156)</f>
        <v>1</v>
      </c>
      <c r="J156" s="12" t="str">
        <f>IFERROR(INDEX(Paper_Reference[Paper Code],MATCH(C156,Paper_Reference[Item ID],0)),"")</f>
        <v>100SW813-6200</v>
      </c>
      <c r="K156" s="12" t="str">
        <f>IFERROR(INDEX(Paper_Reference[Paper Description],MATCH(C156,Paper_Reference[Item ID],0)),"")</f>
        <v>ICE WHITE</v>
      </c>
      <c r="L156" s="12" t="str">
        <f>IF(I156=2,_xlfn.XLOOKUP(C156,Paper_Reference[Item ID],Paper_Reference[Paper Code],"",0,-1),"")</f>
        <v/>
      </c>
      <c r="M156" s="12" t="str">
        <f>IF(I156=2,_xlfn.XLOOKUP(C156,Paper_Reference[Item ID],Paper_Reference[Paper Description],"",0,-1),"")</f>
        <v/>
      </c>
    </row>
    <row r="157" spans="1:13">
      <c r="A157" s="10" t="s">
        <v>953</v>
      </c>
      <c r="B157" s="11" t="s">
        <v>8737</v>
      </c>
      <c r="C157" s="11" t="s">
        <v>75</v>
      </c>
      <c r="D157" s="11" t="s">
        <v>76</v>
      </c>
      <c r="E157" s="11" t="s">
        <v>77</v>
      </c>
      <c r="F157" s="15">
        <v>4</v>
      </c>
      <c r="G157" s="11" t="s">
        <v>8738</v>
      </c>
      <c r="H157" s="14">
        <v>44988</v>
      </c>
      <c r="I157" s="10">
        <f>COUNTIF(Paper_Reference[[#All],[Item ID]],C157)</f>
        <v>1</v>
      </c>
      <c r="J157" s="12" t="str">
        <f>IFERROR(INDEX(Paper_Reference[Paper Code],MATCH(C157,Paper_Reference[Item ID],0)),"")</f>
        <v>100WM321-4300</v>
      </c>
      <c r="K157" s="12" t="str">
        <f>IFERROR(INDEX(Paper_Reference[Paper Description],MATCH(C157,Paper_Reference[Item ID],0)),"")</f>
        <v>IQ MAPLE LANE RH</v>
      </c>
      <c r="L157" s="12" t="str">
        <f>IF(I157=2,_xlfn.XLOOKUP(C157,Paper_Reference[Item ID],Paper_Reference[Paper Code],"",0,-1),"")</f>
        <v/>
      </c>
      <c r="M157" s="12" t="str">
        <f>IF(I157=2,_xlfn.XLOOKUP(C157,Paper_Reference[Item ID],Paper_Reference[Paper Description],"",0,-1),"")</f>
        <v/>
      </c>
    </row>
    <row r="158" spans="1:13">
      <c r="A158" s="10" t="s">
        <v>953</v>
      </c>
      <c r="B158" s="11" t="s">
        <v>8737</v>
      </c>
      <c r="C158" s="11" t="s">
        <v>72</v>
      </c>
      <c r="D158" s="11" t="s">
        <v>73</v>
      </c>
      <c r="E158" s="11" t="s">
        <v>74</v>
      </c>
      <c r="F158" s="15">
        <v>4</v>
      </c>
      <c r="G158" s="11" t="s">
        <v>8738</v>
      </c>
      <c r="H158" s="14">
        <v>44988</v>
      </c>
      <c r="I158" s="10">
        <f>COUNTIF(Paper_Reference[[#All],[Item ID]],C158)</f>
        <v>1</v>
      </c>
      <c r="J158" s="12" t="str">
        <f>IFERROR(INDEX(Paper_Reference[Paper Code],MATCH(C158,Paper_Reference[Item ID],0)),"")</f>
        <v>100WM311-4300</v>
      </c>
      <c r="K158" s="12" t="str">
        <f>IFERROR(INDEX(Paper_Reference[Paper Description],MATCH(C158,Paper_Reference[Item ID],0)),"")</f>
        <v>IQ MAPLE LANE LH</v>
      </c>
      <c r="L158" s="12" t="str">
        <f>IF(I158=2,_xlfn.XLOOKUP(C158,Paper_Reference[Item ID],Paper_Reference[Paper Code],"",0,-1),"")</f>
        <v/>
      </c>
      <c r="M158" s="12" t="str">
        <f>IF(I158=2,_xlfn.XLOOKUP(C158,Paper_Reference[Item ID],Paper_Reference[Paper Description],"",0,-1),"")</f>
        <v/>
      </c>
    </row>
    <row r="159" spans="1:13">
      <c r="A159" s="10" t="s">
        <v>953</v>
      </c>
      <c r="B159" s="11" t="s">
        <v>8723</v>
      </c>
      <c r="C159" s="11" t="s">
        <v>34</v>
      </c>
      <c r="D159" s="11" t="s">
        <v>35</v>
      </c>
      <c r="E159" s="11" t="s">
        <v>36</v>
      </c>
      <c r="F159" s="15">
        <v>2</v>
      </c>
      <c r="G159" s="11" t="s">
        <v>8724</v>
      </c>
      <c r="H159" s="14">
        <v>44992</v>
      </c>
      <c r="I159" s="10">
        <f>COUNTIF(Paper_Reference[[#All],[Item ID]],C159)</f>
        <v>1</v>
      </c>
      <c r="J159" s="12" t="str">
        <f>IFERROR(INDEX(Paper_Reference[Paper Code],MATCH(C159,Paper_Reference[Item ID],0)),"")</f>
        <v>100WM981-6200</v>
      </c>
      <c r="K159" s="12" t="str">
        <f>IFERROR(INDEX(Paper_Reference[Paper Description],MATCH(C159,Paper_Reference[Item ID],0)),"")</f>
        <v>LEFT BRUNSWICK MAPLE (W)</v>
      </c>
      <c r="L159" s="12" t="str">
        <f>IF(I159=2,_xlfn.XLOOKUP(C159,Paper_Reference[Item ID],Paper_Reference[Paper Code],"",0,-1),"")</f>
        <v/>
      </c>
      <c r="M159" s="12" t="str">
        <f>IF(I159=2,_xlfn.XLOOKUP(C159,Paper_Reference[Item ID],Paper_Reference[Paper Description],"",0,-1),"")</f>
        <v/>
      </c>
    </row>
    <row r="160" spans="1:13">
      <c r="A160" s="10" t="s">
        <v>953</v>
      </c>
      <c r="B160" s="11" t="s">
        <v>155</v>
      </c>
      <c r="C160" s="11" t="s">
        <v>151</v>
      </c>
      <c r="D160" s="11" t="s">
        <v>152</v>
      </c>
      <c r="E160" s="11" t="s">
        <v>153</v>
      </c>
      <c r="F160" s="15">
        <v>18</v>
      </c>
      <c r="G160" s="11" t="s">
        <v>24</v>
      </c>
      <c r="H160" s="14">
        <v>44995</v>
      </c>
      <c r="I160" s="10">
        <f>COUNTIF(Paper_Reference[[#All],[Item ID]],C160)</f>
        <v>8</v>
      </c>
      <c r="J160" s="12" t="str">
        <f>IFERROR(INDEX(Paper_Reference[Paper Code],MATCH(C160,Paper_Reference[Item ID],0)),"")</f>
        <v>100WM311-4300</v>
      </c>
      <c r="K160" s="12" t="str">
        <f>IFERROR(INDEX(Paper_Reference[Paper Description],MATCH(C160,Paper_Reference[Item ID],0)),"")</f>
        <v>IQ MAPLE LANE LH</v>
      </c>
      <c r="L160" s="12" t="str">
        <f>IF(I160=2,_xlfn.XLOOKUP(C160,Paper_Reference[Item ID],Paper_Reference[Paper Code],"",0,-1),"")</f>
        <v/>
      </c>
      <c r="M160" s="12" t="str">
        <f>IF(I160=2,_xlfn.XLOOKUP(C160,Paper_Reference[Item ID],Paper_Reference[Paper Description],"",0,-1),"")</f>
        <v/>
      </c>
    </row>
    <row r="161" spans="1:13">
      <c r="A161" s="10" t="s">
        <v>953</v>
      </c>
      <c r="B161" s="11" t="s">
        <v>8728</v>
      </c>
      <c r="C161" s="11" t="s">
        <v>506</v>
      </c>
      <c r="D161" s="11" t="s">
        <v>279</v>
      </c>
      <c r="E161" s="11" t="s">
        <v>8729</v>
      </c>
      <c r="F161" s="15">
        <v>18</v>
      </c>
      <c r="G161" s="11" t="s">
        <v>8724</v>
      </c>
      <c r="H161" s="14">
        <v>44995</v>
      </c>
      <c r="I161" s="10">
        <f>COUNTIF(Paper_Reference[[#All],[Item ID]],C161)</f>
        <v>2</v>
      </c>
      <c r="J161" s="12" t="str">
        <f>IFERROR(INDEX(Paper_Reference[Paper Code],MATCH(C161,Paper_Reference[Item ID],0)),"")</f>
        <v>100WM301-6200</v>
      </c>
      <c r="K161" s="12" t="str">
        <f>IFERROR(INDEX(Paper_Reference[Paper Description],MATCH(C161,Paper_Reference[Item ID],0)),"")</f>
        <v>IQ MAPLE LANE (C) 60 X 144</v>
      </c>
      <c r="L161" s="12" t="str">
        <f>IF(I161=2,_xlfn.XLOOKUP(C161,Paper_Reference[Item ID],Paper_Reference[Paper Code],"",0,-1),"")</f>
        <v>100WM301-6200</v>
      </c>
      <c r="M161" s="12" t="str">
        <f>IF(I161=2,_xlfn.XLOOKUP(C161,Paper_Reference[Item ID],Paper_Reference[Paper Description],"",0,-1),"")</f>
        <v>IQ MAPLE LANE (CENTER)</v>
      </c>
    </row>
    <row r="162" spans="1:13">
      <c r="A162" s="10" t="s">
        <v>953</v>
      </c>
      <c r="B162" s="11" t="s">
        <v>8728</v>
      </c>
      <c r="C162" s="11" t="s">
        <v>515</v>
      </c>
      <c r="D162" s="11" t="s">
        <v>288</v>
      </c>
      <c r="E162" s="11" t="s">
        <v>8731</v>
      </c>
      <c r="F162" s="15">
        <v>2</v>
      </c>
      <c r="G162" s="11" t="s">
        <v>8724</v>
      </c>
      <c r="H162" s="14">
        <v>44995</v>
      </c>
      <c r="I162" s="10">
        <f>COUNTIF(Paper_Reference[[#All],[Item ID]],C162)</f>
        <v>2</v>
      </c>
      <c r="J162" s="12" t="str">
        <f>IFERROR(INDEX(Paper_Reference[Paper Code],MATCH(C162,Paper_Reference[Item ID],0)),"")</f>
        <v>100WM301-6200</v>
      </c>
      <c r="K162" s="12" t="str">
        <f>IFERROR(INDEX(Paper_Reference[Paper Description],MATCH(C162,Paper_Reference[Item ID],0)),"")</f>
        <v>IQ MAPLE LANE (C) 60 X 144</v>
      </c>
      <c r="L162" s="12" t="str">
        <f>IF(I162=2,_xlfn.XLOOKUP(C162,Paper_Reference[Item ID],Paper_Reference[Paper Code],"",0,-1),"")</f>
        <v>100WM301-6200</v>
      </c>
      <c r="M162" s="12" t="str">
        <f>IF(I162=2,_xlfn.XLOOKUP(C162,Paper_Reference[Item ID],Paper_Reference[Paper Description],"",0,-1),"")</f>
        <v>IQ MAPLE LANE (CENTER)</v>
      </c>
    </row>
    <row r="163" spans="1:13">
      <c r="A163" s="10" t="s">
        <v>953</v>
      </c>
      <c r="B163" s="11" t="s">
        <v>8736</v>
      </c>
      <c r="C163" s="11" t="s">
        <v>65</v>
      </c>
      <c r="D163" s="11" t="s">
        <v>66</v>
      </c>
      <c r="E163" s="11" t="s">
        <v>67</v>
      </c>
      <c r="F163" s="15">
        <v>36</v>
      </c>
      <c r="G163" s="11" t="s">
        <v>8724</v>
      </c>
      <c r="H163" s="14">
        <v>45002</v>
      </c>
      <c r="I163" s="10">
        <f>COUNTIF(Paper_Reference[[#All],[Item ID]],C163)</f>
        <v>2</v>
      </c>
      <c r="J163" s="12" t="str">
        <f>IFERROR(INDEX(Paper_Reference[Paper Code],MATCH(C163,Paper_Reference[Item ID],0)),"")</f>
        <v>100WM301-6200</v>
      </c>
      <c r="K163" s="12" t="str">
        <f>IFERROR(INDEX(Paper_Reference[Paper Description],MATCH(C163,Paper_Reference[Item ID],0)),"")</f>
        <v>IQ MAPLE LANE (C) 60 X 144</v>
      </c>
      <c r="L163" s="12" t="str">
        <f>IF(I163=2,_xlfn.XLOOKUP(C163,Paper_Reference[Item ID],Paper_Reference[Paper Code],"",0,-1),"")</f>
        <v>100WM301-6200</v>
      </c>
      <c r="M163" s="12" t="str">
        <f>IF(I163=2,_xlfn.XLOOKUP(C163,Paper_Reference[Item ID],Paper_Reference[Paper Description],"",0,-1),"")</f>
        <v>IQ MAPLE LANE (CENTER)</v>
      </c>
    </row>
    <row r="164" spans="1:13">
      <c r="A164" s="10" t="s">
        <v>953</v>
      </c>
      <c r="B164" s="11" t="s">
        <v>156</v>
      </c>
      <c r="C164" s="11" t="s">
        <v>151</v>
      </c>
      <c r="D164" s="11" t="s">
        <v>152</v>
      </c>
      <c r="E164" s="11" t="s">
        <v>153</v>
      </c>
      <c r="F164" s="15">
        <v>18</v>
      </c>
      <c r="G164" s="11" t="s">
        <v>30</v>
      </c>
      <c r="H164" s="14">
        <v>45016</v>
      </c>
      <c r="I164" s="10">
        <f>COUNTIF(Paper_Reference[[#All],[Item ID]],C164)</f>
        <v>8</v>
      </c>
      <c r="J164" s="12" t="str">
        <f>IFERROR(INDEX(Paper_Reference[Paper Code],MATCH(C164,Paper_Reference[Item ID],0)),"")</f>
        <v>100WM311-4300</v>
      </c>
      <c r="K164" s="12" t="str">
        <f>IFERROR(INDEX(Paper_Reference[Paper Description],MATCH(C164,Paper_Reference[Item ID],0)),"")</f>
        <v>IQ MAPLE LANE LH</v>
      </c>
      <c r="L164" s="12" t="str">
        <f>IF(I164=2,_xlfn.XLOOKUP(C164,Paper_Reference[Item ID],Paper_Reference[Paper Code],"",0,-1),"")</f>
        <v/>
      </c>
      <c r="M164" s="12" t="str">
        <f>IF(I164=2,_xlfn.XLOOKUP(C164,Paper_Reference[Item ID],Paper_Reference[Paper Description],"",0,-1),"")</f>
        <v/>
      </c>
    </row>
    <row r="165" spans="1:13">
      <c r="J165" s="12"/>
      <c r="K165" s="12"/>
      <c r="L165" s="12"/>
      <c r="M165" s="12"/>
    </row>
    <row r="166" spans="1:13">
      <c r="J166" s="12"/>
      <c r="K166" s="12"/>
      <c r="L166" s="12"/>
      <c r="M166" s="12"/>
    </row>
    <row r="167" spans="1:13">
      <c r="J167" s="12"/>
      <c r="K167" s="12"/>
      <c r="L167" s="12"/>
      <c r="M167" s="12"/>
    </row>
    <row r="168" spans="1:13">
      <c r="J168" s="12"/>
      <c r="K168" s="12"/>
      <c r="L168" s="12"/>
      <c r="M168" s="12"/>
    </row>
    <row r="169" spans="1:13">
      <c r="J169" s="12"/>
      <c r="K169" s="12"/>
      <c r="L169" s="12"/>
      <c r="M169" s="12"/>
    </row>
    <row r="170" spans="1:13">
      <c r="J170" s="12"/>
      <c r="K170" s="12"/>
      <c r="L170" s="12"/>
      <c r="M170" s="12"/>
    </row>
    <row r="171" spans="1:13">
      <c r="J171" s="12"/>
      <c r="K171" s="12"/>
      <c r="L171" s="12"/>
      <c r="M171" s="12"/>
    </row>
    <row r="172" spans="1:13">
      <c r="J172" s="12"/>
      <c r="K172" s="12"/>
      <c r="L172" s="12"/>
      <c r="M172" s="12"/>
    </row>
    <row r="173" spans="1:13">
      <c r="J173" s="12"/>
      <c r="K173" s="12"/>
      <c r="L173" s="12"/>
      <c r="M173" s="12"/>
    </row>
    <row r="174" spans="1:13">
      <c r="J174" s="12"/>
      <c r="K174" s="12"/>
      <c r="L174" s="12"/>
      <c r="M174" s="12"/>
    </row>
    <row r="175" spans="1:13">
      <c r="J175" s="12"/>
      <c r="K175" s="12"/>
      <c r="L175" s="12"/>
      <c r="M175" s="12"/>
    </row>
    <row r="176" spans="1:13">
      <c r="J176" s="12"/>
      <c r="K176" s="12"/>
      <c r="L176" s="12"/>
      <c r="M176" s="12"/>
    </row>
    <row r="177" spans="10:13">
      <c r="J177" s="12"/>
      <c r="K177" s="12"/>
      <c r="L177" s="12"/>
      <c r="M177" s="12"/>
    </row>
    <row r="178" spans="10:13">
      <c r="J178" s="12"/>
      <c r="K178" s="12"/>
      <c r="L178" s="12"/>
      <c r="M178" s="12"/>
    </row>
  </sheetData>
  <sortState xmlns:xlrd2="http://schemas.microsoft.com/office/spreadsheetml/2017/richdata2" ref="A2:M164">
    <sortCondition ref="A2:A164"/>
    <sortCondition ref="H2:H164"/>
    <sortCondition ref="B2:B164"/>
    <sortCondition ref="C2:C164"/>
  </sortState>
  <conditionalFormatting sqref="I1:I1048576">
    <cfRule type="expression" dxfId="2" priority="1">
      <formula>AND($A1&lt;&gt;"",$I1=0)</formula>
    </cfRule>
    <cfRule type="cellIs" dxfId="1" priority="2" operator="greaterThan">
      <formula>2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42189-CEF5-4E14-AA8B-751CD861973E}">
  <sheetPr codeName="Sheet4">
    <tabColor theme="8" tint="0.39997558519241921"/>
  </sheetPr>
  <dimension ref="A1:J6764"/>
  <sheetViews>
    <sheetView tabSelected="1" workbookViewId="0">
      <pane ySplit="1" topLeftCell="A2" activePane="bottomLeft" state="frozen"/>
      <selection pane="bottomLeft" activeCell="K1" sqref="K1:K1048576"/>
    </sheetView>
  </sheetViews>
  <sheetFormatPr defaultRowHeight="15.75"/>
  <cols>
    <col min="1" max="1" width="8.28515625" style="7" bestFit="1" customWidth="1"/>
    <col min="2" max="2" width="22.28515625" style="8" bestFit="1" customWidth="1"/>
    <col min="3" max="3" width="36.7109375" style="8" bestFit="1" customWidth="1"/>
    <col min="4" max="4" width="15.85546875" style="7" bestFit="1" customWidth="1"/>
    <col min="5" max="5" width="12.5703125" style="7" bestFit="1" customWidth="1"/>
    <col min="6" max="6" width="14.28515625" style="7" bestFit="1" customWidth="1"/>
    <col min="7" max="7" width="17.28515625" style="8" bestFit="1" customWidth="1"/>
    <col min="8" max="8" width="30.5703125" style="8" bestFit="1" customWidth="1"/>
    <col min="9" max="9" width="13.7109375" style="7" customWidth="1"/>
    <col min="10" max="16384" width="9.140625" style="7"/>
  </cols>
  <sheetData>
    <row r="1" spans="1:10" s="9" customFormat="1" ht="31.5">
      <c r="A1" s="9" t="s">
        <v>199</v>
      </c>
      <c r="B1" s="9" t="s">
        <v>200</v>
      </c>
      <c r="C1" s="9" t="s">
        <v>201</v>
      </c>
      <c r="D1" s="9" t="s">
        <v>202</v>
      </c>
      <c r="E1" s="9" t="s">
        <v>203</v>
      </c>
      <c r="F1" s="9" t="s">
        <v>204</v>
      </c>
      <c r="G1" s="9" t="s">
        <v>432</v>
      </c>
      <c r="H1" s="9" t="s">
        <v>431</v>
      </c>
      <c r="I1" s="9" t="s">
        <v>9142</v>
      </c>
      <c r="J1" s="9" t="s">
        <v>9141</v>
      </c>
    </row>
    <row r="2" spans="1:10">
      <c r="A2" s="7">
        <v>2</v>
      </c>
      <c r="B2" s="8" t="s">
        <v>4617</v>
      </c>
      <c r="C2" s="8" t="s">
        <v>4374</v>
      </c>
      <c r="D2" s="7">
        <v>1</v>
      </c>
      <c r="E2" s="7">
        <v>10</v>
      </c>
      <c r="F2" s="7">
        <v>1</v>
      </c>
      <c r="G2" s="8" t="s">
        <v>4371</v>
      </c>
      <c r="H2" s="8" t="s">
        <v>4372</v>
      </c>
      <c r="I2" s="7" t="str">
        <f>_xlfn.CONCAT(Paper_Reference[[#This Row],[Lvl]:[Paper Description]])</f>
        <v>2A74SG204LS500MERCURY 60 X 1201101100DS064-6200BLACK</v>
      </c>
      <c r="J2" s="7">
        <f>COUNTIF(Paper_Reference[Duplicate Key],Paper_Reference[[#This Row],[Duplicate Key]])</f>
        <v>1</v>
      </c>
    </row>
    <row r="3" spans="1:10">
      <c r="A3" s="7">
        <v>2</v>
      </c>
      <c r="B3" s="8" t="s">
        <v>4618</v>
      </c>
      <c r="C3" s="8" t="s">
        <v>4374</v>
      </c>
      <c r="D3" s="7">
        <v>1</v>
      </c>
      <c r="E3" s="7">
        <v>10</v>
      </c>
      <c r="F3" s="7">
        <v>1</v>
      </c>
      <c r="G3" s="8" t="s">
        <v>4371</v>
      </c>
      <c r="H3" s="8" t="s">
        <v>4372</v>
      </c>
      <c r="I3" s="7" t="str">
        <f>_xlfn.CONCAT(Paper_Reference[[#This Row],[Lvl]:[Paper Description]])</f>
        <v>2A76SG204LS500MERCURY 60 X 1201101100DS064-6200BLACK</v>
      </c>
      <c r="J3" s="7">
        <f>COUNTIF(Paper_Reference[Duplicate Key],Paper_Reference[[#This Row],[Duplicate Key]])</f>
        <v>1</v>
      </c>
    </row>
    <row r="4" spans="1:10">
      <c r="A4" s="7">
        <v>2</v>
      </c>
      <c r="B4" s="8" t="s">
        <v>4619</v>
      </c>
      <c r="C4" s="8" t="s">
        <v>4375</v>
      </c>
      <c r="D4" s="7">
        <v>1</v>
      </c>
      <c r="E4" s="7">
        <v>10</v>
      </c>
      <c r="F4" s="7">
        <v>1</v>
      </c>
      <c r="G4" s="8" t="s">
        <v>4371</v>
      </c>
      <c r="H4" s="8" t="s">
        <v>4372</v>
      </c>
      <c r="I4" s="7" t="str">
        <f>_xlfn.CONCAT(Paper_Reference[[#This Row],[Lvl]:[Paper Description]])</f>
        <v>2A76SG204LS580MERCURY 60 X 961101100DS064-6200BLACK</v>
      </c>
      <c r="J4" s="7">
        <f>COUNTIF(Paper_Reference[Duplicate Key],Paper_Reference[[#This Row],[Duplicate Key]])</f>
        <v>1</v>
      </c>
    </row>
    <row r="5" spans="1:10">
      <c r="A5" s="7">
        <v>2</v>
      </c>
      <c r="B5" s="8" t="s">
        <v>4620</v>
      </c>
      <c r="C5" s="8" t="s">
        <v>4376</v>
      </c>
      <c r="D5" s="7">
        <v>1</v>
      </c>
      <c r="E5" s="7">
        <v>10</v>
      </c>
      <c r="F5" s="7">
        <v>1</v>
      </c>
      <c r="G5" s="8" t="s">
        <v>4371</v>
      </c>
      <c r="H5" s="8" t="s">
        <v>4372</v>
      </c>
      <c r="I5" s="7" t="str">
        <f>_xlfn.CONCAT(Paper_Reference[[#This Row],[Lvl]:[Paper Description]])</f>
        <v>2A76SG254LS520ASH GRAY 60 X 1441101100DS064-6200BLACK</v>
      </c>
      <c r="J5" s="7">
        <f>COUNTIF(Paper_Reference[Duplicate Key],Paper_Reference[[#This Row],[Duplicate Key]])</f>
        <v>1</v>
      </c>
    </row>
    <row r="6" spans="1:10">
      <c r="A6" s="7">
        <v>2</v>
      </c>
      <c r="B6" s="8" t="s">
        <v>4621</v>
      </c>
      <c r="C6" s="8" t="s">
        <v>4376</v>
      </c>
      <c r="D6" s="7">
        <v>1</v>
      </c>
      <c r="E6" s="7">
        <v>10</v>
      </c>
      <c r="F6" s="7">
        <v>1</v>
      </c>
      <c r="G6" s="8" t="s">
        <v>4371</v>
      </c>
      <c r="H6" s="8" t="s">
        <v>4372</v>
      </c>
      <c r="I6" s="7" t="str">
        <f>_xlfn.CONCAT(Paper_Reference[[#This Row],[Lvl]:[Paper Description]])</f>
        <v>2A76SG254S520ASH GRAY 60 X 1441101100DS064-6200BLACK</v>
      </c>
      <c r="J6" s="7">
        <f>COUNTIF(Paper_Reference[Duplicate Key],Paper_Reference[[#This Row],[Duplicate Key]])</f>
        <v>1</v>
      </c>
    </row>
    <row r="7" spans="1:10">
      <c r="A7" s="7">
        <v>4</v>
      </c>
      <c r="B7" s="8" t="s">
        <v>499</v>
      </c>
      <c r="C7" s="8" t="s">
        <v>272</v>
      </c>
      <c r="D7" s="7">
        <v>1</v>
      </c>
      <c r="E7" s="7">
        <v>91</v>
      </c>
      <c r="F7" s="7">
        <v>8</v>
      </c>
      <c r="G7" s="8" t="s">
        <v>217</v>
      </c>
      <c r="H7" s="8" t="s">
        <v>3229</v>
      </c>
      <c r="I7" s="7" t="str">
        <f>_xlfn.CONCAT(Paper_Reference[[#This Row],[Lvl]:[Paper Description]])</f>
        <v>4AMFGLOWAPPK1AMF GLOW 5 FT APPROACH PACK1918100WM301-6200IQ MAPLE LANE (C) 60 X 144</v>
      </c>
      <c r="J7" s="7">
        <f>COUNTIF(Paper_Reference[Duplicate Key],Paper_Reference[[#This Row],[Duplicate Key]])</f>
        <v>1</v>
      </c>
    </row>
    <row r="8" spans="1:10">
      <c r="A8" s="7">
        <v>4</v>
      </c>
      <c r="B8" s="8" t="s">
        <v>499</v>
      </c>
      <c r="C8" s="8" t="s">
        <v>272</v>
      </c>
      <c r="D8" s="7">
        <v>1</v>
      </c>
      <c r="E8" s="7">
        <v>91</v>
      </c>
      <c r="F8" s="7">
        <v>8</v>
      </c>
      <c r="G8" s="8" t="s">
        <v>217</v>
      </c>
      <c r="H8" s="8" t="s">
        <v>425</v>
      </c>
      <c r="I8" s="7" t="str">
        <f>_xlfn.CONCAT(Paper_Reference[[#This Row],[Lvl]:[Paper Description]])</f>
        <v>4AMFGLOWAPPK1AMF GLOW 5 FT APPROACH PACK1918100WM301-6200IQ MAPLE LANE (CENTER)</v>
      </c>
      <c r="J8" s="7">
        <f>COUNTIF(Paper_Reference[Duplicate Key],Paper_Reference[[#This Row],[Duplicate Key]])</f>
        <v>1</v>
      </c>
    </row>
    <row r="9" spans="1:10">
      <c r="A9" s="7">
        <v>3</v>
      </c>
      <c r="B9" s="8" t="s">
        <v>614</v>
      </c>
      <c r="C9" s="8" t="s">
        <v>381</v>
      </c>
      <c r="D9" s="7">
        <v>1</v>
      </c>
      <c r="E9" s="7">
        <v>91</v>
      </c>
      <c r="F9" s="7">
        <v>12</v>
      </c>
      <c r="G9" s="8" t="s">
        <v>219</v>
      </c>
      <c r="H9" s="8" t="s">
        <v>427</v>
      </c>
      <c r="I9" s="7" t="str">
        <f>_xlfn.CONCAT(Paper_Reference[[#This Row],[Lvl]:[Paper Description]])</f>
        <v>3AMFGLOWLPPK2AMF GLOW LANE ONLY PACK19112100WM321-4300IQ MAPLE LANE RH</v>
      </c>
      <c r="J9" s="7">
        <f>COUNTIF(Paper_Reference[Duplicate Key],Paper_Reference[[#This Row],[Duplicate Key]])</f>
        <v>1</v>
      </c>
    </row>
    <row r="10" spans="1:10">
      <c r="A10" s="7">
        <v>4</v>
      </c>
      <c r="B10" s="8" t="s">
        <v>614</v>
      </c>
      <c r="C10" s="8" t="s">
        <v>381</v>
      </c>
      <c r="D10" s="7">
        <v>1</v>
      </c>
      <c r="E10" s="7">
        <v>91</v>
      </c>
      <c r="F10" s="7">
        <v>8</v>
      </c>
      <c r="G10" s="8" t="s">
        <v>219</v>
      </c>
      <c r="H10" s="8" t="s">
        <v>427</v>
      </c>
      <c r="I10" s="7" t="str">
        <f>_xlfn.CONCAT(Paper_Reference[[#This Row],[Lvl]:[Paper Description]])</f>
        <v>4AMFGLOWLPPK2AMF GLOW LANE ONLY PACK1918100WM321-4300IQ MAPLE LANE RH</v>
      </c>
      <c r="J10" s="7">
        <f>COUNTIF(Paper_Reference[Duplicate Key],Paper_Reference[[#This Row],[Duplicate Key]])</f>
        <v>1</v>
      </c>
    </row>
    <row r="11" spans="1:10">
      <c r="A11" s="7">
        <v>3</v>
      </c>
      <c r="B11" s="8" t="s">
        <v>6154</v>
      </c>
      <c r="C11" s="8" t="s">
        <v>5693</v>
      </c>
      <c r="D11" s="7">
        <v>1</v>
      </c>
      <c r="E11" s="7">
        <v>91</v>
      </c>
      <c r="F11" s="7">
        <v>16</v>
      </c>
      <c r="G11" s="8" t="s">
        <v>6710</v>
      </c>
      <c r="H11" s="8" t="s">
        <v>5691</v>
      </c>
      <c r="I11" s="7" t="str">
        <f>_xlfn.CONCAT(Paper_Reference[[#This Row],[Lvl]:[Paper Description]])</f>
        <v>3AVAMADLANEPK1AVALANCHE MAD LANE PACK19116100DS009-5000FROSTY WHITE</v>
      </c>
      <c r="J11" s="7">
        <f>COUNTIF(Paper_Reference[Duplicate Key],Paper_Reference[[#This Row],[Duplicate Key]])</f>
        <v>1</v>
      </c>
    </row>
    <row r="12" spans="1:10">
      <c r="A12" s="7">
        <v>3</v>
      </c>
      <c r="B12" s="8" t="s">
        <v>6154</v>
      </c>
      <c r="C12" s="8" t="s">
        <v>5693</v>
      </c>
      <c r="D12" s="7">
        <v>1</v>
      </c>
      <c r="E12" s="7">
        <v>91</v>
      </c>
      <c r="F12" s="7">
        <v>8</v>
      </c>
      <c r="G12" s="8" t="s">
        <v>5690</v>
      </c>
      <c r="H12" s="8" t="s">
        <v>5691</v>
      </c>
      <c r="I12" s="7" t="str">
        <f>_xlfn.CONCAT(Paper_Reference[[#This Row],[Lvl]:[Paper Description]])</f>
        <v>3AVAMADLANEPK1AVALANCHE MAD LANE PACK1918100DS009-6200FROSTY WHITE</v>
      </c>
      <c r="J12" s="7">
        <f>COUNTIF(Paper_Reference[Duplicate Key],Paper_Reference[[#This Row],[Duplicate Key]])</f>
        <v>1</v>
      </c>
    </row>
    <row r="13" spans="1:10">
      <c r="A13" s="7">
        <v>3</v>
      </c>
      <c r="B13" s="8" t="s">
        <v>6155</v>
      </c>
      <c r="C13" s="8" t="s">
        <v>5694</v>
      </c>
      <c r="D13" s="7">
        <v>1</v>
      </c>
      <c r="E13" s="7">
        <v>91</v>
      </c>
      <c r="F13" s="7">
        <v>1</v>
      </c>
      <c r="G13" s="8" t="s">
        <v>5690</v>
      </c>
      <c r="H13" s="8" t="s">
        <v>5691</v>
      </c>
      <c r="I13" s="7" t="str">
        <f>_xlfn.CONCAT(Paper_Reference[[#This Row],[Lvl]:[Paper Description]])</f>
        <v>3BASSGLOWAPK01BASS PRO FISH LANE PACK1911100DS009-6200FROSTY WHITE</v>
      </c>
      <c r="J13" s="7">
        <f>COUNTIF(Paper_Reference[Duplicate Key],Paper_Reference[[#This Row],[Duplicate Key]])</f>
        <v>1</v>
      </c>
    </row>
    <row r="14" spans="1:10">
      <c r="A14" s="7">
        <v>3</v>
      </c>
      <c r="B14" s="8" t="s">
        <v>6155</v>
      </c>
      <c r="C14" s="8" t="s">
        <v>5694</v>
      </c>
      <c r="D14" s="7">
        <v>1</v>
      </c>
      <c r="E14" s="7">
        <v>91</v>
      </c>
      <c r="F14" s="7">
        <v>2</v>
      </c>
      <c r="G14" s="8" t="s">
        <v>6710</v>
      </c>
      <c r="H14" s="8" t="s">
        <v>5691</v>
      </c>
      <c r="I14" s="7" t="str">
        <f>_xlfn.CONCAT(Paper_Reference[[#This Row],[Lvl]:[Paper Description]])</f>
        <v>3BASSGLOWAPK01BASS PRO FISH LANE PACK1912100DS009-5000FROSTY WHITE</v>
      </c>
      <c r="J14" s="7">
        <f>COUNTIF(Paper_Reference[Duplicate Key],Paper_Reference[[#This Row],[Duplicate Key]])</f>
        <v>1</v>
      </c>
    </row>
    <row r="15" spans="1:10">
      <c r="A15" s="7">
        <v>3</v>
      </c>
      <c r="B15" s="8" t="s">
        <v>6156</v>
      </c>
      <c r="C15" s="8" t="s">
        <v>5695</v>
      </c>
      <c r="D15" s="7">
        <v>1</v>
      </c>
      <c r="E15" s="7">
        <v>91</v>
      </c>
      <c r="F15" s="7">
        <v>1</v>
      </c>
      <c r="G15" s="8" t="s">
        <v>5690</v>
      </c>
      <c r="H15" s="8" t="s">
        <v>5691</v>
      </c>
      <c r="I15" s="7" t="str">
        <f>_xlfn.CONCAT(Paper_Reference[[#This Row],[Lvl]:[Paper Description]])</f>
        <v>3BASSGLOWAPK02BASS PRO FISH SINGLE LP1911100DS009-6200FROSTY WHITE</v>
      </c>
      <c r="J15" s="7">
        <f>COUNTIF(Paper_Reference[Duplicate Key],Paper_Reference[[#This Row],[Duplicate Key]])</f>
        <v>1</v>
      </c>
    </row>
    <row r="16" spans="1:10">
      <c r="A16" s="7">
        <v>3</v>
      </c>
      <c r="B16" s="8" t="s">
        <v>6156</v>
      </c>
      <c r="C16" s="8" t="s">
        <v>5695</v>
      </c>
      <c r="D16" s="7">
        <v>1</v>
      </c>
      <c r="E16" s="7">
        <v>91</v>
      </c>
      <c r="F16" s="7">
        <v>3</v>
      </c>
      <c r="G16" s="8" t="s">
        <v>6710</v>
      </c>
      <c r="H16" s="8" t="s">
        <v>5691</v>
      </c>
      <c r="I16" s="7" t="str">
        <f>_xlfn.CONCAT(Paper_Reference[[#This Row],[Lvl]:[Paper Description]])</f>
        <v>3BASSGLOWAPK02BASS PRO FISH SINGLE LP1913100DS009-5000FROSTY WHITE</v>
      </c>
      <c r="J16" s="7">
        <f>COUNTIF(Paper_Reference[Duplicate Key],Paper_Reference[[#This Row],[Duplicate Key]])</f>
        <v>1</v>
      </c>
    </row>
    <row r="17" spans="1:10">
      <c r="A17" s="7">
        <v>3</v>
      </c>
      <c r="B17" s="8" t="s">
        <v>6157</v>
      </c>
      <c r="C17" s="8" t="s">
        <v>5696</v>
      </c>
      <c r="D17" s="7">
        <v>1</v>
      </c>
      <c r="E17" s="7">
        <v>91</v>
      </c>
      <c r="F17" s="7">
        <v>1</v>
      </c>
      <c r="G17" s="8" t="s">
        <v>5690</v>
      </c>
      <c r="H17" s="8" t="s">
        <v>5691</v>
      </c>
      <c r="I17" s="7" t="str">
        <f>_xlfn.CONCAT(Paper_Reference[[#This Row],[Lvl]:[Paper Description]])</f>
        <v>3BASSGLOWAPK03BASS PRO FISH 13 LANE PACK1911100DS009-6200FROSTY WHITE</v>
      </c>
      <c r="J17" s="7">
        <f>COUNTIF(Paper_Reference[Duplicate Key],Paper_Reference[[#This Row],[Duplicate Key]])</f>
        <v>1</v>
      </c>
    </row>
    <row r="18" spans="1:10">
      <c r="A18" s="7">
        <v>3</v>
      </c>
      <c r="B18" s="8" t="s">
        <v>6157</v>
      </c>
      <c r="C18" s="8" t="s">
        <v>5696</v>
      </c>
      <c r="D18" s="7">
        <v>1</v>
      </c>
      <c r="E18" s="7">
        <v>91</v>
      </c>
      <c r="F18" s="7">
        <v>2</v>
      </c>
      <c r="G18" s="8" t="s">
        <v>6710</v>
      </c>
      <c r="H18" s="8" t="s">
        <v>5691</v>
      </c>
      <c r="I18" s="7" t="str">
        <f>_xlfn.CONCAT(Paper_Reference[[#This Row],[Lvl]:[Paper Description]])</f>
        <v>3BASSGLOWAPK03BASS PRO FISH 13 LANE PACK1912100DS009-5000FROSTY WHITE</v>
      </c>
      <c r="J18" s="7">
        <f>COUNTIF(Paper_Reference[Duplicate Key],Paper_Reference[[#This Row],[Duplicate Key]])</f>
        <v>1</v>
      </c>
    </row>
    <row r="19" spans="1:10">
      <c r="A19" s="7">
        <v>3</v>
      </c>
      <c r="B19" s="8" t="s">
        <v>6158</v>
      </c>
      <c r="C19" s="8" t="s">
        <v>5697</v>
      </c>
      <c r="D19" s="7">
        <v>1</v>
      </c>
      <c r="E19" s="7">
        <v>91</v>
      </c>
      <c r="F19" s="7">
        <v>1</v>
      </c>
      <c r="G19" s="8" t="s">
        <v>5690</v>
      </c>
      <c r="H19" s="8" t="s">
        <v>5691</v>
      </c>
      <c r="I19" s="7" t="str">
        <f>_xlfn.CONCAT(Paper_Reference[[#This Row],[Lvl]:[Paper Description]])</f>
        <v>3BASSGLOWAPK04BASS PRO FISH 16 LANE PACK1911100DS009-6200FROSTY WHITE</v>
      </c>
      <c r="J19" s="7">
        <f>COUNTIF(Paper_Reference[Duplicate Key],Paper_Reference[[#This Row],[Duplicate Key]])</f>
        <v>1</v>
      </c>
    </row>
    <row r="20" spans="1:10">
      <c r="A20" s="7">
        <v>3</v>
      </c>
      <c r="B20" s="8" t="s">
        <v>6158</v>
      </c>
      <c r="C20" s="8" t="s">
        <v>5697</v>
      </c>
      <c r="D20" s="7">
        <v>1</v>
      </c>
      <c r="E20" s="7">
        <v>91</v>
      </c>
      <c r="F20" s="7">
        <v>2</v>
      </c>
      <c r="G20" s="8" t="s">
        <v>6710</v>
      </c>
      <c r="H20" s="8" t="s">
        <v>5691</v>
      </c>
      <c r="I20" s="7" t="str">
        <f>_xlfn.CONCAT(Paper_Reference[[#This Row],[Lvl]:[Paper Description]])</f>
        <v>3BASSGLOWAPK04BASS PRO FISH 16 LANE PACK1912100DS009-5000FROSTY WHITE</v>
      </c>
      <c r="J20" s="7">
        <f>COUNTIF(Paper_Reference[Duplicate Key],Paper_Reference[[#This Row],[Duplicate Key]])</f>
        <v>1</v>
      </c>
    </row>
    <row r="21" spans="1:10">
      <c r="A21" s="7">
        <v>3</v>
      </c>
      <c r="B21" s="8" t="s">
        <v>6159</v>
      </c>
      <c r="C21" s="8" t="s">
        <v>5698</v>
      </c>
      <c r="D21" s="7">
        <v>1</v>
      </c>
      <c r="E21" s="7">
        <v>91</v>
      </c>
      <c r="F21" s="7">
        <v>1</v>
      </c>
      <c r="G21" s="8" t="s">
        <v>5690</v>
      </c>
      <c r="H21" s="8" t="s">
        <v>5691</v>
      </c>
      <c r="I21" s="7" t="str">
        <f>_xlfn.CONCAT(Paper_Reference[[#This Row],[Lvl]:[Paper Description]])</f>
        <v>3BASSGLOWAPK05BASS PRO FISH 16 TACOMA LP1911100DS009-6200FROSTY WHITE</v>
      </c>
      <c r="J21" s="7">
        <f>COUNTIF(Paper_Reference[Duplicate Key],Paper_Reference[[#This Row],[Duplicate Key]])</f>
        <v>1</v>
      </c>
    </row>
    <row r="22" spans="1:10">
      <c r="A22" s="7">
        <v>3</v>
      </c>
      <c r="B22" s="8" t="s">
        <v>6159</v>
      </c>
      <c r="C22" s="8" t="s">
        <v>5698</v>
      </c>
      <c r="D22" s="7">
        <v>1</v>
      </c>
      <c r="E22" s="7">
        <v>91</v>
      </c>
      <c r="F22" s="7">
        <v>2</v>
      </c>
      <c r="G22" s="8" t="s">
        <v>6710</v>
      </c>
      <c r="H22" s="8" t="s">
        <v>5691</v>
      </c>
      <c r="I22" s="7" t="str">
        <f>_xlfn.CONCAT(Paper_Reference[[#This Row],[Lvl]:[Paper Description]])</f>
        <v>3BASSGLOWAPK05BASS PRO FISH 16 TACOMA LP1912100DS009-5000FROSTY WHITE</v>
      </c>
      <c r="J22" s="7">
        <f>COUNTIF(Paper_Reference[Duplicate Key],Paper_Reference[[#This Row],[Duplicate Key]])</f>
        <v>1</v>
      </c>
    </row>
    <row r="23" spans="1:10">
      <c r="A23" s="7">
        <v>3</v>
      </c>
      <c r="B23" s="8" t="s">
        <v>6160</v>
      </c>
      <c r="C23" s="8" t="s">
        <v>5699</v>
      </c>
      <c r="D23" s="7">
        <v>1</v>
      </c>
      <c r="E23" s="7">
        <v>91</v>
      </c>
      <c r="F23" s="7">
        <v>1</v>
      </c>
      <c r="G23" s="8" t="s">
        <v>5690</v>
      </c>
      <c r="H23" s="8" t="s">
        <v>5691</v>
      </c>
      <c r="I23" s="7" t="str">
        <f>_xlfn.CONCAT(Paper_Reference[[#This Row],[Lvl]:[Paper Description]])</f>
        <v>3BASSGLOWAPK06BASS PRO FISH 16 R ROCK1911100DS009-6200FROSTY WHITE</v>
      </c>
      <c r="J23" s="7">
        <f>COUNTIF(Paper_Reference[Duplicate Key],Paper_Reference[[#This Row],[Duplicate Key]])</f>
        <v>1</v>
      </c>
    </row>
    <row r="24" spans="1:10">
      <c r="A24" s="7">
        <v>3</v>
      </c>
      <c r="B24" s="8" t="s">
        <v>6160</v>
      </c>
      <c r="C24" s="8" t="s">
        <v>5699</v>
      </c>
      <c r="D24" s="7">
        <v>1</v>
      </c>
      <c r="E24" s="7">
        <v>91</v>
      </c>
      <c r="F24" s="7">
        <v>2</v>
      </c>
      <c r="G24" s="8" t="s">
        <v>6710</v>
      </c>
      <c r="H24" s="8" t="s">
        <v>5691</v>
      </c>
      <c r="I24" s="7" t="str">
        <f>_xlfn.CONCAT(Paper_Reference[[#This Row],[Lvl]:[Paper Description]])</f>
        <v>3BASSGLOWAPK06BASS PRO FISH 16 R ROCK1912100DS009-5000FROSTY WHITE</v>
      </c>
      <c r="J24" s="7">
        <f>COUNTIF(Paper_Reference[Duplicate Key],Paper_Reference[[#This Row],[Duplicate Key]])</f>
        <v>1</v>
      </c>
    </row>
    <row r="25" spans="1:10">
      <c r="A25" s="7">
        <v>3</v>
      </c>
      <c r="B25" s="8" t="s">
        <v>6161</v>
      </c>
      <c r="C25" s="8" t="s">
        <v>5700</v>
      </c>
      <c r="D25" s="7">
        <v>1</v>
      </c>
      <c r="E25" s="7">
        <v>91</v>
      </c>
      <c r="F25" s="7">
        <v>1</v>
      </c>
      <c r="G25" s="8" t="s">
        <v>5690</v>
      </c>
      <c r="H25" s="8" t="s">
        <v>5691</v>
      </c>
      <c r="I25" s="7" t="str">
        <f>_xlfn.CONCAT(Paper_Reference[[#This Row],[Lvl]:[Paper Description]])</f>
        <v>3BASSGLOWAPK07BASS PRO FISH 16 RIDGEDALE1911100DS009-6200FROSTY WHITE</v>
      </c>
      <c r="J25" s="7">
        <f>COUNTIF(Paper_Reference[Duplicate Key],Paper_Reference[[#This Row],[Duplicate Key]])</f>
        <v>1</v>
      </c>
    </row>
    <row r="26" spans="1:10">
      <c r="A26" s="7">
        <v>3</v>
      </c>
      <c r="B26" s="8" t="s">
        <v>6161</v>
      </c>
      <c r="C26" s="8" t="s">
        <v>5700</v>
      </c>
      <c r="D26" s="7">
        <v>1</v>
      </c>
      <c r="E26" s="7">
        <v>91</v>
      </c>
      <c r="F26" s="7">
        <v>6</v>
      </c>
      <c r="G26" s="8" t="s">
        <v>6710</v>
      </c>
      <c r="H26" s="8" t="s">
        <v>5691</v>
      </c>
      <c r="I26" s="7" t="str">
        <f>_xlfn.CONCAT(Paper_Reference[[#This Row],[Lvl]:[Paper Description]])</f>
        <v>3BASSGLOWAPK07BASS PRO FISH 16 RIDGEDALE1916100DS009-5000FROSTY WHITE</v>
      </c>
      <c r="J26" s="7">
        <f>COUNTIF(Paper_Reference[Duplicate Key],Paper_Reference[[#This Row],[Duplicate Key]])</f>
        <v>1</v>
      </c>
    </row>
    <row r="27" spans="1:10">
      <c r="A27" s="7">
        <v>3</v>
      </c>
      <c r="B27" s="8" t="s">
        <v>6162</v>
      </c>
      <c r="C27" s="8" t="s">
        <v>5701</v>
      </c>
      <c r="D27" s="7">
        <v>1</v>
      </c>
      <c r="E27" s="7">
        <v>0</v>
      </c>
      <c r="F27" s="7">
        <v>1</v>
      </c>
      <c r="G27" s="8" t="s">
        <v>5690</v>
      </c>
      <c r="H27" s="8" t="s">
        <v>5691</v>
      </c>
      <c r="I27" s="7" t="str">
        <f>_xlfn.CONCAT(Paper_Reference[[#This Row],[Lvl]:[Paper Description]])</f>
        <v>3BBWW780APPK1DIG/WW780 UV TWO LANE PACK101100DS009-6200FROSTY WHITE</v>
      </c>
      <c r="J27" s="7">
        <f>COUNTIF(Paper_Reference[Duplicate Key],Paper_Reference[[#This Row],[Duplicate Key]])</f>
        <v>1</v>
      </c>
    </row>
    <row r="28" spans="1:10">
      <c r="A28" s="7">
        <v>3</v>
      </c>
      <c r="B28" s="8" t="s">
        <v>6162</v>
      </c>
      <c r="C28" s="8" t="s">
        <v>5701</v>
      </c>
      <c r="D28" s="7">
        <v>1</v>
      </c>
      <c r="E28" s="7">
        <v>91</v>
      </c>
      <c r="F28" s="7">
        <v>1</v>
      </c>
      <c r="G28" s="8" t="s">
        <v>5690</v>
      </c>
      <c r="H28" s="8" t="s">
        <v>5691</v>
      </c>
      <c r="I28" s="7" t="str">
        <f>_xlfn.CONCAT(Paper_Reference[[#This Row],[Lvl]:[Paper Description]])</f>
        <v>3BBWW780APPK1DIG/WW780 UV TWO LANE PACK1911100DS009-6200FROSTY WHITE</v>
      </c>
      <c r="J28" s="7">
        <f>COUNTIF(Paper_Reference[Duplicate Key],Paper_Reference[[#This Row],[Duplicate Key]])</f>
        <v>1</v>
      </c>
    </row>
    <row r="29" spans="1:10">
      <c r="A29" s="7">
        <v>3</v>
      </c>
      <c r="B29" s="8" t="s">
        <v>6162</v>
      </c>
      <c r="C29" s="8" t="s">
        <v>5701</v>
      </c>
      <c r="D29" s="7">
        <v>1</v>
      </c>
      <c r="E29" s="7">
        <v>91</v>
      </c>
      <c r="F29" s="7">
        <v>6</v>
      </c>
      <c r="G29" s="8" t="s">
        <v>6710</v>
      </c>
      <c r="H29" s="8" t="s">
        <v>5691</v>
      </c>
      <c r="I29" s="7" t="str">
        <f>_xlfn.CONCAT(Paper_Reference[[#This Row],[Lvl]:[Paper Description]])</f>
        <v>3BBWW780APPK1DIG/WW780 UV TWO LANE PACK1916100DS009-5000FROSTY WHITE</v>
      </c>
      <c r="J29" s="7">
        <f>COUNTIF(Paper_Reference[Duplicate Key],Paper_Reference[[#This Row],[Duplicate Key]])</f>
        <v>1</v>
      </c>
    </row>
    <row r="30" spans="1:10">
      <c r="A30" s="7">
        <v>3</v>
      </c>
      <c r="B30" s="8" t="s">
        <v>6163</v>
      </c>
      <c r="C30" s="8" t="s">
        <v>5702</v>
      </c>
      <c r="D30" s="7">
        <v>1</v>
      </c>
      <c r="E30" s="7">
        <v>91</v>
      </c>
      <c r="F30" s="7">
        <v>1</v>
      </c>
      <c r="G30" s="8" t="s">
        <v>5690</v>
      </c>
      <c r="H30" s="8" t="s">
        <v>5691</v>
      </c>
      <c r="I30" s="7" t="str">
        <f>_xlfn.CONCAT(Paper_Reference[[#This Row],[Lvl]:[Paper Description]])</f>
        <v>3BIRUVTLPAPPK1BIRUSINSK UV TWO LANE PACK1911100DS009-6200FROSTY WHITE</v>
      </c>
      <c r="J30" s="7">
        <f>COUNTIF(Paper_Reference[Duplicate Key],Paper_Reference[[#This Row],[Duplicate Key]])</f>
        <v>1</v>
      </c>
    </row>
    <row r="31" spans="1:10">
      <c r="A31" s="7">
        <v>3</v>
      </c>
      <c r="B31" s="8" t="s">
        <v>6163</v>
      </c>
      <c r="C31" s="8" t="s">
        <v>5702</v>
      </c>
      <c r="D31" s="7">
        <v>1</v>
      </c>
      <c r="E31" s="7">
        <v>91</v>
      </c>
      <c r="F31" s="7">
        <v>2</v>
      </c>
      <c r="G31" s="8" t="s">
        <v>6710</v>
      </c>
      <c r="H31" s="8" t="s">
        <v>5691</v>
      </c>
      <c r="I31" s="7" t="str">
        <f>_xlfn.CONCAT(Paper_Reference[[#This Row],[Lvl]:[Paper Description]])</f>
        <v>3BIRUVTLPAPPK1BIRUSINSK UV TWO LANE PACK1912100DS009-5000FROSTY WHITE</v>
      </c>
      <c r="J31" s="7">
        <f>COUNTIF(Paper_Reference[Duplicate Key],Paper_Reference[[#This Row],[Duplicate Key]])</f>
        <v>1</v>
      </c>
    </row>
    <row r="32" spans="1:10">
      <c r="A32" s="7">
        <v>3</v>
      </c>
      <c r="B32" s="8" t="s">
        <v>6164</v>
      </c>
      <c r="C32" s="8" t="s">
        <v>5703</v>
      </c>
      <c r="D32" s="7">
        <v>1</v>
      </c>
      <c r="E32" s="7">
        <v>91</v>
      </c>
      <c r="F32" s="7">
        <v>1</v>
      </c>
      <c r="G32" s="8" t="s">
        <v>5690</v>
      </c>
      <c r="H32" s="8" t="s">
        <v>5691</v>
      </c>
      <c r="I32" s="7" t="str">
        <f>_xlfn.CONCAT(Paper_Reference[[#This Row],[Lvl]:[Paper Description]])</f>
        <v>3BIRUVTLPAPPK2GELENDJIK UV TWO LANE PACK1911100DS009-6200FROSTY WHITE</v>
      </c>
      <c r="J32" s="7">
        <f>COUNTIF(Paper_Reference[Duplicate Key],Paper_Reference[[#This Row],[Duplicate Key]])</f>
        <v>1</v>
      </c>
    </row>
    <row r="33" spans="1:10">
      <c r="A33" s="7">
        <v>3</v>
      </c>
      <c r="B33" s="8" t="s">
        <v>6164</v>
      </c>
      <c r="C33" s="8" t="s">
        <v>5703</v>
      </c>
      <c r="D33" s="7">
        <v>1</v>
      </c>
      <c r="E33" s="7">
        <v>91</v>
      </c>
      <c r="F33" s="7">
        <v>2</v>
      </c>
      <c r="G33" s="8" t="s">
        <v>6710</v>
      </c>
      <c r="H33" s="8" t="s">
        <v>5691</v>
      </c>
      <c r="I33" s="7" t="str">
        <f>_xlfn.CONCAT(Paper_Reference[[#This Row],[Lvl]:[Paper Description]])</f>
        <v>3BIRUVTLPAPPK2GELENDJIK UV TWO LANE PACK1912100DS009-5000FROSTY WHITE</v>
      </c>
      <c r="J33" s="7">
        <f>COUNTIF(Paper_Reference[Duplicate Key],Paper_Reference[[#This Row],[Duplicate Key]])</f>
        <v>1</v>
      </c>
    </row>
    <row r="34" spans="1:10">
      <c r="A34" s="7">
        <v>3</v>
      </c>
      <c r="B34" s="8" t="s">
        <v>6165</v>
      </c>
      <c r="C34" s="8" t="s">
        <v>5704</v>
      </c>
      <c r="D34" s="7">
        <v>1</v>
      </c>
      <c r="E34" s="7">
        <v>91</v>
      </c>
      <c r="F34" s="7">
        <v>1</v>
      </c>
      <c r="G34" s="8" t="s">
        <v>5690</v>
      </c>
      <c r="H34" s="8" t="s">
        <v>5691</v>
      </c>
      <c r="I34" s="7" t="str">
        <f>_xlfn.CONCAT(Paper_Reference[[#This Row],[Lvl]:[Paper Description]])</f>
        <v>3BIRUVTLPAPPK3NAUTILUS UV TWO LANE PACK1911100DS009-6200FROSTY WHITE</v>
      </c>
      <c r="J34" s="7">
        <f>COUNTIF(Paper_Reference[Duplicate Key],Paper_Reference[[#This Row],[Duplicate Key]])</f>
        <v>1</v>
      </c>
    </row>
    <row r="35" spans="1:10">
      <c r="A35" s="7">
        <v>3</v>
      </c>
      <c r="B35" s="8" t="s">
        <v>6165</v>
      </c>
      <c r="C35" s="8" t="s">
        <v>5704</v>
      </c>
      <c r="D35" s="7">
        <v>1</v>
      </c>
      <c r="E35" s="7">
        <v>91</v>
      </c>
      <c r="F35" s="7">
        <v>6</v>
      </c>
      <c r="G35" s="8" t="s">
        <v>6710</v>
      </c>
      <c r="H35" s="8" t="s">
        <v>5691</v>
      </c>
      <c r="I35" s="7" t="str">
        <f>_xlfn.CONCAT(Paper_Reference[[#This Row],[Lvl]:[Paper Description]])</f>
        <v>3BIRUVTLPAPPK3NAUTILUS UV TWO LANE PACK1916100DS009-5000FROSTY WHITE</v>
      </c>
      <c r="J35" s="7">
        <f>COUNTIF(Paper_Reference[Duplicate Key],Paper_Reference[[#This Row],[Duplicate Key]])</f>
        <v>1</v>
      </c>
    </row>
    <row r="36" spans="1:10">
      <c r="A36" s="7">
        <v>3</v>
      </c>
      <c r="B36" s="8" t="s">
        <v>994</v>
      </c>
      <c r="C36" s="8" t="s">
        <v>989</v>
      </c>
      <c r="D36" s="7">
        <v>1</v>
      </c>
      <c r="E36" s="7">
        <v>91</v>
      </c>
      <c r="F36" s="7">
        <v>6</v>
      </c>
      <c r="G36" s="8" t="s">
        <v>972</v>
      </c>
      <c r="H36" s="8" t="s">
        <v>981</v>
      </c>
      <c r="I36" s="7" t="str">
        <f>_xlfn.CONCAT(Paper_Reference[[#This Row],[Lvl]:[Paper Description]])</f>
        <v>3BSKM009APPK1KM009 UV BRUNS SILVER 2 LP1916100KM009-6200Bruns Silver w/lines Print</v>
      </c>
      <c r="J36" s="7">
        <f>COUNTIF(Paper_Reference[Duplicate Key],Paper_Reference[[#This Row],[Duplicate Key]])</f>
        <v>1</v>
      </c>
    </row>
    <row r="37" spans="1:10">
      <c r="A37" s="7">
        <v>4</v>
      </c>
      <c r="B37" s="8" t="s">
        <v>995</v>
      </c>
      <c r="C37" s="8" t="s">
        <v>990</v>
      </c>
      <c r="D37" s="7">
        <v>1</v>
      </c>
      <c r="E37" s="7">
        <v>91</v>
      </c>
      <c r="F37" s="7">
        <v>1</v>
      </c>
      <c r="G37" s="8" t="s">
        <v>972</v>
      </c>
      <c r="H37" s="8" t="s">
        <v>981</v>
      </c>
      <c r="I37" s="7" t="str">
        <f>_xlfn.CONCAT(Paper_Reference[[#This Row],[Lvl]:[Paper Description]])</f>
        <v>4BSKM009APPK2KM009 UV BRUNS SILVER LEFT LP1911100KM009-6200Bruns Silver w/lines Print</v>
      </c>
      <c r="J37" s="7">
        <f>COUNTIF(Paper_Reference[Duplicate Key],Paper_Reference[[#This Row],[Duplicate Key]])</f>
        <v>1</v>
      </c>
    </row>
    <row r="38" spans="1:10">
      <c r="A38" s="7">
        <v>4</v>
      </c>
      <c r="B38" s="8" t="s">
        <v>996</v>
      </c>
      <c r="C38" s="8" t="s">
        <v>991</v>
      </c>
      <c r="D38" s="7">
        <v>1</v>
      </c>
      <c r="E38" s="7">
        <v>91</v>
      </c>
      <c r="F38" s="7">
        <v>1</v>
      </c>
      <c r="G38" s="8" t="s">
        <v>972</v>
      </c>
      <c r="H38" s="8" t="s">
        <v>981</v>
      </c>
      <c r="I38" s="7" t="str">
        <f>_xlfn.CONCAT(Paper_Reference[[#This Row],[Lvl]:[Paper Description]])</f>
        <v>4BSKM009APPK3KM009 UV BRUNS SILVER RIGHT LP1911100KM009-6200Bruns Silver w/lines Print</v>
      </c>
      <c r="J38" s="7">
        <f>COUNTIF(Paper_Reference[Duplicate Key],Paper_Reference[[#This Row],[Duplicate Key]])</f>
        <v>1</v>
      </c>
    </row>
    <row r="39" spans="1:10">
      <c r="A39" s="7">
        <v>4</v>
      </c>
      <c r="B39" s="8" t="s">
        <v>1011</v>
      </c>
      <c r="C39" s="8" t="s">
        <v>999</v>
      </c>
      <c r="D39" s="7">
        <v>1</v>
      </c>
      <c r="E39" s="7">
        <v>91</v>
      </c>
      <c r="F39" s="7">
        <v>1</v>
      </c>
      <c r="G39" s="8" t="s">
        <v>973</v>
      </c>
      <c r="H39" s="8" t="s">
        <v>982</v>
      </c>
      <c r="I39" s="7" t="str">
        <f>_xlfn.CONCAT(Paper_Reference[[#This Row],[Lvl]:[Paper Description]])</f>
        <v>4BSKM010APPK3BRUNS SILVER  PRO UV 2LP1911100KM010-6200MG BRUNS SILVER</v>
      </c>
      <c r="J39" s="7">
        <f>COUNTIF(Paper_Reference[Duplicate Key],Paper_Reference[[#This Row],[Duplicate Key]])</f>
        <v>1</v>
      </c>
    </row>
    <row r="40" spans="1:10">
      <c r="A40" s="7">
        <v>4</v>
      </c>
      <c r="B40" s="8" t="s">
        <v>1012</v>
      </c>
      <c r="C40" s="8" t="s">
        <v>1000</v>
      </c>
      <c r="D40" s="7">
        <v>1</v>
      </c>
      <c r="E40" s="7">
        <v>91</v>
      </c>
      <c r="F40" s="7">
        <v>1</v>
      </c>
      <c r="G40" s="8" t="s">
        <v>973</v>
      </c>
      <c r="H40" s="8" t="s">
        <v>982</v>
      </c>
      <c r="I40" s="7" t="str">
        <f>_xlfn.CONCAT(Paper_Reference[[#This Row],[Lvl]:[Paper Description]])</f>
        <v>4BSKM010APPK4BRUNS SILVER UV 2 LANE PK1911100KM010-6200MG BRUNS SILVER</v>
      </c>
      <c r="J40" s="7">
        <f>COUNTIF(Paper_Reference[Duplicate Key],Paper_Reference[[#This Row],[Duplicate Key]])</f>
        <v>1</v>
      </c>
    </row>
    <row r="41" spans="1:10">
      <c r="A41" s="7">
        <v>4</v>
      </c>
      <c r="B41" s="8" t="s">
        <v>4622</v>
      </c>
      <c r="C41" s="8" t="s">
        <v>4377</v>
      </c>
      <c r="D41" s="7">
        <v>1</v>
      </c>
      <c r="E41" s="7">
        <v>91</v>
      </c>
      <c r="F41" s="7">
        <v>1</v>
      </c>
      <c r="G41" s="8" t="s">
        <v>4371</v>
      </c>
      <c r="H41" s="8" t="s">
        <v>4372</v>
      </c>
      <c r="I41" s="7" t="str">
        <f>_xlfn.CONCAT(Paper_Reference[[#This Row],[Lvl]:[Paper Description]])</f>
        <v>4BSSE101APPK1SE101 BLACK UV 2 LANE PK1911100DS064-6200BLACK</v>
      </c>
      <c r="J41" s="7">
        <f>COUNTIF(Paper_Reference[Duplicate Key],Paper_Reference[[#This Row],[Duplicate Key]])</f>
        <v>1</v>
      </c>
    </row>
    <row r="42" spans="1:10">
      <c r="A42" s="7">
        <v>3</v>
      </c>
      <c r="B42" s="8" t="s">
        <v>5477</v>
      </c>
      <c r="C42" s="8" t="s">
        <v>5375</v>
      </c>
      <c r="D42" s="7">
        <v>1</v>
      </c>
      <c r="E42" s="7">
        <v>0</v>
      </c>
      <c r="F42" s="7">
        <v>7.6899999999999996E-2</v>
      </c>
      <c r="G42" s="8" t="s">
        <v>5373</v>
      </c>
      <c r="H42" s="8" t="s">
        <v>5374</v>
      </c>
      <c r="I42" s="7" t="str">
        <f>_xlfn.CONCAT(Paper_Reference[[#This Row],[Lvl]:[Paper Description]])</f>
        <v>3BV1WW971NDEJGUN SAVOY WALNUT BES 1 5/8 X 1100.0769100WW971-6200GUN SAVOY WALNUT</v>
      </c>
      <c r="J42" s="7">
        <f>COUNTIF(Paper_Reference[Duplicate Key],Paper_Reference[[#This Row],[Duplicate Key]])</f>
        <v>1</v>
      </c>
    </row>
    <row r="43" spans="1:10">
      <c r="A43" s="7">
        <v>3</v>
      </c>
      <c r="B43" s="8" t="s">
        <v>5478</v>
      </c>
      <c r="C43" s="8" t="s">
        <v>5375</v>
      </c>
      <c r="D43" s="7">
        <v>1</v>
      </c>
      <c r="E43" s="7">
        <v>0</v>
      </c>
      <c r="F43" s="7">
        <v>7.6899999999999996E-2</v>
      </c>
      <c r="G43" s="8" t="s">
        <v>5373</v>
      </c>
      <c r="H43" s="8" t="s">
        <v>5374</v>
      </c>
      <c r="I43" s="7" t="str">
        <f>_xlfn.CONCAT(Paper_Reference[[#This Row],[Lvl]:[Paper Description]])</f>
        <v>3BV1WW971SDDEJGUN SAVOY WALNUT BES 1 5/8 X 1100.0769100WW971-6200GUN SAVOY WALNUT</v>
      </c>
      <c r="J43" s="7">
        <f>COUNTIF(Paper_Reference[Duplicate Key],Paper_Reference[[#This Row],[Duplicate Key]])</f>
        <v>1</v>
      </c>
    </row>
    <row r="44" spans="1:10">
      <c r="A44" s="7">
        <v>2</v>
      </c>
      <c r="B44" s="8" t="s">
        <v>5479</v>
      </c>
      <c r="C44" s="8" t="s">
        <v>5376</v>
      </c>
      <c r="D44" s="7">
        <v>1</v>
      </c>
      <c r="E44" s="7">
        <v>10</v>
      </c>
      <c r="F44" s="7">
        <v>1</v>
      </c>
      <c r="G44" s="8" t="s">
        <v>5373</v>
      </c>
      <c r="H44" s="8" t="s">
        <v>5374</v>
      </c>
      <c r="I44" s="7" t="str">
        <f>_xlfn.CONCAT(Paper_Reference[[#This Row],[Lvl]:[Paper Description]])</f>
        <v>2C20WW971M520GUN SAVOY WALNUT 60 X 1441101100WW971-6200GUN SAVOY WALNUT</v>
      </c>
      <c r="J44" s="7">
        <f>COUNTIF(Paper_Reference[Duplicate Key],Paper_Reference[[#This Row],[Duplicate Key]])</f>
        <v>1</v>
      </c>
    </row>
    <row r="45" spans="1:10">
      <c r="A45" s="7">
        <v>2</v>
      </c>
      <c r="B45" s="8" t="s">
        <v>5480</v>
      </c>
      <c r="C45" s="8" t="s">
        <v>5376</v>
      </c>
      <c r="D45" s="7">
        <v>1</v>
      </c>
      <c r="E45" s="7">
        <v>10</v>
      </c>
      <c r="F45" s="7">
        <v>1</v>
      </c>
      <c r="G45" s="8" t="s">
        <v>5373</v>
      </c>
      <c r="H45" s="8" t="s">
        <v>5374</v>
      </c>
      <c r="I45" s="7" t="str">
        <f>_xlfn.CONCAT(Paper_Reference[[#This Row],[Lvl]:[Paper Description]])</f>
        <v>2C20WW971MT520GUN SAVOY WALNUT 60 X 1441101100WW971-6200GUN SAVOY WALNUT</v>
      </c>
      <c r="J45" s="7">
        <f>COUNTIF(Paper_Reference[Duplicate Key],Paper_Reference[[#This Row],[Duplicate Key]])</f>
        <v>1</v>
      </c>
    </row>
    <row r="46" spans="1:10">
      <c r="A46" s="7">
        <v>2</v>
      </c>
      <c r="B46" s="8" t="s">
        <v>4623</v>
      </c>
      <c r="C46" s="8" t="s">
        <v>4378</v>
      </c>
      <c r="D46" s="7">
        <v>1</v>
      </c>
      <c r="E46" s="7">
        <v>10</v>
      </c>
      <c r="F46" s="7">
        <v>0.5</v>
      </c>
      <c r="G46" s="8" t="s">
        <v>4371</v>
      </c>
      <c r="H46" s="8" t="s">
        <v>4372</v>
      </c>
      <c r="I46" s="7" t="str">
        <f>_xlfn.CONCAT(Paper_Reference[[#This Row],[Lvl]:[Paper Description]])</f>
        <v>2C21SE101M020BLACK 30 X 1441100.5100DS064-6200BLACK</v>
      </c>
      <c r="J46" s="7">
        <f>COUNTIF(Paper_Reference[Duplicate Key],Paper_Reference[[#This Row],[Duplicate Key]])</f>
        <v>1</v>
      </c>
    </row>
    <row r="47" spans="1:10">
      <c r="A47" s="7">
        <v>2</v>
      </c>
      <c r="B47" s="8" t="s">
        <v>4624</v>
      </c>
      <c r="C47" s="8" t="s">
        <v>4373</v>
      </c>
      <c r="D47" s="7">
        <v>1</v>
      </c>
      <c r="E47" s="7">
        <v>10</v>
      </c>
      <c r="F47" s="7">
        <v>1</v>
      </c>
      <c r="G47" s="8" t="s">
        <v>4371</v>
      </c>
      <c r="H47" s="8" t="s">
        <v>4372</v>
      </c>
      <c r="I47" s="7" t="str">
        <f>_xlfn.CONCAT(Paper_Reference[[#This Row],[Lvl]:[Paper Description]])</f>
        <v>2C21SE101M500BLACK 60 X 1201101100DS064-6200BLACK</v>
      </c>
      <c r="J47" s="7">
        <f>COUNTIF(Paper_Reference[Duplicate Key],Paper_Reference[[#This Row],[Duplicate Key]])</f>
        <v>1</v>
      </c>
    </row>
    <row r="48" spans="1:10">
      <c r="A48" s="7">
        <v>2</v>
      </c>
      <c r="B48" s="8" t="s">
        <v>4625</v>
      </c>
      <c r="C48" s="8" t="s">
        <v>4379</v>
      </c>
      <c r="D48" s="7">
        <v>1</v>
      </c>
      <c r="E48" s="7">
        <v>10</v>
      </c>
      <c r="F48" s="7">
        <v>1</v>
      </c>
      <c r="G48" s="8" t="s">
        <v>4371</v>
      </c>
      <c r="H48" s="8" t="s">
        <v>4372</v>
      </c>
      <c r="I48" s="7" t="str">
        <f>_xlfn.CONCAT(Paper_Reference[[#This Row],[Lvl]:[Paper Description]])</f>
        <v>2C21SE101M520BLACK 60 X 1441101100DS064-6200BLACK</v>
      </c>
      <c r="J48" s="7">
        <f>COUNTIF(Paper_Reference[Duplicate Key],Paper_Reference[[#This Row],[Duplicate Key]])</f>
        <v>1</v>
      </c>
    </row>
    <row r="49" spans="1:10">
      <c r="A49" s="7">
        <v>2</v>
      </c>
      <c r="B49" s="8" t="s">
        <v>4626</v>
      </c>
      <c r="C49" s="8" t="s">
        <v>4380</v>
      </c>
      <c r="D49" s="7">
        <v>1</v>
      </c>
      <c r="E49" s="7">
        <v>10</v>
      </c>
      <c r="F49" s="7">
        <v>1</v>
      </c>
      <c r="G49" s="8" t="s">
        <v>4371</v>
      </c>
      <c r="H49" s="8" t="s">
        <v>4372</v>
      </c>
      <c r="I49" s="7" t="str">
        <f>_xlfn.CONCAT(Paper_Reference[[#This Row],[Lvl]:[Paper Description]])</f>
        <v>2C21SE101M580BLACK 60 X 961101100DS064-6200BLACK</v>
      </c>
      <c r="J49" s="7">
        <f>COUNTIF(Paper_Reference[Duplicate Key],Paper_Reference[[#This Row],[Duplicate Key]])</f>
        <v>1</v>
      </c>
    </row>
    <row r="50" spans="1:10">
      <c r="A50" s="7">
        <v>2</v>
      </c>
      <c r="B50" s="8" t="s">
        <v>4627</v>
      </c>
      <c r="C50" s="8" t="s">
        <v>4381</v>
      </c>
      <c r="D50" s="7">
        <v>1</v>
      </c>
      <c r="E50" s="7">
        <v>10</v>
      </c>
      <c r="F50" s="7">
        <v>0.5</v>
      </c>
      <c r="G50" s="8" t="s">
        <v>4371</v>
      </c>
      <c r="H50" s="8" t="s">
        <v>4372</v>
      </c>
      <c r="I50" s="7" t="str">
        <f>_xlfn.CONCAT(Paper_Reference[[#This Row],[Lvl]:[Paper Description]])</f>
        <v>2C21SE101MRCNBLACK 29 1/2 X 97 1/41100.5100DS064-6200BLACK</v>
      </c>
      <c r="J50" s="7">
        <f>COUNTIF(Paper_Reference[Duplicate Key],Paper_Reference[[#This Row],[Duplicate Key]])</f>
        <v>1</v>
      </c>
    </row>
    <row r="51" spans="1:10">
      <c r="A51" s="7">
        <v>2</v>
      </c>
      <c r="B51" s="8" t="s">
        <v>4628</v>
      </c>
      <c r="C51" s="8" t="s">
        <v>4382</v>
      </c>
      <c r="D51" s="7">
        <v>1</v>
      </c>
      <c r="E51" s="7">
        <v>10</v>
      </c>
      <c r="F51" s="7">
        <v>0.33329999999999999</v>
      </c>
      <c r="G51" s="8" t="s">
        <v>4371</v>
      </c>
      <c r="H51" s="8" t="s">
        <v>4372</v>
      </c>
      <c r="I51" s="7" t="str">
        <f>_xlfn.CONCAT(Paper_Reference[[#This Row],[Lvl]:[Paper Description]])</f>
        <v>2C21SE101MRCQBLACK 19 3/4 X 96 1/21100.3333100DS064-6200BLACK</v>
      </c>
      <c r="J51" s="7">
        <f>COUNTIF(Paper_Reference[Duplicate Key],Paper_Reference[[#This Row],[Duplicate Key]])</f>
        <v>1</v>
      </c>
    </row>
    <row r="52" spans="1:10">
      <c r="A52" s="7">
        <v>2</v>
      </c>
      <c r="B52" s="8" t="s">
        <v>4629</v>
      </c>
      <c r="C52" s="8" t="s">
        <v>4383</v>
      </c>
      <c r="D52" s="7">
        <v>1</v>
      </c>
      <c r="E52" s="7">
        <v>10</v>
      </c>
      <c r="F52" s="7">
        <v>0.16669999999999999</v>
      </c>
      <c r="G52" s="8" t="s">
        <v>4371</v>
      </c>
      <c r="H52" s="8" t="s">
        <v>4372</v>
      </c>
      <c r="I52" s="7" t="str">
        <f>_xlfn.CONCAT(Paper_Reference[[#This Row],[Lvl]:[Paper Description]])</f>
        <v>2C21SE101MRCRBLACK 19 3/4 X 72 1/41100.1667100DS064-6200BLACK</v>
      </c>
      <c r="J52" s="7">
        <f>COUNTIF(Paper_Reference[Duplicate Key],Paper_Reference[[#This Row],[Duplicate Key]])</f>
        <v>1</v>
      </c>
    </row>
    <row r="53" spans="1:10">
      <c r="A53" s="7">
        <v>2</v>
      </c>
      <c r="B53" s="8" t="s">
        <v>4630</v>
      </c>
      <c r="C53" s="8" t="s">
        <v>4373</v>
      </c>
      <c r="D53" s="7">
        <v>1</v>
      </c>
      <c r="E53" s="7">
        <v>10</v>
      </c>
      <c r="F53" s="7">
        <v>1</v>
      </c>
      <c r="G53" s="8" t="s">
        <v>4371</v>
      </c>
      <c r="H53" s="8" t="s">
        <v>4372</v>
      </c>
      <c r="I53" s="7" t="str">
        <f>_xlfn.CONCAT(Paper_Reference[[#This Row],[Lvl]:[Paper Description]])</f>
        <v>2C21SE101MT500BLACK 60 X 1201101100DS064-6200BLACK</v>
      </c>
      <c r="J53" s="7">
        <f>COUNTIF(Paper_Reference[Duplicate Key],Paper_Reference[[#This Row],[Duplicate Key]])</f>
        <v>1</v>
      </c>
    </row>
    <row r="54" spans="1:10">
      <c r="A54" s="7">
        <v>3</v>
      </c>
      <c r="B54" s="8" t="s">
        <v>450</v>
      </c>
      <c r="C54" s="8" t="s">
        <v>228</v>
      </c>
      <c r="D54" s="7">
        <v>1</v>
      </c>
      <c r="E54" s="7">
        <v>91</v>
      </c>
      <c r="F54" s="7">
        <v>2</v>
      </c>
      <c r="G54" s="8" t="s">
        <v>214</v>
      </c>
      <c r="H54" s="8" t="s">
        <v>423</v>
      </c>
      <c r="I54" s="7" t="str">
        <f>_xlfn.CONCAT(Paper_Reference[[#This Row],[Lvl]:[Paper Description]])</f>
        <v>3CAFE&amp;GAMEPK2C &amp; G DIG UV PRO 2 LANE PACK1912100WM991-4300MAPLE LANE PRINT (W)</v>
      </c>
      <c r="J54" s="7">
        <f>COUNTIF(Paper_Reference[Duplicate Key],Paper_Reference[[#This Row],[Duplicate Key]])</f>
        <v>1</v>
      </c>
    </row>
    <row r="55" spans="1:10">
      <c r="A55" s="7">
        <v>3</v>
      </c>
      <c r="B55" s="8" t="s">
        <v>450</v>
      </c>
      <c r="C55" s="8" t="s">
        <v>228</v>
      </c>
      <c r="D55" s="7">
        <v>1</v>
      </c>
      <c r="E55" s="7">
        <v>91</v>
      </c>
      <c r="F55" s="7">
        <v>4</v>
      </c>
      <c r="G55" s="8" t="s">
        <v>214</v>
      </c>
      <c r="H55" s="8" t="s">
        <v>423</v>
      </c>
      <c r="I55" s="7" t="str">
        <f>_xlfn.CONCAT(Paper_Reference[[#This Row],[Lvl]:[Paper Description]])</f>
        <v>3CAFE&amp;GAMEPK2C &amp; G DIG UV PRO 2 LANE PACK1914100WM991-4300MAPLE LANE PRINT (W)</v>
      </c>
      <c r="J55" s="7">
        <f>COUNTIF(Paper_Reference[Duplicate Key],Paper_Reference[[#This Row],[Duplicate Key]])</f>
        <v>1</v>
      </c>
    </row>
    <row r="56" spans="1:10">
      <c r="A56" s="7">
        <v>4</v>
      </c>
      <c r="B56" s="8" t="s">
        <v>450</v>
      </c>
      <c r="C56" s="8" t="s">
        <v>228</v>
      </c>
      <c r="D56" s="7">
        <v>1</v>
      </c>
      <c r="E56" s="7">
        <v>91</v>
      </c>
      <c r="F56" s="7">
        <v>1</v>
      </c>
      <c r="G56" s="8" t="s">
        <v>215</v>
      </c>
      <c r="H56" s="8" t="s">
        <v>422</v>
      </c>
      <c r="I56" s="7" t="str">
        <f>_xlfn.CONCAT(Paper_Reference[[#This Row],[Lvl]:[Paper Description]])</f>
        <v>4CAFE&amp;GAMEPK2C &amp; G DIG UV PRO 2 LANE PACK1911100WM101-6200RIGHT BRUNSWICK MAPLE (W)</v>
      </c>
      <c r="J56" s="7">
        <f>COUNTIF(Paper_Reference[Duplicate Key],Paper_Reference[[#This Row],[Duplicate Key]])</f>
        <v>1</v>
      </c>
    </row>
    <row r="57" spans="1:10">
      <c r="A57" s="7">
        <v>4</v>
      </c>
      <c r="B57" s="8" t="s">
        <v>450</v>
      </c>
      <c r="C57" s="8" t="s">
        <v>228</v>
      </c>
      <c r="D57" s="7">
        <v>1</v>
      </c>
      <c r="E57" s="7">
        <v>91</v>
      </c>
      <c r="F57" s="7">
        <v>1</v>
      </c>
      <c r="G57" s="8" t="s">
        <v>216</v>
      </c>
      <c r="H57" s="8" t="s">
        <v>424</v>
      </c>
      <c r="I57" s="7" t="str">
        <f>_xlfn.CONCAT(Paper_Reference[[#This Row],[Lvl]:[Paper Description]])</f>
        <v>4CAFE&amp;GAMEPK2C &amp; G DIG UV PRO 2 LANE PACK1911100WM981-6200LEFT BRUNSWICK MAPLE (W)</v>
      </c>
      <c r="J57" s="7">
        <f>COUNTIF(Paper_Reference[Duplicate Key],Paper_Reference[[#This Row],[Duplicate Key]])</f>
        <v>1</v>
      </c>
    </row>
    <row r="58" spans="1:10">
      <c r="A58" s="7">
        <v>4</v>
      </c>
      <c r="B58" s="8" t="s">
        <v>450</v>
      </c>
      <c r="C58" s="8" t="s">
        <v>228</v>
      </c>
      <c r="D58" s="7">
        <v>1</v>
      </c>
      <c r="E58" s="7">
        <v>91</v>
      </c>
      <c r="F58" s="7">
        <v>2</v>
      </c>
      <c r="G58" s="8" t="s">
        <v>214</v>
      </c>
      <c r="H58" s="8" t="s">
        <v>423</v>
      </c>
      <c r="I58" s="7" t="str">
        <f>_xlfn.CONCAT(Paper_Reference[[#This Row],[Lvl]:[Paper Description]])</f>
        <v>4CAFE&amp;GAMEPK2C &amp; G DIG UV PRO 2 LANE PACK1912100WM991-4300MAPLE LANE PRINT (W)</v>
      </c>
      <c r="J58" s="7">
        <f>COUNTIF(Paper_Reference[Duplicate Key],Paper_Reference[[#This Row],[Duplicate Key]])</f>
        <v>1</v>
      </c>
    </row>
    <row r="59" spans="1:10">
      <c r="A59" s="7">
        <v>3</v>
      </c>
      <c r="B59" s="8" t="s">
        <v>6166</v>
      </c>
      <c r="C59" s="8" t="s">
        <v>5705</v>
      </c>
      <c r="D59" s="7">
        <v>1</v>
      </c>
      <c r="E59" s="7">
        <v>91</v>
      </c>
      <c r="F59" s="7">
        <v>1</v>
      </c>
      <c r="G59" s="8" t="s">
        <v>5690</v>
      </c>
      <c r="H59" s="8" t="s">
        <v>5691</v>
      </c>
      <c r="I59" s="7" t="str">
        <f>_xlfn.CONCAT(Paper_Reference[[#This Row],[Lvl]:[Paper Description]])</f>
        <v>3CALUNACAPPK2CALUNA CHERRY DIG UV 2LP1911100DS009-6200FROSTY WHITE</v>
      </c>
      <c r="J59" s="7">
        <f>COUNTIF(Paper_Reference[Duplicate Key],Paper_Reference[[#This Row],[Duplicate Key]])</f>
        <v>1</v>
      </c>
    </row>
    <row r="60" spans="1:10">
      <c r="A60" s="7">
        <v>3</v>
      </c>
      <c r="B60" s="8" t="s">
        <v>6166</v>
      </c>
      <c r="C60" s="8" t="s">
        <v>5705</v>
      </c>
      <c r="D60" s="7">
        <v>1</v>
      </c>
      <c r="E60" s="7">
        <v>91</v>
      </c>
      <c r="F60" s="7">
        <v>2</v>
      </c>
      <c r="G60" s="8" t="s">
        <v>6710</v>
      </c>
      <c r="H60" s="8" t="s">
        <v>5691</v>
      </c>
      <c r="I60" s="7" t="str">
        <f>_xlfn.CONCAT(Paper_Reference[[#This Row],[Lvl]:[Paper Description]])</f>
        <v>3CALUNACAPPK2CALUNA CHERRY DIG UV 2LP1912100DS009-5000FROSTY WHITE</v>
      </c>
      <c r="J60" s="7">
        <f>COUNTIF(Paper_Reference[Duplicate Key],Paper_Reference[[#This Row],[Duplicate Key]])</f>
        <v>1</v>
      </c>
    </row>
    <row r="61" spans="1:10">
      <c r="A61" s="7">
        <v>4</v>
      </c>
      <c r="B61" s="8" t="s">
        <v>9489</v>
      </c>
      <c r="C61" s="8" t="s">
        <v>9146</v>
      </c>
      <c r="D61" s="7">
        <v>1</v>
      </c>
      <c r="E61" s="7">
        <v>91</v>
      </c>
      <c r="F61" s="7">
        <v>1</v>
      </c>
      <c r="G61" s="8" t="s">
        <v>9143</v>
      </c>
      <c r="H61" s="8" t="s">
        <v>9144</v>
      </c>
      <c r="I61" s="30" t="str">
        <f>_xlfn.CONCAT(Paper_Reference[[#This Row],[Lvl]:[Paper Description]])</f>
        <v>4CBPFA39APPK1CHICAGO BLUES 2LP1911100PFA39-6200SINGING THE CHICAGO BLUES</v>
      </c>
      <c r="J61" s="30">
        <f>COUNTIF(Paper_Reference[Duplicate Key],Paper_Reference[[#This Row],[Duplicate Key]])</f>
        <v>1</v>
      </c>
    </row>
    <row r="62" spans="1:10">
      <c r="A62" s="7">
        <v>4</v>
      </c>
      <c r="B62" s="8" t="s">
        <v>9489</v>
      </c>
      <c r="C62" s="8" t="s">
        <v>9146</v>
      </c>
      <c r="D62" s="7">
        <v>1</v>
      </c>
      <c r="E62" s="7">
        <v>91</v>
      </c>
      <c r="F62" s="7">
        <v>3</v>
      </c>
      <c r="G62" s="8" t="s">
        <v>9143</v>
      </c>
      <c r="H62" s="8" t="s">
        <v>9144</v>
      </c>
      <c r="I62" s="30" t="str">
        <f>_xlfn.CONCAT(Paper_Reference[[#This Row],[Lvl]:[Paper Description]])</f>
        <v>4CBPFA39APPK1CHICAGO BLUES 2LP1913100PFA39-6200SINGING THE CHICAGO BLUES</v>
      </c>
      <c r="J62" s="30">
        <f>COUNTIF(Paper_Reference[Duplicate Key],Paper_Reference[[#This Row],[Duplicate Key]])</f>
        <v>1</v>
      </c>
    </row>
    <row r="63" spans="1:10">
      <c r="A63" s="7">
        <v>4</v>
      </c>
      <c r="B63" s="8" t="s">
        <v>9500</v>
      </c>
      <c r="C63" s="8" t="s">
        <v>9190</v>
      </c>
      <c r="D63" s="7">
        <v>1</v>
      </c>
      <c r="E63" s="7">
        <v>91</v>
      </c>
      <c r="F63" s="7">
        <v>1</v>
      </c>
      <c r="G63" s="8" t="s">
        <v>9143</v>
      </c>
      <c r="H63" s="8" t="s">
        <v>9144</v>
      </c>
      <c r="I63" s="30" t="str">
        <f>_xlfn.CONCAT(Paper_Reference[[#This Row],[Lvl]:[Paper Description]])</f>
        <v>4CBPFA39APPK2CHICAGO BLUES UV PRO 2LP1911100PFA39-6200SINGING THE CHICAGO BLUES</v>
      </c>
      <c r="J63" s="30">
        <f>COUNTIF(Paper_Reference[Duplicate Key],Paper_Reference[[#This Row],[Duplicate Key]])</f>
        <v>1</v>
      </c>
    </row>
    <row r="64" spans="1:10">
      <c r="A64" s="7">
        <v>4</v>
      </c>
      <c r="B64" s="8" t="s">
        <v>9500</v>
      </c>
      <c r="C64" s="8" t="s">
        <v>9190</v>
      </c>
      <c r="D64" s="7">
        <v>1</v>
      </c>
      <c r="E64" s="7">
        <v>91</v>
      </c>
      <c r="F64" s="7">
        <v>2</v>
      </c>
      <c r="G64" s="8" t="s">
        <v>9143</v>
      </c>
      <c r="H64" s="8" t="s">
        <v>9144</v>
      </c>
      <c r="I64" s="30" t="str">
        <f>_xlfn.CONCAT(Paper_Reference[[#This Row],[Lvl]:[Paper Description]])</f>
        <v>4CBPFA39APPK2CHICAGO BLUES UV PRO 2LP1912100PFA39-6200SINGING THE CHICAGO BLUES</v>
      </c>
      <c r="J64" s="30">
        <f>COUNTIF(Paper_Reference[Duplicate Key],Paper_Reference[[#This Row],[Duplicate Key]])</f>
        <v>1</v>
      </c>
    </row>
    <row r="65" spans="1:10">
      <c r="A65" s="7">
        <v>4</v>
      </c>
      <c r="B65" s="8" t="s">
        <v>9513</v>
      </c>
      <c r="C65" s="8" t="s">
        <v>9146</v>
      </c>
      <c r="D65" s="7">
        <v>1</v>
      </c>
      <c r="E65" s="7">
        <v>91</v>
      </c>
      <c r="F65" s="7">
        <v>1</v>
      </c>
      <c r="G65" s="8" t="s">
        <v>9143</v>
      </c>
      <c r="H65" s="8" t="s">
        <v>9144</v>
      </c>
      <c r="I65" s="30" t="str">
        <f>_xlfn.CONCAT(Paper_Reference[[#This Row],[Lvl]:[Paper Description]])</f>
        <v>4CBPFA39APPK3CHICAGO BLUES 2LP1911100PFA39-6200SINGING THE CHICAGO BLUES</v>
      </c>
      <c r="J65" s="30">
        <f>COUNTIF(Paper_Reference[Duplicate Key],Paper_Reference[[#This Row],[Duplicate Key]])</f>
        <v>1</v>
      </c>
    </row>
    <row r="66" spans="1:10">
      <c r="A66" s="7">
        <v>4</v>
      </c>
      <c r="B66" s="8" t="s">
        <v>9513</v>
      </c>
      <c r="C66" s="8" t="s">
        <v>9146</v>
      </c>
      <c r="D66" s="7">
        <v>1</v>
      </c>
      <c r="E66" s="7">
        <v>91</v>
      </c>
      <c r="F66" s="7">
        <v>3</v>
      </c>
      <c r="G66" s="8" t="s">
        <v>9143</v>
      </c>
      <c r="H66" s="8" t="s">
        <v>9144</v>
      </c>
      <c r="I66" s="30" t="str">
        <f>_xlfn.CONCAT(Paper_Reference[[#This Row],[Lvl]:[Paper Description]])</f>
        <v>4CBPFA39APPK3CHICAGO BLUES 2LP1913100PFA39-6200SINGING THE CHICAGO BLUES</v>
      </c>
      <c r="J66" s="30">
        <f>COUNTIF(Paper_Reference[Duplicate Key],Paper_Reference[[#This Row],[Duplicate Key]])</f>
        <v>1</v>
      </c>
    </row>
    <row r="67" spans="1:10">
      <c r="A67" s="7">
        <v>4</v>
      </c>
      <c r="B67" s="8" t="s">
        <v>9518</v>
      </c>
      <c r="C67" s="8" t="s">
        <v>9241</v>
      </c>
      <c r="D67" s="7">
        <v>1</v>
      </c>
      <c r="E67" s="7">
        <v>91</v>
      </c>
      <c r="F67" s="7">
        <v>1</v>
      </c>
      <c r="G67" s="8" t="s">
        <v>9143</v>
      </c>
      <c r="H67" s="8" t="s">
        <v>9144</v>
      </c>
      <c r="I67" s="30" t="str">
        <f>_xlfn.CONCAT(Paper_Reference[[#This Row],[Lvl]:[Paper Description]])</f>
        <v>4CBPFA39APPK4CHICAGO BLUES 2LP W/ BLK LINES1911100PFA39-6200SINGING THE CHICAGO BLUES</v>
      </c>
      <c r="J67" s="30">
        <f>COUNTIF(Paper_Reference[Duplicate Key],Paper_Reference[[#This Row],[Duplicate Key]])</f>
        <v>1</v>
      </c>
    </row>
    <row r="68" spans="1:10">
      <c r="A68" s="7">
        <v>4</v>
      </c>
      <c r="B68" s="8" t="s">
        <v>9518</v>
      </c>
      <c r="C68" s="8" t="s">
        <v>9241</v>
      </c>
      <c r="D68" s="7">
        <v>1</v>
      </c>
      <c r="E68" s="7">
        <v>91</v>
      </c>
      <c r="F68" s="7">
        <v>3</v>
      </c>
      <c r="G68" s="8" t="s">
        <v>9143</v>
      </c>
      <c r="H68" s="8" t="s">
        <v>9144</v>
      </c>
      <c r="I68" s="30" t="str">
        <f>_xlfn.CONCAT(Paper_Reference[[#This Row],[Lvl]:[Paper Description]])</f>
        <v>4CBPFA39APPK4CHICAGO BLUES 2LP W/ BLK LINES1913100PFA39-6200SINGING THE CHICAGO BLUES</v>
      </c>
      <c r="J68" s="30">
        <f>COUNTIF(Paper_Reference[Duplicate Key],Paper_Reference[[#This Row],[Duplicate Key]])</f>
        <v>1</v>
      </c>
    </row>
    <row r="69" spans="1:10">
      <c r="A69" s="7">
        <v>4</v>
      </c>
      <c r="B69" s="8" t="s">
        <v>9529</v>
      </c>
      <c r="C69" s="8" t="s">
        <v>9190</v>
      </c>
      <c r="D69" s="7">
        <v>1</v>
      </c>
      <c r="E69" s="7">
        <v>91</v>
      </c>
      <c r="F69" s="7">
        <v>1</v>
      </c>
      <c r="G69" s="8" t="s">
        <v>9143</v>
      </c>
      <c r="H69" s="8" t="s">
        <v>9144</v>
      </c>
      <c r="I69" s="30" t="str">
        <f>_xlfn.CONCAT(Paper_Reference[[#This Row],[Lvl]:[Paper Description]])</f>
        <v>4CBPFA39APPK5CHICAGO BLUES UV PRO 2LP1911100PFA39-6200SINGING THE CHICAGO BLUES</v>
      </c>
      <c r="J69" s="30">
        <f>COUNTIF(Paper_Reference[Duplicate Key],Paper_Reference[[#This Row],[Duplicate Key]])</f>
        <v>1</v>
      </c>
    </row>
    <row r="70" spans="1:10">
      <c r="A70" s="7">
        <v>4</v>
      </c>
      <c r="B70" s="8" t="s">
        <v>9529</v>
      </c>
      <c r="C70" s="8" t="s">
        <v>9190</v>
      </c>
      <c r="D70" s="7">
        <v>1</v>
      </c>
      <c r="E70" s="7">
        <v>91</v>
      </c>
      <c r="F70" s="7">
        <v>2</v>
      </c>
      <c r="G70" s="8" t="s">
        <v>9143</v>
      </c>
      <c r="H70" s="8" t="s">
        <v>9144</v>
      </c>
      <c r="I70" s="30" t="str">
        <f>_xlfn.CONCAT(Paper_Reference[[#This Row],[Lvl]:[Paper Description]])</f>
        <v>4CBPFA39APPK5CHICAGO BLUES UV PRO 2LP1912100PFA39-6200SINGING THE CHICAGO BLUES</v>
      </c>
      <c r="J70" s="30">
        <f>COUNTIF(Paper_Reference[Duplicate Key],Paper_Reference[[#This Row],[Duplicate Key]])</f>
        <v>1</v>
      </c>
    </row>
    <row r="71" spans="1:10">
      <c r="A71" s="7">
        <v>4</v>
      </c>
      <c r="B71" s="8" t="s">
        <v>9534</v>
      </c>
      <c r="C71" s="8" t="s">
        <v>9274</v>
      </c>
      <c r="D71" s="7">
        <v>1</v>
      </c>
      <c r="E71" s="7">
        <v>91</v>
      </c>
      <c r="F71" s="7">
        <v>1</v>
      </c>
      <c r="G71" s="8" t="s">
        <v>9143</v>
      </c>
      <c r="H71" s="8" t="s">
        <v>9144</v>
      </c>
      <c r="I71" s="30" t="str">
        <f>_xlfn.CONCAT(Paper_Reference[[#This Row],[Lvl]:[Paper Description]])</f>
        <v>4CBPFA39APPK6CHICAGO BLUES LEFT LP1911100PFA39-6200SINGING THE CHICAGO BLUES</v>
      </c>
      <c r="J71" s="30">
        <f>COUNTIF(Paper_Reference[Duplicate Key],Paper_Reference[[#This Row],[Duplicate Key]])</f>
        <v>1</v>
      </c>
    </row>
    <row r="72" spans="1:10">
      <c r="A72" s="7">
        <v>4</v>
      </c>
      <c r="B72" s="8" t="s">
        <v>9534</v>
      </c>
      <c r="C72" s="8" t="s">
        <v>9274</v>
      </c>
      <c r="D72" s="7">
        <v>1</v>
      </c>
      <c r="E72" s="7">
        <v>91</v>
      </c>
      <c r="F72" s="7">
        <v>3</v>
      </c>
      <c r="G72" s="8" t="s">
        <v>9143</v>
      </c>
      <c r="H72" s="8" t="s">
        <v>9144</v>
      </c>
      <c r="I72" s="30" t="str">
        <f>_xlfn.CONCAT(Paper_Reference[[#This Row],[Lvl]:[Paper Description]])</f>
        <v>4CBPFA39APPK6CHICAGO BLUES LEFT LP1913100PFA39-6200SINGING THE CHICAGO BLUES</v>
      </c>
      <c r="J72" s="30">
        <f>COUNTIF(Paper_Reference[Duplicate Key],Paper_Reference[[#This Row],[Duplicate Key]])</f>
        <v>1</v>
      </c>
    </row>
    <row r="73" spans="1:10">
      <c r="A73" s="7">
        <v>4</v>
      </c>
      <c r="B73" s="8" t="s">
        <v>9535</v>
      </c>
      <c r="C73" s="8" t="s">
        <v>9276</v>
      </c>
      <c r="D73" s="7">
        <v>1</v>
      </c>
      <c r="E73" s="7">
        <v>91</v>
      </c>
      <c r="F73" s="7">
        <v>1</v>
      </c>
      <c r="G73" s="8" t="s">
        <v>9143</v>
      </c>
      <c r="H73" s="8" t="s">
        <v>9144</v>
      </c>
      <c r="I73" s="30" t="str">
        <f>_xlfn.CONCAT(Paper_Reference[[#This Row],[Lvl]:[Paper Description]])</f>
        <v>4CBPFA39APPK7CHICAGO BLUES NG 2LP1911100PFA39-6200SINGING THE CHICAGO BLUES</v>
      </c>
      <c r="J73" s="30">
        <f>COUNTIF(Paper_Reference[Duplicate Key],Paper_Reference[[#This Row],[Duplicate Key]])</f>
        <v>1</v>
      </c>
    </row>
    <row r="74" spans="1:10">
      <c r="A74" s="7">
        <v>4</v>
      </c>
      <c r="B74" s="8" t="s">
        <v>9535</v>
      </c>
      <c r="C74" s="8" t="s">
        <v>9276</v>
      </c>
      <c r="D74" s="7">
        <v>1</v>
      </c>
      <c r="E74" s="7">
        <v>91</v>
      </c>
      <c r="F74" s="7">
        <v>3</v>
      </c>
      <c r="G74" s="8" t="s">
        <v>9143</v>
      </c>
      <c r="H74" s="8" t="s">
        <v>9144</v>
      </c>
      <c r="I74" s="30" t="str">
        <f>_xlfn.CONCAT(Paper_Reference[[#This Row],[Lvl]:[Paper Description]])</f>
        <v>4CBPFA39APPK7CHICAGO BLUES NG 2LP1913100PFA39-6200SINGING THE CHICAGO BLUES</v>
      </c>
      <c r="J74" s="30">
        <f>COUNTIF(Paper_Reference[Duplicate Key],Paper_Reference[[#This Row],[Duplicate Key]])</f>
        <v>1</v>
      </c>
    </row>
    <row r="75" spans="1:10">
      <c r="A75" s="7">
        <v>3</v>
      </c>
      <c r="B75" s="8" t="s">
        <v>6167</v>
      </c>
      <c r="C75" s="8" t="s">
        <v>5706</v>
      </c>
      <c r="D75" s="7">
        <v>1</v>
      </c>
      <c r="E75" s="7">
        <v>91</v>
      </c>
      <c r="F75" s="7">
        <v>1</v>
      </c>
      <c r="G75" s="8" t="s">
        <v>5690</v>
      </c>
      <c r="H75" s="8" t="s">
        <v>5691</v>
      </c>
      <c r="I75" s="7" t="str">
        <f>_xlfn.CONCAT(Paper_Reference[[#This Row],[Lvl]:[Paper Description]])</f>
        <v>3CCPUVTLPAPPK1CCP UV TWO LANE PACK1911100DS009-6200FROSTY WHITE</v>
      </c>
      <c r="J75" s="7">
        <f>COUNTIF(Paper_Reference[Duplicate Key],Paper_Reference[[#This Row],[Duplicate Key]])</f>
        <v>1</v>
      </c>
    </row>
    <row r="76" spans="1:10">
      <c r="A76" s="7">
        <v>3</v>
      </c>
      <c r="B76" s="8" t="s">
        <v>6167</v>
      </c>
      <c r="C76" s="8" t="s">
        <v>5706</v>
      </c>
      <c r="D76" s="7">
        <v>1</v>
      </c>
      <c r="E76" s="7">
        <v>91</v>
      </c>
      <c r="F76" s="7">
        <v>2</v>
      </c>
      <c r="G76" s="8" t="s">
        <v>6710</v>
      </c>
      <c r="H76" s="8" t="s">
        <v>5691</v>
      </c>
      <c r="I76" s="7" t="str">
        <f>_xlfn.CONCAT(Paper_Reference[[#This Row],[Lvl]:[Paper Description]])</f>
        <v>3CCPUVTLPAPPK1CCP UV TWO LANE PACK1912100DS009-5000FROSTY WHITE</v>
      </c>
      <c r="J76" s="7">
        <f>COUNTIF(Paper_Reference[Duplicate Key],Paper_Reference[[#This Row],[Duplicate Key]])</f>
        <v>1</v>
      </c>
    </row>
    <row r="77" spans="1:10">
      <c r="A77" s="7">
        <v>3</v>
      </c>
      <c r="B77" s="8" t="s">
        <v>1663</v>
      </c>
      <c r="C77" s="8" t="s">
        <v>1244</v>
      </c>
      <c r="D77" s="7">
        <v>1</v>
      </c>
      <c r="E77" s="7">
        <v>91</v>
      </c>
      <c r="F77" s="7">
        <v>1</v>
      </c>
      <c r="G77" s="8" t="s">
        <v>2144</v>
      </c>
      <c r="H77" s="8" t="s">
        <v>1242</v>
      </c>
      <c r="I77" s="7" t="str">
        <f>_xlfn.CONCAT(Paper_Reference[[#This Row],[Lvl]:[Paper Description]])</f>
        <v>3CCWC200APPK1DIG WC200 UV 2LP191110000020-6200Premium Inkjet MPK 9653</v>
      </c>
      <c r="J77" s="7">
        <f>COUNTIF(Paper_Reference[Duplicate Key],Paper_Reference[[#This Row],[Duplicate Key]])</f>
        <v>1</v>
      </c>
    </row>
    <row r="78" spans="1:10">
      <c r="A78" s="7">
        <v>3</v>
      </c>
      <c r="B78" s="8" t="s">
        <v>1663</v>
      </c>
      <c r="C78" s="8" t="s">
        <v>1244</v>
      </c>
      <c r="D78" s="7">
        <v>1</v>
      </c>
      <c r="E78" s="7">
        <v>91</v>
      </c>
      <c r="F78" s="7">
        <v>2</v>
      </c>
      <c r="G78" s="8" t="s">
        <v>1241</v>
      </c>
      <c r="H78" s="8" t="s">
        <v>1242</v>
      </c>
      <c r="I78" s="7" t="str">
        <f>_xlfn.CONCAT(Paper_Reference[[#This Row],[Lvl]:[Paper Description]])</f>
        <v>3CCWC200APPK1DIG WC200 UV 2LP191210000020-5000Premium Inkjet MPK 9653</v>
      </c>
      <c r="J78" s="7">
        <f>COUNTIF(Paper_Reference[Duplicate Key],Paper_Reference[[#This Row],[Duplicate Key]])</f>
        <v>1</v>
      </c>
    </row>
    <row r="79" spans="1:10">
      <c r="A79" s="7">
        <v>4</v>
      </c>
      <c r="B79" s="8" t="s">
        <v>964</v>
      </c>
      <c r="C79" s="8" t="s">
        <v>957</v>
      </c>
      <c r="D79" s="7">
        <v>1</v>
      </c>
      <c r="E79" s="7">
        <v>91</v>
      </c>
      <c r="F79" s="7">
        <v>1</v>
      </c>
      <c r="G79" s="8" t="s">
        <v>955</v>
      </c>
      <c r="H79" s="8" t="s">
        <v>956</v>
      </c>
      <c r="I79" s="7" t="str">
        <f>_xlfn.CONCAT(Paper_Reference[[#This Row],[Lvl]:[Paper Description]])</f>
        <v>4CGWW070APPK1WW070 CL GUNSTOCK W/BL 2 LP1911100WW070-6200BRUNSWICK GUN SAV WAL W/BL</v>
      </c>
      <c r="J79" s="7">
        <f>COUNTIF(Paper_Reference[Duplicate Key],Paper_Reference[[#This Row],[Duplicate Key]])</f>
        <v>1</v>
      </c>
    </row>
    <row r="80" spans="1:10">
      <c r="A80" s="7">
        <v>4</v>
      </c>
      <c r="B80" s="8" t="s">
        <v>964</v>
      </c>
      <c r="C80" s="8" t="s">
        <v>957</v>
      </c>
      <c r="D80" s="7">
        <v>1</v>
      </c>
      <c r="E80" s="7">
        <v>91</v>
      </c>
      <c r="F80" s="7">
        <v>3</v>
      </c>
      <c r="G80" s="8" t="s">
        <v>5373</v>
      </c>
      <c r="H80" s="8" t="s">
        <v>5374</v>
      </c>
      <c r="I80" s="7" t="str">
        <f>_xlfn.CONCAT(Paper_Reference[[#This Row],[Lvl]:[Paper Description]])</f>
        <v>4CGWW070APPK1WW070 CL GUNSTOCK W/BL 2 LP1913100WW971-6200GUN SAVOY WALNUT</v>
      </c>
      <c r="J80" s="7">
        <f>COUNTIF(Paper_Reference[Duplicate Key],Paper_Reference[[#This Row],[Duplicate Key]])</f>
        <v>1</v>
      </c>
    </row>
    <row r="81" spans="1:10">
      <c r="A81" s="7">
        <v>4</v>
      </c>
      <c r="B81" s="8" t="s">
        <v>160</v>
      </c>
      <c r="C81" s="8" t="s">
        <v>161</v>
      </c>
      <c r="D81" s="7">
        <v>1</v>
      </c>
      <c r="E81" s="7">
        <v>91</v>
      </c>
      <c r="F81" s="7">
        <v>1</v>
      </c>
      <c r="G81" s="8" t="s">
        <v>955</v>
      </c>
      <c r="H81" s="8" t="s">
        <v>956</v>
      </c>
      <c r="I81" s="7" t="str">
        <f>_xlfn.CONCAT(Paper_Reference[[#This Row],[Lvl]:[Paper Description]])</f>
        <v>4CGWW070APPK2WW070 UV CL GUNSTOCK 2 LP1911100WW070-6200BRUNSWICK GUN SAV WAL W/BL</v>
      </c>
      <c r="J81" s="7">
        <f>COUNTIF(Paper_Reference[Duplicate Key],Paper_Reference[[#This Row],[Duplicate Key]])</f>
        <v>1</v>
      </c>
    </row>
    <row r="82" spans="1:10">
      <c r="A82" s="7">
        <v>5</v>
      </c>
      <c r="B82" s="8" t="s">
        <v>160</v>
      </c>
      <c r="C82" s="8" t="s">
        <v>161</v>
      </c>
      <c r="D82" s="7">
        <v>1</v>
      </c>
      <c r="E82" s="7">
        <v>91</v>
      </c>
      <c r="F82" s="7">
        <v>1</v>
      </c>
      <c r="G82" s="8" t="s">
        <v>5373</v>
      </c>
      <c r="H82" s="8" t="s">
        <v>5374</v>
      </c>
      <c r="I82" s="7" t="str">
        <f>_xlfn.CONCAT(Paper_Reference[[#This Row],[Lvl]:[Paper Description]])</f>
        <v>5CGWW070APPK2WW070 UV CL GUNSTOCK 2 LP1911100WW971-6200GUN SAVOY WALNUT</v>
      </c>
      <c r="J82" s="7">
        <f>COUNTIF(Paper_Reference[Duplicate Key],Paper_Reference[[#This Row],[Duplicate Key]])</f>
        <v>1</v>
      </c>
    </row>
    <row r="83" spans="1:10">
      <c r="A83" s="7">
        <v>4</v>
      </c>
      <c r="B83" s="8" t="s">
        <v>178</v>
      </c>
      <c r="C83" s="8" t="s">
        <v>179</v>
      </c>
      <c r="D83" s="7">
        <v>1</v>
      </c>
      <c r="E83" s="7">
        <v>91</v>
      </c>
      <c r="F83" s="7">
        <v>1</v>
      </c>
      <c r="G83" s="8" t="s">
        <v>955</v>
      </c>
      <c r="H83" s="8" t="s">
        <v>956</v>
      </c>
      <c r="I83" s="7" t="str">
        <f>_xlfn.CONCAT(Paper_Reference[[#This Row],[Lvl]:[Paper Description]])</f>
        <v>4CGWW070APPK3WW070 UV CL GUNSTOCK LEFT LP1911100WW070-6200BRUNSWICK GUN SAV WAL W/BL</v>
      </c>
      <c r="J83" s="7">
        <f>COUNTIF(Paper_Reference[Duplicate Key],Paper_Reference[[#This Row],[Duplicate Key]])</f>
        <v>1</v>
      </c>
    </row>
    <row r="84" spans="1:10">
      <c r="A84" s="7">
        <v>5</v>
      </c>
      <c r="B84" s="8" t="s">
        <v>178</v>
      </c>
      <c r="C84" s="8" t="s">
        <v>179</v>
      </c>
      <c r="D84" s="7">
        <v>1</v>
      </c>
      <c r="E84" s="7">
        <v>91</v>
      </c>
      <c r="F84" s="7">
        <v>1</v>
      </c>
      <c r="G84" s="8" t="s">
        <v>5373</v>
      </c>
      <c r="H84" s="8" t="s">
        <v>5374</v>
      </c>
      <c r="I84" s="7" t="str">
        <f>_xlfn.CONCAT(Paper_Reference[[#This Row],[Lvl]:[Paper Description]])</f>
        <v>5CGWW070APPK3WW070 UV CL GUNSTOCK LEFT LP1911100WW971-6200GUN SAVOY WALNUT</v>
      </c>
      <c r="J84" s="7">
        <f>COUNTIF(Paper_Reference[Duplicate Key],Paper_Reference[[#This Row],[Duplicate Key]])</f>
        <v>1</v>
      </c>
    </row>
    <row r="85" spans="1:10">
      <c r="A85" s="7">
        <v>3</v>
      </c>
      <c r="B85" s="8" t="s">
        <v>183</v>
      </c>
      <c r="C85" s="8" t="s">
        <v>184</v>
      </c>
      <c r="D85" s="7">
        <v>1</v>
      </c>
      <c r="E85" s="7">
        <v>91</v>
      </c>
      <c r="F85" s="7">
        <v>3</v>
      </c>
      <c r="G85" s="8" t="s">
        <v>955</v>
      </c>
      <c r="H85" s="8" t="s">
        <v>956</v>
      </c>
      <c r="I85" s="7" t="str">
        <f>_xlfn.CONCAT(Paper_Reference[[#This Row],[Lvl]:[Paper Description]])</f>
        <v>3CGWW070APPK4WW070 UV CL GUNSTOCK RIGHT LP1913100WW070-6200BRUNSWICK GUN SAV WAL W/BL</v>
      </c>
      <c r="J85" s="7">
        <f>COUNTIF(Paper_Reference[Duplicate Key],Paper_Reference[[#This Row],[Duplicate Key]])</f>
        <v>1</v>
      </c>
    </row>
    <row r="86" spans="1:10">
      <c r="A86" s="7">
        <v>4</v>
      </c>
      <c r="B86" s="8" t="s">
        <v>183</v>
      </c>
      <c r="C86" s="8" t="s">
        <v>184</v>
      </c>
      <c r="D86" s="7">
        <v>1</v>
      </c>
      <c r="E86" s="7">
        <v>91</v>
      </c>
      <c r="F86" s="7">
        <v>1</v>
      </c>
      <c r="G86" s="8" t="s">
        <v>5373</v>
      </c>
      <c r="H86" s="8" t="s">
        <v>5374</v>
      </c>
      <c r="I86" s="7" t="str">
        <f>_xlfn.CONCAT(Paper_Reference[[#This Row],[Lvl]:[Paper Description]])</f>
        <v>4CGWW070APPK4WW070 UV CL GUNSTOCK RIGHT LP1911100WW971-6200GUN SAVOY WALNUT</v>
      </c>
      <c r="J86" s="7">
        <f>COUNTIF(Paper_Reference[Duplicate Key],Paper_Reference[[#This Row],[Duplicate Key]])</f>
        <v>1</v>
      </c>
    </row>
    <row r="87" spans="1:10">
      <c r="A87" s="7">
        <v>3</v>
      </c>
      <c r="B87" s="8" t="s">
        <v>6168</v>
      </c>
      <c r="C87" s="8" t="s">
        <v>5707</v>
      </c>
      <c r="D87" s="7">
        <v>1</v>
      </c>
      <c r="E87" s="7">
        <v>91</v>
      </c>
      <c r="F87" s="7">
        <v>1</v>
      </c>
      <c r="G87" s="8" t="s">
        <v>5690</v>
      </c>
      <c r="H87" s="8" t="s">
        <v>5691</v>
      </c>
      <c r="I87" s="7" t="str">
        <f>_xlfn.CONCAT(Paper_Reference[[#This Row],[Lvl]:[Paper Description]])</f>
        <v>3CHANGDGAPPK1CHANG-LIN UV TWO LANE PACK1911100DS009-6200FROSTY WHITE</v>
      </c>
      <c r="J87" s="7">
        <f>COUNTIF(Paper_Reference[Duplicate Key],Paper_Reference[[#This Row],[Duplicate Key]])</f>
        <v>1</v>
      </c>
    </row>
    <row r="88" spans="1:10">
      <c r="A88" s="7">
        <v>3</v>
      </c>
      <c r="B88" s="8" t="s">
        <v>6168</v>
      </c>
      <c r="C88" s="8" t="s">
        <v>5707</v>
      </c>
      <c r="D88" s="7">
        <v>1</v>
      </c>
      <c r="E88" s="7">
        <v>91</v>
      </c>
      <c r="F88" s="7">
        <v>2</v>
      </c>
      <c r="G88" s="8" t="s">
        <v>6710</v>
      </c>
      <c r="H88" s="8" t="s">
        <v>5691</v>
      </c>
      <c r="I88" s="7" t="str">
        <f>_xlfn.CONCAT(Paper_Reference[[#This Row],[Lvl]:[Paper Description]])</f>
        <v>3CHANGDGAPPK1CHANG-LIN UV TWO LANE PACK1912100DS009-5000FROSTY WHITE</v>
      </c>
      <c r="J88" s="7">
        <f>COUNTIF(Paper_Reference[Duplicate Key],Paper_Reference[[#This Row],[Duplicate Key]])</f>
        <v>1</v>
      </c>
    </row>
    <row r="89" spans="1:10">
      <c r="A89" s="7">
        <v>3</v>
      </c>
      <c r="B89" s="8" t="s">
        <v>6169</v>
      </c>
      <c r="C89" s="8" t="s">
        <v>5708</v>
      </c>
      <c r="D89" s="7">
        <v>1</v>
      </c>
      <c r="E89" s="7">
        <v>91</v>
      </c>
      <c r="F89" s="7">
        <v>1</v>
      </c>
      <c r="G89" s="8" t="s">
        <v>5690</v>
      </c>
      <c r="H89" s="8" t="s">
        <v>5691</v>
      </c>
      <c r="I89" s="7" t="str">
        <f>_xlfn.CONCAT(Paper_Reference[[#This Row],[Lvl]:[Paper Description]])</f>
        <v>3CLAUVTLPAPPK1CLA UV TWO LANE PACK1911100DS009-6200FROSTY WHITE</v>
      </c>
      <c r="J89" s="7">
        <f>COUNTIF(Paper_Reference[Duplicate Key],Paper_Reference[[#This Row],[Duplicate Key]])</f>
        <v>1</v>
      </c>
    </row>
    <row r="90" spans="1:10">
      <c r="A90" s="7">
        <v>3</v>
      </c>
      <c r="B90" s="8" t="s">
        <v>6169</v>
      </c>
      <c r="C90" s="8" t="s">
        <v>5708</v>
      </c>
      <c r="D90" s="7">
        <v>1</v>
      </c>
      <c r="E90" s="7">
        <v>91</v>
      </c>
      <c r="F90" s="7">
        <v>2</v>
      </c>
      <c r="G90" s="8" t="s">
        <v>6710</v>
      </c>
      <c r="H90" s="8" t="s">
        <v>5691</v>
      </c>
      <c r="I90" s="7" t="str">
        <f>_xlfn.CONCAT(Paper_Reference[[#This Row],[Lvl]:[Paper Description]])</f>
        <v>3CLAUVTLPAPPK1CLA UV TWO LANE PACK1912100DS009-5000FROSTY WHITE</v>
      </c>
      <c r="J90" s="7">
        <f>COUNTIF(Paper_Reference[Duplicate Key],Paper_Reference[[#This Row],[Duplicate Key]])</f>
        <v>1</v>
      </c>
    </row>
    <row r="91" spans="1:10">
      <c r="A91" s="7">
        <v>3</v>
      </c>
      <c r="B91" s="8" t="s">
        <v>6170</v>
      </c>
      <c r="C91" s="8" t="s">
        <v>5709</v>
      </c>
      <c r="D91" s="7">
        <v>1</v>
      </c>
      <c r="E91" s="7">
        <v>91</v>
      </c>
      <c r="F91" s="7">
        <v>1</v>
      </c>
      <c r="G91" s="8" t="s">
        <v>5690</v>
      </c>
      <c r="H91" s="8" t="s">
        <v>5691</v>
      </c>
      <c r="I91" s="7" t="str">
        <f>_xlfn.CONCAT(Paper_Reference[[#This Row],[Lvl]:[Paper Description]])</f>
        <v>3CLAUVTLPAPPK2CLA UV SPACE TWO LANE PACK1911100DS009-6200FROSTY WHITE</v>
      </c>
      <c r="J91" s="7">
        <f>COUNTIF(Paper_Reference[Duplicate Key],Paper_Reference[[#This Row],[Duplicate Key]])</f>
        <v>1</v>
      </c>
    </row>
    <row r="92" spans="1:10">
      <c r="A92" s="7">
        <v>3</v>
      </c>
      <c r="B92" s="8" t="s">
        <v>6170</v>
      </c>
      <c r="C92" s="8" t="s">
        <v>5709</v>
      </c>
      <c r="D92" s="7">
        <v>1</v>
      </c>
      <c r="E92" s="7">
        <v>91</v>
      </c>
      <c r="F92" s="7">
        <v>2</v>
      </c>
      <c r="G92" s="8" t="s">
        <v>6710</v>
      </c>
      <c r="H92" s="8" t="s">
        <v>5691</v>
      </c>
      <c r="I92" s="7" t="str">
        <f>_xlfn.CONCAT(Paper_Reference[[#This Row],[Lvl]:[Paper Description]])</f>
        <v>3CLAUVTLPAPPK2CLA UV SPACE TWO LANE PACK1912100DS009-5000FROSTY WHITE</v>
      </c>
      <c r="J92" s="7">
        <f>COUNTIF(Paper_Reference[Duplicate Key],Paper_Reference[[#This Row],[Duplicate Key]])</f>
        <v>1</v>
      </c>
    </row>
    <row r="93" spans="1:10">
      <c r="A93" s="7">
        <v>3</v>
      </c>
      <c r="B93" s="8" t="s">
        <v>6171</v>
      </c>
      <c r="C93" s="8" t="s">
        <v>5710</v>
      </c>
      <c r="D93" s="7">
        <v>1</v>
      </c>
      <c r="E93" s="7">
        <v>91</v>
      </c>
      <c r="F93" s="7">
        <v>1</v>
      </c>
      <c r="G93" s="8" t="s">
        <v>5690</v>
      </c>
      <c r="H93" s="8" t="s">
        <v>5691</v>
      </c>
      <c r="I93" s="7" t="str">
        <f>_xlfn.CONCAT(Paper_Reference[[#This Row],[Lvl]:[Paper Description]])</f>
        <v>3CLAUVTLPAPPK3CLA UV AQUATIC TWO LANE PACK1911100DS009-6200FROSTY WHITE</v>
      </c>
      <c r="J93" s="7">
        <f>COUNTIF(Paper_Reference[Duplicate Key],Paper_Reference[[#This Row],[Duplicate Key]])</f>
        <v>1</v>
      </c>
    </row>
    <row r="94" spans="1:10">
      <c r="A94" s="7">
        <v>3</v>
      </c>
      <c r="B94" s="8" t="s">
        <v>6171</v>
      </c>
      <c r="C94" s="8" t="s">
        <v>5710</v>
      </c>
      <c r="D94" s="7">
        <v>1</v>
      </c>
      <c r="E94" s="7">
        <v>91</v>
      </c>
      <c r="F94" s="7">
        <v>2</v>
      </c>
      <c r="G94" s="8" t="s">
        <v>6710</v>
      </c>
      <c r="H94" s="8" t="s">
        <v>5691</v>
      </c>
      <c r="I94" s="7" t="str">
        <f>_xlfn.CONCAT(Paper_Reference[[#This Row],[Lvl]:[Paper Description]])</f>
        <v>3CLAUVTLPAPPK3CLA UV AQUATIC TWO LANE PACK1912100DS009-5000FROSTY WHITE</v>
      </c>
      <c r="J94" s="7">
        <f>COUNTIF(Paper_Reference[Duplicate Key],Paper_Reference[[#This Row],[Duplicate Key]])</f>
        <v>1</v>
      </c>
    </row>
    <row r="95" spans="1:10">
      <c r="A95" s="7">
        <v>3</v>
      </c>
      <c r="B95" s="8" t="s">
        <v>6172</v>
      </c>
      <c r="C95" s="8" t="s">
        <v>5711</v>
      </c>
      <c r="D95" s="7">
        <v>1</v>
      </c>
      <c r="E95" s="7">
        <v>91</v>
      </c>
      <c r="F95" s="7">
        <v>2</v>
      </c>
      <c r="G95" s="8" t="s">
        <v>5690</v>
      </c>
      <c r="H95" s="8" t="s">
        <v>5691</v>
      </c>
      <c r="I95" s="7" t="str">
        <f>_xlfn.CONCAT(Paper_Reference[[#This Row],[Lvl]:[Paper Description]])</f>
        <v>3CLAUVTLPAPPK4CLA UV FOUR LANE PACK1912100DS009-6200FROSTY WHITE</v>
      </c>
      <c r="J95" s="7">
        <f>COUNTIF(Paper_Reference[Duplicate Key],Paper_Reference[[#This Row],[Duplicate Key]])</f>
        <v>1</v>
      </c>
    </row>
    <row r="96" spans="1:10">
      <c r="A96" s="7">
        <v>3</v>
      </c>
      <c r="B96" s="8" t="s">
        <v>6172</v>
      </c>
      <c r="C96" s="8" t="s">
        <v>5711</v>
      </c>
      <c r="D96" s="7">
        <v>1</v>
      </c>
      <c r="E96" s="7">
        <v>91</v>
      </c>
      <c r="F96" s="7">
        <v>4</v>
      </c>
      <c r="G96" s="8" t="s">
        <v>6710</v>
      </c>
      <c r="H96" s="8" t="s">
        <v>5691</v>
      </c>
      <c r="I96" s="7" t="str">
        <f>_xlfn.CONCAT(Paper_Reference[[#This Row],[Lvl]:[Paper Description]])</f>
        <v>3CLAUVTLPAPPK4CLA UV FOUR LANE PACK1914100DS009-5000FROSTY WHITE</v>
      </c>
      <c r="J96" s="7">
        <f>COUNTIF(Paper_Reference[Duplicate Key],Paper_Reference[[#This Row],[Duplicate Key]])</f>
        <v>1</v>
      </c>
    </row>
    <row r="97" spans="1:10">
      <c r="A97" s="7">
        <v>3</v>
      </c>
      <c r="B97" s="8" t="s">
        <v>6173</v>
      </c>
      <c r="C97" s="8" t="s">
        <v>5712</v>
      </c>
      <c r="D97" s="7">
        <v>1</v>
      </c>
      <c r="E97" s="7">
        <v>91</v>
      </c>
      <c r="F97" s="7">
        <v>2</v>
      </c>
      <c r="G97" s="8" t="s">
        <v>5690</v>
      </c>
      <c r="H97" s="8" t="s">
        <v>5691</v>
      </c>
      <c r="I97" s="7" t="str">
        <f>_xlfn.CONCAT(Paper_Reference[[#This Row],[Lvl]:[Paper Description]])</f>
        <v>3CLAUVTLPAPPK5CLA UV SPACE FOUR LANE PACK1912100DS009-6200FROSTY WHITE</v>
      </c>
      <c r="J97" s="7">
        <f>COUNTIF(Paper_Reference[Duplicate Key],Paper_Reference[[#This Row],[Duplicate Key]])</f>
        <v>1</v>
      </c>
    </row>
    <row r="98" spans="1:10">
      <c r="A98" s="7">
        <v>3</v>
      </c>
      <c r="B98" s="8" t="s">
        <v>6173</v>
      </c>
      <c r="C98" s="8" t="s">
        <v>5712</v>
      </c>
      <c r="D98" s="7">
        <v>1</v>
      </c>
      <c r="E98" s="7">
        <v>91</v>
      </c>
      <c r="F98" s="7">
        <v>4</v>
      </c>
      <c r="G98" s="8" t="s">
        <v>6710</v>
      </c>
      <c r="H98" s="8" t="s">
        <v>5691</v>
      </c>
      <c r="I98" s="7" t="str">
        <f>_xlfn.CONCAT(Paper_Reference[[#This Row],[Lvl]:[Paper Description]])</f>
        <v>3CLAUVTLPAPPK5CLA UV SPACE FOUR LANE PACK1914100DS009-5000FROSTY WHITE</v>
      </c>
      <c r="J98" s="7">
        <f>COUNTIF(Paper_Reference[Duplicate Key],Paper_Reference[[#This Row],[Duplicate Key]])</f>
        <v>1</v>
      </c>
    </row>
    <row r="99" spans="1:10">
      <c r="A99" s="7">
        <v>3</v>
      </c>
      <c r="B99" s="8" t="s">
        <v>6174</v>
      </c>
      <c r="C99" s="8" t="s">
        <v>5713</v>
      </c>
      <c r="D99" s="7">
        <v>1</v>
      </c>
      <c r="E99" s="7">
        <v>91</v>
      </c>
      <c r="F99" s="7">
        <v>2</v>
      </c>
      <c r="G99" s="8" t="s">
        <v>5690</v>
      </c>
      <c r="H99" s="8" t="s">
        <v>5691</v>
      </c>
      <c r="I99" s="7" t="str">
        <f>_xlfn.CONCAT(Paper_Reference[[#This Row],[Lvl]:[Paper Description]])</f>
        <v>3CLAUVTLPAPPK6CLA UV AQUATIC FOUR LANE PACK1912100DS009-6200FROSTY WHITE</v>
      </c>
      <c r="J99" s="7">
        <f>COUNTIF(Paper_Reference[Duplicate Key],Paper_Reference[[#This Row],[Duplicate Key]])</f>
        <v>1</v>
      </c>
    </row>
    <row r="100" spans="1:10">
      <c r="A100" s="7">
        <v>3</v>
      </c>
      <c r="B100" s="8" t="s">
        <v>6174</v>
      </c>
      <c r="C100" s="8" t="s">
        <v>5713</v>
      </c>
      <c r="D100" s="7">
        <v>1</v>
      </c>
      <c r="E100" s="7">
        <v>91</v>
      </c>
      <c r="F100" s="7">
        <v>4</v>
      </c>
      <c r="G100" s="8" t="s">
        <v>6710</v>
      </c>
      <c r="H100" s="8" t="s">
        <v>5691</v>
      </c>
      <c r="I100" s="7" t="str">
        <f>_xlfn.CONCAT(Paper_Reference[[#This Row],[Lvl]:[Paper Description]])</f>
        <v>3CLAUVTLPAPPK6CLA UV AQUATIC FOUR LANE PACK1914100DS009-5000FROSTY WHITE</v>
      </c>
      <c r="J100" s="7">
        <f>COUNTIF(Paper_Reference[Duplicate Key],Paper_Reference[[#This Row],[Duplicate Key]])</f>
        <v>1</v>
      </c>
    </row>
    <row r="101" spans="1:10">
      <c r="A101" s="7">
        <v>3</v>
      </c>
      <c r="B101" s="8" t="s">
        <v>8397</v>
      </c>
      <c r="C101" s="8" t="s">
        <v>8307</v>
      </c>
      <c r="D101" s="7">
        <v>1</v>
      </c>
      <c r="E101" s="7">
        <v>91</v>
      </c>
      <c r="F101" s="7">
        <v>1</v>
      </c>
      <c r="G101" s="8" t="s">
        <v>8302</v>
      </c>
      <c r="H101" s="8" t="s">
        <v>8303</v>
      </c>
      <c r="I101" s="7" t="str">
        <f>_xlfn.CONCAT(Paper_Reference[[#This Row],[Lvl]:[Paper Description]])</f>
        <v>3CSSW813APPK2COBBLESTONE/SW813 UV 2LP1911100SW813-6200ICE WHITE</v>
      </c>
      <c r="J101" s="7">
        <f>COUNTIF(Paper_Reference[Duplicate Key],Paper_Reference[[#This Row],[Duplicate Key]])</f>
        <v>1</v>
      </c>
    </row>
    <row r="102" spans="1:10">
      <c r="A102" s="7">
        <v>2</v>
      </c>
      <c r="B102" s="8" t="s">
        <v>4631</v>
      </c>
      <c r="C102" s="8" t="s">
        <v>4379</v>
      </c>
      <c r="D102" s="7">
        <v>1</v>
      </c>
      <c r="E102" s="7">
        <v>10</v>
      </c>
      <c r="F102" s="7">
        <v>1</v>
      </c>
      <c r="G102" s="8" t="s">
        <v>4371</v>
      </c>
      <c r="H102" s="8" t="s">
        <v>4372</v>
      </c>
      <c r="I102" s="7" t="str">
        <f>_xlfn.CONCAT(Paper_Reference[[#This Row],[Lvl]:[Paper Description]])</f>
        <v>2D12SE101H520BLACK 60 X 1441101100DS064-6200BLACK</v>
      </c>
      <c r="J102" s="7">
        <f>COUNTIF(Paper_Reference[Duplicate Key],Paper_Reference[[#This Row],[Duplicate Key]])</f>
        <v>1</v>
      </c>
    </row>
    <row r="103" spans="1:10">
      <c r="A103" s="7">
        <v>2</v>
      </c>
      <c r="B103" s="8" t="s">
        <v>4632</v>
      </c>
      <c r="C103" s="8" t="s">
        <v>4379</v>
      </c>
      <c r="D103" s="7">
        <v>1</v>
      </c>
      <c r="E103" s="7">
        <v>10</v>
      </c>
      <c r="F103" s="7">
        <v>1</v>
      </c>
      <c r="G103" s="8" t="s">
        <v>4371</v>
      </c>
      <c r="H103" s="8" t="s">
        <v>4372</v>
      </c>
      <c r="I103" s="7" t="str">
        <f>_xlfn.CONCAT(Paper_Reference[[#This Row],[Lvl]:[Paper Description]])</f>
        <v>2D12SE101J520BLACK 60 X 1441101100DS064-6200BLACK</v>
      </c>
      <c r="J103" s="7">
        <f>COUNTIF(Paper_Reference[Duplicate Key],Paper_Reference[[#This Row],[Duplicate Key]])</f>
        <v>1</v>
      </c>
    </row>
    <row r="104" spans="1:10">
      <c r="A104" s="7">
        <v>2</v>
      </c>
      <c r="B104" s="8" t="s">
        <v>4634</v>
      </c>
      <c r="C104" s="8" t="s">
        <v>4379</v>
      </c>
      <c r="D104" s="7">
        <v>1</v>
      </c>
      <c r="E104" s="7">
        <v>10</v>
      </c>
      <c r="F104" s="7">
        <v>1</v>
      </c>
      <c r="G104" s="8" t="s">
        <v>4371</v>
      </c>
      <c r="H104" s="8" t="s">
        <v>4372</v>
      </c>
      <c r="I104" s="7" t="str">
        <f>_xlfn.CONCAT(Paper_Reference[[#This Row],[Lvl]:[Paper Description]])</f>
        <v>2D12SE101N520BLACK 60 X 1441101100DS064-6200BLACK</v>
      </c>
      <c r="J104" s="7">
        <f>COUNTIF(Paper_Reference[Duplicate Key],Paper_Reference[[#This Row],[Duplicate Key]])</f>
        <v>1</v>
      </c>
    </row>
    <row r="105" spans="1:10">
      <c r="A105" s="7">
        <v>2</v>
      </c>
      <c r="B105" s="8" t="s">
        <v>4633</v>
      </c>
      <c r="C105" s="8" t="s">
        <v>4379</v>
      </c>
      <c r="D105" s="7">
        <v>1</v>
      </c>
      <c r="E105" s="7">
        <v>10</v>
      </c>
      <c r="F105" s="7">
        <v>1</v>
      </c>
      <c r="G105" s="8" t="s">
        <v>4371</v>
      </c>
      <c r="H105" s="8" t="s">
        <v>4372</v>
      </c>
      <c r="I105" s="7" t="str">
        <f>_xlfn.CONCAT(Paper_Reference[[#This Row],[Lvl]:[Paper Description]])</f>
        <v>2D12SE101N5201BLACK 60 X 1441101100DS064-6200BLACK</v>
      </c>
      <c r="J105" s="7">
        <f>COUNTIF(Paper_Reference[Duplicate Key],Paper_Reference[[#This Row],[Duplicate Key]])</f>
        <v>1</v>
      </c>
    </row>
    <row r="106" spans="1:10">
      <c r="A106" s="7">
        <v>2</v>
      </c>
      <c r="B106" s="8" t="s">
        <v>4635</v>
      </c>
      <c r="C106" s="8" t="s">
        <v>4384</v>
      </c>
      <c r="D106" s="7">
        <v>1</v>
      </c>
      <c r="E106" s="7">
        <v>10</v>
      </c>
      <c r="F106" s="7">
        <v>2</v>
      </c>
      <c r="G106" s="8" t="s">
        <v>4371</v>
      </c>
      <c r="H106" s="8" t="s">
        <v>4372</v>
      </c>
      <c r="I106" s="7" t="str">
        <f>_xlfn.CONCAT(Paper_Reference[[#This Row],[Lvl]:[Paper Description]])</f>
        <v>2D16SE101GL5201BLACK PC 60 X 1441102100DS064-6200BLACK</v>
      </c>
      <c r="J106" s="7">
        <f>COUNTIF(Paper_Reference[Duplicate Key],Paper_Reference[[#This Row],[Duplicate Key]])</f>
        <v>1</v>
      </c>
    </row>
    <row r="107" spans="1:10">
      <c r="A107" s="7">
        <v>2</v>
      </c>
      <c r="B107" s="8" t="s">
        <v>4636</v>
      </c>
      <c r="C107" s="8" t="s">
        <v>4384</v>
      </c>
      <c r="D107" s="7">
        <v>1</v>
      </c>
      <c r="E107" s="7">
        <v>10</v>
      </c>
      <c r="F107" s="7">
        <v>2</v>
      </c>
      <c r="G107" s="8" t="s">
        <v>4371</v>
      </c>
      <c r="H107" s="8" t="s">
        <v>4372</v>
      </c>
      <c r="I107" s="7" t="str">
        <f>_xlfn.CONCAT(Paper_Reference[[#This Row],[Lvl]:[Paper Description]])</f>
        <v>2D16SE101SD5201BLACK PC 60 X 1441102100DS064-6200BLACK</v>
      </c>
      <c r="J107" s="7">
        <f>COUNTIF(Paper_Reference[Duplicate Key],Paper_Reference[[#This Row],[Duplicate Key]])</f>
        <v>1</v>
      </c>
    </row>
    <row r="108" spans="1:10">
      <c r="A108" s="7">
        <v>2</v>
      </c>
      <c r="B108" s="8" t="s">
        <v>4637</v>
      </c>
      <c r="C108" s="8" t="s">
        <v>4379</v>
      </c>
      <c r="D108" s="7">
        <v>1</v>
      </c>
      <c r="E108" s="7">
        <v>10</v>
      </c>
      <c r="F108" s="7">
        <v>1</v>
      </c>
      <c r="G108" s="8" t="s">
        <v>4371</v>
      </c>
      <c r="H108" s="8" t="s">
        <v>4372</v>
      </c>
      <c r="I108" s="7" t="str">
        <f>_xlfn.CONCAT(Paper_Reference[[#This Row],[Lvl]:[Paper Description]])</f>
        <v>2D17SE101GL5201BLACK 60 X 1441101100DS064-6200BLACK</v>
      </c>
      <c r="J108" s="7">
        <f>COUNTIF(Paper_Reference[Duplicate Key],Paper_Reference[[#This Row],[Duplicate Key]])</f>
        <v>1</v>
      </c>
    </row>
    <row r="109" spans="1:10">
      <c r="A109" s="7">
        <v>2</v>
      </c>
      <c r="B109" s="8" t="s">
        <v>4638</v>
      </c>
      <c r="C109" s="8" t="s">
        <v>4379</v>
      </c>
      <c r="D109" s="7">
        <v>1</v>
      </c>
      <c r="E109" s="7">
        <v>10</v>
      </c>
      <c r="F109" s="7">
        <v>1</v>
      </c>
      <c r="G109" s="8" t="s">
        <v>4371</v>
      </c>
      <c r="H109" s="8" t="s">
        <v>4372</v>
      </c>
      <c r="I109" s="7" t="str">
        <f>_xlfn.CONCAT(Paper_Reference[[#This Row],[Lvl]:[Paper Description]])</f>
        <v>2D17SE101N520BLACK 60 X 1441101100DS064-6200BLACK</v>
      </c>
      <c r="J109" s="7">
        <f>COUNTIF(Paper_Reference[Duplicate Key],Paper_Reference[[#This Row],[Duplicate Key]])</f>
        <v>1</v>
      </c>
    </row>
    <row r="110" spans="1:10">
      <c r="A110" s="7">
        <v>2</v>
      </c>
      <c r="B110" s="8" t="s">
        <v>4639</v>
      </c>
      <c r="C110" s="8" t="s">
        <v>4385</v>
      </c>
      <c r="D110" s="7">
        <v>1</v>
      </c>
      <c r="E110" s="7">
        <v>10</v>
      </c>
      <c r="F110" s="7">
        <v>0.5</v>
      </c>
      <c r="G110" s="8" t="s">
        <v>4371</v>
      </c>
      <c r="H110" s="8" t="s">
        <v>4372</v>
      </c>
      <c r="I110" s="7" t="str">
        <f>_xlfn.CONCAT(Paper_Reference[[#This Row],[Lvl]:[Paper Description]])</f>
        <v>2D17SE101N550BLACK 60 X 601100.5100DS064-6200BLACK</v>
      </c>
      <c r="J110" s="7">
        <f>COUNTIF(Paper_Reference[Duplicate Key],Paper_Reference[[#This Row],[Duplicate Key]])</f>
        <v>1</v>
      </c>
    </row>
    <row r="111" spans="1:10">
      <c r="A111" s="7">
        <v>2</v>
      </c>
      <c r="B111" s="8" t="s">
        <v>4640</v>
      </c>
      <c r="C111" s="8" t="s">
        <v>4380</v>
      </c>
      <c r="D111" s="7">
        <v>1</v>
      </c>
      <c r="E111" s="7">
        <v>10</v>
      </c>
      <c r="F111" s="7">
        <v>1</v>
      </c>
      <c r="G111" s="8" t="s">
        <v>4371</v>
      </c>
      <c r="H111" s="8" t="s">
        <v>4372</v>
      </c>
      <c r="I111" s="7" t="str">
        <f>_xlfn.CONCAT(Paper_Reference[[#This Row],[Lvl]:[Paper Description]])</f>
        <v>2D17SE101N580BLACK 60 X 961101100DS064-6200BLACK</v>
      </c>
      <c r="J111" s="7">
        <f>COUNTIF(Paper_Reference[Duplicate Key],Paper_Reference[[#This Row],[Duplicate Key]])</f>
        <v>1</v>
      </c>
    </row>
    <row r="112" spans="1:10">
      <c r="A112" s="7">
        <v>2</v>
      </c>
      <c r="B112" s="8" t="s">
        <v>4641</v>
      </c>
      <c r="C112" s="8" t="s">
        <v>4385</v>
      </c>
      <c r="D112" s="7">
        <v>1</v>
      </c>
      <c r="E112" s="7">
        <v>10</v>
      </c>
      <c r="F112" s="7">
        <v>0.5</v>
      </c>
      <c r="G112" s="8" t="s">
        <v>4371</v>
      </c>
      <c r="H112" s="8" t="s">
        <v>4372</v>
      </c>
      <c r="I112" s="7" t="str">
        <f>_xlfn.CONCAT(Paper_Reference[[#This Row],[Lvl]:[Paper Description]])</f>
        <v>2D17SE101NNWPBLACK 60 X 601100.5100DS064-6200BLACK</v>
      </c>
      <c r="J112" s="7">
        <f>COUNTIF(Paper_Reference[Duplicate Key],Paper_Reference[[#This Row],[Duplicate Key]])</f>
        <v>1</v>
      </c>
    </row>
    <row r="113" spans="1:10">
      <c r="A113" s="7">
        <v>2</v>
      </c>
      <c r="B113" s="8" t="s">
        <v>4642</v>
      </c>
      <c r="C113" s="8" t="s">
        <v>4386</v>
      </c>
      <c r="D113" s="7">
        <v>1</v>
      </c>
      <c r="E113" s="7">
        <v>10</v>
      </c>
      <c r="F113" s="7">
        <v>0.5</v>
      </c>
      <c r="G113" s="8" t="s">
        <v>4371</v>
      </c>
      <c r="H113" s="8" t="s">
        <v>4372</v>
      </c>
      <c r="I113" s="7" t="str">
        <f>_xlfn.CONCAT(Paper_Reference[[#This Row],[Lvl]:[Paper Description]])</f>
        <v>2D17SE101NNWQBLACK 60 X 721100.5100DS064-6200BLACK</v>
      </c>
      <c r="J113" s="7">
        <f>COUNTIF(Paper_Reference[Duplicate Key],Paper_Reference[[#This Row],[Duplicate Key]])</f>
        <v>1</v>
      </c>
    </row>
    <row r="114" spans="1:10">
      <c r="A114" s="7">
        <v>2</v>
      </c>
      <c r="B114" s="8" t="s">
        <v>4643</v>
      </c>
      <c r="C114" s="8" t="s">
        <v>4380</v>
      </c>
      <c r="D114" s="7">
        <v>1</v>
      </c>
      <c r="E114" s="7">
        <v>10</v>
      </c>
      <c r="F114" s="7">
        <v>1</v>
      </c>
      <c r="G114" s="8" t="s">
        <v>4371</v>
      </c>
      <c r="H114" s="8" t="s">
        <v>4372</v>
      </c>
      <c r="I114" s="7" t="str">
        <f>_xlfn.CONCAT(Paper_Reference[[#This Row],[Lvl]:[Paper Description]])</f>
        <v>2D17SE101NNYRBLACK 60 X 961101100DS064-6200BLACK</v>
      </c>
      <c r="J114" s="7">
        <f>COUNTIF(Paper_Reference[Duplicate Key],Paper_Reference[[#This Row],[Duplicate Key]])</f>
        <v>1</v>
      </c>
    </row>
    <row r="115" spans="1:10">
      <c r="A115" s="7">
        <v>2</v>
      </c>
      <c r="B115" s="8" t="s">
        <v>4644</v>
      </c>
      <c r="C115" s="8" t="s">
        <v>4373</v>
      </c>
      <c r="D115" s="7">
        <v>1</v>
      </c>
      <c r="E115" s="7">
        <v>10</v>
      </c>
      <c r="F115" s="7">
        <v>1</v>
      </c>
      <c r="G115" s="8" t="s">
        <v>4371</v>
      </c>
      <c r="H115" s="8" t="s">
        <v>4372</v>
      </c>
      <c r="I115" s="7" t="str">
        <f>_xlfn.CONCAT(Paper_Reference[[#This Row],[Lvl]:[Paper Description]])</f>
        <v>2D17SE101NPFQBLACK 60 X 1201101100DS064-6200BLACK</v>
      </c>
      <c r="J115" s="7">
        <f>COUNTIF(Paper_Reference[Duplicate Key],Paper_Reference[[#This Row],[Duplicate Key]])</f>
        <v>1</v>
      </c>
    </row>
    <row r="116" spans="1:10">
      <c r="A116" s="7">
        <v>2</v>
      </c>
      <c r="B116" s="8" t="s">
        <v>4645</v>
      </c>
      <c r="C116" s="8" t="s">
        <v>4379</v>
      </c>
      <c r="D116" s="7">
        <v>1</v>
      </c>
      <c r="E116" s="7">
        <v>10</v>
      </c>
      <c r="F116" s="7">
        <v>1</v>
      </c>
      <c r="G116" s="8" t="s">
        <v>4371</v>
      </c>
      <c r="H116" s="8" t="s">
        <v>4372</v>
      </c>
      <c r="I116" s="7" t="str">
        <f>_xlfn.CONCAT(Paper_Reference[[#This Row],[Lvl]:[Paper Description]])</f>
        <v>2D17SE101NPFUBLACK 60 X 1441101100DS064-6200BLACK</v>
      </c>
      <c r="J116" s="7">
        <f>COUNTIF(Paper_Reference[Duplicate Key],Paper_Reference[[#This Row],[Duplicate Key]])</f>
        <v>1</v>
      </c>
    </row>
    <row r="117" spans="1:10">
      <c r="A117" s="7">
        <v>2</v>
      </c>
      <c r="B117" s="8" t="s">
        <v>4646</v>
      </c>
      <c r="C117" s="8" t="s">
        <v>4379</v>
      </c>
      <c r="D117" s="7">
        <v>1</v>
      </c>
      <c r="E117" s="7">
        <v>10</v>
      </c>
      <c r="F117" s="7">
        <v>1</v>
      </c>
      <c r="G117" s="8" t="s">
        <v>4371</v>
      </c>
      <c r="H117" s="8" t="s">
        <v>4372</v>
      </c>
      <c r="I117" s="7" t="str">
        <f>_xlfn.CONCAT(Paper_Reference[[#This Row],[Lvl]:[Paper Description]])</f>
        <v>2D17SE101SD5201BLACK 60 X 1441101100DS064-6200BLACK</v>
      </c>
      <c r="J117" s="7">
        <f>COUNTIF(Paper_Reference[Duplicate Key],Paper_Reference[[#This Row],[Duplicate Key]])</f>
        <v>1</v>
      </c>
    </row>
    <row r="118" spans="1:10">
      <c r="A118" s="7">
        <v>2</v>
      </c>
      <c r="B118" s="8" t="s">
        <v>8398</v>
      </c>
      <c r="C118" s="8" t="s">
        <v>8308</v>
      </c>
      <c r="D118" s="7">
        <v>1</v>
      </c>
      <c r="E118" s="7">
        <v>10</v>
      </c>
      <c r="F118" s="7">
        <v>0.5</v>
      </c>
      <c r="G118" s="8" t="s">
        <v>8302</v>
      </c>
      <c r="H118" s="8" t="s">
        <v>8303</v>
      </c>
      <c r="I118" s="7" t="str">
        <f>_xlfn.CONCAT(Paper_Reference[[#This Row],[Lvl]:[Paper Description]])</f>
        <v>2D17SW813N550ICE WHITE 60 X 601100.5100SW813-6200ICE WHITE</v>
      </c>
      <c r="J118" s="7">
        <f>COUNTIF(Paper_Reference[Duplicate Key],Paper_Reference[[#This Row],[Duplicate Key]])</f>
        <v>1</v>
      </c>
    </row>
    <row r="119" spans="1:10">
      <c r="A119" s="7">
        <v>3</v>
      </c>
      <c r="B119" s="8" t="s">
        <v>8399</v>
      </c>
      <c r="C119" s="8" t="s">
        <v>8309</v>
      </c>
      <c r="D119" s="7">
        <v>1</v>
      </c>
      <c r="E119" s="7">
        <v>55</v>
      </c>
      <c r="F119" s="7">
        <v>0.33329999999999999</v>
      </c>
      <c r="G119" s="8" t="s">
        <v>8302</v>
      </c>
      <c r="H119" s="8" t="s">
        <v>8303</v>
      </c>
      <c r="I119" s="7" t="str">
        <f>_xlfn.CONCAT(Paper_Reference[[#This Row],[Lvl]:[Paper Description]])</f>
        <v>3D17SW813NLSRICE WHITE 60 X 481550.3333100SW813-6200ICE WHITE</v>
      </c>
      <c r="J119" s="7">
        <f>COUNTIF(Paper_Reference[Duplicate Key],Paper_Reference[[#This Row],[Duplicate Key]])</f>
        <v>1</v>
      </c>
    </row>
    <row r="120" spans="1:10">
      <c r="A120" s="7">
        <v>2</v>
      </c>
      <c r="B120" s="8" t="s">
        <v>8400</v>
      </c>
      <c r="C120" s="8" t="s">
        <v>8308</v>
      </c>
      <c r="D120" s="7">
        <v>1</v>
      </c>
      <c r="E120" s="7">
        <v>10</v>
      </c>
      <c r="F120" s="7">
        <v>0.5</v>
      </c>
      <c r="G120" s="8" t="s">
        <v>8302</v>
      </c>
      <c r="H120" s="8" t="s">
        <v>8303</v>
      </c>
      <c r="I120" s="7" t="str">
        <f>_xlfn.CONCAT(Paper_Reference[[#This Row],[Lvl]:[Paper Description]])</f>
        <v>2D17SW813NNWPICE WHITE 60 X 601100.5100SW813-6200ICE WHITE</v>
      </c>
      <c r="J120" s="7">
        <f>COUNTIF(Paper_Reference[Duplicate Key],Paper_Reference[[#This Row],[Duplicate Key]])</f>
        <v>1</v>
      </c>
    </row>
    <row r="121" spans="1:10">
      <c r="A121" s="7">
        <v>3</v>
      </c>
      <c r="B121" s="8" t="s">
        <v>8401</v>
      </c>
      <c r="C121" s="8" t="s">
        <v>8310</v>
      </c>
      <c r="D121" s="7">
        <v>1</v>
      </c>
      <c r="E121" s="7">
        <v>55</v>
      </c>
      <c r="F121" s="7">
        <v>2.3800000000000002E-2</v>
      </c>
      <c r="G121" s="8" t="s">
        <v>8302</v>
      </c>
      <c r="H121" s="8" t="s">
        <v>8303</v>
      </c>
      <c r="I121" s="7" t="str">
        <f>_xlfn.CONCAT(Paper_Reference[[#This Row],[Lvl]:[Paper Description]])</f>
        <v>3D17SW813NPDWICE WHITE 8 1/2 X 221550.0238100SW813-6200ICE WHITE</v>
      </c>
      <c r="J121" s="7">
        <f>COUNTIF(Paper_Reference[Duplicate Key],Paper_Reference[[#This Row],[Duplicate Key]])</f>
        <v>1</v>
      </c>
    </row>
    <row r="122" spans="1:10">
      <c r="A122" s="7">
        <v>2</v>
      </c>
      <c r="B122" s="8" t="s">
        <v>8402</v>
      </c>
      <c r="C122" s="8" t="s">
        <v>8311</v>
      </c>
      <c r="D122" s="7">
        <v>1</v>
      </c>
      <c r="E122" s="7">
        <v>10</v>
      </c>
      <c r="F122" s="7">
        <v>0.5</v>
      </c>
      <c r="G122" s="8" t="s">
        <v>8302</v>
      </c>
      <c r="H122" s="8" t="s">
        <v>8303</v>
      </c>
      <c r="I122" s="7" t="str">
        <f>_xlfn.CONCAT(Paper_Reference[[#This Row],[Lvl]:[Paper Description]])</f>
        <v>2D17SW813NRYSICE WHITE 60 X 521100.5100SW813-6200ICE WHITE</v>
      </c>
      <c r="J122" s="7">
        <f>COUNTIF(Paper_Reference[Duplicate Key],Paper_Reference[[#This Row],[Duplicate Key]])</f>
        <v>1</v>
      </c>
    </row>
    <row r="123" spans="1:10">
      <c r="A123" s="7">
        <v>2</v>
      </c>
      <c r="B123" s="8" t="s">
        <v>8403</v>
      </c>
      <c r="C123" s="8" t="s">
        <v>8312</v>
      </c>
      <c r="D123" s="7">
        <v>1</v>
      </c>
      <c r="E123" s="7">
        <v>10</v>
      </c>
      <c r="F123" s="7">
        <v>0.5</v>
      </c>
      <c r="G123" s="8" t="s">
        <v>8302</v>
      </c>
      <c r="H123" s="8" t="s">
        <v>8303</v>
      </c>
      <c r="I123" s="7" t="str">
        <f>_xlfn.CONCAT(Paper_Reference[[#This Row],[Lvl]:[Paper Description]])</f>
        <v>2D17SW813NSFTICE WHITE 52 X 711100.5100SW813-6200ICE WHITE</v>
      </c>
      <c r="J123" s="7">
        <f>COUNTIF(Paper_Reference[Duplicate Key],Paper_Reference[[#This Row],[Duplicate Key]])</f>
        <v>1</v>
      </c>
    </row>
    <row r="124" spans="1:10">
      <c r="A124" s="7">
        <v>2</v>
      </c>
      <c r="B124" s="8" t="s">
        <v>3116</v>
      </c>
      <c r="C124" s="8" t="s">
        <v>3086</v>
      </c>
      <c r="D124" s="7">
        <v>1</v>
      </c>
      <c r="E124" s="7">
        <v>10</v>
      </c>
      <c r="F124" s="7">
        <v>1</v>
      </c>
      <c r="G124" s="8" t="s">
        <v>3115</v>
      </c>
      <c r="H124" s="8" t="s">
        <v>3090</v>
      </c>
      <c r="I124" s="7" t="str">
        <f>_xlfn.CONCAT(Paper_Reference[[#This Row],[Lvl]:[Paper Description]])</f>
        <v>2D17WF131SD5201VANA 60 X 1441101100WF131-6200VANA</v>
      </c>
      <c r="J124" s="7">
        <f>COUNTIF(Paper_Reference[Duplicate Key],Paper_Reference[[#This Row],[Duplicate Key]])</f>
        <v>1</v>
      </c>
    </row>
    <row r="125" spans="1:10">
      <c r="A125" s="7">
        <v>2</v>
      </c>
      <c r="B125" s="8" t="s">
        <v>4647</v>
      </c>
      <c r="C125" s="8" t="s">
        <v>4379</v>
      </c>
      <c r="D125" s="7">
        <v>1</v>
      </c>
      <c r="E125" s="7">
        <v>10</v>
      </c>
      <c r="F125" s="7">
        <v>2</v>
      </c>
      <c r="G125" s="8" t="s">
        <v>4371</v>
      </c>
      <c r="H125" s="8" t="s">
        <v>4372</v>
      </c>
      <c r="I125" s="7" t="str">
        <f>_xlfn.CONCAT(Paper_Reference[[#This Row],[Lvl]:[Paper Description]])</f>
        <v>2D20SE101N520BLACK 60 X 1441102100DS064-6200BLACK</v>
      </c>
      <c r="J125" s="7">
        <f>COUNTIF(Paper_Reference[Duplicate Key],Paper_Reference[[#This Row],[Duplicate Key]])</f>
        <v>1</v>
      </c>
    </row>
    <row r="126" spans="1:10">
      <c r="A126" s="7">
        <v>2</v>
      </c>
      <c r="B126" s="8" t="s">
        <v>4648</v>
      </c>
      <c r="C126" s="8" t="s">
        <v>4380</v>
      </c>
      <c r="D126" s="7">
        <v>1</v>
      </c>
      <c r="E126" s="7">
        <v>10</v>
      </c>
      <c r="F126" s="7">
        <v>2</v>
      </c>
      <c r="G126" s="8" t="s">
        <v>4371</v>
      </c>
      <c r="H126" s="8" t="s">
        <v>4372</v>
      </c>
      <c r="I126" s="7" t="str">
        <f>_xlfn.CONCAT(Paper_Reference[[#This Row],[Lvl]:[Paper Description]])</f>
        <v>2D20SE101N580BLACK 60 X 961102100DS064-6200BLACK</v>
      </c>
      <c r="J126" s="7">
        <f>COUNTIF(Paper_Reference[Duplicate Key],Paper_Reference[[#This Row],[Duplicate Key]])</f>
        <v>1</v>
      </c>
    </row>
    <row r="127" spans="1:10">
      <c r="A127" s="7">
        <v>2</v>
      </c>
      <c r="B127" s="8" t="s">
        <v>4649</v>
      </c>
      <c r="C127" s="8" t="s">
        <v>4373</v>
      </c>
      <c r="D127" s="7">
        <v>1</v>
      </c>
      <c r="E127" s="7">
        <v>10</v>
      </c>
      <c r="F127" s="7">
        <v>2</v>
      </c>
      <c r="G127" s="8" t="s">
        <v>4371</v>
      </c>
      <c r="H127" s="8" t="s">
        <v>4372</v>
      </c>
      <c r="I127" s="7" t="str">
        <f>_xlfn.CONCAT(Paper_Reference[[#This Row],[Lvl]:[Paper Description]])</f>
        <v>2D20SE101SD500BLACK 60 X 1201102100DS064-6200BLACK</v>
      </c>
      <c r="J127" s="7">
        <f>COUNTIF(Paper_Reference[Duplicate Key],Paper_Reference[[#This Row],[Duplicate Key]])</f>
        <v>1</v>
      </c>
    </row>
    <row r="128" spans="1:10">
      <c r="A128" s="7">
        <v>2</v>
      </c>
      <c r="B128" s="8" t="s">
        <v>4650</v>
      </c>
      <c r="C128" s="8" t="s">
        <v>4387</v>
      </c>
      <c r="D128" s="7">
        <v>1</v>
      </c>
      <c r="E128" s="7">
        <v>10</v>
      </c>
      <c r="F128" s="7">
        <v>1</v>
      </c>
      <c r="G128" s="8" t="s">
        <v>4371</v>
      </c>
      <c r="H128" s="8" t="s">
        <v>4372</v>
      </c>
      <c r="I128" s="7" t="str">
        <f>_xlfn.CONCAT(Paper_Reference[[#This Row],[Lvl]:[Paper Description]])</f>
        <v>2D21DF103N580SW811/SE101 60 X 961101100DS064-6200BLACK</v>
      </c>
      <c r="J128" s="7">
        <f>COUNTIF(Paper_Reference[Duplicate Key],Paper_Reference[[#This Row],[Duplicate Key]])</f>
        <v>1</v>
      </c>
    </row>
    <row r="129" spans="1:10">
      <c r="A129" s="7">
        <v>2</v>
      </c>
      <c r="B129" s="8" t="s">
        <v>4651</v>
      </c>
      <c r="C129" s="8" t="s">
        <v>4388</v>
      </c>
      <c r="D129" s="7">
        <v>1</v>
      </c>
      <c r="E129" s="7">
        <v>10</v>
      </c>
      <c r="F129" s="7">
        <v>1</v>
      </c>
      <c r="G129" s="8" t="s">
        <v>4371</v>
      </c>
      <c r="H129" s="8" t="s">
        <v>4372</v>
      </c>
      <c r="I129" s="7" t="str">
        <f>_xlfn.CONCAT(Paper_Reference[[#This Row],[Lvl]:[Paper Description]])</f>
        <v>2D21DF127N580SW826/SE101 60 X 961101100DS064-6200BLACK</v>
      </c>
      <c r="J129" s="7">
        <f>COUNTIF(Paper_Reference[Duplicate Key],Paper_Reference[[#This Row],[Duplicate Key]])</f>
        <v>1</v>
      </c>
    </row>
    <row r="130" spans="1:10">
      <c r="A130" s="7">
        <v>2</v>
      </c>
      <c r="B130" s="8" t="s">
        <v>4652</v>
      </c>
      <c r="C130" s="8" t="s">
        <v>4389</v>
      </c>
      <c r="D130" s="7">
        <v>1</v>
      </c>
      <c r="E130" s="7">
        <v>10</v>
      </c>
      <c r="F130" s="7">
        <v>1</v>
      </c>
      <c r="G130" s="8" t="s">
        <v>4371</v>
      </c>
      <c r="H130" s="8" t="s">
        <v>4372</v>
      </c>
      <c r="I130" s="7" t="str">
        <f>_xlfn.CONCAT(Paper_Reference[[#This Row],[Lvl]:[Paper Description]])</f>
        <v>2D21DF139N580SW803/SE101 60 X 961101100DS064-6200BLACK</v>
      </c>
      <c r="J130" s="7">
        <f>COUNTIF(Paper_Reference[Duplicate Key],Paper_Reference[[#This Row],[Duplicate Key]])</f>
        <v>1</v>
      </c>
    </row>
    <row r="131" spans="1:10">
      <c r="A131" s="7">
        <v>2</v>
      </c>
      <c r="B131" s="8" t="s">
        <v>4653</v>
      </c>
      <c r="C131" s="8" t="s">
        <v>4390</v>
      </c>
      <c r="D131" s="7">
        <v>1</v>
      </c>
      <c r="E131" s="7">
        <v>10</v>
      </c>
      <c r="F131" s="7">
        <v>1</v>
      </c>
      <c r="G131" s="8" t="s">
        <v>4371</v>
      </c>
      <c r="H131" s="8" t="s">
        <v>4372</v>
      </c>
      <c r="I131" s="7" t="str">
        <f>_xlfn.CONCAT(Paper_Reference[[#This Row],[Lvl]:[Paper Description]])</f>
        <v>2D21DF140N580SW812/SE101 60 X 961101100DS064-6200BLACK</v>
      </c>
      <c r="J131" s="7">
        <f>COUNTIF(Paper_Reference[Duplicate Key],Paper_Reference[[#This Row],[Duplicate Key]])</f>
        <v>1</v>
      </c>
    </row>
    <row r="132" spans="1:10">
      <c r="A132" s="7">
        <v>2</v>
      </c>
      <c r="B132" s="8" t="s">
        <v>4654</v>
      </c>
      <c r="C132" s="8" t="s">
        <v>4373</v>
      </c>
      <c r="D132" s="7">
        <v>1</v>
      </c>
      <c r="E132" s="7">
        <v>10</v>
      </c>
      <c r="F132" s="7">
        <v>2</v>
      </c>
      <c r="G132" s="8" t="s">
        <v>4371</v>
      </c>
      <c r="H132" s="8" t="s">
        <v>4372</v>
      </c>
      <c r="I132" s="7" t="str">
        <f>_xlfn.CONCAT(Paper_Reference[[#This Row],[Lvl]:[Paper Description]])</f>
        <v>2D25SE101SD500BLACK 60 X 1201102100DS064-6200BLACK</v>
      </c>
      <c r="J132" s="7">
        <f>COUNTIF(Paper_Reference[Duplicate Key],Paper_Reference[[#This Row],[Duplicate Key]])</f>
        <v>1</v>
      </c>
    </row>
    <row r="133" spans="1:10">
      <c r="A133" s="7">
        <v>2</v>
      </c>
      <c r="B133" s="8" t="s">
        <v>4655</v>
      </c>
      <c r="C133" s="8" t="s">
        <v>4379</v>
      </c>
      <c r="D133" s="7">
        <v>1</v>
      </c>
      <c r="E133" s="7">
        <v>10</v>
      </c>
      <c r="F133" s="7">
        <v>2</v>
      </c>
      <c r="G133" s="8" t="s">
        <v>4371</v>
      </c>
      <c r="H133" s="8" t="s">
        <v>4372</v>
      </c>
      <c r="I133" s="7" t="str">
        <f>_xlfn.CONCAT(Paper_Reference[[#This Row],[Lvl]:[Paper Description]])</f>
        <v>2D25SE101SD520BLACK 60 X 1441102100DS064-6200BLACK</v>
      </c>
      <c r="J133" s="7">
        <f>COUNTIF(Paper_Reference[Duplicate Key],Paper_Reference[[#This Row],[Duplicate Key]])</f>
        <v>1</v>
      </c>
    </row>
    <row r="134" spans="1:10">
      <c r="A134" s="7">
        <v>2</v>
      </c>
      <c r="B134" s="8" t="s">
        <v>4656</v>
      </c>
      <c r="C134" s="8" t="s">
        <v>4373</v>
      </c>
      <c r="D134" s="7">
        <v>1</v>
      </c>
      <c r="E134" s="7">
        <v>10</v>
      </c>
      <c r="F134" s="7">
        <v>2</v>
      </c>
      <c r="G134" s="8" t="s">
        <v>4371</v>
      </c>
      <c r="H134" s="8" t="s">
        <v>4372</v>
      </c>
      <c r="I134" s="7" t="str">
        <f>_xlfn.CONCAT(Paper_Reference[[#This Row],[Lvl]:[Paper Description]])</f>
        <v>2D25SE101VE500BLACK 60 X 1201102100DS064-6200BLACK</v>
      </c>
      <c r="J134" s="7">
        <f>COUNTIF(Paper_Reference[Duplicate Key],Paper_Reference[[#This Row],[Duplicate Key]])</f>
        <v>1</v>
      </c>
    </row>
    <row r="135" spans="1:10">
      <c r="A135" s="7">
        <v>2</v>
      </c>
      <c r="B135" s="8" t="s">
        <v>4657</v>
      </c>
      <c r="C135" s="8" t="s">
        <v>4379</v>
      </c>
      <c r="D135" s="7">
        <v>1</v>
      </c>
      <c r="E135" s="7">
        <v>10</v>
      </c>
      <c r="F135" s="7">
        <v>2</v>
      </c>
      <c r="G135" s="8" t="s">
        <v>4371</v>
      </c>
      <c r="H135" s="8" t="s">
        <v>4372</v>
      </c>
      <c r="I135" s="7" t="str">
        <f>_xlfn.CONCAT(Paper_Reference[[#This Row],[Lvl]:[Paper Description]])</f>
        <v>2D25SE101VE520BLACK 60 X 1441102100DS064-6200BLACK</v>
      </c>
      <c r="J135" s="7">
        <f>COUNTIF(Paper_Reference[Duplicate Key],Paper_Reference[[#This Row],[Duplicate Key]])</f>
        <v>1</v>
      </c>
    </row>
    <row r="136" spans="1:10">
      <c r="A136" s="7">
        <v>2</v>
      </c>
      <c r="B136" s="8" t="s">
        <v>8404</v>
      </c>
      <c r="C136" s="8" t="s">
        <v>8304</v>
      </c>
      <c r="D136" s="7">
        <v>1</v>
      </c>
      <c r="E136" s="7">
        <v>10</v>
      </c>
      <c r="F136" s="7">
        <v>2</v>
      </c>
      <c r="G136" s="8" t="s">
        <v>8302</v>
      </c>
      <c r="H136" s="8" t="s">
        <v>8303</v>
      </c>
      <c r="I136" s="7" t="str">
        <f>_xlfn.CONCAT(Paper_Reference[[#This Row],[Lvl]:[Paper Description]])</f>
        <v>2D25SW813VE500ICE WHITE 60 X 1201102100SW813-6200ICE WHITE</v>
      </c>
      <c r="J136" s="7">
        <f>COUNTIF(Paper_Reference[Duplicate Key],Paper_Reference[[#This Row],[Duplicate Key]])</f>
        <v>1</v>
      </c>
    </row>
    <row r="137" spans="1:10">
      <c r="A137" s="7">
        <v>2</v>
      </c>
      <c r="B137" s="8" t="s">
        <v>8405</v>
      </c>
      <c r="C137" s="8" t="s">
        <v>8306</v>
      </c>
      <c r="D137" s="7">
        <v>1</v>
      </c>
      <c r="E137" s="7">
        <v>10</v>
      </c>
      <c r="F137" s="7">
        <v>2</v>
      </c>
      <c r="G137" s="8" t="s">
        <v>8302</v>
      </c>
      <c r="H137" s="8" t="s">
        <v>8303</v>
      </c>
      <c r="I137" s="7" t="str">
        <f>_xlfn.CONCAT(Paper_Reference[[#This Row],[Lvl]:[Paper Description]])</f>
        <v>2D25SW813VE580ICE WHITE 60 X 961102100SW813-6200ICE WHITE</v>
      </c>
      <c r="J137" s="7">
        <f>COUNTIF(Paper_Reference[Duplicate Key],Paper_Reference[[#This Row],[Duplicate Key]])</f>
        <v>1</v>
      </c>
    </row>
    <row r="138" spans="1:10">
      <c r="A138" s="7">
        <v>2</v>
      </c>
      <c r="B138" s="8" t="s">
        <v>4658</v>
      </c>
      <c r="C138" s="8" t="s">
        <v>4373</v>
      </c>
      <c r="D138" s="7">
        <v>1</v>
      </c>
      <c r="E138" s="7">
        <v>10</v>
      </c>
      <c r="F138" s="7">
        <v>2</v>
      </c>
      <c r="G138" s="8" t="s">
        <v>4371</v>
      </c>
      <c r="H138" s="8" t="s">
        <v>4372</v>
      </c>
      <c r="I138" s="7" t="str">
        <f>_xlfn.CONCAT(Paper_Reference[[#This Row],[Lvl]:[Paper Description]])</f>
        <v>2D29SE101N500BLACK 60 X 1201102100DS064-6200BLACK</v>
      </c>
      <c r="J138" s="7">
        <f>COUNTIF(Paper_Reference[Duplicate Key],Paper_Reference[[#This Row],[Duplicate Key]])</f>
        <v>1</v>
      </c>
    </row>
    <row r="139" spans="1:10">
      <c r="A139" s="7">
        <v>2</v>
      </c>
      <c r="B139" s="8" t="s">
        <v>4659</v>
      </c>
      <c r="C139" s="8" t="s">
        <v>4380</v>
      </c>
      <c r="D139" s="7">
        <v>1</v>
      </c>
      <c r="E139" s="7">
        <v>10</v>
      </c>
      <c r="F139" s="7">
        <v>2</v>
      </c>
      <c r="G139" s="8" t="s">
        <v>4371</v>
      </c>
      <c r="H139" s="8" t="s">
        <v>4372</v>
      </c>
      <c r="I139" s="7" t="str">
        <f>_xlfn.CONCAT(Paper_Reference[[#This Row],[Lvl]:[Paper Description]])</f>
        <v>2D29SE101N580BLACK 60 X 961102100DS064-6200BLACK</v>
      </c>
      <c r="J139" s="7">
        <f>COUNTIF(Paper_Reference[Duplicate Key],Paper_Reference[[#This Row],[Duplicate Key]])</f>
        <v>1</v>
      </c>
    </row>
    <row r="140" spans="1:10">
      <c r="A140" s="7">
        <v>2</v>
      </c>
      <c r="B140" s="8" t="s">
        <v>4660</v>
      </c>
      <c r="C140" s="8" t="s">
        <v>4373</v>
      </c>
      <c r="D140" s="7">
        <v>1</v>
      </c>
      <c r="E140" s="7">
        <v>10</v>
      </c>
      <c r="F140" s="7">
        <v>2</v>
      </c>
      <c r="G140" s="8" t="s">
        <v>4371</v>
      </c>
      <c r="H140" s="8" t="s">
        <v>4372</v>
      </c>
      <c r="I140" s="7" t="str">
        <f>_xlfn.CONCAT(Paper_Reference[[#This Row],[Lvl]:[Paper Description]])</f>
        <v>2D29SE101SD500BLACK 60 X 1201102100DS064-6200BLACK</v>
      </c>
      <c r="J140" s="7">
        <f>COUNTIF(Paper_Reference[Duplicate Key],Paper_Reference[[#This Row],[Duplicate Key]])</f>
        <v>1</v>
      </c>
    </row>
    <row r="141" spans="1:10">
      <c r="A141" s="7">
        <v>2</v>
      </c>
      <c r="B141" s="8" t="s">
        <v>4661</v>
      </c>
      <c r="C141" s="8" t="s">
        <v>4380</v>
      </c>
      <c r="D141" s="7">
        <v>1</v>
      </c>
      <c r="E141" s="7">
        <v>10</v>
      </c>
      <c r="F141" s="7">
        <v>2</v>
      </c>
      <c r="G141" s="8" t="s">
        <v>4371</v>
      </c>
      <c r="H141" s="8" t="s">
        <v>4372</v>
      </c>
      <c r="I141" s="7" t="str">
        <f>_xlfn.CONCAT(Paper_Reference[[#This Row],[Lvl]:[Paper Description]])</f>
        <v>2D29SE101SD580BLACK 60 X 961102100DS064-6200BLACK</v>
      </c>
      <c r="J141" s="7">
        <f>COUNTIF(Paper_Reference[Duplicate Key],Paper_Reference[[#This Row],[Duplicate Key]])</f>
        <v>1</v>
      </c>
    </row>
    <row r="142" spans="1:10">
      <c r="A142" s="7">
        <v>2</v>
      </c>
      <c r="B142" s="8" t="s">
        <v>4662</v>
      </c>
      <c r="C142" s="8" t="s">
        <v>4391</v>
      </c>
      <c r="D142" s="7">
        <v>1</v>
      </c>
      <c r="E142" s="7">
        <v>10</v>
      </c>
      <c r="F142" s="7">
        <v>1</v>
      </c>
      <c r="G142" s="8" t="s">
        <v>4371</v>
      </c>
      <c r="H142" s="8" t="s">
        <v>4372</v>
      </c>
      <c r="I142" s="7" t="str">
        <f>_xlfn.CONCAT(Paper_Reference[[#This Row],[Lvl]:[Paper Description]])</f>
        <v>2D30SG214SD500BANKERS GRAY 60 X 1201101100DS064-6200BLACK</v>
      </c>
      <c r="J142" s="7">
        <f>COUNTIF(Paper_Reference[Duplicate Key],Paper_Reference[[#This Row],[Duplicate Key]])</f>
        <v>1</v>
      </c>
    </row>
    <row r="143" spans="1:10">
      <c r="A143" s="7">
        <v>2</v>
      </c>
      <c r="B143" s="8" t="s">
        <v>4663</v>
      </c>
      <c r="C143" s="8" t="s">
        <v>4392</v>
      </c>
      <c r="D143" s="7">
        <v>1</v>
      </c>
      <c r="E143" s="7">
        <v>10</v>
      </c>
      <c r="F143" s="7">
        <v>1</v>
      </c>
      <c r="G143" s="8" t="s">
        <v>4371</v>
      </c>
      <c r="H143" s="8" t="s">
        <v>4372</v>
      </c>
      <c r="I143" s="7" t="str">
        <f>_xlfn.CONCAT(Paper_Reference[[#This Row],[Lvl]:[Paper Description]])</f>
        <v>2D30SW826SD500ANGEL WHITE 60 X 1201101100DS064-6200BLACK</v>
      </c>
      <c r="J143" s="7">
        <f>COUNTIF(Paper_Reference[Duplicate Key],Paper_Reference[[#This Row],[Duplicate Key]])</f>
        <v>1</v>
      </c>
    </row>
    <row r="144" spans="1:10">
      <c r="A144" s="7">
        <v>2</v>
      </c>
      <c r="B144" s="8" t="s">
        <v>4664</v>
      </c>
      <c r="C144" s="8" t="s">
        <v>4393</v>
      </c>
      <c r="D144" s="7">
        <v>1</v>
      </c>
      <c r="E144" s="7">
        <v>10</v>
      </c>
      <c r="F144" s="7">
        <v>1</v>
      </c>
      <c r="G144" s="8" t="s">
        <v>4371</v>
      </c>
      <c r="H144" s="8" t="s">
        <v>4372</v>
      </c>
      <c r="I144" s="7" t="str">
        <f>_xlfn.CONCAT(Paper_Reference[[#This Row],[Lvl]:[Paper Description]])</f>
        <v>2D30SW826SD580ANGEL WHITE 60 X 961101100DS064-6200BLACK</v>
      </c>
      <c r="J144" s="7">
        <f>COUNTIF(Paper_Reference[Duplicate Key],Paper_Reference[[#This Row],[Duplicate Key]])</f>
        <v>1</v>
      </c>
    </row>
    <row r="145" spans="1:10">
      <c r="A145" s="7">
        <v>2</v>
      </c>
      <c r="B145" s="8" t="s">
        <v>4665</v>
      </c>
      <c r="C145" s="8" t="s">
        <v>4380</v>
      </c>
      <c r="D145" s="7">
        <v>1</v>
      </c>
      <c r="E145" s="7">
        <v>10</v>
      </c>
      <c r="F145" s="7">
        <v>2</v>
      </c>
      <c r="G145" s="8" t="s">
        <v>4371</v>
      </c>
      <c r="H145" s="8" t="s">
        <v>4372</v>
      </c>
      <c r="I145" s="7" t="str">
        <f>_xlfn.CONCAT(Paper_Reference[[#This Row],[Lvl]:[Paper Description]])</f>
        <v>2D32SE101N580BLACK 60 X 961102100DS064-6200BLACK</v>
      </c>
      <c r="J145" s="7">
        <f>COUNTIF(Paper_Reference[Duplicate Key],Paper_Reference[[#This Row],[Duplicate Key]])</f>
        <v>1</v>
      </c>
    </row>
    <row r="146" spans="1:10">
      <c r="A146" s="7">
        <v>2</v>
      </c>
      <c r="B146" s="8" t="s">
        <v>4666</v>
      </c>
      <c r="C146" s="8" t="s">
        <v>4379</v>
      </c>
      <c r="D146" s="7">
        <v>1</v>
      </c>
      <c r="E146" s="7">
        <v>10</v>
      </c>
      <c r="F146" s="7">
        <v>2</v>
      </c>
      <c r="G146" s="8" t="s">
        <v>4371</v>
      </c>
      <c r="H146" s="8" t="s">
        <v>4372</v>
      </c>
      <c r="I146" s="7" t="str">
        <f>_xlfn.CONCAT(Paper_Reference[[#This Row],[Lvl]:[Paper Description]])</f>
        <v>2D37SE101N5201BLACK 60 X 1441102100DS064-6200BLACK</v>
      </c>
      <c r="J146" s="7">
        <f>COUNTIF(Paper_Reference[Duplicate Key],Paper_Reference[[#This Row],[Duplicate Key]])</f>
        <v>1</v>
      </c>
    </row>
    <row r="147" spans="1:10">
      <c r="A147" s="7">
        <v>2</v>
      </c>
      <c r="B147" s="8" t="s">
        <v>4667</v>
      </c>
      <c r="C147" s="8" t="s">
        <v>4379</v>
      </c>
      <c r="D147" s="7">
        <v>1</v>
      </c>
      <c r="E147" s="7">
        <v>10</v>
      </c>
      <c r="F147" s="7">
        <v>2</v>
      </c>
      <c r="G147" s="8" t="s">
        <v>4371</v>
      </c>
      <c r="H147" s="8" t="s">
        <v>4372</v>
      </c>
      <c r="I147" s="7" t="str">
        <f>_xlfn.CONCAT(Paper_Reference[[#This Row],[Lvl]:[Paper Description]])</f>
        <v>2D37SE101SD5201BLACK 60 X 1441102100DS064-6200BLACK</v>
      </c>
      <c r="J147" s="7">
        <f>COUNTIF(Paper_Reference[Duplicate Key],Paper_Reference[[#This Row],[Duplicate Key]])</f>
        <v>1</v>
      </c>
    </row>
    <row r="148" spans="1:10">
      <c r="A148" s="7">
        <v>2</v>
      </c>
      <c r="B148" s="8" t="s">
        <v>4668</v>
      </c>
      <c r="C148" s="8" t="s">
        <v>4379</v>
      </c>
      <c r="D148" s="7">
        <v>1</v>
      </c>
      <c r="E148" s="7">
        <v>10</v>
      </c>
      <c r="F148" s="7">
        <v>2</v>
      </c>
      <c r="G148" s="8" t="s">
        <v>4371</v>
      </c>
      <c r="H148" s="8" t="s">
        <v>4372</v>
      </c>
      <c r="I148" s="7" t="str">
        <f>_xlfn.CONCAT(Paper_Reference[[#This Row],[Lvl]:[Paper Description]])</f>
        <v>2D43SE101N520BLACK 60 X 1441102100DS064-6200BLACK</v>
      </c>
      <c r="J148" s="7">
        <f>COUNTIF(Paper_Reference[Duplicate Key],Paper_Reference[[#This Row],[Duplicate Key]])</f>
        <v>1</v>
      </c>
    </row>
    <row r="149" spans="1:10">
      <c r="A149" s="7">
        <v>2</v>
      </c>
      <c r="B149" s="8" t="s">
        <v>4669</v>
      </c>
      <c r="C149" s="8" t="s">
        <v>4394</v>
      </c>
      <c r="D149" s="7">
        <v>1</v>
      </c>
      <c r="E149" s="7">
        <v>10</v>
      </c>
      <c r="F149" s="7">
        <v>6.6600000000000006E-2</v>
      </c>
      <c r="G149" s="8" t="s">
        <v>4371</v>
      </c>
      <c r="H149" s="8" t="s">
        <v>4372</v>
      </c>
      <c r="I149" s="7" t="str">
        <f>_xlfn.CONCAT(Paper_Reference[[#This Row],[Lvl]:[Paper Description]])</f>
        <v>2D43SE101NR003BLACK (ROUTER)1100.0666100DS064-6200BLACK</v>
      </c>
      <c r="J149" s="7">
        <f>COUNTIF(Paper_Reference[Duplicate Key],Paper_Reference[[#This Row],[Duplicate Key]])</f>
        <v>1</v>
      </c>
    </row>
    <row r="150" spans="1:10">
      <c r="A150" s="7">
        <v>2</v>
      </c>
      <c r="B150" s="8" t="s">
        <v>4670</v>
      </c>
      <c r="C150" s="8" t="s">
        <v>4379</v>
      </c>
      <c r="D150" s="7">
        <v>1</v>
      </c>
      <c r="E150" s="7">
        <v>10</v>
      </c>
      <c r="F150" s="7">
        <v>2</v>
      </c>
      <c r="G150" s="8" t="s">
        <v>4371</v>
      </c>
      <c r="H150" s="8" t="s">
        <v>4372</v>
      </c>
      <c r="I150" s="7" t="str">
        <f>_xlfn.CONCAT(Paper_Reference[[#This Row],[Lvl]:[Paper Description]])</f>
        <v>2D43SE101SD520BLACK 60 X 1441102100DS064-6200BLACK</v>
      </c>
      <c r="J150" s="7">
        <f>COUNTIF(Paper_Reference[Duplicate Key],Paper_Reference[[#This Row],[Duplicate Key]])</f>
        <v>1</v>
      </c>
    </row>
    <row r="151" spans="1:10">
      <c r="A151" s="7">
        <v>2</v>
      </c>
      <c r="B151" s="8" t="s">
        <v>4671</v>
      </c>
      <c r="C151" s="8" t="s">
        <v>4373</v>
      </c>
      <c r="D151" s="7">
        <v>1</v>
      </c>
      <c r="E151" s="7">
        <v>10</v>
      </c>
      <c r="F151" s="7">
        <v>2</v>
      </c>
      <c r="G151" s="8" t="s">
        <v>4371</v>
      </c>
      <c r="H151" s="8" t="s">
        <v>4372</v>
      </c>
      <c r="I151" s="7" t="str">
        <f>_xlfn.CONCAT(Paper_Reference[[#This Row],[Lvl]:[Paper Description]])</f>
        <v>2D44SE101CR500BLACK 60 X 1201102100DS064-6200BLACK</v>
      </c>
      <c r="J151" s="7">
        <f>COUNTIF(Paper_Reference[Duplicate Key],Paper_Reference[[#This Row],[Duplicate Key]])</f>
        <v>1</v>
      </c>
    </row>
    <row r="152" spans="1:10">
      <c r="A152" s="7">
        <v>2</v>
      </c>
      <c r="B152" s="8" t="s">
        <v>4672</v>
      </c>
      <c r="C152" s="8" t="s">
        <v>4379</v>
      </c>
      <c r="D152" s="7">
        <v>1</v>
      </c>
      <c r="E152" s="7">
        <v>10</v>
      </c>
      <c r="F152" s="7">
        <v>2</v>
      </c>
      <c r="G152" s="8" t="s">
        <v>4371</v>
      </c>
      <c r="H152" s="8" t="s">
        <v>4372</v>
      </c>
      <c r="I152" s="7" t="str">
        <f>_xlfn.CONCAT(Paper_Reference[[#This Row],[Lvl]:[Paper Description]])</f>
        <v>2D44SE101H520BLACK 60 X 1441102100DS064-6200BLACK</v>
      </c>
      <c r="J152" s="7">
        <f>COUNTIF(Paper_Reference[Duplicate Key],Paper_Reference[[#This Row],[Duplicate Key]])</f>
        <v>1</v>
      </c>
    </row>
    <row r="153" spans="1:10">
      <c r="A153" s="7">
        <v>2</v>
      </c>
      <c r="B153" s="8" t="s">
        <v>4673</v>
      </c>
      <c r="C153" s="8" t="s">
        <v>4380</v>
      </c>
      <c r="D153" s="7">
        <v>1</v>
      </c>
      <c r="E153" s="7">
        <v>10</v>
      </c>
      <c r="F153" s="7">
        <v>2</v>
      </c>
      <c r="G153" s="8" t="s">
        <v>4371</v>
      </c>
      <c r="H153" s="8" t="s">
        <v>4372</v>
      </c>
      <c r="I153" s="7" t="str">
        <f>_xlfn.CONCAT(Paper_Reference[[#This Row],[Lvl]:[Paper Description]])</f>
        <v>2D44SE101H580BLACK 60 X 961102100DS064-6200BLACK</v>
      </c>
      <c r="J153" s="7">
        <f>COUNTIF(Paper_Reference[Duplicate Key],Paper_Reference[[#This Row],[Duplicate Key]])</f>
        <v>1</v>
      </c>
    </row>
    <row r="154" spans="1:10">
      <c r="A154" s="7">
        <v>2</v>
      </c>
      <c r="B154" s="8" t="s">
        <v>4674</v>
      </c>
      <c r="C154" s="8" t="s">
        <v>4373</v>
      </c>
      <c r="D154" s="7">
        <v>1</v>
      </c>
      <c r="E154" s="7">
        <v>10</v>
      </c>
      <c r="F154" s="7">
        <v>2</v>
      </c>
      <c r="G154" s="8" t="s">
        <v>4371</v>
      </c>
      <c r="H154" s="8" t="s">
        <v>4372</v>
      </c>
      <c r="I154" s="7" t="str">
        <f>_xlfn.CONCAT(Paper_Reference[[#This Row],[Lvl]:[Paper Description]])</f>
        <v>2D44SE101J500BLACK 60 X 1201102100DS064-6200BLACK</v>
      </c>
      <c r="J154" s="7">
        <f>COUNTIF(Paper_Reference[Duplicate Key],Paper_Reference[[#This Row],[Duplicate Key]])</f>
        <v>1</v>
      </c>
    </row>
    <row r="155" spans="1:10">
      <c r="A155" s="7">
        <v>2</v>
      </c>
      <c r="B155" s="8" t="s">
        <v>4675</v>
      </c>
      <c r="C155" s="8" t="s">
        <v>4373</v>
      </c>
      <c r="D155" s="7">
        <v>1</v>
      </c>
      <c r="E155" s="7">
        <v>10</v>
      </c>
      <c r="F155" s="7">
        <v>2</v>
      </c>
      <c r="G155" s="8" t="s">
        <v>4371</v>
      </c>
      <c r="H155" s="8" t="s">
        <v>4372</v>
      </c>
      <c r="I155" s="7" t="str">
        <f>_xlfn.CONCAT(Paper_Reference[[#This Row],[Lvl]:[Paper Description]])</f>
        <v>2D44SE101M500BLACK 60 X 1201102100DS064-6200BLACK</v>
      </c>
      <c r="J155" s="7">
        <f>COUNTIF(Paper_Reference[Duplicate Key],Paper_Reference[[#This Row],[Duplicate Key]])</f>
        <v>1</v>
      </c>
    </row>
    <row r="156" spans="1:10">
      <c r="A156" s="7">
        <v>3</v>
      </c>
      <c r="B156" s="8" t="s">
        <v>4676</v>
      </c>
      <c r="C156" s="8" t="s">
        <v>4395</v>
      </c>
      <c r="D156" s="7">
        <v>1</v>
      </c>
      <c r="E156" s="7">
        <v>55</v>
      </c>
      <c r="F156" s="7">
        <v>0.25</v>
      </c>
      <c r="G156" s="8" t="s">
        <v>4371</v>
      </c>
      <c r="H156" s="8" t="s">
        <v>4372</v>
      </c>
      <c r="I156" s="7" t="str">
        <f>_xlfn.CONCAT(Paper_Reference[[#This Row],[Lvl]:[Paper Description]])</f>
        <v>3D44SE101N050BLACK 30 X 601550.25100DS064-6200BLACK</v>
      </c>
      <c r="J156" s="7">
        <f>COUNTIF(Paper_Reference[Duplicate Key],Paper_Reference[[#This Row],[Duplicate Key]])</f>
        <v>1</v>
      </c>
    </row>
    <row r="157" spans="1:10">
      <c r="A157" s="7">
        <v>3</v>
      </c>
      <c r="B157" s="8" t="s">
        <v>4677</v>
      </c>
      <c r="C157" s="8" t="s">
        <v>4396</v>
      </c>
      <c r="D157" s="7">
        <v>1</v>
      </c>
      <c r="E157" s="7">
        <v>55</v>
      </c>
      <c r="F157" s="7">
        <v>0.125</v>
      </c>
      <c r="G157" s="8" t="s">
        <v>4371</v>
      </c>
      <c r="H157" s="8" t="s">
        <v>4372</v>
      </c>
      <c r="I157" s="7" t="str">
        <f>_xlfn.CONCAT(Paper_Reference[[#This Row],[Lvl]:[Paper Description]])</f>
        <v>3D44SE101NBMABLACK 30 X 361550.125100DS064-6200BLACK</v>
      </c>
      <c r="J157" s="7">
        <f>COUNTIF(Paper_Reference[Duplicate Key],Paper_Reference[[#This Row],[Duplicate Key]])</f>
        <v>1</v>
      </c>
    </row>
    <row r="158" spans="1:10">
      <c r="A158" s="7">
        <v>3</v>
      </c>
      <c r="B158" s="8" t="s">
        <v>4678</v>
      </c>
      <c r="C158" s="8" t="s">
        <v>4397</v>
      </c>
      <c r="D158" s="7">
        <v>1</v>
      </c>
      <c r="E158" s="7">
        <v>55</v>
      </c>
      <c r="F158" s="7">
        <v>0.33329999999999999</v>
      </c>
      <c r="G158" s="8" t="s">
        <v>4371</v>
      </c>
      <c r="H158" s="8" t="s">
        <v>4372</v>
      </c>
      <c r="I158" s="7" t="str">
        <f>_xlfn.CONCAT(Paper_Reference[[#This Row],[Lvl]:[Paper Description]])</f>
        <v>3D44SE101NNITBLACK 20 X 961550.3333100DS064-6200BLACK</v>
      </c>
      <c r="J158" s="7">
        <f>COUNTIF(Paper_Reference[Duplicate Key],Paper_Reference[[#This Row],[Duplicate Key]])</f>
        <v>1</v>
      </c>
    </row>
    <row r="159" spans="1:10">
      <c r="A159" s="7">
        <v>2</v>
      </c>
      <c r="B159" s="8" t="s">
        <v>4679</v>
      </c>
      <c r="C159" s="8" t="s">
        <v>4373</v>
      </c>
      <c r="D159" s="7">
        <v>1</v>
      </c>
      <c r="E159" s="7">
        <v>10</v>
      </c>
      <c r="F159" s="7">
        <v>2</v>
      </c>
      <c r="G159" s="8" t="s">
        <v>4371</v>
      </c>
      <c r="H159" s="8" t="s">
        <v>4372</v>
      </c>
      <c r="I159" s="7" t="str">
        <f>_xlfn.CONCAT(Paper_Reference[[#This Row],[Lvl]:[Paper Description]])</f>
        <v>2D44SE101SD500BLACK 60 X 1201102100DS064-6200BLACK</v>
      </c>
      <c r="J159" s="7">
        <f>COUNTIF(Paper_Reference[Duplicate Key],Paper_Reference[[#This Row],[Duplicate Key]])</f>
        <v>1</v>
      </c>
    </row>
    <row r="160" spans="1:10">
      <c r="A160" s="7">
        <v>2</v>
      </c>
      <c r="B160" s="8" t="s">
        <v>4680</v>
      </c>
      <c r="C160" s="8" t="s">
        <v>4386</v>
      </c>
      <c r="D160" s="7">
        <v>1</v>
      </c>
      <c r="E160" s="7">
        <v>10</v>
      </c>
      <c r="F160" s="7">
        <v>1</v>
      </c>
      <c r="G160" s="8" t="s">
        <v>4371</v>
      </c>
      <c r="H160" s="8" t="s">
        <v>4372</v>
      </c>
      <c r="I160" s="7" t="str">
        <f>_xlfn.CONCAT(Paper_Reference[[#This Row],[Lvl]:[Paper Description]])</f>
        <v>2D44SE101SD560BLACK 60 X 721101100DS064-6200BLACK</v>
      </c>
      <c r="J160" s="7">
        <f>COUNTIF(Paper_Reference[Duplicate Key],Paper_Reference[[#This Row],[Duplicate Key]])</f>
        <v>1</v>
      </c>
    </row>
    <row r="161" spans="1:10">
      <c r="A161" s="7">
        <v>2</v>
      </c>
      <c r="B161" s="8" t="s">
        <v>5481</v>
      </c>
      <c r="C161" s="8" t="s">
        <v>5376</v>
      </c>
      <c r="D161" s="7">
        <v>1</v>
      </c>
      <c r="E161" s="7">
        <v>10</v>
      </c>
      <c r="F161" s="7">
        <v>2</v>
      </c>
      <c r="G161" s="8" t="s">
        <v>5373</v>
      </c>
      <c r="H161" s="8" t="s">
        <v>5374</v>
      </c>
      <c r="I161" s="7" t="str">
        <f>_xlfn.CONCAT(Paper_Reference[[#This Row],[Lvl]:[Paper Description]])</f>
        <v>2D44WW971N520GUN SAVOY WALNUT 60 X 1441102100WW971-6200GUN SAVOY WALNUT</v>
      </c>
      <c r="J161" s="7">
        <f>COUNTIF(Paper_Reference[Duplicate Key],Paper_Reference[[#This Row],[Duplicate Key]])</f>
        <v>1</v>
      </c>
    </row>
    <row r="162" spans="1:10">
      <c r="A162" s="7">
        <v>2</v>
      </c>
      <c r="B162" s="8" t="s">
        <v>4681</v>
      </c>
      <c r="C162" s="8" t="s">
        <v>4398</v>
      </c>
      <c r="D162" s="7">
        <v>1</v>
      </c>
      <c r="E162" s="7">
        <v>10</v>
      </c>
      <c r="F162" s="7">
        <v>0.5</v>
      </c>
      <c r="G162" s="8" t="s">
        <v>4371</v>
      </c>
      <c r="H162" s="8" t="s">
        <v>4372</v>
      </c>
      <c r="I162" s="7" t="str">
        <f>_xlfn.CONCAT(Paper_Reference[[#This Row],[Lvl]:[Paper Description]])</f>
        <v>2D45DF049NSIJSB009/SE101 30 X 1201100.5100DS064-6200BLACK</v>
      </c>
      <c r="J162" s="7">
        <f>COUNTIF(Paper_Reference[Duplicate Key],Paper_Reference[[#This Row],[Duplicate Key]])</f>
        <v>1</v>
      </c>
    </row>
    <row r="163" spans="1:10">
      <c r="A163" s="7">
        <v>2</v>
      </c>
      <c r="B163" s="8" t="s">
        <v>3117</v>
      </c>
      <c r="C163" s="8" t="s">
        <v>3087</v>
      </c>
      <c r="D163" s="7">
        <v>1</v>
      </c>
      <c r="E163" s="7">
        <v>10</v>
      </c>
      <c r="F163" s="7">
        <v>2</v>
      </c>
      <c r="G163" s="8" t="s">
        <v>3115</v>
      </c>
      <c r="H163" s="8" t="s">
        <v>3090</v>
      </c>
      <c r="I163" s="7" t="str">
        <f>_xlfn.CONCAT(Paper_Reference[[#This Row],[Lvl]:[Paper Description]])</f>
        <v>2D45WF131N580VANA 60 X 961102100WF131-6200VANA</v>
      </c>
      <c r="J163" s="7">
        <f>COUNTIF(Paper_Reference[Duplicate Key],Paper_Reference[[#This Row],[Duplicate Key]])</f>
        <v>1</v>
      </c>
    </row>
    <row r="164" spans="1:10">
      <c r="A164" s="7">
        <v>2</v>
      </c>
      <c r="B164" s="8" t="s">
        <v>5482</v>
      </c>
      <c r="C164" s="8" t="s">
        <v>5377</v>
      </c>
      <c r="D164" s="7">
        <v>1</v>
      </c>
      <c r="E164" s="7">
        <v>10</v>
      </c>
      <c r="F164" s="7">
        <v>2</v>
      </c>
      <c r="G164" s="8" t="s">
        <v>5373</v>
      </c>
      <c r="H164" s="8" t="s">
        <v>5374</v>
      </c>
      <c r="I164" s="7" t="str">
        <f>_xlfn.CONCAT(Paper_Reference[[#This Row],[Lvl]:[Paper Description]])</f>
        <v>2D45WW971N580GUN SAVOY WALNUT 60 X 961102100WW971-6200GUN SAVOY WALNUT</v>
      </c>
      <c r="J164" s="7">
        <f>COUNTIF(Paper_Reference[Duplicate Key],Paper_Reference[[#This Row],[Duplicate Key]])</f>
        <v>1</v>
      </c>
    </row>
    <row r="165" spans="1:10">
      <c r="A165" s="7">
        <v>2</v>
      </c>
      <c r="B165" s="8" t="s">
        <v>4682</v>
      </c>
      <c r="C165" s="8" t="s">
        <v>4379</v>
      </c>
      <c r="D165" s="7">
        <v>1</v>
      </c>
      <c r="E165" s="7">
        <v>10</v>
      </c>
      <c r="F165" s="7">
        <v>2</v>
      </c>
      <c r="G165" s="8" t="s">
        <v>4371</v>
      </c>
      <c r="H165" s="8" t="s">
        <v>4372</v>
      </c>
      <c r="I165" s="7" t="str">
        <f>_xlfn.CONCAT(Paper_Reference[[#This Row],[Lvl]:[Paper Description]])</f>
        <v>2D48SE101N520BLACK 60 X 1441102100DS064-6200BLACK</v>
      </c>
      <c r="J165" s="7">
        <f>COUNTIF(Paper_Reference[Duplicate Key],Paper_Reference[[#This Row],[Duplicate Key]])</f>
        <v>1</v>
      </c>
    </row>
    <row r="166" spans="1:10">
      <c r="A166" s="7">
        <v>2</v>
      </c>
      <c r="B166" s="8" t="s">
        <v>4683</v>
      </c>
      <c r="C166" s="8" t="s">
        <v>4380</v>
      </c>
      <c r="D166" s="7">
        <v>1</v>
      </c>
      <c r="E166" s="7">
        <v>10</v>
      </c>
      <c r="F166" s="7">
        <v>2</v>
      </c>
      <c r="G166" s="8" t="s">
        <v>4371</v>
      </c>
      <c r="H166" s="8" t="s">
        <v>4372</v>
      </c>
      <c r="I166" s="7" t="str">
        <f>_xlfn.CONCAT(Paper_Reference[[#This Row],[Lvl]:[Paper Description]])</f>
        <v>2D48SE101N580BLACK 60 X 961102100DS064-6200BLACK</v>
      </c>
      <c r="J166" s="7">
        <f>COUNTIF(Paper_Reference[Duplicate Key],Paper_Reference[[#This Row],[Duplicate Key]])</f>
        <v>1</v>
      </c>
    </row>
    <row r="167" spans="1:10">
      <c r="A167" s="7">
        <v>2</v>
      </c>
      <c r="B167" s="8" t="s">
        <v>4684</v>
      </c>
      <c r="C167" s="8" t="s">
        <v>4379</v>
      </c>
      <c r="D167" s="7">
        <v>1</v>
      </c>
      <c r="E167" s="7">
        <v>10</v>
      </c>
      <c r="F167" s="7">
        <v>2</v>
      </c>
      <c r="G167" s="8" t="s">
        <v>4371</v>
      </c>
      <c r="H167" s="8" t="s">
        <v>4372</v>
      </c>
      <c r="I167" s="7" t="str">
        <f>_xlfn.CONCAT(Paper_Reference[[#This Row],[Lvl]:[Paper Description]])</f>
        <v>2D50SE101M520BLACK 60 X 1441102100DS064-6200BLACK</v>
      </c>
      <c r="J167" s="7">
        <f>COUNTIF(Paper_Reference[Duplicate Key],Paper_Reference[[#This Row],[Duplicate Key]])</f>
        <v>1</v>
      </c>
    </row>
    <row r="168" spans="1:10">
      <c r="A168" s="7">
        <v>3</v>
      </c>
      <c r="B168" s="8" t="s">
        <v>4685</v>
      </c>
      <c r="C168" s="8" t="s">
        <v>4399</v>
      </c>
      <c r="D168" s="7">
        <v>1</v>
      </c>
      <c r="E168" s="7">
        <v>55</v>
      </c>
      <c r="F168" s="7">
        <v>0.1666</v>
      </c>
      <c r="G168" s="8" t="s">
        <v>4371</v>
      </c>
      <c r="H168" s="8" t="s">
        <v>4372</v>
      </c>
      <c r="I168" s="7" t="str">
        <f>_xlfn.CONCAT(Paper_Reference[[#This Row],[Lvl]:[Paper Description]])</f>
        <v>3D50SE101N040BLACK 30 X 481550.1666100DS064-6200BLACK</v>
      </c>
      <c r="J168" s="7">
        <f>COUNTIF(Paper_Reference[Duplicate Key],Paper_Reference[[#This Row],[Duplicate Key]])</f>
        <v>1</v>
      </c>
    </row>
    <row r="169" spans="1:10">
      <c r="A169" s="7">
        <v>2</v>
      </c>
      <c r="B169" s="8" t="s">
        <v>4686</v>
      </c>
      <c r="C169" s="8" t="s">
        <v>4400</v>
      </c>
      <c r="D169" s="7">
        <v>1</v>
      </c>
      <c r="E169" s="7">
        <v>10</v>
      </c>
      <c r="F169" s="7">
        <v>1</v>
      </c>
      <c r="G169" s="8" t="s">
        <v>4371</v>
      </c>
      <c r="H169" s="8" t="s">
        <v>4372</v>
      </c>
      <c r="I169" s="7" t="str">
        <f>_xlfn.CONCAT(Paper_Reference[[#This Row],[Lvl]:[Paper Description]])</f>
        <v>2D50SE101N080BLACK 30 X 961101100DS064-6200BLACK</v>
      </c>
      <c r="J169" s="7">
        <f>COUNTIF(Paper_Reference[Duplicate Key],Paper_Reference[[#This Row],[Duplicate Key]])</f>
        <v>1</v>
      </c>
    </row>
    <row r="170" spans="1:10">
      <c r="A170" s="7">
        <v>3</v>
      </c>
      <c r="B170" s="8" t="s">
        <v>4687</v>
      </c>
      <c r="C170" s="8" t="s">
        <v>4401</v>
      </c>
      <c r="D170" s="7">
        <v>1</v>
      </c>
      <c r="E170" s="7">
        <v>55</v>
      </c>
      <c r="F170" s="7">
        <v>0.125</v>
      </c>
      <c r="G170" s="8" t="s">
        <v>4371</v>
      </c>
      <c r="H170" s="8" t="s">
        <v>4372</v>
      </c>
      <c r="I170" s="7" t="str">
        <f>_xlfn.CONCAT(Paper_Reference[[#This Row],[Lvl]:[Paper Description]])</f>
        <v>3D50SE101NRIIBLACK 30 X 301550.125100DS064-6200BLACK</v>
      </c>
      <c r="J170" s="7">
        <f>COUNTIF(Paper_Reference[Duplicate Key],Paper_Reference[[#This Row],[Duplicate Key]])</f>
        <v>1</v>
      </c>
    </row>
    <row r="171" spans="1:10">
      <c r="A171" s="7">
        <v>3</v>
      </c>
      <c r="B171" s="8" t="s">
        <v>4688</v>
      </c>
      <c r="C171" s="8" t="s">
        <v>4402</v>
      </c>
      <c r="D171" s="7">
        <v>1</v>
      </c>
      <c r="E171" s="7">
        <v>55</v>
      </c>
      <c r="F171" s="7">
        <v>0.1666</v>
      </c>
      <c r="G171" s="8" t="s">
        <v>4371</v>
      </c>
      <c r="H171" s="8" t="s">
        <v>4372</v>
      </c>
      <c r="I171" s="7" t="str">
        <f>_xlfn.CONCAT(Paper_Reference[[#This Row],[Lvl]:[Paper Description]])</f>
        <v>3D50SE101NSLDBLACK 30 X 421550.1666100DS064-6200BLACK</v>
      </c>
      <c r="J171" s="7">
        <f>COUNTIF(Paper_Reference[Duplicate Key],Paper_Reference[[#This Row],[Duplicate Key]])</f>
        <v>1</v>
      </c>
    </row>
    <row r="172" spans="1:10">
      <c r="A172" s="7">
        <v>2</v>
      </c>
      <c r="B172" s="8" t="s">
        <v>4689</v>
      </c>
      <c r="C172" s="8" t="s">
        <v>4403</v>
      </c>
      <c r="D172" s="7">
        <v>1</v>
      </c>
      <c r="E172" s="7">
        <v>10</v>
      </c>
      <c r="F172" s="7">
        <v>1</v>
      </c>
      <c r="G172" s="8" t="s">
        <v>4371</v>
      </c>
      <c r="H172" s="8" t="s">
        <v>4372</v>
      </c>
      <c r="I172" s="7" t="str">
        <f>_xlfn.CONCAT(Paper_Reference[[#This Row],[Lvl]:[Paper Description]])</f>
        <v>2D50SE101SD000BLACK 30 X 1201101100DS064-6200BLACK</v>
      </c>
      <c r="J172" s="7">
        <f>COUNTIF(Paper_Reference[Duplicate Key],Paper_Reference[[#This Row],[Duplicate Key]])</f>
        <v>1</v>
      </c>
    </row>
    <row r="173" spans="1:10">
      <c r="A173" s="7">
        <v>2</v>
      </c>
      <c r="B173" s="8" t="s">
        <v>4690</v>
      </c>
      <c r="C173" s="8" t="s">
        <v>4373</v>
      </c>
      <c r="D173" s="7">
        <v>1</v>
      </c>
      <c r="E173" s="7">
        <v>10</v>
      </c>
      <c r="F173" s="7">
        <v>2</v>
      </c>
      <c r="G173" s="8" t="s">
        <v>4371</v>
      </c>
      <c r="H173" s="8" t="s">
        <v>4372</v>
      </c>
      <c r="I173" s="7" t="str">
        <f>_xlfn.CONCAT(Paper_Reference[[#This Row],[Lvl]:[Paper Description]])</f>
        <v>2D50SE101SD500BLACK 60 X 1201102100DS064-6200BLACK</v>
      </c>
      <c r="J173" s="7">
        <f>COUNTIF(Paper_Reference[Duplicate Key],Paper_Reference[[#This Row],[Duplicate Key]])</f>
        <v>1</v>
      </c>
    </row>
    <row r="174" spans="1:10">
      <c r="A174" s="7">
        <v>2</v>
      </c>
      <c r="B174" s="8" t="s">
        <v>4691</v>
      </c>
      <c r="C174" s="8" t="s">
        <v>4379</v>
      </c>
      <c r="D174" s="7">
        <v>1</v>
      </c>
      <c r="E174" s="7">
        <v>10</v>
      </c>
      <c r="F174" s="7">
        <v>2</v>
      </c>
      <c r="G174" s="8" t="s">
        <v>4371</v>
      </c>
      <c r="H174" s="8" t="s">
        <v>4372</v>
      </c>
      <c r="I174" s="7" t="str">
        <f>_xlfn.CONCAT(Paper_Reference[[#This Row],[Lvl]:[Paper Description]])</f>
        <v>2D50SE101SD520BLACK 60 X 1441102100DS064-6200BLACK</v>
      </c>
      <c r="J174" s="7">
        <f>COUNTIF(Paper_Reference[Duplicate Key],Paper_Reference[[#This Row],[Duplicate Key]])</f>
        <v>1</v>
      </c>
    </row>
    <row r="175" spans="1:10">
      <c r="A175" s="7">
        <v>2</v>
      </c>
      <c r="B175" s="8" t="s">
        <v>4692</v>
      </c>
      <c r="C175" s="8" t="s">
        <v>4380</v>
      </c>
      <c r="D175" s="7">
        <v>1</v>
      </c>
      <c r="E175" s="7">
        <v>10</v>
      </c>
      <c r="F175" s="7">
        <v>2</v>
      </c>
      <c r="G175" s="8" t="s">
        <v>4371</v>
      </c>
      <c r="H175" s="8" t="s">
        <v>4372</v>
      </c>
      <c r="I175" s="7" t="str">
        <f>_xlfn.CONCAT(Paper_Reference[[#This Row],[Lvl]:[Paper Description]])</f>
        <v>2D50SE101SD580BLACK 60 X 961102100DS064-6200BLACK</v>
      </c>
      <c r="J175" s="7">
        <f>COUNTIF(Paper_Reference[Duplicate Key],Paper_Reference[[#This Row],[Duplicate Key]])</f>
        <v>1</v>
      </c>
    </row>
    <row r="176" spans="1:10">
      <c r="A176" s="7">
        <v>2</v>
      </c>
      <c r="B176" s="8" t="s">
        <v>4693</v>
      </c>
      <c r="C176" s="8" t="s">
        <v>4373</v>
      </c>
      <c r="D176" s="7">
        <v>1</v>
      </c>
      <c r="E176" s="7">
        <v>10</v>
      </c>
      <c r="F176" s="7">
        <v>2</v>
      </c>
      <c r="G176" s="8" t="s">
        <v>4371</v>
      </c>
      <c r="H176" s="8" t="s">
        <v>4372</v>
      </c>
      <c r="I176" s="7" t="str">
        <f>_xlfn.CONCAT(Paper_Reference[[#This Row],[Lvl]:[Paper Description]])</f>
        <v>2D50SE101VE500BLACK 60 X 1201102100DS064-6200BLACK</v>
      </c>
      <c r="J176" s="7">
        <f>COUNTIF(Paper_Reference[Duplicate Key],Paper_Reference[[#This Row],[Duplicate Key]])</f>
        <v>1</v>
      </c>
    </row>
    <row r="177" spans="1:10">
      <c r="A177" s="7">
        <v>2</v>
      </c>
      <c r="B177" s="8" t="s">
        <v>8406</v>
      </c>
      <c r="C177" s="8" t="s">
        <v>8304</v>
      </c>
      <c r="D177" s="7">
        <v>1</v>
      </c>
      <c r="E177" s="7">
        <v>10</v>
      </c>
      <c r="F177" s="7">
        <v>2</v>
      </c>
      <c r="G177" s="8" t="s">
        <v>8302</v>
      </c>
      <c r="H177" s="8" t="s">
        <v>8303</v>
      </c>
      <c r="I177" s="7" t="str">
        <f>_xlfn.CONCAT(Paper_Reference[[#This Row],[Lvl]:[Paper Description]])</f>
        <v>2D51SW813VE500ICE WHITE 60 X 1201102100SW813-6200ICE WHITE</v>
      </c>
      <c r="J177" s="7">
        <f>COUNTIF(Paper_Reference[Duplicate Key],Paper_Reference[[#This Row],[Duplicate Key]])</f>
        <v>1</v>
      </c>
    </row>
    <row r="178" spans="1:10">
      <c r="A178" s="7">
        <v>2</v>
      </c>
      <c r="B178" s="8" t="s">
        <v>4694</v>
      </c>
      <c r="C178" s="8" t="s">
        <v>4373</v>
      </c>
      <c r="D178" s="7">
        <v>1</v>
      </c>
      <c r="E178" s="7">
        <v>10</v>
      </c>
      <c r="F178" s="7">
        <v>2</v>
      </c>
      <c r="G178" s="8" t="s">
        <v>4371</v>
      </c>
      <c r="H178" s="8" t="s">
        <v>4372</v>
      </c>
      <c r="I178" s="7" t="str">
        <f>_xlfn.CONCAT(Paper_Reference[[#This Row],[Lvl]:[Paper Description]])</f>
        <v>2D54SE101N500BLACK 60 X 1201102100DS064-6200BLACK</v>
      </c>
      <c r="J178" s="7">
        <f>COUNTIF(Paper_Reference[Duplicate Key],Paper_Reference[[#This Row],[Duplicate Key]])</f>
        <v>1</v>
      </c>
    </row>
    <row r="179" spans="1:10">
      <c r="A179" s="7">
        <v>2</v>
      </c>
      <c r="B179" s="8" t="s">
        <v>4695</v>
      </c>
      <c r="C179" s="8" t="s">
        <v>4373</v>
      </c>
      <c r="D179" s="7">
        <v>1</v>
      </c>
      <c r="E179" s="7">
        <v>10</v>
      </c>
      <c r="F179" s="7">
        <v>2</v>
      </c>
      <c r="G179" s="8" t="s">
        <v>4371</v>
      </c>
      <c r="H179" s="8" t="s">
        <v>4372</v>
      </c>
      <c r="I179" s="7" t="str">
        <f>_xlfn.CONCAT(Paper_Reference[[#This Row],[Lvl]:[Paper Description]])</f>
        <v>2D56SE101CR5002BLACK 60 X 1201102100DS064-6200BLACK</v>
      </c>
      <c r="J179" s="7">
        <f>COUNTIF(Paper_Reference[Duplicate Key],Paper_Reference[[#This Row],[Duplicate Key]])</f>
        <v>1</v>
      </c>
    </row>
    <row r="180" spans="1:10">
      <c r="A180" s="7">
        <v>2</v>
      </c>
      <c r="B180" s="8" t="s">
        <v>4696</v>
      </c>
      <c r="C180" s="8" t="s">
        <v>4373</v>
      </c>
      <c r="D180" s="7">
        <v>1</v>
      </c>
      <c r="E180" s="7">
        <v>10</v>
      </c>
      <c r="F180" s="7">
        <v>2</v>
      </c>
      <c r="G180" s="8" t="s">
        <v>4371</v>
      </c>
      <c r="H180" s="8" t="s">
        <v>4372</v>
      </c>
      <c r="I180" s="7" t="str">
        <f>_xlfn.CONCAT(Paper_Reference[[#This Row],[Lvl]:[Paper Description]])</f>
        <v>2D56SE101G5001BLACK 60 X 1201102100DS064-6200BLACK</v>
      </c>
      <c r="J180" s="7">
        <f>COUNTIF(Paper_Reference[Duplicate Key],Paper_Reference[[#This Row],[Duplicate Key]])</f>
        <v>1</v>
      </c>
    </row>
    <row r="181" spans="1:10">
      <c r="A181" s="7">
        <v>2</v>
      </c>
      <c r="B181" s="8" t="s">
        <v>4697</v>
      </c>
      <c r="C181" s="8" t="s">
        <v>4373</v>
      </c>
      <c r="D181" s="7">
        <v>1</v>
      </c>
      <c r="E181" s="7">
        <v>10</v>
      </c>
      <c r="F181" s="7">
        <v>2</v>
      </c>
      <c r="G181" s="8" t="s">
        <v>4371</v>
      </c>
      <c r="H181" s="8" t="s">
        <v>4372</v>
      </c>
      <c r="I181" s="7" t="str">
        <f>_xlfn.CONCAT(Paper_Reference[[#This Row],[Lvl]:[Paper Description]])</f>
        <v>2D56SE101H5002BLACK 60 X 1201102100DS064-6200BLACK</v>
      </c>
      <c r="J181" s="7">
        <f>COUNTIF(Paper_Reference[Duplicate Key],Paper_Reference[[#This Row],[Duplicate Key]])</f>
        <v>1</v>
      </c>
    </row>
    <row r="182" spans="1:10">
      <c r="A182" s="7">
        <v>2</v>
      </c>
      <c r="B182" s="8" t="s">
        <v>4699</v>
      </c>
      <c r="C182" s="8" t="s">
        <v>4379</v>
      </c>
      <c r="D182" s="7">
        <v>1</v>
      </c>
      <c r="E182" s="7">
        <v>10</v>
      </c>
      <c r="F182" s="7">
        <v>2</v>
      </c>
      <c r="G182" s="8" t="s">
        <v>4371</v>
      </c>
      <c r="H182" s="8" t="s">
        <v>4372</v>
      </c>
      <c r="I182" s="7" t="str">
        <f>_xlfn.CONCAT(Paper_Reference[[#This Row],[Lvl]:[Paper Description]])</f>
        <v>2D56SE101H520BLACK 60 X 1441102100DS064-6200BLACK</v>
      </c>
      <c r="J182" s="7">
        <f>COUNTIF(Paper_Reference[Duplicate Key],Paper_Reference[[#This Row],[Duplicate Key]])</f>
        <v>1</v>
      </c>
    </row>
    <row r="183" spans="1:10">
      <c r="A183" s="7">
        <v>2</v>
      </c>
      <c r="B183" s="8" t="s">
        <v>4698</v>
      </c>
      <c r="C183" s="8" t="s">
        <v>4379</v>
      </c>
      <c r="D183" s="7">
        <v>1</v>
      </c>
      <c r="E183" s="7">
        <v>10</v>
      </c>
      <c r="F183" s="7">
        <v>2</v>
      </c>
      <c r="G183" s="8" t="s">
        <v>4371</v>
      </c>
      <c r="H183" s="8" t="s">
        <v>4372</v>
      </c>
      <c r="I183" s="7" t="str">
        <f>_xlfn.CONCAT(Paper_Reference[[#This Row],[Lvl]:[Paper Description]])</f>
        <v>2D56SE101H5202BLACK 60 X 1441102100DS064-6200BLACK</v>
      </c>
      <c r="J183" s="7">
        <f>COUNTIF(Paper_Reference[Duplicate Key],Paper_Reference[[#This Row],[Duplicate Key]])</f>
        <v>1</v>
      </c>
    </row>
    <row r="184" spans="1:10">
      <c r="A184" s="7">
        <v>2</v>
      </c>
      <c r="B184" s="8" t="s">
        <v>4700</v>
      </c>
      <c r="C184" s="8" t="s">
        <v>4380</v>
      </c>
      <c r="D184" s="7">
        <v>1</v>
      </c>
      <c r="E184" s="7">
        <v>10</v>
      </c>
      <c r="F184" s="7">
        <v>2</v>
      </c>
      <c r="G184" s="8" t="s">
        <v>4371</v>
      </c>
      <c r="H184" s="8" t="s">
        <v>4372</v>
      </c>
      <c r="I184" s="7" t="str">
        <f>_xlfn.CONCAT(Paper_Reference[[#This Row],[Lvl]:[Paper Description]])</f>
        <v>2D56SE101H580BLACK 60 X 961102100DS064-6200BLACK</v>
      </c>
      <c r="J184" s="7">
        <f>COUNTIF(Paper_Reference[Duplicate Key],Paper_Reference[[#This Row],[Duplicate Key]])</f>
        <v>1</v>
      </c>
    </row>
    <row r="185" spans="1:10">
      <c r="A185" s="7">
        <v>2</v>
      </c>
      <c r="B185" s="8" t="s">
        <v>4701</v>
      </c>
      <c r="C185" s="8" t="s">
        <v>4373</v>
      </c>
      <c r="D185" s="7">
        <v>1</v>
      </c>
      <c r="E185" s="7">
        <v>10</v>
      </c>
      <c r="F185" s="7">
        <v>2</v>
      </c>
      <c r="G185" s="8" t="s">
        <v>4371</v>
      </c>
      <c r="H185" s="8" t="s">
        <v>4372</v>
      </c>
      <c r="I185" s="7" t="str">
        <f>_xlfn.CONCAT(Paper_Reference[[#This Row],[Lvl]:[Paper Description]])</f>
        <v>2D56SE101J500BLACK 60 X 1201102100DS064-6200BLACK</v>
      </c>
      <c r="J185" s="7">
        <f>COUNTIF(Paper_Reference[Duplicate Key],Paper_Reference[[#This Row],[Duplicate Key]])</f>
        <v>1</v>
      </c>
    </row>
    <row r="186" spans="1:10">
      <c r="A186" s="7">
        <v>2</v>
      </c>
      <c r="B186" s="8" t="s">
        <v>4702</v>
      </c>
      <c r="C186" s="8" t="s">
        <v>4379</v>
      </c>
      <c r="D186" s="7">
        <v>1</v>
      </c>
      <c r="E186" s="7">
        <v>10</v>
      </c>
      <c r="F186" s="7">
        <v>2</v>
      </c>
      <c r="G186" s="8" t="s">
        <v>4371</v>
      </c>
      <c r="H186" s="8" t="s">
        <v>4372</v>
      </c>
      <c r="I186" s="7" t="str">
        <f>_xlfn.CONCAT(Paper_Reference[[#This Row],[Lvl]:[Paper Description]])</f>
        <v>2D56SE101M520BLACK 60 X 1441102100DS064-6200BLACK</v>
      </c>
      <c r="J186" s="7">
        <f>COUNTIF(Paper_Reference[Duplicate Key],Paper_Reference[[#This Row],[Duplicate Key]])</f>
        <v>1</v>
      </c>
    </row>
    <row r="187" spans="1:10">
      <c r="A187" s="7">
        <v>2</v>
      </c>
      <c r="B187" s="8" t="s">
        <v>4703</v>
      </c>
      <c r="C187" s="8" t="s">
        <v>4400</v>
      </c>
      <c r="D187" s="7">
        <v>1</v>
      </c>
      <c r="E187" s="7">
        <v>10</v>
      </c>
      <c r="F187" s="7">
        <v>1</v>
      </c>
      <c r="G187" s="8" t="s">
        <v>4371</v>
      </c>
      <c r="H187" s="8" t="s">
        <v>4372</v>
      </c>
      <c r="I187" s="7" t="str">
        <f>_xlfn.CONCAT(Paper_Reference[[#This Row],[Lvl]:[Paper Description]])</f>
        <v>2D56SE101N080BLACK 30 X 961101100DS064-6200BLACK</v>
      </c>
      <c r="J187" s="7">
        <f>COUNTIF(Paper_Reference[Duplicate Key],Paper_Reference[[#This Row],[Duplicate Key]])</f>
        <v>1</v>
      </c>
    </row>
    <row r="188" spans="1:10">
      <c r="A188" s="7">
        <v>2</v>
      </c>
      <c r="B188" s="8" t="s">
        <v>4705</v>
      </c>
      <c r="C188" s="8" t="s">
        <v>4373</v>
      </c>
      <c r="D188" s="7">
        <v>1</v>
      </c>
      <c r="E188" s="7">
        <v>10</v>
      </c>
      <c r="F188" s="7">
        <v>2</v>
      </c>
      <c r="G188" s="8" t="s">
        <v>4371</v>
      </c>
      <c r="H188" s="8" t="s">
        <v>4372</v>
      </c>
      <c r="I188" s="7" t="str">
        <f>_xlfn.CONCAT(Paper_Reference[[#This Row],[Lvl]:[Paper Description]])</f>
        <v>2D56SE101N500BLACK 60 X 1201102100DS064-6200BLACK</v>
      </c>
      <c r="J188" s="7">
        <f>COUNTIF(Paper_Reference[Duplicate Key],Paper_Reference[[#This Row],[Duplicate Key]])</f>
        <v>1</v>
      </c>
    </row>
    <row r="189" spans="1:10">
      <c r="A189" s="7">
        <v>2</v>
      </c>
      <c r="B189" s="8" t="s">
        <v>4704</v>
      </c>
      <c r="C189" s="8" t="s">
        <v>4373</v>
      </c>
      <c r="D189" s="7">
        <v>1</v>
      </c>
      <c r="E189" s="7">
        <v>10</v>
      </c>
      <c r="F189" s="7">
        <v>2</v>
      </c>
      <c r="G189" s="8" t="s">
        <v>4371</v>
      </c>
      <c r="H189" s="8" t="s">
        <v>4372</v>
      </c>
      <c r="I189" s="7" t="str">
        <f>_xlfn.CONCAT(Paper_Reference[[#This Row],[Lvl]:[Paper Description]])</f>
        <v>2D56SE101N5002BLACK 60 X 1201102100DS064-6200BLACK</v>
      </c>
      <c r="J189" s="7">
        <f>COUNTIF(Paper_Reference[Duplicate Key],Paper_Reference[[#This Row],[Duplicate Key]])</f>
        <v>1</v>
      </c>
    </row>
    <row r="190" spans="1:10">
      <c r="A190" s="7">
        <v>2</v>
      </c>
      <c r="B190" s="8" t="s">
        <v>4706</v>
      </c>
      <c r="C190" s="8" t="s">
        <v>4379</v>
      </c>
      <c r="D190" s="7">
        <v>1</v>
      </c>
      <c r="E190" s="7">
        <v>10</v>
      </c>
      <c r="F190" s="7">
        <v>2</v>
      </c>
      <c r="G190" s="8" t="s">
        <v>4371</v>
      </c>
      <c r="H190" s="8" t="s">
        <v>4372</v>
      </c>
      <c r="I190" s="7" t="str">
        <f>_xlfn.CONCAT(Paper_Reference[[#This Row],[Lvl]:[Paper Description]])</f>
        <v>2D56SE101N5202BLACK 60 X 1441102100DS064-6200BLACK</v>
      </c>
      <c r="J190" s="7">
        <f>COUNTIF(Paper_Reference[Duplicate Key],Paper_Reference[[#This Row],[Duplicate Key]])</f>
        <v>1</v>
      </c>
    </row>
    <row r="191" spans="1:10">
      <c r="A191" s="7">
        <v>3</v>
      </c>
      <c r="B191" s="8" t="s">
        <v>4707</v>
      </c>
      <c r="C191" s="8" t="s">
        <v>4404</v>
      </c>
      <c r="D191" s="7">
        <v>1</v>
      </c>
      <c r="E191" s="7">
        <v>55</v>
      </c>
      <c r="F191" s="7">
        <v>0.33329999999999999</v>
      </c>
      <c r="G191" s="8" t="s">
        <v>4371</v>
      </c>
      <c r="H191" s="8" t="s">
        <v>4372</v>
      </c>
      <c r="I191" s="7" t="str">
        <f>_xlfn.CONCAT(Paper_Reference[[#This Row],[Lvl]:[Paper Description]])</f>
        <v>3D56SE101N540BLACK 60 X 481550.3333100DS064-6200BLACK</v>
      </c>
      <c r="J191" s="7">
        <f>COUNTIF(Paper_Reference[Duplicate Key],Paper_Reference[[#This Row],[Duplicate Key]])</f>
        <v>1</v>
      </c>
    </row>
    <row r="192" spans="1:10">
      <c r="A192" s="7">
        <v>2</v>
      </c>
      <c r="B192" s="8" t="s">
        <v>4708</v>
      </c>
      <c r="C192" s="8" t="s">
        <v>4380</v>
      </c>
      <c r="D192" s="7">
        <v>1</v>
      </c>
      <c r="E192" s="7">
        <v>10</v>
      </c>
      <c r="F192" s="7">
        <v>2</v>
      </c>
      <c r="G192" s="8" t="s">
        <v>4371</v>
      </c>
      <c r="H192" s="8" t="s">
        <v>4372</v>
      </c>
      <c r="I192" s="7" t="str">
        <f>_xlfn.CONCAT(Paper_Reference[[#This Row],[Lvl]:[Paper Description]])</f>
        <v>2D56SE101N580BLACK 60 X 961102100DS064-6200BLACK</v>
      </c>
      <c r="J192" s="7">
        <f>COUNTIF(Paper_Reference[Duplicate Key],Paper_Reference[[#This Row],[Duplicate Key]])</f>
        <v>1</v>
      </c>
    </row>
    <row r="193" spans="1:10">
      <c r="A193" s="7">
        <v>2</v>
      </c>
      <c r="B193" s="8" t="s">
        <v>4709</v>
      </c>
      <c r="C193" s="8" t="s">
        <v>4373</v>
      </c>
      <c r="D193" s="7">
        <v>1</v>
      </c>
      <c r="E193" s="7">
        <v>10</v>
      </c>
      <c r="F193" s="7">
        <v>2</v>
      </c>
      <c r="G193" s="8" t="s">
        <v>4371</v>
      </c>
      <c r="H193" s="8" t="s">
        <v>4372</v>
      </c>
      <c r="I193" s="7" t="str">
        <f>_xlfn.CONCAT(Paper_Reference[[#This Row],[Lvl]:[Paper Description]])</f>
        <v>2D56SE101PV500BLACK 60 X 1201102100DS064-6200BLACK</v>
      </c>
      <c r="J193" s="7">
        <f>COUNTIF(Paper_Reference[Duplicate Key],Paper_Reference[[#This Row],[Duplicate Key]])</f>
        <v>1</v>
      </c>
    </row>
    <row r="194" spans="1:10">
      <c r="A194" s="7">
        <v>2</v>
      </c>
      <c r="B194" s="8" t="s">
        <v>4710</v>
      </c>
      <c r="C194" s="8" t="s">
        <v>4373</v>
      </c>
      <c r="D194" s="7">
        <v>1</v>
      </c>
      <c r="E194" s="7">
        <v>10</v>
      </c>
      <c r="F194" s="7">
        <v>2</v>
      </c>
      <c r="G194" s="8" t="s">
        <v>4371</v>
      </c>
      <c r="H194" s="8" t="s">
        <v>4372</v>
      </c>
      <c r="I194" s="7" t="str">
        <f>_xlfn.CONCAT(Paper_Reference[[#This Row],[Lvl]:[Paper Description]])</f>
        <v>2D56SE101SD500BLACK 60 X 1201102100DS064-6200BLACK</v>
      </c>
      <c r="J194" s="7">
        <f>COUNTIF(Paper_Reference[Duplicate Key],Paper_Reference[[#This Row],[Duplicate Key]])</f>
        <v>1</v>
      </c>
    </row>
    <row r="195" spans="1:10">
      <c r="A195" s="7">
        <v>2</v>
      </c>
      <c r="B195" s="8" t="s">
        <v>4711</v>
      </c>
      <c r="C195" s="8" t="s">
        <v>4379</v>
      </c>
      <c r="D195" s="7">
        <v>1</v>
      </c>
      <c r="E195" s="7">
        <v>10</v>
      </c>
      <c r="F195" s="7">
        <v>2</v>
      </c>
      <c r="G195" s="8" t="s">
        <v>4371</v>
      </c>
      <c r="H195" s="8" t="s">
        <v>4372</v>
      </c>
      <c r="I195" s="7" t="str">
        <f>_xlfn.CONCAT(Paper_Reference[[#This Row],[Lvl]:[Paper Description]])</f>
        <v>2D56SE101SD520BLACK 60 X 1441102100DS064-6200BLACK</v>
      </c>
      <c r="J195" s="7">
        <f>COUNTIF(Paper_Reference[Duplicate Key],Paper_Reference[[#This Row],[Duplicate Key]])</f>
        <v>1</v>
      </c>
    </row>
    <row r="196" spans="1:10">
      <c r="A196" s="7">
        <v>2</v>
      </c>
      <c r="B196" s="8" t="s">
        <v>4712</v>
      </c>
      <c r="C196" s="8" t="s">
        <v>4380</v>
      </c>
      <c r="D196" s="7">
        <v>1</v>
      </c>
      <c r="E196" s="7">
        <v>10</v>
      </c>
      <c r="F196" s="7">
        <v>2</v>
      </c>
      <c r="G196" s="8" t="s">
        <v>4371</v>
      </c>
      <c r="H196" s="8" t="s">
        <v>4372</v>
      </c>
      <c r="I196" s="7" t="str">
        <f>_xlfn.CONCAT(Paper_Reference[[#This Row],[Lvl]:[Paper Description]])</f>
        <v>2D56SE101SD580BLACK 60 X 961102100DS064-6200BLACK</v>
      </c>
      <c r="J196" s="7">
        <f>COUNTIF(Paper_Reference[Duplicate Key],Paper_Reference[[#This Row],[Duplicate Key]])</f>
        <v>1</v>
      </c>
    </row>
    <row r="197" spans="1:10">
      <c r="A197" s="7">
        <v>2</v>
      </c>
      <c r="B197" s="8" t="s">
        <v>4713</v>
      </c>
      <c r="C197" s="8" t="s">
        <v>4373</v>
      </c>
      <c r="D197" s="7">
        <v>1</v>
      </c>
      <c r="E197" s="7">
        <v>10</v>
      </c>
      <c r="F197" s="7">
        <v>2</v>
      </c>
      <c r="G197" s="8" t="s">
        <v>4371</v>
      </c>
      <c r="H197" s="8" t="s">
        <v>4372</v>
      </c>
      <c r="I197" s="7" t="str">
        <f>_xlfn.CONCAT(Paper_Reference[[#This Row],[Lvl]:[Paper Description]])</f>
        <v>2D56SE101Z500BLACK 60 X 1201102100DS064-6200BLACK</v>
      </c>
      <c r="J197" s="7">
        <f>COUNTIF(Paper_Reference[Duplicate Key],Paper_Reference[[#This Row],[Duplicate Key]])</f>
        <v>1</v>
      </c>
    </row>
    <row r="198" spans="1:10">
      <c r="A198" s="7">
        <v>2</v>
      </c>
      <c r="B198" s="8" t="s">
        <v>8407</v>
      </c>
      <c r="C198" s="8" t="s">
        <v>8313</v>
      </c>
      <c r="D198" s="7">
        <v>1</v>
      </c>
      <c r="E198" s="7">
        <v>10</v>
      </c>
      <c r="F198" s="7">
        <v>1</v>
      </c>
      <c r="G198" s="8" t="s">
        <v>8302</v>
      </c>
      <c r="H198" s="8" t="s">
        <v>8303</v>
      </c>
      <c r="I198" s="7" t="str">
        <f>_xlfn.CONCAT(Paper_Reference[[#This Row],[Lvl]:[Paper Description]])</f>
        <v>2D57DF112G520WM872/SW813 60 X 1441101100SW813-6200ICE WHITE</v>
      </c>
      <c r="J198" s="7">
        <f>COUNTIF(Paper_Reference[Duplicate Key],Paper_Reference[[#This Row],[Duplicate Key]])</f>
        <v>1</v>
      </c>
    </row>
    <row r="199" spans="1:10">
      <c r="A199" s="7">
        <v>2</v>
      </c>
      <c r="B199" s="8" t="s">
        <v>8408</v>
      </c>
      <c r="C199" s="8" t="s">
        <v>8314</v>
      </c>
      <c r="D199" s="7">
        <v>1</v>
      </c>
      <c r="E199" s="7">
        <v>10</v>
      </c>
      <c r="F199" s="7">
        <v>0.5</v>
      </c>
      <c r="G199" s="8" t="s">
        <v>8302</v>
      </c>
      <c r="H199" s="8" t="s">
        <v>8303</v>
      </c>
      <c r="I199" s="7" t="str">
        <f>_xlfn.CONCAT(Paper_Reference[[#This Row],[Lvl]:[Paper Description]])</f>
        <v>2D57DF118N560WM861/SW813 60 X 721100.5100SW813-6200ICE WHITE</v>
      </c>
      <c r="J199" s="7">
        <f>COUNTIF(Paper_Reference[Duplicate Key],Paper_Reference[[#This Row],[Duplicate Key]])</f>
        <v>1</v>
      </c>
    </row>
    <row r="200" spans="1:10">
      <c r="A200" s="7">
        <v>2</v>
      </c>
      <c r="B200" s="8" t="s">
        <v>8409</v>
      </c>
      <c r="C200" s="8" t="s">
        <v>8315</v>
      </c>
      <c r="D200" s="7">
        <v>1</v>
      </c>
      <c r="E200" s="7">
        <v>10</v>
      </c>
      <c r="F200" s="7">
        <v>1</v>
      </c>
      <c r="G200" s="8" t="s">
        <v>8302</v>
      </c>
      <c r="H200" s="8" t="s">
        <v>8303</v>
      </c>
      <c r="I200" s="7" t="str">
        <f>_xlfn.CONCAT(Paper_Reference[[#This Row],[Lvl]:[Paper Description]])</f>
        <v>2D57DF118N580WM861/SW813 60 X 961101100SW813-6200ICE WHITE</v>
      </c>
      <c r="J200" s="7">
        <f>COUNTIF(Paper_Reference[Duplicate Key],Paper_Reference[[#This Row],[Duplicate Key]])</f>
        <v>1</v>
      </c>
    </row>
    <row r="201" spans="1:10">
      <c r="A201" s="7">
        <v>3</v>
      </c>
      <c r="B201" s="8" t="s">
        <v>4714</v>
      </c>
      <c r="C201" s="8" t="s">
        <v>4405</v>
      </c>
      <c r="D201" s="7">
        <v>1</v>
      </c>
      <c r="E201" s="7">
        <v>55</v>
      </c>
      <c r="F201" s="7">
        <v>0.25</v>
      </c>
      <c r="G201" s="8" t="s">
        <v>4371</v>
      </c>
      <c r="H201" s="8" t="s">
        <v>4372</v>
      </c>
      <c r="I201" s="7" t="str">
        <f>_xlfn.CONCAT(Paper_Reference[[#This Row],[Lvl]:[Paper Description]])</f>
        <v>3D57DF172NSYJSE101/AG111 28 X 601550.25100DS064-6200BLACK</v>
      </c>
      <c r="J201" s="7">
        <f>COUNTIF(Paper_Reference[Duplicate Key],Paper_Reference[[#This Row],[Duplicate Key]])</f>
        <v>1</v>
      </c>
    </row>
    <row r="202" spans="1:10">
      <c r="A202" s="7">
        <v>3</v>
      </c>
      <c r="B202" s="8" t="s">
        <v>4715</v>
      </c>
      <c r="C202" s="8" t="s">
        <v>4406</v>
      </c>
      <c r="D202" s="7">
        <v>1</v>
      </c>
      <c r="E202" s="7">
        <v>55</v>
      </c>
      <c r="F202" s="7">
        <v>0.25</v>
      </c>
      <c r="G202" s="8" t="s">
        <v>4371</v>
      </c>
      <c r="H202" s="8" t="s">
        <v>4372</v>
      </c>
      <c r="I202" s="7" t="str">
        <f>_xlfn.CONCAT(Paper_Reference[[#This Row],[Lvl]:[Paper Description]])</f>
        <v>3D57DF174NSYJMB050/SE101 28 X 601550.25100DS064-6200BLACK</v>
      </c>
      <c r="J202" s="7">
        <f>COUNTIF(Paper_Reference[Duplicate Key],Paper_Reference[[#This Row],[Duplicate Key]])</f>
        <v>1</v>
      </c>
    </row>
    <row r="203" spans="1:10">
      <c r="A203" s="7">
        <v>3</v>
      </c>
      <c r="B203" s="8" t="s">
        <v>4716</v>
      </c>
      <c r="C203" s="8" t="s">
        <v>4407</v>
      </c>
      <c r="D203" s="7">
        <v>1</v>
      </c>
      <c r="E203" s="7">
        <v>55</v>
      </c>
      <c r="F203" s="7">
        <v>0.25</v>
      </c>
      <c r="G203" s="8" t="s">
        <v>4371</v>
      </c>
      <c r="H203" s="8" t="s">
        <v>4372</v>
      </c>
      <c r="I203" s="7" t="str">
        <f>_xlfn.CONCAT(Paper_Reference[[#This Row],[Lvl]:[Paper Description]])</f>
        <v>3D57DF177NSYJAB101/SE101 28 X 601550.25100DS064-6200BLACK</v>
      </c>
      <c r="J203" s="7">
        <f>COUNTIF(Paper_Reference[Duplicate Key],Paper_Reference[[#This Row],[Duplicate Key]])</f>
        <v>1</v>
      </c>
    </row>
    <row r="204" spans="1:10">
      <c r="A204" s="7">
        <v>2</v>
      </c>
      <c r="B204" s="8" t="s">
        <v>8410</v>
      </c>
      <c r="C204" s="8" t="s">
        <v>8304</v>
      </c>
      <c r="D204" s="7">
        <v>1</v>
      </c>
      <c r="E204" s="7">
        <v>10</v>
      </c>
      <c r="F204" s="7">
        <v>2</v>
      </c>
      <c r="G204" s="8" t="s">
        <v>8302</v>
      </c>
      <c r="H204" s="8" t="s">
        <v>8303</v>
      </c>
      <c r="I204" s="7" t="str">
        <f>_xlfn.CONCAT(Paper_Reference[[#This Row],[Lvl]:[Paper Description]])</f>
        <v>2D57SW813N500ICE WHITE 60 X 1201102100SW813-6200ICE WHITE</v>
      </c>
      <c r="J204" s="7">
        <f>COUNTIF(Paper_Reference[Duplicate Key],Paper_Reference[[#This Row],[Duplicate Key]])</f>
        <v>1</v>
      </c>
    </row>
    <row r="205" spans="1:10">
      <c r="A205" s="7">
        <v>2</v>
      </c>
      <c r="B205" s="8" t="s">
        <v>8411</v>
      </c>
      <c r="C205" s="8" t="s">
        <v>8305</v>
      </c>
      <c r="D205" s="7">
        <v>1</v>
      </c>
      <c r="E205" s="7">
        <v>10</v>
      </c>
      <c r="F205" s="7">
        <v>2</v>
      </c>
      <c r="G205" s="8" t="s">
        <v>8302</v>
      </c>
      <c r="H205" s="8" t="s">
        <v>8303</v>
      </c>
      <c r="I205" s="7" t="str">
        <f>_xlfn.CONCAT(Paper_Reference[[#This Row],[Lvl]:[Paper Description]])</f>
        <v>2D57SW813SD520ICE WHITE 60 X 1441102100SW813-6200ICE WHITE</v>
      </c>
      <c r="J205" s="7">
        <f>COUNTIF(Paper_Reference[Duplicate Key],Paper_Reference[[#This Row],[Duplicate Key]])</f>
        <v>1</v>
      </c>
    </row>
    <row r="206" spans="1:10">
      <c r="A206" s="7">
        <v>2</v>
      </c>
      <c r="B206" s="8" t="s">
        <v>3119</v>
      </c>
      <c r="C206" s="8" t="s">
        <v>3088</v>
      </c>
      <c r="D206" s="7">
        <v>1</v>
      </c>
      <c r="E206" s="7">
        <v>10</v>
      </c>
      <c r="F206" s="7">
        <v>2</v>
      </c>
      <c r="G206" s="8" t="s">
        <v>3115</v>
      </c>
      <c r="H206" s="8" t="s">
        <v>3090</v>
      </c>
      <c r="I206" s="7" t="str">
        <f>_xlfn.CONCAT(Paper_Reference[[#This Row],[Lvl]:[Paper Description]])</f>
        <v>2D57WF131SD500VANA 60 X 1201102100WF131-6200VANA</v>
      </c>
      <c r="J206" s="7">
        <f>COUNTIF(Paper_Reference[Duplicate Key],Paper_Reference[[#This Row],[Duplicate Key]])</f>
        <v>1</v>
      </c>
    </row>
    <row r="207" spans="1:10">
      <c r="A207" s="7">
        <v>2</v>
      </c>
      <c r="B207" s="8" t="s">
        <v>3118</v>
      </c>
      <c r="C207" s="8" t="s">
        <v>3088</v>
      </c>
      <c r="D207" s="7">
        <v>1</v>
      </c>
      <c r="E207" s="7">
        <v>10</v>
      </c>
      <c r="F207" s="7">
        <v>2</v>
      </c>
      <c r="G207" s="8" t="s">
        <v>3115</v>
      </c>
      <c r="H207" s="8" t="s">
        <v>3090</v>
      </c>
      <c r="I207" s="7" t="str">
        <f>_xlfn.CONCAT(Paper_Reference[[#This Row],[Lvl]:[Paper Description]])</f>
        <v>2D57WF131SD5002VANA 60 X 1201102100WF131-6200VANA</v>
      </c>
      <c r="J207" s="7">
        <f>COUNTIF(Paper_Reference[Duplicate Key],Paper_Reference[[#This Row],[Duplicate Key]])</f>
        <v>1</v>
      </c>
    </row>
    <row r="208" spans="1:10">
      <c r="A208" s="7">
        <v>2</v>
      </c>
      <c r="B208" s="8" t="s">
        <v>5483</v>
      </c>
      <c r="C208" s="8" t="s">
        <v>5378</v>
      </c>
      <c r="D208" s="7">
        <v>1</v>
      </c>
      <c r="E208" s="7">
        <v>10</v>
      </c>
      <c r="F208" s="7">
        <v>2</v>
      </c>
      <c r="G208" s="8" t="s">
        <v>5373</v>
      </c>
      <c r="H208" s="8" t="s">
        <v>5374</v>
      </c>
      <c r="I208" s="7" t="str">
        <f>_xlfn.CONCAT(Paper_Reference[[#This Row],[Lvl]:[Paper Description]])</f>
        <v>2D57WW971H500GUN SAVOY WALNUT 60 X 1201102100WW971-6200GUN SAVOY WALNUT</v>
      </c>
      <c r="J208" s="7">
        <f>COUNTIF(Paper_Reference[Duplicate Key],Paper_Reference[[#This Row],[Duplicate Key]])</f>
        <v>1</v>
      </c>
    </row>
    <row r="209" spans="1:10">
      <c r="A209" s="7">
        <v>2</v>
      </c>
      <c r="B209" s="8" t="s">
        <v>5485</v>
      </c>
      <c r="C209" s="8" t="s">
        <v>5378</v>
      </c>
      <c r="D209" s="7">
        <v>1</v>
      </c>
      <c r="E209" s="7">
        <v>10</v>
      </c>
      <c r="F209" s="7">
        <v>2</v>
      </c>
      <c r="G209" s="8" t="s">
        <v>5373</v>
      </c>
      <c r="H209" s="8" t="s">
        <v>5374</v>
      </c>
      <c r="I209" s="7" t="str">
        <f>_xlfn.CONCAT(Paper_Reference[[#This Row],[Lvl]:[Paper Description]])</f>
        <v>2D57WW971N500GUN SAVOY WALNUT 60 X 1201102100WW971-6200GUN SAVOY WALNUT</v>
      </c>
      <c r="J209" s="7">
        <f>COUNTIF(Paper_Reference[Duplicate Key],Paper_Reference[[#This Row],[Duplicate Key]])</f>
        <v>1</v>
      </c>
    </row>
    <row r="210" spans="1:10">
      <c r="A210" s="7">
        <v>2</v>
      </c>
      <c r="B210" s="8" t="s">
        <v>5484</v>
      </c>
      <c r="C210" s="8" t="s">
        <v>5378</v>
      </c>
      <c r="D210" s="7">
        <v>1</v>
      </c>
      <c r="E210" s="7">
        <v>10</v>
      </c>
      <c r="F210" s="7">
        <v>2</v>
      </c>
      <c r="G210" s="8" t="s">
        <v>5373</v>
      </c>
      <c r="H210" s="8" t="s">
        <v>5374</v>
      </c>
      <c r="I210" s="7" t="str">
        <f>_xlfn.CONCAT(Paper_Reference[[#This Row],[Lvl]:[Paper Description]])</f>
        <v>2D57WW971N5002GUN SAVOY WALNUT 60 X 1201102100WW971-6200GUN SAVOY WALNUT</v>
      </c>
      <c r="J210" s="7">
        <f>COUNTIF(Paper_Reference[Duplicate Key],Paper_Reference[[#This Row],[Duplicate Key]])</f>
        <v>1</v>
      </c>
    </row>
    <row r="211" spans="1:10">
      <c r="A211" s="7">
        <v>2</v>
      </c>
      <c r="B211" s="8" t="s">
        <v>5486</v>
      </c>
      <c r="C211" s="8" t="s">
        <v>5376</v>
      </c>
      <c r="D211" s="7">
        <v>1</v>
      </c>
      <c r="E211" s="7">
        <v>10</v>
      </c>
      <c r="F211" s="7">
        <v>2</v>
      </c>
      <c r="G211" s="8" t="s">
        <v>5373</v>
      </c>
      <c r="H211" s="8" t="s">
        <v>5374</v>
      </c>
      <c r="I211" s="7" t="str">
        <f>_xlfn.CONCAT(Paper_Reference[[#This Row],[Lvl]:[Paper Description]])</f>
        <v>2D57WW971N520GUN SAVOY WALNUT 60 X 1441102100WW971-6200GUN SAVOY WALNUT</v>
      </c>
      <c r="J211" s="7">
        <f>COUNTIF(Paper_Reference[Duplicate Key],Paper_Reference[[#This Row],[Duplicate Key]])</f>
        <v>1</v>
      </c>
    </row>
    <row r="212" spans="1:10">
      <c r="A212" s="7">
        <v>2</v>
      </c>
      <c r="B212" s="8" t="s">
        <v>5487</v>
      </c>
      <c r="C212" s="8" t="s">
        <v>5378</v>
      </c>
      <c r="D212" s="7">
        <v>1</v>
      </c>
      <c r="E212" s="7">
        <v>10</v>
      </c>
      <c r="F212" s="7">
        <v>2</v>
      </c>
      <c r="G212" s="8" t="s">
        <v>5373</v>
      </c>
      <c r="H212" s="8" t="s">
        <v>5374</v>
      </c>
      <c r="I212" s="7" t="str">
        <f>_xlfn.CONCAT(Paper_Reference[[#This Row],[Lvl]:[Paper Description]])</f>
        <v>2D57WW971SD500GUN SAVOY WALNUT 60 X 1201102100WW971-6200GUN SAVOY WALNUT</v>
      </c>
      <c r="J212" s="7">
        <f>COUNTIF(Paper_Reference[Duplicate Key],Paper_Reference[[#This Row],[Duplicate Key]])</f>
        <v>1</v>
      </c>
    </row>
    <row r="213" spans="1:10">
      <c r="A213" s="7">
        <v>2</v>
      </c>
      <c r="B213" s="8" t="s">
        <v>5488</v>
      </c>
      <c r="C213" s="8" t="s">
        <v>5376</v>
      </c>
      <c r="D213" s="7">
        <v>1</v>
      </c>
      <c r="E213" s="7">
        <v>10</v>
      </c>
      <c r="F213" s="7">
        <v>2</v>
      </c>
      <c r="G213" s="8" t="s">
        <v>5373</v>
      </c>
      <c r="H213" s="8" t="s">
        <v>5374</v>
      </c>
      <c r="I213" s="7" t="str">
        <f>_xlfn.CONCAT(Paper_Reference[[#This Row],[Lvl]:[Paper Description]])</f>
        <v>2D57WW971SD520GUN SAVOY WALNUT 60 X 1441102100WW971-6200GUN SAVOY WALNUT</v>
      </c>
      <c r="J213" s="7">
        <f>COUNTIF(Paper_Reference[Duplicate Key],Paper_Reference[[#This Row],[Duplicate Key]])</f>
        <v>1</v>
      </c>
    </row>
    <row r="214" spans="1:10">
      <c r="A214" s="7">
        <v>2</v>
      </c>
      <c r="B214" s="8" t="s">
        <v>4717</v>
      </c>
      <c r="C214" s="8" t="s">
        <v>4373</v>
      </c>
      <c r="D214" s="7">
        <v>1</v>
      </c>
      <c r="E214" s="7">
        <v>10</v>
      </c>
      <c r="F214" s="7">
        <v>2</v>
      </c>
      <c r="G214" s="8" t="s">
        <v>4371</v>
      </c>
      <c r="H214" s="8" t="s">
        <v>4372</v>
      </c>
      <c r="I214" s="7" t="str">
        <f>_xlfn.CONCAT(Paper_Reference[[#This Row],[Lvl]:[Paper Description]])</f>
        <v>2D68SE101CR5002BLACK 60 X 1201102100DS064-6200BLACK</v>
      </c>
      <c r="J214" s="7">
        <f>COUNTIF(Paper_Reference[Duplicate Key],Paper_Reference[[#This Row],[Duplicate Key]])</f>
        <v>1</v>
      </c>
    </row>
    <row r="215" spans="1:10">
      <c r="A215" s="7">
        <v>2</v>
      </c>
      <c r="B215" s="8" t="s">
        <v>4718</v>
      </c>
      <c r="C215" s="8" t="s">
        <v>4379</v>
      </c>
      <c r="D215" s="7">
        <v>1</v>
      </c>
      <c r="E215" s="7">
        <v>10</v>
      </c>
      <c r="F215" s="7">
        <v>2</v>
      </c>
      <c r="G215" s="8" t="s">
        <v>4371</v>
      </c>
      <c r="H215" s="8" t="s">
        <v>4372</v>
      </c>
      <c r="I215" s="7" t="str">
        <f>_xlfn.CONCAT(Paper_Reference[[#This Row],[Lvl]:[Paper Description]])</f>
        <v>2D68SE101CR520BLACK 60 X 1441102100DS064-6200BLACK</v>
      </c>
      <c r="J215" s="7">
        <f>COUNTIF(Paper_Reference[Duplicate Key],Paper_Reference[[#This Row],[Duplicate Key]])</f>
        <v>1</v>
      </c>
    </row>
    <row r="216" spans="1:10">
      <c r="A216" s="7">
        <v>2</v>
      </c>
      <c r="B216" s="8" t="s">
        <v>4719</v>
      </c>
      <c r="C216" s="8" t="s">
        <v>4373</v>
      </c>
      <c r="D216" s="7">
        <v>1</v>
      </c>
      <c r="E216" s="7">
        <v>10</v>
      </c>
      <c r="F216" s="7">
        <v>2</v>
      </c>
      <c r="G216" s="8" t="s">
        <v>4371</v>
      </c>
      <c r="H216" s="8" t="s">
        <v>4372</v>
      </c>
      <c r="I216" s="7" t="str">
        <f>_xlfn.CONCAT(Paper_Reference[[#This Row],[Lvl]:[Paper Description]])</f>
        <v>2D68SE101E5002BLACK 60 X 1201102100DS064-6200BLACK</v>
      </c>
      <c r="J216" s="7">
        <f>COUNTIF(Paper_Reference[Duplicate Key],Paper_Reference[[#This Row],[Duplicate Key]])</f>
        <v>1</v>
      </c>
    </row>
    <row r="217" spans="1:10">
      <c r="A217" s="7">
        <v>2</v>
      </c>
      <c r="B217" s="8" t="s">
        <v>4720</v>
      </c>
      <c r="C217" s="8" t="s">
        <v>4379</v>
      </c>
      <c r="D217" s="7">
        <v>1</v>
      </c>
      <c r="E217" s="7">
        <v>10</v>
      </c>
      <c r="F217" s="7">
        <v>2</v>
      </c>
      <c r="G217" s="8" t="s">
        <v>4371</v>
      </c>
      <c r="H217" s="8" t="s">
        <v>4372</v>
      </c>
      <c r="I217" s="7" t="str">
        <f>_xlfn.CONCAT(Paper_Reference[[#This Row],[Lvl]:[Paper Description]])</f>
        <v>2D68SE101E5202BLACK 60 X 1441102100DS064-6200BLACK</v>
      </c>
      <c r="J217" s="7">
        <f>COUNTIF(Paper_Reference[Duplicate Key],Paper_Reference[[#This Row],[Duplicate Key]])</f>
        <v>1</v>
      </c>
    </row>
    <row r="218" spans="1:10">
      <c r="A218" s="7">
        <v>2</v>
      </c>
      <c r="B218" s="8" t="s">
        <v>4721</v>
      </c>
      <c r="C218" s="8" t="s">
        <v>4380</v>
      </c>
      <c r="D218" s="7">
        <v>1</v>
      </c>
      <c r="E218" s="7">
        <v>10</v>
      </c>
      <c r="F218" s="7">
        <v>2</v>
      </c>
      <c r="G218" s="8" t="s">
        <v>4371</v>
      </c>
      <c r="H218" s="8" t="s">
        <v>4372</v>
      </c>
      <c r="I218" s="7" t="str">
        <f>_xlfn.CONCAT(Paper_Reference[[#This Row],[Lvl]:[Paper Description]])</f>
        <v>2D68SE101G580BLACK 60 X 961102100DS064-6200BLACK</v>
      </c>
      <c r="J218" s="7">
        <f>COUNTIF(Paper_Reference[Duplicate Key],Paper_Reference[[#This Row],[Duplicate Key]])</f>
        <v>1</v>
      </c>
    </row>
    <row r="219" spans="1:10">
      <c r="A219" s="7">
        <v>2</v>
      </c>
      <c r="B219" s="8" t="s">
        <v>4722</v>
      </c>
      <c r="C219" s="8" t="s">
        <v>4373</v>
      </c>
      <c r="D219" s="7">
        <v>1</v>
      </c>
      <c r="E219" s="7">
        <v>10</v>
      </c>
      <c r="F219" s="7">
        <v>2</v>
      </c>
      <c r="G219" s="8" t="s">
        <v>4371</v>
      </c>
      <c r="H219" s="8" t="s">
        <v>4372</v>
      </c>
      <c r="I219" s="7" t="str">
        <f>_xlfn.CONCAT(Paper_Reference[[#This Row],[Lvl]:[Paper Description]])</f>
        <v>2D68SE101J500BLACK 60 X 1201102100DS064-6200BLACK</v>
      </c>
      <c r="J219" s="7">
        <f>COUNTIF(Paper_Reference[Duplicate Key],Paper_Reference[[#This Row],[Duplicate Key]])</f>
        <v>1</v>
      </c>
    </row>
    <row r="220" spans="1:10">
      <c r="A220" s="7">
        <v>2</v>
      </c>
      <c r="B220" s="8" t="s">
        <v>4723</v>
      </c>
      <c r="C220" s="8" t="s">
        <v>4379</v>
      </c>
      <c r="D220" s="7">
        <v>1</v>
      </c>
      <c r="E220" s="7">
        <v>10</v>
      </c>
      <c r="F220" s="7">
        <v>2</v>
      </c>
      <c r="G220" s="8" t="s">
        <v>4371</v>
      </c>
      <c r="H220" s="8" t="s">
        <v>4372</v>
      </c>
      <c r="I220" s="7" t="str">
        <f>_xlfn.CONCAT(Paper_Reference[[#This Row],[Lvl]:[Paper Description]])</f>
        <v>2D68SE101J520BLACK 60 X 1441102100DS064-6200BLACK</v>
      </c>
      <c r="J220" s="7">
        <f>COUNTIF(Paper_Reference[Duplicate Key],Paper_Reference[[#This Row],[Duplicate Key]])</f>
        <v>1</v>
      </c>
    </row>
    <row r="221" spans="1:10">
      <c r="A221" s="7">
        <v>2</v>
      </c>
      <c r="B221" s="8" t="s">
        <v>4724</v>
      </c>
      <c r="C221" s="8" t="s">
        <v>4373</v>
      </c>
      <c r="D221" s="7">
        <v>1</v>
      </c>
      <c r="E221" s="7">
        <v>10</v>
      </c>
      <c r="F221" s="7">
        <v>2</v>
      </c>
      <c r="G221" s="8" t="s">
        <v>4371</v>
      </c>
      <c r="H221" s="8" t="s">
        <v>4372</v>
      </c>
      <c r="I221" s="7" t="str">
        <f>_xlfn.CONCAT(Paper_Reference[[#This Row],[Lvl]:[Paper Description]])</f>
        <v>2D68SE101M500BLACK 60 X 1201102100DS064-6200BLACK</v>
      </c>
      <c r="J221" s="7">
        <f>COUNTIF(Paper_Reference[Duplicate Key],Paper_Reference[[#This Row],[Duplicate Key]])</f>
        <v>1</v>
      </c>
    </row>
    <row r="222" spans="1:10">
      <c r="A222" s="7">
        <v>2</v>
      </c>
      <c r="B222" s="8" t="s">
        <v>4725</v>
      </c>
      <c r="C222" s="8" t="s">
        <v>4379</v>
      </c>
      <c r="D222" s="7">
        <v>1</v>
      </c>
      <c r="E222" s="7">
        <v>10</v>
      </c>
      <c r="F222" s="7">
        <v>2</v>
      </c>
      <c r="G222" s="8" t="s">
        <v>4371</v>
      </c>
      <c r="H222" s="8" t="s">
        <v>4372</v>
      </c>
      <c r="I222" s="7" t="str">
        <f>_xlfn.CONCAT(Paper_Reference[[#This Row],[Lvl]:[Paper Description]])</f>
        <v>2D68SE101M520BLACK 60 X 1441102100DS064-6200BLACK</v>
      </c>
      <c r="J222" s="7">
        <f>COUNTIF(Paper_Reference[Duplicate Key],Paper_Reference[[#This Row],[Duplicate Key]])</f>
        <v>1</v>
      </c>
    </row>
    <row r="223" spans="1:10">
      <c r="A223" s="7">
        <v>2</v>
      </c>
      <c r="B223" s="8" t="s">
        <v>4726</v>
      </c>
      <c r="C223" s="8" t="s">
        <v>4380</v>
      </c>
      <c r="D223" s="7">
        <v>1</v>
      </c>
      <c r="E223" s="7">
        <v>10</v>
      </c>
      <c r="F223" s="7">
        <v>2</v>
      </c>
      <c r="G223" s="8" t="s">
        <v>4371</v>
      </c>
      <c r="H223" s="8" t="s">
        <v>4372</v>
      </c>
      <c r="I223" s="7" t="str">
        <f>_xlfn.CONCAT(Paper_Reference[[#This Row],[Lvl]:[Paper Description]])</f>
        <v>2D68SE101M580BLACK 60 X 961102100DS064-6200BLACK</v>
      </c>
      <c r="J223" s="7">
        <f>COUNTIF(Paper_Reference[Duplicate Key],Paper_Reference[[#This Row],[Duplicate Key]])</f>
        <v>1</v>
      </c>
    </row>
    <row r="224" spans="1:10">
      <c r="A224" s="7">
        <v>2</v>
      </c>
      <c r="B224" s="8" t="s">
        <v>4727</v>
      </c>
      <c r="C224" s="8" t="s">
        <v>4378</v>
      </c>
      <c r="D224" s="7">
        <v>1</v>
      </c>
      <c r="E224" s="7">
        <v>10</v>
      </c>
      <c r="F224" s="7">
        <v>1</v>
      </c>
      <c r="G224" s="8" t="s">
        <v>4371</v>
      </c>
      <c r="H224" s="8" t="s">
        <v>4372</v>
      </c>
      <c r="I224" s="7" t="str">
        <f>_xlfn.CONCAT(Paper_Reference[[#This Row],[Lvl]:[Paper Description]])</f>
        <v>2D68SE101N020BLACK 30 X 1441101100DS064-6200BLACK</v>
      </c>
      <c r="J224" s="7">
        <f>COUNTIF(Paper_Reference[Duplicate Key],Paper_Reference[[#This Row],[Duplicate Key]])</f>
        <v>1</v>
      </c>
    </row>
    <row r="225" spans="1:10">
      <c r="A225" s="7">
        <v>2</v>
      </c>
      <c r="B225" s="8" t="s">
        <v>4728</v>
      </c>
      <c r="C225" s="8" t="s">
        <v>4400</v>
      </c>
      <c r="D225" s="7">
        <v>1</v>
      </c>
      <c r="E225" s="7">
        <v>10</v>
      </c>
      <c r="F225" s="7">
        <v>1</v>
      </c>
      <c r="G225" s="8" t="s">
        <v>4371</v>
      </c>
      <c r="H225" s="8" t="s">
        <v>4372</v>
      </c>
      <c r="I225" s="7" t="str">
        <f>_xlfn.CONCAT(Paper_Reference[[#This Row],[Lvl]:[Paper Description]])</f>
        <v>2D68SE101N080BLACK 30 X 961101100DS064-6200BLACK</v>
      </c>
      <c r="J225" s="7">
        <f>COUNTIF(Paper_Reference[Duplicate Key],Paper_Reference[[#This Row],[Duplicate Key]])</f>
        <v>1</v>
      </c>
    </row>
    <row r="226" spans="1:10">
      <c r="A226" s="7">
        <v>2</v>
      </c>
      <c r="B226" s="8" t="s">
        <v>4729</v>
      </c>
      <c r="C226" s="8" t="s">
        <v>4373</v>
      </c>
      <c r="D226" s="7">
        <v>1</v>
      </c>
      <c r="E226" s="7">
        <v>10</v>
      </c>
      <c r="F226" s="7">
        <v>2</v>
      </c>
      <c r="G226" s="8" t="s">
        <v>4371</v>
      </c>
      <c r="H226" s="8" t="s">
        <v>4372</v>
      </c>
      <c r="I226" s="7" t="str">
        <f>_xlfn.CONCAT(Paper_Reference[[#This Row],[Lvl]:[Paper Description]])</f>
        <v>2D68SE101N5001BLACK 60 X 1201102100DS064-6200BLACK</v>
      </c>
      <c r="J226" s="7">
        <f>COUNTIF(Paper_Reference[Duplicate Key],Paper_Reference[[#This Row],[Duplicate Key]])</f>
        <v>1</v>
      </c>
    </row>
    <row r="227" spans="1:10">
      <c r="A227" s="7">
        <v>2</v>
      </c>
      <c r="B227" s="8" t="s">
        <v>4732</v>
      </c>
      <c r="C227" s="8" t="s">
        <v>4379</v>
      </c>
      <c r="D227" s="7">
        <v>1</v>
      </c>
      <c r="E227" s="7">
        <v>10</v>
      </c>
      <c r="F227" s="7">
        <v>2</v>
      </c>
      <c r="G227" s="8" t="s">
        <v>4371</v>
      </c>
      <c r="H227" s="8" t="s">
        <v>4372</v>
      </c>
      <c r="I227" s="7" t="str">
        <f>_xlfn.CONCAT(Paper_Reference[[#This Row],[Lvl]:[Paper Description]])</f>
        <v>2D68SE101N520BLACK 60 X 1441102100DS064-6200BLACK</v>
      </c>
      <c r="J227" s="7">
        <f>COUNTIF(Paper_Reference[Duplicate Key],Paper_Reference[[#This Row],[Duplicate Key]])</f>
        <v>1</v>
      </c>
    </row>
    <row r="228" spans="1:10">
      <c r="A228" s="7">
        <v>2</v>
      </c>
      <c r="B228" s="8" t="s">
        <v>4730</v>
      </c>
      <c r="C228" s="8" t="s">
        <v>4379</v>
      </c>
      <c r="D228" s="7">
        <v>1</v>
      </c>
      <c r="E228" s="7">
        <v>10</v>
      </c>
      <c r="F228" s="7">
        <v>2</v>
      </c>
      <c r="G228" s="8" t="s">
        <v>4371</v>
      </c>
      <c r="H228" s="8" t="s">
        <v>4372</v>
      </c>
      <c r="I228" s="7" t="str">
        <f>_xlfn.CONCAT(Paper_Reference[[#This Row],[Lvl]:[Paper Description]])</f>
        <v>2D68SE101N5201BLACK 60 X 1441102100DS064-6200BLACK</v>
      </c>
      <c r="J228" s="7">
        <f>COUNTIF(Paper_Reference[Duplicate Key],Paper_Reference[[#This Row],[Duplicate Key]])</f>
        <v>1</v>
      </c>
    </row>
    <row r="229" spans="1:10">
      <c r="A229" s="7">
        <v>2</v>
      </c>
      <c r="B229" s="8" t="s">
        <v>4731</v>
      </c>
      <c r="C229" s="8" t="s">
        <v>4379</v>
      </c>
      <c r="D229" s="7">
        <v>1</v>
      </c>
      <c r="E229" s="7">
        <v>10</v>
      </c>
      <c r="F229" s="7">
        <v>2</v>
      </c>
      <c r="G229" s="8" t="s">
        <v>4371</v>
      </c>
      <c r="H229" s="8" t="s">
        <v>4372</v>
      </c>
      <c r="I229" s="7" t="str">
        <f>_xlfn.CONCAT(Paper_Reference[[#This Row],[Lvl]:[Paper Description]])</f>
        <v>2D68SE101N5202BLACK 60 X 1441102100DS064-6200BLACK</v>
      </c>
      <c r="J229" s="7">
        <f>COUNTIF(Paper_Reference[Duplicate Key],Paper_Reference[[#This Row],[Duplicate Key]])</f>
        <v>1</v>
      </c>
    </row>
    <row r="230" spans="1:10">
      <c r="A230" s="7">
        <v>2</v>
      </c>
      <c r="B230" s="8" t="s">
        <v>4734</v>
      </c>
      <c r="C230" s="8" t="s">
        <v>4380</v>
      </c>
      <c r="D230" s="7">
        <v>1</v>
      </c>
      <c r="E230" s="7">
        <v>10</v>
      </c>
      <c r="F230" s="7">
        <v>2</v>
      </c>
      <c r="G230" s="8" t="s">
        <v>4371</v>
      </c>
      <c r="H230" s="8" t="s">
        <v>4372</v>
      </c>
      <c r="I230" s="7" t="str">
        <f>_xlfn.CONCAT(Paper_Reference[[#This Row],[Lvl]:[Paper Description]])</f>
        <v>2D68SE101N580BLACK 60 X 961102100DS064-6200BLACK</v>
      </c>
      <c r="J230" s="7">
        <f>COUNTIF(Paper_Reference[Duplicate Key],Paper_Reference[[#This Row],[Duplicate Key]])</f>
        <v>1</v>
      </c>
    </row>
    <row r="231" spans="1:10">
      <c r="A231" s="7">
        <v>2</v>
      </c>
      <c r="B231" s="8" t="s">
        <v>4733</v>
      </c>
      <c r="C231" s="8" t="s">
        <v>4380</v>
      </c>
      <c r="D231" s="7">
        <v>1</v>
      </c>
      <c r="E231" s="7">
        <v>10</v>
      </c>
      <c r="F231" s="7">
        <v>2</v>
      </c>
      <c r="G231" s="8" t="s">
        <v>4371</v>
      </c>
      <c r="H231" s="8" t="s">
        <v>4372</v>
      </c>
      <c r="I231" s="7" t="str">
        <f>_xlfn.CONCAT(Paper_Reference[[#This Row],[Lvl]:[Paper Description]])</f>
        <v>2D68SE101N5802BLACK 60 X 961102100DS064-6200BLACK</v>
      </c>
      <c r="J231" s="7">
        <f>COUNTIF(Paper_Reference[Duplicate Key],Paper_Reference[[#This Row],[Duplicate Key]])</f>
        <v>1</v>
      </c>
    </row>
    <row r="232" spans="1:10">
      <c r="A232" s="7">
        <v>2</v>
      </c>
      <c r="B232" s="8" t="s">
        <v>4736</v>
      </c>
      <c r="C232" s="8" t="s">
        <v>4408</v>
      </c>
      <c r="D232" s="7">
        <v>1</v>
      </c>
      <c r="E232" s="7">
        <v>10</v>
      </c>
      <c r="F232" s="7">
        <v>2</v>
      </c>
      <c r="G232" s="8" t="s">
        <v>4371</v>
      </c>
      <c r="H232" s="8" t="s">
        <v>4372</v>
      </c>
      <c r="I232" s="7" t="str">
        <f>_xlfn.CONCAT(Paper_Reference[[#This Row],[Lvl]:[Paper Description]])</f>
        <v>2D68SE101NJPWBLACK 60 1/2 X 961102100DS064-6200BLACK</v>
      </c>
      <c r="J232" s="7">
        <f>COUNTIF(Paper_Reference[Duplicate Key],Paper_Reference[[#This Row],[Duplicate Key]])</f>
        <v>1</v>
      </c>
    </row>
    <row r="233" spans="1:10">
      <c r="A233" s="7">
        <v>2</v>
      </c>
      <c r="B233" s="8" t="s">
        <v>4735</v>
      </c>
      <c r="C233" s="8" t="s">
        <v>4408</v>
      </c>
      <c r="D233" s="7">
        <v>1</v>
      </c>
      <c r="E233" s="7">
        <v>10</v>
      </c>
      <c r="F233" s="7">
        <v>2</v>
      </c>
      <c r="G233" s="8" t="s">
        <v>4371</v>
      </c>
      <c r="H233" s="8" t="s">
        <v>4372</v>
      </c>
      <c r="I233" s="7" t="str">
        <f>_xlfn.CONCAT(Paper_Reference[[#This Row],[Lvl]:[Paper Description]])</f>
        <v>2D68SE101NJPW2BLACK 60 1/2 X 961102100DS064-6200BLACK</v>
      </c>
      <c r="J233" s="7">
        <f>COUNTIF(Paper_Reference[Duplicate Key],Paper_Reference[[#This Row],[Duplicate Key]])</f>
        <v>1</v>
      </c>
    </row>
    <row r="234" spans="1:10">
      <c r="A234" s="7">
        <v>3</v>
      </c>
      <c r="B234" s="8" t="s">
        <v>4737</v>
      </c>
      <c r="C234" s="8" t="s">
        <v>4395</v>
      </c>
      <c r="D234" s="7">
        <v>1</v>
      </c>
      <c r="E234" s="7">
        <v>55</v>
      </c>
      <c r="F234" s="7">
        <v>0.25</v>
      </c>
      <c r="G234" s="8" t="s">
        <v>4371</v>
      </c>
      <c r="H234" s="8" t="s">
        <v>4372</v>
      </c>
      <c r="I234" s="7" t="str">
        <f>_xlfn.CONCAT(Paper_Reference[[#This Row],[Lvl]:[Paper Description]])</f>
        <v>3D68SE101NRFCBLACK 30 X 601550.25100DS064-6200BLACK</v>
      </c>
      <c r="J234" s="7">
        <f>COUNTIF(Paper_Reference[Duplicate Key],Paper_Reference[[#This Row],[Duplicate Key]])</f>
        <v>1</v>
      </c>
    </row>
    <row r="235" spans="1:10">
      <c r="A235" s="7">
        <v>2</v>
      </c>
      <c r="B235" s="8" t="s">
        <v>4738</v>
      </c>
      <c r="C235" s="8" t="s">
        <v>4379</v>
      </c>
      <c r="D235" s="7">
        <v>1</v>
      </c>
      <c r="E235" s="7">
        <v>10</v>
      </c>
      <c r="F235" s="7">
        <v>2</v>
      </c>
      <c r="G235" s="8" t="s">
        <v>4371</v>
      </c>
      <c r="H235" s="8" t="s">
        <v>4372</v>
      </c>
      <c r="I235" s="7" t="str">
        <f>_xlfn.CONCAT(Paper_Reference[[#This Row],[Lvl]:[Paper Description]])</f>
        <v>2D68SE101P520BLACK 60 X 1441102100DS064-6200BLACK</v>
      </c>
      <c r="J235" s="7">
        <f>COUNTIF(Paper_Reference[Duplicate Key],Paper_Reference[[#This Row],[Duplicate Key]])</f>
        <v>1</v>
      </c>
    </row>
    <row r="236" spans="1:10">
      <c r="A236" s="7">
        <v>2</v>
      </c>
      <c r="B236" s="8" t="s">
        <v>4739</v>
      </c>
      <c r="C236" s="8" t="s">
        <v>4373</v>
      </c>
      <c r="D236" s="7">
        <v>1</v>
      </c>
      <c r="E236" s="7">
        <v>10</v>
      </c>
      <c r="F236" s="7">
        <v>2</v>
      </c>
      <c r="G236" s="8" t="s">
        <v>4371</v>
      </c>
      <c r="H236" s="8" t="s">
        <v>4372</v>
      </c>
      <c r="I236" s="7" t="str">
        <f>_xlfn.CONCAT(Paper_Reference[[#This Row],[Lvl]:[Paper Description]])</f>
        <v>2D68SE101SD5002BLACK 60 X 1201102100DS064-6200BLACK</v>
      </c>
      <c r="J236" s="7">
        <f>COUNTIF(Paper_Reference[Duplicate Key],Paper_Reference[[#This Row],[Duplicate Key]])</f>
        <v>1</v>
      </c>
    </row>
    <row r="237" spans="1:10">
      <c r="A237" s="7">
        <v>2</v>
      </c>
      <c r="B237" s="8" t="s">
        <v>4742</v>
      </c>
      <c r="C237" s="8" t="s">
        <v>4379</v>
      </c>
      <c r="D237" s="7">
        <v>1</v>
      </c>
      <c r="E237" s="7">
        <v>10</v>
      </c>
      <c r="F237" s="7">
        <v>2</v>
      </c>
      <c r="G237" s="8" t="s">
        <v>4371</v>
      </c>
      <c r="H237" s="8" t="s">
        <v>4372</v>
      </c>
      <c r="I237" s="7" t="str">
        <f>_xlfn.CONCAT(Paper_Reference[[#This Row],[Lvl]:[Paper Description]])</f>
        <v>2D68SE101SD520BLACK 60 X 1441102100DS064-6200BLACK</v>
      </c>
      <c r="J237" s="7">
        <f>COUNTIF(Paper_Reference[Duplicate Key],Paper_Reference[[#This Row],[Duplicate Key]])</f>
        <v>1</v>
      </c>
    </row>
    <row r="238" spans="1:10">
      <c r="A238" s="7">
        <v>2</v>
      </c>
      <c r="B238" s="8" t="s">
        <v>4740</v>
      </c>
      <c r="C238" s="8" t="s">
        <v>4379</v>
      </c>
      <c r="D238" s="7">
        <v>1</v>
      </c>
      <c r="E238" s="7">
        <v>10</v>
      </c>
      <c r="F238" s="7">
        <v>2</v>
      </c>
      <c r="G238" s="8" t="s">
        <v>4371</v>
      </c>
      <c r="H238" s="8" t="s">
        <v>4372</v>
      </c>
      <c r="I238" s="7" t="str">
        <f>_xlfn.CONCAT(Paper_Reference[[#This Row],[Lvl]:[Paper Description]])</f>
        <v>2D68SE101SD5201BLACK 60 X 1441102100DS064-6200BLACK</v>
      </c>
      <c r="J238" s="7">
        <f>COUNTIF(Paper_Reference[Duplicate Key],Paper_Reference[[#This Row],[Duplicate Key]])</f>
        <v>1</v>
      </c>
    </row>
    <row r="239" spans="1:10">
      <c r="A239" s="7">
        <v>2</v>
      </c>
      <c r="B239" s="8" t="s">
        <v>4741</v>
      </c>
      <c r="C239" s="8" t="s">
        <v>4379</v>
      </c>
      <c r="D239" s="7">
        <v>1</v>
      </c>
      <c r="E239" s="7">
        <v>10</v>
      </c>
      <c r="F239" s="7">
        <v>2</v>
      </c>
      <c r="G239" s="8" t="s">
        <v>4371</v>
      </c>
      <c r="H239" s="8" t="s">
        <v>4372</v>
      </c>
      <c r="I239" s="7" t="str">
        <f>_xlfn.CONCAT(Paper_Reference[[#This Row],[Lvl]:[Paper Description]])</f>
        <v>2D68SE101SD5202BLACK 60 X 1441102100DS064-6200BLACK</v>
      </c>
      <c r="J239" s="7">
        <f>COUNTIF(Paper_Reference[Duplicate Key],Paper_Reference[[#This Row],[Duplicate Key]])</f>
        <v>1</v>
      </c>
    </row>
    <row r="240" spans="1:10">
      <c r="A240" s="7">
        <v>2</v>
      </c>
      <c r="B240" s="8" t="s">
        <v>4744</v>
      </c>
      <c r="C240" s="8" t="s">
        <v>4380</v>
      </c>
      <c r="D240" s="7">
        <v>1</v>
      </c>
      <c r="E240" s="7">
        <v>10</v>
      </c>
      <c r="F240" s="7">
        <v>2</v>
      </c>
      <c r="G240" s="8" t="s">
        <v>4371</v>
      </c>
      <c r="H240" s="8" t="s">
        <v>4372</v>
      </c>
      <c r="I240" s="7" t="str">
        <f>_xlfn.CONCAT(Paper_Reference[[#This Row],[Lvl]:[Paper Description]])</f>
        <v>2D68SE101SD580BLACK 60 X 961102100DS064-6200BLACK</v>
      </c>
      <c r="J240" s="7">
        <f>COUNTIF(Paper_Reference[Duplicate Key],Paper_Reference[[#This Row],[Duplicate Key]])</f>
        <v>1</v>
      </c>
    </row>
    <row r="241" spans="1:10">
      <c r="A241" s="7">
        <v>2</v>
      </c>
      <c r="B241" s="8" t="s">
        <v>4743</v>
      </c>
      <c r="C241" s="8" t="s">
        <v>4380</v>
      </c>
      <c r="D241" s="7">
        <v>1</v>
      </c>
      <c r="E241" s="7">
        <v>10</v>
      </c>
      <c r="F241" s="7">
        <v>2</v>
      </c>
      <c r="G241" s="8" t="s">
        <v>4371</v>
      </c>
      <c r="H241" s="8" t="s">
        <v>4372</v>
      </c>
      <c r="I241" s="7" t="str">
        <f>_xlfn.CONCAT(Paper_Reference[[#This Row],[Lvl]:[Paper Description]])</f>
        <v>2D68SE101SD5802BLACK 60 X 961102100DS064-6200BLACK</v>
      </c>
      <c r="J241" s="7">
        <f>COUNTIF(Paper_Reference[Duplicate Key],Paper_Reference[[#This Row],[Duplicate Key]])</f>
        <v>1</v>
      </c>
    </row>
    <row r="242" spans="1:10">
      <c r="A242" s="7">
        <v>2</v>
      </c>
      <c r="B242" s="8" t="s">
        <v>4745</v>
      </c>
      <c r="C242" s="8" t="s">
        <v>4409</v>
      </c>
      <c r="D242" s="7">
        <v>1</v>
      </c>
      <c r="E242" s="7">
        <v>10</v>
      </c>
      <c r="F242" s="7">
        <v>2</v>
      </c>
      <c r="G242" s="8" t="s">
        <v>4371</v>
      </c>
      <c r="H242" s="8" t="s">
        <v>4372</v>
      </c>
      <c r="I242" s="7" t="str">
        <f>_xlfn.CONCAT(Paper_Reference[[#This Row],[Lvl]:[Paper Description]])</f>
        <v>2D68SE101SDCMT2BLACK 61 X 1211102100DS064-6200BLACK</v>
      </c>
      <c r="J242" s="7">
        <f>COUNTIF(Paper_Reference[Duplicate Key],Paper_Reference[[#This Row],[Duplicate Key]])</f>
        <v>1</v>
      </c>
    </row>
    <row r="243" spans="1:10">
      <c r="A243" s="7">
        <v>2</v>
      </c>
      <c r="B243" s="8" t="s">
        <v>4746</v>
      </c>
      <c r="C243" s="8" t="s">
        <v>4408</v>
      </c>
      <c r="D243" s="7">
        <v>1</v>
      </c>
      <c r="E243" s="7">
        <v>10</v>
      </c>
      <c r="F243" s="7">
        <v>2</v>
      </c>
      <c r="G243" s="8" t="s">
        <v>4371</v>
      </c>
      <c r="H243" s="8" t="s">
        <v>4372</v>
      </c>
      <c r="I243" s="7" t="str">
        <f>_xlfn.CONCAT(Paper_Reference[[#This Row],[Lvl]:[Paper Description]])</f>
        <v>2D68SE101SDJPW2BLACK 60 1/2 X 961102100DS064-6200BLACK</v>
      </c>
      <c r="J243" s="7">
        <f>COUNTIF(Paper_Reference[Duplicate Key],Paper_Reference[[#This Row],[Duplicate Key]])</f>
        <v>1</v>
      </c>
    </row>
    <row r="244" spans="1:10">
      <c r="A244" s="7">
        <v>3</v>
      </c>
      <c r="B244" s="8" t="s">
        <v>4747</v>
      </c>
      <c r="C244" s="8" t="s">
        <v>4395</v>
      </c>
      <c r="D244" s="7">
        <v>1</v>
      </c>
      <c r="E244" s="7">
        <v>55</v>
      </c>
      <c r="F244" s="7">
        <v>0.25</v>
      </c>
      <c r="G244" s="8" t="s">
        <v>4371</v>
      </c>
      <c r="H244" s="8" t="s">
        <v>4372</v>
      </c>
      <c r="I244" s="7" t="str">
        <f>_xlfn.CONCAT(Paper_Reference[[#This Row],[Lvl]:[Paper Description]])</f>
        <v>3D68SE101SDRFCBLACK 30 X 601550.25100DS064-6200BLACK</v>
      </c>
      <c r="J244" s="7">
        <f>COUNTIF(Paper_Reference[Duplicate Key],Paper_Reference[[#This Row],[Duplicate Key]])</f>
        <v>1</v>
      </c>
    </row>
    <row r="245" spans="1:10">
      <c r="A245" s="7">
        <v>2</v>
      </c>
      <c r="B245" s="8" t="s">
        <v>4748</v>
      </c>
      <c r="C245" s="8" t="s">
        <v>4379</v>
      </c>
      <c r="D245" s="7">
        <v>1</v>
      </c>
      <c r="E245" s="7">
        <v>10</v>
      </c>
      <c r="F245" s="7">
        <v>2</v>
      </c>
      <c r="G245" s="8" t="s">
        <v>4371</v>
      </c>
      <c r="H245" s="8" t="s">
        <v>4372</v>
      </c>
      <c r="I245" s="7" t="str">
        <f>_xlfn.CONCAT(Paper_Reference[[#This Row],[Lvl]:[Paper Description]])</f>
        <v>2D68SE101W520BLACK 60 X 1441102100DS064-6200BLACK</v>
      </c>
      <c r="J245" s="7">
        <f>COUNTIF(Paper_Reference[Duplicate Key],Paper_Reference[[#This Row],[Duplicate Key]])</f>
        <v>1</v>
      </c>
    </row>
    <row r="246" spans="1:10">
      <c r="A246" s="7">
        <v>2</v>
      </c>
      <c r="B246" s="8" t="s">
        <v>4749</v>
      </c>
      <c r="C246" s="8" t="s">
        <v>4373</v>
      </c>
      <c r="D246" s="7">
        <v>1</v>
      </c>
      <c r="E246" s="7">
        <v>10</v>
      </c>
      <c r="F246" s="7">
        <v>2</v>
      </c>
      <c r="G246" s="8" t="s">
        <v>4371</v>
      </c>
      <c r="H246" s="8" t="s">
        <v>4372</v>
      </c>
      <c r="I246" s="7" t="str">
        <f>_xlfn.CONCAT(Paper_Reference[[#This Row],[Lvl]:[Paper Description]])</f>
        <v>2D68SE101Z500BLACK 60 X 1201102100DS064-6200BLACK</v>
      </c>
      <c r="J246" s="7">
        <f>COUNTIF(Paper_Reference[Duplicate Key],Paper_Reference[[#This Row],[Duplicate Key]])</f>
        <v>1</v>
      </c>
    </row>
    <row r="247" spans="1:10">
      <c r="A247" s="7">
        <v>2</v>
      </c>
      <c r="B247" s="8" t="s">
        <v>4750</v>
      </c>
      <c r="C247" s="8" t="s">
        <v>4380</v>
      </c>
      <c r="D247" s="7">
        <v>1</v>
      </c>
      <c r="E247" s="7">
        <v>10</v>
      </c>
      <c r="F247" s="7">
        <v>2</v>
      </c>
      <c r="G247" s="8" t="s">
        <v>4371</v>
      </c>
      <c r="H247" s="8" t="s">
        <v>4372</v>
      </c>
      <c r="I247" s="7" t="str">
        <f>_xlfn.CONCAT(Paper_Reference[[#This Row],[Lvl]:[Paper Description]])</f>
        <v>2D68SE101Z580BLACK 60 X 961102100DS064-6200BLACK</v>
      </c>
      <c r="J247" s="7">
        <f>COUNTIF(Paper_Reference[Duplicate Key],Paper_Reference[[#This Row],[Duplicate Key]])</f>
        <v>1</v>
      </c>
    </row>
    <row r="248" spans="1:10">
      <c r="A248" s="7">
        <v>2</v>
      </c>
      <c r="B248" s="8" t="s">
        <v>3121</v>
      </c>
      <c r="C248" s="8" t="s">
        <v>3088</v>
      </c>
      <c r="D248" s="7">
        <v>1</v>
      </c>
      <c r="E248" s="7">
        <v>10</v>
      </c>
      <c r="F248" s="7">
        <v>2</v>
      </c>
      <c r="G248" s="8" t="s">
        <v>3115</v>
      </c>
      <c r="H248" s="8" t="s">
        <v>3090</v>
      </c>
      <c r="I248" s="7" t="str">
        <f>_xlfn.CONCAT(Paper_Reference[[#This Row],[Lvl]:[Paper Description]])</f>
        <v>2D68WF131SD500VANA 60 X 1201102100WF131-6200VANA</v>
      </c>
      <c r="J248" s="7">
        <f>COUNTIF(Paper_Reference[Duplicate Key],Paper_Reference[[#This Row],[Duplicate Key]])</f>
        <v>1</v>
      </c>
    </row>
    <row r="249" spans="1:10">
      <c r="A249" s="7">
        <v>2</v>
      </c>
      <c r="B249" s="8" t="s">
        <v>3120</v>
      </c>
      <c r="C249" s="8" t="s">
        <v>3088</v>
      </c>
      <c r="D249" s="7">
        <v>1</v>
      </c>
      <c r="E249" s="7">
        <v>10</v>
      </c>
      <c r="F249" s="7">
        <v>2</v>
      </c>
      <c r="G249" s="8" t="s">
        <v>3115</v>
      </c>
      <c r="H249" s="8" t="s">
        <v>3090</v>
      </c>
      <c r="I249" s="7" t="str">
        <f>_xlfn.CONCAT(Paper_Reference[[#This Row],[Lvl]:[Paper Description]])</f>
        <v>2D68WF131SD5001VANA 60 X 1201102100WF131-6200VANA</v>
      </c>
      <c r="J249" s="7">
        <f>COUNTIF(Paper_Reference[Duplicate Key],Paper_Reference[[#This Row],[Duplicate Key]])</f>
        <v>1</v>
      </c>
    </row>
    <row r="250" spans="1:10">
      <c r="A250" s="7">
        <v>2</v>
      </c>
      <c r="B250" s="8" t="s">
        <v>4751</v>
      </c>
      <c r="C250" s="8" t="s">
        <v>4410</v>
      </c>
      <c r="D250" s="7">
        <v>1</v>
      </c>
      <c r="E250" s="7">
        <v>10</v>
      </c>
      <c r="F250" s="7">
        <v>1</v>
      </c>
      <c r="G250" s="8" t="s">
        <v>4371</v>
      </c>
      <c r="H250" s="8" t="s">
        <v>4372</v>
      </c>
      <c r="I250" s="7" t="str">
        <f>_xlfn.CONCAT(Paper_Reference[[#This Row],[Lvl]:[Paper Description]])</f>
        <v>2D69DF061N580SE101/SG211 60 X 961101100DS064-6200BLACK</v>
      </c>
      <c r="J250" s="7">
        <f>COUNTIF(Paper_Reference[Duplicate Key],Paper_Reference[[#This Row],[Duplicate Key]])</f>
        <v>1</v>
      </c>
    </row>
    <row r="251" spans="1:10">
      <c r="A251" s="7">
        <v>2</v>
      </c>
      <c r="B251" s="8" t="s">
        <v>4752</v>
      </c>
      <c r="C251" s="8" t="s">
        <v>4411</v>
      </c>
      <c r="D251" s="7">
        <v>1</v>
      </c>
      <c r="E251" s="7">
        <v>10</v>
      </c>
      <c r="F251" s="7">
        <v>0.5</v>
      </c>
      <c r="G251" s="8" t="s">
        <v>4371</v>
      </c>
      <c r="H251" s="8" t="s">
        <v>4372</v>
      </c>
      <c r="I251" s="7" t="str">
        <f>_xlfn.CONCAT(Paper_Reference[[#This Row],[Lvl]:[Paper Description]])</f>
        <v>2D69DF061NRGCSE101/SG211 30 X 961100.5100DS064-6200BLACK</v>
      </c>
      <c r="J251" s="7">
        <f>COUNTIF(Paper_Reference[Duplicate Key],Paper_Reference[[#This Row],[Duplicate Key]])</f>
        <v>1</v>
      </c>
    </row>
    <row r="252" spans="1:10">
      <c r="A252" s="7">
        <v>2</v>
      </c>
      <c r="B252" s="8" t="s">
        <v>4753</v>
      </c>
      <c r="C252" s="8" t="s">
        <v>4412</v>
      </c>
      <c r="D252" s="7">
        <v>1</v>
      </c>
      <c r="E252" s="7">
        <v>10</v>
      </c>
      <c r="F252" s="7">
        <v>0.5</v>
      </c>
      <c r="G252" s="8" t="s">
        <v>4371</v>
      </c>
      <c r="H252" s="8" t="s">
        <v>4372</v>
      </c>
      <c r="I252" s="7" t="str">
        <f>_xlfn.CONCAT(Paper_Reference[[#This Row],[Lvl]:[Paper Description]])</f>
        <v>2D69DF061NSIJSE101/SG211 30 X 1201100.5100DS064-6200BLACK</v>
      </c>
      <c r="J252" s="7">
        <f>COUNTIF(Paper_Reference[Duplicate Key],Paper_Reference[[#This Row],[Duplicate Key]])</f>
        <v>1</v>
      </c>
    </row>
    <row r="253" spans="1:10">
      <c r="A253" s="7">
        <v>2</v>
      </c>
      <c r="B253" s="8" t="s">
        <v>9546</v>
      </c>
      <c r="C253" s="8" t="s">
        <v>9298</v>
      </c>
      <c r="D253" s="7">
        <v>1</v>
      </c>
      <c r="E253" s="7">
        <v>10</v>
      </c>
      <c r="F253" s="7">
        <v>2</v>
      </c>
      <c r="G253" s="8" t="s">
        <v>9143</v>
      </c>
      <c r="H253" s="8" t="s">
        <v>9144</v>
      </c>
      <c r="I253" s="30" t="str">
        <f>_xlfn.CONCAT(Paper_Reference[[#This Row],[Lvl]:[Paper Description]])</f>
        <v>2D69PFA39N500SING CHICAGO BLUES 60 X 1201102100PFA39-6200SINGING THE CHICAGO BLUES</v>
      </c>
      <c r="J253" s="30">
        <f>COUNTIF(Paper_Reference[Duplicate Key],Paper_Reference[[#This Row],[Duplicate Key]])</f>
        <v>1</v>
      </c>
    </row>
    <row r="254" spans="1:10">
      <c r="A254" s="7">
        <v>2</v>
      </c>
      <c r="B254" s="8" t="s">
        <v>9547</v>
      </c>
      <c r="C254" s="8" t="s">
        <v>9152</v>
      </c>
      <c r="D254" s="7">
        <v>1</v>
      </c>
      <c r="E254" s="7">
        <v>10</v>
      </c>
      <c r="F254" s="7">
        <v>2</v>
      </c>
      <c r="G254" s="8" t="s">
        <v>9143</v>
      </c>
      <c r="H254" s="8" t="s">
        <v>9144</v>
      </c>
      <c r="I254" s="30" t="str">
        <f>_xlfn.CONCAT(Paper_Reference[[#This Row],[Lvl]:[Paper Description]])</f>
        <v>2D69PFA39N520SING CHICAGO BLUES 60 X 1441102100PFA39-6200SINGING THE CHICAGO BLUES</v>
      </c>
      <c r="J254" s="30">
        <f>COUNTIF(Paper_Reference[Duplicate Key],Paper_Reference[[#This Row],[Duplicate Key]])</f>
        <v>1</v>
      </c>
    </row>
    <row r="255" spans="1:10">
      <c r="A255" s="7">
        <v>2</v>
      </c>
      <c r="B255" s="8" t="s">
        <v>4754</v>
      </c>
      <c r="C255" s="8" t="s">
        <v>4373</v>
      </c>
      <c r="D255" s="7">
        <v>1</v>
      </c>
      <c r="E255" s="7">
        <v>10</v>
      </c>
      <c r="F255" s="7">
        <v>2</v>
      </c>
      <c r="G255" s="8" t="s">
        <v>4371</v>
      </c>
      <c r="H255" s="8" t="s">
        <v>4372</v>
      </c>
      <c r="I255" s="7" t="str">
        <f>_xlfn.CONCAT(Paper_Reference[[#This Row],[Lvl]:[Paper Description]])</f>
        <v>2D69SE101N500BLACK 60 X 1201102100DS064-6200BLACK</v>
      </c>
      <c r="J255" s="7">
        <f>COUNTIF(Paper_Reference[Duplicate Key],Paper_Reference[[#This Row],[Duplicate Key]])</f>
        <v>1</v>
      </c>
    </row>
    <row r="256" spans="1:10">
      <c r="A256" s="7">
        <v>2</v>
      </c>
      <c r="B256" s="8" t="s">
        <v>8412</v>
      </c>
      <c r="C256" s="8" t="s">
        <v>8305</v>
      </c>
      <c r="D256" s="7">
        <v>1</v>
      </c>
      <c r="E256" s="7">
        <v>10</v>
      </c>
      <c r="F256" s="7">
        <v>2</v>
      </c>
      <c r="G256" s="8" t="s">
        <v>8302</v>
      </c>
      <c r="H256" s="8" t="s">
        <v>8303</v>
      </c>
      <c r="I256" s="7" t="str">
        <f>_xlfn.CONCAT(Paper_Reference[[#This Row],[Lvl]:[Paper Description]])</f>
        <v>2D69SW813N520ICE WHITE 60 X 1441102100SW813-6200ICE WHITE</v>
      </c>
      <c r="J256" s="7">
        <f>COUNTIF(Paper_Reference[Duplicate Key],Paper_Reference[[#This Row],[Duplicate Key]])</f>
        <v>1</v>
      </c>
    </row>
    <row r="257" spans="1:10">
      <c r="A257" s="7">
        <v>2</v>
      </c>
      <c r="B257" s="8" t="s">
        <v>8413</v>
      </c>
      <c r="C257" s="8" t="s">
        <v>8306</v>
      </c>
      <c r="D257" s="7">
        <v>1</v>
      </c>
      <c r="E257" s="7">
        <v>10</v>
      </c>
      <c r="F257" s="7">
        <v>2</v>
      </c>
      <c r="G257" s="8" t="s">
        <v>8302</v>
      </c>
      <c r="H257" s="8" t="s">
        <v>8303</v>
      </c>
      <c r="I257" s="7" t="str">
        <f>_xlfn.CONCAT(Paper_Reference[[#This Row],[Lvl]:[Paper Description]])</f>
        <v>2D69SW813SD580ICE WHITE 60 X 961102100SW813-6200ICE WHITE</v>
      </c>
      <c r="J257" s="7">
        <f>COUNTIF(Paper_Reference[Duplicate Key],Paper_Reference[[#This Row],[Duplicate Key]])</f>
        <v>1</v>
      </c>
    </row>
    <row r="258" spans="1:10">
      <c r="A258" s="7">
        <v>2</v>
      </c>
      <c r="B258" s="8" t="s">
        <v>3123</v>
      </c>
      <c r="C258" s="8" t="s">
        <v>3088</v>
      </c>
      <c r="D258" s="7">
        <v>1</v>
      </c>
      <c r="E258" s="7">
        <v>10</v>
      </c>
      <c r="F258" s="7">
        <v>2</v>
      </c>
      <c r="G258" s="8" t="s">
        <v>3115</v>
      </c>
      <c r="H258" s="8" t="s">
        <v>3090</v>
      </c>
      <c r="I258" s="7" t="str">
        <f>_xlfn.CONCAT(Paper_Reference[[#This Row],[Lvl]:[Paper Description]])</f>
        <v>2D69WF131SD500VANA 60 X 1201102100WF131-6200VANA</v>
      </c>
      <c r="J258" s="7">
        <f>COUNTIF(Paper_Reference[Duplicate Key],Paper_Reference[[#This Row],[Duplicate Key]])</f>
        <v>1</v>
      </c>
    </row>
    <row r="259" spans="1:10">
      <c r="A259" s="7">
        <v>2</v>
      </c>
      <c r="B259" s="8" t="s">
        <v>3122</v>
      </c>
      <c r="C259" s="8" t="s">
        <v>3088</v>
      </c>
      <c r="D259" s="7">
        <v>1</v>
      </c>
      <c r="E259" s="7">
        <v>10</v>
      </c>
      <c r="F259" s="7">
        <v>2</v>
      </c>
      <c r="G259" s="8" t="s">
        <v>3115</v>
      </c>
      <c r="H259" s="8" t="s">
        <v>3090</v>
      </c>
      <c r="I259" s="7" t="str">
        <f>_xlfn.CONCAT(Paper_Reference[[#This Row],[Lvl]:[Paper Description]])</f>
        <v>2D69WF131SD5002VANA 60 X 1201102100WF131-6200VANA</v>
      </c>
      <c r="J259" s="7">
        <f>COUNTIF(Paper_Reference[Duplicate Key],Paper_Reference[[#This Row],[Duplicate Key]])</f>
        <v>1</v>
      </c>
    </row>
    <row r="260" spans="1:10">
      <c r="A260" s="7">
        <v>2</v>
      </c>
      <c r="B260" s="8" t="s">
        <v>5489</v>
      </c>
      <c r="C260" s="8" t="s">
        <v>5378</v>
      </c>
      <c r="D260" s="7">
        <v>1</v>
      </c>
      <c r="E260" s="7">
        <v>10</v>
      </c>
      <c r="F260" s="7">
        <v>2</v>
      </c>
      <c r="G260" s="8" t="s">
        <v>5373</v>
      </c>
      <c r="H260" s="8" t="s">
        <v>5374</v>
      </c>
      <c r="I260" s="7" t="str">
        <f>_xlfn.CONCAT(Paper_Reference[[#This Row],[Lvl]:[Paper Description]])</f>
        <v>2D69WW971H500GUN SAVOY WALNUT 60 X 1201102100WW971-6200GUN SAVOY WALNUT</v>
      </c>
      <c r="J260" s="7">
        <f>COUNTIF(Paper_Reference[Duplicate Key],Paper_Reference[[#This Row],[Duplicate Key]])</f>
        <v>1</v>
      </c>
    </row>
    <row r="261" spans="1:10">
      <c r="A261" s="7">
        <v>2</v>
      </c>
      <c r="B261" s="8" t="s">
        <v>5490</v>
      </c>
      <c r="C261" s="8" t="s">
        <v>5378</v>
      </c>
      <c r="D261" s="7">
        <v>1</v>
      </c>
      <c r="E261" s="7">
        <v>10</v>
      </c>
      <c r="F261" s="7">
        <v>2</v>
      </c>
      <c r="G261" s="8" t="s">
        <v>5373</v>
      </c>
      <c r="H261" s="8" t="s">
        <v>5374</v>
      </c>
      <c r="I261" s="7" t="str">
        <f>_xlfn.CONCAT(Paper_Reference[[#This Row],[Lvl]:[Paper Description]])</f>
        <v>2D69WW971N500GUN SAVOY WALNUT 60 X 1201102100WW971-6200GUN SAVOY WALNUT</v>
      </c>
      <c r="J261" s="7">
        <f>COUNTIF(Paper_Reference[Duplicate Key],Paper_Reference[[#This Row],[Duplicate Key]])</f>
        <v>1</v>
      </c>
    </row>
    <row r="262" spans="1:10">
      <c r="A262" s="7">
        <v>2</v>
      </c>
      <c r="B262" s="8" t="s">
        <v>5491</v>
      </c>
      <c r="C262" s="8" t="s">
        <v>5376</v>
      </c>
      <c r="D262" s="7">
        <v>1</v>
      </c>
      <c r="E262" s="7">
        <v>10</v>
      </c>
      <c r="F262" s="7">
        <v>2</v>
      </c>
      <c r="G262" s="8" t="s">
        <v>5373</v>
      </c>
      <c r="H262" s="8" t="s">
        <v>5374</v>
      </c>
      <c r="I262" s="7" t="str">
        <f>_xlfn.CONCAT(Paper_Reference[[#This Row],[Lvl]:[Paper Description]])</f>
        <v>2D69WW971N520GUN SAVOY WALNUT 60 X 1441102100WW971-6200GUN SAVOY WALNUT</v>
      </c>
      <c r="J262" s="7">
        <f>COUNTIF(Paper_Reference[Duplicate Key],Paper_Reference[[#This Row],[Duplicate Key]])</f>
        <v>1</v>
      </c>
    </row>
    <row r="263" spans="1:10">
      <c r="A263" s="7">
        <v>2</v>
      </c>
      <c r="B263" s="8" t="s">
        <v>5492</v>
      </c>
      <c r="C263" s="8" t="s">
        <v>5378</v>
      </c>
      <c r="D263" s="7">
        <v>1</v>
      </c>
      <c r="E263" s="7">
        <v>10</v>
      </c>
      <c r="F263" s="7">
        <v>2</v>
      </c>
      <c r="G263" s="8" t="s">
        <v>5373</v>
      </c>
      <c r="H263" s="8" t="s">
        <v>5374</v>
      </c>
      <c r="I263" s="7" t="str">
        <f>_xlfn.CONCAT(Paper_Reference[[#This Row],[Lvl]:[Paper Description]])</f>
        <v>2D69WW971SD500GUN SAVOY WALNUT 60 X 1201102100WW971-6200GUN SAVOY WALNUT</v>
      </c>
      <c r="J263" s="7">
        <f>COUNTIF(Paper_Reference[Duplicate Key],Paper_Reference[[#This Row],[Duplicate Key]])</f>
        <v>1</v>
      </c>
    </row>
    <row r="264" spans="1:10">
      <c r="A264" s="7">
        <v>2</v>
      </c>
      <c r="B264" s="8" t="s">
        <v>5493</v>
      </c>
      <c r="C264" s="8" t="s">
        <v>5376</v>
      </c>
      <c r="D264" s="7">
        <v>1</v>
      </c>
      <c r="E264" s="7">
        <v>10</v>
      </c>
      <c r="F264" s="7">
        <v>2</v>
      </c>
      <c r="G264" s="8" t="s">
        <v>5373</v>
      </c>
      <c r="H264" s="8" t="s">
        <v>5374</v>
      </c>
      <c r="I264" s="7" t="str">
        <f>_xlfn.CONCAT(Paper_Reference[[#This Row],[Lvl]:[Paper Description]])</f>
        <v>2D69WW971SD520GUN SAVOY WALNUT 60 X 1441102100WW971-6200GUN SAVOY WALNUT</v>
      </c>
      <c r="J264" s="7">
        <f>COUNTIF(Paper_Reference[Duplicate Key],Paper_Reference[[#This Row],[Duplicate Key]])</f>
        <v>1</v>
      </c>
    </row>
    <row r="265" spans="1:10">
      <c r="A265" s="7">
        <v>2</v>
      </c>
      <c r="B265" s="8" t="s">
        <v>4755</v>
      </c>
      <c r="C265" s="8" t="s">
        <v>4379</v>
      </c>
      <c r="D265" s="7">
        <v>1</v>
      </c>
      <c r="E265" s="7">
        <v>10</v>
      </c>
      <c r="F265" s="7">
        <v>2</v>
      </c>
      <c r="G265" s="8" t="s">
        <v>4371</v>
      </c>
      <c r="H265" s="8" t="s">
        <v>4372</v>
      </c>
      <c r="I265" s="7" t="str">
        <f>_xlfn.CONCAT(Paper_Reference[[#This Row],[Lvl]:[Paper Description]])</f>
        <v>2D71SE101N520BLACK 60 X 1441102100DS064-6200BLACK</v>
      </c>
      <c r="J265" s="7">
        <f>COUNTIF(Paper_Reference[Duplicate Key],Paper_Reference[[#This Row],[Duplicate Key]])</f>
        <v>1</v>
      </c>
    </row>
    <row r="266" spans="1:10">
      <c r="A266" s="7">
        <v>3</v>
      </c>
      <c r="B266" s="8" t="s">
        <v>4756</v>
      </c>
      <c r="C266" s="8" t="s">
        <v>4413</v>
      </c>
      <c r="D266" s="7">
        <v>1</v>
      </c>
      <c r="E266" s="7">
        <v>55</v>
      </c>
      <c r="F266" s="7">
        <v>4.7600000000000003E-2</v>
      </c>
      <c r="G266" s="8" t="s">
        <v>4371</v>
      </c>
      <c r="H266" s="8" t="s">
        <v>4372</v>
      </c>
      <c r="I266" s="7" t="str">
        <f>_xlfn.CONCAT(Paper_Reference[[#This Row],[Lvl]:[Paper Description]])</f>
        <v>3D71SE101NXYZ1BLACK 19 7/8 X 20 1/21550.0476100DS064-6200BLACK</v>
      </c>
      <c r="J266" s="7">
        <f>COUNTIF(Paper_Reference[Duplicate Key],Paper_Reference[[#This Row],[Duplicate Key]])</f>
        <v>1</v>
      </c>
    </row>
    <row r="267" spans="1:10">
      <c r="A267" s="7">
        <v>3</v>
      </c>
      <c r="B267" s="8" t="s">
        <v>4757</v>
      </c>
      <c r="C267" s="8" t="s">
        <v>4413</v>
      </c>
      <c r="D267" s="7">
        <v>1</v>
      </c>
      <c r="E267" s="7">
        <v>55</v>
      </c>
      <c r="F267" s="7">
        <v>4.7600000000000003E-2</v>
      </c>
      <c r="G267" s="8" t="s">
        <v>4371</v>
      </c>
      <c r="H267" s="8" t="s">
        <v>4372</v>
      </c>
      <c r="I267" s="7" t="str">
        <f>_xlfn.CONCAT(Paper_Reference[[#This Row],[Lvl]:[Paper Description]])</f>
        <v>3D71SE101SDXYZ1BLACK 19 7/8 X 20 1/21550.0476100DS064-6200BLACK</v>
      </c>
      <c r="J267" s="7">
        <f>COUNTIF(Paper_Reference[Duplicate Key],Paper_Reference[[#This Row],[Duplicate Key]])</f>
        <v>1</v>
      </c>
    </row>
    <row r="268" spans="1:10">
      <c r="A268" s="7">
        <v>2</v>
      </c>
      <c r="B268" s="8" t="s">
        <v>4758</v>
      </c>
      <c r="C268" s="8" t="s">
        <v>4373</v>
      </c>
      <c r="D268" s="7">
        <v>1</v>
      </c>
      <c r="E268" s="7">
        <v>10</v>
      </c>
      <c r="F268" s="7">
        <v>2</v>
      </c>
      <c r="G268" s="8" t="s">
        <v>4371</v>
      </c>
      <c r="H268" s="8" t="s">
        <v>4372</v>
      </c>
      <c r="I268" s="7" t="str">
        <f>_xlfn.CONCAT(Paper_Reference[[#This Row],[Lvl]:[Paper Description]])</f>
        <v>2D74SE101CR5002BLACK 60 X 1201102100DS064-6200BLACK</v>
      </c>
      <c r="J268" s="7">
        <f>COUNTIF(Paper_Reference[Duplicate Key],Paper_Reference[[#This Row],[Duplicate Key]])</f>
        <v>1</v>
      </c>
    </row>
    <row r="269" spans="1:10">
      <c r="A269" s="7">
        <v>2</v>
      </c>
      <c r="B269" s="8" t="s">
        <v>4759</v>
      </c>
      <c r="C269" s="8" t="s">
        <v>4380</v>
      </c>
      <c r="D269" s="7">
        <v>1</v>
      </c>
      <c r="E269" s="7">
        <v>10</v>
      </c>
      <c r="F269" s="7">
        <v>2</v>
      </c>
      <c r="G269" s="8" t="s">
        <v>4371</v>
      </c>
      <c r="H269" s="8" t="s">
        <v>4372</v>
      </c>
      <c r="I269" s="7" t="str">
        <f>_xlfn.CONCAT(Paper_Reference[[#This Row],[Lvl]:[Paper Description]])</f>
        <v>2D74SE101CR5802BLACK 60 X 961102100DS064-6200BLACK</v>
      </c>
      <c r="J269" s="7">
        <f>COUNTIF(Paper_Reference[Duplicate Key],Paper_Reference[[#This Row],[Duplicate Key]])</f>
        <v>1</v>
      </c>
    </row>
    <row r="270" spans="1:10">
      <c r="A270" s="7">
        <v>2</v>
      </c>
      <c r="B270" s="8" t="s">
        <v>4760</v>
      </c>
      <c r="C270" s="8" t="s">
        <v>4400</v>
      </c>
      <c r="D270" s="7">
        <v>1</v>
      </c>
      <c r="E270" s="7">
        <v>10</v>
      </c>
      <c r="F270" s="7">
        <v>1</v>
      </c>
      <c r="G270" s="8" t="s">
        <v>4371</v>
      </c>
      <c r="H270" s="8" t="s">
        <v>4372</v>
      </c>
      <c r="I270" s="7" t="str">
        <f>_xlfn.CONCAT(Paper_Reference[[#This Row],[Lvl]:[Paper Description]])</f>
        <v>2D74SE101J080BLACK 30 X 961101100DS064-6200BLACK</v>
      </c>
      <c r="J270" s="7">
        <f>COUNTIF(Paper_Reference[Duplicate Key],Paper_Reference[[#This Row],[Duplicate Key]])</f>
        <v>1</v>
      </c>
    </row>
    <row r="271" spans="1:10">
      <c r="A271" s="7">
        <v>2</v>
      </c>
      <c r="B271" s="8" t="s">
        <v>4761</v>
      </c>
      <c r="C271" s="8" t="s">
        <v>4379</v>
      </c>
      <c r="D271" s="7">
        <v>1</v>
      </c>
      <c r="E271" s="7">
        <v>10</v>
      </c>
      <c r="F271" s="7">
        <v>2</v>
      </c>
      <c r="G271" s="8" t="s">
        <v>4371</v>
      </c>
      <c r="H271" s="8" t="s">
        <v>4372</v>
      </c>
      <c r="I271" s="7" t="str">
        <f>_xlfn.CONCAT(Paper_Reference[[#This Row],[Lvl]:[Paper Description]])</f>
        <v>2D74SE101J520BLACK 60 X 1441102100DS064-6200BLACK</v>
      </c>
      <c r="J271" s="7">
        <f>COUNTIF(Paper_Reference[Duplicate Key],Paper_Reference[[#This Row],[Duplicate Key]])</f>
        <v>1</v>
      </c>
    </row>
    <row r="272" spans="1:10">
      <c r="A272" s="7">
        <v>2</v>
      </c>
      <c r="B272" s="8" t="s">
        <v>4762</v>
      </c>
      <c r="C272" s="8" t="s">
        <v>4403</v>
      </c>
      <c r="D272" s="7">
        <v>1</v>
      </c>
      <c r="E272" s="7">
        <v>10</v>
      </c>
      <c r="F272" s="7">
        <v>1</v>
      </c>
      <c r="G272" s="8" t="s">
        <v>4371</v>
      </c>
      <c r="H272" s="8" t="s">
        <v>4372</v>
      </c>
      <c r="I272" s="7" t="str">
        <f>_xlfn.CONCAT(Paper_Reference[[#This Row],[Lvl]:[Paper Description]])</f>
        <v>2D74SE101N000BLACK 30 X 1201101100DS064-6200BLACK</v>
      </c>
      <c r="J272" s="7">
        <f>COUNTIF(Paper_Reference[Duplicate Key],Paper_Reference[[#This Row],[Duplicate Key]])</f>
        <v>1</v>
      </c>
    </row>
    <row r="273" spans="1:10">
      <c r="A273" s="7">
        <v>2</v>
      </c>
      <c r="B273" s="8" t="s">
        <v>4763</v>
      </c>
      <c r="C273" s="8" t="s">
        <v>4378</v>
      </c>
      <c r="D273" s="7">
        <v>1</v>
      </c>
      <c r="E273" s="7">
        <v>10</v>
      </c>
      <c r="F273" s="7">
        <v>1</v>
      </c>
      <c r="G273" s="8" t="s">
        <v>4371</v>
      </c>
      <c r="H273" s="8" t="s">
        <v>4372</v>
      </c>
      <c r="I273" s="7" t="str">
        <f>_xlfn.CONCAT(Paper_Reference[[#This Row],[Lvl]:[Paper Description]])</f>
        <v>2D74SE101N020BLACK 30 X 1441101100DS064-6200BLACK</v>
      </c>
      <c r="J273" s="7">
        <f>COUNTIF(Paper_Reference[Duplicate Key],Paper_Reference[[#This Row],[Duplicate Key]])</f>
        <v>1</v>
      </c>
    </row>
    <row r="274" spans="1:10">
      <c r="A274" s="7">
        <v>3</v>
      </c>
      <c r="B274" s="8" t="s">
        <v>4764</v>
      </c>
      <c r="C274" s="8" t="s">
        <v>4395</v>
      </c>
      <c r="D274" s="7">
        <v>1</v>
      </c>
      <c r="E274" s="7">
        <v>55</v>
      </c>
      <c r="F274" s="7">
        <v>0.25</v>
      </c>
      <c r="G274" s="8" t="s">
        <v>4371</v>
      </c>
      <c r="H274" s="8" t="s">
        <v>4372</v>
      </c>
      <c r="I274" s="7" t="str">
        <f>_xlfn.CONCAT(Paper_Reference[[#This Row],[Lvl]:[Paper Description]])</f>
        <v>3D74SE101N050BLACK 30 X 601550.25100DS064-6200BLACK</v>
      </c>
      <c r="J274" s="7">
        <f>COUNTIF(Paper_Reference[Duplicate Key],Paper_Reference[[#This Row],[Duplicate Key]])</f>
        <v>1</v>
      </c>
    </row>
    <row r="275" spans="1:10">
      <c r="A275" s="7">
        <v>2</v>
      </c>
      <c r="B275" s="8" t="s">
        <v>4765</v>
      </c>
      <c r="C275" s="8" t="s">
        <v>4400</v>
      </c>
      <c r="D275" s="7">
        <v>1</v>
      </c>
      <c r="E275" s="7">
        <v>10</v>
      </c>
      <c r="F275" s="7">
        <v>1</v>
      </c>
      <c r="G275" s="8" t="s">
        <v>4371</v>
      </c>
      <c r="H275" s="8" t="s">
        <v>4372</v>
      </c>
      <c r="I275" s="7" t="str">
        <f>_xlfn.CONCAT(Paper_Reference[[#This Row],[Lvl]:[Paper Description]])</f>
        <v>2D74SE101N080BLACK 30 X 961101100DS064-6200BLACK</v>
      </c>
      <c r="J275" s="7">
        <f>COUNTIF(Paper_Reference[Duplicate Key],Paper_Reference[[#This Row],[Duplicate Key]])</f>
        <v>1</v>
      </c>
    </row>
    <row r="276" spans="1:10">
      <c r="A276" s="7">
        <v>2</v>
      </c>
      <c r="B276" s="8" t="s">
        <v>4766</v>
      </c>
      <c r="C276" s="8" t="s">
        <v>4373</v>
      </c>
      <c r="D276" s="7">
        <v>1</v>
      </c>
      <c r="E276" s="7">
        <v>10</v>
      </c>
      <c r="F276" s="7">
        <v>2</v>
      </c>
      <c r="G276" s="8" t="s">
        <v>4371</v>
      </c>
      <c r="H276" s="8" t="s">
        <v>4372</v>
      </c>
      <c r="I276" s="7" t="str">
        <f>_xlfn.CONCAT(Paper_Reference[[#This Row],[Lvl]:[Paper Description]])</f>
        <v>2D74SE101N5002BLACK 60 X 1201102100DS064-6200BLACK</v>
      </c>
      <c r="J276" s="7">
        <f>COUNTIF(Paper_Reference[Duplicate Key],Paper_Reference[[#This Row],[Duplicate Key]])</f>
        <v>1</v>
      </c>
    </row>
    <row r="277" spans="1:10">
      <c r="A277" s="7">
        <v>2</v>
      </c>
      <c r="B277" s="8" t="s">
        <v>4769</v>
      </c>
      <c r="C277" s="8" t="s">
        <v>4379</v>
      </c>
      <c r="D277" s="7">
        <v>1</v>
      </c>
      <c r="E277" s="7">
        <v>10</v>
      </c>
      <c r="F277" s="7">
        <v>2</v>
      </c>
      <c r="G277" s="8" t="s">
        <v>4371</v>
      </c>
      <c r="H277" s="8" t="s">
        <v>4372</v>
      </c>
      <c r="I277" s="7" t="str">
        <f>_xlfn.CONCAT(Paper_Reference[[#This Row],[Lvl]:[Paper Description]])</f>
        <v>2D74SE101N520BLACK 60 X 1441102100DS064-6200BLACK</v>
      </c>
      <c r="J277" s="7">
        <f>COUNTIF(Paper_Reference[Duplicate Key],Paper_Reference[[#This Row],[Duplicate Key]])</f>
        <v>1</v>
      </c>
    </row>
    <row r="278" spans="1:10">
      <c r="A278" s="7">
        <v>2</v>
      </c>
      <c r="B278" s="8" t="s">
        <v>4767</v>
      </c>
      <c r="C278" s="8" t="s">
        <v>4379</v>
      </c>
      <c r="D278" s="7">
        <v>1</v>
      </c>
      <c r="E278" s="7">
        <v>10</v>
      </c>
      <c r="F278" s="7">
        <v>2</v>
      </c>
      <c r="G278" s="8" t="s">
        <v>4371</v>
      </c>
      <c r="H278" s="8" t="s">
        <v>4372</v>
      </c>
      <c r="I278" s="7" t="str">
        <f>_xlfn.CONCAT(Paper_Reference[[#This Row],[Lvl]:[Paper Description]])</f>
        <v>2D74SE101N5201BLACK 60 X 1441102100DS064-6200BLACK</v>
      </c>
      <c r="J278" s="7">
        <f>COUNTIF(Paper_Reference[Duplicate Key],Paper_Reference[[#This Row],[Duplicate Key]])</f>
        <v>1</v>
      </c>
    </row>
    <row r="279" spans="1:10">
      <c r="A279" s="7">
        <v>2</v>
      </c>
      <c r="B279" s="8" t="s">
        <v>4768</v>
      </c>
      <c r="C279" s="8" t="s">
        <v>4379</v>
      </c>
      <c r="D279" s="7">
        <v>1</v>
      </c>
      <c r="E279" s="7">
        <v>10</v>
      </c>
      <c r="F279" s="7">
        <v>2</v>
      </c>
      <c r="G279" s="8" t="s">
        <v>4371</v>
      </c>
      <c r="H279" s="8" t="s">
        <v>4372</v>
      </c>
      <c r="I279" s="7" t="str">
        <f>_xlfn.CONCAT(Paper_Reference[[#This Row],[Lvl]:[Paper Description]])</f>
        <v>2D74SE101N5202BLACK 60 X 1441102100DS064-6200BLACK</v>
      </c>
      <c r="J279" s="7">
        <f>COUNTIF(Paper_Reference[Duplicate Key],Paper_Reference[[#This Row],[Duplicate Key]])</f>
        <v>1</v>
      </c>
    </row>
    <row r="280" spans="1:10">
      <c r="A280" s="7">
        <v>2</v>
      </c>
      <c r="B280" s="8" t="s">
        <v>4770</v>
      </c>
      <c r="C280" s="8" t="s">
        <v>4385</v>
      </c>
      <c r="D280" s="7">
        <v>1</v>
      </c>
      <c r="E280" s="7">
        <v>10</v>
      </c>
      <c r="F280" s="7">
        <v>1</v>
      </c>
      <c r="G280" s="8" t="s">
        <v>4371</v>
      </c>
      <c r="H280" s="8" t="s">
        <v>4372</v>
      </c>
      <c r="I280" s="7" t="str">
        <f>_xlfn.CONCAT(Paper_Reference[[#This Row],[Lvl]:[Paper Description]])</f>
        <v>2D74SE101N550BLACK 60 X 601101100DS064-6200BLACK</v>
      </c>
      <c r="J280" s="7">
        <f>COUNTIF(Paper_Reference[Duplicate Key],Paper_Reference[[#This Row],[Duplicate Key]])</f>
        <v>1</v>
      </c>
    </row>
    <row r="281" spans="1:10">
      <c r="A281" s="7">
        <v>2</v>
      </c>
      <c r="B281" s="8" t="s">
        <v>4772</v>
      </c>
      <c r="C281" s="8" t="s">
        <v>4380</v>
      </c>
      <c r="D281" s="7">
        <v>1</v>
      </c>
      <c r="E281" s="7">
        <v>10</v>
      </c>
      <c r="F281" s="7">
        <v>2</v>
      </c>
      <c r="G281" s="8" t="s">
        <v>4371</v>
      </c>
      <c r="H281" s="8" t="s">
        <v>4372</v>
      </c>
      <c r="I281" s="7" t="str">
        <f>_xlfn.CONCAT(Paper_Reference[[#This Row],[Lvl]:[Paper Description]])</f>
        <v>2D74SE101N580BLACK 60 X 961102100DS064-6200BLACK</v>
      </c>
      <c r="J281" s="7">
        <f>COUNTIF(Paper_Reference[Duplicate Key],Paper_Reference[[#This Row],[Duplicate Key]])</f>
        <v>1</v>
      </c>
    </row>
    <row r="282" spans="1:10">
      <c r="A282" s="7">
        <v>2</v>
      </c>
      <c r="B282" s="8" t="s">
        <v>4771</v>
      </c>
      <c r="C282" s="8" t="s">
        <v>4380</v>
      </c>
      <c r="D282" s="7">
        <v>1</v>
      </c>
      <c r="E282" s="7">
        <v>10</v>
      </c>
      <c r="F282" s="7">
        <v>2</v>
      </c>
      <c r="G282" s="8" t="s">
        <v>4371</v>
      </c>
      <c r="H282" s="8" t="s">
        <v>4372</v>
      </c>
      <c r="I282" s="7" t="str">
        <f>_xlfn.CONCAT(Paper_Reference[[#This Row],[Lvl]:[Paper Description]])</f>
        <v>2D74SE101N5802BLACK 60 X 961102100DS064-6200BLACK</v>
      </c>
      <c r="J282" s="7">
        <f>COUNTIF(Paper_Reference[Duplicate Key],Paper_Reference[[#This Row],[Duplicate Key]])</f>
        <v>1</v>
      </c>
    </row>
    <row r="283" spans="1:10">
      <c r="A283" s="7">
        <v>2</v>
      </c>
      <c r="B283" s="8" t="s">
        <v>4773</v>
      </c>
      <c r="C283" s="8" t="s">
        <v>4414</v>
      </c>
      <c r="D283" s="7">
        <v>1</v>
      </c>
      <c r="E283" s="7">
        <v>10</v>
      </c>
      <c r="F283" s="7">
        <v>1</v>
      </c>
      <c r="G283" s="8" t="s">
        <v>4371</v>
      </c>
      <c r="H283" s="8" t="s">
        <v>4372</v>
      </c>
      <c r="I283" s="7" t="str">
        <f>_xlfn.CONCAT(Paper_Reference[[#This Row],[Lvl]:[Paper Description]])</f>
        <v>2D74SE101NRUVBLACK 50 3/4 X 691101100DS064-6200BLACK</v>
      </c>
      <c r="J283" s="7">
        <f>COUNTIF(Paper_Reference[Duplicate Key],Paper_Reference[[#This Row],[Duplicate Key]])</f>
        <v>1</v>
      </c>
    </row>
    <row r="284" spans="1:10">
      <c r="A284" s="7">
        <v>2</v>
      </c>
      <c r="B284" s="8" t="s">
        <v>4774</v>
      </c>
      <c r="C284" s="8" t="s">
        <v>4373</v>
      </c>
      <c r="D284" s="7">
        <v>1</v>
      </c>
      <c r="E284" s="7">
        <v>10</v>
      </c>
      <c r="F284" s="7">
        <v>2</v>
      </c>
      <c r="G284" s="8" t="s">
        <v>4371</v>
      </c>
      <c r="H284" s="8" t="s">
        <v>4372</v>
      </c>
      <c r="I284" s="7" t="str">
        <f>_xlfn.CONCAT(Paper_Reference[[#This Row],[Lvl]:[Paper Description]])</f>
        <v>2D74SE101SD500BLACK 60 X 1201102100DS064-6200BLACK</v>
      </c>
      <c r="J284" s="7">
        <f>COUNTIF(Paper_Reference[Duplicate Key],Paper_Reference[[#This Row],[Duplicate Key]])</f>
        <v>1</v>
      </c>
    </row>
    <row r="285" spans="1:10">
      <c r="A285" s="7">
        <v>2</v>
      </c>
      <c r="B285" s="8" t="s">
        <v>4777</v>
      </c>
      <c r="C285" s="8" t="s">
        <v>4379</v>
      </c>
      <c r="D285" s="7">
        <v>1</v>
      </c>
      <c r="E285" s="7">
        <v>10</v>
      </c>
      <c r="F285" s="7">
        <v>2</v>
      </c>
      <c r="G285" s="8" t="s">
        <v>4371</v>
      </c>
      <c r="H285" s="8" t="s">
        <v>4372</v>
      </c>
      <c r="I285" s="7" t="str">
        <f>_xlfn.CONCAT(Paper_Reference[[#This Row],[Lvl]:[Paper Description]])</f>
        <v>2D74SE101SD520BLACK 60 X 1441102100DS064-6200BLACK</v>
      </c>
      <c r="J285" s="7">
        <f>COUNTIF(Paper_Reference[Duplicate Key],Paper_Reference[[#This Row],[Duplicate Key]])</f>
        <v>1</v>
      </c>
    </row>
    <row r="286" spans="1:10">
      <c r="A286" s="7">
        <v>2</v>
      </c>
      <c r="B286" s="8" t="s">
        <v>4775</v>
      </c>
      <c r="C286" s="8" t="s">
        <v>4379</v>
      </c>
      <c r="D286" s="7">
        <v>1</v>
      </c>
      <c r="E286" s="7">
        <v>10</v>
      </c>
      <c r="F286" s="7">
        <v>2</v>
      </c>
      <c r="G286" s="8" t="s">
        <v>4371</v>
      </c>
      <c r="H286" s="8" t="s">
        <v>4372</v>
      </c>
      <c r="I286" s="7" t="str">
        <f>_xlfn.CONCAT(Paper_Reference[[#This Row],[Lvl]:[Paper Description]])</f>
        <v>2D74SE101SD5201BLACK 60 X 1441102100DS064-6200BLACK</v>
      </c>
      <c r="J286" s="7">
        <f>COUNTIF(Paper_Reference[Duplicate Key],Paper_Reference[[#This Row],[Duplicate Key]])</f>
        <v>1</v>
      </c>
    </row>
    <row r="287" spans="1:10">
      <c r="A287" s="7">
        <v>2</v>
      </c>
      <c r="B287" s="8" t="s">
        <v>4776</v>
      </c>
      <c r="C287" s="8" t="s">
        <v>4379</v>
      </c>
      <c r="D287" s="7">
        <v>1</v>
      </c>
      <c r="E287" s="7">
        <v>10</v>
      </c>
      <c r="F287" s="7">
        <v>2</v>
      </c>
      <c r="G287" s="8" t="s">
        <v>4371</v>
      </c>
      <c r="H287" s="8" t="s">
        <v>4372</v>
      </c>
      <c r="I287" s="7" t="str">
        <f>_xlfn.CONCAT(Paper_Reference[[#This Row],[Lvl]:[Paper Description]])</f>
        <v>2D74SE101SD5202BLACK 60 X 1441102100DS064-6200BLACK</v>
      </c>
      <c r="J287" s="7">
        <f>COUNTIF(Paper_Reference[Duplicate Key],Paper_Reference[[#This Row],[Duplicate Key]])</f>
        <v>1</v>
      </c>
    </row>
    <row r="288" spans="1:10">
      <c r="A288" s="7">
        <v>2</v>
      </c>
      <c r="B288" s="8" t="s">
        <v>4778</v>
      </c>
      <c r="C288" s="8" t="s">
        <v>4380</v>
      </c>
      <c r="D288" s="7">
        <v>1</v>
      </c>
      <c r="E288" s="7">
        <v>10</v>
      </c>
      <c r="F288" s="7">
        <v>2</v>
      </c>
      <c r="G288" s="8" t="s">
        <v>4371</v>
      </c>
      <c r="H288" s="8" t="s">
        <v>4372</v>
      </c>
      <c r="I288" s="7" t="str">
        <f>_xlfn.CONCAT(Paper_Reference[[#This Row],[Lvl]:[Paper Description]])</f>
        <v>2D74SE101SD580BLACK 60 X 961102100DS064-6200BLACK</v>
      </c>
      <c r="J288" s="7">
        <f>COUNTIF(Paper_Reference[Duplicate Key],Paper_Reference[[#This Row],[Duplicate Key]])</f>
        <v>1</v>
      </c>
    </row>
    <row r="289" spans="1:10">
      <c r="A289" s="7">
        <v>2</v>
      </c>
      <c r="B289" s="8" t="s">
        <v>4779</v>
      </c>
      <c r="C289" s="8" t="s">
        <v>4415</v>
      </c>
      <c r="D289" s="7">
        <v>1</v>
      </c>
      <c r="E289" s="7">
        <v>10</v>
      </c>
      <c r="F289" s="7">
        <v>2</v>
      </c>
      <c r="G289" s="8" t="s">
        <v>4371</v>
      </c>
      <c r="H289" s="8" t="s">
        <v>4372</v>
      </c>
      <c r="I289" s="7" t="str">
        <f>_xlfn.CONCAT(Paper_Reference[[#This Row],[Lvl]:[Paper Description]])</f>
        <v>2D74SE101SDDAN2BLACK 61 X 1451102100DS064-6200BLACK</v>
      </c>
      <c r="J289" s="7">
        <f>COUNTIF(Paper_Reference[Duplicate Key],Paper_Reference[[#This Row],[Duplicate Key]])</f>
        <v>1</v>
      </c>
    </row>
    <row r="290" spans="1:10">
      <c r="A290" s="7">
        <v>2</v>
      </c>
      <c r="B290" s="8" t="s">
        <v>5494</v>
      </c>
      <c r="C290" s="8" t="s">
        <v>5378</v>
      </c>
      <c r="D290" s="7">
        <v>1</v>
      </c>
      <c r="E290" s="7">
        <v>10</v>
      </c>
      <c r="F290" s="7">
        <v>2</v>
      </c>
      <c r="G290" s="8" t="s">
        <v>5373</v>
      </c>
      <c r="H290" s="8" t="s">
        <v>5374</v>
      </c>
      <c r="I290" s="7" t="str">
        <f>_xlfn.CONCAT(Paper_Reference[[#This Row],[Lvl]:[Paper Description]])</f>
        <v>2D74WW971SD500GUN SAVOY WALNUT 60 X 1201102100WW971-6200GUN SAVOY WALNUT</v>
      </c>
      <c r="J290" s="7">
        <f>COUNTIF(Paper_Reference[Duplicate Key],Paper_Reference[[#This Row],[Duplicate Key]])</f>
        <v>1</v>
      </c>
    </row>
    <row r="291" spans="1:10">
      <c r="A291" s="7">
        <v>2</v>
      </c>
      <c r="B291" s="8" t="s">
        <v>4780</v>
      </c>
      <c r="C291" s="8" t="s">
        <v>4416</v>
      </c>
      <c r="D291" s="7">
        <v>1</v>
      </c>
      <c r="E291" s="7">
        <v>10</v>
      </c>
      <c r="F291" s="7">
        <v>1</v>
      </c>
      <c r="G291" s="8" t="s">
        <v>4371</v>
      </c>
      <c r="H291" s="8" t="s">
        <v>4372</v>
      </c>
      <c r="I291" s="7" t="str">
        <f>_xlfn.CONCAT(Paper_Reference[[#This Row],[Lvl]:[Paper Description]])</f>
        <v>2D76DF173N580HP463/SE101 60 X 961101100DS064-6200BLACK</v>
      </c>
      <c r="J291" s="7">
        <f>COUNTIF(Paper_Reference[Duplicate Key],Paper_Reference[[#This Row],[Duplicate Key]])</f>
        <v>1</v>
      </c>
    </row>
    <row r="292" spans="1:10">
      <c r="A292" s="7">
        <v>3</v>
      </c>
      <c r="B292" s="8" t="s">
        <v>4781</v>
      </c>
      <c r="C292" s="8" t="s">
        <v>4417</v>
      </c>
      <c r="D292" s="7">
        <v>1</v>
      </c>
      <c r="E292" s="7">
        <v>55</v>
      </c>
      <c r="F292" s="7">
        <v>4.7600000000000003E-2</v>
      </c>
      <c r="G292" s="8" t="s">
        <v>4371</v>
      </c>
      <c r="H292" s="8" t="s">
        <v>4372</v>
      </c>
      <c r="I292" s="7" t="str">
        <f>_xlfn.CONCAT(Paper_Reference[[#This Row],[Lvl]:[Paper Description]])</f>
        <v>3D77ST627NXYZ1MARITIME GRAY 19 7/8 X 20 1/21550.0476100DS064-6200BLACK</v>
      </c>
      <c r="J292" s="7">
        <f>COUNTIF(Paper_Reference[Duplicate Key],Paper_Reference[[#This Row],[Duplicate Key]])</f>
        <v>1</v>
      </c>
    </row>
    <row r="293" spans="1:10">
      <c r="A293" s="7">
        <v>3</v>
      </c>
      <c r="B293" s="8" t="s">
        <v>4782</v>
      </c>
      <c r="C293" s="8" t="s">
        <v>4417</v>
      </c>
      <c r="D293" s="7">
        <v>1</v>
      </c>
      <c r="E293" s="7">
        <v>55</v>
      </c>
      <c r="F293" s="7">
        <v>4.7600000000000003E-2</v>
      </c>
      <c r="G293" s="8" t="s">
        <v>4371</v>
      </c>
      <c r="H293" s="8" t="s">
        <v>4372</v>
      </c>
      <c r="I293" s="7" t="str">
        <f>_xlfn.CONCAT(Paper_Reference[[#This Row],[Lvl]:[Paper Description]])</f>
        <v>3D77ST627SDXYZ1MARITIME GRAY 19 7/8 X 20 1/21550.0476100DS064-6200BLACK</v>
      </c>
      <c r="J293" s="7">
        <f>COUNTIF(Paper_Reference[Duplicate Key],Paper_Reference[[#This Row],[Duplicate Key]])</f>
        <v>1</v>
      </c>
    </row>
    <row r="294" spans="1:10">
      <c r="A294" s="7">
        <v>2</v>
      </c>
      <c r="B294" s="8" t="s">
        <v>4783</v>
      </c>
      <c r="C294" s="8" t="s">
        <v>4373</v>
      </c>
      <c r="D294" s="7">
        <v>1</v>
      </c>
      <c r="E294" s="7">
        <v>10</v>
      </c>
      <c r="F294" s="7">
        <v>2</v>
      </c>
      <c r="G294" s="8" t="s">
        <v>4371</v>
      </c>
      <c r="H294" s="8" t="s">
        <v>4372</v>
      </c>
      <c r="I294" s="7" t="str">
        <f>_xlfn.CONCAT(Paper_Reference[[#This Row],[Lvl]:[Paper Description]])</f>
        <v>2D83SE101SD500BLACK 60 X 1201102100DS064-6200BLACK</v>
      </c>
      <c r="J294" s="7">
        <f>COUNTIF(Paper_Reference[Duplicate Key],Paper_Reference[[#This Row],[Duplicate Key]])</f>
        <v>1</v>
      </c>
    </row>
    <row r="295" spans="1:10">
      <c r="A295" s="7">
        <v>3</v>
      </c>
      <c r="B295" s="8" t="s">
        <v>162</v>
      </c>
      <c r="C295" s="8" t="s">
        <v>163</v>
      </c>
      <c r="D295" s="7">
        <v>1</v>
      </c>
      <c r="E295" s="7">
        <v>91</v>
      </c>
      <c r="F295" s="7">
        <v>1</v>
      </c>
      <c r="G295" s="8" t="s">
        <v>2144</v>
      </c>
      <c r="H295" s="8" t="s">
        <v>1242</v>
      </c>
      <c r="I295" s="7" t="str">
        <f>_xlfn.CONCAT(Paper_Reference[[#This Row],[Lvl]:[Paper Description]])</f>
        <v>3DBLKGOLDAPPK1DIG BLK W/GOLD TWO LANE PACK191110000020-6200Premium Inkjet MPK 9653</v>
      </c>
      <c r="J295" s="7">
        <f>COUNTIF(Paper_Reference[Duplicate Key],Paper_Reference[[#This Row],[Duplicate Key]])</f>
        <v>1</v>
      </c>
    </row>
    <row r="296" spans="1:10">
      <c r="A296" s="7">
        <v>3</v>
      </c>
      <c r="B296" s="8" t="s">
        <v>162</v>
      </c>
      <c r="C296" s="8" t="s">
        <v>163</v>
      </c>
      <c r="D296" s="7">
        <v>1</v>
      </c>
      <c r="E296" s="7">
        <v>91</v>
      </c>
      <c r="F296" s="7">
        <v>2</v>
      </c>
      <c r="G296" s="8" t="s">
        <v>1241</v>
      </c>
      <c r="H296" s="8" t="s">
        <v>1242</v>
      </c>
      <c r="I296" s="7" t="str">
        <f>_xlfn.CONCAT(Paper_Reference[[#This Row],[Lvl]:[Paper Description]])</f>
        <v>3DBLKGOLDAPPK1DIG BLK W/GOLD TWO LANE PACK191210000020-5000Premium Inkjet MPK 9653</v>
      </c>
      <c r="J296" s="7">
        <f>COUNTIF(Paper_Reference[Duplicate Key],Paper_Reference[[#This Row],[Duplicate Key]])</f>
        <v>1</v>
      </c>
    </row>
    <row r="297" spans="1:10">
      <c r="A297" s="7">
        <v>3</v>
      </c>
      <c r="B297" s="8" t="s">
        <v>168</v>
      </c>
      <c r="C297" s="8" t="s">
        <v>169</v>
      </c>
      <c r="D297" s="7">
        <v>1</v>
      </c>
      <c r="E297" s="7">
        <v>91</v>
      </c>
      <c r="F297" s="7">
        <v>1</v>
      </c>
      <c r="G297" s="8" t="s">
        <v>972</v>
      </c>
      <c r="H297" s="8" t="s">
        <v>981</v>
      </c>
      <c r="I297" s="7" t="str">
        <f>_xlfn.CONCAT(Paper_Reference[[#This Row],[Lvl]:[Paper Description]])</f>
        <v>3DDIGKM009APK1DDIG KM009 UV BRUNS SILVER 2LP1911100KM009-6200Bruns Silver w/lines Print</v>
      </c>
      <c r="J297" s="7">
        <f>COUNTIF(Paper_Reference[Duplicate Key],Paper_Reference[[#This Row],[Duplicate Key]])</f>
        <v>1</v>
      </c>
    </row>
    <row r="298" spans="1:10">
      <c r="A298" s="7">
        <v>3</v>
      </c>
      <c r="B298" s="8" t="s">
        <v>180</v>
      </c>
      <c r="C298" s="8" t="s">
        <v>181</v>
      </c>
      <c r="D298" s="7">
        <v>1</v>
      </c>
      <c r="E298" s="7">
        <v>91</v>
      </c>
      <c r="F298" s="7">
        <v>1</v>
      </c>
      <c r="G298" s="8" t="s">
        <v>972</v>
      </c>
      <c r="H298" s="8" t="s">
        <v>981</v>
      </c>
      <c r="I298" s="7" t="str">
        <f>_xlfn.CONCAT(Paper_Reference[[#This Row],[Lvl]:[Paper Description]])</f>
        <v>3DDIGKM009APK2DDIG KM009 UV BRUNS SILVER LLP1911100KM009-6200Bruns Silver w/lines Print</v>
      </c>
      <c r="J298" s="7">
        <f>COUNTIF(Paper_Reference[Duplicate Key],Paper_Reference[[#This Row],[Duplicate Key]])</f>
        <v>1</v>
      </c>
    </row>
    <row r="299" spans="1:10">
      <c r="A299" s="7">
        <v>3</v>
      </c>
      <c r="B299" s="8" t="s">
        <v>1664</v>
      </c>
      <c r="C299" s="8" t="s">
        <v>1245</v>
      </c>
      <c r="D299" s="7">
        <v>1</v>
      </c>
      <c r="E299" s="7">
        <v>91</v>
      </c>
      <c r="F299" s="7">
        <v>1</v>
      </c>
      <c r="G299" s="8" t="s">
        <v>1241</v>
      </c>
      <c r="H299" s="8" t="s">
        <v>1242</v>
      </c>
      <c r="I299" s="7" t="str">
        <f>_xlfn.CONCAT(Paper_Reference[[#This Row],[Lvl]:[Paper Description]])</f>
        <v>3DIGATKLOAPPK1DIG UV SYN ATK LOGO 2LP191110000020-5000Premium Inkjet MPK 9653</v>
      </c>
      <c r="J299" s="7">
        <f>COUNTIF(Paper_Reference[Duplicate Key],Paper_Reference[[#This Row],[Duplicate Key]])</f>
        <v>1</v>
      </c>
    </row>
    <row r="300" spans="1:10">
      <c r="A300" s="7">
        <v>3</v>
      </c>
      <c r="B300" s="8" t="s">
        <v>1664</v>
      </c>
      <c r="C300" s="8" t="s">
        <v>1245</v>
      </c>
      <c r="D300" s="7">
        <v>1</v>
      </c>
      <c r="E300" s="7">
        <v>91</v>
      </c>
      <c r="F300" s="7">
        <v>1</v>
      </c>
      <c r="G300" s="8" t="s">
        <v>2144</v>
      </c>
      <c r="H300" s="8" t="s">
        <v>1242</v>
      </c>
      <c r="I300" s="7" t="str">
        <f>_xlfn.CONCAT(Paper_Reference[[#This Row],[Lvl]:[Paper Description]])</f>
        <v>3DIGATKLOAPPK1DIG UV SYN ATK LOGO 2LP191110000020-6200Premium Inkjet MPK 9653</v>
      </c>
      <c r="J300" s="7">
        <f>COUNTIF(Paper_Reference[Duplicate Key],Paper_Reference[[#This Row],[Duplicate Key]])</f>
        <v>1</v>
      </c>
    </row>
    <row r="301" spans="1:10">
      <c r="A301" s="7">
        <v>3</v>
      </c>
      <c r="B301" s="8" t="s">
        <v>1665</v>
      </c>
      <c r="C301" s="8" t="s">
        <v>1246</v>
      </c>
      <c r="D301" s="7">
        <v>1</v>
      </c>
      <c r="E301" s="7">
        <v>91</v>
      </c>
      <c r="F301" s="7">
        <v>1</v>
      </c>
      <c r="G301" s="8" t="s">
        <v>2144</v>
      </c>
      <c r="H301" s="8" t="s">
        <v>1242</v>
      </c>
      <c r="I301" s="7" t="str">
        <f>_xlfn.CONCAT(Paper_Reference[[#This Row],[Lvl]:[Paper Description]])</f>
        <v>3DIGAY160APPK1DIG UV WY160 AC 2LP191110000020-6200Premium Inkjet MPK 9653</v>
      </c>
      <c r="J301" s="7">
        <f>COUNTIF(Paper_Reference[Duplicate Key],Paper_Reference[[#This Row],[Duplicate Key]])</f>
        <v>1</v>
      </c>
    </row>
    <row r="302" spans="1:10">
      <c r="A302" s="7">
        <v>3</v>
      </c>
      <c r="B302" s="8" t="s">
        <v>1665</v>
      </c>
      <c r="C302" s="8" t="s">
        <v>1246</v>
      </c>
      <c r="D302" s="7">
        <v>1</v>
      </c>
      <c r="E302" s="7">
        <v>91</v>
      </c>
      <c r="F302" s="7">
        <v>6</v>
      </c>
      <c r="G302" s="8" t="s">
        <v>1241</v>
      </c>
      <c r="H302" s="8" t="s">
        <v>1242</v>
      </c>
      <c r="I302" s="7" t="str">
        <f>_xlfn.CONCAT(Paper_Reference[[#This Row],[Lvl]:[Paper Description]])</f>
        <v>3DIGAY160APPK1DIG UV WY160 AC 2LP191610000020-5000Premium Inkjet MPK 9653</v>
      </c>
      <c r="J302" s="7">
        <f>COUNTIF(Paper_Reference[Duplicate Key],Paper_Reference[[#This Row],[Duplicate Key]])</f>
        <v>1</v>
      </c>
    </row>
    <row r="303" spans="1:10">
      <c r="A303" s="7">
        <v>3</v>
      </c>
      <c r="B303" s="8" t="s">
        <v>190</v>
      </c>
      <c r="C303" s="8" t="s">
        <v>191</v>
      </c>
      <c r="D303" s="7">
        <v>1</v>
      </c>
      <c r="E303" s="7">
        <v>91</v>
      </c>
      <c r="F303" s="7">
        <v>1</v>
      </c>
      <c r="G303" s="8" t="s">
        <v>2144</v>
      </c>
      <c r="H303" s="8" t="s">
        <v>1242</v>
      </c>
      <c r="I303" s="7" t="str">
        <f>_xlfn.CONCAT(Paper_Reference[[#This Row],[Lvl]:[Paper Description]])</f>
        <v>3DIGBLKFOAPK1DIG BLK FOREST EM LOGO 2LP191110000020-6200Premium Inkjet MPK 9653</v>
      </c>
      <c r="J303" s="7">
        <f>COUNTIF(Paper_Reference[Duplicate Key],Paper_Reference[[#This Row],[Duplicate Key]])</f>
        <v>1</v>
      </c>
    </row>
    <row r="304" spans="1:10">
      <c r="A304" s="7">
        <v>3</v>
      </c>
      <c r="B304" s="8" t="s">
        <v>190</v>
      </c>
      <c r="C304" s="8" t="s">
        <v>191</v>
      </c>
      <c r="D304" s="7">
        <v>1</v>
      </c>
      <c r="E304" s="7">
        <v>91</v>
      </c>
      <c r="F304" s="7">
        <v>6</v>
      </c>
      <c r="G304" s="8" t="s">
        <v>1241</v>
      </c>
      <c r="H304" s="8" t="s">
        <v>1242</v>
      </c>
      <c r="I304" s="7" t="str">
        <f>_xlfn.CONCAT(Paper_Reference[[#This Row],[Lvl]:[Paper Description]])</f>
        <v>3DIGBLKFOAPK1DIG BLK FOREST EM LOGO 2LP191610000020-5000Premium Inkjet MPK 9653</v>
      </c>
      <c r="J304" s="7">
        <f>COUNTIF(Paper_Reference[Duplicate Key],Paper_Reference[[#This Row],[Duplicate Key]])</f>
        <v>1</v>
      </c>
    </row>
    <row r="305" spans="1:10">
      <c r="A305" s="7">
        <v>3</v>
      </c>
      <c r="B305" s="8" t="s">
        <v>1666</v>
      </c>
      <c r="C305" s="8" t="s">
        <v>1247</v>
      </c>
      <c r="D305" s="7">
        <v>1</v>
      </c>
      <c r="E305" s="7">
        <v>91</v>
      </c>
      <c r="F305" s="7">
        <v>1</v>
      </c>
      <c r="G305" s="8" t="s">
        <v>2144</v>
      </c>
      <c r="H305" s="8" t="s">
        <v>1242</v>
      </c>
      <c r="I305" s="7" t="str">
        <f>_xlfn.CONCAT(Paper_Reference[[#This Row],[Lvl]:[Paper Description]])</f>
        <v>3DIGBRACKAPK1DIG BRACKETT WALNUT 2LP191110000020-6200Premium Inkjet MPK 9653</v>
      </c>
      <c r="J305" s="7">
        <f>COUNTIF(Paper_Reference[Duplicate Key],Paper_Reference[[#This Row],[Duplicate Key]])</f>
        <v>1</v>
      </c>
    </row>
    <row r="306" spans="1:10">
      <c r="A306" s="7">
        <v>3</v>
      </c>
      <c r="B306" s="8" t="s">
        <v>1666</v>
      </c>
      <c r="C306" s="8" t="s">
        <v>1247</v>
      </c>
      <c r="D306" s="7">
        <v>1</v>
      </c>
      <c r="E306" s="7">
        <v>91</v>
      </c>
      <c r="F306" s="7">
        <v>2</v>
      </c>
      <c r="G306" s="8" t="s">
        <v>1241</v>
      </c>
      <c r="H306" s="8" t="s">
        <v>1242</v>
      </c>
      <c r="I306" s="7" t="str">
        <f>_xlfn.CONCAT(Paper_Reference[[#This Row],[Lvl]:[Paper Description]])</f>
        <v>3DIGBRACKAPK1DIG BRACKETT WALNUT 2LP191210000020-5000Premium Inkjet MPK 9653</v>
      </c>
      <c r="J306" s="7">
        <f>COUNTIF(Paper_Reference[Duplicate Key],Paper_Reference[[#This Row],[Duplicate Key]])</f>
        <v>1</v>
      </c>
    </row>
    <row r="307" spans="1:10">
      <c r="A307" s="7">
        <v>3</v>
      </c>
      <c r="B307" s="8" t="s">
        <v>1667</v>
      </c>
      <c r="C307" s="8" t="s">
        <v>1248</v>
      </c>
      <c r="D307" s="7">
        <v>1</v>
      </c>
      <c r="E307" s="7">
        <v>91</v>
      </c>
      <c r="F307" s="7">
        <v>1</v>
      </c>
      <c r="G307" s="8" t="s">
        <v>2144</v>
      </c>
      <c r="H307" s="8" t="s">
        <v>1242</v>
      </c>
      <c r="I307" s="7" t="str">
        <f>_xlfn.CONCAT(Paper_Reference[[#This Row],[Lvl]:[Paper Description]])</f>
        <v>3DIGFOXLOAPPK1DIG UV SYN FOX LOGO 2 LP191110000020-6200Premium Inkjet MPK 9653</v>
      </c>
      <c r="J307" s="7">
        <f>COUNTIF(Paper_Reference[Duplicate Key],Paper_Reference[[#This Row],[Duplicate Key]])</f>
        <v>1</v>
      </c>
    </row>
    <row r="308" spans="1:10">
      <c r="A308" s="7">
        <v>3</v>
      </c>
      <c r="B308" s="8" t="s">
        <v>1667</v>
      </c>
      <c r="C308" s="8" t="s">
        <v>1248</v>
      </c>
      <c r="D308" s="7">
        <v>1</v>
      </c>
      <c r="E308" s="7">
        <v>91</v>
      </c>
      <c r="F308" s="7">
        <v>3</v>
      </c>
      <c r="G308" s="8" t="s">
        <v>1241</v>
      </c>
      <c r="H308" s="8" t="s">
        <v>1242</v>
      </c>
      <c r="I308" s="7" t="str">
        <f>_xlfn.CONCAT(Paper_Reference[[#This Row],[Lvl]:[Paper Description]])</f>
        <v>3DIGFOXLOAPPK1DIG UV SYN FOX LOGO 2 LP191310000020-5000Premium Inkjet MPK 9653</v>
      </c>
      <c r="J308" s="7">
        <f>COUNTIF(Paper_Reference[Duplicate Key],Paper_Reference[[#This Row],[Duplicate Key]])</f>
        <v>1</v>
      </c>
    </row>
    <row r="309" spans="1:10">
      <c r="A309" s="7">
        <v>3</v>
      </c>
      <c r="B309" s="8" t="s">
        <v>1668</v>
      </c>
      <c r="C309" s="8" t="s">
        <v>1249</v>
      </c>
      <c r="D309" s="7">
        <v>1</v>
      </c>
      <c r="E309" s="7">
        <v>91</v>
      </c>
      <c r="F309" s="7">
        <v>1</v>
      </c>
      <c r="G309" s="8" t="s">
        <v>2144</v>
      </c>
      <c r="H309" s="8" t="s">
        <v>1242</v>
      </c>
      <c r="I309" s="7" t="str">
        <f>_xlfn.CONCAT(Paper_Reference[[#This Row],[Lvl]:[Paper Description]])</f>
        <v>3DIGFRIGAAPPK1DIG UV FRIGAT (AE2-2-14) 2LP191110000020-6200Premium Inkjet MPK 9653</v>
      </c>
      <c r="J309" s="7">
        <f>COUNTIF(Paper_Reference[Duplicate Key],Paper_Reference[[#This Row],[Duplicate Key]])</f>
        <v>1</v>
      </c>
    </row>
    <row r="310" spans="1:10">
      <c r="A310" s="7">
        <v>3</v>
      </c>
      <c r="B310" s="8" t="s">
        <v>1668</v>
      </c>
      <c r="C310" s="8" t="s">
        <v>1249</v>
      </c>
      <c r="D310" s="7">
        <v>1</v>
      </c>
      <c r="E310" s="7">
        <v>91</v>
      </c>
      <c r="F310" s="7">
        <v>2</v>
      </c>
      <c r="G310" s="8" t="s">
        <v>1241</v>
      </c>
      <c r="H310" s="8" t="s">
        <v>1242</v>
      </c>
      <c r="I310" s="7" t="str">
        <f>_xlfn.CONCAT(Paper_Reference[[#This Row],[Lvl]:[Paper Description]])</f>
        <v>3DIGFRIGAAPPK1DIG UV FRIGAT (AE2-2-14) 2LP191210000020-5000Premium Inkjet MPK 9653</v>
      </c>
      <c r="J310" s="7">
        <f>COUNTIF(Paper_Reference[Duplicate Key],Paper_Reference[[#This Row],[Duplicate Key]])</f>
        <v>1</v>
      </c>
    </row>
    <row r="311" spans="1:10">
      <c r="A311" s="7">
        <v>3</v>
      </c>
      <c r="B311" s="8" t="s">
        <v>1669</v>
      </c>
      <c r="C311" s="8" t="s">
        <v>1250</v>
      </c>
      <c r="D311" s="7">
        <v>1</v>
      </c>
      <c r="E311" s="7">
        <v>91</v>
      </c>
      <c r="F311" s="7">
        <v>1</v>
      </c>
      <c r="G311" s="8" t="s">
        <v>2144</v>
      </c>
      <c r="H311" s="8" t="s">
        <v>1242</v>
      </c>
      <c r="I311" s="7" t="str">
        <f>_xlfn.CONCAT(Paper_Reference[[#This Row],[Lvl]:[Paper Description]])</f>
        <v>3DIGHORIZAPPK1DIG UV HORIZON 2LP191110000020-6200Premium Inkjet MPK 9653</v>
      </c>
      <c r="J311" s="7">
        <f>COUNTIF(Paper_Reference[Duplicate Key],Paper_Reference[[#This Row],[Duplicate Key]])</f>
        <v>1</v>
      </c>
    </row>
    <row r="312" spans="1:10">
      <c r="A312" s="7">
        <v>3</v>
      </c>
      <c r="B312" s="8" t="s">
        <v>1669</v>
      </c>
      <c r="C312" s="8" t="s">
        <v>1250</v>
      </c>
      <c r="D312" s="7">
        <v>1</v>
      </c>
      <c r="E312" s="7">
        <v>91</v>
      </c>
      <c r="F312" s="7">
        <v>3</v>
      </c>
      <c r="G312" s="8" t="s">
        <v>1241</v>
      </c>
      <c r="H312" s="8" t="s">
        <v>1242</v>
      </c>
      <c r="I312" s="7" t="str">
        <f>_xlfn.CONCAT(Paper_Reference[[#This Row],[Lvl]:[Paper Description]])</f>
        <v>3DIGHORIZAPPK1DIG UV HORIZON 2LP191310000020-5000Premium Inkjet MPK 9653</v>
      </c>
      <c r="J312" s="7">
        <f>COUNTIF(Paper_Reference[Duplicate Key],Paper_Reference[[#This Row],[Duplicate Key]])</f>
        <v>1</v>
      </c>
    </row>
    <row r="313" spans="1:10">
      <c r="A313" s="7">
        <v>3</v>
      </c>
      <c r="B313" s="8" t="s">
        <v>1670</v>
      </c>
      <c r="C313" s="8" t="s">
        <v>1251</v>
      </c>
      <c r="D313" s="7">
        <v>1</v>
      </c>
      <c r="E313" s="7">
        <v>91</v>
      </c>
      <c r="F313" s="7">
        <v>1</v>
      </c>
      <c r="G313" s="8" t="s">
        <v>2144</v>
      </c>
      <c r="H313" s="8" t="s">
        <v>1242</v>
      </c>
      <c r="I313" s="7" t="str">
        <f>_xlfn.CONCAT(Paper_Reference[[#This Row],[Lvl]:[Paper Description]])</f>
        <v>3DIGHP360APPK1DIG UV HP360 AFT SHOWERS LLP191110000020-6200Premium Inkjet MPK 9653</v>
      </c>
      <c r="J313" s="7">
        <f>COUNTIF(Paper_Reference[Duplicate Key],Paper_Reference[[#This Row],[Duplicate Key]])</f>
        <v>1</v>
      </c>
    </row>
    <row r="314" spans="1:10">
      <c r="A314" s="7">
        <v>3</v>
      </c>
      <c r="B314" s="8" t="s">
        <v>1670</v>
      </c>
      <c r="C314" s="8" t="s">
        <v>1251</v>
      </c>
      <c r="D314" s="7">
        <v>1</v>
      </c>
      <c r="E314" s="7">
        <v>91</v>
      </c>
      <c r="F314" s="7">
        <v>3</v>
      </c>
      <c r="G314" s="8" t="s">
        <v>1241</v>
      </c>
      <c r="H314" s="8" t="s">
        <v>1242</v>
      </c>
      <c r="I314" s="7" t="str">
        <f>_xlfn.CONCAT(Paper_Reference[[#This Row],[Lvl]:[Paper Description]])</f>
        <v>3DIGHP360APPK1DIG UV HP360 AFT SHOWERS LLP191310000020-5000Premium Inkjet MPK 9653</v>
      </c>
      <c r="J314" s="7">
        <f>COUNTIF(Paper_Reference[Duplicate Key],Paper_Reference[[#This Row],[Duplicate Key]])</f>
        <v>1</v>
      </c>
    </row>
    <row r="315" spans="1:10">
      <c r="A315" s="7">
        <v>3</v>
      </c>
      <c r="B315" s="8" t="s">
        <v>1671</v>
      </c>
      <c r="C315" s="8" t="s">
        <v>1252</v>
      </c>
      <c r="D315" s="7">
        <v>1</v>
      </c>
      <c r="E315" s="7">
        <v>91</v>
      </c>
      <c r="F315" s="7">
        <v>1</v>
      </c>
      <c r="G315" s="8" t="s">
        <v>2144</v>
      </c>
      <c r="H315" s="8" t="s">
        <v>1242</v>
      </c>
      <c r="I315" s="7" t="str">
        <f>_xlfn.CONCAT(Paper_Reference[[#This Row],[Lvl]:[Paper Description]])</f>
        <v>3DIGHP689APK1DIG UV HP689 2LP191110000020-6200Premium Inkjet MPK 9653</v>
      </c>
      <c r="J315" s="7">
        <f>COUNTIF(Paper_Reference[Duplicate Key],Paper_Reference[[#This Row],[Duplicate Key]])</f>
        <v>1</v>
      </c>
    </row>
    <row r="316" spans="1:10">
      <c r="A316" s="7">
        <v>3</v>
      </c>
      <c r="B316" s="8" t="s">
        <v>1671</v>
      </c>
      <c r="C316" s="8" t="s">
        <v>1252</v>
      </c>
      <c r="D316" s="7">
        <v>1</v>
      </c>
      <c r="E316" s="7">
        <v>91</v>
      </c>
      <c r="F316" s="7">
        <v>2</v>
      </c>
      <c r="G316" s="8" t="s">
        <v>1241</v>
      </c>
      <c r="H316" s="8" t="s">
        <v>1242</v>
      </c>
      <c r="I316" s="7" t="str">
        <f>_xlfn.CONCAT(Paper_Reference[[#This Row],[Lvl]:[Paper Description]])</f>
        <v>3DIGHP689APK1DIG UV HP689 2LP191210000020-5000Premium Inkjet MPK 9653</v>
      </c>
      <c r="J316" s="7">
        <f>COUNTIF(Paper_Reference[Duplicate Key],Paper_Reference[[#This Row],[Duplicate Key]])</f>
        <v>1</v>
      </c>
    </row>
    <row r="317" spans="1:10">
      <c r="A317" s="7">
        <v>3</v>
      </c>
      <c r="B317" s="8" t="s">
        <v>1672</v>
      </c>
      <c r="C317" s="8" t="s">
        <v>1253</v>
      </c>
      <c r="D317" s="7">
        <v>1</v>
      </c>
      <c r="E317" s="7">
        <v>91</v>
      </c>
      <c r="F317" s="7">
        <v>1</v>
      </c>
      <c r="G317" s="8" t="s">
        <v>2144</v>
      </c>
      <c r="H317" s="8" t="s">
        <v>1242</v>
      </c>
      <c r="I317" s="7" t="str">
        <f>_xlfn.CONCAT(Paper_Reference[[#This Row],[Lvl]:[Paper Description]])</f>
        <v>3DIGMT340APPK1DIG UV MT340 ROC 2LP191110000020-6200Premium Inkjet MPK 9653</v>
      </c>
      <c r="J317" s="7">
        <f>COUNTIF(Paper_Reference[Duplicate Key],Paper_Reference[[#This Row],[Duplicate Key]])</f>
        <v>1</v>
      </c>
    </row>
    <row r="318" spans="1:10">
      <c r="A318" s="7">
        <v>3</v>
      </c>
      <c r="B318" s="8" t="s">
        <v>1672</v>
      </c>
      <c r="C318" s="8" t="s">
        <v>1253</v>
      </c>
      <c r="D318" s="7">
        <v>1</v>
      </c>
      <c r="E318" s="7">
        <v>91</v>
      </c>
      <c r="F318" s="7">
        <v>6</v>
      </c>
      <c r="G318" s="8" t="s">
        <v>1241</v>
      </c>
      <c r="H318" s="8" t="s">
        <v>1242</v>
      </c>
      <c r="I318" s="7" t="str">
        <f>_xlfn.CONCAT(Paper_Reference[[#This Row],[Lvl]:[Paper Description]])</f>
        <v>3DIGMT340APPK1DIG UV MT340 ROC 2LP191610000020-5000Premium Inkjet MPK 9653</v>
      </c>
      <c r="J318" s="7">
        <f>COUNTIF(Paper_Reference[Duplicate Key],Paper_Reference[[#This Row],[Duplicate Key]])</f>
        <v>1</v>
      </c>
    </row>
    <row r="319" spans="1:10">
      <c r="A319" s="7">
        <v>3</v>
      </c>
      <c r="B319" s="8" t="s">
        <v>1673</v>
      </c>
      <c r="C319" s="8" t="s">
        <v>1254</v>
      </c>
      <c r="D319" s="7">
        <v>1</v>
      </c>
      <c r="E319" s="7">
        <v>91</v>
      </c>
      <c r="F319" s="7">
        <v>1</v>
      </c>
      <c r="G319" s="8" t="s">
        <v>2144</v>
      </c>
      <c r="H319" s="8" t="s">
        <v>1242</v>
      </c>
      <c r="I319" s="7" t="str">
        <f>_xlfn.CONCAT(Paper_Reference[[#This Row],[Lvl]:[Paper Description]])</f>
        <v>3DIGMW580APPK1DIG UV MW580 2 LANE PACK191110000020-6200Premium Inkjet MPK 9653</v>
      </c>
      <c r="J319" s="7">
        <f>COUNTIF(Paper_Reference[Duplicate Key],Paper_Reference[[#This Row],[Duplicate Key]])</f>
        <v>1</v>
      </c>
    </row>
    <row r="320" spans="1:10">
      <c r="A320" s="7">
        <v>3</v>
      </c>
      <c r="B320" s="8" t="s">
        <v>1673</v>
      </c>
      <c r="C320" s="8" t="s">
        <v>1254</v>
      </c>
      <c r="D320" s="7">
        <v>1</v>
      </c>
      <c r="E320" s="7">
        <v>91</v>
      </c>
      <c r="F320" s="7">
        <v>6</v>
      </c>
      <c r="G320" s="8" t="s">
        <v>1241</v>
      </c>
      <c r="H320" s="8" t="s">
        <v>1242</v>
      </c>
      <c r="I320" s="7" t="str">
        <f>_xlfn.CONCAT(Paper_Reference[[#This Row],[Lvl]:[Paper Description]])</f>
        <v>3DIGMW580APPK1DIG UV MW580 2 LANE PACK191610000020-5000Premium Inkjet MPK 9653</v>
      </c>
      <c r="J320" s="7">
        <f>COUNTIF(Paper_Reference[Duplicate Key],Paper_Reference[[#This Row],[Duplicate Key]])</f>
        <v>1</v>
      </c>
    </row>
    <row r="321" spans="1:10">
      <c r="A321" s="7">
        <v>3</v>
      </c>
      <c r="B321" s="8" t="s">
        <v>1674</v>
      </c>
      <c r="C321" s="8" t="s">
        <v>1255</v>
      </c>
      <c r="D321" s="7">
        <v>1</v>
      </c>
      <c r="E321" s="7">
        <v>91</v>
      </c>
      <c r="F321" s="7">
        <v>1</v>
      </c>
      <c r="G321" s="8" t="s">
        <v>1241</v>
      </c>
      <c r="H321" s="8" t="s">
        <v>1242</v>
      </c>
      <c r="I321" s="7" t="str">
        <f>_xlfn.CONCAT(Paper_Reference[[#This Row],[Lvl]:[Paper Description]])</f>
        <v>3DIGMW580APPK2DIG UV MW580 RIGHT LP191110000020-5000Premium Inkjet MPK 9653</v>
      </c>
      <c r="J321" s="7">
        <f>COUNTIF(Paper_Reference[Duplicate Key],Paper_Reference[[#This Row],[Duplicate Key]])</f>
        <v>1</v>
      </c>
    </row>
    <row r="322" spans="1:10">
      <c r="A322" s="7">
        <v>3</v>
      </c>
      <c r="B322" s="8" t="s">
        <v>1674</v>
      </c>
      <c r="C322" s="8" t="s">
        <v>1255</v>
      </c>
      <c r="D322" s="7">
        <v>1</v>
      </c>
      <c r="E322" s="7">
        <v>91</v>
      </c>
      <c r="F322" s="7">
        <v>1</v>
      </c>
      <c r="G322" s="8" t="s">
        <v>2144</v>
      </c>
      <c r="H322" s="8" t="s">
        <v>1242</v>
      </c>
      <c r="I322" s="7" t="str">
        <f>_xlfn.CONCAT(Paper_Reference[[#This Row],[Lvl]:[Paper Description]])</f>
        <v>3DIGMW580APPK2DIG UV MW580 RIGHT LP191110000020-6200Premium Inkjet MPK 9653</v>
      </c>
      <c r="J322" s="7">
        <f>COUNTIF(Paper_Reference[Duplicate Key],Paper_Reference[[#This Row],[Duplicate Key]])</f>
        <v>1</v>
      </c>
    </row>
    <row r="323" spans="1:10">
      <c r="A323" s="7">
        <v>3</v>
      </c>
      <c r="B323" s="8" t="s">
        <v>8414</v>
      </c>
      <c r="C323" s="8" t="s">
        <v>8316</v>
      </c>
      <c r="D323" s="7">
        <v>1</v>
      </c>
      <c r="E323" s="7">
        <v>91</v>
      </c>
      <c r="F323" s="7">
        <v>1</v>
      </c>
      <c r="G323" s="8" t="s">
        <v>8302</v>
      </c>
      <c r="H323" s="8" t="s">
        <v>8303</v>
      </c>
      <c r="I323" s="7" t="str">
        <f>_xlfn.CONCAT(Paper_Reference[[#This Row],[Lvl]:[Paper Description]])</f>
        <v>3DIGPSW813APK1PRO UV DD SW813 IW HAZ 2LP1911100SW813-6200ICE WHITE</v>
      </c>
      <c r="J323" s="7">
        <f>COUNTIF(Paper_Reference[Duplicate Key],Paper_Reference[[#This Row],[Duplicate Key]])</f>
        <v>1</v>
      </c>
    </row>
    <row r="324" spans="1:10">
      <c r="A324" s="7">
        <v>3</v>
      </c>
      <c r="B324" s="8" t="s">
        <v>8415</v>
      </c>
      <c r="C324" s="8" t="s">
        <v>8317</v>
      </c>
      <c r="D324" s="7">
        <v>1</v>
      </c>
      <c r="E324" s="7">
        <v>91</v>
      </c>
      <c r="F324" s="7">
        <v>1</v>
      </c>
      <c r="G324" s="8" t="s">
        <v>8302</v>
      </c>
      <c r="H324" s="8" t="s">
        <v>8303</v>
      </c>
      <c r="I324" s="7" t="str">
        <f>_xlfn.CONCAT(Paper_Reference[[#This Row],[Lvl]:[Paper Description]])</f>
        <v>3DIGPSW813APK2PROSYN UV DD SW813 IW HAZ 2LP1911100SW813-6200ICE WHITE</v>
      </c>
      <c r="J324" s="7">
        <f>COUNTIF(Paper_Reference[Duplicate Key],Paper_Reference[[#This Row],[Duplicate Key]])</f>
        <v>1</v>
      </c>
    </row>
    <row r="325" spans="1:10">
      <c r="A325" s="7">
        <v>3</v>
      </c>
      <c r="B325" s="8" t="s">
        <v>1675</v>
      </c>
      <c r="C325" s="8" t="s">
        <v>1256</v>
      </c>
      <c r="D325" s="7">
        <v>1</v>
      </c>
      <c r="E325" s="7">
        <v>91</v>
      </c>
      <c r="F325" s="7">
        <v>1</v>
      </c>
      <c r="G325" s="8" t="s">
        <v>1241</v>
      </c>
      <c r="H325" s="8" t="s">
        <v>1242</v>
      </c>
      <c r="I325" s="7" t="str">
        <f>_xlfn.CONCAT(Paper_Reference[[#This Row],[Lvl]:[Paper Description]])</f>
        <v>3DIGRINEYAPPK1DIG RINEY OAK LEFT LANE PK191110000020-5000Premium Inkjet MPK 9653</v>
      </c>
      <c r="J325" s="7">
        <f>COUNTIF(Paper_Reference[Duplicate Key],Paper_Reference[[#This Row],[Duplicate Key]])</f>
        <v>1</v>
      </c>
    </row>
    <row r="326" spans="1:10">
      <c r="A326" s="7">
        <v>3</v>
      </c>
      <c r="B326" s="8" t="s">
        <v>1675</v>
      </c>
      <c r="C326" s="8" t="s">
        <v>1256</v>
      </c>
      <c r="D326" s="7">
        <v>1</v>
      </c>
      <c r="E326" s="7">
        <v>91</v>
      </c>
      <c r="F326" s="7">
        <v>1</v>
      </c>
      <c r="G326" s="8" t="s">
        <v>2144</v>
      </c>
      <c r="H326" s="8" t="s">
        <v>1242</v>
      </c>
      <c r="I326" s="7" t="str">
        <f>_xlfn.CONCAT(Paper_Reference[[#This Row],[Lvl]:[Paper Description]])</f>
        <v>3DIGRINEYAPPK1DIG RINEY OAK LEFT LANE PK191110000020-6200Premium Inkjet MPK 9653</v>
      </c>
      <c r="J326" s="7">
        <f>COUNTIF(Paper_Reference[Duplicate Key],Paper_Reference[[#This Row],[Duplicate Key]])</f>
        <v>1</v>
      </c>
    </row>
    <row r="327" spans="1:10">
      <c r="A327" s="7">
        <v>3</v>
      </c>
      <c r="B327" s="8" t="s">
        <v>1676</v>
      </c>
      <c r="C327" s="8" t="s">
        <v>1257</v>
      </c>
      <c r="D327" s="7">
        <v>1</v>
      </c>
      <c r="E327" s="7">
        <v>91</v>
      </c>
      <c r="F327" s="7">
        <v>1</v>
      </c>
      <c r="G327" s="8" t="s">
        <v>2144</v>
      </c>
      <c r="H327" s="8" t="s">
        <v>1242</v>
      </c>
      <c r="I327" s="7" t="str">
        <f>_xlfn.CONCAT(Paper_Reference[[#This Row],[Lvl]:[Paper Description]])</f>
        <v>3DIGS3023APPK1DIG UV S3023 2LP191110000020-6200Premium Inkjet MPK 9653</v>
      </c>
      <c r="J327" s="7">
        <f>COUNTIF(Paper_Reference[Duplicate Key],Paper_Reference[[#This Row],[Duplicate Key]])</f>
        <v>1</v>
      </c>
    </row>
    <row r="328" spans="1:10">
      <c r="A328" s="7">
        <v>3</v>
      </c>
      <c r="B328" s="8" t="s">
        <v>1676</v>
      </c>
      <c r="C328" s="8" t="s">
        <v>1257</v>
      </c>
      <c r="D328" s="7">
        <v>1</v>
      </c>
      <c r="E328" s="7">
        <v>91</v>
      </c>
      <c r="F328" s="7">
        <v>2</v>
      </c>
      <c r="G328" s="8" t="s">
        <v>1241</v>
      </c>
      <c r="H328" s="8" t="s">
        <v>1242</v>
      </c>
      <c r="I328" s="7" t="str">
        <f>_xlfn.CONCAT(Paper_Reference[[#This Row],[Lvl]:[Paper Description]])</f>
        <v>3DIGS3023APPK1DIG UV S3023 2LP191210000020-5000Premium Inkjet MPK 9653</v>
      </c>
      <c r="J328" s="7">
        <f>COUNTIF(Paper_Reference[Duplicate Key],Paper_Reference[[#This Row],[Duplicate Key]])</f>
        <v>1</v>
      </c>
    </row>
    <row r="329" spans="1:10">
      <c r="A329" s="7">
        <v>3</v>
      </c>
      <c r="B329" s="8" t="s">
        <v>1677</v>
      </c>
      <c r="C329" s="8" t="s">
        <v>1258</v>
      </c>
      <c r="D329" s="7">
        <v>1</v>
      </c>
      <c r="E329" s="7">
        <v>91</v>
      </c>
      <c r="F329" s="7">
        <v>1</v>
      </c>
      <c r="G329" s="8" t="s">
        <v>2144</v>
      </c>
      <c r="H329" s="8" t="s">
        <v>1242</v>
      </c>
      <c r="I329" s="7" t="str">
        <f>_xlfn.CONCAT(Paper_Reference[[#This Row],[Lvl]:[Paper Description]])</f>
        <v>3DIGSB027APPK1DIG UV SB027 SUMMER VACA LLP191110000020-6200Premium Inkjet MPK 9653</v>
      </c>
      <c r="J329" s="7">
        <f>COUNTIF(Paper_Reference[Duplicate Key],Paper_Reference[[#This Row],[Duplicate Key]])</f>
        <v>1</v>
      </c>
    </row>
    <row r="330" spans="1:10">
      <c r="A330" s="7">
        <v>3</v>
      </c>
      <c r="B330" s="8" t="s">
        <v>1677</v>
      </c>
      <c r="C330" s="8" t="s">
        <v>1258</v>
      </c>
      <c r="D330" s="7">
        <v>1</v>
      </c>
      <c r="E330" s="7">
        <v>91</v>
      </c>
      <c r="F330" s="7">
        <v>3</v>
      </c>
      <c r="G330" s="8" t="s">
        <v>1241</v>
      </c>
      <c r="H330" s="8" t="s">
        <v>1242</v>
      </c>
      <c r="I330" s="7" t="str">
        <f>_xlfn.CONCAT(Paper_Reference[[#This Row],[Lvl]:[Paper Description]])</f>
        <v>3DIGSB027APPK1DIG UV SB027 SUMMER VACA LLP191310000020-5000Premium Inkjet MPK 9653</v>
      </c>
      <c r="J330" s="7">
        <f>COUNTIF(Paper_Reference[Duplicate Key],Paper_Reference[[#This Row],[Duplicate Key]])</f>
        <v>1</v>
      </c>
    </row>
    <row r="331" spans="1:10">
      <c r="A331" s="7">
        <v>3</v>
      </c>
      <c r="B331" s="8" t="s">
        <v>192</v>
      </c>
      <c r="C331" s="8" t="s">
        <v>193</v>
      </c>
      <c r="D331" s="7">
        <v>1</v>
      </c>
      <c r="E331" s="7">
        <v>91</v>
      </c>
      <c r="F331" s="7">
        <v>2</v>
      </c>
      <c r="G331" s="8" t="s">
        <v>1241</v>
      </c>
      <c r="H331" s="8" t="s">
        <v>1242</v>
      </c>
      <c r="I331" s="7" t="str">
        <f>_xlfn.CONCAT(Paper_Reference[[#This Row],[Lvl]:[Paper Description]])</f>
        <v>3DIGSPARKWTPK1DIG UV SPARK WT DOWN LP191210000020-5000Premium Inkjet MPK 9653</v>
      </c>
      <c r="J331" s="7">
        <f>COUNTIF(Paper_Reference[Duplicate Key],Paper_Reference[[#This Row],[Duplicate Key]])</f>
        <v>1</v>
      </c>
    </row>
    <row r="332" spans="1:10">
      <c r="A332" s="7">
        <v>3</v>
      </c>
      <c r="B332" s="8" t="s">
        <v>1678</v>
      </c>
      <c r="C332" s="8" t="s">
        <v>1259</v>
      </c>
      <c r="D332" s="7">
        <v>1</v>
      </c>
      <c r="E332" s="7">
        <v>91</v>
      </c>
      <c r="F332" s="7">
        <v>1</v>
      </c>
      <c r="G332" s="8" t="s">
        <v>2144</v>
      </c>
      <c r="H332" s="8" t="s">
        <v>1242</v>
      </c>
      <c r="I332" s="7" t="str">
        <f>_xlfn.CONCAT(Paper_Reference[[#This Row],[Lvl]:[Paper Description]])</f>
        <v>3DIGSTFDLOAPK1DIG UV SYN  STFD LOGO 2 LP191110000020-6200Premium Inkjet MPK 9653</v>
      </c>
      <c r="J332" s="7">
        <f>COUNTIF(Paper_Reference[Duplicate Key],Paper_Reference[[#This Row],[Duplicate Key]])</f>
        <v>1</v>
      </c>
    </row>
    <row r="333" spans="1:10">
      <c r="A333" s="7">
        <v>3</v>
      </c>
      <c r="B333" s="8" t="s">
        <v>1678</v>
      </c>
      <c r="C333" s="8" t="s">
        <v>1259</v>
      </c>
      <c r="D333" s="7">
        <v>1</v>
      </c>
      <c r="E333" s="7">
        <v>91</v>
      </c>
      <c r="F333" s="7">
        <v>3</v>
      </c>
      <c r="G333" s="8" t="s">
        <v>1241</v>
      </c>
      <c r="H333" s="8" t="s">
        <v>1242</v>
      </c>
      <c r="I333" s="7" t="str">
        <f>_xlfn.CONCAT(Paper_Reference[[#This Row],[Lvl]:[Paper Description]])</f>
        <v>3DIGSTFDLOAPK1DIG UV SYN  STFD LOGO 2 LP191310000020-5000Premium Inkjet MPK 9653</v>
      </c>
      <c r="J333" s="7">
        <f>COUNTIF(Paper_Reference[Duplicate Key],Paper_Reference[[#This Row],[Duplicate Key]])</f>
        <v>1</v>
      </c>
    </row>
    <row r="334" spans="1:10">
      <c r="A334" s="7">
        <v>3</v>
      </c>
      <c r="B334" s="8" t="s">
        <v>172</v>
      </c>
      <c r="C334" s="8" t="s">
        <v>173</v>
      </c>
      <c r="D334" s="7">
        <v>1</v>
      </c>
      <c r="E334" s="7">
        <v>91</v>
      </c>
      <c r="F334" s="7">
        <v>1</v>
      </c>
      <c r="G334" s="8" t="s">
        <v>8302</v>
      </c>
      <c r="H334" s="8" t="s">
        <v>8303</v>
      </c>
      <c r="I334" s="7" t="str">
        <f>_xlfn.CONCAT(Paper_Reference[[#This Row],[Lvl]:[Paper Description]])</f>
        <v>3DIGSW813APPK1DIG UV SW813 ICE WHITE 2LP1911100SW813-6200ICE WHITE</v>
      </c>
      <c r="J334" s="7">
        <f>COUNTIF(Paper_Reference[Duplicate Key],Paper_Reference[[#This Row],[Duplicate Key]])</f>
        <v>1</v>
      </c>
    </row>
    <row r="335" spans="1:10">
      <c r="A335" s="7">
        <v>3</v>
      </c>
      <c r="B335" s="8" t="s">
        <v>8416</v>
      </c>
      <c r="C335" s="8" t="s">
        <v>8318</v>
      </c>
      <c r="D335" s="7">
        <v>1</v>
      </c>
      <c r="E335" s="7">
        <v>91</v>
      </c>
      <c r="F335" s="7">
        <v>1</v>
      </c>
      <c r="G335" s="8" t="s">
        <v>8302</v>
      </c>
      <c r="H335" s="8" t="s">
        <v>8303</v>
      </c>
      <c r="I335" s="7" t="str">
        <f>_xlfn.CONCAT(Paper_Reference[[#This Row],[Lvl]:[Paper Description]])</f>
        <v>3DIGSW813APPK2DIG UV SW813 ICE WHITE LLP1911100SW813-6200ICE WHITE</v>
      </c>
      <c r="J335" s="7">
        <f>COUNTIF(Paper_Reference[Duplicate Key],Paper_Reference[[#This Row],[Duplicate Key]])</f>
        <v>1</v>
      </c>
    </row>
    <row r="336" spans="1:10">
      <c r="A336" s="7">
        <v>3</v>
      </c>
      <c r="B336" s="8" t="s">
        <v>188</v>
      </c>
      <c r="C336" s="8" t="s">
        <v>189</v>
      </c>
      <c r="D336" s="7">
        <v>1</v>
      </c>
      <c r="E336" s="7">
        <v>91</v>
      </c>
      <c r="F336" s="7">
        <v>1</v>
      </c>
      <c r="G336" s="8" t="s">
        <v>1241</v>
      </c>
      <c r="H336" s="8" t="s">
        <v>1242</v>
      </c>
      <c r="I336" s="7" t="str">
        <f>_xlfn.CONCAT(Paper_Reference[[#This Row],[Lvl]:[Paper Description]])</f>
        <v>3DIGUCWRBETCPK1DIG UV WR BE TC 2LP191110000020-5000Premium Inkjet MPK 9653</v>
      </c>
      <c r="J336" s="7">
        <f>COUNTIF(Paper_Reference[Duplicate Key],Paper_Reference[[#This Row],[Duplicate Key]])</f>
        <v>1</v>
      </c>
    </row>
    <row r="337" spans="1:10">
      <c r="A337" s="7">
        <v>3</v>
      </c>
      <c r="B337" s="8" t="s">
        <v>188</v>
      </c>
      <c r="C337" s="8" t="s">
        <v>189</v>
      </c>
      <c r="D337" s="7">
        <v>1</v>
      </c>
      <c r="E337" s="7">
        <v>91</v>
      </c>
      <c r="F337" s="7">
        <v>1</v>
      </c>
      <c r="G337" s="8" t="s">
        <v>2144</v>
      </c>
      <c r="H337" s="8" t="s">
        <v>1242</v>
      </c>
      <c r="I337" s="7" t="str">
        <f>_xlfn.CONCAT(Paper_Reference[[#This Row],[Lvl]:[Paper Description]])</f>
        <v>3DIGUCWRBETCPK1DIG UV WR BE TC 2LP191110000020-6200Premium Inkjet MPK 9653</v>
      </c>
      <c r="J337" s="7">
        <f>COUNTIF(Paper_Reference[Duplicate Key],Paper_Reference[[#This Row],[Duplicate Key]])</f>
        <v>1</v>
      </c>
    </row>
    <row r="338" spans="1:10">
      <c r="A338" s="7">
        <v>3</v>
      </c>
      <c r="B338" s="8" t="s">
        <v>1679</v>
      </c>
      <c r="C338" s="8" t="s">
        <v>1260</v>
      </c>
      <c r="D338" s="7">
        <v>1</v>
      </c>
      <c r="E338" s="7">
        <v>91</v>
      </c>
      <c r="F338" s="7">
        <v>1</v>
      </c>
      <c r="G338" s="8" t="s">
        <v>1241</v>
      </c>
      <c r="H338" s="8" t="s">
        <v>1242</v>
      </c>
      <c r="I338" s="7" t="str">
        <f>_xlfn.CONCAT(Paper_Reference[[#This Row],[Lvl]:[Paper Description]])</f>
        <v>3DIGUVSYNAPPK1DIG UV SYN  2 LANE PACK191110000020-5000Premium Inkjet MPK 9653</v>
      </c>
      <c r="J338" s="7">
        <f>COUNTIF(Paper_Reference[Duplicate Key],Paper_Reference[[#This Row],[Duplicate Key]])</f>
        <v>1</v>
      </c>
    </row>
    <row r="339" spans="1:10">
      <c r="A339" s="7">
        <v>3</v>
      </c>
      <c r="B339" s="8" t="s">
        <v>1679</v>
      </c>
      <c r="C339" s="8" t="s">
        <v>1260</v>
      </c>
      <c r="D339" s="7">
        <v>1</v>
      </c>
      <c r="E339" s="7">
        <v>91</v>
      </c>
      <c r="F339" s="7">
        <v>1</v>
      </c>
      <c r="G339" s="8" t="s">
        <v>2144</v>
      </c>
      <c r="H339" s="8" t="s">
        <v>1242</v>
      </c>
      <c r="I339" s="7" t="str">
        <f>_xlfn.CONCAT(Paper_Reference[[#This Row],[Lvl]:[Paper Description]])</f>
        <v>3DIGUVSYNAPPK1DIG UV SYN  2 LANE PACK191110000020-6200Premium Inkjet MPK 9653</v>
      </c>
      <c r="J339" s="7">
        <f>COUNTIF(Paper_Reference[Duplicate Key],Paper_Reference[[#This Row],[Duplicate Key]])</f>
        <v>1</v>
      </c>
    </row>
    <row r="340" spans="1:10">
      <c r="A340" s="7">
        <v>3</v>
      </c>
      <c r="B340" s="8" t="s">
        <v>1680</v>
      </c>
      <c r="C340" s="8" t="s">
        <v>1261</v>
      </c>
      <c r="D340" s="7">
        <v>1</v>
      </c>
      <c r="E340" s="7">
        <v>91</v>
      </c>
      <c r="F340" s="7">
        <v>1</v>
      </c>
      <c r="G340" s="8" t="s">
        <v>2144</v>
      </c>
      <c r="H340" s="8" t="s">
        <v>1242</v>
      </c>
      <c r="I340" s="7" t="str">
        <f>_xlfn.CONCAT(Paper_Reference[[#This Row],[Lvl]:[Paper Description]])</f>
        <v>3DIGWA090APPK1DIG UV WA090 DBC 2LP191110000020-6200Premium Inkjet MPK 9653</v>
      </c>
      <c r="J340" s="7">
        <f>COUNTIF(Paper_Reference[Duplicate Key],Paper_Reference[[#This Row],[Duplicate Key]])</f>
        <v>1</v>
      </c>
    </row>
    <row r="341" spans="1:10">
      <c r="A341" s="7">
        <v>3</v>
      </c>
      <c r="B341" s="8" t="s">
        <v>1680</v>
      </c>
      <c r="C341" s="8" t="s">
        <v>1261</v>
      </c>
      <c r="D341" s="7">
        <v>1</v>
      </c>
      <c r="E341" s="7">
        <v>91</v>
      </c>
      <c r="F341" s="7">
        <v>2</v>
      </c>
      <c r="G341" s="8" t="s">
        <v>1241</v>
      </c>
      <c r="H341" s="8" t="s">
        <v>1242</v>
      </c>
      <c r="I341" s="7" t="str">
        <f>_xlfn.CONCAT(Paper_Reference[[#This Row],[Lvl]:[Paper Description]])</f>
        <v>3DIGWA090APPK1DIG UV WA090 DBC 2LP191210000020-5000Premium Inkjet MPK 9653</v>
      </c>
      <c r="J341" s="7">
        <f>COUNTIF(Paper_Reference[Duplicate Key],Paper_Reference[[#This Row],[Duplicate Key]])</f>
        <v>1</v>
      </c>
    </row>
    <row r="342" spans="1:10">
      <c r="A342" s="7">
        <v>3</v>
      </c>
      <c r="B342" s="8" t="s">
        <v>1681</v>
      </c>
      <c r="C342" s="8" t="s">
        <v>1262</v>
      </c>
      <c r="D342" s="7">
        <v>1</v>
      </c>
      <c r="E342" s="7">
        <v>91</v>
      </c>
      <c r="F342" s="7">
        <v>1</v>
      </c>
      <c r="G342" s="8" t="s">
        <v>1241</v>
      </c>
      <c r="H342" s="8" t="s">
        <v>1242</v>
      </c>
      <c r="I342" s="7" t="str">
        <f>_xlfn.CONCAT(Paper_Reference[[#This Row],[Lvl]:[Paper Description]])</f>
        <v>3DIGWA120APPK1DIG UV WA120 A/NOON NAP LLP191110000020-5000Premium Inkjet MPK 9653</v>
      </c>
      <c r="J342" s="7">
        <f>COUNTIF(Paper_Reference[Duplicate Key],Paper_Reference[[#This Row],[Duplicate Key]])</f>
        <v>1</v>
      </c>
    </row>
    <row r="343" spans="1:10">
      <c r="A343" s="7">
        <v>3</v>
      </c>
      <c r="B343" s="8" t="s">
        <v>1681</v>
      </c>
      <c r="C343" s="8" t="s">
        <v>1262</v>
      </c>
      <c r="D343" s="7">
        <v>1</v>
      </c>
      <c r="E343" s="7">
        <v>91</v>
      </c>
      <c r="F343" s="7">
        <v>1</v>
      </c>
      <c r="G343" s="8" t="s">
        <v>2144</v>
      </c>
      <c r="H343" s="8" t="s">
        <v>1242</v>
      </c>
      <c r="I343" s="7" t="str">
        <f>_xlfn.CONCAT(Paper_Reference[[#This Row],[Lvl]:[Paper Description]])</f>
        <v>3DIGWA120APPK1DIG UV WA120 A/NOON NAP LLP191110000020-6200Premium Inkjet MPK 9653</v>
      </c>
      <c r="J343" s="7">
        <f>COUNTIF(Paper_Reference[Duplicate Key],Paper_Reference[[#This Row],[Duplicate Key]])</f>
        <v>1</v>
      </c>
    </row>
    <row r="344" spans="1:10">
      <c r="A344" s="7">
        <v>3</v>
      </c>
      <c r="B344" s="8" t="s">
        <v>1682</v>
      </c>
      <c r="C344" s="8" t="s">
        <v>1263</v>
      </c>
      <c r="D344" s="7">
        <v>1</v>
      </c>
      <c r="E344" s="7">
        <v>91</v>
      </c>
      <c r="F344" s="7">
        <v>1</v>
      </c>
      <c r="G344" s="8" t="s">
        <v>2144</v>
      </c>
      <c r="H344" s="8" t="s">
        <v>1242</v>
      </c>
      <c r="I344" s="7" t="str">
        <f>_xlfn.CONCAT(Paper_Reference[[#This Row],[Lvl]:[Paper Description]])</f>
        <v>3DIGWC200APPK1DIG UV WC200 2 LANE PACK191110000020-6200Premium Inkjet MPK 9653</v>
      </c>
      <c r="J344" s="7">
        <f>COUNTIF(Paper_Reference[Duplicate Key],Paper_Reference[[#This Row],[Duplicate Key]])</f>
        <v>1</v>
      </c>
    </row>
    <row r="345" spans="1:10">
      <c r="A345" s="7">
        <v>3</v>
      </c>
      <c r="B345" s="8" t="s">
        <v>1682</v>
      </c>
      <c r="C345" s="8" t="s">
        <v>1263</v>
      </c>
      <c r="D345" s="7">
        <v>1</v>
      </c>
      <c r="E345" s="7">
        <v>91</v>
      </c>
      <c r="F345" s="7">
        <v>6</v>
      </c>
      <c r="G345" s="8" t="s">
        <v>1241</v>
      </c>
      <c r="H345" s="8" t="s">
        <v>1242</v>
      </c>
      <c r="I345" s="7" t="str">
        <f>_xlfn.CONCAT(Paper_Reference[[#This Row],[Lvl]:[Paper Description]])</f>
        <v>3DIGWC200APPK1DIG UV WC200 2 LANE PACK191610000020-5000Premium Inkjet MPK 9653</v>
      </c>
      <c r="J345" s="7">
        <f>COUNTIF(Paper_Reference[Duplicate Key],Paper_Reference[[#This Row],[Duplicate Key]])</f>
        <v>1</v>
      </c>
    </row>
    <row r="346" spans="1:10">
      <c r="A346" s="7">
        <v>3</v>
      </c>
      <c r="B346" s="8" t="s">
        <v>1683</v>
      </c>
      <c r="C346" s="8" t="s">
        <v>1264</v>
      </c>
      <c r="D346" s="7">
        <v>1</v>
      </c>
      <c r="E346" s="7">
        <v>91</v>
      </c>
      <c r="F346" s="7">
        <v>1</v>
      </c>
      <c r="G346" s="8" t="s">
        <v>2144</v>
      </c>
      <c r="H346" s="8" t="s">
        <v>1242</v>
      </c>
      <c r="I346" s="7" t="str">
        <f>_xlfn.CONCAT(Paper_Reference[[#This Row],[Lvl]:[Paper Description]])</f>
        <v>3DIGWCAKEAPPK1DIG STIX WCAKE UV 2LP191110000020-6200Premium Inkjet MPK 9653</v>
      </c>
      <c r="J346" s="7">
        <f>COUNTIF(Paper_Reference[Duplicate Key],Paper_Reference[[#This Row],[Duplicate Key]])</f>
        <v>1</v>
      </c>
    </row>
    <row r="347" spans="1:10">
      <c r="A347" s="7">
        <v>3</v>
      </c>
      <c r="B347" s="8" t="s">
        <v>1683</v>
      </c>
      <c r="C347" s="8" t="s">
        <v>1264</v>
      </c>
      <c r="D347" s="7">
        <v>1</v>
      </c>
      <c r="E347" s="7">
        <v>91</v>
      </c>
      <c r="F347" s="7">
        <v>4</v>
      </c>
      <c r="G347" s="8" t="s">
        <v>1241</v>
      </c>
      <c r="H347" s="8" t="s">
        <v>1242</v>
      </c>
      <c r="I347" s="7" t="str">
        <f>_xlfn.CONCAT(Paper_Reference[[#This Row],[Lvl]:[Paper Description]])</f>
        <v>3DIGWCAKEAPPK1DIG STIX WCAKE UV 2LP191410000020-5000Premium Inkjet MPK 9653</v>
      </c>
      <c r="J347" s="7">
        <f>COUNTIF(Paper_Reference[Duplicate Key],Paper_Reference[[#This Row],[Duplicate Key]])</f>
        <v>1</v>
      </c>
    </row>
    <row r="348" spans="1:10">
      <c r="A348" s="7">
        <v>3</v>
      </c>
      <c r="B348" s="8" t="s">
        <v>1684</v>
      </c>
      <c r="C348" s="8" t="s">
        <v>1265</v>
      </c>
      <c r="D348" s="7">
        <v>1</v>
      </c>
      <c r="E348" s="7">
        <v>91</v>
      </c>
      <c r="F348" s="7">
        <v>1</v>
      </c>
      <c r="G348" s="8" t="s">
        <v>2144</v>
      </c>
      <c r="H348" s="8" t="s">
        <v>1242</v>
      </c>
      <c r="I348" s="7" t="str">
        <f>_xlfn.CONCAT(Paper_Reference[[#This Row],[Lvl]:[Paper Description]])</f>
        <v>3DIGWE360APPK1DIG UV WE360 AP 2LP191110000020-6200Premium Inkjet MPK 9653</v>
      </c>
      <c r="J348" s="7">
        <f>COUNTIF(Paper_Reference[Duplicate Key],Paper_Reference[[#This Row],[Duplicate Key]])</f>
        <v>1</v>
      </c>
    </row>
    <row r="349" spans="1:10">
      <c r="A349" s="7">
        <v>3</v>
      </c>
      <c r="B349" s="8" t="s">
        <v>1684</v>
      </c>
      <c r="C349" s="8" t="s">
        <v>1265</v>
      </c>
      <c r="D349" s="7">
        <v>1</v>
      </c>
      <c r="E349" s="7">
        <v>91</v>
      </c>
      <c r="F349" s="7">
        <v>2</v>
      </c>
      <c r="G349" s="8" t="s">
        <v>1241</v>
      </c>
      <c r="H349" s="8" t="s">
        <v>1242</v>
      </c>
      <c r="I349" s="7" t="str">
        <f>_xlfn.CONCAT(Paper_Reference[[#This Row],[Lvl]:[Paper Description]])</f>
        <v>3DIGWE360APPK1DIG UV WE360 AP 2LP191210000020-5000Premium Inkjet MPK 9653</v>
      </c>
      <c r="J349" s="7">
        <f>COUNTIF(Paper_Reference[Duplicate Key],Paper_Reference[[#This Row],[Duplicate Key]])</f>
        <v>1</v>
      </c>
    </row>
    <row r="350" spans="1:10">
      <c r="A350" s="7">
        <v>3</v>
      </c>
      <c r="B350" s="8" t="s">
        <v>1685</v>
      </c>
      <c r="C350" s="8" t="s">
        <v>1266</v>
      </c>
      <c r="D350" s="7">
        <v>1</v>
      </c>
      <c r="E350" s="7">
        <v>91</v>
      </c>
      <c r="F350" s="7">
        <v>1</v>
      </c>
      <c r="G350" s="8" t="s">
        <v>2144</v>
      </c>
      <c r="H350" s="8" t="s">
        <v>1242</v>
      </c>
      <c r="I350" s="7" t="str">
        <f>_xlfn.CONCAT(Paper_Reference[[#This Row],[Lvl]:[Paper Description]])</f>
        <v>3DIGWF011APPK1DIG UV WF011 RIGHT LP191110000020-6200Premium Inkjet MPK 9653</v>
      </c>
      <c r="J350" s="7">
        <f>COUNTIF(Paper_Reference[Duplicate Key],Paper_Reference[[#This Row],[Duplicate Key]])</f>
        <v>1</v>
      </c>
    </row>
    <row r="351" spans="1:10">
      <c r="A351" s="7">
        <v>3</v>
      </c>
      <c r="B351" s="8" t="s">
        <v>1685</v>
      </c>
      <c r="C351" s="8" t="s">
        <v>1266</v>
      </c>
      <c r="D351" s="7">
        <v>1</v>
      </c>
      <c r="E351" s="7">
        <v>91</v>
      </c>
      <c r="F351" s="7">
        <v>3</v>
      </c>
      <c r="G351" s="8" t="s">
        <v>1241</v>
      </c>
      <c r="H351" s="8" t="s">
        <v>1242</v>
      </c>
      <c r="I351" s="7" t="str">
        <f>_xlfn.CONCAT(Paper_Reference[[#This Row],[Lvl]:[Paper Description]])</f>
        <v>3DIGWF011APPK1DIG UV WF011 RIGHT LP191310000020-5000Premium Inkjet MPK 9653</v>
      </c>
      <c r="J351" s="7">
        <f>COUNTIF(Paper_Reference[Duplicate Key],Paper_Reference[[#This Row],[Duplicate Key]])</f>
        <v>1</v>
      </c>
    </row>
    <row r="352" spans="1:10">
      <c r="A352" s="7">
        <v>3</v>
      </c>
      <c r="B352" s="8" t="s">
        <v>1686</v>
      </c>
      <c r="C352" s="8" t="s">
        <v>1267</v>
      </c>
      <c r="D352" s="7">
        <v>1</v>
      </c>
      <c r="E352" s="7">
        <v>91</v>
      </c>
      <c r="F352" s="7">
        <v>1</v>
      </c>
      <c r="G352" s="8" t="s">
        <v>1241</v>
      </c>
      <c r="H352" s="8" t="s">
        <v>1242</v>
      </c>
      <c r="I352" s="7" t="str">
        <f>_xlfn.CONCAT(Paper_Reference[[#This Row],[Lvl]:[Paper Description]])</f>
        <v>3DIGWF011APPK2DIG WF011 LEFT LP191110000020-5000Premium Inkjet MPK 9653</v>
      </c>
      <c r="J352" s="7">
        <f>COUNTIF(Paper_Reference[Duplicate Key],Paper_Reference[[#This Row],[Duplicate Key]])</f>
        <v>1</v>
      </c>
    </row>
    <row r="353" spans="1:10">
      <c r="A353" s="7">
        <v>3</v>
      </c>
      <c r="B353" s="8" t="s">
        <v>1686</v>
      </c>
      <c r="C353" s="8" t="s">
        <v>1267</v>
      </c>
      <c r="D353" s="7">
        <v>1</v>
      </c>
      <c r="E353" s="7">
        <v>91</v>
      </c>
      <c r="F353" s="7">
        <v>1</v>
      </c>
      <c r="G353" s="8" t="s">
        <v>2144</v>
      </c>
      <c r="H353" s="8" t="s">
        <v>1242</v>
      </c>
      <c r="I353" s="7" t="str">
        <f>_xlfn.CONCAT(Paper_Reference[[#This Row],[Lvl]:[Paper Description]])</f>
        <v>3DIGWF011APPK2DIG WF011 LEFT LP191110000020-6200Premium Inkjet MPK 9653</v>
      </c>
      <c r="J353" s="7">
        <f>COUNTIF(Paper_Reference[Duplicate Key],Paper_Reference[[#This Row],[Duplicate Key]])</f>
        <v>1</v>
      </c>
    </row>
    <row r="354" spans="1:10">
      <c r="A354" s="7">
        <v>3</v>
      </c>
      <c r="B354" s="8" t="s">
        <v>1687</v>
      </c>
      <c r="C354" s="8" t="s">
        <v>1268</v>
      </c>
      <c r="D354" s="7">
        <v>1</v>
      </c>
      <c r="E354" s="7">
        <v>91</v>
      </c>
      <c r="F354" s="7">
        <v>1</v>
      </c>
      <c r="G354" s="8" t="s">
        <v>2144</v>
      </c>
      <c r="H354" s="8" t="s">
        <v>1242</v>
      </c>
      <c r="I354" s="7" t="str">
        <f>_xlfn.CONCAT(Paper_Reference[[#This Row],[Lvl]:[Paper Description]])</f>
        <v>3DIGWF011APPK3DIG UV WF011 2 LANE PACK191110000020-6200Premium Inkjet MPK 9653</v>
      </c>
      <c r="J354" s="7">
        <f>COUNTIF(Paper_Reference[Duplicate Key],Paper_Reference[[#This Row],[Duplicate Key]])</f>
        <v>1</v>
      </c>
    </row>
    <row r="355" spans="1:10">
      <c r="A355" s="7">
        <v>3</v>
      </c>
      <c r="B355" s="8" t="s">
        <v>1687</v>
      </c>
      <c r="C355" s="8" t="s">
        <v>1268</v>
      </c>
      <c r="D355" s="7">
        <v>1</v>
      </c>
      <c r="E355" s="7">
        <v>91</v>
      </c>
      <c r="F355" s="7">
        <v>2</v>
      </c>
      <c r="G355" s="8" t="s">
        <v>1241</v>
      </c>
      <c r="H355" s="8" t="s">
        <v>1242</v>
      </c>
      <c r="I355" s="7" t="str">
        <f>_xlfn.CONCAT(Paper_Reference[[#This Row],[Lvl]:[Paper Description]])</f>
        <v>3DIGWF011APPK3DIG UV WF011 2 LANE PACK191210000020-5000Premium Inkjet MPK 9653</v>
      </c>
      <c r="J355" s="7">
        <f>COUNTIF(Paper_Reference[Duplicate Key],Paper_Reference[[#This Row],[Duplicate Key]])</f>
        <v>1</v>
      </c>
    </row>
    <row r="356" spans="1:10">
      <c r="A356" s="7">
        <v>3</v>
      </c>
      <c r="B356" s="8" t="s">
        <v>1688</v>
      </c>
      <c r="C356" s="8" t="s">
        <v>1269</v>
      </c>
      <c r="D356" s="7">
        <v>1</v>
      </c>
      <c r="E356" s="7">
        <v>91</v>
      </c>
      <c r="F356" s="7">
        <v>1</v>
      </c>
      <c r="G356" s="8" t="s">
        <v>2144</v>
      </c>
      <c r="H356" s="8" t="s">
        <v>1242</v>
      </c>
      <c r="I356" s="7" t="str">
        <f>_xlfn.CONCAT(Paper_Reference[[#This Row],[Lvl]:[Paper Description]])</f>
        <v>3DIGWF011APPK4DIG UV WF011 GUIDRY LOGO 2LP191110000020-6200Premium Inkjet MPK 9653</v>
      </c>
      <c r="J356" s="7">
        <f>COUNTIF(Paper_Reference[Duplicate Key],Paper_Reference[[#This Row],[Duplicate Key]])</f>
        <v>1</v>
      </c>
    </row>
    <row r="357" spans="1:10">
      <c r="A357" s="7">
        <v>3</v>
      </c>
      <c r="B357" s="8" t="s">
        <v>1688</v>
      </c>
      <c r="C357" s="8" t="s">
        <v>1269</v>
      </c>
      <c r="D357" s="7">
        <v>1</v>
      </c>
      <c r="E357" s="7">
        <v>91</v>
      </c>
      <c r="F357" s="7">
        <v>2</v>
      </c>
      <c r="G357" s="8" t="s">
        <v>1241</v>
      </c>
      <c r="H357" s="8" t="s">
        <v>1242</v>
      </c>
      <c r="I357" s="7" t="str">
        <f>_xlfn.CONCAT(Paper_Reference[[#This Row],[Lvl]:[Paper Description]])</f>
        <v>3DIGWF011APPK4DIG UV WF011 GUIDRY LOGO 2LP191210000020-5000Premium Inkjet MPK 9653</v>
      </c>
      <c r="J357" s="7">
        <f>COUNTIF(Paper_Reference[Duplicate Key],Paper_Reference[[#This Row],[Duplicate Key]])</f>
        <v>1</v>
      </c>
    </row>
    <row r="358" spans="1:10">
      <c r="A358" s="7">
        <v>3</v>
      </c>
      <c r="B358" s="8" t="s">
        <v>1689</v>
      </c>
      <c r="C358" s="8" t="s">
        <v>1270</v>
      </c>
      <c r="D358" s="7">
        <v>1</v>
      </c>
      <c r="E358" s="7">
        <v>91</v>
      </c>
      <c r="F358" s="7">
        <v>1</v>
      </c>
      <c r="G358" s="8" t="s">
        <v>2144</v>
      </c>
      <c r="H358" s="8" t="s">
        <v>1242</v>
      </c>
      <c r="I358" s="7" t="str">
        <f>_xlfn.CONCAT(Paper_Reference[[#This Row],[Lvl]:[Paper Description]])</f>
        <v>3DIGWF013APPK1DIG UV WF013 2 LANE PACK191110000020-6200Premium Inkjet MPK 9653</v>
      </c>
      <c r="J358" s="7">
        <f>COUNTIF(Paper_Reference[Duplicate Key],Paper_Reference[[#This Row],[Duplicate Key]])</f>
        <v>1</v>
      </c>
    </row>
    <row r="359" spans="1:10">
      <c r="A359" s="7">
        <v>3</v>
      </c>
      <c r="B359" s="8" t="s">
        <v>1689</v>
      </c>
      <c r="C359" s="8" t="s">
        <v>1270</v>
      </c>
      <c r="D359" s="7">
        <v>1</v>
      </c>
      <c r="E359" s="7">
        <v>91</v>
      </c>
      <c r="F359" s="7">
        <v>6</v>
      </c>
      <c r="G359" s="8" t="s">
        <v>1241</v>
      </c>
      <c r="H359" s="8" t="s">
        <v>1242</v>
      </c>
      <c r="I359" s="7" t="str">
        <f>_xlfn.CONCAT(Paper_Reference[[#This Row],[Lvl]:[Paper Description]])</f>
        <v>3DIGWF013APPK1DIG UV WF013 2 LANE PACK191610000020-5000Premium Inkjet MPK 9653</v>
      </c>
      <c r="J359" s="7">
        <f>COUNTIF(Paper_Reference[Duplicate Key],Paper_Reference[[#This Row],[Duplicate Key]])</f>
        <v>1</v>
      </c>
    </row>
    <row r="360" spans="1:10">
      <c r="A360" s="7">
        <v>3</v>
      </c>
      <c r="B360" s="8" t="s">
        <v>1690</v>
      </c>
      <c r="C360" s="8" t="s">
        <v>1271</v>
      </c>
      <c r="D360" s="7">
        <v>1</v>
      </c>
      <c r="E360" s="7">
        <v>91</v>
      </c>
      <c r="F360" s="7">
        <v>1</v>
      </c>
      <c r="G360" s="8" t="s">
        <v>2144</v>
      </c>
      <c r="H360" s="8" t="s">
        <v>1242</v>
      </c>
      <c r="I360" s="7" t="str">
        <f>_xlfn.CONCAT(Paper_Reference[[#This Row],[Lvl]:[Paper Description]])</f>
        <v>3DIGWF131APPK1DIG UV WF131 VANA 2 LP191110000020-6200Premium Inkjet MPK 9653</v>
      </c>
      <c r="J360" s="7">
        <f>COUNTIF(Paper_Reference[Duplicate Key],Paper_Reference[[#This Row],[Duplicate Key]])</f>
        <v>1</v>
      </c>
    </row>
    <row r="361" spans="1:10">
      <c r="A361" s="7">
        <v>3</v>
      </c>
      <c r="B361" s="8" t="s">
        <v>1690</v>
      </c>
      <c r="C361" s="8" t="s">
        <v>1271</v>
      </c>
      <c r="D361" s="7">
        <v>1</v>
      </c>
      <c r="E361" s="7">
        <v>91</v>
      </c>
      <c r="F361" s="7">
        <v>6</v>
      </c>
      <c r="G361" s="8" t="s">
        <v>1241</v>
      </c>
      <c r="H361" s="8" t="s">
        <v>1242</v>
      </c>
      <c r="I361" s="7" t="str">
        <f>_xlfn.CONCAT(Paper_Reference[[#This Row],[Lvl]:[Paper Description]])</f>
        <v>3DIGWF131APPK1DIG UV WF131 VANA 2 LP191610000020-5000Premium Inkjet MPK 9653</v>
      </c>
      <c r="J361" s="7">
        <f>COUNTIF(Paper_Reference[Duplicate Key],Paper_Reference[[#This Row],[Duplicate Key]])</f>
        <v>1</v>
      </c>
    </row>
    <row r="362" spans="1:10">
      <c r="A362" s="7">
        <v>3</v>
      </c>
      <c r="B362" s="8" t="s">
        <v>1691</v>
      </c>
      <c r="C362" s="8" t="s">
        <v>1272</v>
      </c>
      <c r="D362" s="7">
        <v>1</v>
      </c>
      <c r="E362" s="7">
        <v>91</v>
      </c>
      <c r="F362" s="7">
        <v>1</v>
      </c>
      <c r="G362" s="8" t="s">
        <v>2144</v>
      </c>
      <c r="H362" s="8" t="s">
        <v>1242</v>
      </c>
      <c r="I362" s="7" t="str">
        <f>_xlfn.CONCAT(Paper_Reference[[#This Row],[Lvl]:[Paper Description]])</f>
        <v>3DIGWF131APPK2DIG UV WF131 GRAY VANA 2 LP191110000020-6200Premium Inkjet MPK 9653</v>
      </c>
      <c r="J362" s="7">
        <f>COUNTIF(Paper_Reference[Duplicate Key],Paper_Reference[[#This Row],[Duplicate Key]])</f>
        <v>1</v>
      </c>
    </row>
    <row r="363" spans="1:10">
      <c r="A363" s="7">
        <v>3</v>
      </c>
      <c r="B363" s="8" t="s">
        <v>1691</v>
      </c>
      <c r="C363" s="8" t="s">
        <v>1272</v>
      </c>
      <c r="D363" s="7">
        <v>1</v>
      </c>
      <c r="E363" s="7">
        <v>91</v>
      </c>
      <c r="F363" s="7">
        <v>2</v>
      </c>
      <c r="G363" s="8" t="s">
        <v>1241</v>
      </c>
      <c r="H363" s="8" t="s">
        <v>1242</v>
      </c>
      <c r="I363" s="7" t="str">
        <f>_xlfn.CONCAT(Paper_Reference[[#This Row],[Lvl]:[Paper Description]])</f>
        <v>3DIGWF131APPK2DIG UV WF131 GRAY VANA 2 LP191210000020-5000Premium Inkjet MPK 9653</v>
      </c>
      <c r="J363" s="7">
        <f>COUNTIF(Paper_Reference[Duplicate Key],Paper_Reference[[#This Row],[Duplicate Key]])</f>
        <v>1</v>
      </c>
    </row>
    <row r="364" spans="1:10">
      <c r="A364" s="7">
        <v>3</v>
      </c>
      <c r="B364" s="8" t="s">
        <v>1692</v>
      </c>
      <c r="C364" s="8" t="s">
        <v>1273</v>
      </c>
      <c r="D364" s="7">
        <v>1</v>
      </c>
      <c r="E364" s="7">
        <v>91</v>
      </c>
      <c r="F364" s="7">
        <v>1</v>
      </c>
      <c r="G364" s="8" t="s">
        <v>2144</v>
      </c>
      <c r="H364" s="8" t="s">
        <v>1242</v>
      </c>
      <c r="I364" s="7" t="str">
        <f>_xlfn.CONCAT(Paper_Reference[[#This Row],[Lvl]:[Paper Description]])</f>
        <v>3DIGWF131APPK3DIG UV WF131 VANA RIGHT LP191110000020-6200Premium Inkjet MPK 9653</v>
      </c>
      <c r="J364" s="7">
        <f>COUNTIF(Paper_Reference[Duplicate Key],Paper_Reference[[#This Row],[Duplicate Key]])</f>
        <v>1</v>
      </c>
    </row>
    <row r="365" spans="1:10">
      <c r="A365" s="7">
        <v>3</v>
      </c>
      <c r="B365" s="8" t="s">
        <v>1692</v>
      </c>
      <c r="C365" s="8" t="s">
        <v>1273</v>
      </c>
      <c r="D365" s="7">
        <v>1</v>
      </c>
      <c r="E365" s="7">
        <v>91</v>
      </c>
      <c r="F365" s="7">
        <v>3</v>
      </c>
      <c r="G365" s="8" t="s">
        <v>1241</v>
      </c>
      <c r="H365" s="8" t="s">
        <v>1242</v>
      </c>
      <c r="I365" s="7" t="str">
        <f>_xlfn.CONCAT(Paper_Reference[[#This Row],[Lvl]:[Paper Description]])</f>
        <v>3DIGWF131APPK3DIG UV WF131 VANA RIGHT LP191310000020-5000Premium Inkjet MPK 9653</v>
      </c>
      <c r="J365" s="7">
        <f>COUNTIF(Paper_Reference[Duplicate Key],Paper_Reference[[#This Row],[Duplicate Key]])</f>
        <v>1</v>
      </c>
    </row>
    <row r="366" spans="1:10">
      <c r="A366" s="7">
        <v>3</v>
      </c>
      <c r="B366" s="8" t="s">
        <v>165</v>
      </c>
      <c r="C366" s="8" t="s">
        <v>166</v>
      </c>
      <c r="D366" s="7">
        <v>1</v>
      </c>
      <c r="E366" s="7">
        <v>91</v>
      </c>
      <c r="F366" s="7">
        <v>1</v>
      </c>
      <c r="G366" s="8" t="s">
        <v>3115</v>
      </c>
      <c r="H366" s="8" t="s">
        <v>3090</v>
      </c>
      <c r="I366" s="7" t="str">
        <f>_xlfn.CONCAT(Paper_Reference[[#This Row],[Lvl]:[Paper Description]])</f>
        <v>3DIGWF131APPK4DIG UV HYB VANA 2 LP1911100WF131-6200VANA</v>
      </c>
      <c r="J366" s="7">
        <f>COUNTIF(Paper_Reference[Duplicate Key],Paper_Reference[[#This Row],[Duplicate Key]])</f>
        <v>1</v>
      </c>
    </row>
    <row r="367" spans="1:10">
      <c r="A367" s="7">
        <v>3</v>
      </c>
      <c r="B367" s="8" t="s">
        <v>3124</v>
      </c>
      <c r="C367" s="8" t="s">
        <v>3089</v>
      </c>
      <c r="D367" s="7">
        <v>1</v>
      </c>
      <c r="E367" s="7">
        <v>91</v>
      </c>
      <c r="F367" s="7">
        <v>1</v>
      </c>
      <c r="G367" s="8" t="s">
        <v>3115</v>
      </c>
      <c r="H367" s="8" t="s">
        <v>3090</v>
      </c>
      <c r="I367" s="7" t="str">
        <f>_xlfn.CONCAT(Paper_Reference[[#This Row],[Lvl]:[Paper Description]])</f>
        <v>3DIGWF131APPK5DIG UV HYB VANA LEFT LP1911100WF131-6200VANA</v>
      </c>
      <c r="J367" s="7">
        <f>COUNTIF(Paper_Reference[Duplicate Key],Paper_Reference[[#This Row],[Duplicate Key]])</f>
        <v>1</v>
      </c>
    </row>
    <row r="368" spans="1:10">
      <c r="A368" s="7">
        <v>3</v>
      </c>
      <c r="B368" s="8" t="s">
        <v>194</v>
      </c>
      <c r="C368" s="8" t="s">
        <v>195</v>
      </c>
      <c r="D368" s="7">
        <v>1</v>
      </c>
      <c r="E368" s="7">
        <v>91</v>
      </c>
      <c r="F368" s="7">
        <v>2</v>
      </c>
      <c r="G368" s="8" t="s">
        <v>1241</v>
      </c>
      <c r="H368" s="8" t="s">
        <v>1242</v>
      </c>
      <c r="I368" s="7" t="str">
        <f>_xlfn.CONCAT(Paper_Reference[[#This Row],[Lvl]:[Paper Description]])</f>
        <v>3DIGWF131APPK6DIG UV WF131 VANA DOWN LP191210000020-5000Premium Inkjet MPK 9653</v>
      </c>
      <c r="J368" s="7">
        <f>COUNTIF(Paper_Reference[Duplicate Key],Paper_Reference[[#This Row],[Duplicate Key]])</f>
        <v>1</v>
      </c>
    </row>
    <row r="369" spans="1:10">
      <c r="A369" s="7">
        <v>3</v>
      </c>
      <c r="B369" s="8" t="s">
        <v>196</v>
      </c>
      <c r="C369" s="8" t="s">
        <v>197</v>
      </c>
      <c r="D369" s="7">
        <v>1</v>
      </c>
      <c r="E369" s="7">
        <v>91</v>
      </c>
      <c r="F369" s="7">
        <v>1</v>
      </c>
      <c r="G369" s="8" t="s">
        <v>3115</v>
      </c>
      <c r="H369" s="8" t="s">
        <v>3090</v>
      </c>
      <c r="I369" s="7" t="str">
        <f>_xlfn.CONCAT(Paper_Reference[[#This Row],[Lvl]:[Paper Description]])</f>
        <v>3DIGWF131APPK7DIG UV WF131 VANA TRANS LP1911100WF131-6200VANA</v>
      </c>
      <c r="J369" s="7">
        <f>COUNTIF(Paper_Reference[Duplicate Key],Paper_Reference[[#This Row],[Duplicate Key]])</f>
        <v>1</v>
      </c>
    </row>
    <row r="370" spans="1:10">
      <c r="A370" s="7">
        <v>3</v>
      </c>
      <c r="B370" s="8" t="s">
        <v>1693</v>
      </c>
      <c r="C370" s="8" t="s">
        <v>1274</v>
      </c>
      <c r="D370" s="7">
        <v>1</v>
      </c>
      <c r="E370" s="7">
        <v>91</v>
      </c>
      <c r="F370" s="7">
        <v>1</v>
      </c>
      <c r="G370" s="8" t="s">
        <v>1241</v>
      </c>
      <c r="H370" s="8" t="s">
        <v>1242</v>
      </c>
      <c r="I370" s="7" t="str">
        <f>_xlfn.CONCAT(Paper_Reference[[#This Row],[Lvl]:[Paper Description]])</f>
        <v>3DIGWHITAKAPPK1DIG UV SYN WHITAKER LOGO 2 LP191110000020-5000Premium Inkjet MPK 9653</v>
      </c>
      <c r="J370" s="7">
        <f>COUNTIF(Paper_Reference[Duplicate Key],Paper_Reference[[#This Row],[Duplicate Key]])</f>
        <v>1</v>
      </c>
    </row>
    <row r="371" spans="1:10">
      <c r="A371" s="7">
        <v>3</v>
      </c>
      <c r="B371" s="8" t="s">
        <v>1693</v>
      </c>
      <c r="C371" s="8" t="s">
        <v>1274</v>
      </c>
      <c r="D371" s="7">
        <v>1</v>
      </c>
      <c r="E371" s="7">
        <v>91</v>
      </c>
      <c r="F371" s="7">
        <v>1</v>
      </c>
      <c r="G371" s="8" t="s">
        <v>2144</v>
      </c>
      <c r="H371" s="8" t="s">
        <v>1242</v>
      </c>
      <c r="I371" s="7" t="str">
        <f>_xlfn.CONCAT(Paper_Reference[[#This Row],[Lvl]:[Paper Description]])</f>
        <v>3DIGWHITAKAPPK1DIG UV SYN WHITAKER LOGO 2 LP191110000020-6200Premium Inkjet MPK 9653</v>
      </c>
      <c r="J371" s="7">
        <f>COUNTIF(Paper_Reference[Duplicate Key],Paper_Reference[[#This Row],[Duplicate Key]])</f>
        <v>1</v>
      </c>
    </row>
    <row r="372" spans="1:10">
      <c r="A372" s="7">
        <v>3</v>
      </c>
      <c r="B372" s="8" t="s">
        <v>1694</v>
      </c>
      <c r="C372" s="8" t="s">
        <v>1275</v>
      </c>
      <c r="D372" s="7">
        <v>1</v>
      </c>
      <c r="E372" s="7">
        <v>91</v>
      </c>
      <c r="F372" s="7">
        <v>1</v>
      </c>
      <c r="G372" s="8" t="s">
        <v>2144</v>
      </c>
      <c r="H372" s="8" t="s">
        <v>1242</v>
      </c>
      <c r="I372" s="7" t="str">
        <f>_xlfn.CONCAT(Paper_Reference[[#This Row],[Lvl]:[Paper Description]])</f>
        <v>3DIGWK013APPK1BAD PART...USE WF013191110000020-6200Premium Inkjet MPK 9653</v>
      </c>
      <c r="J372" s="7">
        <f>COUNTIF(Paper_Reference[Duplicate Key],Paper_Reference[[#This Row],[Duplicate Key]])</f>
        <v>1</v>
      </c>
    </row>
    <row r="373" spans="1:10">
      <c r="A373" s="7">
        <v>3</v>
      </c>
      <c r="B373" s="8" t="s">
        <v>1694</v>
      </c>
      <c r="C373" s="8" t="s">
        <v>1275</v>
      </c>
      <c r="D373" s="7">
        <v>1</v>
      </c>
      <c r="E373" s="7">
        <v>91</v>
      </c>
      <c r="F373" s="7">
        <v>6</v>
      </c>
      <c r="G373" s="8" t="s">
        <v>1241</v>
      </c>
      <c r="H373" s="8" t="s">
        <v>1242</v>
      </c>
      <c r="I373" s="7" t="str">
        <f>_xlfn.CONCAT(Paper_Reference[[#This Row],[Lvl]:[Paper Description]])</f>
        <v>3DIGWK013APPK1BAD PART...USE WF013191610000020-5000Premium Inkjet MPK 9653</v>
      </c>
      <c r="J373" s="7">
        <f>COUNTIF(Paper_Reference[Duplicate Key],Paper_Reference[[#This Row],[Duplicate Key]])</f>
        <v>1</v>
      </c>
    </row>
    <row r="374" spans="1:10">
      <c r="A374" s="7">
        <v>3</v>
      </c>
      <c r="B374" s="8" t="s">
        <v>1695</v>
      </c>
      <c r="C374" s="8" t="s">
        <v>1276</v>
      </c>
      <c r="D374" s="7">
        <v>1</v>
      </c>
      <c r="E374" s="7">
        <v>91</v>
      </c>
      <c r="F374" s="7">
        <v>1</v>
      </c>
      <c r="G374" s="8" t="s">
        <v>2144</v>
      </c>
      <c r="H374" s="8" t="s">
        <v>1242</v>
      </c>
      <c r="I374" s="7" t="str">
        <f>_xlfn.CONCAT(Paper_Reference[[#This Row],[Lvl]:[Paper Description]])</f>
        <v>3DIGWM046APK1DIG UV WM046 2LP191110000020-6200Premium Inkjet MPK 9653</v>
      </c>
      <c r="J374" s="7">
        <f>COUNTIF(Paper_Reference[Duplicate Key],Paper_Reference[[#This Row],[Duplicate Key]])</f>
        <v>1</v>
      </c>
    </row>
    <row r="375" spans="1:10">
      <c r="A375" s="7">
        <v>3</v>
      </c>
      <c r="B375" s="8" t="s">
        <v>1695</v>
      </c>
      <c r="C375" s="8" t="s">
        <v>1276</v>
      </c>
      <c r="D375" s="7">
        <v>1</v>
      </c>
      <c r="E375" s="7">
        <v>91</v>
      </c>
      <c r="F375" s="7">
        <v>2</v>
      </c>
      <c r="G375" s="8" t="s">
        <v>1241</v>
      </c>
      <c r="H375" s="8" t="s">
        <v>1242</v>
      </c>
      <c r="I375" s="7" t="str">
        <f>_xlfn.CONCAT(Paper_Reference[[#This Row],[Lvl]:[Paper Description]])</f>
        <v>3DIGWM046APK1DIG UV WM046 2LP191210000020-5000Premium Inkjet MPK 9653</v>
      </c>
      <c r="J375" s="7">
        <f>COUNTIF(Paper_Reference[Duplicate Key],Paper_Reference[[#This Row],[Duplicate Key]])</f>
        <v>1</v>
      </c>
    </row>
    <row r="376" spans="1:10">
      <c r="A376" s="7">
        <v>3</v>
      </c>
      <c r="B376" s="8" t="s">
        <v>1696</v>
      </c>
      <c r="C376" s="8" t="s">
        <v>1277</v>
      </c>
      <c r="D376" s="7">
        <v>1</v>
      </c>
      <c r="E376" s="7">
        <v>91</v>
      </c>
      <c r="F376" s="7">
        <v>1</v>
      </c>
      <c r="G376" s="8" t="s">
        <v>2144</v>
      </c>
      <c r="H376" s="8" t="s">
        <v>1242</v>
      </c>
      <c r="I376" s="7" t="str">
        <f>_xlfn.CONCAT(Paper_Reference[[#This Row],[Lvl]:[Paper Description]])</f>
        <v>3DIGWM221APPK1DIG UV WM221 AMBER CM 2 LP191110000020-6200Premium Inkjet MPK 9653</v>
      </c>
      <c r="J376" s="7">
        <f>COUNTIF(Paper_Reference[Duplicate Key],Paper_Reference[[#This Row],[Duplicate Key]])</f>
        <v>1</v>
      </c>
    </row>
    <row r="377" spans="1:10">
      <c r="A377" s="7">
        <v>3</v>
      </c>
      <c r="B377" s="8" t="s">
        <v>1696</v>
      </c>
      <c r="C377" s="8" t="s">
        <v>1277</v>
      </c>
      <c r="D377" s="7">
        <v>1</v>
      </c>
      <c r="E377" s="7">
        <v>91</v>
      </c>
      <c r="F377" s="7">
        <v>2</v>
      </c>
      <c r="G377" s="8" t="s">
        <v>1241</v>
      </c>
      <c r="H377" s="8" t="s">
        <v>1242</v>
      </c>
      <c r="I377" s="7" t="str">
        <f>_xlfn.CONCAT(Paper_Reference[[#This Row],[Lvl]:[Paper Description]])</f>
        <v>3DIGWM221APPK1DIG UV WM221 AMBER CM 2 LP191210000020-5000Premium Inkjet MPK 9653</v>
      </c>
      <c r="J377" s="7">
        <f>COUNTIF(Paper_Reference[Duplicate Key],Paper_Reference[[#This Row],[Duplicate Key]])</f>
        <v>1</v>
      </c>
    </row>
    <row r="378" spans="1:10">
      <c r="A378" s="7">
        <v>3</v>
      </c>
      <c r="B378" s="8" t="s">
        <v>2595</v>
      </c>
      <c r="C378" s="8" t="s">
        <v>2146</v>
      </c>
      <c r="D378" s="7">
        <v>1</v>
      </c>
      <c r="E378" s="7">
        <v>91</v>
      </c>
      <c r="F378" s="7">
        <v>1</v>
      </c>
      <c r="G378" s="8" t="s">
        <v>2144</v>
      </c>
      <c r="H378" s="8" t="s">
        <v>1242</v>
      </c>
      <c r="I378" s="7" t="str">
        <f>_xlfn.CONCAT(Paper_Reference[[#This Row],[Lvl]:[Paper Description]])</f>
        <v>3DIGWM577APPK2DIG WM577 LEFT LP191110000020-6200Premium Inkjet MPK 9653</v>
      </c>
      <c r="J378" s="7">
        <f>COUNTIF(Paper_Reference[Duplicate Key],Paper_Reference[[#This Row],[Duplicate Key]])</f>
        <v>1</v>
      </c>
    </row>
    <row r="379" spans="1:10">
      <c r="A379" s="7">
        <v>3</v>
      </c>
      <c r="B379" s="8" t="s">
        <v>2596</v>
      </c>
      <c r="C379" s="8" t="s">
        <v>2147</v>
      </c>
      <c r="D379" s="7">
        <v>1</v>
      </c>
      <c r="E379" s="7">
        <v>91</v>
      </c>
      <c r="F379" s="7">
        <v>1</v>
      </c>
      <c r="G379" s="8" t="s">
        <v>2144</v>
      </c>
      <c r="H379" s="8" t="s">
        <v>1242</v>
      </c>
      <c r="I379" s="7" t="str">
        <f>_xlfn.CONCAT(Paper_Reference[[#This Row],[Lvl]:[Paper Description]])</f>
        <v>3DIGWM577APPK3DIG WM577 RIGHT LP191110000020-6200Premium Inkjet MPK 9653</v>
      </c>
      <c r="J379" s="7">
        <f>COUNTIF(Paper_Reference[Duplicate Key],Paper_Reference[[#This Row],[Duplicate Key]])</f>
        <v>1</v>
      </c>
    </row>
    <row r="380" spans="1:10">
      <c r="A380" s="7">
        <v>3</v>
      </c>
      <c r="B380" s="8" t="s">
        <v>1697</v>
      </c>
      <c r="C380" s="8" t="s">
        <v>1278</v>
      </c>
      <c r="D380" s="7">
        <v>1</v>
      </c>
      <c r="E380" s="7">
        <v>91</v>
      </c>
      <c r="F380" s="7">
        <v>1</v>
      </c>
      <c r="G380" s="8" t="s">
        <v>2144</v>
      </c>
      <c r="H380" s="8" t="s">
        <v>1242</v>
      </c>
      <c r="I380" s="7" t="str">
        <f>_xlfn.CONCAT(Paper_Reference[[#This Row],[Lvl]:[Paper Description]])</f>
        <v>3DIGWM858APPK1DIG UV WM858 BEIGE REN 2LP191110000020-6200Premium Inkjet MPK 9653</v>
      </c>
      <c r="J380" s="7">
        <f>COUNTIF(Paper_Reference[Duplicate Key],Paper_Reference[[#This Row],[Duplicate Key]])</f>
        <v>1</v>
      </c>
    </row>
    <row r="381" spans="1:10">
      <c r="A381" s="7">
        <v>3</v>
      </c>
      <c r="B381" s="8" t="s">
        <v>1697</v>
      </c>
      <c r="C381" s="8" t="s">
        <v>1278</v>
      </c>
      <c r="D381" s="7">
        <v>1</v>
      </c>
      <c r="E381" s="7">
        <v>91</v>
      </c>
      <c r="F381" s="7">
        <v>2</v>
      </c>
      <c r="G381" s="8" t="s">
        <v>1241</v>
      </c>
      <c r="H381" s="8" t="s">
        <v>1242</v>
      </c>
      <c r="I381" s="7" t="str">
        <f>_xlfn.CONCAT(Paper_Reference[[#This Row],[Lvl]:[Paper Description]])</f>
        <v>3DIGWM858APPK1DIG UV WM858 BEIGE REN 2LP191210000020-5000Premium Inkjet MPK 9653</v>
      </c>
      <c r="J381" s="7">
        <f>COUNTIF(Paper_Reference[Duplicate Key],Paper_Reference[[#This Row],[Duplicate Key]])</f>
        <v>1</v>
      </c>
    </row>
    <row r="382" spans="1:10">
      <c r="A382" s="7">
        <v>3</v>
      </c>
      <c r="B382" s="8" t="s">
        <v>1698</v>
      </c>
      <c r="C382" s="8" t="s">
        <v>1279</v>
      </c>
      <c r="D382" s="7">
        <v>1</v>
      </c>
      <c r="E382" s="7">
        <v>91</v>
      </c>
      <c r="F382" s="7">
        <v>1</v>
      </c>
      <c r="G382" s="8" t="s">
        <v>2144</v>
      </c>
      <c r="H382" s="8" t="s">
        <v>1242</v>
      </c>
      <c r="I382" s="7" t="str">
        <f>_xlfn.CONCAT(Paper_Reference[[#This Row],[Lvl]:[Paper Description]])</f>
        <v>3DIGWO004APPK1DIG UV WO004 STRAIGHT OAK 2LP191110000020-6200Premium Inkjet MPK 9653</v>
      </c>
      <c r="J382" s="7">
        <f>COUNTIF(Paper_Reference[Duplicate Key],Paper_Reference[[#This Row],[Duplicate Key]])</f>
        <v>1</v>
      </c>
    </row>
    <row r="383" spans="1:10">
      <c r="A383" s="7">
        <v>3</v>
      </c>
      <c r="B383" s="8" t="s">
        <v>1698</v>
      </c>
      <c r="C383" s="8" t="s">
        <v>1279</v>
      </c>
      <c r="D383" s="7">
        <v>1</v>
      </c>
      <c r="E383" s="7">
        <v>91</v>
      </c>
      <c r="F383" s="7">
        <v>6</v>
      </c>
      <c r="G383" s="8" t="s">
        <v>1241</v>
      </c>
      <c r="H383" s="8" t="s">
        <v>1242</v>
      </c>
      <c r="I383" s="7" t="str">
        <f>_xlfn.CONCAT(Paper_Reference[[#This Row],[Lvl]:[Paper Description]])</f>
        <v>3DIGWO004APPK1DIG UV WO004 STRAIGHT OAK 2LP191610000020-5000Premium Inkjet MPK 9653</v>
      </c>
      <c r="J383" s="7">
        <f>COUNTIF(Paper_Reference[Duplicate Key],Paper_Reference[[#This Row],[Duplicate Key]])</f>
        <v>1</v>
      </c>
    </row>
    <row r="384" spans="1:10">
      <c r="A384" s="7">
        <v>3</v>
      </c>
      <c r="B384" s="8" t="s">
        <v>175</v>
      </c>
      <c r="C384" s="8" t="s">
        <v>176</v>
      </c>
      <c r="D384" s="7">
        <v>1</v>
      </c>
      <c r="E384" s="7">
        <v>91</v>
      </c>
      <c r="F384" s="7">
        <v>1</v>
      </c>
      <c r="G384" s="8" t="s">
        <v>2144</v>
      </c>
      <c r="H384" s="8" t="s">
        <v>1242</v>
      </c>
      <c r="I384" s="7" t="str">
        <f>_xlfn.CONCAT(Paper_Reference[[#This Row],[Lvl]:[Paper Description]])</f>
        <v>3DIGWO140APK1DIG UV WO140 2LP191110000020-6200Premium Inkjet MPK 9653</v>
      </c>
      <c r="J384" s="7">
        <f>COUNTIF(Paper_Reference[Duplicate Key],Paper_Reference[[#This Row],[Duplicate Key]])</f>
        <v>1</v>
      </c>
    </row>
    <row r="385" spans="1:10">
      <c r="A385" s="7">
        <v>3</v>
      </c>
      <c r="B385" s="8" t="s">
        <v>175</v>
      </c>
      <c r="C385" s="8" t="s">
        <v>176</v>
      </c>
      <c r="D385" s="7">
        <v>1</v>
      </c>
      <c r="E385" s="7">
        <v>91</v>
      </c>
      <c r="F385" s="7">
        <v>6</v>
      </c>
      <c r="G385" s="8" t="s">
        <v>1241</v>
      </c>
      <c r="H385" s="8" t="s">
        <v>1242</v>
      </c>
      <c r="I385" s="7" t="str">
        <f>_xlfn.CONCAT(Paper_Reference[[#This Row],[Lvl]:[Paper Description]])</f>
        <v>3DIGWO140APK1DIG UV WO140 2LP191610000020-5000Premium Inkjet MPK 9653</v>
      </c>
      <c r="J385" s="7">
        <f>COUNTIF(Paper_Reference[Duplicate Key],Paper_Reference[[#This Row],[Duplicate Key]])</f>
        <v>1</v>
      </c>
    </row>
    <row r="386" spans="1:10">
      <c r="A386" s="7">
        <v>3</v>
      </c>
      <c r="B386" s="8" t="s">
        <v>1699</v>
      </c>
      <c r="C386" s="8" t="s">
        <v>1280</v>
      </c>
      <c r="D386" s="7">
        <v>1</v>
      </c>
      <c r="E386" s="7">
        <v>91</v>
      </c>
      <c r="F386" s="7">
        <v>1</v>
      </c>
      <c r="G386" s="8" t="s">
        <v>2144</v>
      </c>
      <c r="H386" s="8" t="s">
        <v>1242</v>
      </c>
      <c r="I386" s="7" t="str">
        <f>_xlfn.CONCAT(Paper_Reference[[#This Row],[Lvl]:[Paper Description]])</f>
        <v>3DIGWO710APPK1DIG UV WO710 SIMPLICITY 2 LP191110000020-6200Premium Inkjet MPK 9653</v>
      </c>
      <c r="J386" s="7">
        <f>COUNTIF(Paper_Reference[Duplicate Key],Paper_Reference[[#This Row],[Duplicate Key]])</f>
        <v>1</v>
      </c>
    </row>
    <row r="387" spans="1:10">
      <c r="A387" s="7">
        <v>3</v>
      </c>
      <c r="B387" s="8" t="s">
        <v>1699</v>
      </c>
      <c r="C387" s="8" t="s">
        <v>1280</v>
      </c>
      <c r="D387" s="7">
        <v>1</v>
      </c>
      <c r="E387" s="7">
        <v>91</v>
      </c>
      <c r="F387" s="7">
        <v>2</v>
      </c>
      <c r="G387" s="8" t="s">
        <v>1241</v>
      </c>
      <c r="H387" s="8" t="s">
        <v>1242</v>
      </c>
      <c r="I387" s="7" t="str">
        <f>_xlfn.CONCAT(Paper_Reference[[#This Row],[Lvl]:[Paper Description]])</f>
        <v>3DIGWO710APPK1DIG UV WO710 SIMPLICITY 2 LP191210000020-5000Premium Inkjet MPK 9653</v>
      </c>
      <c r="J387" s="7">
        <f>COUNTIF(Paper_Reference[Duplicate Key],Paper_Reference[[#This Row],[Duplicate Key]])</f>
        <v>1</v>
      </c>
    </row>
    <row r="388" spans="1:10">
      <c r="A388" s="7">
        <v>3</v>
      </c>
      <c r="B388" s="8" t="s">
        <v>1700</v>
      </c>
      <c r="C388" s="8" t="s">
        <v>1281</v>
      </c>
      <c r="D388" s="7">
        <v>1</v>
      </c>
      <c r="E388" s="7">
        <v>91</v>
      </c>
      <c r="F388" s="7">
        <v>1</v>
      </c>
      <c r="G388" s="8" t="s">
        <v>2144</v>
      </c>
      <c r="H388" s="8" t="s">
        <v>1242</v>
      </c>
      <c r="I388" s="7" t="str">
        <f>_xlfn.CONCAT(Paper_Reference[[#This Row],[Lvl]:[Paper Description]])</f>
        <v>3DIGWT790APPK1DIG UV WT790 WEDDING CAKE 2LP191110000020-6200Premium Inkjet MPK 9653</v>
      </c>
      <c r="J388" s="7">
        <f>COUNTIF(Paper_Reference[Duplicate Key],Paper_Reference[[#This Row],[Duplicate Key]])</f>
        <v>1</v>
      </c>
    </row>
    <row r="389" spans="1:10">
      <c r="A389" s="7">
        <v>3</v>
      </c>
      <c r="B389" s="8" t="s">
        <v>1700</v>
      </c>
      <c r="C389" s="8" t="s">
        <v>1281</v>
      </c>
      <c r="D389" s="7">
        <v>1</v>
      </c>
      <c r="E389" s="7">
        <v>91</v>
      </c>
      <c r="F389" s="7">
        <v>2</v>
      </c>
      <c r="G389" s="8" t="s">
        <v>1241</v>
      </c>
      <c r="H389" s="8" t="s">
        <v>1242</v>
      </c>
      <c r="I389" s="7" t="str">
        <f>_xlfn.CONCAT(Paper_Reference[[#This Row],[Lvl]:[Paper Description]])</f>
        <v>3DIGWT790APPK1DIG UV WT790 WEDDING CAKE 2LP191210000020-5000Premium Inkjet MPK 9653</v>
      </c>
      <c r="J389" s="7">
        <f>COUNTIF(Paper_Reference[Duplicate Key],Paper_Reference[[#This Row],[Duplicate Key]])</f>
        <v>1</v>
      </c>
    </row>
    <row r="390" spans="1:10">
      <c r="A390" s="7">
        <v>3</v>
      </c>
      <c r="B390" s="8" t="s">
        <v>1701</v>
      </c>
      <c r="C390" s="8" t="s">
        <v>1282</v>
      </c>
      <c r="D390" s="7">
        <v>1</v>
      </c>
      <c r="E390" s="7">
        <v>91</v>
      </c>
      <c r="F390" s="7">
        <v>1</v>
      </c>
      <c r="G390" s="8" t="s">
        <v>2144</v>
      </c>
      <c r="H390" s="8" t="s">
        <v>1242</v>
      </c>
      <c r="I390" s="7" t="str">
        <f>_xlfn.CONCAT(Paper_Reference[[#This Row],[Lvl]:[Paper Description]])</f>
        <v>3DIGWT790APPK2DIG UV WT790 WEDDING CAKE LLP191110000020-6200Premium Inkjet MPK 9653</v>
      </c>
      <c r="J390" s="7">
        <f>COUNTIF(Paper_Reference[Duplicate Key],Paper_Reference[[#This Row],[Duplicate Key]])</f>
        <v>1</v>
      </c>
    </row>
    <row r="391" spans="1:10">
      <c r="A391" s="7">
        <v>3</v>
      </c>
      <c r="B391" s="8" t="s">
        <v>1701</v>
      </c>
      <c r="C391" s="8" t="s">
        <v>1282</v>
      </c>
      <c r="D391" s="7">
        <v>1</v>
      </c>
      <c r="E391" s="7">
        <v>91</v>
      </c>
      <c r="F391" s="7">
        <v>3</v>
      </c>
      <c r="G391" s="8" t="s">
        <v>1241</v>
      </c>
      <c r="H391" s="8" t="s">
        <v>1242</v>
      </c>
      <c r="I391" s="7" t="str">
        <f>_xlfn.CONCAT(Paper_Reference[[#This Row],[Lvl]:[Paper Description]])</f>
        <v>3DIGWT790APPK2DIG UV WT790 WEDDING CAKE LLP191310000020-5000Premium Inkjet MPK 9653</v>
      </c>
      <c r="J391" s="7">
        <f>COUNTIF(Paper_Reference[Duplicate Key],Paper_Reference[[#This Row],[Duplicate Key]])</f>
        <v>1</v>
      </c>
    </row>
    <row r="392" spans="1:10">
      <c r="A392" s="7">
        <v>3</v>
      </c>
      <c r="B392" s="8" t="s">
        <v>1702</v>
      </c>
      <c r="C392" s="8" t="s">
        <v>1283</v>
      </c>
      <c r="D392" s="7">
        <v>1</v>
      </c>
      <c r="E392" s="7">
        <v>91</v>
      </c>
      <c r="F392" s="7">
        <v>1</v>
      </c>
      <c r="G392" s="8" t="s">
        <v>2144</v>
      </c>
      <c r="H392" s="8" t="s">
        <v>1242</v>
      </c>
      <c r="I392" s="7" t="str">
        <f>_xlfn.CONCAT(Paper_Reference[[#This Row],[Lvl]:[Paper Description]])</f>
        <v>3DIGWW960APPK1DIG UV WW960 MMW 2LP191110000020-6200Premium Inkjet MPK 9653</v>
      </c>
      <c r="J392" s="7">
        <f>COUNTIF(Paper_Reference[Duplicate Key],Paper_Reference[[#This Row],[Duplicate Key]])</f>
        <v>1</v>
      </c>
    </row>
    <row r="393" spans="1:10">
      <c r="A393" s="7">
        <v>3</v>
      </c>
      <c r="B393" s="8" t="s">
        <v>1702</v>
      </c>
      <c r="C393" s="8" t="s">
        <v>1283</v>
      </c>
      <c r="D393" s="7">
        <v>1</v>
      </c>
      <c r="E393" s="7">
        <v>91</v>
      </c>
      <c r="F393" s="7">
        <v>2</v>
      </c>
      <c r="G393" s="8" t="s">
        <v>1241</v>
      </c>
      <c r="H393" s="8" t="s">
        <v>1242</v>
      </c>
      <c r="I393" s="7" t="str">
        <f>_xlfn.CONCAT(Paper_Reference[[#This Row],[Lvl]:[Paper Description]])</f>
        <v>3DIGWW960APPK1DIG UV WW960 MMW 2LP191210000020-5000Premium Inkjet MPK 9653</v>
      </c>
      <c r="J393" s="7">
        <f>COUNTIF(Paper_Reference[Duplicate Key],Paper_Reference[[#This Row],[Duplicate Key]])</f>
        <v>1</v>
      </c>
    </row>
    <row r="394" spans="1:10">
      <c r="A394" s="7">
        <v>3</v>
      </c>
      <c r="B394" s="8" t="s">
        <v>1703</v>
      </c>
      <c r="C394" s="8" t="s">
        <v>1284</v>
      </c>
      <c r="D394" s="7">
        <v>1</v>
      </c>
      <c r="E394" s="7">
        <v>91</v>
      </c>
      <c r="F394" s="7">
        <v>1</v>
      </c>
      <c r="G394" s="8" t="s">
        <v>1241</v>
      </c>
      <c r="H394" s="8" t="s">
        <v>1242</v>
      </c>
      <c r="I394" s="7" t="str">
        <f>_xlfn.CONCAT(Paper_Reference[[#This Row],[Lvl]:[Paper Description]])</f>
        <v>3DIGWW960APPK2DIG UV WW960 MMW RIGHT LP191110000020-5000Premium Inkjet MPK 9653</v>
      </c>
      <c r="J394" s="7">
        <f>COUNTIF(Paper_Reference[Duplicate Key],Paper_Reference[[#This Row],[Duplicate Key]])</f>
        <v>1</v>
      </c>
    </row>
    <row r="395" spans="1:10">
      <c r="A395" s="7">
        <v>3</v>
      </c>
      <c r="B395" s="8" t="s">
        <v>1703</v>
      </c>
      <c r="C395" s="8" t="s">
        <v>1284</v>
      </c>
      <c r="D395" s="7">
        <v>1</v>
      </c>
      <c r="E395" s="7">
        <v>91</v>
      </c>
      <c r="F395" s="7">
        <v>1</v>
      </c>
      <c r="G395" s="8" t="s">
        <v>2144</v>
      </c>
      <c r="H395" s="8" t="s">
        <v>1242</v>
      </c>
      <c r="I395" s="7" t="str">
        <f>_xlfn.CONCAT(Paper_Reference[[#This Row],[Lvl]:[Paper Description]])</f>
        <v>3DIGWW960APPK2DIG UV WW960 MMW RIGHT LP191110000020-6200Premium Inkjet MPK 9653</v>
      </c>
      <c r="J395" s="7">
        <f>COUNTIF(Paper_Reference[Duplicate Key],Paper_Reference[[#This Row],[Duplicate Key]])</f>
        <v>1</v>
      </c>
    </row>
    <row r="396" spans="1:10">
      <c r="A396" s="7">
        <v>3</v>
      </c>
      <c r="B396" s="8" t="s">
        <v>185</v>
      </c>
      <c r="C396" s="8" t="s">
        <v>186</v>
      </c>
      <c r="D396" s="7">
        <v>1</v>
      </c>
      <c r="E396" s="7">
        <v>91</v>
      </c>
      <c r="F396" s="7">
        <v>1</v>
      </c>
      <c r="G396" s="8" t="s">
        <v>2144</v>
      </c>
      <c r="H396" s="8" t="s">
        <v>1242</v>
      </c>
      <c r="I396" s="7" t="str">
        <f>_xlfn.CONCAT(Paper_Reference[[#This Row],[Lvl]:[Paper Description]])</f>
        <v>3DIGWW960APPK3DIG UV WW960 HILLTOP 2LP191110000020-6200Premium Inkjet MPK 9653</v>
      </c>
      <c r="J396" s="7">
        <f>COUNTIF(Paper_Reference[Duplicate Key],Paper_Reference[[#This Row],[Duplicate Key]])</f>
        <v>1</v>
      </c>
    </row>
    <row r="397" spans="1:10">
      <c r="A397" s="7">
        <v>3</v>
      </c>
      <c r="B397" s="8" t="s">
        <v>185</v>
      </c>
      <c r="C397" s="8" t="s">
        <v>186</v>
      </c>
      <c r="D397" s="7">
        <v>1</v>
      </c>
      <c r="E397" s="7">
        <v>91</v>
      </c>
      <c r="F397" s="7">
        <v>6</v>
      </c>
      <c r="G397" s="8" t="s">
        <v>1241</v>
      </c>
      <c r="H397" s="8" t="s">
        <v>1242</v>
      </c>
      <c r="I397" s="7" t="str">
        <f>_xlfn.CONCAT(Paper_Reference[[#This Row],[Lvl]:[Paper Description]])</f>
        <v>3DIGWW960APPK3DIG UV WW960 HILLTOP 2LP191610000020-5000Premium Inkjet MPK 9653</v>
      </c>
      <c r="J397" s="7">
        <f>COUNTIF(Paper_Reference[Duplicate Key],Paper_Reference[[#This Row],[Duplicate Key]])</f>
        <v>1</v>
      </c>
    </row>
    <row r="398" spans="1:10">
      <c r="A398" s="7">
        <v>3</v>
      </c>
      <c r="B398" s="8" t="s">
        <v>1704</v>
      </c>
      <c r="C398" s="8" t="s">
        <v>1285</v>
      </c>
      <c r="D398" s="7">
        <v>1</v>
      </c>
      <c r="E398" s="7">
        <v>91</v>
      </c>
      <c r="F398" s="7">
        <v>1</v>
      </c>
      <c r="G398" s="8" t="s">
        <v>2144</v>
      </c>
      <c r="H398" s="8" t="s">
        <v>1242</v>
      </c>
      <c r="I398" s="7" t="str">
        <f>_xlfn.CONCAT(Paper_Reference[[#This Row],[Lvl]:[Paper Description]])</f>
        <v>3DIGWX421APPK1DIG UV WX421 WITCHCRAFT 2LP191110000020-6200Premium Inkjet MPK 9653</v>
      </c>
      <c r="J398" s="7">
        <f>COUNTIF(Paper_Reference[Duplicate Key],Paper_Reference[[#This Row],[Duplicate Key]])</f>
        <v>1</v>
      </c>
    </row>
    <row r="399" spans="1:10">
      <c r="A399" s="7">
        <v>3</v>
      </c>
      <c r="B399" s="8" t="s">
        <v>1704</v>
      </c>
      <c r="C399" s="8" t="s">
        <v>1285</v>
      </c>
      <c r="D399" s="7">
        <v>1</v>
      </c>
      <c r="E399" s="7">
        <v>91</v>
      </c>
      <c r="F399" s="7">
        <v>2</v>
      </c>
      <c r="G399" s="8" t="s">
        <v>1241</v>
      </c>
      <c r="H399" s="8" t="s">
        <v>1242</v>
      </c>
      <c r="I399" s="7" t="str">
        <f>_xlfn.CONCAT(Paper_Reference[[#This Row],[Lvl]:[Paper Description]])</f>
        <v>3DIGWX421APPK1DIG UV WX421 WITCHCRAFT 2LP191210000020-5000Premium Inkjet MPK 9653</v>
      </c>
      <c r="J399" s="7">
        <f>COUNTIF(Paper_Reference[Duplicate Key],Paper_Reference[[#This Row],[Duplicate Key]])</f>
        <v>1</v>
      </c>
    </row>
    <row r="400" spans="1:10">
      <c r="A400" s="7">
        <v>3</v>
      </c>
      <c r="B400" s="8" t="s">
        <v>1705</v>
      </c>
      <c r="C400" s="8" t="s">
        <v>1286</v>
      </c>
      <c r="D400" s="7">
        <v>1</v>
      </c>
      <c r="E400" s="7">
        <v>91</v>
      </c>
      <c r="F400" s="7">
        <v>1</v>
      </c>
      <c r="G400" s="8" t="s">
        <v>2144</v>
      </c>
      <c r="H400" s="8" t="s">
        <v>1242</v>
      </c>
      <c r="I400" s="7" t="str">
        <f>_xlfn.CONCAT(Paper_Reference[[#This Row],[Lvl]:[Paper Description]])</f>
        <v>3DIGWZ053APPK1DIG UV WZ053 ZULU 2LP191110000020-6200Premium Inkjet MPK 9653</v>
      </c>
      <c r="J400" s="7">
        <f>COUNTIF(Paper_Reference[Duplicate Key],Paper_Reference[[#This Row],[Duplicate Key]])</f>
        <v>1</v>
      </c>
    </row>
    <row r="401" spans="1:10">
      <c r="A401" s="7">
        <v>3</v>
      </c>
      <c r="B401" s="8" t="s">
        <v>1705</v>
      </c>
      <c r="C401" s="8" t="s">
        <v>1286</v>
      </c>
      <c r="D401" s="7">
        <v>1</v>
      </c>
      <c r="E401" s="7">
        <v>91</v>
      </c>
      <c r="F401" s="7">
        <v>6</v>
      </c>
      <c r="G401" s="8" t="s">
        <v>1241</v>
      </c>
      <c r="H401" s="8" t="s">
        <v>1242</v>
      </c>
      <c r="I401" s="7" t="str">
        <f>_xlfn.CONCAT(Paper_Reference[[#This Row],[Lvl]:[Paper Description]])</f>
        <v>3DIGWZ053APPK1DIG UV WZ053 ZULU 2LP191610000020-5000Premium Inkjet MPK 9653</v>
      </c>
      <c r="J401" s="7">
        <f>COUNTIF(Paper_Reference[Duplicate Key],Paper_Reference[[#This Row],[Duplicate Key]])</f>
        <v>1</v>
      </c>
    </row>
    <row r="402" spans="1:10">
      <c r="A402" s="7">
        <v>3</v>
      </c>
      <c r="B402" s="8" t="s">
        <v>1706</v>
      </c>
      <c r="C402" s="8" t="s">
        <v>1287</v>
      </c>
      <c r="D402" s="7">
        <v>1</v>
      </c>
      <c r="E402" s="7">
        <v>91</v>
      </c>
      <c r="F402" s="7">
        <v>1</v>
      </c>
      <c r="G402" s="8" t="s">
        <v>2144</v>
      </c>
      <c r="H402" s="8" t="s">
        <v>1242</v>
      </c>
      <c r="I402" s="7" t="str">
        <f>_xlfn.CONCAT(Paper_Reference[[#This Row],[Lvl]:[Paper Description]])</f>
        <v>3DSCBLUESAPPK1DIG S/BLUES UV TWO LANE PACK191110000020-6200Premium Inkjet MPK 9653</v>
      </c>
      <c r="J402" s="7">
        <f>COUNTIF(Paper_Reference[Duplicate Key],Paper_Reference[[#This Row],[Duplicate Key]])</f>
        <v>1</v>
      </c>
    </row>
    <row r="403" spans="1:10">
      <c r="A403" s="7">
        <v>3</v>
      </c>
      <c r="B403" s="8" t="s">
        <v>1706</v>
      </c>
      <c r="C403" s="8" t="s">
        <v>1287</v>
      </c>
      <c r="D403" s="7">
        <v>1</v>
      </c>
      <c r="E403" s="7">
        <v>91</v>
      </c>
      <c r="F403" s="7">
        <v>2</v>
      </c>
      <c r="G403" s="8" t="s">
        <v>1241</v>
      </c>
      <c r="H403" s="8" t="s">
        <v>1242</v>
      </c>
      <c r="I403" s="7" t="str">
        <f>_xlfn.CONCAT(Paper_Reference[[#This Row],[Lvl]:[Paper Description]])</f>
        <v>3DSCBLUESAPPK1DIG S/BLUES UV TWO LANE PACK191210000020-5000Premium Inkjet MPK 9653</v>
      </c>
      <c r="J403" s="7">
        <f>COUNTIF(Paper_Reference[Duplicate Key],Paper_Reference[[#This Row],[Duplicate Key]])</f>
        <v>1</v>
      </c>
    </row>
    <row r="404" spans="1:10">
      <c r="A404" s="7">
        <v>2</v>
      </c>
      <c r="B404" s="8" t="s">
        <v>3312</v>
      </c>
      <c r="C404" s="8" t="s">
        <v>3236</v>
      </c>
      <c r="D404" s="7">
        <v>1</v>
      </c>
      <c r="E404" s="7">
        <v>10</v>
      </c>
      <c r="F404" s="7">
        <v>1</v>
      </c>
      <c r="G404" s="8" t="s">
        <v>3230</v>
      </c>
      <c r="H404" s="8" t="s">
        <v>3231</v>
      </c>
      <c r="I404" s="7" t="str">
        <f>_xlfn.CONCAT(Paper_Reference[[#This Row],[Lvl]:[Paper Description]])</f>
        <v>2EF28S-7036T-4003PRECISION WHITE1101110SW736-5000PRECISION WHITE 43 X 145</v>
      </c>
      <c r="J404" s="7">
        <f>COUNTIF(Paper_Reference[Duplicate Key],Paper_Reference[[#This Row],[Duplicate Key]])</f>
        <v>1</v>
      </c>
    </row>
    <row r="405" spans="1:10">
      <c r="A405" s="7">
        <v>2</v>
      </c>
      <c r="B405" s="8" t="s">
        <v>9548</v>
      </c>
      <c r="C405" s="8" t="s">
        <v>9302</v>
      </c>
      <c r="D405" s="7">
        <v>1</v>
      </c>
      <c r="E405" s="7">
        <v>10</v>
      </c>
      <c r="F405" s="7">
        <v>1</v>
      </c>
      <c r="G405" s="8" t="s">
        <v>9143</v>
      </c>
      <c r="H405" s="8" t="s">
        <v>9144</v>
      </c>
      <c r="I405" s="30" t="str">
        <f>_xlfn.CONCAT(Paper_Reference[[#This Row],[Lvl]:[Paper Description]])</f>
        <v>2EF31PFA390T-5200SING CHICAGO BLUES1101100PFA39-6200SINGING THE CHICAGO BLUES</v>
      </c>
      <c r="J405" s="30">
        <f>COUNTIF(Paper_Reference[Duplicate Key],Paper_Reference[[#This Row],[Duplicate Key]])</f>
        <v>1</v>
      </c>
    </row>
    <row r="406" spans="1:10">
      <c r="A406" s="7">
        <v>2</v>
      </c>
      <c r="B406" s="8" t="s">
        <v>3828</v>
      </c>
      <c r="C406" s="8" t="s">
        <v>3236</v>
      </c>
      <c r="D406" s="7">
        <v>1</v>
      </c>
      <c r="E406" s="7">
        <v>10</v>
      </c>
      <c r="F406" s="7">
        <v>1</v>
      </c>
      <c r="G406" s="8" t="s">
        <v>3826</v>
      </c>
      <c r="H406" s="8" t="s">
        <v>3827</v>
      </c>
      <c r="I406" s="7" t="str">
        <f>_xlfn.CONCAT(Paper_Reference[[#This Row],[Lvl]:[Paper Description]])</f>
        <v>2EF31S-7036G-5200PRECISION WHITE1101110SW736-6200PRECISION WHITE 62"</v>
      </c>
      <c r="J406" s="7">
        <f>COUNTIF(Paper_Reference[Duplicate Key],Paper_Reference[[#This Row],[Duplicate Key]])</f>
        <v>1</v>
      </c>
    </row>
    <row r="407" spans="1:10">
      <c r="A407" s="7">
        <v>2</v>
      </c>
      <c r="B407" s="8" t="s">
        <v>3313</v>
      </c>
      <c r="C407" s="8" t="s">
        <v>3236</v>
      </c>
      <c r="D407" s="7">
        <v>1</v>
      </c>
      <c r="E407" s="7">
        <v>10</v>
      </c>
      <c r="F407" s="7">
        <v>1</v>
      </c>
      <c r="G407" s="8" t="s">
        <v>3230</v>
      </c>
      <c r="H407" s="8" t="s">
        <v>3231</v>
      </c>
      <c r="I407" s="7" t="str">
        <f>_xlfn.CONCAT(Paper_Reference[[#This Row],[Lvl]:[Paper Description]])</f>
        <v>2EF31S-7036T-4000PRECISION WHITE1101110SW736-5000PRECISION WHITE 43 X 145</v>
      </c>
      <c r="J407" s="7">
        <f>COUNTIF(Paper_Reference[Duplicate Key],Paper_Reference[[#This Row],[Duplicate Key]])</f>
        <v>1</v>
      </c>
    </row>
    <row r="408" spans="1:10">
      <c r="A408" s="7">
        <v>2</v>
      </c>
      <c r="B408" s="8" t="s">
        <v>3314</v>
      </c>
      <c r="C408" s="8" t="s">
        <v>3236</v>
      </c>
      <c r="D408" s="7">
        <v>1</v>
      </c>
      <c r="E408" s="7">
        <v>10</v>
      </c>
      <c r="F408" s="7">
        <v>1</v>
      </c>
      <c r="G408" s="8" t="s">
        <v>3230</v>
      </c>
      <c r="H408" s="8" t="s">
        <v>3231</v>
      </c>
      <c r="I408" s="7" t="str">
        <f>_xlfn.CONCAT(Paper_Reference[[#This Row],[Lvl]:[Paper Description]])</f>
        <v>2EF31S-7036T-4003PRECISION WHITE1101110SW736-5000PRECISION WHITE 43 X 145</v>
      </c>
      <c r="J408" s="7">
        <f>COUNTIF(Paper_Reference[Duplicate Key],Paper_Reference[[#This Row],[Duplicate Key]])</f>
        <v>1</v>
      </c>
    </row>
    <row r="409" spans="1:10">
      <c r="A409" s="7">
        <v>2</v>
      </c>
      <c r="B409" s="8" t="s">
        <v>3829</v>
      </c>
      <c r="C409" s="8" t="s">
        <v>3236</v>
      </c>
      <c r="D409" s="7">
        <v>1</v>
      </c>
      <c r="E409" s="7">
        <v>10</v>
      </c>
      <c r="F409" s="7">
        <v>1</v>
      </c>
      <c r="G409" s="8" t="s">
        <v>3826</v>
      </c>
      <c r="H409" s="8" t="s">
        <v>3827</v>
      </c>
      <c r="I409" s="7" t="str">
        <f>_xlfn.CONCAT(Paper_Reference[[#This Row],[Lvl]:[Paper Description]])</f>
        <v>2EF31S-7036T-5200PRECISION WHITE1101110SW736-6200PRECISION WHITE 62"</v>
      </c>
      <c r="J409" s="7">
        <f>COUNTIF(Paper_Reference[Duplicate Key],Paper_Reference[[#This Row],[Duplicate Key]])</f>
        <v>1</v>
      </c>
    </row>
    <row r="410" spans="1:10">
      <c r="A410" s="7">
        <v>2</v>
      </c>
      <c r="B410" s="8" t="s">
        <v>3125</v>
      </c>
      <c r="C410" s="8" t="s">
        <v>3090</v>
      </c>
      <c r="D410" s="7">
        <v>1</v>
      </c>
      <c r="E410" s="7">
        <v>10</v>
      </c>
      <c r="F410" s="7">
        <v>1</v>
      </c>
      <c r="G410" s="8" t="s">
        <v>3115</v>
      </c>
      <c r="H410" s="8" t="s">
        <v>3090</v>
      </c>
      <c r="I410" s="7" t="str">
        <f>_xlfn.CONCAT(Paper_Reference[[#This Row],[Lvl]:[Paper Description]])</f>
        <v>2EF31WF1310T-5200VANA1101100WF131-6200VANA</v>
      </c>
      <c r="J410" s="7">
        <f>COUNTIF(Paper_Reference[Duplicate Key],Paper_Reference[[#This Row],[Duplicate Key]])</f>
        <v>1</v>
      </c>
    </row>
    <row r="411" spans="1:10">
      <c r="A411" s="7">
        <v>2</v>
      </c>
      <c r="B411" s="8" t="s">
        <v>3315</v>
      </c>
      <c r="C411" s="8" t="s">
        <v>3237</v>
      </c>
      <c r="D411" s="7">
        <v>1</v>
      </c>
      <c r="E411" s="7">
        <v>10</v>
      </c>
      <c r="F411" s="7">
        <v>2</v>
      </c>
      <c r="G411" s="8" t="s">
        <v>3230</v>
      </c>
      <c r="H411" s="8" t="s">
        <v>3231</v>
      </c>
      <c r="I411" s="7" t="str">
        <f>_xlfn.CONCAT(Paper_Reference[[#This Row],[Lvl]:[Paper Description]])</f>
        <v>2EM01S-7036SD4003PRECISION WHITE  48 X 1201102110SW736-5000PRECISION WHITE 43 X 145</v>
      </c>
      <c r="J411" s="7">
        <f>COUNTIF(Paper_Reference[Duplicate Key],Paper_Reference[[#This Row],[Duplicate Key]])</f>
        <v>1</v>
      </c>
    </row>
    <row r="412" spans="1:10">
      <c r="A412" s="7">
        <v>2</v>
      </c>
      <c r="B412" s="8" t="s">
        <v>3316</v>
      </c>
      <c r="C412" s="8" t="s">
        <v>3237</v>
      </c>
      <c r="D412" s="7">
        <v>1</v>
      </c>
      <c r="E412" s="7">
        <v>10</v>
      </c>
      <c r="F412" s="7">
        <v>1</v>
      </c>
      <c r="G412" s="8" t="s">
        <v>3230</v>
      </c>
      <c r="H412" s="8" t="s">
        <v>3231</v>
      </c>
      <c r="I412" s="7" t="str">
        <f>_xlfn.CONCAT(Paper_Reference[[#This Row],[Lvl]:[Paper Description]])</f>
        <v>2EM01S-7036T-4000PRECISION WHITE  48 X 1201101110SW736-5000PRECISION WHITE 43 X 145</v>
      </c>
      <c r="J412" s="7">
        <f>COUNTIF(Paper_Reference[Duplicate Key],Paper_Reference[[#This Row],[Duplicate Key]])</f>
        <v>1</v>
      </c>
    </row>
    <row r="413" spans="1:10">
      <c r="A413" s="7">
        <v>2</v>
      </c>
      <c r="B413" s="8" t="s">
        <v>3317</v>
      </c>
      <c r="C413" s="8" t="s">
        <v>3237</v>
      </c>
      <c r="D413" s="7">
        <v>1</v>
      </c>
      <c r="E413" s="7">
        <v>10</v>
      </c>
      <c r="F413" s="7">
        <v>1</v>
      </c>
      <c r="G413" s="8" t="s">
        <v>3230</v>
      </c>
      <c r="H413" s="8" t="s">
        <v>3231</v>
      </c>
      <c r="I413" s="7" t="str">
        <f>_xlfn.CONCAT(Paper_Reference[[#This Row],[Lvl]:[Paper Description]])</f>
        <v>2EM01S-7036T-4003PRECISION WHITE  48 X 1201101110SW736-5000PRECISION WHITE 43 X 145</v>
      </c>
      <c r="J413" s="7">
        <f>COUNTIF(Paper_Reference[Duplicate Key],Paper_Reference[[#This Row],[Duplicate Key]])</f>
        <v>1</v>
      </c>
    </row>
    <row r="414" spans="1:10">
      <c r="A414" s="7">
        <v>2</v>
      </c>
      <c r="B414" s="8" t="s">
        <v>3318</v>
      </c>
      <c r="C414" s="8" t="s">
        <v>3236</v>
      </c>
      <c r="D414" s="7">
        <v>1</v>
      </c>
      <c r="E414" s="7">
        <v>10</v>
      </c>
      <c r="F414" s="7">
        <v>1</v>
      </c>
      <c r="G414" s="8" t="s">
        <v>3230</v>
      </c>
      <c r="H414" s="8" t="s">
        <v>3231</v>
      </c>
      <c r="I414" s="7" t="str">
        <f>_xlfn.CONCAT(Paper_Reference[[#This Row],[Lvl]:[Paper Description]])</f>
        <v>2EM01S-7036T-4800PRECISION WHITE1101110SW736-5000PRECISION WHITE 43 X 145</v>
      </c>
      <c r="J414" s="7">
        <f>COUNTIF(Paper_Reference[Duplicate Key],Paper_Reference[[#This Row],[Duplicate Key]])</f>
        <v>1</v>
      </c>
    </row>
    <row r="415" spans="1:10">
      <c r="A415" s="7">
        <v>2</v>
      </c>
      <c r="B415" s="8" t="s">
        <v>9549</v>
      </c>
      <c r="C415" s="8" t="s">
        <v>9304</v>
      </c>
      <c r="D415" s="7">
        <v>1</v>
      </c>
      <c r="E415" s="7">
        <v>10</v>
      </c>
      <c r="F415" s="7">
        <v>1</v>
      </c>
      <c r="G415" s="8" t="s">
        <v>9143</v>
      </c>
      <c r="H415" s="8" t="s">
        <v>9144</v>
      </c>
      <c r="I415" s="30" t="str">
        <f>_xlfn.CONCAT(Paper_Reference[[#This Row],[Lvl]:[Paper Description]])</f>
        <v>2F28PFA39GL5801SING CHICAGO BLUES 60 X 961101100PFA39-6200SINGING THE CHICAGO BLUES</v>
      </c>
      <c r="J415" s="30">
        <f>COUNTIF(Paper_Reference[Duplicate Key],Paper_Reference[[#This Row],[Duplicate Key]])</f>
        <v>1</v>
      </c>
    </row>
    <row r="416" spans="1:10">
      <c r="A416" s="7">
        <v>2</v>
      </c>
      <c r="B416" s="8" t="s">
        <v>9550</v>
      </c>
      <c r="C416" s="8" t="s">
        <v>9152</v>
      </c>
      <c r="D416" s="7">
        <v>1</v>
      </c>
      <c r="E416" s="7">
        <v>10</v>
      </c>
      <c r="F416" s="7">
        <v>1</v>
      </c>
      <c r="G416" s="8" t="s">
        <v>9143</v>
      </c>
      <c r="H416" s="8" t="s">
        <v>9144</v>
      </c>
      <c r="I416" s="30" t="str">
        <f>_xlfn.CONCAT(Paper_Reference[[#This Row],[Lvl]:[Paper Description]])</f>
        <v>2F28PFA39J520SING CHICAGO BLUES 60 X 1441101100PFA39-6200SINGING THE CHICAGO BLUES</v>
      </c>
      <c r="J416" s="30">
        <f>COUNTIF(Paper_Reference[Duplicate Key],Paper_Reference[[#This Row],[Duplicate Key]])</f>
        <v>1</v>
      </c>
    </row>
    <row r="417" spans="1:10">
      <c r="A417" s="7">
        <v>2</v>
      </c>
      <c r="B417" s="8" t="s">
        <v>9551</v>
      </c>
      <c r="C417" s="8" t="s">
        <v>9307</v>
      </c>
      <c r="D417" s="7">
        <v>1</v>
      </c>
      <c r="E417" s="7">
        <v>10</v>
      </c>
      <c r="F417" s="7">
        <v>0.5</v>
      </c>
      <c r="G417" s="8" t="s">
        <v>9143</v>
      </c>
      <c r="H417" s="8" t="s">
        <v>9144</v>
      </c>
      <c r="I417" s="30" t="str">
        <f>_xlfn.CONCAT(Paper_Reference[[#This Row],[Lvl]:[Paper Description]])</f>
        <v>2F28PFA39N000SING CHICAGO BLUES 30 X 1201100.5100PFA39-6200SINGING THE CHICAGO BLUES</v>
      </c>
      <c r="J417" s="30">
        <f>COUNTIF(Paper_Reference[Duplicate Key],Paper_Reference[[#This Row],[Duplicate Key]])</f>
        <v>1</v>
      </c>
    </row>
    <row r="418" spans="1:10">
      <c r="A418" s="7">
        <v>2</v>
      </c>
      <c r="B418" s="8" t="s">
        <v>9552</v>
      </c>
      <c r="C418" s="8" t="s">
        <v>9309</v>
      </c>
      <c r="D418" s="7">
        <v>1</v>
      </c>
      <c r="E418" s="7">
        <v>10</v>
      </c>
      <c r="F418" s="7">
        <v>0.5</v>
      </c>
      <c r="G418" s="8" t="s">
        <v>9143</v>
      </c>
      <c r="H418" s="8" t="s">
        <v>9144</v>
      </c>
      <c r="I418" s="30" t="str">
        <f>_xlfn.CONCAT(Paper_Reference[[#This Row],[Lvl]:[Paper Description]])</f>
        <v>2F28PFA39N020SING CHICAGO BLUES 30 X 1441100.5100PFA39-6200SINGING THE CHICAGO BLUES</v>
      </c>
      <c r="J418" s="30">
        <f>COUNTIF(Paper_Reference[Duplicate Key],Paper_Reference[[#This Row],[Duplicate Key]])</f>
        <v>1</v>
      </c>
    </row>
    <row r="419" spans="1:10">
      <c r="A419" s="7">
        <v>2</v>
      </c>
      <c r="B419" s="8" t="s">
        <v>9553</v>
      </c>
      <c r="C419" s="8" t="s">
        <v>9311</v>
      </c>
      <c r="D419" s="7">
        <v>1</v>
      </c>
      <c r="E419" s="7">
        <v>10</v>
      </c>
      <c r="F419" s="7">
        <v>0.5</v>
      </c>
      <c r="G419" s="8" t="s">
        <v>9143</v>
      </c>
      <c r="H419" s="8" t="s">
        <v>9144</v>
      </c>
      <c r="I419" s="30" t="str">
        <f>_xlfn.CONCAT(Paper_Reference[[#This Row],[Lvl]:[Paper Description]])</f>
        <v>2F28PFA39N080SING CHICAGO BLUES 30 X 961100.5100PFA39-6200SINGING THE CHICAGO BLUES</v>
      </c>
      <c r="J419" s="30">
        <f>COUNTIF(Paper_Reference[Duplicate Key],Paper_Reference[[#This Row],[Duplicate Key]])</f>
        <v>1</v>
      </c>
    </row>
    <row r="420" spans="1:10">
      <c r="A420" s="7">
        <v>2</v>
      </c>
      <c r="B420" s="8" t="s">
        <v>9555</v>
      </c>
      <c r="C420" s="8" t="s">
        <v>9298</v>
      </c>
      <c r="D420" s="7">
        <v>1</v>
      </c>
      <c r="E420" s="7">
        <v>10</v>
      </c>
      <c r="F420" s="7">
        <v>1</v>
      </c>
      <c r="G420" s="8" t="s">
        <v>9143</v>
      </c>
      <c r="H420" s="8" t="s">
        <v>9144</v>
      </c>
      <c r="I420" s="30" t="str">
        <f>_xlfn.CONCAT(Paper_Reference[[#This Row],[Lvl]:[Paper Description]])</f>
        <v>2F28PFA39N500SING CHICAGO BLUES 60 X 1201101100PFA39-6200SINGING THE CHICAGO BLUES</v>
      </c>
      <c r="J420" s="30">
        <f>COUNTIF(Paper_Reference[Duplicate Key],Paper_Reference[[#This Row],[Duplicate Key]])</f>
        <v>1</v>
      </c>
    </row>
    <row r="421" spans="1:10">
      <c r="A421" s="7">
        <v>2</v>
      </c>
      <c r="B421" s="8" t="s">
        <v>9554</v>
      </c>
      <c r="C421" s="8" t="s">
        <v>9298</v>
      </c>
      <c r="D421" s="7">
        <v>1</v>
      </c>
      <c r="E421" s="7">
        <v>10</v>
      </c>
      <c r="F421" s="7">
        <v>1</v>
      </c>
      <c r="G421" s="8" t="s">
        <v>9143</v>
      </c>
      <c r="H421" s="8" t="s">
        <v>9144</v>
      </c>
      <c r="I421" s="30" t="str">
        <f>_xlfn.CONCAT(Paper_Reference[[#This Row],[Lvl]:[Paper Description]])</f>
        <v>2F28PFA39N5003SING CHICAGO BLUES 60 X 1201101100PFA39-6200SINGING THE CHICAGO BLUES</v>
      </c>
      <c r="J421" s="30">
        <f>COUNTIF(Paper_Reference[Duplicate Key],Paper_Reference[[#This Row],[Duplicate Key]])</f>
        <v>1</v>
      </c>
    </row>
    <row r="422" spans="1:10">
      <c r="A422" s="7">
        <v>2</v>
      </c>
      <c r="B422" s="8" t="s">
        <v>9556</v>
      </c>
      <c r="C422" s="8" t="s">
        <v>9152</v>
      </c>
      <c r="D422" s="7">
        <v>1</v>
      </c>
      <c r="E422" s="7">
        <v>10</v>
      </c>
      <c r="F422" s="7">
        <v>1</v>
      </c>
      <c r="G422" s="8" t="s">
        <v>9143</v>
      </c>
      <c r="H422" s="8" t="s">
        <v>9144</v>
      </c>
      <c r="I422" s="30" t="str">
        <f>_xlfn.CONCAT(Paper_Reference[[#This Row],[Lvl]:[Paper Description]])</f>
        <v>2F28PFA39N520SING CHICAGO BLUES 60 X 1441101100PFA39-6200SINGING THE CHICAGO BLUES</v>
      </c>
      <c r="J422" s="30">
        <f>COUNTIF(Paper_Reference[Duplicate Key],Paper_Reference[[#This Row],[Duplicate Key]])</f>
        <v>1</v>
      </c>
    </row>
    <row r="423" spans="1:10">
      <c r="A423" s="7">
        <v>2</v>
      </c>
      <c r="B423" s="8" t="s">
        <v>9557</v>
      </c>
      <c r="C423" s="8" t="s">
        <v>9304</v>
      </c>
      <c r="D423" s="7">
        <v>1</v>
      </c>
      <c r="E423" s="7">
        <v>10</v>
      </c>
      <c r="F423" s="7">
        <v>1</v>
      </c>
      <c r="G423" s="8" t="s">
        <v>9143</v>
      </c>
      <c r="H423" s="8" t="s">
        <v>9144</v>
      </c>
      <c r="I423" s="30" t="str">
        <f>_xlfn.CONCAT(Paper_Reference[[#This Row],[Lvl]:[Paper Description]])</f>
        <v>2F28PFA39N580SING CHICAGO BLUES 60 X 961101100PFA39-6200SINGING THE CHICAGO BLUES</v>
      </c>
      <c r="J423" s="30">
        <f>COUNTIF(Paper_Reference[Duplicate Key],Paper_Reference[[#This Row],[Duplicate Key]])</f>
        <v>1</v>
      </c>
    </row>
    <row r="424" spans="1:10">
      <c r="A424" s="7">
        <v>2</v>
      </c>
      <c r="B424" s="8" t="s">
        <v>9558</v>
      </c>
      <c r="C424" s="8" t="s">
        <v>9309</v>
      </c>
      <c r="D424" s="7">
        <v>1</v>
      </c>
      <c r="E424" s="7">
        <v>10</v>
      </c>
      <c r="F424" s="7">
        <v>0.5</v>
      </c>
      <c r="G424" s="8" t="s">
        <v>9143</v>
      </c>
      <c r="H424" s="8" t="s">
        <v>9144</v>
      </c>
      <c r="I424" s="30" t="str">
        <f>_xlfn.CONCAT(Paper_Reference[[#This Row],[Lvl]:[Paper Description]])</f>
        <v>2F28PFA39SD020SING CHICAGO BLUES 30 X 1441100.5100PFA39-6200SINGING THE CHICAGO BLUES</v>
      </c>
      <c r="J424" s="30">
        <f>COUNTIF(Paper_Reference[Duplicate Key],Paper_Reference[[#This Row],[Duplicate Key]])</f>
        <v>1</v>
      </c>
    </row>
    <row r="425" spans="1:10">
      <c r="A425" s="7">
        <v>2</v>
      </c>
      <c r="B425" s="8" t="s">
        <v>9559</v>
      </c>
      <c r="C425" s="8" t="s">
        <v>9311</v>
      </c>
      <c r="D425" s="7">
        <v>1</v>
      </c>
      <c r="E425" s="7">
        <v>10</v>
      </c>
      <c r="F425" s="7">
        <v>0.5</v>
      </c>
      <c r="G425" s="8" t="s">
        <v>9143</v>
      </c>
      <c r="H425" s="8" t="s">
        <v>9144</v>
      </c>
      <c r="I425" s="30" t="str">
        <f>_xlfn.CONCAT(Paper_Reference[[#This Row],[Lvl]:[Paper Description]])</f>
        <v>2F28PFA39SD080SING CHICAGO BLUES 30 X 961100.5100PFA39-6200SINGING THE CHICAGO BLUES</v>
      </c>
      <c r="J425" s="30">
        <f>COUNTIF(Paper_Reference[Duplicate Key],Paper_Reference[[#This Row],[Duplicate Key]])</f>
        <v>1</v>
      </c>
    </row>
    <row r="426" spans="1:10">
      <c r="A426" s="7">
        <v>2</v>
      </c>
      <c r="B426" s="8" t="s">
        <v>9561</v>
      </c>
      <c r="C426" s="8" t="s">
        <v>9298</v>
      </c>
      <c r="D426" s="7">
        <v>1</v>
      </c>
      <c r="E426" s="7">
        <v>10</v>
      </c>
      <c r="F426" s="7">
        <v>1</v>
      </c>
      <c r="G426" s="8" t="s">
        <v>9143</v>
      </c>
      <c r="H426" s="8" t="s">
        <v>9144</v>
      </c>
      <c r="I426" s="30" t="str">
        <f>_xlfn.CONCAT(Paper_Reference[[#This Row],[Lvl]:[Paper Description]])</f>
        <v>2F28PFA39SD500SING CHICAGO BLUES 60 X 1201101100PFA39-6200SINGING THE CHICAGO BLUES</v>
      </c>
      <c r="J426" s="30">
        <f>COUNTIF(Paper_Reference[Duplicate Key],Paper_Reference[[#This Row],[Duplicate Key]])</f>
        <v>1</v>
      </c>
    </row>
    <row r="427" spans="1:10">
      <c r="A427" s="7">
        <v>2</v>
      </c>
      <c r="B427" s="8" t="s">
        <v>9560</v>
      </c>
      <c r="C427" s="8" t="s">
        <v>9298</v>
      </c>
      <c r="D427" s="7">
        <v>1</v>
      </c>
      <c r="E427" s="7">
        <v>10</v>
      </c>
      <c r="F427" s="7">
        <v>1</v>
      </c>
      <c r="G427" s="8" t="s">
        <v>9143</v>
      </c>
      <c r="H427" s="8" t="s">
        <v>9144</v>
      </c>
      <c r="I427" s="30" t="str">
        <f>_xlfn.CONCAT(Paper_Reference[[#This Row],[Lvl]:[Paper Description]])</f>
        <v>2F28PFA39SD5003SING CHICAGO BLUES 60 X 1201101100PFA39-6200SINGING THE CHICAGO BLUES</v>
      </c>
      <c r="J427" s="30">
        <f>COUNTIF(Paper_Reference[Duplicate Key],Paper_Reference[[#This Row],[Duplicate Key]])</f>
        <v>1</v>
      </c>
    </row>
    <row r="428" spans="1:10">
      <c r="A428" s="7">
        <v>2</v>
      </c>
      <c r="B428" s="8" t="s">
        <v>9563</v>
      </c>
      <c r="C428" s="8" t="s">
        <v>9152</v>
      </c>
      <c r="D428" s="7">
        <v>1</v>
      </c>
      <c r="E428" s="7">
        <v>10</v>
      </c>
      <c r="F428" s="7">
        <v>1</v>
      </c>
      <c r="G428" s="8" t="s">
        <v>9143</v>
      </c>
      <c r="H428" s="8" t="s">
        <v>9144</v>
      </c>
      <c r="I428" s="30" t="str">
        <f>_xlfn.CONCAT(Paper_Reference[[#This Row],[Lvl]:[Paper Description]])</f>
        <v>2F28PFA39SD520SING CHICAGO BLUES 60 X 1441101100PFA39-6200SINGING THE CHICAGO BLUES</v>
      </c>
      <c r="J428" s="30">
        <f>COUNTIF(Paper_Reference[Duplicate Key],Paper_Reference[[#This Row],[Duplicate Key]])</f>
        <v>1</v>
      </c>
    </row>
    <row r="429" spans="1:10">
      <c r="A429" s="7">
        <v>2</v>
      </c>
      <c r="B429" s="8" t="s">
        <v>9562</v>
      </c>
      <c r="C429" s="8" t="s">
        <v>9152</v>
      </c>
      <c r="D429" s="7">
        <v>1</v>
      </c>
      <c r="E429" s="7">
        <v>10</v>
      </c>
      <c r="F429" s="7">
        <v>1</v>
      </c>
      <c r="G429" s="8" t="s">
        <v>9143</v>
      </c>
      <c r="H429" s="8" t="s">
        <v>9144</v>
      </c>
      <c r="I429" s="30" t="str">
        <f>_xlfn.CONCAT(Paper_Reference[[#This Row],[Lvl]:[Paper Description]])</f>
        <v>2F28PFA39SD5201SING CHICAGO BLUES 60 X 1441101100PFA39-6200SINGING THE CHICAGO BLUES</v>
      </c>
      <c r="J429" s="30">
        <f>COUNTIF(Paper_Reference[Duplicate Key],Paper_Reference[[#This Row],[Duplicate Key]])</f>
        <v>1</v>
      </c>
    </row>
    <row r="430" spans="1:10">
      <c r="A430" s="7">
        <v>2</v>
      </c>
      <c r="B430" s="8" t="s">
        <v>9564</v>
      </c>
      <c r="C430" s="8" t="s">
        <v>9304</v>
      </c>
      <c r="D430" s="7">
        <v>1</v>
      </c>
      <c r="E430" s="7">
        <v>10</v>
      </c>
      <c r="F430" s="7">
        <v>1</v>
      </c>
      <c r="G430" s="8" t="s">
        <v>9143</v>
      </c>
      <c r="H430" s="8" t="s">
        <v>9144</v>
      </c>
      <c r="I430" s="30" t="str">
        <f>_xlfn.CONCAT(Paper_Reference[[#This Row],[Lvl]:[Paper Description]])</f>
        <v>2F28PFA39SD580SING CHICAGO BLUES 60 X 961101100PFA39-6200SINGING THE CHICAGO BLUES</v>
      </c>
      <c r="J430" s="30">
        <f>COUNTIF(Paper_Reference[Duplicate Key],Paper_Reference[[#This Row],[Duplicate Key]])</f>
        <v>1</v>
      </c>
    </row>
    <row r="431" spans="1:10">
      <c r="A431" s="7">
        <v>2</v>
      </c>
      <c r="B431" s="8" t="s">
        <v>3319</v>
      </c>
      <c r="C431" s="8" t="s">
        <v>3238</v>
      </c>
      <c r="D431" s="7">
        <v>1</v>
      </c>
      <c r="E431" s="7">
        <v>10</v>
      </c>
      <c r="F431" s="7">
        <v>1</v>
      </c>
      <c r="G431" s="8" t="s">
        <v>3230</v>
      </c>
      <c r="H431" s="8" t="s">
        <v>3231</v>
      </c>
      <c r="I431" s="7" t="str">
        <f>_xlfn.CONCAT(Paper_Reference[[#This Row],[Lvl]:[Paper Description]])</f>
        <v>2F28SW736G4801PERCISION WHITE 48 X 961101110SW736-5000PRECISION WHITE 43 X 145</v>
      </c>
      <c r="J431" s="7">
        <f>COUNTIF(Paper_Reference[Duplicate Key],Paper_Reference[[#This Row],[Duplicate Key]])</f>
        <v>1</v>
      </c>
    </row>
    <row r="432" spans="1:10">
      <c r="A432" s="7">
        <v>2</v>
      </c>
      <c r="B432" s="8" t="s">
        <v>8417</v>
      </c>
      <c r="C432" s="8" t="s">
        <v>8305</v>
      </c>
      <c r="D432" s="7">
        <v>1</v>
      </c>
      <c r="E432" s="7">
        <v>10</v>
      </c>
      <c r="F432" s="7">
        <v>1</v>
      </c>
      <c r="G432" s="8" t="s">
        <v>8302</v>
      </c>
      <c r="H432" s="8" t="s">
        <v>8303</v>
      </c>
      <c r="I432" s="7" t="str">
        <f>_xlfn.CONCAT(Paper_Reference[[#This Row],[Lvl]:[Paper Description]])</f>
        <v>2F28SW813CR520ICE WHITE 60 X 1441101100SW813-6200ICE WHITE</v>
      </c>
      <c r="J432" s="7">
        <f>COUNTIF(Paper_Reference[Duplicate Key],Paper_Reference[[#This Row],[Duplicate Key]])</f>
        <v>1</v>
      </c>
    </row>
    <row r="433" spans="1:10">
      <c r="A433" s="7">
        <v>2</v>
      </c>
      <c r="B433" s="8" t="s">
        <v>8418</v>
      </c>
      <c r="C433" s="8" t="s">
        <v>8304</v>
      </c>
      <c r="D433" s="7">
        <v>1</v>
      </c>
      <c r="E433" s="7">
        <v>10</v>
      </c>
      <c r="F433" s="7">
        <v>1</v>
      </c>
      <c r="G433" s="8" t="s">
        <v>8302</v>
      </c>
      <c r="H433" s="8" t="s">
        <v>8303</v>
      </c>
      <c r="I433" s="7" t="str">
        <f>_xlfn.CONCAT(Paper_Reference[[#This Row],[Lvl]:[Paper Description]])</f>
        <v>2F28SW813G5001ICE WHITE 60 X 1201101100SW813-6200ICE WHITE</v>
      </c>
      <c r="J433" s="7">
        <f>COUNTIF(Paper_Reference[Duplicate Key],Paper_Reference[[#This Row],[Duplicate Key]])</f>
        <v>1</v>
      </c>
    </row>
    <row r="434" spans="1:10">
      <c r="A434" s="7">
        <v>2</v>
      </c>
      <c r="B434" s="8" t="s">
        <v>8420</v>
      </c>
      <c r="C434" s="8" t="s">
        <v>8305</v>
      </c>
      <c r="D434" s="7">
        <v>1</v>
      </c>
      <c r="E434" s="7">
        <v>10</v>
      </c>
      <c r="F434" s="7">
        <v>1</v>
      </c>
      <c r="G434" s="8" t="s">
        <v>8302</v>
      </c>
      <c r="H434" s="8" t="s">
        <v>8303</v>
      </c>
      <c r="I434" s="7" t="str">
        <f>_xlfn.CONCAT(Paper_Reference[[#This Row],[Lvl]:[Paper Description]])</f>
        <v>2F28SW813G520ICE WHITE 60 X 1441101100SW813-6200ICE WHITE</v>
      </c>
      <c r="J434" s="7">
        <f>COUNTIF(Paper_Reference[Duplicate Key],Paper_Reference[[#This Row],[Duplicate Key]])</f>
        <v>1</v>
      </c>
    </row>
    <row r="435" spans="1:10">
      <c r="A435" s="7">
        <v>2</v>
      </c>
      <c r="B435" s="8" t="s">
        <v>8419</v>
      </c>
      <c r="C435" s="8" t="s">
        <v>8305</v>
      </c>
      <c r="D435" s="7">
        <v>1</v>
      </c>
      <c r="E435" s="7">
        <v>10</v>
      </c>
      <c r="F435" s="7">
        <v>1</v>
      </c>
      <c r="G435" s="8" t="s">
        <v>8302</v>
      </c>
      <c r="H435" s="8" t="s">
        <v>8303</v>
      </c>
      <c r="I435" s="7" t="str">
        <f>_xlfn.CONCAT(Paper_Reference[[#This Row],[Lvl]:[Paper Description]])</f>
        <v>2F28SW813G5201ICE WHITE 60 X 1441101100SW813-6200ICE WHITE</v>
      </c>
      <c r="J435" s="7">
        <f>COUNTIF(Paper_Reference[Duplicate Key],Paper_Reference[[#This Row],[Duplicate Key]])</f>
        <v>1</v>
      </c>
    </row>
    <row r="436" spans="1:10">
      <c r="A436" s="7">
        <v>2</v>
      </c>
      <c r="B436" s="8" t="s">
        <v>8422</v>
      </c>
      <c r="C436" s="8" t="s">
        <v>8306</v>
      </c>
      <c r="D436" s="7">
        <v>1</v>
      </c>
      <c r="E436" s="7">
        <v>10</v>
      </c>
      <c r="F436" s="7">
        <v>1</v>
      </c>
      <c r="G436" s="8" t="s">
        <v>8302</v>
      </c>
      <c r="H436" s="8" t="s">
        <v>8303</v>
      </c>
      <c r="I436" s="7" t="str">
        <f>_xlfn.CONCAT(Paper_Reference[[#This Row],[Lvl]:[Paper Description]])</f>
        <v>2F28SW813G580ICE WHITE 60 X 961101100SW813-6200ICE WHITE</v>
      </c>
      <c r="J436" s="7">
        <f>COUNTIF(Paper_Reference[Duplicate Key],Paper_Reference[[#This Row],[Duplicate Key]])</f>
        <v>1</v>
      </c>
    </row>
    <row r="437" spans="1:10">
      <c r="A437" s="7">
        <v>2</v>
      </c>
      <c r="B437" s="8" t="s">
        <v>8421</v>
      </c>
      <c r="C437" s="8" t="s">
        <v>8306</v>
      </c>
      <c r="D437" s="7">
        <v>1</v>
      </c>
      <c r="E437" s="7">
        <v>10</v>
      </c>
      <c r="F437" s="7">
        <v>1</v>
      </c>
      <c r="G437" s="8" t="s">
        <v>8302</v>
      </c>
      <c r="H437" s="8" t="s">
        <v>8303</v>
      </c>
      <c r="I437" s="7" t="str">
        <f>_xlfn.CONCAT(Paper_Reference[[#This Row],[Lvl]:[Paper Description]])</f>
        <v>2F28SW813G5801ICE WHITE 60 X 961101100SW813-6200ICE WHITE</v>
      </c>
      <c r="J437" s="7">
        <f>COUNTIF(Paper_Reference[Duplicate Key],Paper_Reference[[#This Row],[Duplicate Key]])</f>
        <v>1</v>
      </c>
    </row>
    <row r="438" spans="1:10">
      <c r="A438" s="7">
        <v>2</v>
      </c>
      <c r="B438" s="8" t="s">
        <v>8423</v>
      </c>
      <c r="C438" s="8" t="s">
        <v>8319</v>
      </c>
      <c r="D438" s="7">
        <v>1</v>
      </c>
      <c r="E438" s="7">
        <v>10</v>
      </c>
      <c r="F438" s="7">
        <v>1</v>
      </c>
      <c r="G438" s="8" t="s">
        <v>8302</v>
      </c>
      <c r="H438" s="8" t="s">
        <v>8303</v>
      </c>
      <c r="I438" s="7" t="str">
        <f>_xlfn.CONCAT(Paper_Reference[[#This Row],[Lvl]:[Paper Description]])</f>
        <v>2F28SW813G5901ICE WHITE 60 X 1081101100SW813-6200ICE WHITE</v>
      </c>
      <c r="J438" s="7">
        <f>COUNTIF(Paper_Reference[Duplicate Key],Paper_Reference[[#This Row],[Duplicate Key]])</f>
        <v>1</v>
      </c>
    </row>
    <row r="439" spans="1:10">
      <c r="A439" s="7">
        <v>2</v>
      </c>
      <c r="B439" s="8" t="s">
        <v>8424</v>
      </c>
      <c r="C439" s="8" t="s">
        <v>8320</v>
      </c>
      <c r="D439" s="7">
        <v>1</v>
      </c>
      <c r="E439" s="7">
        <v>10</v>
      </c>
      <c r="F439" s="7">
        <v>1</v>
      </c>
      <c r="G439" s="8" t="s">
        <v>8302</v>
      </c>
      <c r="H439" s="8" t="s">
        <v>8303</v>
      </c>
      <c r="I439" s="7" t="str">
        <f>_xlfn.CONCAT(Paper_Reference[[#This Row],[Lvl]:[Paper Description]])</f>
        <v>2F28SW813GCMT1ICE WHITE 61 X 1211101100SW813-6200ICE WHITE</v>
      </c>
      <c r="J439" s="7">
        <f>COUNTIF(Paper_Reference[Duplicate Key],Paper_Reference[[#This Row],[Duplicate Key]])</f>
        <v>1</v>
      </c>
    </row>
    <row r="440" spans="1:10">
      <c r="A440" s="7">
        <v>2</v>
      </c>
      <c r="B440" s="8" t="s">
        <v>8425</v>
      </c>
      <c r="C440" s="8" t="s">
        <v>8321</v>
      </c>
      <c r="D440" s="7">
        <v>1</v>
      </c>
      <c r="E440" s="7">
        <v>10</v>
      </c>
      <c r="F440" s="7">
        <v>1</v>
      </c>
      <c r="G440" s="8" t="s">
        <v>8302</v>
      </c>
      <c r="H440" s="8" t="s">
        <v>8303</v>
      </c>
      <c r="I440" s="7" t="str">
        <f>_xlfn.CONCAT(Paper_Reference[[#This Row],[Lvl]:[Paper Description]])</f>
        <v>2F28SW813GDEM1ICE WHITE 61 X 971101100SW813-6200ICE WHITE</v>
      </c>
      <c r="J440" s="7">
        <f>COUNTIF(Paper_Reference[Duplicate Key],Paper_Reference[[#This Row],[Duplicate Key]])</f>
        <v>1</v>
      </c>
    </row>
    <row r="441" spans="1:10">
      <c r="A441" s="7">
        <v>2</v>
      </c>
      <c r="B441" s="8" t="s">
        <v>8426</v>
      </c>
      <c r="C441" s="8" t="s">
        <v>8322</v>
      </c>
      <c r="D441" s="7">
        <v>1</v>
      </c>
      <c r="E441" s="7">
        <v>10</v>
      </c>
      <c r="F441" s="7">
        <v>1</v>
      </c>
      <c r="G441" s="8" t="s">
        <v>8302</v>
      </c>
      <c r="H441" s="8" t="s">
        <v>8303</v>
      </c>
      <c r="I441" s="7" t="str">
        <f>_xlfn.CONCAT(Paper_Reference[[#This Row],[Lvl]:[Paper Description]])</f>
        <v>2F28SW813GFMR1ICE WHITE 61 X 731101100SW813-6200ICE WHITE</v>
      </c>
      <c r="J441" s="7">
        <f>COUNTIF(Paper_Reference[Duplicate Key],Paper_Reference[[#This Row],[Duplicate Key]])</f>
        <v>1</v>
      </c>
    </row>
    <row r="442" spans="1:10">
      <c r="A442" s="7">
        <v>2</v>
      </c>
      <c r="B442" s="8" t="s">
        <v>8427</v>
      </c>
      <c r="C442" s="8" t="s">
        <v>8323</v>
      </c>
      <c r="D442" s="7">
        <v>1</v>
      </c>
      <c r="E442" s="7">
        <v>10</v>
      </c>
      <c r="F442" s="7">
        <v>1</v>
      </c>
      <c r="G442" s="8" t="s">
        <v>8302</v>
      </c>
      <c r="H442" s="8" t="s">
        <v>8303</v>
      </c>
      <c r="I442" s="7" t="str">
        <f>_xlfn.CONCAT(Paper_Reference[[#This Row],[Lvl]:[Paper Description]])</f>
        <v>2F28SW813GL4201ICE WHITE 48 X 1441101100SW813-6200ICE WHITE</v>
      </c>
      <c r="J442" s="7">
        <f>COUNTIF(Paper_Reference[Duplicate Key],Paper_Reference[[#This Row],[Duplicate Key]])</f>
        <v>1</v>
      </c>
    </row>
    <row r="443" spans="1:10">
      <c r="A443" s="7">
        <v>2</v>
      </c>
      <c r="B443" s="8" t="s">
        <v>8428</v>
      </c>
      <c r="C443" s="8" t="s">
        <v>8305</v>
      </c>
      <c r="D443" s="7">
        <v>1</v>
      </c>
      <c r="E443" s="7">
        <v>10</v>
      </c>
      <c r="F443" s="7">
        <v>1</v>
      </c>
      <c r="G443" s="8" t="s">
        <v>8302</v>
      </c>
      <c r="H443" s="8" t="s">
        <v>8303</v>
      </c>
      <c r="I443" s="7" t="str">
        <f>_xlfn.CONCAT(Paper_Reference[[#This Row],[Lvl]:[Paper Description]])</f>
        <v>2F28SW813GL5201ICE WHITE 60 X 1441101100SW813-6200ICE WHITE</v>
      </c>
      <c r="J443" s="7">
        <f>COUNTIF(Paper_Reference[Duplicate Key],Paper_Reference[[#This Row],[Duplicate Key]])</f>
        <v>1</v>
      </c>
    </row>
    <row r="444" spans="1:10">
      <c r="A444" s="7">
        <v>2</v>
      </c>
      <c r="B444" s="8" t="s">
        <v>8429</v>
      </c>
      <c r="C444" s="8" t="s">
        <v>8320</v>
      </c>
      <c r="D444" s="7">
        <v>1</v>
      </c>
      <c r="E444" s="7">
        <v>10</v>
      </c>
      <c r="F444" s="7">
        <v>1</v>
      </c>
      <c r="G444" s="8" t="s">
        <v>8302</v>
      </c>
      <c r="H444" s="8" t="s">
        <v>8303</v>
      </c>
      <c r="I444" s="7" t="str">
        <f>_xlfn.CONCAT(Paper_Reference[[#This Row],[Lvl]:[Paper Description]])</f>
        <v>2F28SW813GLCMT1ICE WHITE 61 X 1211101100SW813-6200ICE WHITE</v>
      </c>
      <c r="J444" s="7">
        <f>COUNTIF(Paper_Reference[Duplicate Key],Paper_Reference[[#This Row],[Duplicate Key]])</f>
        <v>1</v>
      </c>
    </row>
    <row r="445" spans="1:10">
      <c r="A445" s="7">
        <v>2</v>
      </c>
      <c r="B445" s="8" t="s">
        <v>8430</v>
      </c>
      <c r="C445" s="8" t="s">
        <v>8321</v>
      </c>
      <c r="D445" s="7">
        <v>1</v>
      </c>
      <c r="E445" s="7">
        <v>10</v>
      </c>
      <c r="F445" s="7">
        <v>1</v>
      </c>
      <c r="G445" s="8" t="s">
        <v>8302</v>
      </c>
      <c r="H445" s="8" t="s">
        <v>8303</v>
      </c>
      <c r="I445" s="7" t="str">
        <f>_xlfn.CONCAT(Paper_Reference[[#This Row],[Lvl]:[Paper Description]])</f>
        <v>2F28SW813GLDEM1ICE WHITE 61 X 971101100SW813-6200ICE WHITE</v>
      </c>
      <c r="J445" s="7">
        <f>COUNTIF(Paper_Reference[Duplicate Key],Paper_Reference[[#This Row],[Duplicate Key]])</f>
        <v>1</v>
      </c>
    </row>
    <row r="446" spans="1:10">
      <c r="A446" s="7">
        <v>2</v>
      </c>
      <c r="B446" s="8" t="s">
        <v>8431</v>
      </c>
      <c r="C446" s="8" t="s">
        <v>8322</v>
      </c>
      <c r="D446" s="7">
        <v>1</v>
      </c>
      <c r="E446" s="7">
        <v>10</v>
      </c>
      <c r="F446" s="7">
        <v>1</v>
      </c>
      <c r="G446" s="8" t="s">
        <v>8302</v>
      </c>
      <c r="H446" s="8" t="s">
        <v>8303</v>
      </c>
      <c r="I446" s="7" t="str">
        <f>_xlfn.CONCAT(Paper_Reference[[#This Row],[Lvl]:[Paper Description]])</f>
        <v>2F28SW813GLFMR1ICE WHITE 61 X 731101100SW813-6200ICE WHITE</v>
      </c>
      <c r="J446" s="7">
        <f>COUNTIF(Paper_Reference[Duplicate Key],Paper_Reference[[#This Row],[Duplicate Key]])</f>
        <v>1</v>
      </c>
    </row>
    <row r="447" spans="1:10">
      <c r="A447" s="7">
        <v>2</v>
      </c>
      <c r="B447" s="8" t="s">
        <v>8432</v>
      </c>
      <c r="C447" s="8" t="s">
        <v>8324</v>
      </c>
      <c r="D447" s="7">
        <v>1</v>
      </c>
      <c r="E447" s="7">
        <v>10</v>
      </c>
      <c r="F447" s="7">
        <v>1</v>
      </c>
      <c r="G447" s="8" t="s">
        <v>8302</v>
      </c>
      <c r="H447" s="8" t="s">
        <v>8303</v>
      </c>
      <c r="I447" s="7" t="str">
        <f>_xlfn.CONCAT(Paper_Reference[[#This Row],[Lvl]:[Paper Description]])</f>
        <v>2F28SW813GLYDA1ICE WHITE 57 X 991101100SW813-6200ICE WHITE</v>
      </c>
      <c r="J447" s="7">
        <f>COUNTIF(Paper_Reference[Duplicate Key],Paper_Reference[[#This Row],[Duplicate Key]])</f>
        <v>1</v>
      </c>
    </row>
    <row r="448" spans="1:10">
      <c r="A448" s="7">
        <v>2</v>
      </c>
      <c r="B448" s="8" t="s">
        <v>8433</v>
      </c>
      <c r="C448" s="8" t="s">
        <v>8325</v>
      </c>
      <c r="D448" s="7">
        <v>1</v>
      </c>
      <c r="E448" s="7">
        <v>10</v>
      </c>
      <c r="F448" s="7">
        <v>0.5</v>
      </c>
      <c r="G448" s="8" t="s">
        <v>8302</v>
      </c>
      <c r="H448" s="8" t="s">
        <v>8303</v>
      </c>
      <c r="I448" s="7" t="str">
        <f>_xlfn.CONCAT(Paper_Reference[[#This Row],[Lvl]:[Paper Description]])</f>
        <v>2F28SW813J020ICE WHITE 30 X 1441100.5100SW813-6200ICE WHITE</v>
      </c>
      <c r="J448" s="7">
        <f>COUNTIF(Paper_Reference[Duplicate Key],Paper_Reference[[#This Row],[Duplicate Key]])</f>
        <v>1</v>
      </c>
    </row>
    <row r="449" spans="1:10">
      <c r="A449" s="7">
        <v>2</v>
      </c>
      <c r="B449" s="8" t="s">
        <v>8434</v>
      </c>
      <c r="C449" s="8" t="s">
        <v>8305</v>
      </c>
      <c r="D449" s="7">
        <v>1</v>
      </c>
      <c r="E449" s="7">
        <v>10</v>
      </c>
      <c r="F449" s="7">
        <v>1</v>
      </c>
      <c r="G449" s="8" t="s">
        <v>8302</v>
      </c>
      <c r="H449" s="8" t="s">
        <v>8303</v>
      </c>
      <c r="I449" s="7" t="str">
        <f>_xlfn.CONCAT(Paper_Reference[[#This Row],[Lvl]:[Paper Description]])</f>
        <v>2F28SW813LZ520ICE WHITE 60 X 1441101100SW813-6200ICE WHITE</v>
      </c>
      <c r="J449" s="7">
        <f>COUNTIF(Paper_Reference[Duplicate Key],Paper_Reference[[#This Row],[Duplicate Key]])</f>
        <v>1</v>
      </c>
    </row>
    <row r="450" spans="1:10">
      <c r="A450" s="7">
        <v>2</v>
      </c>
      <c r="B450" s="8" t="s">
        <v>8435</v>
      </c>
      <c r="C450" s="8" t="s">
        <v>8326</v>
      </c>
      <c r="D450" s="7">
        <v>1</v>
      </c>
      <c r="E450" s="7">
        <v>10</v>
      </c>
      <c r="F450" s="7">
        <v>0.5</v>
      </c>
      <c r="G450" s="8" t="s">
        <v>8302</v>
      </c>
      <c r="H450" s="8" t="s">
        <v>8303</v>
      </c>
      <c r="I450" s="7" t="str">
        <f>_xlfn.CONCAT(Paper_Reference[[#This Row],[Lvl]:[Paper Description]])</f>
        <v>2F28SW813MG000ICE WHITE 30 X 1201100.5100SW813-6200ICE WHITE</v>
      </c>
      <c r="J450" s="7">
        <f>COUNTIF(Paper_Reference[Duplicate Key],Paper_Reference[[#This Row],[Duplicate Key]])</f>
        <v>1</v>
      </c>
    </row>
    <row r="451" spans="1:10">
      <c r="A451" s="7">
        <v>2</v>
      </c>
      <c r="B451" s="8" t="s">
        <v>8436</v>
      </c>
      <c r="C451" s="8" t="s">
        <v>8325</v>
      </c>
      <c r="D451" s="7">
        <v>1</v>
      </c>
      <c r="E451" s="7">
        <v>10</v>
      </c>
      <c r="F451" s="7">
        <v>0.5</v>
      </c>
      <c r="G451" s="8" t="s">
        <v>8302</v>
      </c>
      <c r="H451" s="8" t="s">
        <v>8303</v>
      </c>
      <c r="I451" s="7" t="str">
        <f>_xlfn.CONCAT(Paper_Reference[[#This Row],[Lvl]:[Paper Description]])</f>
        <v>2F28SW813N020ICE WHITE 30 X 1441100.5100SW813-6200ICE WHITE</v>
      </c>
      <c r="J451" s="7">
        <f>COUNTIF(Paper_Reference[Duplicate Key],Paper_Reference[[#This Row],[Duplicate Key]])</f>
        <v>1</v>
      </c>
    </row>
    <row r="452" spans="1:10">
      <c r="A452" s="7">
        <v>2</v>
      </c>
      <c r="B452" s="8" t="s">
        <v>8437</v>
      </c>
      <c r="C452" s="8" t="s">
        <v>8327</v>
      </c>
      <c r="D452" s="7">
        <v>1</v>
      </c>
      <c r="E452" s="7">
        <v>10</v>
      </c>
      <c r="F452" s="7">
        <v>0.5</v>
      </c>
      <c r="G452" s="8" t="s">
        <v>8302</v>
      </c>
      <c r="H452" s="8" t="s">
        <v>8303</v>
      </c>
      <c r="I452" s="7" t="str">
        <f>_xlfn.CONCAT(Paper_Reference[[#This Row],[Lvl]:[Paper Description]])</f>
        <v>2F28SW813N080ICE WHITE 30 X 961100.5100SW813-6200ICE WHITE</v>
      </c>
      <c r="J452" s="7">
        <f>COUNTIF(Paper_Reference[Duplicate Key],Paper_Reference[[#This Row],[Duplicate Key]])</f>
        <v>1</v>
      </c>
    </row>
    <row r="453" spans="1:10">
      <c r="A453" s="7">
        <v>2</v>
      </c>
      <c r="B453" s="8" t="s">
        <v>8439</v>
      </c>
      <c r="C453" s="8" t="s">
        <v>8304</v>
      </c>
      <c r="D453" s="7">
        <v>1</v>
      </c>
      <c r="E453" s="7">
        <v>10</v>
      </c>
      <c r="F453" s="7">
        <v>1</v>
      </c>
      <c r="G453" s="8" t="s">
        <v>8302</v>
      </c>
      <c r="H453" s="8" t="s">
        <v>8303</v>
      </c>
      <c r="I453" s="7" t="str">
        <f>_xlfn.CONCAT(Paper_Reference[[#This Row],[Lvl]:[Paper Description]])</f>
        <v>2F28SW813N500ICE WHITE 60 X 1201101100SW813-6200ICE WHITE</v>
      </c>
      <c r="J453" s="7">
        <f>COUNTIF(Paper_Reference[Duplicate Key],Paper_Reference[[#This Row],[Duplicate Key]])</f>
        <v>1</v>
      </c>
    </row>
    <row r="454" spans="1:10">
      <c r="A454" s="7">
        <v>2</v>
      </c>
      <c r="B454" s="8" t="s">
        <v>8438</v>
      </c>
      <c r="C454" s="8" t="s">
        <v>8304</v>
      </c>
      <c r="D454" s="7">
        <v>1</v>
      </c>
      <c r="E454" s="7">
        <v>10</v>
      </c>
      <c r="F454" s="7">
        <v>1</v>
      </c>
      <c r="G454" s="8" t="s">
        <v>8302</v>
      </c>
      <c r="H454" s="8" t="s">
        <v>8303</v>
      </c>
      <c r="I454" s="7" t="str">
        <f>_xlfn.CONCAT(Paper_Reference[[#This Row],[Lvl]:[Paper Description]])</f>
        <v>2F28SW813N5003ICE WHITE 60 X 1201101100SW813-6200ICE WHITE</v>
      </c>
      <c r="J454" s="7">
        <f>COUNTIF(Paper_Reference[Duplicate Key],Paper_Reference[[#This Row],[Duplicate Key]])</f>
        <v>1</v>
      </c>
    </row>
    <row r="455" spans="1:10">
      <c r="A455" s="7">
        <v>2</v>
      </c>
      <c r="B455" s="8" t="s">
        <v>8441</v>
      </c>
      <c r="C455" s="8" t="s">
        <v>8305</v>
      </c>
      <c r="D455" s="7">
        <v>1</v>
      </c>
      <c r="E455" s="7">
        <v>10</v>
      </c>
      <c r="F455" s="7">
        <v>1</v>
      </c>
      <c r="G455" s="8" t="s">
        <v>8302</v>
      </c>
      <c r="H455" s="8" t="s">
        <v>8303</v>
      </c>
      <c r="I455" s="7" t="str">
        <f>_xlfn.CONCAT(Paper_Reference[[#This Row],[Lvl]:[Paper Description]])</f>
        <v>2F28SW813N520ICE WHITE 60 X 1441101100SW813-6200ICE WHITE</v>
      </c>
      <c r="J455" s="7">
        <f>COUNTIF(Paper_Reference[Duplicate Key],Paper_Reference[[#This Row],[Duplicate Key]])</f>
        <v>1</v>
      </c>
    </row>
    <row r="456" spans="1:10">
      <c r="A456" s="7">
        <v>2</v>
      </c>
      <c r="B456" s="8" t="s">
        <v>8440</v>
      </c>
      <c r="C456" s="8" t="s">
        <v>8305</v>
      </c>
      <c r="D456" s="7">
        <v>1</v>
      </c>
      <c r="E456" s="7">
        <v>10</v>
      </c>
      <c r="F456" s="7">
        <v>1</v>
      </c>
      <c r="G456" s="8" t="s">
        <v>8302</v>
      </c>
      <c r="H456" s="8" t="s">
        <v>8303</v>
      </c>
      <c r="I456" s="7" t="str">
        <f>_xlfn.CONCAT(Paper_Reference[[#This Row],[Lvl]:[Paper Description]])</f>
        <v>2F28SW813N5203ICE WHITE 60 X 1441101100SW813-6200ICE WHITE</v>
      </c>
      <c r="J456" s="7">
        <f>COUNTIF(Paper_Reference[Duplicate Key],Paper_Reference[[#This Row],[Duplicate Key]])</f>
        <v>1</v>
      </c>
    </row>
    <row r="457" spans="1:10">
      <c r="A457" s="7">
        <v>2</v>
      </c>
      <c r="B457" s="8" t="s">
        <v>8443</v>
      </c>
      <c r="C457" s="8" t="s">
        <v>8306</v>
      </c>
      <c r="D457" s="7">
        <v>1</v>
      </c>
      <c r="E457" s="7">
        <v>10</v>
      </c>
      <c r="F457" s="7">
        <v>1</v>
      </c>
      <c r="G457" s="8" t="s">
        <v>8302</v>
      </c>
      <c r="H457" s="8" t="s">
        <v>8303</v>
      </c>
      <c r="I457" s="7" t="str">
        <f>_xlfn.CONCAT(Paper_Reference[[#This Row],[Lvl]:[Paper Description]])</f>
        <v>2F28SW813N580ICE WHITE 60 X 961101100SW813-6200ICE WHITE</v>
      </c>
      <c r="J457" s="7">
        <f>COUNTIF(Paper_Reference[Duplicate Key],Paper_Reference[[#This Row],[Duplicate Key]])</f>
        <v>1</v>
      </c>
    </row>
    <row r="458" spans="1:10">
      <c r="A458" s="7">
        <v>2</v>
      </c>
      <c r="B458" s="8" t="s">
        <v>8442</v>
      </c>
      <c r="C458" s="8" t="s">
        <v>8306</v>
      </c>
      <c r="D458" s="7">
        <v>1</v>
      </c>
      <c r="E458" s="7">
        <v>10</v>
      </c>
      <c r="F458" s="7">
        <v>1</v>
      </c>
      <c r="G458" s="8" t="s">
        <v>8302</v>
      </c>
      <c r="H458" s="8" t="s">
        <v>8303</v>
      </c>
      <c r="I458" s="7" t="str">
        <f>_xlfn.CONCAT(Paper_Reference[[#This Row],[Lvl]:[Paper Description]])</f>
        <v>2F28SW813N5803ICE WHITE 60 X 961101100SW813-6200ICE WHITE</v>
      </c>
      <c r="J458" s="7">
        <f>COUNTIF(Paper_Reference[Duplicate Key],Paper_Reference[[#This Row],[Duplicate Key]])</f>
        <v>1</v>
      </c>
    </row>
    <row r="459" spans="1:10">
      <c r="A459" s="7">
        <v>2</v>
      </c>
      <c r="B459" s="8" t="s">
        <v>8444</v>
      </c>
      <c r="C459" s="8" t="s">
        <v>8305</v>
      </c>
      <c r="D459" s="7">
        <v>1</v>
      </c>
      <c r="E459" s="7">
        <v>10</v>
      </c>
      <c r="F459" s="7">
        <v>1</v>
      </c>
      <c r="G459" s="8" t="s">
        <v>8302</v>
      </c>
      <c r="H459" s="8" t="s">
        <v>8303</v>
      </c>
      <c r="I459" s="7" t="str">
        <f>_xlfn.CONCAT(Paper_Reference[[#This Row],[Lvl]:[Paper Description]])</f>
        <v>2F28SW813OZ520ICE WHITE 60 X 1441101100SW813-6200ICE WHITE</v>
      </c>
      <c r="J459" s="7">
        <f>COUNTIF(Paper_Reference[Duplicate Key],Paper_Reference[[#This Row],[Duplicate Key]])</f>
        <v>1</v>
      </c>
    </row>
    <row r="460" spans="1:10">
      <c r="A460" s="7">
        <v>2</v>
      </c>
      <c r="B460" s="8" t="s">
        <v>8445</v>
      </c>
      <c r="C460" s="8" t="s">
        <v>8325</v>
      </c>
      <c r="D460" s="7">
        <v>1</v>
      </c>
      <c r="E460" s="7">
        <v>10</v>
      </c>
      <c r="F460" s="7">
        <v>0.5</v>
      </c>
      <c r="G460" s="8" t="s">
        <v>8302</v>
      </c>
      <c r="H460" s="8" t="s">
        <v>8303</v>
      </c>
      <c r="I460" s="7" t="str">
        <f>_xlfn.CONCAT(Paper_Reference[[#This Row],[Lvl]:[Paper Description]])</f>
        <v>2F28SW813SD020ICE WHITE 30 X 1441100.5100SW813-6200ICE WHITE</v>
      </c>
      <c r="J460" s="7">
        <f>COUNTIF(Paper_Reference[Duplicate Key],Paper_Reference[[#This Row],[Duplicate Key]])</f>
        <v>1</v>
      </c>
    </row>
    <row r="461" spans="1:10">
      <c r="A461" s="7">
        <v>2</v>
      </c>
      <c r="B461" s="8" t="s">
        <v>8447</v>
      </c>
      <c r="C461" s="8" t="s">
        <v>8304</v>
      </c>
      <c r="D461" s="7">
        <v>1</v>
      </c>
      <c r="E461" s="7">
        <v>10</v>
      </c>
      <c r="F461" s="7">
        <v>1</v>
      </c>
      <c r="G461" s="8" t="s">
        <v>8302</v>
      </c>
      <c r="H461" s="8" t="s">
        <v>8303</v>
      </c>
      <c r="I461" s="7" t="str">
        <f>_xlfn.CONCAT(Paper_Reference[[#This Row],[Lvl]:[Paper Description]])</f>
        <v>2F28SW813SD500ICE WHITE 60 X 1201101100SW813-6200ICE WHITE</v>
      </c>
      <c r="J461" s="7">
        <f>COUNTIF(Paper_Reference[Duplicate Key],Paper_Reference[[#This Row],[Duplicate Key]])</f>
        <v>1</v>
      </c>
    </row>
    <row r="462" spans="1:10">
      <c r="A462" s="7">
        <v>2</v>
      </c>
      <c r="B462" s="8" t="s">
        <v>8446</v>
      </c>
      <c r="C462" s="8" t="s">
        <v>8304</v>
      </c>
      <c r="D462" s="7">
        <v>1</v>
      </c>
      <c r="E462" s="7">
        <v>10</v>
      </c>
      <c r="F462" s="7">
        <v>1</v>
      </c>
      <c r="G462" s="8" t="s">
        <v>8302</v>
      </c>
      <c r="H462" s="8" t="s">
        <v>8303</v>
      </c>
      <c r="I462" s="7" t="str">
        <f>_xlfn.CONCAT(Paper_Reference[[#This Row],[Lvl]:[Paper Description]])</f>
        <v>2F28SW813SD5003ICE WHITE 60 X 1201101100SW813-6200ICE WHITE</v>
      </c>
      <c r="J462" s="7">
        <f>COUNTIF(Paper_Reference[Duplicate Key],Paper_Reference[[#This Row],[Duplicate Key]])</f>
        <v>1</v>
      </c>
    </row>
    <row r="463" spans="1:10">
      <c r="A463" s="7">
        <v>2</v>
      </c>
      <c r="B463" s="8" t="s">
        <v>8449</v>
      </c>
      <c r="C463" s="8" t="s">
        <v>8305</v>
      </c>
      <c r="D463" s="7">
        <v>1</v>
      </c>
      <c r="E463" s="7">
        <v>10</v>
      </c>
      <c r="F463" s="7">
        <v>1</v>
      </c>
      <c r="G463" s="8" t="s">
        <v>8302</v>
      </c>
      <c r="H463" s="8" t="s">
        <v>8303</v>
      </c>
      <c r="I463" s="7" t="str">
        <f>_xlfn.CONCAT(Paper_Reference[[#This Row],[Lvl]:[Paper Description]])</f>
        <v>2F28SW813SD520ICE WHITE 60 X 1441101100SW813-6200ICE WHITE</v>
      </c>
      <c r="J463" s="7">
        <f>COUNTIF(Paper_Reference[Duplicate Key],Paper_Reference[[#This Row],[Duplicate Key]])</f>
        <v>1</v>
      </c>
    </row>
    <row r="464" spans="1:10">
      <c r="A464" s="7">
        <v>2</v>
      </c>
      <c r="B464" s="8" t="s">
        <v>8448</v>
      </c>
      <c r="C464" s="8" t="s">
        <v>8305</v>
      </c>
      <c r="D464" s="7">
        <v>1</v>
      </c>
      <c r="E464" s="7">
        <v>10</v>
      </c>
      <c r="F464" s="7">
        <v>1</v>
      </c>
      <c r="G464" s="8" t="s">
        <v>8302</v>
      </c>
      <c r="H464" s="8" t="s">
        <v>8303</v>
      </c>
      <c r="I464" s="7" t="str">
        <f>_xlfn.CONCAT(Paper_Reference[[#This Row],[Lvl]:[Paper Description]])</f>
        <v>2F28SW813SD5203ICE WHITE 60 X 1441101100SW813-6200ICE WHITE</v>
      </c>
      <c r="J464" s="7">
        <f>COUNTIF(Paper_Reference[Duplicate Key],Paper_Reference[[#This Row],[Duplicate Key]])</f>
        <v>1</v>
      </c>
    </row>
    <row r="465" spans="1:10">
      <c r="A465" s="7">
        <v>2</v>
      </c>
      <c r="B465" s="8" t="s">
        <v>8451</v>
      </c>
      <c r="C465" s="8" t="s">
        <v>8306</v>
      </c>
      <c r="D465" s="7">
        <v>1</v>
      </c>
      <c r="E465" s="7">
        <v>10</v>
      </c>
      <c r="F465" s="7">
        <v>1</v>
      </c>
      <c r="G465" s="8" t="s">
        <v>8302</v>
      </c>
      <c r="H465" s="8" t="s">
        <v>8303</v>
      </c>
      <c r="I465" s="7" t="str">
        <f>_xlfn.CONCAT(Paper_Reference[[#This Row],[Lvl]:[Paper Description]])</f>
        <v>2F28SW813SD580ICE WHITE 60 X 961101100SW813-6200ICE WHITE</v>
      </c>
      <c r="J465" s="7">
        <f>COUNTIF(Paper_Reference[Duplicate Key],Paper_Reference[[#This Row],[Duplicate Key]])</f>
        <v>1</v>
      </c>
    </row>
    <row r="466" spans="1:10">
      <c r="A466" s="7">
        <v>2</v>
      </c>
      <c r="B466" s="8" t="s">
        <v>8450</v>
      </c>
      <c r="C466" s="8" t="s">
        <v>8306</v>
      </c>
      <c r="D466" s="7">
        <v>1</v>
      </c>
      <c r="E466" s="7">
        <v>10</v>
      </c>
      <c r="F466" s="7">
        <v>1</v>
      </c>
      <c r="G466" s="8" t="s">
        <v>8302</v>
      </c>
      <c r="H466" s="8" t="s">
        <v>8303</v>
      </c>
      <c r="I466" s="7" t="str">
        <f>_xlfn.CONCAT(Paper_Reference[[#This Row],[Lvl]:[Paper Description]])</f>
        <v>2F28SW813SD5803ICE WHITE 60 X 961101100SW813-6200ICE WHITE</v>
      </c>
      <c r="J466" s="7">
        <f>COUNTIF(Paper_Reference[Duplicate Key],Paper_Reference[[#This Row],[Duplicate Key]])</f>
        <v>1</v>
      </c>
    </row>
    <row r="467" spans="1:10">
      <c r="A467" s="7">
        <v>2</v>
      </c>
      <c r="B467" s="8" t="s">
        <v>8452</v>
      </c>
      <c r="C467" s="8" t="s">
        <v>8305</v>
      </c>
      <c r="D467" s="7">
        <v>1</v>
      </c>
      <c r="E467" s="7">
        <v>10</v>
      </c>
      <c r="F467" s="7">
        <v>1</v>
      </c>
      <c r="G467" s="8" t="s">
        <v>8302</v>
      </c>
      <c r="H467" s="8" t="s">
        <v>8303</v>
      </c>
      <c r="I467" s="7" t="str">
        <f>_xlfn.CONCAT(Paper_Reference[[#This Row],[Lvl]:[Paper Description]])</f>
        <v>2F28SW813V520ICE WHITE 60 X 1441101100SW813-6200ICE WHITE</v>
      </c>
      <c r="J467" s="7">
        <f>COUNTIF(Paper_Reference[Duplicate Key],Paper_Reference[[#This Row],[Duplicate Key]])</f>
        <v>1</v>
      </c>
    </row>
    <row r="468" spans="1:10">
      <c r="A468" s="7">
        <v>2</v>
      </c>
      <c r="B468" s="8" t="s">
        <v>3126</v>
      </c>
      <c r="C468" s="8" t="s">
        <v>3086</v>
      </c>
      <c r="D468" s="7">
        <v>1</v>
      </c>
      <c r="E468" s="7">
        <v>10</v>
      </c>
      <c r="F468" s="7">
        <v>1</v>
      </c>
      <c r="G468" s="8" t="s">
        <v>3115</v>
      </c>
      <c r="H468" s="8" t="s">
        <v>3090</v>
      </c>
      <c r="I468" s="7" t="str">
        <f>_xlfn.CONCAT(Paper_Reference[[#This Row],[Lvl]:[Paper Description]])</f>
        <v>2F28WF131J520VANA 60 X 1441101100WF131-6200VANA</v>
      </c>
      <c r="J468" s="7">
        <f>COUNTIF(Paper_Reference[Duplicate Key],Paper_Reference[[#This Row],[Duplicate Key]])</f>
        <v>1</v>
      </c>
    </row>
    <row r="469" spans="1:10">
      <c r="A469" s="7">
        <v>2</v>
      </c>
      <c r="B469" s="8" t="s">
        <v>3127</v>
      </c>
      <c r="C469" s="8" t="s">
        <v>3091</v>
      </c>
      <c r="D469" s="7">
        <v>1</v>
      </c>
      <c r="E469" s="7">
        <v>10</v>
      </c>
      <c r="F469" s="7">
        <v>0.5</v>
      </c>
      <c r="G469" s="8" t="s">
        <v>3115</v>
      </c>
      <c r="H469" s="8" t="s">
        <v>3090</v>
      </c>
      <c r="I469" s="7" t="str">
        <f>_xlfn.CONCAT(Paper_Reference[[#This Row],[Lvl]:[Paper Description]])</f>
        <v>2F28WF131N000VANA 30 X 1201100.5100WF131-6200VANA</v>
      </c>
      <c r="J469" s="7">
        <f>COUNTIF(Paper_Reference[Duplicate Key],Paper_Reference[[#This Row],[Duplicate Key]])</f>
        <v>1</v>
      </c>
    </row>
    <row r="470" spans="1:10">
      <c r="A470" s="7">
        <v>2</v>
      </c>
      <c r="B470" s="8" t="s">
        <v>3128</v>
      </c>
      <c r="C470" s="8" t="s">
        <v>3092</v>
      </c>
      <c r="D470" s="7">
        <v>1</v>
      </c>
      <c r="E470" s="7">
        <v>10</v>
      </c>
      <c r="F470" s="7">
        <v>0.5</v>
      </c>
      <c r="G470" s="8" t="s">
        <v>3115</v>
      </c>
      <c r="H470" s="8" t="s">
        <v>3090</v>
      </c>
      <c r="I470" s="7" t="str">
        <f>_xlfn.CONCAT(Paper_Reference[[#This Row],[Lvl]:[Paper Description]])</f>
        <v>2F28WF131N020VANA 30 X 1441100.5100WF131-6200VANA</v>
      </c>
      <c r="J470" s="7">
        <f>COUNTIF(Paper_Reference[Duplicate Key],Paper_Reference[[#This Row],[Duplicate Key]])</f>
        <v>1</v>
      </c>
    </row>
    <row r="471" spans="1:10">
      <c r="A471" s="7">
        <v>2</v>
      </c>
      <c r="B471" s="8" t="s">
        <v>3129</v>
      </c>
      <c r="C471" s="8" t="s">
        <v>3093</v>
      </c>
      <c r="D471" s="7">
        <v>1</v>
      </c>
      <c r="E471" s="7">
        <v>10</v>
      </c>
      <c r="F471" s="7">
        <v>0.5</v>
      </c>
      <c r="G471" s="8" t="s">
        <v>3115</v>
      </c>
      <c r="H471" s="8" t="s">
        <v>3090</v>
      </c>
      <c r="I471" s="7" t="str">
        <f>_xlfn.CONCAT(Paper_Reference[[#This Row],[Lvl]:[Paper Description]])</f>
        <v>2F28WF131N080VANA 30 X 961100.5100WF131-6200VANA</v>
      </c>
      <c r="J471" s="7">
        <f>COUNTIF(Paper_Reference[Duplicate Key],Paper_Reference[[#This Row],[Duplicate Key]])</f>
        <v>1</v>
      </c>
    </row>
    <row r="472" spans="1:10">
      <c r="A472" s="7">
        <v>2</v>
      </c>
      <c r="B472" s="8" t="s">
        <v>3130</v>
      </c>
      <c r="C472" s="8" t="s">
        <v>3088</v>
      </c>
      <c r="D472" s="7">
        <v>1</v>
      </c>
      <c r="E472" s="7">
        <v>10</v>
      </c>
      <c r="F472" s="7">
        <v>1</v>
      </c>
      <c r="G472" s="8" t="s">
        <v>3115</v>
      </c>
      <c r="H472" s="8" t="s">
        <v>3090</v>
      </c>
      <c r="I472" s="7" t="str">
        <f>_xlfn.CONCAT(Paper_Reference[[#This Row],[Lvl]:[Paper Description]])</f>
        <v>2F28WF131N500VANA 60 X 1201101100WF131-6200VANA</v>
      </c>
      <c r="J472" s="7">
        <f>COUNTIF(Paper_Reference[Duplicate Key],Paper_Reference[[#This Row],[Duplicate Key]])</f>
        <v>1</v>
      </c>
    </row>
    <row r="473" spans="1:10">
      <c r="A473" s="7">
        <v>2</v>
      </c>
      <c r="B473" s="8" t="s">
        <v>3131</v>
      </c>
      <c r="C473" s="8" t="s">
        <v>3086</v>
      </c>
      <c r="D473" s="7">
        <v>1</v>
      </c>
      <c r="E473" s="7">
        <v>10</v>
      </c>
      <c r="F473" s="7">
        <v>1</v>
      </c>
      <c r="G473" s="8" t="s">
        <v>3115</v>
      </c>
      <c r="H473" s="8" t="s">
        <v>3090</v>
      </c>
      <c r="I473" s="7" t="str">
        <f>_xlfn.CONCAT(Paper_Reference[[#This Row],[Lvl]:[Paper Description]])</f>
        <v>2F28WF131N520VANA 60 X 1441101100WF131-6200VANA</v>
      </c>
      <c r="J473" s="7">
        <f>COUNTIF(Paper_Reference[Duplicate Key],Paper_Reference[[#This Row],[Duplicate Key]])</f>
        <v>1</v>
      </c>
    </row>
    <row r="474" spans="1:10">
      <c r="A474" s="7">
        <v>2</v>
      </c>
      <c r="B474" s="8" t="s">
        <v>3133</v>
      </c>
      <c r="C474" s="8" t="s">
        <v>3087</v>
      </c>
      <c r="D474" s="7">
        <v>1</v>
      </c>
      <c r="E474" s="7">
        <v>10</v>
      </c>
      <c r="F474" s="7">
        <v>1</v>
      </c>
      <c r="G474" s="8" t="s">
        <v>3115</v>
      </c>
      <c r="H474" s="8" t="s">
        <v>3090</v>
      </c>
      <c r="I474" s="7" t="str">
        <f>_xlfn.CONCAT(Paper_Reference[[#This Row],[Lvl]:[Paper Description]])</f>
        <v>2F28WF131N580VANA 60 X 961101100WF131-6200VANA</v>
      </c>
      <c r="J474" s="7">
        <f>COUNTIF(Paper_Reference[Duplicate Key],Paper_Reference[[#This Row],[Duplicate Key]])</f>
        <v>1</v>
      </c>
    </row>
    <row r="475" spans="1:10">
      <c r="A475" s="7">
        <v>2</v>
      </c>
      <c r="B475" s="8" t="s">
        <v>3132</v>
      </c>
      <c r="C475" s="8" t="s">
        <v>3087</v>
      </c>
      <c r="D475" s="7">
        <v>1</v>
      </c>
      <c r="E475" s="7">
        <v>10</v>
      </c>
      <c r="F475" s="7">
        <v>1</v>
      </c>
      <c r="G475" s="8" t="s">
        <v>3115</v>
      </c>
      <c r="H475" s="8" t="s">
        <v>3090</v>
      </c>
      <c r="I475" s="7" t="str">
        <f>_xlfn.CONCAT(Paper_Reference[[#This Row],[Lvl]:[Paper Description]])</f>
        <v>2F28WF131N5803VANA 60 X 961101100WF131-6200VANA</v>
      </c>
      <c r="J475" s="7">
        <f>COUNTIF(Paper_Reference[Duplicate Key],Paper_Reference[[#This Row],[Duplicate Key]])</f>
        <v>1</v>
      </c>
    </row>
    <row r="476" spans="1:10">
      <c r="A476" s="7">
        <v>2</v>
      </c>
      <c r="B476" s="8" t="s">
        <v>3134</v>
      </c>
      <c r="C476" s="8" t="s">
        <v>3094</v>
      </c>
      <c r="D476" s="7">
        <v>1</v>
      </c>
      <c r="E476" s="7">
        <v>10</v>
      </c>
      <c r="F476" s="7">
        <v>1</v>
      </c>
      <c r="G476" s="8" t="s">
        <v>3115</v>
      </c>
      <c r="H476" s="8" t="s">
        <v>3090</v>
      </c>
      <c r="I476" s="7" t="str">
        <f>_xlfn.CONCAT(Paper_Reference[[#This Row],[Lvl]:[Paper Description]])</f>
        <v>2F28WF131N590VANA 60 X 1081101100WF131-6200VANA</v>
      </c>
      <c r="J476" s="7">
        <f>COUNTIF(Paper_Reference[Duplicate Key],Paper_Reference[[#This Row],[Duplicate Key]])</f>
        <v>1</v>
      </c>
    </row>
    <row r="477" spans="1:10">
      <c r="A477" s="7">
        <v>2</v>
      </c>
      <c r="B477" s="8" t="s">
        <v>3135</v>
      </c>
      <c r="C477" s="8" t="s">
        <v>3092</v>
      </c>
      <c r="D477" s="7">
        <v>1</v>
      </c>
      <c r="E477" s="7">
        <v>10</v>
      </c>
      <c r="F477" s="7">
        <v>0.5</v>
      </c>
      <c r="G477" s="8" t="s">
        <v>3115</v>
      </c>
      <c r="H477" s="8" t="s">
        <v>3090</v>
      </c>
      <c r="I477" s="7" t="str">
        <f>_xlfn.CONCAT(Paper_Reference[[#This Row],[Lvl]:[Paper Description]])</f>
        <v>2F28WF131R020VANA 30 X 1441100.5100WF131-6200VANA</v>
      </c>
      <c r="J477" s="7">
        <f>COUNTIF(Paper_Reference[Duplicate Key],Paper_Reference[[#This Row],[Duplicate Key]])</f>
        <v>1</v>
      </c>
    </row>
    <row r="478" spans="1:10">
      <c r="A478" s="7">
        <v>2</v>
      </c>
      <c r="B478" s="8" t="s">
        <v>3136</v>
      </c>
      <c r="C478" s="8" t="s">
        <v>3086</v>
      </c>
      <c r="D478" s="7">
        <v>1</v>
      </c>
      <c r="E478" s="7">
        <v>10</v>
      </c>
      <c r="F478" s="7">
        <v>1</v>
      </c>
      <c r="G478" s="8" t="s">
        <v>3115</v>
      </c>
      <c r="H478" s="8" t="s">
        <v>3090</v>
      </c>
      <c r="I478" s="7" t="str">
        <f>_xlfn.CONCAT(Paper_Reference[[#This Row],[Lvl]:[Paper Description]])</f>
        <v>2F28WF131R520VANA 60 X 1441101100WF131-6200VANA</v>
      </c>
      <c r="J478" s="7">
        <f>COUNTIF(Paper_Reference[Duplicate Key],Paper_Reference[[#This Row],[Duplicate Key]])</f>
        <v>1</v>
      </c>
    </row>
    <row r="479" spans="1:10">
      <c r="A479" s="7">
        <v>2</v>
      </c>
      <c r="B479" s="8" t="s">
        <v>3137</v>
      </c>
      <c r="C479" s="8" t="s">
        <v>3091</v>
      </c>
      <c r="D479" s="7">
        <v>1</v>
      </c>
      <c r="E479" s="7">
        <v>10</v>
      </c>
      <c r="F479" s="7">
        <v>0.5</v>
      </c>
      <c r="G479" s="8" t="s">
        <v>3115</v>
      </c>
      <c r="H479" s="8" t="s">
        <v>3090</v>
      </c>
      <c r="I479" s="7" t="str">
        <f>_xlfn.CONCAT(Paper_Reference[[#This Row],[Lvl]:[Paper Description]])</f>
        <v>2F28WF131SD000VANA 30 X 1201100.5100WF131-6200VANA</v>
      </c>
      <c r="J479" s="7">
        <f>COUNTIF(Paper_Reference[Duplicate Key],Paper_Reference[[#This Row],[Duplicate Key]])</f>
        <v>1</v>
      </c>
    </row>
    <row r="480" spans="1:10">
      <c r="A480" s="7">
        <v>2</v>
      </c>
      <c r="B480" s="8" t="s">
        <v>3138</v>
      </c>
      <c r="C480" s="8" t="s">
        <v>3092</v>
      </c>
      <c r="D480" s="7">
        <v>1</v>
      </c>
      <c r="E480" s="7">
        <v>10</v>
      </c>
      <c r="F480" s="7">
        <v>0.5</v>
      </c>
      <c r="G480" s="8" t="s">
        <v>3115</v>
      </c>
      <c r="H480" s="8" t="s">
        <v>3090</v>
      </c>
      <c r="I480" s="7" t="str">
        <f>_xlfn.CONCAT(Paper_Reference[[#This Row],[Lvl]:[Paper Description]])</f>
        <v>2F28WF131SD020VANA 30 X 1441100.5100WF131-6200VANA</v>
      </c>
      <c r="J480" s="7">
        <f>COUNTIF(Paper_Reference[Duplicate Key],Paper_Reference[[#This Row],[Duplicate Key]])</f>
        <v>1</v>
      </c>
    </row>
    <row r="481" spans="1:10">
      <c r="A481" s="7">
        <v>2</v>
      </c>
      <c r="B481" s="8" t="s">
        <v>3139</v>
      </c>
      <c r="C481" s="8" t="s">
        <v>3093</v>
      </c>
      <c r="D481" s="7">
        <v>1</v>
      </c>
      <c r="E481" s="7">
        <v>10</v>
      </c>
      <c r="F481" s="7">
        <v>0.5</v>
      </c>
      <c r="G481" s="8" t="s">
        <v>3115</v>
      </c>
      <c r="H481" s="8" t="s">
        <v>3090</v>
      </c>
      <c r="I481" s="7" t="str">
        <f>_xlfn.CONCAT(Paper_Reference[[#This Row],[Lvl]:[Paper Description]])</f>
        <v>2F28WF131SD080VANA 30 X 961100.5100WF131-6200VANA</v>
      </c>
      <c r="J481" s="7">
        <f>COUNTIF(Paper_Reference[Duplicate Key],Paper_Reference[[#This Row],[Duplicate Key]])</f>
        <v>1</v>
      </c>
    </row>
    <row r="482" spans="1:10">
      <c r="A482" s="7">
        <v>2</v>
      </c>
      <c r="B482" s="8" t="s">
        <v>3140</v>
      </c>
      <c r="C482" s="8" t="s">
        <v>3088</v>
      </c>
      <c r="D482" s="7">
        <v>1</v>
      </c>
      <c r="E482" s="7">
        <v>10</v>
      </c>
      <c r="F482" s="7">
        <v>1</v>
      </c>
      <c r="G482" s="8" t="s">
        <v>3115</v>
      </c>
      <c r="H482" s="8" t="s">
        <v>3090</v>
      </c>
      <c r="I482" s="7" t="str">
        <f>_xlfn.CONCAT(Paper_Reference[[#This Row],[Lvl]:[Paper Description]])</f>
        <v>2F28WF131SD500VANA 60 X 1201101100WF131-6200VANA</v>
      </c>
      <c r="J482" s="7">
        <f>COUNTIF(Paper_Reference[Duplicate Key],Paper_Reference[[#This Row],[Duplicate Key]])</f>
        <v>1</v>
      </c>
    </row>
    <row r="483" spans="1:10">
      <c r="A483" s="7">
        <v>2</v>
      </c>
      <c r="B483" s="8" t="s">
        <v>3141</v>
      </c>
      <c r="C483" s="8" t="s">
        <v>3086</v>
      </c>
      <c r="D483" s="7">
        <v>1</v>
      </c>
      <c r="E483" s="7">
        <v>10</v>
      </c>
      <c r="F483" s="7">
        <v>1</v>
      </c>
      <c r="G483" s="8" t="s">
        <v>3115</v>
      </c>
      <c r="H483" s="8" t="s">
        <v>3090</v>
      </c>
      <c r="I483" s="7" t="str">
        <f>_xlfn.CONCAT(Paper_Reference[[#This Row],[Lvl]:[Paper Description]])</f>
        <v>2F28WF131SD520VANA 60 X 1441101100WF131-6200VANA</v>
      </c>
      <c r="J483" s="7">
        <f>COUNTIF(Paper_Reference[Duplicate Key],Paper_Reference[[#This Row],[Duplicate Key]])</f>
        <v>1</v>
      </c>
    </row>
    <row r="484" spans="1:10">
      <c r="A484" s="7">
        <v>2</v>
      </c>
      <c r="B484" s="8" t="s">
        <v>3142</v>
      </c>
      <c r="C484" s="8" t="s">
        <v>3087</v>
      </c>
      <c r="D484" s="7">
        <v>1</v>
      </c>
      <c r="E484" s="7">
        <v>10</v>
      </c>
      <c r="F484" s="7">
        <v>1</v>
      </c>
      <c r="G484" s="8" t="s">
        <v>3115</v>
      </c>
      <c r="H484" s="8" t="s">
        <v>3090</v>
      </c>
      <c r="I484" s="7" t="str">
        <f>_xlfn.CONCAT(Paper_Reference[[#This Row],[Lvl]:[Paper Description]])</f>
        <v>2F28WF131SD580VANA 60 X 961101100WF131-6200VANA</v>
      </c>
      <c r="J484" s="7">
        <f>COUNTIF(Paper_Reference[Duplicate Key],Paper_Reference[[#This Row],[Duplicate Key]])</f>
        <v>1</v>
      </c>
    </row>
    <row r="485" spans="1:10">
      <c r="A485" s="7">
        <v>2</v>
      </c>
      <c r="B485" s="8" t="s">
        <v>3143</v>
      </c>
      <c r="C485" s="8" t="s">
        <v>3091</v>
      </c>
      <c r="D485" s="7">
        <v>1</v>
      </c>
      <c r="E485" s="7">
        <v>10</v>
      </c>
      <c r="F485" s="7">
        <v>0.5</v>
      </c>
      <c r="G485" s="8" t="s">
        <v>3115</v>
      </c>
      <c r="H485" s="8" t="s">
        <v>3090</v>
      </c>
      <c r="I485" s="7" t="str">
        <f>_xlfn.CONCAT(Paper_Reference[[#This Row],[Lvl]:[Paper Description]])</f>
        <v>2F28WF131U000VANA 30 X 1201100.5100WF131-6200VANA</v>
      </c>
      <c r="J485" s="7">
        <f>COUNTIF(Paper_Reference[Duplicate Key],Paper_Reference[[#This Row],[Duplicate Key]])</f>
        <v>1</v>
      </c>
    </row>
    <row r="486" spans="1:10">
      <c r="A486" s="7">
        <v>2</v>
      </c>
      <c r="B486" s="8" t="s">
        <v>3144</v>
      </c>
      <c r="C486" s="8" t="s">
        <v>3092</v>
      </c>
      <c r="D486" s="7">
        <v>1</v>
      </c>
      <c r="E486" s="7">
        <v>10</v>
      </c>
      <c r="F486" s="7">
        <v>0.5</v>
      </c>
      <c r="G486" s="8" t="s">
        <v>3115</v>
      </c>
      <c r="H486" s="8" t="s">
        <v>3090</v>
      </c>
      <c r="I486" s="7" t="str">
        <f>_xlfn.CONCAT(Paper_Reference[[#This Row],[Lvl]:[Paper Description]])</f>
        <v>2F28WF131U020VANA 30 X 1441100.5100WF131-6200VANA</v>
      </c>
      <c r="J486" s="7">
        <f>COUNTIF(Paper_Reference[Duplicate Key],Paper_Reference[[#This Row],[Duplicate Key]])</f>
        <v>1</v>
      </c>
    </row>
    <row r="487" spans="1:10">
      <c r="A487" s="7">
        <v>2</v>
      </c>
      <c r="B487" s="8" t="s">
        <v>5495</v>
      </c>
      <c r="C487" s="8" t="s">
        <v>5376</v>
      </c>
      <c r="D487" s="7">
        <v>1</v>
      </c>
      <c r="E487" s="7">
        <v>10</v>
      </c>
      <c r="F487" s="7">
        <v>1</v>
      </c>
      <c r="G487" s="8" t="s">
        <v>5373</v>
      </c>
      <c r="H487" s="8" t="s">
        <v>5374</v>
      </c>
      <c r="I487" s="7" t="str">
        <f>_xlfn.CONCAT(Paper_Reference[[#This Row],[Lvl]:[Paper Description]])</f>
        <v>2F28WW971H520GUN SAVOY WALNUT 60 X 1441101100WW971-6200GUN SAVOY WALNUT</v>
      </c>
      <c r="J487" s="7">
        <f>COUNTIF(Paper_Reference[Duplicate Key],Paper_Reference[[#This Row],[Duplicate Key]])</f>
        <v>1</v>
      </c>
    </row>
    <row r="488" spans="1:10">
      <c r="A488" s="7">
        <v>2</v>
      </c>
      <c r="B488" s="8" t="s">
        <v>5496</v>
      </c>
      <c r="C488" s="8" t="s">
        <v>5376</v>
      </c>
      <c r="D488" s="7">
        <v>1</v>
      </c>
      <c r="E488" s="7">
        <v>10</v>
      </c>
      <c r="F488" s="7">
        <v>1</v>
      </c>
      <c r="G488" s="8" t="s">
        <v>5373</v>
      </c>
      <c r="H488" s="8" t="s">
        <v>5374</v>
      </c>
      <c r="I488" s="7" t="str">
        <f>_xlfn.CONCAT(Paper_Reference[[#This Row],[Lvl]:[Paper Description]])</f>
        <v>2F28WW971J520GUN SAVOY WALNUT 60 X 1441101100WW971-6200GUN SAVOY WALNUT</v>
      </c>
      <c r="J488" s="7">
        <f>COUNTIF(Paper_Reference[Duplicate Key],Paper_Reference[[#This Row],[Duplicate Key]])</f>
        <v>1</v>
      </c>
    </row>
    <row r="489" spans="1:10">
      <c r="A489" s="7">
        <v>2</v>
      </c>
      <c r="B489" s="8" t="s">
        <v>5497</v>
      </c>
      <c r="C489" s="8" t="s">
        <v>5379</v>
      </c>
      <c r="D489" s="7">
        <v>1</v>
      </c>
      <c r="E489" s="7">
        <v>10</v>
      </c>
      <c r="F489" s="7">
        <v>0.5</v>
      </c>
      <c r="G489" s="8" t="s">
        <v>5373</v>
      </c>
      <c r="H489" s="8" t="s">
        <v>5374</v>
      </c>
      <c r="I489" s="7" t="str">
        <f>_xlfn.CONCAT(Paper_Reference[[#This Row],[Lvl]:[Paper Description]])</f>
        <v>2F28WW971N000GUN SAVOY WALNUT 30 X 1201100.5100WW971-6200GUN SAVOY WALNUT</v>
      </c>
      <c r="J489" s="7">
        <f>COUNTIF(Paper_Reference[Duplicate Key],Paper_Reference[[#This Row],[Duplicate Key]])</f>
        <v>1</v>
      </c>
    </row>
    <row r="490" spans="1:10">
      <c r="A490" s="7">
        <v>2</v>
      </c>
      <c r="B490" s="8" t="s">
        <v>5498</v>
      </c>
      <c r="C490" s="8" t="s">
        <v>5380</v>
      </c>
      <c r="D490" s="7">
        <v>1</v>
      </c>
      <c r="E490" s="7">
        <v>10</v>
      </c>
      <c r="F490" s="7">
        <v>0.5</v>
      </c>
      <c r="G490" s="8" t="s">
        <v>5373</v>
      </c>
      <c r="H490" s="8" t="s">
        <v>5374</v>
      </c>
      <c r="I490" s="7" t="str">
        <f>_xlfn.CONCAT(Paper_Reference[[#This Row],[Lvl]:[Paper Description]])</f>
        <v>2F28WW971N020GUN SAVOY WALNUT 30 X 1441100.5100WW971-6200GUN SAVOY WALNUT</v>
      </c>
      <c r="J490" s="7">
        <f>COUNTIF(Paper_Reference[Duplicate Key],Paper_Reference[[#This Row],[Duplicate Key]])</f>
        <v>1</v>
      </c>
    </row>
    <row r="491" spans="1:10">
      <c r="A491" s="7">
        <v>3</v>
      </c>
      <c r="B491" s="8" t="s">
        <v>5499</v>
      </c>
      <c r="C491" s="8" t="s">
        <v>5381</v>
      </c>
      <c r="D491" s="7">
        <v>1</v>
      </c>
      <c r="E491" s="7">
        <v>55</v>
      </c>
      <c r="F491" s="7">
        <v>0.25</v>
      </c>
      <c r="G491" s="8" t="s">
        <v>5373</v>
      </c>
      <c r="H491" s="8" t="s">
        <v>5374</v>
      </c>
      <c r="I491" s="7" t="str">
        <f>_xlfn.CONCAT(Paper_Reference[[#This Row],[Lvl]:[Paper Description]])</f>
        <v>3F28WW971N050GUN SAVOY WALNUT 30 X 601550.25100WW971-6200GUN SAVOY WALNUT</v>
      </c>
      <c r="J491" s="7">
        <f>COUNTIF(Paper_Reference[Duplicate Key],Paper_Reference[[#This Row],[Duplicate Key]])</f>
        <v>1</v>
      </c>
    </row>
    <row r="492" spans="1:10">
      <c r="A492" s="7">
        <v>2</v>
      </c>
      <c r="B492" s="8" t="s">
        <v>5500</v>
      </c>
      <c r="C492" s="8" t="s">
        <v>5382</v>
      </c>
      <c r="D492" s="7">
        <v>1</v>
      </c>
      <c r="E492" s="7">
        <v>10</v>
      </c>
      <c r="F492" s="7">
        <v>0.5</v>
      </c>
      <c r="G492" s="8" t="s">
        <v>5373</v>
      </c>
      <c r="H492" s="8" t="s">
        <v>5374</v>
      </c>
      <c r="I492" s="7" t="str">
        <f>_xlfn.CONCAT(Paper_Reference[[#This Row],[Lvl]:[Paper Description]])</f>
        <v>2F28WW971N080GUN SAVOY WALNUT 30 X 961100.5100WW971-6200GUN SAVOY WALNUT</v>
      </c>
      <c r="J492" s="7">
        <f>COUNTIF(Paper_Reference[Duplicate Key],Paper_Reference[[#This Row],[Duplicate Key]])</f>
        <v>1</v>
      </c>
    </row>
    <row r="493" spans="1:10">
      <c r="A493" s="7">
        <v>2</v>
      </c>
      <c r="B493" s="8" t="s">
        <v>5501</v>
      </c>
      <c r="C493" s="8" t="s">
        <v>5378</v>
      </c>
      <c r="D493" s="7">
        <v>1</v>
      </c>
      <c r="E493" s="7">
        <v>10</v>
      </c>
      <c r="F493" s="7">
        <v>1</v>
      </c>
      <c r="G493" s="8" t="s">
        <v>5373</v>
      </c>
      <c r="H493" s="8" t="s">
        <v>5374</v>
      </c>
      <c r="I493" s="7" t="str">
        <f>_xlfn.CONCAT(Paper_Reference[[#This Row],[Lvl]:[Paper Description]])</f>
        <v>2F28WW971N5003GUN SAVOY WALNUT 60 X 1201101100WW971-6200GUN SAVOY WALNUT</v>
      </c>
      <c r="J493" s="7">
        <f>COUNTIF(Paper_Reference[Duplicate Key],Paper_Reference[[#This Row],[Duplicate Key]])</f>
        <v>1</v>
      </c>
    </row>
    <row r="494" spans="1:10">
      <c r="A494" s="7">
        <v>2</v>
      </c>
      <c r="B494" s="8" t="s">
        <v>5502</v>
      </c>
      <c r="C494" s="8" t="s">
        <v>5383</v>
      </c>
      <c r="D494" s="7">
        <v>1</v>
      </c>
      <c r="E494" s="7">
        <v>10</v>
      </c>
      <c r="F494" s="7">
        <v>0.5</v>
      </c>
      <c r="G494" s="8" t="s">
        <v>5373</v>
      </c>
      <c r="H494" s="8" t="s">
        <v>5374</v>
      </c>
      <c r="I494" s="7" t="str">
        <f>_xlfn.CONCAT(Paper_Reference[[#This Row],[Lvl]:[Paper Description]])</f>
        <v>2F28WW971N560GUN SAVOY WALNUT 60 X 721100.5100WW971-6200GUN SAVOY WALNUT</v>
      </c>
      <c r="J494" s="7">
        <f>COUNTIF(Paper_Reference[Duplicate Key],Paper_Reference[[#This Row],[Duplicate Key]])</f>
        <v>1</v>
      </c>
    </row>
    <row r="495" spans="1:10">
      <c r="A495" s="7">
        <v>2</v>
      </c>
      <c r="B495" s="8" t="s">
        <v>5504</v>
      </c>
      <c r="C495" s="8" t="s">
        <v>5377</v>
      </c>
      <c r="D495" s="7">
        <v>1</v>
      </c>
      <c r="E495" s="7">
        <v>10</v>
      </c>
      <c r="F495" s="7">
        <v>1</v>
      </c>
      <c r="G495" s="8" t="s">
        <v>5373</v>
      </c>
      <c r="H495" s="8" t="s">
        <v>5374</v>
      </c>
      <c r="I495" s="7" t="str">
        <f>_xlfn.CONCAT(Paper_Reference[[#This Row],[Lvl]:[Paper Description]])</f>
        <v>2F28WW971N580GUN SAVOY WALNUT 60 X 961101100WW971-6200GUN SAVOY WALNUT</v>
      </c>
      <c r="J495" s="7">
        <f>COUNTIF(Paper_Reference[Duplicate Key],Paper_Reference[[#This Row],[Duplicate Key]])</f>
        <v>1</v>
      </c>
    </row>
    <row r="496" spans="1:10">
      <c r="A496" s="7">
        <v>2</v>
      </c>
      <c r="B496" s="8" t="s">
        <v>5503</v>
      </c>
      <c r="C496" s="8" t="s">
        <v>5377</v>
      </c>
      <c r="D496" s="7">
        <v>1</v>
      </c>
      <c r="E496" s="7">
        <v>10</v>
      </c>
      <c r="F496" s="7">
        <v>1</v>
      </c>
      <c r="G496" s="8" t="s">
        <v>5373</v>
      </c>
      <c r="H496" s="8" t="s">
        <v>5374</v>
      </c>
      <c r="I496" s="7" t="str">
        <f>_xlfn.CONCAT(Paper_Reference[[#This Row],[Lvl]:[Paper Description]])</f>
        <v>2F28WW971N5801GUN SAVOY WALNUT 60 X 961101100WW971-6200GUN SAVOY WALNUT</v>
      </c>
      <c r="J496" s="7">
        <f>COUNTIF(Paper_Reference[Duplicate Key],Paper_Reference[[#This Row],[Duplicate Key]])</f>
        <v>1</v>
      </c>
    </row>
    <row r="497" spans="1:10">
      <c r="A497" s="7">
        <v>3</v>
      </c>
      <c r="B497" s="8" t="s">
        <v>5505</v>
      </c>
      <c r="C497" s="8" t="s">
        <v>5384</v>
      </c>
      <c r="D497" s="7">
        <v>1</v>
      </c>
      <c r="E497" s="7">
        <v>55</v>
      </c>
      <c r="F497" s="7">
        <v>0.25</v>
      </c>
      <c r="G497" s="8" t="s">
        <v>5373</v>
      </c>
      <c r="H497" s="8" t="s">
        <v>5374</v>
      </c>
      <c r="I497" s="7" t="str">
        <f>_xlfn.CONCAT(Paper_Reference[[#This Row],[Lvl]:[Paper Description]])</f>
        <v>3F28WW971NBPRGUN SAVOY WALNUT 30 1/2X60 1/21550.25100WW971-6200GUN SAVOY WALNUT</v>
      </c>
      <c r="J497" s="7">
        <f>COUNTIF(Paper_Reference[Duplicate Key],Paper_Reference[[#This Row],[Duplicate Key]])</f>
        <v>1</v>
      </c>
    </row>
    <row r="498" spans="1:10">
      <c r="A498" s="7">
        <v>3</v>
      </c>
      <c r="B498" s="8" t="s">
        <v>5506</v>
      </c>
      <c r="C498" s="8" t="s">
        <v>5385</v>
      </c>
      <c r="D498" s="7">
        <v>1</v>
      </c>
      <c r="E498" s="7">
        <v>55</v>
      </c>
      <c r="F498" s="7">
        <v>0.25</v>
      </c>
      <c r="G498" s="8" t="s">
        <v>5373</v>
      </c>
      <c r="H498" s="8" t="s">
        <v>5374</v>
      </c>
      <c r="I498" s="7" t="str">
        <f>_xlfn.CONCAT(Paper_Reference[[#This Row],[Lvl]:[Paper Description]])</f>
        <v>3F28WW971NBPWGUN SAVOY WALNUT 30 1/2X72 1/21550.25100WW971-6200GUN SAVOY WALNUT</v>
      </c>
      <c r="J498" s="7">
        <f>COUNTIF(Paper_Reference[Duplicate Key],Paper_Reference[[#This Row],[Duplicate Key]])</f>
        <v>1</v>
      </c>
    </row>
    <row r="499" spans="1:10">
      <c r="A499" s="7">
        <v>2</v>
      </c>
      <c r="B499" s="8" t="s">
        <v>5507</v>
      </c>
      <c r="C499" s="8" t="s">
        <v>5380</v>
      </c>
      <c r="D499" s="7">
        <v>1</v>
      </c>
      <c r="E499" s="7">
        <v>10</v>
      </c>
      <c r="F499" s="7">
        <v>0.5</v>
      </c>
      <c r="G499" s="8" t="s">
        <v>5373</v>
      </c>
      <c r="H499" s="8" t="s">
        <v>5374</v>
      </c>
      <c r="I499" s="7" t="str">
        <f>_xlfn.CONCAT(Paper_Reference[[#This Row],[Lvl]:[Paper Description]])</f>
        <v>2F28WW971SD020GUN SAVOY WALNUT 30 X 1441100.5100WW971-6200GUN SAVOY WALNUT</v>
      </c>
      <c r="J499" s="7">
        <f>COUNTIF(Paper_Reference[Duplicate Key],Paper_Reference[[#This Row],[Duplicate Key]])</f>
        <v>1</v>
      </c>
    </row>
    <row r="500" spans="1:10">
      <c r="A500" s="7">
        <v>3</v>
      </c>
      <c r="B500" s="8" t="s">
        <v>5508</v>
      </c>
      <c r="C500" s="8" t="s">
        <v>5386</v>
      </c>
      <c r="D500" s="7">
        <v>1</v>
      </c>
      <c r="E500" s="7">
        <v>55</v>
      </c>
      <c r="F500" s="7">
        <v>0.25</v>
      </c>
      <c r="G500" s="8" t="s">
        <v>5373</v>
      </c>
      <c r="H500" s="8" t="s">
        <v>5374</v>
      </c>
      <c r="I500" s="7" t="str">
        <f>_xlfn.CONCAT(Paper_Reference[[#This Row],[Lvl]:[Paper Description]])</f>
        <v>3F28WW971SD060GUN SAVOY WALNUT 30 X 721550.25100WW971-6200GUN SAVOY WALNUT</v>
      </c>
      <c r="J500" s="7">
        <f>COUNTIF(Paper_Reference[Duplicate Key],Paper_Reference[[#This Row],[Duplicate Key]])</f>
        <v>1</v>
      </c>
    </row>
    <row r="501" spans="1:10">
      <c r="A501" s="7">
        <v>2</v>
      </c>
      <c r="B501" s="8" t="s">
        <v>5509</v>
      </c>
      <c r="C501" s="8" t="s">
        <v>5382</v>
      </c>
      <c r="D501" s="7">
        <v>1</v>
      </c>
      <c r="E501" s="7">
        <v>10</v>
      </c>
      <c r="F501" s="7">
        <v>0.5</v>
      </c>
      <c r="G501" s="8" t="s">
        <v>5373</v>
      </c>
      <c r="H501" s="8" t="s">
        <v>5374</v>
      </c>
      <c r="I501" s="7" t="str">
        <f>_xlfn.CONCAT(Paper_Reference[[#This Row],[Lvl]:[Paper Description]])</f>
        <v>2F28WW971SD080GUN SAVOY WALNUT 30 X 961100.5100WW971-6200GUN SAVOY WALNUT</v>
      </c>
      <c r="J501" s="7">
        <f>COUNTIF(Paper_Reference[Duplicate Key],Paper_Reference[[#This Row],[Duplicate Key]])</f>
        <v>1</v>
      </c>
    </row>
    <row r="502" spans="1:10">
      <c r="A502" s="7">
        <v>2</v>
      </c>
      <c r="B502" s="8" t="s">
        <v>5511</v>
      </c>
      <c r="C502" s="8" t="s">
        <v>5378</v>
      </c>
      <c r="D502" s="7">
        <v>1</v>
      </c>
      <c r="E502" s="7">
        <v>10</v>
      </c>
      <c r="F502" s="7">
        <v>1</v>
      </c>
      <c r="G502" s="8" t="s">
        <v>5373</v>
      </c>
      <c r="H502" s="8" t="s">
        <v>5374</v>
      </c>
      <c r="I502" s="7" t="str">
        <f>_xlfn.CONCAT(Paper_Reference[[#This Row],[Lvl]:[Paper Description]])</f>
        <v>2F28WW971SD500GUN SAVOY WALNUT 60 X 1201101100WW971-6200GUN SAVOY WALNUT</v>
      </c>
      <c r="J502" s="7">
        <f>COUNTIF(Paper_Reference[Duplicate Key],Paper_Reference[[#This Row],[Duplicate Key]])</f>
        <v>1</v>
      </c>
    </row>
    <row r="503" spans="1:10">
      <c r="A503" s="7">
        <v>2</v>
      </c>
      <c r="B503" s="8" t="s">
        <v>5510</v>
      </c>
      <c r="C503" s="8" t="s">
        <v>5378</v>
      </c>
      <c r="D503" s="7">
        <v>1</v>
      </c>
      <c r="E503" s="7">
        <v>10</v>
      </c>
      <c r="F503" s="7">
        <v>1</v>
      </c>
      <c r="G503" s="8" t="s">
        <v>5373</v>
      </c>
      <c r="H503" s="8" t="s">
        <v>5374</v>
      </c>
      <c r="I503" s="7" t="str">
        <f>_xlfn.CONCAT(Paper_Reference[[#This Row],[Lvl]:[Paper Description]])</f>
        <v>2F28WW971SD5003GUN SAVOY WALNUT 60 X 1201101100WW971-6200GUN SAVOY WALNUT</v>
      </c>
      <c r="J503" s="7">
        <f>COUNTIF(Paper_Reference[Duplicate Key],Paper_Reference[[#This Row],[Duplicate Key]])</f>
        <v>1</v>
      </c>
    </row>
    <row r="504" spans="1:10">
      <c r="A504" s="7">
        <v>2</v>
      </c>
      <c r="B504" s="8" t="s">
        <v>5512</v>
      </c>
      <c r="C504" s="8" t="s">
        <v>5376</v>
      </c>
      <c r="D504" s="7">
        <v>1</v>
      </c>
      <c r="E504" s="7">
        <v>10</v>
      </c>
      <c r="F504" s="7">
        <v>1</v>
      </c>
      <c r="G504" s="8" t="s">
        <v>5373</v>
      </c>
      <c r="H504" s="8" t="s">
        <v>5374</v>
      </c>
      <c r="I504" s="7" t="str">
        <f>_xlfn.CONCAT(Paper_Reference[[#This Row],[Lvl]:[Paper Description]])</f>
        <v>2F28WW971SD5201GUN SAVOY WALNUT 60 X 1441101100WW971-6200GUN SAVOY WALNUT</v>
      </c>
      <c r="J504" s="7">
        <f>COUNTIF(Paper_Reference[Duplicate Key],Paper_Reference[[#This Row],[Duplicate Key]])</f>
        <v>1</v>
      </c>
    </row>
    <row r="505" spans="1:10">
      <c r="A505" s="7">
        <v>2</v>
      </c>
      <c r="B505" s="8" t="s">
        <v>5513</v>
      </c>
      <c r="C505" s="8" t="s">
        <v>5377</v>
      </c>
      <c r="D505" s="7">
        <v>1</v>
      </c>
      <c r="E505" s="7">
        <v>10</v>
      </c>
      <c r="F505" s="7">
        <v>1</v>
      </c>
      <c r="G505" s="8" t="s">
        <v>5373</v>
      </c>
      <c r="H505" s="8" t="s">
        <v>5374</v>
      </c>
      <c r="I505" s="7" t="str">
        <f>_xlfn.CONCAT(Paper_Reference[[#This Row],[Lvl]:[Paper Description]])</f>
        <v>2F28WW971SD580GUN SAVOY WALNUT 60 X 961101100WW971-6200GUN SAVOY WALNUT</v>
      </c>
      <c r="J505" s="7">
        <f>COUNTIF(Paper_Reference[Duplicate Key],Paper_Reference[[#This Row],[Duplicate Key]])</f>
        <v>1</v>
      </c>
    </row>
    <row r="506" spans="1:10">
      <c r="A506" s="7">
        <v>2</v>
      </c>
      <c r="B506" s="8" t="s">
        <v>5514</v>
      </c>
      <c r="C506" s="8" t="s">
        <v>5376</v>
      </c>
      <c r="D506" s="7">
        <v>1</v>
      </c>
      <c r="E506" s="7">
        <v>10</v>
      </c>
      <c r="F506" s="7">
        <v>1</v>
      </c>
      <c r="G506" s="8" t="s">
        <v>5373</v>
      </c>
      <c r="H506" s="8" t="s">
        <v>5374</v>
      </c>
      <c r="I506" s="7" t="str">
        <f>_xlfn.CONCAT(Paper_Reference[[#This Row],[Lvl]:[Paper Description]])</f>
        <v>2F28WW971VE520GUN SAVOY WALNUT 60 X 1441101100WW971-6200GUN SAVOY WALNUT</v>
      </c>
      <c r="J506" s="7">
        <f>COUNTIF(Paper_Reference[Duplicate Key],Paper_Reference[[#This Row],[Duplicate Key]])</f>
        <v>1</v>
      </c>
    </row>
    <row r="507" spans="1:10">
      <c r="A507" s="7">
        <v>2</v>
      </c>
      <c r="B507" s="8" t="s">
        <v>5515</v>
      </c>
      <c r="C507" s="8" t="s">
        <v>5376</v>
      </c>
      <c r="D507" s="7">
        <v>1</v>
      </c>
      <c r="E507" s="7">
        <v>10</v>
      </c>
      <c r="F507" s="7">
        <v>1</v>
      </c>
      <c r="G507" s="8" t="s">
        <v>5373</v>
      </c>
      <c r="H507" s="8" t="s">
        <v>5374</v>
      </c>
      <c r="I507" s="7" t="str">
        <f>_xlfn.CONCAT(Paper_Reference[[#This Row],[Lvl]:[Paper Description]])</f>
        <v>2F28WW971Z520GUN SAVOY WALNUT 60 X 1441101100WW971-6200GUN SAVOY WALNUT</v>
      </c>
      <c r="J507" s="7">
        <f>COUNTIF(Paper_Reference[Duplicate Key],Paper_Reference[[#This Row],[Duplicate Key]])</f>
        <v>1</v>
      </c>
    </row>
    <row r="508" spans="1:10">
      <c r="A508" s="7">
        <v>2</v>
      </c>
      <c r="B508" s="8" t="s">
        <v>9565</v>
      </c>
      <c r="C508" s="8" t="s">
        <v>9309</v>
      </c>
      <c r="D508" s="7">
        <v>1</v>
      </c>
      <c r="E508" s="7">
        <v>10</v>
      </c>
      <c r="F508" s="7">
        <v>0.5</v>
      </c>
      <c r="G508" s="8" t="s">
        <v>9143</v>
      </c>
      <c r="H508" s="8" t="s">
        <v>9144</v>
      </c>
      <c r="I508" s="30" t="str">
        <f>_xlfn.CONCAT(Paper_Reference[[#This Row],[Lvl]:[Paper Description]])</f>
        <v>2F39PFA39G020SING CHICAGO BLUES 30 X 1441100.5100PFA39-6200SINGING THE CHICAGO BLUES</v>
      </c>
      <c r="J508" s="30">
        <f>COUNTIF(Paper_Reference[Duplicate Key],Paper_Reference[[#This Row],[Duplicate Key]])</f>
        <v>1</v>
      </c>
    </row>
    <row r="509" spans="1:10">
      <c r="A509" s="7">
        <v>2</v>
      </c>
      <c r="B509" s="8" t="s">
        <v>9566</v>
      </c>
      <c r="C509" s="8" t="s">
        <v>9311</v>
      </c>
      <c r="D509" s="7">
        <v>1</v>
      </c>
      <c r="E509" s="7">
        <v>10</v>
      </c>
      <c r="F509" s="7">
        <v>0.5</v>
      </c>
      <c r="G509" s="8" t="s">
        <v>9143</v>
      </c>
      <c r="H509" s="8" t="s">
        <v>9144</v>
      </c>
      <c r="I509" s="30" t="str">
        <f>_xlfn.CONCAT(Paper_Reference[[#This Row],[Lvl]:[Paper Description]])</f>
        <v>2F39PFA39G080SING CHICAGO BLUES 30 X 961100.5100PFA39-6200SINGING THE CHICAGO BLUES</v>
      </c>
      <c r="J509" s="30">
        <f>COUNTIF(Paper_Reference[Duplicate Key],Paper_Reference[[#This Row],[Duplicate Key]])</f>
        <v>1</v>
      </c>
    </row>
    <row r="510" spans="1:10">
      <c r="A510" s="7">
        <v>2</v>
      </c>
      <c r="B510" s="8" t="s">
        <v>9567</v>
      </c>
      <c r="C510" s="8" t="s">
        <v>9152</v>
      </c>
      <c r="D510" s="7">
        <v>1</v>
      </c>
      <c r="E510" s="7">
        <v>10</v>
      </c>
      <c r="F510" s="7">
        <v>1</v>
      </c>
      <c r="G510" s="8" t="s">
        <v>9143</v>
      </c>
      <c r="H510" s="8" t="s">
        <v>9144</v>
      </c>
      <c r="I510" s="30" t="str">
        <f>_xlfn.CONCAT(Paper_Reference[[#This Row],[Lvl]:[Paper Description]])</f>
        <v>2F39PFA39G520SING CHICAGO BLUES 60 X 1441101100PFA39-6200SINGING THE CHICAGO BLUES</v>
      </c>
      <c r="J510" s="30">
        <f>COUNTIF(Paper_Reference[Duplicate Key],Paper_Reference[[#This Row],[Duplicate Key]])</f>
        <v>1</v>
      </c>
    </row>
    <row r="511" spans="1:10">
      <c r="A511" s="7">
        <v>2</v>
      </c>
      <c r="B511" s="8" t="s">
        <v>9568</v>
      </c>
      <c r="C511" s="8" t="s">
        <v>9304</v>
      </c>
      <c r="D511" s="7">
        <v>1</v>
      </c>
      <c r="E511" s="7">
        <v>10</v>
      </c>
      <c r="F511" s="7">
        <v>1</v>
      </c>
      <c r="G511" s="8" t="s">
        <v>9143</v>
      </c>
      <c r="H511" s="8" t="s">
        <v>9144</v>
      </c>
      <c r="I511" s="30" t="str">
        <f>_xlfn.CONCAT(Paper_Reference[[#This Row],[Lvl]:[Paper Description]])</f>
        <v>2F39PFA39G580SING CHICAGO BLUES 60 X 961101100PFA39-6200SINGING THE CHICAGO BLUES</v>
      </c>
      <c r="J511" s="30">
        <f>COUNTIF(Paper_Reference[Duplicate Key],Paper_Reference[[#This Row],[Duplicate Key]])</f>
        <v>1</v>
      </c>
    </row>
    <row r="512" spans="1:10">
      <c r="A512" s="7">
        <v>2</v>
      </c>
      <c r="B512" s="8" t="s">
        <v>9569</v>
      </c>
      <c r="C512" s="8" t="s">
        <v>9307</v>
      </c>
      <c r="D512" s="7">
        <v>1</v>
      </c>
      <c r="E512" s="7">
        <v>10</v>
      </c>
      <c r="F512" s="7">
        <v>0.5</v>
      </c>
      <c r="G512" s="8" t="s">
        <v>9143</v>
      </c>
      <c r="H512" s="8" t="s">
        <v>9144</v>
      </c>
      <c r="I512" s="30" t="str">
        <f>_xlfn.CONCAT(Paper_Reference[[#This Row],[Lvl]:[Paper Description]])</f>
        <v>2F39PFA39N000SING CHICAGO BLUES 30 X 1201100.5100PFA39-6200SINGING THE CHICAGO BLUES</v>
      </c>
      <c r="J512" s="30">
        <f>COUNTIF(Paper_Reference[Duplicate Key],Paper_Reference[[#This Row],[Duplicate Key]])</f>
        <v>1</v>
      </c>
    </row>
    <row r="513" spans="1:10">
      <c r="A513" s="7">
        <v>2</v>
      </c>
      <c r="B513" s="8" t="s">
        <v>9570</v>
      </c>
      <c r="C513" s="8" t="s">
        <v>9309</v>
      </c>
      <c r="D513" s="7">
        <v>1</v>
      </c>
      <c r="E513" s="7">
        <v>10</v>
      </c>
      <c r="F513" s="7">
        <v>0.5</v>
      </c>
      <c r="G513" s="8" t="s">
        <v>9143</v>
      </c>
      <c r="H513" s="8" t="s">
        <v>9144</v>
      </c>
      <c r="I513" s="30" t="str">
        <f>_xlfn.CONCAT(Paper_Reference[[#This Row],[Lvl]:[Paper Description]])</f>
        <v>2F39PFA39N020SING CHICAGO BLUES 30 X 1441100.5100PFA39-6200SINGING THE CHICAGO BLUES</v>
      </c>
      <c r="J513" s="30">
        <f>COUNTIF(Paper_Reference[Duplicate Key],Paper_Reference[[#This Row],[Duplicate Key]])</f>
        <v>1</v>
      </c>
    </row>
    <row r="514" spans="1:10">
      <c r="A514" s="7">
        <v>2</v>
      </c>
      <c r="B514" s="8" t="s">
        <v>9571</v>
      </c>
      <c r="C514" s="8" t="s">
        <v>9311</v>
      </c>
      <c r="D514" s="7">
        <v>1</v>
      </c>
      <c r="E514" s="7">
        <v>10</v>
      </c>
      <c r="F514" s="7">
        <v>0.5</v>
      </c>
      <c r="G514" s="8" t="s">
        <v>9143</v>
      </c>
      <c r="H514" s="8" t="s">
        <v>9144</v>
      </c>
      <c r="I514" s="30" t="str">
        <f>_xlfn.CONCAT(Paper_Reference[[#This Row],[Lvl]:[Paper Description]])</f>
        <v>2F39PFA39N080SING CHICAGO BLUES 30 X 961100.5100PFA39-6200SINGING THE CHICAGO BLUES</v>
      </c>
      <c r="J514" s="30">
        <f>COUNTIF(Paper_Reference[Duplicate Key],Paper_Reference[[#This Row],[Duplicate Key]])</f>
        <v>1</v>
      </c>
    </row>
    <row r="515" spans="1:10">
      <c r="A515" s="7">
        <v>2</v>
      </c>
      <c r="B515" s="8" t="s">
        <v>9573</v>
      </c>
      <c r="C515" s="8" t="s">
        <v>9298</v>
      </c>
      <c r="D515" s="7">
        <v>1</v>
      </c>
      <c r="E515" s="7">
        <v>10</v>
      </c>
      <c r="F515" s="7">
        <v>1</v>
      </c>
      <c r="G515" s="8" t="s">
        <v>9143</v>
      </c>
      <c r="H515" s="8" t="s">
        <v>9144</v>
      </c>
      <c r="I515" s="30" t="str">
        <f>_xlfn.CONCAT(Paper_Reference[[#This Row],[Lvl]:[Paper Description]])</f>
        <v>2F39PFA39N500SING CHICAGO BLUES 60 X 1201101100PFA39-6200SINGING THE CHICAGO BLUES</v>
      </c>
      <c r="J515" s="30">
        <f>COUNTIF(Paper_Reference[Duplicate Key],Paper_Reference[[#This Row],[Duplicate Key]])</f>
        <v>1</v>
      </c>
    </row>
    <row r="516" spans="1:10">
      <c r="A516" s="7">
        <v>2</v>
      </c>
      <c r="B516" s="8" t="s">
        <v>9572</v>
      </c>
      <c r="C516" s="8" t="s">
        <v>9298</v>
      </c>
      <c r="D516" s="7">
        <v>1</v>
      </c>
      <c r="E516" s="7">
        <v>10</v>
      </c>
      <c r="F516" s="7">
        <v>1</v>
      </c>
      <c r="G516" s="8" t="s">
        <v>9143</v>
      </c>
      <c r="H516" s="8" t="s">
        <v>9144</v>
      </c>
      <c r="I516" s="30" t="str">
        <f>_xlfn.CONCAT(Paper_Reference[[#This Row],[Lvl]:[Paper Description]])</f>
        <v>2F39PFA39N5003SING CHICAGO BLUES 60 X 1201101100PFA39-6200SINGING THE CHICAGO BLUES</v>
      </c>
      <c r="J516" s="30">
        <f>COUNTIF(Paper_Reference[Duplicate Key],Paper_Reference[[#This Row],[Duplicate Key]])</f>
        <v>1</v>
      </c>
    </row>
    <row r="517" spans="1:10">
      <c r="A517" s="7">
        <v>2</v>
      </c>
      <c r="B517" s="8" t="s">
        <v>9574</v>
      </c>
      <c r="C517" s="8" t="s">
        <v>9152</v>
      </c>
      <c r="D517" s="7">
        <v>1</v>
      </c>
      <c r="E517" s="7">
        <v>10</v>
      </c>
      <c r="F517" s="7">
        <v>1</v>
      </c>
      <c r="G517" s="8" t="s">
        <v>9143</v>
      </c>
      <c r="H517" s="8" t="s">
        <v>9144</v>
      </c>
      <c r="I517" s="30" t="str">
        <f>_xlfn.CONCAT(Paper_Reference[[#This Row],[Lvl]:[Paper Description]])</f>
        <v>2F39PFA39N520SING CHICAGO BLUES 60 X 1441101100PFA39-6200SINGING THE CHICAGO BLUES</v>
      </c>
      <c r="J517" s="30">
        <f>COUNTIF(Paper_Reference[Duplicate Key],Paper_Reference[[#This Row],[Duplicate Key]])</f>
        <v>1</v>
      </c>
    </row>
    <row r="518" spans="1:10">
      <c r="A518" s="7">
        <v>2</v>
      </c>
      <c r="B518" s="8" t="s">
        <v>9575</v>
      </c>
      <c r="C518" s="8" t="s">
        <v>9304</v>
      </c>
      <c r="D518" s="7">
        <v>1</v>
      </c>
      <c r="E518" s="7">
        <v>10</v>
      </c>
      <c r="F518" s="7">
        <v>1</v>
      </c>
      <c r="G518" s="8" t="s">
        <v>9143</v>
      </c>
      <c r="H518" s="8" t="s">
        <v>9144</v>
      </c>
      <c r="I518" s="30" t="str">
        <f>_xlfn.CONCAT(Paper_Reference[[#This Row],[Lvl]:[Paper Description]])</f>
        <v>2F39PFA39N580SING CHICAGO BLUES 60 X 961101100PFA39-6200SINGING THE CHICAGO BLUES</v>
      </c>
      <c r="J518" s="30">
        <f>COUNTIF(Paper_Reference[Duplicate Key],Paper_Reference[[#This Row],[Duplicate Key]])</f>
        <v>1</v>
      </c>
    </row>
    <row r="519" spans="1:10">
      <c r="A519" s="7">
        <v>2</v>
      </c>
      <c r="B519" s="8" t="s">
        <v>9576</v>
      </c>
      <c r="C519" s="8" t="s">
        <v>9307</v>
      </c>
      <c r="D519" s="7">
        <v>1</v>
      </c>
      <c r="E519" s="7">
        <v>10</v>
      </c>
      <c r="F519" s="7">
        <v>0.5</v>
      </c>
      <c r="G519" s="8" t="s">
        <v>9143</v>
      </c>
      <c r="H519" s="8" t="s">
        <v>9144</v>
      </c>
      <c r="I519" s="30" t="str">
        <f>_xlfn.CONCAT(Paper_Reference[[#This Row],[Lvl]:[Paper Description]])</f>
        <v>2F39PFA39SD000SING CHICAGO BLUES 30 X 1201100.5100PFA39-6200SINGING THE CHICAGO BLUES</v>
      </c>
      <c r="J519" s="30">
        <f>COUNTIF(Paper_Reference[Duplicate Key],Paper_Reference[[#This Row],[Duplicate Key]])</f>
        <v>1</v>
      </c>
    </row>
    <row r="520" spans="1:10">
      <c r="A520" s="7">
        <v>2</v>
      </c>
      <c r="B520" s="8" t="s">
        <v>9577</v>
      </c>
      <c r="C520" s="8" t="s">
        <v>9309</v>
      </c>
      <c r="D520" s="7">
        <v>1</v>
      </c>
      <c r="E520" s="7">
        <v>10</v>
      </c>
      <c r="F520" s="7">
        <v>0.5</v>
      </c>
      <c r="G520" s="8" t="s">
        <v>9143</v>
      </c>
      <c r="H520" s="8" t="s">
        <v>9144</v>
      </c>
      <c r="I520" s="30" t="str">
        <f>_xlfn.CONCAT(Paper_Reference[[#This Row],[Lvl]:[Paper Description]])</f>
        <v>2F39PFA39SD020SING CHICAGO BLUES 30 X 1441100.5100PFA39-6200SINGING THE CHICAGO BLUES</v>
      </c>
      <c r="J520" s="30">
        <f>COUNTIF(Paper_Reference[Duplicate Key],Paper_Reference[[#This Row],[Duplicate Key]])</f>
        <v>1</v>
      </c>
    </row>
    <row r="521" spans="1:10">
      <c r="A521" s="7">
        <v>2</v>
      </c>
      <c r="B521" s="8" t="s">
        <v>9578</v>
      </c>
      <c r="C521" s="8" t="s">
        <v>9311</v>
      </c>
      <c r="D521" s="7">
        <v>1</v>
      </c>
      <c r="E521" s="7">
        <v>10</v>
      </c>
      <c r="F521" s="7">
        <v>0.5</v>
      </c>
      <c r="G521" s="8" t="s">
        <v>9143</v>
      </c>
      <c r="H521" s="8" t="s">
        <v>9144</v>
      </c>
      <c r="I521" s="30" t="str">
        <f>_xlfn.CONCAT(Paper_Reference[[#This Row],[Lvl]:[Paper Description]])</f>
        <v>2F39PFA39SD080SING CHICAGO BLUES 30 X 961100.5100PFA39-6200SINGING THE CHICAGO BLUES</v>
      </c>
      <c r="J521" s="30">
        <f>COUNTIF(Paper_Reference[Duplicate Key],Paper_Reference[[#This Row],[Duplicate Key]])</f>
        <v>1</v>
      </c>
    </row>
    <row r="522" spans="1:10">
      <c r="A522" s="7">
        <v>2</v>
      </c>
      <c r="B522" s="8" t="s">
        <v>9580</v>
      </c>
      <c r="C522" s="8" t="s">
        <v>9298</v>
      </c>
      <c r="D522" s="7">
        <v>1</v>
      </c>
      <c r="E522" s="7">
        <v>10</v>
      </c>
      <c r="F522" s="7">
        <v>1</v>
      </c>
      <c r="G522" s="8" t="s">
        <v>9143</v>
      </c>
      <c r="H522" s="8" t="s">
        <v>9144</v>
      </c>
      <c r="I522" s="30" t="str">
        <f>_xlfn.CONCAT(Paper_Reference[[#This Row],[Lvl]:[Paper Description]])</f>
        <v>2F39PFA39SD500SING CHICAGO BLUES 60 X 1201101100PFA39-6200SINGING THE CHICAGO BLUES</v>
      </c>
      <c r="J522" s="30">
        <f>COUNTIF(Paper_Reference[Duplicate Key],Paper_Reference[[#This Row],[Duplicate Key]])</f>
        <v>1</v>
      </c>
    </row>
    <row r="523" spans="1:10">
      <c r="A523" s="7">
        <v>2</v>
      </c>
      <c r="B523" s="8" t="s">
        <v>9579</v>
      </c>
      <c r="C523" s="8" t="s">
        <v>9298</v>
      </c>
      <c r="D523" s="7">
        <v>1</v>
      </c>
      <c r="E523" s="7">
        <v>10</v>
      </c>
      <c r="F523" s="7">
        <v>1</v>
      </c>
      <c r="G523" s="8" t="s">
        <v>9143</v>
      </c>
      <c r="H523" s="8" t="s">
        <v>9144</v>
      </c>
      <c r="I523" s="30" t="str">
        <f>_xlfn.CONCAT(Paper_Reference[[#This Row],[Lvl]:[Paper Description]])</f>
        <v>2F39PFA39SD5003SING CHICAGO BLUES 60 X 1201101100PFA39-6200SINGING THE CHICAGO BLUES</v>
      </c>
      <c r="J523" s="30">
        <f>COUNTIF(Paper_Reference[Duplicate Key],Paper_Reference[[#This Row],[Duplicate Key]])</f>
        <v>1</v>
      </c>
    </row>
    <row r="524" spans="1:10">
      <c r="A524" s="7">
        <v>2</v>
      </c>
      <c r="B524" s="8" t="s">
        <v>9581</v>
      </c>
      <c r="C524" s="8" t="s">
        <v>9152</v>
      </c>
      <c r="D524" s="7">
        <v>1</v>
      </c>
      <c r="E524" s="7">
        <v>10</v>
      </c>
      <c r="F524" s="7">
        <v>1</v>
      </c>
      <c r="G524" s="8" t="s">
        <v>9143</v>
      </c>
      <c r="H524" s="8" t="s">
        <v>9144</v>
      </c>
      <c r="I524" s="30" t="str">
        <f>_xlfn.CONCAT(Paper_Reference[[#This Row],[Lvl]:[Paper Description]])</f>
        <v>2F39PFA39SD520SING CHICAGO BLUES 60 X 1441101100PFA39-6200SINGING THE CHICAGO BLUES</v>
      </c>
      <c r="J524" s="30">
        <f>COUNTIF(Paper_Reference[Duplicate Key],Paper_Reference[[#This Row],[Duplicate Key]])</f>
        <v>1</v>
      </c>
    </row>
    <row r="525" spans="1:10">
      <c r="A525" s="7">
        <v>2</v>
      </c>
      <c r="B525" s="8" t="s">
        <v>9582</v>
      </c>
      <c r="C525" s="8" t="s">
        <v>9304</v>
      </c>
      <c r="D525" s="7">
        <v>1</v>
      </c>
      <c r="E525" s="7">
        <v>10</v>
      </c>
      <c r="F525" s="7">
        <v>1</v>
      </c>
      <c r="G525" s="8" t="s">
        <v>9143</v>
      </c>
      <c r="H525" s="8" t="s">
        <v>9144</v>
      </c>
      <c r="I525" s="30" t="str">
        <f>_xlfn.CONCAT(Paper_Reference[[#This Row],[Lvl]:[Paper Description]])</f>
        <v>2F39PFA39SD580SING CHICAGO BLUES 60 X 961101100PFA39-6200SINGING THE CHICAGO BLUES</v>
      </c>
      <c r="J525" s="30">
        <f>COUNTIF(Paper_Reference[Duplicate Key],Paper_Reference[[#This Row],[Duplicate Key]])</f>
        <v>1</v>
      </c>
    </row>
    <row r="526" spans="1:10">
      <c r="A526" s="7">
        <v>2</v>
      </c>
      <c r="B526" s="8" t="s">
        <v>8453</v>
      </c>
      <c r="C526" s="8" t="s">
        <v>8305</v>
      </c>
      <c r="D526" s="7">
        <v>1</v>
      </c>
      <c r="E526" s="7">
        <v>10</v>
      </c>
      <c r="F526" s="7">
        <v>1</v>
      </c>
      <c r="G526" s="8" t="s">
        <v>8302</v>
      </c>
      <c r="H526" s="8" t="s">
        <v>8303</v>
      </c>
      <c r="I526" s="7" t="str">
        <f>_xlfn.CONCAT(Paper_Reference[[#This Row],[Lvl]:[Paper Description]])</f>
        <v>2F39SW813AW520ICE WHITE 60 X 1441101100SW813-6200ICE WHITE</v>
      </c>
      <c r="J526" s="7">
        <f>COUNTIF(Paper_Reference[Duplicate Key],Paper_Reference[[#This Row],[Duplicate Key]])</f>
        <v>1</v>
      </c>
    </row>
    <row r="527" spans="1:10">
      <c r="A527" s="7">
        <v>2</v>
      </c>
      <c r="B527" s="8" t="s">
        <v>8454</v>
      </c>
      <c r="C527" s="8" t="s">
        <v>8305</v>
      </c>
      <c r="D527" s="7">
        <v>1</v>
      </c>
      <c r="E527" s="7">
        <v>10</v>
      </c>
      <c r="F527" s="7">
        <v>1</v>
      </c>
      <c r="G527" s="8" t="s">
        <v>8302</v>
      </c>
      <c r="H527" s="8" t="s">
        <v>8303</v>
      </c>
      <c r="I527" s="7" t="str">
        <f>_xlfn.CONCAT(Paper_Reference[[#This Row],[Lvl]:[Paper Description]])</f>
        <v>2F39SW813DL520ICE WHITE 60 X 1441101100SW813-6200ICE WHITE</v>
      </c>
      <c r="J527" s="7">
        <f>COUNTIF(Paper_Reference[Duplicate Key],Paper_Reference[[#This Row],[Duplicate Key]])</f>
        <v>1</v>
      </c>
    </row>
    <row r="528" spans="1:10">
      <c r="A528" s="7">
        <v>2</v>
      </c>
      <c r="B528" s="8" t="s">
        <v>8455</v>
      </c>
      <c r="C528" s="8" t="s">
        <v>8325</v>
      </c>
      <c r="D528" s="7">
        <v>1</v>
      </c>
      <c r="E528" s="7">
        <v>10</v>
      </c>
      <c r="F528" s="7">
        <v>0.5</v>
      </c>
      <c r="G528" s="8" t="s">
        <v>8302</v>
      </c>
      <c r="H528" s="8" t="s">
        <v>8303</v>
      </c>
      <c r="I528" s="7" t="str">
        <f>_xlfn.CONCAT(Paper_Reference[[#This Row],[Lvl]:[Paper Description]])</f>
        <v>2F39SW813G020ICE WHITE 30 X 1441100.5100SW813-6200ICE WHITE</v>
      </c>
      <c r="J528" s="7">
        <f>COUNTIF(Paper_Reference[Duplicate Key],Paper_Reference[[#This Row],[Duplicate Key]])</f>
        <v>1</v>
      </c>
    </row>
    <row r="529" spans="1:10">
      <c r="A529" s="7">
        <v>2</v>
      </c>
      <c r="B529" s="8" t="s">
        <v>8456</v>
      </c>
      <c r="C529" s="8" t="s">
        <v>8304</v>
      </c>
      <c r="D529" s="7">
        <v>1</v>
      </c>
      <c r="E529" s="7">
        <v>10</v>
      </c>
      <c r="F529" s="7">
        <v>1</v>
      </c>
      <c r="G529" s="8" t="s">
        <v>8302</v>
      </c>
      <c r="H529" s="8" t="s">
        <v>8303</v>
      </c>
      <c r="I529" s="7" t="str">
        <f>_xlfn.CONCAT(Paper_Reference[[#This Row],[Lvl]:[Paper Description]])</f>
        <v>2F39SW813G5001ICE WHITE 60 X 1201101100SW813-6200ICE WHITE</v>
      </c>
      <c r="J529" s="7">
        <f>COUNTIF(Paper_Reference[Duplicate Key],Paper_Reference[[#This Row],[Duplicate Key]])</f>
        <v>1</v>
      </c>
    </row>
    <row r="530" spans="1:10">
      <c r="A530" s="7">
        <v>2</v>
      </c>
      <c r="B530" s="8" t="s">
        <v>8458</v>
      </c>
      <c r="C530" s="8" t="s">
        <v>8305</v>
      </c>
      <c r="D530" s="7">
        <v>1</v>
      </c>
      <c r="E530" s="7">
        <v>10</v>
      </c>
      <c r="F530" s="7">
        <v>1</v>
      </c>
      <c r="G530" s="8" t="s">
        <v>8302</v>
      </c>
      <c r="H530" s="8" t="s">
        <v>8303</v>
      </c>
      <c r="I530" s="7" t="str">
        <f>_xlfn.CONCAT(Paper_Reference[[#This Row],[Lvl]:[Paper Description]])</f>
        <v>2F39SW813G520ICE WHITE 60 X 1441101100SW813-6200ICE WHITE</v>
      </c>
      <c r="J530" s="7">
        <f>COUNTIF(Paper_Reference[Duplicate Key],Paper_Reference[[#This Row],[Duplicate Key]])</f>
        <v>1</v>
      </c>
    </row>
    <row r="531" spans="1:10">
      <c r="A531" s="7">
        <v>2</v>
      </c>
      <c r="B531" s="8" t="s">
        <v>8457</v>
      </c>
      <c r="C531" s="8" t="s">
        <v>8305</v>
      </c>
      <c r="D531" s="7">
        <v>1</v>
      </c>
      <c r="E531" s="7">
        <v>10</v>
      </c>
      <c r="F531" s="7">
        <v>1</v>
      </c>
      <c r="G531" s="8" t="s">
        <v>8302</v>
      </c>
      <c r="H531" s="8" t="s">
        <v>8303</v>
      </c>
      <c r="I531" s="7" t="str">
        <f>_xlfn.CONCAT(Paper_Reference[[#This Row],[Lvl]:[Paper Description]])</f>
        <v>2F39SW813G5201ICE WHITE 60 X 1441101100SW813-6200ICE WHITE</v>
      </c>
      <c r="J531" s="7">
        <f>COUNTIF(Paper_Reference[Duplicate Key],Paper_Reference[[#This Row],[Duplicate Key]])</f>
        <v>1</v>
      </c>
    </row>
    <row r="532" spans="1:10">
      <c r="A532" s="7">
        <v>2</v>
      </c>
      <c r="B532" s="8" t="s">
        <v>8460</v>
      </c>
      <c r="C532" s="8" t="s">
        <v>8306</v>
      </c>
      <c r="D532" s="7">
        <v>1</v>
      </c>
      <c r="E532" s="7">
        <v>10</v>
      </c>
      <c r="F532" s="7">
        <v>1</v>
      </c>
      <c r="G532" s="8" t="s">
        <v>8302</v>
      </c>
      <c r="H532" s="8" t="s">
        <v>8303</v>
      </c>
      <c r="I532" s="7" t="str">
        <f>_xlfn.CONCAT(Paper_Reference[[#This Row],[Lvl]:[Paper Description]])</f>
        <v>2F39SW813G580ICE WHITE 60 X 961101100SW813-6200ICE WHITE</v>
      </c>
      <c r="J532" s="7">
        <f>COUNTIF(Paper_Reference[Duplicate Key],Paper_Reference[[#This Row],[Duplicate Key]])</f>
        <v>1</v>
      </c>
    </row>
    <row r="533" spans="1:10">
      <c r="A533" s="7">
        <v>2</v>
      </c>
      <c r="B533" s="8" t="s">
        <v>8459</v>
      </c>
      <c r="C533" s="8" t="s">
        <v>8306</v>
      </c>
      <c r="D533" s="7">
        <v>1</v>
      </c>
      <c r="E533" s="7">
        <v>10</v>
      </c>
      <c r="F533" s="7">
        <v>1</v>
      </c>
      <c r="G533" s="8" t="s">
        <v>8302</v>
      </c>
      <c r="H533" s="8" t="s">
        <v>8303</v>
      </c>
      <c r="I533" s="7" t="str">
        <f>_xlfn.CONCAT(Paper_Reference[[#This Row],[Lvl]:[Paper Description]])</f>
        <v>2F39SW813G5801ICE WHITE 60 X 961101100SW813-6200ICE WHITE</v>
      </c>
      <c r="J533" s="7">
        <f>COUNTIF(Paper_Reference[Duplicate Key],Paper_Reference[[#This Row],[Duplicate Key]])</f>
        <v>1</v>
      </c>
    </row>
    <row r="534" spans="1:10">
      <c r="A534" s="7">
        <v>2</v>
      </c>
      <c r="B534" s="8" t="s">
        <v>8461</v>
      </c>
      <c r="C534" s="8" t="s">
        <v>8304</v>
      </c>
      <c r="D534" s="7">
        <v>1</v>
      </c>
      <c r="E534" s="7">
        <v>10</v>
      </c>
      <c r="F534" s="7">
        <v>1</v>
      </c>
      <c r="G534" s="8" t="s">
        <v>8302</v>
      </c>
      <c r="H534" s="8" t="s">
        <v>8303</v>
      </c>
      <c r="I534" s="7" t="str">
        <f>_xlfn.CONCAT(Paper_Reference[[#This Row],[Lvl]:[Paper Description]])</f>
        <v>2F39SW813GL5001ICE WHITE 60 X 1201101100SW813-6200ICE WHITE</v>
      </c>
      <c r="J534" s="7">
        <f>COUNTIF(Paper_Reference[Duplicate Key],Paper_Reference[[#This Row],[Duplicate Key]])</f>
        <v>1</v>
      </c>
    </row>
    <row r="535" spans="1:10">
      <c r="A535" s="7">
        <v>2</v>
      </c>
      <c r="B535" s="8" t="s">
        <v>8462</v>
      </c>
      <c r="C535" s="8" t="s">
        <v>8305</v>
      </c>
      <c r="D535" s="7">
        <v>1</v>
      </c>
      <c r="E535" s="7">
        <v>10</v>
      </c>
      <c r="F535" s="7">
        <v>1</v>
      </c>
      <c r="G535" s="8" t="s">
        <v>8302</v>
      </c>
      <c r="H535" s="8" t="s">
        <v>8303</v>
      </c>
      <c r="I535" s="7" t="str">
        <f>_xlfn.CONCAT(Paper_Reference[[#This Row],[Lvl]:[Paper Description]])</f>
        <v>2F39SW813GL5201ICE WHITE 60 X 1441101100SW813-6200ICE WHITE</v>
      </c>
      <c r="J535" s="7">
        <f>COUNTIF(Paper_Reference[Duplicate Key],Paper_Reference[[#This Row],[Duplicate Key]])</f>
        <v>1</v>
      </c>
    </row>
    <row r="536" spans="1:10">
      <c r="A536" s="7">
        <v>2</v>
      </c>
      <c r="B536" s="8" t="s">
        <v>8463</v>
      </c>
      <c r="C536" s="8" t="s">
        <v>8306</v>
      </c>
      <c r="D536" s="7">
        <v>1</v>
      </c>
      <c r="E536" s="7">
        <v>10</v>
      </c>
      <c r="F536" s="7">
        <v>1</v>
      </c>
      <c r="G536" s="8" t="s">
        <v>8302</v>
      </c>
      <c r="H536" s="8" t="s">
        <v>8303</v>
      </c>
      <c r="I536" s="7" t="str">
        <f>_xlfn.CONCAT(Paper_Reference[[#This Row],[Lvl]:[Paper Description]])</f>
        <v>2F39SW813GL5801ICE WHITE 60 X 961101100SW813-6200ICE WHITE</v>
      </c>
      <c r="J536" s="7">
        <f>COUNTIF(Paper_Reference[Duplicate Key],Paper_Reference[[#This Row],[Duplicate Key]])</f>
        <v>1</v>
      </c>
    </row>
    <row r="537" spans="1:10">
      <c r="A537" s="7">
        <v>2</v>
      </c>
      <c r="B537" s="8" t="s">
        <v>8464</v>
      </c>
      <c r="C537" s="8" t="s">
        <v>8326</v>
      </c>
      <c r="D537" s="7">
        <v>1</v>
      </c>
      <c r="E537" s="7">
        <v>10</v>
      </c>
      <c r="F537" s="7">
        <v>0.5</v>
      </c>
      <c r="G537" s="8" t="s">
        <v>8302</v>
      </c>
      <c r="H537" s="8" t="s">
        <v>8303</v>
      </c>
      <c r="I537" s="7" t="str">
        <f>_xlfn.CONCAT(Paper_Reference[[#This Row],[Lvl]:[Paper Description]])</f>
        <v>2F39SW813J000ICE WHITE 30 X 1201100.5100SW813-6200ICE WHITE</v>
      </c>
      <c r="J537" s="7">
        <f>COUNTIF(Paper_Reference[Duplicate Key],Paper_Reference[[#This Row],[Duplicate Key]])</f>
        <v>1</v>
      </c>
    </row>
    <row r="538" spans="1:10">
      <c r="A538" s="7">
        <v>2</v>
      </c>
      <c r="B538" s="8" t="s">
        <v>8465</v>
      </c>
      <c r="C538" s="8" t="s">
        <v>8325</v>
      </c>
      <c r="D538" s="7">
        <v>1</v>
      </c>
      <c r="E538" s="7">
        <v>10</v>
      </c>
      <c r="F538" s="7">
        <v>0.5</v>
      </c>
      <c r="G538" s="8" t="s">
        <v>8302</v>
      </c>
      <c r="H538" s="8" t="s">
        <v>8303</v>
      </c>
      <c r="I538" s="7" t="str">
        <f>_xlfn.CONCAT(Paper_Reference[[#This Row],[Lvl]:[Paper Description]])</f>
        <v>2F39SW813J020ICE WHITE 30 X 1441100.5100SW813-6200ICE WHITE</v>
      </c>
      <c r="J538" s="7">
        <f>COUNTIF(Paper_Reference[Duplicate Key],Paper_Reference[[#This Row],[Duplicate Key]])</f>
        <v>1</v>
      </c>
    </row>
    <row r="539" spans="1:10">
      <c r="A539" s="7">
        <v>2</v>
      </c>
      <c r="B539" s="8" t="s">
        <v>8466</v>
      </c>
      <c r="C539" s="8" t="s">
        <v>8304</v>
      </c>
      <c r="D539" s="7">
        <v>1</v>
      </c>
      <c r="E539" s="7">
        <v>10</v>
      </c>
      <c r="F539" s="7">
        <v>1</v>
      </c>
      <c r="G539" s="8" t="s">
        <v>8302</v>
      </c>
      <c r="H539" s="8" t="s">
        <v>8303</v>
      </c>
      <c r="I539" s="7" t="str">
        <f>_xlfn.CONCAT(Paper_Reference[[#This Row],[Lvl]:[Paper Description]])</f>
        <v>2F39SW813J500ICE WHITE 60 X 1201101100SW813-6200ICE WHITE</v>
      </c>
      <c r="J539" s="7">
        <f>COUNTIF(Paper_Reference[Duplicate Key],Paper_Reference[[#This Row],[Duplicate Key]])</f>
        <v>1</v>
      </c>
    </row>
    <row r="540" spans="1:10">
      <c r="A540" s="7">
        <v>2</v>
      </c>
      <c r="B540" s="8" t="s">
        <v>8467</v>
      </c>
      <c r="C540" s="8" t="s">
        <v>8305</v>
      </c>
      <c r="D540" s="7">
        <v>1</v>
      </c>
      <c r="E540" s="7">
        <v>10</v>
      </c>
      <c r="F540" s="7">
        <v>1</v>
      </c>
      <c r="G540" s="8" t="s">
        <v>8302</v>
      </c>
      <c r="H540" s="8" t="s">
        <v>8303</v>
      </c>
      <c r="I540" s="7" t="str">
        <f>_xlfn.CONCAT(Paper_Reference[[#This Row],[Lvl]:[Paper Description]])</f>
        <v>2F39SW813J520ICE WHITE 60 X 1441101100SW813-6200ICE WHITE</v>
      </c>
      <c r="J540" s="7">
        <f>COUNTIF(Paper_Reference[Duplicate Key],Paper_Reference[[#This Row],[Duplicate Key]])</f>
        <v>1</v>
      </c>
    </row>
    <row r="541" spans="1:10">
      <c r="A541" s="7">
        <v>2</v>
      </c>
      <c r="B541" s="8" t="s">
        <v>8468</v>
      </c>
      <c r="C541" s="8" t="s">
        <v>8305</v>
      </c>
      <c r="D541" s="7">
        <v>1</v>
      </c>
      <c r="E541" s="7">
        <v>10</v>
      </c>
      <c r="F541" s="7">
        <v>1</v>
      </c>
      <c r="G541" s="8" t="s">
        <v>8302</v>
      </c>
      <c r="H541" s="8" t="s">
        <v>8303</v>
      </c>
      <c r="I541" s="7" t="str">
        <f>_xlfn.CONCAT(Paper_Reference[[#This Row],[Lvl]:[Paper Description]])</f>
        <v>2F39SW813L520ICE WHITE 60 X 1441101100SW813-6200ICE WHITE</v>
      </c>
      <c r="J541" s="7">
        <f>COUNTIF(Paper_Reference[Duplicate Key],Paper_Reference[[#This Row],[Duplicate Key]])</f>
        <v>1</v>
      </c>
    </row>
    <row r="542" spans="1:10">
      <c r="A542" s="7">
        <v>2</v>
      </c>
      <c r="B542" s="8" t="s">
        <v>8469</v>
      </c>
      <c r="C542" s="8" t="s">
        <v>8326</v>
      </c>
      <c r="D542" s="7">
        <v>1</v>
      </c>
      <c r="E542" s="7">
        <v>10</v>
      </c>
      <c r="F542" s="7">
        <v>0.5</v>
      </c>
      <c r="G542" s="8" t="s">
        <v>8302</v>
      </c>
      <c r="H542" s="8" t="s">
        <v>8303</v>
      </c>
      <c r="I542" s="7" t="str">
        <f>_xlfn.CONCAT(Paper_Reference[[#This Row],[Lvl]:[Paper Description]])</f>
        <v>2F39SW813N000ICE WHITE 30 X 1201100.5100SW813-6200ICE WHITE</v>
      </c>
      <c r="J542" s="7">
        <f>COUNTIF(Paper_Reference[Duplicate Key],Paper_Reference[[#This Row],[Duplicate Key]])</f>
        <v>1</v>
      </c>
    </row>
    <row r="543" spans="1:10">
      <c r="A543" s="7">
        <v>2</v>
      </c>
      <c r="B543" s="8" t="s">
        <v>8470</v>
      </c>
      <c r="C543" s="8" t="s">
        <v>8325</v>
      </c>
      <c r="D543" s="7">
        <v>1</v>
      </c>
      <c r="E543" s="7">
        <v>10</v>
      </c>
      <c r="F543" s="7">
        <v>0.5</v>
      </c>
      <c r="G543" s="8" t="s">
        <v>8302</v>
      </c>
      <c r="H543" s="8" t="s">
        <v>8303</v>
      </c>
      <c r="I543" s="7" t="str">
        <f>_xlfn.CONCAT(Paper_Reference[[#This Row],[Lvl]:[Paper Description]])</f>
        <v>2F39SW813N020ICE WHITE 30 X 1441100.5100SW813-6200ICE WHITE</v>
      </c>
      <c r="J543" s="7">
        <f>COUNTIF(Paper_Reference[Duplicate Key],Paper_Reference[[#This Row],[Duplicate Key]])</f>
        <v>1</v>
      </c>
    </row>
    <row r="544" spans="1:10">
      <c r="A544" s="7">
        <v>2</v>
      </c>
      <c r="B544" s="8" t="s">
        <v>8471</v>
      </c>
      <c r="C544" s="8" t="s">
        <v>8327</v>
      </c>
      <c r="D544" s="7">
        <v>1</v>
      </c>
      <c r="E544" s="7">
        <v>10</v>
      </c>
      <c r="F544" s="7">
        <v>0.5</v>
      </c>
      <c r="G544" s="8" t="s">
        <v>8302</v>
      </c>
      <c r="H544" s="8" t="s">
        <v>8303</v>
      </c>
      <c r="I544" s="7" t="str">
        <f>_xlfn.CONCAT(Paper_Reference[[#This Row],[Lvl]:[Paper Description]])</f>
        <v>2F39SW813N080ICE WHITE 30 X 961100.5100SW813-6200ICE WHITE</v>
      </c>
      <c r="J544" s="7">
        <f>COUNTIF(Paper_Reference[Duplicate Key],Paper_Reference[[#This Row],[Duplicate Key]])</f>
        <v>1</v>
      </c>
    </row>
    <row r="545" spans="1:10">
      <c r="A545" s="7">
        <v>2</v>
      </c>
      <c r="B545" s="8" t="s">
        <v>8474</v>
      </c>
      <c r="C545" s="8" t="s">
        <v>8304</v>
      </c>
      <c r="D545" s="7">
        <v>1</v>
      </c>
      <c r="E545" s="7">
        <v>10</v>
      </c>
      <c r="F545" s="7">
        <v>1</v>
      </c>
      <c r="G545" s="8" t="s">
        <v>8302</v>
      </c>
      <c r="H545" s="8" t="s">
        <v>8303</v>
      </c>
      <c r="I545" s="7" t="str">
        <f>_xlfn.CONCAT(Paper_Reference[[#This Row],[Lvl]:[Paper Description]])</f>
        <v>2F39SW813N500ICE WHITE 60 X 1201101100SW813-6200ICE WHITE</v>
      </c>
      <c r="J545" s="7">
        <f>COUNTIF(Paper_Reference[Duplicate Key],Paper_Reference[[#This Row],[Duplicate Key]])</f>
        <v>1</v>
      </c>
    </row>
    <row r="546" spans="1:10">
      <c r="A546" s="7">
        <v>2</v>
      </c>
      <c r="B546" s="8" t="s">
        <v>8472</v>
      </c>
      <c r="C546" s="8" t="s">
        <v>8304</v>
      </c>
      <c r="D546" s="7">
        <v>1</v>
      </c>
      <c r="E546" s="7">
        <v>10</v>
      </c>
      <c r="F546" s="7">
        <v>1</v>
      </c>
      <c r="G546" s="8" t="s">
        <v>8302</v>
      </c>
      <c r="H546" s="8" t="s">
        <v>8303</v>
      </c>
      <c r="I546" s="7" t="str">
        <f>_xlfn.CONCAT(Paper_Reference[[#This Row],[Lvl]:[Paper Description]])</f>
        <v>2F39SW813N5001ICE WHITE 60 X 1201101100SW813-6200ICE WHITE</v>
      </c>
      <c r="J546" s="7">
        <f>COUNTIF(Paper_Reference[Duplicate Key],Paper_Reference[[#This Row],[Duplicate Key]])</f>
        <v>1</v>
      </c>
    </row>
    <row r="547" spans="1:10">
      <c r="A547" s="7">
        <v>2</v>
      </c>
      <c r="B547" s="8" t="s">
        <v>8473</v>
      </c>
      <c r="C547" s="8" t="s">
        <v>8328</v>
      </c>
      <c r="D547" s="7">
        <v>1</v>
      </c>
      <c r="E547" s="7">
        <v>10</v>
      </c>
      <c r="F547" s="7">
        <v>1</v>
      </c>
      <c r="G547" s="8" t="s">
        <v>8302</v>
      </c>
      <c r="H547" s="8" t="s">
        <v>8303</v>
      </c>
      <c r="I547" s="7" t="str">
        <f>_xlfn.CONCAT(Paper_Reference[[#This Row],[Lvl]:[Paper Description]])</f>
        <v>2F39SW813N5003FSC ICE WHITE 60 X 1201101100SW813-6200ICE WHITE</v>
      </c>
      <c r="J547" s="7">
        <f>COUNTIF(Paper_Reference[Duplicate Key],Paper_Reference[[#This Row],[Duplicate Key]])</f>
        <v>1</v>
      </c>
    </row>
    <row r="548" spans="1:10">
      <c r="A548" s="7">
        <v>2</v>
      </c>
      <c r="B548" s="8" t="s">
        <v>8476</v>
      </c>
      <c r="C548" s="8" t="s">
        <v>8305</v>
      </c>
      <c r="D548" s="7">
        <v>1</v>
      </c>
      <c r="E548" s="7">
        <v>10</v>
      </c>
      <c r="F548" s="7">
        <v>1</v>
      </c>
      <c r="G548" s="8" t="s">
        <v>8302</v>
      </c>
      <c r="H548" s="8" t="s">
        <v>8303</v>
      </c>
      <c r="I548" s="7" t="str">
        <f>_xlfn.CONCAT(Paper_Reference[[#This Row],[Lvl]:[Paper Description]])</f>
        <v>2F39SW813N520ICE WHITE 60 X 1441101100SW813-6200ICE WHITE</v>
      </c>
      <c r="J548" s="7">
        <f>COUNTIF(Paper_Reference[Duplicate Key],Paper_Reference[[#This Row],[Duplicate Key]])</f>
        <v>1</v>
      </c>
    </row>
    <row r="549" spans="1:10">
      <c r="A549" s="7">
        <v>2</v>
      </c>
      <c r="B549" s="8" t="s">
        <v>8475</v>
      </c>
      <c r="C549" s="8" t="s">
        <v>8305</v>
      </c>
      <c r="D549" s="7">
        <v>1</v>
      </c>
      <c r="E549" s="7">
        <v>10</v>
      </c>
      <c r="F549" s="7">
        <v>1</v>
      </c>
      <c r="G549" s="8" t="s">
        <v>8302</v>
      </c>
      <c r="H549" s="8" t="s">
        <v>8303</v>
      </c>
      <c r="I549" s="7" t="str">
        <f>_xlfn.CONCAT(Paper_Reference[[#This Row],[Lvl]:[Paper Description]])</f>
        <v>2F39SW813N5201ICE WHITE 60 X 1441101100SW813-6200ICE WHITE</v>
      </c>
      <c r="J549" s="7">
        <f>COUNTIF(Paper_Reference[Duplicate Key],Paper_Reference[[#This Row],[Duplicate Key]])</f>
        <v>1</v>
      </c>
    </row>
    <row r="550" spans="1:10">
      <c r="A550" s="7">
        <v>2</v>
      </c>
      <c r="B550" s="8" t="s">
        <v>8478</v>
      </c>
      <c r="C550" s="8" t="s">
        <v>8306</v>
      </c>
      <c r="D550" s="7">
        <v>1</v>
      </c>
      <c r="E550" s="7">
        <v>10</v>
      </c>
      <c r="F550" s="7">
        <v>1</v>
      </c>
      <c r="G550" s="8" t="s">
        <v>8302</v>
      </c>
      <c r="H550" s="8" t="s">
        <v>8303</v>
      </c>
      <c r="I550" s="7" t="str">
        <f>_xlfn.CONCAT(Paper_Reference[[#This Row],[Lvl]:[Paper Description]])</f>
        <v>2F39SW813N580ICE WHITE 60 X 961101100SW813-6200ICE WHITE</v>
      </c>
      <c r="J550" s="7">
        <f>COUNTIF(Paper_Reference[Duplicate Key],Paper_Reference[[#This Row],[Duplicate Key]])</f>
        <v>1</v>
      </c>
    </row>
    <row r="551" spans="1:10">
      <c r="A551" s="7">
        <v>2</v>
      </c>
      <c r="B551" s="8" t="s">
        <v>8477</v>
      </c>
      <c r="C551" s="8" t="s">
        <v>8306</v>
      </c>
      <c r="D551" s="7">
        <v>1</v>
      </c>
      <c r="E551" s="7">
        <v>10</v>
      </c>
      <c r="F551" s="7">
        <v>1</v>
      </c>
      <c r="G551" s="8" t="s">
        <v>8302</v>
      </c>
      <c r="H551" s="8" t="s">
        <v>8303</v>
      </c>
      <c r="I551" s="7" t="str">
        <f>_xlfn.CONCAT(Paper_Reference[[#This Row],[Lvl]:[Paper Description]])</f>
        <v>2F39SW813N5803ICE WHITE 60 X 961101100SW813-6200ICE WHITE</v>
      </c>
      <c r="J551" s="7">
        <f>COUNTIF(Paper_Reference[Duplicate Key],Paper_Reference[[#This Row],[Duplicate Key]])</f>
        <v>1</v>
      </c>
    </row>
    <row r="552" spans="1:10">
      <c r="A552" s="7">
        <v>2</v>
      </c>
      <c r="B552" s="8" t="s">
        <v>8479</v>
      </c>
      <c r="C552" s="8" t="s">
        <v>8326</v>
      </c>
      <c r="D552" s="7">
        <v>1</v>
      </c>
      <c r="E552" s="7">
        <v>10</v>
      </c>
      <c r="F552" s="7">
        <v>0.5</v>
      </c>
      <c r="G552" s="8" t="s">
        <v>8302</v>
      </c>
      <c r="H552" s="8" t="s">
        <v>8303</v>
      </c>
      <c r="I552" s="7" t="str">
        <f>_xlfn.CONCAT(Paper_Reference[[#This Row],[Lvl]:[Paper Description]])</f>
        <v>2F39SW813SD000ICE WHITE 30 X 1201100.5100SW813-6200ICE WHITE</v>
      </c>
      <c r="J552" s="7">
        <f>COUNTIF(Paper_Reference[Duplicate Key],Paper_Reference[[#This Row],[Duplicate Key]])</f>
        <v>1</v>
      </c>
    </row>
    <row r="553" spans="1:10">
      <c r="A553" s="7">
        <v>2</v>
      </c>
      <c r="B553" s="8" t="s">
        <v>8480</v>
      </c>
      <c r="C553" s="8" t="s">
        <v>8325</v>
      </c>
      <c r="D553" s="7">
        <v>1</v>
      </c>
      <c r="E553" s="7">
        <v>10</v>
      </c>
      <c r="F553" s="7">
        <v>0.5</v>
      </c>
      <c r="G553" s="8" t="s">
        <v>8302</v>
      </c>
      <c r="H553" s="8" t="s">
        <v>8303</v>
      </c>
      <c r="I553" s="7" t="str">
        <f>_xlfn.CONCAT(Paper_Reference[[#This Row],[Lvl]:[Paper Description]])</f>
        <v>2F39SW813SD020ICE WHITE 30 X 1441100.5100SW813-6200ICE WHITE</v>
      </c>
      <c r="J553" s="7">
        <f>COUNTIF(Paper_Reference[Duplicate Key],Paper_Reference[[#This Row],[Duplicate Key]])</f>
        <v>1</v>
      </c>
    </row>
    <row r="554" spans="1:10">
      <c r="A554" s="7">
        <v>2</v>
      </c>
      <c r="B554" s="8" t="s">
        <v>8481</v>
      </c>
      <c r="C554" s="8" t="s">
        <v>8327</v>
      </c>
      <c r="D554" s="7">
        <v>1</v>
      </c>
      <c r="E554" s="7">
        <v>10</v>
      </c>
      <c r="F554" s="7">
        <v>0.5</v>
      </c>
      <c r="G554" s="8" t="s">
        <v>8302</v>
      </c>
      <c r="H554" s="8" t="s">
        <v>8303</v>
      </c>
      <c r="I554" s="7" t="str">
        <f>_xlfn.CONCAT(Paper_Reference[[#This Row],[Lvl]:[Paper Description]])</f>
        <v>2F39SW813SD080ICE WHITE 30 X 961100.5100SW813-6200ICE WHITE</v>
      </c>
      <c r="J554" s="7">
        <f>COUNTIF(Paper_Reference[Duplicate Key],Paper_Reference[[#This Row],[Duplicate Key]])</f>
        <v>1</v>
      </c>
    </row>
    <row r="555" spans="1:10">
      <c r="A555" s="7">
        <v>2</v>
      </c>
      <c r="B555" s="8" t="s">
        <v>8483</v>
      </c>
      <c r="C555" s="8" t="s">
        <v>8304</v>
      </c>
      <c r="D555" s="7">
        <v>1</v>
      </c>
      <c r="E555" s="7">
        <v>10</v>
      </c>
      <c r="F555" s="7">
        <v>1</v>
      </c>
      <c r="G555" s="8" t="s">
        <v>8302</v>
      </c>
      <c r="H555" s="8" t="s">
        <v>8303</v>
      </c>
      <c r="I555" s="7" t="str">
        <f>_xlfn.CONCAT(Paper_Reference[[#This Row],[Lvl]:[Paper Description]])</f>
        <v>2F39SW813SD500ICE WHITE 60 X 1201101100SW813-6200ICE WHITE</v>
      </c>
      <c r="J555" s="7">
        <f>COUNTIF(Paper_Reference[Duplicate Key],Paper_Reference[[#This Row],[Duplicate Key]])</f>
        <v>1</v>
      </c>
    </row>
    <row r="556" spans="1:10">
      <c r="A556" s="7">
        <v>2</v>
      </c>
      <c r="B556" s="8" t="s">
        <v>8482</v>
      </c>
      <c r="C556" s="8" t="s">
        <v>8304</v>
      </c>
      <c r="D556" s="7">
        <v>1</v>
      </c>
      <c r="E556" s="7">
        <v>10</v>
      </c>
      <c r="F556" s="7">
        <v>1</v>
      </c>
      <c r="G556" s="8" t="s">
        <v>8302</v>
      </c>
      <c r="H556" s="8" t="s">
        <v>8303</v>
      </c>
      <c r="I556" s="7" t="str">
        <f>_xlfn.CONCAT(Paper_Reference[[#This Row],[Lvl]:[Paper Description]])</f>
        <v>2F39SW813SD5001ICE WHITE 60 X 1201101100SW813-6200ICE WHITE</v>
      </c>
      <c r="J556" s="7">
        <f>COUNTIF(Paper_Reference[Duplicate Key],Paper_Reference[[#This Row],[Duplicate Key]])</f>
        <v>1</v>
      </c>
    </row>
    <row r="557" spans="1:10">
      <c r="A557" s="7">
        <v>2</v>
      </c>
      <c r="B557" s="8" t="s">
        <v>8485</v>
      </c>
      <c r="C557" s="8" t="s">
        <v>8305</v>
      </c>
      <c r="D557" s="7">
        <v>1</v>
      </c>
      <c r="E557" s="7">
        <v>10</v>
      </c>
      <c r="F557" s="7">
        <v>1</v>
      </c>
      <c r="G557" s="8" t="s">
        <v>8302</v>
      </c>
      <c r="H557" s="8" t="s">
        <v>8303</v>
      </c>
      <c r="I557" s="7" t="str">
        <f>_xlfn.CONCAT(Paper_Reference[[#This Row],[Lvl]:[Paper Description]])</f>
        <v>2F39SW813SD520ICE WHITE 60 X 1441101100SW813-6200ICE WHITE</v>
      </c>
      <c r="J557" s="7">
        <f>COUNTIF(Paper_Reference[Duplicate Key],Paper_Reference[[#This Row],[Duplicate Key]])</f>
        <v>1</v>
      </c>
    </row>
    <row r="558" spans="1:10">
      <c r="A558" s="7">
        <v>2</v>
      </c>
      <c r="B558" s="8" t="s">
        <v>8484</v>
      </c>
      <c r="C558" s="8" t="s">
        <v>8305</v>
      </c>
      <c r="D558" s="7">
        <v>1</v>
      </c>
      <c r="E558" s="7">
        <v>10</v>
      </c>
      <c r="F558" s="7">
        <v>1</v>
      </c>
      <c r="G558" s="8" t="s">
        <v>8302</v>
      </c>
      <c r="H558" s="8" t="s">
        <v>8303</v>
      </c>
      <c r="I558" s="7" t="str">
        <f>_xlfn.CONCAT(Paper_Reference[[#This Row],[Lvl]:[Paper Description]])</f>
        <v>2F39SW813SD5201ICE WHITE 60 X 1441101100SW813-6200ICE WHITE</v>
      </c>
      <c r="J558" s="7">
        <f>COUNTIF(Paper_Reference[Duplicate Key],Paper_Reference[[#This Row],[Duplicate Key]])</f>
        <v>1</v>
      </c>
    </row>
    <row r="559" spans="1:10">
      <c r="A559" s="7">
        <v>2</v>
      </c>
      <c r="B559" s="8" t="s">
        <v>8486</v>
      </c>
      <c r="C559" s="8" t="s">
        <v>8306</v>
      </c>
      <c r="D559" s="7">
        <v>1</v>
      </c>
      <c r="E559" s="7">
        <v>10</v>
      </c>
      <c r="F559" s="7">
        <v>1</v>
      </c>
      <c r="G559" s="8" t="s">
        <v>8302</v>
      </c>
      <c r="H559" s="8" t="s">
        <v>8303</v>
      </c>
      <c r="I559" s="7" t="str">
        <f>_xlfn.CONCAT(Paper_Reference[[#This Row],[Lvl]:[Paper Description]])</f>
        <v>2F39SW813SD580ICE WHITE 60 X 961101100SW813-6200ICE WHITE</v>
      </c>
      <c r="J559" s="7">
        <f>COUNTIF(Paper_Reference[Duplicate Key],Paper_Reference[[#This Row],[Duplicate Key]])</f>
        <v>1</v>
      </c>
    </row>
    <row r="560" spans="1:10">
      <c r="A560" s="7">
        <v>2</v>
      </c>
      <c r="B560" s="8" t="s">
        <v>8487</v>
      </c>
      <c r="C560" s="8" t="s">
        <v>8305</v>
      </c>
      <c r="D560" s="7">
        <v>1</v>
      </c>
      <c r="E560" s="7">
        <v>10</v>
      </c>
      <c r="F560" s="7">
        <v>1</v>
      </c>
      <c r="G560" s="8" t="s">
        <v>8302</v>
      </c>
      <c r="H560" s="8" t="s">
        <v>8303</v>
      </c>
      <c r="I560" s="7" t="str">
        <f>_xlfn.CONCAT(Paper_Reference[[#This Row],[Lvl]:[Paper Description]])</f>
        <v>2F39SW813TL520ICE WHITE 60 X 1441101100SW813-6200ICE WHITE</v>
      </c>
      <c r="J560" s="7">
        <f>COUNTIF(Paper_Reference[Duplicate Key],Paper_Reference[[#This Row],[Duplicate Key]])</f>
        <v>1</v>
      </c>
    </row>
    <row r="561" spans="1:10">
      <c r="A561" s="7">
        <v>2</v>
      </c>
      <c r="B561" s="8" t="s">
        <v>8488</v>
      </c>
      <c r="C561" s="8" t="s">
        <v>8305</v>
      </c>
      <c r="D561" s="7">
        <v>1</v>
      </c>
      <c r="E561" s="7">
        <v>10</v>
      </c>
      <c r="F561" s="7">
        <v>1</v>
      </c>
      <c r="G561" s="8" t="s">
        <v>8302</v>
      </c>
      <c r="H561" s="8" t="s">
        <v>8303</v>
      </c>
      <c r="I561" s="7" t="str">
        <f>_xlfn.CONCAT(Paper_Reference[[#This Row],[Lvl]:[Paper Description]])</f>
        <v>2F39SW813Z520ICE WHITE 60 X 1441101100SW813-6200ICE WHITE</v>
      </c>
      <c r="J561" s="7">
        <f>COUNTIF(Paper_Reference[Duplicate Key],Paper_Reference[[#This Row],[Duplicate Key]])</f>
        <v>1</v>
      </c>
    </row>
    <row r="562" spans="1:10">
      <c r="A562" s="7">
        <v>2</v>
      </c>
      <c r="B562" s="8" t="s">
        <v>3145</v>
      </c>
      <c r="C562" s="8" t="s">
        <v>3091</v>
      </c>
      <c r="D562" s="7">
        <v>1</v>
      </c>
      <c r="E562" s="7">
        <v>10</v>
      </c>
      <c r="F562" s="7">
        <v>0.5</v>
      </c>
      <c r="G562" s="8" t="s">
        <v>3115</v>
      </c>
      <c r="H562" s="8" t="s">
        <v>3090</v>
      </c>
      <c r="I562" s="7" t="str">
        <f>_xlfn.CONCAT(Paper_Reference[[#This Row],[Lvl]:[Paper Description]])</f>
        <v>2F39WF131N000VANA 30 X 1201100.5100WF131-6200VANA</v>
      </c>
      <c r="J562" s="7">
        <f>COUNTIF(Paper_Reference[Duplicate Key],Paper_Reference[[#This Row],[Duplicate Key]])</f>
        <v>1</v>
      </c>
    </row>
    <row r="563" spans="1:10">
      <c r="A563" s="7">
        <v>2</v>
      </c>
      <c r="B563" s="8" t="s">
        <v>3147</v>
      </c>
      <c r="C563" s="8" t="s">
        <v>3092</v>
      </c>
      <c r="D563" s="7">
        <v>1</v>
      </c>
      <c r="E563" s="7">
        <v>10</v>
      </c>
      <c r="F563" s="7">
        <v>0.5</v>
      </c>
      <c r="G563" s="8" t="s">
        <v>3115</v>
      </c>
      <c r="H563" s="8" t="s">
        <v>3090</v>
      </c>
      <c r="I563" s="7" t="str">
        <f>_xlfn.CONCAT(Paper_Reference[[#This Row],[Lvl]:[Paper Description]])</f>
        <v>2F39WF131N020VANA 30 X 1441100.5100WF131-6200VANA</v>
      </c>
      <c r="J563" s="7">
        <f>COUNTIF(Paper_Reference[Duplicate Key],Paper_Reference[[#This Row],[Duplicate Key]])</f>
        <v>1</v>
      </c>
    </row>
    <row r="564" spans="1:10">
      <c r="A564" s="7">
        <v>2</v>
      </c>
      <c r="B564" s="8" t="s">
        <v>3146</v>
      </c>
      <c r="C564" s="8" t="s">
        <v>3095</v>
      </c>
      <c r="D564" s="7">
        <v>1</v>
      </c>
      <c r="E564" s="7">
        <v>10</v>
      </c>
      <c r="F564" s="7">
        <v>0.5</v>
      </c>
      <c r="G564" s="8" t="s">
        <v>3115</v>
      </c>
      <c r="H564" s="8" t="s">
        <v>3090</v>
      </c>
      <c r="I564" s="7" t="str">
        <f>_xlfn.CONCAT(Paper_Reference[[#This Row],[Lvl]:[Paper Description]])</f>
        <v>2F39WF131N0203FSC VANA 30 X 1441100.5100WF131-6200VANA</v>
      </c>
      <c r="J564" s="7">
        <f>COUNTIF(Paper_Reference[Duplicate Key],Paper_Reference[[#This Row],[Duplicate Key]])</f>
        <v>1</v>
      </c>
    </row>
    <row r="565" spans="1:10">
      <c r="A565" s="7">
        <v>2</v>
      </c>
      <c r="B565" s="8" t="s">
        <v>3149</v>
      </c>
      <c r="C565" s="8" t="s">
        <v>3093</v>
      </c>
      <c r="D565" s="7">
        <v>1</v>
      </c>
      <c r="E565" s="7">
        <v>10</v>
      </c>
      <c r="F565" s="7">
        <v>0.5</v>
      </c>
      <c r="G565" s="8" t="s">
        <v>3115</v>
      </c>
      <c r="H565" s="8" t="s">
        <v>3090</v>
      </c>
      <c r="I565" s="7" t="str">
        <f>_xlfn.CONCAT(Paper_Reference[[#This Row],[Lvl]:[Paper Description]])</f>
        <v>2F39WF131N080VANA 30 X 961100.5100WF131-6200VANA</v>
      </c>
      <c r="J565" s="7">
        <f>COUNTIF(Paper_Reference[Duplicate Key],Paper_Reference[[#This Row],[Duplicate Key]])</f>
        <v>1</v>
      </c>
    </row>
    <row r="566" spans="1:10">
      <c r="A566" s="7">
        <v>2</v>
      </c>
      <c r="B566" s="8" t="s">
        <v>3148</v>
      </c>
      <c r="C566" s="8" t="s">
        <v>3096</v>
      </c>
      <c r="D566" s="7">
        <v>1</v>
      </c>
      <c r="E566" s="7">
        <v>10</v>
      </c>
      <c r="F566" s="7">
        <v>0.5</v>
      </c>
      <c r="G566" s="8" t="s">
        <v>3115</v>
      </c>
      <c r="H566" s="8" t="s">
        <v>3090</v>
      </c>
      <c r="I566" s="7" t="str">
        <f>_xlfn.CONCAT(Paper_Reference[[#This Row],[Lvl]:[Paper Description]])</f>
        <v>2F39WF131N0803FSC VANA 30 X 961100.5100WF131-6200VANA</v>
      </c>
      <c r="J566" s="7">
        <f>COUNTIF(Paper_Reference[Duplicate Key],Paper_Reference[[#This Row],[Duplicate Key]])</f>
        <v>1</v>
      </c>
    </row>
    <row r="567" spans="1:10">
      <c r="A567" s="7">
        <v>2</v>
      </c>
      <c r="B567" s="8" t="s">
        <v>3150</v>
      </c>
      <c r="C567" s="8" t="s">
        <v>3088</v>
      </c>
      <c r="D567" s="7">
        <v>1</v>
      </c>
      <c r="E567" s="7">
        <v>10</v>
      </c>
      <c r="F567" s="7">
        <v>1</v>
      </c>
      <c r="G567" s="8" t="s">
        <v>3115</v>
      </c>
      <c r="H567" s="8" t="s">
        <v>3090</v>
      </c>
      <c r="I567" s="7" t="str">
        <f>_xlfn.CONCAT(Paper_Reference[[#This Row],[Lvl]:[Paper Description]])</f>
        <v>2F39WF131N500VANA 60 X 1201101100WF131-6200VANA</v>
      </c>
      <c r="J567" s="7">
        <f>COUNTIF(Paper_Reference[Duplicate Key],Paper_Reference[[#This Row],[Duplicate Key]])</f>
        <v>1</v>
      </c>
    </row>
    <row r="568" spans="1:10">
      <c r="A568" s="7">
        <v>2</v>
      </c>
      <c r="B568" s="8" t="s">
        <v>3151</v>
      </c>
      <c r="C568" s="8" t="s">
        <v>3086</v>
      </c>
      <c r="D568" s="7">
        <v>1</v>
      </c>
      <c r="E568" s="7">
        <v>10</v>
      </c>
      <c r="F568" s="7">
        <v>1</v>
      </c>
      <c r="G568" s="8" t="s">
        <v>3115</v>
      </c>
      <c r="H568" s="8" t="s">
        <v>3090</v>
      </c>
      <c r="I568" s="7" t="str">
        <f>_xlfn.CONCAT(Paper_Reference[[#This Row],[Lvl]:[Paper Description]])</f>
        <v>2F39WF131N520VANA 60 X 1441101100WF131-6200VANA</v>
      </c>
      <c r="J568" s="7">
        <f>COUNTIF(Paper_Reference[Duplicate Key],Paper_Reference[[#This Row],[Duplicate Key]])</f>
        <v>1</v>
      </c>
    </row>
    <row r="569" spans="1:10">
      <c r="A569" s="7">
        <v>2</v>
      </c>
      <c r="B569" s="8" t="s">
        <v>3152</v>
      </c>
      <c r="C569" s="8" t="s">
        <v>3087</v>
      </c>
      <c r="D569" s="7">
        <v>1</v>
      </c>
      <c r="E569" s="7">
        <v>10</v>
      </c>
      <c r="F569" s="7">
        <v>1</v>
      </c>
      <c r="G569" s="8" t="s">
        <v>3115</v>
      </c>
      <c r="H569" s="8" t="s">
        <v>3090</v>
      </c>
      <c r="I569" s="7" t="str">
        <f>_xlfn.CONCAT(Paper_Reference[[#This Row],[Lvl]:[Paper Description]])</f>
        <v>2F39WF131N580VANA 60 X 961101100WF131-6200VANA</v>
      </c>
      <c r="J569" s="7">
        <f>COUNTIF(Paper_Reference[Duplicate Key],Paper_Reference[[#This Row],[Duplicate Key]])</f>
        <v>1</v>
      </c>
    </row>
    <row r="570" spans="1:10">
      <c r="A570" s="7">
        <v>2</v>
      </c>
      <c r="B570" s="8" t="s">
        <v>3153</v>
      </c>
      <c r="C570" s="8" t="s">
        <v>3088</v>
      </c>
      <c r="D570" s="7">
        <v>1</v>
      </c>
      <c r="E570" s="7">
        <v>10</v>
      </c>
      <c r="F570" s="7">
        <v>1</v>
      </c>
      <c r="G570" s="8" t="s">
        <v>3115</v>
      </c>
      <c r="H570" s="8" t="s">
        <v>3090</v>
      </c>
      <c r="I570" s="7" t="str">
        <f>_xlfn.CONCAT(Paper_Reference[[#This Row],[Lvl]:[Paper Description]])</f>
        <v>2F39WF131PV500VANA 60 X 1201101100WF131-6200VANA</v>
      </c>
      <c r="J570" s="7">
        <f>COUNTIF(Paper_Reference[Duplicate Key],Paper_Reference[[#This Row],[Duplicate Key]])</f>
        <v>1</v>
      </c>
    </row>
    <row r="571" spans="1:10">
      <c r="A571" s="7">
        <v>2</v>
      </c>
      <c r="B571" s="8" t="s">
        <v>3154</v>
      </c>
      <c r="C571" s="8" t="s">
        <v>3091</v>
      </c>
      <c r="D571" s="7">
        <v>1</v>
      </c>
      <c r="E571" s="7">
        <v>10</v>
      </c>
      <c r="F571" s="7">
        <v>0.5</v>
      </c>
      <c r="G571" s="8" t="s">
        <v>3115</v>
      </c>
      <c r="H571" s="8" t="s">
        <v>3090</v>
      </c>
      <c r="I571" s="7" t="str">
        <f>_xlfn.CONCAT(Paper_Reference[[#This Row],[Lvl]:[Paper Description]])</f>
        <v>2F39WF131SD000VANA 30 X 1201100.5100WF131-6200VANA</v>
      </c>
      <c r="J571" s="7">
        <f>COUNTIF(Paper_Reference[Duplicate Key],Paper_Reference[[#This Row],[Duplicate Key]])</f>
        <v>1</v>
      </c>
    </row>
    <row r="572" spans="1:10">
      <c r="A572" s="7">
        <v>2</v>
      </c>
      <c r="B572" s="8" t="s">
        <v>3155</v>
      </c>
      <c r="C572" s="8" t="s">
        <v>3092</v>
      </c>
      <c r="D572" s="7">
        <v>1</v>
      </c>
      <c r="E572" s="7">
        <v>10</v>
      </c>
      <c r="F572" s="7">
        <v>0.5</v>
      </c>
      <c r="G572" s="8" t="s">
        <v>3115</v>
      </c>
      <c r="H572" s="8" t="s">
        <v>3090</v>
      </c>
      <c r="I572" s="7" t="str">
        <f>_xlfn.CONCAT(Paper_Reference[[#This Row],[Lvl]:[Paper Description]])</f>
        <v>2F39WF131SD020VANA 30 X 1441100.5100WF131-6200VANA</v>
      </c>
      <c r="J572" s="7">
        <f>COUNTIF(Paper_Reference[Duplicate Key],Paper_Reference[[#This Row],[Duplicate Key]])</f>
        <v>1</v>
      </c>
    </row>
    <row r="573" spans="1:10">
      <c r="A573" s="7">
        <v>2</v>
      </c>
      <c r="B573" s="8" t="s">
        <v>3156</v>
      </c>
      <c r="C573" s="8" t="s">
        <v>3093</v>
      </c>
      <c r="D573" s="7">
        <v>1</v>
      </c>
      <c r="E573" s="7">
        <v>10</v>
      </c>
      <c r="F573" s="7">
        <v>0.5</v>
      </c>
      <c r="G573" s="8" t="s">
        <v>3115</v>
      </c>
      <c r="H573" s="8" t="s">
        <v>3090</v>
      </c>
      <c r="I573" s="7" t="str">
        <f>_xlfn.CONCAT(Paper_Reference[[#This Row],[Lvl]:[Paper Description]])</f>
        <v>2F39WF131SD080VANA 30 X 961100.5100WF131-6200VANA</v>
      </c>
      <c r="J573" s="7">
        <f>COUNTIF(Paper_Reference[Duplicate Key],Paper_Reference[[#This Row],[Duplicate Key]])</f>
        <v>1</v>
      </c>
    </row>
    <row r="574" spans="1:10">
      <c r="A574" s="7">
        <v>2</v>
      </c>
      <c r="B574" s="8" t="s">
        <v>3159</v>
      </c>
      <c r="C574" s="8" t="s">
        <v>3088</v>
      </c>
      <c r="D574" s="7">
        <v>1</v>
      </c>
      <c r="E574" s="7">
        <v>10</v>
      </c>
      <c r="F574" s="7">
        <v>1</v>
      </c>
      <c r="G574" s="8" t="s">
        <v>3115</v>
      </c>
      <c r="H574" s="8" t="s">
        <v>3090</v>
      </c>
      <c r="I574" s="7" t="str">
        <f>_xlfn.CONCAT(Paper_Reference[[#This Row],[Lvl]:[Paper Description]])</f>
        <v>2F39WF131SD500VANA 60 X 1201101100WF131-6200VANA</v>
      </c>
      <c r="J574" s="7">
        <f>COUNTIF(Paper_Reference[Duplicate Key],Paper_Reference[[#This Row],[Duplicate Key]])</f>
        <v>1</v>
      </c>
    </row>
    <row r="575" spans="1:10">
      <c r="A575" s="7">
        <v>2</v>
      </c>
      <c r="B575" s="8" t="s">
        <v>3157</v>
      </c>
      <c r="C575" s="8" t="s">
        <v>3088</v>
      </c>
      <c r="D575" s="7">
        <v>1</v>
      </c>
      <c r="E575" s="7">
        <v>10</v>
      </c>
      <c r="F575" s="7">
        <v>1</v>
      </c>
      <c r="G575" s="8" t="s">
        <v>3115</v>
      </c>
      <c r="H575" s="8" t="s">
        <v>3090</v>
      </c>
      <c r="I575" s="7" t="str">
        <f>_xlfn.CONCAT(Paper_Reference[[#This Row],[Lvl]:[Paper Description]])</f>
        <v>2F39WF131SD5001VANA 60 X 1201101100WF131-6200VANA</v>
      </c>
      <c r="J575" s="7">
        <f>COUNTIF(Paper_Reference[Duplicate Key],Paper_Reference[[#This Row],[Duplicate Key]])</f>
        <v>1</v>
      </c>
    </row>
    <row r="576" spans="1:10">
      <c r="A576" s="7">
        <v>2</v>
      </c>
      <c r="B576" s="8" t="s">
        <v>3158</v>
      </c>
      <c r="C576" s="8" t="s">
        <v>3088</v>
      </c>
      <c r="D576" s="7">
        <v>1</v>
      </c>
      <c r="E576" s="7">
        <v>10</v>
      </c>
      <c r="F576" s="7">
        <v>1</v>
      </c>
      <c r="G576" s="8" t="s">
        <v>3115</v>
      </c>
      <c r="H576" s="8" t="s">
        <v>3090</v>
      </c>
      <c r="I576" s="7" t="str">
        <f>_xlfn.CONCAT(Paper_Reference[[#This Row],[Lvl]:[Paper Description]])</f>
        <v>2F39WF131SD5003VANA 60 X 1201101100WF131-6200VANA</v>
      </c>
      <c r="J576" s="7">
        <f>COUNTIF(Paper_Reference[Duplicate Key],Paper_Reference[[#This Row],[Duplicate Key]])</f>
        <v>1</v>
      </c>
    </row>
    <row r="577" spans="1:10">
      <c r="A577" s="7">
        <v>2</v>
      </c>
      <c r="B577" s="8" t="s">
        <v>3160</v>
      </c>
      <c r="C577" s="8" t="s">
        <v>3086</v>
      </c>
      <c r="D577" s="7">
        <v>1</v>
      </c>
      <c r="E577" s="7">
        <v>10</v>
      </c>
      <c r="F577" s="7">
        <v>1</v>
      </c>
      <c r="G577" s="8" t="s">
        <v>3115</v>
      </c>
      <c r="H577" s="8" t="s">
        <v>3090</v>
      </c>
      <c r="I577" s="7" t="str">
        <f>_xlfn.CONCAT(Paper_Reference[[#This Row],[Lvl]:[Paper Description]])</f>
        <v>2F39WF131SD520VANA 60 X 1441101100WF131-6200VANA</v>
      </c>
      <c r="J577" s="7">
        <f>COUNTIF(Paper_Reference[Duplicate Key],Paper_Reference[[#This Row],[Duplicate Key]])</f>
        <v>1</v>
      </c>
    </row>
    <row r="578" spans="1:10">
      <c r="A578" s="7">
        <v>2</v>
      </c>
      <c r="B578" s="8" t="s">
        <v>3161</v>
      </c>
      <c r="C578" s="8" t="s">
        <v>3087</v>
      </c>
      <c r="D578" s="7">
        <v>1</v>
      </c>
      <c r="E578" s="7">
        <v>10</v>
      </c>
      <c r="F578" s="7">
        <v>1</v>
      </c>
      <c r="G578" s="8" t="s">
        <v>3115</v>
      </c>
      <c r="H578" s="8" t="s">
        <v>3090</v>
      </c>
      <c r="I578" s="7" t="str">
        <f>_xlfn.CONCAT(Paper_Reference[[#This Row],[Lvl]:[Paper Description]])</f>
        <v>2F39WF131SD580VANA 60 X 961101100WF131-6200VANA</v>
      </c>
      <c r="J578" s="7">
        <f>COUNTIF(Paper_Reference[Duplicate Key],Paper_Reference[[#This Row],[Duplicate Key]])</f>
        <v>1</v>
      </c>
    </row>
    <row r="579" spans="1:10">
      <c r="A579" s="7">
        <v>2</v>
      </c>
      <c r="B579" s="8" t="s">
        <v>5516</v>
      </c>
      <c r="C579" s="8" t="s">
        <v>5376</v>
      </c>
      <c r="D579" s="7">
        <v>1</v>
      </c>
      <c r="E579" s="7">
        <v>10</v>
      </c>
      <c r="F579" s="7">
        <v>1</v>
      </c>
      <c r="G579" s="8" t="s">
        <v>5373</v>
      </c>
      <c r="H579" s="8" t="s">
        <v>5374</v>
      </c>
      <c r="I579" s="7" t="str">
        <f>_xlfn.CONCAT(Paper_Reference[[#This Row],[Lvl]:[Paper Description]])</f>
        <v>2F39WW971AW520GUN SAVOY WALNUT 60 X 1441101100WW971-6200GUN SAVOY WALNUT</v>
      </c>
      <c r="J579" s="7">
        <f>COUNTIF(Paper_Reference[Duplicate Key],Paper_Reference[[#This Row],[Duplicate Key]])</f>
        <v>1</v>
      </c>
    </row>
    <row r="580" spans="1:10">
      <c r="A580" s="7">
        <v>2</v>
      </c>
      <c r="B580" s="8" t="s">
        <v>5517</v>
      </c>
      <c r="C580" s="8" t="s">
        <v>5378</v>
      </c>
      <c r="D580" s="7">
        <v>1</v>
      </c>
      <c r="E580" s="7">
        <v>10</v>
      </c>
      <c r="F580" s="7">
        <v>1</v>
      </c>
      <c r="G580" s="8" t="s">
        <v>5373</v>
      </c>
      <c r="H580" s="8" t="s">
        <v>5374</v>
      </c>
      <c r="I580" s="7" t="str">
        <f>_xlfn.CONCAT(Paper_Reference[[#This Row],[Lvl]:[Paper Description]])</f>
        <v>2F39WW971FL500GUN SAVOY WALNUT 60 X 1201101100WW971-6200GUN SAVOY WALNUT</v>
      </c>
      <c r="J580" s="7">
        <f>COUNTIF(Paper_Reference[Duplicate Key],Paper_Reference[[#This Row],[Duplicate Key]])</f>
        <v>1</v>
      </c>
    </row>
    <row r="581" spans="1:10">
      <c r="A581" s="7">
        <v>2</v>
      </c>
      <c r="B581" s="8" t="s">
        <v>5518</v>
      </c>
      <c r="C581" s="8" t="s">
        <v>5376</v>
      </c>
      <c r="D581" s="7">
        <v>1</v>
      </c>
      <c r="E581" s="7">
        <v>10</v>
      </c>
      <c r="F581" s="7">
        <v>1</v>
      </c>
      <c r="G581" s="8" t="s">
        <v>5373</v>
      </c>
      <c r="H581" s="8" t="s">
        <v>5374</v>
      </c>
      <c r="I581" s="7" t="str">
        <f>_xlfn.CONCAT(Paper_Reference[[#This Row],[Lvl]:[Paper Description]])</f>
        <v>2F39WW971FL520GUN SAVOY WALNUT 60 X 1441101100WW971-6200GUN SAVOY WALNUT</v>
      </c>
      <c r="J581" s="7">
        <f>COUNTIF(Paper_Reference[Duplicate Key],Paper_Reference[[#This Row],[Duplicate Key]])</f>
        <v>1</v>
      </c>
    </row>
    <row r="582" spans="1:10">
      <c r="A582" s="7">
        <v>2</v>
      </c>
      <c r="B582" s="8" t="s">
        <v>5519</v>
      </c>
      <c r="C582" s="8" t="s">
        <v>5382</v>
      </c>
      <c r="D582" s="7">
        <v>1</v>
      </c>
      <c r="E582" s="7">
        <v>10</v>
      </c>
      <c r="F582" s="7">
        <v>0.5</v>
      </c>
      <c r="G582" s="8" t="s">
        <v>5373</v>
      </c>
      <c r="H582" s="8" t="s">
        <v>5374</v>
      </c>
      <c r="I582" s="7" t="str">
        <f>_xlfn.CONCAT(Paper_Reference[[#This Row],[Lvl]:[Paper Description]])</f>
        <v>2F39WW971I080GUN SAVOY WALNUT 30 X 961100.5100WW971-6200GUN SAVOY WALNUT</v>
      </c>
      <c r="J582" s="7">
        <f>COUNTIF(Paper_Reference[Duplicate Key],Paper_Reference[[#This Row],[Duplicate Key]])</f>
        <v>1</v>
      </c>
    </row>
    <row r="583" spans="1:10">
      <c r="A583" s="7">
        <v>2</v>
      </c>
      <c r="B583" s="8" t="s">
        <v>5520</v>
      </c>
      <c r="C583" s="8" t="s">
        <v>5378</v>
      </c>
      <c r="D583" s="7">
        <v>1</v>
      </c>
      <c r="E583" s="7">
        <v>10</v>
      </c>
      <c r="F583" s="7">
        <v>1</v>
      </c>
      <c r="G583" s="8" t="s">
        <v>5373</v>
      </c>
      <c r="H583" s="8" t="s">
        <v>5374</v>
      </c>
      <c r="I583" s="7" t="str">
        <f>_xlfn.CONCAT(Paper_Reference[[#This Row],[Lvl]:[Paper Description]])</f>
        <v>2F39WW971J500GUN SAVOY WALNUT 60 X 1201101100WW971-6200GUN SAVOY WALNUT</v>
      </c>
      <c r="J583" s="7">
        <f>COUNTIF(Paper_Reference[Duplicate Key],Paper_Reference[[#This Row],[Duplicate Key]])</f>
        <v>1</v>
      </c>
    </row>
    <row r="584" spans="1:10">
      <c r="A584" s="7">
        <v>2</v>
      </c>
      <c r="B584" s="8" t="s">
        <v>5521</v>
      </c>
      <c r="C584" s="8" t="s">
        <v>5376</v>
      </c>
      <c r="D584" s="7">
        <v>1</v>
      </c>
      <c r="E584" s="7">
        <v>10</v>
      </c>
      <c r="F584" s="7">
        <v>1</v>
      </c>
      <c r="G584" s="8" t="s">
        <v>5373</v>
      </c>
      <c r="H584" s="8" t="s">
        <v>5374</v>
      </c>
      <c r="I584" s="7" t="str">
        <f>_xlfn.CONCAT(Paper_Reference[[#This Row],[Lvl]:[Paper Description]])</f>
        <v>2F39WW971J520GUN SAVOY WALNUT 60 X 1441101100WW971-6200GUN SAVOY WALNUT</v>
      </c>
      <c r="J584" s="7">
        <f>COUNTIF(Paper_Reference[Duplicate Key],Paper_Reference[[#This Row],[Duplicate Key]])</f>
        <v>1</v>
      </c>
    </row>
    <row r="585" spans="1:10">
      <c r="A585" s="7">
        <v>2</v>
      </c>
      <c r="B585" s="8" t="s">
        <v>5522</v>
      </c>
      <c r="C585" s="8" t="s">
        <v>5376</v>
      </c>
      <c r="D585" s="7">
        <v>1</v>
      </c>
      <c r="E585" s="7">
        <v>10</v>
      </c>
      <c r="F585" s="7">
        <v>1</v>
      </c>
      <c r="G585" s="8" t="s">
        <v>5373</v>
      </c>
      <c r="H585" s="8" t="s">
        <v>5374</v>
      </c>
      <c r="I585" s="7" t="str">
        <f>_xlfn.CONCAT(Paper_Reference[[#This Row],[Lvl]:[Paper Description]])</f>
        <v>2F39WW971LZ520GUN SAVOY WALNUT 60 X 1441101100WW971-6200GUN SAVOY WALNUT</v>
      </c>
      <c r="J585" s="7">
        <f>COUNTIF(Paper_Reference[Duplicate Key],Paper_Reference[[#This Row],[Duplicate Key]])</f>
        <v>1</v>
      </c>
    </row>
    <row r="586" spans="1:10">
      <c r="A586" s="7">
        <v>2</v>
      </c>
      <c r="B586" s="8" t="s">
        <v>5524</v>
      </c>
      <c r="C586" s="8" t="s">
        <v>5378</v>
      </c>
      <c r="D586" s="7">
        <v>1</v>
      </c>
      <c r="E586" s="7">
        <v>10</v>
      </c>
      <c r="F586" s="7">
        <v>1</v>
      </c>
      <c r="G586" s="8" t="s">
        <v>5373</v>
      </c>
      <c r="H586" s="8" t="s">
        <v>5374</v>
      </c>
      <c r="I586" s="7" t="str">
        <f>_xlfn.CONCAT(Paper_Reference[[#This Row],[Lvl]:[Paper Description]])</f>
        <v>2F39WW971MG500GUN SAVOY WALNUT 60 X 1201101100WW971-6200GUN SAVOY WALNUT</v>
      </c>
      <c r="J586" s="7">
        <f>COUNTIF(Paper_Reference[Duplicate Key],Paper_Reference[[#This Row],[Duplicate Key]])</f>
        <v>1</v>
      </c>
    </row>
    <row r="587" spans="1:10">
      <c r="A587" s="7">
        <v>2</v>
      </c>
      <c r="B587" s="8" t="s">
        <v>5523</v>
      </c>
      <c r="C587" s="8" t="s">
        <v>5378</v>
      </c>
      <c r="D587" s="7">
        <v>1</v>
      </c>
      <c r="E587" s="7">
        <v>10</v>
      </c>
      <c r="F587" s="7">
        <v>1</v>
      </c>
      <c r="G587" s="8" t="s">
        <v>5373</v>
      </c>
      <c r="H587" s="8" t="s">
        <v>5374</v>
      </c>
      <c r="I587" s="7" t="str">
        <f>_xlfn.CONCAT(Paper_Reference[[#This Row],[Lvl]:[Paper Description]])</f>
        <v>2F39WW971MG5001GUN SAVOY WALNUT 60 X 1201101100WW971-6200GUN SAVOY WALNUT</v>
      </c>
      <c r="J587" s="7">
        <f>COUNTIF(Paper_Reference[Duplicate Key],Paper_Reference[[#This Row],[Duplicate Key]])</f>
        <v>1</v>
      </c>
    </row>
    <row r="588" spans="1:10">
      <c r="A588" s="7">
        <v>2</v>
      </c>
      <c r="B588" s="8" t="s">
        <v>5525</v>
      </c>
      <c r="C588" s="8" t="s">
        <v>5376</v>
      </c>
      <c r="D588" s="7">
        <v>1</v>
      </c>
      <c r="E588" s="7">
        <v>10</v>
      </c>
      <c r="F588" s="7">
        <v>1</v>
      </c>
      <c r="G588" s="8" t="s">
        <v>5373</v>
      </c>
      <c r="H588" s="8" t="s">
        <v>5374</v>
      </c>
      <c r="I588" s="7" t="str">
        <f>_xlfn.CONCAT(Paper_Reference[[#This Row],[Lvl]:[Paper Description]])</f>
        <v>2F39WW971MG520GUN SAVOY WALNUT 60 X 1441101100WW971-6200GUN SAVOY WALNUT</v>
      </c>
      <c r="J588" s="7">
        <f>COUNTIF(Paper_Reference[Duplicate Key],Paper_Reference[[#This Row],[Duplicate Key]])</f>
        <v>1</v>
      </c>
    </row>
    <row r="589" spans="1:10">
      <c r="A589" s="7">
        <v>2</v>
      </c>
      <c r="B589" s="8" t="s">
        <v>5526</v>
      </c>
      <c r="C589" s="8" t="s">
        <v>5379</v>
      </c>
      <c r="D589" s="7">
        <v>1</v>
      </c>
      <c r="E589" s="7">
        <v>10</v>
      </c>
      <c r="F589" s="7">
        <v>0.5</v>
      </c>
      <c r="G589" s="8" t="s">
        <v>5373</v>
      </c>
      <c r="H589" s="8" t="s">
        <v>5374</v>
      </c>
      <c r="I589" s="7" t="str">
        <f>_xlfn.CONCAT(Paper_Reference[[#This Row],[Lvl]:[Paper Description]])</f>
        <v>2F39WW971N000GUN SAVOY WALNUT 30 X 1201100.5100WW971-6200GUN SAVOY WALNUT</v>
      </c>
      <c r="J589" s="7">
        <f>COUNTIF(Paper_Reference[Duplicate Key],Paper_Reference[[#This Row],[Duplicate Key]])</f>
        <v>1</v>
      </c>
    </row>
    <row r="590" spans="1:10">
      <c r="A590" s="7">
        <v>2</v>
      </c>
      <c r="B590" s="8" t="s">
        <v>5527</v>
      </c>
      <c r="C590" s="8" t="s">
        <v>5382</v>
      </c>
      <c r="D590" s="7">
        <v>1</v>
      </c>
      <c r="E590" s="7">
        <v>10</v>
      </c>
      <c r="F590" s="7">
        <v>0.5</v>
      </c>
      <c r="G590" s="8" t="s">
        <v>5373</v>
      </c>
      <c r="H590" s="8" t="s">
        <v>5374</v>
      </c>
      <c r="I590" s="7" t="str">
        <f>_xlfn.CONCAT(Paper_Reference[[#This Row],[Lvl]:[Paper Description]])</f>
        <v>2F39WW971N080GUN SAVOY WALNUT 30 X 961100.5100WW971-6200GUN SAVOY WALNUT</v>
      </c>
      <c r="J590" s="7">
        <f>COUNTIF(Paper_Reference[Duplicate Key],Paper_Reference[[#This Row],[Duplicate Key]])</f>
        <v>1</v>
      </c>
    </row>
    <row r="591" spans="1:10">
      <c r="A591" s="7">
        <v>2</v>
      </c>
      <c r="B591" s="8" t="s">
        <v>5529</v>
      </c>
      <c r="C591" s="8" t="s">
        <v>5378</v>
      </c>
      <c r="D591" s="7">
        <v>1</v>
      </c>
      <c r="E591" s="7">
        <v>10</v>
      </c>
      <c r="F591" s="7">
        <v>1</v>
      </c>
      <c r="G591" s="8" t="s">
        <v>5373</v>
      </c>
      <c r="H591" s="8" t="s">
        <v>5374</v>
      </c>
      <c r="I591" s="7" t="str">
        <f>_xlfn.CONCAT(Paper_Reference[[#This Row],[Lvl]:[Paper Description]])</f>
        <v>2F39WW971N500GUN SAVOY WALNUT 60 X 1201101100WW971-6200GUN SAVOY WALNUT</v>
      </c>
      <c r="J591" s="7">
        <f>COUNTIF(Paper_Reference[Duplicate Key],Paper_Reference[[#This Row],[Duplicate Key]])</f>
        <v>1</v>
      </c>
    </row>
    <row r="592" spans="1:10">
      <c r="A592" s="7">
        <v>2</v>
      </c>
      <c r="B592" s="8" t="s">
        <v>5528</v>
      </c>
      <c r="C592" s="8" t="s">
        <v>5378</v>
      </c>
      <c r="D592" s="7">
        <v>1</v>
      </c>
      <c r="E592" s="7">
        <v>10</v>
      </c>
      <c r="F592" s="7">
        <v>1</v>
      </c>
      <c r="G592" s="8" t="s">
        <v>5373</v>
      </c>
      <c r="H592" s="8" t="s">
        <v>5374</v>
      </c>
      <c r="I592" s="7" t="str">
        <f>_xlfn.CONCAT(Paper_Reference[[#This Row],[Lvl]:[Paper Description]])</f>
        <v>2F39WW971N5001GUN SAVOY WALNUT 60 X 1201101100WW971-6200GUN SAVOY WALNUT</v>
      </c>
      <c r="J592" s="7">
        <f>COUNTIF(Paper_Reference[Duplicate Key],Paper_Reference[[#This Row],[Duplicate Key]])</f>
        <v>1</v>
      </c>
    </row>
    <row r="593" spans="1:10">
      <c r="A593" s="7">
        <v>2</v>
      </c>
      <c r="B593" s="8" t="s">
        <v>5530</v>
      </c>
      <c r="C593" s="8" t="s">
        <v>5376</v>
      </c>
      <c r="D593" s="7">
        <v>1</v>
      </c>
      <c r="E593" s="7">
        <v>10</v>
      </c>
      <c r="F593" s="7">
        <v>1</v>
      </c>
      <c r="G593" s="8" t="s">
        <v>5373</v>
      </c>
      <c r="H593" s="8" t="s">
        <v>5374</v>
      </c>
      <c r="I593" s="7" t="str">
        <f>_xlfn.CONCAT(Paper_Reference[[#This Row],[Lvl]:[Paper Description]])</f>
        <v>2F39WW971N520GUN SAVOY WALNUT 60 X 1441101100WW971-6200GUN SAVOY WALNUT</v>
      </c>
      <c r="J593" s="7">
        <f>COUNTIF(Paper_Reference[Duplicate Key],Paper_Reference[[#This Row],[Duplicate Key]])</f>
        <v>1</v>
      </c>
    </row>
    <row r="594" spans="1:10">
      <c r="A594" s="7">
        <v>2</v>
      </c>
      <c r="B594" s="8" t="s">
        <v>5532</v>
      </c>
      <c r="C594" s="8" t="s">
        <v>5377</v>
      </c>
      <c r="D594" s="7">
        <v>1</v>
      </c>
      <c r="E594" s="7">
        <v>10</v>
      </c>
      <c r="F594" s="7">
        <v>1</v>
      </c>
      <c r="G594" s="8" t="s">
        <v>5373</v>
      </c>
      <c r="H594" s="8" t="s">
        <v>5374</v>
      </c>
      <c r="I594" s="7" t="str">
        <f>_xlfn.CONCAT(Paper_Reference[[#This Row],[Lvl]:[Paper Description]])</f>
        <v>2F39WW971N580GUN SAVOY WALNUT 60 X 961101100WW971-6200GUN SAVOY WALNUT</v>
      </c>
      <c r="J594" s="7">
        <f>COUNTIF(Paper_Reference[Duplicate Key],Paper_Reference[[#This Row],[Duplicate Key]])</f>
        <v>1</v>
      </c>
    </row>
    <row r="595" spans="1:10">
      <c r="A595" s="7">
        <v>2</v>
      </c>
      <c r="B595" s="8" t="s">
        <v>5531</v>
      </c>
      <c r="C595" s="8" t="s">
        <v>5377</v>
      </c>
      <c r="D595" s="7">
        <v>1</v>
      </c>
      <c r="E595" s="7">
        <v>10</v>
      </c>
      <c r="F595" s="7">
        <v>1</v>
      </c>
      <c r="G595" s="8" t="s">
        <v>5373</v>
      </c>
      <c r="H595" s="8" t="s">
        <v>5374</v>
      </c>
      <c r="I595" s="7" t="str">
        <f>_xlfn.CONCAT(Paper_Reference[[#This Row],[Lvl]:[Paper Description]])</f>
        <v>2F39WW971N5803GUN SAVOY WALNUT 60 X 961101100WW971-6200GUN SAVOY WALNUT</v>
      </c>
      <c r="J595" s="7">
        <f>COUNTIF(Paper_Reference[Duplicate Key],Paper_Reference[[#This Row],[Duplicate Key]])</f>
        <v>1</v>
      </c>
    </row>
    <row r="596" spans="1:10">
      <c r="A596" s="7">
        <v>2</v>
      </c>
      <c r="B596" s="8" t="s">
        <v>5533</v>
      </c>
      <c r="C596" s="8" t="s">
        <v>5379</v>
      </c>
      <c r="D596" s="7">
        <v>1</v>
      </c>
      <c r="E596" s="7">
        <v>10</v>
      </c>
      <c r="F596" s="7">
        <v>0.5</v>
      </c>
      <c r="G596" s="8" t="s">
        <v>5373</v>
      </c>
      <c r="H596" s="8" t="s">
        <v>5374</v>
      </c>
      <c r="I596" s="7" t="str">
        <f>_xlfn.CONCAT(Paper_Reference[[#This Row],[Lvl]:[Paper Description]])</f>
        <v>2F39WW971SD000GUN SAVOY WALNUT 30 X 1201100.5100WW971-6200GUN SAVOY WALNUT</v>
      </c>
      <c r="J596" s="7">
        <f>COUNTIF(Paper_Reference[Duplicate Key],Paper_Reference[[#This Row],[Duplicate Key]])</f>
        <v>1</v>
      </c>
    </row>
    <row r="597" spans="1:10">
      <c r="A597" s="7">
        <v>2</v>
      </c>
      <c r="B597" s="8" t="s">
        <v>5534</v>
      </c>
      <c r="C597" s="8" t="s">
        <v>5382</v>
      </c>
      <c r="D597" s="7">
        <v>1</v>
      </c>
      <c r="E597" s="7">
        <v>10</v>
      </c>
      <c r="F597" s="7">
        <v>0.5</v>
      </c>
      <c r="G597" s="8" t="s">
        <v>5373</v>
      </c>
      <c r="H597" s="8" t="s">
        <v>5374</v>
      </c>
      <c r="I597" s="7" t="str">
        <f>_xlfn.CONCAT(Paper_Reference[[#This Row],[Lvl]:[Paper Description]])</f>
        <v>2F39WW971SD080GUN SAVOY WALNUT 30 X 961100.5100WW971-6200GUN SAVOY WALNUT</v>
      </c>
      <c r="J597" s="7">
        <f>COUNTIF(Paper_Reference[Duplicate Key],Paper_Reference[[#This Row],[Duplicate Key]])</f>
        <v>1</v>
      </c>
    </row>
    <row r="598" spans="1:10">
      <c r="A598" s="7">
        <v>2</v>
      </c>
      <c r="B598" s="8" t="s">
        <v>5536</v>
      </c>
      <c r="C598" s="8" t="s">
        <v>5378</v>
      </c>
      <c r="D598" s="7">
        <v>1</v>
      </c>
      <c r="E598" s="7">
        <v>10</v>
      </c>
      <c r="F598" s="7">
        <v>1</v>
      </c>
      <c r="G598" s="8" t="s">
        <v>5373</v>
      </c>
      <c r="H598" s="8" t="s">
        <v>5374</v>
      </c>
      <c r="I598" s="7" t="str">
        <f>_xlfn.CONCAT(Paper_Reference[[#This Row],[Lvl]:[Paper Description]])</f>
        <v>2F39WW971SD500GUN SAVOY WALNUT 60 X 1201101100WW971-6200GUN SAVOY WALNUT</v>
      </c>
      <c r="J598" s="7">
        <f>COUNTIF(Paper_Reference[Duplicate Key],Paper_Reference[[#This Row],[Duplicate Key]])</f>
        <v>1</v>
      </c>
    </row>
    <row r="599" spans="1:10">
      <c r="A599" s="7">
        <v>2</v>
      </c>
      <c r="B599" s="8" t="s">
        <v>5535</v>
      </c>
      <c r="C599" s="8" t="s">
        <v>5378</v>
      </c>
      <c r="D599" s="7">
        <v>1</v>
      </c>
      <c r="E599" s="7">
        <v>10</v>
      </c>
      <c r="F599" s="7">
        <v>1</v>
      </c>
      <c r="G599" s="8" t="s">
        <v>5373</v>
      </c>
      <c r="H599" s="8" t="s">
        <v>5374</v>
      </c>
      <c r="I599" s="7" t="str">
        <f>_xlfn.CONCAT(Paper_Reference[[#This Row],[Lvl]:[Paper Description]])</f>
        <v>2F39WW971SD5001GUN SAVOY WALNUT 60 X 1201101100WW971-6200GUN SAVOY WALNUT</v>
      </c>
      <c r="J599" s="7">
        <f>COUNTIF(Paper_Reference[Duplicate Key],Paper_Reference[[#This Row],[Duplicate Key]])</f>
        <v>1</v>
      </c>
    </row>
    <row r="600" spans="1:10">
      <c r="A600" s="7">
        <v>2</v>
      </c>
      <c r="B600" s="8" t="s">
        <v>5537</v>
      </c>
      <c r="C600" s="8" t="s">
        <v>5376</v>
      </c>
      <c r="D600" s="7">
        <v>1</v>
      </c>
      <c r="E600" s="7">
        <v>10</v>
      </c>
      <c r="F600" s="7">
        <v>1</v>
      </c>
      <c r="G600" s="8" t="s">
        <v>5373</v>
      </c>
      <c r="H600" s="8" t="s">
        <v>5374</v>
      </c>
      <c r="I600" s="7" t="str">
        <f>_xlfn.CONCAT(Paper_Reference[[#This Row],[Lvl]:[Paper Description]])</f>
        <v>2F39WW971SD520GUN SAVOY WALNUT 60 X 1441101100WW971-6200GUN SAVOY WALNUT</v>
      </c>
      <c r="J600" s="7">
        <f>COUNTIF(Paper_Reference[Duplicate Key],Paper_Reference[[#This Row],[Duplicate Key]])</f>
        <v>1</v>
      </c>
    </row>
    <row r="601" spans="1:10">
      <c r="A601" s="7">
        <v>2</v>
      </c>
      <c r="B601" s="8" t="s">
        <v>5539</v>
      </c>
      <c r="C601" s="8" t="s">
        <v>5377</v>
      </c>
      <c r="D601" s="7">
        <v>1</v>
      </c>
      <c r="E601" s="7">
        <v>10</v>
      </c>
      <c r="F601" s="7">
        <v>1</v>
      </c>
      <c r="G601" s="8" t="s">
        <v>5373</v>
      </c>
      <c r="H601" s="8" t="s">
        <v>5374</v>
      </c>
      <c r="I601" s="7" t="str">
        <f>_xlfn.CONCAT(Paper_Reference[[#This Row],[Lvl]:[Paper Description]])</f>
        <v>2F39WW971SD580GUN SAVOY WALNUT 60 X 961101100WW971-6200GUN SAVOY WALNUT</v>
      </c>
      <c r="J601" s="7">
        <f>COUNTIF(Paper_Reference[Duplicate Key],Paper_Reference[[#This Row],[Duplicate Key]])</f>
        <v>1</v>
      </c>
    </row>
    <row r="602" spans="1:10">
      <c r="A602" s="7">
        <v>2</v>
      </c>
      <c r="B602" s="8" t="s">
        <v>5538</v>
      </c>
      <c r="C602" s="8" t="s">
        <v>5377</v>
      </c>
      <c r="D602" s="7">
        <v>1</v>
      </c>
      <c r="E602" s="7">
        <v>10</v>
      </c>
      <c r="F602" s="7">
        <v>1</v>
      </c>
      <c r="G602" s="8" t="s">
        <v>5373</v>
      </c>
      <c r="H602" s="8" t="s">
        <v>5374</v>
      </c>
      <c r="I602" s="7" t="str">
        <f>_xlfn.CONCAT(Paper_Reference[[#This Row],[Lvl]:[Paper Description]])</f>
        <v>2F39WW971SD5803GUN SAVOY WALNUT 60 X 961101100WW971-6200GUN SAVOY WALNUT</v>
      </c>
      <c r="J602" s="7">
        <f>COUNTIF(Paper_Reference[Duplicate Key],Paper_Reference[[#This Row],[Duplicate Key]])</f>
        <v>1</v>
      </c>
    </row>
    <row r="603" spans="1:10">
      <c r="A603" s="7">
        <v>2</v>
      </c>
      <c r="B603" s="8" t="s">
        <v>5540</v>
      </c>
      <c r="C603" s="8" t="s">
        <v>5376</v>
      </c>
      <c r="D603" s="7">
        <v>1</v>
      </c>
      <c r="E603" s="7">
        <v>10</v>
      </c>
      <c r="F603" s="7">
        <v>1</v>
      </c>
      <c r="G603" s="8" t="s">
        <v>5373</v>
      </c>
      <c r="H603" s="8" t="s">
        <v>5374</v>
      </c>
      <c r="I603" s="7" t="str">
        <f>_xlfn.CONCAT(Paper_Reference[[#This Row],[Lvl]:[Paper Description]])</f>
        <v>2F39WW971VE520GUN SAVOY WALNUT 60 X 1441101100WW971-6200GUN SAVOY WALNUT</v>
      </c>
      <c r="J603" s="7">
        <f>COUNTIF(Paper_Reference[Duplicate Key],Paper_Reference[[#This Row],[Duplicate Key]])</f>
        <v>1</v>
      </c>
    </row>
    <row r="604" spans="1:10">
      <c r="A604" s="7">
        <v>2</v>
      </c>
      <c r="B604" s="8" t="s">
        <v>5541</v>
      </c>
      <c r="C604" s="8" t="s">
        <v>5376</v>
      </c>
      <c r="D604" s="7">
        <v>1</v>
      </c>
      <c r="E604" s="7">
        <v>10</v>
      </c>
      <c r="F604" s="7">
        <v>1</v>
      </c>
      <c r="G604" s="8" t="s">
        <v>5373</v>
      </c>
      <c r="H604" s="8" t="s">
        <v>5374</v>
      </c>
      <c r="I604" s="7" t="str">
        <f>_xlfn.CONCAT(Paper_Reference[[#This Row],[Lvl]:[Paper Description]])</f>
        <v>2F39WW971WE520GUN SAVOY WALNUT 60 X 1441101100WW971-6200GUN SAVOY WALNUT</v>
      </c>
      <c r="J604" s="7">
        <f>COUNTIF(Paper_Reference[Duplicate Key],Paper_Reference[[#This Row],[Duplicate Key]])</f>
        <v>1</v>
      </c>
    </row>
    <row r="605" spans="1:10">
      <c r="A605" s="7">
        <v>2</v>
      </c>
      <c r="B605" s="8" t="s">
        <v>5542</v>
      </c>
      <c r="C605" s="8" t="s">
        <v>5376</v>
      </c>
      <c r="D605" s="7">
        <v>1</v>
      </c>
      <c r="E605" s="7">
        <v>10</v>
      </c>
      <c r="F605" s="7">
        <v>1</v>
      </c>
      <c r="G605" s="8" t="s">
        <v>5373</v>
      </c>
      <c r="H605" s="8" t="s">
        <v>5374</v>
      </c>
      <c r="I605" s="7" t="str">
        <f>_xlfn.CONCAT(Paper_Reference[[#This Row],[Lvl]:[Paper Description]])</f>
        <v>2F39WW971Z520GUN SAVOY WALNUT 60 X 1441101100WW971-6200GUN SAVOY WALNUT</v>
      </c>
      <c r="J605" s="7">
        <f>COUNTIF(Paper_Reference[Duplicate Key],Paper_Reference[[#This Row],[Duplicate Key]])</f>
        <v>1</v>
      </c>
    </row>
    <row r="606" spans="1:10">
      <c r="A606" s="7">
        <v>2</v>
      </c>
      <c r="B606" s="8" t="s">
        <v>9583</v>
      </c>
      <c r="C606" s="8" t="s">
        <v>9343</v>
      </c>
      <c r="D606" s="7">
        <v>1</v>
      </c>
      <c r="E606" s="7">
        <v>10</v>
      </c>
      <c r="F606" s="7">
        <v>1</v>
      </c>
      <c r="G606" s="8" t="s">
        <v>9143</v>
      </c>
      <c r="H606" s="8" t="s">
        <v>9144</v>
      </c>
      <c r="I606" s="30" t="str">
        <f>_xlfn.CONCAT(Paper_Reference[[#This Row],[Lvl]:[Paper Description]])</f>
        <v>2FI3PFA40N580SING CHICAGO BLUES H/W 60 X 961101100PFA39-6200SINGING THE CHICAGO BLUES</v>
      </c>
      <c r="J606" s="30">
        <f>COUNTIF(Paper_Reference[Duplicate Key],Paper_Reference[[#This Row],[Duplicate Key]])</f>
        <v>1</v>
      </c>
    </row>
    <row r="607" spans="1:10">
      <c r="A607" s="7">
        <v>2</v>
      </c>
      <c r="B607" s="8" t="s">
        <v>8489</v>
      </c>
      <c r="C607" s="8" t="s">
        <v>8329</v>
      </c>
      <c r="D607" s="7">
        <v>1</v>
      </c>
      <c r="E607" s="7">
        <v>10</v>
      </c>
      <c r="F607" s="7">
        <v>1</v>
      </c>
      <c r="G607" s="8" t="s">
        <v>8302</v>
      </c>
      <c r="H607" s="8" t="s">
        <v>8303</v>
      </c>
      <c r="I607" s="7" t="str">
        <f>_xlfn.CONCAT(Paper_Reference[[#This Row],[Lvl]:[Paper Description]])</f>
        <v>2FI4PW013N520ICE WHITE H/W 60 X 1441101100SW813-6200ICE WHITE</v>
      </c>
      <c r="J607" s="7">
        <f>COUNTIF(Paper_Reference[Duplicate Key],Paper_Reference[[#This Row],[Duplicate Key]])</f>
        <v>1</v>
      </c>
    </row>
    <row r="608" spans="1:10">
      <c r="A608" s="7">
        <v>2</v>
      </c>
      <c r="B608" s="8" t="s">
        <v>3162</v>
      </c>
      <c r="C608" s="8" t="s">
        <v>3097</v>
      </c>
      <c r="D608" s="7">
        <v>1</v>
      </c>
      <c r="E608" s="7">
        <v>10</v>
      </c>
      <c r="F608" s="7">
        <v>0.5</v>
      </c>
      <c r="G608" s="8" t="s">
        <v>3115</v>
      </c>
      <c r="H608" s="8" t="s">
        <v>3090</v>
      </c>
      <c r="I608" s="7" t="str">
        <f>_xlfn.CONCAT(Paper_Reference[[#This Row],[Lvl]:[Paper Description]])</f>
        <v>2FI4WF132N020VANA H/W 30 X 1441100.5100WF131-6200VANA</v>
      </c>
      <c r="J608" s="7">
        <f>COUNTIF(Paper_Reference[Duplicate Key],Paper_Reference[[#This Row],[Duplicate Key]])</f>
        <v>1</v>
      </c>
    </row>
    <row r="609" spans="1:10">
      <c r="A609" s="7">
        <v>2</v>
      </c>
      <c r="B609" s="8" t="s">
        <v>3163</v>
      </c>
      <c r="C609" s="8" t="s">
        <v>3086</v>
      </c>
      <c r="D609" s="7">
        <v>1</v>
      </c>
      <c r="E609" s="7">
        <v>10</v>
      </c>
      <c r="F609" s="7">
        <v>1</v>
      </c>
      <c r="G609" s="8" t="s">
        <v>3115</v>
      </c>
      <c r="H609" s="8" t="s">
        <v>3090</v>
      </c>
      <c r="I609" s="7" t="str">
        <f>_xlfn.CONCAT(Paper_Reference[[#This Row],[Lvl]:[Paper Description]])</f>
        <v>2G01WF131SD520VANA 60 X 1441101100WF131-6200VANA</v>
      </c>
      <c r="J609" s="7">
        <f>COUNTIF(Paper_Reference[Duplicate Key],Paper_Reference[[#This Row],[Duplicate Key]])</f>
        <v>1</v>
      </c>
    </row>
    <row r="610" spans="1:10">
      <c r="A610" s="7">
        <v>2</v>
      </c>
      <c r="B610" s="8" t="s">
        <v>4784</v>
      </c>
      <c r="C610" s="8" t="s">
        <v>4379</v>
      </c>
      <c r="D610" s="7">
        <v>1</v>
      </c>
      <c r="E610" s="7">
        <v>10</v>
      </c>
      <c r="F610" s="7">
        <v>1</v>
      </c>
      <c r="G610" s="8" t="s">
        <v>4371</v>
      </c>
      <c r="H610" s="8" t="s">
        <v>4372</v>
      </c>
      <c r="I610" s="7" t="str">
        <f>_xlfn.CONCAT(Paper_Reference[[#This Row],[Lvl]:[Paper Description]])</f>
        <v>2G02SE101N520BLACK 60 X 1441101100DS064-6200BLACK</v>
      </c>
      <c r="J610" s="7">
        <f>COUNTIF(Paper_Reference[Duplicate Key],Paper_Reference[[#This Row],[Duplicate Key]])</f>
        <v>1</v>
      </c>
    </row>
    <row r="611" spans="1:10">
      <c r="A611" s="7">
        <v>2</v>
      </c>
      <c r="B611" s="8" t="s">
        <v>4785</v>
      </c>
      <c r="C611" s="8" t="s">
        <v>4418</v>
      </c>
      <c r="D611" s="7">
        <v>1</v>
      </c>
      <c r="E611" s="7">
        <v>10</v>
      </c>
      <c r="F611" s="7">
        <v>1</v>
      </c>
      <c r="G611" s="8" t="s">
        <v>4371</v>
      </c>
      <c r="H611" s="8" t="s">
        <v>4372</v>
      </c>
      <c r="I611" s="7" t="str">
        <f>_xlfn.CONCAT(Paper_Reference[[#This Row],[Lvl]:[Paper Description]])</f>
        <v>2G02SE101SDCMQBLACK 61 X 1091101100DS064-6200BLACK</v>
      </c>
      <c r="J611" s="7">
        <f>COUNTIF(Paper_Reference[Duplicate Key],Paper_Reference[[#This Row],[Duplicate Key]])</f>
        <v>1</v>
      </c>
    </row>
    <row r="612" spans="1:10">
      <c r="A612" s="7">
        <v>2</v>
      </c>
      <c r="B612" s="8" t="s">
        <v>1135</v>
      </c>
      <c r="C612" s="8" t="s">
        <v>1118</v>
      </c>
      <c r="D612" s="7">
        <v>1</v>
      </c>
      <c r="E612" s="7">
        <v>10</v>
      </c>
      <c r="F612" s="7">
        <v>1</v>
      </c>
      <c r="G612" s="8" t="s">
        <v>976</v>
      </c>
      <c r="H612" s="8" t="s">
        <v>984</v>
      </c>
      <c r="I612" s="7" t="str">
        <f>_xlfn.CONCAT(Paper_Reference[[#This Row],[Lvl]:[Paper Description]])</f>
        <v>2G06KC331PRAEMURREY PC1 COM 42 1/2X145 1/41101100WM331-4300MURREY LANE (CENTER)</v>
      </c>
      <c r="J612" s="7">
        <f>COUNTIF(Paper_Reference[Duplicate Key],Paper_Reference[[#This Row],[Duplicate Key]])</f>
        <v>1</v>
      </c>
    </row>
    <row r="613" spans="1:10">
      <c r="A613" s="7">
        <v>2</v>
      </c>
      <c r="B613" s="8" t="s">
        <v>1136</v>
      </c>
      <c r="C613" s="8" t="s">
        <v>1119</v>
      </c>
      <c r="D613" s="7">
        <v>1</v>
      </c>
      <c r="E613" s="7">
        <v>10</v>
      </c>
      <c r="F613" s="7">
        <v>1</v>
      </c>
      <c r="G613" s="8" t="s">
        <v>976</v>
      </c>
      <c r="H613" s="8" t="s">
        <v>984</v>
      </c>
      <c r="I613" s="7" t="str">
        <f>_xlfn.CONCAT(Paper_Reference[[#This Row],[Lvl]:[Paper Description]])</f>
        <v>2G06KC332PRAEMUR PC1 BOOM COM 42.5X145.251101100WM331-4300MURREY LANE (CENTER)</v>
      </c>
      <c r="J613" s="7">
        <f>COUNTIF(Paper_Reference[Duplicate Key],Paper_Reference[[#This Row],[Duplicate Key]])</f>
        <v>1</v>
      </c>
    </row>
    <row r="614" spans="1:10">
      <c r="A614" s="7">
        <v>2</v>
      </c>
      <c r="B614" s="8" t="s">
        <v>615</v>
      </c>
      <c r="C614" s="8" t="s">
        <v>382</v>
      </c>
      <c r="D614" s="7">
        <v>1</v>
      </c>
      <c r="E614" s="7">
        <v>10</v>
      </c>
      <c r="F614" s="7">
        <v>1</v>
      </c>
      <c r="G614" s="8" t="s">
        <v>219</v>
      </c>
      <c r="H614" s="8" t="s">
        <v>427</v>
      </c>
      <c r="I614" s="7" t="str">
        <f>_xlfn.CONCAT(Paper_Reference[[#This Row],[Lvl]:[Paper Description]])</f>
        <v>2G14WM321PRXBIQ BALANCE PANEL 44 X 971101100WM321-4300IQ MAPLE LANE RH</v>
      </c>
      <c r="J614" s="7">
        <f>COUNTIF(Paper_Reference[Duplicate Key],Paper_Reference[[#This Row],[Duplicate Key]])</f>
        <v>1</v>
      </c>
    </row>
    <row r="615" spans="1:10">
      <c r="A615" s="7">
        <v>2</v>
      </c>
      <c r="B615" s="8" t="s">
        <v>1037</v>
      </c>
      <c r="C615" s="8" t="s">
        <v>1023</v>
      </c>
      <c r="D615" s="7">
        <v>1</v>
      </c>
      <c r="E615" s="7">
        <v>10</v>
      </c>
      <c r="F615" s="7">
        <v>1</v>
      </c>
      <c r="G615" s="8" t="s">
        <v>974</v>
      </c>
      <c r="H615" s="8" t="s">
        <v>983</v>
      </c>
      <c r="I615" s="7" t="str">
        <f>_xlfn.CONCAT(Paper_Reference[[#This Row],[Lvl]:[Paper Description]])</f>
        <v>2G17WM111PRAEGLOW MAPLE (P) 42 1/2 X 145.251101100WM111-4300RETURN MAPLE PRINT</v>
      </c>
      <c r="J615" s="7">
        <f>COUNTIF(Paper_Reference[Duplicate Key],Paper_Reference[[#This Row],[Duplicate Key]])</f>
        <v>1</v>
      </c>
    </row>
    <row r="616" spans="1:10">
      <c r="A616" s="7">
        <v>2</v>
      </c>
      <c r="B616" s="8" t="s">
        <v>1137</v>
      </c>
      <c r="C616" s="8" t="s">
        <v>1120</v>
      </c>
      <c r="D616" s="7">
        <v>1</v>
      </c>
      <c r="E616" s="7">
        <v>10</v>
      </c>
      <c r="F616" s="7">
        <v>1</v>
      </c>
      <c r="G616" s="8" t="s">
        <v>976</v>
      </c>
      <c r="H616" s="8" t="s">
        <v>984</v>
      </c>
      <c r="I616" s="7" t="str">
        <f>_xlfn.CONCAT(Paper_Reference[[#This Row],[Lvl]:[Paper Description]])</f>
        <v>2G18WM331PRXCMURRY PLUG PANEL 44 X 1451101100WM331-4300MURREY LANE (CENTER)</v>
      </c>
      <c r="J616" s="7">
        <f>COUNTIF(Paper_Reference[Duplicate Key],Paper_Reference[[#This Row],[Duplicate Key]])</f>
        <v>1</v>
      </c>
    </row>
    <row r="617" spans="1:10">
      <c r="A617" s="7">
        <v>2</v>
      </c>
      <c r="B617" s="8" t="s">
        <v>1200</v>
      </c>
      <c r="C617" s="8" t="s">
        <v>1183</v>
      </c>
      <c r="D617" s="7">
        <v>1</v>
      </c>
      <c r="E617" s="7">
        <v>10</v>
      </c>
      <c r="F617" s="7">
        <v>1</v>
      </c>
      <c r="G617" s="8" t="s">
        <v>978</v>
      </c>
      <c r="H617" s="8" t="s">
        <v>986</v>
      </c>
      <c r="I617" s="7" t="str">
        <f>_xlfn.CONCAT(Paper_Reference[[#This Row],[Lvl]:[Paper Description]])</f>
        <v>2G18WM511PRXCQ PLUG PANEL 44 X 1451101100WM511-4300OPEN MAPLE LANE (C)</v>
      </c>
      <c r="J617" s="7">
        <f>COUNTIF(Paper_Reference[Duplicate Key],Paper_Reference[[#This Row],[Duplicate Key]])</f>
        <v>1</v>
      </c>
    </row>
    <row r="618" spans="1:10">
      <c r="A618" s="7">
        <v>2</v>
      </c>
      <c r="B618" s="8" t="s">
        <v>1083</v>
      </c>
      <c r="C618" s="8" t="s">
        <v>1051</v>
      </c>
      <c r="D618" s="7">
        <v>1</v>
      </c>
      <c r="E618" s="7">
        <v>10</v>
      </c>
      <c r="F618" s="7">
        <v>0.25</v>
      </c>
      <c r="G618" s="8" t="s">
        <v>975</v>
      </c>
      <c r="H618" s="8" t="s">
        <v>983</v>
      </c>
      <c r="I618" s="7" t="str">
        <f>_xlfn.CONCAT(Paper_Reference[[#This Row],[Lvl]:[Paper Description]])</f>
        <v>2G22WM111PM25GLOW MAPLE RET 14.15 X 144.001100.25100WM111-6200RETURN MAPLE PRINT</v>
      </c>
      <c r="J618" s="7">
        <f>COUNTIF(Paper_Reference[Duplicate Key],Paper_Reference[[#This Row],[Duplicate Key]])</f>
        <v>1</v>
      </c>
    </row>
    <row r="619" spans="1:10">
      <c r="A619" s="7">
        <v>2</v>
      </c>
      <c r="B619" s="8" t="s">
        <v>1084</v>
      </c>
      <c r="C619" s="8" t="s">
        <v>1052</v>
      </c>
      <c r="D619" s="7">
        <v>1</v>
      </c>
      <c r="E619" s="7">
        <v>10</v>
      </c>
      <c r="F619" s="7">
        <v>0.33329999999999999</v>
      </c>
      <c r="G619" s="8" t="s">
        <v>975</v>
      </c>
      <c r="H619" s="8" t="s">
        <v>983</v>
      </c>
      <c r="I619" s="7" t="str">
        <f>_xlfn.CONCAT(Paper_Reference[[#This Row],[Lvl]:[Paper Description]])</f>
        <v>2G22WM111PM26GLOW MAP W RET 14.70 X 144.001100.3333100WM111-6200RETURN MAPLE PRINT</v>
      </c>
      <c r="J619" s="7">
        <f>COUNTIF(Paper_Reference[Duplicate Key],Paper_Reference[[#This Row],[Duplicate Key]])</f>
        <v>1</v>
      </c>
    </row>
    <row r="620" spans="1:10">
      <c r="A620" s="7">
        <v>2</v>
      </c>
      <c r="B620" s="8" t="s">
        <v>1085</v>
      </c>
      <c r="C620" s="8" t="s">
        <v>1053</v>
      </c>
      <c r="D620" s="7">
        <v>1</v>
      </c>
      <c r="E620" s="7">
        <v>10</v>
      </c>
      <c r="F620" s="7">
        <v>0.33329999999999999</v>
      </c>
      <c r="G620" s="8" t="s">
        <v>975</v>
      </c>
      <c r="H620" s="8" t="s">
        <v>983</v>
      </c>
      <c r="I620" s="7" t="str">
        <f>_xlfn.CONCAT(Paper_Reference[[#This Row],[Lvl]:[Paper Description]])</f>
        <v>2G22WM111PM28GLOW MAP W RET 15.25 X 144.001100.3333100WM111-6200RETURN MAPLE PRINT</v>
      </c>
      <c r="J620" s="7">
        <f>COUNTIF(Paper_Reference[Duplicate Key],Paper_Reference[[#This Row],[Duplicate Key]])</f>
        <v>1</v>
      </c>
    </row>
    <row r="621" spans="1:10">
      <c r="A621" s="7">
        <v>2</v>
      </c>
      <c r="B621" s="8" t="s">
        <v>1038</v>
      </c>
      <c r="C621" s="8" t="s">
        <v>1024</v>
      </c>
      <c r="D621" s="7">
        <v>1</v>
      </c>
      <c r="E621" s="7">
        <v>10</v>
      </c>
      <c r="F621" s="7">
        <v>1</v>
      </c>
      <c r="G621" s="8" t="s">
        <v>974</v>
      </c>
      <c r="H621" s="8" t="s">
        <v>983</v>
      </c>
      <c r="I621" s="7" t="str">
        <f>_xlfn.CONCAT(Paper_Reference[[#This Row],[Lvl]:[Paper Description]])</f>
        <v>2G22WM111PRAEGLOW MAP WALK 42 1/2 X 145.251101100WM111-4300RETURN MAPLE PRINT</v>
      </c>
      <c r="J621" s="7">
        <f>COUNTIF(Paper_Reference[Duplicate Key],Paper_Reference[[#This Row],[Duplicate Key]])</f>
        <v>1</v>
      </c>
    </row>
    <row r="622" spans="1:10">
      <c r="A622" s="7">
        <v>2</v>
      </c>
      <c r="B622" s="8" t="s">
        <v>8801</v>
      </c>
      <c r="C622" s="8" t="s">
        <v>18</v>
      </c>
      <c r="D622" s="7">
        <v>1</v>
      </c>
      <c r="E622" s="7">
        <v>10</v>
      </c>
      <c r="F622" s="7">
        <v>1</v>
      </c>
      <c r="G622" s="8" t="s">
        <v>214</v>
      </c>
      <c r="H622" s="8" t="s">
        <v>423</v>
      </c>
      <c r="I622" s="7" t="str">
        <f>_xlfn.CONCAT(Paper_Reference[[#This Row],[Lvl]:[Paper Description]])</f>
        <v>2G22WM991PM13GLOW MAPLE LANE 41.84 X 1441101100WM991-4300MAPLE LANE PRINT (W)</v>
      </c>
      <c r="J622" s="7">
        <f>COUNTIF(Paper_Reference[Duplicate Key],Paper_Reference[[#This Row],[Duplicate Key]])</f>
        <v>1</v>
      </c>
    </row>
    <row r="623" spans="1:10">
      <c r="A623" s="7">
        <v>2</v>
      </c>
      <c r="B623" s="8" t="s">
        <v>17</v>
      </c>
      <c r="C623" s="8" t="s">
        <v>18</v>
      </c>
      <c r="D623" s="7">
        <v>1</v>
      </c>
      <c r="E623" s="7">
        <v>10</v>
      </c>
      <c r="F623" s="7">
        <v>1</v>
      </c>
      <c r="G623" s="8" t="s">
        <v>214</v>
      </c>
      <c r="H623" s="8" t="s">
        <v>423</v>
      </c>
      <c r="I623" s="7" t="str">
        <f>_xlfn.CONCAT(Paper_Reference[[#This Row],[Lvl]:[Paper Description]])</f>
        <v>2G22WM991PM41GLOW MAPLE LANE 41.84 X 1441101100WM991-4300MAPLE LANE PRINT (W)</v>
      </c>
      <c r="J623" s="7">
        <f>COUNTIF(Paper_Reference[Duplicate Key],Paper_Reference[[#This Row],[Duplicate Key]])</f>
        <v>1</v>
      </c>
    </row>
    <row r="624" spans="1:10">
      <c r="A624" s="7">
        <v>2</v>
      </c>
      <c r="B624" s="8" t="s">
        <v>8795</v>
      </c>
      <c r="C624" s="8" t="s">
        <v>8762</v>
      </c>
      <c r="D624" s="7">
        <v>1</v>
      </c>
      <c r="E624" s="7">
        <v>10</v>
      </c>
      <c r="F624" s="7">
        <v>0.33329999999999999</v>
      </c>
      <c r="G624" s="8" t="s">
        <v>214</v>
      </c>
      <c r="H624" s="8" t="s">
        <v>423</v>
      </c>
      <c r="I624" s="7" t="str">
        <f>_xlfn.CONCAT(Paper_Reference[[#This Row],[Lvl]:[Paper Description]])</f>
        <v>2G22WM991PM42GLOW MAPLE SHORT 41.84X47.1251100.3333100WM991-4300MAPLE LANE PRINT (W)</v>
      </c>
      <c r="J624" s="7">
        <f>COUNTIF(Paper_Reference[Duplicate Key],Paper_Reference[[#This Row],[Duplicate Key]])</f>
        <v>1</v>
      </c>
    </row>
    <row r="625" spans="1:10">
      <c r="A625" s="7">
        <v>2</v>
      </c>
      <c r="B625" s="8" t="s">
        <v>8802</v>
      </c>
      <c r="C625" s="8" t="s">
        <v>8762</v>
      </c>
      <c r="D625" s="7">
        <v>1</v>
      </c>
      <c r="E625" s="7">
        <v>10</v>
      </c>
      <c r="F625" s="7">
        <v>0.33329999999999999</v>
      </c>
      <c r="G625" s="8" t="s">
        <v>214</v>
      </c>
      <c r="H625" s="8" t="s">
        <v>423</v>
      </c>
      <c r="I625" s="7" t="str">
        <f>_xlfn.CONCAT(Paper_Reference[[#This Row],[Lvl]:[Paper Description]])</f>
        <v>2G22WM991PM44GLOW MAPLE SHORT 41.84X47.1251100.3333100WM991-4300MAPLE LANE PRINT (W)</v>
      </c>
      <c r="J625" s="7">
        <f>COUNTIF(Paper_Reference[Duplicate Key],Paper_Reference[[#This Row],[Duplicate Key]])</f>
        <v>1</v>
      </c>
    </row>
    <row r="626" spans="1:10">
      <c r="A626" s="7">
        <v>2</v>
      </c>
      <c r="B626" s="8" t="s">
        <v>1086</v>
      </c>
      <c r="C626" s="8" t="s">
        <v>1054</v>
      </c>
      <c r="D626" s="7">
        <v>1</v>
      </c>
      <c r="E626" s="7">
        <v>10</v>
      </c>
      <c r="F626" s="7">
        <v>0.25</v>
      </c>
      <c r="G626" s="8" t="s">
        <v>975</v>
      </c>
      <c r="H626" s="8" t="s">
        <v>983</v>
      </c>
      <c r="I626" s="7" t="str">
        <f>_xlfn.CONCAT(Paper_Reference[[#This Row],[Lvl]:[Paper Description]])</f>
        <v>2G23WM111AM23PRO II TEX RET 14.15 X 144.001100.25100WM111-6200RETURN MAPLE PRINT</v>
      </c>
      <c r="J626" s="7">
        <f>COUNTIF(Paper_Reference[Duplicate Key],Paper_Reference[[#This Row],[Duplicate Key]])</f>
        <v>1</v>
      </c>
    </row>
    <row r="627" spans="1:10">
      <c r="A627" s="7">
        <v>2</v>
      </c>
      <c r="B627" s="8" t="s">
        <v>1087</v>
      </c>
      <c r="C627" s="8" t="s">
        <v>1055</v>
      </c>
      <c r="D627" s="7">
        <v>1</v>
      </c>
      <c r="E627" s="7">
        <v>10</v>
      </c>
      <c r="F627" s="7">
        <v>0.33329999999999999</v>
      </c>
      <c r="G627" s="8" t="s">
        <v>975</v>
      </c>
      <c r="H627" s="8" t="s">
        <v>983</v>
      </c>
      <c r="I627" s="7" t="str">
        <f>_xlfn.CONCAT(Paper_Reference[[#This Row],[Lvl]:[Paper Description]])</f>
        <v>2G23WM111AM24PRO II TEX W RET 15.25X144.001100.3333100WM111-6200RETURN MAPLE PRINT</v>
      </c>
      <c r="J627" s="7">
        <f>COUNTIF(Paper_Reference[Duplicate Key],Paper_Reference[[#This Row],[Duplicate Key]])</f>
        <v>1</v>
      </c>
    </row>
    <row r="628" spans="1:10">
      <c r="A628" s="7">
        <v>2</v>
      </c>
      <c r="B628" s="8" t="s">
        <v>1039</v>
      </c>
      <c r="C628" s="8" t="s">
        <v>1025</v>
      </c>
      <c r="D628" s="7">
        <v>1</v>
      </c>
      <c r="E628" s="7">
        <v>10</v>
      </c>
      <c r="F628" s="7">
        <v>1</v>
      </c>
      <c r="G628" s="8" t="s">
        <v>974</v>
      </c>
      <c r="H628" s="8" t="s">
        <v>983</v>
      </c>
      <c r="I628" s="7" t="str">
        <f>_xlfn.CONCAT(Paper_Reference[[#This Row],[Lvl]:[Paper Description]])</f>
        <v>2G23WM111ARAEPRO II TEX WALK 42 1/2X145.251101100WM111-4300RETURN MAPLE PRINT</v>
      </c>
      <c r="J628" s="7">
        <f>COUNTIF(Paper_Reference[Duplicate Key],Paper_Reference[[#This Row],[Duplicate Key]])</f>
        <v>1</v>
      </c>
    </row>
    <row r="629" spans="1:10">
      <c r="A629" s="7">
        <v>2</v>
      </c>
      <c r="B629" s="8" t="s">
        <v>1088</v>
      </c>
      <c r="C629" s="8" t="s">
        <v>1056</v>
      </c>
      <c r="D629" s="7">
        <v>1</v>
      </c>
      <c r="E629" s="7">
        <v>10</v>
      </c>
      <c r="F629" s="7">
        <v>0.25</v>
      </c>
      <c r="G629" s="8" t="s">
        <v>975</v>
      </c>
      <c r="H629" s="8" t="s">
        <v>983</v>
      </c>
      <c r="I629" s="7" t="str">
        <f>_xlfn.CONCAT(Paper_Reference[[#This Row],[Lvl]:[Paper Description]])</f>
        <v>2G23WM111PM23GLOW II MAPLE RET 14.15X144.001100.25100WM111-6200RETURN MAPLE PRINT</v>
      </c>
      <c r="J629" s="7">
        <f>COUNTIF(Paper_Reference[Duplicate Key],Paper_Reference[[#This Row],[Duplicate Key]])</f>
        <v>1</v>
      </c>
    </row>
    <row r="630" spans="1:10">
      <c r="A630" s="7">
        <v>2</v>
      </c>
      <c r="B630" s="8" t="s">
        <v>1089</v>
      </c>
      <c r="C630" s="8" t="s">
        <v>1057</v>
      </c>
      <c r="D630" s="7">
        <v>1</v>
      </c>
      <c r="E630" s="7">
        <v>10</v>
      </c>
      <c r="F630" s="7">
        <v>0.33329999999999999</v>
      </c>
      <c r="G630" s="8" t="s">
        <v>975</v>
      </c>
      <c r="H630" s="8" t="s">
        <v>983</v>
      </c>
      <c r="I630" s="7" t="str">
        <f>_xlfn.CONCAT(Paper_Reference[[#This Row],[Lvl]:[Paper Description]])</f>
        <v>2G23WM111PM24GLOW II MAP W RET 15.25X144.001100.3333100WM111-6200RETURN MAPLE PRINT</v>
      </c>
      <c r="J630" s="7">
        <f>COUNTIF(Paper_Reference[Duplicate Key],Paper_Reference[[#This Row],[Duplicate Key]])</f>
        <v>1</v>
      </c>
    </row>
    <row r="631" spans="1:10">
      <c r="A631" s="7">
        <v>2</v>
      </c>
      <c r="B631" s="8" t="s">
        <v>1040</v>
      </c>
      <c r="C631" s="8" t="s">
        <v>1026</v>
      </c>
      <c r="D631" s="7">
        <v>1</v>
      </c>
      <c r="E631" s="7">
        <v>10</v>
      </c>
      <c r="F631" s="7">
        <v>1</v>
      </c>
      <c r="G631" s="8" t="s">
        <v>974</v>
      </c>
      <c r="H631" s="8" t="s">
        <v>983</v>
      </c>
      <c r="I631" s="7" t="str">
        <f>_xlfn.CONCAT(Paper_Reference[[#This Row],[Lvl]:[Paper Description]])</f>
        <v>2G23WM111PRAEGLOW II MAP WALK 42 1/2X145.251101100WM111-4300RETURN MAPLE PRINT</v>
      </c>
      <c r="J631" s="7">
        <f>COUNTIF(Paper_Reference[Duplicate Key],Paper_Reference[[#This Row],[Duplicate Key]])</f>
        <v>1</v>
      </c>
    </row>
    <row r="632" spans="1:10">
      <c r="A632" s="7">
        <v>2</v>
      </c>
      <c r="B632" s="8" t="s">
        <v>9584</v>
      </c>
      <c r="C632" s="8" t="s">
        <v>9345</v>
      </c>
      <c r="D632" s="7">
        <v>1</v>
      </c>
      <c r="E632" s="7">
        <v>10</v>
      </c>
      <c r="F632" s="7">
        <v>1</v>
      </c>
      <c r="G632" s="8" t="s">
        <v>9143</v>
      </c>
      <c r="H632" s="8" t="s">
        <v>9144</v>
      </c>
      <c r="I632" s="30" t="str">
        <f>_xlfn.CONCAT(Paper_Reference[[#This Row],[Lvl]:[Paper Description]])</f>
        <v>2G24PFA39AM23PFA39 UV PRO NBR 14.15 X 1441101100PFA39-6200SINGING THE CHICAGO BLUES</v>
      </c>
      <c r="J632" s="30">
        <f>COUNTIF(Paper_Reference[Duplicate Key],Paper_Reference[[#This Row],[Duplicate Key]])</f>
        <v>1</v>
      </c>
    </row>
    <row r="633" spans="1:10">
      <c r="A633" s="7">
        <v>2</v>
      </c>
      <c r="B633" s="8" t="s">
        <v>9585</v>
      </c>
      <c r="C633" s="8" t="s">
        <v>9347</v>
      </c>
      <c r="D633" s="7">
        <v>1</v>
      </c>
      <c r="E633" s="7">
        <v>10</v>
      </c>
      <c r="F633" s="7">
        <v>1</v>
      </c>
      <c r="G633" s="8" t="s">
        <v>9143</v>
      </c>
      <c r="H633" s="8" t="s">
        <v>9144</v>
      </c>
      <c r="I633" s="30" t="str">
        <f>_xlfn.CONCAT(Paper_Reference[[#This Row],[Lvl]:[Paper Description]])</f>
        <v>2G24PFA39AM24PFA39 UV PRO WBR 15.25 X 1441101100PFA39-6200SINGING THE CHICAGO BLUES</v>
      </c>
      <c r="J633" s="30">
        <f>COUNTIF(Paper_Reference[Duplicate Key],Paper_Reference[[#This Row],[Duplicate Key]])</f>
        <v>1</v>
      </c>
    </row>
    <row r="634" spans="1:10">
      <c r="A634" s="7">
        <v>2</v>
      </c>
      <c r="B634" s="8" t="s">
        <v>9586</v>
      </c>
      <c r="C634" s="8" t="s">
        <v>9349</v>
      </c>
      <c r="D634" s="7">
        <v>1</v>
      </c>
      <c r="E634" s="7">
        <v>10</v>
      </c>
      <c r="F634" s="7">
        <v>2</v>
      </c>
      <c r="G634" s="8" t="s">
        <v>9143</v>
      </c>
      <c r="H634" s="8" t="s">
        <v>9144</v>
      </c>
      <c r="I634" s="30" t="str">
        <f>_xlfn.CONCAT(Paper_Reference[[#This Row],[Lvl]:[Paper Description]])</f>
        <v>2G24PFA39ARAEPFA39 UV PRO WW 42 1/2X145.251102100PFA39-6200SINGING THE CHICAGO BLUES</v>
      </c>
      <c r="J634" s="30">
        <f>COUNTIF(Paper_Reference[Duplicate Key],Paper_Reference[[#This Row],[Duplicate Key]])</f>
        <v>1</v>
      </c>
    </row>
    <row r="635" spans="1:10">
      <c r="A635" s="7">
        <v>2</v>
      </c>
      <c r="B635" s="8" t="s">
        <v>8490</v>
      </c>
      <c r="C635" s="8" t="s">
        <v>8330</v>
      </c>
      <c r="D635" s="7">
        <v>1</v>
      </c>
      <c r="E635" s="7">
        <v>10</v>
      </c>
      <c r="F635" s="7">
        <v>2</v>
      </c>
      <c r="G635" s="8" t="s">
        <v>8302</v>
      </c>
      <c r="H635" s="8" t="s">
        <v>8303</v>
      </c>
      <c r="I635" s="7" t="str">
        <f>_xlfn.CONCAT(Paper_Reference[[#This Row],[Lvl]:[Paper Description]])</f>
        <v>2G24SW813AYHLSW813 UV PRO XWW 45 X 1451102100SW813-6200ICE WHITE</v>
      </c>
      <c r="J635" s="7">
        <f>COUNTIF(Paper_Reference[Duplicate Key],Paper_Reference[[#This Row],[Duplicate Key]])</f>
        <v>1</v>
      </c>
    </row>
    <row r="636" spans="1:10">
      <c r="A636" s="7">
        <v>2</v>
      </c>
      <c r="B636" s="8" t="s">
        <v>22</v>
      </c>
      <c r="C636" s="8" t="s">
        <v>18</v>
      </c>
      <c r="D636" s="7">
        <v>1</v>
      </c>
      <c r="E636" s="7">
        <v>10</v>
      </c>
      <c r="F636" s="7">
        <v>1</v>
      </c>
      <c r="G636" s="8" t="s">
        <v>214</v>
      </c>
      <c r="H636" s="8" t="s">
        <v>423</v>
      </c>
      <c r="I636" s="7" t="str">
        <f>_xlfn.CONCAT(Paper_Reference[[#This Row],[Lvl]:[Paper Description]])</f>
        <v>2G24WM991PM41GLOW MAPLE LANE 41.84 X 1441101100WM991-4300MAPLE LANE PRINT (W)</v>
      </c>
      <c r="J636" s="7">
        <f>COUNTIF(Paper_Reference[Duplicate Key],Paper_Reference[[#This Row],[Duplicate Key]])</f>
        <v>1</v>
      </c>
    </row>
    <row r="637" spans="1:10">
      <c r="A637" s="7">
        <v>2</v>
      </c>
      <c r="B637" s="8" t="s">
        <v>8799</v>
      </c>
      <c r="C637" s="8" t="s">
        <v>8762</v>
      </c>
      <c r="D637" s="7">
        <v>1</v>
      </c>
      <c r="E637" s="7">
        <v>10</v>
      </c>
      <c r="F637" s="7">
        <v>0.33329999999999999</v>
      </c>
      <c r="G637" s="8" t="s">
        <v>214</v>
      </c>
      <c r="H637" s="8" t="s">
        <v>423</v>
      </c>
      <c r="I637" s="7" t="str">
        <f>_xlfn.CONCAT(Paper_Reference[[#This Row],[Lvl]:[Paper Description]])</f>
        <v>2G24WM991PM42GLOW MAPLE SHORT 41.84X47.1251100.3333100WM991-4300MAPLE LANE PRINT (W)</v>
      </c>
      <c r="J637" s="7">
        <f>COUNTIF(Paper_Reference[Duplicate Key],Paper_Reference[[#This Row],[Duplicate Key]])</f>
        <v>1</v>
      </c>
    </row>
    <row r="638" spans="1:10">
      <c r="A638" s="7">
        <v>2</v>
      </c>
      <c r="B638" s="8" t="s">
        <v>5543</v>
      </c>
      <c r="C638" s="8" t="s">
        <v>5387</v>
      </c>
      <c r="D638" s="7">
        <v>1</v>
      </c>
      <c r="E638" s="7">
        <v>10</v>
      </c>
      <c r="F638" s="7">
        <v>0.5</v>
      </c>
      <c r="G638" s="8" t="s">
        <v>5373</v>
      </c>
      <c r="H638" s="8" t="s">
        <v>5374</v>
      </c>
      <c r="I638" s="7" t="str">
        <f>_xlfn.CONCAT(Paper_Reference[[#This Row],[Lvl]:[Paper Description]])</f>
        <v>2G24WW974AM23WW974 CGS UV PRO NBR 14.15X1441100.5100WW971-6200GUN SAVOY WALNUT</v>
      </c>
      <c r="J638" s="7">
        <f>COUNTIF(Paper_Reference[Duplicate Key],Paper_Reference[[#This Row],[Duplicate Key]])</f>
        <v>1</v>
      </c>
    </row>
    <row r="639" spans="1:10">
      <c r="A639" s="7">
        <v>2</v>
      </c>
      <c r="B639" s="8" t="s">
        <v>5544</v>
      </c>
      <c r="C639" s="8" t="s">
        <v>5388</v>
      </c>
      <c r="D639" s="7">
        <v>1</v>
      </c>
      <c r="E639" s="7">
        <v>10</v>
      </c>
      <c r="F639" s="7">
        <v>1</v>
      </c>
      <c r="G639" s="8" t="s">
        <v>5373</v>
      </c>
      <c r="H639" s="8" t="s">
        <v>5374</v>
      </c>
      <c r="I639" s="7" t="str">
        <f>_xlfn.CONCAT(Paper_Reference[[#This Row],[Lvl]:[Paper Description]])</f>
        <v>2G24WW974ARAEWW974 CGS UV PRO WW 42 1/2X1451101100WW971-6200GUN SAVOY WALNUT</v>
      </c>
      <c r="J639" s="7">
        <f>COUNTIF(Paper_Reference[Duplicate Key],Paper_Reference[[#This Row],[Duplicate Key]])</f>
        <v>1</v>
      </c>
    </row>
    <row r="640" spans="1:10">
      <c r="A640" s="7">
        <v>2</v>
      </c>
      <c r="B640" s="8" t="s">
        <v>9587</v>
      </c>
      <c r="C640" s="8" t="s">
        <v>9349</v>
      </c>
      <c r="D640" s="7">
        <v>1</v>
      </c>
      <c r="E640" s="7">
        <v>10</v>
      </c>
      <c r="F640" s="7">
        <v>2</v>
      </c>
      <c r="G640" s="8" t="s">
        <v>9143</v>
      </c>
      <c r="H640" s="8" t="s">
        <v>9144</v>
      </c>
      <c r="I640" s="30" t="str">
        <f>_xlfn.CONCAT(Paper_Reference[[#This Row],[Lvl]:[Paper Description]])</f>
        <v>2G25PFA39ARAEPFA39 UV PRO WW 42 1/2X145.251102100PFA39-6200SINGING THE CHICAGO BLUES</v>
      </c>
      <c r="J640" s="30">
        <f>COUNTIF(Paper_Reference[Duplicate Key],Paper_Reference[[#This Row],[Duplicate Key]])</f>
        <v>1</v>
      </c>
    </row>
    <row r="641" spans="1:10">
      <c r="A641" s="7">
        <v>2</v>
      </c>
      <c r="B641" s="8" t="s">
        <v>8491</v>
      </c>
      <c r="C641" s="8" t="s">
        <v>8331</v>
      </c>
      <c r="D641" s="7">
        <v>1</v>
      </c>
      <c r="E641" s="7">
        <v>10</v>
      </c>
      <c r="F641" s="7">
        <v>2</v>
      </c>
      <c r="G641" s="8" t="s">
        <v>8302</v>
      </c>
      <c r="H641" s="8" t="s">
        <v>8303</v>
      </c>
      <c r="I641" s="7" t="str">
        <f>_xlfn.CONCAT(Paper_Reference[[#This Row],[Lvl]:[Paper Description]])</f>
        <v>2G25SW813AM51SW813 UV PRO L APPR 59.5 X 1441102100SW813-6200ICE WHITE</v>
      </c>
      <c r="J641" s="7">
        <f>COUNTIF(Paper_Reference[Duplicate Key],Paper_Reference[[#This Row],[Duplicate Key]])</f>
        <v>1</v>
      </c>
    </row>
    <row r="642" spans="1:10">
      <c r="A642" s="7">
        <v>2</v>
      </c>
      <c r="B642" s="8" t="s">
        <v>8492</v>
      </c>
      <c r="C642" s="8" t="s">
        <v>8332</v>
      </c>
      <c r="D642" s="7">
        <v>1</v>
      </c>
      <c r="E642" s="7">
        <v>10</v>
      </c>
      <c r="F642" s="7">
        <v>2</v>
      </c>
      <c r="G642" s="8" t="s">
        <v>8302</v>
      </c>
      <c r="H642" s="8" t="s">
        <v>8303</v>
      </c>
      <c r="I642" s="7" t="str">
        <f>_xlfn.CONCAT(Paper_Reference[[#This Row],[Lvl]:[Paper Description]])</f>
        <v>2G25SW813AM58SW813 UV PRO R APPR 59.5 X 1441102100SW813-6200ICE WHITE</v>
      </c>
      <c r="J642" s="7">
        <f>COUNTIF(Paper_Reference[Duplicate Key],Paper_Reference[[#This Row],[Duplicate Key]])</f>
        <v>1</v>
      </c>
    </row>
    <row r="643" spans="1:10">
      <c r="A643" s="7">
        <v>2</v>
      </c>
      <c r="B643" s="8" t="s">
        <v>480</v>
      </c>
      <c r="C643" s="8" t="s">
        <v>256</v>
      </c>
      <c r="D643" s="7">
        <v>1</v>
      </c>
      <c r="E643" s="7">
        <v>10</v>
      </c>
      <c r="F643" s="7">
        <v>1</v>
      </c>
      <c r="G643" s="8" t="s">
        <v>215</v>
      </c>
      <c r="H643" s="8" t="s">
        <v>422</v>
      </c>
      <c r="I643" s="7" t="str">
        <f>_xlfn.CONCAT(Paper_Reference[[#This Row],[Lvl]:[Paper Description]])</f>
        <v>2G25WM101AM58PRO II TEX R/A NO DOTS 59.5X141101100WM101-6200RIGHT BRUNSWICK MAPLE (W)</v>
      </c>
      <c r="J643" s="7">
        <f>COUNTIF(Paper_Reference[Duplicate Key],Paper_Reference[[#This Row],[Duplicate Key]])</f>
        <v>1</v>
      </c>
    </row>
    <row r="644" spans="1:10">
      <c r="A644" s="7">
        <v>2</v>
      </c>
      <c r="B644" s="8" t="s">
        <v>1090</v>
      </c>
      <c r="C644" s="8" t="s">
        <v>1058</v>
      </c>
      <c r="D644" s="7">
        <v>1</v>
      </c>
      <c r="E644" s="7">
        <v>10</v>
      </c>
      <c r="F644" s="7">
        <v>0.33329999999999999</v>
      </c>
      <c r="G644" s="8" t="s">
        <v>975</v>
      </c>
      <c r="H644" s="8" t="s">
        <v>983</v>
      </c>
      <c r="I644" s="7" t="str">
        <f>_xlfn.CONCAT(Paper_Reference[[#This Row],[Lvl]:[Paper Description]])</f>
        <v>2G25WM111AM08PRO II TEX EW RET  16.75X144.01100.3333100WM111-6200RETURN MAPLE PRINT</v>
      </c>
      <c r="J644" s="7">
        <f>COUNTIF(Paper_Reference[Duplicate Key],Paper_Reference[[#This Row],[Duplicate Key]])</f>
        <v>1</v>
      </c>
    </row>
    <row r="645" spans="1:10">
      <c r="A645" s="7">
        <v>2</v>
      </c>
      <c r="B645" s="8" t="s">
        <v>43</v>
      </c>
      <c r="C645" s="8" t="s">
        <v>44</v>
      </c>
      <c r="D645" s="7">
        <v>1</v>
      </c>
      <c r="E645" s="7">
        <v>10</v>
      </c>
      <c r="F645" s="7">
        <v>0.25</v>
      </c>
      <c r="G645" s="8" t="s">
        <v>975</v>
      </c>
      <c r="H645" s="8" t="s">
        <v>983</v>
      </c>
      <c r="I645" s="7" t="str">
        <f>_xlfn.CONCAT(Paper_Reference[[#This Row],[Lvl]:[Paper Description]])</f>
        <v>2G25WM111AM23PRO II TEX RET W/ #10 14.15 X1100.25100WM111-6200RETURN MAPLE PRINT</v>
      </c>
      <c r="J645" s="7">
        <f>COUNTIF(Paper_Reference[Duplicate Key],Paper_Reference[[#This Row],[Duplicate Key]])</f>
        <v>1</v>
      </c>
    </row>
    <row r="646" spans="1:10">
      <c r="A646" s="7">
        <v>2</v>
      </c>
      <c r="B646" s="8" t="s">
        <v>46</v>
      </c>
      <c r="C646" s="8" t="s">
        <v>47</v>
      </c>
      <c r="D646" s="7">
        <v>1</v>
      </c>
      <c r="E646" s="7">
        <v>10</v>
      </c>
      <c r="F646" s="7">
        <v>0.5</v>
      </c>
      <c r="G646" s="8" t="s">
        <v>974</v>
      </c>
      <c r="H646" s="8" t="s">
        <v>983</v>
      </c>
      <c r="I646" s="7" t="str">
        <f>_xlfn.CONCAT(Paper_Reference[[#This Row],[Lvl]:[Paper Description]])</f>
        <v>2G25WM111AM24PRO II TEX W RET W/ #10 15.25X1100.5100WM111-4300RETURN MAPLE PRINT</v>
      </c>
      <c r="J646" s="7">
        <f>COUNTIF(Paper_Reference[Duplicate Key],Paper_Reference[[#This Row],[Duplicate Key]])</f>
        <v>1</v>
      </c>
    </row>
    <row r="647" spans="1:10">
      <c r="A647" s="7">
        <v>2</v>
      </c>
      <c r="B647" s="8" t="s">
        <v>48</v>
      </c>
      <c r="C647" s="8" t="s">
        <v>49</v>
      </c>
      <c r="D647" s="7">
        <v>1</v>
      </c>
      <c r="E647" s="7">
        <v>10</v>
      </c>
      <c r="F647" s="7">
        <v>1</v>
      </c>
      <c r="G647" s="8" t="s">
        <v>974</v>
      </c>
      <c r="H647" s="8" t="s">
        <v>983</v>
      </c>
      <c r="I647" s="7" t="str">
        <f>_xlfn.CONCAT(Paper_Reference[[#This Row],[Lvl]:[Paper Description]])</f>
        <v>2G25WM111ARAEPRO II TEX WALK W/ #10 42 1/2X1101100WM111-4300RETURN MAPLE PRINT</v>
      </c>
      <c r="J647" s="7">
        <f>COUNTIF(Paper_Reference[Duplicate Key],Paper_Reference[[#This Row],[Duplicate Key]])</f>
        <v>1</v>
      </c>
    </row>
    <row r="648" spans="1:10">
      <c r="A648" s="7">
        <v>2</v>
      </c>
      <c r="B648" s="8" t="s">
        <v>1091</v>
      </c>
      <c r="C648" s="8" t="s">
        <v>1059</v>
      </c>
      <c r="D648" s="7">
        <v>1</v>
      </c>
      <c r="E648" s="7">
        <v>10</v>
      </c>
      <c r="F648" s="7">
        <v>1</v>
      </c>
      <c r="G648" s="8" t="s">
        <v>975</v>
      </c>
      <c r="H648" s="8" t="s">
        <v>983</v>
      </c>
      <c r="I648" s="7" t="str">
        <f>_xlfn.CONCAT(Paper_Reference[[#This Row],[Lvl]:[Paper Description]])</f>
        <v>2G25WM111AYHLWM111 UV PRO XWW 45 X 1451101100WM111-6200RETURN MAPLE PRINT</v>
      </c>
      <c r="J648" s="7">
        <f>COUNTIF(Paper_Reference[Duplicate Key],Paper_Reference[[#This Row],[Duplicate Key]])</f>
        <v>1</v>
      </c>
    </row>
    <row r="649" spans="1:10">
      <c r="A649" s="7">
        <v>2</v>
      </c>
      <c r="B649" s="8" t="s">
        <v>1092</v>
      </c>
      <c r="C649" s="8" t="s">
        <v>1056</v>
      </c>
      <c r="D649" s="7">
        <v>1</v>
      </c>
      <c r="E649" s="7">
        <v>10</v>
      </c>
      <c r="F649" s="7">
        <v>0.25</v>
      </c>
      <c r="G649" s="8" t="s">
        <v>975</v>
      </c>
      <c r="H649" s="8" t="s">
        <v>983</v>
      </c>
      <c r="I649" s="7" t="str">
        <f>_xlfn.CONCAT(Paper_Reference[[#This Row],[Lvl]:[Paper Description]])</f>
        <v>2G25WM111PM23GLOW II MAPLE RET 14.15X144.001100.25100WM111-6200RETURN MAPLE PRINT</v>
      </c>
      <c r="J649" s="7">
        <f>COUNTIF(Paper_Reference[Duplicate Key],Paper_Reference[[#This Row],[Duplicate Key]])</f>
        <v>1</v>
      </c>
    </row>
    <row r="650" spans="1:10">
      <c r="A650" s="7">
        <v>2</v>
      </c>
      <c r="B650" s="8" t="s">
        <v>491</v>
      </c>
      <c r="C650" s="8" t="s">
        <v>266</v>
      </c>
      <c r="D650" s="7">
        <v>1</v>
      </c>
      <c r="E650" s="7">
        <v>10</v>
      </c>
      <c r="F650" s="7">
        <v>1</v>
      </c>
      <c r="G650" s="8" t="s">
        <v>216</v>
      </c>
      <c r="H650" s="8" t="s">
        <v>424</v>
      </c>
      <c r="I650" s="7" t="str">
        <f>_xlfn.CONCAT(Paper_Reference[[#This Row],[Lvl]:[Paper Description]])</f>
        <v>2G25WM981AM51PRO II TEX L/A NO DOTS 59.5 X1101100WM981-6200LEFT BRUNSWICK MAPLE (W)</v>
      </c>
      <c r="J650" s="7">
        <f>COUNTIF(Paper_Reference[Duplicate Key],Paper_Reference[[#This Row],[Duplicate Key]])</f>
        <v>1</v>
      </c>
    </row>
    <row r="651" spans="1:10">
      <c r="A651" s="7">
        <v>3</v>
      </c>
      <c r="B651" s="8" t="s">
        <v>4786</v>
      </c>
      <c r="C651" s="8" t="s">
        <v>4419</v>
      </c>
      <c r="D651" s="7">
        <v>1</v>
      </c>
      <c r="E651" s="7">
        <v>55</v>
      </c>
      <c r="F651" s="7">
        <v>0.1111</v>
      </c>
      <c r="G651" s="8" t="s">
        <v>4371</v>
      </c>
      <c r="H651" s="8" t="s">
        <v>4372</v>
      </c>
      <c r="I651" s="7" t="str">
        <f>_xlfn.CONCAT(Paper_Reference[[#This Row],[Lvl]:[Paper Description]])</f>
        <v>3G37SE101CAUZ1BLACK 19 X 411550.1111100DS064-6200BLACK</v>
      </c>
      <c r="J651" s="7">
        <f>COUNTIF(Paper_Reference[Duplicate Key],Paper_Reference[[#This Row],[Duplicate Key]])</f>
        <v>1</v>
      </c>
    </row>
    <row r="652" spans="1:10">
      <c r="A652" s="7">
        <v>3</v>
      </c>
      <c r="B652" s="8" t="s">
        <v>4787</v>
      </c>
      <c r="C652" s="8" t="s">
        <v>4420</v>
      </c>
      <c r="D652" s="7">
        <v>1</v>
      </c>
      <c r="E652" s="7">
        <v>55</v>
      </c>
      <c r="F652" s="7">
        <v>0.1111</v>
      </c>
      <c r="G652" s="8" t="s">
        <v>4371</v>
      </c>
      <c r="H652" s="8" t="s">
        <v>4372</v>
      </c>
      <c r="I652" s="7" t="str">
        <f>_xlfn.CONCAT(Paper_Reference[[#This Row],[Lvl]:[Paper Description]])</f>
        <v>3G37SE101CMIIBLACK 20 X 411550.1111100DS064-6200BLACK</v>
      </c>
      <c r="J652" s="7">
        <f>COUNTIF(Paper_Reference[Duplicate Key],Paper_Reference[[#This Row],[Duplicate Key]])</f>
        <v>1</v>
      </c>
    </row>
    <row r="653" spans="1:10">
      <c r="A653" s="7">
        <v>3</v>
      </c>
      <c r="B653" s="8" t="s">
        <v>4788</v>
      </c>
      <c r="C653" s="8" t="s">
        <v>4421</v>
      </c>
      <c r="D653" s="7">
        <v>1</v>
      </c>
      <c r="E653" s="7">
        <v>55</v>
      </c>
      <c r="F653" s="7">
        <v>0.1111</v>
      </c>
      <c r="G653" s="8" t="s">
        <v>4371</v>
      </c>
      <c r="H653" s="8" t="s">
        <v>4372</v>
      </c>
      <c r="I653" s="7" t="str">
        <f>_xlfn.CONCAT(Paper_Reference[[#This Row],[Lvl]:[Paper Description]])</f>
        <v>3G37SE101CQKY1BLACK 18 7/8 X 36 5/81550.1111100DS064-6200BLACK</v>
      </c>
      <c r="J653" s="7">
        <f>COUNTIF(Paper_Reference[Duplicate Key],Paper_Reference[[#This Row],[Duplicate Key]])</f>
        <v>1</v>
      </c>
    </row>
    <row r="654" spans="1:10">
      <c r="A654" s="7">
        <v>3</v>
      </c>
      <c r="B654" s="8" t="s">
        <v>4789</v>
      </c>
      <c r="C654" s="8" t="s">
        <v>4422</v>
      </c>
      <c r="D654" s="7">
        <v>1</v>
      </c>
      <c r="E654" s="7">
        <v>55</v>
      </c>
      <c r="F654" s="7">
        <v>0.1111</v>
      </c>
      <c r="G654" s="8" t="s">
        <v>4371</v>
      </c>
      <c r="H654" s="8" t="s">
        <v>4372</v>
      </c>
      <c r="I654" s="7" t="str">
        <f>_xlfn.CONCAT(Paper_Reference[[#This Row],[Lvl]:[Paper Description]])</f>
        <v>3G37SE101CQTI1BLACK 19 X 37 5/161550.1111100DS064-6200BLACK</v>
      </c>
      <c r="J654" s="7">
        <f>COUNTIF(Paper_Reference[Duplicate Key],Paper_Reference[[#This Row],[Duplicate Key]])</f>
        <v>1</v>
      </c>
    </row>
    <row r="655" spans="1:10">
      <c r="A655" s="7">
        <v>3</v>
      </c>
      <c r="B655" s="8" t="s">
        <v>4790</v>
      </c>
      <c r="C655" s="8" t="s">
        <v>4423</v>
      </c>
      <c r="D655" s="7">
        <v>1</v>
      </c>
      <c r="E655" s="7">
        <v>55</v>
      </c>
      <c r="F655" s="7">
        <v>0.1111</v>
      </c>
      <c r="G655" s="8" t="s">
        <v>4371</v>
      </c>
      <c r="H655" s="8" t="s">
        <v>4372</v>
      </c>
      <c r="I655" s="7" t="str">
        <f>_xlfn.CONCAT(Paper_Reference[[#This Row],[Lvl]:[Paper Description]])</f>
        <v>3G37SE101CRQK1BLACK 18 X 401550.1111100DS064-6200BLACK</v>
      </c>
      <c r="J655" s="7">
        <f>COUNTIF(Paper_Reference[Duplicate Key],Paper_Reference[[#This Row],[Duplicate Key]])</f>
        <v>1</v>
      </c>
    </row>
    <row r="656" spans="1:10">
      <c r="A656" s="7">
        <v>3</v>
      </c>
      <c r="B656" s="8" t="s">
        <v>4791</v>
      </c>
      <c r="C656" s="8" t="s">
        <v>4424</v>
      </c>
      <c r="D656" s="7">
        <v>1</v>
      </c>
      <c r="E656" s="7">
        <v>55</v>
      </c>
      <c r="F656" s="7">
        <v>0.1111</v>
      </c>
      <c r="G656" s="8" t="s">
        <v>4371</v>
      </c>
      <c r="H656" s="8" t="s">
        <v>4372</v>
      </c>
      <c r="I656" s="7" t="str">
        <f>_xlfn.CONCAT(Paper_Reference[[#This Row],[Lvl]:[Paper Description]])</f>
        <v>3G37SE101CSQG1BLACK 20 X 41 1/41550.1111100DS064-6200BLACK</v>
      </c>
      <c r="J656" s="7">
        <f>COUNTIF(Paper_Reference[Duplicate Key],Paper_Reference[[#This Row],[Duplicate Key]])</f>
        <v>1</v>
      </c>
    </row>
    <row r="657" spans="1:10">
      <c r="A657" s="7">
        <v>3</v>
      </c>
      <c r="B657" s="8" t="s">
        <v>4792</v>
      </c>
      <c r="C657" s="8" t="s">
        <v>4425</v>
      </c>
      <c r="D657" s="7">
        <v>1</v>
      </c>
      <c r="E657" s="7">
        <v>55</v>
      </c>
      <c r="F657" s="7">
        <v>0.1111</v>
      </c>
      <c r="G657" s="8" t="s">
        <v>4371</v>
      </c>
      <c r="H657" s="8" t="s">
        <v>4372</v>
      </c>
      <c r="I657" s="7" t="str">
        <f>_xlfn.CONCAT(Paper_Reference[[#This Row],[Lvl]:[Paper Description]])</f>
        <v>3G37SE101CSQH1BLACK 19 5/8 X 40 1/41550.1111100DS064-6200BLACK</v>
      </c>
      <c r="J657" s="7">
        <f>COUNTIF(Paper_Reference[Duplicate Key],Paper_Reference[[#This Row],[Duplicate Key]])</f>
        <v>1</v>
      </c>
    </row>
    <row r="658" spans="1:10">
      <c r="A658" s="7">
        <v>3</v>
      </c>
      <c r="B658" s="8" t="s">
        <v>4793</v>
      </c>
      <c r="C658" s="8" t="s">
        <v>4426</v>
      </c>
      <c r="D658" s="7">
        <v>1</v>
      </c>
      <c r="E658" s="7">
        <v>55</v>
      </c>
      <c r="F658" s="7">
        <v>0.1111</v>
      </c>
      <c r="G658" s="8" t="s">
        <v>4371</v>
      </c>
      <c r="H658" s="8" t="s">
        <v>4372</v>
      </c>
      <c r="I658" s="7" t="str">
        <f>_xlfn.CONCAT(Paper_Reference[[#This Row],[Lvl]:[Paper Description]])</f>
        <v>3G37SE101CSQLBLACK 19 1/2 X 401550.1111100DS064-6200BLACK</v>
      </c>
      <c r="J658" s="7">
        <f>COUNTIF(Paper_Reference[Duplicate Key],Paper_Reference[[#This Row],[Duplicate Key]])</f>
        <v>1</v>
      </c>
    </row>
    <row r="659" spans="1:10">
      <c r="A659" s="7">
        <v>3</v>
      </c>
      <c r="B659" s="8" t="s">
        <v>4794</v>
      </c>
      <c r="C659" s="8" t="s">
        <v>4427</v>
      </c>
      <c r="D659" s="7">
        <v>1</v>
      </c>
      <c r="E659" s="7">
        <v>55</v>
      </c>
      <c r="F659" s="7">
        <v>0.1111</v>
      </c>
      <c r="G659" s="8" t="s">
        <v>4371</v>
      </c>
      <c r="H659" s="8" t="s">
        <v>4372</v>
      </c>
      <c r="I659" s="7" t="str">
        <f>_xlfn.CONCAT(Paper_Reference[[#This Row],[Lvl]:[Paper Description]])</f>
        <v>3G37SE101CSQQBLACK 19 3/8 X 40 3/81550.1111100DS064-6200BLACK</v>
      </c>
      <c r="J659" s="7">
        <f>COUNTIF(Paper_Reference[Duplicate Key],Paper_Reference[[#This Row],[Duplicate Key]])</f>
        <v>1</v>
      </c>
    </row>
    <row r="660" spans="1:10">
      <c r="A660" s="7">
        <v>3</v>
      </c>
      <c r="B660" s="8" t="s">
        <v>4795</v>
      </c>
      <c r="C660" s="8" t="s">
        <v>4428</v>
      </c>
      <c r="D660" s="7">
        <v>1</v>
      </c>
      <c r="E660" s="7">
        <v>55</v>
      </c>
      <c r="F660" s="7">
        <v>0.1111</v>
      </c>
      <c r="G660" s="8" t="s">
        <v>4371</v>
      </c>
      <c r="H660" s="8" t="s">
        <v>4372</v>
      </c>
      <c r="I660" s="7" t="str">
        <f>_xlfn.CONCAT(Paper_Reference[[#This Row],[Lvl]:[Paper Description]])</f>
        <v>3G37SE101CSQSBLACK 20 X 41 5/81550.1111100DS064-6200BLACK</v>
      </c>
      <c r="J660" s="7">
        <f>COUNTIF(Paper_Reference[Duplicate Key],Paper_Reference[[#This Row],[Duplicate Key]])</f>
        <v>1</v>
      </c>
    </row>
    <row r="661" spans="1:10">
      <c r="A661" s="7">
        <v>2</v>
      </c>
      <c r="B661" s="8" t="s">
        <v>4796</v>
      </c>
      <c r="C661" s="8" t="s">
        <v>4379</v>
      </c>
      <c r="D661" s="7">
        <v>1</v>
      </c>
      <c r="E661" s="7">
        <v>10</v>
      </c>
      <c r="F661" s="7">
        <v>1</v>
      </c>
      <c r="G661" s="8" t="s">
        <v>4371</v>
      </c>
      <c r="H661" s="8" t="s">
        <v>4372</v>
      </c>
      <c r="I661" s="7" t="str">
        <f>_xlfn.CONCAT(Paper_Reference[[#This Row],[Lvl]:[Paper Description]])</f>
        <v>2G37SE101G5201BLACK 60 X 1441101100DS064-6200BLACK</v>
      </c>
      <c r="J661" s="7">
        <f>COUNTIF(Paper_Reference[Duplicate Key],Paper_Reference[[#This Row],[Duplicate Key]])</f>
        <v>1</v>
      </c>
    </row>
    <row r="662" spans="1:10">
      <c r="A662" s="7">
        <v>2</v>
      </c>
      <c r="B662" s="8" t="s">
        <v>500</v>
      </c>
      <c r="C662" s="8" t="s">
        <v>273</v>
      </c>
      <c r="D662" s="7">
        <v>1</v>
      </c>
      <c r="E662" s="7">
        <v>10</v>
      </c>
      <c r="F662" s="7">
        <v>0.33329999999999999</v>
      </c>
      <c r="G662" s="8" t="s">
        <v>217</v>
      </c>
      <c r="H662" s="8" t="s">
        <v>3229</v>
      </c>
      <c r="I662" s="7" t="str">
        <f>_xlfn.CONCAT(Paper_Reference[[#This Row],[Lvl]:[Paper Description]])</f>
        <v>2G38WM301PM77SYN W BALL RET 14.7 X 144.001100.3333100WM301-6200IQ MAPLE LANE (C) 60 X 144</v>
      </c>
      <c r="J662" s="7">
        <f>COUNTIF(Paper_Reference[Duplicate Key],Paper_Reference[[#This Row],[Duplicate Key]])</f>
        <v>1</v>
      </c>
    </row>
    <row r="663" spans="1:10">
      <c r="A663" s="7">
        <v>2</v>
      </c>
      <c r="B663" s="8" t="s">
        <v>500</v>
      </c>
      <c r="C663" s="8" t="s">
        <v>273</v>
      </c>
      <c r="D663" s="7">
        <v>1</v>
      </c>
      <c r="E663" s="7">
        <v>10</v>
      </c>
      <c r="F663" s="7">
        <v>0.33329999999999999</v>
      </c>
      <c r="G663" s="8" t="s">
        <v>217</v>
      </c>
      <c r="H663" s="8" t="s">
        <v>425</v>
      </c>
      <c r="I663" s="7" t="str">
        <f>_xlfn.CONCAT(Paper_Reference[[#This Row],[Lvl]:[Paper Description]])</f>
        <v>2G38WM301PM77SYN W BALL RET 14.7 X 144.001100.3333100WM301-6200IQ MAPLE LANE (CENTER)</v>
      </c>
      <c r="J663" s="7">
        <f>COUNTIF(Paper_Reference[Duplicate Key],Paper_Reference[[#This Row],[Duplicate Key]])</f>
        <v>1</v>
      </c>
    </row>
    <row r="664" spans="1:10">
      <c r="A664" s="7">
        <v>2</v>
      </c>
      <c r="B664" s="8" t="s">
        <v>501</v>
      </c>
      <c r="C664" s="8" t="s">
        <v>274</v>
      </c>
      <c r="D664" s="7">
        <v>1</v>
      </c>
      <c r="E664" s="7">
        <v>10</v>
      </c>
      <c r="F664" s="7">
        <v>0.25</v>
      </c>
      <c r="G664" s="8" t="s">
        <v>217</v>
      </c>
      <c r="H664" s="8" t="s">
        <v>3229</v>
      </c>
      <c r="I664" s="7" t="str">
        <f>_xlfn.CONCAT(Paper_Reference[[#This Row],[Lvl]:[Paper Description]])</f>
        <v>2G38WM301PM81SYN BALL RET 13.868 X 1441100.25100WM301-6200IQ MAPLE LANE (C) 60 X 144</v>
      </c>
      <c r="J664" s="7">
        <f>COUNTIF(Paper_Reference[Duplicate Key],Paper_Reference[[#This Row],[Duplicate Key]])</f>
        <v>1</v>
      </c>
    </row>
    <row r="665" spans="1:10">
      <c r="A665" s="7">
        <v>2</v>
      </c>
      <c r="B665" s="8" t="s">
        <v>501</v>
      </c>
      <c r="C665" s="8" t="s">
        <v>274</v>
      </c>
      <c r="D665" s="7">
        <v>1</v>
      </c>
      <c r="E665" s="7">
        <v>10</v>
      </c>
      <c r="F665" s="7">
        <v>0.25</v>
      </c>
      <c r="G665" s="8" t="s">
        <v>217</v>
      </c>
      <c r="H665" s="8" t="s">
        <v>425</v>
      </c>
      <c r="I665" s="7" t="str">
        <f>_xlfn.CONCAT(Paper_Reference[[#This Row],[Lvl]:[Paper Description]])</f>
        <v>2G38WM301PM81SYN BALL RET 13.868 X 1441100.25100WM301-6200IQ MAPLE LANE (CENTER)</v>
      </c>
      <c r="J665" s="7">
        <f>COUNTIF(Paper_Reference[Duplicate Key],Paper_Reference[[#This Row],[Duplicate Key]])</f>
        <v>1</v>
      </c>
    </row>
    <row r="666" spans="1:10">
      <c r="A666" s="7">
        <v>2</v>
      </c>
      <c r="B666" s="8" t="s">
        <v>8976</v>
      </c>
      <c r="C666" s="8" t="s">
        <v>8922</v>
      </c>
      <c r="D666" s="7">
        <v>1</v>
      </c>
      <c r="E666" s="7">
        <v>10</v>
      </c>
      <c r="F666" s="7">
        <v>1</v>
      </c>
      <c r="G666" s="8" t="s">
        <v>218</v>
      </c>
      <c r="H666" s="8" t="s">
        <v>426</v>
      </c>
      <c r="I666" s="7" t="str">
        <f>_xlfn.CONCAT(Paper_Reference[[#This Row],[Lvl]:[Paper Description]])</f>
        <v>2G38WM311PM61SYN L COMMON 41.875 X 1441101100WM311-4300IQ MAPLE LANE LH</v>
      </c>
      <c r="J666" s="7">
        <f>COUNTIF(Paper_Reference[Duplicate Key],Paper_Reference[[#This Row],[Duplicate Key]])</f>
        <v>1</v>
      </c>
    </row>
    <row r="667" spans="1:10">
      <c r="A667" s="7">
        <v>2</v>
      </c>
      <c r="B667" s="8" t="s">
        <v>8977</v>
      </c>
      <c r="C667" s="8" t="s">
        <v>8923</v>
      </c>
      <c r="D667" s="7">
        <v>1</v>
      </c>
      <c r="E667" s="7">
        <v>10</v>
      </c>
      <c r="F667" s="7">
        <v>0.33329999999999999</v>
      </c>
      <c r="G667" s="8" t="s">
        <v>218</v>
      </c>
      <c r="H667" s="8" t="s">
        <v>426</v>
      </c>
      <c r="I667" s="7" t="str">
        <f>_xlfn.CONCAT(Paper_Reference[[#This Row],[Lvl]:[Paper Description]])</f>
        <v>2G38WM311PM80IQ L SHORT 41.875 X 47.1251100.3333100WM311-4300IQ MAPLE LANE LH</v>
      </c>
      <c r="J667" s="7">
        <f>COUNTIF(Paper_Reference[Duplicate Key],Paper_Reference[[#This Row],[Duplicate Key]])</f>
        <v>1</v>
      </c>
    </row>
    <row r="668" spans="1:10">
      <c r="A668" s="7">
        <v>2</v>
      </c>
      <c r="B668" s="8" t="s">
        <v>582</v>
      </c>
      <c r="C668" s="8" t="s">
        <v>353</v>
      </c>
      <c r="D668" s="7">
        <v>1</v>
      </c>
      <c r="E668" s="7">
        <v>10</v>
      </c>
      <c r="F668" s="7">
        <v>1</v>
      </c>
      <c r="G668" s="8" t="s">
        <v>218</v>
      </c>
      <c r="H668" s="8" t="s">
        <v>426</v>
      </c>
      <c r="I668" s="7" t="str">
        <f>_xlfn.CONCAT(Paper_Reference[[#This Row],[Lvl]:[Paper Description]])</f>
        <v>2G38WM311PSWGSYN W/WAY FILL 42 7/8X145 1/41101100WM311-4300IQ MAPLE LANE LH</v>
      </c>
      <c r="J668" s="7">
        <f>COUNTIF(Paper_Reference[Duplicate Key],Paper_Reference[[#This Row],[Duplicate Key]])</f>
        <v>1</v>
      </c>
    </row>
    <row r="669" spans="1:10">
      <c r="A669" s="7">
        <v>2</v>
      </c>
      <c r="B669" s="8" t="s">
        <v>9088</v>
      </c>
      <c r="C669" s="8" t="s">
        <v>9032</v>
      </c>
      <c r="D669" s="7">
        <v>1</v>
      </c>
      <c r="E669" s="7">
        <v>10</v>
      </c>
      <c r="F669" s="7">
        <v>1</v>
      </c>
      <c r="G669" s="8" t="s">
        <v>219</v>
      </c>
      <c r="H669" s="8" t="s">
        <v>427</v>
      </c>
      <c r="I669" s="7" t="str">
        <f>_xlfn.CONCAT(Paper_Reference[[#This Row],[Lvl]:[Paper Description]])</f>
        <v>2G38WM321PM61SYN R COMMON 41.875 X 1441101100WM321-4300IQ MAPLE LANE RH</v>
      </c>
      <c r="J669" s="7">
        <f>COUNTIF(Paper_Reference[Duplicate Key],Paper_Reference[[#This Row],[Duplicate Key]])</f>
        <v>1</v>
      </c>
    </row>
    <row r="670" spans="1:10">
      <c r="A670" s="7">
        <v>2</v>
      </c>
      <c r="B670" s="8" t="s">
        <v>9087</v>
      </c>
      <c r="C670" s="8" t="s">
        <v>9031</v>
      </c>
      <c r="D670" s="7">
        <v>1</v>
      </c>
      <c r="E670" s="7">
        <v>10</v>
      </c>
      <c r="F670" s="7">
        <v>0.33329999999999999</v>
      </c>
      <c r="G670" s="8" t="s">
        <v>219</v>
      </c>
      <c r="H670" s="8" t="s">
        <v>427</v>
      </c>
      <c r="I670" s="7" t="str">
        <f>_xlfn.CONCAT(Paper_Reference[[#This Row],[Lvl]:[Paper Description]])</f>
        <v>2G38WM321PM80IQ R SHORT 41.875 X 47.1251100.3333100WM321-4300IQ MAPLE LANE RH</v>
      </c>
      <c r="J670" s="7">
        <f>COUNTIF(Paper_Reference[Duplicate Key],Paper_Reference[[#This Row],[Duplicate Key]])</f>
        <v>1</v>
      </c>
    </row>
    <row r="671" spans="1:10">
      <c r="A671" s="7">
        <v>2</v>
      </c>
      <c r="B671" s="8" t="s">
        <v>502</v>
      </c>
      <c r="C671" s="8" t="s">
        <v>275</v>
      </c>
      <c r="D671" s="7">
        <v>1</v>
      </c>
      <c r="E671" s="7">
        <v>10</v>
      </c>
      <c r="F671" s="7">
        <v>0.33329999999999999</v>
      </c>
      <c r="G671" s="8" t="s">
        <v>217</v>
      </c>
      <c r="H671" s="8" t="s">
        <v>3229</v>
      </c>
      <c r="I671" s="7" t="str">
        <f>_xlfn.CONCAT(Paper_Reference[[#This Row],[Lvl]:[Paper Description]])</f>
        <v>2G39WM301PM77SYN UV W BALL RET 14.7 X 144.01100.3333100WM301-6200IQ MAPLE LANE (C) 60 X 144</v>
      </c>
      <c r="J671" s="7">
        <f>COUNTIF(Paper_Reference[Duplicate Key],Paper_Reference[[#This Row],[Duplicate Key]])</f>
        <v>1</v>
      </c>
    </row>
    <row r="672" spans="1:10">
      <c r="A672" s="7">
        <v>2</v>
      </c>
      <c r="B672" s="8" t="s">
        <v>502</v>
      </c>
      <c r="C672" s="8" t="s">
        <v>275</v>
      </c>
      <c r="D672" s="7">
        <v>1</v>
      </c>
      <c r="E672" s="7">
        <v>10</v>
      </c>
      <c r="F672" s="7">
        <v>0.33329999999999999</v>
      </c>
      <c r="G672" s="8" t="s">
        <v>217</v>
      </c>
      <c r="H672" s="8" t="s">
        <v>425</v>
      </c>
      <c r="I672" s="7" t="str">
        <f>_xlfn.CONCAT(Paper_Reference[[#This Row],[Lvl]:[Paper Description]])</f>
        <v>2G39WM301PM77SYN UV W BALL RET 14.7 X 144.01100.3333100WM301-6200IQ MAPLE LANE (CENTER)</v>
      </c>
      <c r="J672" s="7">
        <f>COUNTIF(Paper_Reference[Duplicate Key],Paper_Reference[[#This Row],[Duplicate Key]])</f>
        <v>1</v>
      </c>
    </row>
    <row r="673" spans="1:10">
      <c r="A673" s="7">
        <v>2</v>
      </c>
      <c r="B673" s="8" t="s">
        <v>503</v>
      </c>
      <c r="C673" s="8" t="s">
        <v>276</v>
      </c>
      <c r="D673" s="7">
        <v>1</v>
      </c>
      <c r="E673" s="7">
        <v>10</v>
      </c>
      <c r="F673" s="7">
        <v>0.25</v>
      </c>
      <c r="G673" s="8" t="s">
        <v>217</v>
      </c>
      <c r="H673" s="8" t="s">
        <v>3229</v>
      </c>
      <c r="I673" s="7" t="str">
        <f>_xlfn.CONCAT(Paper_Reference[[#This Row],[Lvl]:[Paper Description]])</f>
        <v>2G39WM301PM81SYN UV BALL RET 13.868 X 1441100.25100WM301-6200IQ MAPLE LANE (C) 60 X 144</v>
      </c>
      <c r="J673" s="7">
        <f>COUNTIF(Paper_Reference[Duplicate Key],Paper_Reference[[#This Row],[Duplicate Key]])</f>
        <v>1</v>
      </c>
    </row>
    <row r="674" spans="1:10">
      <c r="A674" s="7">
        <v>2</v>
      </c>
      <c r="B674" s="8" t="s">
        <v>503</v>
      </c>
      <c r="C674" s="8" t="s">
        <v>276</v>
      </c>
      <c r="D674" s="7">
        <v>1</v>
      </c>
      <c r="E674" s="7">
        <v>10</v>
      </c>
      <c r="F674" s="7">
        <v>0.25</v>
      </c>
      <c r="G674" s="8" t="s">
        <v>217</v>
      </c>
      <c r="H674" s="8" t="s">
        <v>425</v>
      </c>
      <c r="I674" s="7" t="str">
        <f>_xlfn.CONCAT(Paper_Reference[[#This Row],[Lvl]:[Paper Description]])</f>
        <v>2G39WM301PM81SYN UV BALL RET 13.868 X 1441100.25100WM301-6200IQ MAPLE LANE (CENTER)</v>
      </c>
      <c r="J674" s="7">
        <f>COUNTIF(Paper_Reference[Duplicate Key],Paper_Reference[[#This Row],[Duplicate Key]])</f>
        <v>1</v>
      </c>
    </row>
    <row r="675" spans="1:10">
      <c r="A675" s="7">
        <v>2</v>
      </c>
      <c r="B675" s="8" t="s">
        <v>8981</v>
      </c>
      <c r="C675" s="8" t="s">
        <v>8927</v>
      </c>
      <c r="D675" s="7">
        <v>1</v>
      </c>
      <c r="E675" s="7">
        <v>10</v>
      </c>
      <c r="F675" s="7">
        <v>1</v>
      </c>
      <c r="G675" s="8" t="s">
        <v>218</v>
      </c>
      <c r="H675" s="8" t="s">
        <v>426</v>
      </c>
      <c r="I675" s="7" t="str">
        <f>_xlfn.CONCAT(Paper_Reference[[#This Row],[Lvl]:[Paper Description]])</f>
        <v>2G39WM311PM61SYN UV L COMMON 41.875 X 1441101100WM311-4300IQ MAPLE LANE LH</v>
      </c>
      <c r="J675" s="7">
        <f>COUNTIF(Paper_Reference[Duplicate Key],Paper_Reference[[#This Row],[Duplicate Key]])</f>
        <v>1</v>
      </c>
    </row>
    <row r="676" spans="1:10">
      <c r="A676" s="7">
        <v>2</v>
      </c>
      <c r="B676" s="8" t="s">
        <v>8982</v>
      </c>
      <c r="C676" s="8" t="s">
        <v>8928</v>
      </c>
      <c r="D676" s="7">
        <v>1</v>
      </c>
      <c r="E676" s="7">
        <v>10</v>
      </c>
      <c r="F676" s="7">
        <v>0.33329999999999999</v>
      </c>
      <c r="G676" s="8" t="s">
        <v>218</v>
      </c>
      <c r="H676" s="8" t="s">
        <v>426</v>
      </c>
      <c r="I676" s="7" t="str">
        <f>_xlfn.CONCAT(Paper_Reference[[#This Row],[Lvl]:[Paper Description]])</f>
        <v>2G39WM311PM80IQ UV L SHORT 41.875 X 47.1251100.3333100WM311-4300IQ MAPLE LANE LH</v>
      </c>
      <c r="J676" s="7">
        <f>COUNTIF(Paper_Reference[Duplicate Key],Paper_Reference[[#This Row],[Duplicate Key]])</f>
        <v>1</v>
      </c>
    </row>
    <row r="677" spans="1:10">
      <c r="A677" s="7">
        <v>2</v>
      </c>
      <c r="B677" s="8" t="s">
        <v>583</v>
      </c>
      <c r="C677" s="8" t="s">
        <v>354</v>
      </c>
      <c r="D677" s="7">
        <v>1</v>
      </c>
      <c r="E677" s="7">
        <v>10</v>
      </c>
      <c r="F677" s="7">
        <v>1</v>
      </c>
      <c r="G677" s="8" t="s">
        <v>218</v>
      </c>
      <c r="H677" s="8" t="s">
        <v>426</v>
      </c>
      <c r="I677" s="7" t="str">
        <f>_xlfn.CONCAT(Paper_Reference[[#This Row],[Lvl]:[Paper Description]])</f>
        <v>2G39WM311PSWGSYN UV W/WAY  42 7/8 X 145 1/41101100WM311-4300IQ MAPLE LANE LH</v>
      </c>
      <c r="J677" s="7">
        <f>COUNTIF(Paper_Reference[Duplicate Key],Paper_Reference[[#This Row],[Duplicate Key]])</f>
        <v>1</v>
      </c>
    </row>
    <row r="678" spans="1:10">
      <c r="A678" s="7">
        <v>2</v>
      </c>
      <c r="B678" s="8" t="s">
        <v>9092</v>
      </c>
      <c r="C678" s="8" t="s">
        <v>9036</v>
      </c>
      <c r="D678" s="7">
        <v>1</v>
      </c>
      <c r="E678" s="7">
        <v>10</v>
      </c>
      <c r="F678" s="7">
        <v>1</v>
      </c>
      <c r="G678" s="8" t="s">
        <v>219</v>
      </c>
      <c r="H678" s="8" t="s">
        <v>427</v>
      </c>
      <c r="I678" s="7" t="str">
        <f>_xlfn.CONCAT(Paper_Reference[[#This Row],[Lvl]:[Paper Description]])</f>
        <v>2G39WM321PM61SYN UV R COMMON 41.875 X 1441101100WM321-4300IQ MAPLE LANE RH</v>
      </c>
      <c r="J678" s="7">
        <f>COUNTIF(Paper_Reference[Duplicate Key],Paper_Reference[[#This Row],[Duplicate Key]])</f>
        <v>1</v>
      </c>
    </row>
    <row r="679" spans="1:10">
      <c r="A679" s="7">
        <v>2</v>
      </c>
      <c r="B679" s="8" t="s">
        <v>9093</v>
      </c>
      <c r="C679" s="8" t="s">
        <v>9037</v>
      </c>
      <c r="D679" s="7">
        <v>1</v>
      </c>
      <c r="E679" s="7">
        <v>10</v>
      </c>
      <c r="F679" s="7">
        <v>0.33329999999999999</v>
      </c>
      <c r="G679" s="8" t="s">
        <v>219</v>
      </c>
      <c r="H679" s="8" t="s">
        <v>427</v>
      </c>
      <c r="I679" s="7" t="str">
        <f>_xlfn.CONCAT(Paper_Reference[[#This Row],[Lvl]:[Paper Description]])</f>
        <v>2G39WM321PM80IQ UV R SHORT 41.875 X 47.1251100.3333100WM321-4300IQ MAPLE LANE RH</v>
      </c>
      <c r="J679" s="7">
        <f>COUNTIF(Paper_Reference[Duplicate Key],Paper_Reference[[#This Row],[Duplicate Key]])</f>
        <v>1</v>
      </c>
    </row>
    <row r="680" spans="1:10">
      <c r="A680" s="7">
        <v>2</v>
      </c>
      <c r="B680" s="8" t="s">
        <v>633</v>
      </c>
      <c r="C680" s="8" t="s">
        <v>399</v>
      </c>
      <c r="D680" s="7">
        <v>1</v>
      </c>
      <c r="E680" s="7">
        <v>10</v>
      </c>
      <c r="F680" s="7">
        <v>0.33329999999999999</v>
      </c>
      <c r="G680" s="8" t="s">
        <v>221</v>
      </c>
      <c r="H680" s="8" t="s">
        <v>429</v>
      </c>
      <c r="I680" s="7" t="str">
        <f>_xlfn.CONCAT(Paper_Reference[[#This Row],[Lvl]:[Paper Description]])</f>
        <v>2G40KC351NM49MURREY UV RET 15.25 X 144.001100.3333100WM333-6200MURREY LANE RH</v>
      </c>
      <c r="J680" s="7">
        <f>COUNTIF(Paper_Reference[Duplicate Key],Paper_Reference[[#This Row],[Duplicate Key]])</f>
        <v>1</v>
      </c>
    </row>
    <row r="681" spans="1:10">
      <c r="A681" s="7">
        <v>2</v>
      </c>
      <c r="B681" s="8" t="s">
        <v>634</v>
      </c>
      <c r="C681" s="8" t="s">
        <v>400</v>
      </c>
      <c r="D681" s="7">
        <v>1</v>
      </c>
      <c r="E681" s="7">
        <v>10</v>
      </c>
      <c r="F681" s="7">
        <v>1</v>
      </c>
      <c r="G681" s="8" t="s">
        <v>221</v>
      </c>
      <c r="H681" s="8" t="s">
        <v>429</v>
      </c>
      <c r="I681" s="7" t="str">
        <f>_xlfn.CONCAT(Paper_Reference[[#This Row],[Lvl]:[Paper Description]])</f>
        <v>2G40KC351NM50MURREY UV FILL 59.5 X 144.251101100WM333-6200MURREY LANE RH</v>
      </c>
      <c r="J681" s="7">
        <f>COUNTIF(Paper_Reference[Duplicate Key],Paper_Reference[[#This Row],[Duplicate Key]])</f>
        <v>1</v>
      </c>
    </row>
    <row r="682" spans="1:10">
      <c r="A682" s="7">
        <v>2</v>
      </c>
      <c r="B682" s="8" t="s">
        <v>635</v>
      </c>
      <c r="C682" s="8" t="s">
        <v>400</v>
      </c>
      <c r="D682" s="7">
        <v>1</v>
      </c>
      <c r="E682" s="7">
        <v>10</v>
      </c>
      <c r="F682" s="7">
        <v>1</v>
      </c>
      <c r="G682" s="8" t="s">
        <v>221</v>
      </c>
      <c r="H682" s="8" t="s">
        <v>429</v>
      </c>
      <c r="I682" s="7" t="str">
        <f>_xlfn.CONCAT(Paper_Reference[[#This Row],[Lvl]:[Paper Description]])</f>
        <v>2G40KC351NM59MURREY UV FILL 59.5 X 144.251101100WM333-6200MURREY LANE RH</v>
      </c>
      <c r="J682" s="7">
        <f>COUNTIF(Paper_Reference[Duplicate Key],Paper_Reference[[#This Row],[Duplicate Key]])</f>
        <v>1</v>
      </c>
    </row>
    <row r="683" spans="1:10">
      <c r="A683" s="7">
        <v>2</v>
      </c>
      <c r="B683" s="8" t="s">
        <v>636</v>
      </c>
      <c r="C683" s="8" t="s">
        <v>399</v>
      </c>
      <c r="D683" s="7">
        <v>1</v>
      </c>
      <c r="E683" s="7">
        <v>10</v>
      </c>
      <c r="F683" s="7">
        <v>0.33329999999999999</v>
      </c>
      <c r="G683" s="8" t="s">
        <v>221</v>
      </c>
      <c r="H683" s="8" t="s">
        <v>429</v>
      </c>
      <c r="I683" s="7" t="str">
        <f>_xlfn.CONCAT(Paper_Reference[[#This Row],[Lvl]:[Paper Description]])</f>
        <v>2G40KC351PM49MURREY UV RET 15.25 X 144.001100.3333100WM333-6200MURREY LANE RH</v>
      </c>
      <c r="J683" s="7">
        <f>COUNTIF(Paper_Reference[Duplicate Key],Paper_Reference[[#This Row],[Duplicate Key]])</f>
        <v>1</v>
      </c>
    </row>
    <row r="684" spans="1:10">
      <c r="A684" s="7">
        <v>2</v>
      </c>
      <c r="B684" s="8" t="s">
        <v>637</v>
      </c>
      <c r="C684" s="8" t="s">
        <v>400</v>
      </c>
      <c r="D684" s="7">
        <v>1</v>
      </c>
      <c r="E684" s="7">
        <v>10</v>
      </c>
      <c r="F684" s="7">
        <v>1</v>
      </c>
      <c r="G684" s="8" t="s">
        <v>221</v>
      </c>
      <c r="H684" s="8" t="s">
        <v>429</v>
      </c>
      <c r="I684" s="7" t="str">
        <f>_xlfn.CONCAT(Paper_Reference[[#This Row],[Lvl]:[Paper Description]])</f>
        <v>2G40KC351PM50MURREY UV FILL 59.5 X 144.251101100WM333-6200MURREY LANE RH</v>
      </c>
      <c r="J684" s="7">
        <f>COUNTIF(Paper_Reference[Duplicate Key],Paper_Reference[[#This Row],[Duplicate Key]])</f>
        <v>1</v>
      </c>
    </row>
    <row r="685" spans="1:10">
      <c r="A685" s="7">
        <v>2</v>
      </c>
      <c r="B685" s="8" t="s">
        <v>638</v>
      </c>
      <c r="C685" s="8" t="s">
        <v>401</v>
      </c>
      <c r="D685" s="7">
        <v>1</v>
      </c>
      <c r="E685" s="7">
        <v>10</v>
      </c>
      <c r="F685" s="7">
        <v>1</v>
      </c>
      <c r="G685" s="8" t="s">
        <v>221</v>
      </c>
      <c r="H685" s="8" t="s">
        <v>429</v>
      </c>
      <c r="I685" s="7" t="str">
        <f>_xlfn.CONCAT(Paper_Reference[[#This Row],[Lvl]:[Paper Description]])</f>
        <v>2G40WM331N420MURREY UV FILL 48 X 1441101100WM333-6200MURREY LANE RH</v>
      </c>
      <c r="J685" s="7">
        <f>COUNTIF(Paper_Reference[Duplicate Key],Paper_Reference[[#This Row],[Duplicate Key]])</f>
        <v>1</v>
      </c>
    </row>
    <row r="686" spans="1:10">
      <c r="A686" s="7">
        <v>2</v>
      </c>
      <c r="B686" s="8" t="s">
        <v>639</v>
      </c>
      <c r="C686" s="8" t="s">
        <v>402</v>
      </c>
      <c r="D686" s="7">
        <v>1</v>
      </c>
      <c r="E686" s="7">
        <v>10</v>
      </c>
      <c r="F686" s="7">
        <v>0.5</v>
      </c>
      <c r="G686" s="8" t="s">
        <v>221</v>
      </c>
      <c r="H686" s="8" t="s">
        <v>429</v>
      </c>
      <c r="I686" s="7" t="str">
        <f>_xlfn.CONCAT(Paper_Reference[[#This Row],[Lvl]:[Paper Description]])</f>
        <v>2G40WM331NM95MURREY UV S FILL 21.375 X 1441100.5100WM333-6200MURREY LANE RH</v>
      </c>
      <c r="J686" s="7">
        <f>COUNTIF(Paper_Reference[Duplicate Key],Paper_Reference[[#This Row],[Duplicate Key]])</f>
        <v>1</v>
      </c>
    </row>
    <row r="687" spans="1:10">
      <c r="A687" s="7">
        <v>2</v>
      </c>
      <c r="B687" s="8" t="s">
        <v>640</v>
      </c>
      <c r="C687" s="8" t="s">
        <v>403</v>
      </c>
      <c r="D687" s="7">
        <v>1</v>
      </c>
      <c r="E687" s="7">
        <v>10</v>
      </c>
      <c r="F687" s="7">
        <v>0.25</v>
      </c>
      <c r="G687" s="8" t="s">
        <v>221</v>
      </c>
      <c r="H687" s="8" t="s">
        <v>429</v>
      </c>
      <c r="I687" s="7" t="str">
        <f>_xlfn.CONCAT(Paper_Reference[[#This Row],[Lvl]:[Paper Description]])</f>
        <v>2G40WM331NM96MURREY UV S FILL 21.375 X 681100.25100WM333-6200MURREY LANE RH</v>
      </c>
      <c r="J687" s="7">
        <f>COUNTIF(Paper_Reference[Duplicate Key],Paper_Reference[[#This Row],[Duplicate Key]])</f>
        <v>1</v>
      </c>
    </row>
    <row r="688" spans="1:10">
      <c r="A688" s="7">
        <v>2</v>
      </c>
      <c r="B688" s="8" t="s">
        <v>1165</v>
      </c>
      <c r="C688" s="8" t="s">
        <v>1159</v>
      </c>
      <c r="D688" s="7">
        <v>1</v>
      </c>
      <c r="E688" s="7">
        <v>10</v>
      </c>
      <c r="F688" s="7">
        <v>1</v>
      </c>
      <c r="G688" s="8" t="s">
        <v>977</v>
      </c>
      <c r="H688" s="8" t="s">
        <v>985</v>
      </c>
      <c r="I688" s="7" t="str">
        <f>_xlfn.CONCAT(Paper_Reference[[#This Row],[Lvl]:[Paper Description]])</f>
        <v>2G40WM331NM97MURREY UV D FILL 29.125 X 1441101100WM331-5000MURREY LANE</v>
      </c>
      <c r="J688" s="7">
        <f>COUNTIF(Paper_Reference[Duplicate Key],Paper_Reference[[#This Row],[Duplicate Key]])</f>
        <v>1</v>
      </c>
    </row>
    <row r="689" spans="1:10">
      <c r="A689" s="7">
        <v>2</v>
      </c>
      <c r="B689" s="8" t="s">
        <v>1166</v>
      </c>
      <c r="C689" s="8" t="s">
        <v>1160</v>
      </c>
      <c r="D689" s="7">
        <v>1</v>
      </c>
      <c r="E689" s="7">
        <v>10</v>
      </c>
      <c r="F689" s="7">
        <v>0.5</v>
      </c>
      <c r="G689" s="8" t="s">
        <v>977</v>
      </c>
      <c r="H689" s="8" t="s">
        <v>985</v>
      </c>
      <c r="I689" s="7" t="str">
        <f>_xlfn.CONCAT(Paper_Reference[[#This Row],[Lvl]:[Paper Description]])</f>
        <v>2G40WM331NM98MURREY UV D FILL 29.125 X 681100.5100WM331-5000MURREY LANE</v>
      </c>
      <c r="J689" s="7">
        <f>COUNTIF(Paper_Reference[Duplicate Key],Paper_Reference[[#This Row],[Duplicate Key]])</f>
        <v>1</v>
      </c>
    </row>
    <row r="690" spans="1:10">
      <c r="A690" s="7">
        <v>2</v>
      </c>
      <c r="B690" s="8" t="s">
        <v>1138</v>
      </c>
      <c r="C690" s="8" t="s">
        <v>1121</v>
      </c>
      <c r="D690" s="7">
        <v>1</v>
      </c>
      <c r="E690" s="7">
        <v>10</v>
      </c>
      <c r="F690" s="7">
        <v>1</v>
      </c>
      <c r="G690" s="8" t="s">
        <v>976</v>
      </c>
      <c r="H690" s="8" t="s">
        <v>984</v>
      </c>
      <c r="I690" s="7" t="str">
        <f>_xlfn.CONCAT(Paper_Reference[[#This Row],[Lvl]:[Paper Description]])</f>
        <v>2G40WM331PM90MURREY UV COMMON 41.875 X 1441101100WM331-4300MURREY LANE (CENTER)</v>
      </c>
      <c r="J690" s="7">
        <f>COUNTIF(Paper_Reference[Duplicate Key],Paper_Reference[[#This Row],[Duplicate Key]])</f>
        <v>1</v>
      </c>
    </row>
    <row r="691" spans="1:10">
      <c r="A691" s="7">
        <v>2</v>
      </c>
      <c r="B691" s="8" t="s">
        <v>1139</v>
      </c>
      <c r="C691" s="8" t="s">
        <v>402</v>
      </c>
      <c r="D691" s="7">
        <v>1</v>
      </c>
      <c r="E691" s="7">
        <v>10</v>
      </c>
      <c r="F691" s="7">
        <v>0.5</v>
      </c>
      <c r="G691" s="8" t="s">
        <v>976</v>
      </c>
      <c r="H691" s="8" t="s">
        <v>984</v>
      </c>
      <c r="I691" s="7" t="str">
        <f>_xlfn.CONCAT(Paper_Reference[[#This Row],[Lvl]:[Paper Description]])</f>
        <v>2G40WM331PM95MURREY UV S FILL 21.375 X 1441100.5100WM331-4300MURREY LANE (CENTER)</v>
      </c>
      <c r="J691" s="7">
        <f>COUNTIF(Paper_Reference[Duplicate Key],Paper_Reference[[#This Row],[Duplicate Key]])</f>
        <v>1</v>
      </c>
    </row>
    <row r="692" spans="1:10">
      <c r="A692" s="7">
        <v>2</v>
      </c>
      <c r="B692" s="8" t="s">
        <v>1140</v>
      </c>
      <c r="C692" s="8" t="s">
        <v>403</v>
      </c>
      <c r="D692" s="7">
        <v>1</v>
      </c>
      <c r="E692" s="7">
        <v>10</v>
      </c>
      <c r="F692" s="7">
        <v>0.25</v>
      </c>
      <c r="G692" s="8" t="s">
        <v>976</v>
      </c>
      <c r="H692" s="8" t="s">
        <v>984</v>
      </c>
      <c r="I692" s="7" t="str">
        <f>_xlfn.CONCAT(Paper_Reference[[#This Row],[Lvl]:[Paper Description]])</f>
        <v>2G40WM331PM96MURREY UV S FILL 21.375 X 681100.25100WM331-4300MURREY LANE (CENTER)</v>
      </c>
      <c r="J692" s="7">
        <f>COUNTIF(Paper_Reference[Duplicate Key],Paper_Reference[[#This Row],[Duplicate Key]])</f>
        <v>1</v>
      </c>
    </row>
    <row r="693" spans="1:10">
      <c r="A693" s="7">
        <v>2</v>
      </c>
      <c r="B693" s="8" t="s">
        <v>641</v>
      </c>
      <c r="C693" s="8" t="s">
        <v>404</v>
      </c>
      <c r="D693" s="7">
        <v>1</v>
      </c>
      <c r="E693" s="7">
        <v>10</v>
      </c>
      <c r="F693" s="7">
        <v>0.33329999999999999</v>
      </c>
      <c r="G693" s="8" t="s">
        <v>221</v>
      </c>
      <c r="H693" s="8" t="s">
        <v>429</v>
      </c>
      <c r="I693" s="7" t="str">
        <f>_xlfn.CONCAT(Paper_Reference[[#This Row],[Lvl]:[Paper Description]])</f>
        <v>2G40WM333NM49MURREY CEL UV RET 15.25 X 1441100.3333100WM333-6200MURREY LANE RH</v>
      </c>
      <c r="J693" s="7">
        <f>COUNTIF(Paper_Reference[Duplicate Key],Paper_Reference[[#This Row],[Duplicate Key]])</f>
        <v>1</v>
      </c>
    </row>
    <row r="694" spans="1:10">
      <c r="A694" s="7">
        <v>2</v>
      </c>
      <c r="B694" s="8" t="s">
        <v>1141</v>
      </c>
      <c r="C694" s="8" t="s">
        <v>1122</v>
      </c>
      <c r="D694" s="7">
        <v>1</v>
      </c>
      <c r="E694" s="7">
        <v>10</v>
      </c>
      <c r="F694" s="7">
        <v>1</v>
      </c>
      <c r="G694" s="8" t="s">
        <v>976</v>
      </c>
      <c r="H694" s="8" t="s">
        <v>984</v>
      </c>
      <c r="I694" s="7" t="str">
        <f>_xlfn.CONCAT(Paper_Reference[[#This Row],[Lvl]:[Paper Description]])</f>
        <v>2G41KC331PM90MURREY COMMON 41.875 X 1441101100WM331-4300MURREY LANE (CENTER)</v>
      </c>
      <c r="J694" s="7">
        <f>COUNTIF(Paper_Reference[Duplicate Key],Paper_Reference[[#This Row],[Duplicate Key]])</f>
        <v>1</v>
      </c>
    </row>
    <row r="695" spans="1:10">
      <c r="A695" s="7">
        <v>2</v>
      </c>
      <c r="B695" s="8" t="s">
        <v>642</v>
      </c>
      <c r="C695" s="8" t="s">
        <v>405</v>
      </c>
      <c r="D695" s="7">
        <v>1</v>
      </c>
      <c r="E695" s="7">
        <v>10</v>
      </c>
      <c r="F695" s="7">
        <v>1</v>
      </c>
      <c r="G695" s="8" t="s">
        <v>221</v>
      </c>
      <c r="H695" s="8" t="s">
        <v>429</v>
      </c>
      <c r="I695" s="7" t="str">
        <f>_xlfn.CONCAT(Paper_Reference[[#This Row],[Lvl]:[Paper Description]])</f>
        <v>2G41KC351N520MURREY FILL 60 X 1441101100WM333-6200MURREY LANE RH</v>
      </c>
      <c r="J695" s="7">
        <f>COUNTIF(Paper_Reference[Duplicate Key],Paper_Reference[[#This Row],[Duplicate Key]])</f>
        <v>1</v>
      </c>
    </row>
    <row r="696" spans="1:10">
      <c r="A696" s="7">
        <v>2</v>
      </c>
      <c r="B696" s="8" t="s">
        <v>643</v>
      </c>
      <c r="C696" s="8" t="s">
        <v>406</v>
      </c>
      <c r="D696" s="7">
        <v>1</v>
      </c>
      <c r="E696" s="7">
        <v>10</v>
      </c>
      <c r="F696" s="7">
        <v>0.33329999999999999</v>
      </c>
      <c r="G696" s="8" t="s">
        <v>221</v>
      </c>
      <c r="H696" s="8" t="s">
        <v>429</v>
      </c>
      <c r="I696" s="7" t="str">
        <f>_xlfn.CONCAT(Paper_Reference[[#This Row],[Lvl]:[Paper Description]])</f>
        <v>2G41KC351NM49MURREY RETURN 15.25 X 144.001100.3333100WM333-6200MURREY LANE RH</v>
      </c>
      <c r="J696" s="7">
        <f>COUNTIF(Paper_Reference[Duplicate Key],Paper_Reference[[#This Row],[Duplicate Key]])</f>
        <v>1</v>
      </c>
    </row>
    <row r="697" spans="1:10">
      <c r="A697" s="7">
        <v>2</v>
      </c>
      <c r="B697" s="8" t="s">
        <v>644</v>
      </c>
      <c r="C697" s="8" t="s">
        <v>407</v>
      </c>
      <c r="D697" s="7">
        <v>1</v>
      </c>
      <c r="E697" s="7">
        <v>10</v>
      </c>
      <c r="F697" s="7">
        <v>1</v>
      </c>
      <c r="G697" s="8" t="s">
        <v>221</v>
      </c>
      <c r="H697" s="8" t="s">
        <v>429</v>
      </c>
      <c r="I697" s="7" t="str">
        <f>_xlfn.CONCAT(Paper_Reference[[#This Row],[Lvl]:[Paper Description]])</f>
        <v>2G41KC351NM50MURREY FILL 59.5 X 144.251101100WM333-6200MURREY LANE RH</v>
      </c>
      <c r="J697" s="7">
        <f>COUNTIF(Paper_Reference[Duplicate Key],Paper_Reference[[#This Row],[Duplicate Key]])</f>
        <v>1</v>
      </c>
    </row>
    <row r="698" spans="1:10">
      <c r="A698" s="7">
        <v>2</v>
      </c>
      <c r="B698" s="8" t="s">
        <v>645</v>
      </c>
      <c r="C698" s="8" t="s">
        <v>405</v>
      </c>
      <c r="D698" s="7">
        <v>1</v>
      </c>
      <c r="E698" s="7">
        <v>10</v>
      </c>
      <c r="F698" s="7">
        <v>1</v>
      </c>
      <c r="G698" s="8" t="s">
        <v>221</v>
      </c>
      <c r="H698" s="8" t="s">
        <v>429</v>
      </c>
      <c r="I698" s="7" t="str">
        <f>_xlfn.CONCAT(Paper_Reference[[#This Row],[Lvl]:[Paper Description]])</f>
        <v>2G41KC351P520MURREY FILL 60 X 1441101100WM333-6200MURREY LANE RH</v>
      </c>
      <c r="J698" s="7">
        <f>COUNTIF(Paper_Reference[Duplicate Key],Paper_Reference[[#This Row],[Duplicate Key]])</f>
        <v>1</v>
      </c>
    </row>
    <row r="699" spans="1:10">
      <c r="A699" s="7">
        <v>2</v>
      </c>
      <c r="B699" s="8" t="s">
        <v>646</v>
      </c>
      <c r="C699" s="8" t="s">
        <v>408</v>
      </c>
      <c r="D699" s="7">
        <v>1</v>
      </c>
      <c r="E699" s="7">
        <v>10</v>
      </c>
      <c r="F699" s="7">
        <v>0.5</v>
      </c>
      <c r="G699" s="8" t="s">
        <v>221</v>
      </c>
      <c r="H699" s="8" t="s">
        <v>429</v>
      </c>
      <c r="I699" s="7" t="str">
        <f>_xlfn.CONCAT(Paper_Reference[[#This Row],[Lvl]:[Paper Description]])</f>
        <v>2G41WM331NM95MURREY S FILL 21.375 X 1441100.5100WM333-6200MURREY LANE RH</v>
      </c>
      <c r="J699" s="7">
        <f>COUNTIF(Paper_Reference[Duplicate Key],Paper_Reference[[#This Row],[Duplicate Key]])</f>
        <v>1</v>
      </c>
    </row>
    <row r="700" spans="1:10">
      <c r="A700" s="7">
        <v>2</v>
      </c>
      <c r="B700" s="8" t="s">
        <v>647</v>
      </c>
      <c r="C700" s="8" t="s">
        <v>409</v>
      </c>
      <c r="D700" s="7">
        <v>1</v>
      </c>
      <c r="E700" s="7">
        <v>10</v>
      </c>
      <c r="F700" s="7">
        <v>0.25</v>
      </c>
      <c r="G700" s="8" t="s">
        <v>221</v>
      </c>
      <c r="H700" s="8" t="s">
        <v>429</v>
      </c>
      <c r="I700" s="7" t="str">
        <f>_xlfn.CONCAT(Paper_Reference[[#This Row],[Lvl]:[Paper Description]])</f>
        <v>2G41WM331NM96MURREY S FILL 21.375 X 681100.25100WM333-6200MURREY LANE RH</v>
      </c>
      <c r="J700" s="7">
        <f>COUNTIF(Paper_Reference[Duplicate Key],Paper_Reference[[#This Row],[Duplicate Key]])</f>
        <v>1</v>
      </c>
    </row>
    <row r="701" spans="1:10">
      <c r="A701" s="7">
        <v>2</v>
      </c>
      <c r="B701" s="8" t="s">
        <v>1142</v>
      </c>
      <c r="C701" s="8" t="s">
        <v>1122</v>
      </c>
      <c r="D701" s="7">
        <v>1</v>
      </c>
      <c r="E701" s="7">
        <v>10</v>
      </c>
      <c r="F701" s="7">
        <v>1</v>
      </c>
      <c r="G701" s="8" t="s">
        <v>976</v>
      </c>
      <c r="H701" s="8" t="s">
        <v>984</v>
      </c>
      <c r="I701" s="7" t="str">
        <f>_xlfn.CONCAT(Paper_Reference[[#This Row],[Lvl]:[Paper Description]])</f>
        <v>2G41WM331PM90MURREY COMMON 41.875 X 1441101100WM331-4300MURREY LANE (CENTER)</v>
      </c>
      <c r="J701" s="7">
        <f>COUNTIF(Paper_Reference[Duplicate Key],Paper_Reference[[#This Row],[Duplicate Key]])</f>
        <v>1</v>
      </c>
    </row>
    <row r="702" spans="1:10">
      <c r="A702" s="7">
        <v>2</v>
      </c>
      <c r="B702" s="8" t="s">
        <v>648</v>
      </c>
      <c r="C702" s="8" t="s">
        <v>410</v>
      </c>
      <c r="D702" s="7">
        <v>1</v>
      </c>
      <c r="E702" s="7">
        <v>10</v>
      </c>
      <c r="F702" s="7">
        <v>1</v>
      </c>
      <c r="G702" s="8" t="s">
        <v>221</v>
      </c>
      <c r="H702" s="8" t="s">
        <v>429</v>
      </c>
      <c r="I702" s="7" t="str">
        <f>_xlfn.CONCAT(Paper_Reference[[#This Row],[Lvl]:[Paper Description]])</f>
        <v>2G41WM331U480MURREY FILL PANEL 48 X 961101100WM333-6200MURREY LANE RH</v>
      </c>
      <c r="J702" s="7">
        <f>COUNTIF(Paper_Reference[Duplicate Key],Paper_Reference[[#This Row],[Duplicate Key]])</f>
        <v>1</v>
      </c>
    </row>
    <row r="703" spans="1:10">
      <c r="A703" s="7">
        <v>2</v>
      </c>
      <c r="B703" s="8" t="s">
        <v>1220</v>
      </c>
      <c r="C703" s="8" t="s">
        <v>1217</v>
      </c>
      <c r="D703" s="7">
        <v>1</v>
      </c>
      <c r="E703" s="7">
        <v>10</v>
      </c>
      <c r="F703" s="7">
        <v>1</v>
      </c>
      <c r="G703" s="8" t="s">
        <v>979</v>
      </c>
      <c r="H703" s="8" t="s">
        <v>987</v>
      </c>
      <c r="I703" s="7" t="str">
        <f>_xlfn.CONCAT(Paper_Reference[[#This Row],[Lvl]:[Paper Description]])</f>
        <v>2G41WM521NPFUQ 5 FT FILLER PANEL 60 X 1441101100WM521-6200OPEN MAPLE LANE (L)</v>
      </c>
      <c r="J703" s="7">
        <f>COUNTIF(Paper_Reference[Duplicate Key],Paper_Reference[[#This Row],[Duplicate Key]])</f>
        <v>1</v>
      </c>
    </row>
    <row r="704" spans="1:10">
      <c r="A704" s="7">
        <v>2</v>
      </c>
      <c r="B704" s="8" t="s">
        <v>504</v>
      </c>
      <c r="C704" s="8" t="s">
        <v>277</v>
      </c>
      <c r="D704" s="7">
        <v>1</v>
      </c>
      <c r="E704" s="7">
        <v>10</v>
      </c>
      <c r="F704" s="7">
        <v>0.25</v>
      </c>
      <c r="G704" s="8" t="s">
        <v>217</v>
      </c>
      <c r="H704" s="8" t="s">
        <v>3229</v>
      </c>
      <c r="I704" s="7" t="str">
        <f>_xlfn.CONCAT(Paper_Reference[[#This Row],[Lvl]:[Paper Description]])</f>
        <v>2G42WM301AM38SYN UV BALL RET 13.87 X 1441100.25100WM301-6200IQ MAPLE LANE (C) 60 X 144</v>
      </c>
      <c r="J704" s="7">
        <f>COUNTIF(Paper_Reference[Duplicate Key],Paper_Reference[[#This Row],[Duplicate Key]])</f>
        <v>1</v>
      </c>
    </row>
    <row r="705" spans="1:10">
      <c r="A705" s="7">
        <v>2</v>
      </c>
      <c r="B705" s="8" t="s">
        <v>504</v>
      </c>
      <c r="C705" s="8" t="s">
        <v>277</v>
      </c>
      <c r="D705" s="7">
        <v>1</v>
      </c>
      <c r="E705" s="7">
        <v>10</v>
      </c>
      <c r="F705" s="7">
        <v>0.25</v>
      </c>
      <c r="G705" s="8" t="s">
        <v>217</v>
      </c>
      <c r="H705" s="8" t="s">
        <v>425</v>
      </c>
      <c r="I705" s="7" t="str">
        <f>_xlfn.CONCAT(Paper_Reference[[#This Row],[Lvl]:[Paper Description]])</f>
        <v>2G42WM301AM38SYN UV BALL RET 13.87 X 1441100.25100WM301-6200IQ MAPLE LANE (CENTER)</v>
      </c>
      <c r="J705" s="7">
        <f>COUNTIF(Paper_Reference[Duplicate Key],Paper_Reference[[#This Row],[Duplicate Key]])</f>
        <v>1</v>
      </c>
    </row>
    <row r="706" spans="1:10">
      <c r="A706" s="7">
        <v>2</v>
      </c>
      <c r="B706" s="8" t="s">
        <v>505</v>
      </c>
      <c r="C706" s="8" t="s">
        <v>278</v>
      </c>
      <c r="D706" s="7">
        <v>1</v>
      </c>
      <c r="E706" s="7">
        <v>10</v>
      </c>
      <c r="F706" s="7">
        <v>0.33329999999999999</v>
      </c>
      <c r="G706" s="8" t="s">
        <v>217</v>
      </c>
      <c r="H706" s="8" t="s">
        <v>3229</v>
      </c>
      <c r="I706" s="7" t="str">
        <f>_xlfn.CONCAT(Paper_Reference[[#This Row],[Lvl]:[Paper Description]])</f>
        <v>2G42WM301AM39SYN UV W BALL RET 14.7 X 1441100.3333100WM301-6200IQ MAPLE LANE (C) 60 X 144</v>
      </c>
      <c r="J706" s="7">
        <f>COUNTIF(Paper_Reference[Duplicate Key],Paper_Reference[[#This Row],[Duplicate Key]])</f>
        <v>1</v>
      </c>
    </row>
    <row r="707" spans="1:10">
      <c r="A707" s="7">
        <v>2</v>
      </c>
      <c r="B707" s="8" t="s">
        <v>505</v>
      </c>
      <c r="C707" s="8" t="s">
        <v>278</v>
      </c>
      <c r="D707" s="7">
        <v>1</v>
      </c>
      <c r="E707" s="7">
        <v>10</v>
      </c>
      <c r="F707" s="7">
        <v>0.33329999999999999</v>
      </c>
      <c r="G707" s="8" t="s">
        <v>217</v>
      </c>
      <c r="H707" s="8" t="s">
        <v>425</v>
      </c>
      <c r="I707" s="7" t="str">
        <f>_xlfn.CONCAT(Paper_Reference[[#This Row],[Lvl]:[Paper Description]])</f>
        <v>2G42WM301AM39SYN UV W BALL RET 14.7 X 1441100.3333100WM301-6200IQ MAPLE LANE (CENTER)</v>
      </c>
      <c r="J707" s="7">
        <f>COUNTIF(Paper_Reference[Duplicate Key],Paper_Reference[[#This Row],[Duplicate Key]])</f>
        <v>1</v>
      </c>
    </row>
    <row r="708" spans="1:10">
      <c r="A708" s="7">
        <v>2</v>
      </c>
      <c r="B708" s="8" t="s">
        <v>584</v>
      </c>
      <c r="C708" s="8" t="s">
        <v>355</v>
      </c>
      <c r="D708" s="7">
        <v>1</v>
      </c>
      <c r="E708" s="7">
        <v>10</v>
      </c>
      <c r="F708" s="7">
        <v>1</v>
      </c>
      <c r="G708" s="8" t="s">
        <v>218</v>
      </c>
      <c r="H708" s="8" t="s">
        <v>426</v>
      </c>
      <c r="I708" s="7" t="str">
        <f>_xlfn.CONCAT(Paper_Reference[[#This Row],[Lvl]:[Paper Description]])</f>
        <v>2G42WM311ASWGSYN UV W/WAY 42 7/8 X 145 1/41101100WM311-4300IQ MAPLE LANE LH</v>
      </c>
      <c r="J708" s="7">
        <f>COUNTIF(Paper_Reference[Duplicate Key],Paper_Reference[[#This Row],[Duplicate Key]])</f>
        <v>1</v>
      </c>
    </row>
    <row r="709" spans="1:10">
      <c r="A709" s="7">
        <v>2</v>
      </c>
      <c r="B709" s="8" t="s">
        <v>9022</v>
      </c>
      <c r="C709" s="8" t="s">
        <v>8968</v>
      </c>
      <c r="D709" s="7">
        <v>1</v>
      </c>
      <c r="E709" s="7">
        <v>10</v>
      </c>
      <c r="F709" s="7">
        <v>0.33329999999999999</v>
      </c>
      <c r="G709" s="8" t="s">
        <v>218</v>
      </c>
      <c r="H709" s="8" t="s">
        <v>426</v>
      </c>
      <c r="I709" s="7" t="str">
        <f>_xlfn.CONCAT(Paper_Reference[[#This Row],[Lvl]:[Paper Description]])</f>
        <v>2G42WM311PM37SYN UV L SHORT 41.875X47.1251100.3333100WM311-4300IQ MAPLE LANE LH</v>
      </c>
      <c r="J709" s="7">
        <f>COUNTIF(Paper_Reference[Duplicate Key],Paper_Reference[[#This Row],[Duplicate Key]])</f>
        <v>1</v>
      </c>
    </row>
    <row r="710" spans="1:10">
      <c r="A710" s="7">
        <v>2</v>
      </c>
      <c r="B710" s="8" t="s">
        <v>9133</v>
      </c>
      <c r="C710" s="8" t="s">
        <v>9077</v>
      </c>
      <c r="D710" s="7">
        <v>1</v>
      </c>
      <c r="E710" s="7">
        <v>10</v>
      </c>
      <c r="F710" s="7">
        <v>0.33329999999999999</v>
      </c>
      <c r="G710" s="8" t="s">
        <v>219</v>
      </c>
      <c r="H710" s="8" t="s">
        <v>427</v>
      </c>
      <c r="I710" s="7" t="str">
        <f>_xlfn.CONCAT(Paper_Reference[[#This Row],[Lvl]:[Paper Description]])</f>
        <v>2G42WM321PM36SYN UV R SHORT 41.875X47.1251100.3333100WM321-4300IQ MAPLE LANE RH</v>
      </c>
      <c r="J710" s="7">
        <f>COUNTIF(Paper_Reference[Duplicate Key],Paper_Reference[[#This Row],[Duplicate Key]])</f>
        <v>1</v>
      </c>
    </row>
    <row r="711" spans="1:10">
      <c r="A711" s="7">
        <v>2</v>
      </c>
      <c r="B711" s="8" t="s">
        <v>9018</v>
      </c>
      <c r="C711" s="8" t="s">
        <v>8964</v>
      </c>
      <c r="D711" s="7">
        <v>1</v>
      </c>
      <c r="E711" s="7">
        <v>10</v>
      </c>
      <c r="F711" s="7">
        <v>0.33329999999999999</v>
      </c>
      <c r="G711" s="8" t="s">
        <v>218</v>
      </c>
      <c r="H711" s="8" t="s">
        <v>426</v>
      </c>
      <c r="I711" s="7" t="str">
        <f>_xlfn.CONCAT(Paper_Reference[[#This Row],[Lvl]:[Paper Description]])</f>
        <v>2G43WM311PM37SYN L SHORT 41.875X47.1251100.3333100WM311-4300IQ MAPLE LANE LH</v>
      </c>
      <c r="J711" s="7">
        <f>COUNTIF(Paper_Reference[Duplicate Key],Paper_Reference[[#This Row],[Duplicate Key]])</f>
        <v>1</v>
      </c>
    </row>
    <row r="712" spans="1:10">
      <c r="A712" s="7">
        <v>2</v>
      </c>
      <c r="B712" s="8" t="s">
        <v>9129</v>
      </c>
      <c r="C712" s="8" t="s">
        <v>9073</v>
      </c>
      <c r="D712" s="7">
        <v>1</v>
      </c>
      <c r="E712" s="7">
        <v>10</v>
      </c>
      <c r="F712" s="7">
        <v>0.33329999999999999</v>
      </c>
      <c r="G712" s="8" t="s">
        <v>219</v>
      </c>
      <c r="H712" s="8" t="s">
        <v>427</v>
      </c>
      <c r="I712" s="7" t="str">
        <f>_xlfn.CONCAT(Paper_Reference[[#This Row],[Lvl]:[Paper Description]])</f>
        <v>2G43WM321PM36SYN R SHORT 41.875X47.1251100.3333100WM321-4300IQ MAPLE LANE RH</v>
      </c>
      <c r="J712" s="7">
        <f>COUNTIF(Paper_Reference[Duplicate Key],Paper_Reference[[#This Row],[Duplicate Key]])</f>
        <v>1</v>
      </c>
    </row>
    <row r="713" spans="1:10">
      <c r="A713" s="7">
        <v>2</v>
      </c>
      <c r="B713" s="8" t="s">
        <v>100</v>
      </c>
      <c r="C713" s="8" t="s">
        <v>101</v>
      </c>
      <c r="D713" s="7">
        <v>1</v>
      </c>
      <c r="E713" s="7">
        <v>10</v>
      </c>
      <c r="F713" s="7">
        <v>0.25</v>
      </c>
      <c r="G713" s="8" t="s">
        <v>972</v>
      </c>
      <c r="H713" s="8" t="s">
        <v>981</v>
      </c>
      <c r="I713" s="7" t="str">
        <f>_xlfn.CONCAT(Paper_Reference[[#This Row],[Lvl]:[Paper Description]])</f>
        <v>2G44KM009AM38KM009 UV NAR BALL RET 13.87X141100.25100KM009-6200Bruns Silver w/lines Print</v>
      </c>
      <c r="J713" s="7">
        <f>COUNTIF(Paper_Reference[Duplicate Key],Paper_Reference[[#This Row],[Duplicate Key]])</f>
        <v>1</v>
      </c>
    </row>
    <row r="714" spans="1:10">
      <c r="A714" s="7">
        <v>2</v>
      </c>
      <c r="B714" s="8" t="s">
        <v>997</v>
      </c>
      <c r="C714" s="8" t="s">
        <v>992</v>
      </c>
      <c r="D714" s="7">
        <v>1</v>
      </c>
      <c r="E714" s="7">
        <v>10</v>
      </c>
      <c r="F714" s="7">
        <v>0.33329999999999999</v>
      </c>
      <c r="G714" s="8" t="s">
        <v>972</v>
      </c>
      <c r="H714" s="8" t="s">
        <v>981</v>
      </c>
      <c r="I714" s="7" t="str">
        <f>_xlfn.CONCAT(Paper_Reference[[#This Row],[Lvl]:[Paper Description]])</f>
        <v>2G44KM009AM39KM009 UV W BALL RET 14.7 X 1441100.3333100KM009-6200Bruns Silver w/lines Print</v>
      </c>
      <c r="J714" s="7">
        <f>COUNTIF(Paper_Reference[Duplicate Key],Paper_Reference[[#This Row],[Duplicate Key]])</f>
        <v>1</v>
      </c>
    </row>
    <row r="715" spans="1:10">
      <c r="A715" s="7">
        <v>2</v>
      </c>
      <c r="B715" s="8" t="s">
        <v>998</v>
      </c>
      <c r="C715" s="8" t="s">
        <v>993</v>
      </c>
      <c r="D715" s="7">
        <v>1</v>
      </c>
      <c r="E715" s="7">
        <v>10</v>
      </c>
      <c r="F715" s="7">
        <v>1</v>
      </c>
      <c r="G715" s="8" t="s">
        <v>972</v>
      </c>
      <c r="H715" s="8" t="s">
        <v>981</v>
      </c>
      <c r="I715" s="7" t="str">
        <f>_xlfn.CONCAT(Paper_Reference[[#This Row],[Lvl]:[Paper Description]])</f>
        <v>2G44KM009ASWGKM009 UV W/WAY 42 7/8X145 1/41101100KM009-6200Bruns Silver w/lines Print</v>
      </c>
      <c r="J715" s="7">
        <f>COUNTIF(Paper_Reference[Duplicate Key],Paper_Reference[[#This Row],[Duplicate Key]])</f>
        <v>1</v>
      </c>
    </row>
    <row r="716" spans="1:10">
      <c r="A716" s="7">
        <v>2</v>
      </c>
      <c r="B716" s="8" t="s">
        <v>9009</v>
      </c>
      <c r="C716" s="8" t="s">
        <v>8955</v>
      </c>
      <c r="D716" s="7">
        <v>1</v>
      </c>
      <c r="E716" s="7">
        <v>10</v>
      </c>
      <c r="F716" s="7">
        <v>1</v>
      </c>
      <c r="G716" s="8" t="s">
        <v>218</v>
      </c>
      <c r="H716" s="8" t="s">
        <v>426</v>
      </c>
      <c r="I716" s="7" t="str">
        <f>_xlfn.CONCAT(Paper_Reference[[#This Row],[Lvl]:[Paper Description]])</f>
        <v>2G44WM311PB23SYN3 UV L COMMON 41.875 X 1241101100WM311-4300IQ MAPLE LANE LH</v>
      </c>
      <c r="J716" s="7">
        <f>COUNTIF(Paper_Reference[Duplicate Key],Paper_Reference[[#This Row],[Duplicate Key]])</f>
        <v>1</v>
      </c>
    </row>
    <row r="717" spans="1:10">
      <c r="A717" s="7">
        <v>2</v>
      </c>
      <c r="B717" s="8" t="s">
        <v>54</v>
      </c>
      <c r="C717" s="8" t="s">
        <v>55</v>
      </c>
      <c r="D717" s="7">
        <v>1</v>
      </c>
      <c r="E717" s="7">
        <v>10</v>
      </c>
      <c r="F717" s="7">
        <v>0.33329999999999999</v>
      </c>
      <c r="G717" s="8" t="s">
        <v>218</v>
      </c>
      <c r="H717" s="8" t="s">
        <v>426</v>
      </c>
      <c r="I717" s="7" t="str">
        <f>_xlfn.CONCAT(Paper_Reference[[#This Row],[Lvl]:[Paper Description]])</f>
        <v>2G44WM311PM37SYN3 UV L SHORT 41.875X47.1251100.3333100WM311-4300IQ MAPLE LANE LH</v>
      </c>
      <c r="J717" s="7">
        <f>COUNTIF(Paper_Reference[Duplicate Key],Paper_Reference[[#This Row],[Duplicate Key]])</f>
        <v>1</v>
      </c>
    </row>
    <row r="718" spans="1:10">
      <c r="A718" s="7">
        <v>2</v>
      </c>
      <c r="B718" s="8" t="s">
        <v>51</v>
      </c>
      <c r="C718" s="8" t="s">
        <v>52</v>
      </c>
      <c r="D718" s="7">
        <v>1</v>
      </c>
      <c r="E718" s="7">
        <v>10</v>
      </c>
      <c r="F718" s="7">
        <v>1</v>
      </c>
      <c r="G718" s="8" t="s">
        <v>218</v>
      </c>
      <c r="H718" s="8" t="s">
        <v>426</v>
      </c>
      <c r="I718" s="7" t="str">
        <f>_xlfn.CONCAT(Paper_Reference[[#This Row],[Lvl]:[Paper Description]])</f>
        <v>2G44WM311PM61SYN3 UV L COMMON 41.875 X 1441101100WM311-4300IQ MAPLE LANE LH</v>
      </c>
      <c r="J718" s="7">
        <f>COUNTIF(Paper_Reference[Duplicate Key],Paper_Reference[[#This Row],[Duplicate Key]])</f>
        <v>1</v>
      </c>
    </row>
    <row r="719" spans="1:10">
      <c r="A719" s="7">
        <v>2</v>
      </c>
      <c r="B719" s="8" t="s">
        <v>9119</v>
      </c>
      <c r="C719" s="8" t="s">
        <v>9063</v>
      </c>
      <c r="D719" s="7">
        <v>1</v>
      </c>
      <c r="E719" s="7">
        <v>10</v>
      </c>
      <c r="F719" s="7">
        <v>0.33329999999999999</v>
      </c>
      <c r="G719" s="8" t="s">
        <v>219</v>
      </c>
      <c r="H719" s="8" t="s">
        <v>427</v>
      </c>
      <c r="I719" s="7" t="str">
        <f>_xlfn.CONCAT(Paper_Reference[[#This Row],[Lvl]:[Paper Description]])</f>
        <v>2G44WM321PM36SYN3 UV R SHORT 41.875X47.1251100.3333100WM321-4300IQ MAPLE LANE RH</v>
      </c>
      <c r="J719" s="7">
        <f>COUNTIF(Paper_Reference[Duplicate Key],Paper_Reference[[#This Row],[Duplicate Key]])</f>
        <v>1</v>
      </c>
    </row>
    <row r="720" spans="1:10">
      <c r="A720" s="7">
        <v>2</v>
      </c>
      <c r="B720" s="8" t="s">
        <v>8725</v>
      </c>
      <c r="C720" s="8" t="s">
        <v>8726</v>
      </c>
      <c r="D720" s="7">
        <v>1</v>
      </c>
      <c r="E720" s="7">
        <v>10</v>
      </c>
      <c r="F720" s="7">
        <v>1</v>
      </c>
      <c r="G720" s="8" t="s">
        <v>219</v>
      </c>
      <c r="H720" s="8" t="s">
        <v>427</v>
      </c>
      <c r="I720" s="7" t="str">
        <f>_xlfn.CONCAT(Paper_Reference[[#This Row],[Lvl]:[Paper Description]])</f>
        <v>2G44WM321PM61SYN3 UV R COMMON 41.875 X 1441101100WM321-4300IQ MAPLE LANE RH</v>
      </c>
      <c r="J720" s="7">
        <f>COUNTIF(Paper_Reference[Duplicate Key],Paper_Reference[[#This Row],[Duplicate Key]])</f>
        <v>1</v>
      </c>
    </row>
    <row r="721" spans="1:10">
      <c r="A721" s="7">
        <v>2</v>
      </c>
      <c r="B721" s="8" t="s">
        <v>965</v>
      </c>
      <c r="C721" s="8" t="s">
        <v>958</v>
      </c>
      <c r="D721" s="7">
        <v>1</v>
      </c>
      <c r="E721" s="7">
        <v>10</v>
      </c>
      <c r="F721" s="7">
        <v>0.25</v>
      </c>
      <c r="G721" s="8" t="s">
        <v>955</v>
      </c>
      <c r="H721" s="8" t="s">
        <v>956</v>
      </c>
      <c r="I721" s="7" t="str">
        <f>_xlfn.CONCAT(Paper_Reference[[#This Row],[Lvl]:[Paper Description]])</f>
        <v>2G44WW070AM38WW070  UV N/BALL RET 13.87X1441100.25100WW070-6200BRUNSWICK GUN SAV WAL W/BL</v>
      </c>
      <c r="J721" s="7">
        <f>COUNTIF(Paper_Reference[Duplicate Key],Paper_Reference[[#This Row],[Duplicate Key]])</f>
        <v>1</v>
      </c>
    </row>
    <row r="722" spans="1:10">
      <c r="A722" s="7">
        <v>3</v>
      </c>
      <c r="B722" s="8" t="s">
        <v>965</v>
      </c>
      <c r="C722" s="8" t="s">
        <v>958</v>
      </c>
      <c r="D722" s="7">
        <v>1</v>
      </c>
      <c r="E722" s="7">
        <v>10</v>
      </c>
      <c r="F722" s="7">
        <v>0.25</v>
      </c>
      <c r="G722" s="8" t="s">
        <v>5373</v>
      </c>
      <c r="H722" s="8" t="s">
        <v>5374</v>
      </c>
      <c r="I722" s="7" t="str">
        <f>_xlfn.CONCAT(Paper_Reference[[#This Row],[Lvl]:[Paper Description]])</f>
        <v>3G44WW070AM38WW070  UV N/BALL RET 13.87X1441100.25100WW971-6200GUN SAVOY WALNUT</v>
      </c>
      <c r="J722" s="7">
        <f>COUNTIF(Paper_Reference[Duplicate Key],Paper_Reference[[#This Row],[Duplicate Key]])</f>
        <v>1</v>
      </c>
    </row>
    <row r="723" spans="1:10">
      <c r="A723" s="7">
        <v>2</v>
      </c>
      <c r="B723" s="8" t="s">
        <v>966</v>
      </c>
      <c r="C723" s="8" t="s">
        <v>959</v>
      </c>
      <c r="D723" s="7">
        <v>1</v>
      </c>
      <c r="E723" s="7">
        <v>10</v>
      </c>
      <c r="F723" s="7">
        <v>0.33329999999999999</v>
      </c>
      <c r="G723" s="8" t="s">
        <v>955</v>
      </c>
      <c r="H723" s="8" t="s">
        <v>956</v>
      </c>
      <c r="I723" s="7" t="str">
        <f>_xlfn.CONCAT(Paper_Reference[[#This Row],[Lvl]:[Paper Description]])</f>
        <v>2G44WW070AM39WW070 UV W/BALL RET 14.7X1441100.3333100WW070-6200BRUNSWICK GUN SAV WAL W/BL</v>
      </c>
      <c r="J723" s="7">
        <f>COUNTIF(Paper_Reference[Duplicate Key],Paper_Reference[[#This Row],[Duplicate Key]])</f>
        <v>1</v>
      </c>
    </row>
    <row r="724" spans="1:10">
      <c r="A724" s="7">
        <v>3</v>
      </c>
      <c r="B724" s="8" t="s">
        <v>966</v>
      </c>
      <c r="C724" s="8" t="s">
        <v>959</v>
      </c>
      <c r="D724" s="7">
        <v>1</v>
      </c>
      <c r="E724" s="7">
        <v>10</v>
      </c>
      <c r="F724" s="7">
        <v>0.33329999999999999</v>
      </c>
      <c r="G724" s="8" t="s">
        <v>5373</v>
      </c>
      <c r="H724" s="8" t="s">
        <v>5374</v>
      </c>
      <c r="I724" s="7" t="str">
        <f>_xlfn.CONCAT(Paper_Reference[[#This Row],[Lvl]:[Paper Description]])</f>
        <v>3G44WW070AM39WW070 UV W/BALL RET 14.7X1441100.3333100WW971-6200GUN SAVOY WALNUT</v>
      </c>
      <c r="J724" s="7">
        <f>COUNTIF(Paper_Reference[Duplicate Key],Paper_Reference[[#This Row],[Duplicate Key]])</f>
        <v>1</v>
      </c>
    </row>
    <row r="725" spans="1:10">
      <c r="A725" s="7">
        <v>2</v>
      </c>
      <c r="B725" s="8" t="s">
        <v>967</v>
      </c>
      <c r="C725" s="8" t="s">
        <v>960</v>
      </c>
      <c r="D725" s="7">
        <v>1</v>
      </c>
      <c r="E725" s="7">
        <v>10</v>
      </c>
      <c r="F725" s="7">
        <v>1</v>
      </c>
      <c r="G725" s="8" t="s">
        <v>955</v>
      </c>
      <c r="H725" s="8" t="s">
        <v>956</v>
      </c>
      <c r="I725" s="7" t="str">
        <f>_xlfn.CONCAT(Paper_Reference[[#This Row],[Lvl]:[Paper Description]])</f>
        <v>2G44WW070ASWGWW070 UV W/WAY 42 7/8 X 145 1/1101100WW070-6200BRUNSWICK GUN SAV WAL W/BL</v>
      </c>
      <c r="J725" s="7">
        <f>COUNTIF(Paper_Reference[Duplicate Key],Paper_Reference[[#This Row],[Duplicate Key]])</f>
        <v>1</v>
      </c>
    </row>
    <row r="726" spans="1:10">
      <c r="A726" s="7">
        <v>3</v>
      </c>
      <c r="B726" s="8" t="s">
        <v>967</v>
      </c>
      <c r="C726" s="8" t="s">
        <v>960</v>
      </c>
      <c r="D726" s="7">
        <v>1</v>
      </c>
      <c r="E726" s="7">
        <v>10</v>
      </c>
      <c r="F726" s="7">
        <v>1</v>
      </c>
      <c r="G726" s="8" t="s">
        <v>5373</v>
      </c>
      <c r="H726" s="8" t="s">
        <v>5374</v>
      </c>
      <c r="I726" s="7" t="str">
        <f>_xlfn.CONCAT(Paper_Reference[[#This Row],[Lvl]:[Paper Description]])</f>
        <v>3G44WW070ASWGWW070 UV W/WAY 42 7/8 X 145 1/1101100WW971-6200GUN SAVOY WALNUT</v>
      </c>
      <c r="J726" s="7">
        <f>COUNTIF(Paper_Reference[Duplicate Key],Paper_Reference[[#This Row],[Duplicate Key]])</f>
        <v>1</v>
      </c>
    </row>
    <row r="727" spans="1:10">
      <c r="A727" s="7">
        <v>2</v>
      </c>
      <c r="B727" s="8" t="s">
        <v>65</v>
      </c>
      <c r="C727" s="8" t="s">
        <v>66</v>
      </c>
      <c r="D727" s="7">
        <v>1</v>
      </c>
      <c r="E727" s="7">
        <v>10</v>
      </c>
      <c r="F727" s="7">
        <v>0.25</v>
      </c>
      <c r="G727" s="8" t="s">
        <v>217</v>
      </c>
      <c r="H727" s="8" t="s">
        <v>3229</v>
      </c>
      <c r="I727" s="7" t="str">
        <f>_xlfn.CONCAT(Paper_Reference[[#This Row],[Lvl]:[Paper Description]])</f>
        <v>2G46WM301AM38SYN3 UV BALL RET 13.87 X 1441100.25100WM301-6200IQ MAPLE LANE (C) 60 X 144</v>
      </c>
      <c r="J727" s="7">
        <f>COUNTIF(Paper_Reference[Duplicate Key],Paper_Reference[[#This Row],[Duplicate Key]])</f>
        <v>1</v>
      </c>
    </row>
    <row r="728" spans="1:10">
      <c r="A728" s="7">
        <v>2</v>
      </c>
      <c r="B728" s="8" t="s">
        <v>65</v>
      </c>
      <c r="C728" s="8" t="s">
        <v>66</v>
      </c>
      <c r="D728" s="7">
        <v>1</v>
      </c>
      <c r="E728" s="7">
        <v>10</v>
      </c>
      <c r="F728" s="7">
        <v>0.25</v>
      </c>
      <c r="G728" s="8" t="s">
        <v>217</v>
      </c>
      <c r="H728" s="8" t="s">
        <v>425</v>
      </c>
      <c r="I728" s="7" t="str">
        <f>_xlfn.CONCAT(Paper_Reference[[#This Row],[Lvl]:[Paper Description]])</f>
        <v>2G46WM301AM38SYN3 UV BALL RET 13.87 X 1441100.25100WM301-6200IQ MAPLE LANE (CENTER)</v>
      </c>
      <c r="J728" s="7">
        <f>COUNTIF(Paper_Reference[Duplicate Key],Paper_Reference[[#This Row],[Duplicate Key]])</f>
        <v>1</v>
      </c>
    </row>
    <row r="729" spans="1:10">
      <c r="A729" s="7">
        <v>2</v>
      </c>
      <c r="B729" s="8" t="s">
        <v>506</v>
      </c>
      <c r="C729" s="8" t="s">
        <v>279</v>
      </c>
      <c r="D729" s="7">
        <v>1</v>
      </c>
      <c r="E729" s="7">
        <v>10</v>
      </c>
      <c r="F729" s="7">
        <v>0.33329999999999999</v>
      </c>
      <c r="G729" s="8" t="s">
        <v>217</v>
      </c>
      <c r="H729" s="8" t="s">
        <v>3229</v>
      </c>
      <c r="I729" s="7" t="str">
        <f>_xlfn.CONCAT(Paper_Reference[[#This Row],[Lvl]:[Paper Description]])</f>
        <v>2G46WM301AM39SYN3 UV W BALL RET 14.7 X 1441100.3333100WM301-6200IQ MAPLE LANE (C) 60 X 144</v>
      </c>
      <c r="J729" s="7">
        <f>COUNTIF(Paper_Reference[Duplicate Key],Paper_Reference[[#This Row],[Duplicate Key]])</f>
        <v>1</v>
      </c>
    </row>
    <row r="730" spans="1:10">
      <c r="A730" s="7">
        <v>2</v>
      </c>
      <c r="B730" s="8" t="s">
        <v>506</v>
      </c>
      <c r="C730" s="8" t="s">
        <v>279</v>
      </c>
      <c r="D730" s="7">
        <v>1</v>
      </c>
      <c r="E730" s="7">
        <v>10</v>
      </c>
      <c r="F730" s="7">
        <v>0.33329999999999999</v>
      </c>
      <c r="G730" s="8" t="s">
        <v>217</v>
      </c>
      <c r="H730" s="8" t="s">
        <v>425</v>
      </c>
      <c r="I730" s="7" t="str">
        <f>_xlfn.CONCAT(Paper_Reference[[#This Row],[Lvl]:[Paper Description]])</f>
        <v>2G46WM301AM39SYN3 UV W BALL RET 14.7 X 1441100.3333100WM301-6200IQ MAPLE LANE (CENTER)</v>
      </c>
      <c r="J730" s="7">
        <f>COUNTIF(Paper_Reference[Duplicate Key],Paper_Reference[[#This Row],[Duplicate Key]])</f>
        <v>1</v>
      </c>
    </row>
    <row r="731" spans="1:10">
      <c r="A731" s="7">
        <v>2</v>
      </c>
      <c r="B731" s="8" t="s">
        <v>585</v>
      </c>
      <c r="C731" s="8" t="s">
        <v>356</v>
      </c>
      <c r="D731" s="7">
        <v>1</v>
      </c>
      <c r="E731" s="7">
        <v>10</v>
      </c>
      <c r="F731" s="7">
        <v>6.25E-2</v>
      </c>
      <c r="G731" s="8" t="s">
        <v>218</v>
      </c>
      <c r="H731" s="8" t="s">
        <v>426</v>
      </c>
      <c r="I731" s="7" t="str">
        <f>_xlfn.CONCAT(Paper_Reference[[#This Row],[Lvl]:[Paper Description]])</f>
        <v>2G46WM311AM03SYN3 UV DIV END 1.38 X 1321100.0625100WM311-4300IQ MAPLE LANE LH</v>
      </c>
      <c r="J731" s="7">
        <f>COUNTIF(Paper_Reference[Duplicate Key],Paper_Reference[[#This Row],[Duplicate Key]])</f>
        <v>1</v>
      </c>
    </row>
    <row r="732" spans="1:10">
      <c r="A732" s="7">
        <v>2</v>
      </c>
      <c r="B732" s="8" t="s">
        <v>68</v>
      </c>
      <c r="C732" s="8" t="s">
        <v>69</v>
      </c>
      <c r="D732" s="7">
        <v>1</v>
      </c>
      <c r="E732" s="7">
        <v>10</v>
      </c>
      <c r="F732" s="7">
        <v>1</v>
      </c>
      <c r="G732" s="8" t="s">
        <v>218</v>
      </c>
      <c r="H732" s="8" t="s">
        <v>426</v>
      </c>
      <c r="I732" s="7" t="str">
        <f>_xlfn.CONCAT(Paper_Reference[[#This Row],[Lvl]:[Paper Description]])</f>
        <v>2G46WM311ASWGSYN3 UV W/WAY 42 7/8 X 145 1/41101100WM311-4300IQ MAPLE LANE LH</v>
      </c>
      <c r="J732" s="7">
        <f>COUNTIF(Paper_Reference[Duplicate Key],Paper_Reference[[#This Row],[Duplicate Key]])</f>
        <v>1</v>
      </c>
    </row>
    <row r="733" spans="1:10">
      <c r="A733" s="7">
        <v>2</v>
      </c>
      <c r="B733" s="8" t="s">
        <v>586</v>
      </c>
      <c r="C733" s="8" t="s">
        <v>69</v>
      </c>
      <c r="D733" s="7">
        <v>1</v>
      </c>
      <c r="E733" s="7">
        <v>10</v>
      </c>
      <c r="F733" s="7">
        <v>1</v>
      </c>
      <c r="G733" s="8" t="s">
        <v>218</v>
      </c>
      <c r="H733" s="8" t="s">
        <v>426</v>
      </c>
      <c r="I733" s="7" t="str">
        <f>_xlfn.CONCAT(Paper_Reference[[#This Row],[Lvl]:[Paper Description]])</f>
        <v>2G46WM311PSWGSYN3 UV W/WAY 42 7/8 X 145 1/41101100WM311-4300IQ MAPLE LANE LH</v>
      </c>
      <c r="J733" s="7">
        <f>COUNTIF(Paper_Reference[Duplicate Key],Paper_Reference[[#This Row],[Duplicate Key]])</f>
        <v>1</v>
      </c>
    </row>
    <row r="734" spans="1:10">
      <c r="A734" s="7">
        <v>2</v>
      </c>
      <c r="B734" s="8" t="s">
        <v>5545</v>
      </c>
      <c r="C734" s="8" t="s">
        <v>5389</v>
      </c>
      <c r="D734" s="7">
        <v>1</v>
      </c>
      <c r="E734" s="7">
        <v>10</v>
      </c>
      <c r="F734" s="7">
        <v>0.25</v>
      </c>
      <c r="G734" s="8" t="s">
        <v>5373</v>
      </c>
      <c r="H734" s="8" t="s">
        <v>5374</v>
      </c>
      <c r="I734" s="7" t="str">
        <f>_xlfn.CONCAT(Paper_Reference[[#This Row],[Lvl]:[Paper Description]])</f>
        <v>2G46WW974AM38WW974 CGS UV BALL RET 13.87 X1100.25100WW971-6200GUN SAVOY WALNUT</v>
      </c>
      <c r="J734" s="7">
        <f>COUNTIF(Paper_Reference[Duplicate Key],Paper_Reference[[#This Row],[Duplicate Key]])</f>
        <v>1</v>
      </c>
    </row>
    <row r="735" spans="1:10">
      <c r="A735" s="7">
        <v>2</v>
      </c>
      <c r="B735" s="8" t="s">
        <v>507</v>
      </c>
      <c r="C735" s="8" t="s">
        <v>280</v>
      </c>
      <c r="D735" s="7">
        <v>1</v>
      </c>
      <c r="E735" s="7">
        <v>10</v>
      </c>
      <c r="F735" s="7">
        <v>0.25</v>
      </c>
      <c r="G735" s="8" t="s">
        <v>217</v>
      </c>
      <c r="H735" s="8" t="s">
        <v>3229</v>
      </c>
      <c r="I735" s="7" t="str">
        <f>_xlfn.CONCAT(Paper_Reference[[#This Row],[Lvl]:[Paper Description]])</f>
        <v>2G46YB056AM38SYN3 TEX UV RET DO 13.87X1441100.25100WM301-6200IQ MAPLE LANE (C) 60 X 144</v>
      </c>
      <c r="J735" s="7">
        <f>COUNTIF(Paper_Reference[Duplicate Key],Paper_Reference[[#This Row],[Duplicate Key]])</f>
        <v>1</v>
      </c>
    </row>
    <row r="736" spans="1:10">
      <c r="A736" s="7">
        <v>2</v>
      </c>
      <c r="B736" s="8" t="s">
        <v>507</v>
      </c>
      <c r="C736" s="8" t="s">
        <v>280</v>
      </c>
      <c r="D736" s="7">
        <v>1</v>
      </c>
      <c r="E736" s="7">
        <v>10</v>
      </c>
      <c r="F736" s="7">
        <v>0.25</v>
      </c>
      <c r="G736" s="8" t="s">
        <v>217</v>
      </c>
      <c r="H736" s="8" t="s">
        <v>425</v>
      </c>
      <c r="I736" s="7" t="str">
        <f>_xlfn.CONCAT(Paper_Reference[[#This Row],[Lvl]:[Paper Description]])</f>
        <v>2G46YB056AM38SYN3 TEX UV RET DO 13.87X1441100.25100WM301-6200IQ MAPLE LANE (CENTER)</v>
      </c>
      <c r="J736" s="7">
        <f>COUNTIF(Paper_Reference[Duplicate Key],Paper_Reference[[#This Row],[Duplicate Key]])</f>
        <v>1</v>
      </c>
    </row>
    <row r="737" spans="1:10">
      <c r="A737" s="7">
        <v>2</v>
      </c>
      <c r="B737" s="8" t="s">
        <v>508</v>
      </c>
      <c r="C737" s="8" t="s">
        <v>281</v>
      </c>
      <c r="D737" s="7">
        <v>1</v>
      </c>
      <c r="E737" s="7">
        <v>10</v>
      </c>
      <c r="F737" s="7">
        <v>0.33329999999999999</v>
      </c>
      <c r="G737" s="8" t="s">
        <v>217</v>
      </c>
      <c r="H737" s="8" t="s">
        <v>3229</v>
      </c>
      <c r="I737" s="7" t="str">
        <f>_xlfn.CONCAT(Paper_Reference[[#This Row],[Lvl]:[Paper Description]])</f>
        <v>2G46YB056AM39SYN3 TEXUV W RET DO 14.7X1441100.3333100WM301-6200IQ MAPLE LANE (C) 60 X 144</v>
      </c>
      <c r="J737" s="7">
        <f>COUNTIF(Paper_Reference[Duplicate Key],Paper_Reference[[#This Row],[Duplicate Key]])</f>
        <v>1</v>
      </c>
    </row>
    <row r="738" spans="1:10">
      <c r="A738" s="7">
        <v>2</v>
      </c>
      <c r="B738" s="8" t="s">
        <v>508</v>
      </c>
      <c r="C738" s="8" t="s">
        <v>281</v>
      </c>
      <c r="D738" s="7">
        <v>1</v>
      </c>
      <c r="E738" s="7">
        <v>10</v>
      </c>
      <c r="F738" s="7">
        <v>0.33329999999999999</v>
      </c>
      <c r="G738" s="8" t="s">
        <v>217</v>
      </c>
      <c r="H738" s="8" t="s">
        <v>425</v>
      </c>
      <c r="I738" s="7" t="str">
        <f>_xlfn.CONCAT(Paper_Reference[[#This Row],[Lvl]:[Paper Description]])</f>
        <v>2G46YB056AM39SYN3 TEXUV W RET DO 14.7X1441100.3333100WM301-6200IQ MAPLE LANE (CENTER)</v>
      </c>
      <c r="J738" s="7">
        <f>COUNTIF(Paper_Reference[Duplicate Key],Paper_Reference[[#This Row],[Duplicate Key]])</f>
        <v>1</v>
      </c>
    </row>
    <row r="739" spans="1:10">
      <c r="A739" s="7">
        <v>2</v>
      </c>
      <c r="B739" s="8" t="s">
        <v>587</v>
      </c>
      <c r="C739" s="8" t="s">
        <v>357</v>
      </c>
      <c r="D739" s="7">
        <v>1</v>
      </c>
      <c r="E739" s="7">
        <v>10</v>
      </c>
      <c r="F739" s="7">
        <v>1</v>
      </c>
      <c r="G739" s="8" t="s">
        <v>218</v>
      </c>
      <c r="H739" s="8" t="s">
        <v>426</v>
      </c>
      <c r="I739" s="7" t="str">
        <f>_xlfn.CONCAT(Paper_Reference[[#This Row],[Lvl]:[Paper Description]])</f>
        <v>2G46YB056ASWGSYN3 TEX UV WW DO 42 7/8X145 11101100WM311-4300IQ MAPLE LANE LH</v>
      </c>
      <c r="J739" s="7">
        <f>COUNTIF(Paper_Reference[Duplicate Key],Paper_Reference[[#This Row],[Duplicate Key]])</f>
        <v>1</v>
      </c>
    </row>
    <row r="740" spans="1:10">
      <c r="A740" s="7">
        <v>2</v>
      </c>
      <c r="B740" s="8" t="s">
        <v>9588</v>
      </c>
      <c r="C740" s="8" t="s">
        <v>9152</v>
      </c>
      <c r="D740" s="7">
        <v>1</v>
      </c>
      <c r="E740" s="7">
        <v>10</v>
      </c>
      <c r="F740" s="7">
        <v>1</v>
      </c>
      <c r="G740" s="8" t="s">
        <v>9143</v>
      </c>
      <c r="H740" s="8" t="s">
        <v>9144</v>
      </c>
      <c r="I740" s="30" t="str">
        <f>_xlfn.CONCAT(Paper_Reference[[#This Row],[Lvl]:[Paper Description]])</f>
        <v>2G48PFA39CR520SING CHICAGO BLUES 60 X 1441101100PFA39-6200SINGING THE CHICAGO BLUES</v>
      </c>
      <c r="J740" s="30">
        <f>COUNTIF(Paper_Reference[Duplicate Key],Paper_Reference[[#This Row],[Duplicate Key]])</f>
        <v>1</v>
      </c>
    </row>
    <row r="741" spans="1:10">
      <c r="A741" s="7">
        <v>2</v>
      </c>
      <c r="B741" s="8" t="s">
        <v>9589</v>
      </c>
      <c r="C741" s="8" t="s">
        <v>9152</v>
      </c>
      <c r="D741" s="7">
        <v>1</v>
      </c>
      <c r="E741" s="7">
        <v>10</v>
      </c>
      <c r="F741" s="7">
        <v>1</v>
      </c>
      <c r="G741" s="8" t="s">
        <v>9143</v>
      </c>
      <c r="H741" s="8" t="s">
        <v>9144</v>
      </c>
      <c r="I741" s="30" t="str">
        <f>_xlfn.CONCAT(Paper_Reference[[#This Row],[Lvl]:[Paper Description]])</f>
        <v>2G48PFA39G5201SING CHICAGO BLUES 60 X 1441101100PFA39-6200SINGING THE CHICAGO BLUES</v>
      </c>
      <c r="J741" s="30">
        <f>COUNTIF(Paper_Reference[Duplicate Key],Paper_Reference[[#This Row],[Duplicate Key]])</f>
        <v>1</v>
      </c>
    </row>
    <row r="742" spans="1:10">
      <c r="A742" s="7">
        <v>2</v>
      </c>
      <c r="B742" s="8" t="s">
        <v>9590</v>
      </c>
      <c r="C742" s="8" t="s">
        <v>9152</v>
      </c>
      <c r="D742" s="7">
        <v>1</v>
      </c>
      <c r="E742" s="7">
        <v>10</v>
      </c>
      <c r="F742" s="7">
        <v>1</v>
      </c>
      <c r="G742" s="8" t="s">
        <v>9143</v>
      </c>
      <c r="H742" s="8" t="s">
        <v>9144</v>
      </c>
      <c r="I742" s="30" t="str">
        <f>_xlfn.CONCAT(Paper_Reference[[#This Row],[Lvl]:[Paper Description]])</f>
        <v>2G48PFA39GL5201SING CHICAGO BLUES 60 X 1441101100PFA39-6200SINGING THE CHICAGO BLUES</v>
      </c>
      <c r="J742" s="30">
        <f>COUNTIF(Paper_Reference[Duplicate Key],Paper_Reference[[#This Row],[Duplicate Key]])</f>
        <v>1</v>
      </c>
    </row>
    <row r="743" spans="1:10">
      <c r="A743" s="7">
        <v>2</v>
      </c>
      <c r="B743" s="8" t="s">
        <v>9591</v>
      </c>
      <c r="C743" s="8" t="s">
        <v>9309</v>
      </c>
      <c r="D743" s="7">
        <v>1</v>
      </c>
      <c r="E743" s="7">
        <v>10</v>
      </c>
      <c r="F743" s="7">
        <v>0.5</v>
      </c>
      <c r="G743" s="8" t="s">
        <v>9143</v>
      </c>
      <c r="H743" s="8" t="s">
        <v>9144</v>
      </c>
      <c r="I743" s="30" t="str">
        <f>_xlfn.CONCAT(Paper_Reference[[#This Row],[Lvl]:[Paper Description]])</f>
        <v>2G48PFA39J020SING CHICAGO BLUES 30 X 1441100.5100PFA39-6200SINGING THE CHICAGO BLUES</v>
      </c>
      <c r="J743" s="30">
        <f>COUNTIF(Paper_Reference[Duplicate Key],Paper_Reference[[#This Row],[Duplicate Key]])</f>
        <v>1</v>
      </c>
    </row>
    <row r="744" spans="1:10">
      <c r="A744" s="7">
        <v>2</v>
      </c>
      <c r="B744" s="8" t="s">
        <v>9592</v>
      </c>
      <c r="C744" s="8" t="s">
        <v>9152</v>
      </c>
      <c r="D744" s="7">
        <v>1</v>
      </c>
      <c r="E744" s="7">
        <v>10</v>
      </c>
      <c r="F744" s="7">
        <v>1</v>
      </c>
      <c r="G744" s="8" t="s">
        <v>9143</v>
      </c>
      <c r="H744" s="8" t="s">
        <v>9144</v>
      </c>
      <c r="I744" s="30" t="str">
        <f>_xlfn.CONCAT(Paper_Reference[[#This Row],[Lvl]:[Paper Description]])</f>
        <v>2G48PFA39J520SING CHICAGO BLUES 60 X 1441101100PFA39-6200SINGING THE CHICAGO BLUES</v>
      </c>
      <c r="J744" s="30">
        <f>COUNTIF(Paper_Reference[Duplicate Key],Paper_Reference[[#This Row],[Duplicate Key]])</f>
        <v>1</v>
      </c>
    </row>
    <row r="745" spans="1:10">
      <c r="A745" s="7">
        <v>2</v>
      </c>
      <c r="B745" s="8" t="s">
        <v>9593</v>
      </c>
      <c r="C745" s="8" t="s">
        <v>9307</v>
      </c>
      <c r="D745" s="7">
        <v>1</v>
      </c>
      <c r="E745" s="7">
        <v>10</v>
      </c>
      <c r="F745" s="7">
        <v>0.5</v>
      </c>
      <c r="G745" s="8" t="s">
        <v>9143</v>
      </c>
      <c r="H745" s="8" t="s">
        <v>9144</v>
      </c>
      <c r="I745" s="30" t="str">
        <f>_xlfn.CONCAT(Paper_Reference[[#This Row],[Lvl]:[Paper Description]])</f>
        <v>2G48PFA39N000SING CHICAGO BLUES 30 X 1201100.5100PFA39-6200SINGING THE CHICAGO BLUES</v>
      </c>
      <c r="J745" s="30">
        <f>COUNTIF(Paper_Reference[Duplicate Key],Paper_Reference[[#This Row],[Duplicate Key]])</f>
        <v>1</v>
      </c>
    </row>
    <row r="746" spans="1:10">
      <c r="A746" s="7">
        <v>2</v>
      </c>
      <c r="B746" s="8" t="s">
        <v>9594</v>
      </c>
      <c r="C746" s="8" t="s">
        <v>9309</v>
      </c>
      <c r="D746" s="7">
        <v>1</v>
      </c>
      <c r="E746" s="7">
        <v>10</v>
      </c>
      <c r="F746" s="7">
        <v>0.5</v>
      </c>
      <c r="G746" s="8" t="s">
        <v>9143</v>
      </c>
      <c r="H746" s="8" t="s">
        <v>9144</v>
      </c>
      <c r="I746" s="30" t="str">
        <f>_xlfn.CONCAT(Paper_Reference[[#This Row],[Lvl]:[Paper Description]])</f>
        <v>2G48PFA39N020SING CHICAGO BLUES 30 X 1441100.5100PFA39-6200SINGING THE CHICAGO BLUES</v>
      </c>
      <c r="J746" s="30">
        <f>COUNTIF(Paper_Reference[Duplicate Key],Paper_Reference[[#This Row],[Duplicate Key]])</f>
        <v>1</v>
      </c>
    </row>
    <row r="747" spans="1:10">
      <c r="A747" s="7">
        <v>2</v>
      </c>
      <c r="B747" s="8" t="s">
        <v>9595</v>
      </c>
      <c r="C747" s="8" t="s">
        <v>9311</v>
      </c>
      <c r="D747" s="7">
        <v>1</v>
      </c>
      <c r="E747" s="7">
        <v>10</v>
      </c>
      <c r="F747" s="7">
        <v>0.5</v>
      </c>
      <c r="G747" s="8" t="s">
        <v>9143</v>
      </c>
      <c r="H747" s="8" t="s">
        <v>9144</v>
      </c>
      <c r="I747" s="30" t="str">
        <f>_xlfn.CONCAT(Paper_Reference[[#This Row],[Lvl]:[Paper Description]])</f>
        <v>2G48PFA39N080SING CHICAGO BLUES 30 X 961100.5100PFA39-6200SINGING THE CHICAGO BLUES</v>
      </c>
      <c r="J747" s="30">
        <f>COUNTIF(Paper_Reference[Duplicate Key],Paper_Reference[[#This Row],[Duplicate Key]])</f>
        <v>1</v>
      </c>
    </row>
    <row r="748" spans="1:10">
      <c r="A748" s="7">
        <v>2</v>
      </c>
      <c r="B748" s="8" t="s">
        <v>9596</v>
      </c>
      <c r="C748" s="8" t="s">
        <v>9298</v>
      </c>
      <c r="D748" s="7">
        <v>1</v>
      </c>
      <c r="E748" s="7">
        <v>10</v>
      </c>
      <c r="F748" s="7">
        <v>1</v>
      </c>
      <c r="G748" s="8" t="s">
        <v>9143</v>
      </c>
      <c r="H748" s="8" t="s">
        <v>9144</v>
      </c>
      <c r="I748" s="30" t="str">
        <f>_xlfn.CONCAT(Paper_Reference[[#This Row],[Lvl]:[Paper Description]])</f>
        <v>2G48PFA39N500SING CHICAGO BLUES 60 X 1201101100PFA39-6200SINGING THE CHICAGO BLUES</v>
      </c>
      <c r="J748" s="30">
        <f>COUNTIF(Paper_Reference[Duplicate Key],Paper_Reference[[#This Row],[Duplicate Key]])</f>
        <v>1</v>
      </c>
    </row>
    <row r="749" spans="1:10">
      <c r="A749" s="7">
        <v>2</v>
      </c>
      <c r="B749" s="8" t="s">
        <v>9597</v>
      </c>
      <c r="C749" s="8" t="s">
        <v>9152</v>
      </c>
      <c r="D749" s="7">
        <v>1</v>
      </c>
      <c r="E749" s="7">
        <v>10</v>
      </c>
      <c r="F749" s="7">
        <v>1</v>
      </c>
      <c r="G749" s="8" t="s">
        <v>9143</v>
      </c>
      <c r="H749" s="8" t="s">
        <v>9144</v>
      </c>
      <c r="I749" s="30" t="str">
        <f>_xlfn.CONCAT(Paper_Reference[[#This Row],[Lvl]:[Paper Description]])</f>
        <v>2G48PFA39N520SING CHICAGO BLUES 60 X 1441101100PFA39-6200SINGING THE CHICAGO BLUES</v>
      </c>
      <c r="J749" s="30">
        <f>COUNTIF(Paper_Reference[Duplicate Key],Paper_Reference[[#This Row],[Duplicate Key]])</f>
        <v>1</v>
      </c>
    </row>
    <row r="750" spans="1:10">
      <c r="A750" s="7">
        <v>2</v>
      </c>
      <c r="B750" s="8" t="s">
        <v>9599</v>
      </c>
      <c r="C750" s="8" t="s">
        <v>9304</v>
      </c>
      <c r="D750" s="7">
        <v>1</v>
      </c>
      <c r="E750" s="7">
        <v>10</v>
      </c>
      <c r="F750" s="7">
        <v>1</v>
      </c>
      <c r="G750" s="8" t="s">
        <v>9143</v>
      </c>
      <c r="H750" s="8" t="s">
        <v>9144</v>
      </c>
      <c r="I750" s="30" t="str">
        <f>_xlfn.CONCAT(Paper_Reference[[#This Row],[Lvl]:[Paper Description]])</f>
        <v>2G48PFA39N580SING CHICAGO BLUES 60 X 961101100PFA39-6200SINGING THE CHICAGO BLUES</v>
      </c>
      <c r="J750" s="30">
        <f>COUNTIF(Paper_Reference[Duplicate Key],Paper_Reference[[#This Row],[Duplicate Key]])</f>
        <v>1</v>
      </c>
    </row>
    <row r="751" spans="1:10">
      <c r="A751" s="7">
        <v>2</v>
      </c>
      <c r="B751" s="8" t="s">
        <v>9598</v>
      </c>
      <c r="C751" s="8" t="s">
        <v>9304</v>
      </c>
      <c r="D751" s="7">
        <v>1</v>
      </c>
      <c r="E751" s="7">
        <v>10</v>
      </c>
      <c r="F751" s="7">
        <v>1</v>
      </c>
      <c r="G751" s="8" t="s">
        <v>9143</v>
      </c>
      <c r="H751" s="8" t="s">
        <v>9144</v>
      </c>
      <c r="I751" s="30" t="str">
        <f>_xlfn.CONCAT(Paper_Reference[[#This Row],[Lvl]:[Paper Description]])</f>
        <v>2G48PFA39N5801SING CHICAGO BLUES 60 X 961101100PFA39-6200SINGING THE CHICAGO BLUES</v>
      </c>
      <c r="J751" s="30">
        <f>COUNTIF(Paper_Reference[Duplicate Key],Paper_Reference[[#This Row],[Duplicate Key]])</f>
        <v>1</v>
      </c>
    </row>
    <row r="752" spans="1:10">
      <c r="A752" s="7">
        <v>2</v>
      </c>
      <c r="B752" s="8" t="s">
        <v>9600</v>
      </c>
      <c r="C752" s="8" t="s">
        <v>9309</v>
      </c>
      <c r="D752" s="7">
        <v>1</v>
      </c>
      <c r="E752" s="7">
        <v>10</v>
      </c>
      <c r="F752" s="7">
        <v>0.5</v>
      </c>
      <c r="G752" s="8" t="s">
        <v>9143</v>
      </c>
      <c r="H752" s="8" t="s">
        <v>9144</v>
      </c>
      <c r="I752" s="30" t="str">
        <f>_xlfn.CONCAT(Paper_Reference[[#This Row],[Lvl]:[Paper Description]])</f>
        <v>2G48PFA39SD020SING CHICAGO BLUES 30 X 1441100.5100PFA39-6200SINGING THE CHICAGO BLUES</v>
      </c>
      <c r="J752" s="30">
        <f>COUNTIF(Paper_Reference[Duplicate Key],Paper_Reference[[#This Row],[Duplicate Key]])</f>
        <v>1</v>
      </c>
    </row>
    <row r="753" spans="1:10">
      <c r="A753" s="7">
        <v>2</v>
      </c>
      <c r="B753" s="8" t="s">
        <v>9601</v>
      </c>
      <c r="C753" s="8" t="s">
        <v>9298</v>
      </c>
      <c r="D753" s="7">
        <v>1</v>
      </c>
      <c r="E753" s="7">
        <v>10</v>
      </c>
      <c r="F753" s="7">
        <v>1</v>
      </c>
      <c r="G753" s="8" t="s">
        <v>9143</v>
      </c>
      <c r="H753" s="8" t="s">
        <v>9144</v>
      </c>
      <c r="I753" s="30" t="str">
        <f>_xlfn.CONCAT(Paper_Reference[[#This Row],[Lvl]:[Paper Description]])</f>
        <v>2G48PFA39SD500SING CHICAGO BLUES 60 X 1201101100PFA39-6200SINGING THE CHICAGO BLUES</v>
      </c>
      <c r="J753" s="30">
        <f>COUNTIF(Paper_Reference[Duplicate Key],Paper_Reference[[#This Row],[Duplicate Key]])</f>
        <v>1</v>
      </c>
    </row>
    <row r="754" spans="1:10">
      <c r="A754" s="7">
        <v>2</v>
      </c>
      <c r="B754" s="8" t="s">
        <v>9602</v>
      </c>
      <c r="C754" s="8" t="s">
        <v>9152</v>
      </c>
      <c r="D754" s="7">
        <v>1</v>
      </c>
      <c r="E754" s="7">
        <v>10</v>
      </c>
      <c r="F754" s="7">
        <v>1</v>
      </c>
      <c r="G754" s="8" t="s">
        <v>9143</v>
      </c>
      <c r="H754" s="8" t="s">
        <v>9144</v>
      </c>
      <c r="I754" s="30" t="str">
        <f>_xlfn.CONCAT(Paper_Reference[[#This Row],[Lvl]:[Paper Description]])</f>
        <v>2G48PFA39SD520SING CHICAGO BLUES 60 X 1441101100PFA39-6200SINGING THE CHICAGO BLUES</v>
      </c>
      <c r="J754" s="30">
        <f>COUNTIF(Paper_Reference[Duplicate Key],Paper_Reference[[#This Row],[Duplicate Key]])</f>
        <v>1</v>
      </c>
    </row>
    <row r="755" spans="1:10">
      <c r="A755" s="7">
        <v>2</v>
      </c>
      <c r="B755" s="8" t="s">
        <v>9603</v>
      </c>
      <c r="C755" s="8" t="s">
        <v>9304</v>
      </c>
      <c r="D755" s="7">
        <v>1</v>
      </c>
      <c r="E755" s="7">
        <v>10</v>
      </c>
      <c r="F755" s="7">
        <v>1</v>
      </c>
      <c r="G755" s="8" t="s">
        <v>9143</v>
      </c>
      <c r="H755" s="8" t="s">
        <v>9144</v>
      </c>
      <c r="I755" s="30" t="str">
        <f>_xlfn.CONCAT(Paper_Reference[[#This Row],[Lvl]:[Paper Description]])</f>
        <v>2G48PFA39SD580SING CHICAGO BLUES 60 X 961101100PFA39-6200SINGING THE CHICAGO BLUES</v>
      </c>
      <c r="J755" s="30">
        <f>COUNTIF(Paper_Reference[Duplicate Key],Paper_Reference[[#This Row],[Duplicate Key]])</f>
        <v>1</v>
      </c>
    </row>
    <row r="756" spans="1:10">
      <c r="A756" s="7">
        <v>2</v>
      </c>
      <c r="B756" s="8" t="s">
        <v>4797</v>
      </c>
      <c r="C756" s="8" t="s">
        <v>4400</v>
      </c>
      <c r="D756" s="7">
        <v>1</v>
      </c>
      <c r="E756" s="7">
        <v>10</v>
      </c>
      <c r="F756" s="7">
        <v>0.5</v>
      </c>
      <c r="G756" s="8" t="s">
        <v>4371</v>
      </c>
      <c r="H756" s="8" t="s">
        <v>4372</v>
      </c>
      <c r="I756" s="7" t="str">
        <f>_xlfn.CONCAT(Paper_Reference[[#This Row],[Lvl]:[Paper Description]])</f>
        <v>2G48SE101AW080BLACK 30 X 961100.5100DS064-6200BLACK</v>
      </c>
      <c r="J756" s="7">
        <f>COUNTIF(Paper_Reference[Duplicate Key],Paper_Reference[[#This Row],[Duplicate Key]])</f>
        <v>1</v>
      </c>
    </row>
    <row r="757" spans="1:10">
      <c r="A757" s="7">
        <v>2</v>
      </c>
      <c r="B757" s="8" t="s">
        <v>4798</v>
      </c>
      <c r="C757" s="8" t="s">
        <v>4378</v>
      </c>
      <c r="D757" s="7">
        <v>1</v>
      </c>
      <c r="E757" s="7">
        <v>10</v>
      </c>
      <c r="F757" s="7">
        <v>0.5</v>
      </c>
      <c r="G757" s="8" t="s">
        <v>4371</v>
      </c>
      <c r="H757" s="8" t="s">
        <v>4372</v>
      </c>
      <c r="I757" s="7" t="str">
        <f>_xlfn.CONCAT(Paper_Reference[[#This Row],[Lvl]:[Paper Description]])</f>
        <v>2G48SE101C020BLACK 30 X 1441100.5100DS064-6200BLACK</v>
      </c>
      <c r="J757" s="7">
        <f>COUNTIF(Paper_Reference[Duplicate Key],Paper_Reference[[#This Row],[Duplicate Key]])</f>
        <v>1</v>
      </c>
    </row>
    <row r="758" spans="1:10">
      <c r="A758" s="7">
        <v>2</v>
      </c>
      <c r="B758" s="8" t="s">
        <v>4799</v>
      </c>
      <c r="C758" s="8" t="s">
        <v>4373</v>
      </c>
      <c r="D758" s="7">
        <v>1</v>
      </c>
      <c r="E758" s="7">
        <v>10</v>
      </c>
      <c r="F758" s="7">
        <v>1</v>
      </c>
      <c r="G758" s="8" t="s">
        <v>4371</v>
      </c>
      <c r="H758" s="8" t="s">
        <v>4372</v>
      </c>
      <c r="I758" s="7" t="str">
        <f>_xlfn.CONCAT(Paper_Reference[[#This Row],[Lvl]:[Paper Description]])</f>
        <v>2G48SE101C5001BLACK 60 X 1201101100DS064-6200BLACK</v>
      </c>
      <c r="J758" s="7">
        <f>COUNTIF(Paper_Reference[Duplicate Key],Paper_Reference[[#This Row],[Duplicate Key]])</f>
        <v>1</v>
      </c>
    </row>
    <row r="759" spans="1:10">
      <c r="A759" s="7">
        <v>2</v>
      </c>
      <c r="B759" s="8" t="s">
        <v>4800</v>
      </c>
      <c r="C759" s="8" t="s">
        <v>4429</v>
      </c>
      <c r="D759" s="7">
        <v>1</v>
      </c>
      <c r="E759" s="7">
        <v>10</v>
      </c>
      <c r="F759" s="7">
        <v>1</v>
      </c>
      <c r="G759" s="8" t="s">
        <v>4371</v>
      </c>
      <c r="H759" s="8" t="s">
        <v>4372</v>
      </c>
      <c r="I759" s="7" t="str">
        <f>_xlfn.CONCAT(Paper_Reference[[#This Row],[Lvl]:[Paper Description]])</f>
        <v>2G48SE101C590BLACK 60 X 1081101100DS064-6200BLACK</v>
      </c>
      <c r="J759" s="7">
        <f>COUNTIF(Paper_Reference[Duplicate Key],Paper_Reference[[#This Row],[Duplicate Key]])</f>
        <v>1</v>
      </c>
    </row>
    <row r="760" spans="1:10">
      <c r="A760" s="7">
        <v>2</v>
      </c>
      <c r="B760" s="8" t="s">
        <v>4801</v>
      </c>
      <c r="C760" s="8" t="s">
        <v>4430</v>
      </c>
      <c r="D760" s="7">
        <v>1</v>
      </c>
      <c r="E760" s="7">
        <v>10</v>
      </c>
      <c r="F760" s="7">
        <v>1</v>
      </c>
      <c r="G760" s="8" t="s">
        <v>4371</v>
      </c>
      <c r="H760" s="8" t="s">
        <v>4372</v>
      </c>
      <c r="I760" s="7" t="str">
        <f>_xlfn.CONCAT(Paper_Reference[[#This Row],[Lvl]:[Paper Description]])</f>
        <v>2G48SE101CDEM1BLACK 61 X 971101100DS064-6200BLACK</v>
      </c>
      <c r="J760" s="7">
        <f>COUNTIF(Paper_Reference[Duplicate Key],Paper_Reference[[#This Row],[Duplicate Key]])</f>
        <v>1</v>
      </c>
    </row>
    <row r="761" spans="1:10">
      <c r="A761" s="7">
        <v>3</v>
      </c>
      <c r="B761" s="8" t="s">
        <v>4802</v>
      </c>
      <c r="C761" s="8" t="s">
        <v>4431</v>
      </c>
      <c r="D761" s="7">
        <v>1</v>
      </c>
      <c r="E761" s="7">
        <v>55</v>
      </c>
      <c r="F761" s="7">
        <v>0.1</v>
      </c>
      <c r="G761" s="8" t="s">
        <v>4371</v>
      </c>
      <c r="H761" s="8" t="s">
        <v>4372</v>
      </c>
      <c r="I761" s="7" t="str">
        <f>_xlfn.CONCAT(Paper_Reference[[#This Row],[Lvl]:[Paper Description]])</f>
        <v>3G48SE101CLTK1BLACK 27 X 271550.1100DS064-6200BLACK</v>
      </c>
      <c r="J761" s="7">
        <f>COUNTIF(Paper_Reference[Duplicate Key],Paper_Reference[[#This Row],[Duplicate Key]])</f>
        <v>1</v>
      </c>
    </row>
    <row r="762" spans="1:10">
      <c r="A762" s="7">
        <v>3</v>
      </c>
      <c r="B762" s="8" t="s">
        <v>4803</v>
      </c>
      <c r="C762" s="8" t="s">
        <v>4432</v>
      </c>
      <c r="D762" s="7">
        <v>1</v>
      </c>
      <c r="E762" s="7">
        <v>55</v>
      </c>
      <c r="F762" s="7">
        <v>6.6600000000000006E-2</v>
      </c>
      <c r="G762" s="8" t="s">
        <v>4371</v>
      </c>
      <c r="H762" s="8" t="s">
        <v>4372</v>
      </c>
      <c r="I762" s="7" t="str">
        <f>_xlfn.CONCAT(Paper_Reference[[#This Row],[Lvl]:[Paper Description]])</f>
        <v>3G48SE101CNLL1BLACK 19 X 191550.0666100DS064-6200BLACK</v>
      </c>
      <c r="J762" s="7">
        <f>COUNTIF(Paper_Reference[Duplicate Key],Paper_Reference[[#This Row],[Duplicate Key]])</f>
        <v>1</v>
      </c>
    </row>
    <row r="763" spans="1:10">
      <c r="A763" s="7">
        <v>2</v>
      </c>
      <c r="B763" s="8" t="s">
        <v>4804</v>
      </c>
      <c r="C763" s="8" t="s">
        <v>4403</v>
      </c>
      <c r="D763" s="7">
        <v>1</v>
      </c>
      <c r="E763" s="7">
        <v>10</v>
      </c>
      <c r="F763" s="7">
        <v>0.5</v>
      </c>
      <c r="G763" s="8" t="s">
        <v>4371</v>
      </c>
      <c r="H763" s="8" t="s">
        <v>4372</v>
      </c>
      <c r="I763" s="7" t="str">
        <f>_xlfn.CONCAT(Paper_Reference[[#This Row],[Lvl]:[Paper Description]])</f>
        <v>2G48SE101CR000BLACK 30 X 1201100.5100DS064-6200BLACK</v>
      </c>
      <c r="J763" s="7">
        <f>COUNTIF(Paper_Reference[Duplicate Key],Paper_Reference[[#This Row],[Duplicate Key]])</f>
        <v>1</v>
      </c>
    </row>
    <row r="764" spans="1:10">
      <c r="A764" s="7">
        <v>2</v>
      </c>
      <c r="B764" s="8" t="s">
        <v>4806</v>
      </c>
      <c r="C764" s="8" t="s">
        <v>4373</v>
      </c>
      <c r="D764" s="7">
        <v>1</v>
      </c>
      <c r="E764" s="7">
        <v>10</v>
      </c>
      <c r="F764" s="7">
        <v>1</v>
      </c>
      <c r="G764" s="8" t="s">
        <v>4371</v>
      </c>
      <c r="H764" s="8" t="s">
        <v>4372</v>
      </c>
      <c r="I764" s="7" t="str">
        <f>_xlfn.CONCAT(Paper_Reference[[#This Row],[Lvl]:[Paper Description]])</f>
        <v>2G48SE101CR500BLACK 60 X 1201101100DS064-6200BLACK</v>
      </c>
      <c r="J764" s="7">
        <f>COUNTIF(Paper_Reference[Duplicate Key],Paper_Reference[[#This Row],[Duplicate Key]])</f>
        <v>1</v>
      </c>
    </row>
    <row r="765" spans="1:10">
      <c r="A765" s="7">
        <v>2</v>
      </c>
      <c r="B765" s="8" t="s">
        <v>4805</v>
      </c>
      <c r="C765" s="8" t="s">
        <v>4373</v>
      </c>
      <c r="D765" s="7">
        <v>1</v>
      </c>
      <c r="E765" s="7">
        <v>10</v>
      </c>
      <c r="F765" s="7">
        <v>1</v>
      </c>
      <c r="G765" s="8" t="s">
        <v>4371</v>
      </c>
      <c r="H765" s="8" t="s">
        <v>4372</v>
      </c>
      <c r="I765" s="7" t="str">
        <f>_xlfn.CONCAT(Paper_Reference[[#This Row],[Lvl]:[Paper Description]])</f>
        <v>2G48SE101CR5001BLACK 60 X 1201101100DS064-6200BLACK</v>
      </c>
      <c r="J765" s="7">
        <f>COUNTIF(Paper_Reference[Duplicate Key],Paper_Reference[[#This Row],[Duplicate Key]])</f>
        <v>1</v>
      </c>
    </row>
    <row r="766" spans="1:10">
      <c r="A766" s="7">
        <v>2</v>
      </c>
      <c r="B766" s="8" t="s">
        <v>4807</v>
      </c>
      <c r="C766" s="8" t="s">
        <v>4380</v>
      </c>
      <c r="D766" s="7">
        <v>1</v>
      </c>
      <c r="E766" s="7">
        <v>10</v>
      </c>
      <c r="F766" s="7">
        <v>1</v>
      </c>
      <c r="G766" s="8" t="s">
        <v>4371</v>
      </c>
      <c r="H766" s="8" t="s">
        <v>4372</v>
      </c>
      <c r="I766" s="7" t="str">
        <f>_xlfn.CONCAT(Paper_Reference[[#This Row],[Lvl]:[Paper Description]])</f>
        <v>2G48SE101CR580BLACK 60 X 961101100DS064-6200BLACK</v>
      </c>
      <c r="J766" s="7">
        <f>COUNTIF(Paper_Reference[Duplicate Key],Paper_Reference[[#This Row],[Duplicate Key]])</f>
        <v>1</v>
      </c>
    </row>
    <row r="767" spans="1:10">
      <c r="A767" s="7">
        <v>3</v>
      </c>
      <c r="B767" s="8" t="s">
        <v>4808</v>
      </c>
      <c r="C767" s="8" t="s">
        <v>4433</v>
      </c>
      <c r="D767" s="7">
        <v>1</v>
      </c>
      <c r="E767" s="7">
        <v>55</v>
      </c>
      <c r="F767" s="7">
        <v>0.25</v>
      </c>
      <c r="G767" s="8" t="s">
        <v>4371</v>
      </c>
      <c r="H767" s="8" t="s">
        <v>4372</v>
      </c>
      <c r="I767" s="7" t="str">
        <f>_xlfn.CONCAT(Paper_Reference[[#This Row],[Lvl]:[Paper Description]])</f>
        <v>3G48SE101CRTGCBLACK 30 1/4 X 72 1/41550.25100DS064-6200BLACK</v>
      </c>
      <c r="J767" s="7">
        <f>COUNTIF(Paper_Reference[Duplicate Key],Paper_Reference[[#This Row],[Duplicate Key]])</f>
        <v>1</v>
      </c>
    </row>
    <row r="768" spans="1:10">
      <c r="A768" s="7">
        <v>3</v>
      </c>
      <c r="B768" s="8" t="s">
        <v>4809</v>
      </c>
      <c r="C768" s="8" t="s">
        <v>4434</v>
      </c>
      <c r="D768" s="7">
        <v>1</v>
      </c>
      <c r="E768" s="7">
        <v>55</v>
      </c>
      <c r="F768" s="7">
        <v>8.3299999999999999E-2</v>
      </c>
      <c r="G768" s="8" t="s">
        <v>4371</v>
      </c>
      <c r="H768" s="8" t="s">
        <v>4372</v>
      </c>
      <c r="I768" s="7" t="str">
        <f>_xlfn.CONCAT(Paper_Reference[[#This Row],[Lvl]:[Paper Description]])</f>
        <v>3G48SE101CSQJBLACK 16 3/4 X 33 1/81550.0833100DS064-6200BLACK</v>
      </c>
      <c r="J768" s="7">
        <f>COUNTIF(Paper_Reference[Duplicate Key],Paper_Reference[[#This Row],[Duplicate Key]])</f>
        <v>1</v>
      </c>
    </row>
    <row r="769" spans="1:10">
      <c r="A769" s="7">
        <v>3</v>
      </c>
      <c r="B769" s="8" t="s">
        <v>4810</v>
      </c>
      <c r="C769" s="8" t="s">
        <v>4435</v>
      </c>
      <c r="D769" s="7">
        <v>1</v>
      </c>
      <c r="E769" s="7">
        <v>55</v>
      </c>
      <c r="F769" s="7">
        <v>8.3299999999999999E-2</v>
      </c>
      <c r="G769" s="8" t="s">
        <v>4371</v>
      </c>
      <c r="H769" s="8" t="s">
        <v>4372</v>
      </c>
      <c r="I769" s="7" t="str">
        <f>_xlfn.CONCAT(Paper_Reference[[#This Row],[Lvl]:[Paper Description]])</f>
        <v>3G48SE101CSQKBLACK 18 7/8 X 32 7/81550.0833100DS064-6200BLACK</v>
      </c>
      <c r="J769" s="7">
        <f>COUNTIF(Paper_Reference[Duplicate Key],Paper_Reference[[#This Row],[Duplicate Key]])</f>
        <v>1</v>
      </c>
    </row>
    <row r="770" spans="1:10">
      <c r="A770" s="7">
        <v>3</v>
      </c>
      <c r="B770" s="8" t="s">
        <v>4811</v>
      </c>
      <c r="C770" s="8" t="s">
        <v>4436</v>
      </c>
      <c r="D770" s="7">
        <v>1</v>
      </c>
      <c r="E770" s="7">
        <v>55</v>
      </c>
      <c r="F770" s="7">
        <v>0.25</v>
      </c>
      <c r="G770" s="8" t="s">
        <v>4371</v>
      </c>
      <c r="H770" s="8" t="s">
        <v>4372</v>
      </c>
      <c r="I770" s="7" t="str">
        <f>_xlfn.CONCAT(Paper_Reference[[#This Row],[Lvl]:[Paper Description]])</f>
        <v>3G48SE101CSRRBLACK 26 7/8 X 48 3/41550.25100DS064-6200BLACK</v>
      </c>
      <c r="J770" s="7">
        <f>COUNTIF(Paper_Reference[Duplicate Key],Paper_Reference[[#This Row],[Duplicate Key]])</f>
        <v>1</v>
      </c>
    </row>
    <row r="771" spans="1:10">
      <c r="A771" s="7">
        <v>3</v>
      </c>
      <c r="B771" s="8" t="s">
        <v>4812</v>
      </c>
      <c r="C771" s="8" t="s">
        <v>4437</v>
      </c>
      <c r="D771" s="7">
        <v>1</v>
      </c>
      <c r="E771" s="7">
        <v>55</v>
      </c>
      <c r="F771" s="7">
        <v>0.25</v>
      </c>
      <c r="G771" s="8" t="s">
        <v>4371</v>
      </c>
      <c r="H771" s="8" t="s">
        <v>4372</v>
      </c>
      <c r="I771" s="7" t="str">
        <f>_xlfn.CONCAT(Paper_Reference[[#This Row],[Lvl]:[Paper Description]])</f>
        <v>3G48SE101CSRSBLACK 26 7/8 X 48 1/21550.25100DS064-6200BLACK</v>
      </c>
      <c r="J771" s="7">
        <f>COUNTIF(Paper_Reference[Duplicate Key],Paper_Reference[[#This Row],[Duplicate Key]])</f>
        <v>1</v>
      </c>
    </row>
    <row r="772" spans="1:10">
      <c r="A772" s="7">
        <v>3</v>
      </c>
      <c r="B772" s="8" t="s">
        <v>4813</v>
      </c>
      <c r="C772" s="8" t="s">
        <v>4438</v>
      </c>
      <c r="D772" s="7">
        <v>1</v>
      </c>
      <c r="E772" s="7">
        <v>55</v>
      </c>
      <c r="F772" s="7">
        <v>0.25</v>
      </c>
      <c r="G772" s="8" t="s">
        <v>4371</v>
      </c>
      <c r="H772" s="8" t="s">
        <v>4372</v>
      </c>
      <c r="I772" s="7" t="str">
        <f>_xlfn.CONCAT(Paper_Reference[[#This Row],[Lvl]:[Paper Description]])</f>
        <v>3G48SE101CTCV1BLACK 28 1/2 X 68 1/41550.25100DS064-6200BLACK</v>
      </c>
      <c r="J772" s="7">
        <f>COUNTIF(Paper_Reference[Duplicate Key],Paper_Reference[[#This Row],[Duplicate Key]])</f>
        <v>1</v>
      </c>
    </row>
    <row r="773" spans="1:10">
      <c r="A773" s="7">
        <v>2</v>
      </c>
      <c r="B773" s="8" t="s">
        <v>4814</v>
      </c>
      <c r="C773" s="8" t="s">
        <v>4439</v>
      </c>
      <c r="D773" s="7">
        <v>1</v>
      </c>
      <c r="E773" s="7">
        <v>10</v>
      </c>
      <c r="F773" s="7">
        <v>1</v>
      </c>
      <c r="G773" s="8" t="s">
        <v>4371</v>
      </c>
      <c r="H773" s="8" t="s">
        <v>4372</v>
      </c>
      <c r="I773" s="7" t="str">
        <f>_xlfn.CONCAT(Paper_Reference[[#This Row],[Lvl]:[Paper Description]])</f>
        <v>2G48SE101DL400BLACK 48 X 1201101100DS064-6200BLACK</v>
      </c>
      <c r="J773" s="7">
        <f>COUNTIF(Paper_Reference[Duplicate Key],Paper_Reference[[#This Row],[Duplicate Key]])</f>
        <v>1</v>
      </c>
    </row>
    <row r="774" spans="1:10">
      <c r="A774" s="7">
        <v>2</v>
      </c>
      <c r="B774" s="8" t="s">
        <v>4815</v>
      </c>
      <c r="C774" s="8" t="s">
        <v>4373</v>
      </c>
      <c r="D774" s="7">
        <v>1</v>
      </c>
      <c r="E774" s="7">
        <v>10</v>
      </c>
      <c r="F774" s="7">
        <v>1</v>
      </c>
      <c r="G774" s="8" t="s">
        <v>4371</v>
      </c>
      <c r="H774" s="8" t="s">
        <v>4372</v>
      </c>
      <c r="I774" s="7" t="str">
        <f>_xlfn.CONCAT(Paper_Reference[[#This Row],[Lvl]:[Paper Description]])</f>
        <v>2G48SE101DL500BLACK 60 X 1201101100DS064-6200BLACK</v>
      </c>
      <c r="J774" s="7">
        <f>COUNTIF(Paper_Reference[Duplicate Key],Paper_Reference[[#This Row],[Duplicate Key]])</f>
        <v>1</v>
      </c>
    </row>
    <row r="775" spans="1:10">
      <c r="A775" s="7">
        <v>2</v>
      </c>
      <c r="B775" s="8" t="s">
        <v>4816</v>
      </c>
      <c r="C775" s="8" t="s">
        <v>4379</v>
      </c>
      <c r="D775" s="7">
        <v>1</v>
      </c>
      <c r="E775" s="7">
        <v>10</v>
      </c>
      <c r="F775" s="7">
        <v>1</v>
      </c>
      <c r="G775" s="8" t="s">
        <v>4371</v>
      </c>
      <c r="H775" s="8" t="s">
        <v>4372</v>
      </c>
      <c r="I775" s="7" t="str">
        <f>_xlfn.CONCAT(Paper_Reference[[#This Row],[Lvl]:[Paper Description]])</f>
        <v>2G48SE101DL520BLACK 60 X 1441101100DS064-6200BLACK</v>
      </c>
      <c r="J775" s="7">
        <f>COUNTIF(Paper_Reference[Duplicate Key],Paper_Reference[[#This Row],[Duplicate Key]])</f>
        <v>1</v>
      </c>
    </row>
    <row r="776" spans="1:10">
      <c r="A776" s="7">
        <v>2</v>
      </c>
      <c r="B776" s="8" t="s">
        <v>4817</v>
      </c>
      <c r="C776" s="8" t="s">
        <v>4380</v>
      </c>
      <c r="D776" s="7">
        <v>1</v>
      </c>
      <c r="E776" s="7">
        <v>10</v>
      </c>
      <c r="F776" s="7">
        <v>1</v>
      </c>
      <c r="G776" s="8" t="s">
        <v>4371</v>
      </c>
      <c r="H776" s="8" t="s">
        <v>4372</v>
      </c>
      <c r="I776" s="7" t="str">
        <f>_xlfn.CONCAT(Paper_Reference[[#This Row],[Lvl]:[Paper Description]])</f>
        <v>2G48SE101DL580BLACK 60 X 961101100DS064-6200BLACK</v>
      </c>
      <c r="J776" s="7">
        <f>COUNTIF(Paper_Reference[Duplicate Key],Paper_Reference[[#This Row],[Duplicate Key]])</f>
        <v>1</v>
      </c>
    </row>
    <row r="777" spans="1:10">
      <c r="A777" s="7">
        <v>2</v>
      </c>
      <c r="B777" s="8" t="s">
        <v>4818</v>
      </c>
      <c r="C777" s="8" t="s">
        <v>4373</v>
      </c>
      <c r="D777" s="7">
        <v>1</v>
      </c>
      <c r="E777" s="7">
        <v>10</v>
      </c>
      <c r="F777" s="7">
        <v>1</v>
      </c>
      <c r="G777" s="8" t="s">
        <v>4371</v>
      </c>
      <c r="H777" s="8" t="s">
        <v>4372</v>
      </c>
      <c r="I777" s="7" t="str">
        <f>_xlfn.CONCAT(Paper_Reference[[#This Row],[Lvl]:[Paper Description]])</f>
        <v>2G48SE101F500BLACK 60 X 1201101100DS064-6200BLACK</v>
      </c>
      <c r="J777" s="7">
        <f>COUNTIF(Paper_Reference[Duplicate Key],Paper_Reference[[#This Row],[Duplicate Key]])</f>
        <v>1</v>
      </c>
    </row>
    <row r="778" spans="1:10">
      <c r="A778" s="7">
        <v>2</v>
      </c>
      <c r="B778" s="8" t="s">
        <v>4819</v>
      </c>
      <c r="C778" s="8" t="s">
        <v>4379</v>
      </c>
      <c r="D778" s="7">
        <v>1</v>
      </c>
      <c r="E778" s="7">
        <v>10</v>
      </c>
      <c r="F778" s="7">
        <v>1</v>
      </c>
      <c r="G778" s="8" t="s">
        <v>4371</v>
      </c>
      <c r="H778" s="8" t="s">
        <v>4372</v>
      </c>
      <c r="I778" s="7" t="str">
        <f>_xlfn.CONCAT(Paper_Reference[[#This Row],[Lvl]:[Paper Description]])</f>
        <v>2G48SE101F520BLACK 60 X 1441101100DS064-6200BLACK</v>
      </c>
      <c r="J778" s="7">
        <f>COUNTIF(Paper_Reference[Duplicate Key],Paper_Reference[[#This Row],[Duplicate Key]])</f>
        <v>1</v>
      </c>
    </row>
    <row r="779" spans="1:10">
      <c r="A779" s="7">
        <v>2</v>
      </c>
      <c r="B779" s="8" t="s">
        <v>4821</v>
      </c>
      <c r="C779" s="8" t="s">
        <v>4400</v>
      </c>
      <c r="D779" s="7">
        <v>1</v>
      </c>
      <c r="E779" s="7">
        <v>10</v>
      </c>
      <c r="F779" s="7">
        <v>0.5</v>
      </c>
      <c r="G779" s="8" t="s">
        <v>4371</v>
      </c>
      <c r="H779" s="8" t="s">
        <v>4372</v>
      </c>
      <c r="I779" s="7" t="str">
        <f>_xlfn.CONCAT(Paper_Reference[[#This Row],[Lvl]:[Paper Description]])</f>
        <v>2G48SE101G080BLACK 30 X 961100.5100DS064-6200BLACK</v>
      </c>
      <c r="J779" s="7">
        <f>COUNTIF(Paper_Reference[Duplicate Key],Paper_Reference[[#This Row],[Duplicate Key]])</f>
        <v>1</v>
      </c>
    </row>
    <row r="780" spans="1:10">
      <c r="A780" s="7">
        <v>2</v>
      </c>
      <c r="B780" s="8" t="s">
        <v>4820</v>
      </c>
      <c r="C780" s="8" t="s">
        <v>4400</v>
      </c>
      <c r="D780" s="7">
        <v>1</v>
      </c>
      <c r="E780" s="7">
        <v>10</v>
      </c>
      <c r="F780" s="7">
        <v>0.5</v>
      </c>
      <c r="G780" s="8" t="s">
        <v>4371</v>
      </c>
      <c r="H780" s="8" t="s">
        <v>4372</v>
      </c>
      <c r="I780" s="7" t="str">
        <f>_xlfn.CONCAT(Paper_Reference[[#This Row],[Lvl]:[Paper Description]])</f>
        <v>2G48SE101G0801BLACK 30 X 961100.5100DS064-6200BLACK</v>
      </c>
      <c r="J780" s="7">
        <f>COUNTIF(Paper_Reference[Duplicate Key],Paper_Reference[[#This Row],[Duplicate Key]])</f>
        <v>1</v>
      </c>
    </row>
    <row r="781" spans="1:10">
      <c r="A781" s="7">
        <v>2</v>
      </c>
      <c r="B781" s="8" t="s">
        <v>4822</v>
      </c>
      <c r="C781" s="8" t="s">
        <v>4379</v>
      </c>
      <c r="D781" s="7">
        <v>1</v>
      </c>
      <c r="E781" s="7">
        <v>10</v>
      </c>
      <c r="F781" s="7">
        <v>1</v>
      </c>
      <c r="G781" s="8" t="s">
        <v>4371</v>
      </c>
      <c r="H781" s="8" t="s">
        <v>4372</v>
      </c>
      <c r="I781" s="7" t="str">
        <f>_xlfn.CONCAT(Paper_Reference[[#This Row],[Lvl]:[Paper Description]])</f>
        <v>2G48SE101G520BLACK 60 X 1441101100DS064-6200BLACK</v>
      </c>
      <c r="J781" s="7">
        <f>COUNTIF(Paper_Reference[Duplicate Key],Paper_Reference[[#This Row],[Duplicate Key]])</f>
        <v>1</v>
      </c>
    </row>
    <row r="782" spans="1:10">
      <c r="A782" s="7">
        <v>2</v>
      </c>
      <c r="B782" s="8" t="s">
        <v>4823</v>
      </c>
      <c r="C782" s="8" t="s">
        <v>4380</v>
      </c>
      <c r="D782" s="7">
        <v>1</v>
      </c>
      <c r="E782" s="7">
        <v>10</v>
      </c>
      <c r="F782" s="7">
        <v>1</v>
      </c>
      <c r="G782" s="8" t="s">
        <v>4371</v>
      </c>
      <c r="H782" s="8" t="s">
        <v>4372</v>
      </c>
      <c r="I782" s="7" t="str">
        <f>_xlfn.CONCAT(Paper_Reference[[#This Row],[Lvl]:[Paper Description]])</f>
        <v>2G48SE101G580BLACK 60 X 961101100DS064-6200BLACK</v>
      </c>
      <c r="J782" s="7">
        <f>COUNTIF(Paper_Reference[Duplicate Key],Paper_Reference[[#This Row],[Duplicate Key]])</f>
        <v>1</v>
      </c>
    </row>
    <row r="783" spans="1:10">
      <c r="A783" s="7">
        <v>2</v>
      </c>
      <c r="B783" s="8" t="s">
        <v>4824</v>
      </c>
      <c r="C783" s="8" t="s">
        <v>4440</v>
      </c>
      <c r="D783" s="7">
        <v>1</v>
      </c>
      <c r="E783" s="7">
        <v>10</v>
      </c>
      <c r="F783" s="7">
        <v>1</v>
      </c>
      <c r="G783" s="8" t="s">
        <v>4371</v>
      </c>
      <c r="H783" s="8" t="s">
        <v>4372</v>
      </c>
      <c r="I783" s="7" t="str">
        <f>_xlfn.CONCAT(Paper_Reference[[#This Row],[Lvl]:[Paper Description]])</f>
        <v>2G48SE101GL3201BLACK 36 X 1441101100DS064-6200BLACK</v>
      </c>
      <c r="J783" s="7">
        <f>COUNTIF(Paper_Reference[Duplicate Key],Paper_Reference[[#This Row],[Duplicate Key]])</f>
        <v>1</v>
      </c>
    </row>
    <row r="784" spans="1:10">
      <c r="A784" s="7">
        <v>2</v>
      </c>
      <c r="B784" s="8" t="s">
        <v>4825</v>
      </c>
      <c r="C784" s="8" t="s">
        <v>4379</v>
      </c>
      <c r="D784" s="7">
        <v>1</v>
      </c>
      <c r="E784" s="7">
        <v>10</v>
      </c>
      <c r="F784" s="7">
        <v>1</v>
      </c>
      <c r="G784" s="8" t="s">
        <v>4371</v>
      </c>
      <c r="H784" s="8" t="s">
        <v>4372</v>
      </c>
      <c r="I784" s="7" t="str">
        <f>_xlfn.CONCAT(Paper_Reference[[#This Row],[Lvl]:[Paper Description]])</f>
        <v>2G48SE101GL5201BLACK 60 X 1441101100DS064-6200BLACK</v>
      </c>
      <c r="J784" s="7">
        <f>COUNTIF(Paper_Reference[Duplicate Key],Paper_Reference[[#This Row],[Duplicate Key]])</f>
        <v>1</v>
      </c>
    </row>
    <row r="785" spans="1:10">
      <c r="A785" s="7">
        <v>3</v>
      </c>
      <c r="B785" s="8" t="s">
        <v>4826</v>
      </c>
      <c r="C785" s="8" t="s">
        <v>4441</v>
      </c>
      <c r="D785" s="7">
        <v>1</v>
      </c>
      <c r="E785" s="7">
        <v>55</v>
      </c>
      <c r="F785" s="7">
        <v>0.1666</v>
      </c>
      <c r="G785" s="8" t="s">
        <v>4371</v>
      </c>
      <c r="H785" s="8" t="s">
        <v>4372</v>
      </c>
      <c r="I785" s="7" t="str">
        <f>_xlfn.CONCAT(Paper_Reference[[#This Row],[Lvl]:[Paper Description]])</f>
        <v>3G48SE101GNXV1BLACK 8 15/16 X 83 1/41550.1666100DS064-6200BLACK</v>
      </c>
      <c r="J785" s="7">
        <f>COUNTIF(Paper_Reference[Duplicate Key],Paper_Reference[[#This Row],[Duplicate Key]])</f>
        <v>1</v>
      </c>
    </row>
    <row r="786" spans="1:10">
      <c r="A786" s="7">
        <v>3</v>
      </c>
      <c r="B786" s="8" t="s">
        <v>4827</v>
      </c>
      <c r="C786" s="8" t="s">
        <v>4442</v>
      </c>
      <c r="D786" s="7">
        <v>1</v>
      </c>
      <c r="E786" s="7">
        <v>55</v>
      </c>
      <c r="F786" s="7">
        <v>0.1111</v>
      </c>
      <c r="G786" s="8" t="s">
        <v>4371</v>
      </c>
      <c r="H786" s="8" t="s">
        <v>4372</v>
      </c>
      <c r="I786" s="7" t="str">
        <f>_xlfn.CONCAT(Paper_Reference[[#This Row],[Lvl]:[Paper Description]])</f>
        <v>3G48SE101GQAY1BLACK 20 1/8 X 38 5/81550.1111100DS064-6200BLACK</v>
      </c>
      <c r="J786" s="7">
        <f>COUNTIF(Paper_Reference[Duplicate Key],Paper_Reference[[#This Row],[Duplicate Key]])</f>
        <v>1</v>
      </c>
    </row>
    <row r="787" spans="1:10">
      <c r="A787" s="7">
        <v>3</v>
      </c>
      <c r="B787" s="8" t="s">
        <v>4828</v>
      </c>
      <c r="C787" s="8" t="s">
        <v>4443</v>
      </c>
      <c r="D787" s="7">
        <v>1</v>
      </c>
      <c r="E787" s="7">
        <v>55</v>
      </c>
      <c r="F787" s="7">
        <v>8.3299999999999999E-2</v>
      </c>
      <c r="G787" s="8" t="s">
        <v>4371</v>
      </c>
      <c r="H787" s="8" t="s">
        <v>4372</v>
      </c>
      <c r="I787" s="7" t="str">
        <f>_xlfn.CONCAT(Paper_Reference[[#This Row],[Lvl]:[Paper Description]])</f>
        <v>3G48SE101GQBB1BLACK 9 1/16 X 64 5/81550.0833100DS064-6200BLACK</v>
      </c>
      <c r="J787" s="7">
        <f>COUNTIF(Paper_Reference[Duplicate Key],Paper_Reference[[#This Row],[Duplicate Key]])</f>
        <v>1</v>
      </c>
    </row>
    <row r="788" spans="1:10">
      <c r="A788" s="7">
        <v>3</v>
      </c>
      <c r="B788" s="8" t="s">
        <v>4829</v>
      </c>
      <c r="C788" s="8" t="s">
        <v>4444</v>
      </c>
      <c r="D788" s="7">
        <v>1</v>
      </c>
      <c r="E788" s="7">
        <v>55</v>
      </c>
      <c r="F788" s="7">
        <v>0.1</v>
      </c>
      <c r="G788" s="8" t="s">
        <v>4371</v>
      </c>
      <c r="H788" s="8" t="s">
        <v>4372</v>
      </c>
      <c r="I788" s="7" t="str">
        <f>_xlfn.CONCAT(Paper_Reference[[#This Row],[Lvl]:[Paper Description]])</f>
        <v>3G48SE101GQBD1BLACK 11 1/2 X 53 7/81550.1100DS064-6200BLACK</v>
      </c>
      <c r="J788" s="7">
        <f>COUNTIF(Paper_Reference[Duplicate Key],Paper_Reference[[#This Row],[Duplicate Key]])</f>
        <v>1</v>
      </c>
    </row>
    <row r="789" spans="1:10">
      <c r="A789" s="7">
        <v>2</v>
      </c>
      <c r="B789" s="8" t="s">
        <v>4830</v>
      </c>
      <c r="C789" s="8" t="s">
        <v>4445</v>
      </c>
      <c r="D789" s="7">
        <v>1</v>
      </c>
      <c r="E789" s="7">
        <v>10</v>
      </c>
      <c r="F789" s="7">
        <v>1</v>
      </c>
      <c r="G789" s="8" t="s">
        <v>4371</v>
      </c>
      <c r="H789" s="8" t="s">
        <v>4372</v>
      </c>
      <c r="I789" s="7" t="str">
        <f>_xlfn.CONCAT(Paper_Reference[[#This Row],[Lvl]:[Paper Description]])</f>
        <v>2G48SE101GR420BLACK 48 X 1441101100DS064-6200BLACK</v>
      </c>
      <c r="J789" s="7">
        <f>COUNTIF(Paper_Reference[Duplicate Key],Paper_Reference[[#This Row],[Duplicate Key]])</f>
        <v>1</v>
      </c>
    </row>
    <row r="790" spans="1:10">
      <c r="A790" s="7">
        <v>2</v>
      </c>
      <c r="B790" s="8" t="s">
        <v>4831</v>
      </c>
      <c r="C790" s="8" t="s">
        <v>4373</v>
      </c>
      <c r="D790" s="7">
        <v>1</v>
      </c>
      <c r="E790" s="7">
        <v>10</v>
      </c>
      <c r="F790" s="7">
        <v>1</v>
      </c>
      <c r="G790" s="8" t="s">
        <v>4371</v>
      </c>
      <c r="H790" s="8" t="s">
        <v>4372</v>
      </c>
      <c r="I790" s="7" t="str">
        <f>_xlfn.CONCAT(Paper_Reference[[#This Row],[Lvl]:[Paper Description]])</f>
        <v>2G48SE101GR500BLACK 60 X 1201101100DS064-6200BLACK</v>
      </c>
      <c r="J790" s="7">
        <f>COUNTIF(Paper_Reference[Duplicate Key],Paper_Reference[[#This Row],[Duplicate Key]])</f>
        <v>1</v>
      </c>
    </row>
    <row r="791" spans="1:10">
      <c r="A791" s="7">
        <v>2</v>
      </c>
      <c r="B791" s="8" t="s">
        <v>4832</v>
      </c>
      <c r="C791" s="8" t="s">
        <v>4379</v>
      </c>
      <c r="D791" s="7">
        <v>1</v>
      </c>
      <c r="E791" s="7">
        <v>10</v>
      </c>
      <c r="F791" s="7">
        <v>1</v>
      </c>
      <c r="G791" s="8" t="s">
        <v>4371</v>
      </c>
      <c r="H791" s="8" t="s">
        <v>4372</v>
      </c>
      <c r="I791" s="7" t="str">
        <f>_xlfn.CONCAT(Paper_Reference[[#This Row],[Lvl]:[Paper Description]])</f>
        <v>2G48SE101GR520BLACK 60 X 1441101100DS064-6200BLACK</v>
      </c>
      <c r="J791" s="7">
        <f>COUNTIF(Paper_Reference[Duplicate Key],Paper_Reference[[#This Row],[Duplicate Key]])</f>
        <v>1</v>
      </c>
    </row>
    <row r="792" spans="1:10">
      <c r="A792" s="7">
        <v>2</v>
      </c>
      <c r="B792" s="8" t="s">
        <v>4833</v>
      </c>
      <c r="C792" s="8" t="s">
        <v>4380</v>
      </c>
      <c r="D792" s="7">
        <v>1</v>
      </c>
      <c r="E792" s="7">
        <v>10</v>
      </c>
      <c r="F792" s="7">
        <v>1</v>
      </c>
      <c r="G792" s="8" t="s">
        <v>4371</v>
      </c>
      <c r="H792" s="8" t="s">
        <v>4372</v>
      </c>
      <c r="I792" s="7" t="str">
        <f>_xlfn.CONCAT(Paper_Reference[[#This Row],[Lvl]:[Paper Description]])</f>
        <v>2G48SE101GR580BLACK 60 X 961101100DS064-6200BLACK</v>
      </c>
      <c r="J792" s="7">
        <f>COUNTIF(Paper_Reference[Duplicate Key],Paper_Reference[[#This Row],[Duplicate Key]])</f>
        <v>1</v>
      </c>
    </row>
    <row r="793" spans="1:10">
      <c r="A793" s="7">
        <v>2</v>
      </c>
      <c r="B793" s="8" t="s">
        <v>4834</v>
      </c>
      <c r="C793" s="8" t="s">
        <v>4373</v>
      </c>
      <c r="D793" s="7">
        <v>1</v>
      </c>
      <c r="E793" s="7">
        <v>10</v>
      </c>
      <c r="F793" s="7">
        <v>1</v>
      </c>
      <c r="G793" s="8" t="s">
        <v>4371</v>
      </c>
      <c r="H793" s="8" t="s">
        <v>4372</v>
      </c>
      <c r="I793" s="7" t="str">
        <f>_xlfn.CONCAT(Paper_Reference[[#This Row],[Lvl]:[Paper Description]])</f>
        <v>2G48SE101H500BLACK 60 X 1201101100DS064-6200BLACK</v>
      </c>
      <c r="J793" s="7">
        <f>COUNTIF(Paper_Reference[Duplicate Key],Paper_Reference[[#This Row],[Duplicate Key]])</f>
        <v>1</v>
      </c>
    </row>
    <row r="794" spans="1:10">
      <c r="A794" s="7">
        <v>2</v>
      </c>
      <c r="B794" s="8" t="s">
        <v>4836</v>
      </c>
      <c r="C794" s="8" t="s">
        <v>4379</v>
      </c>
      <c r="D794" s="7">
        <v>1</v>
      </c>
      <c r="E794" s="7">
        <v>10</v>
      </c>
      <c r="F794" s="7">
        <v>1</v>
      </c>
      <c r="G794" s="8" t="s">
        <v>4371</v>
      </c>
      <c r="H794" s="8" t="s">
        <v>4372</v>
      </c>
      <c r="I794" s="7" t="str">
        <f>_xlfn.CONCAT(Paper_Reference[[#This Row],[Lvl]:[Paper Description]])</f>
        <v>2G48SE101H520BLACK 60 X 1441101100DS064-6200BLACK</v>
      </c>
      <c r="J794" s="7">
        <f>COUNTIF(Paper_Reference[Duplicate Key],Paper_Reference[[#This Row],[Duplicate Key]])</f>
        <v>1</v>
      </c>
    </row>
    <row r="795" spans="1:10">
      <c r="A795" s="7">
        <v>2</v>
      </c>
      <c r="B795" s="8" t="s">
        <v>4835</v>
      </c>
      <c r="C795" s="8" t="s">
        <v>4379</v>
      </c>
      <c r="D795" s="7">
        <v>1</v>
      </c>
      <c r="E795" s="7">
        <v>10</v>
      </c>
      <c r="F795" s="7">
        <v>1</v>
      </c>
      <c r="G795" s="8" t="s">
        <v>4371</v>
      </c>
      <c r="H795" s="8" t="s">
        <v>4372</v>
      </c>
      <c r="I795" s="7" t="str">
        <f>_xlfn.CONCAT(Paper_Reference[[#This Row],[Lvl]:[Paper Description]])</f>
        <v>2G48SE101H5201BLACK 60 X 1441101100DS064-6200BLACK</v>
      </c>
      <c r="J795" s="7">
        <f>COUNTIF(Paper_Reference[Duplicate Key],Paper_Reference[[#This Row],[Duplicate Key]])</f>
        <v>1</v>
      </c>
    </row>
    <row r="796" spans="1:10">
      <c r="A796" s="7">
        <v>2</v>
      </c>
      <c r="B796" s="8" t="s">
        <v>4838</v>
      </c>
      <c r="C796" s="8" t="s">
        <v>4380</v>
      </c>
      <c r="D796" s="7">
        <v>1</v>
      </c>
      <c r="E796" s="7">
        <v>10</v>
      </c>
      <c r="F796" s="7">
        <v>1</v>
      </c>
      <c r="G796" s="8" t="s">
        <v>4371</v>
      </c>
      <c r="H796" s="8" t="s">
        <v>4372</v>
      </c>
      <c r="I796" s="7" t="str">
        <f>_xlfn.CONCAT(Paper_Reference[[#This Row],[Lvl]:[Paper Description]])</f>
        <v>2G48SE101H580BLACK 60 X 961101100DS064-6200BLACK</v>
      </c>
      <c r="J796" s="7">
        <f>COUNTIF(Paper_Reference[Duplicate Key],Paper_Reference[[#This Row],[Duplicate Key]])</f>
        <v>1</v>
      </c>
    </row>
    <row r="797" spans="1:10">
      <c r="A797" s="7">
        <v>2</v>
      </c>
      <c r="B797" s="8" t="s">
        <v>4837</v>
      </c>
      <c r="C797" s="8" t="s">
        <v>4380</v>
      </c>
      <c r="D797" s="7">
        <v>1</v>
      </c>
      <c r="E797" s="7">
        <v>10</v>
      </c>
      <c r="F797" s="7">
        <v>1</v>
      </c>
      <c r="G797" s="8" t="s">
        <v>4371</v>
      </c>
      <c r="H797" s="8" t="s">
        <v>4372</v>
      </c>
      <c r="I797" s="7" t="str">
        <f>_xlfn.CONCAT(Paper_Reference[[#This Row],[Lvl]:[Paper Description]])</f>
        <v>2G48SE101H5801BLACK 60 X 961101100DS064-6200BLACK</v>
      </c>
      <c r="J797" s="7">
        <f>COUNTIF(Paper_Reference[Duplicate Key],Paper_Reference[[#This Row],[Duplicate Key]])</f>
        <v>1</v>
      </c>
    </row>
    <row r="798" spans="1:10">
      <c r="A798" s="7">
        <v>2</v>
      </c>
      <c r="B798" s="8" t="s">
        <v>4839</v>
      </c>
      <c r="C798" s="8" t="s">
        <v>4446</v>
      </c>
      <c r="D798" s="7">
        <v>1</v>
      </c>
      <c r="E798" s="7">
        <v>10</v>
      </c>
      <c r="F798" s="7">
        <v>0.5</v>
      </c>
      <c r="G798" s="8" t="s">
        <v>4371</v>
      </c>
      <c r="H798" s="8" t="s">
        <v>4372</v>
      </c>
      <c r="I798" s="7" t="str">
        <f>_xlfn.CONCAT(Paper_Reference[[#This Row],[Lvl]:[Paper Description]])</f>
        <v>2G48SE101HBNT1BLACK 30 1/2 X 84 1/21100.5100DS064-6200BLACK</v>
      </c>
      <c r="J798" s="7">
        <f>COUNTIF(Paper_Reference[Duplicate Key],Paper_Reference[[#This Row],[Duplicate Key]])</f>
        <v>1</v>
      </c>
    </row>
    <row r="799" spans="1:10">
      <c r="A799" s="7">
        <v>2</v>
      </c>
      <c r="B799" s="8" t="s">
        <v>4840</v>
      </c>
      <c r="C799" s="8" t="s">
        <v>4379</v>
      </c>
      <c r="D799" s="7">
        <v>1</v>
      </c>
      <c r="E799" s="7">
        <v>10</v>
      </c>
      <c r="F799" s="7">
        <v>1</v>
      </c>
      <c r="G799" s="8" t="s">
        <v>4371</v>
      </c>
      <c r="H799" s="8" t="s">
        <v>4372</v>
      </c>
      <c r="I799" s="7" t="str">
        <f>_xlfn.CONCAT(Paper_Reference[[#This Row],[Lvl]:[Paper Description]])</f>
        <v>2G48SE101I520BLACK 60 X 1441101100DS064-6200BLACK</v>
      </c>
      <c r="J799" s="7">
        <f>COUNTIF(Paper_Reference[Duplicate Key],Paper_Reference[[#This Row],[Duplicate Key]])</f>
        <v>1</v>
      </c>
    </row>
    <row r="800" spans="1:10">
      <c r="A800" s="7">
        <v>2</v>
      </c>
      <c r="B800" s="8" t="s">
        <v>4841</v>
      </c>
      <c r="C800" s="8" t="s">
        <v>4380</v>
      </c>
      <c r="D800" s="7">
        <v>1</v>
      </c>
      <c r="E800" s="7">
        <v>10</v>
      </c>
      <c r="F800" s="7">
        <v>1</v>
      </c>
      <c r="G800" s="8" t="s">
        <v>4371</v>
      </c>
      <c r="H800" s="8" t="s">
        <v>4372</v>
      </c>
      <c r="I800" s="7" t="str">
        <f>_xlfn.CONCAT(Paper_Reference[[#This Row],[Lvl]:[Paper Description]])</f>
        <v>2G48SE101I580BLACK 60 X 961101100DS064-6200BLACK</v>
      </c>
      <c r="J800" s="7">
        <f>COUNTIF(Paper_Reference[Duplicate Key],Paper_Reference[[#This Row],[Duplicate Key]])</f>
        <v>1</v>
      </c>
    </row>
    <row r="801" spans="1:10">
      <c r="A801" s="7">
        <v>2</v>
      </c>
      <c r="B801" s="8" t="s">
        <v>4842</v>
      </c>
      <c r="C801" s="8" t="s">
        <v>4403</v>
      </c>
      <c r="D801" s="7">
        <v>1</v>
      </c>
      <c r="E801" s="7">
        <v>10</v>
      </c>
      <c r="F801" s="7">
        <v>0.5</v>
      </c>
      <c r="G801" s="8" t="s">
        <v>4371</v>
      </c>
      <c r="H801" s="8" t="s">
        <v>4372</v>
      </c>
      <c r="I801" s="7" t="str">
        <f>_xlfn.CONCAT(Paper_Reference[[#This Row],[Lvl]:[Paper Description]])</f>
        <v>2G48SE101J000BLACK 30 X 1201100.5100DS064-6200BLACK</v>
      </c>
      <c r="J801" s="7">
        <f>COUNTIF(Paper_Reference[Duplicate Key],Paper_Reference[[#This Row],[Duplicate Key]])</f>
        <v>1</v>
      </c>
    </row>
    <row r="802" spans="1:10">
      <c r="A802" s="7">
        <v>2</v>
      </c>
      <c r="B802" s="8" t="s">
        <v>4843</v>
      </c>
      <c r="C802" s="8" t="s">
        <v>4378</v>
      </c>
      <c r="D802" s="7">
        <v>1</v>
      </c>
      <c r="E802" s="7">
        <v>10</v>
      </c>
      <c r="F802" s="7">
        <v>0.5</v>
      </c>
      <c r="G802" s="8" t="s">
        <v>4371</v>
      </c>
      <c r="H802" s="8" t="s">
        <v>4372</v>
      </c>
      <c r="I802" s="7" t="str">
        <f>_xlfn.CONCAT(Paper_Reference[[#This Row],[Lvl]:[Paper Description]])</f>
        <v>2G48SE101J020BLACK 30 X 1441100.5100DS064-6200BLACK</v>
      </c>
      <c r="J802" s="7">
        <f>COUNTIF(Paper_Reference[Duplicate Key],Paper_Reference[[#This Row],[Duplicate Key]])</f>
        <v>1</v>
      </c>
    </row>
    <row r="803" spans="1:10">
      <c r="A803" s="7">
        <v>3</v>
      </c>
      <c r="B803" s="8" t="s">
        <v>4844</v>
      </c>
      <c r="C803" s="8" t="s">
        <v>4447</v>
      </c>
      <c r="D803" s="7">
        <v>1</v>
      </c>
      <c r="E803" s="7">
        <v>55</v>
      </c>
      <c r="F803" s="7">
        <v>0.25</v>
      </c>
      <c r="G803" s="8" t="s">
        <v>4371</v>
      </c>
      <c r="H803" s="8" t="s">
        <v>4372</v>
      </c>
      <c r="I803" s="7" t="str">
        <f>_xlfn.CONCAT(Paper_Reference[[#This Row],[Lvl]:[Paper Description]])</f>
        <v>3G48SE101J060BLACK 30 X 721550.25100DS064-6200BLACK</v>
      </c>
      <c r="J803" s="7">
        <f>COUNTIF(Paper_Reference[Duplicate Key],Paper_Reference[[#This Row],[Duplicate Key]])</f>
        <v>1</v>
      </c>
    </row>
    <row r="804" spans="1:10">
      <c r="A804" s="7">
        <v>2</v>
      </c>
      <c r="B804" s="8" t="s">
        <v>4845</v>
      </c>
      <c r="C804" s="8" t="s">
        <v>4400</v>
      </c>
      <c r="D804" s="7">
        <v>1</v>
      </c>
      <c r="E804" s="7">
        <v>10</v>
      </c>
      <c r="F804" s="7">
        <v>0.5</v>
      </c>
      <c r="G804" s="8" t="s">
        <v>4371</v>
      </c>
      <c r="H804" s="8" t="s">
        <v>4372</v>
      </c>
      <c r="I804" s="7" t="str">
        <f>_xlfn.CONCAT(Paper_Reference[[#This Row],[Lvl]:[Paper Description]])</f>
        <v>2G48SE101J080BLACK 30 X 961100.5100DS064-6200BLACK</v>
      </c>
      <c r="J804" s="7">
        <f>COUNTIF(Paper_Reference[Duplicate Key],Paper_Reference[[#This Row],[Duplicate Key]])</f>
        <v>1</v>
      </c>
    </row>
    <row r="805" spans="1:10">
      <c r="A805" s="7">
        <v>2</v>
      </c>
      <c r="B805" s="8" t="s">
        <v>4846</v>
      </c>
      <c r="C805" s="8" t="s">
        <v>4373</v>
      </c>
      <c r="D805" s="7">
        <v>1</v>
      </c>
      <c r="E805" s="7">
        <v>10</v>
      </c>
      <c r="F805" s="7">
        <v>1</v>
      </c>
      <c r="G805" s="8" t="s">
        <v>4371</v>
      </c>
      <c r="H805" s="8" t="s">
        <v>4372</v>
      </c>
      <c r="I805" s="7" t="str">
        <f>_xlfn.CONCAT(Paper_Reference[[#This Row],[Lvl]:[Paper Description]])</f>
        <v>2G48SE101J5001BLACK 60 X 1201101100DS064-6200BLACK</v>
      </c>
      <c r="J805" s="7">
        <f>COUNTIF(Paper_Reference[Duplicate Key],Paper_Reference[[#This Row],[Duplicate Key]])</f>
        <v>1</v>
      </c>
    </row>
    <row r="806" spans="1:10">
      <c r="A806" s="7">
        <v>2</v>
      </c>
      <c r="B806" s="8" t="s">
        <v>4847</v>
      </c>
      <c r="C806" s="8" t="s">
        <v>4380</v>
      </c>
      <c r="D806" s="7">
        <v>1</v>
      </c>
      <c r="E806" s="7">
        <v>10</v>
      </c>
      <c r="F806" s="7">
        <v>1</v>
      </c>
      <c r="G806" s="8" t="s">
        <v>4371</v>
      </c>
      <c r="H806" s="8" t="s">
        <v>4372</v>
      </c>
      <c r="I806" s="7" t="str">
        <f>_xlfn.CONCAT(Paper_Reference[[#This Row],[Lvl]:[Paper Description]])</f>
        <v>2G48SE101J580BLACK 60 X 961101100DS064-6200BLACK</v>
      </c>
      <c r="J806" s="7">
        <f>COUNTIF(Paper_Reference[Duplicate Key],Paper_Reference[[#This Row],[Duplicate Key]])</f>
        <v>1</v>
      </c>
    </row>
    <row r="807" spans="1:10">
      <c r="A807" s="7">
        <v>3</v>
      </c>
      <c r="B807" s="8" t="s">
        <v>4848</v>
      </c>
      <c r="C807" s="8" t="s">
        <v>4448</v>
      </c>
      <c r="D807" s="7">
        <v>1</v>
      </c>
      <c r="E807" s="7">
        <v>55</v>
      </c>
      <c r="F807" s="7">
        <v>0.16669999999999999</v>
      </c>
      <c r="G807" s="8" t="s">
        <v>4371</v>
      </c>
      <c r="H807" s="8" t="s">
        <v>4372</v>
      </c>
      <c r="I807" s="7" t="str">
        <f>_xlfn.CONCAT(Paper_Reference[[#This Row],[Lvl]:[Paper Description]])</f>
        <v>3G48SE101JNTI1BLACK 20 1/4 X 72 1/41550.1667100DS064-6200BLACK</v>
      </c>
      <c r="J807" s="7">
        <f>COUNTIF(Paper_Reference[Duplicate Key],Paper_Reference[[#This Row],[Duplicate Key]])</f>
        <v>1</v>
      </c>
    </row>
    <row r="808" spans="1:10">
      <c r="A808" s="7">
        <v>3</v>
      </c>
      <c r="B808" s="8" t="s">
        <v>4849</v>
      </c>
      <c r="C808" s="8" t="s">
        <v>4449</v>
      </c>
      <c r="D808" s="7">
        <v>1</v>
      </c>
      <c r="E808" s="7">
        <v>55</v>
      </c>
      <c r="F808" s="7">
        <v>0.25</v>
      </c>
      <c r="G808" s="8" t="s">
        <v>4371</v>
      </c>
      <c r="H808" s="8" t="s">
        <v>4372</v>
      </c>
      <c r="I808" s="7" t="str">
        <f>_xlfn.CONCAT(Paper_Reference[[#This Row],[Lvl]:[Paper Description]])</f>
        <v>3G48SE101JSINBLACK 30 1/4 X 60 1/41550.25100DS064-6200BLACK</v>
      </c>
      <c r="J808" s="7">
        <f>COUNTIF(Paper_Reference[Duplicate Key],Paper_Reference[[#This Row],[Duplicate Key]])</f>
        <v>1</v>
      </c>
    </row>
    <row r="809" spans="1:10">
      <c r="A809" s="7">
        <v>3</v>
      </c>
      <c r="B809" s="8" t="s">
        <v>4851</v>
      </c>
      <c r="C809" s="8" t="s">
        <v>4433</v>
      </c>
      <c r="D809" s="7">
        <v>1</v>
      </c>
      <c r="E809" s="7">
        <v>55</v>
      </c>
      <c r="F809" s="7">
        <v>0.25</v>
      </c>
      <c r="G809" s="8" t="s">
        <v>4371</v>
      </c>
      <c r="H809" s="8" t="s">
        <v>4372</v>
      </c>
      <c r="I809" s="7" t="str">
        <f>_xlfn.CONCAT(Paper_Reference[[#This Row],[Lvl]:[Paper Description]])</f>
        <v>3G48SE101JTGCBLACK 30 1/4 X 72 1/41550.25100DS064-6200BLACK</v>
      </c>
      <c r="J809" s="7">
        <f>COUNTIF(Paper_Reference[Duplicate Key],Paper_Reference[[#This Row],[Duplicate Key]])</f>
        <v>1</v>
      </c>
    </row>
    <row r="810" spans="1:10">
      <c r="A810" s="7">
        <v>3</v>
      </c>
      <c r="B810" s="8" t="s">
        <v>4850</v>
      </c>
      <c r="C810" s="8" t="s">
        <v>4433</v>
      </c>
      <c r="D810" s="7">
        <v>1</v>
      </c>
      <c r="E810" s="7">
        <v>55</v>
      </c>
      <c r="F810" s="7">
        <v>0.25</v>
      </c>
      <c r="G810" s="8" t="s">
        <v>4371</v>
      </c>
      <c r="H810" s="8" t="s">
        <v>4372</v>
      </c>
      <c r="I810" s="7" t="str">
        <f>_xlfn.CONCAT(Paper_Reference[[#This Row],[Lvl]:[Paper Description]])</f>
        <v>3G48SE101JTGC1BLACK 30 1/4 X 72 1/41550.25100DS064-6200BLACK</v>
      </c>
      <c r="J810" s="7">
        <f>COUNTIF(Paper_Reference[Duplicate Key],Paper_Reference[[#This Row],[Duplicate Key]])</f>
        <v>1</v>
      </c>
    </row>
    <row r="811" spans="1:10">
      <c r="A811" s="7">
        <v>2</v>
      </c>
      <c r="B811" s="8" t="s">
        <v>4852</v>
      </c>
      <c r="C811" s="8" t="s">
        <v>4378</v>
      </c>
      <c r="D811" s="7">
        <v>1</v>
      </c>
      <c r="E811" s="7">
        <v>10</v>
      </c>
      <c r="F811" s="7">
        <v>0.5</v>
      </c>
      <c r="G811" s="8" t="s">
        <v>4371</v>
      </c>
      <c r="H811" s="8" t="s">
        <v>4372</v>
      </c>
      <c r="I811" s="7" t="str">
        <f>_xlfn.CONCAT(Paper_Reference[[#This Row],[Lvl]:[Paper Description]])</f>
        <v>2G48SE101L020BLACK 30 X 1441100.5100DS064-6200BLACK</v>
      </c>
      <c r="J811" s="7">
        <f>COUNTIF(Paper_Reference[Duplicate Key],Paper_Reference[[#This Row],[Duplicate Key]])</f>
        <v>1</v>
      </c>
    </row>
    <row r="812" spans="1:10">
      <c r="A812" s="7">
        <v>2</v>
      </c>
      <c r="B812" s="8" t="s">
        <v>4853</v>
      </c>
      <c r="C812" s="8" t="s">
        <v>4440</v>
      </c>
      <c r="D812" s="7">
        <v>1</v>
      </c>
      <c r="E812" s="7">
        <v>10</v>
      </c>
      <c r="F812" s="7">
        <v>1</v>
      </c>
      <c r="G812" s="8" t="s">
        <v>4371</v>
      </c>
      <c r="H812" s="8" t="s">
        <v>4372</v>
      </c>
      <c r="I812" s="7" t="str">
        <f>_xlfn.CONCAT(Paper_Reference[[#This Row],[Lvl]:[Paper Description]])</f>
        <v>2G48SE101L320BLACK 36 X 1441101100DS064-6200BLACK</v>
      </c>
      <c r="J812" s="7">
        <f>COUNTIF(Paper_Reference[Duplicate Key],Paper_Reference[[#This Row],[Duplicate Key]])</f>
        <v>1</v>
      </c>
    </row>
    <row r="813" spans="1:10">
      <c r="A813" s="7">
        <v>2</v>
      </c>
      <c r="B813" s="8" t="s">
        <v>4854</v>
      </c>
      <c r="C813" s="8" t="s">
        <v>4439</v>
      </c>
      <c r="D813" s="7">
        <v>1</v>
      </c>
      <c r="E813" s="7">
        <v>10</v>
      </c>
      <c r="F813" s="7">
        <v>1</v>
      </c>
      <c r="G813" s="8" t="s">
        <v>4371</v>
      </c>
      <c r="H813" s="8" t="s">
        <v>4372</v>
      </c>
      <c r="I813" s="7" t="str">
        <f>_xlfn.CONCAT(Paper_Reference[[#This Row],[Lvl]:[Paper Description]])</f>
        <v>2G48SE101L400BLACK 48 X 1201101100DS064-6200BLACK</v>
      </c>
      <c r="J813" s="7">
        <f>COUNTIF(Paper_Reference[Duplicate Key],Paper_Reference[[#This Row],[Duplicate Key]])</f>
        <v>1</v>
      </c>
    </row>
    <row r="814" spans="1:10">
      <c r="A814" s="7">
        <v>2</v>
      </c>
      <c r="B814" s="8" t="s">
        <v>4855</v>
      </c>
      <c r="C814" s="8" t="s">
        <v>4373</v>
      </c>
      <c r="D814" s="7">
        <v>1</v>
      </c>
      <c r="E814" s="7">
        <v>10</v>
      </c>
      <c r="F814" s="7">
        <v>1</v>
      </c>
      <c r="G814" s="8" t="s">
        <v>4371</v>
      </c>
      <c r="H814" s="8" t="s">
        <v>4372</v>
      </c>
      <c r="I814" s="7" t="str">
        <f>_xlfn.CONCAT(Paper_Reference[[#This Row],[Lvl]:[Paper Description]])</f>
        <v>2G48SE101L500BLACK 60 X 1201101100DS064-6200BLACK</v>
      </c>
      <c r="J814" s="7">
        <f>COUNTIF(Paper_Reference[Duplicate Key],Paper_Reference[[#This Row],[Duplicate Key]])</f>
        <v>1</v>
      </c>
    </row>
    <row r="815" spans="1:10">
      <c r="A815" s="7">
        <v>2</v>
      </c>
      <c r="B815" s="8" t="s">
        <v>4856</v>
      </c>
      <c r="C815" s="8" t="s">
        <v>4379</v>
      </c>
      <c r="D815" s="7">
        <v>1</v>
      </c>
      <c r="E815" s="7">
        <v>10</v>
      </c>
      <c r="F815" s="7">
        <v>1</v>
      </c>
      <c r="G815" s="8" t="s">
        <v>4371</v>
      </c>
      <c r="H815" s="8" t="s">
        <v>4372</v>
      </c>
      <c r="I815" s="7" t="str">
        <f>_xlfn.CONCAT(Paper_Reference[[#This Row],[Lvl]:[Paper Description]])</f>
        <v>2G48SE101L520BLACK 60 X 1441101100DS064-6200BLACK</v>
      </c>
      <c r="J815" s="7">
        <f>COUNTIF(Paper_Reference[Duplicate Key],Paper_Reference[[#This Row],[Duplicate Key]])</f>
        <v>1</v>
      </c>
    </row>
    <row r="816" spans="1:10">
      <c r="A816" s="7">
        <v>2</v>
      </c>
      <c r="B816" s="8" t="s">
        <v>4857</v>
      </c>
      <c r="C816" s="8" t="s">
        <v>4380</v>
      </c>
      <c r="D816" s="7">
        <v>1</v>
      </c>
      <c r="E816" s="7">
        <v>10</v>
      </c>
      <c r="F816" s="7">
        <v>1</v>
      </c>
      <c r="G816" s="8" t="s">
        <v>4371</v>
      </c>
      <c r="H816" s="8" t="s">
        <v>4372</v>
      </c>
      <c r="I816" s="7" t="str">
        <f>_xlfn.CONCAT(Paper_Reference[[#This Row],[Lvl]:[Paper Description]])</f>
        <v>2G48SE101L580BLACK 60 X 961101100DS064-6200BLACK</v>
      </c>
      <c r="J816" s="7">
        <f>COUNTIF(Paper_Reference[Duplicate Key],Paper_Reference[[#This Row],[Duplicate Key]])</f>
        <v>1</v>
      </c>
    </row>
    <row r="817" spans="1:10">
      <c r="A817" s="7">
        <v>2</v>
      </c>
      <c r="B817" s="8" t="s">
        <v>4858</v>
      </c>
      <c r="C817" s="8" t="s">
        <v>4379</v>
      </c>
      <c r="D817" s="7">
        <v>1</v>
      </c>
      <c r="E817" s="7">
        <v>10</v>
      </c>
      <c r="F817" s="7">
        <v>1</v>
      </c>
      <c r="G817" s="8" t="s">
        <v>4371</v>
      </c>
      <c r="H817" s="8" t="s">
        <v>4372</v>
      </c>
      <c r="I817" s="7" t="str">
        <f>_xlfn.CONCAT(Paper_Reference[[#This Row],[Lvl]:[Paper Description]])</f>
        <v>2G48SE101LN520BLACK 60 X 1441101100DS064-6200BLACK</v>
      </c>
      <c r="J817" s="7">
        <f>COUNTIF(Paper_Reference[Duplicate Key],Paper_Reference[[#This Row],[Duplicate Key]])</f>
        <v>1</v>
      </c>
    </row>
    <row r="818" spans="1:10">
      <c r="A818" s="7">
        <v>2</v>
      </c>
      <c r="B818" s="8" t="s">
        <v>4859</v>
      </c>
      <c r="C818" s="8" t="s">
        <v>4373</v>
      </c>
      <c r="D818" s="7">
        <v>1</v>
      </c>
      <c r="E818" s="7">
        <v>10</v>
      </c>
      <c r="F818" s="7">
        <v>1</v>
      </c>
      <c r="G818" s="8" t="s">
        <v>4371</v>
      </c>
      <c r="H818" s="8" t="s">
        <v>4372</v>
      </c>
      <c r="I818" s="7" t="str">
        <f>_xlfn.CONCAT(Paper_Reference[[#This Row],[Lvl]:[Paper Description]])</f>
        <v>2G48SE101LR500BLACK 60 X 1201101100DS064-6200BLACK</v>
      </c>
      <c r="J818" s="7">
        <f>COUNTIF(Paper_Reference[Duplicate Key],Paper_Reference[[#This Row],[Duplicate Key]])</f>
        <v>1</v>
      </c>
    </row>
    <row r="819" spans="1:10">
      <c r="A819" s="7">
        <v>2</v>
      </c>
      <c r="B819" s="8" t="s">
        <v>4861</v>
      </c>
      <c r="C819" s="8" t="s">
        <v>4379</v>
      </c>
      <c r="D819" s="7">
        <v>1</v>
      </c>
      <c r="E819" s="7">
        <v>10</v>
      </c>
      <c r="F819" s="7">
        <v>1</v>
      </c>
      <c r="G819" s="8" t="s">
        <v>4371</v>
      </c>
      <c r="H819" s="8" t="s">
        <v>4372</v>
      </c>
      <c r="I819" s="7" t="str">
        <f>_xlfn.CONCAT(Paper_Reference[[#This Row],[Lvl]:[Paper Description]])</f>
        <v>2G48SE101LR520BLACK 60 X 1441101100DS064-6200BLACK</v>
      </c>
      <c r="J819" s="7">
        <f>COUNTIF(Paper_Reference[Duplicate Key],Paper_Reference[[#This Row],[Duplicate Key]])</f>
        <v>1</v>
      </c>
    </row>
    <row r="820" spans="1:10">
      <c r="A820" s="7">
        <v>2</v>
      </c>
      <c r="B820" s="8" t="s">
        <v>4860</v>
      </c>
      <c r="C820" s="8" t="s">
        <v>4379</v>
      </c>
      <c r="D820" s="7">
        <v>1</v>
      </c>
      <c r="E820" s="7">
        <v>10</v>
      </c>
      <c r="F820" s="7">
        <v>1</v>
      </c>
      <c r="G820" s="8" t="s">
        <v>4371</v>
      </c>
      <c r="H820" s="8" t="s">
        <v>4372</v>
      </c>
      <c r="I820" s="7" t="str">
        <f>_xlfn.CONCAT(Paper_Reference[[#This Row],[Lvl]:[Paper Description]])</f>
        <v>2G48SE101LR5201BLACK 60 X 1441101100DS064-6200BLACK</v>
      </c>
      <c r="J820" s="7">
        <f>COUNTIF(Paper_Reference[Duplicate Key],Paper_Reference[[#This Row],[Duplicate Key]])</f>
        <v>1</v>
      </c>
    </row>
    <row r="821" spans="1:10">
      <c r="A821" s="7">
        <v>2</v>
      </c>
      <c r="B821" s="8" t="s">
        <v>4862</v>
      </c>
      <c r="C821" s="8" t="s">
        <v>4430</v>
      </c>
      <c r="D821" s="7">
        <v>1</v>
      </c>
      <c r="E821" s="7">
        <v>10</v>
      </c>
      <c r="F821" s="7">
        <v>1</v>
      </c>
      <c r="G821" s="8" t="s">
        <v>4371</v>
      </c>
      <c r="H821" s="8" t="s">
        <v>4372</v>
      </c>
      <c r="I821" s="7" t="str">
        <f>_xlfn.CONCAT(Paper_Reference[[#This Row],[Lvl]:[Paper Description]])</f>
        <v>2G48SE101LRDEM1BLACK 61 X 971101100DS064-6200BLACK</v>
      </c>
      <c r="J821" s="7">
        <f>COUNTIF(Paper_Reference[Duplicate Key],Paper_Reference[[#This Row],[Duplicate Key]])</f>
        <v>1</v>
      </c>
    </row>
    <row r="822" spans="1:10">
      <c r="A822" s="7">
        <v>2</v>
      </c>
      <c r="B822" s="8" t="s">
        <v>4863</v>
      </c>
      <c r="C822" s="8" t="s">
        <v>4379</v>
      </c>
      <c r="D822" s="7">
        <v>1</v>
      </c>
      <c r="E822" s="7">
        <v>10</v>
      </c>
      <c r="F822" s="7">
        <v>1</v>
      </c>
      <c r="G822" s="8" t="s">
        <v>4371</v>
      </c>
      <c r="H822" s="8" t="s">
        <v>4372</v>
      </c>
      <c r="I822" s="7" t="str">
        <f>_xlfn.CONCAT(Paper_Reference[[#This Row],[Lvl]:[Paper Description]])</f>
        <v>2G48SE101LZ520BLACK 60 X 1441101100DS064-6200BLACK</v>
      </c>
      <c r="J822" s="7">
        <f>COUNTIF(Paper_Reference[Duplicate Key],Paper_Reference[[#This Row],[Duplicate Key]])</f>
        <v>1</v>
      </c>
    </row>
    <row r="823" spans="1:10">
      <c r="A823" s="7">
        <v>2</v>
      </c>
      <c r="B823" s="8" t="s">
        <v>4865</v>
      </c>
      <c r="C823" s="8" t="s">
        <v>4373</v>
      </c>
      <c r="D823" s="7">
        <v>1</v>
      </c>
      <c r="E823" s="7">
        <v>10</v>
      </c>
      <c r="F823" s="7">
        <v>1</v>
      </c>
      <c r="G823" s="8" t="s">
        <v>4371</v>
      </c>
      <c r="H823" s="8" t="s">
        <v>4372</v>
      </c>
      <c r="I823" s="7" t="str">
        <f>_xlfn.CONCAT(Paper_Reference[[#This Row],[Lvl]:[Paper Description]])</f>
        <v>2G48SE101MG500BLACK 60 X 1201101100DS064-6200BLACK</v>
      </c>
      <c r="J823" s="7">
        <f>COUNTIF(Paper_Reference[Duplicate Key],Paper_Reference[[#This Row],[Duplicate Key]])</f>
        <v>1</v>
      </c>
    </row>
    <row r="824" spans="1:10">
      <c r="A824" s="7">
        <v>2</v>
      </c>
      <c r="B824" s="8" t="s">
        <v>4864</v>
      </c>
      <c r="C824" s="8" t="s">
        <v>4373</v>
      </c>
      <c r="D824" s="7">
        <v>1</v>
      </c>
      <c r="E824" s="7">
        <v>10</v>
      </c>
      <c r="F824" s="7">
        <v>1</v>
      </c>
      <c r="G824" s="8" t="s">
        <v>4371</v>
      </c>
      <c r="H824" s="8" t="s">
        <v>4372</v>
      </c>
      <c r="I824" s="7" t="str">
        <f>_xlfn.CONCAT(Paper_Reference[[#This Row],[Lvl]:[Paper Description]])</f>
        <v>2G48SE101MG5001BLACK 60 X 1201101100DS064-6200BLACK</v>
      </c>
      <c r="J824" s="7">
        <f>COUNTIF(Paper_Reference[Duplicate Key],Paper_Reference[[#This Row],[Duplicate Key]])</f>
        <v>1</v>
      </c>
    </row>
    <row r="825" spans="1:10">
      <c r="A825" s="7">
        <v>2</v>
      </c>
      <c r="B825" s="8" t="s">
        <v>4866</v>
      </c>
      <c r="C825" s="8" t="s">
        <v>4379</v>
      </c>
      <c r="D825" s="7">
        <v>1</v>
      </c>
      <c r="E825" s="7">
        <v>10</v>
      </c>
      <c r="F825" s="7">
        <v>1</v>
      </c>
      <c r="G825" s="8" t="s">
        <v>4371</v>
      </c>
      <c r="H825" s="8" t="s">
        <v>4372</v>
      </c>
      <c r="I825" s="7" t="str">
        <f>_xlfn.CONCAT(Paper_Reference[[#This Row],[Lvl]:[Paper Description]])</f>
        <v>2G48SE101MG520BLACK 60 X 1441101100DS064-6200BLACK</v>
      </c>
      <c r="J825" s="7">
        <f>COUNTIF(Paper_Reference[Duplicate Key],Paper_Reference[[#This Row],[Duplicate Key]])</f>
        <v>1</v>
      </c>
    </row>
    <row r="826" spans="1:10">
      <c r="A826" s="7">
        <v>2</v>
      </c>
      <c r="B826" s="8" t="s">
        <v>4868</v>
      </c>
      <c r="C826" s="8" t="s">
        <v>4403</v>
      </c>
      <c r="D826" s="7">
        <v>1</v>
      </c>
      <c r="E826" s="7">
        <v>10</v>
      </c>
      <c r="F826" s="7">
        <v>0.5</v>
      </c>
      <c r="G826" s="8" t="s">
        <v>4371</v>
      </c>
      <c r="H826" s="8" t="s">
        <v>4372</v>
      </c>
      <c r="I826" s="7" t="str">
        <f>_xlfn.CONCAT(Paper_Reference[[#This Row],[Lvl]:[Paper Description]])</f>
        <v>2G48SE101N000BLACK 30 X 1201100.5100DS064-6200BLACK</v>
      </c>
      <c r="J826" s="7">
        <f>COUNTIF(Paper_Reference[Duplicate Key],Paper_Reference[[#This Row],[Duplicate Key]])</f>
        <v>1</v>
      </c>
    </row>
    <row r="827" spans="1:10">
      <c r="A827" s="7">
        <v>2</v>
      </c>
      <c r="B827" s="8" t="s">
        <v>4867</v>
      </c>
      <c r="C827" s="8" t="s">
        <v>4403</v>
      </c>
      <c r="D827" s="7">
        <v>1</v>
      </c>
      <c r="E827" s="7">
        <v>10</v>
      </c>
      <c r="F827" s="7">
        <v>0.5</v>
      </c>
      <c r="G827" s="8" t="s">
        <v>4371</v>
      </c>
      <c r="H827" s="8" t="s">
        <v>4372</v>
      </c>
      <c r="I827" s="7" t="str">
        <f>_xlfn.CONCAT(Paper_Reference[[#This Row],[Lvl]:[Paper Description]])</f>
        <v>2G48SE101N0001BLACK 30 X 1201100.5100DS064-6200BLACK</v>
      </c>
      <c r="J827" s="7">
        <f>COUNTIF(Paper_Reference[Duplicate Key],Paper_Reference[[#This Row],[Duplicate Key]])</f>
        <v>1</v>
      </c>
    </row>
    <row r="828" spans="1:10">
      <c r="A828" s="7">
        <v>2</v>
      </c>
      <c r="B828" s="8" t="s">
        <v>4869</v>
      </c>
      <c r="C828" s="8" t="s">
        <v>4378</v>
      </c>
      <c r="D828" s="7">
        <v>1</v>
      </c>
      <c r="E828" s="7">
        <v>10</v>
      </c>
      <c r="F828" s="7">
        <v>0.5</v>
      </c>
      <c r="G828" s="8" t="s">
        <v>4371</v>
      </c>
      <c r="H828" s="8" t="s">
        <v>4372</v>
      </c>
      <c r="I828" s="7" t="str">
        <f>_xlfn.CONCAT(Paper_Reference[[#This Row],[Lvl]:[Paper Description]])</f>
        <v>2G48SE101N020BLACK 30 X 1441100.5100DS064-6200BLACK</v>
      </c>
      <c r="J828" s="7">
        <f>COUNTIF(Paper_Reference[Duplicate Key],Paper_Reference[[#This Row],[Duplicate Key]])</f>
        <v>1</v>
      </c>
    </row>
    <row r="829" spans="1:10">
      <c r="A829" s="7">
        <v>2</v>
      </c>
      <c r="B829" s="8" t="s">
        <v>4870</v>
      </c>
      <c r="C829" s="8" t="s">
        <v>4400</v>
      </c>
      <c r="D829" s="7">
        <v>1</v>
      </c>
      <c r="E829" s="7">
        <v>10</v>
      </c>
      <c r="F829" s="7">
        <v>0.5</v>
      </c>
      <c r="G829" s="8" t="s">
        <v>4371</v>
      </c>
      <c r="H829" s="8" t="s">
        <v>4372</v>
      </c>
      <c r="I829" s="7" t="str">
        <f>_xlfn.CONCAT(Paper_Reference[[#This Row],[Lvl]:[Paper Description]])</f>
        <v>2G48SE101N080BLACK 30 X 961100.5100DS064-6200BLACK</v>
      </c>
      <c r="J829" s="7">
        <f>COUNTIF(Paper_Reference[Duplicate Key],Paper_Reference[[#This Row],[Duplicate Key]])</f>
        <v>1</v>
      </c>
    </row>
    <row r="830" spans="1:10">
      <c r="A830" s="7">
        <v>2</v>
      </c>
      <c r="B830" s="8" t="s">
        <v>4871</v>
      </c>
      <c r="C830" s="8" t="s">
        <v>4373</v>
      </c>
      <c r="D830" s="7">
        <v>1</v>
      </c>
      <c r="E830" s="7">
        <v>10</v>
      </c>
      <c r="F830" s="7">
        <v>1</v>
      </c>
      <c r="G830" s="8" t="s">
        <v>4371</v>
      </c>
      <c r="H830" s="8" t="s">
        <v>4372</v>
      </c>
      <c r="I830" s="7" t="str">
        <f>_xlfn.CONCAT(Paper_Reference[[#This Row],[Lvl]:[Paper Description]])</f>
        <v>2G48SE101N5001BLACK 60 X 1201101100DS064-6200BLACK</v>
      </c>
      <c r="J830" s="7">
        <f>COUNTIF(Paper_Reference[Duplicate Key],Paper_Reference[[#This Row],[Duplicate Key]])</f>
        <v>1</v>
      </c>
    </row>
    <row r="831" spans="1:10">
      <c r="A831" s="7">
        <v>2</v>
      </c>
      <c r="B831" s="8" t="s">
        <v>4872</v>
      </c>
      <c r="C831" s="8" t="s">
        <v>4379</v>
      </c>
      <c r="D831" s="7">
        <v>1</v>
      </c>
      <c r="E831" s="7">
        <v>10</v>
      </c>
      <c r="F831" s="7">
        <v>1</v>
      </c>
      <c r="G831" s="8" t="s">
        <v>4371</v>
      </c>
      <c r="H831" s="8" t="s">
        <v>4372</v>
      </c>
      <c r="I831" s="7" t="str">
        <f>_xlfn.CONCAT(Paper_Reference[[#This Row],[Lvl]:[Paper Description]])</f>
        <v>2G48SE101N5201BLACK 60 X 1441101100DS064-6200BLACK</v>
      </c>
      <c r="J831" s="7">
        <f>COUNTIF(Paper_Reference[Duplicate Key],Paper_Reference[[#This Row],[Duplicate Key]])</f>
        <v>1</v>
      </c>
    </row>
    <row r="832" spans="1:10">
      <c r="A832" s="7">
        <v>2</v>
      </c>
      <c r="B832" s="8" t="s">
        <v>4873</v>
      </c>
      <c r="C832" s="8" t="s">
        <v>4380</v>
      </c>
      <c r="D832" s="7">
        <v>1</v>
      </c>
      <c r="E832" s="7">
        <v>10</v>
      </c>
      <c r="F832" s="7">
        <v>1</v>
      </c>
      <c r="G832" s="8" t="s">
        <v>4371</v>
      </c>
      <c r="H832" s="8" t="s">
        <v>4372</v>
      </c>
      <c r="I832" s="7" t="str">
        <f>_xlfn.CONCAT(Paper_Reference[[#This Row],[Lvl]:[Paper Description]])</f>
        <v>2G48SE101N580BLACK 60 X 961101100DS064-6200BLACK</v>
      </c>
      <c r="J832" s="7">
        <f>COUNTIF(Paper_Reference[Duplicate Key],Paper_Reference[[#This Row],[Duplicate Key]])</f>
        <v>1</v>
      </c>
    </row>
    <row r="833" spans="1:10">
      <c r="A833" s="7">
        <v>3</v>
      </c>
      <c r="B833" s="8" t="s">
        <v>4874</v>
      </c>
      <c r="C833" s="8" t="s">
        <v>4450</v>
      </c>
      <c r="D833" s="7">
        <v>1</v>
      </c>
      <c r="E833" s="7">
        <v>55</v>
      </c>
      <c r="F833" s="7">
        <v>6.6600000000000006E-2</v>
      </c>
      <c r="G833" s="8" t="s">
        <v>4371</v>
      </c>
      <c r="H833" s="8" t="s">
        <v>4372</v>
      </c>
      <c r="I833" s="7" t="str">
        <f>_xlfn.CONCAT(Paper_Reference[[#This Row],[Lvl]:[Paper Description]])</f>
        <v>3G48SE101NNLWBLACK 18 3/4 X 26 3/41550.0666100DS064-6200BLACK</v>
      </c>
      <c r="J833" s="7">
        <f>COUNTIF(Paper_Reference[Duplicate Key],Paper_Reference[[#This Row],[Duplicate Key]])</f>
        <v>1</v>
      </c>
    </row>
    <row r="834" spans="1:10">
      <c r="A834" s="7">
        <v>3</v>
      </c>
      <c r="B834" s="8" t="s">
        <v>4875</v>
      </c>
      <c r="C834" s="8" t="s">
        <v>4451</v>
      </c>
      <c r="D834" s="7">
        <v>1</v>
      </c>
      <c r="E834" s="7">
        <v>55</v>
      </c>
      <c r="F834" s="7">
        <v>4.1700000000000001E-2</v>
      </c>
      <c r="G834" s="8" t="s">
        <v>4371</v>
      </c>
      <c r="H834" s="8" t="s">
        <v>4372</v>
      </c>
      <c r="I834" s="7" t="str">
        <f>_xlfn.CONCAT(Paper_Reference[[#This Row],[Lvl]:[Paper Description]])</f>
        <v>3G48SE101NRRJBLACK 18 3/4 X 17 5/81550.0417100DS064-6200BLACK</v>
      </c>
      <c r="J834" s="7">
        <f>COUNTIF(Paper_Reference[Duplicate Key],Paper_Reference[[#This Row],[Duplicate Key]])</f>
        <v>1</v>
      </c>
    </row>
    <row r="835" spans="1:10">
      <c r="A835" s="7">
        <v>3</v>
      </c>
      <c r="B835" s="8" t="s">
        <v>4876</v>
      </c>
      <c r="C835" s="8" t="s">
        <v>4452</v>
      </c>
      <c r="D835" s="7">
        <v>1</v>
      </c>
      <c r="E835" s="7">
        <v>55</v>
      </c>
      <c r="F835" s="7">
        <v>0.25</v>
      </c>
      <c r="G835" s="8" t="s">
        <v>4371</v>
      </c>
      <c r="H835" s="8" t="s">
        <v>4372</v>
      </c>
      <c r="I835" s="7" t="str">
        <f>_xlfn.CONCAT(Paper_Reference[[#This Row],[Lvl]:[Paper Description]])</f>
        <v>3G48SE101NSTFBLACK 27 3/4 X 51 3/41550.25100DS064-6200BLACK</v>
      </c>
      <c r="J835" s="7">
        <f>COUNTIF(Paper_Reference[Duplicate Key],Paper_Reference[[#This Row],[Duplicate Key]])</f>
        <v>1</v>
      </c>
    </row>
    <row r="836" spans="1:10">
      <c r="A836" s="7">
        <v>3</v>
      </c>
      <c r="B836" s="8" t="s">
        <v>4877</v>
      </c>
      <c r="C836" s="8" t="s">
        <v>4453</v>
      </c>
      <c r="D836" s="7">
        <v>1</v>
      </c>
      <c r="E836" s="7">
        <v>55</v>
      </c>
      <c r="F836" s="7">
        <v>0.125</v>
      </c>
      <c r="G836" s="8" t="s">
        <v>4371</v>
      </c>
      <c r="H836" s="8" t="s">
        <v>4372</v>
      </c>
      <c r="I836" s="7" t="str">
        <f>_xlfn.CONCAT(Paper_Reference[[#This Row],[Lvl]:[Paper Description]])</f>
        <v>3G48SE101NTMT1BLACK 27 X 221550.125100DS064-6200BLACK</v>
      </c>
      <c r="J836" s="7">
        <f>COUNTIF(Paper_Reference[Duplicate Key],Paper_Reference[[#This Row],[Duplicate Key]])</f>
        <v>1</v>
      </c>
    </row>
    <row r="837" spans="1:10">
      <c r="A837" s="7">
        <v>3</v>
      </c>
      <c r="B837" s="8" t="s">
        <v>4878</v>
      </c>
      <c r="C837" s="8" t="s">
        <v>4454</v>
      </c>
      <c r="D837" s="7">
        <v>1</v>
      </c>
      <c r="E837" s="7">
        <v>55</v>
      </c>
      <c r="F837" s="7">
        <v>0.125</v>
      </c>
      <c r="G837" s="8" t="s">
        <v>4371</v>
      </c>
      <c r="H837" s="8" t="s">
        <v>4372</v>
      </c>
      <c r="I837" s="7" t="str">
        <f>_xlfn.CONCAT(Paper_Reference[[#This Row],[Lvl]:[Paper Description]])</f>
        <v>3G48SE101NTMU1BLACK 30 X 231550.125100DS064-6200BLACK</v>
      </c>
      <c r="J837" s="7">
        <f>COUNTIF(Paper_Reference[Duplicate Key],Paper_Reference[[#This Row],[Duplicate Key]])</f>
        <v>1</v>
      </c>
    </row>
    <row r="838" spans="1:10">
      <c r="A838" s="7">
        <v>2</v>
      </c>
      <c r="B838" s="8" t="s">
        <v>4879</v>
      </c>
      <c r="C838" s="8" t="s">
        <v>4379</v>
      </c>
      <c r="D838" s="7">
        <v>1</v>
      </c>
      <c r="E838" s="7">
        <v>10</v>
      </c>
      <c r="F838" s="7">
        <v>1</v>
      </c>
      <c r="G838" s="8" t="s">
        <v>4371</v>
      </c>
      <c r="H838" s="8" t="s">
        <v>4372</v>
      </c>
      <c r="I838" s="7" t="str">
        <f>_xlfn.CONCAT(Paper_Reference[[#This Row],[Lvl]:[Paper Description]])</f>
        <v>2G48SE101OL520BLACK 60 X 1441101100DS064-6200BLACK</v>
      </c>
      <c r="J838" s="7">
        <f>COUNTIF(Paper_Reference[Duplicate Key],Paper_Reference[[#This Row],[Duplicate Key]])</f>
        <v>1</v>
      </c>
    </row>
    <row r="839" spans="1:10">
      <c r="A839" s="7">
        <v>2</v>
      </c>
      <c r="B839" s="8" t="s">
        <v>4880</v>
      </c>
      <c r="C839" s="8" t="s">
        <v>4379</v>
      </c>
      <c r="D839" s="7">
        <v>1</v>
      </c>
      <c r="E839" s="7">
        <v>10</v>
      </c>
      <c r="F839" s="7">
        <v>1</v>
      </c>
      <c r="G839" s="8" t="s">
        <v>4371</v>
      </c>
      <c r="H839" s="8" t="s">
        <v>4372</v>
      </c>
      <c r="I839" s="7" t="str">
        <f>_xlfn.CONCAT(Paper_Reference[[#This Row],[Lvl]:[Paper Description]])</f>
        <v>2G48SE101OZ520BLACK 60 X 1441101100DS064-6200BLACK</v>
      </c>
      <c r="J839" s="7">
        <f>COUNTIF(Paper_Reference[Duplicate Key],Paper_Reference[[#This Row],[Duplicate Key]])</f>
        <v>1</v>
      </c>
    </row>
    <row r="840" spans="1:10">
      <c r="A840" s="7">
        <v>3</v>
      </c>
      <c r="B840" s="8" t="s">
        <v>4881</v>
      </c>
      <c r="C840" s="8" t="s">
        <v>4455</v>
      </c>
      <c r="D840" s="7">
        <v>1</v>
      </c>
      <c r="E840" s="7">
        <v>55</v>
      </c>
      <c r="F840" s="7">
        <v>0.16669999999999999</v>
      </c>
      <c r="G840" s="8" t="s">
        <v>4371</v>
      </c>
      <c r="H840" s="8" t="s">
        <v>4372</v>
      </c>
      <c r="I840" s="7" t="str">
        <f>_xlfn.CONCAT(Paper_Reference[[#This Row],[Lvl]:[Paper Description]])</f>
        <v>3G48SE101PCFPBLACK 48 X 24  (-0 +1/8)1550.1667100DS064-6200BLACK</v>
      </c>
      <c r="J840" s="7">
        <f>COUNTIF(Paper_Reference[Duplicate Key],Paper_Reference[[#This Row],[Duplicate Key]])</f>
        <v>1</v>
      </c>
    </row>
    <row r="841" spans="1:10">
      <c r="A841" s="7">
        <v>3</v>
      </c>
      <c r="B841" s="8" t="s">
        <v>4882</v>
      </c>
      <c r="C841" s="8" t="s">
        <v>4456</v>
      </c>
      <c r="D841" s="7">
        <v>1</v>
      </c>
      <c r="E841" s="7">
        <v>55</v>
      </c>
      <c r="F841" s="7">
        <v>0.16669999999999999</v>
      </c>
      <c r="G841" s="8" t="s">
        <v>4371</v>
      </c>
      <c r="H841" s="8" t="s">
        <v>4372</v>
      </c>
      <c r="I841" s="7" t="str">
        <f>_xlfn.CONCAT(Paper_Reference[[#This Row],[Lvl]:[Paper Description]])</f>
        <v>3G48SE101PMWQBLACK 24 X 481550.1667100DS064-6200BLACK</v>
      </c>
      <c r="J841" s="7">
        <f>COUNTIF(Paper_Reference[Duplicate Key],Paper_Reference[[#This Row],[Duplicate Key]])</f>
        <v>1</v>
      </c>
    </row>
    <row r="842" spans="1:10">
      <c r="A842" s="7">
        <v>3</v>
      </c>
      <c r="B842" s="8" t="s">
        <v>4883</v>
      </c>
      <c r="C842" s="8" t="s">
        <v>4457</v>
      </c>
      <c r="D842" s="7">
        <v>1</v>
      </c>
      <c r="E842" s="7">
        <v>55</v>
      </c>
      <c r="F842" s="7">
        <v>0.16669999999999999</v>
      </c>
      <c r="G842" s="8" t="s">
        <v>4371</v>
      </c>
      <c r="H842" s="8" t="s">
        <v>4372</v>
      </c>
      <c r="I842" s="7" t="str">
        <f>_xlfn.CONCAT(Paper_Reference[[#This Row],[Lvl]:[Paper Description]])</f>
        <v>3G48SE101PNCKBLACK 26 X 481550.1667100DS064-6200BLACK</v>
      </c>
      <c r="J842" s="7">
        <f>COUNTIF(Paper_Reference[Duplicate Key],Paper_Reference[[#This Row],[Duplicate Key]])</f>
        <v>1</v>
      </c>
    </row>
    <row r="843" spans="1:10">
      <c r="A843" s="7">
        <v>3</v>
      </c>
      <c r="B843" s="8" t="s">
        <v>4884</v>
      </c>
      <c r="C843" s="8" t="s">
        <v>4458</v>
      </c>
      <c r="D843" s="7">
        <v>1</v>
      </c>
      <c r="E843" s="7">
        <v>55</v>
      </c>
      <c r="F843" s="7">
        <v>0.16669999999999999</v>
      </c>
      <c r="G843" s="8" t="s">
        <v>4371</v>
      </c>
      <c r="H843" s="8" t="s">
        <v>4372</v>
      </c>
      <c r="I843" s="7" t="str">
        <f>_xlfn.CONCAT(Paper_Reference[[#This Row],[Lvl]:[Paper Description]])</f>
        <v>3G48SE101PRIFBLACK 58 X 24  (-0 +1/8)1550.1667100DS064-6200BLACK</v>
      </c>
      <c r="J843" s="7">
        <f>COUNTIF(Paper_Reference[Duplicate Key],Paper_Reference[[#This Row],[Duplicate Key]])</f>
        <v>1</v>
      </c>
    </row>
    <row r="844" spans="1:10">
      <c r="A844" s="7">
        <v>3</v>
      </c>
      <c r="B844" s="8" t="s">
        <v>4885</v>
      </c>
      <c r="C844" s="8" t="s">
        <v>4459</v>
      </c>
      <c r="D844" s="7">
        <v>1</v>
      </c>
      <c r="E844" s="7">
        <v>55</v>
      </c>
      <c r="F844" s="7">
        <v>0.2</v>
      </c>
      <c r="G844" s="8" t="s">
        <v>4371</v>
      </c>
      <c r="H844" s="8" t="s">
        <v>4372</v>
      </c>
      <c r="I844" s="7" t="str">
        <f>_xlfn.CONCAT(Paper_Reference[[#This Row],[Lvl]:[Paper Description]])</f>
        <v>3G48SE101PTJDBLACK 58 X 28  (-0 +1/8)1550.2100DS064-6200BLACK</v>
      </c>
      <c r="J844" s="7">
        <f>COUNTIF(Paper_Reference[Duplicate Key],Paper_Reference[[#This Row],[Duplicate Key]])</f>
        <v>1</v>
      </c>
    </row>
    <row r="845" spans="1:10">
      <c r="A845" s="7">
        <v>3</v>
      </c>
      <c r="B845" s="8" t="s">
        <v>4886</v>
      </c>
      <c r="C845" s="8" t="s">
        <v>4460</v>
      </c>
      <c r="D845" s="7">
        <v>1</v>
      </c>
      <c r="E845" s="7">
        <v>55</v>
      </c>
      <c r="F845" s="7">
        <v>0.16669999999999999</v>
      </c>
      <c r="G845" s="8" t="s">
        <v>4371</v>
      </c>
      <c r="H845" s="8" t="s">
        <v>4372</v>
      </c>
      <c r="I845" s="7" t="str">
        <f>_xlfn.CONCAT(Paper_Reference[[#This Row],[Lvl]:[Paper Description]])</f>
        <v>3G48SE101PTJZBLACK 50 3/4 X 24  (-0 +1/8)1550.1667100DS064-6200BLACK</v>
      </c>
      <c r="J845" s="7">
        <f>COUNTIF(Paper_Reference[Duplicate Key],Paper_Reference[[#This Row],[Duplicate Key]])</f>
        <v>1</v>
      </c>
    </row>
    <row r="846" spans="1:10">
      <c r="A846" s="7">
        <v>3</v>
      </c>
      <c r="B846" s="8" t="s">
        <v>4887</v>
      </c>
      <c r="C846" s="8" t="s">
        <v>4461</v>
      </c>
      <c r="D846" s="7">
        <v>1</v>
      </c>
      <c r="E846" s="7">
        <v>55</v>
      </c>
      <c r="F846" s="7">
        <v>0.2</v>
      </c>
      <c r="G846" s="8" t="s">
        <v>4371</v>
      </c>
      <c r="H846" s="8" t="s">
        <v>4372</v>
      </c>
      <c r="I846" s="7" t="str">
        <f>_xlfn.CONCAT(Paper_Reference[[#This Row],[Lvl]:[Paper Description]])</f>
        <v>3G48SE101PTKABLACK 50 3/4 X 26  (-0 +1/8)1550.2100DS064-6200BLACK</v>
      </c>
      <c r="J846" s="7">
        <f>COUNTIF(Paper_Reference[Duplicate Key],Paper_Reference[[#This Row],[Duplicate Key]])</f>
        <v>1</v>
      </c>
    </row>
    <row r="847" spans="1:10">
      <c r="A847" s="7">
        <v>3</v>
      </c>
      <c r="B847" s="8" t="s">
        <v>4888</v>
      </c>
      <c r="C847" s="8" t="s">
        <v>4462</v>
      </c>
      <c r="D847" s="7">
        <v>1</v>
      </c>
      <c r="E847" s="7">
        <v>55</v>
      </c>
      <c r="F847" s="7">
        <v>0.2</v>
      </c>
      <c r="G847" s="8" t="s">
        <v>4371</v>
      </c>
      <c r="H847" s="8" t="s">
        <v>4372</v>
      </c>
      <c r="I847" s="7" t="str">
        <f>_xlfn.CONCAT(Paper_Reference[[#This Row],[Lvl]:[Paper Description]])</f>
        <v>3G48SE101PTKBBLACK 56 3/4 X 26  (-0 +1/8)1550.2100DS064-6200BLACK</v>
      </c>
      <c r="J847" s="7">
        <f>COUNTIF(Paper_Reference[Duplicate Key],Paper_Reference[[#This Row],[Duplicate Key]])</f>
        <v>1</v>
      </c>
    </row>
    <row r="848" spans="1:10">
      <c r="A848" s="7">
        <v>3</v>
      </c>
      <c r="B848" s="8" t="s">
        <v>4889</v>
      </c>
      <c r="C848" s="8" t="s">
        <v>4463</v>
      </c>
      <c r="D848" s="7">
        <v>1</v>
      </c>
      <c r="E848" s="7">
        <v>55</v>
      </c>
      <c r="F848" s="7">
        <v>0.25</v>
      </c>
      <c r="G848" s="8" t="s">
        <v>4371</v>
      </c>
      <c r="H848" s="8" t="s">
        <v>4372</v>
      </c>
      <c r="I848" s="7" t="str">
        <f>_xlfn.CONCAT(Paper_Reference[[#This Row],[Lvl]:[Paper Description]])</f>
        <v>3G48SE101PTLABLACK 58 X 35  (-0 +1/8)1550.25100DS064-6200BLACK</v>
      </c>
      <c r="J848" s="7">
        <f>COUNTIF(Paper_Reference[Duplicate Key],Paper_Reference[[#This Row],[Duplicate Key]])</f>
        <v>1</v>
      </c>
    </row>
    <row r="849" spans="1:10">
      <c r="A849" s="7">
        <v>3</v>
      </c>
      <c r="B849" s="8" t="s">
        <v>4890</v>
      </c>
      <c r="C849" s="8" t="s">
        <v>4464</v>
      </c>
      <c r="D849" s="7">
        <v>1</v>
      </c>
      <c r="E849" s="7">
        <v>55</v>
      </c>
      <c r="F849" s="7">
        <v>0.16669999999999999</v>
      </c>
      <c r="G849" s="8" t="s">
        <v>4371</v>
      </c>
      <c r="H849" s="8" t="s">
        <v>4372</v>
      </c>
      <c r="I849" s="7" t="str">
        <f>_xlfn.CONCAT(Paper_Reference[[#This Row],[Lvl]:[Paper Description]])</f>
        <v>3G48SE101PTLNBLACK 60 X 24 (-0 +1/8)1550.1667100DS064-6200BLACK</v>
      </c>
      <c r="J849" s="7">
        <f>COUNTIF(Paper_Reference[Duplicate Key],Paper_Reference[[#This Row],[Duplicate Key]])</f>
        <v>1</v>
      </c>
    </row>
    <row r="850" spans="1:10">
      <c r="A850" s="7">
        <v>2</v>
      </c>
      <c r="B850" s="8" t="s">
        <v>4891</v>
      </c>
      <c r="C850" s="8" t="s">
        <v>4379</v>
      </c>
      <c r="D850" s="7">
        <v>1</v>
      </c>
      <c r="E850" s="7">
        <v>10</v>
      </c>
      <c r="F850" s="7">
        <v>1</v>
      </c>
      <c r="G850" s="8" t="s">
        <v>4371</v>
      </c>
      <c r="H850" s="8" t="s">
        <v>4372</v>
      </c>
      <c r="I850" s="7" t="str">
        <f>_xlfn.CONCAT(Paper_Reference[[#This Row],[Lvl]:[Paper Description]])</f>
        <v>2G48SE101PV520BLACK 60 X 1441101100DS064-6200BLACK</v>
      </c>
      <c r="J850" s="7">
        <f>COUNTIF(Paper_Reference[Duplicate Key],Paper_Reference[[#This Row],[Duplicate Key]])</f>
        <v>1</v>
      </c>
    </row>
    <row r="851" spans="1:10">
      <c r="A851" s="7">
        <v>2</v>
      </c>
      <c r="B851" s="8" t="s">
        <v>4893</v>
      </c>
      <c r="C851" s="8" t="s">
        <v>4380</v>
      </c>
      <c r="D851" s="7">
        <v>1</v>
      </c>
      <c r="E851" s="7">
        <v>10</v>
      </c>
      <c r="F851" s="7">
        <v>1</v>
      </c>
      <c r="G851" s="8" t="s">
        <v>4371</v>
      </c>
      <c r="H851" s="8" t="s">
        <v>4372</v>
      </c>
      <c r="I851" s="7" t="str">
        <f>_xlfn.CONCAT(Paper_Reference[[#This Row],[Lvl]:[Paper Description]])</f>
        <v>2G48SE101PV580BLACK 60 X 961101100DS064-6200BLACK</v>
      </c>
      <c r="J851" s="7">
        <f>COUNTIF(Paper_Reference[Duplicate Key],Paper_Reference[[#This Row],[Duplicate Key]])</f>
        <v>1</v>
      </c>
    </row>
    <row r="852" spans="1:10">
      <c r="A852" s="7">
        <v>2</v>
      </c>
      <c r="B852" s="8" t="s">
        <v>4892</v>
      </c>
      <c r="C852" s="8" t="s">
        <v>4380</v>
      </c>
      <c r="D852" s="7">
        <v>1</v>
      </c>
      <c r="E852" s="7">
        <v>10</v>
      </c>
      <c r="F852" s="7">
        <v>1</v>
      </c>
      <c r="G852" s="8" t="s">
        <v>4371</v>
      </c>
      <c r="H852" s="8" t="s">
        <v>4372</v>
      </c>
      <c r="I852" s="7" t="str">
        <f>_xlfn.CONCAT(Paper_Reference[[#This Row],[Lvl]:[Paper Description]])</f>
        <v>2G48SE101PV5801BLACK 60 X 961101100DS064-6200BLACK</v>
      </c>
      <c r="J852" s="7">
        <f>COUNTIF(Paper_Reference[Duplicate Key],Paper_Reference[[#This Row],[Duplicate Key]])</f>
        <v>1</v>
      </c>
    </row>
    <row r="853" spans="1:10">
      <c r="A853" s="7">
        <v>3</v>
      </c>
      <c r="B853" s="8" t="s">
        <v>4894</v>
      </c>
      <c r="C853" s="8" t="s">
        <v>4465</v>
      </c>
      <c r="D853" s="7">
        <v>1</v>
      </c>
      <c r="E853" s="7">
        <v>55</v>
      </c>
      <c r="F853" s="7">
        <v>0.25</v>
      </c>
      <c r="G853" s="8" t="s">
        <v>4371</v>
      </c>
      <c r="H853" s="8" t="s">
        <v>4372</v>
      </c>
      <c r="I853" s="7" t="str">
        <f>_xlfn.CONCAT(Paper_Reference[[#This Row],[Lvl]:[Paper Description]])</f>
        <v>3G48SE101PYGDBLACK 24 1/8 X 48 3/41550.25100DS064-6200BLACK</v>
      </c>
      <c r="J853" s="7">
        <f>COUNTIF(Paper_Reference[Duplicate Key],Paper_Reference[[#This Row],[Duplicate Key]])</f>
        <v>1</v>
      </c>
    </row>
    <row r="854" spans="1:10">
      <c r="A854" s="7">
        <v>2</v>
      </c>
      <c r="B854" s="8" t="s">
        <v>4895</v>
      </c>
      <c r="C854" s="8" t="s">
        <v>4378</v>
      </c>
      <c r="D854" s="7">
        <v>1</v>
      </c>
      <c r="E854" s="7">
        <v>10</v>
      </c>
      <c r="F854" s="7">
        <v>0.5</v>
      </c>
      <c r="G854" s="8" t="s">
        <v>4371</v>
      </c>
      <c r="H854" s="8" t="s">
        <v>4372</v>
      </c>
      <c r="I854" s="7" t="str">
        <f>_xlfn.CONCAT(Paper_Reference[[#This Row],[Lvl]:[Paper Description]])</f>
        <v>2G48SE101R020BLACK 30 X 1441100.5100DS064-6200BLACK</v>
      </c>
      <c r="J854" s="7">
        <f>COUNTIF(Paper_Reference[Duplicate Key],Paper_Reference[[#This Row],[Duplicate Key]])</f>
        <v>1</v>
      </c>
    </row>
    <row r="855" spans="1:10">
      <c r="A855" s="7">
        <v>2</v>
      </c>
      <c r="B855" s="8" t="s">
        <v>4896</v>
      </c>
      <c r="C855" s="8" t="s">
        <v>4445</v>
      </c>
      <c r="D855" s="7">
        <v>1</v>
      </c>
      <c r="E855" s="7">
        <v>10</v>
      </c>
      <c r="F855" s="7">
        <v>1</v>
      </c>
      <c r="G855" s="8" t="s">
        <v>4371</v>
      </c>
      <c r="H855" s="8" t="s">
        <v>4372</v>
      </c>
      <c r="I855" s="7" t="str">
        <f>_xlfn.CONCAT(Paper_Reference[[#This Row],[Lvl]:[Paper Description]])</f>
        <v>2G48SE101R420BLACK 48 X 1441101100DS064-6200BLACK</v>
      </c>
      <c r="J855" s="7">
        <f>COUNTIF(Paper_Reference[Duplicate Key],Paper_Reference[[#This Row],[Duplicate Key]])</f>
        <v>1</v>
      </c>
    </row>
    <row r="856" spans="1:10">
      <c r="A856" s="7">
        <v>2</v>
      </c>
      <c r="B856" s="8" t="s">
        <v>4897</v>
      </c>
      <c r="C856" s="8" t="s">
        <v>4373</v>
      </c>
      <c r="D856" s="7">
        <v>1</v>
      </c>
      <c r="E856" s="7">
        <v>10</v>
      </c>
      <c r="F856" s="7">
        <v>1</v>
      </c>
      <c r="G856" s="8" t="s">
        <v>4371</v>
      </c>
      <c r="H856" s="8" t="s">
        <v>4372</v>
      </c>
      <c r="I856" s="7" t="str">
        <f>_xlfn.CONCAT(Paper_Reference[[#This Row],[Lvl]:[Paper Description]])</f>
        <v>2G48SE101R500BLACK 60 X 1201101100DS064-6200BLACK</v>
      </c>
      <c r="J856" s="7">
        <f>COUNTIF(Paper_Reference[Duplicate Key],Paper_Reference[[#This Row],[Duplicate Key]])</f>
        <v>1</v>
      </c>
    </row>
    <row r="857" spans="1:10">
      <c r="A857" s="7">
        <v>2</v>
      </c>
      <c r="B857" s="8" t="s">
        <v>4898</v>
      </c>
      <c r="C857" s="8" t="s">
        <v>4379</v>
      </c>
      <c r="D857" s="7">
        <v>1</v>
      </c>
      <c r="E857" s="7">
        <v>10</v>
      </c>
      <c r="F857" s="7">
        <v>1</v>
      </c>
      <c r="G857" s="8" t="s">
        <v>4371</v>
      </c>
      <c r="H857" s="8" t="s">
        <v>4372</v>
      </c>
      <c r="I857" s="7" t="str">
        <f>_xlfn.CONCAT(Paper_Reference[[#This Row],[Lvl]:[Paper Description]])</f>
        <v>2G48SE101R520BLACK 60 X 1441101100DS064-6200BLACK</v>
      </c>
      <c r="J857" s="7">
        <f>COUNTIF(Paper_Reference[Duplicate Key],Paper_Reference[[#This Row],[Duplicate Key]])</f>
        <v>1</v>
      </c>
    </row>
    <row r="858" spans="1:10">
      <c r="A858" s="7">
        <v>2</v>
      </c>
      <c r="B858" s="8" t="s">
        <v>4899</v>
      </c>
      <c r="C858" s="8" t="s">
        <v>4380</v>
      </c>
      <c r="D858" s="7">
        <v>1</v>
      </c>
      <c r="E858" s="7">
        <v>10</v>
      </c>
      <c r="F858" s="7">
        <v>1</v>
      </c>
      <c r="G858" s="8" t="s">
        <v>4371</v>
      </c>
      <c r="H858" s="8" t="s">
        <v>4372</v>
      </c>
      <c r="I858" s="7" t="str">
        <f>_xlfn.CONCAT(Paper_Reference[[#This Row],[Lvl]:[Paper Description]])</f>
        <v>2G48SE101R580BLACK 60 X 961101100DS064-6200BLACK</v>
      </c>
      <c r="J858" s="7">
        <f>COUNTIF(Paper_Reference[Duplicate Key],Paper_Reference[[#This Row],[Duplicate Key]])</f>
        <v>1</v>
      </c>
    </row>
    <row r="859" spans="1:10">
      <c r="A859" s="7">
        <v>2</v>
      </c>
      <c r="B859" s="8" t="s">
        <v>4900</v>
      </c>
      <c r="C859" s="8" t="s">
        <v>4403</v>
      </c>
      <c r="D859" s="7">
        <v>1</v>
      </c>
      <c r="E859" s="7">
        <v>10</v>
      </c>
      <c r="F859" s="7">
        <v>0.5</v>
      </c>
      <c r="G859" s="8" t="s">
        <v>4371</v>
      </c>
      <c r="H859" s="8" t="s">
        <v>4372</v>
      </c>
      <c r="I859" s="7" t="str">
        <f>_xlfn.CONCAT(Paper_Reference[[#This Row],[Lvl]:[Paper Description]])</f>
        <v>2G48SE101SD000BLACK 30 X 1201100.5100DS064-6200BLACK</v>
      </c>
      <c r="J859" s="7">
        <f>COUNTIF(Paper_Reference[Duplicate Key],Paper_Reference[[#This Row],[Duplicate Key]])</f>
        <v>1</v>
      </c>
    </row>
    <row r="860" spans="1:10">
      <c r="A860" s="7">
        <v>2</v>
      </c>
      <c r="B860" s="8" t="s">
        <v>4901</v>
      </c>
      <c r="C860" s="8" t="s">
        <v>4378</v>
      </c>
      <c r="D860" s="7">
        <v>1</v>
      </c>
      <c r="E860" s="7">
        <v>10</v>
      </c>
      <c r="F860" s="7">
        <v>0.5</v>
      </c>
      <c r="G860" s="8" t="s">
        <v>4371</v>
      </c>
      <c r="H860" s="8" t="s">
        <v>4372</v>
      </c>
      <c r="I860" s="7" t="str">
        <f>_xlfn.CONCAT(Paper_Reference[[#This Row],[Lvl]:[Paper Description]])</f>
        <v>2G48SE101SD020BLACK 30 X 1441100.5100DS064-6200BLACK</v>
      </c>
      <c r="J860" s="7">
        <f>COUNTIF(Paper_Reference[Duplicate Key],Paper_Reference[[#This Row],[Duplicate Key]])</f>
        <v>1</v>
      </c>
    </row>
    <row r="861" spans="1:10">
      <c r="A861" s="7">
        <v>2</v>
      </c>
      <c r="B861" s="8" t="s">
        <v>4902</v>
      </c>
      <c r="C861" s="8" t="s">
        <v>4400</v>
      </c>
      <c r="D861" s="7">
        <v>1</v>
      </c>
      <c r="E861" s="7">
        <v>10</v>
      </c>
      <c r="F861" s="7">
        <v>0.5</v>
      </c>
      <c r="G861" s="8" t="s">
        <v>4371</v>
      </c>
      <c r="H861" s="8" t="s">
        <v>4372</v>
      </c>
      <c r="I861" s="7" t="str">
        <f>_xlfn.CONCAT(Paper_Reference[[#This Row],[Lvl]:[Paper Description]])</f>
        <v>2G48SE101SD080BLACK 30 X 961100.5100DS064-6200BLACK</v>
      </c>
      <c r="J861" s="7">
        <f>COUNTIF(Paper_Reference[Duplicate Key],Paper_Reference[[#This Row],[Duplicate Key]])</f>
        <v>1</v>
      </c>
    </row>
    <row r="862" spans="1:10">
      <c r="A862" s="7">
        <v>2</v>
      </c>
      <c r="B862" s="8" t="s">
        <v>4904</v>
      </c>
      <c r="C862" s="8" t="s">
        <v>4373</v>
      </c>
      <c r="D862" s="7">
        <v>1</v>
      </c>
      <c r="E862" s="7">
        <v>10</v>
      </c>
      <c r="F862" s="7">
        <v>1</v>
      </c>
      <c r="G862" s="8" t="s">
        <v>4371</v>
      </c>
      <c r="H862" s="8" t="s">
        <v>4372</v>
      </c>
      <c r="I862" s="7" t="str">
        <f>_xlfn.CONCAT(Paper_Reference[[#This Row],[Lvl]:[Paper Description]])</f>
        <v>2G48SE101SD500BLACK 60 X 1201101100DS064-6200BLACK</v>
      </c>
      <c r="J862" s="7">
        <f>COUNTIF(Paper_Reference[Duplicate Key],Paper_Reference[[#This Row],[Duplicate Key]])</f>
        <v>1</v>
      </c>
    </row>
    <row r="863" spans="1:10">
      <c r="A863" s="7">
        <v>2</v>
      </c>
      <c r="B863" s="8" t="s">
        <v>4903</v>
      </c>
      <c r="C863" s="8" t="s">
        <v>4373</v>
      </c>
      <c r="D863" s="7">
        <v>1</v>
      </c>
      <c r="E863" s="7">
        <v>10</v>
      </c>
      <c r="F863" s="7">
        <v>1</v>
      </c>
      <c r="G863" s="8" t="s">
        <v>4371</v>
      </c>
      <c r="H863" s="8" t="s">
        <v>4372</v>
      </c>
      <c r="I863" s="7" t="str">
        <f>_xlfn.CONCAT(Paper_Reference[[#This Row],[Lvl]:[Paper Description]])</f>
        <v>2G48SE101SD5001BLACK 60 X 1201101100DS064-6200BLACK</v>
      </c>
      <c r="J863" s="7">
        <f>COUNTIF(Paper_Reference[Duplicate Key],Paper_Reference[[#This Row],[Duplicate Key]])</f>
        <v>1</v>
      </c>
    </row>
    <row r="864" spans="1:10">
      <c r="A864" s="7">
        <v>2</v>
      </c>
      <c r="B864" s="8" t="s">
        <v>4906</v>
      </c>
      <c r="C864" s="8" t="s">
        <v>4379</v>
      </c>
      <c r="D864" s="7">
        <v>1</v>
      </c>
      <c r="E864" s="7">
        <v>10</v>
      </c>
      <c r="F864" s="7">
        <v>1</v>
      </c>
      <c r="G864" s="8" t="s">
        <v>4371</v>
      </c>
      <c r="H864" s="8" t="s">
        <v>4372</v>
      </c>
      <c r="I864" s="7" t="str">
        <f>_xlfn.CONCAT(Paper_Reference[[#This Row],[Lvl]:[Paper Description]])</f>
        <v>2G48SE101SD520BLACK 60 X 1441101100DS064-6200BLACK</v>
      </c>
      <c r="J864" s="7">
        <f>COUNTIF(Paper_Reference[Duplicate Key],Paper_Reference[[#This Row],[Duplicate Key]])</f>
        <v>1</v>
      </c>
    </row>
    <row r="865" spans="1:10">
      <c r="A865" s="7">
        <v>2</v>
      </c>
      <c r="B865" s="8" t="s">
        <v>4905</v>
      </c>
      <c r="C865" s="8" t="s">
        <v>4379</v>
      </c>
      <c r="D865" s="7">
        <v>1</v>
      </c>
      <c r="E865" s="7">
        <v>10</v>
      </c>
      <c r="F865" s="7">
        <v>1</v>
      </c>
      <c r="G865" s="8" t="s">
        <v>4371</v>
      </c>
      <c r="H865" s="8" t="s">
        <v>4372</v>
      </c>
      <c r="I865" s="7" t="str">
        <f>_xlfn.CONCAT(Paper_Reference[[#This Row],[Lvl]:[Paper Description]])</f>
        <v>2G48SE101SD5201BLACK 60 X 1441101100DS064-6200BLACK</v>
      </c>
      <c r="J865" s="7">
        <f>COUNTIF(Paper_Reference[Duplicate Key],Paper_Reference[[#This Row],[Duplicate Key]])</f>
        <v>1</v>
      </c>
    </row>
    <row r="866" spans="1:10">
      <c r="A866" s="7">
        <v>2</v>
      </c>
      <c r="B866" s="8" t="s">
        <v>4908</v>
      </c>
      <c r="C866" s="8" t="s">
        <v>4380</v>
      </c>
      <c r="D866" s="7">
        <v>1</v>
      </c>
      <c r="E866" s="7">
        <v>10</v>
      </c>
      <c r="F866" s="7">
        <v>1</v>
      </c>
      <c r="G866" s="8" t="s">
        <v>4371</v>
      </c>
      <c r="H866" s="8" t="s">
        <v>4372</v>
      </c>
      <c r="I866" s="7" t="str">
        <f>_xlfn.CONCAT(Paper_Reference[[#This Row],[Lvl]:[Paper Description]])</f>
        <v>2G48SE101SD580BLACK 60 X 961101100DS064-6200BLACK</v>
      </c>
      <c r="J866" s="7">
        <f>COUNTIF(Paper_Reference[Duplicate Key],Paper_Reference[[#This Row],[Duplicate Key]])</f>
        <v>1</v>
      </c>
    </row>
    <row r="867" spans="1:10">
      <c r="A867" s="7">
        <v>2</v>
      </c>
      <c r="B867" s="8" t="s">
        <v>4907</v>
      </c>
      <c r="C867" s="8" t="s">
        <v>4380</v>
      </c>
      <c r="D867" s="7">
        <v>1</v>
      </c>
      <c r="E867" s="7">
        <v>10</v>
      </c>
      <c r="F867" s="7">
        <v>1</v>
      </c>
      <c r="G867" s="8" t="s">
        <v>4371</v>
      </c>
      <c r="H867" s="8" t="s">
        <v>4372</v>
      </c>
      <c r="I867" s="7" t="str">
        <f>_xlfn.CONCAT(Paper_Reference[[#This Row],[Lvl]:[Paper Description]])</f>
        <v>2G48SE101SD5801BLACK 60 X 961101100DS064-6200BLACK</v>
      </c>
      <c r="J867" s="7">
        <f>COUNTIF(Paper_Reference[Duplicate Key],Paper_Reference[[#This Row],[Duplicate Key]])</f>
        <v>1</v>
      </c>
    </row>
    <row r="868" spans="1:10">
      <c r="A868" s="7">
        <v>2</v>
      </c>
      <c r="B868" s="8" t="s">
        <v>4909</v>
      </c>
      <c r="C868" s="8" t="s">
        <v>4439</v>
      </c>
      <c r="D868" s="7">
        <v>1</v>
      </c>
      <c r="E868" s="7">
        <v>10</v>
      </c>
      <c r="F868" s="7">
        <v>1</v>
      </c>
      <c r="G868" s="8" t="s">
        <v>4371</v>
      </c>
      <c r="H868" s="8" t="s">
        <v>4372</v>
      </c>
      <c r="I868" s="7" t="str">
        <f>_xlfn.CONCAT(Paper_Reference[[#This Row],[Lvl]:[Paper Description]])</f>
        <v>2G48SE101SL400BLACK 48 X 1201101100DS064-6200BLACK</v>
      </c>
      <c r="J868" s="7">
        <f>COUNTIF(Paper_Reference[Duplicate Key],Paper_Reference[[#This Row],[Duplicate Key]])</f>
        <v>1</v>
      </c>
    </row>
    <row r="869" spans="1:10">
      <c r="A869" s="7">
        <v>2</v>
      </c>
      <c r="B869" s="8" t="s">
        <v>4910</v>
      </c>
      <c r="C869" s="8" t="s">
        <v>4373</v>
      </c>
      <c r="D869" s="7">
        <v>1</v>
      </c>
      <c r="E869" s="7">
        <v>10</v>
      </c>
      <c r="F869" s="7">
        <v>1</v>
      </c>
      <c r="G869" s="8" t="s">
        <v>4371</v>
      </c>
      <c r="H869" s="8" t="s">
        <v>4372</v>
      </c>
      <c r="I869" s="7" t="str">
        <f>_xlfn.CONCAT(Paper_Reference[[#This Row],[Lvl]:[Paper Description]])</f>
        <v>2G48SE101SL500BLACK 60 X 1201101100DS064-6200BLACK</v>
      </c>
      <c r="J869" s="7">
        <f>COUNTIF(Paper_Reference[Duplicate Key],Paper_Reference[[#This Row],[Duplicate Key]])</f>
        <v>1</v>
      </c>
    </row>
    <row r="870" spans="1:10">
      <c r="A870" s="7">
        <v>2</v>
      </c>
      <c r="B870" s="8" t="s">
        <v>4911</v>
      </c>
      <c r="C870" s="8" t="s">
        <v>4379</v>
      </c>
      <c r="D870" s="7">
        <v>1</v>
      </c>
      <c r="E870" s="7">
        <v>10</v>
      </c>
      <c r="F870" s="7">
        <v>1</v>
      </c>
      <c r="G870" s="8" t="s">
        <v>4371</v>
      </c>
      <c r="H870" s="8" t="s">
        <v>4372</v>
      </c>
      <c r="I870" s="7" t="str">
        <f>_xlfn.CONCAT(Paper_Reference[[#This Row],[Lvl]:[Paper Description]])</f>
        <v>2G48SE101SL520BLACK 60 X 1441101100DS064-6200BLACK</v>
      </c>
      <c r="J870" s="7">
        <f>COUNTIF(Paper_Reference[Duplicate Key],Paper_Reference[[#This Row],[Duplicate Key]])</f>
        <v>1</v>
      </c>
    </row>
    <row r="871" spans="1:10">
      <c r="A871" s="7">
        <v>2</v>
      </c>
      <c r="B871" s="8" t="s">
        <v>4912</v>
      </c>
      <c r="C871" s="8" t="s">
        <v>4380</v>
      </c>
      <c r="D871" s="7">
        <v>1</v>
      </c>
      <c r="E871" s="7">
        <v>10</v>
      </c>
      <c r="F871" s="7">
        <v>1</v>
      </c>
      <c r="G871" s="8" t="s">
        <v>4371</v>
      </c>
      <c r="H871" s="8" t="s">
        <v>4372</v>
      </c>
      <c r="I871" s="7" t="str">
        <f>_xlfn.CONCAT(Paper_Reference[[#This Row],[Lvl]:[Paper Description]])</f>
        <v>2G48SE101SL580BLACK 60 X 961101100DS064-6200BLACK</v>
      </c>
      <c r="J871" s="7">
        <f>COUNTIF(Paper_Reference[Duplicate Key],Paper_Reference[[#This Row],[Duplicate Key]])</f>
        <v>1</v>
      </c>
    </row>
    <row r="872" spans="1:10">
      <c r="A872" s="7">
        <v>2</v>
      </c>
      <c r="B872" s="8" t="s">
        <v>4913</v>
      </c>
      <c r="C872" s="8" t="s">
        <v>4373</v>
      </c>
      <c r="D872" s="7">
        <v>1</v>
      </c>
      <c r="E872" s="7">
        <v>10</v>
      </c>
      <c r="F872" s="7">
        <v>1</v>
      </c>
      <c r="G872" s="8" t="s">
        <v>4371</v>
      </c>
      <c r="H872" s="8" t="s">
        <v>4372</v>
      </c>
      <c r="I872" s="7" t="str">
        <f>_xlfn.CONCAT(Paper_Reference[[#This Row],[Lvl]:[Paper Description]])</f>
        <v>2G48SE101SM500BLACK 60 X 1201101100DS064-6200BLACK</v>
      </c>
      <c r="J872" s="7">
        <f>COUNTIF(Paper_Reference[Duplicate Key],Paper_Reference[[#This Row],[Duplicate Key]])</f>
        <v>1</v>
      </c>
    </row>
    <row r="873" spans="1:10">
      <c r="A873" s="7">
        <v>2</v>
      </c>
      <c r="B873" s="8" t="s">
        <v>4914</v>
      </c>
      <c r="C873" s="8" t="s">
        <v>4379</v>
      </c>
      <c r="D873" s="7">
        <v>1</v>
      </c>
      <c r="E873" s="7">
        <v>10</v>
      </c>
      <c r="F873" s="7">
        <v>1</v>
      </c>
      <c r="G873" s="8" t="s">
        <v>4371</v>
      </c>
      <c r="H873" s="8" t="s">
        <v>4372</v>
      </c>
      <c r="I873" s="7" t="str">
        <f>_xlfn.CONCAT(Paper_Reference[[#This Row],[Lvl]:[Paper Description]])</f>
        <v>2G48SE101SM520BLACK 60 X 1441101100DS064-6200BLACK</v>
      </c>
      <c r="J873" s="7">
        <f>COUNTIF(Paper_Reference[Duplicate Key],Paper_Reference[[#This Row],[Duplicate Key]])</f>
        <v>1</v>
      </c>
    </row>
    <row r="874" spans="1:10">
      <c r="A874" s="7">
        <v>2</v>
      </c>
      <c r="B874" s="8" t="s">
        <v>4915</v>
      </c>
      <c r="C874" s="8" t="s">
        <v>4440</v>
      </c>
      <c r="D874" s="7">
        <v>1</v>
      </c>
      <c r="E874" s="7">
        <v>10</v>
      </c>
      <c r="F874" s="7">
        <v>1</v>
      </c>
      <c r="G874" s="8" t="s">
        <v>4371</v>
      </c>
      <c r="H874" s="8" t="s">
        <v>4372</v>
      </c>
      <c r="I874" s="7" t="str">
        <f>_xlfn.CONCAT(Paper_Reference[[#This Row],[Lvl]:[Paper Description]])</f>
        <v>2G48SE101SX320BLACK 36 X 1441101100DS064-6200BLACK</v>
      </c>
      <c r="J874" s="7">
        <f>COUNTIF(Paper_Reference[Duplicate Key],Paper_Reference[[#This Row],[Duplicate Key]])</f>
        <v>1</v>
      </c>
    </row>
    <row r="875" spans="1:10">
      <c r="A875" s="7">
        <v>2</v>
      </c>
      <c r="B875" s="8" t="s">
        <v>4916</v>
      </c>
      <c r="C875" s="8" t="s">
        <v>4373</v>
      </c>
      <c r="D875" s="7">
        <v>1</v>
      </c>
      <c r="E875" s="7">
        <v>10</v>
      </c>
      <c r="F875" s="7">
        <v>1</v>
      </c>
      <c r="G875" s="8" t="s">
        <v>4371</v>
      </c>
      <c r="H875" s="8" t="s">
        <v>4372</v>
      </c>
      <c r="I875" s="7" t="str">
        <f>_xlfn.CONCAT(Paper_Reference[[#This Row],[Lvl]:[Paper Description]])</f>
        <v>2G48SE101SX500BLACK 60 X 1201101100DS064-6200BLACK</v>
      </c>
      <c r="J875" s="7">
        <f>COUNTIF(Paper_Reference[Duplicate Key],Paper_Reference[[#This Row],[Duplicate Key]])</f>
        <v>1</v>
      </c>
    </row>
    <row r="876" spans="1:10">
      <c r="A876" s="7">
        <v>2</v>
      </c>
      <c r="B876" s="8" t="s">
        <v>4917</v>
      </c>
      <c r="C876" s="8" t="s">
        <v>4379</v>
      </c>
      <c r="D876" s="7">
        <v>1</v>
      </c>
      <c r="E876" s="7">
        <v>10</v>
      </c>
      <c r="F876" s="7">
        <v>1</v>
      </c>
      <c r="G876" s="8" t="s">
        <v>4371</v>
      </c>
      <c r="H876" s="8" t="s">
        <v>4372</v>
      </c>
      <c r="I876" s="7" t="str">
        <f>_xlfn.CONCAT(Paper_Reference[[#This Row],[Lvl]:[Paper Description]])</f>
        <v>2G48SE101SX520BLACK 60 X 1441101100DS064-6200BLACK</v>
      </c>
      <c r="J876" s="7">
        <f>COUNTIF(Paper_Reference[Duplicate Key],Paper_Reference[[#This Row],[Duplicate Key]])</f>
        <v>1</v>
      </c>
    </row>
    <row r="877" spans="1:10">
      <c r="A877" s="7">
        <v>2</v>
      </c>
      <c r="B877" s="8" t="s">
        <v>4918</v>
      </c>
      <c r="C877" s="8" t="s">
        <v>4440</v>
      </c>
      <c r="D877" s="7">
        <v>1</v>
      </c>
      <c r="E877" s="7">
        <v>10</v>
      </c>
      <c r="F877" s="7">
        <v>1</v>
      </c>
      <c r="G877" s="8" t="s">
        <v>4371</v>
      </c>
      <c r="H877" s="8" t="s">
        <v>4372</v>
      </c>
      <c r="I877" s="7" t="str">
        <f>_xlfn.CONCAT(Paper_Reference[[#This Row],[Lvl]:[Paper Description]])</f>
        <v>2G48SE101U320BLACK 36 X 1441101100DS064-6200BLACK</v>
      </c>
      <c r="J877" s="7">
        <f>COUNTIF(Paper_Reference[Duplicate Key],Paper_Reference[[#This Row],[Duplicate Key]])</f>
        <v>1</v>
      </c>
    </row>
    <row r="878" spans="1:10">
      <c r="A878" s="7">
        <v>2</v>
      </c>
      <c r="B878" s="8" t="s">
        <v>4919</v>
      </c>
      <c r="C878" s="8" t="s">
        <v>4373</v>
      </c>
      <c r="D878" s="7">
        <v>1</v>
      </c>
      <c r="E878" s="7">
        <v>10</v>
      </c>
      <c r="F878" s="7">
        <v>1</v>
      </c>
      <c r="G878" s="8" t="s">
        <v>4371</v>
      </c>
      <c r="H878" s="8" t="s">
        <v>4372</v>
      </c>
      <c r="I878" s="7" t="str">
        <f>_xlfn.CONCAT(Paper_Reference[[#This Row],[Lvl]:[Paper Description]])</f>
        <v>2G48SE101U500BLACK 60 X 1201101100DS064-6200BLACK</v>
      </c>
      <c r="J878" s="7">
        <f>COUNTIF(Paper_Reference[Duplicate Key],Paper_Reference[[#This Row],[Duplicate Key]])</f>
        <v>1</v>
      </c>
    </row>
    <row r="879" spans="1:10">
      <c r="A879" s="7">
        <v>2</v>
      </c>
      <c r="B879" s="8" t="s">
        <v>4921</v>
      </c>
      <c r="C879" s="8" t="s">
        <v>4379</v>
      </c>
      <c r="D879" s="7">
        <v>1</v>
      </c>
      <c r="E879" s="7">
        <v>10</v>
      </c>
      <c r="F879" s="7">
        <v>1</v>
      </c>
      <c r="G879" s="8" t="s">
        <v>4371</v>
      </c>
      <c r="H879" s="8" t="s">
        <v>4372</v>
      </c>
      <c r="I879" s="7" t="str">
        <f>_xlfn.CONCAT(Paper_Reference[[#This Row],[Lvl]:[Paper Description]])</f>
        <v>2G48SE101U520BLACK 60 X 1441101100DS064-6200BLACK</v>
      </c>
      <c r="J879" s="7">
        <f>COUNTIF(Paper_Reference[Duplicate Key],Paper_Reference[[#This Row],[Duplicate Key]])</f>
        <v>1</v>
      </c>
    </row>
    <row r="880" spans="1:10">
      <c r="A880" s="7">
        <v>2</v>
      </c>
      <c r="B880" s="8" t="s">
        <v>4920</v>
      </c>
      <c r="C880" s="8" t="s">
        <v>4379</v>
      </c>
      <c r="D880" s="7">
        <v>1</v>
      </c>
      <c r="E880" s="7">
        <v>10</v>
      </c>
      <c r="F880" s="7">
        <v>1</v>
      </c>
      <c r="G880" s="8" t="s">
        <v>4371</v>
      </c>
      <c r="H880" s="8" t="s">
        <v>4372</v>
      </c>
      <c r="I880" s="7" t="str">
        <f>_xlfn.CONCAT(Paper_Reference[[#This Row],[Lvl]:[Paper Description]])</f>
        <v>2G48SE101U5201BLACK 60 X 1441101100DS064-6200BLACK</v>
      </c>
      <c r="J880" s="7">
        <f>COUNTIF(Paper_Reference[Duplicate Key],Paper_Reference[[#This Row],[Duplicate Key]])</f>
        <v>1</v>
      </c>
    </row>
    <row r="881" spans="1:10">
      <c r="A881" s="7">
        <v>2</v>
      </c>
      <c r="B881" s="8" t="s">
        <v>4922</v>
      </c>
      <c r="C881" s="8" t="s">
        <v>4378</v>
      </c>
      <c r="D881" s="7">
        <v>1</v>
      </c>
      <c r="E881" s="7">
        <v>10</v>
      </c>
      <c r="F881" s="7">
        <v>0.5</v>
      </c>
      <c r="G881" s="8" t="s">
        <v>4371</v>
      </c>
      <c r="H881" s="8" t="s">
        <v>4372</v>
      </c>
      <c r="I881" s="7" t="str">
        <f>_xlfn.CONCAT(Paper_Reference[[#This Row],[Lvl]:[Paper Description]])</f>
        <v>2G48SE101V020BLACK 30 X 1441100.5100DS064-6200BLACK</v>
      </c>
      <c r="J881" s="7">
        <f>COUNTIF(Paper_Reference[Duplicate Key],Paper_Reference[[#This Row],[Duplicate Key]])</f>
        <v>1</v>
      </c>
    </row>
    <row r="882" spans="1:10">
      <c r="A882" s="7">
        <v>2</v>
      </c>
      <c r="B882" s="8" t="s">
        <v>4923</v>
      </c>
      <c r="C882" s="8" t="s">
        <v>4445</v>
      </c>
      <c r="D882" s="7">
        <v>1</v>
      </c>
      <c r="E882" s="7">
        <v>10</v>
      </c>
      <c r="F882" s="7">
        <v>1</v>
      </c>
      <c r="G882" s="8" t="s">
        <v>4371</v>
      </c>
      <c r="H882" s="8" t="s">
        <v>4372</v>
      </c>
      <c r="I882" s="7" t="str">
        <f>_xlfn.CONCAT(Paper_Reference[[#This Row],[Lvl]:[Paper Description]])</f>
        <v>2G48SE101V420BLACK 48 X 1441101100DS064-6200BLACK</v>
      </c>
      <c r="J882" s="7">
        <f>COUNTIF(Paper_Reference[Duplicate Key],Paper_Reference[[#This Row],[Duplicate Key]])</f>
        <v>1</v>
      </c>
    </row>
    <row r="883" spans="1:10">
      <c r="A883" s="7">
        <v>2</v>
      </c>
      <c r="B883" s="8" t="s">
        <v>4924</v>
      </c>
      <c r="C883" s="8" t="s">
        <v>4373</v>
      </c>
      <c r="D883" s="7">
        <v>1</v>
      </c>
      <c r="E883" s="7">
        <v>10</v>
      </c>
      <c r="F883" s="7">
        <v>1</v>
      </c>
      <c r="G883" s="8" t="s">
        <v>4371</v>
      </c>
      <c r="H883" s="8" t="s">
        <v>4372</v>
      </c>
      <c r="I883" s="7" t="str">
        <f>_xlfn.CONCAT(Paper_Reference[[#This Row],[Lvl]:[Paper Description]])</f>
        <v>2G48SE101V500BLACK 60 X 1201101100DS064-6200BLACK</v>
      </c>
      <c r="J883" s="7">
        <f>COUNTIF(Paper_Reference[Duplicate Key],Paper_Reference[[#This Row],[Duplicate Key]])</f>
        <v>1</v>
      </c>
    </row>
    <row r="884" spans="1:10">
      <c r="A884" s="7">
        <v>2</v>
      </c>
      <c r="B884" s="8" t="s">
        <v>4925</v>
      </c>
      <c r="C884" s="8" t="s">
        <v>4379</v>
      </c>
      <c r="D884" s="7">
        <v>1</v>
      </c>
      <c r="E884" s="7">
        <v>10</v>
      </c>
      <c r="F884" s="7">
        <v>1</v>
      </c>
      <c r="G884" s="8" t="s">
        <v>4371</v>
      </c>
      <c r="H884" s="8" t="s">
        <v>4372</v>
      </c>
      <c r="I884" s="7" t="str">
        <f>_xlfn.CONCAT(Paper_Reference[[#This Row],[Lvl]:[Paper Description]])</f>
        <v>2G48SE101V520BLACK 60 X 1441101100DS064-6200BLACK</v>
      </c>
      <c r="J884" s="7">
        <f>COUNTIF(Paper_Reference[Duplicate Key],Paper_Reference[[#This Row],[Duplicate Key]])</f>
        <v>1</v>
      </c>
    </row>
    <row r="885" spans="1:10">
      <c r="A885" s="7">
        <v>2</v>
      </c>
      <c r="B885" s="8" t="s">
        <v>4926</v>
      </c>
      <c r="C885" s="8" t="s">
        <v>4380</v>
      </c>
      <c r="D885" s="7">
        <v>1</v>
      </c>
      <c r="E885" s="7">
        <v>10</v>
      </c>
      <c r="F885" s="7">
        <v>1</v>
      </c>
      <c r="G885" s="8" t="s">
        <v>4371</v>
      </c>
      <c r="H885" s="8" t="s">
        <v>4372</v>
      </c>
      <c r="I885" s="7" t="str">
        <f>_xlfn.CONCAT(Paper_Reference[[#This Row],[Lvl]:[Paper Description]])</f>
        <v>2G48SE101V580BLACK 60 X 961101100DS064-6200BLACK</v>
      </c>
      <c r="J885" s="7">
        <f>COUNTIF(Paper_Reference[Duplicate Key],Paper_Reference[[#This Row],[Duplicate Key]])</f>
        <v>1</v>
      </c>
    </row>
    <row r="886" spans="1:10">
      <c r="A886" s="7">
        <v>2</v>
      </c>
      <c r="B886" s="8" t="s">
        <v>4927</v>
      </c>
      <c r="C886" s="8" t="s">
        <v>4379</v>
      </c>
      <c r="D886" s="7">
        <v>1</v>
      </c>
      <c r="E886" s="7">
        <v>10</v>
      </c>
      <c r="F886" s="7">
        <v>1</v>
      </c>
      <c r="G886" s="8" t="s">
        <v>4371</v>
      </c>
      <c r="H886" s="8" t="s">
        <v>4372</v>
      </c>
      <c r="I886" s="7" t="str">
        <f>_xlfn.CONCAT(Paper_Reference[[#This Row],[Lvl]:[Paper Description]])</f>
        <v>2G48SE101VE520BLACK 60 X 1441101100DS064-6200BLACK</v>
      </c>
      <c r="J886" s="7">
        <f>COUNTIF(Paper_Reference[Duplicate Key],Paper_Reference[[#This Row],[Duplicate Key]])</f>
        <v>1</v>
      </c>
    </row>
    <row r="887" spans="1:10">
      <c r="A887" s="7">
        <v>2</v>
      </c>
      <c r="B887" s="8" t="s">
        <v>4928</v>
      </c>
      <c r="C887" s="8" t="s">
        <v>4379</v>
      </c>
      <c r="D887" s="7">
        <v>1</v>
      </c>
      <c r="E887" s="7">
        <v>10</v>
      </c>
      <c r="F887" s="7">
        <v>1</v>
      </c>
      <c r="G887" s="8" t="s">
        <v>4371</v>
      </c>
      <c r="H887" s="8" t="s">
        <v>4372</v>
      </c>
      <c r="I887" s="7" t="str">
        <f>_xlfn.CONCAT(Paper_Reference[[#This Row],[Lvl]:[Paper Description]])</f>
        <v>2G48SE101VP520BLACK 60 X 1441101100DS064-6200BLACK</v>
      </c>
      <c r="J887" s="7">
        <f>COUNTIF(Paper_Reference[Duplicate Key],Paper_Reference[[#This Row],[Duplicate Key]])</f>
        <v>1</v>
      </c>
    </row>
    <row r="888" spans="1:10">
      <c r="A888" s="7">
        <v>2</v>
      </c>
      <c r="B888" s="8" t="s">
        <v>4929</v>
      </c>
      <c r="C888" s="8" t="s">
        <v>4378</v>
      </c>
      <c r="D888" s="7">
        <v>1</v>
      </c>
      <c r="E888" s="7">
        <v>10</v>
      </c>
      <c r="F888" s="7">
        <v>0.5</v>
      </c>
      <c r="G888" s="8" t="s">
        <v>4371</v>
      </c>
      <c r="H888" s="8" t="s">
        <v>4372</v>
      </c>
      <c r="I888" s="7" t="str">
        <f>_xlfn.CONCAT(Paper_Reference[[#This Row],[Lvl]:[Paper Description]])</f>
        <v>2G48SE101W020BLACK 30 X 1441100.5100DS064-6200BLACK</v>
      </c>
      <c r="J888" s="7">
        <f>COUNTIF(Paper_Reference[Duplicate Key],Paper_Reference[[#This Row],[Duplicate Key]])</f>
        <v>1</v>
      </c>
    </row>
    <row r="889" spans="1:10">
      <c r="A889" s="7">
        <v>2</v>
      </c>
      <c r="B889" s="8" t="s">
        <v>4930</v>
      </c>
      <c r="C889" s="8" t="s">
        <v>4466</v>
      </c>
      <c r="D889" s="7">
        <v>1</v>
      </c>
      <c r="E889" s="7">
        <v>10</v>
      </c>
      <c r="F889" s="7">
        <v>1</v>
      </c>
      <c r="G889" s="8" t="s">
        <v>4371</v>
      </c>
      <c r="H889" s="8" t="s">
        <v>4372</v>
      </c>
      <c r="I889" s="7" t="str">
        <f>_xlfn.CONCAT(Paper_Reference[[#This Row],[Lvl]:[Paper Description]])</f>
        <v>2G48SE101W300BLACK 36 X 1201101100DS064-6200BLACK</v>
      </c>
      <c r="J889" s="7">
        <f>COUNTIF(Paper_Reference[Duplicate Key],Paper_Reference[[#This Row],[Duplicate Key]])</f>
        <v>1</v>
      </c>
    </row>
    <row r="890" spans="1:10">
      <c r="A890" s="7">
        <v>2</v>
      </c>
      <c r="B890" s="8" t="s">
        <v>4931</v>
      </c>
      <c r="C890" s="8" t="s">
        <v>4440</v>
      </c>
      <c r="D890" s="7">
        <v>1</v>
      </c>
      <c r="E890" s="7">
        <v>10</v>
      </c>
      <c r="F890" s="7">
        <v>1</v>
      </c>
      <c r="G890" s="8" t="s">
        <v>4371</v>
      </c>
      <c r="H890" s="8" t="s">
        <v>4372</v>
      </c>
      <c r="I890" s="7" t="str">
        <f>_xlfn.CONCAT(Paper_Reference[[#This Row],[Lvl]:[Paper Description]])</f>
        <v>2G48SE101W320BLACK 36 X 1441101100DS064-6200BLACK</v>
      </c>
      <c r="J890" s="7">
        <f>COUNTIF(Paper_Reference[Duplicate Key],Paper_Reference[[#This Row],[Duplicate Key]])</f>
        <v>1</v>
      </c>
    </row>
    <row r="891" spans="1:10">
      <c r="A891" s="7">
        <v>2</v>
      </c>
      <c r="B891" s="8" t="s">
        <v>4932</v>
      </c>
      <c r="C891" s="8" t="s">
        <v>4439</v>
      </c>
      <c r="D891" s="7">
        <v>1</v>
      </c>
      <c r="E891" s="7">
        <v>10</v>
      </c>
      <c r="F891" s="7">
        <v>1</v>
      </c>
      <c r="G891" s="8" t="s">
        <v>4371</v>
      </c>
      <c r="H891" s="8" t="s">
        <v>4372</v>
      </c>
      <c r="I891" s="7" t="str">
        <f>_xlfn.CONCAT(Paper_Reference[[#This Row],[Lvl]:[Paper Description]])</f>
        <v>2G48SE101W400BLACK 48 X 1201101100DS064-6200BLACK</v>
      </c>
      <c r="J891" s="7">
        <f>COUNTIF(Paper_Reference[Duplicate Key],Paper_Reference[[#This Row],[Duplicate Key]])</f>
        <v>1</v>
      </c>
    </row>
    <row r="892" spans="1:10">
      <c r="A892" s="7">
        <v>2</v>
      </c>
      <c r="B892" s="8" t="s">
        <v>4933</v>
      </c>
      <c r="C892" s="8" t="s">
        <v>4445</v>
      </c>
      <c r="D892" s="7">
        <v>1</v>
      </c>
      <c r="E892" s="7">
        <v>10</v>
      </c>
      <c r="F892" s="7">
        <v>1</v>
      </c>
      <c r="G892" s="8" t="s">
        <v>4371</v>
      </c>
      <c r="H892" s="8" t="s">
        <v>4372</v>
      </c>
      <c r="I892" s="7" t="str">
        <f>_xlfn.CONCAT(Paper_Reference[[#This Row],[Lvl]:[Paper Description]])</f>
        <v>2G48SE101W420BLACK 48 X 1441101100DS064-6200BLACK</v>
      </c>
      <c r="J892" s="7">
        <f>COUNTIF(Paper_Reference[Duplicate Key],Paper_Reference[[#This Row],[Duplicate Key]])</f>
        <v>1</v>
      </c>
    </row>
    <row r="893" spans="1:10">
      <c r="A893" s="7">
        <v>2</v>
      </c>
      <c r="B893" s="8" t="s">
        <v>4934</v>
      </c>
      <c r="C893" s="8" t="s">
        <v>4373</v>
      </c>
      <c r="D893" s="7">
        <v>1</v>
      </c>
      <c r="E893" s="7">
        <v>10</v>
      </c>
      <c r="F893" s="7">
        <v>1</v>
      </c>
      <c r="G893" s="8" t="s">
        <v>4371</v>
      </c>
      <c r="H893" s="8" t="s">
        <v>4372</v>
      </c>
      <c r="I893" s="7" t="str">
        <f>_xlfn.CONCAT(Paper_Reference[[#This Row],[Lvl]:[Paper Description]])</f>
        <v>2G48SE101W500BLACK 60 X 1201101100DS064-6200BLACK</v>
      </c>
      <c r="J893" s="7">
        <f>COUNTIF(Paper_Reference[Duplicate Key],Paper_Reference[[#This Row],[Duplicate Key]])</f>
        <v>1</v>
      </c>
    </row>
    <row r="894" spans="1:10">
      <c r="A894" s="7">
        <v>2</v>
      </c>
      <c r="B894" s="8" t="s">
        <v>4935</v>
      </c>
      <c r="C894" s="8" t="s">
        <v>4379</v>
      </c>
      <c r="D894" s="7">
        <v>1</v>
      </c>
      <c r="E894" s="7">
        <v>10</v>
      </c>
      <c r="F894" s="7">
        <v>1</v>
      </c>
      <c r="G894" s="8" t="s">
        <v>4371</v>
      </c>
      <c r="H894" s="8" t="s">
        <v>4372</v>
      </c>
      <c r="I894" s="7" t="str">
        <f>_xlfn.CONCAT(Paper_Reference[[#This Row],[Lvl]:[Paper Description]])</f>
        <v>2G48SE101W520BLACK 60 X 1441101100DS064-6200BLACK</v>
      </c>
      <c r="J894" s="7">
        <f>COUNTIF(Paper_Reference[Duplicate Key],Paper_Reference[[#This Row],[Duplicate Key]])</f>
        <v>1</v>
      </c>
    </row>
    <row r="895" spans="1:10">
      <c r="A895" s="7">
        <v>2</v>
      </c>
      <c r="B895" s="8" t="s">
        <v>4936</v>
      </c>
      <c r="C895" s="8" t="s">
        <v>4380</v>
      </c>
      <c r="D895" s="7">
        <v>1</v>
      </c>
      <c r="E895" s="7">
        <v>10</v>
      </c>
      <c r="F895" s="7">
        <v>1</v>
      </c>
      <c r="G895" s="8" t="s">
        <v>4371</v>
      </c>
      <c r="H895" s="8" t="s">
        <v>4372</v>
      </c>
      <c r="I895" s="7" t="str">
        <f>_xlfn.CONCAT(Paper_Reference[[#This Row],[Lvl]:[Paper Description]])</f>
        <v>2G48SE101W580BLACK 60 X 961101100DS064-6200BLACK</v>
      </c>
      <c r="J895" s="7">
        <f>COUNTIF(Paper_Reference[Duplicate Key],Paper_Reference[[#This Row],[Duplicate Key]])</f>
        <v>1</v>
      </c>
    </row>
    <row r="896" spans="1:10">
      <c r="A896" s="7">
        <v>2</v>
      </c>
      <c r="B896" s="8" t="s">
        <v>4937</v>
      </c>
      <c r="C896" s="8" t="s">
        <v>4379</v>
      </c>
      <c r="D896" s="7">
        <v>1</v>
      </c>
      <c r="E896" s="7">
        <v>10</v>
      </c>
      <c r="F896" s="7">
        <v>1</v>
      </c>
      <c r="G896" s="8" t="s">
        <v>4371</v>
      </c>
      <c r="H896" s="8" t="s">
        <v>4372</v>
      </c>
      <c r="I896" s="7" t="str">
        <f>_xlfn.CONCAT(Paper_Reference[[#This Row],[Lvl]:[Paper Description]])</f>
        <v>2G48SE101WE520BLACK 60 X 1441101100DS064-6200BLACK</v>
      </c>
      <c r="J896" s="7">
        <f>COUNTIF(Paper_Reference[Duplicate Key],Paper_Reference[[#This Row],[Duplicate Key]])</f>
        <v>1</v>
      </c>
    </row>
    <row r="897" spans="1:10">
      <c r="A897" s="7">
        <v>2</v>
      </c>
      <c r="B897" s="8" t="s">
        <v>8493</v>
      </c>
      <c r="C897" s="8" t="s">
        <v>8327</v>
      </c>
      <c r="D897" s="7">
        <v>1</v>
      </c>
      <c r="E897" s="7">
        <v>10</v>
      </c>
      <c r="F897" s="7">
        <v>0.5</v>
      </c>
      <c r="G897" s="8" t="s">
        <v>8302</v>
      </c>
      <c r="H897" s="8" t="s">
        <v>8303</v>
      </c>
      <c r="I897" s="7" t="str">
        <f>_xlfn.CONCAT(Paper_Reference[[#This Row],[Lvl]:[Paper Description]])</f>
        <v>2G48SW813G0801ICE WHITE 30 X 961100.5100SW813-6200ICE WHITE</v>
      </c>
      <c r="J897" s="7">
        <f>COUNTIF(Paper_Reference[Duplicate Key],Paper_Reference[[#This Row],[Duplicate Key]])</f>
        <v>1</v>
      </c>
    </row>
    <row r="898" spans="1:10">
      <c r="A898" s="7">
        <v>2</v>
      </c>
      <c r="B898" s="8" t="s">
        <v>8495</v>
      </c>
      <c r="C898" s="8" t="s">
        <v>8304</v>
      </c>
      <c r="D898" s="7">
        <v>1</v>
      </c>
      <c r="E898" s="7">
        <v>10</v>
      </c>
      <c r="F898" s="7">
        <v>1</v>
      </c>
      <c r="G898" s="8" t="s">
        <v>8302</v>
      </c>
      <c r="H898" s="8" t="s">
        <v>8303</v>
      </c>
      <c r="I898" s="7" t="str">
        <f>_xlfn.CONCAT(Paper_Reference[[#This Row],[Lvl]:[Paper Description]])</f>
        <v>2G48SW813G500ICE WHITE 60 X 1201101100SW813-6200ICE WHITE</v>
      </c>
      <c r="J898" s="7">
        <f>COUNTIF(Paper_Reference[Duplicate Key],Paper_Reference[[#This Row],[Duplicate Key]])</f>
        <v>1</v>
      </c>
    </row>
    <row r="899" spans="1:10">
      <c r="A899" s="7">
        <v>2</v>
      </c>
      <c r="B899" s="8" t="s">
        <v>8494</v>
      </c>
      <c r="C899" s="8" t="s">
        <v>8304</v>
      </c>
      <c r="D899" s="7">
        <v>1</v>
      </c>
      <c r="E899" s="7">
        <v>10</v>
      </c>
      <c r="F899" s="7">
        <v>1</v>
      </c>
      <c r="G899" s="8" t="s">
        <v>8302</v>
      </c>
      <c r="H899" s="8" t="s">
        <v>8303</v>
      </c>
      <c r="I899" s="7" t="str">
        <f>_xlfn.CONCAT(Paper_Reference[[#This Row],[Lvl]:[Paper Description]])</f>
        <v>2G48SW813G5001ICE WHITE 60 X 1201101100SW813-6200ICE WHITE</v>
      </c>
      <c r="J899" s="7">
        <f>COUNTIF(Paper_Reference[Duplicate Key],Paper_Reference[[#This Row],[Duplicate Key]])</f>
        <v>1</v>
      </c>
    </row>
    <row r="900" spans="1:10">
      <c r="A900" s="7">
        <v>2</v>
      </c>
      <c r="B900" s="8" t="s">
        <v>8497</v>
      </c>
      <c r="C900" s="8" t="s">
        <v>8305</v>
      </c>
      <c r="D900" s="7">
        <v>1</v>
      </c>
      <c r="E900" s="7">
        <v>10</v>
      </c>
      <c r="F900" s="7">
        <v>1</v>
      </c>
      <c r="G900" s="8" t="s">
        <v>8302</v>
      </c>
      <c r="H900" s="8" t="s">
        <v>8303</v>
      </c>
      <c r="I900" s="7" t="str">
        <f>_xlfn.CONCAT(Paper_Reference[[#This Row],[Lvl]:[Paper Description]])</f>
        <v>2G48SW813G520ICE WHITE 60 X 1441101100SW813-6200ICE WHITE</v>
      </c>
      <c r="J900" s="7">
        <f>COUNTIF(Paper_Reference[Duplicate Key],Paper_Reference[[#This Row],[Duplicate Key]])</f>
        <v>1</v>
      </c>
    </row>
    <row r="901" spans="1:10">
      <c r="A901" s="7">
        <v>2</v>
      </c>
      <c r="B901" s="8" t="s">
        <v>8496</v>
      </c>
      <c r="C901" s="8" t="s">
        <v>8305</v>
      </c>
      <c r="D901" s="7">
        <v>1</v>
      </c>
      <c r="E901" s="7">
        <v>10</v>
      </c>
      <c r="F901" s="7">
        <v>1</v>
      </c>
      <c r="G901" s="8" t="s">
        <v>8302</v>
      </c>
      <c r="H901" s="8" t="s">
        <v>8303</v>
      </c>
      <c r="I901" s="7" t="str">
        <f>_xlfn.CONCAT(Paper_Reference[[#This Row],[Lvl]:[Paper Description]])</f>
        <v>2G48SW813G5201ICE WHITE 60 X 1441101100SW813-6200ICE WHITE</v>
      </c>
      <c r="J901" s="7">
        <f>COUNTIF(Paper_Reference[Duplicate Key],Paper_Reference[[#This Row],[Duplicate Key]])</f>
        <v>1</v>
      </c>
    </row>
    <row r="902" spans="1:10">
      <c r="A902" s="7">
        <v>2</v>
      </c>
      <c r="B902" s="8" t="s">
        <v>8498</v>
      </c>
      <c r="C902" s="8" t="s">
        <v>8306</v>
      </c>
      <c r="D902" s="7">
        <v>1</v>
      </c>
      <c r="E902" s="7">
        <v>10</v>
      </c>
      <c r="F902" s="7">
        <v>1</v>
      </c>
      <c r="G902" s="8" t="s">
        <v>8302</v>
      </c>
      <c r="H902" s="8" t="s">
        <v>8303</v>
      </c>
      <c r="I902" s="7" t="str">
        <f>_xlfn.CONCAT(Paper_Reference[[#This Row],[Lvl]:[Paper Description]])</f>
        <v>2G48SW813G5801ICE WHITE 60 X 961101100SW813-6200ICE WHITE</v>
      </c>
      <c r="J902" s="7">
        <f>COUNTIF(Paper_Reference[Duplicate Key],Paper_Reference[[#This Row],[Duplicate Key]])</f>
        <v>1</v>
      </c>
    </row>
    <row r="903" spans="1:10">
      <c r="A903" s="7">
        <v>2</v>
      </c>
      <c r="B903" s="8" t="s">
        <v>8499</v>
      </c>
      <c r="C903" s="8" t="s">
        <v>8333</v>
      </c>
      <c r="D903" s="7">
        <v>1</v>
      </c>
      <c r="E903" s="7">
        <v>10</v>
      </c>
      <c r="F903" s="7">
        <v>1</v>
      </c>
      <c r="G903" s="8" t="s">
        <v>8302</v>
      </c>
      <c r="H903" s="8" t="s">
        <v>8303</v>
      </c>
      <c r="I903" s="7" t="str">
        <f>_xlfn.CONCAT(Paper_Reference[[#This Row],[Lvl]:[Paper Description]])</f>
        <v>2G48SW813GL3201ICE WHITE PC 36 X 1441101100SW813-6200ICE WHITE</v>
      </c>
      <c r="J903" s="7">
        <f>COUNTIF(Paper_Reference[Duplicate Key],Paper_Reference[[#This Row],[Duplicate Key]])</f>
        <v>1</v>
      </c>
    </row>
    <row r="904" spans="1:10">
      <c r="A904" s="7">
        <v>2</v>
      </c>
      <c r="B904" s="8" t="s">
        <v>8500</v>
      </c>
      <c r="C904" s="8" t="s">
        <v>8304</v>
      </c>
      <c r="D904" s="7">
        <v>1</v>
      </c>
      <c r="E904" s="7">
        <v>10</v>
      </c>
      <c r="F904" s="7">
        <v>1</v>
      </c>
      <c r="G904" s="8" t="s">
        <v>8302</v>
      </c>
      <c r="H904" s="8" t="s">
        <v>8303</v>
      </c>
      <c r="I904" s="7" t="str">
        <f>_xlfn.CONCAT(Paper_Reference[[#This Row],[Lvl]:[Paper Description]])</f>
        <v>2G48SW813GL5001ICE WHITE 60 X 1201101100SW813-6200ICE WHITE</v>
      </c>
      <c r="J904" s="7">
        <f>COUNTIF(Paper_Reference[Duplicate Key],Paper_Reference[[#This Row],[Duplicate Key]])</f>
        <v>1</v>
      </c>
    </row>
    <row r="905" spans="1:10">
      <c r="A905" s="7">
        <v>2</v>
      </c>
      <c r="B905" s="8" t="s">
        <v>8501</v>
      </c>
      <c r="C905" s="8" t="s">
        <v>8305</v>
      </c>
      <c r="D905" s="7">
        <v>1</v>
      </c>
      <c r="E905" s="7">
        <v>10</v>
      </c>
      <c r="F905" s="7">
        <v>1</v>
      </c>
      <c r="G905" s="8" t="s">
        <v>8302</v>
      </c>
      <c r="H905" s="8" t="s">
        <v>8303</v>
      </c>
      <c r="I905" s="7" t="str">
        <f>_xlfn.CONCAT(Paper_Reference[[#This Row],[Lvl]:[Paper Description]])</f>
        <v>2G48SW813GL5201ICE WHITE 60 X 1441101100SW813-6200ICE WHITE</v>
      </c>
      <c r="J905" s="7">
        <f>COUNTIF(Paper_Reference[Duplicate Key],Paper_Reference[[#This Row],[Duplicate Key]])</f>
        <v>1</v>
      </c>
    </row>
    <row r="906" spans="1:10">
      <c r="A906" s="7">
        <v>2</v>
      </c>
      <c r="B906" s="8" t="s">
        <v>8502</v>
      </c>
      <c r="C906" s="8" t="s">
        <v>8306</v>
      </c>
      <c r="D906" s="7">
        <v>1</v>
      </c>
      <c r="E906" s="7">
        <v>10</v>
      </c>
      <c r="F906" s="7">
        <v>1</v>
      </c>
      <c r="G906" s="8" t="s">
        <v>8302</v>
      </c>
      <c r="H906" s="8" t="s">
        <v>8303</v>
      </c>
      <c r="I906" s="7" t="str">
        <f>_xlfn.CONCAT(Paper_Reference[[#This Row],[Lvl]:[Paper Description]])</f>
        <v>2G48SW813GL5801ICE WHITE 60 X 961101100SW813-6200ICE WHITE</v>
      </c>
      <c r="J906" s="7">
        <f>COUNTIF(Paper_Reference[Duplicate Key],Paper_Reference[[#This Row],[Duplicate Key]])</f>
        <v>1</v>
      </c>
    </row>
    <row r="907" spans="1:10">
      <c r="A907" s="7">
        <v>2</v>
      </c>
      <c r="B907" s="8" t="s">
        <v>8503</v>
      </c>
      <c r="C907" s="8" t="s">
        <v>8304</v>
      </c>
      <c r="D907" s="7">
        <v>1</v>
      </c>
      <c r="E907" s="7">
        <v>10</v>
      </c>
      <c r="F907" s="7">
        <v>1</v>
      </c>
      <c r="G907" s="8" t="s">
        <v>8302</v>
      </c>
      <c r="H907" s="8" t="s">
        <v>8303</v>
      </c>
      <c r="I907" s="7" t="str">
        <f>_xlfn.CONCAT(Paper_Reference[[#This Row],[Lvl]:[Paper Description]])</f>
        <v>2G48SW813J500ICE WHITE 60 X 1201101100SW813-6200ICE WHITE</v>
      </c>
      <c r="J907" s="7">
        <f>COUNTIF(Paper_Reference[Duplicate Key],Paper_Reference[[#This Row],[Duplicate Key]])</f>
        <v>1</v>
      </c>
    </row>
    <row r="908" spans="1:10">
      <c r="A908" s="7">
        <v>2</v>
      </c>
      <c r="B908" s="8" t="s">
        <v>8504</v>
      </c>
      <c r="C908" s="8" t="s">
        <v>8305</v>
      </c>
      <c r="D908" s="7">
        <v>1</v>
      </c>
      <c r="E908" s="7">
        <v>10</v>
      </c>
      <c r="F908" s="7">
        <v>1</v>
      </c>
      <c r="G908" s="8" t="s">
        <v>8302</v>
      </c>
      <c r="H908" s="8" t="s">
        <v>8303</v>
      </c>
      <c r="I908" s="7" t="str">
        <f>_xlfn.CONCAT(Paper_Reference[[#This Row],[Lvl]:[Paper Description]])</f>
        <v>2G48SW813J520ICE WHITE 60 X 1441101100SW813-6200ICE WHITE</v>
      </c>
      <c r="J908" s="7">
        <f>COUNTIF(Paper_Reference[Duplicate Key],Paper_Reference[[#This Row],[Duplicate Key]])</f>
        <v>1</v>
      </c>
    </row>
    <row r="909" spans="1:10">
      <c r="A909" s="7">
        <v>2</v>
      </c>
      <c r="B909" s="8" t="s">
        <v>8505</v>
      </c>
      <c r="C909" s="8" t="s">
        <v>8306</v>
      </c>
      <c r="D909" s="7">
        <v>1</v>
      </c>
      <c r="E909" s="7">
        <v>10</v>
      </c>
      <c r="F909" s="7">
        <v>1</v>
      </c>
      <c r="G909" s="8" t="s">
        <v>8302</v>
      </c>
      <c r="H909" s="8" t="s">
        <v>8303</v>
      </c>
      <c r="I909" s="7" t="str">
        <f>_xlfn.CONCAT(Paper_Reference[[#This Row],[Lvl]:[Paper Description]])</f>
        <v>2G48SW813J580ICE WHITE 60 X 961101100SW813-6200ICE WHITE</v>
      </c>
      <c r="J909" s="7">
        <f>COUNTIF(Paper_Reference[Duplicate Key],Paper_Reference[[#This Row],[Duplicate Key]])</f>
        <v>1</v>
      </c>
    </row>
    <row r="910" spans="1:10">
      <c r="A910" s="7">
        <v>2</v>
      </c>
      <c r="B910" s="8" t="s">
        <v>8507</v>
      </c>
      <c r="C910" s="8" t="s">
        <v>8326</v>
      </c>
      <c r="D910" s="7">
        <v>1</v>
      </c>
      <c r="E910" s="7">
        <v>10</v>
      </c>
      <c r="F910" s="7">
        <v>0.5</v>
      </c>
      <c r="G910" s="8" t="s">
        <v>8302</v>
      </c>
      <c r="H910" s="8" t="s">
        <v>8303</v>
      </c>
      <c r="I910" s="7" t="str">
        <f>_xlfn.CONCAT(Paper_Reference[[#This Row],[Lvl]:[Paper Description]])</f>
        <v>2G48SW813N000ICE WHITE 30 X 1201100.5100SW813-6200ICE WHITE</v>
      </c>
      <c r="J910" s="7">
        <f>COUNTIF(Paper_Reference[Duplicate Key],Paper_Reference[[#This Row],[Duplicate Key]])</f>
        <v>1</v>
      </c>
    </row>
    <row r="911" spans="1:10">
      <c r="A911" s="7">
        <v>2</v>
      </c>
      <c r="B911" s="8" t="s">
        <v>8506</v>
      </c>
      <c r="C911" s="8" t="s">
        <v>8334</v>
      </c>
      <c r="D911" s="7">
        <v>1</v>
      </c>
      <c r="E911" s="7">
        <v>10</v>
      </c>
      <c r="F911" s="7">
        <v>0.5</v>
      </c>
      <c r="G911" s="8" t="s">
        <v>8302</v>
      </c>
      <c r="H911" s="8" t="s">
        <v>8303</v>
      </c>
      <c r="I911" s="7" t="str">
        <f>_xlfn.CONCAT(Paper_Reference[[#This Row],[Lvl]:[Paper Description]])</f>
        <v>2G48SW813N0003FSC ICE WHITE 30 X 1201100.5100SW813-6200ICE WHITE</v>
      </c>
      <c r="J911" s="7">
        <f>COUNTIF(Paper_Reference[Duplicate Key],Paper_Reference[[#This Row],[Duplicate Key]])</f>
        <v>1</v>
      </c>
    </row>
    <row r="912" spans="1:10">
      <c r="A912" s="7">
        <v>2</v>
      </c>
      <c r="B912" s="8" t="s">
        <v>8509</v>
      </c>
      <c r="C912" s="8" t="s">
        <v>8325</v>
      </c>
      <c r="D912" s="7">
        <v>1</v>
      </c>
      <c r="E912" s="7">
        <v>10</v>
      </c>
      <c r="F912" s="7">
        <v>0.5</v>
      </c>
      <c r="G912" s="8" t="s">
        <v>8302</v>
      </c>
      <c r="H912" s="8" t="s">
        <v>8303</v>
      </c>
      <c r="I912" s="7" t="str">
        <f>_xlfn.CONCAT(Paper_Reference[[#This Row],[Lvl]:[Paper Description]])</f>
        <v>2G48SW813N020ICE WHITE 30 X 1441100.5100SW813-6200ICE WHITE</v>
      </c>
      <c r="J912" s="7">
        <f>COUNTIF(Paper_Reference[Duplicate Key],Paper_Reference[[#This Row],[Duplicate Key]])</f>
        <v>1</v>
      </c>
    </row>
    <row r="913" spans="1:10">
      <c r="A913" s="7">
        <v>2</v>
      </c>
      <c r="B913" s="8" t="s">
        <v>8508</v>
      </c>
      <c r="C913" s="8" t="s">
        <v>8335</v>
      </c>
      <c r="D913" s="7">
        <v>1</v>
      </c>
      <c r="E913" s="7">
        <v>10</v>
      </c>
      <c r="F913" s="7">
        <v>0.5</v>
      </c>
      <c r="G913" s="8" t="s">
        <v>8302</v>
      </c>
      <c r="H913" s="8" t="s">
        <v>8303</v>
      </c>
      <c r="I913" s="7" t="str">
        <f>_xlfn.CONCAT(Paper_Reference[[#This Row],[Lvl]:[Paper Description]])</f>
        <v>2G48SW813N0203FSC ICE WHITE 30 X 1441100.5100SW813-6200ICE WHITE</v>
      </c>
      <c r="J913" s="7">
        <f>COUNTIF(Paper_Reference[Duplicate Key],Paper_Reference[[#This Row],[Duplicate Key]])</f>
        <v>1</v>
      </c>
    </row>
    <row r="914" spans="1:10">
      <c r="A914" s="7">
        <v>2</v>
      </c>
      <c r="B914" s="8" t="s">
        <v>8511</v>
      </c>
      <c r="C914" s="8" t="s">
        <v>8327</v>
      </c>
      <c r="D914" s="7">
        <v>1</v>
      </c>
      <c r="E914" s="7">
        <v>10</v>
      </c>
      <c r="F914" s="7">
        <v>0.5</v>
      </c>
      <c r="G914" s="8" t="s">
        <v>8302</v>
      </c>
      <c r="H914" s="8" t="s">
        <v>8303</v>
      </c>
      <c r="I914" s="7" t="str">
        <f>_xlfn.CONCAT(Paper_Reference[[#This Row],[Lvl]:[Paper Description]])</f>
        <v>2G48SW813N080ICE WHITE 30 X 961100.5100SW813-6200ICE WHITE</v>
      </c>
      <c r="J914" s="7">
        <f>COUNTIF(Paper_Reference[Duplicate Key],Paper_Reference[[#This Row],[Duplicate Key]])</f>
        <v>1</v>
      </c>
    </row>
    <row r="915" spans="1:10">
      <c r="A915" s="7">
        <v>2</v>
      </c>
      <c r="B915" s="8" t="s">
        <v>8510</v>
      </c>
      <c r="C915" s="8" t="s">
        <v>8336</v>
      </c>
      <c r="D915" s="7">
        <v>1</v>
      </c>
      <c r="E915" s="7">
        <v>10</v>
      </c>
      <c r="F915" s="7">
        <v>0.5</v>
      </c>
      <c r="G915" s="8" t="s">
        <v>8302</v>
      </c>
      <c r="H915" s="8" t="s">
        <v>8303</v>
      </c>
      <c r="I915" s="7" t="str">
        <f>_xlfn.CONCAT(Paper_Reference[[#This Row],[Lvl]:[Paper Description]])</f>
        <v>2G48SW813N0803FSC ICE WHITE 30 X 961100.5100SW813-6200ICE WHITE</v>
      </c>
      <c r="J915" s="7">
        <f>COUNTIF(Paper_Reference[Duplicate Key],Paper_Reference[[#This Row],[Duplicate Key]])</f>
        <v>1</v>
      </c>
    </row>
    <row r="916" spans="1:10">
      <c r="A916" s="7">
        <v>2</v>
      </c>
      <c r="B916" s="8" t="s">
        <v>8513</v>
      </c>
      <c r="C916" s="8" t="s">
        <v>8304</v>
      </c>
      <c r="D916" s="7">
        <v>1</v>
      </c>
      <c r="E916" s="7">
        <v>10</v>
      </c>
      <c r="F916" s="7">
        <v>1</v>
      </c>
      <c r="G916" s="8" t="s">
        <v>8302</v>
      </c>
      <c r="H916" s="8" t="s">
        <v>8303</v>
      </c>
      <c r="I916" s="7" t="str">
        <f>_xlfn.CONCAT(Paper_Reference[[#This Row],[Lvl]:[Paper Description]])</f>
        <v>2G48SW813N500ICE WHITE 60 X 1201101100SW813-6200ICE WHITE</v>
      </c>
      <c r="J916" s="7">
        <f>COUNTIF(Paper_Reference[Duplicate Key],Paper_Reference[[#This Row],[Duplicate Key]])</f>
        <v>1</v>
      </c>
    </row>
    <row r="917" spans="1:10">
      <c r="A917" s="7">
        <v>2</v>
      </c>
      <c r="B917" s="8" t="s">
        <v>8512</v>
      </c>
      <c r="C917" s="8" t="s">
        <v>8304</v>
      </c>
      <c r="D917" s="7">
        <v>1</v>
      </c>
      <c r="E917" s="7">
        <v>10</v>
      </c>
      <c r="F917" s="7">
        <v>1</v>
      </c>
      <c r="G917" s="8" t="s">
        <v>8302</v>
      </c>
      <c r="H917" s="8" t="s">
        <v>8303</v>
      </c>
      <c r="I917" s="7" t="str">
        <f>_xlfn.CONCAT(Paper_Reference[[#This Row],[Lvl]:[Paper Description]])</f>
        <v>2G48SW813N5001ICE WHITE 60 X 1201101100SW813-6200ICE WHITE</v>
      </c>
      <c r="J917" s="7">
        <f>COUNTIF(Paper_Reference[Duplicate Key],Paper_Reference[[#This Row],[Duplicate Key]])</f>
        <v>1</v>
      </c>
    </row>
    <row r="918" spans="1:10">
      <c r="A918" s="7">
        <v>2</v>
      </c>
      <c r="B918" s="8" t="s">
        <v>8516</v>
      </c>
      <c r="C918" s="8" t="s">
        <v>8305</v>
      </c>
      <c r="D918" s="7">
        <v>1</v>
      </c>
      <c r="E918" s="7">
        <v>10</v>
      </c>
      <c r="F918" s="7">
        <v>1</v>
      </c>
      <c r="G918" s="8" t="s">
        <v>8302</v>
      </c>
      <c r="H918" s="8" t="s">
        <v>8303</v>
      </c>
      <c r="I918" s="7" t="str">
        <f>_xlfn.CONCAT(Paper_Reference[[#This Row],[Lvl]:[Paper Description]])</f>
        <v>2G48SW813N520ICE WHITE 60 X 1441101100SW813-6200ICE WHITE</v>
      </c>
      <c r="J918" s="7">
        <f>COUNTIF(Paper_Reference[Duplicate Key],Paper_Reference[[#This Row],[Duplicate Key]])</f>
        <v>1</v>
      </c>
    </row>
    <row r="919" spans="1:10">
      <c r="A919" s="7">
        <v>2</v>
      </c>
      <c r="B919" s="8" t="s">
        <v>8514</v>
      </c>
      <c r="C919" s="8" t="s">
        <v>8305</v>
      </c>
      <c r="D919" s="7">
        <v>1</v>
      </c>
      <c r="E919" s="7">
        <v>10</v>
      </c>
      <c r="F919" s="7">
        <v>1</v>
      </c>
      <c r="G919" s="8" t="s">
        <v>8302</v>
      </c>
      <c r="H919" s="8" t="s">
        <v>8303</v>
      </c>
      <c r="I919" s="7" t="str">
        <f>_xlfn.CONCAT(Paper_Reference[[#This Row],[Lvl]:[Paper Description]])</f>
        <v>2G48SW813N5201ICE WHITE 60 X 1441101100SW813-6200ICE WHITE</v>
      </c>
      <c r="J919" s="7">
        <f>COUNTIF(Paper_Reference[Duplicate Key],Paper_Reference[[#This Row],[Duplicate Key]])</f>
        <v>1</v>
      </c>
    </row>
    <row r="920" spans="1:10">
      <c r="A920" s="7">
        <v>2</v>
      </c>
      <c r="B920" s="8" t="s">
        <v>8515</v>
      </c>
      <c r="C920" s="8" t="s">
        <v>8305</v>
      </c>
      <c r="D920" s="7">
        <v>1</v>
      </c>
      <c r="E920" s="7">
        <v>10</v>
      </c>
      <c r="F920" s="7">
        <v>1</v>
      </c>
      <c r="G920" s="8" t="s">
        <v>8302</v>
      </c>
      <c r="H920" s="8" t="s">
        <v>8303</v>
      </c>
      <c r="I920" s="7" t="str">
        <f>_xlfn.CONCAT(Paper_Reference[[#This Row],[Lvl]:[Paper Description]])</f>
        <v>2G48SW813N5203ICE WHITE 60 X 1441101100SW813-6200ICE WHITE</v>
      </c>
      <c r="J920" s="7">
        <f>COUNTIF(Paper_Reference[Duplicate Key],Paper_Reference[[#This Row],[Duplicate Key]])</f>
        <v>1</v>
      </c>
    </row>
    <row r="921" spans="1:10">
      <c r="A921" s="7">
        <v>2</v>
      </c>
      <c r="B921" s="8" t="s">
        <v>8519</v>
      </c>
      <c r="C921" s="8" t="s">
        <v>8306</v>
      </c>
      <c r="D921" s="7">
        <v>1</v>
      </c>
      <c r="E921" s="7">
        <v>10</v>
      </c>
      <c r="F921" s="7">
        <v>1</v>
      </c>
      <c r="G921" s="8" t="s">
        <v>8302</v>
      </c>
      <c r="H921" s="8" t="s">
        <v>8303</v>
      </c>
      <c r="I921" s="7" t="str">
        <f>_xlfn.CONCAT(Paper_Reference[[#This Row],[Lvl]:[Paper Description]])</f>
        <v>2G48SW813N580ICE WHITE 60 X 961101100SW813-6200ICE WHITE</v>
      </c>
      <c r="J921" s="7">
        <f>COUNTIF(Paper_Reference[Duplicate Key],Paper_Reference[[#This Row],[Duplicate Key]])</f>
        <v>1</v>
      </c>
    </row>
    <row r="922" spans="1:10">
      <c r="A922" s="7">
        <v>2</v>
      </c>
      <c r="B922" s="8" t="s">
        <v>8517</v>
      </c>
      <c r="C922" s="8" t="s">
        <v>8306</v>
      </c>
      <c r="D922" s="7">
        <v>1</v>
      </c>
      <c r="E922" s="7">
        <v>10</v>
      </c>
      <c r="F922" s="7">
        <v>1</v>
      </c>
      <c r="G922" s="8" t="s">
        <v>8302</v>
      </c>
      <c r="H922" s="8" t="s">
        <v>8303</v>
      </c>
      <c r="I922" s="7" t="str">
        <f>_xlfn.CONCAT(Paper_Reference[[#This Row],[Lvl]:[Paper Description]])</f>
        <v>2G48SW813N5801ICE WHITE 60 X 961101100SW813-6200ICE WHITE</v>
      </c>
      <c r="J922" s="7">
        <f>COUNTIF(Paper_Reference[Duplicate Key],Paper_Reference[[#This Row],[Duplicate Key]])</f>
        <v>1</v>
      </c>
    </row>
    <row r="923" spans="1:10">
      <c r="A923" s="7">
        <v>2</v>
      </c>
      <c r="B923" s="8" t="s">
        <v>8518</v>
      </c>
      <c r="C923" s="8" t="s">
        <v>8306</v>
      </c>
      <c r="D923" s="7">
        <v>1</v>
      </c>
      <c r="E923" s="7">
        <v>10</v>
      </c>
      <c r="F923" s="7">
        <v>1</v>
      </c>
      <c r="G923" s="8" t="s">
        <v>8302</v>
      </c>
      <c r="H923" s="8" t="s">
        <v>8303</v>
      </c>
      <c r="I923" s="7" t="str">
        <f>_xlfn.CONCAT(Paper_Reference[[#This Row],[Lvl]:[Paper Description]])</f>
        <v>2G48SW813N5803ICE WHITE 60 X 961101100SW813-6200ICE WHITE</v>
      </c>
      <c r="J923" s="7">
        <f>COUNTIF(Paper_Reference[Duplicate Key],Paper_Reference[[#This Row],[Duplicate Key]])</f>
        <v>1</v>
      </c>
    </row>
    <row r="924" spans="1:10">
      <c r="A924" s="7">
        <v>2</v>
      </c>
      <c r="B924" s="8" t="s">
        <v>8520</v>
      </c>
      <c r="C924" s="8" t="s">
        <v>8326</v>
      </c>
      <c r="D924" s="7">
        <v>1</v>
      </c>
      <c r="E924" s="7">
        <v>10</v>
      </c>
      <c r="F924" s="7">
        <v>0.5</v>
      </c>
      <c r="G924" s="8" t="s">
        <v>8302</v>
      </c>
      <c r="H924" s="8" t="s">
        <v>8303</v>
      </c>
      <c r="I924" s="7" t="str">
        <f>_xlfn.CONCAT(Paper_Reference[[#This Row],[Lvl]:[Paper Description]])</f>
        <v>2G48SW813SD000ICE WHITE 30 X 1201100.5100SW813-6200ICE WHITE</v>
      </c>
      <c r="J924" s="7">
        <f>COUNTIF(Paper_Reference[Duplicate Key],Paper_Reference[[#This Row],[Duplicate Key]])</f>
        <v>1</v>
      </c>
    </row>
    <row r="925" spans="1:10">
      <c r="A925" s="7">
        <v>2</v>
      </c>
      <c r="B925" s="8" t="s">
        <v>8521</v>
      </c>
      <c r="C925" s="8" t="s">
        <v>8325</v>
      </c>
      <c r="D925" s="7">
        <v>1</v>
      </c>
      <c r="E925" s="7">
        <v>10</v>
      </c>
      <c r="F925" s="7">
        <v>0.5</v>
      </c>
      <c r="G925" s="8" t="s">
        <v>8302</v>
      </c>
      <c r="H925" s="8" t="s">
        <v>8303</v>
      </c>
      <c r="I925" s="7" t="str">
        <f>_xlfn.CONCAT(Paper_Reference[[#This Row],[Lvl]:[Paper Description]])</f>
        <v>2G48SW813SD020ICE WHITE 30 X 1441100.5100SW813-6200ICE WHITE</v>
      </c>
      <c r="J925" s="7">
        <f>COUNTIF(Paper_Reference[Duplicate Key],Paper_Reference[[#This Row],[Duplicate Key]])</f>
        <v>1</v>
      </c>
    </row>
    <row r="926" spans="1:10">
      <c r="A926" s="7">
        <v>3</v>
      </c>
      <c r="B926" s="8" t="s">
        <v>8522</v>
      </c>
      <c r="C926" s="8" t="s">
        <v>8337</v>
      </c>
      <c r="D926" s="7">
        <v>1</v>
      </c>
      <c r="E926" s="7">
        <v>55</v>
      </c>
      <c r="F926" s="7">
        <v>0.25</v>
      </c>
      <c r="G926" s="8" t="s">
        <v>8302</v>
      </c>
      <c r="H926" s="8" t="s">
        <v>8303</v>
      </c>
      <c r="I926" s="7" t="str">
        <f>_xlfn.CONCAT(Paper_Reference[[#This Row],[Lvl]:[Paper Description]])</f>
        <v>3G48SW813SD060ICE WHITE 30 X 721550.25100SW813-6200ICE WHITE</v>
      </c>
      <c r="J926" s="7">
        <f>COUNTIF(Paper_Reference[Duplicate Key],Paper_Reference[[#This Row],[Duplicate Key]])</f>
        <v>1</v>
      </c>
    </row>
    <row r="927" spans="1:10">
      <c r="A927" s="7">
        <v>2</v>
      </c>
      <c r="B927" s="8" t="s">
        <v>8523</v>
      </c>
      <c r="C927" s="8" t="s">
        <v>8327</v>
      </c>
      <c r="D927" s="7">
        <v>1</v>
      </c>
      <c r="E927" s="7">
        <v>10</v>
      </c>
      <c r="F927" s="7">
        <v>0.5</v>
      </c>
      <c r="G927" s="8" t="s">
        <v>8302</v>
      </c>
      <c r="H927" s="8" t="s">
        <v>8303</v>
      </c>
      <c r="I927" s="7" t="str">
        <f>_xlfn.CONCAT(Paper_Reference[[#This Row],[Lvl]:[Paper Description]])</f>
        <v>2G48SW813SD080ICE WHITE 30 X 961100.5100SW813-6200ICE WHITE</v>
      </c>
      <c r="J927" s="7">
        <f>COUNTIF(Paper_Reference[Duplicate Key],Paper_Reference[[#This Row],[Duplicate Key]])</f>
        <v>1</v>
      </c>
    </row>
    <row r="928" spans="1:10">
      <c r="A928" s="7">
        <v>2</v>
      </c>
      <c r="B928" s="8" t="s">
        <v>8524</v>
      </c>
      <c r="C928" s="8" t="s">
        <v>8304</v>
      </c>
      <c r="D928" s="7">
        <v>1</v>
      </c>
      <c r="E928" s="7">
        <v>10</v>
      </c>
      <c r="F928" s="7">
        <v>1</v>
      </c>
      <c r="G928" s="8" t="s">
        <v>8302</v>
      </c>
      <c r="H928" s="8" t="s">
        <v>8303</v>
      </c>
      <c r="I928" s="7" t="str">
        <f>_xlfn.CONCAT(Paper_Reference[[#This Row],[Lvl]:[Paper Description]])</f>
        <v>2G48SW813SD500ICE WHITE 60 X 1201101100SW813-6200ICE WHITE</v>
      </c>
      <c r="J928" s="7">
        <f>COUNTIF(Paper_Reference[Duplicate Key],Paper_Reference[[#This Row],[Duplicate Key]])</f>
        <v>1</v>
      </c>
    </row>
    <row r="929" spans="1:10">
      <c r="A929" s="7">
        <v>2</v>
      </c>
      <c r="B929" s="8" t="s">
        <v>8525</v>
      </c>
      <c r="C929" s="8" t="s">
        <v>8305</v>
      </c>
      <c r="D929" s="7">
        <v>1</v>
      </c>
      <c r="E929" s="7">
        <v>10</v>
      </c>
      <c r="F929" s="7">
        <v>1</v>
      </c>
      <c r="G929" s="8" t="s">
        <v>8302</v>
      </c>
      <c r="H929" s="8" t="s">
        <v>8303</v>
      </c>
      <c r="I929" s="7" t="str">
        <f>_xlfn.CONCAT(Paper_Reference[[#This Row],[Lvl]:[Paper Description]])</f>
        <v>2G48SW813SD5203ICE WHITE 60 X 1441101100SW813-6200ICE WHITE</v>
      </c>
      <c r="J929" s="7">
        <f>COUNTIF(Paper_Reference[Duplicate Key],Paper_Reference[[#This Row],[Duplicate Key]])</f>
        <v>1</v>
      </c>
    </row>
    <row r="930" spans="1:10">
      <c r="A930" s="7">
        <v>2</v>
      </c>
      <c r="B930" s="8" t="s">
        <v>8527</v>
      </c>
      <c r="C930" s="8" t="s">
        <v>8306</v>
      </c>
      <c r="D930" s="7">
        <v>1</v>
      </c>
      <c r="E930" s="7">
        <v>10</v>
      </c>
      <c r="F930" s="7">
        <v>1</v>
      </c>
      <c r="G930" s="8" t="s">
        <v>8302</v>
      </c>
      <c r="H930" s="8" t="s">
        <v>8303</v>
      </c>
      <c r="I930" s="7" t="str">
        <f>_xlfn.CONCAT(Paper_Reference[[#This Row],[Lvl]:[Paper Description]])</f>
        <v>2G48SW813SD580ICE WHITE 60 X 961101100SW813-6200ICE WHITE</v>
      </c>
      <c r="J930" s="7">
        <f>COUNTIF(Paper_Reference[Duplicate Key],Paper_Reference[[#This Row],[Duplicate Key]])</f>
        <v>1</v>
      </c>
    </row>
    <row r="931" spans="1:10">
      <c r="A931" s="7">
        <v>2</v>
      </c>
      <c r="B931" s="8" t="s">
        <v>8526</v>
      </c>
      <c r="C931" s="8" t="s">
        <v>8306</v>
      </c>
      <c r="D931" s="7">
        <v>1</v>
      </c>
      <c r="E931" s="7">
        <v>10</v>
      </c>
      <c r="F931" s="7">
        <v>1</v>
      </c>
      <c r="G931" s="8" t="s">
        <v>8302</v>
      </c>
      <c r="H931" s="8" t="s">
        <v>8303</v>
      </c>
      <c r="I931" s="7" t="str">
        <f>_xlfn.CONCAT(Paper_Reference[[#This Row],[Lvl]:[Paper Description]])</f>
        <v>2G48SW813SD5803ICE WHITE 60 X 961101100SW813-6200ICE WHITE</v>
      </c>
      <c r="J931" s="7">
        <f>COUNTIF(Paper_Reference[Duplicate Key],Paper_Reference[[#This Row],[Duplicate Key]])</f>
        <v>1</v>
      </c>
    </row>
    <row r="932" spans="1:10">
      <c r="A932" s="7">
        <v>2</v>
      </c>
      <c r="B932" s="8" t="s">
        <v>8528</v>
      </c>
      <c r="C932" s="8" t="s">
        <v>8338</v>
      </c>
      <c r="D932" s="7">
        <v>1</v>
      </c>
      <c r="E932" s="7">
        <v>10</v>
      </c>
      <c r="F932" s="7">
        <v>1</v>
      </c>
      <c r="G932" s="8" t="s">
        <v>8302</v>
      </c>
      <c r="H932" s="8" t="s">
        <v>8303</v>
      </c>
      <c r="I932" s="7" t="str">
        <f>_xlfn.CONCAT(Paper_Reference[[#This Row],[Lvl]:[Paper Description]])</f>
        <v>2G48SW813W400ICE WHITE 48 X 1201101100SW813-6200ICE WHITE</v>
      </c>
      <c r="J932" s="7">
        <f>COUNTIF(Paper_Reference[Duplicate Key],Paper_Reference[[#This Row],[Duplicate Key]])</f>
        <v>1</v>
      </c>
    </row>
    <row r="933" spans="1:10">
      <c r="A933" s="7">
        <v>2</v>
      </c>
      <c r="B933" s="8" t="s">
        <v>8529</v>
      </c>
      <c r="C933" s="8" t="s">
        <v>8305</v>
      </c>
      <c r="D933" s="7">
        <v>1</v>
      </c>
      <c r="E933" s="7">
        <v>10</v>
      </c>
      <c r="F933" s="7">
        <v>1</v>
      </c>
      <c r="G933" s="8" t="s">
        <v>8302</v>
      </c>
      <c r="H933" s="8" t="s">
        <v>8303</v>
      </c>
      <c r="I933" s="7" t="str">
        <f>_xlfn.CONCAT(Paper_Reference[[#This Row],[Lvl]:[Paper Description]])</f>
        <v>2G48SW813W520ICE WHITE 60 X 1441101100SW813-6200ICE WHITE</v>
      </c>
      <c r="J933" s="7">
        <f>COUNTIF(Paper_Reference[Duplicate Key],Paper_Reference[[#This Row],[Duplicate Key]])</f>
        <v>1</v>
      </c>
    </row>
    <row r="934" spans="1:10">
      <c r="A934" s="7">
        <v>2</v>
      </c>
      <c r="B934" s="8" t="s">
        <v>8530</v>
      </c>
      <c r="C934" s="8" t="s">
        <v>8306</v>
      </c>
      <c r="D934" s="7">
        <v>1</v>
      </c>
      <c r="E934" s="7">
        <v>10</v>
      </c>
      <c r="F934" s="7">
        <v>1</v>
      </c>
      <c r="G934" s="8" t="s">
        <v>8302</v>
      </c>
      <c r="H934" s="8" t="s">
        <v>8303</v>
      </c>
      <c r="I934" s="7" t="str">
        <f>_xlfn.CONCAT(Paper_Reference[[#This Row],[Lvl]:[Paper Description]])</f>
        <v>2G48SW813Z580ICE WHITE 60 X 961101100SW813-6200ICE WHITE</v>
      </c>
      <c r="J934" s="7">
        <f>COUNTIF(Paper_Reference[Duplicate Key],Paper_Reference[[#This Row],[Duplicate Key]])</f>
        <v>1</v>
      </c>
    </row>
    <row r="935" spans="1:10">
      <c r="A935" s="7">
        <v>2</v>
      </c>
      <c r="B935" s="8" t="s">
        <v>3165</v>
      </c>
      <c r="C935" s="8" t="s">
        <v>3086</v>
      </c>
      <c r="D935" s="7">
        <v>1</v>
      </c>
      <c r="E935" s="7">
        <v>10</v>
      </c>
      <c r="F935" s="7">
        <v>1</v>
      </c>
      <c r="G935" s="8" t="s">
        <v>3115</v>
      </c>
      <c r="H935" s="8" t="s">
        <v>3090</v>
      </c>
      <c r="I935" s="7" t="str">
        <f>_xlfn.CONCAT(Paper_Reference[[#This Row],[Lvl]:[Paper Description]])</f>
        <v>2G48WF131G520VANA 60 X 1441101100WF131-6200VANA</v>
      </c>
      <c r="J935" s="7">
        <f>COUNTIF(Paper_Reference[Duplicate Key],Paper_Reference[[#This Row],[Duplicate Key]])</f>
        <v>1</v>
      </c>
    </row>
    <row r="936" spans="1:10">
      <c r="A936" s="7">
        <v>2</v>
      </c>
      <c r="B936" s="8" t="s">
        <v>3164</v>
      </c>
      <c r="C936" s="8" t="s">
        <v>3086</v>
      </c>
      <c r="D936" s="7">
        <v>1</v>
      </c>
      <c r="E936" s="7">
        <v>10</v>
      </c>
      <c r="F936" s="7">
        <v>1</v>
      </c>
      <c r="G936" s="8" t="s">
        <v>3115</v>
      </c>
      <c r="H936" s="8" t="s">
        <v>3090</v>
      </c>
      <c r="I936" s="7" t="str">
        <f>_xlfn.CONCAT(Paper_Reference[[#This Row],[Lvl]:[Paper Description]])</f>
        <v>2G48WF131G5201VANA 60 X 1441101100WF131-6200VANA</v>
      </c>
      <c r="J936" s="7">
        <f>COUNTIF(Paper_Reference[Duplicate Key],Paper_Reference[[#This Row],[Duplicate Key]])</f>
        <v>1</v>
      </c>
    </row>
    <row r="937" spans="1:10">
      <c r="A937" s="7">
        <v>2</v>
      </c>
      <c r="B937" s="8" t="s">
        <v>3167</v>
      </c>
      <c r="C937" s="8" t="s">
        <v>3086</v>
      </c>
      <c r="D937" s="7">
        <v>1</v>
      </c>
      <c r="E937" s="7">
        <v>10</v>
      </c>
      <c r="F937" s="7">
        <v>1</v>
      </c>
      <c r="G937" s="8" t="s">
        <v>3115</v>
      </c>
      <c r="H937" s="8" t="s">
        <v>3090</v>
      </c>
      <c r="I937" s="7" t="str">
        <f>_xlfn.CONCAT(Paper_Reference[[#This Row],[Lvl]:[Paper Description]])</f>
        <v>2G48WF131GL520VANA 60 X 1441101100WF131-6200VANA</v>
      </c>
      <c r="J937" s="7">
        <f>COUNTIF(Paper_Reference[Duplicate Key],Paper_Reference[[#This Row],[Duplicate Key]])</f>
        <v>1</v>
      </c>
    </row>
    <row r="938" spans="1:10">
      <c r="A938" s="7">
        <v>2</v>
      </c>
      <c r="B938" s="8" t="s">
        <v>3166</v>
      </c>
      <c r="C938" s="8" t="s">
        <v>3086</v>
      </c>
      <c r="D938" s="7">
        <v>1</v>
      </c>
      <c r="E938" s="7">
        <v>10</v>
      </c>
      <c r="F938" s="7">
        <v>1</v>
      </c>
      <c r="G938" s="8" t="s">
        <v>3115</v>
      </c>
      <c r="H938" s="8" t="s">
        <v>3090</v>
      </c>
      <c r="I938" s="7" t="str">
        <f>_xlfn.CONCAT(Paper_Reference[[#This Row],[Lvl]:[Paper Description]])</f>
        <v>2G48WF131GL5201VANA 60 X 1441101100WF131-6200VANA</v>
      </c>
      <c r="J938" s="7">
        <f>COUNTIF(Paper_Reference[Duplicate Key],Paper_Reference[[#This Row],[Duplicate Key]])</f>
        <v>1</v>
      </c>
    </row>
    <row r="939" spans="1:10">
      <c r="A939" s="7">
        <v>2</v>
      </c>
      <c r="B939" s="8" t="s">
        <v>3168</v>
      </c>
      <c r="C939" s="8" t="s">
        <v>3086</v>
      </c>
      <c r="D939" s="7">
        <v>1</v>
      </c>
      <c r="E939" s="7">
        <v>10</v>
      </c>
      <c r="F939" s="7">
        <v>1</v>
      </c>
      <c r="G939" s="8" t="s">
        <v>3115</v>
      </c>
      <c r="H939" s="8" t="s">
        <v>3090</v>
      </c>
      <c r="I939" s="7" t="str">
        <f>_xlfn.CONCAT(Paper_Reference[[#This Row],[Lvl]:[Paper Description]])</f>
        <v>2G48WF131J520VANA 60 X 1441101100WF131-6200VANA</v>
      </c>
      <c r="J939" s="7">
        <f>COUNTIF(Paper_Reference[Duplicate Key],Paper_Reference[[#This Row],[Duplicate Key]])</f>
        <v>1</v>
      </c>
    </row>
    <row r="940" spans="1:10">
      <c r="A940" s="7">
        <v>2</v>
      </c>
      <c r="B940" s="8" t="s">
        <v>3169</v>
      </c>
      <c r="C940" s="8" t="s">
        <v>3086</v>
      </c>
      <c r="D940" s="7">
        <v>1</v>
      </c>
      <c r="E940" s="7">
        <v>10</v>
      </c>
      <c r="F940" s="7">
        <v>1</v>
      </c>
      <c r="G940" s="8" t="s">
        <v>3115</v>
      </c>
      <c r="H940" s="8" t="s">
        <v>3090</v>
      </c>
      <c r="I940" s="7" t="str">
        <f>_xlfn.CONCAT(Paper_Reference[[#This Row],[Lvl]:[Paper Description]])</f>
        <v>2G48WF131L520VANA 60 X 1441101100WF131-6200VANA</v>
      </c>
      <c r="J940" s="7">
        <f>COUNTIF(Paper_Reference[Duplicate Key],Paper_Reference[[#This Row],[Duplicate Key]])</f>
        <v>1</v>
      </c>
    </row>
    <row r="941" spans="1:10">
      <c r="A941" s="7">
        <v>2</v>
      </c>
      <c r="B941" s="8" t="s">
        <v>3170</v>
      </c>
      <c r="C941" s="8" t="s">
        <v>3091</v>
      </c>
      <c r="D941" s="7">
        <v>1</v>
      </c>
      <c r="E941" s="7">
        <v>10</v>
      </c>
      <c r="F941" s="7">
        <v>0.5</v>
      </c>
      <c r="G941" s="8" t="s">
        <v>3115</v>
      </c>
      <c r="H941" s="8" t="s">
        <v>3090</v>
      </c>
      <c r="I941" s="7" t="str">
        <f>_xlfn.CONCAT(Paper_Reference[[#This Row],[Lvl]:[Paper Description]])</f>
        <v>2G48WF131N000VANA 30 X 1201100.5100WF131-6200VANA</v>
      </c>
      <c r="J941" s="7">
        <f>COUNTIF(Paper_Reference[Duplicate Key],Paper_Reference[[#This Row],[Duplicate Key]])</f>
        <v>1</v>
      </c>
    </row>
    <row r="942" spans="1:10">
      <c r="A942" s="7">
        <v>2</v>
      </c>
      <c r="B942" s="8" t="s">
        <v>3171</v>
      </c>
      <c r="C942" s="8" t="s">
        <v>3092</v>
      </c>
      <c r="D942" s="7">
        <v>1</v>
      </c>
      <c r="E942" s="7">
        <v>10</v>
      </c>
      <c r="F942" s="7">
        <v>0.5</v>
      </c>
      <c r="G942" s="8" t="s">
        <v>3115</v>
      </c>
      <c r="H942" s="8" t="s">
        <v>3090</v>
      </c>
      <c r="I942" s="7" t="str">
        <f>_xlfn.CONCAT(Paper_Reference[[#This Row],[Lvl]:[Paper Description]])</f>
        <v>2G48WF131N020VANA 30 X 1441100.5100WF131-6200VANA</v>
      </c>
      <c r="J942" s="7">
        <f>COUNTIF(Paper_Reference[Duplicate Key],Paper_Reference[[#This Row],[Duplicate Key]])</f>
        <v>1</v>
      </c>
    </row>
    <row r="943" spans="1:10">
      <c r="A943" s="7">
        <v>2</v>
      </c>
      <c r="B943" s="8" t="s">
        <v>3172</v>
      </c>
      <c r="C943" s="8" t="s">
        <v>3093</v>
      </c>
      <c r="D943" s="7">
        <v>1</v>
      </c>
      <c r="E943" s="7">
        <v>10</v>
      </c>
      <c r="F943" s="7">
        <v>0.5</v>
      </c>
      <c r="G943" s="8" t="s">
        <v>3115</v>
      </c>
      <c r="H943" s="8" t="s">
        <v>3090</v>
      </c>
      <c r="I943" s="7" t="str">
        <f>_xlfn.CONCAT(Paper_Reference[[#This Row],[Lvl]:[Paper Description]])</f>
        <v>2G48WF131N080VANA 30 X 961100.5100WF131-6200VANA</v>
      </c>
      <c r="J943" s="7">
        <f>COUNTIF(Paper_Reference[Duplicate Key],Paper_Reference[[#This Row],[Duplicate Key]])</f>
        <v>1</v>
      </c>
    </row>
    <row r="944" spans="1:10">
      <c r="A944" s="7">
        <v>2</v>
      </c>
      <c r="B944" s="8" t="s">
        <v>3173</v>
      </c>
      <c r="C944" s="8" t="s">
        <v>3088</v>
      </c>
      <c r="D944" s="7">
        <v>1</v>
      </c>
      <c r="E944" s="7">
        <v>10</v>
      </c>
      <c r="F944" s="7">
        <v>1</v>
      </c>
      <c r="G944" s="8" t="s">
        <v>3115</v>
      </c>
      <c r="H944" s="8" t="s">
        <v>3090</v>
      </c>
      <c r="I944" s="7" t="str">
        <f>_xlfn.CONCAT(Paper_Reference[[#This Row],[Lvl]:[Paper Description]])</f>
        <v>2G48WF131N500VANA 60 X 1201101100WF131-6200VANA</v>
      </c>
      <c r="J944" s="7">
        <f>COUNTIF(Paper_Reference[Duplicate Key],Paper_Reference[[#This Row],[Duplicate Key]])</f>
        <v>1</v>
      </c>
    </row>
    <row r="945" spans="1:10">
      <c r="A945" s="7">
        <v>2</v>
      </c>
      <c r="B945" s="8" t="s">
        <v>3175</v>
      </c>
      <c r="C945" s="8" t="s">
        <v>3086</v>
      </c>
      <c r="D945" s="7">
        <v>1</v>
      </c>
      <c r="E945" s="7">
        <v>10</v>
      </c>
      <c r="F945" s="7">
        <v>1</v>
      </c>
      <c r="G945" s="8" t="s">
        <v>3115</v>
      </c>
      <c r="H945" s="8" t="s">
        <v>3090</v>
      </c>
      <c r="I945" s="7" t="str">
        <f>_xlfn.CONCAT(Paper_Reference[[#This Row],[Lvl]:[Paper Description]])</f>
        <v>2G48WF131N520VANA 60 X 1441101100WF131-6200VANA</v>
      </c>
      <c r="J945" s="7">
        <f>COUNTIF(Paper_Reference[Duplicate Key],Paper_Reference[[#This Row],[Duplicate Key]])</f>
        <v>1</v>
      </c>
    </row>
    <row r="946" spans="1:10">
      <c r="A946" s="7">
        <v>2</v>
      </c>
      <c r="B946" s="8" t="s">
        <v>3174</v>
      </c>
      <c r="C946" s="8" t="s">
        <v>3086</v>
      </c>
      <c r="D946" s="7">
        <v>1</v>
      </c>
      <c r="E946" s="7">
        <v>10</v>
      </c>
      <c r="F946" s="7">
        <v>1</v>
      </c>
      <c r="G946" s="8" t="s">
        <v>3115</v>
      </c>
      <c r="H946" s="8" t="s">
        <v>3090</v>
      </c>
      <c r="I946" s="7" t="str">
        <f>_xlfn.CONCAT(Paper_Reference[[#This Row],[Lvl]:[Paper Description]])</f>
        <v>2G48WF131N5203VANA 60 X 1441101100WF131-6200VANA</v>
      </c>
      <c r="J946" s="7">
        <f>COUNTIF(Paper_Reference[Duplicate Key],Paper_Reference[[#This Row],[Duplicate Key]])</f>
        <v>1</v>
      </c>
    </row>
    <row r="947" spans="1:10">
      <c r="A947" s="7">
        <v>2</v>
      </c>
      <c r="B947" s="8" t="s">
        <v>3176</v>
      </c>
      <c r="C947" s="8" t="s">
        <v>3087</v>
      </c>
      <c r="D947" s="7">
        <v>1</v>
      </c>
      <c r="E947" s="7">
        <v>10</v>
      </c>
      <c r="F947" s="7">
        <v>1</v>
      </c>
      <c r="G947" s="8" t="s">
        <v>3115</v>
      </c>
      <c r="H947" s="8" t="s">
        <v>3090</v>
      </c>
      <c r="I947" s="7" t="str">
        <f>_xlfn.CONCAT(Paper_Reference[[#This Row],[Lvl]:[Paper Description]])</f>
        <v>2G48WF131N580VANA 60 X 961101100WF131-6200VANA</v>
      </c>
      <c r="J947" s="7">
        <f>COUNTIF(Paper_Reference[Duplicate Key],Paper_Reference[[#This Row],[Duplicate Key]])</f>
        <v>1</v>
      </c>
    </row>
    <row r="948" spans="1:10">
      <c r="A948" s="7">
        <v>2</v>
      </c>
      <c r="B948" s="8" t="s">
        <v>3177</v>
      </c>
      <c r="C948" s="8" t="s">
        <v>3086</v>
      </c>
      <c r="D948" s="7">
        <v>1</v>
      </c>
      <c r="E948" s="7">
        <v>10</v>
      </c>
      <c r="F948" s="7">
        <v>1</v>
      </c>
      <c r="G948" s="8" t="s">
        <v>3115</v>
      </c>
      <c r="H948" s="8" t="s">
        <v>3090</v>
      </c>
      <c r="I948" s="7" t="str">
        <f>_xlfn.CONCAT(Paper_Reference[[#This Row],[Lvl]:[Paper Description]])</f>
        <v>2G48WF131R520VANA 60 X 1441101100WF131-6200VANA</v>
      </c>
      <c r="J948" s="7">
        <f>COUNTIF(Paper_Reference[Duplicate Key],Paper_Reference[[#This Row],[Duplicate Key]])</f>
        <v>1</v>
      </c>
    </row>
    <row r="949" spans="1:10">
      <c r="A949" s="7">
        <v>2</v>
      </c>
      <c r="B949" s="8" t="s">
        <v>3178</v>
      </c>
      <c r="C949" s="8" t="s">
        <v>3092</v>
      </c>
      <c r="D949" s="7">
        <v>1</v>
      </c>
      <c r="E949" s="7">
        <v>10</v>
      </c>
      <c r="F949" s="7">
        <v>0.5</v>
      </c>
      <c r="G949" s="8" t="s">
        <v>3115</v>
      </c>
      <c r="H949" s="8" t="s">
        <v>3090</v>
      </c>
      <c r="I949" s="7" t="str">
        <f>_xlfn.CONCAT(Paper_Reference[[#This Row],[Lvl]:[Paper Description]])</f>
        <v>2G48WF131SD020VANA 30 X 1441100.5100WF131-6200VANA</v>
      </c>
      <c r="J949" s="7">
        <f>COUNTIF(Paper_Reference[Duplicate Key],Paper_Reference[[#This Row],[Duplicate Key]])</f>
        <v>1</v>
      </c>
    </row>
    <row r="950" spans="1:10">
      <c r="A950" s="7">
        <v>2</v>
      </c>
      <c r="B950" s="8" t="s">
        <v>3179</v>
      </c>
      <c r="C950" s="8" t="s">
        <v>3093</v>
      </c>
      <c r="D950" s="7">
        <v>1</v>
      </c>
      <c r="E950" s="7">
        <v>10</v>
      </c>
      <c r="F950" s="7">
        <v>0.5</v>
      </c>
      <c r="G950" s="8" t="s">
        <v>3115</v>
      </c>
      <c r="H950" s="8" t="s">
        <v>3090</v>
      </c>
      <c r="I950" s="7" t="str">
        <f>_xlfn.CONCAT(Paper_Reference[[#This Row],[Lvl]:[Paper Description]])</f>
        <v>2G48WF131SD080VANA 30 X 961100.5100WF131-6200VANA</v>
      </c>
      <c r="J950" s="7">
        <f>COUNTIF(Paper_Reference[Duplicate Key],Paper_Reference[[#This Row],[Duplicate Key]])</f>
        <v>1</v>
      </c>
    </row>
    <row r="951" spans="1:10">
      <c r="A951" s="7">
        <v>2</v>
      </c>
      <c r="B951" s="8" t="s">
        <v>3180</v>
      </c>
      <c r="C951" s="8" t="s">
        <v>3088</v>
      </c>
      <c r="D951" s="7">
        <v>1</v>
      </c>
      <c r="E951" s="7">
        <v>10</v>
      </c>
      <c r="F951" s="7">
        <v>1</v>
      </c>
      <c r="G951" s="8" t="s">
        <v>3115</v>
      </c>
      <c r="H951" s="8" t="s">
        <v>3090</v>
      </c>
      <c r="I951" s="7" t="str">
        <f>_xlfn.CONCAT(Paper_Reference[[#This Row],[Lvl]:[Paper Description]])</f>
        <v>2G48WF131SD500VANA 60 X 1201101100WF131-6200VANA</v>
      </c>
      <c r="J951" s="7">
        <f>COUNTIF(Paper_Reference[Duplicate Key],Paper_Reference[[#This Row],[Duplicate Key]])</f>
        <v>1</v>
      </c>
    </row>
    <row r="952" spans="1:10">
      <c r="A952" s="7">
        <v>2</v>
      </c>
      <c r="B952" s="8" t="s">
        <v>3181</v>
      </c>
      <c r="C952" s="8" t="s">
        <v>3086</v>
      </c>
      <c r="D952" s="7">
        <v>1</v>
      </c>
      <c r="E952" s="7">
        <v>10</v>
      </c>
      <c r="F952" s="7">
        <v>1</v>
      </c>
      <c r="G952" s="8" t="s">
        <v>3115</v>
      </c>
      <c r="H952" s="8" t="s">
        <v>3090</v>
      </c>
      <c r="I952" s="7" t="str">
        <f>_xlfn.CONCAT(Paper_Reference[[#This Row],[Lvl]:[Paper Description]])</f>
        <v>2G48WF131SD520VANA 60 X 1441101100WF131-6200VANA</v>
      </c>
      <c r="J952" s="7">
        <f>COUNTIF(Paper_Reference[Duplicate Key],Paper_Reference[[#This Row],[Duplicate Key]])</f>
        <v>1</v>
      </c>
    </row>
    <row r="953" spans="1:10">
      <c r="A953" s="7">
        <v>2</v>
      </c>
      <c r="B953" s="8" t="s">
        <v>3182</v>
      </c>
      <c r="C953" s="8" t="s">
        <v>3087</v>
      </c>
      <c r="D953" s="7">
        <v>1</v>
      </c>
      <c r="E953" s="7">
        <v>10</v>
      </c>
      <c r="F953" s="7">
        <v>1</v>
      </c>
      <c r="G953" s="8" t="s">
        <v>3115</v>
      </c>
      <c r="H953" s="8" t="s">
        <v>3090</v>
      </c>
      <c r="I953" s="7" t="str">
        <f>_xlfn.CONCAT(Paper_Reference[[#This Row],[Lvl]:[Paper Description]])</f>
        <v>2G48WF131SD580VANA 60 X 961101100WF131-6200VANA</v>
      </c>
      <c r="J953" s="7">
        <f>COUNTIF(Paper_Reference[Duplicate Key],Paper_Reference[[#This Row],[Duplicate Key]])</f>
        <v>1</v>
      </c>
    </row>
    <row r="954" spans="1:10">
      <c r="A954" s="7">
        <v>2</v>
      </c>
      <c r="B954" s="8" t="s">
        <v>3183</v>
      </c>
      <c r="C954" s="8" t="s">
        <v>3088</v>
      </c>
      <c r="D954" s="7">
        <v>1</v>
      </c>
      <c r="E954" s="7">
        <v>10</v>
      </c>
      <c r="F954" s="7">
        <v>1</v>
      </c>
      <c r="G954" s="8" t="s">
        <v>3115</v>
      </c>
      <c r="H954" s="8" t="s">
        <v>3090</v>
      </c>
      <c r="I954" s="7" t="str">
        <f>_xlfn.CONCAT(Paper_Reference[[#This Row],[Lvl]:[Paper Description]])</f>
        <v>2G48WF131V500VANA 60 X 1201101100WF131-6200VANA</v>
      </c>
      <c r="J954" s="7">
        <f>COUNTIF(Paper_Reference[Duplicate Key],Paper_Reference[[#This Row],[Duplicate Key]])</f>
        <v>1</v>
      </c>
    </row>
    <row r="955" spans="1:10">
      <c r="A955" s="7">
        <v>2</v>
      </c>
      <c r="B955" s="8" t="s">
        <v>3184</v>
      </c>
      <c r="C955" s="8" t="s">
        <v>3086</v>
      </c>
      <c r="D955" s="7">
        <v>1</v>
      </c>
      <c r="E955" s="7">
        <v>10</v>
      </c>
      <c r="F955" s="7">
        <v>1</v>
      </c>
      <c r="G955" s="8" t="s">
        <v>3115</v>
      </c>
      <c r="H955" s="8" t="s">
        <v>3090</v>
      </c>
      <c r="I955" s="7" t="str">
        <f>_xlfn.CONCAT(Paper_Reference[[#This Row],[Lvl]:[Paper Description]])</f>
        <v>2G48WF131V520VANA 60 X 1441101100WF131-6200VANA</v>
      </c>
      <c r="J955" s="7">
        <f>COUNTIF(Paper_Reference[Duplicate Key],Paper_Reference[[#This Row],[Duplicate Key]])</f>
        <v>1</v>
      </c>
    </row>
    <row r="956" spans="1:10">
      <c r="A956" s="7">
        <v>2</v>
      </c>
      <c r="B956" s="8" t="s">
        <v>3185</v>
      </c>
      <c r="C956" s="8" t="s">
        <v>3086</v>
      </c>
      <c r="D956" s="7">
        <v>1</v>
      </c>
      <c r="E956" s="7">
        <v>10</v>
      </c>
      <c r="F956" s="7">
        <v>1</v>
      </c>
      <c r="G956" s="8" t="s">
        <v>3115</v>
      </c>
      <c r="H956" s="8" t="s">
        <v>3090</v>
      </c>
      <c r="I956" s="7" t="str">
        <f>_xlfn.CONCAT(Paper_Reference[[#This Row],[Lvl]:[Paper Description]])</f>
        <v>2G48WF131W520VANA 60 X 1441101100WF131-6200VANA</v>
      </c>
      <c r="J956" s="7">
        <f>COUNTIF(Paper_Reference[Duplicate Key],Paper_Reference[[#This Row],[Duplicate Key]])</f>
        <v>1</v>
      </c>
    </row>
    <row r="957" spans="1:10">
      <c r="A957" s="7">
        <v>2</v>
      </c>
      <c r="B957" s="8" t="s">
        <v>1167</v>
      </c>
      <c r="C957" s="8" t="s">
        <v>1161</v>
      </c>
      <c r="D957" s="7">
        <v>1</v>
      </c>
      <c r="E957" s="7">
        <v>10</v>
      </c>
      <c r="F957" s="7">
        <v>1</v>
      </c>
      <c r="G957" s="8" t="s">
        <v>977</v>
      </c>
      <c r="H957" s="8" t="s">
        <v>985</v>
      </c>
      <c r="I957" s="7" t="str">
        <f>_xlfn.CONCAT(Paper_Reference[[#This Row],[Lvl]:[Paper Description]])</f>
        <v>2G48WM331N480MURREY BOWLING PRINT 48 X 961101100WM331-5000MURREY LANE</v>
      </c>
      <c r="J957" s="7">
        <f>COUNTIF(Paper_Reference[Duplicate Key],Paper_Reference[[#This Row],[Duplicate Key]])</f>
        <v>1</v>
      </c>
    </row>
    <row r="958" spans="1:10">
      <c r="A958" s="7">
        <v>2</v>
      </c>
      <c r="B958" s="8" t="s">
        <v>5546</v>
      </c>
      <c r="C958" s="8" t="s">
        <v>5378</v>
      </c>
      <c r="D958" s="7">
        <v>1</v>
      </c>
      <c r="E958" s="7">
        <v>10</v>
      </c>
      <c r="F958" s="7">
        <v>1</v>
      </c>
      <c r="G958" s="8" t="s">
        <v>5373</v>
      </c>
      <c r="H958" s="8" t="s">
        <v>5374</v>
      </c>
      <c r="I958" s="7" t="str">
        <f>_xlfn.CONCAT(Paper_Reference[[#This Row],[Lvl]:[Paper Description]])</f>
        <v>2G48WW971G5001GUN SAVOY WALNUT 60 X 1201101100WW971-6200GUN SAVOY WALNUT</v>
      </c>
      <c r="J958" s="7">
        <f>COUNTIF(Paper_Reference[Duplicate Key],Paper_Reference[[#This Row],[Duplicate Key]])</f>
        <v>1</v>
      </c>
    </row>
    <row r="959" spans="1:10">
      <c r="A959" s="7">
        <v>2</v>
      </c>
      <c r="B959" s="8" t="s">
        <v>5547</v>
      </c>
      <c r="C959" s="8" t="s">
        <v>5390</v>
      </c>
      <c r="D959" s="7">
        <v>1</v>
      </c>
      <c r="E959" s="7">
        <v>10</v>
      </c>
      <c r="F959" s="7">
        <v>1</v>
      </c>
      <c r="G959" s="8" t="s">
        <v>5373</v>
      </c>
      <c r="H959" s="8" t="s">
        <v>5374</v>
      </c>
      <c r="I959" s="7" t="str">
        <f>_xlfn.CONCAT(Paper_Reference[[#This Row],[Lvl]:[Paper Description]])</f>
        <v>2G48WW971G5201GUN SAVOT WALNUT 60 X 1441101100WW971-6200GUN SAVOY WALNUT</v>
      </c>
      <c r="J959" s="7">
        <f>COUNTIF(Paper_Reference[Duplicate Key],Paper_Reference[[#This Row],[Duplicate Key]])</f>
        <v>1</v>
      </c>
    </row>
    <row r="960" spans="1:10">
      <c r="A960" s="7">
        <v>2</v>
      </c>
      <c r="B960" s="8" t="s">
        <v>5548</v>
      </c>
      <c r="C960" s="8" t="s">
        <v>5377</v>
      </c>
      <c r="D960" s="7">
        <v>1</v>
      </c>
      <c r="E960" s="7">
        <v>10</v>
      </c>
      <c r="F960" s="7">
        <v>1</v>
      </c>
      <c r="G960" s="8" t="s">
        <v>5373</v>
      </c>
      <c r="H960" s="8" t="s">
        <v>5374</v>
      </c>
      <c r="I960" s="7" t="str">
        <f>_xlfn.CONCAT(Paper_Reference[[#This Row],[Lvl]:[Paper Description]])</f>
        <v>2G48WW971G5801GUN SAVOY WALNUT 60 X 961101100WW971-6200GUN SAVOY WALNUT</v>
      </c>
      <c r="J960" s="7">
        <f>COUNTIF(Paper_Reference[Duplicate Key],Paper_Reference[[#This Row],[Duplicate Key]])</f>
        <v>1</v>
      </c>
    </row>
    <row r="961" spans="1:10">
      <c r="A961" s="7">
        <v>2</v>
      </c>
      <c r="B961" s="8" t="s">
        <v>5549</v>
      </c>
      <c r="C961" s="8" t="s">
        <v>5378</v>
      </c>
      <c r="D961" s="7">
        <v>1</v>
      </c>
      <c r="E961" s="7">
        <v>10</v>
      </c>
      <c r="F961" s="7">
        <v>1</v>
      </c>
      <c r="G961" s="8" t="s">
        <v>5373</v>
      </c>
      <c r="H961" s="8" t="s">
        <v>5374</v>
      </c>
      <c r="I961" s="7" t="str">
        <f>_xlfn.CONCAT(Paper_Reference[[#This Row],[Lvl]:[Paper Description]])</f>
        <v>2G48WW971GL5001GUN SAVOY WALNUT 60 X 1201101100WW971-6200GUN SAVOY WALNUT</v>
      </c>
      <c r="J961" s="7">
        <f>COUNTIF(Paper_Reference[Duplicate Key],Paper_Reference[[#This Row],[Duplicate Key]])</f>
        <v>1</v>
      </c>
    </row>
    <row r="962" spans="1:10">
      <c r="A962" s="7">
        <v>2</v>
      </c>
      <c r="B962" s="8" t="s">
        <v>5550</v>
      </c>
      <c r="C962" s="8" t="s">
        <v>5390</v>
      </c>
      <c r="D962" s="7">
        <v>1</v>
      </c>
      <c r="E962" s="7">
        <v>10</v>
      </c>
      <c r="F962" s="7">
        <v>1</v>
      </c>
      <c r="G962" s="8" t="s">
        <v>5373</v>
      </c>
      <c r="H962" s="8" t="s">
        <v>5374</v>
      </c>
      <c r="I962" s="7" t="str">
        <f>_xlfn.CONCAT(Paper_Reference[[#This Row],[Lvl]:[Paper Description]])</f>
        <v>2G48WW971GL5201GUN SAVOT WALNUT 60 X 1441101100WW971-6200GUN SAVOY WALNUT</v>
      </c>
      <c r="J962" s="7">
        <f>COUNTIF(Paper_Reference[Duplicate Key],Paper_Reference[[#This Row],[Duplicate Key]])</f>
        <v>1</v>
      </c>
    </row>
    <row r="963" spans="1:10">
      <c r="A963" s="7">
        <v>2</v>
      </c>
      <c r="B963" s="8" t="s">
        <v>5551</v>
      </c>
      <c r="C963" s="8" t="s">
        <v>5377</v>
      </c>
      <c r="D963" s="7">
        <v>1</v>
      </c>
      <c r="E963" s="7">
        <v>10</v>
      </c>
      <c r="F963" s="7">
        <v>1</v>
      </c>
      <c r="G963" s="8" t="s">
        <v>5373</v>
      </c>
      <c r="H963" s="8" t="s">
        <v>5374</v>
      </c>
      <c r="I963" s="7" t="str">
        <f>_xlfn.CONCAT(Paper_Reference[[#This Row],[Lvl]:[Paper Description]])</f>
        <v>2G48WW971GL5801GUN SAVOY WALNUT 60 X 961101100WW971-6200GUN SAVOY WALNUT</v>
      </c>
      <c r="J963" s="7">
        <f>COUNTIF(Paper_Reference[Duplicate Key],Paper_Reference[[#This Row],[Duplicate Key]])</f>
        <v>1</v>
      </c>
    </row>
    <row r="964" spans="1:10">
      <c r="A964" s="7">
        <v>2</v>
      </c>
      <c r="B964" s="8" t="s">
        <v>5552</v>
      </c>
      <c r="C964" s="8" t="s">
        <v>5391</v>
      </c>
      <c r="D964" s="7">
        <v>1</v>
      </c>
      <c r="E964" s="7">
        <v>10</v>
      </c>
      <c r="F964" s="7">
        <v>1</v>
      </c>
      <c r="G964" s="8" t="s">
        <v>5373</v>
      </c>
      <c r="H964" s="8" t="s">
        <v>5374</v>
      </c>
      <c r="I964" s="7" t="str">
        <f>_xlfn.CONCAT(Paper_Reference[[#This Row],[Lvl]:[Paper Description]])</f>
        <v>2G48WW971GLYGI1GUN SAVOY WALNUT 55 X 971101100WW971-6200GUN SAVOY WALNUT</v>
      </c>
      <c r="J964" s="7">
        <f>COUNTIF(Paper_Reference[Duplicate Key],Paper_Reference[[#This Row],[Duplicate Key]])</f>
        <v>1</v>
      </c>
    </row>
    <row r="965" spans="1:10">
      <c r="A965" s="7">
        <v>3</v>
      </c>
      <c r="B965" s="8" t="s">
        <v>5553</v>
      </c>
      <c r="C965" s="8" t="s">
        <v>5381</v>
      </c>
      <c r="D965" s="7">
        <v>1</v>
      </c>
      <c r="E965" s="7">
        <v>55</v>
      </c>
      <c r="F965" s="7">
        <v>0.25</v>
      </c>
      <c r="G965" s="8" t="s">
        <v>5373</v>
      </c>
      <c r="H965" s="8" t="s">
        <v>5374</v>
      </c>
      <c r="I965" s="7" t="str">
        <f>_xlfn.CONCAT(Paper_Reference[[#This Row],[Lvl]:[Paper Description]])</f>
        <v>3G48WW971H0501GUN SAVOY WALNUT 30 X 601550.25100WW971-6200GUN SAVOY WALNUT</v>
      </c>
      <c r="J965" s="7">
        <f>COUNTIF(Paper_Reference[Duplicate Key],Paper_Reference[[#This Row],[Duplicate Key]])</f>
        <v>1</v>
      </c>
    </row>
    <row r="966" spans="1:10">
      <c r="A966" s="7">
        <v>3</v>
      </c>
      <c r="B966" s="8" t="s">
        <v>5554</v>
      </c>
      <c r="C966" s="8" t="s">
        <v>5386</v>
      </c>
      <c r="D966" s="7">
        <v>1</v>
      </c>
      <c r="E966" s="7">
        <v>55</v>
      </c>
      <c r="F966" s="7">
        <v>0.25</v>
      </c>
      <c r="G966" s="8" t="s">
        <v>5373</v>
      </c>
      <c r="H966" s="8" t="s">
        <v>5374</v>
      </c>
      <c r="I966" s="7" t="str">
        <f>_xlfn.CONCAT(Paper_Reference[[#This Row],[Lvl]:[Paper Description]])</f>
        <v>3G48WW971H0601GUN SAVOY WALNUT 30 X 721550.25100WW971-6200GUN SAVOY WALNUT</v>
      </c>
      <c r="J966" s="7">
        <f>COUNTIF(Paper_Reference[Duplicate Key],Paper_Reference[[#This Row],[Duplicate Key]])</f>
        <v>1</v>
      </c>
    </row>
    <row r="967" spans="1:10">
      <c r="A967" s="7">
        <v>2</v>
      </c>
      <c r="B967" s="8" t="s">
        <v>5555</v>
      </c>
      <c r="C967" s="8" t="s">
        <v>5378</v>
      </c>
      <c r="D967" s="7">
        <v>1</v>
      </c>
      <c r="E967" s="7">
        <v>10</v>
      </c>
      <c r="F967" s="7">
        <v>1</v>
      </c>
      <c r="G967" s="8" t="s">
        <v>5373</v>
      </c>
      <c r="H967" s="8" t="s">
        <v>5374</v>
      </c>
      <c r="I967" s="7" t="str">
        <f>_xlfn.CONCAT(Paper_Reference[[#This Row],[Lvl]:[Paper Description]])</f>
        <v>2G48WW971H500GUN SAVOY WALNUT 60 X 1201101100WW971-6200GUN SAVOY WALNUT</v>
      </c>
      <c r="J967" s="7">
        <f>COUNTIF(Paper_Reference[Duplicate Key],Paper_Reference[[#This Row],[Duplicate Key]])</f>
        <v>1</v>
      </c>
    </row>
    <row r="968" spans="1:10">
      <c r="A968" s="7">
        <v>2</v>
      </c>
      <c r="B968" s="8" t="s">
        <v>5556</v>
      </c>
      <c r="C968" s="8" t="s">
        <v>5376</v>
      </c>
      <c r="D968" s="7">
        <v>1</v>
      </c>
      <c r="E968" s="7">
        <v>10</v>
      </c>
      <c r="F968" s="7">
        <v>1</v>
      </c>
      <c r="G968" s="8" t="s">
        <v>5373</v>
      </c>
      <c r="H968" s="8" t="s">
        <v>5374</v>
      </c>
      <c r="I968" s="7" t="str">
        <f>_xlfn.CONCAT(Paper_Reference[[#This Row],[Lvl]:[Paper Description]])</f>
        <v>2G48WW971H520GUN SAVOY WALNUT 60 X 1441101100WW971-6200GUN SAVOY WALNUT</v>
      </c>
      <c r="J968" s="7">
        <f>COUNTIF(Paper_Reference[Duplicate Key],Paper_Reference[[#This Row],[Duplicate Key]])</f>
        <v>1</v>
      </c>
    </row>
    <row r="969" spans="1:10">
      <c r="A969" s="7">
        <v>3</v>
      </c>
      <c r="B969" s="8" t="s">
        <v>5557</v>
      </c>
      <c r="C969" s="8" t="s">
        <v>5392</v>
      </c>
      <c r="D969" s="7">
        <v>1</v>
      </c>
      <c r="E969" s="7">
        <v>55</v>
      </c>
      <c r="F969" s="7">
        <v>0.1111</v>
      </c>
      <c r="G969" s="8" t="s">
        <v>5373</v>
      </c>
      <c r="H969" s="8" t="s">
        <v>5374</v>
      </c>
      <c r="I969" s="7" t="str">
        <f>_xlfn.CONCAT(Paper_Reference[[#This Row],[Lvl]:[Paper Description]])</f>
        <v>3G48WW971HAZG1GUN SAVOY WALNUT 20 1/4X30 1/41550.1111100WW971-6200GUN SAVOY WALNUT</v>
      </c>
      <c r="J969" s="7">
        <f>COUNTIF(Paper_Reference[Duplicate Key],Paper_Reference[[#This Row],[Duplicate Key]])</f>
        <v>1</v>
      </c>
    </row>
    <row r="970" spans="1:10">
      <c r="A970" s="7">
        <v>3</v>
      </c>
      <c r="B970" s="8" t="s">
        <v>5558</v>
      </c>
      <c r="C970" s="8" t="s">
        <v>5393</v>
      </c>
      <c r="D970" s="7">
        <v>1</v>
      </c>
      <c r="E970" s="7">
        <v>55</v>
      </c>
      <c r="F970" s="7">
        <v>0.16669999999999999</v>
      </c>
      <c r="G970" s="8" t="s">
        <v>5373</v>
      </c>
      <c r="H970" s="8" t="s">
        <v>5374</v>
      </c>
      <c r="I970" s="7" t="str">
        <f>_xlfn.CONCAT(Paper_Reference[[#This Row],[Lvl]:[Paper Description]])</f>
        <v>3G48WW971HNTI1GUN SAVOY WALNUT 20 1/4X72 1/41550.1667100WW971-6200GUN SAVOY WALNUT</v>
      </c>
      <c r="J970" s="7">
        <f>COUNTIF(Paper_Reference[Duplicate Key],Paper_Reference[[#This Row],[Duplicate Key]])</f>
        <v>1</v>
      </c>
    </row>
    <row r="971" spans="1:10">
      <c r="A971" s="7">
        <v>3</v>
      </c>
      <c r="B971" s="8" t="s">
        <v>5559</v>
      </c>
      <c r="C971" s="8" t="s">
        <v>5394</v>
      </c>
      <c r="D971" s="7">
        <v>1</v>
      </c>
      <c r="E971" s="7">
        <v>55</v>
      </c>
      <c r="F971" s="7">
        <v>0.25</v>
      </c>
      <c r="G971" s="8" t="s">
        <v>5373</v>
      </c>
      <c r="H971" s="8" t="s">
        <v>5374</v>
      </c>
      <c r="I971" s="7" t="str">
        <f>_xlfn.CONCAT(Paper_Reference[[#This Row],[Lvl]:[Paper Description]])</f>
        <v>3G48WW971HSIN1GUN SAVOY WALNUT 30 1/4X60 1/41550.25100WW971-6200GUN SAVOY WALNUT</v>
      </c>
      <c r="J971" s="7">
        <f>COUNTIF(Paper_Reference[Duplicate Key],Paper_Reference[[#This Row],[Duplicate Key]])</f>
        <v>1</v>
      </c>
    </row>
    <row r="972" spans="1:10">
      <c r="A972" s="7">
        <v>3</v>
      </c>
      <c r="B972" s="8" t="s">
        <v>5560</v>
      </c>
      <c r="C972" s="8" t="s">
        <v>5395</v>
      </c>
      <c r="D972" s="7">
        <v>1</v>
      </c>
      <c r="E972" s="7">
        <v>55</v>
      </c>
      <c r="F972" s="7">
        <v>0.25</v>
      </c>
      <c r="G972" s="8" t="s">
        <v>5373</v>
      </c>
      <c r="H972" s="8" t="s">
        <v>5374</v>
      </c>
      <c r="I972" s="7" t="str">
        <f>_xlfn.CONCAT(Paper_Reference[[#This Row],[Lvl]:[Paper Description]])</f>
        <v>3G48WW971HTGC1GUN SAVOY WALNUT 30 1/4X72 1/41550.25100WW971-6200GUN SAVOY WALNUT</v>
      </c>
      <c r="J972" s="7">
        <f>COUNTIF(Paper_Reference[Duplicate Key],Paper_Reference[[#This Row],[Duplicate Key]])</f>
        <v>1</v>
      </c>
    </row>
    <row r="973" spans="1:10">
      <c r="A973" s="7">
        <v>3</v>
      </c>
      <c r="B973" s="8" t="s">
        <v>5561</v>
      </c>
      <c r="C973" s="8" t="s">
        <v>5396</v>
      </c>
      <c r="D973" s="7">
        <v>1</v>
      </c>
      <c r="E973" s="7">
        <v>55</v>
      </c>
      <c r="F973" s="7">
        <v>0.16669999999999999</v>
      </c>
      <c r="G973" s="8" t="s">
        <v>5373</v>
      </c>
      <c r="H973" s="8" t="s">
        <v>5374</v>
      </c>
      <c r="I973" s="7" t="str">
        <f>_xlfn.CONCAT(Paper_Reference[[#This Row],[Lvl]:[Paper Description]])</f>
        <v>3G48WW971HTNV1GUN SAVOY WALNUT 30 1/4 X 431550.1667100WW971-6200GUN SAVOY WALNUT</v>
      </c>
      <c r="J973" s="7">
        <f>COUNTIF(Paper_Reference[Duplicate Key],Paper_Reference[[#This Row],[Duplicate Key]])</f>
        <v>1</v>
      </c>
    </row>
    <row r="974" spans="1:10">
      <c r="A974" s="7">
        <v>2</v>
      </c>
      <c r="B974" s="8" t="s">
        <v>5562</v>
      </c>
      <c r="C974" s="8" t="s">
        <v>5378</v>
      </c>
      <c r="D974" s="7">
        <v>1</v>
      </c>
      <c r="E974" s="7">
        <v>10</v>
      </c>
      <c r="F974" s="7">
        <v>1</v>
      </c>
      <c r="G974" s="8" t="s">
        <v>5373</v>
      </c>
      <c r="H974" s="8" t="s">
        <v>5374</v>
      </c>
      <c r="I974" s="7" t="str">
        <f>_xlfn.CONCAT(Paper_Reference[[#This Row],[Lvl]:[Paper Description]])</f>
        <v>2G48WW971MG5001GUN SAVOY WALNUT 60 X 1201101100WW971-6200GUN SAVOY WALNUT</v>
      </c>
      <c r="J974" s="7">
        <f>COUNTIF(Paper_Reference[Duplicate Key],Paper_Reference[[#This Row],[Duplicate Key]])</f>
        <v>1</v>
      </c>
    </row>
    <row r="975" spans="1:10">
      <c r="A975" s="7">
        <v>2</v>
      </c>
      <c r="B975" s="8" t="s">
        <v>5563</v>
      </c>
      <c r="C975" s="8" t="s">
        <v>5379</v>
      </c>
      <c r="D975" s="7">
        <v>1</v>
      </c>
      <c r="E975" s="7">
        <v>10</v>
      </c>
      <c r="F975" s="7">
        <v>0.5</v>
      </c>
      <c r="G975" s="8" t="s">
        <v>5373</v>
      </c>
      <c r="H975" s="8" t="s">
        <v>5374</v>
      </c>
      <c r="I975" s="7" t="str">
        <f>_xlfn.CONCAT(Paper_Reference[[#This Row],[Lvl]:[Paper Description]])</f>
        <v>2G48WW971N000GUN SAVOY WALNUT 30 X 1201100.5100WW971-6200GUN SAVOY WALNUT</v>
      </c>
      <c r="J975" s="7">
        <f>COUNTIF(Paper_Reference[Duplicate Key],Paper_Reference[[#This Row],[Duplicate Key]])</f>
        <v>1</v>
      </c>
    </row>
    <row r="976" spans="1:10">
      <c r="A976" s="7">
        <v>2</v>
      </c>
      <c r="B976" s="8" t="s">
        <v>5564</v>
      </c>
      <c r="C976" s="8" t="s">
        <v>5380</v>
      </c>
      <c r="D976" s="7">
        <v>1</v>
      </c>
      <c r="E976" s="7">
        <v>10</v>
      </c>
      <c r="F976" s="7">
        <v>0.5</v>
      </c>
      <c r="G976" s="8" t="s">
        <v>5373</v>
      </c>
      <c r="H976" s="8" t="s">
        <v>5374</v>
      </c>
      <c r="I976" s="7" t="str">
        <f>_xlfn.CONCAT(Paper_Reference[[#This Row],[Lvl]:[Paper Description]])</f>
        <v>2G48WW971N020GUN SAVOY WALNUT 30 X 1441100.5100WW971-6200GUN SAVOY WALNUT</v>
      </c>
      <c r="J976" s="7">
        <f>COUNTIF(Paper_Reference[Duplicate Key],Paper_Reference[[#This Row],[Duplicate Key]])</f>
        <v>1</v>
      </c>
    </row>
    <row r="977" spans="1:10">
      <c r="A977" s="7">
        <v>3</v>
      </c>
      <c r="B977" s="8" t="s">
        <v>5566</v>
      </c>
      <c r="C977" s="8" t="s">
        <v>5381</v>
      </c>
      <c r="D977" s="7">
        <v>1</v>
      </c>
      <c r="E977" s="7">
        <v>55</v>
      </c>
      <c r="F977" s="7">
        <v>0.25</v>
      </c>
      <c r="G977" s="8" t="s">
        <v>5373</v>
      </c>
      <c r="H977" s="8" t="s">
        <v>5374</v>
      </c>
      <c r="I977" s="7" t="str">
        <f>_xlfn.CONCAT(Paper_Reference[[#This Row],[Lvl]:[Paper Description]])</f>
        <v>3G48WW971N050GUN SAVOY WALNUT 30 X 601550.25100WW971-6200GUN SAVOY WALNUT</v>
      </c>
      <c r="J977" s="7">
        <f>COUNTIF(Paper_Reference[Duplicate Key],Paper_Reference[[#This Row],[Duplicate Key]])</f>
        <v>1</v>
      </c>
    </row>
    <row r="978" spans="1:10">
      <c r="A978" s="7">
        <v>3</v>
      </c>
      <c r="B978" s="8" t="s">
        <v>5565</v>
      </c>
      <c r="C978" s="8" t="s">
        <v>5381</v>
      </c>
      <c r="D978" s="7">
        <v>1</v>
      </c>
      <c r="E978" s="7">
        <v>55</v>
      </c>
      <c r="F978" s="7">
        <v>0.25</v>
      </c>
      <c r="G978" s="8" t="s">
        <v>5373</v>
      </c>
      <c r="H978" s="8" t="s">
        <v>5374</v>
      </c>
      <c r="I978" s="7" t="str">
        <f>_xlfn.CONCAT(Paper_Reference[[#This Row],[Lvl]:[Paper Description]])</f>
        <v>3G48WW971N0501GUN SAVOY WALNUT 30 X 601550.25100WW971-6200GUN SAVOY WALNUT</v>
      </c>
      <c r="J978" s="7">
        <f>COUNTIF(Paper_Reference[Duplicate Key],Paper_Reference[[#This Row],[Duplicate Key]])</f>
        <v>1</v>
      </c>
    </row>
    <row r="979" spans="1:10">
      <c r="A979" s="7">
        <v>3</v>
      </c>
      <c r="B979" s="8" t="s">
        <v>5567</v>
      </c>
      <c r="C979" s="8" t="s">
        <v>5386</v>
      </c>
      <c r="D979" s="7">
        <v>1</v>
      </c>
      <c r="E979" s="7">
        <v>55</v>
      </c>
      <c r="F979" s="7">
        <v>0.25</v>
      </c>
      <c r="G979" s="8" t="s">
        <v>5373</v>
      </c>
      <c r="H979" s="8" t="s">
        <v>5374</v>
      </c>
      <c r="I979" s="7" t="str">
        <f>_xlfn.CONCAT(Paper_Reference[[#This Row],[Lvl]:[Paper Description]])</f>
        <v>3G48WW971N060GUN SAVOY WALNUT 30 X 721550.25100WW971-6200GUN SAVOY WALNUT</v>
      </c>
      <c r="J979" s="7">
        <f>COUNTIF(Paper_Reference[Duplicate Key],Paper_Reference[[#This Row],[Duplicate Key]])</f>
        <v>1</v>
      </c>
    </row>
    <row r="980" spans="1:10">
      <c r="A980" s="7">
        <v>2</v>
      </c>
      <c r="B980" s="8" t="s">
        <v>5569</v>
      </c>
      <c r="C980" s="8" t="s">
        <v>5397</v>
      </c>
      <c r="D980" s="7">
        <v>1</v>
      </c>
      <c r="E980" s="7">
        <v>10</v>
      </c>
      <c r="F980" s="7">
        <v>0.5</v>
      </c>
      <c r="G980" s="8" t="s">
        <v>5373</v>
      </c>
      <c r="H980" s="8" t="s">
        <v>5374</v>
      </c>
      <c r="I980" s="7" t="str">
        <f>_xlfn.CONCAT(Paper_Reference[[#This Row],[Lvl]:[Paper Description]])</f>
        <v>2G48WW971N070GUN SAVOY WALNUT 30 X 841100.5100WW971-6200GUN SAVOY WALNUT</v>
      </c>
      <c r="J980" s="7">
        <f>COUNTIF(Paper_Reference[Duplicate Key],Paper_Reference[[#This Row],[Duplicate Key]])</f>
        <v>1</v>
      </c>
    </row>
    <row r="981" spans="1:10">
      <c r="A981" s="7">
        <v>2</v>
      </c>
      <c r="B981" s="8" t="s">
        <v>5568</v>
      </c>
      <c r="C981" s="8" t="s">
        <v>5397</v>
      </c>
      <c r="D981" s="7">
        <v>1</v>
      </c>
      <c r="E981" s="7">
        <v>10</v>
      </c>
      <c r="F981" s="7">
        <v>0.5</v>
      </c>
      <c r="G981" s="8" t="s">
        <v>5373</v>
      </c>
      <c r="H981" s="8" t="s">
        <v>5374</v>
      </c>
      <c r="I981" s="7" t="str">
        <f>_xlfn.CONCAT(Paper_Reference[[#This Row],[Lvl]:[Paper Description]])</f>
        <v>2G48WW971N0703GUN SAVOY WALNUT 30 X 841100.5100WW971-6200GUN SAVOY WALNUT</v>
      </c>
      <c r="J981" s="7">
        <f>COUNTIF(Paper_Reference[Duplicate Key],Paper_Reference[[#This Row],[Duplicate Key]])</f>
        <v>1</v>
      </c>
    </row>
    <row r="982" spans="1:10">
      <c r="A982" s="7">
        <v>2</v>
      </c>
      <c r="B982" s="8" t="s">
        <v>5570</v>
      </c>
      <c r="C982" s="8" t="s">
        <v>5382</v>
      </c>
      <c r="D982" s="7">
        <v>1</v>
      </c>
      <c r="E982" s="7">
        <v>10</v>
      </c>
      <c r="F982" s="7">
        <v>0.5</v>
      </c>
      <c r="G982" s="8" t="s">
        <v>5373</v>
      </c>
      <c r="H982" s="8" t="s">
        <v>5374</v>
      </c>
      <c r="I982" s="7" t="str">
        <f>_xlfn.CONCAT(Paper_Reference[[#This Row],[Lvl]:[Paper Description]])</f>
        <v>2G48WW971N080GUN SAVOY WALNUT 30 X 961100.5100WW971-6200GUN SAVOY WALNUT</v>
      </c>
      <c r="J982" s="7">
        <f>COUNTIF(Paper_Reference[Duplicate Key],Paper_Reference[[#This Row],[Duplicate Key]])</f>
        <v>1</v>
      </c>
    </row>
    <row r="983" spans="1:10">
      <c r="A983" s="7">
        <v>2</v>
      </c>
      <c r="B983" s="8" t="s">
        <v>5571</v>
      </c>
      <c r="C983" s="8" t="s">
        <v>5398</v>
      </c>
      <c r="D983" s="7">
        <v>1</v>
      </c>
      <c r="E983" s="7">
        <v>10</v>
      </c>
      <c r="F983" s="7">
        <v>0.5</v>
      </c>
      <c r="G983" s="8" t="s">
        <v>5373</v>
      </c>
      <c r="H983" s="8" t="s">
        <v>5374</v>
      </c>
      <c r="I983" s="7" t="str">
        <f>_xlfn.CONCAT(Paper_Reference[[#This Row],[Lvl]:[Paper Description]])</f>
        <v>2G48WW971N0903GUN SAVOY WALNUT 30 X 1081100.5100WW971-6200GUN SAVOY WALNUT</v>
      </c>
      <c r="J983" s="7">
        <f>COUNTIF(Paper_Reference[Duplicate Key],Paper_Reference[[#This Row],[Duplicate Key]])</f>
        <v>1</v>
      </c>
    </row>
    <row r="984" spans="1:10">
      <c r="A984" s="7">
        <v>2</v>
      </c>
      <c r="B984" s="8" t="s">
        <v>5572</v>
      </c>
      <c r="C984" s="8" t="s">
        <v>5399</v>
      </c>
      <c r="D984" s="7">
        <v>1</v>
      </c>
      <c r="E984" s="7">
        <v>10</v>
      </c>
      <c r="F984" s="7">
        <v>0.5</v>
      </c>
      <c r="G984" s="8" t="s">
        <v>5373</v>
      </c>
      <c r="H984" s="8" t="s">
        <v>5374</v>
      </c>
      <c r="I984" s="7" t="str">
        <f>_xlfn.CONCAT(Paper_Reference[[#This Row],[Lvl]:[Paper Description]])</f>
        <v>2G48WW971N550GUN SAVOY WALNUT 60 X 601100.5100WW971-6200GUN SAVOY WALNUT</v>
      </c>
      <c r="J984" s="7">
        <f>COUNTIF(Paper_Reference[Duplicate Key],Paper_Reference[[#This Row],[Duplicate Key]])</f>
        <v>1</v>
      </c>
    </row>
    <row r="985" spans="1:10">
      <c r="A985" s="7">
        <v>2</v>
      </c>
      <c r="B985" s="8" t="s">
        <v>5573</v>
      </c>
      <c r="C985" s="8" t="s">
        <v>5383</v>
      </c>
      <c r="D985" s="7">
        <v>1</v>
      </c>
      <c r="E985" s="7">
        <v>10</v>
      </c>
      <c r="F985" s="7">
        <v>0.5</v>
      </c>
      <c r="G985" s="8" t="s">
        <v>5373</v>
      </c>
      <c r="H985" s="8" t="s">
        <v>5374</v>
      </c>
      <c r="I985" s="7" t="str">
        <f>_xlfn.CONCAT(Paper_Reference[[#This Row],[Lvl]:[Paper Description]])</f>
        <v>2G48WW971N560GUN SAVOY WALNUT 60 X 721100.5100WW971-6200GUN SAVOY WALNUT</v>
      </c>
      <c r="J985" s="7">
        <f>COUNTIF(Paper_Reference[Duplicate Key],Paper_Reference[[#This Row],[Duplicate Key]])</f>
        <v>1</v>
      </c>
    </row>
    <row r="986" spans="1:10">
      <c r="A986" s="7">
        <v>2</v>
      </c>
      <c r="B986" s="8" t="s">
        <v>5574</v>
      </c>
      <c r="C986" s="8" t="s">
        <v>5400</v>
      </c>
      <c r="D986" s="7">
        <v>1</v>
      </c>
      <c r="E986" s="7">
        <v>10</v>
      </c>
      <c r="F986" s="7">
        <v>1</v>
      </c>
      <c r="G986" s="8" t="s">
        <v>5373</v>
      </c>
      <c r="H986" s="8" t="s">
        <v>5374</v>
      </c>
      <c r="I986" s="7" t="str">
        <f>_xlfn.CONCAT(Paper_Reference[[#This Row],[Lvl]:[Paper Description]])</f>
        <v>2G48WW971N5703GUN SAVOY WALNUT 60 X 841101100WW971-6200GUN SAVOY WALNUT</v>
      </c>
      <c r="J986" s="7">
        <f>COUNTIF(Paper_Reference[Duplicate Key],Paper_Reference[[#This Row],[Duplicate Key]])</f>
        <v>1</v>
      </c>
    </row>
    <row r="987" spans="1:10">
      <c r="A987" s="7">
        <v>3</v>
      </c>
      <c r="B987" s="8" t="s">
        <v>5575</v>
      </c>
      <c r="C987" s="8" t="s">
        <v>5401</v>
      </c>
      <c r="D987" s="7">
        <v>1</v>
      </c>
      <c r="E987" s="7">
        <v>55</v>
      </c>
      <c r="F987" s="7">
        <v>5.5500000000000001E-2</v>
      </c>
      <c r="G987" s="8" t="s">
        <v>5373</v>
      </c>
      <c r="H987" s="8" t="s">
        <v>5374</v>
      </c>
      <c r="I987" s="7" t="str">
        <f>_xlfn.CONCAT(Paper_Reference[[#This Row],[Lvl]:[Paper Description]])</f>
        <v>3G48WW971NMHJGUN SAVOY WAL 19 3/4 X 19 3/41550.0555100WW971-6200GUN SAVOY WALNUT</v>
      </c>
      <c r="J987" s="7">
        <f>COUNTIF(Paper_Reference[Duplicate Key],Paper_Reference[[#This Row],[Duplicate Key]])</f>
        <v>1</v>
      </c>
    </row>
    <row r="988" spans="1:10">
      <c r="A988" s="7">
        <v>3</v>
      </c>
      <c r="B988" s="8" t="s">
        <v>5576</v>
      </c>
      <c r="C988" s="8" t="s">
        <v>5402</v>
      </c>
      <c r="D988" s="7">
        <v>1</v>
      </c>
      <c r="E988" s="7">
        <v>55</v>
      </c>
      <c r="F988" s="7">
        <v>6.6600000000000006E-2</v>
      </c>
      <c r="G988" s="8" t="s">
        <v>5373</v>
      </c>
      <c r="H988" s="8" t="s">
        <v>5374</v>
      </c>
      <c r="I988" s="7" t="str">
        <f>_xlfn.CONCAT(Paper_Reference[[#This Row],[Lvl]:[Paper Description]])</f>
        <v>3G48WW971NNCQ1GUN SAVOY WAL 18 3/4 X 18 3/41550.0666100WW971-6200GUN SAVOY WALNUT</v>
      </c>
      <c r="J988" s="7">
        <f>COUNTIF(Paper_Reference[Duplicate Key],Paper_Reference[[#This Row],[Duplicate Key]])</f>
        <v>1</v>
      </c>
    </row>
    <row r="989" spans="1:10">
      <c r="A989" s="7">
        <v>3</v>
      </c>
      <c r="B989" s="8" t="s">
        <v>5577</v>
      </c>
      <c r="C989" s="8" t="s">
        <v>5403</v>
      </c>
      <c r="D989" s="7">
        <v>1</v>
      </c>
      <c r="E989" s="7">
        <v>55</v>
      </c>
      <c r="F989" s="7">
        <v>0.1666</v>
      </c>
      <c r="G989" s="8" t="s">
        <v>5373</v>
      </c>
      <c r="H989" s="8" t="s">
        <v>5374</v>
      </c>
      <c r="I989" s="7" t="str">
        <f>_xlfn.CONCAT(Paper_Reference[[#This Row],[Lvl]:[Paper Description]])</f>
        <v>3G48WW971NNKC1GUN SAVOY WAL 25 1/2 X 47 1/21550.1666100WW971-6200GUN SAVOY WALNUT</v>
      </c>
      <c r="J989" s="7">
        <f>COUNTIF(Paper_Reference[Duplicate Key],Paper_Reference[[#This Row],[Duplicate Key]])</f>
        <v>1</v>
      </c>
    </row>
    <row r="990" spans="1:10">
      <c r="A990" s="7">
        <v>3</v>
      </c>
      <c r="B990" s="8" t="s">
        <v>5578</v>
      </c>
      <c r="C990" s="8" t="s">
        <v>5404</v>
      </c>
      <c r="D990" s="7">
        <v>1</v>
      </c>
      <c r="E990" s="7">
        <v>55</v>
      </c>
      <c r="F990" s="7">
        <v>0.1666</v>
      </c>
      <c r="G990" s="8" t="s">
        <v>5373</v>
      </c>
      <c r="H990" s="8" t="s">
        <v>5374</v>
      </c>
      <c r="I990" s="7" t="str">
        <f>_xlfn.CONCAT(Paper_Reference[[#This Row],[Lvl]:[Paper Description]])</f>
        <v>3G48WW971NSFXGUN SAVOY WAL 28 3/4 X 40 3/41550.1666100WW971-6200GUN SAVOY WALNUT</v>
      </c>
      <c r="J990" s="7">
        <f>COUNTIF(Paper_Reference[Duplicate Key],Paper_Reference[[#This Row],[Duplicate Key]])</f>
        <v>1</v>
      </c>
    </row>
    <row r="991" spans="1:10">
      <c r="A991" s="7">
        <v>3</v>
      </c>
      <c r="B991" s="8" t="s">
        <v>5579</v>
      </c>
      <c r="C991" s="8" t="s">
        <v>5405</v>
      </c>
      <c r="D991" s="7">
        <v>1</v>
      </c>
      <c r="E991" s="7">
        <v>55</v>
      </c>
      <c r="F991" s="7">
        <v>0.1666</v>
      </c>
      <c r="G991" s="8" t="s">
        <v>5373</v>
      </c>
      <c r="H991" s="8" t="s">
        <v>5374</v>
      </c>
      <c r="I991" s="7" t="str">
        <f>_xlfn.CONCAT(Paper_Reference[[#This Row],[Lvl]:[Paper Description]])</f>
        <v>3G48WW971NSFYGUN SAVOY WAL 18 7/8 X 48 3/41550.1666100WW971-6200GUN SAVOY WALNUT</v>
      </c>
      <c r="J991" s="7">
        <f>COUNTIF(Paper_Reference[Duplicate Key],Paper_Reference[[#This Row],[Duplicate Key]])</f>
        <v>1</v>
      </c>
    </row>
    <row r="992" spans="1:10">
      <c r="A992" s="7">
        <v>3</v>
      </c>
      <c r="B992" s="8" t="s">
        <v>5580</v>
      </c>
      <c r="C992" s="8" t="s">
        <v>5406</v>
      </c>
      <c r="D992" s="7">
        <v>1</v>
      </c>
      <c r="E992" s="7">
        <v>55</v>
      </c>
      <c r="F992" s="7">
        <v>0.33329999999999999</v>
      </c>
      <c r="G992" s="8" t="s">
        <v>5373</v>
      </c>
      <c r="H992" s="8" t="s">
        <v>5374</v>
      </c>
      <c r="I992" s="7" t="str">
        <f>_xlfn.CONCAT(Paper_Reference[[#This Row],[Lvl]:[Paper Description]])</f>
        <v>3G48WW971NSQCGUN SAVOY WALNUT 60 X 401550.3333100WW971-6200GUN SAVOY WALNUT</v>
      </c>
      <c r="J992" s="7">
        <f>COUNTIF(Paper_Reference[Duplicate Key],Paper_Reference[[#This Row],[Duplicate Key]])</f>
        <v>1</v>
      </c>
    </row>
    <row r="993" spans="1:10">
      <c r="A993" s="7">
        <v>3</v>
      </c>
      <c r="B993" s="8" t="s">
        <v>5581</v>
      </c>
      <c r="C993" s="8" t="s">
        <v>5407</v>
      </c>
      <c r="D993" s="7">
        <v>1</v>
      </c>
      <c r="E993" s="7">
        <v>55</v>
      </c>
      <c r="F993" s="7">
        <v>8.3299999999999999E-2</v>
      </c>
      <c r="G993" s="8" t="s">
        <v>5373</v>
      </c>
      <c r="H993" s="8" t="s">
        <v>5374</v>
      </c>
      <c r="I993" s="7" t="str">
        <f>_xlfn.CONCAT(Paper_Reference[[#This Row],[Lvl]:[Paper Description]])</f>
        <v>3G48WW971NSQK1GUN SAVOY WALNUT 18 7/8X32 7/81550.0833100WW971-6200GUN SAVOY WALNUT</v>
      </c>
      <c r="J993" s="7">
        <f>COUNTIF(Paper_Reference[Duplicate Key],Paper_Reference[[#This Row],[Duplicate Key]])</f>
        <v>1</v>
      </c>
    </row>
    <row r="994" spans="1:10">
      <c r="A994" s="7">
        <v>3</v>
      </c>
      <c r="B994" s="8" t="s">
        <v>5582</v>
      </c>
      <c r="C994" s="8" t="s">
        <v>5408</v>
      </c>
      <c r="D994" s="7">
        <v>1</v>
      </c>
      <c r="E994" s="7">
        <v>55</v>
      </c>
      <c r="F994" s="7">
        <v>0.25</v>
      </c>
      <c r="G994" s="8" t="s">
        <v>5373</v>
      </c>
      <c r="H994" s="8" t="s">
        <v>5374</v>
      </c>
      <c r="I994" s="7" t="str">
        <f>_xlfn.CONCAT(Paper_Reference[[#This Row],[Lvl]:[Paper Description]])</f>
        <v>3G48WW971NTDM1GUN SAVOY WALNUT 27 X 551550.25100WW971-6200GUN SAVOY WALNUT</v>
      </c>
      <c r="J994" s="7">
        <f>COUNTIF(Paper_Reference[Duplicate Key],Paper_Reference[[#This Row],[Duplicate Key]])</f>
        <v>1</v>
      </c>
    </row>
    <row r="995" spans="1:10">
      <c r="A995" s="7">
        <v>3</v>
      </c>
      <c r="B995" s="8" t="s">
        <v>5583</v>
      </c>
      <c r="C995" s="8" t="s">
        <v>5409</v>
      </c>
      <c r="D995" s="7">
        <v>1</v>
      </c>
      <c r="E995" s="7">
        <v>55</v>
      </c>
      <c r="F995" s="7">
        <v>0.33329999999999999</v>
      </c>
      <c r="G995" s="8" t="s">
        <v>5373</v>
      </c>
      <c r="H995" s="8" t="s">
        <v>5374</v>
      </c>
      <c r="I995" s="7" t="str">
        <f>_xlfn.CONCAT(Paper_Reference[[#This Row],[Lvl]:[Paper Description]])</f>
        <v>3G48WW971NTKUGUN SAVOY WALNUT 19 X 851550.3333100WW971-6200GUN SAVOY WALNUT</v>
      </c>
      <c r="J995" s="7">
        <f>COUNTIF(Paper_Reference[Duplicate Key],Paper_Reference[[#This Row],[Duplicate Key]])</f>
        <v>1</v>
      </c>
    </row>
    <row r="996" spans="1:10">
      <c r="A996" s="7">
        <v>2</v>
      </c>
      <c r="B996" s="8" t="s">
        <v>5584</v>
      </c>
      <c r="C996" s="8" t="s">
        <v>5410</v>
      </c>
      <c r="D996" s="7">
        <v>1</v>
      </c>
      <c r="E996" s="7">
        <v>10</v>
      </c>
      <c r="F996" s="7">
        <v>0.5</v>
      </c>
      <c r="G996" s="8" t="s">
        <v>5373</v>
      </c>
      <c r="H996" s="8" t="s">
        <v>5374</v>
      </c>
      <c r="I996" s="7" t="str">
        <f>_xlfn.CONCAT(Paper_Reference[[#This Row],[Lvl]:[Paper Description]])</f>
        <v>2G48WW971NTKWGUN SAVOY WALNUT 25 X 851100.5100WW971-6200GUN SAVOY WALNUT</v>
      </c>
      <c r="J996" s="7">
        <f>COUNTIF(Paper_Reference[Duplicate Key],Paper_Reference[[#This Row],[Duplicate Key]])</f>
        <v>1</v>
      </c>
    </row>
    <row r="997" spans="1:10">
      <c r="A997" s="7">
        <v>3</v>
      </c>
      <c r="B997" s="8" t="s">
        <v>5585</v>
      </c>
      <c r="C997" s="8" t="s">
        <v>5411</v>
      </c>
      <c r="D997" s="7">
        <v>1</v>
      </c>
      <c r="E997" s="7">
        <v>55</v>
      </c>
      <c r="F997" s="7">
        <v>0.25</v>
      </c>
      <c r="G997" s="8" t="s">
        <v>5373</v>
      </c>
      <c r="H997" s="8" t="s">
        <v>5374</v>
      </c>
      <c r="I997" s="7" t="str">
        <f>_xlfn.CONCAT(Paper_Reference[[#This Row],[Lvl]:[Paper Description]])</f>
        <v>3G48WW971NTRAGUN SAVOY WALNUT 28 X 441550.25100WW971-6200GUN SAVOY WALNUT</v>
      </c>
      <c r="J997" s="7">
        <f>COUNTIF(Paper_Reference[Duplicate Key],Paper_Reference[[#This Row],[Duplicate Key]])</f>
        <v>1</v>
      </c>
    </row>
    <row r="998" spans="1:10">
      <c r="A998" s="7">
        <v>2</v>
      </c>
      <c r="B998" s="8" t="s">
        <v>5586</v>
      </c>
      <c r="C998" s="8" t="s">
        <v>5376</v>
      </c>
      <c r="D998" s="7">
        <v>1</v>
      </c>
      <c r="E998" s="7">
        <v>10</v>
      </c>
      <c r="F998" s="7">
        <v>1</v>
      </c>
      <c r="G998" s="8" t="s">
        <v>5373</v>
      </c>
      <c r="H998" s="8" t="s">
        <v>5374</v>
      </c>
      <c r="I998" s="7" t="str">
        <f>_xlfn.CONCAT(Paper_Reference[[#This Row],[Lvl]:[Paper Description]])</f>
        <v>2G48WW971PV520GUN SAVOY WALNUT 60 X 1441101100WW971-6200GUN SAVOY WALNUT</v>
      </c>
      <c r="J998" s="7">
        <f>COUNTIF(Paper_Reference[Duplicate Key],Paper_Reference[[#This Row],[Duplicate Key]])</f>
        <v>1</v>
      </c>
    </row>
    <row r="999" spans="1:10">
      <c r="A999" s="7">
        <v>3</v>
      </c>
      <c r="B999" s="8" t="s">
        <v>5587</v>
      </c>
      <c r="C999" s="8" t="s">
        <v>5393</v>
      </c>
      <c r="D999" s="7">
        <v>1</v>
      </c>
      <c r="E999" s="7">
        <v>55</v>
      </c>
      <c r="F999" s="7">
        <v>0.16669999999999999</v>
      </c>
      <c r="G999" s="8" t="s">
        <v>5373</v>
      </c>
      <c r="H999" s="8" t="s">
        <v>5374</v>
      </c>
      <c r="I999" s="7" t="str">
        <f>_xlfn.CONCAT(Paper_Reference[[#This Row],[Lvl]:[Paper Description]])</f>
        <v>3G48WW971PVNTI1GUN SAVOY WALNUT 20 1/4X72 1/41550.1667100WW971-6200GUN SAVOY WALNUT</v>
      </c>
      <c r="J999" s="7">
        <f>COUNTIF(Paper_Reference[Duplicate Key],Paper_Reference[[#This Row],[Duplicate Key]])</f>
        <v>1</v>
      </c>
    </row>
    <row r="1000" spans="1:10">
      <c r="A1000" s="7">
        <v>2</v>
      </c>
      <c r="B1000" s="8" t="s">
        <v>5588</v>
      </c>
      <c r="C1000" s="8" t="s">
        <v>5397</v>
      </c>
      <c r="D1000" s="7">
        <v>1</v>
      </c>
      <c r="E1000" s="7">
        <v>10</v>
      </c>
      <c r="F1000" s="7">
        <v>0.5</v>
      </c>
      <c r="G1000" s="8" t="s">
        <v>5373</v>
      </c>
      <c r="H1000" s="8" t="s">
        <v>5374</v>
      </c>
      <c r="I1000" s="7" t="str">
        <f>_xlfn.CONCAT(Paper_Reference[[#This Row],[Lvl]:[Paper Description]])</f>
        <v>2G48WW971SD070GUN SAVOY WALNUT 30 X 841100.5100WW971-6200GUN SAVOY WALNUT</v>
      </c>
      <c r="J1000" s="7">
        <f>COUNTIF(Paper_Reference[Duplicate Key],Paper_Reference[[#This Row],[Duplicate Key]])</f>
        <v>1</v>
      </c>
    </row>
    <row r="1001" spans="1:10">
      <c r="A1001" s="7">
        <v>2</v>
      </c>
      <c r="B1001" s="8" t="s">
        <v>5589</v>
      </c>
      <c r="C1001" s="8" t="s">
        <v>5382</v>
      </c>
      <c r="D1001" s="7">
        <v>1</v>
      </c>
      <c r="E1001" s="7">
        <v>10</v>
      </c>
      <c r="F1001" s="7">
        <v>0.5</v>
      </c>
      <c r="G1001" s="8" t="s">
        <v>5373</v>
      </c>
      <c r="H1001" s="8" t="s">
        <v>5374</v>
      </c>
      <c r="I1001" s="7" t="str">
        <f>_xlfn.CONCAT(Paper_Reference[[#This Row],[Lvl]:[Paper Description]])</f>
        <v>2G48WW971SD080GUN SAVOY WALNUT 30 X 961100.5100WW971-6200GUN SAVOY WALNUT</v>
      </c>
      <c r="J1001" s="7">
        <f>COUNTIF(Paper_Reference[Duplicate Key],Paper_Reference[[#This Row],[Duplicate Key]])</f>
        <v>1</v>
      </c>
    </row>
    <row r="1002" spans="1:10">
      <c r="A1002" s="7">
        <v>2</v>
      </c>
      <c r="B1002" s="8" t="s">
        <v>5591</v>
      </c>
      <c r="C1002" s="8" t="s">
        <v>5378</v>
      </c>
      <c r="D1002" s="7">
        <v>1</v>
      </c>
      <c r="E1002" s="7">
        <v>10</v>
      </c>
      <c r="F1002" s="7">
        <v>1</v>
      </c>
      <c r="G1002" s="8" t="s">
        <v>5373</v>
      </c>
      <c r="H1002" s="8" t="s">
        <v>5374</v>
      </c>
      <c r="I1002" s="7" t="str">
        <f>_xlfn.CONCAT(Paper_Reference[[#This Row],[Lvl]:[Paper Description]])</f>
        <v>2G48WW971SD500GUN SAVOY WALNUT 60 X 1201101100WW971-6200GUN SAVOY WALNUT</v>
      </c>
      <c r="J1002" s="7">
        <f>COUNTIF(Paper_Reference[Duplicate Key],Paper_Reference[[#This Row],[Duplicate Key]])</f>
        <v>1</v>
      </c>
    </row>
    <row r="1003" spans="1:10">
      <c r="A1003" s="7">
        <v>2</v>
      </c>
      <c r="B1003" s="8" t="s">
        <v>5590</v>
      </c>
      <c r="C1003" s="8" t="s">
        <v>5378</v>
      </c>
      <c r="D1003" s="7">
        <v>1</v>
      </c>
      <c r="E1003" s="7">
        <v>10</v>
      </c>
      <c r="F1003" s="7">
        <v>1</v>
      </c>
      <c r="G1003" s="8" t="s">
        <v>5373</v>
      </c>
      <c r="H1003" s="8" t="s">
        <v>5374</v>
      </c>
      <c r="I1003" s="7" t="str">
        <f>_xlfn.CONCAT(Paper_Reference[[#This Row],[Lvl]:[Paper Description]])</f>
        <v>2G48WW971SD5001GUN SAVOY WALNUT 60 X 1201101100WW971-6200GUN SAVOY WALNUT</v>
      </c>
      <c r="J1003" s="7">
        <f>COUNTIF(Paper_Reference[Duplicate Key],Paper_Reference[[#This Row],[Duplicate Key]])</f>
        <v>1</v>
      </c>
    </row>
    <row r="1004" spans="1:10">
      <c r="A1004" s="7">
        <v>2</v>
      </c>
      <c r="B1004" s="8" t="s">
        <v>5593</v>
      </c>
      <c r="C1004" s="8" t="s">
        <v>5376</v>
      </c>
      <c r="D1004" s="7">
        <v>1</v>
      </c>
      <c r="E1004" s="7">
        <v>10</v>
      </c>
      <c r="F1004" s="7">
        <v>1</v>
      </c>
      <c r="G1004" s="8" t="s">
        <v>5373</v>
      </c>
      <c r="H1004" s="8" t="s">
        <v>5374</v>
      </c>
      <c r="I1004" s="7" t="str">
        <f>_xlfn.CONCAT(Paper_Reference[[#This Row],[Lvl]:[Paper Description]])</f>
        <v>2G48WW971SD520GUN SAVOY WALNUT 60 X 1441101100WW971-6200GUN SAVOY WALNUT</v>
      </c>
      <c r="J1004" s="7">
        <f>COUNTIF(Paper_Reference[Duplicate Key],Paper_Reference[[#This Row],[Duplicate Key]])</f>
        <v>1</v>
      </c>
    </row>
    <row r="1005" spans="1:10">
      <c r="A1005" s="7">
        <v>2</v>
      </c>
      <c r="B1005" s="8" t="s">
        <v>5592</v>
      </c>
      <c r="C1005" s="8" t="s">
        <v>5376</v>
      </c>
      <c r="D1005" s="7">
        <v>1</v>
      </c>
      <c r="E1005" s="7">
        <v>10</v>
      </c>
      <c r="F1005" s="7">
        <v>1</v>
      </c>
      <c r="G1005" s="8" t="s">
        <v>5373</v>
      </c>
      <c r="H1005" s="8" t="s">
        <v>5374</v>
      </c>
      <c r="I1005" s="7" t="str">
        <f>_xlfn.CONCAT(Paper_Reference[[#This Row],[Lvl]:[Paper Description]])</f>
        <v>2G48WW971SD5201GUN SAVOY WALNUT 60 X 1441101100WW971-6200GUN SAVOY WALNUT</v>
      </c>
      <c r="J1005" s="7">
        <f>COUNTIF(Paper_Reference[Duplicate Key],Paper_Reference[[#This Row],[Duplicate Key]])</f>
        <v>1</v>
      </c>
    </row>
    <row r="1006" spans="1:10">
      <c r="A1006" s="7">
        <v>2</v>
      </c>
      <c r="B1006" s="8" t="s">
        <v>5595</v>
      </c>
      <c r="C1006" s="8" t="s">
        <v>5377</v>
      </c>
      <c r="D1006" s="7">
        <v>1</v>
      </c>
      <c r="E1006" s="7">
        <v>10</v>
      </c>
      <c r="F1006" s="7">
        <v>1</v>
      </c>
      <c r="G1006" s="8" t="s">
        <v>5373</v>
      </c>
      <c r="H1006" s="8" t="s">
        <v>5374</v>
      </c>
      <c r="I1006" s="7" t="str">
        <f>_xlfn.CONCAT(Paper_Reference[[#This Row],[Lvl]:[Paper Description]])</f>
        <v>2G48WW971SD580GUN SAVOY WALNUT 60 X 961101100WW971-6200GUN SAVOY WALNUT</v>
      </c>
      <c r="J1006" s="7">
        <f>COUNTIF(Paper_Reference[Duplicate Key],Paper_Reference[[#This Row],[Duplicate Key]])</f>
        <v>1</v>
      </c>
    </row>
    <row r="1007" spans="1:10">
      <c r="A1007" s="7">
        <v>2</v>
      </c>
      <c r="B1007" s="8" t="s">
        <v>5594</v>
      </c>
      <c r="C1007" s="8" t="s">
        <v>5377</v>
      </c>
      <c r="D1007" s="7">
        <v>1</v>
      </c>
      <c r="E1007" s="7">
        <v>10</v>
      </c>
      <c r="F1007" s="7">
        <v>1</v>
      </c>
      <c r="G1007" s="8" t="s">
        <v>5373</v>
      </c>
      <c r="H1007" s="8" t="s">
        <v>5374</v>
      </c>
      <c r="I1007" s="7" t="str">
        <f>_xlfn.CONCAT(Paper_Reference[[#This Row],[Lvl]:[Paper Description]])</f>
        <v>2G48WW971SD5801GUN SAVOY WALNUT 60 X 961101100WW971-6200GUN SAVOY WALNUT</v>
      </c>
      <c r="J1007" s="7">
        <f>COUNTIF(Paper_Reference[Duplicate Key],Paper_Reference[[#This Row],[Duplicate Key]])</f>
        <v>1</v>
      </c>
    </row>
    <row r="1008" spans="1:10">
      <c r="A1008" s="7">
        <v>2</v>
      </c>
      <c r="B1008" s="8" t="s">
        <v>5596</v>
      </c>
      <c r="C1008" s="8" t="s">
        <v>5378</v>
      </c>
      <c r="D1008" s="7">
        <v>1</v>
      </c>
      <c r="E1008" s="7">
        <v>10</v>
      </c>
      <c r="F1008" s="7">
        <v>1</v>
      </c>
      <c r="G1008" s="8" t="s">
        <v>5373</v>
      </c>
      <c r="H1008" s="8" t="s">
        <v>5374</v>
      </c>
      <c r="I1008" s="7" t="str">
        <f>_xlfn.CONCAT(Paper_Reference[[#This Row],[Lvl]:[Paper Description]])</f>
        <v>2G48WW971Z500GUN SAVOY WALNUT 60 X 1201101100WW971-6200GUN SAVOY WALNUT</v>
      </c>
      <c r="J1008" s="7">
        <f>COUNTIF(Paper_Reference[Duplicate Key],Paper_Reference[[#This Row],[Duplicate Key]])</f>
        <v>1</v>
      </c>
    </row>
    <row r="1009" spans="1:10">
      <c r="A1009" s="7">
        <v>2</v>
      </c>
      <c r="B1009" s="8" t="s">
        <v>5597</v>
      </c>
      <c r="C1009" s="8" t="s">
        <v>5376</v>
      </c>
      <c r="D1009" s="7">
        <v>1</v>
      </c>
      <c r="E1009" s="7">
        <v>10</v>
      </c>
      <c r="F1009" s="7">
        <v>1</v>
      </c>
      <c r="G1009" s="8" t="s">
        <v>5373</v>
      </c>
      <c r="H1009" s="8" t="s">
        <v>5374</v>
      </c>
      <c r="I1009" s="7" t="str">
        <f>_xlfn.CONCAT(Paper_Reference[[#This Row],[Lvl]:[Paper Description]])</f>
        <v>2G48WW971Z520GUN SAVOY WALNUT 60 X 1441101100WW971-6200GUN SAVOY WALNUT</v>
      </c>
      <c r="J1009" s="7">
        <f>COUNTIF(Paper_Reference[Duplicate Key],Paper_Reference[[#This Row],[Duplicate Key]])</f>
        <v>1</v>
      </c>
    </row>
    <row r="1010" spans="1:10">
      <c r="A1010" s="7">
        <v>2</v>
      </c>
      <c r="B1010" s="8" t="s">
        <v>5598</v>
      </c>
      <c r="C1010" s="8" t="s">
        <v>5377</v>
      </c>
      <c r="D1010" s="7">
        <v>1</v>
      </c>
      <c r="E1010" s="7">
        <v>10</v>
      </c>
      <c r="F1010" s="7">
        <v>1</v>
      </c>
      <c r="G1010" s="8" t="s">
        <v>5373</v>
      </c>
      <c r="H1010" s="8" t="s">
        <v>5374</v>
      </c>
      <c r="I1010" s="7" t="str">
        <f>_xlfn.CONCAT(Paper_Reference[[#This Row],[Lvl]:[Paper Description]])</f>
        <v>2G48WW971Z580GUN SAVOY WALNUT 60 X 961101100WW971-6200GUN SAVOY WALNUT</v>
      </c>
      <c r="J1010" s="7">
        <f>COUNTIF(Paper_Reference[Duplicate Key],Paper_Reference[[#This Row],[Duplicate Key]])</f>
        <v>1</v>
      </c>
    </row>
    <row r="1011" spans="1:10">
      <c r="A1011" s="7">
        <v>2</v>
      </c>
      <c r="B1011" s="8" t="s">
        <v>616</v>
      </c>
      <c r="C1011" s="8" t="s">
        <v>383</v>
      </c>
      <c r="D1011" s="7">
        <v>1</v>
      </c>
      <c r="E1011" s="7">
        <v>10</v>
      </c>
      <c r="F1011" s="7">
        <v>1</v>
      </c>
      <c r="G1011" s="8" t="s">
        <v>219</v>
      </c>
      <c r="H1011" s="8" t="s">
        <v>427</v>
      </c>
      <c r="I1011" s="7" t="str">
        <f>_xlfn.CONCAT(Paper_Reference[[#This Row],[Lvl]:[Paper Description]])</f>
        <v>2G52WM321PM82EXP AMF .500 41.875 X 142.751101100WM321-4300IQ MAPLE LANE RH</v>
      </c>
      <c r="J1011" s="7">
        <f>COUNTIF(Paper_Reference[Duplicate Key],Paper_Reference[[#This Row],[Duplicate Key]])</f>
        <v>1</v>
      </c>
    </row>
    <row r="1012" spans="1:10">
      <c r="A1012" s="7">
        <v>2</v>
      </c>
      <c r="B1012" s="8" t="s">
        <v>9085</v>
      </c>
      <c r="C1012" s="8" t="s">
        <v>9030</v>
      </c>
      <c r="D1012" s="7">
        <v>1</v>
      </c>
      <c r="E1012" s="7">
        <v>10</v>
      </c>
      <c r="F1012" s="7">
        <v>1</v>
      </c>
      <c r="G1012" s="8" t="s">
        <v>219</v>
      </c>
      <c r="H1012" s="8" t="s">
        <v>427</v>
      </c>
      <c r="I1012" s="7" t="str">
        <f>_xlfn.CONCAT(Paper_Reference[[#This Row],[Lvl]:[Paper Description]])</f>
        <v>2G53WM321PM87EXP AMF .375 41.875 X 142.751101100WM321-4300IQ MAPLE LANE RH</v>
      </c>
      <c r="J1012" s="7">
        <f>COUNTIF(Paper_Reference[Duplicate Key],Paper_Reference[[#This Row],[Duplicate Key]])</f>
        <v>1</v>
      </c>
    </row>
    <row r="1013" spans="1:10">
      <c r="A1013" s="7">
        <v>2</v>
      </c>
      <c r="B1013" s="8" t="s">
        <v>617</v>
      </c>
      <c r="C1013" s="8" t="s">
        <v>384</v>
      </c>
      <c r="D1013" s="7">
        <v>1</v>
      </c>
      <c r="E1013" s="7">
        <v>10</v>
      </c>
      <c r="F1013" s="7">
        <v>1</v>
      </c>
      <c r="G1013" s="8" t="s">
        <v>219</v>
      </c>
      <c r="H1013" s="8" t="s">
        <v>427</v>
      </c>
      <c r="I1013" s="7" t="str">
        <f>_xlfn.CONCAT(Paper_Reference[[#This Row],[Lvl]:[Paper Description]])</f>
        <v>2G54WM351PRBZAMF MINI W/GL 42 1/2 X 144 1/21101100WM321-4300IQ MAPLE LANE RH</v>
      </c>
      <c r="J1013" s="7">
        <f>COUNTIF(Paper_Reference[Duplicate Key],Paper_Reference[[#This Row],[Duplicate Key]])</f>
        <v>1</v>
      </c>
    </row>
    <row r="1014" spans="1:10">
      <c r="A1014" s="7">
        <v>2</v>
      </c>
      <c r="B1014" s="8" t="s">
        <v>9004</v>
      </c>
      <c r="C1014" s="8" t="s">
        <v>8950</v>
      </c>
      <c r="D1014" s="7">
        <v>1</v>
      </c>
      <c r="E1014" s="7">
        <v>10</v>
      </c>
      <c r="F1014" s="7">
        <v>0.33329999999999999</v>
      </c>
      <c r="G1014" s="8" t="s">
        <v>218</v>
      </c>
      <c r="H1014" s="8" t="s">
        <v>426</v>
      </c>
      <c r="I1014" s="7" t="str">
        <f>_xlfn.CONCAT(Paper_Reference[[#This Row],[Lvl]:[Paper Description]])</f>
        <v>2G56WM311PM37SYN3  L SHORT 41.875 X 47.1251100.3333100WM311-4300IQ MAPLE LANE LH</v>
      </c>
      <c r="J1014" s="7">
        <f>COUNTIF(Paper_Reference[Duplicate Key],Paper_Reference[[#This Row],[Duplicate Key]])</f>
        <v>1</v>
      </c>
    </row>
    <row r="1015" spans="1:10">
      <c r="A1015" s="7">
        <v>2</v>
      </c>
      <c r="B1015" s="8" t="s">
        <v>9005</v>
      </c>
      <c r="C1015" s="8" t="s">
        <v>8951</v>
      </c>
      <c r="D1015" s="7">
        <v>1</v>
      </c>
      <c r="E1015" s="7">
        <v>10</v>
      </c>
      <c r="F1015" s="7">
        <v>1</v>
      </c>
      <c r="G1015" s="8" t="s">
        <v>218</v>
      </c>
      <c r="H1015" s="8" t="s">
        <v>426</v>
      </c>
      <c r="I1015" s="7" t="str">
        <f>_xlfn.CONCAT(Paper_Reference[[#This Row],[Lvl]:[Paper Description]])</f>
        <v>2G56WM311PM61SYN3 L COMMON 41.875 X 1441101100WM311-4300IQ MAPLE LANE LH</v>
      </c>
      <c r="J1015" s="7">
        <f>COUNTIF(Paper_Reference[Duplicate Key],Paper_Reference[[#This Row],[Duplicate Key]])</f>
        <v>1</v>
      </c>
    </row>
    <row r="1016" spans="1:10">
      <c r="A1016" s="7">
        <v>2</v>
      </c>
      <c r="B1016" s="8" t="s">
        <v>9115</v>
      </c>
      <c r="C1016" s="8" t="s">
        <v>9059</v>
      </c>
      <c r="D1016" s="7">
        <v>1</v>
      </c>
      <c r="E1016" s="7">
        <v>10</v>
      </c>
      <c r="F1016" s="7">
        <v>0.33329999999999999</v>
      </c>
      <c r="G1016" s="8" t="s">
        <v>219</v>
      </c>
      <c r="H1016" s="8" t="s">
        <v>427</v>
      </c>
      <c r="I1016" s="7" t="str">
        <f>_xlfn.CONCAT(Paper_Reference[[#This Row],[Lvl]:[Paper Description]])</f>
        <v>2G56WM321PM36SYN3 R SHORT 41.875 X 47.1251100.3333100WM321-4300IQ MAPLE LANE RH</v>
      </c>
      <c r="J1016" s="7">
        <f>COUNTIF(Paper_Reference[Duplicate Key],Paper_Reference[[#This Row],[Duplicate Key]])</f>
        <v>1</v>
      </c>
    </row>
    <row r="1017" spans="1:10">
      <c r="A1017" s="7">
        <v>2</v>
      </c>
      <c r="B1017" s="8" t="s">
        <v>9116</v>
      </c>
      <c r="C1017" s="8" t="s">
        <v>9060</v>
      </c>
      <c r="D1017" s="7">
        <v>1</v>
      </c>
      <c r="E1017" s="7">
        <v>10</v>
      </c>
      <c r="F1017" s="7">
        <v>1</v>
      </c>
      <c r="G1017" s="8" t="s">
        <v>219</v>
      </c>
      <c r="H1017" s="8" t="s">
        <v>427</v>
      </c>
      <c r="I1017" s="7" t="str">
        <f>_xlfn.CONCAT(Paper_Reference[[#This Row],[Lvl]:[Paper Description]])</f>
        <v>2G56WM321PM61SYN3 R COMMON 41.875 X 1441101100WM321-4300IQ MAPLE LANE RH</v>
      </c>
      <c r="J1017" s="7">
        <f>COUNTIF(Paper_Reference[Duplicate Key],Paper_Reference[[#This Row],[Duplicate Key]])</f>
        <v>1</v>
      </c>
    </row>
    <row r="1018" spans="1:10">
      <c r="A1018" s="7">
        <v>2</v>
      </c>
      <c r="B1018" s="8" t="s">
        <v>968</v>
      </c>
      <c r="C1018" s="8" t="s">
        <v>961</v>
      </c>
      <c r="D1018" s="7">
        <v>1</v>
      </c>
      <c r="E1018" s="7">
        <v>10</v>
      </c>
      <c r="F1018" s="7">
        <v>0.25</v>
      </c>
      <c r="G1018" s="8" t="s">
        <v>955</v>
      </c>
      <c r="H1018" s="8" t="s">
        <v>956</v>
      </c>
      <c r="I1018" s="7" t="str">
        <f>_xlfn.CONCAT(Paper_Reference[[#This Row],[Lvl]:[Paper Description]])</f>
        <v>2G56WW070AM38WW070 NAR BALL RET 13.87 X 1441100.25100WW070-6200BRUNSWICK GUN SAV WAL W/BL</v>
      </c>
      <c r="J1018" s="7">
        <f>COUNTIF(Paper_Reference[Duplicate Key],Paper_Reference[[#This Row],[Duplicate Key]])</f>
        <v>1</v>
      </c>
    </row>
    <row r="1019" spans="1:10">
      <c r="A1019" s="7">
        <v>3</v>
      </c>
      <c r="B1019" s="8" t="s">
        <v>968</v>
      </c>
      <c r="C1019" s="8" t="s">
        <v>961</v>
      </c>
      <c r="D1019" s="7">
        <v>1</v>
      </c>
      <c r="E1019" s="7">
        <v>10</v>
      </c>
      <c r="F1019" s="7">
        <v>0.25</v>
      </c>
      <c r="G1019" s="8" t="s">
        <v>5373</v>
      </c>
      <c r="H1019" s="8" t="s">
        <v>5374</v>
      </c>
      <c r="I1019" s="7" t="str">
        <f>_xlfn.CONCAT(Paper_Reference[[#This Row],[Lvl]:[Paper Description]])</f>
        <v>3G56WW070AM38WW070 NAR BALL RET 13.87 X 1441100.25100WW971-6200GUN SAVOY WALNUT</v>
      </c>
      <c r="J1019" s="7">
        <f>COUNTIF(Paper_Reference[Duplicate Key],Paper_Reference[[#This Row],[Duplicate Key]])</f>
        <v>1</v>
      </c>
    </row>
    <row r="1020" spans="1:10">
      <c r="A1020" s="7">
        <v>2</v>
      </c>
      <c r="B1020" s="8" t="s">
        <v>969</v>
      </c>
      <c r="C1020" s="8" t="s">
        <v>962</v>
      </c>
      <c r="D1020" s="7">
        <v>1</v>
      </c>
      <c r="E1020" s="7">
        <v>10</v>
      </c>
      <c r="F1020" s="7">
        <v>0.33329999999999999</v>
      </c>
      <c r="G1020" s="8" t="s">
        <v>955</v>
      </c>
      <c r="H1020" s="8" t="s">
        <v>956</v>
      </c>
      <c r="I1020" s="7" t="str">
        <f>_xlfn.CONCAT(Paper_Reference[[#This Row],[Lvl]:[Paper Description]])</f>
        <v>2G56WW070AM39WW070 W BALL RET 14.7 X 1441100.3333100WW070-6200BRUNSWICK GUN SAV WAL W/BL</v>
      </c>
      <c r="J1020" s="7">
        <f>COUNTIF(Paper_Reference[Duplicate Key],Paper_Reference[[#This Row],[Duplicate Key]])</f>
        <v>1</v>
      </c>
    </row>
    <row r="1021" spans="1:10">
      <c r="A1021" s="7">
        <v>3</v>
      </c>
      <c r="B1021" s="8" t="s">
        <v>969</v>
      </c>
      <c r="C1021" s="8" t="s">
        <v>962</v>
      </c>
      <c r="D1021" s="7">
        <v>1</v>
      </c>
      <c r="E1021" s="7">
        <v>10</v>
      </c>
      <c r="F1021" s="7">
        <v>0.33329999999999999</v>
      </c>
      <c r="G1021" s="8" t="s">
        <v>5373</v>
      </c>
      <c r="H1021" s="8" t="s">
        <v>5374</v>
      </c>
      <c r="I1021" s="7" t="str">
        <f>_xlfn.CONCAT(Paper_Reference[[#This Row],[Lvl]:[Paper Description]])</f>
        <v>3G56WW070AM39WW070 W BALL RET 14.7 X 1441100.3333100WW971-6200GUN SAVOY WALNUT</v>
      </c>
      <c r="J1021" s="7">
        <f>COUNTIF(Paper_Reference[Duplicate Key],Paper_Reference[[#This Row],[Duplicate Key]])</f>
        <v>1</v>
      </c>
    </row>
    <row r="1022" spans="1:10">
      <c r="A1022" s="7">
        <v>2</v>
      </c>
      <c r="B1022" s="8" t="s">
        <v>970</v>
      </c>
      <c r="C1022" s="8" t="s">
        <v>963</v>
      </c>
      <c r="D1022" s="7">
        <v>1</v>
      </c>
      <c r="E1022" s="7">
        <v>10</v>
      </c>
      <c r="F1022" s="7">
        <v>1</v>
      </c>
      <c r="G1022" s="8" t="s">
        <v>955</v>
      </c>
      <c r="H1022" s="8" t="s">
        <v>956</v>
      </c>
      <c r="I1022" s="7" t="str">
        <f>_xlfn.CONCAT(Paper_Reference[[#This Row],[Lvl]:[Paper Description]])</f>
        <v>2G56WW070ASWGWW070 W/WAY 42 7/8 X 145 1/41101100WW070-6200BRUNSWICK GUN SAV WAL W/BL</v>
      </c>
      <c r="J1022" s="7">
        <f>COUNTIF(Paper_Reference[Duplicate Key],Paper_Reference[[#This Row],[Duplicate Key]])</f>
        <v>1</v>
      </c>
    </row>
    <row r="1023" spans="1:10">
      <c r="A1023" s="7">
        <v>3</v>
      </c>
      <c r="B1023" s="8" t="s">
        <v>970</v>
      </c>
      <c r="C1023" s="8" t="s">
        <v>963</v>
      </c>
      <c r="D1023" s="7">
        <v>1</v>
      </c>
      <c r="E1023" s="7">
        <v>10</v>
      </c>
      <c r="F1023" s="7">
        <v>1</v>
      </c>
      <c r="G1023" s="8" t="s">
        <v>5373</v>
      </c>
      <c r="H1023" s="8" t="s">
        <v>5374</v>
      </c>
      <c r="I1023" s="7" t="str">
        <f>_xlfn.CONCAT(Paper_Reference[[#This Row],[Lvl]:[Paper Description]])</f>
        <v>3G56WW070ASWGWW070 W/WAY 42 7/8 X 145 1/41101100WW971-6200GUN SAVOY WALNUT</v>
      </c>
      <c r="J1023" s="7">
        <f>COUNTIF(Paper_Reference[Duplicate Key],Paper_Reference[[#This Row],[Duplicate Key]])</f>
        <v>1</v>
      </c>
    </row>
    <row r="1024" spans="1:10">
      <c r="A1024" s="7">
        <v>2</v>
      </c>
      <c r="B1024" s="8" t="s">
        <v>509</v>
      </c>
      <c r="C1024" s="8" t="s">
        <v>282</v>
      </c>
      <c r="D1024" s="7">
        <v>1</v>
      </c>
      <c r="E1024" s="7">
        <v>10</v>
      </c>
      <c r="F1024" s="7">
        <v>0.25</v>
      </c>
      <c r="G1024" s="8" t="s">
        <v>217</v>
      </c>
      <c r="H1024" s="8" t="s">
        <v>3229</v>
      </c>
      <c r="I1024" s="7" t="str">
        <f>_xlfn.CONCAT(Paper_Reference[[#This Row],[Lvl]:[Paper Description]])</f>
        <v>2G57WM301AM38SYN2 UV BALL RET 13.87 X 1441100.25100WM301-6200IQ MAPLE LANE (C) 60 X 144</v>
      </c>
      <c r="J1024" s="7">
        <f>COUNTIF(Paper_Reference[Duplicate Key],Paper_Reference[[#This Row],[Duplicate Key]])</f>
        <v>1</v>
      </c>
    </row>
    <row r="1025" spans="1:10">
      <c r="A1025" s="7">
        <v>2</v>
      </c>
      <c r="B1025" s="8" t="s">
        <v>509</v>
      </c>
      <c r="C1025" s="8" t="s">
        <v>282</v>
      </c>
      <c r="D1025" s="7">
        <v>1</v>
      </c>
      <c r="E1025" s="7">
        <v>10</v>
      </c>
      <c r="F1025" s="7">
        <v>0.25</v>
      </c>
      <c r="G1025" s="8" t="s">
        <v>217</v>
      </c>
      <c r="H1025" s="8" t="s">
        <v>425</v>
      </c>
      <c r="I1025" s="7" t="str">
        <f>_xlfn.CONCAT(Paper_Reference[[#This Row],[Lvl]:[Paper Description]])</f>
        <v>2G57WM301AM38SYN2 UV BALL RET 13.87 X 1441100.25100WM301-6200IQ MAPLE LANE (CENTER)</v>
      </c>
      <c r="J1025" s="7">
        <f>COUNTIF(Paper_Reference[Duplicate Key],Paper_Reference[[#This Row],[Duplicate Key]])</f>
        <v>1</v>
      </c>
    </row>
    <row r="1026" spans="1:10">
      <c r="A1026" s="7">
        <v>2</v>
      </c>
      <c r="B1026" s="8" t="s">
        <v>510</v>
      </c>
      <c r="C1026" s="8" t="s">
        <v>283</v>
      </c>
      <c r="D1026" s="7">
        <v>1</v>
      </c>
      <c r="E1026" s="7">
        <v>10</v>
      </c>
      <c r="F1026" s="7">
        <v>0.33329999999999999</v>
      </c>
      <c r="G1026" s="8" t="s">
        <v>217</v>
      </c>
      <c r="H1026" s="8" t="s">
        <v>3229</v>
      </c>
      <c r="I1026" s="7" t="str">
        <f>_xlfn.CONCAT(Paper_Reference[[#This Row],[Lvl]:[Paper Description]])</f>
        <v>2G57WM301AM39SYN2 UV W BALL RET 14.7 X 1441100.3333100WM301-6200IQ MAPLE LANE (C) 60 X 144</v>
      </c>
      <c r="J1026" s="7">
        <f>COUNTIF(Paper_Reference[Duplicate Key],Paper_Reference[[#This Row],[Duplicate Key]])</f>
        <v>1</v>
      </c>
    </row>
    <row r="1027" spans="1:10">
      <c r="A1027" s="7">
        <v>2</v>
      </c>
      <c r="B1027" s="8" t="s">
        <v>510</v>
      </c>
      <c r="C1027" s="8" t="s">
        <v>283</v>
      </c>
      <c r="D1027" s="7">
        <v>1</v>
      </c>
      <c r="E1027" s="7">
        <v>10</v>
      </c>
      <c r="F1027" s="7">
        <v>0.33329999999999999</v>
      </c>
      <c r="G1027" s="8" t="s">
        <v>217</v>
      </c>
      <c r="H1027" s="8" t="s">
        <v>425</v>
      </c>
      <c r="I1027" s="7" t="str">
        <f>_xlfn.CONCAT(Paper_Reference[[#This Row],[Lvl]:[Paper Description]])</f>
        <v>2G57WM301AM39SYN2 UV W BALL RET 14.7 X 1441100.3333100WM301-6200IQ MAPLE LANE (CENTER)</v>
      </c>
      <c r="J1027" s="7">
        <f>COUNTIF(Paper_Reference[Duplicate Key],Paper_Reference[[#This Row],[Duplicate Key]])</f>
        <v>1</v>
      </c>
    </row>
    <row r="1028" spans="1:10">
      <c r="A1028" s="7">
        <v>2</v>
      </c>
      <c r="B1028" s="8" t="s">
        <v>511</v>
      </c>
      <c r="C1028" s="8" t="s">
        <v>284</v>
      </c>
      <c r="D1028" s="7">
        <v>1</v>
      </c>
      <c r="E1028" s="7">
        <v>10</v>
      </c>
      <c r="F1028" s="7">
        <v>0.33329999999999999</v>
      </c>
      <c r="G1028" s="8" t="s">
        <v>217</v>
      </c>
      <c r="H1028" s="8" t="s">
        <v>3229</v>
      </c>
      <c r="I1028" s="7" t="str">
        <f>_xlfn.CONCAT(Paper_Reference[[#This Row],[Lvl]:[Paper Description]])</f>
        <v>2G57WM301PM77SYN2 UV W BALL RET 14.7 X 144.1100.3333100WM301-6200IQ MAPLE LANE (C) 60 X 144</v>
      </c>
      <c r="J1028" s="7">
        <f>COUNTIF(Paper_Reference[Duplicate Key],Paper_Reference[[#This Row],[Duplicate Key]])</f>
        <v>1</v>
      </c>
    </row>
    <row r="1029" spans="1:10">
      <c r="A1029" s="7">
        <v>2</v>
      </c>
      <c r="B1029" s="8" t="s">
        <v>511</v>
      </c>
      <c r="C1029" s="8" t="s">
        <v>284</v>
      </c>
      <c r="D1029" s="7">
        <v>1</v>
      </c>
      <c r="E1029" s="7">
        <v>10</v>
      </c>
      <c r="F1029" s="7">
        <v>0.33329999999999999</v>
      </c>
      <c r="G1029" s="8" t="s">
        <v>217</v>
      </c>
      <c r="H1029" s="8" t="s">
        <v>425</v>
      </c>
      <c r="I1029" s="7" t="str">
        <f>_xlfn.CONCAT(Paper_Reference[[#This Row],[Lvl]:[Paper Description]])</f>
        <v>2G57WM301PM77SYN2 UV W BALL RET 14.7 X 144.1100.3333100WM301-6200IQ MAPLE LANE (CENTER)</v>
      </c>
      <c r="J1029" s="7">
        <f>COUNTIF(Paper_Reference[Duplicate Key],Paper_Reference[[#This Row],[Duplicate Key]])</f>
        <v>1</v>
      </c>
    </row>
    <row r="1030" spans="1:10">
      <c r="A1030" s="7">
        <v>2</v>
      </c>
      <c r="B1030" s="8" t="s">
        <v>512</v>
      </c>
      <c r="C1030" s="8" t="s">
        <v>285</v>
      </c>
      <c r="D1030" s="7">
        <v>1</v>
      </c>
      <c r="E1030" s="7">
        <v>10</v>
      </c>
      <c r="F1030" s="7">
        <v>0.25</v>
      </c>
      <c r="G1030" s="8" t="s">
        <v>217</v>
      </c>
      <c r="H1030" s="8" t="s">
        <v>3229</v>
      </c>
      <c r="I1030" s="7" t="str">
        <f>_xlfn.CONCAT(Paper_Reference[[#This Row],[Lvl]:[Paper Description]])</f>
        <v>2G57WM301PM81SYN2 UV BALL RET 13.868 X 1441100.25100WM301-6200IQ MAPLE LANE (C) 60 X 144</v>
      </c>
      <c r="J1030" s="7">
        <f>COUNTIF(Paper_Reference[Duplicate Key],Paper_Reference[[#This Row],[Duplicate Key]])</f>
        <v>1</v>
      </c>
    </row>
    <row r="1031" spans="1:10">
      <c r="A1031" s="7">
        <v>2</v>
      </c>
      <c r="B1031" s="8" t="s">
        <v>512</v>
      </c>
      <c r="C1031" s="8" t="s">
        <v>285</v>
      </c>
      <c r="D1031" s="7">
        <v>1</v>
      </c>
      <c r="E1031" s="7">
        <v>10</v>
      </c>
      <c r="F1031" s="7">
        <v>0.25</v>
      </c>
      <c r="G1031" s="8" t="s">
        <v>217</v>
      </c>
      <c r="H1031" s="8" t="s">
        <v>425</v>
      </c>
      <c r="I1031" s="7" t="str">
        <f>_xlfn.CONCAT(Paper_Reference[[#This Row],[Lvl]:[Paper Description]])</f>
        <v>2G57WM301PM81SYN2 UV BALL RET 13.868 X 1441100.25100WM301-6200IQ MAPLE LANE (CENTER)</v>
      </c>
      <c r="J1031" s="7">
        <f>COUNTIF(Paper_Reference[Duplicate Key],Paper_Reference[[#This Row],[Duplicate Key]])</f>
        <v>1</v>
      </c>
    </row>
    <row r="1032" spans="1:10">
      <c r="A1032" s="7">
        <v>2</v>
      </c>
      <c r="B1032" s="8" t="s">
        <v>588</v>
      </c>
      <c r="C1032" s="8" t="s">
        <v>358</v>
      </c>
      <c r="D1032" s="7">
        <v>1</v>
      </c>
      <c r="E1032" s="7">
        <v>10</v>
      </c>
      <c r="F1032" s="7">
        <v>1</v>
      </c>
      <c r="G1032" s="8" t="s">
        <v>218</v>
      </c>
      <c r="H1032" s="8" t="s">
        <v>426</v>
      </c>
      <c r="I1032" s="7" t="str">
        <f>_xlfn.CONCAT(Paper_Reference[[#This Row],[Lvl]:[Paper Description]])</f>
        <v>2G57WM311ASWGSYN2 UV W/WAY 42 7/8 X 145 1/41101100WM311-4300IQ MAPLE LANE LH</v>
      </c>
      <c r="J1032" s="7">
        <f>COUNTIF(Paper_Reference[Duplicate Key],Paper_Reference[[#This Row],[Duplicate Key]])</f>
        <v>1</v>
      </c>
    </row>
    <row r="1033" spans="1:10">
      <c r="A1033" s="7">
        <v>2</v>
      </c>
      <c r="B1033" s="8" t="s">
        <v>589</v>
      </c>
      <c r="C1033" s="8" t="s">
        <v>358</v>
      </c>
      <c r="D1033" s="7">
        <v>1</v>
      </c>
      <c r="E1033" s="7">
        <v>10</v>
      </c>
      <c r="F1033" s="7">
        <v>1</v>
      </c>
      <c r="G1033" s="8" t="s">
        <v>218</v>
      </c>
      <c r="H1033" s="8" t="s">
        <v>426</v>
      </c>
      <c r="I1033" s="7" t="str">
        <f>_xlfn.CONCAT(Paper_Reference[[#This Row],[Lvl]:[Paper Description]])</f>
        <v>2G57WM311PSWGSYN2 UV W/WAY 42 7/8 X 145 1/41101100WM311-4300IQ MAPLE LANE LH</v>
      </c>
      <c r="J1033" s="7">
        <f>COUNTIF(Paper_Reference[Duplicate Key],Paper_Reference[[#This Row],[Duplicate Key]])</f>
        <v>1</v>
      </c>
    </row>
    <row r="1034" spans="1:10">
      <c r="A1034" s="7">
        <v>2</v>
      </c>
      <c r="B1034" s="8" t="s">
        <v>513</v>
      </c>
      <c r="C1034" s="8" t="s">
        <v>286</v>
      </c>
      <c r="D1034" s="7">
        <v>1</v>
      </c>
      <c r="E1034" s="7">
        <v>10</v>
      </c>
      <c r="F1034" s="7">
        <v>0.33329999999999999</v>
      </c>
      <c r="G1034" s="8" t="s">
        <v>217</v>
      </c>
      <c r="H1034" s="8" t="s">
        <v>3229</v>
      </c>
      <c r="I1034" s="7" t="str">
        <f>_xlfn.CONCAT(Paper_Reference[[#This Row],[Lvl]:[Paper Description]])</f>
        <v>2G58WM301PM77SYN2 W BALL RET 14.7 X 144.001100.3333100WM301-6200IQ MAPLE LANE (C) 60 X 144</v>
      </c>
      <c r="J1034" s="7">
        <f>COUNTIF(Paper_Reference[Duplicate Key],Paper_Reference[[#This Row],[Duplicate Key]])</f>
        <v>1</v>
      </c>
    </row>
    <row r="1035" spans="1:10">
      <c r="A1035" s="7">
        <v>2</v>
      </c>
      <c r="B1035" s="8" t="s">
        <v>513</v>
      </c>
      <c r="C1035" s="8" t="s">
        <v>286</v>
      </c>
      <c r="D1035" s="7">
        <v>1</v>
      </c>
      <c r="E1035" s="7">
        <v>10</v>
      </c>
      <c r="F1035" s="7">
        <v>0.33329999999999999</v>
      </c>
      <c r="G1035" s="8" t="s">
        <v>217</v>
      </c>
      <c r="H1035" s="8" t="s">
        <v>425</v>
      </c>
      <c r="I1035" s="7" t="str">
        <f>_xlfn.CONCAT(Paper_Reference[[#This Row],[Lvl]:[Paper Description]])</f>
        <v>2G58WM301PM77SYN2 W BALL RET 14.7 X 144.001100.3333100WM301-6200IQ MAPLE LANE (CENTER)</v>
      </c>
      <c r="J1035" s="7">
        <f>COUNTIF(Paper_Reference[Duplicate Key],Paper_Reference[[#This Row],[Duplicate Key]])</f>
        <v>1</v>
      </c>
    </row>
    <row r="1036" spans="1:10">
      <c r="A1036" s="7">
        <v>2</v>
      </c>
      <c r="B1036" s="8" t="s">
        <v>514</v>
      </c>
      <c r="C1036" s="8" t="s">
        <v>287</v>
      </c>
      <c r="D1036" s="7">
        <v>1</v>
      </c>
      <c r="E1036" s="7">
        <v>10</v>
      </c>
      <c r="F1036" s="7">
        <v>0.25</v>
      </c>
      <c r="G1036" s="8" t="s">
        <v>217</v>
      </c>
      <c r="H1036" s="8" t="s">
        <v>3229</v>
      </c>
      <c r="I1036" s="7" t="str">
        <f>_xlfn.CONCAT(Paper_Reference[[#This Row],[Lvl]:[Paper Description]])</f>
        <v>2G58WM301PM81SYN2 BALL RET 13.868 X 1441100.25100WM301-6200IQ MAPLE LANE (C) 60 X 144</v>
      </c>
      <c r="J1036" s="7">
        <f>COUNTIF(Paper_Reference[Duplicate Key],Paper_Reference[[#This Row],[Duplicate Key]])</f>
        <v>1</v>
      </c>
    </row>
    <row r="1037" spans="1:10">
      <c r="A1037" s="7">
        <v>2</v>
      </c>
      <c r="B1037" s="8" t="s">
        <v>514</v>
      </c>
      <c r="C1037" s="8" t="s">
        <v>287</v>
      </c>
      <c r="D1037" s="7">
        <v>1</v>
      </c>
      <c r="E1037" s="7">
        <v>10</v>
      </c>
      <c r="F1037" s="7">
        <v>0.25</v>
      </c>
      <c r="G1037" s="8" t="s">
        <v>217</v>
      </c>
      <c r="H1037" s="8" t="s">
        <v>425</v>
      </c>
      <c r="I1037" s="7" t="str">
        <f>_xlfn.CONCAT(Paper_Reference[[#This Row],[Lvl]:[Paper Description]])</f>
        <v>2G58WM301PM81SYN2 BALL RET 13.868 X 1441100.25100WM301-6200IQ MAPLE LANE (CENTER)</v>
      </c>
      <c r="J1037" s="7">
        <f>COUNTIF(Paper_Reference[Duplicate Key],Paper_Reference[[#This Row],[Duplicate Key]])</f>
        <v>1</v>
      </c>
    </row>
    <row r="1038" spans="1:10">
      <c r="A1038" s="7">
        <v>2</v>
      </c>
      <c r="B1038" s="8" t="s">
        <v>590</v>
      </c>
      <c r="C1038" s="8" t="s">
        <v>359</v>
      </c>
      <c r="D1038" s="7">
        <v>1</v>
      </c>
      <c r="E1038" s="7">
        <v>10</v>
      </c>
      <c r="F1038" s="7">
        <v>1</v>
      </c>
      <c r="G1038" s="8" t="s">
        <v>218</v>
      </c>
      <c r="H1038" s="8" t="s">
        <v>426</v>
      </c>
      <c r="I1038" s="7" t="str">
        <f>_xlfn.CONCAT(Paper_Reference[[#This Row],[Lvl]:[Paper Description]])</f>
        <v>2G58WM311PSWGSYN2 W/WAY FILL 42 7/8X145 1/41101100WM311-4300IQ MAPLE LANE LH</v>
      </c>
      <c r="J1038" s="7">
        <f>COUNTIF(Paper_Reference[Duplicate Key],Paper_Reference[[#This Row],[Duplicate Key]])</f>
        <v>1</v>
      </c>
    </row>
    <row r="1039" spans="1:10">
      <c r="A1039" s="7">
        <v>2</v>
      </c>
      <c r="B1039" s="8" t="s">
        <v>515</v>
      </c>
      <c r="C1039" s="8" t="s">
        <v>288</v>
      </c>
      <c r="D1039" s="7">
        <v>1</v>
      </c>
      <c r="E1039" s="7">
        <v>10</v>
      </c>
      <c r="F1039" s="7">
        <v>0.25</v>
      </c>
      <c r="G1039" s="8" t="s">
        <v>217</v>
      </c>
      <c r="H1039" s="8" t="s">
        <v>3229</v>
      </c>
      <c r="I1039" s="7" t="str">
        <f>_xlfn.CONCAT(Paper_Reference[[#This Row],[Lvl]:[Paper Description]])</f>
        <v>2G59WM301AM38SYN3 BALL RET 13.87 X 1441100.25100WM301-6200IQ MAPLE LANE (C) 60 X 144</v>
      </c>
      <c r="J1039" s="7">
        <f>COUNTIF(Paper_Reference[Duplicate Key],Paper_Reference[[#This Row],[Duplicate Key]])</f>
        <v>1</v>
      </c>
    </row>
    <row r="1040" spans="1:10">
      <c r="A1040" s="7">
        <v>2</v>
      </c>
      <c r="B1040" s="8" t="s">
        <v>515</v>
      </c>
      <c r="C1040" s="8" t="s">
        <v>288</v>
      </c>
      <c r="D1040" s="7">
        <v>1</v>
      </c>
      <c r="E1040" s="7">
        <v>10</v>
      </c>
      <c r="F1040" s="7">
        <v>0.25</v>
      </c>
      <c r="G1040" s="8" t="s">
        <v>217</v>
      </c>
      <c r="H1040" s="8" t="s">
        <v>425</v>
      </c>
      <c r="I1040" s="7" t="str">
        <f>_xlfn.CONCAT(Paper_Reference[[#This Row],[Lvl]:[Paper Description]])</f>
        <v>2G59WM301AM38SYN3 BALL RET 13.87 X 1441100.25100WM301-6200IQ MAPLE LANE (CENTER)</v>
      </c>
      <c r="J1040" s="7">
        <f>COUNTIF(Paper_Reference[Duplicate Key],Paper_Reference[[#This Row],[Duplicate Key]])</f>
        <v>1</v>
      </c>
    </row>
    <row r="1041" spans="1:10">
      <c r="A1041" s="7">
        <v>2</v>
      </c>
      <c r="B1041" s="8" t="s">
        <v>516</v>
      </c>
      <c r="C1041" s="8" t="s">
        <v>289</v>
      </c>
      <c r="D1041" s="7">
        <v>1</v>
      </c>
      <c r="E1041" s="7">
        <v>10</v>
      </c>
      <c r="F1041" s="7">
        <v>0.33329999999999999</v>
      </c>
      <c r="G1041" s="8" t="s">
        <v>217</v>
      </c>
      <c r="H1041" s="8" t="s">
        <v>3229</v>
      </c>
      <c r="I1041" s="7" t="str">
        <f>_xlfn.CONCAT(Paper_Reference[[#This Row],[Lvl]:[Paper Description]])</f>
        <v>2G59WM301AM39SYN3 W BALL RET 14.7 X 1441100.3333100WM301-6200IQ MAPLE LANE (C) 60 X 144</v>
      </c>
      <c r="J1041" s="7">
        <f>COUNTIF(Paper_Reference[Duplicate Key],Paper_Reference[[#This Row],[Duplicate Key]])</f>
        <v>1</v>
      </c>
    </row>
    <row r="1042" spans="1:10">
      <c r="A1042" s="7">
        <v>2</v>
      </c>
      <c r="B1042" s="8" t="s">
        <v>516</v>
      </c>
      <c r="C1042" s="8" t="s">
        <v>289</v>
      </c>
      <c r="D1042" s="7">
        <v>1</v>
      </c>
      <c r="E1042" s="7">
        <v>10</v>
      </c>
      <c r="F1042" s="7">
        <v>0.33329999999999999</v>
      </c>
      <c r="G1042" s="8" t="s">
        <v>217</v>
      </c>
      <c r="H1042" s="8" t="s">
        <v>425</v>
      </c>
      <c r="I1042" s="7" t="str">
        <f>_xlfn.CONCAT(Paper_Reference[[#This Row],[Lvl]:[Paper Description]])</f>
        <v>2G59WM301AM39SYN3 W BALL RET 14.7 X 1441100.3333100WM301-6200IQ MAPLE LANE (CENTER)</v>
      </c>
      <c r="J1042" s="7">
        <f>COUNTIF(Paper_Reference[Duplicate Key],Paper_Reference[[#This Row],[Duplicate Key]])</f>
        <v>1</v>
      </c>
    </row>
    <row r="1043" spans="1:10">
      <c r="A1043" s="7">
        <v>2</v>
      </c>
      <c r="B1043" s="8" t="s">
        <v>591</v>
      </c>
      <c r="C1043" s="8" t="s">
        <v>360</v>
      </c>
      <c r="D1043" s="7">
        <v>1</v>
      </c>
      <c r="E1043" s="7">
        <v>10</v>
      </c>
      <c r="F1043" s="7">
        <v>1</v>
      </c>
      <c r="G1043" s="8" t="s">
        <v>218</v>
      </c>
      <c r="H1043" s="8" t="s">
        <v>426</v>
      </c>
      <c r="I1043" s="7" t="str">
        <f>_xlfn.CONCAT(Paper_Reference[[#This Row],[Lvl]:[Paper Description]])</f>
        <v>2G59WM311ASWGSYN3  WALKWAY 42 7/8 X 145 1/41101100WM311-4300IQ MAPLE LANE LH</v>
      </c>
      <c r="J1043" s="7">
        <f>COUNTIF(Paper_Reference[Duplicate Key],Paper_Reference[[#This Row],[Duplicate Key]])</f>
        <v>1</v>
      </c>
    </row>
    <row r="1044" spans="1:10">
      <c r="A1044" s="7">
        <v>2</v>
      </c>
      <c r="B1044" s="8" t="s">
        <v>592</v>
      </c>
      <c r="C1044" s="8" t="s">
        <v>360</v>
      </c>
      <c r="D1044" s="7">
        <v>1</v>
      </c>
      <c r="E1044" s="7">
        <v>10</v>
      </c>
      <c r="F1044" s="7">
        <v>1</v>
      </c>
      <c r="G1044" s="8" t="s">
        <v>218</v>
      </c>
      <c r="H1044" s="8" t="s">
        <v>426</v>
      </c>
      <c r="I1044" s="7" t="str">
        <f>_xlfn.CONCAT(Paper_Reference[[#This Row],[Lvl]:[Paper Description]])</f>
        <v>2G59WM311PSWGSYN3  WALKWAY 42 7/8 X 145 1/41101100WM311-4300IQ MAPLE LANE LH</v>
      </c>
      <c r="J1044" s="7">
        <f>COUNTIF(Paper_Reference[Duplicate Key],Paper_Reference[[#This Row],[Duplicate Key]])</f>
        <v>1</v>
      </c>
    </row>
    <row r="1045" spans="1:10">
      <c r="A1045" s="7">
        <v>2</v>
      </c>
      <c r="B1045" s="8" t="s">
        <v>1143</v>
      </c>
      <c r="C1045" s="8" t="s">
        <v>1123</v>
      </c>
      <c r="D1045" s="7">
        <v>1</v>
      </c>
      <c r="E1045" s="7">
        <v>10</v>
      </c>
      <c r="F1045" s="7">
        <v>1</v>
      </c>
      <c r="G1045" s="8" t="s">
        <v>976</v>
      </c>
      <c r="H1045" s="8" t="s">
        <v>984</v>
      </c>
      <c r="I1045" s="7" t="str">
        <f>_xlfn.CONCAT(Paper_Reference[[#This Row],[Lvl]:[Paper Description]])</f>
        <v>2G62WM331PRBZMURREY COMMON 42 1/2 X 144 1/21101100WM331-4300MURREY LANE (CENTER)</v>
      </c>
      <c r="J1045" s="7">
        <f>COUNTIF(Paper_Reference[Duplicate Key],Paper_Reference[[#This Row],[Duplicate Key]])</f>
        <v>1</v>
      </c>
    </row>
    <row r="1046" spans="1:10">
      <c r="A1046" s="7">
        <v>2</v>
      </c>
      <c r="B1046" s="8" t="s">
        <v>1168</v>
      </c>
      <c r="C1046" s="8" t="s">
        <v>1161</v>
      </c>
      <c r="D1046" s="7">
        <v>1</v>
      </c>
      <c r="E1046" s="7">
        <v>10</v>
      </c>
      <c r="F1046" s="7">
        <v>1</v>
      </c>
      <c r="G1046" s="8" t="s">
        <v>977</v>
      </c>
      <c r="H1046" s="8" t="s">
        <v>985</v>
      </c>
      <c r="I1046" s="7" t="str">
        <f>_xlfn.CONCAT(Paper_Reference[[#This Row],[Lvl]:[Paper Description]])</f>
        <v>2G64WM331SD480MURREY BOWLING PRINT 48 X 961101100WM331-5000MURREY LANE</v>
      </c>
      <c r="J1046" s="7">
        <f>COUNTIF(Paper_Reference[Duplicate Key],Paper_Reference[[#This Row],[Duplicate Key]])</f>
        <v>1</v>
      </c>
    </row>
    <row r="1047" spans="1:10">
      <c r="A1047" s="7">
        <v>2</v>
      </c>
      <c r="B1047" s="8" t="s">
        <v>4938</v>
      </c>
      <c r="C1047" s="8" t="s">
        <v>4467</v>
      </c>
      <c r="D1047" s="7">
        <v>1</v>
      </c>
      <c r="E1047" s="7">
        <v>10</v>
      </c>
      <c r="F1047" s="7">
        <v>1</v>
      </c>
      <c r="G1047" s="8" t="s">
        <v>4371</v>
      </c>
      <c r="H1047" s="8" t="s">
        <v>4372</v>
      </c>
      <c r="I1047" s="7" t="str">
        <f>_xlfn.CONCAT(Paper_Reference[[#This Row],[Lvl]:[Paper Description]])</f>
        <v>2G75SE101NPFUQ BLK 5 FT FILL PANEL 60 X 1441101100DS064-6200BLACK</v>
      </c>
      <c r="J1047" s="7">
        <f>COUNTIF(Paper_Reference[Duplicate Key],Paper_Reference[[#This Row],[Duplicate Key]])</f>
        <v>1</v>
      </c>
    </row>
    <row r="1048" spans="1:10">
      <c r="A1048" s="7">
        <v>2</v>
      </c>
      <c r="B1048" s="8" t="s">
        <v>1221</v>
      </c>
      <c r="C1048" s="8" t="s">
        <v>1217</v>
      </c>
      <c r="D1048" s="7">
        <v>1</v>
      </c>
      <c r="E1048" s="7">
        <v>10</v>
      </c>
      <c r="F1048" s="7">
        <v>1</v>
      </c>
      <c r="G1048" s="8" t="s">
        <v>979</v>
      </c>
      <c r="H1048" s="8" t="s">
        <v>987</v>
      </c>
      <c r="I1048" s="7" t="str">
        <f>_xlfn.CONCAT(Paper_Reference[[#This Row],[Lvl]:[Paper Description]])</f>
        <v>2G75WM521NPFUQ 5 FT FILLER PANEL 60 X 1441101100WM521-6200OPEN MAPLE LANE (L)</v>
      </c>
      <c r="J1048" s="7">
        <f>COUNTIF(Paper_Reference[Duplicate Key],Paper_Reference[[#This Row],[Duplicate Key]])</f>
        <v>1</v>
      </c>
    </row>
    <row r="1049" spans="1:10">
      <c r="A1049" s="7">
        <v>2</v>
      </c>
      <c r="B1049" s="8" t="s">
        <v>1232</v>
      </c>
      <c r="C1049" s="8" t="s">
        <v>1225</v>
      </c>
      <c r="D1049" s="7">
        <v>1</v>
      </c>
      <c r="E1049" s="7">
        <v>10</v>
      </c>
      <c r="F1049" s="7">
        <v>0.1111</v>
      </c>
      <c r="G1049" s="8" t="s">
        <v>980</v>
      </c>
      <c r="H1049" s="8" t="s">
        <v>988</v>
      </c>
      <c r="I1049" s="7" t="str">
        <f>_xlfn.CONCAT(Paper_Reference[[#This Row],[Lvl]:[Paper Description]])</f>
        <v>2G75WM531PQ07Q H66 WOOD U/FILLER 4 3/4 X 481100.1111100WM531-6200OPEN MAPLE LANE (R)</v>
      </c>
      <c r="J1049" s="7">
        <f>COUNTIF(Paper_Reference[Duplicate Key],Paper_Reference[[#This Row],[Duplicate Key]])</f>
        <v>1</v>
      </c>
    </row>
    <row r="1050" spans="1:10">
      <c r="A1050" s="7">
        <v>2</v>
      </c>
      <c r="B1050" s="8" t="s">
        <v>1222</v>
      </c>
      <c r="C1050" s="8" t="s">
        <v>1217</v>
      </c>
      <c r="D1050" s="7">
        <v>1</v>
      </c>
      <c r="E1050" s="7">
        <v>10</v>
      </c>
      <c r="F1050" s="7">
        <v>1</v>
      </c>
      <c r="G1050" s="8" t="s">
        <v>979</v>
      </c>
      <c r="H1050" s="8" t="s">
        <v>987</v>
      </c>
      <c r="I1050" s="7" t="str">
        <f>_xlfn.CONCAT(Paper_Reference[[#This Row],[Lvl]:[Paper Description]])</f>
        <v>2G76WM521NPFUQ 5 FT FILLER PANEL 60 X 1441101100WM521-6200OPEN MAPLE LANE (L)</v>
      </c>
      <c r="J1050" s="7">
        <f>COUNTIF(Paper_Reference[Duplicate Key],Paper_Reference[[#This Row],[Duplicate Key]])</f>
        <v>1</v>
      </c>
    </row>
    <row r="1051" spans="1:10">
      <c r="A1051" s="7">
        <v>2</v>
      </c>
      <c r="B1051" s="8" t="s">
        <v>1233</v>
      </c>
      <c r="C1051" s="8" t="s">
        <v>1226</v>
      </c>
      <c r="D1051" s="7">
        <v>1</v>
      </c>
      <c r="E1051" s="7">
        <v>10</v>
      </c>
      <c r="F1051" s="7">
        <v>3.3300000000000003E-2</v>
      </c>
      <c r="G1051" s="8" t="s">
        <v>980</v>
      </c>
      <c r="H1051" s="8" t="s">
        <v>988</v>
      </c>
      <c r="I1051" s="7" t="str">
        <f>_xlfn.CONCAT(Paper_Reference[[#This Row],[Lvl]:[Paper Description]])</f>
        <v>2G76WM531PQ46Q H66 HW MINI U/FILL 4 3/4X481100.0333100WM531-6200OPEN MAPLE LANE (R)</v>
      </c>
      <c r="J1051" s="7">
        <f>COUNTIF(Paper_Reference[Duplicate Key],Paper_Reference[[#This Row],[Duplicate Key]])</f>
        <v>1</v>
      </c>
    </row>
    <row r="1052" spans="1:10">
      <c r="A1052" s="7">
        <v>3</v>
      </c>
      <c r="B1052" s="8" t="s">
        <v>451</v>
      </c>
      <c r="C1052" s="8" t="s">
        <v>229</v>
      </c>
      <c r="D1052" s="7">
        <v>1</v>
      </c>
      <c r="E1052" s="7">
        <v>91</v>
      </c>
      <c r="F1052" s="7">
        <v>2</v>
      </c>
      <c r="G1052" s="8" t="s">
        <v>214</v>
      </c>
      <c r="H1052" s="8" t="s">
        <v>423</v>
      </c>
      <c r="I1052" s="7" t="str">
        <f>_xlfn.CONCAT(Paper_Reference[[#This Row],[Lvl]:[Paper Description]])</f>
        <v>3GIDBRUNSPPK10GLOW (LANE ONLY) PRO-LANE1912100WM991-4300MAPLE LANE PRINT (W)</v>
      </c>
      <c r="J1052" s="7">
        <f>COUNTIF(Paper_Reference[Duplicate Key],Paper_Reference[[#This Row],[Duplicate Key]])</f>
        <v>1</v>
      </c>
    </row>
    <row r="1053" spans="1:10">
      <c r="A1053" s="7">
        <v>3</v>
      </c>
      <c r="B1053" s="8" t="s">
        <v>451</v>
      </c>
      <c r="C1053" s="8" t="s">
        <v>229</v>
      </c>
      <c r="D1053" s="7">
        <v>1</v>
      </c>
      <c r="E1053" s="7">
        <v>91</v>
      </c>
      <c r="F1053" s="7">
        <v>4</v>
      </c>
      <c r="G1053" s="8" t="s">
        <v>214</v>
      </c>
      <c r="H1053" s="8" t="s">
        <v>423</v>
      </c>
      <c r="I1053" s="7" t="str">
        <f>_xlfn.CONCAT(Paper_Reference[[#This Row],[Lvl]:[Paper Description]])</f>
        <v>3GIDBRUNSPPK10GLOW (LANE ONLY) PRO-LANE1914100WM991-4300MAPLE LANE PRINT (W)</v>
      </c>
      <c r="J1053" s="7">
        <f>COUNTIF(Paper_Reference[Duplicate Key],Paper_Reference[[#This Row],[Duplicate Key]])</f>
        <v>1</v>
      </c>
    </row>
    <row r="1054" spans="1:10">
      <c r="A1054" s="7">
        <v>4</v>
      </c>
      <c r="B1054" s="8" t="s">
        <v>451</v>
      </c>
      <c r="C1054" s="8" t="s">
        <v>229</v>
      </c>
      <c r="D1054" s="7">
        <v>1</v>
      </c>
      <c r="E1054" s="7">
        <v>91</v>
      </c>
      <c r="F1054" s="7">
        <v>2</v>
      </c>
      <c r="G1054" s="8" t="s">
        <v>214</v>
      </c>
      <c r="H1054" s="8" t="s">
        <v>423</v>
      </c>
      <c r="I1054" s="7" t="str">
        <f>_xlfn.CONCAT(Paper_Reference[[#This Row],[Lvl]:[Paper Description]])</f>
        <v>4GIDBRUNSPPK10GLOW (LANE ONLY) PRO-LANE1912100WM991-4300MAPLE LANE PRINT (W)</v>
      </c>
      <c r="J1054" s="7">
        <f>COUNTIF(Paper_Reference[Duplicate Key],Paper_Reference[[#This Row],[Duplicate Key]])</f>
        <v>1</v>
      </c>
    </row>
    <row r="1055" spans="1:10">
      <c r="A1055" s="7">
        <v>4</v>
      </c>
      <c r="B1055" s="8" t="s">
        <v>452</v>
      </c>
      <c r="C1055" s="8" t="s">
        <v>230</v>
      </c>
      <c r="D1055" s="7">
        <v>1</v>
      </c>
      <c r="E1055" s="7">
        <v>91</v>
      </c>
      <c r="F1055" s="7">
        <v>2</v>
      </c>
      <c r="G1055" s="8" t="s">
        <v>214</v>
      </c>
      <c r="H1055" s="8" t="s">
        <v>423</v>
      </c>
      <c r="I1055" s="7" t="str">
        <f>_xlfn.CONCAT(Paper_Reference[[#This Row],[Lvl]:[Paper Description]])</f>
        <v>4GIDBRUNSPPK11GLOW (HEAD LANE ONLY) PRO-LANE1912100WM991-4300MAPLE LANE PRINT (W)</v>
      </c>
      <c r="J1055" s="7">
        <f>COUNTIF(Paper_Reference[Duplicate Key],Paper_Reference[[#This Row],[Duplicate Key]])</f>
        <v>1</v>
      </c>
    </row>
    <row r="1056" spans="1:10">
      <c r="A1056" s="7">
        <v>3</v>
      </c>
      <c r="B1056" s="8" t="s">
        <v>453</v>
      </c>
      <c r="C1056" s="8" t="s">
        <v>231</v>
      </c>
      <c r="D1056" s="7">
        <v>1</v>
      </c>
      <c r="E1056" s="7">
        <v>91</v>
      </c>
      <c r="F1056" s="7">
        <v>2</v>
      </c>
      <c r="G1056" s="8" t="s">
        <v>214</v>
      </c>
      <c r="H1056" s="8" t="s">
        <v>423</v>
      </c>
      <c r="I1056" s="7" t="str">
        <f>_xlfn.CONCAT(Paper_Reference[[#This Row],[Lvl]:[Paper Description]])</f>
        <v>3GIDBRUNSPPK12PRO II TEX (2 LANE PK) PROLANE1912100WM991-4300MAPLE LANE PRINT (W)</v>
      </c>
      <c r="J1056" s="7">
        <f>COUNTIF(Paper_Reference[Duplicate Key],Paper_Reference[[#This Row],[Duplicate Key]])</f>
        <v>1</v>
      </c>
    </row>
    <row r="1057" spans="1:10">
      <c r="A1057" s="7">
        <v>3</v>
      </c>
      <c r="B1057" s="8" t="s">
        <v>453</v>
      </c>
      <c r="C1057" s="8" t="s">
        <v>231</v>
      </c>
      <c r="D1057" s="7">
        <v>1</v>
      </c>
      <c r="E1057" s="7">
        <v>91</v>
      </c>
      <c r="F1057" s="7">
        <v>4</v>
      </c>
      <c r="G1057" s="8" t="s">
        <v>214</v>
      </c>
      <c r="H1057" s="8" t="s">
        <v>423</v>
      </c>
      <c r="I1057" s="7" t="str">
        <f>_xlfn.CONCAT(Paper_Reference[[#This Row],[Lvl]:[Paper Description]])</f>
        <v>3GIDBRUNSPPK12PRO II TEX (2 LANE PK) PROLANE1914100WM991-4300MAPLE LANE PRINT (W)</v>
      </c>
      <c r="J1057" s="7">
        <f>COUNTIF(Paper_Reference[Duplicate Key],Paper_Reference[[#This Row],[Duplicate Key]])</f>
        <v>1</v>
      </c>
    </row>
    <row r="1058" spans="1:10">
      <c r="A1058" s="7">
        <v>4</v>
      </c>
      <c r="B1058" s="8" t="s">
        <v>453</v>
      </c>
      <c r="C1058" s="8" t="s">
        <v>231</v>
      </c>
      <c r="D1058" s="7">
        <v>1</v>
      </c>
      <c r="E1058" s="7">
        <v>91</v>
      </c>
      <c r="F1058" s="7">
        <v>1</v>
      </c>
      <c r="G1058" s="8" t="s">
        <v>215</v>
      </c>
      <c r="H1058" s="8" t="s">
        <v>422</v>
      </c>
      <c r="I1058" s="7" t="str">
        <f>_xlfn.CONCAT(Paper_Reference[[#This Row],[Lvl]:[Paper Description]])</f>
        <v>4GIDBRUNSPPK12PRO II TEX (2 LANE PK) PROLANE1911100WM101-6200RIGHT BRUNSWICK MAPLE (W)</v>
      </c>
      <c r="J1058" s="7">
        <f>COUNTIF(Paper_Reference[Duplicate Key],Paper_Reference[[#This Row],[Duplicate Key]])</f>
        <v>1</v>
      </c>
    </row>
    <row r="1059" spans="1:10">
      <c r="A1059" s="7">
        <v>4</v>
      </c>
      <c r="B1059" s="8" t="s">
        <v>453</v>
      </c>
      <c r="C1059" s="8" t="s">
        <v>231</v>
      </c>
      <c r="D1059" s="7">
        <v>1</v>
      </c>
      <c r="E1059" s="7">
        <v>91</v>
      </c>
      <c r="F1059" s="7">
        <v>1</v>
      </c>
      <c r="G1059" s="8" t="s">
        <v>216</v>
      </c>
      <c r="H1059" s="8" t="s">
        <v>424</v>
      </c>
      <c r="I1059" s="7" t="str">
        <f>_xlfn.CONCAT(Paper_Reference[[#This Row],[Lvl]:[Paper Description]])</f>
        <v>4GIDBRUNSPPK12PRO II TEX (2 LANE PK) PROLANE1911100WM981-6200LEFT BRUNSWICK MAPLE (W)</v>
      </c>
      <c r="J1059" s="7">
        <f>COUNTIF(Paper_Reference[Duplicate Key],Paper_Reference[[#This Row],[Duplicate Key]])</f>
        <v>1</v>
      </c>
    </row>
    <row r="1060" spans="1:10">
      <c r="A1060" s="7">
        <v>4</v>
      </c>
      <c r="B1060" s="8" t="s">
        <v>453</v>
      </c>
      <c r="C1060" s="8" t="s">
        <v>231</v>
      </c>
      <c r="D1060" s="7">
        <v>1</v>
      </c>
      <c r="E1060" s="7">
        <v>91</v>
      </c>
      <c r="F1060" s="7">
        <v>2</v>
      </c>
      <c r="G1060" s="8" t="s">
        <v>214</v>
      </c>
      <c r="H1060" s="8" t="s">
        <v>423</v>
      </c>
      <c r="I1060" s="7" t="str">
        <f>_xlfn.CONCAT(Paper_Reference[[#This Row],[Lvl]:[Paper Description]])</f>
        <v>4GIDBRUNSPPK12PRO II TEX (2 LANE PK) PROLANE1912100WM991-4300MAPLE LANE PRINT (W)</v>
      </c>
      <c r="J1060" s="7">
        <f>COUNTIF(Paper_Reference[Duplicate Key],Paper_Reference[[#This Row],[Duplicate Key]])</f>
        <v>1</v>
      </c>
    </row>
    <row r="1061" spans="1:10">
      <c r="A1061" s="7">
        <v>4</v>
      </c>
      <c r="B1061" s="8" t="s">
        <v>481</v>
      </c>
      <c r="C1061" s="8" t="s">
        <v>257</v>
      </c>
      <c r="D1061" s="7">
        <v>1</v>
      </c>
      <c r="E1061" s="7">
        <v>91</v>
      </c>
      <c r="F1061" s="7">
        <v>1</v>
      </c>
      <c r="G1061" s="8" t="s">
        <v>215</v>
      </c>
      <c r="H1061" s="8" t="s">
        <v>422</v>
      </c>
      <c r="I1061" s="7" t="str">
        <f>_xlfn.CONCAT(Paper_Reference[[#This Row],[Lvl]:[Paper Description]])</f>
        <v>4GIDBRUNSPPK13PRO II TEX (APPR ONLY) PROLANE1911100WM101-6200RIGHT BRUNSWICK MAPLE (W)</v>
      </c>
      <c r="J1061" s="7">
        <f>COUNTIF(Paper_Reference[Duplicate Key],Paper_Reference[[#This Row],[Duplicate Key]])</f>
        <v>1</v>
      </c>
    </row>
    <row r="1062" spans="1:10">
      <c r="A1062" s="7">
        <v>4</v>
      </c>
      <c r="B1062" s="8" t="s">
        <v>481</v>
      </c>
      <c r="C1062" s="8" t="s">
        <v>257</v>
      </c>
      <c r="D1062" s="7">
        <v>1</v>
      </c>
      <c r="E1062" s="7">
        <v>91</v>
      </c>
      <c r="F1062" s="7">
        <v>1</v>
      </c>
      <c r="G1062" s="8" t="s">
        <v>216</v>
      </c>
      <c r="H1062" s="8" t="s">
        <v>424</v>
      </c>
      <c r="I1062" s="7" t="str">
        <f>_xlfn.CONCAT(Paper_Reference[[#This Row],[Lvl]:[Paper Description]])</f>
        <v>4GIDBRUNSPPK13PRO II TEX (APPR ONLY) PROLANE1911100WM981-6200LEFT BRUNSWICK MAPLE (W)</v>
      </c>
      <c r="J1062" s="7">
        <f>COUNTIF(Paper_Reference[Duplicate Key],Paper_Reference[[#This Row],[Duplicate Key]])</f>
        <v>1</v>
      </c>
    </row>
    <row r="1063" spans="1:10">
      <c r="A1063" s="7">
        <v>3</v>
      </c>
      <c r="B1063" s="8" t="s">
        <v>148</v>
      </c>
      <c r="C1063" s="8" t="s">
        <v>149</v>
      </c>
      <c r="D1063" s="7">
        <v>1</v>
      </c>
      <c r="E1063" s="7">
        <v>91</v>
      </c>
      <c r="F1063" s="7">
        <v>2</v>
      </c>
      <c r="G1063" s="8" t="s">
        <v>214</v>
      </c>
      <c r="H1063" s="8" t="s">
        <v>423</v>
      </c>
      <c r="I1063" s="7" t="str">
        <f>_xlfn.CONCAT(Paper_Reference[[#This Row],[Lvl]:[Paper Description]])</f>
        <v>3GIDBRUNSPPK15PRO II TEX (2 LANE PK) W/ #101912100WM991-4300MAPLE LANE PRINT (W)</v>
      </c>
      <c r="J1063" s="7">
        <f>COUNTIF(Paper_Reference[Duplicate Key],Paper_Reference[[#This Row],[Duplicate Key]])</f>
        <v>1</v>
      </c>
    </row>
    <row r="1064" spans="1:10">
      <c r="A1064" s="7">
        <v>3</v>
      </c>
      <c r="B1064" s="8" t="s">
        <v>148</v>
      </c>
      <c r="C1064" s="8" t="s">
        <v>149</v>
      </c>
      <c r="D1064" s="7">
        <v>1</v>
      </c>
      <c r="E1064" s="7">
        <v>91</v>
      </c>
      <c r="F1064" s="7">
        <v>4</v>
      </c>
      <c r="G1064" s="8" t="s">
        <v>214</v>
      </c>
      <c r="H1064" s="8" t="s">
        <v>423</v>
      </c>
      <c r="I1064" s="7" t="str">
        <f>_xlfn.CONCAT(Paper_Reference[[#This Row],[Lvl]:[Paper Description]])</f>
        <v>3GIDBRUNSPPK15PRO II TEX (2 LANE PK) W/ #101914100WM991-4300MAPLE LANE PRINT (W)</v>
      </c>
      <c r="J1064" s="7">
        <f>COUNTIF(Paper_Reference[Duplicate Key],Paper_Reference[[#This Row],[Duplicate Key]])</f>
        <v>1</v>
      </c>
    </row>
    <row r="1065" spans="1:10">
      <c r="A1065" s="7">
        <v>4</v>
      </c>
      <c r="B1065" s="8" t="s">
        <v>148</v>
      </c>
      <c r="C1065" s="8" t="s">
        <v>149</v>
      </c>
      <c r="D1065" s="7">
        <v>1</v>
      </c>
      <c r="E1065" s="7">
        <v>91</v>
      </c>
      <c r="F1065" s="7">
        <v>1</v>
      </c>
      <c r="G1065" s="8" t="s">
        <v>215</v>
      </c>
      <c r="H1065" s="8" t="s">
        <v>422</v>
      </c>
      <c r="I1065" s="7" t="str">
        <f>_xlfn.CONCAT(Paper_Reference[[#This Row],[Lvl]:[Paper Description]])</f>
        <v>4GIDBRUNSPPK15PRO II TEX (2 LANE PK) W/ #101911100WM101-6200RIGHT BRUNSWICK MAPLE (W)</v>
      </c>
      <c r="J1065" s="7">
        <f>COUNTIF(Paper_Reference[Duplicate Key],Paper_Reference[[#This Row],[Duplicate Key]])</f>
        <v>1</v>
      </c>
    </row>
    <row r="1066" spans="1:10">
      <c r="A1066" s="7">
        <v>4</v>
      </c>
      <c r="B1066" s="8" t="s">
        <v>148</v>
      </c>
      <c r="C1066" s="8" t="s">
        <v>149</v>
      </c>
      <c r="D1066" s="7">
        <v>1</v>
      </c>
      <c r="E1066" s="7">
        <v>91</v>
      </c>
      <c r="F1066" s="7">
        <v>1</v>
      </c>
      <c r="G1066" s="8" t="s">
        <v>216</v>
      </c>
      <c r="H1066" s="8" t="s">
        <v>424</v>
      </c>
      <c r="I1066" s="7" t="str">
        <f>_xlfn.CONCAT(Paper_Reference[[#This Row],[Lvl]:[Paper Description]])</f>
        <v>4GIDBRUNSPPK15PRO II TEX (2 LANE PK) W/ #101911100WM981-6200LEFT BRUNSWICK MAPLE (W)</v>
      </c>
      <c r="J1066" s="7">
        <f>COUNTIF(Paper_Reference[Duplicate Key],Paper_Reference[[#This Row],[Duplicate Key]])</f>
        <v>1</v>
      </c>
    </row>
    <row r="1067" spans="1:10">
      <c r="A1067" s="7">
        <v>4</v>
      </c>
      <c r="B1067" s="8" t="s">
        <v>148</v>
      </c>
      <c r="C1067" s="8" t="s">
        <v>149</v>
      </c>
      <c r="D1067" s="7">
        <v>1</v>
      </c>
      <c r="E1067" s="7">
        <v>91</v>
      </c>
      <c r="F1067" s="7">
        <v>2</v>
      </c>
      <c r="G1067" s="8" t="s">
        <v>214</v>
      </c>
      <c r="H1067" s="8" t="s">
        <v>423</v>
      </c>
      <c r="I1067" s="7" t="str">
        <f>_xlfn.CONCAT(Paper_Reference[[#This Row],[Lvl]:[Paper Description]])</f>
        <v>4GIDBRUNSPPK15PRO II TEX (2 LANE PK) W/ #101912100WM991-4300MAPLE LANE PRINT (W)</v>
      </c>
      <c r="J1067" s="7">
        <f>COUNTIF(Paper_Reference[Duplicate Key],Paper_Reference[[#This Row],[Duplicate Key]])</f>
        <v>1</v>
      </c>
    </row>
    <row r="1068" spans="1:10">
      <c r="A1068" s="7">
        <v>3</v>
      </c>
      <c r="B1068" s="8" t="s">
        <v>454</v>
      </c>
      <c r="C1068" s="8" t="s">
        <v>232</v>
      </c>
      <c r="D1068" s="7">
        <v>1</v>
      </c>
      <c r="E1068" s="7">
        <v>91</v>
      </c>
      <c r="F1068" s="7">
        <v>2</v>
      </c>
      <c r="G1068" s="8" t="s">
        <v>214</v>
      </c>
      <c r="H1068" s="8" t="s">
        <v>423</v>
      </c>
      <c r="I1068" s="7" t="str">
        <f>_xlfn.CONCAT(Paper_Reference[[#This Row],[Lvl]:[Paper Description]])</f>
        <v>3GIDBRUNSPPK16GLOW (LANE ONLY)PROLANE W/ #101912100WM991-4300MAPLE LANE PRINT (W)</v>
      </c>
      <c r="J1068" s="7">
        <f>COUNTIF(Paper_Reference[Duplicate Key],Paper_Reference[[#This Row],[Duplicate Key]])</f>
        <v>1</v>
      </c>
    </row>
    <row r="1069" spans="1:10">
      <c r="A1069" s="7">
        <v>3</v>
      </c>
      <c r="B1069" s="8" t="s">
        <v>454</v>
      </c>
      <c r="C1069" s="8" t="s">
        <v>232</v>
      </c>
      <c r="D1069" s="7">
        <v>1</v>
      </c>
      <c r="E1069" s="7">
        <v>91</v>
      </c>
      <c r="F1069" s="7">
        <v>4</v>
      </c>
      <c r="G1069" s="8" t="s">
        <v>214</v>
      </c>
      <c r="H1069" s="8" t="s">
        <v>423</v>
      </c>
      <c r="I1069" s="7" t="str">
        <f>_xlfn.CONCAT(Paper_Reference[[#This Row],[Lvl]:[Paper Description]])</f>
        <v>3GIDBRUNSPPK16GLOW (LANE ONLY)PROLANE W/ #101914100WM991-4300MAPLE LANE PRINT (W)</v>
      </c>
      <c r="J1069" s="7">
        <f>COUNTIF(Paper_Reference[Duplicate Key],Paper_Reference[[#This Row],[Duplicate Key]])</f>
        <v>1</v>
      </c>
    </row>
    <row r="1070" spans="1:10">
      <c r="A1070" s="7">
        <v>4</v>
      </c>
      <c r="B1070" s="8" t="s">
        <v>454</v>
      </c>
      <c r="C1070" s="8" t="s">
        <v>232</v>
      </c>
      <c r="D1070" s="7">
        <v>1</v>
      </c>
      <c r="E1070" s="7">
        <v>91</v>
      </c>
      <c r="F1070" s="7">
        <v>2</v>
      </c>
      <c r="G1070" s="8" t="s">
        <v>214</v>
      </c>
      <c r="H1070" s="8" t="s">
        <v>423</v>
      </c>
      <c r="I1070" s="7" t="str">
        <f>_xlfn.CONCAT(Paper_Reference[[#This Row],[Lvl]:[Paper Description]])</f>
        <v>4GIDBRUNSPPK16GLOW (LANE ONLY)PROLANE W/ #101912100WM991-4300MAPLE LANE PRINT (W)</v>
      </c>
      <c r="J1070" s="7">
        <f>COUNTIF(Paper_Reference[Duplicate Key],Paper_Reference[[#This Row],[Duplicate Key]])</f>
        <v>1</v>
      </c>
    </row>
    <row r="1071" spans="1:10">
      <c r="A1071" s="7">
        <v>4</v>
      </c>
      <c r="B1071" s="8" t="s">
        <v>455</v>
      </c>
      <c r="C1071" s="8" t="s">
        <v>233</v>
      </c>
      <c r="D1071" s="7">
        <v>1</v>
      </c>
      <c r="E1071" s="7">
        <v>91</v>
      </c>
      <c r="F1071" s="7">
        <v>2</v>
      </c>
      <c r="G1071" s="8" t="s">
        <v>214</v>
      </c>
      <c r="H1071" s="8" t="s">
        <v>423</v>
      </c>
      <c r="I1071" s="7" t="str">
        <f>_xlfn.CONCAT(Paper_Reference[[#This Row],[Lvl]:[Paper Description]])</f>
        <v>4GIDBRUNSPPK17GLOW (HEAD L/O) PROLANE W/ #101912100WM991-4300MAPLE LANE PRINT (W)</v>
      </c>
      <c r="J1071" s="7">
        <f>COUNTIF(Paper_Reference[Duplicate Key],Paper_Reference[[#This Row],[Duplicate Key]])</f>
        <v>1</v>
      </c>
    </row>
    <row r="1072" spans="1:10">
      <c r="A1072" s="7">
        <v>4</v>
      </c>
      <c r="B1072" s="8" t="s">
        <v>482</v>
      </c>
      <c r="C1072" s="8" t="s">
        <v>258</v>
      </c>
      <c r="D1072" s="7">
        <v>1</v>
      </c>
      <c r="E1072" s="7">
        <v>91</v>
      </c>
      <c r="F1072" s="7">
        <v>1</v>
      </c>
      <c r="G1072" s="8" t="s">
        <v>215</v>
      </c>
      <c r="H1072" s="8" t="s">
        <v>422</v>
      </c>
      <c r="I1072" s="7" t="str">
        <f>_xlfn.CONCAT(Paper_Reference[[#This Row],[Lvl]:[Paper Description]])</f>
        <v>4GIDBRUNSPPK18PRO II TEX (A/O)PROLANE W/ #101911100WM101-6200RIGHT BRUNSWICK MAPLE (W)</v>
      </c>
      <c r="J1072" s="7">
        <f>COUNTIF(Paper_Reference[Duplicate Key],Paper_Reference[[#This Row],[Duplicate Key]])</f>
        <v>1</v>
      </c>
    </row>
    <row r="1073" spans="1:10">
      <c r="A1073" s="7">
        <v>4</v>
      </c>
      <c r="B1073" s="8" t="s">
        <v>482</v>
      </c>
      <c r="C1073" s="8" t="s">
        <v>258</v>
      </c>
      <c r="D1073" s="7">
        <v>1</v>
      </c>
      <c r="E1073" s="7">
        <v>91</v>
      </c>
      <c r="F1073" s="7">
        <v>1</v>
      </c>
      <c r="G1073" s="8" t="s">
        <v>216</v>
      </c>
      <c r="H1073" s="8" t="s">
        <v>424</v>
      </c>
      <c r="I1073" s="7" t="str">
        <f>_xlfn.CONCAT(Paper_Reference[[#This Row],[Lvl]:[Paper Description]])</f>
        <v>4GIDBRUNSPPK18PRO II TEX (A/O)PROLANE W/ #101911100WM981-6200LEFT BRUNSWICK MAPLE (W)</v>
      </c>
      <c r="J1073" s="7">
        <f>COUNTIF(Paper_Reference[Duplicate Key],Paper_Reference[[#This Row],[Duplicate Key]])</f>
        <v>1</v>
      </c>
    </row>
    <row r="1074" spans="1:10">
      <c r="A1074" s="7">
        <v>3</v>
      </c>
      <c r="B1074" s="8" t="s">
        <v>456</v>
      </c>
      <c r="C1074" s="8" t="s">
        <v>234</v>
      </c>
      <c r="D1074" s="7">
        <v>1</v>
      </c>
      <c r="E1074" s="7">
        <v>91</v>
      </c>
      <c r="F1074" s="7">
        <v>2</v>
      </c>
      <c r="G1074" s="8" t="s">
        <v>214</v>
      </c>
      <c r="H1074" s="8" t="s">
        <v>423</v>
      </c>
      <c r="I1074" s="7" t="str">
        <f>_xlfn.CONCAT(Paper_Reference[[#This Row],[Lvl]:[Paper Description]])</f>
        <v>3GIDBRUNSPPK19PRO II (2 LANE PK) W/ #101912100WM991-4300MAPLE LANE PRINT (W)</v>
      </c>
      <c r="J1074" s="7">
        <f>COUNTIF(Paper_Reference[Duplicate Key],Paper_Reference[[#This Row],[Duplicate Key]])</f>
        <v>1</v>
      </c>
    </row>
    <row r="1075" spans="1:10">
      <c r="A1075" s="7">
        <v>3</v>
      </c>
      <c r="B1075" s="8" t="s">
        <v>456</v>
      </c>
      <c r="C1075" s="8" t="s">
        <v>234</v>
      </c>
      <c r="D1075" s="7">
        <v>1</v>
      </c>
      <c r="E1075" s="7">
        <v>91</v>
      </c>
      <c r="F1075" s="7">
        <v>4</v>
      </c>
      <c r="G1075" s="8" t="s">
        <v>214</v>
      </c>
      <c r="H1075" s="8" t="s">
        <v>423</v>
      </c>
      <c r="I1075" s="7" t="str">
        <f>_xlfn.CONCAT(Paper_Reference[[#This Row],[Lvl]:[Paper Description]])</f>
        <v>3GIDBRUNSPPK19PRO II (2 LANE PK) W/ #101914100WM991-4300MAPLE LANE PRINT (W)</v>
      </c>
      <c r="J1075" s="7">
        <f>COUNTIF(Paper_Reference[Duplicate Key],Paper_Reference[[#This Row],[Duplicate Key]])</f>
        <v>1</v>
      </c>
    </row>
    <row r="1076" spans="1:10">
      <c r="A1076" s="7">
        <v>4</v>
      </c>
      <c r="B1076" s="8" t="s">
        <v>456</v>
      </c>
      <c r="C1076" s="8" t="s">
        <v>234</v>
      </c>
      <c r="D1076" s="7">
        <v>1</v>
      </c>
      <c r="E1076" s="7">
        <v>91</v>
      </c>
      <c r="F1076" s="7">
        <v>1</v>
      </c>
      <c r="G1076" s="8" t="s">
        <v>215</v>
      </c>
      <c r="H1076" s="8" t="s">
        <v>422</v>
      </c>
      <c r="I1076" s="7" t="str">
        <f>_xlfn.CONCAT(Paper_Reference[[#This Row],[Lvl]:[Paper Description]])</f>
        <v>4GIDBRUNSPPK19PRO II (2 LANE PK) W/ #101911100WM101-6200RIGHT BRUNSWICK MAPLE (W)</v>
      </c>
      <c r="J1076" s="7">
        <f>COUNTIF(Paper_Reference[Duplicate Key],Paper_Reference[[#This Row],[Duplicate Key]])</f>
        <v>1</v>
      </c>
    </row>
    <row r="1077" spans="1:10">
      <c r="A1077" s="7">
        <v>4</v>
      </c>
      <c r="B1077" s="8" t="s">
        <v>456</v>
      </c>
      <c r="C1077" s="8" t="s">
        <v>234</v>
      </c>
      <c r="D1077" s="7">
        <v>1</v>
      </c>
      <c r="E1077" s="7">
        <v>91</v>
      </c>
      <c r="F1077" s="7">
        <v>1</v>
      </c>
      <c r="G1077" s="8" t="s">
        <v>216</v>
      </c>
      <c r="H1077" s="8" t="s">
        <v>424</v>
      </c>
      <c r="I1077" s="7" t="str">
        <f>_xlfn.CONCAT(Paper_Reference[[#This Row],[Lvl]:[Paper Description]])</f>
        <v>4GIDBRUNSPPK19PRO II (2 LANE PK) W/ #101911100WM981-6200LEFT BRUNSWICK MAPLE (W)</v>
      </c>
      <c r="J1077" s="7">
        <f>COUNTIF(Paper_Reference[Duplicate Key],Paper_Reference[[#This Row],[Duplicate Key]])</f>
        <v>1</v>
      </c>
    </row>
    <row r="1078" spans="1:10">
      <c r="A1078" s="7">
        <v>4</v>
      </c>
      <c r="B1078" s="8" t="s">
        <v>456</v>
      </c>
      <c r="C1078" s="8" t="s">
        <v>234</v>
      </c>
      <c r="D1078" s="7">
        <v>1</v>
      </c>
      <c r="E1078" s="7">
        <v>91</v>
      </c>
      <c r="F1078" s="7">
        <v>2</v>
      </c>
      <c r="G1078" s="8" t="s">
        <v>214</v>
      </c>
      <c r="H1078" s="8" t="s">
        <v>423</v>
      </c>
      <c r="I1078" s="7" t="str">
        <f>_xlfn.CONCAT(Paper_Reference[[#This Row],[Lvl]:[Paper Description]])</f>
        <v>4GIDBRUNSPPK19PRO II (2 LANE PK) W/ #101912100WM991-4300MAPLE LANE PRINT (W)</v>
      </c>
      <c r="J1078" s="7">
        <f>COUNTIF(Paper_Reference[Duplicate Key],Paper_Reference[[#This Row],[Duplicate Key]])</f>
        <v>1</v>
      </c>
    </row>
    <row r="1079" spans="1:10">
      <c r="A1079" s="7">
        <v>3</v>
      </c>
      <c r="B1079" s="8" t="s">
        <v>457</v>
      </c>
      <c r="C1079" s="8" t="s">
        <v>235</v>
      </c>
      <c r="D1079" s="7">
        <v>1</v>
      </c>
      <c r="E1079" s="7">
        <v>91</v>
      </c>
      <c r="F1079" s="7">
        <v>1</v>
      </c>
      <c r="G1079" s="8" t="s">
        <v>214</v>
      </c>
      <c r="H1079" s="8" t="s">
        <v>423</v>
      </c>
      <c r="I1079" s="7" t="str">
        <f>_xlfn.CONCAT(Paper_Reference[[#This Row],[Lvl]:[Paper Description]])</f>
        <v>3GIDBRUNSPPK20PRO II TEX (ODD LANE PK) W/ #11911100WM991-4300MAPLE LANE PRINT (W)</v>
      </c>
      <c r="J1079" s="7">
        <f>COUNTIF(Paper_Reference[Duplicate Key],Paper_Reference[[#This Row],[Duplicate Key]])</f>
        <v>1</v>
      </c>
    </row>
    <row r="1080" spans="1:10">
      <c r="A1080" s="7">
        <v>3</v>
      </c>
      <c r="B1080" s="8" t="s">
        <v>457</v>
      </c>
      <c r="C1080" s="8" t="s">
        <v>235</v>
      </c>
      <c r="D1080" s="7">
        <v>1</v>
      </c>
      <c r="E1080" s="7">
        <v>91</v>
      </c>
      <c r="F1080" s="7">
        <v>2</v>
      </c>
      <c r="G1080" s="8" t="s">
        <v>214</v>
      </c>
      <c r="H1080" s="8" t="s">
        <v>423</v>
      </c>
      <c r="I1080" s="7" t="str">
        <f>_xlfn.CONCAT(Paper_Reference[[#This Row],[Lvl]:[Paper Description]])</f>
        <v>3GIDBRUNSPPK20PRO II TEX (ODD LANE PK) W/ #11912100WM991-4300MAPLE LANE PRINT (W)</v>
      </c>
      <c r="J1080" s="7">
        <f>COUNTIF(Paper_Reference[Duplicate Key],Paper_Reference[[#This Row],[Duplicate Key]])</f>
        <v>1</v>
      </c>
    </row>
    <row r="1081" spans="1:10">
      <c r="A1081" s="7">
        <v>4</v>
      </c>
      <c r="B1081" s="8" t="s">
        <v>457</v>
      </c>
      <c r="C1081" s="8" t="s">
        <v>235</v>
      </c>
      <c r="D1081" s="7">
        <v>1</v>
      </c>
      <c r="E1081" s="7">
        <v>91</v>
      </c>
      <c r="F1081" s="7">
        <v>1</v>
      </c>
      <c r="G1081" s="8" t="s">
        <v>216</v>
      </c>
      <c r="H1081" s="8" t="s">
        <v>424</v>
      </c>
      <c r="I1081" s="7" t="str">
        <f>_xlfn.CONCAT(Paper_Reference[[#This Row],[Lvl]:[Paper Description]])</f>
        <v>4GIDBRUNSPPK20PRO II TEX (ODD LANE PK) W/ #11911100WM981-6200LEFT BRUNSWICK MAPLE (W)</v>
      </c>
      <c r="J1081" s="7">
        <f>COUNTIF(Paper_Reference[Duplicate Key],Paper_Reference[[#This Row],[Duplicate Key]])</f>
        <v>1</v>
      </c>
    </row>
    <row r="1082" spans="1:10">
      <c r="A1082" s="7">
        <v>4</v>
      </c>
      <c r="B1082" s="8" t="s">
        <v>457</v>
      </c>
      <c r="C1082" s="8" t="s">
        <v>235</v>
      </c>
      <c r="D1082" s="7">
        <v>1</v>
      </c>
      <c r="E1082" s="7">
        <v>91</v>
      </c>
      <c r="F1082" s="7">
        <v>1</v>
      </c>
      <c r="G1082" s="8" t="s">
        <v>214</v>
      </c>
      <c r="H1082" s="8" t="s">
        <v>423</v>
      </c>
      <c r="I1082" s="7" t="str">
        <f>_xlfn.CONCAT(Paper_Reference[[#This Row],[Lvl]:[Paper Description]])</f>
        <v>4GIDBRUNSPPK20PRO II TEX (ODD LANE PK) W/ #11911100WM991-4300MAPLE LANE PRINT (W)</v>
      </c>
      <c r="J1082" s="7">
        <f>COUNTIF(Paper_Reference[Duplicate Key],Paper_Reference[[#This Row],[Duplicate Key]])</f>
        <v>1</v>
      </c>
    </row>
    <row r="1083" spans="1:10">
      <c r="A1083" s="7">
        <v>3</v>
      </c>
      <c r="B1083" s="8" t="s">
        <v>1093</v>
      </c>
      <c r="C1083" s="8" t="s">
        <v>1060</v>
      </c>
      <c r="D1083" s="7">
        <v>1</v>
      </c>
      <c r="E1083" s="7">
        <v>91</v>
      </c>
      <c r="F1083" s="7">
        <v>15</v>
      </c>
      <c r="G1083" s="8" t="s">
        <v>975</v>
      </c>
      <c r="H1083" s="8" t="s">
        <v>983</v>
      </c>
      <c r="I1083" s="7" t="str">
        <f>_xlfn.CONCAT(Paper_Reference[[#This Row],[Lvl]:[Paper Description]])</f>
        <v>3GIDBRUNSPPK21PRO TEX RET CUSTOM BRUNS LOGO19115100WM111-6200RETURN MAPLE PRINT</v>
      </c>
      <c r="J1083" s="7">
        <f>COUNTIF(Paper_Reference[Duplicate Key],Paper_Reference[[#This Row],[Duplicate Key]])</f>
        <v>1</v>
      </c>
    </row>
    <row r="1084" spans="1:10">
      <c r="A1084" s="7">
        <v>3</v>
      </c>
      <c r="B1084" s="8" t="s">
        <v>1094</v>
      </c>
      <c r="C1084" s="8" t="s">
        <v>1061</v>
      </c>
      <c r="D1084" s="7">
        <v>1</v>
      </c>
      <c r="E1084" s="7">
        <v>91</v>
      </c>
      <c r="F1084" s="7">
        <v>15</v>
      </c>
      <c r="G1084" s="8" t="s">
        <v>975</v>
      </c>
      <c r="H1084" s="8" t="s">
        <v>983</v>
      </c>
      <c r="I1084" s="7" t="str">
        <f>_xlfn.CONCAT(Paper_Reference[[#This Row],[Lvl]:[Paper Description]])</f>
        <v>3GIDBRUNSPPK22PRO TEX RET CUSTOM USBC LOGO19115100WM111-6200RETURN MAPLE PRINT</v>
      </c>
      <c r="J1084" s="7">
        <f>COUNTIF(Paper_Reference[Duplicate Key],Paper_Reference[[#This Row],[Duplicate Key]])</f>
        <v>1</v>
      </c>
    </row>
    <row r="1085" spans="1:10">
      <c r="A1085" s="7">
        <v>3</v>
      </c>
      <c r="B1085" s="8" t="s">
        <v>1095</v>
      </c>
      <c r="C1085" s="8" t="s">
        <v>1060</v>
      </c>
      <c r="D1085" s="7">
        <v>1</v>
      </c>
      <c r="E1085" s="7">
        <v>91</v>
      </c>
      <c r="F1085" s="7">
        <v>5</v>
      </c>
      <c r="G1085" s="8" t="s">
        <v>975</v>
      </c>
      <c r="H1085" s="8" t="s">
        <v>983</v>
      </c>
      <c r="I1085" s="7" t="str">
        <f>_xlfn.CONCAT(Paper_Reference[[#This Row],[Lvl]:[Paper Description]])</f>
        <v>3GIDBRUNSPPK25PRO TEX RET CUSTOM BRUNS LOGO1915100WM111-6200RETURN MAPLE PRINT</v>
      </c>
      <c r="J1085" s="7">
        <f>COUNTIF(Paper_Reference[Duplicate Key],Paper_Reference[[#This Row],[Duplicate Key]])</f>
        <v>1</v>
      </c>
    </row>
    <row r="1086" spans="1:10">
      <c r="A1086" s="7">
        <v>3</v>
      </c>
      <c r="B1086" s="8" t="s">
        <v>1096</v>
      </c>
      <c r="C1086" s="8" t="s">
        <v>1061</v>
      </c>
      <c r="D1086" s="7">
        <v>1</v>
      </c>
      <c r="E1086" s="7">
        <v>91</v>
      </c>
      <c r="F1086" s="7">
        <v>5</v>
      </c>
      <c r="G1086" s="8" t="s">
        <v>975</v>
      </c>
      <c r="H1086" s="8" t="s">
        <v>983</v>
      </c>
      <c r="I1086" s="7" t="str">
        <f>_xlfn.CONCAT(Paper_Reference[[#This Row],[Lvl]:[Paper Description]])</f>
        <v>3GIDBRUNSPPK26PRO TEX RET CUSTOM USBC LOGO1915100WM111-6200RETURN MAPLE PRINT</v>
      </c>
      <c r="J1086" s="7">
        <f>COUNTIF(Paper_Reference[Duplicate Key],Paper_Reference[[#This Row],[Duplicate Key]])</f>
        <v>1</v>
      </c>
    </row>
    <row r="1087" spans="1:10">
      <c r="A1087" s="7">
        <v>3</v>
      </c>
      <c r="B1087" s="8" t="s">
        <v>458</v>
      </c>
      <c r="C1087" s="8" t="s">
        <v>236</v>
      </c>
      <c r="D1087" s="7">
        <v>1</v>
      </c>
      <c r="E1087" s="7">
        <v>91</v>
      </c>
      <c r="F1087" s="7">
        <v>1</v>
      </c>
      <c r="G1087" s="8" t="s">
        <v>214</v>
      </c>
      <c r="H1087" s="8" t="s">
        <v>423</v>
      </c>
      <c r="I1087" s="7" t="str">
        <f>_xlfn.CONCAT(Paper_Reference[[#This Row],[Lvl]:[Paper Description]])</f>
        <v>3GIDBRUNSPPK27PRO II TEX (RT LANE PK) W/ #101911100WM991-4300MAPLE LANE PRINT (W)</v>
      </c>
      <c r="J1087" s="7">
        <f>COUNTIF(Paper_Reference[Duplicate Key],Paper_Reference[[#This Row],[Duplicate Key]])</f>
        <v>1</v>
      </c>
    </row>
    <row r="1088" spans="1:10">
      <c r="A1088" s="7">
        <v>3</v>
      </c>
      <c r="B1088" s="8" t="s">
        <v>458</v>
      </c>
      <c r="C1088" s="8" t="s">
        <v>236</v>
      </c>
      <c r="D1088" s="7">
        <v>1</v>
      </c>
      <c r="E1088" s="7">
        <v>91</v>
      </c>
      <c r="F1088" s="7">
        <v>2</v>
      </c>
      <c r="G1088" s="8" t="s">
        <v>214</v>
      </c>
      <c r="H1088" s="8" t="s">
        <v>423</v>
      </c>
      <c r="I1088" s="7" t="str">
        <f>_xlfn.CONCAT(Paper_Reference[[#This Row],[Lvl]:[Paper Description]])</f>
        <v>3GIDBRUNSPPK27PRO II TEX (RT LANE PK) W/ #101912100WM991-4300MAPLE LANE PRINT (W)</v>
      </c>
      <c r="J1088" s="7">
        <f>COUNTIF(Paper_Reference[Duplicate Key],Paper_Reference[[#This Row],[Duplicate Key]])</f>
        <v>1</v>
      </c>
    </row>
    <row r="1089" spans="1:10">
      <c r="A1089" s="7">
        <v>4</v>
      </c>
      <c r="B1089" s="8" t="s">
        <v>458</v>
      </c>
      <c r="C1089" s="8" t="s">
        <v>236</v>
      </c>
      <c r="D1089" s="7">
        <v>1</v>
      </c>
      <c r="E1089" s="7">
        <v>91</v>
      </c>
      <c r="F1089" s="7">
        <v>1</v>
      </c>
      <c r="G1089" s="8" t="s">
        <v>215</v>
      </c>
      <c r="H1089" s="8" t="s">
        <v>422</v>
      </c>
      <c r="I1089" s="7" t="str">
        <f>_xlfn.CONCAT(Paper_Reference[[#This Row],[Lvl]:[Paper Description]])</f>
        <v>4GIDBRUNSPPK27PRO II TEX (RT LANE PK) W/ #101911100WM101-6200RIGHT BRUNSWICK MAPLE (W)</v>
      </c>
      <c r="J1089" s="7">
        <f>COUNTIF(Paper_Reference[Duplicate Key],Paper_Reference[[#This Row],[Duplicate Key]])</f>
        <v>1</v>
      </c>
    </row>
    <row r="1090" spans="1:10">
      <c r="A1090" s="7">
        <v>4</v>
      </c>
      <c r="B1090" s="8" t="s">
        <v>458</v>
      </c>
      <c r="C1090" s="8" t="s">
        <v>236</v>
      </c>
      <c r="D1090" s="7">
        <v>1</v>
      </c>
      <c r="E1090" s="7">
        <v>91</v>
      </c>
      <c r="F1090" s="7">
        <v>1</v>
      </c>
      <c r="G1090" s="8" t="s">
        <v>214</v>
      </c>
      <c r="H1090" s="8" t="s">
        <v>423</v>
      </c>
      <c r="I1090" s="7" t="str">
        <f>_xlfn.CONCAT(Paper_Reference[[#This Row],[Lvl]:[Paper Description]])</f>
        <v>4GIDBRUNSPPK27PRO II TEX (RT LANE PK) W/ #101911100WM991-4300MAPLE LANE PRINT (W)</v>
      </c>
      <c r="J1090" s="7">
        <f>COUNTIF(Paper_Reference[Duplicate Key],Paper_Reference[[#This Row],[Duplicate Key]])</f>
        <v>1</v>
      </c>
    </row>
    <row r="1091" spans="1:10">
      <c r="A1091" s="7">
        <v>3</v>
      </c>
      <c r="B1091" s="8" t="s">
        <v>459</v>
      </c>
      <c r="C1091" s="8" t="s">
        <v>237</v>
      </c>
      <c r="D1091" s="7">
        <v>1</v>
      </c>
      <c r="E1091" s="7">
        <v>91</v>
      </c>
      <c r="F1091" s="7">
        <v>2</v>
      </c>
      <c r="G1091" s="8" t="s">
        <v>214</v>
      </c>
      <c r="H1091" s="8" t="s">
        <v>423</v>
      </c>
      <c r="I1091" s="7" t="str">
        <f>_xlfn.CONCAT(Paper_Reference[[#This Row],[Lvl]:[Paper Description]])</f>
        <v>3GIDBRUNSPPK28PRO KOH  LOGO 2LP W/ #101912100WM991-4300MAPLE LANE PRINT (W)</v>
      </c>
      <c r="J1091" s="7">
        <f>COUNTIF(Paper_Reference[Duplicate Key],Paper_Reference[[#This Row],[Duplicate Key]])</f>
        <v>1</v>
      </c>
    </row>
    <row r="1092" spans="1:10">
      <c r="A1092" s="7">
        <v>3</v>
      </c>
      <c r="B1092" s="8" t="s">
        <v>459</v>
      </c>
      <c r="C1092" s="8" t="s">
        <v>237</v>
      </c>
      <c r="D1092" s="7">
        <v>1</v>
      </c>
      <c r="E1092" s="7">
        <v>91</v>
      </c>
      <c r="F1092" s="7">
        <v>4</v>
      </c>
      <c r="G1092" s="8" t="s">
        <v>214</v>
      </c>
      <c r="H1092" s="8" t="s">
        <v>423</v>
      </c>
      <c r="I1092" s="7" t="str">
        <f>_xlfn.CONCAT(Paper_Reference[[#This Row],[Lvl]:[Paper Description]])</f>
        <v>3GIDBRUNSPPK28PRO KOH  LOGO 2LP W/ #101914100WM991-4300MAPLE LANE PRINT (W)</v>
      </c>
      <c r="J1092" s="7">
        <f>COUNTIF(Paper_Reference[Duplicate Key],Paper_Reference[[#This Row],[Duplicate Key]])</f>
        <v>1</v>
      </c>
    </row>
    <row r="1093" spans="1:10">
      <c r="A1093" s="7">
        <v>4</v>
      </c>
      <c r="B1093" s="8" t="s">
        <v>459</v>
      </c>
      <c r="C1093" s="8" t="s">
        <v>237</v>
      </c>
      <c r="D1093" s="7">
        <v>1</v>
      </c>
      <c r="E1093" s="7">
        <v>91</v>
      </c>
      <c r="F1093" s="7">
        <v>1</v>
      </c>
      <c r="G1093" s="8" t="s">
        <v>215</v>
      </c>
      <c r="H1093" s="8" t="s">
        <v>422</v>
      </c>
      <c r="I1093" s="7" t="str">
        <f>_xlfn.CONCAT(Paper_Reference[[#This Row],[Lvl]:[Paper Description]])</f>
        <v>4GIDBRUNSPPK28PRO KOH  LOGO 2LP W/ #101911100WM101-6200RIGHT BRUNSWICK MAPLE (W)</v>
      </c>
      <c r="J1093" s="7">
        <f>COUNTIF(Paper_Reference[Duplicate Key],Paper_Reference[[#This Row],[Duplicate Key]])</f>
        <v>1</v>
      </c>
    </row>
    <row r="1094" spans="1:10">
      <c r="A1094" s="7">
        <v>4</v>
      </c>
      <c r="B1094" s="8" t="s">
        <v>459</v>
      </c>
      <c r="C1094" s="8" t="s">
        <v>237</v>
      </c>
      <c r="D1094" s="7">
        <v>1</v>
      </c>
      <c r="E1094" s="7">
        <v>91</v>
      </c>
      <c r="F1094" s="7">
        <v>1</v>
      </c>
      <c r="G1094" s="8" t="s">
        <v>216</v>
      </c>
      <c r="H1094" s="8" t="s">
        <v>424</v>
      </c>
      <c r="I1094" s="7" t="str">
        <f>_xlfn.CONCAT(Paper_Reference[[#This Row],[Lvl]:[Paper Description]])</f>
        <v>4GIDBRUNSPPK28PRO KOH  LOGO 2LP W/ #101911100WM981-6200LEFT BRUNSWICK MAPLE (W)</v>
      </c>
      <c r="J1094" s="7">
        <f>COUNTIF(Paper_Reference[Duplicate Key],Paper_Reference[[#This Row],[Duplicate Key]])</f>
        <v>1</v>
      </c>
    </row>
    <row r="1095" spans="1:10">
      <c r="A1095" s="7">
        <v>4</v>
      </c>
      <c r="B1095" s="8" t="s">
        <v>459</v>
      </c>
      <c r="C1095" s="8" t="s">
        <v>237</v>
      </c>
      <c r="D1095" s="7">
        <v>1</v>
      </c>
      <c r="E1095" s="7">
        <v>91</v>
      </c>
      <c r="F1095" s="7">
        <v>2</v>
      </c>
      <c r="G1095" s="8" t="s">
        <v>214</v>
      </c>
      <c r="H1095" s="8" t="s">
        <v>423</v>
      </c>
      <c r="I1095" s="7" t="str">
        <f>_xlfn.CONCAT(Paper_Reference[[#This Row],[Lvl]:[Paper Description]])</f>
        <v>4GIDBRUNSPPK28PRO KOH  LOGO 2LP W/ #101912100WM991-4300MAPLE LANE PRINT (W)</v>
      </c>
      <c r="J1095" s="7">
        <f>COUNTIF(Paper_Reference[Duplicate Key],Paper_Reference[[#This Row],[Duplicate Key]])</f>
        <v>1</v>
      </c>
    </row>
    <row r="1096" spans="1:10">
      <c r="A1096" s="7">
        <v>3</v>
      </c>
      <c r="B1096" s="8" t="s">
        <v>460</v>
      </c>
      <c r="C1096" s="8" t="s">
        <v>238</v>
      </c>
      <c r="D1096" s="7">
        <v>1</v>
      </c>
      <c r="E1096" s="7">
        <v>91</v>
      </c>
      <c r="F1096" s="7">
        <v>2</v>
      </c>
      <c r="G1096" s="8" t="s">
        <v>214</v>
      </c>
      <c r="H1096" s="8" t="s">
        <v>423</v>
      </c>
      <c r="I1096" s="7" t="str">
        <f>_xlfn.CONCAT(Paper_Reference[[#This Row],[Lvl]:[Paper Description]])</f>
        <v>3GIDBRUNSPPK29PRO REGER  LOGO 2LP W/ #101912100WM991-4300MAPLE LANE PRINT (W)</v>
      </c>
      <c r="J1096" s="7">
        <f>COUNTIF(Paper_Reference[Duplicate Key],Paper_Reference[[#This Row],[Duplicate Key]])</f>
        <v>1</v>
      </c>
    </row>
    <row r="1097" spans="1:10">
      <c r="A1097" s="7">
        <v>3</v>
      </c>
      <c r="B1097" s="8" t="s">
        <v>460</v>
      </c>
      <c r="C1097" s="8" t="s">
        <v>238</v>
      </c>
      <c r="D1097" s="7">
        <v>1</v>
      </c>
      <c r="E1097" s="7">
        <v>91</v>
      </c>
      <c r="F1097" s="7">
        <v>4</v>
      </c>
      <c r="G1097" s="8" t="s">
        <v>214</v>
      </c>
      <c r="H1097" s="8" t="s">
        <v>423</v>
      </c>
      <c r="I1097" s="7" t="str">
        <f>_xlfn.CONCAT(Paper_Reference[[#This Row],[Lvl]:[Paper Description]])</f>
        <v>3GIDBRUNSPPK29PRO REGER  LOGO 2LP W/ #101914100WM991-4300MAPLE LANE PRINT (W)</v>
      </c>
      <c r="J1097" s="7">
        <f>COUNTIF(Paper_Reference[Duplicate Key],Paper_Reference[[#This Row],[Duplicate Key]])</f>
        <v>1</v>
      </c>
    </row>
    <row r="1098" spans="1:10">
      <c r="A1098" s="7">
        <v>4</v>
      </c>
      <c r="B1098" s="8" t="s">
        <v>460</v>
      </c>
      <c r="C1098" s="8" t="s">
        <v>238</v>
      </c>
      <c r="D1098" s="7">
        <v>1</v>
      </c>
      <c r="E1098" s="7">
        <v>91</v>
      </c>
      <c r="F1098" s="7">
        <v>1</v>
      </c>
      <c r="G1098" s="8" t="s">
        <v>215</v>
      </c>
      <c r="H1098" s="8" t="s">
        <v>422</v>
      </c>
      <c r="I1098" s="7" t="str">
        <f>_xlfn.CONCAT(Paper_Reference[[#This Row],[Lvl]:[Paper Description]])</f>
        <v>4GIDBRUNSPPK29PRO REGER  LOGO 2LP W/ #101911100WM101-6200RIGHT BRUNSWICK MAPLE (W)</v>
      </c>
      <c r="J1098" s="7">
        <f>COUNTIF(Paper_Reference[Duplicate Key],Paper_Reference[[#This Row],[Duplicate Key]])</f>
        <v>1</v>
      </c>
    </row>
    <row r="1099" spans="1:10">
      <c r="A1099" s="7">
        <v>4</v>
      </c>
      <c r="B1099" s="8" t="s">
        <v>460</v>
      </c>
      <c r="C1099" s="8" t="s">
        <v>238</v>
      </c>
      <c r="D1099" s="7">
        <v>1</v>
      </c>
      <c r="E1099" s="7">
        <v>91</v>
      </c>
      <c r="F1099" s="7">
        <v>1</v>
      </c>
      <c r="G1099" s="8" t="s">
        <v>216</v>
      </c>
      <c r="H1099" s="8" t="s">
        <v>424</v>
      </c>
      <c r="I1099" s="7" t="str">
        <f>_xlfn.CONCAT(Paper_Reference[[#This Row],[Lvl]:[Paper Description]])</f>
        <v>4GIDBRUNSPPK29PRO REGER  LOGO 2LP W/ #101911100WM981-6200LEFT BRUNSWICK MAPLE (W)</v>
      </c>
      <c r="J1099" s="7">
        <f>COUNTIF(Paper_Reference[Duplicate Key],Paper_Reference[[#This Row],[Duplicate Key]])</f>
        <v>1</v>
      </c>
    </row>
    <row r="1100" spans="1:10">
      <c r="A1100" s="7">
        <v>4</v>
      </c>
      <c r="B1100" s="8" t="s">
        <v>460</v>
      </c>
      <c r="C1100" s="8" t="s">
        <v>238</v>
      </c>
      <c r="D1100" s="7">
        <v>1</v>
      </c>
      <c r="E1100" s="7">
        <v>91</v>
      </c>
      <c r="F1100" s="7">
        <v>2</v>
      </c>
      <c r="G1100" s="8" t="s">
        <v>214</v>
      </c>
      <c r="H1100" s="8" t="s">
        <v>423</v>
      </c>
      <c r="I1100" s="7" t="str">
        <f>_xlfn.CONCAT(Paper_Reference[[#This Row],[Lvl]:[Paper Description]])</f>
        <v>4GIDBRUNSPPK29PRO REGER  LOGO 2LP W/ #101912100WM991-4300MAPLE LANE PRINT (W)</v>
      </c>
      <c r="J1100" s="7">
        <f>COUNTIF(Paper_Reference[Duplicate Key],Paper_Reference[[#This Row],[Duplicate Key]])</f>
        <v>1</v>
      </c>
    </row>
    <row r="1101" spans="1:10">
      <c r="A1101" s="7">
        <v>5</v>
      </c>
      <c r="B1101" s="8" t="s">
        <v>460</v>
      </c>
      <c r="C1101" s="8" t="s">
        <v>238</v>
      </c>
      <c r="D1101" s="7">
        <v>1</v>
      </c>
      <c r="E1101" s="7">
        <v>91</v>
      </c>
      <c r="F1101" s="7">
        <v>1</v>
      </c>
      <c r="G1101" s="8" t="s">
        <v>215</v>
      </c>
      <c r="H1101" s="8" t="s">
        <v>422</v>
      </c>
      <c r="I1101" s="7" t="str">
        <f>_xlfn.CONCAT(Paper_Reference[[#This Row],[Lvl]:[Paper Description]])</f>
        <v>5GIDBRUNSPPK29PRO REGER  LOGO 2LP W/ #101911100WM101-6200RIGHT BRUNSWICK MAPLE (W)</v>
      </c>
      <c r="J1101" s="7">
        <f>COUNTIF(Paper_Reference[Duplicate Key],Paper_Reference[[#This Row],[Duplicate Key]])</f>
        <v>1</v>
      </c>
    </row>
    <row r="1102" spans="1:10">
      <c r="A1102" s="7">
        <v>5</v>
      </c>
      <c r="B1102" s="8" t="s">
        <v>460</v>
      </c>
      <c r="C1102" s="8" t="s">
        <v>238</v>
      </c>
      <c r="D1102" s="7">
        <v>1</v>
      </c>
      <c r="E1102" s="7">
        <v>91</v>
      </c>
      <c r="F1102" s="7">
        <v>1</v>
      </c>
      <c r="G1102" s="8" t="s">
        <v>216</v>
      </c>
      <c r="H1102" s="8" t="s">
        <v>424</v>
      </c>
      <c r="I1102" s="7" t="str">
        <f>_xlfn.CONCAT(Paper_Reference[[#This Row],[Lvl]:[Paper Description]])</f>
        <v>5GIDBRUNSPPK29PRO REGER  LOGO 2LP W/ #101911100WM981-6200LEFT BRUNSWICK MAPLE (W)</v>
      </c>
      <c r="J1102" s="7">
        <f>COUNTIF(Paper_Reference[Duplicate Key],Paper_Reference[[#This Row],[Duplicate Key]])</f>
        <v>1</v>
      </c>
    </row>
    <row r="1103" spans="1:10">
      <c r="A1103" s="7">
        <v>3</v>
      </c>
      <c r="B1103" s="8" t="s">
        <v>463</v>
      </c>
      <c r="C1103" s="8" t="s">
        <v>241</v>
      </c>
      <c r="D1103" s="7">
        <v>1</v>
      </c>
      <c r="E1103" s="7">
        <v>91</v>
      </c>
      <c r="F1103" s="7">
        <v>1</v>
      </c>
      <c r="G1103" s="8" t="s">
        <v>214</v>
      </c>
      <c r="H1103" s="8" t="s">
        <v>423</v>
      </c>
      <c r="I1103" s="7" t="str">
        <f>_xlfn.CONCAT(Paper_Reference[[#This Row],[Lvl]:[Paper Description]])</f>
        <v>3GIDBRUNSPPK3BUFF BOWL ODD LANE PK) W/ #101911100WM991-4300MAPLE LANE PRINT (W)</v>
      </c>
      <c r="J1103" s="7">
        <f>COUNTIF(Paper_Reference[Duplicate Key],Paper_Reference[[#This Row],[Duplicate Key]])</f>
        <v>1</v>
      </c>
    </row>
    <row r="1104" spans="1:10">
      <c r="A1104" s="7">
        <v>3</v>
      </c>
      <c r="B1104" s="8" t="s">
        <v>463</v>
      </c>
      <c r="C1104" s="8" t="s">
        <v>241</v>
      </c>
      <c r="D1104" s="7">
        <v>1</v>
      </c>
      <c r="E1104" s="7">
        <v>91</v>
      </c>
      <c r="F1104" s="7">
        <v>2</v>
      </c>
      <c r="G1104" s="8" t="s">
        <v>214</v>
      </c>
      <c r="H1104" s="8" t="s">
        <v>423</v>
      </c>
      <c r="I1104" s="7" t="str">
        <f>_xlfn.CONCAT(Paper_Reference[[#This Row],[Lvl]:[Paper Description]])</f>
        <v>3GIDBRUNSPPK3BUFF BOWL ODD LANE PK) W/ #101912100WM991-4300MAPLE LANE PRINT (W)</v>
      </c>
      <c r="J1104" s="7">
        <f>COUNTIF(Paper_Reference[Duplicate Key],Paper_Reference[[#This Row],[Duplicate Key]])</f>
        <v>1</v>
      </c>
    </row>
    <row r="1105" spans="1:10">
      <c r="A1105" s="7">
        <v>4</v>
      </c>
      <c r="B1105" s="8" t="s">
        <v>463</v>
      </c>
      <c r="C1105" s="8" t="s">
        <v>241</v>
      </c>
      <c r="D1105" s="7">
        <v>1</v>
      </c>
      <c r="E1105" s="7">
        <v>91</v>
      </c>
      <c r="F1105" s="7">
        <v>1</v>
      </c>
      <c r="G1105" s="8" t="s">
        <v>216</v>
      </c>
      <c r="H1105" s="8" t="s">
        <v>424</v>
      </c>
      <c r="I1105" s="7" t="str">
        <f>_xlfn.CONCAT(Paper_Reference[[#This Row],[Lvl]:[Paper Description]])</f>
        <v>4GIDBRUNSPPK3BUFF BOWL ODD LANE PK) W/ #101911100WM981-6200LEFT BRUNSWICK MAPLE (W)</v>
      </c>
      <c r="J1105" s="7">
        <f>COUNTIF(Paper_Reference[Duplicate Key],Paper_Reference[[#This Row],[Duplicate Key]])</f>
        <v>1</v>
      </c>
    </row>
    <row r="1106" spans="1:10">
      <c r="A1106" s="7">
        <v>4</v>
      </c>
      <c r="B1106" s="8" t="s">
        <v>463</v>
      </c>
      <c r="C1106" s="8" t="s">
        <v>241</v>
      </c>
      <c r="D1106" s="7">
        <v>1</v>
      </c>
      <c r="E1106" s="7">
        <v>91</v>
      </c>
      <c r="F1106" s="7">
        <v>1</v>
      </c>
      <c r="G1106" s="8" t="s">
        <v>214</v>
      </c>
      <c r="H1106" s="8" t="s">
        <v>423</v>
      </c>
      <c r="I1106" s="7" t="str">
        <f>_xlfn.CONCAT(Paper_Reference[[#This Row],[Lvl]:[Paper Description]])</f>
        <v>4GIDBRUNSPPK3BUFF BOWL ODD LANE PK) W/ #101911100WM991-4300MAPLE LANE PRINT (W)</v>
      </c>
      <c r="J1106" s="7">
        <f>COUNTIF(Paper_Reference[Duplicate Key],Paper_Reference[[#This Row],[Duplicate Key]])</f>
        <v>1</v>
      </c>
    </row>
    <row r="1107" spans="1:10">
      <c r="A1107" s="7">
        <v>5</v>
      </c>
      <c r="B1107" s="8" t="s">
        <v>463</v>
      </c>
      <c r="C1107" s="8" t="s">
        <v>241</v>
      </c>
      <c r="D1107" s="7">
        <v>1</v>
      </c>
      <c r="E1107" s="7">
        <v>91</v>
      </c>
      <c r="F1107" s="7">
        <v>1</v>
      </c>
      <c r="G1107" s="8" t="s">
        <v>216</v>
      </c>
      <c r="H1107" s="8" t="s">
        <v>424</v>
      </c>
      <c r="I1107" s="7" t="str">
        <f>_xlfn.CONCAT(Paper_Reference[[#This Row],[Lvl]:[Paper Description]])</f>
        <v>5GIDBRUNSPPK3BUFF BOWL ODD LANE PK) W/ #101911100WM981-6200LEFT BRUNSWICK MAPLE (W)</v>
      </c>
      <c r="J1107" s="7">
        <f>COUNTIF(Paper_Reference[Duplicate Key],Paper_Reference[[#This Row],[Duplicate Key]])</f>
        <v>1</v>
      </c>
    </row>
    <row r="1108" spans="1:10">
      <c r="A1108" s="7">
        <v>3</v>
      </c>
      <c r="B1108" s="8" t="s">
        <v>461</v>
      </c>
      <c r="C1108" s="8" t="s">
        <v>239</v>
      </c>
      <c r="D1108" s="7">
        <v>1</v>
      </c>
      <c r="E1108" s="7">
        <v>91</v>
      </c>
      <c r="F1108" s="7">
        <v>2</v>
      </c>
      <c r="G1108" s="8" t="s">
        <v>214</v>
      </c>
      <c r="H1108" s="8" t="s">
        <v>423</v>
      </c>
      <c r="I1108" s="7" t="str">
        <f>_xlfn.CONCAT(Paper_Reference[[#This Row],[Lvl]:[Paper Description]])</f>
        <v>3GIDBRUNSPPK30PRO II TEX 2LP W/ #10 &amp; S/H1912100WM991-4300MAPLE LANE PRINT (W)</v>
      </c>
      <c r="J1108" s="7">
        <f>COUNTIF(Paper_Reference[Duplicate Key],Paper_Reference[[#This Row],[Duplicate Key]])</f>
        <v>1</v>
      </c>
    </row>
    <row r="1109" spans="1:10">
      <c r="A1109" s="7">
        <v>3</v>
      </c>
      <c r="B1109" s="8" t="s">
        <v>461</v>
      </c>
      <c r="C1109" s="8" t="s">
        <v>239</v>
      </c>
      <c r="D1109" s="7">
        <v>1</v>
      </c>
      <c r="E1109" s="7">
        <v>91</v>
      </c>
      <c r="F1109" s="7">
        <v>4</v>
      </c>
      <c r="G1109" s="8" t="s">
        <v>214</v>
      </c>
      <c r="H1109" s="8" t="s">
        <v>423</v>
      </c>
      <c r="I1109" s="7" t="str">
        <f>_xlfn.CONCAT(Paper_Reference[[#This Row],[Lvl]:[Paper Description]])</f>
        <v>3GIDBRUNSPPK30PRO II TEX 2LP W/ #10 &amp; S/H1914100WM991-4300MAPLE LANE PRINT (W)</v>
      </c>
      <c r="J1109" s="7">
        <f>COUNTIF(Paper_Reference[Duplicate Key],Paper_Reference[[#This Row],[Duplicate Key]])</f>
        <v>1</v>
      </c>
    </row>
    <row r="1110" spans="1:10">
      <c r="A1110" s="7">
        <v>4</v>
      </c>
      <c r="B1110" s="8" t="s">
        <v>461</v>
      </c>
      <c r="C1110" s="8" t="s">
        <v>239</v>
      </c>
      <c r="D1110" s="7">
        <v>1</v>
      </c>
      <c r="E1110" s="7">
        <v>91</v>
      </c>
      <c r="F1110" s="7">
        <v>1</v>
      </c>
      <c r="G1110" s="8" t="s">
        <v>215</v>
      </c>
      <c r="H1110" s="8" t="s">
        <v>422</v>
      </c>
      <c r="I1110" s="7" t="str">
        <f>_xlfn.CONCAT(Paper_Reference[[#This Row],[Lvl]:[Paper Description]])</f>
        <v>4GIDBRUNSPPK30PRO II TEX 2LP W/ #10 &amp; S/H1911100WM101-6200RIGHT BRUNSWICK MAPLE (W)</v>
      </c>
      <c r="J1110" s="7">
        <f>COUNTIF(Paper_Reference[Duplicate Key],Paper_Reference[[#This Row],[Duplicate Key]])</f>
        <v>1</v>
      </c>
    </row>
    <row r="1111" spans="1:10">
      <c r="A1111" s="7">
        <v>4</v>
      </c>
      <c r="B1111" s="8" t="s">
        <v>461</v>
      </c>
      <c r="C1111" s="8" t="s">
        <v>239</v>
      </c>
      <c r="D1111" s="7">
        <v>1</v>
      </c>
      <c r="E1111" s="7">
        <v>91</v>
      </c>
      <c r="F1111" s="7">
        <v>1</v>
      </c>
      <c r="G1111" s="8" t="s">
        <v>216</v>
      </c>
      <c r="H1111" s="8" t="s">
        <v>424</v>
      </c>
      <c r="I1111" s="7" t="str">
        <f>_xlfn.CONCAT(Paper_Reference[[#This Row],[Lvl]:[Paper Description]])</f>
        <v>4GIDBRUNSPPK30PRO II TEX 2LP W/ #10 &amp; S/H1911100WM981-6200LEFT BRUNSWICK MAPLE (W)</v>
      </c>
      <c r="J1111" s="7">
        <f>COUNTIF(Paper_Reference[Duplicate Key],Paper_Reference[[#This Row],[Duplicate Key]])</f>
        <v>1</v>
      </c>
    </row>
    <row r="1112" spans="1:10">
      <c r="A1112" s="7">
        <v>4</v>
      </c>
      <c r="B1112" s="8" t="s">
        <v>461</v>
      </c>
      <c r="C1112" s="8" t="s">
        <v>239</v>
      </c>
      <c r="D1112" s="7">
        <v>1</v>
      </c>
      <c r="E1112" s="7">
        <v>91</v>
      </c>
      <c r="F1112" s="7">
        <v>2</v>
      </c>
      <c r="G1112" s="8" t="s">
        <v>214</v>
      </c>
      <c r="H1112" s="8" t="s">
        <v>423</v>
      </c>
      <c r="I1112" s="7" t="str">
        <f>_xlfn.CONCAT(Paper_Reference[[#This Row],[Lvl]:[Paper Description]])</f>
        <v>4GIDBRUNSPPK30PRO II TEX 2LP W/ #10 &amp; S/H1912100WM991-4300MAPLE LANE PRINT (W)</v>
      </c>
      <c r="J1112" s="7">
        <f>COUNTIF(Paper_Reference[Duplicate Key],Paper_Reference[[#This Row],[Duplicate Key]])</f>
        <v>1</v>
      </c>
    </row>
    <row r="1113" spans="1:10">
      <c r="A1113" s="7">
        <v>4</v>
      </c>
      <c r="B1113" s="8" t="s">
        <v>483</v>
      </c>
      <c r="C1113" s="8" t="s">
        <v>259</v>
      </c>
      <c r="D1113" s="7">
        <v>1</v>
      </c>
      <c r="E1113" s="7">
        <v>91</v>
      </c>
      <c r="F1113" s="7">
        <v>1</v>
      </c>
      <c r="G1113" s="8" t="s">
        <v>215</v>
      </c>
      <c r="H1113" s="8" t="s">
        <v>422</v>
      </c>
      <c r="I1113" s="7" t="str">
        <f>_xlfn.CONCAT(Paper_Reference[[#This Row],[Lvl]:[Paper Description]])</f>
        <v>4GIDBRUNSPPK31PRO II TEX (A/O) PRO SH2 W/ #11911100WM101-6200RIGHT BRUNSWICK MAPLE (W)</v>
      </c>
      <c r="J1113" s="7">
        <f>COUNTIF(Paper_Reference[Duplicate Key],Paper_Reference[[#This Row],[Duplicate Key]])</f>
        <v>1</v>
      </c>
    </row>
    <row r="1114" spans="1:10">
      <c r="A1114" s="7">
        <v>4</v>
      </c>
      <c r="B1114" s="8" t="s">
        <v>483</v>
      </c>
      <c r="C1114" s="8" t="s">
        <v>259</v>
      </c>
      <c r="D1114" s="7">
        <v>1</v>
      </c>
      <c r="E1114" s="7">
        <v>91</v>
      </c>
      <c r="F1114" s="7">
        <v>1</v>
      </c>
      <c r="G1114" s="8" t="s">
        <v>216</v>
      </c>
      <c r="H1114" s="8" t="s">
        <v>424</v>
      </c>
      <c r="I1114" s="7" t="str">
        <f>_xlfn.CONCAT(Paper_Reference[[#This Row],[Lvl]:[Paper Description]])</f>
        <v>4GIDBRUNSPPK31PRO II TEX (A/O) PRO SH2 W/ #11911100WM981-6200LEFT BRUNSWICK MAPLE (W)</v>
      </c>
      <c r="J1114" s="7">
        <f>COUNTIF(Paper_Reference[Duplicate Key],Paper_Reference[[#This Row],[Duplicate Key]])</f>
        <v>1</v>
      </c>
    </row>
    <row r="1115" spans="1:10">
      <c r="A1115" s="7">
        <v>3</v>
      </c>
      <c r="B1115" s="8" t="s">
        <v>462</v>
      </c>
      <c r="C1115" s="8" t="s">
        <v>240</v>
      </c>
      <c r="D1115" s="7">
        <v>1</v>
      </c>
      <c r="E1115" s="7">
        <v>91</v>
      </c>
      <c r="F1115" s="7">
        <v>2</v>
      </c>
      <c r="G1115" s="8" t="s">
        <v>214</v>
      </c>
      <c r="H1115" s="8" t="s">
        <v>423</v>
      </c>
      <c r="I1115" s="7" t="str">
        <f>_xlfn.CONCAT(Paper_Reference[[#This Row],[Lvl]:[Paper Description]])</f>
        <v>3GIDBRUNSPPK32PRO HUNTER  LOGO 2LP W/ #101912100WM991-4300MAPLE LANE PRINT (W)</v>
      </c>
      <c r="J1115" s="7">
        <f>COUNTIF(Paper_Reference[Duplicate Key],Paper_Reference[[#This Row],[Duplicate Key]])</f>
        <v>1</v>
      </c>
    </row>
    <row r="1116" spans="1:10">
      <c r="A1116" s="7">
        <v>3</v>
      </c>
      <c r="B1116" s="8" t="s">
        <v>462</v>
      </c>
      <c r="C1116" s="8" t="s">
        <v>240</v>
      </c>
      <c r="D1116" s="7">
        <v>1</v>
      </c>
      <c r="E1116" s="7">
        <v>91</v>
      </c>
      <c r="F1116" s="7">
        <v>4</v>
      </c>
      <c r="G1116" s="8" t="s">
        <v>214</v>
      </c>
      <c r="H1116" s="8" t="s">
        <v>423</v>
      </c>
      <c r="I1116" s="7" t="str">
        <f>_xlfn.CONCAT(Paper_Reference[[#This Row],[Lvl]:[Paper Description]])</f>
        <v>3GIDBRUNSPPK32PRO HUNTER  LOGO 2LP W/ #101914100WM991-4300MAPLE LANE PRINT (W)</v>
      </c>
      <c r="J1116" s="7">
        <f>COUNTIF(Paper_Reference[Duplicate Key],Paper_Reference[[#This Row],[Duplicate Key]])</f>
        <v>1</v>
      </c>
    </row>
    <row r="1117" spans="1:10">
      <c r="A1117" s="7">
        <v>4</v>
      </c>
      <c r="B1117" s="8" t="s">
        <v>462</v>
      </c>
      <c r="C1117" s="8" t="s">
        <v>240</v>
      </c>
      <c r="D1117" s="7">
        <v>1</v>
      </c>
      <c r="E1117" s="7">
        <v>91</v>
      </c>
      <c r="F1117" s="7">
        <v>1</v>
      </c>
      <c r="G1117" s="8" t="s">
        <v>215</v>
      </c>
      <c r="H1117" s="8" t="s">
        <v>422</v>
      </c>
      <c r="I1117" s="7" t="str">
        <f>_xlfn.CONCAT(Paper_Reference[[#This Row],[Lvl]:[Paper Description]])</f>
        <v>4GIDBRUNSPPK32PRO HUNTER  LOGO 2LP W/ #101911100WM101-6200RIGHT BRUNSWICK MAPLE (W)</v>
      </c>
      <c r="J1117" s="7">
        <f>COUNTIF(Paper_Reference[Duplicate Key],Paper_Reference[[#This Row],[Duplicate Key]])</f>
        <v>1</v>
      </c>
    </row>
    <row r="1118" spans="1:10">
      <c r="A1118" s="7">
        <v>4</v>
      </c>
      <c r="B1118" s="8" t="s">
        <v>462</v>
      </c>
      <c r="C1118" s="8" t="s">
        <v>240</v>
      </c>
      <c r="D1118" s="7">
        <v>1</v>
      </c>
      <c r="E1118" s="7">
        <v>91</v>
      </c>
      <c r="F1118" s="7">
        <v>1</v>
      </c>
      <c r="G1118" s="8" t="s">
        <v>216</v>
      </c>
      <c r="H1118" s="8" t="s">
        <v>424</v>
      </c>
      <c r="I1118" s="7" t="str">
        <f>_xlfn.CONCAT(Paper_Reference[[#This Row],[Lvl]:[Paper Description]])</f>
        <v>4GIDBRUNSPPK32PRO HUNTER  LOGO 2LP W/ #101911100WM981-6200LEFT BRUNSWICK MAPLE (W)</v>
      </c>
      <c r="J1118" s="7">
        <f>COUNTIF(Paper_Reference[Duplicate Key],Paper_Reference[[#This Row],[Duplicate Key]])</f>
        <v>1</v>
      </c>
    </row>
    <row r="1119" spans="1:10">
      <c r="A1119" s="7">
        <v>4</v>
      </c>
      <c r="B1119" s="8" t="s">
        <v>462</v>
      </c>
      <c r="C1119" s="8" t="s">
        <v>240</v>
      </c>
      <c r="D1119" s="7">
        <v>1</v>
      </c>
      <c r="E1119" s="7">
        <v>91</v>
      </c>
      <c r="F1119" s="7">
        <v>2</v>
      </c>
      <c r="G1119" s="8" t="s">
        <v>214</v>
      </c>
      <c r="H1119" s="8" t="s">
        <v>423</v>
      </c>
      <c r="I1119" s="7" t="str">
        <f>_xlfn.CONCAT(Paper_Reference[[#This Row],[Lvl]:[Paper Description]])</f>
        <v>4GIDBRUNSPPK32PRO HUNTER  LOGO 2LP W/ #101912100WM991-4300MAPLE LANE PRINT (W)</v>
      </c>
      <c r="J1119" s="7">
        <f>COUNTIF(Paper_Reference[Duplicate Key],Paper_Reference[[#This Row],[Duplicate Key]])</f>
        <v>1</v>
      </c>
    </row>
    <row r="1120" spans="1:10">
      <c r="A1120" s="7">
        <v>3</v>
      </c>
      <c r="B1120" s="8" t="s">
        <v>464</v>
      </c>
      <c r="C1120" s="8" t="s">
        <v>242</v>
      </c>
      <c r="D1120" s="7">
        <v>1</v>
      </c>
      <c r="E1120" s="7">
        <v>91</v>
      </c>
      <c r="F1120" s="7">
        <v>2</v>
      </c>
      <c r="G1120" s="8" t="s">
        <v>214</v>
      </c>
      <c r="H1120" s="8" t="s">
        <v>423</v>
      </c>
      <c r="I1120" s="7" t="str">
        <f>_xlfn.CONCAT(Paper_Reference[[#This Row],[Lvl]:[Paper Description]])</f>
        <v>3GIDBRUNSPPK5GLOW 5FT (2 LANE PK) PRO-LANE1912100WM991-4300MAPLE LANE PRINT (W)</v>
      </c>
      <c r="J1120" s="7">
        <f>COUNTIF(Paper_Reference[Duplicate Key],Paper_Reference[[#This Row],[Duplicate Key]])</f>
        <v>1</v>
      </c>
    </row>
    <row r="1121" spans="1:10">
      <c r="A1121" s="7">
        <v>3</v>
      </c>
      <c r="B1121" s="8" t="s">
        <v>464</v>
      </c>
      <c r="C1121" s="8" t="s">
        <v>242</v>
      </c>
      <c r="D1121" s="7">
        <v>1</v>
      </c>
      <c r="E1121" s="7">
        <v>91</v>
      </c>
      <c r="F1121" s="7">
        <v>4</v>
      </c>
      <c r="G1121" s="8" t="s">
        <v>214</v>
      </c>
      <c r="H1121" s="8" t="s">
        <v>423</v>
      </c>
      <c r="I1121" s="7" t="str">
        <f>_xlfn.CONCAT(Paper_Reference[[#This Row],[Lvl]:[Paper Description]])</f>
        <v>3GIDBRUNSPPK5GLOW 5FT (2 LANE PK) PRO-LANE1914100WM991-4300MAPLE LANE PRINT (W)</v>
      </c>
      <c r="J1121" s="7">
        <f>COUNTIF(Paper_Reference[Duplicate Key],Paper_Reference[[#This Row],[Duplicate Key]])</f>
        <v>1</v>
      </c>
    </row>
    <row r="1122" spans="1:10">
      <c r="A1122" s="7">
        <v>4</v>
      </c>
      <c r="B1122" s="8" t="s">
        <v>464</v>
      </c>
      <c r="C1122" s="8" t="s">
        <v>242</v>
      </c>
      <c r="D1122" s="7">
        <v>1</v>
      </c>
      <c r="E1122" s="7">
        <v>91</v>
      </c>
      <c r="F1122" s="7">
        <v>1</v>
      </c>
      <c r="G1122" s="8" t="s">
        <v>215</v>
      </c>
      <c r="H1122" s="8" t="s">
        <v>422</v>
      </c>
      <c r="I1122" s="7" t="str">
        <f>_xlfn.CONCAT(Paper_Reference[[#This Row],[Lvl]:[Paper Description]])</f>
        <v>4GIDBRUNSPPK5GLOW 5FT (2 LANE PK) PRO-LANE1911100WM101-6200RIGHT BRUNSWICK MAPLE (W)</v>
      </c>
      <c r="J1122" s="7">
        <f>COUNTIF(Paper_Reference[Duplicate Key],Paper_Reference[[#This Row],[Duplicate Key]])</f>
        <v>1</v>
      </c>
    </row>
    <row r="1123" spans="1:10">
      <c r="A1123" s="7">
        <v>4</v>
      </c>
      <c r="B1123" s="8" t="s">
        <v>464</v>
      </c>
      <c r="C1123" s="8" t="s">
        <v>242</v>
      </c>
      <c r="D1123" s="7">
        <v>1</v>
      </c>
      <c r="E1123" s="7">
        <v>91</v>
      </c>
      <c r="F1123" s="7">
        <v>1</v>
      </c>
      <c r="G1123" s="8" t="s">
        <v>216</v>
      </c>
      <c r="H1123" s="8" t="s">
        <v>424</v>
      </c>
      <c r="I1123" s="7" t="str">
        <f>_xlfn.CONCAT(Paper_Reference[[#This Row],[Lvl]:[Paper Description]])</f>
        <v>4GIDBRUNSPPK5GLOW 5FT (2 LANE PK) PRO-LANE1911100WM981-6200LEFT BRUNSWICK MAPLE (W)</v>
      </c>
      <c r="J1123" s="7">
        <f>COUNTIF(Paper_Reference[Duplicate Key],Paper_Reference[[#This Row],[Duplicate Key]])</f>
        <v>1</v>
      </c>
    </row>
    <row r="1124" spans="1:10">
      <c r="A1124" s="7">
        <v>4</v>
      </c>
      <c r="B1124" s="8" t="s">
        <v>464</v>
      </c>
      <c r="C1124" s="8" t="s">
        <v>242</v>
      </c>
      <c r="D1124" s="7">
        <v>1</v>
      </c>
      <c r="E1124" s="7">
        <v>91</v>
      </c>
      <c r="F1124" s="7">
        <v>2</v>
      </c>
      <c r="G1124" s="8" t="s">
        <v>214</v>
      </c>
      <c r="H1124" s="8" t="s">
        <v>423</v>
      </c>
      <c r="I1124" s="7" t="str">
        <f>_xlfn.CONCAT(Paper_Reference[[#This Row],[Lvl]:[Paper Description]])</f>
        <v>4GIDBRUNSPPK5GLOW 5FT (2 LANE PK) PRO-LANE1912100WM991-4300MAPLE LANE PRINT (W)</v>
      </c>
      <c r="J1124" s="7">
        <f>COUNTIF(Paper_Reference[Duplicate Key],Paper_Reference[[#This Row],[Duplicate Key]])</f>
        <v>1</v>
      </c>
    </row>
    <row r="1125" spans="1:10">
      <c r="A1125" s="7">
        <v>3</v>
      </c>
      <c r="B1125" s="8" t="s">
        <v>465</v>
      </c>
      <c r="C1125" s="8" t="s">
        <v>229</v>
      </c>
      <c r="D1125" s="7">
        <v>1</v>
      </c>
      <c r="E1125" s="7">
        <v>91</v>
      </c>
      <c r="F1125" s="7">
        <v>2</v>
      </c>
      <c r="G1125" s="8" t="s">
        <v>214</v>
      </c>
      <c r="H1125" s="8" t="s">
        <v>423</v>
      </c>
      <c r="I1125" s="7" t="str">
        <f>_xlfn.CONCAT(Paper_Reference[[#This Row],[Lvl]:[Paper Description]])</f>
        <v>3GIDBRUNSPPK6GLOW (LANE ONLY) PRO-LANE1912100WM991-4300MAPLE LANE PRINT (W)</v>
      </c>
      <c r="J1125" s="7">
        <f>COUNTIF(Paper_Reference[Duplicate Key],Paper_Reference[[#This Row],[Duplicate Key]])</f>
        <v>1</v>
      </c>
    </row>
    <row r="1126" spans="1:10">
      <c r="A1126" s="7">
        <v>3</v>
      </c>
      <c r="B1126" s="8" t="s">
        <v>465</v>
      </c>
      <c r="C1126" s="8" t="s">
        <v>229</v>
      </c>
      <c r="D1126" s="7">
        <v>1</v>
      </c>
      <c r="E1126" s="7">
        <v>91</v>
      </c>
      <c r="F1126" s="7">
        <v>4</v>
      </c>
      <c r="G1126" s="8" t="s">
        <v>214</v>
      </c>
      <c r="H1126" s="8" t="s">
        <v>423</v>
      </c>
      <c r="I1126" s="7" t="str">
        <f>_xlfn.CONCAT(Paper_Reference[[#This Row],[Lvl]:[Paper Description]])</f>
        <v>3GIDBRUNSPPK6GLOW (LANE ONLY) PRO-LANE1914100WM991-4300MAPLE LANE PRINT (W)</v>
      </c>
      <c r="J1126" s="7">
        <f>COUNTIF(Paper_Reference[Duplicate Key],Paper_Reference[[#This Row],[Duplicate Key]])</f>
        <v>1</v>
      </c>
    </row>
    <row r="1127" spans="1:10">
      <c r="A1127" s="7">
        <v>4</v>
      </c>
      <c r="B1127" s="8" t="s">
        <v>465</v>
      </c>
      <c r="C1127" s="8" t="s">
        <v>229</v>
      </c>
      <c r="D1127" s="7">
        <v>1</v>
      </c>
      <c r="E1127" s="7">
        <v>91</v>
      </c>
      <c r="F1127" s="7">
        <v>2</v>
      </c>
      <c r="G1127" s="8" t="s">
        <v>214</v>
      </c>
      <c r="H1127" s="8" t="s">
        <v>423</v>
      </c>
      <c r="I1127" s="7" t="str">
        <f>_xlfn.CONCAT(Paper_Reference[[#This Row],[Lvl]:[Paper Description]])</f>
        <v>4GIDBRUNSPPK6GLOW (LANE ONLY) PRO-LANE1912100WM991-4300MAPLE LANE PRINT (W)</v>
      </c>
      <c r="J1127" s="7">
        <f>COUNTIF(Paper_Reference[Duplicate Key],Paper_Reference[[#This Row],[Duplicate Key]])</f>
        <v>1</v>
      </c>
    </row>
    <row r="1128" spans="1:10">
      <c r="A1128" s="7">
        <v>4</v>
      </c>
      <c r="B1128" s="8" t="s">
        <v>466</v>
      </c>
      <c r="C1128" s="8" t="s">
        <v>243</v>
      </c>
      <c r="D1128" s="7">
        <v>1</v>
      </c>
      <c r="E1128" s="7">
        <v>91</v>
      </c>
      <c r="F1128" s="7">
        <v>1</v>
      </c>
      <c r="G1128" s="8" t="s">
        <v>215</v>
      </c>
      <c r="H1128" s="8" t="s">
        <v>422</v>
      </c>
      <c r="I1128" s="7" t="str">
        <f>_xlfn.CONCAT(Paper_Reference[[#This Row],[Lvl]:[Paper Description]])</f>
        <v>4GIDBRUNSPPK7GLOW 5FT BULK PACK1911100WM101-6200RIGHT BRUNSWICK MAPLE (W)</v>
      </c>
      <c r="J1128" s="7">
        <f>COUNTIF(Paper_Reference[Duplicate Key],Paper_Reference[[#This Row],[Duplicate Key]])</f>
        <v>1</v>
      </c>
    </row>
    <row r="1129" spans="1:10">
      <c r="A1129" s="7">
        <v>4</v>
      </c>
      <c r="B1129" s="8" t="s">
        <v>466</v>
      </c>
      <c r="C1129" s="8" t="s">
        <v>243</v>
      </c>
      <c r="D1129" s="7">
        <v>1</v>
      </c>
      <c r="E1129" s="7">
        <v>91</v>
      </c>
      <c r="F1129" s="7">
        <v>1</v>
      </c>
      <c r="G1129" s="8" t="s">
        <v>216</v>
      </c>
      <c r="H1129" s="8" t="s">
        <v>424</v>
      </c>
      <c r="I1129" s="7" t="str">
        <f>_xlfn.CONCAT(Paper_Reference[[#This Row],[Lvl]:[Paper Description]])</f>
        <v>4GIDBRUNSPPK7GLOW 5FT BULK PACK1911100WM981-6200LEFT BRUNSWICK MAPLE (W)</v>
      </c>
      <c r="J1129" s="7">
        <f>COUNTIF(Paper_Reference[Duplicate Key],Paper_Reference[[#This Row],[Duplicate Key]])</f>
        <v>1</v>
      </c>
    </row>
    <row r="1130" spans="1:10">
      <c r="A1130" s="7">
        <v>4</v>
      </c>
      <c r="B1130" s="8" t="s">
        <v>466</v>
      </c>
      <c r="C1130" s="8" t="s">
        <v>243</v>
      </c>
      <c r="D1130" s="7">
        <v>1</v>
      </c>
      <c r="E1130" s="7">
        <v>91</v>
      </c>
      <c r="F1130" s="7">
        <v>2</v>
      </c>
      <c r="G1130" s="8" t="s">
        <v>214</v>
      </c>
      <c r="H1130" s="8" t="s">
        <v>423</v>
      </c>
      <c r="I1130" s="7" t="str">
        <f>_xlfn.CONCAT(Paper_Reference[[#This Row],[Lvl]:[Paper Description]])</f>
        <v>4GIDBRUNSPPK7GLOW 5FT BULK PACK1912100WM991-4300MAPLE LANE PRINT (W)</v>
      </c>
      <c r="J1130" s="7">
        <f>COUNTIF(Paper_Reference[Duplicate Key],Paper_Reference[[#This Row],[Duplicate Key]])</f>
        <v>1</v>
      </c>
    </row>
    <row r="1131" spans="1:10">
      <c r="A1131" s="7">
        <v>4</v>
      </c>
      <c r="B1131" s="8" t="s">
        <v>467</v>
      </c>
      <c r="C1131" s="8" t="s">
        <v>230</v>
      </c>
      <c r="D1131" s="7">
        <v>1</v>
      </c>
      <c r="E1131" s="7">
        <v>91</v>
      </c>
      <c r="F1131" s="7">
        <v>2</v>
      </c>
      <c r="G1131" s="8" t="s">
        <v>214</v>
      </c>
      <c r="H1131" s="8" t="s">
        <v>423</v>
      </c>
      <c r="I1131" s="7" t="str">
        <f>_xlfn.CONCAT(Paper_Reference[[#This Row],[Lvl]:[Paper Description]])</f>
        <v>4GIDBRUNSPPK8GLOW (HEAD LANE ONLY) PRO-LANE1912100WM991-4300MAPLE LANE PRINT (W)</v>
      </c>
      <c r="J1131" s="7">
        <f>COUNTIF(Paper_Reference[Duplicate Key],Paper_Reference[[#This Row],[Duplicate Key]])</f>
        <v>1</v>
      </c>
    </row>
    <row r="1132" spans="1:10">
      <c r="A1132" s="7">
        <v>3</v>
      </c>
      <c r="B1132" s="8" t="s">
        <v>468</v>
      </c>
      <c r="C1132" s="8" t="s">
        <v>244</v>
      </c>
      <c r="D1132" s="7">
        <v>1</v>
      </c>
      <c r="E1132" s="7">
        <v>91</v>
      </c>
      <c r="F1132" s="7">
        <v>2</v>
      </c>
      <c r="G1132" s="8" t="s">
        <v>214</v>
      </c>
      <c r="H1132" s="8" t="s">
        <v>423</v>
      </c>
      <c r="I1132" s="7" t="str">
        <f>_xlfn.CONCAT(Paper_Reference[[#This Row],[Lvl]:[Paper Description]])</f>
        <v>3GIDBRUNSPPK9GLOW II 5FT(2 LANE PK) PROLANE1912100WM991-4300MAPLE LANE PRINT (W)</v>
      </c>
      <c r="J1132" s="7">
        <f>COUNTIF(Paper_Reference[Duplicate Key],Paper_Reference[[#This Row],[Duplicate Key]])</f>
        <v>1</v>
      </c>
    </row>
    <row r="1133" spans="1:10">
      <c r="A1133" s="7">
        <v>3</v>
      </c>
      <c r="B1133" s="8" t="s">
        <v>468</v>
      </c>
      <c r="C1133" s="8" t="s">
        <v>244</v>
      </c>
      <c r="D1133" s="7">
        <v>1</v>
      </c>
      <c r="E1133" s="7">
        <v>91</v>
      </c>
      <c r="F1133" s="7">
        <v>4</v>
      </c>
      <c r="G1133" s="8" t="s">
        <v>214</v>
      </c>
      <c r="H1133" s="8" t="s">
        <v>423</v>
      </c>
      <c r="I1133" s="7" t="str">
        <f>_xlfn.CONCAT(Paper_Reference[[#This Row],[Lvl]:[Paper Description]])</f>
        <v>3GIDBRUNSPPK9GLOW II 5FT(2 LANE PK) PROLANE1914100WM991-4300MAPLE LANE PRINT (W)</v>
      </c>
      <c r="J1133" s="7">
        <f>COUNTIF(Paper_Reference[Duplicate Key],Paper_Reference[[#This Row],[Duplicate Key]])</f>
        <v>1</v>
      </c>
    </row>
    <row r="1134" spans="1:10">
      <c r="A1134" s="7">
        <v>4</v>
      </c>
      <c r="B1134" s="8" t="s">
        <v>468</v>
      </c>
      <c r="C1134" s="8" t="s">
        <v>244</v>
      </c>
      <c r="D1134" s="7">
        <v>1</v>
      </c>
      <c r="E1134" s="7">
        <v>91</v>
      </c>
      <c r="F1134" s="7">
        <v>1</v>
      </c>
      <c r="G1134" s="8" t="s">
        <v>215</v>
      </c>
      <c r="H1134" s="8" t="s">
        <v>422</v>
      </c>
      <c r="I1134" s="7" t="str">
        <f>_xlfn.CONCAT(Paper_Reference[[#This Row],[Lvl]:[Paper Description]])</f>
        <v>4GIDBRUNSPPK9GLOW II 5FT(2 LANE PK) PROLANE1911100WM101-6200RIGHT BRUNSWICK MAPLE (W)</v>
      </c>
      <c r="J1134" s="7">
        <f>COUNTIF(Paper_Reference[Duplicate Key],Paper_Reference[[#This Row],[Duplicate Key]])</f>
        <v>1</v>
      </c>
    </row>
    <row r="1135" spans="1:10">
      <c r="A1135" s="7">
        <v>4</v>
      </c>
      <c r="B1135" s="8" t="s">
        <v>468</v>
      </c>
      <c r="C1135" s="8" t="s">
        <v>244</v>
      </c>
      <c r="D1135" s="7">
        <v>1</v>
      </c>
      <c r="E1135" s="7">
        <v>91</v>
      </c>
      <c r="F1135" s="7">
        <v>1</v>
      </c>
      <c r="G1135" s="8" t="s">
        <v>216</v>
      </c>
      <c r="H1135" s="8" t="s">
        <v>424</v>
      </c>
      <c r="I1135" s="7" t="str">
        <f>_xlfn.CONCAT(Paper_Reference[[#This Row],[Lvl]:[Paper Description]])</f>
        <v>4GIDBRUNSPPK9GLOW II 5FT(2 LANE PK) PROLANE1911100WM981-6200LEFT BRUNSWICK MAPLE (W)</v>
      </c>
      <c r="J1135" s="7">
        <f>COUNTIF(Paper_Reference[Duplicate Key],Paper_Reference[[#This Row],[Duplicate Key]])</f>
        <v>1</v>
      </c>
    </row>
    <row r="1136" spans="1:10">
      <c r="A1136" s="7">
        <v>4</v>
      </c>
      <c r="B1136" s="8" t="s">
        <v>468</v>
      </c>
      <c r="C1136" s="8" t="s">
        <v>244</v>
      </c>
      <c r="D1136" s="7">
        <v>1</v>
      </c>
      <c r="E1136" s="7">
        <v>91</v>
      </c>
      <c r="F1136" s="7">
        <v>2</v>
      </c>
      <c r="G1136" s="8" t="s">
        <v>214</v>
      </c>
      <c r="H1136" s="8" t="s">
        <v>423</v>
      </c>
      <c r="I1136" s="7" t="str">
        <f>_xlfn.CONCAT(Paper_Reference[[#This Row],[Lvl]:[Paper Description]])</f>
        <v>4GIDBRUNSPPK9GLOW II 5FT(2 LANE PK) PROLANE1912100WM991-4300MAPLE LANE PRINT (W)</v>
      </c>
      <c r="J1136" s="7">
        <f>COUNTIF(Paper_Reference[Duplicate Key],Paper_Reference[[#This Row],[Duplicate Key]])</f>
        <v>1</v>
      </c>
    </row>
    <row r="1137" spans="1:10">
      <c r="A1137" s="7">
        <v>3</v>
      </c>
      <c r="B1137" s="8" t="s">
        <v>469</v>
      </c>
      <c r="C1137" s="8" t="s">
        <v>245</v>
      </c>
      <c r="D1137" s="7">
        <v>1</v>
      </c>
      <c r="E1137" s="7">
        <v>91</v>
      </c>
      <c r="F1137" s="7">
        <v>2</v>
      </c>
      <c r="G1137" s="8" t="s">
        <v>214</v>
      </c>
      <c r="H1137" s="8" t="s">
        <v>423</v>
      </c>
      <c r="I1137" s="7" t="str">
        <f>_xlfn.CONCAT(Paper_Reference[[#This Row],[Lvl]:[Paper Description]])</f>
        <v>3GIDPALMSPPK14PRO II TEX (2 L/P PALMS)1912100WM991-4300MAPLE LANE PRINT (W)</v>
      </c>
      <c r="J1137" s="7">
        <f>COUNTIF(Paper_Reference[Duplicate Key],Paper_Reference[[#This Row],[Duplicate Key]])</f>
        <v>1</v>
      </c>
    </row>
    <row r="1138" spans="1:10">
      <c r="A1138" s="7">
        <v>3</v>
      </c>
      <c r="B1138" s="8" t="s">
        <v>469</v>
      </c>
      <c r="C1138" s="8" t="s">
        <v>245</v>
      </c>
      <c r="D1138" s="7">
        <v>1</v>
      </c>
      <c r="E1138" s="7">
        <v>91</v>
      </c>
      <c r="F1138" s="7">
        <v>4</v>
      </c>
      <c r="G1138" s="8" t="s">
        <v>214</v>
      </c>
      <c r="H1138" s="8" t="s">
        <v>423</v>
      </c>
      <c r="I1138" s="7" t="str">
        <f>_xlfn.CONCAT(Paper_Reference[[#This Row],[Lvl]:[Paper Description]])</f>
        <v>3GIDPALMSPPK14PRO II TEX (2 L/P PALMS)1914100WM991-4300MAPLE LANE PRINT (W)</v>
      </c>
      <c r="J1138" s="7">
        <f>COUNTIF(Paper_Reference[Duplicate Key],Paper_Reference[[#This Row],[Duplicate Key]])</f>
        <v>1</v>
      </c>
    </row>
    <row r="1139" spans="1:10">
      <c r="A1139" s="7">
        <v>4</v>
      </c>
      <c r="B1139" s="8" t="s">
        <v>469</v>
      </c>
      <c r="C1139" s="8" t="s">
        <v>245</v>
      </c>
      <c r="D1139" s="7">
        <v>1</v>
      </c>
      <c r="E1139" s="7">
        <v>91</v>
      </c>
      <c r="F1139" s="7">
        <v>1</v>
      </c>
      <c r="G1139" s="8" t="s">
        <v>215</v>
      </c>
      <c r="H1139" s="8" t="s">
        <v>422</v>
      </c>
      <c r="I1139" s="7" t="str">
        <f>_xlfn.CONCAT(Paper_Reference[[#This Row],[Lvl]:[Paper Description]])</f>
        <v>4GIDPALMSPPK14PRO II TEX (2 L/P PALMS)1911100WM101-6200RIGHT BRUNSWICK MAPLE (W)</v>
      </c>
      <c r="J1139" s="7">
        <f>COUNTIF(Paper_Reference[Duplicate Key],Paper_Reference[[#This Row],[Duplicate Key]])</f>
        <v>1</v>
      </c>
    </row>
    <row r="1140" spans="1:10">
      <c r="A1140" s="7">
        <v>4</v>
      </c>
      <c r="B1140" s="8" t="s">
        <v>469</v>
      </c>
      <c r="C1140" s="8" t="s">
        <v>245</v>
      </c>
      <c r="D1140" s="7">
        <v>1</v>
      </c>
      <c r="E1140" s="7">
        <v>91</v>
      </c>
      <c r="F1140" s="7">
        <v>1</v>
      </c>
      <c r="G1140" s="8" t="s">
        <v>216</v>
      </c>
      <c r="H1140" s="8" t="s">
        <v>424</v>
      </c>
      <c r="I1140" s="7" t="str">
        <f>_xlfn.CONCAT(Paper_Reference[[#This Row],[Lvl]:[Paper Description]])</f>
        <v>4GIDPALMSPPK14PRO II TEX (2 L/P PALMS)1911100WM981-6200LEFT BRUNSWICK MAPLE (W)</v>
      </c>
      <c r="J1140" s="7">
        <f>COUNTIF(Paper_Reference[Duplicate Key],Paper_Reference[[#This Row],[Duplicate Key]])</f>
        <v>1</v>
      </c>
    </row>
    <row r="1141" spans="1:10">
      <c r="A1141" s="7">
        <v>4</v>
      </c>
      <c r="B1141" s="8" t="s">
        <v>469</v>
      </c>
      <c r="C1141" s="8" t="s">
        <v>245</v>
      </c>
      <c r="D1141" s="7">
        <v>1</v>
      </c>
      <c r="E1141" s="7">
        <v>91</v>
      </c>
      <c r="F1141" s="7">
        <v>2</v>
      </c>
      <c r="G1141" s="8" t="s">
        <v>214</v>
      </c>
      <c r="H1141" s="8" t="s">
        <v>423</v>
      </c>
      <c r="I1141" s="7" t="str">
        <f>_xlfn.CONCAT(Paper_Reference[[#This Row],[Lvl]:[Paper Description]])</f>
        <v>4GIDPALMSPPK14PRO II TEX (2 L/P PALMS)1912100WM991-4300MAPLE LANE PRINT (W)</v>
      </c>
      <c r="J1141" s="7">
        <f>COUNTIF(Paper_Reference[Duplicate Key],Paper_Reference[[#This Row],[Duplicate Key]])</f>
        <v>1</v>
      </c>
    </row>
    <row r="1142" spans="1:10">
      <c r="A1142" s="7">
        <v>5</v>
      </c>
      <c r="B1142" s="8" t="s">
        <v>469</v>
      </c>
      <c r="C1142" s="8" t="s">
        <v>245</v>
      </c>
      <c r="D1142" s="7">
        <v>1</v>
      </c>
      <c r="E1142" s="7">
        <v>91</v>
      </c>
      <c r="F1142" s="7">
        <v>1</v>
      </c>
      <c r="G1142" s="8" t="s">
        <v>215</v>
      </c>
      <c r="H1142" s="8" t="s">
        <v>422</v>
      </c>
      <c r="I1142" s="7" t="str">
        <f>_xlfn.CONCAT(Paper_Reference[[#This Row],[Lvl]:[Paper Description]])</f>
        <v>5GIDPALMSPPK14PRO II TEX (2 L/P PALMS)1911100WM101-6200RIGHT BRUNSWICK MAPLE (W)</v>
      </c>
      <c r="J1142" s="7">
        <f>COUNTIF(Paper_Reference[Duplicate Key],Paper_Reference[[#This Row],[Duplicate Key]])</f>
        <v>1</v>
      </c>
    </row>
    <row r="1143" spans="1:10">
      <c r="A1143" s="7">
        <v>5</v>
      </c>
      <c r="B1143" s="8" t="s">
        <v>469</v>
      </c>
      <c r="C1143" s="8" t="s">
        <v>245</v>
      </c>
      <c r="D1143" s="7">
        <v>1</v>
      </c>
      <c r="E1143" s="7">
        <v>91</v>
      </c>
      <c r="F1143" s="7">
        <v>1</v>
      </c>
      <c r="G1143" s="8" t="s">
        <v>216</v>
      </c>
      <c r="H1143" s="8" t="s">
        <v>424</v>
      </c>
      <c r="I1143" s="7" t="str">
        <f>_xlfn.CONCAT(Paper_Reference[[#This Row],[Lvl]:[Paper Description]])</f>
        <v>5GIDPALMSPPK14PRO II TEX (2 L/P PALMS)1911100WM981-6200LEFT BRUNSWICK MAPLE (W)</v>
      </c>
      <c r="J1143" s="7">
        <f>COUNTIF(Paper_Reference[Duplicate Key],Paper_Reference[[#This Row],[Duplicate Key]])</f>
        <v>1</v>
      </c>
    </row>
    <row r="1144" spans="1:10">
      <c r="A1144" s="7">
        <v>3</v>
      </c>
      <c r="B1144" s="8" t="s">
        <v>470</v>
      </c>
      <c r="C1144" s="8" t="s">
        <v>246</v>
      </c>
      <c r="D1144" s="7">
        <v>1</v>
      </c>
      <c r="E1144" s="7">
        <v>91</v>
      </c>
      <c r="F1144" s="7">
        <v>4</v>
      </c>
      <c r="G1144" s="8" t="s">
        <v>214</v>
      </c>
      <c r="H1144" s="8" t="s">
        <v>423</v>
      </c>
      <c r="I1144" s="7" t="str">
        <f>_xlfn.CONCAT(Paper_Reference[[#This Row],[Lvl]:[Paper Description]])</f>
        <v>3GIDPROCPPPK28PRO CAN PIN 2LP W/ #101914100WM991-4300MAPLE LANE PRINT (W)</v>
      </c>
      <c r="J1144" s="7">
        <f>COUNTIF(Paper_Reference[Duplicate Key],Paper_Reference[[#This Row],[Duplicate Key]])</f>
        <v>1</v>
      </c>
    </row>
    <row r="1145" spans="1:10">
      <c r="A1145" s="7">
        <v>4</v>
      </c>
      <c r="B1145" s="8" t="s">
        <v>470</v>
      </c>
      <c r="C1145" s="8" t="s">
        <v>246</v>
      </c>
      <c r="D1145" s="7">
        <v>1</v>
      </c>
      <c r="E1145" s="7">
        <v>91</v>
      </c>
      <c r="F1145" s="7">
        <v>1</v>
      </c>
      <c r="G1145" s="8" t="s">
        <v>215</v>
      </c>
      <c r="H1145" s="8" t="s">
        <v>422</v>
      </c>
      <c r="I1145" s="7" t="str">
        <f>_xlfn.CONCAT(Paper_Reference[[#This Row],[Lvl]:[Paper Description]])</f>
        <v>4GIDPROCPPPK28PRO CAN PIN 2LP W/ #101911100WM101-6200RIGHT BRUNSWICK MAPLE (W)</v>
      </c>
      <c r="J1145" s="7">
        <f>COUNTIF(Paper_Reference[Duplicate Key],Paper_Reference[[#This Row],[Duplicate Key]])</f>
        <v>1</v>
      </c>
    </row>
    <row r="1146" spans="1:10">
      <c r="A1146" s="7">
        <v>4</v>
      </c>
      <c r="B1146" s="8" t="s">
        <v>470</v>
      </c>
      <c r="C1146" s="8" t="s">
        <v>246</v>
      </c>
      <c r="D1146" s="7">
        <v>1</v>
      </c>
      <c r="E1146" s="7">
        <v>91</v>
      </c>
      <c r="F1146" s="7">
        <v>1</v>
      </c>
      <c r="G1146" s="8" t="s">
        <v>216</v>
      </c>
      <c r="H1146" s="8" t="s">
        <v>424</v>
      </c>
      <c r="I1146" s="7" t="str">
        <f>_xlfn.CONCAT(Paper_Reference[[#This Row],[Lvl]:[Paper Description]])</f>
        <v>4GIDPROCPPPK28PRO CAN PIN 2LP W/ #101911100WM981-6200LEFT BRUNSWICK MAPLE (W)</v>
      </c>
      <c r="J1146" s="7">
        <f>COUNTIF(Paper_Reference[Duplicate Key],Paper_Reference[[#This Row],[Duplicate Key]])</f>
        <v>1</v>
      </c>
    </row>
    <row r="1147" spans="1:10">
      <c r="A1147" s="7">
        <v>4</v>
      </c>
      <c r="B1147" s="8" t="s">
        <v>470</v>
      </c>
      <c r="C1147" s="8" t="s">
        <v>246</v>
      </c>
      <c r="D1147" s="7">
        <v>1</v>
      </c>
      <c r="E1147" s="7">
        <v>91</v>
      </c>
      <c r="F1147" s="7">
        <v>2</v>
      </c>
      <c r="G1147" s="8" t="s">
        <v>214</v>
      </c>
      <c r="H1147" s="8" t="s">
        <v>423</v>
      </c>
      <c r="I1147" s="7" t="str">
        <f>_xlfn.CONCAT(Paper_Reference[[#This Row],[Lvl]:[Paper Description]])</f>
        <v>4GIDPROCPPPK28PRO CAN PIN 2LP W/ #101912100WM991-4300MAPLE LANE PRINT (W)</v>
      </c>
      <c r="J1147" s="7">
        <f>COUNTIF(Paper_Reference[Duplicate Key],Paper_Reference[[#This Row],[Duplicate Key]])</f>
        <v>1</v>
      </c>
    </row>
    <row r="1148" spans="1:10">
      <c r="A1148" s="7">
        <v>3</v>
      </c>
      <c r="B1148" s="8" t="s">
        <v>6175</v>
      </c>
      <c r="C1148" s="8" t="s">
        <v>5714</v>
      </c>
      <c r="D1148" s="7">
        <v>1</v>
      </c>
      <c r="E1148" s="7">
        <v>91</v>
      </c>
      <c r="F1148" s="7">
        <v>1</v>
      </c>
      <c r="G1148" s="8" t="s">
        <v>5690</v>
      </c>
      <c r="H1148" s="8" t="s">
        <v>5691</v>
      </c>
      <c r="I1148" s="7" t="str">
        <f>_xlfn.CONCAT(Paper_Reference[[#This Row],[Lvl]:[Paper Description]])</f>
        <v>3GLAZOWUVPPK1GLAZOW UV TWO LANE PACK1911100DS009-6200FROSTY WHITE</v>
      </c>
      <c r="J1148" s="7">
        <f>COUNTIF(Paper_Reference[Duplicate Key],Paper_Reference[[#This Row],[Duplicate Key]])</f>
        <v>1</v>
      </c>
    </row>
    <row r="1149" spans="1:10">
      <c r="A1149" s="7">
        <v>3</v>
      </c>
      <c r="B1149" s="8" t="s">
        <v>6175</v>
      </c>
      <c r="C1149" s="8" t="s">
        <v>5714</v>
      </c>
      <c r="D1149" s="7">
        <v>1</v>
      </c>
      <c r="E1149" s="7">
        <v>91</v>
      </c>
      <c r="F1149" s="7">
        <v>6</v>
      </c>
      <c r="G1149" s="8" t="s">
        <v>6710</v>
      </c>
      <c r="H1149" s="8" t="s">
        <v>5691</v>
      </c>
      <c r="I1149" s="7" t="str">
        <f>_xlfn.CONCAT(Paper_Reference[[#This Row],[Lvl]:[Paper Description]])</f>
        <v>3GLAZOWUVPPK1GLAZOW UV TWO LANE PACK1916100DS009-5000FROSTY WHITE</v>
      </c>
      <c r="J1149" s="7">
        <f>COUNTIF(Paper_Reference[Duplicate Key],Paper_Reference[[#This Row],[Duplicate Key]])</f>
        <v>1</v>
      </c>
    </row>
    <row r="1150" spans="1:10">
      <c r="A1150" s="7">
        <v>4</v>
      </c>
      <c r="B1150" s="8" t="s">
        <v>5599</v>
      </c>
      <c r="C1150" s="8" t="s">
        <v>5412</v>
      </c>
      <c r="D1150" s="7">
        <v>1</v>
      </c>
      <c r="E1150" s="7">
        <v>91</v>
      </c>
      <c r="F1150" s="7">
        <v>3</v>
      </c>
      <c r="G1150" s="8" t="s">
        <v>5373</v>
      </c>
      <c r="H1150" s="8" t="s">
        <v>5374</v>
      </c>
      <c r="I1150" s="7" t="str">
        <f>_xlfn.CONCAT(Paper_Reference[[#This Row],[Lvl]:[Paper Description]])</f>
        <v>4GUNSTOCKAPK1WW971 GS ONE LANE PK1913100WW971-6200GUN SAVOY WALNUT</v>
      </c>
      <c r="J1150" s="7">
        <f>COUNTIF(Paper_Reference[Duplicate Key],Paper_Reference[[#This Row],[Duplicate Key]])</f>
        <v>1</v>
      </c>
    </row>
    <row r="1151" spans="1:10">
      <c r="A1151" s="7">
        <v>4</v>
      </c>
      <c r="B1151" s="8" t="s">
        <v>5600</v>
      </c>
      <c r="C1151" s="8" t="s">
        <v>5413</v>
      </c>
      <c r="D1151" s="7">
        <v>1</v>
      </c>
      <c r="E1151" s="7">
        <v>91</v>
      </c>
      <c r="F1151" s="7">
        <v>1</v>
      </c>
      <c r="G1151" s="8" t="s">
        <v>5373</v>
      </c>
      <c r="H1151" s="8" t="s">
        <v>5374</v>
      </c>
      <c r="I1151" s="7" t="str">
        <f>_xlfn.CONCAT(Paper_Reference[[#This Row],[Lvl]:[Paper Description]])</f>
        <v>4GUNSTOCKAPK2WW974 CGS TWO LANE PK1911100WW971-6200GUN SAVOY WALNUT</v>
      </c>
      <c r="J1151" s="7">
        <f>COUNTIF(Paper_Reference[Duplicate Key],Paper_Reference[[#This Row],[Duplicate Key]])</f>
        <v>1</v>
      </c>
    </row>
    <row r="1152" spans="1:10">
      <c r="A1152" s="7">
        <v>3</v>
      </c>
      <c r="B1152" s="8" t="s">
        <v>5601</v>
      </c>
      <c r="C1152" s="8" t="s">
        <v>5414</v>
      </c>
      <c r="D1152" s="7">
        <v>1</v>
      </c>
      <c r="E1152" s="7">
        <v>91</v>
      </c>
      <c r="F1152" s="7">
        <v>1</v>
      </c>
      <c r="G1152" s="8" t="s">
        <v>5373</v>
      </c>
      <c r="H1152" s="8" t="s">
        <v>5374</v>
      </c>
      <c r="I1152" s="7" t="str">
        <f>_xlfn.CONCAT(Paper_Reference[[#This Row],[Lvl]:[Paper Description]])</f>
        <v>3GUNSTOCKAPK3WW971 GS TWO LANE PK1911100WW971-6200GUN SAVOY WALNUT</v>
      </c>
      <c r="J1152" s="7">
        <f>COUNTIF(Paper_Reference[Duplicate Key],Paper_Reference[[#This Row],[Duplicate Key]])</f>
        <v>1</v>
      </c>
    </row>
    <row r="1153" spans="1:10">
      <c r="A1153" s="7">
        <v>3</v>
      </c>
      <c r="B1153" s="8" t="s">
        <v>5602</v>
      </c>
      <c r="C1153" s="8" t="s">
        <v>5415</v>
      </c>
      <c r="D1153" s="7">
        <v>1</v>
      </c>
      <c r="E1153" s="7">
        <v>91</v>
      </c>
      <c r="F1153" s="7">
        <v>1</v>
      </c>
      <c r="G1153" s="8" t="s">
        <v>5373</v>
      </c>
      <c r="H1153" s="8" t="s">
        <v>5374</v>
      </c>
      <c r="I1153" s="7" t="str">
        <f>_xlfn.CONCAT(Paper_Reference[[#This Row],[Lvl]:[Paper Description]])</f>
        <v>3GUNSTOCKAPK4WW974 CGS UV  TWO LANE PK1911100WW971-6200GUN SAVOY WALNUT</v>
      </c>
      <c r="J1153" s="7">
        <f>COUNTIF(Paper_Reference[Duplicate Key],Paper_Reference[[#This Row],[Duplicate Key]])</f>
        <v>1</v>
      </c>
    </row>
    <row r="1154" spans="1:10">
      <c r="A1154" s="7">
        <v>4</v>
      </c>
      <c r="B1154" s="8" t="s">
        <v>5603</v>
      </c>
      <c r="C1154" s="8" t="s">
        <v>5416</v>
      </c>
      <c r="D1154" s="7">
        <v>1</v>
      </c>
      <c r="E1154" s="7">
        <v>91</v>
      </c>
      <c r="F1154" s="7">
        <v>1</v>
      </c>
      <c r="G1154" s="8" t="s">
        <v>5373</v>
      </c>
      <c r="H1154" s="8" t="s">
        <v>5374</v>
      </c>
      <c r="I1154" s="7" t="str">
        <f>_xlfn.CONCAT(Paper_Reference[[#This Row],[Lvl]:[Paper Description]])</f>
        <v>4GUNSTOCKAPK5WW974 CGS UV ONE LANE PK1911100WW971-6200GUN SAVOY WALNUT</v>
      </c>
      <c r="J1154" s="7">
        <f>COUNTIF(Paper_Reference[Duplicate Key],Paper_Reference[[#This Row],[Duplicate Key]])</f>
        <v>1</v>
      </c>
    </row>
    <row r="1155" spans="1:10">
      <c r="A1155" s="7">
        <v>4</v>
      </c>
      <c r="B1155" s="8" t="s">
        <v>5604</v>
      </c>
      <c r="C1155" s="8" t="s">
        <v>5417</v>
      </c>
      <c r="D1155" s="7">
        <v>1</v>
      </c>
      <c r="E1155" s="7">
        <v>91</v>
      </c>
      <c r="F1155" s="7">
        <v>1</v>
      </c>
      <c r="G1155" s="8" t="s">
        <v>5373</v>
      </c>
      <c r="H1155" s="8" t="s">
        <v>5374</v>
      </c>
      <c r="I1155" s="7" t="str">
        <f>_xlfn.CONCAT(Paper_Reference[[#This Row],[Lvl]:[Paper Description]])</f>
        <v>4GUNSTOCKAPK6WW974 CGS UV  47 FT T/A 2LP1911100WW971-6200GUN SAVOY WALNUT</v>
      </c>
      <c r="J1155" s="7">
        <f>COUNTIF(Paper_Reference[Duplicate Key],Paper_Reference[[#This Row],[Duplicate Key]])</f>
        <v>1</v>
      </c>
    </row>
    <row r="1156" spans="1:10">
      <c r="A1156" s="7">
        <v>4</v>
      </c>
      <c r="B1156" s="8" t="s">
        <v>5605</v>
      </c>
      <c r="C1156" s="8" t="s">
        <v>5415</v>
      </c>
      <c r="D1156" s="7">
        <v>1</v>
      </c>
      <c r="E1156" s="7">
        <v>91</v>
      </c>
      <c r="F1156" s="7">
        <v>3</v>
      </c>
      <c r="G1156" s="8" t="s">
        <v>5373</v>
      </c>
      <c r="H1156" s="8" t="s">
        <v>5374</v>
      </c>
      <c r="I1156" s="7" t="str">
        <f>_xlfn.CONCAT(Paper_Reference[[#This Row],[Lvl]:[Paper Description]])</f>
        <v>4GUNSTOCKAPK7WW974 CGS UV  TWO LANE PK1913100WW971-6200GUN SAVOY WALNUT</v>
      </c>
      <c r="J1156" s="7">
        <f>COUNTIF(Paper_Reference[Duplicate Key],Paper_Reference[[#This Row],[Duplicate Key]])</f>
        <v>1</v>
      </c>
    </row>
    <row r="1157" spans="1:10">
      <c r="A1157" s="7">
        <v>2</v>
      </c>
      <c r="B1157" s="8" t="s">
        <v>4939</v>
      </c>
      <c r="C1157" s="8" t="s">
        <v>4379</v>
      </c>
      <c r="D1157" s="7">
        <v>1</v>
      </c>
      <c r="E1157" s="7">
        <v>10</v>
      </c>
      <c r="F1157" s="7">
        <v>1</v>
      </c>
      <c r="G1157" s="8" t="s">
        <v>4371</v>
      </c>
      <c r="H1157" s="8" t="s">
        <v>4372</v>
      </c>
      <c r="I1157" s="7" t="str">
        <f>_xlfn.CONCAT(Paper_Reference[[#This Row],[Lvl]:[Paper Description]])</f>
        <v>2H28SE101SD520BLACK 60 X 1441101100DS064-6200BLACK</v>
      </c>
      <c r="J1157" s="7">
        <f>COUNTIF(Paper_Reference[Duplicate Key],Paper_Reference[[#This Row],[Duplicate Key]])</f>
        <v>1</v>
      </c>
    </row>
    <row r="1158" spans="1:10">
      <c r="A1158" s="7">
        <v>2</v>
      </c>
      <c r="B1158" s="8" t="s">
        <v>4940</v>
      </c>
      <c r="C1158" s="8" t="s">
        <v>4409</v>
      </c>
      <c r="D1158" s="7">
        <v>1</v>
      </c>
      <c r="E1158" s="7">
        <v>10</v>
      </c>
      <c r="F1158" s="7">
        <v>1</v>
      </c>
      <c r="G1158" s="8" t="s">
        <v>4371</v>
      </c>
      <c r="H1158" s="8" t="s">
        <v>4372</v>
      </c>
      <c r="I1158" s="7" t="str">
        <f>_xlfn.CONCAT(Paper_Reference[[#This Row],[Lvl]:[Paper Description]])</f>
        <v>2H28SE101SDCMT1BLACK 61 X 1211101100DS064-6200BLACK</v>
      </c>
      <c r="J1158" s="7">
        <f>COUNTIF(Paper_Reference[Duplicate Key],Paper_Reference[[#This Row],[Duplicate Key]])</f>
        <v>1</v>
      </c>
    </row>
    <row r="1159" spans="1:10">
      <c r="A1159" s="7">
        <v>2</v>
      </c>
      <c r="B1159" s="8" t="s">
        <v>4941</v>
      </c>
      <c r="C1159" s="8" t="s">
        <v>4468</v>
      </c>
      <c r="D1159" s="7">
        <v>1</v>
      </c>
      <c r="E1159" s="7">
        <v>10</v>
      </c>
      <c r="F1159" s="7">
        <v>1</v>
      </c>
      <c r="G1159" s="8" t="s">
        <v>4371</v>
      </c>
      <c r="H1159" s="8" t="s">
        <v>4372</v>
      </c>
      <c r="I1159" s="7" t="str">
        <f>_xlfn.CONCAT(Paper_Reference[[#This Row],[Lvl]:[Paper Description]])</f>
        <v>2H28SE101SDFMR1BLACK 61 X 731101100DS064-6200BLACK</v>
      </c>
      <c r="J1159" s="7">
        <f>COUNTIF(Paper_Reference[Duplicate Key],Paper_Reference[[#This Row],[Duplicate Key]])</f>
        <v>1</v>
      </c>
    </row>
    <row r="1160" spans="1:10">
      <c r="A1160" s="7">
        <v>2</v>
      </c>
      <c r="B1160" s="8" t="s">
        <v>4942</v>
      </c>
      <c r="C1160" s="8" t="s">
        <v>4373</v>
      </c>
      <c r="D1160" s="7">
        <v>1</v>
      </c>
      <c r="E1160" s="7">
        <v>10</v>
      </c>
      <c r="F1160" s="7">
        <v>1</v>
      </c>
      <c r="G1160" s="8" t="s">
        <v>4371</v>
      </c>
      <c r="H1160" s="8" t="s">
        <v>4372</v>
      </c>
      <c r="I1160" s="7" t="str">
        <f>_xlfn.CONCAT(Paper_Reference[[#This Row],[Lvl]:[Paper Description]])</f>
        <v>2H39SE101SD500BLACK 60 X 1201101100DS064-6200BLACK</v>
      </c>
      <c r="J1160" s="7">
        <f>COUNTIF(Paper_Reference[Duplicate Key],Paper_Reference[[#This Row],[Duplicate Key]])</f>
        <v>1</v>
      </c>
    </row>
    <row r="1161" spans="1:10">
      <c r="A1161" s="7">
        <v>2</v>
      </c>
      <c r="B1161" s="8" t="s">
        <v>4943</v>
      </c>
      <c r="C1161" s="8" t="s">
        <v>4379</v>
      </c>
      <c r="D1161" s="7">
        <v>1</v>
      </c>
      <c r="E1161" s="7">
        <v>10</v>
      </c>
      <c r="F1161" s="7">
        <v>1</v>
      </c>
      <c r="G1161" s="8" t="s">
        <v>4371</v>
      </c>
      <c r="H1161" s="8" t="s">
        <v>4372</v>
      </c>
      <c r="I1161" s="7" t="str">
        <f>_xlfn.CONCAT(Paper_Reference[[#This Row],[Lvl]:[Paper Description]])</f>
        <v>2H39SE101SD520BLACK 60 X 1441101100DS064-6200BLACK</v>
      </c>
      <c r="J1161" s="7">
        <f>COUNTIF(Paper_Reference[Duplicate Key],Paper_Reference[[#This Row],[Duplicate Key]])</f>
        <v>1</v>
      </c>
    </row>
    <row r="1162" spans="1:10">
      <c r="A1162" s="7">
        <v>2</v>
      </c>
      <c r="B1162" s="8" t="s">
        <v>3186</v>
      </c>
      <c r="C1162" s="8" t="s">
        <v>3086</v>
      </c>
      <c r="D1162" s="7">
        <v>1</v>
      </c>
      <c r="E1162" s="7">
        <v>10</v>
      </c>
      <c r="F1162" s="7">
        <v>1</v>
      </c>
      <c r="G1162" s="8" t="s">
        <v>3115</v>
      </c>
      <c r="H1162" s="8" t="s">
        <v>3090</v>
      </c>
      <c r="I1162" s="7" t="str">
        <f>_xlfn.CONCAT(Paper_Reference[[#This Row],[Lvl]:[Paper Description]])</f>
        <v>2H39WF131SD520VANA 60 X 1441101100WF131-6200VANA</v>
      </c>
      <c r="J1162" s="7">
        <f>COUNTIF(Paper_Reference[Duplicate Key],Paper_Reference[[#This Row],[Duplicate Key]])</f>
        <v>1</v>
      </c>
    </row>
    <row r="1163" spans="1:10">
      <c r="A1163" s="7">
        <v>2</v>
      </c>
      <c r="B1163" s="8" t="s">
        <v>4944</v>
      </c>
      <c r="C1163" s="8" t="s">
        <v>4373</v>
      </c>
      <c r="D1163" s="7">
        <v>1</v>
      </c>
      <c r="E1163" s="7">
        <v>10</v>
      </c>
      <c r="F1163" s="7">
        <v>1</v>
      </c>
      <c r="G1163" s="8" t="s">
        <v>4371</v>
      </c>
      <c r="H1163" s="8" t="s">
        <v>4372</v>
      </c>
      <c r="I1163" s="7" t="str">
        <f>_xlfn.CONCAT(Paper_Reference[[#This Row],[Lvl]:[Paper Description]])</f>
        <v>2H48SE101CR5001BLACK 60 X 1201101100DS064-6200BLACK</v>
      </c>
      <c r="J1163" s="7">
        <f>COUNTIF(Paper_Reference[Duplicate Key],Paper_Reference[[#This Row],[Duplicate Key]])</f>
        <v>1</v>
      </c>
    </row>
    <row r="1164" spans="1:10">
      <c r="A1164" s="7">
        <v>2</v>
      </c>
      <c r="B1164" s="8" t="s">
        <v>4946</v>
      </c>
      <c r="C1164" s="8" t="s">
        <v>4379</v>
      </c>
      <c r="D1164" s="7">
        <v>1</v>
      </c>
      <c r="E1164" s="7">
        <v>10</v>
      </c>
      <c r="F1164" s="7">
        <v>1</v>
      </c>
      <c r="G1164" s="8" t="s">
        <v>4371</v>
      </c>
      <c r="H1164" s="8" t="s">
        <v>4372</v>
      </c>
      <c r="I1164" s="7" t="str">
        <f>_xlfn.CONCAT(Paper_Reference[[#This Row],[Lvl]:[Paper Description]])</f>
        <v>2H48SE101CR520BLACK 60 X 1441101100DS064-6200BLACK</v>
      </c>
      <c r="J1164" s="7">
        <f>COUNTIF(Paper_Reference[Duplicate Key],Paper_Reference[[#This Row],[Duplicate Key]])</f>
        <v>1</v>
      </c>
    </row>
    <row r="1165" spans="1:10">
      <c r="A1165" s="7">
        <v>2</v>
      </c>
      <c r="B1165" s="8" t="s">
        <v>4945</v>
      </c>
      <c r="C1165" s="8" t="s">
        <v>4379</v>
      </c>
      <c r="D1165" s="7">
        <v>1</v>
      </c>
      <c r="E1165" s="7">
        <v>10</v>
      </c>
      <c r="F1165" s="7">
        <v>1</v>
      </c>
      <c r="G1165" s="8" t="s">
        <v>4371</v>
      </c>
      <c r="H1165" s="8" t="s">
        <v>4372</v>
      </c>
      <c r="I1165" s="7" t="str">
        <f>_xlfn.CONCAT(Paper_Reference[[#This Row],[Lvl]:[Paper Description]])</f>
        <v>2H48SE101CR5201BLACK 60 X 1441101100DS064-6200BLACK</v>
      </c>
      <c r="J1165" s="7">
        <f>COUNTIF(Paper_Reference[Duplicate Key],Paper_Reference[[#This Row],[Duplicate Key]])</f>
        <v>1</v>
      </c>
    </row>
    <row r="1166" spans="1:10">
      <c r="A1166" s="7">
        <v>2</v>
      </c>
      <c r="B1166" s="8" t="s">
        <v>4947</v>
      </c>
      <c r="C1166" s="8" t="s">
        <v>4380</v>
      </c>
      <c r="D1166" s="7">
        <v>1</v>
      </c>
      <c r="E1166" s="7">
        <v>10</v>
      </c>
      <c r="F1166" s="7">
        <v>1</v>
      </c>
      <c r="G1166" s="8" t="s">
        <v>4371</v>
      </c>
      <c r="H1166" s="8" t="s">
        <v>4372</v>
      </c>
      <c r="I1166" s="7" t="str">
        <f>_xlfn.CONCAT(Paper_Reference[[#This Row],[Lvl]:[Paper Description]])</f>
        <v>2H48SE101CR580BLACK 60 X 961101100DS064-6200BLACK</v>
      </c>
      <c r="J1166" s="7">
        <f>COUNTIF(Paper_Reference[Duplicate Key],Paper_Reference[[#This Row],[Duplicate Key]])</f>
        <v>1</v>
      </c>
    </row>
    <row r="1167" spans="1:10">
      <c r="A1167" s="7">
        <v>3</v>
      </c>
      <c r="B1167" s="8" t="s">
        <v>4948</v>
      </c>
      <c r="C1167" s="8" t="s">
        <v>4449</v>
      </c>
      <c r="D1167" s="7">
        <v>1</v>
      </c>
      <c r="E1167" s="7">
        <v>55</v>
      </c>
      <c r="F1167" s="7">
        <v>0.25</v>
      </c>
      <c r="G1167" s="8" t="s">
        <v>4371</v>
      </c>
      <c r="H1167" s="8" t="s">
        <v>4372</v>
      </c>
      <c r="I1167" s="7" t="str">
        <f>_xlfn.CONCAT(Paper_Reference[[#This Row],[Lvl]:[Paper Description]])</f>
        <v>3H48SE101CRSINBLACK 30 1/4 X 60 1/41550.25100DS064-6200BLACK</v>
      </c>
      <c r="J1167" s="7">
        <f>COUNTIF(Paper_Reference[Duplicate Key],Paper_Reference[[#This Row],[Duplicate Key]])</f>
        <v>1</v>
      </c>
    </row>
    <row r="1168" spans="1:10">
      <c r="A1168" s="7">
        <v>2</v>
      </c>
      <c r="B1168" s="8" t="s">
        <v>4950</v>
      </c>
      <c r="C1168" s="8" t="s">
        <v>4379</v>
      </c>
      <c r="D1168" s="7">
        <v>1</v>
      </c>
      <c r="E1168" s="7">
        <v>10</v>
      </c>
      <c r="F1168" s="7">
        <v>1</v>
      </c>
      <c r="G1168" s="8" t="s">
        <v>4371</v>
      </c>
      <c r="H1168" s="8" t="s">
        <v>4372</v>
      </c>
      <c r="I1168" s="7" t="str">
        <f>_xlfn.CONCAT(Paper_Reference[[#This Row],[Lvl]:[Paper Description]])</f>
        <v>2H48SE101J520BLACK 60 X 1441101100DS064-6200BLACK</v>
      </c>
      <c r="J1168" s="7">
        <f>COUNTIF(Paper_Reference[Duplicate Key],Paper_Reference[[#This Row],[Duplicate Key]])</f>
        <v>1</v>
      </c>
    </row>
    <row r="1169" spans="1:10">
      <c r="A1169" s="7">
        <v>2</v>
      </c>
      <c r="B1169" s="8" t="s">
        <v>4949</v>
      </c>
      <c r="C1169" s="8" t="s">
        <v>4379</v>
      </c>
      <c r="D1169" s="7">
        <v>1</v>
      </c>
      <c r="E1169" s="7">
        <v>10</v>
      </c>
      <c r="F1169" s="7">
        <v>1</v>
      </c>
      <c r="G1169" s="8" t="s">
        <v>4371</v>
      </c>
      <c r="H1169" s="8" t="s">
        <v>4372</v>
      </c>
      <c r="I1169" s="7" t="str">
        <f>_xlfn.CONCAT(Paper_Reference[[#This Row],[Lvl]:[Paper Description]])</f>
        <v>2H48SE101J5201BLACK 60 X 1441101100DS064-6200BLACK</v>
      </c>
      <c r="J1169" s="7">
        <f>COUNTIF(Paper_Reference[Duplicate Key],Paper_Reference[[#This Row],[Duplicate Key]])</f>
        <v>1</v>
      </c>
    </row>
    <row r="1170" spans="1:10">
      <c r="A1170" s="7">
        <v>2</v>
      </c>
      <c r="B1170" s="8" t="s">
        <v>4952</v>
      </c>
      <c r="C1170" s="8" t="s">
        <v>4386</v>
      </c>
      <c r="D1170" s="7">
        <v>1</v>
      </c>
      <c r="E1170" s="7">
        <v>10</v>
      </c>
      <c r="F1170" s="7">
        <v>0.5</v>
      </c>
      <c r="G1170" s="8" t="s">
        <v>4371</v>
      </c>
      <c r="H1170" s="8" t="s">
        <v>4372</v>
      </c>
      <c r="I1170" s="7" t="str">
        <f>_xlfn.CONCAT(Paper_Reference[[#This Row],[Lvl]:[Paper Description]])</f>
        <v>2H48SE101J560BLACK 60 X 721100.5100DS064-6200BLACK</v>
      </c>
      <c r="J1170" s="7">
        <f>COUNTIF(Paper_Reference[Duplicate Key],Paper_Reference[[#This Row],[Duplicate Key]])</f>
        <v>1</v>
      </c>
    </row>
    <row r="1171" spans="1:10">
      <c r="A1171" s="7">
        <v>2</v>
      </c>
      <c r="B1171" s="8" t="s">
        <v>4951</v>
      </c>
      <c r="C1171" s="8" t="s">
        <v>4386</v>
      </c>
      <c r="D1171" s="7">
        <v>1</v>
      </c>
      <c r="E1171" s="7">
        <v>10</v>
      </c>
      <c r="F1171" s="7">
        <v>0.5</v>
      </c>
      <c r="G1171" s="8" t="s">
        <v>4371</v>
      </c>
      <c r="H1171" s="8" t="s">
        <v>4372</v>
      </c>
      <c r="I1171" s="7" t="str">
        <f>_xlfn.CONCAT(Paper_Reference[[#This Row],[Lvl]:[Paper Description]])</f>
        <v>2H48SE101J5601BLACK 60 X 721100.5100DS064-6200BLACK</v>
      </c>
      <c r="J1171" s="7">
        <f>COUNTIF(Paper_Reference[Duplicate Key],Paper_Reference[[#This Row],[Duplicate Key]])</f>
        <v>1</v>
      </c>
    </row>
    <row r="1172" spans="1:10">
      <c r="A1172" s="7">
        <v>2</v>
      </c>
      <c r="B1172" s="8" t="s">
        <v>4953</v>
      </c>
      <c r="C1172" s="8" t="s">
        <v>4380</v>
      </c>
      <c r="D1172" s="7">
        <v>1</v>
      </c>
      <c r="E1172" s="7">
        <v>10</v>
      </c>
      <c r="F1172" s="7">
        <v>1</v>
      </c>
      <c r="G1172" s="8" t="s">
        <v>4371</v>
      </c>
      <c r="H1172" s="8" t="s">
        <v>4372</v>
      </c>
      <c r="I1172" s="7" t="str">
        <f>_xlfn.CONCAT(Paper_Reference[[#This Row],[Lvl]:[Paper Description]])</f>
        <v>2H48SE101J580BLACK 60 X 961101100DS064-6200BLACK</v>
      </c>
      <c r="J1172" s="7">
        <f>COUNTIF(Paper_Reference[Duplicate Key],Paper_Reference[[#This Row],[Duplicate Key]])</f>
        <v>1</v>
      </c>
    </row>
    <row r="1173" spans="1:10">
      <c r="A1173" s="7">
        <v>3</v>
      </c>
      <c r="B1173" s="8" t="s">
        <v>4955</v>
      </c>
      <c r="C1173" s="8" t="s">
        <v>4449</v>
      </c>
      <c r="D1173" s="7">
        <v>1</v>
      </c>
      <c r="E1173" s="7">
        <v>55</v>
      </c>
      <c r="F1173" s="7">
        <v>0.25</v>
      </c>
      <c r="G1173" s="8" t="s">
        <v>4371</v>
      </c>
      <c r="H1173" s="8" t="s">
        <v>4372</v>
      </c>
      <c r="I1173" s="7" t="str">
        <f>_xlfn.CONCAT(Paper_Reference[[#This Row],[Lvl]:[Paper Description]])</f>
        <v>3H48SE101JSINBLACK 30 1/4 X 60 1/41550.25100DS064-6200BLACK</v>
      </c>
      <c r="J1173" s="7">
        <f>COUNTIF(Paper_Reference[Duplicate Key],Paper_Reference[[#This Row],[Duplicate Key]])</f>
        <v>1</v>
      </c>
    </row>
    <row r="1174" spans="1:10">
      <c r="A1174" s="7">
        <v>3</v>
      </c>
      <c r="B1174" s="8" t="s">
        <v>4954</v>
      </c>
      <c r="C1174" s="8" t="s">
        <v>4449</v>
      </c>
      <c r="D1174" s="7">
        <v>1</v>
      </c>
      <c r="E1174" s="7">
        <v>55</v>
      </c>
      <c r="F1174" s="7">
        <v>0.25</v>
      </c>
      <c r="G1174" s="8" t="s">
        <v>4371</v>
      </c>
      <c r="H1174" s="8" t="s">
        <v>4372</v>
      </c>
      <c r="I1174" s="7" t="str">
        <f>_xlfn.CONCAT(Paper_Reference[[#This Row],[Lvl]:[Paper Description]])</f>
        <v>3H48SE101JSIN1BLACK 30 1/4 X 60 1/41550.25100DS064-6200BLACK</v>
      </c>
      <c r="J1174" s="7">
        <f>COUNTIF(Paper_Reference[Duplicate Key],Paper_Reference[[#This Row],[Duplicate Key]])</f>
        <v>1</v>
      </c>
    </row>
    <row r="1175" spans="1:10">
      <c r="A1175" s="7">
        <v>2</v>
      </c>
      <c r="B1175" s="8" t="s">
        <v>4957</v>
      </c>
      <c r="C1175" s="8" t="s">
        <v>4403</v>
      </c>
      <c r="D1175" s="7">
        <v>1</v>
      </c>
      <c r="E1175" s="7">
        <v>10</v>
      </c>
      <c r="F1175" s="7">
        <v>0.5</v>
      </c>
      <c r="G1175" s="8" t="s">
        <v>4371</v>
      </c>
      <c r="H1175" s="8" t="s">
        <v>4372</v>
      </c>
      <c r="I1175" s="7" t="str">
        <f>_xlfn.CONCAT(Paper_Reference[[#This Row],[Lvl]:[Paper Description]])</f>
        <v>2H48SE101N000BLACK 30 X 1201100.5100DS064-6200BLACK</v>
      </c>
      <c r="J1175" s="7">
        <f>COUNTIF(Paper_Reference[Duplicate Key],Paper_Reference[[#This Row],[Duplicate Key]])</f>
        <v>1</v>
      </c>
    </row>
    <row r="1176" spans="1:10">
      <c r="A1176" s="7">
        <v>2</v>
      </c>
      <c r="B1176" s="8" t="s">
        <v>4956</v>
      </c>
      <c r="C1176" s="8" t="s">
        <v>4469</v>
      </c>
      <c r="D1176" s="7">
        <v>1</v>
      </c>
      <c r="E1176" s="7">
        <v>10</v>
      </c>
      <c r="F1176" s="7">
        <v>0.5</v>
      </c>
      <c r="G1176" s="8" t="s">
        <v>4371</v>
      </c>
      <c r="H1176" s="8" t="s">
        <v>4372</v>
      </c>
      <c r="I1176" s="7" t="str">
        <f>_xlfn.CONCAT(Paper_Reference[[#This Row],[Lvl]:[Paper Description]])</f>
        <v>2H48SE101N0001BLACK  30 X 1201100.5100DS064-6200BLACK</v>
      </c>
      <c r="J1176" s="7">
        <f>COUNTIF(Paper_Reference[Duplicate Key],Paper_Reference[[#This Row],[Duplicate Key]])</f>
        <v>1</v>
      </c>
    </row>
    <row r="1177" spans="1:10">
      <c r="A1177" s="7">
        <v>2</v>
      </c>
      <c r="B1177" s="8" t="s">
        <v>4959</v>
      </c>
      <c r="C1177" s="8" t="s">
        <v>4378</v>
      </c>
      <c r="D1177" s="7">
        <v>1</v>
      </c>
      <c r="E1177" s="7">
        <v>10</v>
      </c>
      <c r="F1177" s="7">
        <v>0.5</v>
      </c>
      <c r="G1177" s="8" t="s">
        <v>4371</v>
      </c>
      <c r="H1177" s="8" t="s">
        <v>4372</v>
      </c>
      <c r="I1177" s="7" t="str">
        <f>_xlfn.CONCAT(Paper_Reference[[#This Row],[Lvl]:[Paper Description]])</f>
        <v>2H48SE101N020BLACK 30 X 1441100.5100DS064-6200BLACK</v>
      </c>
      <c r="J1177" s="7">
        <f>COUNTIF(Paper_Reference[Duplicate Key],Paper_Reference[[#This Row],[Duplicate Key]])</f>
        <v>1</v>
      </c>
    </row>
    <row r="1178" spans="1:10">
      <c r="A1178" s="7">
        <v>2</v>
      </c>
      <c r="B1178" s="8" t="s">
        <v>4958</v>
      </c>
      <c r="C1178" s="8" t="s">
        <v>4378</v>
      </c>
      <c r="D1178" s="7">
        <v>1</v>
      </c>
      <c r="E1178" s="7">
        <v>10</v>
      </c>
      <c r="F1178" s="7">
        <v>0.5</v>
      </c>
      <c r="G1178" s="8" t="s">
        <v>4371</v>
      </c>
      <c r="H1178" s="8" t="s">
        <v>4372</v>
      </c>
      <c r="I1178" s="7" t="str">
        <f>_xlfn.CONCAT(Paper_Reference[[#This Row],[Lvl]:[Paper Description]])</f>
        <v>2H48SE101N0201BLACK 30 X 1441100.5100DS064-6200BLACK</v>
      </c>
      <c r="J1178" s="7">
        <f>COUNTIF(Paper_Reference[Duplicate Key],Paper_Reference[[#This Row],[Duplicate Key]])</f>
        <v>1</v>
      </c>
    </row>
    <row r="1179" spans="1:10">
      <c r="A1179" s="7">
        <v>3</v>
      </c>
      <c r="B1179" s="8" t="s">
        <v>4960</v>
      </c>
      <c r="C1179" s="8" t="s">
        <v>4395</v>
      </c>
      <c r="D1179" s="7">
        <v>1</v>
      </c>
      <c r="E1179" s="7">
        <v>55</v>
      </c>
      <c r="F1179" s="7">
        <v>0.25</v>
      </c>
      <c r="G1179" s="8" t="s">
        <v>4371</v>
      </c>
      <c r="H1179" s="8" t="s">
        <v>4372</v>
      </c>
      <c r="I1179" s="7" t="str">
        <f>_xlfn.CONCAT(Paper_Reference[[#This Row],[Lvl]:[Paper Description]])</f>
        <v>3H48SE101N050BLACK 30 X 601550.25100DS064-6200BLACK</v>
      </c>
      <c r="J1179" s="7">
        <f>COUNTIF(Paper_Reference[Duplicate Key],Paper_Reference[[#This Row],[Duplicate Key]])</f>
        <v>1</v>
      </c>
    </row>
    <row r="1180" spans="1:10">
      <c r="A1180" s="7">
        <v>2</v>
      </c>
      <c r="B1180" s="8" t="s">
        <v>4962</v>
      </c>
      <c r="C1180" s="8" t="s">
        <v>4400</v>
      </c>
      <c r="D1180" s="7">
        <v>1</v>
      </c>
      <c r="E1180" s="7">
        <v>10</v>
      </c>
      <c r="F1180" s="7">
        <v>0.5</v>
      </c>
      <c r="G1180" s="8" t="s">
        <v>4371</v>
      </c>
      <c r="H1180" s="8" t="s">
        <v>4372</v>
      </c>
      <c r="I1180" s="7" t="str">
        <f>_xlfn.CONCAT(Paper_Reference[[#This Row],[Lvl]:[Paper Description]])</f>
        <v>2H48SE101N080BLACK 30 X 961100.5100DS064-6200BLACK</v>
      </c>
      <c r="J1180" s="7">
        <f>COUNTIF(Paper_Reference[Duplicate Key],Paper_Reference[[#This Row],[Duplicate Key]])</f>
        <v>1</v>
      </c>
    </row>
    <row r="1181" spans="1:10">
      <c r="A1181" s="7">
        <v>2</v>
      </c>
      <c r="B1181" s="8" t="s">
        <v>4961</v>
      </c>
      <c r="C1181" s="8" t="s">
        <v>4400</v>
      </c>
      <c r="D1181" s="7">
        <v>1</v>
      </c>
      <c r="E1181" s="7">
        <v>10</v>
      </c>
      <c r="F1181" s="7">
        <v>0.5</v>
      </c>
      <c r="G1181" s="8" t="s">
        <v>4371</v>
      </c>
      <c r="H1181" s="8" t="s">
        <v>4372</v>
      </c>
      <c r="I1181" s="7" t="str">
        <f>_xlfn.CONCAT(Paper_Reference[[#This Row],[Lvl]:[Paper Description]])</f>
        <v>2H48SE101N0801BLACK 30 X 961100.5100DS064-6200BLACK</v>
      </c>
      <c r="J1181" s="7">
        <f>COUNTIF(Paper_Reference[Duplicate Key],Paper_Reference[[#This Row],[Duplicate Key]])</f>
        <v>1</v>
      </c>
    </row>
    <row r="1182" spans="1:10">
      <c r="A1182" s="7">
        <v>2</v>
      </c>
      <c r="B1182" s="8" t="s">
        <v>4963</v>
      </c>
      <c r="C1182" s="8" t="s">
        <v>4373</v>
      </c>
      <c r="D1182" s="7">
        <v>1</v>
      </c>
      <c r="E1182" s="7">
        <v>10</v>
      </c>
      <c r="F1182" s="7">
        <v>1</v>
      </c>
      <c r="G1182" s="8" t="s">
        <v>4371</v>
      </c>
      <c r="H1182" s="8" t="s">
        <v>4372</v>
      </c>
      <c r="I1182" s="7" t="str">
        <f>_xlfn.CONCAT(Paper_Reference[[#This Row],[Lvl]:[Paper Description]])</f>
        <v>2H48SE101N5001BLACK 60 X 1201101100DS064-6200BLACK</v>
      </c>
      <c r="J1182" s="7">
        <f>COUNTIF(Paper_Reference[Duplicate Key],Paper_Reference[[#This Row],[Duplicate Key]])</f>
        <v>1</v>
      </c>
    </row>
    <row r="1183" spans="1:10">
      <c r="A1183" s="7">
        <v>2</v>
      </c>
      <c r="B1183" s="8" t="s">
        <v>4965</v>
      </c>
      <c r="C1183" s="8" t="s">
        <v>4379</v>
      </c>
      <c r="D1183" s="7">
        <v>1</v>
      </c>
      <c r="E1183" s="7">
        <v>10</v>
      </c>
      <c r="F1183" s="7">
        <v>1</v>
      </c>
      <c r="G1183" s="8" t="s">
        <v>4371</v>
      </c>
      <c r="H1183" s="8" t="s">
        <v>4372</v>
      </c>
      <c r="I1183" s="7" t="str">
        <f>_xlfn.CONCAT(Paper_Reference[[#This Row],[Lvl]:[Paper Description]])</f>
        <v>2H48SE101N520BLACK 60 X 1441101100DS064-6200BLACK</v>
      </c>
      <c r="J1183" s="7">
        <f>COUNTIF(Paper_Reference[Duplicate Key],Paper_Reference[[#This Row],[Duplicate Key]])</f>
        <v>1</v>
      </c>
    </row>
    <row r="1184" spans="1:10">
      <c r="A1184" s="7">
        <v>2</v>
      </c>
      <c r="B1184" s="8" t="s">
        <v>4964</v>
      </c>
      <c r="C1184" s="8" t="s">
        <v>4379</v>
      </c>
      <c r="D1184" s="7">
        <v>1</v>
      </c>
      <c r="E1184" s="7">
        <v>10</v>
      </c>
      <c r="F1184" s="7">
        <v>1</v>
      </c>
      <c r="G1184" s="8" t="s">
        <v>4371</v>
      </c>
      <c r="H1184" s="8" t="s">
        <v>4372</v>
      </c>
      <c r="I1184" s="7" t="str">
        <f>_xlfn.CONCAT(Paper_Reference[[#This Row],[Lvl]:[Paper Description]])</f>
        <v>2H48SE101N5201BLACK 60 X 1441101100DS064-6200BLACK</v>
      </c>
      <c r="J1184" s="7">
        <f>COUNTIF(Paper_Reference[Duplicate Key],Paper_Reference[[#This Row],[Duplicate Key]])</f>
        <v>1</v>
      </c>
    </row>
    <row r="1185" spans="1:10">
      <c r="A1185" s="7">
        <v>2</v>
      </c>
      <c r="B1185" s="8" t="s">
        <v>4967</v>
      </c>
      <c r="C1185" s="8" t="s">
        <v>4386</v>
      </c>
      <c r="D1185" s="7">
        <v>1</v>
      </c>
      <c r="E1185" s="7">
        <v>10</v>
      </c>
      <c r="F1185" s="7">
        <v>0.5</v>
      </c>
      <c r="G1185" s="8" t="s">
        <v>4371</v>
      </c>
      <c r="H1185" s="8" t="s">
        <v>4372</v>
      </c>
      <c r="I1185" s="7" t="str">
        <f>_xlfn.CONCAT(Paper_Reference[[#This Row],[Lvl]:[Paper Description]])</f>
        <v>2H48SE101N560BLACK 60 X 721100.5100DS064-6200BLACK</v>
      </c>
      <c r="J1185" s="7">
        <f>COUNTIF(Paper_Reference[Duplicate Key],Paper_Reference[[#This Row],[Duplicate Key]])</f>
        <v>1</v>
      </c>
    </row>
    <row r="1186" spans="1:10">
      <c r="A1186" s="7">
        <v>2</v>
      </c>
      <c r="B1186" s="8" t="s">
        <v>4966</v>
      </c>
      <c r="C1186" s="8" t="s">
        <v>4386</v>
      </c>
      <c r="D1186" s="7">
        <v>1</v>
      </c>
      <c r="E1186" s="7">
        <v>10</v>
      </c>
      <c r="F1186" s="7">
        <v>0.5</v>
      </c>
      <c r="G1186" s="8" t="s">
        <v>4371</v>
      </c>
      <c r="H1186" s="8" t="s">
        <v>4372</v>
      </c>
      <c r="I1186" s="7" t="str">
        <f>_xlfn.CONCAT(Paper_Reference[[#This Row],[Lvl]:[Paper Description]])</f>
        <v>2H48SE101N5601BLACK 60 X 721100.5100DS064-6200BLACK</v>
      </c>
      <c r="J1186" s="7">
        <f>COUNTIF(Paper_Reference[Duplicate Key],Paper_Reference[[#This Row],[Duplicate Key]])</f>
        <v>1</v>
      </c>
    </row>
    <row r="1187" spans="1:10">
      <c r="A1187" s="7">
        <v>2</v>
      </c>
      <c r="B1187" s="8" t="s">
        <v>4969</v>
      </c>
      <c r="C1187" s="8" t="s">
        <v>4380</v>
      </c>
      <c r="D1187" s="7">
        <v>1</v>
      </c>
      <c r="E1187" s="7">
        <v>10</v>
      </c>
      <c r="F1187" s="7">
        <v>1</v>
      </c>
      <c r="G1187" s="8" t="s">
        <v>4371</v>
      </c>
      <c r="H1187" s="8" t="s">
        <v>4372</v>
      </c>
      <c r="I1187" s="7" t="str">
        <f>_xlfn.CONCAT(Paper_Reference[[#This Row],[Lvl]:[Paper Description]])</f>
        <v>2H48SE101N580BLACK 60 X 961101100DS064-6200BLACK</v>
      </c>
      <c r="J1187" s="7">
        <f>COUNTIF(Paper_Reference[Duplicate Key],Paper_Reference[[#This Row],[Duplicate Key]])</f>
        <v>1</v>
      </c>
    </row>
    <row r="1188" spans="1:10">
      <c r="A1188" s="7">
        <v>2</v>
      </c>
      <c r="B1188" s="8" t="s">
        <v>4968</v>
      </c>
      <c r="C1188" s="8" t="s">
        <v>4380</v>
      </c>
      <c r="D1188" s="7">
        <v>1</v>
      </c>
      <c r="E1188" s="7">
        <v>10</v>
      </c>
      <c r="F1188" s="7">
        <v>1</v>
      </c>
      <c r="G1188" s="8" t="s">
        <v>4371</v>
      </c>
      <c r="H1188" s="8" t="s">
        <v>4372</v>
      </c>
      <c r="I1188" s="7" t="str">
        <f>_xlfn.CONCAT(Paper_Reference[[#This Row],[Lvl]:[Paper Description]])</f>
        <v>2H48SE101N5801BLACK 60 X 961101100DS064-6200BLACK</v>
      </c>
      <c r="J1188" s="7">
        <f>COUNTIF(Paper_Reference[Duplicate Key],Paper_Reference[[#This Row],[Duplicate Key]])</f>
        <v>1</v>
      </c>
    </row>
    <row r="1189" spans="1:10">
      <c r="A1189" s="7">
        <v>2</v>
      </c>
      <c r="B1189" s="8" t="s">
        <v>4970</v>
      </c>
      <c r="C1189" s="8" t="s">
        <v>4429</v>
      </c>
      <c r="D1189" s="7">
        <v>1</v>
      </c>
      <c r="E1189" s="7">
        <v>10</v>
      </c>
      <c r="F1189" s="7">
        <v>1</v>
      </c>
      <c r="G1189" s="8" t="s">
        <v>4371</v>
      </c>
      <c r="H1189" s="8" t="s">
        <v>4372</v>
      </c>
      <c r="I1189" s="7" t="str">
        <f>_xlfn.CONCAT(Paper_Reference[[#This Row],[Lvl]:[Paper Description]])</f>
        <v>2H48SE101N590BLACK 60 X 1081101100DS064-6200BLACK</v>
      </c>
      <c r="J1189" s="7">
        <f>COUNTIF(Paper_Reference[Duplicate Key],Paper_Reference[[#This Row],[Duplicate Key]])</f>
        <v>1</v>
      </c>
    </row>
    <row r="1190" spans="1:10">
      <c r="A1190" s="7">
        <v>3</v>
      </c>
      <c r="B1190" s="8" t="s">
        <v>4971</v>
      </c>
      <c r="C1190" s="8" t="s">
        <v>4470</v>
      </c>
      <c r="D1190" s="7">
        <v>1</v>
      </c>
      <c r="E1190" s="7">
        <v>55</v>
      </c>
      <c r="F1190" s="7">
        <v>0.25</v>
      </c>
      <c r="G1190" s="8" t="s">
        <v>4371</v>
      </c>
      <c r="H1190" s="8" t="s">
        <v>4372</v>
      </c>
      <c r="I1190" s="7" t="str">
        <f>_xlfn.CONCAT(Paper_Reference[[#This Row],[Lvl]:[Paper Description]])</f>
        <v>3H48SE101NFETBLACK 24 1/2 X 60 1/21550.25100DS064-6200BLACK</v>
      </c>
      <c r="J1190" s="7">
        <f>COUNTIF(Paper_Reference[Duplicate Key],Paper_Reference[[#This Row],[Duplicate Key]])</f>
        <v>1</v>
      </c>
    </row>
    <row r="1191" spans="1:10">
      <c r="A1191" s="7">
        <v>2</v>
      </c>
      <c r="B1191" s="8" t="s">
        <v>4972</v>
      </c>
      <c r="C1191" s="8" t="s">
        <v>4403</v>
      </c>
      <c r="D1191" s="7">
        <v>1</v>
      </c>
      <c r="E1191" s="7">
        <v>10</v>
      </c>
      <c r="F1191" s="7">
        <v>0.5</v>
      </c>
      <c r="G1191" s="8" t="s">
        <v>4371</v>
      </c>
      <c r="H1191" s="8" t="s">
        <v>4372</v>
      </c>
      <c r="I1191" s="7" t="str">
        <f>_xlfn.CONCAT(Paper_Reference[[#This Row],[Lvl]:[Paper Description]])</f>
        <v>2H48SE101SD000BLACK 30 X 1201100.5100DS064-6200BLACK</v>
      </c>
      <c r="J1191" s="7">
        <f>COUNTIF(Paper_Reference[Duplicate Key],Paper_Reference[[#This Row],[Duplicate Key]])</f>
        <v>1</v>
      </c>
    </row>
    <row r="1192" spans="1:10">
      <c r="A1192" s="7">
        <v>2</v>
      </c>
      <c r="B1192" s="8" t="s">
        <v>4973</v>
      </c>
      <c r="C1192" s="8" t="s">
        <v>4378</v>
      </c>
      <c r="D1192" s="7">
        <v>1</v>
      </c>
      <c r="E1192" s="7">
        <v>10</v>
      </c>
      <c r="F1192" s="7">
        <v>0.5</v>
      </c>
      <c r="G1192" s="8" t="s">
        <v>4371</v>
      </c>
      <c r="H1192" s="8" t="s">
        <v>4372</v>
      </c>
      <c r="I1192" s="7" t="str">
        <f>_xlfn.CONCAT(Paper_Reference[[#This Row],[Lvl]:[Paper Description]])</f>
        <v>2H48SE101SD0201BLACK 30 X 1441100.5100DS064-6200BLACK</v>
      </c>
      <c r="J1192" s="7">
        <f>COUNTIF(Paper_Reference[Duplicate Key],Paper_Reference[[#This Row],[Duplicate Key]])</f>
        <v>1</v>
      </c>
    </row>
    <row r="1193" spans="1:10">
      <c r="A1193" s="7">
        <v>2</v>
      </c>
      <c r="B1193" s="8" t="s">
        <v>4975</v>
      </c>
      <c r="C1193" s="8" t="s">
        <v>4373</v>
      </c>
      <c r="D1193" s="7">
        <v>1</v>
      </c>
      <c r="E1193" s="7">
        <v>10</v>
      </c>
      <c r="F1193" s="7">
        <v>1</v>
      </c>
      <c r="G1193" s="8" t="s">
        <v>4371</v>
      </c>
      <c r="H1193" s="8" t="s">
        <v>4372</v>
      </c>
      <c r="I1193" s="7" t="str">
        <f>_xlfn.CONCAT(Paper_Reference[[#This Row],[Lvl]:[Paper Description]])</f>
        <v>2H48SE101SD500BLACK 60 X 1201101100DS064-6200BLACK</v>
      </c>
      <c r="J1193" s="7">
        <f>COUNTIF(Paper_Reference[Duplicate Key],Paper_Reference[[#This Row],[Duplicate Key]])</f>
        <v>1</v>
      </c>
    </row>
    <row r="1194" spans="1:10">
      <c r="A1194" s="7">
        <v>2</v>
      </c>
      <c r="B1194" s="8" t="s">
        <v>4974</v>
      </c>
      <c r="C1194" s="8" t="s">
        <v>4373</v>
      </c>
      <c r="D1194" s="7">
        <v>1</v>
      </c>
      <c r="E1194" s="7">
        <v>10</v>
      </c>
      <c r="F1194" s="7">
        <v>1</v>
      </c>
      <c r="G1194" s="8" t="s">
        <v>4371</v>
      </c>
      <c r="H1194" s="8" t="s">
        <v>4372</v>
      </c>
      <c r="I1194" s="7" t="str">
        <f>_xlfn.CONCAT(Paper_Reference[[#This Row],[Lvl]:[Paper Description]])</f>
        <v>2H48SE101SD5001BLACK 60 X 1201101100DS064-6200BLACK</v>
      </c>
      <c r="J1194" s="7">
        <f>COUNTIF(Paper_Reference[Duplicate Key],Paper_Reference[[#This Row],[Duplicate Key]])</f>
        <v>1</v>
      </c>
    </row>
    <row r="1195" spans="1:10">
      <c r="A1195" s="7">
        <v>2</v>
      </c>
      <c r="B1195" s="8" t="s">
        <v>4977</v>
      </c>
      <c r="C1195" s="8" t="s">
        <v>4379</v>
      </c>
      <c r="D1195" s="7">
        <v>1</v>
      </c>
      <c r="E1195" s="7">
        <v>10</v>
      </c>
      <c r="F1195" s="7">
        <v>1</v>
      </c>
      <c r="G1195" s="8" t="s">
        <v>4371</v>
      </c>
      <c r="H1195" s="8" t="s">
        <v>4372</v>
      </c>
      <c r="I1195" s="7" t="str">
        <f>_xlfn.CONCAT(Paper_Reference[[#This Row],[Lvl]:[Paper Description]])</f>
        <v>2H48SE101SD520BLACK 60 X 1441101100DS064-6200BLACK</v>
      </c>
      <c r="J1195" s="7">
        <f>COUNTIF(Paper_Reference[Duplicate Key],Paper_Reference[[#This Row],[Duplicate Key]])</f>
        <v>1</v>
      </c>
    </row>
    <row r="1196" spans="1:10">
      <c r="A1196" s="7">
        <v>2</v>
      </c>
      <c r="B1196" s="8" t="s">
        <v>4976</v>
      </c>
      <c r="C1196" s="8" t="s">
        <v>4379</v>
      </c>
      <c r="D1196" s="7">
        <v>1</v>
      </c>
      <c r="E1196" s="7">
        <v>10</v>
      </c>
      <c r="F1196" s="7">
        <v>1</v>
      </c>
      <c r="G1196" s="8" t="s">
        <v>4371</v>
      </c>
      <c r="H1196" s="8" t="s">
        <v>4372</v>
      </c>
      <c r="I1196" s="7" t="str">
        <f>_xlfn.CONCAT(Paper_Reference[[#This Row],[Lvl]:[Paper Description]])</f>
        <v>2H48SE101SD5201BLACK 60 X 1441101100DS064-6200BLACK</v>
      </c>
      <c r="J1196" s="7">
        <f>COUNTIF(Paper_Reference[Duplicate Key],Paper_Reference[[#This Row],[Duplicate Key]])</f>
        <v>1</v>
      </c>
    </row>
    <row r="1197" spans="1:10">
      <c r="A1197" s="7">
        <v>2</v>
      </c>
      <c r="B1197" s="8" t="s">
        <v>4979</v>
      </c>
      <c r="C1197" s="8" t="s">
        <v>4380</v>
      </c>
      <c r="D1197" s="7">
        <v>1</v>
      </c>
      <c r="E1197" s="7">
        <v>10</v>
      </c>
      <c r="F1197" s="7">
        <v>1</v>
      </c>
      <c r="G1197" s="8" t="s">
        <v>4371</v>
      </c>
      <c r="H1197" s="8" t="s">
        <v>4372</v>
      </c>
      <c r="I1197" s="7" t="str">
        <f>_xlfn.CONCAT(Paper_Reference[[#This Row],[Lvl]:[Paper Description]])</f>
        <v>2H48SE101SD580BLACK 60 X 961101100DS064-6200BLACK</v>
      </c>
      <c r="J1197" s="7">
        <f>COUNTIF(Paper_Reference[Duplicate Key],Paper_Reference[[#This Row],[Duplicate Key]])</f>
        <v>1</v>
      </c>
    </row>
    <row r="1198" spans="1:10">
      <c r="A1198" s="7">
        <v>2</v>
      </c>
      <c r="B1198" s="8" t="s">
        <v>4978</v>
      </c>
      <c r="C1198" s="8" t="s">
        <v>4380</v>
      </c>
      <c r="D1198" s="7">
        <v>1</v>
      </c>
      <c r="E1198" s="7">
        <v>10</v>
      </c>
      <c r="F1198" s="7">
        <v>1</v>
      </c>
      <c r="G1198" s="8" t="s">
        <v>4371</v>
      </c>
      <c r="H1198" s="8" t="s">
        <v>4372</v>
      </c>
      <c r="I1198" s="7" t="str">
        <f>_xlfn.CONCAT(Paper_Reference[[#This Row],[Lvl]:[Paper Description]])</f>
        <v>2H48SE101SD5801BLACK 60 X 961101100DS064-6200BLACK</v>
      </c>
      <c r="J1198" s="7">
        <f>COUNTIF(Paper_Reference[Duplicate Key],Paper_Reference[[#This Row],[Duplicate Key]])</f>
        <v>1</v>
      </c>
    </row>
    <row r="1199" spans="1:10">
      <c r="A1199" s="7">
        <v>2</v>
      </c>
      <c r="B1199" s="8" t="s">
        <v>4980</v>
      </c>
      <c r="C1199" s="8" t="s">
        <v>4471</v>
      </c>
      <c r="D1199" s="7">
        <v>1</v>
      </c>
      <c r="E1199" s="7">
        <v>10</v>
      </c>
      <c r="F1199" s="7">
        <v>1</v>
      </c>
      <c r="G1199" s="8" t="s">
        <v>4371</v>
      </c>
      <c r="H1199" s="8" t="s">
        <v>4372</v>
      </c>
      <c r="I1199" s="7" t="str">
        <f>_xlfn.CONCAT(Paper_Reference[[#This Row],[Lvl]:[Paper Description]])</f>
        <v>2H48SE105NCLHBLACK UMBER 61 1/4 X 121 1/41101100DS064-6200BLACK</v>
      </c>
      <c r="J1199" s="7">
        <f>COUNTIF(Paper_Reference[Duplicate Key],Paper_Reference[[#This Row],[Duplicate Key]])</f>
        <v>1</v>
      </c>
    </row>
    <row r="1200" spans="1:10">
      <c r="A1200" s="7">
        <v>2</v>
      </c>
      <c r="B1200" s="8" t="s">
        <v>8531</v>
      </c>
      <c r="C1200" s="8" t="s">
        <v>8304</v>
      </c>
      <c r="D1200" s="7">
        <v>1</v>
      </c>
      <c r="E1200" s="7">
        <v>10</v>
      </c>
      <c r="F1200" s="7">
        <v>1</v>
      </c>
      <c r="G1200" s="8" t="s">
        <v>8302</v>
      </c>
      <c r="H1200" s="8" t="s">
        <v>8303</v>
      </c>
      <c r="I1200" s="7" t="str">
        <f>_xlfn.CONCAT(Paper_Reference[[#This Row],[Lvl]:[Paper Description]])</f>
        <v>2H48SW813N500ICE WHITE 60 X 1201101100SW813-6200ICE WHITE</v>
      </c>
      <c r="J1200" s="7">
        <f>COUNTIF(Paper_Reference[Duplicate Key],Paper_Reference[[#This Row],[Duplicate Key]])</f>
        <v>1</v>
      </c>
    </row>
    <row r="1201" spans="1:10">
      <c r="A1201" s="7">
        <v>2</v>
      </c>
      <c r="B1201" s="8" t="s">
        <v>8532</v>
      </c>
      <c r="C1201" s="8" t="s">
        <v>8305</v>
      </c>
      <c r="D1201" s="7">
        <v>1</v>
      </c>
      <c r="E1201" s="7">
        <v>10</v>
      </c>
      <c r="F1201" s="7">
        <v>1</v>
      </c>
      <c r="G1201" s="8" t="s">
        <v>8302</v>
      </c>
      <c r="H1201" s="8" t="s">
        <v>8303</v>
      </c>
      <c r="I1201" s="7" t="str">
        <f>_xlfn.CONCAT(Paper_Reference[[#This Row],[Lvl]:[Paper Description]])</f>
        <v>2H48SW813N520ICE WHITE 60 X 1441101100SW813-6200ICE WHITE</v>
      </c>
      <c r="J1201" s="7">
        <f>COUNTIF(Paper_Reference[Duplicate Key],Paper_Reference[[#This Row],[Duplicate Key]])</f>
        <v>1</v>
      </c>
    </row>
    <row r="1202" spans="1:10">
      <c r="A1202" s="7">
        <v>2</v>
      </c>
      <c r="B1202" s="8" t="s">
        <v>8533</v>
      </c>
      <c r="C1202" s="8" t="s">
        <v>8306</v>
      </c>
      <c r="D1202" s="7">
        <v>1</v>
      </c>
      <c r="E1202" s="7">
        <v>10</v>
      </c>
      <c r="F1202" s="7">
        <v>1</v>
      </c>
      <c r="G1202" s="8" t="s">
        <v>8302</v>
      </c>
      <c r="H1202" s="8" t="s">
        <v>8303</v>
      </c>
      <c r="I1202" s="7" t="str">
        <f>_xlfn.CONCAT(Paper_Reference[[#This Row],[Lvl]:[Paper Description]])</f>
        <v>2H48SW813N580ICE WHITE 60 X 961101100SW813-6200ICE WHITE</v>
      </c>
      <c r="J1202" s="7">
        <f>COUNTIF(Paper_Reference[Duplicate Key],Paper_Reference[[#This Row],[Duplicate Key]])</f>
        <v>1</v>
      </c>
    </row>
    <row r="1203" spans="1:10">
      <c r="A1203" s="7">
        <v>2</v>
      </c>
      <c r="B1203" s="8" t="s">
        <v>3187</v>
      </c>
      <c r="C1203" s="8" t="s">
        <v>3086</v>
      </c>
      <c r="D1203" s="7">
        <v>1</v>
      </c>
      <c r="E1203" s="7">
        <v>10</v>
      </c>
      <c r="F1203" s="7">
        <v>1</v>
      </c>
      <c r="G1203" s="8" t="s">
        <v>3115</v>
      </c>
      <c r="H1203" s="8" t="s">
        <v>3090</v>
      </c>
      <c r="I1203" s="7" t="str">
        <f>_xlfn.CONCAT(Paper_Reference[[#This Row],[Lvl]:[Paper Description]])</f>
        <v>2H48WF131CR520VANA 60 X 1441101100WF131-6200VANA</v>
      </c>
      <c r="J1203" s="7">
        <f>COUNTIF(Paper_Reference[Duplicate Key],Paper_Reference[[#This Row],[Duplicate Key]])</f>
        <v>1</v>
      </c>
    </row>
    <row r="1204" spans="1:10">
      <c r="A1204" s="7">
        <v>2</v>
      </c>
      <c r="B1204" s="8" t="s">
        <v>3188</v>
      </c>
      <c r="C1204" s="8" t="s">
        <v>3086</v>
      </c>
      <c r="D1204" s="7">
        <v>1</v>
      </c>
      <c r="E1204" s="7">
        <v>10</v>
      </c>
      <c r="F1204" s="7">
        <v>1</v>
      </c>
      <c r="G1204" s="8" t="s">
        <v>3115</v>
      </c>
      <c r="H1204" s="8" t="s">
        <v>3090</v>
      </c>
      <c r="I1204" s="7" t="str">
        <f>_xlfn.CONCAT(Paper_Reference[[#This Row],[Lvl]:[Paper Description]])</f>
        <v>2H48WF131J520VANA 60 X 1441101100WF131-6200VANA</v>
      </c>
      <c r="J1204" s="7">
        <f>COUNTIF(Paper_Reference[Duplicate Key],Paper_Reference[[#This Row],[Duplicate Key]])</f>
        <v>1</v>
      </c>
    </row>
    <row r="1205" spans="1:10">
      <c r="A1205" s="7">
        <v>2</v>
      </c>
      <c r="B1205" s="8" t="s">
        <v>3189</v>
      </c>
      <c r="C1205" s="8" t="s">
        <v>3086</v>
      </c>
      <c r="D1205" s="7">
        <v>1</v>
      </c>
      <c r="E1205" s="7">
        <v>10</v>
      </c>
      <c r="F1205" s="7">
        <v>1</v>
      </c>
      <c r="G1205" s="8" t="s">
        <v>3115</v>
      </c>
      <c r="H1205" s="8" t="s">
        <v>3090</v>
      </c>
      <c r="I1205" s="7" t="str">
        <f>_xlfn.CONCAT(Paper_Reference[[#This Row],[Lvl]:[Paper Description]])</f>
        <v>2H48WF131N520VANA 60 X 1441101100WF131-6200VANA</v>
      </c>
      <c r="J1205" s="7">
        <f>COUNTIF(Paper_Reference[Duplicate Key],Paper_Reference[[#This Row],[Duplicate Key]])</f>
        <v>1</v>
      </c>
    </row>
    <row r="1206" spans="1:10">
      <c r="A1206" s="7">
        <v>2</v>
      </c>
      <c r="B1206" s="8" t="s">
        <v>3190</v>
      </c>
      <c r="C1206" s="8" t="s">
        <v>3091</v>
      </c>
      <c r="D1206" s="7">
        <v>1</v>
      </c>
      <c r="E1206" s="7">
        <v>10</v>
      </c>
      <c r="F1206" s="7">
        <v>0.5</v>
      </c>
      <c r="G1206" s="8" t="s">
        <v>3115</v>
      </c>
      <c r="H1206" s="8" t="s">
        <v>3090</v>
      </c>
      <c r="I1206" s="7" t="str">
        <f>_xlfn.CONCAT(Paper_Reference[[#This Row],[Lvl]:[Paper Description]])</f>
        <v>2H48WF131SD000VANA 30 X 1201100.5100WF131-6200VANA</v>
      </c>
      <c r="J1206" s="7">
        <f>COUNTIF(Paper_Reference[Duplicate Key],Paper_Reference[[#This Row],[Duplicate Key]])</f>
        <v>1</v>
      </c>
    </row>
    <row r="1207" spans="1:10">
      <c r="A1207" s="7">
        <v>2</v>
      </c>
      <c r="B1207" s="8" t="s">
        <v>3191</v>
      </c>
      <c r="C1207" s="8" t="s">
        <v>3092</v>
      </c>
      <c r="D1207" s="7">
        <v>1</v>
      </c>
      <c r="E1207" s="7">
        <v>10</v>
      </c>
      <c r="F1207" s="7">
        <v>0.5</v>
      </c>
      <c r="G1207" s="8" t="s">
        <v>3115</v>
      </c>
      <c r="H1207" s="8" t="s">
        <v>3090</v>
      </c>
      <c r="I1207" s="7" t="str">
        <f>_xlfn.CONCAT(Paper_Reference[[#This Row],[Lvl]:[Paper Description]])</f>
        <v>2H48WF131SD020VANA 30 X 1441100.5100WF131-6200VANA</v>
      </c>
      <c r="J1207" s="7">
        <f>COUNTIF(Paper_Reference[Duplicate Key],Paper_Reference[[#This Row],[Duplicate Key]])</f>
        <v>1</v>
      </c>
    </row>
    <row r="1208" spans="1:10">
      <c r="A1208" s="7">
        <v>2</v>
      </c>
      <c r="B1208" s="8" t="s">
        <v>3192</v>
      </c>
      <c r="C1208" s="8" t="s">
        <v>3093</v>
      </c>
      <c r="D1208" s="7">
        <v>1</v>
      </c>
      <c r="E1208" s="7">
        <v>10</v>
      </c>
      <c r="F1208" s="7">
        <v>0.5</v>
      </c>
      <c r="G1208" s="8" t="s">
        <v>3115</v>
      </c>
      <c r="H1208" s="8" t="s">
        <v>3090</v>
      </c>
      <c r="I1208" s="7" t="str">
        <f>_xlfn.CONCAT(Paper_Reference[[#This Row],[Lvl]:[Paper Description]])</f>
        <v>2H48WF131SD080VANA 30 X 961100.5100WF131-6200VANA</v>
      </c>
      <c r="J1208" s="7">
        <f>COUNTIF(Paper_Reference[Duplicate Key],Paper_Reference[[#This Row],[Duplicate Key]])</f>
        <v>1</v>
      </c>
    </row>
    <row r="1209" spans="1:10">
      <c r="A1209" s="7">
        <v>2</v>
      </c>
      <c r="B1209" s="8" t="s">
        <v>3193</v>
      </c>
      <c r="C1209" s="8" t="s">
        <v>3088</v>
      </c>
      <c r="D1209" s="7">
        <v>1</v>
      </c>
      <c r="E1209" s="7">
        <v>10</v>
      </c>
      <c r="F1209" s="7">
        <v>1</v>
      </c>
      <c r="G1209" s="8" t="s">
        <v>3115</v>
      </c>
      <c r="H1209" s="8" t="s">
        <v>3090</v>
      </c>
      <c r="I1209" s="7" t="str">
        <f>_xlfn.CONCAT(Paper_Reference[[#This Row],[Lvl]:[Paper Description]])</f>
        <v>2H48WF131SD500VANA 60 X 1201101100WF131-6200VANA</v>
      </c>
      <c r="J1209" s="7">
        <f>COUNTIF(Paper_Reference[Duplicate Key],Paper_Reference[[#This Row],[Duplicate Key]])</f>
        <v>1</v>
      </c>
    </row>
    <row r="1210" spans="1:10">
      <c r="A1210" s="7">
        <v>2</v>
      </c>
      <c r="B1210" s="8" t="s">
        <v>3194</v>
      </c>
      <c r="C1210" s="8" t="s">
        <v>3086</v>
      </c>
      <c r="D1210" s="7">
        <v>1</v>
      </c>
      <c r="E1210" s="7">
        <v>10</v>
      </c>
      <c r="F1210" s="7">
        <v>1</v>
      </c>
      <c r="G1210" s="8" t="s">
        <v>3115</v>
      </c>
      <c r="H1210" s="8" t="s">
        <v>3090</v>
      </c>
      <c r="I1210" s="7" t="str">
        <f>_xlfn.CONCAT(Paper_Reference[[#This Row],[Lvl]:[Paper Description]])</f>
        <v>2H48WF131SD520VANA 60 X 1441101100WF131-6200VANA</v>
      </c>
      <c r="J1210" s="7">
        <f>COUNTIF(Paper_Reference[Duplicate Key],Paper_Reference[[#This Row],[Duplicate Key]])</f>
        <v>1</v>
      </c>
    </row>
    <row r="1211" spans="1:10">
      <c r="A1211" s="7">
        <v>2</v>
      </c>
      <c r="B1211" s="8" t="s">
        <v>5606</v>
      </c>
      <c r="C1211" s="8" t="s">
        <v>5376</v>
      </c>
      <c r="D1211" s="7">
        <v>1</v>
      </c>
      <c r="E1211" s="7">
        <v>10</v>
      </c>
      <c r="F1211" s="7">
        <v>1</v>
      </c>
      <c r="G1211" s="8" t="s">
        <v>5373</v>
      </c>
      <c r="H1211" s="8" t="s">
        <v>5374</v>
      </c>
      <c r="I1211" s="7" t="str">
        <f>_xlfn.CONCAT(Paper_Reference[[#This Row],[Lvl]:[Paper Description]])</f>
        <v>2H48WW971N520GUN SAVOY WALNUT 60 X 1441101100WW971-6200GUN SAVOY WALNUT</v>
      </c>
      <c r="J1211" s="7">
        <f>COUNTIF(Paper_Reference[Duplicate Key],Paper_Reference[[#This Row],[Duplicate Key]])</f>
        <v>1</v>
      </c>
    </row>
    <row r="1212" spans="1:10">
      <c r="A1212" s="7">
        <v>2</v>
      </c>
      <c r="B1212" s="8" t="s">
        <v>4981</v>
      </c>
      <c r="C1212" s="8" t="s">
        <v>4379</v>
      </c>
      <c r="D1212" s="7">
        <v>1</v>
      </c>
      <c r="E1212" s="7">
        <v>10</v>
      </c>
      <c r="F1212" s="7">
        <v>2</v>
      </c>
      <c r="G1212" s="8" t="s">
        <v>4371</v>
      </c>
      <c r="H1212" s="8" t="s">
        <v>4372</v>
      </c>
      <c r="I1212" s="7" t="str">
        <f>_xlfn.CONCAT(Paper_Reference[[#This Row],[Lvl]:[Paper Description]])</f>
        <v>2H60SE101N520BLACK 60 X 1441102100DS064-6200BLACK</v>
      </c>
      <c r="J1212" s="7">
        <f>COUNTIF(Paper_Reference[Duplicate Key],Paper_Reference[[#This Row],[Duplicate Key]])</f>
        <v>1</v>
      </c>
    </row>
    <row r="1213" spans="1:10">
      <c r="A1213" s="7">
        <v>2</v>
      </c>
      <c r="B1213" s="8" t="s">
        <v>8534</v>
      </c>
      <c r="C1213" s="8" t="s">
        <v>8339</v>
      </c>
      <c r="D1213" s="7">
        <v>1</v>
      </c>
      <c r="E1213" s="7">
        <v>10</v>
      </c>
      <c r="F1213" s="7">
        <v>1</v>
      </c>
      <c r="G1213" s="8" t="s">
        <v>8302</v>
      </c>
      <c r="H1213" s="8" t="s">
        <v>8303</v>
      </c>
      <c r="I1213" s="7" t="str">
        <f>_xlfn.CONCAT(Paper_Reference[[#This Row],[Lvl]:[Paper Description]])</f>
        <v>2HD2DF027N580SG241/SW813 60 X 961101100SW813-6200ICE WHITE</v>
      </c>
      <c r="J1213" s="7">
        <f>COUNTIF(Paper_Reference[Duplicate Key],Paper_Reference[[#This Row],[Duplicate Key]])</f>
        <v>1</v>
      </c>
    </row>
    <row r="1214" spans="1:10">
      <c r="A1214" s="7">
        <v>2</v>
      </c>
      <c r="B1214" s="8" t="s">
        <v>4982</v>
      </c>
      <c r="C1214" s="8" t="s">
        <v>4472</v>
      </c>
      <c r="D1214" s="7">
        <v>1</v>
      </c>
      <c r="E1214" s="7">
        <v>10</v>
      </c>
      <c r="F1214" s="7">
        <v>1</v>
      </c>
      <c r="G1214" s="8" t="s">
        <v>4371</v>
      </c>
      <c r="H1214" s="8" t="s">
        <v>4372</v>
      </c>
      <c r="I1214" s="7" t="str">
        <f>_xlfn.CONCAT(Paper_Reference[[#This Row],[Lvl]:[Paper Description]])</f>
        <v>2HD2DF059N520SG241/SE101 60 X 1441101100DS064-6200BLACK</v>
      </c>
      <c r="J1214" s="7">
        <f>COUNTIF(Paper_Reference[Duplicate Key],Paper_Reference[[#This Row],[Duplicate Key]])</f>
        <v>1</v>
      </c>
    </row>
    <row r="1215" spans="1:10">
      <c r="A1215" s="7">
        <v>2</v>
      </c>
      <c r="B1215" s="8" t="s">
        <v>4983</v>
      </c>
      <c r="C1215" s="8" t="s">
        <v>4473</v>
      </c>
      <c r="D1215" s="7">
        <v>1</v>
      </c>
      <c r="E1215" s="7">
        <v>10</v>
      </c>
      <c r="F1215" s="7">
        <v>1</v>
      </c>
      <c r="G1215" s="8" t="s">
        <v>4371</v>
      </c>
      <c r="H1215" s="8" t="s">
        <v>4372</v>
      </c>
      <c r="I1215" s="7" t="str">
        <f>_xlfn.CONCAT(Paper_Reference[[#This Row],[Lvl]:[Paper Description]])</f>
        <v>2HD2DF127N520SW826/SE101 60 X 1441101100DS064-6200BLACK</v>
      </c>
      <c r="J1215" s="7">
        <f>COUNTIF(Paper_Reference[Duplicate Key],Paper_Reference[[#This Row],[Duplicate Key]])</f>
        <v>1</v>
      </c>
    </row>
    <row r="1216" spans="1:10">
      <c r="A1216" s="7">
        <v>2</v>
      </c>
      <c r="B1216" s="8" t="s">
        <v>4984</v>
      </c>
      <c r="C1216" s="8" t="s">
        <v>4373</v>
      </c>
      <c r="D1216" s="7">
        <v>1</v>
      </c>
      <c r="E1216" s="7">
        <v>10</v>
      </c>
      <c r="F1216" s="7">
        <v>2</v>
      </c>
      <c r="G1216" s="8" t="s">
        <v>4371</v>
      </c>
      <c r="H1216" s="8" t="s">
        <v>4372</v>
      </c>
      <c r="I1216" s="7" t="str">
        <f>_xlfn.CONCAT(Paper_Reference[[#This Row],[Lvl]:[Paper Description]])</f>
        <v>2HD2SE101N500BLACK 60 X 1201102100DS064-6200BLACK</v>
      </c>
      <c r="J1216" s="7">
        <f>COUNTIF(Paper_Reference[Duplicate Key],Paper_Reference[[#This Row],[Duplicate Key]])</f>
        <v>1</v>
      </c>
    </row>
    <row r="1217" spans="1:10">
      <c r="A1217" s="7">
        <v>2</v>
      </c>
      <c r="B1217" s="8" t="s">
        <v>4985</v>
      </c>
      <c r="C1217" s="8" t="s">
        <v>4379</v>
      </c>
      <c r="D1217" s="7">
        <v>1</v>
      </c>
      <c r="E1217" s="7">
        <v>10</v>
      </c>
      <c r="F1217" s="7">
        <v>2</v>
      </c>
      <c r="G1217" s="8" t="s">
        <v>4371</v>
      </c>
      <c r="H1217" s="8" t="s">
        <v>4372</v>
      </c>
      <c r="I1217" s="7" t="str">
        <f>_xlfn.CONCAT(Paper_Reference[[#This Row],[Lvl]:[Paper Description]])</f>
        <v>2HD2SE101N520BLACK 60 X 1441102100DS064-6200BLACK</v>
      </c>
      <c r="J1217" s="7">
        <f>COUNTIF(Paper_Reference[Duplicate Key],Paper_Reference[[#This Row],[Duplicate Key]])</f>
        <v>1</v>
      </c>
    </row>
    <row r="1218" spans="1:10">
      <c r="A1218" s="7">
        <v>2</v>
      </c>
      <c r="B1218" s="8" t="s">
        <v>4986</v>
      </c>
      <c r="C1218" s="8" t="s">
        <v>4403</v>
      </c>
      <c r="D1218" s="7">
        <v>1</v>
      </c>
      <c r="E1218" s="7">
        <v>10</v>
      </c>
      <c r="F1218" s="7">
        <v>1</v>
      </c>
      <c r="G1218" s="8" t="s">
        <v>4371</v>
      </c>
      <c r="H1218" s="8" t="s">
        <v>4372</v>
      </c>
      <c r="I1218" s="7" t="str">
        <f>_xlfn.CONCAT(Paper_Reference[[#This Row],[Lvl]:[Paper Description]])</f>
        <v>2HD2SE101SD000BLACK 30 X 1201101100DS064-6200BLACK</v>
      </c>
      <c r="J1218" s="7">
        <f>COUNTIF(Paper_Reference[Duplicate Key],Paper_Reference[[#This Row],[Duplicate Key]])</f>
        <v>1</v>
      </c>
    </row>
    <row r="1219" spans="1:10">
      <c r="A1219" s="7">
        <v>2</v>
      </c>
      <c r="B1219" s="8" t="s">
        <v>4987</v>
      </c>
      <c r="C1219" s="8" t="s">
        <v>4378</v>
      </c>
      <c r="D1219" s="7">
        <v>1</v>
      </c>
      <c r="E1219" s="7">
        <v>10</v>
      </c>
      <c r="F1219" s="7">
        <v>1</v>
      </c>
      <c r="G1219" s="8" t="s">
        <v>4371</v>
      </c>
      <c r="H1219" s="8" t="s">
        <v>4372</v>
      </c>
      <c r="I1219" s="7" t="str">
        <f>_xlfn.CONCAT(Paper_Reference[[#This Row],[Lvl]:[Paper Description]])</f>
        <v>2HD2SE101SD020BLACK 30 X 1441101100DS064-6200BLACK</v>
      </c>
      <c r="J1219" s="7">
        <f>COUNTIF(Paper_Reference[Duplicate Key],Paper_Reference[[#This Row],[Duplicate Key]])</f>
        <v>1</v>
      </c>
    </row>
    <row r="1220" spans="1:10">
      <c r="A1220" s="7">
        <v>2</v>
      </c>
      <c r="B1220" s="8" t="s">
        <v>4988</v>
      </c>
      <c r="C1220" s="8" t="s">
        <v>4400</v>
      </c>
      <c r="D1220" s="7">
        <v>1</v>
      </c>
      <c r="E1220" s="7">
        <v>10</v>
      </c>
      <c r="F1220" s="7">
        <v>1</v>
      </c>
      <c r="G1220" s="8" t="s">
        <v>4371</v>
      </c>
      <c r="H1220" s="8" t="s">
        <v>4372</v>
      </c>
      <c r="I1220" s="7" t="str">
        <f>_xlfn.CONCAT(Paper_Reference[[#This Row],[Lvl]:[Paper Description]])</f>
        <v>2HD2SE101SD080BLACK 30 X 961101100DS064-6200BLACK</v>
      </c>
      <c r="J1220" s="7">
        <f>COUNTIF(Paper_Reference[Duplicate Key],Paper_Reference[[#This Row],[Duplicate Key]])</f>
        <v>1</v>
      </c>
    </row>
    <row r="1221" spans="1:10">
      <c r="A1221" s="7">
        <v>2</v>
      </c>
      <c r="B1221" s="8" t="s">
        <v>4989</v>
      </c>
      <c r="C1221" s="8" t="s">
        <v>4373</v>
      </c>
      <c r="D1221" s="7">
        <v>1</v>
      </c>
      <c r="E1221" s="7">
        <v>10</v>
      </c>
      <c r="F1221" s="7">
        <v>2</v>
      </c>
      <c r="G1221" s="8" t="s">
        <v>4371</v>
      </c>
      <c r="H1221" s="8" t="s">
        <v>4372</v>
      </c>
      <c r="I1221" s="7" t="str">
        <f>_xlfn.CONCAT(Paper_Reference[[#This Row],[Lvl]:[Paper Description]])</f>
        <v>2HD2SE101SD500BLACK 60 X 1201102100DS064-6200BLACK</v>
      </c>
      <c r="J1221" s="7">
        <f>COUNTIF(Paper_Reference[Duplicate Key],Paper_Reference[[#This Row],[Duplicate Key]])</f>
        <v>1</v>
      </c>
    </row>
    <row r="1222" spans="1:10">
      <c r="A1222" s="7">
        <v>2</v>
      </c>
      <c r="B1222" s="8" t="s">
        <v>4990</v>
      </c>
      <c r="C1222" s="8" t="s">
        <v>4379</v>
      </c>
      <c r="D1222" s="7">
        <v>1</v>
      </c>
      <c r="E1222" s="7">
        <v>10</v>
      </c>
      <c r="F1222" s="7">
        <v>2</v>
      </c>
      <c r="G1222" s="8" t="s">
        <v>4371</v>
      </c>
      <c r="H1222" s="8" t="s">
        <v>4372</v>
      </c>
      <c r="I1222" s="7" t="str">
        <f>_xlfn.CONCAT(Paper_Reference[[#This Row],[Lvl]:[Paper Description]])</f>
        <v>2HD2SE101SD520BLACK 60 X 1441102100DS064-6200BLACK</v>
      </c>
      <c r="J1222" s="7">
        <f>COUNTIF(Paper_Reference[Duplicate Key],Paper_Reference[[#This Row],[Duplicate Key]])</f>
        <v>1</v>
      </c>
    </row>
    <row r="1223" spans="1:10">
      <c r="A1223" s="7">
        <v>2</v>
      </c>
      <c r="B1223" s="8" t="s">
        <v>4991</v>
      </c>
      <c r="C1223" s="8" t="s">
        <v>4380</v>
      </c>
      <c r="D1223" s="7">
        <v>1</v>
      </c>
      <c r="E1223" s="7">
        <v>10</v>
      </c>
      <c r="F1223" s="7">
        <v>2</v>
      </c>
      <c r="G1223" s="8" t="s">
        <v>4371</v>
      </c>
      <c r="H1223" s="8" t="s">
        <v>4372</v>
      </c>
      <c r="I1223" s="7" t="str">
        <f>_xlfn.CONCAT(Paper_Reference[[#This Row],[Lvl]:[Paper Description]])</f>
        <v>2HD2SE101SD580BLACK 60 X 961102100DS064-6200BLACK</v>
      </c>
      <c r="J1223" s="7">
        <f>COUNTIF(Paper_Reference[Duplicate Key],Paper_Reference[[#This Row],[Duplicate Key]])</f>
        <v>1</v>
      </c>
    </row>
    <row r="1224" spans="1:10">
      <c r="A1224" s="7">
        <v>2</v>
      </c>
      <c r="B1224" s="8" t="s">
        <v>8535</v>
      </c>
      <c r="C1224" s="8" t="s">
        <v>8340</v>
      </c>
      <c r="D1224" s="7">
        <v>1</v>
      </c>
      <c r="E1224" s="7">
        <v>10</v>
      </c>
      <c r="F1224" s="7">
        <v>0.5</v>
      </c>
      <c r="G1224" s="8" t="s">
        <v>8302</v>
      </c>
      <c r="H1224" s="8" t="s">
        <v>8303</v>
      </c>
      <c r="I1224" s="7" t="str">
        <f>_xlfn.CONCAT(Paper_Reference[[#This Row],[Lvl]:[Paper Description]])</f>
        <v>2HD3DF025N000SE103/SW813 30 X 1201100.5100SW813-6200ICE WHITE</v>
      </c>
      <c r="J1224" s="7">
        <f>COUNTIF(Paper_Reference[Duplicate Key],Paper_Reference[[#This Row],[Duplicate Key]])</f>
        <v>1</v>
      </c>
    </row>
    <row r="1225" spans="1:10">
      <c r="A1225" s="7">
        <v>2</v>
      </c>
      <c r="B1225" s="8" t="s">
        <v>8536</v>
      </c>
      <c r="C1225" s="8" t="s">
        <v>8341</v>
      </c>
      <c r="D1225" s="7">
        <v>1</v>
      </c>
      <c r="E1225" s="7">
        <v>10</v>
      </c>
      <c r="F1225" s="7">
        <v>1</v>
      </c>
      <c r="G1225" s="8" t="s">
        <v>8302</v>
      </c>
      <c r="H1225" s="8" t="s">
        <v>8303</v>
      </c>
      <c r="I1225" s="7" t="str">
        <f>_xlfn.CONCAT(Paper_Reference[[#This Row],[Lvl]:[Paper Description]])</f>
        <v>2HD3DF025N580SE103/SW813 60 X 961101100SW813-6200ICE WHITE</v>
      </c>
      <c r="J1225" s="7">
        <f>COUNTIF(Paper_Reference[Duplicate Key],Paper_Reference[[#This Row],[Duplicate Key]])</f>
        <v>1</v>
      </c>
    </row>
    <row r="1226" spans="1:10">
      <c r="A1226" s="7">
        <v>2</v>
      </c>
      <c r="B1226" s="8" t="s">
        <v>8537</v>
      </c>
      <c r="C1226" s="8" t="s">
        <v>8342</v>
      </c>
      <c r="D1226" s="7">
        <v>1</v>
      </c>
      <c r="E1226" s="7">
        <v>10</v>
      </c>
      <c r="F1226" s="7">
        <v>1</v>
      </c>
      <c r="G1226" s="8" t="s">
        <v>8302</v>
      </c>
      <c r="H1226" s="8" t="s">
        <v>8303</v>
      </c>
      <c r="I1226" s="7" t="str">
        <f>_xlfn.CONCAT(Paper_Reference[[#This Row],[Lvl]:[Paper Description]])</f>
        <v>2HD5DF025N500SE103/SW813 60 X 1201101100SW813-6200ICE WHITE</v>
      </c>
      <c r="J1226" s="7">
        <f>COUNTIF(Paper_Reference[Duplicate Key],Paper_Reference[[#This Row],[Duplicate Key]])</f>
        <v>1</v>
      </c>
    </row>
    <row r="1227" spans="1:10">
      <c r="A1227" s="7">
        <v>2</v>
      </c>
      <c r="B1227" s="8" t="s">
        <v>8538</v>
      </c>
      <c r="C1227" s="8" t="s">
        <v>8343</v>
      </c>
      <c r="D1227" s="7">
        <v>1</v>
      </c>
      <c r="E1227" s="7">
        <v>10</v>
      </c>
      <c r="F1227" s="7">
        <v>1</v>
      </c>
      <c r="G1227" s="8" t="s">
        <v>8302</v>
      </c>
      <c r="H1227" s="8" t="s">
        <v>8303</v>
      </c>
      <c r="I1227" s="7" t="str">
        <f>_xlfn.CONCAT(Paper_Reference[[#This Row],[Lvl]:[Paper Description]])</f>
        <v>2HD5DF025N520SE103/SW813 60 X 1441101100SW813-6200ICE WHITE</v>
      </c>
      <c r="J1227" s="7">
        <f>COUNTIF(Paper_Reference[Duplicate Key],Paper_Reference[[#This Row],[Duplicate Key]])</f>
        <v>1</v>
      </c>
    </row>
    <row r="1228" spans="1:10">
      <c r="A1228" s="7">
        <v>2</v>
      </c>
      <c r="B1228" s="8" t="s">
        <v>8539</v>
      </c>
      <c r="C1228" s="8" t="s">
        <v>8344</v>
      </c>
      <c r="D1228" s="7">
        <v>1</v>
      </c>
      <c r="E1228" s="7">
        <v>10</v>
      </c>
      <c r="F1228" s="7">
        <v>0.5</v>
      </c>
      <c r="G1228" s="8" t="s">
        <v>8302</v>
      </c>
      <c r="H1228" s="8" t="s">
        <v>8303</v>
      </c>
      <c r="I1228" s="7" t="str">
        <f>_xlfn.CONCAT(Paper_Reference[[#This Row],[Lvl]:[Paper Description]])</f>
        <v>2HD5DF025N560SE103/SW813 60 X 721100.5100SW813-6200ICE WHITE</v>
      </c>
      <c r="J1228" s="7">
        <f>COUNTIF(Paper_Reference[Duplicate Key],Paper_Reference[[#This Row],[Duplicate Key]])</f>
        <v>1</v>
      </c>
    </row>
    <row r="1229" spans="1:10">
      <c r="A1229" s="7">
        <v>2</v>
      </c>
      <c r="B1229" s="8" t="s">
        <v>8540</v>
      </c>
      <c r="C1229" s="8" t="s">
        <v>8341</v>
      </c>
      <c r="D1229" s="7">
        <v>1</v>
      </c>
      <c r="E1229" s="7">
        <v>10</v>
      </c>
      <c r="F1229" s="7">
        <v>1</v>
      </c>
      <c r="G1229" s="8" t="s">
        <v>8302</v>
      </c>
      <c r="H1229" s="8" t="s">
        <v>8303</v>
      </c>
      <c r="I1229" s="7" t="str">
        <f>_xlfn.CONCAT(Paper_Reference[[#This Row],[Lvl]:[Paper Description]])</f>
        <v>2HD5DF025N580SE103/SW813 60 X 961101100SW813-6200ICE WHITE</v>
      </c>
      <c r="J1229" s="7">
        <f>COUNTIF(Paper_Reference[Duplicate Key],Paper_Reference[[#This Row],[Duplicate Key]])</f>
        <v>1</v>
      </c>
    </row>
    <row r="1230" spans="1:10">
      <c r="A1230" s="7">
        <v>2</v>
      </c>
      <c r="B1230" s="8" t="s">
        <v>8541</v>
      </c>
      <c r="C1230" s="8" t="s">
        <v>8345</v>
      </c>
      <c r="D1230" s="7">
        <v>1</v>
      </c>
      <c r="E1230" s="7">
        <v>10</v>
      </c>
      <c r="F1230" s="7">
        <v>1</v>
      </c>
      <c r="G1230" s="8" t="s">
        <v>8302</v>
      </c>
      <c r="H1230" s="8" t="s">
        <v>8303</v>
      </c>
      <c r="I1230" s="7" t="str">
        <f>_xlfn.CONCAT(Paper_Reference[[#This Row],[Lvl]:[Paper Description]])</f>
        <v>2HD5DF027N500SG241/SW813 60 X 1201101100SW813-6200ICE WHITE</v>
      </c>
      <c r="J1230" s="7">
        <f>COUNTIF(Paper_Reference[Duplicate Key],Paper_Reference[[#This Row],[Duplicate Key]])</f>
        <v>1</v>
      </c>
    </row>
    <row r="1231" spans="1:10">
      <c r="A1231" s="7">
        <v>2</v>
      </c>
      <c r="B1231" s="8" t="s">
        <v>8542</v>
      </c>
      <c r="C1231" s="8" t="s">
        <v>8346</v>
      </c>
      <c r="D1231" s="7">
        <v>1</v>
      </c>
      <c r="E1231" s="7">
        <v>10</v>
      </c>
      <c r="F1231" s="7">
        <v>0.5</v>
      </c>
      <c r="G1231" s="8" t="s">
        <v>8302</v>
      </c>
      <c r="H1231" s="8" t="s">
        <v>8303</v>
      </c>
      <c r="I1231" s="7" t="str">
        <f>_xlfn.CONCAT(Paper_Reference[[#This Row],[Lvl]:[Paper Description]])</f>
        <v>2HD5DF027N560SG241/SW813 60 X 721100.5100SW813-6200ICE WHITE</v>
      </c>
      <c r="J1231" s="7">
        <f>COUNTIF(Paper_Reference[Duplicate Key],Paper_Reference[[#This Row],[Duplicate Key]])</f>
        <v>1</v>
      </c>
    </row>
    <row r="1232" spans="1:10">
      <c r="A1232" s="7">
        <v>2</v>
      </c>
      <c r="B1232" s="8" t="s">
        <v>8543</v>
      </c>
      <c r="C1232" s="8" t="s">
        <v>8347</v>
      </c>
      <c r="D1232" s="7">
        <v>1</v>
      </c>
      <c r="E1232" s="7">
        <v>10</v>
      </c>
      <c r="F1232" s="7">
        <v>1</v>
      </c>
      <c r="G1232" s="8" t="s">
        <v>8302</v>
      </c>
      <c r="H1232" s="8" t="s">
        <v>8303</v>
      </c>
      <c r="I1232" s="7" t="str">
        <f>_xlfn.CONCAT(Paper_Reference[[#This Row],[Lvl]:[Paper Description]])</f>
        <v>2HD5DF034N500SB016/SW813 60 X 1201101100SW813-6200ICE WHITE</v>
      </c>
      <c r="J1232" s="7">
        <f>COUNTIF(Paper_Reference[Duplicate Key],Paper_Reference[[#This Row],[Duplicate Key]])</f>
        <v>1</v>
      </c>
    </row>
    <row r="1233" spans="1:10">
      <c r="A1233" s="7">
        <v>2</v>
      </c>
      <c r="B1233" s="8" t="s">
        <v>8544</v>
      </c>
      <c r="C1233" s="8" t="s">
        <v>8348</v>
      </c>
      <c r="D1233" s="7">
        <v>1</v>
      </c>
      <c r="E1233" s="7">
        <v>10</v>
      </c>
      <c r="F1233" s="7">
        <v>1</v>
      </c>
      <c r="G1233" s="8" t="s">
        <v>8302</v>
      </c>
      <c r="H1233" s="8" t="s">
        <v>8303</v>
      </c>
      <c r="I1233" s="7" t="str">
        <f>_xlfn.CONCAT(Paper_Reference[[#This Row],[Lvl]:[Paper Description]])</f>
        <v>2HD5DF078N500SB009/SW813 60 X 1201101100SW813-6200ICE WHITE</v>
      </c>
      <c r="J1233" s="7">
        <f>COUNTIF(Paper_Reference[Duplicate Key],Paper_Reference[[#This Row],[Duplicate Key]])</f>
        <v>1</v>
      </c>
    </row>
    <row r="1234" spans="1:10">
      <c r="A1234" s="7">
        <v>2</v>
      </c>
      <c r="B1234" s="8" t="s">
        <v>4992</v>
      </c>
      <c r="C1234" s="8" t="s">
        <v>4474</v>
      </c>
      <c r="D1234" s="7">
        <v>1</v>
      </c>
      <c r="E1234" s="7">
        <v>10</v>
      </c>
      <c r="F1234" s="7">
        <v>0.5</v>
      </c>
      <c r="G1234" s="8" t="s">
        <v>4371</v>
      </c>
      <c r="H1234" s="8" t="s">
        <v>4372</v>
      </c>
      <c r="I1234" s="7" t="str">
        <f>_xlfn.CONCAT(Paper_Reference[[#This Row],[Lvl]:[Paper Description]])</f>
        <v>2HD5DF091N560SE101/SW813 60 X 721100.5100DS064-6200BLACK</v>
      </c>
      <c r="J1234" s="7">
        <f>COUNTIF(Paper_Reference[Duplicate Key],Paper_Reference[[#This Row],[Duplicate Key]])</f>
        <v>1</v>
      </c>
    </row>
    <row r="1235" spans="1:10">
      <c r="A1235" s="7">
        <v>2</v>
      </c>
      <c r="B1235" s="8" t="s">
        <v>4992</v>
      </c>
      <c r="C1235" s="8" t="s">
        <v>4474</v>
      </c>
      <c r="D1235" s="7">
        <v>1</v>
      </c>
      <c r="E1235" s="7">
        <v>10</v>
      </c>
      <c r="F1235" s="7">
        <v>0.5</v>
      </c>
      <c r="G1235" s="8" t="s">
        <v>8302</v>
      </c>
      <c r="H1235" s="8" t="s">
        <v>8303</v>
      </c>
      <c r="I1235" s="7" t="str">
        <f>_xlfn.CONCAT(Paper_Reference[[#This Row],[Lvl]:[Paper Description]])</f>
        <v>2HD5DF091N560SE101/SW813 60 X 721100.5100SW813-6200ICE WHITE</v>
      </c>
      <c r="J1235" s="7">
        <f>COUNTIF(Paper_Reference[Duplicate Key],Paper_Reference[[#This Row],[Duplicate Key]])</f>
        <v>1</v>
      </c>
    </row>
    <row r="1236" spans="1:10">
      <c r="A1236" s="7">
        <v>2</v>
      </c>
      <c r="B1236" s="8" t="s">
        <v>8545</v>
      </c>
      <c r="C1236" s="8" t="s">
        <v>8349</v>
      </c>
      <c r="D1236" s="7">
        <v>1</v>
      </c>
      <c r="E1236" s="7">
        <v>10</v>
      </c>
      <c r="F1236" s="7">
        <v>0.5</v>
      </c>
      <c r="G1236" s="8" t="s">
        <v>8302</v>
      </c>
      <c r="H1236" s="8" t="s">
        <v>8303</v>
      </c>
      <c r="I1236" s="7" t="str">
        <f>_xlfn.CONCAT(Paper_Reference[[#This Row],[Lvl]:[Paper Description]])</f>
        <v>2HD5DF093N560SB005/SW813 60 X 721100.5100SW813-6200ICE WHITE</v>
      </c>
      <c r="J1236" s="7">
        <f>COUNTIF(Paper_Reference[Duplicate Key],Paper_Reference[[#This Row],[Duplicate Key]])</f>
        <v>1</v>
      </c>
    </row>
    <row r="1237" spans="1:10">
      <c r="A1237" s="7">
        <v>2</v>
      </c>
      <c r="B1237" s="8" t="s">
        <v>8546</v>
      </c>
      <c r="C1237" s="8" t="s">
        <v>8350</v>
      </c>
      <c r="D1237" s="7">
        <v>1</v>
      </c>
      <c r="E1237" s="7">
        <v>10</v>
      </c>
      <c r="F1237" s="7">
        <v>1</v>
      </c>
      <c r="G1237" s="8" t="s">
        <v>8302</v>
      </c>
      <c r="H1237" s="8" t="s">
        <v>8303</v>
      </c>
      <c r="I1237" s="7" t="str">
        <f>_xlfn.CONCAT(Paper_Reference[[#This Row],[Lvl]:[Paper Description]])</f>
        <v>2HD5DF105N500ST655/SW813 60 X 1201101100SW813-6200ICE WHITE</v>
      </c>
      <c r="J1237" s="7">
        <f>COUNTIF(Paper_Reference[Duplicate Key],Paper_Reference[[#This Row],[Duplicate Key]])</f>
        <v>1</v>
      </c>
    </row>
    <row r="1238" spans="1:10">
      <c r="A1238" s="7">
        <v>2</v>
      </c>
      <c r="B1238" s="8" t="s">
        <v>8547</v>
      </c>
      <c r="C1238" s="8" t="s">
        <v>8351</v>
      </c>
      <c r="D1238" s="7">
        <v>1</v>
      </c>
      <c r="E1238" s="7">
        <v>10</v>
      </c>
      <c r="F1238" s="7">
        <v>0.5</v>
      </c>
      <c r="G1238" s="8" t="s">
        <v>8302</v>
      </c>
      <c r="H1238" s="8" t="s">
        <v>8303</v>
      </c>
      <c r="I1238" s="7" t="str">
        <f>_xlfn.CONCAT(Paper_Reference[[#This Row],[Lvl]:[Paper Description]])</f>
        <v>2HD5DF105N560ST655/SW813 60 X 721100.5100SW813-6200ICE WHITE</v>
      </c>
      <c r="J1238" s="7">
        <f>COUNTIF(Paper_Reference[Duplicate Key],Paper_Reference[[#This Row],[Duplicate Key]])</f>
        <v>1</v>
      </c>
    </row>
    <row r="1239" spans="1:10">
      <c r="A1239" s="7">
        <v>2</v>
      </c>
      <c r="B1239" s="8" t="s">
        <v>8548</v>
      </c>
      <c r="C1239" s="8" t="s">
        <v>8352</v>
      </c>
      <c r="D1239" s="7">
        <v>1</v>
      </c>
      <c r="E1239" s="7">
        <v>10</v>
      </c>
      <c r="F1239" s="7">
        <v>1</v>
      </c>
      <c r="G1239" s="8" t="s">
        <v>8302</v>
      </c>
      <c r="H1239" s="8" t="s">
        <v>8303</v>
      </c>
      <c r="I1239" s="7" t="str">
        <f>_xlfn.CONCAT(Paper_Reference[[#This Row],[Lvl]:[Paper Description]])</f>
        <v>2HD5DF105N580ST655/SW813 60 X 961101100SW813-6200ICE WHITE</v>
      </c>
      <c r="J1239" s="7">
        <f>COUNTIF(Paper_Reference[Duplicate Key],Paper_Reference[[#This Row],[Duplicate Key]])</f>
        <v>1</v>
      </c>
    </row>
    <row r="1240" spans="1:10">
      <c r="A1240" s="7">
        <v>2</v>
      </c>
      <c r="B1240" s="8" t="s">
        <v>8549</v>
      </c>
      <c r="C1240" s="8" t="s">
        <v>8353</v>
      </c>
      <c r="D1240" s="7">
        <v>1</v>
      </c>
      <c r="E1240" s="7">
        <v>10</v>
      </c>
      <c r="F1240" s="7">
        <v>1</v>
      </c>
      <c r="G1240" s="8" t="s">
        <v>8302</v>
      </c>
      <c r="H1240" s="8" t="s">
        <v>8303</v>
      </c>
      <c r="I1240" s="7" t="str">
        <f>_xlfn.CONCAT(Paper_Reference[[#This Row],[Lvl]:[Paper Description]])</f>
        <v>2HD5DF109N500ST606/SW813 60 X 1201101100SW813-6200ICE WHITE</v>
      </c>
      <c r="J1240" s="7">
        <f>COUNTIF(Paper_Reference[Duplicate Key],Paper_Reference[[#This Row],[Duplicate Key]])</f>
        <v>1</v>
      </c>
    </row>
    <row r="1241" spans="1:10">
      <c r="A1241" s="7">
        <v>2</v>
      </c>
      <c r="B1241" s="8" t="s">
        <v>8550</v>
      </c>
      <c r="C1241" s="8" t="s">
        <v>8354</v>
      </c>
      <c r="D1241" s="7">
        <v>1</v>
      </c>
      <c r="E1241" s="7">
        <v>10</v>
      </c>
      <c r="F1241" s="7">
        <v>0.5</v>
      </c>
      <c r="G1241" s="8" t="s">
        <v>8302</v>
      </c>
      <c r="H1241" s="8" t="s">
        <v>8303</v>
      </c>
      <c r="I1241" s="7" t="str">
        <f>_xlfn.CONCAT(Paper_Reference[[#This Row],[Lvl]:[Paper Description]])</f>
        <v>2HD5DF109N560ST606/SW813 60 X 721100.5100SW813-6200ICE WHITE</v>
      </c>
      <c r="J1241" s="7">
        <f>COUNTIF(Paper_Reference[Duplicate Key],Paper_Reference[[#This Row],[Duplicate Key]])</f>
        <v>1</v>
      </c>
    </row>
    <row r="1242" spans="1:10">
      <c r="A1242" s="7">
        <v>2</v>
      </c>
      <c r="B1242" s="8" t="s">
        <v>8551</v>
      </c>
      <c r="C1242" s="8" t="s">
        <v>8355</v>
      </c>
      <c r="D1242" s="7">
        <v>1</v>
      </c>
      <c r="E1242" s="7">
        <v>10</v>
      </c>
      <c r="F1242" s="7">
        <v>1</v>
      </c>
      <c r="G1242" s="8" t="s">
        <v>8302</v>
      </c>
      <c r="H1242" s="8" t="s">
        <v>8303</v>
      </c>
      <c r="I1242" s="7" t="str">
        <f>_xlfn.CONCAT(Paper_Reference[[#This Row],[Lvl]:[Paper Description]])</f>
        <v>2HD5DF109N580ST606/SW813 60 X 961101100SW813-6200ICE WHITE</v>
      </c>
      <c r="J1242" s="7">
        <f>COUNTIF(Paper_Reference[Duplicate Key],Paper_Reference[[#This Row],[Duplicate Key]])</f>
        <v>1</v>
      </c>
    </row>
    <row r="1243" spans="1:10">
      <c r="A1243" s="7">
        <v>2</v>
      </c>
      <c r="B1243" s="8" t="s">
        <v>4993</v>
      </c>
      <c r="C1243" s="8" t="s">
        <v>4473</v>
      </c>
      <c r="D1243" s="7">
        <v>1</v>
      </c>
      <c r="E1243" s="7">
        <v>10</v>
      </c>
      <c r="F1243" s="7">
        <v>1</v>
      </c>
      <c r="G1243" s="8" t="s">
        <v>4371</v>
      </c>
      <c r="H1243" s="8" t="s">
        <v>4372</v>
      </c>
      <c r="I1243" s="7" t="str">
        <f>_xlfn.CONCAT(Paper_Reference[[#This Row],[Lvl]:[Paper Description]])</f>
        <v>2HD5DF127N520SW826/SE101 60 X 1441101100DS064-6200BLACK</v>
      </c>
      <c r="J1243" s="7">
        <f>COUNTIF(Paper_Reference[Duplicate Key],Paper_Reference[[#This Row],[Duplicate Key]])</f>
        <v>1</v>
      </c>
    </row>
    <row r="1244" spans="1:10">
      <c r="A1244" s="7">
        <v>2</v>
      </c>
      <c r="B1244" s="8" t="s">
        <v>4994</v>
      </c>
      <c r="C1244" s="8" t="s">
        <v>4378</v>
      </c>
      <c r="D1244" s="7">
        <v>1</v>
      </c>
      <c r="E1244" s="7">
        <v>10</v>
      </c>
      <c r="F1244" s="7">
        <v>1</v>
      </c>
      <c r="G1244" s="8" t="s">
        <v>4371</v>
      </c>
      <c r="H1244" s="8" t="s">
        <v>4372</v>
      </c>
      <c r="I1244" s="7" t="str">
        <f>_xlfn.CONCAT(Paper_Reference[[#This Row],[Lvl]:[Paper Description]])</f>
        <v>2HD5SE101N020BLACK 30 X 1441101100DS064-6200BLACK</v>
      </c>
      <c r="J1244" s="7">
        <f>COUNTIF(Paper_Reference[Duplicate Key],Paper_Reference[[#This Row],[Duplicate Key]])</f>
        <v>1</v>
      </c>
    </row>
    <row r="1245" spans="1:10">
      <c r="A1245" s="7">
        <v>2</v>
      </c>
      <c r="B1245" s="8" t="s">
        <v>4995</v>
      </c>
      <c r="C1245" s="8" t="s">
        <v>4373</v>
      </c>
      <c r="D1245" s="7">
        <v>1</v>
      </c>
      <c r="E1245" s="7">
        <v>10</v>
      </c>
      <c r="F1245" s="7">
        <v>2</v>
      </c>
      <c r="G1245" s="8" t="s">
        <v>4371</v>
      </c>
      <c r="H1245" s="8" t="s">
        <v>4372</v>
      </c>
      <c r="I1245" s="7" t="str">
        <f>_xlfn.CONCAT(Paper_Reference[[#This Row],[Lvl]:[Paper Description]])</f>
        <v>2HD5SE101N500BLACK 60 X 1201102100DS064-6200BLACK</v>
      </c>
      <c r="J1245" s="7">
        <f>COUNTIF(Paper_Reference[Duplicate Key],Paper_Reference[[#This Row],[Duplicate Key]])</f>
        <v>1</v>
      </c>
    </row>
    <row r="1246" spans="1:10">
      <c r="A1246" s="7">
        <v>2</v>
      </c>
      <c r="B1246" s="8" t="s">
        <v>4998</v>
      </c>
      <c r="C1246" s="8" t="s">
        <v>4379</v>
      </c>
      <c r="D1246" s="7">
        <v>1</v>
      </c>
      <c r="E1246" s="7">
        <v>10</v>
      </c>
      <c r="F1246" s="7">
        <v>2</v>
      </c>
      <c r="G1246" s="8" t="s">
        <v>4371</v>
      </c>
      <c r="H1246" s="8" t="s">
        <v>4372</v>
      </c>
      <c r="I1246" s="7" t="str">
        <f>_xlfn.CONCAT(Paper_Reference[[#This Row],[Lvl]:[Paper Description]])</f>
        <v>2HD5SE101N520BLACK 60 X 1441102100DS064-6200BLACK</v>
      </c>
      <c r="J1246" s="7">
        <f>COUNTIF(Paper_Reference[Duplicate Key],Paper_Reference[[#This Row],[Duplicate Key]])</f>
        <v>1</v>
      </c>
    </row>
    <row r="1247" spans="1:10">
      <c r="A1247" s="7">
        <v>2</v>
      </c>
      <c r="B1247" s="8" t="s">
        <v>4996</v>
      </c>
      <c r="C1247" s="8" t="s">
        <v>4379</v>
      </c>
      <c r="D1247" s="7">
        <v>1</v>
      </c>
      <c r="E1247" s="7">
        <v>10</v>
      </c>
      <c r="F1247" s="7">
        <v>2</v>
      </c>
      <c r="G1247" s="8" t="s">
        <v>4371</v>
      </c>
      <c r="H1247" s="8" t="s">
        <v>4372</v>
      </c>
      <c r="I1247" s="7" t="str">
        <f>_xlfn.CONCAT(Paper_Reference[[#This Row],[Lvl]:[Paper Description]])</f>
        <v>2HD5SE101N5201BLACK 60 X 1441102100DS064-6200BLACK</v>
      </c>
      <c r="J1247" s="7">
        <f>COUNTIF(Paper_Reference[Duplicate Key],Paper_Reference[[#This Row],[Duplicate Key]])</f>
        <v>1</v>
      </c>
    </row>
    <row r="1248" spans="1:10">
      <c r="A1248" s="7">
        <v>2</v>
      </c>
      <c r="B1248" s="8" t="s">
        <v>4997</v>
      </c>
      <c r="C1248" s="8" t="s">
        <v>4379</v>
      </c>
      <c r="D1248" s="7">
        <v>1</v>
      </c>
      <c r="E1248" s="7">
        <v>10</v>
      </c>
      <c r="F1248" s="7">
        <v>2</v>
      </c>
      <c r="G1248" s="8" t="s">
        <v>4371</v>
      </c>
      <c r="H1248" s="8" t="s">
        <v>4372</v>
      </c>
      <c r="I1248" s="7" t="str">
        <f>_xlfn.CONCAT(Paper_Reference[[#This Row],[Lvl]:[Paper Description]])</f>
        <v>2HD5SE101N5202BLACK 60 X 1441102100DS064-6200BLACK</v>
      </c>
      <c r="J1248" s="7">
        <f>COUNTIF(Paper_Reference[Duplicate Key],Paper_Reference[[#This Row],[Duplicate Key]])</f>
        <v>1</v>
      </c>
    </row>
    <row r="1249" spans="1:10">
      <c r="A1249" s="7">
        <v>2</v>
      </c>
      <c r="B1249" s="8" t="s">
        <v>4999</v>
      </c>
      <c r="C1249" s="8" t="s">
        <v>4380</v>
      </c>
      <c r="D1249" s="7">
        <v>1</v>
      </c>
      <c r="E1249" s="7">
        <v>10</v>
      </c>
      <c r="F1249" s="7">
        <v>2</v>
      </c>
      <c r="G1249" s="8" t="s">
        <v>4371</v>
      </c>
      <c r="H1249" s="8" t="s">
        <v>4372</v>
      </c>
      <c r="I1249" s="7" t="str">
        <f>_xlfn.CONCAT(Paper_Reference[[#This Row],[Lvl]:[Paper Description]])</f>
        <v>2HD5SE101N580BLACK 60 X 961102100DS064-6200BLACK</v>
      </c>
      <c r="J1249" s="7">
        <f>COUNTIF(Paper_Reference[Duplicate Key],Paper_Reference[[#This Row],[Duplicate Key]])</f>
        <v>1</v>
      </c>
    </row>
    <row r="1250" spans="1:10">
      <c r="A1250" s="7">
        <v>2</v>
      </c>
      <c r="B1250" s="8" t="s">
        <v>5000</v>
      </c>
      <c r="C1250" s="8" t="s">
        <v>4403</v>
      </c>
      <c r="D1250" s="7">
        <v>1</v>
      </c>
      <c r="E1250" s="7">
        <v>10</v>
      </c>
      <c r="F1250" s="7">
        <v>1</v>
      </c>
      <c r="G1250" s="8" t="s">
        <v>4371</v>
      </c>
      <c r="H1250" s="8" t="s">
        <v>4372</v>
      </c>
      <c r="I1250" s="7" t="str">
        <f>_xlfn.CONCAT(Paper_Reference[[#This Row],[Lvl]:[Paper Description]])</f>
        <v>2HD5SE101SD000BLACK 30 X 1201101100DS064-6200BLACK</v>
      </c>
      <c r="J1250" s="7">
        <f>COUNTIF(Paper_Reference[Duplicate Key],Paper_Reference[[#This Row],[Duplicate Key]])</f>
        <v>1</v>
      </c>
    </row>
    <row r="1251" spans="1:10">
      <c r="A1251" s="7">
        <v>2</v>
      </c>
      <c r="B1251" s="8" t="s">
        <v>5001</v>
      </c>
      <c r="C1251" s="8" t="s">
        <v>4378</v>
      </c>
      <c r="D1251" s="7">
        <v>1</v>
      </c>
      <c r="E1251" s="7">
        <v>10</v>
      </c>
      <c r="F1251" s="7">
        <v>1</v>
      </c>
      <c r="G1251" s="8" t="s">
        <v>4371</v>
      </c>
      <c r="H1251" s="8" t="s">
        <v>4372</v>
      </c>
      <c r="I1251" s="7" t="str">
        <f>_xlfn.CONCAT(Paper_Reference[[#This Row],[Lvl]:[Paper Description]])</f>
        <v>2HD5SE101SD020BLACK 30 X 1441101100DS064-6200BLACK</v>
      </c>
      <c r="J1251" s="7">
        <f>COUNTIF(Paper_Reference[Duplicate Key],Paper_Reference[[#This Row],[Duplicate Key]])</f>
        <v>1</v>
      </c>
    </row>
    <row r="1252" spans="1:10">
      <c r="A1252" s="7">
        <v>2</v>
      </c>
      <c r="B1252" s="8" t="s">
        <v>5002</v>
      </c>
      <c r="C1252" s="8" t="s">
        <v>4400</v>
      </c>
      <c r="D1252" s="7">
        <v>1</v>
      </c>
      <c r="E1252" s="7">
        <v>10</v>
      </c>
      <c r="F1252" s="7">
        <v>1</v>
      </c>
      <c r="G1252" s="8" t="s">
        <v>4371</v>
      </c>
      <c r="H1252" s="8" t="s">
        <v>4372</v>
      </c>
      <c r="I1252" s="7" t="str">
        <f>_xlfn.CONCAT(Paper_Reference[[#This Row],[Lvl]:[Paper Description]])</f>
        <v>2HD5SE101SD080BLACK 30 X 961101100DS064-6200BLACK</v>
      </c>
      <c r="J1252" s="7">
        <f>COUNTIF(Paper_Reference[Duplicate Key],Paper_Reference[[#This Row],[Duplicate Key]])</f>
        <v>1</v>
      </c>
    </row>
    <row r="1253" spans="1:10">
      <c r="A1253" s="7">
        <v>2</v>
      </c>
      <c r="B1253" s="8" t="s">
        <v>5003</v>
      </c>
      <c r="C1253" s="8" t="s">
        <v>4373</v>
      </c>
      <c r="D1253" s="7">
        <v>1</v>
      </c>
      <c r="E1253" s="7">
        <v>10</v>
      </c>
      <c r="F1253" s="7">
        <v>2</v>
      </c>
      <c r="G1253" s="8" t="s">
        <v>4371</v>
      </c>
      <c r="H1253" s="8" t="s">
        <v>4372</v>
      </c>
      <c r="I1253" s="7" t="str">
        <f>_xlfn.CONCAT(Paper_Reference[[#This Row],[Lvl]:[Paper Description]])</f>
        <v>2HD5SE101SD500BLACK 60 X 1201102100DS064-6200BLACK</v>
      </c>
      <c r="J1253" s="7">
        <f>COUNTIF(Paper_Reference[Duplicate Key],Paper_Reference[[#This Row],[Duplicate Key]])</f>
        <v>1</v>
      </c>
    </row>
    <row r="1254" spans="1:10">
      <c r="A1254" s="7">
        <v>2</v>
      </c>
      <c r="B1254" s="8" t="s">
        <v>5004</v>
      </c>
      <c r="C1254" s="8" t="s">
        <v>4379</v>
      </c>
      <c r="D1254" s="7">
        <v>1</v>
      </c>
      <c r="E1254" s="7">
        <v>10</v>
      </c>
      <c r="F1254" s="7">
        <v>2</v>
      </c>
      <c r="G1254" s="8" t="s">
        <v>4371</v>
      </c>
      <c r="H1254" s="8" t="s">
        <v>4372</v>
      </c>
      <c r="I1254" s="7" t="str">
        <f>_xlfn.CONCAT(Paper_Reference[[#This Row],[Lvl]:[Paper Description]])</f>
        <v>2HD5SE101SD520BLACK 60 X 1441102100DS064-6200BLACK</v>
      </c>
      <c r="J1254" s="7">
        <f>COUNTIF(Paper_Reference[Duplicate Key],Paper_Reference[[#This Row],[Duplicate Key]])</f>
        <v>1</v>
      </c>
    </row>
    <row r="1255" spans="1:10">
      <c r="A1255" s="7">
        <v>2</v>
      </c>
      <c r="B1255" s="8" t="s">
        <v>5005</v>
      </c>
      <c r="C1255" s="8" t="s">
        <v>4380</v>
      </c>
      <c r="D1255" s="7">
        <v>1</v>
      </c>
      <c r="E1255" s="7">
        <v>10</v>
      </c>
      <c r="F1255" s="7">
        <v>2</v>
      </c>
      <c r="G1255" s="8" t="s">
        <v>4371</v>
      </c>
      <c r="H1255" s="8" t="s">
        <v>4372</v>
      </c>
      <c r="I1255" s="7" t="str">
        <f>_xlfn.CONCAT(Paper_Reference[[#This Row],[Lvl]:[Paper Description]])</f>
        <v>2HD5SE101SD580BLACK 60 X 961102100DS064-6200BLACK</v>
      </c>
      <c r="J1255" s="7">
        <f>COUNTIF(Paper_Reference[Duplicate Key],Paper_Reference[[#This Row],[Duplicate Key]])</f>
        <v>1</v>
      </c>
    </row>
    <row r="1256" spans="1:10">
      <c r="A1256" s="7">
        <v>2</v>
      </c>
      <c r="B1256" s="8" t="s">
        <v>5006</v>
      </c>
      <c r="C1256" s="8" t="s">
        <v>4475</v>
      </c>
      <c r="D1256" s="7">
        <v>1</v>
      </c>
      <c r="E1256" s="7">
        <v>10</v>
      </c>
      <c r="F1256" s="7">
        <v>1</v>
      </c>
      <c r="G1256" s="8" t="s">
        <v>4371</v>
      </c>
      <c r="H1256" s="8" t="s">
        <v>4372</v>
      </c>
      <c r="I1256" s="7" t="str">
        <f>_xlfn.CONCAT(Paper_Reference[[#This Row],[Lvl]:[Paper Description]])</f>
        <v>2HD6DF059N500SG241/SE101 60 X 1201101100DS064-6200BLACK</v>
      </c>
      <c r="J1256" s="7">
        <f>COUNTIF(Paper_Reference[Duplicate Key],Paper_Reference[[#This Row],[Duplicate Key]])</f>
        <v>1</v>
      </c>
    </row>
    <row r="1257" spans="1:10">
      <c r="A1257" s="7">
        <v>2</v>
      </c>
      <c r="B1257" s="8" t="s">
        <v>5007</v>
      </c>
      <c r="C1257" s="8" t="s">
        <v>4373</v>
      </c>
      <c r="D1257" s="7">
        <v>1</v>
      </c>
      <c r="E1257" s="7">
        <v>10</v>
      </c>
      <c r="F1257" s="7">
        <v>2</v>
      </c>
      <c r="G1257" s="8" t="s">
        <v>4371</v>
      </c>
      <c r="H1257" s="8" t="s">
        <v>4372</v>
      </c>
      <c r="I1257" s="7" t="str">
        <f>_xlfn.CONCAT(Paper_Reference[[#This Row],[Lvl]:[Paper Description]])</f>
        <v>2HD6SE101N500BLACK 60 X 1201102100DS064-6200BLACK</v>
      </c>
      <c r="J1257" s="7">
        <f>COUNTIF(Paper_Reference[Duplicate Key],Paper_Reference[[#This Row],[Duplicate Key]])</f>
        <v>1</v>
      </c>
    </row>
    <row r="1258" spans="1:10">
      <c r="A1258" s="7">
        <v>2</v>
      </c>
      <c r="B1258" s="8" t="s">
        <v>5008</v>
      </c>
      <c r="C1258" s="8" t="s">
        <v>4379</v>
      </c>
      <c r="D1258" s="7">
        <v>1</v>
      </c>
      <c r="E1258" s="7">
        <v>10</v>
      </c>
      <c r="F1258" s="7">
        <v>2</v>
      </c>
      <c r="G1258" s="8" t="s">
        <v>4371</v>
      </c>
      <c r="H1258" s="8" t="s">
        <v>4372</v>
      </c>
      <c r="I1258" s="7" t="str">
        <f>_xlfn.CONCAT(Paper_Reference[[#This Row],[Lvl]:[Paper Description]])</f>
        <v>2HD6SE101N520BLACK 60 X 1441102100DS064-6200BLACK</v>
      </c>
      <c r="J1258" s="7">
        <f>COUNTIF(Paper_Reference[Duplicate Key],Paper_Reference[[#This Row],[Duplicate Key]])</f>
        <v>1</v>
      </c>
    </row>
    <row r="1259" spans="1:10">
      <c r="A1259" s="7">
        <v>2</v>
      </c>
      <c r="B1259" s="8" t="s">
        <v>5009</v>
      </c>
      <c r="C1259" s="8" t="s">
        <v>4380</v>
      </c>
      <c r="D1259" s="7">
        <v>1</v>
      </c>
      <c r="E1259" s="7">
        <v>10</v>
      </c>
      <c r="F1259" s="7">
        <v>2</v>
      </c>
      <c r="G1259" s="8" t="s">
        <v>4371</v>
      </c>
      <c r="H1259" s="8" t="s">
        <v>4372</v>
      </c>
      <c r="I1259" s="7" t="str">
        <f>_xlfn.CONCAT(Paper_Reference[[#This Row],[Lvl]:[Paper Description]])</f>
        <v>2HD6SE101N580BLACK 60 X 961102100DS064-6200BLACK</v>
      </c>
      <c r="J1259" s="7">
        <f>COUNTIF(Paper_Reference[Duplicate Key],Paper_Reference[[#This Row],[Duplicate Key]])</f>
        <v>1</v>
      </c>
    </row>
    <row r="1260" spans="1:10">
      <c r="A1260" s="7">
        <v>3</v>
      </c>
      <c r="B1260" s="8" t="s">
        <v>5010</v>
      </c>
      <c r="C1260" s="8" t="s">
        <v>4476</v>
      </c>
      <c r="D1260" s="7">
        <v>1</v>
      </c>
      <c r="E1260" s="7">
        <v>55</v>
      </c>
      <c r="F1260" s="7">
        <v>0.2</v>
      </c>
      <c r="G1260" s="8" t="s">
        <v>4371</v>
      </c>
      <c r="H1260" s="8" t="s">
        <v>4372</v>
      </c>
      <c r="I1260" s="7" t="str">
        <f>_xlfn.CONCAT(Paper_Reference[[#This Row],[Lvl]:[Paper Description]])</f>
        <v>3HD6SE101SDTSWBLACK 12 X 1201550.2100DS064-6200BLACK</v>
      </c>
      <c r="J1260" s="7">
        <f>COUNTIF(Paper_Reference[Duplicate Key],Paper_Reference[[#This Row],[Duplicate Key]])</f>
        <v>1</v>
      </c>
    </row>
    <row r="1261" spans="1:10">
      <c r="A1261" s="7">
        <v>2</v>
      </c>
      <c r="B1261" s="8" t="s">
        <v>8552</v>
      </c>
      <c r="C1261" s="8" t="s">
        <v>8304</v>
      </c>
      <c r="D1261" s="7">
        <v>1</v>
      </c>
      <c r="E1261" s="7">
        <v>10</v>
      </c>
      <c r="F1261" s="7">
        <v>2</v>
      </c>
      <c r="G1261" s="8" t="s">
        <v>8302</v>
      </c>
      <c r="H1261" s="8" t="s">
        <v>8303</v>
      </c>
      <c r="I1261" s="7" t="str">
        <f>_xlfn.CONCAT(Paper_Reference[[#This Row],[Lvl]:[Paper Description]])</f>
        <v>2HD6SW813N500ICE WHITE 60 X 1201102100SW813-6200ICE WHITE</v>
      </c>
      <c r="J1261" s="7">
        <f>COUNTIF(Paper_Reference[Duplicate Key],Paper_Reference[[#This Row],[Duplicate Key]])</f>
        <v>1</v>
      </c>
    </row>
    <row r="1262" spans="1:10">
      <c r="A1262" s="7">
        <v>2</v>
      </c>
      <c r="B1262" s="8" t="s">
        <v>5011</v>
      </c>
      <c r="C1262" s="8" t="s">
        <v>4373</v>
      </c>
      <c r="D1262" s="7">
        <v>1</v>
      </c>
      <c r="E1262" s="7">
        <v>10</v>
      </c>
      <c r="F1262" s="7">
        <v>2</v>
      </c>
      <c r="G1262" s="8" t="s">
        <v>4371</v>
      </c>
      <c r="H1262" s="8" t="s">
        <v>4372</v>
      </c>
      <c r="I1262" s="7" t="str">
        <f>_xlfn.CONCAT(Paper_Reference[[#This Row],[Lvl]:[Paper Description]])</f>
        <v>2HD8SE101CS5001BLACK 60 X 1201102100DS064-6200BLACK</v>
      </c>
      <c r="J1262" s="7">
        <f>COUNTIF(Paper_Reference[Duplicate Key],Paper_Reference[[#This Row],[Duplicate Key]])</f>
        <v>1</v>
      </c>
    </row>
    <row r="1263" spans="1:10">
      <c r="A1263" s="7">
        <v>2</v>
      </c>
      <c r="B1263" s="8" t="s">
        <v>5012</v>
      </c>
      <c r="C1263" s="8" t="s">
        <v>4373</v>
      </c>
      <c r="D1263" s="7">
        <v>1</v>
      </c>
      <c r="E1263" s="7">
        <v>10</v>
      </c>
      <c r="F1263" s="7">
        <v>2</v>
      </c>
      <c r="G1263" s="8" t="s">
        <v>4371</v>
      </c>
      <c r="H1263" s="8" t="s">
        <v>4372</v>
      </c>
      <c r="I1263" s="7" t="str">
        <f>_xlfn.CONCAT(Paper_Reference[[#This Row],[Lvl]:[Paper Description]])</f>
        <v>2HD8SE101CS5002BLACK 60 X 1201102100DS064-6200BLACK</v>
      </c>
      <c r="J1263" s="7">
        <f>COUNTIF(Paper_Reference[Duplicate Key],Paper_Reference[[#This Row],[Duplicate Key]])</f>
        <v>1</v>
      </c>
    </row>
    <row r="1264" spans="1:10">
      <c r="A1264" s="7">
        <v>2</v>
      </c>
      <c r="B1264" s="8" t="s">
        <v>5013</v>
      </c>
      <c r="C1264" s="8" t="s">
        <v>4379</v>
      </c>
      <c r="D1264" s="7">
        <v>1</v>
      </c>
      <c r="E1264" s="7">
        <v>10</v>
      </c>
      <c r="F1264" s="7">
        <v>2</v>
      </c>
      <c r="G1264" s="8" t="s">
        <v>4371</v>
      </c>
      <c r="H1264" s="8" t="s">
        <v>4372</v>
      </c>
      <c r="I1264" s="7" t="str">
        <f>_xlfn.CONCAT(Paper_Reference[[#This Row],[Lvl]:[Paper Description]])</f>
        <v>2HD8SE101CS5201BLACK 60 X 1441102100DS064-6200BLACK</v>
      </c>
      <c r="J1264" s="7">
        <f>COUNTIF(Paper_Reference[Duplicate Key],Paper_Reference[[#This Row],[Duplicate Key]])</f>
        <v>1</v>
      </c>
    </row>
    <row r="1265" spans="1:10">
      <c r="A1265" s="7">
        <v>2</v>
      </c>
      <c r="B1265" s="8" t="s">
        <v>5014</v>
      </c>
      <c r="C1265" s="8" t="s">
        <v>4379</v>
      </c>
      <c r="D1265" s="7">
        <v>1</v>
      </c>
      <c r="E1265" s="7">
        <v>10</v>
      </c>
      <c r="F1265" s="7">
        <v>2</v>
      </c>
      <c r="G1265" s="8" t="s">
        <v>4371</v>
      </c>
      <c r="H1265" s="8" t="s">
        <v>4372</v>
      </c>
      <c r="I1265" s="7" t="str">
        <f>_xlfn.CONCAT(Paper_Reference[[#This Row],[Lvl]:[Paper Description]])</f>
        <v>2HD8SE101CS5202BLACK 60 X 1441102100DS064-6200BLACK</v>
      </c>
      <c r="J1265" s="7">
        <f>COUNTIF(Paper_Reference[Duplicate Key],Paper_Reference[[#This Row],[Duplicate Key]])</f>
        <v>1</v>
      </c>
    </row>
    <row r="1266" spans="1:10">
      <c r="A1266" s="7">
        <v>2</v>
      </c>
      <c r="B1266" s="8" t="s">
        <v>5015</v>
      </c>
      <c r="C1266" s="8" t="s">
        <v>4380</v>
      </c>
      <c r="D1266" s="7">
        <v>1</v>
      </c>
      <c r="E1266" s="7">
        <v>10</v>
      </c>
      <c r="F1266" s="7">
        <v>2</v>
      </c>
      <c r="G1266" s="8" t="s">
        <v>4371</v>
      </c>
      <c r="H1266" s="8" t="s">
        <v>4372</v>
      </c>
      <c r="I1266" s="7" t="str">
        <f>_xlfn.CONCAT(Paper_Reference[[#This Row],[Lvl]:[Paper Description]])</f>
        <v>2HD8SE101CS5801BLACK 60 X 961102100DS064-6200BLACK</v>
      </c>
      <c r="J1266" s="7">
        <f>COUNTIF(Paper_Reference[Duplicate Key],Paper_Reference[[#This Row],[Duplicate Key]])</f>
        <v>1</v>
      </c>
    </row>
    <row r="1267" spans="1:10">
      <c r="A1267" s="7">
        <v>2</v>
      </c>
      <c r="B1267" s="8" t="s">
        <v>5016</v>
      </c>
      <c r="C1267" s="8" t="s">
        <v>4380</v>
      </c>
      <c r="D1267" s="7">
        <v>1</v>
      </c>
      <c r="E1267" s="7">
        <v>10</v>
      </c>
      <c r="F1267" s="7">
        <v>2</v>
      </c>
      <c r="G1267" s="8" t="s">
        <v>4371</v>
      </c>
      <c r="H1267" s="8" t="s">
        <v>4372</v>
      </c>
      <c r="I1267" s="7" t="str">
        <f>_xlfn.CONCAT(Paper_Reference[[#This Row],[Lvl]:[Paper Description]])</f>
        <v>2HD8SE101CS5802BLACK 60 X 961102100DS064-6200BLACK</v>
      </c>
      <c r="J1267" s="7">
        <f>COUNTIF(Paper_Reference[Duplicate Key],Paper_Reference[[#This Row],[Duplicate Key]])</f>
        <v>1</v>
      </c>
    </row>
    <row r="1268" spans="1:10">
      <c r="A1268" s="7">
        <v>2</v>
      </c>
      <c r="B1268" s="8" t="s">
        <v>5018</v>
      </c>
      <c r="C1268" s="8" t="s">
        <v>4373</v>
      </c>
      <c r="D1268" s="7">
        <v>1</v>
      </c>
      <c r="E1268" s="7">
        <v>10</v>
      </c>
      <c r="F1268" s="7">
        <v>2</v>
      </c>
      <c r="G1268" s="8" t="s">
        <v>4371</v>
      </c>
      <c r="H1268" s="8" t="s">
        <v>4372</v>
      </c>
      <c r="I1268" s="7" t="str">
        <f>_xlfn.CONCAT(Paper_Reference[[#This Row],[Lvl]:[Paper Description]])</f>
        <v>2HD8SE101J500BLACK 60 X 1201102100DS064-6200BLACK</v>
      </c>
      <c r="J1268" s="7">
        <f>COUNTIF(Paper_Reference[Duplicate Key],Paper_Reference[[#This Row],[Duplicate Key]])</f>
        <v>1</v>
      </c>
    </row>
    <row r="1269" spans="1:10">
      <c r="A1269" s="7">
        <v>2</v>
      </c>
      <c r="B1269" s="8" t="s">
        <v>5017</v>
      </c>
      <c r="C1269" s="8" t="s">
        <v>4477</v>
      </c>
      <c r="D1269" s="7">
        <v>1</v>
      </c>
      <c r="E1269" s="7">
        <v>10</v>
      </c>
      <c r="F1269" s="7">
        <v>2</v>
      </c>
      <c r="G1269" s="8" t="s">
        <v>4371</v>
      </c>
      <c r="H1269" s="8" t="s">
        <v>4372</v>
      </c>
      <c r="I1269" s="7" t="str">
        <f>_xlfn.CONCAT(Paper_Reference[[#This Row],[Lvl]:[Paper Description]])</f>
        <v>2HD8SE101J5001BLACK W/PC 60 X 1201102100DS064-6200BLACK</v>
      </c>
      <c r="J1269" s="7">
        <f>COUNTIF(Paper_Reference[Duplicate Key],Paper_Reference[[#This Row],[Duplicate Key]])</f>
        <v>1</v>
      </c>
    </row>
    <row r="1270" spans="1:10">
      <c r="A1270" s="7">
        <v>2</v>
      </c>
      <c r="B1270" s="8" t="s">
        <v>5019</v>
      </c>
      <c r="C1270" s="8" t="s">
        <v>4379</v>
      </c>
      <c r="D1270" s="7">
        <v>1</v>
      </c>
      <c r="E1270" s="7">
        <v>10</v>
      </c>
      <c r="F1270" s="7">
        <v>2</v>
      </c>
      <c r="G1270" s="8" t="s">
        <v>4371</v>
      </c>
      <c r="H1270" s="8" t="s">
        <v>4372</v>
      </c>
      <c r="I1270" s="7" t="str">
        <f>_xlfn.CONCAT(Paper_Reference[[#This Row],[Lvl]:[Paper Description]])</f>
        <v>2HD8SE101J520BLACK 60 X 1441102100DS064-6200BLACK</v>
      </c>
      <c r="J1270" s="7">
        <f>COUNTIF(Paper_Reference[Duplicate Key],Paper_Reference[[#This Row],[Duplicate Key]])</f>
        <v>1</v>
      </c>
    </row>
    <row r="1271" spans="1:10">
      <c r="A1271" s="7">
        <v>2</v>
      </c>
      <c r="B1271" s="8" t="s">
        <v>5021</v>
      </c>
      <c r="C1271" s="8" t="s">
        <v>4403</v>
      </c>
      <c r="D1271" s="7">
        <v>1</v>
      </c>
      <c r="E1271" s="7">
        <v>10</v>
      </c>
      <c r="F1271" s="7">
        <v>1</v>
      </c>
      <c r="G1271" s="8" t="s">
        <v>4371</v>
      </c>
      <c r="H1271" s="8" t="s">
        <v>4372</v>
      </c>
      <c r="I1271" s="7" t="str">
        <f>_xlfn.CONCAT(Paper_Reference[[#This Row],[Lvl]:[Paper Description]])</f>
        <v>2HD8SE101N000BLACK 30 X 1201101100DS064-6200BLACK</v>
      </c>
      <c r="J1271" s="7">
        <f>COUNTIF(Paper_Reference[Duplicate Key],Paper_Reference[[#This Row],[Duplicate Key]])</f>
        <v>1</v>
      </c>
    </row>
    <row r="1272" spans="1:10">
      <c r="A1272" s="7">
        <v>2</v>
      </c>
      <c r="B1272" s="8" t="s">
        <v>5020</v>
      </c>
      <c r="C1272" s="8" t="s">
        <v>4403</v>
      </c>
      <c r="D1272" s="7">
        <v>1</v>
      </c>
      <c r="E1272" s="7">
        <v>10</v>
      </c>
      <c r="F1272" s="7">
        <v>1</v>
      </c>
      <c r="G1272" s="8" t="s">
        <v>4371</v>
      </c>
      <c r="H1272" s="8" t="s">
        <v>4372</v>
      </c>
      <c r="I1272" s="7" t="str">
        <f>_xlfn.CONCAT(Paper_Reference[[#This Row],[Lvl]:[Paper Description]])</f>
        <v>2HD8SE101N0001BLACK 30 X 1201101100DS064-6200BLACK</v>
      </c>
      <c r="J1272" s="7">
        <f>COUNTIF(Paper_Reference[Duplicate Key],Paper_Reference[[#This Row],[Duplicate Key]])</f>
        <v>1</v>
      </c>
    </row>
    <row r="1273" spans="1:10">
      <c r="A1273" s="7">
        <v>2</v>
      </c>
      <c r="B1273" s="8" t="s">
        <v>5023</v>
      </c>
      <c r="C1273" s="8" t="s">
        <v>4378</v>
      </c>
      <c r="D1273" s="7">
        <v>1</v>
      </c>
      <c r="E1273" s="7">
        <v>10</v>
      </c>
      <c r="F1273" s="7">
        <v>1</v>
      </c>
      <c r="G1273" s="8" t="s">
        <v>4371</v>
      </c>
      <c r="H1273" s="8" t="s">
        <v>4372</v>
      </c>
      <c r="I1273" s="7" t="str">
        <f>_xlfn.CONCAT(Paper_Reference[[#This Row],[Lvl]:[Paper Description]])</f>
        <v>2HD8SE101N020BLACK 30 X 1441101100DS064-6200BLACK</v>
      </c>
      <c r="J1273" s="7">
        <f>COUNTIF(Paper_Reference[Duplicate Key],Paper_Reference[[#This Row],[Duplicate Key]])</f>
        <v>1</v>
      </c>
    </row>
    <row r="1274" spans="1:10">
      <c r="A1274" s="7">
        <v>2</v>
      </c>
      <c r="B1274" s="8" t="s">
        <v>5022</v>
      </c>
      <c r="C1274" s="8" t="s">
        <v>4378</v>
      </c>
      <c r="D1274" s="7">
        <v>1</v>
      </c>
      <c r="E1274" s="7">
        <v>10</v>
      </c>
      <c r="F1274" s="7">
        <v>1</v>
      </c>
      <c r="G1274" s="8" t="s">
        <v>4371</v>
      </c>
      <c r="H1274" s="8" t="s">
        <v>4372</v>
      </c>
      <c r="I1274" s="7" t="str">
        <f>_xlfn.CONCAT(Paper_Reference[[#This Row],[Lvl]:[Paper Description]])</f>
        <v>2HD8SE101N0201BLACK 30 X 1441101100DS064-6200BLACK</v>
      </c>
      <c r="J1274" s="7">
        <f>COUNTIF(Paper_Reference[Duplicate Key],Paper_Reference[[#This Row],[Duplicate Key]])</f>
        <v>1</v>
      </c>
    </row>
    <row r="1275" spans="1:10">
      <c r="A1275" s="7">
        <v>2</v>
      </c>
      <c r="B1275" s="8" t="s">
        <v>5025</v>
      </c>
      <c r="C1275" s="8" t="s">
        <v>4400</v>
      </c>
      <c r="D1275" s="7">
        <v>1</v>
      </c>
      <c r="E1275" s="7">
        <v>10</v>
      </c>
      <c r="F1275" s="7">
        <v>1</v>
      </c>
      <c r="G1275" s="8" t="s">
        <v>4371</v>
      </c>
      <c r="H1275" s="8" t="s">
        <v>4372</v>
      </c>
      <c r="I1275" s="7" t="str">
        <f>_xlfn.CONCAT(Paper_Reference[[#This Row],[Lvl]:[Paper Description]])</f>
        <v>2HD8SE101N080BLACK 30 X 961101100DS064-6200BLACK</v>
      </c>
      <c r="J1275" s="7">
        <f>COUNTIF(Paper_Reference[Duplicate Key],Paper_Reference[[#This Row],[Duplicate Key]])</f>
        <v>1</v>
      </c>
    </row>
    <row r="1276" spans="1:10">
      <c r="A1276" s="7">
        <v>2</v>
      </c>
      <c r="B1276" s="8" t="s">
        <v>5024</v>
      </c>
      <c r="C1276" s="8" t="s">
        <v>4400</v>
      </c>
      <c r="D1276" s="7">
        <v>1</v>
      </c>
      <c r="E1276" s="7">
        <v>10</v>
      </c>
      <c r="F1276" s="7">
        <v>1</v>
      </c>
      <c r="G1276" s="8" t="s">
        <v>4371</v>
      </c>
      <c r="H1276" s="8" t="s">
        <v>4372</v>
      </c>
      <c r="I1276" s="7" t="str">
        <f>_xlfn.CONCAT(Paper_Reference[[#This Row],[Lvl]:[Paper Description]])</f>
        <v>2HD8SE101N0801BLACK 30 X 961101100DS064-6200BLACK</v>
      </c>
      <c r="J1276" s="7">
        <f>COUNTIF(Paper_Reference[Duplicate Key],Paper_Reference[[#This Row],[Duplicate Key]])</f>
        <v>1</v>
      </c>
    </row>
    <row r="1277" spans="1:10">
      <c r="A1277" s="7">
        <v>2</v>
      </c>
      <c r="B1277" s="8" t="s">
        <v>5027</v>
      </c>
      <c r="C1277" s="8" t="s">
        <v>4373</v>
      </c>
      <c r="D1277" s="7">
        <v>1</v>
      </c>
      <c r="E1277" s="7">
        <v>10</v>
      </c>
      <c r="F1277" s="7">
        <v>2</v>
      </c>
      <c r="G1277" s="8" t="s">
        <v>4371</v>
      </c>
      <c r="H1277" s="8" t="s">
        <v>4372</v>
      </c>
      <c r="I1277" s="7" t="str">
        <f>_xlfn.CONCAT(Paper_Reference[[#This Row],[Lvl]:[Paper Description]])</f>
        <v>2HD8SE101N500BLACK 60 X 1201102100DS064-6200BLACK</v>
      </c>
      <c r="J1277" s="7">
        <f>COUNTIF(Paper_Reference[Duplicate Key],Paper_Reference[[#This Row],[Duplicate Key]])</f>
        <v>1</v>
      </c>
    </row>
    <row r="1278" spans="1:10">
      <c r="A1278" s="7">
        <v>2</v>
      </c>
      <c r="B1278" s="8" t="s">
        <v>5026</v>
      </c>
      <c r="C1278" s="8" t="s">
        <v>4373</v>
      </c>
      <c r="D1278" s="7">
        <v>1</v>
      </c>
      <c r="E1278" s="7">
        <v>10</v>
      </c>
      <c r="F1278" s="7">
        <v>2</v>
      </c>
      <c r="G1278" s="8" t="s">
        <v>4371</v>
      </c>
      <c r="H1278" s="8" t="s">
        <v>4372</v>
      </c>
      <c r="I1278" s="7" t="str">
        <f>_xlfn.CONCAT(Paper_Reference[[#This Row],[Lvl]:[Paper Description]])</f>
        <v>2HD8SE101N5001BLACK 60 X 1201102100DS064-6200BLACK</v>
      </c>
      <c r="J1278" s="7">
        <f>COUNTIF(Paper_Reference[Duplicate Key],Paper_Reference[[#This Row],[Duplicate Key]])</f>
        <v>1</v>
      </c>
    </row>
    <row r="1279" spans="1:10">
      <c r="A1279" s="7">
        <v>2</v>
      </c>
      <c r="B1279" s="8" t="s">
        <v>5030</v>
      </c>
      <c r="C1279" s="8" t="s">
        <v>4379</v>
      </c>
      <c r="D1279" s="7">
        <v>1</v>
      </c>
      <c r="E1279" s="7">
        <v>10</v>
      </c>
      <c r="F1279" s="7">
        <v>2</v>
      </c>
      <c r="G1279" s="8" t="s">
        <v>4371</v>
      </c>
      <c r="H1279" s="8" t="s">
        <v>4372</v>
      </c>
      <c r="I1279" s="7" t="str">
        <f>_xlfn.CONCAT(Paper_Reference[[#This Row],[Lvl]:[Paper Description]])</f>
        <v>2HD8SE101N520BLACK 60 X 1441102100DS064-6200BLACK</v>
      </c>
      <c r="J1279" s="7">
        <f>COUNTIF(Paper_Reference[Duplicate Key],Paper_Reference[[#This Row],[Duplicate Key]])</f>
        <v>1</v>
      </c>
    </row>
    <row r="1280" spans="1:10">
      <c r="A1280" s="7">
        <v>2</v>
      </c>
      <c r="B1280" s="8" t="s">
        <v>5028</v>
      </c>
      <c r="C1280" s="8" t="s">
        <v>4379</v>
      </c>
      <c r="D1280" s="7">
        <v>1</v>
      </c>
      <c r="E1280" s="7">
        <v>10</v>
      </c>
      <c r="F1280" s="7">
        <v>2</v>
      </c>
      <c r="G1280" s="8" t="s">
        <v>4371</v>
      </c>
      <c r="H1280" s="8" t="s">
        <v>4372</v>
      </c>
      <c r="I1280" s="7" t="str">
        <f>_xlfn.CONCAT(Paper_Reference[[#This Row],[Lvl]:[Paper Description]])</f>
        <v>2HD8SE101N5201BLACK 60 X 1441102100DS064-6200BLACK</v>
      </c>
      <c r="J1280" s="7">
        <f>COUNTIF(Paper_Reference[Duplicate Key],Paper_Reference[[#This Row],[Duplicate Key]])</f>
        <v>1</v>
      </c>
    </row>
    <row r="1281" spans="1:10">
      <c r="A1281" s="7">
        <v>2</v>
      </c>
      <c r="B1281" s="8" t="s">
        <v>5029</v>
      </c>
      <c r="C1281" s="8" t="s">
        <v>4379</v>
      </c>
      <c r="D1281" s="7">
        <v>1</v>
      </c>
      <c r="E1281" s="7">
        <v>10</v>
      </c>
      <c r="F1281" s="7">
        <v>2</v>
      </c>
      <c r="G1281" s="8" t="s">
        <v>4371</v>
      </c>
      <c r="H1281" s="8" t="s">
        <v>4372</v>
      </c>
      <c r="I1281" s="7" t="str">
        <f>_xlfn.CONCAT(Paper_Reference[[#This Row],[Lvl]:[Paper Description]])</f>
        <v>2HD8SE101N5202BLACK 60 X 1441102100DS064-6200BLACK</v>
      </c>
      <c r="J1281" s="7">
        <f>COUNTIF(Paper_Reference[Duplicate Key],Paper_Reference[[#This Row],[Duplicate Key]])</f>
        <v>1</v>
      </c>
    </row>
    <row r="1282" spans="1:10">
      <c r="A1282" s="7">
        <v>2</v>
      </c>
      <c r="B1282" s="8" t="s">
        <v>5032</v>
      </c>
      <c r="C1282" s="8" t="s">
        <v>4380</v>
      </c>
      <c r="D1282" s="7">
        <v>1</v>
      </c>
      <c r="E1282" s="7">
        <v>10</v>
      </c>
      <c r="F1282" s="7">
        <v>2</v>
      </c>
      <c r="G1282" s="8" t="s">
        <v>4371</v>
      </c>
      <c r="H1282" s="8" t="s">
        <v>4372</v>
      </c>
      <c r="I1282" s="7" t="str">
        <f>_xlfn.CONCAT(Paper_Reference[[#This Row],[Lvl]:[Paper Description]])</f>
        <v>2HD8SE101N580BLACK 60 X 961102100DS064-6200BLACK</v>
      </c>
      <c r="J1282" s="7">
        <f>COUNTIF(Paper_Reference[Duplicate Key],Paper_Reference[[#This Row],[Duplicate Key]])</f>
        <v>1</v>
      </c>
    </row>
    <row r="1283" spans="1:10">
      <c r="A1283" s="7">
        <v>2</v>
      </c>
      <c r="B1283" s="8" t="s">
        <v>5031</v>
      </c>
      <c r="C1283" s="8" t="s">
        <v>4380</v>
      </c>
      <c r="D1283" s="7">
        <v>1</v>
      </c>
      <c r="E1283" s="7">
        <v>10</v>
      </c>
      <c r="F1283" s="7">
        <v>2</v>
      </c>
      <c r="G1283" s="8" t="s">
        <v>4371</v>
      </c>
      <c r="H1283" s="8" t="s">
        <v>4372</v>
      </c>
      <c r="I1283" s="7" t="str">
        <f>_xlfn.CONCAT(Paper_Reference[[#This Row],[Lvl]:[Paper Description]])</f>
        <v>2HD8SE101N5801BLACK 60 X 961102100DS064-6200BLACK</v>
      </c>
      <c r="J1283" s="7">
        <f>COUNTIF(Paper_Reference[Duplicate Key],Paper_Reference[[#This Row],[Duplicate Key]])</f>
        <v>1</v>
      </c>
    </row>
    <row r="1284" spans="1:10">
      <c r="A1284" s="7">
        <v>2</v>
      </c>
      <c r="B1284" s="8" t="s">
        <v>5033</v>
      </c>
      <c r="C1284" s="8" t="s">
        <v>4403</v>
      </c>
      <c r="D1284" s="7">
        <v>1</v>
      </c>
      <c r="E1284" s="7">
        <v>10</v>
      </c>
      <c r="F1284" s="7">
        <v>1</v>
      </c>
      <c r="G1284" s="8" t="s">
        <v>4371</v>
      </c>
      <c r="H1284" s="8" t="s">
        <v>4372</v>
      </c>
      <c r="I1284" s="7" t="str">
        <f>_xlfn.CONCAT(Paper_Reference[[#This Row],[Lvl]:[Paper Description]])</f>
        <v>2HD8SE101SD000BLACK 30 X 1201101100DS064-6200BLACK</v>
      </c>
      <c r="J1284" s="7">
        <f>COUNTIF(Paper_Reference[Duplicate Key],Paper_Reference[[#This Row],[Duplicate Key]])</f>
        <v>1</v>
      </c>
    </row>
    <row r="1285" spans="1:10">
      <c r="A1285" s="7">
        <v>2</v>
      </c>
      <c r="B1285" s="8" t="s">
        <v>5034</v>
      </c>
      <c r="C1285" s="8" t="s">
        <v>4378</v>
      </c>
      <c r="D1285" s="7">
        <v>1</v>
      </c>
      <c r="E1285" s="7">
        <v>10</v>
      </c>
      <c r="F1285" s="7">
        <v>1</v>
      </c>
      <c r="G1285" s="8" t="s">
        <v>4371</v>
      </c>
      <c r="H1285" s="8" t="s">
        <v>4372</v>
      </c>
      <c r="I1285" s="7" t="str">
        <f>_xlfn.CONCAT(Paper_Reference[[#This Row],[Lvl]:[Paper Description]])</f>
        <v>2HD8SE101SD020BLACK 30 X 1441101100DS064-6200BLACK</v>
      </c>
      <c r="J1285" s="7">
        <f>COUNTIF(Paper_Reference[Duplicate Key],Paper_Reference[[#This Row],[Duplicate Key]])</f>
        <v>1</v>
      </c>
    </row>
    <row r="1286" spans="1:10">
      <c r="A1286" s="7">
        <v>2</v>
      </c>
      <c r="B1286" s="8" t="s">
        <v>5035</v>
      </c>
      <c r="C1286" s="8" t="s">
        <v>4400</v>
      </c>
      <c r="D1286" s="7">
        <v>1</v>
      </c>
      <c r="E1286" s="7">
        <v>10</v>
      </c>
      <c r="F1286" s="7">
        <v>1</v>
      </c>
      <c r="G1286" s="8" t="s">
        <v>4371</v>
      </c>
      <c r="H1286" s="8" t="s">
        <v>4372</v>
      </c>
      <c r="I1286" s="7" t="str">
        <f>_xlfn.CONCAT(Paper_Reference[[#This Row],[Lvl]:[Paper Description]])</f>
        <v>2HD8SE101SD080BLACK 30 X 961101100DS064-6200BLACK</v>
      </c>
      <c r="J1286" s="7">
        <f>COUNTIF(Paper_Reference[Duplicate Key],Paper_Reference[[#This Row],[Duplicate Key]])</f>
        <v>1</v>
      </c>
    </row>
    <row r="1287" spans="1:10">
      <c r="A1287" s="7">
        <v>2</v>
      </c>
      <c r="B1287" s="8" t="s">
        <v>5037</v>
      </c>
      <c r="C1287" s="8" t="s">
        <v>4373</v>
      </c>
      <c r="D1287" s="7">
        <v>1</v>
      </c>
      <c r="E1287" s="7">
        <v>10</v>
      </c>
      <c r="F1287" s="7">
        <v>2</v>
      </c>
      <c r="G1287" s="8" t="s">
        <v>4371</v>
      </c>
      <c r="H1287" s="8" t="s">
        <v>4372</v>
      </c>
      <c r="I1287" s="7" t="str">
        <f>_xlfn.CONCAT(Paper_Reference[[#This Row],[Lvl]:[Paper Description]])</f>
        <v>2HD8SE101SD500BLACK 60 X 1201102100DS064-6200BLACK</v>
      </c>
      <c r="J1287" s="7">
        <f>COUNTIF(Paper_Reference[Duplicate Key],Paper_Reference[[#This Row],[Duplicate Key]])</f>
        <v>1</v>
      </c>
    </row>
    <row r="1288" spans="1:10">
      <c r="A1288" s="7">
        <v>2</v>
      </c>
      <c r="B1288" s="8" t="s">
        <v>5036</v>
      </c>
      <c r="C1288" s="8" t="s">
        <v>4373</v>
      </c>
      <c r="D1288" s="7">
        <v>1</v>
      </c>
      <c r="E1288" s="7">
        <v>10</v>
      </c>
      <c r="F1288" s="7">
        <v>2</v>
      </c>
      <c r="G1288" s="8" t="s">
        <v>4371</v>
      </c>
      <c r="H1288" s="8" t="s">
        <v>4372</v>
      </c>
      <c r="I1288" s="7" t="str">
        <f>_xlfn.CONCAT(Paper_Reference[[#This Row],[Lvl]:[Paper Description]])</f>
        <v>2HD8SE101SD5001BLACK 60 X 1201102100DS064-6200BLACK</v>
      </c>
      <c r="J1288" s="7">
        <f>COUNTIF(Paper_Reference[Duplicate Key],Paper_Reference[[#This Row],[Duplicate Key]])</f>
        <v>1</v>
      </c>
    </row>
    <row r="1289" spans="1:10">
      <c r="A1289" s="7">
        <v>2</v>
      </c>
      <c r="B1289" s="8" t="s">
        <v>5038</v>
      </c>
      <c r="C1289" s="8" t="s">
        <v>4379</v>
      </c>
      <c r="D1289" s="7">
        <v>1</v>
      </c>
      <c r="E1289" s="7">
        <v>10</v>
      </c>
      <c r="F1289" s="7">
        <v>2</v>
      </c>
      <c r="G1289" s="8" t="s">
        <v>4371</v>
      </c>
      <c r="H1289" s="8" t="s">
        <v>4372</v>
      </c>
      <c r="I1289" s="7" t="str">
        <f>_xlfn.CONCAT(Paper_Reference[[#This Row],[Lvl]:[Paper Description]])</f>
        <v>2HD8SE101SD5201BLACK 60 X 1441102100DS064-6200BLACK</v>
      </c>
      <c r="J1289" s="7">
        <f>COUNTIF(Paper_Reference[Duplicate Key],Paper_Reference[[#This Row],[Duplicate Key]])</f>
        <v>1</v>
      </c>
    </row>
    <row r="1290" spans="1:10">
      <c r="A1290" s="7">
        <v>2</v>
      </c>
      <c r="B1290" s="8" t="s">
        <v>5039</v>
      </c>
      <c r="C1290" s="8" t="s">
        <v>4379</v>
      </c>
      <c r="D1290" s="7">
        <v>1</v>
      </c>
      <c r="E1290" s="7">
        <v>10</v>
      </c>
      <c r="F1290" s="7">
        <v>2</v>
      </c>
      <c r="G1290" s="8" t="s">
        <v>4371</v>
      </c>
      <c r="H1290" s="8" t="s">
        <v>4372</v>
      </c>
      <c r="I1290" s="7" t="str">
        <f>_xlfn.CONCAT(Paper_Reference[[#This Row],[Lvl]:[Paper Description]])</f>
        <v>2HD8SE101SD5202BLACK 60 X 1441102100DS064-6200BLACK</v>
      </c>
      <c r="J1290" s="7">
        <f>COUNTIF(Paper_Reference[Duplicate Key],Paper_Reference[[#This Row],[Duplicate Key]])</f>
        <v>1</v>
      </c>
    </row>
    <row r="1291" spans="1:10">
      <c r="A1291" s="7">
        <v>2</v>
      </c>
      <c r="B1291" s="8" t="s">
        <v>5040</v>
      </c>
      <c r="C1291" s="8" t="s">
        <v>4386</v>
      </c>
      <c r="D1291" s="7">
        <v>1</v>
      </c>
      <c r="E1291" s="7">
        <v>10</v>
      </c>
      <c r="F1291" s="7">
        <v>1</v>
      </c>
      <c r="G1291" s="8" t="s">
        <v>4371</v>
      </c>
      <c r="H1291" s="8" t="s">
        <v>4372</v>
      </c>
      <c r="I1291" s="7" t="str">
        <f>_xlfn.CONCAT(Paper_Reference[[#This Row],[Lvl]:[Paper Description]])</f>
        <v>2HD8SE101SD560BLACK 60 X 721101100DS064-6200BLACK</v>
      </c>
      <c r="J1291" s="7">
        <f>COUNTIF(Paper_Reference[Duplicate Key],Paper_Reference[[#This Row],[Duplicate Key]])</f>
        <v>1</v>
      </c>
    </row>
    <row r="1292" spans="1:10">
      <c r="A1292" s="7">
        <v>2</v>
      </c>
      <c r="B1292" s="8" t="s">
        <v>5041</v>
      </c>
      <c r="C1292" s="8" t="s">
        <v>4380</v>
      </c>
      <c r="D1292" s="7">
        <v>1</v>
      </c>
      <c r="E1292" s="7">
        <v>10</v>
      </c>
      <c r="F1292" s="7">
        <v>2</v>
      </c>
      <c r="G1292" s="8" t="s">
        <v>4371</v>
      </c>
      <c r="H1292" s="8" t="s">
        <v>4372</v>
      </c>
      <c r="I1292" s="7" t="str">
        <f>_xlfn.CONCAT(Paper_Reference[[#This Row],[Lvl]:[Paper Description]])</f>
        <v>2HD8SE101SD580BLACK 60 X 961102100DS064-6200BLACK</v>
      </c>
      <c r="J1292" s="7">
        <f>COUNTIF(Paper_Reference[Duplicate Key],Paper_Reference[[#This Row],[Duplicate Key]])</f>
        <v>1</v>
      </c>
    </row>
    <row r="1293" spans="1:10">
      <c r="A1293" s="7">
        <v>2</v>
      </c>
      <c r="B1293" s="8" t="s">
        <v>5042</v>
      </c>
      <c r="C1293" s="8" t="s">
        <v>4409</v>
      </c>
      <c r="D1293" s="7">
        <v>1</v>
      </c>
      <c r="E1293" s="7">
        <v>10</v>
      </c>
      <c r="F1293" s="7">
        <v>2</v>
      </c>
      <c r="G1293" s="8" t="s">
        <v>4371</v>
      </c>
      <c r="H1293" s="8" t="s">
        <v>4372</v>
      </c>
      <c r="I1293" s="7" t="str">
        <f>_xlfn.CONCAT(Paper_Reference[[#This Row],[Lvl]:[Paper Description]])</f>
        <v>2HD8SE101SDCMTBLACK 61 X 1211102100DS064-6200BLACK</v>
      </c>
      <c r="J1293" s="7">
        <f>COUNTIF(Paper_Reference[Duplicate Key],Paper_Reference[[#This Row],[Duplicate Key]])</f>
        <v>1</v>
      </c>
    </row>
    <row r="1294" spans="1:10">
      <c r="A1294" s="7">
        <v>2</v>
      </c>
      <c r="B1294" s="8" t="s">
        <v>5043</v>
      </c>
      <c r="C1294" s="8" t="s">
        <v>4403</v>
      </c>
      <c r="D1294" s="7">
        <v>1</v>
      </c>
      <c r="E1294" s="7">
        <v>10</v>
      </c>
      <c r="F1294" s="7">
        <v>1</v>
      </c>
      <c r="G1294" s="8" t="s">
        <v>4371</v>
      </c>
      <c r="H1294" s="8" t="s">
        <v>4372</v>
      </c>
      <c r="I1294" s="7" t="str">
        <f>_xlfn.CONCAT(Paper_Reference[[#This Row],[Lvl]:[Paper Description]])</f>
        <v>2HD8SE101SDSIJBLACK 30 X 1201101100DS064-6200BLACK</v>
      </c>
      <c r="J1294" s="7">
        <f>COUNTIF(Paper_Reference[Duplicate Key],Paper_Reference[[#This Row],[Duplicate Key]])</f>
        <v>1</v>
      </c>
    </row>
    <row r="1295" spans="1:10">
      <c r="A1295" s="7">
        <v>3</v>
      </c>
      <c r="B1295" s="8" t="s">
        <v>5044</v>
      </c>
      <c r="C1295" s="8" t="s">
        <v>4433</v>
      </c>
      <c r="D1295" s="7">
        <v>1</v>
      </c>
      <c r="E1295" s="7">
        <v>55</v>
      </c>
      <c r="F1295" s="7">
        <v>0.25</v>
      </c>
      <c r="G1295" s="8" t="s">
        <v>4371</v>
      </c>
      <c r="H1295" s="8" t="s">
        <v>4372</v>
      </c>
      <c r="I1295" s="7" t="str">
        <f>_xlfn.CONCAT(Paper_Reference[[#This Row],[Lvl]:[Paper Description]])</f>
        <v>3HD8SE101SDTGCBLACK 30 1/4 X 72 1/41550.25100DS064-6200BLACK</v>
      </c>
      <c r="J1295" s="7">
        <f>COUNTIF(Paper_Reference[Duplicate Key],Paper_Reference[[#This Row],[Duplicate Key]])</f>
        <v>1</v>
      </c>
    </row>
    <row r="1296" spans="1:10">
      <c r="A1296" s="7">
        <v>2</v>
      </c>
      <c r="B1296" s="8" t="s">
        <v>5045</v>
      </c>
      <c r="C1296" s="8" t="s">
        <v>4478</v>
      </c>
      <c r="D1296" s="7">
        <v>1</v>
      </c>
      <c r="E1296" s="7">
        <v>10</v>
      </c>
      <c r="F1296" s="7">
        <v>1</v>
      </c>
      <c r="G1296" s="8" t="s">
        <v>4371</v>
      </c>
      <c r="H1296" s="8" t="s">
        <v>4372</v>
      </c>
      <c r="I1296" s="7" t="str">
        <f>_xlfn.CONCAT(Paper_Reference[[#This Row],[Lvl]:[Paper Description]])</f>
        <v>2HD8SE101SDXQWBLACK 61 X 72 3/81101100DS064-6200BLACK</v>
      </c>
      <c r="J1296" s="7">
        <f>COUNTIF(Paper_Reference[Duplicate Key],Paper_Reference[[#This Row],[Duplicate Key]])</f>
        <v>1</v>
      </c>
    </row>
    <row r="1297" spans="1:10">
      <c r="A1297" s="7">
        <v>2</v>
      </c>
      <c r="B1297" s="8" t="s">
        <v>8553</v>
      </c>
      <c r="C1297" s="8" t="s">
        <v>8304</v>
      </c>
      <c r="D1297" s="7">
        <v>1</v>
      </c>
      <c r="E1297" s="7">
        <v>10</v>
      </c>
      <c r="F1297" s="7">
        <v>2</v>
      </c>
      <c r="G1297" s="8" t="s">
        <v>8302</v>
      </c>
      <c r="H1297" s="8" t="s">
        <v>8303</v>
      </c>
      <c r="I1297" s="7" t="str">
        <f>_xlfn.CONCAT(Paper_Reference[[#This Row],[Lvl]:[Paper Description]])</f>
        <v>2HD8SW813N5001ICE WHITE 60 X 1201102100SW813-6200ICE WHITE</v>
      </c>
      <c r="J1297" s="7">
        <f>COUNTIF(Paper_Reference[Duplicate Key],Paper_Reference[[#This Row],[Duplicate Key]])</f>
        <v>1</v>
      </c>
    </row>
    <row r="1298" spans="1:10">
      <c r="A1298" s="7">
        <v>2</v>
      </c>
      <c r="B1298" s="8" t="s">
        <v>8555</v>
      </c>
      <c r="C1298" s="8" t="s">
        <v>8305</v>
      </c>
      <c r="D1298" s="7">
        <v>1</v>
      </c>
      <c r="E1298" s="7">
        <v>10</v>
      </c>
      <c r="F1298" s="7">
        <v>2</v>
      </c>
      <c r="G1298" s="8" t="s">
        <v>8302</v>
      </c>
      <c r="H1298" s="8" t="s">
        <v>8303</v>
      </c>
      <c r="I1298" s="7" t="str">
        <f>_xlfn.CONCAT(Paper_Reference[[#This Row],[Lvl]:[Paper Description]])</f>
        <v>2HD8SW813N520ICE WHITE 60 X 1441102100SW813-6200ICE WHITE</v>
      </c>
      <c r="J1298" s="7">
        <f>COUNTIF(Paper_Reference[Duplicate Key],Paper_Reference[[#This Row],[Duplicate Key]])</f>
        <v>1</v>
      </c>
    </row>
    <row r="1299" spans="1:10">
      <c r="A1299" s="7">
        <v>2</v>
      </c>
      <c r="B1299" s="8" t="s">
        <v>8554</v>
      </c>
      <c r="C1299" s="8" t="s">
        <v>8305</v>
      </c>
      <c r="D1299" s="7">
        <v>1</v>
      </c>
      <c r="E1299" s="7">
        <v>10</v>
      </c>
      <c r="F1299" s="7">
        <v>2</v>
      </c>
      <c r="G1299" s="8" t="s">
        <v>8302</v>
      </c>
      <c r="H1299" s="8" t="s">
        <v>8303</v>
      </c>
      <c r="I1299" s="7" t="str">
        <f>_xlfn.CONCAT(Paper_Reference[[#This Row],[Lvl]:[Paper Description]])</f>
        <v>2HD8SW813N5201ICE WHITE 60 X 1441102100SW813-6200ICE WHITE</v>
      </c>
      <c r="J1299" s="7">
        <f>COUNTIF(Paper_Reference[Duplicate Key],Paper_Reference[[#This Row],[Duplicate Key]])</f>
        <v>1</v>
      </c>
    </row>
    <row r="1300" spans="1:10">
      <c r="A1300" s="7">
        <v>2</v>
      </c>
      <c r="B1300" s="8" t="s">
        <v>8556</v>
      </c>
      <c r="C1300" s="8" t="s">
        <v>8356</v>
      </c>
      <c r="D1300" s="7">
        <v>1</v>
      </c>
      <c r="E1300" s="7">
        <v>10</v>
      </c>
      <c r="F1300" s="7">
        <v>1</v>
      </c>
      <c r="G1300" s="8" t="s">
        <v>8302</v>
      </c>
      <c r="H1300" s="8" t="s">
        <v>8303</v>
      </c>
      <c r="I1300" s="7" t="str">
        <f>_xlfn.CONCAT(Paper_Reference[[#This Row],[Lvl]:[Paper Description]])</f>
        <v>2HD8SW813N560ICE WHITE 60 X 721101100SW813-6200ICE WHITE</v>
      </c>
      <c r="J1300" s="7">
        <f>COUNTIF(Paper_Reference[Duplicate Key],Paper_Reference[[#This Row],[Duplicate Key]])</f>
        <v>1</v>
      </c>
    </row>
    <row r="1301" spans="1:10">
      <c r="A1301" s="7">
        <v>2</v>
      </c>
      <c r="B1301" s="8" t="s">
        <v>8557</v>
      </c>
      <c r="C1301" s="8" t="s">
        <v>8306</v>
      </c>
      <c r="D1301" s="7">
        <v>1</v>
      </c>
      <c r="E1301" s="7">
        <v>10</v>
      </c>
      <c r="F1301" s="7">
        <v>2</v>
      </c>
      <c r="G1301" s="8" t="s">
        <v>8302</v>
      </c>
      <c r="H1301" s="8" t="s">
        <v>8303</v>
      </c>
      <c r="I1301" s="7" t="str">
        <f>_xlfn.CONCAT(Paper_Reference[[#This Row],[Lvl]:[Paper Description]])</f>
        <v>2HD8SW813N580ICE WHITE 60 X 961102100SW813-6200ICE WHITE</v>
      </c>
      <c r="J1301" s="7">
        <f>COUNTIF(Paper_Reference[Duplicate Key],Paper_Reference[[#This Row],[Duplicate Key]])</f>
        <v>1</v>
      </c>
    </row>
    <row r="1302" spans="1:10">
      <c r="A1302" s="7">
        <v>2</v>
      </c>
      <c r="B1302" s="8" t="s">
        <v>8558</v>
      </c>
      <c r="C1302" s="8" t="s">
        <v>8304</v>
      </c>
      <c r="D1302" s="7">
        <v>1</v>
      </c>
      <c r="E1302" s="7">
        <v>10</v>
      </c>
      <c r="F1302" s="7">
        <v>2</v>
      </c>
      <c r="G1302" s="8" t="s">
        <v>8302</v>
      </c>
      <c r="H1302" s="8" t="s">
        <v>8303</v>
      </c>
      <c r="I1302" s="7" t="str">
        <f>_xlfn.CONCAT(Paper_Reference[[#This Row],[Lvl]:[Paper Description]])</f>
        <v>2HD8SW813SD5001ICE WHITE 60 X 1201102100SW813-6200ICE WHITE</v>
      </c>
      <c r="J1302" s="7">
        <f>COUNTIF(Paper_Reference[Duplicate Key],Paper_Reference[[#This Row],[Duplicate Key]])</f>
        <v>1</v>
      </c>
    </row>
    <row r="1303" spans="1:10">
      <c r="A1303" s="7">
        <v>2</v>
      </c>
      <c r="B1303" s="8" t="s">
        <v>8559</v>
      </c>
      <c r="C1303" s="8" t="s">
        <v>8305</v>
      </c>
      <c r="D1303" s="7">
        <v>1</v>
      </c>
      <c r="E1303" s="7">
        <v>10</v>
      </c>
      <c r="F1303" s="7">
        <v>2</v>
      </c>
      <c r="G1303" s="8" t="s">
        <v>8302</v>
      </c>
      <c r="H1303" s="8" t="s">
        <v>8303</v>
      </c>
      <c r="I1303" s="7" t="str">
        <f>_xlfn.CONCAT(Paper_Reference[[#This Row],[Lvl]:[Paper Description]])</f>
        <v>2HD8SW813SD5201ICE WHITE 60 X 1441102100SW813-6200ICE WHITE</v>
      </c>
      <c r="J1303" s="7">
        <f>COUNTIF(Paper_Reference[Duplicate Key],Paper_Reference[[#This Row],[Duplicate Key]])</f>
        <v>1</v>
      </c>
    </row>
    <row r="1304" spans="1:10">
      <c r="A1304" s="7">
        <v>2</v>
      </c>
      <c r="B1304" s="8" t="s">
        <v>8560</v>
      </c>
      <c r="C1304" s="8" t="s">
        <v>8355</v>
      </c>
      <c r="D1304" s="7">
        <v>1</v>
      </c>
      <c r="E1304" s="7">
        <v>10</v>
      </c>
      <c r="F1304" s="7">
        <v>1</v>
      </c>
      <c r="G1304" s="8" t="s">
        <v>8302</v>
      </c>
      <c r="H1304" s="8" t="s">
        <v>8303</v>
      </c>
      <c r="I1304" s="7" t="str">
        <f>_xlfn.CONCAT(Paper_Reference[[#This Row],[Lvl]:[Paper Description]])</f>
        <v>2HDADF109N580ST606/SW813 60 X 961101100SW813-6200ICE WHITE</v>
      </c>
      <c r="J1304" s="7">
        <f>COUNTIF(Paper_Reference[Duplicate Key],Paper_Reference[[#This Row],[Duplicate Key]])</f>
        <v>1</v>
      </c>
    </row>
    <row r="1305" spans="1:10">
      <c r="A1305" s="7">
        <v>2</v>
      </c>
      <c r="B1305" s="8" t="s">
        <v>8561</v>
      </c>
      <c r="C1305" s="8" t="s">
        <v>8355</v>
      </c>
      <c r="D1305" s="7">
        <v>1</v>
      </c>
      <c r="E1305" s="7">
        <v>10</v>
      </c>
      <c r="F1305" s="7">
        <v>1</v>
      </c>
      <c r="G1305" s="8" t="s">
        <v>8302</v>
      </c>
      <c r="H1305" s="8" t="s">
        <v>8303</v>
      </c>
      <c r="I1305" s="7" t="str">
        <f>_xlfn.CONCAT(Paper_Reference[[#This Row],[Lvl]:[Paper Description]])</f>
        <v>2HDHDF109N580ST606/SW813 60 X 961101100SW813-6200ICE WHITE</v>
      </c>
      <c r="J1305" s="7">
        <f>COUNTIF(Paper_Reference[Duplicate Key],Paper_Reference[[#This Row],[Duplicate Key]])</f>
        <v>1</v>
      </c>
    </row>
    <row r="1306" spans="1:10">
      <c r="A1306" s="7">
        <v>2</v>
      </c>
      <c r="B1306" s="8" t="s">
        <v>5046</v>
      </c>
      <c r="C1306" s="8" t="s">
        <v>4479</v>
      </c>
      <c r="D1306" s="7">
        <v>1</v>
      </c>
      <c r="E1306" s="7">
        <v>10</v>
      </c>
      <c r="F1306" s="7">
        <v>0.5</v>
      </c>
      <c r="G1306" s="8" t="s">
        <v>4371</v>
      </c>
      <c r="H1306" s="8" t="s">
        <v>4372</v>
      </c>
      <c r="I1306" s="7" t="str">
        <f>_xlfn.CONCAT(Paper_Reference[[#This Row],[Lvl]:[Paper Description]])</f>
        <v>2HDHDF110N000ST606/SE101 30 X 1201100.5100DS064-6200BLACK</v>
      </c>
      <c r="J1306" s="7">
        <f>COUNTIF(Paper_Reference[Duplicate Key],Paper_Reference[[#This Row],[Duplicate Key]])</f>
        <v>1</v>
      </c>
    </row>
    <row r="1307" spans="1:10">
      <c r="A1307" s="7">
        <v>2</v>
      </c>
      <c r="B1307" s="8" t="s">
        <v>5047</v>
      </c>
      <c r="C1307" s="8" t="s">
        <v>4373</v>
      </c>
      <c r="D1307" s="7">
        <v>1</v>
      </c>
      <c r="E1307" s="7">
        <v>10</v>
      </c>
      <c r="F1307" s="7">
        <v>2</v>
      </c>
      <c r="G1307" s="8" t="s">
        <v>4371</v>
      </c>
      <c r="H1307" s="8" t="s">
        <v>4372</v>
      </c>
      <c r="I1307" s="7" t="str">
        <f>_xlfn.CONCAT(Paper_Reference[[#This Row],[Lvl]:[Paper Description]])</f>
        <v>2HDHSE101N500BLACK 60 X 1201102100DS064-6200BLACK</v>
      </c>
      <c r="J1307" s="7">
        <f>COUNTIF(Paper_Reference[Duplicate Key],Paper_Reference[[#This Row],[Duplicate Key]])</f>
        <v>1</v>
      </c>
    </row>
    <row r="1308" spans="1:10">
      <c r="A1308" s="7">
        <v>2</v>
      </c>
      <c r="B1308" s="8" t="s">
        <v>5048</v>
      </c>
      <c r="C1308" s="8" t="s">
        <v>4386</v>
      </c>
      <c r="D1308" s="7">
        <v>1</v>
      </c>
      <c r="E1308" s="7">
        <v>10</v>
      </c>
      <c r="F1308" s="7">
        <v>1</v>
      </c>
      <c r="G1308" s="8" t="s">
        <v>4371</v>
      </c>
      <c r="H1308" s="8" t="s">
        <v>4372</v>
      </c>
      <c r="I1308" s="7" t="str">
        <f>_xlfn.CONCAT(Paper_Reference[[#This Row],[Lvl]:[Paper Description]])</f>
        <v>2HDHSE101N560BLACK 60 X 721101100DS064-6200BLACK</v>
      </c>
      <c r="J1308" s="7">
        <f>COUNTIF(Paper_Reference[Duplicate Key],Paper_Reference[[#This Row],[Duplicate Key]])</f>
        <v>1</v>
      </c>
    </row>
    <row r="1309" spans="1:10">
      <c r="A1309" s="7">
        <v>2</v>
      </c>
      <c r="B1309" s="8" t="s">
        <v>5049</v>
      </c>
      <c r="C1309" s="8" t="s">
        <v>4380</v>
      </c>
      <c r="D1309" s="7">
        <v>1</v>
      </c>
      <c r="E1309" s="7">
        <v>10</v>
      </c>
      <c r="F1309" s="7">
        <v>2</v>
      </c>
      <c r="G1309" s="8" t="s">
        <v>4371</v>
      </c>
      <c r="H1309" s="8" t="s">
        <v>4372</v>
      </c>
      <c r="I1309" s="7" t="str">
        <f>_xlfn.CONCAT(Paper_Reference[[#This Row],[Lvl]:[Paper Description]])</f>
        <v>2HDHSE101N580BLACK 60 X 961102100DS064-6200BLACK</v>
      </c>
      <c r="J1309" s="7">
        <f>COUNTIF(Paper_Reference[Duplicate Key],Paper_Reference[[#This Row],[Duplicate Key]])</f>
        <v>1</v>
      </c>
    </row>
    <row r="1310" spans="1:10">
      <c r="A1310" s="7">
        <v>2</v>
      </c>
      <c r="B1310" s="8" t="s">
        <v>5050</v>
      </c>
      <c r="C1310" s="8" t="s">
        <v>4403</v>
      </c>
      <c r="D1310" s="7">
        <v>1</v>
      </c>
      <c r="E1310" s="7">
        <v>10</v>
      </c>
      <c r="F1310" s="7">
        <v>1</v>
      </c>
      <c r="G1310" s="8" t="s">
        <v>4371</v>
      </c>
      <c r="H1310" s="8" t="s">
        <v>4372</v>
      </c>
      <c r="I1310" s="7" t="str">
        <f>_xlfn.CONCAT(Paper_Reference[[#This Row],[Lvl]:[Paper Description]])</f>
        <v>2HDISE101CR000BLACK 30 X 1201101100DS064-6200BLACK</v>
      </c>
      <c r="J1310" s="7">
        <f>COUNTIF(Paper_Reference[Duplicate Key],Paper_Reference[[#This Row],[Duplicate Key]])</f>
        <v>1</v>
      </c>
    </row>
    <row r="1311" spans="1:10">
      <c r="A1311" s="7">
        <v>2</v>
      </c>
      <c r="B1311" s="8" t="s">
        <v>5051</v>
      </c>
      <c r="C1311" s="8" t="s">
        <v>4373</v>
      </c>
      <c r="D1311" s="7">
        <v>1</v>
      </c>
      <c r="E1311" s="7">
        <v>10</v>
      </c>
      <c r="F1311" s="7">
        <v>2</v>
      </c>
      <c r="G1311" s="8" t="s">
        <v>4371</v>
      </c>
      <c r="H1311" s="8" t="s">
        <v>4372</v>
      </c>
      <c r="I1311" s="7" t="str">
        <f>_xlfn.CONCAT(Paper_Reference[[#This Row],[Lvl]:[Paper Description]])</f>
        <v>2HDISE101CR500BLACK 60 X 1201102100DS064-6200BLACK</v>
      </c>
      <c r="J1311" s="7">
        <f>COUNTIF(Paper_Reference[Duplicate Key],Paper_Reference[[#This Row],[Duplicate Key]])</f>
        <v>1</v>
      </c>
    </row>
    <row r="1312" spans="1:10">
      <c r="A1312" s="7">
        <v>2</v>
      </c>
      <c r="B1312" s="8" t="s">
        <v>5052</v>
      </c>
      <c r="C1312" s="8" t="s">
        <v>4378</v>
      </c>
      <c r="D1312" s="7">
        <v>1</v>
      </c>
      <c r="E1312" s="7">
        <v>10</v>
      </c>
      <c r="F1312" s="7">
        <v>1</v>
      </c>
      <c r="G1312" s="8" t="s">
        <v>4371</v>
      </c>
      <c r="H1312" s="8" t="s">
        <v>4372</v>
      </c>
      <c r="I1312" s="7" t="str">
        <f>_xlfn.CONCAT(Paper_Reference[[#This Row],[Lvl]:[Paper Description]])</f>
        <v>2HDISE101E020BLACK 30 X 1441101100DS064-6200BLACK</v>
      </c>
      <c r="J1312" s="7">
        <f>COUNTIF(Paper_Reference[Duplicate Key],Paper_Reference[[#This Row],[Duplicate Key]])</f>
        <v>1</v>
      </c>
    </row>
    <row r="1313" spans="1:10">
      <c r="A1313" s="7">
        <v>2</v>
      </c>
      <c r="B1313" s="8" t="s">
        <v>5053</v>
      </c>
      <c r="C1313" s="8" t="s">
        <v>4400</v>
      </c>
      <c r="D1313" s="7">
        <v>1</v>
      </c>
      <c r="E1313" s="7">
        <v>10</v>
      </c>
      <c r="F1313" s="7">
        <v>1</v>
      </c>
      <c r="G1313" s="8" t="s">
        <v>4371</v>
      </c>
      <c r="H1313" s="8" t="s">
        <v>4372</v>
      </c>
      <c r="I1313" s="7" t="str">
        <f>_xlfn.CONCAT(Paper_Reference[[#This Row],[Lvl]:[Paper Description]])</f>
        <v>2HDISE101E080BLACK 30 X 961101100DS064-6200BLACK</v>
      </c>
      <c r="J1313" s="7">
        <f>COUNTIF(Paper_Reference[Duplicate Key],Paper_Reference[[#This Row],[Duplicate Key]])</f>
        <v>1</v>
      </c>
    </row>
    <row r="1314" spans="1:10">
      <c r="A1314" s="7">
        <v>2</v>
      </c>
      <c r="B1314" s="8" t="s">
        <v>5054</v>
      </c>
      <c r="C1314" s="8" t="s">
        <v>4379</v>
      </c>
      <c r="D1314" s="7">
        <v>1</v>
      </c>
      <c r="E1314" s="7">
        <v>10</v>
      </c>
      <c r="F1314" s="7">
        <v>2</v>
      </c>
      <c r="G1314" s="8" t="s">
        <v>4371</v>
      </c>
      <c r="H1314" s="8" t="s">
        <v>4372</v>
      </c>
      <c r="I1314" s="7" t="str">
        <f>_xlfn.CONCAT(Paper_Reference[[#This Row],[Lvl]:[Paper Description]])</f>
        <v>2HDISE101E5202BLACK 60 X 1441102100DS064-6200BLACK</v>
      </c>
      <c r="J1314" s="7">
        <f>COUNTIF(Paper_Reference[Duplicate Key],Paper_Reference[[#This Row],[Duplicate Key]])</f>
        <v>1</v>
      </c>
    </row>
    <row r="1315" spans="1:10">
      <c r="A1315" s="7">
        <v>2</v>
      </c>
      <c r="B1315" s="8" t="s">
        <v>5056</v>
      </c>
      <c r="C1315" s="8" t="s">
        <v>4403</v>
      </c>
      <c r="D1315" s="7">
        <v>1</v>
      </c>
      <c r="E1315" s="7">
        <v>10</v>
      </c>
      <c r="F1315" s="7">
        <v>1</v>
      </c>
      <c r="G1315" s="8" t="s">
        <v>4371</v>
      </c>
      <c r="H1315" s="8" t="s">
        <v>4372</v>
      </c>
      <c r="I1315" s="7" t="str">
        <f>_xlfn.CONCAT(Paper_Reference[[#This Row],[Lvl]:[Paper Description]])</f>
        <v>2HDISE101J000BLACK 30 X 1201101100DS064-6200BLACK</v>
      </c>
      <c r="J1315" s="7">
        <f>COUNTIF(Paper_Reference[Duplicate Key],Paper_Reference[[#This Row],[Duplicate Key]])</f>
        <v>1</v>
      </c>
    </row>
    <row r="1316" spans="1:10">
      <c r="A1316" s="7">
        <v>2</v>
      </c>
      <c r="B1316" s="8" t="s">
        <v>5055</v>
      </c>
      <c r="C1316" s="8" t="s">
        <v>4403</v>
      </c>
      <c r="D1316" s="7">
        <v>1</v>
      </c>
      <c r="E1316" s="7">
        <v>10</v>
      </c>
      <c r="F1316" s="7">
        <v>1</v>
      </c>
      <c r="G1316" s="8" t="s">
        <v>4371</v>
      </c>
      <c r="H1316" s="8" t="s">
        <v>4372</v>
      </c>
      <c r="I1316" s="7" t="str">
        <f>_xlfn.CONCAT(Paper_Reference[[#This Row],[Lvl]:[Paper Description]])</f>
        <v>2HDISE101J0001BLACK 30 X 1201101100DS064-6200BLACK</v>
      </c>
      <c r="J1316" s="7">
        <f>COUNTIF(Paper_Reference[Duplicate Key],Paper_Reference[[#This Row],[Duplicate Key]])</f>
        <v>1</v>
      </c>
    </row>
    <row r="1317" spans="1:10">
      <c r="A1317" s="7">
        <v>2</v>
      </c>
      <c r="B1317" s="8" t="s">
        <v>5058</v>
      </c>
      <c r="C1317" s="8" t="s">
        <v>4378</v>
      </c>
      <c r="D1317" s="7">
        <v>1</v>
      </c>
      <c r="E1317" s="7">
        <v>10</v>
      </c>
      <c r="F1317" s="7">
        <v>1</v>
      </c>
      <c r="G1317" s="8" t="s">
        <v>4371</v>
      </c>
      <c r="H1317" s="8" t="s">
        <v>4372</v>
      </c>
      <c r="I1317" s="7" t="str">
        <f>_xlfn.CONCAT(Paper_Reference[[#This Row],[Lvl]:[Paper Description]])</f>
        <v>2HDISE101J020BLACK 30 X 1441101100DS064-6200BLACK</v>
      </c>
      <c r="J1317" s="7">
        <f>COUNTIF(Paper_Reference[Duplicate Key],Paper_Reference[[#This Row],[Duplicate Key]])</f>
        <v>1</v>
      </c>
    </row>
    <row r="1318" spans="1:10">
      <c r="A1318" s="7">
        <v>2</v>
      </c>
      <c r="B1318" s="8" t="s">
        <v>5057</v>
      </c>
      <c r="C1318" s="8" t="s">
        <v>4378</v>
      </c>
      <c r="D1318" s="7">
        <v>1</v>
      </c>
      <c r="E1318" s="7">
        <v>10</v>
      </c>
      <c r="F1318" s="7">
        <v>1</v>
      </c>
      <c r="G1318" s="8" t="s">
        <v>4371</v>
      </c>
      <c r="H1318" s="8" t="s">
        <v>4372</v>
      </c>
      <c r="I1318" s="7" t="str">
        <f>_xlfn.CONCAT(Paper_Reference[[#This Row],[Lvl]:[Paper Description]])</f>
        <v>2HDISE101J0201BLACK 30 X 1441101100DS064-6200BLACK</v>
      </c>
      <c r="J1318" s="7">
        <f>COUNTIF(Paper_Reference[Duplicate Key],Paper_Reference[[#This Row],[Duplicate Key]])</f>
        <v>1</v>
      </c>
    </row>
    <row r="1319" spans="1:10">
      <c r="A1319" s="7">
        <v>2</v>
      </c>
      <c r="B1319" s="8" t="s">
        <v>5059</v>
      </c>
      <c r="C1319" s="8" t="s">
        <v>4400</v>
      </c>
      <c r="D1319" s="7">
        <v>1</v>
      </c>
      <c r="E1319" s="7">
        <v>10</v>
      </c>
      <c r="F1319" s="7">
        <v>1</v>
      </c>
      <c r="G1319" s="8" t="s">
        <v>4371</v>
      </c>
      <c r="H1319" s="8" t="s">
        <v>4372</v>
      </c>
      <c r="I1319" s="7" t="str">
        <f>_xlfn.CONCAT(Paper_Reference[[#This Row],[Lvl]:[Paper Description]])</f>
        <v>2HDISE101J0801BLACK 30 X 961101100DS064-6200BLACK</v>
      </c>
      <c r="J1319" s="7">
        <f>COUNTIF(Paper_Reference[Duplicate Key],Paper_Reference[[#This Row],[Duplicate Key]])</f>
        <v>1</v>
      </c>
    </row>
    <row r="1320" spans="1:10">
      <c r="A1320" s="7">
        <v>2</v>
      </c>
      <c r="B1320" s="8" t="s">
        <v>5061</v>
      </c>
      <c r="C1320" s="8" t="s">
        <v>4373</v>
      </c>
      <c r="D1320" s="7">
        <v>1</v>
      </c>
      <c r="E1320" s="7">
        <v>10</v>
      </c>
      <c r="F1320" s="7">
        <v>2</v>
      </c>
      <c r="G1320" s="8" t="s">
        <v>4371</v>
      </c>
      <c r="H1320" s="8" t="s">
        <v>4372</v>
      </c>
      <c r="I1320" s="7" t="str">
        <f>_xlfn.CONCAT(Paper_Reference[[#This Row],[Lvl]:[Paper Description]])</f>
        <v>2HDISE101J500BLACK 60 X 1201102100DS064-6200BLACK</v>
      </c>
      <c r="J1320" s="7">
        <f>COUNTIF(Paper_Reference[Duplicate Key],Paper_Reference[[#This Row],[Duplicate Key]])</f>
        <v>1</v>
      </c>
    </row>
    <row r="1321" spans="1:10">
      <c r="A1321" s="7">
        <v>2</v>
      </c>
      <c r="B1321" s="8" t="s">
        <v>5060</v>
      </c>
      <c r="C1321" s="8" t="s">
        <v>4373</v>
      </c>
      <c r="D1321" s="7">
        <v>1</v>
      </c>
      <c r="E1321" s="7">
        <v>10</v>
      </c>
      <c r="F1321" s="7">
        <v>2</v>
      </c>
      <c r="G1321" s="8" t="s">
        <v>4371</v>
      </c>
      <c r="H1321" s="8" t="s">
        <v>4372</v>
      </c>
      <c r="I1321" s="7" t="str">
        <f>_xlfn.CONCAT(Paper_Reference[[#This Row],[Lvl]:[Paper Description]])</f>
        <v>2HDISE101J5001BLACK 60 X 1201102100DS064-6200BLACK</v>
      </c>
      <c r="J1321" s="7">
        <f>COUNTIF(Paper_Reference[Duplicate Key],Paper_Reference[[#This Row],[Duplicate Key]])</f>
        <v>1</v>
      </c>
    </row>
    <row r="1322" spans="1:10">
      <c r="A1322" s="7">
        <v>2</v>
      </c>
      <c r="B1322" s="8" t="s">
        <v>5062</v>
      </c>
      <c r="C1322" s="8" t="s">
        <v>4379</v>
      </c>
      <c r="D1322" s="7">
        <v>1</v>
      </c>
      <c r="E1322" s="7">
        <v>10</v>
      </c>
      <c r="F1322" s="7">
        <v>2</v>
      </c>
      <c r="G1322" s="8" t="s">
        <v>4371</v>
      </c>
      <c r="H1322" s="8" t="s">
        <v>4372</v>
      </c>
      <c r="I1322" s="7" t="str">
        <f>_xlfn.CONCAT(Paper_Reference[[#This Row],[Lvl]:[Paper Description]])</f>
        <v>2HDISE101J5201BLACK 60 X 1441102100DS064-6200BLACK</v>
      </c>
      <c r="J1322" s="7">
        <f>COUNTIF(Paper_Reference[Duplicate Key],Paper_Reference[[#This Row],[Duplicate Key]])</f>
        <v>1</v>
      </c>
    </row>
    <row r="1323" spans="1:10">
      <c r="A1323" s="7">
        <v>2</v>
      </c>
      <c r="B1323" s="8" t="s">
        <v>5063</v>
      </c>
      <c r="C1323" s="8" t="s">
        <v>4379</v>
      </c>
      <c r="D1323" s="7">
        <v>1</v>
      </c>
      <c r="E1323" s="7">
        <v>10</v>
      </c>
      <c r="F1323" s="7">
        <v>2</v>
      </c>
      <c r="G1323" s="8" t="s">
        <v>4371</v>
      </c>
      <c r="H1323" s="8" t="s">
        <v>4372</v>
      </c>
      <c r="I1323" s="7" t="str">
        <f>_xlfn.CONCAT(Paper_Reference[[#This Row],[Lvl]:[Paper Description]])</f>
        <v>2HDISE101J5202BLACK 60 X 1441102100DS064-6200BLACK</v>
      </c>
      <c r="J1323" s="7">
        <f>COUNTIF(Paper_Reference[Duplicate Key],Paper_Reference[[#This Row],[Duplicate Key]])</f>
        <v>1</v>
      </c>
    </row>
    <row r="1324" spans="1:10">
      <c r="A1324" s="7">
        <v>2</v>
      </c>
      <c r="B1324" s="8" t="s">
        <v>5065</v>
      </c>
      <c r="C1324" s="8" t="s">
        <v>4380</v>
      </c>
      <c r="D1324" s="7">
        <v>1</v>
      </c>
      <c r="E1324" s="7">
        <v>10</v>
      </c>
      <c r="F1324" s="7">
        <v>2</v>
      </c>
      <c r="G1324" s="8" t="s">
        <v>4371</v>
      </c>
      <c r="H1324" s="8" t="s">
        <v>4372</v>
      </c>
      <c r="I1324" s="7" t="str">
        <f>_xlfn.CONCAT(Paper_Reference[[#This Row],[Lvl]:[Paper Description]])</f>
        <v>2HDISE101J580BLACK 60 X 961102100DS064-6200BLACK</v>
      </c>
      <c r="J1324" s="7">
        <f>COUNTIF(Paper_Reference[Duplicate Key],Paper_Reference[[#This Row],[Duplicate Key]])</f>
        <v>1</v>
      </c>
    </row>
    <row r="1325" spans="1:10">
      <c r="A1325" s="7">
        <v>2</v>
      </c>
      <c r="B1325" s="8" t="s">
        <v>5064</v>
      </c>
      <c r="C1325" s="8" t="s">
        <v>4380</v>
      </c>
      <c r="D1325" s="7">
        <v>1</v>
      </c>
      <c r="E1325" s="7">
        <v>10</v>
      </c>
      <c r="F1325" s="7">
        <v>2</v>
      </c>
      <c r="G1325" s="8" t="s">
        <v>4371</v>
      </c>
      <c r="H1325" s="8" t="s">
        <v>4372</v>
      </c>
      <c r="I1325" s="7" t="str">
        <f>_xlfn.CONCAT(Paper_Reference[[#This Row],[Lvl]:[Paper Description]])</f>
        <v>2HDISE101J5801BLACK 60 X 961102100DS064-6200BLACK</v>
      </c>
      <c r="J1325" s="7">
        <f>COUNTIF(Paper_Reference[Duplicate Key],Paper_Reference[[#This Row],[Duplicate Key]])</f>
        <v>1</v>
      </c>
    </row>
    <row r="1326" spans="1:10">
      <c r="A1326" s="7">
        <v>3</v>
      </c>
      <c r="B1326" s="8" t="s">
        <v>5066</v>
      </c>
      <c r="C1326" s="8" t="s">
        <v>4447</v>
      </c>
      <c r="D1326" s="7">
        <v>1</v>
      </c>
      <c r="E1326" s="7">
        <v>55</v>
      </c>
      <c r="F1326" s="7">
        <v>0.25</v>
      </c>
      <c r="G1326" s="8" t="s">
        <v>4371</v>
      </c>
      <c r="H1326" s="8" t="s">
        <v>4372</v>
      </c>
      <c r="I1326" s="7" t="str">
        <f>_xlfn.CONCAT(Paper_Reference[[#This Row],[Lvl]:[Paper Description]])</f>
        <v>3HDISE101JBNQBLACK 30 X 721550.25100DS064-6200BLACK</v>
      </c>
      <c r="J1326" s="7">
        <f>COUNTIF(Paper_Reference[Duplicate Key],Paper_Reference[[#This Row],[Duplicate Key]])</f>
        <v>1</v>
      </c>
    </row>
    <row r="1327" spans="1:10">
      <c r="A1327" s="7">
        <v>2</v>
      </c>
      <c r="B1327" s="8" t="s">
        <v>5067</v>
      </c>
      <c r="C1327" s="8" t="s">
        <v>4440</v>
      </c>
      <c r="D1327" s="7">
        <v>1</v>
      </c>
      <c r="E1327" s="7">
        <v>10</v>
      </c>
      <c r="F1327" s="7">
        <v>2</v>
      </c>
      <c r="G1327" s="8" t="s">
        <v>4371</v>
      </c>
      <c r="H1327" s="8" t="s">
        <v>4372</v>
      </c>
      <c r="I1327" s="7" t="str">
        <f>_xlfn.CONCAT(Paper_Reference[[#This Row],[Lvl]:[Paper Description]])</f>
        <v>2HDISE101MG320BLACK 36 X 1441102100DS064-6200BLACK</v>
      </c>
      <c r="J1327" s="7">
        <f>COUNTIF(Paper_Reference[Duplicate Key],Paper_Reference[[#This Row],[Duplicate Key]])</f>
        <v>1</v>
      </c>
    </row>
    <row r="1328" spans="1:10">
      <c r="A1328" s="7">
        <v>2</v>
      </c>
      <c r="B1328" s="8" t="s">
        <v>5068</v>
      </c>
      <c r="C1328" s="8" t="s">
        <v>4379</v>
      </c>
      <c r="D1328" s="7">
        <v>1</v>
      </c>
      <c r="E1328" s="7">
        <v>10</v>
      </c>
      <c r="F1328" s="7">
        <v>2</v>
      </c>
      <c r="G1328" s="8" t="s">
        <v>4371</v>
      </c>
      <c r="H1328" s="8" t="s">
        <v>4372</v>
      </c>
      <c r="I1328" s="7" t="str">
        <f>_xlfn.CONCAT(Paper_Reference[[#This Row],[Lvl]:[Paper Description]])</f>
        <v>2HDISE101MG520BLACK 60 X 1441102100DS064-6200BLACK</v>
      </c>
      <c r="J1328" s="7">
        <f>COUNTIF(Paper_Reference[Duplicate Key],Paper_Reference[[#This Row],[Duplicate Key]])</f>
        <v>1</v>
      </c>
    </row>
    <row r="1329" spans="1:10">
      <c r="A1329" s="7">
        <v>2</v>
      </c>
      <c r="B1329" s="8" t="s">
        <v>5071</v>
      </c>
      <c r="C1329" s="8" t="s">
        <v>4403</v>
      </c>
      <c r="D1329" s="7">
        <v>1</v>
      </c>
      <c r="E1329" s="7">
        <v>10</v>
      </c>
      <c r="F1329" s="7">
        <v>1</v>
      </c>
      <c r="G1329" s="8" t="s">
        <v>4371</v>
      </c>
      <c r="H1329" s="8" t="s">
        <v>4372</v>
      </c>
      <c r="I1329" s="7" t="str">
        <f>_xlfn.CONCAT(Paper_Reference[[#This Row],[Lvl]:[Paper Description]])</f>
        <v>2HDISE101N000BLACK 30 X 1201101100DS064-6200BLACK</v>
      </c>
      <c r="J1329" s="7">
        <f>COUNTIF(Paper_Reference[Duplicate Key],Paper_Reference[[#This Row],[Duplicate Key]])</f>
        <v>1</v>
      </c>
    </row>
    <row r="1330" spans="1:10">
      <c r="A1330" s="7">
        <v>2</v>
      </c>
      <c r="B1330" s="8" t="s">
        <v>5069</v>
      </c>
      <c r="C1330" s="8" t="s">
        <v>4403</v>
      </c>
      <c r="D1330" s="7">
        <v>1</v>
      </c>
      <c r="E1330" s="7">
        <v>10</v>
      </c>
      <c r="F1330" s="7">
        <v>1</v>
      </c>
      <c r="G1330" s="8" t="s">
        <v>4371</v>
      </c>
      <c r="H1330" s="8" t="s">
        <v>4372</v>
      </c>
      <c r="I1330" s="7" t="str">
        <f>_xlfn.CONCAT(Paper_Reference[[#This Row],[Lvl]:[Paper Description]])</f>
        <v>2HDISE101N0001BLACK 30 X 1201101100DS064-6200BLACK</v>
      </c>
      <c r="J1330" s="7">
        <f>COUNTIF(Paper_Reference[Duplicate Key],Paper_Reference[[#This Row],[Duplicate Key]])</f>
        <v>1</v>
      </c>
    </row>
    <row r="1331" spans="1:10">
      <c r="A1331" s="7">
        <v>2</v>
      </c>
      <c r="B1331" s="8" t="s">
        <v>5070</v>
      </c>
      <c r="C1331" s="8" t="s">
        <v>4403</v>
      </c>
      <c r="D1331" s="7">
        <v>1</v>
      </c>
      <c r="E1331" s="7">
        <v>10</v>
      </c>
      <c r="F1331" s="7">
        <v>1</v>
      </c>
      <c r="G1331" s="8" t="s">
        <v>4371</v>
      </c>
      <c r="H1331" s="8" t="s">
        <v>4372</v>
      </c>
      <c r="I1331" s="7" t="str">
        <f>_xlfn.CONCAT(Paper_Reference[[#This Row],[Lvl]:[Paper Description]])</f>
        <v>2HDISE101N0002BLACK 30 X 1201101100DS064-6200BLACK</v>
      </c>
      <c r="J1331" s="7">
        <f>COUNTIF(Paper_Reference[Duplicate Key],Paper_Reference[[#This Row],[Duplicate Key]])</f>
        <v>1</v>
      </c>
    </row>
    <row r="1332" spans="1:10">
      <c r="A1332" s="7">
        <v>2</v>
      </c>
      <c r="B1332" s="8" t="s">
        <v>5074</v>
      </c>
      <c r="C1332" s="8" t="s">
        <v>4378</v>
      </c>
      <c r="D1332" s="7">
        <v>1</v>
      </c>
      <c r="E1332" s="7">
        <v>10</v>
      </c>
      <c r="F1332" s="7">
        <v>1</v>
      </c>
      <c r="G1332" s="8" t="s">
        <v>4371</v>
      </c>
      <c r="H1332" s="8" t="s">
        <v>4372</v>
      </c>
      <c r="I1332" s="7" t="str">
        <f>_xlfn.CONCAT(Paper_Reference[[#This Row],[Lvl]:[Paper Description]])</f>
        <v>2HDISE101N020BLACK 30 X 1441101100DS064-6200BLACK</v>
      </c>
      <c r="J1332" s="7">
        <f>COUNTIF(Paper_Reference[Duplicate Key],Paper_Reference[[#This Row],[Duplicate Key]])</f>
        <v>1</v>
      </c>
    </row>
    <row r="1333" spans="1:10">
      <c r="A1333" s="7">
        <v>2</v>
      </c>
      <c r="B1333" s="8" t="s">
        <v>5072</v>
      </c>
      <c r="C1333" s="8" t="s">
        <v>4378</v>
      </c>
      <c r="D1333" s="7">
        <v>1</v>
      </c>
      <c r="E1333" s="7">
        <v>10</v>
      </c>
      <c r="F1333" s="7">
        <v>1</v>
      </c>
      <c r="G1333" s="8" t="s">
        <v>4371</v>
      </c>
      <c r="H1333" s="8" t="s">
        <v>4372</v>
      </c>
      <c r="I1333" s="7" t="str">
        <f>_xlfn.CONCAT(Paper_Reference[[#This Row],[Lvl]:[Paper Description]])</f>
        <v>2HDISE101N0201BLACK 30 X 1441101100DS064-6200BLACK</v>
      </c>
      <c r="J1333" s="7">
        <f>COUNTIF(Paper_Reference[Duplicate Key],Paper_Reference[[#This Row],[Duplicate Key]])</f>
        <v>1</v>
      </c>
    </row>
    <row r="1334" spans="1:10">
      <c r="A1334" s="7">
        <v>2</v>
      </c>
      <c r="B1334" s="8" t="s">
        <v>5073</v>
      </c>
      <c r="C1334" s="8" t="s">
        <v>4378</v>
      </c>
      <c r="D1334" s="7">
        <v>1</v>
      </c>
      <c r="E1334" s="7">
        <v>10</v>
      </c>
      <c r="F1334" s="7">
        <v>1</v>
      </c>
      <c r="G1334" s="8" t="s">
        <v>4371</v>
      </c>
      <c r="H1334" s="8" t="s">
        <v>4372</v>
      </c>
      <c r="I1334" s="7" t="str">
        <f>_xlfn.CONCAT(Paper_Reference[[#This Row],[Lvl]:[Paper Description]])</f>
        <v>2HDISE101N0202BLACK 30 X 1441101100DS064-6200BLACK</v>
      </c>
      <c r="J1334" s="7">
        <f>COUNTIF(Paper_Reference[Duplicate Key],Paper_Reference[[#This Row],[Duplicate Key]])</f>
        <v>1</v>
      </c>
    </row>
    <row r="1335" spans="1:10">
      <c r="A1335" s="7">
        <v>3</v>
      </c>
      <c r="B1335" s="8" t="s">
        <v>5075</v>
      </c>
      <c r="C1335" s="8" t="s">
        <v>4447</v>
      </c>
      <c r="D1335" s="7">
        <v>1</v>
      </c>
      <c r="E1335" s="7">
        <v>55</v>
      </c>
      <c r="F1335" s="7">
        <v>0.25</v>
      </c>
      <c r="G1335" s="8" t="s">
        <v>4371</v>
      </c>
      <c r="H1335" s="8" t="s">
        <v>4372</v>
      </c>
      <c r="I1335" s="7" t="str">
        <f>_xlfn.CONCAT(Paper_Reference[[#This Row],[Lvl]:[Paper Description]])</f>
        <v>3HDISE101N060BLACK 30 X 721550.25100DS064-6200BLACK</v>
      </c>
      <c r="J1335" s="7">
        <f>COUNTIF(Paper_Reference[Duplicate Key],Paper_Reference[[#This Row],[Duplicate Key]])</f>
        <v>1</v>
      </c>
    </row>
    <row r="1336" spans="1:10">
      <c r="A1336" s="7">
        <v>2</v>
      </c>
      <c r="B1336" s="8" t="s">
        <v>5077</v>
      </c>
      <c r="C1336" s="8" t="s">
        <v>4400</v>
      </c>
      <c r="D1336" s="7">
        <v>1</v>
      </c>
      <c r="E1336" s="7">
        <v>10</v>
      </c>
      <c r="F1336" s="7">
        <v>1</v>
      </c>
      <c r="G1336" s="8" t="s">
        <v>4371</v>
      </c>
      <c r="H1336" s="8" t="s">
        <v>4372</v>
      </c>
      <c r="I1336" s="7" t="str">
        <f>_xlfn.CONCAT(Paper_Reference[[#This Row],[Lvl]:[Paper Description]])</f>
        <v>2HDISE101N080BLACK 30 X 961101100DS064-6200BLACK</v>
      </c>
      <c r="J1336" s="7">
        <f>COUNTIF(Paper_Reference[Duplicate Key],Paper_Reference[[#This Row],[Duplicate Key]])</f>
        <v>1</v>
      </c>
    </row>
    <row r="1337" spans="1:10">
      <c r="A1337" s="7">
        <v>2</v>
      </c>
      <c r="B1337" s="8" t="s">
        <v>5076</v>
      </c>
      <c r="C1337" s="8" t="s">
        <v>4400</v>
      </c>
      <c r="D1337" s="7">
        <v>1</v>
      </c>
      <c r="E1337" s="7">
        <v>10</v>
      </c>
      <c r="F1337" s="7">
        <v>1</v>
      </c>
      <c r="G1337" s="8" t="s">
        <v>4371</v>
      </c>
      <c r="H1337" s="8" t="s">
        <v>4372</v>
      </c>
      <c r="I1337" s="7" t="str">
        <f>_xlfn.CONCAT(Paper_Reference[[#This Row],[Lvl]:[Paper Description]])</f>
        <v>2HDISE101N0801BLACK 30 X 961101100DS064-6200BLACK</v>
      </c>
      <c r="J1337" s="7">
        <f>COUNTIF(Paper_Reference[Duplicate Key],Paper_Reference[[#This Row],[Duplicate Key]])</f>
        <v>1</v>
      </c>
    </row>
    <row r="1338" spans="1:10">
      <c r="A1338" s="7">
        <v>2</v>
      </c>
      <c r="B1338" s="8" t="s">
        <v>5078</v>
      </c>
      <c r="C1338" s="8" t="s">
        <v>4373</v>
      </c>
      <c r="D1338" s="7">
        <v>1</v>
      </c>
      <c r="E1338" s="7">
        <v>10</v>
      </c>
      <c r="F1338" s="7">
        <v>2</v>
      </c>
      <c r="G1338" s="8" t="s">
        <v>4371</v>
      </c>
      <c r="H1338" s="8" t="s">
        <v>4372</v>
      </c>
      <c r="I1338" s="7" t="str">
        <f>_xlfn.CONCAT(Paper_Reference[[#This Row],[Lvl]:[Paper Description]])</f>
        <v>2HDISE101N5001BLACK 60 X 1201102100DS064-6200BLACK</v>
      </c>
      <c r="J1338" s="7">
        <f>COUNTIF(Paper_Reference[Duplicate Key],Paper_Reference[[#This Row],[Duplicate Key]])</f>
        <v>1</v>
      </c>
    </row>
    <row r="1339" spans="1:10">
      <c r="A1339" s="7">
        <v>2</v>
      </c>
      <c r="B1339" s="8" t="s">
        <v>5079</v>
      </c>
      <c r="C1339" s="8" t="s">
        <v>4373</v>
      </c>
      <c r="D1339" s="7">
        <v>1</v>
      </c>
      <c r="E1339" s="7">
        <v>10</v>
      </c>
      <c r="F1339" s="7">
        <v>2</v>
      </c>
      <c r="G1339" s="8" t="s">
        <v>4371</v>
      </c>
      <c r="H1339" s="8" t="s">
        <v>4372</v>
      </c>
      <c r="I1339" s="7" t="str">
        <f>_xlfn.CONCAT(Paper_Reference[[#This Row],[Lvl]:[Paper Description]])</f>
        <v>2HDISE101N5002BLACK 60 X 1201102100DS064-6200BLACK</v>
      </c>
      <c r="J1339" s="7">
        <f>COUNTIF(Paper_Reference[Duplicate Key],Paper_Reference[[#This Row],[Duplicate Key]])</f>
        <v>1</v>
      </c>
    </row>
    <row r="1340" spans="1:10">
      <c r="A1340" s="7">
        <v>2</v>
      </c>
      <c r="B1340" s="8" t="s">
        <v>5080</v>
      </c>
      <c r="C1340" s="8" t="s">
        <v>4480</v>
      </c>
      <c r="D1340" s="7">
        <v>1</v>
      </c>
      <c r="E1340" s="7">
        <v>10</v>
      </c>
      <c r="F1340" s="7">
        <v>2</v>
      </c>
      <c r="G1340" s="8" t="s">
        <v>4371</v>
      </c>
      <c r="H1340" s="8" t="s">
        <v>4372</v>
      </c>
      <c r="I1340" s="7" t="str">
        <f>_xlfn.CONCAT(Paper_Reference[[#This Row],[Lvl]:[Paper Description]])</f>
        <v>2HDISE101N5003FSC BLACK 60 X 1201102100DS064-6200BLACK</v>
      </c>
      <c r="J1340" s="7">
        <f>COUNTIF(Paper_Reference[Duplicate Key],Paper_Reference[[#This Row],[Duplicate Key]])</f>
        <v>1</v>
      </c>
    </row>
    <row r="1341" spans="1:10">
      <c r="A1341" s="7">
        <v>2</v>
      </c>
      <c r="B1341" s="8" t="s">
        <v>5081</v>
      </c>
      <c r="C1341" s="8" t="s">
        <v>4379</v>
      </c>
      <c r="D1341" s="7">
        <v>1</v>
      </c>
      <c r="E1341" s="7">
        <v>10</v>
      </c>
      <c r="F1341" s="7">
        <v>2</v>
      </c>
      <c r="G1341" s="8" t="s">
        <v>4371</v>
      </c>
      <c r="H1341" s="8" t="s">
        <v>4372</v>
      </c>
      <c r="I1341" s="7" t="str">
        <f>_xlfn.CONCAT(Paper_Reference[[#This Row],[Lvl]:[Paper Description]])</f>
        <v>2HDISE101N5201BLACK 60 X 1441102100DS064-6200BLACK</v>
      </c>
      <c r="J1341" s="7">
        <f>COUNTIF(Paper_Reference[Duplicate Key],Paper_Reference[[#This Row],[Duplicate Key]])</f>
        <v>1</v>
      </c>
    </row>
    <row r="1342" spans="1:10">
      <c r="A1342" s="7">
        <v>2</v>
      </c>
      <c r="B1342" s="8" t="s">
        <v>5082</v>
      </c>
      <c r="C1342" s="8" t="s">
        <v>4379</v>
      </c>
      <c r="D1342" s="7">
        <v>1</v>
      </c>
      <c r="E1342" s="7">
        <v>10</v>
      </c>
      <c r="F1342" s="7">
        <v>2</v>
      </c>
      <c r="G1342" s="8" t="s">
        <v>4371</v>
      </c>
      <c r="H1342" s="8" t="s">
        <v>4372</v>
      </c>
      <c r="I1342" s="7" t="str">
        <f>_xlfn.CONCAT(Paper_Reference[[#This Row],[Lvl]:[Paper Description]])</f>
        <v>2HDISE101N5202BLACK 60 X 1441102100DS064-6200BLACK</v>
      </c>
      <c r="J1342" s="7">
        <f>COUNTIF(Paper_Reference[Duplicate Key],Paper_Reference[[#This Row],[Duplicate Key]])</f>
        <v>1</v>
      </c>
    </row>
    <row r="1343" spans="1:10">
      <c r="A1343" s="7">
        <v>2</v>
      </c>
      <c r="B1343" s="8" t="s">
        <v>5083</v>
      </c>
      <c r="C1343" s="8" t="s">
        <v>4380</v>
      </c>
      <c r="D1343" s="7">
        <v>1</v>
      </c>
      <c r="E1343" s="7">
        <v>10</v>
      </c>
      <c r="F1343" s="7">
        <v>2</v>
      </c>
      <c r="G1343" s="8" t="s">
        <v>4371</v>
      </c>
      <c r="H1343" s="8" t="s">
        <v>4372</v>
      </c>
      <c r="I1343" s="7" t="str">
        <f>_xlfn.CONCAT(Paper_Reference[[#This Row],[Lvl]:[Paper Description]])</f>
        <v>2HDISE101N5801BLACK 60 X 961102100DS064-6200BLACK</v>
      </c>
      <c r="J1343" s="7">
        <f>COUNTIF(Paper_Reference[Duplicate Key],Paper_Reference[[#This Row],[Duplicate Key]])</f>
        <v>1</v>
      </c>
    </row>
    <row r="1344" spans="1:10">
      <c r="A1344" s="7">
        <v>3</v>
      </c>
      <c r="B1344" s="8" t="s">
        <v>5084</v>
      </c>
      <c r="C1344" s="8" t="s">
        <v>4481</v>
      </c>
      <c r="D1344" s="7">
        <v>1</v>
      </c>
      <c r="E1344" s="7">
        <v>55</v>
      </c>
      <c r="F1344" s="7">
        <v>0.25</v>
      </c>
      <c r="G1344" s="8" t="s">
        <v>4371</v>
      </c>
      <c r="H1344" s="8" t="s">
        <v>4372</v>
      </c>
      <c r="I1344" s="7" t="str">
        <f>_xlfn.CONCAT(Paper_Reference[[#This Row],[Lvl]:[Paper Description]])</f>
        <v>3HDISE101NBPMBLACK 30 1/4 X 48 1/41550.25100DS064-6200BLACK</v>
      </c>
      <c r="J1344" s="7">
        <f>COUNTIF(Paper_Reference[Duplicate Key],Paper_Reference[[#This Row],[Duplicate Key]])</f>
        <v>1</v>
      </c>
    </row>
    <row r="1345" spans="1:10">
      <c r="A1345" s="7">
        <v>2</v>
      </c>
      <c r="B1345" s="8" t="s">
        <v>5085</v>
      </c>
      <c r="C1345" s="8" t="s">
        <v>4482</v>
      </c>
      <c r="D1345" s="7">
        <v>1</v>
      </c>
      <c r="E1345" s="7">
        <v>10</v>
      </c>
      <c r="F1345" s="7">
        <v>1</v>
      </c>
      <c r="G1345" s="8" t="s">
        <v>4371</v>
      </c>
      <c r="H1345" s="8" t="s">
        <v>4372</v>
      </c>
      <c r="I1345" s="7" t="str">
        <f>_xlfn.CONCAT(Paper_Reference[[#This Row],[Lvl]:[Paper Description]])</f>
        <v>2HDISE101NBPYBLACK 30 1/4 X 96 1/41101100DS064-6200BLACK</v>
      </c>
      <c r="J1345" s="7">
        <f>COUNTIF(Paper_Reference[Duplicate Key],Paper_Reference[[#This Row],[Duplicate Key]])</f>
        <v>1</v>
      </c>
    </row>
    <row r="1346" spans="1:10">
      <c r="A1346" s="7">
        <v>3</v>
      </c>
      <c r="B1346" s="8" t="s">
        <v>5086</v>
      </c>
      <c r="C1346" s="8" t="s">
        <v>4483</v>
      </c>
      <c r="D1346" s="7">
        <v>1</v>
      </c>
      <c r="E1346" s="7">
        <v>55</v>
      </c>
      <c r="F1346" s="7">
        <v>0.25</v>
      </c>
      <c r="G1346" s="8" t="s">
        <v>4371</v>
      </c>
      <c r="H1346" s="8" t="s">
        <v>4372</v>
      </c>
      <c r="I1346" s="7" t="str">
        <f>_xlfn.CONCAT(Paper_Reference[[#This Row],[Lvl]:[Paper Description]])</f>
        <v>3HDISE101NRFGBLACK 30 X 60 1/21550.25100DS064-6200BLACK</v>
      </c>
      <c r="J1346" s="7">
        <f>COUNTIF(Paper_Reference[Duplicate Key],Paper_Reference[[#This Row],[Duplicate Key]])</f>
        <v>1</v>
      </c>
    </row>
    <row r="1347" spans="1:10">
      <c r="A1347" s="7">
        <v>3</v>
      </c>
      <c r="B1347" s="8" t="s">
        <v>5087</v>
      </c>
      <c r="C1347" s="8" t="s">
        <v>4449</v>
      </c>
      <c r="D1347" s="7">
        <v>1</v>
      </c>
      <c r="E1347" s="7">
        <v>55</v>
      </c>
      <c r="F1347" s="7">
        <v>0.25</v>
      </c>
      <c r="G1347" s="8" t="s">
        <v>4371</v>
      </c>
      <c r="H1347" s="8" t="s">
        <v>4372</v>
      </c>
      <c r="I1347" s="7" t="str">
        <f>_xlfn.CONCAT(Paper_Reference[[#This Row],[Lvl]:[Paper Description]])</f>
        <v>3HDISE101NSINBLACK 30 1/4 X 60 1/41550.25100DS064-6200BLACK</v>
      </c>
      <c r="J1347" s="7">
        <f>COUNTIF(Paper_Reference[Duplicate Key],Paper_Reference[[#This Row],[Duplicate Key]])</f>
        <v>1</v>
      </c>
    </row>
    <row r="1348" spans="1:10">
      <c r="A1348" s="7">
        <v>3</v>
      </c>
      <c r="B1348" s="8" t="s">
        <v>5088</v>
      </c>
      <c r="C1348" s="8" t="s">
        <v>4433</v>
      </c>
      <c r="D1348" s="7">
        <v>1</v>
      </c>
      <c r="E1348" s="7">
        <v>55</v>
      </c>
      <c r="F1348" s="7">
        <v>0.25</v>
      </c>
      <c r="G1348" s="8" t="s">
        <v>4371</v>
      </c>
      <c r="H1348" s="8" t="s">
        <v>4372</v>
      </c>
      <c r="I1348" s="7" t="str">
        <f>_xlfn.CONCAT(Paper_Reference[[#This Row],[Lvl]:[Paper Description]])</f>
        <v>3HDISE101NTGCBLACK 30 1/4 X 72 1/41550.25100DS064-6200BLACK</v>
      </c>
      <c r="J1348" s="7">
        <f>COUNTIF(Paper_Reference[Duplicate Key],Paper_Reference[[#This Row],[Duplicate Key]])</f>
        <v>1</v>
      </c>
    </row>
    <row r="1349" spans="1:10">
      <c r="A1349" s="7">
        <v>3</v>
      </c>
      <c r="B1349" s="8" t="s">
        <v>5089</v>
      </c>
      <c r="C1349" s="8" t="s">
        <v>4484</v>
      </c>
      <c r="D1349" s="7">
        <v>1</v>
      </c>
      <c r="E1349" s="7">
        <v>55</v>
      </c>
      <c r="F1349" s="7">
        <v>0.25</v>
      </c>
      <c r="G1349" s="8" t="s">
        <v>4371</v>
      </c>
      <c r="H1349" s="8" t="s">
        <v>4372</v>
      </c>
      <c r="I1349" s="7" t="str">
        <f>_xlfn.CONCAT(Paper_Reference[[#This Row],[Lvl]:[Paper Description]])</f>
        <v>3HDISE101NXKMBLACK 30 X 72 1/21550.25100DS064-6200BLACK</v>
      </c>
      <c r="J1349" s="7">
        <f>COUNTIF(Paper_Reference[Duplicate Key],Paper_Reference[[#This Row],[Duplicate Key]])</f>
        <v>1</v>
      </c>
    </row>
    <row r="1350" spans="1:10">
      <c r="A1350" s="7">
        <v>3</v>
      </c>
      <c r="B1350" s="8" t="s">
        <v>5090</v>
      </c>
      <c r="C1350" s="8" t="s">
        <v>4485</v>
      </c>
      <c r="D1350" s="7">
        <v>1</v>
      </c>
      <c r="E1350" s="7">
        <v>55</v>
      </c>
      <c r="F1350" s="7">
        <v>0.25</v>
      </c>
      <c r="G1350" s="8" t="s">
        <v>4371</v>
      </c>
      <c r="H1350" s="8" t="s">
        <v>4372</v>
      </c>
      <c r="I1350" s="7" t="str">
        <f>_xlfn.CONCAT(Paper_Reference[[#This Row],[Lvl]:[Paper Description]])</f>
        <v>3HDISE101NXXSBLACK 30 X 48 1/21550.25100DS064-6200BLACK</v>
      </c>
      <c r="J1350" s="7">
        <f>COUNTIF(Paper_Reference[Duplicate Key],Paper_Reference[[#This Row],[Duplicate Key]])</f>
        <v>1</v>
      </c>
    </row>
    <row r="1351" spans="1:10">
      <c r="A1351" s="7">
        <v>2</v>
      </c>
      <c r="B1351" s="8" t="s">
        <v>5091</v>
      </c>
      <c r="C1351" s="8" t="s">
        <v>4403</v>
      </c>
      <c r="D1351" s="7">
        <v>1</v>
      </c>
      <c r="E1351" s="7">
        <v>10</v>
      </c>
      <c r="F1351" s="7">
        <v>1</v>
      </c>
      <c r="G1351" s="8" t="s">
        <v>4371</v>
      </c>
      <c r="H1351" s="8" t="s">
        <v>4372</v>
      </c>
      <c r="I1351" s="7" t="str">
        <f>_xlfn.CONCAT(Paper_Reference[[#This Row],[Lvl]:[Paper Description]])</f>
        <v>2HDISE101SD000BLACK 30 X 1201101100DS064-6200BLACK</v>
      </c>
      <c r="J1351" s="7">
        <f>COUNTIF(Paper_Reference[Duplicate Key],Paper_Reference[[#This Row],[Duplicate Key]])</f>
        <v>1</v>
      </c>
    </row>
    <row r="1352" spans="1:10">
      <c r="A1352" s="7">
        <v>2</v>
      </c>
      <c r="B1352" s="8" t="s">
        <v>5092</v>
      </c>
      <c r="C1352" s="8" t="s">
        <v>4378</v>
      </c>
      <c r="D1352" s="7">
        <v>1</v>
      </c>
      <c r="E1352" s="7">
        <v>10</v>
      </c>
      <c r="F1352" s="7">
        <v>1</v>
      </c>
      <c r="G1352" s="8" t="s">
        <v>4371</v>
      </c>
      <c r="H1352" s="8" t="s">
        <v>4372</v>
      </c>
      <c r="I1352" s="7" t="str">
        <f>_xlfn.CONCAT(Paper_Reference[[#This Row],[Lvl]:[Paper Description]])</f>
        <v>2HDISE101SD020BLACK 30 X 1441101100DS064-6200BLACK</v>
      </c>
      <c r="J1352" s="7">
        <f>COUNTIF(Paper_Reference[Duplicate Key],Paper_Reference[[#This Row],[Duplicate Key]])</f>
        <v>1</v>
      </c>
    </row>
    <row r="1353" spans="1:10">
      <c r="A1353" s="7">
        <v>2</v>
      </c>
      <c r="B1353" s="8" t="s">
        <v>5093</v>
      </c>
      <c r="C1353" s="8" t="s">
        <v>4400</v>
      </c>
      <c r="D1353" s="7">
        <v>1</v>
      </c>
      <c r="E1353" s="7">
        <v>10</v>
      </c>
      <c r="F1353" s="7">
        <v>1</v>
      </c>
      <c r="G1353" s="8" t="s">
        <v>4371</v>
      </c>
      <c r="H1353" s="8" t="s">
        <v>4372</v>
      </c>
      <c r="I1353" s="7" t="str">
        <f>_xlfn.CONCAT(Paper_Reference[[#This Row],[Lvl]:[Paper Description]])</f>
        <v>2HDISE101SD080BLACK 30 X 961101100DS064-6200BLACK</v>
      </c>
      <c r="J1353" s="7">
        <f>COUNTIF(Paper_Reference[Duplicate Key],Paper_Reference[[#This Row],[Duplicate Key]])</f>
        <v>1</v>
      </c>
    </row>
    <row r="1354" spans="1:10">
      <c r="A1354" s="7">
        <v>2</v>
      </c>
      <c r="B1354" s="8" t="s">
        <v>5094</v>
      </c>
      <c r="C1354" s="8" t="s">
        <v>4373</v>
      </c>
      <c r="D1354" s="7">
        <v>1</v>
      </c>
      <c r="E1354" s="7">
        <v>10</v>
      </c>
      <c r="F1354" s="7">
        <v>2</v>
      </c>
      <c r="G1354" s="8" t="s">
        <v>4371</v>
      </c>
      <c r="H1354" s="8" t="s">
        <v>4372</v>
      </c>
      <c r="I1354" s="7" t="str">
        <f>_xlfn.CONCAT(Paper_Reference[[#This Row],[Lvl]:[Paper Description]])</f>
        <v>2HDISE101SD5001BLACK 60 X 1201102100DS064-6200BLACK</v>
      </c>
      <c r="J1354" s="7">
        <f>COUNTIF(Paper_Reference[Duplicate Key],Paper_Reference[[#This Row],[Duplicate Key]])</f>
        <v>1</v>
      </c>
    </row>
    <row r="1355" spans="1:10">
      <c r="A1355" s="7">
        <v>2</v>
      </c>
      <c r="B1355" s="8" t="s">
        <v>5095</v>
      </c>
      <c r="C1355" s="8" t="s">
        <v>4373</v>
      </c>
      <c r="D1355" s="7">
        <v>1</v>
      </c>
      <c r="E1355" s="7">
        <v>10</v>
      </c>
      <c r="F1355" s="7">
        <v>2</v>
      </c>
      <c r="G1355" s="8" t="s">
        <v>4371</v>
      </c>
      <c r="H1355" s="8" t="s">
        <v>4372</v>
      </c>
      <c r="I1355" s="7" t="str">
        <f>_xlfn.CONCAT(Paper_Reference[[#This Row],[Lvl]:[Paper Description]])</f>
        <v>2HDISE101SD5002BLACK 60 X 1201102100DS064-6200BLACK</v>
      </c>
      <c r="J1355" s="7">
        <f>COUNTIF(Paper_Reference[Duplicate Key],Paper_Reference[[#This Row],[Duplicate Key]])</f>
        <v>1</v>
      </c>
    </row>
    <row r="1356" spans="1:10">
      <c r="A1356" s="7">
        <v>2</v>
      </c>
      <c r="B1356" s="8" t="s">
        <v>5096</v>
      </c>
      <c r="C1356" s="8" t="s">
        <v>4379</v>
      </c>
      <c r="D1356" s="7">
        <v>1</v>
      </c>
      <c r="E1356" s="7">
        <v>10</v>
      </c>
      <c r="F1356" s="7">
        <v>2</v>
      </c>
      <c r="G1356" s="8" t="s">
        <v>4371</v>
      </c>
      <c r="H1356" s="8" t="s">
        <v>4372</v>
      </c>
      <c r="I1356" s="7" t="str">
        <f>_xlfn.CONCAT(Paper_Reference[[#This Row],[Lvl]:[Paper Description]])</f>
        <v>2HDISE101SD5201BLACK 60 X 1441102100DS064-6200BLACK</v>
      </c>
      <c r="J1356" s="7">
        <f>COUNTIF(Paper_Reference[Duplicate Key],Paper_Reference[[#This Row],[Duplicate Key]])</f>
        <v>1</v>
      </c>
    </row>
    <row r="1357" spans="1:10">
      <c r="A1357" s="7">
        <v>2</v>
      </c>
      <c r="B1357" s="8" t="s">
        <v>5097</v>
      </c>
      <c r="C1357" s="8" t="s">
        <v>4379</v>
      </c>
      <c r="D1357" s="7">
        <v>1</v>
      </c>
      <c r="E1357" s="7">
        <v>10</v>
      </c>
      <c r="F1357" s="7">
        <v>2</v>
      </c>
      <c r="G1357" s="8" t="s">
        <v>4371</v>
      </c>
      <c r="H1357" s="8" t="s">
        <v>4372</v>
      </c>
      <c r="I1357" s="7" t="str">
        <f>_xlfn.CONCAT(Paper_Reference[[#This Row],[Lvl]:[Paper Description]])</f>
        <v>2HDISE101SD5202BLACK 60 X 1441102100DS064-6200BLACK</v>
      </c>
      <c r="J1357" s="7">
        <f>COUNTIF(Paper_Reference[Duplicate Key],Paper_Reference[[#This Row],[Duplicate Key]])</f>
        <v>1</v>
      </c>
    </row>
    <row r="1358" spans="1:10">
      <c r="A1358" s="7">
        <v>2</v>
      </c>
      <c r="B1358" s="8" t="s">
        <v>5098</v>
      </c>
      <c r="C1358" s="8" t="s">
        <v>4386</v>
      </c>
      <c r="D1358" s="7">
        <v>1</v>
      </c>
      <c r="E1358" s="7">
        <v>10</v>
      </c>
      <c r="F1358" s="7">
        <v>1</v>
      </c>
      <c r="G1358" s="8" t="s">
        <v>4371</v>
      </c>
      <c r="H1358" s="8" t="s">
        <v>4372</v>
      </c>
      <c r="I1358" s="7" t="str">
        <f>_xlfn.CONCAT(Paper_Reference[[#This Row],[Lvl]:[Paper Description]])</f>
        <v>2HDISE101SD560BLACK 60 X 721101100DS064-6200BLACK</v>
      </c>
      <c r="J1358" s="7">
        <f>COUNTIF(Paper_Reference[Duplicate Key],Paper_Reference[[#This Row],[Duplicate Key]])</f>
        <v>1</v>
      </c>
    </row>
    <row r="1359" spans="1:10">
      <c r="A1359" s="7">
        <v>2</v>
      </c>
      <c r="B1359" s="8" t="s">
        <v>5099</v>
      </c>
      <c r="C1359" s="8" t="s">
        <v>4380</v>
      </c>
      <c r="D1359" s="7">
        <v>1</v>
      </c>
      <c r="E1359" s="7">
        <v>10</v>
      </c>
      <c r="F1359" s="7">
        <v>2</v>
      </c>
      <c r="G1359" s="8" t="s">
        <v>4371</v>
      </c>
      <c r="H1359" s="8" t="s">
        <v>4372</v>
      </c>
      <c r="I1359" s="7" t="str">
        <f>_xlfn.CONCAT(Paper_Reference[[#This Row],[Lvl]:[Paper Description]])</f>
        <v>2HDISE101SD5802BLACK 60 X 961102100DS064-6200BLACK</v>
      </c>
      <c r="J1359" s="7">
        <f>COUNTIF(Paper_Reference[Duplicate Key],Paper_Reference[[#This Row],[Duplicate Key]])</f>
        <v>1</v>
      </c>
    </row>
    <row r="1360" spans="1:10">
      <c r="A1360" s="7">
        <v>2</v>
      </c>
      <c r="B1360" s="8" t="s">
        <v>5100</v>
      </c>
      <c r="C1360" s="8" t="s">
        <v>4486</v>
      </c>
      <c r="D1360" s="7">
        <v>1</v>
      </c>
      <c r="E1360" s="7">
        <v>10</v>
      </c>
      <c r="F1360" s="7">
        <v>1</v>
      </c>
      <c r="G1360" s="8" t="s">
        <v>4371</v>
      </c>
      <c r="H1360" s="8" t="s">
        <v>4372</v>
      </c>
      <c r="I1360" s="7" t="str">
        <f>_xlfn.CONCAT(Paper_Reference[[#This Row],[Lvl]:[Paper Description]])</f>
        <v>2HDISE101SDBNXBLACK 30 1/2 X 96 1/21101100DS064-6200BLACK</v>
      </c>
      <c r="J1360" s="7">
        <f>COUNTIF(Paper_Reference[Duplicate Key],Paper_Reference[[#This Row],[Duplicate Key]])</f>
        <v>1</v>
      </c>
    </row>
    <row r="1361" spans="1:10">
      <c r="A1361" s="7">
        <v>3</v>
      </c>
      <c r="B1361" s="8" t="s">
        <v>5101</v>
      </c>
      <c r="C1361" s="8" t="s">
        <v>4481</v>
      </c>
      <c r="D1361" s="7">
        <v>1</v>
      </c>
      <c r="E1361" s="7">
        <v>55</v>
      </c>
      <c r="F1361" s="7">
        <v>0.25</v>
      </c>
      <c r="G1361" s="8" t="s">
        <v>4371</v>
      </c>
      <c r="H1361" s="8" t="s">
        <v>4372</v>
      </c>
      <c r="I1361" s="7" t="str">
        <f>_xlfn.CONCAT(Paper_Reference[[#This Row],[Lvl]:[Paper Description]])</f>
        <v>3HDISE101SDBPMBLACK 30 1/4 X 48 1/41550.25100DS064-6200BLACK</v>
      </c>
      <c r="J1361" s="7">
        <f>COUNTIF(Paper_Reference[Duplicate Key],Paper_Reference[[#This Row],[Duplicate Key]])</f>
        <v>1</v>
      </c>
    </row>
    <row r="1362" spans="1:10">
      <c r="A1362" s="7">
        <v>3</v>
      </c>
      <c r="B1362" s="8" t="s">
        <v>5102</v>
      </c>
      <c r="C1362" s="8" t="s">
        <v>4487</v>
      </c>
      <c r="D1362" s="7">
        <v>1</v>
      </c>
      <c r="E1362" s="7">
        <v>55</v>
      </c>
      <c r="F1362" s="7">
        <v>0.25</v>
      </c>
      <c r="G1362" s="8" t="s">
        <v>4371</v>
      </c>
      <c r="H1362" s="8" t="s">
        <v>4372</v>
      </c>
      <c r="I1362" s="7" t="str">
        <f>_xlfn.CONCAT(Paper_Reference[[#This Row],[Lvl]:[Paper Description]])</f>
        <v>3HDISE101SDBPRBLACK 30 1/2 X 60 1/21550.25100DS064-6200BLACK</v>
      </c>
      <c r="J1362" s="7">
        <f>COUNTIF(Paper_Reference[Duplicate Key],Paper_Reference[[#This Row],[Duplicate Key]])</f>
        <v>1</v>
      </c>
    </row>
    <row r="1363" spans="1:10">
      <c r="A1363" s="7">
        <v>3</v>
      </c>
      <c r="B1363" s="8" t="s">
        <v>5103</v>
      </c>
      <c r="C1363" s="8" t="s">
        <v>4488</v>
      </c>
      <c r="D1363" s="7">
        <v>1</v>
      </c>
      <c r="E1363" s="7">
        <v>55</v>
      </c>
      <c r="F1363" s="7">
        <v>0.25</v>
      </c>
      <c r="G1363" s="8" t="s">
        <v>4371</v>
      </c>
      <c r="H1363" s="8" t="s">
        <v>4372</v>
      </c>
      <c r="I1363" s="7" t="str">
        <f>_xlfn.CONCAT(Paper_Reference[[#This Row],[Lvl]:[Paper Description]])</f>
        <v>3HDISE101SDBPWBLACK 30 1/2 X 72 1/21550.25100DS064-6200BLACK</v>
      </c>
      <c r="J1363" s="7">
        <f>COUNTIF(Paper_Reference[Duplicate Key],Paper_Reference[[#This Row],[Duplicate Key]])</f>
        <v>1</v>
      </c>
    </row>
    <row r="1364" spans="1:10">
      <c r="A1364" s="7">
        <v>2</v>
      </c>
      <c r="B1364" s="8" t="s">
        <v>5104</v>
      </c>
      <c r="C1364" s="8" t="s">
        <v>4482</v>
      </c>
      <c r="D1364" s="7">
        <v>1</v>
      </c>
      <c r="E1364" s="7">
        <v>10</v>
      </c>
      <c r="F1364" s="7">
        <v>1</v>
      </c>
      <c r="G1364" s="8" t="s">
        <v>4371</v>
      </c>
      <c r="H1364" s="8" t="s">
        <v>4372</v>
      </c>
      <c r="I1364" s="7" t="str">
        <f>_xlfn.CONCAT(Paper_Reference[[#This Row],[Lvl]:[Paper Description]])</f>
        <v>2HDISE101SDBPYBLACK 30 1/4 X 96 1/41101100DS064-6200BLACK</v>
      </c>
      <c r="J1364" s="7">
        <f>COUNTIF(Paper_Reference[Duplicate Key],Paper_Reference[[#This Row],[Duplicate Key]])</f>
        <v>1</v>
      </c>
    </row>
    <row r="1365" spans="1:10">
      <c r="A1365" s="7">
        <v>3</v>
      </c>
      <c r="B1365" s="8" t="s">
        <v>5105</v>
      </c>
      <c r="C1365" s="8" t="s">
        <v>4449</v>
      </c>
      <c r="D1365" s="7">
        <v>1</v>
      </c>
      <c r="E1365" s="7">
        <v>55</v>
      </c>
      <c r="F1365" s="7">
        <v>0.25</v>
      </c>
      <c r="G1365" s="8" t="s">
        <v>4371</v>
      </c>
      <c r="H1365" s="8" t="s">
        <v>4372</v>
      </c>
      <c r="I1365" s="7" t="str">
        <f>_xlfn.CONCAT(Paper_Reference[[#This Row],[Lvl]:[Paper Description]])</f>
        <v>3HDISE101SDSINBLACK 30 1/4 X 60 1/41550.25100DS064-6200BLACK</v>
      </c>
      <c r="J1365" s="7">
        <f>COUNTIF(Paper_Reference[Duplicate Key],Paper_Reference[[#This Row],[Duplicate Key]])</f>
        <v>1</v>
      </c>
    </row>
    <row r="1366" spans="1:10">
      <c r="A1366" s="7">
        <v>3</v>
      </c>
      <c r="B1366" s="8" t="s">
        <v>5106</v>
      </c>
      <c r="C1366" s="8" t="s">
        <v>4433</v>
      </c>
      <c r="D1366" s="7">
        <v>1</v>
      </c>
      <c r="E1366" s="7">
        <v>55</v>
      </c>
      <c r="F1366" s="7">
        <v>0.25</v>
      </c>
      <c r="G1366" s="8" t="s">
        <v>4371</v>
      </c>
      <c r="H1366" s="8" t="s">
        <v>4372</v>
      </c>
      <c r="I1366" s="7" t="str">
        <f>_xlfn.CONCAT(Paper_Reference[[#This Row],[Lvl]:[Paper Description]])</f>
        <v>3HDISE101SDTGCBLACK 30 1/4 X 72 1/41550.25100DS064-6200BLACK</v>
      </c>
      <c r="J1366" s="7">
        <f>COUNTIF(Paper_Reference[Duplicate Key],Paper_Reference[[#This Row],[Duplicate Key]])</f>
        <v>1</v>
      </c>
    </row>
    <row r="1367" spans="1:10">
      <c r="A1367" s="7">
        <v>2</v>
      </c>
      <c r="B1367" s="8" t="s">
        <v>5107</v>
      </c>
      <c r="C1367" s="8" t="s">
        <v>4489</v>
      </c>
      <c r="D1367" s="7">
        <v>1</v>
      </c>
      <c r="E1367" s="7">
        <v>10</v>
      </c>
      <c r="F1367" s="7">
        <v>1</v>
      </c>
      <c r="G1367" s="8" t="s">
        <v>4371</v>
      </c>
      <c r="H1367" s="8" t="s">
        <v>4372</v>
      </c>
      <c r="I1367" s="7" t="str">
        <f>_xlfn.CONCAT(Paper_Reference[[#This Row],[Lvl]:[Paper Description]])</f>
        <v>2HDISE101SDYJWBLACK 30 1/4 X 120 1/41101100DS064-6200BLACK</v>
      </c>
      <c r="J1367" s="7">
        <f>COUNTIF(Paper_Reference[Duplicate Key],Paper_Reference[[#This Row],[Duplicate Key]])</f>
        <v>1</v>
      </c>
    </row>
    <row r="1368" spans="1:10">
      <c r="A1368" s="7">
        <v>2</v>
      </c>
      <c r="B1368" s="8" t="s">
        <v>5108</v>
      </c>
      <c r="C1368" s="8" t="s">
        <v>4440</v>
      </c>
      <c r="D1368" s="7">
        <v>1</v>
      </c>
      <c r="E1368" s="7">
        <v>10</v>
      </c>
      <c r="F1368" s="7">
        <v>2</v>
      </c>
      <c r="G1368" s="8" t="s">
        <v>4371</v>
      </c>
      <c r="H1368" s="8" t="s">
        <v>4372</v>
      </c>
      <c r="I1368" s="7" t="str">
        <f>_xlfn.CONCAT(Paper_Reference[[#This Row],[Lvl]:[Paper Description]])</f>
        <v>2HDISE101U320BLACK 36 X 1441102100DS064-6200BLACK</v>
      </c>
      <c r="J1368" s="7">
        <f>COUNTIF(Paper_Reference[Duplicate Key],Paper_Reference[[#This Row],[Duplicate Key]])</f>
        <v>1</v>
      </c>
    </row>
    <row r="1369" spans="1:10">
      <c r="A1369" s="7">
        <v>2</v>
      </c>
      <c r="B1369" s="8" t="s">
        <v>8562</v>
      </c>
      <c r="C1369" s="8" t="s">
        <v>8304</v>
      </c>
      <c r="D1369" s="7">
        <v>1</v>
      </c>
      <c r="E1369" s="7">
        <v>10</v>
      </c>
      <c r="F1369" s="7">
        <v>2</v>
      </c>
      <c r="G1369" s="8" t="s">
        <v>8302</v>
      </c>
      <c r="H1369" s="8" t="s">
        <v>8303</v>
      </c>
      <c r="I1369" s="7" t="str">
        <f>_xlfn.CONCAT(Paper_Reference[[#This Row],[Lvl]:[Paper Description]])</f>
        <v>2HDISW813N500ICE WHITE 60 X 1201102100SW813-6200ICE WHITE</v>
      </c>
      <c r="J1369" s="7">
        <f>COUNTIF(Paper_Reference[Duplicate Key],Paper_Reference[[#This Row],[Duplicate Key]])</f>
        <v>1</v>
      </c>
    </row>
    <row r="1370" spans="1:10">
      <c r="A1370" s="7">
        <v>2</v>
      </c>
      <c r="B1370" s="8" t="s">
        <v>8563</v>
      </c>
      <c r="C1370" s="8" t="s">
        <v>8305</v>
      </c>
      <c r="D1370" s="7">
        <v>1</v>
      </c>
      <c r="E1370" s="7">
        <v>10</v>
      </c>
      <c r="F1370" s="7">
        <v>2</v>
      </c>
      <c r="G1370" s="8" t="s">
        <v>8302</v>
      </c>
      <c r="H1370" s="8" t="s">
        <v>8303</v>
      </c>
      <c r="I1370" s="7" t="str">
        <f>_xlfn.CONCAT(Paper_Reference[[#This Row],[Lvl]:[Paper Description]])</f>
        <v>2HDISW813N520ICE WHITE 60 X 1441102100SW813-6200ICE WHITE</v>
      </c>
      <c r="J1370" s="7">
        <f>COUNTIF(Paper_Reference[Duplicate Key],Paper_Reference[[#This Row],[Duplicate Key]])</f>
        <v>1</v>
      </c>
    </row>
    <row r="1371" spans="1:10">
      <c r="A1371" s="7">
        <v>2</v>
      </c>
      <c r="B1371" s="8" t="s">
        <v>5109</v>
      </c>
      <c r="C1371" s="8" t="s">
        <v>4373</v>
      </c>
      <c r="D1371" s="7">
        <v>1</v>
      </c>
      <c r="E1371" s="7">
        <v>10</v>
      </c>
      <c r="F1371" s="7">
        <v>2</v>
      </c>
      <c r="G1371" s="8" t="s">
        <v>4371</v>
      </c>
      <c r="H1371" s="8" t="s">
        <v>4372</v>
      </c>
      <c r="I1371" s="7" t="str">
        <f>_xlfn.CONCAT(Paper_Reference[[#This Row],[Lvl]:[Paper Description]])</f>
        <v>2HI1PE002N500BLACK 60 X 1201102100DS064-6200BLACK</v>
      </c>
      <c r="J1371" s="7">
        <f>COUNTIF(Paper_Reference[Duplicate Key],Paper_Reference[[#This Row],[Duplicate Key]])</f>
        <v>1</v>
      </c>
    </row>
    <row r="1372" spans="1:10">
      <c r="A1372" s="7">
        <v>2</v>
      </c>
      <c r="B1372" s="8" t="s">
        <v>5110</v>
      </c>
      <c r="C1372" s="8" t="s">
        <v>4379</v>
      </c>
      <c r="D1372" s="7">
        <v>1</v>
      </c>
      <c r="E1372" s="7">
        <v>10</v>
      </c>
      <c r="F1372" s="7">
        <v>2</v>
      </c>
      <c r="G1372" s="8" t="s">
        <v>4371</v>
      </c>
      <c r="H1372" s="8" t="s">
        <v>4372</v>
      </c>
      <c r="I1372" s="7" t="str">
        <f>_xlfn.CONCAT(Paper_Reference[[#This Row],[Lvl]:[Paper Description]])</f>
        <v>2HI1PE002N520BLACK 60 X 1441102100DS064-6200BLACK</v>
      </c>
      <c r="J1372" s="7">
        <f>COUNTIF(Paper_Reference[Duplicate Key],Paper_Reference[[#This Row],[Duplicate Key]])</f>
        <v>1</v>
      </c>
    </row>
    <row r="1373" spans="1:10">
      <c r="A1373" s="7">
        <v>2</v>
      </c>
      <c r="B1373" s="8" t="s">
        <v>5111</v>
      </c>
      <c r="C1373" s="8" t="s">
        <v>4380</v>
      </c>
      <c r="D1373" s="7">
        <v>1</v>
      </c>
      <c r="E1373" s="7">
        <v>10</v>
      </c>
      <c r="F1373" s="7">
        <v>2</v>
      </c>
      <c r="G1373" s="8" t="s">
        <v>4371</v>
      </c>
      <c r="H1373" s="8" t="s">
        <v>4372</v>
      </c>
      <c r="I1373" s="7" t="str">
        <f>_xlfn.CONCAT(Paper_Reference[[#This Row],[Lvl]:[Paper Description]])</f>
        <v>2HI1PE002N580BLACK 60 X 961102100DS064-6200BLACK</v>
      </c>
      <c r="J1373" s="7">
        <f>COUNTIF(Paper_Reference[Duplicate Key],Paper_Reference[[#This Row],[Duplicate Key]])</f>
        <v>1</v>
      </c>
    </row>
    <row r="1374" spans="1:10">
      <c r="A1374" s="7">
        <v>2</v>
      </c>
      <c r="B1374" s="8" t="s">
        <v>5112</v>
      </c>
      <c r="C1374" s="8" t="s">
        <v>4373</v>
      </c>
      <c r="D1374" s="7">
        <v>1</v>
      </c>
      <c r="E1374" s="7">
        <v>10</v>
      </c>
      <c r="F1374" s="7">
        <v>2</v>
      </c>
      <c r="G1374" s="8" t="s">
        <v>4371</v>
      </c>
      <c r="H1374" s="8" t="s">
        <v>4372</v>
      </c>
      <c r="I1374" s="7" t="str">
        <f>_xlfn.CONCAT(Paper_Reference[[#This Row],[Lvl]:[Paper Description]])</f>
        <v>2HI1PE002SD500BLACK 60 X 1201102100DS064-6200BLACK</v>
      </c>
      <c r="J1374" s="7">
        <f>COUNTIF(Paper_Reference[Duplicate Key],Paper_Reference[[#This Row],[Duplicate Key]])</f>
        <v>1</v>
      </c>
    </row>
    <row r="1375" spans="1:10">
      <c r="A1375" s="7">
        <v>2</v>
      </c>
      <c r="B1375" s="8" t="s">
        <v>5113</v>
      </c>
      <c r="C1375" s="8" t="s">
        <v>4379</v>
      </c>
      <c r="D1375" s="7">
        <v>1</v>
      </c>
      <c r="E1375" s="7">
        <v>10</v>
      </c>
      <c r="F1375" s="7">
        <v>2</v>
      </c>
      <c r="G1375" s="8" t="s">
        <v>4371</v>
      </c>
      <c r="H1375" s="8" t="s">
        <v>4372</v>
      </c>
      <c r="I1375" s="7" t="str">
        <f>_xlfn.CONCAT(Paper_Reference[[#This Row],[Lvl]:[Paper Description]])</f>
        <v>2HI1PE002SD520BLACK 60 X 1441102100DS064-6200BLACK</v>
      </c>
      <c r="J1375" s="7">
        <f>COUNTIF(Paper_Reference[Duplicate Key],Paper_Reference[[#This Row],[Duplicate Key]])</f>
        <v>1</v>
      </c>
    </row>
    <row r="1376" spans="1:10">
      <c r="A1376" s="7">
        <v>2</v>
      </c>
      <c r="B1376" s="8" t="s">
        <v>5114</v>
      </c>
      <c r="C1376" s="8" t="s">
        <v>4380</v>
      </c>
      <c r="D1376" s="7">
        <v>1</v>
      </c>
      <c r="E1376" s="7">
        <v>10</v>
      </c>
      <c r="F1376" s="7">
        <v>2</v>
      </c>
      <c r="G1376" s="8" t="s">
        <v>4371</v>
      </c>
      <c r="H1376" s="8" t="s">
        <v>4372</v>
      </c>
      <c r="I1376" s="7" t="str">
        <f>_xlfn.CONCAT(Paper_Reference[[#This Row],[Lvl]:[Paper Description]])</f>
        <v>2HI1PE002SD580BLACK 60 X 961102100DS064-6200BLACK</v>
      </c>
      <c r="J1376" s="7">
        <f>COUNTIF(Paper_Reference[Duplicate Key],Paper_Reference[[#This Row],[Duplicate Key]])</f>
        <v>1</v>
      </c>
    </row>
    <row r="1377" spans="1:10">
      <c r="A1377" s="7">
        <v>3</v>
      </c>
      <c r="B1377" s="8" t="s">
        <v>8564</v>
      </c>
      <c r="C1377" s="8" t="s">
        <v>8357</v>
      </c>
      <c r="D1377" s="7">
        <v>1</v>
      </c>
      <c r="E1377" s="7">
        <v>91</v>
      </c>
      <c r="F1377" s="7">
        <v>1</v>
      </c>
      <c r="G1377" s="8" t="s">
        <v>8302</v>
      </c>
      <c r="H1377" s="8" t="s">
        <v>8303</v>
      </c>
      <c r="I1377" s="7" t="str">
        <f>_xlfn.CONCAT(Paper_Reference[[#This Row],[Lvl]:[Paper Description]])</f>
        <v>3HIRAKUVSAPK1HIRAKATA UV SW813 2 LANE PK1911100SW813-6200ICE WHITE</v>
      </c>
      <c r="J1377" s="7">
        <f>COUNTIF(Paper_Reference[Duplicate Key],Paper_Reference[[#This Row],[Duplicate Key]])</f>
        <v>1</v>
      </c>
    </row>
    <row r="1378" spans="1:10">
      <c r="A1378" s="7">
        <v>3</v>
      </c>
      <c r="B1378" s="8" t="s">
        <v>6176</v>
      </c>
      <c r="C1378" s="8" t="s">
        <v>5715</v>
      </c>
      <c r="D1378" s="7">
        <v>1</v>
      </c>
      <c r="E1378" s="7">
        <v>91</v>
      </c>
      <c r="F1378" s="7">
        <v>1</v>
      </c>
      <c r="G1378" s="8" t="s">
        <v>5690</v>
      </c>
      <c r="H1378" s="8" t="s">
        <v>5691</v>
      </c>
      <c r="I1378" s="7" t="str">
        <f>_xlfn.CONCAT(Paper_Reference[[#This Row],[Lvl]:[Paper Description]])</f>
        <v>3HOLLYDGAPPK1HOLLYWOOD UV TWO LANE PACK1911100DS009-6200FROSTY WHITE</v>
      </c>
      <c r="J1378" s="7">
        <f>COUNTIF(Paper_Reference[Duplicate Key],Paper_Reference[[#This Row],[Duplicate Key]])</f>
        <v>1</v>
      </c>
    </row>
    <row r="1379" spans="1:10">
      <c r="A1379" s="7">
        <v>3</v>
      </c>
      <c r="B1379" s="8" t="s">
        <v>6176</v>
      </c>
      <c r="C1379" s="8" t="s">
        <v>5715</v>
      </c>
      <c r="D1379" s="7">
        <v>1</v>
      </c>
      <c r="E1379" s="7">
        <v>91</v>
      </c>
      <c r="F1379" s="7">
        <v>6</v>
      </c>
      <c r="G1379" s="8" t="s">
        <v>6710</v>
      </c>
      <c r="H1379" s="8" t="s">
        <v>5691</v>
      </c>
      <c r="I1379" s="7" t="str">
        <f>_xlfn.CONCAT(Paper_Reference[[#This Row],[Lvl]:[Paper Description]])</f>
        <v>3HOLLYDGAPPK1HOLLYWOOD UV TWO LANE PACK1916100DS009-5000FROSTY WHITE</v>
      </c>
      <c r="J1379" s="7">
        <f>COUNTIF(Paper_Reference[Duplicate Key],Paper_Reference[[#This Row],[Duplicate Key]])</f>
        <v>1</v>
      </c>
    </row>
    <row r="1380" spans="1:10">
      <c r="A1380" s="7">
        <v>3</v>
      </c>
      <c r="B1380" s="8" t="s">
        <v>6177</v>
      </c>
      <c r="C1380" s="8" t="s">
        <v>5716</v>
      </c>
      <c r="D1380" s="7">
        <v>1</v>
      </c>
      <c r="E1380" s="7">
        <v>91</v>
      </c>
      <c r="F1380" s="7">
        <v>1</v>
      </c>
      <c r="G1380" s="8" t="s">
        <v>6710</v>
      </c>
      <c r="H1380" s="8" t="s">
        <v>5691</v>
      </c>
      <c r="I1380" s="7" t="str">
        <f>_xlfn.CONCAT(Paper_Reference[[#This Row],[Lvl]:[Paper Description]])</f>
        <v>3HOLLYDGAPPK2HOLLYWOOD UV RIGHT L/PACK1911100DS009-5000FROSTY WHITE</v>
      </c>
      <c r="J1380" s="7">
        <f>COUNTIF(Paper_Reference[Duplicate Key],Paper_Reference[[#This Row],[Duplicate Key]])</f>
        <v>1</v>
      </c>
    </row>
    <row r="1381" spans="1:10">
      <c r="A1381" s="7">
        <v>3</v>
      </c>
      <c r="B1381" s="8" t="s">
        <v>6177</v>
      </c>
      <c r="C1381" s="8" t="s">
        <v>5716</v>
      </c>
      <c r="D1381" s="7">
        <v>1</v>
      </c>
      <c r="E1381" s="7">
        <v>91</v>
      </c>
      <c r="F1381" s="7">
        <v>1</v>
      </c>
      <c r="G1381" s="8" t="s">
        <v>5690</v>
      </c>
      <c r="H1381" s="8" t="s">
        <v>5691</v>
      </c>
      <c r="I1381" s="7" t="str">
        <f>_xlfn.CONCAT(Paper_Reference[[#This Row],[Lvl]:[Paper Description]])</f>
        <v>3HOLLYDGAPPK2HOLLYWOOD UV RIGHT L/PACK1911100DS009-6200FROSTY WHITE</v>
      </c>
      <c r="J1381" s="7">
        <f>COUNTIF(Paper_Reference[Duplicate Key],Paper_Reference[[#This Row],[Duplicate Key]])</f>
        <v>1</v>
      </c>
    </row>
    <row r="1382" spans="1:10">
      <c r="A1382" s="7">
        <v>2</v>
      </c>
      <c r="B1382" s="8" t="s">
        <v>5115</v>
      </c>
      <c r="C1382" s="8" t="s">
        <v>4490</v>
      </c>
      <c r="D1382" s="7">
        <v>1</v>
      </c>
      <c r="E1382" s="7">
        <v>10</v>
      </c>
      <c r="F1382" s="7">
        <v>1</v>
      </c>
      <c r="G1382" s="8" t="s">
        <v>4371</v>
      </c>
      <c r="H1382" s="8" t="s">
        <v>4372</v>
      </c>
      <c r="I1382" s="7" t="str">
        <f>_xlfn.CONCAT(Paper_Reference[[#This Row],[Lvl]:[Paper Description]])</f>
        <v>2HS1DF041N000SE101/SW806/SE101 30 X 1201101100DS064-6200BLACK</v>
      </c>
      <c r="J1382" s="7">
        <f>COUNTIF(Paper_Reference[Duplicate Key],Paper_Reference[[#This Row],[Duplicate Key]])</f>
        <v>1</v>
      </c>
    </row>
    <row r="1383" spans="1:10">
      <c r="A1383" s="7">
        <v>2</v>
      </c>
      <c r="B1383" s="8" t="s">
        <v>5116</v>
      </c>
      <c r="C1383" s="8" t="s">
        <v>4491</v>
      </c>
      <c r="D1383" s="7">
        <v>1</v>
      </c>
      <c r="E1383" s="7">
        <v>10</v>
      </c>
      <c r="F1383" s="7">
        <v>1</v>
      </c>
      <c r="G1383" s="8" t="s">
        <v>4371</v>
      </c>
      <c r="H1383" s="8" t="s">
        <v>4372</v>
      </c>
      <c r="I1383" s="7" t="str">
        <f>_xlfn.CONCAT(Paper_Reference[[#This Row],[Lvl]:[Paper Description]])</f>
        <v>2HS1DF041N020SE101/SW806/SE101 30 X 1441101100DS064-6200BLACK</v>
      </c>
      <c r="J1383" s="7">
        <f>COUNTIF(Paper_Reference[Duplicate Key],Paper_Reference[[#This Row],[Duplicate Key]])</f>
        <v>1</v>
      </c>
    </row>
    <row r="1384" spans="1:10">
      <c r="A1384" s="7">
        <v>2</v>
      </c>
      <c r="B1384" s="8" t="s">
        <v>5117</v>
      </c>
      <c r="C1384" s="8" t="s">
        <v>4492</v>
      </c>
      <c r="D1384" s="7">
        <v>1</v>
      </c>
      <c r="E1384" s="7">
        <v>10</v>
      </c>
      <c r="F1384" s="7">
        <v>1</v>
      </c>
      <c r="G1384" s="8" t="s">
        <v>4371</v>
      </c>
      <c r="H1384" s="8" t="s">
        <v>4372</v>
      </c>
      <c r="I1384" s="7" t="str">
        <f>_xlfn.CONCAT(Paper_Reference[[#This Row],[Lvl]:[Paper Description]])</f>
        <v>2HS1DF041N080SE101/SW806/SE101 30 X 961101100DS064-6200BLACK</v>
      </c>
      <c r="J1384" s="7">
        <f>COUNTIF(Paper_Reference[Duplicate Key],Paper_Reference[[#This Row],[Duplicate Key]])</f>
        <v>1</v>
      </c>
    </row>
    <row r="1385" spans="1:10">
      <c r="A1385" s="7">
        <v>2</v>
      </c>
      <c r="B1385" s="8" t="s">
        <v>5118</v>
      </c>
      <c r="C1385" s="8" t="s">
        <v>4493</v>
      </c>
      <c r="D1385" s="7">
        <v>1</v>
      </c>
      <c r="E1385" s="7">
        <v>10</v>
      </c>
      <c r="F1385" s="7">
        <v>2</v>
      </c>
      <c r="G1385" s="8" t="s">
        <v>4371</v>
      </c>
      <c r="H1385" s="8" t="s">
        <v>4372</v>
      </c>
      <c r="I1385" s="7" t="str">
        <f>_xlfn.CONCAT(Paper_Reference[[#This Row],[Lvl]:[Paper Description]])</f>
        <v>2HS1DF041N500SE101/SW806/SE101 60 X 1201102100DS064-6200BLACK</v>
      </c>
      <c r="J1385" s="7">
        <f>COUNTIF(Paper_Reference[Duplicate Key],Paper_Reference[[#This Row],[Duplicate Key]])</f>
        <v>1</v>
      </c>
    </row>
    <row r="1386" spans="1:10">
      <c r="A1386" s="7">
        <v>2</v>
      </c>
      <c r="B1386" s="8" t="s">
        <v>5119</v>
      </c>
      <c r="C1386" s="8" t="s">
        <v>4494</v>
      </c>
      <c r="D1386" s="7">
        <v>1</v>
      </c>
      <c r="E1386" s="7">
        <v>10</v>
      </c>
      <c r="F1386" s="7">
        <v>2</v>
      </c>
      <c r="G1386" s="8" t="s">
        <v>4371</v>
      </c>
      <c r="H1386" s="8" t="s">
        <v>4372</v>
      </c>
      <c r="I1386" s="7" t="str">
        <f>_xlfn.CONCAT(Paper_Reference[[#This Row],[Lvl]:[Paper Description]])</f>
        <v>2HS1DF041N520SE101/SW806/SE101 60 X 1441102100DS064-6200BLACK</v>
      </c>
      <c r="J1386" s="7">
        <f>COUNTIF(Paper_Reference[Duplicate Key],Paper_Reference[[#This Row],[Duplicate Key]])</f>
        <v>1</v>
      </c>
    </row>
    <row r="1387" spans="1:10">
      <c r="A1387" s="7">
        <v>2</v>
      </c>
      <c r="B1387" s="8" t="s">
        <v>5120</v>
      </c>
      <c r="C1387" s="8" t="s">
        <v>4495</v>
      </c>
      <c r="D1387" s="7">
        <v>1</v>
      </c>
      <c r="E1387" s="7">
        <v>10</v>
      </c>
      <c r="F1387" s="7">
        <v>2</v>
      </c>
      <c r="G1387" s="8" t="s">
        <v>4371</v>
      </c>
      <c r="H1387" s="8" t="s">
        <v>4372</v>
      </c>
      <c r="I1387" s="7" t="str">
        <f>_xlfn.CONCAT(Paper_Reference[[#This Row],[Lvl]:[Paper Description]])</f>
        <v>2HS1DF041N580SE101/SW806/SE101 60 X 961102100DS064-6200BLACK</v>
      </c>
      <c r="J1387" s="7">
        <f>COUNTIF(Paper_Reference[Duplicate Key],Paper_Reference[[#This Row],[Duplicate Key]])</f>
        <v>1</v>
      </c>
    </row>
    <row r="1388" spans="1:10">
      <c r="A1388" s="7">
        <v>2</v>
      </c>
      <c r="B1388" s="8" t="s">
        <v>8565</v>
      </c>
      <c r="C1388" s="8" t="s">
        <v>8329</v>
      </c>
      <c r="D1388" s="7">
        <v>1</v>
      </c>
      <c r="E1388" s="7">
        <v>10</v>
      </c>
      <c r="F1388" s="7">
        <v>1</v>
      </c>
      <c r="G1388" s="8" t="s">
        <v>8302</v>
      </c>
      <c r="H1388" s="8" t="s">
        <v>8303</v>
      </c>
      <c r="I1388" s="7" t="str">
        <f>_xlfn.CONCAT(Paper_Reference[[#This Row],[Lvl]:[Paper Description]])</f>
        <v>2I48PW013N520ICE WHITE H/W 60 X 1441101100SW813-6200ICE WHITE</v>
      </c>
      <c r="J1388" s="7">
        <f>COUNTIF(Paper_Reference[Duplicate Key],Paper_Reference[[#This Row],[Duplicate Key]])</f>
        <v>1</v>
      </c>
    </row>
    <row r="1389" spans="1:10">
      <c r="A1389" s="7">
        <v>2</v>
      </c>
      <c r="B1389" s="8" t="s">
        <v>3195</v>
      </c>
      <c r="C1389" s="8" t="s">
        <v>3098</v>
      </c>
      <c r="D1389" s="7">
        <v>1</v>
      </c>
      <c r="E1389" s="7">
        <v>10</v>
      </c>
      <c r="F1389" s="7">
        <v>1</v>
      </c>
      <c r="G1389" s="8" t="s">
        <v>3115</v>
      </c>
      <c r="H1389" s="8" t="s">
        <v>3090</v>
      </c>
      <c r="I1389" s="7" t="str">
        <f>_xlfn.CONCAT(Paper_Reference[[#This Row],[Lvl]:[Paper Description]])</f>
        <v>2I48WF132CR520VANA H/W 60 X 1441101100WF131-6200VANA</v>
      </c>
      <c r="J1389" s="7">
        <f>COUNTIF(Paper_Reference[Duplicate Key],Paper_Reference[[#This Row],[Duplicate Key]])</f>
        <v>1</v>
      </c>
    </row>
    <row r="1390" spans="1:10">
      <c r="A1390" s="7">
        <v>2</v>
      </c>
      <c r="B1390" s="8" t="s">
        <v>3196</v>
      </c>
      <c r="C1390" s="8" t="s">
        <v>3098</v>
      </c>
      <c r="D1390" s="7">
        <v>1</v>
      </c>
      <c r="E1390" s="7">
        <v>10</v>
      </c>
      <c r="F1390" s="7">
        <v>1</v>
      </c>
      <c r="G1390" s="8" t="s">
        <v>3115</v>
      </c>
      <c r="H1390" s="8" t="s">
        <v>3090</v>
      </c>
      <c r="I1390" s="7" t="str">
        <f>_xlfn.CONCAT(Paper_Reference[[#This Row],[Lvl]:[Paper Description]])</f>
        <v>2I48WF132J520VANA H/W 60 X 1441101100WF131-6200VANA</v>
      </c>
      <c r="J1390" s="7">
        <f>COUNTIF(Paper_Reference[Duplicate Key],Paper_Reference[[#This Row],[Duplicate Key]])</f>
        <v>1</v>
      </c>
    </row>
    <row r="1391" spans="1:10">
      <c r="A1391" s="7">
        <v>2</v>
      </c>
      <c r="B1391" s="8" t="s">
        <v>3197</v>
      </c>
      <c r="C1391" s="8" t="s">
        <v>3098</v>
      </c>
      <c r="D1391" s="7">
        <v>1</v>
      </c>
      <c r="E1391" s="7">
        <v>10</v>
      </c>
      <c r="F1391" s="7">
        <v>1</v>
      </c>
      <c r="G1391" s="8" t="s">
        <v>3115</v>
      </c>
      <c r="H1391" s="8" t="s">
        <v>3090</v>
      </c>
      <c r="I1391" s="7" t="str">
        <f>_xlfn.CONCAT(Paper_Reference[[#This Row],[Lvl]:[Paper Description]])</f>
        <v>2I48WF132N520VANA H/W 60 X 1441101100WF131-6200VANA</v>
      </c>
      <c r="J1391" s="7">
        <f>COUNTIF(Paper_Reference[Duplicate Key],Paper_Reference[[#This Row],[Duplicate Key]])</f>
        <v>1</v>
      </c>
    </row>
    <row r="1392" spans="1:10">
      <c r="A1392" s="7">
        <v>2</v>
      </c>
      <c r="B1392" s="8" t="s">
        <v>3198</v>
      </c>
      <c r="C1392" s="8" t="s">
        <v>3099</v>
      </c>
      <c r="D1392" s="7">
        <v>1</v>
      </c>
      <c r="E1392" s="7">
        <v>10</v>
      </c>
      <c r="F1392" s="7">
        <v>1</v>
      </c>
      <c r="G1392" s="8" t="s">
        <v>3115</v>
      </c>
      <c r="H1392" s="8" t="s">
        <v>3090</v>
      </c>
      <c r="I1392" s="7" t="str">
        <f>_xlfn.CONCAT(Paper_Reference[[#This Row],[Lvl]:[Paper Description]])</f>
        <v>2I48WF132N580VANA H/W 60 X 961101100WF131-6200VANA</v>
      </c>
      <c r="J1392" s="7">
        <f>COUNTIF(Paper_Reference[Duplicate Key],Paper_Reference[[#This Row],[Duplicate Key]])</f>
        <v>1</v>
      </c>
    </row>
    <row r="1393" spans="1:10">
      <c r="A1393" s="7">
        <v>2</v>
      </c>
      <c r="B1393" s="8" t="s">
        <v>3199</v>
      </c>
      <c r="C1393" s="8" t="s">
        <v>3098</v>
      </c>
      <c r="D1393" s="7">
        <v>1</v>
      </c>
      <c r="E1393" s="7">
        <v>10</v>
      </c>
      <c r="F1393" s="7">
        <v>1</v>
      </c>
      <c r="G1393" s="8" t="s">
        <v>3115</v>
      </c>
      <c r="H1393" s="8" t="s">
        <v>3090</v>
      </c>
      <c r="I1393" s="7" t="str">
        <f>_xlfn.CONCAT(Paper_Reference[[#This Row],[Lvl]:[Paper Description]])</f>
        <v>2I48WF132SD520VANA H/W 60 X 1441101100WF131-6200VANA</v>
      </c>
      <c r="J1393" s="7">
        <f>COUNTIF(Paper_Reference[Duplicate Key],Paper_Reference[[#This Row],[Duplicate Key]])</f>
        <v>1</v>
      </c>
    </row>
    <row r="1394" spans="1:10">
      <c r="A1394" s="7">
        <v>2</v>
      </c>
      <c r="B1394" s="8" t="s">
        <v>5607</v>
      </c>
      <c r="C1394" s="8" t="s">
        <v>5418</v>
      </c>
      <c r="D1394" s="7">
        <v>1</v>
      </c>
      <c r="E1394" s="7">
        <v>10</v>
      </c>
      <c r="F1394" s="7">
        <v>1</v>
      </c>
      <c r="G1394" s="8" t="s">
        <v>5373</v>
      </c>
      <c r="H1394" s="8" t="s">
        <v>5374</v>
      </c>
      <c r="I1394" s="7" t="str">
        <f>_xlfn.CONCAT(Paper_Reference[[#This Row],[Lvl]:[Paper Description]])</f>
        <v>2I48WW975N520GUN SAVOY WALNUT H/W 60X1441101100WW971-6200GUN SAVOY WALNUT</v>
      </c>
      <c r="J1394" s="7">
        <f>COUNTIF(Paper_Reference[Duplicate Key],Paper_Reference[[#This Row],[Duplicate Key]])</f>
        <v>1</v>
      </c>
    </row>
    <row r="1395" spans="1:10">
      <c r="A1395" s="7">
        <v>2</v>
      </c>
      <c r="B1395" s="8" t="s">
        <v>5608</v>
      </c>
      <c r="C1395" s="8" t="s">
        <v>5418</v>
      </c>
      <c r="D1395" s="7">
        <v>1</v>
      </c>
      <c r="E1395" s="7">
        <v>10</v>
      </c>
      <c r="F1395" s="7">
        <v>1</v>
      </c>
      <c r="G1395" s="8" t="s">
        <v>5373</v>
      </c>
      <c r="H1395" s="8" t="s">
        <v>5374</v>
      </c>
      <c r="I1395" s="7" t="str">
        <f>_xlfn.CONCAT(Paper_Reference[[#This Row],[Lvl]:[Paper Description]])</f>
        <v>2I48WW975SD520GUN SAVOY WALNUT H/W 60X1441101100WW971-6200GUN SAVOY WALNUT</v>
      </c>
      <c r="J1395" s="7">
        <f>COUNTIF(Paper_Reference[Duplicate Key],Paper_Reference[[#This Row],[Duplicate Key]])</f>
        <v>1</v>
      </c>
    </row>
    <row r="1396" spans="1:10">
      <c r="A1396" s="7">
        <v>3</v>
      </c>
      <c r="B1396" s="8" t="s">
        <v>6178</v>
      </c>
      <c r="C1396" s="8" t="s">
        <v>5717</v>
      </c>
      <c r="D1396" s="7">
        <v>1</v>
      </c>
      <c r="E1396" s="7">
        <v>91</v>
      </c>
      <c r="F1396" s="7">
        <v>1</v>
      </c>
      <c r="G1396" s="8" t="s">
        <v>5690</v>
      </c>
      <c r="H1396" s="8" t="s">
        <v>5691</v>
      </c>
      <c r="I1396" s="7" t="str">
        <f>_xlfn.CONCAT(Paper_Reference[[#This Row],[Lvl]:[Paper Description]])</f>
        <v>3IMAFUKUAPK1IMAFUKU UV TEX/PLATE LANE PACK1911100DS009-6200FROSTY WHITE</v>
      </c>
      <c r="J1396" s="7">
        <f>COUNTIF(Paper_Reference[Duplicate Key],Paper_Reference[[#This Row],[Duplicate Key]])</f>
        <v>1</v>
      </c>
    </row>
    <row r="1397" spans="1:10">
      <c r="A1397" s="7">
        <v>3</v>
      </c>
      <c r="B1397" s="8" t="s">
        <v>6178</v>
      </c>
      <c r="C1397" s="8" t="s">
        <v>5717</v>
      </c>
      <c r="D1397" s="7">
        <v>1</v>
      </c>
      <c r="E1397" s="7">
        <v>91</v>
      </c>
      <c r="F1397" s="7">
        <v>6</v>
      </c>
      <c r="G1397" s="8" t="s">
        <v>6710</v>
      </c>
      <c r="H1397" s="8" t="s">
        <v>5691</v>
      </c>
      <c r="I1397" s="7" t="str">
        <f>_xlfn.CONCAT(Paper_Reference[[#This Row],[Lvl]:[Paper Description]])</f>
        <v>3IMAFUKUAPK1IMAFUKU UV TEX/PLATE LANE PACK1916100DS009-5000FROSTY WHITE</v>
      </c>
      <c r="J1397" s="7">
        <f>COUNTIF(Paper_Reference[Duplicate Key],Paper_Reference[[#This Row],[Duplicate Key]])</f>
        <v>1</v>
      </c>
    </row>
    <row r="1398" spans="1:10">
      <c r="A1398" s="7">
        <v>3</v>
      </c>
      <c r="B1398" s="8" t="s">
        <v>1707</v>
      </c>
      <c r="C1398" s="8" t="s">
        <v>1288</v>
      </c>
      <c r="D1398" s="7">
        <v>1</v>
      </c>
      <c r="E1398" s="7">
        <v>91</v>
      </c>
      <c r="F1398" s="7">
        <v>1</v>
      </c>
      <c r="G1398" s="8" t="s">
        <v>2144</v>
      </c>
      <c r="H1398" s="8" t="s">
        <v>1242</v>
      </c>
      <c r="I1398" s="7" t="str">
        <f>_xlfn.CONCAT(Paper_Reference[[#This Row],[Lvl]:[Paper Description]])</f>
        <v>3IMWM046APPK3DIG WM046 2PK191110000020-6200Premium Inkjet MPK 9653</v>
      </c>
      <c r="J1398" s="7">
        <f>COUNTIF(Paper_Reference[Duplicate Key],Paper_Reference[[#This Row],[Duplicate Key]])</f>
        <v>1</v>
      </c>
    </row>
    <row r="1399" spans="1:10">
      <c r="A1399" s="7">
        <v>3</v>
      </c>
      <c r="B1399" s="8" t="s">
        <v>1707</v>
      </c>
      <c r="C1399" s="8" t="s">
        <v>1288</v>
      </c>
      <c r="D1399" s="7">
        <v>1</v>
      </c>
      <c r="E1399" s="7">
        <v>91</v>
      </c>
      <c r="F1399" s="7">
        <v>2</v>
      </c>
      <c r="G1399" s="8" t="s">
        <v>1241</v>
      </c>
      <c r="H1399" s="8" t="s">
        <v>1242</v>
      </c>
      <c r="I1399" s="7" t="str">
        <f>_xlfn.CONCAT(Paper_Reference[[#This Row],[Lvl]:[Paper Description]])</f>
        <v>3IMWM046APPK3DIG WM046 2PK191210000020-5000Premium Inkjet MPK 9653</v>
      </c>
      <c r="J1399" s="7">
        <f>COUNTIF(Paper_Reference[Duplicate Key],Paper_Reference[[#This Row],[Duplicate Key]])</f>
        <v>1</v>
      </c>
    </row>
    <row r="1400" spans="1:10">
      <c r="A1400" s="7">
        <v>3</v>
      </c>
      <c r="B1400" s="8" t="s">
        <v>1708</v>
      </c>
      <c r="C1400" s="8" t="s">
        <v>1289</v>
      </c>
      <c r="D1400" s="7">
        <v>1</v>
      </c>
      <c r="E1400" s="7">
        <v>91</v>
      </c>
      <c r="F1400" s="7">
        <v>1</v>
      </c>
      <c r="G1400" s="8" t="s">
        <v>2144</v>
      </c>
      <c r="H1400" s="8" t="s">
        <v>1242</v>
      </c>
      <c r="I1400" s="7" t="str">
        <f>_xlfn.CONCAT(Paper_Reference[[#This Row],[Lvl]:[Paper Description]])</f>
        <v>3IMWM046APPK4DIG WM046 45 FT 2LP191110000020-6200Premium Inkjet MPK 9653</v>
      </c>
      <c r="J1400" s="7">
        <f>COUNTIF(Paper_Reference[Duplicate Key],Paper_Reference[[#This Row],[Duplicate Key]])</f>
        <v>1</v>
      </c>
    </row>
    <row r="1401" spans="1:10">
      <c r="A1401" s="7">
        <v>3</v>
      </c>
      <c r="B1401" s="8" t="s">
        <v>1708</v>
      </c>
      <c r="C1401" s="8" t="s">
        <v>1289</v>
      </c>
      <c r="D1401" s="7">
        <v>1</v>
      </c>
      <c r="E1401" s="7">
        <v>91</v>
      </c>
      <c r="F1401" s="7">
        <v>4</v>
      </c>
      <c r="G1401" s="8" t="s">
        <v>1241</v>
      </c>
      <c r="H1401" s="8" t="s">
        <v>1242</v>
      </c>
      <c r="I1401" s="7" t="str">
        <f>_xlfn.CONCAT(Paper_Reference[[#This Row],[Lvl]:[Paper Description]])</f>
        <v>3IMWM046APPK4DIG WM046 45 FT 2LP191410000020-5000Premium Inkjet MPK 9653</v>
      </c>
      <c r="J1401" s="7">
        <f>COUNTIF(Paper_Reference[Duplicate Key],Paper_Reference[[#This Row],[Duplicate Key]])</f>
        <v>1</v>
      </c>
    </row>
    <row r="1402" spans="1:10">
      <c r="A1402" s="7">
        <v>3</v>
      </c>
      <c r="B1402" s="8" t="s">
        <v>1709</v>
      </c>
      <c r="C1402" s="8" t="s">
        <v>1290</v>
      </c>
      <c r="D1402" s="7">
        <v>1</v>
      </c>
      <c r="E1402" s="7">
        <v>91</v>
      </c>
      <c r="F1402" s="7">
        <v>1</v>
      </c>
      <c r="G1402" s="8" t="s">
        <v>1241</v>
      </c>
      <c r="H1402" s="8" t="s">
        <v>1242</v>
      </c>
      <c r="I1402" s="7" t="str">
        <f>_xlfn.CONCAT(Paper_Reference[[#This Row],[Lvl]:[Paper Description]])</f>
        <v>3IMWM046APPK5DIG WM046 LEFT LANE 45 FT PK191110000020-5000Premium Inkjet MPK 9653</v>
      </c>
      <c r="J1402" s="7">
        <f>COUNTIF(Paper_Reference[Duplicate Key],Paper_Reference[[#This Row],[Duplicate Key]])</f>
        <v>1</v>
      </c>
    </row>
    <row r="1403" spans="1:10">
      <c r="A1403" s="7">
        <v>3</v>
      </c>
      <c r="B1403" s="8" t="s">
        <v>1709</v>
      </c>
      <c r="C1403" s="8" t="s">
        <v>1290</v>
      </c>
      <c r="D1403" s="7">
        <v>1</v>
      </c>
      <c r="E1403" s="7">
        <v>91</v>
      </c>
      <c r="F1403" s="7">
        <v>1</v>
      </c>
      <c r="G1403" s="8" t="s">
        <v>2144</v>
      </c>
      <c r="H1403" s="8" t="s">
        <v>1242</v>
      </c>
      <c r="I1403" s="7" t="str">
        <f>_xlfn.CONCAT(Paper_Reference[[#This Row],[Lvl]:[Paper Description]])</f>
        <v>3IMWM046APPK5DIG WM046 LEFT LANE 45 FT PK191110000020-6200Premium Inkjet MPK 9653</v>
      </c>
      <c r="J1403" s="7">
        <f>COUNTIF(Paper_Reference[Duplicate Key],Paper_Reference[[#This Row],[Duplicate Key]])</f>
        <v>1</v>
      </c>
    </row>
    <row r="1404" spans="1:10">
      <c r="A1404" s="7">
        <v>3</v>
      </c>
      <c r="B1404" s="8" t="s">
        <v>517</v>
      </c>
      <c r="C1404" s="8" t="s">
        <v>290</v>
      </c>
      <c r="D1404" s="7">
        <v>1</v>
      </c>
      <c r="E1404" s="7">
        <v>91</v>
      </c>
      <c r="F1404" s="7">
        <v>1</v>
      </c>
      <c r="G1404" s="8" t="s">
        <v>218</v>
      </c>
      <c r="H1404" s="8" t="s">
        <v>426</v>
      </c>
      <c r="I1404" s="7" t="str">
        <f>_xlfn.CONCAT(Paper_Reference[[#This Row],[Lvl]:[Paper Description]])</f>
        <v>3IQBBRUNSPPK1IQ CLASSIC 2-LANE PACK1911100WM311-4300IQ MAPLE LANE LH</v>
      </c>
      <c r="J1404" s="7">
        <f>COUNTIF(Paper_Reference[Duplicate Key],Paper_Reference[[#This Row],[Duplicate Key]])</f>
        <v>1</v>
      </c>
    </row>
    <row r="1405" spans="1:10">
      <c r="A1405" s="7">
        <v>3</v>
      </c>
      <c r="B1405" s="8" t="s">
        <v>517</v>
      </c>
      <c r="C1405" s="8" t="s">
        <v>290</v>
      </c>
      <c r="D1405" s="7">
        <v>1</v>
      </c>
      <c r="E1405" s="7">
        <v>91</v>
      </c>
      <c r="F1405" s="7">
        <v>1</v>
      </c>
      <c r="G1405" s="8" t="s">
        <v>219</v>
      </c>
      <c r="H1405" s="8" t="s">
        <v>427</v>
      </c>
      <c r="I1405" s="7" t="str">
        <f>_xlfn.CONCAT(Paper_Reference[[#This Row],[Lvl]:[Paper Description]])</f>
        <v>3IQBBRUNSPPK1IQ CLASSIC 2-LANE PACK1911100WM321-4300IQ MAPLE LANE RH</v>
      </c>
      <c r="J1405" s="7">
        <f>COUNTIF(Paper_Reference[Duplicate Key],Paper_Reference[[#This Row],[Duplicate Key]])</f>
        <v>1</v>
      </c>
    </row>
    <row r="1406" spans="1:10">
      <c r="A1406" s="7">
        <v>3</v>
      </c>
      <c r="B1406" s="8" t="s">
        <v>517</v>
      </c>
      <c r="C1406" s="8" t="s">
        <v>290</v>
      </c>
      <c r="D1406" s="7">
        <v>1</v>
      </c>
      <c r="E1406" s="7">
        <v>91</v>
      </c>
      <c r="F1406" s="7">
        <v>3</v>
      </c>
      <c r="G1406" s="8" t="s">
        <v>218</v>
      </c>
      <c r="H1406" s="8" t="s">
        <v>426</v>
      </c>
      <c r="I1406" s="7" t="str">
        <f>_xlfn.CONCAT(Paper_Reference[[#This Row],[Lvl]:[Paper Description]])</f>
        <v>3IQBBRUNSPPK1IQ CLASSIC 2-LANE PACK1913100WM311-4300IQ MAPLE LANE LH</v>
      </c>
      <c r="J1406" s="7">
        <f>COUNTIF(Paper_Reference[Duplicate Key],Paper_Reference[[#This Row],[Duplicate Key]])</f>
        <v>1</v>
      </c>
    </row>
    <row r="1407" spans="1:10">
      <c r="A1407" s="7">
        <v>3</v>
      </c>
      <c r="B1407" s="8" t="s">
        <v>517</v>
      </c>
      <c r="C1407" s="8" t="s">
        <v>290</v>
      </c>
      <c r="D1407" s="7">
        <v>1</v>
      </c>
      <c r="E1407" s="7">
        <v>91</v>
      </c>
      <c r="F1407" s="7">
        <v>3</v>
      </c>
      <c r="G1407" s="8" t="s">
        <v>219</v>
      </c>
      <c r="H1407" s="8" t="s">
        <v>427</v>
      </c>
      <c r="I1407" s="7" t="str">
        <f>_xlfn.CONCAT(Paper_Reference[[#This Row],[Lvl]:[Paper Description]])</f>
        <v>3IQBBRUNSPPK1IQ CLASSIC 2-LANE PACK1913100WM321-4300IQ MAPLE LANE RH</v>
      </c>
      <c r="J1407" s="7">
        <f>COUNTIF(Paper_Reference[Duplicate Key],Paper_Reference[[#This Row],[Duplicate Key]])</f>
        <v>1</v>
      </c>
    </row>
    <row r="1408" spans="1:10">
      <c r="A1408" s="7">
        <v>4</v>
      </c>
      <c r="B1408" s="8" t="s">
        <v>517</v>
      </c>
      <c r="C1408" s="8" t="s">
        <v>290</v>
      </c>
      <c r="D1408" s="7">
        <v>1</v>
      </c>
      <c r="E1408" s="7">
        <v>91</v>
      </c>
      <c r="F1408" s="7">
        <v>1</v>
      </c>
      <c r="G1408" s="8" t="s">
        <v>217</v>
      </c>
      <c r="H1408" s="8" t="s">
        <v>3229</v>
      </c>
      <c r="I1408" s="7" t="str">
        <f>_xlfn.CONCAT(Paper_Reference[[#This Row],[Lvl]:[Paper Description]])</f>
        <v>4IQBBRUNSPPK1IQ CLASSIC 2-LANE PACK1911100WM301-6200IQ MAPLE LANE (C) 60 X 144</v>
      </c>
      <c r="J1408" s="7">
        <f>COUNTIF(Paper_Reference[Duplicate Key],Paper_Reference[[#This Row],[Duplicate Key]])</f>
        <v>1</v>
      </c>
    </row>
    <row r="1409" spans="1:10">
      <c r="A1409" s="7">
        <v>4</v>
      </c>
      <c r="B1409" s="8" t="s">
        <v>517</v>
      </c>
      <c r="C1409" s="8" t="s">
        <v>290</v>
      </c>
      <c r="D1409" s="7">
        <v>1</v>
      </c>
      <c r="E1409" s="7">
        <v>91</v>
      </c>
      <c r="F1409" s="7">
        <v>1</v>
      </c>
      <c r="G1409" s="8" t="s">
        <v>217</v>
      </c>
      <c r="H1409" s="8" t="s">
        <v>425</v>
      </c>
      <c r="I1409" s="7" t="str">
        <f>_xlfn.CONCAT(Paper_Reference[[#This Row],[Lvl]:[Paper Description]])</f>
        <v>4IQBBRUNSPPK1IQ CLASSIC 2-LANE PACK1911100WM301-6200IQ MAPLE LANE (CENTER)</v>
      </c>
      <c r="J1409" s="7">
        <f>COUNTIF(Paper_Reference[Duplicate Key],Paper_Reference[[#This Row],[Duplicate Key]])</f>
        <v>1</v>
      </c>
    </row>
    <row r="1410" spans="1:10">
      <c r="A1410" s="7">
        <v>4</v>
      </c>
      <c r="B1410" s="8" t="s">
        <v>517</v>
      </c>
      <c r="C1410" s="8" t="s">
        <v>290</v>
      </c>
      <c r="D1410" s="7">
        <v>1</v>
      </c>
      <c r="E1410" s="7">
        <v>91</v>
      </c>
      <c r="F1410" s="7">
        <v>1</v>
      </c>
      <c r="G1410" s="8" t="s">
        <v>218</v>
      </c>
      <c r="H1410" s="8" t="s">
        <v>426</v>
      </c>
      <c r="I1410" s="7" t="str">
        <f>_xlfn.CONCAT(Paper_Reference[[#This Row],[Lvl]:[Paper Description]])</f>
        <v>4IQBBRUNSPPK1IQ CLASSIC 2-LANE PACK1911100WM311-4300IQ MAPLE LANE LH</v>
      </c>
      <c r="J1410" s="7">
        <f>COUNTIF(Paper_Reference[Duplicate Key],Paper_Reference[[#This Row],[Duplicate Key]])</f>
        <v>1</v>
      </c>
    </row>
    <row r="1411" spans="1:10">
      <c r="A1411" s="7">
        <v>4</v>
      </c>
      <c r="B1411" s="8" t="s">
        <v>517</v>
      </c>
      <c r="C1411" s="8" t="s">
        <v>290</v>
      </c>
      <c r="D1411" s="7">
        <v>1</v>
      </c>
      <c r="E1411" s="7">
        <v>91</v>
      </c>
      <c r="F1411" s="7">
        <v>1</v>
      </c>
      <c r="G1411" s="8" t="s">
        <v>219</v>
      </c>
      <c r="H1411" s="8" t="s">
        <v>427</v>
      </c>
      <c r="I1411" s="7" t="str">
        <f>_xlfn.CONCAT(Paper_Reference[[#This Row],[Lvl]:[Paper Description]])</f>
        <v>4IQBBRUNSPPK1IQ CLASSIC 2-LANE PACK1911100WM321-4300IQ MAPLE LANE RH</v>
      </c>
      <c r="J1411" s="7">
        <f>COUNTIF(Paper_Reference[Duplicate Key],Paper_Reference[[#This Row],[Duplicate Key]])</f>
        <v>1</v>
      </c>
    </row>
    <row r="1412" spans="1:10">
      <c r="A1412" s="7">
        <v>4</v>
      </c>
      <c r="B1412" s="8" t="s">
        <v>518</v>
      </c>
      <c r="C1412" s="8" t="s">
        <v>291</v>
      </c>
      <c r="D1412" s="7">
        <v>1</v>
      </c>
      <c r="E1412" s="7">
        <v>91</v>
      </c>
      <c r="F1412" s="7">
        <v>1</v>
      </c>
      <c r="G1412" s="8" t="s">
        <v>217</v>
      </c>
      <c r="H1412" s="8" t="s">
        <v>3229</v>
      </c>
      <c r="I1412" s="7" t="str">
        <f>_xlfn.CONCAT(Paper_Reference[[#This Row],[Lvl]:[Paper Description]])</f>
        <v>4IQBBRUNSPPK2IQ CLASSIC 5 FT ONLY1911100WM301-6200IQ MAPLE LANE (C) 60 X 144</v>
      </c>
      <c r="J1412" s="7">
        <f>COUNTIF(Paper_Reference[Duplicate Key],Paper_Reference[[#This Row],[Duplicate Key]])</f>
        <v>1</v>
      </c>
    </row>
    <row r="1413" spans="1:10">
      <c r="A1413" s="7">
        <v>4</v>
      </c>
      <c r="B1413" s="8" t="s">
        <v>518</v>
      </c>
      <c r="C1413" s="8" t="s">
        <v>291</v>
      </c>
      <c r="D1413" s="7">
        <v>1</v>
      </c>
      <c r="E1413" s="7">
        <v>91</v>
      </c>
      <c r="F1413" s="7">
        <v>1</v>
      </c>
      <c r="G1413" s="8" t="s">
        <v>217</v>
      </c>
      <c r="H1413" s="8" t="s">
        <v>425</v>
      </c>
      <c r="I1413" s="7" t="str">
        <f>_xlfn.CONCAT(Paper_Reference[[#This Row],[Lvl]:[Paper Description]])</f>
        <v>4IQBBRUNSPPK2IQ CLASSIC 5 FT ONLY1911100WM301-6200IQ MAPLE LANE (CENTER)</v>
      </c>
      <c r="J1413" s="7">
        <f>COUNTIF(Paper_Reference[Duplicate Key],Paper_Reference[[#This Row],[Duplicate Key]])</f>
        <v>1</v>
      </c>
    </row>
    <row r="1414" spans="1:10">
      <c r="A1414" s="7">
        <v>3</v>
      </c>
      <c r="B1414" s="8" t="s">
        <v>593</v>
      </c>
      <c r="C1414" s="8" t="s">
        <v>361</v>
      </c>
      <c r="D1414" s="7">
        <v>1</v>
      </c>
      <c r="E1414" s="7">
        <v>91</v>
      </c>
      <c r="F1414" s="7">
        <v>1</v>
      </c>
      <c r="G1414" s="8" t="s">
        <v>218</v>
      </c>
      <c r="H1414" s="8" t="s">
        <v>426</v>
      </c>
      <c r="I1414" s="7" t="str">
        <f>_xlfn.CONCAT(Paper_Reference[[#This Row],[Lvl]:[Paper Description]])</f>
        <v>3IQBBRUNSPPK3IQ CLASSIC 42 IN. ONLY1911100WM311-4300IQ MAPLE LANE LH</v>
      </c>
      <c r="J1414" s="7">
        <f>COUNTIF(Paper_Reference[Duplicate Key],Paper_Reference[[#This Row],[Duplicate Key]])</f>
        <v>1</v>
      </c>
    </row>
    <row r="1415" spans="1:10">
      <c r="A1415" s="7">
        <v>3</v>
      </c>
      <c r="B1415" s="8" t="s">
        <v>593</v>
      </c>
      <c r="C1415" s="8" t="s">
        <v>361</v>
      </c>
      <c r="D1415" s="7">
        <v>1</v>
      </c>
      <c r="E1415" s="7">
        <v>91</v>
      </c>
      <c r="F1415" s="7">
        <v>1</v>
      </c>
      <c r="G1415" s="8" t="s">
        <v>219</v>
      </c>
      <c r="H1415" s="8" t="s">
        <v>427</v>
      </c>
      <c r="I1415" s="7" t="str">
        <f>_xlfn.CONCAT(Paper_Reference[[#This Row],[Lvl]:[Paper Description]])</f>
        <v>3IQBBRUNSPPK3IQ CLASSIC 42 IN. ONLY1911100WM321-4300IQ MAPLE LANE RH</v>
      </c>
      <c r="J1415" s="7">
        <f>COUNTIF(Paper_Reference[Duplicate Key],Paper_Reference[[#This Row],[Duplicate Key]])</f>
        <v>1</v>
      </c>
    </row>
    <row r="1416" spans="1:10">
      <c r="A1416" s="7">
        <v>3</v>
      </c>
      <c r="B1416" s="8" t="s">
        <v>593</v>
      </c>
      <c r="C1416" s="8" t="s">
        <v>361</v>
      </c>
      <c r="D1416" s="7">
        <v>1</v>
      </c>
      <c r="E1416" s="7">
        <v>91</v>
      </c>
      <c r="F1416" s="7">
        <v>3</v>
      </c>
      <c r="G1416" s="8" t="s">
        <v>218</v>
      </c>
      <c r="H1416" s="8" t="s">
        <v>426</v>
      </c>
      <c r="I1416" s="7" t="str">
        <f>_xlfn.CONCAT(Paper_Reference[[#This Row],[Lvl]:[Paper Description]])</f>
        <v>3IQBBRUNSPPK3IQ CLASSIC 42 IN. ONLY1913100WM311-4300IQ MAPLE LANE LH</v>
      </c>
      <c r="J1416" s="7">
        <f>COUNTIF(Paper_Reference[Duplicate Key],Paper_Reference[[#This Row],[Duplicate Key]])</f>
        <v>1</v>
      </c>
    </row>
    <row r="1417" spans="1:10">
      <c r="A1417" s="7">
        <v>3</v>
      </c>
      <c r="B1417" s="8" t="s">
        <v>593</v>
      </c>
      <c r="C1417" s="8" t="s">
        <v>361</v>
      </c>
      <c r="D1417" s="7">
        <v>1</v>
      </c>
      <c r="E1417" s="7">
        <v>91</v>
      </c>
      <c r="F1417" s="7">
        <v>3</v>
      </c>
      <c r="G1417" s="8" t="s">
        <v>219</v>
      </c>
      <c r="H1417" s="8" t="s">
        <v>427</v>
      </c>
      <c r="I1417" s="7" t="str">
        <f>_xlfn.CONCAT(Paper_Reference[[#This Row],[Lvl]:[Paper Description]])</f>
        <v>3IQBBRUNSPPK3IQ CLASSIC 42 IN. ONLY1913100WM321-4300IQ MAPLE LANE RH</v>
      </c>
      <c r="J1417" s="7">
        <f>COUNTIF(Paper_Reference[Duplicate Key],Paper_Reference[[#This Row],[Duplicate Key]])</f>
        <v>1</v>
      </c>
    </row>
    <row r="1418" spans="1:10">
      <c r="A1418" s="7">
        <v>4</v>
      </c>
      <c r="B1418" s="8" t="s">
        <v>593</v>
      </c>
      <c r="C1418" s="8" t="s">
        <v>361</v>
      </c>
      <c r="D1418" s="7">
        <v>1</v>
      </c>
      <c r="E1418" s="7">
        <v>91</v>
      </c>
      <c r="F1418" s="7">
        <v>1</v>
      </c>
      <c r="G1418" s="8" t="s">
        <v>218</v>
      </c>
      <c r="H1418" s="8" t="s">
        <v>426</v>
      </c>
      <c r="I1418" s="7" t="str">
        <f>_xlfn.CONCAT(Paper_Reference[[#This Row],[Lvl]:[Paper Description]])</f>
        <v>4IQBBRUNSPPK3IQ CLASSIC 42 IN. ONLY1911100WM311-4300IQ MAPLE LANE LH</v>
      </c>
      <c r="J1418" s="7">
        <f>COUNTIF(Paper_Reference[Duplicate Key],Paper_Reference[[#This Row],[Duplicate Key]])</f>
        <v>1</v>
      </c>
    </row>
    <row r="1419" spans="1:10">
      <c r="A1419" s="7">
        <v>4</v>
      </c>
      <c r="B1419" s="8" t="s">
        <v>593</v>
      </c>
      <c r="C1419" s="8" t="s">
        <v>361</v>
      </c>
      <c r="D1419" s="7">
        <v>1</v>
      </c>
      <c r="E1419" s="7">
        <v>91</v>
      </c>
      <c r="F1419" s="7">
        <v>1</v>
      </c>
      <c r="G1419" s="8" t="s">
        <v>219</v>
      </c>
      <c r="H1419" s="8" t="s">
        <v>427</v>
      </c>
      <c r="I1419" s="7" t="str">
        <f>_xlfn.CONCAT(Paper_Reference[[#This Row],[Lvl]:[Paper Description]])</f>
        <v>4IQBBRUNSPPK3IQ CLASSIC 42 IN. ONLY1911100WM321-4300IQ MAPLE LANE RH</v>
      </c>
      <c r="J1419" s="7">
        <f>COUNTIF(Paper_Reference[Duplicate Key],Paper_Reference[[#This Row],[Duplicate Key]])</f>
        <v>1</v>
      </c>
    </row>
    <row r="1420" spans="1:10">
      <c r="A1420" s="7">
        <v>3</v>
      </c>
      <c r="B1420" s="8" t="s">
        <v>594</v>
      </c>
      <c r="C1420" s="8" t="s">
        <v>362</v>
      </c>
      <c r="D1420" s="7">
        <v>1</v>
      </c>
      <c r="E1420" s="7">
        <v>91</v>
      </c>
      <c r="F1420" s="7">
        <v>3</v>
      </c>
      <c r="G1420" s="8" t="s">
        <v>218</v>
      </c>
      <c r="H1420" s="8" t="s">
        <v>426</v>
      </c>
      <c r="I1420" s="7" t="str">
        <f>_xlfn.CONCAT(Paper_Reference[[#This Row],[Lvl]:[Paper Description]])</f>
        <v>3IQBBRUNSPPK4IQ CLASSIC LANE ONLY PACK1913100WM311-4300IQ MAPLE LANE LH</v>
      </c>
      <c r="J1420" s="7">
        <f>COUNTIF(Paper_Reference[Duplicate Key],Paper_Reference[[#This Row],[Duplicate Key]])</f>
        <v>1</v>
      </c>
    </row>
    <row r="1421" spans="1:10">
      <c r="A1421" s="7">
        <v>3</v>
      </c>
      <c r="B1421" s="8" t="s">
        <v>594</v>
      </c>
      <c r="C1421" s="8" t="s">
        <v>362</v>
      </c>
      <c r="D1421" s="7">
        <v>1</v>
      </c>
      <c r="E1421" s="7">
        <v>91</v>
      </c>
      <c r="F1421" s="7">
        <v>3</v>
      </c>
      <c r="G1421" s="8" t="s">
        <v>219</v>
      </c>
      <c r="H1421" s="8" t="s">
        <v>427</v>
      </c>
      <c r="I1421" s="7" t="str">
        <f>_xlfn.CONCAT(Paper_Reference[[#This Row],[Lvl]:[Paper Description]])</f>
        <v>3IQBBRUNSPPK4IQ CLASSIC LANE ONLY PACK1913100WM321-4300IQ MAPLE LANE RH</v>
      </c>
      <c r="J1421" s="7">
        <f>COUNTIF(Paper_Reference[Duplicate Key],Paper_Reference[[#This Row],[Duplicate Key]])</f>
        <v>1</v>
      </c>
    </row>
    <row r="1422" spans="1:10">
      <c r="A1422" s="7">
        <v>4</v>
      </c>
      <c r="B1422" s="8" t="s">
        <v>594</v>
      </c>
      <c r="C1422" s="8" t="s">
        <v>362</v>
      </c>
      <c r="D1422" s="7">
        <v>1</v>
      </c>
      <c r="E1422" s="7">
        <v>91</v>
      </c>
      <c r="F1422" s="7">
        <v>1</v>
      </c>
      <c r="G1422" s="8" t="s">
        <v>218</v>
      </c>
      <c r="H1422" s="8" t="s">
        <v>426</v>
      </c>
      <c r="I1422" s="7" t="str">
        <f>_xlfn.CONCAT(Paper_Reference[[#This Row],[Lvl]:[Paper Description]])</f>
        <v>4IQBBRUNSPPK4IQ CLASSIC LANE ONLY PACK1911100WM311-4300IQ MAPLE LANE LH</v>
      </c>
      <c r="J1422" s="7">
        <f>COUNTIF(Paper_Reference[Duplicate Key],Paper_Reference[[#This Row],[Duplicate Key]])</f>
        <v>1</v>
      </c>
    </row>
    <row r="1423" spans="1:10">
      <c r="A1423" s="7">
        <v>4</v>
      </c>
      <c r="B1423" s="8" t="s">
        <v>594</v>
      </c>
      <c r="C1423" s="8" t="s">
        <v>362</v>
      </c>
      <c r="D1423" s="7">
        <v>1</v>
      </c>
      <c r="E1423" s="7">
        <v>91</v>
      </c>
      <c r="F1423" s="7">
        <v>1</v>
      </c>
      <c r="G1423" s="8" t="s">
        <v>219</v>
      </c>
      <c r="H1423" s="8" t="s">
        <v>427</v>
      </c>
      <c r="I1423" s="7" t="str">
        <f>_xlfn.CONCAT(Paper_Reference[[#This Row],[Lvl]:[Paper Description]])</f>
        <v>4IQBBRUNSPPK4IQ CLASSIC LANE ONLY PACK1911100WM321-4300IQ MAPLE LANE RH</v>
      </c>
      <c r="J1423" s="7">
        <f>COUNTIF(Paper_Reference[Duplicate Key],Paper_Reference[[#This Row],[Duplicate Key]])</f>
        <v>1</v>
      </c>
    </row>
    <row r="1424" spans="1:10">
      <c r="A1424" s="7">
        <v>4</v>
      </c>
      <c r="B1424" s="8" t="s">
        <v>595</v>
      </c>
      <c r="C1424" s="8" t="s">
        <v>363</v>
      </c>
      <c r="D1424" s="7">
        <v>1</v>
      </c>
      <c r="E1424" s="7">
        <v>91</v>
      </c>
      <c r="F1424" s="7">
        <v>1</v>
      </c>
      <c r="G1424" s="8" t="s">
        <v>218</v>
      </c>
      <c r="H1424" s="8" t="s">
        <v>426</v>
      </c>
      <c r="I1424" s="7" t="str">
        <f>_xlfn.CONCAT(Paper_Reference[[#This Row],[Lvl]:[Paper Description]])</f>
        <v>4IQBBRUNSPPK8IQ CLASSIC HEAD ONLY PACK1911100WM311-4300IQ MAPLE LANE LH</v>
      </c>
      <c r="J1424" s="7">
        <f>COUNTIF(Paper_Reference[Duplicate Key],Paper_Reference[[#This Row],[Duplicate Key]])</f>
        <v>1</v>
      </c>
    </row>
    <row r="1425" spans="1:10">
      <c r="A1425" s="7">
        <v>4</v>
      </c>
      <c r="B1425" s="8" t="s">
        <v>595</v>
      </c>
      <c r="C1425" s="8" t="s">
        <v>363</v>
      </c>
      <c r="D1425" s="7">
        <v>1</v>
      </c>
      <c r="E1425" s="7">
        <v>91</v>
      </c>
      <c r="F1425" s="7">
        <v>1</v>
      </c>
      <c r="G1425" s="8" t="s">
        <v>219</v>
      </c>
      <c r="H1425" s="8" t="s">
        <v>427</v>
      </c>
      <c r="I1425" s="7" t="str">
        <f>_xlfn.CONCAT(Paper_Reference[[#This Row],[Lvl]:[Paper Description]])</f>
        <v>4IQBBRUNSPPK8IQ CLASSIC HEAD ONLY PACK1911100WM321-4300IQ MAPLE LANE RH</v>
      </c>
      <c r="J1425" s="7">
        <f>COUNTIF(Paper_Reference[Duplicate Key],Paper_Reference[[#This Row],[Duplicate Key]])</f>
        <v>1</v>
      </c>
    </row>
    <row r="1426" spans="1:10">
      <c r="A1426" s="7">
        <v>3</v>
      </c>
      <c r="B1426" s="8" t="s">
        <v>519</v>
      </c>
      <c r="C1426" s="8" t="s">
        <v>292</v>
      </c>
      <c r="D1426" s="7">
        <v>1</v>
      </c>
      <c r="E1426" s="7">
        <v>91</v>
      </c>
      <c r="F1426" s="7">
        <v>1</v>
      </c>
      <c r="G1426" s="8" t="s">
        <v>218</v>
      </c>
      <c r="H1426" s="8" t="s">
        <v>426</v>
      </c>
      <c r="I1426" s="7" t="str">
        <f>_xlfn.CONCAT(Paper_Reference[[#This Row],[Lvl]:[Paper Description]])</f>
        <v>3IQGLOWSSPPK1IQ UV CLASSIC 2-LANE PACK1911100WM311-4300IQ MAPLE LANE LH</v>
      </c>
      <c r="J1426" s="7">
        <f>COUNTIF(Paper_Reference[Duplicate Key],Paper_Reference[[#This Row],[Duplicate Key]])</f>
        <v>1</v>
      </c>
    </row>
    <row r="1427" spans="1:10">
      <c r="A1427" s="7">
        <v>3</v>
      </c>
      <c r="B1427" s="8" t="s">
        <v>519</v>
      </c>
      <c r="C1427" s="8" t="s">
        <v>292</v>
      </c>
      <c r="D1427" s="7">
        <v>1</v>
      </c>
      <c r="E1427" s="7">
        <v>91</v>
      </c>
      <c r="F1427" s="7">
        <v>1</v>
      </c>
      <c r="G1427" s="8" t="s">
        <v>219</v>
      </c>
      <c r="H1427" s="8" t="s">
        <v>427</v>
      </c>
      <c r="I1427" s="7" t="str">
        <f>_xlfn.CONCAT(Paper_Reference[[#This Row],[Lvl]:[Paper Description]])</f>
        <v>3IQGLOWSSPPK1IQ UV CLASSIC 2-LANE PACK1911100WM321-4300IQ MAPLE LANE RH</v>
      </c>
      <c r="J1427" s="7">
        <f>COUNTIF(Paper_Reference[Duplicate Key],Paper_Reference[[#This Row],[Duplicate Key]])</f>
        <v>1</v>
      </c>
    </row>
    <row r="1428" spans="1:10">
      <c r="A1428" s="7">
        <v>3</v>
      </c>
      <c r="B1428" s="8" t="s">
        <v>519</v>
      </c>
      <c r="C1428" s="8" t="s">
        <v>292</v>
      </c>
      <c r="D1428" s="7">
        <v>1</v>
      </c>
      <c r="E1428" s="7">
        <v>91</v>
      </c>
      <c r="F1428" s="7">
        <v>3</v>
      </c>
      <c r="G1428" s="8" t="s">
        <v>218</v>
      </c>
      <c r="H1428" s="8" t="s">
        <v>426</v>
      </c>
      <c r="I1428" s="7" t="str">
        <f>_xlfn.CONCAT(Paper_Reference[[#This Row],[Lvl]:[Paper Description]])</f>
        <v>3IQGLOWSSPPK1IQ UV CLASSIC 2-LANE PACK1913100WM311-4300IQ MAPLE LANE LH</v>
      </c>
      <c r="J1428" s="7">
        <f>COUNTIF(Paper_Reference[Duplicate Key],Paper_Reference[[#This Row],[Duplicate Key]])</f>
        <v>1</v>
      </c>
    </row>
    <row r="1429" spans="1:10">
      <c r="A1429" s="7">
        <v>3</v>
      </c>
      <c r="B1429" s="8" t="s">
        <v>519</v>
      </c>
      <c r="C1429" s="8" t="s">
        <v>292</v>
      </c>
      <c r="D1429" s="7">
        <v>1</v>
      </c>
      <c r="E1429" s="7">
        <v>91</v>
      </c>
      <c r="F1429" s="7">
        <v>3</v>
      </c>
      <c r="G1429" s="8" t="s">
        <v>219</v>
      </c>
      <c r="H1429" s="8" t="s">
        <v>427</v>
      </c>
      <c r="I1429" s="7" t="str">
        <f>_xlfn.CONCAT(Paper_Reference[[#This Row],[Lvl]:[Paper Description]])</f>
        <v>3IQGLOWSSPPK1IQ UV CLASSIC 2-LANE PACK1913100WM321-4300IQ MAPLE LANE RH</v>
      </c>
      <c r="J1429" s="7">
        <f>COUNTIF(Paper_Reference[Duplicate Key],Paper_Reference[[#This Row],[Duplicate Key]])</f>
        <v>1</v>
      </c>
    </row>
    <row r="1430" spans="1:10">
      <c r="A1430" s="7">
        <v>4</v>
      </c>
      <c r="B1430" s="8" t="s">
        <v>519</v>
      </c>
      <c r="C1430" s="8" t="s">
        <v>292</v>
      </c>
      <c r="D1430" s="7">
        <v>1</v>
      </c>
      <c r="E1430" s="7">
        <v>91</v>
      </c>
      <c r="F1430" s="7">
        <v>1</v>
      </c>
      <c r="G1430" s="8" t="s">
        <v>217</v>
      </c>
      <c r="H1430" s="8" t="s">
        <v>3229</v>
      </c>
      <c r="I1430" s="7" t="str">
        <f>_xlfn.CONCAT(Paper_Reference[[#This Row],[Lvl]:[Paper Description]])</f>
        <v>4IQGLOWSSPPK1IQ UV CLASSIC 2-LANE PACK1911100WM301-6200IQ MAPLE LANE (C) 60 X 144</v>
      </c>
      <c r="J1430" s="7">
        <f>COUNTIF(Paper_Reference[Duplicate Key],Paper_Reference[[#This Row],[Duplicate Key]])</f>
        <v>1</v>
      </c>
    </row>
    <row r="1431" spans="1:10">
      <c r="A1431" s="7">
        <v>4</v>
      </c>
      <c r="B1431" s="8" t="s">
        <v>519</v>
      </c>
      <c r="C1431" s="8" t="s">
        <v>292</v>
      </c>
      <c r="D1431" s="7">
        <v>1</v>
      </c>
      <c r="E1431" s="7">
        <v>91</v>
      </c>
      <c r="F1431" s="7">
        <v>1</v>
      </c>
      <c r="G1431" s="8" t="s">
        <v>217</v>
      </c>
      <c r="H1431" s="8" t="s">
        <v>425</v>
      </c>
      <c r="I1431" s="7" t="str">
        <f>_xlfn.CONCAT(Paper_Reference[[#This Row],[Lvl]:[Paper Description]])</f>
        <v>4IQGLOWSSPPK1IQ UV CLASSIC 2-LANE PACK1911100WM301-6200IQ MAPLE LANE (CENTER)</v>
      </c>
      <c r="J1431" s="7">
        <f>COUNTIF(Paper_Reference[Duplicate Key],Paper_Reference[[#This Row],[Duplicate Key]])</f>
        <v>1</v>
      </c>
    </row>
    <row r="1432" spans="1:10">
      <c r="A1432" s="7">
        <v>4</v>
      </c>
      <c r="B1432" s="8" t="s">
        <v>519</v>
      </c>
      <c r="C1432" s="8" t="s">
        <v>292</v>
      </c>
      <c r="D1432" s="7">
        <v>1</v>
      </c>
      <c r="E1432" s="7">
        <v>91</v>
      </c>
      <c r="F1432" s="7">
        <v>1</v>
      </c>
      <c r="G1432" s="8" t="s">
        <v>218</v>
      </c>
      <c r="H1432" s="8" t="s">
        <v>426</v>
      </c>
      <c r="I1432" s="7" t="str">
        <f>_xlfn.CONCAT(Paper_Reference[[#This Row],[Lvl]:[Paper Description]])</f>
        <v>4IQGLOWSSPPK1IQ UV CLASSIC 2-LANE PACK1911100WM311-4300IQ MAPLE LANE LH</v>
      </c>
      <c r="J1432" s="7">
        <f>COUNTIF(Paper_Reference[Duplicate Key],Paper_Reference[[#This Row],[Duplicate Key]])</f>
        <v>1</v>
      </c>
    </row>
    <row r="1433" spans="1:10">
      <c r="A1433" s="7">
        <v>4</v>
      </c>
      <c r="B1433" s="8" t="s">
        <v>519</v>
      </c>
      <c r="C1433" s="8" t="s">
        <v>292</v>
      </c>
      <c r="D1433" s="7">
        <v>1</v>
      </c>
      <c r="E1433" s="7">
        <v>91</v>
      </c>
      <c r="F1433" s="7">
        <v>1</v>
      </c>
      <c r="G1433" s="8" t="s">
        <v>219</v>
      </c>
      <c r="H1433" s="8" t="s">
        <v>427</v>
      </c>
      <c r="I1433" s="7" t="str">
        <f>_xlfn.CONCAT(Paper_Reference[[#This Row],[Lvl]:[Paper Description]])</f>
        <v>4IQGLOWSSPPK1IQ UV CLASSIC 2-LANE PACK1911100WM321-4300IQ MAPLE LANE RH</v>
      </c>
      <c r="J1433" s="7">
        <f>COUNTIF(Paper_Reference[Duplicate Key],Paper_Reference[[#This Row],[Duplicate Key]])</f>
        <v>1</v>
      </c>
    </row>
    <row r="1434" spans="1:10">
      <c r="A1434" s="7">
        <v>3</v>
      </c>
      <c r="B1434" s="8" t="s">
        <v>596</v>
      </c>
      <c r="C1434" s="8" t="s">
        <v>364</v>
      </c>
      <c r="D1434" s="7">
        <v>1</v>
      </c>
      <c r="E1434" s="7">
        <v>91</v>
      </c>
      <c r="F1434" s="7">
        <v>3</v>
      </c>
      <c r="G1434" s="8" t="s">
        <v>218</v>
      </c>
      <c r="H1434" s="8" t="s">
        <v>426</v>
      </c>
      <c r="I1434" s="7" t="str">
        <f>_xlfn.CONCAT(Paper_Reference[[#This Row],[Lvl]:[Paper Description]])</f>
        <v>3IQGLOWSSPPK4IQ UV CLASSIC LANE ONLY PACK1913100WM311-4300IQ MAPLE LANE LH</v>
      </c>
      <c r="J1434" s="7">
        <f>COUNTIF(Paper_Reference[Duplicate Key],Paper_Reference[[#This Row],[Duplicate Key]])</f>
        <v>1</v>
      </c>
    </row>
    <row r="1435" spans="1:10">
      <c r="A1435" s="7">
        <v>3</v>
      </c>
      <c r="B1435" s="8" t="s">
        <v>596</v>
      </c>
      <c r="C1435" s="8" t="s">
        <v>364</v>
      </c>
      <c r="D1435" s="7">
        <v>1</v>
      </c>
      <c r="E1435" s="7">
        <v>91</v>
      </c>
      <c r="F1435" s="7">
        <v>3</v>
      </c>
      <c r="G1435" s="8" t="s">
        <v>219</v>
      </c>
      <c r="H1435" s="8" t="s">
        <v>427</v>
      </c>
      <c r="I1435" s="7" t="str">
        <f>_xlfn.CONCAT(Paper_Reference[[#This Row],[Lvl]:[Paper Description]])</f>
        <v>3IQGLOWSSPPK4IQ UV CLASSIC LANE ONLY PACK1913100WM321-4300IQ MAPLE LANE RH</v>
      </c>
      <c r="J1435" s="7">
        <f>COUNTIF(Paper_Reference[Duplicate Key],Paper_Reference[[#This Row],[Duplicate Key]])</f>
        <v>1</v>
      </c>
    </row>
    <row r="1436" spans="1:10">
      <c r="A1436" s="7">
        <v>4</v>
      </c>
      <c r="B1436" s="8" t="s">
        <v>596</v>
      </c>
      <c r="C1436" s="8" t="s">
        <v>364</v>
      </c>
      <c r="D1436" s="7">
        <v>1</v>
      </c>
      <c r="E1436" s="7">
        <v>91</v>
      </c>
      <c r="F1436" s="7">
        <v>1</v>
      </c>
      <c r="G1436" s="8" t="s">
        <v>218</v>
      </c>
      <c r="H1436" s="8" t="s">
        <v>426</v>
      </c>
      <c r="I1436" s="7" t="str">
        <f>_xlfn.CONCAT(Paper_Reference[[#This Row],[Lvl]:[Paper Description]])</f>
        <v>4IQGLOWSSPPK4IQ UV CLASSIC LANE ONLY PACK1911100WM311-4300IQ MAPLE LANE LH</v>
      </c>
      <c r="J1436" s="7">
        <f>COUNTIF(Paper_Reference[Duplicate Key],Paper_Reference[[#This Row],[Duplicate Key]])</f>
        <v>1</v>
      </c>
    </row>
    <row r="1437" spans="1:10">
      <c r="A1437" s="7">
        <v>4</v>
      </c>
      <c r="B1437" s="8" t="s">
        <v>596</v>
      </c>
      <c r="C1437" s="8" t="s">
        <v>364</v>
      </c>
      <c r="D1437" s="7">
        <v>1</v>
      </c>
      <c r="E1437" s="7">
        <v>91</v>
      </c>
      <c r="F1437" s="7">
        <v>1</v>
      </c>
      <c r="G1437" s="8" t="s">
        <v>219</v>
      </c>
      <c r="H1437" s="8" t="s">
        <v>427</v>
      </c>
      <c r="I1437" s="7" t="str">
        <f>_xlfn.CONCAT(Paper_Reference[[#This Row],[Lvl]:[Paper Description]])</f>
        <v>4IQGLOWSSPPK4IQ UV CLASSIC LANE ONLY PACK1911100WM321-4300IQ MAPLE LANE RH</v>
      </c>
      <c r="J1437" s="7">
        <f>COUNTIF(Paper_Reference[Duplicate Key],Paper_Reference[[#This Row],[Duplicate Key]])</f>
        <v>1</v>
      </c>
    </row>
    <row r="1438" spans="1:10">
      <c r="A1438" s="7">
        <v>3</v>
      </c>
      <c r="B1438" s="8" t="s">
        <v>520</v>
      </c>
      <c r="C1438" s="8" t="s">
        <v>293</v>
      </c>
      <c r="D1438" s="7">
        <v>1</v>
      </c>
      <c r="E1438" s="7">
        <v>91</v>
      </c>
      <c r="F1438" s="7">
        <v>1</v>
      </c>
      <c r="G1438" s="8" t="s">
        <v>218</v>
      </c>
      <c r="H1438" s="8" t="s">
        <v>426</v>
      </c>
      <c r="I1438" s="7" t="str">
        <f>_xlfn.CONCAT(Paper_Reference[[#This Row],[Lvl]:[Paper Description]])</f>
        <v>3IQGLOWSSPPK7IQ UV TEX CLASSIC 2-LANE PACK1911100WM311-4300IQ MAPLE LANE LH</v>
      </c>
      <c r="J1438" s="7">
        <f>COUNTIF(Paper_Reference[Duplicate Key],Paper_Reference[[#This Row],[Duplicate Key]])</f>
        <v>1</v>
      </c>
    </row>
    <row r="1439" spans="1:10">
      <c r="A1439" s="7">
        <v>3</v>
      </c>
      <c r="B1439" s="8" t="s">
        <v>520</v>
      </c>
      <c r="C1439" s="8" t="s">
        <v>293</v>
      </c>
      <c r="D1439" s="7">
        <v>1</v>
      </c>
      <c r="E1439" s="7">
        <v>91</v>
      </c>
      <c r="F1439" s="7">
        <v>1</v>
      </c>
      <c r="G1439" s="8" t="s">
        <v>219</v>
      </c>
      <c r="H1439" s="8" t="s">
        <v>427</v>
      </c>
      <c r="I1439" s="7" t="str">
        <f>_xlfn.CONCAT(Paper_Reference[[#This Row],[Lvl]:[Paper Description]])</f>
        <v>3IQGLOWSSPPK7IQ UV TEX CLASSIC 2-LANE PACK1911100WM321-4300IQ MAPLE LANE RH</v>
      </c>
      <c r="J1439" s="7">
        <f>COUNTIF(Paper_Reference[Duplicate Key],Paper_Reference[[#This Row],[Duplicate Key]])</f>
        <v>1</v>
      </c>
    </row>
    <row r="1440" spans="1:10">
      <c r="A1440" s="7">
        <v>3</v>
      </c>
      <c r="B1440" s="8" t="s">
        <v>520</v>
      </c>
      <c r="C1440" s="8" t="s">
        <v>293</v>
      </c>
      <c r="D1440" s="7">
        <v>1</v>
      </c>
      <c r="E1440" s="7">
        <v>91</v>
      </c>
      <c r="F1440" s="7">
        <v>3</v>
      </c>
      <c r="G1440" s="8" t="s">
        <v>218</v>
      </c>
      <c r="H1440" s="8" t="s">
        <v>426</v>
      </c>
      <c r="I1440" s="7" t="str">
        <f>_xlfn.CONCAT(Paper_Reference[[#This Row],[Lvl]:[Paper Description]])</f>
        <v>3IQGLOWSSPPK7IQ UV TEX CLASSIC 2-LANE PACK1913100WM311-4300IQ MAPLE LANE LH</v>
      </c>
      <c r="J1440" s="7">
        <f>COUNTIF(Paper_Reference[Duplicate Key],Paper_Reference[[#This Row],[Duplicate Key]])</f>
        <v>1</v>
      </c>
    </row>
    <row r="1441" spans="1:10">
      <c r="A1441" s="7">
        <v>3</v>
      </c>
      <c r="B1441" s="8" t="s">
        <v>520</v>
      </c>
      <c r="C1441" s="8" t="s">
        <v>293</v>
      </c>
      <c r="D1441" s="7">
        <v>1</v>
      </c>
      <c r="E1441" s="7">
        <v>91</v>
      </c>
      <c r="F1441" s="7">
        <v>3</v>
      </c>
      <c r="G1441" s="8" t="s">
        <v>219</v>
      </c>
      <c r="H1441" s="8" t="s">
        <v>427</v>
      </c>
      <c r="I1441" s="7" t="str">
        <f>_xlfn.CONCAT(Paper_Reference[[#This Row],[Lvl]:[Paper Description]])</f>
        <v>3IQGLOWSSPPK7IQ UV TEX CLASSIC 2-LANE PACK1913100WM321-4300IQ MAPLE LANE RH</v>
      </c>
      <c r="J1441" s="7">
        <f>COUNTIF(Paper_Reference[Duplicate Key],Paper_Reference[[#This Row],[Duplicate Key]])</f>
        <v>1</v>
      </c>
    </row>
    <row r="1442" spans="1:10">
      <c r="A1442" s="7">
        <v>4</v>
      </c>
      <c r="B1442" s="8" t="s">
        <v>520</v>
      </c>
      <c r="C1442" s="8" t="s">
        <v>293</v>
      </c>
      <c r="D1442" s="7">
        <v>1</v>
      </c>
      <c r="E1442" s="7">
        <v>91</v>
      </c>
      <c r="F1442" s="7">
        <v>1</v>
      </c>
      <c r="G1442" s="8" t="s">
        <v>217</v>
      </c>
      <c r="H1442" s="8" t="s">
        <v>3229</v>
      </c>
      <c r="I1442" s="7" t="str">
        <f>_xlfn.CONCAT(Paper_Reference[[#This Row],[Lvl]:[Paper Description]])</f>
        <v>4IQGLOWSSPPK7IQ UV TEX CLASSIC 2-LANE PACK1911100WM301-6200IQ MAPLE LANE (C) 60 X 144</v>
      </c>
      <c r="J1442" s="7">
        <f>COUNTIF(Paper_Reference[Duplicate Key],Paper_Reference[[#This Row],[Duplicate Key]])</f>
        <v>1</v>
      </c>
    </row>
    <row r="1443" spans="1:10">
      <c r="A1443" s="7">
        <v>4</v>
      </c>
      <c r="B1443" s="8" t="s">
        <v>520</v>
      </c>
      <c r="C1443" s="8" t="s">
        <v>293</v>
      </c>
      <c r="D1443" s="7">
        <v>1</v>
      </c>
      <c r="E1443" s="7">
        <v>91</v>
      </c>
      <c r="F1443" s="7">
        <v>1</v>
      </c>
      <c r="G1443" s="8" t="s">
        <v>217</v>
      </c>
      <c r="H1443" s="8" t="s">
        <v>425</v>
      </c>
      <c r="I1443" s="7" t="str">
        <f>_xlfn.CONCAT(Paper_Reference[[#This Row],[Lvl]:[Paper Description]])</f>
        <v>4IQGLOWSSPPK7IQ UV TEX CLASSIC 2-LANE PACK1911100WM301-6200IQ MAPLE LANE (CENTER)</v>
      </c>
      <c r="J1443" s="7">
        <f>COUNTIF(Paper_Reference[Duplicate Key],Paper_Reference[[#This Row],[Duplicate Key]])</f>
        <v>1</v>
      </c>
    </row>
    <row r="1444" spans="1:10">
      <c r="A1444" s="7">
        <v>4</v>
      </c>
      <c r="B1444" s="8" t="s">
        <v>520</v>
      </c>
      <c r="C1444" s="8" t="s">
        <v>293</v>
      </c>
      <c r="D1444" s="7">
        <v>1</v>
      </c>
      <c r="E1444" s="7">
        <v>91</v>
      </c>
      <c r="F1444" s="7">
        <v>1</v>
      </c>
      <c r="G1444" s="8" t="s">
        <v>218</v>
      </c>
      <c r="H1444" s="8" t="s">
        <v>426</v>
      </c>
      <c r="I1444" s="7" t="str">
        <f>_xlfn.CONCAT(Paper_Reference[[#This Row],[Lvl]:[Paper Description]])</f>
        <v>4IQGLOWSSPPK7IQ UV TEX CLASSIC 2-LANE PACK1911100WM311-4300IQ MAPLE LANE LH</v>
      </c>
      <c r="J1444" s="7">
        <f>COUNTIF(Paper_Reference[Duplicate Key],Paper_Reference[[#This Row],[Duplicate Key]])</f>
        <v>1</v>
      </c>
    </row>
    <row r="1445" spans="1:10">
      <c r="A1445" s="7">
        <v>4</v>
      </c>
      <c r="B1445" s="8" t="s">
        <v>520</v>
      </c>
      <c r="C1445" s="8" t="s">
        <v>293</v>
      </c>
      <c r="D1445" s="7">
        <v>1</v>
      </c>
      <c r="E1445" s="7">
        <v>91</v>
      </c>
      <c r="F1445" s="7">
        <v>1</v>
      </c>
      <c r="G1445" s="8" t="s">
        <v>219</v>
      </c>
      <c r="H1445" s="8" t="s">
        <v>427</v>
      </c>
      <c r="I1445" s="7" t="str">
        <f>_xlfn.CONCAT(Paper_Reference[[#This Row],[Lvl]:[Paper Description]])</f>
        <v>4IQGLOWSSPPK7IQ UV TEX CLASSIC 2-LANE PACK1911100WM321-4300IQ MAPLE LANE RH</v>
      </c>
      <c r="J1445" s="7">
        <f>COUNTIF(Paper_Reference[Duplicate Key],Paper_Reference[[#This Row],[Duplicate Key]])</f>
        <v>1</v>
      </c>
    </row>
    <row r="1446" spans="1:10">
      <c r="A1446" s="7">
        <v>4</v>
      </c>
      <c r="B1446" s="8" t="s">
        <v>597</v>
      </c>
      <c r="C1446" s="8" t="s">
        <v>365</v>
      </c>
      <c r="D1446" s="7">
        <v>1</v>
      </c>
      <c r="E1446" s="7">
        <v>91</v>
      </c>
      <c r="F1446" s="7">
        <v>1</v>
      </c>
      <c r="G1446" s="8" t="s">
        <v>218</v>
      </c>
      <c r="H1446" s="8" t="s">
        <v>426</v>
      </c>
      <c r="I1446" s="7" t="str">
        <f>_xlfn.CONCAT(Paper_Reference[[#This Row],[Lvl]:[Paper Description]])</f>
        <v>4IQGLOWSSPPK8IQ UV CLASSIC HEAD ONLY PACK1911100WM311-4300IQ MAPLE LANE LH</v>
      </c>
      <c r="J1446" s="7">
        <f>COUNTIF(Paper_Reference[Duplicate Key],Paper_Reference[[#This Row],[Duplicate Key]])</f>
        <v>1</v>
      </c>
    </row>
    <row r="1447" spans="1:10">
      <c r="A1447" s="7">
        <v>4</v>
      </c>
      <c r="B1447" s="8" t="s">
        <v>597</v>
      </c>
      <c r="C1447" s="8" t="s">
        <v>365</v>
      </c>
      <c r="D1447" s="7">
        <v>1</v>
      </c>
      <c r="E1447" s="7">
        <v>91</v>
      </c>
      <c r="F1447" s="7">
        <v>1</v>
      </c>
      <c r="G1447" s="8" t="s">
        <v>219</v>
      </c>
      <c r="H1447" s="8" t="s">
        <v>427</v>
      </c>
      <c r="I1447" s="7" t="str">
        <f>_xlfn.CONCAT(Paper_Reference[[#This Row],[Lvl]:[Paper Description]])</f>
        <v>4IQGLOWSSPPK8IQ UV CLASSIC HEAD ONLY PACK1911100WM321-4300IQ MAPLE LANE RH</v>
      </c>
      <c r="J1447" s="7">
        <f>COUNTIF(Paper_Reference[Duplicate Key],Paper_Reference[[#This Row],[Duplicate Key]])</f>
        <v>1</v>
      </c>
    </row>
    <row r="1448" spans="1:10">
      <c r="A1448" s="7">
        <v>4</v>
      </c>
      <c r="B1448" s="8" t="s">
        <v>8566</v>
      </c>
      <c r="C1448" s="8" t="s">
        <v>8358</v>
      </c>
      <c r="D1448" s="7">
        <v>1</v>
      </c>
      <c r="E1448" s="7">
        <v>91</v>
      </c>
      <c r="F1448" s="7">
        <v>1</v>
      </c>
      <c r="G1448" s="8" t="s">
        <v>8302</v>
      </c>
      <c r="H1448" s="8" t="s">
        <v>8303</v>
      </c>
      <c r="I1448" s="7" t="str">
        <f>_xlfn.CONCAT(Paper_Reference[[#This Row],[Lvl]:[Paper Description]])</f>
        <v>4IWSW813APPK1ICE WHITE UV 2 LANE PK1911100SW813-6200ICE WHITE</v>
      </c>
      <c r="J1448" s="7">
        <f>COUNTIF(Paper_Reference[Duplicate Key],Paper_Reference[[#This Row],[Duplicate Key]])</f>
        <v>1</v>
      </c>
    </row>
    <row r="1449" spans="1:10">
      <c r="A1449" s="7">
        <v>3</v>
      </c>
      <c r="B1449" s="8" t="s">
        <v>8567</v>
      </c>
      <c r="C1449" s="8" t="s">
        <v>8359</v>
      </c>
      <c r="D1449" s="7">
        <v>1</v>
      </c>
      <c r="E1449" s="7">
        <v>91</v>
      </c>
      <c r="F1449" s="7">
        <v>1</v>
      </c>
      <c r="G1449" s="8" t="s">
        <v>8302</v>
      </c>
      <c r="H1449" s="8" t="s">
        <v>8303</v>
      </c>
      <c r="I1449" s="7" t="str">
        <f>_xlfn.CONCAT(Paper_Reference[[#This Row],[Lvl]:[Paper Description]])</f>
        <v>3IWSW813APPK2ICE WHITE PRO UV PK1911100SW813-6200ICE WHITE</v>
      </c>
      <c r="J1449" s="7">
        <f>COUNTIF(Paper_Reference[Duplicate Key],Paper_Reference[[#This Row],[Duplicate Key]])</f>
        <v>1</v>
      </c>
    </row>
    <row r="1450" spans="1:10">
      <c r="A1450" s="7">
        <v>3</v>
      </c>
      <c r="B1450" s="8" t="s">
        <v>8568</v>
      </c>
      <c r="C1450" s="8" t="s">
        <v>8360</v>
      </c>
      <c r="D1450" s="7">
        <v>1</v>
      </c>
      <c r="E1450" s="7">
        <v>91</v>
      </c>
      <c r="F1450" s="7">
        <v>1</v>
      </c>
      <c r="G1450" s="8" t="s">
        <v>8302</v>
      </c>
      <c r="H1450" s="8" t="s">
        <v>8303</v>
      </c>
      <c r="I1450" s="7" t="str">
        <f>_xlfn.CONCAT(Paper_Reference[[#This Row],[Lvl]:[Paper Description]])</f>
        <v>3IWSW813APPK3ICE WHITE UV LEFT LANE PK1911100SW813-6200ICE WHITE</v>
      </c>
      <c r="J1450" s="7">
        <f>COUNTIF(Paper_Reference[Duplicate Key],Paper_Reference[[#This Row],[Duplicate Key]])</f>
        <v>1</v>
      </c>
    </row>
    <row r="1451" spans="1:10">
      <c r="A1451" s="7">
        <v>4</v>
      </c>
      <c r="B1451" s="8" t="s">
        <v>8569</v>
      </c>
      <c r="C1451" s="8" t="s">
        <v>8361</v>
      </c>
      <c r="D1451" s="7">
        <v>1</v>
      </c>
      <c r="E1451" s="7">
        <v>91</v>
      </c>
      <c r="F1451" s="7">
        <v>1</v>
      </c>
      <c r="G1451" s="8" t="s">
        <v>8302</v>
      </c>
      <c r="H1451" s="8" t="s">
        <v>8303</v>
      </c>
      <c r="I1451" s="7" t="str">
        <f>_xlfn.CONCAT(Paper_Reference[[#This Row],[Lvl]:[Paper Description]])</f>
        <v>4IWSW813APPK4ICE WHITE UV RIGHT LANE PK1911100SW813-6200ICE WHITE</v>
      </c>
      <c r="J1451" s="7">
        <f>COUNTIF(Paper_Reference[Duplicate Key],Paper_Reference[[#This Row],[Duplicate Key]])</f>
        <v>1</v>
      </c>
    </row>
    <row r="1452" spans="1:10">
      <c r="A1452" s="7">
        <v>4</v>
      </c>
      <c r="B1452" s="8" t="s">
        <v>8570</v>
      </c>
      <c r="C1452" s="8" t="s">
        <v>8362</v>
      </c>
      <c r="D1452" s="7">
        <v>1</v>
      </c>
      <c r="E1452" s="7">
        <v>91</v>
      </c>
      <c r="F1452" s="7">
        <v>1</v>
      </c>
      <c r="G1452" s="8" t="s">
        <v>8302</v>
      </c>
      <c r="H1452" s="8" t="s">
        <v>8303</v>
      </c>
      <c r="I1452" s="7" t="str">
        <f>_xlfn.CONCAT(Paper_Reference[[#This Row],[Lvl]:[Paper Description]])</f>
        <v>4IWSW813APPK5ICE WHITE PRO UV PK (1 # 9)1911100SW813-6200ICE WHITE</v>
      </c>
      <c r="J1452" s="7">
        <f>COUNTIF(Paper_Reference[Duplicate Key],Paper_Reference[[#This Row],[Duplicate Key]])</f>
        <v>1</v>
      </c>
    </row>
    <row r="1453" spans="1:10">
      <c r="A1453" s="7">
        <v>4</v>
      </c>
      <c r="B1453" s="8" t="s">
        <v>8571</v>
      </c>
      <c r="C1453" s="8" t="s">
        <v>8363</v>
      </c>
      <c r="D1453" s="7">
        <v>1</v>
      </c>
      <c r="E1453" s="7">
        <v>91</v>
      </c>
      <c r="F1453" s="7">
        <v>1</v>
      </c>
      <c r="G1453" s="8" t="s">
        <v>8302</v>
      </c>
      <c r="H1453" s="8" t="s">
        <v>8303</v>
      </c>
      <c r="I1453" s="7" t="str">
        <f>_xlfn.CONCAT(Paper_Reference[[#This Row],[Lvl]:[Paper Description]])</f>
        <v>4IWSW813APPK6ICE WHITE NG LEFT LANE PK1911100SW813-6200ICE WHITE</v>
      </c>
      <c r="J1453" s="7">
        <f>COUNTIF(Paper_Reference[Duplicate Key],Paper_Reference[[#This Row],[Duplicate Key]])</f>
        <v>1</v>
      </c>
    </row>
    <row r="1454" spans="1:10">
      <c r="A1454" s="7">
        <v>4</v>
      </c>
      <c r="B1454" s="8" t="s">
        <v>8572</v>
      </c>
      <c r="C1454" s="8" t="s">
        <v>8364</v>
      </c>
      <c r="D1454" s="7">
        <v>1</v>
      </c>
      <c r="E1454" s="7">
        <v>91</v>
      </c>
      <c r="F1454" s="7">
        <v>1</v>
      </c>
      <c r="G1454" s="8" t="s">
        <v>8302</v>
      </c>
      <c r="H1454" s="8" t="s">
        <v>8303</v>
      </c>
      <c r="I1454" s="7" t="str">
        <f>_xlfn.CONCAT(Paper_Reference[[#This Row],[Lvl]:[Paper Description]])</f>
        <v>4IWSW813APPK7ICE WHITE UV 2 LP W/HAZ1911100SW813-6200ICE WHITE</v>
      </c>
      <c r="J1454" s="7">
        <f>COUNTIF(Paper_Reference[Duplicate Key],Paper_Reference[[#This Row],[Duplicate Key]])</f>
        <v>1</v>
      </c>
    </row>
    <row r="1455" spans="1:10">
      <c r="A1455" s="7">
        <v>3</v>
      </c>
      <c r="B1455" s="8" t="s">
        <v>1144</v>
      </c>
      <c r="C1455" s="8" t="s">
        <v>1124</v>
      </c>
      <c r="D1455" s="7">
        <v>1</v>
      </c>
      <c r="E1455" s="7">
        <v>10</v>
      </c>
      <c r="F1455" s="7">
        <v>1</v>
      </c>
      <c r="G1455" s="8" t="s">
        <v>976</v>
      </c>
      <c r="H1455" s="8" t="s">
        <v>984</v>
      </c>
      <c r="I1455" s="7" t="str">
        <f>_xlfn.CONCAT(Paper_Reference[[#This Row],[Lvl]:[Paper Description]])</f>
        <v>3J06IMU10PRAEMURREY PC1 APP 42 1/2X145 1/41101100WM331-4300MURREY LANE (CENTER)</v>
      </c>
      <c r="J1455" s="7">
        <f>COUNTIF(Paper_Reference[Duplicate Key],Paper_Reference[[#This Row],[Duplicate Key]])</f>
        <v>1</v>
      </c>
    </row>
    <row r="1456" spans="1:10">
      <c r="A1456" s="7">
        <v>3</v>
      </c>
      <c r="B1456" s="8" t="s">
        <v>1145</v>
      </c>
      <c r="C1456" s="8" t="s">
        <v>1125</v>
      </c>
      <c r="D1456" s="7">
        <v>1</v>
      </c>
      <c r="E1456" s="7">
        <v>10</v>
      </c>
      <c r="F1456" s="7">
        <v>1</v>
      </c>
      <c r="G1456" s="8" t="s">
        <v>976</v>
      </c>
      <c r="H1456" s="8" t="s">
        <v>984</v>
      </c>
      <c r="I1456" s="7" t="str">
        <f>_xlfn.CONCAT(Paper_Reference[[#This Row],[Lvl]:[Paper Description]])</f>
        <v>3J06IMU11PRAEMURREY PC1 FOUL 42 1/2X145 1/41101100WM331-4300MURREY LANE (CENTER)</v>
      </c>
      <c r="J1456" s="7">
        <f>COUNTIF(Paper_Reference[Duplicate Key],Paper_Reference[[#This Row],[Duplicate Key]])</f>
        <v>1</v>
      </c>
    </row>
    <row r="1457" spans="1:10">
      <c r="A1457" s="7">
        <v>3</v>
      </c>
      <c r="B1457" s="8" t="s">
        <v>1146</v>
      </c>
      <c r="C1457" s="8" t="s">
        <v>1126</v>
      </c>
      <c r="D1457" s="7">
        <v>1</v>
      </c>
      <c r="E1457" s="7">
        <v>10</v>
      </c>
      <c r="F1457" s="7">
        <v>1</v>
      </c>
      <c r="G1457" s="8" t="s">
        <v>976</v>
      </c>
      <c r="H1457" s="8" t="s">
        <v>984</v>
      </c>
      <c r="I1457" s="7" t="str">
        <f>_xlfn.CONCAT(Paper_Reference[[#This Row],[Lvl]:[Paper Description]])</f>
        <v>3J06IMU12PRAEMURREY PC1 DART 42 1/2X145 1/41101100WM331-4300MURREY LANE (CENTER)</v>
      </c>
      <c r="J1457" s="7">
        <f>COUNTIF(Paper_Reference[Duplicate Key],Paper_Reference[[#This Row],[Duplicate Key]])</f>
        <v>1</v>
      </c>
    </row>
    <row r="1458" spans="1:10">
      <c r="A1458" s="7">
        <v>2</v>
      </c>
      <c r="B1458" s="8" t="s">
        <v>7362</v>
      </c>
      <c r="C1458" s="8" t="s">
        <v>6714</v>
      </c>
      <c r="D1458" s="7">
        <v>1</v>
      </c>
      <c r="E1458" s="7">
        <v>10</v>
      </c>
      <c r="F1458" s="7">
        <v>1</v>
      </c>
      <c r="G1458" s="8" t="s">
        <v>6710</v>
      </c>
      <c r="H1458" s="8" t="s">
        <v>5691</v>
      </c>
      <c r="I1458" s="7" t="str">
        <f>_xlfn.CONCAT(Paper_Reference[[#This Row],[Lvl]:[Paper Description]])</f>
        <v>2J06R0490PRAEMURREY DIG SAMP 42 1/2X145 1/41101100DS009-5000FROSTY WHITE</v>
      </c>
      <c r="J1458" s="7">
        <f>COUNTIF(Paper_Reference[Duplicate Key],Paper_Reference[[#This Row],[Duplicate Key]])</f>
        <v>1</v>
      </c>
    </row>
    <row r="1459" spans="1:10">
      <c r="A1459" s="7">
        <v>2</v>
      </c>
      <c r="B1459" s="8" t="s">
        <v>1710</v>
      </c>
      <c r="C1459" s="8" t="s">
        <v>1291</v>
      </c>
      <c r="D1459" s="7">
        <v>1</v>
      </c>
      <c r="E1459" s="7">
        <v>10</v>
      </c>
      <c r="F1459" s="7">
        <v>1</v>
      </c>
      <c r="G1459" s="8" t="s">
        <v>1241</v>
      </c>
      <c r="H1459" s="8" t="s">
        <v>1242</v>
      </c>
      <c r="I1459" s="7" t="str">
        <f>_xlfn.CONCAT(Paper_Reference[[#This Row],[Lvl]:[Paper Description]])</f>
        <v>2J09RB971PM13DIG 7/16 ANVIL APPR 41.84X144110110000020-5000Premium Inkjet MPK 9653</v>
      </c>
      <c r="J1459" s="7">
        <f>COUNTIF(Paper_Reference[Duplicate Key],Paper_Reference[[#This Row],[Duplicate Key]])</f>
        <v>1</v>
      </c>
    </row>
    <row r="1460" spans="1:10">
      <c r="A1460" s="7">
        <v>2</v>
      </c>
      <c r="B1460" s="8" t="s">
        <v>1711</v>
      </c>
      <c r="C1460" s="8" t="s">
        <v>1292</v>
      </c>
      <c r="D1460" s="7">
        <v>1</v>
      </c>
      <c r="E1460" s="7">
        <v>10</v>
      </c>
      <c r="F1460" s="7">
        <v>1</v>
      </c>
      <c r="G1460" s="8" t="s">
        <v>1241</v>
      </c>
      <c r="H1460" s="8" t="s">
        <v>1242</v>
      </c>
      <c r="I1460" s="7" t="str">
        <f>_xlfn.CONCAT(Paper_Reference[[#This Row],[Lvl]:[Paper Description]])</f>
        <v>2J09RB972PM12DIG 7/16 ANVIL FOUL 41.84X142.110110000020-5000Premium Inkjet MPK 9653</v>
      </c>
      <c r="J1460" s="7">
        <f>COUNTIF(Paper_Reference[Duplicate Key],Paper_Reference[[#This Row],[Duplicate Key]])</f>
        <v>1</v>
      </c>
    </row>
    <row r="1461" spans="1:10">
      <c r="A1461" s="7">
        <v>2</v>
      </c>
      <c r="B1461" s="8" t="s">
        <v>14</v>
      </c>
      <c r="C1461" s="8" t="s">
        <v>15</v>
      </c>
      <c r="D1461" s="7">
        <v>1</v>
      </c>
      <c r="E1461" s="7">
        <v>10</v>
      </c>
      <c r="F1461" s="7">
        <v>1</v>
      </c>
      <c r="G1461" s="8" t="s">
        <v>1241</v>
      </c>
      <c r="H1461" s="8" t="s">
        <v>1242</v>
      </c>
      <c r="I1461" s="7" t="str">
        <f>_xlfn.CONCAT(Paper_Reference[[#This Row],[Lvl]:[Paper Description]])</f>
        <v>2J09RB973PM14DIG 7/16 ANVIL HEAD 41.84X126.110110000020-5000Premium Inkjet MPK 9653</v>
      </c>
      <c r="J1461" s="7">
        <f>COUNTIF(Paper_Reference[Duplicate Key],Paper_Reference[[#This Row],[Duplicate Key]])</f>
        <v>1</v>
      </c>
    </row>
    <row r="1462" spans="1:10">
      <c r="A1462" s="7">
        <v>3</v>
      </c>
      <c r="B1462" s="8" t="s">
        <v>1169</v>
      </c>
      <c r="C1462" s="8" t="s">
        <v>1162</v>
      </c>
      <c r="D1462" s="7">
        <v>1</v>
      </c>
      <c r="E1462" s="7">
        <v>10</v>
      </c>
      <c r="F1462" s="7">
        <v>0.33329999999999999</v>
      </c>
      <c r="G1462" s="8" t="s">
        <v>977</v>
      </c>
      <c r="H1462" s="8" t="s">
        <v>985</v>
      </c>
      <c r="I1462" s="7" t="str">
        <f>_xlfn.CONCAT(Paper_Reference[[#This Row],[Lvl]:[Paper Description]])</f>
        <v>3J11IMPD1KM09MURREY PINDECK 40.938X47.5631100.3333100WM331-5000MURREY LANE</v>
      </c>
      <c r="J1462" s="7">
        <f>COUNTIF(Paper_Reference[Duplicate Key],Paper_Reference[[#This Row],[Duplicate Key]])</f>
        <v>1</v>
      </c>
    </row>
    <row r="1463" spans="1:10">
      <c r="A1463" s="7">
        <v>3</v>
      </c>
      <c r="B1463" s="8" t="s">
        <v>1170</v>
      </c>
      <c r="C1463" s="8" t="s">
        <v>1162</v>
      </c>
      <c r="D1463" s="7">
        <v>1</v>
      </c>
      <c r="E1463" s="7">
        <v>10</v>
      </c>
      <c r="F1463" s="7">
        <v>0.33329999999999999</v>
      </c>
      <c r="G1463" s="8" t="s">
        <v>977</v>
      </c>
      <c r="H1463" s="8" t="s">
        <v>985</v>
      </c>
      <c r="I1463" s="7" t="str">
        <f>_xlfn.CONCAT(Paper_Reference[[#This Row],[Lvl]:[Paper Description]])</f>
        <v>3J11IMPD1SBM09MURREY PINDECK 40.938X47.5631100.3333100WM331-5000MURREY LANE</v>
      </c>
      <c r="J1463" s="7">
        <f>COUNTIF(Paper_Reference[Duplicate Key],Paper_Reference[[#This Row],[Duplicate Key]])</f>
        <v>1</v>
      </c>
    </row>
    <row r="1464" spans="1:10">
      <c r="A1464" s="7">
        <v>2</v>
      </c>
      <c r="B1464" s="8" t="s">
        <v>1712</v>
      </c>
      <c r="C1464" s="8" t="s">
        <v>1293</v>
      </c>
      <c r="D1464" s="7">
        <v>1</v>
      </c>
      <c r="E1464" s="7">
        <v>10</v>
      </c>
      <c r="F1464" s="7">
        <v>1</v>
      </c>
      <c r="G1464" s="8" t="s">
        <v>1241</v>
      </c>
      <c r="H1464" s="8" t="s">
        <v>1242</v>
      </c>
      <c r="I1464" s="7" t="str">
        <f>_xlfn.CONCAT(Paper_Reference[[#This Row],[Lvl]:[Paper Description]])</f>
        <v>2J12RB971PM13DIG 7/16 UV ANVIL APPR 41.84X1110110000020-5000Premium Inkjet MPK 9653</v>
      </c>
      <c r="J1464" s="7">
        <f>COUNTIF(Paper_Reference[Duplicate Key],Paper_Reference[[#This Row],[Duplicate Key]])</f>
        <v>1</v>
      </c>
    </row>
    <row r="1465" spans="1:10">
      <c r="A1465" s="7">
        <v>2</v>
      </c>
      <c r="B1465" s="8" t="s">
        <v>1713</v>
      </c>
      <c r="C1465" s="8" t="s">
        <v>1294</v>
      </c>
      <c r="D1465" s="7">
        <v>1</v>
      </c>
      <c r="E1465" s="7">
        <v>10</v>
      </c>
      <c r="F1465" s="7">
        <v>1</v>
      </c>
      <c r="G1465" s="8" t="s">
        <v>1241</v>
      </c>
      <c r="H1465" s="8" t="s">
        <v>1242</v>
      </c>
      <c r="I1465" s="7" t="str">
        <f>_xlfn.CONCAT(Paper_Reference[[#This Row],[Lvl]:[Paper Description]])</f>
        <v>2J12RB972PM12DIG 7/16 UV ANVIL FOUL 41.84X1110110000020-5000Premium Inkjet MPK 9653</v>
      </c>
      <c r="J1465" s="7">
        <f>COUNTIF(Paper_Reference[Duplicate Key],Paper_Reference[[#This Row],[Duplicate Key]])</f>
        <v>1</v>
      </c>
    </row>
    <row r="1466" spans="1:10">
      <c r="A1466" s="7">
        <v>2</v>
      </c>
      <c r="B1466" s="8" t="s">
        <v>1714</v>
      </c>
      <c r="C1466" s="8" t="s">
        <v>1295</v>
      </c>
      <c r="D1466" s="7">
        <v>1</v>
      </c>
      <c r="E1466" s="7">
        <v>10</v>
      </c>
      <c r="F1466" s="7">
        <v>1</v>
      </c>
      <c r="G1466" s="8" t="s">
        <v>1241</v>
      </c>
      <c r="H1466" s="8" t="s">
        <v>1242</v>
      </c>
      <c r="I1466" s="7" t="str">
        <f>_xlfn.CONCAT(Paper_Reference[[#This Row],[Lvl]:[Paper Description]])</f>
        <v>2J12RB973PM14DIG 7/16 UV ANVIL HEAD 41.84X1110110000020-5000Premium Inkjet MPK 9653</v>
      </c>
      <c r="J1466" s="7">
        <f>COUNTIF(Paper_Reference[Duplicate Key],Paper_Reference[[#This Row],[Duplicate Key]])</f>
        <v>1</v>
      </c>
    </row>
    <row r="1467" spans="1:10">
      <c r="A1467" s="7">
        <v>2</v>
      </c>
      <c r="B1467" s="8" t="s">
        <v>6179</v>
      </c>
      <c r="C1467" s="8" t="s">
        <v>5718</v>
      </c>
      <c r="D1467" s="7">
        <v>1</v>
      </c>
      <c r="E1467" s="7">
        <v>10</v>
      </c>
      <c r="F1467" s="7">
        <v>1</v>
      </c>
      <c r="G1467" s="8" t="s">
        <v>5690</v>
      </c>
      <c r="H1467" s="8" t="s">
        <v>5691</v>
      </c>
      <c r="I1467" s="7" t="str">
        <f>_xlfn.CONCAT(Paper_Reference[[#This Row],[Lvl]:[Paper Description]])</f>
        <v>2J16RB328MG560HWY66 W BLOND PLUG 60 X 721101100DS009-6200FROSTY WHITE</v>
      </c>
      <c r="J1467" s="7">
        <f>COUNTIF(Paper_Reference[Duplicate Key],Paper_Reference[[#This Row],[Duplicate Key]])</f>
        <v>1</v>
      </c>
    </row>
    <row r="1468" spans="1:10">
      <c r="A1468" s="7">
        <v>2</v>
      </c>
      <c r="B1468" s="8" t="s">
        <v>7363</v>
      </c>
      <c r="C1468" s="8" t="s">
        <v>6715</v>
      </c>
      <c r="D1468" s="7">
        <v>1</v>
      </c>
      <c r="E1468" s="7">
        <v>10</v>
      </c>
      <c r="F1468" s="7">
        <v>1</v>
      </c>
      <c r="G1468" s="8" t="s">
        <v>6710</v>
      </c>
      <c r="H1468" s="8" t="s">
        <v>5691</v>
      </c>
      <c r="I1468" s="7" t="str">
        <f>_xlfn.CONCAT(Paper_Reference[[#This Row],[Lvl]:[Paper Description]])</f>
        <v>2J16RB328PYBLHWY66 W BLOND PLUG 43 X 721101100DS009-5000FROSTY WHITE</v>
      </c>
      <c r="J1468" s="7">
        <f>COUNTIF(Paper_Reference[Duplicate Key],Paper_Reference[[#This Row],[Duplicate Key]])</f>
        <v>1</v>
      </c>
    </row>
    <row r="1469" spans="1:10">
      <c r="A1469" s="7">
        <v>2</v>
      </c>
      <c r="B1469" s="8" t="s">
        <v>6180</v>
      </c>
      <c r="C1469" s="8" t="s">
        <v>5718</v>
      </c>
      <c r="D1469" s="7">
        <v>1</v>
      </c>
      <c r="E1469" s="7">
        <v>10</v>
      </c>
      <c r="F1469" s="7">
        <v>1</v>
      </c>
      <c r="G1469" s="8" t="s">
        <v>5690</v>
      </c>
      <c r="H1469" s="8" t="s">
        <v>5691</v>
      </c>
      <c r="I1469" s="7" t="str">
        <f>_xlfn.CONCAT(Paper_Reference[[#This Row],[Lvl]:[Paper Description]])</f>
        <v>2J16RB328U560HWY66 W BLOND PLUG 60 X 721101100DS009-6200FROSTY WHITE</v>
      </c>
      <c r="J1469" s="7">
        <f>COUNTIF(Paper_Reference[Duplicate Key],Paper_Reference[[#This Row],[Duplicate Key]])</f>
        <v>1</v>
      </c>
    </row>
    <row r="1470" spans="1:10">
      <c r="A1470" s="7">
        <v>2</v>
      </c>
      <c r="B1470" s="8" t="s">
        <v>6181</v>
      </c>
      <c r="C1470" s="8" t="s">
        <v>5719</v>
      </c>
      <c r="D1470" s="7">
        <v>1</v>
      </c>
      <c r="E1470" s="7">
        <v>10</v>
      </c>
      <c r="F1470" s="7">
        <v>2</v>
      </c>
      <c r="G1470" s="8" t="s">
        <v>5690</v>
      </c>
      <c r="H1470" s="8" t="s">
        <v>5691</v>
      </c>
      <c r="I1470" s="7" t="str">
        <f>_xlfn.CONCAT(Paper_Reference[[#This Row],[Lvl]:[Paper Description]])</f>
        <v>2J16RB338U580HWY66 A BIRDS PLUG 60 X 961102100DS009-6200FROSTY WHITE</v>
      </c>
      <c r="J1470" s="7">
        <f>COUNTIF(Paper_Reference[Duplicate Key],Paper_Reference[[#This Row],[Duplicate Key]])</f>
        <v>1</v>
      </c>
    </row>
    <row r="1471" spans="1:10">
      <c r="A1471" s="7">
        <v>2</v>
      </c>
      <c r="B1471" s="8" t="s">
        <v>2597</v>
      </c>
      <c r="C1471" s="8" t="s">
        <v>2148</v>
      </c>
      <c r="D1471" s="7">
        <v>1</v>
      </c>
      <c r="E1471" s="7">
        <v>10</v>
      </c>
      <c r="F1471" s="7">
        <v>0.5</v>
      </c>
      <c r="G1471" s="8" t="s">
        <v>2144</v>
      </c>
      <c r="H1471" s="8" t="s">
        <v>1242</v>
      </c>
      <c r="I1471" s="7" t="str">
        <f>_xlfn.CONCAT(Paper_Reference[[#This Row],[Lvl]:[Paper Description]])</f>
        <v>2J16RB342U560HWY66 FWEST PLUG 60 X 721100.510000020-6200Premium Inkjet MPK 9653</v>
      </c>
      <c r="J1471" s="7">
        <f>COUNTIF(Paper_Reference[Duplicate Key],Paper_Reference[[#This Row],[Duplicate Key]])</f>
        <v>1</v>
      </c>
    </row>
    <row r="1472" spans="1:10">
      <c r="A1472" s="7">
        <v>2</v>
      </c>
      <c r="B1472" s="8" t="s">
        <v>2598</v>
      </c>
      <c r="C1472" s="8" t="s">
        <v>2149</v>
      </c>
      <c r="D1472" s="7">
        <v>1</v>
      </c>
      <c r="E1472" s="7">
        <v>10</v>
      </c>
      <c r="F1472" s="7">
        <v>0.5</v>
      </c>
      <c r="G1472" s="8" t="s">
        <v>2144</v>
      </c>
      <c r="H1472" s="8" t="s">
        <v>1242</v>
      </c>
      <c r="I1472" s="7" t="str">
        <f>_xlfn.CONCAT(Paper_Reference[[#This Row],[Lvl]:[Paper Description]])</f>
        <v>2J16RB346U560HWY66 C BURST PLUG 60 X 721100.510000020-6200Premium Inkjet MPK 9653</v>
      </c>
      <c r="J1472" s="7">
        <f>COUNTIF(Paper_Reference[Duplicate Key],Paper_Reference[[#This Row],[Duplicate Key]])</f>
        <v>1</v>
      </c>
    </row>
    <row r="1473" spans="1:10">
      <c r="A1473" s="7">
        <v>2</v>
      </c>
      <c r="B1473" s="8" t="s">
        <v>6182</v>
      </c>
      <c r="C1473" s="8" t="s">
        <v>5720</v>
      </c>
      <c r="D1473" s="7">
        <v>1</v>
      </c>
      <c r="E1473" s="7">
        <v>10</v>
      </c>
      <c r="F1473" s="7">
        <v>1</v>
      </c>
      <c r="G1473" s="8" t="s">
        <v>5690</v>
      </c>
      <c r="H1473" s="8" t="s">
        <v>5691</v>
      </c>
      <c r="I1473" s="7" t="str">
        <f>_xlfn.CONCAT(Paper_Reference[[#This Row],[Lvl]:[Paper Description]])</f>
        <v>2J16RB350U560HWY66 MONSTER PLUG 60 X 721101100DS009-6200FROSTY WHITE</v>
      </c>
      <c r="J1473" s="7">
        <f>COUNTIF(Paper_Reference[Duplicate Key],Paper_Reference[[#This Row],[Duplicate Key]])</f>
        <v>1</v>
      </c>
    </row>
    <row r="1474" spans="1:10">
      <c r="A1474" s="7">
        <v>2</v>
      </c>
      <c r="B1474" s="8" t="s">
        <v>2599</v>
      </c>
      <c r="C1474" s="8" t="s">
        <v>2150</v>
      </c>
      <c r="D1474" s="7">
        <v>1</v>
      </c>
      <c r="E1474" s="7">
        <v>10</v>
      </c>
      <c r="F1474" s="7">
        <v>0.5</v>
      </c>
      <c r="G1474" s="8" t="s">
        <v>2144</v>
      </c>
      <c r="H1474" s="8" t="s">
        <v>1242</v>
      </c>
      <c r="I1474" s="7" t="str">
        <f>_xlfn.CONCAT(Paper_Reference[[#This Row],[Lvl]:[Paper Description]])</f>
        <v>2J16RB354U560HWY66 COMP PLUG 60 X 721100.510000020-6200Premium Inkjet MPK 9653</v>
      </c>
      <c r="J1474" s="7">
        <f>COUNTIF(Paper_Reference[Duplicate Key],Paper_Reference[[#This Row],[Duplicate Key]])</f>
        <v>1</v>
      </c>
    </row>
    <row r="1475" spans="1:10">
      <c r="A1475" s="7">
        <v>2</v>
      </c>
      <c r="B1475" s="8" t="s">
        <v>6183</v>
      </c>
      <c r="C1475" s="8" t="s">
        <v>5721</v>
      </c>
      <c r="D1475" s="7">
        <v>1</v>
      </c>
      <c r="E1475" s="7">
        <v>10</v>
      </c>
      <c r="F1475" s="7">
        <v>1</v>
      </c>
      <c r="G1475" s="8" t="s">
        <v>5690</v>
      </c>
      <c r="H1475" s="8" t="s">
        <v>5691</v>
      </c>
      <c r="I1475" s="7" t="str">
        <f>_xlfn.CONCAT(Paper_Reference[[#This Row],[Lvl]:[Paper Description]])</f>
        <v>2J16RB358U560HWY66 VINTAGE PLUG 60 X 721101100DS009-6200FROSTY WHITE</v>
      </c>
      <c r="J1475" s="7">
        <f>COUNTIF(Paper_Reference[Duplicate Key],Paper_Reference[[#This Row],[Duplicate Key]])</f>
        <v>1</v>
      </c>
    </row>
    <row r="1476" spans="1:10">
      <c r="A1476" s="7">
        <v>2</v>
      </c>
      <c r="B1476" s="8" t="s">
        <v>6184</v>
      </c>
      <c r="C1476" s="8" t="s">
        <v>5722</v>
      </c>
      <c r="D1476" s="7">
        <v>1</v>
      </c>
      <c r="E1476" s="7">
        <v>10</v>
      </c>
      <c r="F1476" s="7">
        <v>1</v>
      </c>
      <c r="G1476" s="8" t="s">
        <v>5690</v>
      </c>
      <c r="H1476" s="8" t="s">
        <v>5691</v>
      </c>
      <c r="I1476" s="7" t="str">
        <f>_xlfn.CONCAT(Paper_Reference[[#This Row],[Lvl]:[Paper Description]])</f>
        <v>2J16RB364U560HWY66 JUKE PLUG 60 X 721101100DS009-6200FROSTY WHITE</v>
      </c>
      <c r="J1476" s="7">
        <f>COUNTIF(Paper_Reference[Duplicate Key],Paper_Reference[[#This Row],[Duplicate Key]])</f>
        <v>1</v>
      </c>
    </row>
    <row r="1477" spans="1:10">
      <c r="A1477" s="7">
        <v>2</v>
      </c>
      <c r="B1477" s="8" t="s">
        <v>6185</v>
      </c>
      <c r="C1477" s="8" t="s">
        <v>5723</v>
      </c>
      <c r="D1477" s="7">
        <v>1</v>
      </c>
      <c r="E1477" s="7">
        <v>10</v>
      </c>
      <c r="F1477" s="7">
        <v>1</v>
      </c>
      <c r="G1477" s="8" t="s">
        <v>5690</v>
      </c>
      <c r="H1477" s="8" t="s">
        <v>5691</v>
      </c>
      <c r="I1477" s="7" t="str">
        <f>_xlfn.CONCAT(Paper_Reference[[#This Row],[Lvl]:[Paper Description]])</f>
        <v>2J16RB371U560HWY66 POP66 PLUG 60 X 721101100DS009-6200FROSTY WHITE</v>
      </c>
      <c r="J1477" s="7">
        <f>COUNTIF(Paper_Reference[Duplicate Key],Paper_Reference[[#This Row],[Duplicate Key]])</f>
        <v>1</v>
      </c>
    </row>
    <row r="1478" spans="1:10">
      <c r="A1478" s="7">
        <v>2</v>
      </c>
      <c r="B1478" s="8" t="s">
        <v>7364</v>
      </c>
      <c r="C1478" s="8" t="s">
        <v>6716</v>
      </c>
      <c r="D1478" s="7">
        <v>1</v>
      </c>
      <c r="E1478" s="7">
        <v>10</v>
      </c>
      <c r="F1478" s="7">
        <v>1</v>
      </c>
      <c r="G1478" s="8" t="s">
        <v>6710</v>
      </c>
      <c r="H1478" s="8" t="s">
        <v>5691</v>
      </c>
      <c r="I1478" s="7" t="str">
        <f>_xlfn.CONCAT(Paper_Reference[[#This Row],[Lvl]:[Paper Description]])</f>
        <v>2J16RB386PYBLMUR ANDRETTI PLUG 43 X 721101100DS009-5000FROSTY WHITE</v>
      </c>
      <c r="J1478" s="7">
        <f>COUNTIF(Paper_Reference[Duplicate Key],Paper_Reference[[#This Row],[Duplicate Key]])</f>
        <v>1</v>
      </c>
    </row>
    <row r="1479" spans="1:10">
      <c r="A1479" s="7">
        <v>2</v>
      </c>
      <c r="B1479" s="8" t="s">
        <v>7365</v>
      </c>
      <c r="C1479" s="8" t="s">
        <v>6717</v>
      </c>
      <c r="D1479" s="7">
        <v>1</v>
      </c>
      <c r="E1479" s="7">
        <v>10</v>
      </c>
      <c r="F1479" s="7">
        <v>1</v>
      </c>
      <c r="G1479" s="8" t="s">
        <v>6710</v>
      </c>
      <c r="H1479" s="8" t="s">
        <v>5691</v>
      </c>
      <c r="I1479" s="7" t="str">
        <f>_xlfn.CONCAT(Paper_Reference[[#This Row],[Lvl]:[Paper Description]])</f>
        <v>2J16RB394PYBLMUR FOLKSTONE PLUG 43 X 721101100DS009-5000FROSTY WHITE</v>
      </c>
      <c r="J1479" s="7">
        <f>COUNTIF(Paper_Reference[Duplicate Key],Paper_Reference[[#This Row],[Duplicate Key]])</f>
        <v>1</v>
      </c>
    </row>
    <row r="1480" spans="1:10">
      <c r="A1480" s="7">
        <v>2</v>
      </c>
      <c r="B1480" s="8" t="s">
        <v>7366</v>
      </c>
      <c r="C1480" s="8" t="s">
        <v>6718</v>
      </c>
      <c r="D1480" s="7">
        <v>1</v>
      </c>
      <c r="E1480" s="7">
        <v>10</v>
      </c>
      <c r="F1480" s="7">
        <v>1</v>
      </c>
      <c r="G1480" s="8" t="s">
        <v>6710</v>
      </c>
      <c r="H1480" s="8" t="s">
        <v>5691</v>
      </c>
      <c r="I1480" s="7" t="str">
        <f>_xlfn.CONCAT(Paper_Reference[[#This Row],[Lvl]:[Paper Description]])</f>
        <v>2J16RB502PYBLMUR C/WOOD PLUG 43 X 721101100DS009-5000FROSTY WHITE</v>
      </c>
      <c r="J1480" s="7">
        <f>COUNTIF(Paper_Reference[Duplicate Key],Paper_Reference[[#This Row],[Duplicate Key]])</f>
        <v>1</v>
      </c>
    </row>
    <row r="1481" spans="1:10">
      <c r="A1481" s="7">
        <v>2</v>
      </c>
      <c r="B1481" s="8" t="s">
        <v>6186</v>
      </c>
      <c r="C1481" s="8" t="s">
        <v>5724</v>
      </c>
      <c r="D1481" s="7">
        <v>1</v>
      </c>
      <c r="E1481" s="7">
        <v>10</v>
      </c>
      <c r="F1481" s="7">
        <v>1</v>
      </c>
      <c r="G1481" s="8" t="s">
        <v>5690</v>
      </c>
      <c r="H1481" s="8" t="s">
        <v>5691</v>
      </c>
      <c r="I1481" s="7" t="str">
        <f>_xlfn.CONCAT(Paper_Reference[[#This Row],[Lvl]:[Paper Description]])</f>
        <v>2J16RB539U560HWY66 VT Cherry PLUG 60 X 721101100DS009-6200FROSTY WHITE</v>
      </c>
      <c r="J1481" s="7">
        <f>COUNTIF(Paper_Reference[Duplicate Key],Paper_Reference[[#This Row],[Duplicate Key]])</f>
        <v>1</v>
      </c>
    </row>
    <row r="1482" spans="1:10">
      <c r="A1482" s="7">
        <v>2</v>
      </c>
      <c r="B1482" s="8" t="s">
        <v>6187</v>
      </c>
      <c r="C1482" s="8" t="s">
        <v>5725</v>
      </c>
      <c r="D1482" s="7">
        <v>1</v>
      </c>
      <c r="E1482" s="7">
        <v>10</v>
      </c>
      <c r="F1482" s="7">
        <v>1</v>
      </c>
      <c r="G1482" s="8" t="s">
        <v>5690</v>
      </c>
      <c r="H1482" s="8" t="s">
        <v>5691</v>
      </c>
      <c r="I1482" s="7" t="str">
        <f>_xlfn.CONCAT(Paper_Reference[[#This Row],[Lvl]:[Paper Description]])</f>
        <v>2J16RB590U560HWY66 WHITE PLUG 60 X 721101100DS009-6200FROSTY WHITE</v>
      </c>
      <c r="J1482" s="7">
        <f>COUNTIF(Paper_Reference[Duplicate Key],Paper_Reference[[#This Row],[Duplicate Key]])</f>
        <v>1</v>
      </c>
    </row>
    <row r="1483" spans="1:10">
      <c r="A1483" s="7">
        <v>2</v>
      </c>
      <c r="B1483" s="8" t="s">
        <v>1715</v>
      </c>
      <c r="C1483" s="8" t="s">
        <v>1296</v>
      </c>
      <c r="D1483" s="7">
        <v>1</v>
      </c>
      <c r="E1483" s="7">
        <v>10</v>
      </c>
      <c r="F1483" s="7">
        <v>0.5</v>
      </c>
      <c r="G1483" s="8" t="s">
        <v>1241</v>
      </c>
      <c r="H1483" s="8" t="s">
        <v>1242</v>
      </c>
      <c r="I1483" s="7" t="str">
        <f>_xlfn.CONCAT(Paper_Reference[[#This Row],[Lvl]:[Paper Description]])</f>
        <v>2J16RB659PYBLMUR REG BLUE PLUG 43 X 721100.510000020-5000Premium Inkjet MPK 9653</v>
      </c>
      <c r="J1483" s="7">
        <f>COUNTIF(Paper_Reference[Duplicate Key],Paper_Reference[[#This Row],[Duplicate Key]])</f>
        <v>1</v>
      </c>
    </row>
    <row r="1484" spans="1:10">
      <c r="A1484" s="7">
        <v>2</v>
      </c>
      <c r="B1484" s="8" t="s">
        <v>1715</v>
      </c>
      <c r="C1484" s="8" t="s">
        <v>1296</v>
      </c>
      <c r="D1484" s="7">
        <v>1</v>
      </c>
      <c r="E1484" s="7">
        <v>10</v>
      </c>
      <c r="F1484" s="7">
        <v>1</v>
      </c>
      <c r="G1484" s="8" t="s">
        <v>6710</v>
      </c>
      <c r="H1484" s="8" t="s">
        <v>5691</v>
      </c>
      <c r="I1484" s="7" t="str">
        <f>_xlfn.CONCAT(Paper_Reference[[#This Row],[Lvl]:[Paper Description]])</f>
        <v>2J16RB659PYBLMUR REG BLUE PLUG 43 X 721101100DS009-5000FROSTY WHITE</v>
      </c>
      <c r="J1484" s="7">
        <f>COUNTIF(Paper_Reference[Duplicate Key],Paper_Reference[[#This Row],[Duplicate Key]])</f>
        <v>1</v>
      </c>
    </row>
    <row r="1485" spans="1:10">
      <c r="A1485" s="7">
        <v>2</v>
      </c>
      <c r="B1485" s="8" t="s">
        <v>1716</v>
      </c>
      <c r="C1485" s="8" t="s">
        <v>1297</v>
      </c>
      <c r="D1485" s="7">
        <v>1</v>
      </c>
      <c r="E1485" s="7">
        <v>10</v>
      </c>
      <c r="F1485" s="7">
        <v>0.5</v>
      </c>
      <c r="G1485" s="8" t="s">
        <v>1241</v>
      </c>
      <c r="H1485" s="8" t="s">
        <v>1242</v>
      </c>
      <c r="I1485" s="7" t="str">
        <f>_xlfn.CONCAT(Paper_Reference[[#This Row],[Lvl]:[Paper Description]])</f>
        <v>2J16RB950PYBLPINWORX PLUG  PANEL 43 X 721100.510000020-5000Premium Inkjet MPK 9653</v>
      </c>
      <c r="J1485" s="7">
        <f>COUNTIF(Paper_Reference[Duplicate Key],Paper_Reference[[#This Row],[Duplicate Key]])</f>
        <v>1</v>
      </c>
    </row>
    <row r="1486" spans="1:10">
      <c r="A1486" s="7">
        <v>3</v>
      </c>
      <c r="B1486" s="8" t="s">
        <v>521</v>
      </c>
      <c r="C1486" s="8" t="s">
        <v>294</v>
      </c>
      <c r="D1486" s="7">
        <v>1</v>
      </c>
      <c r="E1486" s="7">
        <v>10</v>
      </c>
      <c r="F1486" s="7">
        <v>1</v>
      </c>
      <c r="G1486" s="8" t="s">
        <v>217</v>
      </c>
      <c r="H1486" s="8" t="s">
        <v>3229</v>
      </c>
      <c r="I1486" s="7" t="str">
        <f>_xlfn.CONCAT(Paper_Reference[[#This Row],[Lvl]:[Paper Description]])</f>
        <v>3J18I8450PRXCIQ HEAD PANEL 44 X 1451101100WM301-6200IQ MAPLE LANE (C) 60 X 144</v>
      </c>
      <c r="J1486" s="7">
        <f>COUNTIF(Paper_Reference[Duplicate Key],Paper_Reference[[#This Row],[Duplicate Key]])</f>
        <v>1</v>
      </c>
    </row>
    <row r="1487" spans="1:10">
      <c r="A1487" s="7">
        <v>3</v>
      </c>
      <c r="B1487" s="8" t="s">
        <v>521</v>
      </c>
      <c r="C1487" s="8" t="s">
        <v>294</v>
      </c>
      <c r="D1487" s="7">
        <v>1</v>
      </c>
      <c r="E1487" s="7">
        <v>10</v>
      </c>
      <c r="F1487" s="7">
        <v>1</v>
      </c>
      <c r="G1487" s="8" t="s">
        <v>217</v>
      </c>
      <c r="H1487" s="8" t="s">
        <v>425</v>
      </c>
      <c r="I1487" s="7" t="str">
        <f>_xlfn.CONCAT(Paper_Reference[[#This Row],[Lvl]:[Paper Description]])</f>
        <v>3J18I8450PRXCIQ HEAD PANEL 44 X 1451101100WM301-6200IQ MAPLE LANE (CENTER)</v>
      </c>
      <c r="J1487" s="7">
        <f>COUNTIF(Paper_Reference[Duplicate Key],Paper_Reference[[#This Row],[Duplicate Key]])</f>
        <v>1</v>
      </c>
    </row>
    <row r="1488" spans="1:10">
      <c r="A1488" s="7">
        <v>3</v>
      </c>
      <c r="B1488" s="8" t="s">
        <v>522</v>
      </c>
      <c r="C1488" s="8" t="s">
        <v>295</v>
      </c>
      <c r="D1488" s="7">
        <v>1</v>
      </c>
      <c r="E1488" s="7">
        <v>10</v>
      </c>
      <c r="F1488" s="7">
        <v>1</v>
      </c>
      <c r="G1488" s="8" t="s">
        <v>217</v>
      </c>
      <c r="H1488" s="8" t="s">
        <v>3229</v>
      </c>
      <c r="I1488" s="7" t="str">
        <f>_xlfn.CONCAT(Paper_Reference[[#This Row],[Lvl]:[Paper Description]])</f>
        <v>3J18I8460QRXCIQ FOUL LINE COMBO FINISH 441101100WM301-6200IQ MAPLE LANE (C) 60 X 144</v>
      </c>
      <c r="J1488" s="7">
        <f>COUNTIF(Paper_Reference[Duplicate Key],Paper_Reference[[#This Row],[Duplicate Key]])</f>
        <v>1</v>
      </c>
    </row>
    <row r="1489" spans="1:10">
      <c r="A1489" s="7">
        <v>3</v>
      </c>
      <c r="B1489" s="8" t="s">
        <v>522</v>
      </c>
      <c r="C1489" s="8" t="s">
        <v>295</v>
      </c>
      <c r="D1489" s="7">
        <v>1</v>
      </c>
      <c r="E1489" s="7">
        <v>10</v>
      </c>
      <c r="F1489" s="7">
        <v>1</v>
      </c>
      <c r="G1489" s="8" t="s">
        <v>217</v>
      </c>
      <c r="H1489" s="8" t="s">
        <v>425</v>
      </c>
      <c r="I1489" s="7" t="str">
        <f>_xlfn.CONCAT(Paper_Reference[[#This Row],[Lvl]:[Paper Description]])</f>
        <v>3J18I8460QRXCIQ FOUL LINE COMBO FINISH 441101100WM301-6200IQ MAPLE LANE (CENTER)</v>
      </c>
      <c r="J1489" s="7">
        <f>COUNTIF(Paper_Reference[Duplicate Key],Paper_Reference[[#This Row],[Duplicate Key]])</f>
        <v>1</v>
      </c>
    </row>
    <row r="1490" spans="1:10">
      <c r="A1490" s="7">
        <v>3</v>
      </c>
      <c r="B1490" s="8" t="s">
        <v>523</v>
      </c>
      <c r="C1490" s="8" t="s">
        <v>296</v>
      </c>
      <c r="D1490" s="7">
        <v>1</v>
      </c>
      <c r="E1490" s="7">
        <v>10</v>
      </c>
      <c r="F1490" s="7">
        <v>1</v>
      </c>
      <c r="G1490" s="8" t="s">
        <v>217</v>
      </c>
      <c r="H1490" s="8" t="s">
        <v>3229</v>
      </c>
      <c r="I1490" s="7" t="str">
        <f>_xlfn.CONCAT(Paper_Reference[[#This Row],[Lvl]:[Paper Description]])</f>
        <v>3J18I8490TRXCIQ APPROACH PANEL 44 X 1451101100WM301-6200IQ MAPLE LANE (C) 60 X 144</v>
      </c>
      <c r="J1490" s="7">
        <f>COUNTIF(Paper_Reference[Duplicate Key],Paper_Reference[[#This Row],[Duplicate Key]])</f>
        <v>1</v>
      </c>
    </row>
    <row r="1491" spans="1:10">
      <c r="A1491" s="7">
        <v>3</v>
      </c>
      <c r="B1491" s="8" t="s">
        <v>523</v>
      </c>
      <c r="C1491" s="8" t="s">
        <v>296</v>
      </c>
      <c r="D1491" s="7">
        <v>1</v>
      </c>
      <c r="E1491" s="7">
        <v>10</v>
      </c>
      <c r="F1491" s="7">
        <v>1</v>
      </c>
      <c r="G1491" s="8" t="s">
        <v>217</v>
      </c>
      <c r="H1491" s="8" t="s">
        <v>425</v>
      </c>
      <c r="I1491" s="7" t="str">
        <f>_xlfn.CONCAT(Paper_Reference[[#This Row],[Lvl]:[Paper Description]])</f>
        <v>3J18I8490TRXCIQ APPROACH PANEL 44 X 1451101100WM301-6200IQ MAPLE LANE (CENTER)</v>
      </c>
      <c r="J1491" s="7">
        <f>COUNTIF(Paper_Reference[Duplicate Key],Paper_Reference[[#This Row],[Duplicate Key]])</f>
        <v>1</v>
      </c>
    </row>
    <row r="1492" spans="1:10">
      <c r="A1492" s="7">
        <v>2</v>
      </c>
      <c r="B1492" s="8" t="s">
        <v>6188</v>
      </c>
      <c r="C1492" s="8" t="s">
        <v>5726</v>
      </c>
      <c r="D1492" s="7">
        <v>1</v>
      </c>
      <c r="E1492" s="7">
        <v>10</v>
      </c>
      <c r="F1492" s="7">
        <v>0.25</v>
      </c>
      <c r="G1492" s="8" t="s">
        <v>5690</v>
      </c>
      <c r="H1492" s="8" t="s">
        <v>5691</v>
      </c>
      <c r="I1492" s="7" t="str">
        <f>_xlfn.CONCAT(Paper_Reference[[#This Row],[Lvl]:[Paper Description]])</f>
        <v>2J19RB014PWSPSUPER STRIKE P4 28 X 71 1/21100.25100DS009-6200FROSTY WHITE</v>
      </c>
      <c r="J1492" s="7">
        <f>COUNTIF(Paper_Reference[Duplicate Key],Paper_Reference[[#This Row],[Duplicate Key]])</f>
        <v>1</v>
      </c>
    </row>
    <row r="1493" spans="1:10">
      <c r="A1493" s="7">
        <v>2</v>
      </c>
      <c r="B1493" s="8" t="s">
        <v>6189</v>
      </c>
      <c r="C1493" s="8" t="s">
        <v>5727</v>
      </c>
      <c r="D1493" s="7">
        <v>1</v>
      </c>
      <c r="E1493" s="7">
        <v>10</v>
      </c>
      <c r="F1493" s="7">
        <v>0.25</v>
      </c>
      <c r="G1493" s="8" t="s">
        <v>5690</v>
      </c>
      <c r="H1493" s="8" t="s">
        <v>5691</v>
      </c>
      <c r="I1493" s="7" t="str">
        <f>_xlfn.CONCAT(Paper_Reference[[#This Row],[Lvl]:[Paper Description]])</f>
        <v>2J19RB015PWSPSUPER STRIKE P2 28 X 71 1/21100.25100DS009-6200FROSTY WHITE</v>
      </c>
      <c r="J1493" s="7">
        <f>COUNTIF(Paper_Reference[Duplicate Key],Paper_Reference[[#This Row],[Duplicate Key]])</f>
        <v>1</v>
      </c>
    </row>
    <row r="1494" spans="1:10">
      <c r="A1494" s="7">
        <v>2</v>
      </c>
      <c r="B1494" s="8" t="s">
        <v>6190</v>
      </c>
      <c r="C1494" s="8" t="s">
        <v>5728</v>
      </c>
      <c r="D1494" s="7">
        <v>1</v>
      </c>
      <c r="E1494" s="7">
        <v>10</v>
      </c>
      <c r="F1494" s="7">
        <v>0.16669999999999999</v>
      </c>
      <c r="G1494" s="8" t="s">
        <v>5690</v>
      </c>
      <c r="H1494" s="8" t="s">
        <v>5691</v>
      </c>
      <c r="I1494" s="7" t="str">
        <f>_xlfn.CONCAT(Paper_Reference[[#This Row],[Lvl]:[Paper Description]])</f>
        <v>2J19RB016PWTESUPER STRIKE P3 28 X 47 3/41100.1667100DS009-6200FROSTY WHITE</v>
      </c>
      <c r="J1494" s="7">
        <f>COUNTIF(Paper_Reference[Duplicate Key],Paper_Reference[[#This Row],[Duplicate Key]])</f>
        <v>1</v>
      </c>
    </row>
    <row r="1495" spans="1:10">
      <c r="A1495" s="7">
        <v>2</v>
      </c>
      <c r="B1495" s="8" t="s">
        <v>6191</v>
      </c>
      <c r="C1495" s="8" t="s">
        <v>5729</v>
      </c>
      <c r="D1495" s="7">
        <v>1</v>
      </c>
      <c r="E1495" s="7">
        <v>10</v>
      </c>
      <c r="F1495" s="7">
        <v>0.1</v>
      </c>
      <c r="G1495" s="8" t="s">
        <v>5690</v>
      </c>
      <c r="H1495" s="8" t="s">
        <v>5691</v>
      </c>
      <c r="I1495" s="7" t="str">
        <f>_xlfn.CONCAT(Paper_Reference[[#This Row],[Lvl]:[Paper Description]])</f>
        <v>2J19RB017PWTFSUPER STRIKE P1 28 X 251100.1100DS009-6200FROSTY WHITE</v>
      </c>
      <c r="J1495" s="7">
        <f>COUNTIF(Paper_Reference[Duplicate Key],Paper_Reference[[#This Row],[Duplicate Key]])</f>
        <v>1</v>
      </c>
    </row>
    <row r="1496" spans="1:10">
      <c r="A1496" s="7">
        <v>2</v>
      </c>
      <c r="B1496" s="8" t="s">
        <v>6192</v>
      </c>
      <c r="C1496" s="8" t="s">
        <v>5730</v>
      </c>
      <c r="D1496" s="7">
        <v>1</v>
      </c>
      <c r="E1496" s="7">
        <v>10</v>
      </c>
      <c r="F1496" s="7">
        <v>0.1</v>
      </c>
      <c r="G1496" s="8" t="s">
        <v>5690</v>
      </c>
      <c r="H1496" s="8" t="s">
        <v>5691</v>
      </c>
      <c r="I1496" s="7" t="str">
        <f>_xlfn.CONCAT(Paper_Reference[[#This Row],[Lvl]:[Paper Description]])</f>
        <v>2J19RB029PWTFSUPER STRIKE P5 28 X 251100.1100DS009-6200FROSTY WHITE</v>
      </c>
      <c r="J1496" s="7">
        <f>COUNTIF(Paper_Reference[Duplicate Key],Paper_Reference[[#This Row],[Duplicate Key]])</f>
        <v>1</v>
      </c>
    </row>
    <row r="1497" spans="1:10">
      <c r="A1497" s="7">
        <v>2</v>
      </c>
      <c r="B1497" s="8" t="s">
        <v>6193</v>
      </c>
      <c r="C1497" s="8" t="s">
        <v>5731</v>
      </c>
      <c r="D1497" s="7">
        <v>1</v>
      </c>
      <c r="E1497" s="7">
        <v>10</v>
      </c>
      <c r="F1497" s="7">
        <v>0.5</v>
      </c>
      <c r="G1497" s="8" t="s">
        <v>5690</v>
      </c>
      <c r="H1497" s="8" t="s">
        <v>5691</v>
      </c>
      <c r="I1497" s="7" t="str">
        <f>_xlfn.CONCAT(Paper_Reference[[#This Row],[Lvl]:[Paper Description]])</f>
        <v>2J19RB030PXHCSUPER STRIKE P6 28 X 921100.5100DS009-6200FROSTY WHITE</v>
      </c>
      <c r="J1497" s="7">
        <f>COUNTIF(Paper_Reference[Duplicate Key],Paper_Reference[[#This Row],[Duplicate Key]])</f>
        <v>1</v>
      </c>
    </row>
    <row r="1498" spans="1:10">
      <c r="A1498" s="7">
        <v>3</v>
      </c>
      <c r="B1498" s="8" t="s">
        <v>8805</v>
      </c>
      <c r="C1498" s="8" t="s">
        <v>8764</v>
      </c>
      <c r="D1498" s="7">
        <v>1</v>
      </c>
      <c r="E1498" s="7">
        <v>10</v>
      </c>
      <c r="F1498" s="7">
        <v>1</v>
      </c>
      <c r="G1498" s="8" t="s">
        <v>214</v>
      </c>
      <c r="H1498" s="8" t="s">
        <v>423</v>
      </c>
      <c r="I1498" s="7" t="str">
        <f>_xlfn.CONCAT(Paper_Reference[[#This Row],[Lvl]:[Paper Description]])</f>
        <v>3J22I8400PM15GLOW L/O FOUL 41.84 X 85.501101100WM991-4300MAPLE LANE PRINT (W)</v>
      </c>
      <c r="J1498" s="7">
        <f>COUNTIF(Paper_Reference[Duplicate Key],Paper_Reference[[#This Row],[Duplicate Key]])</f>
        <v>1</v>
      </c>
    </row>
    <row r="1499" spans="1:10">
      <c r="A1499" s="7">
        <v>3</v>
      </c>
      <c r="B1499" s="8" t="s">
        <v>8798</v>
      </c>
      <c r="C1499" s="8" t="s">
        <v>8764</v>
      </c>
      <c r="D1499" s="7">
        <v>1</v>
      </c>
      <c r="E1499" s="7">
        <v>10</v>
      </c>
      <c r="F1499" s="7">
        <v>1</v>
      </c>
      <c r="G1499" s="8" t="s">
        <v>214</v>
      </c>
      <c r="H1499" s="8" t="s">
        <v>423</v>
      </c>
      <c r="I1499" s="7" t="str">
        <f>_xlfn.CONCAT(Paper_Reference[[#This Row],[Lvl]:[Paper Description]])</f>
        <v>3J22I8400PM43GLOW L/O FOUL 41.84 X 85.501101100WM991-4300MAPLE LANE PRINT (W)</v>
      </c>
      <c r="J1499" s="7">
        <f>COUNTIF(Paper_Reference[Duplicate Key],Paper_Reference[[#This Row],[Duplicate Key]])</f>
        <v>1</v>
      </c>
    </row>
    <row r="1500" spans="1:10">
      <c r="A1500" s="7">
        <v>3</v>
      </c>
      <c r="B1500" s="8" t="s">
        <v>471</v>
      </c>
      <c r="C1500" s="8" t="s">
        <v>247</v>
      </c>
      <c r="D1500" s="7">
        <v>1</v>
      </c>
      <c r="E1500" s="7">
        <v>10</v>
      </c>
      <c r="F1500" s="7">
        <v>1</v>
      </c>
      <c r="G1500" s="8" t="s">
        <v>214</v>
      </c>
      <c r="H1500" s="8" t="s">
        <v>423</v>
      </c>
      <c r="I1500" s="7" t="str">
        <f>_xlfn.CONCAT(Paper_Reference[[#This Row],[Lvl]:[Paper Description]])</f>
        <v>3J22I8402PM21GLOW24 H/O FOUL 41.84 X 143.251101100WM991-4300MAPLE LANE PRINT (W)</v>
      </c>
      <c r="J1500" s="7">
        <f>COUNTIF(Paper_Reference[Duplicate Key],Paper_Reference[[#This Row],[Duplicate Key]])</f>
        <v>1</v>
      </c>
    </row>
    <row r="1501" spans="1:10">
      <c r="A1501" s="7">
        <v>3</v>
      </c>
      <c r="B1501" s="8" t="s">
        <v>472</v>
      </c>
      <c r="C1501" s="8" t="s">
        <v>248</v>
      </c>
      <c r="D1501" s="7">
        <v>1</v>
      </c>
      <c r="E1501" s="7">
        <v>10</v>
      </c>
      <c r="F1501" s="7">
        <v>1</v>
      </c>
      <c r="G1501" s="8" t="s">
        <v>214</v>
      </c>
      <c r="H1501" s="8" t="s">
        <v>423</v>
      </c>
      <c r="I1501" s="7" t="str">
        <f>_xlfn.CONCAT(Paper_Reference[[#This Row],[Lvl]:[Paper Description]])</f>
        <v>3J22I8403PM22GLOW24 H/O HEAD 41.84 X 143.251101100WM991-4300MAPLE LANE PRINT (W)</v>
      </c>
      <c r="J1501" s="7">
        <f>COUNTIF(Paper_Reference[Duplicate Key],Paper_Reference[[#This Row],[Duplicate Key]])</f>
        <v>1</v>
      </c>
    </row>
    <row r="1502" spans="1:10">
      <c r="A1502" s="7">
        <v>3</v>
      </c>
      <c r="B1502" s="8" t="s">
        <v>8804</v>
      </c>
      <c r="C1502" s="8" t="s">
        <v>8763</v>
      </c>
      <c r="D1502" s="7">
        <v>1</v>
      </c>
      <c r="E1502" s="7">
        <v>10</v>
      </c>
      <c r="F1502" s="7">
        <v>1</v>
      </c>
      <c r="G1502" s="8" t="s">
        <v>214</v>
      </c>
      <c r="H1502" s="8" t="s">
        <v>423</v>
      </c>
      <c r="I1502" s="7" t="str">
        <f>_xlfn.CONCAT(Paper_Reference[[#This Row],[Lvl]:[Paper Description]])</f>
        <v>3J22ICHARPM13GLOW CHARACTER BLKS 41.84 X 141101100WM991-4300MAPLE LANE PRINT (W)</v>
      </c>
      <c r="J1502" s="7">
        <f>COUNTIF(Paper_Reference[Duplicate Key],Paper_Reference[[#This Row],[Duplicate Key]])</f>
        <v>1</v>
      </c>
    </row>
    <row r="1503" spans="1:10">
      <c r="A1503" s="7">
        <v>3</v>
      </c>
      <c r="B1503" s="8" t="s">
        <v>8796</v>
      </c>
      <c r="C1503" s="8" t="s">
        <v>8763</v>
      </c>
      <c r="D1503" s="7">
        <v>1</v>
      </c>
      <c r="E1503" s="7">
        <v>10</v>
      </c>
      <c r="F1503" s="7">
        <v>1</v>
      </c>
      <c r="G1503" s="8" t="s">
        <v>214</v>
      </c>
      <c r="H1503" s="8" t="s">
        <v>423</v>
      </c>
      <c r="I1503" s="7" t="str">
        <f>_xlfn.CONCAT(Paper_Reference[[#This Row],[Lvl]:[Paper Description]])</f>
        <v>3J22ICHARPM41GLOW CHARACTER BLKS 41.84 X 141101100WM991-4300MAPLE LANE PRINT (W)</v>
      </c>
      <c r="J1503" s="7">
        <f>COUNTIF(Paper_Reference[Duplicate Key],Paper_Reference[[#This Row],[Duplicate Key]])</f>
        <v>1</v>
      </c>
    </row>
    <row r="1504" spans="1:10">
      <c r="A1504" s="7">
        <v>3</v>
      </c>
      <c r="B1504" s="8" t="s">
        <v>8803</v>
      </c>
      <c r="C1504" s="8" t="s">
        <v>8720</v>
      </c>
      <c r="D1504" s="7">
        <v>1</v>
      </c>
      <c r="E1504" s="7">
        <v>10</v>
      </c>
      <c r="F1504" s="7">
        <v>1</v>
      </c>
      <c r="G1504" s="8" t="s">
        <v>214</v>
      </c>
      <c r="H1504" s="8" t="s">
        <v>423</v>
      </c>
      <c r="I1504" s="7" t="str">
        <f>_xlfn.CONCAT(Paper_Reference[[#This Row],[Lvl]:[Paper Description]])</f>
        <v>3J22IHEADPM27GLOW HEAD ARROWS 41.84 X 1441101100WM991-4300MAPLE LANE PRINT (W)</v>
      </c>
      <c r="J1504" s="7">
        <f>COUNTIF(Paper_Reference[Duplicate Key],Paper_Reference[[#This Row],[Duplicate Key]])</f>
        <v>1</v>
      </c>
    </row>
    <row r="1505" spans="1:10">
      <c r="A1505" s="7">
        <v>3</v>
      </c>
      <c r="B1505" s="8" t="s">
        <v>8797</v>
      </c>
      <c r="C1505" s="8" t="s">
        <v>8720</v>
      </c>
      <c r="D1505" s="7">
        <v>1</v>
      </c>
      <c r="E1505" s="7">
        <v>10</v>
      </c>
      <c r="F1505" s="7">
        <v>1</v>
      </c>
      <c r="G1505" s="8" t="s">
        <v>214</v>
      </c>
      <c r="H1505" s="8" t="s">
        <v>423</v>
      </c>
      <c r="I1505" s="7" t="str">
        <f>_xlfn.CONCAT(Paper_Reference[[#This Row],[Lvl]:[Paper Description]])</f>
        <v>3J22IHEADPM40GLOW HEAD ARROWS 41.84 X 1441101100WM991-4300MAPLE LANE PRINT (W)</v>
      </c>
      <c r="J1505" s="7">
        <f>COUNTIF(Paper_Reference[Duplicate Key],Paper_Reference[[#This Row],[Duplicate Key]])</f>
        <v>1</v>
      </c>
    </row>
    <row r="1506" spans="1:10">
      <c r="A1506" s="7">
        <v>3</v>
      </c>
      <c r="B1506" s="8" t="s">
        <v>8909</v>
      </c>
      <c r="C1506" s="8" t="s">
        <v>8886</v>
      </c>
      <c r="D1506" s="7">
        <v>1</v>
      </c>
      <c r="E1506" s="7">
        <v>10</v>
      </c>
      <c r="F1506" s="7">
        <v>1</v>
      </c>
      <c r="G1506" s="8" t="s">
        <v>216</v>
      </c>
      <c r="H1506" s="8" t="s">
        <v>424</v>
      </c>
      <c r="I1506" s="7" t="str">
        <f>_xlfn.CONCAT(Paper_Reference[[#This Row],[Lvl]:[Paper Description]])</f>
        <v>3J22ILAPPPM54GLOW L APPROACH 59.5 X 144.001101100WM981-6200LEFT BRUNSWICK MAPLE (W)</v>
      </c>
      <c r="J1506" s="7">
        <f>COUNTIF(Paper_Reference[Duplicate Key],Paper_Reference[[#This Row],[Duplicate Key]])</f>
        <v>1</v>
      </c>
    </row>
    <row r="1507" spans="1:10">
      <c r="A1507" s="7">
        <v>3</v>
      </c>
      <c r="B1507" s="8" t="s">
        <v>8910</v>
      </c>
      <c r="C1507" s="8" t="s">
        <v>8887</v>
      </c>
      <c r="D1507" s="7">
        <v>1</v>
      </c>
      <c r="E1507" s="7">
        <v>10</v>
      </c>
      <c r="F1507" s="7">
        <v>1</v>
      </c>
      <c r="G1507" s="8" t="s">
        <v>216</v>
      </c>
      <c r="H1507" s="8" t="s">
        <v>424</v>
      </c>
      <c r="I1507" s="7" t="str">
        <f>_xlfn.CONCAT(Paper_Reference[[#This Row],[Lvl]:[Paper Description]])</f>
        <v>3J22ILFOUPM55GLOW L FOUL  (T) 59.5 X 142.51101100WM981-6200LEFT BRUNSWICK MAPLE (W)</v>
      </c>
      <c r="J1507" s="7">
        <f>COUNTIF(Paper_Reference[Duplicate Key],Paper_Reference[[#This Row],[Duplicate Key]])</f>
        <v>1</v>
      </c>
    </row>
    <row r="1508" spans="1:10">
      <c r="A1508" s="7">
        <v>3</v>
      </c>
      <c r="B1508" s="8" t="s">
        <v>8863</v>
      </c>
      <c r="C1508" s="8" t="s">
        <v>8841</v>
      </c>
      <c r="D1508" s="7">
        <v>1</v>
      </c>
      <c r="E1508" s="7">
        <v>10</v>
      </c>
      <c r="F1508" s="7">
        <v>1</v>
      </c>
      <c r="G1508" s="8" t="s">
        <v>215</v>
      </c>
      <c r="H1508" s="8" t="s">
        <v>422</v>
      </c>
      <c r="I1508" s="7" t="str">
        <f>_xlfn.CONCAT(Paper_Reference[[#This Row],[Lvl]:[Paper Description]])</f>
        <v>3J22IRAPPPM52GLOW R APPROACH 59.5 X 144.001101100WM101-6200RIGHT BRUNSWICK MAPLE (W)</v>
      </c>
      <c r="J1508" s="7">
        <f>COUNTIF(Paper_Reference[Duplicate Key],Paper_Reference[[#This Row],[Duplicate Key]])</f>
        <v>1</v>
      </c>
    </row>
    <row r="1509" spans="1:10">
      <c r="A1509" s="7">
        <v>3</v>
      </c>
      <c r="B1509" s="8" t="s">
        <v>8864</v>
      </c>
      <c r="C1509" s="8" t="s">
        <v>8842</v>
      </c>
      <c r="D1509" s="7">
        <v>1</v>
      </c>
      <c r="E1509" s="7">
        <v>10</v>
      </c>
      <c r="F1509" s="7">
        <v>1</v>
      </c>
      <c r="G1509" s="8" t="s">
        <v>215</v>
      </c>
      <c r="H1509" s="8" t="s">
        <v>422</v>
      </c>
      <c r="I1509" s="7" t="str">
        <f>_xlfn.CONCAT(Paper_Reference[[#This Row],[Lvl]:[Paper Description]])</f>
        <v>3J22IRFOUPM53GLOW R FOUL (T) 59.5 X 142.51101100WM101-6200RIGHT BRUNSWICK MAPLE (W)</v>
      </c>
      <c r="J1509" s="7">
        <f>COUNTIF(Paper_Reference[Duplicate Key],Paper_Reference[[#This Row],[Duplicate Key]])</f>
        <v>1</v>
      </c>
    </row>
    <row r="1510" spans="1:10">
      <c r="A1510" s="7">
        <v>2</v>
      </c>
      <c r="B1510" s="8" t="s">
        <v>2600</v>
      </c>
      <c r="C1510" s="8" t="s">
        <v>2151</v>
      </c>
      <c r="D1510" s="7">
        <v>1</v>
      </c>
      <c r="E1510" s="7">
        <v>10</v>
      </c>
      <c r="F1510" s="7">
        <v>0.25</v>
      </c>
      <c r="G1510" s="8" t="s">
        <v>2144</v>
      </c>
      <c r="H1510" s="8" t="s">
        <v>1242</v>
      </c>
      <c r="I1510" s="7" t="str">
        <f>_xlfn.CONCAT(Paper_Reference[[#This Row],[Lvl]:[Paper Description]])</f>
        <v>2J22RB739AM23DIG WC200 UV N/B RET 14.15X1441100.2510000020-6200Premium Inkjet MPK 9653</v>
      </c>
      <c r="J1510" s="7">
        <f>COUNTIF(Paper_Reference[Duplicate Key],Paper_Reference[[#This Row],[Duplicate Key]])</f>
        <v>1</v>
      </c>
    </row>
    <row r="1511" spans="1:10">
      <c r="A1511" s="7">
        <v>3</v>
      </c>
      <c r="B1511" s="8" t="s">
        <v>8899</v>
      </c>
      <c r="C1511" s="8" t="s">
        <v>35</v>
      </c>
      <c r="D1511" s="7">
        <v>1</v>
      </c>
      <c r="E1511" s="7">
        <v>10</v>
      </c>
      <c r="F1511" s="7">
        <v>1</v>
      </c>
      <c r="G1511" s="8" t="s">
        <v>216</v>
      </c>
      <c r="H1511" s="8" t="s">
        <v>424</v>
      </c>
      <c r="I1511" s="7" t="str">
        <f>_xlfn.CONCAT(Paper_Reference[[#This Row],[Lvl]:[Paper Description]])</f>
        <v>3J23ILAPPAM51PRO II TEX L APPR 59.5 X 144.01101100WM981-6200LEFT BRUNSWICK MAPLE (W)</v>
      </c>
      <c r="J1511" s="7">
        <f>COUNTIF(Paper_Reference[Duplicate Key],Paper_Reference[[#This Row],[Duplicate Key]])</f>
        <v>1</v>
      </c>
    </row>
    <row r="1512" spans="1:10">
      <c r="A1512" s="7">
        <v>3</v>
      </c>
      <c r="B1512" s="8" t="s">
        <v>8911</v>
      </c>
      <c r="C1512" s="8" t="s">
        <v>8878</v>
      </c>
      <c r="D1512" s="7">
        <v>1</v>
      </c>
      <c r="E1512" s="7">
        <v>10</v>
      </c>
      <c r="F1512" s="7">
        <v>1</v>
      </c>
      <c r="G1512" s="8" t="s">
        <v>216</v>
      </c>
      <c r="H1512" s="8" t="s">
        <v>424</v>
      </c>
      <c r="I1512" s="7" t="str">
        <f>_xlfn.CONCAT(Paper_Reference[[#This Row],[Lvl]:[Paper Description]])</f>
        <v>3J23ILAPPPM51GLOW II L APPR 59.5 X 144.001101100WM981-6200LEFT BRUNSWICK MAPLE (W)</v>
      </c>
      <c r="J1512" s="7">
        <f>COUNTIF(Paper_Reference[Duplicate Key],Paper_Reference[[#This Row],[Duplicate Key]])</f>
        <v>1</v>
      </c>
    </row>
    <row r="1513" spans="1:10">
      <c r="A1513" s="7">
        <v>3</v>
      </c>
      <c r="B1513" s="8" t="s">
        <v>8912</v>
      </c>
      <c r="C1513" s="8" t="s">
        <v>8879</v>
      </c>
      <c r="D1513" s="7">
        <v>1</v>
      </c>
      <c r="E1513" s="7">
        <v>10</v>
      </c>
      <c r="F1513" s="7">
        <v>1</v>
      </c>
      <c r="G1513" s="8" t="s">
        <v>216</v>
      </c>
      <c r="H1513" s="8" t="s">
        <v>424</v>
      </c>
      <c r="I1513" s="7" t="str">
        <f>_xlfn.CONCAT(Paper_Reference[[#This Row],[Lvl]:[Paper Description]])</f>
        <v>3J23ILFOUPM57GLOW II L T-FOUL 59.5 X 142.51101100WM981-6200LEFT BRUNSWICK MAPLE (W)</v>
      </c>
      <c r="J1513" s="7">
        <f>COUNTIF(Paper_Reference[Duplicate Key],Paper_Reference[[#This Row],[Duplicate Key]])</f>
        <v>1</v>
      </c>
    </row>
    <row r="1514" spans="1:10">
      <c r="A1514" s="7">
        <v>3</v>
      </c>
      <c r="B1514" s="8" t="s">
        <v>8900</v>
      </c>
      <c r="C1514" s="8" t="s">
        <v>41</v>
      </c>
      <c r="D1514" s="7">
        <v>1</v>
      </c>
      <c r="E1514" s="7">
        <v>10</v>
      </c>
      <c r="F1514" s="7">
        <v>1</v>
      </c>
      <c r="G1514" s="8" t="s">
        <v>216</v>
      </c>
      <c r="H1514" s="8" t="s">
        <v>424</v>
      </c>
      <c r="I1514" s="7" t="str">
        <f>_xlfn.CONCAT(Paper_Reference[[#This Row],[Lvl]:[Paper Description]])</f>
        <v>3J23ILFOUQM57PRO II TEX L T-FOUL 59.5 X 1421101100WM981-6200LEFT BRUNSWICK MAPLE (W)</v>
      </c>
      <c r="J1514" s="7">
        <f>COUNTIF(Paper_Reference[Duplicate Key],Paper_Reference[[#This Row],[Duplicate Key]])</f>
        <v>1</v>
      </c>
    </row>
    <row r="1515" spans="1:10">
      <c r="A1515" s="7">
        <v>3</v>
      </c>
      <c r="B1515" s="8" t="s">
        <v>8854</v>
      </c>
      <c r="C1515" s="8" t="s">
        <v>32</v>
      </c>
      <c r="D1515" s="7">
        <v>1</v>
      </c>
      <c r="E1515" s="7">
        <v>10</v>
      </c>
      <c r="F1515" s="7">
        <v>1</v>
      </c>
      <c r="G1515" s="8" t="s">
        <v>215</v>
      </c>
      <c r="H1515" s="8" t="s">
        <v>422</v>
      </c>
      <c r="I1515" s="7" t="str">
        <f>_xlfn.CONCAT(Paper_Reference[[#This Row],[Lvl]:[Paper Description]])</f>
        <v>3J23IRAPPAM58PRO II TEX R APPR 59.5 X 144.01101100WM101-6200RIGHT BRUNSWICK MAPLE (W)</v>
      </c>
      <c r="J1515" s="7">
        <f>COUNTIF(Paper_Reference[Duplicate Key],Paper_Reference[[#This Row],[Duplicate Key]])</f>
        <v>1</v>
      </c>
    </row>
    <row r="1516" spans="1:10">
      <c r="A1516" s="7">
        <v>3</v>
      </c>
      <c r="B1516" s="8" t="s">
        <v>8865</v>
      </c>
      <c r="C1516" s="8" t="s">
        <v>8834</v>
      </c>
      <c r="D1516" s="7">
        <v>1</v>
      </c>
      <c r="E1516" s="7">
        <v>10</v>
      </c>
      <c r="F1516" s="7">
        <v>1</v>
      </c>
      <c r="G1516" s="8" t="s">
        <v>215</v>
      </c>
      <c r="H1516" s="8" t="s">
        <v>422</v>
      </c>
      <c r="I1516" s="7" t="str">
        <f>_xlfn.CONCAT(Paper_Reference[[#This Row],[Lvl]:[Paper Description]])</f>
        <v>3J23IRAPPPM58GLOW II R APPR 59.5 X 144.001101100WM101-6200RIGHT BRUNSWICK MAPLE (W)</v>
      </c>
      <c r="J1516" s="7">
        <f>COUNTIF(Paper_Reference[Duplicate Key],Paper_Reference[[#This Row],[Duplicate Key]])</f>
        <v>1</v>
      </c>
    </row>
    <row r="1517" spans="1:10">
      <c r="A1517" s="7">
        <v>3</v>
      </c>
      <c r="B1517" s="8" t="s">
        <v>8866</v>
      </c>
      <c r="C1517" s="8" t="s">
        <v>8835</v>
      </c>
      <c r="D1517" s="7">
        <v>1</v>
      </c>
      <c r="E1517" s="7">
        <v>10</v>
      </c>
      <c r="F1517" s="7">
        <v>1</v>
      </c>
      <c r="G1517" s="8" t="s">
        <v>215</v>
      </c>
      <c r="H1517" s="8" t="s">
        <v>422</v>
      </c>
      <c r="I1517" s="7" t="str">
        <f>_xlfn.CONCAT(Paper_Reference[[#This Row],[Lvl]:[Paper Description]])</f>
        <v>3J23IRFOUPM56GLOW II R T-FOUL 59.5 X 142.51101100WM101-6200RIGHT BRUNSWICK MAPLE (W)</v>
      </c>
      <c r="J1517" s="7">
        <f>COUNTIF(Paper_Reference[Duplicate Key],Paper_Reference[[#This Row],[Duplicate Key]])</f>
        <v>1</v>
      </c>
    </row>
    <row r="1518" spans="1:10">
      <c r="A1518" s="7">
        <v>3</v>
      </c>
      <c r="B1518" s="8" t="s">
        <v>8855</v>
      </c>
      <c r="C1518" s="8" t="s">
        <v>38</v>
      </c>
      <c r="D1518" s="7">
        <v>1</v>
      </c>
      <c r="E1518" s="7">
        <v>10</v>
      </c>
      <c r="F1518" s="7">
        <v>1</v>
      </c>
      <c r="G1518" s="8" t="s">
        <v>215</v>
      </c>
      <c r="H1518" s="8" t="s">
        <v>422</v>
      </c>
      <c r="I1518" s="7" t="str">
        <f>_xlfn.CONCAT(Paper_Reference[[#This Row],[Lvl]:[Paper Description]])</f>
        <v>3J23IRFOUQM56PRO II TEX R T-FOUL 59.5 X 1421101100WM101-6200RIGHT BRUNSWICK MAPLE (W)</v>
      </c>
      <c r="J1518" s="7">
        <f>COUNTIF(Paper_Reference[Duplicate Key],Paper_Reference[[#This Row],[Duplicate Key]])</f>
        <v>1</v>
      </c>
    </row>
    <row r="1519" spans="1:10">
      <c r="A1519" s="7">
        <v>3</v>
      </c>
      <c r="B1519" s="8" t="s">
        <v>1097</v>
      </c>
      <c r="C1519" s="8" t="s">
        <v>1062</v>
      </c>
      <c r="D1519" s="7">
        <v>1</v>
      </c>
      <c r="E1519" s="7">
        <v>10</v>
      </c>
      <c r="F1519" s="7">
        <v>0.33329999999999999</v>
      </c>
      <c r="G1519" s="8" t="s">
        <v>975</v>
      </c>
      <c r="H1519" s="8" t="s">
        <v>983</v>
      </c>
      <c r="I1519" s="7" t="str">
        <f>_xlfn.CONCAT(Paper_Reference[[#This Row],[Lvl]:[Paper Description]])</f>
        <v>3J23UB001AM24PRO II TEX W/R S/PLAY15.25X1441100.3333100WM111-6200RETURN MAPLE PRINT</v>
      </c>
      <c r="J1519" s="7">
        <f>COUNTIF(Paper_Reference[Duplicate Key],Paper_Reference[[#This Row],[Duplicate Key]])</f>
        <v>1</v>
      </c>
    </row>
    <row r="1520" spans="1:10">
      <c r="A1520" s="7">
        <v>4</v>
      </c>
      <c r="B1520" s="8" t="s">
        <v>8913</v>
      </c>
      <c r="C1520" s="8" t="s">
        <v>8888</v>
      </c>
      <c r="D1520" s="7">
        <v>1</v>
      </c>
      <c r="E1520" s="7">
        <v>10</v>
      </c>
      <c r="F1520" s="7">
        <v>1</v>
      </c>
      <c r="G1520" s="8" t="s">
        <v>216</v>
      </c>
      <c r="H1520" s="8" t="s">
        <v>424</v>
      </c>
      <c r="I1520" s="7" t="str">
        <f>_xlfn.CONCAT(Paper_Reference[[#This Row],[Lvl]:[Paper Description]])</f>
        <v>4J23YB001QM57PRO II TEX LF PALMS 59.5X142.51101100WM981-6200LEFT BRUNSWICK MAPLE (W)</v>
      </c>
      <c r="J1520" s="7">
        <f>COUNTIF(Paper_Reference[Duplicate Key],Paper_Reference[[#This Row],[Duplicate Key]])</f>
        <v>1</v>
      </c>
    </row>
    <row r="1521" spans="1:10">
      <c r="A1521" s="7">
        <v>4</v>
      </c>
      <c r="B1521" s="8" t="s">
        <v>8867</v>
      </c>
      <c r="C1521" s="8" t="s">
        <v>8843</v>
      </c>
      <c r="D1521" s="7">
        <v>1</v>
      </c>
      <c r="E1521" s="7">
        <v>10</v>
      </c>
      <c r="F1521" s="7">
        <v>1</v>
      </c>
      <c r="G1521" s="8" t="s">
        <v>215</v>
      </c>
      <c r="H1521" s="8" t="s">
        <v>422</v>
      </c>
      <c r="I1521" s="7" t="str">
        <f>_xlfn.CONCAT(Paper_Reference[[#This Row],[Lvl]:[Paper Description]])</f>
        <v>4J23YB002QM56PRO II TEX RF PALMS 59.5X142.51101100WM101-6200RIGHT BRUNSWICK MAPLE (W)</v>
      </c>
      <c r="J1521" s="7">
        <f>COUNTIF(Paper_Reference[Duplicate Key],Paper_Reference[[#This Row],[Duplicate Key]])</f>
        <v>1</v>
      </c>
    </row>
    <row r="1522" spans="1:10">
      <c r="A1522" s="7">
        <v>2</v>
      </c>
      <c r="B1522" s="8" t="s">
        <v>1013</v>
      </c>
      <c r="C1522" s="8" t="s">
        <v>1001</v>
      </c>
      <c r="D1522" s="7">
        <v>1</v>
      </c>
      <c r="E1522" s="7">
        <v>10</v>
      </c>
      <c r="F1522" s="7">
        <v>1</v>
      </c>
      <c r="G1522" s="8" t="s">
        <v>973</v>
      </c>
      <c r="H1522" s="8" t="s">
        <v>982</v>
      </c>
      <c r="I1522" s="7" t="str">
        <f>_xlfn.CONCAT(Paper_Reference[[#This Row],[Lvl]:[Paper Description]])</f>
        <v>2J24B0069AM51PRO UV DD B SILVER LA 59.5X1441101100KM010-6200MG BRUNS SILVER</v>
      </c>
      <c r="J1522" s="7">
        <f>COUNTIF(Paper_Reference[Duplicate Key],Paper_Reference[[#This Row],[Duplicate Key]])</f>
        <v>1</v>
      </c>
    </row>
    <row r="1523" spans="1:10">
      <c r="A1523" s="7">
        <v>2</v>
      </c>
      <c r="B1523" s="8" t="s">
        <v>1014</v>
      </c>
      <c r="C1523" s="8" t="s">
        <v>1002</v>
      </c>
      <c r="D1523" s="7">
        <v>1</v>
      </c>
      <c r="E1523" s="7">
        <v>10</v>
      </c>
      <c r="F1523" s="7">
        <v>1</v>
      </c>
      <c r="G1523" s="8" t="s">
        <v>973</v>
      </c>
      <c r="H1523" s="8" t="s">
        <v>982</v>
      </c>
      <c r="I1523" s="7" t="str">
        <f>_xlfn.CONCAT(Paper_Reference[[#This Row],[Lvl]:[Paper Description]])</f>
        <v>2J24B0070AM58PRO UV DD B SILVER RA 59.5X1441101100KM010-6200MG BRUNS SILVER</v>
      </c>
      <c r="J1523" s="7">
        <f>COUNTIF(Paper_Reference[Duplicate Key],Paper_Reference[[#This Row],[Duplicate Key]])</f>
        <v>1</v>
      </c>
    </row>
    <row r="1524" spans="1:10">
      <c r="A1524" s="7">
        <v>2</v>
      </c>
      <c r="B1524" s="8" t="s">
        <v>1015</v>
      </c>
      <c r="C1524" s="8" t="s">
        <v>1003</v>
      </c>
      <c r="D1524" s="7">
        <v>1</v>
      </c>
      <c r="E1524" s="7">
        <v>10</v>
      </c>
      <c r="F1524" s="7">
        <v>1</v>
      </c>
      <c r="G1524" s="8" t="s">
        <v>973</v>
      </c>
      <c r="H1524" s="8" t="s">
        <v>982</v>
      </c>
      <c r="I1524" s="7" t="str">
        <f>_xlfn.CONCAT(Paper_Reference[[#This Row],[Lvl]:[Paper Description]])</f>
        <v>2J24B0071QB57PRO UV DD B SILVER LF/A 59.5X11101100KM010-6200MG BRUNS SILVER</v>
      </c>
      <c r="J1524" s="7">
        <f>COUNTIF(Paper_Reference[Duplicate Key],Paper_Reference[[#This Row],[Duplicate Key]])</f>
        <v>1</v>
      </c>
    </row>
    <row r="1525" spans="1:10">
      <c r="A1525" s="7">
        <v>2</v>
      </c>
      <c r="B1525" s="8" t="s">
        <v>1016</v>
      </c>
      <c r="C1525" s="8" t="s">
        <v>1004</v>
      </c>
      <c r="D1525" s="7">
        <v>1</v>
      </c>
      <c r="E1525" s="7">
        <v>10</v>
      </c>
      <c r="F1525" s="7">
        <v>1</v>
      </c>
      <c r="G1525" s="8" t="s">
        <v>973</v>
      </c>
      <c r="H1525" s="8" t="s">
        <v>982</v>
      </c>
      <c r="I1525" s="7" t="str">
        <f>_xlfn.CONCAT(Paper_Reference[[#This Row],[Lvl]:[Paper Description]])</f>
        <v>2J24B0072QB56PRO UV DD B SILVER RF/A 59.5X11101100KM010-6200MG BRUNS SILVER</v>
      </c>
      <c r="J1525" s="7">
        <f>COUNTIF(Paper_Reference[Duplicate Key],Paper_Reference[[#This Row],[Duplicate Key]])</f>
        <v>1</v>
      </c>
    </row>
    <row r="1526" spans="1:10">
      <c r="A1526" s="7">
        <v>2</v>
      </c>
      <c r="B1526" s="8" t="s">
        <v>1017</v>
      </c>
      <c r="C1526" s="8" t="s">
        <v>1005</v>
      </c>
      <c r="D1526" s="7">
        <v>1</v>
      </c>
      <c r="E1526" s="7">
        <v>10</v>
      </c>
      <c r="F1526" s="7">
        <v>1</v>
      </c>
      <c r="G1526" s="8" t="s">
        <v>973</v>
      </c>
      <c r="H1526" s="8" t="s">
        <v>982</v>
      </c>
      <c r="I1526" s="7" t="str">
        <f>_xlfn.CONCAT(Paper_Reference[[#This Row],[Lvl]:[Paper Description]])</f>
        <v>2J24B0073PM41PRO UV DD B SILVER LN 41.84X141101100KM010-6200MG BRUNS SILVER</v>
      </c>
      <c r="J1526" s="7">
        <f>COUNTIF(Paper_Reference[Duplicate Key],Paper_Reference[[#This Row],[Duplicate Key]])</f>
        <v>1</v>
      </c>
    </row>
    <row r="1527" spans="1:10">
      <c r="A1527" s="7">
        <v>2</v>
      </c>
      <c r="B1527" s="8" t="s">
        <v>1018</v>
      </c>
      <c r="C1527" s="8" t="s">
        <v>1006</v>
      </c>
      <c r="D1527" s="7">
        <v>1</v>
      </c>
      <c r="E1527" s="7">
        <v>10</v>
      </c>
      <c r="F1527" s="7">
        <v>0.33329999999999999</v>
      </c>
      <c r="G1527" s="8" t="s">
        <v>973</v>
      </c>
      <c r="H1527" s="8" t="s">
        <v>982</v>
      </c>
      <c r="I1527" s="7" t="str">
        <f>_xlfn.CONCAT(Paper_Reference[[#This Row],[Lvl]:[Paper Description]])</f>
        <v>2J24B0073PM42PRO UV DD B SILVER SH 41.84X471100.3333100KM010-6200MG BRUNS SILVER</v>
      </c>
      <c r="J1527" s="7">
        <f>COUNTIF(Paper_Reference[Duplicate Key],Paper_Reference[[#This Row],[Duplicate Key]])</f>
        <v>1</v>
      </c>
    </row>
    <row r="1528" spans="1:10">
      <c r="A1528" s="7">
        <v>2</v>
      </c>
      <c r="B1528" s="8" t="s">
        <v>136</v>
      </c>
      <c r="C1528" s="8" t="s">
        <v>137</v>
      </c>
      <c r="D1528" s="7">
        <v>1</v>
      </c>
      <c r="E1528" s="7">
        <v>10</v>
      </c>
      <c r="F1528" s="7">
        <v>1</v>
      </c>
      <c r="G1528" s="8" t="s">
        <v>214</v>
      </c>
      <c r="H1528" s="8" t="s">
        <v>423</v>
      </c>
      <c r="I1528" s="7" t="str">
        <f>_xlfn.CONCAT(Paper_Reference[[#This Row],[Lvl]:[Paper Description]])</f>
        <v>2J24B0243PM41PRO OFCL LOGO COM 41.84X1441101100WM991-4300MAPLE LANE PRINT (W)</v>
      </c>
      <c r="J1528" s="7">
        <f>COUNTIF(Paper_Reference[Duplicate Key],Paper_Reference[[#This Row],[Duplicate Key]])</f>
        <v>1</v>
      </c>
    </row>
    <row r="1529" spans="1:10">
      <c r="A1529" s="7">
        <v>3</v>
      </c>
      <c r="B1529" s="8" t="s">
        <v>8800</v>
      </c>
      <c r="C1529" s="8" t="s">
        <v>8764</v>
      </c>
      <c r="D1529" s="7">
        <v>1</v>
      </c>
      <c r="E1529" s="7">
        <v>10</v>
      </c>
      <c r="F1529" s="7">
        <v>1</v>
      </c>
      <c r="G1529" s="8" t="s">
        <v>214</v>
      </c>
      <c r="H1529" s="8" t="s">
        <v>423</v>
      </c>
      <c r="I1529" s="7" t="str">
        <f>_xlfn.CONCAT(Paper_Reference[[#This Row],[Lvl]:[Paper Description]])</f>
        <v>3J24I8400PM43GLOW L/O FOUL 41.84 X 85.501101100WM991-4300MAPLE LANE PRINT (W)</v>
      </c>
      <c r="J1529" s="7">
        <f>COUNTIF(Paper_Reference[Duplicate Key],Paper_Reference[[#This Row],[Duplicate Key]])</f>
        <v>1</v>
      </c>
    </row>
    <row r="1530" spans="1:10">
      <c r="A1530" s="7">
        <v>3</v>
      </c>
      <c r="B1530" s="8" t="s">
        <v>8817</v>
      </c>
      <c r="C1530" s="8" t="s">
        <v>8776</v>
      </c>
      <c r="D1530" s="7">
        <v>1</v>
      </c>
      <c r="E1530" s="7">
        <v>10</v>
      </c>
      <c r="F1530" s="7">
        <v>1</v>
      </c>
      <c r="G1530" s="8" t="s">
        <v>214</v>
      </c>
      <c r="H1530" s="8" t="s">
        <v>423</v>
      </c>
      <c r="I1530" s="7" t="str">
        <f>_xlfn.CONCAT(Paper_Reference[[#This Row],[Lvl]:[Paper Description]])</f>
        <v>3J24I8912PM40JR 1C PRO HEAD PANEL 41.84 X 11101100WM991-4300MAPLE LANE PRINT (W)</v>
      </c>
      <c r="J1530" s="7">
        <f>COUNTIF(Paper_Reference[Duplicate Key],Paper_Reference[[#This Row],[Duplicate Key]])</f>
        <v>1</v>
      </c>
    </row>
    <row r="1531" spans="1:10">
      <c r="A1531" s="7">
        <v>3</v>
      </c>
      <c r="B1531" s="8" t="s">
        <v>8816</v>
      </c>
      <c r="C1531" s="8" t="s">
        <v>8775</v>
      </c>
      <c r="D1531" s="7">
        <v>1</v>
      </c>
      <c r="E1531" s="7">
        <v>10</v>
      </c>
      <c r="F1531" s="7">
        <v>1</v>
      </c>
      <c r="G1531" s="8" t="s">
        <v>214</v>
      </c>
      <c r="H1531" s="8" t="s">
        <v>423</v>
      </c>
      <c r="I1531" s="7" t="str">
        <f>_xlfn.CONCAT(Paper_Reference[[#This Row],[Lvl]:[Paper Description]])</f>
        <v>3J24I8913PM40JR 2C PRO HEAD PANEL 41.84 X 11101100WM991-4300MAPLE LANE PRINT (W)</v>
      </c>
      <c r="J1531" s="7">
        <f>COUNTIF(Paper_Reference[Duplicate Key],Paper_Reference[[#This Row],[Duplicate Key]])</f>
        <v>1</v>
      </c>
    </row>
    <row r="1532" spans="1:10">
      <c r="A1532" s="7">
        <v>3</v>
      </c>
      <c r="B1532" s="8" t="s">
        <v>8815</v>
      </c>
      <c r="C1532" s="8" t="s">
        <v>8774</v>
      </c>
      <c r="D1532" s="7">
        <v>1</v>
      </c>
      <c r="E1532" s="7">
        <v>10</v>
      </c>
      <c r="F1532" s="7">
        <v>1</v>
      </c>
      <c r="G1532" s="8" t="s">
        <v>214</v>
      </c>
      <c r="H1532" s="8" t="s">
        <v>423</v>
      </c>
      <c r="I1532" s="7" t="str">
        <f>_xlfn.CONCAT(Paper_Reference[[#This Row],[Lvl]:[Paper Description]])</f>
        <v>3J24I8914PM41JR 1E PRO CHARACTER 41.84X1441101100WM991-4300MAPLE LANE PRINT (W)</v>
      </c>
      <c r="J1532" s="7">
        <f>COUNTIF(Paper_Reference[Duplicate Key],Paper_Reference[[#This Row],[Duplicate Key]])</f>
        <v>1</v>
      </c>
    </row>
    <row r="1533" spans="1:10">
      <c r="A1533" s="7">
        <v>3</v>
      </c>
      <c r="B1533" s="8" t="s">
        <v>8814</v>
      </c>
      <c r="C1533" s="8" t="s">
        <v>8773</v>
      </c>
      <c r="D1533" s="7">
        <v>1</v>
      </c>
      <c r="E1533" s="7">
        <v>10</v>
      </c>
      <c r="F1533" s="7">
        <v>1</v>
      </c>
      <c r="G1533" s="8" t="s">
        <v>214</v>
      </c>
      <c r="H1533" s="8" t="s">
        <v>423</v>
      </c>
      <c r="I1533" s="7" t="str">
        <f>_xlfn.CONCAT(Paper_Reference[[#This Row],[Lvl]:[Paper Description]])</f>
        <v>3J24I8915PM41JR 2E PRO CHARACTER 41.84X1441101100WM991-4300MAPLE LANE PRINT (W)</v>
      </c>
      <c r="J1533" s="7">
        <f>COUNTIF(Paper_Reference[Duplicate Key],Paper_Reference[[#This Row],[Duplicate Key]])</f>
        <v>1</v>
      </c>
    </row>
    <row r="1534" spans="1:10">
      <c r="A1534" s="7">
        <v>3</v>
      </c>
      <c r="B1534" s="8" t="s">
        <v>8806</v>
      </c>
      <c r="C1534" s="8" t="s">
        <v>8765</v>
      </c>
      <c r="D1534" s="7">
        <v>1</v>
      </c>
      <c r="E1534" s="7">
        <v>10</v>
      </c>
      <c r="F1534" s="7">
        <v>0.33329999999999999</v>
      </c>
      <c r="G1534" s="8" t="s">
        <v>214</v>
      </c>
      <c r="H1534" s="8" t="s">
        <v>423</v>
      </c>
      <c r="I1534" s="7" t="str">
        <f>_xlfn.CONCAT(Paper_Reference[[#This Row],[Lvl]:[Paper Description]])</f>
        <v>3J24I9126PM42SHORT DEADWOOD 41.84 X 47.1251100.3333100WM991-4300MAPLE LANE PRINT (W)</v>
      </c>
      <c r="J1534" s="7">
        <f>COUNTIF(Paper_Reference[Duplicate Key],Paper_Reference[[#This Row],[Duplicate Key]])</f>
        <v>1</v>
      </c>
    </row>
    <row r="1535" spans="1:10">
      <c r="A1535" s="7">
        <v>3</v>
      </c>
      <c r="B1535" s="8" t="s">
        <v>9530</v>
      </c>
      <c r="C1535" s="8" t="s">
        <v>9192</v>
      </c>
      <c r="D1535" s="7">
        <v>1</v>
      </c>
      <c r="E1535" s="7">
        <v>10</v>
      </c>
      <c r="F1535" s="7">
        <v>1</v>
      </c>
      <c r="G1535" s="8" t="s">
        <v>9143</v>
      </c>
      <c r="H1535" s="8" t="s">
        <v>9144</v>
      </c>
      <c r="I1535" s="30" t="str">
        <f>_xlfn.CONCAT(Paper_Reference[[#This Row],[Lvl]:[Paper Description]])</f>
        <v>3J24I9152AM51PFA39 UV PRO L APPR 59.5 X 1441101100PFA39-6200SINGING THE CHICAGO BLUES</v>
      </c>
      <c r="J1535" s="30">
        <f>COUNTIF(Paper_Reference[Duplicate Key],Paper_Reference[[#This Row],[Duplicate Key]])</f>
        <v>1</v>
      </c>
    </row>
    <row r="1536" spans="1:10">
      <c r="A1536" s="7">
        <v>3</v>
      </c>
      <c r="B1536" s="8" t="s">
        <v>9531</v>
      </c>
      <c r="C1536" s="8" t="s">
        <v>9196</v>
      </c>
      <c r="D1536" s="7">
        <v>1</v>
      </c>
      <c r="E1536" s="7">
        <v>10</v>
      </c>
      <c r="F1536" s="7">
        <v>1</v>
      </c>
      <c r="G1536" s="8" t="s">
        <v>9143</v>
      </c>
      <c r="H1536" s="8" t="s">
        <v>9144</v>
      </c>
      <c r="I1536" s="30" t="str">
        <f>_xlfn.CONCAT(Paper_Reference[[#This Row],[Lvl]:[Paper Description]])</f>
        <v>3J24I9153AM58PFA39 UV PRO R APPR 59.5 X 1441101100PFA39-6200SINGING THE CHICAGO BLUES</v>
      </c>
      <c r="J1536" s="30">
        <f>COUNTIF(Paper_Reference[Duplicate Key],Paper_Reference[[#This Row],[Duplicate Key]])</f>
        <v>1</v>
      </c>
    </row>
    <row r="1537" spans="1:10">
      <c r="A1537" s="7">
        <v>3</v>
      </c>
      <c r="B1537" s="8" t="s">
        <v>9532</v>
      </c>
      <c r="C1537" s="8" t="s">
        <v>9200</v>
      </c>
      <c r="D1537" s="7">
        <v>1</v>
      </c>
      <c r="E1537" s="7">
        <v>10</v>
      </c>
      <c r="F1537" s="7">
        <v>1</v>
      </c>
      <c r="G1537" s="8" t="s">
        <v>9143</v>
      </c>
      <c r="H1537" s="8" t="s">
        <v>9144</v>
      </c>
      <c r="I1537" s="30" t="str">
        <f>_xlfn.CONCAT(Paper_Reference[[#This Row],[Lvl]:[Paper Description]])</f>
        <v>3J24I9154QM57PFA39 UV PRO L FOUL 59.5X142.51101100PFA39-6200SINGING THE CHICAGO BLUES</v>
      </c>
      <c r="J1537" s="30">
        <f>COUNTIF(Paper_Reference[Duplicate Key],Paper_Reference[[#This Row],[Duplicate Key]])</f>
        <v>1</v>
      </c>
    </row>
    <row r="1538" spans="1:10">
      <c r="A1538" s="7">
        <v>3</v>
      </c>
      <c r="B1538" s="8" t="s">
        <v>9533</v>
      </c>
      <c r="C1538" s="8" t="s">
        <v>9204</v>
      </c>
      <c r="D1538" s="7">
        <v>1</v>
      </c>
      <c r="E1538" s="7">
        <v>10</v>
      </c>
      <c r="F1538" s="7">
        <v>1</v>
      </c>
      <c r="G1538" s="8" t="s">
        <v>9143</v>
      </c>
      <c r="H1538" s="8" t="s">
        <v>9144</v>
      </c>
      <c r="I1538" s="30" t="str">
        <f>_xlfn.CONCAT(Paper_Reference[[#This Row],[Lvl]:[Paper Description]])</f>
        <v>3J24I9155QM56PFA39 UV PRO R FOUL 59.5X142.51101100PFA39-6200SINGING THE CHICAGO BLUES</v>
      </c>
      <c r="J1538" s="30">
        <f>COUNTIF(Paper_Reference[Duplicate Key],Paper_Reference[[#This Row],[Duplicate Key]])</f>
        <v>1</v>
      </c>
    </row>
    <row r="1539" spans="1:10">
      <c r="A1539" s="7">
        <v>3</v>
      </c>
      <c r="B1539" s="8" t="s">
        <v>9509</v>
      </c>
      <c r="C1539" s="8" t="s">
        <v>9222</v>
      </c>
      <c r="D1539" s="7">
        <v>1</v>
      </c>
      <c r="E1539" s="7">
        <v>10</v>
      </c>
      <c r="F1539" s="7">
        <v>1</v>
      </c>
      <c r="G1539" s="8" t="s">
        <v>9143</v>
      </c>
      <c r="H1539" s="8" t="s">
        <v>9144</v>
      </c>
      <c r="I1539" s="30" t="str">
        <f>_xlfn.CONCAT(Paper_Reference[[#This Row],[Lvl]:[Paper Description]])</f>
        <v>3J24I9156PM40PFA39 UV PRO L HEAD 41.84X1441101100PFA39-6200SINGING THE CHICAGO BLUES</v>
      </c>
      <c r="J1539" s="30">
        <f>COUNTIF(Paper_Reference[Duplicate Key],Paper_Reference[[#This Row],[Duplicate Key]])</f>
        <v>1</v>
      </c>
    </row>
    <row r="1540" spans="1:10">
      <c r="A1540" s="7">
        <v>3</v>
      </c>
      <c r="B1540" s="8" t="s">
        <v>9505</v>
      </c>
      <c r="C1540" s="8" t="s">
        <v>9208</v>
      </c>
      <c r="D1540" s="7">
        <v>1</v>
      </c>
      <c r="E1540" s="7">
        <v>10</v>
      </c>
      <c r="F1540" s="7">
        <v>1</v>
      </c>
      <c r="G1540" s="8" t="s">
        <v>9143</v>
      </c>
      <c r="H1540" s="8" t="s">
        <v>9144</v>
      </c>
      <c r="I1540" s="30" t="str">
        <f>_xlfn.CONCAT(Paper_Reference[[#This Row],[Lvl]:[Paper Description]])</f>
        <v>3J24I9157PM40PFA39 UV PRO R HEAD 41.84X1441101100PFA39-6200SINGING THE CHICAGO BLUES</v>
      </c>
      <c r="J1540" s="30">
        <f>COUNTIF(Paper_Reference[Duplicate Key],Paper_Reference[[#This Row],[Duplicate Key]])</f>
        <v>1</v>
      </c>
    </row>
    <row r="1541" spans="1:10">
      <c r="A1541" s="7">
        <v>3</v>
      </c>
      <c r="B1541" s="8" t="s">
        <v>9510</v>
      </c>
      <c r="C1541" s="8" t="s">
        <v>9226</v>
      </c>
      <c r="D1541" s="7">
        <v>1</v>
      </c>
      <c r="E1541" s="7">
        <v>10</v>
      </c>
      <c r="F1541" s="7">
        <v>1</v>
      </c>
      <c r="G1541" s="8" t="s">
        <v>9143</v>
      </c>
      <c r="H1541" s="8" t="s">
        <v>9144</v>
      </c>
      <c r="I1541" s="30" t="str">
        <f>_xlfn.CONCAT(Paper_Reference[[#This Row],[Lvl]:[Paper Description]])</f>
        <v>3J24I9158PM41PFA39 UV PRO L LANE 41.84X1441101100PFA39-6200SINGING THE CHICAGO BLUES</v>
      </c>
      <c r="J1541" s="30">
        <f>COUNTIF(Paper_Reference[Duplicate Key],Paper_Reference[[#This Row],[Duplicate Key]])</f>
        <v>1</v>
      </c>
    </row>
    <row r="1542" spans="1:10">
      <c r="A1542" s="7">
        <v>3</v>
      </c>
      <c r="B1542" s="8" t="s">
        <v>9511</v>
      </c>
      <c r="C1542" s="8" t="s">
        <v>9230</v>
      </c>
      <c r="D1542" s="7">
        <v>1</v>
      </c>
      <c r="E1542" s="7">
        <v>10</v>
      </c>
      <c r="F1542" s="7">
        <v>0.33329999999999999</v>
      </c>
      <c r="G1542" s="8" t="s">
        <v>9143</v>
      </c>
      <c r="H1542" s="8" t="s">
        <v>9144</v>
      </c>
      <c r="I1542" s="30" t="str">
        <f>_xlfn.CONCAT(Paper_Reference[[#This Row],[Lvl]:[Paper Description]])</f>
        <v>3J24I9158PM42PFA39 UV PRO L SHORT 41.84X47.1100.3333100PFA39-6200SINGING THE CHICAGO BLUES</v>
      </c>
      <c r="J1542" s="30">
        <f>COUNTIF(Paper_Reference[Duplicate Key],Paper_Reference[[#This Row],[Duplicate Key]])</f>
        <v>1</v>
      </c>
    </row>
    <row r="1543" spans="1:10">
      <c r="A1543" s="7">
        <v>3</v>
      </c>
      <c r="B1543" s="8" t="s">
        <v>9506</v>
      </c>
      <c r="C1543" s="8" t="s">
        <v>9212</v>
      </c>
      <c r="D1543" s="7">
        <v>1</v>
      </c>
      <c r="E1543" s="7">
        <v>10</v>
      </c>
      <c r="F1543" s="7">
        <v>1</v>
      </c>
      <c r="G1543" s="8" t="s">
        <v>9143</v>
      </c>
      <c r="H1543" s="8" t="s">
        <v>9144</v>
      </c>
      <c r="I1543" s="30" t="str">
        <f>_xlfn.CONCAT(Paper_Reference[[#This Row],[Lvl]:[Paper Description]])</f>
        <v>3J24I9159PM41PFA39 UV PRO R LANE 41.84X1441101100PFA39-6200SINGING THE CHICAGO BLUES</v>
      </c>
      <c r="J1543" s="30">
        <f>COUNTIF(Paper_Reference[Duplicate Key],Paper_Reference[[#This Row],[Duplicate Key]])</f>
        <v>1</v>
      </c>
    </row>
    <row r="1544" spans="1:10">
      <c r="A1544" s="7">
        <v>3</v>
      </c>
      <c r="B1544" s="8" t="s">
        <v>9507</v>
      </c>
      <c r="C1544" s="8" t="s">
        <v>9216</v>
      </c>
      <c r="D1544" s="7">
        <v>1</v>
      </c>
      <c r="E1544" s="7">
        <v>10</v>
      </c>
      <c r="F1544" s="7">
        <v>0.33329999999999999</v>
      </c>
      <c r="G1544" s="8" t="s">
        <v>9143</v>
      </c>
      <c r="H1544" s="8" t="s">
        <v>9144</v>
      </c>
      <c r="I1544" s="30" t="str">
        <f>_xlfn.CONCAT(Paper_Reference[[#This Row],[Lvl]:[Paper Description]])</f>
        <v>3J24I9159PM42PFA39 UV PRO R SHORT 41.84X47.1100.3333100PFA39-6200SINGING THE CHICAGO BLUES</v>
      </c>
      <c r="J1544" s="30">
        <f>COUNTIF(Paper_Reference[Duplicate Key],Paper_Reference[[#This Row],[Duplicate Key]])</f>
        <v>1</v>
      </c>
    </row>
    <row r="1545" spans="1:10">
      <c r="A1545" s="7">
        <v>3</v>
      </c>
      <c r="B1545" s="8" t="s">
        <v>9512</v>
      </c>
      <c r="C1545" s="8" t="s">
        <v>9232</v>
      </c>
      <c r="D1545" s="7">
        <v>1</v>
      </c>
      <c r="E1545" s="7">
        <v>10</v>
      </c>
      <c r="F1545" s="7">
        <v>1</v>
      </c>
      <c r="G1545" s="8" t="s">
        <v>9143</v>
      </c>
      <c r="H1545" s="8" t="s">
        <v>9144</v>
      </c>
      <c r="I1545" s="30" t="str">
        <f>_xlfn.CONCAT(Paper_Reference[[#This Row],[Lvl]:[Paper Description]])</f>
        <v>3J24I9160PM41PFA39 UV PRO L CHAR 41.875X1441101100PFA39-6200SINGING THE CHICAGO BLUES</v>
      </c>
      <c r="J1545" s="30">
        <f>COUNTIF(Paper_Reference[Duplicate Key],Paper_Reference[[#This Row],[Duplicate Key]])</f>
        <v>1</v>
      </c>
    </row>
    <row r="1546" spans="1:10">
      <c r="A1546" s="7">
        <v>3</v>
      </c>
      <c r="B1546" s="8" t="s">
        <v>9508</v>
      </c>
      <c r="C1546" s="8" t="s">
        <v>9218</v>
      </c>
      <c r="D1546" s="7">
        <v>1</v>
      </c>
      <c r="E1546" s="7">
        <v>10</v>
      </c>
      <c r="F1546" s="7">
        <v>1</v>
      </c>
      <c r="G1546" s="8" t="s">
        <v>9143</v>
      </c>
      <c r="H1546" s="8" t="s">
        <v>9144</v>
      </c>
      <c r="I1546" s="30" t="str">
        <f>_xlfn.CONCAT(Paper_Reference[[#This Row],[Lvl]:[Paper Description]])</f>
        <v>3J24I9161PM41PFA39 UV PRO R CHAR 41.875X1441101100PFA39-6200SINGING THE CHICAGO BLUES</v>
      </c>
      <c r="J1546" s="30">
        <f>COUNTIF(Paper_Reference[Duplicate Key],Paper_Reference[[#This Row],[Duplicate Key]])</f>
        <v>1</v>
      </c>
    </row>
    <row r="1547" spans="1:10">
      <c r="A1547" s="7">
        <v>3</v>
      </c>
      <c r="B1547" s="8" t="s">
        <v>9604</v>
      </c>
      <c r="C1547" s="8" t="s">
        <v>9230</v>
      </c>
      <c r="D1547" s="7">
        <v>1</v>
      </c>
      <c r="E1547" s="7">
        <v>10</v>
      </c>
      <c r="F1547" s="7">
        <v>0.33329999999999999</v>
      </c>
      <c r="G1547" s="8" t="s">
        <v>9143</v>
      </c>
      <c r="H1547" s="8" t="s">
        <v>9144</v>
      </c>
      <c r="I1547" s="30" t="str">
        <f>_xlfn.CONCAT(Paper_Reference[[#This Row],[Lvl]:[Paper Description]])</f>
        <v>3J24I9162PM42PFA39 UV PRO L SHORT 41.84X47.1100.3333100PFA39-6200SINGING THE CHICAGO BLUES</v>
      </c>
      <c r="J1547" s="30">
        <f>COUNTIF(Paper_Reference[Duplicate Key],Paper_Reference[[#This Row],[Duplicate Key]])</f>
        <v>1</v>
      </c>
    </row>
    <row r="1548" spans="1:10">
      <c r="A1548" s="7">
        <v>3</v>
      </c>
      <c r="B1548" s="8" t="s">
        <v>9605</v>
      </c>
      <c r="C1548" s="8" t="s">
        <v>9216</v>
      </c>
      <c r="D1548" s="7">
        <v>1</v>
      </c>
      <c r="E1548" s="7">
        <v>10</v>
      </c>
      <c r="F1548" s="7">
        <v>0.33329999999999999</v>
      </c>
      <c r="G1548" s="8" t="s">
        <v>9143</v>
      </c>
      <c r="H1548" s="8" t="s">
        <v>9144</v>
      </c>
      <c r="I1548" s="30" t="str">
        <f>_xlfn.CONCAT(Paper_Reference[[#This Row],[Lvl]:[Paper Description]])</f>
        <v>3J24I9163PM42PFA39 UV PRO R SHORT 41.84X47.1100.3333100PFA39-6200SINGING THE CHICAGO BLUES</v>
      </c>
      <c r="J1548" s="30">
        <f>COUNTIF(Paper_Reference[Duplicate Key],Paper_Reference[[#This Row],[Duplicate Key]])</f>
        <v>1</v>
      </c>
    </row>
    <row r="1549" spans="1:10">
      <c r="A1549" s="7">
        <v>3</v>
      </c>
      <c r="B1549" s="8" t="s">
        <v>1019</v>
      </c>
      <c r="C1549" s="8" t="s">
        <v>1007</v>
      </c>
      <c r="D1549" s="7">
        <v>1</v>
      </c>
      <c r="E1549" s="7">
        <v>10</v>
      </c>
      <c r="F1549" s="7">
        <v>1</v>
      </c>
      <c r="G1549" s="8" t="s">
        <v>973</v>
      </c>
      <c r="H1549" s="8" t="s">
        <v>982</v>
      </c>
      <c r="I1549" s="7" t="str">
        <f>_xlfn.CONCAT(Paper_Reference[[#This Row],[Lvl]:[Paper Description]])</f>
        <v>3J24I9578AM51KM010 UV PRO L APPR 59.5 X 1441101100KM010-6200MG BRUNS SILVER</v>
      </c>
      <c r="J1549" s="7">
        <f>COUNTIF(Paper_Reference[Duplicate Key],Paper_Reference[[#This Row],[Duplicate Key]])</f>
        <v>1</v>
      </c>
    </row>
    <row r="1550" spans="1:10">
      <c r="A1550" s="7">
        <v>3</v>
      </c>
      <c r="B1550" s="8" t="s">
        <v>1020</v>
      </c>
      <c r="C1550" s="8" t="s">
        <v>1008</v>
      </c>
      <c r="D1550" s="7">
        <v>1</v>
      </c>
      <c r="E1550" s="7">
        <v>10</v>
      </c>
      <c r="F1550" s="7">
        <v>1</v>
      </c>
      <c r="G1550" s="8" t="s">
        <v>973</v>
      </c>
      <c r="H1550" s="8" t="s">
        <v>982</v>
      </c>
      <c r="I1550" s="7" t="str">
        <f>_xlfn.CONCAT(Paper_Reference[[#This Row],[Lvl]:[Paper Description]])</f>
        <v>3J24I9579AM58KM010 UV PRO R APPR 59.5 X 1441101100KM010-6200MG BRUNS SILVER</v>
      </c>
      <c r="J1550" s="7">
        <f>COUNTIF(Paper_Reference[Duplicate Key],Paper_Reference[[#This Row],[Duplicate Key]])</f>
        <v>1</v>
      </c>
    </row>
    <row r="1551" spans="1:10">
      <c r="A1551" s="7">
        <v>3</v>
      </c>
      <c r="B1551" s="8" t="s">
        <v>1021</v>
      </c>
      <c r="C1551" s="8" t="s">
        <v>1009</v>
      </c>
      <c r="D1551" s="7">
        <v>1</v>
      </c>
      <c r="E1551" s="7">
        <v>10</v>
      </c>
      <c r="F1551" s="7">
        <v>1</v>
      </c>
      <c r="G1551" s="8" t="s">
        <v>973</v>
      </c>
      <c r="H1551" s="8" t="s">
        <v>982</v>
      </c>
      <c r="I1551" s="7" t="str">
        <f>_xlfn.CONCAT(Paper_Reference[[#This Row],[Lvl]:[Paper Description]])</f>
        <v>3J24I9580QM57KM010 UV PRO L FOUL 59.5X142.51101100KM010-6200MG BRUNS SILVER</v>
      </c>
      <c r="J1551" s="7">
        <f>COUNTIF(Paper_Reference[Duplicate Key],Paper_Reference[[#This Row],[Duplicate Key]])</f>
        <v>1</v>
      </c>
    </row>
    <row r="1552" spans="1:10">
      <c r="A1552" s="7">
        <v>3</v>
      </c>
      <c r="B1552" s="8" t="s">
        <v>1022</v>
      </c>
      <c r="C1552" s="8" t="s">
        <v>1010</v>
      </c>
      <c r="D1552" s="7">
        <v>1</v>
      </c>
      <c r="E1552" s="7">
        <v>10</v>
      </c>
      <c r="F1552" s="7">
        <v>1</v>
      </c>
      <c r="G1552" s="8" t="s">
        <v>973</v>
      </c>
      <c r="H1552" s="8" t="s">
        <v>982</v>
      </c>
      <c r="I1552" s="7" t="str">
        <f>_xlfn.CONCAT(Paper_Reference[[#This Row],[Lvl]:[Paper Description]])</f>
        <v>3J24I9581QM56KM010 UV PRO R FOUL 59.5X142.51101100KM010-6200MG BRUNS SILVER</v>
      </c>
      <c r="J1552" s="7">
        <f>COUNTIF(Paper_Reference[Duplicate Key],Paper_Reference[[#This Row],[Duplicate Key]])</f>
        <v>1</v>
      </c>
    </row>
    <row r="1553" spans="1:10">
      <c r="A1553" s="7">
        <v>2</v>
      </c>
      <c r="B1553" s="8" t="s">
        <v>8573</v>
      </c>
      <c r="C1553" s="8" t="s">
        <v>8365</v>
      </c>
      <c r="D1553" s="7">
        <v>1</v>
      </c>
      <c r="E1553" s="7">
        <v>10</v>
      </c>
      <c r="F1553" s="7">
        <v>1</v>
      </c>
      <c r="G1553" s="8" t="s">
        <v>8302</v>
      </c>
      <c r="H1553" s="8" t="s">
        <v>8303</v>
      </c>
      <c r="I1553" s="7" t="str">
        <f>_xlfn.CONCAT(Paper_Reference[[#This Row],[Lvl]:[Paper Description]])</f>
        <v>2J24I9639QB57SW813 UV PRO L FO/AR 59.5X142.1101100SW813-6200ICE WHITE</v>
      </c>
      <c r="J1553" s="7">
        <f>COUNTIF(Paper_Reference[Duplicate Key],Paper_Reference[[#This Row],[Duplicate Key]])</f>
        <v>1</v>
      </c>
    </row>
    <row r="1554" spans="1:10">
      <c r="A1554" s="7">
        <v>3</v>
      </c>
      <c r="B1554" s="8" t="s">
        <v>8573</v>
      </c>
      <c r="C1554" s="8" t="s">
        <v>8365</v>
      </c>
      <c r="D1554" s="7">
        <v>1</v>
      </c>
      <c r="E1554" s="7">
        <v>10</v>
      </c>
      <c r="F1554" s="7">
        <v>1</v>
      </c>
      <c r="G1554" s="8" t="s">
        <v>8302</v>
      </c>
      <c r="H1554" s="8" t="s">
        <v>8303</v>
      </c>
      <c r="I1554" s="7" t="str">
        <f>_xlfn.CONCAT(Paper_Reference[[#This Row],[Lvl]:[Paper Description]])</f>
        <v>3J24I9639QB57SW813 UV PRO L FO/AR 59.5X142.1101100SW813-6200ICE WHITE</v>
      </c>
      <c r="J1554" s="7">
        <f>COUNTIF(Paper_Reference[Duplicate Key],Paper_Reference[[#This Row],[Duplicate Key]])</f>
        <v>1</v>
      </c>
    </row>
    <row r="1555" spans="1:10">
      <c r="A1555" s="7">
        <v>2</v>
      </c>
      <c r="B1555" s="8" t="s">
        <v>8574</v>
      </c>
      <c r="C1555" s="8" t="s">
        <v>8365</v>
      </c>
      <c r="D1555" s="7">
        <v>1</v>
      </c>
      <c r="E1555" s="7">
        <v>10</v>
      </c>
      <c r="F1555" s="7">
        <v>1</v>
      </c>
      <c r="G1555" s="8" t="s">
        <v>8302</v>
      </c>
      <c r="H1555" s="8" t="s">
        <v>8303</v>
      </c>
      <c r="I1555" s="7" t="str">
        <f>_xlfn.CONCAT(Paper_Reference[[#This Row],[Lvl]:[Paper Description]])</f>
        <v>2J24I9639QM57SW813 UV PRO L FO/AR 59.5X142.1101100SW813-6200ICE WHITE</v>
      </c>
      <c r="J1555" s="7">
        <f>COUNTIF(Paper_Reference[Duplicate Key],Paper_Reference[[#This Row],[Duplicate Key]])</f>
        <v>1</v>
      </c>
    </row>
    <row r="1556" spans="1:10">
      <c r="A1556" s="7">
        <v>3</v>
      </c>
      <c r="B1556" s="8" t="s">
        <v>8574</v>
      </c>
      <c r="C1556" s="8" t="s">
        <v>8365</v>
      </c>
      <c r="D1556" s="7">
        <v>1</v>
      </c>
      <c r="E1556" s="7">
        <v>10</v>
      </c>
      <c r="F1556" s="7">
        <v>1</v>
      </c>
      <c r="G1556" s="8" t="s">
        <v>8302</v>
      </c>
      <c r="H1556" s="8" t="s">
        <v>8303</v>
      </c>
      <c r="I1556" s="7" t="str">
        <f>_xlfn.CONCAT(Paper_Reference[[#This Row],[Lvl]:[Paper Description]])</f>
        <v>3J24I9639QM57SW813 UV PRO L FO/AR 59.5X142.1101100SW813-6200ICE WHITE</v>
      </c>
      <c r="J1556" s="7">
        <f>COUNTIF(Paper_Reference[Duplicate Key],Paper_Reference[[#This Row],[Duplicate Key]])</f>
        <v>1</v>
      </c>
    </row>
    <row r="1557" spans="1:10">
      <c r="A1557" s="7">
        <v>2</v>
      </c>
      <c r="B1557" s="8" t="s">
        <v>8575</v>
      </c>
      <c r="C1557" s="8" t="s">
        <v>8366</v>
      </c>
      <c r="D1557" s="7">
        <v>1</v>
      </c>
      <c r="E1557" s="7">
        <v>10</v>
      </c>
      <c r="F1557" s="7">
        <v>1</v>
      </c>
      <c r="G1557" s="8" t="s">
        <v>8302</v>
      </c>
      <c r="H1557" s="8" t="s">
        <v>8303</v>
      </c>
      <c r="I1557" s="7" t="str">
        <f>_xlfn.CONCAT(Paper_Reference[[#This Row],[Lvl]:[Paper Description]])</f>
        <v>2J24I9640QB56SW813 UV PRO R FO/AR 59.5X142.1101100SW813-6200ICE WHITE</v>
      </c>
      <c r="J1557" s="7">
        <f>COUNTIF(Paper_Reference[Duplicate Key],Paper_Reference[[#This Row],[Duplicate Key]])</f>
        <v>1</v>
      </c>
    </row>
    <row r="1558" spans="1:10">
      <c r="A1558" s="7">
        <v>3</v>
      </c>
      <c r="B1558" s="8" t="s">
        <v>8575</v>
      </c>
      <c r="C1558" s="8" t="s">
        <v>8366</v>
      </c>
      <c r="D1558" s="7">
        <v>1</v>
      </c>
      <c r="E1558" s="7">
        <v>10</v>
      </c>
      <c r="F1558" s="7">
        <v>1</v>
      </c>
      <c r="G1558" s="8" t="s">
        <v>8302</v>
      </c>
      <c r="H1558" s="8" t="s">
        <v>8303</v>
      </c>
      <c r="I1558" s="7" t="str">
        <f>_xlfn.CONCAT(Paper_Reference[[#This Row],[Lvl]:[Paper Description]])</f>
        <v>3J24I9640QB56SW813 UV PRO R FO/AR 59.5X142.1101100SW813-6200ICE WHITE</v>
      </c>
      <c r="J1558" s="7">
        <f>COUNTIF(Paper_Reference[Duplicate Key],Paper_Reference[[#This Row],[Duplicate Key]])</f>
        <v>1</v>
      </c>
    </row>
    <row r="1559" spans="1:10">
      <c r="A1559" s="7">
        <v>2</v>
      </c>
      <c r="B1559" s="8" t="s">
        <v>8576</v>
      </c>
      <c r="C1559" s="8" t="s">
        <v>8366</v>
      </c>
      <c r="D1559" s="7">
        <v>1</v>
      </c>
      <c r="E1559" s="7">
        <v>10</v>
      </c>
      <c r="F1559" s="7">
        <v>1</v>
      </c>
      <c r="G1559" s="8" t="s">
        <v>8302</v>
      </c>
      <c r="H1559" s="8" t="s">
        <v>8303</v>
      </c>
      <c r="I1559" s="7" t="str">
        <f>_xlfn.CONCAT(Paper_Reference[[#This Row],[Lvl]:[Paper Description]])</f>
        <v>2J24I9640QM56SW813 UV PRO R FO/AR 59.5X142.1101100SW813-6200ICE WHITE</v>
      </c>
      <c r="J1559" s="7">
        <f>COUNTIF(Paper_Reference[Duplicate Key],Paper_Reference[[#This Row],[Duplicate Key]])</f>
        <v>1</v>
      </c>
    </row>
    <row r="1560" spans="1:10">
      <c r="A1560" s="7">
        <v>3</v>
      </c>
      <c r="B1560" s="8" t="s">
        <v>8576</v>
      </c>
      <c r="C1560" s="8" t="s">
        <v>8366</v>
      </c>
      <c r="D1560" s="7">
        <v>1</v>
      </c>
      <c r="E1560" s="7">
        <v>10</v>
      </c>
      <c r="F1560" s="7">
        <v>1</v>
      </c>
      <c r="G1560" s="8" t="s">
        <v>8302</v>
      </c>
      <c r="H1560" s="8" t="s">
        <v>8303</v>
      </c>
      <c r="I1560" s="7" t="str">
        <f>_xlfn.CONCAT(Paper_Reference[[#This Row],[Lvl]:[Paper Description]])</f>
        <v>3J24I9640QM56SW813 UV PRO R FO/AR 59.5X142.1101100SW813-6200ICE WHITE</v>
      </c>
      <c r="J1560" s="7">
        <f>COUNTIF(Paper_Reference[Duplicate Key],Paper_Reference[[#This Row],[Duplicate Key]])</f>
        <v>1</v>
      </c>
    </row>
    <row r="1561" spans="1:10">
      <c r="A1561" s="7">
        <v>3</v>
      </c>
      <c r="B1561" s="8" t="s">
        <v>9606</v>
      </c>
      <c r="C1561" s="8" t="s">
        <v>9374</v>
      </c>
      <c r="D1561" s="7">
        <v>1</v>
      </c>
      <c r="E1561" s="7">
        <v>10</v>
      </c>
      <c r="F1561" s="7">
        <v>1</v>
      </c>
      <c r="G1561" s="8" t="s">
        <v>9143</v>
      </c>
      <c r="H1561" s="8" t="s">
        <v>9144</v>
      </c>
      <c r="I1561" s="30" t="str">
        <f>_xlfn.CONCAT(Paper_Reference[[#This Row],[Lvl]:[Paper Description]])</f>
        <v>3J24I9663QB57PFA39 UV PRO L FO/ARR 59.5X1421101100PFA39-6200SINGING THE CHICAGO BLUES</v>
      </c>
      <c r="J1561" s="30">
        <f>COUNTIF(Paper_Reference[Duplicate Key],Paper_Reference[[#This Row],[Duplicate Key]])</f>
        <v>1</v>
      </c>
    </row>
    <row r="1562" spans="1:10">
      <c r="A1562" s="7">
        <v>3</v>
      </c>
      <c r="B1562" s="8" t="s">
        <v>9607</v>
      </c>
      <c r="C1562" s="8" t="s">
        <v>9378</v>
      </c>
      <c r="D1562" s="7">
        <v>1</v>
      </c>
      <c r="E1562" s="7">
        <v>10</v>
      </c>
      <c r="F1562" s="7">
        <v>1</v>
      </c>
      <c r="G1562" s="8" t="s">
        <v>9143</v>
      </c>
      <c r="H1562" s="8" t="s">
        <v>9144</v>
      </c>
      <c r="I1562" s="30" t="str">
        <f>_xlfn.CONCAT(Paper_Reference[[#This Row],[Lvl]:[Paper Description]])</f>
        <v>3J24I9664QB56PFA39 UV PRO R FO/ARR 59.5X1421101100PFA39-6200SINGING THE CHICAGO BLUES</v>
      </c>
      <c r="J1562" s="30">
        <f>COUNTIF(Paper_Reference[Duplicate Key],Paper_Reference[[#This Row],[Duplicate Key]])</f>
        <v>1</v>
      </c>
    </row>
    <row r="1563" spans="1:10">
      <c r="A1563" s="7">
        <v>3</v>
      </c>
      <c r="B1563" s="8" t="s">
        <v>5609</v>
      </c>
      <c r="C1563" s="8" t="s">
        <v>5419</v>
      </c>
      <c r="D1563" s="7">
        <v>1</v>
      </c>
      <c r="E1563" s="7">
        <v>10</v>
      </c>
      <c r="F1563" s="7">
        <v>1</v>
      </c>
      <c r="G1563" s="8" t="s">
        <v>5373</v>
      </c>
      <c r="H1563" s="8" t="s">
        <v>5374</v>
      </c>
      <c r="I1563" s="7" t="str">
        <f>_xlfn.CONCAT(Paper_Reference[[#This Row],[Lvl]:[Paper Description]])</f>
        <v>3J24I9675PM41WW974 CGS UV PRO LL 41.84X1441101100WW971-6200GUN SAVOY WALNUT</v>
      </c>
      <c r="J1563" s="7">
        <f>COUNTIF(Paper_Reference[Duplicate Key],Paper_Reference[[#This Row],[Duplicate Key]])</f>
        <v>1</v>
      </c>
    </row>
    <row r="1564" spans="1:10">
      <c r="A1564" s="7">
        <v>3</v>
      </c>
      <c r="B1564" s="8" t="s">
        <v>5610</v>
      </c>
      <c r="C1564" s="8" t="s">
        <v>5420</v>
      </c>
      <c r="D1564" s="7">
        <v>1</v>
      </c>
      <c r="E1564" s="7">
        <v>10</v>
      </c>
      <c r="F1564" s="7">
        <v>1</v>
      </c>
      <c r="G1564" s="8" t="s">
        <v>5373</v>
      </c>
      <c r="H1564" s="8" t="s">
        <v>5374</v>
      </c>
      <c r="I1564" s="7" t="str">
        <f>_xlfn.CONCAT(Paper_Reference[[#This Row],[Lvl]:[Paper Description]])</f>
        <v>3J24I9676PM41WW974 CGS UV PRO RL 41.84X1441101100WW971-6200GUN SAVOY WALNUT</v>
      </c>
      <c r="J1564" s="7">
        <f>COUNTIF(Paper_Reference[Duplicate Key],Paper_Reference[[#This Row],[Duplicate Key]])</f>
        <v>1</v>
      </c>
    </row>
    <row r="1565" spans="1:10">
      <c r="A1565" s="7">
        <v>3</v>
      </c>
      <c r="B1565" s="8" t="s">
        <v>5611</v>
      </c>
      <c r="C1565" s="8" t="s">
        <v>5421</v>
      </c>
      <c r="D1565" s="7">
        <v>1</v>
      </c>
      <c r="E1565" s="7">
        <v>10</v>
      </c>
      <c r="F1565" s="7">
        <v>1</v>
      </c>
      <c r="G1565" s="8" t="s">
        <v>5373</v>
      </c>
      <c r="H1565" s="8" t="s">
        <v>5374</v>
      </c>
      <c r="I1565" s="7" t="str">
        <f>_xlfn.CONCAT(Paper_Reference[[#This Row],[Lvl]:[Paper Description]])</f>
        <v>3J24I9677QB57WW974 UV PRO L FO/ARR 59.5X1421101100WW971-6200GUN SAVOY WALNUT</v>
      </c>
      <c r="J1565" s="7">
        <f>COUNTIF(Paper_Reference[Duplicate Key],Paper_Reference[[#This Row],[Duplicate Key]])</f>
        <v>1</v>
      </c>
    </row>
    <row r="1566" spans="1:10">
      <c r="A1566" s="7">
        <v>3</v>
      </c>
      <c r="B1566" s="8" t="s">
        <v>5612</v>
      </c>
      <c r="C1566" s="8" t="s">
        <v>5422</v>
      </c>
      <c r="D1566" s="7">
        <v>1</v>
      </c>
      <c r="E1566" s="7">
        <v>10</v>
      </c>
      <c r="F1566" s="7">
        <v>1</v>
      </c>
      <c r="G1566" s="8" t="s">
        <v>5373</v>
      </c>
      <c r="H1566" s="8" t="s">
        <v>5374</v>
      </c>
      <c r="I1566" s="7" t="str">
        <f>_xlfn.CONCAT(Paper_Reference[[#This Row],[Lvl]:[Paper Description]])</f>
        <v>3J24I9678QB56WW974 UV PRO R FO/ARR 59.5X1421101100WW971-6200GUN SAVOY WALNUT</v>
      </c>
      <c r="J1566" s="7">
        <f>COUNTIF(Paper_Reference[Duplicate Key],Paper_Reference[[#This Row],[Duplicate Key]])</f>
        <v>1</v>
      </c>
    </row>
    <row r="1567" spans="1:10">
      <c r="A1567" s="7">
        <v>3</v>
      </c>
      <c r="B1567" s="8" t="s">
        <v>473</v>
      </c>
      <c r="C1567" s="8" t="s">
        <v>249</v>
      </c>
      <c r="D1567" s="7">
        <v>1</v>
      </c>
      <c r="E1567" s="7">
        <v>10</v>
      </c>
      <c r="F1567" s="7">
        <v>1</v>
      </c>
      <c r="G1567" s="8" t="s">
        <v>214</v>
      </c>
      <c r="H1567" s="8" t="s">
        <v>423</v>
      </c>
      <c r="I1567" s="7" t="str">
        <f>_xlfn.CONCAT(Paper_Reference[[#This Row],[Lvl]:[Paper Description]])</f>
        <v>3J24IBL01PM29GLOW BRUNS LOGO COM 41.84X1441101100WM991-4300MAPLE LANE PRINT (W)</v>
      </c>
      <c r="J1567" s="7">
        <f>COUNTIF(Paper_Reference[Duplicate Key],Paper_Reference[[#This Row],[Duplicate Key]])</f>
        <v>1</v>
      </c>
    </row>
    <row r="1568" spans="1:10">
      <c r="A1568" s="7">
        <v>3</v>
      </c>
      <c r="B1568" s="8" t="s">
        <v>26</v>
      </c>
      <c r="C1568" s="8" t="s">
        <v>27</v>
      </c>
      <c r="D1568" s="7">
        <v>1</v>
      </c>
      <c r="E1568" s="7">
        <v>10</v>
      </c>
      <c r="F1568" s="7">
        <v>1</v>
      </c>
      <c r="G1568" s="8" t="s">
        <v>214</v>
      </c>
      <c r="H1568" s="8" t="s">
        <v>423</v>
      </c>
      <c r="I1568" s="7" t="str">
        <f>_xlfn.CONCAT(Paper_Reference[[#This Row],[Lvl]:[Paper Description]])</f>
        <v>3J24ICHARPM41GLOW CHARACTER BLKS 41.84X1441101100WM991-4300MAPLE LANE PRINT (W)</v>
      </c>
      <c r="J1568" s="7">
        <f>COUNTIF(Paper_Reference[Duplicate Key],Paper_Reference[[#This Row],[Duplicate Key]])</f>
        <v>1</v>
      </c>
    </row>
    <row r="1569" spans="1:10">
      <c r="A1569" s="7">
        <v>3</v>
      </c>
      <c r="B1569" s="8" t="s">
        <v>8719</v>
      </c>
      <c r="C1569" s="8" t="s">
        <v>8720</v>
      </c>
      <c r="D1569" s="7">
        <v>1</v>
      </c>
      <c r="E1569" s="7">
        <v>10</v>
      </c>
      <c r="F1569" s="7">
        <v>1</v>
      </c>
      <c r="G1569" s="8" t="s">
        <v>214</v>
      </c>
      <c r="H1569" s="8" t="s">
        <v>423</v>
      </c>
      <c r="I1569" s="7" t="str">
        <f>_xlfn.CONCAT(Paper_Reference[[#This Row],[Lvl]:[Paper Description]])</f>
        <v>3J24IHEADPM40GLOW HEAD ARROWS 41.84 X 1441101100WM991-4300MAPLE LANE PRINT (W)</v>
      </c>
      <c r="J1569" s="7">
        <f>COUNTIF(Paper_Reference[Duplicate Key],Paper_Reference[[#This Row],[Duplicate Key]])</f>
        <v>1</v>
      </c>
    </row>
    <row r="1570" spans="1:10">
      <c r="A1570" s="7">
        <v>3</v>
      </c>
      <c r="B1570" s="8" t="s">
        <v>8807</v>
      </c>
      <c r="C1570" s="8" t="s">
        <v>8766</v>
      </c>
      <c r="D1570" s="7">
        <v>1</v>
      </c>
      <c r="E1570" s="7">
        <v>10</v>
      </c>
      <c r="F1570" s="7">
        <v>1</v>
      </c>
      <c r="G1570" s="8" t="s">
        <v>214</v>
      </c>
      <c r="H1570" s="8" t="s">
        <v>423</v>
      </c>
      <c r="I1570" s="7" t="str">
        <f>_xlfn.CONCAT(Paper_Reference[[#This Row],[Lvl]:[Paper Description]])</f>
        <v>3J24IHLOBPM40GLOW HEAD/LOB LINE 41.84 X 1441101100WM991-4300MAPLE LANE PRINT (W)</v>
      </c>
      <c r="J1570" s="7">
        <f>COUNTIF(Paper_Reference[Duplicate Key],Paper_Reference[[#This Row],[Duplicate Key]])</f>
        <v>1</v>
      </c>
    </row>
    <row r="1571" spans="1:10">
      <c r="A1571" s="7">
        <v>2</v>
      </c>
      <c r="B1571" s="8" t="s">
        <v>8813</v>
      </c>
      <c r="C1571" s="8" t="s">
        <v>8772</v>
      </c>
      <c r="D1571" s="7">
        <v>1</v>
      </c>
      <c r="E1571" s="7">
        <v>10</v>
      </c>
      <c r="F1571" s="7">
        <v>1</v>
      </c>
      <c r="G1571" s="8" t="s">
        <v>214</v>
      </c>
      <c r="H1571" s="8" t="s">
        <v>423</v>
      </c>
      <c r="I1571" s="7" t="str">
        <f>_xlfn.CONCAT(Paper_Reference[[#This Row],[Lvl]:[Paper Description]])</f>
        <v>2J24RB090PM41JR 1D PRO LANE PANEL 41.84 X 11101100WM991-4300MAPLE LANE PRINT (W)</v>
      </c>
      <c r="J1571" s="7">
        <f>COUNTIF(Paper_Reference[Duplicate Key],Paper_Reference[[#This Row],[Duplicate Key]])</f>
        <v>1</v>
      </c>
    </row>
    <row r="1572" spans="1:10">
      <c r="A1572" s="7">
        <v>2</v>
      </c>
      <c r="B1572" s="8" t="s">
        <v>8812</v>
      </c>
      <c r="C1572" s="8" t="s">
        <v>8771</v>
      </c>
      <c r="D1572" s="7">
        <v>1</v>
      </c>
      <c r="E1572" s="7">
        <v>10</v>
      </c>
      <c r="F1572" s="7">
        <v>1</v>
      </c>
      <c r="G1572" s="8" t="s">
        <v>214</v>
      </c>
      <c r="H1572" s="8" t="s">
        <v>423</v>
      </c>
      <c r="I1572" s="7" t="str">
        <f>_xlfn.CONCAT(Paper_Reference[[#This Row],[Lvl]:[Paper Description]])</f>
        <v>2J24RB091PM41JR 2D PRO LANE PANEL 41.84 X 11101100WM991-4300MAPLE LANE PRINT (W)</v>
      </c>
      <c r="J1572" s="7">
        <f>COUNTIF(Paper_Reference[Duplicate Key],Paper_Reference[[#This Row],[Duplicate Key]])</f>
        <v>1</v>
      </c>
    </row>
    <row r="1573" spans="1:10">
      <c r="A1573" s="7">
        <v>2</v>
      </c>
      <c r="B1573" s="8" t="s">
        <v>8811</v>
      </c>
      <c r="C1573" s="8" t="s">
        <v>8770</v>
      </c>
      <c r="D1573" s="7">
        <v>1</v>
      </c>
      <c r="E1573" s="7">
        <v>10</v>
      </c>
      <c r="F1573" s="7">
        <v>1</v>
      </c>
      <c r="G1573" s="8" t="s">
        <v>214</v>
      </c>
      <c r="H1573" s="8" t="s">
        <v>423</v>
      </c>
      <c r="I1573" s="7" t="str">
        <f>_xlfn.CONCAT(Paper_Reference[[#This Row],[Lvl]:[Paper Description]])</f>
        <v>2J24RB092PM41JR 1F PRO LANE PANEL 41.84 X 11101100WM991-4300MAPLE LANE PRINT (W)</v>
      </c>
      <c r="J1573" s="7">
        <f>COUNTIF(Paper_Reference[Duplicate Key],Paper_Reference[[#This Row],[Duplicate Key]])</f>
        <v>1</v>
      </c>
    </row>
    <row r="1574" spans="1:10">
      <c r="A1574" s="7">
        <v>2</v>
      </c>
      <c r="B1574" s="8" t="s">
        <v>8810</v>
      </c>
      <c r="C1574" s="8" t="s">
        <v>8769</v>
      </c>
      <c r="D1574" s="7">
        <v>1</v>
      </c>
      <c r="E1574" s="7">
        <v>10</v>
      </c>
      <c r="F1574" s="7">
        <v>1</v>
      </c>
      <c r="G1574" s="8" t="s">
        <v>214</v>
      </c>
      <c r="H1574" s="8" t="s">
        <v>423</v>
      </c>
      <c r="I1574" s="7" t="str">
        <f>_xlfn.CONCAT(Paper_Reference[[#This Row],[Lvl]:[Paper Description]])</f>
        <v>2J24RB093PM41JR 2F PRO LANE PANEL 41.84 X 11101100WM991-4300MAPLE LANE PRINT (W)</v>
      </c>
      <c r="J1574" s="7">
        <f>COUNTIF(Paper_Reference[Duplicate Key],Paper_Reference[[#This Row],[Duplicate Key]])</f>
        <v>1</v>
      </c>
    </row>
    <row r="1575" spans="1:10">
      <c r="A1575" s="7">
        <v>2</v>
      </c>
      <c r="B1575" s="8" t="s">
        <v>8809</v>
      </c>
      <c r="C1575" s="8" t="s">
        <v>8768</v>
      </c>
      <c r="D1575" s="7">
        <v>1</v>
      </c>
      <c r="E1575" s="7">
        <v>10</v>
      </c>
      <c r="F1575" s="7">
        <v>0.33329999999999999</v>
      </c>
      <c r="G1575" s="8" t="s">
        <v>214</v>
      </c>
      <c r="H1575" s="8" t="s">
        <v>423</v>
      </c>
      <c r="I1575" s="7" t="str">
        <f>_xlfn.CONCAT(Paper_Reference[[#This Row],[Lvl]:[Paper Description]])</f>
        <v>2J24RB094PM42JR 1G PRO SHORT 41.84 X 47.1251100.3333100WM991-4300MAPLE LANE PRINT (W)</v>
      </c>
      <c r="J1575" s="7">
        <f>COUNTIF(Paper_Reference[Duplicate Key],Paper_Reference[[#This Row],[Duplicate Key]])</f>
        <v>1</v>
      </c>
    </row>
    <row r="1576" spans="1:10">
      <c r="A1576" s="7">
        <v>2</v>
      </c>
      <c r="B1576" s="8" t="s">
        <v>8808</v>
      </c>
      <c r="C1576" s="8" t="s">
        <v>8767</v>
      </c>
      <c r="D1576" s="7">
        <v>1</v>
      </c>
      <c r="E1576" s="7">
        <v>10</v>
      </c>
      <c r="F1576" s="7">
        <v>0.33329999999999999</v>
      </c>
      <c r="G1576" s="8" t="s">
        <v>214</v>
      </c>
      <c r="H1576" s="8" t="s">
        <v>423</v>
      </c>
      <c r="I1576" s="7" t="str">
        <f>_xlfn.CONCAT(Paper_Reference[[#This Row],[Lvl]:[Paper Description]])</f>
        <v>2J24RB095PM42JR 2G PRO SHORT 41.84 X 47.1251100.3333100WM991-4300MAPLE LANE PRINT (W)</v>
      </c>
      <c r="J1576" s="7">
        <f>COUNTIF(Paper_Reference[Duplicate Key],Paper_Reference[[#This Row],[Duplicate Key]])</f>
        <v>1</v>
      </c>
    </row>
    <row r="1577" spans="1:10">
      <c r="A1577" s="7">
        <v>3</v>
      </c>
      <c r="B1577" s="8" t="s">
        <v>8822</v>
      </c>
      <c r="C1577" s="8" t="s">
        <v>8781</v>
      </c>
      <c r="D1577" s="7">
        <v>1</v>
      </c>
      <c r="E1577" s="7">
        <v>10</v>
      </c>
      <c r="F1577" s="7">
        <v>1</v>
      </c>
      <c r="G1577" s="8" t="s">
        <v>214</v>
      </c>
      <c r="H1577" s="8" t="s">
        <v>423</v>
      </c>
      <c r="I1577" s="7" t="str">
        <f>_xlfn.CONCAT(Paper_Reference[[#This Row],[Lvl]:[Paper Description]])</f>
        <v>3J24RB154PM40OCEAN 1C PRO HEAD 41.84 X 1441101100WM991-4300MAPLE LANE PRINT (W)</v>
      </c>
      <c r="J1577" s="7">
        <f>COUNTIF(Paper_Reference[Duplicate Key],Paper_Reference[[#This Row],[Duplicate Key]])</f>
        <v>1</v>
      </c>
    </row>
    <row r="1578" spans="1:10">
      <c r="A1578" s="7">
        <v>3</v>
      </c>
      <c r="B1578" s="8" t="s">
        <v>8827</v>
      </c>
      <c r="C1578" s="8" t="s">
        <v>8786</v>
      </c>
      <c r="D1578" s="7">
        <v>1</v>
      </c>
      <c r="E1578" s="7">
        <v>10</v>
      </c>
      <c r="F1578" s="7">
        <v>1</v>
      </c>
      <c r="G1578" s="8" t="s">
        <v>214</v>
      </c>
      <c r="H1578" s="8" t="s">
        <v>423</v>
      </c>
      <c r="I1578" s="7" t="str">
        <f>_xlfn.CONCAT(Paper_Reference[[#This Row],[Lvl]:[Paper Description]])</f>
        <v>3J24RB155PM40OCEAN 2C PRO HEAD 41.84 X 1441101100WM991-4300MAPLE LANE PRINT (W)</v>
      </c>
      <c r="J1578" s="7">
        <f>COUNTIF(Paper_Reference[Duplicate Key],Paper_Reference[[#This Row],[Duplicate Key]])</f>
        <v>1</v>
      </c>
    </row>
    <row r="1579" spans="1:10">
      <c r="A1579" s="7">
        <v>2</v>
      </c>
      <c r="B1579" s="8" t="s">
        <v>8818</v>
      </c>
      <c r="C1579" s="8" t="s">
        <v>8777</v>
      </c>
      <c r="D1579" s="7">
        <v>1</v>
      </c>
      <c r="E1579" s="7">
        <v>10</v>
      </c>
      <c r="F1579" s="7">
        <v>1</v>
      </c>
      <c r="G1579" s="8" t="s">
        <v>214</v>
      </c>
      <c r="H1579" s="8" t="s">
        <v>423</v>
      </c>
      <c r="I1579" s="7" t="str">
        <f>_xlfn.CONCAT(Paper_Reference[[#This Row],[Lvl]:[Paper Description]])</f>
        <v>2J24RB156PM41OCEAN 1D PRO LANE 41.84 X 1441101100WM991-4300MAPLE LANE PRINT (W)</v>
      </c>
      <c r="J1579" s="7">
        <f>COUNTIF(Paper_Reference[Duplicate Key],Paper_Reference[[#This Row],[Duplicate Key]])</f>
        <v>1</v>
      </c>
    </row>
    <row r="1580" spans="1:10">
      <c r="A1580" s="7">
        <v>2</v>
      </c>
      <c r="B1580" s="8" t="s">
        <v>8823</v>
      </c>
      <c r="C1580" s="8" t="s">
        <v>8782</v>
      </c>
      <c r="D1580" s="7">
        <v>1</v>
      </c>
      <c r="E1580" s="7">
        <v>10</v>
      </c>
      <c r="F1580" s="7">
        <v>1</v>
      </c>
      <c r="G1580" s="8" t="s">
        <v>214</v>
      </c>
      <c r="H1580" s="8" t="s">
        <v>423</v>
      </c>
      <c r="I1580" s="7" t="str">
        <f>_xlfn.CONCAT(Paper_Reference[[#This Row],[Lvl]:[Paper Description]])</f>
        <v>2J24RB157PM41OCEAN 2D PRO LANE 41.84 X 1441101100WM991-4300MAPLE LANE PRINT (W)</v>
      </c>
      <c r="J1580" s="7">
        <f>COUNTIF(Paper_Reference[Duplicate Key],Paper_Reference[[#This Row],[Duplicate Key]])</f>
        <v>1</v>
      </c>
    </row>
    <row r="1581" spans="1:10">
      <c r="A1581" s="7">
        <v>2</v>
      </c>
      <c r="B1581" s="8" t="s">
        <v>8819</v>
      </c>
      <c r="C1581" s="8" t="s">
        <v>8778</v>
      </c>
      <c r="D1581" s="7">
        <v>1</v>
      </c>
      <c r="E1581" s="7">
        <v>10</v>
      </c>
      <c r="F1581" s="7">
        <v>1</v>
      </c>
      <c r="G1581" s="8" t="s">
        <v>214</v>
      </c>
      <c r="H1581" s="8" t="s">
        <v>423</v>
      </c>
      <c r="I1581" s="7" t="str">
        <f>_xlfn.CONCAT(Paper_Reference[[#This Row],[Lvl]:[Paper Description]])</f>
        <v>2J24RB158PM41OCEAN 1F PRO LANE 41.84 X 1441101100WM991-4300MAPLE LANE PRINT (W)</v>
      </c>
      <c r="J1581" s="7">
        <f>COUNTIF(Paper_Reference[Duplicate Key],Paper_Reference[[#This Row],[Duplicate Key]])</f>
        <v>1</v>
      </c>
    </row>
    <row r="1582" spans="1:10">
      <c r="A1582" s="7">
        <v>2</v>
      </c>
      <c r="B1582" s="8" t="s">
        <v>8824</v>
      </c>
      <c r="C1582" s="8" t="s">
        <v>8783</v>
      </c>
      <c r="D1582" s="7">
        <v>1</v>
      </c>
      <c r="E1582" s="7">
        <v>10</v>
      </c>
      <c r="F1582" s="7">
        <v>1</v>
      </c>
      <c r="G1582" s="8" t="s">
        <v>214</v>
      </c>
      <c r="H1582" s="8" t="s">
        <v>423</v>
      </c>
      <c r="I1582" s="7" t="str">
        <f>_xlfn.CONCAT(Paper_Reference[[#This Row],[Lvl]:[Paper Description]])</f>
        <v>2J24RB159PM41OCEAN 2F PRO LANE 41.84 X 1441101100WM991-4300MAPLE LANE PRINT (W)</v>
      </c>
      <c r="J1582" s="7">
        <f>COUNTIF(Paper_Reference[Duplicate Key],Paper_Reference[[#This Row],[Duplicate Key]])</f>
        <v>1</v>
      </c>
    </row>
    <row r="1583" spans="1:10">
      <c r="A1583" s="7">
        <v>3</v>
      </c>
      <c r="B1583" s="8" t="s">
        <v>8820</v>
      </c>
      <c r="C1583" s="8" t="s">
        <v>8779</v>
      </c>
      <c r="D1583" s="7">
        <v>1</v>
      </c>
      <c r="E1583" s="7">
        <v>10</v>
      </c>
      <c r="F1583" s="7">
        <v>1</v>
      </c>
      <c r="G1583" s="8" t="s">
        <v>214</v>
      </c>
      <c r="H1583" s="8" t="s">
        <v>423</v>
      </c>
      <c r="I1583" s="7" t="str">
        <f>_xlfn.CONCAT(Paper_Reference[[#This Row],[Lvl]:[Paper Description]])</f>
        <v>3J24RB160PM41OCEAN 1E CHARACTER 41.84X1441101100WM991-4300MAPLE LANE PRINT (W)</v>
      </c>
      <c r="J1583" s="7">
        <f>COUNTIF(Paper_Reference[Duplicate Key],Paper_Reference[[#This Row],[Duplicate Key]])</f>
        <v>1</v>
      </c>
    </row>
    <row r="1584" spans="1:10">
      <c r="A1584" s="7">
        <v>3</v>
      </c>
      <c r="B1584" s="8" t="s">
        <v>8825</v>
      </c>
      <c r="C1584" s="8" t="s">
        <v>8784</v>
      </c>
      <c r="D1584" s="7">
        <v>1</v>
      </c>
      <c r="E1584" s="7">
        <v>10</v>
      </c>
      <c r="F1584" s="7">
        <v>1</v>
      </c>
      <c r="G1584" s="8" t="s">
        <v>214</v>
      </c>
      <c r="H1584" s="8" t="s">
        <v>423</v>
      </c>
      <c r="I1584" s="7" t="str">
        <f>_xlfn.CONCAT(Paper_Reference[[#This Row],[Lvl]:[Paper Description]])</f>
        <v>3J24RB161PM41OCEAN 2E CHARACTER 41.84X1441101100WM991-4300MAPLE LANE PRINT (W)</v>
      </c>
      <c r="J1584" s="7">
        <f>COUNTIF(Paper_Reference[Duplicate Key],Paper_Reference[[#This Row],[Duplicate Key]])</f>
        <v>1</v>
      </c>
    </row>
    <row r="1585" spans="1:10">
      <c r="A1585" s="7">
        <v>2</v>
      </c>
      <c r="B1585" s="8" t="s">
        <v>8821</v>
      </c>
      <c r="C1585" s="8" t="s">
        <v>8780</v>
      </c>
      <c r="D1585" s="7">
        <v>1</v>
      </c>
      <c r="E1585" s="7">
        <v>10</v>
      </c>
      <c r="F1585" s="7">
        <v>0.33329999999999999</v>
      </c>
      <c r="G1585" s="8" t="s">
        <v>214</v>
      </c>
      <c r="H1585" s="8" t="s">
        <v>423</v>
      </c>
      <c r="I1585" s="7" t="str">
        <f>_xlfn.CONCAT(Paper_Reference[[#This Row],[Lvl]:[Paper Description]])</f>
        <v>2J24RB162PM42OCEAN 1G SHORT 41.84 X 47.1251100.3333100WM991-4300MAPLE LANE PRINT (W)</v>
      </c>
      <c r="J1585" s="7">
        <f>COUNTIF(Paper_Reference[Duplicate Key],Paper_Reference[[#This Row],[Duplicate Key]])</f>
        <v>1</v>
      </c>
    </row>
    <row r="1586" spans="1:10">
      <c r="A1586" s="7">
        <v>2</v>
      </c>
      <c r="B1586" s="8" t="s">
        <v>8826</v>
      </c>
      <c r="C1586" s="8" t="s">
        <v>8785</v>
      </c>
      <c r="D1586" s="7">
        <v>1</v>
      </c>
      <c r="E1586" s="7">
        <v>10</v>
      </c>
      <c r="F1586" s="7">
        <v>0.33329999999999999</v>
      </c>
      <c r="G1586" s="8" t="s">
        <v>214</v>
      </c>
      <c r="H1586" s="8" t="s">
        <v>423</v>
      </c>
      <c r="I1586" s="7" t="str">
        <f>_xlfn.CONCAT(Paper_Reference[[#This Row],[Lvl]:[Paper Description]])</f>
        <v>2J24RB163PM42OCEAN 2G SHORT 41.84 X 47.1251100.3333100WM991-4300MAPLE LANE PRINT (W)</v>
      </c>
      <c r="J1586" s="7">
        <f>COUNTIF(Paper_Reference[Duplicate Key],Paper_Reference[[#This Row],[Duplicate Key]])</f>
        <v>1</v>
      </c>
    </row>
    <row r="1587" spans="1:10">
      <c r="A1587" s="7">
        <v>3</v>
      </c>
      <c r="B1587" s="8" t="s">
        <v>8794</v>
      </c>
      <c r="C1587" s="8" t="s">
        <v>8761</v>
      </c>
      <c r="D1587" s="7">
        <v>1</v>
      </c>
      <c r="E1587" s="7">
        <v>10</v>
      </c>
      <c r="F1587" s="7">
        <v>1</v>
      </c>
      <c r="G1587" s="8" t="s">
        <v>214</v>
      </c>
      <c r="H1587" s="8" t="s">
        <v>423</v>
      </c>
      <c r="I1587" s="7" t="str">
        <f>_xlfn.CONCAT(Paper_Reference[[#This Row],[Lvl]:[Paper Description]])</f>
        <v>3J24RB214PM40C &amp; G 1C PRO HEAD 41.84 X 1441101100WM991-4300MAPLE LANE PRINT (W)</v>
      </c>
      <c r="J1587" s="7">
        <f>COUNTIF(Paper_Reference[Duplicate Key],Paper_Reference[[#This Row],[Duplicate Key]])</f>
        <v>1</v>
      </c>
    </row>
    <row r="1588" spans="1:10">
      <c r="A1588" s="7">
        <v>2</v>
      </c>
      <c r="B1588" s="8" t="s">
        <v>8792</v>
      </c>
      <c r="C1588" s="8" t="s">
        <v>8759</v>
      </c>
      <c r="D1588" s="7">
        <v>1</v>
      </c>
      <c r="E1588" s="7">
        <v>10</v>
      </c>
      <c r="F1588" s="7">
        <v>1</v>
      </c>
      <c r="G1588" s="8" t="s">
        <v>214</v>
      </c>
      <c r="H1588" s="8" t="s">
        <v>423</v>
      </c>
      <c r="I1588" s="7" t="str">
        <f>_xlfn.CONCAT(Paper_Reference[[#This Row],[Lvl]:[Paper Description]])</f>
        <v>2J24RB214PM41C &amp; G 1D PRO LANE 41.84 X 1441101100WM991-4300MAPLE LANE PRINT (W)</v>
      </c>
      <c r="J1588" s="7">
        <f>COUNTIF(Paper_Reference[Duplicate Key],Paper_Reference[[#This Row],[Duplicate Key]])</f>
        <v>1</v>
      </c>
    </row>
    <row r="1589" spans="1:10">
      <c r="A1589" s="7">
        <v>2</v>
      </c>
      <c r="B1589" s="8" t="s">
        <v>8793</v>
      </c>
      <c r="C1589" s="8" t="s">
        <v>8760</v>
      </c>
      <c r="D1589" s="7">
        <v>1</v>
      </c>
      <c r="E1589" s="7">
        <v>10</v>
      </c>
      <c r="F1589" s="7">
        <v>0.33329999999999999</v>
      </c>
      <c r="G1589" s="8" t="s">
        <v>214</v>
      </c>
      <c r="H1589" s="8" t="s">
        <v>423</v>
      </c>
      <c r="I1589" s="7" t="str">
        <f>_xlfn.CONCAT(Paper_Reference[[#This Row],[Lvl]:[Paper Description]])</f>
        <v>2J24RB215PM42C &amp; G 1G PRO SHORT 41.84X47.121100.3333100WM991-4300MAPLE LANE PRINT (W)</v>
      </c>
      <c r="J1589" s="7">
        <f>COUNTIF(Paper_Reference[Duplicate Key],Paper_Reference[[#This Row],[Duplicate Key]])</f>
        <v>1</v>
      </c>
    </row>
    <row r="1590" spans="1:10">
      <c r="A1590" s="7">
        <v>3</v>
      </c>
      <c r="B1590" s="8" t="s">
        <v>8791</v>
      </c>
      <c r="C1590" s="8" t="s">
        <v>8758</v>
      </c>
      <c r="D1590" s="7">
        <v>1</v>
      </c>
      <c r="E1590" s="7">
        <v>10</v>
      </c>
      <c r="F1590" s="7">
        <v>1</v>
      </c>
      <c r="G1590" s="8" t="s">
        <v>214</v>
      </c>
      <c r="H1590" s="8" t="s">
        <v>423</v>
      </c>
      <c r="I1590" s="7" t="str">
        <f>_xlfn.CONCAT(Paper_Reference[[#This Row],[Lvl]:[Paper Description]])</f>
        <v>3J24RB217PM41C &amp; G 1E PRO CHAR 41.84 X 1441101100WM991-4300MAPLE LANE PRINT (W)</v>
      </c>
      <c r="J1590" s="7">
        <f>COUNTIF(Paper_Reference[Duplicate Key],Paper_Reference[[#This Row],[Duplicate Key]])</f>
        <v>1</v>
      </c>
    </row>
    <row r="1591" spans="1:10">
      <c r="A1591" s="7">
        <v>3</v>
      </c>
      <c r="B1591" s="8" t="s">
        <v>8831</v>
      </c>
      <c r="C1591" s="8" t="s">
        <v>8790</v>
      </c>
      <c r="D1591" s="7">
        <v>1</v>
      </c>
      <c r="E1591" s="7">
        <v>10</v>
      </c>
      <c r="F1591" s="7">
        <v>1</v>
      </c>
      <c r="G1591" s="8" t="s">
        <v>214</v>
      </c>
      <c r="H1591" s="8" t="s">
        <v>423</v>
      </c>
      <c r="I1591" s="7" t="str">
        <f>_xlfn.CONCAT(Paper_Reference[[#This Row],[Lvl]:[Paper Description]])</f>
        <v>3J24RB625PM40SHSU PRO UV HEAD 41.84 X 1441101100WM991-4300MAPLE LANE PRINT (W)</v>
      </c>
      <c r="J1591" s="7">
        <f>COUNTIF(Paper_Reference[Duplicate Key],Paper_Reference[[#This Row],[Duplicate Key]])</f>
        <v>1</v>
      </c>
    </row>
    <row r="1592" spans="1:10">
      <c r="A1592" s="7">
        <v>2</v>
      </c>
      <c r="B1592" s="8" t="s">
        <v>8829</v>
      </c>
      <c r="C1592" s="8" t="s">
        <v>8788</v>
      </c>
      <c r="D1592" s="7">
        <v>1</v>
      </c>
      <c r="E1592" s="7">
        <v>10</v>
      </c>
      <c r="F1592" s="7">
        <v>1</v>
      </c>
      <c r="G1592" s="8" t="s">
        <v>214</v>
      </c>
      <c r="H1592" s="8" t="s">
        <v>423</v>
      </c>
      <c r="I1592" s="7" t="str">
        <f>_xlfn.CONCAT(Paper_Reference[[#This Row],[Lvl]:[Paper Description]])</f>
        <v>2J24RB626PM41SHSU PRO UV LANE 41.84 X 1441101100WM991-4300MAPLE LANE PRINT (W)</v>
      </c>
      <c r="J1592" s="7">
        <f>COUNTIF(Paper_Reference[Duplicate Key],Paper_Reference[[#This Row],[Duplicate Key]])</f>
        <v>1</v>
      </c>
    </row>
    <row r="1593" spans="1:10">
      <c r="A1593" s="7">
        <v>3</v>
      </c>
      <c r="B1593" s="8" t="s">
        <v>8828</v>
      </c>
      <c r="C1593" s="8" t="s">
        <v>8787</v>
      </c>
      <c r="D1593" s="7">
        <v>1</v>
      </c>
      <c r="E1593" s="7">
        <v>10</v>
      </c>
      <c r="F1593" s="7">
        <v>1</v>
      </c>
      <c r="G1593" s="8" t="s">
        <v>214</v>
      </c>
      <c r="H1593" s="8" t="s">
        <v>423</v>
      </c>
      <c r="I1593" s="7" t="str">
        <f>_xlfn.CONCAT(Paper_Reference[[#This Row],[Lvl]:[Paper Description]])</f>
        <v>3J24RB627PM41SHSU PRO UV CHARACTER 41.84X141101100WM991-4300MAPLE LANE PRINT (W)</v>
      </c>
      <c r="J1593" s="7">
        <f>COUNTIF(Paper_Reference[Duplicate Key],Paper_Reference[[#This Row],[Duplicate Key]])</f>
        <v>1</v>
      </c>
    </row>
    <row r="1594" spans="1:10">
      <c r="A1594" s="7">
        <v>2</v>
      </c>
      <c r="B1594" s="8" t="s">
        <v>8830</v>
      </c>
      <c r="C1594" s="8" t="s">
        <v>8789</v>
      </c>
      <c r="D1594" s="7">
        <v>1</v>
      </c>
      <c r="E1594" s="7">
        <v>10</v>
      </c>
      <c r="F1594" s="7">
        <v>0.33329999999999999</v>
      </c>
      <c r="G1594" s="8" t="s">
        <v>214</v>
      </c>
      <c r="H1594" s="8" t="s">
        <v>423</v>
      </c>
      <c r="I1594" s="7" t="str">
        <f>_xlfn.CONCAT(Paper_Reference[[#This Row],[Lvl]:[Paper Description]])</f>
        <v>2J24RB628PM42SHSU PRO UV SHORT 41.84 X 47.11100.3333100WM991-4300MAPLE LANE PRINT (W)</v>
      </c>
      <c r="J1594" s="7">
        <f>COUNTIF(Paper_Reference[Duplicate Key],Paper_Reference[[#This Row],[Duplicate Key]])</f>
        <v>1</v>
      </c>
    </row>
    <row r="1595" spans="1:10">
      <c r="A1595" s="7">
        <v>2</v>
      </c>
      <c r="B1595" s="8" t="s">
        <v>2601</v>
      </c>
      <c r="C1595" s="8" t="s">
        <v>2152</v>
      </c>
      <c r="D1595" s="7">
        <v>1</v>
      </c>
      <c r="E1595" s="7">
        <v>10</v>
      </c>
      <c r="F1595" s="7">
        <v>1</v>
      </c>
      <c r="G1595" s="8" t="s">
        <v>2144</v>
      </c>
      <c r="H1595" s="8" t="s">
        <v>1242</v>
      </c>
      <c r="I1595" s="7" t="str">
        <f>_xlfn.CONCAT(Paper_Reference[[#This Row],[Lvl]:[Paper Description]])</f>
        <v>2J24RB891QB57DIG UV WW971 LF W/A 59.5X142.5110110000020-6200Premium Inkjet MPK 9653</v>
      </c>
      <c r="J1595" s="7">
        <f>COUNTIF(Paper_Reference[Duplicate Key],Paper_Reference[[#This Row],[Duplicate Key]])</f>
        <v>1</v>
      </c>
    </row>
    <row r="1596" spans="1:10">
      <c r="A1596" s="7">
        <v>2</v>
      </c>
      <c r="B1596" s="8" t="s">
        <v>2602</v>
      </c>
      <c r="C1596" s="8" t="s">
        <v>2153</v>
      </c>
      <c r="D1596" s="7">
        <v>1</v>
      </c>
      <c r="E1596" s="7">
        <v>10</v>
      </c>
      <c r="F1596" s="7">
        <v>1</v>
      </c>
      <c r="G1596" s="8" t="s">
        <v>2144</v>
      </c>
      <c r="H1596" s="8" t="s">
        <v>1242</v>
      </c>
      <c r="I1596" s="7" t="str">
        <f>_xlfn.CONCAT(Paper_Reference[[#This Row],[Lvl]:[Paper Description]])</f>
        <v>2J24RB892QB56DIG UV WW971 RF W/A 59.5X142.5110110000020-6200Premium Inkjet MPK 9653</v>
      </c>
      <c r="J1596" s="7">
        <f>COUNTIF(Paper_Reference[Duplicate Key],Paper_Reference[[#This Row],[Duplicate Key]])</f>
        <v>1</v>
      </c>
    </row>
    <row r="1597" spans="1:10">
      <c r="A1597" s="7">
        <v>2</v>
      </c>
      <c r="B1597" s="8" t="s">
        <v>1717</v>
      </c>
      <c r="C1597" s="8" t="s">
        <v>1298</v>
      </c>
      <c r="D1597" s="7">
        <v>1</v>
      </c>
      <c r="E1597" s="7">
        <v>10</v>
      </c>
      <c r="F1597" s="7">
        <v>1</v>
      </c>
      <c r="G1597" s="8" t="s">
        <v>1241</v>
      </c>
      <c r="H1597" s="8" t="s">
        <v>1242</v>
      </c>
      <c r="I1597" s="7" t="str">
        <f>_xlfn.CONCAT(Paper_Reference[[#This Row],[Lvl]:[Paper Description]])</f>
        <v>2J24RB893PM41DIG UV WW971 LANE PAN 41.84X14110110000020-5000Premium Inkjet MPK 9653</v>
      </c>
      <c r="J1597" s="7">
        <f>COUNTIF(Paper_Reference[Duplicate Key],Paper_Reference[[#This Row],[Duplicate Key]])</f>
        <v>1</v>
      </c>
    </row>
    <row r="1598" spans="1:10">
      <c r="A1598" s="7">
        <v>2</v>
      </c>
      <c r="B1598" s="8" t="s">
        <v>2603</v>
      </c>
      <c r="C1598" s="8" t="s">
        <v>2154</v>
      </c>
      <c r="D1598" s="7">
        <v>1</v>
      </c>
      <c r="E1598" s="7">
        <v>10</v>
      </c>
      <c r="F1598" s="7">
        <v>0.25</v>
      </c>
      <c r="G1598" s="8" t="s">
        <v>2144</v>
      </c>
      <c r="H1598" s="8" t="s">
        <v>1242</v>
      </c>
      <c r="I1598" s="7" t="str">
        <f>_xlfn.CONCAT(Paper_Reference[[#This Row],[Lvl]:[Paper Description]])</f>
        <v>2J24RB894AM23DIG UV WW971 BALL RET 14.15X141100.2510000020-6200Premium Inkjet MPK 9653</v>
      </c>
      <c r="J1598" s="7">
        <f>COUNTIF(Paper_Reference[Duplicate Key],Paper_Reference[[#This Row],[Duplicate Key]])</f>
        <v>1</v>
      </c>
    </row>
    <row r="1599" spans="1:10">
      <c r="A1599" s="7">
        <v>2</v>
      </c>
      <c r="B1599" s="8" t="s">
        <v>1718</v>
      </c>
      <c r="C1599" s="8" t="s">
        <v>1299</v>
      </c>
      <c r="D1599" s="7">
        <v>1</v>
      </c>
      <c r="E1599" s="7">
        <v>10</v>
      </c>
      <c r="F1599" s="7">
        <v>1</v>
      </c>
      <c r="G1599" s="8" t="s">
        <v>1241</v>
      </c>
      <c r="H1599" s="8" t="s">
        <v>1242</v>
      </c>
      <c r="I1599" s="7" t="str">
        <f>_xlfn.CONCAT(Paper_Reference[[#This Row],[Lvl]:[Paper Description]])</f>
        <v>2J24RB894ARAEDIG UV WW971 W/WAY 42 7/8X145110110000020-5000Premium Inkjet MPK 9653</v>
      </c>
      <c r="J1599" s="7">
        <f>COUNTIF(Paper_Reference[Duplicate Key],Paper_Reference[[#This Row],[Duplicate Key]])</f>
        <v>1</v>
      </c>
    </row>
    <row r="1600" spans="1:10">
      <c r="A1600" s="7">
        <v>2</v>
      </c>
      <c r="B1600" s="8" t="s">
        <v>2604</v>
      </c>
      <c r="C1600" s="8" t="s">
        <v>2155</v>
      </c>
      <c r="D1600" s="7">
        <v>1</v>
      </c>
      <c r="E1600" s="7">
        <v>10</v>
      </c>
      <c r="F1600" s="7">
        <v>1</v>
      </c>
      <c r="G1600" s="8" t="s">
        <v>2144</v>
      </c>
      <c r="H1600" s="8" t="s">
        <v>1242</v>
      </c>
      <c r="I1600" s="7" t="str">
        <f>_xlfn.CONCAT(Paper_Reference[[#This Row],[Lvl]:[Paper Description]])</f>
        <v>2J24RB895QB57DIG UV HP272 LF W/A 59.5X142.5110110000020-6200Premium Inkjet MPK 9653</v>
      </c>
      <c r="J1600" s="7">
        <f>COUNTIF(Paper_Reference[Duplicate Key],Paper_Reference[[#This Row],[Duplicate Key]])</f>
        <v>1</v>
      </c>
    </row>
    <row r="1601" spans="1:10">
      <c r="A1601" s="7">
        <v>2</v>
      </c>
      <c r="B1601" s="8" t="s">
        <v>2605</v>
      </c>
      <c r="C1601" s="8" t="s">
        <v>2156</v>
      </c>
      <c r="D1601" s="7">
        <v>1</v>
      </c>
      <c r="E1601" s="7">
        <v>10</v>
      </c>
      <c r="F1601" s="7">
        <v>1</v>
      </c>
      <c r="G1601" s="8" t="s">
        <v>2144</v>
      </c>
      <c r="H1601" s="8" t="s">
        <v>1242</v>
      </c>
      <c r="I1601" s="7" t="str">
        <f>_xlfn.CONCAT(Paper_Reference[[#This Row],[Lvl]:[Paper Description]])</f>
        <v>2J24RB896QB56DIG UV HP272 RF W/A 59.5X142.5110110000020-6200Premium Inkjet MPK 9653</v>
      </c>
      <c r="J1601" s="7">
        <f>COUNTIF(Paper_Reference[Duplicate Key],Paper_Reference[[#This Row],[Duplicate Key]])</f>
        <v>1</v>
      </c>
    </row>
    <row r="1602" spans="1:10">
      <c r="A1602" s="7">
        <v>2</v>
      </c>
      <c r="B1602" s="8" t="s">
        <v>1719</v>
      </c>
      <c r="C1602" s="8" t="s">
        <v>1300</v>
      </c>
      <c r="D1602" s="7">
        <v>1</v>
      </c>
      <c r="E1602" s="7">
        <v>10</v>
      </c>
      <c r="F1602" s="7">
        <v>1</v>
      </c>
      <c r="G1602" s="8" t="s">
        <v>1241</v>
      </c>
      <c r="H1602" s="8" t="s">
        <v>1242</v>
      </c>
      <c r="I1602" s="7" t="str">
        <f>_xlfn.CONCAT(Paper_Reference[[#This Row],[Lvl]:[Paper Description]])</f>
        <v>2J24RB897PM41DIG UV HP272 LANE PAN 41.84X14110110000020-5000Premium Inkjet MPK 9653</v>
      </c>
      <c r="J1602" s="7">
        <f>COUNTIF(Paper_Reference[Duplicate Key],Paper_Reference[[#This Row],[Duplicate Key]])</f>
        <v>1</v>
      </c>
    </row>
    <row r="1603" spans="1:10">
      <c r="A1603" s="7">
        <v>2</v>
      </c>
      <c r="B1603" s="8" t="s">
        <v>2606</v>
      </c>
      <c r="C1603" s="8" t="s">
        <v>2157</v>
      </c>
      <c r="D1603" s="7">
        <v>1</v>
      </c>
      <c r="E1603" s="7">
        <v>10</v>
      </c>
      <c r="F1603" s="7">
        <v>0.25</v>
      </c>
      <c r="G1603" s="8" t="s">
        <v>2144</v>
      </c>
      <c r="H1603" s="8" t="s">
        <v>1242</v>
      </c>
      <c r="I1603" s="7" t="str">
        <f>_xlfn.CONCAT(Paper_Reference[[#This Row],[Lvl]:[Paper Description]])</f>
        <v>2J24RB898AM23DIG UV HP272 BALL RET 14.15X141100.2510000020-6200Premium Inkjet MPK 9653</v>
      </c>
      <c r="J1603" s="7">
        <f>COUNTIF(Paper_Reference[Duplicate Key],Paper_Reference[[#This Row],[Duplicate Key]])</f>
        <v>1</v>
      </c>
    </row>
    <row r="1604" spans="1:10">
      <c r="A1604" s="7">
        <v>2</v>
      </c>
      <c r="B1604" s="8" t="s">
        <v>2607</v>
      </c>
      <c r="C1604" s="8" t="s">
        <v>2158</v>
      </c>
      <c r="D1604" s="7">
        <v>1</v>
      </c>
      <c r="E1604" s="7">
        <v>10</v>
      </c>
      <c r="F1604" s="7">
        <v>0.33329999999999999</v>
      </c>
      <c r="G1604" s="8" t="s">
        <v>2144</v>
      </c>
      <c r="H1604" s="8" t="s">
        <v>1242</v>
      </c>
      <c r="I1604" s="7" t="str">
        <f>_xlfn.CONCAT(Paper_Reference[[#This Row],[Lvl]:[Paper Description]])</f>
        <v>2J24RB925AM24DIG STIX WCAKE UV WBR 15.25X141100.333310000020-6200Premium Inkjet MPK 9653</v>
      </c>
      <c r="J1604" s="7">
        <f>COUNTIF(Paper_Reference[Duplicate Key],Paper_Reference[[#This Row],[Duplicate Key]])</f>
        <v>1</v>
      </c>
    </row>
    <row r="1605" spans="1:10">
      <c r="A1605" s="7">
        <v>2</v>
      </c>
      <c r="B1605" s="8" t="s">
        <v>141</v>
      </c>
      <c r="C1605" s="8" t="s">
        <v>142</v>
      </c>
      <c r="D1605" s="7">
        <v>1</v>
      </c>
      <c r="E1605" s="7">
        <v>10</v>
      </c>
      <c r="F1605" s="7">
        <v>0.25</v>
      </c>
      <c r="G1605" s="8" t="s">
        <v>3115</v>
      </c>
      <c r="H1605" s="8" t="s">
        <v>3090</v>
      </c>
      <c r="I1605" s="7" t="str">
        <f>_xlfn.CONCAT(Paper_Reference[[#This Row],[Lvl]:[Paper Description]])</f>
        <v>2J24YB110AM23PRO GRIF UV WF131 NBR 14.15X141100.25100WF131-6200VANA</v>
      </c>
      <c r="J1605" s="7">
        <f>COUNTIF(Paper_Reference[Duplicate Key],Paper_Reference[[#This Row],[Duplicate Key]])</f>
        <v>1</v>
      </c>
    </row>
    <row r="1606" spans="1:10">
      <c r="A1606" s="7">
        <v>2</v>
      </c>
      <c r="B1606" s="8" t="s">
        <v>145</v>
      </c>
      <c r="C1606" s="8" t="s">
        <v>146</v>
      </c>
      <c r="D1606" s="7">
        <v>1</v>
      </c>
      <c r="E1606" s="7">
        <v>10</v>
      </c>
      <c r="F1606" s="7">
        <v>0.125</v>
      </c>
      <c r="G1606" s="8" t="s">
        <v>3115</v>
      </c>
      <c r="H1606" s="8" t="s">
        <v>3090</v>
      </c>
      <c r="I1606" s="7" t="str">
        <f>_xlfn.CONCAT(Paper_Reference[[#This Row],[Lvl]:[Paper Description]])</f>
        <v>2J24YB111AB12PRO GRIF UV WF131 SBR 14.15X581100.125100WF131-6200VANA</v>
      </c>
      <c r="J1606" s="7">
        <f>COUNTIF(Paper_Reference[Duplicate Key],Paper_Reference[[#This Row],[Duplicate Key]])</f>
        <v>1</v>
      </c>
    </row>
    <row r="1607" spans="1:10">
      <c r="A1607" s="7">
        <v>3</v>
      </c>
      <c r="B1607" s="8" t="s">
        <v>8915</v>
      </c>
      <c r="C1607" s="8" t="s">
        <v>8890</v>
      </c>
      <c r="D1607" s="7">
        <v>1</v>
      </c>
      <c r="E1607" s="7">
        <v>10</v>
      </c>
      <c r="F1607" s="7">
        <v>1</v>
      </c>
      <c r="G1607" s="8" t="s">
        <v>216</v>
      </c>
      <c r="H1607" s="8" t="s">
        <v>424</v>
      </c>
      <c r="I1607" s="7" t="str">
        <f>_xlfn.CONCAT(Paper_Reference[[#This Row],[Lvl]:[Paper Description]])</f>
        <v>3J25I8908AM51JR 1A PRO TX L APPR 59.5 X 1441101100WM981-6200LEFT BRUNSWICK MAPLE (W)</v>
      </c>
      <c r="J1607" s="7">
        <f>COUNTIF(Paper_Reference[Duplicate Key],Paper_Reference[[#This Row],[Duplicate Key]])</f>
        <v>1</v>
      </c>
    </row>
    <row r="1608" spans="1:10">
      <c r="A1608" s="7">
        <v>3</v>
      </c>
      <c r="B1608" s="8" t="s">
        <v>8869</v>
      </c>
      <c r="C1608" s="8" t="s">
        <v>8845</v>
      </c>
      <c r="D1608" s="7">
        <v>1</v>
      </c>
      <c r="E1608" s="7">
        <v>10</v>
      </c>
      <c r="F1608" s="7">
        <v>1</v>
      </c>
      <c r="G1608" s="8" t="s">
        <v>215</v>
      </c>
      <c r="H1608" s="8" t="s">
        <v>422</v>
      </c>
      <c r="I1608" s="7" t="str">
        <f>_xlfn.CONCAT(Paper_Reference[[#This Row],[Lvl]:[Paper Description]])</f>
        <v>3J25I8909AM58JR 2A PRO TX R APPR 59.5 X 1441101100WM101-6200RIGHT BRUNSWICK MAPLE (W)</v>
      </c>
      <c r="J1608" s="7">
        <f>COUNTIF(Paper_Reference[Duplicate Key],Paper_Reference[[#This Row],[Duplicate Key]])</f>
        <v>1</v>
      </c>
    </row>
    <row r="1609" spans="1:10">
      <c r="A1609" s="7">
        <v>3</v>
      </c>
      <c r="B1609" s="8" t="s">
        <v>8914</v>
      </c>
      <c r="C1609" s="8" t="s">
        <v>8889</v>
      </c>
      <c r="D1609" s="7">
        <v>1</v>
      </c>
      <c r="E1609" s="7">
        <v>10</v>
      </c>
      <c r="F1609" s="7">
        <v>1</v>
      </c>
      <c r="G1609" s="8" t="s">
        <v>216</v>
      </c>
      <c r="H1609" s="8" t="s">
        <v>424</v>
      </c>
      <c r="I1609" s="7" t="str">
        <f>_xlfn.CONCAT(Paper_Reference[[#This Row],[Lvl]:[Paper Description]])</f>
        <v>3J25I8910QM57JR 1B PRO TX L FOUL 59.5 X 1421101100WM981-6200LEFT BRUNSWICK MAPLE (W)</v>
      </c>
      <c r="J1609" s="7">
        <f>COUNTIF(Paper_Reference[Duplicate Key],Paper_Reference[[#This Row],[Duplicate Key]])</f>
        <v>1</v>
      </c>
    </row>
    <row r="1610" spans="1:10">
      <c r="A1610" s="7">
        <v>3</v>
      </c>
      <c r="B1610" s="8" t="s">
        <v>8868</v>
      </c>
      <c r="C1610" s="8" t="s">
        <v>8844</v>
      </c>
      <c r="D1610" s="7">
        <v>1</v>
      </c>
      <c r="E1610" s="7">
        <v>10</v>
      </c>
      <c r="F1610" s="7">
        <v>1</v>
      </c>
      <c r="G1610" s="8" t="s">
        <v>215</v>
      </c>
      <c r="H1610" s="8" t="s">
        <v>422</v>
      </c>
      <c r="I1610" s="7" t="str">
        <f>_xlfn.CONCAT(Paper_Reference[[#This Row],[Lvl]:[Paper Description]])</f>
        <v>3J25I8911QM56JR 2B PRO TX R FOUL 59.5 X 1421101100WM101-6200RIGHT BRUNSWICK MAPLE (W)</v>
      </c>
      <c r="J1610" s="7">
        <f>COUNTIF(Paper_Reference[Duplicate Key],Paper_Reference[[#This Row],[Duplicate Key]])</f>
        <v>1</v>
      </c>
    </row>
    <row r="1611" spans="1:10">
      <c r="A1611" s="7">
        <v>3</v>
      </c>
      <c r="B1611" s="8" t="s">
        <v>9501</v>
      </c>
      <c r="C1611" s="8" t="s">
        <v>9192</v>
      </c>
      <c r="D1611" s="7">
        <v>1</v>
      </c>
      <c r="E1611" s="7">
        <v>10</v>
      </c>
      <c r="F1611" s="7">
        <v>1</v>
      </c>
      <c r="G1611" s="8" t="s">
        <v>9143</v>
      </c>
      <c r="H1611" s="8" t="s">
        <v>9144</v>
      </c>
      <c r="I1611" s="30" t="str">
        <f>_xlfn.CONCAT(Paper_Reference[[#This Row],[Lvl]:[Paper Description]])</f>
        <v>3J25I9152AM51PFA39 UV PRO L APPR 59.5 X 1441101100PFA39-6200SINGING THE CHICAGO BLUES</v>
      </c>
      <c r="J1611" s="30">
        <f>COUNTIF(Paper_Reference[Duplicate Key],Paper_Reference[[#This Row],[Duplicate Key]])</f>
        <v>1</v>
      </c>
    </row>
    <row r="1612" spans="1:10">
      <c r="A1612" s="7">
        <v>3</v>
      </c>
      <c r="B1612" s="8" t="s">
        <v>9502</v>
      </c>
      <c r="C1612" s="8" t="s">
        <v>9196</v>
      </c>
      <c r="D1612" s="7">
        <v>1</v>
      </c>
      <c r="E1612" s="7">
        <v>10</v>
      </c>
      <c r="F1612" s="7">
        <v>1</v>
      </c>
      <c r="G1612" s="8" t="s">
        <v>9143</v>
      </c>
      <c r="H1612" s="8" t="s">
        <v>9144</v>
      </c>
      <c r="I1612" s="30" t="str">
        <f>_xlfn.CONCAT(Paper_Reference[[#This Row],[Lvl]:[Paper Description]])</f>
        <v>3J25I9153AM58PFA39 UV PRO R APPR 59.5 X 1441101100PFA39-6200SINGING THE CHICAGO BLUES</v>
      </c>
      <c r="J1612" s="30">
        <f>COUNTIF(Paper_Reference[Duplicate Key],Paper_Reference[[#This Row],[Duplicate Key]])</f>
        <v>1</v>
      </c>
    </row>
    <row r="1613" spans="1:10">
      <c r="A1613" s="7">
        <v>3</v>
      </c>
      <c r="B1613" s="8" t="s">
        <v>9503</v>
      </c>
      <c r="C1613" s="8" t="s">
        <v>9200</v>
      </c>
      <c r="D1613" s="7">
        <v>1</v>
      </c>
      <c r="E1613" s="7">
        <v>10</v>
      </c>
      <c r="F1613" s="7">
        <v>1</v>
      </c>
      <c r="G1613" s="8" t="s">
        <v>9143</v>
      </c>
      <c r="H1613" s="8" t="s">
        <v>9144</v>
      </c>
      <c r="I1613" s="30" t="str">
        <f>_xlfn.CONCAT(Paper_Reference[[#This Row],[Lvl]:[Paper Description]])</f>
        <v>3J25I9154QM57PFA39 UV PRO L FOUL 59.5X142.51101100PFA39-6200SINGING THE CHICAGO BLUES</v>
      </c>
      <c r="J1613" s="30">
        <f>COUNTIF(Paper_Reference[Duplicate Key],Paper_Reference[[#This Row],[Duplicate Key]])</f>
        <v>1</v>
      </c>
    </row>
    <row r="1614" spans="1:10">
      <c r="A1614" s="7">
        <v>3</v>
      </c>
      <c r="B1614" s="8" t="s">
        <v>9504</v>
      </c>
      <c r="C1614" s="8" t="s">
        <v>9204</v>
      </c>
      <c r="D1614" s="7">
        <v>1</v>
      </c>
      <c r="E1614" s="7">
        <v>10</v>
      </c>
      <c r="F1614" s="7">
        <v>1</v>
      </c>
      <c r="G1614" s="8" t="s">
        <v>9143</v>
      </c>
      <c r="H1614" s="8" t="s">
        <v>9144</v>
      </c>
      <c r="I1614" s="30" t="str">
        <f>_xlfn.CONCAT(Paper_Reference[[#This Row],[Lvl]:[Paper Description]])</f>
        <v>3J25I9155QM56PFA39 UV PRO R FOUL 59.5X142.51101100PFA39-6200SINGING THE CHICAGO BLUES</v>
      </c>
      <c r="J1614" s="30">
        <f>COUNTIF(Paper_Reference[Duplicate Key],Paper_Reference[[#This Row],[Duplicate Key]])</f>
        <v>1</v>
      </c>
    </row>
    <row r="1615" spans="1:10">
      <c r="A1615" s="7">
        <v>3</v>
      </c>
      <c r="B1615" s="8" t="s">
        <v>1098</v>
      </c>
      <c r="C1615" s="8" t="s">
        <v>1063</v>
      </c>
      <c r="D1615" s="7">
        <v>1</v>
      </c>
      <c r="E1615" s="7">
        <v>10</v>
      </c>
      <c r="F1615" s="7">
        <v>0.25</v>
      </c>
      <c r="G1615" s="8" t="s">
        <v>975</v>
      </c>
      <c r="H1615" s="8" t="s">
        <v>983</v>
      </c>
      <c r="I1615" s="7" t="str">
        <f>_xlfn.CONCAT(Paper_Reference[[#This Row],[Lvl]:[Paper Description]])</f>
        <v>3J25I9171AM23PRO NBR BRUNS LOGO 14.15 X1441100.25100WM111-6200RETURN MAPLE PRINT</v>
      </c>
      <c r="J1615" s="7">
        <f>COUNTIF(Paper_Reference[Duplicate Key],Paper_Reference[[#This Row],[Duplicate Key]])</f>
        <v>1</v>
      </c>
    </row>
    <row r="1616" spans="1:10">
      <c r="A1616" s="7">
        <v>3</v>
      </c>
      <c r="B1616" s="8" t="s">
        <v>1099</v>
      </c>
      <c r="C1616" s="8" t="s">
        <v>1064</v>
      </c>
      <c r="D1616" s="7">
        <v>1</v>
      </c>
      <c r="E1616" s="7">
        <v>10</v>
      </c>
      <c r="F1616" s="7">
        <v>0.25</v>
      </c>
      <c r="G1616" s="8" t="s">
        <v>975</v>
      </c>
      <c r="H1616" s="8" t="s">
        <v>983</v>
      </c>
      <c r="I1616" s="7" t="str">
        <f>_xlfn.CONCAT(Paper_Reference[[#This Row],[Lvl]:[Paper Description]])</f>
        <v>3J25I9172AM23PRO NBR SP LOGO 14.15 X 1441100.25100WM111-6200RETURN MAPLE PRINT</v>
      </c>
      <c r="J1616" s="7">
        <f>COUNTIF(Paper_Reference[Duplicate Key],Paper_Reference[[#This Row],[Duplicate Key]])</f>
        <v>1</v>
      </c>
    </row>
    <row r="1617" spans="1:10">
      <c r="A1617" s="7">
        <v>4</v>
      </c>
      <c r="B1617" s="8" t="s">
        <v>8908</v>
      </c>
      <c r="C1617" s="8" t="s">
        <v>8885</v>
      </c>
      <c r="D1617" s="7">
        <v>1</v>
      </c>
      <c r="E1617" s="7">
        <v>10</v>
      </c>
      <c r="F1617" s="7">
        <v>1</v>
      </c>
      <c r="G1617" s="8" t="s">
        <v>216</v>
      </c>
      <c r="H1617" s="8" t="s">
        <v>424</v>
      </c>
      <c r="I1617" s="7" t="str">
        <f>_xlfn.CONCAT(Paper_Reference[[#This Row],[Lvl]:[Paper Description]])</f>
        <v>4J25I9179AM51BUFF BOWL L APPR 59.5 X 144.001101100WM981-6200LEFT BRUNSWICK MAPLE (W)</v>
      </c>
      <c r="J1617" s="7">
        <f>COUNTIF(Paper_Reference[Duplicate Key],Paper_Reference[[#This Row],[Duplicate Key]])</f>
        <v>1</v>
      </c>
    </row>
    <row r="1618" spans="1:10">
      <c r="A1618" s="7">
        <v>3</v>
      </c>
      <c r="B1618" s="8" t="s">
        <v>8903</v>
      </c>
      <c r="C1618" s="8" t="s">
        <v>8880</v>
      </c>
      <c r="D1618" s="7">
        <v>1</v>
      </c>
      <c r="E1618" s="7">
        <v>10</v>
      </c>
      <c r="F1618" s="7">
        <v>1</v>
      </c>
      <c r="G1618" s="8" t="s">
        <v>216</v>
      </c>
      <c r="H1618" s="8" t="s">
        <v>424</v>
      </c>
      <c r="I1618" s="7" t="str">
        <f>_xlfn.CONCAT(Paper_Reference[[#This Row],[Lvl]:[Paper Description]])</f>
        <v>3J25I9269AM51PRO KOH LOGO L/A 59.5X144.001101100WM981-6200LEFT BRUNSWICK MAPLE (W)</v>
      </c>
      <c r="J1618" s="7">
        <f>COUNTIF(Paper_Reference[Duplicate Key],Paper_Reference[[#This Row],[Duplicate Key]])</f>
        <v>1</v>
      </c>
    </row>
    <row r="1619" spans="1:10">
      <c r="A1619" s="7">
        <v>3</v>
      </c>
      <c r="B1619" s="8" t="s">
        <v>8858</v>
      </c>
      <c r="C1619" s="8" t="s">
        <v>8836</v>
      </c>
      <c r="D1619" s="7">
        <v>1</v>
      </c>
      <c r="E1619" s="7">
        <v>10</v>
      </c>
      <c r="F1619" s="7">
        <v>1</v>
      </c>
      <c r="G1619" s="8" t="s">
        <v>215</v>
      </c>
      <c r="H1619" s="8" t="s">
        <v>422</v>
      </c>
      <c r="I1619" s="7" t="str">
        <f>_xlfn.CONCAT(Paper_Reference[[#This Row],[Lvl]:[Paper Description]])</f>
        <v>3J25I9270AM58PRO KOH LOGO R/A 59.5X144.001101100WM101-6200RIGHT BRUNSWICK MAPLE (W)</v>
      </c>
      <c r="J1619" s="7">
        <f>COUNTIF(Paper_Reference[Duplicate Key],Paper_Reference[[#This Row],[Duplicate Key]])</f>
        <v>1</v>
      </c>
    </row>
    <row r="1620" spans="1:10">
      <c r="A1620" s="7">
        <v>4</v>
      </c>
      <c r="B1620" s="8" t="s">
        <v>8904</v>
      </c>
      <c r="C1620" s="8" t="s">
        <v>8881</v>
      </c>
      <c r="D1620" s="7">
        <v>1</v>
      </c>
      <c r="E1620" s="7">
        <v>10</v>
      </c>
      <c r="F1620" s="7">
        <v>1</v>
      </c>
      <c r="G1620" s="8" t="s">
        <v>216</v>
      </c>
      <c r="H1620" s="8" t="s">
        <v>424</v>
      </c>
      <c r="I1620" s="7" t="str">
        <f>_xlfn.CONCAT(Paper_Reference[[#This Row],[Lvl]:[Paper Description]])</f>
        <v>4J25I9362AM51PRO II TEX L/A W LOGO 59.5 X 11101100WM981-6200LEFT BRUNSWICK MAPLE (W)</v>
      </c>
      <c r="J1620" s="7">
        <f>COUNTIF(Paper_Reference[Duplicate Key],Paper_Reference[[#This Row],[Duplicate Key]])</f>
        <v>1</v>
      </c>
    </row>
    <row r="1621" spans="1:10">
      <c r="A1621" s="7">
        <v>4</v>
      </c>
      <c r="B1621" s="8" t="s">
        <v>8859</v>
      </c>
      <c r="C1621" s="8" t="s">
        <v>8837</v>
      </c>
      <c r="D1621" s="7">
        <v>1</v>
      </c>
      <c r="E1621" s="7">
        <v>10</v>
      </c>
      <c r="F1621" s="7">
        <v>1</v>
      </c>
      <c r="G1621" s="8" t="s">
        <v>215</v>
      </c>
      <c r="H1621" s="8" t="s">
        <v>422</v>
      </c>
      <c r="I1621" s="7" t="str">
        <f>_xlfn.CONCAT(Paper_Reference[[#This Row],[Lvl]:[Paper Description]])</f>
        <v>4J25I9363AM58PRO II TEX R/A W/LOGO 59.5 X 11101100WM101-6200RIGHT BRUNSWICK MAPLE (W)</v>
      </c>
      <c r="J1621" s="7">
        <f>COUNTIF(Paper_Reference[Duplicate Key],Paper_Reference[[#This Row],[Duplicate Key]])</f>
        <v>1</v>
      </c>
    </row>
    <row r="1622" spans="1:10">
      <c r="A1622" s="7">
        <v>3</v>
      </c>
      <c r="B1622" s="8" t="s">
        <v>1041</v>
      </c>
      <c r="C1622" s="8" t="s">
        <v>1027</v>
      </c>
      <c r="D1622" s="7">
        <v>1</v>
      </c>
      <c r="E1622" s="7">
        <v>10</v>
      </c>
      <c r="F1622" s="7">
        <v>1</v>
      </c>
      <c r="G1622" s="8" t="s">
        <v>974</v>
      </c>
      <c r="H1622" s="8" t="s">
        <v>983</v>
      </c>
      <c r="I1622" s="7" t="str">
        <f>_xlfn.CONCAT(Paper_Reference[[#This Row],[Lvl]:[Paper Description]])</f>
        <v>3J25I9364ARAEPRO TEX W/WAY W/LOGO 42 1/2X141101100WM111-4300RETURN MAPLE PRINT</v>
      </c>
      <c r="J1622" s="7">
        <f>COUNTIF(Paper_Reference[Duplicate Key],Paper_Reference[[#This Row],[Duplicate Key]])</f>
        <v>1</v>
      </c>
    </row>
    <row r="1623" spans="1:10">
      <c r="A1623" s="7">
        <v>3</v>
      </c>
      <c r="B1623" s="8" t="s">
        <v>8860</v>
      </c>
      <c r="C1623" s="8" t="s">
        <v>8838</v>
      </c>
      <c r="D1623" s="7">
        <v>1</v>
      </c>
      <c r="E1623" s="7">
        <v>10</v>
      </c>
      <c r="F1623" s="7">
        <v>1</v>
      </c>
      <c r="G1623" s="8" t="s">
        <v>215</v>
      </c>
      <c r="H1623" s="8" t="s">
        <v>422</v>
      </c>
      <c r="I1623" s="7" t="str">
        <f>_xlfn.CONCAT(Paper_Reference[[#This Row],[Lvl]:[Paper Description]])</f>
        <v>3J25I9423QM56PRO II TEX R FOUL S/H 59.5 X 11101100WM101-6200RIGHT BRUNSWICK MAPLE (W)</v>
      </c>
      <c r="J1623" s="7">
        <f>COUNTIF(Paper_Reference[Duplicate Key],Paper_Reference[[#This Row],[Duplicate Key]])</f>
        <v>1</v>
      </c>
    </row>
    <row r="1624" spans="1:10">
      <c r="A1624" s="7">
        <v>3</v>
      </c>
      <c r="B1624" s="8" t="s">
        <v>8905</v>
      </c>
      <c r="C1624" s="8" t="s">
        <v>8882</v>
      </c>
      <c r="D1624" s="7">
        <v>1</v>
      </c>
      <c r="E1624" s="7">
        <v>10</v>
      </c>
      <c r="F1624" s="7">
        <v>1</v>
      </c>
      <c r="G1624" s="8" t="s">
        <v>216</v>
      </c>
      <c r="H1624" s="8" t="s">
        <v>424</v>
      </c>
      <c r="I1624" s="7" t="str">
        <f>_xlfn.CONCAT(Paper_Reference[[#This Row],[Lvl]:[Paper Description]])</f>
        <v>3J25I9424QM57PRO II TEX L FOUL S/H 59.5 X 11101100WM981-6200LEFT BRUNSWICK MAPLE (W)</v>
      </c>
      <c r="J1624" s="7">
        <f>COUNTIF(Paper_Reference[Duplicate Key],Paper_Reference[[#This Row],[Duplicate Key]])</f>
        <v>1</v>
      </c>
    </row>
    <row r="1625" spans="1:10">
      <c r="A1625" s="7">
        <v>3</v>
      </c>
      <c r="B1625" s="8" t="s">
        <v>484</v>
      </c>
      <c r="C1625" s="8" t="s">
        <v>260</v>
      </c>
      <c r="D1625" s="7">
        <v>1</v>
      </c>
      <c r="E1625" s="7">
        <v>10</v>
      </c>
      <c r="F1625" s="7">
        <v>1</v>
      </c>
      <c r="G1625" s="8" t="s">
        <v>215</v>
      </c>
      <c r="H1625" s="8" t="s">
        <v>422</v>
      </c>
      <c r="I1625" s="7" t="str">
        <f>_xlfn.CONCAT(Paper_Reference[[#This Row],[Lvl]:[Paper Description]])</f>
        <v>3J25I9459QB56PRO II TEX R W/ARROWS 59.5X1421101100WM101-6200RIGHT BRUNSWICK MAPLE (W)</v>
      </c>
      <c r="J1625" s="7">
        <f>COUNTIF(Paper_Reference[Duplicate Key],Paper_Reference[[#This Row],[Duplicate Key]])</f>
        <v>1</v>
      </c>
    </row>
    <row r="1626" spans="1:10">
      <c r="A1626" s="7">
        <v>3</v>
      </c>
      <c r="B1626" s="8" t="s">
        <v>485</v>
      </c>
      <c r="C1626" s="8" t="s">
        <v>260</v>
      </c>
      <c r="D1626" s="7">
        <v>1</v>
      </c>
      <c r="E1626" s="7">
        <v>10</v>
      </c>
      <c r="F1626" s="7">
        <v>1</v>
      </c>
      <c r="G1626" s="8" t="s">
        <v>215</v>
      </c>
      <c r="H1626" s="8" t="s">
        <v>422</v>
      </c>
      <c r="I1626" s="7" t="str">
        <f>_xlfn.CONCAT(Paper_Reference[[#This Row],[Lvl]:[Paper Description]])</f>
        <v>3J25I9459QM56PRO II TEX R W/ARROWS 59.5X1421101100WM101-6200RIGHT BRUNSWICK MAPLE (W)</v>
      </c>
      <c r="J1626" s="7">
        <f>COUNTIF(Paper_Reference[Duplicate Key],Paper_Reference[[#This Row],[Duplicate Key]])</f>
        <v>1</v>
      </c>
    </row>
    <row r="1627" spans="1:10">
      <c r="A1627" s="7">
        <v>3</v>
      </c>
      <c r="B1627" s="8" t="s">
        <v>492</v>
      </c>
      <c r="C1627" s="8" t="s">
        <v>267</v>
      </c>
      <c r="D1627" s="7">
        <v>1</v>
      </c>
      <c r="E1627" s="7">
        <v>10</v>
      </c>
      <c r="F1627" s="7">
        <v>1</v>
      </c>
      <c r="G1627" s="8" t="s">
        <v>216</v>
      </c>
      <c r="H1627" s="8" t="s">
        <v>424</v>
      </c>
      <c r="I1627" s="7" t="str">
        <f>_xlfn.CONCAT(Paper_Reference[[#This Row],[Lvl]:[Paper Description]])</f>
        <v>3J25I9460QB57PRO II TEX L W/ARROWS 59.5X1421101100WM981-6200LEFT BRUNSWICK MAPLE (W)</v>
      </c>
      <c r="J1627" s="7">
        <f>COUNTIF(Paper_Reference[Duplicate Key],Paper_Reference[[#This Row],[Duplicate Key]])</f>
        <v>1</v>
      </c>
    </row>
    <row r="1628" spans="1:10">
      <c r="A1628" s="7">
        <v>3</v>
      </c>
      <c r="B1628" s="8" t="s">
        <v>493</v>
      </c>
      <c r="C1628" s="8" t="s">
        <v>267</v>
      </c>
      <c r="D1628" s="7">
        <v>1</v>
      </c>
      <c r="E1628" s="7">
        <v>10</v>
      </c>
      <c r="F1628" s="7">
        <v>1</v>
      </c>
      <c r="G1628" s="8" t="s">
        <v>216</v>
      </c>
      <c r="H1628" s="8" t="s">
        <v>424</v>
      </c>
      <c r="I1628" s="7" t="str">
        <f>_xlfn.CONCAT(Paper_Reference[[#This Row],[Lvl]:[Paper Description]])</f>
        <v>3J25I9460QM57PRO II TEX L W/ARROWS 59.5X1421101100WM981-6200LEFT BRUNSWICK MAPLE (W)</v>
      </c>
      <c r="J1628" s="7">
        <f>COUNTIF(Paper_Reference[Duplicate Key],Paper_Reference[[#This Row],[Duplicate Key]])</f>
        <v>1</v>
      </c>
    </row>
    <row r="1629" spans="1:10">
      <c r="A1629" s="7">
        <v>3</v>
      </c>
      <c r="B1629" s="8" t="s">
        <v>8861</v>
      </c>
      <c r="C1629" s="8" t="s">
        <v>8839</v>
      </c>
      <c r="D1629" s="7">
        <v>1</v>
      </c>
      <c r="E1629" s="7">
        <v>10</v>
      </c>
      <c r="F1629" s="7">
        <v>1</v>
      </c>
      <c r="G1629" s="8" t="s">
        <v>215</v>
      </c>
      <c r="H1629" s="8" t="s">
        <v>422</v>
      </c>
      <c r="I1629" s="7" t="str">
        <f>_xlfn.CONCAT(Paper_Reference[[#This Row],[Lvl]:[Paper Description]])</f>
        <v>3J25I9510QM56PRO II TEX R FOUL SH2 59.5 X 11101100WM101-6200RIGHT BRUNSWICK MAPLE (W)</v>
      </c>
      <c r="J1629" s="7">
        <f>COUNTIF(Paper_Reference[Duplicate Key],Paper_Reference[[#This Row],[Duplicate Key]])</f>
        <v>1</v>
      </c>
    </row>
    <row r="1630" spans="1:10">
      <c r="A1630" s="7">
        <v>3</v>
      </c>
      <c r="B1630" s="8" t="s">
        <v>8906</v>
      </c>
      <c r="C1630" s="8" t="s">
        <v>8883</v>
      </c>
      <c r="D1630" s="7">
        <v>1</v>
      </c>
      <c r="E1630" s="7">
        <v>10</v>
      </c>
      <c r="F1630" s="7">
        <v>1</v>
      </c>
      <c r="G1630" s="8" t="s">
        <v>216</v>
      </c>
      <c r="H1630" s="8" t="s">
        <v>424</v>
      </c>
      <c r="I1630" s="7" t="str">
        <f>_xlfn.CONCAT(Paper_Reference[[#This Row],[Lvl]:[Paper Description]])</f>
        <v>3J25I9511QM57PRO II TEX L FOUL SH2 59.5 X 11101100WM981-6200LEFT BRUNSWICK MAPLE (W)</v>
      </c>
      <c r="J1630" s="7">
        <f>COUNTIF(Paper_Reference[Duplicate Key],Paper_Reference[[#This Row],[Duplicate Key]])</f>
        <v>1</v>
      </c>
    </row>
    <row r="1631" spans="1:10">
      <c r="A1631" s="7">
        <v>3</v>
      </c>
      <c r="B1631" s="8" t="s">
        <v>34</v>
      </c>
      <c r="C1631" s="8" t="s">
        <v>35</v>
      </c>
      <c r="D1631" s="7">
        <v>1</v>
      </c>
      <c r="E1631" s="7">
        <v>10</v>
      </c>
      <c r="F1631" s="7">
        <v>1</v>
      </c>
      <c r="G1631" s="8" t="s">
        <v>216</v>
      </c>
      <c r="H1631" s="8" t="s">
        <v>424</v>
      </c>
      <c r="I1631" s="7" t="str">
        <f>_xlfn.CONCAT(Paper_Reference[[#This Row],[Lvl]:[Paper Description]])</f>
        <v>3J25ILAPPAM51PRO II TEX L APPR 59.5 X 144.01101100WM981-6200LEFT BRUNSWICK MAPLE (W)</v>
      </c>
      <c r="J1631" s="7">
        <f>COUNTIF(Paper_Reference[Duplicate Key],Paper_Reference[[#This Row],[Duplicate Key]])</f>
        <v>1</v>
      </c>
    </row>
    <row r="1632" spans="1:10">
      <c r="A1632" s="7">
        <v>3</v>
      </c>
      <c r="B1632" s="8" t="s">
        <v>8901</v>
      </c>
      <c r="C1632" s="8" t="s">
        <v>8878</v>
      </c>
      <c r="D1632" s="7">
        <v>1</v>
      </c>
      <c r="E1632" s="7">
        <v>10</v>
      </c>
      <c r="F1632" s="7">
        <v>1</v>
      </c>
      <c r="G1632" s="8" t="s">
        <v>216</v>
      </c>
      <c r="H1632" s="8" t="s">
        <v>424</v>
      </c>
      <c r="I1632" s="7" t="str">
        <f>_xlfn.CONCAT(Paper_Reference[[#This Row],[Lvl]:[Paper Description]])</f>
        <v>3J25ILAPPPM51GLOW II L APPR 59.5 X 144.001101100WM981-6200LEFT BRUNSWICK MAPLE (W)</v>
      </c>
      <c r="J1632" s="7">
        <f>COUNTIF(Paper_Reference[Duplicate Key],Paper_Reference[[#This Row],[Duplicate Key]])</f>
        <v>1</v>
      </c>
    </row>
    <row r="1633" spans="1:10">
      <c r="A1633" s="7">
        <v>3</v>
      </c>
      <c r="B1633" s="8" t="s">
        <v>8902</v>
      </c>
      <c r="C1633" s="8" t="s">
        <v>8879</v>
      </c>
      <c r="D1633" s="7">
        <v>1</v>
      </c>
      <c r="E1633" s="7">
        <v>10</v>
      </c>
      <c r="F1633" s="7">
        <v>1</v>
      </c>
      <c r="G1633" s="8" t="s">
        <v>216</v>
      </c>
      <c r="H1633" s="8" t="s">
        <v>424</v>
      </c>
      <c r="I1633" s="7" t="str">
        <f>_xlfn.CONCAT(Paper_Reference[[#This Row],[Lvl]:[Paper Description]])</f>
        <v>3J25ILFOUPM57GLOW II L T-FOUL 59.5 X 142.51101100WM981-6200LEFT BRUNSWICK MAPLE (W)</v>
      </c>
      <c r="J1633" s="7">
        <f>COUNTIF(Paper_Reference[Duplicate Key],Paper_Reference[[#This Row],[Duplicate Key]])</f>
        <v>1</v>
      </c>
    </row>
    <row r="1634" spans="1:10">
      <c r="A1634" s="7">
        <v>3</v>
      </c>
      <c r="B1634" s="8" t="s">
        <v>40</v>
      </c>
      <c r="C1634" s="8" t="s">
        <v>41</v>
      </c>
      <c r="D1634" s="7">
        <v>1</v>
      </c>
      <c r="E1634" s="7">
        <v>10</v>
      </c>
      <c r="F1634" s="7">
        <v>1</v>
      </c>
      <c r="G1634" s="8" t="s">
        <v>216</v>
      </c>
      <c r="H1634" s="8" t="s">
        <v>424</v>
      </c>
      <c r="I1634" s="7" t="str">
        <f>_xlfn.CONCAT(Paper_Reference[[#This Row],[Lvl]:[Paper Description]])</f>
        <v>3J25ILFOUQM57PRO II TEX L T-FOUL 59.5 X 1421101100WM981-6200LEFT BRUNSWICK MAPLE (W)</v>
      </c>
      <c r="J1634" s="7">
        <f>COUNTIF(Paper_Reference[Duplicate Key],Paper_Reference[[#This Row],[Duplicate Key]])</f>
        <v>1</v>
      </c>
    </row>
    <row r="1635" spans="1:10">
      <c r="A1635" s="7">
        <v>3</v>
      </c>
      <c r="B1635" s="8" t="s">
        <v>494</v>
      </c>
      <c r="C1635" s="8" t="s">
        <v>261</v>
      </c>
      <c r="D1635" s="7">
        <v>1</v>
      </c>
      <c r="E1635" s="7">
        <v>10</v>
      </c>
      <c r="F1635" s="7">
        <v>1</v>
      </c>
      <c r="G1635" s="8" t="s">
        <v>216</v>
      </c>
      <c r="H1635" s="8" t="s">
        <v>424</v>
      </c>
      <c r="I1635" s="7" t="str">
        <f>_xlfn.CONCAT(Paper_Reference[[#This Row],[Lvl]:[Paper Description]])</f>
        <v>3J25ILFXLQB02PRO II TEX XL R FOUL 59.5 X 141101100WM981-6200LEFT BRUNSWICK MAPLE (W)</v>
      </c>
      <c r="J1635" s="7">
        <f>COUNTIF(Paper_Reference[Duplicate Key],Paper_Reference[[#This Row],[Duplicate Key]])</f>
        <v>1</v>
      </c>
    </row>
    <row r="1636" spans="1:10">
      <c r="A1636" s="7">
        <v>3</v>
      </c>
      <c r="B1636" s="8" t="s">
        <v>31</v>
      </c>
      <c r="C1636" s="8" t="s">
        <v>32</v>
      </c>
      <c r="D1636" s="7">
        <v>1</v>
      </c>
      <c r="E1636" s="7">
        <v>10</v>
      </c>
      <c r="F1636" s="7">
        <v>1</v>
      </c>
      <c r="G1636" s="8" t="s">
        <v>215</v>
      </c>
      <c r="H1636" s="8" t="s">
        <v>422</v>
      </c>
      <c r="I1636" s="7" t="str">
        <f>_xlfn.CONCAT(Paper_Reference[[#This Row],[Lvl]:[Paper Description]])</f>
        <v>3J25IRAPPAM58PRO II TEX R APPR 59.5 X 144.01101100WM101-6200RIGHT BRUNSWICK MAPLE (W)</v>
      </c>
      <c r="J1636" s="7">
        <f>COUNTIF(Paper_Reference[Duplicate Key],Paper_Reference[[#This Row],[Duplicate Key]])</f>
        <v>1</v>
      </c>
    </row>
    <row r="1637" spans="1:10">
      <c r="A1637" s="7">
        <v>3</v>
      </c>
      <c r="B1637" s="8" t="s">
        <v>8856</v>
      </c>
      <c r="C1637" s="8" t="s">
        <v>8834</v>
      </c>
      <c r="D1637" s="7">
        <v>1</v>
      </c>
      <c r="E1637" s="7">
        <v>10</v>
      </c>
      <c r="F1637" s="7">
        <v>1</v>
      </c>
      <c r="G1637" s="8" t="s">
        <v>215</v>
      </c>
      <c r="H1637" s="8" t="s">
        <v>422</v>
      </c>
      <c r="I1637" s="7" t="str">
        <f>_xlfn.CONCAT(Paper_Reference[[#This Row],[Lvl]:[Paper Description]])</f>
        <v>3J25IRAPPPM58GLOW II R APPR 59.5 X 144.001101100WM101-6200RIGHT BRUNSWICK MAPLE (W)</v>
      </c>
      <c r="J1637" s="7">
        <f>COUNTIF(Paper_Reference[Duplicate Key],Paper_Reference[[#This Row],[Duplicate Key]])</f>
        <v>1</v>
      </c>
    </row>
    <row r="1638" spans="1:10">
      <c r="A1638" s="7">
        <v>3</v>
      </c>
      <c r="B1638" s="8" t="s">
        <v>8857</v>
      </c>
      <c r="C1638" s="8" t="s">
        <v>8835</v>
      </c>
      <c r="D1638" s="7">
        <v>1</v>
      </c>
      <c r="E1638" s="7">
        <v>10</v>
      </c>
      <c r="F1638" s="7">
        <v>1</v>
      </c>
      <c r="G1638" s="8" t="s">
        <v>215</v>
      </c>
      <c r="H1638" s="8" t="s">
        <v>422</v>
      </c>
      <c r="I1638" s="7" t="str">
        <f>_xlfn.CONCAT(Paper_Reference[[#This Row],[Lvl]:[Paper Description]])</f>
        <v>3J25IRFOUPM56GLOW II R T-FOUL 59.5 X 142.51101100WM101-6200RIGHT BRUNSWICK MAPLE (W)</v>
      </c>
      <c r="J1638" s="7">
        <f>COUNTIF(Paper_Reference[Duplicate Key],Paper_Reference[[#This Row],[Duplicate Key]])</f>
        <v>1</v>
      </c>
    </row>
    <row r="1639" spans="1:10">
      <c r="A1639" s="7">
        <v>3</v>
      </c>
      <c r="B1639" s="8" t="s">
        <v>37</v>
      </c>
      <c r="C1639" s="8" t="s">
        <v>38</v>
      </c>
      <c r="D1639" s="7">
        <v>1</v>
      </c>
      <c r="E1639" s="7">
        <v>10</v>
      </c>
      <c r="F1639" s="7">
        <v>1</v>
      </c>
      <c r="G1639" s="8" t="s">
        <v>215</v>
      </c>
      <c r="H1639" s="8" t="s">
        <v>422</v>
      </c>
      <c r="I1639" s="7" t="str">
        <f>_xlfn.CONCAT(Paper_Reference[[#This Row],[Lvl]:[Paper Description]])</f>
        <v>3J25IRFOUQM56PRO II TEX R T-FOUL 59.5 X 1421101100WM101-6200RIGHT BRUNSWICK MAPLE (W)</v>
      </c>
      <c r="J1639" s="7">
        <f>COUNTIF(Paper_Reference[Duplicate Key],Paper_Reference[[#This Row],[Duplicate Key]])</f>
        <v>1</v>
      </c>
    </row>
    <row r="1640" spans="1:10">
      <c r="A1640" s="7">
        <v>3</v>
      </c>
      <c r="B1640" s="8" t="s">
        <v>486</v>
      </c>
      <c r="C1640" s="8" t="s">
        <v>261</v>
      </c>
      <c r="D1640" s="7">
        <v>1</v>
      </c>
      <c r="E1640" s="7">
        <v>10</v>
      </c>
      <c r="F1640" s="7">
        <v>1</v>
      </c>
      <c r="G1640" s="8" t="s">
        <v>215</v>
      </c>
      <c r="H1640" s="8" t="s">
        <v>422</v>
      </c>
      <c r="I1640" s="7" t="str">
        <f>_xlfn.CONCAT(Paper_Reference[[#This Row],[Lvl]:[Paper Description]])</f>
        <v>3J25IRFXLQB01PRO II TEX XL R FOUL 59.5 X 141101100WM101-6200RIGHT BRUNSWICK MAPLE (W)</v>
      </c>
      <c r="J1640" s="7">
        <f>COUNTIF(Paper_Reference[Duplicate Key],Paper_Reference[[#This Row],[Duplicate Key]])</f>
        <v>1</v>
      </c>
    </row>
    <row r="1641" spans="1:10">
      <c r="A1641" s="7">
        <v>2</v>
      </c>
      <c r="B1641" s="8" t="s">
        <v>1100</v>
      </c>
      <c r="C1641" s="8" t="s">
        <v>1065</v>
      </c>
      <c r="D1641" s="7">
        <v>1</v>
      </c>
      <c r="E1641" s="7">
        <v>10</v>
      </c>
      <c r="F1641" s="7">
        <v>0.33329999999999999</v>
      </c>
      <c r="G1641" s="8" t="s">
        <v>975</v>
      </c>
      <c r="H1641" s="8" t="s">
        <v>983</v>
      </c>
      <c r="I1641" s="7" t="str">
        <f>_xlfn.CONCAT(Paper_Reference[[#This Row],[Lvl]:[Paper Description]])</f>
        <v>2J25RB096AM24JR 1J PRO TX WIDE RET 15.25X141100.3333100WM111-6200RETURN MAPLE PRINT</v>
      </c>
      <c r="J1641" s="7">
        <f>COUNTIF(Paper_Reference[Duplicate Key],Paper_Reference[[#This Row],[Duplicate Key]])</f>
        <v>1</v>
      </c>
    </row>
    <row r="1642" spans="1:10">
      <c r="A1642" s="7">
        <v>2</v>
      </c>
      <c r="B1642" s="8" t="s">
        <v>1042</v>
      </c>
      <c r="C1642" s="8" t="s">
        <v>1028</v>
      </c>
      <c r="D1642" s="7">
        <v>1</v>
      </c>
      <c r="E1642" s="7">
        <v>10</v>
      </c>
      <c r="F1642" s="7">
        <v>1</v>
      </c>
      <c r="G1642" s="8" t="s">
        <v>974</v>
      </c>
      <c r="H1642" s="8" t="s">
        <v>983</v>
      </c>
      <c r="I1642" s="7" t="str">
        <f>_xlfn.CONCAT(Paper_Reference[[#This Row],[Lvl]:[Paper Description]])</f>
        <v>2J25RB097ARAEJR 1L PRO TX W/WAY 42 1/2X145.1101100WM111-4300RETURN MAPLE PRINT</v>
      </c>
      <c r="J1642" s="7">
        <f>COUNTIF(Paper_Reference[Duplicate Key],Paper_Reference[[#This Row],[Duplicate Key]])</f>
        <v>1</v>
      </c>
    </row>
    <row r="1643" spans="1:10">
      <c r="A1643" s="7">
        <v>2</v>
      </c>
      <c r="B1643" s="8" t="s">
        <v>1101</v>
      </c>
      <c r="C1643" s="8" t="s">
        <v>1066</v>
      </c>
      <c r="D1643" s="7">
        <v>1</v>
      </c>
      <c r="E1643" s="7">
        <v>10</v>
      </c>
      <c r="F1643" s="7">
        <v>0.33329999999999999</v>
      </c>
      <c r="G1643" s="8" t="s">
        <v>975</v>
      </c>
      <c r="H1643" s="8" t="s">
        <v>983</v>
      </c>
      <c r="I1643" s="7" t="str">
        <f>_xlfn.CONCAT(Paper_Reference[[#This Row],[Lvl]:[Paper Description]])</f>
        <v>2J25RB106AM24BEAVER PRO WIDE RET 15.25X1441100.3333100WM111-6200RETURN MAPLE PRINT</v>
      </c>
      <c r="J1643" s="7">
        <f>COUNTIF(Paper_Reference[Duplicate Key],Paper_Reference[[#This Row],[Duplicate Key]])</f>
        <v>1</v>
      </c>
    </row>
    <row r="1644" spans="1:10">
      <c r="A1644" s="7">
        <v>3</v>
      </c>
      <c r="B1644" s="8" t="s">
        <v>495</v>
      </c>
      <c r="C1644" s="8" t="s">
        <v>268</v>
      </c>
      <c r="D1644" s="7">
        <v>1</v>
      </c>
      <c r="E1644" s="7">
        <v>10</v>
      </c>
      <c r="F1644" s="7">
        <v>1</v>
      </c>
      <c r="G1644" s="8" t="s">
        <v>216</v>
      </c>
      <c r="H1644" s="8" t="s">
        <v>424</v>
      </c>
      <c r="I1644" s="7" t="str">
        <f>_xlfn.CONCAT(Paper_Reference[[#This Row],[Lvl]:[Paper Description]])</f>
        <v>3J25RB150AM51OCEAN 1A PRO L APPR 59.5 X 1441101100WM981-6200LEFT BRUNSWICK MAPLE (W)</v>
      </c>
      <c r="J1644" s="7">
        <f>COUNTIF(Paper_Reference[Duplicate Key],Paper_Reference[[#This Row],[Duplicate Key]])</f>
        <v>1</v>
      </c>
    </row>
    <row r="1645" spans="1:10">
      <c r="A1645" s="7">
        <v>3</v>
      </c>
      <c r="B1645" s="8" t="s">
        <v>487</v>
      </c>
      <c r="C1645" s="8" t="s">
        <v>262</v>
      </c>
      <c r="D1645" s="7">
        <v>1</v>
      </c>
      <c r="E1645" s="7">
        <v>10</v>
      </c>
      <c r="F1645" s="7">
        <v>1</v>
      </c>
      <c r="G1645" s="8" t="s">
        <v>215</v>
      </c>
      <c r="H1645" s="8" t="s">
        <v>422</v>
      </c>
      <c r="I1645" s="7" t="str">
        <f>_xlfn.CONCAT(Paper_Reference[[#This Row],[Lvl]:[Paper Description]])</f>
        <v>3J25RB151AM58OCEAN 2A PRO R APPR 59.5 X 1441101100WM101-6200RIGHT BRUNSWICK MAPLE (W)</v>
      </c>
      <c r="J1645" s="7">
        <f>COUNTIF(Paper_Reference[Duplicate Key],Paper_Reference[[#This Row],[Duplicate Key]])</f>
        <v>1</v>
      </c>
    </row>
    <row r="1646" spans="1:10">
      <c r="A1646" s="7">
        <v>3</v>
      </c>
      <c r="B1646" s="8" t="s">
        <v>496</v>
      </c>
      <c r="C1646" s="8" t="s">
        <v>269</v>
      </c>
      <c r="D1646" s="7">
        <v>1</v>
      </c>
      <c r="E1646" s="7">
        <v>10</v>
      </c>
      <c r="F1646" s="7">
        <v>1</v>
      </c>
      <c r="G1646" s="8" t="s">
        <v>216</v>
      </c>
      <c r="H1646" s="8" t="s">
        <v>424</v>
      </c>
      <c r="I1646" s="7" t="str">
        <f>_xlfn.CONCAT(Paper_Reference[[#This Row],[Lvl]:[Paper Description]])</f>
        <v>3J25RB152QM57OCEAN 1B PRO L FOUL 59.5X142.51101100WM981-6200LEFT BRUNSWICK MAPLE (W)</v>
      </c>
      <c r="J1646" s="7">
        <f>COUNTIF(Paper_Reference[Duplicate Key],Paper_Reference[[#This Row],[Duplicate Key]])</f>
        <v>1</v>
      </c>
    </row>
    <row r="1647" spans="1:10">
      <c r="A1647" s="7">
        <v>3</v>
      </c>
      <c r="B1647" s="8" t="s">
        <v>488</v>
      </c>
      <c r="C1647" s="8" t="s">
        <v>263</v>
      </c>
      <c r="D1647" s="7">
        <v>1</v>
      </c>
      <c r="E1647" s="7">
        <v>10</v>
      </c>
      <c r="F1647" s="7">
        <v>1</v>
      </c>
      <c r="G1647" s="8" t="s">
        <v>215</v>
      </c>
      <c r="H1647" s="8" t="s">
        <v>422</v>
      </c>
      <c r="I1647" s="7" t="str">
        <f>_xlfn.CONCAT(Paper_Reference[[#This Row],[Lvl]:[Paper Description]])</f>
        <v>3J25RB153QM56OCEAN 2B PRO R FOUL 59.5X142.51101100WM101-6200RIGHT BRUNSWICK MAPLE (W)</v>
      </c>
      <c r="J1647" s="7">
        <f>COUNTIF(Paper_Reference[Duplicate Key],Paper_Reference[[#This Row],[Duplicate Key]])</f>
        <v>1</v>
      </c>
    </row>
    <row r="1648" spans="1:10">
      <c r="A1648" s="7">
        <v>2</v>
      </c>
      <c r="B1648" s="8" t="s">
        <v>1102</v>
      </c>
      <c r="C1648" s="8" t="s">
        <v>1067</v>
      </c>
      <c r="D1648" s="7">
        <v>1</v>
      </c>
      <c r="E1648" s="7">
        <v>10</v>
      </c>
      <c r="F1648" s="7">
        <v>0.33329999999999999</v>
      </c>
      <c r="G1648" s="8" t="s">
        <v>975</v>
      </c>
      <c r="H1648" s="8" t="s">
        <v>983</v>
      </c>
      <c r="I1648" s="7" t="str">
        <f>_xlfn.CONCAT(Paper_Reference[[#This Row],[Lvl]:[Paper Description]])</f>
        <v>2J25RB164AM24OCEAN 1J WIDE RET 15.25 X 1441100.3333100WM111-6200RETURN MAPLE PRINT</v>
      </c>
      <c r="J1648" s="7">
        <f>COUNTIF(Paper_Reference[Duplicate Key],Paper_Reference[[#This Row],[Duplicate Key]])</f>
        <v>1</v>
      </c>
    </row>
    <row r="1649" spans="1:10">
      <c r="A1649" s="7">
        <v>2</v>
      </c>
      <c r="B1649" s="8" t="s">
        <v>1043</v>
      </c>
      <c r="C1649" s="8" t="s">
        <v>1029</v>
      </c>
      <c r="D1649" s="7">
        <v>1</v>
      </c>
      <c r="E1649" s="7">
        <v>10</v>
      </c>
      <c r="F1649" s="7">
        <v>1</v>
      </c>
      <c r="G1649" s="8" t="s">
        <v>974</v>
      </c>
      <c r="H1649" s="8" t="s">
        <v>983</v>
      </c>
      <c r="I1649" s="7" t="str">
        <f>_xlfn.CONCAT(Paper_Reference[[#This Row],[Lvl]:[Paper Description]])</f>
        <v>2J25RB165ARAEOCEAN 1L WALKWAY 42 1/2X145.251101100WM111-4300RETURN MAPLE PRINT</v>
      </c>
      <c r="J1649" s="7">
        <f>COUNTIF(Paper_Reference[Duplicate Key],Paper_Reference[[#This Row],[Duplicate Key]])</f>
        <v>1</v>
      </c>
    </row>
    <row r="1650" spans="1:10">
      <c r="A1650" s="7">
        <v>3</v>
      </c>
      <c r="B1650" s="8" t="s">
        <v>8917</v>
      </c>
      <c r="C1650" s="8" t="s">
        <v>8892</v>
      </c>
      <c r="D1650" s="7">
        <v>1</v>
      </c>
      <c r="E1650" s="7">
        <v>10</v>
      </c>
      <c r="F1650" s="7">
        <v>1</v>
      </c>
      <c r="G1650" s="8" t="s">
        <v>216</v>
      </c>
      <c r="H1650" s="8" t="s">
        <v>424</v>
      </c>
      <c r="I1650" s="7" t="str">
        <f>_xlfn.CONCAT(Paper_Reference[[#This Row],[Lvl]:[Paper Description]])</f>
        <v>3J25RB193AM51OCEAN-A 1A PRO L APPR 59.5X1441101100WM981-6200LEFT BRUNSWICK MAPLE (W)</v>
      </c>
      <c r="J1650" s="7">
        <f>COUNTIF(Paper_Reference[Duplicate Key],Paper_Reference[[#This Row],[Duplicate Key]])</f>
        <v>1</v>
      </c>
    </row>
    <row r="1651" spans="1:10">
      <c r="A1651" s="7">
        <v>3</v>
      </c>
      <c r="B1651" s="8" t="s">
        <v>8871</v>
      </c>
      <c r="C1651" s="8" t="s">
        <v>8847</v>
      </c>
      <c r="D1651" s="7">
        <v>1</v>
      </c>
      <c r="E1651" s="7">
        <v>10</v>
      </c>
      <c r="F1651" s="7">
        <v>1</v>
      </c>
      <c r="G1651" s="8" t="s">
        <v>215</v>
      </c>
      <c r="H1651" s="8" t="s">
        <v>422</v>
      </c>
      <c r="I1651" s="7" t="str">
        <f>_xlfn.CONCAT(Paper_Reference[[#This Row],[Lvl]:[Paper Description]])</f>
        <v>3J25RB194AM58OCEAN-A 2A PRO R APPR 59.5X1441101100WM101-6200RIGHT BRUNSWICK MAPLE (W)</v>
      </c>
      <c r="J1651" s="7">
        <f>COUNTIF(Paper_Reference[Duplicate Key],Paper_Reference[[#This Row],[Duplicate Key]])</f>
        <v>1</v>
      </c>
    </row>
    <row r="1652" spans="1:10">
      <c r="A1652" s="7">
        <v>3</v>
      </c>
      <c r="B1652" s="8" t="s">
        <v>8916</v>
      </c>
      <c r="C1652" s="8" t="s">
        <v>8891</v>
      </c>
      <c r="D1652" s="7">
        <v>1</v>
      </c>
      <c r="E1652" s="7">
        <v>10</v>
      </c>
      <c r="F1652" s="7">
        <v>1</v>
      </c>
      <c r="G1652" s="8" t="s">
        <v>216</v>
      </c>
      <c r="H1652" s="8" t="s">
        <v>424</v>
      </c>
      <c r="I1652" s="7" t="str">
        <f>_xlfn.CONCAT(Paper_Reference[[#This Row],[Lvl]:[Paper Description]])</f>
        <v>3J25RB195QM57OCEAN-A 1B PRO L FOUL 59.5X1421101100WM981-6200LEFT BRUNSWICK MAPLE (W)</v>
      </c>
      <c r="J1652" s="7">
        <f>COUNTIF(Paper_Reference[Duplicate Key],Paper_Reference[[#This Row],[Duplicate Key]])</f>
        <v>1</v>
      </c>
    </row>
    <row r="1653" spans="1:10">
      <c r="A1653" s="7">
        <v>3</v>
      </c>
      <c r="B1653" s="8" t="s">
        <v>8870</v>
      </c>
      <c r="C1653" s="8" t="s">
        <v>8846</v>
      </c>
      <c r="D1653" s="7">
        <v>1</v>
      </c>
      <c r="E1653" s="7">
        <v>10</v>
      </c>
      <c r="F1653" s="7">
        <v>1</v>
      </c>
      <c r="G1653" s="8" t="s">
        <v>215</v>
      </c>
      <c r="H1653" s="8" t="s">
        <v>422</v>
      </c>
      <c r="I1653" s="7" t="str">
        <f>_xlfn.CONCAT(Paper_Reference[[#This Row],[Lvl]:[Paper Description]])</f>
        <v>3J25RB196QM56OCEAN-A 2B PRO R FOUL 59.5X1421101100WM101-6200RIGHT BRUNSWICK MAPLE (W)</v>
      </c>
      <c r="J1653" s="7">
        <f>COUNTIF(Paper_Reference[Duplicate Key],Paper_Reference[[#This Row],[Duplicate Key]])</f>
        <v>1</v>
      </c>
    </row>
    <row r="1654" spans="1:10">
      <c r="A1654" s="7">
        <v>2</v>
      </c>
      <c r="B1654" s="8" t="s">
        <v>1103</v>
      </c>
      <c r="C1654" s="8" t="s">
        <v>1068</v>
      </c>
      <c r="D1654" s="7">
        <v>1</v>
      </c>
      <c r="E1654" s="7">
        <v>10</v>
      </c>
      <c r="F1654" s="7">
        <v>0.33329999999999999</v>
      </c>
      <c r="G1654" s="8" t="s">
        <v>975</v>
      </c>
      <c r="H1654" s="8" t="s">
        <v>983</v>
      </c>
      <c r="I1654" s="7" t="str">
        <f>_xlfn.CONCAT(Paper_Reference[[#This Row],[Lvl]:[Paper Description]])</f>
        <v>2J25RB197AM24OCEAN-A 1J WIDE RET 15.25X1441100.3333100WM111-6200RETURN MAPLE PRINT</v>
      </c>
      <c r="J1654" s="7">
        <f>COUNTIF(Paper_Reference[Duplicate Key],Paper_Reference[[#This Row],[Duplicate Key]])</f>
        <v>1</v>
      </c>
    </row>
    <row r="1655" spans="1:10">
      <c r="A1655" s="7">
        <v>2</v>
      </c>
      <c r="B1655" s="8" t="s">
        <v>1104</v>
      </c>
      <c r="C1655" s="8" t="s">
        <v>1069</v>
      </c>
      <c r="D1655" s="7">
        <v>1</v>
      </c>
      <c r="E1655" s="7">
        <v>10</v>
      </c>
      <c r="F1655" s="7">
        <v>0.33329999999999999</v>
      </c>
      <c r="G1655" s="8" t="s">
        <v>975</v>
      </c>
      <c r="H1655" s="8" t="s">
        <v>983</v>
      </c>
      <c r="I1655" s="7" t="str">
        <f>_xlfn.CONCAT(Paper_Reference[[#This Row],[Lvl]:[Paper Description]])</f>
        <v>2J25RB198AM24OCEAN-A 1H WIDE RET 15.25X1441100.3333100WM111-6200RETURN MAPLE PRINT</v>
      </c>
      <c r="J1655" s="7">
        <f>COUNTIF(Paper_Reference[Duplicate Key],Paper_Reference[[#This Row],[Duplicate Key]])</f>
        <v>1</v>
      </c>
    </row>
    <row r="1656" spans="1:10">
      <c r="A1656" s="7">
        <v>2</v>
      </c>
      <c r="B1656" s="8" t="s">
        <v>1044</v>
      </c>
      <c r="C1656" s="8" t="s">
        <v>1030</v>
      </c>
      <c r="D1656" s="7">
        <v>1</v>
      </c>
      <c r="E1656" s="7">
        <v>10</v>
      </c>
      <c r="F1656" s="7">
        <v>1</v>
      </c>
      <c r="G1656" s="8" t="s">
        <v>974</v>
      </c>
      <c r="H1656" s="8" t="s">
        <v>983</v>
      </c>
      <c r="I1656" s="7" t="str">
        <f>_xlfn.CONCAT(Paper_Reference[[#This Row],[Lvl]:[Paper Description]])</f>
        <v>2J25RB199ARAEOCEAN-A 1L W/WAY 42 1/2X145.251101100WM111-4300RETURN MAPLE PRINT</v>
      </c>
      <c r="J1656" s="7">
        <f>COUNTIF(Paper_Reference[Duplicate Key],Paper_Reference[[#This Row],[Duplicate Key]])</f>
        <v>1</v>
      </c>
    </row>
    <row r="1657" spans="1:10">
      <c r="A1657" s="7">
        <v>2</v>
      </c>
      <c r="B1657" s="8" t="s">
        <v>1045</v>
      </c>
      <c r="C1657" s="8" t="s">
        <v>1031</v>
      </c>
      <c r="D1657" s="7">
        <v>1</v>
      </c>
      <c r="E1657" s="7">
        <v>10</v>
      </c>
      <c r="F1657" s="7">
        <v>1</v>
      </c>
      <c r="G1657" s="8" t="s">
        <v>974</v>
      </c>
      <c r="H1657" s="8" t="s">
        <v>983</v>
      </c>
      <c r="I1657" s="7" t="str">
        <f>_xlfn.CONCAT(Paper_Reference[[#This Row],[Lvl]:[Paper Description]])</f>
        <v>2J25RB200ARAEOCEAN-A 1K W/WAY 42 1/2X145.251101100WM111-4300RETURN MAPLE PRINT</v>
      </c>
      <c r="J1657" s="7">
        <f>COUNTIF(Paper_Reference[Duplicate Key],Paper_Reference[[#This Row],[Duplicate Key]])</f>
        <v>1</v>
      </c>
    </row>
    <row r="1658" spans="1:10">
      <c r="A1658" s="7">
        <v>3</v>
      </c>
      <c r="B1658" s="8" t="s">
        <v>8898</v>
      </c>
      <c r="C1658" s="8" t="s">
        <v>8877</v>
      </c>
      <c r="D1658" s="7">
        <v>1</v>
      </c>
      <c r="E1658" s="7">
        <v>10</v>
      </c>
      <c r="F1658" s="7">
        <v>1</v>
      </c>
      <c r="G1658" s="8" t="s">
        <v>216</v>
      </c>
      <c r="H1658" s="8" t="s">
        <v>424</v>
      </c>
      <c r="I1658" s="7" t="str">
        <f>_xlfn.CONCAT(Paper_Reference[[#This Row],[Lvl]:[Paper Description]])</f>
        <v>3J25RB210AM51C &amp; G 1A PRO L APPR 59.5 X 1441101100WM981-6200LEFT BRUNSWICK MAPLE (W)</v>
      </c>
      <c r="J1658" s="7">
        <f>COUNTIF(Paper_Reference[Duplicate Key],Paper_Reference[[#This Row],[Duplicate Key]])</f>
        <v>1</v>
      </c>
    </row>
    <row r="1659" spans="1:10">
      <c r="A1659" s="7">
        <v>3</v>
      </c>
      <c r="B1659" s="8" t="s">
        <v>8853</v>
      </c>
      <c r="C1659" s="8" t="s">
        <v>8833</v>
      </c>
      <c r="D1659" s="7">
        <v>1</v>
      </c>
      <c r="E1659" s="7">
        <v>10</v>
      </c>
      <c r="F1659" s="7">
        <v>1</v>
      </c>
      <c r="G1659" s="8" t="s">
        <v>215</v>
      </c>
      <c r="H1659" s="8" t="s">
        <v>422</v>
      </c>
      <c r="I1659" s="7" t="str">
        <f>_xlfn.CONCAT(Paper_Reference[[#This Row],[Lvl]:[Paper Description]])</f>
        <v>3J25RB211AM58C &amp; G 2A PRO R APPR 59.5 X 1441101100WM101-6200RIGHT BRUNSWICK MAPLE (W)</v>
      </c>
      <c r="J1659" s="7">
        <f>COUNTIF(Paper_Reference[Duplicate Key],Paper_Reference[[#This Row],[Duplicate Key]])</f>
        <v>1</v>
      </c>
    </row>
    <row r="1660" spans="1:10">
      <c r="A1660" s="7">
        <v>3</v>
      </c>
      <c r="B1660" s="8" t="s">
        <v>8897</v>
      </c>
      <c r="C1660" s="8" t="s">
        <v>8876</v>
      </c>
      <c r="D1660" s="7">
        <v>1</v>
      </c>
      <c r="E1660" s="7">
        <v>10</v>
      </c>
      <c r="F1660" s="7">
        <v>1</v>
      </c>
      <c r="G1660" s="8" t="s">
        <v>216</v>
      </c>
      <c r="H1660" s="8" t="s">
        <v>424</v>
      </c>
      <c r="I1660" s="7" t="str">
        <f>_xlfn.CONCAT(Paper_Reference[[#This Row],[Lvl]:[Paper Description]])</f>
        <v>3J25RB212QM57C &amp; G 1B PRO L FOUL 59.5 X 1421101100WM981-6200LEFT BRUNSWICK MAPLE (W)</v>
      </c>
      <c r="J1660" s="7">
        <f>COUNTIF(Paper_Reference[Duplicate Key],Paper_Reference[[#This Row],[Duplicate Key]])</f>
        <v>1</v>
      </c>
    </row>
    <row r="1661" spans="1:10">
      <c r="A1661" s="7">
        <v>3</v>
      </c>
      <c r="B1661" s="8" t="s">
        <v>8852</v>
      </c>
      <c r="C1661" s="8" t="s">
        <v>8832</v>
      </c>
      <c r="D1661" s="7">
        <v>1</v>
      </c>
      <c r="E1661" s="7">
        <v>10</v>
      </c>
      <c r="F1661" s="7">
        <v>1</v>
      </c>
      <c r="G1661" s="8" t="s">
        <v>215</v>
      </c>
      <c r="H1661" s="8" t="s">
        <v>422</v>
      </c>
      <c r="I1661" s="7" t="str">
        <f>_xlfn.CONCAT(Paper_Reference[[#This Row],[Lvl]:[Paper Description]])</f>
        <v>3J25RB213QM56C &amp; G 2B PRO R FOUL 59.5 X 1421101100WM101-6200RIGHT BRUNSWICK MAPLE (W)</v>
      </c>
      <c r="J1661" s="7">
        <f>COUNTIF(Paper_Reference[Duplicate Key],Paper_Reference[[#This Row],[Duplicate Key]])</f>
        <v>1</v>
      </c>
    </row>
    <row r="1662" spans="1:10">
      <c r="A1662" s="7">
        <v>2</v>
      </c>
      <c r="B1662" s="8" t="s">
        <v>1105</v>
      </c>
      <c r="C1662" s="8" t="s">
        <v>1070</v>
      </c>
      <c r="D1662" s="7">
        <v>1</v>
      </c>
      <c r="E1662" s="7">
        <v>10</v>
      </c>
      <c r="F1662" s="7">
        <v>0.25</v>
      </c>
      <c r="G1662" s="8" t="s">
        <v>975</v>
      </c>
      <c r="H1662" s="8" t="s">
        <v>983</v>
      </c>
      <c r="I1662" s="7" t="str">
        <f>_xlfn.CONCAT(Paper_Reference[[#This Row],[Lvl]:[Paper Description]])</f>
        <v>2J25RB216AM23C &amp; G PRO N/B RETURN 14.15X1441100.25100WM111-6200RETURN MAPLE PRINT</v>
      </c>
      <c r="J1662" s="7">
        <f>COUNTIF(Paper_Reference[Duplicate Key],Paper_Reference[[#This Row],[Duplicate Key]])</f>
        <v>1</v>
      </c>
    </row>
    <row r="1663" spans="1:10">
      <c r="A1663" s="7">
        <v>2</v>
      </c>
      <c r="B1663" s="8" t="s">
        <v>1106</v>
      </c>
      <c r="C1663" s="8" t="s">
        <v>1071</v>
      </c>
      <c r="D1663" s="7">
        <v>1</v>
      </c>
      <c r="E1663" s="7">
        <v>10</v>
      </c>
      <c r="F1663" s="7">
        <v>0.125</v>
      </c>
      <c r="G1663" s="8" t="s">
        <v>975</v>
      </c>
      <c r="H1663" s="8" t="s">
        <v>983</v>
      </c>
      <c r="I1663" s="7" t="str">
        <f>_xlfn.CONCAT(Paper_Reference[[#This Row],[Lvl]:[Paper Description]])</f>
        <v>2J25RB218AB12C &amp; G PRO N/SHORT RET 14.15X581100.125100WM111-6200RETURN MAPLE PRINT</v>
      </c>
      <c r="J1663" s="7">
        <f>COUNTIF(Paper_Reference[Duplicate Key],Paper_Reference[[#This Row],[Duplicate Key]])</f>
        <v>1</v>
      </c>
    </row>
    <row r="1664" spans="1:10">
      <c r="A1664" s="7">
        <v>2</v>
      </c>
      <c r="B1664" s="8" t="s">
        <v>1107</v>
      </c>
      <c r="C1664" s="8" t="s">
        <v>1072</v>
      </c>
      <c r="D1664" s="7">
        <v>1</v>
      </c>
      <c r="E1664" s="7">
        <v>10</v>
      </c>
      <c r="F1664" s="7">
        <v>0.16669999999999999</v>
      </c>
      <c r="G1664" s="8" t="s">
        <v>975</v>
      </c>
      <c r="H1664" s="8" t="s">
        <v>983</v>
      </c>
      <c r="I1664" s="7" t="str">
        <f>_xlfn.CONCAT(Paper_Reference[[#This Row],[Lvl]:[Paper Description]])</f>
        <v>2J25RB239AB20OCEAN-A 1H S/W RET 15.25 X 721100.1667100WM111-6200RETURN MAPLE PRINT</v>
      </c>
      <c r="J1664" s="7">
        <f>COUNTIF(Paper_Reference[Duplicate Key],Paper_Reference[[#This Row],[Duplicate Key]])</f>
        <v>1</v>
      </c>
    </row>
    <row r="1665" spans="1:10">
      <c r="A1665" s="7">
        <v>2</v>
      </c>
      <c r="B1665" s="8" t="s">
        <v>1108</v>
      </c>
      <c r="C1665" s="8" t="s">
        <v>1073</v>
      </c>
      <c r="D1665" s="7">
        <v>1</v>
      </c>
      <c r="E1665" s="7">
        <v>10</v>
      </c>
      <c r="F1665" s="7">
        <v>0.25</v>
      </c>
      <c r="G1665" s="8" t="s">
        <v>975</v>
      </c>
      <c r="H1665" s="8" t="s">
        <v>983</v>
      </c>
      <c r="I1665" s="7" t="str">
        <f>_xlfn.CONCAT(Paper_Reference[[#This Row],[Lvl]:[Paper Description]])</f>
        <v>2J25RB320AM23OCEANA IJ PRO N/B RET 14.15X141100.25100WM111-6200RETURN MAPLE PRINT</v>
      </c>
      <c r="J1665" s="7">
        <f>COUNTIF(Paper_Reference[Duplicate Key],Paper_Reference[[#This Row],[Duplicate Key]])</f>
        <v>1</v>
      </c>
    </row>
    <row r="1666" spans="1:10">
      <c r="A1666" s="7">
        <v>2</v>
      </c>
      <c r="B1666" s="8" t="s">
        <v>1109</v>
      </c>
      <c r="C1666" s="8" t="s">
        <v>1074</v>
      </c>
      <c r="D1666" s="7">
        <v>1</v>
      </c>
      <c r="E1666" s="7">
        <v>10</v>
      </c>
      <c r="F1666" s="7">
        <v>0.25</v>
      </c>
      <c r="G1666" s="8" t="s">
        <v>975</v>
      </c>
      <c r="H1666" s="8" t="s">
        <v>983</v>
      </c>
      <c r="I1666" s="7" t="str">
        <f>_xlfn.CONCAT(Paper_Reference[[#This Row],[Lvl]:[Paper Description]])</f>
        <v>2J25RB321AM23OCEANA IH PRO N/B RET 14.15X141100.25100WM111-6200RETURN MAPLE PRINT</v>
      </c>
      <c r="J1666" s="7">
        <f>COUNTIF(Paper_Reference[Duplicate Key],Paper_Reference[[#This Row],[Duplicate Key]])</f>
        <v>1</v>
      </c>
    </row>
    <row r="1667" spans="1:10">
      <c r="A1667" s="7">
        <v>2</v>
      </c>
      <c r="B1667" s="8" t="s">
        <v>1110</v>
      </c>
      <c r="C1667" s="8" t="s">
        <v>1075</v>
      </c>
      <c r="D1667" s="7">
        <v>1</v>
      </c>
      <c r="E1667" s="7">
        <v>10</v>
      </c>
      <c r="F1667" s="7">
        <v>0.33329999999999999</v>
      </c>
      <c r="G1667" s="8" t="s">
        <v>975</v>
      </c>
      <c r="H1667" s="8" t="s">
        <v>983</v>
      </c>
      <c r="I1667" s="7" t="str">
        <f>_xlfn.CONCAT(Paper_Reference[[#This Row],[Lvl]:[Paper Description]])</f>
        <v>2J25RB494AM24C &amp; G PRO W/RETURN 15.25X1441100.3333100WM111-6200RETURN MAPLE PRINT</v>
      </c>
      <c r="J1667" s="7">
        <f>COUNTIF(Paper_Reference[Duplicate Key],Paper_Reference[[#This Row],[Duplicate Key]])</f>
        <v>1</v>
      </c>
    </row>
    <row r="1668" spans="1:10">
      <c r="A1668" s="7">
        <v>2</v>
      </c>
      <c r="B1668" s="8" t="s">
        <v>1046</v>
      </c>
      <c r="C1668" s="8" t="s">
        <v>1032</v>
      </c>
      <c r="D1668" s="7">
        <v>1</v>
      </c>
      <c r="E1668" s="7">
        <v>10</v>
      </c>
      <c r="F1668" s="7">
        <v>0.5</v>
      </c>
      <c r="G1668" s="8" t="s">
        <v>974</v>
      </c>
      <c r="H1668" s="8" t="s">
        <v>983</v>
      </c>
      <c r="I1668" s="7" t="str">
        <f>_xlfn.CONCAT(Paper_Reference[[#This Row],[Lvl]:[Paper Description]])</f>
        <v>2J25RB495AB14C &amp; G PRO S WALK 42.5 X 58.51100.5100WM111-4300RETURN MAPLE PRINT</v>
      </c>
      <c r="J1668" s="7">
        <f>COUNTIF(Paper_Reference[Duplicate Key],Paper_Reference[[#This Row],[Duplicate Key]])</f>
        <v>1</v>
      </c>
    </row>
    <row r="1669" spans="1:10">
      <c r="A1669" s="7">
        <v>2</v>
      </c>
      <c r="B1669" s="8" t="s">
        <v>1047</v>
      </c>
      <c r="C1669" s="8" t="s">
        <v>1033</v>
      </c>
      <c r="D1669" s="7">
        <v>1</v>
      </c>
      <c r="E1669" s="7">
        <v>10</v>
      </c>
      <c r="F1669" s="7">
        <v>1</v>
      </c>
      <c r="G1669" s="8" t="s">
        <v>974</v>
      </c>
      <c r="H1669" s="8" t="s">
        <v>983</v>
      </c>
      <c r="I1669" s="7" t="str">
        <f>_xlfn.CONCAT(Paper_Reference[[#This Row],[Lvl]:[Paper Description]])</f>
        <v>2J25RB495ARAEC &amp; G PRO W/WAY 42 1/2X145.251101100WM111-4300RETURN MAPLE PRINT</v>
      </c>
      <c r="J1669" s="7">
        <f>COUNTIF(Paper_Reference[Duplicate Key],Paper_Reference[[#This Row],[Duplicate Key]])</f>
        <v>1</v>
      </c>
    </row>
    <row r="1670" spans="1:10">
      <c r="A1670" s="7">
        <v>2</v>
      </c>
      <c r="B1670" s="8" t="s">
        <v>1111</v>
      </c>
      <c r="C1670" s="8" t="s">
        <v>1076</v>
      </c>
      <c r="D1670" s="7">
        <v>1</v>
      </c>
      <c r="E1670" s="7">
        <v>10</v>
      </c>
      <c r="F1670" s="7">
        <v>0.16669999999999999</v>
      </c>
      <c r="G1670" s="8" t="s">
        <v>975</v>
      </c>
      <c r="H1670" s="8" t="s">
        <v>983</v>
      </c>
      <c r="I1670" s="7" t="str">
        <f>_xlfn.CONCAT(Paper_Reference[[#This Row],[Lvl]:[Paper Description]])</f>
        <v>2J25RB496AB20C &amp; G PRO S/W RET 15.25 X 721100.1667100WM111-6200RETURN MAPLE PRINT</v>
      </c>
      <c r="J1670" s="7">
        <f>COUNTIF(Paper_Reference[Duplicate Key],Paper_Reference[[#This Row],[Duplicate Key]])</f>
        <v>1</v>
      </c>
    </row>
    <row r="1671" spans="1:10">
      <c r="A1671" s="7">
        <v>2</v>
      </c>
      <c r="B1671" s="8" t="s">
        <v>1048</v>
      </c>
      <c r="C1671" s="8" t="s">
        <v>1034</v>
      </c>
      <c r="D1671" s="7">
        <v>1</v>
      </c>
      <c r="E1671" s="7">
        <v>10</v>
      </c>
      <c r="F1671" s="7">
        <v>0.5</v>
      </c>
      <c r="G1671" s="8" t="s">
        <v>974</v>
      </c>
      <c r="H1671" s="8" t="s">
        <v>983</v>
      </c>
      <c r="I1671" s="7" t="str">
        <f>_xlfn.CONCAT(Paper_Reference[[#This Row],[Lvl]:[Paper Description]])</f>
        <v>2J25RB497AB14BAD PART use RB495 0913161100.5100WM111-4300RETURN MAPLE PRINT</v>
      </c>
      <c r="J1671" s="7">
        <f>COUNTIF(Paper_Reference[Duplicate Key],Paper_Reference[[#This Row],[Duplicate Key]])</f>
        <v>1</v>
      </c>
    </row>
    <row r="1672" spans="1:10">
      <c r="A1672" s="7">
        <v>3</v>
      </c>
      <c r="B1672" s="8" t="s">
        <v>8919</v>
      </c>
      <c r="C1672" s="8" t="s">
        <v>8894</v>
      </c>
      <c r="D1672" s="7">
        <v>1</v>
      </c>
      <c r="E1672" s="7">
        <v>10</v>
      </c>
      <c r="F1672" s="7">
        <v>1</v>
      </c>
      <c r="G1672" s="8" t="s">
        <v>216</v>
      </c>
      <c r="H1672" s="8" t="s">
        <v>424</v>
      </c>
      <c r="I1672" s="7" t="str">
        <f>_xlfn.CONCAT(Paper_Reference[[#This Row],[Lvl]:[Paper Description]])</f>
        <v>3J25RB548AM51OCEAN-B 1A PRO L APPR 59.5X1441101100WM981-6200LEFT BRUNSWICK MAPLE (W)</v>
      </c>
      <c r="J1672" s="7">
        <f>COUNTIF(Paper_Reference[Duplicate Key],Paper_Reference[[#This Row],[Duplicate Key]])</f>
        <v>1</v>
      </c>
    </row>
    <row r="1673" spans="1:10">
      <c r="A1673" s="7">
        <v>3</v>
      </c>
      <c r="B1673" s="8" t="s">
        <v>8873</v>
      </c>
      <c r="C1673" s="8" t="s">
        <v>8849</v>
      </c>
      <c r="D1673" s="7">
        <v>1</v>
      </c>
      <c r="E1673" s="7">
        <v>10</v>
      </c>
      <c r="F1673" s="7">
        <v>1</v>
      </c>
      <c r="G1673" s="8" t="s">
        <v>215</v>
      </c>
      <c r="H1673" s="8" t="s">
        <v>422</v>
      </c>
      <c r="I1673" s="7" t="str">
        <f>_xlfn.CONCAT(Paper_Reference[[#This Row],[Lvl]:[Paper Description]])</f>
        <v>3J25RB549AM58OCEAN-B 2A PRO R APPR 59.5X1441101100WM101-6200RIGHT BRUNSWICK MAPLE (W)</v>
      </c>
      <c r="J1673" s="7">
        <f>COUNTIF(Paper_Reference[Duplicate Key],Paper_Reference[[#This Row],[Duplicate Key]])</f>
        <v>1</v>
      </c>
    </row>
    <row r="1674" spans="1:10">
      <c r="A1674" s="7">
        <v>3</v>
      </c>
      <c r="B1674" s="8" t="s">
        <v>8918</v>
      </c>
      <c r="C1674" s="8" t="s">
        <v>8893</v>
      </c>
      <c r="D1674" s="7">
        <v>1</v>
      </c>
      <c r="E1674" s="7">
        <v>10</v>
      </c>
      <c r="F1674" s="7">
        <v>1</v>
      </c>
      <c r="G1674" s="8" t="s">
        <v>216</v>
      </c>
      <c r="H1674" s="8" t="s">
        <v>424</v>
      </c>
      <c r="I1674" s="7" t="str">
        <f>_xlfn.CONCAT(Paper_Reference[[#This Row],[Lvl]:[Paper Description]])</f>
        <v>3J25RB550QM57OCEAN-B 1B PRO L FOUL 59.5X1421101100WM981-6200LEFT BRUNSWICK MAPLE (W)</v>
      </c>
      <c r="J1674" s="7">
        <f>COUNTIF(Paper_Reference[Duplicate Key],Paper_Reference[[#This Row],[Duplicate Key]])</f>
        <v>1</v>
      </c>
    </row>
    <row r="1675" spans="1:10">
      <c r="A1675" s="7">
        <v>3</v>
      </c>
      <c r="B1675" s="8" t="s">
        <v>8872</v>
      </c>
      <c r="C1675" s="8" t="s">
        <v>8848</v>
      </c>
      <c r="D1675" s="7">
        <v>1</v>
      </c>
      <c r="E1675" s="7">
        <v>10</v>
      </c>
      <c r="F1675" s="7">
        <v>1</v>
      </c>
      <c r="G1675" s="8" t="s">
        <v>215</v>
      </c>
      <c r="H1675" s="8" t="s">
        <v>422</v>
      </c>
      <c r="I1675" s="7" t="str">
        <f>_xlfn.CONCAT(Paper_Reference[[#This Row],[Lvl]:[Paper Description]])</f>
        <v>3J25RB551QM56OCEAN-B 2B PRO R FOUL 59.5X1421101100WM101-6200RIGHT BRUNSWICK MAPLE (W)</v>
      </c>
      <c r="J1675" s="7">
        <f>COUNTIF(Paper_Reference[Duplicate Key],Paper_Reference[[#This Row],[Duplicate Key]])</f>
        <v>1</v>
      </c>
    </row>
    <row r="1676" spans="1:10">
      <c r="A1676" s="7">
        <v>2</v>
      </c>
      <c r="B1676" s="8" t="s">
        <v>1112</v>
      </c>
      <c r="C1676" s="8" t="s">
        <v>1077</v>
      </c>
      <c r="D1676" s="7">
        <v>1</v>
      </c>
      <c r="E1676" s="7">
        <v>10</v>
      </c>
      <c r="F1676" s="7">
        <v>0.33329999999999999</v>
      </c>
      <c r="G1676" s="8" t="s">
        <v>975</v>
      </c>
      <c r="H1676" s="8" t="s">
        <v>983</v>
      </c>
      <c r="I1676" s="7" t="str">
        <f>_xlfn.CONCAT(Paper_Reference[[#This Row],[Lvl]:[Paper Description]])</f>
        <v>2J25RB552AM24OCEAN-B 1J WIDE RET 15.25 X 141100.3333100WM111-6200RETURN MAPLE PRINT</v>
      </c>
      <c r="J1676" s="7">
        <f>COUNTIF(Paper_Reference[Duplicate Key],Paper_Reference[[#This Row],[Duplicate Key]])</f>
        <v>1</v>
      </c>
    </row>
    <row r="1677" spans="1:10">
      <c r="A1677" s="7">
        <v>2</v>
      </c>
      <c r="B1677" s="8" t="s">
        <v>1049</v>
      </c>
      <c r="C1677" s="8" t="s">
        <v>1035</v>
      </c>
      <c r="D1677" s="7">
        <v>1</v>
      </c>
      <c r="E1677" s="7">
        <v>10</v>
      </c>
      <c r="F1677" s="7">
        <v>1</v>
      </c>
      <c r="G1677" s="8" t="s">
        <v>974</v>
      </c>
      <c r="H1677" s="8" t="s">
        <v>983</v>
      </c>
      <c r="I1677" s="7" t="str">
        <f>_xlfn.CONCAT(Paper_Reference[[#This Row],[Lvl]:[Paper Description]])</f>
        <v>2J25RB553ARAEOCEAN-B 1L WALKWAY 42 1/2X145.1101100WM111-4300RETURN MAPLE PRINT</v>
      </c>
      <c r="J1677" s="7">
        <f>COUNTIF(Paper_Reference[Duplicate Key],Paper_Reference[[#This Row],[Duplicate Key]])</f>
        <v>1</v>
      </c>
    </row>
    <row r="1678" spans="1:10">
      <c r="A1678" s="7">
        <v>3</v>
      </c>
      <c r="B1678" s="8" t="s">
        <v>8921</v>
      </c>
      <c r="C1678" s="8" t="s">
        <v>8896</v>
      </c>
      <c r="D1678" s="7">
        <v>1</v>
      </c>
      <c r="E1678" s="7">
        <v>10</v>
      </c>
      <c r="F1678" s="7">
        <v>1</v>
      </c>
      <c r="G1678" s="8" t="s">
        <v>216</v>
      </c>
      <c r="H1678" s="8" t="s">
        <v>424</v>
      </c>
      <c r="I1678" s="7" t="str">
        <f>_xlfn.CONCAT(Paper_Reference[[#This Row],[Lvl]:[Paper Description]])</f>
        <v>3J25RB621AM51SHSU PRO UV  L APPR 59.5X1441101100WM981-6200LEFT BRUNSWICK MAPLE (W)</v>
      </c>
      <c r="J1678" s="7">
        <f>COUNTIF(Paper_Reference[Duplicate Key],Paper_Reference[[#This Row],[Duplicate Key]])</f>
        <v>1</v>
      </c>
    </row>
    <row r="1679" spans="1:10">
      <c r="A1679" s="7">
        <v>3</v>
      </c>
      <c r="B1679" s="8" t="s">
        <v>8875</v>
      </c>
      <c r="C1679" s="8" t="s">
        <v>8851</v>
      </c>
      <c r="D1679" s="7">
        <v>1</v>
      </c>
      <c r="E1679" s="7">
        <v>10</v>
      </c>
      <c r="F1679" s="7">
        <v>1</v>
      </c>
      <c r="G1679" s="8" t="s">
        <v>215</v>
      </c>
      <c r="H1679" s="8" t="s">
        <v>422</v>
      </c>
      <c r="I1679" s="7" t="str">
        <f>_xlfn.CONCAT(Paper_Reference[[#This Row],[Lvl]:[Paper Description]])</f>
        <v>3J25RB622AM58SHSU PRO UV R APPR 59.5X1441101100WM101-6200RIGHT BRUNSWICK MAPLE (W)</v>
      </c>
      <c r="J1679" s="7">
        <f>COUNTIF(Paper_Reference[Duplicate Key],Paper_Reference[[#This Row],[Duplicate Key]])</f>
        <v>1</v>
      </c>
    </row>
    <row r="1680" spans="1:10">
      <c r="A1680" s="7">
        <v>3</v>
      </c>
      <c r="B1680" s="8" t="s">
        <v>8920</v>
      </c>
      <c r="C1680" s="8" t="s">
        <v>8895</v>
      </c>
      <c r="D1680" s="7">
        <v>1</v>
      </c>
      <c r="E1680" s="7">
        <v>10</v>
      </c>
      <c r="F1680" s="7">
        <v>1</v>
      </c>
      <c r="G1680" s="8" t="s">
        <v>216</v>
      </c>
      <c r="H1680" s="8" t="s">
        <v>424</v>
      </c>
      <c r="I1680" s="7" t="str">
        <f>_xlfn.CONCAT(Paper_Reference[[#This Row],[Lvl]:[Paper Description]])</f>
        <v>3J25RB623QM57SHSU PRO UV L FOUL 59.5X142.51101100WM981-6200LEFT BRUNSWICK MAPLE (W)</v>
      </c>
      <c r="J1680" s="7">
        <f>COUNTIF(Paper_Reference[Duplicate Key],Paper_Reference[[#This Row],[Duplicate Key]])</f>
        <v>1</v>
      </c>
    </row>
    <row r="1681" spans="1:10">
      <c r="A1681" s="7">
        <v>3</v>
      </c>
      <c r="B1681" s="8" t="s">
        <v>8874</v>
      </c>
      <c r="C1681" s="8" t="s">
        <v>8850</v>
      </c>
      <c r="D1681" s="7">
        <v>1</v>
      </c>
      <c r="E1681" s="7">
        <v>10</v>
      </c>
      <c r="F1681" s="7">
        <v>1</v>
      </c>
      <c r="G1681" s="8" t="s">
        <v>215</v>
      </c>
      <c r="H1681" s="8" t="s">
        <v>422</v>
      </c>
      <c r="I1681" s="7" t="str">
        <f>_xlfn.CONCAT(Paper_Reference[[#This Row],[Lvl]:[Paper Description]])</f>
        <v>3J25RB624QM56SHSU PRO UV  R FOUL 59.5X142.51101100WM101-6200RIGHT BRUNSWICK MAPLE (W)</v>
      </c>
      <c r="J1681" s="7">
        <f>COUNTIF(Paper_Reference[Duplicate Key],Paper_Reference[[#This Row],[Duplicate Key]])</f>
        <v>1</v>
      </c>
    </row>
    <row r="1682" spans="1:10">
      <c r="A1682" s="7">
        <v>2</v>
      </c>
      <c r="B1682" s="8" t="s">
        <v>1113</v>
      </c>
      <c r="C1682" s="8" t="s">
        <v>1078</v>
      </c>
      <c r="D1682" s="7">
        <v>1</v>
      </c>
      <c r="E1682" s="7">
        <v>10</v>
      </c>
      <c r="F1682" s="7">
        <v>0.25</v>
      </c>
      <c r="G1682" s="8" t="s">
        <v>975</v>
      </c>
      <c r="H1682" s="8" t="s">
        <v>983</v>
      </c>
      <c r="I1682" s="7" t="str">
        <f>_xlfn.CONCAT(Paper_Reference[[#This Row],[Lvl]:[Paper Description]])</f>
        <v>2J25RB629AM23SHSUPRO UV N/B RET 14.15X1441100.25100WM111-6200RETURN MAPLE PRINT</v>
      </c>
      <c r="J1682" s="7">
        <f>COUNTIF(Paper_Reference[Duplicate Key],Paper_Reference[[#This Row],[Duplicate Key]])</f>
        <v>1</v>
      </c>
    </row>
    <row r="1683" spans="1:10">
      <c r="A1683" s="7">
        <v>2</v>
      </c>
      <c r="B1683" s="8" t="s">
        <v>1050</v>
      </c>
      <c r="C1683" s="8" t="s">
        <v>1036</v>
      </c>
      <c r="D1683" s="7">
        <v>1</v>
      </c>
      <c r="E1683" s="7">
        <v>10</v>
      </c>
      <c r="F1683" s="7">
        <v>1</v>
      </c>
      <c r="G1683" s="8" t="s">
        <v>974</v>
      </c>
      <c r="H1683" s="8" t="s">
        <v>983</v>
      </c>
      <c r="I1683" s="7" t="str">
        <f>_xlfn.CONCAT(Paper_Reference[[#This Row],[Lvl]:[Paper Description]])</f>
        <v>2J25RB630ARAESHSU PRO UV W/WAY 42 1/2X145.21101100WM111-4300RETURN MAPLE PRINT</v>
      </c>
      <c r="J1683" s="7">
        <f>COUNTIF(Paper_Reference[Duplicate Key],Paper_Reference[[#This Row],[Duplicate Key]])</f>
        <v>1</v>
      </c>
    </row>
    <row r="1684" spans="1:10">
      <c r="A1684" s="7">
        <v>4</v>
      </c>
      <c r="B1684" s="8" t="s">
        <v>497</v>
      </c>
      <c r="C1684" s="8" t="s">
        <v>270</v>
      </c>
      <c r="D1684" s="7">
        <v>1</v>
      </c>
      <c r="E1684" s="7">
        <v>10</v>
      </c>
      <c r="F1684" s="7">
        <v>1</v>
      </c>
      <c r="G1684" s="8" t="s">
        <v>216</v>
      </c>
      <c r="H1684" s="8" t="s">
        <v>424</v>
      </c>
      <c r="I1684" s="7" t="str">
        <f>_xlfn.CONCAT(Paper_Reference[[#This Row],[Lvl]:[Paper Description]])</f>
        <v>4J25YB003AM51PRO II TEX L/A WEBER 59.5 X 141101100WM981-6200LEFT BRUNSWICK MAPLE (W)</v>
      </c>
      <c r="J1684" s="7">
        <f>COUNTIF(Paper_Reference[Duplicate Key],Paper_Reference[[#This Row],[Duplicate Key]])</f>
        <v>1</v>
      </c>
    </row>
    <row r="1685" spans="1:10">
      <c r="A1685" s="7">
        <v>4</v>
      </c>
      <c r="B1685" s="8" t="s">
        <v>489</v>
      </c>
      <c r="C1685" s="8" t="s">
        <v>264</v>
      </c>
      <c r="D1685" s="7">
        <v>1</v>
      </c>
      <c r="E1685" s="7">
        <v>10</v>
      </c>
      <c r="F1685" s="7">
        <v>1</v>
      </c>
      <c r="G1685" s="8" t="s">
        <v>215</v>
      </c>
      <c r="H1685" s="8" t="s">
        <v>422</v>
      </c>
      <c r="I1685" s="7" t="str">
        <f>_xlfn.CONCAT(Paper_Reference[[#This Row],[Lvl]:[Paper Description]])</f>
        <v>4J25YB004AM58PRO II TEX R/A WEBER 59.5 X 141101100WM101-6200RIGHT BRUNSWICK MAPLE (W)</v>
      </c>
      <c r="J1685" s="7">
        <f>COUNTIF(Paper_Reference[Duplicate Key],Paper_Reference[[#This Row],[Duplicate Key]])</f>
        <v>1</v>
      </c>
    </row>
    <row r="1686" spans="1:10">
      <c r="A1686" s="7">
        <v>4</v>
      </c>
      <c r="B1686" s="8" t="s">
        <v>498</v>
      </c>
      <c r="C1686" s="8" t="s">
        <v>271</v>
      </c>
      <c r="D1686" s="7">
        <v>1</v>
      </c>
      <c r="E1686" s="7">
        <v>10</v>
      </c>
      <c r="F1686" s="7">
        <v>1</v>
      </c>
      <c r="G1686" s="8" t="s">
        <v>216</v>
      </c>
      <c r="H1686" s="8" t="s">
        <v>424</v>
      </c>
      <c r="I1686" s="7" t="str">
        <f>_xlfn.CONCAT(Paper_Reference[[#This Row],[Lvl]:[Paper Description]])</f>
        <v>4J25YB005QM57PRO II TEX LF HOLIDAY 59.5X1421101100WM981-6200LEFT BRUNSWICK MAPLE (W)</v>
      </c>
      <c r="J1686" s="7">
        <f>COUNTIF(Paper_Reference[Duplicate Key],Paper_Reference[[#This Row],[Duplicate Key]])</f>
        <v>1</v>
      </c>
    </row>
    <row r="1687" spans="1:10">
      <c r="A1687" s="7">
        <v>4</v>
      </c>
      <c r="B1687" s="8" t="s">
        <v>490</v>
      </c>
      <c r="C1687" s="8" t="s">
        <v>265</v>
      </c>
      <c r="D1687" s="7">
        <v>1</v>
      </c>
      <c r="E1687" s="7">
        <v>10</v>
      </c>
      <c r="F1687" s="7">
        <v>1</v>
      </c>
      <c r="G1687" s="8" t="s">
        <v>215</v>
      </c>
      <c r="H1687" s="8" t="s">
        <v>422</v>
      </c>
      <c r="I1687" s="7" t="str">
        <f>_xlfn.CONCAT(Paper_Reference[[#This Row],[Lvl]:[Paper Description]])</f>
        <v>4J25YB006QM56PRO II TEX RF HOLIDAY 59.5X1421101100WM101-6200RIGHT BRUNSWICK MAPLE (W)</v>
      </c>
      <c r="J1687" s="7">
        <f>COUNTIF(Paper_Reference[Duplicate Key],Paper_Reference[[#This Row],[Duplicate Key]])</f>
        <v>1</v>
      </c>
    </row>
    <row r="1688" spans="1:10">
      <c r="A1688" s="7">
        <v>3</v>
      </c>
      <c r="B1688" s="8" t="s">
        <v>8907</v>
      </c>
      <c r="C1688" s="8" t="s">
        <v>8884</v>
      </c>
      <c r="D1688" s="7">
        <v>1</v>
      </c>
      <c r="E1688" s="7">
        <v>10</v>
      </c>
      <c r="F1688" s="7">
        <v>1</v>
      </c>
      <c r="G1688" s="8" t="s">
        <v>216</v>
      </c>
      <c r="H1688" s="8" t="s">
        <v>424</v>
      </c>
      <c r="I1688" s="7" t="str">
        <f>_xlfn.CONCAT(Paper_Reference[[#This Row],[Lvl]:[Paper Description]])</f>
        <v>3J25YB007AM51PRO II TEX L/A HUNTER 59.5 X 11101100WM981-6200LEFT BRUNSWICK MAPLE (W)</v>
      </c>
      <c r="J1688" s="7">
        <f>COUNTIF(Paper_Reference[Duplicate Key],Paper_Reference[[#This Row],[Duplicate Key]])</f>
        <v>1</v>
      </c>
    </row>
    <row r="1689" spans="1:10">
      <c r="A1689" s="7">
        <v>3</v>
      </c>
      <c r="B1689" s="8" t="s">
        <v>8862</v>
      </c>
      <c r="C1689" s="8" t="s">
        <v>8840</v>
      </c>
      <c r="D1689" s="7">
        <v>1</v>
      </c>
      <c r="E1689" s="7">
        <v>10</v>
      </c>
      <c r="F1689" s="7">
        <v>1</v>
      </c>
      <c r="G1689" s="8" t="s">
        <v>215</v>
      </c>
      <c r="H1689" s="8" t="s">
        <v>422</v>
      </c>
      <c r="I1689" s="7" t="str">
        <f>_xlfn.CONCAT(Paper_Reference[[#This Row],[Lvl]:[Paper Description]])</f>
        <v>3J25YB008AM58PRO II TEX R/A HUNTER 59.5 X 11101100WM101-6200RIGHT BRUNSWICK MAPLE (W)</v>
      </c>
      <c r="J1689" s="7">
        <f>COUNTIF(Paper_Reference[Duplicate Key],Paper_Reference[[#This Row],[Duplicate Key]])</f>
        <v>1</v>
      </c>
    </row>
    <row r="1690" spans="1:10">
      <c r="A1690" s="7">
        <v>2</v>
      </c>
      <c r="B1690" s="8" t="s">
        <v>1114</v>
      </c>
      <c r="C1690" s="8" t="s">
        <v>1079</v>
      </c>
      <c r="D1690" s="7">
        <v>1</v>
      </c>
      <c r="E1690" s="7">
        <v>10</v>
      </c>
      <c r="F1690" s="7">
        <v>0.25</v>
      </c>
      <c r="G1690" s="8" t="s">
        <v>975</v>
      </c>
      <c r="H1690" s="8" t="s">
        <v>983</v>
      </c>
      <c r="I1690" s="7" t="str">
        <f>_xlfn.CONCAT(Paper_Reference[[#This Row],[Lvl]:[Paper Description]])</f>
        <v>2J26RB271AM23VANDERBUILT LOGO 14.15X1441100.25100WM111-6200RETURN MAPLE PRINT</v>
      </c>
      <c r="J1690" s="7">
        <f>COUNTIF(Paper_Reference[Duplicate Key],Paper_Reference[[#This Row],[Duplicate Key]])</f>
        <v>1</v>
      </c>
    </row>
    <row r="1691" spans="1:10">
      <c r="A1691" s="7">
        <v>2</v>
      </c>
      <c r="B1691" s="8" t="s">
        <v>1115</v>
      </c>
      <c r="C1691" s="8" t="s">
        <v>1080</v>
      </c>
      <c r="D1691" s="7">
        <v>1</v>
      </c>
      <c r="E1691" s="7">
        <v>10</v>
      </c>
      <c r="F1691" s="7">
        <v>0.25</v>
      </c>
      <c r="G1691" s="8" t="s">
        <v>975</v>
      </c>
      <c r="H1691" s="8" t="s">
        <v>983</v>
      </c>
      <c r="I1691" s="7" t="str">
        <f>_xlfn.CONCAT(Paper_Reference[[#This Row],[Lvl]:[Paper Description]])</f>
        <v>2J26RB661AM23PRO RET KUWATA LOGO 14.15X1441100.25100WM111-6200RETURN MAPLE PRINT</v>
      </c>
      <c r="J1691" s="7">
        <f>COUNTIF(Paper_Reference[Duplicate Key],Paper_Reference[[#This Row],[Duplicate Key]])</f>
        <v>1</v>
      </c>
    </row>
    <row r="1692" spans="1:10">
      <c r="A1692" s="7">
        <v>2</v>
      </c>
      <c r="B1692" s="8" t="s">
        <v>1116</v>
      </c>
      <c r="C1692" s="8" t="s">
        <v>1081</v>
      </c>
      <c r="D1692" s="7">
        <v>1</v>
      </c>
      <c r="E1692" s="7">
        <v>10</v>
      </c>
      <c r="F1692" s="7">
        <v>0.25</v>
      </c>
      <c r="G1692" s="8" t="s">
        <v>975</v>
      </c>
      <c r="H1692" s="8" t="s">
        <v>983</v>
      </c>
      <c r="I1692" s="7" t="str">
        <f>_xlfn.CONCAT(Paper_Reference[[#This Row],[Lvl]:[Paper Description]])</f>
        <v>2J26RB662AM23PRO RET BRUNS BLK LOGO 14.15X11100.25100WM111-6200RETURN MAPLE PRINT</v>
      </c>
      <c r="J1692" s="7">
        <f>COUNTIF(Paper_Reference[Duplicate Key],Paper_Reference[[#This Row],[Duplicate Key]])</f>
        <v>1</v>
      </c>
    </row>
    <row r="1693" spans="1:10">
      <c r="A1693" s="7">
        <v>2</v>
      </c>
      <c r="B1693" s="8" t="s">
        <v>1117</v>
      </c>
      <c r="C1693" s="8" t="s">
        <v>1082</v>
      </c>
      <c r="D1693" s="7">
        <v>1</v>
      </c>
      <c r="E1693" s="7">
        <v>10</v>
      </c>
      <c r="F1693" s="7">
        <v>0.25</v>
      </c>
      <c r="G1693" s="8" t="s">
        <v>975</v>
      </c>
      <c r="H1693" s="8" t="s">
        <v>983</v>
      </c>
      <c r="I1693" s="7" t="str">
        <f>_xlfn.CONCAT(Paper_Reference[[#This Row],[Lvl]:[Paper Description]])</f>
        <v>2J26RB740AM23PRO RET OFF/BROAD 14.15X1441100.25100WM111-6200RETURN MAPLE PRINT</v>
      </c>
      <c r="J1693" s="7">
        <f>COUNTIF(Paper_Reference[Duplicate Key],Paper_Reference[[#This Row],[Duplicate Key]])</f>
        <v>1</v>
      </c>
    </row>
    <row r="1694" spans="1:10">
      <c r="A1694" s="7">
        <v>2</v>
      </c>
      <c r="B1694" s="8" t="s">
        <v>3320</v>
      </c>
      <c r="C1694" s="8" t="s">
        <v>3239</v>
      </c>
      <c r="D1694" s="7">
        <v>1</v>
      </c>
      <c r="E1694" s="7">
        <v>10</v>
      </c>
      <c r="F1694" s="7">
        <v>1</v>
      </c>
      <c r="G1694" s="8" t="s">
        <v>3230</v>
      </c>
      <c r="H1694" s="8" t="s">
        <v>3231</v>
      </c>
      <c r="I1694" s="7" t="str">
        <f>_xlfn.CONCAT(Paper_Reference[[#This Row],[Lvl]:[Paper Description]])</f>
        <v>2J27IFOSSH4201FOSSIL D/G 48 X 1441101110SW736-5000PRECISION WHITE 43 X 145</v>
      </c>
      <c r="J1694" s="7">
        <f>COUNTIF(Paper_Reference[Duplicate Key],Paper_Reference[[#This Row],[Duplicate Key]])</f>
        <v>1</v>
      </c>
    </row>
    <row r="1695" spans="1:10">
      <c r="A1695" s="7">
        <v>2</v>
      </c>
      <c r="B1695" s="8" t="s">
        <v>3321</v>
      </c>
      <c r="C1695" s="8" t="s">
        <v>3240</v>
      </c>
      <c r="D1695" s="7">
        <v>1</v>
      </c>
      <c r="E1695" s="7">
        <v>10</v>
      </c>
      <c r="F1695" s="7">
        <v>1</v>
      </c>
      <c r="G1695" s="8" t="s">
        <v>3230</v>
      </c>
      <c r="H1695" s="8" t="s">
        <v>3231</v>
      </c>
      <c r="I1695" s="7" t="str">
        <f>_xlfn.CONCAT(Paper_Reference[[#This Row],[Lvl]:[Paper Description]])</f>
        <v>2J27IFOSSH4801FOSSIL D/G 48 X 961101110SW736-5000PRECISION WHITE 43 X 145</v>
      </c>
      <c r="J1695" s="7">
        <f>COUNTIF(Paper_Reference[Duplicate Key],Paper_Reference[[#This Row],[Duplicate Key]])</f>
        <v>1</v>
      </c>
    </row>
    <row r="1696" spans="1:10">
      <c r="A1696" s="7">
        <v>2</v>
      </c>
      <c r="B1696" s="8" t="s">
        <v>3830</v>
      </c>
      <c r="C1696" s="8" t="s">
        <v>3767</v>
      </c>
      <c r="D1696" s="7">
        <v>1</v>
      </c>
      <c r="E1696" s="7">
        <v>10</v>
      </c>
      <c r="F1696" s="7">
        <v>1</v>
      </c>
      <c r="G1696" s="8" t="s">
        <v>3826</v>
      </c>
      <c r="H1696" s="8" t="s">
        <v>3827</v>
      </c>
      <c r="I1696" s="7" t="str">
        <f>_xlfn.CONCAT(Paper_Reference[[#This Row],[Lvl]:[Paper Description]])</f>
        <v>2J27IFOSSH5001FOSSIL D/G 60 X 1201101110SW736-6200PRECISION WHITE 62"</v>
      </c>
      <c r="J1696" s="7">
        <f>COUNTIF(Paper_Reference[Duplicate Key],Paper_Reference[[#This Row],[Duplicate Key]])</f>
        <v>1</v>
      </c>
    </row>
    <row r="1697" spans="1:10">
      <c r="A1697" s="7">
        <v>2</v>
      </c>
      <c r="B1697" s="8" t="s">
        <v>3322</v>
      </c>
      <c r="C1697" s="8" t="s">
        <v>3240</v>
      </c>
      <c r="D1697" s="7">
        <v>1</v>
      </c>
      <c r="E1697" s="7">
        <v>10</v>
      </c>
      <c r="F1697" s="7">
        <v>1</v>
      </c>
      <c r="G1697" s="8" t="s">
        <v>3230</v>
      </c>
      <c r="H1697" s="8" t="s">
        <v>3231</v>
      </c>
      <c r="I1697" s="7" t="str">
        <f>_xlfn.CONCAT(Paper_Reference[[#This Row],[Lvl]:[Paper Description]])</f>
        <v>2J27IFOSSPV4801FOSSIL D/G 48 X 961101110SW736-5000PRECISION WHITE 43 X 145</v>
      </c>
      <c r="J1697" s="7">
        <f>COUNTIF(Paper_Reference[Duplicate Key],Paper_Reference[[#This Row],[Duplicate Key]])</f>
        <v>1</v>
      </c>
    </row>
    <row r="1698" spans="1:10">
      <c r="A1698" s="7">
        <v>2</v>
      </c>
      <c r="B1698" s="8" t="s">
        <v>3831</v>
      </c>
      <c r="C1698" s="8" t="s">
        <v>3768</v>
      </c>
      <c r="D1698" s="7">
        <v>1</v>
      </c>
      <c r="E1698" s="7">
        <v>10</v>
      </c>
      <c r="F1698" s="7">
        <v>1</v>
      </c>
      <c r="G1698" s="8" t="s">
        <v>3826</v>
      </c>
      <c r="H1698" s="8" t="s">
        <v>3827</v>
      </c>
      <c r="I1698" s="7" t="str">
        <f>_xlfn.CONCAT(Paper_Reference[[#This Row],[Lvl]:[Paper Description]])</f>
        <v>2J27IFOSSPV5201FOSSIL D/G 60 X 1441101110SW736-6200PRECISION WHITE 62"</v>
      </c>
      <c r="J1698" s="7">
        <f>COUNTIF(Paper_Reference[Duplicate Key],Paper_Reference[[#This Row],[Duplicate Key]])</f>
        <v>1</v>
      </c>
    </row>
    <row r="1699" spans="1:10">
      <c r="A1699" s="7">
        <v>2</v>
      </c>
      <c r="B1699" s="8" t="s">
        <v>3323</v>
      </c>
      <c r="C1699" s="8" t="s">
        <v>3241</v>
      </c>
      <c r="D1699" s="7">
        <v>1</v>
      </c>
      <c r="E1699" s="7">
        <v>10</v>
      </c>
      <c r="F1699" s="7">
        <v>1</v>
      </c>
      <c r="G1699" s="8" t="s">
        <v>3230</v>
      </c>
      <c r="H1699" s="8" t="s">
        <v>3231</v>
      </c>
      <c r="I1699" s="7" t="str">
        <f>_xlfn.CONCAT(Paper_Reference[[#This Row],[Lvl]:[Paper Description]])</f>
        <v>2J28IFOSSH4001FOSSIL D/G 48 X 1201101110SW736-5000PRECISION WHITE 43 X 145</v>
      </c>
      <c r="J1699" s="7">
        <f>COUNTIF(Paper_Reference[Duplicate Key],Paper_Reference[[#This Row],[Duplicate Key]])</f>
        <v>1</v>
      </c>
    </row>
    <row r="1700" spans="1:10">
      <c r="A1700" s="7">
        <v>2</v>
      </c>
      <c r="B1700" s="8" t="s">
        <v>3324</v>
      </c>
      <c r="C1700" s="8" t="s">
        <v>3239</v>
      </c>
      <c r="D1700" s="7">
        <v>1</v>
      </c>
      <c r="E1700" s="7">
        <v>10</v>
      </c>
      <c r="F1700" s="7">
        <v>1</v>
      </c>
      <c r="G1700" s="8" t="s">
        <v>3230</v>
      </c>
      <c r="H1700" s="8" t="s">
        <v>3231</v>
      </c>
      <c r="I1700" s="7" t="str">
        <f>_xlfn.CONCAT(Paper_Reference[[#This Row],[Lvl]:[Paper Description]])</f>
        <v>2J28IFOSSH4201FOSSIL D/G 48 X 1441101110SW736-5000PRECISION WHITE 43 X 145</v>
      </c>
      <c r="J1700" s="7">
        <f>COUNTIF(Paper_Reference[Duplicate Key],Paper_Reference[[#This Row],[Duplicate Key]])</f>
        <v>1</v>
      </c>
    </row>
    <row r="1701" spans="1:10">
      <c r="A1701" s="7">
        <v>2</v>
      </c>
      <c r="B1701" s="8" t="s">
        <v>3325</v>
      </c>
      <c r="C1701" s="8" t="s">
        <v>3240</v>
      </c>
      <c r="D1701" s="7">
        <v>1</v>
      </c>
      <c r="E1701" s="7">
        <v>10</v>
      </c>
      <c r="F1701" s="7">
        <v>1</v>
      </c>
      <c r="G1701" s="8" t="s">
        <v>3230</v>
      </c>
      <c r="H1701" s="8" t="s">
        <v>3231</v>
      </c>
      <c r="I1701" s="7" t="str">
        <f>_xlfn.CONCAT(Paper_Reference[[#This Row],[Lvl]:[Paper Description]])</f>
        <v>2J28IFOSSH4801FOSSIL D/G 48 X 961101110SW736-5000PRECISION WHITE 43 X 145</v>
      </c>
      <c r="J1701" s="7">
        <f>COUNTIF(Paper_Reference[Duplicate Key],Paper_Reference[[#This Row],[Duplicate Key]])</f>
        <v>1</v>
      </c>
    </row>
    <row r="1702" spans="1:10">
      <c r="A1702" s="7">
        <v>2</v>
      </c>
      <c r="B1702" s="8" t="s">
        <v>3832</v>
      </c>
      <c r="C1702" s="8" t="s">
        <v>3767</v>
      </c>
      <c r="D1702" s="7">
        <v>1</v>
      </c>
      <c r="E1702" s="7">
        <v>10</v>
      </c>
      <c r="F1702" s="7">
        <v>1</v>
      </c>
      <c r="G1702" s="8" t="s">
        <v>3826</v>
      </c>
      <c r="H1702" s="8" t="s">
        <v>3827</v>
      </c>
      <c r="I1702" s="7" t="str">
        <f>_xlfn.CONCAT(Paper_Reference[[#This Row],[Lvl]:[Paper Description]])</f>
        <v>2J28IFOSSH5001FOSSIL D/G 60 X 1201101110SW736-6200PRECISION WHITE 62"</v>
      </c>
      <c r="J1702" s="7">
        <f>COUNTIF(Paper_Reference[Duplicate Key],Paper_Reference[[#This Row],[Duplicate Key]])</f>
        <v>1</v>
      </c>
    </row>
    <row r="1703" spans="1:10">
      <c r="A1703" s="7">
        <v>2</v>
      </c>
      <c r="B1703" s="8" t="s">
        <v>3833</v>
      </c>
      <c r="C1703" s="8" t="s">
        <v>3768</v>
      </c>
      <c r="D1703" s="7">
        <v>1</v>
      </c>
      <c r="E1703" s="7">
        <v>10</v>
      </c>
      <c r="F1703" s="7">
        <v>1</v>
      </c>
      <c r="G1703" s="8" t="s">
        <v>3826</v>
      </c>
      <c r="H1703" s="8" t="s">
        <v>3827</v>
      </c>
      <c r="I1703" s="7" t="str">
        <f>_xlfn.CONCAT(Paper_Reference[[#This Row],[Lvl]:[Paper Description]])</f>
        <v>2J28IFOSSH5201FOSSIL D/G 60 X 1441101110SW736-6200PRECISION WHITE 62"</v>
      </c>
      <c r="J1703" s="7">
        <f>COUNTIF(Paper_Reference[Duplicate Key],Paper_Reference[[#This Row],[Duplicate Key]])</f>
        <v>1</v>
      </c>
    </row>
    <row r="1704" spans="1:10">
      <c r="A1704" s="7">
        <v>2</v>
      </c>
      <c r="B1704" s="8" t="s">
        <v>3834</v>
      </c>
      <c r="C1704" s="8" t="s">
        <v>3769</v>
      </c>
      <c r="D1704" s="7">
        <v>1</v>
      </c>
      <c r="E1704" s="7">
        <v>10</v>
      </c>
      <c r="F1704" s="7">
        <v>1</v>
      </c>
      <c r="G1704" s="8" t="s">
        <v>3826</v>
      </c>
      <c r="H1704" s="8" t="s">
        <v>3827</v>
      </c>
      <c r="I1704" s="7" t="str">
        <f>_xlfn.CONCAT(Paper_Reference[[#This Row],[Lvl]:[Paper Description]])</f>
        <v>2J28IFOSSH5801FOSSIL D/G 60 X 961101110SW736-6200PRECISION WHITE 62"</v>
      </c>
      <c r="J1704" s="7">
        <f>COUNTIF(Paper_Reference[Duplicate Key],Paper_Reference[[#This Row],[Duplicate Key]])</f>
        <v>1</v>
      </c>
    </row>
    <row r="1705" spans="1:10">
      <c r="A1705" s="7">
        <v>2</v>
      </c>
      <c r="B1705" s="8" t="s">
        <v>3326</v>
      </c>
      <c r="C1705" s="8" t="s">
        <v>3240</v>
      </c>
      <c r="D1705" s="7">
        <v>1</v>
      </c>
      <c r="E1705" s="7">
        <v>10</v>
      </c>
      <c r="F1705" s="7">
        <v>1</v>
      </c>
      <c r="G1705" s="8" t="s">
        <v>3230</v>
      </c>
      <c r="H1705" s="8" t="s">
        <v>3231</v>
      </c>
      <c r="I1705" s="7" t="str">
        <f>_xlfn.CONCAT(Paper_Reference[[#This Row],[Lvl]:[Paper Description]])</f>
        <v>2J28IFOSSLS4801FOSSIL D/G 48 X 961101110SW736-5000PRECISION WHITE 43 X 145</v>
      </c>
      <c r="J1705" s="7">
        <f>COUNTIF(Paper_Reference[Duplicate Key],Paper_Reference[[#This Row],[Duplicate Key]])</f>
        <v>1</v>
      </c>
    </row>
    <row r="1706" spans="1:10">
      <c r="A1706" s="7">
        <v>2</v>
      </c>
      <c r="B1706" s="8" t="s">
        <v>3835</v>
      </c>
      <c r="C1706" s="8" t="s">
        <v>3768</v>
      </c>
      <c r="D1706" s="7">
        <v>1</v>
      </c>
      <c r="E1706" s="7">
        <v>10</v>
      </c>
      <c r="F1706" s="7">
        <v>1</v>
      </c>
      <c r="G1706" s="8" t="s">
        <v>3826</v>
      </c>
      <c r="H1706" s="8" t="s">
        <v>3827</v>
      </c>
      <c r="I1706" s="7" t="str">
        <f>_xlfn.CONCAT(Paper_Reference[[#This Row],[Lvl]:[Paper Description]])</f>
        <v>2J28IFOSSLS5201FOSSIL D/G 60 X 1441101110SW736-6200PRECISION WHITE 62"</v>
      </c>
      <c r="J1706" s="7">
        <f>COUNTIF(Paper_Reference[Duplicate Key],Paper_Reference[[#This Row],[Duplicate Key]])</f>
        <v>1</v>
      </c>
    </row>
    <row r="1707" spans="1:10">
      <c r="A1707" s="7">
        <v>2</v>
      </c>
      <c r="B1707" s="8" t="s">
        <v>3327</v>
      </c>
      <c r="C1707" s="8" t="s">
        <v>3240</v>
      </c>
      <c r="D1707" s="7">
        <v>1</v>
      </c>
      <c r="E1707" s="7">
        <v>10</v>
      </c>
      <c r="F1707" s="7">
        <v>1</v>
      </c>
      <c r="G1707" s="8" t="s">
        <v>3230</v>
      </c>
      <c r="H1707" s="8" t="s">
        <v>3231</v>
      </c>
      <c r="I1707" s="7" t="str">
        <f>_xlfn.CONCAT(Paper_Reference[[#This Row],[Lvl]:[Paper Description]])</f>
        <v>2J28IFOSSPV4801FOSSIL D/G 48 X 961101110SW736-5000PRECISION WHITE 43 X 145</v>
      </c>
      <c r="J1707" s="7">
        <f>COUNTIF(Paper_Reference[Duplicate Key],Paper_Reference[[#This Row],[Duplicate Key]])</f>
        <v>1</v>
      </c>
    </row>
    <row r="1708" spans="1:10">
      <c r="A1708" s="7">
        <v>2</v>
      </c>
      <c r="B1708" s="8" t="s">
        <v>3836</v>
      </c>
      <c r="C1708" s="8" t="s">
        <v>3768</v>
      </c>
      <c r="D1708" s="7">
        <v>1</v>
      </c>
      <c r="E1708" s="7">
        <v>10</v>
      </c>
      <c r="F1708" s="7">
        <v>1</v>
      </c>
      <c r="G1708" s="8" t="s">
        <v>3826</v>
      </c>
      <c r="H1708" s="8" t="s">
        <v>3827</v>
      </c>
      <c r="I1708" s="7" t="str">
        <f>_xlfn.CONCAT(Paper_Reference[[#This Row],[Lvl]:[Paper Description]])</f>
        <v>2J28IFOSSPV5201FOSSIL D/G 60 X 1441101110SW736-6200PRECISION WHITE 62"</v>
      </c>
      <c r="J1708" s="7">
        <f>COUNTIF(Paper_Reference[Duplicate Key],Paper_Reference[[#This Row],[Duplicate Key]])</f>
        <v>1</v>
      </c>
    </row>
    <row r="1709" spans="1:10">
      <c r="A1709" s="7">
        <v>2</v>
      </c>
      <c r="B1709" s="8" t="s">
        <v>3837</v>
      </c>
      <c r="C1709" s="8" t="s">
        <v>3769</v>
      </c>
      <c r="D1709" s="7">
        <v>1</v>
      </c>
      <c r="E1709" s="7">
        <v>10</v>
      </c>
      <c r="F1709" s="7">
        <v>1</v>
      </c>
      <c r="G1709" s="8" t="s">
        <v>3826</v>
      </c>
      <c r="H1709" s="8" t="s">
        <v>3827</v>
      </c>
      <c r="I1709" s="7" t="str">
        <f>_xlfn.CONCAT(Paper_Reference[[#This Row],[Lvl]:[Paper Description]])</f>
        <v>2J28IFOSSPV5801FOSSIL D/G 60 X 961101110SW736-6200PRECISION WHITE 62"</v>
      </c>
      <c r="J1709" s="7">
        <f>COUNTIF(Paper_Reference[Duplicate Key],Paper_Reference[[#This Row],[Duplicate Key]])</f>
        <v>1</v>
      </c>
    </row>
    <row r="1710" spans="1:10">
      <c r="A1710" s="7">
        <v>2</v>
      </c>
      <c r="B1710" s="8" t="s">
        <v>3328</v>
      </c>
      <c r="C1710" s="8" t="s">
        <v>3240</v>
      </c>
      <c r="D1710" s="7">
        <v>1</v>
      </c>
      <c r="E1710" s="7">
        <v>10</v>
      </c>
      <c r="F1710" s="7">
        <v>1</v>
      </c>
      <c r="G1710" s="8" t="s">
        <v>3230</v>
      </c>
      <c r="H1710" s="8" t="s">
        <v>3231</v>
      </c>
      <c r="I1710" s="7" t="str">
        <f>_xlfn.CONCAT(Paper_Reference[[#This Row],[Lvl]:[Paper Description]])</f>
        <v>2J28IFOSSS4801FOSSIL D/G 48 X 961101110SW736-5000PRECISION WHITE 43 X 145</v>
      </c>
      <c r="J1710" s="7">
        <f>COUNTIF(Paper_Reference[Duplicate Key],Paper_Reference[[#This Row],[Duplicate Key]])</f>
        <v>1</v>
      </c>
    </row>
    <row r="1711" spans="1:10">
      <c r="A1711" s="7">
        <v>2</v>
      </c>
      <c r="B1711" s="8" t="s">
        <v>3838</v>
      </c>
      <c r="C1711" s="8" t="s">
        <v>3768</v>
      </c>
      <c r="D1711" s="7">
        <v>1</v>
      </c>
      <c r="E1711" s="7">
        <v>10</v>
      </c>
      <c r="F1711" s="7">
        <v>1</v>
      </c>
      <c r="G1711" s="8" t="s">
        <v>3826</v>
      </c>
      <c r="H1711" s="8" t="s">
        <v>3827</v>
      </c>
      <c r="I1711" s="7" t="str">
        <f>_xlfn.CONCAT(Paper_Reference[[#This Row],[Lvl]:[Paper Description]])</f>
        <v>2J28IFOSSS5201FOSSIL D/G 60 X 1441101110SW736-6200PRECISION WHITE 62"</v>
      </c>
      <c r="J1711" s="7">
        <f>COUNTIF(Paper_Reference[Duplicate Key],Paper_Reference[[#This Row],[Duplicate Key]])</f>
        <v>1</v>
      </c>
    </row>
    <row r="1712" spans="1:10">
      <c r="A1712" s="7">
        <v>2</v>
      </c>
      <c r="B1712" s="8" t="s">
        <v>7367</v>
      </c>
      <c r="C1712" s="8" t="s">
        <v>6719</v>
      </c>
      <c r="D1712" s="7">
        <v>1</v>
      </c>
      <c r="E1712" s="7">
        <v>10</v>
      </c>
      <c r="F1712" s="7">
        <v>1</v>
      </c>
      <c r="G1712" s="8" t="s">
        <v>6710</v>
      </c>
      <c r="H1712" s="8" t="s">
        <v>5691</v>
      </c>
      <c r="I1712" s="7" t="str">
        <f>_xlfn.CONCAT(Paper_Reference[[#This Row],[Lvl]:[Paper Description]])</f>
        <v>2J29IRAING4801RAINDROPS D/G 48 X 961101100DS009-5000FROSTY WHITE</v>
      </c>
      <c r="J1712" s="7">
        <f>COUNTIF(Paper_Reference[Duplicate Key],Paper_Reference[[#This Row],[Duplicate Key]])</f>
        <v>1</v>
      </c>
    </row>
    <row r="1713" spans="1:10">
      <c r="A1713" s="7">
        <v>2</v>
      </c>
      <c r="B1713" s="8" t="s">
        <v>7369</v>
      </c>
      <c r="C1713" s="8" t="s">
        <v>6720</v>
      </c>
      <c r="D1713" s="7">
        <v>1</v>
      </c>
      <c r="E1713" s="7">
        <v>10</v>
      </c>
      <c r="F1713" s="7">
        <v>1</v>
      </c>
      <c r="G1713" s="8" t="s">
        <v>6710</v>
      </c>
      <c r="H1713" s="8" t="s">
        <v>5691</v>
      </c>
      <c r="I1713" s="7" t="str">
        <f>_xlfn.CONCAT(Paper_Reference[[#This Row],[Lvl]:[Paper Description]])</f>
        <v>2J29R0006N480STRIDE RITE STRIPES D/G 48 X 91101100DS009-5000FROSTY WHITE</v>
      </c>
      <c r="J1713" s="7">
        <f>COUNTIF(Paper_Reference[Duplicate Key],Paper_Reference[[#This Row],[Duplicate Key]])</f>
        <v>1</v>
      </c>
    </row>
    <row r="1714" spans="1:10">
      <c r="A1714" s="7">
        <v>2</v>
      </c>
      <c r="B1714" s="8" t="s">
        <v>7368</v>
      </c>
      <c r="C1714" s="8" t="s">
        <v>6720</v>
      </c>
      <c r="D1714" s="7">
        <v>1</v>
      </c>
      <c r="E1714" s="7">
        <v>10</v>
      </c>
      <c r="F1714" s="7">
        <v>1</v>
      </c>
      <c r="G1714" s="8" t="s">
        <v>6710</v>
      </c>
      <c r="H1714" s="8" t="s">
        <v>5691</v>
      </c>
      <c r="I1714" s="7" t="str">
        <f>_xlfn.CONCAT(Paper_Reference[[#This Row],[Lvl]:[Paper Description]])</f>
        <v>2J29R0006N4801STRIDE RITE STRIPES D/G 48 X 91101100DS009-5000FROSTY WHITE</v>
      </c>
      <c r="J1714" s="7">
        <f>COUNTIF(Paper_Reference[Duplicate Key],Paper_Reference[[#This Row],[Duplicate Key]])</f>
        <v>1</v>
      </c>
    </row>
    <row r="1715" spans="1:10">
      <c r="A1715" s="7">
        <v>2</v>
      </c>
      <c r="B1715" s="8" t="s">
        <v>7370</v>
      </c>
      <c r="C1715" s="8" t="s">
        <v>6721</v>
      </c>
      <c r="D1715" s="7">
        <v>1</v>
      </c>
      <c r="E1715" s="7">
        <v>10</v>
      </c>
      <c r="F1715" s="7">
        <v>1</v>
      </c>
      <c r="G1715" s="8" t="s">
        <v>6710</v>
      </c>
      <c r="H1715" s="8" t="s">
        <v>5691</v>
      </c>
      <c r="I1715" s="7" t="str">
        <f>_xlfn.CONCAT(Paper_Reference[[#This Row],[Lvl]:[Paper Description]])</f>
        <v>2J29R0009N480STRIDE RITE SQUARES D/G 48 X 91101100DS009-5000FROSTY WHITE</v>
      </c>
      <c r="J1715" s="7">
        <f>COUNTIF(Paper_Reference[Duplicate Key],Paper_Reference[[#This Row],[Duplicate Key]])</f>
        <v>1</v>
      </c>
    </row>
    <row r="1716" spans="1:10">
      <c r="A1716" s="7">
        <v>2</v>
      </c>
      <c r="B1716" s="8" t="s">
        <v>6194</v>
      </c>
      <c r="C1716" s="8" t="s">
        <v>5732</v>
      </c>
      <c r="D1716" s="7">
        <v>1</v>
      </c>
      <c r="E1716" s="7">
        <v>10</v>
      </c>
      <c r="F1716" s="7">
        <v>1</v>
      </c>
      <c r="G1716" s="8" t="s">
        <v>5690</v>
      </c>
      <c r="H1716" s="8" t="s">
        <v>5691</v>
      </c>
      <c r="I1716" s="7" t="str">
        <f>_xlfn.CONCAT(Paper_Reference[[#This Row],[Lvl]:[Paper Description]])</f>
        <v>2J29R0048N580CLINTON P1 D/G 60 X 961101100DS009-6200FROSTY WHITE</v>
      </c>
      <c r="J1716" s="7">
        <f>COUNTIF(Paper_Reference[Duplicate Key],Paper_Reference[[#This Row],[Duplicate Key]])</f>
        <v>1</v>
      </c>
    </row>
    <row r="1717" spans="1:10">
      <c r="A1717" s="7">
        <v>2</v>
      </c>
      <c r="B1717" s="8" t="s">
        <v>7371</v>
      </c>
      <c r="C1717" s="8" t="s">
        <v>6722</v>
      </c>
      <c r="D1717" s="7">
        <v>1</v>
      </c>
      <c r="E1717" s="7">
        <v>10</v>
      </c>
      <c r="F1717" s="7">
        <v>1</v>
      </c>
      <c r="G1717" s="8" t="s">
        <v>6710</v>
      </c>
      <c r="H1717" s="8" t="s">
        <v>5691</v>
      </c>
      <c r="I1717" s="7" t="str">
        <f>_xlfn.CONCAT(Paper_Reference[[#This Row],[Lvl]:[Paper Description]])</f>
        <v>2J29R0049N400CLINTON P2 D/G 48 X 1201101100DS009-5000FROSTY WHITE</v>
      </c>
      <c r="J1717" s="7">
        <f>COUNTIF(Paper_Reference[Duplicate Key],Paper_Reference[[#This Row],[Duplicate Key]])</f>
        <v>1</v>
      </c>
    </row>
    <row r="1718" spans="1:10">
      <c r="A1718" s="7">
        <v>2</v>
      </c>
      <c r="B1718" s="8" t="s">
        <v>6195</v>
      </c>
      <c r="C1718" s="8" t="s">
        <v>5733</v>
      </c>
      <c r="D1718" s="7">
        <v>1</v>
      </c>
      <c r="E1718" s="7">
        <v>10</v>
      </c>
      <c r="F1718" s="7">
        <v>1</v>
      </c>
      <c r="G1718" s="8" t="s">
        <v>5690</v>
      </c>
      <c r="H1718" s="8" t="s">
        <v>5691</v>
      </c>
      <c r="I1718" s="7" t="str">
        <f>_xlfn.CONCAT(Paper_Reference[[#This Row],[Lvl]:[Paper Description]])</f>
        <v>2J29R0050N580CLINTON P3 D/G 60 X 961101100DS009-6200FROSTY WHITE</v>
      </c>
      <c r="J1718" s="7">
        <f>COUNTIF(Paper_Reference[Duplicate Key],Paper_Reference[[#This Row],[Duplicate Key]])</f>
        <v>1</v>
      </c>
    </row>
    <row r="1719" spans="1:10">
      <c r="A1719" s="7">
        <v>2</v>
      </c>
      <c r="B1719" s="8" t="s">
        <v>7372</v>
      </c>
      <c r="C1719" s="8" t="s">
        <v>6723</v>
      </c>
      <c r="D1719" s="7">
        <v>1</v>
      </c>
      <c r="E1719" s="7">
        <v>10</v>
      </c>
      <c r="F1719" s="7">
        <v>1</v>
      </c>
      <c r="G1719" s="8" t="s">
        <v>6710</v>
      </c>
      <c r="H1719" s="8" t="s">
        <v>5691</v>
      </c>
      <c r="I1719" s="7" t="str">
        <f>_xlfn.CONCAT(Paper_Reference[[#This Row],[Lvl]:[Paper Description]])</f>
        <v>2J29R0051N420CLINTON P4 D/G 48 X 1441101100DS009-5000FROSTY WHITE</v>
      </c>
      <c r="J1719" s="7">
        <f>COUNTIF(Paper_Reference[Duplicate Key],Paper_Reference[[#This Row],[Duplicate Key]])</f>
        <v>1</v>
      </c>
    </row>
    <row r="1720" spans="1:10">
      <c r="A1720" s="7">
        <v>2</v>
      </c>
      <c r="B1720" s="8" t="s">
        <v>7373</v>
      </c>
      <c r="C1720" s="8" t="s">
        <v>6724</v>
      </c>
      <c r="D1720" s="7">
        <v>1</v>
      </c>
      <c r="E1720" s="7">
        <v>10</v>
      </c>
      <c r="F1720" s="7">
        <v>1</v>
      </c>
      <c r="G1720" s="8" t="s">
        <v>6710</v>
      </c>
      <c r="H1720" s="8" t="s">
        <v>5691</v>
      </c>
      <c r="I1720" s="7" t="str">
        <f>_xlfn.CONCAT(Paper_Reference[[#This Row],[Lvl]:[Paper Description]])</f>
        <v>2J29R0052N420CLINTON P5 D/G 48 X 1441101100DS009-5000FROSTY WHITE</v>
      </c>
      <c r="J1720" s="7">
        <f>COUNTIF(Paper_Reference[Duplicate Key],Paper_Reference[[#This Row],[Duplicate Key]])</f>
        <v>1</v>
      </c>
    </row>
    <row r="1721" spans="1:10">
      <c r="A1721" s="7">
        <v>2</v>
      </c>
      <c r="B1721" s="8" t="s">
        <v>6196</v>
      </c>
      <c r="C1721" s="8" t="s">
        <v>5734</v>
      </c>
      <c r="D1721" s="7">
        <v>1</v>
      </c>
      <c r="E1721" s="7">
        <v>10</v>
      </c>
      <c r="F1721" s="7">
        <v>1</v>
      </c>
      <c r="G1721" s="8" t="s">
        <v>5690</v>
      </c>
      <c r="H1721" s="8" t="s">
        <v>5691</v>
      </c>
      <c r="I1721" s="7" t="str">
        <f>_xlfn.CONCAT(Paper_Reference[[#This Row],[Lvl]:[Paper Description]])</f>
        <v>2J29R0053N500CLINTON P6 D/G 60 X 1201101100DS009-6200FROSTY WHITE</v>
      </c>
      <c r="J1721" s="7">
        <f>COUNTIF(Paper_Reference[Duplicate Key],Paper_Reference[[#This Row],[Duplicate Key]])</f>
        <v>1</v>
      </c>
    </row>
    <row r="1722" spans="1:10">
      <c r="A1722" s="7">
        <v>2</v>
      </c>
      <c r="B1722" s="8" t="s">
        <v>6197</v>
      </c>
      <c r="C1722" s="8" t="s">
        <v>5735</v>
      </c>
      <c r="D1722" s="7">
        <v>1</v>
      </c>
      <c r="E1722" s="7">
        <v>10</v>
      </c>
      <c r="F1722" s="7">
        <v>1</v>
      </c>
      <c r="G1722" s="8" t="s">
        <v>5690</v>
      </c>
      <c r="H1722" s="8" t="s">
        <v>5691</v>
      </c>
      <c r="I1722" s="7" t="str">
        <f>_xlfn.CONCAT(Paper_Reference[[#This Row],[Lvl]:[Paper Description]])</f>
        <v>2J29R0054N500CLINTON P7 D/G 60 X 1201101100DS009-6200FROSTY WHITE</v>
      </c>
      <c r="J1722" s="7">
        <f>COUNTIF(Paper_Reference[Duplicate Key],Paper_Reference[[#This Row],[Duplicate Key]])</f>
        <v>1</v>
      </c>
    </row>
    <row r="1723" spans="1:10">
      <c r="A1723" s="7">
        <v>2</v>
      </c>
      <c r="B1723" s="8" t="s">
        <v>7374</v>
      </c>
      <c r="C1723" s="8" t="s">
        <v>6725</v>
      </c>
      <c r="D1723" s="7">
        <v>1</v>
      </c>
      <c r="E1723" s="7">
        <v>10</v>
      </c>
      <c r="F1723" s="7">
        <v>1</v>
      </c>
      <c r="G1723" s="8" t="s">
        <v>6710</v>
      </c>
      <c r="H1723" s="8" t="s">
        <v>5691</v>
      </c>
      <c r="I1723" s="7" t="str">
        <f>_xlfn.CONCAT(Paper_Reference[[#This Row],[Lvl]:[Paper Description]])</f>
        <v>2J29R0055N380CLINTON P8 D/G 36 X 961101100DS009-5000FROSTY WHITE</v>
      </c>
      <c r="J1723" s="7">
        <f>COUNTIF(Paper_Reference[Duplicate Key],Paper_Reference[[#This Row],[Duplicate Key]])</f>
        <v>1</v>
      </c>
    </row>
    <row r="1724" spans="1:10">
      <c r="A1724" s="7">
        <v>2</v>
      </c>
      <c r="B1724" s="8" t="s">
        <v>7375</v>
      </c>
      <c r="C1724" s="8" t="s">
        <v>6726</v>
      </c>
      <c r="D1724" s="7">
        <v>1</v>
      </c>
      <c r="E1724" s="7">
        <v>10</v>
      </c>
      <c r="F1724" s="7">
        <v>1</v>
      </c>
      <c r="G1724" s="8" t="s">
        <v>6710</v>
      </c>
      <c r="H1724" s="8" t="s">
        <v>5691</v>
      </c>
      <c r="I1724" s="7" t="str">
        <f>_xlfn.CONCAT(Paper_Reference[[#This Row],[Lvl]:[Paper Description]])</f>
        <v>2J29R0056N480CLINTON P9 D/G 48 X 961101100DS009-5000FROSTY WHITE</v>
      </c>
      <c r="J1724" s="7">
        <f>COUNTIF(Paper_Reference[Duplicate Key],Paper_Reference[[#This Row],[Duplicate Key]])</f>
        <v>1</v>
      </c>
    </row>
    <row r="1725" spans="1:10">
      <c r="A1725" s="7">
        <v>2</v>
      </c>
      <c r="B1725" s="8" t="s">
        <v>7376</v>
      </c>
      <c r="C1725" s="8" t="s">
        <v>6727</v>
      </c>
      <c r="D1725" s="7">
        <v>1</v>
      </c>
      <c r="E1725" s="7">
        <v>10</v>
      </c>
      <c r="F1725" s="7">
        <v>1</v>
      </c>
      <c r="G1725" s="8" t="s">
        <v>6710</v>
      </c>
      <c r="H1725" s="8" t="s">
        <v>5691</v>
      </c>
      <c r="I1725" s="7" t="str">
        <f>_xlfn.CONCAT(Paper_Reference[[#This Row],[Lvl]:[Paper Description]])</f>
        <v>2J29R0057N380CLINTON P10 D/G 36 X 961101100DS009-5000FROSTY WHITE</v>
      </c>
      <c r="J1725" s="7">
        <f>COUNTIF(Paper_Reference[Duplicate Key],Paper_Reference[[#This Row],[Duplicate Key]])</f>
        <v>1</v>
      </c>
    </row>
    <row r="1726" spans="1:10">
      <c r="A1726" s="7">
        <v>2</v>
      </c>
      <c r="B1726" s="8" t="s">
        <v>7377</v>
      </c>
      <c r="C1726" s="8" t="s">
        <v>6728</v>
      </c>
      <c r="D1726" s="7">
        <v>1</v>
      </c>
      <c r="E1726" s="7">
        <v>10</v>
      </c>
      <c r="F1726" s="7">
        <v>1</v>
      </c>
      <c r="G1726" s="8" t="s">
        <v>6710</v>
      </c>
      <c r="H1726" s="8" t="s">
        <v>5691</v>
      </c>
      <c r="I1726" s="7" t="str">
        <f>_xlfn.CONCAT(Paper_Reference[[#This Row],[Lvl]:[Paper Description]])</f>
        <v>2J29R0058N480CLINTON P11 D/G 48 X 961101100DS009-5000FROSTY WHITE</v>
      </c>
      <c r="J1726" s="7">
        <f>COUNTIF(Paper_Reference[Duplicate Key],Paper_Reference[[#This Row],[Duplicate Key]])</f>
        <v>1</v>
      </c>
    </row>
    <row r="1727" spans="1:10">
      <c r="A1727" s="7">
        <v>2</v>
      </c>
      <c r="B1727" s="8" t="s">
        <v>6198</v>
      </c>
      <c r="C1727" s="8" t="s">
        <v>5736</v>
      </c>
      <c r="D1727" s="7">
        <v>1</v>
      </c>
      <c r="E1727" s="7">
        <v>10</v>
      </c>
      <c r="F1727" s="7">
        <v>1</v>
      </c>
      <c r="G1727" s="8" t="s">
        <v>5690</v>
      </c>
      <c r="H1727" s="8" t="s">
        <v>5691</v>
      </c>
      <c r="I1727" s="7" t="str">
        <f>_xlfn.CONCAT(Paper_Reference[[#This Row],[Lvl]:[Paper Description]])</f>
        <v>2J29R0059N500CLINTON P12 D/G 60 X 1201101100DS009-6200FROSTY WHITE</v>
      </c>
      <c r="J1727" s="7">
        <f>COUNTIF(Paper_Reference[Duplicate Key],Paper_Reference[[#This Row],[Duplicate Key]])</f>
        <v>1</v>
      </c>
    </row>
    <row r="1728" spans="1:10">
      <c r="A1728" s="7">
        <v>2</v>
      </c>
      <c r="B1728" s="8" t="s">
        <v>7378</v>
      </c>
      <c r="C1728" s="8" t="s">
        <v>6729</v>
      </c>
      <c r="D1728" s="7">
        <v>1</v>
      </c>
      <c r="E1728" s="7">
        <v>10</v>
      </c>
      <c r="F1728" s="7">
        <v>1</v>
      </c>
      <c r="G1728" s="8" t="s">
        <v>6710</v>
      </c>
      <c r="H1728" s="8" t="s">
        <v>5691</v>
      </c>
      <c r="I1728" s="7" t="str">
        <f>_xlfn.CONCAT(Paper_Reference[[#This Row],[Lvl]:[Paper Description]])</f>
        <v>2J29R0060N400CLINTON P13 D/G 48 X 1201101100DS009-5000FROSTY WHITE</v>
      </c>
      <c r="J1728" s="7">
        <f>COUNTIF(Paper_Reference[Duplicate Key],Paper_Reference[[#This Row],[Duplicate Key]])</f>
        <v>1</v>
      </c>
    </row>
    <row r="1729" spans="1:10">
      <c r="A1729" s="7">
        <v>2</v>
      </c>
      <c r="B1729" s="8" t="s">
        <v>6199</v>
      </c>
      <c r="C1729" s="8" t="s">
        <v>5737</v>
      </c>
      <c r="D1729" s="7">
        <v>1</v>
      </c>
      <c r="E1729" s="7">
        <v>10</v>
      </c>
      <c r="F1729" s="7">
        <v>1</v>
      </c>
      <c r="G1729" s="8" t="s">
        <v>5690</v>
      </c>
      <c r="H1729" s="8" t="s">
        <v>5691</v>
      </c>
      <c r="I1729" s="7" t="str">
        <f>_xlfn.CONCAT(Paper_Reference[[#This Row],[Lvl]:[Paper Description]])</f>
        <v>2J29R0061N500CLINTON P14 D/G 60 X 1201101100DS009-6200FROSTY WHITE</v>
      </c>
      <c r="J1729" s="7">
        <f>COUNTIF(Paper_Reference[Duplicate Key],Paper_Reference[[#This Row],[Duplicate Key]])</f>
        <v>1</v>
      </c>
    </row>
    <row r="1730" spans="1:10">
      <c r="A1730" s="7">
        <v>2</v>
      </c>
      <c r="B1730" s="8" t="s">
        <v>7379</v>
      </c>
      <c r="C1730" s="8" t="s">
        <v>6730</v>
      </c>
      <c r="D1730" s="7">
        <v>1</v>
      </c>
      <c r="E1730" s="7">
        <v>10</v>
      </c>
      <c r="F1730" s="7">
        <v>1</v>
      </c>
      <c r="G1730" s="8" t="s">
        <v>6710</v>
      </c>
      <c r="H1730" s="8" t="s">
        <v>5691</v>
      </c>
      <c r="I1730" s="7" t="str">
        <f>_xlfn.CONCAT(Paper_Reference[[#This Row],[Lvl]:[Paper Description]])</f>
        <v>2J29R0062N400CLINTON P15 D/G 48 X 1201101100DS009-5000FROSTY WHITE</v>
      </c>
      <c r="J1730" s="7">
        <f>COUNTIF(Paper_Reference[Duplicate Key],Paper_Reference[[#This Row],[Duplicate Key]])</f>
        <v>1</v>
      </c>
    </row>
    <row r="1731" spans="1:10">
      <c r="A1731" s="7">
        <v>2</v>
      </c>
      <c r="B1731" s="8" t="s">
        <v>6200</v>
      </c>
      <c r="C1731" s="8" t="s">
        <v>5738</v>
      </c>
      <c r="D1731" s="7">
        <v>1</v>
      </c>
      <c r="E1731" s="7">
        <v>10</v>
      </c>
      <c r="F1731" s="7">
        <v>1</v>
      </c>
      <c r="G1731" s="8" t="s">
        <v>5690</v>
      </c>
      <c r="H1731" s="8" t="s">
        <v>5691</v>
      </c>
      <c r="I1731" s="7" t="str">
        <f>_xlfn.CONCAT(Paper_Reference[[#This Row],[Lvl]:[Paper Description]])</f>
        <v>2J29R0106N500CLINTON P18 D/G 60 X 1201101100DS009-6200FROSTY WHITE</v>
      </c>
      <c r="J1731" s="7">
        <f>COUNTIF(Paper_Reference[Duplicate Key],Paper_Reference[[#This Row],[Duplicate Key]])</f>
        <v>1</v>
      </c>
    </row>
    <row r="1732" spans="1:10">
      <c r="A1732" s="7">
        <v>2</v>
      </c>
      <c r="B1732" s="8" t="s">
        <v>6201</v>
      </c>
      <c r="C1732" s="8" t="s">
        <v>5739</v>
      </c>
      <c r="D1732" s="7">
        <v>1</v>
      </c>
      <c r="E1732" s="7">
        <v>10</v>
      </c>
      <c r="F1732" s="7">
        <v>1</v>
      </c>
      <c r="G1732" s="8" t="s">
        <v>5690</v>
      </c>
      <c r="H1732" s="8" t="s">
        <v>5691</v>
      </c>
      <c r="I1732" s="7" t="str">
        <f>_xlfn.CONCAT(Paper_Reference[[#This Row],[Lvl]:[Paper Description]])</f>
        <v>2J29R0107N580CLINTON P19 D/G 60 X 961101100DS009-6200FROSTY WHITE</v>
      </c>
      <c r="J1732" s="7">
        <f>COUNTIF(Paper_Reference[Duplicate Key],Paper_Reference[[#This Row],[Duplicate Key]])</f>
        <v>1</v>
      </c>
    </row>
    <row r="1733" spans="1:10">
      <c r="A1733" s="7">
        <v>2</v>
      </c>
      <c r="B1733" s="8" t="s">
        <v>6202</v>
      </c>
      <c r="C1733" s="8" t="s">
        <v>5740</v>
      </c>
      <c r="D1733" s="7">
        <v>1</v>
      </c>
      <c r="E1733" s="7">
        <v>10</v>
      </c>
      <c r="F1733" s="7">
        <v>1</v>
      </c>
      <c r="G1733" s="8" t="s">
        <v>5690</v>
      </c>
      <c r="H1733" s="8" t="s">
        <v>5691</v>
      </c>
      <c r="I1733" s="7" t="str">
        <f>_xlfn.CONCAT(Paper_Reference[[#This Row],[Lvl]:[Paper Description]])</f>
        <v>2J29R0111N500CLINTON P23 D/G 60 X 1201101100DS009-6200FROSTY WHITE</v>
      </c>
      <c r="J1733" s="7">
        <f>COUNTIF(Paper_Reference[Duplicate Key],Paper_Reference[[#This Row],[Duplicate Key]])</f>
        <v>1</v>
      </c>
    </row>
    <row r="1734" spans="1:10">
      <c r="A1734" s="7">
        <v>2</v>
      </c>
      <c r="B1734" s="8" t="s">
        <v>6203</v>
      </c>
      <c r="C1734" s="8" t="s">
        <v>5741</v>
      </c>
      <c r="D1734" s="7">
        <v>1</v>
      </c>
      <c r="E1734" s="7">
        <v>10</v>
      </c>
      <c r="F1734" s="7">
        <v>1</v>
      </c>
      <c r="G1734" s="8" t="s">
        <v>5690</v>
      </c>
      <c r="H1734" s="8" t="s">
        <v>5691</v>
      </c>
      <c r="I1734" s="7" t="str">
        <f>_xlfn.CONCAT(Paper_Reference[[#This Row],[Lvl]:[Paper Description]])</f>
        <v>2J29R0112N580CLINTON P24 D/G 60 X 961101100DS009-6200FROSTY WHITE</v>
      </c>
      <c r="J1734" s="7">
        <f>COUNTIF(Paper_Reference[Duplicate Key],Paper_Reference[[#This Row],[Duplicate Key]])</f>
        <v>1</v>
      </c>
    </row>
    <row r="1735" spans="1:10">
      <c r="A1735" s="7">
        <v>2</v>
      </c>
      <c r="B1735" s="8" t="s">
        <v>7380</v>
      </c>
      <c r="C1735" s="8" t="s">
        <v>6731</v>
      </c>
      <c r="D1735" s="7">
        <v>1</v>
      </c>
      <c r="E1735" s="7">
        <v>10</v>
      </c>
      <c r="F1735" s="7">
        <v>1</v>
      </c>
      <c r="G1735" s="8" t="s">
        <v>6710</v>
      </c>
      <c r="H1735" s="8" t="s">
        <v>5691</v>
      </c>
      <c r="I1735" s="7" t="str">
        <f>_xlfn.CONCAT(Paper_Reference[[#This Row],[Lvl]:[Paper Description]])</f>
        <v>2J29R0113N400CLINTON P25 D/G 48 X 1201101100DS009-5000FROSTY WHITE</v>
      </c>
      <c r="J1735" s="7">
        <f>COUNTIF(Paper_Reference[Duplicate Key],Paper_Reference[[#This Row],[Duplicate Key]])</f>
        <v>1</v>
      </c>
    </row>
    <row r="1736" spans="1:10">
      <c r="A1736" s="7">
        <v>2</v>
      </c>
      <c r="B1736" s="8" t="s">
        <v>6204</v>
      </c>
      <c r="C1736" s="8" t="s">
        <v>5742</v>
      </c>
      <c r="D1736" s="7">
        <v>1</v>
      </c>
      <c r="E1736" s="7">
        <v>10</v>
      </c>
      <c r="F1736" s="7">
        <v>1</v>
      </c>
      <c r="G1736" s="8" t="s">
        <v>5690</v>
      </c>
      <c r="H1736" s="8" t="s">
        <v>5691</v>
      </c>
      <c r="I1736" s="7" t="str">
        <f>_xlfn.CONCAT(Paper_Reference[[#This Row],[Lvl]:[Paper Description]])</f>
        <v>2J29R0115N500CLINTON P26 D/G 60 X 1201101100DS009-6200FROSTY WHITE</v>
      </c>
      <c r="J1736" s="7">
        <f>COUNTIF(Paper_Reference[Duplicate Key],Paper_Reference[[#This Row],[Duplicate Key]])</f>
        <v>1</v>
      </c>
    </row>
    <row r="1737" spans="1:10">
      <c r="A1737" s="7">
        <v>2</v>
      </c>
      <c r="B1737" s="8" t="s">
        <v>6205</v>
      </c>
      <c r="C1737" s="8" t="s">
        <v>5743</v>
      </c>
      <c r="D1737" s="7">
        <v>1</v>
      </c>
      <c r="E1737" s="7">
        <v>10</v>
      </c>
      <c r="F1737" s="7">
        <v>1</v>
      </c>
      <c r="G1737" s="8" t="s">
        <v>5690</v>
      </c>
      <c r="H1737" s="8" t="s">
        <v>5691</v>
      </c>
      <c r="I1737" s="7" t="str">
        <f>_xlfn.CONCAT(Paper_Reference[[#This Row],[Lvl]:[Paper Description]])</f>
        <v>2J29R0116N580CLINTON P27 D/G 60 X 961101100DS009-6200FROSTY WHITE</v>
      </c>
      <c r="J1737" s="7">
        <f>COUNTIF(Paper_Reference[Duplicate Key],Paper_Reference[[#This Row],[Duplicate Key]])</f>
        <v>1</v>
      </c>
    </row>
    <row r="1738" spans="1:10">
      <c r="A1738" s="7">
        <v>2</v>
      </c>
      <c r="B1738" s="8" t="s">
        <v>6206</v>
      </c>
      <c r="C1738" s="8" t="s">
        <v>5744</v>
      </c>
      <c r="D1738" s="7">
        <v>1</v>
      </c>
      <c r="E1738" s="7">
        <v>10</v>
      </c>
      <c r="F1738" s="7">
        <v>1</v>
      </c>
      <c r="G1738" s="8" t="s">
        <v>5690</v>
      </c>
      <c r="H1738" s="8" t="s">
        <v>5691</v>
      </c>
      <c r="I1738" s="7" t="str">
        <f>_xlfn.CONCAT(Paper_Reference[[#This Row],[Lvl]:[Paper Description]])</f>
        <v>2J29R0117N500CLINTON P28 D/G 60 X 1201101100DS009-6200FROSTY WHITE</v>
      </c>
      <c r="J1738" s="7">
        <f>COUNTIF(Paper_Reference[Duplicate Key],Paper_Reference[[#This Row],[Duplicate Key]])</f>
        <v>1</v>
      </c>
    </row>
    <row r="1739" spans="1:10">
      <c r="A1739" s="7">
        <v>2</v>
      </c>
      <c r="B1739" s="8" t="s">
        <v>7381</v>
      </c>
      <c r="C1739" s="8" t="s">
        <v>6732</v>
      </c>
      <c r="D1739" s="7">
        <v>1</v>
      </c>
      <c r="E1739" s="7">
        <v>10</v>
      </c>
      <c r="F1739" s="7">
        <v>1</v>
      </c>
      <c r="G1739" s="8" t="s">
        <v>6710</v>
      </c>
      <c r="H1739" s="8" t="s">
        <v>5691</v>
      </c>
      <c r="I1739" s="7" t="str">
        <f>_xlfn.CONCAT(Paper_Reference[[#This Row],[Lvl]:[Paper Description]])</f>
        <v>2J29R0119N380CLINTON D/G 36 X 961101100DS009-5000FROSTY WHITE</v>
      </c>
      <c r="J1739" s="7">
        <f>COUNTIF(Paper_Reference[Duplicate Key],Paper_Reference[[#This Row],[Duplicate Key]])</f>
        <v>1</v>
      </c>
    </row>
    <row r="1740" spans="1:10">
      <c r="A1740" s="7">
        <v>2</v>
      </c>
      <c r="B1740" s="8" t="s">
        <v>7382</v>
      </c>
      <c r="C1740" s="8" t="s">
        <v>6733</v>
      </c>
      <c r="D1740" s="7">
        <v>1</v>
      </c>
      <c r="E1740" s="7">
        <v>10</v>
      </c>
      <c r="F1740" s="7">
        <v>1</v>
      </c>
      <c r="G1740" s="8" t="s">
        <v>6710</v>
      </c>
      <c r="H1740" s="8" t="s">
        <v>5691</v>
      </c>
      <c r="I1740" s="7" t="str">
        <f>_xlfn.CONCAT(Paper_Reference[[#This Row],[Lvl]:[Paper Description]])</f>
        <v>2J29R0122N480CLINTON D/G 48 X 961101100DS009-5000FROSTY WHITE</v>
      </c>
      <c r="J1740" s="7">
        <f>COUNTIF(Paper_Reference[Duplicate Key],Paper_Reference[[#This Row],[Duplicate Key]])</f>
        <v>1</v>
      </c>
    </row>
    <row r="1741" spans="1:10">
      <c r="A1741" s="7">
        <v>2</v>
      </c>
      <c r="B1741" s="8" t="s">
        <v>7383</v>
      </c>
      <c r="C1741" s="8" t="s">
        <v>6734</v>
      </c>
      <c r="D1741" s="7">
        <v>1</v>
      </c>
      <c r="E1741" s="7">
        <v>10</v>
      </c>
      <c r="F1741" s="7">
        <v>1</v>
      </c>
      <c r="G1741" s="8" t="s">
        <v>6710</v>
      </c>
      <c r="H1741" s="8" t="s">
        <v>5691</v>
      </c>
      <c r="I1741" s="7" t="str">
        <f>_xlfn.CONCAT(Paper_Reference[[#This Row],[Lvl]:[Paper Description]])</f>
        <v>2J29R0123N400CLINTON D/G 48 X 1201101100DS009-5000FROSTY WHITE</v>
      </c>
      <c r="J1741" s="7">
        <f>COUNTIF(Paper_Reference[Duplicate Key],Paper_Reference[[#This Row],[Duplicate Key]])</f>
        <v>1</v>
      </c>
    </row>
    <row r="1742" spans="1:10">
      <c r="A1742" s="7">
        <v>2</v>
      </c>
      <c r="B1742" s="8" t="s">
        <v>7384</v>
      </c>
      <c r="C1742" s="8" t="s">
        <v>6735</v>
      </c>
      <c r="D1742" s="7">
        <v>1</v>
      </c>
      <c r="E1742" s="7">
        <v>10</v>
      </c>
      <c r="F1742" s="7">
        <v>1</v>
      </c>
      <c r="G1742" s="8" t="s">
        <v>6710</v>
      </c>
      <c r="H1742" s="8" t="s">
        <v>5691</v>
      </c>
      <c r="I1742" s="7" t="str">
        <f>_xlfn.CONCAT(Paper_Reference[[#This Row],[Lvl]:[Paper Description]])</f>
        <v>2J29R0124N420CLINTON D/G 48 X 1441101100DS009-5000FROSTY WHITE</v>
      </c>
      <c r="J1742" s="7">
        <f>COUNTIF(Paper_Reference[Duplicate Key],Paper_Reference[[#This Row],[Duplicate Key]])</f>
        <v>1</v>
      </c>
    </row>
    <row r="1743" spans="1:10">
      <c r="A1743" s="7">
        <v>2</v>
      </c>
      <c r="B1743" s="8" t="s">
        <v>6207</v>
      </c>
      <c r="C1743" s="8" t="s">
        <v>5745</v>
      </c>
      <c r="D1743" s="7">
        <v>1</v>
      </c>
      <c r="E1743" s="7">
        <v>10</v>
      </c>
      <c r="F1743" s="7">
        <v>1</v>
      </c>
      <c r="G1743" s="8" t="s">
        <v>5690</v>
      </c>
      <c r="H1743" s="8" t="s">
        <v>5691</v>
      </c>
      <c r="I1743" s="7" t="str">
        <f>_xlfn.CONCAT(Paper_Reference[[#This Row],[Lvl]:[Paper Description]])</f>
        <v>2J29R0125N580CLINTON D/G 60 X 961101100DS009-6200FROSTY WHITE</v>
      </c>
      <c r="J1743" s="7">
        <f>COUNTIF(Paper_Reference[Duplicate Key],Paper_Reference[[#This Row],[Duplicate Key]])</f>
        <v>1</v>
      </c>
    </row>
    <row r="1744" spans="1:10">
      <c r="A1744" s="7">
        <v>2</v>
      </c>
      <c r="B1744" s="8" t="s">
        <v>6208</v>
      </c>
      <c r="C1744" s="8" t="s">
        <v>5746</v>
      </c>
      <c r="D1744" s="7">
        <v>1</v>
      </c>
      <c r="E1744" s="7">
        <v>10</v>
      </c>
      <c r="F1744" s="7">
        <v>1</v>
      </c>
      <c r="G1744" s="8" t="s">
        <v>5690</v>
      </c>
      <c r="H1744" s="8" t="s">
        <v>5691</v>
      </c>
      <c r="I1744" s="7" t="str">
        <f>_xlfn.CONCAT(Paper_Reference[[#This Row],[Lvl]:[Paper Description]])</f>
        <v>2J29R0126N500CLINTON D/G 60 X 1201101100DS009-6200FROSTY WHITE</v>
      </c>
      <c r="J1744" s="7">
        <f>COUNTIF(Paper_Reference[Duplicate Key],Paper_Reference[[#This Row],[Duplicate Key]])</f>
        <v>1</v>
      </c>
    </row>
    <row r="1745" spans="1:10">
      <c r="A1745" s="7">
        <v>2</v>
      </c>
      <c r="B1745" s="8" t="s">
        <v>7385</v>
      </c>
      <c r="C1745" s="8" t="s">
        <v>6736</v>
      </c>
      <c r="D1745" s="7">
        <v>1</v>
      </c>
      <c r="E1745" s="7">
        <v>10</v>
      </c>
      <c r="F1745" s="7">
        <v>1</v>
      </c>
      <c r="G1745" s="8" t="s">
        <v>6710</v>
      </c>
      <c r="H1745" s="8" t="s">
        <v>5691</v>
      </c>
      <c r="I1745" s="7" t="str">
        <f>_xlfn.CONCAT(Paper_Reference[[#This Row],[Lvl]:[Paper Description]])</f>
        <v>2J29R0144N480RED DIGITAL DOTS 48 X 961101100DS009-5000FROSTY WHITE</v>
      </c>
      <c r="J1745" s="7">
        <f>COUNTIF(Paper_Reference[Duplicate Key],Paper_Reference[[#This Row],[Duplicate Key]])</f>
        <v>1</v>
      </c>
    </row>
    <row r="1746" spans="1:10">
      <c r="A1746" s="7">
        <v>2</v>
      </c>
      <c r="B1746" s="8" t="s">
        <v>7386</v>
      </c>
      <c r="C1746" s="8" t="s">
        <v>6737</v>
      </c>
      <c r="D1746" s="7">
        <v>1</v>
      </c>
      <c r="E1746" s="7">
        <v>10</v>
      </c>
      <c r="F1746" s="7">
        <v>1</v>
      </c>
      <c r="G1746" s="8" t="s">
        <v>6710</v>
      </c>
      <c r="H1746" s="8" t="s">
        <v>5691</v>
      </c>
      <c r="I1746" s="7" t="str">
        <f>_xlfn.CONCAT(Paper_Reference[[#This Row],[Lvl]:[Paper Description]])</f>
        <v>2J29R0145G4801BLUE WATER DROPS D/G 48 X 961101100DS009-5000FROSTY WHITE</v>
      </c>
      <c r="J1746" s="7">
        <f>COUNTIF(Paper_Reference[Duplicate Key],Paper_Reference[[#This Row],[Duplicate Key]])</f>
        <v>1</v>
      </c>
    </row>
    <row r="1747" spans="1:10">
      <c r="A1747" s="7">
        <v>2</v>
      </c>
      <c r="B1747" s="8" t="s">
        <v>6209</v>
      </c>
      <c r="C1747" s="8" t="s">
        <v>5747</v>
      </c>
      <c r="D1747" s="7">
        <v>1</v>
      </c>
      <c r="E1747" s="7">
        <v>10</v>
      </c>
      <c r="F1747" s="7">
        <v>1</v>
      </c>
      <c r="G1747" s="8" t="s">
        <v>5690</v>
      </c>
      <c r="H1747" s="8" t="s">
        <v>5691</v>
      </c>
      <c r="I1747" s="7" t="str">
        <f>_xlfn.CONCAT(Paper_Reference[[#This Row],[Lvl]:[Paper Description]])</f>
        <v>2J29R0149N500MR.POTATO HEAD D/G 60 X 1201101100DS009-6200FROSTY WHITE</v>
      </c>
      <c r="J1747" s="7">
        <f>COUNTIF(Paper_Reference[Duplicate Key],Paper_Reference[[#This Row],[Duplicate Key]])</f>
        <v>1</v>
      </c>
    </row>
    <row r="1748" spans="1:10">
      <c r="A1748" s="7">
        <v>2</v>
      </c>
      <c r="B1748" s="8" t="s">
        <v>7387</v>
      </c>
      <c r="C1748" s="8" t="s">
        <v>6738</v>
      </c>
      <c r="D1748" s="7">
        <v>1</v>
      </c>
      <c r="E1748" s="7">
        <v>10</v>
      </c>
      <c r="F1748" s="7">
        <v>1</v>
      </c>
      <c r="G1748" s="8" t="s">
        <v>6710</v>
      </c>
      <c r="H1748" s="8" t="s">
        <v>5691</v>
      </c>
      <c r="I1748" s="7" t="str">
        <f>_xlfn.CONCAT(Paper_Reference[[#This Row],[Lvl]:[Paper Description]])</f>
        <v>2J29R0189N480QUOTE BOARD 48 X 961101100DS009-5000FROSTY WHITE</v>
      </c>
      <c r="J1748" s="7">
        <f>COUNTIF(Paper_Reference[Duplicate Key],Paper_Reference[[#This Row],[Duplicate Key]])</f>
        <v>1</v>
      </c>
    </row>
    <row r="1749" spans="1:10">
      <c r="A1749" s="7">
        <v>2</v>
      </c>
      <c r="B1749" s="8" t="s">
        <v>7388</v>
      </c>
      <c r="C1749" s="8" t="s">
        <v>6739</v>
      </c>
      <c r="D1749" s="7">
        <v>1</v>
      </c>
      <c r="E1749" s="7">
        <v>10</v>
      </c>
      <c r="F1749" s="7">
        <v>1</v>
      </c>
      <c r="G1749" s="8" t="s">
        <v>6710</v>
      </c>
      <c r="H1749" s="8" t="s">
        <v>5691</v>
      </c>
      <c r="I1749" s="7" t="str">
        <f>_xlfn.CONCAT(Paper_Reference[[#This Row],[Lvl]:[Paper Description]])</f>
        <v>2J29R0190NNYMGMF ZEBRA MURAL 48 X 961101100DS009-5000FROSTY WHITE</v>
      </c>
      <c r="J1749" s="7">
        <f>COUNTIF(Paper_Reference[Duplicate Key],Paper_Reference[[#This Row],[Duplicate Key]])</f>
        <v>1</v>
      </c>
    </row>
    <row r="1750" spans="1:10">
      <c r="A1750" s="7">
        <v>2</v>
      </c>
      <c r="B1750" s="8" t="s">
        <v>7389</v>
      </c>
      <c r="C1750" s="8" t="s">
        <v>6740</v>
      </c>
      <c r="D1750" s="7">
        <v>1</v>
      </c>
      <c r="E1750" s="7">
        <v>10</v>
      </c>
      <c r="F1750" s="7">
        <v>1</v>
      </c>
      <c r="G1750" s="8" t="s">
        <v>6710</v>
      </c>
      <c r="H1750" s="8" t="s">
        <v>5691</v>
      </c>
      <c r="I1750" s="7" t="str">
        <f>_xlfn.CONCAT(Paper_Reference[[#This Row],[Lvl]:[Paper Description]])</f>
        <v>2J29R0191NNYMGMF ELEPHANT MURAL 48 X 961101100DS009-5000FROSTY WHITE</v>
      </c>
      <c r="J1750" s="7">
        <f>COUNTIF(Paper_Reference[Duplicate Key],Paper_Reference[[#This Row],[Duplicate Key]])</f>
        <v>1</v>
      </c>
    </row>
    <row r="1751" spans="1:10">
      <c r="A1751" s="7">
        <v>2</v>
      </c>
      <c r="B1751" s="8" t="s">
        <v>6210</v>
      </c>
      <c r="C1751" s="8" t="s">
        <v>5748</v>
      </c>
      <c r="D1751" s="7">
        <v>1</v>
      </c>
      <c r="E1751" s="7">
        <v>10</v>
      </c>
      <c r="F1751" s="7">
        <v>1</v>
      </c>
      <c r="G1751" s="8" t="s">
        <v>5690</v>
      </c>
      <c r="H1751" s="8" t="s">
        <v>5691</v>
      </c>
      <c r="I1751" s="7" t="str">
        <f>_xlfn.CONCAT(Paper_Reference[[#This Row],[Lvl]:[Paper Description]])</f>
        <v>2J29R0191NNYRGMF ELEPHANT MURAL 60 X 961101100DS009-6200FROSTY WHITE</v>
      </c>
      <c r="J1751" s="7">
        <f>COUNTIF(Paper_Reference[Duplicate Key],Paper_Reference[[#This Row],[Duplicate Key]])</f>
        <v>1</v>
      </c>
    </row>
    <row r="1752" spans="1:10">
      <c r="A1752" s="7">
        <v>2</v>
      </c>
      <c r="B1752" s="8" t="s">
        <v>7390</v>
      </c>
      <c r="C1752" s="8" t="s">
        <v>6741</v>
      </c>
      <c r="D1752" s="7">
        <v>1</v>
      </c>
      <c r="E1752" s="7">
        <v>10</v>
      </c>
      <c r="F1752" s="7">
        <v>1</v>
      </c>
      <c r="G1752" s="8" t="s">
        <v>6710</v>
      </c>
      <c r="H1752" s="8" t="s">
        <v>5691</v>
      </c>
      <c r="I1752" s="7" t="str">
        <f>_xlfn.CONCAT(Paper_Reference[[#This Row],[Lvl]:[Paper Description]])</f>
        <v>2J29R0192NTBKGMF GIRAFFE MURAL 49 X 961101100DS009-5000FROSTY WHITE</v>
      </c>
      <c r="J1752" s="7">
        <f>COUNTIF(Paper_Reference[Duplicate Key],Paper_Reference[[#This Row],[Duplicate Key]])</f>
        <v>1</v>
      </c>
    </row>
    <row r="1753" spans="1:10">
      <c r="A1753" s="7">
        <v>2</v>
      </c>
      <c r="B1753" s="8" t="s">
        <v>7391</v>
      </c>
      <c r="C1753" s="8" t="s">
        <v>6742</v>
      </c>
      <c r="D1753" s="7">
        <v>1</v>
      </c>
      <c r="E1753" s="7">
        <v>10</v>
      </c>
      <c r="F1753" s="7">
        <v>1</v>
      </c>
      <c r="G1753" s="8" t="s">
        <v>6710</v>
      </c>
      <c r="H1753" s="8" t="s">
        <v>5691</v>
      </c>
      <c r="I1753" s="7" t="str">
        <f>_xlfn.CONCAT(Paper_Reference[[#This Row],[Lvl]:[Paper Description]])</f>
        <v>2J29R0201N480MONROE HS BOARD 48 X 961101100DS009-5000FROSTY WHITE</v>
      </c>
      <c r="J1753" s="7">
        <f>COUNTIF(Paper_Reference[Duplicate Key],Paper_Reference[[#This Row],[Duplicate Key]])</f>
        <v>1</v>
      </c>
    </row>
    <row r="1754" spans="1:10">
      <c r="A1754" s="7">
        <v>2</v>
      </c>
      <c r="B1754" s="8" t="s">
        <v>7392</v>
      </c>
      <c r="C1754" s="8" t="s">
        <v>6743</v>
      </c>
      <c r="D1754" s="7">
        <v>1</v>
      </c>
      <c r="E1754" s="7">
        <v>10</v>
      </c>
      <c r="F1754" s="7">
        <v>1</v>
      </c>
      <c r="G1754" s="8" t="s">
        <v>6710</v>
      </c>
      <c r="H1754" s="8" t="s">
        <v>5691</v>
      </c>
      <c r="I1754" s="7" t="str">
        <f>_xlfn.CONCAT(Paper_Reference[[#This Row],[Lvl]:[Paper Description]])</f>
        <v>2J29R0213N480PROSPECT HEIGHTS D/G 48 X 961101100DS009-5000FROSTY WHITE</v>
      </c>
      <c r="J1754" s="7">
        <f>COUNTIF(Paper_Reference[Duplicate Key],Paper_Reference[[#This Row],[Duplicate Key]])</f>
        <v>1</v>
      </c>
    </row>
    <row r="1755" spans="1:10">
      <c r="A1755" s="7">
        <v>2</v>
      </c>
      <c r="B1755" s="8" t="s">
        <v>7393</v>
      </c>
      <c r="C1755" s="8" t="s">
        <v>6744</v>
      </c>
      <c r="D1755" s="7">
        <v>1</v>
      </c>
      <c r="E1755" s="7">
        <v>10</v>
      </c>
      <c r="F1755" s="7">
        <v>1</v>
      </c>
      <c r="G1755" s="8" t="s">
        <v>6710</v>
      </c>
      <c r="H1755" s="8" t="s">
        <v>5691</v>
      </c>
      <c r="I1755" s="7" t="str">
        <f>_xlfn.CONCAT(Paper_Reference[[#This Row],[Lvl]:[Paper Description]])</f>
        <v>2J29R0214N480HONEY MAPLE CUST/DIG 48 X 961101100DS009-5000FROSTY WHITE</v>
      </c>
      <c r="J1755" s="7">
        <f>COUNTIF(Paper_Reference[Duplicate Key],Paper_Reference[[#This Row],[Duplicate Key]])</f>
        <v>1</v>
      </c>
    </row>
    <row r="1756" spans="1:10">
      <c r="A1756" s="7">
        <v>2</v>
      </c>
      <c r="B1756" s="8" t="s">
        <v>7394</v>
      </c>
      <c r="C1756" s="8" t="s">
        <v>6745</v>
      </c>
      <c r="D1756" s="7">
        <v>1</v>
      </c>
      <c r="E1756" s="7">
        <v>10</v>
      </c>
      <c r="F1756" s="7">
        <v>1</v>
      </c>
      <c r="G1756" s="8" t="s">
        <v>6710</v>
      </c>
      <c r="H1756" s="8" t="s">
        <v>5691</v>
      </c>
      <c r="I1756" s="7" t="str">
        <f>_xlfn.CONCAT(Paper_Reference[[#This Row],[Lvl]:[Paper Description]])</f>
        <v>2J29R0220N480HILLCREST HS BOARD D/G 48 X 961101100DS009-5000FROSTY WHITE</v>
      </c>
      <c r="J1756" s="7">
        <f>COUNTIF(Paper_Reference[Duplicate Key],Paper_Reference[[#This Row],[Duplicate Key]])</f>
        <v>1</v>
      </c>
    </row>
    <row r="1757" spans="1:10">
      <c r="A1757" s="7">
        <v>2</v>
      </c>
      <c r="B1757" s="8" t="s">
        <v>7395</v>
      </c>
      <c r="C1757" s="8" t="s">
        <v>6746</v>
      </c>
      <c r="D1757" s="7">
        <v>1</v>
      </c>
      <c r="E1757" s="7">
        <v>10</v>
      </c>
      <c r="F1757" s="7">
        <v>1</v>
      </c>
      <c r="G1757" s="8" t="s">
        <v>6710</v>
      </c>
      <c r="H1757" s="8" t="s">
        <v>5691</v>
      </c>
      <c r="I1757" s="7" t="str">
        <f>_xlfn.CONCAT(Paper_Reference[[#This Row],[Lvl]:[Paper Description]])</f>
        <v>2J29R0224N480SOUTH BRONX HS BOARD D/G 48X961101100DS009-5000FROSTY WHITE</v>
      </c>
      <c r="J1757" s="7">
        <f>COUNTIF(Paper_Reference[Duplicate Key],Paper_Reference[[#This Row],[Duplicate Key]])</f>
        <v>1</v>
      </c>
    </row>
    <row r="1758" spans="1:10">
      <c r="A1758" s="7">
        <v>2</v>
      </c>
      <c r="B1758" s="8" t="s">
        <v>7396</v>
      </c>
      <c r="C1758" s="8" t="s">
        <v>6747</v>
      </c>
      <c r="D1758" s="7">
        <v>1</v>
      </c>
      <c r="E1758" s="7">
        <v>10</v>
      </c>
      <c r="F1758" s="7">
        <v>1</v>
      </c>
      <c r="G1758" s="8" t="s">
        <v>6710</v>
      </c>
      <c r="H1758" s="8" t="s">
        <v>5691</v>
      </c>
      <c r="I1758" s="7" t="str">
        <f>_xlfn.CONCAT(Paper_Reference[[#This Row],[Lvl]:[Paper Description]])</f>
        <v>2J29R0226N480SMUD SALAD MURAL D/G 48 X 961101100DS009-5000FROSTY WHITE</v>
      </c>
      <c r="J1758" s="7">
        <f>COUNTIF(Paper_Reference[Duplicate Key],Paper_Reference[[#This Row],[Duplicate Key]])</f>
        <v>1</v>
      </c>
    </row>
    <row r="1759" spans="1:10">
      <c r="A1759" s="7">
        <v>2</v>
      </c>
      <c r="B1759" s="8" t="s">
        <v>7397</v>
      </c>
      <c r="C1759" s="8" t="s">
        <v>6748</v>
      </c>
      <c r="D1759" s="7">
        <v>1</v>
      </c>
      <c r="E1759" s="7">
        <v>10</v>
      </c>
      <c r="F1759" s="7">
        <v>1</v>
      </c>
      <c r="G1759" s="8" t="s">
        <v>6710</v>
      </c>
      <c r="H1759" s="8" t="s">
        <v>5691</v>
      </c>
      <c r="I1759" s="7" t="str">
        <f>_xlfn.CONCAT(Paper_Reference[[#This Row],[Lvl]:[Paper Description]])</f>
        <v>2J29R0227N480SMUD WIND D/G 48 X 961101100DS009-5000FROSTY WHITE</v>
      </c>
      <c r="J1759" s="7">
        <f>COUNTIF(Paper_Reference[Duplicate Key],Paper_Reference[[#This Row],[Duplicate Key]])</f>
        <v>1</v>
      </c>
    </row>
    <row r="1760" spans="1:10">
      <c r="A1760" s="7">
        <v>2</v>
      </c>
      <c r="B1760" s="8" t="s">
        <v>7398</v>
      </c>
      <c r="C1760" s="8" t="s">
        <v>6749</v>
      </c>
      <c r="D1760" s="7">
        <v>1</v>
      </c>
      <c r="E1760" s="7">
        <v>10</v>
      </c>
      <c r="F1760" s="7">
        <v>1</v>
      </c>
      <c r="G1760" s="8" t="s">
        <v>6710</v>
      </c>
      <c r="H1760" s="8" t="s">
        <v>5691</v>
      </c>
      <c r="I1760" s="7" t="str">
        <f>_xlfn.CONCAT(Paper_Reference[[#This Row],[Lvl]:[Paper Description]])</f>
        <v>2J29R0228N480SMUD RESERVOIR D/G 48 X 961101100DS009-5000FROSTY WHITE</v>
      </c>
      <c r="J1760" s="7">
        <f>COUNTIF(Paper_Reference[Duplicate Key],Paper_Reference[[#This Row],[Duplicate Key]])</f>
        <v>1</v>
      </c>
    </row>
    <row r="1761" spans="1:10">
      <c r="A1761" s="7">
        <v>2</v>
      </c>
      <c r="B1761" s="8" t="s">
        <v>7399</v>
      </c>
      <c r="C1761" s="8" t="s">
        <v>6750</v>
      </c>
      <c r="D1761" s="7">
        <v>1</v>
      </c>
      <c r="E1761" s="7">
        <v>10</v>
      </c>
      <c r="F1761" s="7">
        <v>1</v>
      </c>
      <c r="G1761" s="8" t="s">
        <v>6710</v>
      </c>
      <c r="H1761" s="8" t="s">
        <v>5691</v>
      </c>
      <c r="I1761" s="7" t="str">
        <f>_xlfn.CONCAT(Paper_Reference[[#This Row],[Lvl]:[Paper Description]])</f>
        <v>2J29R0251N370CUS SOCKEYE PINK D/G 36 X 841101100DS009-5000FROSTY WHITE</v>
      </c>
      <c r="J1761" s="7">
        <f>COUNTIF(Paper_Reference[Duplicate Key],Paper_Reference[[#This Row],[Duplicate Key]])</f>
        <v>1</v>
      </c>
    </row>
    <row r="1762" spans="1:10">
      <c r="A1762" s="7">
        <v>2</v>
      </c>
      <c r="B1762" s="8" t="s">
        <v>7400</v>
      </c>
      <c r="C1762" s="8" t="s">
        <v>6751</v>
      </c>
      <c r="D1762" s="7">
        <v>1</v>
      </c>
      <c r="E1762" s="7">
        <v>10</v>
      </c>
      <c r="F1762" s="7">
        <v>1</v>
      </c>
      <c r="G1762" s="8" t="s">
        <v>6710</v>
      </c>
      <c r="H1762" s="8" t="s">
        <v>5691</v>
      </c>
      <c r="I1762" s="7" t="str">
        <f>_xlfn.CONCAT(Paper_Reference[[#This Row],[Lvl]:[Paper Description]])</f>
        <v>2J29R0251N400CUS SOCKEYE PINK D/G 48 X 1201101100DS009-5000FROSTY WHITE</v>
      </c>
      <c r="J1762" s="7">
        <f>COUNTIF(Paper_Reference[Duplicate Key],Paper_Reference[[#This Row],[Duplicate Key]])</f>
        <v>1</v>
      </c>
    </row>
    <row r="1763" spans="1:10">
      <c r="A1763" s="7">
        <v>2</v>
      </c>
      <c r="B1763" s="8" t="s">
        <v>7401</v>
      </c>
      <c r="C1763" s="8" t="s">
        <v>6752</v>
      </c>
      <c r="D1763" s="7">
        <v>1</v>
      </c>
      <c r="E1763" s="7">
        <v>10</v>
      </c>
      <c r="F1763" s="7">
        <v>1</v>
      </c>
      <c r="G1763" s="8" t="s">
        <v>6710</v>
      </c>
      <c r="H1763" s="8" t="s">
        <v>5691</v>
      </c>
      <c r="I1763" s="7" t="str">
        <f>_xlfn.CONCAT(Paper_Reference[[#This Row],[Lvl]:[Paper Description]])</f>
        <v>2J29R0251N470CUS SOCKEYE PINK D/G 48 X 841101100DS009-5000FROSTY WHITE</v>
      </c>
      <c r="J1763" s="7">
        <f>COUNTIF(Paper_Reference[Duplicate Key],Paper_Reference[[#This Row],[Duplicate Key]])</f>
        <v>1</v>
      </c>
    </row>
    <row r="1764" spans="1:10">
      <c r="A1764" s="7">
        <v>2</v>
      </c>
      <c r="B1764" s="8" t="s">
        <v>7402</v>
      </c>
      <c r="C1764" s="8" t="s">
        <v>6753</v>
      </c>
      <c r="D1764" s="7">
        <v>1</v>
      </c>
      <c r="E1764" s="7">
        <v>10</v>
      </c>
      <c r="F1764" s="7">
        <v>1</v>
      </c>
      <c r="G1764" s="8" t="s">
        <v>6710</v>
      </c>
      <c r="H1764" s="8" t="s">
        <v>5691</v>
      </c>
      <c r="I1764" s="7" t="str">
        <f>_xlfn.CONCAT(Paper_Reference[[#This Row],[Lvl]:[Paper Description]])</f>
        <v>2J29R0275N480EVANDER CHILDS HS BD 48 X 961101100DS009-5000FROSTY WHITE</v>
      </c>
      <c r="J1764" s="7">
        <f>COUNTIF(Paper_Reference[Duplicate Key],Paper_Reference[[#This Row],[Duplicate Key]])</f>
        <v>1</v>
      </c>
    </row>
    <row r="1765" spans="1:10">
      <c r="A1765" s="7">
        <v>2</v>
      </c>
      <c r="B1765" s="8" t="s">
        <v>7403</v>
      </c>
      <c r="C1765" s="8" t="s">
        <v>6754</v>
      </c>
      <c r="D1765" s="7">
        <v>1</v>
      </c>
      <c r="E1765" s="7">
        <v>10</v>
      </c>
      <c r="F1765" s="7">
        <v>1</v>
      </c>
      <c r="G1765" s="8" t="s">
        <v>6710</v>
      </c>
      <c r="H1765" s="8" t="s">
        <v>5691</v>
      </c>
      <c r="I1765" s="7" t="str">
        <f>_xlfn.CONCAT(Paper_Reference[[#This Row],[Lvl]:[Paper Description]])</f>
        <v>2J29R0294N400PS15 DESK D/G 48 X 1201101100DS009-5000FROSTY WHITE</v>
      </c>
      <c r="J1765" s="7">
        <f>COUNTIF(Paper_Reference[Duplicate Key],Paper_Reference[[#This Row],[Duplicate Key]])</f>
        <v>1</v>
      </c>
    </row>
    <row r="1766" spans="1:10">
      <c r="A1766" s="7">
        <v>2</v>
      </c>
      <c r="B1766" s="8" t="s">
        <v>7404</v>
      </c>
      <c r="C1766" s="8" t="s">
        <v>6755</v>
      </c>
      <c r="D1766" s="7">
        <v>1</v>
      </c>
      <c r="E1766" s="7">
        <v>10</v>
      </c>
      <c r="F1766" s="7">
        <v>1</v>
      </c>
      <c r="G1766" s="8" t="s">
        <v>6710</v>
      </c>
      <c r="H1766" s="8" t="s">
        <v>5691</v>
      </c>
      <c r="I1766" s="7" t="str">
        <f>_xlfn.CONCAT(Paper_Reference[[#This Row],[Lvl]:[Paper Description]])</f>
        <v>2J29R0294N480PS15 DESK D/G 48 X 961101100DS009-5000FROSTY WHITE</v>
      </c>
      <c r="J1766" s="7">
        <f>COUNTIF(Paper_Reference[Duplicate Key],Paper_Reference[[#This Row],[Duplicate Key]])</f>
        <v>1</v>
      </c>
    </row>
    <row r="1767" spans="1:10">
      <c r="A1767" s="7">
        <v>2</v>
      </c>
      <c r="B1767" s="8" t="s">
        <v>7405</v>
      </c>
      <c r="C1767" s="8" t="s">
        <v>6756</v>
      </c>
      <c r="D1767" s="7">
        <v>1</v>
      </c>
      <c r="E1767" s="7">
        <v>10</v>
      </c>
      <c r="F1767" s="7">
        <v>1</v>
      </c>
      <c r="G1767" s="8" t="s">
        <v>6710</v>
      </c>
      <c r="H1767" s="8" t="s">
        <v>5691</v>
      </c>
      <c r="I1767" s="7" t="str">
        <f>_xlfn.CONCAT(Paper_Reference[[#This Row],[Lvl]:[Paper Description]])</f>
        <v>2J29R0354G4801PCI CUSTOM DIG PRINT 48 X 961101100DS009-5000FROSTY WHITE</v>
      </c>
      <c r="J1767" s="7">
        <f>COUNTIF(Paper_Reference[Duplicate Key],Paper_Reference[[#This Row],[Duplicate Key]])</f>
        <v>1</v>
      </c>
    </row>
    <row r="1768" spans="1:10">
      <c r="A1768" s="7">
        <v>2</v>
      </c>
      <c r="B1768" s="8" t="s">
        <v>7407</v>
      </c>
      <c r="C1768" s="8" t="s">
        <v>6757</v>
      </c>
      <c r="D1768" s="7">
        <v>1</v>
      </c>
      <c r="E1768" s="7">
        <v>10</v>
      </c>
      <c r="F1768" s="7">
        <v>1</v>
      </c>
      <c r="G1768" s="8" t="s">
        <v>6710</v>
      </c>
      <c r="H1768" s="8" t="s">
        <v>5691</v>
      </c>
      <c r="I1768" s="7" t="str">
        <f>_xlfn.CONCAT(Paper_Reference[[#This Row],[Lvl]:[Paper Description]])</f>
        <v>2J29R0484MG480AMER DUPAGE HOSP D/G 48 X 961101100DS009-5000FROSTY WHITE</v>
      </c>
      <c r="J1768" s="7">
        <f>COUNTIF(Paper_Reference[Duplicate Key],Paper_Reference[[#This Row],[Duplicate Key]])</f>
        <v>1</v>
      </c>
    </row>
    <row r="1769" spans="1:10">
      <c r="A1769" s="7">
        <v>2</v>
      </c>
      <c r="B1769" s="8" t="s">
        <v>7406</v>
      </c>
      <c r="C1769" s="8" t="s">
        <v>6757</v>
      </c>
      <c r="D1769" s="7">
        <v>1</v>
      </c>
      <c r="E1769" s="7">
        <v>10</v>
      </c>
      <c r="F1769" s="7">
        <v>1</v>
      </c>
      <c r="G1769" s="8" t="s">
        <v>6710</v>
      </c>
      <c r="H1769" s="8" t="s">
        <v>5691</v>
      </c>
      <c r="I1769" s="7" t="str">
        <f>_xlfn.CONCAT(Paper_Reference[[#This Row],[Lvl]:[Paper Description]])</f>
        <v>2J29R0484MG4801AMER DUPAGE HOSP D/G 48 X 961101100DS009-5000FROSTY WHITE</v>
      </c>
      <c r="J1769" s="7">
        <f>COUNTIF(Paper_Reference[Duplicate Key],Paper_Reference[[#This Row],[Duplicate Key]])</f>
        <v>1</v>
      </c>
    </row>
    <row r="1770" spans="1:10">
      <c r="A1770" s="7">
        <v>2</v>
      </c>
      <c r="B1770" s="8" t="s">
        <v>7409</v>
      </c>
      <c r="C1770" s="8" t="s">
        <v>6757</v>
      </c>
      <c r="D1770" s="7">
        <v>1</v>
      </c>
      <c r="E1770" s="7">
        <v>10</v>
      </c>
      <c r="F1770" s="7">
        <v>1</v>
      </c>
      <c r="G1770" s="8" t="s">
        <v>6710</v>
      </c>
      <c r="H1770" s="8" t="s">
        <v>5691</v>
      </c>
      <c r="I1770" s="7" t="str">
        <f>_xlfn.CONCAT(Paper_Reference[[#This Row],[Lvl]:[Paper Description]])</f>
        <v>2J29R0484U480AMER DUPAGE HOSP D/G 48 X 961101100DS009-5000FROSTY WHITE</v>
      </c>
      <c r="J1770" s="7">
        <f>COUNTIF(Paper_Reference[Duplicate Key],Paper_Reference[[#This Row],[Duplicate Key]])</f>
        <v>1</v>
      </c>
    </row>
    <row r="1771" spans="1:10">
      <c r="A1771" s="7">
        <v>2</v>
      </c>
      <c r="B1771" s="8" t="s">
        <v>7408</v>
      </c>
      <c r="C1771" s="8" t="s">
        <v>6757</v>
      </c>
      <c r="D1771" s="7">
        <v>1</v>
      </c>
      <c r="E1771" s="7">
        <v>10</v>
      </c>
      <c r="F1771" s="7">
        <v>1</v>
      </c>
      <c r="G1771" s="8" t="s">
        <v>6710</v>
      </c>
      <c r="H1771" s="8" t="s">
        <v>5691</v>
      </c>
      <c r="I1771" s="7" t="str">
        <f>_xlfn.CONCAT(Paper_Reference[[#This Row],[Lvl]:[Paper Description]])</f>
        <v>2J29R0484U4801AMER DUPAGE HOSP D/G 48 X 961101100DS009-5000FROSTY WHITE</v>
      </c>
      <c r="J1771" s="7">
        <f>COUNTIF(Paper_Reference[Duplicate Key],Paper_Reference[[#This Row],[Duplicate Key]])</f>
        <v>1</v>
      </c>
    </row>
    <row r="1772" spans="1:10">
      <c r="A1772" s="7">
        <v>2</v>
      </c>
      <c r="B1772" s="8" t="s">
        <v>6211</v>
      </c>
      <c r="C1772" s="8" t="s">
        <v>5749</v>
      </c>
      <c r="D1772" s="7">
        <v>1</v>
      </c>
      <c r="E1772" s="7">
        <v>10</v>
      </c>
      <c r="F1772" s="7">
        <v>1</v>
      </c>
      <c r="G1772" s="8" t="s">
        <v>5690</v>
      </c>
      <c r="H1772" s="8" t="s">
        <v>5691</v>
      </c>
      <c r="I1772" s="7" t="str">
        <f>_xlfn.CONCAT(Paper_Reference[[#This Row],[Lvl]:[Paper Description]])</f>
        <v>2J29R0487N580GHIRARDELLI  ELEV D/G 60 X 961101100DS009-6200FROSTY WHITE</v>
      </c>
      <c r="J1772" s="7">
        <f>COUNTIF(Paper_Reference[Duplicate Key],Paper_Reference[[#This Row],[Duplicate Key]])</f>
        <v>1</v>
      </c>
    </row>
    <row r="1773" spans="1:10">
      <c r="A1773" s="7">
        <v>2</v>
      </c>
      <c r="B1773" s="8" t="s">
        <v>6212</v>
      </c>
      <c r="C1773" s="8" t="s">
        <v>5749</v>
      </c>
      <c r="D1773" s="7">
        <v>1</v>
      </c>
      <c r="E1773" s="7">
        <v>10</v>
      </c>
      <c r="F1773" s="7">
        <v>1</v>
      </c>
      <c r="G1773" s="8" t="s">
        <v>5690</v>
      </c>
      <c r="H1773" s="8" t="s">
        <v>5691</v>
      </c>
      <c r="I1773" s="7" t="str">
        <f>_xlfn.CONCAT(Paper_Reference[[#This Row],[Lvl]:[Paper Description]])</f>
        <v>2J29R0487SD580GHIRARDELLI  ELEV D/G 60 X 961101100DS009-6200FROSTY WHITE</v>
      </c>
      <c r="J1773" s="7">
        <f>COUNTIF(Paper_Reference[Duplicate Key],Paper_Reference[[#This Row],[Duplicate Key]])</f>
        <v>1</v>
      </c>
    </row>
    <row r="1774" spans="1:10">
      <c r="A1774" s="7">
        <v>2</v>
      </c>
      <c r="B1774" s="8" t="s">
        <v>7410</v>
      </c>
      <c r="C1774" s="8" t="s">
        <v>6758</v>
      </c>
      <c r="D1774" s="7">
        <v>1</v>
      </c>
      <c r="E1774" s="7">
        <v>10</v>
      </c>
      <c r="F1774" s="7">
        <v>1</v>
      </c>
      <c r="G1774" s="8" t="s">
        <v>6710</v>
      </c>
      <c r="H1774" s="8" t="s">
        <v>5691</v>
      </c>
      <c r="I1774" s="7" t="str">
        <f>_xlfn.CONCAT(Paper_Reference[[#This Row],[Lvl]:[Paper Description]])</f>
        <v>2J29R0504CR400ND PATIENT RM 1 D/G 48 X 1201101100DS009-5000FROSTY WHITE</v>
      </c>
      <c r="J1774" s="7">
        <f>COUNTIF(Paper_Reference[Duplicate Key],Paper_Reference[[#This Row],[Duplicate Key]])</f>
        <v>1</v>
      </c>
    </row>
    <row r="1775" spans="1:10">
      <c r="A1775" s="7">
        <v>2</v>
      </c>
      <c r="B1775" s="8" t="s">
        <v>7411</v>
      </c>
      <c r="C1775" s="8" t="s">
        <v>6758</v>
      </c>
      <c r="D1775" s="7">
        <v>1</v>
      </c>
      <c r="E1775" s="7">
        <v>10</v>
      </c>
      <c r="F1775" s="7">
        <v>1</v>
      </c>
      <c r="G1775" s="8" t="s">
        <v>6710</v>
      </c>
      <c r="H1775" s="8" t="s">
        <v>5691</v>
      </c>
      <c r="I1775" s="7" t="str">
        <f>_xlfn.CONCAT(Paper_Reference[[#This Row],[Lvl]:[Paper Description]])</f>
        <v>2J29R0504J400ND PATIENT RM 1 D/G 48 X 1201101100DS009-5000FROSTY WHITE</v>
      </c>
      <c r="J1775" s="7">
        <f>COUNTIF(Paper_Reference[Duplicate Key],Paper_Reference[[#This Row],[Duplicate Key]])</f>
        <v>1</v>
      </c>
    </row>
    <row r="1776" spans="1:10">
      <c r="A1776" s="7">
        <v>2</v>
      </c>
      <c r="B1776" s="8" t="s">
        <v>7412</v>
      </c>
      <c r="C1776" s="8" t="s">
        <v>6759</v>
      </c>
      <c r="D1776" s="7">
        <v>1</v>
      </c>
      <c r="E1776" s="7">
        <v>10</v>
      </c>
      <c r="F1776" s="7">
        <v>1</v>
      </c>
      <c r="G1776" s="8" t="s">
        <v>6710</v>
      </c>
      <c r="H1776" s="8" t="s">
        <v>5691</v>
      </c>
      <c r="I1776" s="7" t="str">
        <f>_xlfn.CONCAT(Paper_Reference[[#This Row],[Lvl]:[Paper Description]])</f>
        <v>2J29R0505CR400ND PATIENT RM 2 D/G 48 X 1201101100DS009-5000FROSTY WHITE</v>
      </c>
      <c r="J1776" s="7">
        <f>COUNTIF(Paper_Reference[Duplicate Key],Paper_Reference[[#This Row],[Duplicate Key]])</f>
        <v>1</v>
      </c>
    </row>
    <row r="1777" spans="1:10">
      <c r="A1777" s="7">
        <v>2</v>
      </c>
      <c r="B1777" s="8" t="s">
        <v>7413</v>
      </c>
      <c r="C1777" s="8" t="s">
        <v>6759</v>
      </c>
      <c r="D1777" s="7">
        <v>1</v>
      </c>
      <c r="E1777" s="7">
        <v>10</v>
      </c>
      <c r="F1777" s="7">
        <v>1</v>
      </c>
      <c r="G1777" s="8" t="s">
        <v>6710</v>
      </c>
      <c r="H1777" s="8" t="s">
        <v>5691</v>
      </c>
      <c r="I1777" s="7" t="str">
        <f>_xlfn.CONCAT(Paper_Reference[[#This Row],[Lvl]:[Paper Description]])</f>
        <v>2J29R0505J400ND PATIENT RM 2 D/G 48 X 1201101100DS009-5000FROSTY WHITE</v>
      </c>
      <c r="J1777" s="7">
        <f>COUNTIF(Paper_Reference[Duplicate Key],Paper_Reference[[#This Row],[Duplicate Key]])</f>
        <v>1</v>
      </c>
    </row>
    <row r="1778" spans="1:10">
      <c r="A1778" s="7">
        <v>2</v>
      </c>
      <c r="B1778" s="8" t="s">
        <v>7414</v>
      </c>
      <c r="C1778" s="8" t="s">
        <v>6760</v>
      </c>
      <c r="D1778" s="7">
        <v>1</v>
      </c>
      <c r="E1778" s="7">
        <v>10</v>
      </c>
      <c r="F1778" s="7">
        <v>1</v>
      </c>
      <c r="G1778" s="8" t="s">
        <v>6710</v>
      </c>
      <c r="H1778" s="8" t="s">
        <v>5691</v>
      </c>
      <c r="I1778" s="7" t="str">
        <f>_xlfn.CONCAT(Paper_Reference[[#This Row],[Lvl]:[Paper Description]])</f>
        <v>2J29R0506CR400ND PATIENT RM 3 D/G 48 X 1201101100DS009-5000FROSTY WHITE</v>
      </c>
      <c r="J1778" s="7">
        <f>COUNTIF(Paper_Reference[Duplicate Key],Paper_Reference[[#This Row],[Duplicate Key]])</f>
        <v>1</v>
      </c>
    </row>
    <row r="1779" spans="1:10">
      <c r="A1779" s="7">
        <v>2</v>
      </c>
      <c r="B1779" s="8" t="s">
        <v>7415</v>
      </c>
      <c r="C1779" s="8" t="s">
        <v>6760</v>
      </c>
      <c r="D1779" s="7">
        <v>1</v>
      </c>
      <c r="E1779" s="7">
        <v>10</v>
      </c>
      <c r="F1779" s="7">
        <v>1</v>
      </c>
      <c r="G1779" s="8" t="s">
        <v>6710</v>
      </c>
      <c r="H1779" s="8" t="s">
        <v>5691</v>
      </c>
      <c r="I1779" s="7" t="str">
        <f>_xlfn.CONCAT(Paper_Reference[[#This Row],[Lvl]:[Paper Description]])</f>
        <v>2J29R0506J400ND PATIENT RM 3 D/G 48 X 1201101100DS009-5000FROSTY WHITE</v>
      </c>
      <c r="J1779" s="7">
        <f>COUNTIF(Paper_Reference[Duplicate Key],Paper_Reference[[#This Row],[Duplicate Key]])</f>
        <v>1</v>
      </c>
    </row>
    <row r="1780" spans="1:10">
      <c r="A1780" s="7">
        <v>2</v>
      </c>
      <c r="B1780" s="8" t="s">
        <v>7416</v>
      </c>
      <c r="C1780" s="8" t="s">
        <v>6761</v>
      </c>
      <c r="D1780" s="7">
        <v>1</v>
      </c>
      <c r="E1780" s="7">
        <v>10</v>
      </c>
      <c r="F1780" s="7">
        <v>1</v>
      </c>
      <c r="G1780" s="8" t="s">
        <v>6710</v>
      </c>
      <c r="H1780" s="8" t="s">
        <v>5691</v>
      </c>
      <c r="I1780" s="7" t="str">
        <f>_xlfn.CONCAT(Paper_Reference[[#This Row],[Lvl]:[Paper Description]])</f>
        <v>2J29R0507CR400ND NURSE DESK D/G 48 X 1201101100DS009-5000FROSTY WHITE</v>
      </c>
      <c r="J1780" s="7">
        <f>COUNTIF(Paper_Reference[Duplicate Key],Paper_Reference[[#This Row],[Duplicate Key]])</f>
        <v>1</v>
      </c>
    </row>
    <row r="1781" spans="1:10">
      <c r="A1781" s="7">
        <v>2</v>
      </c>
      <c r="B1781" s="8" t="s">
        <v>7417</v>
      </c>
      <c r="C1781" s="8" t="s">
        <v>6761</v>
      </c>
      <c r="D1781" s="7">
        <v>1</v>
      </c>
      <c r="E1781" s="7">
        <v>10</v>
      </c>
      <c r="F1781" s="7">
        <v>1</v>
      </c>
      <c r="G1781" s="8" t="s">
        <v>6710</v>
      </c>
      <c r="H1781" s="8" t="s">
        <v>5691</v>
      </c>
      <c r="I1781" s="7" t="str">
        <f>_xlfn.CONCAT(Paper_Reference[[#This Row],[Lvl]:[Paper Description]])</f>
        <v>2J29R0507J400ND NURSE DESK D/G 48 X 1201101100DS009-5000FROSTY WHITE</v>
      </c>
      <c r="J1781" s="7">
        <f>COUNTIF(Paper_Reference[Duplicate Key],Paper_Reference[[#This Row],[Duplicate Key]])</f>
        <v>1</v>
      </c>
    </row>
    <row r="1782" spans="1:10">
      <c r="A1782" s="7">
        <v>2</v>
      </c>
      <c r="B1782" s="8" t="s">
        <v>7418</v>
      </c>
      <c r="C1782" s="8" t="s">
        <v>6762</v>
      </c>
      <c r="D1782" s="7">
        <v>1</v>
      </c>
      <c r="E1782" s="7">
        <v>10</v>
      </c>
      <c r="F1782" s="7">
        <v>1</v>
      </c>
      <c r="G1782" s="8" t="s">
        <v>6710</v>
      </c>
      <c r="H1782" s="8" t="s">
        <v>5691</v>
      </c>
      <c r="I1782" s="7" t="str">
        <f>_xlfn.CONCAT(Paper_Reference[[#This Row],[Lvl]:[Paper Description]])</f>
        <v>2J29R0519N400BAYSTATE XL1 RAISIN 48 X 1201101100DS009-5000FROSTY WHITE</v>
      </c>
      <c r="J1782" s="7">
        <f>COUNTIF(Paper_Reference[Duplicate Key],Paper_Reference[[#This Row],[Duplicate Key]])</f>
        <v>1</v>
      </c>
    </row>
    <row r="1783" spans="1:10">
      <c r="A1783" s="7">
        <v>2</v>
      </c>
      <c r="B1783" s="8" t="s">
        <v>7419</v>
      </c>
      <c r="C1783" s="8" t="s">
        <v>6762</v>
      </c>
      <c r="D1783" s="7">
        <v>1</v>
      </c>
      <c r="E1783" s="7">
        <v>10</v>
      </c>
      <c r="F1783" s="7">
        <v>1</v>
      </c>
      <c r="G1783" s="8" t="s">
        <v>6710</v>
      </c>
      <c r="H1783" s="8" t="s">
        <v>5691</v>
      </c>
      <c r="I1783" s="7" t="str">
        <f>_xlfn.CONCAT(Paper_Reference[[#This Row],[Lvl]:[Paper Description]])</f>
        <v>2J29R0519SD400BAYSTATE XL1 RAISIN 48 X 1201101100DS009-5000FROSTY WHITE</v>
      </c>
      <c r="J1783" s="7">
        <f>COUNTIF(Paper_Reference[Duplicate Key],Paper_Reference[[#This Row],[Duplicate Key]])</f>
        <v>1</v>
      </c>
    </row>
    <row r="1784" spans="1:10">
      <c r="A1784" s="7">
        <v>2</v>
      </c>
      <c r="B1784" s="8" t="s">
        <v>7420</v>
      </c>
      <c r="C1784" s="8" t="s">
        <v>6763</v>
      </c>
      <c r="D1784" s="7">
        <v>1</v>
      </c>
      <c r="E1784" s="7">
        <v>10</v>
      </c>
      <c r="F1784" s="7">
        <v>1</v>
      </c>
      <c r="G1784" s="8" t="s">
        <v>6710</v>
      </c>
      <c r="H1784" s="8" t="s">
        <v>5691</v>
      </c>
      <c r="I1784" s="7" t="str">
        <f>_xlfn.CONCAT(Paper_Reference[[#This Row],[Lvl]:[Paper Description]])</f>
        <v>2J29R0520N400BAYSTATE XL2 RAISIN 48 X 1201101100DS009-5000FROSTY WHITE</v>
      </c>
      <c r="J1784" s="7">
        <f>COUNTIF(Paper_Reference[Duplicate Key],Paper_Reference[[#This Row],[Duplicate Key]])</f>
        <v>1</v>
      </c>
    </row>
    <row r="1785" spans="1:10">
      <c r="A1785" s="7">
        <v>2</v>
      </c>
      <c r="B1785" s="8" t="s">
        <v>7421</v>
      </c>
      <c r="C1785" s="8" t="s">
        <v>6763</v>
      </c>
      <c r="D1785" s="7">
        <v>1</v>
      </c>
      <c r="E1785" s="7">
        <v>10</v>
      </c>
      <c r="F1785" s="7">
        <v>1</v>
      </c>
      <c r="G1785" s="8" t="s">
        <v>6710</v>
      </c>
      <c r="H1785" s="8" t="s">
        <v>5691</v>
      </c>
      <c r="I1785" s="7" t="str">
        <f>_xlfn.CONCAT(Paper_Reference[[#This Row],[Lvl]:[Paper Description]])</f>
        <v>2J29R0520SD400BAYSTATE XL2 RAISIN 48 X 1201101100DS009-5000FROSTY WHITE</v>
      </c>
      <c r="J1785" s="7">
        <f>COUNTIF(Paper_Reference[Duplicate Key],Paper_Reference[[#This Row],[Duplicate Key]])</f>
        <v>1</v>
      </c>
    </row>
    <row r="1786" spans="1:10">
      <c r="A1786" s="7">
        <v>2</v>
      </c>
      <c r="B1786" s="8" t="s">
        <v>7422</v>
      </c>
      <c r="C1786" s="8" t="s">
        <v>6764</v>
      </c>
      <c r="D1786" s="7">
        <v>1</v>
      </c>
      <c r="E1786" s="7">
        <v>10</v>
      </c>
      <c r="F1786" s="7">
        <v>1</v>
      </c>
      <c r="G1786" s="8" t="s">
        <v>6710</v>
      </c>
      <c r="H1786" s="8" t="s">
        <v>5691</v>
      </c>
      <c r="I1786" s="7" t="str">
        <f>_xlfn.CONCAT(Paper_Reference[[#This Row],[Lvl]:[Paper Description]])</f>
        <v>2J29R0521N400BAYSTATE XR1 RAISIN 48 X 1201101100DS009-5000FROSTY WHITE</v>
      </c>
      <c r="J1786" s="7">
        <f>COUNTIF(Paper_Reference[Duplicate Key],Paper_Reference[[#This Row],[Duplicate Key]])</f>
        <v>1</v>
      </c>
    </row>
    <row r="1787" spans="1:10">
      <c r="A1787" s="7">
        <v>2</v>
      </c>
      <c r="B1787" s="8" t="s">
        <v>7423</v>
      </c>
      <c r="C1787" s="8" t="s">
        <v>6764</v>
      </c>
      <c r="D1787" s="7">
        <v>1</v>
      </c>
      <c r="E1787" s="7">
        <v>10</v>
      </c>
      <c r="F1787" s="7">
        <v>1</v>
      </c>
      <c r="G1787" s="8" t="s">
        <v>6710</v>
      </c>
      <c r="H1787" s="8" t="s">
        <v>5691</v>
      </c>
      <c r="I1787" s="7" t="str">
        <f>_xlfn.CONCAT(Paper_Reference[[#This Row],[Lvl]:[Paper Description]])</f>
        <v>2J29R0521SD400BAYSTATE XR1 RAISIN 48 X 1201101100DS009-5000FROSTY WHITE</v>
      </c>
      <c r="J1787" s="7">
        <f>COUNTIF(Paper_Reference[Duplicate Key],Paper_Reference[[#This Row],[Duplicate Key]])</f>
        <v>1</v>
      </c>
    </row>
    <row r="1788" spans="1:10">
      <c r="A1788" s="7">
        <v>2</v>
      </c>
      <c r="B1788" s="8" t="s">
        <v>7424</v>
      </c>
      <c r="C1788" s="8" t="s">
        <v>6765</v>
      </c>
      <c r="D1788" s="7">
        <v>1</v>
      </c>
      <c r="E1788" s="7">
        <v>10</v>
      </c>
      <c r="F1788" s="7">
        <v>1</v>
      </c>
      <c r="G1788" s="8" t="s">
        <v>6710</v>
      </c>
      <c r="H1788" s="8" t="s">
        <v>5691</v>
      </c>
      <c r="I1788" s="7" t="str">
        <f>_xlfn.CONCAT(Paper_Reference[[#This Row],[Lvl]:[Paper Description]])</f>
        <v>2J29R0522N400BAYSTATE XR2 RAISIN 48 X 1201101100DS009-5000FROSTY WHITE</v>
      </c>
      <c r="J1788" s="7">
        <f>COUNTIF(Paper_Reference[Duplicate Key],Paper_Reference[[#This Row],[Duplicate Key]])</f>
        <v>1</v>
      </c>
    </row>
    <row r="1789" spans="1:10">
      <c r="A1789" s="7">
        <v>2</v>
      </c>
      <c r="B1789" s="8" t="s">
        <v>7425</v>
      </c>
      <c r="C1789" s="8" t="s">
        <v>6765</v>
      </c>
      <c r="D1789" s="7">
        <v>1</v>
      </c>
      <c r="E1789" s="7">
        <v>10</v>
      </c>
      <c r="F1789" s="7">
        <v>1</v>
      </c>
      <c r="G1789" s="8" t="s">
        <v>6710</v>
      </c>
      <c r="H1789" s="8" t="s">
        <v>5691</v>
      </c>
      <c r="I1789" s="7" t="str">
        <f>_xlfn.CONCAT(Paper_Reference[[#This Row],[Lvl]:[Paper Description]])</f>
        <v>2J29R0522SD400BAYSTATE XR2 RAISIN 48 X 1201101100DS009-5000FROSTY WHITE</v>
      </c>
      <c r="J1789" s="7">
        <f>COUNTIF(Paper_Reference[Duplicate Key],Paper_Reference[[#This Row],[Duplicate Key]])</f>
        <v>1</v>
      </c>
    </row>
    <row r="1790" spans="1:10">
      <c r="A1790" s="7">
        <v>2</v>
      </c>
      <c r="B1790" s="8" t="s">
        <v>7426</v>
      </c>
      <c r="C1790" s="8" t="s">
        <v>6766</v>
      </c>
      <c r="D1790" s="7">
        <v>1</v>
      </c>
      <c r="E1790" s="7">
        <v>10</v>
      </c>
      <c r="F1790" s="7">
        <v>1</v>
      </c>
      <c r="G1790" s="8" t="s">
        <v>6710</v>
      </c>
      <c r="H1790" s="8" t="s">
        <v>5691</v>
      </c>
      <c r="I1790" s="7" t="str">
        <f>_xlfn.CONCAT(Paper_Reference[[#This Row],[Lvl]:[Paper Description]])</f>
        <v>2J29R0595N480BAYSTATE LINEAR PROJECT 48 X 91101100DS009-5000FROSTY WHITE</v>
      </c>
      <c r="J1790" s="7">
        <f>COUNTIF(Paper_Reference[Duplicate Key],Paper_Reference[[#This Row],[Duplicate Key]])</f>
        <v>1</v>
      </c>
    </row>
    <row r="1791" spans="1:10">
      <c r="A1791" s="7">
        <v>2</v>
      </c>
      <c r="B1791" s="8" t="s">
        <v>7427</v>
      </c>
      <c r="C1791" s="8" t="s">
        <v>6766</v>
      </c>
      <c r="D1791" s="7">
        <v>1</v>
      </c>
      <c r="E1791" s="7">
        <v>10</v>
      </c>
      <c r="F1791" s="7">
        <v>1</v>
      </c>
      <c r="G1791" s="8" t="s">
        <v>6710</v>
      </c>
      <c r="H1791" s="8" t="s">
        <v>5691</v>
      </c>
      <c r="I1791" s="7" t="str">
        <f>_xlfn.CONCAT(Paper_Reference[[#This Row],[Lvl]:[Paper Description]])</f>
        <v>2J29R0595SD480BAYSTATE LINEAR PROJECT 48 X 91101100DS009-5000FROSTY WHITE</v>
      </c>
      <c r="J1791" s="7">
        <f>COUNTIF(Paper_Reference[Duplicate Key],Paper_Reference[[#This Row],[Duplicate Key]])</f>
        <v>1</v>
      </c>
    </row>
    <row r="1792" spans="1:10">
      <c r="A1792" s="7">
        <v>2</v>
      </c>
      <c r="B1792" s="8" t="s">
        <v>7428</v>
      </c>
      <c r="C1792" s="8" t="s">
        <v>6767</v>
      </c>
      <c r="D1792" s="7">
        <v>1</v>
      </c>
      <c r="E1792" s="7">
        <v>10</v>
      </c>
      <c r="F1792" s="7">
        <v>1</v>
      </c>
      <c r="G1792" s="8" t="s">
        <v>6710</v>
      </c>
      <c r="H1792" s="8" t="s">
        <v>5691</v>
      </c>
      <c r="I1792" s="7" t="str">
        <f>_xlfn.CONCAT(Paper_Reference[[#This Row],[Lvl]:[Paper Description]])</f>
        <v>2J29R0625SD480FITZLOFF STAR GRAPHIC 48 X 961101100DS009-5000FROSTY WHITE</v>
      </c>
      <c r="J1792" s="7">
        <f>COUNTIF(Paper_Reference[Duplicate Key],Paper_Reference[[#This Row],[Duplicate Key]])</f>
        <v>1</v>
      </c>
    </row>
    <row r="1793" spans="1:10">
      <c r="A1793" s="7">
        <v>2</v>
      </c>
      <c r="B1793" s="8" t="s">
        <v>6213</v>
      </c>
      <c r="C1793" s="8" t="s">
        <v>5750</v>
      </c>
      <c r="D1793" s="7">
        <v>1</v>
      </c>
      <c r="E1793" s="7">
        <v>10</v>
      </c>
      <c r="F1793" s="7">
        <v>1</v>
      </c>
      <c r="G1793" s="8" t="s">
        <v>5690</v>
      </c>
      <c r="H1793" s="8" t="s">
        <v>5691</v>
      </c>
      <c r="I1793" s="7" t="str">
        <f>_xlfn.CONCAT(Paper_Reference[[#This Row],[Lvl]:[Paper Description]])</f>
        <v>2J29R0625SD520FITZLOFF STAR GRAPHIC 60 X 1441101100DS009-6200FROSTY WHITE</v>
      </c>
      <c r="J1793" s="7">
        <f>COUNTIF(Paper_Reference[Duplicate Key],Paper_Reference[[#This Row],[Duplicate Key]])</f>
        <v>1</v>
      </c>
    </row>
    <row r="1794" spans="1:10">
      <c r="A1794" s="7">
        <v>2</v>
      </c>
      <c r="B1794" s="8" t="s">
        <v>6214</v>
      </c>
      <c r="C1794" s="8" t="s">
        <v>5751</v>
      </c>
      <c r="D1794" s="7">
        <v>1</v>
      </c>
      <c r="E1794" s="7">
        <v>10</v>
      </c>
      <c r="F1794" s="7">
        <v>1</v>
      </c>
      <c r="G1794" s="8" t="s">
        <v>5690</v>
      </c>
      <c r="H1794" s="8" t="s">
        <v>5691</v>
      </c>
      <c r="I1794" s="7" t="str">
        <f>_xlfn.CONCAT(Paper_Reference[[#This Row],[Lvl]:[Paper Description]])</f>
        <v>2J29R0631SD500BAYSTATE LINEAR PROJ 2 60X1201101100DS009-6200FROSTY WHITE</v>
      </c>
      <c r="J1794" s="7">
        <f>COUNTIF(Paper_Reference[Duplicate Key],Paper_Reference[[#This Row],[Duplicate Key]])</f>
        <v>1</v>
      </c>
    </row>
    <row r="1795" spans="1:10">
      <c r="A1795" s="7">
        <v>2</v>
      </c>
      <c r="B1795" s="8" t="s">
        <v>6215</v>
      </c>
      <c r="C1795" s="8" t="s">
        <v>5752</v>
      </c>
      <c r="D1795" s="7">
        <v>1</v>
      </c>
      <c r="E1795" s="7">
        <v>10</v>
      </c>
      <c r="F1795" s="7">
        <v>1</v>
      </c>
      <c r="G1795" s="8" t="s">
        <v>5690</v>
      </c>
      <c r="H1795" s="8" t="s">
        <v>5691</v>
      </c>
      <c r="I1795" s="7" t="str">
        <f>_xlfn.CONCAT(Paper_Reference[[#This Row],[Lvl]:[Paper Description]])</f>
        <v>2J29R0718SD520PDX CARPET 60 X 1441101100DS009-6200FROSTY WHITE</v>
      </c>
      <c r="J1795" s="7">
        <f>COUNTIF(Paper_Reference[Duplicate Key],Paper_Reference[[#This Row],[Duplicate Key]])</f>
        <v>1</v>
      </c>
    </row>
    <row r="1796" spans="1:10">
      <c r="A1796" s="7">
        <v>2</v>
      </c>
      <c r="B1796" s="8" t="s">
        <v>7429</v>
      </c>
      <c r="C1796" s="8" t="s">
        <v>6768</v>
      </c>
      <c r="D1796" s="7">
        <v>1</v>
      </c>
      <c r="E1796" s="7">
        <v>10</v>
      </c>
      <c r="F1796" s="7">
        <v>1</v>
      </c>
      <c r="G1796" s="8" t="s">
        <v>6710</v>
      </c>
      <c r="H1796" s="8" t="s">
        <v>5691</v>
      </c>
      <c r="I1796" s="7" t="str">
        <f>_xlfn.CONCAT(Paper_Reference[[#This Row],[Lvl]:[Paper Description]])</f>
        <v>2J29R0721SM480DILLON EASTRIDGE MALL 48 X 961101100DS009-5000FROSTY WHITE</v>
      </c>
      <c r="J1796" s="7">
        <f>COUNTIF(Paper_Reference[Duplicate Key],Paper_Reference[[#This Row],[Duplicate Key]])</f>
        <v>1</v>
      </c>
    </row>
    <row r="1797" spans="1:10">
      <c r="A1797" s="7">
        <v>2</v>
      </c>
      <c r="B1797" s="8" t="s">
        <v>6216</v>
      </c>
      <c r="C1797" s="8" t="s">
        <v>5753</v>
      </c>
      <c r="D1797" s="7">
        <v>1</v>
      </c>
      <c r="E1797" s="7">
        <v>10</v>
      </c>
      <c r="F1797" s="7">
        <v>1</v>
      </c>
      <c r="G1797" s="8" t="s">
        <v>5690</v>
      </c>
      <c r="H1797" s="8" t="s">
        <v>5691</v>
      </c>
      <c r="I1797" s="7" t="str">
        <f>_xlfn.CONCAT(Paper_Reference[[#This Row],[Lvl]:[Paper Description]])</f>
        <v>2J29R0721SM500DILLON EASTRIDGE MALL 60 X 1201101100DS009-6200FROSTY WHITE</v>
      </c>
      <c r="J1797" s="7">
        <f>COUNTIF(Paper_Reference[Duplicate Key],Paper_Reference[[#This Row],[Duplicate Key]])</f>
        <v>1</v>
      </c>
    </row>
    <row r="1798" spans="1:10">
      <c r="A1798" s="7">
        <v>2</v>
      </c>
      <c r="B1798" s="8" t="s">
        <v>7430</v>
      </c>
      <c r="C1798" s="8" t="s">
        <v>6769</v>
      </c>
      <c r="D1798" s="7">
        <v>1</v>
      </c>
      <c r="E1798" s="7">
        <v>10</v>
      </c>
      <c r="F1798" s="7">
        <v>1</v>
      </c>
      <c r="G1798" s="8" t="s">
        <v>6710</v>
      </c>
      <c r="H1798" s="8" t="s">
        <v>5691</v>
      </c>
      <c r="I1798" s="7" t="str">
        <f>_xlfn.CONCAT(Paper_Reference[[#This Row],[Lvl]:[Paper Description]])</f>
        <v>2J29R0722SD480BAYSTATE LINEAR PROJ-3 48 X 961101100DS009-5000FROSTY WHITE</v>
      </c>
      <c r="J1798" s="7">
        <f>COUNTIF(Paper_Reference[Duplicate Key],Paper_Reference[[#This Row],[Duplicate Key]])</f>
        <v>1</v>
      </c>
    </row>
    <row r="1799" spans="1:10">
      <c r="A1799" s="7">
        <v>2</v>
      </c>
      <c r="B1799" s="8" t="s">
        <v>1720</v>
      </c>
      <c r="C1799" s="8" t="s">
        <v>1301</v>
      </c>
      <c r="D1799" s="7">
        <v>1</v>
      </c>
      <c r="E1799" s="7">
        <v>10</v>
      </c>
      <c r="F1799" s="7">
        <v>1</v>
      </c>
      <c r="G1799" s="8" t="s">
        <v>1241</v>
      </c>
      <c r="H1799" s="8" t="s">
        <v>1242</v>
      </c>
      <c r="I1799" s="7" t="str">
        <f>_xlfn.CONCAT(Paper_Reference[[#This Row],[Lvl]:[Paper Description]])</f>
        <v>2J29R0745SD380MC CAFE BURLAP D/G 36 X 96110110000020-5000Premium Inkjet MPK 9653</v>
      </c>
      <c r="J1799" s="7">
        <f>COUNTIF(Paper_Reference[Duplicate Key],Paper_Reference[[#This Row],[Duplicate Key]])</f>
        <v>1</v>
      </c>
    </row>
    <row r="1800" spans="1:10">
      <c r="A1800" s="7">
        <v>2</v>
      </c>
      <c r="B1800" s="8" t="s">
        <v>1721</v>
      </c>
      <c r="C1800" s="8" t="s">
        <v>1302</v>
      </c>
      <c r="D1800" s="7">
        <v>1</v>
      </c>
      <c r="E1800" s="7">
        <v>10</v>
      </c>
      <c r="F1800" s="7">
        <v>1</v>
      </c>
      <c r="G1800" s="8" t="s">
        <v>1241</v>
      </c>
      <c r="H1800" s="8" t="s">
        <v>1242</v>
      </c>
      <c r="I1800" s="7" t="str">
        <f>_xlfn.CONCAT(Paper_Reference[[#This Row],[Lvl]:[Paper Description]])</f>
        <v>2J29R0745SD480MC CAFE BURLAP 48 X 96110110000020-5000Premium Inkjet MPK 9653</v>
      </c>
      <c r="J1800" s="7">
        <f>COUNTIF(Paper_Reference[Duplicate Key],Paper_Reference[[#This Row],[Duplicate Key]])</f>
        <v>1</v>
      </c>
    </row>
    <row r="1801" spans="1:10">
      <c r="A1801" s="7">
        <v>2</v>
      </c>
      <c r="B1801" s="8" t="s">
        <v>2608</v>
      </c>
      <c r="C1801" s="8" t="s">
        <v>2159</v>
      </c>
      <c r="D1801" s="7">
        <v>1</v>
      </c>
      <c r="E1801" s="7">
        <v>10</v>
      </c>
      <c r="F1801" s="7">
        <v>1</v>
      </c>
      <c r="G1801" s="8" t="s">
        <v>2144</v>
      </c>
      <c r="H1801" s="8" t="s">
        <v>1242</v>
      </c>
      <c r="I1801" s="7" t="str">
        <f>_xlfn.CONCAT(Paper_Reference[[#This Row],[Lvl]:[Paper Description]])</f>
        <v>2J29R0745SD500MC CAFE BURLAP 60 X 120110110000020-6200Premium Inkjet MPK 9653</v>
      </c>
      <c r="J1801" s="7">
        <f>COUNTIF(Paper_Reference[Duplicate Key],Paper_Reference[[#This Row],[Duplicate Key]])</f>
        <v>1</v>
      </c>
    </row>
    <row r="1802" spans="1:10">
      <c r="A1802" s="7">
        <v>2</v>
      </c>
      <c r="B1802" s="8" t="s">
        <v>7431</v>
      </c>
      <c r="C1802" s="8" t="s">
        <v>6770</v>
      </c>
      <c r="D1802" s="7">
        <v>1</v>
      </c>
      <c r="E1802" s="7">
        <v>10</v>
      </c>
      <c r="F1802" s="7">
        <v>1</v>
      </c>
      <c r="G1802" s="8" t="s">
        <v>6710</v>
      </c>
      <c r="H1802" s="8" t="s">
        <v>5691</v>
      </c>
      <c r="I1802" s="7" t="str">
        <f>_xlfn.CONCAT(Paper_Reference[[#This Row],[Lvl]:[Paper Description]])</f>
        <v>2J29R0769SD480TROUTDALE MURAL 48 X 961101100DS009-5000FROSTY WHITE</v>
      </c>
      <c r="J1802" s="7">
        <f>COUNTIF(Paper_Reference[Duplicate Key],Paper_Reference[[#This Row],[Duplicate Key]])</f>
        <v>1</v>
      </c>
    </row>
    <row r="1803" spans="1:10">
      <c r="A1803" s="7">
        <v>2</v>
      </c>
      <c r="B1803" s="8" t="s">
        <v>7432</v>
      </c>
      <c r="C1803" s="8" t="s">
        <v>6771</v>
      </c>
      <c r="D1803" s="7">
        <v>1</v>
      </c>
      <c r="E1803" s="7">
        <v>10</v>
      </c>
      <c r="F1803" s="7">
        <v>1</v>
      </c>
      <c r="G1803" s="8" t="s">
        <v>6710</v>
      </c>
      <c r="H1803" s="8" t="s">
        <v>5691</v>
      </c>
      <c r="I1803" s="7" t="str">
        <f>_xlfn.CONCAT(Paper_Reference[[#This Row],[Lvl]:[Paper Description]])</f>
        <v>2J29R0770SD480AMC DOOR PANEL 48 X 961101100DS009-5000FROSTY WHITE</v>
      </c>
      <c r="J1803" s="7">
        <f>COUNTIF(Paper_Reference[Duplicate Key],Paper_Reference[[#This Row],[Duplicate Key]])</f>
        <v>1</v>
      </c>
    </row>
    <row r="1804" spans="1:10">
      <c r="A1804" s="7">
        <v>2</v>
      </c>
      <c r="B1804" s="8" t="s">
        <v>7433</v>
      </c>
      <c r="C1804" s="8" t="s">
        <v>6772</v>
      </c>
      <c r="D1804" s="7">
        <v>1</v>
      </c>
      <c r="E1804" s="7">
        <v>10</v>
      </c>
      <c r="F1804" s="7">
        <v>1</v>
      </c>
      <c r="G1804" s="8" t="s">
        <v>6710</v>
      </c>
      <c r="H1804" s="8" t="s">
        <v>5691</v>
      </c>
      <c r="I1804" s="7" t="str">
        <f>_xlfn.CONCAT(Paper_Reference[[#This Row],[Lvl]:[Paper Description]])</f>
        <v>2J29R0775SD400OPTO DIGITAL 48 X 1201101100DS009-5000FROSTY WHITE</v>
      </c>
      <c r="J1804" s="7">
        <f>COUNTIF(Paper_Reference[Duplicate Key],Paper_Reference[[#This Row],[Duplicate Key]])</f>
        <v>1</v>
      </c>
    </row>
    <row r="1805" spans="1:10">
      <c r="A1805" s="7">
        <v>2</v>
      </c>
      <c r="B1805" s="8" t="s">
        <v>6217</v>
      </c>
      <c r="C1805" s="8" t="s">
        <v>5754</v>
      </c>
      <c r="D1805" s="7">
        <v>1</v>
      </c>
      <c r="E1805" s="7">
        <v>10</v>
      </c>
      <c r="F1805" s="7">
        <v>1</v>
      </c>
      <c r="G1805" s="8" t="s">
        <v>5690</v>
      </c>
      <c r="H1805" s="8" t="s">
        <v>5691</v>
      </c>
      <c r="I1805" s="7" t="str">
        <f>_xlfn.CONCAT(Paper_Reference[[#This Row],[Lvl]:[Paper Description]])</f>
        <v>2J29R0784SD500CANIDIAN HEARING SOC 60 X 1201101100DS009-6200FROSTY WHITE</v>
      </c>
      <c r="J1805" s="7">
        <f>COUNTIF(Paper_Reference[Duplicate Key],Paper_Reference[[#This Row],[Duplicate Key]])</f>
        <v>1</v>
      </c>
    </row>
    <row r="1806" spans="1:10">
      <c r="A1806" s="7">
        <v>2</v>
      </c>
      <c r="B1806" s="8" t="s">
        <v>7434</v>
      </c>
      <c r="C1806" s="8" t="s">
        <v>6773</v>
      </c>
      <c r="D1806" s="7">
        <v>1</v>
      </c>
      <c r="E1806" s="7">
        <v>10</v>
      </c>
      <c r="F1806" s="7">
        <v>1</v>
      </c>
      <c r="G1806" s="8" t="s">
        <v>6710</v>
      </c>
      <c r="H1806" s="8" t="s">
        <v>5691</v>
      </c>
      <c r="I1806" s="7" t="str">
        <f>_xlfn.CONCAT(Paper_Reference[[#This Row],[Lvl]:[Paper Description]])</f>
        <v>2J29R0811SD380BAYSTATE LINEAR PROJ-4 36 X 961101100DS009-5000FROSTY WHITE</v>
      </c>
      <c r="J1806" s="7">
        <f>COUNTIF(Paper_Reference[Duplicate Key],Paper_Reference[[#This Row],[Duplicate Key]])</f>
        <v>1</v>
      </c>
    </row>
    <row r="1807" spans="1:10">
      <c r="A1807" s="7">
        <v>2</v>
      </c>
      <c r="B1807" s="8" t="s">
        <v>7435</v>
      </c>
      <c r="C1807" s="8" t="s">
        <v>6774</v>
      </c>
      <c r="D1807" s="7">
        <v>1</v>
      </c>
      <c r="E1807" s="7">
        <v>10</v>
      </c>
      <c r="F1807" s="7">
        <v>1</v>
      </c>
      <c r="G1807" s="8" t="s">
        <v>6710</v>
      </c>
      <c r="H1807" s="8" t="s">
        <v>5691</v>
      </c>
      <c r="I1807" s="7" t="str">
        <f>_xlfn.CONCAT(Paper_Reference[[#This Row],[Lvl]:[Paper Description]])</f>
        <v>2J29R0825SD480RANGER LOGO TABLETOP 48 X 961101100DS009-5000FROSTY WHITE</v>
      </c>
      <c r="J1807" s="7">
        <f>COUNTIF(Paper_Reference[Duplicate Key],Paper_Reference[[#This Row],[Duplicate Key]])</f>
        <v>1</v>
      </c>
    </row>
    <row r="1808" spans="1:10">
      <c r="A1808" s="7">
        <v>2</v>
      </c>
      <c r="B1808" s="8" t="s">
        <v>6218</v>
      </c>
      <c r="C1808" s="8" t="s">
        <v>5755</v>
      </c>
      <c r="D1808" s="7">
        <v>1</v>
      </c>
      <c r="E1808" s="7">
        <v>10</v>
      </c>
      <c r="F1808" s="7">
        <v>1</v>
      </c>
      <c r="G1808" s="8" t="s">
        <v>5690</v>
      </c>
      <c r="H1808" s="8" t="s">
        <v>5691</v>
      </c>
      <c r="I1808" s="7" t="str">
        <f>_xlfn.CONCAT(Paper_Reference[[#This Row],[Lvl]:[Paper Description]])</f>
        <v>2J29R0838SD520KAISER SC ELEVATION A 60 X 1441101100DS009-6200FROSTY WHITE</v>
      </c>
      <c r="J1808" s="7">
        <f>COUNTIF(Paper_Reference[Duplicate Key],Paper_Reference[[#This Row],[Duplicate Key]])</f>
        <v>1</v>
      </c>
    </row>
    <row r="1809" spans="1:10">
      <c r="A1809" s="7">
        <v>2</v>
      </c>
      <c r="B1809" s="8" t="s">
        <v>7436</v>
      </c>
      <c r="C1809" s="8" t="s">
        <v>6775</v>
      </c>
      <c r="D1809" s="7">
        <v>1</v>
      </c>
      <c r="E1809" s="7">
        <v>10</v>
      </c>
      <c r="F1809" s="7">
        <v>1</v>
      </c>
      <c r="G1809" s="8" t="s">
        <v>6710</v>
      </c>
      <c r="H1809" s="8" t="s">
        <v>5691</v>
      </c>
      <c r="I1809" s="7" t="str">
        <f>_xlfn.CONCAT(Paper_Reference[[#This Row],[Lvl]:[Paper Description]])</f>
        <v>2J29R0839SD420KAISER SC ELEVATION B 48 X 1441101100DS009-5000FROSTY WHITE</v>
      </c>
      <c r="J1809" s="7">
        <f>COUNTIF(Paper_Reference[Duplicate Key],Paper_Reference[[#This Row],[Duplicate Key]])</f>
        <v>1</v>
      </c>
    </row>
    <row r="1810" spans="1:10">
      <c r="A1810" s="7">
        <v>2</v>
      </c>
      <c r="B1810" s="8" t="s">
        <v>6219</v>
      </c>
      <c r="C1810" s="8" t="s">
        <v>5756</v>
      </c>
      <c r="D1810" s="7">
        <v>1</v>
      </c>
      <c r="E1810" s="7">
        <v>10</v>
      </c>
      <c r="F1810" s="7">
        <v>1</v>
      </c>
      <c r="G1810" s="8" t="s">
        <v>5690</v>
      </c>
      <c r="H1810" s="8" t="s">
        <v>5691</v>
      </c>
      <c r="I1810" s="7" t="str">
        <f>_xlfn.CONCAT(Paper_Reference[[#This Row],[Lvl]:[Paper Description]])</f>
        <v>2J29R0840SD520KAISER SC ELEVATION C 60 X 1441101100DS009-6200FROSTY WHITE</v>
      </c>
      <c r="J1810" s="7">
        <f>COUNTIF(Paper_Reference[Duplicate Key],Paper_Reference[[#This Row],[Duplicate Key]])</f>
        <v>1</v>
      </c>
    </row>
    <row r="1811" spans="1:10">
      <c r="A1811" s="7">
        <v>2</v>
      </c>
      <c r="B1811" s="8" t="s">
        <v>6220</v>
      </c>
      <c r="C1811" s="8" t="s">
        <v>5757</v>
      </c>
      <c r="D1811" s="7">
        <v>1</v>
      </c>
      <c r="E1811" s="7">
        <v>10</v>
      </c>
      <c r="F1811" s="7">
        <v>1</v>
      </c>
      <c r="G1811" s="8" t="s">
        <v>5690</v>
      </c>
      <c r="H1811" s="8" t="s">
        <v>5691</v>
      </c>
      <c r="I1811" s="7" t="str">
        <f>_xlfn.CONCAT(Paper_Reference[[#This Row],[Lvl]:[Paper Description]])</f>
        <v>2J29R0841SD520KAISER SC ELEVATION D 60 X 1441101100DS009-6200FROSTY WHITE</v>
      </c>
      <c r="J1811" s="7">
        <f>COUNTIF(Paper_Reference[Duplicate Key],Paper_Reference[[#This Row],[Duplicate Key]])</f>
        <v>1</v>
      </c>
    </row>
    <row r="1812" spans="1:10">
      <c r="A1812" s="7">
        <v>2</v>
      </c>
      <c r="B1812" s="8" t="s">
        <v>6221</v>
      </c>
      <c r="C1812" s="8" t="s">
        <v>5758</v>
      </c>
      <c r="D1812" s="7">
        <v>1</v>
      </c>
      <c r="E1812" s="7">
        <v>10</v>
      </c>
      <c r="F1812" s="7">
        <v>1</v>
      </c>
      <c r="G1812" s="8" t="s">
        <v>5690</v>
      </c>
      <c r="H1812" s="8" t="s">
        <v>5691</v>
      </c>
      <c r="I1812" s="7" t="str">
        <f>_xlfn.CONCAT(Paper_Reference[[#This Row],[Lvl]:[Paper Description]])</f>
        <v>2J29R0842SD520KAISER SC MISC SHEETS 60 X 1441101100DS009-6200FROSTY WHITE</v>
      </c>
      <c r="J1812" s="7">
        <f>COUNTIF(Paper_Reference[Duplicate Key],Paper_Reference[[#This Row],[Duplicate Key]])</f>
        <v>1</v>
      </c>
    </row>
    <row r="1813" spans="1:10">
      <c r="A1813" s="7">
        <v>2</v>
      </c>
      <c r="B1813" s="8" t="s">
        <v>7437</v>
      </c>
      <c r="C1813" s="8" t="s">
        <v>6776</v>
      </c>
      <c r="D1813" s="7">
        <v>1</v>
      </c>
      <c r="E1813" s="7">
        <v>10</v>
      </c>
      <c r="F1813" s="7">
        <v>1</v>
      </c>
      <c r="G1813" s="8" t="s">
        <v>6710</v>
      </c>
      <c r="H1813" s="8" t="s">
        <v>5691</v>
      </c>
      <c r="I1813" s="7" t="str">
        <f>_xlfn.CONCAT(Paper_Reference[[#This Row],[Lvl]:[Paper Description]])</f>
        <v>2J29R0867GL4001TOTUMO DIGITAL 48 X 1201101100DS009-5000FROSTY WHITE</v>
      </c>
      <c r="J1813" s="7">
        <f>COUNTIF(Paper_Reference[Duplicate Key],Paper_Reference[[#This Row],[Duplicate Key]])</f>
        <v>1</v>
      </c>
    </row>
    <row r="1814" spans="1:10">
      <c r="A1814" s="7">
        <v>2</v>
      </c>
      <c r="B1814" s="8" t="s">
        <v>1723</v>
      </c>
      <c r="C1814" s="8" t="s">
        <v>1303</v>
      </c>
      <c r="D1814" s="7">
        <v>1</v>
      </c>
      <c r="E1814" s="7">
        <v>10</v>
      </c>
      <c r="F1814" s="7">
        <v>1</v>
      </c>
      <c r="G1814" s="8" t="s">
        <v>1241</v>
      </c>
      <c r="H1814" s="8" t="s">
        <v>1242</v>
      </c>
      <c r="I1814" s="7" t="str">
        <f>_xlfn.CONCAT(Paper_Reference[[#This Row],[Lvl]:[Paper Description]])</f>
        <v>2J29R0871SD400NEUSONIC BLK OYSTER II 48X120110110000020-5000Premium Inkjet MPK 9653</v>
      </c>
      <c r="J1814" s="7">
        <f>COUNTIF(Paper_Reference[Duplicate Key],Paper_Reference[[#This Row],[Duplicate Key]])</f>
        <v>1</v>
      </c>
    </row>
    <row r="1815" spans="1:10">
      <c r="A1815" s="7">
        <v>2</v>
      </c>
      <c r="B1815" s="8" t="s">
        <v>1722</v>
      </c>
      <c r="C1815" s="8" t="s">
        <v>1303</v>
      </c>
      <c r="D1815" s="7">
        <v>1</v>
      </c>
      <c r="E1815" s="7">
        <v>10</v>
      </c>
      <c r="F1815" s="7">
        <v>1</v>
      </c>
      <c r="G1815" s="8" t="s">
        <v>1241</v>
      </c>
      <c r="H1815" s="8" t="s">
        <v>1242</v>
      </c>
      <c r="I1815" s="7" t="str">
        <f>_xlfn.CONCAT(Paper_Reference[[#This Row],[Lvl]:[Paper Description]])</f>
        <v>2J29R0871SD4001NEUSONIC BLK OYSTER II 48X120110110000020-5000Premium Inkjet MPK 9653</v>
      </c>
      <c r="J1815" s="7">
        <f>COUNTIF(Paper_Reference[Duplicate Key],Paper_Reference[[#This Row],[Duplicate Key]])</f>
        <v>1</v>
      </c>
    </row>
    <row r="1816" spans="1:10">
      <c r="A1816" s="7">
        <v>2</v>
      </c>
      <c r="B1816" s="8" t="s">
        <v>1724</v>
      </c>
      <c r="C1816" s="8" t="s">
        <v>1304</v>
      </c>
      <c r="D1816" s="7">
        <v>1</v>
      </c>
      <c r="E1816" s="7">
        <v>10</v>
      </c>
      <c r="F1816" s="7">
        <v>1</v>
      </c>
      <c r="G1816" s="8" t="s">
        <v>1241</v>
      </c>
      <c r="H1816" s="8" t="s">
        <v>1242</v>
      </c>
      <c r="I1816" s="7" t="str">
        <f>_xlfn.CONCAT(Paper_Reference[[#This Row],[Lvl]:[Paper Description]])</f>
        <v>2J29R0872SD400NEUSONIC BLK OYSTER III 48X120110110000020-5000Premium Inkjet MPK 9653</v>
      </c>
      <c r="J1816" s="7">
        <f>COUNTIF(Paper_Reference[Duplicate Key],Paper_Reference[[#This Row],[Duplicate Key]])</f>
        <v>1</v>
      </c>
    </row>
    <row r="1817" spans="1:10">
      <c r="A1817" s="7">
        <v>2</v>
      </c>
      <c r="B1817" s="8" t="s">
        <v>1725</v>
      </c>
      <c r="C1817" s="8" t="s">
        <v>1305</v>
      </c>
      <c r="D1817" s="7">
        <v>1</v>
      </c>
      <c r="E1817" s="7">
        <v>10</v>
      </c>
      <c r="F1817" s="7">
        <v>1</v>
      </c>
      <c r="G1817" s="8" t="s">
        <v>1241</v>
      </c>
      <c r="H1817" s="8" t="s">
        <v>1242</v>
      </c>
      <c r="I1817" s="7" t="str">
        <f>_xlfn.CONCAT(Paper_Reference[[#This Row],[Lvl]:[Paper Description]])</f>
        <v>2J29R0873SD400NEUSONIC BLUE OYSTER 48X120110110000020-5000Premium Inkjet MPK 9653</v>
      </c>
      <c r="J1817" s="7">
        <f>COUNTIF(Paper_Reference[Duplicate Key],Paper_Reference[[#This Row],[Duplicate Key]])</f>
        <v>1</v>
      </c>
    </row>
    <row r="1818" spans="1:10">
      <c r="A1818" s="7">
        <v>2</v>
      </c>
      <c r="B1818" s="8" t="s">
        <v>1726</v>
      </c>
      <c r="C1818" s="8" t="s">
        <v>1306</v>
      </c>
      <c r="D1818" s="7">
        <v>1</v>
      </c>
      <c r="E1818" s="7">
        <v>10</v>
      </c>
      <c r="F1818" s="7">
        <v>1</v>
      </c>
      <c r="G1818" s="8" t="s">
        <v>1241</v>
      </c>
      <c r="H1818" s="8" t="s">
        <v>1242</v>
      </c>
      <c r="I1818" s="7" t="str">
        <f>_xlfn.CONCAT(Paper_Reference[[#This Row],[Lvl]:[Paper Description]])</f>
        <v>2J29R0882SD480EAST KAPOLEI MS 48 X 96110110000020-5000Premium Inkjet MPK 9653</v>
      </c>
      <c r="J1818" s="7">
        <f>COUNTIF(Paper_Reference[Duplicate Key],Paper_Reference[[#This Row],[Duplicate Key]])</f>
        <v>1</v>
      </c>
    </row>
    <row r="1819" spans="1:10">
      <c r="A1819" s="7">
        <v>2</v>
      </c>
      <c r="B1819" s="8" t="s">
        <v>1727</v>
      </c>
      <c r="C1819" s="8" t="s">
        <v>1307</v>
      </c>
      <c r="D1819" s="7">
        <v>1</v>
      </c>
      <c r="E1819" s="7">
        <v>10</v>
      </c>
      <c r="F1819" s="7">
        <v>1</v>
      </c>
      <c r="G1819" s="8" t="s">
        <v>1241</v>
      </c>
      <c r="H1819" s="8" t="s">
        <v>1242</v>
      </c>
      <c r="I1819" s="7" t="str">
        <f>_xlfn.CONCAT(Paper_Reference[[#This Row],[Lvl]:[Paper Description]])</f>
        <v>2J29R0901SD480PEIRCE SCHOOL 48 X 96110110000020-5000Premium Inkjet MPK 9653</v>
      </c>
      <c r="J1819" s="7">
        <f>COUNTIF(Paper_Reference[Duplicate Key],Paper_Reference[[#This Row],[Duplicate Key]])</f>
        <v>1</v>
      </c>
    </row>
    <row r="1820" spans="1:10">
      <c r="A1820" s="7">
        <v>2</v>
      </c>
      <c r="B1820" s="8" t="s">
        <v>7438</v>
      </c>
      <c r="C1820" s="8" t="s">
        <v>6777</v>
      </c>
      <c r="D1820" s="7">
        <v>1</v>
      </c>
      <c r="E1820" s="7">
        <v>10</v>
      </c>
      <c r="F1820" s="7">
        <v>1</v>
      </c>
      <c r="G1820" s="8" t="s">
        <v>6710</v>
      </c>
      <c r="H1820" s="8" t="s">
        <v>5691</v>
      </c>
      <c r="I1820" s="7" t="str">
        <f>_xlfn.CONCAT(Paper_Reference[[#This Row],[Lvl]:[Paper Description]])</f>
        <v>2J29R0902SD480PURGISTICS RANGER 48 X 961101100DS009-5000FROSTY WHITE</v>
      </c>
      <c r="J1820" s="7">
        <f>COUNTIF(Paper_Reference[Duplicate Key],Paper_Reference[[#This Row],[Duplicate Key]])</f>
        <v>1</v>
      </c>
    </row>
    <row r="1821" spans="1:10">
      <c r="A1821" s="7">
        <v>2</v>
      </c>
      <c r="B1821" s="8" t="s">
        <v>1728</v>
      </c>
      <c r="C1821" s="8" t="s">
        <v>1308</v>
      </c>
      <c r="D1821" s="7">
        <v>1</v>
      </c>
      <c r="E1821" s="7">
        <v>10</v>
      </c>
      <c r="F1821" s="7">
        <v>1</v>
      </c>
      <c r="G1821" s="8" t="s">
        <v>1241</v>
      </c>
      <c r="H1821" s="8" t="s">
        <v>1242</v>
      </c>
      <c r="I1821" s="7" t="str">
        <f>_xlfn.CONCAT(Paper_Reference[[#This Row],[Lvl]:[Paper Description]])</f>
        <v>2J29R0910SD480DILLARDS H/COMB CG7 48 X 96110110000020-5000Premium Inkjet MPK 9653</v>
      </c>
      <c r="J1821" s="7">
        <f>COUNTIF(Paper_Reference[Duplicate Key],Paper_Reference[[#This Row],[Duplicate Key]])</f>
        <v>1</v>
      </c>
    </row>
    <row r="1822" spans="1:10">
      <c r="A1822" s="7">
        <v>2</v>
      </c>
      <c r="B1822" s="8" t="s">
        <v>1729</v>
      </c>
      <c r="C1822" s="8" t="s">
        <v>1309</v>
      </c>
      <c r="D1822" s="7">
        <v>1</v>
      </c>
      <c r="E1822" s="7">
        <v>10</v>
      </c>
      <c r="F1822" s="7">
        <v>1</v>
      </c>
      <c r="G1822" s="8" t="s">
        <v>1241</v>
      </c>
      <c r="H1822" s="8" t="s">
        <v>1242</v>
      </c>
      <c r="I1822" s="7" t="str">
        <f>_xlfn.CONCAT(Paper_Reference[[#This Row],[Lvl]:[Paper Description]])</f>
        <v>2J29R0913SD480DARWIN ELEMENTARY 48 X 96110110000020-5000Premium Inkjet MPK 9653</v>
      </c>
      <c r="J1822" s="7">
        <f>COUNTIF(Paper_Reference[Duplicate Key],Paper_Reference[[#This Row],[Duplicate Key]])</f>
        <v>1</v>
      </c>
    </row>
    <row r="1823" spans="1:10">
      <c r="A1823" s="7">
        <v>2</v>
      </c>
      <c r="B1823" s="8" t="s">
        <v>1730</v>
      </c>
      <c r="C1823" s="8" t="s">
        <v>1310</v>
      </c>
      <c r="D1823" s="7">
        <v>1</v>
      </c>
      <c r="E1823" s="7">
        <v>10</v>
      </c>
      <c r="F1823" s="7">
        <v>1</v>
      </c>
      <c r="G1823" s="8" t="s">
        <v>1241</v>
      </c>
      <c r="H1823" s="8" t="s">
        <v>1242</v>
      </c>
      <c r="I1823" s="7" t="str">
        <f>_xlfn.CONCAT(Paper_Reference[[#This Row],[Lvl]:[Paper Description]])</f>
        <v>2J29R0914SD400CRAFTEDWILD CABINET 48 X 120110110000020-5000Premium Inkjet MPK 9653</v>
      </c>
      <c r="J1823" s="7">
        <f>COUNTIF(Paper_Reference[Duplicate Key],Paper_Reference[[#This Row],[Duplicate Key]])</f>
        <v>1</v>
      </c>
    </row>
    <row r="1824" spans="1:10">
      <c r="A1824" s="7">
        <v>2</v>
      </c>
      <c r="B1824" s="8" t="s">
        <v>1731</v>
      </c>
      <c r="C1824" s="8" t="s">
        <v>1311</v>
      </c>
      <c r="D1824" s="7">
        <v>1</v>
      </c>
      <c r="E1824" s="7">
        <v>10</v>
      </c>
      <c r="F1824" s="7">
        <v>1</v>
      </c>
      <c r="G1824" s="8" t="s">
        <v>1241</v>
      </c>
      <c r="H1824" s="8" t="s">
        <v>1242</v>
      </c>
      <c r="I1824" s="7" t="str">
        <f>_xlfn.CONCAT(Paper_Reference[[#This Row],[Lvl]:[Paper Description]])</f>
        <v>2J29R0942SD400LGI WAYFINDING 48 X 120110110000020-5000Premium Inkjet MPK 9653</v>
      </c>
      <c r="J1824" s="7">
        <f>COUNTIF(Paper_Reference[Duplicate Key],Paper_Reference[[#This Row],[Duplicate Key]])</f>
        <v>1</v>
      </c>
    </row>
    <row r="1825" spans="1:10">
      <c r="A1825" s="7">
        <v>2</v>
      </c>
      <c r="B1825" s="8" t="s">
        <v>6222</v>
      </c>
      <c r="C1825" s="8" t="s">
        <v>5759</v>
      </c>
      <c r="D1825" s="7">
        <v>1</v>
      </c>
      <c r="E1825" s="7">
        <v>10</v>
      </c>
      <c r="F1825" s="7">
        <v>1</v>
      </c>
      <c r="G1825" s="8" t="s">
        <v>5690</v>
      </c>
      <c r="H1825" s="8" t="s">
        <v>5691</v>
      </c>
      <c r="I1825" s="7" t="str">
        <f>_xlfn.CONCAT(Paper_Reference[[#This Row],[Lvl]:[Paper Description]])</f>
        <v>2J29R0957SD580PURG RANGER 3BN LOGO 60 X 961101100DS009-6200FROSTY WHITE</v>
      </c>
      <c r="J1825" s="7">
        <f>COUNTIF(Paper_Reference[Duplicate Key],Paper_Reference[[#This Row],[Duplicate Key]])</f>
        <v>1</v>
      </c>
    </row>
    <row r="1826" spans="1:10">
      <c r="A1826" s="7">
        <v>2</v>
      </c>
      <c r="B1826" s="8" t="s">
        <v>6223</v>
      </c>
      <c r="C1826" s="8" t="s">
        <v>5760</v>
      </c>
      <c r="D1826" s="7">
        <v>1</v>
      </c>
      <c r="E1826" s="7">
        <v>10</v>
      </c>
      <c r="F1826" s="7">
        <v>1</v>
      </c>
      <c r="G1826" s="8" t="s">
        <v>5690</v>
      </c>
      <c r="H1826" s="8" t="s">
        <v>5691</v>
      </c>
      <c r="I1826" s="7" t="str">
        <f>_xlfn.CONCAT(Paper_Reference[[#This Row],[Lvl]:[Paper Description]])</f>
        <v>2J29R0958SD580PURG RANGER NO LOGO 60 X 961101100DS009-6200FROSTY WHITE</v>
      </c>
      <c r="J1826" s="7">
        <f>COUNTIF(Paper_Reference[Duplicate Key],Paper_Reference[[#This Row],[Duplicate Key]])</f>
        <v>1</v>
      </c>
    </row>
    <row r="1827" spans="1:10">
      <c r="A1827" s="7">
        <v>2</v>
      </c>
      <c r="B1827" s="8" t="s">
        <v>1732</v>
      </c>
      <c r="C1827" s="8" t="s">
        <v>1312</v>
      </c>
      <c r="D1827" s="7">
        <v>1</v>
      </c>
      <c r="E1827" s="7">
        <v>10</v>
      </c>
      <c r="F1827" s="7">
        <v>1</v>
      </c>
      <c r="G1827" s="8" t="s">
        <v>1241</v>
      </c>
      <c r="H1827" s="8" t="s">
        <v>1242</v>
      </c>
      <c r="I1827" s="7" t="str">
        <f>_xlfn.CONCAT(Paper_Reference[[#This Row],[Lvl]:[Paper Description]])</f>
        <v>2J29R0962SD480GREENVILLE EAGLE HEAD 48X96110110000020-5000Premium Inkjet MPK 9653</v>
      </c>
      <c r="J1827" s="7">
        <f>COUNTIF(Paper_Reference[Duplicate Key],Paper_Reference[[#This Row],[Duplicate Key]])</f>
        <v>1</v>
      </c>
    </row>
    <row r="1828" spans="1:10">
      <c r="A1828" s="7">
        <v>2</v>
      </c>
      <c r="B1828" s="8" t="s">
        <v>1733</v>
      </c>
      <c r="C1828" s="8" t="s">
        <v>1313</v>
      </c>
      <c r="D1828" s="7">
        <v>1</v>
      </c>
      <c r="E1828" s="7">
        <v>10</v>
      </c>
      <c r="F1828" s="7">
        <v>1</v>
      </c>
      <c r="G1828" s="8" t="s">
        <v>1241</v>
      </c>
      <c r="H1828" s="8" t="s">
        <v>1242</v>
      </c>
      <c r="I1828" s="7" t="str">
        <f>_xlfn.CONCAT(Paper_Reference[[#This Row],[Lvl]:[Paper Description]])</f>
        <v>2J29R0982SD420INOVABED SS-211 48 X 144110110000020-5000Premium Inkjet MPK 9653</v>
      </c>
      <c r="J1828" s="7">
        <f>COUNTIF(Paper_Reference[Duplicate Key],Paper_Reference[[#This Row],[Duplicate Key]])</f>
        <v>1</v>
      </c>
    </row>
    <row r="1829" spans="1:10">
      <c r="A1829" s="7">
        <v>2</v>
      </c>
      <c r="B1829" s="8" t="s">
        <v>2609</v>
      </c>
      <c r="C1829" s="8" t="s">
        <v>2160</v>
      </c>
      <c r="D1829" s="7">
        <v>1</v>
      </c>
      <c r="E1829" s="7">
        <v>10</v>
      </c>
      <c r="F1829" s="7">
        <v>1</v>
      </c>
      <c r="G1829" s="8" t="s">
        <v>2144</v>
      </c>
      <c r="H1829" s="8" t="s">
        <v>1242</v>
      </c>
      <c r="I1829" s="7" t="str">
        <f>_xlfn.CONCAT(Paper_Reference[[#This Row],[Lvl]:[Paper Description]])</f>
        <v>2J29R0983SD580INOVABED SS-213 60 X 96110110000020-6200Premium Inkjet MPK 9653</v>
      </c>
      <c r="J1829" s="7">
        <f>COUNTIF(Paper_Reference[Duplicate Key],Paper_Reference[[#This Row],[Duplicate Key]])</f>
        <v>1</v>
      </c>
    </row>
    <row r="1830" spans="1:10">
      <c r="A1830" s="7">
        <v>2</v>
      </c>
      <c r="B1830" s="8" t="s">
        <v>1734</v>
      </c>
      <c r="C1830" s="8" t="s">
        <v>1314</v>
      </c>
      <c r="D1830" s="7">
        <v>1</v>
      </c>
      <c r="E1830" s="7">
        <v>10</v>
      </c>
      <c r="F1830" s="7">
        <v>1</v>
      </c>
      <c r="G1830" s="8" t="s">
        <v>1241</v>
      </c>
      <c r="H1830" s="8" t="s">
        <v>1242</v>
      </c>
      <c r="I1830" s="7" t="str">
        <f>_xlfn.CONCAT(Paper_Reference[[#This Row],[Lvl]:[Paper Description]])</f>
        <v>2J29R1004SD4001BLUE OYSTER MASTER 48 X 120110110000020-5000Premium Inkjet MPK 9653</v>
      </c>
      <c r="J1830" s="7">
        <f>COUNTIF(Paper_Reference[Duplicate Key],Paper_Reference[[#This Row],[Duplicate Key]])</f>
        <v>1</v>
      </c>
    </row>
    <row r="1831" spans="1:10">
      <c r="A1831" s="7">
        <v>2</v>
      </c>
      <c r="B1831" s="8" t="s">
        <v>1735</v>
      </c>
      <c r="C1831" s="8" t="s">
        <v>1315</v>
      </c>
      <c r="D1831" s="7">
        <v>1</v>
      </c>
      <c r="E1831" s="7">
        <v>10</v>
      </c>
      <c r="F1831" s="7">
        <v>1</v>
      </c>
      <c r="G1831" s="8" t="s">
        <v>1241</v>
      </c>
      <c r="H1831" s="8" t="s">
        <v>1242</v>
      </c>
      <c r="I1831" s="7" t="str">
        <f>_xlfn.CONCAT(Paper_Reference[[#This Row],[Lvl]:[Paper Description]])</f>
        <v>2J29R1050SD420INOVABED SS-212 48 X 144110110000020-5000Premium Inkjet MPK 9653</v>
      </c>
      <c r="J1831" s="7">
        <f>COUNTIF(Paper_Reference[Duplicate Key],Paper_Reference[[#This Row],[Duplicate Key]])</f>
        <v>1</v>
      </c>
    </row>
    <row r="1832" spans="1:10">
      <c r="A1832" s="7">
        <v>2</v>
      </c>
      <c r="B1832" s="8" t="s">
        <v>2610</v>
      </c>
      <c r="C1832" s="8" t="s">
        <v>2161</v>
      </c>
      <c r="D1832" s="7">
        <v>1</v>
      </c>
      <c r="E1832" s="7">
        <v>10</v>
      </c>
      <c r="F1832" s="7">
        <v>1</v>
      </c>
      <c r="G1832" s="8" t="s">
        <v>2144</v>
      </c>
      <c r="H1832" s="8" t="s">
        <v>1242</v>
      </c>
      <c r="I1832" s="7" t="str">
        <f>_xlfn.CONCAT(Paper_Reference[[#This Row],[Lvl]:[Paper Description]])</f>
        <v>2J29R1091SD500GREENVILLE EAGLE HEAD 60 X 120110110000020-6200Premium Inkjet MPK 9653</v>
      </c>
      <c r="J1832" s="7">
        <f>COUNTIF(Paper_Reference[Duplicate Key],Paper_Reference[[#This Row],[Duplicate Key]])</f>
        <v>1</v>
      </c>
    </row>
    <row r="1833" spans="1:10">
      <c r="A1833" s="7">
        <v>2</v>
      </c>
      <c r="B1833" s="8" t="s">
        <v>1736</v>
      </c>
      <c r="C1833" s="8" t="s">
        <v>1316</v>
      </c>
      <c r="D1833" s="7">
        <v>1</v>
      </c>
      <c r="E1833" s="7">
        <v>10</v>
      </c>
      <c r="F1833" s="7">
        <v>1</v>
      </c>
      <c r="G1833" s="8" t="s">
        <v>1241</v>
      </c>
      <c r="H1833" s="8" t="s">
        <v>1242</v>
      </c>
      <c r="I1833" s="7" t="str">
        <f>_xlfn.CONCAT(Paper_Reference[[#This Row],[Lvl]:[Paper Description]])</f>
        <v>2J29R1099SD420CANADIAN HS GREEN LVS 48 X 144110110000020-5000Premium Inkjet MPK 9653</v>
      </c>
      <c r="J1833" s="7">
        <f>COUNTIF(Paper_Reference[Duplicate Key],Paper_Reference[[#This Row],[Duplicate Key]])</f>
        <v>1</v>
      </c>
    </row>
    <row r="1834" spans="1:10">
      <c r="A1834" s="7">
        <v>2</v>
      </c>
      <c r="B1834" s="8" t="s">
        <v>1737</v>
      </c>
      <c r="C1834" s="8" t="s">
        <v>1317</v>
      </c>
      <c r="D1834" s="7">
        <v>1</v>
      </c>
      <c r="E1834" s="7">
        <v>10</v>
      </c>
      <c r="F1834" s="7">
        <v>1</v>
      </c>
      <c r="G1834" s="8" t="s">
        <v>1241</v>
      </c>
      <c r="H1834" s="8" t="s">
        <v>1242</v>
      </c>
      <c r="I1834" s="7" t="str">
        <f>_xlfn.CONCAT(Paper_Reference[[#This Row],[Lvl]:[Paper Description]])</f>
        <v>2J29R1110SD480CFBISD WALL PANELS 48 X 96110110000020-5000Premium Inkjet MPK 9653</v>
      </c>
      <c r="J1834" s="7">
        <f>COUNTIF(Paper_Reference[Duplicate Key],Paper_Reference[[#This Row],[Duplicate Key]])</f>
        <v>1</v>
      </c>
    </row>
    <row r="1835" spans="1:10">
      <c r="A1835" s="7">
        <v>2</v>
      </c>
      <c r="B1835" s="8" t="s">
        <v>1738</v>
      </c>
      <c r="C1835" s="8" t="s">
        <v>1318</v>
      </c>
      <c r="D1835" s="7">
        <v>1</v>
      </c>
      <c r="E1835" s="7">
        <v>10</v>
      </c>
      <c r="F1835" s="7">
        <v>1</v>
      </c>
      <c r="G1835" s="8" t="s">
        <v>1241</v>
      </c>
      <c r="H1835" s="8" t="s">
        <v>1242</v>
      </c>
      <c r="I1835" s="7" t="str">
        <f>_xlfn.CONCAT(Paper_Reference[[#This Row],[Lvl]:[Paper Description]])</f>
        <v>2J29R1145SD420INOVABED SS-258 48 X 144110110000020-5000Premium Inkjet MPK 9653</v>
      </c>
      <c r="J1835" s="7">
        <f>COUNTIF(Paper_Reference[Duplicate Key],Paper_Reference[[#This Row],[Duplicate Key]])</f>
        <v>1</v>
      </c>
    </row>
    <row r="1836" spans="1:10">
      <c r="A1836" s="7">
        <v>2</v>
      </c>
      <c r="B1836" s="8" t="s">
        <v>1739</v>
      </c>
      <c r="C1836" s="8" t="s">
        <v>1319</v>
      </c>
      <c r="D1836" s="7">
        <v>1</v>
      </c>
      <c r="E1836" s="7">
        <v>10</v>
      </c>
      <c r="F1836" s="7">
        <v>1</v>
      </c>
      <c r="G1836" s="8" t="s">
        <v>1241</v>
      </c>
      <c r="H1836" s="8" t="s">
        <v>1242</v>
      </c>
      <c r="I1836" s="7" t="str">
        <f>_xlfn.CONCAT(Paper_Reference[[#This Row],[Lvl]:[Paper Description]])</f>
        <v>2J29R1200SD480WINNEBAGO TOPO 48 X 96110110000020-5000Premium Inkjet MPK 9653</v>
      </c>
      <c r="J1836" s="7">
        <f>COUNTIF(Paper_Reference[Duplicate Key],Paper_Reference[[#This Row],[Duplicate Key]])</f>
        <v>1</v>
      </c>
    </row>
    <row r="1837" spans="1:10">
      <c r="A1837" s="7">
        <v>2</v>
      </c>
      <c r="B1837" s="8" t="s">
        <v>1740</v>
      </c>
      <c r="C1837" s="8" t="s">
        <v>1320</v>
      </c>
      <c r="D1837" s="7">
        <v>1</v>
      </c>
      <c r="E1837" s="7">
        <v>10</v>
      </c>
      <c r="F1837" s="7">
        <v>1</v>
      </c>
      <c r="G1837" s="8" t="s">
        <v>1241</v>
      </c>
      <c r="H1837" s="8" t="s">
        <v>1242</v>
      </c>
      <c r="I1837" s="7" t="str">
        <f>_xlfn.CONCAT(Paper_Reference[[#This Row],[Lvl]:[Paper Description]])</f>
        <v>2J29R1201SD480WB PIEPER TABLE BASE 48 X 96110110000020-5000Premium Inkjet MPK 9653</v>
      </c>
      <c r="J1837" s="7">
        <f>COUNTIF(Paper_Reference[Duplicate Key],Paper_Reference[[#This Row],[Duplicate Key]])</f>
        <v>1</v>
      </c>
    </row>
    <row r="1838" spans="1:10">
      <c r="A1838" s="7">
        <v>2</v>
      </c>
      <c r="B1838" s="8" t="s">
        <v>1741</v>
      </c>
      <c r="C1838" s="8" t="s">
        <v>1321</v>
      </c>
      <c r="D1838" s="7">
        <v>1</v>
      </c>
      <c r="E1838" s="7">
        <v>10</v>
      </c>
      <c r="F1838" s="7">
        <v>1</v>
      </c>
      <c r="G1838" s="8" t="s">
        <v>1241</v>
      </c>
      <c r="H1838" s="8" t="s">
        <v>1242</v>
      </c>
      <c r="I1838" s="7" t="str">
        <f>_xlfn.CONCAT(Paper_Reference[[#This Row],[Lvl]:[Paper Description]])</f>
        <v>2J29R1202SD480WB PIEPER MONITOR 48 X 96110110000020-5000Premium Inkjet MPK 9653</v>
      </c>
      <c r="J1838" s="7">
        <f>COUNTIF(Paper_Reference[Duplicate Key],Paper_Reference[[#This Row],[Duplicate Key]])</f>
        <v>1</v>
      </c>
    </row>
    <row r="1839" spans="1:10">
      <c r="A1839" s="7">
        <v>2</v>
      </c>
      <c r="B1839" s="8" t="s">
        <v>1742</v>
      </c>
      <c r="C1839" s="8" t="s">
        <v>1322</v>
      </c>
      <c r="D1839" s="7">
        <v>1</v>
      </c>
      <c r="E1839" s="7">
        <v>10</v>
      </c>
      <c r="F1839" s="7">
        <v>1</v>
      </c>
      <c r="G1839" s="8" t="s">
        <v>1241</v>
      </c>
      <c r="H1839" s="8" t="s">
        <v>1242</v>
      </c>
      <c r="I1839" s="7" t="str">
        <f>_xlfn.CONCAT(Paper_Reference[[#This Row],[Lvl]:[Paper Description]])</f>
        <v>2J29R1205SD420INOVABED GFSH01 48 X 144110110000020-5000Premium Inkjet MPK 9653</v>
      </c>
      <c r="J1839" s="7">
        <f>COUNTIF(Paper_Reference[Duplicate Key],Paper_Reference[[#This Row],[Duplicate Key]])</f>
        <v>1</v>
      </c>
    </row>
    <row r="1840" spans="1:10">
      <c r="A1840" s="7">
        <v>2</v>
      </c>
      <c r="B1840" s="8" t="s">
        <v>1743</v>
      </c>
      <c r="C1840" s="8" t="s">
        <v>1323</v>
      </c>
      <c r="D1840" s="7">
        <v>1</v>
      </c>
      <c r="E1840" s="7">
        <v>10</v>
      </c>
      <c r="F1840" s="7">
        <v>1</v>
      </c>
      <c r="G1840" s="8" t="s">
        <v>1241</v>
      </c>
      <c r="H1840" s="8" t="s">
        <v>1242</v>
      </c>
      <c r="I1840" s="7" t="str">
        <f>_xlfn.CONCAT(Paper_Reference[[#This Row],[Lvl]:[Paper Description]])</f>
        <v>2J29R1207SD480WB STRANAHAN HS 48 X 96110110000020-5000Premium Inkjet MPK 9653</v>
      </c>
      <c r="J1840" s="7">
        <f>COUNTIF(Paper_Reference[Duplicate Key],Paper_Reference[[#This Row],[Duplicate Key]])</f>
        <v>1</v>
      </c>
    </row>
    <row r="1841" spans="1:10">
      <c r="A1841" s="7">
        <v>2</v>
      </c>
      <c r="B1841" s="8" t="s">
        <v>1744</v>
      </c>
      <c r="C1841" s="8" t="s">
        <v>1324</v>
      </c>
      <c r="D1841" s="7">
        <v>1</v>
      </c>
      <c r="E1841" s="7">
        <v>10</v>
      </c>
      <c r="F1841" s="7">
        <v>1</v>
      </c>
      <c r="G1841" s="8" t="s">
        <v>1241</v>
      </c>
      <c r="H1841" s="8" t="s">
        <v>1242</v>
      </c>
      <c r="I1841" s="7" t="str">
        <f>_xlfn.CONCAT(Paper_Reference[[#This Row],[Lvl]:[Paper Description]])</f>
        <v>2J29R1214SD420INOVABED BRSH01 48 X 144110110000020-5000Premium Inkjet MPK 9653</v>
      </c>
      <c r="J1841" s="7">
        <f>COUNTIF(Paper_Reference[Duplicate Key],Paper_Reference[[#This Row],[Duplicate Key]])</f>
        <v>1</v>
      </c>
    </row>
    <row r="1842" spans="1:10">
      <c r="A1842" s="7">
        <v>2</v>
      </c>
      <c r="B1842" s="8" t="s">
        <v>1745</v>
      </c>
      <c r="C1842" s="8" t="s">
        <v>1325</v>
      </c>
      <c r="D1842" s="7">
        <v>1</v>
      </c>
      <c r="E1842" s="7">
        <v>10</v>
      </c>
      <c r="F1842" s="7">
        <v>1</v>
      </c>
      <c r="G1842" s="8" t="s">
        <v>1241</v>
      </c>
      <c r="H1842" s="8" t="s">
        <v>1242</v>
      </c>
      <c r="I1842" s="7" t="str">
        <f>_xlfn.CONCAT(Paper_Reference[[#This Row],[Lvl]:[Paper Description]])</f>
        <v>2J29R1215SD420INOVABED BRSH02 48 X 144110110000020-5000Premium Inkjet MPK 9653</v>
      </c>
      <c r="J1842" s="7">
        <f>COUNTIF(Paper_Reference[Duplicate Key],Paper_Reference[[#This Row],[Duplicate Key]])</f>
        <v>1</v>
      </c>
    </row>
    <row r="1843" spans="1:10">
      <c r="A1843" s="7">
        <v>2</v>
      </c>
      <c r="B1843" s="8" t="s">
        <v>1746</v>
      </c>
      <c r="C1843" s="8" t="s">
        <v>1326</v>
      </c>
      <c r="D1843" s="7">
        <v>1</v>
      </c>
      <c r="E1843" s="7">
        <v>10</v>
      </c>
      <c r="F1843" s="7">
        <v>1</v>
      </c>
      <c r="G1843" s="8" t="s">
        <v>1241</v>
      </c>
      <c r="H1843" s="8" t="s">
        <v>1242</v>
      </c>
      <c r="I1843" s="7" t="str">
        <f>_xlfn.CONCAT(Paper_Reference[[#This Row],[Lvl]:[Paper Description]])</f>
        <v>2J29R1234SD420INOVABED GRSH02 48 X 144110110000020-5000Premium Inkjet MPK 9653</v>
      </c>
      <c r="J1843" s="7">
        <f>COUNTIF(Paper_Reference[Duplicate Key],Paper_Reference[[#This Row],[Duplicate Key]])</f>
        <v>1</v>
      </c>
    </row>
    <row r="1844" spans="1:10">
      <c r="A1844" s="7">
        <v>2</v>
      </c>
      <c r="B1844" s="8" t="s">
        <v>1747</v>
      </c>
      <c r="C1844" s="8" t="s">
        <v>1327</v>
      </c>
      <c r="D1844" s="7">
        <v>1</v>
      </c>
      <c r="E1844" s="7">
        <v>10</v>
      </c>
      <c r="F1844" s="7">
        <v>1</v>
      </c>
      <c r="G1844" s="8" t="s">
        <v>1241</v>
      </c>
      <c r="H1844" s="8" t="s">
        <v>1242</v>
      </c>
      <c r="I1844" s="7" t="str">
        <f>_xlfn.CONCAT(Paper_Reference[[#This Row],[Lvl]:[Paper Description]])</f>
        <v>2J29R1239SD480INOVABED DHSH01 - P/PAN 48X96110110000020-5000Premium Inkjet MPK 9653</v>
      </c>
      <c r="J1844" s="7">
        <f>COUNTIF(Paper_Reference[Duplicate Key],Paper_Reference[[#This Row],[Duplicate Key]])</f>
        <v>1</v>
      </c>
    </row>
    <row r="1845" spans="1:10">
      <c r="A1845" s="7">
        <v>2</v>
      </c>
      <c r="B1845" s="8" t="s">
        <v>1748</v>
      </c>
      <c r="C1845" s="8" t="s">
        <v>1328</v>
      </c>
      <c r="D1845" s="7">
        <v>1</v>
      </c>
      <c r="E1845" s="7">
        <v>10</v>
      </c>
      <c r="F1845" s="7">
        <v>1</v>
      </c>
      <c r="G1845" s="8" t="s">
        <v>1241</v>
      </c>
      <c r="H1845" s="8" t="s">
        <v>1242</v>
      </c>
      <c r="I1845" s="7" t="str">
        <f>_xlfn.CONCAT(Paper_Reference[[#This Row],[Lvl]:[Paper Description]])</f>
        <v>2J29R1256SD480MUST MIN WMN TV ROOM 48 X 96110110000020-5000Premium Inkjet MPK 9653</v>
      </c>
      <c r="J1845" s="7">
        <f>COUNTIF(Paper_Reference[Duplicate Key],Paper_Reference[[#This Row],[Duplicate Key]])</f>
        <v>1</v>
      </c>
    </row>
    <row r="1846" spans="1:10">
      <c r="A1846" s="7">
        <v>2</v>
      </c>
      <c r="B1846" s="8" t="s">
        <v>1749</v>
      </c>
      <c r="C1846" s="8" t="s">
        <v>1329</v>
      </c>
      <c r="D1846" s="7">
        <v>1</v>
      </c>
      <c r="E1846" s="7">
        <v>10</v>
      </c>
      <c r="F1846" s="7">
        <v>1</v>
      </c>
      <c r="G1846" s="8" t="s">
        <v>1241</v>
      </c>
      <c r="H1846" s="8" t="s">
        <v>1242</v>
      </c>
      <c r="I1846" s="7" t="str">
        <f>_xlfn.CONCAT(Paper_Reference[[#This Row],[Lvl]:[Paper Description]])</f>
        <v>2J29R1257SD400MUST MIN FAMILY RM 48 X 120110110000020-5000Premium Inkjet MPK 9653</v>
      </c>
      <c r="J1846" s="7">
        <f>COUNTIF(Paper_Reference[Duplicate Key],Paper_Reference[[#This Row],[Duplicate Key]])</f>
        <v>1</v>
      </c>
    </row>
    <row r="1847" spans="1:10">
      <c r="A1847" s="7">
        <v>2</v>
      </c>
      <c r="B1847" s="8" t="s">
        <v>2611</v>
      </c>
      <c r="C1847" s="8" t="s">
        <v>2162</v>
      </c>
      <c r="D1847" s="7">
        <v>1</v>
      </c>
      <c r="E1847" s="7">
        <v>10</v>
      </c>
      <c r="F1847" s="7">
        <v>1</v>
      </c>
      <c r="G1847" s="8" t="s">
        <v>2144</v>
      </c>
      <c r="H1847" s="8" t="s">
        <v>1242</v>
      </c>
      <c r="I1847" s="7" t="str">
        <f>_xlfn.CONCAT(Paper_Reference[[#This Row],[Lvl]:[Paper Description]])</f>
        <v>2J29R1263SD580MUST MIN MENS WING 60 X 96110110000020-6200Premium Inkjet MPK 9653</v>
      </c>
      <c r="J1847" s="7">
        <f>COUNTIF(Paper_Reference[Duplicate Key],Paper_Reference[[#This Row],[Duplicate Key]])</f>
        <v>1</v>
      </c>
    </row>
    <row r="1848" spans="1:10">
      <c r="A1848" s="7">
        <v>2</v>
      </c>
      <c r="B1848" s="8" t="s">
        <v>2612</v>
      </c>
      <c r="C1848" s="8" t="s">
        <v>2163</v>
      </c>
      <c r="D1848" s="7">
        <v>1</v>
      </c>
      <c r="E1848" s="7">
        <v>10</v>
      </c>
      <c r="F1848" s="7">
        <v>1</v>
      </c>
      <c r="G1848" s="8" t="s">
        <v>2144</v>
      </c>
      <c r="H1848" s="8" t="s">
        <v>1242</v>
      </c>
      <c r="I1848" s="7" t="str">
        <f>_xlfn.CONCAT(Paper_Reference[[#This Row],[Lvl]:[Paper Description]])</f>
        <v>2J29R1264SD500MUST MIN WAIT WALL 60 X 120110110000020-6200Premium Inkjet MPK 9653</v>
      </c>
      <c r="J1848" s="7">
        <f>COUNTIF(Paper_Reference[Duplicate Key],Paper_Reference[[#This Row],[Duplicate Key]])</f>
        <v>1</v>
      </c>
    </row>
    <row r="1849" spans="1:10">
      <c r="A1849" s="7">
        <v>2</v>
      </c>
      <c r="B1849" s="8" t="s">
        <v>1750</v>
      </c>
      <c r="C1849" s="8" t="s">
        <v>1330</v>
      </c>
      <c r="D1849" s="7">
        <v>1</v>
      </c>
      <c r="E1849" s="7">
        <v>10</v>
      </c>
      <c r="F1849" s="7">
        <v>1</v>
      </c>
      <c r="G1849" s="8" t="s">
        <v>1241</v>
      </c>
      <c r="H1849" s="8" t="s">
        <v>1242</v>
      </c>
      <c r="I1849" s="7" t="str">
        <f>_xlfn.CONCAT(Paper_Reference[[#This Row],[Lvl]:[Paper Description]])</f>
        <v>2J29R1269SD480INOVABED BRSH03 FOREST 48 X 96110110000020-5000Premium Inkjet MPK 9653</v>
      </c>
      <c r="J1849" s="7">
        <f>COUNTIF(Paper_Reference[Duplicate Key],Paper_Reference[[#This Row],[Duplicate Key]])</f>
        <v>1</v>
      </c>
    </row>
    <row r="1850" spans="1:10">
      <c r="A1850" s="7">
        <v>2</v>
      </c>
      <c r="B1850" s="8" t="s">
        <v>1751</v>
      </c>
      <c r="C1850" s="8" t="s">
        <v>1331</v>
      </c>
      <c r="D1850" s="7">
        <v>1</v>
      </c>
      <c r="E1850" s="7">
        <v>10</v>
      </c>
      <c r="F1850" s="7">
        <v>1</v>
      </c>
      <c r="G1850" s="8" t="s">
        <v>1241</v>
      </c>
      <c r="H1850" s="8" t="s">
        <v>1242</v>
      </c>
      <c r="I1850" s="7" t="str">
        <f>_xlfn.CONCAT(Paper_Reference[[#This Row],[Lvl]:[Paper Description]])</f>
        <v>2J29R1270SD480INOVABED BRSH04 C &amp; D 48 X 96110110000020-5000Premium Inkjet MPK 9653</v>
      </c>
      <c r="J1850" s="7">
        <f>COUNTIF(Paper_Reference[Duplicate Key],Paper_Reference[[#This Row],[Duplicate Key]])</f>
        <v>1</v>
      </c>
    </row>
    <row r="1851" spans="1:10">
      <c r="A1851" s="7">
        <v>2</v>
      </c>
      <c r="B1851" s="8" t="s">
        <v>1752</v>
      </c>
      <c r="C1851" s="8" t="s">
        <v>1332</v>
      </c>
      <c r="D1851" s="7">
        <v>1</v>
      </c>
      <c r="E1851" s="7">
        <v>10</v>
      </c>
      <c r="F1851" s="7">
        <v>1</v>
      </c>
      <c r="G1851" s="8" t="s">
        <v>1241</v>
      </c>
      <c r="H1851" s="8" t="s">
        <v>1242</v>
      </c>
      <c r="I1851" s="7" t="str">
        <f>_xlfn.CONCAT(Paper_Reference[[#This Row],[Lvl]:[Paper Description]])</f>
        <v>2J29R1352SD480SATORY DESIGN SILLY STRING 48X110110000020-5000Premium Inkjet MPK 9653</v>
      </c>
      <c r="J1851" s="7">
        <f>COUNTIF(Paper_Reference[Duplicate Key],Paper_Reference[[#This Row],[Duplicate Key]])</f>
        <v>1</v>
      </c>
    </row>
    <row r="1852" spans="1:10">
      <c r="A1852" s="7">
        <v>2</v>
      </c>
      <c r="B1852" s="8" t="s">
        <v>1753</v>
      </c>
      <c r="C1852" s="8" t="s">
        <v>1333</v>
      </c>
      <c r="D1852" s="7">
        <v>1</v>
      </c>
      <c r="E1852" s="7">
        <v>10</v>
      </c>
      <c r="F1852" s="7">
        <v>1</v>
      </c>
      <c r="G1852" s="8" t="s">
        <v>1241</v>
      </c>
      <c r="H1852" s="8" t="s">
        <v>1242</v>
      </c>
      <c r="I1852" s="7" t="str">
        <f>_xlfn.CONCAT(Paper_Reference[[#This Row],[Lvl]:[Paper Description]])</f>
        <v>2J29R1356SM480SPACEFILE UC OCEANSCAPE 48X96110110000020-5000Premium Inkjet MPK 9653</v>
      </c>
      <c r="J1852" s="7">
        <f>COUNTIF(Paper_Reference[Duplicate Key],Paper_Reference[[#This Row],[Duplicate Key]])</f>
        <v>1</v>
      </c>
    </row>
    <row r="1853" spans="1:10">
      <c r="A1853" s="7">
        <v>2</v>
      </c>
      <c r="B1853" s="8" t="s">
        <v>1754</v>
      </c>
      <c r="C1853" s="8" t="s">
        <v>1334</v>
      </c>
      <c r="D1853" s="7">
        <v>1</v>
      </c>
      <c r="E1853" s="7">
        <v>10</v>
      </c>
      <c r="F1853" s="7">
        <v>1</v>
      </c>
      <c r="G1853" s="8" t="s">
        <v>1241</v>
      </c>
      <c r="H1853" s="8" t="s">
        <v>1242</v>
      </c>
      <c r="I1853" s="7" t="str">
        <f>_xlfn.CONCAT(Paper_Reference[[#This Row],[Lvl]:[Paper Description]])</f>
        <v>2J29R1368SD420INVBD 6716 STD A SB 48 X 144110110000020-5000Premium Inkjet MPK 9653</v>
      </c>
      <c r="J1853" s="7">
        <f>COUNTIF(Paper_Reference[Duplicate Key],Paper_Reference[[#This Row],[Duplicate Key]])</f>
        <v>1</v>
      </c>
    </row>
    <row r="1854" spans="1:10">
      <c r="A1854" s="7">
        <v>2</v>
      </c>
      <c r="B1854" s="8" t="s">
        <v>1755</v>
      </c>
      <c r="C1854" s="8" t="s">
        <v>1335</v>
      </c>
      <c r="D1854" s="7">
        <v>1</v>
      </c>
      <c r="E1854" s="7">
        <v>10</v>
      </c>
      <c r="F1854" s="7">
        <v>1</v>
      </c>
      <c r="G1854" s="8" t="s">
        <v>1241</v>
      </c>
      <c r="H1854" s="8" t="s">
        <v>1242</v>
      </c>
      <c r="I1854" s="7" t="str">
        <f>_xlfn.CONCAT(Paper_Reference[[#This Row],[Lvl]:[Paper Description]])</f>
        <v>2J29R1388SD420INVBD 6716 STD B PT 48 X 144110110000020-5000Premium Inkjet MPK 9653</v>
      </c>
      <c r="J1854" s="7">
        <f>COUNTIF(Paper_Reference[Duplicate Key],Paper_Reference[[#This Row],[Duplicate Key]])</f>
        <v>1</v>
      </c>
    </row>
    <row r="1855" spans="1:10">
      <c r="A1855" s="7">
        <v>2</v>
      </c>
      <c r="B1855" s="8" t="s">
        <v>1756</v>
      </c>
      <c r="C1855" s="8" t="s">
        <v>1336</v>
      </c>
      <c r="D1855" s="7">
        <v>1</v>
      </c>
      <c r="E1855" s="7">
        <v>10</v>
      </c>
      <c r="F1855" s="7">
        <v>1</v>
      </c>
      <c r="G1855" s="8" t="s">
        <v>1241</v>
      </c>
      <c r="H1855" s="8" t="s">
        <v>1242</v>
      </c>
      <c r="I1855" s="7" t="str">
        <f>_xlfn.CONCAT(Paper_Reference[[#This Row],[Lvl]:[Paper Description]])</f>
        <v>2J29R1389SD420INVBD 6716 1BR PRIN-FROG 48X14110110000020-5000Premium Inkjet MPK 9653</v>
      </c>
      <c r="J1855" s="7">
        <f>COUNTIF(Paper_Reference[Duplicate Key],Paper_Reference[[#This Row],[Duplicate Key]])</f>
        <v>1</v>
      </c>
    </row>
    <row r="1856" spans="1:10">
      <c r="A1856" s="7">
        <v>2</v>
      </c>
      <c r="B1856" s="8" t="s">
        <v>1757</v>
      </c>
      <c r="C1856" s="8" t="s">
        <v>1337</v>
      </c>
      <c r="D1856" s="7">
        <v>1</v>
      </c>
      <c r="E1856" s="7">
        <v>10</v>
      </c>
      <c r="F1856" s="7">
        <v>1</v>
      </c>
      <c r="G1856" s="8" t="s">
        <v>1241</v>
      </c>
      <c r="H1856" s="8" t="s">
        <v>1242</v>
      </c>
      <c r="I1856" s="7" t="str">
        <f>_xlfn.CONCAT(Paper_Reference[[#This Row],[Lvl]:[Paper Description]])</f>
        <v>2J29R1397SD420INVBD BCV DAISDON FRWKS 48X144110110000020-5000Premium Inkjet MPK 9653</v>
      </c>
      <c r="J1856" s="7">
        <f>COUNTIF(Paper_Reference[Duplicate Key],Paper_Reference[[#This Row],[Duplicate Key]])</f>
        <v>1</v>
      </c>
    </row>
    <row r="1857" spans="1:10">
      <c r="A1857" s="7">
        <v>2</v>
      </c>
      <c r="B1857" s="8" t="s">
        <v>1758</v>
      </c>
      <c r="C1857" s="8" t="s">
        <v>1338</v>
      </c>
      <c r="D1857" s="7">
        <v>1</v>
      </c>
      <c r="E1857" s="7">
        <v>10</v>
      </c>
      <c r="F1857" s="7">
        <v>1</v>
      </c>
      <c r="G1857" s="8" t="s">
        <v>1241</v>
      </c>
      <c r="H1857" s="8" t="s">
        <v>1242</v>
      </c>
      <c r="I1857" s="7" t="str">
        <f>_xlfn.CONCAT(Paper_Reference[[#This Row],[Lvl]:[Paper Description]])</f>
        <v>2J29R1398SD420INVBD BCV HEUDEW SAND 48X144110110000020-5000Premium Inkjet MPK 9653</v>
      </c>
      <c r="J1857" s="7">
        <f>COUNTIF(Paper_Reference[Duplicate Key],Paper_Reference[[#This Row],[Duplicate Key]])</f>
        <v>1</v>
      </c>
    </row>
    <row r="1858" spans="1:10">
      <c r="A1858" s="7">
        <v>2</v>
      </c>
      <c r="B1858" s="8" t="s">
        <v>1759</v>
      </c>
      <c r="C1858" s="8" t="s">
        <v>1339</v>
      </c>
      <c r="D1858" s="7">
        <v>1</v>
      </c>
      <c r="E1858" s="7">
        <v>10</v>
      </c>
      <c r="F1858" s="7">
        <v>1</v>
      </c>
      <c r="G1858" s="8" t="s">
        <v>1241</v>
      </c>
      <c r="H1858" s="8" t="s">
        <v>1242</v>
      </c>
      <c r="I1858" s="7" t="str">
        <f>_xlfn.CONCAT(Paper_Reference[[#This Row],[Lvl]:[Paper Description]])</f>
        <v>2J29R1401SD420INVBD PASSH10 MICKEY 48 X 144110110000020-5000Premium Inkjet MPK 9653</v>
      </c>
      <c r="J1858" s="7">
        <f>COUNTIF(Paper_Reference[Duplicate Key],Paper_Reference[[#This Row],[Duplicate Key]])</f>
        <v>1</v>
      </c>
    </row>
    <row r="1859" spans="1:10">
      <c r="A1859" s="7">
        <v>2</v>
      </c>
      <c r="B1859" s="8" t="s">
        <v>1760</v>
      </c>
      <c r="C1859" s="8" t="s">
        <v>1340</v>
      </c>
      <c r="D1859" s="7">
        <v>1</v>
      </c>
      <c r="E1859" s="7">
        <v>10</v>
      </c>
      <c r="F1859" s="7">
        <v>1</v>
      </c>
      <c r="G1859" s="8" t="s">
        <v>1241</v>
      </c>
      <c r="H1859" s="8" t="s">
        <v>1242</v>
      </c>
      <c r="I1859" s="7" t="str">
        <f>_xlfn.CONCAT(Paper_Reference[[#This Row],[Lvl]:[Paper Description]])</f>
        <v>2J29R1403SD4201BONHAM RESIDENCE 48 X 144110110000020-5000Premium Inkjet MPK 9653</v>
      </c>
      <c r="J1859" s="7">
        <f>COUNTIF(Paper_Reference[Duplicate Key],Paper_Reference[[#This Row],[Duplicate Key]])</f>
        <v>1</v>
      </c>
    </row>
    <row r="1860" spans="1:10">
      <c r="A1860" s="7">
        <v>2</v>
      </c>
      <c r="B1860" s="8" t="s">
        <v>1761</v>
      </c>
      <c r="C1860" s="8" t="s">
        <v>1341</v>
      </c>
      <c r="D1860" s="7">
        <v>1</v>
      </c>
      <c r="E1860" s="7">
        <v>10</v>
      </c>
      <c r="F1860" s="7">
        <v>1</v>
      </c>
      <c r="G1860" s="8" t="s">
        <v>1241</v>
      </c>
      <c r="H1860" s="8" t="s">
        <v>1242</v>
      </c>
      <c r="I1860" s="7" t="str">
        <f>_xlfn.CONCAT(Paper_Reference[[#This Row],[Lvl]:[Paper Description]])</f>
        <v>2J29R1414SD420INVBD URSA 6873 48 X 144110110000020-5000Premium Inkjet MPK 9653</v>
      </c>
      <c r="J1860" s="7">
        <f>COUNTIF(Paper_Reference[Duplicate Key],Paper_Reference[[#This Row],[Duplicate Key]])</f>
        <v>1</v>
      </c>
    </row>
    <row r="1861" spans="1:10">
      <c r="A1861" s="7">
        <v>2</v>
      </c>
      <c r="B1861" s="8" t="s">
        <v>1762</v>
      </c>
      <c r="C1861" s="8" t="s">
        <v>1342</v>
      </c>
      <c r="D1861" s="7">
        <v>1</v>
      </c>
      <c r="E1861" s="7">
        <v>10</v>
      </c>
      <c r="F1861" s="7">
        <v>1</v>
      </c>
      <c r="G1861" s="8" t="s">
        <v>1241</v>
      </c>
      <c r="H1861" s="8" t="s">
        <v>1242</v>
      </c>
      <c r="I1861" s="7" t="str">
        <f>_xlfn.CONCAT(Paper_Reference[[#This Row],[Lvl]:[Paper Description]])</f>
        <v>2J29R1428SD480PASCAL FIREFLY 48X96110110000020-5000Premium Inkjet MPK 9653</v>
      </c>
      <c r="J1861" s="7">
        <f>COUNTIF(Paper_Reference[Duplicate Key],Paper_Reference[[#This Row],[Duplicate Key]])</f>
        <v>1</v>
      </c>
    </row>
    <row r="1862" spans="1:10">
      <c r="A1862" s="7">
        <v>2</v>
      </c>
      <c r="B1862" s="8" t="s">
        <v>1763</v>
      </c>
      <c r="C1862" s="8" t="s">
        <v>1343</v>
      </c>
      <c r="D1862" s="7">
        <v>1</v>
      </c>
      <c r="E1862" s="7">
        <v>10</v>
      </c>
      <c r="F1862" s="7">
        <v>1</v>
      </c>
      <c r="G1862" s="8" t="s">
        <v>1241</v>
      </c>
      <c r="H1862" s="8" t="s">
        <v>1242</v>
      </c>
      <c r="I1862" s="7" t="str">
        <f>_xlfn.CONCAT(Paper_Reference[[#This Row],[Lvl]:[Paper Description]])</f>
        <v>2J29R1440SD480INVBD  PSCL 6716 FAIRIES 48X96110110000020-5000Premium Inkjet MPK 9653</v>
      </c>
      <c r="J1862" s="7">
        <f>COUNTIF(Paper_Reference[Duplicate Key],Paper_Reference[[#This Row],[Duplicate Key]])</f>
        <v>1</v>
      </c>
    </row>
    <row r="1863" spans="1:10">
      <c r="A1863" s="7">
        <v>2</v>
      </c>
      <c r="B1863" s="8" t="s">
        <v>6224</v>
      </c>
      <c r="C1863" s="8" t="s">
        <v>5761</v>
      </c>
      <c r="D1863" s="7">
        <v>1</v>
      </c>
      <c r="E1863" s="7">
        <v>10</v>
      </c>
      <c r="F1863" s="7">
        <v>1</v>
      </c>
      <c r="G1863" s="8" t="s">
        <v>5690</v>
      </c>
      <c r="H1863" s="8" t="s">
        <v>5691</v>
      </c>
      <c r="I1863" s="7" t="str">
        <f>_xlfn.CONCAT(Paper_Reference[[#This Row],[Lvl]:[Paper Description]])</f>
        <v>2J30RB018PSMBPINWORX TRAIN 30 1/4 X 144 1/41101100DS009-6200FROSTY WHITE</v>
      </c>
      <c r="J1863" s="7">
        <f>COUNTIF(Paper_Reference[Duplicate Key],Paper_Reference[[#This Row],[Duplicate Key]])</f>
        <v>1</v>
      </c>
    </row>
    <row r="1864" spans="1:10">
      <c r="A1864" s="7">
        <v>2</v>
      </c>
      <c r="B1864" s="8" t="s">
        <v>6225</v>
      </c>
      <c r="C1864" s="8" t="s">
        <v>5762</v>
      </c>
      <c r="D1864" s="7">
        <v>1</v>
      </c>
      <c r="E1864" s="7">
        <v>10</v>
      </c>
      <c r="F1864" s="7">
        <v>1</v>
      </c>
      <c r="G1864" s="8" t="s">
        <v>5690</v>
      </c>
      <c r="H1864" s="8" t="s">
        <v>5691</v>
      </c>
      <c r="I1864" s="7" t="str">
        <f>_xlfn.CONCAT(Paper_Reference[[#This Row],[Lvl]:[Paper Description]])</f>
        <v>2J30RB019PSMBPINWORX DIRT 30 1/4 X 144 1/41101100DS009-6200FROSTY WHITE</v>
      </c>
      <c r="J1864" s="7">
        <f>COUNTIF(Paper_Reference[Duplicate Key],Paper_Reference[[#This Row],[Duplicate Key]])</f>
        <v>1</v>
      </c>
    </row>
    <row r="1865" spans="1:10">
      <c r="A1865" s="7">
        <v>2</v>
      </c>
      <c r="B1865" s="8" t="s">
        <v>6226</v>
      </c>
      <c r="C1865" s="8" t="s">
        <v>5763</v>
      </c>
      <c r="D1865" s="7">
        <v>1</v>
      </c>
      <c r="E1865" s="7">
        <v>10</v>
      </c>
      <c r="F1865" s="7">
        <v>1</v>
      </c>
      <c r="G1865" s="8" t="s">
        <v>5690</v>
      </c>
      <c r="H1865" s="8" t="s">
        <v>5691</v>
      </c>
      <c r="I1865" s="7" t="str">
        <f>_xlfn.CONCAT(Paper_Reference[[#This Row],[Lvl]:[Paper Description]])</f>
        <v>2J30RB020PSMBPINWORX JUNGLE 30 1/4X144 1/41101100DS009-6200FROSTY WHITE</v>
      </c>
      <c r="J1865" s="7">
        <f>COUNTIF(Paper_Reference[Duplicate Key],Paper_Reference[[#This Row],[Duplicate Key]])</f>
        <v>1</v>
      </c>
    </row>
    <row r="1866" spans="1:10">
      <c r="A1866" s="7">
        <v>2</v>
      </c>
      <c r="B1866" s="8" t="s">
        <v>6227</v>
      </c>
      <c r="C1866" s="8" t="s">
        <v>5764</v>
      </c>
      <c r="D1866" s="7">
        <v>1</v>
      </c>
      <c r="E1866" s="7">
        <v>10</v>
      </c>
      <c r="F1866" s="7">
        <v>1</v>
      </c>
      <c r="G1866" s="8" t="s">
        <v>5690</v>
      </c>
      <c r="H1866" s="8" t="s">
        <v>5691</v>
      </c>
      <c r="I1866" s="7" t="str">
        <f>_xlfn.CONCAT(Paper_Reference[[#This Row],[Lvl]:[Paper Description]])</f>
        <v>2J30RB023PSMBPINWORX DINO 30 1/4 X 144 1/41101100DS009-6200FROSTY WHITE</v>
      </c>
      <c r="J1866" s="7">
        <f>COUNTIF(Paper_Reference[Duplicate Key],Paper_Reference[[#This Row],[Duplicate Key]])</f>
        <v>1</v>
      </c>
    </row>
    <row r="1867" spans="1:10">
      <c r="A1867" s="7">
        <v>2</v>
      </c>
      <c r="B1867" s="8" t="s">
        <v>6228</v>
      </c>
      <c r="C1867" s="8" t="s">
        <v>5765</v>
      </c>
      <c r="D1867" s="7">
        <v>1</v>
      </c>
      <c r="E1867" s="7">
        <v>10</v>
      </c>
      <c r="F1867" s="7">
        <v>1</v>
      </c>
      <c r="G1867" s="8" t="s">
        <v>5690</v>
      </c>
      <c r="H1867" s="8" t="s">
        <v>5691</v>
      </c>
      <c r="I1867" s="7" t="str">
        <f>_xlfn.CONCAT(Paper_Reference[[#This Row],[Lvl]:[Paper Description]])</f>
        <v>2J30RB024PSMBPINWORX UNDER 30 1/4 X 144 1/41101100DS009-6200FROSTY WHITE</v>
      </c>
      <c r="J1867" s="7">
        <f>COUNTIF(Paper_Reference[Duplicate Key],Paper_Reference[[#This Row],[Duplicate Key]])</f>
        <v>1</v>
      </c>
    </row>
    <row r="1868" spans="1:10">
      <c r="A1868" s="7">
        <v>2</v>
      </c>
      <c r="B1868" s="8" t="s">
        <v>6229</v>
      </c>
      <c r="C1868" s="8" t="s">
        <v>5766</v>
      </c>
      <c r="D1868" s="7">
        <v>1</v>
      </c>
      <c r="E1868" s="7">
        <v>10</v>
      </c>
      <c r="F1868" s="7">
        <v>1</v>
      </c>
      <c r="G1868" s="8" t="s">
        <v>5690</v>
      </c>
      <c r="H1868" s="8" t="s">
        <v>5691</v>
      </c>
      <c r="I1868" s="7" t="str">
        <f>_xlfn.CONCAT(Paper_Reference[[#This Row],[Lvl]:[Paper Description]])</f>
        <v>2J30RB027PSMBSTARS &amp; SWIRLS 30 1/4X144 1/41101100DS009-6200FROSTY WHITE</v>
      </c>
      <c r="J1868" s="7">
        <f>COUNTIF(Paper_Reference[Duplicate Key],Paper_Reference[[#This Row],[Duplicate Key]])</f>
        <v>1</v>
      </c>
    </row>
    <row r="1869" spans="1:10">
      <c r="A1869" s="7">
        <v>2</v>
      </c>
      <c r="B1869" s="8" t="s">
        <v>6230</v>
      </c>
      <c r="C1869" s="8" t="s">
        <v>5767</v>
      </c>
      <c r="D1869" s="7">
        <v>1</v>
      </c>
      <c r="E1869" s="7">
        <v>10</v>
      </c>
      <c r="F1869" s="7">
        <v>2</v>
      </c>
      <c r="G1869" s="8" t="s">
        <v>5690</v>
      </c>
      <c r="H1869" s="8" t="s">
        <v>5691</v>
      </c>
      <c r="I1869" s="7" t="str">
        <f>_xlfn.CONCAT(Paper_Reference[[#This Row],[Lvl]:[Paper Description]])</f>
        <v>2J30RB028A480STARS &amp; SWIRLS APPR 48 X 961102100DS009-6200FROSTY WHITE</v>
      </c>
      <c r="J1869" s="7">
        <f>COUNTIF(Paper_Reference[Duplicate Key],Paper_Reference[[#This Row],[Duplicate Key]])</f>
        <v>1</v>
      </c>
    </row>
    <row r="1870" spans="1:10">
      <c r="A1870" s="7">
        <v>2</v>
      </c>
      <c r="B1870" s="8" t="s">
        <v>6231</v>
      </c>
      <c r="C1870" s="8" t="s">
        <v>5768</v>
      </c>
      <c r="D1870" s="7">
        <v>1</v>
      </c>
      <c r="E1870" s="7">
        <v>10</v>
      </c>
      <c r="F1870" s="7">
        <v>1</v>
      </c>
      <c r="G1870" s="8" t="s">
        <v>5690</v>
      </c>
      <c r="H1870" s="8" t="s">
        <v>5691</v>
      </c>
      <c r="I1870" s="7" t="str">
        <f>_xlfn.CONCAT(Paper_Reference[[#This Row],[Lvl]:[Paper Description]])</f>
        <v>2J30RB039PSMBPINWORX RACE 30 1/4 X 144 1/41101100DS009-6200FROSTY WHITE</v>
      </c>
      <c r="J1870" s="7">
        <f>COUNTIF(Paper_Reference[Duplicate Key],Paper_Reference[[#This Row],[Duplicate Key]])</f>
        <v>1</v>
      </c>
    </row>
    <row r="1871" spans="1:10">
      <c r="A1871" s="7">
        <v>2</v>
      </c>
      <c r="B1871" s="8" t="s">
        <v>6232</v>
      </c>
      <c r="C1871" s="8" t="s">
        <v>5769</v>
      </c>
      <c r="D1871" s="7">
        <v>1</v>
      </c>
      <c r="E1871" s="7">
        <v>10</v>
      </c>
      <c r="F1871" s="7">
        <v>1</v>
      </c>
      <c r="G1871" s="8" t="s">
        <v>5690</v>
      </c>
      <c r="H1871" s="8" t="s">
        <v>5691</v>
      </c>
      <c r="I1871" s="7" t="str">
        <f>_xlfn.CONCAT(Paper_Reference[[#This Row],[Lvl]:[Paper Description]])</f>
        <v>2J30RB272PSMBPINWORX SQUIGGLE 30 1/4X144 1/1101100DS009-6200FROSTY WHITE</v>
      </c>
      <c r="J1871" s="7">
        <f>COUNTIF(Paper_Reference[Duplicate Key],Paper_Reference[[#This Row],[Duplicate Key]])</f>
        <v>1</v>
      </c>
    </row>
    <row r="1872" spans="1:10">
      <c r="A1872" s="7">
        <v>2</v>
      </c>
      <c r="B1872" s="8" t="s">
        <v>6233</v>
      </c>
      <c r="C1872" s="8" t="s">
        <v>5770</v>
      </c>
      <c r="D1872" s="7">
        <v>1</v>
      </c>
      <c r="E1872" s="7">
        <v>10</v>
      </c>
      <c r="F1872" s="7">
        <v>1</v>
      </c>
      <c r="G1872" s="8" t="s">
        <v>5690</v>
      </c>
      <c r="H1872" s="8" t="s">
        <v>5691</v>
      </c>
      <c r="I1872" s="7" t="str">
        <f>_xlfn.CONCAT(Paper_Reference[[#This Row],[Lvl]:[Paper Description]])</f>
        <v>2J30RB282PSMBPINWORX DINO II 30 1/4X144 1/41101100DS009-6200FROSTY WHITE</v>
      </c>
      <c r="J1872" s="7">
        <f>COUNTIF(Paper_Reference[Duplicate Key],Paper_Reference[[#This Row],[Duplicate Key]])</f>
        <v>1</v>
      </c>
    </row>
    <row r="1873" spans="1:10">
      <c r="A1873" s="7">
        <v>2</v>
      </c>
      <c r="B1873" s="8" t="s">
        <v>6234</v>
      </c>
      <c r="C1873" s="8" t="s">
        <v>5771</v>
      </c>
      <c r="D1873" s="7">
        <v>1</v>
      </c>
      <c r="E1873" s="7">
        <v>10</v>
      </c>
      <c r="F1873" s="7">
        <v>1</v>
      </c>
      <c r="G1873" s="8" t="s">
        <v>5690</v>
      </c>
      <c r="H1873" s="8" t="s">
        <v>5691</v>
      </c>
      <c r="I1873" s="7" t="str">
        <f>_xlfn.CONCAT(Paper_Reference[[#This Row],[Lvl]:[Paper Description]])</f>
        <v>2J30RB283PSMBPINWORX CRATER 30 1/4X144 1/41101100DS009-6200FROSTY WHITE</v>
      </c>
      <c r="J1873" s="7">
        <f>COUNTIF(Paper_Reference[Duplicate Key],Paper_Reference[[#This Row],[Duplicate Key]])</f>
        <v>1</v>
      </c>
    </row>
    <row r="1874" spans="1:10">
      <c r="A1874" s="7">
        <v>2</v>
      </c>
      <c r="B1874" s="8" t="s">
        <v>6235</v>
      </c>
      <c r="C1874" s="8" t="s">
        <v>5772</v>
      </c>
      <c r="D1874" s="7">
        <v>1</v>
      </c>
      <c r="E1874" s="7">
        <v>10</v>
      </c>
      <c r="F1874" s="7">
        <v>1</v>
      </c>
      <c r="G1874" s="8" t="s">
        <v>5690</v>
      </c>
      <c r="H1874" s="8" t="s">
        <v>5691</v>
      </c>
      <c r="I1874" s="7" t="str">
        <f>_xlfn.CONCAT(Paper_Reference[[#This Row],[Lvl]:[Paper Description]])</f>
        <v>2J30RB633PSMBPINWORX FRY DAY'S  30 1/4X1441101100DS009-6200FROSTY WHITE</v>
      </c>
      <c r="J1874" s="7">
        <f>COUNTIF(Paper_Reference[Duplicate Key],Paper_Reference[[#This Row],[Duplicate Key]])</f>
        <v>1</v>
      </c>
    </row>
    <row r="1875" spans="1:10">
      <c r="A1875" s="7">
        <v>2</v>
      </c>
      <c r="B1875" s="8" t="s">
        <v>6236</v>
      </c>
      <c r="C1875" s="8" t="s">
        <v>5773</v>
      </c>
      <c r="D1875" s="7">
        <v>1</v>
      </c>
      <c r="E1875" s="7">
        <v>10</v>
      </c>
      <c r="F1875" s="7">
        <v>1</v>
      </c>
      <c r="G1875" s="8" t="s">
        <v>5690</v>
      </c>
      <c r="H1875" s="8" t="s">
        <v>5691</v>
      </c>
      <c r="I1875" s="7" t="str">
        <f>_xlfn.CONCAT(Paper_Reference[[#This Row],[Lvl]:[Paper Description]])</f>
        <v>2J30RB666PSMBPINWORKS DIG MULTI 30 1/4X1441101100DS009-6200FROSTY WHITE</v>
      </c>
      <c r="J1875" s="7">
        <f>COUNTIF(Paper_Reference[Duplicate Key],Paper_Reference[[#This Row],[Duplicate Key]])</f>
        <v>1</v>
      </c>
    </row>
    <row r="1876" spans="1:10">
      <c r="A1876" s="7">
        <v>2</v>
      </c>
      <c r="B1876" s="8" t="s">
        <v>6237</v>
      </c>
      <c r="C1876" s="8" t="s">
        <v>5774</v>
      </c>
      <c r="D1876" s="7">
        <v>1</v>
      </c>
      <c r="E1876" s="7">
        <v>10</v>
      </c>
      <c r="F1876" s="7">
        <v>2</v>
      </c>
      <c r="G1876" s="8" t="s">
        <v>5690</v>
      </c>
      <c r="H1876" s="8" t="s">
        <v>5691</v>
      </c>
      <c r="I1876" s="7" t="str">
        <f>_xlfn.CONCAT(Paper_Reference[[#This Row],[Lvl]:[Paper Description]])</f>
        <v>2J30RB667A480PINWORKS DIG MULTI APPR 48X961102100DS009-6200FROSTY WHITE</v>
      </c>
      <c r="J1876" s="7">
        <f>COUNTIF(Paper_Reference[Duplicate Key],Paper_Reference[[#This Row],[Duplicate Key]])</f>
        <v>1</v>
      </c>
    </row>
    <row r="1877" spans="1:10">
      <c r="A1877" s="7">
        <v>2</v>
      </c>
      <c r="B1877" s="8" t="s">
        <v>3329</v>
      </c>
      <c r="C1877" s="8" t="s">
        <v>3241</v>
      </c>
      <c r="D1877" s="7">
        <v>1</v>
      </c>
      <c r="E1877" s="7">
        <v>10</v>
      </c>
      <c r="F1877" s="7">
        <v>1</v>
      </c>
      <c r="G1877" s="8" t="s">
        <v>3230</v>
      </c>
      <c r="H1877" s="8" t="s">
        <v>3231</v>
      </c>
      <c r="I1877" s="7" t="str">
        <f>_xlfn.CONCAT(Paper_Reference[[#This Row],[Lvl]:[Paper Description]])</f>
        <v>2J35IFOSSH4001FOSSIL D/G 48 X 1201101110SW736-5000PRECISION WHITE 43 X 145</v>
      </c>
      <c r="J1877" s="7">
        <f>COUNTIF(Paper_Reference[Duplicate Key],Paper_Reference[[#This Row],[Duplicate Key]])</f>
        <v>1</v>
      </c>
    </row>
    <row r="1878" spans="1:10">
      <c r="A1878" s="7">
        <v>2</v>
      </c>
      <c r="B1878" s="8" t="s">
        <v>3330</v>
      </c>
      <c r="C1878" s="8" t="s">
        <v>3239</v>
      </c>
      <c r="D1878" s="7">
        <v>1</v>
      </c>
      <c r="E1878" s="7">
        <v>10</v>
      </c>
      <c r="F1878" s="7">
        <v>1</v>
      </c>
      <c r="G1878" s="8" t="s">
        <v>3230</v>
      </c>
      <c r="H1878" s="8" t="s">
        <v>3231</v>
      </c>
      <c r="I1878" s="7" t="str">
        <f>_xlfn.CONCAT(Paper_Reference[[#This Row],[Lvl]:[Paper Description]])</f>
        <v>2J35IFOSSH4201FOSSIL D/G 48 X 1441101110SW736-5000PRECISION WHITE 43 X 145</v>
      </c>
      <c r="J1878" s="7">
        <f>COUNTIF(Paper_Reference[Duplicate Key],Paper_Reference[[#This Row],[Duplicate Key]])</f>
        <v>1</v>
      </c>
    </row>
    <row r="1879" spans="1:10">
      <c r="A1879" s="7">
        <v>2</v>
      </c>
      <c r="B1879" s="8" t="s">
        <v>3331</v>
      </c>
      <c r="C1879" s="8" t="s">
        <v>3240</v>
      </c>
      <c r="D1879" s="7">
        <v>1</v>
      </c>
      <c r="E1879" s="7">
        <v>10</v>
      </c>
      <c r="F1879" s="7">
        <v>1</v>
      </c>
      <c r="G1879" s="8" t="s">
        <v>3230</v>
      </c>
      <c r="H1879" s="8" t="s">
        <v>3231</v>
      </c>
      <c r="I1879" s="7" t="str">
        <f>_xlfn.CONCAT(Paper_Reference[[#This Row],[Lvl]:[Paper Description]])</f>
        <v>2J35IFOSSH4801FOSSIL D/G 48 X 961101110SW736-5000PRECISION WHITE 43 X 145</v>
      </c>
      <c r="J1879" s="7">
        <f>COUNTIF(Paper_Reference[Duplicate Key],Paper_Reference[[#This Row],[Duplicate Key]])</f>
        <v>1</v>
      </c>
    </row>
    <row r="1880" spans="1:10">
      <c r="A1880" s="7">
        <v>2</v>
      </c>
      <c r="B1880" s="8" t="s">
        <v>3839</v>
      </c>
      <c r="C1880" s="8" t="s">
        <v>3767</v>
      </c>
      <c r="D1880" s="7">
        <v>1</v>
      </c>
      <c r="E1880" s="7">
        <v>10</v>
      </c>
      <c r="F1880" s="7">
        <v>1</v>
      </c>
      <c r="G1880" s="8" t="s">
        <v>4371</v>
      </c>
      <c r="H1880" s="8" t="s">
        <v>4372</v>
      </c>
      <c r="I1880" s="7" t="str">
        <f>_xlfn.CONCAT(Paper_Reference[[#This Row],[Lvl]:[Paper Description]])</f>
        <v>2J35IFOSSH5001FOSSIL D/G 60 X 1201101100DS064-6200BLACK</v>
      </c>
      <c r="J1880" s="7">
        <f>COUNTIF(Paper_Reference[Duplicate Key],Paper_Reference[[#This Row],[Duplicate Key]])</f>
        <v>1</v>
      </c>
    </row>
    <row r="1881" spans="1:10">
      <c r="A1881" s="7">
        <v>2</v>
      </c>
      <c r="B1881" s="8" t="s">
        <v>3839</v>
      </c>
      <c r="C1881" s="8" t="s">
        <v>3767</v>
      </c>
      <c r="D1881" s="7">
        <v>1</v>
      </c>
      <c r="E1881" s="7">
        <v>10</v>
      </c>
      <c r="F1881" s="7">
        <v>1</v>
      </c>
      <c r="G1881" s="8" t="s">
        <v>3826</v>
      </c>
      <c r="H1881" s="8" t="s">
        <v>3827</v>
      </c>
      <c r="I1881" s="7" t="str">
        <f>_xlfn.CONCAT(Paper_Reference[[#This Row],[Lvl]:[Paper Description]])</f>
        <v>2J35IFOSSH5001FOSSIL D/G 60 X 1201101110SW736-6200PRECISION WHITE 62"</v>
      </c>
      <c r="J1881" s="7">
        <f>COUNTIF(Paper_Reference[Duplicate Key],Paper_Reference[[#This Row],[Duplicate Key]])</f>
        <v>1</v>
      </c>
    </row>
    <row r="1882" spans="1:10">
      <c r="A1882" s="7">
        <v>2</v>
      </c>
      <c r="B1882" s="8" t="s">
        <v>3840</v>
      </c>
      <c r="C1882" s="8" t="s">
        <v>3768</v>
      </c>
      <c r="D1882" s="7">
        <v>1</v>
      </c>
      <c r="E1882" s="7">
        <v>10</v>
      </c>
      <c r="F1882" s="7">
        <v>1</v>
      </c>
      <c r="G1882" s="8" t="s">
        <v>4371</v>
      </c>
      <c r="H1882" s="8" t="s">
        <v>4372</v>
      </c>
      <c r="I1882" s="7" t="str">
        <f>_xlfn.CONCAT(Paper_Reference[[#This Row],[Lvl]:[Paper Description]])</f>
        <v>2J35IFOSSH5201FOSSIL D/G 60 X 1441101100DS064-6200BLACK</v>
      </c>
      <c r="J1882" s="7">
        <f>COUNTIF(Paper_Reference[Duplicate Key],Paper_Reference[[#This Row],[Duplicate Key]])</f>
        <v>1</v>
      </c>
    </row>
    <row r="1883" spans="1:10">
      <c r="A1883" s="7">
        <v>2</v>
      </c>
      <c r="B1883" s="8" t="s">
        <v>3840</v>
      </c>
      <c r="C1883" s="8" t="s">
        <v>3768</v>
      </c>
      <c r="D1883" s="7">
        <v>1</v>
      </c>
      <c r="E1883" s="7">
        <v>10</v>
      </c>
      <c r="F1883" s="7">
        <v>1</v>
      </c>
      <c r="G1883" s="8" t="s">
        <v>3826</v>
      </c>
      <c r="H1883" s="8" t="s">
        <v>3827</v>
      </c>
      <c r="I1883" s="7" t="str">
        <f>_xlfn.CONCAT(Paper_Reference[[#This Row],[Lvl]:[Paper Description]])</f>
        <v>2J35IFOSSH5201FOSSIL D/G 60 X 1441101110SW736-6200PRECISION WHITE 62"</v>
      </c>
      <c r="J1883" s="7">
        <f>COUNTIF(Paper_Reference[Duplicate Key],Paper_Reference[[#This Row],[Duplicate Key]])</f>
        <v>1</v>
      </c>
    </row>
    <row r="1884" spans="1:10">
      <c r="A1884" s="7">
        <v>2</v>
      </c>
      <c r="B1884" s="8" t="s">
        <v>3841</v>
      </c>
      <c r="C1884" s="8" t="s">
        <v>3769</v>
      </c>
      <c r="D1884" s="7">
        <v>1</v>
      </c>
      <c r="E1884" s="7">
        <v>10</v>
      </c>
      <c r="F1884" s="7">
        <v>1</v>
      </c>
      <c r="G1884" s="8" t="s">
        <v>4371</v>
      </c>
      <c r="H1884" s="8" t="s">
        <v>4372</v>
      </c>
      <c r="I1884" s="7" t="str">
        <f>_xlfn.CONCAT(Paper_Reference[[#This Row],[Lvl]:[Paper Description]])</f>
        <v>2J35IFOSSH5801FOSSIL D/G 60 X 961101100DS064-6200BLACK</v>
      </c>
      <c r="J1884" s="7">
        <f>COUNTIF(Paper_Reference[Duplicate Key],Paper_Reference[[#This Row],[Duplicate Key]])</f>
        <v>1</v>
      </c>
    </row>
    <row r="1885" spans="1:10">
      <c r="A1885" s="7">
        <v>2</v>
      </c>
      <c r="B1885" s="8" t="s">
        <v>3841</v>
      </c>
      <c r="C1885" s="8" t="s">
        <v>3769</v>
      </c>
      <c r="D1885" s="7">
        <v>1</v>
      </c>
      <c r="E1885" s="7">
        <v>10</v>
      </c>
      <c r="F1885" s="7">
        <v>1</v>
      </c>
      <c r="G1885" s="8" t="s">
        <v>3826</v>
      </c>
      <c r="H1885" s="8" t="s">
        <v>3827</v>
      </c>
      <c r="I1885" s="7" t="str">
        <f>_xlfn.CONCAT(Paper_Reference[[#This Row],[Lvl]:[Paper Description]])</f>
        <v>2J35IFOSSH5801FOSSIL D/G 60 X 961101110SW736-6200PRECISION WHITE 62"</v>
      </c>
      <c r="J1885" s="7">
        <f>COUNTIF(Paper_Reference[Duplicate Key],Paper_Reference[[#This Row],[Duplicate Key]])</f>
        <v>1</v>
      </c>
    </row>
    <row r="1886" spans="1:10">
      <c r="A1886" s="7">
        <v>2</v>
      </c>
      <c r="B1886" s="8" t="s">
        <v>3332</v>
      </c>
      <c r="C1886" s="8" t="s">
        <v>3240</v>
      </c>
      <c r="D1886" s="7">
        <v>1</v>
      </c>
      <c r="E1886" s="7">
        <v>10</v>
      </c>
      <c r="F1886" s="7">
        <v>1</v>
      </c>
      <c r="G1886" s="8" t="s">
        <v>3230</v>
      </c>
      <c r="H1886" s="8" t="s">
        <v>3231</v>
      </c>
      <c r="I1886" s="7" t="str">
        <f>_xlfn.CONCAT(Paper_Reference[[#This Row],[Lvl]:[Paper Description]])</f>
        <v>2J35IFOSSS4801FOSSIL D/G 48 X 961101110SW736-5000PRECISION WHITE 43 X 145</v>
      </c>
      <c r="J1886" s="7">
        <f>COUNTIF(Paper_Reference[Duplicate Key],Paper_Reference[[#This Row],[Duplicate Key]])</f>
        <v>1</v>
      </c>
    </row>
    <row r="1887" spans="1:10">
      <c r="A1887" s="7">
        <v>2</v>
      </c>
      <c r="B1887" s="8" t="s">
        <v>3842</v>
      </c>
      <c r="C1887" s="8" t="s">
        <v>3767</v>
      </c>
      <c r="D1887" s="7">
        <v>1</v>
      </c>
      <c r="E1887" s="7">
        <v>10</v>
      </c>
      <c r="F1887" s="7">
        <v>1</v>
      </c>
      <c r="G1887" s="8" t="s">
        <v>4371</v>
      </c>
      <c r="H1887" s="8" t="s">
        <v>4372</v>
      </c>
      <c r="I1887" s="7" t="str">
        <f>_xlfn.CONCAT(Paper_Reference[[#This Row],[Lvl]:[Paper Description]])</f>
        <v>2J35IFOSSS5001FOSSIL D/G 60 X 1201101100DS064-6200BLACK</v>
      </c>
      <c r="J1887" s="7">
        <f>COUNTIF(Paper_Reference[Duplicate Key],Paper_Reference[[#This Row],[Duplicate Key]])</f>
        <v>1</v>
      </c>
    </row>
    <row r="1888" spans="1:10">
      <c r="A1888" s="7">
        <v>2</v>
      </c>
      <c r="B1888" s="8" t="s">
        <v>3842</v>
      </c>
      <c r="C1888" s="8" t="s">
        <v>3767</v>
      </c>
      <c r="D1888" s="7">
        <v>1</v>
      </c>
      <c r="E1888" s="7">
        <v>10</v>
      </c>
      <c r="F1888" s="7">
        <v>1</v>
      </c>
      <c r="G1888" s="8" t="s">
        <v>3826</v>
      </c>
      <c r="H1888" s="8" t="s">
        <v>3827</v>
      </c>
      <c r="I1888" s="7" t="str">
        <f>_xlfn.CONCAT(Paper_Reference[[#This Row],[Lvl]:[Paper Description]])</f>
        <v>2J35IFOSSS5001FOSSIL D/G 60 X 1201101110SW736-6200PRECISION WHITE 62"</v>
      </c>
      <c r="J1888" s="7">
        <f>COUNTIF(Paper_Reference[Duplicate Key],Paper_Reference[[#This Row],[Duplicate Key]])</f>
        <v>1</v>
      </c>
    </row>
    <row r="1889" spans="1:10">
      <c r="A1889" s="7">
        <v>2</v>
      </c>
      <c r="B1889" s="8" t="s">
        <v>3843</v>
      </c>
      <c r="C1889" s="8" t="s">
        <v>3769</v>
      </c>
      <c r="D1889" s="7">
        <v>1</v>
      </c>
      <c r="E1889" s="7">
        <v>10</v>
      </c>
      <c r="F1889" s="7">
        <v>1</v>
      </c>
      <c r="G1889" s="8" t="s">
        <v>4371</v>
      </c>
      <c r="H1889" s="8" t="s">
        <v>4372</v>
      </c>
      <c r="I1889" s="7" t="str">
        <f>_xlfn.CONCAT(Paper_Reference[[#This Row],[Lvl]:[Paper Description]])</f>
        <v>2J35IFOSSS5801FOSSIL D/G 60 X 961101100DS064-6200BLACK</v>
      </c>
      <c r="J1889" s="7">
        <f>COUNTIF(Paper_Reference[Duplicate Key],Paper_Reference[[#This Row],[Duplicate Key]])</f>
        <v>1</v>
      </c>
    </row>
    <row r="1890" spans="1:10">
      <c r="A1890" s="7">
        <v>2</v>
      </c>
      <c r="B1890" s="8" t="s">
        <v>3843</v>
      </c>
      <c r="C1890" s="8" t="s">
        <v>3769</v>
      </c>
      <c r="D1890" s="7">
        <v>1</v>
      </c>
      <c r="E1890" s="7">
        <v>10</v>
      </c>
      <c r="F1890" s="7">
        <v>1</v>
      </c>
      <c r="G1890" s="8" t="s">
        <v>3826</v>
      </c>
      <c r="H1890" s="8" t="s">
        <v>3827</v>
      </c>
      <c r="I1890" s="7" t="str">
        <f>_xlfn.CONCAT(Paper_Reference[[#This Row],[Lvl]:[Paper Description]])</f>
        <v>2J35IFOSSS5801FOSSIL D/G 60 X 961101110SW736-6200PRECISION WHITE 62"</v>
      </c>
      <c r="J1890" s="7">
        <f>COUNTIF(Paper_Reference[Duplicate Key],Paper_Reference[[#This Row],[Duplicate Key]])</f>
        <v>1</v>
      </c>
    </row>
    <row r="1891" spans="1:10">
      <c r="A1891" s="7">
        <v>2</v>
      </c>
      <c r="B1891" s="8" t="s">
        <v>7439</v>
      </c>
      <c r="C1891" s="8" t="s">
        <v>6778</v>
      </c>
      <c r="D1891" s="7">
        <v>1</v>
      </c>
      <c r="E1891" s="7">
        <v>10</v>
      </c>
      <c r="F1891" s="7">
        <v>1</v>
      </c>
      <c r="G1891" s="8" t="s">
        <v>6710</v>
      </c>
      <c r="H1891" s="8" t="s">
        <v>5691</v>
      </c>
      <c r="I1891" s="7" t="str">
        <f>_xlfn.CONCAT(Paper_Reference[[#This Row],[Lvl]:[Paper Description]])</f>
        <v>2J37R0619N300FRESH EATS ORDER D/G 36 X 1201101100DS009-5000FROSTY WHITE</v>
      </c>
      <c r="J1891" s="7">
        <f>COUNTIF(Paper_Reference[Duplicate Key],Paper_Reference[[#This Row],[Duplicate Key]])</f>
        <v>1</v>
      </c>
    </row>
    <row r="1892" spans="1:10">
      <c r="A1892" s="7">
        <v>2</v>
      </c>
      <c r="B1892" s="8" t="s">
        <v>7440</v>
      </c>
      <c r="C1892" s="8" t="s">
        <v>6778</v>
      </c>
      <c r="D1892" s="7">
        <v>1</v>
      </c>
      <c r="E1892" s="7">
        <v>10</v>
      </c>
      <c r="F1892" s="7">
        <v>1</v>
      </c>
      <c r="G1892" s="8" t="s">
        <v>6710</v>
      </c>
      <c r="H1892" s="8" t="s">
        <v>5691</v>
      </c>
      <c r="I1892" s="7" t="str">
        <f>_xlfn.CONCAT(Paper_Reference[[#This Row],[Lvl]:[Paper Description]])</f>
        <v>2J37R0619SD300FRESH EATS ORDER D/G 36 X 1201101100DS009-5000FROSTY WHITE</v>
      </c>
      <c r="J1892" s="7">
        <f>COUNTIF(Paper_Reference[Duplicate Key],Paper_Reference[[#This Row],[Duplicate Key]])</f>
        <v>1</v>
      </c>
    </row>
    <row r="1893" spans="1:10">
      <c r="A1893" s="7">
        <v>2</v>
      </c>
      <c r="B1893" s="8" t="s">
        <v>7441</v>
      </c>
      <c r="C1893" s="8" t="s">
        <v>6779</v>
      </c>
      <c r="D1893" s="7">
        <v>1</v>
      </c>
      <c r="E1893" s="7">
        <v>10</v>
      </c>
      <c r="F1893" s="7">
        <v>1</v>
      </c>
      <c r="G1893" s="8" t="s">
        <v>6710</v>
      </c>
      <c r="H1893" s="8" t="s">
        <v>5691</v>
      </c>
      <c r="I1893" s="7" t="str">
        <f>_xlfn.CONCAT(Paper_Reference[[#This Row],[Lvl]:[Paper Description]])</f>
        <v>2J37R0620N300FRESH EATS PICKUP D/G 36 X 1201101100DS009-5000FROSTY WHITE</v>
      </c>
      <c r="J1893" s="7">
        <f>COUNTIF(Paper_Reference[Duplicate Key],Paper_Reference[[#This Row],[Duplicate Key]])</f>
        <v>1</v>
      </c>
    </row>
    <row r="1894" spans="1:10">
      <c r="A1894" s="7">
        <v>2</v>
      </c>
      <c r="B1894" s="8" t="s">
        <v>7442</v>
      </c>
      <c r="C1894" s="8" t="s">
        <v>6779</v>
      </c>
      <c r="D1894" s="7">
        <v>1</v>
      </c>
      <c r="E1894" s="7">
        <v>10</v>
      </c>
      <c r="F1894" s="7">
        <v>1</v>
      </c>
      <c r="G1894" s="8" t="s">
        <v>6710</v>
      </c>
      <c r="H1894" s="8" t="s">
        <v>5691</v>
      </c>
      <c r="I1894" s="7" t="str">
        <f>_xlfn.CONCAT(Paper_Reference[[#This Row],[Lvl]:[Paper Description]])</f>
        <v>2J37R0620SD300FRESH EATS PICKUP D/G 36 X 1201101100DS009-5000FROSTY WHITE</v>
      </c>
      <c r="J1894" s="7">
        <f>COUNTIF(Paper_Reference[Duplicate Key],Paper_Reference[[#This Row],[Duplicate Key]])</f>
        <v>1</v>
      </c>
    </row>
    <row r="1895" spans="1:10">
      <c r="A1895" s="7">
        <v>2</v>
      </c>
      <c r="B1895" s="8" t="s">
        <v>7443</v>
      </c>
      <c r="C1895" s="8" t="s">
        <v>6780</v>
      </c>
      <c r="D1895" s="7">
        <v>1</v>
      </c>
      <c r="E1895" s="7">
        <v>10</v>
      </c>
      <c r="F1895" s="7">
        <v>1</v>
      </c>
      <c r="G1895" s="8" t="s">
        <v>6710</v>
      </c>
      <c r="H1895" s="8" t="s">
        <v>5691</v>
      </c>
      <c r="I1895" s="7" t="str">
        <f>_xlfn.CONCAT(Paper_Reference[[#This Row],[Lvl]:[Paper Description]])</f>
        <v>2J37R0621N300FRESH EATS LAYOUT D/G 36 X 1201101100DS009-5000FROSTY WHITE</v>
      </c>
      <c r="J1895" s="7">
        <f>COUNTIF(Paper_Reference[Duplicate Key],Paper_Reference[[#This Row],[Duplicate Key]])</f>
        <v>1</v>
      </c>
    </row>
    <row r="1896" spans="1:10">
      <c r="A1896" s="7">
        <v>2</v>
      </c>
      <c r="B1896" s="8" t="s">
        <v>7444</v>
      </c>
      <c r="C1896" s="8" t="s">
        <v>6780</v>
      </c>
      <c r="D1896" s="7">
        <v>1</v>
      </c>
      <c r="E1896" s="7">
        <v>10</v>
      </c>
      <c r="F1896" s="7">
        <v>1</v>
      </c>
      <c r="G1896" s="8" t="s">
        <v>6710</v>
      </c>
      <c r="H1896" s="8" t="s">
        <v>5691</v>
      </c>
      <c r="I1896" s="7" t="str">
        <f>_xlfn.CONCAT(Paper_Reference[[#This Row],[Lvl]:[Paper Description]])</f>
        <v>2J37R0621SD300FRESH EATS LAYOUT D/G 36 X 1201101100DS009-5000FROSTY WHITE</v>
      </c>
      <c r="J1896" s="7">
        <f>COUNTIF(Paper_Reference[Duplicate Key],Paper_Reference[[#This Row],[Duplicate Key]])</f>
        <v>1</v>
      </c>
    </row>
    <row r="1897" spans="1:10">
      <c r="A1897" s="7">
        <v>2</v>
      </c>
      <c r="B1897" s="8" t="s">
        <v>7445</v>
      </c>
      <c r="C1897" s="8" t="s">
        <v>6781</v>
      </c>
      <c r="D1897" s="7">
        <v>1</v>
      </c>
      <c r="E1897" s="7">
        <v>10</v>
      </c>
      <c r="F1897" s="7">
        <v>1</v>
      </c>
      <c r="G1897" s="8" t="s">
        <v>6710</v>
      </c>
      <c r="H1897" s="8" t="s">
        <v>5691</v>
      </c>
      <c r="I1897" s="7" t="str">
        <f>_xlfn.CONCAT(Paper_Reference[[#This Row],[Lvl]:[Paper Description]])</f>
        <v>2J37R0647SD400NEW LEAVES 48 X 1201101100DS009-5000FROSTY WHITE</v>
      </c>
      <c r="J1897" s="7">
        <f>COUNTIF(Paper_Reference[Duplicate Key],Paper_Reference[[#This Row],[Duplicate Key]])</f>
        <v>1</v>
      </c>
    </row>
    <row r="1898" spans="1:10">
      <c r="A1898" s="7">
        <v>2</v>
      </c>
      <c r="B1898" s="8" t="s">
        <v>7446</v>
      </c>
      <c r="C1898" s="8" t="s">
        <v>6782</v>
      </c>
      <c r="D1898" s="7">
        <v>1</v>
      </c>
      <c r="E1898" s="7">
        <v>10</v>
      </c>
      <c r="F1898" s="7">
        <v>1</v>
      </c>
      <c r="G1898" s="8" t="s">
        <v>6710</v>
      </c>
      <c r="H1898" s="8" t="s">
        <v>5691</v>
      </c>
      <c r="I1898" s="7" t="str">
        <f>_xlfn.CONCAT(Paper_Reference[[#This Row],[Lvl]:[Paper Description]])</f>
        <v>2J37R0647SD480NEW LEAVES D/G 48 X 961101100DS009-5000FROSTY WHITE</v>
      </c>
      <c r="J1898" s="7">
        <f>COUNTIF(Paper_Reference[Duplicate Key],Paper_Reference[[#This Row],[Duplicate Key]])</f>
        <v>1</v>
      </c>
    </row>
    <row r="1899" spans="1:10">
      <c r="A1899" s="7">
        <v>2</v>
      </c>
      <c r="B1899" s="8" t="s">
        <v>7447</v>
      </c>
      <c r="C1899" s="8" t="s">
        <v>6783</v>
      </c>
      <c r="D1899" s="7">
        <v>1</v>
      </c>
      <c r="E1899" s="7">
        <v>10</v>
      </c>
      <c r="F1899" s="7">
        <v>1</v>
      </c>
      <c r="G1899" s="8" t="s">
        <v>6710</v>
      </c>
      <c r="H1899" s="8" t="s">
        <v>5691</v>
      </c>
      <c r="I1899" s="7" t="str">
        <f>_xlfn.CONCAT(Paper_Reference[[#This Row],[Lvl]:[Paper Description]])</f>
        <v>2J37R0727SD480WAVY LINES D/G 48 X 961101100DS009-5000FROSTY WHITE</v>
      </c>
      <c r="J1899" s="7">
        <f>COUNTIF(Paper_Reference[Duplicate Key],Paper_Reference[[#This Row],[Duplicate Key]])</f>
        <v>1</v>
      </c>
    </row>
    <row r="1900" spans="1:10">
      <c r="A1900" s="7">
        <v>2</v>
      </c>
      <c r="B1900" s="8" t="s">
        <v>7448</v>
      </c>
      <c r="C1900" s="8" t="s">
        <v>6784</v>
      </c>
      <c r="D1900" s="7">
        <v>1</v>
      </c>
      <c r="E1900" s="7">
        <v>10</v>
      </c>
      <c r="F1900" s="7">
        <v>1</v>
      </c>
      <c r="G1900" s="8" t="s">
        <v>6710</v>
      </c>
      <c r="H1900" s="8" t="s">
        <v>5691</v>
      </c>
      <c r="I1900" s="7" t="str">
        <f>_xlfn.CONCAT(Paper_Reference[[#This Row],[Lvl]:[Paper Description]])</f>
        <v>2J37R0728SD480TAPESTRY D/G 48 X 961101100DS009-5000FROSTY WHITE</v>
      </c>
      <c r="J1900" s="7">
        <f>COUNTIF(Paper_Reference[Duplicate Key],Paper_Reference[[#This Row],[Duplicate Key]])</f>
        <v>1</v>
      </c>
    </row>
    <row r="1901" spans="1:10">
      <c r="A1901" s="7">
        <v>2</v>
      </c>
      <c r="B1901" s="8" t="s">
        <v>7449</v>
      </c>
      <c r="C1901" s="8" t="s">
        <v>6785</v>
      </c>
      <c r="D1901" s="7">
        <v>1</v>
      </c>
      <c r="E1901" s="7">
        <v>10</v>
      </c>
      <c r="F1901" s="7">
        <v>1</v>
      </c>
      <c r="G1901" s="8" t="s">
        <v>6710</v>
      </c>
      <c r="H1901" s="8" t="s">
        <v>5691</v>
      </c>
      <c r="I1901" s="7" t="str">
        <f>_xlfn.CONCAT(Paper_Reference[[#This Row],[Lvl]:[Paper Description]])</f>
        <v>2J37R0729SD480GRAFFITI D/G 48 X 961101100DS009-5000FROSTY WHITE</v>
      </c>
      <c r="J1901" s="7">
        <f>COUNTIF(Paper_Reference[Duplicate Key],Paper_Reference[[#This Row],[Duplicate Key]])</f>
        <v>1</v>
      </c>
    </row>
    <row r="1902" spans="1:10">
      <c r="A1902" s="7">
        <v>2</v>
      </c>
      <c r="B1902" s="8" t="s">
        <v>7450</v>
      </c>
      <c r="C1902" s="8" t="s">
        <v>6786</v>
      </c>
      <c r="D1902" s="7">
        <v>1</v>
      </c>
      <c r="E1902" s="7">
        <v>10</v>
      </c>
      <c r="F1902" s="7">
        <v>1</v>
      </c>
      <c r="G1902" s="8" t="s">
        <v>6710</v>
      </c>
      <c r="H1902" s="8" t="s">
        <v>5691</v>
      </c>
      <c r="I1902" s="7" t="str">
        <f>_xlfn.CONCAT(Paper_Reference[[#This Row],[Lvl]:[Paper Description]])</f>
        <v>2J37R0734SD480STAR PATTERN D/G 48 X 961101100DS009-5000FROSTY WHITE</v>
      </c>
      <c r="J1902" s="7">
        <f>COUNTIF(Paper_Reference[Duplicate Key],Paper_Reference[[#This Row],[Duplicate Key]])</f>
        <v>1</v>
      </c>
    </row>
    <row r="1903" spans="1:10">
      <c r="A1903" s="7">
        <v>2</v>
      </c>
      <c r="B1903" s="8" t="s">
        <v>7451</v>
      </c>
      <c r="C1903" s="8" t="s">
        <v>6787</v>
      </c>
      <c r="D1903" s="7">
        <v>1</v>
      </c>
      <c r="E1903" s="7">
        <v>10</v>
      </c>
      <c r="F1903" s="7">
        <v>1</v>
      </c>
      <c r="G1903" s="8" t="s">
        <v>6710</v>
      </c>
      <c r="H1903" s="8" t="s">
        <v>5691</v>
      </c>
      <c r="I1903" s="7" t="str">
        <f>_xlfn.CONCAT(Paper_Reference[[#This Row],[Lvl]:[Paper Description]])</f>
        <v>2J37R0748SD300ERG WRANGLER D/G 36 X 1201101100DS009-5000FROSTY WHITE</v>
      </c>
      <c r="J1903" s="7">
        <f>COUNTIF(Paper_Reference[Duplicate Key],Paper_Reference[[#This Row],[Duplicate Key]])</f>
        <v>1</v>
      </c>
    </row>
    <row r="1904" spans="1:10">
      <c r="A1904" s="7">
        <v>2</v>
      </c>
      <c r="B1904" s="8" t="s">
        <v>7452</v>
      </c>
      <c r="C1904" s="8" t="s">
        <v>6788</v>
      </c>
      <c r="D1904" s="7">
        <v>1</v>
      </c>
      <c r="E1904" s="7">
        <v>10</v>
      </c>
      <c r="F1904" s="7">
        <v>1</v>
      </c>
      <c r="G1904" s="8" t="s">
        <v>6710</v>
      </c>
      <c r="H1904" s="8" t="s">
        <v>5691</v>
      </c>
      <c r="I1904" s="7" t="str">
        <f>_xlfn.CONCAT(Paper_Reference[[#This Row],[Lvl]:[Paper Description]])</f>
        <v>2J37R0754SD480ECO WAVE D/G 48 X 961101100DS009-5000FROSTY WHITE</v>
      </c>
      <c r="J1904" s="7">
        <f>COUNTIF(Paper_Reference[Duplicate Key],Paper_Reference[[#This Row],[Duplicate Key]])</f>
        <v>1</v>
      </c>
    </row>
    <row r="1905" spans="1:10">
      <c r="A1905" s="7">
        <v>2</v>
      </c>
      <c r="B1905" s="8" t="s">
        <v>7453</v>
      </c>
      <c r="C1905" s="8" t="s">
        <v>6789</v>
      </c>
      <c r="D1905" s="7">
        <v>1</v>
      </c>
      <c r="E1905" s="7">
        <v>10</v>
      </c>
      <c r="F1905" s="7">
        <v>1</v>
      </c>
      <c r="G1905" s="8" t="s">
        <v>6710</v>
      </c>
      <c r="H1905" s="8" t="s">
        <v>5691</v>
      </c>
      <c r="I1905" s="7" t="str">
        <f>_xlfn.CONCAT(Paper_Reference[[#This Row],[Lvl]:[Paper Description]])</f>
        <v>2J37R0762SD480WILKES MURAL D/G 48 X 961101100DS009-5000FROSTY WHITE</v>
      </c>
      <c r="J1905" s="7">
        <f>COUNTIF(Paper_Reference[Duplicate Key],Paper_Reference[[#This Row],[Duplicate Key]])</f>
        <v>1</v>
      </c>
    </row>
    <row r="1906" spans="1:10">
      <c r="A1906" s="7">
        <v>2</v>
      </c>
      <c r="B1906" s="8" t="s">
        <v>7454</v>
      </c>
      <c r="C1906" s="8" t="s">
        <v>6790</v>
      </c>
      <c r="D1906" s="7">
        <v>1</v>
      </c>
      <c r="E1906" s="7">
        <v>10</v>
      </c>
      <c r="F1906" s="7">
        <v>1</v>
      </c>
      <c r="G1906" s="8" t="s">
        <v>6710</v>
      </c>
      <c r="H1906" s="8" t="s">
        <v>5691</v>
      </c>
      <c r="I1906" s="7" t="str">
        <f>_xlfn.CONCAT(Paper_Reference[[#This Row],[Lvl]:[Paper Description]])</f>
        <v>2J37R0766SD480FAIRVIEW MURAL D/G 48 X 961101100DS009-5000FROSTY WHITE</v>
      </c>
      <c r="J1906" s="7">
        <f>COUNTIF(Paper_Reference[Duplicate Key],Paper_Reference[[#This Row],[Duplicate Key]])</f>
        <v>1</v>
      </c>
    </row>
    <row r="1907" spans="1:10">
      <c r="A1907" s="7">
        <v>2</v>
      </c>
      <c r="B1907" s="8" t="s">
        <v>7455</v>
      </c>
      <c r="C1907" s="8" t="s">
        <v>6791</v>
      </c>
      <c r="D1907" s="7">
        <v>1</v>
      </c>
      <c r="E1907" s="7">
        <v>10</v>
      </c>
      <c r="F1907" s="7">
        <v>1</v>
      </c>
      <c r="G1907" s="8" t="s">
        <v>6710</v>
      </c>
      <c r="H1907" s="8" t="s">
        <v>5691</v>
      </c>
      <c r="I1907" s="7" t="str">
        <f>_xlfn.CONCAT(Paper_Reference[[#This Row],[Lvl]:[Paper Description]])</f>
        <v>2J37R0767SD400SWCH L2-15 48 X 1201101100DS009-5000FROSTY WHITE</v>
      </c>
      <c r="J1907" s="7">
        <f>COUNTIF(Paper_Reference[Duplicate Key],Paper_Reference[[#This Row],[Duplicate Key]])</f>
        <v>1</v>
      </c>
    </row>
    <row r="1908" spans="1:10">
      <c r="A1908" s="7">
        <v>2</v>
      </c>
      <c r="B1908" s="8" t="s">
        <v>7456</v>
      </c>
      <c r="C1908" s="8" t="s">
        <v>6792</v>
      </c>
      <c r="D1908" s="7">
        <v>1</v>
      </c>
      <c r="E1908" s="7">
        <v>10</v>
      </c>
      <c r="F1908" s="7">
        <v>1</v>
      </c>
      <c r="G1908" s="8" t="s">
        <v>6710</v>
      </c>
      <c r="H1908" s="8" t="s">
        <v>5691</v>
      </c>
      <c r="I1908" s="7" t="str">
        <f>_xlfn.CONCAT(Paper_Reference[[#This Row],[Lvl]:[Paper Description]])</f>
        <v>2J37R0793SD320ERG COUGAR T/TOP D/G 36 X 1441101100DS009-5000FROSTY WHITE</v>
      </c>
      <c r="J1908" s="7">
        <f>COUNTIF(Paper_Reference[Duplicate Key],Paper_Reference[[#This Row],[Duplicate Key]])</f>
        <v>1</v>
      </c>
    </row>
    <row r="1909" spans="1:10">
      <c r="A1909" s="7">
        <v>2</v>
      </c>
      <c r="B1909" s="8" t="s">
        <v>7457</v>
      </c>
      <c r="C1909" s="8" t="s">
        <v>6793</v>
      </c>
      <c r="D1909" s="7">
        <v>1</v>
      </c>
      <c r="E1909" s="7">
        <v>10</v>
      </c>
      <c r="F1909" s="7">
        <v>1</v>
      </c>
      <c r="G1909" s="8" t="s">
        <v>6710</v>
      </c>
      <c r="H1909" s="8" t="s">
        <v>5691</v>
      </c>
      <c r="I1909" s="7" t="str">
        <f>_xlfn.CONCAT(Paper_Reference[[#This Row],[Lvl]:[Paper Description]])</f>
        <v>2J37R0793SD380ERG COUGAR T/TOP D/G 36 X 961101100DS009-5000FROSTY WHITE</v>
      </c>
      <c r="J1909" s="7">
        <f>COUNTIF(Paper_Reference[Duplicate Key],Paper_Reference[[#This Row],[Duplicate Key]])</f>
        <v>1</v>
      </c>
    </row>
    <row r="1910" spans="1:10">
      <c r="A1910" s="7">
        <v>2</v>
      </c>
      <c r="B1910" s="8" t="s">
        <v>6238</v>
      </c>
      <c r="C1910" s="8" t="s">
        <v>5775</v>
      </c>
      <c r="D1910" s="7">
        <v>1</v>
      </c>
      <c r="E1910" s="7">
        <v>10</v>
      </c>
      <c r="F1910" s="7">
        <v>1</v>
      </c>
      <c r="G1910" s="8" t="s">
        <v>5690</v>
      </c>
      <c r="H1910" s="8" t="s">
        <v>5691</v>
      </c>
      <c r="I1910" s="7" t="str">
        <f>_xlfn.CONCAT(Paper_Reference[[#This Row],[Lvl]:[Paper Description]])</f>
        <v>2J37R0837SD580FLASHER  BULLDOG DED 60 X 961101100DS009-6200FROSTY WHITE</v>
      </c>
      <c r="J1910" s="7">
        <f>COUNTIF(Paper_Reference[Duplicate Key],Paper_Reference[[#This Row],[Duplicate Key]])</f>
        <v>1</v>
      </c>
    </row>
    <row r="1911" spans="1:10">
      <c r="A1911" s="7">
        <v>2</v>
      </c>
      <c r="B1911" s="8" t="s">
        <v>1764</v>
      </c>
      <c r="C1911" s="8" t="s">
        <v>1344</v>
      </c>
      <c r="D1911" s="7">
        <v>1</v>
      </c>
      <c r="E1911" s="7">
        <v>10</v>
      </c>
      <c r="F1911" s="7">
        <v>1</v>
      </c>
      <c r="G1911" s="8" t="s">
        <v>1241</v>
      </c>
      <c r="H1911" s="8" t="s">
        <v>1242</v>
      </c>
      <c r="I1911" s="7" t="str">
        <f>_xlfn.CONCAT(Paper_Reference[[#This Row],[Lvl]:[Paper Description]])</f>
        <v>2J37R0869SD380UNIQUE ELEVATOR D/G 36 X 96110110000020-5000Premium Inkjet MPK 9653</v>
      </c>
      <c r="J1911" s="7">
        <f>COUNTIF(Paper_Reference[Duplicate Key],Paper_Reference[[#This Row],[Duplicate Key]])</f>
        <v>1</v>
      </c>
    </row>
    <row r="1912" spans="1:10">
      <c r="A1912" s="7">
        <v>2</v>
      </c>
      <c r="B1912" s="8" t="s">
        <v>1765</v>
      </c>
      <c r="C1912" s="8" t="s">
        <v>1345</v>
      </c>
      <c r="D1912" s="7">
        <v>1</v>
      </c>
      <c r="E1912" s="7">
        <v>10</v>
      </c>
      <c r="F1912" s="7">
        <v>1</v>
      </c>
      <c r="G1912" s="8" t="s">
        <v>1241</v>
      </c>
      <c r="H1912" s="8" t="s">
        <v>1242</v>
      </c>
      <c r="I1912" s="7" t="str">
        <f>_xlfn.CONCAT(Paper_Reference[[#This Row],[Lvl]:[Paper Description]])</f>
        <v>2J37R0890SD400MCD CONEXSA COMBO SHEET 48 X 1110110000020-5000Premium Inkjet MPK 9653</v>
      </c>
      <c r="J1912" s="7">
        <f>COUNTIF(Paper_Reference[Duplicate Key],Paper_Reference[[#This Row],[Duplicate Key]])</f>
        <v>1</v>
      </c>
    </row>
    <row r="1913" spans="1:10">
      <c r="A1913" s="7">
        <v>2</v>
      </c>
      <c r="B1913" s="8" t="s">
        <v>1766</v>
      </c>
      <c r="C1913" s="8" t="s">
        <v>1346</v>
      </c>
      <c r="D1913" s="7">
        <v>1</v>
      </c>
      <c r="E1913" s="7">
        <v>10</v>
      </c>
      <c r="F1913" s="7">
        <v>1</v>
      </c>
      <c r="G1913" s="8" t="s">
        <v>1241</v>
      </c>
      <c r="H1913" s="8" t="s">
        <v>1242</v>
      </c>
      <c r="I1913" s="7" t="str">
        <f>_xlfn.CONCAT(Paper_Reference[[#This Row],[Lvl]:[Paper Description]])</f>
        <v>2J37R0891SD400MCD CONEXSA LETTER B 48 X 120110110000020-5000Premium Inkjet MPK 9653</v>
      </c>
      <c r="J1913" s="7">
        <f>COUNTIF(Paper_Reference[Duplicate Key],Paper_Reference[[#This Row],[Duplicate Key]])</f>
        <v>1</v>
      </c>
    </row>
    <row r="1914" spans="1:10">
      <c r="A1914" s="7">
        <v>2</v>
      </c>
      <c r="B1914" s="8" t="s">
        <v>1767</v>
      </c>
      <c r="C1914" s="8" t="s">
        <v>1347</v>
      </c>
      <c r="D1914" s="7">
        <v>1</v>
      </c>
      <c r="E1914" s="7">
        <v>10</v>
      </c>
      <c r="F1914" s="7">
        <v>1</v>
      </c>
      <c r="G1914" s="8" t="s">
        <v>1241</v>
      </c>
      <c r="H1914" s="8" t="s">
        <v>1242</v>
      </c>
      <c r="I1914" s="7" t="str">
        <f>_xlfn.CONCAT(Paper_Reference[[#This Row],[Lvl]:[Paper Description]])</f>
        <v>2J37R0892SD400MCD CONEXSA LETTER C 48 X 120110110000020-5000Premium Inkjet MPK 9653</v>
      </c>
      <c r="J1914" s="7">
        <f>COUNTIF(Paper_Reference[Duplicate Key],Paper_Reference[[#This Row],[Duplicate Key]])</f>
        <v>1</v>
      </c>
    </row>
    <row r="1915" spans="1:10">
      <c r="A1915" s="7">
        <v>2</v>
      </c>
      <c r="B1915" s="8" t="s">
        <v>1768</v>
      </c>
      <c r="C1915" s="8" t="s">
        <v>1348</v>
      </c>
      <c r="D1915" s="7">
        <v>1</v>
      </c>
      <c r="E1915" s="7">
        <v>10</v>
      </c>
      <c r="F1915" s="7">
        <v>1</v>
      </c>
      <c r="G1915" s="8" t="s">
        <v>1241</v>
      </c>
      <c r="H1915" s="8" t="s">
        <v>1242</v>
      </c>
      <c r="I1915" s="7" t="str">
        <f>_xlfn.CONCAT(Paper_Reference[[#This Row],[Lvl]:[Paper Description]])</f>
        <v>2J37R0893SD400MCD CONEXSA LETTER F 48 X 120110110000020-5000Premium Inkjet MPK 9653</v>
      </c>
      <c r="J1915" s="7">
        <f>COUNTIF(Paper_Reference[Duplicate Key],Paper_Reference[[#This Row],[Duplicate Key]])</f>
        <v>1</v>
      </c>
    </row>
    <row r="1916" spans="1:10">
      <c r="A1916" s="7">
        <v>2</v>
      </c>
      <c r="B1916" s="8" t="s">
        <v>1769</v>
      </c>
      <c r="C1916" s="8" t="s">
        <v>1349</v>
      </c>
      <c r="D1916" s="7">
        <v>1</v>
      </c>
      <c r="E1916" s="7">
        <v>10</v>
      </c>
      <c r="F1916" s="7">
        <v>1</v>
      </c>
      <c r="G1916" s="8" t="s">
        <v>1241</v>
      </c>
      <c r="H1916" s="8" t="s">
        <v>1242</v>
      </c>
      <c r="I1916" s="7" t="str">
        <f>_xlfn.CONCAT(Paper_Reference[[#This Row],[Lvl]:[Paper Description]])</f>
        <v>2J37R0894SD400MCD CONEXSA LETTER S 48 X 120110110000020-5000Premium Inkjet MPK 9653</v>
      </c>
      <c r="J1916" s="7">
        <f>COUNTIF(Paper_Reference[Duplicate Key],Paper_Reference[[#This Row],[Duplicate Key]])</f>
        <v>1</v>
      </c>
    </row>
    <row r="1917" spans="1:10">
      <c r="A1917" s="7">
        <v>2</v>
      </c>
      <c r="B1917" s="8" t="s">
        <v>2613</v>
      </c>
      <c r="C1917" s="8" t="s">
        <v>2164</v>
      </c>
      <c r="D1917" s="7">
        <v>1</v>
      </c>
      <c r="E1917" s="7">
        <v>10</v>
      </c>
      <c r="F1917" s="7">
        <v>1</v>
      </c>
      <c r="G1917" s="8" t="s">
        <v>2144</v>
      </c>
      <c r="H1917" s="8" t="s">
        <v>1242</v>
      </c>
      <c r="I1917" s="7" t="str">
        <f>_xlfn.CONCAT(Paper_Reference[[#This Row],[Lvl]:[Paper Description]])</f>
        <v>2J37R0911SD520OH PEDS ED BAY 60 X 144110110000020-6200Premium Inkjet MPK 9653</v>
      </c>
      <c r="J1917" s="7">
        <f>COUNTIF(Paper_Reference[Duplicate Key],Paper_Reference[[#This Row],[Duplicate Key]])</f>
        <v>1</v>
      </c>
    </row>
    <row r="1918" spans="1:10">
      <c r="A1918" s="7">
        <v>2</v>
      </c>
      <c r="B1918" s="8" t="s">
        <v>1770</v>
      </c>
      <c r="C1918" s="8" t="s">
        <v>1350</v>
      </c>
      <c r="D1918" s="7">
        <v>1</v>
      </c>
      <c r="E1918" s="7">
        <v>10</v>
      </c>
      <c r="F1918" s="7">
        <v>1</v>
      </c>
      <c r="G1918" s="8" t="s">
        <v>1241</v>
      </c>
      <c r="H1918" s="8" t="s">
        <v>1242</v>
      </c>
      <c r="I1918" s="7" t="str">
        <f>_xlfn.CONCAT(Paper_Reference[[#This Row],[Lvl]:[Paper Description]])</f>
        <v>2J37R0979SD480EAGAN FIRE TABLETOP 48 X 96110110000020-5000Premium Inkjet MPK 9653</v>
      </c>
      <c r="J1918" s="7">
        <f>COUNTIF(Paper_Reference[Duplicate Key],Paper_Reference[[#This Row],[Duplicate Key]])</f>
        <v>1</v>
      </c>
    </row>
    <row r="1919" spans="1:10">
      <c r="A1919" s="7">
        <v>2</v>
      </c>
      <c r="B1919" s="8" t="s">
        <v>1770</v>
      </c>
      <c r="C1919" s="8" t="s">
        <v>1350</v>
      </c>
      <c r="D1919" s="7">
        <v>1</v>
      </c>
      <c r="E1919" s="7">
        <v>10</v>
      </c>
      <c r="F1919" s="7">
        <v>1</v>
      </c>
      <c r="G1919" s="8" t="s">
        <v>6710</v>
      </c>
      <c r="H1919" s="8" t="s">
        <v>5691</v>
      </c>
      <c r="I1919" s="7" t="str">
        <f>_xlfn.CONCAT(Paper_Reference[[#This Row],[Lvl]:[Paper Description]])</f>
        <v>2J37R0979SD480EAGAN FIRE TABLETOP 48 X 961101100DS009-5000FROSTY WHITE</v>
      </c>
      <c r="J1919" s="7">
        <f>COUNTIF(Paper_Reference[Duplicate Key],Paper_Reference[[#This Row],[Duplicate Key]])</f>
        <v>1</v>
      </c>
    </row>
    <row r="1920" spans="1:10">
      <c r="A1920" s="7">
        <v>2</v>
      </c>
      <c r="B1920" s="8" t="s">
        <v>1771</v>
      </c>
      <c r="C1920" s="8" t="s">
        <v>1351</v>
      </c>
      <c r="D1920" s="7">
        <v>1</v>
      </c>
      <c r="E1920" s="7">
        <v>10</v>
      </c>
      <c r="F1920" s="7">
        <v>1</v>
      </c>
      <c r="G1920" s="8" t="s">
        <v>1241</v>
      </c>
      <c r="H1920" s="8" t="s">
        <v>1242</v>
      </c>
      <c r="I1920" s="7" t="str">
        <f>_xlfn.CONCAT(Paper_Reference[[#This Row],[Lvl]:[Paper Description]])</f>
        <v>2J37R1073SD480KILLSPENCER BACKBOARDS 48 X 96110110000020-5000Premium Inkjet MPK 9653</v>
      </c>
      <c r="J1920" s="7">
        <f>COUNTIF(Paper_Reference[Duplicate Key],Paper_Reference[[#This Row],[Duplicate Key]])</f>
        <v>1</v>
      </c>
    </row>
    <row r="1921" spans="1:10">
      <c r="A1921" s="7">
        <v>2</v>
      </c>
      <c r="B1921" s="8" t="s">
        <v>1772</v>
      </c>
      <c r="C1921" s="8" t="s">
        <v>1352</v>
      </c>
      <c r="D1921" s="7">
        <v>1</v>
      </c>
      <c r="E1921" s="7">
        <v>10</v>
      </c>
      <c r="F1921" s="7">
        <v>1</v>
      </c>
      <c r="G1921" s="8" t="s">
        <v>1241</v>
      </c>
      <c r="H1921" s="8" t="s">
        <v>1242</v>
      </c>
      <c r="I1921" s="7" t="str">
        <f>_xlfn.CONCAT(Paper_Reference[[#This Row],[Lvl]:[Paper Description]])</f>
        <v>2J37R1089SD300KIMBERLY HALL CREATIVE D/G 36110110000020-5000Premium Inkjet MPK 9653</v>
      </c>
      <c r="J1921" s="7">
        <f>COUNTIF(Paper_Reference[Duplicate Key],Paper_Reference[[#This Row],[Duplicate Key]])</f>
        <v>1</v>
      </c>
    </row>
    <row r="1922" spans="1:10">
      <c r="A1922" s="7">
        <v>2</v>
      </c>
      <c r="B1922" s="8" t="s">
        <v>1773</v>
      </c>
      <c r="C1922" s="8" t="s">
        <v>1353</v>
      </c>
      <c r="D1922" s="7">
        <v>1</v>
      </c>
      <c r="E1922" s="7">
        <v>10</v>
      </c>
      <c r="F1922" s="7">
        <v>1</v>
      </c>
      <c r="G1922" s="8" t="s">
        <v>1241</v>
      </c>
      <c r="H1922" s="8" t="s">
        <v>1242</v>
      </c>
      <c r="I1922" s="7" t="str">
        <f>_xlfn.CONCAT(Paper_Reference[[#This Row],[Lvl]:[Paper Description]])</f>
        <v>2J37R1094SD480LOMA LINDA HEADWALL #1 48 X 96110110000020-5000Premium Inkjet MPK 9653</v>
      </c>
      <c r="J1922" s="7">
        <f>COUNTIF(Paper_Reference[Duplicate Key],Paper_Reference[[#This Row],[Duplicate Key]])</f>
        <v>1</v>
      </c>
    </row>
    <row r="1923" spans="1:10">
      <c r="A1923" s="7">
        <v>2</v>
      </c>
      <c r="B1923" s="8" t="s">
        <v>1774</v>
      </c>
      <c r="C1923" s="8" t="s">
        <v>1354</v>
      </c>
      <c r="D1923" s="7">
        <v>1</v>
      </c>
      <c r="E1923" s="7">
        <v>10</v>
      </c>
      <c r="F1923" s="7">
        <v>1</v>
      </c>
      <c r="G1923" s="8" t="s">
        <v>1241</v>
      </c>
      <c r="H1923" s="8" t="s">
        <v>1242</v>
      </c>
      <c r="I1923" s="7" t="str">
        <f>_xlfn.CONCAT(Paper_Reference[[#This Row],[Lvl]:[Paper Description]])</f>
        <v>2J37R1095SD480LOMA LINDA HEADWALL #2 48 X 96110110000020-5000Premium Inkjet MPK 9653</v>
      </c>
      <c r="J1923" s="7">
        <f>COUNTIF(Paper_Reference[Duplicate Key],Paper_Reference[[#This Row],[Duplicate Key]])</f>
        <v>1</v>
      </c>
    </row>
    <row r="1924" spans="1:10">
      <c r="A1924" s="7">
        <v>2</v>
      </c>
      <c r="B1924" s="8" t="s">
        <v>1775</v>
      </c>
      <c r="C1924" s="8" t="s">
        <v>1355</v>
      </c>
      <c r="D1924" s="7">
        <v>1</v>
      </c>
      <c r="E1924" s="7">
        <v>10</v>
      </c>
      <c r="F1924" s="7">
        <v>1</v>
      </c>
      <c r="G1924" s="8" t="s">
        <v>1241</v>
      </c>
      <c r="H1924" s="8" t="s">
        <v>1242</v>
      </c>
      <c r="I1924" s="7" t="str">
        <f>_xlfn.CONCAT(Paper_Reference[[#This Row],[Lvl]:[Paper Description]])</f>
        <v>2J37R1181SD480LOMA LINDA HEADWALL 48 X 96110110000020-5000Premium Inkjet MPK 9653</v>
      </c>
      <c r="J1924" s="7">
        <f>COUNTIF(Paper_Reference[Duplicate Key],Paper_Reference[[#This Row],[Duplicate Key]])</f>
        <v>1</v>
      </c>
    </row>
    <row r="1925" spans="1:10">
      <c r="A1925" s="7">
        <v>2</v>
      </c>
      <c r="B1925" s="8" t="s">
        <v>1776</v>
      </c>
      <c r="C1925" s="8" t="s">
        <v>1356</v>
      </c>
      <c r="D1925" s="7">
        <v>1</v>
      </c>
      <c r="E1925" s="7">
        <v>10</v>
      </c>
      <c r="F1925" s="7">
        <v>1</v>
      </c>
      <c r="G1925" s="8" t="s">
        <v>1241</v>
      </c>
      <c r="H1925" s="8" t="s">
        <v>1242</v>
      </c>
      <c r="I1925" s="7" t="str">
        <f>_xlfn.CONCAT(Paper_Reference[[#This Row],[Lvl]:[Paper Description]])</f>
        <v>2J37R1240SD480JC TELLER LINE 48 X 96110110000020-5000Premium Inkjet MPK 9653</v>
      </c>
      <c r="J1925" s="7">
        <f>COUNTIF(Paper_Reference[Duplicate Key],Paper_Reference[[#This Row],[Duplicate Key]])</f>
        <v>1</v>
      </c>
    </row>
    <row r="1926" spans="1:10">
      <c r="A1926" s="7">
        <v>2</v>
      </c>
      <c r="B1926" s="8" t="s">
        <v>2614</v>
      </c>
      <c r="C1926" s="8" t="s">
        <v>2165</v>
      </c>
      <c r="D1926" s="7">
        <v>1</v>
      </c>
      <c r="E1926" s="7">
        <v>10</v>
      </c>
      <c r="F1926" s="7">
        <v>1</v>
      </c>
      <c r="G1926" s="8" t="s">
        <v>2144</v>
      </c>
      <c r="H1926" s="8" t="s">
        <v>1242</v>
      </c>
      <c r="I1926" s="7" t="str">
        <f>_xlfn.CONCAT(Paper_Reference[[#This Row],[Lvl]:[Paper Description]])</f>
        <v>2J37R1241SD520INTERIOR CONCEPTS TT 60 X 144110110000020-6200Premium Inkjet MPK 9653</v>
      </c>
      <c r="J1926" s="7">
        <f>COUNTIF(Paper_Reference[Duplicate Key],Paper_Reference[[#This Row],[Duplicate Key]])</f>
        <v>1</v>
      </c>
    </row>
    <row r="1927" spans="1:10">
      <c r="A1927" s="7">
        <v>2</v>
      </c>
      <c r="B1927" s="8" t="s">
        <v>1777</v>
      </c>
      <c r="C1927" s="8" t="s">
        <v>1357</v>
      </c>
      <c r="D1927" s="7">
        <v>1</v>
      </c>
      <c r="E1927" s="7">
        <v>10</v>
      </c>
      <c r="F1927" s="7">
        <v>1</v>
      </c>
      <c r="G1927" s="8" t="s">
        <v>1241</v>
      </c>
      <c r="H1927" s="8" t="s">
        <v>1242</v>
      </c>
      <c r="I1927" s="7" t="str">
        <f>_xlfn.CONCAT(Paper_Reference[[#This Row],[Lvl]:[Paper Description]])</f>
        <v>2J37R1243SD300BDG CHRISTIANA FC 36 X 120110110000020-5000Premium Inkjet MPK 9653</v>
      </c>
      <c r="J1927" s="7">
        <f>COUNTIF(Paper_Reference[Duplicate Key],Paper_Reference[[#This Row],[Duplicate Key]])</f>
        <v>1</v>
      </c>
    </row>
    <row r="1928" spans="1:10">
      <c r="A1928" s="7">
        <v>2</v>
      </c>
      <c r="B1928" s="8" t="s">
        <v>1778</v>
      </c>
      <c r="C1928" s="8" t="s">
        <v>1358</v>
      </c>
      <c r="D1928" s="7">
        <v>1</v>
      </c>
      <c r="E1928" s="7">
        <v>10</v>
      </c>
      <c r="F1928" s="7">
        <v>1</v>
      </c>
      <c r="G1928" s="8" t="s">
        <v>1241</v>
      </c>
      <c r="H1928" s="8" t="s">
        <v>1242</v>
      </c>
      <c r="I1928" s="7" t="str">
        <f>_xlfn.CONCAT(Paper_Reference[[#This Row],[Lvl]:[Paper Description]])</f>
        <v>2J37R1245SD480DONUTLAND 48 X 96110110000020-5000Premium Inkjet MPK 9653</v>
      </c>
      <c r="J1928" s="7">
        <f>COUNTIF(Paper_Reference[Duplicate Key],Paper_Reference[[#This Row],[Duplicate Key]])</f>
        <v>1</v>
      </c>
    </row>
    <row r="1929" spans="1:10">
      <c r="A1929" s="7">
        <v>2</v>
      </c>
      <c r="B1929" s="8" t="s">
        <v>1779</v>
      </c>
      <c r="C1929" s="8" t="s">
        <v>1359</v>
      </c>
      <c r="D1929" s="7">
        <v>1</v>
      </c>
      <c r="E1929" s="7">
        <v>10</v>
      </c>
      <c r="F1929" s="7">
        <v>1</v>
      </c>
      <c r="G1929" s="8" t="s">
        <v>1241</v>
      </c>
      <c r="H1929" s="8" t="s">
        <v>1242</v>
      </c>
      <c r="I1929" s="7" t="str">
        <f>_xlfn.CONCAT(Paper_Reference[[#This Row],[Lvl]:[Paper Description]])</f>
        <v>2J37R1265SD480WURTH POSTCARD 48 X 96110110000020-5000Premium Inkjet MPK 9653</v>
      </c>
      <c r="J1929" s="7">
        <f>COUNTIF(Paper_Reference[Duplicate Key],Paper_Reference[[#This Row],[Duplicate Key]])</f>
        <v>1</v>
      </c>
    </row>
    <row r="1930" spans="1:10">
      <c r="A1930" s="7">
        <v>2</v>
      </c>
      <c r="B1930" s="8" t="s">
        <v>1780</v>
      </c>
      <c r="C1930" s="8" t="s">
        <v>1360</v>
      </c>
      <c r="D1930" s="7">
        <v>1</v>
      </c>
      <c r="E1930" s="7">
        <v>10</v>
      </c>
      <c r="F1930" s="7">
        <v>1</v>
      </c>
      <c r="G1930" s="8" t="s">
        <v>1241</v>
      </c>
      <c r="H1930" s="8" t="s">
        <v>1242</v>
      </c>
      <c r="I1930" s="7" t="str">
        <f>_xlfn.CONCAT(Paper_Reference[[#This Row],[Lvl]:[Paper Description]])</f>
        <v>2J37R1268SD4801BARNGREEN AND TURNIPS 48 X 96110110000020-5000Premium Inkjet MPK 9653</v>
      </c>
      <c r="J1930" s="7">
        <f>COUNTIF(Paper_Reference[Duplicate Key],Paper_Reference[[#This Row],[Duplicate Key]])</f>
        <v>1</v>
      </c>
    </row>
    <row r="1931" spans="1:10">
      <c r="A1931" s="7">
        <v>2</v>
      </c>
      <c r="B1931" s="8" t="s">
        <v>1781</v>
      </c>
      <c r="C1931" s="8" t="s">
        <v>1361</v>
      </c>
      <c r="D1931" s="7">
        <v>1</v>
      </c>
      <c r="E1931" s="7">
        <v>10</v>
      </c>
      <c r="F1931" s="7">
        <v>1</v>
      </c>
      <c r="G1931" s="8" t="s">
        <v>1241</v>
      </c>
      <c r="H1931" s="8" t="s">
        <v>1242</v>
      </c>
      <c r="I1931" s="7" t="str">
        <f>_xlfn.CONCAT(Paper_Reference[[#This Row],[Lvl]:[Paper Description]])</f>
        <v>2J37R1357SD480EDISON CAFE 104 EAST 48 X 96110110000020-5000Premium Inkjet MPK 9653</v>
      </c>
      <c r="J1931" s="7">
        <f>COUNTIF(Paper_Reference[Duplicate Key],Paper_Reference[[#This Row],[Duplicate Key]])</f>
        <v>1</v>
      </c>
    </row>
    <row r="1932" spans="1:10">
      <c r="A1932" s="7">
        <v>2</v>
      </c>
      <c r="B1932" s="8" t="s">
        <v>1782</v>
      </c>
      <c r="C1932" s="8" t="s">
        <v>1362</v>
      </c>
      <c r="D1932" s="7">
        <v>1</v>
      </c>
      <c r="E1932" s="7">
        <v>10</v>
      </c>
      <c r="F1932" s="7">
        <v>1</v>
      </c>
      <c r="G1932" s="8" t="s">
        <v>1241</v>
      </c>
      <c r="H1932" s="8" t="s">
        <v>1242</v>
      </c>
      <c r="I1932" s="7" t="str">
        <f>_xlfn.CONCAT(Paper_Reference[[#This Row],[Lvl]:[Paper Description]])</f>
        <v>2J37R1358SD480EDISON CAFE 104 WEST 48 X 96110110000020-5000Premium Inkjet MPK 9653</v>
      </c>
      <c r="J1932" s="7">
        <f>COUNTIF(Paper_Reference[Duplicate Key],Paper_Reference[[#This Row],[Duplicate Key]])</f>
        <v>1</v>
      </c>
    </row>
    <row r="1933" spans="1:10">
      <c r="A1933" s="7">
        <v>2</v>
      </c>
      <c r="B1933" s="8" t="s">
        <v>1783</v>
      </c>
      <c r="C1933" s="8" t="s">
        <v>1363</v>
      </c>
      <c r="D1933" s="7">
        <v>1</v>
      </c>
      <c r="E1933" s="7">
        <v>10</v>
      </c>
      <c r="F1933" s="7">
        <v>1</v>
      </c>
      <c r="G1933" s="8" t="s">
        <v>1241</v>
      </c>
      <c r="H1933" s="8" t="s">
        <v>1242</v>
      </c>
      <c r="I1933" s="7" t="str">
        <f>_xlfn.CONCAT(Paper_Reference[[#This Row],[Lvl]:[Paper Description]])</f>
        <v>2J37R1359SD480EDISON CAFE 103 FULL WALL 48X9110110000020-5000Premium Inkjet MPK 9653</v>
      </c>
      <c r="J1933" s="7">
        <f>COUNTIF(Paper_Reference[Duplicate Key],Paper_Reference[[#This Row],[Duplicate Key]])</f>
        <v>1</v>
      </c>
    </row>
    <row r="1934" spans="1:10">
      <c r="A1934" s="7">
        <v>2</v>
      </c>
      <c r="B1934" s="8" t="s">
        <v>1784</v>
      </c>
      <c r="C1934" s="8" t="s">
        <v>1364</v>
      </c>
      <c r="D1934" s="7">
        <v>1</v>
      </c>
      <c r="E1934" s="7">
        <v>10</v>
      </c>
      <c r="F1934" s="7">
        <v>1</v>
      </c>
      <c r="G1934" s="8" t="s">
        <v>1241</v>
      </c>
      <c r="H1934" s="8" t="s">
        <v>1242</v>
      </c>
      <c r="I1934" s="7" t="str">
        <f>_xlfn.CONCAT(Paper_Reference[[#This Row],[Lvl]:[Paper Description]])</f>
        <v>2J37R1360SD480EDISON CAFE 118 LOUNGE 48 X 96110110000020-5000Premium Inkjet MPK 9653</v>
      </c>
      <c r="J1934" s="7">
        <f>COUNTIF(Paper_Reference[Duplicate Key],Paper_Reference[[#This Row],[Duplicate Key]])</f>
        <v>1</v>
      </c>
    </row>
    <row r="1935" spans="1:10">
      <c r="A1935" s="7">
        <v>2</v>
      </c>
      <c r="B1935" s="8" t="s">
        <v>2615</v>
      </c>
      <c r="C1935" s="8" t="s">
        <v>2166</v>
      </c>
      <c r="D1935" s="7">
        <v>1</v>
      </c>
      <c r="E1935" s="7">
        <v>10</v>
      </c>
      <c r="F1935" s="7">
        <v>1</v>
      </c>
      <c r="G1935" s="8" t="s">
        <v>2144</v>
      </c>
      <c r="H1935" s="8" t="s">
        <v>1242</v>
      </c>
      <c r="I1935" s="7" t="str">
        <f>_xlfn.CONCAT(Paper_Reference[[#This Row],[Lvl]:[Paper Description]])</f>
        <v>2J37R1365SD500SO COTTAGE GROVE ELEV 60 X 120110110000020-6200Premium Inkjet MPK 9653</v>
      </c>
      <c r="J1935" s="7">
        <f>COUNTIF(Paper_Reference[Duplicate Key],Paper_Reference[[#This Row],[Duplicate Key]])</f>
        <v>1</v>
      </c>
    </row>
    <row r="1936" spans="1:10">
      <c r="A1936" s="7">
        <v>2</v>
      </c>
      <c r="B1936" s="8" t="s">
        <v>1785</v>
      </c>
      <c r="C1936" s="8" t="s">
        <v>1365</v>
      </c>
      <c r="D1936" s="7">
        <v>1</v>
      </c>
      <c r="E1936" s="7">
        <v>10</v>
      </c>
      <c r="F1936" s="7">
        <v>1</v>
      </c>
      <c r="G1936" s="8" t="s">
        <v>1241</v>
      </c>
      <c r="H1936" s="8" t="s">
        <v>1242</v>
      </c>
      <c r="I1936" s="7" t="str">
        <f>_xlfn.CONCAT(Paper_Reference[[#This Row],[Lvl]:[Paper Description]])</f>
        <v>2J37R1400SD300AYRES GRAFFITI TBLTOP 36 X 120110110000020-5000Premium Inkjet MPK 9653</v>
      </c>
      <c r="J1936" s="7">
        <f>COUNTIF(Paper_Reference[Duplicate Key],Paper_Reference[[#This Row],[Duplicate Key]])</f>
        <v>1</v>
      </c>
    </row>
    <row r="1937" spans="1:10">
      <c r="A1937" s="7">
        <v>2</v>
      </c>
      <c r="B1937" s="8" t="s">
        <v>1786</v>
      </c>
      <c r="C1937" s="8" t="s">
        <v>1366</v>
      </c>
      <c r="D1937" s="7">
        <v>1</v>
      </c>
      <c r="E1937" s="7">
        <v>10</v>
      </c>
      <c r="F1937" s="7">
        <v>1</v>
      </c>
      <c r="G1937" s="8" t="s">
        <v>1241</v>
      </c>
      <c r="H1937" s="8" t="s">
        <v>1242</v>
      </c>
      <c r="I1937" s="7" t="str">
        <f>_xlfn.CONCAT(Paper_Reference[[#This Row],[Lvl]:[Paper Description]])</f>
        <v>2J37R1400SD380AYRES GRAFFITI TBLTOP 36 X 96110110000020-5000Premium Inkjet MPK 9653</v>
      </c>
      <c r="J1937" s="7">
        <f>COUNTIF(Paper_Reference[Duplicate Key],Paper_Reference[[#This Row],[Duplicate Key]])</f>
        <v>1</v>
      </c>
    </row>
    <row r="1938" spans="1:10">
      <c r="A1938" s="7">
        <v>2</v>
      </c>
      <c r="B1938" s="8" t="s">
        <v>1787</v>
      </c>
      <c r="C1938" s="8" t="s">
        <v>1367</v>
      </c>
      <c r="D1938" s="7">
        <v>1</v>
      </c>
      <c r="E1938" s="7">
        <v>10</v>
      </c>
      <c r="F1938" s="7">
        <v>1</v>
      </c>
      <c r="G1938" s="8" t="s">
        <v>1241</v>
      </c>
      <c r="H1938" s="8" t="s">
        <v>1242</v>
      </c>
      <c r="I1938" s="7" t="str">
        <f>_xlfn.CONCAT(Paper_Reference[[#This Row],[Lvl]:[Paper Description]])</f>
        <v>2J37R1402SD480CCH PEAKS RETAIL 48 X 96110110000020-5000Premium Inkjet MPK 9653</v>
      </c>
      <c r="J1938" s="7">
        <f>COUNTIF(Paper_Reference[Duplicate Key],Paper_Reference[[#This Row],[Duplicate Key]])</f>
        <v>1</v>
      </c>
    </row>
    <row r="1939" spans="1:10">
      <c r="A1939" s="7">
        <v>3</v>
      </c>
      <c r="B1939" s="8" t="s">
        <v>524</v>
      </c>
      <c r="C1939" s="8" t="s">
        <v>297</v>
      </c>
      <c r="D1939" s="7">
        <v>1</v>
      </c>
      <c r="E1939" s="7">
        <v>10</v>
      </c>
      <c r="F1939" s="7">
        <v>1</v>
      </c>
      <c r="G1939" s="8" t="s">
        <v>217</v>
      </c>
      <c r="H1939" s="8" t="s">
        <v>3229</v>
      </c>
      <c r="I1939" s="7" t="str">
        <f>_xlfn.CONCAT(Paper_Reference[[#This Row],[Lvl]:[Paper Description]])</f>
        <v>3J38I8450PM62ARROW PANEL 41.875 X 143.6251101100WM301-6200IQ MAPLE LANE (C) 60 X 144</v>
      </c>
      <c r="J1939" s="7">
        <f>COUNTIF(Paper_Reference[Duplicate Key],Paper_Reference[[#This Row],[Duplicate Key]])</f>
        <v>1</v>
      </c>
    </row>
    <row r="1940" spans="1:10">
      <c r="A1940" s="7">
        <v>3</v>
      </c>
      <c r="B1940" s="8" t="s">
        <v>524</v>
      </c>
      <c r="C1940" s="8" t="s">
        <v>297</v>
      </c>
      <c r="D1940" s="7">
        <v>1</v>
      </c>
      <c r="E1940" s="7">
        <v>10</v>
      </c>
      <c r="F1940" s="7">
        <v>1</v>
      </c>
      <c r="G1940" s="8" t="s">
        <v>217</v>
      </c>
      <c r="H1940" s="8" t="s">
        <v>425</v>
      </c>
      <c r="I1940" s="7" t="str">
        <f>_xlfn.CONCAT(Paper_Reference[[#This Row],[Lvl]:[Paper Description]])</f>
        <v>3J38I8450PM62ARROW PANEL 41.875 X 143.6251101100WM301-6200IQ MAPLE LANE (CENTER)</v>
      </c>
      <c r="J1940" s="7">
        <f>COUNTIF(Paper_Reference[Duplicate Key],Paper_Reference[[#This Row],[Duplicate Key]])</f>
        <v>1</v>
      </c>
    </row>
    <row r="1941" spans="1:10">
      <c r="A1941" s="7">
        <v>3</v>
      </c>
      <c r="B1941" s="8" t="s">
        <v>525</v>
      </c>
      <c r="C1941" s="8" t="s">
        <v>298</v>
      </c>
      <c r="D1941" s="7">
        <v>1</v>
      </c>
      <c r="E1941" s="7">
        <v>10</v>
      </c>
      <c r="F1941" s="7">
        <v>1</v>
      </c>
      <c r="G1941" s="8" t="s">
        <v>217</v>
      </c>
      <c r="H1941" s="8" t="s">
        <v>3229</v>
      </c>
      <c r="I1941" s="7" t="str">
        <f>_xlfn.CONCAT(Paper_Reference[[#This Row],[Lvl]:[Paper Description]])</f>
        <v>3J38I8460QM63FOUL LN D/F PAN 41.875 X 1421101100WM301-6200IQ MAPLE LANE (C) 60 X 144</v>
      </c>
      <c r="J1941" s="7">
        <f>COUNTIF(Paper_Reference[Duplicate Key],Paper_Reference[[#This Row],[Duplicate Key]])</f>
        <v>1</v>
      </c>
    </row>
    <row r="1942" spans="1:10">
      <c r="A1942" s="7">
        <v>3</v>
      </c>
      <c r="B1942" s="8" t="s">
        <v>525</v>
      </c>
      <c r="C1942" s="8" t="s">
        <v>298</v>
      </c>
      <c r="D1942" s="7">
        <v>1</v>
      </c>
      <c r="E1942" s="7">
        <v>10</v>
      </c>
      <c r="F1942" s="7">
        <v>1</v>
      </c>
      <c r="G1942" s="8" t="s">
        <v>217</v>
      </c>
      <c r="H1942" s="8" t="s">
        <v>425</v>
      </c>
      <c r="I1942" s="7" t="str">
        <f>_xlfn.CONCAT(Paper_Reference[[#This Row],[Lvl]:[Paper Description]])</f>
        <v>3J38I8460QM63FOUL LN D/F PAN 41.875 X 1421101100WM301-6200IQ MAPLE LANE (CENTER)</v>
      </c>
      <c r="J1942" s="7">
        <f>COUNTIF(Paper_Reference[Duplicate Key],Paper_Reference[[#This Row],[Duplicate Key]])</f>
        <v>1</v>
      </c>
    </row>
    <row r="1943" spans="1:10">
      <c r="A1943" s="7">
        <v>3</v>
      </c>
      <c r="B1943" s="8" t="s">
        <v>526</v>
      </c>
      <c r="C1943" s="8" t="s">
        <v>299</v>
      </c>
      <c r="D1943" s="7">
        <v>1</v>
      </c>
      <c r="E1943" s="7">
        <v>10</v>
      </c>
      <c r="F1943" s="7">
        <v>1</v>
      </c>
      <c r="G1943" s="8" t="s">
        <v>217</v>
      </c>
      <c r="H1943" s="8" t="s">
        <v>3229</v>
      </c>
      <c r="I1943" s="7" t="str">
        <f>_xlfn.CONCAT(Paper_Reference[[#This Row],[Lvl]:[Paper Description]])</f>
        <v>3J38I8490TM64APPROACH PANEL 41.875 X 1431101100WM301-6200IQ MAPLE LANE (C) 60 X 144</v>
      </c>
      <c r="J1943" s="7">
        <f>COUNTIF(Paper_Reference[Duplicate Key],Paper_Reference[[#This Row],[Duplicate Key]])</f>
        <v>1</v>
      </c>
    </row>
    <row r="1944" spans="1:10">
      <c r="A1944" s="7">
        <v>3</v>
      </c>
      <c r="B1944" s="8" t="s">
        <v>526</v>
      </c>
      <c r="C1944" s="8" t="s">
        <v>299</v>
      </c>
      <c r="D1944" s="7">
        <v>1</v>
      </c>
      <c r="E1944" s="7">
        <v>10</v>
      </c>
      <c r="F1944" s="7">
        <v>1</v>
      </c>
      <c r="G1944" s="8" t="s">
        <v>217</v>
      </c>
      <c r="H1944" s="8" t="s">
        <v>425</v>
      </c>
      <c r="I1944" s="7" t="str">
        <f>_xlfn.CONCAT(Paper_Reference[[#This Row],[Lvl]:[Paper Description]])</f>
        <v>3J38I8490TM64APPROACH PANEL 41.875 X 1431101100WM301-6200IQ MAPLE LANE (CENTER)</v>
      </c>
      <c r="J1944" s="7">
        <f>COUNTIF(Paper_Reference[Duplicate Key],Paper_Reference[[#This Row],[Duplicate Key]])</f>
        <v>1</v>
      </c>
    </row>
    <row r="1945" spans="1:10">
      <c r="A1945" s="7">
        <v>3</v>
      </c>
      <c r="B1945" s="8" t="s">
        <v>9089</v>
      </c>
      <c r="C1945" s="8" t="s">
        <v>9033</v>
      </c>
      <c r="D1945" s="7">
        <v>1</v>
      </c>
      <c r="E1945" s="7">
        <v>10</v>
      </c>
      <c r="F1945" s="7">
        <v>1</v>
      </c>
      <c r="G1945" s="8" t="s">
        <v>219</v>
      </c>
      <c r="H1945" s="8" t="s">
        <v>427</v>
      </c>
      <c r="I1945" s="7" t="str">
        <f>_xlfn.CONCAT(Paper_Reference[[#This Row],[Lvl]:[Paper Description]])</f>
        <v>3J38I8580PM79IQ R ARROW  41.875 X 1441101100WM321-4300IQ MAPLE LANE RH</v>
      </c>
      <c r="J1945" s="7">
        <f>COUNTIF(Paper_Reference[Duplicate Key],Paper_Reference[[#This Row],[Duplicate Key]])</f>
        <v>1</v>
      </c>
    </row>
    <row r="1946" spans="1:10">
      <c r="A1946" s="7">
        <v>3</v>
      </c>
      <c r="B1946" s="8" t="s">
        <v>8978</v>
      </c>
      <c r="C1946" s="8" t="s">
        <v>8924</v>
      </c>
      <c r="D1946" s="7">
        <v>1</v>
      </c>
      <c r="E1946" s="7">
        <v>10</v>
      </c>
      <c r="F1946" s="7">
        <v>1</v>
      </c>
      <c r="G1946" s="8" t="s">
        <v>218</v>
      </c>
      <c r="H1946" s="8" t="s">
        <v>426</v>
      </c>
      <c r="I1946" s="7" t="str">
        <f>_xlfn.CONCAT(Paper_Reference[[#This Row],[Lvl]:[Paper Description]])</f>
        <v>3J38I8581PM78IQ L ARROW  41.875 X 1441101100WM311-4300IQ MAPLE LANE LH</v>
      </c>
      <c r="J1946" s="7">
        <f>COUNTIF(Paper_Reference[Duplicate Key],Paper_Reference[[#This Row],[Duplicate Key]])</f>
        <v>1</v>
      </c>
    </row>
    <row r="1947" spans="1:10">
      <c r="A1947" s="7">
        <v>3</v>
      </c>
      <c r="B1947" s="8" t="s">
        <v>9090</v>
      </c>
      <c r="C1947" s="8" t="s">
        <v>9034</v>
      </c>
      <c r="D1947" s="7">
        <v>1</v>
      </c>
      <c r="E1947" s="7">
        <v>10</v>
      </c>
      <c r="F1947" s="7">
        <v>1</v>
      </c>
      <c r="G1947" s="8" t="s">
        <v>219</v>
      </c>
      <c r="H1947" s="8" t="s">
        <v>427</v>
      </c>
      <c r="I1947" s="7" t="str">
        <f>_xlfn.CONCAT(Paper_Reference[[#This Row],[Lvl]:[Paper Description]])</f>
        <v>3J38I9350PM86SYN R L/O ARROW 41.875 X 1441101100WM321-4300IQ MAPLE LANE RH</v>
      </c>
      <c r="J1947" s="7">
        <f>COUNTIF(Paper_Reference[Duplicate Key],Paper_Reference[[#This Row],[Duplicate Key]])</f>
        <v>1</v>
      </c>
    </row>
    <row r="1948" spans="1:10">
      <c r="A1948" s="7">
        <v>3</v>
      </c>
      <c r="B1948" s="8" t="s">
        <v>8979</v>
      </c>
      <c r="C1948" s="8" t="s">
        <v>8925</v>
      </c>
      <c r="D1948" s="7">
        <v>1</v>
      </c>
      <c r="E1948" s="7">
        <v>10</v>
      </c>
      <c r="F1948" s="7">
        <v>1</v>
      </c>
      <c r="G1948" s="8" t="s">
        <v>218</v>
      </c>
      <c r="H1948" s="8" t="s">
        <v>426</v>
      </c>
      <c r="I1948" s="7" t="str">
        <f>_xlfn.CONCAT(Paper_Reference[[#This Row],[Lvl]:[Paper Description]])</f>
        <v>3J38I9351PM86SYN L L/O ARROW 41.875 X 1441101100WM311-4300IQ MAPLE LANE LH</v>
      </c>
      <c r="J1948" s="7">
        <f>COUNTIF(Paper_Reference[Duplicate Key],Paper_Reference[[#This Row],[Duplicate Key]])</f>
        <v>1</v>
      </c>
    </row>
    <row r="1949" spans="1:10">
      <c r="A1949" s="7">
        <v>3</v>
      </c>
      <c r="B1949" s="8" t="s">
        <v>9091</v>
      </c>
      <c r="C1949" s="8" t="s">
        <v>9035</v>
      </c>
      <c r="D1949" s="7">
        <v>1</v>
      </c>
      <c r="E1949" s="7">
        <v>10</v>
      </c>
      <c r="F1949" s="7">
        <v>1</v>
      </c>
      <c r="G1949" s="8" t="s">
        <v>219</v>
      </c>
      <c r="H1949" s="8" t="s">
        <v>427</v>
      </c>
      <c r="I1949" s="7" t="str">
        <f>_xlfn.CONCAT(Paper_Reference[[#This Row],[Lvl]:[Paper Description]])</f>
        <v>3J38I9360PM85SYN R L/O FOUL 41.875 X 1441101100WM321-4300IQ MAPLE LANE RH</v>
      </c>
      <c r="J1949" s="7">
        <f>COUNTIF(Paper_Reference[Duplicate Key],Paper_Reference[[#This Row],[Duplicate Key]])</f>
        <v>1</v>
      </c>
    </row>
    <row r="1950" spans="1:10">
      <c r="A1950" s="7">
        <v>3</v>
      </c>
      <c r="B1950" s="8" t="s">
        <v>8980</v>
      </c>
      <c r="C1950" s="8" t="s">
        <v>8926</v>
      </c>
      <c r="D1950" s="7">
        <v>1</v>
      </c>
      <c r="E1950" s="7">
        <v>10</v>
      </c>
      <c r="F1950" s="7">
        <v>1</v>
      </c>
      <c r="G1950" s="8" t="s">
        <v>218</v>
      </c>
      <c r="H1950" s="8" t="s">
        <v>426</v>
      </c>
      <c r="I1950" s="7" t="str">
        <f>_xlfn.CONCAT(Paper_Reference[[#This Row],[Lvl]:[Paper Description]])</f>
        <v>3J38I9361PM85SYN L L/O FOUL 41.875 X 1441101100WM311-4300IQ MAPLE LANE LH</v>
      </c>
      <c r="J1950" s="7">
        <f>COUNTIF(Paper_Reference[Duplicate Key],Paper_Reference[[#This Row],[Duplicate Key]])</f>
        <v>1</v>
      </c>
    </row>
    <row r="1951" spans="1:10">
      <c r="A1951" s="7">
        <v>3</v>
      </c>
      <c r="B1951" s="8" t="s">
        <v>9094</v>
      </c>
      <c r="C1951" s="8" t="s">
        <v>9038</v>
      </c>
      <c r="D1951" s="7">
        <v>1</v>
      </c>
      <c r="E1951" s="7">
        <v>10</v>
      </c>
      <c r="F1951" s="7">
        <v>1</v>
      </c>
      <c r="G1951" s="8" t="s">
        <v>219</v>
      </c>
      <c r="H1951" s="8" t="s">
        <v>427</v>
      </c>
      <c r="I1951" s="7" t="str">
        <f>_xlfn.CONCAT(Paper_Reference[[#This Row],[Lvl]:[Paper Description]])</f>
        <v>3J39I8580PM79IQ UV R ARROW  41.875 X 1441101100WM321-4300IQ MAPLE LANE RH</v>
      </c>
      <c r="J1951" s="7">
        <f>COUNTIF(Paper_Reference[Duplicate Key],Paper_Reference[[#This Row],[Duplicate Key]])</f>
        <v>1</v>
      </c>
    </row>
    <row r="1952" spans="1:10">
      <c r="A1952" s="7">
        <v>3</v>
      </c>
      <c r="B1952" s="8" t="s">
        <v>8983</v>
      </c>
      <c r="C1952" s="8" t="s">
        <v>8929</v>
      </c>
      <c r="D1952" s="7">
        <v>1</v>
      </c>
      <c r="E1952" s="7">
        <v>10</v>
      </c>
      <c r="F1952" s="7">
        <v>1</v>
      </c>
      <c r="G1952" s="8" t="s">
        <v>218</v>
      </c>
      <c r="H1952" s="8" t="s">
        <v>426</v>
      </c>
      <c r="I1952" s="7" t="str">
        <f>_xlfn.CONCAT(Paper_Reference[[#This Row],[Lvl]:[Paper Description]])</f>
        <v>3J39I8581PM78IQ UV L ARROW  41.875 X 1441101100WM311-4300IQ MAPLE LANE LH</v>
      </c>
      <c r="J1952" s="7">
        <f>COUNTIF(Paper_Reference[Duplicate Key],Paper_Reference[[#This Row],[Duplicate Key]])</f>
        <v>1</v>
      </c>
    </row>
    <row r="1953" spans="1:10">
      <c r="A1953" s="7">
        <v>3</v>
      </c>
      <c r="B1953" s="8" t="s">
        <v>9095</v>
      </c>
      <c r="C1953" s="8" t="s">
        <v>9039</v>
      </c>
      <c r="D1953" s="7">
        <v>1</v>
      </c>
      <c r="E1953" s="7">
        <v>10</v>
      </c>
      <c r="F1953" s="7">
        <v>1</v>
      </c>
      <c r="G1953" s="8" t="s">
        <v>219</v>
      </c>
      <c r="H1953" s="8" t="s">
        <v>427</v>
      </c>
      <c r="I1953" s="7" t="str">
        <f>_xlfn.CONCAT(Paper_Reference[[#This Row],[Lvl]:[Paper Description]])</f>
        <v>3J39I9350PM86SYN UV R L/O ARROW 41.875X1441101100WM321-4300IQ MAPLE LANE RH</v>
      </c>
      <c r="J1953" s="7">
        <f>COUNTIF(Paper_Reference[Duplicate Key],Paper_Reference[[#This Row],[Duplicate Key]])</f>
        <v>1</v>
      </c>
    </row>
    <row r="1954" spans="1:10">
      <c r="A1954" s="7">
        <v>3</v>
      </c>
      <c r="B1954" s="8" t="s">
        <v>8984</v>
      </c>
      <c r="C1954" s="8" t="s">
        <v>8930</v>
      </c>
      <c r="D1954" s="7">
        <v>1</v>
      </c>
      <c r="E1954" s="7">
        <v>10</v>
      </c>
      <c r="F1954" s="7">
        <v>1</v>
      </c>
      <c r="G1954" s="8" t="s">
        <v>218</v>
      </c>
      <c r="H1954" s="8" t="s">
        <v>426</v>
      </c>
      <c r="I1954" s="7" t="str">
        <f>_xlfn.CONCAT(Paper_Reference[[#This Row],[Lvl]:[Paper Description]])</f>
        <v>3J39I9351PM86SYN UV L L/O ARROW 41.875X1441101100WM311-4300IQ MAPLE LANE LH</v>
      </c>
      <c r="J1954" s="7">
        <f>COUNTIF(Paper_Reference[Duplicate Key],Paper_Reference[[#This Row],[Duplicate Key]])</f>
        <v>1</v>
      </c>
    </row>
    <row r="1955" spans="1:10">
      <c r="A1955" s="7">
        <v>3</v>
      </c>
      <c r="B1955" s="8" t="s">
        <v>9096</v>
      </c>
      <c r="C1955" s="8" t="s">
        <v>9040</v>
      </c>
      <c r="D1955" s="7">
        <v>1</v>
      </c>
      <c r="E1955" s="7">
        <v>10</v>
      </c>
      <c r="F1955" s="7">
        <v>1</v>
      </c>
      <c r="G1955" s="8" t="s">
        <v>219</v>
      </c>
      <c r="H1955" s="8" t="s">
        <v>427</v>
      </c>
      <c r="I1955" s="7" t="str">
        <f>_xlfn.CONCAT(Paper_Reference[[#This Row],[Lvl]:[Paper Description]])</f>
        <v>3J39I9360PM85SYN UV R L/O FOUL 41.875 X 1441101100WM321-4300IQ MAPLE LANE RH</v>
      </c>
      <c r="J1955" s="7">
        <f>COUNTIF(Paper_Reference[Duplicate Key],Paper_Reference[[#This Row],[Duplicate Key]])</f>
        <v>1</v>
      </c>
    </row>
    <row r="1956" spans="1:10">
      <c r="A1956" s="7">
        <v>3</v>
      </c>
      <c r="B1956" s="8" t="s">
        <v>8985</v>
      </c>
      <c r="C1956" s="8" t="s">
        <v>8931</v>
      </c>
      <c r="D1956" s="7">
        <v>1</v>
      </c>
      <c r="E1956" s="7">
        <v>10</v>
      </c>
      <c r="F1956" s="7">
        <v>1</v>
      </c>
      <c r="G1956" s="8" t="s">
        <v>218</v>
      </c>
      <c r="H1956" s="8" t="s">
        <v>426</v>
      </c>
      <c r="I1956" s="7" t="str">
        <f>_xlfn.CONCAT(Paper_Reference[[#This Row],[Lvl]:[Paper Description]])</f>
        <v>3J39I9361PM85SYN UV L L/O FOUL 41.875 X 1441101100WM311-4300IQ MAPLE LANE LH</v>
      </c>
      <c r="J1956" s="7">
        <f>COUNTIF(Paper_Reference[Duplicate Key],Paper_Reference[[#This Row],[Duplicate Key]])</f>
        <v>1</v>
      </c>
    </row>
    <row r="1957" spans="1:10">
      <c r="A1957" s="7">
        <v>3</v>
      </c>
      <c r="B1957" s="8" t="s">
        <v>9132</v>
      </c>
      <c r="C1957" s="8" t="s">
        <v>9076</v>
      </c>
      <c r="D1957" s="7">
        <v>1</v>
      </c>
      <c r="E1957" s="7">
        <v>10</v>
      </c>
      <c r="F1957" s="7">
        <v>1</v>
      </c>
      <c r="G1957" s="8" t="s">
        <v>219</v>
      </c>
      <c r="H1957" s="8" t="s">
        <v>427</v>
      </c>
      <c r="I1957" s="7" t="str">
        <f>_xlfn.CONCAT(Paper_Reference[[#This Row],[Lvl]:[Paper Description]])</f>
        <v>3J39IBS01PM61SYN UV R COMMON R1 41.875 X 141101100WM321-4300IQ MAPLE LANE RH</v>
      </c>
      <c r="J1957" s="7">
        <f>COUNTIF(Paper_Reference[Duplicate Key],Paper_Reference[[#This Row],[Duplicate Key]])</f>
        <v>1</v>
      </c>
    </row>
    <row r="1958" spans="1:10">
      <c r="A1958" s="7">
        <v>3</v>
      </c>
      <c r="B1958" s="8" t="s">
        <v>9021</v>
      </c>
      <c r="C1958" s="8" t="s">
        <v>8967</v>
      </c>
      <c r="D1958" s="7">
        <v>1</v>
      </c>
      <c r="E1958" s="7">
        <v>10</v>
      </c>
      <c r="F1958" s="7">
        <v>1</v>
      </c>
      <c r="G1958" s="8" t="s">
        <v>218</v>
      </c>
      <c r="H1958" s="8" t="s">
        <v>426</v>
      </c>
      <c r="I1958" s="7" t="str">
        <f>_xlfn.CONCAT(Paper_Reference[[#This Row],[Lvl]:[Paper Description]])</f>
        <v>3J39IBS04PM61SYN UV L COMMON R1 41.875 X 141101100WM311-4300IQ MAPLE LANE LH</v>
      </c>
      <c r="J1958" s="7">
        <f>COUNTIF(Paper_Reference[Duplicate Key],Paper_Reference[[#This Row],[Duplicate Key]])</f>
        <v>1</v>
      </c>
    </row>
    <row r="1959" spans="1:10">
      <c r="A1959" s="7">
        <v>3</v>
      </c>
      <c r="B1959" s="8" t="s">
        <v>1147</v>
      </c>
      <c r="C1959" s="8" t="s">
        <v>1127</v>
      </c>
      <c r="D1959" s="7">
        <v>1</v>
      </c>
      <c r="E1959" s="7">
        <v>10</v>
      </c>
      <c r="F1959" s="7">
        <v>0.5</v>
      </c>
      <c r="G1959" s="8" t="s">
        <v>976</v>
      </c>
      <c r="H1959" s="8" t="s">
        <v>984</v>
      </c>
      <c r="I1959" s="7" t="str">
        <f>_xlfn.CONCAT(Paper_Reference[[#This Row],[Lvl]:[Paper Description]])</f>
        <v>3J40IMU01PM91MURREY UV APPROACH 41.875 X 681100.5100WM331-4300MURREY LANE (CENTER)</v>
      </c>
      <c r="J1959" s="7">
        <f>COUNTIF(Paper_Reference[Duplicate Key],Paper_Reference[[#This Row],[Duplicate Key]])</f>
        <v>1</v>
      </c>
    </row>
    <row r="1960" spans="1:10">
      <c r="A1960" s="7">
        <v>3</v>
      </c>
      <c r="B1960" s="8" t="s">
        <v>1148</v>
      </c>
      <c r="C1960" s="8" t="s">
        <v>1128</v>
      </c>
      <c r="D1960" s="7">
        <v>1</v>
      </c>
      <c r="E1960" s="7">
        <v>10</v>
      </c>
      <c r="F1960" s="7">
        <v>1</v>
      </c>
      <c r="G1960" s="8" t="s">
        <v>976</v>
      </c>
      <c r="H1960" s="8" t="s">
        <v>984</v>
      </c>
      <c r="I1960" s="7" t="str">
        <f>_xlfn.CONCAT(Paper_Reference[[#This Row],[Lvl]:[Paper Description]])</f>
        <v>3J40IMU02PM92MURREY UV FOUL 41.875 X 1441101100WM331-4300MURREY LANE (CENTER)</v>
      </c>
      <c r="J1960" s="7">
        <f>COUNTIF(Paper_Reference[Duplicate Key],Paper_Reference[[#This Row],[Duplicate Key]])</f>
        <v>1</v>
      </c>
    </row>
    <row r="1961" spans="1:10">
      <c r="A1961" s="7">
        <v>3</v>
      </c>
      <c r="B1961" s="8" t="s">
        <v>1171</v>
      </c>
      <c r="C1961" s="8" t="s">
        <v>402</v>
      </c>
      <c r="D1961" s="7">
        <v>1</v>
      </c>
      <c r="E1961" s="7">
        <v>10</v>
      </c>
      <c r="F1961" s="7">
        <v>0.5</v>
      </c>
      <c r="G1961" s="8" t="s">
        <v>977</v>
      </c>
      <c r="H1961" s="8" t="s">
        <v>985</v>
      </c>
      <c r="I1961" s="7" t="str">
        <f>_xlfn.CONCAT(Paper_Reference[[#This Row],[Lvl]:[Paper Description]])</f>
        <v>3J40WM331NM95MURREY UV S FILL 21.375 X 1441100.5100WM331-5000MURREY LANE</v>
      </c>
      <c r="J1961" s="7">
        <f>COUNTIF(Paper_Reference[Duplicate Key],Paper_Reference[[#This Row],[Duplicate Key]])</f>
        <v>1</v>
      </c>
    </row>
    <row r="1962" spans="1:10">
      <c r="A1962" s="7">
        <v>3</v>
      </c>
      <c r="B1962" s="8" t="s">
        <v>1172</v>
      </c>
      <c r="C1962" s="8" t="s">
        <v>403</v>
      </c>
      <c r="D1962" s="7">
        <v>1</v>
      </c>
      <c r="E1962" s="7">
        <v>10</v>
      </c>
      <c r="F1962" s="7">
        <v>0.25</v>
      </c>
      <c r="G1962" s="8" t="s">
        <v>977</v>
      </c>
      <c r="H1962" s="8" t="s">
        <v>985</v>
      </c>
      <c r="I1962" s="7" t="str">
        <f>_xlfn.CONCAT(Paper_Reference[[#This Row],[Lvl]:[Paper Description]])</f>
        <v>3J40WM331NM96MURREY UV S FILL 21.375 X 681100.25100WM331-5000MURREY LANE</v>
      </c>
      <c r="J1962" s="7">
        <f>COUNTIF(Paper_Reference[Duplicate Key],Paper_Reference[[#This Row],[Duplicate Key]])</f>
        <v>1</v>
      </c>
    </row>
    <row r="1963" spans="1:10">
      <c r="A1963" s="7">
        <v>3</v>
      </c>
      <c r="B1963" s="8" t="s">
        <v>1173</v>
      </c>
      <c r="C1963" s="8" t="s">
        <v>1159</v>
      </c>
      <c r="D1963" s="7">
        <v>1</v>
      </c>
      <c r="E1963" s="7">
        <v>10</v>
      </c>
      <c r="F1963" s="7">
        <v>0.5</v>
      </c>
      <c r="G1963" s="8" t="s">
        <v>977</v>
      </c>
      <c r="H1963" s="8" t="s">
        <v>985</v>
      </c>
      <c r="I1963" s="7" t="str">
        <f>_xlfn.CONCAT(Paper_Reference[[#This Row],[Lvl]:[Paper Description]])</f>
        <v>3J40WM331NM97MURREY UV D FILL 29.125 X 1441100.5100WM331-5000MURREY LANE</v>
      </c>
      <c r="J1963" s="7">
        <f>COUNTIF(Paper_Reference[Duplicate Key],Paper_Reference[[#This Row],[Duplicate Key]])</f>
        <v>1</v>
      </c>
    </row>
    <row r="1964" spans="1:10">
      <c r="A1964" s="7">
        <v>3</v>
      </c>
      <c r="B1964" s="8" t="s">
        <v>1174</v>
      </c>
      <c r="C1964" s="8" t="s">
        <v>1160</v>
      </c>
      <c r="D1964" s="7">
        <v>1</v>
      </c>
      <c r="E1964" s="7">
        <v>10</v>
      </c>
      <c r="F1964" s="7">
        <v>0.25</v>
      </c>
      <c r="G1964" s="8" t="s">
        <v>977</v>
      </c>
      <c r="H1964" s="8" t="s">
        <v>985</v>
      </c>
      <c r="I1964" s="7" t="str">
        <f>_xlfn.CONCAT(Paper_Reference[[#This Row],[Lvl]:[Paper Description]])</f>
        <v>3J40WM331NM98MURREY UV D FILL 29.125 X 681100.25100WM331-5000MURREY LANE</v>
      </c>
      <c r="J1964" s="7">
        <f>COUNTIF(Paper_Reference[Duplicate Key],Paper_Reference[[#This Row],[Duplicate Key]])</f>
        <v>1</v>
      </c>
    </row>
    <row r="1965" spans="1:10">
      <c r="A1965" s="7">
        <v>3</v>
      </c>
      <c r="B1965" s="8" t="s">
        <v>1175</v>
      </c>
      <c r="C1965" s="8" t="s">
        <v>402</v>
      </c>
      <c r="D1965" s="7">
        <v>1</v>
      </c>
      <c r="E1965" s="7">
        <v>10</v>
      </c>
      <c r="F1965" s="7">
        <v>0.5</v>
      </c>
      <c r="G1965" s="8" t="s">
        <v>977</v>
      </c>
      <c r="H1965" s="8" t="s">
        <v>985</v>
      </c>
      <c r="I1965" s="7" t="str">
        <f>_xlfn.CONCAT(Paper_Reference[[#This Row],[Lvl]:[Paper Description]])</f>
        <v>3J40WM331PM95MURREY UV S FILL 21.375 X 1441100.5100WM331-5000MURREY LANE</v>
      </c>
      <c r="J1965" s="7">
        <f>COUNTIF(Paper_Reference[Duplicate Key],Paper_Reference[[#This Row],[Duplicate Key]])</f>
        <v>1</v>
      </c>
    </row>
    <row r="1966" spans="1:10">
      <c r="A1966" s="7">
        <v>3</v>
      </c>
      <c r="B1966" s="8" t="s">
        <v>1176</v>
      </c>
      <c r="C1966" s="8" t="s">
        <v>403</v>
      </c>
      <c r="D1966" s="7">
        <v>1</v>
      </c>
      <c r="E1966" s="7">
        <v>10</v>
      </c>
      <c r="F1966" s="7">
        <v>0.25</v>
      </c>
      <c r="G1966" s="8" t="s">
        <v>977</v>
      </c>
      <c r="H1966" s="8" t="s">
        <v>985</v>
      </c>
      <c r="I1966" s="7" t="str">
        <f>_xlfn.CONCAT(Paper_Reference[[#This Row],[Lvl]:[Paper Description]])</f>
        <v>3J40WM331PM96MURREY UV S FILL 21.375 X 681100.25100WM331-5000MURREY LANE</v>
      </c>
      <c r="J1966" s="7">
        <f>COUNTIF(Paper_Reference[Duplicate Key],Paper_Reference[[#This Row],[Duplicate Key]])</f>
        <v>1</v>
      </c>
    </row>
    <row r="1967" spans="1:10">
      <c r="A1967" s="7">
        <v>3</v>
      </c>
      <c r="B1967" s="8" t="s">
        <v>1177</v>
      </c>
      <c r="C1967" s="8" t="s">
        <v>1159</v>
      </c>
      <c r="D1967" s="7">
        <v>1</v>
      </c>
      <c r="E1967" s="7">
        <v>10</v>
      </c>
      <c r="F1967" s="7">
        <v>0.5</v>
      </c>
      <c r="G1967" s="8" t="s">
        <v>977</v>
      </c>
      <c r="H1967" s="8" t="s">
        <v>985</v>
      </c>
      <c r="I1967" s="7" t="str">
        <f>_xlfn.CONCAT(Paper_Reference[[#This Row],[Lvl]:[Paper Description]])</f>
        <v>3J40WM331PM97MURREY UV D FILL 29.125 X 1441100.5100WM331-5000MURREY LANE</v>
      </c>
      <c r="J1967" s="7">
        <f>COUNTIF(Paper_Reference[Duplicate Key],Paper_Reference[[#This Row],[Duplicate Key]])</f>
        <v>1</v>
      </c>
    </row>
    <row r="1968" spans="1:10">
      <c r="A1968" s="7">
        <v>3</v>
      </c>
      <c r="B1968" s="8" t="s">
        <v>1178</v>
      </c>
      <c r="C1968" s="8" t="s">
        <v>1160</v>
      </c>
      <c r="D1968" s="7">
        <v>1</v>
      </c>
      <c r="E1968" s="7">
        <v>10</v>
      </c>
      <c r="F1968" s="7">
        <v>0.25</v>
      </c>
      <c r="G1968" s="8" t="s">
        <v>977</v>
      </c>
      <c r="H1968" s="8" t="s">
        <v>985</v>
      </c>
      <c r="I1968" s="7" t="str">
        <f>_xlfn.CONCAT(Paper_Reference[[#This Row],[Lvl]:[Paper Description]])</f>
        <v>3J40WM331PM98MURREY UV D FILL 29.125 X 681100.25100WM331-5000MURREY LANE</v>
      </c>
      <c r="J1968" s="7">
        <f>COUNTIF(Paper_Reference[Duplicate Key],Paper_Reference[[#This Row],[Duplicate Key]])</f>
        <v>1</v>
      </c>
    </row>
    <row r="1969" spans="1:10">
      <c r="A1969" s="7">
        <v>4</v>
      </c>
      <c r="B1969" s="8" t="s">
        <v>619</v>
      </c>
      <c r="C1969" s="8" t="s">
        <v>386</v>
      </c>
      <c r="D1969" s="7">
        <v>1</v>
      </c>
      <c r="E1969" s="7">
        <v>10</v>
      </c>
      <c r="F1969" s="7">
        <v>0.5</v>
      </c>
      <c r="G1969" s="8" t="s">
        <v>220</v>
      </c>
      <c r="H1969" s="8" t="s">
        <v>428</v>
      </c>
      <c r="I1969" s="7" t="str">
        <f>_xlfn.CONCAT(Paper_Reference[[#This Row],[Lvl]:[Paper Description]])</f>
        <v>4J40YM001NM45MURREY UV L/A KMC 59.5 X 681100.5100WM332-6200MURREY LANE LH</v>
      </c>
      <c r="J1969" s="7">
        <f>COUNTIF(Paper_Reference[Duplicate Key],Paper_Reference[[#This Row],[Duplicate Key]])</f>
        <v>1</v>
      </c>
    </row>
    <row r="1970" spans="1:10">
      <c r="A1970" s="7">
        <v>4</v>
      </c>
      <c r="B1970" s="8" t="s">
        <v>649</v>
      </c>
      <c r="C1970" s="8" t="s">
        <v>411</v>
      </c>
      <c r="D1970" s="7">
        <v>1</v>
      </c>
      <c r="E1970" s="7">
        <v>10</v>
      </c>
      <c r="F1970" s="7">
        <v>0.5</v>
      </c>
      <c r="G1970" s="8" t="s">
        <v>221</v>
      </c>
      <c r="H1970" s="8" t="s">
        <v>429</v>
      </c>
      <c r="I1970" s="7" t="str">
        <f>_xlfn.CONCAT(Paper_Reference[[#This Row],[Lvl]:[Paper Description]])</f>
        <v>4J40YM002NM46MURREY UV R/A KMC 59.5 X 681100.5100WM333-6200MURREY LANE RH</v>
      </c>
      <c r="J1970" s="7">
        <f>COUNTIF(Paper_Reference[Duplicate Key],Paper_Reference[[#This Row],[Duplicate Key]])</f>
        <v>1</v>
      </c>
    </row>
    <row r="1971" spans="1:10">
      <c r="A1971" s="7">
        <v>4</v>
      </c>
      <c r="B1971" s="8" t="s">
        <v>620</v>
      </c>
      <c r="C1971" s="8" t="s">
        <v>387</v>
      </c>
      <c r="D1971" s="7">
        <v>1</v>
      </c>
      <c r="E1971" s="7">
        <v>10</v>
      </c>
      <c r="F1971" s="7">
        <v>0.5</v>
      </c>
      <c r="G1971" s="8" t="s">
        <v>220</v>
      </c>
      <c r="H1971" s="8" t="s">
        <v>428</v>
      </c>
      <c r="I1971" s="7" t="str">
        <f>_xlfn.CONCAT(Paper_Reference[[#This Row],[Lvl]:[Paper Description]])</f>
        <v>4J40YM003NM45MURREY UV L/A UTAH 59.5 X 681100.5100WM332-6200MURREY LANE LH</v>
      </c>
      <c r="J1971" s="7">
        <f>COUNTIF(Paper_Reference[Duplicate Key],Paper_Reference[[#This Row],[Duplicate Key]])</f>
        <v>1</v>
      </c>
    </row>
    <row r="1972" spans="1:10">
      <c r="A1972" s="7">
        <v>4</v>
      </c>
      <c r="B1972" s="8" t="s">
        <v>650</v>
      </c>
      <c r="C1972" s="8" t="s">
        <v>412</v>
      </c>
      <c r="D1972" s="7">
        <v>1</v>
      </c>
      <c r="E1972" s="7">
        <v>10</v>
      </c>
      <c r="F1972" s="7">
        <v>0.5</v>
      </c>
      <c r="G1972" s="8" t="s">
        <v>221</v>
      </c>
      <c r="H1972" s="8" t="s">
        <v>429</v>
      </c>
      <c r="I1972" s="7" t="str">
        <f>_xlfn.CONCAT(Paper_Reference[[#This Row],[Lvl]:[Paper Description]])</f>
        <v>4J40YM004NM46MURREY UV R/A UTAH 59.5 X 681100.5100WM333-6200MURREY LANE RH</v>
      </c>
      <c r="J1972" s="7">
        <f>COUNTIF(Paper_Reference[Duplicate Key],Paper_Reference[[#This Row],[Duplicate Key]])</f>
        <v>1</v>
      </c>
    </row>
    <row r="1973" spans="1:10">
      <c r="A1973" s="7">
        <v>2</v>
      </c>
      <c r="B1973" s="8" t="s">
        <v>2616</v>
      </c>
      <c r="C1973" s="8" t="s">
        <v>2167</v>
      </c>
      <c r="D1973" s="7">
        <v>1</v>
      </c>
      <c r="E1973" s="7">
        <v>10</v>
      </c>
      <c r="F1973" s="7">
        <v>0.33329999999999999</v>
      </c>
      <c r="G1973" s="8" t="s">
        <v>2144</v>
      </c>
      <c r="H1973" s="8" t="s">
        <v>1242</v>
      </c>
      <c r="I1973" s="7" t="str">
        <f>_xlfn.CONCAT(Paper_Reference[[#This Row],[Lvl]:[Paper Description]])</f>
        <v>2J41B0102NM49US BOWL WX231 RET 15.25X1441100.333310000020-6200Premium Inkjet MPK 9653</v>
      </c>
      <c r="J1973" s="7">
        <f>COUNTIF(Paper_Reference[Duplicate Key],Paper_Reference[[#This Row],[Duplicate Key]])</f>
        <v>1</v>
      </c>
    </row>
    <row r="1974" spans="1:10">
      <c r="A1974" s="7">
        <v>2</v>
      </c>
      <c r="B1974" s="8" t="s">
        <v>2617</v>
      </c>
      <c r="C1974" s="8" t="s">
        <v>2168</v>
      </c>
      <c r="D1974" s="7">
        <v>1</v>
      </c>
      <c r="E1974" s="7">
        <v>10</v>
      </c>
      <c r="F1974" s="7">
        <v>1</v>
      </c>
      <c r="G1974" s="8" t="s">
        <v>2144</v>
      </c>
      <c r="H1974" s="8" t="s">
        <v>1242</v>
      </c>
      <c r="I1974" s="7" t="str">
        <f>_xlfn.CONCAT(Paper_Reference[[#This Row],[Lvl]:[Paper Description]])</f>
        <v>2J41B0102NM50US BOWL WX231 W/W 59.5X144110110000020-6200Premium Inkjet MPK 9653</v>
      </c>
      <c r="J1974" s="7">
        <f>COUNTIF(Paper_Reference[Duplicate Key],Paper_Reference[[#This Row],[Duplicate Key]])</f>
        <v>1</v>
      </c>
    </row>
    <row r="1975" spans="1:10">
      <c r="A1975" s="7">
        <v>3</v>
      </c>
      <c r="B1975" s="8" t="s">
        <v>651</v>
      </c>
      <c r="C1975" s="8" t="s">
        <v>413</v>
      </c>
      <c r="D1975" s="7">
        <v>1</v>
      </c>
      <c r="E1975" s="7">
        <v>10</v>
      </c>
      <c r="F1975" s="7">
        <v>0.5</v>
      </c>
      <c r="G1975" s="8" t="s">
        <v>221</v>
      </c>
      <c r="H1975" s="8" t="s">
        <v>429</v>
      </c>
      <c r="I1975" s="7" t="str">
        <f>_xlfn.CONCAT(Paper_Reference[[#This Row],[Lvl]:[Paper Description]])</f>
        <v>3J41IMU01NM91MURREY APPROACH 41.875 X 681100.5100WM333-6200MURREY LANE RH</v>
      </c>
      <c r="J1975" s="7">
        <f>COUNTIF(Paper_Reference[Duplicate Key],Paper_Reference[[#This Row],[Duplicate Key]])</f>
        <v>1</v>
      </c>
    </row>
    <row r="1976" spans="1:10">
      <c r="A1976" s="7">
        <v>3</v>
      </c>
      <c r="B1976" s="8" t="s">
        <v>652</v>
      </c>
      <c r="C1976" s="8" t="s">
        <v>414</v>
      </c>
      <c r="D1976" s="7">
        <v>1</v>
      </c>
      <c r="E1976" s="7">
        <v>10</v>
      </c>
      <c r="F1976" s="7">
        <v>1</v>
      </c>
      <c r="G1976" s="8" t="s">
        <v>221</v>
      </c>
      <c r="H1976" s="8" t="s">
        <v>429</v>
      </c>
      <c r="I1976" s="7" t="str">
        <f>_xlfn.CONCAT(Paper_Reference[[#This Row],[Lvl]:[Paper Description]])</f>
        <v>3J41IMU02NM92MURREY FOUL 41.875 X 1441101100WM333-6200MURREY LANE RH</v>
      </c>
      <c r="J1976" s="7">
        <f>COUNTIF(Paper_Reference[Duplicate Key],Paper_Reference[[#This Row],[Duplicate Key]])</f>
        <v>1</v>
      </c>
    </row>
    <row r="1977" spans="1:10">
      <c r="A1977" s="7">
        <v>3</v>
      </c>
      <c r="B1977" s="8" t="s">
        <v>1149</v>
      </c>
      <c r="C1977" s="8" t="s">
        <v>1129</v>
      </c>
      <c r="D1977" s="7">
        <v>1</v>
      </c>
      <c r="E1977" s="7">
        <v>10</v>
      </c>
      <c r="F1977" s="7">
        <v>1</v>
      </c>
      <c r="G1977" s="8" t="s">
        <v>976</v>
      </c>
      <c r="H1977" s="8" t="s">
        <v>984</v>
      </c>
      <c r="I1977" s="7" t="str">
        <f>_xlfn.CONCAT(Paper_Reference[[#This Row],[Lvl]:[Paper Description]])</f>
        <v>3J41IMU03PM93MURREY DOT 41.875 X 1441101100WM331-4300MURREY LANE (CENTER)</v>
      </c>
      <c r="J1977" s="7">
        <f>COUNTIF(Paper_Reference[Duplicate Key],Paper_Reference[[#This Row],[Duplicate Key]])</f>
        <v>1</v>
      </c>
    </row>
    <row r="1978" spans="1:10">
      <c r="A1978" s="7">
        <v>3</v>
      </c>
      <c r="B1978" s="8" t="s">
        <v>1150</v>
      </c>
      <c r="C1978" s="8" t="s">
        <v>1130</v>
      </c>
      <c r="D1978" s="7">
        <v>1</v>
      </c>
      <c r="E1978" s="7">
        <v>10</v>
      </c>
      <c r="F1978" s="7">
        <v>1</v>
      </c>
      <c r="G1978" s="8" t="s">
        <v>976</v>
      </c>
      <c r="H1978" s="8" t="s">
        <v>984</v>
      </c>
      <c r="I1978" s="7" t="str">
        <f>_xlfn.CONCAT(Paper_Reference[[#This Row],[Lvl]:[Paper Description]])</f>
        <v>3J41IMU04PM94MURREY DART 41.875 X 1441101100WM331-4300MURREY LANE (CENTER)</v>
      </c>
      <c r="J1978" s="7">
        <f>COUNTIF(Paper_Reference[Duplicate Key],Paper_Reference[[#This Row],[Duplicate Key]])</f>
        <v>1</v>
      </c>
    </row>
    <row r="1979" spans="1:10">
      <c r="A1979" s="7">
        <v>3</v>
      </c>
      <c r="B1979" s="8" t="s">
        <v>1151</v>
      </c>
      <c r="C1979" s="8" t="s">
        <v>1131</v>
      </c>
      <c r="D1979" s="7">
        <v>1</v>
      </c>
      <c r="E1979" s="7">
        <v>10</v>
      </c>
      <c r="F1979" s="7">
        <v>1</v>
      </c>
      <c r="G1979" s="8" t="s">
        <v>976</v>
      </c>
      <c r="H1979" s="8" t="s">
        <v>984</v>
      </c>
      <c r="I1979" s="7" t="str">
        <f>_xlfn.CONCAT(Paper_Reference[[#This Row],[Lvl]:[Paper Description]])</f>
        <v>3J41IMU10PM99MURREY APPROACH 41.875 X 1441101100WM331-4300MURREY LANE (CENTER)</v>
      </c>
      <c r="J1979" s="7">
        <f>COUNTIF(Paper_Reference[Duplicate Key],Paper_Reference[[#This Row],[Duplicate Key]])</f>
        <v>1</v>
      </c>
    </row>
    <row r="1980" spans="1:10">
      <c r="A1980" s="7">
        <v>3</v>
      </c>
      <c r="B1980" s="8" t="s">
        <v>1152</v>
      </c>
      <c r="C1980" s="8" t="s">
        <v>414</v>
      </c>
      <c r="D1980" s="7">
        <v>1</v>
      </c>
      <c r="E1980" s="7">
        <v>10</v>
      </c>
      <c r="F1980" s="7">
        <v>1</v>
      </c>
      <c r="G1980" s="8" t="s">
        <v>976</v>
      </c>
      <c r="H1980" s="8" t="s">
        <v>984</v>
      </c>
      <c r="I1980" s="7" t="str">
        <f>_xlfn.CONCAT(Paper_Reference[[#This Row],[Lvl]:[Paper Description]])</f>
        <v>3J41IMU11PM89MURREY FOUL 41.875 X 1441101100WM331-4300MURREY LANE (CENTER)</v>
      </c>
      <c r="J1980" s="7">
        <f>COUNTIF(Paper_Reference[Duplicate Key],Paper_Reference[[#This Row],[Duplicate Key]])</f>
        <v>1</v>
      </c>
    </row>
    <row r="1981" spans="1:10">
      <c r="A1981" s="7">
        <v>3</v>
      </c>
      <c r="B1981" s="8" t="s">
        <v>1153</v>
      </c>
      <c r="C1981" s="8" t="s">
        <v>1130</v>
      </c>
      <c r="D1981" s="7">
        <v>1</v>
      </c>
      <c r="E1981" s="7">
        <v>10</v>
      </c>
      <c r="F1981" s="7">
        <v>1</v>
      </c>
      <c r="G1981" s="8" t="s">
        <v>976</v>
      </c>
      <c r="H1981" s="8" t="s">
        <v>984</v>
      </c>
      <c r="I1981" s="7" t="str">
        <f>_xlfn.CONCAT(Paper_Reference[[#This Row],[Lvl]:[Paper Description]])</f>
        <v>3J41IMU12PM94MURREY DART 41.875 X 1441101100WM331-4300MURREY LANE (CENTER)</v>
      </c>
      <c r="J1981" s="7">
        <f>COUNTIF(Paper_Reference[Duplicate Key],Paper_Reference[[#This Row],[Duplicate Key]])</f>
        <v>1</v>
      </c>
    </row>
    <row r="1982" spans="1:10">
      <c r="A1982" s="7">
        <v>3</v>
      </c>
      <c r="B1982" s="8" t="s">
        <v>1154</v>
      </c>
      <c r="C1982" s="8" t="s">
        <v>1129</v>
      </c>
      <c r="D1982" s="7">
        <v>1</v>
      </c>
      <c r="E1982" s="7">
        <v>10</v>
      </c>
      <c r="F1982" s="7">
        <v>1</v>
      </c>
      <c r="G1982" s="8" t="s">
        <v>976</v>
      </c>
      <c r="H1982" s="8" t="s">
        <v>984</v>
      </c>
      <c r="I1982" s="7" t="str">
        <f>_xlfn.CONCAT(Paper_Reference[[#This Row],[Lvl]:[Paper Description]])</f>
        <v>3J41IMUA3PM93MURREY DOT 41.875 X 1441101100WM331-4300MURREY LANE (CENTER)</v>
      </c>
      <c r="J1982" s="7">
        <f>COUNTIF(Paper_Reference[Duplicate Key],Paper_Reference[[#This Row],[Duplicate Key]])</f>
        <v>1</v>
      </c>
    </row>
    <row r="1983" spans="1:10">
      <c r="A1983" s="7">
        <v>4</v>
      </c>
      <c r="B1983" s="8" t="s">
        <v>621</v>
      </c>
      <c r="C1983" s="8" t="s">
        <v>388</v>
      </c>
      <c r="D1983" s="7">
        <v>1</v>
      </c>
      <c r="E1983" s="7">
        <v>10</v>
      </c>
      <c r="F1983" s="7">
        <v>1</v>
      </c>
      <c r="G1983" s="8" t="s">
        <v>220</v>
      </c>
      <c r="H1983" s="8" t="s">
        <v>428</v>
      </c>
      <c r="I1983" s="7" t="str">
        <f>_xlfn.CONCAT(Paper_Reference[[#This Row],[Lvl]:[Paper Description]])</f>
        <v>4J41RB240NM47MURREY GC L FOUL 59.5 X 144.001101100WM332-6200MURREY LANE LH</v>
      </c>
      <c r="J1983" s="7">
        <f>COUNTIF(Paper_Reference[Duplicate Key],Paper_Reference[[#This Row],[Duplicate Key]])</f>
        <v>1</v>
      </c>
    </row>
    <row r="1984" spans="1:10">
      <c r="A1984" s="7">
        <v>4</v>
      </c>
      <c r="B1984" s="8" t="s">
        <v>653</v>
      </c>
      <c r="C1984" s="8" t="s">
        <v>415</v>
      </c>
      <c r="D1984" s="7">
        <v>1</v>
      </c>
      <c r="E1984" s="7">
        <v>10</v>
      </c>
      <c r="F1984" s="7">
        <v>1</v>
      </c>
      <c r="G1984" s="8" t="s">
        <v>221</v>
      </c>
      <c r="H1984" s="8" t="s">
        <v>429</v>
      </c>
      <c r="I1984" s="7" t="str">
        <f>_xlfn.CONCAT(Paper_Reference[[#This Row],[Lvl]:[Paper Description]])</f>
        <v>4J41RB241NM48MURREY GC R FOUL 59.5 X 144.001101100WM333-6200MURREY LANE RH</v>
      </c>
      <c r="J1984" s="7">
        <f>COUNTIF(Paper_Reference[Duplicate Key],Paper_Reference[[#This Row],[Duplicate Key]])</f>
        <v>1</v>
      </c>
    </row>
    <row r="1985" spans="1:10">
      <c r="A1985" s="7">
        <v>2</v>
      </c>
      <c r="B1985" s="8" t="s">
        <v>6239</v>
      </c>
      <c r="C1985" s="8" t="s">
        <v>5776</v>
      </c>
      <c r="D1985" s="7">
        <v>1</v>
      </c>
      <c r="E1985" s="7">
        <v>10</v>
      </c>
      <c r="F1985" s="7">
        <v>0.66659999999999997</v>
      </c>
      <c r="G1985" s="8" t="s">
        <v>5690</v>
      </c>
      <c r="H1985" s="8" t="s">
        <v>5691</v>
      </c>
      <c r="I1985" s="7" t="str">
        <f>_xlfn.CONCAT(Paper_Reference[[#This Row],[Lvl]:[Paper Description]])</f>
        <v>2J41RB387NM49MUR ANDRETTI RET 15.25X144.001100.6666100DS009-6200FROSTY WHITE</v>
      </c>
      <c r="J1985" s="7">
        <f>COUNTIF(Paper_Reference[Duplicate Key],Paper_Reference[[#This Row],[Duplicate Key]])</f>
        <v>1</v>
      </c>
    </row>
    <row r="1986" spans="1:10">
      <c r="A1986" s="7">
        <v>2</v>
      </c>
      <c r="B1986" s="8" t="s">
        <v>6240</v>
      </c>
      <c r="C1986" s="8" t="s">
        <v>5777</v>
      </c>
      <c r="D1986" s="7">
        <v>1</v>
      </c>
      <c r="E1986" s="7">
        <v>10</v>
      </c>
      <c r="F1986" s="7">
        <v>2</v>
      </c>
      <c r="G1986" s="8" t="s">
        <v>5690</v>
      </c>
      <c r="H1986" s="8" t="s">
        <v>5691</v>
      </c>
      <c r="I1986" s="7" t="str">
        <f>_xlfn.CONCAT(Paper_Reference[[#This Row],[Lvl]:[Paper Description]])</f>
        <v>2J41RB387NM50MUR ANDRETTI FILL 59.5 X 144.21102100DS009-6200FROSTY WHITE</v>
      </c>
      <c r="J1986" s="7">
        <f>COUNTIF(Paper_Reference[Duplicate Key],Paper_Reference[[#This Row],[Duplicate Key]])</f>
        <v>1</v>
      </c>
    </row>
    <row r="1987" spans="1:10">
      <c r="A1987" s="7">
        <v>2</v>
      </c>
      <c r="B1987" s="8" t="s">
        <v>6241</v>
      </c>
      <c r="C1987" s="8" t="s">
        <v>5778</v>
      </c>
      <c r="D1987" s="7">
        <v>1</v>
      </c>
      <c r="E1987" s="7">
        <v>10</v>
      </c>
      <c r="F1987" s="7">
        <v>0.66659999999999997</v>
      </c>
      <c r="G1987" s="8" t="s">
        <v>5690</v>
      </c>
      <c r="H1987" s="8" t="s">
        <v>5691</v>
      </c>
      <c r="I1987" s="7" t="str">
        <f>_xlfn.CONCAT(Paper_Reference[[#This Row],[Lvl]:[Paper Description]])</f>
        <v>2J41RB395NM49MUR F/STONE RET 15.25X144.001100.6666100DS009-6200FROSTY WHITE</v>
      </c>
      <c r="J1987" s="7">
        <f>COUNTIF(Paper_Reference[Duplicate Key],Paper_Reference[[#This Row],[Duplicate Key]])</f>
        <v>1</v>
      </c>
    </row>
    <row r="1988" spans="1:10">
      <c r="A1988" s="7">
        <v>2</v>
      </c>
      <c r="B1988" s="8" t="s">
        <v>6242</v>
      </c>
      <c r="C1988" s="8" t="s">
        <v>5779</v>
      </c>
      <c r="D1988" s="7">
        <v>1</v>
      </c>
      <c r="E1988" s="7">
        <v>10</v>
      </c>
      <c r="F1988" s="7">
        <v>2</v>
      </c>
      <c r="G1988" s="8" t="s">
        <v>5690</v>
      </c>
      <c r="H1988" s="8" t="s">
        <v>5691</v>
      </c>
      <c r="I1988" s="7" t="str">
        <f>_xlfn.CONCAT(Paper_Reference[[#This Row],[Lvl]:[Paper Description]])</f>
        <v>2J41RB395NM50MUR F/STONE FILL 59.5 X 144.251102100DS009-6200FROSTY WHITE</v>
      </c>
      <c r="J1988" s="7">
        <f>COUNTIF(Paper_Reference[Duplicate Key],Paper_Reference[[#This Row],[Duplicate Key]])</f>
        <v>1</v>
      </c>
    </row>
    <row r="1989" spans="1:10">
      <c r="A1989" s="7">
        <v>2</v>
      </c>
      <c r="B1989" s="8" t="s">
        <v>6243</v>
      </c>
      <c r="C1989" s="8" t="s">
        <v>5780</v>
      </c>
      <c r="D1989" s="7">
        <v>1</v>
      </c>
      <c r="E1989" s="7">
        <v>10</v>
      </c>
      <c r="F1989" s="7">
        <v>1</v>
      </c>
      <c r="G1989" s="8" t="s">
        <v>5690</v>
      </c>
      <c r="H1989" s="8" t="s">
        <v>5691</v>
      </c>
      <c r="I1989" s="7" t="str">
        <f>_xlfn.CONCAT(Paper_Reference[[#This Row],[Lvl]:[Paper Description]])</f>
        <v>2J41RB498NM45MUR CHERRYWOOD L/A 59.5 X 681101100DS009-6200FROSTY WHITE</v>
      </c>
      <c r="J1989" s="7">
        <f>COUNTIF(Paper_Reference[Duplicate Key],Paper_Reference[[#This Row],[Duplicate Key]])</f>
        <v>1</v>
      </c>
    </row>
    <row r="1990" spans="1:10">
      <c r="A1990" s="7">
        <v>2</v>
      </c>
      <c r="B1990" s="8" t="s">
        <v>6244</v>
      </c>
      <c r="C1990" s="8" t="s">
        <v>5781</v>
      </c>
      <c r="D1990" s="7">
        <v>1</v>
      </c>
      <c r="E1990" s="7">
        <v>10</v>
      </c>
      <c r="F1990" s="7">
        <v>2</v>
      </c>
      <c r="G1990" s="8" t="s">
        <v>5690</v>
      </c>
      <c r="H1990" s="8" t="s">
        <v>5691</v>
      </c>
      <c r="I1990" s="7" t="str">
        <f>_xlfn.CONCAT(Paper_Reference[[#This Row],[Lvl]:[Paper Description]])</f>
        <v>2J41RB499NM47MUR CHERRYWOOD L/F 59.5X144.001102100DS009-6200FROSTY WHITE</v>
      </c>
      <c r="J1990" s="7">
        <f>COUNTIF(Paper_Reference[Duplicate Key],Paper_Reference[[#This Row],[Duplicate Key]])</f>
        <v>1</v>
      </c>
    </row>
    <row r="1991" spans="1:10">
      <c r="A1991" s="7">
        <v>2</v>
      </c>
      <c r="B1991" s="8" t="s">
        <v>7458</v>
      </c>
      <c r="C1991" s="8" t="s">
        <v>6794</v>
      </c>
      <c r="D1991" s="7">
        <v>1</v>
      </c>
      <c r="E1991" s="7">
        <v>10</v>
      </c>
      <c r="F1991" s="7">
        <v>2</v>
      </c>
      <c r="G1991" s="8" t="s">
        <v>6710</v>
      </c>
      <c r="H1991" s="8" t="s">
        <v>5691</v>
      </c>
      <c r="I1991" s="7" t="str">
        <f>_xlfn.CONCAT(Paper_Reference[[#This Row],[Lvl]:[Paper Description]])</f>
        <v>2J41RB500PM93MUR CHERRYWOOD DOT 41.875X1441102100DS009-5000FROSTY WHITE</v>
      </c>
      <c r="J1991" s="7">
        <f>COUNTIF(Paper_Reference[Duplicate Key],Paper_Reference[[#This Row],[Duplicate Key]])</f>
        <v>1</v>
      </c>
    </row>
    <row r="1992" spans="1:10">
      <c r="A1992" s="7">
        <v>2</v>
      </c>
      <c r="B1992" s="8" t="s">
        <v>7459</v>
      </c>
      <c r="C1992" s="8" t="s">
        <v>6795</v>
      </c>
      <c r="D1992" s="7">
        <v>1</v>
      </c>
      <c r="E1992" s="7">
        <v>10</v>
      </c>
      <c r="F1992" s="7">
        <v>2</v>
      </c>
      <c r="G1992" s="8" t="s">
        <v>6710</v>
      </c>
      <c r="H1992" s="8" t="s">
        <v>5691</v>
      </c>
      <c r="I1992" s="7" t="str">
        <f>_xlfn.CONCAT(Paper_Reference[[#This Row],[Lvl]:[Paper Description]])</f>
        <v>2J41RB501PM94MUR CHERRYWOOD DART 41.875X1441102100DS009-5000FROSTY WHITE</v>
      </c>
      <c r="J1992" s="7">
        <f>COUNTIF(Paper_Reference[Duplicate Key],Paper_Reference[[#This Row],[Duplicate Key]])</f>
        <v>1</v>
      </c>
    </row>
    <row r="1993" spans="1:10">
      <c r="A1993" s="7">
        <v>2</v>
      </c>
      <c r="B1993" s="8" t="s">
        <v>7460</v>
      </c>
      <c r="C1993" s="8" t="s">
        <v>6796</v>
      </c>
      <c r="D1993" s="7">
        <v>1</v>
      </c>
      <c r="E1993" s="7">
        <v>10</v>
      </c>
      <c r="F1993" s="7">
        <v>2</v>
      </c>
      <c r="G1993" s="8" t="s">
        <v>6710</v>
      </c>
      <c r="H1993" s="8" t="s">
        <v>5691</v>
      </c>
      <c r="I1993" s="7" t="str">
        <f>_xlfn.CONCAT(Paper_Reference[[#This Row],[Lvl]:[Paper Description]])</f>
        <v>2J41RB502PM90MUR CHERRYWOOD COM 41.875X1441102100DS009-5000FROSTY WHITE</v>
      </c>
      <c r="J1993" s="7">
        <f>COUNTIF(Paper_Reference[Duplicate Key],Paper_Reference[[#This Row],[Duplicate Key]])</f>
        <v>1</v>
      </c>
    </row>
    <row r="1994" spans="1:10">
      <c r="A1994" s="7">
        <v>2</v>
      </c>
      <c r="B1994" s="8" t="s">
        <v>6245</v>
      </c>
      <c r="C1994" s="8" t="s">
        <v>5782</v>
      </c>
      <c r="D1994" s="7">
        <v>1</v>
      </c>
      <c r="E1994" s="7">
        <v>10</v>
      </c>
      <c r="F1994" s="7">
        <v>0.66659999999999997</v>
      </c>
      <c r="G1994" s="8" t="s">
        <v>5690</v>
      </c>
      <c r="H1994" s="8" t="s">
        <v>5691</v>
      </c>
      <c r="I1994" s="7" t="str">
        <f>_xlfn.CONCAT(Paper_Reference[[#This Row],[Lvl]:[Paper Description]])</f>
        <v>2J41RB503NM49MUR CHERRYWOOD RET 15.25X144.01100.6666100DS009-6200FROSTY WHITE</v>
      </c>
      <c r="J1994" s="7">
        <f>COUNTIF(Paper_Reference[Duplicate Key],Paper_Reference[[#This Row],[Duplicate Key]])</f>
        <v>1</v>
      </c>
    </row>
    <row r="1995" spans="1:10">
      <c r="A1995" s="7">
        <v>2</v>
      </c>
      <c r="B1995" s="8" t="s">
        <v>6246</v>
      </c>
      <c r="C1995" s="8" t="s">
        <v>5783</v>
      </c>
      <c r="D1995" s="7">
        <v>1</v>
      </c>
      <c r="E1995" s="7">
        <v>10</v>
      </c>
      <c r="F1995" s="7">
        <v>0.66659999999999997</v>
      </c>
      <c r="G1995" s="8" t="s">
        <v>5690</v>
      </c>
      <c r="H1995" s="8" t="s">
        <v>5691</v>
      </c>
      <c r="I1995" s="7" t="str">
        <f>_xlfn.CONCAT(Paper_Reference[[#This Row],[Lvl]:[Paper Description]])</f>
        <v>2J41RB517NM49MURREY ESU RET 15.25X144.001100.6666100DS009-6200FROSTY WHITE</v>
      </c>
      <c r="J1995" s="7">
        <f>COUNTIF(Paper_Reference[Duplicate Key],Paper_Reference[[#This Row],[Duplicate Key]])</f>
        <v>1</v>
      </c>
    </row>
    <row r="1996" spans="1:10">
      <c r="A1996" s="7">
        <v>2</v>
      </c>
      <c r="B1996" s="8" t="s">
        <v>6247</v>
      </c>
      <c r="C1996" s="8" t="s">
        <v>5784</v>
      </c>
      <c r="D1996" s="7">
        <v>1</v>
      </c>
      <c r="E1996" s="7">
        <v>10</v>
      </c>
      <c r="F1996" s="7">
        <v>2</v>
      </c>
      <c r="G1996" s="8" t="s">
        <v>5690</v>
      </c>
      <c r="H1996" s="8" t="s">
        <v>5691</v>
      </c>
      <c r="I1996" s="7" t="str">
        <f>_xlfn.CONCAT(Paper_Reference[[#This Row],[Lvl]:[Paper Description]])</f>
        <v>2J41RB582NM50MUR FROSTY WHITE FILL 59.5X1441102100DS009-6200FROSTY WHITE</v>
      </c>
      <c r="J1996" s="7">
        <f>COUNTIF(Paper_Reference[Duplicate Key],Paper_Reference[[#This Row],[Duplicate Key]])</f>
        <v>1</v>
      </c>
    </row>
    <row r="1997" spans="1:10">
      <c r="A1997" s="7">
        <v>2</v>
      </c>
      <c r="B1997" s="8" t="s">
        <v>6248</v>
      </c>
      <c r="C1997" s="8" t="s">
        <v>5785</v>
      </c>
      <c r="D1997" s="7">
        <v>1</v>
      </c>
      <c r="E1997" s="7">
        <v>10</v>
      </c>
      <c r="F1997" s="7">
        <v>0.66659999999999997</v>
      </c>
      <c r="G1997" s="8" t="s">
        <v>5690</v>
      </c>
      <c r="H1997" s="8" t="s">
        <v>5691</v>
      </c>
      <c r="I1997" s="7" t="str">
        <f>_xlfn.CONCAT(Paper_Reference[[#This Row],[Lvl]:[Paper Description]])</f>
        <v>2J41RB583NM49MUR FROSTY WHITE RET 15.25X1441100.6666100DS009-6200FROSTY WHITE</v>
      </c>
      <c r="J1997" s="7">
        <f>COUNTIF(Paper_Reference[Duplicate Key],Paper_Reference[[#This Row],[Duplicate Key]])</f>
        <v>1</v>
      </c>
    </row>
    <row r="1998" spans="1:10">
      <c r="A1998" s="7">
        <v>2</v>
      </c>
      <c r="B1998" s="8" t="s">
        <v>6249</v>
      </c>
      <c r="C1998" s="8" t="s">
        <v>5786</v>
      </c>
      <c r="D1998" s="7">
        <v>1</v>
      </c>
      <c r="E1998" s="7">
        <v>10</v>
      </c>
      <c r="F1998" s="7">
        <v>2</v>
      </c>
      <c r="G1998" s="8" t="s">
        <v>5690</v>
      </c>
      <c r="H1998" s="8" t="s">
        <v>5691</v>
      </c>
      <c r="I1998" s="7" t="str">
        <f>_xlfn.CONCAT(Paper_Reference[[#This Row],[Lvl]:[Paper Description]])</f>
        <v>2J41RB600NM50MUR DIG BLACK FILL 59.5X144.251102100DS009-6200FROSTY WHITE</v>
      </c>
      <c r="J1998" s="7">
        <f>COUNTIF(Paper_Reference[Duplicate Key],Paper_Reference[[#This Row],[Duplicate Key]])</f>
        <v>1</v>
      </c>
    </row>
    <row r="1999" spans="1:10">
      <c r="A1999" s="7">
        <v>2</v>
      </c>
      <c r="B1999" s="8" t="s">
        <v>6250</v>
      </c>
      <c r="C1999" s="8" t="s">
        <v>5787</v>
      </c>
      <c r="D1999" s="7">
        <v>1</v>
      </c>
      <c r="E1999" s="7">
        <v>10</v>
      </c>
      <c r="F1999" s="7">
        <v>0.66659999999999997</v>
      </c>
      <c r="G1999" s="8" t="s">
        <v>5690</v>
      </c>
      <c r="H1999" s="8" t="s">
        <v>5691</v>
      </c>
      <c r="I1999" s="7" t="str">
        <f>_xlfn.CONCAT(Paper_Reference[[#This Row],[Lvl]:[Paper Description]])</f>
        <v>2J41RB601NM49MUR DIG BLACK RET 15.25X144.001100.6666100DS009-6200FROSTY WHITE</v>
      </c>
      <c r="J1999" s="7">
        <f>COUNTIF(Paper_Reference[Duplicate Key],Paper_Reference[[#This Row],[Duplicate Key]])</f>
        <v>1</v>
      </c>
    </row>
    <row r="2000" spans="1:10">
      <c r="A2000" s="7">
        <v>2</v>
      </c>
      <c r="B2000" s="8" t="s">
        <v>6251</v>
      </c>
      <c r="C2000" s="8" t="s">
        <v>5788</v>
      </c>
      <c r="D2000" s="7">
        <v>1</v>
      </c>
      <c r="E2000" s="7">
        <v>10</v>
      </c>
      <c r="F2000" s="7">
        <v>1</v>
      </c>
      <c r="G2000" s="8" t="s">
        <v>5690</v>
      </c>
      <c r="H2000" s="8" t="s">
        <v>5691</v>
      </c>
      <c r="I2000" s="7" t="str">
        <f>_xlfn.CONCAT(Paper_Reference[[#This Row],[Lvl]:[Paper Description]])</f>
        <v>2J41RB605NM45USB DIG VINTAGE LA 59.5 X 681101100DS009-6200FROSTY WHITE</v>
      </c>
      <c r="J2000" s="7">
        <f>COUNTIF(Paper_Reference[Duplicate Key],Paper_Reference[[#This Row],[Duplicate Key]])</f>
        <v>1</v>
      </c>
    </row>
    <row r="2001" spans="1:10">
      <c r="A2001" s="7">
        <v>2</v>
      </c>
      <c r="B2001" s="8" t="s">
        <v>6252</v>
      </c>
      <c r="C2001" s="8" t="s">
        <v>5789</v>
      </c>
      <c r="D2001" s="7">
        <v>1</v>
      </c>
      <c r="E2001" s="7">
        <v>10</v>
      </c>
      <c r="F2001" s="7">
        <v>1</v>
      </c>
      <c r="G2001" s="8" t="s">
        <v>5690</v>
      </c>
      <c r="H2001" s="8" t="s">
        <v>5691</v>
      </c>
      <c r="I2001" s="7" t="str">
        <f>_xlfn.CONCAT(Paper_Reference[[#This Row],[Lvl]:[Paper Description]])</f>
        <v>2J41RB606NM46USB DIG VINTAGE RA 59.5 X 681101100DS009-6200FROSTY WHITE</v>
      </c>
      <c r="J2001" s="7">
        <f>COUNTIF(Paper_Reference[Duplicate Key],Paper_Reference[[#This Row],[Duplicate Key]])</f>
        <v>1</v>
      </c>
    </row>
    <row r="2002" spans="1:10">
      <c r="A2002" s="7">
        <v>2</v>
      </c>
      <c r="B2002" s="8" t="s">
        <v>6253</v>
      </c>
      <c r="C2002" s="8" t="s">
        <v>5790</v>
      </c>
      <c r="D2002" s="7">
        <v>1</v>
      </c>
      <c r="E2002" s="7">
        <v>10</v>
      </c>
      <c r="F2002" s="7">
        <v>2</v>
      </c>
      <c r="G2002" s="8" t="s">
        <v>5690</v>
      </c>
      <c r="H2002" s="8" t="s">
        <v>5691</v>
      </c>
      <c r="I2002" s="7" t="str">
        <f>_xlfn.CONCAT(Paper_Reference[[#This Row],[Lvl]:[Paper Description]])</f>
        <v>2J41RB607NM47USB DIG VINTAGE LF 59.5X144.001102100DS009-6200FROSTY WHITE</v>
      </c>
      <c r="J2002" s="7">
        <f>COUNTIF(Paper_Reference[Duplicate Key],Paper_Reference[[#This Row],[Duplicate Key]])</f>
        <v>1</v>
      </c>
    </row>
    <row r="2003" spans="1:10">
      <c r="A2003" s="7">
        <v>2</v>
      </c>
      <c r="B2003" s="8" t="s">
        <v>6254</v>
      </c>
      <c r="C2003" s="8" t="s">
        <v>5791</v>
      </c>
      <c r="D2003" s="7">
        <v>1</v>
      </c>
      <c r="E2003" s="7">
        <v>10</v>
      </c>
      <c r="F2003" s="7">
        <v>2</v>
      </c>
      <c r="G2003" s="8" t="s">
        <v>5690</v>
      </c>
      <c r="H2003" s="8" t="s">
        <v>5691</v>
      </c>
      <c r="I2003" s="7" t="str">
        <f>_xlfn.CONCAT(Paper_Reference[[#This Row],[Lvl]:[Paper Description]])</f>
        <v>2J41RB608NM48USB DIG VINTAGE RF 59.5X144.001102100DS009-6200FROSTY WHITE</v>
      </c>
      <c r="J2003" s="7">
        <f>COUNTIF(Paper_Reference[Duplicate Key],Paper_Reference[[#This Row],[Duplicate Key]])</f>
        <v>1</v>
      </c>
    </row>
    <row r="2004" spans="1:10">
      <c r="A2004" s="7">
        <v>2</v>
      </c>
      <c r="B2004" s="8" t="s">
        <v>7461</v>
      </c>
      <c r="C2004" s="8" t="s">
        <v>6797</v>
      </c>
      <c r="D2004" s="7">
        <v>1</v>
      </c>
      <c r="E2004" s="7">
        <v>10</v>
      </c>
      <c r="F2004" s="7">
        <v>2</v>
      </c>
      <c r="G2004" s="8" t="s">
        <v>6710</v>
      </c>
      <c r="H2004" s="8" t="s">
        <v>5691</v>
      </c>
      <c r="I2004" s="7" t="str">
        <f>_xlfn.CONCAT(Paper_Reference[[#This Row],[Lvl]:[Paper Description]])</f>
        <v>2J41RB609PM93USB DIG VINTAGE DOT 41.875X1441102100DS009-5000FROSTY WHITE</v>
      </c>
      <c r="J2004" s="7">
        <f>COUNTIF(Paper_Reference[Duplicate Key],Paper_Reference[[#This Row],[Duplicate Key]])</f>
        <v>1</v>
      </c>
    </row>
    <row r="2005" spans="1:10">
      <c r="A2005" s="7">
        <v>2</v>
      </c>
      <c r="B2005" s="8" t="s">
        <v>7462</v>
      </c>
      <c r="C2005" s="8" t="s">
        <v>6798</v>
      </c>
      <c r="D2005" s="7">
        <v>1</v>
      </c>
      <c r="E2005" s="7">
        <v>10</v>
      </c>
      <c r="F2005" s="7">
        <v>2</v>
      </c>
      <c r="G2005" s="8" t="s">
        <v>6710</v>
      </c>
      <c r="H2005" s="8" t="s">
        <v>5691</v>
      </c>
      <c r="I2005" s="7" t="str">
        <f>_xlfn.CONCAT(Paper_Reference[[#This Row],[Lvl]:[Paper Description]])</f>
        <v>2J41RB610PM94USB DIG VINTAGE DART 41.875X141102100DS009-5000FROSTY WHITE</v>
      </c>
      <c r="J2005" s="7">
        <f>COUNTIF(Paper_Reference[Duplicate Key],Paper_Reference[[#This Row],[Duplicate Key]])</f>
        <v>1</v>
      </c>
    </row>
    <row r="2006" spans="1:10">
      <c r="A2006" s="7">
        <v>2</v>
      </c>
      <c r="B2006" s="8" t="s">
        <v>7463</v>
      </c>
      <c r="C2006" s="8" t="s">
        <v>6799</v>
      </c>
      <c r="D2006" s="7">
        <v>1</v>
      </c>
      <c r="E2006" s="7">
        <v>10</v>
      </c>
      <c r="F2006" s="7">
        <v>2</v>
      </c>
      <c r="G2006" s="8" t="s">
        <v>6710</v>
      </c>
      <c r="H2006" s="8" t="s">
        <v>5691</v>
      </c>
      <c r="I2006" s="7" t="str">
        <f>_xlfn.CONCAT(Paper_Reference[[#This Row],[Lvl]:[Paper Description]])</f>
        <v>2J41RB611PM90USB DIG VINTAGE COM 41.875X1441102100DS009-5000FROSTY WHITE</v>
      </c>
      <c r="J2006" s="7">
        <f>COUNTIF(Paper_Reference[Duplicate Key],Paper_Reference[[#This Row],[Duplicate Key]])</f>
        <v>1</v>
      </c>
    </row>
    <row r="2007" spans="1:10">
      <c r="A2007" s="7">
        <v>2</v>
      </c>
      <c r="B2007" s="8" t="s">
        <v>6255</v>
      </c>
      <c r="C2007" s="8" t="s">
        <v>5792</v>
      </c>
      <c r="D2007" s="7">
        <v>1</v>
      </c>
      <c r="E2007" s="7">
        <v>10</v>
      </c>
      <c r="F2007" s="7">
        <v>0.66659999999999997</v>
      </c>
      <c r="G2007" s="8" t="s">
        <v>5690</v>
      </c>
      <c r="H2007" s="8" t="s">
        <v>5691</v>
      </c>
      <c r="I2007" s="7" t="str">
        <f>_xlfn.CONCAT(Paper_Reference[[#This Row],[Lvl]:[Paper Description]])</f>
        <v>2J41RB612NM49USB DIG VINTAGE RET 15.25X144.1100.6666100DS009-6200FROSTY WHITE</v>
      </c>
      <c r="J2007" s="7">
        <f>COUNTIF(Paper_Reference[Duplicate Key],Paper_Reference[[#This Row],[Duplicate Key]])</f>
        <v>1</v>
      </c>
    </row>
    <row r="2008" spans="1:10">
      <c r="A2008" s="7">
        <v>2</v>
      </c>
      <c r="B2008" s="8" t="s">
        <v>6256</v>
      </c>
      <c r="C2008" s="8" t="s">
        <v>5793</v>
      </c>
      <c r="D2008" s="7">
        <v>1</v>
      </c>
      <c r="E2008" s="7">
        <v>10</v>
      </c>
      <c r="F2008" s="7">
        <v>1</v>
      </c>
      <c r="G2008" s="8" t="s">
        <v>5690</v>
      </c>
      <c r="H2008" s="8" t="s">
        <v>5691</v>
      </c>
      <c r="I2008" s="7" t="str">
        <f>_xlfn.CONCAT(Paper_Reference[[#This Row],[Lvl]:[Paper Description]])</f>
        <v>2J41RB613NM45USB DIG BLUE LA 59.5 X 681101100DS009-6200FROSTY WHITE</v>
      </c>
      <c r="J2008" s="7">
        <f>COUNTIF(Paper_Reference[Duplicate Key],Paper_Reference[[#This Row],[Duplicate Key]])</f>
        <v>1</v>
      </c>
    </row>
    <row r="2009" spans="1:10">
      <c r="A2009" s="7">
        <v>2</v>
      </c>
      <c r="B2009" s="8" t="s">
        <v>6257</v>
      </c>
      <c r="C2009" s="8" t="s">
        <v>5794</v>
      </c>
      <c r="D2009" s="7">
        <v>1</v>
      </c>
      <c r="E2009" s="7">
        <v>10</v>
      </c>
      <c r="F2009" s="7">
        <v>1</v>
      </c>
      <c r="G2009" s="8" t="s">
        <v>5690</v>
      </c>
      <c r="H2009" s="8" t="s">
        <v>5691</v>
      </c>
      <c r="I2009" s="7" t="str">
        <f>_xlfn.CONCAT(Paper_Reference[[#This Row],[Lvl]:[Paper Description]])</f>
        <v>2J41RB614NM46USB DIG BLUE RA 59.5 X 681101100DS009-6200FROSTY WHITE</v>
      </c>
      <c r="J2009" s="7">
        <f>COUNTIF(Paper_Reference[Duplicate Key],Paper_Reference[[#This Row],[Duplicate Key]])</f>
        <v>1</v>
      </c>
    </row>
    <row r="2010" spans="1:10">
      <c r="A2010" s="7">
        <v>2</v>
      </c>
      <c r="B2010" s="8" t="s">
        <v>6258</v>
      </c>
      <c r="C2010" s="8" t="s">
        <v>5795</v>
      </c>
      <c r="D2010" s="7">
        <v>1</v>
      </c>
      <c r="E2010" s="7">
        <v>10</v>
      </c>
      <c r="F2010" s="7">
        <v>2</v>
      </c>
      <c r="G2010" s="8" t="s">
        <v>5690</v>
      </c>
      <c r="H2010" s="8" t="s">
        <v>5691</v>
      </c>
      <c r="I2010" s="7" t="str">
        <f>_xlfn.CONCAT(Paper_Reference[[#This Row],[Lvl]:[Paper Description]])</f>
        <v>2J41RB615NM47USB DIG BLUE LF 59.5X144.001102100DS009-6200FROSTY WHITE</v>
      </c>
      <c r="J2010" s="7">
        <f>COUNTIF(Paper_Reference[Duplicate Key],Paper_Reference[[#This Row],[Duplicate Key]])</f>
        <v>1</v>
      </c>
    </row>
    <row r="2011" spans="1:10">
      <c r="A2011" s="7">
        <v>2</v>
      </c>
      <c r="B2011" s="8" t="s">
        <v>6259</v>
      </c>
      <c r="C2011" s="8" t="s">
        <v>5796</v>
      </c>
      <c r="D2011" s="7">
        <v>1</v>
      </c>
      <c r="E2011" s="7">
        <v>10</v>
      </c>
      <c r="F2011" s="7">
        <v>2</v>
      </c>
      <c r="G2011" s="8" t="s">
        <v>5690</v>
      </c>
      <c r="H2011" s="8" t="s">
        <v>5691</v>
      </c>
      <c r="I2011" s="7" t="str">
        <f>_xlfn.CONCAT(Paper_Reference[[#This Row],[Lvl]:[Paper Description]])</f>
        <v>2J41RB616NM48USB DIG BLUE RF 59.5X144.001102100DS009-6200FROSTY WHITE</v>
      </c>
      <c r="J2011" s="7">
        <f>COUNTIF(Paper_Reference[Duplicate Key],Paper_Reference[[#This Row],[Duplicate Key]])</f>
        <v>1</v>
      </c>
    </row>
    <row r="2012" spans="1:10">
      <c r="A2012" s="7">
        <v>2</v>
      </c>
      <c r="B2012" s="8" t="s">
        <v>7464</v>
      </c>
      <c r="C2012" s="8" t="s">
        <v>6800</v>
      </c>
      <c r="D2012" s="7">
        <v>1</v>
      </c>
      <c r="E2012" s="7">
        <v>10</v>
      </c>
      <c r="F2012" s="7">
        <v>2</v>
      </c>
      <c r="G2012" s="8" t="s">
        <v>6710</v>
      </c>
      <c r="H2012" s="8" t="s">
        <v>5691</v>
      </c>
      <c r="I2012" s="7" t="str">
        <f>_xlfn.CONCAT(Paper_Reference[[#This Row],[Lvl]:[Paper Description]])</f>
        <v>2J41RB617PM93USB DIG BLUE DOT 41.875X1441102100DS009-5000FROSTY WHITE</v>
      </c>
      <c r="J2012" s="7">
        <f>COUNTIF(Paper_Reference[Duplicate Key],Paper_Reference[[#This Row],[Duplicate Key]])</f>
        <v>1</v>
      </c>
    </row>
    <row r="2013" spans="1:10">
      <c r="A2013" s="7">
        <v>2</v>
      </c>
      <c r="B2013" s="8" t="s">
        <v>7465</v>
      </c>
      <c r="C2013" s="8" t="s">
        <v>6801</v>
      </c>
      <c r="D2013" s="7">
        <v>1</v>
      </c>
      <c r="E2013" s="7">
        <v>10</v>
      </c>
      <c r="F2013" s="7">
        <v>2</v>
      </c>
      <c r="G2013" s="8" t="s">
        <v>6710</v>
      </c>
      <c r="H2013" s="8" t="s">
        <v>5691</v>
      </c>
      <c r="I2013" s="7" t="str">
        <f>_xlfn.CONCAT(Paper_Reference[[#This Row],[Lvl]:[Paper Description]])</f>
        <v>2J41RB618PM94USB DIG BLUE DART 41.875X1441102100DS009-5000FROSTY WHITE</v>
      </c>
      <c r="J2013" s="7">
        <f>COUNTIF(Paper_Reference[Duplicate Key],Paper_Reference[[#This Row],[Duplicate Key]])</f>
        <v>1</v>
      </c>
    </row>
    <row r="2014" spans="1:10">
      <c r="A2014" s="7">
        <v>2</v>
      </c>
      <c r="B2014" s="8" t="s">
        <v>7466</v>
      </c>
      <c r="C2014" s="8" t="s">
        <v>6802</v>
      </c>
      <c r="D2014" s="7">
        <v>1</v>
      </c>
      <c r="E2014" s="7">
        <v>10</v>
      </c>
      <c r="F2014" s="7">
        <v>2</v>
      </c>
      <c r="G2014" s="8" t="s">
        <v>6710</v>
      </c>
      <c r="H2014" s="8" t="s">
        <v>5691</v>
      </c>
      <c r="I2014" s="7" t="str">
        <f>_xlfn.CONCAT(Paper_Reference[[#This Row],[Lvl]:[Paper Description]])</f>
        <v>2J41RB619PM90USB DIG BLUE COM 41.875X1441102100DS009-5000FROSTY WHITE</v>
      </c>
      <c r="J2014" s="7">
        <f>COUNTIF(Paper_Reference[Duplicate Key],Paper_Reference[[#This Row],[Duplicate Key]])</f>
        <v>1</v>
      </c>
    </row>
    <row r="2015" spans="1:10">
      <c r="A2015" s="7">
        <v>2</v>
      </c>
      <c r="B2015" s="8" t="s">
        <v>6260</v>
      </c>
      <c r="C2015" s="8" t="s">
        <v>5797</v>
      </c>
      <c r="D2015" s="7">
        <v>1</v>
      </c>
      <c r="E2015" s="7">
        <v>10</v>
      </c>
      <c r="F2015" s="7">
        <v>0.66659999999999997</v>
      </c>
      <c r="G2015" s="8" t="s">
        <v>5690</v>
      </c>
      <c r="H2015" s="8" t="s">
        <v>5691</v>
      </c>
      <c r="I2015" s="7" t="str">
        <f>_xlfn.CONCAT(Paper_Reference[[#This Row],[Lvl]:[Paper Description]])</f>
        <v>2J41RB620NM49USB DIG BLUE RET 15.25X144.001100.6666100DS009-6200FROSTY WHITE</v>
      </c>
      <c r="J2015" s="7">
        <f>COUNTIF(Paper_Reference[Duplicate Key],Paper_Reference[[#This Row],[Duplicate Key]])</f>
        <v>1</v>
      </c>
    </row>
    <row r="2016" spans="1:10">
      <c r="A2016" s="7">
        <v>2</v>
      </c>
      <c r="B2016" s="8" t="s">
        <v>2618</v>
      </c>
      <c r="C2016" s="8" t="s">
        <v>2169</v>
      </c>
      <c r="D2016" s="7">
        <v>1</v>
      </c>
      <c r="E2016" s="7">
        <v>10</v>
      </c>
      <c r="F2016" s="7">
        <v>0.33329999999999999</v>
      </c>
      <c r="G2016" s="8" t="s">
        <v>2144</v>
      </c>
      <c r="H2016" s="8" t="s">
        <v>1242</v>
      </c>
      <c r="I2016" s="7" t="str">
        <f>_xlfn.CONCAT(Paper_Reference[[#This Row],[Lvl]:[Paper Description]])</f>
        <v>2J41RB660NM49MUR REG BLUE RET 15.25X144.001100.333310000020-6200Premium Inkjet MPK 9653</v>
      </c>
      <c r="J2016" s="7">
        <f>COUNTIF(Paper_Reference[Duplicate Key],Paper_Reference[[#This Row],[Duplicate Key]])</f>
        <v>1</v>
      </c>
    </row>
    <row r="2017" spans="1:10">
      <c r="A2017" s="7">
        <v>2</v>
      </c>
      <c r="B2017" s="8" t="s">
        <v>2619</v>
      </c>
      <c r="C2017" s="8" t="s">
        <v>2170</v>
      </c>
      <c r="D2017" s="7">
        <v>1</v>
      </c>
      <c r="E2017" s="7">
        <v>10</v>
      </c>
      <c r="F2017" s="7">
        <v>1</v>
      </c>
      <c r="G2017" s="8" t="s">
        <v>2144</v>
      </c>
      <c r="H2017" s="8" t="s">
        <v>1242</v>
      </c>
      <c r="I2017" s="7" t="str">
        <f>_xlfn.CONCAT(Paper_Reference[[#This Row],[Lvl]:[Paper Description]])</f>
        <v>2J41RB660NM50MUR REG BLUE FILL 59.5 X 144.2110110000020-6200Premium Inkjet MPK 9653</v>
      </c>
      <c r="J2017" s="7">
        <f>COUNTIF(Paper_Reference[Duplicate Key],Paper_Reference[[#This Row],[Duplicate Key]])</f>
        <v>1</v>
      </c>
    </row>
    <row r="2018" spans="1:10">
      <c r="A2018" s="7">
        <v>2</v>
      </c>
      <c r="B2018" s="8" t="s">
        <v>2620</v>
      </c>
      <c r="C2018" s="8" t="s">
        <v>2171</v>
      </c>
      <c r="D2018" s="7">
        <v>1</v>
      </c>
      <c r="E2018" s="7">
        <v>10</v>
      </c>
      <c r="F2018" s="7">
        <v>0.33329999999999999</v>
      </c>
      <c r="G2018" s="8" t="s">
        <v>2144</v>
      </c>
      <c r="H2018" s="8" t="s">
        <v>1242</v>
      </c>
      <c r="I2018" s="7" t="str">
        <f>_xlfn.CONCAT(Paper_Reference[[#This Row],[Lvl]:[Paper Description]])</f>
        <v>2J41RB784NM49US BOWLING BLACK RET 15.25X1441100.333310000020-6200Premium Inkjet MPK 9653</v>
      </c>
      <c r="J2018" s="7">
        <f>COUNTIF(Paper_Reference[Duplicate Key],Paper_Reference[[#This Row],[Duplicate Key]])</f>
        <v>1</v>
      </c>
    </row>
    <row r="2019" spans="1:10">
      <c r="A2019" s="7">
        <v>2</v>
      </c>
      <c r="B2019" s="8" t="s">
        <v>2621</v>
      </c>
      <c r="C2019" s="8" t="s">
        <v>2172</v>
      </c>
      <c r="D2019" s="7">
        <v>1</v>
      </c>
      <c r="E2019" s="7">
        <v>10</v>
      </c>
      <c r="F2019" s="7">
        <v>1</v>
      </c>
      <c r="G2019" s="8" t="s">
        <v>2144</v>
      </c>
      <c r="H2019" s="8" t="s">
        <v>1242</v>
      </c>
      <c r="I2019" s="7" t="str">
        <f>_xlfn.CONCAT(Paper_Reference[[#This Row],[Lvl]:[Paper Description]])</f>
        <v>2J41RB784NM50MUS BOWLING BLACK RET 59.5 X 1110110000020-6200Premium Inkjet MPK 9653</v>
      </c>
      <c r="J2019" s="7">
        <f>COUNTIF(Paper_Reference[Duplicate Key],Paper_Reference[[#This Row],[Duplicate Key]])</f>
        <v>1</v>
      </c>
    </row>
    <row r="2020" spans="1:10">
      <c r="A2020" s="7">
        <v>2</v>
      </c>
      <c r="B2020" s="8" t="s">
        <v>2622</v>
      </c>
      <c r="C2020" s="8" t="s">
        <v>2173</v>
      </c>
      <c r="D2020" s="7">
        <v>1</v>
      </c>
      <c r="E2020" s="7">
        <v>10</v>
      </c>
      <c r="F2020" s="7">
        <v>0.33329999999999999</v>
      </c>
      <c r="G2020" s="8" t="s">
        <v>2144</v>
      </c>
      <c r="H2020" s="8" t="s">
        <v>1242</v>
      </c>
      <c r="I2020" s="7" t="str">
        <f>_xlfn.CONCAT(Paper_Reference[[#This Row],[Lvl]:[Paper Description]])</f>
        <v>2J41RB855NM49US BOWL GRAY 202 RET 15.25X1441100.333310000020-6200Premium Inkjet MPK 9653</v>
      </c>
      <c r="J2020" s="7">
        <f>COUNTIF(Paper_Reference[Duplicate Key],Paper_Reference[[#This Row],[Duplicate Key]])</f>
        <v>1</v>
      </c>
    </row>
    <row r="2021" spans="1:10">
      <c r="A2021" s="7">
        <v>2</v>
      </c>
      <c r="B2021" s="8" t="s">
        <v>2623</v>
      </c>
      <c r="C2021" s="8" t="s">
        <v>2174</v>
      </c>
      <c r="D2021" s="7">
        <v>1</v>
      </c>
      <c r="E2021" s="7">
        <v>10</v>
      </c>
      <c r="F2021" s="7">
        <v>1</v>
      </c>
      <c r="G2021" s="8" t="s">
        <v>2144</v>
      </c>
      <c r="H2021" s="8" t="s">
        <v>1242</v>
      </c>
      <c r="I2021" s="7" t="str">
        <f>_xlfn.CONCAT(Paper_Reference[[#This Row],[Lvl]:[Paper Description]])</f>
        <v>2J41RB855NM50US BOWL GRAY 202 W/W 59.5X144110110000020-6200Premium Inkjet MPK 9653</v>
      </c>
      <c r="J2021" s="7">
        <f>COUNTIF(Paper_Reference[Duplicate Key],Paper_Reference[[#This Row],[Duplicate Key]])</f>
        <v>1</v>
      </c>
    </row>
    <row r="2022" spans="1:10">
      <c r="A2022" s="7">
        <v>3</v>
      </c>
      <c r="B2022" s="8" t="s">
        <v>1179</v>
      </c>
      <c r="C2022" s="8" t="s">
        <v>408</v>
      </c>
      <c r="D2022" s="7">
        <v>1</v>
      </c>
      <c r="E2022" s="7">
        <v>10</v>
      </c>
      <c r="F2022" s="7">
        <v>0.5</v>
      </c>
      <c r="G2022" s="8" t="s">
        <v>977</v>
      </c>
      <c r="H2022" s="8" t="s">
        <v>985</v>
      </c>
      <c r="I2022" s="7" t="str">
        <f>_xlfn.CONCAT(Paper_Reference[[#This Row],[Lvl]:[Paper Description]])</f>
        <v>3J41WM331NM95MURREY S FILL 21.375 X 1441100.5100WM331-5000MURREY LANE</v>
      </c>
      <c r="J2022" s="7">
        <f>COUNTIF(Paper_Reference[Duplicate Key],Paper_Reference[[#This Row],[Duplicate Key]])</f>
        <v>1</v>
      </c>
    </row>
    <row r="2023" spans="1:10">
      <c r="A2023" s="7">
        <v>3</v>
      </c>
      <c r="B2023" s="8" t="s">
        <v>1180</v>
      </c>
      <c r="C2023" s="8" t="s">
        <v>409</v>
      </c>
      <c r="D2023" s="7">
        <v>1</v>
      </c>
      <c r="E2023" s="7">
        <v>10</v>
      </c>
      <c r="F2023" s="7">
        <v>0.25</v>
      </c>
      <c r="G2023" s="8" t="s">
        <v>977</v>
      </c>
      <c r="H2023" s="8" t="s">
        <v>985</v>
      </c>
      <c r="I2023" s="7" t="str">
        <f>_xlfn.CONCAT(Paper_Reference[[#This Row],[Lvl]:[Paper Description]])</f>
        <v>3J41WM331NM96MURREY S FILL 21.375 X 681100.25100WM331-5000MURREY LANE</v>
      </c>
      <c r="J2023" s="7">
        <f>COUNTIF(Paper_Reference[Duplicate Key],Paper_Reference[[#This Row],[Duplicate Key]])</f>
        <v>1</v>
      </c>
    </row>
    <row r="2024" spans="1:10">
      <c r="A2024" s="7">
        <v>3</v>
      </c>
      <c r="B2024" s="8" t="s">
        <v>1181</v>
      </c>
      <c r="C2024" s="8" t="s">
        <v>1163</v>
      </c>
      <c r="D2024" s="7">
        <v>1</v>
      </c>
      <c r="E2024" s="7">
        <v>10</v>
      </c>
      <c r="F2024" s="7">
        <v>0.5</v>
      </c>
      <c r="G2024" s="8" t="s">
        <v>977</v>
      </c>
      <c r="H2024" s="8" t="s">
        <v>985</v>
      </c>
      <c r="I2024" s="7" t="str">
        <f>_xlfn.CONCAT(Paper_Reference[[#This Row],[Lvl]:[Paper Description]])</f>
        <v>3J41WM331NM97MURREY D FILL 29.125 X 1441100.5100WM331-5000MURREY LANE</v>
      </c>
      <c r="J2024" s="7">
        <f>COUNTIF(Paper_Reference[Duplicate Key],Paper_Reference[[#This Row],[Duplicate Key]])</f>
        <v>1</v>
      </c>
    </row>
    <row r="2025" spans="1:10">
      <c r="A2025" s="7">
        <v>3</v>
      </c>
      <c r="B2025" s="8" t="s">
        <v>1182</v>
      </c>
      <c r="C2025" s="8" t="s">
        <v>1164</v>
      </c>
      <c r="D2025" s="7">
        <v>1</v>
      </c>
      <c r="E2025" s="7">
        <v>10</v>
      </c>
      <c r="F2025" s="7">
        <v>0.25</v>
      </c>
      <c r="G2025" s="8" t="s">
        <v>977</v>
      </c>
      <c r="H2025" s="8" t="s">
        <v>985</v>
      </c>
      <c r="I2025" s="7" t="str">
        <f>_xlfn.CONCAT(Paper_Reference[[#This Row],[Lvl]:[Paper Description]])</f>
        <v>3J41WM331NM98MURREY D FILL 29.125 X 681100.25100WM331-5000MURREY LANE</v>
      </c>
      <c r="J2025" s="7">
        <f>COUNTIF(Paper_Reference[Duplicate Key],Paper_Reference[[#This Row],[Duplicate Key]])</f>
        <v>1</v>
      </c>
    </row>
    <row r="2026" spans="1:10">
      <c r="A2026" s="7">
        <v>3</v>
      </c>
      <c r="B2026" s="8" t="s">
        <v>622</v>
      </c>
      <c r="C2026" s="8" t="s">
        <v>389</v>
      </c>
      <c r="D2026" s="7">
        <v>1</v>
      </c>
      <c r="E2026" s="7">
        <v>10</v>
      </c>
      <c r="F2026" s="7">
        <v>0.5</v>
      </c>
      <c r="G2026" s="8" t="s">
        <v>220</v>
      </c>
      <c r="H2026" s="8" t="s">
        <v>428</v>
      </c>
      <c r="I2026" s="7" t="str">
        <f>_xlfn.CONCAT(Paper_Reference[[#This Row],[Lvl]:[Paper Description]])</f>
        <v>3J41YM005NM45MURREY L/A DOUGLAS 59.5 X 681100.5100WM332-6200MURREY LANE LH</v>
      </c>
      <c r="J2026" s="7">
        <f>COUNTIF(Paper_Reference[Duplicate Key],Paper_Reference[[#This Row],[Duplicate Key]])</f>
        <v>1</v>
      </c>
    </row>
    <row r="2027" spans="1:10">
      <c r="A2027" s="7">
        <v>4</v>
      </c>
      <c r="B2027" s="8" t="s">
        <v>622</v>
      </c>
      <c r="C2027" s="8" t="s">
        <v>389</v>
      </c>
      <c r="D2027" s="7">
        <v>1</v>
      </c>
      <c r="E2027" s="7">
        <v>10</v>
      </c>
      <c r="F2027" s="7">
        <v>0.5</v>
      </c>
      <c r="G2027" s="8" t="s">
        <v>220</v>
      </c>
      <c r="H2027" s="8" t="s">
        <v>428</v>
      </c>
      <c r="I2027" s="7" t="str">
        <f>_xlfn.CONCAT(Paper_Reference[[#This Row],[Lvl]:[Paper Description]])</f>
        <v>4J41YM005NM45MURREY L/A DOUGLAS 59.5 X 681100.5100WM332-6200MURREY LANE LH</v>
      </c>
      <c r="J2027" s="7">
        <f>COUNTIF(Paper_Reference[Duplicate Key],Paper_Reference[[#This Row],[Duplicate Key]])</f>
        <v>1</v>
      </c>
    </row>
    <row r="2028" spans="1:10">
      <c r="A2028" s="7">
        <v>3</v>
      </c>
      <c r="B2028" s="8" t="s">
        <v>654</v>
      </c>
      <c r="C2028" s="8" t="s">
        <v>416</v>
      </c>
      <c r="D2028" s="7">
        <v>1</v>
      </c>
      <c r="E2028" s="7">
        <v>10</v>
      </c>
      <c r="F2028" s="7">
        <v>0.5</v>
      </c>
      <c r="G2028" s="8" t="s">
        <v>221</v>
      </c>
      <c r="H2028" s="8" t="s">
        <v>429</v>
      </c>
      <c r="I2028" s="7" t="str">
        <f>_xlfn.CONCAT(Paper_Reference[[#This Row],[Lvl]:[Paper Description]])</f>
        <v>3J41YM006NM46MURREY R/A DOUGLAS 59.5 X 681100.5100WM333-6200MURREY LANE RH</v>
      </c>
      <c r="J2028" s="7">
        <f>COUNTIF(Paper_Reference[Duplicate Key],Paper_Reference[[#This Row],[Duplicate Key]])</f>
        <v>1</v>
      </c>
    </row>
    <row r="2029" spans="1:10">
      <c r="A2029" s="7">
        <v>4</v>
      </c>
      <c r="B2029" s="8" t="s">
        <v>654</v>
      </c>
      <c r="C2029" s="8" t="s">
        <v>416</v>
      </c>
      <c r="D2029" s="7">
        <v>1</v>
      </c>
      <c r="E2029" s="7">
        <v>10</v>
      </c>
      <c r="F2029" s="7">
        <v>0.5</v>
      </c>
      <c r="G2029" s="8" t="s">
        <v>221</v>
      </c>
      <c r="H2029" s="8" t="s">
        <v>429</v>
      </c>
      <c r="I2029" s="7" t="str">
        <f>_xlfn.CONCAT(Paper_Reference[[#This Row],[Lvl]:[Paper Description]])</f>
        <v>4J41YM006NM46MURREY R/A DOUGLAS 59.5 X 681100.5100WM333-6200MURREY LANE RH</v>
      </c>
      <c r="J2029" s="7">
        <f>COUNTIF(Paper_Reference[Duplicate Key],Paper_Reference[[#This Row],[Duplicate Key]])</f>
        <v>1</v>
      </c>
    </row>
    <row r="2030" spans="1:10">
      <c r="A2030" s="7">
        <v>3</v>
      </c>
      <c r="B2030" s="8" t="s">
        <v>9134</v>
      </c>
      <c r="C2030" s="8" t="s">
        <v>9078</v>
      </c>
      <c r="D2030" s="7">
        <v>1</v>
      </c>
      <c r="E2030" s="7">
        <v>10</v>
      </c>
      <c r="F2030" s="7">
        <v>1</v>
      </c>
      <c r="G2030" s="8" t="s">
        <v>219</v>
      </c>
      <c r="H2030" s="8" t="s">
        <v>427</v>
      </c>
      <c r="I2030" s="7" t="str">
        <f>_xlfn.CONCAT(Paper_Reference[[#This Row],[Lvl]:[Paper Description]])</f>
        <v>3J42I8880PM34SYN UV R ARROW  41.875 X 1441101100WM321-4300IQ MAPLE LANE RH</v>
      </c>
      <c r="J2030" s="7">
        <f>COUNTIF(Paper_Reference[Duplicate Key],Paper_Reference[[#This Row],[Duplicate Key]])</f>
        <v>1</v>
      </c>
    </row>
    <row r="2031" spans="1:10">
      <c r="A2031" s="7">
        <v>3</v>
      </c>
      <c r="B2031" s="8" t="s">
        <v>9023</v>
      </c>
      <c r="C2031" s="8" t="s">
        <v>8969</v>
      </c>
      <c r="D2031" s="7">
        <v>1</v>
      </c>
      <c r="E2031" s="7">
        <v>10</v>
      </c>
      <c r="F2031" s="7">
        <v>1</v>
      </c>
      <c r="G2031" s="8" t="s">
        <v>218</v>
      </c>
      <c r="H2031" s="8" t="s">
        <v>426</v>
      </c>
      <c r="I2031" s="7" t="str">
        <f>_xlfn.CONCAT(Paper_Reference[[#This Row],[Lvl]:[Paper Description]])</f>
        <v>3J42I8881PM35SYN UV L ARROW  41.875 X 1441101100WM311-4300IQ MAPLE LANE LH</v>
      </c>
      <c r="J2031" s="7">
        <f>COUNTIF(Paper_Reference[Duplicate Key],Paper_Reference[[#This Row],[Duplicate Key]])</f>
        <v>1</v>
      </c>
    </row>
    <row r="2032" spans="1:10">
      <c r="A2032" s="7">
        <v>2</v>
      </c>
      <c r="B2032" s="8" t="s">
        <v>6261</v>
      </c>
      <c r="C2032" s="8" t="s">
        <v>5798</v>
      </c>
      <c r="D2032" s="7">
        <v>1</v>
      </c>
      <c r="E2032" s="7">
        <v>10</v>
      </c>
      <c r="F2032" s="7">
        <v>0.5</v>
      </c>
      <c r="G2032" s="8" t="s">
        <v>5690</v>
      </c>
      <c r="H2032" s="8" t="s">
        <v>5691</v>
      </c>
      <c r="I2032" s="7" t="str">
        <f>_xlfn.CONCAT(Paper_Reference[[#This Row],[Lvl]:[Paper Description]])</f>
        <v>2J42RB038AM38BASS PRO FISH B/RET 13.87X1441100.5100DS009-6200FROSTY WHITE</v>
      </c>
      <c r="J2032" s="7">
        <f>COUNTIF(Paper_Reference[Duplicate Key],Paper_Reference[[#This Row],[Duplicate Key]])</f>
        <v>1</v>
      </c>
    </row>
    <row r="2033" spans="1:10">
      <c r="A2033" s="7">
        <v>2</v>
      </c>
      <c r="B2033" s="8" t="s">
        <v>7467</v>
      </c>
      <c r="C2033" s="8" t="s">
        <v>6803</v>
      </c>
      <c r="D2033" s="7">
        <v>1</v>
      </c>
      <c r="E2033" s="7">
        <v>10</v>
      </c>
      <c r="F2033" s="7">
        <v>2</v>
      </c>
      <c r="G2033" s="8" t="s">
        <v>6710</v>
      </c>
      <c r="H2033" s="8" t="s">
        <v>5691</v>
      </c>
      <c r="I2033" s="7" t="str">
        <f>_xlfn.CONCAT(Paper_Reference[[#This Row],[Lvl]:[Paper Description]])</f>
        <v>2J42RB317ASWGBASS PRO W/WAY 42 7/8X145 1/41102100DS009-5000FROSTY WHITE</v>
      </c>
      <c r="J2033" s="7">
        <f>COUNTIF(Paper_Reference[Duplicate Key],Paper_Reference[[#This Row],[Duplicate Key]])</f>
        <v>1</v>
      </c>
    </row>
    <row r="2034" spans="1:10">
      <c r="A2034" s="7">
        <v>2</v>
      </c>
      <c r="B2034" s="8" t="s">
        <v>6262</v>
      </c>
      <c r="C2034" s="8" t="s">
        <v>5799</v>
      </c>
      <c r="D2034" s="7">
        <v>1</v>
      </c>
      <c r="E2034" s="7">
        <v>10</v>
      </c>
      <c r="F2034" s="7">
        <v>1</v>
      </c>
      <c r="G2034" s="8" t="s">
        <v>5690</v>
      </c>
      <c r="H2034" s="8" t="s">
        <v>5691</v>
      </c>
      <c r="I2034" s="7" t="str">
        <f>_xlfn.CONCAT(Paper_Reference[[#This Row],[Lvl]:[Paper Description]])</f>
        <v>2J42RB322PB35INFINITY WRR APP 60 1/2 X 721101100DS009-6200FROSTY WHITE</v>
      </c>
      <c r="J2034" s="7">
        <f>COUNTIF(Paper_Reference[Duplicate Key],Paper_Reference[[#This Row],[Duplicate Key]])</f>
        <v>1</v>
      </c>
    </row>
    <row r="2035" spans="1:10">
      <c r="A2035" s="7">
        <v>2</v>
      </c>
      <c r="B2035" s="8" t="s">
        <v>7468</v>
      </c>
      <c r="C2035" s="8" t="s">
        <v>6804</v>
      </c>
      <c r="D2035" s="7">
        <v>1</v>
      </c>
      <c r="E2035" s="7">
        <v>10</v>
      </c>
      <c r="F2035" s="7">
        <v>2</v>
      </c>
      <c r="G2035" s="8" t="s">
        <v>6710</v>
      </c>
      <c r="H2035" s="8" t="s">
        <v>5691</v>
      </c>
      <c r="I2035" s="7" t="str">
        <f>_xlfn.CONCAT(Paper_Reference[[#This Row],[Lvl]:[Paper Description]])</f>
        <v>2J42RB322PB36INFINITY WRR COM  41.875 X 1441102100DS009-5000FROSTY WHITE</v>
      </c>
      <c r="J2035" s="7">
        <f>COUNTIF(Paper_Reference[Duplicate Key],Paper_Reference[[#This Row],[Duplicate Key]])</f>
        <v>1</v>
      </c>
    </row>
    <row r="2036" spans="1:10">
      <c r="A2036" s="7">
        <v>2</v>
      </c>
      <c r="B2036" s="8" t="s">
        <v>7469</v>
      </c>
      <c r="C2036" s="8" t="s">
        <v>6805</v>
      </c>
      <c r="D2036" s="7">
        <v>1</v>
      </c>
      <c r="E2036" s="7">
        <v>10</v>
      </c>
      <c r="F2036" s="7">
        <v>2</v>
      </c>
      <c r="G2036" s="8" t="s">
        <v>6710</v>
      </c>
      <c r="H2036" s="8" t="s">
        <v>5691</v>
      </c>
      <c r="I2036" s="7" t="str">
        <f>_xlfn.CONCAT(Paper_Reference[[#This Row],[Lvl]:[Paper Description]])</f>
        <v>2J42RB323PB36INFINITY WRR ARROW  41.875 X 11102100DS009-5000FROSTY WHITE</v>
      </c>
      <c r="J2036" s="7">
        <f>COUNTIF(Paper_Reference[Duplicate Key],Paper_Reference[[#This Row],[Duplicate Key]])</f>
        <v>1</v>
      </c>
    </row>
    <row r="2037" spans="1:10">
      <c r="A2037" s="7">
        <v>2</v>
      </c>
      <c r="B2037" s="8" t="s">
        <v>6263</v>
      </c>
      <c r="C2037" s="8" t="s">
        <v>5800</v>
      </c>
      <c r="D2037" s="7">
        <v>1</v>
      </c>
      <c r="E2037" s="7">
        <v>10</v>
      </c>
      <c r="F2037" s="7">
        <v>0.5</v>
      </c>
      <c r="G2037" s="8" t="s">
        <v>5690</v>
      </c>
      <c r="H2037" s="8" t="s">
        <v>5691</v>
      </c>
      <c r="I2037" s="7" t="str">
        <f>_xlfn.CONCAT(Paper_Reference[[#This Row],[Lvl]:[Paper Description]])</f>
        <v>2J42RB429AM38CLA AQUATIC RETURN 13.87 X 1441100.5100DS009-6200FROSTY WHITE</v>
      </c>
      <c r="J2037" s="7">
        <f>COUNTIF(Paper_Reference[Duplicate Key],Paper_Reference[[#This Row],[Duplicate Key]])</f>
        <v>1</v>
      </c>
    </row>
    <row r="2038" spans="1:10">
      <c r="A2038" s="7">
        <v>2</v>
      </c>
      <c r="B2038" s="8" t="s">
        <v>6264</v>
      </c>
      <c r="C2038" s="8" t="s">
        <v>5801</v>
      </c>
      <c r="D2038" s="7">
        <v>1</v>
      </c>
      <c r="E2038" s="7">
        <v>10</v>
      </c>
      <c r="F2038" s="7">
        <v>0.5</v>
      </c>
      <c r="G2038" s="8" t="s">
        <v>5690</v>
      </c>
      <c r="H2038" s="8" t="s">
        <v>5691</v>
      </c>
      <c r="I2038" s="7" t="str">
        <f>_xlfn.CONCAT(Paper_Reference[[#This Row],[Lvl]:[Paper Description]])</f>
        <v>2J42RB456AM38DIG/WZ460 RETURN 13.87 X 1441100.5100DS009-6200FROSTY WHITE</v>
      </c>
      <c r="J2038" s="7">
        <f>COUNTIF(Paper_Reference[Duplicate Key],Paper_Reference[[#This Row],[Duplicate Key]])</f>
        <v>1</v>
      </c>
    </row>
    <row r="2039" spans="1:10">
      <c r="A2039" s="7">
        <v>2</v>
      </c>
      <c r="B2039" s="8" t="s">
        <v>7470</v>
      </c>
      <c r="C2039" s="8" t="s">
        <v>6806</v>
      </c>
      <c r="D2039" s="7">
        <v>1</v>
      </c>
      <c r="E2039" s="7">
        <v>10</v>
      </c>
      <c r="F2039" s="7">
        <v>2</v>
      </c>
      <c r="G2039" s="8" t="s">
        <v>6710</v>
      </c>
      <c r="H2039" s="8" t="s">
        <v>5691</v>
      </c>
      <c r="I2039" s="7" t="str">
        <f>_xlfn.CONCAT(Paper_Reference[[#This Row],[Lvl]:[Paper Description]])</f>
        <v>2J42RB456ASWGDIG/WZ460 W/WAY 42 7/8 X 145 11102100DS009-5000FROSTY WHITE</v>
      </c>
      <c r="J2039" s="7">
        <f>COUNTIF(Paper_Reference[Duplicate Key],Paper_Reference[[#This Row],[Duplicate Key]])</f>
        <v>1</v>
      </c>
    </row>
    <row r="2040" spans="1:10">
      <c r="A2040" s="7">
        <v>2</v>
      </c>
      <c r="B2040" s="8" t="s">
        <v>6265</v>
      </c>
      <c r="C2040" s="8" t="s">
        <v>5802</v>
      </c>
      <c r="D2040" s="7">
        <v>1</v>
      </c>
      <c r="E2040" s="7">
        <v>0</v>
      </c>
      <c r="F2040" s="7">
        <v>2</v>
      </c>
      <c r="G2040" s="8" t="s">
        <v>5690</v>
      </c>
      <c r="H2040" s="8" t="s">
        <v>5691</v>
      </c>
      <c r="I2040" s="7" t="str">
        <f>_xlfn.CONCAT(Paper_Reference[[#This Row],[Lvl]:[Paper Description]])</f>
        <v>2J42RB457AM41DIG/MG160 L APP 59.641 X 144102100DS009-6200FROSTY WHITE</v>
      </c>
      <c r="J2040" s="7">
        <f>COUNTIF(Paper_Reference[Duplicate Key],Paper_Reference[[#This Row],[Duplicate Key]])</f>
        <v>1</v>
      </c>
    </row>
    <row r="2041" spans="1:10">
      <c r="A2041" s="7">
        <v>2</v>
      </c>
      <c r="B2041" s="8" t="s">
        <v>6266</v>
      </c>
      <c r="C2041" s="8" t="s">
        <v>5803</v>
      </c>
      <c r="D2041" s="7">
        <v>1</v>
      </c>
      <c r="E2041" s="7">
        <v>0</v>
      </c>
      <c r="F2041" s="7">
        <v>2</v>
      </c>
      <c r="G2041" s="8" t="s">
        <v>5690</v>
      </c>
      <c r="H2041" s="8" t="s">
        <v>5691</v>
      </c>
      <c r="I2041" s="7" t="str">
        <f>_xlfn.CONCAT(Paper_Reference[[#This Row],[Lvl]:[Paper Description]])</f>
        <v>2J42RB458AM42DIG/MG160 R APP 59.641 X 144102100DS009-6200FROSTY WHITE</v>
      </c>
      <c r="J2041" s="7">
        <f>COUNTIF(Paper_Reference[Duplicate Key],Paper_Reference[[#This Row],[Duplicate Key]])</f>
        <v>1</v>
      </c>
    </row>
    <row r="2042" spans="1:10">
      <c r="A2042" s="7">
        <v>2</v>
      </c>
      <c r="B2042" s="8" t="s">
        <v>6267</v>
      </c>
      <c r="C2042" s="8" t="s">
        <v>5804</v>
      </c>
      <c r="D2042" s="7">
        <v>1</v>
      </c>
      <c r="E2042" s="7">
        <v>10</v>
      </c>
      <c r="F2042" s="7">
        <v>0.5</v>
      </c>
      <c r="G2042" s="8" t="s">
        <v>5690</v>
      </c>
      <c r="H2042" s="8" t="s">
        <v>5691</v>
      </c>
      <c r="I2042" s="7" t="str">
        <f>_xlfn.CONCAT(Paper_Reference[[#This Row],[Lvl]:[Paper Description]])</f>
        <v>2J42RB464AM38DIG/MG160 RETURN 13.87 X 1441100.5100DS009-6200FROSTY WHITE</v>
      </c>
      <c r="J2042" s="7">
        <f>COUNTIF(Paper_Reference[Duplicate Key],Paper_Reference[[#This Row],[Duplicate Key]])</f>
        <v>1</v>
      </c>
    </row>
    <row r="2043" spans="1:10">
      <c r="A2043" s="7">
        <v>2</v>
      </c>
      <c r="B2043" s="8" t="s">
        <v>6268</v>
      </c>
      <c r="C2043" s="8" t="s">
        <v>5805</v>
      </c>
      <c r="D2043" s="7">
        <v>1</v>
      </c>
      <c r="E2043" s="7">
        <v>10</v>
      </c>
      <c r="F2043" s="7">
        <v>0.5</v>
      </c>
      <c r="G2043" s="8" t="s">
        <v>5690</v>
      </c>
      <c r="H2043" s="8" t="s">
        <v>5691</v>
      </c>
      <c r="I2043" s="7" t="str">
        <f>_xlfn.CONCAT(Paper_Reference[[#This Row],[Lvl]:[Paper Description]])</f>
        <v>2J42RB471AM38PIN PALS RETURN 13.87 X 1441100.5100DS009-6200FROSTY WHITE</v>
      </c>
      <c r="J2043" s="7">
        <f>COUNTIF(Paper_Reference[Duplicate Key],Paper_Reference[[#This Row],[Duplicate Key]])</f>
        <v>1</v>
      </c>
    </row>
    <row r="2044" spans="1:10">
      <c r="A2044" s="7">
        <v>2</v>
      </c>
      <c r="B2044" s="8" t="s">
        <v>6269</v>
      </c>
      <c r="C2044" s="8" t="s">
        <v>5806</v>
      </c>
      <c r="D2044" s="7">
        <v>1</v>
      </c>
      <c r="E2044" s="7">
        <v>10</v>
      </c>
      <c r="F2044" s="7">
        <v>0.5</v>
      </c>
      <c r="G2044" s="8" t="s">
        <v>5690</v>
      </c>
      <c r="H2044" s="8" t="s">
        <v>5691</v>
      </c>
      <c r="I2044" s="7" t="str">
        <f>_xlfn.CONCAT(Paper_Reference[[#This Row],[Lvl]:[Paper Description]])</f>
        <v>2J42RB478AM38NEW YORK RETURN 13.87 X 1441100.5100DS009-6200FROSTY WHITE</v>
      </c>
      <c r="J2044" s="7">
        <f>COUNTIF(Paper_Reference[Duplicate Key],Paper_Reference[[#This Row],[Duplicate Key]])</f>
        <v>1</v>
      </c>
    </row>
    <row r="2045" spans="1:10">
      <c r="A2045" s="7">
        <v>2</v>
      </c>
      <c r="B2045" s="8" t="s">
        <v>6270</v>
      </c>
      <c r="C2045" s="8" t="s">
        <v>5807</v>
      </c>
      <c r="D2045" s="7">
        <v>1</v>
      </c>
      <c r="E2045" s="7">
        <v>10</v>
      </c>
      <c r="F2045" s="7">
        <v>0.25</v>
      </c>
      <c r="G2045" s="8" t="s">
        <v>5690</v>
      </c>
      <c r="H2045" s="8" t="s">
        <v>5691</v>
      </c>
      <c r="I2045" s="7" t="str">
        <f>_xlfn.CONCAT(Paper_Reference[[#This Row],[Lvl]:[Paper Description]])</f>
        <v>2J42RB479AB22NEW YORK S/N RET 13.87X721100.25100DS009-6200FROSTY WHITE</v>
      </c>
      <c r="J2045" s="7">
        <f>COUNTIF(Paper_Reference[Duplicate Key],Paper_Reference[[#This Row],[Duplicate Key]])</f>
        <v>1</v>
      </c>
    </row>
    <row r="2046" spans="1:10">
      <c r="A2046" s="7">
        <v>2</v>
      </c>
      <c r="B2046" s="8" t="s">
        <v>7471</v>
      </c>
      <c r="C2046" s="8" t="s">
        <v>6807</v>
      </c>
      <c r="D2046" s="7">
        <v>1</v>
      </c>
      <c r="E2046" s="7">
        <v>10</v>
      </c>
      <c r="F2046" s="7">
        <v>2</v>
      </c>
      <c r="G2046" s="8" t="s">
        <v>6710</v>
      </c>
      <c r="H2046" s="8" t="s">
        <v>5691</v>
      </c>
      <c r="I2046" s="7" t="str">
        <f>_xlfn.CONCAT(Paper_Reference[[#This Row],[Lvl]:[Paper Description]])</f>
        <v>2J42RB480ASWGNEW YORK W/WAY 42 7/8 X 145 1/1102100DS009-5000FROSTY WHITE</v>
      </c>
      <c r="J2046" s="7">
        <f>COUNTIF(Paper_Reference[Duplicate Key],Paper_Reference[[#This Row],[Duplicate Key]])</f>
        <v>1</v>
      </c>
    </row>
    <row r="2047" spans="1:10">
      <c r="A2047" s="7">
        <v>2</v>
      </c>
      <c r="B2047" s="8" t="s">
        <v>7472</v>
      </c>
      <c r="C2047" s="8" t="s">
        <v>6808</v>
      </c>
      <c r="D2047" s="7">
        <v>1</v>
      </c>
      <c r="E2047" s="7">
        <v>10</v>
      </c>
      <c r="F2047" s="7">
        <v>1</v>
      </c>
      <c r="G2047" s="8" t="s">
        <v>6710</v>
      </c>
      <c r="H2047" s="8" t="s">
        <v>5691</v>
      </c>
      <c r="I2047" s="7" t="str">
        <f>_xlfn.CONCAT(Paper_Reference[[#This Row],[Lvl]:[Paper Description]])</f>
        <v>2J42RB481AB24NEW YORK S WALK 42 7/8 X 721101100DS009-5000FROSTY WHITE</v>
      </c>
      <c r="J2047" s="7">
        <f>COUNTIF(Paper_Reference[Duplicate Key],Paper_Reference[[#This Row],[Duplicate Key]])</f>
        <v>1</v>
      </c>
    </row>
    <row r="2048" spans="1:10">
      <c r="A2048" s="7">
        <v>2</v>
      </c>
      <c r="B2048" s="8" t="s">
        <v>6271</v>
      </c>
      <c r="C2048" s="8" t="s">
        <v>5808</v>
      </c>
      <c r="D2048" s="7">
        <v>1</v>
      </c>
      <c r="E2048" s="7">
        <v>10</v>
      </c>
      <c r="F2048" s="7">
        <v>0.5</v>
      </c>
      <c r="G2048" s="8" t="s">
        <v>5690</v>
      </c>
      <c r="H2048" s="8" t="s">
        <v>5691</v>
      </c>
      <c r="I2048" s="7" t="str">
        <f>_xlfn.CONCAT(Paper_Reference[[#This Row],[Lvl]:[Paper Description]])</f>
        <v>2J42RB490AM38HOLLYWOOD NBR 13.87 X 1441100.5100DS009-6200FROSTY WHITE</v>
      </c>
      <c r="J2048" s="7">
        <f>COUNTIF(Paper_Reference[Duplicate Key],Paper_Reference[[#This Row],[Duplicate Key]])</f>
        <v>1</v>
      </c>
    </row>
    <row r="2049" spans="1:10">
      <c r="A2049" s="7">
        <v>2</v>
      </c>
      <c r="B2049" s="8" t="s">
        <v>6272</v>
      </c>
      <c r="C2049" s="8" t="s">
        <v>5809</v>
      </c>
      <c r="D2049" s="7">
        <v>1</v>
      </c>
      <c r="E2049" s="7">
        <v>10</v>
      </c>
      <c r="F2049" s="7">
        <v>0.25</v>
      </c>
      <c r="G2049" s="8" t="s">
        <v>5690</v>
      </c>
      <c r="H2049" s="8" t="s">
        <v>5691</v>
      </c>
      <c r="I2049" s="7" t="str">
        <f>_xlfn.CONCAT(Paper_Reference[[#This Row],[Lvl]:[Paper Description]])</f>
        <v>2J42RB491AB22HOLLYWOOD NSR 13.87 X 721100.25100DS009-6200FROSTY WHITE</v>
      </c>
      <c r="J2049" s="7">
        <f>COUNTIF(Paper_Reference[Duplicate Key],Paper_Reference[[#This Row],[Duplicate Key]])</f>
        <v>1</v>
      </c>
    </row>
    <row r="2050" spans="1:10">
      <c r="A2050" s="7">
        <v>2</v>
      </c>
      <c r="B2050" s="8" t="s">
        <v>7473</v>
      </c>
      <c r="C2050" s="8" t="s">
        <v>6809</v>
      </c>
      <c r="D2050" s="7">
        <v>1</v>
      </c>
      <c r="E2050" s="7">
        <v>10</v>
      </c>
      <c r="F2050" s="7">
        <v>2</v>
      </c>
      <c r="G2050" s="8" t="s">
        <v>6710</v>
      </c>
      <c r="H2050" s="8" t="s">
        <v>5691</v>
      </c>
      <c r="I2050" s="7" t="str">
        <f>_xlfn.CONCAT(Paper_Reference[[#This Row],[Lvl]:[Paper Description]])</f>
        <v>2J42RB492ASWGHOLLYWOOD W/WAY 42 7/8X145 1/41102100DS009-5000FROSTY WHITE</v>
      </c>
      <c r="J2050" s="7">
        <f>COUNTIF(Paper_Reference[Duplicate Key],Paper_Reference[[#This Row],[Duplicate Key]])</f>
        <v>1</v>
      </c>
    </row>
    <row r="2051" spans="1:10">
      <c r="A2051" s="7">
        <v>2</v>
      </c>
      <c r="B2051" s="8" t="s">
        <v>7474</v>
      </c>
      <c r="C2051" s="8" t="s">
        <v>6810</v>
      </c>
      <c r="D2051" s="7">
        <v>1</v>
      </c>
      <c r="E2051" s="7">
        <v>10</v>
      </c>
      <c r="F2051" s="7">
        <v>1</v>
      </c>
      <c r="G2051" s="8" t="s">
        <v>6710</v>
      </c>
      <c r="H2051" s="8" t="s">
        <v>5691</v>
      </c>
      <c r="I2051" s="7" t="str">
        <f>_xlfn.CONCAT(Paper_Reference[[#This Row],[Lvl]:[Paper Description]])</f>
        <v>2J42RB493AB24HOLLYWOOD S W/WAY 42 7/8 X 721101100DS009-5000FROSTY WHITE</v>
      </c>
      <c r="J2051" s="7">
        <f>COUNTIF(Paper_Reference[Duplicate Key],Paper_Reference[[#This Row],[Duplicate Key]])</f>
        <v>1</v>
      </c>
    </row>
    <row r="2052" spans="1:10">
      <c r="A2052" s="7">
        <v>2</v>
      </c>
      <c r="B2052" s="8" t="s">
        <v>6273</v>
      </c>
      <c r="C2052" s="8" t="s">
        <v>5810</v>
      </c>
      <c r="D2052" s="7">
        <v>1</v>
      </c>
      <c r="E2052" s="7">
        <v>10</v>
      </c>
      <c r="F2052" s="7">
        <v>1</v>
      </c>
      <c r="G2052" s="8" t="s">
        <v>5690</v>
      </c>
      <c r="H2052" s="8" t="s">
        <v>5691</v>
      </c>
      <c r="I2052" s="7" t="str">
        <f>_xlfn.CONCAT(Paper_Reference[[#This Row],[Lvl]:[Paper Description]])</f>
        <v>2J42RB506PB35INFINITY UV BLUE APP 60 1/2X721101100DS009-6200FROSTY WHITE</v>
      </c>
      <c r="J2052" s="7">
        <f>COUNTIF(Paper_Reference[Duplicate Key],Paper_Reference[[#This Row],[Duplicate Key]])</f>
        <v>1</v>
      </c>
    </row>
    <row r="2053" spans="1:10">
      <c r="A2053" s="7">
        <v>2</v>
      </c>
      <c r="B2053" s="8" t="s">
        <v>7475</v>
      </c>
      <c r="C2053" s="8" t="s">
        <v>6811</v>
      </c>
      <c r="D2053" s="7">
        <v>1</v>
      </c>
      <c r="E2053" s="7">
        <v>10</v>
      </c>
      <c r="F2053" s="7">
        <v>2</v>
      </c>
      <c r="G2053" s="8" t="s">
        <v>6710</v>
      </c>
      <c r="H2053" s="8" t="s">
        <v>5691</v>
      </c>
      <c r="I2053" s="7" t="str">
        <f>_xlfn.CONCAT(Paper_Reference[[#This Row],[Lvl]:[Paper Description]])</f>
        <v>2J42RB507PB36INFINITY UV BLUE ARROW 41.875X1102100DS009-5000FROSTY WHITE</v>
      </c>
      <c r="J2053" s="7">
        <f>COUNTIF(Paper_Reference[Duplicate Key],Paper_Reference[[#This Row],[Duplicate Key]])</f>
        <v>1</v>
      </c>
    </row>
    <row r="2054" spans="1:10">
      <c r="A2054" s="7">
        <v>2</v>
      </c>
      <c r="B2054" s="8" t="s">
        <v>7476</v>
      </c>
      <c r="C2054" s="8" t="s">
        <v>6812</v>
      </c>
      <c r="D2054" s="7">
        <v>1</v>
      </c>
      <c r="E2054" s="7">
        <v>10</v>
      </c>
      <c r="F2054" s="7">
        <v>2</v>
      </c>
      <c r="G2054" s="8" t="s">
        <v>6710</v>
      </c>
      <c r="H2054" s="8" t="s">
        <v>5691</v>
      </c>
      <c r="I2054" s="7" t="str">
        <f>_xlfn.CONCAT(Paper_Reference[[#This Row],[Lvl]:[Paper Description]])</f>
        <v>2J42RB508PB36INFINITYUV BLUE COM  41.875X141102100DS009-5000FROSTY WHITE</v>
      </c>
      <c r="J2054" s="7">
        <f>COUNTIF(Paper_Reference[Duplicate Key],Paper_Reference[[#This Row],[Duplicate Key]])</f>
        <v>1</v>
      </c>
    </row>
    <row r="2055" spans="1:10">
      <c r="A2055" s="7">
        <v>2</v>
      </c>
      <c r="B2055" s="8" t="s">
        <v>6274</v>
      </c>
      <c r="C2055" s="8" t="s">
        <v>5811</v>
      </c>
      <c r="D2055" s="7">
        <v>1</v>
      </c>
      <c r="E2055" s="7">
        <v>10</v>
      </c>
      <c r="F2055" s="7">
        <v>0.5</v>
      </c>
      <c r="G2055" s="8" t="s">
        <v>5690</v>
      </c>
      <c r="H2055" s="8" t="s">
        <v>5691</v>
      </c>
      <c r="I2055" s="7" t="str">
        <f>_xlfn.CONCAT(Paper_Reference[[#This Row],[Lvl]:[Paper Description]])</f>
        <v>2J42RB525AM38DIG/WO710 RETURN 13.87 X 1441100.5100DS009-6200FROSTY WHITE</v>
      </c>
      <c r="J2055" s="7">
        <f>COUNTIF(Paper_Reference[Duplicate Key],Paper_Reference[[#This Row],[Duplicate Key]])</f>
        <v>1</v>
      </c>
    </row>
    <row r="2056" spans="1:10">
      <c r="A2056" s="7">
        <v>2</v>
      </c>
      <c r="B2056" s="8" t="s">
        <v>7477</v>
      </c>
      <c r="C2056" s="8" t="s">
        <v>6813</v>
      </c>
      <c r="D2056" s="7">
        <v>1</v>
      </c>
      <c r="E2056" s="7">
        <v>10</v>
      </c>
      <c r="F2056" s="7">
        <v>2</v>
      </c>
      <c r="G2056" s="8" t="s">
        <v>6710</v>
      </c>
      <c r="H2056" s="8" t="s">
        <v>5691</v>
      </c>
      <c r="I2056" s="7" t="str">
        <f>_xlfn.CONCAT(Paper_Reference[[#This Row],[Lvl]:[Paper Description]])</f>
        <v>2J42RB525ASWGDIG/WO710 W/WAY 42 7/8 X 145 11102100DS009-5000FROSTY WHITE</v>
      </c>
      <c r="J2056" s="7">
        <f>COUNTIF(Paper_Reference[Duplicate Key],Paper_Reference[[#This Row],[Duplicate Key]])</f>
        <v>1</v>
      </c>
    </row>
    <row r="2057" spans="1:10">
      <c r="A2057" s="7">
        <v>2</v>
      </c>
      <c r="B2057" s="8" t="s">
        <v>6275</v>
      </c>
      <c r="C2057" s="8" t="s">
        <v>5812</v>
      </c>
      <c r="D2057" s="7">
        <v>1</v>
      </c>
      <c r="E2057" s="7">
        <v>10</v>
      </c>
      <c r="F2057" s="7">
        <v>0.5</v>
      </c>
      <c r="G2057" s="8" t="s">
        <v>5690</v>
      </c>
      <c r="H2057" s="8" t="s">
        <v>5691</v>
      </c>
      <c r="I2057" s="7" t="str">
        <f>_xlfn.CONCAT(Paper_Reference[[#This Row],[Lvl]:[Paper Description]])</f>
        <v>2J42RB533AM38CHANG-LIN NAR BALL RET 13.87 X1100.5100DS009-6200FROSTY WHITE</v>
      </c>
      <c r="J2057" s="7">
        <f>COUNTIF(Paper_Reference[Duplicate Key],Paper_Reference[[#This Row],[Duplicate Key]])</f>
        <v>1</v>
      </c>
    </row>
    <row r="2058" spans="1:10">
      <c r="A2058" s="7">
        <v>2</v>
      </c>
      <c r="B2058" s="8" t="s">
        <v>2624</v>
      </c>
      <c r="C2058" s="8" t="s">
        <v>2175</v>
      </c>
      <c r="D2058" s="7">
        <v>1</v>
      </c>
      <c r="E2058" s="7">
        <v>10</v>
      </c>
      <c r="F2058" s="7">
        <v>0.5</v>
      </c>
      <c r="G2058" s="8" t="s">
        <v>2144</v>
      </c>
      <c r="H2058" s="8" t="s">
        <v>1242</v>
      </c>
      <c r="I2058" s="7" t="str">
        <f>_xlfn.CONCAT(Paper_Reference[[#This Row],[Lvl]:[Paper Description]])</f>
        <v>2J42RB602PB43INFINITY UV BDW APP 60 1/2 X 71100.510000020-6200Premium Inkjet MPK 9653</v>
      </c>
      <c r="J2058" s="7">
        <f>COUNTIF(Paper_Reference[Duplicate Key],Paper_Reference[[#This Row],[Duplicate Key]])</f>
        <v>1</v>
      </c>
    </row>
    <row r="2059" spans="1:10">
      <c r="A2059" s="7">
        <v>2</v>
      </c>
      <c r="B2059" s="8" t="s">
        <v>1788</v>
      </c>
      <c r="C2059" s="8" t="s">
        <v>1368</v>
      </c>
      <c r="D2059" s="7">
        <v>1</v>
      </c>
      <c r="E2059" s="7">
        <v>10</v>
      </c>
      <c r="F2059" s="7">
        <v>1</v>
      </c>
      <c r="G2059" s="8" t="s">
        <v>1241</v>
      </c>
      <c r="H2059" s="8" t="s">
        <v>1242</v>
      </c>
      <c r="I2059" s="7" t="str">
        <f>_xlfn.CONCAT(Paper_Reference[[#This Row],[Lvl]:[Paper Description]])</f>
        <v>2J42RB602PB44INFINITY UV BDW COM 41.875X144110110000020-5000Premium Inkjet MPK 9653</v>
      </c>
      <c r="J2059" s="7">
        <f>COUNTIF(Paper_Reference[Duplicate Key],Paper_Reference[[#This Row],[Duplicate Key]])</f>
        <v>1</v>
      </c>
    </row>
    <row r="2060" spans="1:10">
      <c r="A2060" s="7">
        <v>2</v>
      </c>
      <c r="B2060" s="8" t="s">
        <v>1789</v>
      </c>
      <c r="C2060" s="8" t="s">
        <v>1369</v>
      </c>
      <c r="D2060" s="7">
        <v>1</v>
      </c>
      <c r="E2060" s="7">
        <v>10</v>
      </c>
      <c r="F2060" s="7">
        <v>0.5</v>
      </c>
      <c r="G2060" s="8" t="s">
        <v>1241</v>
      </c>
      <c r="H2060" s="8" t="s">
        <v>1242</v>
      </c>
      <c r="I2060" s="7" t="str">
        <f>_xlfn.CONCAT(Paper_Reference[[#This Row],[Lvl]:[Paper Description]])</f>
        <v>2J42RB602PB45INFINITY UV BDW SHORT 41.88X721100.510000020-5000Premium Inkjet MPK 9653</v>
      </c>
      <c r="J2060" s="7">
        <f>COUNTIF(Paper_Reference[Duplicate Key],Paper_Reference[[#This Row],[Duplicate Key]])</f>
        <v>1</v>
      </c>
    </row>
    <row r="2061" spans="1:10">
      <c r="A2061" s="7">
        <v>2</v>
      </c>
      <c r="B2061" s="8" t="s">
        <v>2625</v>
      </c>
      <c r="C2061" s="8" t="s">
        <v>2176</v>
      </c>
      <c r="D2061" s="7">
        <v>1</v>
      </c>
      <c r="E2061" s="7">
        <v>10</v>
      </c>
      <c r="F2061" s="7">
        <v>1</v>
      </c>
      <c r="G2061" s="8" t="s">
        <v>2144</v>
      </c>
      <c r="H2061" s="8" t="s">
        <v>1242</v>
      </c>
      <c r="I2061" s="7" t="str">
        <f>_xlfn.CONCAT(Paper_Reference[[#This Row],[Lvl]:[Paper Description]])</f>
        <v>2J42RB602PB52INFINITY UV BDW APP 60 1/2 X 1110110000020-6200Premium Inkjet MPK 9653</v>
      </c>
      <c r="J2061" s="7">
        <f>COUNTIF(Paper_Reference[Duplicate Key],Paper_Reference[[#This Row],[Duplicate Key]])</f>
        <v>1</v>
      </c>
    </row>
    <row r="2062" spans="1:10">
      <c r="A2062" s="7">
        <v>2</v>
      </c>
      <c r="B2062" s="8" t="s">
        <v>1790</v>
      </c>
      <c r="C2062" s="8" t="s">
        <v>1370</v>
      </c>
      <c r="D2062" s="7">
        <v>1</v>
      </c>
      <c r="E2062" s="7">
        <v>10</v>
      </c>
      <c r="F2062" s="7">
        <v>1</v>
      </c>
      <c r="G2062" s="8" t="s">
        <v>1241</v>
      </c>
      <c r="H2062" s="8" t="s">
        <v>1242</v>
      </c>
      <c r="I2062" s="7" t="str">
        <f>_xlfn.CONCAT(Paper_Reference[[#This Row],[Lvl]:[Paper Description]])</f>
        <v>2J42RB603PB44INFINITY UV BDW ARROW 41.875X1110110000020-5000Premium Inkjet MPK 9653</v>
      </c>
      <c r="J2062" s="7">
        <f>COUNTIF(Paper_Reference[Duplicate Key],Paper_Reference[[#This Row],[Duplicate Key]])</f>
        <v>1</v>
      </c>
    </row>
    <row r="2063" spans="1:10">
      <c r="A2063" s="7">
        <v>2</v>
      </c>
      <c r="B2063" s="8" t="s">
        <v>6276</v>
      </c>
      <c r="C2063" s="8" t="s">
        <v>5813</v>
      </c>
      <c r="D2063" s="7">
        <v>1</v>
      </c>
      <c r="E2063" s="7">
        <v>10</v>
      </c>
      <c r="F2063" s="7">
        <v>0.5</v>
      </c>
      <c r="G2063" s="8" t="s">
        <v>5690</v>
      </c>
      <c r="H2063" s="8" t="s">
        <v>5691</v>
      </c>
      <c r="I2063" s="7" t="str">
        <f>_xlfn.CONCAT(Paper_Reference[[#This Row],[Lvl]:[Paper Description]])</f>
        <v>2J42RB639AM38DIG/WW780 UV NBR 13.87 X 1441100.5100DS009-6200FROSTY WHITE</v>
      </c>
      <c r="J2063" s="7">
        <f>COUNTIF(Paper_Reference[Duplicate Key],Paper_Reference[[#This Row],[Duplicate Key]])</f>
        <v>1</v>
      </c>
    </row>
    <row r="2064" spans="1:10">
      <c r="A2064" s="7">
        <v>2</v>
      </c>
      <c r="B2064" s="8" t="s">
        <v>2626</v>
      </c>
      <c r="C2064" s="8" t="s">
        <v>2177</v>
      </c>
      <c r="D2064" s="7">
        <v>1</v>
      </c>
      <c r="E2064" s="7">
        <v>10</v>
      </c>
      <c r="F2064" s="7">
        <v>0.25</v>
      </c>
      <c r="G2064" s="8" t="s">
        <v>2144</v>
      </c>
      <c r="H2064" s="8" t="s">
        <v>1242</v>
      </c>
      <c r="I2064" s="7" t="str">
        <f>_xlfn.CONCAT(Paper_Reference[[#This Row],[Lvl]:[Paper Description]])</f>
        <v>2J42RB719AM38DIG C/BLUES UV NBR 13.87 X 1441100.2510000020-6200Premium Inkjet MPK 9653</v>
      </c>
      <c r="J2064" s="7">
        <f>COUNTIF(Paper_Reference[Duplicate Key],Paper_Reference[[#This Row],[Duplicate Key]])</f>
        <v>1</v>
      </c>
    </row>
    <row r="2065" spans="1:10">
      <c r="A2065" s="7">
        <v>2</v>
      </c>
      <c r="B2065" s="8" t="s">
        <v>1791</v>
      </c>
      <c r="C2065" s="8" t="s">
        <v>1371</v>
      </c>
      <c r="D2065" s="7">
        <v>1</v>
      </c>
      <c r="E2065" s="7">
        <v>10</v>
      </c>
      <c r="F2065" s="7">
        <v>1</v>
      </c>
      <c r="G2065" s="8" t="s">
        <v>1241</v>
      </c>
      <c r="H2065" s="8" t="s">
        <v>1242</v>
      </c>
      <c r="I2065" s="7" t="str">
        <f>_xlfn.CONCAT(Paper_Reference[[#This Row],[Lvl]:[Paper Description]])</f>
        <v>2J42RB719ASWGDIG C/BLUES UV WW 42 7/8X145 1110110000020-5000Premium Inkjet MPK 9653</v>
      </c>
      <c r="J2065" s="7">
        <f>COUNTIF(Paper_Reference[Duplicate Key],Paper_Reference[[#This Row],[Duplicate Key]])</f>
        <v>1</v>
      </c>
    </row>
    <row r="2066" spans="1:10">
      <c r="A2066" s="7">
        <v>2</v>
      </c>
      <c r="B2066" s="8" t="s">
        <v>1792</v>
      </c>
      <c r="C2066" s="8" t="s">
        <v>1372</v>
      </c>
      <c r="D2066" s="7">
        <v>1</v>
      </c>
      <c r="E2066" s="7">
        <v>10</v>
      </c>
      <c r="F2066" s="7">
        <v>1</v>
      </c>
      <c r="G2066" s="8" t="s">
        <v>1241</v>
      </c>
      <c r="H2066" s="8" t="s">
        <v>1242</v>
      </c>
      <c r="I2066" s="7" t="str">
        <f>_xlfn.CONCAT(Paper_Reference[[#This Row],[Lvl]:[Paper Description]])</f>
        <v>2J42RB946AB58PINWORX WT W/ BLK APP 48 X 96110110000020-5000Premium Inkjet MPK 9653</v>
      </c>
      <c r="J2066" s="7">
        <f>COUNTIF(Paper_Reference[Duplicate Key],Paper_Reference[[#This Row],[Duplicate Key]])</f>
        <v>1</v>
      </c>
    </row>
    <row r="2067" spans="1:10">
      <c r="A2067" s="7">
        <v>2</v>
      </c>
      <c r="B2067" s="8" t="s">
        <v>1793</v>
      </c>
      <c r="C2067" s="8" t="s">
        <v>1373</v>
      </c>
      <c r="D2067" s="7">
        <v>1</v>
      </c>
      <c r="E2067" s="7">
        <v>10</v>
      </c>
      <c r="F2067" s="7">
        <v>0.5</v>
      </c>
      <c r="G2067" s="8" t="s">
        <v>1241</v>
      </c>
      <c r="H2067" s="8" t="s">
        <v>1242</v>
      </c>
      <c r="I2067" s="7" t="str">
        <f>_xlfn.CONCAT(Paper_Reference[[#This Row],[Lvl]:[Paper Description]])</f>
        <v>2J42RB947PB59PINWORX WT W/ BLK FOUL 31.5X721100.510000020-5000Premium Inkjet MPK 9653</v>
      </c>
      <c r="J2067" s="7">
        <f>COUNTIF(Paper_Reference[Duplicate Key],Paper_Reference[[#This Row],[Duplicate Key]])</f>
        <v>1</v>
      </c>
    </row>
    <row r="2068" spans="1:10">
      <c r="A2068" s="7">
        <v>2</v>
      </c>
      <c r="B2068" s="8" t="s">
        <v>1794</v>
      </c>
      <c r="C2068" s="8" t="s">
        <v>1374</v>
      </c>
      <c r="D2068" s="7">
        <v>1</v>
      </c>
      <c r="E2068" s="7">
        <v>10</v>
      </c>
      <c r="F2068" s="7">
        <v>0.5</v>
      </c>
      <c r="G2068" s="8" t="s">
        <v>1241</v>
      </c>
      <c r="H2068" s="8" t="s">
        <v>1242</v>
      </c>
      <c r="I2068" s="7" t="str">
        <f>_xlfn.CONCAT(Paper_Reference[[#This Row],[Lvl]:[Paper Description]])</f>
        <v>2J42RB948PB60PINWORX WT W/ BLK COM 31.5X721100.510000020-5000Premium Inkjet MPK 9653</v>
      </c>
      <c r="J2068" s="7">
        <f>COUNTIF(Paper_Reference[Duplicate Key],Paper_Reference[[#This Row],[Duplicate Key]])</f>
        <v>1</v>
      </c>
    </row>
    <row r="2069" spans="1:10">
      <c r="A2069" s="7">
        <v>2</v>
      </c>
      <c r="B2069" s="8" t="s">
        <v>1795</v>
      </c>
      <c r="C2069" s="8" t="s">
        <v>1375</v>
      </c>
      <c r="D2069" s="7">
        <v>1</v>
      </c>
      <c r="E2069" s="7">
        <v>10</v>
      </c>
      <c r="F2069" s="7">
        <v>0.2</v>
      </c>
      <c r="G2069" s="8" t="s">
        <v>1241</v>
      </c>
      <c r="H2069" s="8" t="s">
        <v>1242</v>
      </c>
      <c r="I2069" s="7" t="str">
        <f>_xlfn.CONCAT(Paper_Reference[[#This Row],[Lvl]:[Paper Description]])</f>
        <v>2J42RB949AB61PINWORX WT W/ BLK FILL 8 X 961100.210000020-5000Premium Inkjet MPK 9653</v>
      </c>
      <c r="J2069" s="7">
        <f>COUNTIF(Paper_Reference[Duplicate Key],Paper_Reference[[#This Row],[Duplicate Key]])</f>
        <v>1</v>
      </c>
    </row>
    <row r="2070" spans="1:10">
      <c r="A2070" s="7">
        <v>2</v>
      </c>
      <c r="B2070" s="8" t="s">
        <v>1796</v>
      </c>
      <c r="C2070" s="8" t="s">
        <v>1376</v>
      </c>
      <c r="D2070" s="7">
        <v>1</v>
      </c>
      <c r="E2070" s="7">
        <v>10</v>
      </c>
      <c r="F2070" s="7">
        <v>1</v>
      </c>
      <c r="G2070" s="8" t="s">
        <v>1241</v>
      </c>
      <c r="H2070" s="8" t="s">
        <v>1242</v>
      </c>
      <c r="I2070" s="7" t="str">
        <f>_xlfn.CONCAT(Paper_Reference[[#This Row],[Lvl]:[Paper Description]])</f>
        <v>2J42RB990AB62PINWORX WT W/ BLK L APP 48X96110110000020-5000Premium Inkjet MPK 9653</v>
      </c>
      <c r="J2070" s="7">
        <f>COUNTIF(Paper_Reference[Duplicate Key],Paper_Reference[[#This Row],[Duplicate Key]])</f>
        <v>1</v>
      </c>
    </row>
    <row r="2071" spans="1:10">
      <c r="A2071" s="7">
        <v>2</v>
      </c>
      <c r="B2071" s="8" t="s">
        <v>1797</v>
      </c>
      <c r="C2071" s="8" t="s">
        <v>1377</v>
      </c>
      <c r="D2071" s="7">
        <v>1</v>
      </c>
      <c r="E2071" s="7">
        <v>10</v>
      </c>
      <c r="F2071" s="7">
        <v>1</v>
      </c>
      <c r="G2071" s="8" t="s">
        <v>1241</v>
      </c>
      <c r="H2071" s="8" t="s">
        <v>1242</v>
      </c>
      <c r="I2071" s="7" t="str">
        <f>_xlfn.CONCAT(Paper_Reference[[#This Row],[Lvl]:[Paper Description]])</f>
        <v>2J42RB991AB63PINWORX WT W/ BLK R APP 48X96110110000020-5000Premium Inkjet MPK 9653</v>
      </c>
      <c r="J2071" s="7">
        <f>COUNTIF(Paper_Reference[Duplicate Key],Paper_Reference[[#This Row],[Duplicate Key]])</f>
        <v>1</v>
      </c>
    </row>
    <row r="2072" spans="1:10">
      <c r="A2072" s="7">
        <v>2</v>
      </c>
      <c r="B2072" s="8" t="s">
        <v>2627</v>
      </c>
      <c r="C2072" s="8" t="s">
        <v>2178</v>
      </c>
      <c r="D2072" s="7">
        <v>1</v>
      </c>
      <c r="E2072" s="7">
        <v>10</v>
      </c>
      <c r="F2072" s="7">
        <v>0.5</v>
      </c>
      <c r="G2072" s="8" t="s">
        <v>2144</v>
      </c>
      <c r="H2072" s="8" t="s">
        <v>1242</v>
      </c>
      <c r="I2072" s="7" t="str">
        <f>_xlfn.CONCAT(Paper_Reference[[#This Row],[Lvl]:[Paper Description]])</f>
        <v>2J42RB992PB64PINWORX WT W/ BLK FOUL 30X1441100.510000020-6200Premium Inkjet MPK 9653</v>
      </c>
      <c r="J2072" s="7">
        <f>COUNTIF(Paper_Reference[Duplicate Key],Paper_Reference[[#This Row],[Duplicate Key]])</f>
        <v>1</v>
      </c>
    </row>
    <row r="2073" spans="1:10">
      <c r="A2073" s="7">
        <v>2</v>
      </c>
      <c r="B2073" s="8" t="s">
        <v>2628</v>
      </c>
      <c r="C2073" s="8" t="s">
        <v>2179</v>
      </c>
      <c r="D2073" s="7">
        <v>1</v>
      </c>
      <c r="E2073" s="7">
        <v>10</v>
      </c>
      <c r="F2073" s="7">
        <v>0.5</v>
      </c>
      <c r="G2073" s="8" t="s">
        <v>2144</v>
      </c>
      <c r="H2073" s="8" t="s">
        <v>1242</v>
      </c>
      <c r="I2073" s="7" t="str">
        <f>_xlfn.CONCAT(Paper_Reference[[#This Row],[Lvl]:[Paper Description]])</f>
        <v>2J42RB993PB65PINWORX WT W/ BLK COM 30X1441100.510000020-6200Premium Inkjet MPK 9653</v>
      </c>
      <c r="J2073" s="7">
        <f>COUNTIF(Paper_Reference[Duplicate Key],Paper_Reference[[#This Row],[Duplicate Key]])</f>
        <v>1</v>
      </c>
    </row>
    <row r="2074" spans="1:10">
      <c r="A2074" s="7">
        <v>2</v>
      </c>
      <c r="B2074" s="8" t="s">
        <v>2629</v>
      </c>
      <c r="C2074" s="8" t="s">
        <v>2180</v>
      </c>
      <c r="D2074" s="7">
        <v>1</v>
      </c>
      <c r="E2074" s="7">
        <v>10</v>
      </c>
      <c r="F2074" s="7">
        <v>0.1666</v>
      </c>
      <c r="G2074" s="8" t="s">
        <v>2144</v>
      </c>
      <c r="H2074" s="8" t="s">
        <v>1242</v>
      </c>
      <c r="I2074" s="7" t="str">
        <f>_xlfn.CONCAT(Paper_Reference[[#This Row],[Lvl]:[Paper Description]])</f>
        <v>2J42RB993PB67PINWORX WT W/ BLK PD 29X47.51100.166610000020-6200Premium Inkjet MPK 9653</v>
      </c>
      <c r="J2074" s="7">
        <f>COUNTIF(Paper_Reference[Duplicate Key],Paper_Reference[[#This Row],[Duplicate Key]])</f>
        <v>1</v>
      </c>
    </row>
    <row r="2075" spans="1:10">
      <c r="A2075" s="7">
        <v>2</v>
      </c>
      <c r="B2075" s="8" t="s">
        <v>1798</v>
      </c>
      <c r="C2075" s="8" t="s">
        <v>1378</v>
      </c>
      <c r="D2075" s="7">
        <v>1</v>
      </c>
      <c r="E2075" s="7">
        <v>10</v>
      </c>
      <c r="F2075" s="7">
        <v>0.1111</v>
      </c>
      <c r="G2075" s="8" t="s">
        <v>1241</v>
      </c>
      <c r="H2075" s="8" t="s">
        <v>1242</v>
      </c>
      <c r="I2075" s="7" t="str">
        <f>_xlfn.CONCAT(Paper_Reference[[#This Row],[Lvl]:[Paper Description]])</f>
        <v>2J42RB994AB66PINWORX WT W/ BLK FILL 3.5X961100.111110000020-5000Premium Inkjet MPK 9653</v>
      </c>
      <c r="J2075" s="7">
        <f>COUNTIF(Paper_Reference[Duplicate Key],Paper_Reference[[#This Row],[Duplicate Key]])</f>
        <v>1</v>
      </c>
    </row>
    <row r="2076" spans="1:10">
      <c r="A2076" s="7">
        <v>3</v>
      </c>
      <c r="B2076" s="8" t="s">
        <v>9130</v>
      </c>
      <c r="C2076" s="8" t="s">
        <v>9074</v>
      </c>
      <c r="D2076" s="7">
        <v>1</v>
      </c>
      <c r="E2076" s="7">
        <v>10</v>
      </c>
      <c r="F2076" s="7">
        <v>1</v>
      </c>
      <c r="G2076" s="8" t="s">
        <v>219</v>
      </c>
      <c r="H2076" s="8" t="s">
        <v>427</v>
      </c>
      <c r="I2076" s="7" t="str">
        <f>_xlfn.CONCAT(Paper_Reference[[#This Row],[Lvl]:[Paper Description]])</f>
        <v>3J43I8880PM34SYN R ARROW  41.875 X 1441101100WM321-4300IQ MAPLE LANE RH</v>
      </c>
      <c r="J2076" s="7">
        <f>COUNTIF(Paper_Reference[Duplicate Key],Paper_Reference[[#This Row],[Duplicate Key]])</f>
        <v>1</v>
      </c>
    </row>
    <row r="2077" spans="1:10">
      <c r="A2077" s="7">
        <v>3</v>
      </c>
      <c r="B2077" s="8" t="s">
        <v>9019</v>
      </c>
      <c r="C2077" s="8" t="s">
        <v>8965</v>
      </c>
      <c r="D2077" s="7">
        <v>1</v>
      </c>
      <c r="E2077" s="7">
        <v>10</v>
      </c>
      <c r="F2077" s="7">
        <v>1</v>
      </c>
      <c r="G2077" s="8" t="s">
        <v>218</v>
      </c>
      <c r="H2077" s="8" t="s">
        <v>426</v>
      </c>
      <c r="I2077" s="7" t="str">
        <f>_xlfn.CONCAT(Paper_Reference[[#This Row],[Lvl]:[Paper Description]])</f>
        <v>3J43I8881PM35SYN L ARROW  41.875 X 1441101100WM311-4300IQ MAPLE LANE LH</v>
      </c>
      <c r="J2077" s="7">
        <f>COUNTIF(Paper_Reference[Duplicate Key],Paper_Reference[[#This Row],[Duplicate Key]])</f>
        <v>1</v>
      </c>
    </row>
    <row r="2078" spans="1:10">
      <c r="A2078" s="7">
        <v>2</v>
      </c>
      <c r="B2078" s="8" t="s">
        <v>2630</v>
      </c>
      <c r="C2078" s="8" t="s">
        <v>2181</v>
      </c>
      <c r="D2078" s="7">
        <v>1</v>
      </c>
      <c r="E2078" s="7">
        <v>10</v>
      </c>
      <c r="F2078" s="7">
        <v>0.25</v>
      </c>
      <c r="G2078" s="8" t="s">
        <v>2144</v>
      </c>
      <c r="H2078" s="8" t="s">
        <v>1242</v>
      </c>
      <c r="I2078" s="7" t="str">
        <f>_xlfn.CONCAT(Paper_Reference[[#This Row],[Lvl]:[Paper Description]])</f>
        <v>2J44B0006AM38DIG UV SYN NBR 13.87 X 1441100.2510000020-6200Premium Inkjet MPK 9653</v>
      </c>
      <c r="J2078" s="7">
        <f>COUNTIF(Paper_Reference[Duplicate Key],Paper_Reference[[#This Row],[Duplicate Key]])</f>
        <v>1</v>
      </c>
    </row>
    <row r="2079" spans="1:10">
      <c r="A2079" s="7">
        <v>2</v>
      </c>
      <c r="B2079" s="8" t="s">
        <v>1799</v>
      </c>
      <c r="C2079" s="8" t="s">
        <v>1379</v>
      </c>
      <c r="D2079" s="7">
        <v>1</v>
      </c>
      <c r="E2079" s="7">
        <v>10</v>
      </c>
      <c r="F2079" s="7">
        <v>1</v>
      </c>
      <c r="G2079" s="8" t="s">
        <v>1241</v>
      </c>
      <c r="H2079" s="8" t="s">
        <v>1242</v>
      </c>
      <c r="I2079" s="7" t="str">
        <f>_xlfn.CONCAT(Paper_Reference[[#This Row],[Lvl]:[Paper Description]])</f>
        <v>2J44B0006ASWGDIG UV SYN WW 42 7/8X145 1/4110110000020-5000Premium Inkjet MPK 9653</v>
      </c>
      <c r="J2079" s="7">
        <f>COUNTIF(Paper_Reference[Duplicate Key],Paper_Reference[[#This Row],[Duplicate Key]])</f>
        <v>1</v>
      </c>
    </row>
    <row r="2080" spans="1:10">
      <c r="A2080" s="7">
        <v>2</v>
      </c>
      <c r="B2080" s="8" t="s">
        <v>8577</v>
      </c>
      <c r="C2080" s="8" t="s">
        <v>8367</v>
      </c>
      <c r="D2080" s="7">
        <v>1</v>
      </c>
      <c r="E2080" s="7">
        <v>10</v>
      </c>
      <c r="F2080" s="7">
        <v>0.25</v>
      </c>
      <c r="G2080" s="8" t="s">
        <v>8302</v>
      </c>
      <c r="H2080" s="8" t="s">
        <v>8303</v>
      </c>
      <c r="I2080" s="7" t="str">
        <f>_xlfn.CONCAT(Paper_Reference[[#This Row],[Lvl]:[Paper Description]])</f>
        <v>2J44B0013AM38DIG UV SW813 IW NBR 13.87X1441100.25100SW813-6200ICE WHITE</v>
      </c>
      <c r="J2080" s="7">
        <f>COUNTIF(Paper_Reference[Duplicate Key],Paper_Reference[[#This Row],[Duplicate Key]])</f>
        <v>1</v>
      </c>
    </row>
    <row r="2081" spans="1:10">
      <c r="A2081" s="7">
        <v>2</v>
      </c>
      <c r="B2081" s="8" t="s">
        <v>118</v>
      </c>
      <c r="C2081" s="8" t="s">
        <v>119</v>
      </c>
      <c r="D2081" s="7">
        <v>1</v>
      </c>
      <c r="E2081" s="7">
        <v>10</v>
      </c>
      <c r="F2081" s="7">
        <v>0.25</v>
      </c>
      <c r="G2081" s="8" t="s">
        <v>3115</v>
      </c>
      <c r="H2081" s="8" t="s">
        <v>3090</v>
      </c>
      <c r="I2081" s="7" t="str">
        <f>_xlfn.CONCAT(Paper_Reference[[#This Row],[Lvl]:[Paper Description]])</f>
        <v>2J44B0025AM38DIG UV HYB VANA NBR 13.87X1441100.25100WF131-6200VANA</v>
      </c>
      <c r="J2081" s="7">
        <f>COUNTIF(Paper_Reference[Duplicate Key],Paper_Reference[[#This Row],[Duplicate Key]])</f>
        <v>1</v>
      </c>
    </row>
    <row r="2082" spans="1:10">
      <c r="A2082" s="7">
        <v>2</v>
      </c>
      <c r="B2082" s="8" t="s">
        <v>2631</v>
      </c>
      <c r="C2082" s="8" t="s">
        <v>2182</v>
      </c>
      <c r="D2082" s="7">
        <v>1</v>
      </c>
      <c r="E2082" s="7">
        <v>10</v>
      </c>
      <c r="F2082" s="7">
        <v>0.25</v>
      </c>
      <c r="G2082" s="8" t="s">
        <v>2144</v>
      </c>
      <c r="H2082" s="8" t="s">
        <v>1242</v>
      </c>
      <c r="I2082" s="7" t="str">
        <f>_xlfn.CONCAT(Paper_Reference[[#This Row],[Lvl]:[Paper Description]])</f>
        <v>2J44B0029AM38DIG UV WA120 AN NBR 13.87X1441100.2510000020-6200Premium Inkjet MPK 9653</v>
      </c>
      <c r="J2082" s="7">
        <f>COUNTIF(Paper_Reference[Duplicate Key],Paper_Reference[[#This Row],[Duplicate Key]])</f>
        <v>1</v>
      </c>
    </row>
    <row r="2083" spans="1:10">
      <c r="A2083" s="7">
        <v>2</v>
      </c>
      <c r="B2083" s="8" t="s">
        <v>2632</v>
      </c>
      <c r="C2083" s="8" t="s">
        <v>2183</v>
      </c>
      <c r="D2083" s="7">
        <v>1</v>
      </c>
      <c r="E2083" s="7">
        <v>10</v>
      </c>
      <c r="F2083" s="7">
        <v>0.25</v>
      </c>
      <c r="G2083" s="8" t="s">
        <v>2144</v>
      </c>
      <c r="H2083" s="8" t="s">
        <v>1242</v>
      </c>
      <c r="I2083" s="7" t="str">
        <f>_xlfn.CONCAT(Paper_Reference[[#This Row],[Lvl]:[Paper Description]])</f>
        <v>2J44B0079AM38DIG UV WM858 BR NBR 13.87X1441100.2510000020-6200Premium Inkjet MPK 9653</v>
      </c>
      <c r="J2083" s="7">
        <f>COUNTIF(Paper_Reference[Duplicate Key],Paper_Reference[[#This Row],[Duplicate Key]])</f>
        <v>1</v>
      </c>
    </row>
    <row r="2084" spans="1:10">
      <c r="A2084" s="7">
        <v>2</v>
      </c>
      <c r="B2084" s="8" t="s">
        <v>89</v>
      </c>
      <c r="C2084" s="8" t="s">
        <v>90</v>
      </c>
      <c r="D2084" s="7">
        <v>1</v>
      </c>
      <c r="E2084" s="7">
        <v>10</v>
      </c>
      <c r="F2084" s="7">
        <v>1</v>
      </c>
      <c r="G2084" s="8" t="s">
        <v>2144</v>
      </c>
      <c r="H2084" s="8" t="s">
        <v>1242</v>
      </c>
      <c r="I2084" s="7" t="str">
        <f>_xlfn.CONCAT(Paper_Reference[[#This Row],[Lvl]:[Paper Description]])</f>
        <v>2J44B0107QM33DIG UV SPARK WITCH L/F 59.641110110000020-6200Premium Inkjet MPK 9653</v>
      </c>
      <c r="J2084" s="7">
        <f>COUNTIF(Paper_Reference[Duplicate Key],Paper_Reference[[#This Row],[Duplicate Key]])</f>
        <v>1</v>
      </c>
    </row>
    <row r="2085" spans="1:10">
      <c r="A2085" s="7">
        <v>2</v>
      </c>
      <c r="B2085" s="8" t="s">
        <v>94</v>
      </c>
      <c r="C2085" s="8" t="s">
        <v>95</v>
      </c>
      <c r="D2085" s="7">
        <v>1</v>
      </c>
      <c r="E2085" s="7">
        <v>10</v>
      </c>
      <c r="F2085" s="7">
        <v>1</v>
      </c>
      <c r="G2085" s="8" t="s">
        <v>2144</v>
      </c>
      <c r="H2085" s="8" t="s">
        <v>1242</v>
      </c>
      <c r="I2085" s="7" t="str">
        <f>_xlfn.CONCAT(Paper_Reference[[#This Row],[Lvl]:[Paper Description]])</f>
        <v>2J44B0108QM32DIG UV SPARK WITCH R/F 59.641110110000020-6200Premium Inkjet MPK 9653</v>
      </c>
      <c r="J2085" s="7">
        <f>COUNTIF(Paper_Reference[Duplicate Key],Paper_Reference[[#This Row],[Duplicate Key]])</f>
        <v>1</v>
      </c>
    </row>
    <row r="2086" spans="1:10">
      <c r="A2086" s="7">
        <v>2</v>
      </c>
      <c r="B2086" s="8" t="s">
        <v>2633</v>
      </c>
      <c r="C2086" s="8" t="s">
        <v>2184</v>
      </c>
      <c r="D2086" s="7">
        <v>1</v>
      </c>
      <c r="E2086" s="7">
        <v>10</v>
      </c>
      <c r="F2086" s="7">
        <v>1</v>
      </c>
      <c r="G2086" s="8" t="s">
        <v>2144</v>
      </c>
      <c r="H2086" s="8" t="s">
        <v>1242</v>
      </c>
      <c r="I2086" s="7" t="str">
        <f>_xlfn.CONCAT(Paper_Reference[[#This Row],[Lvl]:[Paper Description]])</f>
        <v>2J44B0109QM33DIG UV SPARK FM L/F 59.641X144110110000020-6200Premium Inkjet MPK 9653</v>
      </c>
      <c r="J2086" s="7">
        <f>COUNTIF(Paper_Reference[Duplicate Key],Paper_Reference[[#This Row],[Duplicate Key]])</f>
        <v>1</v>
      </c>
    </row>
    <row r="2087" spans="1:10">
      <c r="A2087" s="7">
        <v>2</v>
      </c>
      <c r="B2087" s="8" t="s">
        <v>2634</v>
      </c>
      <c r="C2087" s="8" t="s">
        <v>2185</v>
      </c>
      <c r="D2087" s="7">
        <v>1</v>
      </c>
      <c r="E2087" s="7">
        <v>10</v>
      </c>
      <c r="F2087" s="7">
        <v>1</v>
      </c>
      <c r="G2087" s="8" t="s">
        <v>2144</v>
      </c>
      <c r="H2087" s="8" t="s">
        <v>1242</v>
      </c>
      <c r="I2087" s="7" t="str">
        <f>_xlfn.CONCAT(Paper_Reference[[#This Row],[Lvl]:[Paper Description]])</f>
        <v>2J44B0110QM32DIG UV SPARK FM R/F 59.641 X 1110110000020-6200Premium Inkjet MPK 9653</v>
      </c>
      <c r="J2087" s="7">
        <f>COUNTIF(Paper_Reference[Duplicate Key],Paper_Reference[[#This Row],[Duplicate Key]])</f>
        <v>1</v>
      </c>
    </row>
    <row r="2088" spans="1:10">
      <c r="A2088" s="7">
        <v>2</v>
      </c>
      <c r="B2088" s="8" t="s">
        <v>2635</v>
      </c>
      <c r="C2088" s="8" t="s">
        <v>2186</v>
      </c>
      <c r="D2088" s="7">
        <v>1</v>
      </c>
      <c r="E2088" s="7">
        <v>10</v>
      </c>
      <c r="F2088" s="7">
        <v>1</v>
      </c>
      <c r="G2088" s="8" t="s">
        <v>2144</v>
      </c>
      <c r="H2088" s="8" t="s">
        <v>1242</v>
      </c>
      <c r="I2088" s="7" t="str">
        <f>_xlfn.CONCAT(Paper_Reference[[#This Row],[Lvl]:[Paper Description]])</f>
        <v>2J44B0111QM33DIG UV SPARK OC L/F 59.641X144110110000020-6200Premium Inkjet MPK 9653</v>
      </c>
      <c r="J2088" s="7">
        <f>COUNTIF(Paper_Reference[Duplicate Key],Paper_Reference[[#This Row],[Duplicate Key]])</f>
        <v>1</v>
      </c>
    </row>
    <row r="2089" spans="1:10">
      <c r="A2089" s="7">
        <v>2</v>
      </c>
      <c r="B2089" s="8" t="s">
        <v>2636</v>
      </c>
      <c r="C2089" s="8" t="s">
        <v>2187</v>
      </c>
      <c r="D2089" s="7">
        <v>1</v>
      </c>
      <c r="E2089" s="7">
        <v>10</v>
      </c>
      <c r="F2089" s="7">
        <v>1</v>
      </c>
      <c r="G2089" s="8" t="s">
        <v>2144</v>
      </c>
      <c r="H2089" s="8" t="s">
        <v>1242</v>
      </c>
      <c r="I2089" s="7" t="str">
        <f>_xlfn.CONCAT(Paper_Reference[[#This Row],[Lvl]:[Paper Description]])</f>
        <v>2J44B0112QM32DIG UV SPARK OC R/F 59.641 X 1110110000020-6200Premium Inkjet MPK 9653</v>
      </c>
      <c r="J2089" s="7">
        <f>COUNTIF(Paper_Reference[Duplicate Key],Paper_Reference[[#This Row],[Duplicate Key]])</f>
        <v>1</v>
      </c>
    </row>
    <row r="2090" spans="1:10">
      <c r="A2090" s="7">
        <v>2</v>
      </c>
      <c r="B2090" s="8" t="s">
        <v>2637</v>
      </c>
      <c r="C2090" s="8" t="s">
        <v>2188</v>
      </c>
      <c r="D2090" s="7">
        <v>1</v>
      </c>
      <c r="E2090" s="7">
        <v>10</v>
      </c>
      <c r="F2090" s="7">
        <v>0.25</v>
      </c>
      <c r="G2090" s="8" t="s">
        <v>2144</v>
      </c>
      <c r="H2090" s="8" t="s">
        <v>1242</v>
      </c>
      <c r="I2090" s="7" t="str">
        <f>_xlfn.CONCAT(Paper_Reference[[#This Row],[Lvl]:[Paper Description]])</f>
        <v>2J44B0133AM38DDIG UV SB027 NBR 13.87 X 1441100.2510000020-6200Premium Inkjet MPK 9653</v>
      </c>
      <c r="J2090" s="7">
        <f>COUNTIF(Paper_Reference[Duplicate Key],Paper_Reference[[#This Row],[Duplicate Key]])</f>
        <v>1</v>
      </c>
    </row>
    <row r="2091" spans="1:10">
      <c r="A2091" s="7">
        <v>2</v>
      </c>
      <c r="B2091" s="8" t="s">
        <v>92</v>
      </c>
      <c r="C2091" s="8" t="s">
        <v>93</v>
      </c>
      <c r="D2091" s="7">
        <v>1</v>
      </c>
      <c r="E2091" s="7">
        <v>10</v>
      </c>
      <c r="F2091" s="7">
        <v>1</v>
      </c>
      <c r="G2091" s="8" t="s">
        <v>2144</v>
      </c>
      <c r="H2091" s="8" t="s">
        <v>1242</v>
      </c>
      <c r="I2091" s="7" t="str">
        <f>_xlfn.CONCAT(Paper_Reference[[#This Row],[Lvl]:[Paper Description]])</f>
        <v>2J44B0151QM33DIG UV WX421/ WF131 LF 59.641X110110000020-6200Premium Inkjet MPK 9653</v>
      </c>
      <c r="J2091" s="7">
        <f>COUNTIF(Paper_Reference[Duplicate Key],Paper_Reference[[#This Row],[Duplicate Key]])</f>
        <v>1</v>
      </c>
    </row>
    <row r="2092" spans="1:10">
      <c r="A2092" s="7">
        <v>2</v>
      </c>
      <c r="B2092" s="8" t="s">
        <v>97</v>
      </c>
      <c r="C2092" s="8" t="s">
        <v>98</v>
      </c>
      <c r="D2092" s="7">
        <v>1</v>
      </c>
      <c r="E2092" s="7">
        <v>10</v>
      </c>
      <c r="F2092" s="7">
        <v>1</v>
      </c>
      <c r="G2092" s="8" t="s">
        <v>2144</v>
      </c>
      <c r="H2092" s="8" t="s">
        <v>1242</v>
      </c>
      <c r="I2092" s="7" t="str">
        <f>_xlfn.CONCAT(Paper_Reference[[#This Row],[Lvl]:[Paper Description]])</f>
        <v>2J44B0152QM32DIG UV WX421/ WF131 RF 59.641X110110000020-6200Premium Inkjet MPK 9653</v>
      </c>
      <c r="J2092" s="7">
        <f>COUNTIF(Paper_Reference[Duplicate Key],Paper_Reference[[#This Row],[Duplicate Key]])</f>
        <v>1</v>
      </c>
    </row>
    <row r="2093" spans="1:10">
      <c r="A2093" s="7">
        <v>2</v>
      </c>
      <c r="B2093" s="8" t="s">
        <v>2638</v>
      </c>
      <c r="C2093" s="8" t="s">
        <v>2189</v>
      </c>
      <c r="D2093" s="7">
        <v>1</v>
      </c>
      <c r="E2093" s="7">
        <v>10</v>
      </c>
      <c r="F2093" s="7">
        <v>0.25</v>
      </c>
      <c r="G2093" s="8" t="s">
        <v>2144</v>
      </c>
      <c r="H2093" s="8" t="s">
        <v>1242</v>
      </c>
      <c r="I2093" s="7" t="str">
        <f>_xlfn.CONCAT(Paper_Reference[[#This Row],[Lvl]:[Paper Description]])</f>
        <v>2J44B0170AM38DIG UV WM046 NBR 13.87 X 1441100.2510000020-6200Premium Inkjet MPK 9653</v>
      </c>
      <c r="J2093" s="7">
        <f>COUNTIF(Paper_Reference[Duplicate Key],Paper_Reference[[#This Row],[Duplicate Key]])</f>
        <v>1</v>
      </c>
    </row>
    <row r="2094" spans="1:10">
      <c r="A2094" s="7">
        <v>2</v>
      </c>
      <c r="B2094" s="8" t="s">
        <v>1800</v>
      </c>
      <c r="C2094" s="8" t="s">
        <v>1380</v>
      </c>
      <c r="D2094" s="7">
        <v>1</v>
      </c>
      <c r="E2094" s="7">
        <v>10</v>
      </c>
      <c r="F2094" s="7">
        <v>1</v>
      </c>
      <c r="G2094" s="8" t="s">
        <v>1241</v>
      </c>
      <c r="H2094" s="8" t="s">
        <v>1242</v>
      </c>
      <c r="I2094" s="7" t="str">
        <f>_xlfn.CONCAT(Paper_Reference[[#This Row],[Lvl]:[Paper Description]])</f>
        <v>2J44B0170ASWGDIG UV WM046 WW 42 7/8X145 1/4110110000020-5000Premium Inkjet MPK 9653</v>
      </c>
      <c r="J2094" s="7">
        <f>COUNTIF(Paper_Reference[Duplicate Key],Paper_Reference[[#This Row],[Duplicate Key]])</f>
        <v>1</v>
      </c>
    </row>
    <row r="2095" spans="1:10">
      <c r="A2095" s="7">
        <v>2</v>
      </c>
      <c r="B2095" s="8" t="s">
        <v>2639</v>
      </c>
      <c r="C2095" s="8" t="s">
        <v>2190</v>
      </c>
      <c r="D2095" s="7">
        <v>1</v>
      </c>
      <c r="E2095" s="7">
        <v>10</v>
      </c>
      <c r="F2095" s="7">
        <v>0.25</v>
      </c>
      <c r="G2095" s="8" t="s">
        <v>2144</v>
      </c>
      <c r="H2095" s="8" t="s">
        <v>1242</v>
      </c>
      <c r="I2095" s="7" t="str">
        <f>_xlfn.CONCAT(Paper_Reference[[#This Row],[Lvl]:[Paper Description]])</f>
        <v>2J44B0176AM38DIG UV HP689 NBR 13.87 X 1441100.2510000020-6200Premium Inkjet MPK 9653</v>
      </c>
      <c r="J2095" s="7">
        <f>COUNTIF(Paper_Reference[Duplicate Key],Paper_Reference[[#This Row],[Duplicate Key]])</f>
        <v>1</v>
      </c>
    </row>
    <row r="2096" spans="1:10">
      <c r="A2096" s="7">
        <v>2</v>
      </c>
      <c r="B2096" s="8" t="s">
        <v>2640</v>
      </c>
      <c r="C2096" s="8" t="s">
        <v>2191</v>
      </c>
      <c r="D2096" s="7">
        <v>1</v>
      </c>
      <c r="E2096" s="7">
        <v>10</v>
      </c>
      <c r="F2096" s="7">
        <v>0.25</v>
      </c>
      <c r="G2096" s="8" t="s">
        <v>2144</v>
      </c>
      <c r="H2096" s="8" t="s">
        <v>1242</v>
      </c>
      <c r="I2096" s="7" t="str">
        <f>_xlfn.CONCAT(Paper_Reference[[#This Row],[Lvl]:[Paper Description]])</f>
        <v>2J44B0180AM38DIG UV AFT SHOW NBR 13.87X1441100.2510000020-6200Premium Inkjet MPK 9653</v>
      </c>
      <c r="J2096" s="7">
        <f>COUNTIF(Paper_Reference[Duplicate Key],Paper_Reference[[#This Row],[Duplicate Key]])</f>
        <v>1</v>
      </c>
    </row>
    <row r="2097" spans="1:10">
      <c r="A2097" s="7">
        <v>2</v>
      </c>
      <c r="B2097" s="8" t="s">
        <v>1801</v>
      </c>
      <c r="C2097" s="8" t="s">
        <v>1381</v>
      </c>
      <c r="D2097" s="7">
        <v>1</v>
      </c>
      <c r="E2097" s="7">
        <v>10</v>
      </c>
      <c r="F2097" s="7">
        <v>1</v>
      </c>
      <c r="G2097" s="8" t="s">
        <v>1241</v>
      </c>
      <c r="H2097" s="8" t="s">
        <v>1242</v>
      </c>
      <c r="I2097" s="7" t="str">
        <f>_xlfn.CONCAT(Paper_Reference[[#This Row],[Lvl]:[Paper Description]])</f>
        <v>2J44B0180ASWGDIG UV AFT SHOW WW 42 7/8X145110110000020-5000Premium Inkjet MPK 9653</v>
      </c>
      <c r="J2097" s="7">
        <f>COUNTIF(Paper_Reference[Duplicate Key],Paper_Reference[[#This Row],[Duplicate Key]])</f>
        <v>1</v>
      </c>
    </row>
    <row r="2098" spans="1:10">
      <c r="A2098" s="7">
        <v>2</v>
      </c>
      <c r="B2098" s="8" t="s">
        <v>123</v>
      </c>
      <c r="C2098" s="8" t="s">
        <v>124</v>
      </c>
      <c r="D2098" s="7">
        <v>1</v>
      </c>
      <c r="E2098" s="7">
        <v>10</v>
      </c>
      <c r="F2098" s="7">
        <v>0.25</v>
      </c>
      <c r="G2098" s="8" t="s">
        <v>2144</v>
      </c>
      <c r="H2098" s="8" t="s">
        <v>1242</v>
      </c>
      <c r="I2098" s="7" t="str">
        <f>_xlfn.CONCAT(Paper_Reference[[#This Row],[Lvl]:[Paper Description]])</f>
        <v>2J44B0228AM38DIG UV WO140 NBR 13.87 X 1441100.2510000020-6200Premium Inkjet MPK 9653</v>
      </c>
      <c r="J2098" s="7">
        <f>COUNTIF(Paper_Reference[Duplicate Key],Paper_Reference[[#This Row],[Duplicate Key]])</f>
        <v>1</v>
      </c>
    </row>
    <row r="2099" spans="1:10">
      <c r="A2099" s="7">
        <v>3</v>
      </c>
      <c r="B2099" s="8" t="s">
        <v>9120</v>
      </c>
      <c r="C2099" s="8" t="s">
        <v>9064</v>
      </c>
      <c r="D2099" s="7">
        <v>1</v>
      </c>
      <c r="E2099" s="7">
        <v>10</v>
      </c>
      <c r="F2099" s="7">
        <v>1</v>
      </c>
      <c r="G2099" s="8" t="s">
        <v>219</v>
      </c>
      <c r="H2099" s="8" t="s">
        <v>427</v>
      </c>
      <c r="I2099" s="7" t="str">
        <f>_xlfn.CONCAT(Paper_Reference[[#This Row],[Lvl]:[Paper Description]])</f>
        <v>3J44I8880PM34SYN3 UV R ARROW  41.875 X 1441101100WM321-4300IQ MAPLE LANE RH</v>
      </c>
      <c r="J2099" s="7">
        <f>COUNTIF(Paper_Reference[Duplicate Key],Paper_Reference[[#This Row],[Duplicate Key]])</f>
        <v>1</v>
      </c>
    </row>
    <row r="2100" spans="1:10">
      <c r="A2100" s="7">
        <v>3</v>
      </c>
      <c r="B2100" s="8" t="s">
        <v>9008</v>
      </c>
      <c r="C2100" s="8" t="s">
        <v>8954</v>
      </c>
      <c r="D2100" s="7">
        <v>1</v>
      </c>
      <c r="E2100" s="7">
        <v>10</v>
      </c>
      <c r="F2100" s="7">
        <v>1</v>
      </c>
      <c r="G2100" s="8" t="s">
        <v>218</v>
      </c>
      <c r="H2100" s="8" t="s">
        <v>426</v>
      </c>
      <c r="I2100" s="7" t="str">
        <f>_xlfn.CONCAT(Paper_Reference[[#This Row],[Lvl]:[Paper Description]])</f>
        <v>3J44I8881PM35SYN3 UV L ARROW  41.875 X 1441101100WM311-4300IQ MAPLE LANE LH</v>
      </c>
      <c r="J2100" s="7">
        <f>COUNTIF(Paper_Reference[Duplicate Key],Paper_Reference[[#This Row],[Duplicate Key]])</f>
        <v>1</v>
      </c>
    </row>
    <row r="2101" spans="1:10">
      <c r="A2101" s="7">
        <v>3</v>
      </c>
      <c r="B2101" s="8" t="s">
        <v>5613</v>
      </c>
      <c r="C2101" s="8" t="s">
        <v>5423</v>
      </c>
      <c r="D2101" s="7">
        <v>1</v>
      </c>
      <c r="E2101" s="7">
        <v>10</v>
      </c>
      <c r="F2101" s="7">
        <v>0.5</v>
      </c>
      <c r="G2101" s="8" t="s">
        <v>5373</v>
      </c>
      <c r="H2101" s="8" t="s">
        <v>5374</v>
      </c>
      <c r="I2101" s="7" t="str">
        <f>_xlfn.CONCAT(Paper_Reference[[#This Row],[Lvl]:[Paper Description]])</f>
        <v>3J44I8925AM38WW974 CGS UV RETURN 13.87X1441100.5100WW971-6200GUN SAVOY WALNUT</v>
      </c>
      <c r="J2101" s="7">
        <f>COUNTIF(Paper_Reference[Duplicate Key],Paper_Reference[[#This Row],[Duplicate Key]])</f>
        <v>1</v>
      </c>
    </row>
    <row r="2102" spans="1:10">
      <c r="A2102" s="7">
        <v>3</v>
      </c>
      <c r="B2102" s="8" t="s">
        <v>5614</v>
      </c>
      <c r="C2102" s="8" t="s">
        <v>5424</v>
      </c>
      <c r="D2102" s="7">
        <v>1</v>
      </c>
      <c r="E2102" s="7">
        <v>10</v>
      </c>
      <c r="F2102" s="7">
        <v>1</v>
      </c>
      <c r="G2102" s="8" t="s">
        <v>5373</v>
      </c>
      <c r="H2102" s="8" t="s">
        <v>5374</v>
      </c>
      <c r="I2102" s="7" t="str">
        <f>_xlfn.CONCAT(Paper_Reference[[#This Row],[Lvl]:[Paper Description]])</f>
        <v>3J44I8925ASWGWW974 CGS UV W/WAY 42 7/8X1451101100WW971-6200GUN SAVOY WALNUT</v>
      </c>
      <c r="J2102" s="7">
        <f>COUNTIF(Paper_Reference[Duplicate Key],Paper_Reference[[#This Row],[Duplicate Key]])</f>
        <v>1</v>
      </c>
    </row>
    <row r="2103" spans="1:10">
      <c r="A2103" s="7">
        <v>3</v>
      </c>
      <c r="B2103" s="8" t="s">
        <v>9514</v>
      </c>
      <c r="C2103" s="8" t="s">
        <v>9148</v>
      </c>
      <c r="D2103" s="7">
        <v>1</v>
      </c>
      <c r="E2103" s="7">
        <v>10</v>
      </c>
      <c r="F2103" s="7">
        <v>1</v>
      </c>
      <c r="G2103" s="8" t="s">
        <v>9143</v>
      </c>
      <c r="H2103" s="8" t="s">
        <v>9144</v>
      </c>
      <c r="I2103" s="30" t="str">
        <f>_xlfn.CONCAT(Paper_Reference[[#This Row],[Lvl]:[Paper Description]])</f>
        <v>3J44I8944AM31PFA39 TEX L APP 59.641 X 1441101100PFA39-6200SINGING THE CHICAGO BLUES</v>
      </c>
      <c r="J2103" s="30">
        <f>COUNTIF(Paper_Reference[Duplicate Key],Paper_Reference[[#This Row],[Duplicate Key]])</f>
        <v>1</v>
      </c>
    </row>
    <row r="2104" spans="1:10">
      <c r="A2104" s="7">
        <v>3</v>
      </c>
      <c r="B2104" s="8" t="s">
        <v>9515</v>
      </c>
      <c r="C2104" s="8" t="s">
        <v>9154</v>
      </c>
      <c r="D2104" s="7">
        <v>1</v>
      </c>
      <c r="E2104" s="7">
        <v>10</v>
      </c>
      <c r="F2104" s="7">
        <v>1</v>
      </c>
      <c r="G2104" s="8" t="s">
        <v>9143</v>
      </c>
      <c r="H2104" s="8" t="s">
        <v>9144</v>
      </c>
      <c r="I2104" s="30" t="str">
        <f>_xlfn.CONCAT(Paper_Reference[[#This Row],[Lvl]:[Paper Description]])</f>
        <v>3J44I8945AM30PFA39 TEX R APP 59.641 X 1441101100PFA39-6200SINGING THE CHICAGO BLUES</v>
      </c>
      <c r="J2104" s="30">
        <f>COUNTIF(Paper_Reference[Duplicate Key],Paper_Reference[[#This Row],[Duplicate Key]])</f>
        <v>1</v>
      </c>
    </row>
    <row r="2105" spans="1:10">
      <c r="A2105" s="7">
        <v>3</v>
      </c>
      <c r="B2105" s="8" t="s">
        <v>9516</v>
      </c>
      <c r="C2105" s="8" t="s">
        <v>9158</v>
      </c>
      <c r="D2105" s="7">
        <v>1</v>
      </c>
      <c r="E2105" s="7">
        <v>10</v>
      </c>
      <c r="F2105" s="7">
        <v>1</v>
      </c>
      <c r="G2105" s="8" t="s">
        <v>9143</v>
      </c>
      <c r="H2105" s="8" t="s">
        <v>9144</v>
      </c>
      <c r="I2105" s="30" t="str">
        <f>_xlfn.CONCAT(Paper_Reference[[#This Row],[Lvl]:[Paper Description]])</f>
        <v>3J44I8946QM33PFA39 D/F L FOUL 59.641 X 1441101100PFA39-6200SINGING THE CHICAGO BLUES</v>
      </c>
      <c r="J2105" s="30">
        <f>COUNTIF(Paper_Reference[Duplicate Key],Paper_Reference[[#This Row],[Duplicate Key]])</f>
        <v>1</v>
      </c>
    </row>
    <row r="2106" spans="1:10">
      <c r="A2106" s="7">
        <v>3</v>
      </c>
      <c r="B2106" s="8" t="s">
        <v>9517</v>
      </c>
      <c r="C2106" s="8" t="s">
        <v>9162</v>
      </c>
      <c r="D2106" s="7">
        <v>1</v>
      </c>
      <c r="E2106" s="7">
        <v>10</v>
      </c>
      <c r="F2106" s="7">
        <v>1</v>
      </c>
      <c r="G2106" s="8" t="s">
        <v>9143</v>
      </c>
      <c r="H2106" s="8" t="s">
        <v>9144</v>
      </c>
      <c r="I2106" s="30" t="str">
        <f>_xlfn.CONCAT(Paper_Reference[[#This Row],[Lvl]:[Paper Description]])</f>
        <v>3J44I8947QM32PFA39 D/F R FOUL 59.641 X 1441101100PFA39-6200SINGING THE CHICAGO BLUES</v>
      </c>
      <c r="J2106" s="30">
        <f>COUNTIF(Paper_Reference[Duplicate Key],Paper_Reference[[#This Row],[Duplicate Key]])</f>
        <v>1</v>
      </c>
    </row>
    <row r="2107" spans="1:10">
      <c r="A2107" s="7">
        <v>3</v>
      </c>
      <c r="B2107" s="8" t="s">
        <v>9497</v>
      </c>
      <c r="C2107" s="8" t="s">
        <v>9178</v>
      </c>
      <c r="D2107" s="7">
        <v>1</v>
      </c>
      <c r="E2107" s="7">
        <v>10</v>
      </c>
      <c r="F2107" s="7">
        <v>1</v>
      </c>
      <c r="G2107" s="8" t="s">
        <v>9143</v>
      </c>
      <c r="H2107" s="8" t="s">
        <v>9144</v>
      </c>
      <c r="I2107" s="30" t="str">
        <f>_xlfn.CONCAT(Paper_Reference[[#This Row],[Lvl]:[Paper Description]])</f>
        <v>3J44I8948PM35PFA39 L ARROW 41.875 X 1441101100PFA39-6200SINGING THE CHICAGO BLUES</v>
      </c>
      <c r="J2107" s="30">
        <f>COUNTIF(Paper_Reference[Duplicate Key],Paper_Reference[[#This Row],[Duplicate Key]])</f>
        <v>1</v>
      </c>
    </row>
    <row r="2108" spans="1:10">
      <c r="A2108" s="7">
        <v>3</v>
      </c>
      <c r="B2108" s="8" t="s">
        <v>9494</v>
      </c>
      <c r="C2108" s="8" t="s">
        <v>9166</v>
      </c>
      <c r="D2108" s="7">
        <v>1</v>
      </c>
      <c r="E2108" s="7">
        <v>10</v>
      </c>
      <c r="F2108" s="7">
        <v>1</v>
      </c>
      <c r="G2108" s="8" t="s">
        <v>9143</v>
      </c>
      <c r="H2108" s="8" t="s">
        <v>9144</v>
      </c>
      <c r="I2108" s="30" t="str">
        <f>_xlfn.CONCAT(Paper_Reference[[#This Row],[Lvl]:[Paper Description]])</f>
        <v>3J44I8949PM34PFA39 R ARROW 41.875 X 1441101100PFA39-6200SINGING THE CHICAGO BLUES</v>
      </c>
      <c r="J2108" s="30">
        <f>COUNTIF(Paper_Reference[Duplicate Key],Paper_Reference[[#This Row],[Duplicate Key]])</f>
        <v>1</v>
      </c>
    </row>
    <row r="2109" spans="1:10">
      <c r="A2109" s="7">
        <v>3</v>
      </c>
      <c r="B2109" s="8" t="s">
        <v>9608</v>
      </c>
      <c r="C2109" s="8" t="s">
        <v>9382</v>
      </c>
      <c r="D2109" s="7">
        <v>1</v>
      </c>
      <c r="E2109" s="7">
        <v>10</v>
      </c>
      <c r="F2109" s="7">
        <v>0.5</v>
      </c>
      <c r="G2109" s="8" t="s">
        <v>9143</v>
      </c>
      <c r="H2109" s="8" t="s">
        <v>9144</v>
      </c>
      <c r="I2109" s="30" t="str">
        <f>_xlfn.CONCAT(Paper_Reference[[#This Row],[Lvl]:[Paper Description]])</f>
        <v>3J44I8950AM38PFA39 N BALL RET 13.87 X 1441100.5100PFA39-6200SINGING THE CHICAGO BLUES</v>
      </c>
      <c r="J2109" s="30">
        <f>COUNTIF(Paper_Reference[Duplicate Key],Paper_Reference[[#This Row],[Duplicate Key]])</f>
        <v>1</v>
      </c>
    </row>
    <row r="2110" spans="1:10">
      <c r="A2110" s="7">
        <v>3</v>
      </c>
      <c r="B2110" s="8" t="s">
        <v>9609</v>
      </c>
      <c r="C2110" s="8" t="s">
        <v>9384</v>
      </c>
      <c r="D2110" s="7">
        <v>1</v>
      </c>
      <c r="E2110" s="7">
        <v>10</v>
      </c>
      <c r="F2110" s="7">
        <v>0.5</v>
      </c>
      <c r="G2110" s="8" t="s">
        <v>9143</v>
      </c>
      <c r="H2110" s="8" t="s">
        <v>9144</v>
      </c>
      <c r="I2110" s="30" t="str">
        <f>_xlfn.CONCAT(Paper_Reference[[#This Row],[Lvl]:[Paper Description]])</f>
        <v>3J44I8950AM39PFA39 W BALL RET 14.7 X 1441100.5100PFA39-6200SINGING THE CHICAGO BLUES</v>
      </c>
      <c r="J2110" s="30">
        <f>COUNTIF(Paper_Reference[Duplicate Key],Paper_Reference[[#This Row],[Duplicate Key]])</f>
        <v>1</v>
      </c>
    </row>
    <row r="2111" spans="1:10">
      <c r="A2111" s="7">
        <v>3</v>
      </c>
      <c r="B2111" s="8" t="s">
        <v>9610</v>
      </c>
      <c r="C2111" s="8" t="s">
        <v>9386</v>
      </c>
      <c r="D2111" s="7">
        <v>1</v>
      </c>
      <c r="E2111" s="7">
        <v>10</v>
      </c>
      <c r="F2111" s="7">
        <v>1</v>
      </c>
      <c r="G2111" s="8" t="s">
        <v>9143</v>
      </c>
      <c r="H2111" s="8" t="s">
        <v>9144</v>
      </c>
      <c r="I2111" s="30" t="str">
        <f>_xlfn.CONCAT(Paper_Reference[[#This Row],[Lvl]:[Paper Description]])</f>
        <v>3J44I8950ASWGPFA39 W/WAY 42 7/8 X 145 1/41101100PFA39-6200SINGING THE CHICAGO BLUES</v>
      </c>
      <c r="J2111" s="30">
        <f>COUNTIF(Paper_Reference[Duplicate Key],Paper_Reference[[#This Row],[Duplicate Key]])</f>
        <v>1</v>
      </c>
    </row>
    <row r="2112" spans="1:10">
      <c r="A2112" s="7">
        <v>3</v>
      </c>
      <c r="B2112" s="8" t="s">
        <v>9498</v>
      </c>
      <c r="C2112" s="8" t="s">
        <v>9184</v>
      </c>
      <c r="D2112" s="7">
        <v>1</v>
      </c>
      <c r="E2112" s="7">
        <v>10</v>
      </c>
      <c r="F2112" s="7">
        <v>1</v>
      </c>
      <c r="G2112" s="8" t="s">
        <v>9143</v>
      </c>
      <c r="H2112" s="8" t="s">
        <v>9144</v>
      </c>
      <c r="I2112" s="30" t="str">
        <f>_xlfn.CONCAT(Paper_Reference[[#This Row],[Lvl]:[Paper Description]])</f>
        <v>3J44I8950PM61PFA39 L COMMON  41.875 X 1441101100PFA39-6200SINGING THE CHICAGO BLUES</v>
      </c>
      <c r="J2112" s="30">
        <f>COUNTIF(Paper_Reference[Duplicate Key],Paper_Reference[[#This Row],[Duplicate Key]])</f>
        <v>1</v>
      </c>
    </row>
    <row r="2113" spans="1:10">
      <c r="A2113" s="7">
        <v>3</v>
      </c>
      <c r="B2113" s="8" t="s">
        <v>9495</v>
      </c>
      <c r="C2113" s="8" t="s">
        <v>9172</v>
      </c>
      <c r="D2113" s="7">
        <v>1</v>
      </c>
      <c r="E2113" s="7">
        <v>10</v>
      </c>
      <c r="F2113" s="7">
        <v>1</v>
      </c>
      <c r="G2113" s="8" t="s">
        <v>9143</v>
      </c>
      <c r="H2113" s="8" t="s">
        <v>9144</v>
      </c>
      <c r="I2113" s="30" t="str">
        <f>_xlfn.CONCAT(Paper_Reference[[#This Row],[Lvl]:[Paper Description]])</f>
        <v>3J44I8951PM61PFA39 R COMMON  41.875 X 1441101100PFA39-6200SINGING THE CHICAGO BLUES</v>
      </c>
      <c r="J2113" s="30">
        <f>COUNTIF(Paper_Reference[Duplicate Key],Paper_Reference[[#This Row],[Duplicate Key]])</f>
        <v>1</v>
      </c>
    </row>
    <row r="2114" spans="1:10">
      <c r="A2114" s="7">
        <v>3</v>
      </c>
      <c r="B2114" s="8" t="s">
        <v>9499</v>
      </c>
      <c r="C2114" s="8" t="s">
        <v>9188</v>
      </c>
      <c r="D2114" s="7">
        <v>1</v>
      </c>
      <c r="E2114" s="7">
        <v>10</v>
      </c>
      <c r="F2114" s="7">
        <v>0.33329999999999999</v>
      </c>
      <c r="G2114" s="8" t="s">
        <v>9143</v>
      </c>
      <c r="H2114" s="8" t="s">
        <v>9144</v>
      </c>
      <c r="I2114" s="30" t="str">
        <f>_xlfn.CONCAT(Paper_Reference[[#This Row],[Lvl]:[Paper Description]])</f>
        <v>3J44I8952PM37PFA39 L SHORT 41.875 X 47.1251100.3333100PFA39-6200SINGING THE CHICAGO BLUES</v>
      </c>
      <c r="J2114" s="30">
        <f>COUNTIF(Paper_Reference[Duplicate Key],Paper_Reference[[#This Row],[Duplicate Key]])</f>
        <v>1</v>
      </c>
    </row>
    <row r="2115" spans="1:10">
      <c r="A2115" s="7">
        <v>3</v>
      </c>
      <c r="B2115" s="8" t="s">
        <v>9496</v>
      </c>
      <c r="C2115" s="8" t="s">
        <v>9176</v>
      </c>
      <c r="D2115" s="7">
        <v>1</v>
      </c>
      <c r="E2115" s="7">
        <v>10</v>
      </c>
      <c r="F2115" s="7">
        <v>0.33329999999999999</v>
      </c>
      <c r="G2115" s="8" t="s">
        <v>9143</v>
      </c>
      <c r="H2115" s="8" t="s">
        <v>9144</v>
      </c>
      <c r="I2115" s="30" t="str">
        <f>_xlfn.CONCAT(Paper_Reference[[#This Row],[Lvl]:[Paper Description]])</f>
        <v>3J44I8953PM36PFA39 R SHORT 41.87 5X 47.1251100.3333100PFA39-6200SINGING THE CHICAGO BLUES</v>
      </c>
      <c r="J2115" s="30">
        <f>COUNTIF(Paper_Reference[Duplicate Key],Paper_Reference[[#This Row],[Duplicate Key]])</f>
        <v>1</v>
      </c>
    </row>
    <row r="2116" spans="1:10">
      <c r="A2116" s="7">
        <v>3</v>
      </c>
      <c r="B2116" s="8" t="s">
        <v>9121</v>
      </c>
      <c r="C2116" s="8" t="s">
        <v>9065</v>
      </c>
      <c r="D2116" s="7">
        <v>1</v>
      </c>
      <c r="E2116" s="7">
        <v>10</v>
      </c>
      <c r="F2116" s="7">
        <v>1</v>
      </c>
      <c r="G2116" s="8" t="s">
        <v>219</v>
      </c>
      <c r="H2116" s="8" t="s">
        <v>427</v>
      </c>
      <c r="I2116" s="7" t="str">
        <f>_xlfn.CONCAT(Paper_Reference[[#This Row],[Lvl]:[Paper Description]])</f>
        <v>3J44I9350PM86SYN3 UV R L/O ARROW 41.875X1441101100WM321-4300IQ MAPLE LANE RH</v>
      </c>
      <c r="J2116" s="7">
        <f>COUNTIF(Paper_Reference[Duplicate Key],Paper_Reference[[#This Row],[Duplicate Key]])</f>
        <v>1</v>
      </c>
    </row>
    <row r="2117" spans="1:10">
      <c r="A2117" s="7">
        <v>3</v>
      </c>
      <c r="B2117" s="8" t="s">
        <v>9010</v>
      </c>
      <c r="C2117" s="8" t="s">
        <v>8956</v>
      </c>
      <c r="D2117" s="7">
        <v>1</v>
      </c>
      <c r="E2117" s="7">
        <v>10</v>
      </c>
      <c r="F2117" s="7">
        <v>1</v>
      </c>
      <c r="G2117" s="8" t="s">
        <v>218</v>
      </c>
      <c r="H2117" s="8" t="s">
        <v>426</v>
      </c>
      <c r="I2117" s="7" t="str">
        <f>_xlfn.CONCAT(Paper_Reference[[#This Row],[Lvl]:[Paper Description]])</f>
        <v>3J44I9351PM86SYN3 UV L L/O ARROW 41.875X1441101100WM311-4300IQ MAPLE LANE LH</v>
      </c>
      <c r="J2117" s="7">
        <f>COUNTIF(Paper_Reference[Duplicate Key],Paper_Reference[[#This Row],[Duplicate Key]])</f>
        <v>1</v>
      </c>
    </row>
    <row r="2118" spans="1:10">
      <c r="A2118" s="7">
        <v>3</v>
      </c>
      <c r="B2118" s="8" t="s">
        <v>9122</v>
      </c>
      <c r="C2118" s="8" t="s">
        <v>9066</v>
      </c>
      <c r="D2118" s="7">
        <v>1</v>
      </c>
      <c r="E2118" s="7">
        <v>10</v>
      </c>
      <c r="F2118" s="7">
        <v>1</v>
      </c>
      <c r="G2118" s="8" t="s">
        <v>219</v>
      </c>
      <c r="H2118" s="8" t="s">
        <v>427</v>
      </c>
      <c r="I2118" s="7" t="str">
        <f>_xlfn.CONCAT(Paper_Reference[[#This Row],[Lvl]:[Paper Description]])</f>
        <v>3J44I9360PM85SYN3 UV R L/O FOUL 41.875 X 141101100WM321-4300IQ MAPLE LANE RH</v>
      </c>
      <c r="J2118" s="7">
        <f>COUNTIF(Paper_Reference[Duplicate Key],Paper_Reference[[#This Row],[Duplicate Key]])</f>
        <v>1</v>
      </c>
    </row>
    <row r="2119" spans="1:10">
      <c r="A2119" s="7">
        <v>3</v>
      </c>
      <c r="B2119" s="8" t="s">
        <v>9011</v>
      </c>
      <c r="C2119" s="8" t="s">
        <v>8957</v>
      </c>
      <c r="D2119" s="7">
        <v>1</v>
      </c>
      <c r="E2119" s="7">
        <v>10</v>
      </c>
      <c r="F2119" s="7">
        <v>1</v>
      </c>
      <c r="G2119" s="8" t="s">
        <v>218</v>
      </c>
      <c r="H2119" s="8" t="s">
        <v>426</v>
      </c>
      <c r="I2119" s="7" t="str">
        <f>_xlfn.CONCAT(Paper_Reference[[#This Row],[Lvl]:[Paper Description]])</f>
        <v>3J44I9361PM85SYN3 UV L L/O FOUL 41.875 X 141101100WM311-4300IQ MAPLE LANE LH</v>
      </c>
      <c r="J2119" s="7">
        <f>COUNTIF(Paper_Reference[Duplicate Key],Paper_Reference[[#This Row],[Duplicate Key]])</f>
        <v>1</v>
      </c>
    </row>
    <row r="2120" spans="1:10">
      <c r="A2120" s="7">
        <v>3</v>
      </c>
      <c r="B2120" s="8" t="s">
        <v>9519</v>
      </c>
      <c r="C2120" s="8" t="s">
        <v>9148</v>
      </c>
      <c r="D2120" s="7">
        <v>1</v>
      </c>
      <c r="E2120" s="7">
        <v>10</v>
      </c>
      <c r="F2120" s="7">
        <v>1</v>
      </c>
      <c r="G2120" s="8" t="s">
        <v>9143</v>
      </c>
      <c r="H2120" s="8" t="s">
        <v>9144</v>
      </c>
      <c r="I2120" s="30" t="str">
        <f>_xlfn.CONCAT(Paper_Reference[[#This Row],[Lvl]:[Paper Description]])</f>
        <v>3J44I9415AM31PFA39 TEX L APP 59.641 X 1441101100PFA39-6200SINGING THE CHICAGO BLUES</v>
      </c>
      <c r="J2120" s="30">
        <f>COUNTIF(Paper_Reference[Duplicate Key],Paper_Reference[[#This Row],[Duplicate Key]])</f>
        <v>1</v>
      </c>
    </row>
    <row r="2121" spans="1:10">
      <c r="A2121" s="7">
        <v>3</v>
      </c>
      <c r="B2121" s="8" t="s">
        <v>9523</v>
      </c>
      <c r="C2121" s="8" t="s">
        <v>9154</v>
      </c>
      <c r="D2121" s="7">
        <v>1</v>
      </c>
      <c r="E2121" s="7">
        <v>10</v>
      </c>
      <c r="F2121" s="7">
        <v>1</v>
      </c>
      <c r="G2121" s="8" t="s">
        <v>9143</v>
      </c>
      <c r="H2121" s="8" t="s">
        <v>9144</v>
      </c>
      <c r="I2121" s="30" t="str">
        <f>_xlfn.CONCAT(Paper_Reference[[#This Row],[Lvl]:[Paper Description]])</f>
        <v>3J44I9416AM30PFA39 TEX R APP 59.641 X 1441101100PFA39-6200SINGING THE CHICAGO BLUES</v>
      </c>
      <c r="J2121" s="30">
        <f>COUNTIF(Paper_Reference[Duplicate Key],Paper_Reference[[#This Row],[Duplicate Key]])</f>
        <v>1</v>
      </c>
    </row>
    <row r="2122" spans="1:10">
      <c r="A2122" s="7">
        <v>3</v>
      </c>
      <c r="B2122" s="8" t="s">
        <v>9524</v>
      </c>
      <c r="C2122" s="8" t="s">
        <v>9158</v>
      </c>
      <c r="D2122" s="7">
        <v>1</v>
      </c>
      <c r="E2122" s="7">
        <v>10</v>
      </c>
      <c r="F2122" s="7">
        <v>1</v>
      </c>
      <c r="G2122" s="8" t="s">
        <v>9143</v>
      </c>
      <c r="H2122" s="8" t="s">
        <v>9144</v>
      </c>
      <c r="I2122" s="30" t="str">
        <f>_xlfn.CONCAT(Paper_Reference[[#This Row],[Lvl]:[Paper Description]])</f>
        <v>3J44I9417QM33PFA39 D/F L FOUL 59.641 X 1441101100PFA39-6200SINGING THE CHICAGO BLUES</v>
      </c>
      <c r="J2122" s="30">
        <f>COUNTIF(Paper_Reference[Duplicate Key],Paper_Reference[[#This Row],[Duplicate Key]])</f>
        <v>1</v>
      </c>
    </row>
    <row r="2123" spans="1:10">
      <c r="A2123" s="7">
        <v>3</v>
      </c>
      <c r="B2123" s="8" t="s">
        <v>9525</v>
      </c>
      <c r="C2123" s="8" t="s">
        <v>9162</v>
      </c>
      <c r="D2123" s="7">
        <v>1</v>
      </c>
      <c r="E2123" s="7">
        <v>10</v>
      </c>
      <c r="F2123" s="7">
        <v>1</v>
      </c>
      <c r="G2123" s="8" t="s">
        <v>9143</v>
      </c>
      <c r="H2123" s="8" t="s">
        <v>9144</v>
      </c>
      <c r="I2123" s="30" t="str">
        <f>_xlfn.CONCAT(Paper_Reference[[#This Row],[Lvl]:[Paper Description]])</f>
        <v>3J44I9418QM32PFA39 D/F R FOUL 59.641 X 1441101100PFA39-6200SINGING THE CHICAGO BLUES</v>
      </c>
      <c r="J2123" s="30">
        <f>COUNTIF(Paper_Reference[Duplicate Key],Paper_Reference[[#This Row],[Duplicate Key]])</f>
        <v>1</v>
      </c>
    </row>
    <row r="2124" spans="1:10">
      <c r="A2124" s="7">
        <v>3</v>
      </c>
      <c r="B2124" s="8" t="s">
        <v>9526</v>
      </c>
      <c r="C2124" s="8" t="s">
        <v>9178</v>
      </c>
      <c r="D2124" s="7">
        <v>1</v>
      </c>
      <c r="E2124" s="7">
        <v>10</v>
      </c>
      <c r="F2124" s="7">
        <v>1</v>
      </c>
      <c r="G2124" s="8" t="s">
        <v>9143</v>
      </c>
      <c r="H2124" s="8" t="s">
        <v>9144</v>
      </c>
      <c r="I2124" s="30" t="str">
        <f>_xlfn.CONCAT(Paper_Reference[[#This Row],[Lvl]:[Paper Description]])</f>
        <v>3J44I9419PM35PFA39 L ARROW 41.875 X 1441101100PFA39-6200SINGING THE CHICAGO BLUES</v>
      </c>
      <c r="J2124" s="30">
        <f>COUNTIF(Paper_Reference[Duplicate Key],Paper_Reference[[#This Row],[Duplicate Key]])</f>
        <v>1</v>
      </c>
    </row>
    <row r="2125" spans="1:10">
      <c r="A2125" s="7">
        <v>3</v>
      </c>
      <c r="B2125" s="8" t="s">
        <v>9520</v>
      </c>
      <c r="C2125" s="8" t="s">
        <v>9166</v>
      </c>
      <c r="D2125" s="7">
        <v>1</v>
      </c>
      <c r="E2125" s="7">
        <v>10</v>
      </c>
      <c r="F2125" s="7">
        <v>1</v>
      </c>
      <c r="G2125" s="8" t="s">
        <v>9143</v>
      </c>
      <c r="H2125" s="8" t="s">
        <v>9144</v>
      </c>
      <c r="I2125" s="30" t="str">
        <f>_xlfn.CONCAT(Paper_Reference[[#This Row],[Lvl]:[Paper Description]])</f>
        <v>3J44I9420PM34PFA39 R ARROW 41.875 X 1441101100PFA39-6200SINGING THE CHICAGO BLUES</v>
      </c>
      <c r="J2125" s="30">
        <f>COUNTIF(Paper_Reference[Duplicate Key],Paper_Reference[[#This Row],[Duplicate Key]])</f>
        <v>1</v>
      </c>
    </row>
    <row r="2126" spans="1:10">
      <c r="A2126" s="7">
        <v>3</v>
      </c>
      <c r="B2126" s="8" t="s">
        <v>9611</v>
      </c>
      <c r="C2126" s="8" t="s">
        <v>9388</v>
      </c>
      <c r="D2126" s="7">
        <v>1</v>
      </c>
      <c r="E2126" s="7">
        <v>10</v>
      </c>
      <c r="F2126" s="7">
        <v>0.5</v>
      </c>
      <c r="G2126" s="8" t="s">
        <v>9143</v>
      </c>
      <c r="H2126" s="8" t="s">
        <v>9144</v>
      </c>
      <c r="I2126" s="30" t="str">
        <f>_xlfn.CONCAT(Paper_Reference[[#This Row],[Lvl]:[Paper Description]])</f>
        <v>3J44I9421AM38PFA39 NAR BALL RET 13.87 X 1441100.5100PFA39-6200SINGING THE CHICAGO BLUES</v>
      </c>
      <c r="J2126" s="30">
        <f>COUNTIF(Paper_Reference[Duplicate Key],Paper_Reference[[#This Row],[Duplicate Key]])</f>
        <v>1</v>
      </c>
    </row>
    <row r="2127" spans="1:10">
      <c r="A2127" s="7">
        <v>3</v>
      </c>
      <c r="B2127" s="8" t="s">
        <v>9612</v>
      </c>
      <c r="C2127" s="8" t="s">
        <v>9384</v>
      </c>
      <c r="D2127" s="7">
        <v>1</v>
      </c>
      <c r="E2127" s="7">
        <v>10</v>
      </c>
      <c r="F2127" s="7">
        <v>0.5</v>
      </c>
      <c r="G2127" s="8" t="s">
        <v>9143</v>
      </c>
      <c r="H2127" s="8" t="s">
        <v>9144</v>
      </c>
      <c r="I2127" s="30" t="str">
        <f>_xlfn.CONCAT(Paper_Reference[[#This Row],[Lvl]:[Paper Description]])</f>
        <v>3J44I9421AM39PFA39 W BALL RET 14.7 X 1441100.5100PFA39-6200SINGING THE CHICAGO BLUES</v>
      </c>
      <c r="J2127" s="30">
        <f>COUNTIF(Paper_Reference[Duplicate Key],Paper_Reference[[#This Row],[Duplicate Key]])</f>
        <v>1</v>
      </c>
    </row>
    <row r="2128" spans="1:10">
      <c r="A2128" s="7">
        <v>3</v>
      </c>
      <c r="B2128" s="8" t="s">
        <v>9613</v>
      </c>
      <c r="C2128" s="8" t="s">
        <v>9391</v>
      </c>
      <c r="D2128" s="7">
        <v>1</v>
      </c>
      <c r="E2128" s="7">
        <v>10</v>
      </c>
      <c r="F2128" s="7">
        <v>1</v>
      </c>
      <c r="G2128" s="8" t="s">
        <v>9143</v>
      </c>
      <c r="H2128" s="8" t="s">
        <v>9144</v>
      </c>
      <c r="I2128" s="30" t="str">
        <f>_xlfn.CONCAT(Paper_Reference[[#This Row],[Lvl]:[Paper Description]])</f>
        <v>3J44I9421ASWGPFA39 W/WAY FILL 42 7/8 X 1451101100PFA39-6200SINGING THE CHICAGO BLUES</v>
      </c>
      <c r="J2128" s="30">
        <f>COUNTIF(Paper_Reference[Duplicate Key],Paper_Reference[[#This Row],[Duplicate Key]])</f>
        <v>1</v>
      </c>
    </row>
    <row r="2129" spans="1:10">
      <c r="A2129" s="7">
        <v>3</v>
      </c>
      <c r="B2129" s="8" t="s">
        <v>9527</v>
      </c>
      <c r="C2129" s="8" t="s">
        <v>9184</v>
      </c>
      <c r="D2129" s="7">
        <v>1</v>
      </c>
      <c r="E2129" s="7">
        <v>10</v>
      </c>
      <c r="F2129" s="7">
        <v>1</v>
      </c>
      <c r="G2129" s="8" t="s">
        <v>9143</v>
      </c>
      <c r="H2129" s="8" t="s">
        <v>9144</v>
      </c>
      <c r="I2129" s="30" t="str">
        <f>_xlfn.CONCAT(Paper_Reference[[#This Row],[Lvl]:[Paper Description]])</f>
        <v>3J44I9421PM61PFA39 L COMMON  41.875 X 1441101100PFA39-6200SINGING THE CHICAGO BLUES</v>
      </c>
      <c r="J2129" s="30">
        <f>COUNTIF(Paper_Reference[Duplicate Key],Paper_Reference[[#This Row],[Duplicate Key]])</f>
        <v>1</v>
      </c>
    </row>
    <row r="2130" spans="1:10">
      <c r="A2130" s="7">
        <v>3</v>
      </c>
      <c r="B2130" s="8" t="s">
        <v>9521</v>
      </c>
      <c r="C2130" s="8" t="s">
        <v>9172</v>
      </c>
      <c r="D2130" s="7">
        <v>1</v>
      </c>
      <c r="E2130" s="7">
        <v>10</v>
      </c>
      <c r="F2130" s="7">
        <v>1</v>
      </c>
      <c r="G2130" s="8" t="s">
        <v>9143</v>
      </c>
      <c r="H2130" s="8" t="s">
        <v>9144</v>
      </c>
      <c r="I2130" s="30" t="str">
        <f>_xlfn.CONCAT(Paper_Reference[[#This Row],[Lvl]:[Paper Description]])</f>
        <v>3J44I9422PM61PFA39 R COMMON  41.875 X 1441101100PFA39-6200SINGING THE CHICAGO BLUES</v>
      </c>
      <c r="J2130" s="30">
        <f>COUNTIF(Paper_Reference[Duplicate Key],Paper_Reference[[#This Row],[Duplicate Key]])</f>
        <v>1</v>
      </c>
    </row>
    <row r="2131" spans="1:10">
      <c r="A2131" s="7">
        <v>3</v>
      </c>
      <c r="B2131" s="8" t="s">
        <v>9528</v>
      </c>
      <c r="C2131" s="8" t="s">
        <v>9188</v>
      </c>
      <c r="D2131" s="7">
        <v>1</v>
      </c>
      <c r="E2131" s="7">
        <v>10</v>
      </c>
      <c r="F2131" s="7">
        <v>0.33329999999999999</v>
      </c>
      <c r="G2131" s="8" t="s">
        <v>9143</v>
      </c>
      <c r="H2131" s="8" t="s">
        <v>9144</v>
      </c>
      <c r="I2131" s="30" t="str">
        <f>_xlfn.CONCAT(Paper_Reference[[#This Row],[Lvl]:[Paper Description]])</f>
        <v>3J44I9423PM37PFA39 L SHORT 41.875 X 47.1251100.3333100PFA39-6200SINGING THE CHICAGO BLUES</v>
      </c>
      <c r="J2131" s="30">
        <f>COUNTIF(Paper_Reference[Duplicate Key],Paper_Reference[[#This Row],[Duplicate Key]])</f>
        <v>1</v>
      </c>
    </row>
    <row r="2132" spans="1:10">
      <c r="A2132" s="7">
        <v>3</v>
      </c>
      <c r="B2132" s="8" t="s">
        <v>9522</v>
      </c>
      <c r="C2132" s="8" t="s">
        <v>9176</v>
      </c>
      <c r="D2132" s="7">
        <v>1</v>
      </c>
      <c r="E2132" s="7">
        <v>10</v>
      </c>
      <c r="F2132" s="7">
        <v>0.33329999999999999</v>
      </c>
      <c r="G2132" s="8" t="s">
        <v>9143</v>
      </c>
      <c r="H2132" s="8" t="s">
        <v>9144</v>
      </c>
      <c r="I2132" s="30" t="str">
        <f>_xlfn.CONCAT(Paper_Reference[[#This Row],[Lvl]:[Paper Description]])</f>
        <v>3J44I9424PM36PFA39 R SHORT 41.87 5X 47.1251100.3333100PFA39-6200SINGING THE CHICAGO BLUES</v>
      </c>
      <c r="J2132" s="30">
        <f>COUNTIF(Paper_Reference[Duplicate Key],Paper_Reference[[#This Row],[Duplicate Key]])</f>
        <v>1</v>
      </c>
    </row>
    <row r="2133" spans="1:10">
      <c r="A2133" s="7">
        <v>2</v>
      </c>
      <c r="B2133" s="8" t="s">
        <v>2641</v>
      </c>
      <c r="C2133" s="8" t="s">
        <v>2192</v>
      </c>
      <c r="D2133" s="7">
        <v>1</v>
      </c>
      <c r="E2133" s="7">
        <v>10</v>
      </c>
      <c r="F2133" s="7">
        <v>0.25</v>
      </c>
      <c r="G2133" s="8" t="s">
        <v>2144</v>
      </c>
      <c r="H2133" s="8" t="s">
        <v>1242</v>
      </c>
      <c r="I2133" s="7" t="str">
        <f>_xlfn.CONCAT(Paper_Reference[[#This Row],[Lvl]:[Paper Description]])</f>
        <v>2J44RB746AM38DIG UV MT340 NBR 13.87 X 1441100.2510000020-6200Premium Inkjet MPK 9653</v>
      </c>
      <c r="J2133" s="7">
        <f>COUNTIF(Paper_Reference[Duplicate Key],Paper_Reference[[#This Row],[Duplicate Key]])</f>
        <v>1</v>
      </c>
    </row>
    <row r="2134" spans="1:10">
      <c r="A2134" s="7">
        <v>2</v>
      </c>
      <c r="B2134" s="8" t="s">
        <v>1802</v>
      </c>
      <c r="C2134" s="8" t="s">
        <v>1382</v>
      </c>
      <c r="D2134" s="7">
        <v>1</v>
      </c>
      <c r="E2134" s="7">
        <v>10</v>
      </c>
      <c r="F2134" s="7">
        <v>1</v>
      </c>
      <c r="G2134" s="8" t="s">
        <v>1241</v>
      </c>
      <c r="H2134" s="8" t="s">
        <v>1242</v>
      </c>
      <c r="I2134" s="7" t="str">
        <f>_xlfn.CONCAT(Paper_Reference[[#This Row],[Lvl]:[Paper Description]])</f>
        <v>2J44RB746ASWGDIG UV MT340 WW 42 7/8X145 1/4110110000020-5000Premium Inkjet MPK 9653</v>
      </c>
      <c r="J2134" s="7">
        <f>COUNTIF(Paper_Reference[Duplicate Key],Paper_Reference[[#This Row],[Duplicate Key]])</f>
        <v>1</v>
      </c>
    </row>
    <row r="2135" spans="1:10">
      <c r="A2135" s="7">
        <v>2</v>
      </c>
      <c r="B2135" s="8" t="s">
        <v>2642</v>
      </c>
      <c r="C2135" s="8" t="s">
        <v>2193</v>
      </c>
      <c r="D2135" s="7">
        <v>1</v>
      </c>
      <c r="E2135" s="7">
        <v>10</v>
      </c>
      <c r="F2135" s="7">
        <v>0.25</v>
      </c>
      <c r="G2135" s="8" t="s">
        <v>2144</v>
      </c>
      <c r="H2135" s="8" t="s">
        <v>1242</v>
      </c>
      <c r="I2135" s="7" t="str">
        <f>_xlfn.CONCAT(Paper_Reference[[#This Row],[Lvl]:[Paper Description]])</f>
        <v>2J44RB754AM38DIG UV S3023 NBR 13.87 X 1441100.2510000020-6200Premium Inkjet MPK 9653</v>
      </c>
      <c r="J2135" s="7">
        <f>COUNTIF(Paper_Reference[Duplicate Key],Paper_Reference[[#This Row],[Duplicate Key]])</f>
        <v>1</v>
      </c>
    </row>
    <row r="2136" spans="1:10">
      <c r="A2136" s="7">
        <v>2</v>
      </c>
      <c r="B2136" s="8" t="s">
        <v>2643</v>
      </c>
      <c r="C2136" s="8" t="s">
        <v>2194</v>
      </c>
      <c r="D2136" s="7">
        <v>1</v>
      </c>
      <c r="E2136" s="7">
        <v>10</v>
      </c>
      <c r="F2136" s="7">
        <v>0.25</v>
      </c>
      <c r="G2136" s="8" t="s">
        <v>2144</v>
      </c>
      <c r="H2136" s="8" t="s">
        <v>1242</v>
      </c>
      <c r="I2136" s="7" t="str">
        <f>_xlfn.CONCAT(Paper_Reference[[#This Row],[Lvl]:[Paper Description]])</f>
        <v>2J44RB760AM38DIG UV WC200 NBR 13.87 X 1441100.2510000020-6200Premium Inkjet MPK 9653</v>
      </c>
      <c r="J2136" s="7">
        <f>COUNTIF(Paper_Reference[Duplicate Key],Paper_Reference[[#This Row],[Duplicate Key]])</f>
        <v>1</v>
      </c>
    </row>
    <row r="2137" spans="1:10">
      <c r="A2137" s="7">
        <v>2</v>
      </c>
      <c r="B2137" s="8" t="s">
        <v>1803</v>
      </c>
      <c r="C2137" s="8" t="s">
        <v>1383</v>
      </c>
      <c r="D2137" s="7">
        <v>1</v>
      </c>
      <c r="E2137" s="7">
        <v>10</v>
      </c>
      <c r="F2137" s="7">
        <v>1</v>
      </c>
      <c r="G2137" s="8" t="s">
        <v>1241</v>
      </c>
      <c r="H2137" s="8" t="s">
        <v>1242</v>
      </c>
      <c r="I2137" s="7" t="str">
        <f>_xlfn.CONCAT(Paper_Reference[[#This Row],[Lvl]:[Paper Description]])</f>
        <v>2J44RB760ASWGDIG UV WC200 WW 42 7/8X145 1/4110110000020-5000Premium Inkjet MPK 9653</v>
      </c>
      <c r="J2137" s="7">
        <f>COUNTIF(Paper_Reference[Duplicate Key],Paper_Reference[[#This Row],[Duplicate Key]])</f>
        <v>1</v>
      </c>
    </row>
    <row r="2138" spans="1:10">
      <c r="A2138" s="7">
        <v>2</v>
      </c>
      <c r="B2138" s="8" t="s">
        <v>2644</v>
      </c>
      <c r="C2138" s="8" t="s">
        <v>2195</v>
      </c>
      <c r="D2138" s="7">
        <v>1</v>
      </c>
      <c r="E2138" s="7">
        <v>10</v>
      </c>
      <c r="F2138" s="7">
        <v>0.25</v>
      </c>
      <c r="G2138" s="8" t="s">
        <v>2144</v>
      </c>
      <c r="H2138" s="8" t="s">
        <v>1242</v>
      </c>
      <c r="I2138" s="7" t="str">
        <f>_xlfn.CONCAT(Paper_Reference[[#This Row],[Lvl]:[Paper Description]])</f>
        <v>2J44RB764AM38DIG UV MW580 NBR 13.87 X 1441100.2510000020-6200Premium Inkjet MPK 9653</v>
      </c>
      <c r="J2138" s="7">
        <f>COUNTIF(Paper_Reference[Duplicate Key],Paper_Reference[[#This Row],[Duplicate Key]])</f>
        <v>1</v>
      </c>
    </row>
    <row r="2139" spans="1:10">
      <c r="A2139" s="7">
        <v>2</v>
      </c>
      <c r="B2139" s="8" t="s">
        <v>1804</v>
      </c>
      <c r="C2139" s="8" t="s">
        <v>1384</v>
      </c>
      <c r="D2139" s="7">
        <v>1</v>
      </c>
      <c r="E2139" s="7">
        <v>10</v>
      </c>
      <c r="F2139" s="7">
        <v>1</v>
      </c>
      <c r="G2139" s="8" t="s">
        <v>1241</v>
      </c>
      <c r="H2139" s="8" t="s">
        <v>1242</v>
      </c>
      <c r="I2139" s="7" t="str">
        <f>_xlfn.CONCAT(Paper_Reference[[#This Row],[Lvl]:[Paper Description]])</f>
        <v>2J44RB764ASWGDIG UV MW580 WW 42 7/8X145 1/4110110000020-5000Premium Inkjet MPK 9653</v>
      </c>
      <c r="J2139" s="7">
        <f>COUNTIF(Paper_Reference[Duplicate Key],Paper_Reference[[#This Row],[Duplicate Key]])</f>
        <v>1</v>
      </c>
    </row>
    <row r="2140" spans="1:10">
      <c r="A2140" s="7">
        <v>2</v>
      </c>
      <c r="B2140" s="8" t="s">
        <v>2645</v>
      </c>
      <c r="C2140" s="8" t="s">
        <v>2196</v>
      </c>
      <c r="D2140" s="7">
        <v>1</v>
      </c>
      <c r="E2140" s="7">
        <v>10</v>
      </c>
      <c r="F2140" s="7">
        <v>0.25</v>
      </c>
      <c r="G2140" s="8" t="s">
        <v>2144</v>
      </c>
      <c r="H2140" s="8" t="s">
        <v>1242</v>
      </c>
      <c r="I2140" s="7" t="str">
        <f>_xlfn.CONCAT(Paper_Reference[[#This Row],[Lvl]:[Paper Description]])</f>
        <v>2J44RB770AM38DIG UV WF013 NBR 13.87 X 1441100.2510000020-6200Premium Inkjet MPK 9653</v>
      </c>
      <c r="J2140" s="7">
        <f>COUNTIF(Paper_Reference[Duplicate Key],Paper_Reference[[#This Row],[Duplicate Key]])</f>
        <v>1</v>
      </c>
    </row>
    <row r="2141" spans="1:10">
      <c r="A2141" s="7">
        <v>2</v>
      </c>
      <c r="B2141" s="8" t="s">
        <v>1805</v>
      </c>
      <c r="C2141" s="8" t="s">
        <v>1385</v>
      </c>
      <c r="D2141" s="7">
        <v>1</v>
      </c>
      <c r="E2141" s="7">
        <v>10</v>
      </c>
      <c r="F2141" s="7">
        <v>1</v>
      </c>
      <c r="G2141" s="8" t="s">
        <v>1241</v>
      </c>
      <c r="H2141" s="8" t="s">
        <v>1242</v>
      </c>
      <c r="I2141" s="7" t="str">
        <f>_xlfn.CONCAT(Paper_Reference[[#This Row],[Lvl]:[Paper Description]])</f>
        <v>2J44RB770ASWGDIG UV WF013 WW 42 7/8X145 1/4110110000020-5000Premium Inkjet MPK 9653</v>
      </c>
      <c r="J2141" s="7">
        <f>COUNTIF(Paper_Reference[Duplicate Key],Paper_Reference[[#This Row],[Duplicate Key]])</f>
        <v>1</v>
      </c>
    </row>
    <row r="2142" spans="1:10">
      <c r="A2142" s="7">
        <v>2</v>
      </c>
      <c r="B2142" s="8" t="s">
        <v>2646</v>
      </c>
      <c r="C2142" s="8" t="s">
        <v>2197</v>
      </c>
      <c r="D2142" s="7">
        <v>1</v>
      </c>
      <c r="E2142" s="7">
        <v>10</v>
      </c>
      <c r="F2142" s="7">
        <v>0.25</v>
      </c>
      <c r="G2142" s="8" t="s">
        <v>2144</v>
      </c>
      <c r="H2142" s="8" t="s">
        <v>1242</v>
      </c>
      <c r="I2142" s="7" t="str">
        <f>_xlfn.CONCAT(Paper_Reference[[#This Row],[Lvl]:[Paper Description]])</f>
        <v>2J44RB790AM38DIG UV WY160 AC NBR 13.87 X 141100.2510000020-6200Premium Inkjet MPK 9653</v>
      </c>
      <c r="J2142" s="7">
        <f>COUNTIF(Paper_Reference[Duplicate Key],Paper_Reference[[#This Row],[Duplicate Key]])</f>
        <v>1</v>
      </c>
    </row>
    <row r="2143" spans="1:10">
      <c r="A2143" s="7">
        <v>2</v>
      </c>
      <c r="B2143" s="8" t="s">
        <v>2647</v>
      </c>
      <c r="C2143" s="8" t="s">
        <v>2198</v>
      </c>
      <c r="D2143" s="7">
        <v>1</v>
      </c>
      <c r="E2143" s="7">
        <v>10</v>
      </c>
      <c r="F2143" s="7">
        <v>0.25</v>
      </c>
      <c r="G2143" s="8" t="s">
        <v>2144</v>
      </c>
      <c r="H2143" s="8" t="s">
        <v>1242</v>
      </c>
      <c r="I2143" s="7" t="str">
        <f>_xlfn.CONCAT(Paper_Reference[[#This Row],[Lvl]:[Paper Description]])</f>
        <v>2J44RB796AM38DIG UV WA090 NBR 13.87 X 1441100.2510000020-6200Premium Inkjet MPK 9653</v>
      </c>
      <c r="J2143" s="7">
        <f>COUNTIF(Paper_Reference[Duplicate Key],Paper_Reference[[#This Row],[Duplicate Key]])</f>
        <v>1</v>
      </c>
    </row>
    <row r="2144" spans="1:10">
      <c r="A2144" s="7">
        <v>2</v>
      </c>
      <c r="B2144" s="8" t="s">
        <v>1806</v>
      </c>
      <c r="C2144" s="8" t="s">
        <v>1386</v>
      </c>
      <c r="D2144" s="7">
        <v>1</v>
      </c>
      <c r="E2144" s="7">
        <v>10</v>
      </c>
      <c r="F2144" s="7">
        <v>1</v>
      </c>
      <c r="G2144" s="8" t="s">
        <v>1241</v>
      </c>
      <c r="H2144" s="8" t="s">
        <v>1242</v>
      </c>
      <c r="I2144" s="7" t="str">
        <f>_xlfn.CONCAT(Paper_Reference[[#This Row],[Lvl]:[Paper Description]])</f>
        <v>2J44RB796ASWGDIG UV WA090 WW 42 7/8X145 1/4110110000020-5000Premium Inkjet MPK 9653</v>
      </c>
      <c r="J2144" s="7">
        <f>COUNTIF(Paper_Reference[Duplicate Key],Paper_Reference[[#This Row],[Duplicate Key]])</f>
        <v>1</v>
      </c>
    </row>
    <row r="2145" spans="1:10">
      <c r="A2145" s="7">
        <v>2</v>
      </c>
      <c r="B2145" s="8" t="s">
        <v>2648</v>
      </c>
      <c r="C2145" s="8" t="s">
        <v>2199</v>
      </c>
      <c r="D2145" s="7">
        <v>1</v>
      </c>
      <c r="E2145" s="7">
        <v>10</v>
      </c>
      <c r="F2145" s="7">
        <v>0.25</v>
      </c>
      <c r="G2145" s="8" t="s">
        <v>2144</v>
      </c>
      <c r="H2145" s="8" t="s">
        <v>1242</v>
      </c>
      <c r="I2145" s="7" t="str">
        <f>_xlfn.CONCAT(Paper_Reference[[#This Row],[Lvl]:[Paper Description]])</f>
        <v>2J44RB809AM38DIG UV FREGAT NBR 13.87 X 1441100.2510000020-6200Premium Inkjet MPK 9653</v>
      </c>
      <c r="J2145" s="7">
        <f>COUNTIF(Paper_Reference[Duplicate Key],Paper_Reference[[#This Row],[Duplicate Key]])</f>
        <v>1</v>
      </c>
    </row>
    <row r="2146" spans="1:10">
      <c r="A2146" s="7">
        <v>2</v>
      </c>
      <c r="B2146" s="8" t="s">
        <v>1807</v>
      </c>
      <c r="C2146" s="8" t="s">
        <v>1387</v>
      </c>
      <c r="D2146" s="7">
        <v>1</v>
      </c>
      <c r="E2146" s="7">
        <v>10</v>
      </c>
      <c r="F2146" s="7">
        <v>0.25</v>
      </c>
      <c r="G2146" s="8" t="s">
        <v>1241</v>
      </c>
      <c r="H2146" s="8" t="s">
        <v>1242</v>
      </c>
      <c r="I2146" s="7" t="str">
        <f>_xlfn.CONCAT(Paper_Reference[[#This Row],[Lvl]:[Paper Description]])</f>
        <v>2J44RB810AB22DIG UV FREGAT S NBR 13.87X721100.2510000020-5000Premium Inkjet MPK 9653</v>
      </c>
      <c r="J2146" s="7">
        <f>COUNTIF(Paper_Reference[Duplicate Key],Paper_Reference[[#This Row],[Duplicate Key]])</f>
        <v>1</v>
      </c>
    </row>
    <row r="2147" spans="1:10">
      <c r="A2147" s="7">
        <v>2</v>
      </c>
      <c r="B2147" s="8" t="s">
        <v>2649</v>
      </c>
      <c r="C2147" s="8" t="s">
        <v>2200</v>
      </c>
      <c r="D2147" s="7">
        <v>1</v>
      </c>
      <c r="E2147" s="7">
        <v>10</v>
      </c>
      <c r="F2147" s="7">
        <v>0.25</v>
      </c>
      <c r="G2147" s="8" t="s">
        <v>2144</v>
      </c>
      <c r="H2147" s="8" t="s">
        <v>1242</v>
      </c>
      <c r="I2147" s="7" t="str">
        <f>_xlfn.CONCAT(Paper_Reference[[#This Row],[Lvl]:[Paper Description]])</f>
        <v>2J44RB816AM38DIG UV WF131 NBR 13.87 X 1441100.2510000020-6200Premium Inkjet MPK 9653</v>
      </c>
      <c r="J2147" s="7">
        <f>COUNTIF(Paper_Reference[Duplicate Key],Paper_Reference[[#This Row],[Duplicate Key]])</f>
        <v>1</v>
      </c>
    </row>
    <row r="2148" spans="1:10">
      <c r="A2148" s="7">
        <v>2</v>
      </c>
      <c r="B2148" s="8" t="s">
        <v>1808</v>
      </c>
      <c r="C2148" s="8" t="s">
        <v>1388</v>
      </c>
      <c r="D2148" s="7">
        <v>1</v>
      </c>
      <c r="E2148" s="7">
        <v>10</v>
      </c>
      <c r="F2148" s="7">
        <v>1</v>
      </c>
      <c r="G2148" s="8" t="s">
        <v>1241</v>
      </c>
      <c r="H2148" s="8" t="s">
        <v>1242</v>
      </c>
      <c r="I2148" s="7" t="str">
        <f>_xlfn.CONCAT(Paper_Reference[[#This Row],[Lvl]:[Paper Description]])</f>
        <v>2J44RB816ASWGDIG UV WF131 WW 42 7/8X145 1/4110110000020-5000Premium Inkjet MPK 9653</v>
      </c>
      <c r="J2148" s="7">
        <f>COUNTIF(Paper_Reference[Duplicate Key],Paper_Reference[[#This Row],[Duplicate Key]])</f>
        <v>1</v>
      </c>
    </row>
    <row r="2149" spans="1:10">
      <c r="A2149" s="7">
        <v>2</v>
      </c>
      <c r="B2149" s="8" t="s">
        <v>2650</v>
      </c>
      <c r="C2149" s="8" t="s">
        <v>2201</v>
      </c>
      <c r="D2149" s="7">
        <v>1</v>
      </c>
      <c r="E2149" s="7">
        <v>10</v>
      </c>
      <c r="F2149" s="7">
        <v>0.25</v>
      </c>
      <c r="G2149" s="8" t="s">
        <v>2144</v>
      </c>
      <c r="H2149" s="8" t="s">
        <v>1242</v>
      </c>
      <c r="I2149" s="7" t="str">
        <f>_xlfn.CONCAT(Paper_Reference[[#This Row],[Lvl]:[Paper Description]])</f>
        <v>2J44RB822AM38DIG UV WF131 GRAY NBR 13.87X141100.2510000020-6200Premium Inkjet MPK 9653</v>
      </c>
      <c r="J2149" s="7">
        <f>COUNTIF(Paper_Reference[Duplicate Key],Paper_Reference[[#This Row],[Duplicate Key]])</f>
        <v>1</v>
      </c>
    </row>
    <row r="2150" spans="1:10">
      <c r="A2150" s="7">
        <v>2</v>
      </c>
      <c r="B2150" s="8" t="s">
        <v>2651</v>
      </c>
      <c r="C2150" s="8" t="s">
        <v>2202</v>
      </c>
      <c r="D2150" s="7">
        <v>1</v>
      </c>
      <c r="E2150" s="7">
        <v>10</v>
      </c>
      <c r="F2150" s="7">
        <v>0.25</v>
      </c>
      <c r="G2150" s="8" t="s">
        <v>2144</v>
      </c>
      <c r="H2150" s="8" t="s">
        <v>1242</v>
      </c>
      <c r="I2150" s="7" t="str">
        <f>_xlfn.CONCAT(Paper_Reference[[#This Row],[Lvl]:[Paper Description]])</f>
        <v>2J44RB828AM38DIG UV WM221 NBR 13.87X1441100.2510000020-6200Premium Inkjet MPK 9653</v>
      </c>
      <c r="J2150" s="7">
        <f>COUNTIF(Paper_Reference[Duplicate Key],Paper_Reference[[#This Row],[Duplicate Key]])</f>
        <v>1</v>
      </c>
    </row>
    <row r="2151" spans="1:10">
      <c r="A2151" s="7">
        <v>2</v>
      </c>
      <c r="B2151" s="8" t="s">
        <v>2652</v>
      </c>
      <c r="C2151" s="8" t="s">
        <v>2203</v>
      </c>
      <c r="D2151" s="7">
        <v>1</v>
      </c>
      <c r="E2151" s="7">
        <v>10</v>
      </c>
      <c r="F2151" s="7">
        <v>0.25</v>
      </c>
      <c r="G2151" s="8" t="s">
        <v>2144</v>
      </c>
      <c r="H2151" s="8" t="s">
        <v>1242</v>
      </c>
      <c r="I2151" s="7" t="str">
        <f>_xlfn.CONCAT(Paper_Reference[[#This Row],[Lvl]:[Paper Description]])</f>
        <v>2J44RB834AM38DIG UV WO710 NBR 13.87 X 1441100.2510000020-6200Premium Inkjet MPK 9653</v>
      </c>
      <c r="J2151" s="7">
        <f>COUNTIF(Paper_Reference[Duplicate Key],Paper_Reference[[#This Row],[Duplicate Key]])</f>
        <v>1</v>
      </c>
    </row>
    <row r="2152" spans="1:10">
      <c r="A2152" s="7">
        <v>2</v>
      </c>
      <c r="B2152" s="8" t="s">
        <v>2653</v>
      </c>
      <c r="C2152" s="8" t="s">
        <v>2204</v>
      </c>
      <c r="D2152" s="7">
        <v>1</v>
      </c>
      <c r="E2152" s="7">
        <v>10</v>
      </c>
      <c r="F2152" s="7">
        <v>0.25</v>
      </c>
      <c r="G2152" s="8" t="s">
        <v>2144</v>
      </c>
      <c r="H2152" s="8" t="s">
        <v>1242</v>
      </c>
      <c r="I2152" s="7" t="str">
        <f>_xlfn.CONCAT(Paper_Reference[[#This Row],[Lvl]:[Paper Description]])</f>
        <v>2J44RB861AM38DIG UV WO004 NBR 13.87 X 1441100.2510000020-6200Premium Inkjet MPK 9653</v>
      </c>
      <c r="J2152" s="7">
        <f>COUNTIF(Paper_Reference[Duplicate Key],Paper_Reference[[#This Row],[Duplicate Key]])</f>
        <v>1</v>
      </c>
    </row>
    <row r="2153" spans="1:10">
      <c r="A2153" s="7">
        <v>2</v>
      </c>
      <c r="B2153" s="8" t="s">
        <v>127</v>
      </c>
      <c r="C2153" s="8" t="s">
        <v>128</v>
      </c>
      <c r="D2153" s="7">
        <v>1</v>
      </c>
      <c r="E2153" s="7">
        <v>10</v>
      </c>
      <c r="F2153" s="7">
        <v>0.25</v>
      </c>
      <c r="G2153" s="8" t="s">
        <v>2144</v>
      </c>
      <c r="H2153" s="8" t="s">
        <v>1242</v>
      </c>
      <c r="I2153" s="7" t="str">
        <f>_xlfn.CONCAT(Paper_Reference[[#This Row],[Lvl]:[Paper Description]])</f>
        <v>2J44RB867AM38DIG UV WX421 NBR 13.87 X 1441100.2510000020-6200Premium Inkjet MPK 9653</v>
      </c>
      <c r="J2153" s="7">
        <f>COUNTIF(Paper_Reference[Duplicate Key],Paper_Reference[[#This Row],[Duplicate Key]])</f>
        <v>1</v>
      </c>
    </row>
    <row r="2154" spans="1:10">
      <c r="A2154" s="7">
        <v>2</v>
      </c>
      <c r="B2154" s="8" t="s">
        <v>1809</v>
      </c>
      <c r="C2154" s="8" t="s">
        <v>1389</v>
      </c>
      <c r="D2154" s="7">
        <v>1</v>
      </c>
      <c r="E2154" s="7">
        <v>10</v>
      </c>
      <c r="F2154" s="7">
        <v>1</v>
      </c>
      <c r="G2154" s="8" t="s">
        <v>1241</v>
      </c>
      <c r="H2154" s="8" t="s">
        <v>1242</v>
      </c>
      <c r="I2154" s="7" t="str">
        <f>_xlfn.CONCAT(Paper_Reference[[#This Row],[Lvl]:[Paper Description]])</f>
        <v>2J44RB867ASWGDIG UV WX421 WW 42 7/8X145 1/4110110000020-5000Premium Inkjet MPK 9653</v>
      </c>
      <c r="J2154" s="7">
        <f>COUNTIF(Paper_Reference[Duplicate Key],Paper_Reference[[#This Row],[Duplicate Key]])</f>
        <v>1</v>
      </c>
    </row>
    <row r="2155" spans="1:10">
      <c r="A2155" s="7">
        <v>2</v>
      </c>
      <c r="B2155" s="8" t="s">
        <v>2654</v>
      </c>
      <c r="C2155" s="8" t="s">
        <v>2205</v>
      </c>
      <c r="D2155" s="7">
        <v>1</v>
      </c>
      <c r="E2155" s="7">
        <v>10</v>
      </c>
      <c r="F2155" s="7">
        <v>0.25</v>
      </c>
      <c r="G2155" s="8" t="s">
        <v>2144</v>
      </c>
      <c r="H2155" s="8" t="s">
        <v>1242</v>
      </c>
      <c r="I2155" s="7" t="str">
        <f>_xlfn.CONCAT(Paper_Reference[[#This Row],[Lvl]:[Paper Description]])</f>
        <v>2J44RB875AM38DIG UV WZ053 ZULU NBR 13.87X141100.2510000020-6200Premium Inkjet MPK 9653</v>
      </c>
      <c r="J2155" s="7">
        <f>COUNTIF(Paper_Reference[Duplicate Key],Paper_Reference[[#This Row],[Duplicate Key]])</f>
        <v>1</v>
      </c>
    </row>
    <row r="2156" spans="1:10">
      <c r="A2156" s="7">
        <v>2</v>
      </c>
      <c r="B2156" s="8" t="s">
        <v>1810</v>
      </c>
      <c r="C2156" s="8" t="s">
        <v>1390</v>
      </c>
      <c r="D2156" s="7">
        <v>1</v>
      </c>
      <c r="E2156" s="7">
        <v>10</v>
      </c>
      <c r="F2156" s="7">
        <v>1</v>
      </c>
      <c r="G2156" s="8" t="s">
        <v>1241</v>
      </c>
      <c r="H2156" s="8" t="s">
        <v>1242</v>
      </c>
      <c r="I2156" s="7" t="str">
        <f>_xlfn.CONCAT(Paper_Reference[[#This Row],[Lvl]:[Paper Description]])</f>
        <v>2J44RB875ASWGDIG UV WZ053 WW 42 7/8X145 1/4110110000020-5000Premium Inkjet MPK 9653</v>
      </c>
      <c r="J2156" s="7">
        <f>COUNTIF(Paper_Reference[Duplicate Key],Paper_Reference[[#This Row],[Duplicate Key]])</f>
        <v>1</v>
      </c>
    </row>
    <row r="2157" spans="1:10">
      <c r="A2157" s="7">
        <v>2</v>
      </c>
      <c r="B2157" s="8" t="s">
        <v>2655</v>
      </c>
      <c r="C2157" s="8" t="s">
        <v>2206</v>
      </c>
      <c r="D2157" s="7">
        <v>1</v>
      </c>
      <c r="E2157" s="7">
        <v>10</v>
      </c>
      <c r="F2157" s="7">
        <v>0.25</v>
      </c>
      <c r="G2157" s="8" t="s">
        <v>2144</v>
      </c>
      <c r="H2157" s="8" t="s">
        <v>1242</v>
      </c>
      <c r="I2157" s="7" t="str">
        <f>_xlfn.CONCAT(Paper_Reference[[#This Row],[Lvl]:[Paper Description]])</f>
        <v>2J44RB890AM38DIG UV WF011 NBR 13.87 X 1441100.2510000020-6200Premium Inkjet MPK 9653</v>
      </c>
      <c r="J2157" s="7">
        <f>COUNTIF(Paper_Reference[Duplicate Key],Paper_Reference[[#This Row],[Duplicate Key]])</f>
        <v>1</v>
      </c>
    </row>
    <row r="2158" spans="1:10">
      <c r="A2158" s="7">
        <v>2</v>
      </c>
      <c r="B2158" s="8" t="s">
        <v>113</v>
      </c>
      <c r="C2158" s="8" t="s">
        <v>114</v>
      </c>
      <c r="D2158" s="7">
        <v>1</v>
      </c>
      <c r="E2158" s="7">
        <v>10</v>
      </c>
      <c r="F2158" s="7">
        <v>0.25</v>
      </c>
      <c r="G2158" s="8" t="s">
        <v>2144</v>
      </c>
      <c r="H2158" s="8" t="s">
        <v>1242</v>
      </c>
      <c r="I2158" s="7" t="str">
        <f>_xlfn.CONCAT(Paper_Reference[[#This Row],[Lvl]:[Paper Description]])</f>
        <v>2J44RB905AM38DIG UV WW960 MMW NBR 13.87X1441100.2510000020-6200Premium Inkjet MPK 9653</v>
      </c>
      <c r="J2158" s="7">
        <f>COUNTIF(Paper_Reference[Duplicate Key],Paper_Reference[[#This Row],[Duplicate Key]])</f>
        <v>1</v>
      </c>
    </row>
    <row r="2159" spans="1:10">
      <c r="A2159" s="7">
        <v>2</v>
      </c>
      <c r="B2159" s="8" t="s">
        <v>2656</v>
      </c>
      <c r="C2159" s="8" t="s">
        <v>2207</v>
      </c>
      <c r="D2159" s="7">
        <v>1</v>
      </c>
      <c r="E2159" s="7">
        <v>10</v>
      </c>
      <c r="F2159" s="7">
        <v>0.25</v>
      </c>
      <c r="G2159" s="8" t="s">
        <v>2144</v>
      </c>
      <c r="H2159" s="8" t="s">
        <v>1242</v>
      </c>
      <c r="I2159" s="7" t="str">
        <f>_xlfn.CONCAT(Paper_Reference[[#This Row],[Lvl]:[Paper Description]])</f>
        <v>2J44RB917AM38DIG UV WE360 AP NBR 13.87X1441100.2510000020-6200Premium Inkjet MPK 9653</v>
      </c>
      <c r="J2159" s="7">
        <f>COUNTIF(Paper_Reference[Duplicate Key],Paper_Reference[[#This Row],[Duplicate Key]])</f>
        <v>1</v>
      </c>
    </row>
    <row r="2160" spans="1:10">
      <c r="A2160" s="7">
        <v>2</v>
      </c>
      <c r="B2160" s="8" t="s">
        <v>2657</v>
      </c>
      <c r="C2160" s="8" t="s">
        <v>2208</v>
      </c>
      <c r="D2160" s="7">
        <v>1</v>
      </c>
      <c r="E2160" s="7">
        <v>10</v>
      </c>
      <c r="F2160" s="7">
        <v>0.25</v>
      </c>
      <c r="G2160" s="8" t="s">
        <v>2144</v>
      </c>
      <c r="H2160" s="8" t="s">
        <v>1242</v>
      </c>
      <c r="I2160" s="7" t="str">
        <f>_xlfn.CONCAT(Paper_Reference[[#This Row],[Lvl]:[Paper Description]])</f>
        <v>2J44RB938AM38DIG UV HORIZON NBR 13.87X1441100.2510000020-6200Premium Inkjet MPK 9653</v>
      </c>
      <c r="J2160" s="7">
        <f>COUNTIF(Paper_Reference[Duplicate Key],Paper_Reference[[#This Row],[Duplicate Key]])</f>
        <v>1</v>
      </c>
    </row>
    <row r="2161" spans="1:10">
      <c r="A2161" s="7">
        <v>2</v>
      </c>
      <c r="B2161" s="8" t="s">
        <v>2658</v>
      </c>
      <c r="C2161" s="8" t="s">
        <v>2209</v>
      </c>
      <c r="D2161" s="7">
        <v>1</v>
      </c>
      <c r="E2161" s="7">
        <v>10</v>
      </c>
      <c r="F2161" s="7">
        <v>0.25</v>
      </c>
      <c r="G2161" s="8" t="s">
        <v>2144</v>
      </c>
      <c r="H2161" s="8" t="s">
        <v>1242</v>
      </c>
      <c r="I2161" s="7" t="str">
        <f>_xlfn.CONCAT(Paper_Reference[[#This Row],[Lvl]:[Paper Description]])</f>
        <v>2J44RB945AM38DIG UV WT790 WC NBR 13.87X1441100.2510000020-6200Premium Inkjet MPK 9653</v>
      </c>
      <c r="J2161" s="7">
        <f>COUNTIF(Paper_Reference[Duplicate Key],Paper_Reference[[#This Row],[Duplicate Key]])</f>
        <v>1</v>
      </c>
    </row>
    <row r="2162" spans="1:10">
      <c r="A2162" s="7">
        <v>2</v>
      </c>
      <c r="B2162" s="8" t="s">
        <v>1811</v>
      </c>
      <c r="C2162" s="8" t="s">
        <v>1391</v>
      </c>
      <c r="D2162" s="7">
        <v>1</v>
      </c>
      <c r="E2162" s="7">
        <v>10</v>
      </c>
      <c r="F2162" s="7">
        <v>1</v>
      </c>
      <c r="G2162" s="8" t="s">
        <v>1241</v>
      </c>
      <c r="H2162" s="8" t="s">
        <v>1242</v>
      </c>
      <c r="I2162" s="7" t="str">
        <f>_xlfn.CONCAT(Paper_Reference[[#This Row],[Lvl]:[Paper Description]])</f>
        <v>2J44RB945ASWGDIG UV WT790  WW 42 7/8X145 1/110110000020-5000Premium Inkjet MPK 9653</v>
      </c>
      <c r="J2162" s="7">
        <f>COUNTIF(Paper_Reference[Duplicate Key],Paper_Reference[[#This Row],[Duplicate Key]])</f>
        <v>1</v>
      </c>
    </row>
    <row r="2163" spans="1:10">
      <c r="A2163" s="7">
        <v>3</v>
      </c>
      <c r="B2163" s="8" t="s">
        <v>9017</v>
      </c>
      <c r="C2163" s="8" t="s">
        <v>8963</v>
      </c>
      <c r="D2163" s="7">
        <v>1</v>
      </c>
      <c r="E2163" s="7">
        <v>10</v>
      </c>
      <c r="F2163" s="7">
        <v>1</v>
      </c>
      <c r="G2163" s="8" t="s">
        <v>218</v>
      </c>
      <c r="H2163" s="8" t="s">
        <v>426</v>
      </c>
      <c r="I2163" s="7" t="str">
        <f>_xlfn.CONCAT(Paper_Reference[[#This Row],[Lvl]:[Paper Description]])</f>
        <v>3J44YB068PM35SYN3 PIP UV L ARR 41.875 X 1441101100WM311-4300IQ MAPLE LANE LH</v>
      </c>
      <c r="J2163" s="7">
        <f>COUNTIF(Paper_Reference[Duplicate Key],Paper_Reference[[#This Row],[Duplicate Key]])</f>
        <v>1</v>
      </c>
    </row>
    <row r="2164" spans="1:10">
      <c r="A2164" s="7">
        <v>3</v>
      </c>
      <c r="B2164" s="8" t="s">
        <v>9128</v>
      </c>
      <c r="C2164" s="8" t="s">
        <v>9072</v>
      </c>
      <c r="D2164" s="7">
        <v>1</v>
      </c>
      <c r="E2164" s="7">
        <v>10</v>
      </c>
      <c r="F2164" s="7">
        <v>1</v>
      </c>
      <c r="G2164" s="8" t="s">
        <v>219</v>
      </c>
      <c r="H2164" s="8" t="s">
        <v>427</v>
      </c>
      <c r="I2164" s="7" t="str">
        <f>_xlfn.CONCAT(Paper_Reference[[#This Row],[Lvl]:[Paper Description]])</f>
        <v>3J44YB069PM34SYN3 PIP UV R ARR 41.875 X 1441101100WM321-4300IQ MAPLE LANE RH</v>
      </c>
      <c r="J2164" s="7">
        <f>COUNTIF(Paper_Reference[Duplicate Key],Paper_Reference[[#This Row],[Duplicate Key]])</f>
        <v>1</v>
      </c>
    </row>
    <row r="2165" spans="1:10">
      <c r="A2165" s="7">
        <v>2</v>
      </c>
      <c r="B2165" s="8" t="s">
        <v>9015</v>
      </c>
      <c r="C2165" s="8" t="s">
        <v>8961</v>
      </c>
      <c r="D2165" s="7">
        <v>1</v>
      </c>
      <c r="E2165" s="7">
        <v>10</v>
      </c>
      <c r="F2165" s="7">
        <v>1</v>
      </c>
      <c r="G2165" s="8" t="s">
        <v>218</v>
      </c>
      <c r="H2165" s="8" t="s">
        <v>426</v>
      </c>
      <c r="I2165" s="7" t="str">
        <f>_xlfn.CONCAT(Paper_Reference[[#This Row],[Lvl]:[Paper Description]])</f>
        <v>2J44YB070PM61SYN3 PIP UV L COM 41.875 X 1441101100WM311-4300IQ MAPLE LANE LH</v>
      </c>
      <c r="J2165" s="7">
        <f>COUNTIF(Paper_Reference[Duplicate Key],Paper_Reference[[#This Row],[Duplicate Key]])</f>
        <v>1</v>
      </c>
    </row>
    <row r="2166" spans="1:10">
      <c r="A2166" s="7">
        <v>2</v>
      </c>
      <c r="B2166" s="8" t="s">
        <v>9127</v>
      </c>
      <c r="C2166" s="8" t="s">
        <v>9071</v>
      </c>
      <c r="D2166" s="7">
        <v>1</v>
      </c>
      <c r="E2166" s="7">
        <v>10</v>
      </c>
      <c r="F2166" s="7">
        <v>1</v>
      </c>
      <c r="G2166" s="8" t="s">
        <v>219</v>
      </c>
      <c r="H2166" s="8" t="s">
        <v>427</v>
      </c>
      <c r="I2166" s="7" t="str">
        <f>_xlfn.CONCAT(Paper_Reference[[#This Row],[Lvl]:[Paper Description]])</f>
        <v>2J44YB071PM61SYN3 PIP UV R COM 41.875 X 1441101100WM321-4300IQ MAPLE LANE RH</v>
      </c>
      <c r="J2166" s="7">
        <f>COUNTIF(Paper_Reference[Duplicate Key],Paper_Reference[[#This Row],[Duplicate Key]])</f>
        <v>1</v>
      </c>
    </row>
    <row r="2167" spans="1:10">
      <c r="A2167" s="7">
        <v>2</v>
      </c>
      <c r="B2167" s="8" t="s">
        <v>9016</v>
      </c>
      <c r="C2167" s="8" t="s">
        <v>8962</v>
      </c>
      <c r="D2167" s="7">
        <v>1</v>
      </c>
      <c r="E2167" s="7">
        <v>10</v>
      </c>
      <c r="F2167" s="7">
        <v>0.33329999999999999</v>
      </c>
      <c r="G2167" s="8" t="s">
        <v>218</v>
      </c>
      <c r="H2167" s="8" t="s">
        <v>426</v>
      </c>
      <c r="I2167" s="7" t="str">
        <f>_xlfn.CONCAT(Paper_Reference[[#This Row],[Lvl]:[Paper Description]])</f>
        <v>2J44YB072PM37SYN3 PIP UV L SH 41.875X47.1251100.3333100WM311-4300IQ MAPLE LANE LH</v>
      </c>
      <c r="J2167" s="7">
        <f>COUNTIF(Paper_Reference[Duplicate Key],Paper_Reference[[#This Row],[Duplicate Key]])</f>
        <v>1</v>
      </c>
    </row>
    <row r="2168" spans="1:10">
      <c r="A2168" s="7">
        <v>2</v>
      </c>
      <c r="B2168" s="8" t="s">
        <v>9126</v>
      </c>
      <c r="C2168" s="8" t="s">
        <v>9070</v>
      </c>
      <c r="D2168" s="7">
        <v>1</v>
      </c>
      <c r="E2168" s="7">
        <v>10</v>
      </c>
      <c r="F2168" s="7">
        <v>0.33329999999999999</v>
      </c>
      <c r="G2168" s="8" t="s">
        <v>219</v>
      </c>
      <c r="H2168" s="8" t="s">
        <v>427</v>
      </c>
      <c r="I2168" s="7" t="str">
        <f>_xlfn.CONCAT(Paper_Reference[[#This Row],[Lvl]:[Paper Description]])</f>
        <v>2J44YB073PM36SYN3 PIP UV R SH 41.875X47.1251100.3333100WM321-4300IQ MAPLE LANE RH</v>
      </c>
      <c r="J2168" s="7">
        <f>COUNTIF(Paper_Reference[Duplicate Key],Paper_Reference[[#This Row],[Duplicate Key]])</f>
        <v>1</v>
      </c>
    </row>
    <row r="2169" spans="1:10">
      <c r="A2169" s="7">
        <v>2</v>
      </c>
      <c r="B2169" s="8" t="s">
        <v>527</v>
      </c>
      <c r="C2169" s="8" t="s">
        <v>300</v>
      </c>
      <c r="D2169" s="7">
        <v>1</v>
      </c>
      <c r="E2169" s="7">
        <v>10</v>
      </c>
      <c r="F2169" s="7">
        <v>0.25</v>
      </c>
      <c r="G2169" s="8" t="s">
        <v>217</v>
      </c>
      <c r="H2169" s="8" t="s">
        <v>3229</v>
      </c>
      <c r="I2169" s="7" t="str">
        <f>_xlfn.CONCAT(Paper_Reference[[#This Row],[Lvl]:[Paper Description]])</f>
        <v>2J44YB074AM38SYN3 PIP UV NBR 13.87 X 1441100.25100WM301-6200IQ MAPLE LANE (C) 60 X 144</v>
      </c>
      <c r="J2169" s="7">
        <f>COUNTIF(Paper_Reference[Duplicate Key],Paper_Reference[[#This Row],[Duplicate Key]])</f>
        <v>1</v>
      </c>
    </row>
    <row r="2170" spans="1:10">
      <c r="A2170" s="7">
        <v>2</v>
      </c>
      <c r="B2170" s="8" t="s">
        <v>527</v>
      </c>
      <c r="C2170" s="8" t="s">
        <v>300</v>
      </c>
      <c r="D2170" s="7">
        <v>1</v>
      </c>
      <c r="E2170" s="7">
        <v>10</v>
      </c>
      <c r="F2170" s="7">
        <v>0.25</v>
      </c>
      <c r="G2170" s="8" t="s">
        <v>217</v>
      </c>
      <c r="H2170" s="8" t="s">
        <v>425</v>
      </c>
      <c r="I2170" s="7" t="str">
        <f>_xlfn.CONCAT(Paper_Reference[[#This Row],[Lvl]:[Paper Description]])</f>
        <v>2J44YB074AM38SYN3 PIP UV NBR 13.87 X 1441100.25100WM301-6200IQ MAPLE LANE (CENTER)</v>
      </c>
      <c r="J2170" s="7">
        <f>COUNTIF(Paper_Reference[Duplicate Key],Paper_Reference[[#This Row],[Duplicate Key]])</f>
        <v>1</v>
      </c>
    </row>
    <row r="2171" spans="1:10">
      <c r="A2171" s="7">
        <v>2</v>
      </c>
      <c r="B2171" s="8" t="s">
        <v>598</v>
      </c>
      <c r="C2171" s="8" t="s">
        <v>366</v>
      </c>
      <c r="D2171" s="7">
        <v>1</v>
      </c>
      <c r="E2171" s="7">
        <v>10</v>
      </c>
      <c r="F2171" s="7">
        <v>1</v>
      </c>
      <c r="G2171" s="8" t="s">
        <v>218</v>
      </c>
      <c r="H2171" s="8" t="s">
        <v>426</v>
      </c>
      <c r="I2171" s="7" t="str">
        <f>_xlfn.CONCAT(Paper_Reference[[#This Row],[Lvl]:[Paper Description]])</f>
        <v>2J44YB075ASWGSYN3 PIP UV W/WAY 42 7/8X145 11101100WM311-4300IQ MAPLE LANE LH</v>
      </c>
      <c r="J2171" s="7">
        <f>COUNTIF(Paper_Reference[Duplicate Key],Paper_Reference[[#This Row],[Duplicate Key]])</f>
        <v>1</v>
      </c>
    </row>
    <row r="2172" spans="1:10">
      <c r="A2172" s="7">
        <v>3</v>
      </c>
      <c r="B2172" s="8" t="s">
        <v>9014</v>
      </c>
      <c r="C2172" s="8" t="s">
        <v>8960</v>
      </c>
      <c r="D2172" s="7">
        <v>1</v>
      </c>
      <c r="E2172" s="7">
        <v>10</v>
      </c>
      <c r="F2172" s="7">
        <v>1</v>
      </c>
      <c r="G2172" s="8" t="s">
        <v>218</v>
      </c>
      <c r="H2172" s="8" t="s">
        <v>426</v>
      </c>
      <c r="I2172" s="7" t="str">
        <f>_xlfn.CONCAT(Paper_Reference[[#This Row],[Lvl]:[Paper Description]])</f>
        <v>3J44YB089PM35SYN3 UV LINES L ARR 41.875 X 11101100WM311-4300IQ MAPLE LANE LH</v>
      </c>
      <c r="J2172" s="7">
        <f>COUNTIF(Paper_Reference[Duplicate Key],Paper_Reference[[#This Row],[Duplicate Key]])</f>
        <v>1</v>
      </c>
    </row>
    <row r="2173" spans="1:10">
      <c r="A2173" s="7">
        <v>3</v>
      </c>
      <c r="B2173" s="8" t="s">
        <v>9125</v>
      </c>
      <c r="C2173" s="8" t="s">
        <v>9069</v>
      </c>
      <c r="D2173" s="7">
        <v>1</v>
      </c>
      <c r="E2173" s="7">
        <v>10</v>
      </c>
      <c r="F2173" s="7">
        <v>1</v>
      </c>
      <c r="G2173" s="8" t="s">
        <v>219</v>
      </c>
      <c r="H2173" s="8" t="s">
        <v>427</v>
      </c>
      <c r="I2173" s="7" t="str">
        <f>_xlfn.CONCAT(Paper_Reference[[#This Row],[Lvl]:[Paper Description]])</f>
        <v>3J44YB090PM34SYN3 UV LINES R ARR 41.875 X 11101100WM321-4300IQ MAPLE LANE RH</v>
      </c>
      <c r="J2173" s="7">
        <f>COUNTIF(Paper_Reference[Duplicate Key],Paper_Reference[[#This Row],[Duplicate Key]])</f>
        <v>1</v>
      </c>
    </row>
    <row r="2174" spans="1:10">
      <c r="A2174" s="7">
        <v>2</v>
      </c>
      <c r="B2174" s="8" t="s">
        <v>9012</v>
      </c>
      <c r="C2174" s="8" t="s">
        <v>8958</v>
      </c>
      <c r="D2174" s="7">
        <v>1</v>
      </c>
      <c r="E2174" s="7">
        <v>10</v>
      </c>
      <c r="F2174" s="7">
        <v>0.33329999999999999</v>
      </c>
      <c r="G2174" s="8" t="s">
        <v>218</v>
      </c>
      <c r="H2174" s="8" t="s">
        <v>426</v>
      </c>
      <c r="I2174" s="7" t="str">
        <f>_xlfn.CONCAT(Paper_Reference[[#This Row],[Lvl]:[Paper Description]])</f>
        <v>2J44YB091PM37SYN3 UV LINES L SH 41.875X47.11100.3333100WM311-4300IQ MAPLE LANE LH</v>
      </c>
      <c r="J2174" s="7">
        <f>COUNTIF(Paper_Reference[Duplicate Key],Paper_Reference[[#This Row],[Duplicate Key]])</f>
        <v>1</v>
      </c>
    </row>
    <row r="2175" spans="1:10">
      <c r="A2175" s="7">
        <v>2</v>
      </c>
      <c r="B2175" s="8" t="s">
        <v>9013</v>
      </c>
      <c r="C2175" s="8" t="s">
        <v>8959</v>
      </c>
      <c r="D2175" s="7">
        <v>1</v>
      </c>
      <c r="E2175" s="7">
        <v>10</v>
      </c>
      <c r="F2175" s="7">
        <v>1</v>
      </c>
      <c r="G2175" s="8" t="s">
        <v>218</v>
      </c>
      <c r="H2175" s="8" t="s">
        <v>426</v>
      </c>
      <c r="I2175" s="7" t="str">
        <f>_xlfn.CONCAT(Paper_Reference[[#This Row],[Lvl]:[Paper Description]])</f>
        <v>2J44YB091PM61SYN3 UV LINES L COM 41.875 X 11101100WM311-4300IQ MAPLE LANE LH</v>
      </c>
      <c r="J2175" s="7">
        <f>COUNTIF(Paper_Reference[Duplicate Key],Paper_Reference[[#This Row],[Duplicate Key]])</f>
        <v>1</v>
      </c>
    </row>
    <row r="2176" spans="1:10">
      <c r="A2176" s="7">
        <v>2</v>
      </c>
      <c r="B2176" s="8" t="s">
        <v>9123</v>
      </c>
      <c r="C2176" s="8" t="s">
        <v>9067</v>
      </c>
      <c r="D2176" s="7">
        <v>1</v>
      </c>
      <c r="E2176" s="7">
        <v>10</v>
      </c>
      <c r="F2176" s="7">
        <v>0.33329999999999999</v>
      </c>
      <c r="G2176" s="8" t="s">
        <v>219</v>
      </c>
      <c r="H2176" s="8" t="s">
        <v>427</v>
      </c>
      <c r="I2176" s="7" t="str">
        <f>_xlfn.CONCAT(Paper_Reference[[#This Row],[Lvl]:[Paper Description]])</f>
        <v>2J44YB092PM36SYN3 UV LINES R SH 41.875X47.11100.3333100WM321-4300IQ MAPLE LANE RH</v>
      </c>
      <c r="J2176" s="7">
        <f>COUNTIF(Paper_Reference[Duplicate Key],Paper_Reference[[#This Row],[Duplicate Key]])</f>
        <v>1</v>
      </c>
    </row>
    <row r="2177" spans="1:10">
      <c r="A2177" s="7">
        <v>2</v>
      </c>
      <c r="B2177" s="8" t="s">
        <v>9124</v>
      </c>
      <c r="C2177" s="8" t="s">
        <v>9068</v>
      </c>
      <c r="D2177" s="7">
        <v>1</v>
      </c>
      <c r="E2177" s="7">
        <v>10</v>
      </c>
      <c r="F2177" s="7">
        <v>1</v>
      </c>
      <c r="G2177" s="8" t="s">
        <v>219</v>
      </c>
      <c r="H2177" s="8" t="s">
        <v>427</v>
      </c>
      <c r="I2177" s="7" t="str">
        <f>_xlfn.CONCAT(Paper_Reference[[#This Row],[Lvl]:[Paper Description]])</f>
        <v>2J44YB092PM61SYN3 UV LINES R COM 41.875 X 11101100WM321-4300IQ MAPLE LANE RH</v>
      </c>
      <c r="J2177" s="7">
        <f>COUNTIF(Paper_Reference[Duplicate Key],Paper_Reference[[#This Row],[Duplicate Key]])</f>
        <v>1</v>
      </c>
    </row>
    <row r="2178" spans="1:10">
      <c r="A2178" s="7">
        <v>2</v>
      </c>
      <c r="B2178" s="8" t="s">
        <v>528</v>
      </c>
      <c r="C2178" s="8" t="s">
        <v>301</v>
      </c>
      <c r="D2178" s="7">
        <v>1</v>
      </c>
      <c r="E2178" s="7">
        <v>10</v>
      </c>
      <c r="F2178" s="7">
        <v>0.25</v>
      </c>
      <c r="G2178" s="8" t="s">
        <v>217</v>
      </c>
      <c r="H2178" s="8" t="s">
        <v>3229</v>
      </c>
      <c r="I2178" s="7" t="str">
        <f>_xlfn.CONCAT(Paper_Reference[[#This Row],[Lvl]:[Paper Description]])</f>
        <v>2J44YB093AB22SYN3 UV LINES NSR 13.87X721100.25100WM301-6200IQ MAPLE LANE (C) 60 X 144</v>
      </c>
      <c r="J2178" s="7">
        <f>COUNTIF(Paper_Reference[Duplicate Key],Paper_Reference[[#This Row],[Duplicate Key]])</f>
        <v>1</v>
      </c>
    </row>
    <row r="2179" spans="1:10">
      <c r="A2179" s="7">
        <v>2</v>
      </c>
      <c r="B2179" s="8" t="s">
        <v>528</v>
      </c>
      <c r="C2179" s="8" t="s">
        <v>301</v>
      </c>
      <c r="D2179" s="7">
        <v>1</v>
      </c>
      <c r="E2179" s="7">
        <v>10</v>
      </c>
      <c r="F2179" s="7">
        <v>0.25</v>
      </c>
      <c r="G2179" s="8" t="s">
        <v>217</v>
      </c>
      <c r="H2179" s="8" t="s">
        <v>425</v>
      </c>
      <c r="I2179" s="7" t="str">
        <f>_xlfn.CONCAT(Paper_Reference[[#This Row],[Lvl]:[Paper Description]])</f>
        <v>2J44YB093AB22SYN3 UV LINES NSR 13.87X721100.25100WM301-6200IQ MAPLE LANE (CENTER)</v>
      </c>
      <c r="J2179" s="7">
        <f>COUNTIF(Paper_Reference[Duplicate Key],Paper_Reference[[#This Row],[Duplicate Key]])</f>
        <v>1</v>
      </c>
    </row>
    <row r="2180" spans="1:10">
      <c r="A2180" s="7">
        <v>2</v>
      </c>
      <c r="B2180" s="8" t="s">
        <v>529</v>
      </c>
      <c r="C2180" s="8" t="s">
        <v>302</v>
      </c>
      <c r="D2180" s="7">
        <v>1</v>
      </c>
      <c r="E2180" s="7">
        <v>10</v>
      </c>
      <c r="F2180" s="7">
        <v>0.25</v>
      </c>
      <c r="G2180" s="8" t="s">
        <v>217</v>
      </c>
      <c r="H2180" s="8" t="s">
        <v>3229</v>
      </c>
      <c r="I2180" s="7" t="str">
        <f>_xlfn.CONCAT(Paper_Reference[[#This Row],[Lvl]:[Paper Description]])</f>
        <v>2J44YB093AM38SYN3 UV LINES NBR 13.87 X 1441100.25100WM301-6200IQ MAPLE LANE (C) 60 X 144</v>
      </c>
      <c r="J2180" s="7">
        <f>COUNTIF(Paper_Reference[Duplicate Key],Paper_Reference[[#This Row],[Duplicate Key]])</f>
        <v>1</v>
      </c>
    </row>
    <row r="2181" spans="1:10">
      <c r="A2181" s="7">
        <v>2</v>
      </c>
      <c r="B2181" s="8" t="s">
        <v>529</v>
      </c>
      <c r="C2181" s="8" t="s">
        <v>302</v>
      </c>
      <c r="D2181" s="7">
        <v>1</v>
      </c>
      <c r="E2181" s="7">
        <v>10</v>
      </c>
      <c r="F2181" s="7">
        <v>0.25</v>
      </c>
      <c r="G2181" s="8" t="s">
        <v>217</v>
      </c>
      <c r="H2181" s="8" t="s">
        <v>425</v>
      </c>
      <c r="I2181" s="7" t="str">
        <f>_xlfn.CONCAT(Paper_Reference[[#This Row],[Lvl]:[Paper Description]])</f>
        <v>2J44YB093AM38SYN3 UV LINES NBR 13.87 X 1441100.25100WM301-6200IQ MAPLE LANE (CENTER)</v>
      </c>
      <c r="J2181" s="7">
        <f>COUNTIF(Paper_Reference[Duplicate Key],Paper_Reference[[#This Row],[Duplicate Key]])</f>
        <v>1</v>
      </c>
    </row>
    <row r="2182" spans="1:10">
      <c r="A2182" s="7">
        <v>2</v>
      </c>
      <c r="B2182" s="8" t="s">
        <v>133</v>
      </c>
      <c r="C2182" s="8" t="s">
        <v>134</v>
      </c>
      <c r="D2182" s="7">
        <v>1</v>
      </c>
      <c r="E2182" s="7">
        <v>10</v>
      </c>
      <c r="F2182" s="7">
        <v>0.25</v>
      </c>
      <c r="G2182" s="8" t="s">
        <v>1241</v>
      </c>
      <c r="H2182" s="8" t="s">
        <v>1242</v>
      </c>
      <c r="I2182" s="7" t="str">
        <f>_xlfn.CONCAT(Paper_Reference[[#This Row],[Lvl]:[Paper Description]])</f>
        <v>2J44YB102AB22DIG UV WR BE SNBR 13.87X721100.2510000020-5000Premium Inkjet MPK 9653</v>
      </c>
      <c r="J2182" s="7">
        <f>COUNTIF(Paper_Reference[Duplicate Key],Paper_Reference[[#This Row],[Duplicate Key]])</f>
        <v>1</v>
      </c>
    </row>
    <row r="2183" spans="1:10">
      <c r="A2183" s="7">
        <v>2</v>
      </c>
      <c r="B2183" s="8" t="s">
        <v>131</v>
      </c>
      <c r="C2183" s="8" t="s">
        <v>132</v>
      </c>
      <c r="D2183" s="7">
        <v>1</v>
      </c>
      <c r="E2183" s="7">
        <v>10</v>
      </c>
      <c r="F2183" s="7">
        <v>0.25</v>
      </c>
      <c r="G2183" s="8" t="s">
        <v>2144</v>
      </c>
      <c r="H2183" s="8" t="s">
        <v>1242</v>
      </c>
      <c r="I2183" s="7" t="str">
        <f>_xlfn.CONCAT(Paper_Reference[[#This Row],[Lvl]:[Paper Description]])</f>
        <v>2J44YB102AM38DIG UV WR BE NBR 13.87 X 1441100.2510000020-6200Premium Inkjet MPK 9653</v>
      </c>
      <c r="J2183" s="7">
        <f>COUNTIF(Paper_Reference[Duplicate Key],Paper_Reference[[#This Row],[Duplicate Key]])</f>
        <v>1</v>
      </c>
    </row>
    <row r="2184" spans="1:10">
      <c r="A2184" s="7">
        <v>2</v>
      </c>
      <c r="B2184" s="8" t="s">
        <v>8578</v>
      </c>
      <c r="C2184" s="8" t="s">
        <v>8368</v>
      </c>
      <c r="D2184" s="7">
        <v>1</v>
      </c>
      <c r="E2184" s="7">
        <v>10</v>
      </c>
      <c r="F2184" s="7">
        <v>1</v>
      </c>
      <c r="G2184" s="8" t="s">
        <v>8302</v>
      </c>
      <c r="H2184" s="8" t="s">
        <v>8303</v>
      </c>
      <c r="I2184" s="7" t="str">
        <f>_xlfn.CONCAT(Paper_Reference[[#This Row],[Lvl]:[Paper Description]])</f>
        <v>2J46B0008AM31DDIG UV SW813 IW LA 59.641X1441101100SW813-6200ICE WHITE</v>
      </c>
      <c r="J2184" s="7">
        <f>COUNTIF(Paper_Reference[Duplicate Key],Paper_Reference[[#This Row],[Duplicate Key]])</f>
        <v>1</v>
      </c>
    </row>
    <row r="2185" spans="1:10">
      <c r="A2185" s="7">
        <v>2</v>
      </c>
      <c r="B2185" s="8" t="s">
        <v>8579</v>
      </c>
      <c r="C2185" s="8" t="s">
        <v>8369</v>
      </c>
      <c r="D2185" s="7">
        <v>1</v>
      </c>
      <c r="E2185" s="7">
        <v>10</v>
      </c>
      <c r="F2185" s="7">
        <v>1</v>
      </c>
      <c r="G2185" s="8" t="s">
        <v>8302</v>
      </c>
      <c r="H2185" s="8" t="s">
        <v>8303</v>
      </c>
      <c r="I2185" s="7" t="str">
        <f>_xlfn.CONCAT(Paper_Reference[[#This Row],[Lvl]:[Paper Description]])</f>
        <v>2J46B0009AM30DDIG UV SW813 IW RA 59.641X1441101100SW813-6200ICE WHITE</v>
      </c>
      <c r="J2185" s="7">
        <f>COUNTIF(Paper_Reference[Duplicate Key],Paper_Reference[[#This Row],[Duplicate Key]])</f>
        <v>1</v>
      </c>
    </row>
    <row r="2186" spans="1:10">
      <c r="A2186" s="7">
        <v>2</v>
      </c>
      <c r="B2186" s="8" t="s">
        <v>8580</v>
      </c>
      <c r="C2186" s="8" t="s">
        <v>8370</v>
      </c>
      <c r="D2186" s="7">
        <v>1</v>
      </c>
      <c r="E2186" s="7">
        <v>10</v>
      </c>
      <c r="F2186" s="7">
        <v>1</v>
      </c>
      <c r="G2186" s="8" t="s">
        <v>8302</v>
      </c>
      <c r="H2186" s="8" t="s">
        <v>8303</v>
      </c>
      <c r="I2186" s="7" t="str">
        <f>_xlfn.CONCAT(Paper_Reference[[#This Row],[Lvl]:[Paper Description]])</f>
        <v>2J46B0010QM33DDIG UV SW813 IW LF 59.641X1441101100SW813-6200ICE WHITE</v>
      </c>
      <c r="J2186" s="7">
        <f>COUNTIF(Paper_Reference[Duplicate Key],Paper_Reference[[#This Row],[Duplicate Key]])</f>
        <v>1</v>
      </c>
    </row>
    <row r="2187" spans="1:10">
      <c r="A2187" s="7">
        <v>2</v>
      </c>
      <c r="B2187" s="8" t="s">
        <v>8581</v>
      </c>
      <c r="C2187" s="8" t="s">
        <v>8371</v>
      </c>
      <c r="D2187" s="7">
        <v>1</v>
      </c>
      <c r="E2187" s="7">
        <v>10</v>
      </c>
      <c r="F2187" s="7">
        <v>1</v>
      </c>
      <c r="G2187" s="8" t="s">
        <v>8302</v>
      </c>
      <c r="H2187" s="8" t="s">
        <v>8303</v>
      </c>
      <c r="I2187" s="7" t="str">
        <f>_xlfn.CONCAT(Paper_Reference[[#This Row],[Lvl]:[Paper Description]])</f>
        <v>2J46B0011QM32DDIG UV SW813 IW RF 59.641X1441101100SW813-6200ICE WHITE</v>
      </c>
      <c r="J2187" s="7">
        <f>COUNTIF(Paper_Reference[Duplicate Key],Paper_Reference[[#This Row],[Duplicate Key]])</f>
        <v>1</v>
      </c>
    </row>
    <row r="2188" spans="1:10">
      <c r="A2188" s="7">
        <v>2</v>
      </c>
      <c r="B2188" s="8" t="s">
        <v>8582</v>
      </c>
      <c r="C2188" s="8" t="s">
        <v>8372</v>
      </c>
      <c r="D2188" s="7">
        <v>1</v>
      </c>
      <c r="E2188" s="7">
        <v>10</v>
      </c>
      <c r="F2188" s="7">
        <v>0.25</v>
      </c>
      <c r="G2188" s="8" t="s">
        <v>8302</v>
      </c>
      <c r="H2188" s="8" t="s">
        <v>8303</v>
      </c>
      <c r="I2188" s="7" t="str">
        <f>_xlfn.CONCAT(Paper_Reference[[#This Row],[Lvl]:[Paper Description]])</f>
        <v>2J46B0013AM38DDIG UV SW813 IW NBR 13.87X1441100.25100SW813-6200ICE WHITE</v>
      </c>
      <c r="J2188" s="7">
        <f>COUNTIF(Paper_Reference[Duplicate Key],Paper_Reference[[#This Row],[Duplicate Key]])</f>
        <v>1</v>
      </c>
    </row>
    <row r="2189" spans="1:10">
      <c r="A2189" s="7">
        <v>3</v>
      </c>
      <c r="B2189" s="8" t="s">
        <v>5615</v>
      </c>
      <c r="C2189" s="8" t="s">
        <v>5423</v>
      </c>
      <c r="D2189" s="7">
        <v>1</v>
      </c>
      <c r="E2189" s="7">
        <v>10</v>
      </c>
      <c r="F2189" s="7">
        <v>0.5</v>
      </c>
      <c r="G2189" s="8" t="s">
        <v>5373</v>
      </c>
      <c r="H2189" s="8" t="s">
        <v>5374</v>
      </c>
      <c r="I2189" s="7" t="str">
        <f>_xlfn.CONCAT(Paper_Reference[[#This Row],[Lvl]:[Paper Description]])</f>
        <v>3J46I8925AM38WW974 CGS UV RETURN 13.87X1441100.5100WW971-6200GUN SAVOY WALNUT</v>
      </c>
      <c r="J2189" s="7">
        <f>COUNTIF(Paper_Reference[Duplicate Key],Paper_Reference[[#This Row],[Duplicate Key]])</f>
        <v>1</v>
      </c>
    </row>
    <row r="2190" spans="1:10">
      <c r="A2190" s="7">
        <v>3</v>
      </c>
      <c r="B2190" s="8" t="s">
        <v>5616</v>
      </c>
      <c r="C2190" s="8" t="s">
        <v>5424</v>
      </c>
      <c r="D2190" s="7">
        <v>1</v>
      </c>
      <c r="E2190" s="7">
        <v>10</v>
      </c>
      <c r="F2190" s="7">
        <v>1</v>
      </c>
      <c r="G2190" s="8" t="s">
        <v>5373</v>
      </c>
      <c r="H2190" s="8" t="s">
        <v>5374</v>
      </c>
      <c r="I2190" s="7" t="str">
        <f>_xlfn.CONCAT(Paper_Reference[[#This Row],[Lvl]:[Paper Description]])</f>
        <v>3J46I8925ASWGWW974 CGS UV W/WAY 42 7/8X1451101100WW971-6200GUN SAVOY WALNUT</v>
      </c>
      <c r="J2190" s="7">
        <f>COUNTIF(Paper_Reference[Duplicate Key],Paper_Reference[[#This Row],[Duplicate Key]])</f>
        <v>1</v>
      </c>
    </row>
    <row r="2191" spans="1:10">
      <c r="A2191" s="7">
        <v>3</v>
      </c>
      <c r="B2191" s="8" t="s">
        <v>9490</v>
      </c>
      <c r="C2191" s="8" t="s">
        <v>9148</v>
      </c>
      <c r="D2191" s="7">
        <v>1</v>
      </c>
      <c r="E2191" s="7">
        <v>10</v>
      </c>
      <c r="F2191" s="7">
        <v>1</v>
      </c>
      <c r="G2191" s="8" t="s">
        <v>9143</v>
      </c>
      <c r="H2191" s="8" t="s">
        <v>9144</v>
      </c>
      <c r="I2191" s="30" t="str">
        <f>_xlfn.CONCAT(Paper_Reference[[#This Row],[Lvl]:[Paper Description]])</f>
        <v>3J46I8944AM31PFA39 TEX L APP 59.641 X 1441101100PFA39-6200SINGING THE CHICAGO BLUES</v>
      </c>
      <c r="J2191" s="30">
        <f>COUNTIF(Paper_Reference[Duplicate Key],Paper_Reference[[#This Row],[Duplicate Key]])</f>
        <v>1</v>
      </c>
    </row>
    <row r="2192" spans="1:10">
      <c r="A2192" s="7">
        <v>3</v>
      </c>
      <c r="B2192" s="8" t="s">
        <v>9491</v>
      </c>
      <c r="C2192" s="8" t="s">
        <v>9154</v>
      </c>
      <c r="D2192" s="7">
        <v>1</v>
      </c>
      <c r="E2192" s="7">
        <v>10</v>
      </c>
      <c r="F2192" s="7">
        <v>1</v>
      </c>
      <c r="G2192" s="8" t="s">
        <v>9143</v>
      </c>
      <c r="H2192" s="8" t="s">
        <v>9144</v>
      </c>
      <c r="I2192" s="30" t="str">
        <f>_xlfn.CONCAT(Paper_Reference[[#This Row],[Lvl]:[Paper Description]])</f>
        <v>3J46I8945AM30PFA39 TEX R APP 59.641 X 1441101100PFA39-6200SINGING THE CHICAGO BLUES</v>
      </c>
      <c r="J2192" s="30">
        <f>COUNTIF(Paper_Reference[Duplicate Key],Paper_Reference[[#This Row],[Duplicate Key]])</f>
        <v>1</v>
      </c>
    </row>
    <row r="2193" spans="1:10">
      <c r="A2193" s="7">
        <v>3</v>
      </c>
      <c r="B2193" s="8" t="s">
        <v>9492</v>
      </c>
      <c r="C2193" s="8" t="s">
        <v>9158</v>
      </c>
      <c r="D2193" s="7">
        <v>1</v>
      </c>
      <c r="E2193" s="7">
        <v>10</v>
      </c>
      <c r="F2193" s="7">
        <v>1</v>
      </c>
      <c r="G2193" s="8" t="s">
        <v>9143</v>
      </c>
      <c r="H2193" s="8" t="s">
        <v>9144</v>
      </c>
      <c r="I2193" s="30" t="str">
        <f>_xlfn.CONCAT(Paper_Reference[[#This Row],[Lvl]:[Paper Description]])</f>
        <v>3J46I8946QM33PFA39 D/F L FOUL 59.641 X 1441101100PFA39-6200SINGING THE CHICAGO BLUES</v>
      </c>
      <c r="J2193" s="30">
        <f>COUNTIF(Paper_Reference[Duplicate Key],Paper_Reference[[#This Row],[Duplicate Key]])</f>
        <v>1</v>
      </c>
    </row>
    <row r="2194" spans="1:10">
      <c r="A2194" s="7">
        <v>3</v>
      </c>
      <c r="B2194" s="8" t="s">
        <v>9493</v>
      </c>
      <c r="C2194" s="8" t="s">
        <v>9162</v>
      </c>
      <c r="D2194" s="7">
        <v>1</v>
      </c>
      <c r="E2194" s="7">
        <v>10</v>
      </c>
      <c r="F2194" s="7">
        <v>1</v>
      </c>
      <c r="G2194" s="8" t="s">
        <v>9143</v>
      </c>
      <c r="H2194" s="8" t="s">
        <v>9144</v>
      </c>
      <c r="I2194" s="30" t="str">
        <f>_xlfn.CONCAT(Paper_Reference[[#This Row],[Lvl]:[Paper Description]])</f>
        <v>3J46I8947QM32PFA39 D/F R FOUL 59.641 X 1441101100PFA39-6200SINGING THE CHICAGO BLUES</v>
      </c>
      <c r="J2194" s="30">
        <f>COUNTIF(Paper_Reference[Duplicate Key],Paper_Reference[[#This Row],[Duplicate Key]])</f>
        <v>1</v>
      </c>
    </row>
    <row r="2195" spans="1:10">
      <c r="A2195" s="7">
        <v>3</v>
      </c>
      <c r="B2195" s="8" t="s">
        <v>9614</v>
      </c>
      <c r="C2195" s="8" t="s">
        <v>9382</v>
      </c>
      <c r="D2195" s="7">
        <v>1</v>
      </c>
      <c r="E2195" s="7">
        <v>10</v>
      </c>
      <c r="F2195" s="7">
        <v>0.5</v>
      </c>
      <c r="G2195" s="8" t="s">
        <v>9143</v>
      </c>
      <c r="H2195" s="8" t="s">
        <v>9144</v>
      </c>
      <c r="I2195" s="30" t="str">
        <f>_xlfn.CONCAT(Paper_Reference[[#This Row],[Lvl]:[Paper Description]])</f>
        <v>3J46I8950AM38PFA39 N BALL RET 13.87 X 1441100.5100PFA39-6200SINGING THE CHICAGO BLUES</v>
      </c>
      <c r="J2195" s="30">
        <f>COUNTIF(Paper_Reference[Duplicate Key],Paper_Reference[[#This Row],[Duplicate Key]])</f>
        <v>1</v>
      </c>
    </row>
    <row r="2196" spans="1:10">
      <c r="A2196" s="7">
        <v>3</v>
      </c>
      <c r="B2196" s="8" t="s">
        <v>9615</v>
      </c>
      <c r="C2196" s="8" t="s">
        <v>9384</v>
      </c>
      <c r="D2196" s="7">
        <v>1</v>
      </c>
      <c r="E2196" s="7">
        <v>10</v>
      </c>
      <c r="F2196" s="7">
        <v>0.5</v>
      </c>
      <c r="G2196" s="8" t="s">
        <v>9143</v>
      </c>
      <c r="H2196" s="8" t="s">
        <v>9144</v>
      </c>
      <c r="I2196" s="30" t="str">
        <f>_xlfn.CONCAT(Paper_Reference[[#This Row],[Lvl]:[Paper Description]])</f>
        <v>3J46I8950AM39PFA39 W BALL RET 14.7 X 1441100.5100PFA39-6200SINGING THE CHICAGO BLUES</v>
      </c>
      <c r="J2196" s="30">
        <f>COUNTIF(Paper_Reference[Duplicate Key],Paper_Reference[[#This Row],[Duplicate Key]])</f>
        <v>1</v>
      </c>
    </row>
    <row r="2197" spans="1:10">
      <c r="A2197" s="7">
        <v>3</v>
      </c>
      <c r="B2197" s="8" t="s">
        <v>9616</v>
      </c>
      <c r="C2197" s="8" t="s">
        <v>9386</v>
      </c>
      <c r="D2197" s="7">
        <v>1</v>
      </c>
      <c r="E2197" s="7">
        <v>10</v>
      </c>
      <c r="F2197" s="7">
        <v>1</v>
      </c>
      <c r="G2197" s="8" t="s">
        <v>9143</v>
      </c>
      <c r="H2197" s="8" t="s">
        <v>9144</v>
      </c>
      <c r="I2197" s="30" t="str">
        <f>_xlfn.CONCAT(Paper_Reference[[#This Row],[Lvl]:[Paper Description]])</f>
        <v>3J46I8950ASWGPFA39 W/WAY 42 7/8 X 145 1/41101100PFA39-6200SINGING THE CHICAGO BLUES</v>
      </c>
      <c r="J2197" s="30">
        <f>COUNTIF(Paper_Reference[Duplicate Key],Paper_Reference[[#This Row],[Duplicate Key]])</f>
        <v>1</v>
      </c>
    </row>
    <row r="2198" spans="1:10">
      <c r="A2198" s="7">
        <v>3</v>
      </c>
      <c r="B2198" s="8" t="s">
        <v>5617</v>
      </c>
      <c r="C2198" s="8" t="s">
        <v>5425</v>
      </c>
      <c r="D2198" s="7">
        <v>1</v>
      </c>
      <c r="E2198" s="7">
        <v>10</v>
      </c>
      <c r="F2198" s="7">
        <v>1</v>
      </c>
      <c r="G2198" s="8" t="s">
        <v>5373</v>
      </c>
      <c r="H2198" s="8" t="s">
        <v>5374</v>
      </c>
      <c r="I2198" s="7" t="str">
        <f>_xlfn.CONCAT(Paper_Reference[[#This Row],[Lvl]:[Paper Description]])</f>
        <v>3J46I9226AM31WW974 CGS UV L APP 59.641X1441101100WW971-6200GUN SAVOY WALNUT</v>
      </c>
      <c r="J2198" s="7">
        <f>COUNTIF(Paper_Reference[Duplicate Key],Paper_Reference[[#This Row],[Duplicate Key]])</f>
        <v>1</v>
      </c>
    </row>
    <row r="2199" spans="1:10">
      <c r="A2199" s="7">
        <v>3</v>
      </c>
      <c r="B2199" s="8" t="s">
        <v>5618</v>
      </c>
      <c r="C2199" s="8" t="s">
        <v>5426</v>
      </c>
      <c r="D2199" s="7">
        <v>1</v>
      </c>
      <c r="E2199" s="7">
        <v>10</v>
      </c>
      <c r="F2199" s="7">
        <v>1</v>
      </c>
      <c r="G2199" s="8" t="s">
        <v>5373</v>
      </c>
      <c r="H2199" s="8" t="s">
        <v>5374</v>
      </c>
      <c r="I2199" s="7" t="str">
        <f>_xlfn.CONCAT(Paper_Reference[[#This Row],[Lvl]:[Paper Description]])</f>
        <v>3J46I9227AM30WW974 CGS UV R APP 59.641X1441101100WW971-6200GUN SAVOY WALNUT</v>
      </c>
      <c r="J2199" s="7">
        <f>COUNTIF(Paper_Reference[Duplicate Key],Paper_Reference[[#This Row],[Duplicate Key]])</f>
        <v>1</v>
      </c>
    </row>
    <row r="2200" spans="1:10">
      <c r="A2200" s="7">
        <v>2</v>
      </c>
      <c r="B2200" s="8" t="s">
        <v>5619</v>
      </c>
      <c r="C2200" s="8" t="s">
        <v>5427</v>
      </c>
      <c r="D2200" s="7">
        <v>1</v>
      </c>
      <c r="E2200" s="7">
        <v>10</v>
      </c>
      <c r="F2200" s="7">
        <v>1</v>
      </c>
      <c r="G2200" s="8" t="s">
        <v>5373</v>
      </c>
      <c r="H2200" s="8" t="s">
        <v>5374</v>
      </c>
      <c r="I2200" s="7" t="str">
        <f>_xlfn.CONCAT(Paper_Reference[[#This Row],[Lvl]:[Paper Description]])</f>
        <v>2J46I9228QM33WW974 CGS UV L FOUL 59.641X1441101100WW971-6200GUN SAVOY WALNUT</v>
      </c>
      <c r="J2200" s="7">
        <f>COUNTIF(Paper_Reference[Duplicate Key],Paper_Reference[[#This Row],[Duplicate Key]])</f>
        <v>1</v>
      </c>
    </row>
    <row r="2201" spans="1:10">
      <c r="A2201" s="7">
        <v>3</v>
      </c>
      <c r="B2201" s="8" t="s">
        <v>5620</v>
      </c>
      <c r="C2201" s="8" t="s">
        <v>5428</v>
      </c>
      <c r="D2201" s="7">
        <v>1</v>
      </c>
      <c r="E2201" s="7">
        <v>10</v>
      </c>
      <c r="F2201" s="7">
        <v>1</v>
      </c>
      <c r="G2201" s="8" t="s">
        <v>5373</v>
      </c>
      <c r="H2201" s="8" t="s">
        <v>5374</v>
      </c>
      <c r="I2201" s="7" t="str">
        <f>_xlfn.CONCAT(Paper_Reference[[#This Row],[Lvl]:[Paper Description]])</f>
        <v>3J46I9229QM32WW974 CGS UV R FOUL 59.641X1441101100WW971-6200GUN SAVOY WALNUT</v>
      </c>
      <c r="J2201" s="7">
        <f>COUNTIF(Paper_Reference[Duplicate Key],Paper_Reference[[#This Row],[Duplicate Key]])</f>
        <v>1</v>
      </c>
    </row>
    <row r="2202" spans="1:10">
      <c r="A2202" s="7">
        <v>3</v>
      </c>
      <c r="B2202" s="8" t="s">
        <v>530</v>
      </c>
      <c r="C2202" s="8" t="s">
        <v>303</v>
      </c>
      <c r="D2202" s="7">
        <v>1</v>
      </c>
      <c r="E2202" s="7">
        <v>10</v>
      </c>
      <c r="F2202" s="7">
        <v>1</v>
      </c>
      <c r="G2202" s="8" t="s">
        <v>217</v>
      </c>
      <c r="H2202" s="8" t="s">
        <v>3229</v>
      </c>
      <c r="I2202" s="7" t="str">
        <f>_xlfn.CONCAT(Paper_Reference[[#This Row],[Lvl]:[Paper Description]])</f>
        <v>3J46RB111QM32M-FAM D/F UV R FOUL 59.641X1441101100WM301-6200IQ MAPLE LANE (C) 60 X 144</v>
      </c>
      <c r="J2202" s="7">
        <f>COUNTIF(Paper_Reference[Duplicate Key],Paper_Reference[[#This Row],[Duplicate Key]])</f>
        <v>1</v>
      </c>
    </row>
    <row r="2203" spans="1:10">
      <c r="A2203" s="7">
        <v>3</v>
      </c>
      <c r="B2203" s="8" t="s">
        <v>530</v>
      </c>
      <c r="C2203" s="8" t="s">
        <v>303</v>
      </c>
      <c r="D2203" s="7">
        <v>1</v>
      </c>
      <c r="E2203" s="7">
        <v>10</v>
      </c>
      <c r="F2203" s="7">
        <v>1</v>
      </c>
      <c r="G2203" s="8" t="s">
        <v>217</v>
      </c>
      <c r="H2203" s="8" t="s">
        <v>425</v>
      </c>
      <c r="I2203" s="7" t="str">
        <f>_xlfn.CONCAT(Paper_Reference[[#This Row],[Lvl]:[Paper Description]])</f>
        <v>3J46RB111QM32M-FAM D/F UV R FOUL 59.641X1441101100WM301-6200IQ MAPLE LANE (CENTER)</v>
      </c>
      <c r="J2203" s="7">
        <f>COUNTIF(Paper_Reference[Duplicate Key],Paper_Reference[[#This Row],[Duplicate Key]])</f>
        <v>1</v>
      </c>
    </row>
    <row r="2204" spans="1:10">
      <c r="A2204" s="7">
        <v>2</v>
      </c>
      <c r="B2204" s="8" t="s">
        <v>3333</v>
      </c>
      <c r="C2204" s="8" t="s">
        <v>3240</v>
      </c>
      <c r="D2204" s="7">
        <v>1</v>
      </c>
      <c r="E2204" s="7">
        <v>10</v>
      </c>
      <c r="F2204" s="7">
        <v>1</v>
      </c>
      <c r="G2204" s="8" t="s">
        <v>3230</v>
      </c>
      <c r="H2204" s="8" t="s">
        <v>3231</v>
      </c>
      <c r="I2204" s="7" t="str">
        <f>_xlfn.CONCAT(Paper_Reference[[#This Row],[Lvl]:[Paper Description]])</f>
        <v>2J47IFOSSCR4801FOSSIL D/G 48 X 961101110SW736-5000PRECISION WHITE 43 X 145</v>
      </c>
      <c r="J2204" s="7">
        <f>COUNTIF(Paper_Reference[Duplicate Key],Paper_Reference[[#This Row],[Duplicate Key]])</f>
        <v>1</v>
      </c>
    </row>
    <row r="2205" spans="1:10">
      <c r="A2205" s="7">
        <v>2</v>
      </c>
      <c r="B2205" s="8" t="s">
        <v>3844</v>
      </c>
      <c r="C2205" s="8" t="s">
        <v>3768</v>
      </c>
      <c r="D2205" s="7">
        <v>1</v>
      </c>
      <c r="E2205" s="7">
        <v>10</v>
      </c>
      <c r="F2205" s="7">
        <v>1</v>
      </c>
      <c r="G2205" s="8" t="s">
        <v>3826</v>
      </c>
      <c r="H2205" s="8" t="s">
        <v>3827</v>
      </c>
      <c r="I2205" s="7" t="str">
        <f>_xlfn.CONCAT(Paper_Reference[[#This Row],[Lvl]:[Paper Description]])</f>
        <v>2J47IFOSSG5201FOSSIL D/G 60 X 1441101110SW736-6200PRECISION WHITE 62"</v>
      </c>
      <c r="J2205" s="7">
        <f>COUNTIF(Paper_Reference[Duplicate Key],Paper_Reference[[#This Row],[Duplicate Key]])</f>
        <v>1</v>
      </c>
    </row>
    <row r="2206" spans="1:10">
      <c r="A2206" s="7">
        <v>2</v>
      </c>
      <c r="B2206" s="8" t="s">
        <v>3334</v>
      </c>
      <c r="C2206" s="8" t="s">
        <v>3241</v>
      </c>
      <c r="D2206" s="7">
        <v>1</v>
      </c>
      <c r="E2206" s="7">
        <v>10</v>
      </c>
      <c r="F2206" s="7">
        <v>1</v>
      </c>
      <c r="G2206" s="8" t="s">
        <v>3230</v>
      </c>
      <c r="H2206" s="8" t="s">
        <v>3231</v>
      </c>
      <c r="I2206" s="7" t="str">
        <f>_xlfn.CONCAT(Paper_Reference[[#This Row],[Lvl]:[Paper Description]])</f>
        <v>2J47IFOSSH4001FOSSIL D/G 48 X 1201101110SW736-5000PRECISION WHITE 43 X 145</v>
      </c>
      <c r="J2206" s="7">
        <f>COUNTIF(Paper_Reference[Duplicate Key],Paper_Reference[[#This Row],[Duplicate Key]])</f>
        <v>1</v>
      </c>
    </row>
    <row r="2207" spans="1:10">
      <c r="A2207" s="7">
        <v>2</v>
      </c>
      <c r="B2207" s="8" t="s">
        <v>3335</v>
      </c>
      <c r="C2207" s="8" t="s">
        <v>3239</v>
      </c>
      <c r="D2207" s="7">
        <v>1</v>
      </c>
      <c r="E2207" s="7">
        <v>10</v>
      </c>
      <c r="F2207" s="7">
        <v>1</v>
      </c>
      <c r="G2207" s="8" t="s">
        <v>3230</v>
      </c>
      <c r="H2207" s="8" t="s">
        <v>3231</v>
      </c>
      <c r="I2207" s="7" t="str">
        <f>_xlfn.CONCAT(Paper_Reference[[#This Row],[Lvl]:[Paper Description]])</f>
        <v>2J47IFOSSH4201FOSSIL D/G 48 X 1441101110SW736-5000PRECISION WHITE 43 X 145</v>
      </c>
      <c r="J2207" s="7">
        <f>COUNTIF(Paper_Reference[Duplicate Key],Paper_Reference[[#This Row],[Duplicate Key]])</f>
        <v>1</v>
      </c>
    </row>
    <row r="2208" spans="1:10">
      <c r="A2208" s="7">
        <v>2</v>
      </c>
      <c r="B2208" s="8" t="s">
        <v>3336</v>
      </c>
      <c r="C2208" s="8" t="s">
        <v>3240</v>
      </c>
      <c r="D2208" s="7">
        <v>1</v>
      </c>
      <c r="E2208" s="7">
        <v>10</v>
      </c>
      <c r="F2208" s="7">
        <v>1</v>
      </c>
      <c r="G2208" s="8" t="s">
        <v>3230</v>
      </c>
      <c r="H2208" s="8" t="s">
        <v>3231</v>
      </c>
      <c r="I2208" s="7" t="str">
        <f>_xlfn.CONCAT(Paper_Reference[[#This Row],[Lvl]:[Paper Description]])</f>
        <v>2J47IFOSSH4801FOSSIL D/G 48 X 961101110SW736-5000PRECISION WHITE 43 X 145</v>
      </c>
      <c r="J2208" s="7">
        <f>COUNTIF(Paper_Reference[Duplicate Key],Paper_Reference[[#This Row],[Duplicate Key]])</f>
        <v>1</v>
      </c>
    </row>
    <row r="2209" spans="1:10">
      <c r="A2209" s="7">
        <v>2</v>
      </c>
      <c r="B2209" s="8" t="s">
        <v>3845</v>
      </c>
      <c r="C2209" s="8" t="s">
        <v>3767</v>
      </c>
      <c r="D2209" s="7">
        <v>1</v>
      </c>
      <c r="E2209" s="7">
        <v>10</v>
      </c>
      <c r="F2209" s="7">
        <v>1</v>
      </c>
      <c r="G2209" s="8" t="s">
        <v>3826</v>
      </c>
      <c r="H2209" s="8" t="s">
        <v>3827</v>
      </c>
      <c r="I2209" s="7" t="str">
        <f>_xlfn.CONCAT(Paper_Reference[[#This Row],[Lvl]:[Paper Description]])</f>
        <v>2J47IFOSSH5001FOSSIL D/G 60 X 1201101110SW736-6200PRECISION WHITE 62"</v>
      </c>
      <c r="J2209" s="7">
        <f>COUNTIF(Paper_Reference[Duplicate Key],Paper_Reference[[#This Row],[Duplicate Key]])</f>
        <v>1</v>
      </c>
    </row>
    <row r="2210" spans="1:10">
      <c r="A2210" s="7">
        <v>2</v>
      </c>
      <c r="B2210" s="8" t="s">
        <v>3846</v>
      </c>
      <c r="C2210" s="8" t="s">
        <v>3768</v>
      </c>
      <c r="D2210" s="7">
        <v>1</v>
      </c>
      <c r="E2210" s="7">
        <v>10</v>
      </c>
      <c r="F2210" s="7">
        <v>1</v>
      </c>
      <c r="G2210" s="8" t="s">
        <v>3826</v>
      </c>
      <c r="H2210" s="8" t="s">
        <v>3827</v>
      </c>
      <c r="I2210" s="7" t="str">
        <f>_xlfn.CONCAT(Paper_Reference[[#This Row],[Lvl]:[Paper Description]])</f>
        <v>2J47IFOSSH5201FOSSIL D/G 60 X 1441101110SW736-6200PRECISION WHITE 62"</v>
      </c>
      <c r="J2210" s="7">
        <f>COUNTIF(Paper_Reference[Duplicate Key],Paper_Reference[[#This Row],[Duplicate Key]])</f>
        <v>1</v>
      </c>
    </row>
    <row r="2211" spans="1:10">
      <c r="A2211" s="7">
        <v>2</v>
      </c>
      <c r="B2211" s="8" t="s">
        <v>3847</v>
      </c>
      <c r="C2211" s="8" t="s">
        <v>3769</v>
      </c>
      <c r="D2211" s="7">
        <v>1</v>
      </c>
      <c r="E2211" s="7">
        <v>10</v>
      </c>
      <c r="F2211" s="7">
        <v>1</v>
      </c>
      <c r="G2211" s="8" t="s">
        <v>3826</v>
      </c>
      <c r="H2211" s="8" t="s">
        <v>3827</v>
      </c>
      <c r="I2211" s="7" t="str">
        <f>_xlfn.CONCAT(Paper_Reference[[#This Row],[Lvl]:[Paper Description]])</f>
        <v>2J47IFOSSH5801FOSSIL D/G 60 X 961101110SW736-6200PRECISION WHITE 62"</v>
      </c>
      <c r="J2211" s="7">
        <f>COUNTIF(Paper_Reference[Duplicate Key],Paper_Reference[[#This Row],[Duplicate Key]])</f>
        <v>1</v>
      </c>
    </row>
    <row r="2212" spans="1:10">
      <c r="A2212" s="7">
        <v>2</v>
      </c>
      <c r="B2212" s="8" t="s">
        <v>3337</v>
      </c>
      <c r="C2212" s="8" t="s">
        <v>3240</v>
      </c>
      <c r="D2212" s="7">
        <v>1</v>
      </c>
      <c r="E2212" s="7">
        <v>10</v>
      </c>
      <c r="F2212" s="7">
        <v>1</v>
      </c>
      <c r="G2212" s="8" t="s">
        <v>3230</v>
      </c>
      <c r="H2212" s="8" t="s">
        <v>3231</v>
      </c>
      <c r="I2212" s="7" t="str">
        <f>_xlfn.CONCAT(Paper_Reference[[#This Row],[Lvl]:[Paper Description]])</f>
        <v>2J47IFOSSPV4801FOSSIL D/G 48 X 961101110SW736-5000PRECISION WHITE 43 X 145</v>
      </c>
      <c r="J2212" s="7">
        <f>COUNTIF(Paper_Reference[Duplicate Key],Paper_Reference[[#This Row],[Duplicate Key]])</f>
        <v>1</v>
      </c>
    </row>
    <row r="2213" spans="1:10">
      <c r="A2213" s="7">
        <v>2</v>
      </c>
      <c r="B2213" s="8" t="s">
        <v>3848</v>
      </c>
      <c r="C2213" s="8" t="s">
        <v>3768</v>
      </c>
      <c r="D2213" s="7">
        <v>1</v>
      </c>
      <c r="E2213" s="7">
        <v>10</v>
      </c>
      <c r="F2213" s="7">
        <v>1</v>
      </c>
      <c r="G2213" s="8" t="s">
        <v>3826</v>
      </c>
      <c r="H2213" s="8" t="s">
        <v>3827</v>
      </c>
      <c r="I2213" s="7" t="str">
        <f>_xlfn.CONCAT(Paper_Reference[[#This Row],[Lvl]:[Paper Description]])</f>
        <v>2J47IFOSSPV5201FOSSIL D/G 60 X 1441101110SW736-6200PRECISION WHITE 62"</v>
      </c>
      <c r="J2213" s="7">
        <f>COUNTIF(Paper_Reference[Duplicate Key],Paper_Reference[[#This Row],[Duplicate Key]])</f>
        <v>1</v>
      </c>
    </row>
    <row r="2214" spans="1:10">
      <c r="A2214" s="7">
        <v>2</v>
      </c>
      <c r="B2214" s="8" t="s">
        <v>3338</v>
      </c>
      <c r="C2214" s="8" t="s">
        <v>3241</v>
      </c>
      <c r="D2214" s="7">
        <v>1</v>
      </c>
      <c r="E2214" s="7">
        <v>10</v>
      </c>
      <c r="F2214" s="7">
        <v>1</v>
      </c>
      <c r="G2214" s="8" t="s">
        <v>3230</v>
      </c>
      <c r="H2214" s="8" t="s">
        <v>3231</v>
      </c>
      <c r="I2214" s="7" t="str">
        <f>_xlfn.CONCAT(Paper_Reference[[#This Row],[Lvl]:[Paper Description]])</f>
        <v>2J47IFOSSS4001FOSSIL D/G 48 X 1201101110SW736-5000PRECISION WHITE 43 X 145</v>
      </c>
      <c r="J2214" s="7">
        <f>COUNTIF(Paper_Reference[Duplicate Key],Paper_Reference[[#This Row],[Duplicate Key]])</f>
        <v>1</v>
      </c>
    </row>
    <row r="2215" spans="1:10">
      <c r="A2215" s="7">
        <v>2</v>
      </c>
      <c r="B2215" s="8" t="s">
        <v>3339</v>
      </c>
      <c r="C2215" s="8" t="s">
        <v>3239</v>
      </c>
      <c r="D2215" s="7">
        <v>1</v>
      </c>
      <c r="E2215" s="7">
        <v>10</v>
      </c>
      <c r="F2215" s="7">
        <v>1</v>
      </c>
      <c r="G2215" s="8" t="s">
        <v>3230</v>
      </c>
      <c r="H2215" s="8" t="s">
        <v>3231</v>
      </c>
      <c r="I2215" s="7" t="str">
        <f>_xlfn.CONCAT(Paper_Reference[[#This Row],[Lvl]:[Paper Description]])</f>
        <v>2J47IFOSSS4201FOSSIL D/G 48 X 1441101110SW736-5000PRECISION WHITE 43 X 145</v>
      </c>
      <c r="J2215" s="7">
        <f>COUNTIF(Paper_Reference[Duplicate Key],Paper_Reference[[#This Row],[Duplicate Key]])</f>
        <v>1</v>
      </c>
    </row>
    <row r="2216" spans="1:10">
      <c r="A2216" s="7">
        <v>2</v>
      </c>
      <c r="B2216" s="8" t="s">
        <v>3340</v>
      </c>
      <c r="C2216" s="8" t="s">
        <v>3240</v>
      </c>
      <c r="D2216" s="7">
        <v>1</v>
      </c>
      <c r="E2216" s="7">
        <v>10</v>
      </c>
      <c r="F2216" s="7">
        <v>1</v>
      </c>
      <c r="G2216" s="8" t="s">
        <v>3230</v>
      </c>
      <c r="H2216" s="8" t="s">
        <v>3231</v>
      </c>
      <c r="I2216" s="7" t="str">
        <f>_xlfn.CONCAT(Paper_Reference[[#This Row],[Lvl]:[Paper Description]])</f>
        <v>2J47IFOSSS4801FOSSIL D/G 48 X 961101110SW736-5000PRECISION WHITE 43 X 145</v>
      </c>
      <c r="J2216" s="7">
        <f>COUNTIF(Paper_Reference[Duplicate Key],Paper_Reference[[#This Row],[Duplicate Key]])</f>
        <v>1</v>
      </c>
    </row>
    <row r="2217" spans="1:10">
      <c r="A2217" s="7">
        <v>2</v>
      </c>
      <c r="B2217" s="8" t="s">
        <v>3849</v>
      </c>
      <c r="C2217" s="8" t="s">
        <v>3767</v>
      </c>
      <c r="D2217" s="7">
        <v>1</v>
      </c>
      <c r="E2217" s="7">
        <v>10</v>
      </c>
      <c r="F2217" s="7">
        <v>1</v>
      </c>
      <c r="G2217" s="8" t="s">
        <v>3826</v>
      </c>
      <c r="H2217" s="8" t="s">
        <v>3827</v>
      </c>
      <c r="I2217" s="7" t="str">
        <f>_xlfn.CONCAT(Paper_Reference[[#This Row],[Lvl]:[Paper Description]])</f>
        <v>2J47IFOSSS5001FOSSIL D/G 60 X 1201101110SW736-6200PRECISION WHITE 62"</v>
      </c>
      <c r="J2217" s="7">
        <f>COUNTIF(Paper_Reference[Duplicate Key],Paper_Reference[[#This Row],[Duplicate Key]])</f>
        <v>1</v>
      </c>
    </row>
    <row r="2218" spans="1:10">
      <c r="A2218" s="7">
        <v>2</v>
      </c>
      <c r="B2218" s="8" t="s">
        <v>3850</v>
      </c>
      <c r="C2218" s="8" t="s">
        <v>3769</v>
      </c>
      <c r="D2218" s="7">
        <v>1</v>
      </c>
      <c r="E2218" s="7">
        <v>10</v>
      </c>
      <c r="F2218" s="7">
        <v>1</v>
      </c>
      <c r="G2218" s="8" t="s">
        <v>3826</v>
      </c>
      <c r="H2218" s="8" t="s">
        <v>3827</v>
      </c>
      <c r="I2218" s="7" t="str">
        <f>_xlfn.CONCAT(Paper_Reference[[#This Row],[Lvl]:[Paper Description]])</f>
        <v>2J47IFOSSS5801FOSSIL D/G 60 X 961101110SW736-6200PRECISION WHITE 62"</v>
      </c>
      <c r="J2218" s="7">
        <f>COUNTIF(Paper_Reference[Duplicate Key],Paper_Reference[[#This Row],[Duplicate Key]])</f>
        <v>1</v>
      </c>
    </row>
    <row r="2219" spans="1:10">
      <c r="A2219" s="7">
        <v>2</v>
      </c>
      <c r="B2219" s="8" t="s">
        <v>7478</v>
      </c>
      <c r="C2219" s="8" t="s">
        <v>6814</v>
      </c>
      <c r="D2219" s="7">
        <v>1</v>
      </c>
      <c r="E2219" s="7">
        <v>10</v>
      </c>
      <c r="F2219" s="7">
        <v>1</v>
      </c>
      <c r="G2219" s="8" t="s">
        <v>6710</v>
      </c>
      <c r="H2219" s="8" t="s">
        <v>5691</v>
      </c>
      <c r="I2219" s="7" t="str">
        <f>_xlfn.CONCAT(Paper_Reference[[#This Row],[Lvl]:[Paper Description]])</f>
        <v>2J48IABCEN300ABC D/G 36 X 1201101100DS009-5000FROSTY WHITE</v>
      </c>
      <c r="J2219" s="7">
        <f>COUNTIF(Paper_Reference[Duplicate Key],Paper_Reference[[#This Row],[Duplicate Key]])</f>
        <v>1</v>
      </c>
    </row>
    <row r="2220" spans="1:10">
      <c r="A2220" s="7">
        <v>2</v>
      </c>
      <c r="B2220" s="8" t="s">
        <v>7479</v>
      </c>
      <c r="C2220" s="8" t="s">
        <v>6815</v>
      </c>
      <c r="D2220" s="7">
        <v>1</v>
      </c>
      <c r="E2220" s="7">
        <v>10</v>
      </c>
      <c r="F2220" s="7">
        <v>1</v>
      </c>
      <c r="G2220" s="8" t="s">
        <v>6710</v>
      </c>
      <c r="H2220" s="8" t="s">
        <v>5691</v>
      </c>
      <c r="I2220" s="7" t="str">
        <f>_xlfn.CONCAT(Paper_Reference[[#This Row],[Lvl]:[Paper Description]])</f>
        <v>2J48IABCEN480ABC D/G 48 X 961101100DS009-5000FROSTY WHITE</v>
      </c>
      <c r="J2220" s="7">
        <f>COUNTIF(Paper_Reference[Duplicate Key],Paper_Reference[[#This Row],[Duplicate Key]])</f>
        <v>1</v>
      </c>
    </row>
    <row r="2221" spans="1:10">
      <c r="A2221" s="7">
        <v>2</v>
      </c>
      <c r="B2221" s="8" t="s">
        <v>7480</v>
      </c>
      <c r="C2221" s="8" t="s">
        <v>6816</v>
      </c>
      <c r="D2221" s="7">
        <v>1</v>
      </c>
      <c r="E2221" s="7">
        <v>10</v>
      </c>
      <c r="F2221" s="7">
        <v>1</v>
      </c>
      <c r="G2221" s="8" t="s">
        <v>6710</v>
      </c>
      <c r="H2221" s="8" t="s">
        <v>5691</v>
      </c>
      <c r="I2221" s="7" t="str">
        <f>_xlfn.CONCAT(Paper_Reference[[#This Row],[Lvl]:[Paper Description]])</f>
        <v>2J48IAR01N400ARDMORE 1 48 X 1201101100DS009-5000FROSTY WHITE</v>
      </c>
      <c r="J2221" s="7">
        <f>COUNTIF(Paper_Reference[Duplicate Key],Paper_Reference[[#This Row],[Duplicate Key]])</f>
        <v>1</v>
      </c>
    </row>
    <row r="2222" spans="1:10">
      <c r="A2222" s="7">
        <v>2</v>
      </c>
      <c r="B2222" s="8" t="s">
        <v>7481</v>
      </c>
      <c r="C2222" s="8" t="s">
        <v>6817</v>
      </c>
      <c r="D2222" s="7">
        <v>1</v>
      </c>
      <c r="E2222" s="7">
        <v>10</v>
      </c>
      <c r="F2222" s="7">
        <v>1</v>
      </c>
      <c r="G2222" s="8" t="s">
        <v>6710</v>
      </c>
      <c r="H2222" s="8" t="s">
        <v>5691</v>
      </c>
      <c r="I2222" s="7" t="str">
        <f>_xlfn.CONCAT(Paper_Reference[[#This Row],[Lvl]:[Paper Description]])</f>
        <v>2J48IAR02N400ARDMORE 2 48 X 1201101100DS009-5000FROSTY WHITE</v>
      </c>
      <c r="J2222" s="7">
        <f>COUNTIF(Paper_Reference[Duplicate Key],Paper_Reference[[#This Row],[Duplicate Key]])</f>
        <v>1</v>
      </c>
    </row>
    <row r="2223" spans="1:10">
      <c r="A2223" s="7">
        <v>2</v>
      </c>
      <c r="B2223" s="8" t="s">
        <v>7482</v>
      </c>
      <c r="C2223" s="8" t="s">
        <v>6818</v>
      </c>
      <c r="D2223" s="7">
        <v>1</v>
      </c>
      <c r="E2223" s="7">
        <v>10</v>
      </c>
      <c r="F2223" s="7">
        <v>1</v>
      </c>
      <c r="G2223" s="8" t="s">
        <v>6710</v>
      </c>
      <c r="H2223" s="8" t="s">
        <v>5691</v>
      </c>
      <c r="I2223" s="7" t="str">
        <f>_xlfn.CONCAT(Paper_Reference[[#This Row],[Lvl]:[Paper Description]])</f>
        <v>2J48IAR03N400ARDMORE 3 48 X 1201101100DS009-5000FROSTY WHITE</v>
      </c>
      <c r="J2223" s="7">
        <f>COUNTIF(Paper_Reference[Duplicate Key],Paper_Reference[[#This Row],[Duplicate Key]])</f>
        <v>1</v>
      </c>
    </row>
    <row r="2224" spans="1:10">
      <c r="A2224" s="7">
        <v>2</v>
      </c>
      <c r="B2224" s="8" t="s">
        <v>7483</v>
      </c>
      <c r="C2224" s="8" t="s">
        <v>6819</v>
      </c>
      <c r="D2224" s="7">
        <v>1</v>
      </c>
      <c r="E2224" s="7">
        <v>10</v>
      </c>
      <c r="F2224" s="7">
        <v>1</v>
      </c>
      <c r="G2224" s="8" t="s">
        <v>6710</v>
      </c>
      <c r="H2224" s="8" t="s">
        <v>5691</v>
      </c>
      <c r="I2224" s="7" t="str">
        <f>_xlfn.CONCAT(Paper_Reference[[#This Row],[Lvl]:[Paper Description]])</f>
        <v>2J48IAR04N400ARDMORE 4 48 X 1201101100DS009-5000FROSTY WHITE</v>
      </c>
      <c r="J2224" s="7">
        <f>COUNTIF(Paper_Reference[Duplicate Key],Paper_Reference[[#This Row],[Duplicate Key]])</f>
        <v>1</v>
      </c>
    </row>
    <row r="2225" spans="1:10">
      <c r="A2225" s="7">
        <v>2</v>
      </c>
      <c r="B2225" s="8" t="s">
        <v>7484</v>
      </c>
      <c r="C2225" s="8" t="s">
        <v>6820</v>
      </c>
      <c r="D2225" s="7">
        <v>1</v>
      </c>
      <c r="E2225" s="7">
        <v>10</v>
      </c>
      <c r="F2225" s="7">
        <v>1</v>
      </c>
      <c r="G2225" s="8" t="s">
        <v>6710</v>
      </c>
      <c r="H2225" s="8" t="s">
        <v>5691</v>
      </c>
      <c r="I2225" s="7" t="str">
        <f>_xlfn.CONCAT(Paper_Reference[[#This Row],[Lvl]:[Paper Description]])</f>
        <v>2J48IAR05N400ARDMORE 5 48 X 1201101100DS009-5000FROSTY WHITE</v>
      </c>
      <c r="J2225" s="7">
        <f>COUNTIF(Paper_Reference[Duplicate Key],Paper_Reference[[#This Row],[Duplicate Key]])</f>
        <v>1</v>
      </c>
    </row>
    <row r="2226" spans="1:10">
      <c r="A2226" s="7">
        <v>2</v>
      </c>
      <c r="B2226" s="8" t="s">
        <v>7485</v>
      </c>
      <c r="C2226" s="8" t="s">
        <v>6821</v>
      </c>
      <c r="D2226" s="7">
        <v>1</v>
      </c>
      <c r="E2226" s="7">
        <v>10</v>
      </c>
      <c r="F2226" s="7">
        <v>1</v>
      </c>
      <c r="G2226" s="8" t="s">
        <v>6710</v>
      </c>
      <c r="H2226" s="8" t="s">
        <v>5691</v>
      </c>
      <c r="I2226" s="7" t="str">
        <f>_xlfn.CONCAT(Paper_Reference[[#This Row],[Lvl]:[Paper Description]])</f>
        <v>2J48IAR06N400ARDMORE 6 48 X 1201101100DS009-5000FROSTY WHITE</v>
      </c>
      <c r="J2226" s="7">
        <f>COUNTIF(Paper_Reference[Duplicate Key],Paper_Reference[[#This Row],[Duplicate Key]])</f>
        <v>1</v>
      </c>
    </row>
    <row r="2227" spans="1:10">
      <c r="A2227" s="7">
        <v>2</v>
      </c>
      <c r="B2227" s="8" t="s">
        <v>7486</v>
      </c>
      <c r="C2227" s="8" t="s">
        <v>6822</v>
      </c>
      <c r="D2227" s="7">
        <v>1</v>
      </c>
      <c r="E2227" s="7">
        <v>10</v>
      </c>
      <c r="F2227" s="7">
        <v>1</v>
      </c>
      <c r="G2227" s="8" t="s">
        <v>6710</v>
      </c>
      <c r="H2227" s="8" t="s">
        <v>5691</v>
      </c>
      <c r="I2227" s="7" t="str">
        <f>_xlfn.CONCAT(Paper_Reference[[#This Row],[Lvl]:[Paper Description]])</f>
        <v>2J48IAR07N400ARDMORE 7 48 X 1201101100DS009-5000FROSTY WHITE</v>
      </c>
      <c r="J2227" s="7">
        <f>COUNTIF(Paper_Reference[Duplicate Key],Paper_Reference[[#This Row],[Duplicate Key]])</f>
        <v>1</v>
      </c>
    </row>
    <row r="2228" spans="1:10">
      <c r="A2228" s="7">
        <v>2</v>
      </c>
      <c r="B2228" s="8" t="s">
        <v>7487</v>
      </c>
      <c r="C2228" s="8" t="s">
        <v>6823</v>
      </c>
      <c r="D2228" s="7">
        <v>1</v>
      </c>
      <c r="E2228" s="7">
        <v>10</v>
      </c>
      <c r="F2228" s="7">
        <v>1</v>
      </c>
      <c r="G2228" s="8" t="s">
        <v>6710</v>
      </c>
      <c r="H2228" s="8" t="s">
        <v>5691</v>
      </c>
      <c r="I2228" s="7" t="str">
        <f>_xlfn.CONCAT(Paper_Reference[[#This Row],[Lvl]:[Paper Description]])</f>
        <v>2J48IAR08N400ARDMORE 8 48 X 1201101100DS009-5000FROSTY WHITE</v>
      </c>
      <c r="J2228" s="7">
        <f>COUNTIF(Paper_Reference[Duplicate Key],Paper_Reference[[#This Row],[Duplicate Key]])</f>
        <v>1</v>
      </c>
    </row>
    <row r="2229" spans="1:10">
      <c r="A2229" s="7">
        <v>2</v>
      </c>
      <c r="B2229" s="8" t="s">
        <v>7488</v>
      </c>
      <c r="C2229" s="8" t="s">
        <v>6824</v>
      </c>
      <c r="D2229" s="7">
        <v>1</v>
      </c>
      <c r="E2229" s="7">
        <v>10</v>
      </c>
      <c r="F2229" s="7">
        <v>1</v>
      </c>
      <c r="G2229" s="8" t="s">
        <v>6710</v>
      </c>
      <c r="H2229" s="8" t="s">
        <v>5691</v>
      </c>
      <c r="I2229" s="7" t="str">
        <f>_xlfn.CONCAT(Paper_Reference[[#This Row],[Lvl]:[Paper Description]])</f>
        <v>2J48IAR09N400ARDMORE 9 48 X 1201101100DS009-5000FROSTY WHITE</v>
      </c>
      <c r="J2229" s="7">
        <f>COUNTIF(Paper_Reference[Duplicate Key],Paper_Reference[[#This Row],[Duplicate Key]])</f>
        <v>1</v>
      </c>
    </row>
    <row r="2230" spans="1:10">
      <c r="A2230" s="7">
        <v>2</v>
      </c>
      <c r="B2230" s="8" t="s">
        <v>7489</v>
      </c>
      <c r="C2230" s="8" t="s">
        <v>6825</v>
      </c>
      <c r="D2230" s="7">
        <v>1</v>
      </c>
      <c r="E2230" s="7">
        <v>10</v>
      </c>
      <c r="F2230" s="7">
        <v>1</v>
      </c>
      <c r="G2230" s="8" t="s">
        <v>6710</v>
      </c>
      <c r="H2230" s="8" t="s">
        <v>5691</v>
      </c>
      <c r="I2230" s="7" t="str">
        <f>_xlfn.CONCAT(Paper_Reference[[#This Row],[Lvl]:[Paper Description]])</f>
        <v>2J48IAR10N400ARDMORE 10 48 X 1201101100DS009-5000FROSTY WHITE</v>
      </c>
      <c r="J2230" s="7">
        <f>COUNTIF(Paper_Reference[Duplicate Key],Paper_Reference[[#This Row],[Duplicate Key]])</f>
        <v>1</v>
      </c>
    </row>
    <row r="2231" spans="1:10">
      <c r="A2231" s="7">
        <v>2</v>
      </c>
      <c r="B2231" s="8" t="s">
        <v>7490</v>
      </c>
      <c r="C2231" s="8" t="s">
        <v>6826</v>
      </c>
      <c r="D2231" s="7">
        <v>1</v>
      </c>
      <c r="E2231" s="7">
        <v>10</v>
      </c>
      <c r="F2231" s="7">
        <v>1</v>
      </c>
      <c r="G2231" s="8" t="s">
        <v>6710</v>
      </c>
      <c r="H2231" s="8" t="s">
        <v>5691</v>
      </c>
      <c r="I2231" s="7" t="str">
        <f>_xlfn.CONCAT(Paper_Reference[[#This Row],[Lvl]:[Paper Description]])</f>
        <v>2J48IAR11N400ARDMORE 11 48 X 1201101100DS009-5000FROSTY WHITE</v>
      </c>
      <c r="J2231" s="7">
        <f>COUNTIF(Paper_Reference[Duplicate Key],Paper_Reference[[#This Row],[Duplicate Key]])</f>
        <v>1</v>
      </c>
    </row>
    <row r="2232" spans="1:10">
      <c r="A2232" s="7">
        <v>2</v>
      </c>
      <c r="B2232" s="8" t="s">
        <v>7491</v>
      </c>
      <c r="C2232" s="8" t="s">
        <v>6827</v>
      </c>
      <c r="D2232" s="7">
        <v>1</v>
      </c>
      <c r="E2232" s="7">
        <v>10</v>
      </c>
      <c r="F2232" s="7">
        <v>1</v>
      </c>
      <c r="G2232" s="8" t="s">
        <v>6710</v>
      </c>
      <c r="H2232" s="8" t="s">
        <v>5691</v>
      </c>
      <c r="I2232" s="7" t="str">
        <f>_xlfn.CONCAT(Paper_Reference[[#This Row],[Lvl]:[Paper Description]])</f>
        <v>2J48IAR12N400ARDMORE 12 48 X 1201101100DS009-5000FROSTY WHITE</v>
      </c>
      <c r="J2232" s="7">
        <f>COUNTIF(Paper_Reference[Duplicate Key],Paper_Reference[[#This Row],[Duplicate Key]])</f>
        <v>1</v>
      </c>
    </row>
    <row r="2233" spans="1:10">
      <c r="A2233" s="7">
        <v>2</v>
      </c>
      <c r="B2233" s="8" t="s">
        <v>7492</v>
      </c>
      <c r="C2233" s="8" t="s">
        <v>6828</v>
      </c>
      <c r="D2233" s="7">
        <v>1</v>
      </c>
      <c r="E2233" s="7">
        <v>10</v>
      </c>
      <c r="F2233" s="7">
        <v>1</v>
      </c>
      <c r="G2233" s="8" t="s">
        <v>6710</v>
      </c>
      <c r="H2233" s="8" t="s">
        <v>5691</v>
      </c>
      <c r="I2233" s="7" t="str">
        <f>_xlfn.CONCAT(Paper_Reference[[#This Row],[Lvl]:[Paper Description]])</f>
        <v>2J48IAR13N400ARDMORE 13 48 X 1201101100DS009-5000FROSTY WHITE</v>
      </c>
      <c r="J2233" s="7">
        <f>COUNTIF(Paper_Reference[Duplicate Key],Paper_Reference[[#This Row],[Duplicate Key]])</f>
        <v>1</v>
      </c>
    </row>
    <row r="2234" spans="1:10">
      <c r="A2234" s="7">
        <v>2</v>
      </c>
      <c r="B2234" s="8" t="s">
        <v>7493</v>
      </c>
      <c r="C2234" s="8" t="s">
        <v>6829</v>
      </c>
      <c r="D2234" s="7">
        <v>1</v>
      </c>
      <c r="E2234" s="7">
        <v>10</v>
      </c>
      <c r="F2234" s="7">
        <v>1</v>
      </c>
      <c r="G2234" s="8" t="s">
        <v>6710</v>
      </c>
      <c r="H2234" s="8" t="s">
        <v>5691</v>
      </c>
      <c r="I2234" s="7" t="str">
        <f>_xlfn.CONCAT(Paper_Reference[[#This Row],[Lvl]:[Paper Description]])</f>
        <v>2J48IAR14N400ARDMORE 14 48 X 1201101100DS009-5000FROSTY WHITE</v>
      </c>
      <c r="J2234" s="7">
        <f>COUNTIF(Paper_Reference[Duplicate Key],Paper_Reference[[#This Row],[Duplicate Key]])</f>
        <v>1</v>
      </c>
    </row>
    <row r="2235" spans="1:10">
      <c r="A2235" s="7">
        <v>2</v>
      </c>
      <c r="B2235" s="8" t="s">
        <v>7494</v>
      </c>
      <c r="C2235" s="8" t="s">
        <v>6830</v>
      </c>
      <c r="D2235" s="7">
        <v>1</v>
      </c>
      <c r="E2235" s="7">
        <v>10</v>
      </c>
      <c r="F2235" s="7">
        <v>1</v>
      </c>
      <c r="G2235" s="8" t="s">
        <v>6710</v>
      </c>
      <c r="H2235" s="8" t="s">
        <v>5691</v>
      </c>
      <c r="I2235" s="7" t="str">
        <f>_xlfn.CONCAT(Paper_Reference[[#This Row],[Lvl]:[Paper Description]])</f>
        <v>2J48IAR15N400ARDMORE 15 48 X 1201101100DS009-5000FROSTY WHITE</v>
      </c>
      <c r="J2235" s="7">
        <f>COUNTIF(Paper_Reference[Duplicate Key],Paper_Reference[[#This Row],[Duplicate Key]])</f>
        <v>1</v>
      </c>
    </row>
    <row r="2236" spans="1:10">
      <c r="A2236" s="7">
        <v>2</v>
      </c>
      <c r="B2236" s="8" t="s">
        <v>7495</v>
      </c>
      <c r="C2236" s="8" t="s">
        <v>6831</v>
      </c>
      <c r="D2236" s="7">
        <v>1</v>
      </c>
      <c r="E2236" s="7">
        <v>10</v>
      </c>
      <c r="F2236" s="7">
        <v>1</v>
      </c>
      <c r="G2236" s="8" t="s">
        <v>6710</v>
      </c>
      <c r="H2236" s="8" t="s">
        <v>5691</v>
      </c>
      <c r="I2236" s="7" t="str">
        <f>_xlfn.CONCAT(Paper_Reference[[#This Row],[Lvl]:[Paper Description]])</f>
        <v>2J48IAR16N400ARDMORE 16 48 X 1201101100DS009-5000FROSTY WHITE</v>
      </c>
      <c r="J2236" s="7">
        <f>COUNTIF(Paper_Reference[Duplicate Key],Paper_Reference[[#This Row],[Duplicate Key]])</f>
        <v>1</v>
      </c>
    </row>
    <row r="2237" spans="1:10">
      <c r="A2237" s="7">
        <v>2</v>
      </c>
      <c r="B2237" s="8" t="s">
        <v>7496</v>
      </c>
      <c r="C2237" s="8" t="s">
        <v>6832</v>
      </c>
      <c r="D2237" s="7">
        <v>1</v>
      </c>
      <c r="E2237" s="7">
        <v>10</v>
      </c>
      <c r="F2237" s="7">
        <v>1</v>
      </c>
      <c r="G2237" s="8" t="s">
        <v>6710</v>
      </c>
      <c r="H2237" s="8" t="s">
        <v>5691</v>
      </c>
      <c r="I2237" s="7" t="str">
        <f>_xlfn.CONCAT(Paper_Reference[[#This Row],[Lvl]:[Paper Description]])</f>
        <v>2J48IAR17N400ARDMORE 17 48 X 1201101100DS009-5000FROSTY WHITE</v>
      </c>
      <c r="J2237" s="7">
        <f>COUNTIF(Paper_Reference[Duplicate Key],Paper_Reference[[#This Row],[Duplicate Key]])</f>
        <v>1</v>
      </c>
    </row>
    <row r="2238" spans="1:10">
      <c r="A2238" s="7">
        <v>2</v>
      </c>
      <c r="B2238" s="8" t="s">
        <v>6277</v>
      </c>
      <c r="C2238" s="8" t="s">
        <v>5814</v>
      </c>
      <c r="D2238" s="7">
        <v>1</v>
      </c>
      <c r="E2238" s="7">
        <v>10</v>
      </c>
      <c r="F2238" s="7">
        <v>1</v>
      </c>
      <c r="G2238" s="8" t="s">
        <v>5690</v>
      </c>
      <c r="H2238" s="8" t="s">
        <v>5691</v>
      </c>
      <c r="I2238" s="7" t="str">
        <f>_xlfn.CONCAT(Paper_Reference[[#This Row],[Lvl]:[Paper Description]])</f>
        <v>2J48IBAR1G5001BAR &amp; BOOTHS D/G 60 X 1201101100DS009-6200FROSTY WHITE</v>
      </c>
      <c r="J2238" s="7">
        <f>COUNTIF(Paper_Reference[Duplicate Key],Paper_Reference[[#This Row],[Duplicate Key]])</f>
        <v>1</v>
      </c>
    </row>
    <row r="2239" spans="1:10">
      <c r="A2239" s="7">
        <v>2</v>
      </c>
      <c r="B2239" s="8" t="s">
        <v>7497</v>
      </c>
      <c r="C2239" s="8" t="s">
        <v>6833</v>
      </c>
      <c r="D2239" s="7">
        <v>1</v>
      </c>
      <c r="E2239" s="7">
        <v>10</v>
      </c>
      <c r="F2239" s="7">
        <v>1</v>
      </c>
      <c r="G2239" s="8" t="s">
        <v>6710</v>
      </c>
      <c r="H2239" s="8" t="s">
        <v>5691</v>
      </c>
      <c r="I2239" s="7" t="str">
        <f>_xlfn.CONCAT(Paper_Reference[[#This Row],[Lvl]:[Paper Description]])</f>
        <v>2J48IBB01N480BEETLE BAILEY D/G 48 X 961101100DS009-5000FROSTY WHITE</v>
      </c>
      <c r="J2239" s="7">
        <f>COUNTIF(Paper_Reference[Duplicate Key],Paper_Reference[[#This Row],[Duplicate Key]])</f>
        <v>1</v>
      </c>
    </row>
    <row r="2240" spans="1:10">
      <c r="A2240" s="7">
        <v>2</v>
      </c>
      <c r="B2240" s="8" t="s">
        <v>3341</v>
      </c>
      <c r="C2240" s="8" t="s">
        <v>3242</v>
      </c>
      <c r="D2240" s="7">
        <v>1</v>
      </c>
      <c r="E2240" s="7">
        <v>10</v>
      </c>
      <c r="F2240" s="7">
        <v>1</v>
      </c>
      <c r="G2240" s="8" t="s">
        <v>3230</v>
      </c>
      <c r="H2240" s="8" t="s">
        <v>3231</v>
      </c>
      <c r="I2240" s="7" t="str">
        <f>_xlfn.CONCAT(Paper_Reference[[#This Row],[Lvl]:[Paper Description]])</f>
        <v>2J48IBENCSD480BENCHMARK D/G 48 X 961101110SW736-5000PRECISION WHITE 43 X 145</v>
      </c>
      <c r="J2240" s="7">
        <f>COUNTIF(Paper_Reference[Duplicate Key],Paper_Reference[[#This Row],[Duplicate Key]])</f>
        <v>1</v>
      </c>
    </row>
    <row r="2241" spans="1:10">
      <c r="A2241" s="7">
        <v>2</v>
      </c>
      <c r="B2241" s="8" t="s">
        <v>3851</v>
      </c>
      <c r="C2241" s="8" t="s">
        <v>3770</v>
      </c>
      <c r="D2241" s="7">
        <v>1</v>
      </c>
      <c r="E2241" s="7">
        <v>10</v>
      </c>
      <c r="F2241" s="7">
        <v>1</v>
      </c>
      <c r="G2241" s="8" t="s">
        <v>3826</v>
      </c>
      <c r="H2241" s="8" t="s">
        <v>3827</v>
      </c>
      <c r="I2241" s="7" t="str">
        <f>_xlfn.CONCAT(Paper_Reference[[#This Row],[Lvl]:[Paper Description]])</f>
        <v>2J48IBENCSD500BENCHMARK D/G 60 X 1201101110SW736-6200PRECISION WHITE 62"</v>
      </c>
      <c r="J2241" s="7">
        <f>COUNTIF(Paper_Reference[Duplicate Key],Paper_Reference[[#This Row],[Duplicate Key]])</f>
        <v>1</v>
      </c>
    </row>
    <row r="2242" spans="1:10">
      <c r="A2242" s="7">
        <v>2</v>
      </c>
      <c r="B2242" s="8" t="s">
        <v>3852</v>
      </c>
      <c r="C2242" s="8" t="s">
        <v>3771</v>
      </c>
      <c r="D2242" s="7">
        <v>1</v>
      </c>
      <c r="E2242" s="7">
        <v>10</v>
      </c>
      <c r="F2242" s="7">
        <v>1</v>
      </c>
      <c r="G2242" s="8" t="s">
        <v>3826</v>
      </c>
      <c r="H2242" s="8" t="s">
        <v>3827</v>
      </c>
      <c r="I2242" s="7" t="str">
        <f>_xlfn.CONCAT(Paper_Reference[[#This Row],[Lvl]:[Paper Description]])</f>
        <v>2J48IBENCSD520BENCHMARK D/G 60 X 1441101110SW736-6200PRECISION WHITE 62"</v>
      </c>
      <c r="J2242" s="7">
        <f>COUNTIF(Paper_Reference[Duplicate Key],Paper_Reference[[#This Row],[Duplicate Key]])</f>
        <v>1</v>
      </c>
    </row>
    <row r="2243" spans="1:10">
      <c r="A2243" s="7">
        <v>2</v>
      </c>
      <c r="B2243" s="8" t="s">
        <v>6278</v>
      </c>
      <c r="C2243" s="8" t="s">
        <v>5815</v>
      </c>
      <c r="D2243" s="7">
        <v>1</v>
      </c>
      <c r="E2243" s="7">
        <v>10</v>
      </c>
      <c r="F2243" s="7">
        <v>1</v>
      </c>
      <c r="G2243" s="8" t="s">
        <v>5690</v>
      </c>
      <c r="H2243" s="8" t="s">
        <v>5691</v>
      </c>
      <c r="I2243" s="7" t="str">
        <f>_xlfn.CONCAT(Paper_Reference[[#This Row],[Lvl]:[Paper Description]])</f>
        <v>2J48IBLNKN580ARJOJET BLANK PRINT 60 X 961101100DS009-6200FROSTY WHITE</v>
      </c>
      <c r="J2243" s="7">
        <f>COUNTIF(Paper_Reference[Duplicate Key],Paper_Reference[[#This Row],[Duplicate Key]])</f>
        <v>1</v>
      </c>
    </row>
    <row r="2244" spans="1:10">
      <c r="A2244" s="7">
        <v>2</v>
      </c>
      <c r="B2244" s="8" t="s">
        <v>3343</v>
      </c>
      <c r="C2244" s="8" t="s">
        <v>3240</v>
      </c>
      <c r="D2244" s="7">
        <v>1</v>
      </c>
      <c r="E2244" s="7">
        <v>10</v>
      </c>
      <c r="F2244" s="7">
        <v>1</v>
      </c>
      <c r="G2244" s="8" t="s">
        <v>3230</v>
      </c>
      <c r="H2244" s="8" t="s">
        <v>3231</v>
      </c>
      <c r="I2244" s="7" t="str">
        <f>_xlfn.CONCAT(Paper_Reference[[#This Row],[Lvl]:[Paper Description]])</f>
        <v>2J48IFOSSJ480FOSSIL D/G 48 X 961101110SW736-5000PRECISION WHITE 43 X 145</v>
      </c>
      <c r="J2244" s="7">
        <f>COUNTIF(Paper_Reference[Duplicate Key],Paper_Reference[[#This Row],[Duplicate Key]])</f>
        <v>1</v>
      </c>
    </row>
    <row r="2245" spans="1:10">
      <c r="A2245" s="7">
        <v>2</v>
      </c>
      <c r="B2245" s="8" t="s">
        <v>3342</v>
      </c>
      <c r="C2245" s="8" t="s">
        <v>3240</v>
      </c>
      <c r="D2245" s="7">
        <v>1</v>
      </c>
      <c r="E2245" s="7">
        <v>10</v>
      </c>
      <c r="F2245" s="7">
        <v>1</v>
      </c>
      <c r="G2245" s="8" t="s">
        <v>3230</v>
      </c>
      <c r="H2245" s="8" t="s">
        <v>3231</v>
      </c>
      <c r="I2245" s="7" t="str">
        <f>_xlfn.CONCAT(Paper_Reference[[#This Row],[Lvl]:[Paper Description]])</f>
        <v>2J48IFOSSJ4801FOSSIL D/G 48 X 961101110SW736-5000PRECISION WHITE 43 X 145</v>
      </c>
      <c r="J2245" s="7">
        <f>COUNTIF(Paper_Reference[Duplicate Key],Paper_Reference[[#This Row],[Duplicate Key]])</f>
        <v>1</v>
      </c>
    </row>
    <row r="2246" spans="1:10">
      <c r="A2246" s="7">
        <v>2</v>
      </c>
      <c r="B2246" s="8" t="s">
        <v>3344</v>
      </c>
      <c r="C2246" s="8" t="s">
        <v>3241</v>
      </c>
      <c r="D2246" s="7">
        <v>1</v>
      </c>
      <c r="E2246" s="7">
        <v>10</v>
      </c>
      <c r="F2246" s="7">
        <v>1</v>
      </c>
      <c r="G2246" s="8" t="s">
        <v>3230</v>
      </c>
      <c r="H2246" s="8" t="s">
        <v>3231</v>
      </c>
      <c r="I2246" s="7" t="str">
        <f>_xlfn.CONCAT(Paper_Reference[[#This Row],[Lvl]:[Paper Description]])</f>
        <v>2J48IFOSSS4001FOSSIL D/G 48 X 1201101110SW736-5000PRECISION WHITE 43 X 145</v>
      </c>
      <c r="J2246" s="7">
        <f>COUNTIF(Paper_Reference[Duplicate Key],Paper_Reference[[#This Row],[Duplicate Key]])</f>
        <v>1</v>
      </c>
    </row>
    <row r="2247" spans="1:10">
      <c r="A2247" s="7">
        <v>2</v>
      </c>
      <c r="B2247" s="8" t="s">
        <v>3345</v>
      </c>
      <c r="C2247" s="8" t="s">
        <v>3239</v>
      </c>
      <c r="D2247" s="7">
        <v>1</v>
      </c>
      <c r="E2247" s="7">
        <v>10</v>
      </c>
      <c r="F2247" s="7">
        <v>1</v>
      </c>
      <c r="G2247" s="8" t="s">
        <v>3230</v>
      </c>
      <c r="H2247" s="8" t="s">
        <v>3231</v>
      </c>
      <c r="I2247" s="7" t="str">
        <f>_xlfn.CONCAT(Paper_Reference[[#This Row],[Lvl]:[Paper Description]])</f>
        <v>2J48IFOSSS4201FOSSIL D/G 48 X 1441101110SW736-5000PRECISION WHITE 43 X 145</v>
      </c>
      <c r="J2247" s="7">
        <f>COUNTIF(Paper_Reference[Duplicate Key],Paper_Reference[[#This Row],[Duplicate Key]])</f>
        <v>1</v>
      </c>
    </row>
    <row r="2248" spans="1:10">
      <c r="A2248" s="7">
        <v>2</v>
      </c>
      <c r="B2248" s="8" t="s">
        <v>3346</v>
      </c>
      <c r="C2248" s="8" t="s">
        <v>3240</v>
      </c>
      <c r="D2248" s="7">
        <v>1</v>
      </c>
      <c r="E2248" s="7">
        <v>10</v>
      </c>
      <c r="F2248" s="7">
        <v>1</v>
      </c>
      <c r="G2248" s="8" t="s">
        <v>3230</v>
      </c>
      <c r="H2248" s="8" t="s">
        <v>3231</v>
      </c>
      <c r="I2248" s="7" t="str">
        <f>_xlfn.CONCAT(Paper_Reference[[#This Row],[Lvl]:[Paper Description]])</f>
        <v>2J48IFOSSS4801FOSSIL D/G 48 X 961101110SW736-5000PRECISION WHITE 43 X 145</v>
      </c>
      <c r="J2248" s="7">
        <f>COUNTIF(Paper_Reference[Duplicate Key],Paper_Reference[[#This Row],[Duplicate Key]])</f>
        <v>1</v>
      </c>
    </row>
    <row r="2249" spans="1:10">
      <c r="A2249" s="7">
        <v>2</v>
      </c>
      <c r="B2249" s="8" t="s">
        <v>3853</v>
      </c>
      <c r="C2249" s="8" t="s">
        <v>3767</v>
      </c>
      <c r="D2249" s="7">
        <v>1</v>
      </c>
      <c r="E2249" s="7">
        <v>10</v>
      </c>
      <c r="F2249" s="7">
        <v>1</v>
      </c>
      <c r="G2249" s="8" t="s">
        <v>3826</v>
      </c>
      <c r="H2249" s="8" t="s">
        <v>3827</v>
      </c>
      <c r="I2249" s="7" t="str">
        <f>_xlfn.CONCAT(Paper_Reference[[#This Row],[Lvl]:[Paper Description]])</f>
        <v>2J48IFOSSS5001FOSSIL D/G 60 X 1201101110SW736-6200PRECISION WHITE 62"</v>
      </c>
      <c r="J2249" s="7">
        <f>COUNTIF(Paper_Reference[Duplicate Key],Paper_Reference[[#This Row],[Duplicate Key]])</f>
        <v>1</v>
      </c>
    </row>
    <row r="2250" spans="1:10">
      <c r="A2250" s="7">
        <v>2</v>
      </c>
      <c r="B2250" s="8" t="s">
        <v>7498</v>
      </c>
      <c r="C2250" s="8" t="s">
        <v>6834</v>
      </c>
      <c r="D2250" s="7">
        <v>1</v>
      </c>
      <c r="E2250" s="7">
        <v>10</v>
      </c>
      <c r="F2250" s="7">
        <v>1</v>
      </c>
      <c r="G2250" s="8" t="s">
        <v>6710</v>
      </c>
      <c r="H2250" s="8" t="s">
        <v>5691</v>
      </c>
      <c r="I2250" s="7" t="str">
        <f>_xlfn.CONCAT(Paper_Reference[[#This Row],[Lvl]:[Paper Description]])</f>
        <v>2J48IGG01N400GOLD'S GYM D/G 1 48 X 1201101100DS009-5000FROSTY WHITE</v>
      </c>
      <c r="J2250" s="7">
        <f>COUNTIF(Paper_Reference[Duplicate Key],Paper_Reference[[#This Row],[Duplicate Key]])</f>
        <v>1</v>
      </c>
    </row>
    <row r="2251" spans="1:10">
      <c r="A2251" s="7">
        <v>2</v>
      </c>
      <c r="B2251" s="8" t="s">
        <v>7499</v>
      </c>
      <c r="C2251" s="8" t="s">
        <v>6835</v>
      </c>
      <c r="D2251" s="7">
        <v>1</v>
      </c>
      <c r="E2251" s="7">
        <v>10</v>
      </c>
      <c r="F2251" s="7">
        <v>1</v>
      </c>
      <c r="G2251" s="8" t="s">
        <v>6710</v>
      </c>
      <c r="H2251" s="8" t="s">
        <v>5691</v>
      </c>
      <c r="I2251" s="7" t="str">
        <f>_xlfn.CONCAT(Paper_Reference[[#This Row],[Lvl]:[Paper Description]])</f>
        <v>2J48IMISCG3201INTERPRINT D/G 36 X 1441101100DS009-5000FROSTY WHITE</v>
      </c>
      <c r="J2251" s="7">
        <f>COUNTIF(Paper_Reference[Duplicate Key],Paper_Reference[[#This Row],[Duplicate Key]])</f>
        <v>1</v>
      </c>
    </row>
    <row r="2252" spans="1:10">
      <c r="A2252" s="7">
        <v>2</v>
      </c>
      <c r="B2252" s="8" t="s">
        <v>7500</v>
      </c>
      <c r="C2252" s="8" t="s">
        <v>6836</v>
      </c>
      <c r="D2252" s="7">
        <v>1</v>
      </c>
      <c r="E2252" s="7">
        <v>10</v>
      </c>
      <c r="F2252" s="7">
        <v>1</v>
      </c>
      <c r="G2252" s="8" t="s">
        <v>6710</v>
      </c>
      <c r="H2252" s="8" t="s">
        <v>5691</v>
      </c>
      <c r="I2252" s="7" t="str">
        <f>_xlfn.CONCAT(Paper_Reference[[#This Row],[Lvl]:[Paper Description]])</f>
        <v>2J48IMISCG3801INTERPRINT D/G 36 X 961101100DS009-5000FROSTY WHITE</v>
      </c>
      <c r="J2252" s="7">
        <f>COUNTIF(Paper_Reference[Duplicate Key],Paper_Reference[[#This Row],[Duplicate Key]])</f>
        <v>1</v>
      </c>
    </row>
    <row r="2253" spans="1:10">
      <c r="A2253" s="7">
        <v>2</v>
      </c>
      <c r="B2253" s="8" t="s">
        <v>7501</v>
      </c>
      <c r="C2253" s="8" t="s">
        <v>6837</v>
      </c>
      <c r="D2253" s="7">
        <v>1</v>
      </c>
      <c r="E2253" s="7">
        <v>10</v>
      </c>
      <c r="F2253" s="7">
        <v>1</v>
      </c>
      <c r="G2253" s="8" t="s">
        <v>6710</v>
      </c>
      <c r="H2253" s="8" t="s">
        <v>5691</v>
      </c>
      <c r="I2253" s="7" t="str">
        <f>_xlfn.CONCAT(Paper_Reference[[#This Row],[Lvl]:[Paper Description]])</f>
        <v>2J48IMISCG4001INTERPRINT D/G 48 X 1201101100DS009-5000FROSTY WHITE</v>
      </c>
      <c r="J2253" s="7">
        <f>COUNTIF(Paper_Reference[Duplicate Key],Paper_Reference[[#This Row],[Duplicate Key]])</f>
        <v>1</v>
      </c>
    </row>
    <row r="2254" spans="1:10">
      <c r="A2254" s="7">
        <v>2</v>
      </c>
      <c r="B2254" s="8" t="s">
        <v>6279</v>
      </c>
      <c r="C2254" s="8" t="s">
        <v>5816</v>
      </c>
      <c r="D2254" s="7">
        <v>1</v>
      </c>
      <c r="E2254" s="7">
        <v>10</v>
      </c>
      <c r="F2254" s="7">
        <v>1</v>
      </c>
      <c r="G2254" s="8" t="s">
        <v>5690</v>
      </c>
      <c r="H2254" s="8" t="s">
        <v>5691</v>
      </c>
      <c r="I2254" s="7" t="str">
        <f>_xlfn.CONCAT(Paper_Reference[[#This Row],[Lvl]:[Paper Description]])</f>
        <v>2J48IMISCG4201INTERPRINT D/G 48 X 1441101100DS009-6200FROSTY WHITE</v>
      </c>
      <c r="J2254" s="7">
        <f>COUNTIF(Paper_Reference[Duplicate Key],Paper_Reference[[#This Row],[Duplicate Key]])</f>
        <v>1</v>
      </c>
    </row>
    <row r="2255" spans="1:10">
      <c r="A2255" s="7">
        <v>2</v>
      </c>
      <c r="B2255" s="8" t="s">
        <v>7503</v>
      </c>
      <c r="C2255" s="8" t="s">
        <v>6838</v>
      </c>
      <c r="D2255" s="7">
        <v>1</v>
      </c>
      <c r="E2255" s="7">
        <v>10</v>
      </c>
      <c r="F2255" s="7">
        <v>1</v>
      </c>
      <c r="G2255" s="8" t="s">
        <v>6710</v>
      </c>
      <c r="H2255" s="8" t="s">
        <v>5691</v>
      </c>
      <c r="I2255" s="7" t="str">
        <f>_xlfn.CONCAT(Paper_Reference[[#This Row],[Lvl]:[Paper Description]])</f>
        <v>2J48IMISCG480INTERPRINT D/G 48 X 961101100DS009-5000FROSTY WHITE</v>
      </c>
      <c r="J2255" s="7">
        <f>COUNTIF(Paper_Reference[Duplicate Key],Paper_Reference[[#This Row],[Duplicate Key]])</f>
        <v>1</v>
      </c>
    </row>
    <row r="2256" spans="1:10">
      <c r="A2256" s="7">
        <v>2</v>
      </c>
      <c r="B2256" s="8" t="s">
        <v>7502</v>
      </c>
      <c r="C2256" s="8" t="s">
        <v>6838</v>
      </c>
      <c r="D2256" s="7">
        <v>1</v>
      </c>
      <c r="E2256" s="7">
        <v>10</v>
      </c>
      <c r="F2256" s="7">
        <v>1</v>
      </c>
      <c r="G2256" s="8" t="s">
        <v>6710</v>
      </c>
      <c r="H2256" s="8" t="s">
        <v>5691</v>
      </c>
      <c r="I2256" s="7" t="str">
        <f>_xlfn.CONCAT(Paper_Reference[[#This Row],[Lvl]:[Paper Description]])</f>
        <v>2J48IMISCG4801INTERPRINT D/G 48 X 961101100DS009-5000FROSTY WHITE</v>
      </c>
      <c r="J2256" s="7">
        <f>COUNTIF(Paper_Reference[Duplicate Key],Paper_Reference[[#This Row],[Duplicate Key]])</f>
        <v>1</v>
      </c>
    </row>
    <row r="2257" spans="1:10">
      <c r="A2257" s="7">
        <v>2</v>
      </c>
      <c r="B2257" s="8" t="s">
        <v>6280</v>
      </c>
      <c r="C2257" s="8" t="s">
        <v>5817</v>
      </c>
      <c r="D2257" s="7">
        <v>1</v>
      </c>
      <c r="E2257" s="7">
        <v>10</v>
      </c>
      <c r="F2257" s="7">
        <v>1</v>
      </c>
      <c r="G2257" s="8" t="s">
        <v>5690</v>
      </c>
      <c r="H2257" s="8" t="s">
        <v>5691</v>
      </c>
      <c r="I2257" s="7" t="str">
        <f>_xlfn.CONCAT(Paper_Reference[[#This Row],[Lvl]:[Paper Description]])</f>
        <v>2J48IMISCG5001INTERPRINT D/G 60 X 1201101100DS009-6200FROSTY WHITE</v>
      </c>
      <c r="J2257" s="7">
        <f>COUNTIF(Paper_Reference[Duplicate Key],Paper_Reference[[#This Row],[Duplicate Key]])</f>
        <v>1</v>
      </c>
    </row>
    <row r="2258" spans="1:10">
      <c r="A2258" s="7">
        <v>2</v>
      </c>
      <c r="B2258" s="8" t="s">
        <v>7504</v>
      </c>
      <c r="C2258" s="8" t="s">
        <v>6839</v>
      </c>
      <c r="D2258" s="7">
        <v>1</v>
      </c>
      <c r="E2258" s="7">
        <v>10</v>
      </c>
      <c r="F2258" s="7">
        <v>1</v>
      </c>
      <c r="G2258" s="8" t="s">
        <v>6710</v>
      </c>
      <c r="H2258" s="8" t="s">
        <v>5691</v>
      </c>
      <c r="I2258" s="7" t="str">
        <f>_xlfn.CONCAT(Paper_Reference[[#This Row],[Lvl]:[Paper Description]])</f>
        <v>2J48IMISCN300INTERPRINT D/G 36 X 1201101100DS009-5000FROSTY WHITE</v>
      </c>
      <c r="J2258" s="7">
        <f>COUNTIF(Paper_Reference[Duplicate Key],Paper_Reference[[#This Row],[Duplicate Key]])</f>
        <v>1</v>
      </c>
    </row>
    <row r="2259" spans="1:10">
      <c r="A2259" s="7">
        <v>2</v>
      </c>
      <c r="B2259" s="8" t="s">
        <v>7505</v>
      </c>
      <c r="C2259" s="8" t="s">
        <v>6835</v>
      </c>
      <c r="D2259" s="7">
        <v>1</v>
      </c>
      <c r="E2259" s="7">
        <v>10</v>
      </c>
      <c r="F2259" s="7">
        <v>1</v>
      </c>
      <c r="G2259" s="8" t="s">
        <v>6710</v>
      </c>
      <c r="H2259" s="8" t="s">
        <v>5691</v>
      </c>
      <c r="I2259" s="7" t="str">
        <f>_xlfn.CONCAT(Paper_Reference[[#This Row],[Lvl]:[Paper Description]])</f>
        <v>2J48IMISCN320INTERPRINT D/G 36 X 1441101100DS009-5000FROSTY WHITE</v>
      </c>
      <c r="J2259" s="7">
        <f>COUNTIF(Paper_Reference[Duplicate Key],Paper_Reference[[#This Row],[Duplicate Key]])</f>
        <v>1</v>
      </c>
    </row>
    <row r="2260" spans="1:10">
      <c r="A2260" s="7">
        <v>2</v>
      </c>
      <c r="B2260" s="8" t="s">
        <v>7506</v>
      </c>
      <c r="C2260" s="8" t="s">
        <v>6836</v>
      </c>
      <c r="D2260" s="7">
        <v>1</v>
      </c>
      <c r="E2260" s="7">
        <v>10</v>
      </c>
      <c r="F2260" s="7">
        <v>1</v>
      </c>
      <c r="G2260" s="8" t="s">
        <v>6710</v>
      </c>
      <c r="H2260" s="8" t="s">
        <v>5691</v>
      </c>
      <c r="I2260" s="7" t="str">
        <f>_xlfn.CONCAT(Paper_Reference[[#This Row],[Lvl]:[Paper Description]])</f>
        <v>2J48IMISCN380INTERPRINT D/G 36 X 961101100DS009-5000FROSTY WHITE</v>
      </c>
      <c r="J2260" s="7">
        <f>COUNTIF(Paper_Reference[Duplicate Key],Paper_Reference[[#This Row],[Duplicate Key]])</f>
        <v>1</v>
      </c>
    </row>
    <row r="2261" spans="1:10">
      <c r="A2261" s="7">
        <v>2</v>
      </c>
      <c r="B2261" s="8" t="s">
        <v>7507</v>
      </c>
      <c r="C2261" s="8" t="s">
        <v>6837</v>
      </c>
      <c r="D2261" s="7">
        <v>1</v>
      </c>
      <c r="E2261" s="7">
        <v>10</v>
      </c>
      <c r="F2261" s="7">
        <v>1</v>
      </c>
      <c r="G2261" s="8" t="s">
        <v>6710</v>
      </c>
      <c r="H2261" s="8" t="s">
        <v>5691</v>
      </c>
      <c r="I2261" s="7" t="str">
        <f>_xlfn.CONCAT(Paper_Reference[[#This Row],[Lvl]:[Paper Description]])</f>
        <v>2J48IMISCN400INTERPRINT D/G 48 X 1201101100DS009-5000FROSTY WHITE</v>
      </c>
      <c r="J2261" s="7">
        <f>COUNTIF(Paper_Reference[Duplicate Key],Paper_Reference[[#This Row],[Duplicate Key]])</f>
        <v>1</v>
      </c>
    </row>
    <row r="2262" spans="1:10">
      <c r="A2262" s="7">
        <v>2</v>
      </c>
      <c r="B2262" s="8" t="s">
        <v>7508</v>
      </c>
      <c r="C2262" s="8" t="s">
        <v>5816</v>
      </c>
      <c r="D2262" s="7">
        <v>1</v>
      </c>
      <c r="E2262" s="7">
        <v>10</v>
      </c>
      <c r="F2262" s="7">
        <v>1</v>
      </c>
      <c r="G2262" s="8" t="s">
        <v>6710</v>
      </c>
      <c r="H2262" s="8" t="s">
        <v>5691</v>
      </c>
      <c r="I2262" s="7" t="str">
        <f>_xlfn.CONCAT(Paper_Reference[[#This Row],[Lvl]:[Paper Description]])</f>
        <v>2J48IMISCN420INTERPRINT D/G 48 X 1441101100DS009-5000FROSTY WHITE</v>
      </c>
      <c r="J2262" s="7">
        <f>COUNTIF(Paper_Reference[Duplicate Key],Paper_Reference[[#This Row],[Duplicate Key]])</f>
        <v>1</v>
      </c>
    </row>
    <row r="2263" spans="1:10">
      <c r="A2263" s="7">
        <v>2</v>
      </c>
      <c r="B2263" s="8" t="s">
        <v>7509</v>
      </c>
      <c r="C2263" s="8" t="s">
        <v>6838</v>
      </c>
      <c r="D2263" s="7">
        <v>1</v>
      </c>
      <c r="E2263" s="7">
        <v>10</v>
      </c>
      <c r="F2263" s="7">
        <v>1</v>
      </c>
      <c r="G2263" s="8" t="s">
        <v>6710</v>
      </c>
      <c r="H2263" s="8" t="s">
        <v>5691</v>
      </c>
      <c r="I2263" s="7" t="str">
        <f>_xlfn.CONCAT(Paper_Reference[[#This Row],[Lvl]:[Paper Description]])</f>
        <v>2J48IMISCN480INTERPRINT D/G 48 X 961101100DS009-5000FROSTY WHITE</v>
      </c>
      <c r="J2263" s="7">
        <f>COUNTIF(Paper_Reference[Duplicate Key],Paper_Reference[[#This Row],[Duplicate Key]])</f>
        <v>1</v>
      </c>
    </row>
    <row r="2264" spans="1:10">
      <c r="A2264" s="7">
        <v>2</v>
      </c>
      <c r="B2264" s="8" t="s">
        <v>6281</v>
      </c>
      <c r="C2264" s="8" t="s">
        <v>5817</v>
      </c>
      <c r="D2264" s="7">
        <v>1</v>
      </c>
      <c r="E2264" s="7">
        <v>10</v>
      </c>
      <c r="F2264" s="7">
        <v>1</v>
      </c>
      <c r="G2264" s="8" t="s">
        <v>5690</v>
      </c>
      <c r="H2264" s="8" t="s">
        <v>5691</v>
      </c>
      <c r="I2264" s="7" t="str">
        <f>_xlfn.CONCAT(Paper_Reference[[#This Row],[Lvl]:[Paper Description]])</f>
        <v>2J48IMISCN500INTERPRINT D/G 60 X 1201101100DS009-6200FROSTY WHITE</v>
      </c>
      <c r="J2264" s="7">
        <f>COUNTIF(Paper_Reference[Duplicate Key],Paper_Reference[[#This Row],[Duplicate Key]])</f>
        <v>1</v>
      </c>
    </row>
    <row r="2265" spans="1:10">
      <c r="A2265" s="7">
        <v>2</v>
      </c>
      <c r="B2265" s="8" t="s">
        <v>6282</v>
      </c>
      <c r="C2265" s="8" t="s">
        <v>5818</v>
      </c>
      <c r="D2265" s="7">
        <v>1</v>
      </c>
      <c r="E2265" s="7">
        <v>10</v>
      </c>
      <c r="F2265" s="7">
        <v>1</v>
      </c>
      <c r="G2265" s="8" t="s">
        <v>5690</v>
      </c>
      <c r="H2265" s="8" t="s">
        <v>5691</v>
      </c>
      <c r="I2265" s="7" t="str">
        <f>_xlfn.CONCAT(Paper_Reference[[#This Row],[Lvl]:[Paper Description]])</f>
        <v>2J48IMISCN520INTERPRINT D/G 60 X 1441101100DS009-6200FROSTY WHITE</v>
      </c>
      <c r="J2265" s="7">
        <f>COUNTIF(Paper_Reference[Duplicate Key],Paper_Reference[[#This Row],[Duplicate Key]])</f>
        <v>1</v>
      </c>
    </row>
    <row r="2266" spans="1:10">
      <c r="A2266" s="7">
        <v>2</v>
      </c>
      <c r="B2266" s="8" t="s">
        <v>6283</v>
      </c>
      <c r="C2266" s="8" t="s">
        <v>5819</v>
      </c>
      <c r="D2266" s="7">
        <v>1</v>
      </c>
      <c r="E2266" s="7">
        <v>10</v>
      </c>
      <c r="F2266" s="7">
        <v>1</v>
      </c>
      <c r="G2266" s="8" t="s">
        <v>5690</v>
      </c>
      <c r="H2266" s="8" t="s">
        <v>5691</v>
      </c>
      <c r="I2266" s="7" t="str">
        <f>_xlfn.CONCAT(Paper_Reference[[#This Row],[Lvl]:[Paper Description]])</f>
        <v>2J48IMISCN580INTERPRINT D/G 60 X 961101100DS009-6200FROSTY WHITE</v>
      </c>
      <c r="J2266" s="7">
        <f>COUNTIF(Paper_Reference[Duplicate Key],Paper_Reference[[#This Row],[Duplicate Key]])</f>
        <v>1</v>
      </c>
    </row>
    <row r="2267" spans="1:10">
      <c r="A2267" s="7">
        <v>2</v>
      </c>
      <c r="B2267" s="8" t="s">
        <v>7510</v>
      </c>
      <c r="C2267" s="8" t="s">
        <v>6837</v>
      </c>
      <c r="D2267" s="7">
        <v>1</v>
      </c>
      <c r="E2267" s="7">
        <v>10</v>
      </c>
      <c r="F2267" s="7">
        <v>1</v>
      </c>
      <c r="G2267" s="8" t="s">
        <v>6710</v>
      </c>
      <c r="H2267" s="8" t="s">
        <v>5691</v>
      </c>
      <c r="I2267" s="7" t="str">
        <f>_xlfn.CONCAT(Paper_Reference[[#This Row],[Lvl]:[Paper Description]])</f>
        <v>2J48IMISCS400INTERPRINT D/G 48 X 1201101100DS009-5000FROSTY WHITE</v>
      </c>
      <c r="J2267" s="7">
        <f>COUNTIF(Paper_Reference[Duplicate Key],Paper_Reference[[#This Row],[Duplicate Key]])</f>
        <v>1</v>
      </c>
    </row>
    <row r="2268" spans="1:10">
      <c r="A2268" s="7">
        <v>2</v>
      </c>
      <c r="B2268" s="8" t="s">
        <v>7511</v>
      </c>
      <c r="C2268" s="8" t="s">
        <v>5816</v>
      </c>
      <c r="D2268" s="7">
        <v>1</v>
      </c>
      <c r="E2268" s="7">
        <v>10</v>
      </c>
      <c r="F2268" s="7">
        <v>1</v>
      </c>
      <c r="G2268" s="8" t="s">
        <v>6710</v>
      </c>
      <c r="H2268" s="8" t="s">
        <v>5691</v>
      </c>
      <c r="I2268" s="7" t="str">
        <f>_xlfn.CONCAT(Paper_Reference[[#This Row],[Lvl]:[Paper Description]])</f>
        <v>2J48IMISCS420INTERPRINT D/G 48 X 1441101100DS009-5000FROSTY WHITE</v>
      </c>
      <c r="J2268" s="7">
        <f>COUNTIF(Paper_Reference[Duplicate Key],Paper_Reference[[#This Row],[Duplicate Key]])</f>
        <v>1</v>
      </c>
    </row>
    <row r="2269" spans="1:10">
      <c r="A2269" s="7">
        <v>2</v>
      </c>
      <c r="B2269" s="8" t="s">
        <v>7512</v>
      </c>
      <c r="C2269" s="8" t="s">
        <v>6840</v>
      </c>
      <c r="D2269" s="7">
        <v>1</v>
      </c>
      <c r="E2269" s="7">
        <v>10</v>
      </c>
      <c r="F2269" s="7">
        <v>0.5</v>
      </c>
      <c r="G2269" s="8" t="s">
        <v>6710</v>
      </c>
      <c r="H2269" s="8" t="s">
        <v>5691</v>
      </c>
      <c r="I2269" s="7" t="str">
        <f>_xlfn.CONCAT(Paper_Reference[[#This Row],[Lvl]:[Paper Description]])</f>
        <v>2J48IMISCS440INTERPRINT D/G 48 X 481100.5100DS009-5000FROSTY WHITE</v>
      </c>
      <c r="J2269" s="7">
        <f>COUNTIF(Paper_Reference[Duplicate Key],Paper_Reference[[#This Row],[Duplicate Key]])</f>
        <v>1</v>
      </c>
    </row>
    <row r="2270" spans="1:10">
      <c r="A2270" s="7">
        <v>2</v>
      </c>
      <c r="B2270" s="8" t="s">
        <v>7513</v>
      </c>
      <c r="C2270" s="8" t="s">
        <v>6838</v>
      </c>
      <c r="D2270" s="7">
        <v>1</v>
      </c>
      <c r="E2270" s="7">
        <v>10</v>
      </c>
      <c r="F2270" s="7">
        <v>1</v>
      </c>
      <c r="G2270" s="8" t="s">
        <v>6710</v>
      </c>
      <c r="H2270" s="8" t="s">
        <v>5691</v>
      </c>
      <c r="I2270" s="7" t="str">
        <f>_xlfn.CONCAT(Paper_Reference[[#This Row],[Lvl]:[Paper Description]])</f>
        <v>2J48IMISCS480INTERPRINT D/G 48 X 961101100DS009-5000FROSTY WHITE</v>
      </c>
      <c r="J2270" s="7">
        <f>COUNTIF(Paper_Reference[Duplicate Key],Paper_Reference[[#This Row],[Duplicate Key]])</f>
        <v>1</v>
      </c>
    </row>
    <row r="2271" spans="1:10">
      <c r="A2271" s="7">
        <v>2</v>
      </c>
      <c r="B2271" s="8" t="s">
        <v>7514</v>
      </c>
      <c r="C2271" s="8" t="s">
        <v>6841</v>
      </c>
      <c r="D2271" s="7">
        <v>1</v>
      </c>
      <c r="E2271" s="7">
        <v>10</v>
      </c>
      <c r="F2271" s="7">
        <v>1</v>
      </c>
      <c r="G2271" s="8" t="s">
        <v>6710</v>
      </c>
      <c r="H2271" s="8" t="s">
        <v>5691</v>
      </c>
      <c r="I2271" s="7" t="str">
        <f>_xlfn.CONCAT(Paper_Reference[[#This Row],[Lvl]:[Paper Description]])</f>
        <v>2J48IRAING3801RAINDROPS D/G 36 X 961101100DS009-5000FROSTY WHITE</v>
      </c>
      <c r="J2271" s="7">
        <f>COUNTIF(Paper_Reference[Duplicate Key],Paper_Reference[[#This Row],[Duplicate Key]])</f>
        <v>1</v>
      </c>
    </row>
    <row r="2272" spans="1:10">
      <c r="A2272" s="7">
        <v>2</v>
      </c>
      <c r="B2272" s="8" t="s">
        <v>7515</v>
      </c>
      <c r="C2272" s="8" t="s">
        <v>6842</v>
      </c>
      <c r="D2272" s="7">
        <v>1</v>
      </c>
      <c r="E2272" s="7">
        <v>10</v>
      </c>
      <c r="F2272" s="7">
        <v>1</v>
      </c>
      <c r="G2272" s="8" t="s">
        <v>6710</v>
      </c>
      <c r="H2272" s="8" t="s">
        <v>5691</v>
      </c>
      <c r="I2272" s="7" t="str">
        <f>_xlfn.CONCAT(Paper_Reference[[#This Row],[Lvl]:[Paper Description]])</f>
        <v>2J48ISMP1G480SAMPLE D/G OR S/P 48 X 961101100DS009-5000FROSTY WHITE</v>
      </c>
      <c r="J2272" s="7">
        <f>COUNTIF(Paper_Reference[Duplicate Key],Paper_Reference[[#This Row],[Duplicate Key]])</f>
        <v>1</v>
      </c>
    </row>
    <row r="2273" spans="1:10">
      <c r="A2273" s="7">
        <v>2</v>
      </c>
      <c r="B2273" s="8" t="s">
        <v>7516</v>
      </c>
      <c r="C2273" s="8" t="s">
        <v>6842</v>
      </c>
      <c r="D2273" s="7">
        <v>1</v>
      </c>
      <c r="E2273" s="7">
        <v>10</v>
      </c>
      <c r="F2273" s="7">
        <v>1</v>
      </c>
      <c r="G2273" s="8" t="s">
        <v>6710</v>
      </c>
      <c r="H2273" s="8" t="s">
        <v>5691</v>
      </c>
      <c r="I2273" s="7" t="str">
        <f>_xlfn.CONCAT(Paper_Reference[[#This Row],[Lvl]:[Paper Description]])</f>
        <v>2J48ISMP1N480SAMPLE D/G OR S/P 48 X 961101100DS009-5000FROSTY WHITE</v>
      </c>
      <c r="J2273" s="7">
        <f>COUNTIF(Paper_Reference[Duplicate Key],Paper_Reference[[#This Row],[Duplicate Key]])</f>
        <v>1</v>
      </c>
    </row>
    <row r="2274" spans="1:10">
      <c r="A2274" s="7">
        <v>2</v>
      </c>
      <c r="B2274" s="8" t="s">
        <v>7517</v>
      </c>
      <c r="C2274" s="8" t="s">
        <v>6842</v>
      </c>
      <c r="D2274" s="7">
        <v>1</v>
      </c>
      <c r="E2274" s="7">
        <v>10</v>
      </c>
      <c r="F2274" s="7">
        <v>1</v>
      </c>
      <c r="G2274" s="8" t="s">
        <v>6710</v>
      </c>
      <c r="H2274" s="8" t="s">
        <v>5691</v>
      </c>
      <c r="I2274" s="7" t="str">
        <f>_xlfn.CONCAT(Paper_Reference[[#This Row],[Lvl]:[Paper Description]])</f>
        <v>2J48ISMP1U480SAMPLE D/G OR S/P 48 X 961101100DS009-5000FROSTY WHITE</v>
      </c>
      <c r="J2274" s="7">
        <f>COUNTIF(Paper_Reference[Duplicate Key],Paper_Reference[[#This Row],[Duplicate Key]])</f>
        <v>1</v>
      </c>
    </row>
    <row r="2275" spans="1:10">
      <c r="A2275" s="7">
        <v>2</v>
      </c>
      <c r="B2275" s="8" t="s">
        <v>7518</v>
      </c>
      <c r="C2275" s="8" t="s">
        <v>6842</v>
      </c>
      <c r="D2275" s="7">
        <v>1</v>
      </c>
      <c r="E2275" s="7">
        <v>10</v>
      </c>
      <c r="F2275" s="7">
        <v>1</v>
      </c>
      <c r="G2275" s="8" t="s">
        <v>6710</v>
      </c>
      <c r="H2275" s="8" t="s">
        <v>5691</v>
      </c>
      <c r="I2275" s="7" t="str">
        <f>_xlfn.CONCAT(Paper_Reference[[#This Row],[Lvl]:[Paper Description]])</f>
        <v>2J48ISMP2N480SAMPLE D/G OR S/P 48 X 961101100DS009-5000FROSTY WHITE</v>
      </c>
      <c r="J2275" s="7">
        <f>COUNTIF(Paper_Reference[Duplicate Key],Paper_Reference[[#This Row],[Duplicate Key]])</f>
        <v>1</v>
      </c>
    </row>
    <row r="2276" spans="1:10">
      <c r="A2276" s="7">
        <v>2</v>
      </c>
      <c r="B2276" s="8" t="s">
        <v>7519</v>
      </c>
      <c r="C2276" s="8" t="s">
        <v>6843</v>
      </c>
      <c r="D2276" s="7">
        <v>1</v>
      </c>
      <c r="E2276" s="7">
        <v>10</v>
      </c>
      <c r="F2276" s="7">
        <v>1</v>
      </c>
      <c r="G2276" s="8" t="s">
        <v>6710</v>
      </c>
      <c r="H2276" s="8" t="s">
        <v>5691</v>
      </c>
      <c r="I2276" s="7" t="str">
        <f>_xlfn.CONCAT(Paper_Reference[[#This Row],[Lvl]:[Paper Description]])</f>
        <v>2J48ISPECJ480SPECTRALITE D/G 48 X 961101100DS009-5000FROSTY WHITE</v>
      </c>
      <c r="J2276" s="7">
        <f>COUNTIF(Paper_Reference[Duplicate Key],Paper_Reference[[#This Row],[Duplicate Key]])</f>
        <v>1</v>
      </c>
    </row>
    <row r="2277" spans="1:10">
      <c r="A2277" s="7">
        <v>2</v>
      </c>
      <c r="B2277" s="8" t="s">
        <v>7520</v>
      </c>
      <c r="C2277" s="8" t="s">
        <v>6844</v>
      </c>
      <c r="D2277" s="7">
        <v>1</v>
      </c>
      <c r="E2277" s="7">
        <v>10</v>
      </c>
      <c r="F2277" s="7">
        <v>1</v>
      </c>
      <c r="G2277" s="8" t="s">
        <v>6710</v>
      </c>
      <c r="H2277" s="8" t="s">
        <v>5691</v>
      </c>
      <c r="I2277" s="7" t="str">
        <f>_xlfn.CONCAT(Paper_Reference[[#This Row],[Lvl]:[Paper Description]])</f>
        <v>2J48ISPECN300SPECTRALITE D/G 36 X 1201101100DS009-5000FROSTY WHITE</v>
      </c>
      <c r="J2277" s="7">
        <f>COUNTIF(Paper_Reference[Duplicate Key],Paper_Reference[[#This Row],[Duplicate Key]])</f>
        <v>1</v>
      </c>
    </row>
    <row r="2278" spans="1:10">
      <c r="A2278" s="7">
        <v>2</v>
      </c>
      <c r="B2278" s="8" t="s">
        <v>7521</v>
      </c>
      <c r="C2278" s="8" t="s">
        <v>6845</v>
      </c>
      <c r="D2278" s="7">
        <v>1</v>
      </c>
      <c r="E2278" s="7">
        <v>10</v>
      </c>
      <c r="F2278" s="7">
        <v>1</v>
      </c>
      <c r="G2278" s="8" t="s">
        <v>6710</v>
      </c>
      <c r="H2278" s="8" t="s">
        <v>5691</v>
      </c>
      <c r="I2278" s="7" t="str">
        <f>_xlfn.CONCAT(Paper_Reference[[#This Row],[Lvl]:[Paper Description]])</f>
        <v>2J48ISPECN380SPECTRALITE D/G 36 X 961101100DS009-5000FROSTY WHITE</v>
      </c>
      <c r="J2278" s="7">
        <f>COUNTIF(Paper_Reference[Duplicate Key],Paper_Reference[[#This Row],[Duplicate Key]])</f>
        <v>1</v>
      </c>
    </row>
    <row r="2279" spans="1:10">
      <c r="A2279" s="7">
        <v>2</v>
      </c>
      <c r="B2279" s="8" t="s">
        <v>7522</v>
      </c>
      <c r="C2279" s="8" t="s">
        <v>6846</v>
      </c>
      <c r="D2279" s="7">
        <v>1</v>
      </c>
      <c r="E2279" s="7">
        <v>10</v>
      </c>
      <c r="F2279" s="7">
        <v>1</v>
      </c>
      <c r="G2279" s="8" t="s">
        <v>6710</v>
      </c>
      <c r="H2279" s="8" t="s">
        <v>5691</v>
      </c>
      <c r="I2279" s="7" t="str">
        <f>_xlfn.CONCAT(Paper_Reference[[#This Row],[Lvl]:[Paper Description]])</f>
        <v>2J48ISPECN400SPRCTRALITE D/G 48 X 1201101100DS009-5000FROSTY WHITE</v>
      </c>
      <c r="J2279" s="7">
        <f>COUNTIF(Paper_Reference[Duplicate Key],Paper_Reference[[#This Row],[Duplicate Key]])</f>
        <v>1</v>
      </c>
    </row>
    <row r="2280" spans="1:10">
      <c r="A2280" s="7">
        <v>2</v>
      </c>
      <c r="B2280" s="8" t="s">
        <v>7523</v>
      </c>
      <c r="C2280" s="8" t="s">
        <v>6847</v>
      </c>
      <c r="D2280" s="7">
        <v>1</v>
      </c>
      <c r="E2280" s="7">
        <v>10</v>
      </c>
      <c r="F2280" s="7">
        <v>1</v>
      </c>
      <c r="G2280" s="8" t="s">
        <v>6710</v>
      </c>
      <c r="H2280" s="8" t="s">
        <v>5691</v>
      </c>
      <c r="I2280" s="7" t="str">
        <f>_xlfn.CONCAT(Paper_Reference[[#This Row],[Lvl]:[Paper Description]])</f>
        <v>2J48ISPECN420SPECTRALITE D/G 48 X 1441101100DS009-5000FROSTY WHITE</v>
      </c>
      <c r="J2280" s="7">
        <f>COUNTIF(Paper_Reference[Duplicate Key],Paper_Reference[[#This Row],[Duplicate Key]])</f>
        <v>1</v>
      </c>
    </row>
    <row r="2281" spans="1:10">
      <c r="A2281" s="7">
        <v>2</v>
      </c>
      <c r="B2281" s="8" t="s">
        <v>7524</v>
      </c>
      <c r="C2281" s="8" t="s">
        <v>6843</v>
      </c>
      <c r="D2281" s="7">
        <v>1</v>
      </c>
      <c r="E2281" s="7">
        <v>10</v>
      </c>
      <c r="F2281" s="7">
        <v>1</v>
      </c>
      <c r="G2281" s="8" t="s">
        <v>6710</v>
      </c>
      <c r="H2281" s="8" t="s">
        <v>5691</v>
      </c>
      <c r="I2281" s="7" t="str">
        <f>_xlfn.CONCAT(Paper_Reference[[#This Row],[Lvl]:[Paper Description]])</f>
        <v>2J48ISPECN480SPECTRALITE D/G 48 X 961101100DS009-5000FROSTY WHITE</v>
      </c>
      <c r="J2281" s="7">
        <f>COUNTIF(Paper_Reference[Duplicate Key],Paper_Reference[[#This Row],[Duplicate Key]])</f>
        <v>1</v>
      </c>
    </row>
    <row r="2282" spans="1:10">
      <c r="A2282" s="7">
        <v>2</v>
      </c>
      <c r="B2282" s="8" t="s">
        <v>6284</v>
      </c>
      <c r="C2282" s="8" t="s">
        <v>5820</v>
      </c>
      <c r="D2282" s="7">
        <v>1</v>
      </c>
      <c r="E2282" s="7">
        <v>10</v>
      </c>
      <c r="F2282" s="7">
        <v>1</v>
      </c>
      <c r="G2282" s="8" t="s">
        <v>5690</v>
      </c>
      <c r="H2282" s="8" t="s">
        <v>5691</v>
      </c>
      <c r="I2282" s="7" t="str">
        <f>_xlfn.CONCAT(Paper_Reference[[#This Row],[Lvl]:[Paper Description]])</f>
        <v>2J48ISPECN520SPECTRALITE D/G 60 X 1441101100DS009-6200FROSTY WHITE</v>
      </c>
      <c r="J2282" s="7">
        <f>COUNTIF(Paper_Reference[Duplicate Key],Paper_Reference[[#This Row],[Duplicate Key]])</f>
        <v>1</v>
      </c>
    </row>
    <row r="2283" spans="1:10">
      <c r="A2283" s="7">
        <v>2</v>
      </c>
      <c r="B2283" s="8" t="s">
        <v>7525</v>
      </c>
      <c r="C2283" s="8" t="s">
        <v>6848</v>
      </c>
      <c r="D2283" s="7">
        <v>1</v>
      </c>
      <c r="E2283" s="7">
        <v>10</v>
      </c>
      <c r="F2283" s="7">
        <v>1</v>
      </c>
      <c r="G2283" s="8" t="s">
        <v>6710</v>
      </c>
      <c r="H2283" s="8" t="s">
        <v>5691</v>
      </c>
      <c r="I2283" s="7" t="str">
        <f>_xlfn.CONCAT(Paper_Reference[[#This Row],[Lvl]:[Paper Description]])</f>
        <v>2J48ISWANN400SWAN D/G 48 X 1201101100DS009-5000FROSTY WHITE</v>
      </c>
      <c r="J2283" s="7">
        <f>COUNTIF(Paper_Reference[Duplicate Key],Paper_Reference[[#This Row],[Duplicate Key]])</f>
        <v>1</v>
      </c>
    </row>
    <row r="2284" spans="1:10">
      <c r="A2284" s="7">
        <v>2</v>
      </c>
      <c r="B2284" s="8" t="s">
        <v>7526</v>
      </c>
      <c r="C2284" s="8" t="s">
        <v>6849</v>
      </c>
      <c r="D2284" s="7">
        <v>1</v>
      </c>
      <c r="E2284" s="7">
        <v>10</v>
      </c>
      <c r="F2284" s="7">
        <v>1</v>
      </c>
      <c r="G2284" s="8" t="s">
        <v>6710</v>
      </c>
      <c r="H2284" s="8" t="s">
        <v>5691</v>
      </c>
      <c r="I2284" s="7" t="str">
        <f>_xlfn.CONCAT(Paper_Reference[[#This Row],[Lvl]:[Paper Description]])</f>
        <v>2J48ISWANN420SWAN D/G 48 X 1441101100DS009-5000FROSTY WHITE</v>
      </c>
      <c r="J2284" s="7">
        <f>COUNTIF(Paper_Reference[Duplicate Key],Paper_Reference[[#This Row],[Duplicate Key]])</f>
        <v>1</v>
      </c>
    </row>
    <row r="2285" spans="1:10">
      <c r="A2285" s="7">
        <v>2</v>
      </c>
      <c r="B2285" s="8" t="s">
        <v>7527</v>
      </c>
      <c r="C2285" s="8" t="s">
        <v>6850</v>
      </c>
      <c r="D2285" s="7">
        <v>1</v>
      </c>
      <c r="E2285" s="7">
        <v>10</v>
      </c>
      <c r="F2285" s="7">
        <v>1</v>
      </c>
      <c r="G2285" s="8" t="s">
        <v>6710</v>
      </c>
      <c r="H2285" s="8" t="s">
        <v>5691</v>
      </c>
      <c r="I2285" s="7" t="str">
        <f>_xlfn.CONCAT(Paper_Reference[[#This Row],[Lvl]:[Paper Description]])</f>
        <v>2J48PL09LN480CINEMASTAR PL09L 48 X 961101100DS009-5000FROSTY WHITE</v>
      </c>
      <c r="J2285" s="7">
        <f>COUNTIF(Paper_Reference[Duplicate Key],Paper_Reference[[#This Row],[Duplicate Key]])</f>
        <v>1</v>
      </c>
    </row>
    <row r="2286" spans="1:10">
      <c r="A2286" s="7">
        <v>2</v>
      </c>
      <c r="B2286" s="8" t="s">
        <v>7528</v>
      </c>
      <c r="C2286" s="8" t="s">
        <v>6851</v>
      </c>
      <c r="D2286" s="7">
        <v>1</v>
      </c>
      <c r="E2286" s="7">
        <v>10</v>
      </c>
      <c r="F2286" s="7">
        <v>1</v>
      </c>
      <c r="G2286" s="8" t="s">
        <v>6710</v>
      </c>
      <c r="H2286" s="8" t="s">
        <v>5691</v>
      </c>
      <c r="I2286" s="7" t="str">
        <f>_xlfn.CONCAT(Paper_Reference[[#This Row],[Lvl]:[Paper Description]])</f>
        <v>2J48PL09RN480CINEMASTAR PL09R 48 X 961101100DS009-5000FROSTY WHITE</v>
      </c>
      <c r="J2286" s="7">
        <f>COUNTIF(Paper_Reference[Duplicate Key],Paper_Reference[[#This Row],[Duplicate Key]])</f>
        <v>1</v>
      </c>
    </row>
    <row r="2287" spans="1:10">
      <c r="A2287" s="7">
        <v>2</v>
      </c>
      <c r="B2287" s="8" t="s">
        <v>7529</v>
      </c>
      <c r="C2287" s="8" t="s">
        <v>6852</v>
      </c>
      <c r="D2287" s="7">
        <v>1</v>
      </c>
      <c r="E2287" s="7">
        <v>10</v>
      </c>
      <c r="F2287" s="7">
        <v>1</v>
      </c>
      <c r="G2287" s="8" t="s">
        <v>6710</v>
      </c>
      <c r="H2287" s="8" t="s">
        <v>5691</v>
      </c>
      <c r="I2287" s="7" t="str">
        <f>_xlfn.CONCAT(Paper_Reference[[#This Row],[Lvl]:[Paper Description]])</f>
        <v>2J48PL10LN480CINEMASTAR PL10L 48 X 961101100DS009-5000FROSTY WHITE</v>
      </c>
      <c r="J2287" s="7">
        <f>COUNTIF(Paper_Reference[Duplicate Key],Paper_Reference[[#This Row],[Duplicate Key]])</f>
        <v>1</v>
      </c>
    </row>
    <row r="2288" spans="1:10">
      <c r="A2288" s="7">
        <v>2</v>
      </c>
      <c r="B2288" s="8" t="s">
        <v>7530</v>
      </c>
      <c r="C2288" s="8" t="s">
        <v>6853</v>
      </c>
      <c r="D2288" s="7">
        <v>1</v>
      </c>
      <c r="E2288" s="7">
        <v>10</v>
      </c>
      <c r="F2288" s="7">
        <v>1</v>
      </c>
      <c r="G2288" s="8" t="s">
        <v>6710</v>
      </c>
      <c r="H2288" s="8" t="s">
        <v>5691</v>
      </c>
      <c r="I2288" s="7" t="str">
        <f>_xlfn.CONCAT(Paper_Reference[[#This Row],[Lvl]:[Paper Description]])</f>
        <v>2J48PL10RN480CINEMASTAR PL10R 48 X 961101100DS009-5000FROSTY WHITE</v>
      </c>
      <c r="J2288" s="7">
        <f>COUNTIF(Paper_Reference[Duplicate Key],Paper_Reference[[#This Row],[Duplicate Key]])</f>
        <v>1</v>
      </c>
    </row>
    <row r="2289" spans="1:10">
      <c r="A2289" s="7">
        <v>2</v>
      </c>
      <c r="B2289" s="8" t="s">
        <v>7531</v>
      </c>
      <c r="C2289" s="8" t="s">
        <v>6854</v>
      </c>
      <c r="D2289" s="7">
        <v>1</v>
      </c>
      <c r="E2289" s="7">
        <v>10</v>
      </c>
      <c r="F2289" s="7">
        <v>1</v>
      </c>
      <c r="G2289" s="8" t="s">
        <v>6710</v>
      </c>
      <c r="H2289" s="8" t="s">
        <v>5691</v>
      </c>
      <c r="I2289" s="7" t="str">
        <f>_xlfn.CONCAT(Paper_Reference[[#This Row],[Lvl]:[Paper Description]])</f>
        <v>2J48PL11LN480CINEMASTAR PL11L 48 X 961101100DS009-5000FROSTY WHITE</v>
      </c>
      <c r="J2289" s="7">
        <f>COUNTIF(Paper_Reference[Duplicate Key],Paper_Reference[[#This Row],[Duplicate Key]])</f>
        <v>1</v>
      </c>
    </row>
    <row r="2290" spans="1:10">
      <c r="A2290" s="7">
        <v>2</v>
      </c>
      <c r="B2290" s="8" t="s">
        <v>7532</v>
      </c>
      <c r="C2290" s="8" t="s">
        <v>6855</v>
      </c>
      <c r="D2290" s="7">
        <v>1</v>
      </c>
      <c r="E2290" s="7">
        <v>10</v>
      </c>
      <c r="F2290" s="7">
        <v>1</v>
      </c>
      <c r="G2290" s="8" t="s">
        <v>6710</v>
      </c>
      <c r="H2290" s="8" t="s">
        <v>5691</v>
      </c>
      <c r="I2290" s="7" t="str">
        <f>_xlfn.CONCAT(Paper_Reference[[#This Row],[Lvl]:[Paper Description]])</f>
        <v>2J48PL11RN480CINEMASTAR PL11R 48 X 961101100DS009-5000FROSTY WHITE</v>
      </c>
      <c r="J2290" s="7">
        <f>COUNTIF(Paper_Reference[Duplicate Key],Paper_Reference[[#This Row],[Duplicate Key]])</f>
        <v>1</v>
      </c>
    </row>
    <row r="2291" spans="1:10">
      <c r="A2291" s="7">
        <v>2</v>
      </c>
      <c r="B2291" s="8" t="s">
        <v>7533</v>
      </c>
      <c r="C2291" s="8" t="s">
        <v>6856</v>
      </c>
      <c r="D2291" s="7">
        <v>1</v>
      </c>
      <c r="E2291" s="7">
        <v>10</v>
      </c>
      <c r="F2291" s="7">
        <v>1</v>
      </c>
      <c r="G2291" s="8" t="s">
        <v>6710</v>
      </c>
      <c r="H2291" s="8" t="s">
        <v>5691</v>
      </c>
      <c r="I2291" s="7" t="str">
        <f>_xlfn.CONCAT(Paper_Reference[[#This Row],[Lvl]:[Paper Description]])</f>
        <v>2J48PL12LN480CINEMASTAR PL12L 48 X 961101100DS009-5000FROSTY WHITE</v>
      </c>
      <c r="J2291" s="7">
        <f>COUNTIF(Paper_Reference[Duplicate Key],Paper_Reference[[#This Row],[Duplicate Key]])</f>
        <v>1</v>
      </c>
    </row>
    <row r="2292" spans="1:10">
      <c r="A2292" s="7">
        <v>2</v>
      </c>
      <c r="B2292" s="8" t="s">
        <v>7534</v>
      </c>
      <c r="C2292" s="8" t="s">
        <v>6857</v>
      </c>
      <c r="D2292" s="7">
        <v>1</v>
      </c>
      <c r="E2292" s="7">
        <v>10</v>
      </c>
      <c r="F2292" s="7">
        <v>1</v>
      </c>
      <c r="G2292" s="8" t="s">
        <v>6710</v>
      </c>
      <c r="H2292" s="8" t="s">
        <v>5691</v>
      </c>
      <c r="I2292" s="7" t="str">
        <f>_xlfn.CONCAT(Paper_Reference[[#This Row],[Lvl]:[Paper Description]])</f>
        <v>2J48PL12RN480CINEMASTAR PL12R 48 X 961101100DS009-5000FROSTY WHITE</v>
      </c>
      <c r="J2292" s="7">
        <f>COUNTIF(Paper_Reference[Duplicate Key],Paper_Reference[[#This Row],[Duplicate Key]])</f>
        <v>1</v>
      </c>
    </row>
    <row r="2293" spans="1:10">
      <c r="A2293" s="7">
        <v>2</v>
      </c>
      <c r="B2293" s="8" t="s">
        <v>7536</v>
      </c>
      <c r="C2293" s="8" t="s">
        <v>6858</v>
      </c>
      <c r="D2293" s="7">
        <v>1</v>
      </c>
      <c r="E2293" s="7">
        <v>10</v>
      </c>
      <c r="F2293" s="7">
        <v>1</v>
      </c>
      <c r="G2293" s="8" t="s">
        <v>6710</v>
      </c>
      <c r="H2293" s="8" t="s">
        <v>5691</v>
      </c>
      <c r="I2293" s="7" t="str">
        <f>_xlfn.CONCAT(Paper_Reference[[#This Row],[Lvl]:[Paper Description]])</f>
        <v>2J48R0003N480ROUND TABLE D/G 48 X 961101100DS009-5000FROSTY WHITE</v>
      </c>
      <c r="J2293" s="7">
        <f>COUNTIF(Paper_Reference[Duplicate Key],Paper_Reference[[#This Row],[Duplicate Key]])</f>
        <v>1</v>
      </c>
    </row>
    <row r="2294" spans="1:10">
      <c r="A2294" s="7">
        <v>2</v>
      </c>
      <c r="B2294" s="8" t="s">
        <v>7535</v>
      </c>
      <c r="C2294" s="8" t="s">
        <v>6858</v>
      </c>
      <c r="D2294" s="7">
        <v>1</v>
      </c>
      <c r="E2294" s="7">
        <v>10</v>
      </c>
      <c r="F2294" s="7">
        <v>1</v>
      </c>
      <c r="G2294" s="8" t="s">
        <v>6710</v>
      </c>
      <c r="H2294" s="8" t="s">
        <v>5691</v>
      </c>
      <c r="I2294" s="7" t="str">
        <f>_xlfn.CONCAT(Paper_Reference[[#This Row],[Lvl]:[Paper Description]])</f>
        <v>2J48R0003N4801ROUND TABLE D/G 48 X 961101100DS009-5000FROSTY WHITE</v>
      </c>
      <c r="J2294" s="7">
        <f>COUNTIF(Paper_Reference[Duplicate Key],Paper_Reference[[#This Row],[Duplicate Key]])</f>
        <v>1</v>
      </c>
    </row>
    <row r="2295" spans="1:10">
      <c r="A2295" s="7">
        <v>2</v>
      </c>
      <c r="B2295" s="8" t="s">
        <v>7538</v>
      </c>
      <c r="C2295" s="8" t="s">
        <v>6859</v>
      </c>
      <c r="D2295" s="7">
        <v>1</v>
      </c>
      <c r="E2295" s="7">
        <v>10</v>
      </c>
      <c r="F2295" s="7">
        <v>1</v>
      </c>
      <c r="G2295" s="8" t="s">
        <v>6710</v>
      </c>
      <c r="H2295" s="8" t="s">
        <v>5691</v>
      </c>
      <c r="I2295" s="7" t="str">
        <f>_xlfn.CONCAT(Paper_Reference[[#This Row],[Lvl]:[Paper Description]])</f>
        <v>2J48R0004N480SQUARE TABLE D/G 48 X 961101100DS009-5000FROSTY WHITE</v>
      </c>
      <c r="J2295" s="7">
        <f>COUNTIF(Paper_Reference[Duplicate Key],Paper_Reference[[#This Row],[Duplicate Key]])</f>
        <v>1</v>
      </c>
    </row>
    <row r="2296" spans="1:10">
      <c r="A2296" s="7">
        <v>2</v>
      </c>
      <c r="B2296" s="8" t="s">
        <v>7537</v>
      </c>
      <c r="C2296" s="8" t="s">
        <v>6859</v>
      </c>
      <c r="D2296" s="7">
        <v>1</v>
      </c>
      <c r="E2296" s="7">
        <v>10</v>
      </c>
      <c r="F2296" s="7">
        <v>1</v>
      </c>
      <c r="G2296" s="8" t="s">
        <v>6710</v>
      </c>
      <c r="H2296" s="8" t="s">
        <v>5691</v>
      </c>
      <c r="I2296" s="7" t="str">
        <f>_xlfn.CONCAT(Paper_Reference[[#This Row],[Lvl]:[Paper Description]])</f>
        <v>2J48R0004N4801SQUARE TABLE D/G 48 X 961101100DS009-5000FROSTY WHITE</v>
      </c>
      <c r="J2296" s="7">
        <f>COUNTIF(Paper_Reference[Duplicate Key],Paper_Reference[[#This Row],[Duplicate Key]])</f>
        <v>1</v>
      </c>
    </row>
    <row r="2297" spans="1:10">
      <c r="A2297" s="7">
        <v>2</v>
      </c>
      <c r="B2297" s="8" t="s">
        <v>7540</v>
      </c>
      <c r="C2297" s="8" t="s">
        <v>6860</v>
      </c>
      <c r="D2297" s="7">
        <v>1</v>
      </c>
      <c r="E2297" s="7">
        <v>10</v>
      </c>
      <c r="F2297" s="7">
        <v>1</v>
      </c>
      <c r="G2297" s="8" t="s">
        <v>6710</v>
      </c>
      <c r="H2297" s="8" t="s">
        <v>5691</v>
      </c>
      <c r="I2297" s="7" t="str">
        <f>_xlfn.CONCAT(Paper_Reference[[#This Row],[Lvl]:[Paper Description]])</f>
        <v>2J48R0005N480MAN BOWLING D/G 48 X 961101100DS009-5000FROSTY WHITE</v>
      </c>
      <c r="J2297" s="7">
        <f>COUNTIF(Paper_Reference[Duplicate Key],Paper_Reference[[#This Row],[Duplicate Key]])</f>
        <v>1</v>
      </c>
    </row>
    <row r="2298" spans="1:10">
      <c r="A2298" s="7">
        <v>2</v>
      </c>
      <c r="B2298" s="8" t="s">
        <v>7539</v>
      </c>
      <c r="C2298" s="8" t="s">
        <v>6860</v>
      </c>
      <c r="D2298" s="7">
        <v>1</v>
      </c>
      <c r="E2298" s="7">
        <v>10</v>
      </c>
      <c r="F2298" s="7">
        <v>1</v>
      </c>
      <c r="G2298" s="8" t="s">
        <v>6710</v>
      </c>
      <c r="H2298" s="8" t="s">
        <v>5691</v>
      </c>
      <c r="I2298" s="7" t="str">
        <f>_xlfn.CONCAT(Paper_Reference[[#This Row],[Lvl]:[Paper Description]])</f>
        <v>2J48R0005N4801MAN BOWLING D/G 48 X 961101100DS009-5000FROSTY WHITE</v>
      </c>
      <c r="J2298" s="7">
        <f>COUNTIF(Paper_Reference[Duplicate Key],Paper_Reference[[#This Row],[Duplicate Key]])</f>
        <v>1</v>
      </c>
    </row>
    <row r="2299" spans="1:10">
      <c r="A2299" s="7">
        <v>2</v>
      </c>
      <c r="B2299" s="8" t="s">
        <v>7541</v>
      </c>
      <c r="C2299" s="8" t="s">
        <v>6861</v>
      </c>
      <c r="D2299" s="7">
        <v>1</v>
      </c>
      <c r="E2299" s="7">
        <v>10</v>
      </c>
      <c r="F2299" s="7">
        <v>1</v>
      </c>
      <c r="G2299" s="8" t="s">
        <v>6710</v>
      </c>
      <c r="H2299" s="8" t="s">
        <v>5691</v>
      </c>
      <c r="I2299" s="7" t="str">
        <f>_xlfn.CONCAT(Paper_Reference[[#This Row],[Lvl]:[Paper Description]])</f>
        <v>2J48R0007N300JUST TIRES D/G 36 X 1201101100DS009-5000FROSTY WHITE</v>
      </c>
      <c r="J2299" s="7">
        <f>COUNTIF(Paper_Reference[Duplicate Key],Paper_Reference[[#This Row],[Duplicate Key]])</f>
        <v>1</v>
      </c>
    </row>
    <row r="2300" spans="1:10">
      <c r="A2300" s="7">
        <v>2</v>
      </c>
      <c r="B2300" s="8" t="s">
        <v>7542</v>
      </c>
      <c r="C2300" s="8" t="s">
        <v>6862</v>
      </c>
      <c r="D2300" s="7">
        <v>1</v>
      </c>
      <c r="E2300" s="7">
        <v>10</v>
      </c>
      <c r="F2300" s="7">
        <v>1</v>
      </c>
      <c r="G2300" s="8" t="s">
        <v>6710</v>
      </c>
      <c r="H2300" s="8" t="s">
        <v>5691</v>
      </c>
      <c r="I2300" s="7" t="str">
        <f>_xlfn.CONCAT(Paper_Reference[[#This Row],[Lvl]:[Paper Description]])</f>
        <v>2J48R0007N320JUST TIRES D/G 36 X 1441101100DS009-5000FROSTY WHITE</v>
      </c>
      <c r="J2300" s="7">
        <f>COUNTIF(Paper_Reference[Duplicate Key],Paper_Reference[[#This Row],[Duplicate Key]])</f>
        <v>1</v>
      </c>
    </row>
    <row r="2301" spans="1:10">
      <c r="A2301" s="7">
        <v>2</v>
      </c>
      <c r="B2301" s="8" t="s">
        <v>7543</v>
      </c>
      <c r="C2301" s="8" t="s">
        <v>6863</v>
      </c>
      <c r="D2301" s="7">
        <v>1</v>
      </c>
      <c r="E2301" s="7">
        <v>10</v>
      </c>
      <c r="F2301" s="7">
        <v>1</v>
      </c>
      <c r="G2301" s="8" t="s">
        <v>6710</v>
      </c>
      <c r="H2301" s="8" t="s">
        <v>5691</v>
      </c>
      <c r="I2301" s="7" t="str">
        <f>_xlfn.CONCAT(Paper_Reference[[#This Row],[Lvl]:[Paper Description]])</f>
        <v>2J48R0007N380JUST TIRES D/G 36 X 961101100DS009-5000FROSTY WHITE</v>
      </c>
      <c r="J2301" s="7">
        <f>COUNTIF(Paper_Reference[Duplicate Key],Paper_Reference[[#This Row],[Duplicate Key]])</f>
        <v>1</v>
      </c>
    </row>
    <row r="2302" spans="1:10">
      <c r="A2302" s="7">
        <v>2</v>
      </c>
      <c r="B2302" s="8" t="s">
        <v>7545</v>
      </c>
      <c r="C2302" s="8" t="s">
        <v>6864</v>
      </c>
      <c r="D2302" s="7">
        <v>1</v>
      </c>
      <c r="E2302" s="7">
        <v>10</v>
      </c>
      <c r="F2302" s="7">
        <v>1</v>
      </c>
      <c r="G2302" s="8" t="s">
        <v>6710</v>
      </c>
      <c r="H2302" s="8" t="s">
        <v>5691</v>
      </c>
      <c r="I2302" s="7" t="str">
        <f>_xlfn.CONCAT(Paper_Reference[[#This Row],[Lvl]:[Paper Description]])</f>
        <v>2J48R0010N480TRADE SHOW D/G 48 X 961101100DS009-5000FROSTY WHITE</v>
      </c>
      <c r="J2302" s="7">
        <f>COUNTIF(Paper_Reference[Duplicate Key],Paper_Reference[[#This Row],[Duplicate Key]])</f>
        <v>1</v>
      </c>
    </row>
    <row r="2303" spans="1:10">
      <c r="A2303" s="7">
        <v>2</v>
      </c>
      <c r="B2303" s="8" t="s">
        <v>7544</v>
      </c>
      <c r="C2303" s="8" t="s">
        <v>6864</v>
      </c>
      <c r="D2303" s="7">
        <v>1</v>
      </c>
      <c r="E2303" s="7">
        <v>10</v>
      </c>
      <c r="F2303" s="7">
        <v>1</v>
      </c>
      <c r="G2303" s="8" t="s">
        <v>6710</v>
      </c>
      <c r="H2303" s="8" t="s">
        <v>5691</v>
      </c>
      <c r="I2303" s="7" t="str">
        <f>_xlfn.CONCAT(Paper_Reference[[#This Row],[Lvl]:[Paper Description]])</f>
        <v>2J48R0010N4801TRADE SHOW D/G 48 X 961101100DS009-5000FROSTY WHITE</v>
      </c>
      <c r="J2303" s="7">
        <f>COUNTIF(Paper_Reference[Duplicate Key],Paper_Reference[[#This Row],[Duplicate Key]])</f>
        <v>1</v>
      </c>
    </row>
    <row r="2304" spans="1:10">
      <c r="A2304" s="7">
        <v>2</v>
      </c>
      <c r="B2304" s="8" t="s">
        <v>7546</v>
      </c>
      <c r="C2304" s="8" t="s">
        <v>6865</v>
      </c>
      <c r="D2304" s="7">
        <v>1</v>
      </c>
      <c r="E2304" s="7">
        <v>10</v>
      </c>
      <c r="F2304" s="7">
        <v>1</v>
      </c>
      <c r="G2304" s="8" t="s">
        <v>6710</v>
      </c>
      <c r="H2304" s="8" t="s">
        <v>5691</v>
      </c>
      <c r="I2304" s="7" t="str">
        <f>_xlfn.CONCAT(Paper_Reference[[#This Row],[Lvl]:[Paper Description]])</f>
        <v>2J48R0014N380CORN &amp; PANS D/G 36 X 961101100DS009-5000FROSTY WHITE</v>
      </c>
      <c r="J2304" s="7">
        <f>COUNTIF(Paper_Reference[Duplicate Key],Paper_Reference[[#This Row],[Duplicate Key]])</f>
        <v>1</v>
      </c>
    </row>
    <row r="2305" spans="1:10">
      <c r="A2305" s="7">
        <v>2</v>
      </c>
      <c r="B2305" s="8" t="s">
        <v>7547</v>
      </c>
      <c r="C2305" s="8" t="s">
        <v>6866</v>
      </c>
      <c r="D2305" s="7">
        <v>1</v>
      </c>
      <c r="E2305" s="7">
        <v>10</v>
      </c>
      <c r="F2305" s="7">
        <v>1</v>
      </c>
      <c r="G2305" s="8" t="s">
        <v>6710</v>
      </c>
      <c r="H2305" s="8" t="s">
        <v>5691</v>
      </c>
      <c r="I2305" s="7" t="str">
        <f>_xlfn.CONCAT(Paper_Reference[[#This Row],[Lvl]:[Paper Description]])</f>
        <v>2J48R0015N380BURGER D/G 36 X 961101100DS009-5000FROSTY WHITE</v>
      </c>
      <c r="J2305" s="7">
        <f>COUNTIF(Paper_Reference[Duplicate Key],Paper_Reference[[#This Row],[Duplicate Key]])</f>
        <v>1</v>
      </c>
    </row>
    <row r="2306" spans="1:10">
      <c r="A2306" s="7">
        <v>2</v>
      </c>
      <c r="B2306" s="8" t="s">
        <v>7548</v>
      </c>
      <c r="C2306" s="8" t="s">
        <v>6867</v>
      </c>
      <c r="D2306" s="7">
        <v>1</v>
      </c>
      <c r="E2306" s="7">
        <v>10</v>
      </c>
      <c r="F2306" s="7">
        <v>1</v>
      </c>
      <c r="G2306" s="8" t="s">
        <v>6710</v>
      </c>
      <c r="H2306" s="8" t="s">
        <v>5691</v>
      </c>
      <c r="I2306" s="7" t="str">
        <f>_xlfn.CONCAT(Paper_Reference[[#This Row],[Lvl]:[Paper Description]])</f>
        <v>2J48R0016N380SHRIMP D/G 36 X 961101100DS009-5000FROSTY WHITE</v>
      </c>
      <c r="J2306" s="7">
        <f>COUNTIF(Paper_Reference[Duplicate Key],Paper_Reference[[#This Row],[Duplicate Key]])</f>
        <v>1</v>
      </c>
    </row>
    <row r="2307" spans="1:10">
      <c r="A2307" s="7">
        <v>2</v>
      </c>
      <c r="B2307" s="8" t="s">
        <v>7549</v>
      </c>
      <c r="C2307" s="8" t="s">
        <v>6868</v>
      </c>
      <c r="D2307" s="7">
        <v>1</v>
      </c>
      <c r="E2307" s="7">
        <v>10</v>
      </c>
      <c r="F2307" s="7">
        <v>1</v>
      </c>
      <c r="G2307" s="8" t="s">
        <v>6710</v>
      </c>
      <c r="H2307" s="8" t="s">
        <v>5691</v>
      </c>
      <c r="I2307" s="7" t="str">
        <f>_xlfn.CONCAT(Paper_Reference[[#This Row],[Lvl]:[Paper Description]])</f>
        <v>2J48R0017N320LONG JOHN SILVERS D/G 36 X 1441101100DS009-5000FROSTY WHITE</v>
      </c>
      <c r="J2307" s="7">
        <f>COUNTIF(Paper_Reference[Duplicate Key],Paper_Reference[[#This Row],[Duplicate Key]])</f>
        <v>1</v>
      </c>
    </row>
    <row r="2308" spans="1:10">
      <c r="A2308" s="7">
        <v>2</v>
      </c>
      <c r="B2308" s="8" t="s">
        <v>7550</v>
      </c>
      <c r="C2308" s="8" t="s">
        <v>6869</v>
      </c>
      <c r="D2308" s="7">
        <v>1</v>
      </c>
      <c r="E2308" s="7">
        <v>10</v>
      </c>
      <c r="F2308" s="7">
        <v>1</v>
      </c>
      <c r="G2308" s="8" t="s">
        <v>6710</v>
      </c>
      <c r="H2308" s="8" t="s">
        <v>5691</v>
      </c>
      <c r="I2308" s="7" t="str">
        <f>_xlfn.CONCAT(Paper_Reference[[#This Row],[Lvl]:[Paper Description]])</f>
        <v>2J48R0018N320A &amp; W D/G 36 X 1441101100DS009-5000FROSTY WHITE</v>
      </c>
      <c r="J2308" s="7">
        <f>COUNTIF(Paper_Reference[Duplicate Key],Paper_Reference[[#This Row],[Duplicate Key]])</f>
        <v>1</v>
      </c>
    </row>
    <row r="2309" spans="1:10">
      <c r="A2309" s="7">
        <v>2</v>
      </c>
      <c r="B2309" s="8" t="s">
        <v>7551</v>
      </c>
      <c r="C2309" s="8" t="s">
        <v>6870</v>
      </c>
      <c r="D2309" s="7">
        <v>1</v>
      </c>
      <c r="E2309" s="7">
        <v>10</v>
      </c>
      <c r="F2309" s="7">
        <v>1</v>
      </c>
      <c r="G2309" s="8" t="s">
        <v>6710</v>
      </c>
      <c r="H2309" s="8" t="s">
        <v>5691</v>
      </c>
      <c r="I2309" s="7" t="str">
        <f>_xlfn.CONCAT(Paper_Reference[[#This Row],[Lvl]:[Paper Description]])</f>
        <v>2J48R0019N4801IHOP WEAVE D/G 48 X 961101100DS009-5000FROSTY WHITE</v>
      </c>
      <c r="J2309" s="7">
        <f>COUNTIF(Paper_Reference[Duplicate Key],Paper_Reference[[#This Row],[Duplicate Key]])</f>
        <v>1</v>
      </c>
    </row>
    <row r="2310" spans="1:10">
      <c r="A2310" s="7">
        <v>2</v>
      </c>
      <c r="B2310" s="8" t="s">
        <v>7552</v>
      </c>
      <c r="C2310" s="8" t="s">
        <v>6871</v>
      </c>
      <c r="D2310" s="7">
        <v>1</v>
      </c>
      <c r="E2310" s="7">
        <v>10</v>
      </c>
      <c r="F2310" s="7">
        <v>1</v>
      </c>
      <c r="G2310" s="8" t="s">
        <v>6710</v>
      </c>
      <c r="H2310" s="8" t="s">
        <v>5691</v>
      </c>
      <c r="I2310" s="7" t="str">
        <f>_xlfn.CONCAT(Paper_Reference[[#This Row],[Lvl]:[Paper Description]])</f>
        <v>2J48R0020N4801IHOP TEXT D/G 48 X 961101100DS009-5000FROSTY WHITE</v>
      </c>
      <c r="J2310" s="7">
        <f>COUNTIF(Paper_Reference[Duplicate Key],Paper_Reference[[#This Row],[Duplicate Key]])</f>
        <v>1</v>
      </c>
    </row>
    <row r="2311" spans="1:10">
      <c r="A2311" s="7">
        <v>2</v>
      </c>
      <c r="B2311" s="8" t="s">
        <v>7553</v>
      </c>
      <c r="C2311" s="8" t="s">
        <v>6872</v>
      </c>
      <c r="D2311" s="7">
        <v>1</v>
      </c>
      <c r="E2311" s="7">
        <v>10</v>
      </c>
      <c r="F2311" s="7">
        <v>1</v>
      </c>
      <c r="G2311" s="8" t="s">
        <v>6710</v>
      </c>
      <c r="H2311" s="8" t="s">
        <v>5691</v>
      </c>
      <c r="I2311" s="7" t="str">
        <f>_xlfn.CONCAT(Paper_Reference[[#This Row],[Lvl]:[Paper Description]])</f>
        <v>2J48R0021N4801STRIDE RITE # 1 D/G 48 X 961101100DS009-5000FROSTY WHITE</v>
      </c>
      <c r="J2311" s="7">
        <f>COUNTIF(Paper_Reference[Duplicate Key],Paper_Reference[[#This Row],[Duplicate Key]])</f>
        <v>1</v>
      </c>
    </row>
    <row r="2312" spans="1:10">
      <c r="A2312" s="7">
        <v>2</v>
      </c>
      <c r="B2312" s="8" t="s">
        <v>7554</v>
      </c>
      <c r="C2312" s="8" t="s">
        <v>6873</v>
      </c>
      <c r="D2312" s="7">
        <v>1</v>
      </c>
      <c r="E2312" s="7">
        <v>10</v>
      </c>
      <c r="F2312" s="7">
        <v>1</v>
      </c>
      <c r="G2312" s="8" t="s">
        <v>6710</v>
      </c>
      <c r="H2312" s="8" t="s">
        <v>5691</v>
      </c>
      <c r="I2312" s="7" t="str">
        <f>_xlfn.CONCAT(Paper_Reference[[#This Row],[Lvl]:[Paper Description]])</f>
        <v>2J48R0022N4001STRIDE RITE #2&amp;# 3 D/G 48X1201101100DS009-5000FROSTY WHITE</v>
      </c>
      <c r="J2312" s="7">
        <f>COUNTIF(Paper_Reference[Duplicate Key],Paper_Reference[[#This Row],[Duplicate Key]])</f>
        <v>1</v>
      </c>
    </row>
    <row r="2313" spans="1:10">
      <c r="A2313" s="7">
        <v>2</v>
      </c>
      <c r="B2313" s="8" t="s">
        <v>6285</v>
      </c>
      <c r="C2313" s="8" t="s">
        <v>5821</v>
      </c>
      <c r="D2313" s="7">
        <v>1</v>
      </c>
      <c r="E2313" s="7">
        <v>10</v>
      </c>
      <c r="F2313" s="7">
        <v>1</v>
      </c>
      <c r="G2313" s="8" t="s">
        <v>5690</v>
      </c>
      <c r="H2313" s="8" t="s">
        <v>5691</v>
      </c>
      <c r="I2313" s="7" t="str">
        <f>_xlfn.CONCAT(Paper_Reference[[#This Row],[Lvl]:[Paper Description]])</f>
        <v>2J48R0023N5001STRIDE RITE # 5 D/G 60 X 1201101100DS009-6200FROSTY WHITE</v>
      </c>
      <c r="J2313" s="7">
        <f>COUNTIF(Paper_Reference[Duplicate Key],Paper_Reference[[#This Row],[Duplicate Key]])</f>
        <v>1</v>
      </c>
    </row>
    <row r="2314" spans="1:10">
      <c r="A2314" s="7">
        <v>2</v>
      </c>
      <c r="B2314" s="8" t="s">
        <v>7555</v>
      </c>
      <c r="C2314" s="8" t="s">
        <v>6874</v>
      </c>
      <c r="D2314" s="7">
        <v>1</v>
      </c>
      <c r="E2314" s="7">
        <v>10</v>
      </c>
      <c r="F2314" s="7">
        <v>1</v>
      </c>
      <c r="G2314" s="8" t="s">
        <v>6710</v>
      </c>
      <c r="H2314" s="8" t="s">
        <v>5691</v>
      </c>
      <c r="I2314" s="7" t="str">
        <f>_xlfn.CONCAT(Paper_Reference[[#This Row],[Lvl]:[Paper Description]])</f>
        <v>2J48R0024N4801STRIDE RITE # 4 D/G 48 X 961101100DS009-5000FROSTY WHITE</v>
      </c>
      <c r="J2314" s="7">
        <f>COUNTIF(Paper_Reference[Duplicate Key],Paper_Reference[[#This Row],[Duplicate Key]])</f>
        <v>1</v>
      </c>
    </row>
    <row r="2315" spans="1:10">
      <c r="A2315" s="7">
        <v>2</v>
      </c>
      <c r="B2315" s="8" t="s">
        <v>7556</v>
      </c>
      <c r="C2315" s="8" t="s">
        <v>6875</v>
      </c>
      <c r="D2315" s="7">
        <v>1</v>
      </c>
      <c r="E2315" s="7">
        <v>10</v>
      </c>
      <c r="F2315" s="7">
        <v>1</v>
      </c>
      <c r="G2315" s="8" t="s">
        <v>6710</v>
      </c>
      <c r="H2315" s="8" t="s">
        <v>5691</v>
      </c>
      <c r="I2315" s="7" t="str">
        <f>_xlfn.CONCAT(Paper_Reference[[#This Row],[Lvl]:[Paper Description]])</f>
        <v>2J48R0028N480WALKERSVILLE LANE D/G 48 X 961101100DS009-5000FROSTY WHITE</v>
      </c>
      <c r="J2315" s="7">
        <f>COUNTIF(Paper_Reference[Duplicate Key],Paper_Reference[[#This Row],[Duplicate Key]])</f>
        <v>1</v>
      </c>
    </row>
    <row r="2316" spans="1:10">
      <c r="A2316" s="7">
        <v>2</v>
      </c>
      <c r="B2316" s="8" t="s">
        <v>7557</v>
      </c>
      <c r="C2316" s="8" t="s">
        <v>6876</v>
      </c>
      <c r="D2316" s="7">
        <v>1</v>
      </c>
      <c r="E2316" s="7">
        <v>10</v>
      </c>
      <c r="F2316" s="7">
        <v>1</v>
      </c>
      <c r="G2316" s="8" t="s">
        <v>6710</v>
      </c>
      <c r="H2316" s="8" t="s">
        <v>5691</v>
      </c>
      <c r="I2316" s="7" t="str">
        <f>_xlfn.CONCAT(Paper_Reference[[#This Row],[Lvl]:[Paper Description]])</f>
        <v>2J48R0032G3001YBN GRAY DROPS D/G 36 X 1201101100DS009-5000FROSTY WHITE</v>
      </c>
      <c r="J2316" s="7">
        <f>COUNTIF(Paper_Reference[Duplicate Key],Paper_Reference[[#This Row],[Duplicate Key]])</f>
        <v>1</v>
      </c>
    </row>
    <row r="2317" spans="1:10">
      <c r="A2317" s="7">
        <v>2</v>
      </c>
      <c r="B2317" s="8" t="s">
        <v>7558</v>
      </c>
      <c r="C2317" s="8" t="s">
        <v>6877</v>
      </c>
      <c r="D2317" s="7">
        <v>1</v>
      </c>
      <c r="E2317" s="7">
        <v>10</v>
      </c>
      <c r="F2317" s="7">
        <v>1</v>
      </c>
      <c r="G2317" s="8" t="s">
        <v>6710</v>
      </c>
      <c r="H2317" s="8" t="s">
        <v>5691</v>
      </c>
      <c r="I2317" s="7" t="str">
        <f>_xlfn.CONCAT(Paper_Reference[[#This Row],[Lvl]:[Paper Description]])</f>
        <v>2J48R0046G4001YBN GRAY DROPS II  48 X 1201101100DS009-5000FROSTY WHITE</v>
      </c>
      <c r="J2317" s="7">
        <f>COUNTIF(Paper_Reference[Duplicate Key],Paper_Reference[[#This Row],[Duplicate Key]])</f>
        <v>1</v>
      </c>
    </row>
    <row r="2318" spans="1:10">
      <c r="A2318" s="7">
        <v>2</v>
      </c>
      <c r="B2318" s="8" t="s">
        <v>7559</v>
      </c>
      <c r="C2318" s="8" t="s">
        <v>6878</v>
      </c>
      <c r="D2318" s="7">
        <v>1</v>
      </c>
      <c r="E2318" s="7">
        <v>10</v>
      </c>
      <c r="F2318" s="7">
        <v>1</v>
      </c>
      <c r="G2318" s="8" t="s">
        <v>6710</v>
      </c>
      <c r="H2318" s="8" t="s">
        <v>5691</v>
      </c>
      <c r="I2318" s="7" t="str">
        <f>_xlfn.CONCAT(Paper_Reference[[#This Row],[Lvl]:[Paper Description]])</f>
        <v>2J48R0063N380WINGSTREET (30) D/G 36 X 961101100DS009-5000FROSTY WHITE</v>
      </c>
      <c r="J2318" s="7">
        <f>COUNTIF(Paper_Reference[Duplicate Key],Paper_Reference[[#This Row],[Duplicate Key]])</f>
        <v>1</v>
      </c>
    </row>
    <row r="2319" spans="1:10">
      <c r="A2319" s="7">
        <v>2</v>
      </c>
      <c r="B2319" s="8" t="s">
        <v>7560</v>
      </c>
      <c r="C2319" s="8" t="s">
        <v>6879</v>
      </c>
      <c r="D2319" s="7">
        <v>1</v>
      </c>
      <c r="E2319" s="7">
        <v>10</v>
      </c>
      <c r="F2319" s="7">
        <v>1</v>
      </c>
      <c r="G2319" s="8" t="s">
        <v>6710</v>
      </c>
      <c r="H2319" s="8" t="s">
        <v>5691</v>
      </c>
      <c r="I2319" s="7" t="str">
        <f>_xlfn.CONCAT(Paper_Reference[[#This Row],[Lvl]:[Paper Description]])</f>
        <v>2J48R0064N400WINGSTREET (36) D/G 48X1201101100DS009-5000FROSTY WHITE</v>
      </c>
      <c r="J2319" s="7">
        <f>COUNTIF(Paper_Reference[Duplicate Key],Paper_Reference[[#This Row],[Duplicate Key]])</f>
        <v>1</v>
      </c>
    </row>
    <row r="2320" spans="1:10">
      <c r="A2320" s="7">
        <v>2</v>
      </c>
      <c r="B2320" s="8" t="s">
        <v>6286</v>
      </c>
      <c r="C2320" s="8" t="s">
        <v>5822</v>
      </c>
      <c r="D2320" s="7">
        <v>1</v>
      </c>
      <c r="E2320" s="7">
        <v>10</v>
      </c>
      <c r="F2320" s="7">
        <v>1</v>
      </c>
      <c r="G2320" s="8" t="s">
        <v>5690</v>
      </c>
      <c r="H2320" s="8" t="s">
        <v>5691</v>
      </c>
      <c r="I2320" s="7" t="str">
        <f>_xlfn.CONCAT(Paper_Reference[[#This Row],[Lvl]:[Paper Description]])</f>
        <v>2J48R0066U5201AA GRID B&amp;W 60 X 1441101100DS009-6200FROSTY WHITE</v>
      </c>
      <c r="J2320" s="7">
        <f>COUNTIF(Paper_Reference[Duplicate Key],Paper_Reference[[#This Row],[Duplicate Key]])</f>
        <v>1</v>
      </c>
    </row>
    <row r="2321" spans="1:10">
      <c r="A2321" s="7">
        <v>2</v>
      </c>
      <c r="B2321" s="8" t="s">
        <v>6287</v>
      </c>
      <c r="C2321" s="8" t="s">
        <v>5823</v>
      </c>
      <c r="D2321" s="7">
        <v>1</v>
      </c>
      <c r="E2321" s="7">
        <v>10</v>
      </c>
      <c r="F2321" s="7">
        <v>1</v>
      </c>
      <c r="G2321" s="8" t="s">
        <v>5690</v>
      </c>
      <c r="H2321" s="8" t="s">
        <v>5691</v>
      </c>
      <c r="I2321" s="7" t="str">
        <f>_xlfn.CONCAT(Paper_Reference[[#This Row],[Lvl]:[Paper Description]])</f>
        <v>2J48R0098N500CLEMSON PAW 1 D/G 60 X 1201101100DS009-6200FROSTY WHITE</v>
      </c>
      <c r="J2321" s="7">
        <f>COUNTIF(Paper_Reference[Duplicate Key],Paper_Reference[[#This Row],[Duplicate Key]])</f>
        <v>1</v>
      </c>
    </row>
    <row r="2322" spans="1:10">
      <c r="A2322" s="7">
        <v>2</v>
      </c>
      <c r="B2322" s="8" t="s">
        <v>7561</v>
      </c>
      <c r="C2322" s="8" t="s">
        <v>6880</v>
      </c>
      <c r="D2322" s="7">
        <v>1</v>
      </c>
      <c r="E2322" s="7">
        <v>10</v>
      </c>
      <c r="F2322" s="7">
        <v>1</v>
      </c>
      <c r="G2322" s="8" t="s">
        <v>6710</v>
      </c>
      <c r="H2322" s="8" t="s">
        <v>5691</v>
      </c>
      <c r="I2322" s="7" t="str">
        <f>_xlfn.CONCAT(Paper_Reference[[#This Row],[Lvl]:[Paper Description]])</f>
        <v>2J48R0099N300CLEMSON PAW 2 D/G 36 X 1201101100DS009-5000FROSTY WHITE</v>
      </c>
      <c r="J2322" s="7">
        <f>COUNTIF(Paper_Reference[Duplicate Key],Paper_Reference[[#This Row],[Duplicate Key]])</f>
        <v>1</v>
      </c>
    </row>
    <row r="2323" spans="1:10">
      <c r="A2323" s="7">
        <v>2</v>
      </c>
      <c r="B2323" s="8" t="s">
        <v>7562</v>
      </c>
      <c r="C2323" s="8" t="s">
        <v>6881</v>
      </c>
      <c r="D2323" s="7">
        <v>1</v>
      </c>
      <c r="E2323" s="7">
        <v>10</v>
      </c>
      <c r="F2323" s="7">
        <v>1</v>
      </c>
      <c r="G2323" s="8" t="s">
        <v>6710</v>
      </c>
      <c r="H2323" s="8" t="s">
        <v>5691</v>
      </c>
      <c r="I2323" s="7" t="str">
        <f>_xlfn.CONCAT(Paper_Reference[[#This Row],[Lvl]:[Paper Description]])</f>
        <v>2J48R0099N400CLEMSON PAW 2 D/G 48X1201101100DS009-5000FROSTY WHITE</v>
      </c>
      <c r="J2323" s="7">
        <f>COUNTIF(Paper_Reference[Duplicate Key],Paper_Reference[[#This Row],[Duplicate Key]])</f>
        <v>1</v>
      </c>
    </row>
    <row r="2324" spans="1:10">
      <c r="A2324" s="7">
        <v>2</v>
      </c>
      <c r="B2324" s="8" t="s">
        <v>7563</v>
      </c>
      <c r="C2324" s="8" t="s">
        <v>6882</v>
      </c>
      <c r="D2324" s="7">
        <v>1</v>
      </c>
      <c r="E2324" s="7">
        <v>10</v>
      </c>
      <c r="F2324" s="7">
        <v>1</v>
      </c>
      <c r="G2324" s="8" t="s">
        <v>6710</v>
      </c>
      <c r="H2324" s="8" t="s">
        <v>5691</v>
      </c>
      <c r="I2324" s="7" t="str">
        <f>_xlfn.CONCAT(Paper_Reference[[#This Row],[Lvl]:[Paper Description]])</f>
        <v>2J48R0100N480CLEMSON PAW 3 D/G 48 X 961101100DS009-5000FROSTY WHITE</v>
      </c>
      <c r="J2324" s="7">
        <f>COUNTIF(Paper_Reference[Duplicate Key],Paper_Reference[[#This Row],[Duplicate Key]])</f>
        <v>1</v>
      </c>
    </row>
    <row r="2325" spans="1:10">
      <c r="A2325" s="7">
        <v>2</v>
      </c>
      <c r="B2325" s="8" t="s">
        <v>6288</v>
      </c>
      <c r="C2325" s="8" t="s">
        <v>5824</v>
      </c>
      <c r="D2325" s="7">
        <v>1</v>
      </c>
      <c r="E2325" s="7">
        <v>10</v>
      </c>
      <c r="F2325" s="7">
        <v>1</v>
      </c>
      <c r="G2325" s="8" t="s">
        <v>5690</v>
      </c>
      <c r="H2325" s="8" t="s">
        <v>5691</v>
      </c>
      <c r="I2325" s="7" t="str">
        <f>_xlfn.CONCAT(Paper_Reference[[#This Row],[Lvl]:[Paper Description]])</f>
        <v>2J48R0101N500CLEMSON PAW 4 D/G 60 X 1201101100DS009-6200FROSTY WHITE</v>
      </c>
      <c r="J2325" s="7">
        <f>COUNTIF(Paper_Reference[Duplicate Key],Paper_Reference[[#This Row],[Duplicate Key]])</f>
        <v>1</v>
      </c>
    </row>
    <row r="2326" spans="1:10">
      <c r="A2326" s="7">
        <v>2</v>
      </c>
      <c r="B2326" s="8" t="s">
        <v>6289</v>
      </c>
      <c r="C2326" s="8" t="s">
        <v>5825</v>
      </c>
      <c r="D2326" s="7">
        <v>1</v>
      </c>
      <c r="E2326" s="7">
        <v>10</v>
      </c>
      <c r="F2326" s="7">
        <v>1</v>
      </c>
      <c r="G2326" s="8" t="s">
        <v>5690</v>
      </c>
      <c r="H2326" s="8" t="s">
        <v>5691</v>
      </c>
      <c r="I2326" s="7" t="str">
        <f>_xlfn.CONCAT(Paper_Reference[[#This Row],[Lvl]:[Paper Description]])</f>
        <v>2J48R0104N500CLINTON P16 D/G 60 X 1201101100DS009-6200FROSTY WHITE</v>
      </c>
      <c r="J2326" s="7">
        <f>COUNTIF(Paper_Reference[Duplicate Key],Paper_Reference[[#This Row],[Duplicate Key]])</f>
        <v>1</v>
      </c>
    </row>
    <row r="2327" spans="1:10">
      <c r="A2327" s="7">
        <v>2</v>
      </c>
      <c r="B2327" s="8" t="s">
        <v>6290</v>
      </c>
      <c r="C2327" s="8" t="s">
        <v>5826</v>
      </c>
      <c r="D2327" s="7">
        <v>1</v>
      </c>
      <c r="E2327" s="7">
        <v>10</v>
      </c>
      <c r="F2327" s="7">
        <v>1</v>
      </c>
      <c r="G2327" s="8" t="s">
        <v>5690</v>
      </c>
      <c r="H2327" s="8" t="s">
        <v>5691</v>
      </c>
      <c r="I2327" s="7" t="str">
        <f>_xlfn.CONCAT(Paper_Reference[[#This Row],[Lvl]:[Paper Description]])</f>
        <v>2J48R0105N500CLINTON P17 D/G 60 X 1201101100DS009-6200FROSTY WHITE</v>
      </c>
      <c r="J2327" s="7">
        <f>COUNTIF(Paper_Reference[Duplicate Key],Paper_Reference[[#This Row],[Duplicate Key]])</f>
        <v>1</v>
      </c>
    </row>
    <row r="2328" spans="1:10">
      <c r="A2328" s="7">
        <v>2</v>
      </c>
      <c r="B2328" s="8" t="s">
        <v>6291</v>
      </c>
      <c r="C2328" s="8" t="s">
        <v>5738</v>
      </c>
      <c r="D2328" s="7">
        <v>1</v>
      </c>
      <c r="E2328" s="7">
        <v>10</v>
      </c>
      <c r="F2328" s="7">
        <v>1</v>
      </c>
      <c r="G2328" s="8" t="s">
        <v>5690</v>
      </c>
      <c r="H2328" s="8" t="s">
        <v>5691</v>
      </c>
      <c r="I2328" s="7" t="str">
        <f>_xlfn.CONCAT(Paper_Reference[[#This Row],[Lvl]:[Paper Description]])</f>
        <v>2J48R0106N500CLINTON P18 D/G 60 X 1201101100DS009-6200FROSTY WHITE</v>
      </c>
      <c r="J2328" s="7">
        <f>COUNTIF(Paper_Reference[Duplicate Key],Paper_Reference[[#This Row],[Duplicate Key]])</f>
        <v>1</v>
      </c>
    </row>
    <row r="2329" spans="1:10">
      <c r="A2329" s="7">
        <v>2</v>
      </c>
      <c r="B2329" s="8" t="s">
        <v>6292</v>
      </c>
      <c r="C2329" s="8" t="s">
        <v>5739</v>
      </c>
      <c r="D2329" s="7">
        <v>1</v>
      </c>
      <c r="E2329" s="7">
        <v>10</v>
      </c>
      <c r="F2329" s="7">
        <v>1</v>
      </c>
      <c r="G2329" s="8" t="s">
        <v>5690</v>
      </c>
      <c r="H2329" s="8" t="s">
        <v>5691</v>
      </c>
      <c r="I2329" s="7" t="str">
        <f>_xlfn.CONCAT(Paper_Reference[[#This Row],[Lvl]:[Paper Description]])</f>
        <v>2J48R0107N580CLINTON P19 D/G 60 X 961101100DS009-6200FROSTY WHITE</v>
      </c>
      <c r="J2329" s="7">
        <f>COUNTIF(Paper_Reference[Duplicate Key],Paper_Reference[[#This Row],[Duplicate Key]])</f>
        <v>1</v>
      </c>
    </row>
    <row r="2330" spans="1:10">
      <c r="A2330" s="7">
        <v>2</v>
      </c>
      <c r="B2330" s="8" t="s">
        <v>6293</v>
      </c>
      <c r="C2330" s="8" t="s">
        <v>5827</v>
      </c>
      <c r="D2330" s="7">
        <v>1</v>
      </c>
      <c r="E2330" s="7">
        <v>10</v>
      </c>
      <c r="F2330" s="7">
        <v>1</v>
      </c>
      <c r="G2330" s="8" t="s">
        <v>5690</v>
      </c>
      <c r="H2330" s="8" t="s">
        <v>5691</v>
      </c>
      <c r="I2330" s="7" t="str">
        <f>_xlfn.CONCAT(Paper_Reference[[#This Row],[Lvl]:[Paper Description]])</f>
        <v>2J48R0108N580CLINTON P20 D/G 60 X 961101100DS009-6200FROSTY WHITE</v>
      </c>
      <c r="J2330" s="7">
        <f>COUNTIF(Paper_Reference[Duplicate Key],Paper_Reference[[#This Row],[Duplicate Key]])</f>
        <v>1</v>
      </c>
    </row>
    <row r="2331" spans="1:10">
      <c r="A2331" s="7">
        <v>2</v>
      </c>
      <c r="B2331" s="8" t="s">
        <v>6294</v>
      </c>
      <c r="C2331" s="8" t="s">
        <v>5828</v>
      </c>
      <c r="D2331" s="7">
        <v>1</v>
      </c>
      <c r="E2331" s="7">
        <v>10</v>
      </c>
      <c r="F2331" s="7">
        <v>1</v>
      </c>
      <c r="G2331" s="8" t="s">
        <v>5690</v>
      </c>
      <c r="H2331" s="8" t="s">
        <v>5691</v>
      </c>
      <c r="I2331" s="7" t="str">
        <f>_xlfn.CONCAT(Paper_Reference[[#This Row],[Lvl]:[Paper Description]])</f>
        <v>2J48R0109N500CLINTON P21 D/G 60 X 1201101100DS009-6200FROSTY WHITE</v>
      </c>
      <c r="J2331" s="7">
        <f>COUNTIF(Paper_Reference[Duplicate Key],Paper_Reference[[#This Row],[Duplicate Key]])</f>
        <v>1</v>
      </c>
    </row>
    <row r="2332" spans="1:10">
      <c r="A2332" s="7">
        <v>2</v>
      </c>
      <c r="B2332" s="8" t="s">
        <v>6295</v>
      </c>
      <c r="C2332" s="8" t="s">
        <v>5829</v>
      </c>
      <c r="D2332" s="7">
        <v>1</v>
      </c>
      <c r="E2332" s="7">
        <v>10</v>
      </c>
      <c r="F2332" s="7">
        <v>1</v>
      </c>
      <c r="G2332" s="8" t="s">
        <v>5690</v>
      </c>
      <c r="H2332" s="8" t="s">
        <v>5691</v>
      </c>
      <c r="I2332" s="7" t="str">
        <f>_xlfn.CONCAT(Paper_Reference[[#This Row],[Lvl]:[Paper Description]])</f>
        <v>2J48R0110N500CLINTON P22 D/G 60 X 1201101100DS009-6200FROSTY WHITE</v>
      </c>
      <c r="J2332" s="7">
        <f>COUNTIF(Paper_Reference[Duplicate Key],Paper_Reference[[#This Row],[Duplicate Key]])</f>
        <v>1</v>
      </c>
    </row>
    <row r="2333" spans="1:10">
      <c r="A2333" s="7">
        <v>2</v>
      </c>
      <c r="B2333" s="8" t="s">
        <v>6296</v>
      </c>
      <c r="C2333" s="8" t="s">
        <v>5740</v>
      </c>
      <c r="D2333" s="7">
        <v>1</v>
      </c>
      <c r="E2333" s="7">
        <v>10</v>
      </c>
      <c r="F2333" s="7">
        <v>1</v>
      </c>
      <c r="G2333" s="8" t="s">
        <v>5690</v>
      </c>
      <c r="H2333" s="8" t="s">
        <v>5691</v>
      </c>
      <c r="I2333" s="7" t="str">
        <f>_xlfn.CONCAT(Paper_Reference[[#This Row],[Lvl]:[Paper Description]])</f>
        <v>2J48R0111N500CLINTON P23 D/G 60 X 1201101100DS009-6200FROSTY WHITE</v>
      </c>
      <c r="J2333" s="7">
        <f>COUNTIF(Paper_Reference[Duplicate Key],Paper_Reference[[#This Row],[Duplicate Key]])</f>
        <v>1</v>
      </c>
    </row>
    <row r="2334" spans="1:10">
      <c r="A2334" s="7">
        <v>2</v>
      </c>
      <c r="B2334" s="8" t="s">
        <v>6297</v>
      </c>
      <c r="C2334" s="8" t="s">
        <v>5741</v>
      </c>
      <c r="D2334" s="7">
        <v>1</v>
      </c>
      <c r="E2334" s="7">
        <v>10</v>
      </c>
      <c r="F2334" s="7">
        <v>1</v>
      </c>
      <c r="G2334" s="8" t="s">
        <v>5690</v>
      </c>
      <c r="H2334" s="8" t="s">
        <v>5691</v>
      </c>
      <c r="I2334" s="7" t="str">
        <f>_xlfn.CONCAT(Paper_Reference[[#This Row],[Lvl]:[Paper Description]])</f>
        <v>2J48R0112N580CLINTON P24 D/G 60 X 961101100DS009-6200FROSTY WHITE</v>
      </c>
      <c r="J2334" s="7">
        <f>COUNTIF(Paper_Reference[Duplicate Key],Paper_Reference[[#This Row],[Duplicate Key]])</f>
        <v>1</v>
      </c>
    </row>
    <row r="2335" spans="1:10">
      <c r="A2335" s="7">
        <v>2</v>
      </c>
      <c r="B2335" s="8" t="s">
        <v>7564</v>
      </c>
      <c r="C2335" s="8" t="s">
        <v>6731</v>
      </c>
      <c r="D2335" s="7">
        <v>1</v>
      </c>
      <c r="E2335" s="7">
        <v>10</v>
      </c>
      <c r="F2335" s="7">
        <v>1</v>
      </c>
      <c r="G2335" s="8" t="s">
        <v>6710</v>
      </c>
      <c r="H2335" s="8" t="s">
        <v>5691</v>
      </c>
      <c r="I2335" s="7" t="str">
        <f>_xlfn.CONCAT(Paper_Reference[[#This Row],[Lvl]:[Paper Description]])</f>
        <v>2J48R0113N400CLINTON P25 D/G 48 X 1201101100DS009-5000FROSTY WHITE</v>
      </c>
      <c r="J2335" s="7">
        <f>COUNTIF(Paper_Reference[Duplicate Key],Paper_Reference[[#This Row],[Duplicate Key]])</f>
        <v>1</v>
      </c>
    </row>
    <row r="2336" spans="1:10">
      <c r="A2336" s="7">
        <v>2</v>
      </c>
      <c r="B2336" s="8" t="s">
        <v>6298</v>
      </c>
      <c r="C2336" s="8" t="s">
        <v>5742</v>
      </c>
      <c r="D2336" s="7">
        <v>1</v>
      </c>
      <c r="E2336" s="7">
        <v>10</v>
      </c>
      <c r="F2336" s="7">
        <v>1</v>
      </c>
      <c r="G2336" s="8" t="s">
        <v>5690</v>
      </c>
      <c r="H2336" s="8" t="s">
        <v>5691</v>
      </c>
      <c r="I2336" s="7" t="str">
        <f>_xlfn.CONCAT(Paper_Reference[[#This Row],[Lvl]:[Paper Description]])</f>
        <v>2J48R0115N500CLINTON P26 D/G 60 X 1201101100DS009-6200FROSTY WHITE</v>
      </c>
      <c r="J2336" s="7">
        <f>COUNTIF(Paper_Reference[Duplicate Key],Paper_Reference[[#This Row],[Duplicate Key]])</f>
        <v>1</v>
      </c>
    </row>
    <row r="2337" spans="1:10">
      <c r="A2337" s="7">
        <v>2</v>
      </c>
      <c r="B2337" s="8" t="s">
        <v>6299</v>
      </c>
      <c r="C2337" s="8" t="s">
        <v>5743</v>
      </c>
      <c r="D2337" s="7">
        <v>1</v>
      </c>
      <c r="E2337" s="7">
        <v>10</v>
      </c>
      <c r="F2337" s="7">
        <v>1</v>
      </c>
      <c r="G2337" s="8" t="s">
        <v>5690</v>
      </c>
      <c r="H2337" s="8" t="s">
        <v>5691</v>
      </c>
      <c r="I2337" s="7" t="str">
        <f>_xlfn.CONCAT(Paper_Reference[[#This Row],[Lvl]:[Paper Description]])</f>
        <v>2J48R0116N580CLINTON P27 D/G 60 X 961101100DS009-6200FROSTY WHITE</v>
      </c>
      <c r="J2337" s="7">
        <f>COUNTIF(Paper_Reference[Duplicate Key],Paper_Reference[[#This Row],[Duplicate Key]])</f>
        <v>1</v>
      </c>
    </row>
    <row r="2338" spans="1:10">
      <c r="A2338" s="7">
        <v>2</v>
      </c>
      <c r="B2338" s="8" t="s">
        <v>6300</v>
      </c>
      <c r="C2338" s="8" t="s">
        <v>5744</v>
      </c>
      <c r="D2338" s="7">
        <v>1</v>
      </c>
      <c r="E2338" s="7">
        <v>10</v>
      </c>
      <c r="F2338" s="7">
        <v>1</v>
      </c>
      <c r="G2338" s="8" t="s">
        <v>5690</v>
      </c>
      <c r="H2338" s="8" t="s">
        <v>5691</v>
      </c>
      <c r="I2338" s="7" t="str">
        <f>_xlfn.CONCAT(Paper_Reference[[#This Row],[Lvl]:[Paper Description]])</f>
        <v>2J48R0117N500CLINTON P28 D/G 60 X 1201101100DS009-6200FROSTY WHITE</v>
      </c>
      <c r="J2338" s="7">
        <f>COUNTIF(Paper_Reference[Duplicate Key],Paper_Reference[[#This Row],[Duplicate Key]])</f>
        <v>1</v>
      </c>
    </row>
    <row r="2339" spans="1:10">
      <c r="A2339" s="7">
        <v>2</v>
      </c>
      <c r="B2339" s="8" t="s">
        <v>7565</v>
      </c>
      <c r="C2339" s="8" t="s">
        <v>6883</v>
      </c>
      <c r="D2339" s="7">
        <v>1</v>
      </c>
      <c r="E2339" s="7">
        <v>10</v>
      </c>
      <c r="F2339" s="7">
        <v>1</v>
      </c>
      <c r="G2339" s="8" t="s">
        <v>6710</v>
      </c>
      <c r="H2339" s="8" t="s">
        <v>5691</v>
      </c>
      <c r="I2339" s="7" t="str">
        <f>_xlfn.CONCAT(Paper_Reference[[#This Row],[Lvl]:[Paper Description]])</f>
        <v>2J48R0128N480ADVERTZ D/G 48 X 961101100DS009-5000FROSTY WHITE</v>
      </c>
      <c r="J2339" s="7">
        <f>COUNTIF(Paper_Reference[Duplicate Key],Paper_Reference[[#This Row],[Duplicate Key]])</f>
        <v>1</v>
      </c>
    </row>
    <row r="2340" spans="1:10">
      <c r="A2340" s="7">
        <v>2</v>
      </c>
      <c r="B2340" s="8" t="s">
        <v>7566</v>
      </c>
      <c r="C2340" s="8" t="s">
        <v>6884</v>
      </c>
      <c r="D2340" s="7">
        <v>1</v>
      </c>
      <c r="E2340" s="7">
        <v>10</v>
      </c>
      <c r="F2340" s="7">
        <v>1</v>
      </c>
      <c r="G2340" s="8" t="s">
        <v>6710</v>
      </c>
      <c r="H2340" s="8" t="s">
        <v>5691</v>
      </c>
      <c r="I2340" s="7" t="str">
        <f>_xlfn.CONCAT(Paper_Reference[[#This Row],[Lvl]:[Paper Description]])</f>
        <v>2J48R0129N300ADVERTZ D/G 36 X 1201101100DS009-5000FROSTY WHITE</v>
      </c>
      <c r="J2340" s="7">
        <f>COUNTIF(Paper_Reference[Duplicate Key],Paper_Reference[[#This Row],[Duplicate Key]])</f>
        <v>1</v>
      </c>
    </row>
    <row r="2341" spans="1:10">
      <c r="A2341" s="7">
        <v>2</v>
      </c>
      <c r="B2341" s="8" t="s">
        <v>7567</v>
      </c>
      <c r="C2341" s="8" t="s">
        <v>6885</v>
      </c>
      <c r="D2341" s="7">
        <v>1</v>
      </c>
      <c r="E2341" s="7">
        <v>10</v>
      </c>
      <c r="F2341" s="7">
        <v>1</v>
      </c>
      <c r="G2341" s="8" t="s">
        <v>6710</v>
      </c>
      <c r="H2341" s="8" t="s">
        <v>5691</v>
      </c>
      <c r="I2341" s="7" t="str">
        <f>_xlfn.CONCAT(Paper_Reference[[#This Row],[Lvl]:[Paper Description]])</f>
        <v>2J48R0130N3001GOLD'S GYM  D/G 36 X 1201101100DS009-5000FROSTY WHITE</v>
      </c>
      <c r="J2341" s="7">
        <f>COUNTIF(Paper_Reference[Duplicate Key],Paper_Reference[[#This Row],[Duplicate Key]])</f>
        <v>1</v>
      </c>
    </row>
    <row r="2342" spans="1:10">
      <c r="A2342" s="7">
        <v>2</v>
      </c>
      <c r="B2342" s="8" t="s">
        <v>6301</v>
      </c>
      <c r="C2342" s="8" t="s">
        <v>5830</v>
      </c>
      <c r="D2342" s="7">
        <v>1</v>
      </c>
      <c r="E2342" s="7">
        <v>10</v>
      </c>
      <c r="F2342" s="7">
        <v>1</v>
      </c>
      <c r="G2342" s="8" t="s">
        <v>5690</v>
      </c>
      <c r="H2342" s="8" t="s">
        <v>5691</v>
      </c>
      <c r="I2342" s="7" t="str">
        <f>_xlfn.CONCAT(Paper_Reference[[#This Row],[Lvl]:[Paper Description]])</f>
        <v>2J48R0137N500ADVERTZ D/G 60 X 1201101100DS009-6200FROSTY WHITE</v>
      </c>
      <c r="J2342" s="7">
        <f>COUNTIF(Paper_Reference[Duplicate Key],Paper_Reference[[#This Row],[Duplicate Key]])</f>
        <v>1</v>
      </c>
    </row>
    <row r="2343" spans="1:10">
      <c r="A2343" s="7">
        <v>2</v>
      </c>
      <c r="B2343" s="8" t="s">
        <v>6302</v>
      </c>
      <c r="C2343" s="8" t="s">
        <v>5831</v>
      </c>
      <c r="D2343" s="7">
        <v>1</v>
      </c>
      <c r="E2343" s="7">
        <v>10</v>
      </c>
      <c r="F2343" s="7">
        <v>1</v>
      </c>
      <c r="G2343" s="8" t="s">
        <v>5690</v>
      </c>
      <c r="H2343" s="8" t="s">
        <v>5691</v>
      </c>
      <c r="I2343" s="7" t="str">
        <f>_xlfn.CONCAT(Paper_Reference[[#This Row],[Lvl]:[Paper Description]])</f>
        <v>2J48R0140N500CORONA WILDCATS D/G 60 X 1201101100DS009-6200FROSTY WHITE</v>
      </c>
      <c r="J2343" s="7">
        <f>COUNTIF(Paper_Reference[Duplicate Key],Paper_Reference[[#This Row],[Duplicate Key]])</f>
        <v>1</v>
      </c>
    </row>
    <row r="2344" spans="1:10">
      <c r="A2344" s="7">
        <v>2</v>
      </c>
      <c r="B2344" s="8" t="s">
        <v>7568</v>
      </c>
      <c r="C2344" s="8" t="s">
        <v>6886</v>
      </c>
      <c r="D2344" s="7">
        <v>1</v>
      </c>
      <c r="E2344" s="7">
        <v>10</v>
      </c>
      <c r="F2344" s="7">
        <v>1</v>
      </c>
      <c r="G2344" s="8" t="s">
        <v>6710</v>
      </c>
      <c r="H2344" s="8" t="s">
        <v>5691</v>
      </c>
      <c r="I2344" s="7" t="str">
        <f>_xlfn.CONCAT(Paper_Reference[[#This Row],[Lvl]:[Paper Description]])</f>
        <v>2J48R0141N480FUDDRUCKERS RED D/G 48 X 961101100DS009-5000FROSTY WHITE</v>
      </c>
      <c r="J2344" s="7">
        <f>COUNTIF(Paper_Reference[Duplicate Key],Paper_Reference[[#This Row],[Duplicate Key]])</f>
        <v>1</v>
      </c>
    </row>
    <row r="2345" spans="1:10">
      <c r="A2345" s="7">
        <v>2</v>
      </c>
      <c r="B2345" s="8" t="s">
        <v>7569</v>
      </c>
      <c r="C2345" s="8" t="s">
        <v>6887</v>
      </c>
      <c r="D2345" s="7">
        <v>1</v>
      </c>
      <c r="E2345" s="7">
        <v>10</v>
      </c>
      <c r="F2345" s="7">
        <v>1</v>
      </c>
      <c r="G2345" s="8" t="s">
        <v>6710</v>
      </c>
      <c r="H2345" s="8" t="s">
        <v>5691</v>
      </c>
      <c r="I2345" s="7" t="str">
        <f>_xlfn.CONCAT(Paper_Reference[[#This Row],[Lvl]:[Paper Description]])</f>
        <v>2J48R0142N480FUDDRUCKERS BLUE D/G 48 X 961101100DS009-5000FROSTY WHITE</v>
      </c>
      <c r="J2345" s="7">
        <f>COUNTIF(Paper_Reference[Duplicate Key],Paper_Reference[[#This Row],[Duplicate Key]])</f>
        <v>1</v>
      </c>
    </row>
    <row r="2346" spans="1:10">
      <c r="A2346" s="7">
        <v>2</v>
      </c>
      <c r="B2346" s="8" t="s">
        <v>7570</v>
      </c>
      <c r="C2346" s="8" t="s">
        <v>6888</v>
      </c>
      <c r="D2346" s="7">
        <v>1</v>
      </c>
      <c r="E2346" s="7">
        <v>10</v>
      </c>
      <c r="F2346" s="7">
        <v>1</v>
      </c>
      <c r="G2346" s="8" t="s">
        <v>6710</v>
      </c>
      <c r="H2346" s="8" t="s">
        <v>5691</v>
      </c>
      <c r="I2346" s="7" t="str">
        <f>_xlfn.CONCAT(Paper_Reference[[#This Row],[Lvl]:[Paper Description]])</f>
        <v>2J48R0143N320CLEMSON PAW 5 D/G 36 X 1441101100DS009-5000FROSTY WHITE</v>
      </c>
      <c r="J2346" s="7">
        <f>COUNTIF(Paper_Reference[Duplicate Key],Paper_Reference[[#This Row],[Duplicate Key]])</f>
        <v>1</v>
      </c>
    </row>
    <row r="2347" spans="1:10">
      <c r="A2347" s="7">
        <v>2</v>
      </c>
      <c r="B2347" s="8" t="s">
        <v>7571</v>
      </c>
      <c r="C2347" s="8" t="s">
        <v>6737</v>
      </c>
      <c r="D2347" s="7">
        <v>1</v>
      </c>
      <c r="E2347" s="7">
        <v>10</v>
      </c>
      <c r="F2347" s="7">
        <v>1</v>
      </c>
      <c r="G2347" s="8" t="s">
        <v>6710</v>
      </c>
      <c r="H2347" s="8" t="s">
        <v>5691</v>
      </c>
      <c r="I2347" s="7" t="str">
        <f>_xlfn.CONCAT(Paper_Reference[[#This Row],[Lvl]:[Paper Description]])</f>
        <v>2J48R0145G4801BLUE WATER DROPS D/G 48 X 961101100DS009-5000FROSTY WHITE</v>
      </c>
      <c r="J2347" s="7">
        <f>COUNTIF(Paper_Reference[Duplicate Key],Paper_Reference[[#This Row],[Duplicate Key]])</f>
        <v>1</v>
      </c>
    </row>
    <row r="2348" spans="1:10">
      <c r="A2348" s="7">
        <v>2</v>
      </c>
      <c r="B2348" s="8" t="s">
        <v>7572</v>
      </c>
      <c r="C2348" s="8" t="s">
        <v>6889</v>
      </c>
      <c r="D2348" s="7">
        <v>1</v>
      </c>
      <c r="E2348" s="7">
        <v>10</v>
      </c>
      <c r="F2348" s="7">
        <v>1</v>
      </c>
      <c r="G2348" s="8" t="s">
        <v>6710</v>
      </c>
      <c r="H2348" s="8" t="s">
        <v>5691</v>
      </c>
      <c r="I2348" s="7" t="str">
        <f>_xlfn.CONCAT(Paper_Reference[[#This Row],[Lvl]:[Paper Description]])</f>
        <v>2J48R0150N420JOHNNYS FAM FLAV D/G 48X1441101100DS009-5000FROSTY WHITE</v>
      </c>
      <c r="J2348" s="7">
        <f>COUNTIF(Paper_Reference[Duplicate Key],Paper_Reference[[#This Row],[Duplicate Key]])</f>
        <v>1</v>
      </c>
    </row>
    <row r="2349" spans="1:10">
      <c r="A2349" s="7">
        <v>2</v>
      </c>
      <c r="B2349" s="8" t="s">
        <v>7573</v>
      </c>
      <c r="C2349" s="8" t="s">
        <v>6890</v>
      </c>
      <c r="D2349" s="7">
        <v>1</v>
      </c>
      <c r="E2349" s="7">
        <v>10</v>
      </c>
      <c r="F2349" s="7">
        <v>1</v>
      </c>
      <c r="G2349" s="8" t="s">
        <v>6710</v>
      </c>
      <c r="H2349" s="8" t="s">
        <v>5691</v>
      </c>
      <c r="I2349" s="7" t="str">
        <f>_xlfn.CONCAT(Paper_Reference[[#This Row],[Lvl]:[Paper Description]])</f>
        <v>2J48R0151N480JOHNNYS THREEBEES D/G 48 X 961101100DS009-5000FROSTY WHITE</v>
      </c>
      <c r="J2349" s="7">
        <f>COUNTIF(Paper_Reference[Duplicate Key],Paper_Reference[[#This Row],[Duplicate Key]])</f>
        <v>1</v>
      </c>
    </row>
    <row r="2350" spans="1:10">
      <c r="A2350" s="7">
        <v>2</v>
      </c>
      <c r="B2350" s="8" t="s">
        <v>7574</v>
      </c>
      <c r="C2350" s="8" t="s">
        <v>6891</v>
      </c>
      <c r="D2350" s="7">
        <v>1</v>
      </c>
      <c r="E2350" s="7">
        <v>10</v>
      </c>
      <c r="F2350" s="7">
        <v>1</v>
      </c>
      <c r="G2350" s="8" t="s">
        <v>6710</v>
      </c>
      <c r="H2350" s="8" t="s">
        <v>5691</v>
      </c>
      <c r="I2350" s="7" t="str">
        <f>_xlfn.CONCAT(Paper_Reference[[#This Row],[Lvl]:[Paper Description]])</f>
        <v>2J48R0152N480JOHNNYS SHAKES &amp; FRIES 48X961101100DS009-5000FROSTY WHITE</v>
      </c>
      <c r="J2350" s="7">
        <f>COUNTIF(Paper_Reference[Duplicate Key],Paper_Reference[[#This Row],[Duplicate Key]])</f>
        <v>1</v>
      </c>
    </row>
    <row r="2351" spans="1:10">
      <c r="A2351" s="7">
        <v>2</v>
      </c>
      <c r="B2351" s="8" t="s">
        <v>7575</v>
      </c>
      <c r="C2351" s="8" t="s">
        <v>6892</v>
      </c>
      <c r="D2351" s="7">
        <v>1</v>
      </c>
      <c r="E2351" s="7">
        <v>10</v>
      </c>
      <c r="F2351" s="7">
        <v>1</v>
      </c>
      <c r="G2351" s="8" t="s">
        <v>6710</v>
      </c>
      <c r="H2351" s="8" t="s">
        <v>5691</v>
      </c>
      <c r="I2351" s="7" t="str">
        <f>_xlfn.CONCAT(Paper_Reference[[#This Row],[Lvl]:[Paper Description]])</f>
        <v>2J48R0153N480JOHNNYS RICE &amp; RINGS 48 X 961101100DS009-5000FROSTY WHITE</v>
      </c>
      <c r="J2351" s="7">
        <f>COUNTIF(Paper_Reference[Duplicate Key],Paper_Reference[[#This Row],[Duplicate Key]])</f>
        <v>1</v>
      </c>
    </row>
    <row r="2352" spans="1:10">
      <c r="A2352" s="7">
        <v>2</v>
      </c>
      <c r="B2352" s="8" t="s">
        <v>7576</v>
      </c>
      <c r="C2352" s="8" t="s">
        <v>6893</v>
      </c>
      <c r="D2352" s="7">
        <v>1</v>
      </c>
      <c r="E2352" s="7">
        <v>10</v>
      </c>
      <c r="F2352" s="7">
        <v>1</v>
      </c>
      <c r="G2352" s="8" t="s">
        <v>6710</v>
      </c>
      <c r="H2352" s="8" t="s">
        <v>5691</v>
      </c>
      <c r="I2352" s="7" t="str">
        <f>_xlfn.CONCAT(Paper_Reference[[#This Row],[Lvl]:[Paper Description]])</f>
        <v>2J48R0158C400ESPN TABLE D/G 48 X 1201101100DS009-5000FROSTY WHITE</v>
      </c>
      <c r="J2352" s="7">
        <f>COUNTIF(Paper_Reference[Duplicate Key],Paper_Reference[[#This Row],[Duplicate Key]])</f>
        <v>1</v>
      </c>
    </row>
    <row r="2353" spans="1:10">
      <c r="A2353" s="7">
        <v>2</v>
      </c>
      <c r="B2353" s="8" t="s">
        <v>7577</v>
      </c>
      <c r="C2353" s="8" t="s">
        <v>6894</v>
      </c>
      <c r="D2353" s="7">
        <v>1</v>
      </c>
      <c r="E2353" s="7">
        <v>10</v>
      </c>
      <c r="F2353" s="7">
        <v>1</v>
      </c>
      <c r="G2353" s="8" t="s">
        <v>6710</v>
      </c>
      <c r="H2353" s="8" t="s">
        <v>5691</v>
      </c>
      <c r="I2353" s="7" t="str">
        <f>_xlfn.CONCAT(Paper_Reference[[#This Row],[Lvl]:[Paper Description]])</f>
        <v>2J48R0159C320ESPN TABLE D/G 36 X 1441101100DS009-5000FROSTY WHITE</v>
      </c>
      <c r="J2353" s="7">
        <f>COUNTIF(Paper_Reference[Duplicate Key],Paper_Reference[[#This Row],[Duplicate Key]])</f>
        <v>1</v>
      </c>
    </row>
    <row r="2354" spans="1:10">
      <c r="A2354" s="7">
        <v>2</v>
      </c>
      <c r="B2354" s="8" t="s">
        <v>7578</v>
      </c>
      <c r="C2354" s="8" t="s">
        <v>6895</v>
      </c>
      <c r="D2354" s="7">
        <v>1</v>
      </c>
      <c r="E2354" s="7">
        <v>10</v>
      </c>
      <c r="F2354" s="7">
        <v>1</v>
      </c>
      <c r="G2354" s="8" t="s">
        <v>6710</v>
      </c>
      <c r="H2354" s="8" t="s">
        <v>5691</v>
      </c>
      <c r="I2354" s="7" t="str">
        <f>_xlfn.CONCAT(Paper_Reference[[#This Row],[Lvl]:[Paper Description]])</f>
        <v>2J48R0160C480ESPN TABLE D/G 48 X 961101100DS009-5000FROSTY WHITE</v>
      </c>
      <c r="J2354" s="7">
        <f>COUNTIF(Paper_Reference[Duplicate Key],Paper_Reference[[#This Row],[Duplicate Key]])</f>
        <v>1</v>
      </c>
    </row>
    <row r="2355" spans="1:10">
      <c r="A2355" s="7">
        <v>2</v>
      </c>
      <c r="B2355" s="8" t="s">
        <v>7579</v>
      </c>
      <c r="C2355" s="8" t="s">
        <v>6896</v>
      </c>
      <c r="D2355" s="7">
        <v>1</v>
      </c>
      <c r="E2355" s="7">
        <v>10</v>
      </c>
      <c r="F2355" s="7">
        <v>1</v>
      </c>
      <c r="G2355" s="8" t="s">
        <v>6710</v>
      </c>
      <c r="H2355" s="8" t="s">
        <v>5691</v>
      </c>
      <c r="I2355" s="7" t="str">
        <f>_xlfn.CONCAT(Paper_Reference[[#This Row],[Lvl]:[Paper Description]])</f>
        <v>2J48R0164N480FLEET FEET MURAL 1 48 X 961101100DS009-5000FROSTY WHITE</v>
      </c>
      <c r="J2355" s="7">
        <f>COUNTIF(Paper_Reference[Duplicate Key],Paper_Reference[[#This Row],[Duplicate Key]])</f>
        <v>1</v>
      </c>
    </row>
    <row r="2356" spans="1:10">
      <c r="A2356" s="7">
        <v>2</v>
      </c>
      <c r="B2356" s="8" t="s">
        <v>7580</v>
      </c>
      <c r="C2356" s="8" t="s">
        <v>6897</v>
      </c>
      <c r="D2356" s="7">
        <v>1</v>
      </c>
      <c r="E2356" s="7">
        <v>10</v>
      </c>
      <c r="F2356" s="7">
        <v>1</v>
      </c>
      <c r="G2356" s="8" t="s">
        <v>6710</v>
      </c>
      <c r="H2356" s="8" t="s">
        <v>5691</v>
      </c>
      <c r="I2356" s="7" t="str">
        <f>_xlfn.CONCAT(Paper_Reference[[#This Row],[Lvl]:[Paper Description]])</f>
        <v>2J48R0165N480FLEET FEET MURAL 2 48 X 961101100DS009-5000FROSTY WHITE</v>
      </c>
      <c r="J2356" s="7">
        <f>COUNTIF(Paper_Reference[Duplicate Key],Paper_Reference[[#This Row],[Duplicate Key]])</f>
        <v>1</v>
      </c>
    </row>
    <row r="2357" spans="1:10">
      <c r="A2357" s="7">
        <v>2</v>
      </c>
      <c r="B2357" s="8" t="s">
        <v>7581</v>
      </c>
      <c r="C2357" s="8" t="s">
        <v>6898</v>
      </c>
      <c r="D2357" s="7">
        <v>1</v>
      </c>
      <c r="E2357" s="7">
        <v>10</v>
      </c>
      <c r="F2357" s="7">
        <v>1</v>
      </c>
      <c r="G2357" s="8" t="s">
        <v>6710</v>
      </c>
      <c r="H2357" s="8" t="s">
        <v>5691</v>
      </c>
      <c r="I2357" s="7" t="str">
        <f>_xlfn.CONCAT(Paper_Reference[[#This Row],[Lvl]:[Paper Description]])</f>
        <v>2J48R0166N480FLEET FEET MURAL 3 48 X 961101100DS009-5000FROSTY WHITE</v>
      </c>
      <c r="J2357" s="7">
        <f>COUNTIF(Paper_Reference[Duplicate Key],Paper_Reference[[#This Row],[Duplicate Key]])</f>
        <v>1</v>
      </c>
    </row>
    <row r="2358" spans="1:10">
      <c r="A2358" s="7">
        <v>2</v>
      </c>
      <c r="B2358" s="8" t="s">
        <v>7582</v>
      </c>
      <c r="C2358" s="8" t="s">
        <v>6899</v>
      </c>
      <c r="D2358" s="7">
        <v>1</v>
      </c>
      <c r="E2358" s="7">
        <v>10</v>
      </c>
      <c r="F2358" s="7">
        <v>1</v>
      </c>
      <c r="G2358" s="8" t="s">
        <v>6710</v>
      </c>
      <c r="H2358" s="8" t="s">
        <v>5691</v>
      </c>
      <c r="I2358" s="7" t="str">
        <f>_xlfn.CONCAT(Paper_Reference[[#This Row],[Lvl]:[Paper Description]])</f>
        <v>2J48R0167N480FLEET FEET MURAL 4 P1 48 X 961101100DS009-5000FROSTY WHITE</v>
      </c>
      <c r="J2358" s="7">
        <f>COUNTIF(Paper_Reference[Duplicate Key],Paper_Reference[[#This Row],[Duplicate Key]])</f>
        <v>1</v>
      </c>
    </row>
    <row r="2359" spans="1:10">
      <c r="A2359" s="7">
        <v>2</v>
      </c>
      <c r="B2359" s="8" t="s">
        <v>7583</v>
      </c>
      <c r="C2359" s="8" t="s">
        <v>6900</v>
      </c>
      <c r="D2359" s="7">
        <v>1</v>
      </c>
      <c r="E2359" s="7">
        <v>10</v>
      </c>
      <c r="F2359" s="7">
        <v>1</v>
      </c>
      <c r="G2359" s="8" t="s">
        <v>6710</v>
      </c>
      <c r="H2359" s="8" t="s">
        <v>5691</v>
      </c>
      <c r="I2359" s="7" t="str">
        <f>_xlfn.CONCAT(Paper_Reference[[#This Row],[Lvl]:[Paper Description]])</f>
        <v>2J48R0168N480FLEET FEET MURAL 4 P2 48 X 961101100DS009-5000FROSTY WHITE</v>
      </c>
      <c r="J2359" s="7">
        <f>COUNTIF(Paper_Reference[Duplicate Key],Paper_Reference[[#This Row],[Duplicate Key]])</f>
        <v>1</v>
      </c>
    </row>
    <row r="2360" spans="1:10">
      <c r="A2360" s="7">
        <v>2</v>
      </c>
      <c r="B2360" s="8" t="s">
        <v>7584</v>
      </c>
      <c r="C2360" s="8" t="s">
        <v>6901</v>
      </c>
      <c r="D2360" s="7">
        <v>1</v>
      </c>
      <c r="E2360" s="7">
        <v>10</v>
      </c>
      <c r="F2360" s="7">
        <v>1</v>
      </c>
      <c r="G2360" s="8" t="s">
        <v>6710</v>
      </c>
      <c r="H2360" s="8" t="s">
        <v>5691</v>
      </c>
      <c r="I2360" s="7" t="str">
        <f>_xlfn.CONCAT(Paper_Reference[[#This Row],[Lvl]:[Paper Description]])</f>
        <v>2J48R0169N480FLEET FEET MURAL 4 P3 48 X 961101100DS009-5000FROSTY WHITE</v>
      </c>
      <c r="J2360" s="7">
        <f>COUNTIF(Paper_Reference[Duplicate Key],Paper_Reference[[#This Row],[Duplicate Key]])</f>
        <v>1</v>
      </c>
    </row>
    <row r="2361" spans="1:10">
      <c r="A2361" s="7">
        <v>2</v>
      </c>
      <c r="B2361" s="8" t="s">
        <v>7585</v>
      </c>
      <c r="C2361" s="8" t="s">
        <v>6902</v>
      </c>
      <c r="D2361" s="7">
        <v>1</v>
      </c>
      <c r="E2361" s="7">
        <v>10</v>
      </c>
      <c r="F2361" s="7">
        <v>1</v>
      </c>
      <c r="G2361" s="8" t="s">
        <v>6710</v>
      </c>
      <c r="H2361" s="8" t="s">
        <v>5691</v>
      </c>
      <c r="I2361" s="7" t="str">
        <f>_xlfn.CONCAT(Paper_Reference[[#This Row],[Lvl]:[Paper Description]])</f>
        <v>2J48R0170N480FLEET FEET MURAL 4 P4 48 X 961101100DS009-5000FROSTY WHITE</v>
      </c>
      <c r="J2361" s="7">
        <f>COUNTIF(Paper_Reference[Duplicate Key],Paper_Reference[[#This Row],[Duplicate Key]])</f>
        <v>1</v>
      </c>
    </row>
    <row r="2362" spans="1:10">
      <c r="A2362" s="7">
        <v>2</v>
      </c>
      <c r="B2362" s="8" t="s">
        <v>7586</v>
      </c>
      <c r="C2362" s="8" t="s">
        <v>6903</v>
      </c>
      <c r="D2362" s="7">
        <v>1</v>
      </c>
      <c r="E2362" s="7">
        <v>10</v>
      </c>
      <c r="F2362" s="7">
        <v>1</v>
      </c>
      <c r="G2362" s="8" t="s">
        <v>6710</v>
      </c>
      <c r="H2362" s="8" t="s">
        <v>5691</v>
      </c>
      <c r="I2362" s="7" t="str">
        <f>_xlfn.CONCAT(Paper_Reference[[#This Row],[Lvl]:[Paper Description]])</f>
        <v>2J48R0175N480TURQ GYPSY GUITAR D/G 48 X 961101100DS009-5000FROSTY WHITE</v>
      </c>
      <c r="J2362" s="7">
        <f>COUNTIF(Paper_Reference[Duplicate Key],Paper_Reference[[#This Row],[Duplicate Key]])</f>
        <v>1</v>
      </c>
    </row>
    <row r="2363" spans="1:10">
      <c r="A2363" s="7">
        <v>2</v>
      </c>
      <c r="B2363" s="8" t="s">
        <v>6303</v>
      </c>
      <c r="C2363" s="8" t="s">
        <v>5832</v>
      </c>
      <c r="D2363" s="7">
        <v>1</v>
      </c>
      <c r="E2363" s="7">
        <v>10</v>
      </c>
      <c r="F2363" s="7">
        <v>1</v>
      </c>
      <c r="G2363" s="8" t="s">
        <v>5690</v>
      </c>
      <c r="H2363" s="8" t="s">
        <v>5691</v>
      </c>
      <c r="I2363" s="7" t="str">
        <f>_xlfn.CONCAT(Paper_Reference[[#This Row],[Lvl]:[Paper Description]])</f>
        <v>2J48R0177N580C B G LOGO D/G 60 X 961101100DS009-6200FROSTY WHITE</v>
      </c>
      <c r="J2363" s="7">
        <f>COUNTIF(Paper_Reference[Duplicate Key],Paper_Reference[[#This Row],[Duplicate Key]])</f>
        <v>1</v>
      </c>
    </row>
    <row r="2364" spans="1:10">
      <c r="A2364" s="7">
        <v>2</v>
      </c>
      <c r="B2364" s="8" t="s">
        <v>7587</v>
      </c>
      <c r="C2364" s="8" t="s">
        <v>6904</v>
      </c>
      <c r="D2364" s="7">
        <v>1</v>
      </c>
      <c r="E2364" s="7">
        <v>10</v>
      </c>
      <c r="F2364" s="7">
        <v>1</v>
      </c>
      <c r="G2364" s="8" t="s">
        <v>6710</v>
      </c>
      <c r="H2364" s="8" t="s">
        <v>5691</v>
      </c>
      <c r="I2364" s="7" t="str">
        <f>_xlfn.CONCAT(Paper_Reference[[#This Row],[Lvl]:[Paper Description]])</f>
        <v>2J48R0184N480BAREFOOT BOOKS D/G 48 X 961101100DS009-5000FROSTY WHITE</v>
      </c>
      <c r="J2364" s="7">
        <f>COUNTIF(Paper_Reference[Duplicate Key],Paper_Reference[[#This Row],[Duplicate Key]])</f>
        <v>1</v>
      </c>
    </row>
    <row r="2365" spans="1:10">
      <c r="A2365" s="7">
        <v>2</v>
      </c>
      <c r="B2365" s="8" t="s">
        <v>7588</v>
      </c>
      <c r="C2365" s="8" t="s">
        <v>6905</v>
      </c>
      <c r="D2365" s="7">
        <v>1</v>
      </c>
      <c r="E2365" s="7">
        <v>10</v>
      </c>
      <c r="F2365" s="7">
        <v>1</v>
      </c>
      <c r="G2365" s="8" t="s">
        <v>6710</v>
      </c>
      <c r="H2365" s="8" t="s">
        <v>5691</v>
      </c>
      <c r="I2365" s="7" t="str">
        <f>_xlfn.CONCAT(Paper_Reference[[#This Row],[Lvl]:[Paper Description]])</f>
        <v>2J48R0196N480MURREY FT HOOD MURAL 48 X 961101100DS009-5000FROSTY WHITE</v>
      </c>
      <c r="J2365" s="7">
        <f>COUNTIF(Paper_Reference[Duplicate Key],Paper_Reference[[#This Row],[Duplicate Key]])</f>
        <v>1</v>
      </c>
    </row>
    <row r="2366" spans="1:10">
      <c r="A2366" s="7">
        <v>2</v>
      </c>
      <c r="B2366" s="8" t="s">
        <v>7589</v>
      </c>
      <c r="C2366" s="8" t="s">
        <v>6906</v>
      </c>
      <c r="D2366" s="7">
        <v>1</v>
      </c>
      <c r="E2366" s="7">
        <v>10</v>
      </c>
      <c r="F2366" s="7">
        <v>1</v>
      </c>
      <c r="G2366" s="8" t="s">
        <v>6710</v>
      </c>
      <c r="H2366" s="8" t="s">
        <v>5691</v>
      </c>
      <c r="I2366" s="7" t="str">
        <f>_xlfn.CONCAT(Paper_Reference[[#This Row],[Lvl]:[Paper Description]])</f>
        <v>2J48R0202N480CBG HOT LIPPS 48 X 961101100DS009-5000FROSTY WHITE</v>
      </c>
      <c r="J2366" s="7">
        <f>COUNTIF(Paper_Reference[Duplicate Key],Paper_Reference[[#This Row],[Duplicate Key]])</f>
        <v>1</v>
      </c>
    </row>
    <row r="2367" spans="1:10">
      <c r="A2367" s="7">
        <v>2</v>
      </c>
      <c r="B2367" s="8" t="s">
        <v>7590</v>
      </c>
      <c r="C2367" s="8" t="s">
        <v>6907</v>
      </c>
      <c r="D2367" s="7">
        <v>1</v>
      </c>
      <c r="E2367" s="7">
        <v>10</v>
      </c>
      <c r="F2367" s="7">
        <v>1</v>
      </c>
      <c r="G2367" s="8" t="s">
        <v>6710</v>
      </c>
      <c r="H2367" s="8" t="s">
        <v>5691</v>
      </c>
      <c r="I2367" s="7" t="str">
        <f>_xlfn.CONCAT(Paper_Reference[[#This Row],[Lvl]:[Paper Description]])</f>
        <v>2J48R0204N420LEFT SWOOSH D/G 48X1441101100DS009-5000FROSTY WHITE</v>
      </c>
      <c r="J2367" s="7">
        <f>COUNTIF(Paper_Reference[Duplicate Key],Paper_Reference[[#This Row],[Duplicate Key]])</f>
        <v>1</v>
      </c>
    </row>
    <row r="2368" spans="1:10">
      <c r="A2368" s="7">
        <v>2</v>
      </c>
      <c r="B2368" s="8" t="s">
        <v>7591</v>
      </c>
      <c r="C2368" s="8" t="s">
        <v>6908</v>
      </c>
      <c r="D2368" s="7">
        <v>1</v>
      </c>
      <c r="E2368" s="7">
        <v>10</v>
      </c>
      <c r="F2368" s="7">
        <v>1</v>
      </c>
      <c r="G2368" s="8" t="s">
        <v>6710</v>
      </c>
      <c r="H2368" s="8" t="s">
        <v>5691</v>
      </c>
      <c r="I2368" s="7" t="str">
        <f>_xlfn.CONCAT(Paper_Reference[[#This Row],[Lvl]:[Paper Description]])</f>
        <v>2J48R0205N420RIGHT SWOOSH D/G 48X1441101100DS009-5000FROSTY WHITE</v>
      </c>
      <c r="J2368" s="7">
        <f>COUNTIF(Paper_Reference[Duplicate Key],Paper_Reference[[#This Row],[Duplicate Key]])</f>
        <v>1</v>
      </c>
    </row>
    <row r="2369" spans="1:10">
      <c r="A2369" s="7">
        <v>2</v>
      </c>
      <c r="B2369" s="8" t="s">
        <v>7592</v>
      </c>
      <c r="C2369" s="8" t="s">
        <v>6909</v>
      </c>
      <c r="D2369" s="7">
        <v>1</v>
      </c>
      <c r="E2369" s="7">
        <v>10</v>
      </c>
      <c r="F2369" s="7">
        <v>1</v>
      </c>
      <c r="G2369" s="8" t="s">
        <v>6710</v>
      </c>
      <c r="H2369" s="8" t="s">
        <v>5691</v>
      </c>
      <c r="I2369" s="7" t="str">
        <f>_xlfn.CONCAT(Paper_Reference[[#This Row],[Lvl]:[Paper Description]])</f>
        <v>2J48R0215G3001INXS LOGO D/G 36 X 1201101100DS009-5000FROSTY WHITE</v>
      </c>
      <c r="J2369" s="7">
        <f>COUNTIF(Paper_Reference[Duplicate Key],Paper_Reference[[#This Row],[Duplicate Key]])</f>
        <v>1</v>
      </c>
    </row>
    <row r="2370" spans="1:10">
      <c r="A2370" s="7">
        <v>2</v>
      </c>
      <c r="B2370" s="8" t="s">
        <v>7593</v>
      </c>
      <c r="C2370" s="8" t="s">
        <v>6910</v>
      </c>
      <c r="D2370" s="7">
        <v>1</v>
      </c>
      <c r="E2370" s="7">
        <v>10</v>
      </c>
      <c r="F2370" s="7">
        <v>1</v>
      </c>
      <c r="G2370" s="8" t="s">
        <v>6710</v>
      </c>
      <c r="H2370" s="8" t="s">
        <v>5691</v>
      </c>
      <c r="I2370" s="7" t="str">
        <f>_xlfn.CONCAT(Paper_Reference[[#This Row],[Lvl]:[Paper Description]])</f>
        <v>2J48R0216G3201INXS II LOGO D/G 36 X 1441101100DS009-5000FROSTY WHITE</v>
      </c>
      <c r="J2370" s="7">
        <f>COUNTIF(Paper_Reference[Duplicate Key],Paper_Reference[[#This Row],[Duplicate Key]])</f>
        <v>1</v>
      </c>
    </row>
    <row r="2371" spans="1:10">
      <c r="A2371" s="7">
        <v>2</v>
      </c>
      <c r="B2371" s="8" t="s">
        <v>7594</v>
      </c>
      <c r="C2371" s="8" t="s">
        <v>6911</v>
      </c>
      <c r="D2371" s="7">
        <v>1</v>
      </c>
      <c r="E2371" s="7">
        <v>10</v>
      </c>
      <c r="F2371" s="7">
        <v>1</v>
      </c>
      <c r="G2371" s="8" t="s">
        <v>6710</v>
      </c>
      <c r="H2371" s="8" t="s">
        <v>5691</v>
      </c>
      <c r="I2371" s="7" t="str">
        <f>_xlfn.CONCAT(Paper_Reference[[#This Row],[Lvl]:[Paper Description]])</f>
        <v>2J48R0218N480ELEVATOR CLOUDS P-A 48 X 961101100DS009-5000FROSTY WHITE</v>
      </c>
      <c r="J2371" s="7">
        <f>COUNTIF(Paper_Reference[Duplicate Key],Paper_Reference[[#This Row],[Duplicate Key]])</f>
        <v>1</v>
      </c>
    </row>
    <row r="2372" spans="1:10">
      <c r="A2372" s="7">
        <v>2</v>
      </c>
      <c r="B2372" s="8" t="s">
        <v>7595</v>
      </c>
      <c r="C2372" s="8" t="s">
        <v>6912</v>
      </c>
      <c r="D2372" s="7">
        <v>1</v>
      </c>
      <c r="E2372" s="7">
        <v>10</v>
      </c>
      <c r="F2372" s="7">
        <v>1</v>
      </c>
      <c r="G2372" s="8" t="s">
        <v>6710</v>
      </c>
      <c r="H2372" s="8" t="s">
        <v>5691</v>
      </c>
      <c r="I2372" s="7" t="str">
        <f>_xlfn.CONCAT(Paper_Reference[[#This Row],[Lvl]:[Paper Description]])</f>
        <v>2J48R0222N480ELEVATOR CLOUDS P-B 48 X 961101100DS009-5000FROSTY WHITE</v>
      </c>
      <c r="J2372" s="7">
        <f>COUNTIF(Paper_Reference[Duplicate Key],Paper_Reference[[#This Row],[Duplicate Key]])</f>
        <v>1</v>
      </c>
    </row>
    <row r="2373" spans="1:10">
      <c r="A2373" s="7">
        <v>2</v>
      </c>
      <c r="B2373" s="8" t="s">
        <v>6304</v>
      </c>
      <c r="C2373" s="8" t="s">
        <v>5833</v>
      </c>
      <c r="D2373" s="7">
        <v>1</v>
      </c>
      <c r="E2373" s="7">
        <v>10</v>
      </c>
      <c r="F2373" s="7">
        <v>1</v>
      </c>
      <c r="G2373" s="8" t="s">
        <v>5690</v>
      </c>
      <c r="H2373" s="8" t="s">
        <v>5691</v>
      </c>
      <c r="I2373" s="7" t="str">
        <f>_xlfn.CONCAT(Paper_Reference[[#This Row],[Lvl]:[Paper Description]])</f>
        <v>2J48R0223N520BP MAP TABLE 60 X 1441101100DS009-6200FROSTY WHITE</v>
      </c>
      <c r="J2373" s="7">
        <f>COUNTIF(Paper_Reference[Duplicate Key],Paper_Reference[[#This Row],[Duplicate Key]])</f>
        <v>1</v>
      </c>
    </row>
    <row r="2374" spans="1:10">
      <c r="A2374" s="7">
        <v>2</v>
      </c>
      <c r="B2374" s="8" t="s">
        <v>7596</v>
      </c>
      <c r="C2374" s="8" t="s">
        <v>6913</v>
      </c>
      <c r="D2374" s="7">
        <v>1</v>
      </c>
      <c r="E2374" s="7">
        <v>10</v>
      </c>
      <c r="F2374" s="7">
        <v>1</v>
      </c>
      <c r="G2374" s="8" t="s">
        <v>6710</v>
      </c>
      <c r="H2374" s="8" t="s">
        <v>5691</v>
      </c>
      <c r="I2374" s="7" t="str">
        <f>_xlfn.CONCAT(Paper_Reference[[#This Row],[Lvl]:[Paper Description]])</f>
        <v>2J48R0229N480FALCON JET MAP 48 X 961101100DS009-5000FROSTY WHITE</v>
      </c>
      <c r="J2374" s="7">
        <f>COUNTIF(Paper_Reference[Duplicate Key],Paper_Reference[[#This Row],[Duplicate Key]])</f>
        <v>1</v>
      </c>
    </row>
    <row r="2375" spans="1:10">
      <c r="A2375" s="7">
        <v>2</v>
      </c>
      <c r="B2375" s="8" t="s">
        <v>6305</v>
      </c>
      <c r="C2375" s="8" t="s">
        <v>5834</v>
      </c>
      <c r="D2375" s="7">
        <v>1</v>
      </c>
      <c r="E2375" s="7">
        <v>10</v>
      </c>
      <c r="F2375" s="7">
        <v>1</v>
      </c>
      <c r="G2375" s="8" t="s">
        <v>5690</v>
      </c>
      <c r="H2375" s="8" t="s">
        <v>5691</v>
      </c>
      <c r="I2375" s="7" t="str">
        <f>_xlfn.CONCAT(Paper_Reference[[#This Row],[Lvl]:[Paper Description]])</f>
        <v>2J48R0235Z500ESPN FULL COURT D/G 60 X 1201101100DS009-6200FROSTY WHITE</v>
      </c>
      <c r="J2375" s="7">
        <f>COUNTIF(Paper_Reference[Duplicate Key],Paper_Reference[[#This Row],[Duplicate Key]])</f>
        <v>1</v>
      </c>
    </row>
    <row r="2376" spans="1:10">
      <c r="A2376" s="7">
        <v>2</v>
      </c>
      <c r="B2376" s="8" t="s">
        <v>7597</v>
      </c>
      <c r="C2376" s="8" t="s">
        <v>6914</v>
      </c>
      <c r="D2376" s="7">
        <v>1</v>
      </c>
      <c r="E2376" s="7">
        <v>10</v>
      </c>
      <c r="F2376" s="7">
        <v>1</v>
      </c>
      <c r="G2376" s="8" t="s">
        <v>6710</v>
      </c>
      <c r="H2376" s="8" t="s">
        <v>5691</v>
      </c>
      <c r="I2376" s="7" t="str">
        <f>_xlfn.CONCAT(Paper_Reference[[#This Row],[Lvl]:[Paper Description]])</f>
        <v>2J48R0236N480EAGLES NEST TABLE D/G 48 X 961101100DS009-5000FROSTY WHITE</v>
      </c>
      <c r="J2376" s="7">
        <f>COUNTIF(Paper_Reference[Duplicate Key],Paper_Reference[[#This Row],[Duplicate Key]])</f>
        <v>1</v>
      </c>
    </row>
    <row r="2377" spans="1:10">
      <c r="A2377" s="7">
        <v>2</v>
      </c>
      <c r="B2377" s="8" t="s">
        <v>7598</v>
      </c>
      <c r="C2377" s="8" t="s">
        <v>6915</v>
      </c>
      <c r="D2377" s="7">
        <v>1</v>
      </c>
      <c r="E2377" s="7">
        <v>10</v>
      </c>
      <c r="F2377" s="7">
        <v>1</v>
      </c>
      <c r="G2377" s="8" t="s">
        <v>6710</v>
      </c>
      <c r="H2377" s="8" t="s">
        <v>5691</v>
      </c>
      <c r="I2377" s="7" t="str">
        <f>_xlfn.CONCAT(Paper_Reference[[#This Row],[Lvl]:[Paper Description]])</f>
        <v>2J48R0243N480STEVENSON HS BOARD 48 X 961101100DS009-5000FROSTY WHITE</v>
      </c>
      <c r="J2377" s="7">
        <f>COUNTIF(Paper_Reference[Duplicate Key],Paper_Reference[[#This Row],[Duplicate Key]])</f>
        <v>1</v>
      </c>
    </row>
    <row r="2378" spans="1:10">
      <c r="A2378" s="7">
        <v>2</v>
      </c>
      <c r="B2378" s="8" t="s">
        <v>1812</v>
      </c>
      <c r="C2378" s="8" t="s">
        <v>1392</v>
      </c>
      <c r="D2378" s="7">
        <v>1</v>
      </c>
      <c r="E2378" s="7">
        <v>10</v>
      </c>
      <c r="F2378" s="7">
        <v>1</v>
      </c>
      <c r="G2378" s="8" t="s">
        <v>1241</v>
      </c>
      <c r="H2378" s="8" t="s">
        <v>1242</v>
      </c>
      <c r="I2378" s="7" t="str">
        <f>_xlfn.CONCAT(Paper_Reference[[#This Row],[Lvl]:[Paper Description]])</f>
        <v>2J48R0260N300LIGHTHOUSE INC D/G 36 X 120110110000020-5000Premium Inkjet MPK 9653</v>
      </c>
      <c r="J2378" s="7">
        <f>COUNTIF(Paper_Reference[Duplicate Key],Paper_Reference[[#This Row],[Duplicate Key]])</f>
        <v>1</v>
      </c>
    </row>
    <row r="2379" spans="1:10">
      <c r="A2379" s="7">
        <v>2</v>
      </c>
      <c r="B2379" s="8" t="s">
        <v>1813</v>
      </c>
      <c r="C2379" s="8" t="s">
        <v>1393</v>
      </c>
      <c r="D2379" s="7">
        <v>1</v>
      </c>
      <c r="E2379" s="7">
        <v>10</v>
      </c>
      <c r="F2379" s="7">
        <v>1</v>
      </c>
      <c r="G2379" s="8" t="s">
        <v>1241</v>
      </c>
      <c r="H2379" s="8" t="s">
        <v>1242</v>
      </c>
      <c r="I2379" s="7" t="str">
        <f>_xlfn.CONCAT(Paper_Reference[[#This Row],[Lvl]:[Paper Description]])</f>
        <v>2J48R0260N320LIGHTHOUSE INC D/G 36 X 144110110000020-5000Premium Inkjet MPK 9653</v>
      </c>
      <c r="J2379" s="7">
        <f>COUNTIF(Paper_Reference[Duplicate Key],Paper_Reference[[#This Row],[Duplicate Key]])</f>
        <v>1</v>
      </c>
    </row>
    <row r="2380" spans="1:10">
      <c r="A2380" s="7">
        <v>2</v>
      </c>
      <c r="B2380" s="8" t="s">
        <v>1814</v>
      </c>
      <c r="C2380" s="8" t="s">
        <v>1394</v>
      </c>
      <c r="D2380" s="7">
        <v>1</v>
      </c>
      <c r="E2380" s="7">
        <v>10</v>
      </c>
      <c r="F2380" s="7">
        <v>1</v>
      </c>
      <c r="G2380" s="8" t="s">
        <v>1241</v>
      </c>
      <c r="H2380" s="8" t="s">
        <v>1242</v>
      </c>
      <c r="I2380" s="7" t="str">
        <f>_xlfn.CONCAT(Paper_Reference[[#This Row],[Lvl]:[Paper Description]])</f>
        <v>2J48R0260N380LIGHTHOUSE INC D/G 36 X 96110110000020-5000Premium Inkjet MPK 9653</v>
      </c>
      <c r="J2380" s="7">
        <f>COUNTIF(Paper_Reference[Duplicate Key],Paper_Reference[[#This Row],[Duplicate Key]])</f>
        <v>1</v>
      </c>
    </row>
    <row r="2381" spans="1:10">
      <c r="A2381" s="7">
        <v>2</v>
      </c>
      <c r="B2381" s="8" t="s">
        <v>1815</v>
      </c>
      <c r="C2381" s="8" t="s">
        <v>1395</v>
      </c>
      <c r="D2381" s="7">
        <v>1</v>
      </c>
      <c r="E2381" s="7">
        <v>10</v>
      </c>
      <c r="F2381" s="7">
        <v>1</v>
      </c>
      <c r="G2381" s="8" t="s">
        <v>1241</v>
      </c>
      <c r="H2381" s="8" t="s">
        <v>1242</v>
      </c>
      <c r="I2381" s="7" t="str">
        <f>_xlfn.CONCAT(Paper_Reference[[#This Row],[Lvl]:[Paper Description]])</f>
        <v>2J48R0260N400LIGHTHOUSE INC D/G 48 X 120110110000020-5000Premium Inkjet MPK 9653</v>
      </c>
      <c r="J2381" s="7">
        <f>COUNTIF(Paper_Reference[Duplicate Key],Paper_Reference[[#This Row],[Duplicate Key]])</f>
        <v>1</v>
      </c>
    </row>
    <row r="2382" spans="1:10">
      <c r="A2382" s="7">
        <v>2</v>
      </c>
      <c r="B2382" s="8" t="s">
        <v>1816</v>
      </c>
      <c r="C2382" s="8" t="s">
        <v>1396</v>
      </c>
      <c r="D2382" s="7">
        <v>1</v>
      </c>
      <c r="E2382" s="7">
        <v>10</v>
      </c>
      <c r="F2382" s="7">
        <v>1</v>
      </c>
      <c r="G2382" s="8" t="s">
        <v>1241</v>
      </c>
      <c r="H2382" s="8" t="s">
        <v>1242</v>
      </c>
      <c r="I2382" s="7" t="str">
        <f>_xlfn.CONCAT(Paper_Reference[[#This Row],[Lvl]:[Paper Description]])</f>
        <v>2J48R0260N420LIGHTHOUSE INC D/G 48X144110110000020-5000Premium Inkjet MPK 9653</v>
      </c>
      <c r="J2382" s="7">
        <f>COUNTIF(Paper_Reference[Duplicate Key],Paper_Reference[[#This Row],[Duplicate Key]])</f>
        <v>1</v>
      </c>
    </row>
    <row r="2383" spans="1:10">
      <c r="A2383" s="7">
        <v>2</v>
      </c>
      <c r="B2383" s="8" t="s">
        <v>1817</v>
      </c>
      <c r="C2383" s="8" t="s">
        <v>1397</v>
      </c>
      <c r="D2383" s="7">
        <v>1</v>
      </c>
      <c r="E2383" s="7">
        <v>10</v>
      </c>
      <c r="F2383" s="7">
        <v>1</v>
      </c>
      <c r="G2383" s="8" t="s">
        <v>1241</v>
      </c>
      <c r="H2383" s="8" t="s">
        <v>1242</v>
      </c>
      <c r="I2383" s="7" t="str">
        <f>_xlfn.CONCAT(Paper_Reference[[#This Row],[Lvl]:[Paper Description]])</f>
        <v>2J48R0260N480LIGHTHOUSE INC D/G 48 X 96110110000020-5000Premium Inkjet MPK 9653</v>
      </c>
      <c r="J2383" s="7">
        <f>COUNTIF(Paper_Reference[Duplicate Key],Paper_Reference[[#This Row],[Duplicate Key]])</f>
        <v>1</v>
      </c>
    </row>
    <row r="2384" spans="1:10">
      <c r="A2384" s="7">
        <v>2</v>
      </c>
      <c r="B2384" s="8" t="s">
        <v>2659</v>
      </c>
      <c r="C2384" s="8" t="s">
        <v>2210</v>
      </c>
      <c r="D2384" s="7">
        <v>1</v>
      </c>
      <c r="E2384" s="7">
        <v>10</v>
      </c>
      <c r="F2384" s="7">
        <v>1</v>
      </c>
      <c r="G2384" s="8" t="s">
        <v>2144</v>
      </c>
      <c r="H2384" s="8" t="s">
        <v>1242</v>
      </c>
      <c r="I2384" s="7" t="str">
        <f>_xlfn.CONCAT(Paper_Reference[[#This Row],[Lvl]:[Paper Description]])</f>
        <v>2J48R0260N500LIGHTHOUSE INC D/G 60 X 120110110000020-6200Premium Inkjet MPK 9653</v>
      </c>
      <c r="J2384" s="7">
        <f>COUNTIF(Paper_Reference[Duplicate Key],Paper_Reference[[#This Row],[Duplicate Key]])</f>
        <v>1</v>
      </c>
    </row>
    <row r="2385" spans="1:10">
      <c r="A2385" s="7">
        <v>2</v>
      </c>
      <c r="B2385" s="8" t="s">
        <v>2660</v>
      </c>
      <c r="C2385" s="8" t="s">
        <v>2211</v>
      </c>
      <c r="D2385" s="7">
        <v>1</v>
      </c>
      <c r="E2385" s="7">
        <v>10</v>
      </c>
      <c r="F2385" s="7">
        <v>1</v>
      </c>
      <c r="G2385" s="8" t="s">
        <v>2144</v>
      </c>
      <c r="H2385" s="8" t="s">
        <v>1242</v>
      </c>
      <c r="I2385" s="7" t="str">
        <f>_xlfn.CONCAT(Paper_Reference[[#This Row],[Lvl]:[Paper Description]])</f>
        <v>2J48R0260N520LIGHTHOUSE INC D/G 60 X 144110110000020-6200Premium Inkjet MPK 9653</v>
      </c>
      <c r="J2385" s="7">
        <f>COUNTIF(Paper_Reference[Duplicate Key],Paper_Reference[[#This Row],[Duplicate Key]])</f>
        <v>1</v>
      </c>
    </row>
    <row r="2386" spans="1:10">
      <c r="A2386" s="7">
        <v>2</v>
      </c>
      <c r="B2386" s="8" t="s">
        <v>2661</v>
      </c>
      <c r="C2386" s="8" t="s">
        <v>2212</v>
      </c>
      <c r="D2386" s="7">
        <v>1</v>
      </c>
      <c r="E2386" s="7">
        <v>10</v>
      </c>
      <c r="F2386" s="7">
        <v>1</v>
      </c>
      <c r="G2386" s="8" t="s">
        <v>2144</v>
      </c>
      <c r="H2386" s="8" t="s">
        <v>1242</v>
      </c>
      <c r="I2386" s="7" t="str">
        <f>_xlfn.CONCAT(Paper_Reference[[#This Row],[Lvl]:[Paper Description]])</f>
        <v>2J48R0260N580LIGHTHOUSE INC D/G 60 X 96110110000020-6200Premium Inkjet MPK 9653</v>
      </c>
      <c r="J2386" s="7">
        <f>COUNTIF(Paper_Reference[Duplicate Key],Paper_Reference[[#This Row],[Duplicate Key]])</f>
        <v>1</v>
      </c>
    </row>
    <row r="2387" spans="1:10">
      <c r="A2387" s="7">
        <v>2</v>
      </c>
      <c r="B2387" s="8" t="s">
        <v>1818</v>
      </c>
      <c r="C2387" s="8" t="s">
        <v>1392</v>
      </c>
      <c r="D2387" s="7">
        <v>1</v>
      </c>
      <c r="E2387" s="7">
        <v>10</v>
      </c>
      <c r="F2387" s="7">
        <v>1</v>
      </c>
      <c r="G2387" s="8" t="s">
        <v>1241</v>
      </c>
      <c r="H2387" s="8" t="s">
        <v>1242</v>
      </c>
      <c r="I2387" s="7" t="str">
        <f>_xlfn.CONCAT(Paper_Reference[[#This Row],[Lvl]:[Paper Description]])</f>
        <v>2J48R0260SD300LIGHTHOUSE INC D/G 36 X 120110110000020-5000Premium Inkjet MPK 9653</v>
      </c>
      <c r="J2387" s="7">
        <f>COUNTIF(Paper_Reference[Duplicate Key],Paper_Reference[[#This Row],[Duplicate Key]])</f>
        <v>1</v>
      </c>
    </row>
    <row r="2388" spans="1:10">
      <c r="A2388" s="7">
        <v>2</v>
      </c>
      <c r="B2388" s="8" t="s">
        <v>1819</v>
      </c>
      <c r="C2388" s="8" t="s">
        <v>1393</v>
      </c>
      <c r="D2388" s="7">
        <v>1</v>
      </c>
      <c r="E2388" s="7">
        <v>10</v>
      </c>
      <c r="F2388" s="7">
        <v>1</v>
      </c>
      <c r="G2388" s="8" t="s">
        <v>1241</v>
      </c>
      <c r="H2388" s="8" t="s">
        <v>1242</v>
      </c>
      <c r="I2388" s="7" t="str">
        <f>_xlfn.CONCAT(Paper_Reference[[#This Row],[Lvl]:[Paper Description]])</f>
        <v>2J48R0260SD320LIGHTHOUSE INC D/G 36 X 144110110000020-5000Premium Inkjet MPK 9653</v>
      </c>
      <c r="J2388" s="7">
        <f>COUNTIF(Paper_Reference[Duplicate Key],Paper_Reference[[#This Row],[Duplicate Key]])</f>
        <v>1</v>
      </c>
    </row>
    <row r="2389" spans="1:10">
      <c r="A2389" s="7">
        <v>2</v>
      </c>
      <c r="B2389" s="8" t="s">
        <v>1820</v>
      </c>
      <c r="C2389" s="8" t="s">
        <v>1394</v>
      </c>
      <c r="D2389" s="7">
        <v>1</v>
      </c>
      <c r="E2389" s="7">
        <v>10</v>
      </c>
      <c r="F2389" s="7">
        <v>1</v>
      </c>
      <c r="G2389" s="8" t="s">
        <v>1241</v>
      </c>
      <c r="H2389" s="8" t="s">
        <v>1242</v>
      </c>
      <c r="I2389" s="7" t="str">
        <f>_xlfn.CONCAT(Paper_Reference[[#This Row],[Lvl]:[Paper Description]])</f>
        <v>2J48R0260SD380LIGHTHOUSE INC D/G 36 X 96110110000020-5000Premium Inkjet MPK 9653</v>
      </c>
      <c r="J2389" s="7">
        <f>COUNTIF(Paper_Reference[Duplicate Key],Paper_Reference[[#This Row],[Duplicate Key]])</f>
        <v>1</v>
      </c>
    </row>
    <row r="2390" spans="1:10">
      <c r="A2390" s="7">
        <v>2</v>
      </c>
      <c r="B2390" s="8" t="s">
        <v>1821</v>
      </c>
      <c r="C2390" s="8" t="s">
        <v>1395</v>
      </c>
      <c r="D2390" s="7">
        <v>1</v>
      </c>
      <c r="E2390" s="7">
        <v>10</v>
      </c>
      <c r="F2390" s="7">
        <v>1</v>
      </c>
      <c r="G2390" s="8" t="s">
        <v>1241</v>
      </c>
      <c r="H2390" s="8" t="s">
        <v>1242</v>
      </c>
      <c r="I2390" s="7" t="str">
        <f>_xlfn.CONCAT(Paper_Reference[[#This Row],[Lvl]:[Paper Description]])</f>
        <v>2J48R0260SD400LIGHTHOUSE INC D/G 48 X 120110110000020-5000Premium Inkjet MPK 9653</v>
      </c>
      <c r="J2390" s="7">
        <f>COUNTIF(Paper_Reference[Duplicate Key],Paper_Reference[[#This Row],[Duplicate Key]])</f>
        <v>1</v>
      </c>
    </row>
    <row r="2391" spans="1:10">
      <c r="A2391" s="7">
        <v>2</v>
      </c>
      <c r="B2391" s="8" t="s">
        <v>1822</v>
      </c>
      <c r="C2391" s="8" t="s">
        <v>1396</v>
      </c>
      <c r="D2391" s="7">
        <v>1</v>
      </c>
      <c r="E2391" s="7">
        <v>10</v>
      </c>
      <c r="F2391" s="7">
        <v>1</v>
      </c>
      <c r="G2391" s="8" t="s">
        <v>1241</v>
      </c>
      <c r="H2391" s="8" t="s">
        <v>1242</v>
      </c>
      <c r="I2391" s="7" t="str">
        <f>_xlfn.CONCAT(Paper_Reference[[#This Row],[Lvl]:[Paper Description]])</f>
        <v>2J48R0260SD420LIGHTHOUSE INC D/G 48X144110110000020-5000Premium Inkjet MPK 9653</v>
      </c>
      <c r="J2391" s="7">
        <f>COUNTIF(Paper_Reference[Duplicate Key],Paper_Reference[[#This Row],[Duplicate Key]])</f>
        <v>1</v>
      </c>
    </row>
    <row r="2392" spans="1:10">
      <c r="A2392" s="7">
        <v>2</v>
      </c>
      <c r="B2392" s="8" t="s">
        <v>1823</v>
      </c>
      <c r="C2392" s="8" t="s">
        <v>1397</v>
      </c>
      <c r="D2392" s="7">
        <v>1</v>
      </c>
      <c r="E2392" s="7">
        <v>10</v>
      </c>
      <c r="F2392" s="7">
        <v>1</v>
      </c>
      <c r="G2392" s="8" t="s">
        <v>1241</v>
      </c>
      <c r="H2392" s="8" t="s">
        <v>1242</v>
      </c>
      <c r="I2392" s="7" t="str">
        <f>_xlfn.CONCAT(Paper_Reference[[#This Row],[Lvl]:[Paper Description]])</f>
        <v>2J48R0260SD480LIGHTHOUSE INC D/G 48 X 96110110000020-5000Premium Inkjet MPK 9653</v>
      </c>
      <c r="J2392" s="7">
        <f>COUNTIF(Paper_Reference[Duplicate Key],Paper_Reference[[#This Row],[Duplicate Key]])</f>
        <v>1</v>
      </c>
    </row>
    <row r="2393" spans="1:10">
      <c r="A2393" s="7">
        <v>2</v>
      </c>
      <c r="B2393" s="8" t="s">
        <v>2662</v>
      </c>
      <c r="C2393" s="8" t="s">
        <v>2210</v>
      </c>
      <c r="D2393" s="7">
        <v>1</v>
      </c>
      <c r="E2393" s="7">
        <v>10</v>
      </c>
      <c r="F2393" s="7">
        <v>1</v>
      </c>
      <c r="G2393" s="8" t="s">
        <v>2144</v>
      </c>
      <c r="H2393" s="8" t="s">
        <v>1242</v>
      </c>
      <c r="I2393" s="7" t="str">
        <f>_xlfn.CONCAT(Paper_Reference[[#This Row],[Lvl]:[Paper Description]])</f>
        <v>2J48R0260SD500LIGHTHOUSE INC D/G 60 X 120110110000020-6200Premium Inkjet MPK 9653</v>
      </c>
      <c r="J2393" s="7">
        <f>COUNTIF(Paper_Reference[Duplicate Key],Paper_Reference[[#This Row],[Duplicate Key]])</f>
        <v>1</v>
      </c>
    </row>
    <row r="2394" spans="1:10">
      <c r="A2394" s="7">
        <v>2</v>
      </c>
      <c r="B2394" s="8" t="s">
        <v>2663</v>
      </c>
      <c r="C2394" s="8" t="s">
        <v>2211</v>
      </c>
      <c r="D2394" s="7">
        <v>1</v>
      </c>
      <c r="E2394" s="7">
        <v>10</v>
      </c>
      <c r="F2394" s="7">
        <v>1</v>
      </c>
      <c r="G2394" s="8" t="s">
        <v>2144</v>
      </c>
      <c r="H2394" s="8" t="s">
        <v>1242</v>
      </c>
      <c r="I2394" s="7" t="str">
        <f>_xlfn.CONCAT(Paper_Reference[[#This Row],[Lvl]:[Paper Description]])</f>
        <v>2J48R0260SD520LIGHTHOUSE INC D/G 60 X 144110110000020-6200Premium Inkjet MPK 9653</v>
      </c>
      <c r="J2394" s="7">
        <f>COUNTIF(Paper_Reference[Duplicate Key],Paper_Reference[[#This Row],[Duplicate Key]])</f>
        <v>1</v>
      </c>
    </row>
    <row r="2395" spans="1:10">
      <c r="A2395" s="7">
        <v>2</v>
      </c>
      <c r="B2395" s="8" t="s">
        <v>2664</v>
      </c>
      <c r="C2395" s="8" t="s">
        <v>2212</v>
      </c>
      <c r="D2395" s="7">
        <v>1</v>
      </c>
      <c r="E2395" s="7">
        <v>10</v>
      </c>
      <c r="F2395" s="7">
        <v>1</v>
      </c>
      <c r="G2395" s="8" t="s">
        <v>2144</v>
      </c>
      <c r="H2395" s="8" t="s">
        <v>1242</v>
      </c>
      <c r="I2395" s="7" t="str">
        <f>_xlfn.CONCAT(Paper_Reference[[#This Row],[Lvl]:[Paper Description]])</f>
        <v>2J48R0260SD580LIGHTHOUSE INC D/G 60 X 96110110000020-6200Premium Inkjet MPK 9653</v>
      </c>
      <c r="J2395" s="7">
        <f>COUNTIF(Paper_Reference[Duplicate Key],Paper_Reference[[#This Row],[Duplicate Key]])</f>
        <v>1</v>
      </c>
    </row>
    <row r="2396" spans="1:10">
      <c r="A2396" s="7">
        <v>2</v>
      </c>
      <c r="B2396" s="8" t="s">
        <v>7599</v>
      </c>
      <c r="C2396" s="8" t="s">
        <v>6916</v>
      </c>
      <c r="D2396" s="7">
        <v>1</v>
      </c>
      <c r="E2396" s="7">
        <v>10</v>
      </c>
      <c r="F2396" s="7">
        <v>1</v>
      </c>
      <c r="G2396" s="8" t="s">
        <v>6710</v>
      </c>
      <c r="H2396" s="8" t="s">
        <v>5691</v>
      </c>
      <c r="I2396" s="7" t="str">
        <f>_xlfn.CONCAT(Paper_Reference[[#This Row],[Lvl]:[Paper Description]])</f>
        <v>2J48R0264N480RIVERBOAT LANES D/G 48 X 961101100DS009-5000FROSTY WHITE</v>
      </c>
      <c r="J2396" s="7">
        <f>COUNTIF(Paper_Reference[Duplicate Key],Paper_Reference[[#This Row],[Duplicate Key]])</f>
        <v>1</v>
      </c>
    </row>
    <row r="2397" spans="1:10">
      <c r="A2397" s="7">
        <v>2</v>
      </c>
      <c r="B2397" s="8" t="s">
        <v>7600</v>
      </c>
      <c r="C2397" s="8" t="s">
        <v>6917</v>
      </c>
      <c r="D2397" s="7">
        <v>1</v>
      </c>
      <c r="E2397" s="7">
        <v>10</v>
      </c>
      <c r="F2397" s="7">
        <v>1</v>
      </c>
      <c r="G2397" s="8" t="s">
        <v>6710</v>
      </c>
      <c r="H2397" s="8" t="s">
        <v>5691</v>
      </c>
      <c r="I2397" s="7" t="str">
        <f>_xlfn.CONCAT(Paper_Reference[[#This Row],[Lvl]:[Paper Description]])</f>
        <v>2J48R0266N380ELV CLOUDS P-C D/G 36 X 961101100DS009-5000FROSTY WHITE</v>
      </c>
      <c r="J2397" s="7">
        <f>COUNTIF(Paper_Reference[Duplicate Key],Paper_Reference[[#This Row],[Duplicate Key]])</f>
        <v>1</v>
      </c>
    </row>
    <row r="2398" spans="1:10">
      <c r="A2398" s="7">
        <v>2</v>
      </c>
      <c r="B2398" s="8" t="s">
        <v>7601</v>
      </c>
      <c r="C2398" s="8" t="s">
        <v>6918</v>
      </c>
      <c r="D2398" s="7">
        <v>1</v>
      </c>
      <c r="E2398" s="7">
        <v>10</v>
      </c>
      <c r="F2398" s="7">
        <v>1</v>
      </c>
      <c r="G2398" s="8" t="s">
        <v>6710</v>
      </c>
      <c r="H2398" s="8" t="s">
        <v>5691</v>
      </c>
      <c r="I2398" s="7" t="str">
        <f>_xlfn.CONCAT(Paper_Reference[[#This Row],[Lvl]:[Paper Description]])</f>
        <v>2J48R0267N380ELV CLOUDS P-D D/G 36 X 961101100DS009-5000FROSTY WHITE</v>
      </c>
      <c r="J2398" s="7">
        <f>COUNTIF(Paper_Reference[Duplicate Key],Paper_Reference[[#This Row],[Duplicate Key]])</f>
        <v>1</v>
      </c>
    </row>
    <row r="2399" spans="1:10">
      <c r="A2399" s="7">
        <v>2</v>
      </c>
      <c r="B2399" s="8" t="s">
        <v>7602</v>
      </c>
      <c r="C2399" s="8" t="s">
        <v>6919</v>
      </c>
      <c r="D2399" s="7">
        <v>1</v>
      </c>
      <c r="E2399" s="7">
        <v>10</v>
      </c>
      <c r="F2399" s="7">
        <v>1</v>
      </c>
      <c r="G2399" s="8" t="s">
        <v>6710</v>
      </c>
      <c r="H2399" s="8" t="s">
        <v>5691</v>
      </c>
      <c r="I2399" s="7" t="str">
        <f>_xlfn.CONCAT(Paper_Reference[[#This Row],[Lvl]:[Paper Description]])</f>
        <v>2J48R0268N380ELV CLOUDS P-E D/G 36 X 961101100DS009-5000FROSTY WHITE</v>
      </c>
      <c r="J2399" s="7">
        <f>COUNTIF(Paper_Reference[Duplicate Key],Paper_Reference[[#This Row],[Duplicate Key]])</f>
        <v>1</v>
      </c>
    </row>
    <row r="2400" spans="1:10">
      <c r="A2400" s="7">
        <v>2</v>
      </c>
      <c r="B2400" s="8" t="s">
        <v>7603</v>
      </c>
      <c r="C2400" s="8" t="s">
        <v>6920</v>
      </c>
      <c r="D2400" s="7">
        <v>1</v>
      </c>
      <c r="E2400" s="7">
        <v>10</v>
      </c>
      <c r="F2400" s="7">
        <v>1</v>
      </c>
      <c r="G2400" s="8" t="s">
        <v>6710</v>
      </c>
      <c r="H2400" s="8" t="s">
        <v>5691</v>
      </c>
      <c r="I2400" s="7" t="str">
        <f>_xlfn.CONCAT(Paper_Reference[[#This Row],[Lvl]:[Paper Description]])</f>
        <v>2J48R0269N480ROOF CLOUDS P-A D/G 48 X 961101100DS009-5000FROSTY WHITE</v>
      </c>
      <c r="J2400" s="7">
        <f>COUNTIF(Paper_Reference[Duplicate Key],Paper_Reference[[#This Row],[Duplicate Key]])</f>
        <v>1</v>
      </c>
    </row>
    <row r="2401" spans="1:10">
      <c r="A2401" s="7">
        <v>2</v>
      </c>
      <c r="B2401" s="8" t="s">
        <v>7604</v>
      </c>
      <c r="C2401" s="8" t="s">
        <v>6921</v>
      </c>
      <c r="D2401" s="7">
        <v>1</v>
      </c>
      <c r="E2401" s="7">
        <v>10</v>
      </c>
      <c r="F2401" s="7">
        <v>1</v>
      </c>
      <c r="G2401" s="8" t="s">
        <v>6710</v>
      </c>
      <c r="H2401" s="8" t="s">
        <v>5691</v>
      </c>
      <c r="I2401" s="7" t="str">
        <f>_xlfn.CONCAT(Paper_Reference[[#This Row],[Lvl]:[Paper Description]])</f>
        <v>2J48R0270N480ROOF CLOUDS P-B D/G 48 X 961101100DS009-5000FROSTY WHITE</v>
      </c>
      <c r="J2401" s="7">
        <f>COUNTIF(Paper_Reference[Duplicate Key],Paper_Reference[[#This Row],[Duplicate Key]])</f>
        <v>1</v>
      </c>
    </row>
    <row r="2402" spans="1:10">
      <c r="A2402" s="7">
        <v>2</v>
      </c>
      <c r="B2402" s="8" t="s">
        <v>7605</v>
      </c>
      <c r="C2402" s="8" t="s">
        <v>6922</v>
      </c>
      <c r="D2402" s="7">
        <v>1</v>
      </c>
      <c r="E2402" s="7">
        <v>10</v>
      </c>
      <c r="F2402" s="7">
        <v>1</v>
      </c>
      <c r="G2402" s="8" t="s">
        <v>6710</v>
      </c>
      <c r="H2402" s="8" t="s">
        <v>5691</v>
      </c>
      <c r="I2402" s="7" t="str">
        <f>_xlfn.CONCAT(Paper_Reference[[#This Row],[Lvl]:[Paper Description]])</f>
        <v>2J48R0271N480ROOF CLOUDS P-C D/G 48 X 961101100DS009-5000FROSTY WHITE</v>
      </c>
      <c r="J2402" s="7">
        <f>COUNTIF(Paper_Reference[Duplicate Key],Paper_Reference[[#This Row],[Duplicate Key]])</f>
        <v>1</v>
      </c>
    </row>
    <row r="2403" spans="1:10">
      <c r="A2403" s="7">
        <v>2</v>
      </c>
      <c r="B2403" s="8" t="s">
        <v>7606</v>
      </c>
      <c r="C2403" s="8" t="s">
        <v>6923</v>
      </c>
      <c r="D2403" s="7">
        <v>1</v>
      </c>
      <c r="E2403" s="7">
        <v>10</v>
      </c>
      <c r="F2403" s="7">
        <v>1</v>
      </c>
      <c r="G2403" s="8" t="s">
        <v>6710</v>
      </c>
      <c r="H2403" s="8" t="s">
        <v>5691</v>
      </c>
      <c r="I2403" s="7" t="str">
        <f>_xlfn.CONCAT(Paper_Reference[[#This Row],[Lvl]:[Paper Description]])</f>
        <v>2J48R0272N480ROOF CLOUDS P-D D/G 48 X 961101100DS009-5000FROSTY WHITE</v>
      </c>
      <c r="J2403" s="7">
        <f>COUNTIF(Paper_Reference[Duplicate Key],Paper_Reference[[#This Row],[Duplicate Key]])</f>
        <v>1</v>
      </c>
    </row>
    <row r="2404" spans="1:10">
      <c r="A2404" s="7">
        <v>2</v>
      </c>
      <c r="B2404" s="8" t="s">
        <v>7607</v>
      </c>
      <c r="C2404" s="8" t="s">
        <v>6924</v>
      </c>
      <c r="D2404" s="7">
        <v>1</v>
      </c>
      <c r="E2404" s="7">
        <v>10</v>
      </c>
      <c r="F2404" s="7">
        <v>1</v>
      </c>
      <c r="G2404" s="8" t="s">
        <v>6710</v>
      </c>
      <c r="H2404" s="8" t="s">
        <v>5691</v>
      </c>
      <c r="I2404" s="7" t="str">
        <f>_xlfn.CONCAT(Paper_Reference[[#This Row],[Lvl]:[Paper Description]])</f>
        <v>2J48R0274N400BALLOON CLOUDS D/G 48 X 1201101100DS009-5000FROSTY WHITE</v>
      </c>
      <c r="J2404" s="7">
        <f>COUNTIF(Paper_Reference[Duplicate Key],Paper_Reference[[#This Row],[Duplicate Key]])</f>
        <v>1</v>
      </c>
    </row>
    <row r="2405" spans="1:10">
      <c r="A2405" s="7">
        <v>2</v>
      </c>
      <c r="B2405" s="8" t="s">
        <v>7608</v>
      </c>
      <c r="C2405" s="8" t="s">
        <v>6925</v>
      </c>
      <c r="D2405" s="7">
        <v>1</v>
      </c>
      <c r="E2405" s="7">
        <v>10</v>
      </c>
      <c r="F2405" s="7">
        <v>1</v>
      </c>
      <c r="G2405" s="8" t="s">
        <v>6710</v>
      </c>
      <c r="H2405" s="8" t="s">
        <v>5691</v>
      </c>
      <c r="I2405" s="7" t="str">
        <f>_xlfn.CONCAT(Paper_Reference[[#This Row],[Lvl]:[Paper Description]])</f>
        <v>2J48R0276C480ESPN 42" ROUND LOGO D/G 48X961101100DS009-5000FROSTY WHITE</v>
      </c>
      <c r="J2405" s="7">
        <f>COUNTIF(Paper_Reference[Duplicate Key],Paper_Reference[[#This Row],[Duplicate Key]])</f>
        <v>1</v>
      </c>
    </row>
    <row r="2406" spans="1:10">
      <c r="A2406" s="7">
        <v>2</v>
      </c>
      <c r="B2406" s="8" t="s">
        <v>7609</v>
      </c>
      <c r="C2406" s="8" t="s">
        <v>6926</v>
      </c>
      <c r="D2406" s="7">
        <v>1</v>
      </c>
      <c r="E2406" s="7">
        <v>10</v>
      </c>
      <c r="F2406" s="7">
        <v>1</v>
      </c>
      <c r="G2406" s="8" t="s">
        <v>6710</v>
      </c>
      <c r="H2406" s="8" t="s">
        <v>5691</v>
      </c>
      <c r="I2406" s="7" t="str">
        <f>_xlfn.CONCAT(Paper_Reference[[#This Row],[Lvl]:[Paper Description]])</f>
        <v>2J48R0278N480RIVERBOAT LANES II D/G 48 X 961101100DS009-5000FROSTY WHITE</v>
      </c>
      <c r="J2406" s="7">
        <f>COUNTIF(Paper_Reference[Duplicate Key],Paper_Reference[[#This Row],[Duplicate Key]])</f>
        <v>1</v>
      </c>
    </row>
    <row r="2407" spans="1:10">
      <c r="A2407" s="7">
        <v>2</v>
      </c>
      <c r="B2407" s="8" t="s">
        <v>7610</v>
      </c>
      <c r="C2407" s="8" t="s">
        <v>6927</v>
      </c>
      <c r="D2407" s="7">
        <v>1</v>
      </c>
      <c r="E2407" s="7">
        <v>10</v>
      </c>
      <c r="F2407" s="7">
        <v>1</v>
      </c>
      <c r="G2407" s="8" t="s">
        <v>6710</v>
      </c>
      <c r="H2407" s="8" t="s">
        <v>5691</v>
      </c>
      <c r="I2407" s="7" t="str">
        <f>_xlfn.CONCAT(Paper_Reference[[#This Row],[Lvl]:[Paper Description]])</f>
        <v>2J48R0280N480RANGER TABLES D/G 48 X 961101100DS009-5000FROSTY WHITE</v>
      </c>
      <c r="J2407" s="7">
        <f>COUNTIF(Paper_Reference[Duplicate Key],Paper_Reference[[#This Row],[Duplicate Key]])</f>
        <v>1</v>
      </c>
    </row>
    <row r="2408" spans="1:10">
      <c r="A2408" s="7">
        <v>2</v>
      </c>
      <c r="B2408" s="8" t="s">
        <v>7611</v>
      </c>
      <c r="C2408" s="8" t="s">
        <v>6928</v>
      </c>
      <c r="D2408" s="7">
        <v>1</v>
      </c>
      <c r="E2408" s="7">
        <v>10</v>
      </c>
      <c r="F2408" s="7">
        <v>1</v>
      </c>
      <c r="G2408" s="8" t="s">
        <v>6710</v>
      </c>
      <c r="H2408" s="8" t="s">
        <v>5691</v>
      </c>
      <c r="I2408" s="7" t="str">
        <f>_xlfn.CONCAT(Paper_Reference[[#This Row],[Lvl]:[Paper Description]])</f>
        <v>2J48R0282N400UNCC D/G 48 X 1201101100DS009-5000FROSTY WHITE</v>
      </c>
      <c r="J2408" s="7">
        <f>COUNTIF(Paper_Reference[Duplicate Key],Paper_Reference[[#This Row],[Duplicate Key]])</f>
        <v>1</v>
      </c>
    </row>
    <row r="2409" spans="1:10">
      <c r="A2409" s="7">
        <v>2</v>
      </c>
      <c r="B2409" s="8" t="s">
        <v>7612</v>
      </c>
      <c r="C2409" s="8" t="s">
        <v>6929</v>
      </c>
      <c r="D2409" s="7">
        <v>1</v>
      </c>
      <c r="E2409" s="7">
        <v>10</v>
      </c>
      <c r="F2409" s="7">
        <v>1</v>
      </c>
      <c r="G2409" s="8" t="s">
        <v>6710</v>
      </c>
      <c r="H2409" s="8" t="s">
        <v>5691</v>
      </c>
      <c r="I2409" s="7" t="str">
        <f>_xlfn.CONCAT(Paper_Reference[[#This Row],[Lvl]:[Paper Description]])</f>
        <v>2J48R0282N480UNCC D/G 48 X 961101100DS009-5000FROSTY WHITE</v>
      </c>
      <c r="J2409" s="7">
        <f>COUNTIF(Paper_Reference[Duplicate Key],Paper_Reference[[#This Row],[Duplicate Key]])</f>
        <v>1</v>
      </c>
    </row>
    <row r="2410" spans="1:10">
      <c r="A2410" s="7">
        <v>2</v>
      </c>
      <c r="B2410" s="8" t="s">
        <v>7613</v>
      </c>
      <c r="C2410" s="8" t="s">
        <v>6930</v>
      </c>
      <c r="D2410" s="7">
        <v>1</v>
      </c>
      <c r="E2410" s="7">
        <v>10</v>
      </c>
      <c r="F2410" s="7">
        <v>1</v>
      </c>
      <c r="G2410" s="8" t="s">
        <v>6710</v>
      </c>
      <c r="H2410" s="8" t="s">
        <v>5691</v>
      </c>
      <c r="I2410" s="7" t="str">
        <f>_xlfn.CONCAT(Paper_Reference[[#This Row],[Lvl]:[Paper Description]])</f>
        <v>2J48R0291N380SILVER CROSS D/G 36 X 961101100DS009-5000FROSTY WHITE</v>
      </c>
      <c r="J2410" s="7">
        <f>COUNTIF(Paper_Reference[Duplicate Key],Paper_Reference[[#This Row],[Duplicate Key]])</f>
        <v>1</v>
      </c>
    </row>
    <row r="2411" spans="1:10">
      <c r="A2411" s="7">
        <v>2</v>
      </c>
      <c r="B2411" s="8" t="s">
        <v>6306</v>
      </c>
      <c r="C2411" s="8" t="s">
        <v>5835</v>
      </c>
      <c r="D2411" s="7">
        <v>1</v>
      </c>
      <c r="E2411" s="7">
        <v>10</v>
      </c>
      <c r="F2411" s="7">
        <v>1</v>
      </c>
      <c r="G2411" s="8" t="s">
        <v>5690</v>
      </c>
      <c r="H2411" s="8" t="s">
        <v>5691</v>
      </c>
      <c r="I2411" s="7" t="str">
        <f>_xlfn.CONCAT(Paper_Reference[[#This Row],[Lvl]:[Paper Description]])</f>
        <v>2J48R0291N500SILVER CROSS D/G 60 X 1201101100DS009-6200FROSTY WHITE</v>
      </c>
      <c r="J2411" s="7">
        <f>COUNTIF(Paper_Reference[Duplicate Key],Paper_Reference[[#This Row],[Duplicate Key]])</f>
        <v>1</v>
      </c>
    </row>
    <row r="2412" spans="1:10">
      <c r="A2412" s="7">
        <v>2</v>
      </c>
      <c r="B2412" s="8" t="s">
        <v>7614</v>
      </c>
      <c r="C2412" s="8" t="s">
        <v>6931</v>
      </c>
      <c r="D2412" s="7">
        <v>1</v>
      </c>
      <c r="E2412" s="7">
        <v>10</v>
      </c>
      <c r="F2412" s="7">
        <v>1</v>
      </c>
      <c r="G2412" s="8" t="s">
        <v>6710</v>
      </c>
      <c r="H2412" s="8" t="s">
        <v>5691</v>
      </c>
      <c r="I2412" s="7" t="str">
        <f>_xlfn.CONCAT(Paper_Reference[[#This Row],[Lvl]:[Paper Description]])</f>
        <v>2J48R0292U080COSTA VIDA WAVE 30 X 961101100DS009-5000FROSTY WHITE</v>
      </c>
      <c r="J2412" s="7">
        <f>COUNTIF(Paper_Reference[Duplicate Key],Paper_Reference[[#This Row],[Duplicate Key]])</f>
        <v>1</v>
      </c>
    </row>
    <row r="2413" spans="1:10">
      <c r="A2413" s="7">
        <v>2</v>
      </c>
      <c r="B2413" s="8" t="s">
        <v>7615</v>
      </c>
      <c r="C2413" s="8" t="s">
        <v>6932</v>
      </c>
      <c r="D2413" s="7">
        <v>1</v>
      </c>
      <c r="E2413" s="7">
        <v>10</v>
      </c>
      <c r="F2413" s="7">
        <v>1</v>
      </c>
      <c r="G2413" s="8" t="s">
        <v>6710</v>
      </c>
      <c r="H2413" s="8" t="s">
        <v>5691</v>
      </c>
      <c r="I2413" s="7" t="str">
        <f>_xlfn.CONCAT(Paper_Reference[[#This Row],[Lvl]:[Paper Description]])</f>
        <v>2J48R0299N380DIVERSIFIED PINK D/G 36 X 961101100DS009-5000FROSTY WHITE</v>
      </c>
      <c r="J2413" s="7">
        <f>COUNTIF(Paper_Reference[Duplicate Key],Paper_Reference[[#This Row],[Duplicate Key]])</f>
        <v>1</v>
      </c>
    </row>
    <row r="2414" spans="1:10">
      <c r="A2414" s="7">
        <v>2</v>
      </c>
      <c r="B2414" s="8" t="s">
        <v>7616</v>
      </c>
      <c r="C2414" s="8" t="s">
        <v>6933</v>
      </c>
      <c r="D2414" s="7">
        <v>1</v>
      </c>
      <c r="E2414" s="7">
        <v>10</v>
      </c>
      <c r="F2414" s="7">
        <v>0.5</v>
      </c>
      <c r="G2414" s="8" t="s">
        <v>6710</v>
      </c>
      <c r="H2414" s="8" t="s">
        <v>5691</v>
      </c>
      <c r="I2414" s="7" t="str">
        <f>_xlfn.CONCAT(Paper_Reference[[#This Row],[Lvl]:[Paper Description]])</f>
        <v>2J48R0299N460DIVERSIFIED PINK 48 X 721100.5100DS009-5000FROSTY WHITE</v>
      </c>
      <c r="J2414" s="7">
        <f>COUNTIF(Paper_Reference[Duplicate Key],Paper_Reference[[#This Row],[Duplicate Key]])</f>
        <v>1</v>
      </c>
    </row>
    <row r="2415" spans="1:10">
      <c r="A2415" s="7">
        <v>2</v>
      </c>
      <c r="B2415" s="8" t="s">
        <v>7617</v>
      </c>
      <c r="C2415" s="8" t="s">
        <v>6934</v>
      </c>
      <c r="D2415" s="7">
        <v>1</v>
      </c>
      <c r="E2415" s="7">
        <v>10</v>
      </c>
      <c r="F2415" s="7">
        <v>1</v>
      </c>
      <c r="G2415" s="8" t="s">
        <v>6710</v>
      </c>
      <c r="H2415" s="8" t="s">
        <v>5691</v>
      </c>
      <c r="I2415" s="7" t="str">
        <f>_xlfn.CONCAT(Paper_Reference[[#This Row],[Lvl]:[Paper Description]])</f>
        <v>2J48R0299N480DIVERSIFIED PINK D/G 48 X 961101100DS009-5000FROSTY WHITE</v>
      </c>
      <c r="J2415" s="7">
        <f>COUNTIF(Paper_Reference[Duplicate Key],Paper_Reference[[#This Row],[Duplicate Key]])</f>
        <v>1</v>
      </c>
    </row>
    <row r="2416" spans="1:10">
      <c r="A2416" s="7">
        <v>2</v>
      </c>
      <c r="B2416" s="8" t="s">
        <v>7618</v>
      </c>
      <c r="C2416" s="8" t="s">
        <v>6935</v>
      </c>
      <c r="D2416" s="7">
        <v>1</v>
      </c>
      <c r="E2416" s="7">
        <v>10</v>
      </c>
      <c r="F2416" s="7">
        <v>1</v>
      </c>
      <c r="G2416" s="8" t="s">
        <v>6710</v>
      </c>
      <c r="H2416" s="8" t="s">
        <v>5691</v>
      </c>
      <c r="I2416" s="7" t="str">
        <f>_xlfn.CONCAT(Paper_Reference[[#This Row],[Lvl]:[Paper Description]])</f>
        <v>2J48R0313N480GRAFTON HS D/G 48 X 961101100DS009-5000FROSTY WHITE</v>
      </c>
      <c r="J2416" s="7">
        <f>COUNTIF(Paper_Reference[Duplicate Key],Paper_Reference[[#This Row],[Duplicate Key]])</f>
        <v>1</v>
      </c>
    </row>
    <row r="2417" spans="1:10">
      <c r="A2417" s="7">
        <v>2</v>
      </c>
      <c r="B2417" s="8" t="s">
        <v>7619</v>
      </c>
      <c r="C2417" s="8" t="s">
        <v>6936</v>
      </c>
      <c r="D2417" s="7">
        <v>1</v>
      </c>
      <c r="E2417" s="7">
        <v>10</v>
      </c>
      <c r="F2417" s="7">
        <v>1</v>
      </c>
      <c r="G2417" s="8" t="s">
        <v>6710</v>
      </c>
      <c r="H2417" s="8" t="s">
        <v>5691</v>
      </c>
      <c r="I2417" s="7" t="str">
        <f>_xlfn.CONCAT(Paper_Reference[[#This Row],[Lvl]:[Paper Description]])</f>
        <v>2J48R0323N380CLEMSON PAW 6 D/G 36 X 961101100DS009-5000FROSTY WHITE</v>
      </c>
      <c r="J2417" s="7">
        <f>COUNTIF(Paper_Reference[Duplicate Key],Paper_Reference[[#This Row],[Duplicate Key]])</f>
        <v>1</v>
      </c>
    </row>
    <row r="2418" spans="1:10">
      <c r="A2418" s="7">
        <v>2</v>
      </c>
      <c r="B2418" s="8" t="s">
        <v>6307</v>
      </c>
      <c r="C2418" s="8" t="s">
        <v>5836</v>
      </c>
      <c r="D2418" s="7">
        <v>1</v>
      </c>
      <c r="E2418" s="7">
        <v>10</v>
      </c>
      <c r="F2418" s="7">
        <v>1</v>
      </c>
      <c r="G2418" s="8" t="s">
        <v>5690</v>
      </c>
      <c r="H2418" s="8" t="s">
        <v>5691</v>
      </c>
      <c r="I2418" s="7" t="str">
        <f>_xlfn.CONCAT(Paper_Reference[[#This Row],[Lvl]:[Paper Description]])</f>
        <v>2J48R0350N500CLEMSON PAW 7 D/G 60 X 1201101100DS009-6200FROSTY WHITE</v>
      </c>
      <c r="J2418" s="7">
        <f>COUNTIF(Paper_Reference[Duplicate Key],Paper_Reference[[#This Row],[Duplicate Key]])</f>
        <v>1</v>
      </c>
    </row>
    <row r="2419" spans="1:10">
      <c r="A2419" s="7">
        <v>2</v>
      </c>
      <c r="B2419" s="8" t="s">
        <v>7620</v>
      </c>
      <c r="C2419" s="8" t="s">
        <v>6937</v>
      </c>
      <c r="D2419" s="7">
        <v>1</v>
      </c>
      <c r="E2419" s="7">
        <v>10</v>
      </c>
      <c r="F2419" s="7">
        <v>1</v>
      </c>
      <c r="G2419" s="8" t="s">
        <v>6710</v>
      </c>
      <c r="H2419" s="8" t="s">
        <v>5691</v>
      </c>
      <c r="I2419" s="7" t="str">
        <f>_xlfn.CONCAT(Paper_Reference[[#This Row],[Lvl]:[Paper Description]])</f>
        <v>2J48R0361N480CUDDEBACK D/G 48 X 961101100DS009-5000FROSTY WHITE</v>
      </c>
      <c r="J2419" s="7">
        <f>COUNTIF(Paper_Reference[Duplicate Key],Paper_Reference[[#This Row],[Duplicate Key]])</f>
        <v>1</v>
      </c>
    </row>
    <row r="2420" spans="1:10">
      <c r="A2420" s="7">
        <v>2</v>
      </c>
      <c r="B2420" s="8" t="s">
        <v>7621</v>
      </c>
      <c r="C2420" s="8" t="s">
        <v>6938</v>
      </c>
      <c r="D2420" s="7">
        <v>1</v>
      </c>
      <c r="E2420" s="7">
        <v>10</v>
      </c>
      <c r="F2420" s="7">
        <v>1</v>
      </c>
      <c r="G2420" s="8" t="s">
        <v>6710</v>
      </c>
      <c r="H2420" s="8" t="s">
        <v>5691</v>
      </c>
      <c r="I2420" s="7" t="str">
        <f>_xlfn.CONCAT(Paper_Reference[[#This Row],[Lvl]:[Paper Description]])</f>
        <v>2J48R0362N320CLEMSON PAW 8 D/G 36 X 1441101100DS009-5000FROSTY WHITE</v>
      </c>
      <c r="J2420" s="7">
        <f>COUNTIF(Paper_Reference[Duplicate Key],Paper_Reference[[#This Row],[Duplicate Key]])</f>
        <v>1</v>
      </c>
    </row>
    <row r="2421" spans="1:10">
      <c r="A2421" s="7">
        <v>2</v>
      </c>
      <c r="B2421" s="8" t="s">
        <v>7622</v>
      </c>
      <c r="C2421" s="8" t="s">
        <v>6939</v>
      </c>
      <c r="D2421" s="7">
        <v>1</v>
      </c>
      <c r="E2421" s="7">
        <v>10</v>
      </c>
      <c r="F2421" s="7">
        <v>1</v>
      </c>
      <c r="G2421" s="8" t="s">
        <v>6710</v>
      </c>
      <c r="H2421" s="8" t="s">
        <v>5691</v>
      </c>
      <c r="I2421" s="7" t="str">
        <f>_xlfn.CONCAT(Paper_Reference[[#This Row],[Lvl]:[Paper Description]])</f>
        <v>2J48R0364N480NEWOOD Y/STONE D/G 48 X 961101100DS009-5000FROSTY WHITE</v>
      </c>
      <c r="J2421" s="7">
        <f>COUNTIF(Paper_Reference[Duplicate Key],Paper_Reference[[#This Row],[Duplicate Key]])</f>
        <v>1</v>
      </c>
    </row>
    <row r="2422" spans="1:10">
      <c r="A2422" s="7">
        <v>2</v>
      </c>
      <c r="B2422" s="8" t="s">
        <v>7623</v>
      </c>
      <c r="C2422" s="8" t="s">
        <v>6940</v>
      </c>
      <c r="D2422" s="7">
        <v>1</v>
      </c>
      <c r="E2422" s="7">
        <v>10</v>
      </c>
      <c r="F2422" s="7">
        <v>1</v>
      </c>
      <c r="G2422" s="8" t="s">
        <v>6710</v>
      </c>
      <c r="H2422" s="8" t="s">
        <v>5691</v>
      </c>
      <c r="I2422" s="7" t="str">
        <f>_xlfn.CONCAT(Paper_Reference[[#This Row],[Lvl]:[Paper Description]])</f>
        <v>2J48R0365N300CLEMSON PAW 9 D/G 36 X 1201101100DS009-5000FROSTY WHITE</v>
      </c>
      <c r="J2422" s="7">
        <f>COUNTIF(Paper_Reference[Duplicate Key],Paper_Reference[[#This Row],[Duplicate Key]])</f>
        <v>1</v>
      </c>
    </row>
    <row r="2423" spans="1:10">
      <c r="A2423" s="7">
        <v>2</v>
      </c>
      <c r="B2423" s="8" t="s">
        <v>7624</v>
      </c>
      <c r="C2423" s="8" t="s">
        <v>6941</v>
      </c>
      <c r="D2423" s="7">
        <v>1</v>
      </c>
      <c r="E2423" s="7">
        <v>10</v>
      </c>
      <c r="F2423" s="7">
        <v>1</v>
      </c>
      <c r="G2423" s="8" t="s">
        <v>6710</v>
      </c>
      <c r="H2423" s="8" t="s">
        <v>5691</v>
      </c>
      <c r="I2423" s="7" t="str">
        <f>_xlfn.CONCAT(Paper_Reference[[#This Row],[Lvl]:[Paper Description]])</f>
        <v>2J48R0373N380UOMEQ 2-1 STRAUSS D/G 36X961101100DS009-5000FROSTY WHITE</v>
      </c>
      <c r="J2423" s="7">
        <f>COUNTIF(Paper_Reference[Duplicate Key],Paper_Reference[[#This Row],[Duplicate Key]])</f>
        <v>1</v>
      </c>
    </row>
    <row r="2424" spans="1:10">
      <c r="A2424" s="7">
        <v>2</v>
      </c>
      <c r="B2424" s="8" t="s">
        <v>7625</v>
      </c>
      <c r="C2424" s="8" t="s">
        <v>6942</v>
      </c>
      <c r="D2424" s="7">
        <v>1</v>
      </c>
      <c r="E2424" s="7">
        <v>10</v>
      </c>
      <c r="F2424" s="7">
        <v>1</v>
      </c>
      <c r="G2424" s="8" t="s">
        <v>6710</v>
      </c>
      <c r="H2424" s="8" t="s">
        <v>5691</v>
      </c>
      <c r="I2424" s="7" t="str">
        <f>_xlfn.CONCAT(Paper_Reference[[#This Row],[Lvl]:[Paper Description]])</f>
        <v>2J48R0374N380UOMEQ 2-6 ANDERSON 36 X 961101100DS009-5000FROSTY WHITE</v>
      </c>
      <c r="J2424" s="7">
        <f>COUNTIF(Paper_Reference[Duplicate Key],Paper_Reference[[#This Row],[Duplicate Key]])</f>
        <v>1</v>
      </c>
    </row>
    <row r="2425" spans="1:10">
      <c r="A2425" s="7">
        <v>2</v>
      </c>
      <c r="B2425" s="8" t="s">
        <v>7626</v>
      </c>
      <c r="C2425" s="8" t="s">
        <v>6943</v>
      </c>
      <c r="D2425" s="7">
        <v>1</v>
      </c>
      <c r="E2425" s="7">
        <v>10</v>
      </c>
      <c r="F2425" s="7">
        <v>1</v>
      </c>
      <c r="G2425" s="8" t="s">
        <v>6710</v>
      </c>
      <c r="H2425" s="8" t="s">
        <v>5691</v>
      </c>
      <c r="I2425" s="7" t="str">
        <f>_xlfn.CONCAT(Paper_Reference[[#This Row],[Lvl]:[Paper Description]])</f>
        <v>2J48R0375N380UOMEQ 2-7 CENTER 36 X 961101100DS009-5000FROSTY WHITE</v>
      </c>
      <c r="J2425" s="7">
        <f>COUNTIF(Paper_Reference[Duplicate Key],Paper_Reference[[#This Row],[Duplicate Key]])</f>
        <v>1</v>
      </c>
    </row>
    <row r="2426" spans="1:10">
      <c r="A2426" s="7">
        <v>2</v>
      </c>
      <c r="B2426" s="8" t="s">
        <v>7627</v>
      </c>
      <c r="C2426" s="8" t="s">
        <v>6944</v>
      </c>
      <c r="D2426" s="7">
        <v>1</v>
      </c>
      <c r="E2426" s="7">
        <v>10</v>
      </c>
      <c r="F2426" s="7">
        <v>1</v>
      </c>
      <c r="G2426" s="8" t="s">
        <v>6710</v>
      </c>
      <c r="H2426" s="8" t="s">
        <v>5691</v>
      </c>
      <c r="I2426" s="7" t="str">
        <f>_xlfn.CONCAT(Paper_Reference[[#This Row],[Lvl]:[Paper Description]])</f>
        <v>2J48R0376N380UOMEQ 2-8 PRESCOTT 36 X 961101100DS009-5000FROSTY WHITE</v>
      </c>
      <c r="J2426" s="7">
        <f>COUNTIF(Paper_Reference[Duplicate Key],Paper_Reference[[#This Row],[Duplicate Key]])</f>
        <v>1</v>
      </c>
    </row>
    <row r="2427" spans="1:10">
      <c r="A2427" s="7">
        <v>2</v>
      </c>
      <c r="B2427" s="8" t="s">
        <v>7628</v>
      </c>
      <c r="C2427" s="8" t="s">
        <v>6945</v>
      </c>
      <c r="D2427" s="7">
        <v>1</v>
      </c>
      <c r="E2427" s="7">
        <v>10</v>
      </c>
      <c r="F2427" s="7">
        <v>1</v>
      </c>
      <c r="G2427" s="8" t="s">
        <v>6710</v>
      </c>
      <c r="H2427" s="8" t="s">
        <v>5691</v>
      </c>
      <c r="I2427" s="7" t="str">
        <f>_xlfn.CONCAT(Paper_Reference[[#This Row],[Lvl]:[Paper Description]])</f>
        <v>2J48R0377N380UOMEQ 2-9 TYLER 36 X 961101100DS009-5000FROSTY WHITE</v>
      </c>
      <c r="J2427" s="7">
        <f>COUNTIF(Paper_Reference[Duplicate Key],Paper_Reference[[#This Row],[Duplicate Key]])</f>
        <v>1</v>
      </c>
    </row>
    <row r="2428" spans="1:10">
      <c r="A2428" s="7">
        <v>2</v>
      </c>
      <c r="B2428" s="8" t="s">
        <v>7629</v>
      </c>
      <c r="C2428" s="8" t="s">
        <v>6946</v>
      </c>
      <c r="D2428" s="7">
        <v>1</v>
      </c>
      <c r="E2428" s="7">
        <v>10</v>
      </c>
      <c r="F2428" s="7">
        <v>1</v>
      </c>
      <c r="G2428" s="8" t="s">
        <v>6710</v>
      </c>
      <c r="H2428" s="8" t="s">
        <v>5691</v>
      </c>
      <c r="I2428" s="7" t="str">
        <f>_xlfn.CONCAT(Paper_Reference[[#This Row],[Lvl]:[Paper Description]])</f>
        <v>2J48R0378N380UOMEQ 2-10 GREENE 36 X 961101100DS009-5000FROSTY WHITE</v>
      </c>
      <c r="J2428" s="7">
        <f>COUNTIF(Paper_Reference[Duplicate Key],Paper_Reference[[#This Row],[Duplicate Key]])</f>
        <v>1</v>
      </c>
    </row>
    <row r="2429" spans="1:10">
      <c r="A2429" s="7">
        <v>2</v>
      </c>
      <c r="B2429" s="8" t="s">
        <v>7630</v>
      </c>
      <c r="C2429" s="8" t="s">
        <v>6947</v>
      </c>
      <c r="D2429" s="7">
        <v>1</v>
      </c>
      <c r="E2429" s="7">
        <v>10</v>
      </c>
      <c r="F2429" s="7">
        <v>1</v>
      </c>
      <c r="G2429" s="8" t="s">
        <v>6710</v>
      </c>
      <c r="H2429" s="8" t="s">
        <v>5691</v>
      </c>
      <c r="I2429" s="7" t="str">
        <f>_xlfn.CONCAT(Paper_Reference[[#This Row],[Lvl]:[Paper Description]])</f>
        <v>2J48R0379N380UOMEQ 2-3 HAYDEN 36 X 961101100DS009-5000FROSTY WHITE</v>
      </c>
      <c r="J2429" s="7">
        <f>COUNTIF(Paper_Reference[Duplicate Key],Paper_Reference[[#This Row],[Duplicate Key]])</f>
        <v>1</v>
      </c>
    </row>
    <row r="2430" spans="1:10">
      <c r="A2430" s="7">
        <v>2</v>
      </c>
      <c r="B2430" s="8" t="s">
        <v>7631</v>
      </c>
      <c r="C2430" s="8" t="s">
        <v>6948</v>
      </c>
      <c r="D2430" s="7">
        <v>1</v>
      </c>
      <c r="E2430" s="7">
        <v>10</v>
      </c>
      <c r="F2430" s="7">
        <v>1</v>
      </c>
      <c r="G2430" s="8" t="s">
        <v>6710</v>
      </c>
      <c r="H2430" s="8" t="s">
        <v>5691</v>
      </c>
      <c r="I2430" s="7" t="str">
        <f>_xlfn.CONCAT(Paper_Reference[[#This Row],[Lvl]:[Paper Description]])</f>
        <v>2J48R0380N380UOMEQ 2-4 COOLEY 36 X 961101100DS009-5000FROSTY WHITE</v>
      </c>
      <c r="J2430" s="7">
        <f>COUNTIF(Paper_Reference[Duplicate Key],Paper_Reference[[#This Row],[Duplicate Key]])</f>
        <v>1</v>
      </c>
    </row>
    <row r="2431" spans="1:10">
      <c r="A2431" s="7">
        <v>2</v>
      </c>
      <c r="B2431" s="8" t="s">
        <v>7632</v>
      </c>
      <c r="C2431" s="8" t="s">
        <v>6949</v>
      </c>
      <c r="D2431" s="7">
        <v>1</v>
      </c>
      <c r="E2431" s="7">
        <v>10</v>
      </c>
      <c r="F2431" s="7">
        <v>1</v>
      </c>
      <c r="G2431" s="8" t="s">
        <v>6710</v>
      </c>
      <c r="H2431" s="8" t="s">
        <v>5691</v>
      </c>
      <c r="I2431" s="7" t="str">
        <f>_xlfn.CONCAT(Paper_Reference[[#This Row],[Lvl]:[Paper Description]])</f>
        <v>2J48R0381N380UOMEQ 2-11 HINSDALE 36 X 961101100DS009-5000FROSTY WHITE</v>
      </c>
      <c r="J2431" s="7">
        <f>COUNTIF(Paper_Reference[Duplicate Key],Paper_Reference[[#This Row],[Duplicate Key]])</f>
        <v>1</v>
      </c>
    </row>
    <row r="2432" spans="1:10">
      <c r="A2432" s="7">
        <v>2</v>
      </c>
      <c r="B2432" s="8" t="s">
        <v>7633</v>
      </c>
      <c r="C2432" s="8" t="s">
        <v>6950</v>
      </c>
      <c r="D2432" s="7">
        <v>1</v>
      </c>
      <c r="E2432" s="7">
        <v>10</v>
      </c>
      <c r="F2432" s="7">
        <v>1</v>
      </c>
      <c r="G2432" s="8" t="s">
        <v>6710</v>
      </c>
      <c r="H2432" s="8" t="s">
        <v>5691</v>
      </c>
      <c r="I2432" s="7" t="str">
        <f>_xlfn.CONCAT(Paper_Reference[[#This Row],[Lvl]:[Paper Description]])</f>
        <v>2J48R0382N380UOMEQ B-2 CORNER 36 X 961101100DS009-5000FROSTY WHITE</v>
      </c>
      <c r="J2432" s="7">
        <f>COUNTIF(Paper_Reference[Duplicate Key],Paper_Reference[[#This Row],[Duplicate Key]])</f>
        <v>1</v>
      </c>
    </row>
    <row r="2433" spans="1:10">
      <c r="A2433" s="7">
        <v>2</v>
      </c>
      <c r="B2433" s="8" t="s">
        <v>7634</v>
      </c>
      <c r="C2433" s="8" t="s">
        <v>6951</v>
      </c>
      <c r="D2433" s="7">
        <v>1</v>
      </c>
      <c r="E2433" s="7">
        <v>10</v>
      </c>
      <c r="F2433" s="7">
        <v>1</v>
      </c>
      <c r="G2433" s="8" t="s">
        <v>6710</v>
      </c>
      <c r="H2433" s="8" t="s">
        <v>5691</v>
      </c>
      <c r="I2433" s="7" t="str">
        <f>_xlfn.CONCAT(Paper_Reference[[#This Row],[Lvl]:[Paper Description]])</f>
        <v>2J48R0383N380UOMEQ 1-2 CORNER 36 X 961101100DS009-5000FROSTY WHITE</v>
      </c>
      <c r="J2433" s="7">
        <f>COUNTIF(Paper_Reference[Duplicate Key],Paper_Reference[[#This Row],[Duplicate Key]])</f>
        <v>1</v>
      </c>
    </row>
    <row r="2434" spans="1:10">
      <c r="A2434" s="7">
        <v>2</v>
      </c>
      <c r="B2434" s="8" t="s">
        <v>7635</v>
      </c>
      <c r="C2434" s="8" t="s">
        <v>6952</v>
      </c>
      <c r="D2434" s="7">
        <v>1</v>
      </c>
      <c r="E2434" s="7">
        <v>10</v>
      </c>
      <c r="F2434" s="7">
        <v>1</v>
      </c>
      <c r="G2434" s="8" t="s">
        <v>6710</v>
      </c>
      <c r="H2434" s="8" t="s">
        <v>5691</v>
      </c>
      <c r="I2434" s="7" t="str">
        <f>_xlfn.CONCAT(Paper_Reference[[#This Row],[Lvl]:[Paper Description]])</f>
        <v>2J48R0384N380UOMEQ 2-2 CORNER 36 X 961101100DS009-5000FROSTY WHITE</v>
      </c>
      <c r="J2434" s="7">
        <f>COUNTIF(Paper_Reference[Duplicate Key],Paper_Reference[[#This Row],[Duplicate Key]])</f>
        <v>1</v>
      </c>
    </row>
    <row r="2435" spans="1:10">
      <c r="A2435" s="7">
        <v>2</v>
      </c>
      <c r="B2435" s="8" t="s">
        <v>7636</v>
      </c>
      <c r="C2435" s="8" t="s">
        <v>6953</v>
      </c>
      <c r="D2435" s="7">
        <v>1</v>
      </c>
      <c r="E2435" s="7">
        <v>10</v>
      </c>
      <c r="F2435" s="7">
        <v>1</v>
      </c>
      <c r="G2435" s="8" t="s">
        <v>6710</v>
      </c>
      <c r="H2435" s="8" t="s">
        <v>5691</v>
      </c>
      <c r="I2435" s="7" t="str">
        <f>_xlfn.CONCAT(Paper_Reference[[#This Row],[Lvl]:[Paper Description]])</f>
        <v>2J48R0385N380UOMEQ 2-5 CORNER 36 X 961101100DS009-5000FROSTY WHITE</v>
      </c>
      <c r="J2435" s="7">
        <f>COUNTIF(Paper_Reference[Duplicate Key],Paper_Reference[[#This Row],[Duplicate Key]])</f>
        <v>1</v>
      </c>
    </row>
    <row r="2436" spans="1:10">
      <c r="A2436" s="7">
        <v>2</v>
      </c>
      <c r="B2436" s="8" t="s">
        <v>7637</v>
      </c>
      <c r="C2436" s="8" t="s">
        <v>6954</v>
      </c>
      <c r="D2436" s="7">
        <v>1</v>
      </c>
      <c r="E2436" s="7">
        <v>10</v>
      </c>
      <c r="F2436" s="7">
        <v>1</v>
      </c>
      <c r="G2436" s="8" t="s">
        <v>6710</v>
      </c>
      <c r="H2436" s="8" t="s">
        <v>5691</v>
      </c>
      <c r="I2436" s="7" t="str">
        <f>_xlfn.CONCAT(Paper_Reference[[#This Row],[Lvl]:[Paper Description]])</f>
        <v>2J48R0386N380UOMEQ 3-2 CORNER 36 X 961101100DS009-5000FROSTY WHITE</v>
      </c>
      <c r="J2436" s="7">
        <f>COUNTIF(Paper_Reference[Duplicate Key],Paper_Reference[[#This Row],[Duplicate Key]])</f>
        <v>1</v>
      </c>
    </row>
    <row r="2437" spans="1:10">
      <c r="A2437" s="7">
        <v>2</v>
      </c>
      <c r="B2437" s="8" t="s">
        <v>7638</v>
      </c>
      <c r="C2437" s="8" t="s">
        <v>6955</v>
      </c>
      <c r="D2437" s="7">
        <v>1</v>
      </c>
      <c r="E2437" s="7">
        <v>10</v>
      </c>
      <c r="F2437" s="7">
        <v>1</v>
      </c>
      <c r="G2437" s="8" t="s">
        <v>6710</v>
      </c>
      <c r="H2437" s="8" t="s">
        <v>5691</v>
      </c>
      <c r="I2437" s="7" t="str">
        <f>_xlfn.CONCAT(Paper_Reference[[#This Row],[Lvl]:[Paper Description]])</f>
        <v>2J48R0387N380UOMEQ 3-5 CORNER 36 X 961101100DS009-5000FROSTY WHITE</v>
      </c>
      <c r="J2437" s="7">
        <f>COUNTIF(Paper_Reference[Duplicate Key],Paper_Reference[[#This Row],[Duplicate Key]])</f>
        <v>1</v>
      </c>
    </row>
    <row r="2438" spans="1:10">
      <c r="A2438" s="7">
        <v>2</v>
      </c>
      <c r="B2438" s="8" t="s">
        <v>7639</v>
      </c>
      <c r="C2438" s="8" t="s">
        <v>6956</v>
      </c>
      <c r="D2438" s="7">
        <v>1</v>
      </c>
      <c r="E2438" s="7">
        <v>10</v>
      </c>
      <c r="F2438" s="7">
        <v>1</v>
      </c>
      <c r="G2438" s="8" t="s">
        <v>6710</v>
      </c>
      <c r="H2438" s="8" t="s">
        <v>5691</v>
      </c>
      <c r="I2438" s="7" t="str">
        <f>_xlfn.CONCAT(Paper_Reference[[#This Row],[Lvl]:[Paper Description]])</f>
        <v>2J48R0388N380UOMEQ 4-2 CORNER 36 X 961101100DS009-5000FROSTY WHITE</v>
      </c>
      <c r="J2438" s="7">
        <f>COUNTIF(Paper_Reference[Duplicate Key],Paper_Reference[[#This Row],[Duplicate Key]])</f>
        <v>1</v>
      </c>
    </row>
    <row r="2439" spans="1:10">
      <c r="A2439" s="7">
        <v>2</v>
      </c>
      <c r="B2439" s="8" t="s">
        <v>7640</v>
      </c>
      <c r="C2439" s="8" t="s">
        <v>6957</v>
      </c>
      <c r="D2439" s="7">
        <v>1</v>
      </c>
      <c r="E2439" s="7">
        <v>10</v>
      </c>
      <c r="F2439" s="7">
        <v>1</v>
      </c>
      <c r="G2439" s="8" t="s">
        <v>6710</v>
      </c>
      <c r="H2439" s="8" t="s">
        <v>5691</v>
      </c>
      <c r="I2439" s="7" t="str">
        <f>_xlfn.CONCAT(Paper_Reference[[#This Row],[Lvl]:[Paper Description]])</f>
        <v>2J48R0389N380UOMEQ 4-5 CORNER 36 X 961101100DS009-5000FROSTY WHITE</v>
      </c>
      <c r="J2439" s="7">
        <f>COUNTIF(Paper_Reference[Duplicate Key],Paper_Reference[[#This Row],[Duplicate Key]])</f>
        <v>1</v>
      </c>
    </row>
    <row r="2440" spans="1:10">
      <c r="A2440" s="7">
        <v>2</v>
      </c>
      <c r="B2440" s="8" t="s">
        <v>7641</v>
      </c>
      <c r="C2440" s="8" t="s">
        <v>6958</v>
      </c>
      <c r="D2440" s="7">
        <v>1</v>
      </c>
      <c r="E2440" s="7">
        <v>10</v>
      </c>
      <c r="F2440" s="7">
        <v>1</v>
      </c>
      <c r="G2440" s="8" t="s">
        <v>6710</v>
      </c>
      <c r="H2440" s="8" t="s">
        <v>5691</v>
      </c>
      <c r="I2440" s="7" t="str">
        <f>_xlfn.CONCAT(Paper_Reference[[#This Row],[Lvl]:[Paper Description]])</f>
        <v>2J48R0393N480MARSHALL LOGO D/G 48 X 961101100DS009-5000FROSTY WHITE</v>
      </c>
      <c r="J2440" s="7">
        <f>COUNTIF(Paper_Reference[Duplicate Key],Paper_Reference[[#This Row],[Duplicate Key]])</f>
        <v>1</v>
      </c>
    </row>
    <row r="2441" spans="1:10">
      <c r="A2441" s="7">
        <v>2</v>
      </c>
      <c r="B2441" s="8" t="s">
        <v>7642</v>
      </c>
      <c r="C2441" s="8" t="s">
        <v>6959</v>
      </c>
      <c r="D2441" s="7">
        <v>1</v>
      </c>
      <c r="E2441" s="7">
        <v>10</v>
      </c>
      <c r="F2441" s="7">
        <v>1</v>
      </c>
      <c r="G2441" s="8" t="s">
        <v>6710</v>
      </c>
      <c r="H2441" s="8" t="s">
        <v>5691</v>
      </c>
      <c r="I2441" s="7" t="str">
        <f>_xlfn.CONCAT(Paper_Reference[[#This Row],[Lvl]:[Paper Description]])</f>
        <v>2J48R0419N480ELECTRIC WING TABLE D/G 48X961101100DS009-5000FROSTY WHITE</v>
      </c>
      <c r="J2441" s="7">
        <f>COUNTIF(Paper_Reference[Duplicate Key],Paper_Reference[[#This Row],[Duplicate Key]])</f>
        <v>1</v>
      </c>
    </row>
    <row r="2442" spans="1:10">
      <c r="A2442" s="7">
        <v>2</v>
      </c>
      <c r="B2442" s="8" t="s">
        <v>7643</v>
      </c>
      <c r="C2442" s="8" t="s">
        <v>6959</v>
      </c>
      <c r="D2442" s="7">
        <v>1</v>
      </c>
      <c r="E2442" s="7">
        <v>10</v>
      </c>
      <c r="F2442" s="7">
        <v>1</v>
      </c>
      <c r="G2442" s="8" t="s">
        <v>6710</v>
      </c>
      <c r="H2442" s="8" t="s">
        <v>5691</v>
      </c>
      <c r="I2442" s="7" t="str">
        <f>_xlfn.CONCAT(Paper_Reference[[#This Row],[Lvl]:[Paper Description]])</f>
        <v>2J48R0419SD480ELECTRIC WING TABLE D/G 48X961101100DS009-5000FROSTY WHITE</v>
      </c>
      <c r="J2442" s="7">
        <f>COUNTIF(Paper_Reference[Duplicate Key],Paper_Reference[[#This Row],[Duplicate Key]])</f>
        <v>1</v>
      </c>
    </row>
    <row r="2443" spans="1:10">
      <c r="A2443" s="7">
        <v>2</v>
      </c>
      <c r="B2443" s="8" t="s">
        <v>6308</v>
      </c>
      <c r="C2443" s="8" t="s">
        <v>5837</v>
      </c>
      <c r="D2443" s="7">
        <v>1</v>
      </c>
      <c r="E2443" s="7">
        <v>10</v>
      </c>
      <c r="F2443" s="7">
        <v>1</v>
      </c>
      <c r="G2443" s="8" t="s">
        <v>5690</v>
      </c>
      <c r="H2443" s="8" t="s">
        <v>5691</v>
      </c>
      <c r="I2443" s="7" t="str">
        <f>_xlfn.CONCAT(Paper_Reference[[#This Row],[Lvl]:[Paper Description]])</f>
        <v>2J48R0420N580KUC WEST 2103 D/G 60 X 961101100DS009-6200FROSTY WHITE</v>
      </c>
      <c r="J2443" s="7">
        <f>COUNTIF(Paper_Reference[Duplicate Key],Paper_Reference[[#This Row],[Duplicate Key]])</f>
        <v>1</v>
      </c>
    </row>
    <row r="2444" spans="1:10">
      <c r="A2444" s="7">
        <v>2</v>
      </c>
      <c r="B2444" s="8" t="s">
        <v>6309</v>
      </c>
      <c r="C2444" s="8" t="s">
        <v>5837</v>
      </c>
      <c r="D2444" s="7">
        <v>1</v>
      </c>
      <c r="E2444" s="7">
        <v>10</v>
      </c>
      <c r="F2444" s="7">
        <v>1</v>
      </c>
      <c r="G2444" s="8" t="s">
        <v>5690</v>
      </c>
      <c r="H2444" s="8" t="s">
        <v>5691</v>
      </c>
      <c r="I2444" s="7" t="str">
        <f>_xlfn.CONCAT(Paper_Reference[[#This Row],[Lvl]:[Paper Description]])</f>
        <v>2J48R0420SD580KUC WEST 2103 D/G 60 X 961101100DS009-6200FROSTY WHITE</v>
      </c>
      <c r="J2444" s="7">
        <f>COUNTIF(Paper_Reference[Duplicate Key],Paper_Reference[[#This Row],[Duplicate Key]])</f>
        <v>1</v>
      </c>
    </row>
    <row r="2445" spans="1:10">
      <c r="A2445" s="7">
        <v>2</v>
      </c>
      <c r="B2445" s="8" t="s">
        <v>7644</v>
      </c>
      <c r="C2445" s="8" t="s">
        <v>6960</v>
      </c>
      <c r="D2445" s="7">
        <v>1</v>
      </c>
      <c r="E2445" s="7">
        <v>10</v>
      </c>
      <c r="F2445" s="7">
        <v>1</v>
      </c>
      <c r="G2445" s="8" t="s">
        <v>6710</v>
      </c>
      <c r="H2445" s="8" t="s">
        <v>5691</v>
      </c>
      <c r="I2445" s="7" t="str">
        <f>_xlfn.CONCAT(Paper_Reference[[#This Row],[Lvl]:[Paper Description]])</f>
        <v>2J48R0425N480KUC T-3 D/G 48 X 961101100DS009-5000FROSTY WHITE</v>
      </c>
      <c r="J2445" s="7">
        <f>COUNTIF(Paper_Reference[Duplicate Key],Paper_Reference[[#This Row],[Duplicate Key]])</f>
        <v>1</v>
      </c>
    </row>
    <row r="2446" spans="1:10">
      <c r="A2446" s="7">
        <v>2</v>
      </c>
      <c r="B2446" s="8" t="s">
        <v>7645</v>
      </c>
      <c r="C2446" s="8" t="s">
        <v>6960</v>
      </c>
      <c r="D2446" s="7">
        <v>1</v>
      </c>
      <c r="E2446" s="7">
        <v>10</v>
      </c>
      <c r="F2446" s="7">
        <v>1</v>
      </c>
      <c r="G2446" s="8" t="s">
        <v>6710</v>
      </c>
      <c r="H2446" s="8" t="s">
        <v>5691</v>
      </c>
      <c r="I2446" s="7" t="str">
        <f>_xlfn.CONCAT(Paper_Reference[[#This Row],[Lvl]:[Paper Description]])</f>
        <v>2J48R0425SD480KUC T-3 D/G 48 X 961101100DS009-5000FROSTY WHITE</v>
      </c>
      <c r="J2446" s="7">
        <f>COUNTIF(Paper_Reference[Duplicate Key],Paper_Reference[[#This Row],[Duplicate Key]])</f>
        <v>1</v>
      </c>
    </row>
    <row r="2447" spans="1:10">
      <c r="A2447" s="7">
        <v>2</v>
      </c>
      <c r="B2447" s="8" t="s">
        <v>7646</v>
      </c>
      <c r="C2447" s="8" t="s">
        <v>6961</v>
      </c>
      <c r="D2447" s="7">
        <v>1</v>
      </c>
      <c r="E2447" s="7">
        <v>10</v>
      </c>
      <c r="F2447" s="7">
        <v>1</v>
      </c>
      <c r="G2447" s="8" t="s">
        <v>6710</v>
      </c>
      <c r="H2447" s="8" t="s">
        <v>5691</v>
      </c>
      <c r="I2447" s="7" t="str">
        <f>_xlfn.CONCAT(Paper_Reference[[#This Row],[Lvl]:[Paper Description]])</f>
        <v>2J48R0426N480KUC T-5 D/G 48 X 961101100DS009-5000FROSTY WHITE</v>
      </c>
      <c r="J2447" s="7">
        <f>COUNTIF(Paper_Reference[Duplicate Key],Paper_Reference[[#This Row],[Duplicate Key]])</f>
        <v>1</v>
      </c>
    </row>
    <row r="2448" spans="1:10">
      <c r="A2448" s="7">
        <v>2</v>
      </c>
      <c r="B2448" s="8" t="s">
        <v>7647</v>
      </c>
      <c r="C2448" s="8" t="s">
        <v>6961</v>
      </c>
      <c r="D2448" s="7">
        <v>1</v>
      </c>
      <c r="E2448" s="7">
        <v>10</v>
      </c>
      <c r="F2448" s="7">
        <v>1</v>
      </c>
      <c r="G2448" s="8" t="s">
        <v>6710</v>
      </c>
      <c r="H2448" s="8" t="s">
        <v>5691</v>
      </c>
      <c r="I2448" s="7" t="str">
        <f>_xlfn.CONCAT(Paper_Reference[[#This Row],[Lvl]:[Paper Description]])</f>
        <v>2J48R0426SD480KUC T-5 D/G 48 X 961101100DS009-5000FROSTY WHITE</v>
      </c>
      <c r="J2448" s="7">
        <f>COUNTIF(Paper_Reference[Duplicate Key],Paper_Reference[[#This Row],[Duplicate Key]])</f>
        <v>1</v>
      </c>
    </row>
    <row r="2449" spans="1:10">
      <c r="A2449" s="7">
        <v>2</v>
      </c>
      <c r="B2449" s="8" t="s">
        <v>7648</v>
      </c>
      <c r="C2449" s="8" t="s">
        <v>6962</v>
      </c>
      <c r="D2449" s="7">
        <v>1</v>
      </c>
      <c r="E2449" s="7">
        <v>10</v>
      </c>
      <c r="F2449" s="7">
        <v>1</v>
      </c>
      <c r="G2449" s="8" t="s">
        <v>6710</v>
      </c>
      <c r="H2449" s="8" t="s">
        <v>5691</v>
      </c>
      <c r="I2449" s="7" t="str">
        <f>_xlfn.CONCAT(Paper_Reference[[#This Row],[Lvl]:[Paper Description]])</f>
        <v>2J48R0427N480KUC T-9 D/G 48 X 961101100DS009-5000FROSTY WHITE</v>
      </c>
      <c r="J2449" s="7">
        <f>COUNTIF(Paper_Reference[Duplicate Key],Paper_Reference[[#This Row],[Duplicate Key]])</f>
        <v>1</v>
      </c>
    </row>
    <row r="2450" spans="1:10">
      <c r="A2450" s="7">
        <v>2</v>
      </c>
      <c r="B2450" s="8" t="s">
        <v>7649</v>
      </c>
      <c r="C2450" s="8" t="s">
        <v>6962</v>
      </c>
      <c r="D2450" s="7">
        <v>1</v>
      </c>
      <c r="E2450" s="7">
        <v>10</v>
      </c>
      <c r="F2450" s="7">
        <v>1</v>
      </c>
      <c r="G2450" s="8" t="s">
        <v>6710</v>
      </c>
      <c r="H2450" s="8" t="s">
        <v>5691</v>
      </c>
      <c r="I2450" s="7" t="str">
        <f>_xlfn.CONCAT(Paper_Reference[[#This Row],[Lvl]:[Paper Description]])</f>
        <v>2J48R0427SD480KUC T-9 D/G 48 X 961101100DS009-5000FROSTY WHITE</v>
      </c>
      <c r="J2450" s="7">
        <f>COUNTIF(Paper_Reference[Duplicate Key],Paper_Reference[[#This Row],[Duplicate Key]])</f>
        <v>1</v>
      </c>
    </row>
    <row r="2451" spans="1:10">
      <c r="A2451" s="7">
        <v>2</v>
      </c>
      <c r="B2451" s="8" t="s">
        <v>7650</v>
      </c>
      <c r="C2451" s="8" t="s">
        <v>6963</v>
      </c>
      <c r="D2451" s="7">
        <v>1</v>
      </c>
      <c r="E2451" s="7">
        <v>10</v>
      </c>
      <c r="F2451" s="7">
        <v>1</v>
      </c>
      <c r="G2451" s="8" t="s">
        <v>6710</v>
      </c>
      <c r="H2451" s="8" t="s">
        <v>5691</v>
      </c>
      <c r="I2451" s="7" t="str">
        <f>_xlfn.CONCAT(Paper_Reference[[#This Row],[Lvl]:[Paper Description]])</f>
        <v>2J48R0431N480INDY U LOGO D/G 48 X 961101100DS009-5000FROSTY WHITE</v>
      </c>
      <c r="J2451" s="7">
        <f>COUNTIF(Paper_Reference[Duplicate Key],Paper_Reference[[#This Row],[Duplicate Key]])</f>
        <v>1</v>
      </c>
    </row>
    <row r="2452" spans="1:10">
      <c r="A2452" s="7">
        <v>2</v>
      </c>
      <c r="B2452" s="8" t="s">
        <v>7651</v>
      </c>
      <c r="C2452" s="8" t="s">
        <v>6963</v>
      </c>
      <c r="D2452" s="7">
        <v>1</v>
      </c>
      <c r="E2452" s="7">
        <v>10</v>
      </c>
      <c r="F2452" s="7">
        <v>1</v>
      </c>
      <c r="G2452" s="8" t="s">
        <v>6710</v>
      </c>
      <c r="H2452" s="8" t="s">
        <v>5691</v>
      </c>
      <c r="I2452" s="7" t="str">
        <f>_xlfn.CONCAT(Paper_Reference[[#This Row],[Lvl]:[Paper Description]])</f>
        <v>2J48R0431SD480INDY U LOGO D/G 48 X 961101100DS009-5000FROSTY WHITE</v>
      </c>
      <c r="J2452" s="7">
        <f>COUNTIF(Paper_Reference[Duplicate Key],Paper_Reference[[#This Row],[Duplicate Key]])</f>
        <v>1</v>
      </c>
    </row>
    <row r="2453" spans="1:10">
      <c r="A2453" s="7">
        <v>2</v>
      </c>
      <c r="B2453" s="8" t="s">
        <v>7652</v>
      </c>
      <c r="C2453" s="8" t="s">
        <v>6964</v>
      </c>
      <c r="D2453" s="7">
        <v>1</v>
      </c>
      <c r="E2453" s="7">
        <v>10</v>
      </c>
      <c r="F2453" s="7">
        <v>1</v>
      </c>
      <c r="G2453" s="8" t="s">
        <v>6710</v>
      </c>
      <c r="H2453" s="8" t="s">
        <v>5691</v>
      </c>
      <c r="I2453" s="7" t="str">
        <f>_xlfn.CONCAT(Paper_Reference[[#This Row],[Lvl]:[Paper Description]])</f>
        <v>2J48R0435N480KUC T-10 D/G 48 X 961101100DS009-5000FROSTY WHITE</v>
      </c>
      <c r="J2453" s="7">
        <f>COUNTIF(Paper_Reference[Duplicate Key],Paper_Reference[[#This Row],[Duplicate Key]])</f>
        <v>1</v>
      </c>
    </row>
    <row r="2454" spans="1:10">
      <c r="A2454" s="7">
        <v>2</v>
      </c>
      <c r="B2454" s="8" t="s">
        <v>7653</v>
      </c>
      <c r="C2454" s="8" t="s">
        <v>6964</v>
      </c>
      <c r="D2454" s="7">
        <v>1</v>
      </c>
      <c r="E2454" s="7">
        <v>10</v>
      </c>
      <c r="F2454" s="7">
        <v>1</v>
      </c>
      <c r="G2454" s="8" t="s">
        <v>6710</v>
      </c>
      <c r="H2454" s="8" t="s">
        <v>5691</v>
      </c>
      <c r="I2454" s="7" t="str">
        <f>_xlfn.CONCAT(Paper_Reference[[#This Row],[Lvl]:[Paper Description]])</f>
        <v>2J48R0435SD480KUC T-10 D/G 48 X 961101100DS009-5000FROSTY WHITE</v>
      </c>
      <c r="J2454" s="7">
        <f>COUNTIF(Paper_Reference[Duplicate Key],Paper_Reference[[#This Row],[Duplicate Key]])</f>
        <v>1</v>
      </c>
    </row>
    <row r="2455" spans="1:10">
      <c r="A2455" s="7">
        <v>2</v>
      </c>
      <c r="B2455" s="8" t="s">
        <v>7654</v>
      </c>
      <c r="C2455" s="8" t="s">
        <v>6965</v>
      </c>
      <c r="D2455" s="7">
        <v>1</v>
      </c>
      <c r="E2455" s="7">
        <v>10</v>
      </c>
      <c r="F2455" s="7">
        <v>1</v>
      </c>
      <c r="G2455" s="8" t="s">
        <v>6710</v>
      </c>
      <c r="H2455" s="8" t="s">
        <v>5691</v>
      </c>
      <c r="I2455" s="7" t="str">
        <f>_xlfn.CONCAT(Paper_Reference[[#This Row],[Lvl]:[Paper Description]])</f>
        <v>2J48R0436N480KUC T-11 D/G 48 X 961101100DS009-5000FROSTY WHITE</v>
      </c>
      <c r="J2455" s="7">
        <f>COUNTIF(Paper_Reference[Duplicate Key],Paper_Reference[[#This Row],[Duplicate Key]])</f>
        <v>1</v>
      </c>
    </row>
    <row r="2456" spans="1:10">
      <c r="A2456" s="7">
        <v>2</v>
      </c>
      <c r="B2456" s="8" t="s">
        <v>7655</v>
      </c>
      <c r="C2456" s="8" t="s">
        <v>6965</v>
      </c>
      <c r="D2456" s="7">
        <v>1</v>
      </c>
      <c r="E2456" s="7">
        <v>10</v>
      </c>
      <c r="F2456" s="7">
        <v>1</v>
      </c>
      <c r="G2456" s="8" t="s">
        <v>6710</v>
      </c>
      <c r="H2456" s="8" t="s">
        <v>5691</v>
      </c>
      <c r="I2456" s="7" t="str">
        <f>_xlfn.CONCAT(Paper_Reference[[#This Row],[Lvl]:[Paper Description]])</f>
        <v>2J48R0436SD480KUC T-11 D/G 48 X 961101100DS009-5000FROSTY WHITE</v>
      </c>
      <c r="J2456" s="7">
        <f>COUNTIF(Paper_Reference[Duplicate Key],Paper_Reference[[#This Row],[Duplicate Key]])</f>
        <v>1</v>
      </c>
    </row>
    <row r="2457" spans="1:10">
      <c r="A2457" s="7">
        <v>2</v>
      </c>
      <c r="B2457" s="8" t="s">
        <v>7656</v>
      </c>
      <c r="C2457" s="8" t="s">
        <v>6966</v>
      </c>
      <c r="D2457" s="7">
        <v>1</v>
      </c>
      <c r="E2457" s="7">
        <v>10</v>
      </c>
      <c r="F2457" s="7">
        <v>1</v>
      </c>
      <c r="G2457" s="8" t="s">
        <v>6710</v>
      </c>
      <c r="H2457" s="8" t="s">
        <v>5691</v>
      </c>
      <c r="I2457" s="7" t="str">
        <f>_xlfn.CONCAT(Paper_Reference[[#This Row],[Lvl]:[Paper Description]])</f>
        <v>2J48R0437N480KUC T-12 D/G 48 X 961101100DS009-5000FROSTY WHITE</v>
      </c>
      <c r="J2457" s="7">
        <f>COUNTIF(Paper_Reference[Duplicate Key],Paper_Reference[[#This Row],[Duplicate Key]])</f>
        <v>1</v>
      </c>
    </row>
    <row r="2458" spans="1:10">
      <c r="A2458" s="7">
        <v>2</v>
      </c>
      <c r="B2458" s="8" t="s">
        <v>7657</v>
      </c>
      <c r="C2458" s="8" t="s">
        <v>6966</v>
      </c>
      <c r="D2458" s="7">
        <v>1</v>
      </c>
      <c r="E2458" s="7">
        <v>10</v>
      </c>
      <c r="F2458" s="7">
        <v>1</v>
      </c>
      <c r="G2458" s="8" t="s">
        <v>6710</v>
      </c>
      <c r="H2458" s="8" t="s">
        <v>5691</v>
      </c>
      <c r="I2458" s="7" t="str">
        <f>_xlfn.CONCAT(Paper_Reference[[#This Row],[Lvl]:[Paper Description]])</f>
        <v>2J48R0437SD480KUC T-12 D/G 48 X 961101100DS009-5000FROSTY WHITE</v>
      </c>
      <c r="J2458" s="7">
        <f>COUNTIF(Paper_Reference[Duplicate Key],Paper_Reference[[#This Row],[Duplicate Key]])</f>
        <v>1</v>
      </c>
    </row>
    <row r="2459" spans="1:10">
      <c r="A2459" s="7">
        <v>2</v>
      </c>
      <c r="B2459" s="8" t="s">
        <v>7658</v>
      </c>
      <c r="C2459" s="8" t="s">
        <v>6967</v>
      </c>
      <c r="D2459" s="7">
        <v>1</v>
      </c>
      <c r="E2459" s="7">
        <v>10</v>
      </c>
      <c r="F2459" s="7">
        <v>1</v>
      </c>
      <c r="G2459" s="8" t="s">
        <v>6710</v>
      </c>
      <c r="H2459" s="8" t="s">
        <v>5691</v>
      </c>
      <c r="I2459" s="7" t="str">
        <f>_xlfn.CONCAT(Paper_Reference[[#This Row],[Lvl]:[Paper Description]])</f>
        <v>2J48R0438N480KUC T-13 D/G 48 X 961101100DS009-5000FROSTY WHITE</v>
      </c>
      <c r="J2459" s="7">
        <f>COUNTIF(Paper_Reference[Duplicate Key],Paper_Reference[[#This Row],[Duplicate Key]])</f>
        <v>1</v>
      </c>
    </row>
    <row r="2460" spans="1:10">
      <c r="A2460" s="7">
        <v>2</v>
      </c>
      <c r="B2460" s="8" t="s">
        <v>7659</v>
      </c>
      <c r="C2460" s="8" t="s">
        <v>6967</v>
      </c>
      <c r="D2460" s="7">
        <v>1</v>
      </c>
      <c r="E2460" s="7">
        <v>10</v>
      </c>
      <c r="F2460" s="7">
        <v>1</v>
      </c>
      <c r="G2460" s="8" t="s">
        <v>6710</v>
      </c>
      <c r="H2460" s="8" t="s">
        <v>5691</v>
      </c>
      <c r="I2460" s="7" t="str">
        <f>_xlfn.CONCAT(Paper_Reference[[#This Row],[Lvl]:[Paper Description]])</f>
        <v>2J48R0438SD480KUC T-13 D/G 48 X 961101100DS009-5000FROSTY WHITE</v>
      </c>
      <c r="J2460" s="7">
        <f>COUNTIF(Paper_Reference[Duplicate Key],Paper_Reference[[#This Row],[Duplicate Key]])</f>
        <v>1</v>
      </c>
    </row>
    <row r="2461" spans="1:10">
      <c r="A2461" s="7">
        <v>2</v>
      </c>
      <c r="B2461" s="8" t="s">
        <v>7660</v>
      </c>
      <c r="C2461" s="8" t="s">
        <v>6968</v>
      </c>
      <c r="D2461" s="7">
        <v>1</v>
      </c>
      <c r="E2461" s="7">
        <v>10</v>
      </c>
      <c r="F2461" s="7">
        <v>1</v>
      </c>
      <c r="G2461" s="8" t="s">
        <v>6710</v>
      </c>
      <c r="H2461" s="8" t="s">
        <v>5691</v>
      </c>
      <c r="I2461" s="7" t="str">
        <f>_xlfn.CONCAT(Paper_Reference[[#This Row],[Lvl]:[Paper Description]])</f>
        <v>2J48R0439N480KUC T-14 D/G 48 X 961101100DS009-5000FROSTY WHITE</v>
      </c>
      <c r="J2461" s="7">
        <f>COUNTIF(Paper_Reference[Duplicate Key],Paper_Reference[[#This Row],[Duplicate Key]])</f>
        <v>1</v>
      </c>
    </row>
    <row r="2462" spans="1:10">
      <c r="A2462" s="7">
        <v>2</v>
      </c>
      <c r="B2462" s="8" t="s">
        <v>7661</v>
      </c>
      <c r="C2462" s="8" t="s">
        <v>6968</v>
      </c>
      <c r="D2462" s="7">
        <v>1</v>
      </c>
      <c r="E2462" s="7">
        <v>10</v>
      </c>
      <c r="F2462" s="7">
        <v>1</v>
      </c>
      <c r="G2462" s="8" t="s">
        <v>6710</v>
      </c>
      <c r="H2462" s="8" t="s">
        <v>5691</v>
      </c>
      <c r="I2462" s="7" t="str">
        <f>_xlfn.CONCAT(Paper_Reference[[#This Row],[Lvl]:[Paper Description]])</f>
        <v>2J48R0439SD480KUC T-14 D/G 48 X 961101100DS009-5000FROSTY WHITE</v>
      </c>
      <c r="J2462" s="7">
        <f>COUNTIF(Paper_Reference[Duplicate Key],Paper_Reference[[#This Row],[Duplicate Key]])</f>
        <v>1</v>
      </c>
    </row>
    <row r="2463" spans="1:10">
      <c r="A2463" s="7">
        <v>2</v>
      </c>
      <c r="B2463" s="8" t="s">
        <v>7662</v>
      </c>
      <c r="C2463" s="8" t="s">
        <v>6969</v>
      </c>
      <c r="D2463" s="7">
        <v>1</v>
      </c>
      <c r="E2463" s="7">
        <v>10</v>
      </c>
      <c r="F2463" s="7">
        <v>1</v>
      </c>
      <c r="G2463" s="8" t="s">
        <v>6710</v>
      </c>
      <c r="H2463" s="8" t="s">
        <v>5691</v>
      </c>
      <c r="I2463" s="7" t="str">
        <f>_xlfn.CONCAT(Paper_Reference[[#This Row],[Lvl]:[Paper Description]])</f>
        <v>2J48R0453N380ALASKA TABLES 36 X 961101100DS009-5000FROSTY WHITE</v>
      </c>
      <c r="J2463" s="7">
        <f>COUNTIF(Paper_Reference[Duplicate Key],Paper_Reference[[#This Row],[Duplicate Key]])</f>
        <v>1</v>
      </c>
    </row>
    <row r="2464" spans="1:10">
      <c r="A2464" s="7">
        <v>2</v>
      </c>
      <c r="B2464" s="8" t="s">
        <v>7663</v>
      </c>
      <c r="C2464" s="8" t="s">
        <v>6970</v>
      </c>
      <c r="D2464" s="7">
        <v>1</v>
      </c>
      <c r="E2464" s="7">
        <v>10</v>
      </c>
      <c r="F2464" s="7">
        <v>1</v>
      </c>
      <c r="G2464" s="8" t="s">
        <v>6710</v>
      </c>
      <c r="H2464" s="8" t="s">
        <v>5691</v>
      </c>
      <c r="I2464" s="7" t="str">
        <f>_xlfn.CONCAT(Paper_Reference[[#This Row],[Lvl]:[Paper Description]])</f>
        <v>2J48R0453N480ALASKA TABLES 48 X 961101100DS009-5000FROSTY WHITE</v>
      </c>
      <c r="J2464" s="7">
        <f>COUNTIF(Paper_Reference[Duplicate Key],Paper_Reference[[#This Row],[Duplicate Key]])</f>
        <v>1</v>
      </c>
    </row>
    <row r="2465" spans="1:10">
      <c r="A2465" s="7">
        <v>2</v>
      </c>
      <c r="B2465" s="8" t="s">
        <v>7664</v>
      </c>
      <c r="C2465" s="8" t="s">
        <v>6969</v>
      </c>
      <c r="D2465" s="7">
        <v>1</v>
      </c>
      <c r="E2465" s="7">
        <v>10</v>
      </c>
      <c r="F2465" s="7">
        <v>1</v>
      </c>
      <c r="G2465" s="8" t="s">
        <v>6710</v>
      </c>
      <c r="H2465" s="8" t="s">
        <v>5691</v>
      </c>
      <c r="I2465" s="7" t="str">
        <f>_xlfn.CONCAT(Paper_Reference[[#This Row],[Lvl]:[Paper Description]])</f>
        <v>2J48R0453SD380ALASKA TABLES 36 X 961101100DS009-5000FROSTY WHITE</v>
      </c>
      <c r="J2465" s="7">
        <f>COUNTIF(Paper_Reference[Duplicate Key],Paper_Reference[[#This Row],[Duplicate Key]])</f>
        <v>1</v>
      </c>
    </row>
    <row r="2466" spans="1:10">
      <c r="A2466" s="7">
        <v>2</v>
      </c>
      <c r="B2466" s="8" t="s">
        <v>7665</v>
      </c>
      <c r="C2466" s="8" t="s">
        <v>6970</v>
      </c>
      <c r="D2466" s="7">
        <v>1</v>
      </c>
      <c r="E2466" s="7">
        <v>10</v>
      </c>
      <c r="F2466" s="7">
        <v>1</v>
      </c>
      <c r="G2466" s="8" t="s">
        <v>6710</v>
      </c>
      <c r="H2466" s="8" t="s">
        <v>5691</v>
      </c>
      <c r="I2466" s="7" t="str">
        <f>_xlfn.CONCAT(Paper_Reference[[#This Row],[Lvl]:[Paper Description]])</f>
        <v>2J48R0453SD480ALASKA TABLES 48 X 961101100DS009-5000FROSTY WHITE</v>
      </c>
      <c r="J2466" s="7">
        <f>COUNTIF(Paper_Reference[Duplicate Key],Paper_Reference[[#This Row],[Duplicate Key]])</f>
        <v>1</v>
      </c>
    </row>
    <row r="2467" spans="1:10">
      <c r="A2467" s="7">
        <v>2</v>
      </c>
      <c r="B2467" s="8" t="s">
        <v>7666</v>
      </c>
      <c r="C2467" s="8" t="s">
        <v>6971</v>
      </c>
      <c r="D2467" s="7">
        <v>1</v>
      </c>
      <c r="E2467" s="7">
        <v>10</v>
      </c>
      <c r="F2467" s="7">
        <v>1</v>
      </c>
      <c r="G2467" s="8" t="s">
        <v>6710</v>
      </c>
      <c r="H2467" s="8" t="s">
        <v>5691</v>
      </c>
      <c r="I2467" s="7" t="str">
        <f>_xlfn.CONCAT(Paper_Reference[[#This Row],[Lvl]:[Paper Description]])</f>
        <v>2J48R0462N380MURREY ALASKA BKGRD 36 X 961101100DS009-5000FROSTY WHITE</v>
      </c>
      <c r="J2467" s="7">
        <f>COUNTIF(Paper_Reference[Duplicate Key],Paper_Reference[[#This Row],[Duplicate Key]])</f>
        <v>1</v>
      </c>
    </row>
    <row r="2468" spans="1:10">
      <c r="A2468" s="7">
        <v>2</v>
      </c>
      <c r="B2468" s="8" t="s">
        <v>7667</v>
      </c>
      <c r="C2468" s="8" t="s">
        <v>6971</v>
      </c>
      <c r="D2468" s="7">
        <v>1</v>
      </c>
      <c r="E2468" s="7">
        <v>10</v>
      </c>
      <c r="F2468" s="7">
        <v>1</v>
      </c>
      <c r="G2468" s="8" t="s">
        <v>6710</v>
      </c>
      <c r="H2468" s="8" t="s">
        <v>5691</v>
      </c>
      <c r="I2468" s="7" t="str">
        <f>_xlfn.CONCAT(Paper_Reference[[#This Row],[Lvl]:[Paper Description]])</f>
        <v>2J48R0462SD380MURREY ALASKA BKGRD 36 X 961101100DS009-5000FROSTY WHITE</v>
      </c>
      <c r="J2468" s="7">
        <f>COUNTIF(Paper_Reference[Duplicate Key],Paper_Reference[[#This Row],[Duplicate Key]])</f>
        <v>1</v>
      </c>
    </row>
    <row r="2469" spans="1:10">
      <c r="A2469" s="7">
        <v>2</v>
      </c>
      <c r="B2469" s="8" t="s">
        <v>7668</v>
      </c>
      <c r="C2469" s="8" t="s">
        <v>6972</v>
      </c>
      <c r="D2469" s="7">
        <v>1</v>
      </c>
      <c r="E2469" s="7">
        <v>10</v>
      </c>
      <c r="F2469" s="7">
        <v>1</v>
      </c>
      <c r="G2469" s="8" t="s">
        <v>6710</v>
      </c>
      <c r="H2469" s="8" t="s">
        <v>5691</v>
      </c>
      <c r="I2469" s="7" t="str">
        <f>_xlfn.CONCAT(Paper_Reference[[#This Row],[Lvl]:[Paper Description]])</f>
        <v>2J48R0477N380I.S. TABLE TOP 36 X 961101100DS009-5000FROSTY WHITE</v>
      </c>
      <c r="J2469" s="7">
        <f>COUNTIF(Paper_Reference[Duplicate Key],Paper_Reference[[#This Row],[Duplicate Key]])</f>
        <v>1</v>
      </c>
    </row>
    <row r="2470" spans="1:10">
      <c r="A2470" s="7">
        <v>2</v>
      </c>
      <c r="B2470" s="8" t="s">
        <v>7669</v>
      </c>
      <c r="C2470" s="8" t="s">
        <v>6973</v>
      </c>
      <c r="D2470" s="7">
        <v>1</v>
      </c>
      <c r="E2470" s="7">
        <v>10</v>
      </c>
      <c r="F2470" s="7">
        <v>1</v>
      </c>
      <c r="G2470" s="8" t="s">
        <v>6710</v>
      </c>
      <c r="H2470" s="8" t="s">
        <v>5691</v>
      </c>
      <c r="I2470" s="7" t="str">
        <f>_xlfn.CONCAT(Paper_Reference[[#This Row],[Lvl]:[Paper Description]])</f>
        <v>2J48R0483N480CHRIST HOSPITAL 48 X 961101100DS009-5000FROSTY WHITE</v>
      </c>
      <c r="J2470" s="7">
        <f>COUNTIF(Paper_Reference[Duplicate Key],Paper_Reference[[#This Row],[Duplicate Key]])</f>
        <v>1</v>
      </c>
    </row>
    <row r="2471" spans="1:10">
      <c r="A2471" s="7">
        <v>2</v>
      </c>
      <c r="B2471" s="8" t="s">
        <v>7670</v>
      </c>
      <c r="C2471" s="8" t="s">
        <v>6973</v>
      </c>
      <c r="D2471" s="7">
        <v>1</v>
      </c>
      <c r="E2471" s="7">
        <v>10</v>
      </c>
      <c r="F2471" s="7">
        <v>1</v>
      </c>
      <c r="G2471" s="8" t="s">
        <v>6710</v>
      </c>
      <c r="H2471" s="8" t="s">
        <v>5691</v>
      </c>
      <c r="I2471" s="7" t="str">
        <f>_xlfn.CONCAT(Paper_Reference[[#This Row],[Lvl]:[Paper Description]])</f>
        <v>2J48R0483SD480CHRIST HOSPITAL 48 X 961101100DS009-5000FROSTY WHITE</v>
      </c>
      <c r="J2471" s="7">
        <f>COUNTIF(Paper_Reference[Duplicate Key],Paper_Reference[[#This Row],[Duplicate Key]])</f>
        <v>1</v>
      </c>
    </row>
    <row r="2472" spans="1:10">
      <c r="A2472" s="7">
        <v>2</v>
      </c>
      <c r="B2472" s="8" t="s">
        <v>7671</v>
      </c>
      <c r="C2472" s="8" t="s">
        <v>6974</v>
      </c>
      <c r="D2472" s="7">
        <v>1</v>
      </c>
      <c r="E2472" s="7">
        <v>10</v>
      </c>
      <c r="F2472" s="7">
        <v>1</v>
      </c>
      <c r="G2472" s="8" t="s">
        <v>6710</v>
      </c>
      <c r="H2472" s="8" t="s">
        <v>5691</v>
      </c>
      <c r="I2472" s="7" t="str">
        <f>_xlfn.CONCAT(Paper_Reference[[#This Row],[Lvl]:[Paper Description]])</f>
        <v>2J48R0500N480KOHANAIKI SHORES 48 X 961101100DS009-5000FROSTY WHITE</v>
      </c>
      <c r="J2472" s="7">
        <f>COUNTIF(Paper_Reference[Duplicate Key],Paper_Reference[[#This Row],[Duplicate Key]])</f>
        <v>1</v>
      </c>
    </row>
    <row r="2473" spans="1:10">
      <c r="A2473" s="7">
        <v>2</v>
      </c>
      <c r="B2473" s="8" t="s">
        <v>7672</v>
      </c>
      <c r="C2473" s="8" t="s">
        <v>6974</v>
      </c>
      <c r="D2473" s="7">
        <v>1</v>
      </c>
      <c r="E2473" s="7">
        <v>10</v>
      </c>
      <c r="F2473" s="7">
        <v>1</v>
      </c>
      <c r="G2473" s="8" t="s">
        <v>6710</v>
      </c>
      <c r="H2473" s="8" t="s">
        <v>5691</v>
      </c>
      <c r="I2473" s="7" t="str">
        <f>_xlfn.CONCAT(Paper_Reference[[#This Row],[Lvl]:[Paper Description]])</f>
        <v>2J48R0500SD480KOHANAIKI SHORES 48 X 961101100DS009-5000FROSTY WHITE</v>
      </c>
      <c r="J2473" s="7">
        <f>COUNTIF(Paper_Reference[Duplicate Key],Paper_Reference[[#This Row],[Duplicate Key]])</f>
        <v>1</v>
      </c>
    </row>
    <row r="2474" spans="1:10">
      <c r="A2474" s="7">
        <v>2</v>
      </c>
      <c r="B2474" s="8" t="s">
        <v>6310</v>
      </c>
      <c r="C2474" s="8" t="s">
        <v>5838</v>
      </c>
      <c r="D2474" s="7">
        <v>1</v>
      </c>
      <c r="E2474" s="7">
        <v>10</v>
      </c>
      <c r="F2474" s="7">
        <v>1</v>
      </c>
      <c r="G2474" s="8" t="s">
        <v>5690</v>
      </c>
      <c r="H2474" s="8" t="s">
        <v>5691</v>
      </c>
      <c r="I2474" s="7" t="str">
        <f>_xlfn.CONCAT(Paper_Reference[[#This Row],[Lvl]:[Paper Description]])</f>
        <v>2J48R0508CR500UCS TRADE SHOW D/G 60 X 1201101100DS009-6200FROSTY WHITE</v>
      </c>
      <c r="J2474" s="7">
        <f>COUNTIF(Paper_Reference[Duplicate Key],Paper_Reference[[#This Row],[Duplicate Key]])</f>
        <v>1</v>
      </c>
    </row>
    <row r="2475" spans="1:10">
      <c r="A2475" s="7">
        <v>2</v>
      </c>
      <c r="B2475" s="8" t="s">
        <v>6311</v>
      </c>
      <c r="C2475" s="8" t="s">
        <v>5838</v>
      </c>
      <c r="D2475" s="7">
        <v>1</v>
      </c>
      <c r="E2475" s="7">
        <v>10</v>
      </c>
      <c r="F2475" s="7">
        <v>1</v>
      </c>
      <c r="G2475" s="8" t="s">
        <v>5690</v>
      </c>
      <c r="H2475" s="8" t="s">
        <v>5691</v>
      </c>
      <c r="I2475" s="7" t="str">
        <f>_xlfn.CONCAT(Paper_Reference[[#This Row],[Lvl]:[Paper Description]])</f>
        <v>2J48R0508J500UCS TRADE SHOW D/G 60 X 1201101100DS009-6200FROSTY WHITE</v>
      </c>
      <c r="J2475" s="7">
        <f>COUNTIF(Paper_Reference[Duplicate Key],Paper_Reference[[#This Row],[Duplicate Key]])</f>
        <v>1</v>
      </c>
    </row>
    <row r="2476" spans="1:10">
      <c r="A2476" s="7">
        <v>2</v>
      </c>
      <c r="B2476" s="8" t="s">
        <v>7673</v>
      </c>
      <c r="C2476" s="8" t="s">
        <v>6975</v>
      </c>
      <c r="D2476" s="7">
        <v>1</v>
      </c>
      <c r="E2476" s="7">
        <v>10</v>
      </c>
      <c r="F2476" s="7">
        <v>1</v>
      </c>
      <c r="G2476" s="8" t="s">
        <v>6710</v>
      </c>
      <c r="H2476" s="8" t="s">
        <v>5691</v>
      </c>
      <c r="I2476" s="7" t="str">
        <f>_xlfn.CONCAT(Paper_Reference[[#This Row],[Lvl]:[Paper Description]])</f>
        <v>2J48R0513N480WOODYS TABLE TOPS 48 X 961101100DS009-5000FROSTY WHITE</v>
      </c>
      <c r="J2476" s="7">
        <f>COUNTIF(Paper_Reference[Duplicate Key],Paper_Reference[[#This Row],[Duplicate Key]])</f>
        <v>1</v>
      </c>
    </row>
    <row r="2477" spans="1:10">
      <c r="A2477" s="7">
        <v>2</v>
      </c>
      <c r="B2477" s="8" t="s">
        <v>6312</v>
      </c>
      <c r="C2477" s="8" t="s">
        <v>5839</v>
      </c>
      <c r="D2477" s="7">
        <v>1</v>
      </c>
      <c r="E2477" s="7">
        <v>10</v>
      </c>
      <c r="F2477" s="7">
        <v>1</v>
      </c>
      <c r="G2477" s="8" t="s">
        <v>5690</v>
      </c>
      <c r="H2477" s="8" t="s">
        <v>5691</v>
      </c>
      <c r="I2477" s="7" t="str">
        <f>_xlfn.CONCAT(Paper_Reference[[#This Row],[Lvl]:[Paper Description]])</f>
        <v>2J48R0513N520WOODYS TABLE TOPS 60 X 1441101100DS009-6200FROSTY WHITE</v>
      </c>
      <c r="J2477" s="7">
        <f>COUNTIF(Paper_Reference[Duplicate Key],Paper_Reference[[#This Row],[Duplicate Key]])</f>
        <v>1</v>
      </c>
    </row>
    <row r="2478" spans="1:10">
      <c r="A2478" s="7">
        <v>2</v>
      </c>
      <c r="B2478" s="8" t="s">
        <v>7674</v>
      </c>
      <c r="C2478" s="8" t="s">
        <v>6975</v>
      </c>
      <c r="D2478" s="7">
        <v>1</v>
      </c>
      <c r="E2478" s="7">
        <v>10</v>
      </c>
      <c r="F2478" s="7">
        <v>1</v>
      </c>
      <c r="G2478" s="8" t="s">
        <v>6710</v>
      </c>
      <c r="H2478" s="8" t="s">
        <v>5691</v>
      </c>
      <c r="I2478" s="7" t="str">
        <f>_xlfn.CONCAT(Paper_Reference[[#This Row],[Lvl]:[Paper Description]])</f>
        <v>2J48R0513SD480WOODYS TABLE TOPS 48 X 961101100DS009-5000FROSTY WHITE</v>
      </c>
      <c r="J2478" s="7">
        <f>COUNTIF(Paper_Reference[Duplicate Key],Paper_Reference[[#This Row],[Duplicate Key]])</f>
        <v>1</v>
      </c>
    </row>
    <row r="2479" spans="1:10">
      <c r="A2479" s="7">
        <v>2</v>
      </c>
      <c r="B2479" s="8" t="s">
        <v>6313</v>
      </c>
      <c r="C2479" s="8" t="s">
        <v>5839</v>
      </c>
      <c r="D2479" s="7">
        <v>1</v>
      </c>
      <c r="E2479" s="7">
        <v>10</v>
      </c>
      <c r="F2479" s="7">
        <v>1</v>
      </c>
      <c r="G2479" s="8" t="s">
        <v>5690</v>
      </c>
      <c r="H2479" s="8" t="s">
        <v>5691</v>
      </c>
      <c r="I2479" s="7" t="str">
        <f>_xlfn.CONCAT(Paper_Reference[[#This Row],[Lvl]:[Paper Description]])</f>
        <v>2J48R0513SD520WOODYS TABLE TOPS 60 X 1441101100DS009-6200FROSTY WHITE</v>
      </c>
      <c r="J2479" s="7">
        <f>COUNTIF(Paper_Reference[Duplicate Key],Paper_Reference[[#This Row],[Duplicate Key]])</f>
        <v>1</v>
      </c>
    </row>
    <row r="2480" spans="1:10">
      <c r="A2480" s="7">
        <v>2</v>
      </c>
      <c r="B2480" s="8" t="s">
        <v>7675</v>
      </c>
      <c r="C2480" s="8" t="s">
        <v>6976</v>
      </c>
      <c r="D2480" s="7">
        <v>1</v>
      </c>
      <c r="E2480" s="7">
        <v>10</v>
      </c>
      <c r="F2480" s="7">
        <v>1</v>
      </c>
      <c r="G2480" s="8" t="s">
        <v>6710</v>
      </c>
      <c r="H2480" s="8" t="s">
        <v>5691</v>
      </c>
      <c r="I2480" s="7" t="str">
        <f>_xlfn.CONCAT(Paper_Reference[[#This Row],[Lvl]:[Paper Description]])</f>
        <v>2J48R0615N480GREEN LEAVES 48 X 961101100DS009-5000FROSTY WHITE</v>
      </c>
      <c r="J2480" s="7">
        <f>COUNTIF(Paper_Reference[Duplicate Key],Paper_Reference[[#This Row],[Duplicate Key]])</f>
        <v>1</v>
      </c>
    </row>
    <row r="2481" spans="1:10">
      <c r="A2481" s="7">
        <v>2</v>
      </c>
      <c r="B2481" s="8" t="s">
        <v>7676</v>
      </c>
      <c r="C2481" s="8" t="s">
        <v>6976</v>
      </c>
      <c r="D2481" s="7">
        <v>1</v>
      </c>
      <c r="E2481" s="7">
        <v>10</v>
      </c>
      <c r="F2481" s="7">
        <v>1</v>
      </c>
      <c r="G2481" s="8" t="s">
        <v>6710</v>
      </c>
      <c r="H2481" s="8" t="s">
        <v>5691</v>
      </c>
      <c r="I2481" s="7" t="str">
        <f>_xlfn.CONCAT(Paper_Reference[[#This Row],[Lvl]:[Paper Description]])</f>
        <v>2J48R0615SD480GREEN LEAVES 48 X 961101100DS009-5000FROSTY WHITE</v>
      </c>
      <c r="J2481" s="7">
        <f>COUNTIF(Paper_Reference[Duplicate Key],Paper_Reference[[#This Row],[Duplicate Key]])</f>
        <v>1</v>
      </c>
    </row>
    <row r="2482" spans="1:10">
      <c r="A2482" s="7">
        <v>2</v>
      </c>
      <c r="B2482" s="8" t="s">
        <v>6314</v>
      </c>
      <c r="C2482" s="8" t="s">
        <v>5840</v>
      </c>
      <c r="D2482" s="7">
        <v>1</v>
      </c>
      <c r="E2482" s="7">
        <v>10</v>
      </c>
      <c r="F2482" s="7">
        <v>1</v>
      </c>
      <c r="G2482" s="8" t="s">
        <v>5690</v>
      </c>
      <c r="H2482" s="8" t="s">
        <v>5691</v>
      </c>
      <c r="I2482" s="7" t="str">
        <f>_xlfn.CONCAT(Paper_Reference[[#This Row],[Lvl]:[Paper Description]])</f>
        <v>2J48R0626SD580COMPUWARE TABLETOP 60 X 961101100DS009-6200FROSTY WHITE</v>
      </c>
      <c r="J2482" s="7">
        <f>COUNTIF(Paper_Reference[Duplicate Key],Paper_Reference[[#This Row],[Duplicate Key]])</f>
        <v>1</v>
      </c>
    </row>
    <row r="2483" spans="1:10">
      <c r="A2483" s="7">
        <v>2</v>
      </c>
      <c r="B2483" s="8" t="s">
        <v>7677</v>
      </c>
      <c r="C2483" s="8" t="s">
        <v>6977</v>
      </c>
      <c r="D2483" s="7">
        <v>1</v>
      </c>
      <c r="E2483" s="7">
        <v>10</v>
      </c>
      <c r="F2483" s="7">
        <v>1</v>
      </c>
      <c r="G2483" s="8" t="s">
        <v>6710</v>
      </c>
      <c r="H2483" s="8" t="s">
        <v>5691</v>
      </c>
      <c r="I2483" s="7" t="str">
        <f>_xlfn.CONCAT(Paper_Reference[[#This Row],[Lvl]:[Paper Description]])</f>
        <v>2J48R0645SD480PALM TREE D/G 48 X 961101100DS009-5000FROSTY WHITE</v>
      </c>
      <c r="J2483" s="7">
        <f>COUNTIF(Paper_Reference[Duplicate Key],Paper_Reference[[#This Row],[Duplicate Key]])</f>
        <v>1</v>
      </c>
    </row>
    <row r="2484" spans="1:10">
      <c r="A2484" s="7">
        <v>2</v>
      </c>
      <c r="B2484" s="8" t="s">
        <v>7678</v>
      </c>
      <c r="C2484" s="8" t="s">
        <v>6978</v>
      </c>
      <c r="D2484" s="7">
        <v>1</v>
      </c>
      <c r="E2484" s="7">
        <v>10</v>
      </c>
      <c r="F2484" s="7">
        <v>1</v>
      </c>
      <c r="G2484" s="8" t="s">
        <v>6710</v>
      </c>
      <c r="H2484" s="8" t="s">
        <v>5691</v>
      </c>
      <c r="I2484" s="7" t="str">
        <f>_xlfn.CONCAT(Paper_Reference[[#This Row],[Lvl]:[Paper Description]])</f>
        <v>2J48R0646SD480PEDIATRIC CARTOON D/G 48 X 961101100DS009-5000FROSTY WHITE</v>
      </c>
      <c r="J2484" s="7">
        <f>COUNTIF(Paper_Reference[Duplicate Key],Paper_Reference[[#This Row],[Duplicate Key]])</f>
        <v>1</v>
      </c>
    </row>
    <row r="2485" spans="1:10">
      <c r="A2485" s="7">
        <v>2</v>
      </c>
      <c r="B2485" s="8" t="s">
        <v>7679</v>
      </c>
      <c r="C2485" s="8" t="s">
        <v>6782</v>
      </c>
      <c r="D2485" s="7">
        <v>1</v>
      </c>
      <c r="E2485" s="7">
        <v>10</v>
      </c>
      <c r="F2485" s="7">
        <v>1</v>
      </c>
      <c r="G2485" s="8" t="s">
        <v>6710</v>
      </c>
      <c r="H2485" s="8" t="s">
        <v>5691</v>
      </c>
      <c r="I2485" s="7" t="str">
        <f>_xlfn.CONCAT(Paper_Reference[[#This Row],[Lvl]:[Paper Description]])</f>
        <v>2J48R0647SD480NEW LEAVES D/G 48 X 961101100DS009-5000FROSTY WHITE</v>
      </c>
      <c r="J2485" s="7">
        <f>COUNTIF(Paper_Reference[Duplicate Key],Paper_Reference[[#This Row],[Duplicate Key]])</f>
        <v>1</v>
      </c>
    </row>
    <row r="2486" spans="1:10">
      <c r="A2486" s="7">
        <v>2</v>
      </c>
      <c r="B2486" s="8" t="s">
        <v>7680</v>
      </c>
      <c r="C2486" s="8" t="s">
        <v>6979</v>
      </c>
      <c r="D2486" s="7">
        <v>1</v>
      </c>
      <c r="E2486" s="7">
        <v>10</v>
      </c>
      <c r="F2486" s="7">
        <v>1</v>
      </c>
      <c r="G2486" s="8" t="s">
        <v>6710</v>
      </c>
      <c r="H2486" s="8" t="s">
        <v>5691</v>
      </c>
      <c r="I2486" s="7" t="str">
        <f>_xlfn.CONCAT(Paper_Reference[[#This Row],[Lvl]:[Paper Description]])</f>
        <v>2J48R0693SD480BCCWH TI-700 D/G 48 X 961101100DS009-5000FROSTY WHITE</v>
      </c>
      <c r="J2486" s="7">
        <f>COUNTIF(Paper_Reference[Duplicate Key],Paper_Reference[[#This Row],[Duplicate Key]])</f>
        <v>1</v>
      </c>
    </row>
    <row r="2487" spans="1:10">
      <c r="A2487" s="7">
        <v>2</v>
      </c>
      <c r="B2487" s="8" t="s">
        <v>6315</v>
      </c>
      <c r="C2487" s="8" t="s">
        <v>5841</v>
      </c>
      <c r="D2487" s="7">
        <v>1</v>
      </c>
      <c r="E2487" s="7">
        <v>10</v>
      </c>
      <c r="F2487" s="7">
        <v>1</v>
      </c>
      <c r="G2487" s="8" t="s">
        <v>5690</v>
      </c>
      <c r="H2487" s="8" t="s">
        <v>5691</v>
      </c>
      <c r="I2487" s="7" t="str">
        <f>_xlfn.CONCAT(Paper_Reference[[#This Row],[Lvl]:[Paper Description]])</f>
        <v>2J48R0717SD500COMPUWARE II 60 X 1201101100DS009-6200FROSTY WHITE</v>
      </c>
      <c r="J2487" s="7">
        <f>COUNTIF(Paper_Reference[Duplicate Key],Paper_Reference[[#This Row],[Duplicate Key]])</f>
        <v>1</v>
      </c>
    </row>
    <row r="2488" spans="1:10">
      <c r="A2488" s="7">
        <v>2</v>
      </c>
      <c r="B2488" s="8" t="s">
        <v>7681</v>
      </c>
      <c r="C2488" s="8" t="s">
        <v>6980</v>
      </c>
      <c r="D2488" s="7">
        <v>1</v>
      </c>
      <c r="E2488" s="7">
        <v>10</v>
      </c>
      <c r="F2488" s="7">
        <v>1</v>
      </c>
      <c r="G2488" s="8" t="s">
        <v>6710</v>
      </c>
      <c r="H2488" s="8" t="s">
        <v>5691</v>
      </c>
      <c r="I2488" s="7" t="str">
        <f>_xlfn.CONCAT(Paper_Reference[[#This Row],[Lvl]:[Paper Description]])</f>
        <v>2J48R0723GL4801GREEN DOT TABLETOP D/G 48X961101100DS009-5000FROSTY WHITE</v>
      </c>
      <c r="J2488" s="7">
        <f>COUNTIF(Paper_Reference[Duplicate Key],Paper_Reference[[#This Row],[Duplicate Key]])</f>
        <v>1</v>
      </c>
    </row>
    <row r="2489" spans="1:10">
      <c r="A2489" s="7">
        <v>2</v>
      </c>
      <c r="B2489" s="8" t="s">
        <v>7682</v>
      </c>
      <c r="C2489" s="8" t="s">
        <v>6981</v>
      </c>
      <c r="D2489" s="7">
        <v>1</v>
      </c>
      <c r="E2489" s="7">
        <v>10</v>
      </c>
      <c r="F2489" s="7">
        <v>1</v>
      </c>
      <c r="G2489" s="8" t="s">
        <v>6710</v>
      </c>
      <c r="H2489" s="8" t="s">
        <v>5691</v>
      </c>
      <c r="I2489" s="7" t="str">
        <f>_xlfn.CONCAT(Paper_Reference[[#This Row],[Lvl]:[Paper Description]])</f>
        <v>2J48R0729SD480GRAFFITI  D/G 48 X 961101100DS009-5000FROSTY WHITE</v>
      </c>
      <c r="J2489" s="7">
        <f>COUNTIF(Paper_Reference[Duplicate Key],Paper_Reference[[#This Row],[Duplicate Key]])</f>
        <v>1</v>
      </c>
    </row>
    <row r="2490" spans="1:10">
      <c r="A2490" s="7">
        <v>2</v>
      </c>
      <c r="B2490" s="8" t="s">
        <v>6316</v>
      </c>
      <c r="C2490" s="8" t="s">
        <v>5842</v>
      </c>
      <c r="D2490" s="7">
        <v>1</v>
      </c>
      <c r="E2490" s="7">
        <v>10</v>
      </c>
      <c r="F2490" s="7">
        <v>1</v>
      </c>
      <c r="G2490" s="8" t="s">
        <v>5690</v>
      </c>
      <c r="H2490" s="8" t="s">
        <v>5691</v>
      </c>
      <c r="I2490" s="7" t="str">
        <f>_xlfn.CONCAT(Paper_Reference[[#This Row],[Lvl]:[Paper Description]])</f>
        <v>2J48R0755SD520ALLEE DESIGN GRID 60 X 1441101100DS009-6200FROSTY WHITE</v>
      </c>
      <c r="J2490" s="7">
        <f>COUNTIF(Paper_Reference[Duplicate Key],Paper_Reference[[#This Row],[Duplicate Key]])</f>
        <v>1</v>
      </c>
    </row>
    <row r="2491" spans="1:10">
      <c r="A2491" s="7">
        <v>2</v>
      </c>
      <c r="B2491" s="8" t="s">
        <v>7683</v>
      </c>
      <c r="C2491" s="8" t="s">
        <v>6982</v>
      </c>
      <c r="D2491" s="7">
        <v>1</v>
      </c>
      <c r="E2491" s="7">
        <v>10</v>
      </c>
      <c r="F2491" s="7">
        <v>0.33329999999999999</v>
      </c>
      <c r="G2491" s="8" t="s">
        <v>6710</v>
      </c>
      <c r="H2491" s="8" t="s">
        <v>5691</v>
      </c>
      <c r="I2491" s="7" t="str">
        <f>_xlfn.CONCAT(Paper_Reference[[#This Row],[Lvl]:[Paper Description]])</f>
        <v>2J48R0785SDXIHALLIED FOOSEBALL 48 1/2 X 291100.3333100DS009-5000FROSTY WHITE</v>
      </c>
      <c r="J2491" s="7">
        <f>COUNTIF(Paper_Reference[Duplicate Key],Paper_Reference[[#This Row],[Duplicate Key]])</f>
        <v>1</v>
      </c>
    </row>
    <row r="2492" spans="1:10">
      <c r="A2492" s="7">
        <v>2</v>
      </c>
      <c r="B2492" s="8" t="s">
        <v>7684</v>
      </c>
      <c r="C2492" s="8" t="s">
        <v>6983</v>
      </c>
      <c r="D2492" s="7">
        <v>1</v>
      </c>
      <c r="E2492" s="7">
        <v>10</v>
      </c>
      <c r="F2492" s="7">
        <v>0.33329999999999999</v>
      </c>
      <c r="G2492" s="8" t="s">
        <v>6710</v>
      </c>
      <c r="H2492" s="8" t="s">
        <v>5691</v>
      </c>
      <c r="I2492" s="7" t="str">
        <f>_xlfn.CONCAT(Paper_Reference[[#This Row],[Lvl]:[Paper Description]])</f>
        <v>2J48R0805SDXIHKNUCKLE FOOSEBALL 48 1/2 X 291100.3333100DS009-5000FROSTY WHITE</v>
      </c>
      <c r="J2492" s="7">
        <f>COUNTIF(Paper_Reference[Duplicate Key],Paper_Reference[[#This Row],[Duplicate Key]])</f>
        <v>1</v>
      </c>
    </row>
    <row r="2493" spans="1:10">
      <c r="A2493" s="7">
        <v>2</v>
      </c>
      <c r="B2493" s="8" t="s">
        <v>7685</v>
      </c>
      <c r="C2493" s="8" t="s">
        <v>6984</v>
      </c>
      <c r="D2493" s="7">
        <v>1</v>
      </c>
      <c r="E2493" s="7">
        <v>10</v>
      </c>
      <c r="F2493" s="7">
        <v>1</v>
      </c>
      <c r="G2493" s="8" t="s">
        <v>6710</v>
      </c>
      <c r="H2493" s="8" t="s">
        <v>5691</v>
      </c>
      <c r="I2493" s="7" t="str">
        <f>_xlfn.CONCAT(Paper_Reference[[#This Row],[Lvl]:[Paper Description]])</f>
        <v>2J48R0844AB400MCDONALDS STONEWOOD 48 X 1201101100DS009-5000FROSTY WHITE</v>
      </c>
      <c r="J2493" s="7">
        <f>COUNTIF(Paper_Reference[Duplicate Key],Paper_Reference[[#This Row],[Duplicate Key]])</f>
        <v>1</v>
      </c>
    </row>
    <row r="2494" spans="1:10">
      <c r="A2494" s="7">
        <v>2</v>
      </c>
      <c r="B2494" s="8" t="s">
        <v>7686</v>
      </c>
      <c r="C2494" s="8" t="s">
        <v>6985</v>
      </c>
      <c r="D2494" s="7">
        <v>1</v>
      </c>
      <c r="E2494" s="7">
        <v>10</v>
      </c>
      <c r="F2494" s="7">
        <v>1</v>
      </c>
      <c r="G2494" s="8" t="s">
        <v>6710</v>
      </c>
      <c r="H2494" s="8" t="s">
        <v>5691</v>
      </c>
      <c r="I2494" s="7" t="str">
        <f>_xlfn.CONCAT(Paper_Reference[[#This Row],[Lvl]:[Paper Description]])</f>
        <v>2J48R0861SD480EPIC ALICE G2  D/G 48 X 961101100DS009-5000FROSTY WHITE</v>
      </c>
      <c r="J2494" s="7">
        <f>COUNTIF(Paper_Reference[Duplicate Key],Paper_Reference[[#This Row],[Duplicate Key]])</f>
        <v>1</v>
      </c>
    </row>
    <row r="2495" spans="1:10">
      <c r="A2495" s="7">
        <v>2</v>
      </c>
      <c r="B2495" s="8" t="s">
        <v>1824</v>
      </c>
      <c r="C2495" s="8" t="s">
        <v>1398</v>
      </c>
      <c r="D2495" s="7">
        <v>1</v>
      </c>
      <c r="E2495" s="7">
        <v>10</v>
      </c>
      <c r="F2495" s="7">
        <v>1</v>
      </c>
      <c r="G2495" s="8" t="s">
        <v>1241</v>
      </c>
      <c r="H2495" s="8" t="s">
        <v>1242</v>
      </c>
      <c r="I2495" s="7" t="str">
        <f>_xlfn.CONCAT(Paper_Reference[[#This Row],[Lvl]:[Paper Description]])</f>
        <v>2J48R0868AB400MCDONALDS STONEWOOD II 48X120110110000020-5000Premium Inkjet MPK 9653</v>
      </c>
      <c r="J2495" s="7">
        <f>COUNTIF(Paper_Reference[Duplicate Key],Paper_Reference[[#This Row],[Duplicate Key]])</f>
        <v>1</v>
      </c>
    </row>
    <row r="2496" spans="1:10">
      <c r="A2496" s="7">
        <v>2</v>
      </c>
      <c r="B2496" s="8" t="s">
        <v>7687</v>
      </c>
      <c r="C2496" s="8" t="s">
        <v>6986</v>
      </c>
      <c r="D2496" s="7">
        <v>1</v>
      </c>
      <c r="E2496" s="7">
        <v>10</v>
      </c>
      <c r="F2496" s="7">
        <v>1</v>
      </c>
      <c r="G2496" s="8" t="s">
        <v>6710</v>
      </c>
      <c r="H2496" s="8" t="s">
        <v>5691</v>
      </c>
      <c r="I2496" s="7" t="str">
        <f>_xlfn.CONCAT(Paper_Reference[[#This Row],[Lvl]:[Paper Description]])</f>
        <v>2J48R0870SD480FOX WHITE LINE D/G 48 X 961101100DS009-5000FROSTY WHITE</v>
      </c>
      <c r="J2496" s="7">
        <f>COUNTIF(Paper_Reference[Duplicate Key],Paper_Reference[[#This Row],[Duplicate Key]])</f>
        <v>1</v>
      </c>
    </row>
    <row r="2497" spans="1:10">
      <c r="A2497" s="7">
        <v>2</v>
      </c>
      <c r="B2497" s="8" t="s">
        <v>1825</v>
      </c>
      <c r="C2497" s="8" t="s">
        <v>1399</v>
      </c>
      <c r="D2497" s="7">
        <v>1</v>
      </c>
      <c r="E2497" s="7">
        <v>10</v>
      </c>
      <c r="F2497" s="7">
        <v>1</v>
      </c>
      <c r="G2497" s="8" t="s">
        <v>1241</v>
      </c>
      <c r="H2497" s="8" t="s">
        <v>1242</v>
      </c>
      <c r="I2497" s="7" t="str">
        <f>_xlfn.CONCAT(Paper_Reference[[#This Row],[Lvl]:[Paper Description]])</f>
        <v>2J48R0874AB400MCDONALDS STONEWOOD III 48X120110110000020-5000Premium Inkjet MPK 9653</v>
      </c>
      <c r="J2497" s="7">
        <f>COUNTIF(Paper_Reference[Duplicate Key],Paper_Reference[[#This Row],[Duplicate Key]])</f>
        <v>1</v>
      </c>
    </row>
    <row r="2498" spans="1:10">
      <c r="A2498" s="7">
        <v>2</v>
      </c>
      <c r="B2498" s="8" t="s">
        <v>1826</v>
      </c>
      <c r="C2498" s="8" t="s">
        <v>1400</v>
      </c>
      <c r="D2498" s="7">
        <v>1</v>
      </c>
      <c r="E2498" s="7">
        <v>10</v>
      </c>
      <c r="F2498" s="7">
        <v>1</v>
      </c>
      <c r="G2498" s="8" t="s">
        <v>1241</v>
      </c>
      <c r="H2498" s="8" t="s">
        <v>1242</v>
      </c>
      <c r="I2498" s="7" t="str">
        <f>_xlfn.CONCAT(Paper_Reference[[#This Row],[Lvl]:[Paper Description]])</f>
        <v>2J48R0880SD380VERSTEEL DAVIDSON TABLE 36X96110110000020-5000Premium Inkjet MPK 9653</v>
      </c>
      <c r="J2498" s="7">
        <f>COUNTIF(Paper_Reference[Duplicate Key],Paper_Reference[[#This Row],[Duplicate Key]])</f>
        <v>1</v>
      </c>
    </row>
    <row r="2499" spans="1:10">
      <c r="A2499" s="7">
        <v>2</v>
      </c>
      <c r="B2499" s="8" t="s">
        <v>1827</v>
      </c>
      <c r="C2499" s="8" t="s">
        <v>1401</v>
      </c>
      <c r="D2499" s="7">
        <v>1</v>
      </c>
      <c r="E2499" s="7">
        <v>10</v>
      </c>
      <c r="F2499" s="7">
        <v>1</v>
      </c>
      <c r="G2499" s="8" t="s">
        <v>1241</v>
      </c>
      <c r="H2499" s="8" t="s">
        <v>1242</v>
      </c>
      <c r="I2499" s="7" t="str">
        <f>_xlfn.CONCAT(Paper_Reference[[#This Row],[Lvl]:[Paper Description]])</f>
        <v>2J48R0881SD480PAPA GINO'S TABLE TOP D/G 48 X110110000020-5000Premium Inkjet MPK 9653</v>
      </c>
      <c r="J2499" s="7">
        <f>COUNTIF(Paper_Reference[Duplicate Key],Paper_Reference[[#This Row],[Duplicate Key]])</f>
        <v>1</v>
      </c>
    </row>
    <row r="2500" spans="1:10">
      <c r="A2500" s="7">
        <v>2</v>
      </c>
      <c r="B2500" s="8" t="s">
        <v>1828</v>
      </c>
      <c r="C2500" s="8" t="s">
        <v>1402</v>
      </c>
      <c r="D2500" s="7">
        <v>1</v>
      </c>
      <c r="E2500" s="7">
        <v>10</v>
      </c>
      <c r="F2500" s="7">
        <v>1</v>
      </c>
      <c r="G2500" s="8" t="s">
        <v>1241</v>
      </c>
      <c r="H2500" s="8" t="s">
        <v>1242</v>
      </c>
      <c r="I2500" s="7" t="str">
        <f>_xlfn.CONCAT(Paper_Reference[[#This Row],[Lvl]:[Paper Description]])</f>
        <v>2J48R0883SD480UNIV OF GUELPH TABLETOP 48 X 9110110000020-5000Premium Inkjet MPK 9653</v>
      </c>
      <c r="J2500" s="7">
        <f>COUNTIF(Paper_Reference[Duplicate Key],Paper_Reference[[#This Row],[Duplicate Key]])</f>
        <v>1</v>
      </c>
    </row>
    <row r="2501" spans="1:10">
      <c r="A2501" s="7">
        <v>2</v>
      </c>
      <c r="B2501" s="8" t="s">
        <v>1829</v>
      </c>
      <c r="C2501" s="8" t="s">
        <v>1403</v>
      </c>
      <c r="D2501" s="7">
        <v>1</v>
      </c>
      <c r="E2501" s="7">
        <v>10</v>
      </c>
      <c r="F2501" s="7">
        <v>1</v>
      </c>
      <c r="G2501" s="8" t="s">
        <v>1241</v>
      </c>
      <c r="H2501" s="8" t="s">
        <v>1242</v>
      </c>
      <c r="I2501" s="7" t="str">
        <f>_xlfn.CONCAT(Paper_Reference[[#This Row],[Lvl]:[Paper Description]])</f>
        <v>2J48R0904SD480HUMAN TOUCH TABLETOP 48 X 96110110000020-5000Premium Inkjet MPK 9653</v>
      </c>
      <c r="J2501" s="7">
        <f>COUNTIF(Paper_Reference[Duplicate Key],Paper_Reference[[#This Row],[Duplicate Key]])</f>
        <v>1</v>
      </c>
    </row>
    <row r="2502" spans="1:10">
      <c r="A2502" s="7">
        <v>2</v>
      </c>
      <c r="B2502" s="8" t="s">
        <v>1830</v>
      </c>
      <c r="C2502" s="8" t="s">
        <v>1404</v>
      </c>
      <c r="D2502" s="7">
        <v>1</v>
      </c>
      <c r="E2502" s="7">
        <v>10</v>
      </c>
      <c r="F2502" s="7">
        <v>1</v>
      </c>
      <c r="G2502" s="8" t="s">
        <v>1241</v>
      </c>
      <c r="H2502" s="8" t="s">
        <v>1242</v>
      </c>
      <c r="I2502" s="7" t="str">
        <f>_xlfn.CONCAT(Paper_Reference[[#This Row],[Lvl]:[Paper Description]])</f>
        <v>2J48R0980GLCDA1DYNAMO TEXAS HOCKEY 42 1/2X82110110000020-5000Premium Inkjet MPK 9653</v>
      </c>
      <c r="J2502" s="7">
        <f>COUNTIF(Paper_Reference[Duplicate Key],Paper_Reference[[#This Row],[Duplicate Key]])</f>
        <v>1</v>
      </c>
    </row>
    <row r="2503" spans="1:10">
      <c r="A2503" s="7">
        <v>2</v>
      </c>
      <c r="B2503" s="8" t="s">
        <v>2665</v>
      </c>
      <c r="C2503" s="8" t="s">
        <v>2213</v>
      </c>
      <c r="D2503" s="7">
        <v>1</v>
      </c>
      <c r="E2503" s="7">
        <v>10</v>
      </c>
      <c r="F2503" s="7">
        <v>1</v>
      </c>
      <c r="G2503" s="8" t="s">
        <v>2144</v>
      </c>
      <c r="H2503" s="8" t="s">
        <v>1242</v>
      </c>
      <c r="I2503" s="7" t="str">
        <f>_xlfn.CONCAT(Paper_Reference[[#This Row],[Lvl]:[Paper Description]])</f>
        <v>2J48R1203SD5203BEAL MAKE YOUR MARK 60 X 144110110000020-6200Premium Inkjet MPK 9653</v>
      </c>
      <c r="J2503" s="7">
        <f>COUNTIF(Paper_Reference[Duplicate Key],Paper_Reference[[#This Row],[Duplicate Key]])</f>
        <v>1</v>
      </c>
    </row>
    <row r="2504" spans="1:10">
      <c r="A2504" s="7">
        <v>2</v>
      </c>
      <c r="B2504" s="8" t="s">
        <v>1831</v>
      </c>
      <c r="C2504" s="8" t="s">
        <v>1405</v>
      </c>
      <c r="D2504" s="7">
        <v>1</v>
      </c>
      <c r="E2504" s="7">
        <v>10</v>
      </c>
      <c r="F2504" s="7">
        <v>0.5</v>
      </c>
      <c r="G2504" s="8" t="s">
        <v>1241</v>
      </c>
      <c r="H2504" s="8" t="s">
        <v>1242</v>
      </c>
      <c r="I2504" s="7" t="str">
        <f>_xlfn.CONCAT(Paper_Reference[[#This Row],[Lvl]:[Paper Description]])</f>
        <v>2J48R1217SDDCCDIG CHECKERBOARD VI 38 X 381100.510000020-5000Premium Inkjet MPK 9653</v>
      </c>
      <c r="J2504" s="7">
        <f>COUNTIF(Paper_Reference[Duplicate Key],Paper_Reference[[#This Row],[Duplicate Key]])</f>
        <v>1</v>
      </c>
    </row>
    <row r="2505" spans="1:10">
      <c r="A2505" s="7">
        <v>2</v>
      </c>
      <c r="B2505" s="8" t="s">
        <v>1832</v>
      </c>
      <c r="C2505" s="8" t="s">
        <v>1406</v>
      </c>
      <c r="D2505" s="7">
        <v>1</v>
      </c>
      <c r="E2505" s="7">
        <v>10</v>
      </c>
      <c r="F2505" s="7">
        <v>1</v>
      </c>
      <c r="G2505" s="8" t="s">
        <v>1241</v>
      </c>
      <c r="H2505" s="8" t="s">
        <v>1242</v>
      </c>
      <c r="I2505" s="7" t="str">
        <f>_xlfn.CONCAT(Paper_Reference[[#This Row],[Lvl]:[Paper Description]])</f>
        <v>2J48R1221SD400BEAL ELEM MURAL D 48 X 120110110000020-5000Premium Inkjet MPK 9653</v>
      </c>
      <c r="J2505" s="7">
        <f>COUNTIF(Paper_Reference[Duplicate Key],Paper_Reference[[#This Row],[Duplicate Key]])</f>
        <v>1</v>
      </c>
    </row>
    <row r="2506" spans="1:10">
      <c r="A2506" s="7">
        <v>2</v>
      </c>
      <c r="B2506" s="8" t="s">
        <v>1833</v>
      </c>
      <c r="C2506" s="8" t="s">
        <v>1407</v>
      </c>
      <c r="D2506" s="7">
        <v>1</v>
      </c>
      <c r="E2506" s="7">
        <v>10</v>
      </c>
      <c r="F2506" s="7">
        <v>1</v>
      </c>
      <c r="G2506" s="8" t="s">
        <v>1241</v>
      </c>
      <c r="H2506" s="8" t="s">
        <v>1242</v>
      </c>
      <c r="I2506" s="7" t="str">
        <f>_xlfn.CONCAT(Paper_Reference[[#This Row],[Lvl]:[Paper Description]])</f>
        <v>2J48R1222SD400BEAL ELEM MURAL A 48 X 120110110000020-5000Premium Inkjet MPK 9653</v>
      </c>
      <c r="J2506" s="7">
        <f>COUNTIF(Paper_Reference[Duplicate Key],Paper_Reference[[#This Row],[Duplicate Key]])</f>
        <v>1</v>
      </c>
    </row>
    <row r="2507" spans="1:10">
      <c r="A2507" s="7">
        <v>2</v>
      </c>
      <c r="B2507" s="8" t="s">
        <v>1834</v>
      </c>
      <c r="C2507" s="8" t="s">
        <v>1408</v>
      </c>
      <c r="D2507" s="7">
        <v>1</v>
      </c>
      <c r="E2507" s="7">
        <v>10</v>
      </c>
      <c r="F2507" s="7">
        <v>1</v>
      </c>
      <c r="G2507" s="8" t="s">
        <v>1241</v>
      </c>
      <c r="H2507" s="8" t="s">
        <v>1242</v>
      </c>
      <c r="I2507" s="7" t="str">
        <f>_xlfn.CONCAT(Paper_Reference[[#This Row],[Lvl]:[Paper Description]])</f>
        <v>2J48R1223SD400BEAL ELEM MURAL B 48 X 120110110000020-5000Premium Inkjet MPK 9653</v>
      </c>
      <c r="J2507" s="7">
        <f>COUNTIF(Paper_Reference[Duplicate Key],Paper_Reference[[#This Row],[Duplicate Key]])</f>
        <v>1</v>
      </c>
    </row>
    <row r="2508" spans="1:10">
      <c r="A2508" s="7">
        <v>2</v>
      </c>
      <c r="B2508" s="8" t="s">
        <v>1835</v>
      </c>
      <c r="C2508" s="8" t="s">
        <v>1409</v>
      </c>
      <c r="D2508" s="7">
        <v>1</v>
      </c>
      <c r="E2508" s="7">
        <v>10</v>
      </c>
      <c r="F2508" s="7">
        <v>1</v>
      </c>
      <c r="G2508" s="8" t="s">
        <v>1241</v>
      </c>
      <c r="H2508" s="8" t="s">
        <v>1242</v>
      </c>
      <c r="I2508" s="7" t="str">
        <f>_xlfn.CONCAT(Paper_Reference[[#This Row],[Lvl]:[Paper Description]])</f>
        <v>2J48R1224SD400BEAL ELEM MURAL C 48 X 120110110000020-5000Premium Inkjet MPK 9653</v>
      </c>
      <c r="J2508" s="7">
        <f>COUNTIF(Paper_Reference[Duplicate Key],Paper_Reference[[#This Row],[Duplicate Key]])</f>
        <v>1</v>
      </c>
    </row>
    <row r="2509" spans="1:10">
      <c r="A2509" s="7">
        <v>2</v>
      </c>
      <c r="B2509" s="8" t="s">
        <v>1836</v>
      </c>
      <c r="C2509" s="8" t="s">
        <v>1410</v>
      </c>
      <c r="D2509" s="7">
        <v>1</v>
      </c>
      <c r="E2509" s="7">
        <v>10</v>
      </c>
      <c r="F2509" s="7">
        <v>1</v>
      </c>
      <c r="G2509" s="8" t="s">
        <v>1241</v>
      </c>
      <c r="H2509" s="8" t="s">
        <v>1242</v>
      </c>
      <c r="I2509" s="7" t="str">
        <f>_xlfn.CONCAT(Paper_Reference[[#This Row],[Lvl]:[Paper Description]])</f>
        <v>2J48R1298SD300LIGHTHOUSE-HICK CAFE 36 X 120110110000020-5000Premium Inkjet MPK 9653</v>
      </c>
      <c r="J2509" s="7">
        <f>COUNTIF(Paper_Reference[Duplicate Key],Paper_Reference[[#This Row],[Duplicate Key]])</f>
        <v>1</v>
      </c>
    </row>
    <row r="2510" spans="1:10">
      <c r="A2510" s="7">
        <v>2</v>
      </c>
      <c r="B2510" s="8" t="s">
        <v>1837</v>
      </c>
      <c r="C2510" s="8" t="s">
        <v>1411</v>
      </c>
      <c r="D2510" s="7">
        <v>1</v>
      </c>
      <c r="E2510" s="7">
        <v>10</v>
      </c>
      <c r="F2510" s="7">
        <v>1</v>
      </c>
      <c r="G2510" s="8" t="s">
        <v>1241</v>
      </c>
      <c r="H2510" s="8" t="s">
        <v>1242</v>
      </c>
      <c r="I2510" s="7" t="str">
        <f>_xlfn.CONCAT(Paper_Reference[[#This Row],[Lvl]:[Paper Description]])</f>
        <v>2J48R1298SD380LIGHTHOUSE-HICK CAFE 36 X 96110110000020-5000Premium Inkjet MPK 9653</v>
      </c>
      <c r="J2510" s="7">
        <f>COUNTIF(Paper_Reference[Duplicate Key],Paper_Reference[[#This Row],[Duplicate Key]])</f>
        <v>1</v>
      </c>
    </row>
    <row r="2511" spans="1:10">
      <c r="A2511" s="7">
        <v>2</v>
      </c>
      <c r="B2511" s="8" t="s">
        <v>1838</v>
      </c>
      <c r="C2511" s="8" t="s">
        <v>1412</v>
      </c>
      <c r="D2511" s="7">
        <v>1</v>
      </c>
      <c r="E2511" s="7">
        <v>10</v>
      </c>
      <c r="F2511" s="7">
        <v>1</v>
      </c>
      <c r="G2511" s="8" t="s">
        <v>1241</v>
      </c>
      <c r="H2511" s="8" t="s">
        <v>1242</v>
      </c>
      <c r="I2511" s="7" t="str">
        <f>_xlfn.CONCAT(Paper_Reference[[#This Row],[Lvl]:[Paper Description]])</f>
        <v>2J48R1298SD480LIGHTHOUSE-HICK CAFE 48 X 96110110000020-5000Premium Inkjet MPK 9653</v>
      </c>
      <c r="J2511" s="7">
        <f>COUNTIF(Paper_Reference[Duplicate Key],Paper_Reference[[#This Row],[Duplicate Key]])</f>
        <v>1</v>
      </c>
    </row>
    <row r="2512" spans="1:10">
      <c r="A2512" s="7">
        <v>2</v>
      </c>
      <c r="B2512" s="8" t="s">
        <v>2666</v>
      </c>
      <c r="C2512" s="8" t="s">
        <v>2214</v>
      </c>
      <c r="D2512" s="7">
        <v>1</v>
      </c>
      <c r="E2512" s="7">
        <v>10</v>
      </c>
      <c r="F2512" s="7">
        <v>1</v>
      </c>
      <c r="G2512" s="8" t="s">
        <v>2144</v>
      </c>
      <c r="H2512" s="8" t="s">
        <v>1242</v>
      </c>
      <c r="I2512" s="7" t="str">
        <f>_xlfn.CONCAT(Paper_Reference[[#This Row],[Lvl]:[Paper Description]])</f>
        <v>2J48R1352SD580SATORY DESIGN SILLY STRING 60X110110000020-6200Premium Inkjet MPK 9653</v>
      </c>
      <c r="J2512" s="7">
        <f>COUNTIF(Paper_Reference[Duplicate Key],Paper_Reference[[#This Row],[Duplicate Key]])</f>
        <v>1</v>
      </c>
    </row>
    <row r="2513" spans="1:10">
      <c r="A2513" s="7">
        <v>2</v>
      </c>
      <c r="B2513" s="8" t="s">
        <v>1839</v>
      </c>
      <c r="C2513" s="8" t="s">
        <v>1413</v>
      </c>
      <c r="D2513" s="7">
        <v>1</v>
      </c>
      <c r="E2513" s="7">
        <v>10</v>
      </c>
      <c r="F2513" s="7">
        <v>1</v>
      </c>
      <c r="G2513" s="8" t="s">
        <v>1241</v>
      </c>
      <c r="H2513" s="8" t="s">
        <v>1242</v>
      </c>
      <c r="I2513" s="7" t="str">
        <f>_xlfn.CONCAT(Paper_Reference[[#This Row],[Lvl]:[Paper Description]])</f>
        <v>2J48R1361SD400PANCAKE HOUSE TT A-D-E 48 X 12110110000020-5000Premium Inkjet MPK 9653</v>
      </c>
      <c r="J2513" s="7">
        <f>COUNTIF(Paper_Reference[Duplicate Key],Paper_Reference[[#This Row],[Duplicate Key]])</f>
        <v>1</v>
      </c>
    </row>
    <row r="2514" spans="1:10">
      <c r="A2514" s="7">
        <v>2</v>
      </c>
      <c r="B2514" s="8" t="s">
        <v>1840</v>
      </c>
      <c r="C2514" s="8" t="s">
        <v>1414</v>
      </c>
      <c r="D2514" s="7">
        <v>1</v>
      </c>
      <c r="E2514" s="7">
        <v>10</v>
      </c>
      <c r="F2514" s="7">
        <v>1</v>
      </c>
      <c r="G2514" s="8" t="s">
        <v>1241</v>
      </c>
      <c r="H2514" s="8" t="s">
        <v>1242</v>
      </c>
      <c r="I2514" s="7" t="str">
        <f>_xlfn.CONCAT(Paper_Reference[[#This Row],[Lvl]:[Paper Description]])</f>
        <v>2J48R1362SD420PANCAKE HOUSE TT B-F 48 X 144110110000020-5000Premium Inkjet MPK 9653</v>
      </c>
      <c r="J2514" s="7">
        <f>COUNTIF(Paper_Reference[Duplicate Key],Paper_Reference[[#This Row],[Duplicate Key]])</f>
        <v>1</v>
      </c>
    </row>
    <row r="2515" spans="1:10">
      <c r="A2515" s="7">
        <v>2</v>
      </c>
      <c r="B2515" s="8" t="s">
        <v>2667</v>
      </c>
      <c r="C2515" s="8" t="s">
        <v>2215</v>
      </c>
      <c r="D2515" s="7">
        <v>1</v>
      </c>
      <c r="E2515" s="7">
        <v>10</v>
      </c>
      <c r="F2515" s="7">
        <v>1</v>
      </c>
      <c r="G2515" s="8" t="s">
        <v>2144</v>
      </c>
      <c r="H2515" s="8" t="s">
        <v>1242</v>
      </c>
      <c r="I2515" s="7" t="str">
        <f>_xlfn.CONCAT(Paper_Reference[[#This Row],[Lvl]:[Paper Description]])</f>
        <v>2J48R1363SD520PANCAKE HOUSE TT C-G 60 X 144110110000020-6200Premium Inkjet MPK 9653</v>
      </c>
      <c r="J2515" s="7">
        <f>COUNTIF(Paper_Reference[Duplicate Key],Paper_Reference[[#This Row],[Duplicate Key]])</f>
        <v>1</v>
      </c>
    </row>
    <row r="2516" spans="1:10">
      <c r="A2516" s="7">
        <v>2</v>
      </c>
      <c r="B2516" s="8" t="s">
        <v>1841</v>
      </c>
      <c r="C2516" s="8" t="s">
        <v>1415</v>
      </c>
      <c r="D2516" s="7">
        <v>1</v>
      </c>
      <c r="E2516" s="7">
        <v>10</v>
      </c>
      <c r="F2516" s="7">
        <v>1</v>
      </c>
      <c r="G2516" s="8" t="s">
        <v>1241</v>
      </c>
      <c r="H2516" s="8" t="s">
        <v>1242</v>
      </c>
      <c r="I2516" s="7" t="str">
        <f>_xlfn.CONCAT(Paper_Reference[[#This Row],[Lvl]:[Paper Description]])</f>
        <v>2J48R1364SD480PANCAKE HOUSE TT A 48 X 96110110000020-5000Premium Inkjet MPK 9653</v>
      </c>
      <c r="J2516" s="7">
        <f>COUNTIF(Paper_Reference[Duplicate Key],Paper_Reference[[#This Row],[Duplicate Key]])</f>
        <v>1</v>
      </c>
    </row>
    <row r="2517" spans="1:10">
      <c r="A2517" s="7">
        <v>2</v>
      </c>
      <c r="B2517" s="8" t="s">
        <v>1842</v>
      </c>
      <c r="C2517" s="8" t="s">
        <v>1243</v>
      </c>
      <c r="D2517" s="7">
        <v>1</v>
      </c>
      <c r="E2517" s="7">
        <v>10</v>
      </c>
      <c r="F2517" s="7">
        <v>1</v>
      </c>
      <c r="G2517" s="8" t="s">
        <v>1241</v>
      </c>
      <c r="H2517" s="8" t="s">
        <v>1242</v>
      </c>
      <c r="I2517" s="7" t="str">
        <f>_xlfn.CONCAT(Paper_Reference[[#This Row],[Lvl]:[Paper Description]])</f>
        <v>2J48R1369SD320EL MAGUEY TABLETOPS 36 X 144110110000020-5000Premium Inkjet MPK 9653</v>
      </c>
      <c r="J2517" s="7">
        <f>COUNTIF(Paper_Reference[Duplicate Key],Paper_Reference[[#This Row],[Duplicate Key]])</f>
        <v>1</v>
      </c>
    </row>
    <row r="2518" spans="1:10">
      <c r="A2518" s="7">
        <v>2</v>
      </c>
      <c r="B2518" s="8" t="s">
        <v>1843</v>
      </c>
      <c r="C2518" s="8" t="s">
        <v>1416</v>
      </c>
      <c r="D2518" s="7">
        <v>1</v>
      </c>
      <c r="E2518" s="7">
        <v>10</v>
      </c>
      <c r="F2518" s="7">
        <v>1</v>
      </c>
      <c r="G2518" s="8" t="s">
        <v>1241</v>
      </c>
      <c r="H2518" s="8" t="s">
        <v>1242</v>
      </c>
      <c r="I2518" s="7" t="str">
        <f>_xlfn.CONCAT(Paper_Reference[[#This Row],[Lvl]:[Paper Description]])</f>
        <v>2J48R1370SD300EL MAGUEY TABLETOPS 36 X 120110110000020-5000Premium Inkjet MPK 9653</v>
      </c>
      <c r="J2518" s="7">
        <f>COUNTIF(Paper_Reference[Duplicate Key],Paper_Reference[[#This Row],[Duplicate Key]])</f>
        <v>1</v>
      </c>
    </row>
    <row r="2519" spans="1:10">
      <c r="A2519" s="7">
        <v>2</v>
      </c>
      <c r="B2519" s="8" t="s">
        <v>2668</v>
      </c>
      <c r="C2519" s="8" t="s">
        <v>2216</v>
      </c>
      <c r="D2519" s="7">
        <v>1</v>
      </c>
      <c r="E2519" s="7">
        <v>10</v>
      </c>
      <c r="F2519" s="7">
        <v>1</v>
      </c>
      <c r="G2519" s="8" t="s">
        <v>2144</v>
      </c>
      <c r="H2519" s="8" t="s">
        <v>1242</v>
      </c>
      <c r="I2519" s="7" t="str">
        <f>_xlfn.CONCAT(Paper_Reference[[#This Row],[Lvl]:[Paper Description]])</f>
        <v>2J48R1371SD580EL MAGUEY TABLETOPS 60 X 96110110000020-6200Premium Inkjet MPK 9653</v>
      </c>
      <c r="J2519" s="7">
        <f>COUNTIF(Paper_Reference[Duplicate Key],Paper_Reference[[#This Row],[Duplicate Key]])</f>
        <v>1</v>
      </c>
    </row>
    <row r="2520" spans="1:10">
      <c r="A2520" s="7">
        <v>2</v>
      </c>
      <c r="B2520" s="8" t="s">
        <v>1844</v>
      </c>
      <c r="C2520" s="8" t="s">
        <v>1417</v>
      </c>
      <c r="D2520" s="7">
        <v>1</v>
      </c>
      <c r="E2520" s="7">
        <v>10</v>
      </c>
      <c r="F2520" s="7">
        <v>1</v>
      </c>
      <c r="G2520" s="8" t="s">
        <v>1241</v>
      </c>
      <c r="H2520" s="8" t="s">
        <v>1242</v>
      </c>
      <c r="I2520" s="7" t="str">
        <f>_xlfn.CONCAT(Paper_Reference[[#This Row],[Lvl]:[Paper Description]])</f>
        <v>2J48R1372SD400EL MAGUEY TABLETOPS 48 X 120110110000020-5000Premium Inkjet MPK 9653</v>
      </c>
      <c r="J2520" s="7">
        <f>COUNTIF(Paper_Reference[Duplicate Key],Paper_Reference[[#This Row],[Duplicate Key]])</f>
        <v>1</v>
      </c>
    </row>
    <row r="2521" spans="1:10">
      <c r="A2521" s="7">
        <v>2</v>
      </c>
      <c r="B2521" s="8" t="s">
        <v>2669</v>
      </c>
      <c r="C2521" s="8" t="s">
        <v>2217</v>
      </c>
      <c r="D2521" s="7">
        <v>1</v>
      </c>
      <c r="E2521" s="7">
        <v>10</v>
      </c>
      <c r="F2521" s="7">
        <v>1</v>
      </c>
      <c r="G2521" s="8" t="s">
        <v>2144</v>
      </c>
      <c r="H2521" s="8" t="s">
        <v>1242</v>
      </c>
      <c r="I2521" s="7" t="str">
        <f>_xlfn.CONCAT(Paper_Reference[[#This Row],[Lvl]:[Paper Description]])</f>
        <v>2J48R1373SD580LOWESVILLE TABLETOPS 60 X 96110110000020-6200Premium Inkjet MPK 9653</v>
      </c>
      <c r="J2521" s="7">
        <f>COUNTIF(Paper_Reference[Duplicate Key],Paper_Reference[[#This Row],[Duplicate Key]])</f>
        <v>1</v>
      </c>
    </row>
    <row r="2522" spans="1:10">
      <c r="A2522" s="7">
        <v>2</v>
      </c>
      <c r="B2522" s="8" t="s">
        <v>1845</v>
      </c>
      <c r="C2522" s="8" t="s">
        <v>1418</v>
      </c>
      <c r="D2522" s="7">
        <v>1</v>
      </c>
      <c r="E2522" s="7">
        <v>10</v>
      </c>
      <c r="F2522" s="7">
        <v>1</v>
      </c>
      <c r="G2522" s="8" t="s">
        <v>1241</v>
      </c>
      <c r="H2522" s="8" t="s">
        <v>1242</v>
      </c>
      <c r="I2522" s="7" t="str">
        <f>_xlfn.CONCAT(Paper_Reference[[#This Row],[Lvl]:[Paper Description]])</f>
        <v>2J48R1387SD420VALLEY DIG TOP RAILS 418 48X14110110000020-5000Premium Inkjet MPK 9653</v>
      </c>
      <c r="J2522" s="7">
        <f>COUNTIF(Paper_Reference[Duplicate Key],Paper_Reference[[#This Row],[Duplicate Key]])</f>
        <v>1</v>
      </c>
    </row>
    <row r="2523" spans="1:10">
      <c r="A2523" s="7">
        <v>2</v>
      </c>
      <c r="B2523" s="8" t="s">
        <v>1846</v>
      </c>
      <c r="C2523" s="8" t="s">
        <v>1419</v>
      </c>
      <c r="D2523" s="7">
        <v>1</v>
      </c>
      <c r="E2523" s="7">
        <v>10</v>
      </c>
      <c r="F2523" s="7">
        <v>1</v>
      </c>
      <c r="G2523" s="8" t="s">
        <v>1241</v>
      </c>
      <c r="H2523" s="8" t="s">
        <v>1242</v>
      </c>
      <c r="I2523" s="7" t="str">
        <f>_xlfn.CONCAT(Paper_Reference[[#This Row],[Lvl]:[Paper Description]])</f>
        <v>2J48R1390SD480DYNAMO DIG TORNADO IV 48X96110110000020-5000Premium Inkjet MPK 9653</v>
      </c>
      <c r="J2523" s="7">
        <f>COUNTIF(Paper_Reference[Duplicate Key],Paper_Reference[[#This Row],[Duplicate Key]])</f>
        <v>1</v>
      </c>
    </row>
    <row r="2524" spans="1:10">
      <c r="A2524" s="7">
        <v>2</v>
      </c>
      <c r="B2524" s="8" t="s">
        <v>1847</v>
      </c>
      <c r="C2524" s="8" t="s">
        <v>1420</v>
      </c>
      <c r="D2524" s="7">
        <v>1</v>
      </c>
      <c r="E2524" s="7">
        <v>10</v>
      </c>
      <c r="F2524" s="7">
        <v>1</v>
      </c>
      <c r="G2524" s="8" t="s">
        <v>1241</v>
      </c>
      <c r="H2524" s="8" t="s">
        <v>1242</v>
      </c>
      <c r="I2524" s="7" t="str">
        <f>_xlfn.CONCAT(Paper_Reference[[#This Row],[Lvl]:[Paper Description]])</f>
        <v>2J48R1395SD480VALLEYDIG TOP RAILS 419 48X96110110000020-5000Premium Inkjet MPK 9653</v>
      </c>
      <c r="J2524" s="7">
        <f>COUNTIF(Paper_Reference[Duplicate Key],Paper_Reference[[#This Row],[Duplicate Key]])</f>
        <v>1</v>
      </c>
    </row>
    <row r="2525" spans="1:10">
      <c r="A2525" s="7">
        <v>2</v>
      </c>
      <c r="B2525" s="8" t="s">
        <v>1848</v>
      </c>
      <c r="C2525" s="8" t="s">
        <v>1421</v>
      </c>
      <c r="D2525" s="7">
        <v>1</v>
      </c>
      <c r="E2525" s="7">
        <v>10</v>
      </c>
      <c r="F2525" s="7">
        <v>1</v>
      </c>
      <c r="G2525" s="8" t="s">
        <v>1241</v>
      </c>
      <c r="H2525" s="8" t="s">
        <v>1242</v>
      </c>
      <c r="I2525" s="7" t="str">
        <f>_xlfn.CONCAT(Paper_Reference[[#This Row],[Lvl]:[Paper Description]])</f>
        <v>2J48R1405SD420NANNIE ANNIE TT 48 X 144110110000020-5000Premium Inkjet MPK 9653</v>
      </c>
      <c r="J2525" s="7">
        <f>COUNTIF(Paper_Reference[Duplicate Key],Paper_Reference[[#This Row],[Duplicate Key]])</f>
        <v>1</v>
      </c>
    </row>
    <row r="2526" spans="1:10">
      <c r="A2526" s="7">
        <v>2</v>
      </c>
      <c r="B2526" s="8" t="s">
        <v>3347</v>
      </c>
      <c r="C2526" s="8" t="s">
        <v>3240</v>
      </c>
      <c r="D2526" s="7">
        <v>1</v>
      </c>
      <c r="E2526" s="7">
        <v>10</v>
      </c>
      <c r="F2526" s="7">
        <v>1</v>
      </c>
      <c r="G2526" s="8" t="s">
        <v>3230</v>
      </c>
      <c r="H2526" s="8" t="s">
        <v>3231</v>
      </c>
      <c r="I2526" s="7" t="str">
        <f>_xlfn.CONCAT(Paper_Reference[[#This Row],[Lvl]:[Paper Description]])</f>
        <v>2J49IFOSSCR4801FOSSIL D/G 48 X 961101110SW736-5000PRECISION WHITE 43 X 145</v>
      </c>
      <c r="J2526" s="7">
        <f>COUNTIF(Paper_Reference[Duplicate Key],Paper_Reference[[#This Row],[Duplicate Key]])</f>
        <v>1</v>
      </c>
    </row>
    <row r="2527" spans="1:10">
      <c r="A2527" s="7">
        <v>2</v>
      </c>
      <c r="B2527" s="8" t="s">
        <v>3854</v>
      </c>
      <c r="C2527" s="8" t="s">
        <v>3768</v>
      </c>
      <c r="D2527" s="7">
        <v>1</v>
      </c>
      <c r="E2527" s="7">
        <v>10</v>
      </c>
      <c r="F2527" s="7">
        <v>1</v>
      </c>
      <c r="G2527" s="8" t="s">
        <v>3826</v>
      </c>
      <c r="H2527" s="8" t="s">
        <v>3827</v>
      </c>
      <c r="I2527" s="7" t="str">
        <f>_xlfn.CONCAT(Paper_Reference[[#This Row],[Lvl]:[Paper Description]])</f>
        <v>2J49IFOSSG5201FOSSIL D/G 60 X 1441101110SW736-6200PRECISION WHITE 62"</v>
      </c>
      <c r="J2527" s="7">
        <f>COUNTIF(Paper_Reference[Duplicate Key],Paper_Reference[[#This Row],[Duplicate Key]])</f>
        <v>1</v>
      </c>
    </row>
    <row r="2528" spans="1:10">
      <c r="A2528" s="7">
        <v>2</v>
      </c>
      <c r="B2528" s="8" t="s">
        <v>3348</v>
      </c>
      <c r="C2528" s="8" t="s">
        <v>3241</v>
      </c>
      <c r="D2528" s="7">
        <v>1</v>
      </c>
      <c r="E2528" s="7">
        <v>10</v>
      </c>
      <c r="F2528" s="7">
        <v>1</v>
      </c>
      <c r="G2528" s="8" t="s">
        <v>3230</v>
      </c>
      <c r="H2528" s="8" t="s">
        <v>3231</v>
      </c>
      <c r="I2528" s="7" t="str">
        <f>_xlfn.CONCAT(Paper_Reference[[#This Row],[Lvl]:[Paper Description]])</f>
        <v>2J49IFOSSH4001FOSSIL D/G 48 X 1201101110SW736-5000PRECISION WHITE 43 X 145</v>
      </c>
      <c r="J2528" s="7">
        <f>COUNTIF(Paper_Reference[Duplicate Key],Paper_Reference[[#This Row],[Duplicate Key]])</f>
        <v>1</v>
      </c>
    </row>
    <row r="2529" spans="1:10">
      <c r="A2529" s="7">
        <v>2</v>
      </c>
      <c r="B2529" s="8" t="s">
        <v>3349</v>
      </c>
      <c r="C2529" s="8" t="s">
        <v>3239</v>
      </c>
      <c r="D2529" s="7">
        <v>1</v>
      </c>
      <c r="E2529" s="7">
        <v>10</v>
      </c>
      <c r="F2529" s="7">
        <v>1</v>
      </c>
      <c r="G2529" s="8" t="s">
        <v>3230</v>
      </c>
      <c r="H2529" s="8" t="s">
        <v>3231</v>
      </c>
      <c r="I2529" s="7" t="str">
        <f>_xlfn.CONCAT(Paper_Reference[[#This Row],[Lvl]:[Paper Description]])</f>
        <v>2J49IFOSSH4201FOSSIL D/G 48 X 1441101110SW736-5000PRECISION WHITE 43 X 145</v>
      </c>
      <c r="J2529" s="7">
        <f>COUNTIF(Paper_Reference[Duplicate Key],Paper_Reference[[#This Row],[Duplicate Key]])</f>
        <v>1</v>
      </c>
    </row>
    <row r="2530" spans="1:10">
      <c r="A2530" s="7">
        <v>2</v>
      </c>
      <c r="B2530" s="8" t="s">
        <v>3350</v>
      </c>
      <c r="C2530" s="8" t="s">
        <v>3240</v>
      </c>
      <c r="D2530" s="7">
        <v>1</v>
      </c>
      <c r="E2530" s="7">
        <v>10</v>
      </c>
      <c r="F2530" s="7">
        <v>1</v>
      </c>
      <c r="G2530" s="8" t="s">
        <v>3230</v>
      </c>
      <c r="H2530" s="8" t="s">
        <v>3231</v>
      </c>
      <c r="I2530" s="7" t="str">
        <f>_xlfn.CONCAT(Paper_Reference[[#This Row],[Lvl]:[Paper Description]])</f>
        <v>2J49IFOSSH4801FOSSIL D/G 48 X 961101110SW736-5000PRECISION WHITE 43 X 145</v>
      </c>
      <c r="J2530" s="7">
        <f>COUNTIF(Paper_Reference[Duplicate Key],Paper_Reference[[#This Row],[Duplicate Key]])</f>
        <v>1</v>
      </c>
    </row>
    <row r="2531" spans="1:10">
      <c r="A2531" s="7">
        <v>2</v>
      </c>
      <c r="B2531" s="8" t="s">
        <v>3855</v>
      </c>
      <c r="C2531" s="8" t="s">
        <v>3767</v>
      </c>
      <c r="D2531" s="7">
        <v>1</v>
      </c>
      <c r="E2531" s="7">
        <v>10</v>
      </c>
      <c r="F2531" s="7">
        <v>1</v>
      </c>
      <c r="G2531" s="8" t="s">
        <v>3826</v>
      </c>
      <c r="H2531" s="8" t="s">
        <v>3827</v>
      </c>
      <c r="I2531" s="7" t="str">
        <f>_xlfn.CONCAT(Paper_Reference[[#This Row],[Lvl]:[Paper Description]])</f>
        <v>2J49IFOSSH5001FOSSIL D/G 60 X 1201101110SW736-6200PRECISION WHITE 62"</v>
      </c>
      <c r="J2531" s="7">
        <f>COUNTIF(Paper_Reference[Duplicate Key],Paper_Reference[[#This Row],[Duplicate Key]])</f>
        <v>1</v>
      </c>
    </row>
    <row r="2532" spans="1:10">
      <c r="A2532" s="7">
        <v>2</v>
      </c>
      <c r="B2532" s="8" t="s">
        <v>3856</v>
      </c>
      <c r="C2532" s="8" t="s">
        <v>3768</v>
      </c>
      <c r="D2532" s="7">
        <v>1</v>
      </c>
      <c r="E2532" s="7">
        <v>10</v>
      </c>
      <c r="F2532" s="7">
        <v>1</v>
      </c>
      <c r="G2532" s="8" t="s">
        <v>3826</v>
      </c>
      <c r="H2532" s="8" t="s">
        <v>3827</v>
      </c>
      <c r="I2532" s="7" t="str">
        <f>_xlfn.CONCAT(Paper_Reference[[#This Row],[Lvl]:[Paper Description]])</f>
        <v>2J49IFOSSH5201FOSSIL D/G 60 X 1441101110SW736-6200PRECISION WHITE 62"</v>
      </c>
      <c r="J2532" s="7">
        <f>COUNTIF(Paper_Reference[Duplicate Key],Paper_Reference[[#This Row],[Duplicate Key]])</f>
        <v>1</v>
      </c>
    </row>
    <row r="2533" spans="1:10">
      <c r="A2533" s="7">
        <v>2</v>
      </c>
      <c r="B2533" s="8" t="s">
        <v>3857</v>
      </c>
      <c r="C2533" s="8" t="s">
        <v>3769</v>
      </c>
      <c r="D2533" s="7">
        <v>1</v>
      </c>
      <c r="E2533" s="7">
        <v>10</v>
      </c>
      <c r="F2533" s="7">
        <v>1</v>
      </c>
      <c r="G2533" s="8" t="s">
        <v>3826</v>
      </c>
      <c r="H2533" s="8" t="s">
        <v>3827</v>
      </c>
      <c r="I2533" s="7" t="str">
        <f>_xlfn.CONCAT(Paper_Reference[[#This Row],[Lvl]:[Paper Description]])</f>
        <v>2J49IFOSSH5801FOSSIL D/G 60 X 961101110SW736-6200PRECISION WHITE 62"</v>
      </c>
      <c r="J2533" s="7">
        <f>COUNTIF(Paper_Reference[Duplicate Key],Paper_Reference[[#This Row],[Duplicate Key]])</f>
        <v>1</v>
      </c>
    </row>
    <row r="2534" spans="1:10">
      <c r="A2534" s="7">
        <v>2</v>
      </c>
      <c r="B2534" s="8" t="s">
        <v>3351</v>
      </c>
      <c r="C2534" s="8" t="s">
        <v>3241</v>
      </c>
      <c r="D2534" s="7">
        <v>1</v>
      </c>
      <c r="E2534" s="7">
        <v>10</v>
      </c>
      <c r="F2534" s="7">
        <v>1</v>
      </c>
      <c r="G2534" s="8" t="s">
        <v>3230</v>
      </c>
      <c r="H2534" s="8" t="s">
        <v>3231</v>
      </c>
      <c r="I2534" s="7" t="str">
        <f>_xlfn.CONCAT(Paper_Reference[[#This Row],[Lvl]:[Paper Description]])</f>
        <v>2J49IFOSSJ4001FOSSIL D/G 48 X 1201101110SW736-5000PRECISION WHITE 43 X 145</v>
      </c>
      <c r="J2534" s="7">
        <f>COUNTIF(Paper_Reference[Duplicate Key],Paper_Reference[[#This Row],[Duplicate Key]])</f>
        <v>1</v>
      </c>
    </row>
    <row r="2535" spans="1:10">
      <c r="A2535" s="7">
        <v>2</v>
      </c>
      <c r="B2535" s="8" t="s">
        <v>3352</v>
      </c>
      <c r="C2535" s="8" t="s">
        <v>3239</v>
      </c>
      <c r="D2535" s="7">
        <v>1</v>
      </c>
      <c r="E2535" s="7">
        <v>10</v>
      </c>
      <c r="F2535" s="7">
        <v>1</v>
      </c>
      <c r="G2535" s="8" t="s">
        <v>3230</v>
      </c>
      <c r="H2535" s="8" t="s">
        <v>3231</v>
      </c>
      <c r="I2535" s="7" t="str">
        <f>_xlfn.CONCAT(Paper_Reference[[#This Row],[Lvl]:[Paper Description]])</f>
        <v>2J49IFOSSJ4201FOSSIL D/G 48 X 1441101110SW736-5000PRECISION WHITE 43 X 145</v>
      </c>
      <c r="J2535" s="7">
        <f>COUNTIF(Paper_Reference[Duplicate Key],Paper_Reference[[#This Row],[Duplicate Key]])</f>
        <v>1</v>
      </c>
    </row>
    <row r="2536" spans="1:10">
      <c r="A2536" s="7">
        <v>2</v>
      </c>
      <c r="B2536" s="8" t="s">
        <v>3353</v>
      </c>
      <c r="C2536" s="8" t="s">
        <v>3240</v>
      </c>
      <c r="D2536" s="7">
        <v>1</v>
      </c>
      <c r="E2536" s="7">
        <v>10</v>
      </c>
      <c r="F2536" s="7">
        <v>1</v>
      </c>
      <c r="G2536" s="8" t="s">
        <v>3230</v>
      </c>
      <c r="H2536" s="8" t="s">
        <v>3231</v>
      </c>
      <c r="I2536" s="7" t="str">
        <f>_xlfn.CONCAT(Paper_Reference[[#This Row],[Lvl]:[Paper Description]])</f>
        <v>2J49IFOSSJ4801FOSSIL D/G 48 X 961101110SW736-5000PRECISION WHITE 43 X 145</v>
      </c>
      <c r="J2536" s="7">
        <f>COUNTIF(Paper_Reference[Duplicate Key],Paper_Reference[[#This Row],[Duplicate Key]])</f>
        <v>1</v>
      </c>
    </row>
    <row r="2537" spans="1:10">
      <c r="A2537" s="7">
        <v>2</v>
      </c>
      <c r="B2537" s="8" t="s">
        <v>3858</v>
      </c>
      <c r="C2537" s="8" t="s">
        <v>3767</v>
      </c>
      <c r="D2537" s="7">
        <v>1</v>
      </c>
      <c r="E2537" s="7">
        <v>10</v>
      </c>
      <c r="F2537" s="7">
        <v>1</v>
      </c>
      <c r="G2537" s="8" t="s">
        <v>3826</v>
      </c>
      <c r="H2537" s="8" t="s">
        <v>3827</v>
      </c>
      <c r="I2537" s="7" t="str">
        <f>_xlfn.CONCAT(Paper_Reference[[#This Row],[Lvl]:[Paper Description]])</f>
        <v>2J49IFOSSJ5001FOSSIL D/G 60 X 1201101110SW736-6200PRECISION WHITE 62"</v>
      </c>
      <c r="J2537" s="7">
        <f>COUNTIF(Paper_Reference[Duplicate Key],Paper_Reference[[#This Row],[Duplicate Key]])</f>
        <v>1</v>
      </c>
    </row>
    <row r="2538" spans="1:10">
      <c r="A2538" s="7">
        <v>2</v>
      </c>
      <c r="B2538" s="8" t="s">
        <v>3859</v>
      </c>
      <c r="C2538" s="8" t="s">
        <v>3768</v>
      </c>
      <c r="D2538" s="7">
        <v>1</v>
      </c>
      <c r="E2538" s="7">
        <v>10</v>
      </c>
      <c r="F2538" s="7">
        <v>1</v>
      </c>
      <c r="G2538" s="8" t="s">
        <v>3826</v>
      </c>
      <c r="H2538" s="8" t="s">
        <v>3827</v>
      </c>
      <c r="I2538" s="7" t="str">
        <f>_xlfn.CONCAT(Paper_Reference[[#This Row],[Lvl]:[Paper Description]])</f>
        <v>2J49IFOSSJ5201FOSSIL D/G 60 X 1441101110SW736-6200PRECISION WHITE 62"</v>
      </c>
      <c r="J2538" s="7">
        <f>COUNTIF(Paper_Reference[Duplicate Key],Paper_Reference[[#This Row],[Duplicate Key]])</f>
        <v>1</v>
      </c>
    </row>
    <row r="2539" spans="1:10">
      <c r="A2539" s="7">
        <v>2</v>
      </c>
      <c r="B2539" s="8" t="s">
        <v>3860</v>
      </c>
      <c r="C2539" s="8" t="s">
        <v>3769</v>
      </c>
      <c r="D2539" s="7">
        <v>1</v>
      </c>
      <c r="E2539" s="7">
        <v>10</v>
      </c>
      <c r="F2539" s="7">
        <v>1</v>
      </c>
      <c r="G2539" s="8" t="s">
        <v>3826</v>
      </c>
      <c r="H2539" s="8" t="s">
        <v>3827</v>
      </c>
      <c r="I2539" s="7" t="str">
        <f>_xlfn.CONCAT(Paper_Reference[[#This Row],[Lvl]:[Paper Description]])</f>
        <v>2J49IFOSSJ5801FOSSIL D/G 60 X 961101110SW736-6200PRECISION WHITE 62"</v>
      </c>
      <c r="J2539" s="7">
        <f>COUNTIF(Paper_Reference[Duplicate Key],Paper_Reference[[#This Row],[Duplicate Key]])</f>
        <v>1</v>
      </c>
    </row>
    <row r="2540" spans="1:10">
      <c r="A2540" s="7">
        <v>2</v>
      </c>
      <c r="B2540" s="8" t="s">
        <v>3354</v>
      </c>
      <c r="C2540" s="8" t="s">
        <v>3240</v>
      </c>
      <c r="D2540" s="7">
        <v>1</v>
      </c>
      <c r="E2540" s="7">
        <v>10</v>
      </c>
      <c r="F2540" s="7">
        <v>1</v>
      </c>
      <c r="G2540" s="8" t="s">
        <v>3230</v>
      </c>
      <c r="H2540" s="8" t="s">
        <v>3231</v>
      </c>
      <c r="I2540" s="7" t="str">
        <f>_xlfn.CONCAT(Paper_Reference[[#This Row],[Lvl]:[Paper Description]])</f>
        <v>2J49IFOSSLS4801FOSSIL D/G 48 X 961101110SW736-5000PRECISION WHITE 43 X 145</v>
      </c>
      <c r="J2540" s="7">
        <f>COUNTIF(Paper_Reference[Duplicate Key],Paper_Reference[[#This Row],[Duplicate Key]])</f>
        <v>1</v>
      </c>
    </row>
    <row r="2541" spans="1:10">
      <c r="A2541" s="7">
        <v>2</v>
      </c>
      <c r="B2541" s="8" t="s">
        <v>3861</v>
      </c>
      <c r="C2541" s="8" t="s">
        <v>3768</v>
      </c>
      <c r="D2541" s="7">
        <v>1</v>
      </c>
      <c r="E2541" s="7">
        <v>10</v>
      </c>
      <c r="F2541" s="7">
        <v>1</v>
      </c>
      <c r="G2541" s="8" t="s">
        <v>3826</v>
      </c>
      <c r="H2541" s="8" t="s">
        <v>3827</v>
      </c>
      <c r="I2541" s="7" t="str">
        <f>_xlfn.CONCAT(Paper_Reference[[#This Row],[Lvl]:[Paper Description]])</f>
        <v>2J49IFOSSLS5201FOSSIL D/G 60 X 1441101110SW736-6200PRECISION WHITE 62"</v>
      </c>
      <c r="J2541" s="7">
        <f>COUNTIF(Paper_Reference[Duplicate Key],Paper_Reference[[#This Row],[Duplicate Key]])</f>
        <v>1</v>
      </c>
    </row>
    <row r="2542" spans="1:10">
      <c r="A2542" s="7">
        <v>2</v>
      </c>
      <c r="B2542" s="8" t="s">
        <v>3862</v>
      </c>
      <c r="C2542" s="8" t="s">
        <v>3768</v>
      </c>
      <c r="D2542" s="7">
        <v>1</v>
      </c>
      <c r="E2542" s="7">
        <v>10</v>
      </c>
      <c r="F2542" s="7">
        <v>1</v>
      </c>
      <c r="G2542" s="8" t="s">
        <v>3826</v>
      </c>
      <c r="H2542" s="8" t="s">
        <v>3827</v>
      </c>
      <c r="I2542" s="7" t="str">
        <f>_xlfn.CONCAT(Paper_Reference[[#This Row],[Lvl]:[Paper Description]])</f>
        <v>2J49IFOSSN5201FOSSIL D/G 60 X 1441101110SW736-6200PRECISION WHITE 62"</v>
      </c>
      <c r="J2542" s="7">
        <f>COUNTIF(Paper_Reference[Duplicate Key],Paper_Reference[[#This Row],[Duplicate Key]])</f>
        <v>1</v>
      </c>
    </row>
    <row r="2543" spans="1:10">
      <c r="A2543" s="7">
        <v>2</v>
      </c>
      <c r="B2543" s="8" t="s">
        <v>3355</v>
      </c>
      <c r="C2543" s="8" t="s">
        <v>3240</v>
      </c>
      <c r="D2543" s="7">
        <v>1</v>
      </c>
      <c r="E2543" s="7">
        <v>10</v>
      </c>
      <c r="F2543" s="7">
        <v>1</v>
      </c>
      <c r="G2543" s="8" t="s">
        <v>3230</v>
      </c>
      <c r="H2543" s="8" t="s">
        <v>3231</v>
      </c>
      <c r="I2543" s="7" t="str">
        <f>_xlfn.CONCAT(Paper_Reference[[#This Row],[Lvl]:[Paper Description]])</f>
        <v>2J49IFOSSPV4801FOSSIL D/G 48 X 961101110SW736-5000PRECISION WHITE 43 X 145</v>
      </c>
      <c r="J2543" s="7">
        <f>COUNTIF(Paper_Reference[Duplicate Key],Paper_Reference[[#This Row],[Duplicate Key]])</f>
        <v>1</v>
      </c>
    </row>
    <row r="2544" spans="1:10">
      <c r="A2544" s="7">
        <v>2</v>
      </c>
      <c r="B2544" s="8" t="s">
        <v>3863</v>
      </c>
      <c r="C2544" s="8" t="s">
        <v>3767</v>
      </c>
      <c r="D2544" s="7">
        <v>1</v>
      </c>
      <c r="E2544" s="7">
        <v>10</v>
      </c>
      <c r="F2544" s="7">
        <v>1</v>
      </c>
      <c r="G2544" s="8" t="s">
        <v>3826</v>
      </c>
      <c r="H2544" s="8" t="s">
        <v>3827</v>
      </c>
      <c r="I2544" s="7" t="str">
        <f>_xlfn.CONCAT(Paper_Reference[[#This Row],[Lvl]:[Paper Description]])</f>
        <v>2J49IFOSSPV5001FOSSIL D/G 60 X 1201101110SW736-6200PRECISION WHITE 62"</v>
      </c>
      <c r="J2544" s="7">
        <f>COUNTIF(Paper_Reference[Duplicate Key],Paper_Reference[[#This Row],[Duplicate Key]])</f>
        <v>1</v>
      </c>
    </row>
    <row r="2545" spans="1:10">
      <c r="A2545" s="7">
        <v>2</v>
      </c>
      <c r="B2545" s="8" t="s">
        <v>3864</v>
      </c>
      <c r="C2545" s="8" t="s">
        <v>3768</v>
      </c>
      <c r="D2545" s="7">
        <v>1</v>
      </c>
      <c r="E2545" s="7">
        <v>10</v>
      </c>
      <c r="F2545" s="7">
        <v>1</v>
      </c>
      <c r="G2545" s="8" t="s">
        <v>3826</v>
      </c>
      <c r="H2545" s="8" t="s">
        <v>3827</v>
      </c>
      <c r="I2545" s="7" t="str">
        <f>_xlfn.CONCAT(Paper_Reference[[#This Row],[Lvl]:[Paper Description]])</f>
        <v>2J49IFOSSPV5201FOSSIL D/G 60 X 1441101110SW736-6200PRECISION WHITE 62"</v>
      </c>
      <c r="J2545" s="7">
        <f>COUNTIF(Paper_Reference[Duplicate Key],Paper_Reference[[#This Row],[Duplicate Key]])</f>
        <v>1</v>
      </c>
    </row>
    <row r="2546" spans="1:10">
      <c r="A2546" s="7">
        <v>2</v>
      </c>
      <c r="B2546" s="8" t="s">
        <v>3865</v>
      </c>
      <c r="C2546" s="8" t="s">
        <v>3769</v>
      </c>
      <c r="D2546" s="7">
        <v>1</v>
      </c>
      <c r="E2546" s="7">
        <v>10</v>
      </c>
      <c r="F2546" s="7">
        <v>1</v>
      </c>
      <c r="G2546" s="8" t="s">
        <v>3826</v>
      </c>
      <c r="H2546" s="8" t="s">
        <v>3827</v>
      </c>
      <c r="I2546" s="7" t="str">
        <f>_xlfn.CONCAT(Paper_Reference[[#This Row],[Lvl]:[Paper Description]])</f>
        <v>2J49IFOSSPV5801FOSSIL D/G 60 X 961101110SW736-6200PRECISION WHITE 62"</v>
      </c>
      <c r="J2546" s="7">
        <f>COUNTIF(Paper_Reference[Duplicate Key],Paper_Reference[[#This Row],[Duplicate Key]])</f>
        <v>1</v>
      </c>
    </row>
    <row r="2547" spans="1:10">
      <c r="A2547" s="7">
        <v>2</v>
      </c>
      <c r="B2547" s="8" t="s">
        <v>3356</v>
      </c>
      <c r="C2547" s="8" t="s">
        <v>3241</v>
      </c>
      <c r="D2547" s="7">
        <v>1</v>
      </c>
      <c r="E2547" s="7">
        <v>10</v>
      </c>
      <c r="F2547" s="7">
        <v>1</v>
      </c>
      <c r="G2547" s="8" t="s">
        <v>3230</v>
      </c>
      <c r="H2547" s="8" t="s">
        <v>3231</v>
      </c>
      <c r="I2547" s="7" t="str">
        <f>_xlfn.CONCAT(Paper_Reference[[#This Row],[Lvl]:[Paper Description]])</f>
        <v>2J49IFOSSS4001FOSSIL D/G 48 X 1201101110SW736-5000PRECISION WHITE 43 X 145</v>
      </c>
      <c r="J2547" s="7">
        <f>COUNTIF(Paper_Reference[Duplicate Key],Paper_Reference[[#This Row],[Duplicate Key]])</f>
        <v>1</v>
      </c>
    </row>
    <row r="2548" spans="1:10">
      <c r="A2548" s="7">
        <v>2</v>
      </c>
      <c r="B2548" s="8" t="s">
        <v>3357</v>
      </c>
      <c r="C2548" s="8" t="s">
        <v>3239</v>
      </c>
      <c r="D2548" s="7">
        <v>1</v>
      </c>
      <c r="E2548" s="7">
        <v>10</v>
      </c>
      <c r="F2548" s="7">
        <v>1</v>
      </c>
      <c r="G2548" s="8" t="s">
        <v>3230</v>
      </c>
      <c r="H2548" s="8" t="s">
        <v>3231</v>
      </c>
      <c r="I2548" s="7" t="str">
        <f>_xlfn.CONCAT(Paper_Reference[[#This Row],[Lvl]:[Paper Description]])</f>
        <v>2J49IFOSSS4201FOSSIL D/G 48 X 1441101110SW736-5000PRECISION WHITE 43 X 145</v>
      </c>
      <c r="J2548" s="7">
        <f>COUNTIF(Paper_Reference[Duplicate Key],Paper_Reference[[#This Row],[Duplicate Key]])</f>
        <v>1</v>
      </c>
    </row>
    <row r="2549" spans="1:10">
      <c r="A2549" s="7">
        <v>2</v>
      </c>
      <c r="B2549" s="8" t="s">
        <v>3358</v>
      </c>
      <c r="C2549" s="8" t="s">
        <v>3240</v>
      </c>
      <c r="D2549" s="7">
        <v>1</v>
      </c>
      <c r="E2549" s="7">
        <v>10</v>
      </c>
      <c r="F2549" s="7">
        <v>1</v>
      </c>
      <c r="G2549" s="8" t="s">
        <v>3230</v>
      </c>
      <c r="H2549" s="8" t="s">
        <v>3231</v>
      </c>
      <c r="I2549" s="7" t="str">
        <f>_xlfn.CONCAT(Paper_Reference[[#This Row],[Lvl]:[Paper Description]])</f>
        <v>2J49IFOSSS4801FOSSIL D/G 48 X 961101110SW736-5000PRECISION WHITE 43 X 145</v>
      </c>
      <c r="J2549" s="7">
        <f>COUNTIF(Paper_Reference[Duplicate Key],Paper_Reference[[#This Row],[Duplicate Key]])</f>
        <v>1</v>
      </c>
    </row>
    <row r="2550" spans="1:10">
      <c r="A2550" s="7">
        <v>2</v>
      </c>
      <c r="B2550" s="8" t="s">
        <v>3866</v>
      </c>
      <c r="C2550" s="8" t="s">
        <v>3767</v>
      </c>
      <c r="D2550" s="7">
        <v>1</v>
      </c>
      <c r="E2550" s="7">
        <v>10</v>
      </c>
      <c r="F2550" s="7">
        <v>1</v>
      </c>
      <c r="G2550" s="8" t="s">
        <v>3826</v>
      </c>
      <c r="H2550" s="8" t="s">
        <v>3827</v>
      </c>
      <c r="I2550" s="7" t="str">
        <f>_xlfn.CONCAT(Paper_Reference[[#This Row],[Lvl]:[Paper Description]])</f>
        <v>2J49IFOSSS5001FOSSIL D/G 60 X 1201101110SW736-6200PRECISION WHITE 62"</v>
      </c>
      <c r="J2550" s="7">
        <f>COUNTIF(Paper_Reference[Duplicate Key],Paper_Reference[[#This Row],[Duplicate Key]])</f>
        <v>1</v>
      </c>
    </row>
    <row r="2551" spans="1:10">
      <c r="A2551" s="7">
        <v>2</v>
      </c>
      <c r="B2551" s="8" t="s">
        <v>3867</v>
      </c>
      <c r="C2551" s="8" t="s">
        <v>3768</v>
      </c>
      <c r="D2551" s="7">
        <v>1</v>
      </c>
      <c r="E2551" s="7">
        <v>10</v>
      </c>
      <c r="F2551" s="7">
        <v>1</v>
      </c>
      <c r="G2551" s="8" t="s">
        <v>3826</v>
      </c>
      <c r="H2551" s="8" t="s">
        <v>3827</v>
      </c>
      <c r="I2551" s="7" t="str">
        <f>_xlfn.CONCAT(Paper_Reference[[#This Row],[Lvl]:[Paper Description]])</f>
        <v>2J49IFOSSS5201FOSSIL D/G 60 X 1441101110SW736-6200PRECISION WHITE 62"</v>
      </c>
      <c r="J2551" s="7">
        <f>COUNTIF(Paper_Reference[Duplicate Key],Paper_Reference[[#This Row],[Duplicate Key]])</f>
        <v>1</v>
      </c>
    </row>
    <row r="2552" spans="1:10">
      <c r="A2552" s="7">
        <v>2</v>
      </c>
      <c r="B2552" s="8" t="s">
        <v>3868</v>
      </c>
      <c r="C2552" s="8" t="s">
        <v>3769</v>
      </c>
      <c r="D2552" s="7">
        <v>1</v>
      </c>
      <c r="E2552" s="7">
        <v>10</v>
      </c>
      <c r="F2552" s="7">
        <v>1</v>
      </c>
      <c r="G2552" s="8" t="s">
        <v>3826</v>
      </c>
      <c r="H2552" s="8" t="s">
        <v>3827</v>
      </c>
      <c r="I2552" s="7" t="str">
        <f>_xlfn.CONCAT(Paper_Reference[[#This Row],[Lvl]:[Paper Description]])</f>
        <v>2J49IFOSSS5801FOSSIL D/G 60 X 961101110SW736-6200PRECISION WHITE 62"</v>
      </c>
      <c r="J2552" s="7">
        <f>COUNTIF(Paper_Reference[Duplicate Key],Paper_Reference[[#This Row],[Duplicate Key]])</f>
        <v>1</v>
      </c>
    </row>
    <row r="2553" spans="1:10">
      <c r="A2553" s="7">
        <v>2</v>
      </c>
      <c r="B2553" s="8" t="s">
        <v>6317</v>
      </c>
      <c r="C2553" s="8" t="s">
        <v>5843</v>
      </c>
      <c r="D2553" s="7">
        <v>1</v>
      </c>
      <c r="E2553" s="7">
        <v>10</v>
      </c>
      <c r="F2553" s="7">
        <v>1</v>
      </c>
      <c r="G2553" s="8" t="s">
        <v>5690</v>
      </c>
      <c r="H2553" s="8" t="s">
        <v>5691</v>
      </c>
      <c r="I2553" s="7" t="str">
        <f>_xlfn.CONCAT(Paper_Reference[[#This Row],[Lvl]:[Paper Description]])</f>
        <v>2J49R0743GL5201MPA AUCTION D/G 60 X 1441101100DS009-6200FROSTY WHITE</v>
      </c>
      <c r="J2553" s="7">
        <f>COUNTIF(Paper_Reference[Duplicate Key],Paper_Reference[[#This Row],[Duplicate Key]])</f>
        <v>1</v>
      </c>
    </row>
    <row r="2554" spans="1:10">
      <c r="A2554" s="7">
        <v>3</v>
      </c>
      <c r="B2554" s="8" t="s">
        <v>531</v>
      </c>
      <c r="C2554" s="8" t="s">
        <v>304</v>
      </c>
      <c r="D2554" s="7">
        <v>1</v>
      </c>
      <c r="E2554" s="7">
        <v>10</v>
      </c>
      <c r="F2554" s="7">
        <v>1</v>
      </c>
      <c r="G2554" s="8" t="s">
        <v>217</v>
      </c>
      <c r="H2554" s="8" t="s">
        <v>3229</v>
      </c>
      <c r="I2554" s="7" t="str">
        <f>_xlfn.CONCAT(Paper_Reference[[#This Row],[Lvl]:[Paper Description]])</f>
        <v>3J50I8450PM62ARROW .500 NO P/B 41.875X143.61101100WM301-6200IQ MAPLE LANE (C) 60 X 144</v>
      </c>
      <c r="J2554" s="7">
        <f>COUNTIF(Paper_Reference[Duplicate Key],Paper_Reference[[#This Row],[Duplicate Key]])</f>
        <v>1</v>
      </c>
    </row>
    <row r="2555" spans="1:10">
      <c r="A2555" s="7">
        <v>3</v>
      </c>
      <c r="B2555" s="8" t="s">
        <v>531</v>
      </c>
      <c r="C2555" s="8" t="s">
        <v>304</v>
      </c>
      <c r="D2555" s="7">
        <v>1</v>
      </c>
      <c r="E2555" s="7">
        <v>10</v>
      </c>
      <c r="F2555" s="7">
        <v>1</v>
      </c>
      <c r="G2555" s="8" t="s">
        <v>217</v>
      </c>
      <c r="H2555" s="8" t="s">
        <v>425</v>
      </c>
      <c r="I2555" s="7" t="str">
        <f>_xlfn.CONCAT(Paper_Reference[[#This Row],[Lvl]:[Paper Description]])</f>
        <v>3J50I8450PM62ARROW .500 NO P/B 41.875X143.61101100WM301-6200IQ MAPLE LANE (CENTER)</v>
      </c>
      <c r="J2555" s="7">
        <f>COUNTIF(Paper_Reference[Duplicate Key],Paper_Reference[[#This Row],[Duplicate Key]])</f>
        <v>1</v>
      </c>
    </row>
    <row r="2556" spans="1:10">
      <c r="A2556" s="7">
        <v>3</v>
      </c>
      <c r="B2556" s="8" t="s">
        <v>532</v>
      </c>
      <c r="C2556" s="8" t="s">
        <v>305</v>
      </c>
      <c r="D2556" s="7">
        <v>1</v>
      </c>
      <c r="E2556" s="7">
        <v>10</v>
      </c>
      <c r="F2556" s="7">
        <v>1</v>
      </c>
      <c r="G2556" s="8" t="s">
        <v>217</v>
      </c>
      <c r="H2556" s="8" t="s">
        <v>3229</v>
      </c>
      <c r="I2556" s="7" t="str">
        <f>_xlfn.CONCAT(Paper_Reference[[#This Row],[Lvl]:[Paper Description]])</f>
        <v>3J50I8460PM63FOUL LINE .500  NO P/B 41.8751101100WM301-6200IQ MAPLE LANE (C) 60 X 144</v>
      </c>
      <c r="J2556" s="7">
        <f>COUNTIF(Paper_Reference[Duplicate Key],Paper_Reference[[#This Row],[Duplicate Key]])</f>
        <v>1</v>
      </c>
    </row>
    <row r="2557" spans="1:10">
      <c r="A2557" s="7">
        <v>3</v>
      </c>
      <c r="B2557" s="8" t="s">
        <v>532</v>
      </c>
      <c r="C2557" s="8" t="s">
        <v>305</v>
      </c>
      <c r="D2557" s="7">
        <v>1</v>
      </c>
      <c r="E2557" s="7">
        <v>10</v>
      </c>
      <c r="F2557" s="7">
        <v>1</v>
      </c>
      <c r="G2557" s="8" t="s">
        <v>217</v>
      </c>
      <c r="H2557" s="8" t="s">
        <v>425</v>
      </c>
      <c r="I2557" s="7" t="str">
        <f>_xlfn.CONCAT(Paper_Reference[[#This Row],[Lvl]:[Paper Description]])</f>
        <v>3J50I8460PM63FOUL LINE .500  NO P/B 41.8751101100WM301-6200IQ MAPLE LANE (CENTER)</v>
      </c>
      <c r="J2557" s="7">
        <f>COUNTIF(Paper_Reference[Duplicate Key],Paper_Reference[[#This Row],[Duplicate Key]])</f>
        <v>1</v>
      </c>
    </row>
    <row r="2558" spans="1:10">
      <c r="A2558" s="7">
        <v>3</v>
      </c>
      <c r="B2558" s="8" t="s">
        <v>533</v>
      </c>
      <c r="C2558" s="8" t="s">
        <v>305</v>
      </c>
      <c r="D2558" s="7">
        <v>1</v>
      </c>
      <c r="E2558" s="7">
        <v>10</v>
      </c>
      <c r="F2558" s="7">
        <v>1</v>
      </c>
      <c r="G2558" s="8" t="s">
        <v>217</v>
      </c>
      <c r="H2558" s="8" t="s">
        <v>3229</v>
      </c>
      <c r="I2558" s="7" t="str">
        <f>_xlfn.CONCAT(Paper_Reference[[#This Row],[Lvl]:[Paper Description]])</f>
        <v>3J50I8460QM63FOUL LINE .500  NO P/B 41.8751101100WM301-6200IQ MAPLE LANE (C) 60 X 144</v>
      </c>
      <c r="J2558" s="7">
        <f>COUNTIF(Paper_Reference[Duplicate Key],Paper_Reference[[#This Row],[Duplicate Key]])</f>
        <v>1</v>
      </c>
    </row>
    <row r="2559" spans="1:10">
      <c r="A2559" s="7">
        <v>3</v>
      </c>
      <c r="B2559" s="8" t="s">
        <v>533</v>
      </c>
      <c r="C2559" s="8" t="s">
        <v>305</v>
      </c>
      <c r="D2559" s="7">
        <v>1</v>
      </c>
      <c r="E2559" s="7">
        <v>10</v>
      </c>
      <c r="F2559" s="7">
        <v>1</v>
      </c>
      <c r="G2559" s="8" t="s">
        <v>217</v>
      </c>
      <c r="H2559" s="8" t="s">
        <v>425</v>
      </c>
      <c r="I2559" s="7" t="str">
        <f>_xlfn.CONCAT(Paper_Reference[[#This Row],[Lvl]:[Paper Description]])</f>
        <v>3J50I8460QM63FOUL LINE .500  NO P/B 41.8751101100WM301-6200IQ MAPLE LANE (CENTER)</v>
      </c>
      <c r="J2559" s="7">
        <f>COUNTIF(Paper_Reference[Duplicate Key],Paper_Reference[[#This Row],[Duplicate Key]])</f>
        <v>1</v>
      </c>
    </row>
    <row r="2560" spans="1:10">
      <c r="A2560" s="7">
        <v>3</v>
      </c>
      <c r="B2560" s="8" t="s">
        <v>534</v>
      </c>
      <c r="C2560" s="8" t="s">
        <v>306</v>
      </c>
      <c r="D2560" s="7">
        <v>1</v>
      </c>
      <c r="E2560" s="7">
        <v>10</v>
      </c>
      <c r="F2560" s="7">
        <v>1</v>
      </c>
      <c r="G2560" s="8" t="s">
        <v>217</v>
      </c>
      <c r="H2560" s="8" t="s">
        <v>3229</v>
      </c>
      <c r="I2560" s="7" t="str">
        <f>_xlfn.CONCAT(Paper_Reference[[#This Row],[Lvl]:[Paper Description]])</f>
        <v>3J50I8490PM64APPROACH .500 NO P/B 41.875 X1101100WM301-6200IQ MAPLE LANE (C) 60 X 144</v>
      </c>
      <c r="J2560" s="7">
        <f>COUNTIF(Paper_Reference[Duplicate Key],Paper_Reference[[#This Row],[Duplicate Key]])</f>
        <v>1</v>
      </c>
    </row>
    <row r="2561" spans="1:10">
      <c r="A2561" s="7">
        <v>3</v>
      </c>
      <c r="B2561" s="8" t="s">
        <v>534</v>
      </c>
      <c r="C2561" s="8" t="s">
        <v>306</v>
      </c>
      <c r="D2561" s="7">
        <v>1</v>
      </c>
      <c r="E2561" s="7">
        <v>10</v>
      </c>
      <c r="F2561" s="7">
        <v>1</v>
      </c>
      <c r="G2561" s="8" t="s">
        <v>217</v>
      </c>
      <c r="H2561" s="8" t="s">
        <v>425</v>
      </c>
      <c r="I2561" s="7" t="str">
        <f>_xlfn.CONCAT(Paper_Reference[[#This Row],[Lvl]:[Paper Description]])</f>
        <v>3J50I8490PM64APPROACH .500 NO P/B 41.875 X1101100WM301-6200IQ MAPLE LANE (CENTER)</v>
      </c>
      <c r="J2561" s="7">
        <f>COUNTIF(Paper_Reference[Duplicate Key],Paper_Reference[[#This Row],[Duplicate Key]])</f>
        <v>1</v>
      </c>
    </row>
    <row r="2562" spans="1:10">
      <c r="A2562" s="7">
        <v>3</v>
      </c>
      <c r="B2562" s="8" t="s">
        <v>9086</v>
      </c>
      <c r="C2562" s="8" t="s">
        <v>9030</v>
      </c>
      <c r="D2562" s="7">
        <v>1</v>
      </c>
      <c r="E2562" s="7">
        <v>10</v>
      </c>
      <c r="F2562" s="7">
        <v>1</v>
      </c>
      <c r="G2562" s="8" t="s">
        <v>219</v>
      </c>
      <c r="H2562" s="8" t="s">
        <v>427</v>
      </c>
      <c r="I2562" s="7" t="str">
        <f>_xlfn.CONCAT(Paper_Reference[[#This Row],[Lvl]:[Paper Description]])</f>
        <v>3J53I8580PM82EXP AMF .375 41.875 X 142.751101100WM321-4300IQ MAPLE LANE RH</v>
      </c>
      <c r="J2562" s="7">
        <f>COUNTIF(Paper_Reference[Duplicate Key],Paper_Reference[[#This Row],[Duplicate Key]])</f>
        <v>1</v>
      </c>
    </row>
    <row r="2563" spans="1:10">
      <c r="A2563" s="7">
        <v>2</v>
      </c>
      <c r="B2563" s="8" t="s">
        <v>2670</v>
      </c>
      <c r="C2563" s="8" t="s">
        <v>2218</v>
      </c>
      <c r="D2563" s="7">
        <v>1</v>
      </c>
      <c r="E2563" s="7">
        <v>10</v>
      </c>
      <c r="F2563" s="7">
        <v>0.25</v>
      </c>
      <c r="G2563" s="8" t="s">
        <v>2144</v>
      </c>
      <c r="H2563" s="8" t="s">
        <v>1242</v>
      </c>
      <c r="I2563" s="7" t="str">
        <f>_xlfn.CONCAT(Paper_Reference[[#This Row],[Lvl]:[Paper Description]])</f>
        <v>2J56B0150AM38DIG BRACKETTS WAL NBR 13.87X141100.2510000020-6200Premium Inkjet MPK 9653</v>
      </c>
      <c r="J2563" s="7">
        <f>COUNTIF(Paper_Reference[Duplicate Key],Paper_Reference[[#This Row],[Duplicate Key]])</f>
        <v>1</v>
      </c>
    </row>
    <row r="2564" spans="1:10">
      <c r="A2564" s="7">
        <v>2</v>
      </c>
      <c r="B2564" s="8" t="s">
        <v>2671</v>
      </c>
      <c r="C2564" s="8" t="s">
        <v>2219</v>
      </c>
      <c r="D2564" s="7">
        <v>1</v>
      </c>
      <c r="E2564" s="7">
        <v>10</v>
      </c>
      <c r="F2564" s="7">
        <v>0.25</v>
      </c>
      <c r="G2564" s="8" t="s">
        <v>2144</v>
      </c>
      <c r="H2564" s="8" t="s">
        <v>1242</v>
      </c>
      <c r="I2564" s="7" t="str">
        <f>_xlfn.CONCAT(Paper_Reference[[#This Row],[Lvl]:[Paper Description]])</f>
        <v>2J56B0186AM38DIG BLK FOREST NBR 13.87X1441100.2510000020-6200Premium Inkjet MPK 9653</v>
      </c>
      <c r="J2564" s="7">
        <f>COUNTIF(Paper_Reference[Duplicate Key],Paper_Reference[[#This Row],[Duplicate Key]])</f>
        <v>1</v>
      </c>
    </row>
    <row r="2565" spans="1:10">
      <c r="A2565" s="7">
        <v>2</v>
      </c>
      <c r="B2565" s="8" t="s">
        <v>2672</v>
      </c>
      <c r="C2565" s="8" t="s">
        <v>2220</v>
      </c>
      <c r="D2565" s="7">
        <v>1</v>
      </c>
      <c r="E2565" s="7">
        <v>10</v>
      </c>
      <c r="F2565" s="7">
        <v>0.25</v>
      </c>
      <c r="G2565" s="8" t="s">
        <v>2144</v>
      </c>
      <c r="H2565" s="8" t="s">
        <v>1242</v>
      </c>
      <c r="I2565" s="7" t="str">
        <f>_xlfn.CONCAT(Paper_Reference[[#This Row],[Lvl]:[Paper Description]])</f>
        <v>2J56B0210AM38DIG SCANDIA MAP NBR 13.87X1441100.2510000020-6200Premium Inkjet MPK 9653</v>
      </c>
      <c r="J2565" s="7">
        <f>COUNTIF(Paper_Reference[Duplicate Key],Paper_Reference[[#This Row],[Duplicate Key]])</f>
        <v>1</v>
      </c>
    </row>
    <row r="2566" spans="1:10">
      <c r="A2566" s="7">
        <v>3</v>
      </c>
      <c r="B2566" s="8" t="s">
        <v>9117</v>
      </c>
      <c r="C2566" s="8" t="s">
        <v>9061</v>
      </c>
      <c r="D2566" s="7">
        <v>1</v>
      </c>
      <c r="E2566" s="7">
        <v>10</v>
      </c>
      <c r="F2566" s="7">
        <v>1</v>
      </c>
      <c r="G2566" s="8" t="s">
        <v>219</v>
      </c>
      <c r="H2566" s="8" t="s">
        <v>427</v>
      </c>
      <c r="I2566" s="7" t="str">
        <f>_xlfn.CONCAT(Paper_Reference[[#This Row],[Lvl]:[Paper Description]])</f>
        <v>3J56I8880PM34SYN3 RIGHT ARROW  41.875 X 1441101100WM321-4300IQ MAPLE LANE RH</v>
      </c>
      <c r="J2566" s="7">
        <f>COUNTIF(Paper_Reference[Duplicate Key],Paper_Reference[[#This Row],[Duplicate Key]])</f>
        <v>1</v>
      </c>
    </row>
    <row r="2567" spans="1:10">
      <c r="A2567" s="7">
        <v>3</v>
      </c>
      <c r="B2567" s="8" t="s">
        <v>9006</v>
      </c>
      <c r="C2567" s="8" t="s">
        <v>8952</v>
      </c>
      <c r="D2567" s="7">
        <v>1</v>
      </c>
      <c r="E2567" s="7">
        <v>10</v>
      </c>
      <c r="F2567" s="7">
        <v>1</v>
      </c>
      <c r="G2567" s="8" t="s">
        <v>218</v>
      </c>
      <c r="H2567" s="8" t="s">
        <v>426</v>
      </c>
      <c r="I2567" s="7" t="str">
        <f>_xlfn.CONCAT(Paper_Reference[[#This Row],[Lvl]:[Paper Description]])</f>
        <v>3J56I8881PM35SYN3 LEFT  ARROW  41.875 X 1441101100WM311-4300IQ MAPLE LANE LH</v>
      </c>
      <c r="J2567" s="7">
        <f>COUNTIF(Paper_Reference[Duplicate Key],Paper_Reference[[#This Row],[Duplicate Key]])</f>
        <v>1</v>
      </c>
    </row>
    <row r="2568" spans="1:10">
      <c r="A2568" s="7">
        <v>3</v>
      </c>
      <c r="B2568" s="8" t="s">
        <v>9109</v>
      </c>
      <c r="C2568" s="8" t="s">
        <v>9053</v>
      </c>
      <c r="D2568" s="7">
        <v>1</v>
      </c>
      <c r="E2568" s="7">
        <v>10</v>
      </c>
      <c r="F2568" s="7">
        <v>1</v>
      </c>
      <c r="G2568" s="8" t="s">
        <v>219</v>
      </c>
      <c r="H2568" s="8" t="s">
        <v>427</v>
      </c>
      <c r="I2568" s="7" t="str">
        <f>_xlfn.CONCAT(Paper_Reference[[#This Row],[Lvl]:[Paper Description]])</f>
        <v>3J56I8884PM34SOCHI 1C R ARROW 41.875 X 1441101100WM321-4300IQ MAPLE LANE RH</v>
      </c>
      <c r="J2568" s="7">
        <f>COUNTIF(Paper_Reference[Duplicate Key],Paper_Reference[[#This Row],[Duplicate Key]])</f>
        <v>1</v>
      </c>
    </row>
    <row r="2569" spans="1:10">
      <c r="A2569" s="7">
        <v>3</v>
      </c>
      <c r="B2569" s="8" t="s">
        <v>8998</v>
      </c>
      <c r="C2569" s="8" t="s">
        <v>8944</v>
      </c>
      <c r="D2569" s="7">
        <v>1</v>
      </c>
      <c r="E2569" s="7">
        <v>10</v>
      </c>
      <c r="F2569" s="7">
        <v>1</v>
      </c>
      <c r="G2569" s="8" t="s">
        <v>218</v>
      </c>
      <c r="H2569" s="8" t="s">
        <v>426</v>
      </c>
      <c r="I2569" s="7" t="str">
        <f>_xlfn.CONCAT(Paper_Reference[[#This Row],[Lvl]:[Paper Description]])</f>
        <v>3J56I8885PM35SOCHI 2C L ARROW 41.875 X 1441101100WM311-4300IQ MAPLE LANE LH</v>
      </c>
      <c r="J2569" s="7">
        <f>COUNTIF(Paper_Reference[Duplicate Key],Paper_Reference[[#This Row],[Duplicate Key]])</f>
        <v>1</v>
      </c>
    </row>
    <row r="2570" spans="1:10">
      <c r="A2570" s="7">
        <v>3</v>
      </c>
      <c r="B2570" s="8" t="s">
        <v>9114</v>
      </c>
      <c r="C2570" s="8" t="s">
        <v>9058</v>
      </c>
      <c r="D2570" s="7">
        <v>1</v>
      </c>
      <c r="E2570" s="7">
        <v>10</v>
      </c>
      <c r="F2570" s="7">
        <v>1</v>
      </c>
      <c r="G2570" s="8" t="s">
        <v>219</v>
      </c>
      <c r="H2570" s="8" t="s">
        <v>427</v>
      </c>
      <c r="I2570" s="7" t="str">
        <f>_xlfn.CONCAT(Paper_Reference[[#This Row],[Lvl]:[Paper Description]])</f>
        <v>3J56I8886PM34STREZ 1C R ARROW 41.875 X 1441101100WM321-4300IQ MAPLE LANE RH</v>
      </c>
      <c r="J2570" s="7">
        <f>COUNTIF(Paper_Reference[Duplicate Key],Paper_Reference[[#This Row],[Duplicate Key]])</f>
        <v>1</v>
      </c>
    </row>
    <row r="2571" spans="1:10">
      <c r="A2571" s="7">
        <v>3</v>
      </c>
      <c r="B2571" s="8" t="s">
        <v>9003</v>
      </c>
      <c r="C2571" s="8" t="s">
        <v>8949</v>
      </c>
      <c r="D2571" s="7">
        <v>1</v>
      </c>
      <c r="E2571" s="7">
        <v>10</v>
      </c>
      <c r="F2571" s="7">
        <v>1</v>
      </c>
      <c r="G2571" s="8" t="s">
        <v>218</v>
      </c>
      <c r="H2571" s="8" t="s">
        <v>426</v>
      </c>
      <c r="I2571" s="7" t="str">
        <f>_xlfn.CONCAT(Paper_Reference[[#This Row],[Lvl]:[Paper Description]])</f>
        <v>3J56I8887PM35STREZ 2C L ARROW 41.875 X 1441101100WM311-4300IQ MAPLE LANE LH</v>
      </c>
      <c r="J2571" s="7">
        <f>COUNTIF(Paper_Reference[Duplicate Key],Paper_Reference[[#This Row],[Duplicate Key]])</f>
        <v>1</v>
      </c>
    </row>
    <row r="2572" spans="1:10">
      <c r="A2572" s="7">
        <v>3</v>
      </c>
      <c r="B2572" s="8" t="s">
        <v>9140</v>
      </c>
      <c r="C2572" s="8" t="s">
        <v>9084</v>
      </c>
      <c r="D2572" s="7">
        <v>1</v>
      </c>
      <c r="E2572" s="7">
        <v>10</v>
      </c>
      <c r="F2572" s="7">
        <v>1</v>
      </c>
      <c r="G2572" s="8" t="s">
        <v>219</v>
      </c>
      <c r="H2572" s="8" t="s">
        <v>427</v>
      </c>
      <c r="I2572" s="7" t="str">
        <f>_xlfn.CONCAT(Paper_Reference[[#This Row],[Lvl]:[Paper Description]])</f>
        <v>3J56I8888PM34YAKU 1C R ARROW 41.875 X 1441101100WM321-4300IQ MAPLE LANE RH</v>
      </c>
      <c r="J2572" s="7">
        <f>COUNTIF(Paper_Reference[Duplicate Key],Paper_Reference[[#This Row],[Duplicate Key]])</f>
        <v>1</v>
      </c>
    </row>
    <row r="2573" spans="1:10">
      <c r="A2573" s="7">
        <v>3</v>
      </c>
      <c r="B2573" s="8" t="s">
        <v>9029</v>
      </c>
      <c r="C2573" s="8" t="s">
        <v>8975</v>
      </c>
      <c r="D2573" s="7">
        <v>1</v>
      </c>
      <c r="E2573" s="7">
        <v>10</v>
      </c>
      <c r="F2573" s="7">
        <v>1</v>
      </c>
      <c r="G2573" s="8" t="s">
        <v>218</v>
      </c>
      <c r="H2573" s="8" t="s">
        <v>426</v>
      </c>
      <c r="I2573" s="7" t="str">
        <f>_xlfn.CONCAT(Paper_Reference[[#This Row],[Lvl]:[Paper Description]])</f>
        <v>3J56I8889PM35YAKU 2C L ARROW 41.875 X 1441101100WM311-4300IQ MAPLE LANE LH</v>
      </c>
      <c r="J2573" s="7">
        <f>COUNTIF(Paper_Reference[Duplicate Key],Paper_Reference[[#This Row],[Duplicate Key]])</f>
        <v>1</v>
      </c>
    </row>
    <row r="2574" spans="1:10">
      <c r="A2574" s="7">
        <v>3</v>
      </c>
      <c r="B2574" s="8" t="s">
        <v>9536</v>
      </c>
      <c r="C2574" s="8" t="s">
        <v>9278</v>
      </c>
      <c r="D2574" s="7">
        <v>1</v>
      </c>
      <c r="E2574" s="7">
        <v>10</v>
      </c>
      <c r="F2574" s="7">
        <v>1</v>
      </c>
      <c r="G2574" s="8" t="s">
        <v>9143</v>
      </c>
      <c r="H2574" s="8" t="s">
        <v>9144</v>
      </c>
      <c r="I2574" s="30" t="str">
        <f>_xlfn.CONCAT(Paper_Reference[[#This Row],[Lvl]:[Paper Description]])</f>
        <v>3J56I8944AM31PFA39 NG TEX L APP 59.641X1441101100PFA39-6200SINGING THE CHICAGO BLUES</v>
      </c>
      <c r="J2574" s="30">
        <f>COUNTIF(Paper_Reference[Duplicate Key],Paper_Reference[[#This Row],[Duplicate Key]])</f>
        <v>1</v>
      </c>
    </row>
    <row r="2575" spans="1:10">
      <c r="A2575" s="7">
        <v>3</v>
      </c>
      <c r="B2575" s="8" t="s">
        <v>9537</v>
      </c>
      <c r="C2575" s="8" t="s">
        <v>9280</v>
      </c>
      <c r="D2575" s="7">
        <v>1</v>
      </c>
      <c r="E2575" s="7">
        <v>10</v>
      </c>
      <c r="F2575" s="7">
        <v>1</v>
      </c>
      <c r="G2575" s="8" t="s">
        <v>9143</v>
      </c>
      <c r="H2575" s="8" t="s">
        <v>9144</v>
      </c>
      <c r="I2575" s="30" t="str">
        <f>_xlfn.CONCAT(Paper_Reference[[#This Row],[Lvl]:[Paper Description]])</f>
        <v>3J56I8945AM30PFA39 NG TEX R APP 59.641X1441101100PFA39-6200SINGING THE CHICAGO BLUES</v>
      </c>
      <c r="J2575" s="30">
        <f>COUNTIF(Paper_Reference[Duplicate Key],Paper_Reference[[#This Row],[Duplicate Key]])</f>
        <v>1</v>
      </c>
    </row>
    <row r="2576" spans="1:10">
      <c r="A2576" s="7">
        <v>3</v>
      </c>
      <c r="B2576" s="8" t="s">
        <v>9538</v>
      </c>
      <c r="C2576" s="8" t="s">
        <v>9282</v>
      </c>
      <c r="D2576" s="7">
        <v>1</v>
      </c>
      <c r="E2576" s="7">
        <v>10</v>
      </c>
      <c r="F2576" s="7">
        <v>1</v>
      </c>
      <c r="G2576" s="8" t="s">
        <v>9143</v>
      </c>
      <c r="H2576" s="8" t="s">
        <v>9144</v>
      </c>
      <c r="I2576" s="30" t="str">
        <f>_xlfn.CONCAT(Paper_Reference[[#This Row],[Lvl]:[Paper Description]])</f>
        <v>3J56I8946QM33PFA39 NG D/F L FOUL 59.641X1441101100PFA39-6200SINGING THE CHICAGO BLUES</v>
      </c>
      <c r="J2576" s="30">
        <f>COUNTIF(Paper_Reference[Duplicate Key],Paper_Reference[[#This Row],[Duplicate Key]])</f>
        <v>1</v>
      </c>
    </row>
    <row r="2577" spans="1:10">
      <c r="A2577" s="7">
        <v>3</v>
      </c>
      <c r="B2577" s="8" t="s">
        <v>9539</v>
      </c>
      <c r="C2577" s="8" t="s">
        <v>9284</v>
      </c>
      <c r="D2577" s="7">
        <v>1</v>
      </c>
      <c r="E2577" s="7">
        <v>10</v>
      </c>
      <c r="F2577" s="7">
        <v>1</v>
      </c>
      <c r="G2577" s="8" t="s">
        <v>9143</v>
      </c>
      <c r="H2577" s="8" t="s">
        <v>9144</v>
      </c>
      <c r="I2577" s="30" t="str">
        <f>_xlfn.CONCAT(Paper_Reference[[#This Row],[Lvl]:[Paper Description]])</f>
        <v>3J56I8947QM32PFA39 NG D/F R FOUL 59.641X1441101100PFA39-6200SINGING THE CHICAGO BLUES</v>
      </c>
      <c r="J2577" s="30">
        <f>COUNTIF(Paper_Reference[Duplicate Key],Paper_Reference[[#This Row],[Duplicate Key]])</f>
        <v>1</v>
      </c>
    </row>
    <row r="2578" spans="1:10">
      <c r="A2578" s="7">
        <v>3</v>
      </c>
      <c r="B2578" s="8" t="s">
        <v>9543</v>
      </c>
      <c r="C2578" s="8" t="s">
        <v>9292</v>
      </c>
      <c r="D2578" s="7">
        <v>1</v>
      </c>
      <c r="E2578" s="7">
        <v>10</v>
      </c>
      <c r="F2578" s="7">
        <v>1</v>
      </c>
      <c r="G2578" s="8" t="s">
        <v>9143</v>
      </c>
      <c r="H2578" s="8" t="s">
        <v>9144</v>
      </c>
      <c r="I2578" s="30" t="str">
        <f>_xlfn.CONCAT(Paper_Reference[[#This Row],[Lvl]:[Paper Description]])</f>
        <v>3J56I8948PM35PFA39 NG L ARROW 41.875X1441101100PFA39-6200SINGING THE CHICAGO BLUES</v>
      </c>
      <c r="J2578" s="30">
        <f>COUNTIF(Paper_Reference[Duplicate Key],Paper_Reference[[#This Row],[Duplicate Key]])</f>
        <v>1</v>
      </c>
    </row>
    <row r="2579" spans="1:10">
      <c r="A2579" s="7">
        <v>3</v>
      </c>
      <c r="B2579" s="8" t="s">
        <v>9540</v>
      </c>
      <c r="C2579" s="8" t="s">
        <v>9286</v>
      </c>
      <c r="D2579" s="7">
        <v>1</v>
      </c>
      <c r="E2579" s="7">
        <v>10</v>
      </c>
      <c r="F2579" s="7">
        <v>1</v>
      </c>
      <c r="G2579" s="8" t="s">
        <v>9143</v>
      </c>
      <c r="H2579" s="8" t="s">
        <v>9144</v>
      </c>
      <c r="I2579" s="30" t="str">
        <f>_xlfn.CONCAT(Paper_Reference[[#This Row],[Lvl]:[Paper Description]])</f>
        <v>3J56I8949PM34PFA39 NG R ARROW 41.875X1441101100PFA39-6200SINGING THE CHICAGO BLUES</v>
      </c>
      <c r="J2579" s="30">
        <f>COUNTIF(Paper_Reference[Duplicate Key],Paper_Reference[[#This Row],[Duplicate Key]])</f>
        <v>1</v>
      </c>
    </row>
    <row r="2580" spans="1:10">
      <c r="A2580" s="7">
        <v>3</v>
      </c>
      <c r="B2580" s="8" t="s">
        <v>9617</v>
      </c>
      <c r="C2580" s="8" t="s">
        <v>9396</v>
      </c>
      <c r="D2580" s="7">
        <v>1</v>
      </c>
      <c r="E2580" s="7">
        <v>10</v>
      </c>
      <c r="F2580" s="7">
        <v>0.5</v>
      </c>
      <c r="G2580" s="8" t="s">
        <v>9143</v>
      </c>
      <c r="H2580" s="8" t="s">
        <v>9144</v>
      </c>
      <c r="I2580" s="30" t="str">
        <f>_xlfn.CONCAT(Paper_Reference[[#This Row],[Lvl]:[Paper Description]])</f>
        <v>3J56I8950AM38PFA39 NG N BALL RET 13.87X1441100.5100PFA39-6200SINGING THE CHICAGO BLUES</v>
      </c>
      <c r="J2580" s="30">
        <f>COUNTIF(Paper_Reference[Duplicate Key],Paper_Reference[[#This Row],[Duplicate Key]])</f>
        <v>1</v>
      </c>
    </row>
    <row r="2581" spans="1:10">
      <c r="A2581" s="7">
        <v>3</v>
      </c>
      <c r="B2581" s="8" t="s">
        <v>9618</v>
      </c>
      <c r="C2581" s="8" t="s">
        <v>9398</v>
      </c>
      <c r="D2581" s="7">
        <v>1</v>
      </c>
      <c r="E2581" s="7">
        <v>10</v>
      </c>
      <c r="F2581" s="7">
        <v>1</v>
      </c>
      <c r="G2581" s="8" t="s">
        <v>9143</v>
      </c>
      <c r="H2581" s="8" t="s">
        <v>9144</v>
      </c>
      <c r="I2581" s="30" t="str">
        <f>_xlfn.CONCAT(Paper_Reference[[#This Row],[Lvl]:[Paper Description]])</f>
        <v>3J56I8950ASWGPFA39 NG W/WAY 42 7/8X145 1/41101100PFA39-6200SINGING THE CHICAGO BLUES</v>
      </c>
      <c r="J2581" s="30">
        <f>COUNTIF(Paper_Reference[Duplicate Key],Paper_Reference[[#This Row],[Duplicate Key]])</f>
        <v>1</v>
      </c>
    </row>
    <row r="2582" spans="1:10">
      <c r="A2582" s="7">
        <v>3</v>
      </c>
      <c r="B2582" s="8" t="s">
        <v>9544</v>
      </c>
      <c r="C2582" s="8" t="s">
        <v>9294</v>
      </c>
      <c r="D2582" s="7">
        <v>1</v>
      </c>
      <c r="E2582" s="7">
        <v>10</v>
      </c>
      <c r="F2582" s="7">
        <v>1</v>
      </c>
      <c r="G2582" s="8" t="s">
        <v>9143</v>
      </c>
      <c r="H2582" s="8" t="s">
        <v>9144</v>
      </c>
      <c r="I2582" s="30" t="str">
        <f>_xlfn.CONCAT(Paper_Reference[[#This Row],[Lvl]:[Paper Description]])</f>
        <v>3J56I8950PM61PFA39 NG L COMMON  41.875X1441101100PFA39-6200SINGING THE CHICAGO BLUES</v>
      </c>
      <c r="J2582" s="30">
        <f>COUNTIF(Paper_Reference[Duplicate Key],Paper_Reference[[#This Row],[Duplicate Key]])</f>
        <v>1</v>
      </c>
    </row>
    <row r="2583" spans="1:10">
      <c r="A2583" s="7">
        <v>3</v>
      </c>
      <c r="B2583" s="8" t="s">
        <v>9541</v>
      </c>
      <c r="C2583" s="8" t="s">
        <v>9288</v>
      </c>
      <c r="D2583" s="7">
        <v>1</v>
      </c>
      <c r="E2583" s="7">
        <v>10</v>
      </c>
      <c r="F2583" s="7">
        <v>1</v>
      </c>
      <c r="G2583" s="8" t="s">
        <v>9143</v>
      </c>
      <c r="H2583" s="8" t="s">
        <v>9144</v>
      </c>
      <c r="I2583" s="30" t="str">
        <f>_xlfn.CONCAT(Paper_Reference[[#This Row],[Lvl]:[Paper Description]])</f>
        <v>3J56I8951PM61PFA39 NG R COMMON  41.875X1441101100PFA39-6200SINGING THE CHICAGO BLUES</v>
      </c>
      <c r="J2583" s="30">
        <f>COUNTIF(Paper_Reference[Duplicate Key],Paper_Reference[[#This Row],[Duplicate Key]])</f>
        <v>1</v>
      </c>
    </row>
    <row r="2584" spans="1:10">
      <c r="A2584" s="7">
        <v>3</v>
      </c>
      <c r="B2584" s="8" t="s">
        <v>9545</v>
      </c>
      <c r="C2584" s="8" t="s">
        <v>9296</v>
      </c>
      <c r="D2584" s="7">
        <v>1</v>
      </c>
      <c r="E2584" s="7">
        <v>10</v>
      </c>
      <c r="F2584" s="7">
        <v>0.33329999999999999</v>
      </c>
      <c r="G2584" s="8" t="s">
        <v>9143</v>
      </c>
      <c r="H2584" s="8" t="s">
        <v>9144</v>
      </c>
      <c r="I2584" s="30" t="str">
        <f>_xlfn.CONCAT(Paper_Reference[[#This Row],[Lvl]:[Paper Description]])</f>
        <v>3J56I8952PM37PFA39 NG L SHORT 41.875X47.1251100.3333100PFA39-6200SINGING THE CHICAGO BLUES</v>
      </c>
      <c r="J2584" s="30">
        <f>COUNTIF(Paper_Reference[Duplicate Key],Paper_Reference[[#This Row],[Duplicate Key]])</f>
        <v>1</v>
      </c>
    </row>
    <row r="2585" spans="1:10">
      <c r="A2585" s="7">
        <v>3</v>
      </c>
      <c r="B2585" s="8" t="s">
        <v>9542</v>
      </c>
      <c r="C2585" s="8" t="s">
        <v>9290</v>
      </c>
      <c r="D2585" s="7">
        <v>1</v>
      </c>
      <c r="E2585" s="7">
        <v>10</v>
      </c>
      <c r="F2585" s="7">
        <v>0.33329999999999999</v>
      </c>
      <c r="G2585" s="8" t="s">
        <v>9143</v>
      </c>
      <c r="H2585" s="8" t="s">
        <v>9144</v>
      </c>
      <c r="I2585" s="30" t="str">
        <f>_xlfn.CONCAT(Paper_Reference[[#This Row],[Lvl]:[Paper Description]])</f>
        <v>3J56I8953PM36PFA39 NG R SHORT 41.87 5X47.121100.3333100PFA39-6200SINGING THE CHICAGO BLUES</v>
      </c>
      <c r="J2585" s="30">
        <f>COUNTIF(Paper_Reference[Duplicate Key],Paper_Reference[[#This Row],[Duplicate Key]])</f>
        <v>1</v>
      </c>
    </row>
    <row r="2586" spans="1:10">
      <c r="A2586" s="7">
        <v>3</v>
      </c>
      <c r="B2586" s="8" t="s">
        <v>9118</v>
      </c>
      <c r="C2586" s="8" t="s">
        <v>9062</v>
      </c>
      <c r="D2586" s="7">
        <v>1</v>
      </c>
      <c r="E2586" s="7">
        <v>10</v>
      </c>
      <c r="F2586" s="7">
        <v>1</v>
      </c>
      <c r="G2586" s="8" t="s">
        <v>219</v>
      </c>
      <c r="H2586" s="8" t="s">
        <v>427</v>
      </c>
      <c r="I2586" s="7" t="str">
        <f>_xlfn.CONCAT(Paper_Reference[[#This Row],[Lvl]:[Paper Description]])</f>
        <v>3J56I9350PM86SYN3 R L/O ARROW 41.875 X 1441101100WM321-4300IQ MAPLE LANE RH</v>
      </c>
      <c r="J2586" s="7">
        <f>COUNTIF(Paper_Reference[Duplicate Key],Paper_Reference[[#This Row],[Duplicate Key]])</f>
        <v>1</v>
      </c>
    </row>
    <row r="2587" spans="1:10">
      <c r="A2587" s="7">
        <v>3</v>
      </c>
      <c r="B2587" s="8" t="s">
        <v>9007</v>
      </c>
      <c r="C2587" s="8" t="s">
        <v>8953</v>
      </c>
      <c r="D2587" s="7">
        <v>1</v>
      </c>
      <c r="E2587" s="7">
        <v>10</v>
      </c>
      <c r="F2587" s="7">
        <v>1</v>
      </c>
      <c r="G2587" s="8" t="s">
        <v>218</v>
      </c>
      <c r="H2587" s="8" t="s">
        <v>426</v>
      </c>
      <c r="I2587" s="7" t="str">
        <f>_xlfn.CONCAT(Paper_Reference[[#This Row],[Lvl]:[Paper Description]])</f>
        <v>3J56I9351PM86SYN3 L L/O ARROW 41.875 X 1441101100WM311-4300IQ MAPLE LANE LH</v>
      </c>
      <c r="J2587" s="7">
        <f>COUNTIF(Paper_Reference[Duplicate Key],Paper_Reference[[#This Row],[Duplicate Key]])</f>
        <v>1</v>
      </c>
    </row>
    <row r="2588" spans="1:10">
      <c r="A2588" s="7">
        <v>3</v>
      </c>
      <c r="B2588" s="8" t="s">
        <v>75</v>
      </c>
      <c r="C2588" s="8" t="s">
        <v>76</v>
      </c>
      <c r="D2588" s="7">
        <v>1</v>
      </c>
      <c r="E2588" s="7">
        <v>10</v>
      </c>
      <c r="F2588" s="7">
        <v>1</v>
      </c>
      <c r="G2588" s="8" t="s">
        <v>219</v>
      </c>
      <c r="H2588" s="8" t="s">
        <v>427</v>
      </c>
      <c r="I2588" s="7" t="str">
        <f>_xlfn.CONCAT(Paper_Reference[[#This Row],[Lvl]:[Paper Description]])</f>
        <v>3J56I9360PM85SYN3 R L/O FOUL 41.875 X 1441101100WM321-4300IQ MAPLE LANE RH</v>
      </c>
      <c r="J2588" s="7">
        <f>COUNTIF(Paper_Reference[Duplicate Key],Paper_Reference[[#This Row],[Duplicate Key]])</f>
        <v>1</v>
      </c>
    </row>
    <row r="2589" spans="1:10">
      <c r="A2589" s="7">
        <v>3</v>
      </c>
      <c r="B2589" s="8" t="s">
        <v>72</v>
      </c>
      <c r="C2589" s="8" t="s">
        <v>73</v>
      </c>
      <c r="D2589" s="7">
        <v>1</v>
      </c>
      <c r="E2589" s="7">
        <v>10</v>
      </c>
      <c r="F2589" s="7">
        <v>1</v>
      </c>
      <c r="G2589" s="8" t="s">
        <v>218</v>
      </c>
      <c r="H2589" s="8" t="s">
        <v>426</v>
      </c>
      <c r="I2589" s="7" t="str">
        <f>_xlfn.CONCAT(Paper_Reference[[#This Row],[Lvl]:[Paper Description]])</f>
        <v>3J56I9361PM85SYN3 L L/O FOUL 41.875 X 1441101100WM311-4300IQ MAPLE LANE LH</v>
      </c>
      <c r="J2589" s="7">
        <f>COUNTIF(Paper_Reference[Duplicate Key],Paper_Reference[[#This Row],[Duplicate Key]])</f>
        <v>1</v>
      </c>
    </row>
    <row r="2590" spans="1:10">
      <c r="A2590" s="7">
        <v>2</v>
      </c>
      <c r="B2590" s="8" t="s">
        <v>9108</v>
      </c>
      <c r="C2590" s="8" t="s">
        <v>9052</v>
      </c>
      <c r="D2590" s="7">
        <v>1</v>
      </c>
      <c r="E2590" s="7">
        <v>10</v>
      </c>
      <c r="F2590" s="7">
        <v>1</v>
      </c>
      <c r="G2590" s="8" t="s">
        <v>219</v>
      </c>
      <c r="H2590" s="8" t="s">
        <v>427</v>
      </c>
      <c r="I2590" s="7" t="str">
        <f>_xlfn.CONCAT(Paper_Reference[[#This Row],[Lvl]:[Paper Description]])</f>
        <v>2J56RB046PM61SOCHI 1D R COMMON 41.875 X 1441101100WM321-4300IQ MAPLE LANE RH</v>
      </c>
      <c r="J2590" s="7">
        <f>COUNTIF(Paper_Reference[Duplicate Key],Paper_Reference[[#This Row],[Duplicate Key]])</f>
        <v>1</v>
      </c>
    </row>
    <row r="2591" spans="1:10">
      <c r="A2591" s="7">
        <v>2</v>
      </c>
      <c r="B2591" s="8" t="s">
        <v>8997</v>
      </c>
      <c r="C2591" s="8" t="s">
        <v>8943</v>
      </c>
      <c r="D2591" s="7">
        <v>1</v>
      </c>
      <c r="E2591" s="7">
        <v>10</v>
      </c>
      <c r="F2591" s="7">
        <v>1</v>
      </c>
      <c r="G2591" s="8" t="s">
        <v>218</v>
      </c>
      <c r="H2591" s="8" t="s">
        <v>426</v>
      </c>
      <c r="I2591" s="7" t="str">
        <f>_xlfn.CONCAT(Paper_Reference[[#This Row],[Lvl]:[Paper Description]])</f>
        <v>2J56RB047PM61SOCHI 2D L COMMON 41.875 X 1441101100WM311-4300IQ MAPLE LANE LH</v>
      </c>
      <c r="J2591" s="7">
        <f>COUNTIF(Paper_Reference[Duplicate Key],Paper_Reference[[#This Row],[Duplicate Key]])</f>
        <v>1</v>
      </c>
    </row>
    <row r="2592" spans="1:10">
      <c r="A2592" s="7">
        <v>2</v>
      </c>
      <c r="B2592" s="8" t="s">
        <v>9107</v>
      </c>
      <c r="C2592" s="8" t="s">
        <v>9051</v>
      </c>
      <c r="D2592" s="7">
        <v>1</v>
      </c>
      <c r="E2592" s="7">
        <v>10</v>
      </c>
      <c r="F2592" s="7">
        <v>1</v>
      </c>
      <c r="G2592" s="8" t="s">
        <v>219</v>
      </c>
      <c r="H2592" s="8" t="s">
        <v>427</v>
      </c>
      <c r="I2592" s="7" t="str">
        <f>_xlfn.CONCAT(Paper_Reference[[#This Row],[Lvl]:[Paper Description]])</f>
        <v>2J56RB048PM61SOCHI 1E R COMMON 41.875 X 1441101100WM321-4300IQ MAPLE LANE RH</v>
      </c>
      <c r="J2592" s="7">
        <f>COUNTIF(Paper_Reference[Duplicate Key],Paper_Reference[[#This Row],[Duplicate Key]])</f>
        <v>1</v>
      </c>
    </row>
    <row r="2593" spans="1:10">
      <c r="A2593" s="7">
        <v>2</v>
      </c>
      <c r="B2593" s="8" t="s">
        <v>8996</v>
      </c>
      <c r="C2593" s="8" t="s">
        <v>8942</v>
      </c>
      <c r="D2593" s="7">
        <v>1</v>
      </c>
      <c r="E2593" s="7">
        <v>10</v>
      </c>
      <c r="F2593" s="7">
        <v>1</v>
      </c>
      <c r="G2593" s="8" t="s">
        <v>218</v>
      </c>
      <c r="H2593" s="8" t="s">
        <v>426</v>
      </c>
      <c r="I2593" s="7" t="str">
        <f>_xlfn.CONCAT(Paper_Reference[[#This Row],[Lvl]:[Paper Description]])</f>
        <v>2J56RB049PM61SOCHI 2E L COMMON 41.875 X 1441101100WM311-4300IQ MAPLE LANE LH</v>
      </c>
      <c r="J2593" s="7">
        <f>COUNTIF(Paper_Reference[Duplicate Key],Paper_Reference[[#This Row],[Duplicate Key]])</f>
        <v>1</v>
      </c>
    </row>
    <row r="2594" spans="1:10">
      <c r="A2594" s="7">
        <v>2</v>
      </c>
      <c r="B2594" s="8" t="s">
        <v>9106</v>
      </c>
      <c r="C2594" s="8" t="s">
        <v>9050</v>
      </c>
      <c r="D2594" s="7">
        <v>1</v>
      </c>
      <c r="E2594" s="7">
        <v>10</v>
      </c>
      <c r="F2594" s="7">
        <v>1</v>
      </c>
      <c r="G2594" s="8" t="s">
        <v>219</v>
      </c>
      <c r="H2594" s="8" t="s">
        <v>427</v>
      </c>
      <c r="I2594" s="7" t="str">
        <f>_xlfn.CONCAT(Paper_Reference[[#This Row],[Lvl]:[Paper Description]])</f>
        <v>2J56RB050PM61SOCHI 1F R COMMON 41.875 X 1441101100WM321-4300IQ MAPLE LANE RH</v>
      </c>
      <c r="J2594" s="7">
        <f>COUNTIF(Paper_Reference[Duplicate Key],Paper_Reference[[#This Row],[Duplicate Key]])</f>
        <v>1</v>
      </c>
    </row>
    <row r="2595" spans="1:10">
      <c r="A2595" s="7">
        <v>2</v>
      </c>
      <c r="B2595" s="8" t="s">
        <v>8995</v>
      </c>
      <c r="C2595" s="8" t="s">
        <v>8941</v>
      </c>
      <c r="D2595" s="7">
        <v>1</v>
      </c>
      <c r="E2595" s="7">
        <v>10</v>
      </c>
      <c r="F2595" s="7">
        <v>1</v>
      </c>
      <c r="G2595" s="8" t="s">
        <v>218</v>
      </c>
      <c r="H2595" s="8" t="s">
        <v>426</v>
      </c>
      <c r="I2595" s="7" t="str">
        <f>_xlfn.CONCAT(Paper_Reference[[#This Row],[Lvl]:[Paper Description]])</f>
        <v>2J56RB051PM61SOCHI 2F L COMMON 41.875 X 1441101100WM311-4300IQ MAPLE LANE LH</v>
      </c>
      <c r="J2595" s="7">
        <f>COUNTIF(Paper_Reference[Duplicate Key],Paper_Reference[[#This Row],[Duplicate Key]])</f>
        <v>1</v>
      </c>
    </row>
    <row r="2596" spans="1:10">
      <c r="A2596" s="7">
        <v>2</v>
      </c>
      <c r="B2596" s="8" t="s">
        <v>9105</v>
      </c>
      <c r="C2596" s="8" t="s">
        <v>9049</v>
      </c>
      <c r="D2596" s="7">
        <v>1</v>
      </c>
      <c r="E2596" s="7">
        <v>10</v>
      </c>
      <c r="F2596" s="7">
        <v>0.33329999999999999</v>
      </c>
      <c r="G2596" s="8" t="s">
        <v>219</v>
      </c>
      <c r="H2596" s="8" t="s">
        <v>427</v>
      </c>
      <c r="I2596" s="7" t="str">
        <f>_xlfn.CONCAT(Paper_Reference[[#This Row],[Lvl]:[Paper Description]])</f>
        <v>2J56RB052PM36SOCHI 1G R SHORT 41.875X47.1251100.3333100WM321-4300IQ MAPLE LANE RH</v>
      </c>
      <c r="J2596" s="7">
        <f>COUNTIF(Paper_Reference[Duplicate Key],Paper_Reference[[#This Row],[Duplicate Key]])</f>
        <v>1</v>
      </c>
    </row>
    <row r="2597" spans="1:10">
      <c r="A2597" s="7">
        <v>2</v>
      </c>
      <c r="B2597" s="8" t="s">
        <v>8994</v>
      </c>
      <c r="C2597" s="8" t="s">
        <v>8940</v>
      </c>
      <c r="D2597" s="7">
        <v>1</v>
      </c>
      <c r="E2597" s="7">
        <v>10</v>
      </c>
      <c r="F2597" s="7">
        <v>0.33329999999999999</v>
      </c>
      <c r="G2597" s="8" t="s">
        <v>218</v>
      </c>
      <c r="H2597" s="8" t="s">
        <v>426</v>
      </c>
      <c r="I2597" s="7" t="str">
        <f>_xlfn.CONCAT(Paper_Reference[[#This Row],[Lvl]:[Paper Description]])</f>
        <v>2J56RB053PM37SOCHI 2G L SHORT 41.875X47.1251100.3333100WM311-4300IQ MAPLE LANE LH</v>
      </c>
      <c r="J2597" s="7">
        <f>COUNTIF(Paper_Reference[Duplicate Key],Paper_Reference[[#This Row],[Duplicate Key]])</f>
        <v>1</v>
      </c>
    </row>
    <row r="2598" spans="1:10">
      <c r="A2598" s="7">
        <v>2</v>
      </c>
      <c r="B2598" s="8" t="s">
        <v>9113</v>
      </c>
      <c r="C2598" s="8" t="s">
        <v>9057</v>
      </c>
      <c r="D2598" s="7">
        <v>1</v>
      </c>
      <c r="E2598" s="7">
        <v>10</v>
      </c>
      <c r="F2598" s="7">
        <v>1</v>
      </c>
      <c r="G2598" s="8" t="s">
        <v>219</v>
      </c>
      <c r="H2598" s="8" t="s">
        <v>427</v>
      </c>
      <c r="I2598" s="7" t="str">
        <f>_xlfn.CONCAT(Paper_Reference[[#This Row],[Lvl]:[Paper Description]])</f>
        <v>2J56RB062PM61STREZ 1D R COMMON 41.875X1441101100WM321-4300IQ MAPLE LANE RH</v>
      </c>
      <c r="J2598" s="7">
        <f>COUNTIF(Paper_Reference[Duplicate Key],Paper_Reference[[#This Row],[Duplicate Key]])</f>
        <v>1</v>
      </c>
    </row>
    <row r="2599" spans="1:10">
      <c r="A2599" s="7">
        <v>2</v>
      </c>
      <c r="B2599" s="8" t="s">
        <v>9002</v>
      </c>
      <c r="C2599" s="8" t="s">
        <v>8948</v>
      </c>
      <c r="D2599" s="7">
        <v>1</v>
      </c>
      <c r="E2599" s="7">
        <v>10</v>
      </c>
      <c r="F2599" s="7">
        <v>1</v>
      </c>
      <c r="G2599" s="8" t="s">
        <v>218</v>
      </c>
      <c r="H2599" s="8" t="s">
        <v>426</v>
      </c>
      <c r="I2599" s="7" t="str">
        <f>_xlfn.CONCAT(Paper_Reference[[#This Row],[Lvl]:[Paper Description]])</f>
        <v>2J56RB063PM61STREZ 2D L COMMON 41.875 X 1441101100WM311-4300IQ MAPLE LANE LH</v>
      </c>
      <c r="J2599" s="7">
        <f>COUNTIF(Paper_Reference[Duplicate Key],Paper_Reference[[#This Row],[Duplicate Key]])</f>
        <v>1</v>
      </c>
    </row>
    <row r="2600" spans="1:10">
      <c r="A2600" s="7">
        <v>2</v>
      </c>
      <c r="B2600" s="8" t="s">
        <v>9112</v>
      </c>
      <c r="C2600" s="8" t="s">
        <v>9056</v>
      </c>
      <c r="D2600" s="7">
        <v>1</v>
      </c>
      <c r="E2600" s="7">
        <v>10</v>
      </c>
      <c r="F2600" s="7">
        <v>1</v>
      </c>
      <c r="G2600" s="8" t="s">
        <v>219</v>
      </c>
      <c r="H2600" s="8" t="s">
        <v>427</v>
      </c>
      <c r="I2600" s="7" t="str">
        <f>_xlfn.CONCAT(Paper_Reference[[#This Row],[Lvl]:[Paper Description]])</f>
        <v>2J56RB064PM61STREZ 1E R COMMON 41.875 X 1441101100WM321-4300IQ MAPLE LANE RH</v>
      </c>
      <c r="J2600" s="7">
        <f>COUNTIF(Paper_Reference[Duplicate Key],Paper_Reference[[#This Row],[Duplicate Key]])</f>
        <v>1</v>
      </c>
    </row>
    <row r="2601" spans="1:10">
      <c r="A2601" s="7">
        <v>2</v>
      </c>
      <c r="B2601" s="8" t="s">
        <v>9001</v>
      </c>
      <c r="C2601" s="8" t="s">
        <v>8947</v>
      </c>
      <c r="D2601" s="7">
        <v>1</v>
      </c>
      <c r="E2601" s="7">
        <v>10</v>
      </c>
      <c r="F2601" s="7">
        <v>1</v>
      </c>
      <c r="G2601" s="8" t="s">
        <v>218</v>
      </c>
      <c r="H2601" s="8" t="s">
        <v>426</v>
      </c>
      <c r="I2601" s="7" t="str">
        <f>_xlfn.CONCAT(Paper_Reference[[#This Row],[Lvl]:[Paper Description]])</f>
        <v>2J56RB065PM61STREZ 2E L COMMON 41.875 X 1441101100WM311-4300IQ MAPLE LANE LH</v>
      </c>
      <c r="J2601" s="7">
        <f>COUNTIF(Paper_Reference[Duplicate Key],Paper_Reference[[#This Row],[Duplicate Key]])</f>
        <v>1</v>
      </c>
    </row>
    <row r="2602" spans="1:10">
      <c r="A2602" s="7">
        <v>2</v>
      </c>
      <c r="B2602" s="8" t="s">
        <v>9111</v>
      </c>
      <c r="C2602" s="8" t="s">
        <v>9055</v>
      </c>
      <c r="D2602" s="7">
        <v>1</v>
      </c>
      <c r="E2602" s="7">
        <v>10</v>
      </c>
      <c r="F2602" s="7">
        <v>1</v>
      </c>
      <c r="G2602" s="8" t="s">
        <v>219</v>
      </c>
      <c r="H2602" s="8" t="s">
        <v>427</v>
      </c>
      <c r="I2602" s="7" t="str">
        <f>_xlfn.CONCAT(Paper_Reference[[#This Row],[Lvl]:[Paper Description]])</f>
        <v>2J56RB066PM61STREZ 1F R COMMON 41.875 X 1441101100WM321-4300IQ MAPLE LANE RH</v>
      </c>
      <c r="J2602" s="7">
        <f>COUNTIF(Paper_Reference[Duplicate Key],Paper_Reference[[#This Row],[Duplicate Key]])</f>
        <v>1</v>
      </c>
    </row>
    <row r="2603" spans="1:10">
      <c r="A2603" s="7">
        <v>2</v>
      </c>
      <c r="B2603" s="8" t="s">
        <v>9000</v>
      </c>
      <c r="C2603" s="8" t="s">
        <v>8946</v>
      </c>
      <c r="D2603" s="7">
        <v>1</v>
      </c>
      <c r="E2603" s="7">
        <v>10</v>
      </c>
      <c r="F2603" s="7">
        <v>1</v>
      </c>
      <c r="G2603" s="8" t="s">
        <v>218</v>
      </c>
      <c r="H2603" s="8" t="s">
        <v>426</v>
      </c>
      <c r="I2603" s="7" t="str">
        <f>_xlfn.CONCAT(Paper_Reference[[#This Row],[Lvl]:[Paper Description]])</f>
        <v>2J56RB067PM61STREZ 2F L COMMON 41.875 X 1441101100WM311-4300IQ MAPLE LANE LH</v>
      </c>
      <c r="J2603" s="7">
        <f>COUNTIF(Paper_Reference[Duplicate Key],Paper_Reference[[#This Row],[Duplicate Key]])</f>
        <v>1</v>
      </c>
    </row>
    <row r="2604" spans="1:10">
      <c r="A2604" s="7">
        <v>2</v>
      </c>
      <c r="B2604" s="8" t="s">
        <v>9110</v>
      </c>
      <c r="C2604" s="8" t="s">
        <v>9054</v>
      </c>
      <c r="D2604" s="7">
        <v>1</v>
      </c>
      <c r="E2604" s="7">
        <v>10</v>
      </c>
      <c r="F2604" s="7">
        <v>0.33329999999999999</v>
      </c>
      <c r="G2604" s="8" t="s">
        <v>219</v>
      </c>
      <c r="H2604" s="8" t="s">
        <v>427</v>
      </c>
      <c r="I2604" s="7" t="str">
        <f>_xlfn.CONCAT(Paper_Reference[[#This Row],[Lvl]:[Paper Description]])</f>
        <v>2J56RB068PM36STREZ 1G R SHORT 41.875X47.1251100.3333100WM321-4300IQ MAPLE LANE RH</v>
      </c>
      <c r="J2604" s="7">
        <f>COUNTIF(Paper_Reference[Duplicate Key],Paper_Reference[[#This Row],[Duplicate Key]])</f>
        <v>1</v>
      </c>
    </row>
    <row r="2605" spans="1:10">
      <c r="A2605" s="7">
        <v>2</v>
      </c>
      <c r="B2605" s="8" t="s">
        <v>8999</v>
      </c>
      <c r="C2605" s="8" t="s">
        <v>8945</v>
      </c>
      <c r="D2605" s="7">
        <v>1</v>
      </c>
      <c r="E2605" s="7">
        <v>10</v>
      </c>
      <c r="F2605" s="7">
        <v>0.33329999999999999</v>
      </c>
      <c r="G2605" s="8" t="s">
        <v>218</v>
      </c>
      <c r="H2605" s="8" t="s">
        <v>426</v>
      </c>
      <c r="I2605" s="7" t="str">
        <f>_xlfn.CONCAT(Paper_Reference[[#This Row],[Lvl]:[Paper Description]])</f>
        <v>2J56RB069PM37STREZ 2G L SHORT 41.875X47.1251100.3333100WM311-4300IQ MAPLE LANE LH</v>
      </c>
      <c r="J2605" s="7">
        <f>COUNTIF(Paper_Reference[Duplicate Key],Paper_Reference[[#This Row],[Duplicate Key]])</f>
        <v>1</v>
      </c>
    </row>
    <row r="2606" spans="1:10">
      <c r="A2606" s="7">
        <v>2</v>
      </c>
      <c r="B2606" s="8" t="s">
        <v>9139</v>
      </c>
      <c r="C2606" s="8" t="s">
        <v>9083</v>
      </c>
      <c r="D2606" s="7">
        <v>1</v>
      </c>
      <c r="E2606" s="7">
        <v>10</v>
      </c>
      <c r="F2606" s="7">
        <v>1</v>
      </c>
      <c r="G2606" s="8" t="s">
        <v>219</v>
      </c>
      <c r="H2606" s="8" t="s">
        <v>427</v>
      </c>
      <c r="I2606" s="7" t="str">
        <f>_xlfn.CONCAT(Paper_Reference[[#This Row],[Lvl]:[Paper Description]])</f>
        <v>2J56RB080PM61YAKU 1D R COMMON 41.875X1441101100WM321-4300IQ MAPLE LANE RH</v>
      </c>
      <c r="J2606" s="7">
        <f>COUNTIF(Paper_Reference[Duplicate Key],Paper_Reference[[#This Row],[Duplicate Key]])</f>
        <v>1</v>
      </c>
    </row>
    <row r="2607" spans="1:10">
      <c r="A2607" s="7">
        <v>2</v>
      </c>
      <c r="B2607" s="8" t="s">
        <v>9028</v>
      </c>
      <c r="C2607" s="8" t="s">
        <v>8974</v>
      </c>
      <c r="D2607" s="7">
        <v>1</v>
      </c>
      <c r="E2607" s="7">
        <v>10</v>
      </c>
      <c r="F2607" s="7">
        <v>1</v>
      </c>
      <c r="G2607" s="8" t="s">
        <v>218</v>
      </c>
      <c r="H2607" s="8" t="s">
        <v>426</v>
      </c>
      <c r="I2607" s="7" t="str">
        <f>_xlfn.CONCAT(Paper_Reference[[#This Row],[Lvl]:[Paper Description]])</f>
        <v>2J56RB081PM61YAKU 2D L COMMON 41.875 X 1441101100WM311-4300IQ MAPLE LANE LH</v>
      </c>
      <c r="J2607" s="7">
        <f>COUNTIF(Paper_Reference[Duplicate Key],Paper_Reference[[#This Row],[Duplicate Key]])</f>
        <v>1</v>
      </c>
    </row>
    <row r="2608" spans="1:10">
      <c r="A2608" s="7">
        <v>2</v>
      </c>
      <c r="B2608" s="8" t="s">
        <v>9138</v>
      </c>
      <c r="C2608" s="8" t="s">
        <v>9082</v>
      </c>
      <c r="D2608" s="7">
        <v>1</v>
      </c>
      <c r="E2608" s="7">
        <v>10</v>
      </c>
      <c r="F2608" s="7">
        <v>1</v>
      </c>
      <c r="G2608" s="8" t="s">
        <v>219</v>
      </c>
      <c r="H2608" s="8" t="s">
        <v>427</v>
      </c>
      <c r="I2608" s="7" t="str">
        <f>_xlfn.CONCAT(Paper_Reference[[#This Row],[Lvl]:[Paper Description]])</f>
        <v>2J56RB082PM61YAKU 1E R COMMON 41.875 X 1441101100WM321-4300IQ MAPLE LANE RH</v>
      </c>
      <c r="J2608" s="7">
        <f>COUNTIF(Paper_Reference[Duplicate Key],Paper_Reference[[#This Row],[Duplicate Key]])</f>
        <v>1</v>
      </c>
    </row>
    <row r="2609" spans="1:10">
      <c r="A2609" s="7">
        <v>2</v>
      </c>
      <c r="B2609" s="8" t="s">
        <v>9027</v>
      </c>
      <c r="C2609" s="8" t="s">
        <v>8973</v>
      </c>
      <c r="D2609" s="7">
        <v>1</v>
      </c>
      <c r="E2609" s="7">
        <v>10</v>
      </c>
      <c r="F2609" s="7">
        <v>1</v>
      </c>
      <c r="G2609" s="8" t="s">
        <v>218</v>
      </c>
      <c r="H2609" s="8" t="s">
        <v>426</v>
      </c>
      <c r="I2609" s="7" t="str">
        <f>_xlfn.CONCAT(Paper_Reference[[#This Row],[Lvl]:[Paper Description]])</f>
        <v>2J56RB083PM61YAKU 2E L COMMON 41.875 X 1441101100WM311-4300IQ MAPLE LANE LH</v>
      </c>
      <c r="J2609" s="7">
        <f>COUNTIF(Paper_Reference[Duplicate Key],Paper_Reference[[#This Row],[Duplicate Key]])</f>
        <v>1</v>
      </c>
    </row>
    <row r="2610" spans="1:10">
      <c r="A2610" s="7">
        <v>2</v>
      </c>
      <c r="B2610" s="8" t="s">
        <v>9137</v>
      </c>
      <c r="C2610" s="8" t="s">
        <v>9081</v>
      </c>
      <c r="D2610" s="7">
        <v>1</v>
      </c>
      <c r="E2610" s="7">
        <v>10</v>
      </c>
      <c r="F2610" s="7">
        <v>1</v>
      </c>
      <c r="G2610" s="8" t="s">
        <v>219</v>
      </c>
      <c r="H2610" s="8" t="s">
        <v>427</v>
      </c>
      <c r="I2610" s="7" t="str">
        <f>_xlfn.CONCAT(Paper_Reference[[#This Row],[Lvl]:[Paper Description]])</f>
        <v>2J56RB084PM61YAKU 1F R COMMON 41.875 X 1441101100WM321-4300IQ MAPLE LANE RH</v>
      </c>
      <c r="J2610" s="7">
        <f>COUNTIF(Paper_Reference[Duplicate Key],Paper_Reference[[#This Row],[Duplicate Key]])</f>
        <v>1</v>
      </c>
    </row>
    <row r="2611" spans="1:10">
      <c r="A2611" s="7">
        <v>2</v>
      </c>
      <c r="B2611" s="8" t="s">
        <v>9026</v>
      </c>
      <c r="C2611" s="8" t="s">
        <v>8972</v>
      </c>
      <c r="D2611" s="7">
        <v>1</v>
      </c>
      <c r="E2611" s="7">
        <v>10</v>
      </c>
      <c r="F2611" s="7">
        <v>1</v>
      </c>
      <c r="G2611" s="8" t="s">
        <v>218</v>
      </c>
      <c r="H2611" s="8" t="s">
        <v>426</v>
      </c>
      <c r="I2611" s="7" t="str">
        <f>_xlfn.CONCAT(Paper_Reference[[#This Row],[Lvl]:[Paper Description]])</f>
        <v>2J56RB085PM61YAKU 2F L COMMON 41.875 X 1441101100WM311-4300IQ MAPLE LANE LH</v>
      </c>
      <c r="J2611" s="7">
        <f>COUNTIF(Paper_Reference[Duplicate Key],Paper_Reference[[#This Row],[Duplicate Key]])</f>
        <v>1</v>
      </c>
    </row>
    <row r="2612" spans="1:10">
      <c r="A2612" s="7">
        <v>2</v>
      </c>
      <c r="B2612" s="8" t="s">
        <v>9136</v>
      </c>
      <c r="C2612" s="8" t="s">
        <v>9080</v>
      </c>
      <c r="D2612" s="7">
        <v>1</v>
      </c>
      <c r="E2612" s="7">
        <v>10</v>
      </c>
      <c r="F2612" s="7">
        <v>0.33329999999999999</v>
      </c>
      <c r="G2612" s="8" t="s">
        <v>219</v>
      </c>
      <c r="H2612" s="8" t="s">
        <v>427</v>
      </c>
      <c r="I2612" s="7" t="str">
        <f>_xlfn.CONCAT(Paper_Reference[[#This Row],[Lvl]:[Paper Description]])</f>
        <v>2J56RB086PM36YAKU 1G R SHORT 41.875X47.1251100.3333100WM321-4300IQ MAPLE LANE RH</v>
      </c>
      <c r="J2612" s="7">
        <f>COUNTIF(Paper_Reference[Duplicate Key],Paper_Reference[[#This Row],[Duplicate Key]])</f>
        <v>1</v>
      </c>
    </row>
    <row r="2613" spans="1:10">
      <c r="A2613" s="7">
        <v>2</v>
      </c>
      <c r="B2613" s="8" t="s">
        <v>9025</v>
      </c>
      <c r="C2613" s="8" t="s">
        <v>8971</v>
      </c>
      <c r="D2613" s="7">
        <v>1</v>
      </c>
      <c r="E2613" s="7">
        <v>10</v>
      </c>
      <c r="F2613" s="7">
        <v>0.33329999999999999</v>
      </c>
      <c r="G2613" s="8" t="s">
        <v>218</v>
      </c>
      <c r="H2613" s="8" t="s">
        <v>426</v>
      </c>
      <c r="I2613" s="7" t="str">
        <f>_xlfn.CONCAT(Paper_Reference[[#This Row],[Lvl]:[Paper Description]])</f>
        <v>2J56RB087PM37YAKU 2G L SHORT 41.875X47.1251100.3333100WM311-4300IQ MAPLE LANE LH</v>
      </c>
      <c r="J2613" s="7">
        <f>COUNTIF(Paper_Reference[Duplicate Key],Paper_Reference[[#This Row],[Duplicate Key]])</f>
        <v>1</v>
      </c>
    </row>
    <row r="2614" spans="1:10">
      <c r="A2614" s="7">
        <v>3</v>
      </c>
      <c r="B2614" s="8" t="s">
        <v>8992</v>
      </c>
      <c r="C2614" s="8" t="s">
        <v>8938</v>
      </c>
      <c r="D2614" s="7">
        <v>1</v>
      </c>
      <c r="E2614" s="7">
        <v>10</v>
      </c>
      <c r="F2614" s="7">
        <v>1</v>
      </c>
      <c r="G2614" s="8" t="s">
        <v>218</v>
      </c>
      <c r="H2614" s="8" t="s">
        <v>426</v>
      </c>
      <c r="I2614" s="7" t="str">
        <f>_xlfn.CONCAT(Paper_Reference[[#This Row],[Lvl]:[Paper Description]])</f>
        <v>3J56RB180PM35OCEAN 1C L/ARROW  41.875X1441101100WM311-4300IQ MAPLE LANE LH</v>
      </c>
      <c r="J2614" s="7">
        <f>COUNTIF(Paper_Reference[Duplicate Key],Paper_Reference[[#This Row],[Duplicate Key]])</f>
        <v>1</v>
      </c>
    </row>
    <row r="2615" spans="1:10">
      <c r="A2615" s="7">
        <v>3</v>
      </c>
      <c r="B2615" s="8" t="s">
        <v>9104</v>
      </c>
      <c r="C2615" s="8" t="s">
        <v>9048</v>
      </c>
      <c r="D2615" s="7">
        <v>1</v>
      </c>
      <c r="E2615" s="7">
        <v>10</v>
      </c>
      <c r="F2615" s="7">
        <v>1</v>
      </c>
      <c r="G2615" s="8" t="s">
        <v>219</v>
      </c>
      <c r="H2615" s="8" t="s">
        <v>427</v>
      </c>
      <c r="I2615" s="7" t="str">
        <f>_xlfn.CONCAT(Paper_Reference[[#This Row],[Lvl]:[Paper Description]])</f>
        <v>3J56RB181PM34OCEAN 2C R/ARROW  41.875X1441101100WM321-4300IQ MAPLE LANE RH</v>
      </c>
      <c r="J2615" s="7">
        <f>COUNTIF(Paper_Reference[Duplicate Key],Paper_Reference[[#This Row],[Duplicate Key]])</f>
        <v>1</v>
      </c>
    </row>
    <row r="2616" spans="1:10">
      <c r="A2616" s="7">
        <v>2</v>
      </c>
      <c r="B2616" s="8" t="s">
        <v>8989</v>
      </c>
      <c r="C2616" s="8" t="s">
        <v>8935</v>
      </c>
      <c r="D2616" s="7">
        <v>1</v>
      </c>
      <c r="E2616" s="7">
        <v>10</v>
      </c>
      <c r="F2616" s="7">
        <v>1</v>
      </c>
      <c r="G2616" s="8" t="s">
        <v>218</v>
      </c>
      <c r="H2616" s="8" t="s">
        <v>426</v>
      </c>
      <c r="I2616" s="7" t="str">
        <f>_xlfn.CONCAT(Paper_Reference[[#This Row],[Lvl]:[Paper Description]])</f>
        <v>2J56RB182PM61OCEAN 1D  L COMMON 41.875 X 141101100WM311-4300IQ MAPLE LANE LH</v>
      </c>
      <c r="J2616" s="7">
        <f>COUNTIF(Paper_Reference[Duplicate Key],Paper_Reference[[#This Row],[Duplicate Key]])</f>
        <v>1</v>
      </c>
    </row>
    <row r="2617" spans="1:10">
      <c r="A2617" s="7">
        <v>2</v>
      </c>
      <c r="B2617" s="8" t="s">
        <v>9100</v>
      </c>
      <c r="C2617" s="8" t="s">
        <v>9044</v>
      </c>
      <c r="D2617" s="7">
        <v>1</v>
      </c>
      <c r="E2617" s="7">
        <v>10</v>
      </c>
      <c r="F2617" s="7">
        <v>1</v>
      </c>
      <c r="G2617" s="8" t="s">
        <v>219</v>
      </c>
      <c r="H2617" s="8" t="s">
        <v>427</v>
      </c>
      <c r="I2617" s="7" t="str">
        <f>_xlfn.CONCAT(Paper_Reference[[#This Row],[Lvl]:[Paper Description]])</f>
        <v>2J56RB183PM61OCEAN 2D R COMMON 41.875 X 1441101100WM321-4300IQ MAPLE LANE RH</v>
      </c>
      <c r="J2617" s="7">
        <f>COUNTIF(Paper_Reference[Duplicate Key],Paper_Reference[[#This Row],[Duplicate Key]])</f>
        <v>1</v>
      </c>
    </row>
    <row r="2618" spans="1:10">
      <c r="A2618" s="7">
        <v>2</v>
      </c>
      <c r="B2618" s="8" t="s">
        <v>8990</v>
      </c>
      <c r="C2618" s="8" t="s">
        <v>8936</v>
      </c>
      <c r="D2618" s="7">
        <v>1</v>
      </c>
      <c r="E2618" s="7">
        <v>10</v>
      </c>
      <c r="F2618" s="7">
        <v>1</v>
      </c>
      <c r="G2618" s="8" t="s">
        <v>218</v>
      </c>
      <c r="H2618" s="8" t="s">
        <v>426</v>
      </c>
      <c r="I2618" s="7" t="str">
        <f>_xlfn.CONCAT(Paper_Reference[[#This Row],[Lvl]:[Paper Description]])</f>
        <v>2J56RB184PM61OCEAN 1E  L COMMON 41.875 X 141101100WM311-4300IQ MAPLE LANE LH</v>
      </c>
      <c r="J2618" s="7">
        <f>COUNTIF(Paper_Reference[Duplicate Key],Paper_Reference[[#This Row],[Duplicate Key]])</f>
        <v>1</v>
      </c>
    </row>
    <row r="2619" spans="1:10">
      <c r="A2619" s="7">
        <v>2</v>
      </c>
      <c r="B2619" s="8" t="s">
        <v>9101</v>
      </c>
      <c r="C2619" s="8" t="s">
        <v>9045</v>
      </c>
      <c r="D2619" s="7">
        <v>1</v>
      </c>
      <c r="E2619" s="7">
        <v>10</v>
      </c>
      <c r="F2619" s="7">
        <v>1</v>
      </c>
      <c r="G2619" s="8" t="s">
        <v>219</v>
      </c>
      <c r="H2619" s="8" t="s">
        <v>427</v>
      </c>
      <c r="I2619" s="7" t="str">
        <f>_xlfn.CONCAT(Paper_Reference[[#This Row],[Lvl]:[Paper Description]])</f>
        <v>2J56RB185PM61OCEAN 2E R COMMON 41.875 X 1441101100WM321-4300IQ MAPLE LANE RH</v>
      </c>
      <c r="J2619" s="7">
        <f>COUNTIF(Paper_Reference[Duplicate Key],Paper_Reference[[#This Row],[Duplicate Key]])</f>
        <v>1</v>
      </c>
    </row>
    <row r="2620" spans="1:10">
      <c r="A2620" s="7">
        <v>2</v>
      </c>
      <c r="B2620" s="8" t="s">
        <v>8991</v>
      </c>
      <c r="C2620" s="8" t="s">
        <v>8937</v>
      </c>
      <c r="D2620" s="7">
        <v>1</v>
      </c>
      <c r="E2620" s="7">
        <v>10</v>
      </c>
      <c r="F2620" s="7">
        <v>1</v>
      </c>
      <c r="G2620" s="8" t="s">
        <v>218</v>
      </c>
      <c r="H2620" s="8" t="s">
        <v>426</v>
      </c>
      <c r="I2620" s="7" t="str">
        <f>_xlfn.CONCAT(Paper_Reference[[#This Row],[Lvl]:[Paper Description]])</f>
        <v>2J56RB186PM61OCEAN 1F  L COMMON 41.875 X 141101100WM311-4300IQ MAPLE LANE LH</v>
      </c>
      <c r="J2620" s="7">
        <f>COUNTIF(Paper_Reference[Duplicate Key],Paper_Reference[[#This Row],[Duplicate Key]])</f>
        <v>1</v>
      </c>
    </row>
    <row r="2621" spans="1:10">
      <c r="A2621" s="7">
        <v>2</v>
      </c>
      <c r="B2621" s="8" t="s">
        <v>9102</v>
      </c>
      <c r="C2621" s="8" t="s">
        <v>9046</v>
      </c>
      <c r="D2621" s="7">
        <v>1</v>
      </c>
      <c r="E2621" s="7">
        <v>10</v>
      </c>
      <c r="F2621" s="7">
        <v>1</v>
      </c>
      <c r="G2621" s="8" t="s">
        <v>219</v>
      </c>
      <c r="H2621" s="8" t="s">
        <v>427</v>
      </c>
      <c r="I2621" s="7" t="str">
        <f>_xlfn.CONCAT(Paper_Reference[[#This Row],[Lvl]:[Paper Description]])</f>
        <v>2J56RB187PM61OCEAN 2F R COMMON 41.875 X 1441101100WM321-4300IQ MAPLE LANE RH</v>
      </c>
      <c r="J2621" s="7">
        <f>COUNTIF(Paper_Reference[Duplicate Key],Paper_Reference[[#This Row],[Duplicate Key]])</f>
        <v>1</v>
      </c>
    </row>
    <row r="2622" spans="1:10">
      <c r="A2622" s="7">
        <v>2</v>
      </c>
      <c r="B2622" s="8" t="s">
        <v>8993</v>
      </c>
      <c r="C2622" s="8" t="s">
        <v>8939</v>
      </c>
      <c r="D2622" s="7">
        <v>1</v>
      </c>
      <c r="E2622" s="7">
        <v>10</v>
      </c>
      <c r="F2622" s="7">
        <v>0.33329999999999999</v>
      </c>
      <c r="G2622" s="8" t="s">
        <v>218</v>
      </c>
      <c r="H2622" s="8" t="s">
        <v>426</v>
      </c>
      <c r="I2622" s="7" t="str">
        <f>_xlfn.CONCAT(Paper_Reference[[#This Row],[Lvl]:[Paper Description]])</f>
        <v>2J56RB188PM37OCEAN 1G L SHORT 41.875X47.1251100.3333100WM311-4300IQ MAPLE LANE LH</v>
      </c>
      <c r="J2622" s="7">
        <f>COUNTIF(Paper_Reference[Duplicate Key],Paper_Reference[[#This Row],[Duplicate Key]])</f>
        <v>1</v>
      </c>
    </row>
    <row r="2623" spans="1:10">
      <c r="A2623" s="7">
        <v>2</v>
      </c>
      <c r="B2623" s="8" t="s">
        <v>9103</v>
      </c>
      <c r="C2623" s="8" t="s">
        <v>9047</v>
      </c>
      <c r="D2623" s="7">
        <v>1</v>
      </c>
      <c r="E2623" s="7">
        <v>10</v>
      </c>
      <c r="F2623" s="7">
        <v>0.33329999999999999</v>
      </c>
      <c r="G2623" s="8" t="s">
        <v>219</v>
      </c>
      <c r="H2623" s="8" t="s">
        <v>427</v>
      </c>
      <c r="I2623" s="7" t="str">
        <f>_xlfn.CONCAT(Paper_Reference[[#This Row],[Lvl]:[Paper Description]])</f>
        <v>2J56RB189PM36OCEAN 2G R SHORT 41.875X47.1251100.3333100WM321-4300IQ MAPLE LANE RH</v>
      </c>
      <c r="J2623" s="7">
        <f>COUNTIF(Paper_Reference[Duplicate Key],Paper_Reference[[#This Row],[Duplicate Key]])</f>
        <v>1</v>
      </c>
    </row>
    <row r="2624" spans="1:10">
      <c r="A2624" s="7">
        <v>3</v>
      </c>
      <c r="B2624" s="8" t="s">
        <v>8986</v>
      </c>
      <c r="C2624" s="8" t="s">
        <v>8932</v>
      </c>
      <c r="D2624" s="7">
        <v>1</v>
      </c>
      <c r="E2624" s="7">
        <v>10</v>
      </c>
      <c r="F2624" s="7">
        <v>1</v>
      </c>
      <c r="G2624" s="8" t="s">
        <v>218</v>
      </c>
      <c r="H2624" s="8" t="s">
        <v>426</v>
      </c>
      <c r="I2624" s="7" t="str">
        <f>_xlfn.CONCAT(Paper_Reference[[#This Row],[Lvl]:[Paper Description]])</f>
        <v>3J56RB288PM35K/VILLE 1C L/ARROW  41.875X1441101100WM311-4300IQ MAPLE LANE LH</v>
      </c>
      <c r="J2624" s="7">
        <f>COUNTIF(Paper_Reference[Duplicate Key],Paper_Reference[[#This Row],[Duplicate Key]])</f>
        <v>1</v>
      </c>
    </row>
    <row r="2625" spans="1:10">
      <c r="A2625" s="7">
        <v>3</v>
      </c>
      <c r="B2625" s="8" t="s">
        <v>9099</v>
      </c>
      <c r="C2625" s="8" t="s">
        <v>9043</v>
      </c>
      <c r="D2625" s="7">
        <v>1</v>
      </c>
      <c r="E2625" s="7">
        <v>10</v>
      </c>
      <c r="F2625" s="7">
        <v>1</v>
      </c>
      <c r="G2625" s="8" t="s">
        <v>219</v>
      </c>
      <c r="H2625" s="8" t="s">
        <v>427</v>
      </c>
      <c r="I2625" s="7" t="str">
        <f>_xlfn.CONCAT(Paper_Reference[[#This Row],[Lvl]:[Paper Description]])</f>
        <v>3J56RB289PM34K/VILLE 2C R/ARROW  41.875X1441101100WM321-4300IQ MAPLE LANE RH</v>
      </c>
      <c r="J2625" s="7">
        <f>COUNTIF(Paper_Reference[Duplicate Key],Paper_Reference[[#This Row],[Duplicate Key]])</f>
        <v>1</v>
      </c>
    </row>
    <row r="2626" spans="1:10">
      <c r="A2626" s="7">
        <v>2</v>
      </c>
      <c r="B2626" s="8" t="s">
        <v>8987</v>
      </c>
      <c r="C2626" s="8" t="s">
        <v>8933</v>
      </c>
      <c r="D2626" s="7">
        <v>1</v>
      </c>
      <c r="E2626" s="7">
        <v>10</v>
      </c>
      <c r="F2626" s="7">
        <v>1</v>
      </c>
      <c r="G2626" s="8" t="s">
        <v>218</v>
      </c>
      <c r="H2626" s="8" t="s">
        <v>426</v>
      </c>
      <c r="I2626" s="7" t="str">
        <f>_xlfn.CONCAT(Paper_Reference[[#This Row],[Lvl]:[Paper Description]])</f>
        <v>2J56RB290PM61K/VILLE 1D L COMMON 41.875 X 11101100WM311-4300IQ MAPLE LANE LH</v>
      </c>
      <c r="J2626" s="7">
        <f>COUNTIF(Paper_Reference[Duplicate Key],Paper_Reference[[#This Row],[Duplicate Key]])</f>
        <v>1</v>
      </c>
    </row>
    <row r="2627" spans="1:10">
      <c r="A2627" s="7">
        <v>2</v>
      </c>
      <c r="B2627" s="8" t="s">
        <v>9097</v>
      </c>
      <c r="C2627" s="8" t="s">
        <v>9041</v>
      </c>
      <c r="D2627" s="7">
        <v>1</v>
      </c>
      <c r="E2627" s="7">
        <v>10</v>
      </c>
      <c r="F2627" s="7">
        <v>1</v>
      </c>
      <c r="G2627" s="8" t="s">
        <v>219</v>
      </c>
      <c r="H2627" s="8" t="s">
        <v>427</v>
      </c>
      <c r="I2627" s="7" t="str">
        <f>_xlfn.CONCAT(Paper_Reference[[#This Row],[Lvl]:[Paper Description]])</f>
        <v>2J56RB291PM61K/VILLE 2D R COMMON 41.875 X 11101100WM321-4300IQ MAPLE LANE RH</v>
      </c>
      <c r="J2627" s="7">
        <f>COUNTIF(Paper_Reference[Duplicate Key],Paper_Reference[[#This Row],[Duplicate Key]])</f>
        <v>1</v>
      </c>
    </row>
    <row r="2628" spans="1:10">
      <c r="A2628" s="7">
        <v>2</v>
      </c>
      <c r="B2628" s="8" t="s">
        <v>8988</v>
      </c>
      <c r="C2628" s="8" t="s">
        <v>8934</v>
      </c>
      <c r="D2628" s="7">
        <v>1</v>
      </c>
      <c r="E2628" s="7">
        <v>10</v>
      </c>
      <c r="F2628" s="7">
        <v>0.33329999999999999</v>
      </c>
      <c r="G2628" s="8" t="s">
        <v>218</v>
      </c>
      <c r="H2628" s="8" t="s">
        <v>426</v>
      </c>
      <c r="I2628" s="7" t="str">
        <f>_xlfn.CONCAT(Paper_Reference[[#This Row],[Lvl]:[Paper Description]])</f>
        <v>2J56RB292PM37K/VILLE 1G L SHORT 41.875X47.11100.3333100WM311-4300IQ MAPLE LANE LH</v>
      </c>
      <c r="J2628" s="7">
        <f>COUNTIF(Paper_Reference[Duplicate Key],Paper_Reference[[#This Row],[Duplicate Key]])</f>
        <v>1</v>
      </c>
    </row>
    <row r="2629" spans="1:10">
      <c r="A2629" s="7">
        <v>2</v>
      </c>
      <c r="B2629" s="8" t="s">
        <v>9098</v>
      </c>
      <c r="C2629" s="8" t="s">
        <v>9042</v>
      </c>
      <c r="D2629" s="7">
        <v>1</v>
      </c>
      <c r="E2629" s="7">
        <v>10</v>
      </c>
      <c r="F2629" s="7">
        <v>0.33329999999999999</v>
      </c>
      <c r="G2629" s="8" t="s">
        <v>219</v>
      </c>
      <c r="H2629" s="8" t="s">
        <v>427</v>
      </c>
      <c r="I2629" s="7" t="str">
        <f>_xlfn.CONCAT(Paper_Reference[[#This Row],[Lvl]:[Paper Description]])</f>
        <v>2J56RB293PM36K/VILLE 2G R SHORT 41.875X47.11100.3333100WM321-4300IQ MAPLE LANE RH</v>
      </c>
      <c r="J2629" s="7">
        <f>COUNTIF(Paper_Reference[Duplicate Key],Paper_Reference[[#This Row],[Duplicate Key]])</f>
        <v>1</v>
      </c>
    </row>
    <row r="2630" spans="1:10">
      <c r="A2630" s="7">
        <v>2</v>
      </c>
      <c r="B2630" s="8" t="s">
        <v>6318</v>
      </c>
      <c r="C2630" s="8" t="s">
        <v>5844</v>
      </c>
      <c r="D2630" s="7">
        <v>1</v>
      </c>
      <c r="E2630" s="7">
        <v>10</v>
      </c>
      <c r="F2630" s="7">
        <v>0.5</v>
      </c>
      <c r="G2630" s="8" t="s">
        <v>5690</v>
      </c>
      <c r="H2630" s="8" t="s">
        <v>5691</v>
      </c>
      <c r="I2630" s="7" t="str">
        <f>_xlfn.CONCAT(Paper_Reference[[#This Row],[Lvl]:[Paper Description]])</f>
        <v>2J56RB521AM38DIG/WK024 RETURN 13.87 X 1441100.5100DS009-6200FROSTY WHITE</v>
      </c>
      <c r="J2630" s="7">
        <f>COUNTIF(Paper_Reference[Duplicate Key],Paper_Reference[[#This Row],[Duplicate Key]])</f>
        <v>1</v>
      </c>
    </row>
    <row r="2631" spans="1:10">
      <c r="A2631" s="7">
        <v>2</v>
      </c>
      <c r="B2631" s="8" t="s">
        <v>7688</v>
      </c>
      <c r="C2631" s="8" t="s">
        <v>6987</v>
      </c>
      <c r="D2631" s="7">
        <v>1</v>
      </c>
      <c r="E2631" s="7">
        <v>10</v>
      </c>
      <c r="F2631" s="7">
        <v>2</v>
      </c>
      <c r="G2631" s="8" t="s">
        <v>6710</v>
      </c>
      <c r="H2631" s="8" t="s">
        <v>5691</v>
      </c>
      <c r="I2631" s="7" t="str">
        <f>_xlfn.CONCAT(Paper_Reference[[#This Row],[Lvl]:[Paper Description]])</f>
        <v>2J56RB521ASWGDIG/WK024 W/WAY 42 7/8 X 145 11102100DS009-5000FROSTY WHITE</v>
      </c>
      <c r="J2631" s="7">
        <f>COUNTIF(Paper_Reference[Duplicate Key],Paper_Reference[[#This Row],[Duplicate Key]])</f>
        <v>1</v>
      </c>
    </row>
    <row r="2632" spans="1:10">
      <c r="A2632" s="7">
        <v>2</v>
      </c>
      <c r="B2632" s="8" t="s">
        <v>6319</v>
      </c>
      <c r="C2632" s="8" t="s">
        <v>5845</v>
      </c>
      <c r="D2632" s="7">
        <v>1</v>
      </c>
      <c r="E2632" s="7">
        <v>10</v>
      </c>
      <c r="F2632" s="7">
        <v>0.5</v>
      </c>
      <c r="G2632" s="8" t="s">
        <v>5690</v>
      </c>
      <c r="H2632" s="8" t="s">
        <v>5691</v>
      </c>
      <c r="I2632" s="7" t="str">
        <f>_xlfn.CONCAT(Paper_Reference[[#This Row],[Lvl]:[Paper Description]])</f>
        <v>2J56RB631PB06USB BLACK COM C 31.5 X 54.091100.5100DS009-6200FROSTY WHITE</v>
      </c>
      <c r="J2632" s="7">
        <f>COUNTIF(Paper_Reference[Duplicate Key],Paper_Reference[[#This Row],[Duplicate Key]])</f>
        <v>1</v>
      </c>
    </row>
    <row r="2633" spans="1:10">
      <c r="A2633" s="7">
        <v>2</v>
      </c>
      <c r="B2633" s="8" t="s">
        <v>6320</v>
      </c>
      <c r="C2633" s="8" t="s">
        <v>5846</v>
      </c>
      <c r="D2633" s="7">
        <v>1</v>
      </c>
      <c r="E2633" s="7">
        <v>10</v>
      </c>
      <c r="F2633" s="7">
        <v>0.5</v>
      </c>
      <c r="G2633" s="8" t="s">
        <v>5690</v>
      </c>
      <c r="H2633" s="8" t="s">
        <v>5691</v>
      </c>
      <c r="I2633" s="7" t="str">
        <f>_xlfn.CONCAT(Paper_Reference[[#This Row],[Lvl]:[Paper Description]])</f>
        <v>2J56RB631PB07USB BLACK APP A 31.5 X 54.091100.5100DS009-6200FROSTY WHITE</v>
      </c>
      <c r="J2633" s="7">
        <f>COUNTIF(Paper_Reference[Duplicate Key],Paper_Reference[[#This Row],[Duplicate Key]])</f>
        <v>1</v>
      </c>
    </row>
    <row r="2634" spans="1:10">
      <c r="A2634" s="7">
        <v>2</v>
      </c>
      <c r="B2634" s="8" t="s">
        <v>6321</v>
      </c>
      <c r="C2634" s="8" t="s">
        <v>5847</v>
      </c>
      <c r="D2634" s="7">
        <v>1</v>
      </c>
      <c r="E2634" s="7">
        <v>10</v>
      </c>
      <c r="F2634" s="7">
        <v>0.5</v>
      </c>
      <c r="G2634" s="8" t="s">
        <v>5690</v>
      </c>
      <c r="H2634" s="8" t="s">
        <v>5691</v>
      </c>
      <c r="I2634" s="7" t="str">
        <f>_xlfn.CONCAT(Paper_Reference[[#This Row],[Lvl]:[Paper Description]])</f>
        <v>2J56RB631PB08USB BLACK FILL D 23.61 X 54.091100.5100DS009-6200FROSTY WHITE</v>
      </c>
      <c r="J2634" s="7">
        <f>COUNTIF(Paper_Reference[Duplicate Key],Paper_Reference[[#This Row],[Duplicate Key]])</f>
        <v>1</v>
      </c>
    </row>
    <row r="2635" spans="1:10">
      <c r="A2635" s="7">
        <v>2</v>
      </c>
      <c r="B2635" s="8" t="s">
        <v>6322</v>
      </c>
      <c r="C2635" s="8" t="s">
        <v>5848</v>
      </c>
      <c r="D2635" s="7">
        <v>1</v>
      </c>
      <c r="E2635" s="7">
        <v>10</v>
      </c>
      <c r="F2635" s="7">
        <v>0.5</v>
      </c>
      <c r="G2635" s="8" t="s">
        <v>5690</v>
      </c>
      <c r="H2635" s="8" t="s">
        <v>5691</v>
      </c>
      <c r="I2635" s="7" t="str">
        <f>_xlfn.CONCAT(Paper_Reference[[#This Row],[Lvl]:[Paper Description]])</f>
        <v>2J56RB631PB09USB BLACK FILL E 23.61 X 41.921100.5100DS009-6200FROSTY WHITE</v>
      </c>
      <c r="J2635" s="7">
        <f>COUNTIF(Paper_Reference[Duplicate Key],Paper_Reference[[#This Row],[Duplicate Key]])</f>
        <v>1</v>
      </c>
    </row>
    <row r="2636" spans="1:10">
      <c r="A2636" s="7">
        <v>2</v>
      </c>
      <c r="B2636" s="8" t="s">
        <v>6323</v>
      </c>
      <c r="C2636" s="8" t="s">
        <v>5849</v>
      </c>
      <c r="D2636" s="7">
        <v>1</v>
      </c>
      <c r="E2636" s="7">
        <v>10</v>
      </c>
      <c r="F2636" s="7">
        <v>0.5</v>
      </c>
      <c r="G2636" s="8" t="s">
        <v>5690</v>
      </c>
      <c r="H2636" s="8" t="s">
        <v>5691</v>
      </c>
      <c r="I2636" s="7" t="str">
        <f>_xlfn.CONCAT(Paper_Reference[[#This Row],[Lvl]:[Paper Description]])</f>
        <v>2J56RB631PB10USB BLACK FILL F 17.5 X 54.091100.5100DS009-6200FROSTY WHITE</v>
      </c>
      <c r="J2636" s="7">
        <f>COUNTIF(Paper_Reference[Duplicate Key],Paper_Reference[[#This Row],[Duplicate Key]])</f>
        <v>1</v>
      </c>
    </row>
    <row r="2637" spans="1:10">
      <c r="A2637" s="7">
        <v>2</v>
      </c>
      <c r="B2637" s="8" t="s">
        <v>6324</v>
      </c>
      <c r="C2637" s="8" t="s">
        <v>5850</v>
      </c>
      <c r="D2637" s="7">
        <v>1</v>
      </c>
      <c r="E2637" s="7">
        <v>10</v>
      </c>
      <c r="F2637" s="7">
        <v>0.5</v>
      </c>
      <c r="G2637" s="8" t="s">
        <v>5690</v>
      </c>
      <c r="H2637" s="8" t="s">
        <v>5691</v>
      </c>
      <c r="I2637" s="7" t="str">
        <f>_xlfn.CONCAT(Paper_Reference[[#This Row],[Lvl]:[Paper Description]])</f>
        <v>2J56RB631PB11USB BLACK FILL G 17.5 X 41.921100.5100DS009-6200FROSTY WHITE</v>
      </c>
      <c r="J2637" s="7">
        <f>COUNTIF(Paper_Reference[Duplicate Key],Paper_Reference[[#This Row],[Duplicate Key]])</f>
        <v>1</v>
      </c>
    </row>
    <row r="2638" spans="1:10">
      <c r="A2638" s="7">
        <v>2</v>
      </c>
      <c r="B2638" s="8" t="s">
        <v>6325</v>
      </c>
      <c r="C2638" s="8" t="s">
        <v>5851</v>
      </c>
      <c r="D2638" s="7">
        <v>1</v>
      </c>
      <c r="E2638" s="7">
        <v>10</v>
      </c>
      <c r="F2638" s="7">
        <v>0.5</v>
      </c>
      <c r="G2638" s="8" t="s">
        <v>5690</v>
      </c>
      <c r="H2638" s="8" t="s">
        <v>5691</v>
      </c>
      <c r="I2638" s="7" t="str">
        <f>_xlfn.CONCAT(Paper_Reference[[#This Row],[Lvl]:[Paper Description]])</f>
        <v>2J56RB632PB04USB BLACK FOUL B 31.5 X 54.091100.5100DS009-6200FROSTY WHITE</v>
      </c>
      <c r="J2638" s="7">
        <f>COUNTIF(Paper_Reference[Duplicate Key],Paper_Reference[[#This Row],[Duplicate Key]])</f>
        <v>1</v>
      </c>
    </row>
    <row r="2639" spans="1:10">
      <c r="A2639" s="7">
        <v>2</v>
      </c>
      <c r="B2639" s="8" t="s">
        <v>2673</v>
      </c>
      <c r="C2639" s="8" t="s">
        <v>2221</v>
      </c>
      <c r="D2639" s="7">
        <v>1</v>
      </c>
      <c r="E2639" s="7">
        <v>10</v>
      </c>
      <c r="F2639" s="7">
        <v>0.25</v>
      </c>
      <c r="G2639" s="8" t="s">
        <v>2144</v>
      </c>
      <c r="H2639" s="8" t="s">
        <v>1242</v>
      </c>
      <c r="I2639" s="7" t="str">
        <f>_xlfn.CONCAT(Paper_Reference[[#This Row],[Lvl]:[Paper Description]])</f>
        <v>2J56RB668PB07USB G WOLF APP A 31.5 X 54.091100.2510000020-6200Premium Inkjet MPK 9653</v>
      </c>
      <c r="J2639" s="7">
        <f>COUNTIF(Paper_Reference[Duplicate Key],Paper_Reference[[#This Row],[Duplicate Key]])</f>
        <v>1</v>
      </c>
    </row>
    <row r="2640" spans="1:10">
      <c r="A2640" s="7">
        <v>2</v>
      </c>
      <c r="B2640" s="8" t="s">
        <v>2674</v>
      </c>
      <c r="C2640" s="8" t="s">
        <v>2222</v>
      </c>
      <c r="D2640" s="7">
        <v>1</v>
      </c>
      <c r="E2640" s="7">
        <v>10</v>
      </c>
      <c r="F2640" s="7">
        <v>0.25</v>
      </c>
      <c r="G2640" s="8" t="s">
        <v>2144</v>
      </c>
      <c r="H2640" s="8" t="s">
        <v>1242</v>
      </c>
      <c r="I2640" s="7" t="str">
        <f>_xlfn.CONCAT(Paper_Reference[[#This Row],[Lvl]:[Paper Description]])</f>
        <v>2J56RB669PB04BAD PART use RB6751100.2510000020-6200Premium Inkjet MPK 9653</v>
      </c>
      <c r="J2640" s="7">
        <f>COUNTIF(Paper_Reference[Duplicate Key],Paper_Reference[[#This Row],[Duplicate Key]])</f>
        <v>1</v>
      </c>
    </row>
    <row r="2641" spans="1:10">
      <c r="A2641" s="7">
        <v>2</v>
      </c>
      <c r="B2641" s="8" t="s">
        <v>2675</v>
      </c>
      <c r="C2641" s="8" t="s">
        <v>2223</v>
      </c>
      <c r="D2641" s="7">
        <v>1</v>
      </c>
      <c r="E2641" s="7">
        <v>10</v>
      </c>
      <c r="F2641" s="7">
        <v>0.25</v>
      </c>
      <c r="G2641" s="8" t="s">
        <v>2144</v>
      </c>
      <c r="H2641" s="8" t="s">
        <v>1242</v>
      </c>
      <c r="I2641" s="7" t="str">
        <f>_xlfn.CONCAT(Paper_Reference[[#This Row],[Lvl]:[Paper Description]])</f>
        <v>2J56RB669PB06USB G WOLF COM C 31.5 X 54.091100.2510000020-6200Premium Inkjet MPK 9653</v>
      </c>
      <c r="J2641" s="7">
        <f>COUNTIF(Paper_Reference[Duplicate Key],Paper_Reference[[#This Row],[Duplicate Key]])</f>
        <v>1</v>
      </c>
    </row>
    <row r="2642" spans="1:10">
      <c r="A2642" s="7">
        <v>2</v>
      </c>
      <c r="B2642" s="8" t="s">
        <v>2676</v>
      </c>
      <c r="C2642" s="8" t="s">
        <v>2224</v>
      </c>
      <c r="D2642" s="7">
        <v>1</v>
      </c>
      <c r="E2642" s="7">
        <v>10</v>
      </c>
      <c r="F2642" s="7">
        <v>0.25</v>
      </c>
      <c r="G2642" s="8" t="s">
        <v>2144</v>
      </c>
      <c r="H2642" s="8" t="s">
        <v>1242</v>
      </c>
      <c r="I2642" s="7" t="str">
        <f>_xlfn.CONCAT(Paper_Reference[[#This Row],[Lvl]:[Paper Description]])</f>
        <v>2J56RB670PB08USB G WOLF FILL D 23.61 X 54.01100.2510000020-6200Premium Inkjet MPK 9653</v>
      </c>
      <c r="J2642" s="7">
        <f>COUNTIF(Paper_Reference[Duplicate Key],Paper_Reference[[#This Row],[Duplicate Key]])</f>
        <v>1</v>
      </c>
    </row>
    <row r="2643" spans="1:10">
      <c r="A2643" s="7">
        <v>2</v>
      </c>
      <c r="B2643" s="8" t="s">
        <v>2677</v>
      </c>
      <c r="C2643" s="8" t="s">
        <v>2225</v>
      </c>
      <c r="D2643" s="7">
        <v>1</v>
      </c>
      <c r="E2643" s="7">
        <v>10</v>
      </c>
      <c r="F2643" s="7">
        <v>0.25</v>
      </c>
      <c r="G2643" s="8" t="s">
        <v>2144</v>
      </c>
      <c r="H2643" s="8" t="s">
        <v>1242</v>
      </c>
      <c r="I2643" s="7" t="str">
        <f>_xlfn.CONCAT(Paper_Reference[[#This Row],[Lvl]:[Paper Description]])</f>
        <v>2J56RB671PB09USB G WOLF FILL E 23.61 X 41.91100.2510000020-6200Premium Inkjet MPK 9653</v>
      </c>
      <c r="J2643" s="7">
        <f>COUNTIF(Paper_Reference[Duplicate Key],Paper_Reference[[#This Row],[Duplicate Key]])</f>
        <v>1</v>
      </c>
    </row>
    <row r="2644" spans="1:10">
      <c r="A2644" s="7">
        <v>2</v>
      </c>
      <c r="B2644" s="8" t="s">
        <v>2678</v>
      </c>
      <c r="C2644" s="8" t="s">
        <v>2226</v>
      </c>
      <c r="D2644" s="7">
        <v>1</v>
      </c>
      <c r="E2644" s="7">
        <v>10</v>
      </c>
      <c r="F2644" s="7">
        <v>0.25</v>
      </c>
      <c r="G2644" s="8" t="s">
        <v>2144</v>
      </c>
      <c r="H2644" s="8" t="s">
        <v>1242</v>
      </c>
      <c r="I2644" s="7" t="str">
        <f>_xlfn.CONCAT(Paper_Reference[[#This Row],[Lvl]:[Paper Description]])</f>
        <v>2J56RB672PB10USB G WOLF FILL F 17.5 X 54.091100.2510000020-6200Premium Inkjet MPK 9653</v>
      </c>
      <c r="J2644" s="7">
        <f>COUNTIF(Paper_Reference[Duplicate Key],Paper_Reference[[#This Row],[Duplicate Key]])</f>
        <v>1</v>
      </c>
    </row>
    <row r="2645" spans="1:10">
      <c r="A2645" s="7">
        <v>2</v>
      </c>
      <c r="B2645" s="8" t="s">
        <v>2679</v>
      </c>
      <c r="C2645" s="8" t="s">
        <v>2227</v>
      </c>
      <c r="D2645" s="7">
        <v>1</v>
      </c>
      <c r="E2645" s="7">
        <v>10</v>
      </c>
      <c r="F2645" s="7">
        <v>0.25</v>
      </c>
      <c r="G2645" s="8" t="s">
        <v>2144</v>
      </c>
      <c r="H2645" s="8" t="s">
        <v>1242</v>
      </c>
      <c r="I2645" s="7" t="str">
        <f>_xlfn.CONCAT(Paper_Reference[[#This Row],[Lvl]:[Paper Description]])</f>
        <v>2J56RB673PB11USB G WOLF FILL G 17.5 X 41.921100.2510000020-6200Premium Inkjet MPK 9653</v>
      </c>
      <c r="J2645" s="7">
        <f>COUNTIF(Paper_Reference[Duplicate Key],Paper_Reference[[#This Row],[Duplicate Key]])</f>
        <v>1</v>
      </c>
    </row>
    <row r="2646" spans="1:10">
      <c r="A2646" s="7">
        <v>2</v>
      </c>
      <c r="B2646" s="8" t="s">
        <v>2680</v>
      </c>
      <c r="C2646" s="8" t="s">
        <v>2228</v>
      </c>
      <c r="D2646" s="7">
        <v>1</v>
      </c>
      <c r="E2646" s="7">
        <v>10</v>
      </c>
      <c r="F2646" s="7">
        <v>0.25</v>
      </c>
      <c r="G2646" s="8" t="s">
        <v>2144</v>
      </c>
      <c r="H2646" s="8" t="s">
        <v>1242</v>
      </c>
      <c r="I2646" s="7" t="str">
        <f>_xlfn.CONCAT(Paper_Reference[[#This Row],[Lvl]:[Paper Description]])</f>
        <v>2J56RB675PB04USB G WOLF FOUL B 31.5 X 54.091100.2510000020-6200Premium Inkjet MPK 9653</v>
      </c>
      <c r="J2646" s="7">
        <f>COUNTIF(Paper_Reference[Duplicate Key],Paper_Reference[[#This Row],[Duplicate Key]])</f>
        <v>1</v>
      </c>
    </row>
    <row r="2647" spans="1:10">
      <c r="A2647" s="7">
        <v>2</v>
      </c>
      <c r="B2647" s="8" t="s">
        <v>104</v>
      </c>
      <c r="C2647" s="8" t="s">
        <v>105</v>
      </c>
      <c r="D2647" s="7">
        <v>1</v>
      </c>
      <c r="E2647" s="7">
        <v>10</v>
      </c>
      <c r="F2647" s="7">
        <v>0.25</v>
      </c>
      <c r="G2647" s="8" t="s">
        <v>2144</v>
      </c>
      <c r="H2647" s="8" t="s">
        <v>1242</v>
      </c>
      <c r="I2647" s="7" t="str">
        <f>_xlfn.CONCAT(Paper_Reference[[#This Row],[Lvl]:[Paper Description]])</f>
        <v>2J56RB725AM38DIG BLK W/GOLD NBR 13.87 X 1441100.2510000020-6200Premium Inkjet MPK 9653</v>
      </c>
      <c r="J2647" s="7">
        <f>COUNTIF(Paper_Reference[Duplicate Key],Paper_Reference[[#This Row],[Duplicate Key]])</f>
        <v>1</v>
      </c>
    </row>
    <row r="2648" spans="1:10">
      <c r="A2648" s="7">
        <v>2</v>
      </c>
      <c r="B2648" s="8" t="s">
        <v>2681</v>
      </c>
      <c r="C2648" s="8" t="s">
        <v>2229</v>
      </c>
      <c r="D2648" s="7">
        <v>1</v>
      </c>
      <c r="E2648" s="7">
        <v>10</v>
      </c>
      <c r="F2648" s="7">
        <v>0.33329999999999999</v>
      </c>
      <c r="G2648" s="8" t="s">
        <v>2144</v>
      </c>
      <c r="H2648" s="8" t="s">
        <v>1242</v>
      </c>
      <c r="I2648" s="7" t="str">
        <f>_xlfn.CONCAT(Paper_Reference[[#This Row],[Lvl]:[Paper Description]])</f>
        <v>2J56RB725AM39DIG BLK W/GOLD W/BR 14.7 X 1441100.333310000020-6200Premium Inkjet MPK 9653</v>
      </c>
      <c r="J2648" s="7">
        <f>COUNTIF(Paper_Reference[Duplicate Key],Paper_Reference[[#This Row],[Duplicate Key]])</f>
        <v>1</v>
      </c>
    </row>
    <row r="2649" spans="1:10">
      <c r="A2649" s="7">
        <v>2</v>
      </c>
      <c r="B2649" s="8" t="s">
        <v>1849</v>
      </c>
      <c r="C2649" s="8" t="s">
        <v>1422</v>
      </c>
      <c r="D2649" s="7">
        <v>1</v>
      </c>
      <c r="E2649" s="7">
        <v>10</v>
      </c>
      <c r="F2649" s="7">
        <v>1</v>
      </c>
      <c r="G2649" s="8" t="s">
        <v>1241</v>
      </c>
      <c r="H2649" s="8" t="s">
        <v>1242</v>
      </c>
      <c r="I2649" s="7" t="str">
        <f>_xlfn.CONCAT(Paper_Reference[[#This Row],[Lvl]:[Paper Description]])</f>
        <v>2J56RB725ASWGDIG BLK W/GOLD W/WAY 42 7/8X14110110000020-5000Premium Inkjet MPK 9653</v>
      </c>
      <c r="J2649" s="7">
        <f>COUNTIF(Paper_Reference[Duplicate Key],Paper_Reference[[#This Row],[Duplicate Key]])</f>
        <v>1</v>
      </c>
    </row>
    <row r="2650" spans="1:10">
      <c r="A2650" s="7">
        <v>2</v>
      </c>
      <c r="B2650" s="8" t="s">
        <v>2682</v>
      </c>
      <c r="C2650" s="8" t="s">
        <v>2230</v>
      </c>
      <c r="D2650" s="7">
        <v>1</v>
      </c>
      <c r="E2650" s="7">
        <v>10</v>
      </c>
      <c r="F2650" s="7">
        <v>0.25</v>
      </c>
      <c r="G2650" s="8" t="s">
        <v>2144</v>
      </c>
      <c r="H2650" s="8" t="s">
        <v>1242</v>
      </c>
      <c r="I2650" s="7" t="str">
        <f>_xlfn.CONCAT(Paper_Reference[[#This Row],[Lvl]:[Paper Description]])</f>
        <v>2J56RB731AM38DIG WM046 NBR 13.87 X 1441100.2510000020-6200Premium Inkjet MPK 9653</v>
      </c>
      <c r="J2650" s="7">
        <f>COUNTIF(Paper_Reference[Duplicate Key],Paper_Reference[[#This Row],[Duplicate Key]])</f>
        <v>1</v>
      </c>
    </row>
    <row r="2651" spans="1:10">
      <c r="A2651" s="7">
        <v>2</v>
      </c>
      <c r="B2651" s="8" t="s">
        <v>2683</v>
      </c>
      <c r="C2651" s="8" t="s">
        <v>2231</v>
      </c>
      <c r="D2651" s="7">
        <v>1</v>
      </c>
      <c r="E2651" s="7">
        <v>10</v>
      </c>
      <c r="F2651" s="7">
        <v>0.33329999999999999</v>
      </c>
      <c r="G2651" s="8" t="s">
        <v>2144</v>
      </c>
      <c r="H2651" s="8" t="s">
        <v>1242</v>
      </c>
      <c r="I2651" s="7" t="str">
        <f>_xlfn.CONCAT(Paper_Reference[[#This Row],[Lvl]:[Paper Description]])</f>
        <v>2J56RB731AM39DIG WM046 W BALL RET 14.7 X 141100.333310000020-6200Premium Inkjet MPK 9653</v>
      </c>
      <c r="J2651" s="7">
        <f>COUNTIF(Paper_Reference[Duplicate Key],Paper_Reference[[#This Row],[Duplicate Key]])</f>
        <v>1</v>
      </c>
    </row>
    <row r="2652" spans="1:10">
      <c r="A2652" s="7">
        <v>2</v>
      </c>
      <c r="B2652" s="8" t="s">
        <v>2684</v>
      </c>
      <c r="C2652" s="8" t="s">
        <v>2230</v>
      </c>
      <c r="D2652" s="7">
        <v>1</v>
      </c>
      <c r="E2652" s="7">
        <v>10</v>
      </c>
      <c r="F2652" s="7">
        <v>0.25</v>
      </c>
      <c r="G2652" s="8" t="s">
        <v>2144</v>
      </c>
      <c r="H2652" s="8" t="s">
        <v>1242</v>
      </c>
      <c r="I2652" s="7" t="str">
        <f>_xlfn.CONCAT(Paper_Reference[[#This Row],[Lvl]:[Paper Description]])</f>
        <v>2J56RB776AM38DIG WM046 NBR 13.87 X 1441100.2510000020-6200Premium Inkjet MPK 9653</v>
      </c>
      <c r="J2652" s="7">
        <f>COUNTIF(Paper_Reference[Duplicate Key],Paper_Reference[[#This Row],[Duplicate Key]])</f>
        <v>1</v>
      </c>
    </row>
    <row r="2653" spans="1:10">
      <c r="A2653" s="7">
        <v>2</v>
      </c>
      <c r="B2653" s="8" t="s">
        <v>1850</v>
      </c>
      <c r="C2653" s="8" t="s">
        <v>1423</v>
      </c>
      <c r="D2653" s="7">
        <v>1</v>
      </c>
      <c r="E2653" s="7">
        <v>10</v>
      </c>
      <c r="F2653" s="7">
        <v>1</v>
      </c>
      <c r="G2653" s="8" t="s">
        <v>1241</v>
      </c>
      <c r="H2653" s="8" t="s">
        <v>1242</v>
      </c>
      <c r="I2653" s="7" t="str">
        <f>_xlfn.CONCAT(Paper_Reference[[#This Row],[Lvl]:[Paper Description]])</f>
        <v>2J56RB776ASWGDIG WM046 WW 42 7/8X145 1/4110110000020-5000Premium Inkjet MPK 9653</v>
      </c>
      <c r="J2653" s="7">
        <f>COUNTIF(Paper_Reference[Duplicate Key],Paper_Reference[[#This Row],[Duplicate Key]])</f>
        <v>1</v>
      </c>
    </row>
    <row r="2654" spans="1:10">
      <c r="A2654" s="7">
        <v>2</v>
      </c>
      <c r="B2654" s="8" t="s">
        <v>2685</v>
      </c>
      <c r="C2654" s="8" t="s">
        <v>2232</v>
      </c>
      <c r="D2654" s="7">
        <v>1</v>
      </c>
      <c r="E2654" s="7">
        <v>10</v>
      </c>
      <c r="F2654" s="7">
        <v>0.25</v>
      </c>
      <c r="G2654" s="8" t="s">
        <v>2144</v>
      </c>
      <c r="H2654" s="8" t="s">
        <v>1242</v>
      </c>
      <c r="I2654" s="7" t="str">
        <f>_xlfn.CONCAT(Paper_Reference[[#This Row],[Lvl]:[Paper Description]])</f>
        <v>2J56RB801AM38DIG RINEY NBR 13.87 X 1441100.2510000020-6200Premium Inkjet MPK 9653</v>
      </c>
      <c r="J2654" s="7">
        <f>COUNTIF(Paper_Reference[Duplicate Key],Paper_Reference[[#This Row],[Duplicate Key]])</f>
        <v>1</v>
      </c>
    </row>
    <row r="2655" spans="1:10">
      <c r="A2655" s="7">
        <v>2</v>
      </c>
      <c r="B2655" s="8" t="s">
        <v>2686</v>
      </c>
      <c r="C2655" s="8" t="s">
        <v>2233</v>
      </c>
      <c r="D2655" s="7">
        <v>1</v>
      </c>
      <c r="E2655" s="7">
        <v>10</v>
      </c>
      <c r="F2655" s="7">
        <v>0.25</v>
      </c>
      <c r="G2655" s="8" t="s">
        <v>2144</v>
      </c>
      <c r="H2655" s="8" t="s">
        <v>1242</v>
      </c>
      <c r="I2655" s="7" t="str">
        <f>_xlfn.CONCAT(Paper_Reference[[#This Row],[Lvl]:[Paper Description]])</f>
        <v>2J56RB931AM38DIG WF011 NBR 13.87 X 1441100.2510000020-6200Premium Inkjet MPK 9653</v>
      </c>
      <c r="J2655" s="7">
        <f>COUNTIF(Paper_Reference[Duplicate Key],Paper_Reference[[#This Row],[Duplicate Key]])</f>
        <v>1</v>
      </c>
    </row>
    <row r="2656" spans="1:10">
      <c r="A2656" s="7">
        <v>2</v>
      </c>
      <c r="B2656" s="8" t="s">
        <v>1851</v>
      </c>
      <c r="C2656" s="8" t="s">
        <v>1424</v>
      </c>
      <c r="D2656" s="7">
        <v>1</v>
      </c>
      <c r="E2656" s="7">
        <v>10</v>
      </c>
      <c r="F2656" s="7">
        <v>1</v>
      </c>
      <c r="G2656" s="8" t="s">
        <v>1241</v>
      </c>
      <c r="H2656" s="8" t="s">
        <v>1242</v>
      </c>
      <c r="I2656" s="7" t="str">
        <f>_xlfn.CONCAT(Paper_Reference[[#This Row],[Lvl]:[Paper Description]])</f>
        <v>2J56RB931ASWGDIG WF011 WWF 42 7/8 X 145 1/4110110000020-5000Premium Inkjet MPK 9653</v>
      </c>
      <c r="J2656" s="7">
        <f>COUNTIF(Paper_Reference[Duplicate Key],Paper_Reference[[#This Row],[Duplicate Key]])</f>
        <v>1</v>
      </c>
    </row>
    <row r="2657" spans="1:10">
      <c r="A2657" s="7">
        <v>2</v>
      </c>
      <c r="B2657" s="8" t="s">
        <v>8583</v>
      </c>
      <c r="C2657" s="8" t="s">
        <v>8373</v>
      </c>
      <c r="D2657" s="7">
        <v>1</v>
      </c>
      <c r="E2657" s="7">
        <v>10</v>
      </c>
      <c r="F2657" s="7">
        <v>1</v>
      </c>
      <c r="G2657" s="8" t="s">
        <v>8302</v>
      </c>
      <c r="H2657" s="8" t="s">
        <v>8303</v>
      </c>
      <c r="I2657" s="7" t="str">
        <f>_xlfn.CONCAT(Paper_Reference[[#This Row],[Lvl]:[Paper Description]])</f>
        <v>2J57I8962QM32HIRAKATA D/F UV R FOUL 59.641X1101100SW813-6200ICE WHITE</v>
      </c>
      <c r="J2657" s="7">
        <f>COUNTIF(Paper_Reference[Duplicate Key],Paper_Reference[[#This Row],[Duplicate Key]])</f>
        <v>1</v>
      </c>
    </row>
    <row r="2658" spans="1:10">
      <c r="A2658" s="7">
        <v>3</v>
      </c>
      <c r="B2658" s="8" t="s">
        <v>8584</v>
      </c>
      <c r="C2658" s="8" t="s">
        <v>8374</v>
      </c>
      <c r="D2658" s="7">
        <v>1</v>
      </c>
      <c r="E2658" s="7">
        <v>10</v>
      </c>
      <c r="F2658" s="7">
        <v>1</v>
      </c>
      <c r="G2658" s="8" t="s">
        <v>8302</v>
      </c>
      <c r="H2658" s="8" t="s">
        <v>8303</v>
      </c>
      <c r="I2658" s="7" t="str">
        <f>_xlfn.CONCAT(Paper_Reference[[#This Row],[Lvl]:[Paper Description]])</f>
        <v>3J57I8963QM33HIRAKATA D/F UV L FOUL 59.641X1101100SW813-6200ICE WHITE</v>
      </c>
      <c r="J2658" s="7">
        <f>COUNTIF(Paper_Reference[Duplicate Key],Paper_Reference[[#This Row],[Duplicate Key]])</f>
        <v>1</v>
      </c>
    </row>
    <row r="2659" spans="1:10">
      <c r="A2659" s="7">
        <v>3</v>
      </c>
      <c r="B2659" s="8" t="s">
        <v>8585</v>
      </c>
      <c r="C2659" s="8" t="s">
        <v>8375</v>
      </c>
      <c r="D2659" s="7">
        <v>1</v>
      </c>
      <c r="E2659" s="7">
        <v>10</v>
      </c>
      <c r="F2659" s="7">
        <v>1</v>
      </c>
      <c r="G2659" s="8" t="s">
        <v>8302</v>
      </c>
      <c r="H2659" s="8" t="s">
        <v>8303</v>
      </c>
      <c r="I2659" s="7" t="str">
        <f>_xlfn.CONCAT(Paper_Reference[[#This Row],[Lvl]:[Paper Description]])</f>
        <v>3J57I8992AM30HIRAKATA TEX UV R/A 59.641 X 11101100SW813-6200ICE WHITE</v>
      </c>
      <c r="J2659" s="7">
        <f>COUNTIF(Paper_Reference[Duplicate Key],Paper_Reference[[#This Row],[Duplicate Key]])</f>
        <v>1</v>
      </c>
    </row>
    <row r="2660" spans="1:10">
      <c r="A2660" s="7">
        <v>3</v>
      </c>
      <c r="B2660" s="8" t="s">
        <v>8586</v>
      </c>
      <c r="C2660" s="8" t="s">
        <v>8376</v>
      </c>
      <c r="D2660" s="7">
        <v>1</v>
      </c>
      <c r="E2660" s="7">
        <v>10</v>
      </c>
      <c r="F2660" s="7">
        <v>1</v>
      </c>
      <c r="G2660" s="8" t="s">
        <v>8302</v>
      </c>
      <c r="H2660" s="8" t="s">
        <v>8303</v>
      </c>
      <c r="I2660" s="7" t="str">
        <f>_xlfn.CONCAT(Paper_Reference[[#This Row],[Lvl]:[Paper Description]])</f>
        <v>3J57I8993AM31HIRAKATA TEX UV L/A 59.641 X 11101100SW813-6200ICE WHITE</v>
      </c>
      <c r="J2660" s="7">
        <f>COUNTIF(Paper_Reference[Duplicate Key],Paper_Reference[[#This Row],[Duplicate Key]])</f>
        <v>1</v>
      </c>
    </row>
    <row r="2661" spans="1:10">
      <c r="A2661" s="7">
        <v>3</v>
      </c>
      <c r="B2661" s="8" t="s">
        <v>9135</v>
      </c>
      <c r="C2661" s="8" t="s">
        <v>9079</v>
      </c>
      <c r="D2661" s="7">
        <v>1</v>
      </c>
      <c r="E2661" s="7">
        <v>10</v>
      </c>
      <c r="F2661" s="7">
        <v>1</v>
      </c>
      <c r="G2661" s="8" t="s">
        <v>219</v>
      </c>
      <c r="H2661" s="8" t="s">
        <v>427</v>
      </c>
      <c r="I2661" s="7" t="str">
        <f>_xlfn.CONCAT(Paper_Reference[[#This Row],[Lvl]:[Paper Description]])</f>
        <v>3J57I9360PM85SYN2 UV R L/O FOUL 41.875X1441101100WM321-4300IQ MAPLE LANE RH</v>
      </c>
      <c r="J2661" s="7">
        <f>COUNTIF(Paper_Reference[Duplicate Key],Paper_Reference[[#This Row],[Duplicate Key]])</f>
        <v>1</v>
      </c>
    </row>
    <row r="2662" spans="1:10">
      <c r="A2662" s="7">
        <v>3</v>
      </c>
      <c r="B2662" s="8" t="s">
        <v>9024</v>
      </c>
      <c r="C2662" s="8" t="s">
        <v>8970</v>
      </c>
      <c r="D2662" s="7">
        <v>1</v>
      </c>
      <c r="E2662" s="7">
        <v>10</v>
      </c>
      <c r="F2662" s="7">
        <v>1</v>
      </c>
      <c r="G2662" s="8" t="s">
        <v>218</v>
      </c>
      <c r="H2662" s="8" t="s">
        <v>426</v>
      </c>
      <c r="I2662" s="7" t="str">
        <f>_xlfn.CONCAT(Paper_Reference[[#This Row],[Lvl]:[Paper Description]])</f>
        <v>3J57I9361PM85SYN2 UV L L/O FOUL 41.875X1441101100WM311-4300IQ MAPLE LANE LH</v>
      </c>
      <c r="J2662" s="7">
        <f>COUNTIF(Paper_Reference[Duplicate Key],Paper_Reference[[#This Row],[Duplicate Key]])</f>
        <v>1</v>
      </c>
    </row>
    <row r="2663" spans="1:10">
      <c r="A2663" s="7">
        <v>2</v>
      </c>
      <c r="B2663" s="8" t="s">
        <v>7689</v>
      </c>
      <c r="C2663" s="8" t="s">
        <v>6988</v>
      </c>
      <c r="D2663" s="7">
        <v>1</v>
      </c>
      <c r="E2663" s="7">
        <v>10</v>
      </c>
      <c r="F2663" s="7">
        <v>2</v>
      </c>
      <c r="G2663" s="8" t="s">
        <v>6710</v>
      </c>
      <c r="H2663" s="8" t="s">
        <v>5691</v>
      </c>
      <c r="I2663" s="7" t="str">
        <f>_xlfn.CONCAT(Paper_Reference[[#This Row],[Lvl]:[Paper Description]])</f>
        <v>2J57RB006ASWGIMAFUKU UV W/WAY 42 7/8 X 1451102100DS009-5000FROSTY WHITE</v>
      </c>
      <c r="J2663" s="7">
        <f>COUNTIF(Paper_Reference[Duplicate Key],Paper_Reference[[#This Row],[Duplicate Key]])</f>
        <v>1</v>
      </c>
    </row>
    <row r="2664" spans="1:10">
      <c r="A2664" s="7">
        <v>2</v>
      </c>
      <c r="B2664" s="8" t="s">
        <v>6326</v>
      </c>
      <c r="C2664" s="8" t="s">
        <v>5852</v>
      </c>
      <c r="D2664" s="7">
        <v>1</v>
      </c>
      <c r="E2664" s="7">
        <v>10</v>
      </c>
      <c r="F2664" s="7">
        <v>0.5</v>
      </c>
      <c r="G2664" s="8" t="s">
        <v>5690</v>
      </c>
      <c r="H2664" s="8" t="s">
        <v>5691</v>
      </c>
      <c r="I2664" s="7" t="str">
        <f>_xlfn.CONCAT(Paper_Reference[[#This Row],[Lvl]:[Paper Description]])</f>
        <v>2J57RB007AM38IMAFUKU UV BALL RET 13.87X1441100.5100DS009-6200FROSTY WHITE</v>
      </c>
      <c r="J2664" s="7">
        <f>COUNTIF(Paper_Reference[Duplicate Key],Paper_Reference[[#This Row],[Duplicate Key]])</f>
        <v>1</v>
      </c>
    </row>
    <row r="2665" spans="1:10">
      <c r="A2665" s="7">
        <v>3</v>
      </c>
      <c r="B2665" s="8" t="s">
        <v>9131</v>
      </c>
      <c r="C2665" s="8" t="s">
        <v>9075</v>
      </c>
      <c r="D2665" s="7">
        <v>1</v>
      </c>
      <c r="E2665" s="7">
        <v>10</v>
      </c>
      <c r="F2665" s="7">
        <v>1</v>
      </c>
      <c r="G2665" s="8" t="s">
        <v>219</v>
      </c>
      <c r="H2665" s="8" t="s">
        <v>427</v>
      </c>
      <c r="I2665" s="7" t="str">
        <f>_xlfn.CONCAT(Paper_Reference[[#This Row],[Lvl]:[Paper Description]])</f>
        <v>3J58I9360PM85SYN2 R L/O FOUL 41.875 X 1441101100WM321-4300IQ MAPLE LANE RH</v>
      </c>
      <c r="J2665" s="7">
        <f>COUNTIF(Paper_Reference[Duplicate Key],Paper_Reference[[#This Row],[Duplicate Key]])</f>
        <v>1</v>
      </c>
    </row>
    <row r="2666" spans="1:10">
      <c r="A2666" s="7">
        <v>3</v>
      </c>
      <c r="B2666" s="8" t="s">
        <v>9020</v>
      </c>
      <c r="C2666" s="8" t="s">
        <v>8966</v>
      </c>
      <c r="D2666" s="7">
        <v>1</v>
      </c>
      <c r="E2666" s="7">
        <v>10</v>
      </c>
      <c r="F2666" s="7">
        <v>1</v>
      </c>
      <c r="G2666" s="8" t="s">
        <v>218</v>
      </c>
      <c r="H2666" s="8" t="s">
        <v>426</v>
      </c>
      <c r="I2666" s="7" t="str">
        <f>_xlfn.CONCAT(Paper_Reference[[#This Row],[Lvl]:[Paper Description]])</f>
        <v>3J58I9361PM85SYN2 L L/O FOUL 41.875 X 1441101100WM311-4300IQ MAPLE LANE LH</v>
      </c>
      <c r="J2666" s="7">
        <f>COUNTIF(Paper_Reference[Duplicate Key],Paper_Reference[[#This Row],[Duplicate Key]])</f>
        <v>1</v>
      </c>
    </row>
    <row r="2667" spans="1:10">
      <c r="A2667" s="7">
        <v>3</v>
      </c>
      <c r="B2667" s="8" t="s">
        <v>5621</v>
      </c>
      <c r="C2667" s="8" t="s">
        <v>5429</v>
      </c>
      <c r="D2667" s="7">
        <v>1</v>
      </c>
      <c r="E2667" s="7">
        <v>10</v>
      </c>
      <c r="F2667" s="7">
        <v>0.5</v>
      </c>
      <c r="G2667" s="8" t="s">
        <v>5373</v>
      </c>
      <c r="H2667" s="8" t="s">
        <v>5374</v>
      </c>
      <c r="I2667" s="7" t="str">
        <f>_xlfn.CONCAT(Paper_Reference[[#This Row],[Lvl]:[Paper Description]])</f>
        <v>3J59I8925AM38CL G/STOCK BALL RET 13.87X1441100.5100WW971-6200GUN SAVOY WALNUT</v>
      </c>
      <c r="J2667" s="7">
        <f>COUNTIF(Paper_Reference[Duplicate Key],Paper_Reference[[#This Row],[Duplicate Key]])</f>
        <v>1</v>
      </c>
    </row>
    <row r="2668" spans="1:10">
      <c r="A2668" s="7">
        <v>3</v>
      </c>
      <c r="B2668" s="8" t="s">
        <v>5622</v>
      </c>
      <c r="C2668" s="8" t="s">
        <v>5430</v>
      </c>
      <c r="D2668" s="7">
        <v>1</v>
      </c>
      <c r="E2668" s="7">
        <v>10</v>
      </c>
      <c r="F2668" s="7">
        <v>0.5</v>
      </c>
      <c r="G2668" s="8" t="s">
        <v>5373</v>
      </c>
      <c r="H2668" s="8" t="s">
        <v>5374</v>
      </c>
      <c r="I2668" s="7" t="str">
        <f>_xlfn.CONCAT(Paper_Reference[[#This Row],[Lvl]:[Paper Description]])</f>
        <v>3J59I8925AM39CL G/STOCK W BALL RET 14.7X1441100.5100WW971-6200GUN SAVOY WALNUT</v>
      </c>
      <c r="J2668" s="7">
        <f>COUNTIF(Paper_Reference[Duplicate Key],Paper_Reference[[#This Row],[Duplicate Key]])</f>
        <v>1</v>
      </c>
    </row>
    <row r="2669" spans="1:10">
      <c r="A2669" s="7">
        <v>3</v>
      </c>
      <c r="B2669" s="8" t="s">
        <v>5623</v>
      </c>
      <c r="C2669" s="8" t="s">
        <v>5431</v>
      </c>
      <c r="D2669" s="7">
        <v>1</v>
      </c>
      <c r="E2669" s="7">
        <v>10</v>
      </c>
      <c r="F2669" s="7">
        <v>1</v>
      </c>
      <c r="G2669" s="8" t="s">
        <v>5373</v>
      </c>
      <c r="H2669" s="8" t="s">
        <v>5374</v>
      </c>
      <c r="I2669" s="7" t="str">
        <f>_xlfn.CONCAT(Paper_Reference[[#This Row],[Lvl]:[Paper Description]])</f>
        <v>3J59I8925ASWGCL G/STOCK W/WAY 42 7/8X145 1/1101100WW971-6200GUN SAVOY WALNUT</v>
      </c>
      <c r="J2669" s="7">
        <f>COUNTIF(Paper_Reference[Duplicate Key],Paper_Reference[[#This Row],[Duplicate Key]])</f>
        <v>1</v>
      </c>
    </row>
    <row r="2670" spans="1:10">
      <c r="A2670" s="7">
        <v>2</v>
      </c>
      <c r="B2670" s="8" t="s">
        <v>535</v>
      </c>
      <c r="C2670" s="8" t="s">
        <v>307</v>
      </c>
      <c r="D2670" s="7">
        <v>1</v>
      </c>
      <c r="E2670" s="7">
        <v>10</v>
      </c>
      <c r="F2670" s="7">
        <v>0.25</v>
      </c>
      <c r="G2670" s="8" t="s">
        <v>217</v>
      </c>
      <c r="H2670" s="8" t="s">
        <v>3229</v>
      </c>
      <c r="I2670" s="7" t="str">
        <f>_xlfn.CONCAT(Paper_Reference[[#This Row],[Lvl]:[Paper Description]])</f>
        <v>2J59RB054AM38SOCHI H1 TEX RETURN 13.87X1441100.25100WM301-6200IQ MAPLE LANE (C) 60 X 144</v>
      </c>
      <c r="J2670" s="7">
        <f>COUNTIF(Paper_Reference[Duplicate Key],Paper_Reference[[#This Row],[Duplicate Key]])</f>
        <v>1</v>
      </c>
    </row>
    <row r="2671" spans="1:10">
      <c r="A2671" s="7">
        <v>2</v>
      </c>
      <c r="B2671" s="8" t="s">
        <v>535</v>
      </c>
      <c r="C2671" s="8" t="s">
        <v>307</v>
      </c>
      <c r="D2671" s="7">
        <v>1</v>
      </c>
      <c r="E2671" s="7">
        <v>10</v>
      </c>
      <c r="F2671" s="7">
        <v>0.25</v>
      </c>
      <c r="G2671" s="8" t="s">
        <v>217</v>
      </c>
      <c r="H2671" s="8" t="s">
        <v>425</v>
      </c>
      <c r="I2671" s="7" t="str">
        <f>_xlfn.CONCAT(Paper_Reference[[#This Row],[Lvl]:[Paper Description]])</f>
        <v>2J59RB054AM38SOCHI H1 TEX RETURN 13.87X1441100.25100WM301-6200IQ MAPLE LANE (CENTER)</v>
      </c>
      <c r="J2671" s="7">
        <f>COUNTIF(Paper_Reference[Duplicate Key],Paper_Reference[[#This Row],[Duplicate Key]])</f>
        <v>1</v>
      </c>
    </row>
    <row r="2672" spans="1:10">
      <c r="A2672" s="7">
        <v>2</v>
      </c>
      <c r="B2672" s="8" t="s">
        <v>599</v>
      </c>
      <c r="C2672" s="8" t="s">
        <v>367</v>
      </c>
      <c r="D2672" s="7">
        <v>1</v>
      </c>
      <c r="E2672" s="7">
        <v>10</v>
      </c>
      <c r="F2672" s="7">
        <v>1</v>
      </c>
      <c r="G2672" s="8" t="s">
        <v>218</v>
      </c>
      <c r="H2672" s="8" t="s">
        <v>426</v>
      </c>
      <c r="I2672" s="7" t="str">
        <f>_xlfn.CONCAT(Paper_Reference[[#This Row],[Lvl]:[Paper Description]])</f>
        <v>2J59RB055ASWGSOCHI B1 TEX FILL 42 7/8 X 1451101100WM311-4300IQ MAPLE LANE LH</v>
      </c>
      <c r="J2672" s="7">
        <f>COUNTIF(Paper_Reference[Duplicate Key],Paper_Reference[[#This Row],[Duplicate Key]])</f>
        <v>1</v>
      </c>
    </row>
    <row r="2673" spans="1:10">
      <c r="A2673" s="7">
        <v>2</v>
      </c>
      <c r="B2673" s="8" t="s">
        <v>536</v>
      </c>
      <c r="C2673" s="8" t="s">
        <v>308</v>
      </c>
      <c r="D2673" s="7">
        <v>1</v>
      </c>
      <c r="E2673" s="7">
        <v>10</v>
      </c>
      <c r="F2673" s="7">
        <v>0.25</v>
      </c>
      <c r="G2673" s="8" t="s">
        <v>217</v>
      </c>
      <c r="H2673" s="8" t="s">
        <v>3229</v>
      </c>
      <c r="I2673" s="7" t="str">
        <f>_xlfn.CONCAT(Paper_Reference[[#This Row],[Lvl]:[Paper Description]])</f>
        <v>2J59RB070AM38STREZ 1J TEX RETURN 13.87X1441100.25100WM301-6200IQ MAPLE LANE (C) 60 X 144</v>
      </c>
      <c r="J2673" s="7">
        <f>COUNTIF(Paper_Reference[Duplicate Key],Paper_Reference[[#This Row],[Duplicate Key]])</f>
        <v>1</v>
      </c>
    </row>
    <row r="2674" spans="1:10">
      <c r="A2674" s="7">
        <v>2</v>
      </c>
      <c r="B2674" s="8" t="s">
        <v>536</v>
      </c>
      <c r="C2674" s="8" t="s">
        <v>308</v>
      </c>
      <c r="D2674" s="7">
        <v>1</v>
      </c>
      <c r="E2674" s="7">
        <v>10</v>
      </c>
      <c r="F2674" s="7">
        <v>0.25</v>
      </c>
      <c r="G2674" s="8" t="s">
        <v>217</v>
      </c>
      <c r="H2674" s="8" t="s">
        <v>425</v>
      </c>
      <c r="I2674" s="7" t="str">
        <f>_xlfn.CONCAT(Paper_Reference[[#This Row],[Lvl]:[Paper Description]])</f>
        <v>2J59RB070AM38STREZ 1J TEX RETURN 13.87X1441100.25100WM301-6200IQ MAPLE LANE (CENTER)</v>
      </c>
      <c r="J2674" s="7">
        <f>COUNTIF(Paper_Reference[Duplicate Key],Paper_Reference[[#This Row],[Duplicate Key]])</f>
        <v>1</v>
      </c>
    </row>
    <row r="2675" spans="1:10">
      <c r="A2675" s="7">
        <v>2</v>
      </c>
      <c r="B2675" s="8" t="s">
        <v>600</v>
      </c>
      <c r="C2675" s="8" t="s">
        <v>368</v>
      </c>
      <c r="D2675" s="7">
        <v>1</v>
      </c>
      <c r="E2675" s="7">
        <v>10</v>
      </c>
      <c r="F2675" s="7">
        <v>1</v>
      </c>
      <c r="G2675" s="8" t="s">
        <v>218</v>
      </c>
      <c r="H2675" s="8" t="s">
        <v>426</v>
      </c>
      <c r="I2675" s="7" t="str">
        <f>_xlfn.CONCAT(Paper_Reference[[#This Row],[Lvl]:[Paper Description]])</f>
        <v>2J59RB071ASWGSTREZ 1L TEX FILL 42 7/8 X 1451101100WM311-4300IQ MAPLE LANE LH</v>
      </c>
      <c r="J2675" s="7">
        <f>COUNTIF(Paper_Reference[Duplicate Key],Paper_Reference[[#This Row],[Duplicate Key]])</f>
        <v>1</v>
      </c>
    </row>
    <row r="2676" spans="1:10">
      <c r="A2676" s="7">
        <v>2</v>
      </c>
      <c r="B2676" s="8" t="s">
        <v>537</v>
      </c>
      <c r="C2676" s="8" t="s">
        <v>309</v>
      </c>
      <c r="D2676" s="7">
        <v>1</v>
      </c>
      <c r="E2676" s="7">
        <v>10</v>
      </c>
      <c r="F2676" s="7">
        <v>0.25</v>
      </c>
      <c r="G2676" s="8" t="s">
        <v>217</v>
      </c>
      <c r="H2676" s="8" t="s">
        <v>3229</v>
      </c>
      <c r="I2676" s="7" t="str">
        <f>_xlfn.CONCAT(Paper_Reference[[#This Row],[Lvl]:[Paper Description]])</f>
        <v>2J59RB088AM38YAKU 1J TEX RETURN 13.87X1441100.25100WM301-6200IQ MAPLE LANE (C) 60 X 144</v>
      </c>
      <c r="J2676" s="7">
        <f>COUNTIF(Paper_Reference[Duplicate Key],Paper_Reference[[#This Row],[Duplicate Key]])</f>
        <v>1</v>
      </c>
    </row>
    <row r="2677" spans="1:10">
      <c r="A2677" s="7">
        <v>2</v>
      </c>
      <c r="B2677" s="8" t="s">
        <v>537</v>
      </c>
      <c r="C2677" s="8" t="s">
        <v>309</v>
      </c>
      <c r="D2677" s="7">
        <v>1</v>
      </c>
      <c r="E2677" s="7">
        <v>10</v>
      </c>
      <c r="F2677" s="7">
        <v>0.25</v>
      </c>
      <c r="G2677" s="8" t="s">
        <v>217</v>
      </c>
      <c r="H2677" s="8" t="s">
        <v>425</v>
      </c>
      <c r="I2677" s="7" t="str">
        <f>_xlfn.CONCAT(Paper_Reference[[#This Row],[Lvl]:[Paper Description]])</f>
        <v>2J59RB088AM38YAKU 1J TEX RETURN 13.87X1441100.25100WM301-6200IQ MAPLE LANE (CENTER)</v>
      </c>
      <c r="J2677" s="7">
        <f>COUNTIF(Paper_Reference[Duplicate Key],Paper_Reference[[#This Row],[Duplicate Key]])</f>
        <v>1</v>
      </c>
    </row>
    <row r="2678" spans="1:10">
      <c r="A2678" s="7">
        <v>2</v>
      </c>
      <c r="B2678" s="8" t="s">
        <v>601</v>
      </c>
      <c r="C2678" s="8" t="s">
        <v>369</v>
      </c>
      <c r="D2678" s="7">
        <v>1</v>
      </c>
      <c r="E2678" s="7">
        <v>10</v>
      </c>
      <c r="F2678" s="7">
        <v>1</v>
      </c>
      <c r="G2678" s="8" t="s">
        <v>218</v>
      </c>
      <c r="H2678" s="8" t="s">
        <v>426</v>
      </c>
      <c r="I2678" s="7" t="str">
        <f>_xlfn.CONCAT(Paper_Reference[[#This Row],[Lvl]:[Paper Description]])</f>
        <v>2J59RB089ASWGYAKU 1L TEX FILL 42 7/8 X 1451101100WM311-4300IQ MAPLE LANE LH</v>
      </c>
      <c r="J2678" s="7">
        <f>COUNTIF(Paper_Reference[Duplicate Key],Paper_Reference[[#This Row],[Duplicate Key]])</f>
        <v>1</v>
      </c>
    </row>
    <row r="2679" spans="1:10">
      <c r="A2679" s="7">
        <v>2</v>
      </c>
      <c r="B2679" s="8" t="s">
        <v>538</v>
      </c>
      <c r="C2679" s="8" t="s">
        <v>310</v>
      </c>
      <c r="D2679" s="7">
        <v>1</v>
      </c>
      <c r="E2679" s="7">
        <v>10</v>
      </c>
      <c r="F2679" s="7">
        <v>0.25</v>
      </c>
      <c r="G2679" s="8" t="s">
        <v>217</v>
      </c>
      <c r="H2679" s="8" t="s">
        <v>3229</v>
      </c>
      <c r="I2679" s="7" t="str">
        <f>_xlfn.CONCAT(Paper_Reference[[#This Row],[Lvl]:[Paper Description]])</f>
        <v>2J59RB190AM38OCEAN 1J TEX RET 13.87 X 1441100.25100WM301-6200IQ MAPLE LANE (C) 60 X 144</v>
      </c>
      <c r="J2679" s="7">
        <f>COUNTIF(Paper_Reference[Duplicate Key],Paper_Reference[[#This Row],[Duplicate Key]])</f>
        <v>1</v>
      </c>
    </row>
    <row r="2680" spans="1:10">
      <c r="A2680" s="7">
        <v>2</v>
      </c>
      <c r="B2680" s="8" t="s">
        <v>538</v>
      </c>
      <c r="C2680" s="8" t="s">
        <v>310</v>
      </c>
      <c r="D2680" s="7">
        <v>1</v>
      </c>
      <c r="E2680" s="7">
        <v>10</v>
      </c>
      <c r="F2680" s="7">
        <v>0.25</v>
      </c>
      <c r="G2680" s="8" t="s">
        <v>217</v>
      </c>
      <c r="H2680" s="8" t="s">
        <v>425</v>
      </c>
      <c r="I2680" s="7" t="str">
        <f>_xlfn.CONCAT(Paper_Reference[[#This Row],[Lvl]:[Paper Description]])</f>
        <v>2J59RB190AM38OCEAN 1J TEX RET 13.87 X 1441100.25100WM301-6200IQ MAPLE LANE (CENTER)</v>
      </c>
      <c r="J2680" s="7">
        <f>COUNTIF(Paper_Reference[Duplicate Key],Paper_Reference[[#This Row],[Duplicate Key]])</f>
        <v>1</v>
      </c>
    </row>
    <row r="2681" spans="1:10">
      <c r="A2681" s="7">
        <v>2</v>
      </c>
      <c r="B2681" s="8" t="s">
        <v>602</v>
      </c>
      <c r="C2681" s="8" t="s">
        <v>370</v>
      </c>
      <c r="D2681" s="7">
        <v>1</v>
      </c>
      <c r="E2681" s="7">
        <v>10</v>
      </c>
      <c r="F2681" s="7">
        <v>1</v>
      </c>
      <c r="G2681" s="8" t="s">
        <v>218</v>
      </c>
      <c r="H2681" s="8" t="s">
        <v>426</v>
      </c>
      <c r="I2681" s="7" t="str">
        <f>_xlfn.CONCAT(Paper_Reference[[#This Row],[Lvl]:[Paper Description]])</f>
        <v>2J59RB191ASWGOCEAN 1L TEX FILL 42 7/8X145 11101100WM311-4300IQ MAPLE LANE LH</v>
      </c>
      <c r="J2681" s="7">
        <f>COUNTIF(Paper_Reference[Duplicate Key],Paper_Reference[[#This Row],[Duplicate Key]])</f>
        <v>1</v>
      </c>
    </row>
    <row r="2682" spans="1:10">
      <c r="A2682" s="7">
        <v>2</v>
      </c>
      <c r="B2682" s="8" t="s">
        <v>539</v>
      </c>
      <c r="C2682" s="8" t="s">
        <v>311</v>
      </c>
      <c r="D2682" s="7">
        <v>1</v>
      </c>
      <c r="E2682" s="7">
        <v>10</v>
      </c>
      <c r="F2682" s="7">
        <v>0.33329999999999999</v>
      </c>
      <c r="G2682" s="8" t="s">
        <v>217</v>
      </c>
      <c r="H2682" s="8" t="s">
        <v>3229</v>
      </c>
      <c r="I2682" s="7" t="str">
        <f>_xlfn.CONCAT(Paper_Reference[[#This Row],[Lvl]:[Paper Description]])</f>
        <v>2J59RB192AM39OCEAN IJ TEX W/B RET 14.7X1441100.3333100WM301-6200IQ MAPLE LANE (C) 60 X 144</v>
      </c>
      <c r="J2682" s="7">
        <f>COUNTIF(Paper_Reference[Duplicate Key],Paper_Reference[[#This Row],[Duplicate Key]])</f>
        <v>1</v>
      </c>
    </row>
    <row r="2683" spans="1:10">
      <c r="A2683" s="7">
        <v>2</v>
      </c>
      <c r="B2683" s="8" t="s">
        <v>539</v>
      </c>
      <c r="C2683" s="8" t="s">
        <v>311</v>
      </c>
      <c r="D2683" s="7">
        <v>1</v>
      </c>
      <c r="E2683" s="7">
        <v>10</v>
      </c>
      <c r="F2683" s="7">
        <v>0.33329999999999999</v>
      </c>
      <c r="G2683" s="8" t="s">
        <v>217</v>
      </c>
      <c r="H2683" s="8" t="s">
        <v>425</v>
      </c>
      <c r="I2683" s="7" t="str">
        <f>_xlfn.CONCAT(Paper_Reference[[#This Row],[Lvl]:[Paper Description]])</f>
        <v>2J59RB192AM39OCEAN IJ TEX W/B RET 14.7X1441100.3333100WM301-6200IQ MAPLE LANE (CENTER)</v>
      </c>
      <c r="J2683" s="7">
        <f>COUNTIF(Paper_Reference[Duplicate Key],Paper_Reference[[#This Row],[Duplicate Key]])</f>
        <v>1</v>
      </c>
    </row>
    <row r="2684" spans="1:10">
      <c r="A2684" s="7">
        <v>2</v>
      </c>
      <c r="B2684" s="8" t="s">
        <v>540</v>
      </c>
      <c r="C2684" s="8" t="s">
        <v>312</v>
      </c>
      <c r="D2684" s="7">
        <v>1</v>
      </c>
      <c r="E2684" s="7">
        <v>10</v>
      </c>
      <c r="F2684" s="7">
        <v>0.25</v>
      </c>
      <c r="G2684" s="8" t="s">
        <v>217</v>
      </c>
      <c r="H2684" s="8" t="s">
        <v>3229</v>
      </c>
      <c r="I2684" s="7" t="str">
        <f>_xlfn.CONCAT(Paper_Reference[[#This Row],[Lvl]:[Paper Description]])</f>
        <v>2J59RB437AM38OCEAN 1J RET F/G 13.87 X 1441100.25100WM301-6200IQ MAPLE LANE (C) 60 X 144</v>
      </c>
      <c r="J2684" s="7">
        <f>COUNTIF(Paper_Reference[Duplicate Key],Paper_Reference[[#This Row],[Duplicate Key]])</f>
        <v>1</v>
      </c>
    </row>
    <row r="2685" spans="1:10">
      <c r="A2685" s="7">
        <v>2</v>
      </c>
      <c r="B2685" s="8" t="s">
        <v>540</v>
      </c>
      <c r="C2685" s="8" t="s">
        <v>312</v>
      </c>
      <c r="D2685" s="7">
        <v>1</v>
      </c>
      <c r="E2685" s="7">
        <v>10</v>
      </c>
      <c r="F2685" s="7">
        <v>0.25</v>
      </c>
      <c r="G2685" s="8" t="s">
        <v>217</v>
      </c>
      <c r="H2685" s="8" t="s">
        <v>425</v>
      </c>
      <c r="I2685" s="7" t="str">
        <f>_xlfn.CONCAT(Paper_Reference[[#This Row],[Lvl]:[Paper Description]])</f>
        <v>2J59RB437AM38OCEAN 1J RET F/G 13.87 X 1441100.25100WM301-6200IQ MAPLE LANE (CENTER)</v>
      </c>
      <c r="J2685" s="7">
        <f>COUNTIF(Paper_Reference[Duplicate Key],Paper_Reference[[#This Row],[Duplicate Key]])</f>
        <v>1</v>
      </c>
    </row>
    <row r="2686" spans="1:10">
      <c r="A2686" s="7">
        <v>3</v>
      </c>
      <c r="B2686" s="8" t="s">
        <v>541</v>
      </c>
      <c r="C2686" s="8" t="s">
        <v>313</v>
      </c>
      <c r="D2686" s="7">
        <v>1</v>
      </c>
      <c r="E2686" s="7">
        <v>10</v>
      </c>
      <c r="F2686" s="7">
        <v>1</v>
      </c>
      <c r="G2686" s="8" t="s">
        <v>217</v>
      </c>
      <c r="H2686" s="8" t="s">
        <v>3229</v>
      </c>
      <c r="I2686" s="7" t="str">
        <f>_xlfn.CONCAT(Paper_Reference[[#This Row],[Lvl]:[Paper Description]])</f>
        <v>3J59RB437QM32OCEAN 2B R/FOUL F/G 59.641X1441101100WM301-6200IQ MAPLE LANE (C) 60 X 144</v>
      </c>
      <c r="J2686" s="7">
        <f>COUNTIF(Paper_Reference[Duplicate Key],Paper_Reference[[#This Row],[Duplicate Key]])</f>
        <v>1</v>
      </c>
    </row>
    <row r="2687" spans="1:10">
      <c r="A2687" s="7">
        <v>3</v>
      </c>
      <c r="B2687" s="8" t="s">
        <v>541</v>
      </c>
      <c r="C2687" s="8" t="s">
        <v>313</v>
      </c>
      <c r="D2687" s="7">
        <v>1</v>
      </c>
      <c r="E2687" s="7">
        <v>10</v>
      </c>
      <c r="F2687" s="7">
        <v>1</v>
      </c>
      <c r="G2687" s="8" t="s">
        <v>217</v>
      </c>
      <c r="H2687" s="8" t="s">
        <v>425</v>
      </c>
      <c r="I2687" s="7" t="str">
        <f>_xlfn.CONCAT(Paper_Reference[[#This Row],[Lvl]:[Paper Description]])</f>
        <v>3J59RB437QM32OCEAN 2B R/FOUL F/G 59.641X1441101100WM301-6200IQ MAPLE LANE (CENTER)</v>
      </c>
      <c r="J2687" s="7">
        <f>COUNTIF(Paper_Reference[Duplicate Key],Paper_Reference[[#This Row],[Duplicate Key]])</f>
        <v>1</v>
      </c>
    </row>
    <row r="2688" spans="1:10">
      <c r="A2688" s="7">
        <v>3</v>
      </c>
      <c r="B2688" s="8" t="s">
        <v>542</v>
      </c>
      <c r="C2688" s="8" t="s">
        <v>314</v>
      </c>
      <c r="D2688" s="7">
        <v>1</v>
      </c>
      <c r="E2688" s="7">
        <v>10</v>
      </c>
      <c r="F2688" s="7">
        <v>1</v>
      </c>
      <c r="G2688" s="8" t="s">
        <v>217</v>
      </c>
      <c r="H2688" s="8" t="s">
        <v>3229</v>
      </c>
      <c r="I2688" s="7" t="str">
        <f>_xlfn.CONCAT(Paper_Reference[[#This Row],[Lvl]:[Paper Description]])</f>
        <v>3J59RB437QM33OCEAN 1B L/FOUL F/G 59.641X1441101100WM301-6200IQ MAPLE LANE (C) 60 X 144</v>
      </c>
      <c r="J2688" s="7">
        <f>COUNTIF(Paper_Reference[Duplicate Key],Paper_Reference[[#This Row],[Duplicate Key]])</f>
        <v>1</v>
      </c>
    </row>
    <row r="2689" spans="1:10">
      <c r="A2689" s="7">
        <v>3</v>
      </c>
      <c r="B2689" s="8" t="s">
        <v>542</v>
      </c>
      <c r="C2689" s="8" t="s">
        <v>314</v>
      </c>
      <c r="D2689" s="7">
        <v>1</v>
      </c>
      <c r="E2689" s="7">
        <v>10</v>
      </c>
      <c r="F2689" s="7">
        <v>1</v>
      </c>
      <c r="G2689" s="8" t="s">
        <v>217</v>
      </c>
      <c r="H2689" s="8" t="s">
        <v>425</v>
      </c>
      <c r="I2689" s="7" t="str">
        <f>_xlfn.CONCAT(Paper_Reference[[#This Row],[Lvl]:[Paper Description]])</f>
        <v>3J59RB437QM33OCEAN 1B L/FOUL F/G 59.641X1441101100WM301-6200IQ MAPLE LANE (CENTER)</v>
      </c>
      <c r="J2689" s="7">
        <f>COUNTIF(Paper_Reference[Duplicate Key],Paper_Reference[[#This Row],[Duplicate Key]])</f>
        <v>1</v>
      </c>
    </row>
    <row r="2690" spans="1:10">
      <c r="A2690" s="7">
        <v>2</v>
      </c>
      <c r="B2690" s="8" t="s">
        <v>603</v>
      </c>
      <c r="C2690" s="8" t="s">
        <v>371</v>
      </c>
      <c r="D2690" s="7">
        <v>1</v>
      </c>
      <c r="E2690" s="7">
        <v>10</v>
      </c>
      <c r="F2690" s="7">
        <v>1</v>
      </c>
      <c r="G2690" s="8" t="s">
        <v>218</v>
      </c>
      <c r="H2690" s="8" t="s">
        <v>426</v>
      </c>
      <c r="I2690" s="7" t="str">
        <f>_xlfn.CONCAT(Paper_Reference[[#This Row],[Lvl]:[Paper Description]])</f>
        <v>2J59RB438ASWGOCEAN 1L FILL F/G 42 7/8X145 11101100WM311-4300IQ MAPLE LANE LH</v>
      </c>
      <c r="J2690" s="7">
        <f>COUNTIF(Paper_Reference[Duplicate Key],Paper_Reference[[#This Row],[Duplicate Key]])</f>
        <v>1</v>
      </c>
    </row>
    <row r="2691" spans="1:10">
      <c r="A2691" s="7">
        <v>2</v>
      </c>
      <c r="B2691" s="8" t="s">
        <v>543</v>
      </c>
      <c r="C2691" s="8" t="s">
        <v>315</v>
      </c>
      <c r="D2691" s="7">
        <v>1</v>
      </c>
      <c r="E2691" s="7">
        <v>10</v>
      </c>
      <c r="F2691" s="7">
        <v>0.25</v>
      </c>
      <c r="G2691" s="8" t="s">
        <v>217</v>
      </c>
      <c r="H2691" s="8" t="s">
        <v>3229</v>
      </c>
      <c r="I2691" s="7" t="str">
        <f>_xlfn.CONCAT(Paper_Reference[[#This Row],[Lvl]:[Paper Description]])</f>
        <v>2J59WM301AM38KINGSVILLE 1J TEX RET 13.87X141100.25100WM301-6200IQ MAPLE LANE (C) 60 X 144</v>
      </c>
      <c r="J2691" s="7">
        <f>COUNTIF(Paper_Reference[Duplicate Key],Paper_Reference[[#This Row],[Duplicate Key]])</f>
        <v>1</v>
      </c>
    </row>
    <row r="2692" spans="1:10">
      <c r="A2692" s="7">
        <v>2</v>
      </c>
      <c r="B2692" s="8" t="s">
        <v>543</v>
      </c>
      <c r="C2692" s="8" t="s">
        <v>315</v>
      </c>
      <c r="D2692" s="7">
        <v>1</v>
      </c>
      <c r="E2692" s="7">
        <v>10</v>
      </c>
      <c r="F2692" s="7">
        <v>0.25</v>
      </c>
      <c r="G2692" s="8" t="s">
        <v>217</v>
      </c>
      <c r="H2692" s="8" t="s">
        <v>425</v>
      </c>
      <c r="I2692" s="7" t="str">
        <f>_xlfn.CONCAT(Paper_Reference[[#This Row],[Lvl]:[Paper Description]])</f>
        <v>2J59WM301AM38KINGSVILLE 1J TEX RET 13.87X141100.25100WM301-6200IQ MAPLE LANE (CENTER)</v>
      </c>
      <c r="J2692" s="7">
        <f>COUNTIF(Paper_Reference[Duplicate Key],Paper_Reference[[#This Row],[Duplicate Key]])</f>
        <v>1</v>
      </c>
    </row>
    <row r="2693" spans="1:10">
      <c r="A2693" s="7">
        <v>2</v>
      </c>
      <c r="B2693" s="8" t="s">
        <v>604</v>
      </c>
      <c r="C2693" s="8" t="s">
        <v>372</v>
      </c>
      <c r="D2693" s="7">
        <v>1</v>
      </c>
      <c r="E2693" s="7">
        <v>10</v>
      </c>
      <c r="F2693" s="7">
        <v>1</v>
      </c>
      <c r="G2693" s="8" t="s">
        <v>218</v>
      </c>
      <c r="H2693" s="8" t="s">
        <v>426</v>
      </c>
      <c r="I2693" s="7" t="str">
        <f>_xlfn.CONCAT(Paper_Reference[[#This Row],[Lvl]:[Paper Description]])</f>
        <v>2J59WM311ASWGKINGSVILLE 1L FILL 42 7/8X1451101100WM311-4300IQ MAPLE LANE LH</v>
      </c>
      <c r="J2693" s="7">
        <f>COUNTIF(Paper_Reference[Duplicate Key],Paper_Reference[[#This Row],[Duplicate Key]])</f>
        <v>1</v>
      </c>
    </row>
    <row r="2694" spans="1:10">
      <c r="A2694" s="7">
        <v>2</v>
      </c>
      <c r="B2694" s="8" t="s">
        <v>6327</v>
      </c>
      <c r="C2694" s="8" t="s">
        <v>5798</v>
      </c>
      <c r="D2694" s="7">
        <v>1</v>
      </c>
      <c r="E2694" s="7">
        <v>10</v>
      </c>
      <c r="F2694" s="7">
        <v>0.5</v>
      </c>
      <c r="G2694" s="8" t="s">
        <v>5690</v>
      </c>
      <c r="H2694" s="8" t="s">
        <v>5691</v>
      </c>
      <c r="I2694" s="7" t="str">
        <f>_xlfn.CONCAT(Paper_Reference[[#This Row],[Lvl]:[Paper Description]])</f>
        <v>2J60RB038AM38BASS PRO FISH B/RET 13.87X1441100.5100DS009-6200FROSTY WHITE</v>
      </c>
      <c r="J2694" s="7">
        <f>COUNTIF(Paper_Reference[Duplicate Key],Paper_Reference[[#This Row],[Duplicate Key]])</f>
        <v>1</v>
      </c>
    </row>
    <row r="2695" spans="1:10">
      <c r="A2695" s="7">
        <v>2</v>
      </c>
      <c r="B2695" s="8" t="s">
        <v>6328</v>
      </c>
      <c r="C2695" s="8" t="s">
        <v>5853</v>
      </c>
      <c r="D2695" s="7">
        <v>1</v>
      </c>
      <c r="E2695" s="7">
        <v>10</v>
      </c>
      <c r="F2695" s="7">
        <v>0.5</v>
      </c>
      <c r="G2695" s="8" t="s">
        <v>5690</v>
      </c>
      <c r="H2695" s="8" t="s">
        <v>5691</v>
      </c>
      <c r="I2695" s="7" t="str">
        <f>_xlfn.CONCAT(Paper_Reference[[#This Row],[Lvl]:[Paper Description]])</f>
        <v>2J60RB126AM38KRAS VIP IJ RETURN 13.87 X 1441100.5100DS009-6200FROSTY WHITE</v>
      </c>
      <c r="J2695" s="7">
        <f>COUNTIF(Paper_Reference[Duplicate Key],Paper_Reference[[#This Row],[Duplicate Key]])</f>
        <v>1</v>
      </c>
    </row>
    <row r="2696" spans="1:10">
      <c r="A2696" s="7">
        <v>2</v>
      </c>
      <c r="B2696" s="8" t="s">
        <v>7690</v>
      </c>
      <c r="C2696" s="8" t="s">
        <v>6989</v>
      </c>
      <c r="D2696" s="7">
        <v>1</v>
      </c>
      <c r="E2696" s="7">
        <v>10</v>
      </c>
      <c r="F2696" s="7">
        <v>2</v>
      </c>
      <c r="G2696" s="8" t="s">
        <v>6710</v>
      </c>
      <c r="H2696" s="8" t="s">
        <v>5691</v>
      </c>
      <c r="I2696" s="7" t="str">
        <f>_xlfn.CONCAT(Paper_Reference[[#This Row],[Lvl]:[Paper Description]])</f>
        <v>2J60RB127ASWGKRAS VIP 1L W/WAY 42 7/8X145 11102100DS009-5000FROSTY WHITE</v>
      </c>
      <c r="J2696" s="7">
        <f>COUNTIF(Paper_Reference[Duplicate Key],Paper_Reference[[#This Row],[Duplicate Key]])</f>
        <v>1</v>
      </c>
    </row>
    <row r="2697" spans="1:10">
      <c r="A2697" s="7">
        <v>2</v>
      </c>
      <c r="B2697" s="8" t="s">
        <v>6329</v>
      </c>
      <c r="C2697" s="8" t="s">
        <v>5854</v>
      </c>
      <c r="D2697" s="7">
        <v>1</v>
      </c>
      <c r="E2697" s="7">
        <v>10</v>
      </c>
      <c r="F2697" s="7">
        <v>0.5</v>
      </c>
      <c r="G2697" s="8" t="s">
        <v>5690</v>
      </c>
      <c r="H2697" s="8" t="s">
        <v>5691</v>
      </c>
      <c r="I2697" s="7" t="str">
        <f>_xlfn.CONCAT(Paper_Reference[[#This Row],[Lvl]:[Paper Description]])</f>
        <v>2J60RB229AM38CLA 1E RETURN PANEL 13.87 X 141100.5100DS009-6200FROSTY WHITE</v>
      </c>
      <c r="J2697" s="7">
        <f>COUNTIF(Paper_Reference[Duplicate Key],Paper_Reference[[#This Row],[Duplicate Key]])</f>
        <v>1</v>
      </c>
    </row>
    <row r="2698" spans="1:10">
      <c r="A2698" s="7">
        <v>2</v>
      </c>
      <c r="B2698" s="8" t="s">
        <v>6330</v>
      </c>
      <c r="C2698" s="8" t="s">
        <v>5855</v>
      </c>
      <c r="D2698" s="7">
        <v>1</v>
      </c>
      <c r="E2698" s="7">
        <v>10</v>
      </c>
      <c r="F2698" s="7">
        <v>0.66669999999999996</v>
      </c>
      <c r="G2698" s="8" t="s">
        <v>5690</v>
      </c>
      <c r="H2698" s="8" t="s">
        <v>5691</v>
      </c>
      <c r="I2698" s="7" t="str">
        <f>_xlfn.CONCAT(Paper_Reference[[#This Row],[Lvl]:[Paper Description]])</f>
        <v>2J60RB237AM39CCP RETURN PANEL 14.7 X 1441100.6667100DS009-6200FROSTY WHITE</v>
      </c>
      <c r="J2698" s="7">
        <f>COUNTIF(Paper_Reference[Duplicate Key],Paper_Reference[[#This Row],[Duplicate Key]])</f>
        <v>1</v>
      </c>
    </row>
    <row r="2699" spans="1:10">
      <c r="A2699" s="7">
        <v>2</v>
      </c>
      <c r="B2699" s="8" t="s">
        <v>6331</v>
      </c>
      <c r="C2699" s="8" t="s">
        <v>5856</v>
      </c>
      <c r="D2699" s="7">
        <v>1</v>
      </c>
      <c r="E2699" s="7">
        <v>10</v>
      </c>
      <c r="F2699" s="7">
        <v>0.33329999999999999</v>
      </c>
      <c r="G2699" s="8" t="s">
        <v>5690</v>
      </c>
      <c r="H2699" s="8" t="s">
        <v>5691</v>
      </c>
      <c r="I2699" s="7" t="str">
        <f>_xlfn.CONCAT(Paper_Reference[[#This Row],[Lvl]:[Paper Description]])</f>
        <v>2J60RB238AB19CCP RETURN PANEL 14.7 X 721100.3333100DS009-6200FROSTY WHITE</v>
      </c>
      <c r="J2699" s="7">
        <f>COUNTIF(Paper_Reference[Duplicate Key],Paper_Reference[[#This Row],[Duplicate Key]])</f>
        <v>1</v>
      </c>
    </row>
    <row r="2700" spans="1:10">
      <c r="A2700" s="7">
        <v>2</v>
      </c>
      <c r="B2700" s="8" t="s">
        <v>6332</v>
      </c>
      <c r="C2700" s="8" t="s">
        <v>5857</v>
      </c>
      <c r="D2700" s="7">
        <v>1</v>
      </c>
      <c r="E2700" s="7">
        <v>10</v>
      </c>
      <c r="F2700" s="7">
        <v>0.5</v>
      </c>
      <c r="G2700" s="8" t="s">
        <v>5690</v>
      </c>
      <c r="H2700" s="8" t="s">
        <v>5691</v>
      </c>
      <c r="I2700" s="7" t="str">
        <f>_xlfn.CONCAT(Paper_Reference[[#This Row],[Lvl]:[Paper Description]])</f>
        <v>2J60RB249AM38OLL NARROW RETURN 13.87X1441100.5100DS009-6200FROSTY WHITE</v>
      </c>
      <c r="J2700" s="7">
        <f>COUNTIF(Paper_Reference[Duplicate Key],Paper_Reference[[#This Row],[Duplicate Key]])</f>
        <v>1</v>
      </c>
    </row>
    <row r="2701" spans="1:10">
      <c r="A2701" s="7">
        <v>2</v>
      </c>
      <c r="B2701" s="8" t="s">
        <v>6333</v>
      </c>
      <c r="C2701" s="8" t="s">
        <v>5858</v>
      </c>
      <c r="D2701" s="7">
        <v>1</v>
      </c>
      <c r="E2701" s="7">
        <v>10</v>
      </c>
      <c r="F2701" s="7">
        <v>0.33329999999999999</v>
      </c>
      <c r="G2701" s="8" t="s">
        <v>5690</v>
      </c>
      <c r="H2701" s="8" t="s">
        <v>5691</v>
      </c>
      <c r="I2701" s="7" t="str">
        <f>_xlfn.CONCAT(Paper_Reference[[#This Row],[Lvl]:[Paper Description]])</f>
        <v>2J60RB250AB19BAD PART USE B221100.3333100DS009-6200FROSTY WHITE</v>
      </c>
      <c r="J2701" s="7">
        <f>COUNTIF(Paper_Reference[Duplicate Key],Paper_Reference[[#This Row],[Duplicate Key]])</f>
        <v>1</v>
      </c>
    </row>
    <row r="2702" spans="1:10">
      <c r="A2702" s="7">
        <v>2</v>
      </c>
      <c r="B2702" s="8" t="s">
        <v>6334</v>
      </c>
      <c r="C2702" s="8" t="s">
        <v>5859</v>
      </c>
      <c r="D2702" s="7">
        <v>1</v>
      </c>
      <c r="E2702" s="7">
        <v>10</v>
      </c>
      <c r="F2702" s="7">
        <v>0.25</v>
      </c>
      <c r="G2702" s="8" t="s">
        <v>5690</v>
      </c>
      <c r="H2702" s="8" t="s">
        <v>5691</v>
      </c>
      <c r="I2702" s="7" t="str">
        <f>_xlfn.CONCAT(Paper_Reference[[#This Row],[Lvl]:[Paper Description]])</f>
        <v>2J60RB250AB22OLL SHORT NAR RETURN 13.87X721100.25100DS009-6200FROSTY WHITE</v>
      </c>
      <c r="J2702" s="7">
        <f>COUNTIF(Paper_Reference[Duplicate Key],Paper_Reference[[#This Row],[Duplicate Key]])</f>
        <v>1</v>
      </c>
    </row>
    <row r="2703" spans="1:10">
      <c r="A2703" s="7">
        <v>2</v>
      </c>
      <c r="B2703" s="8" t="s">
        <v>6335</v>
      </c>
      <c r="C2703" s="8" t="s">
        <v>5860</v>
      </c>
      <c r="D2703" s="7">
        <v>1</v>
      </c>
      <c r="E2703" s="7">
        <v>10</v>
      </c>
      <c r="F2703" s="7">
        <v>0.5</v>
      </c>
      <c r="G2703" s="8" t="s">
        <v>5690</v>
      </c>
      <c r="H2703" s="8" t="s">
        <v>5691</v>
      </c>
      <c r="I2703" s="7" t="str">
        <f>_xlfn.CONCAT(Paper_Reference[[#This Row],[Lvl]:[Paper Description]])</f>
        <v>2J60RB258AM38MAG NARROW RETURN 13.87X1441100.5100DS009-6200FROSTY WHITE</v>
      </c>
      <c r="J2703" s="7">
        <f>COUNTIF(Paper_Reference[Duplicate Key],Paper_Reference[[#This Row],[Duplicate Key]])</f>
        <v>1</v>
      </c>
    </row>
    <row r="2704" spans="1:10">
      <c r="A2704" s="7">
        <v>2</v>
      </c>
      <c r="B2704" s="8" t="s">
        <v>6336</v>
      </c>
      <c r="C2704" s="8" t="s">
        <v>5861</v>
      </c>
      <c r="D2704" s="7">
        <v>1</v>
      </c>
      <c r="E2704" s="7">
        <v>10</v>
      </c>
      <c r="F2704" s="7">
        <v>0.33329999999999999</v>
      </c>
      <c r="G2704" s="8" t="s">
        <v>5690</v>
      </c>
      <c r="H2704" s="8" t="s">
        <v>5691</v>
      </c>
      <c r="I2704" s="7" t="str">
        <f>_xlfn.CONCAT(Paper_Reference[[#This Row],[Lvl]:[Paper Description]])</f>
        <v>2J60RB259AB19MAG SHORT NAR RETURN 14.7X721100.3333100DS009-6200FROSTY WHITE</v>
      </c>
      <c r="J2704" s="7">
        <f>COUNTIF(Paper_Reference[Duplicate Key],Paper_Reference[[#This Row],[Duplicate Key]])</f>
        <v>1</v>
      </c>
    </row>
    <row r="2705" spans="1:10">
      <c r="A2705" s="7">
        <v>2</v>
      </c>
      <c r="B2705" s="8" t="s">
        <v>6337</v>
      </c>
      <c r="C2705" s="8" t="s">
        <v>5862</v>
      </c>
      <c r="D2705" s="7">
        <v>1</v>
      </c>
      <c r="E2705" s="7">
        <v>10</v>
      </c>
      <c r="F2705" s="7">
        <v>0.25</v>
      </c>
      <c r="G2705" s="8" t="s">
        <v>5690</v>
      </c>
      <c r="H2705" s="8" t="s">
        <v>5691</v>
      </c>
      <c r="I2705" s="7" t="str">
        <f>_xlfn.CONCAT(Paper_Reference[[#This Row],[Lvl]:[Paper Description]])</f>
        <v>2J60RB259AB22MAG SHORT NAR RETURN 13.87X721100.25100DS009-6200FROSTY WHITE</v>
      </c>
      <c r="J2705" s="7">
        <f>COUNTIF(Paper_Reference[Duplicate Key],Paper_Reference[[#This Row],[Duplicate Key]])</f>
        <v>1</v>
      </c>
    </row>
    <row r="2706" spans="1:10">
      <c r="A2706" s="7">
        <v>2</v>
      </c>
      <c r="B2706" s="8" t="s">
        <v>6338</v>
      </c>
      <c r="C2706" s="8" t="s">
        <v>5863</v>
      </c>
      <c r="D2706" s="7">
        <v>1</v>
      </c>
      <c r="E2706" s="7">
        <v>10</v>
      </c>
      <c r="F2706" s="7">
        <v>0.5</v>
      </c>
      <c r="G2706" s="8" t="s">
        <v>5690</v>
      </c>
      <c r="H2706" s="8" t="s">
        <v>5691</v>
      </c>
      <c r="I2706" s="7" t="str">
        <f>_xlfn.CONCAT(Paper_Reference[[#This Row],[Lvl]:[Paper Description]])</f>
        <v>2J60RB267AM38BIRUSINSK NAR RET 13.87 X 1441100.5100DS009-6200FROSTY WHITE</v>
      </c>
      <c r="J2706" s="7">
        <f>COUNTIF(Paper_Reference[Duplicate Key],Paper_Reference[[#This Row],[Duplicate Key]])</f>
        <v>1</v>
      </c>
    </row>
    <row r="2707" spans="1:10">
      <c r="A2707" s="7">
        <v>2</v>
      </c>
      <c r="B2707" s="8" t="s">
        <v>6339</v>
      </c>
      <c r="C2707" s="8" t="s">
        <v>5864</v>
      </c>
      <c r="D2707" s="7">
        <v>1</v>
      </c>
      <c r="E2707" s="7">
        <v>10</v>
      </c>
      <c r="F2707" s="7">
        <v>0.25</v>
      </c>
      <c r="G2707" s="8" t="s">
        <v>5690</v>
      </c>
      <c r="H2707" s="8" t="s">
        <v>5691</v>
      </c>
      <c r="I2707" s="7" t="str">
        <f>_xlfn.CONCAT(Paper_Reference[[#This Row],[Lvl]:[Paper Description]])</f>
        <v>2J60RB268AB22BIRUSINSK SH NAR RET 13.87X721100.25100DS009-6200FROSTY WHITE</v>
      </c>
      <c r="J2707" s="7">
        <f>COUNTIF(Paper_Reference[Duplicate Key],Paper_Reference[[#This Row],[Duplicate Key]])</f>
        <v>1</v>
      </c>
    </row>
    <row r="2708" spans="1:10">
      <c r="A2708" s="7">
        <v>2</v>
      </c>
      <c r="B2708" s="8" t="s">
        <v>7691</v>
      </c>
      <c r="C2708" s="8" t="s">
        <v>6990</v>
      </c>
      <c r="D2708" s="7">
        <v>1</v>
      </c>
      <c r="E2708" s="7">
        <v>10</v>
      </c>
      <c r="F2708" s="7">
        <v>2</v>
      </c>
      <c r="G2708" s="8" t="s">
        <v>6710</v>
      </c>
      <c r="H2708" s="8" t="s">
        <v>5691</v>
      </c>
      <c r="I2708" s="7" t="str">
        <f>_xlfn.CONCAT(Paper_Reference[[#This Row],[Lvl]:[Paper Description]])</f>
        <v>2J60RB269ASWGGELENDJIK W/WAY 42 7/8X145 1/41102100DS009-5000FROSTY WHITE</v>
      </c>
      <c r="J2708" s="7">
        <f>COUNTIF(Paper_Reference[Duplicate Key],Paper_Reference[[#This Row],[Duplicate Key]])</f>
        <v>1</v>
      </c>
    </row>
    <row r="2709" spans="1:10">
      <c r="A2709" s="7">
        <v>2</v>
      </c>
      <c r="B2709" s="8" t="s">
        <v>7692</v>
      </c>
      <c r="C2709" s="8" t="s">
        <v>6991</v>
      </c>
      <c r="D2709" s="7">
        <v>1</v>
      </c>
      <c r="E2709" s="7">
        <v>10</v>
      </c>
      <c r="F2709" s="7">
        <v>1</v>
      </c>
      <c r="G2709" s="8" t="s">
        <v>6710</v>
      </c>
      <c r="H2709" s="8" t="s">
        <v>5691</v>
      </c>
      <c r="I2709" s="7" t="str">
        <f>_xlfn.CONCAT(Paper_Reference[[#This Row],[Lvl]:[Paper Description]])</f>
        <v>2J60RB270AB24GELENDJIK S WALK 42 7/8 X 721101100DS009-5000FROSTY WHITE</v>
      </c>
      <c r="J2709" s="7">
        <f>COUNTIF(Paper_Reference[Duplicate Key],Paper_Reference[[#This Row],[Duplicate Key]])</f>
        <v>1</v>
      </c>
    </row>
    <row r="2710" spans="1:10">
      <c r="A2710" s="7">
        <v>2</v>
      </c>
      <c r="B2710" s="8" t="s">
        <v>6340</v>
      </c>
      <c r="C2710" s="8" t="s">
        <v>5865</v>
      </c>
      <c r="D2710" s="7">
        <v>1</v>
      </c>
      <c r="E2710" s="7">
        <v>10</v>
      </c>
      <c r="F2710" s="7">
        <v>0.5</v>
      </c>
      <c r="G2710" s="8" t="s">
        <v>5690</v>
      </c>
      <c r="H2710" s="8" t="s">
        <v>5691</v>
      </c>
      <c r="I2710" s="7" t="str">
        <f>_xlfn.CONCAT(Paper_Reference[[#This Row],[Lvl]:[Paper Description]])</f>
        <v>2J60RB280AM38NASCAR NAR RET 13.87 X 1441100.5100DS009-6200FROSTY WHITE</v>
      </c>
      <c r="J2710" s="7">
        <f>COUNTIF(Paper_Reference[Duplicate Key],Paper_Reference[[#This Row],[Duplicate Key]])</f>
        <v>1</v>
      </c>
    </row>
    <row r="2711" spans="1:10">
      <c r="A2711" s="7">
        <v>2</v>
      </c>
      <c r="B2711" s="8" t="s">
        <v>6341</v>
      </c>
      <c r="C2711" s="8" t="s">
        <v>5866</v>
      </c>
      <c r="D2711" s="7">
        <v>1</v>
      </c>
      <c r="E2711" s="7">
        <v>10</v>
      </c>
      <c r="F2711" s="7">
        <v>0.25</v>
      </c>
      <c r="G2711" s="8" t="s">
        <v>5690</v>
      </c>
      <c r="H2711" s="8" t="s">
        <v>5691</v>
      </c>
      <c r="I2711" s="7" t="str">
        <f>_xlfn.CONCAT(Paper_Reference[[#This Row],[Lvl]:[Paper Description]])</f>
        <v>2J60RB281AB22NASCAR SH NAR RET 13.87X721100.25100DS009-6200FROSTY WHITE</v>
      </c>
      <c r="J2711" s="7">
        <f>COUNTIF(Paper_Reference[Duplicate Key],Paper_Reference[[#This Row],[Duplicate Key]])</f>
        <v>1</v>
      </c>
    </row>
    <row r="2712" spans="1:10">
      <c r="A2712" s="7">
        <v>2</v>
      </c>
      <c r="B2712" s="8" t="s">
        <v>6342</v>
      </c>
      <c r="C2712" s="8" t="s">
        <v>5867</v>
      </c>
      <c r="D2712" s="7">
        <v>1</v>
      </c>
      <c r="E2712" s="7">
        <v>10</v>
      </c>
      <c r="F2712" s="7">
        <v>0.5</v>
      </c>
      <c r="G2712" s="8" t="s">
        <v>5690</v>
      </c>
      <c r="H2712" s="8" t="s">
        <v>5691</v>
      </c>
      <c r="I2712" s="7" t="str">
        <f>_xlfn.CONCAT(Paper_Reference[[#This Row],[Lvl]:[Paper Description]])</f>
        <v>2J60RB300AM38MONOLIT NAR RET 13.87 X 1441100.5100DS009-6200FROSTY WHITE</v>
      </c>
      <c r="J2712" s="7">
        <f>COUNTIF(Paper_Reference[Duplicate Key],Paper_Reference[[#This Row],[Duplicate Key]])</f>
        <v>1</v>
      </c>
    </row>
    <row r="2713" spans="1:10">
      <c r="A2713" s="7">
        <v>2</v>
      </c>
      <c r="B2713" s="8" t="s">
        <v>6343</v>
      </c>
      <c r="C2713" s="8" t="s">
        <v>5868</v>
      </c>
      <c r="D2713" s="7">
        <v>1</v>
      </c>
      <c r="E2713" s="7">
        <v>10</v>
      </c>
      <c r="F2713" s="7">
        <v>0.25</v>
      </c>
      <c r="G2713" s="8" t="s">
        <v>5690</v>
      </c>
      <c r="H2713" s="8" t="s">
        <v>5691</v>
      </c>
      <c r="I2713" s="7" t="str">
        <f>_xlfn.CONCAT(Paper_Reference[[#This Row],[Lvl]:[Paper Description]])</f>
        <v>2J60RB301AB22MONOLIT SH NAR RET 13.87X721100.25100DS009-6200FROSTY WHITE</v>
      </c>
      <c r="J2713" s="7">
        <f>COUNTIF(Paper_Reference[Duplicate Key],Paper_Reference[[#This Row],[Duplicate Key]])</f>
        <v>1</v>
      </c>
    </row>
    <row r="2714" spans="1:10">
      <c r="A2714" s="7">
        <v>2</v>
      </c>
      <c r="B2714" s="8" t="s">
        <v>6344</v>
      </c>
      <c r="C2714" s="8" t="s">
        <v>5869</v>
      </c>
      <c r="D2714" s="7">
        <v>1</v>
      </c>
      <c r="E2714" s="7">
        <v>10</v>
      </c>
      <c r="F2714" s="7">
        <v>0.5</v>
      </c>
      <c r="G2714" s="8" t="s">
        <v>5690</v>
      </c>
      <c r="H2714" s="8" t="s">
        <v>5691</v>
      </c>
      <c r="I2714" s="7" t="str">
        <f>_xlfn.CONCAT(Paper_Reference[[#This Row],[Lvl]:[Paper Description]])</f>
        <v>2J60RB308AM38MEGASTROJ NAR RET 13.87 X 1441100.5100DS009-6200FROSTY WHITE</v>
      </c>
      <c r="J2714" s="7">
        <f>COUNTIF(Paper_Reference[Duplicate Key],Paper_Reference[[#This Row],[Duplicate Key]])</f>
        <v>1</v>
      </c>
    </row>
    <row r="2715" spans="1:10">
      <c r="A2715" s="7">
        <v>2</v>
      </c>
      <c r="B2715" s="8" t="s">
        <v>6345</v>
      </c>
      <c r="C2715" s="8" t="s">
        <v>5870</v>
      </c>
      <c r="D2715" s="7">
        <v>1</v>
      </c>
      <c r="E2715" s="7">
        <v>10</v>
      </c>
      <c r="F2715" s="7">
        <v>0.5</v>
      </c>
      <c r="G2715" s="8" t="s">
        <v>5690</v>
      </c>
      <c r="H2715" s="8" t="s">
        <v>5691</v>
      </c>
      <c r="I2715" s="7" t="str">
        <f>_xlfn.CONCAT(Paper_Reference[[#This Row],[Lvl]:[Paper Description]])</f>
        <v>2J60RB316AM38GLAZOW NAR RET 13.87 X 1441100.5100DS009-6200FROSTY WHITE</v>
      </c>
      <c r="J2715" s="7">
        <f>COUNTIF(Paper_Reference[Duplicate Key],Paper_Reference[[#This Row],[Duplicate Key]])</f>
        <v>1</v>
      </c>
    </row>
    <row r="2716" spans="1:10">
      <c r="A2716" s="7">
        <v>2</v>
      </c>
      <c r="B2716" s="8" t="s">
        <v>7693</v>
      </c>
      <c r="C2716" s="8" t="s">
        <v>6803</v>
      </c>
      <c r="D2716" s="7">
        <v>1</v>
      </c>
      <c r="E2716" s="7">
        <v>10</v>
      </c>
      <c r="F2716" s="7">
        <v>2</v>
      </c>
      <c r="G2716" s="8" t="s">
        <v>6710</v>
      </c>
      <c r="H2716" s="8" t="s">
        <v>5691</v>
      </c>
      <c r="I2716" s="7" t="str">
        <f>_xlfn.CONCAT(Paper_Reference[[#This Row],[Lvl]:[Paper Description]])</f>
        <v>2J60RB317ASWGBASS PRO W/WAY 42 7/8X145 1/41102100DS009-5000FROSTY WHITE</v>
      </c>
      <c r="J2716" s="7">
        <f>COUNTIF(Paper_Reference[Duplicate Key],Paper_Reference[[#This Row],[Duplicate Key]])</f>
        <v>1</v>
      </c>
    </row>
    <row r="2717" spans="1:10">
      <c r="A2717" s="7">
        <v>2</v>
      </c>
      <c r="B2717" s="8" t="s">
        <v>6346</v>
      </c>
      <c r="C2717" s="8" t="s">
        <v>5871</v>
      </c>
      <c r="D2717" s="7">
        <v>1</v>
      </c>
      <c r="E2717" s="7">
        <v>10</v>
      </c>
      <c r="F2717" s="7">
        <v>0.5</v>
      </c>
      <c r="G2717" s="8" t="s">
        <v>5690</v>
      </c>
      <c r="H2717" s="8" t="s">
        <v>5691</v>
      </c>
      <c r="I2717" s="7" t="str">
        <f>_xlfn.CONCAT(Paper_Reference[[#This Row],[Lvl]:[Paper Description]])</f>
        <v>2J60RB379AM38CLA SPACE RETURN 13.87 X 1441100.5100DS009-6200FROSTY WHITE</v>
      </c>
      <c r="J2717" s="7">
        <f>COUNTIF(Paper_Reference[Duplicate Key],Paper_Reference[[#This Row],[Duplicate Key]])</f>
        <v>1</v>
      </c>
    </row>
    <row r="2718" spans="1:10">
      <c r="A2718" s="7">
        <v>2</v>
      </c>
      <c r="B2718" s="8" t="s">
        <v>7694</v>
      </c>
      <c r="C2718" s="8" t="s">
        <v>6992</v>
      </c>
      <c r="D2718" s="7">
        <v>1</v>
      </c>
      <c r="E2718" s="7">
        <v>10</v>
      </c>
      <c r="F2718" s="7">
        <v>2</v>
      </c>
      <c r="G2718" s="8" t="s">
        <v>6710</v>
      </c>
      <c r="H2718" s="8" t="s">
        <v>5691</v>
      </c>
      <c r="I2718" s="7" t="str">
        <f>_xlfn.CONCAT(Paper_Reference[[#This Row],[Lvl]:[Paper Description]])</f>
        <v>2J60RB420ASWGANVIL W/WAY 42 7/8X145 1/41102100DS009-5000FROSTY WHITE</v>
      </c>
      <c r="J2718" s="7">
        <f>COUNTIF(Paper_Reference[Duplicate Key],Paper_Reference[[#This Row],[Duplicate Key]])</f>
        <v>1</v>
      </c>
    </row>
    <row r="2719" spans="1:10">
      <c r="A2719" s="7">
        <v>2</v>
      </c>
      <c r="B2719" s="8" t="s">
        <v>6347</v>
      </c>
      <c r="C2719" s="8" t="s">
        <v>5872</v>
      </c>
      <c r="D2719" s="7">
        <v>1</v>
      </c>
      <c r="E2719" s="7">
        <v>10</v>
      </c>
      <c r="F2719" s="7">
        <v>0.5</v>
      </c>
      <c r="G2719" s="8" t="s">
        <v>5690</v>
      </c>
      <c r="H2719" s="8" t="s">
        <v>5691</v>
      </c>
      <c r="I2719" s="7" t="str">
        <f>_xlfn.CONCAT(Paper_Reference[[#This Row],[Lvl]:[Paper Description]])</f>
        <v>2J60RB422AM38WANDERER NAR RET 13.87 X 1441100.5100DS009-6200FROSTY WHITE</v>
      </c>
      <c r="J2719" s="7">
        <f>COUNTIF(Paper_Reference[Duplicate Key],Paper_Reference[[#This Row],[Duplicate Key]])</f>
        <v>1</v>
      </c>
    </row>
    <row r="2720" spans="1:10">
      <c r="A2720" s="7">
        <v>2</v>
      </c>
      <c r="B2720" s="8" t="s">
        <v>7695</v>
      </c>
      <c r="C2720" s="8" t="s">
        <v>6993</v>
      </c>
      <c r="D2720" s="7">
        <v>1</v>
      </c>
      <c r="E2720" s="7">
        <v>10</v>
      </c>
      <c r="F2720" s="7">
        <v>2</v>
      </c>
      <c r="G2720" s="8" t="s">
        <v>6710</v>
      </c>
      <c r="H2720" s="8" t="s">
        <v>5691</v>
      </c>
      <c r="I2720" s="7" t="str">
        <f>_xlfn.CONCAT(Paper_Reference[[#This Row],[Lvl]:[Paper Description]])</f>
        <v>2J60RB435ASWGWANDERER W/WAY 42 7/8X145 1/41102100DS009-5000FROSTY WHITE</v>
      </c>
      <c r="J2720" s="7">
        <f>COUNTIF(Paper_Reference[Duplicate Key],Paper_Reference[[#This Row],[Duplicate Key]])</f>
        <v>1</v>
      </c>
    </row>
    <row r="2721" spans="1:10">
      <c r="A2721" s="7">
        <v>2</v>
      </c>
      <c r="B2721" s="8" t="s">
        <v>6348</v>
      </c>
      <c r="C2721" s="8" t="s">
        <v>5873</v>
      </c>
      <c r="D2721" s="7">
        <v>1</v>
      </c>
      <c r="E2721" s="7">
        <v>10</v>
      </c>
      <c r="F2721" s="7">
        <v>0.5</v>
      </c>
      <c r="G2721" s="8" t="s">
        <v>5690</v>
      </c>
      <c r="H2721" s="8" t="s">
        <v>5691</v>
      </c>
      <c r="I2721" s="7" t="str">
        <f>_xlfn.CONCAT(Paper_Reference[[#This Row],[Lvl]:[Paper Description]])</f>
        <v>2J60RB449AM38STERLITAMAK NAR RET 13.87X1441100.5100DS009-6200FROSTY WHITE</v>
      </c>
      <c r="J2721" s="7">
        <f>COUNTIF(Paper_Reference[Duplicate Key],Paper_Reference[[#This Row],[Duplicate Key]])</f>
        <v>1</v>
      </c>
    </row>
    <row r="2722" spans="1:10">
      <c r="A2722" s="7">
        <v>2</v>
      </c>
      <c r="B2722" s="8" t="s">
        <v>6349</v>
      </c>
      <c r="C2722" s="8" t="s">
        <v>5874</v>
      </c>
      <c r="D2722" s="7">
        <v>1</v>
      </c>
      <c r="E2722" s="7">
        <v>10</v>
      </c>
      <c r="F2722" s="7">
        <v>0.25</v>
      </c>
      <c r="G2722" s="8" t="s">
        <v>5690</v>
      </c>
      <c r="H2722" s="8" t="s">
        <v>5691</v>
      </c>
      <c r="I2722" s="7" t="str">
        <f>_xlfn.CONCAT(Paper_Reference[[#This Row],[Lvl]:[Paper Description]])</f>
        <v>2J60RB450AB22STERLITAMAK S/N RET 13.87X721100.25100DS009-6200FROSTY WHITE</v>
      </c>
      <c r="J2722" s="7">
        <f>COUNTIF(Paper_Reference[Duplicate Key],Paper_Reference[[#This Row],[Duplicate Key]])</f>
        <v>1</v>
      </c>
    </row>
    <row r="2723" spans="1:10">
      <c r="A2723" s="7">
        <v>2</v>
      </c>
      <c r="B2723" s="8" t="s">
        <v>7696</v>
      </c>
      <c r="C2723" s="8" t="s">
        <v>6994</v>
      </c>
      <c r="D2723" s="7">
        <v>1</v>
      </c>
      <c r="E2723" s="7">
        <v>10</v>
      </c>
      <c r="F2723" s="7">
        <v>2</v>
      </c>
      <c r="G2723" s="8" t="s">
        <v>6710</v>
      </c>
      <c r="H2723" s="8" t="s">
        <v>5691</v>
      </c>
      <c r="I2723" s="7" t="str">
        <f>_xlfn.CONCAT(Paper_Reference[[#This Row],[Lvl]:[Paper Description]])</f>
        <v>2J60RB451ASWGSTERLITAMAK W/WAY 42 7/8X145 11102100DS009-5000FROSTY WHITE</v>
      </c>
      <c r="J2723" s="7">
        <f>COUNTIF(Paper_Reference[Duplicate Key],Paper_Reference[[#This Row],[Duplicate Key]])</f>
        <v>1</v>
      </c>
    </row>
    <row r="2724" spans="1:10">
      <c r="A2724" s="7">
        <v>2</v>
      </c>
      <c r="B2724" s="8" t="s">
        <v>7697</v>
      </c>
      <c r="C2724" s="8" t="s">
        <v>6995</v>
      </c>
      <c r="D2724" s="7">
        <v>1</v>
      </c>
      <c r="E2724" s="7">
        <v>10</v>
      </c>
      <c r="F2724" s="7">
        <v>1</v>
      </c>
      <c r="G2724" s="8" t="s">
        <v>6710</v>
      </c>
      <c r="H2724" s="8" t="s">
        <v>5691</v>
      </c>
      <c r="I2724" s="7" t="str">
        <f>_xlfn.CONCAT(Paper_Reference[[#This Row],[Lvl]:[Paper Description]])</f>
        <v>2J60RB452AB24STERLITAMAK S WALK 42 7/8 X 721101100DS009-5000FROSTY WHITE</v>
      </c>
      <c r="J2724" s="7">
        <f>COUNTIF(Paper_Reference[Duplicate Key],Paper_Reference[[#This Row],[Duplicate Key]])</f>
        <v>1</v>
      </c>
    </row>
    <row r="2725" spans="1:10">
      <c r="A2725" s="7">
        <v>2</v>
      </c>
      <c r="B2725" s="8" t="s">
        <v>6350</v>
      </c>
      <c r="C2725" s="8" t="s">
        <v>5875</v>
      </c>
      <c r="D2725" s="7">
        <v>1</v>
      </c>
      <c r="E2725" s="7">
        <v>10</v>
      </c>
      <c r="F2725" s="7">
        <v>2</v>
      </c>
      <c r="G2725" s="8" t="s">
        <v>5690</v>
      </c>
      <c r="H2725" s="8" t="s">
        <v>5691</v>
      </c>
      <c r="I2725" s="7" t="str">
        <f>_xlfn.CONCAT(Paper_Reference[[#This Row],[Lvl]:[Paper Description]])</f>
        <v>2J61RB202AM51BAD PART USE AM581102100DS009-6200FROSTY WHITE</v>
      </c>
      <c r="J2725" s="7">
        <f>COUNTIF(Paper_Reference[Duplicate Key],Paper_Reference[[#This Row],[Duplicate Key]])</f>
        <v>1</v>
      </c>
    </row>
    <row r="2726" spans="1:10">
      <c r="A2726" s="7">
        <v>2</v>
      </c>
      <c r="B2726" s="8" t="s">
        <v>6351</v>
      </c>
      <c r="C2726" s="8" t="s">
        <v>5876</v>
      </c>
      <c r="D2726" s="7">
        <v>1</v>
      </c>
      <c r="E2726" s="7">
        <v>10</v>
      </c>
      <c r="F2726" s="7">
        <v>2</v>
      </c>
      <c r="G2726" s="8" t="s">
        <v>5690</v>
      </c>
      <c r="H2726" s="8" t="s">
        <v>5691</v>
      </c>
      <c r="I2726" s="7" t="str">
        <f>_xlfn.CONCAT(Paper_Reference[[#This Row],[Lvl]:[Paper Description]])</f>
        <v>2J61RB203QM56BAD PART USE QM571102100DS009-6200FROSTY WHITE</v>
      </c>
      <c r="J2726" s="7">
        <f>COUNTIF(Paper_Reference[Duplicate Key],Paper_Reference[[#This Row],[Duplicate Key]])</f>
        <v>1</v>
      </c>
    </row>
    <row r="2727" spans="1:10">
      <c r="A2727" s="7">
        <v>2</v>
      </c>
      <c r="B2727" s="8" t="s">
        <v>6352</v>
      </c>
      <c r="C2727" s="8" t="s">
        <v>5877</v>
      </c>
      <c r="D2727" s="7">
        <v>1</v>
      </c>
      <c r="E2727" s="7">
        <v>10</v>
      </c>
      <c r="F2727" s="7">
        <v>2</v>
      </c>
      <c r="G2727" s="8" t="s">
        <v>5690</v>
      </c>
      <c r="H2727" s="8" t="s">
        <v>5691</v>
      </c>
      <c r="I2727" s="7" t="str">
        <f>_xlfn.CONCAT(Paper_Reference[[#This Row],[Lvl]:[Paper Description]])</f>
        <v>2J61RB204QM57BAD PART USE QM561102100DS009-6200FROSTY WHITE</v>
      </c>
      <c r="J2727" s="7">
        <f>COUNTIF(Paper_Reference[Duplicate Key],Paper_Reference[[#This Row],[Duplicate Key]])</f>
        <v>1</v>
      </c>
    </row>
    <row r="2728" spans="1:10">
      <c r="A2728" s="7">
        <v>2</v>
      </c>
      <c r="B2728" s="8" t="s">
        <v>6353</v>
      </c>
      <c r="C2728" s="8" t="s">
        <v>5878</v>
      </c>
      <c r="D2728" s="7">
        <v>1</v>
      </c>
      <c r="E2728" s="7">
        <v>10</v>
      </c>
      <c r="F2728" s="7">
        <v>0.5</v>
      </c>
      <c r="G2728" s="8" t="s">
        <v>5690</v>
      </c>
      <c r="H2728" s="8" t="s">
        <v>5691</v>
      </c>
      <c r="I2728" s="7" t="str">
        <f>_xlfn.CONCAT(Paper_Reference[[#This Row],[Lvl]:[Paper Description]])</f>
        <v>2J61RB208AM23UPTOWN ALLEY NBR 14.15 X 1441100.5100DS009-6200FROSTY WHITE</v>
      </c>
      <c r="J2728" s="7">
        <f>COUNTIF(Paper_Reference[Duplicate Key],Paper_Reference[[#This Row],[Duplicate Key]])</f>
        <v>1</v>
      </c>
    </row>
    <row r="2729" spans="1:10">
      <c r="A2729" s="7">
        <v>2</v>
      </c>
      <c r="B2729" s="8" t="s">
        <v>7698</v>
      </c>
      <c r="C2729" s="8" t="s">
        <v>6996</v>
      </c>
      <c r="D2729" s="7">
        <v>1</v>
      </c>
      <c r="E2729" s="7">
        <v>10</v>
      </c>
      <c r="F2729" s="7">
        <v>2</v>
      </c>
      <c r="G2729" s="8" t="s">
        <v>6710</v>
      </c>
      <c r="H2729" s="8" t="s">
        <v>5691</v>
      </c>
      <c r="I2729" s="7" t="str">
        <f>_xlfn.CONCAT(Paper_Reference[[#This Row],[Lvl]:[Paper Description]])</f>
        <v>2J61RB209ARAEUPTOWN ALLEY WW 42 1/2X145.251102100DS009-5000FROSTY WHITE</v>
      </c>
      <c r="J2729" s="7">
        <f>COUNTIF(Paper_Reference[Duplicate Key],Paper_Reference[[#This Row],[Duplicate Key]])</f>
        <v>1</v>
      </c>
    </row>
    <row r="2730" spans="1:10">
      <c r="A2730" s="7">
        <v>2</v>
      </c>
      <c r="B2730" s="8" t="s">
        <v>6354</v>
      </c>
      <c r="C2730" s="8" t="s">
        <v>5879</v>
      </c>
      <c r="D2730" s="7">
        <v>1</v>
      </c>
      <c r="E2730" s="7">
        <v>10</v>
      </c>
      <c r="F2730" s="7">
        <v>0.125</v>
      </c>
      <c r="G2730" s="8" t="s">
        <v>5690</v>
      </c>
      <c r="H2730" s="8" t="s">
        <v>5691</v>
      </c>
      <c r="I2730" s="7" t="str">
        <f>_xlfn.CONCAT(Paper_Reference[[#This Row],[Lvl]:[Paper Description]])</f>
        <v>2J61RB219AB13UPTOWN ALLEY SH RET 14.15 X 721100.125100DS009-6200FROSTY WHITE</v>
      </c>
      <c r="J2730" s="7">
        <f>COUNTIF(Paper_Reference[Duplicate Key],Paper_Reference[[#This Row],[Duplicate Key]])</f>
        <v>1</v>
      </c>
    </row>
    <row r="2731" spans="1:10">
      <c r="A2731" s="7">
        <v>2</v>
      </c>
      <c r="B2731" s="8" t="s">
        <v>7699</v>
      </c>
      <c r="C2731" s="8" t="s">
        <v>6997</v>
      </c>
      <c r="D2731" s="7">
        <v>1</v>
      </c>
      <c r="E2731" s="7">
        <v>10</v>
      </c>
      <c r="F2731" s="7">
        <v>1</v>
      </c>
      <c r="G2731" s="8" t="s">
        <v>6710</v>
      </c>
      <c r="H2731" s="8" t="s">
        <v>5691</v>
      </c>
      <c r="I2731" s="7" t="str">
        <f>_xlfn.CONCAT(Paper_Reference[[#This Row],[Lvl]:[Paper Description]])</f>
        <v>2J61RB220AB14UPTOWN ALLEY S WALK 42.5 X 58.1101100DS009-5000FROSTY WHITE</v>
      </c>
      <c r="J2731" s="7">
        <f>COUNTIF(Paper_Reference[Duplicate Key],Paper_Reference[[#This Row],[Duplicate Key]])</f>
        <v>1</v>
      </c>
    </row>
    <row r="2732" spans="1:10">
      <c r="A2732" s="7">
        <v>2</v>
      </c>
      <c r="B2732" s="8" t="s">
        <v>7700</v>
      </c>
      <c r="C2732" s="8" t="s">
        <v>6998</v>
      </c>
      <c r="D2732" s="7">
        <v>1</v>
      </c>
      <c r="E2732" s="7">
        <v>10</v>
      </c>
      <c r="F2732" s="7">
        <v>1</v>
      </c>
      <c r="G2732" s="8" t="s">
        <v>6710</v>
      </c>
      <c r="H2732" s="8" t="s">
        <v>5691</v>
      </c>
      <c r="I2732" s="7" t="str">
        <f>_xlfn.CONCAT(Paper_Reference[[#This Row],[Lvl]:[Paper Description]])</f>
        <v>2J61RB221AB15UPTOWN ALLEY S WALK 24.12X58.51101100DS009-5000FROSTY WHITE</v>
      </c>
      <c r="J2732" s="7">
        <f>COUNTIF(Paper_Reference[Duplicate Key],Paper_Reference[[#This Row],[Duplicate Key]])</f>
        <v>1</v>
      </c>
    </row>
    <row r="2733" spans="1:10">
      <c r="A2733" s="7">
        <v>2</v>
      </c>
      <c r="B2733" s="8" t="s">
        <v>6355</v>
      </c>
      <c r="C2733" s="8" t="s">
        <v>5880</v>
      </c>
      <c r="D2733" s="7">
        <v>1</v>
      </c>
      <c r="E2733" s="7">
        <v>10</v>
      </c>
      <c r="F2733" s="7">
        <v>1</v>
      </c>
      <c r="G2733" s="8" t="s">
        <v>5690</v>
      </c>
      <c r="H2733" s="8" t="s">
        <v>5691</v>
      </c>
      <c r="I2733" s="7" t="str">
        <f>_xlfn.CONCAT(Paper_Reference[[#This Row],[Lvl]:[Paper Description]])</f>
        <v>2J61RB222AB16UPTOWN ALLEY WW 24.12X145.251101100DS009-6200FROSTY WHITE</v>
      </c>
      <c r="J2733" s="7">
        <f>COUNTIF(Paper_Reference[Duplicate Key],Paper_Reference[[#This Row],[Duplicate Key]])</f>
        <v>1</v>
      </c>
    </row>
    <row r="2734" spans="1:10">
      <c r="A2734" s="7">
        <v>2</v>
      </c>
      <c r="B2734" s="8" t="s">
        <v>7701</v>
      </c>
      <c r="C2734" s="8" t="s">
        <v>6999</v>
      </c>
      <c r="D2734" s="7">
        <v>1</v>
      </c>
      <c r="E2734" s="7">
        <v>10</v>
      </c>
      <c r="F2734" s="7">
        <v>2</v>
      </c>
      <c r="G2734" s="8" t="s">
        <v>6710</v>
      </c>
      <c r="H2734" s="8" t="s">
        <v>5691</v>
      </c>
      <c r="I2734" s="7" t="str">
        <f>_xlfn.CONCAT(Paper_Reference[[#This Row],[Lvl]:[Paper Description]])</f>
        <v>2J61RB403ARAEMC PYR MARBLE WW 42 1/2X145.251102100DS009-5000FROSTY WHITE</v>
      </c>
      <c r="J2734" s="7">
        <f>COUNTIF(Paper_Reference[Duplicate Key],Paper_Reference[[#This Row],[Duplicate Key]])</f>
        <v>1</v>
      </c>
    </row>
    <row r="2735" spans="1:10">
      <c r="A2735" s="7">
        <v>2</v>
      </c>
      <c r="B2735" s="8" t="s">
        <v>7702</v>
      </c>
      <c r="C2735" s="8" t="s">
        <v>7000</v>
      </c>
      <c r="D2735" s="7">
        <v>1</v>
      </c>
      <c r="E2735" s="7">
        <v>10</v>
      </c>
      <c r="F2735" s="7">
        <v>2</v>
      </c>
      <c r="G2735" s="8" t="s">
        <v>6710</v>
      </c>
      <c r="H2735" s="8" t="s">
        <v>5691</v>
      </c>
      <c r="I2735" s="7" t="str">
        <f>_xlfn.CONCAT(Paper_Reference[[#This Row],[Lvl]:[Paper Description]])</f>
        <v>2J61RB413ARAECALUNA CHR WW 42 1/2X145.251102100DS009-5000FROSTY WHITE</v>
      </c>
      <c r="J2735" s="7">
        <f>COUNTIF(Paper_Reference[Duplicate Key],Paper_Reference[[#This Row],[Duplicate Key]])</f>
        <v>1</v>
      </c>
    </row>
    <row r="2736" spans="1:10">
      <c r="A2736" s="7">
        <v>3</v>
      </c>
      <c r="B2736" s="8" t="s">
        <v>1155</v>
      </c>
      <c r="C2736" s="8" t="s">
        <v>1132</v>
      </c>
      <c r="D2736" s="7">
        <v>1</v>
      </c>
      <c r="E2736" s="7">
        <v>10</v>
      </c>
      <c r="F2736" s="7">
        <v>1</v>
      </c>
      <c r="G2736" s="8" t="s">
        <v>976</v>
      </c>
      <c r="H2736" s="8" t="s">
        <v>984</v>
      </c>
      <c r="I2736" s="7" t="str">
        <f>_xlfn.CONCAT(Paper_Reference[[#This Row],[Lvl]:[Paper Description]])</f>
        <v>3J63IMU04PRBZMURREY UV DART 42 1/2X144 1/21101100WM331-4300MURREY LANE (CENTER)</v>
      </c>
      <c r="J2736" s="7">
        <f>COUNTIF(Paper_Reference[Duplicate Key],Paper_Reference[[#This Row],[Duplicate Key]])</f>
        <v>1</v>
      </c>
    </row>
    <row r="2737" spans="1:10">
      <c r="A2737" s="7">
        <v>2</v>
      </c>
      <c r="B2737" s="8" t="s">
        <v>7703</v>
      </c>
      <c r="C2737" s="8" t="s">
        <v>7001</v>
      </c>
      <c r="D2737" s="7">
        <v>1</v>
      </c>
      <c r="E2737" s="7">
        <v>10</v>
      </c>
      <c r="F2737" s="7">
        <v>0.5</v>
      </c>
      <c r="G2737" s="8" t="s">
        <v>6710</v>
      </c>
      <c r="H2737" s="8" t="s">
        <v>5691</v>
      </c>
      <c r="I2737" s="7" t="str">
        <f>_xlfn.CONCAT(Paper_Reference[[#This Row],[Lvl]:[Paper Description]])</f>
        <v>2J64R0029GRGQ1CHUCK/CHEESE HOC 33 3/4X63 3/41100.5100DS009-5000FROSTY WHITE</v>
      </c>
      <c r="J2737" s="7">
        <f>COUNTIF(Paper_Reference[Duplicate Key],Paper_Reference[[#This Row],[Duplicate Key]])</f>
        <v>1</v>
      </c>
    </row>
    <row r="2738" spans="1:10">
      <c r="A2738" s="7">
        <v>2</v>
      </c>
      <c r="B2738" s="8" t="s">
        <v>7704</v>
      </c>
      <c r="C2738" s="8" t="s">
        <v>7002</v>
      </c>
      <c r="D2738" s="7">
        <v>1</v>
      </c>
      <c r="E2738" s="7">
        <v>10</v>
      </c>
      <c r="F2738" s="7">
        <v>1</v>
      </c>
      <c r="G2738" s="8" t="s">
        <v>6710</v>
      </c>
      <c r="H2738" s="8" t="s">
        <v>5691</v>
      </c>
      <c r="I2738" s="7" t="str">
        <f>_xlfn.CONCAT(Paper_Reference[[#This Row],[Lvl]:[Paper Description]])</f>
        <v>2J64R0154G4801BRUNS HOCKEY PLAYFIELD 48 X 961101100DS009-5000FROSTY WHITE</v>
      </c>
      <c r="J2738" s="7">
        <f>COUNTIF(Paper_Reference[Duplicate Key],Paper_Reference[[#This Row],[Duplicate Key]])</f>
        <v>1</v>
      </c>
    </row>
    <row r="2739" spans="1:10">
      <c r="A2739" s="7">
        <v>2</v>
      </c>
      <c r="B2739" s="8" t="s">
        <v>7705</v>
      </c>
      <c r="C2739" s="8" t="s">
        <v>7003</v>
      </c>
      <c r="D2739" s="7">
        <v>1</v>
      </c>
      <c r="E2739" s="7">
        <v>10</v>
      </c>
      <c r="F2739" s="7">
        <v>1</v>
      </c>
      <c r="G2739" s="8" t="s">
        <v>6710</v>
      </c>
      <c r="H2739" s="8" t="s">
        <v>5691</v>
      </c>
      <c r="I2739" s="7" t="str">
        <f>_xlfn.CONCAT(Paper_Reference[[#This Row],[Lvl]:[Paper Description]])</f>
        <v>2J64R0666GL4801DYNAMO RED STRIPE 48 X 961101100DS009-5000FROSTY WHITE</v>
      </c>
      <c r="J2739" s="7">
        <f>COUNTIF(Paper_Reference[Duplicate Key],Paper_Reference[[#This Row],[Duplicate Key]])</f>
        <v>1</v>
      </c>
    </row>
    <row r="2740" spans="1:10">
      <c r="A2740" s="7">
        <v>2</v>
      </c>
      <c r="B2740" s="8" t="s">
        <v>7706</v>
      </c>
      <c r="C2740" s="8" t="s">
        <v>7004</v>
      </c>
      <c r="D2740" s="7">
        <v>1</v>
      </c>
      <c r="E2740" s="7">
        <v>10</v>
      </c>
      <c r="F2740" s="7">
        <v>1</v>
      </c>
      <c r="G2740" s="8" t="s">
        <v>6710</v>
      </c>
      <c r="H2740" s="8" t="s">
        <v>5691</v>
      </c>
      <c r="I2740" s="7" t="str">
        <f>_xlfn.CONCAT(Paper_Reference[[#This Row],[Lvl]:[Paper Description]])</f>
        <v>2J64R0846GL4801DYNAMO SMBG AIR HOCK 48 X 961101100DS009-5000FROSTY WHITE</v>
      </c>
      <c r="J2740" s="7">
        <f>COUNTIF(Paper_Reference[Duplicate Key],Paper_Reference[[#This Row],[Duplicate Key]])</f>
        <v>1</v>
      </c>
    </row>
    <row r="2741" spans="1:10">
      <c r="A2741" s="7">
        <v>2</v>
      </c>
      <c r="B2741" s="8" t="s">
        <v>1852</v>
      </c>
      <c r="C2741" s="8" t="s">
        <v>1425</v>
      </c>
      <c r="D2741" s="7">
        <v>1</v>
      </c>
      <c r="E2741" s="7">
        <v>10</v>
      </c>
      <c r="F2741" s="7">
        <v>1</v>
      </c>
      <c r="G2741" s="8" t="s">
        <v>1241</v>
      </c>
      <c r="H2741" s="8" t="s">
        <v>1242</v>
      </c>
      <c r="I2741" s="7" t="str">
        <f>_xlfn.CONCAT(Paper_Reference[[#This Row],[Lvl]:[Paper Description]])</f>
        <v>2J64R0884GL4801DYNAMO TORREY P HOCKEY 48X96110110000020-5000Premium Inkjet MPK 9653</v>
      </c>
      <c r="J2741" s="7">
        <f>COUNTIF(Paper_Reference[Duplicate Key],Paper_Reference[[#This Row],[Duplicate Key]])</f>
        <v>1</v>
      </c>
    </row>
    <row r="2742" spans="1:10">
      <c r="A2742" s="7">
        <v>2</v>
      </c>
      <c r="B2742" s="8" t="s">
        <v>1853</v>
      </c>
      <c r="C2742" s="8" t="s">
        <v>1426</v>
      </c>
      <c r="D2742" s="7">
        <v>1</v>
      </c>
      <c r="E2742" s="7">
        <v>10</v>
      </c>
      <c r="F2742" s="7">
        <v>1</v>
      </c>
      <c r="G2742" s="8" t="s">
        <v>1241</v>
      </c>
      <c r="H2742" s="8" t="s">
        <v>1242</v>
      </c>
      <c r="I2742" s="7" t="str">
        <f>_xlfn.CONCAT(Paper_Reference[[#This Row],[Lvl]:[Paper Description]])</f>
        <v>2J64R0905GL4801DYNAMO NEW FIRESTORM 48X96110110000020-5000Premium Inkjet MPK 9653</v>
      </c>
      <c r="J2742" s="7">
        <f>COUNTIF(Paper_Reference[Duplicate Key],Paper_Reference[[#This Row],[Duplicate Key]])</f>
        <v>1</v>
      </c>
    </row>
    <row r="2743" spans="1:10">
      <c r="A2743" s="7">
        <v>2</v>
      </c>
      <c r="B2743" s="8" t="s">
        <v>1854</v>
      </c>
      <c r="C2743" s="8" t="s">
        <v>1427</v>
      </c>
      <c r="D2743" s="7">
        <v>1</v>
      </c>
      <c r="E2743" s="7">
        <v>10</v>
      </c>
      <c r="F2743" s="7">
        <v>1</v>
      </c>
      <c r="G2743" s="8" t="s">
        <v>1241</v>
      </c>
      <c r="H2743" s="8" t="s">
        <v>1242</v>
      </c>
      <c r="I2743" s="7" t="str">
        <f>_xlfn.CONCAT(Paper_Reference[[#This Row],[Lvl]:[Paper Description]])</f>
        <v>2J64R1139GLCDA1DYNAMO CHARL HOC 42 1/2 X 82 1110110000020-5000Premium Inkjet MPK 9653</v>
      </c>
      <c r="J2743" s="7">
        <f>COUNTIF(Paper_Reference[Duplicate Key],Paper_Reference[[#This Row],[Duplicate Key]])</f>
        <v>1</v>
      </c>
    </row>
    <row r="2744" spans="1:10">
      <c r="A2744" s="7">
        <v>2</v>
      </c>
      <c r="B2744" s="8" t="s">
        <v>1855</v>
      </c>
      <c r="C2744" s="8" t="s">
        <v>1428</v>
      </c>
      <c r="D2744" s="7">
        <v>1</v>
      </c>
      <c r="E2744" s="7">
        <v>10</v>
      </c>
      <c r="F2744" s="7">
        <v>1</v>
      </c>
      <c r="G2744" s="8" t="s">
        <v>1241</v>
      </c>
      <c r="H2744" s="8" t="s">
        <v>1242</v>
      </c>
      <c r="I2744" s="7" t="str">
        <f>_xlfn.CONCAT(Paper_Reference[[#This Row],[Lvl]:[Paper Description]])</f>
        <v>2J64R1159GL4801DYNAMO WT EST HOCKEY 48X96110110000020-5000Premium Inkjet MPK 9653</v>
      </c>
      <c r="J2744" s="7">
        <f>COUNTIF(Paper_Reference[Duplicate Key],Paper_Reference[[#This Row],[Duplicate Key]])</f>
        <v>1</v>
      </c>
    </row>
    <row r="2745" spans="1:10">
      <c r="A2745" s="7">
        <v>2</v>
      </c>
      <c r="B2745" s="8" t="s">
        <v>1856</v>
      </c>
      <c r="C2745" s="8" t="s">
        <v>1429</v>
      </c>
      <c r="D2745" s="7">
        <v>1</v>
      </c>
      <c r="E2745" s="7">
        <v>10</v>
      </c>
      <c r="F2745" s="7">
        <v>1</v>
      </c>
      <c r="G2745" s="8" t="s">
        <v>1241</v>
      </c>
      <c r="H2745" s="8" t="s">
        <v>1242</v>
      </c>
      <c r="I2745" s="7" t="str">
        <f>_xlfn.CONCAT(Paper_Reference[[#This Row],[Lvl]:[Paper Description]])</f>
        <v>2J64R1206GL4801DYNAMO BLACK THUNDER 48 X 96110110000020-5000Premium Inkjet MPK 9653</v>
      </c>
      <c r="J2745" s="7">
        <f>COUNTIF(Paper_Reference[Duplicate Key],Paper_Reference[[#This Row],[Duplicate Key]])</f>
        <v>1</v>
      </c>
    </row>
    <row r="2746" spans="1:10">
      <c r="A2746" s="7">
        <v>2</v>
      </c>
      <c r="B2746" s="8" t="s">
        <v>1857</v>
      </c>
      <c r="C2746" s="8" t="s">
        <v>1430</v>
      </c>
      <c r="D2746" s="7">
        <v>1</v>
      </c>
      <c r="E2746" s="7">
        <v>10</v>
      </c>
      <c r="F2746" s="7">
        <v>1</v>
      </c>
      <c r="G2746" s="8" t="s">
        <v>1241</v>
      </c>
      <c r="H2746" s="8" t="s">
        <v>1242</v>
      </c>
      <c r="I2746" s="7" t="str">
        <f>_xlfn.CONCAT(Paper_Reference[[#This Row],[Lvl]:[Paper Description]])</f>
        <v>2J64R1211GL4801DYNAMO FIRE STORM II 48 X 96110110000020-5000Premium Inkjet MPK 9653</v>
      </c>
      <c r="J2746" s="7">
        <f>COUNTIF(Paper_Reference[Duplicate Key],Paper_Reference[[#This Row],[Duplicate Key]])</f>
        <v>1</v>
      </c>
    </row>
    <row r="2747" spans="1:10">
      <c r="A2747" s="7">
        <v>2</v>
      </c>
      <c r="B2747" s="8" t="s">
        <v>1858</v>
      </c>
      <c r="C2747" s="8" t="s">
        <v>1431</v>
      </c>
      <c r="D2747" s="7">
        <v>1</v>
      </c>
      <c r="E2747" s="7">
        <v>10</v>
      </c>
      <c r="F2747" s="7">
        <v>1</v>
      </c>
      <c r="G2747" s="8" t="s">
        <v>1241</v>
      </c>
      <c r="H2747" s="8" t="s">
        <v>1242</v>
      </c>
      <c r="I2747" s="7" t="str">
        <f>_xlfn.CONCAT(Paper_Reference[[#This Row],[Lvl]:[Paper Description]])</f>
        <v>2J64R1216GLCDA1DYNAMO CANVAS HOC 42 1/2X82 1/110110000020-5000Premium Inkjet MPK 9653</v>
      </c>
      <c r="J2747" s="7">
        <f>COUNTIF(Paper_Reference[Duplicate Key],Paper_Reference[[#This Row],[Duplicate Key]])</f>
        <v>1</v>
      </c>
    </row>
    <row r="2748" spans="1:10">
      <c r="A2748" s="7">
        <v>2</v>
      </c>
      <c r="B2748" s="8" t="s">
        <v>1859</v>
      </c>
      <c r="C2748" s="8" t="s">
        <v>1432</v>
      </c>
      <c r="D2748" s="7">
        <v>1</v>
      </c>
      <c r="E2748" s="7">
        <v>10</v>
      </c>
      <c r="F2748" s="7">
        <v>1</v>
      </c>
      <c r="G2748" s="8" t="s">
        <v>1241</v>
      </c>
      <c r="H2748" s="8" t="s">
        <v>1242</v>
      </c>
      <c r="I2748" s="7" t="str">
        <f>_xlfn.CONCAT(Paper_Reference[[#This Row],[Lvl]:[Paper Description]])</f>
        <v>2J64R1255GLCDA1DYNAMO FOAC HOC 42 1/2 X 82 1/110110000020-5000Premium Inkjet MPK 9653</v>
      </c>
      <c r="J2748" s="7">
        <f>COUNTIF(Paper_Reference[Duplicate Key],Paper_Reference[[#This Row],[Duplicate Key]])</f>
        <v>1</v>
      </c>
    </row>
    <row r="2749" spans="1:10">
      <c r="A2749" s="7">
        <v>2</v>
      </c>
      <c r="B2749" s="8" t="s">
        <v>1860</v>
      </c>
      <c r="C2749" s="8" t="s">
        <v>1433</v>
      </c>
      <c r="D2749" s="7">
        <v>1</v>
      </c>
      <c r="E2749" s="7">
        <v>10</v>
      </c>
      <c r="F2749" s="7">
        <v>1</v>
      </c>
      <c r="G2749" s="8" t="s">
        <v>1241</v>
      </c>
      <c r="H2749" s="8" t="s">
        <v>1242</v>
      </c>
      <c r="I2749" s="7" t="str">
        <f>_xlfn.CONCAT(Paper_Reference[[#This Row],[Lvl]:[Paper Description]])</f>
        <v>2J64R1391GL4801DYNAMO SM LOGO HOCKEY 48X96110110000020-5000Premium Inkjet MPK 9653</v>
      </c>
      <c r="J2749" s="7">
        <f>COUNTIF(Paper_Reference[Duplicate Key],Paper_Reference[[#This Row],[Duplicate Key]])</f>
        <v>1</v>
      </c>
    </row>
    <row r="2750" spans="1:10">
      <c r="A2750" s="7">
        <v>2</v>
      </c>
      <c r="B2750" s="8" t="s">
        <v>1861</v>
      </c>
      <c r="C2750" s="8" t="s">
        <v>1434</v>
      </c>
      <c r="D2750" s="7">
        <v>1</v>
      </c>
      <c r="E2750" s="7">
        <v>10</v>
      </c>
      <c r="F2750" s="7">
        <v>1</v>
      </c>
      <c r="G2750" s="8" t="s">
        <v>1241</v>
      </c>
      <c r="H2750" s="8" t="s">
        <v>1242</v>
      </c>
      <c r="I2750" s="7" t="str">
        <f>_xlfn.CONCAT(Paper_Reference[[#This Row],[Lvl]:[Paper Description]])</f>
        <v>2J64R1404GL4801DYNAMO OK STATE HOCKEY 48X96110110000020-5000Premium Inkjet MPK 9653</v>
      </c>
      <c r="J2750" s="7">
        <f>COUNTIF(Paper_Reference[Duplicate Key],Paper_Reference[[#This Row],[Duplicate Key]])</f>
        <v>1</v>
      </c>
    </row>
    <row r="2751" spans="1:10">
      <c r="A2751" s="7">
        <v>2</v>
      </c>
      <c r="B2751" s="8" t="s">
        <v>1862</v>
      </c>
      <c r="C2751" s="8" t="s">
        <v>1435</v>
      </c>
      <c r="D2751" s="7">
        <v>1</v>
      </c>
      <c r="E2751" s="7">
        <v>10</v>
      </c>
      <c r="F2751" s="7">
        <v>1</v>
      </c>
      <c r="G2751" s="8" t="s">
        <v>1241</v>
      </c>
      <c r="H2751" s="8" t="s">
        <v>1242</v>
      </c>
      <c r="I2751" s="7" t="str">
        <f>_xlfn.CONCAT(Paper_Reference[[#This Row],[Lvl]:[Paper Description]])</f>
        <v>2J64R1427GL4801DYNAMO GRAY/BLUE 48X96110110000020-5000Premium Inkjet MPK 9653</v>
      </c>
      <c r="J2751" s="7">
        <f>COUNTIF(Paper_Reference[Duplicate Key],Paper_Reference[[#This Row],[Duplicate Key]])</f>
        <v>1</v>
      </c>
    </row>
    <row r="2752" spans="1:10">
      <c r="A2752" s="7">
        <v>2</v>
      </c>
      <c r="B2752" s="8" t="s">
        <v>7707</v>
      </c>
      <c r="C2752" s="8" t="s">
        <v>6843</v>
      </c>
      <c r="D2752" s="7">
        <v>1</v>
      </c>
      <c r="E2752" s="7">
        <v>10</v>
      </c>
      <c r="F2752" s="7">
        <v>1</v>
      </c>
      <c r="G2752" s="8" t="s">
        <v>6710</v>
      </c>
      <c r="H2752" s="8" t="s">
        <v>5691</v>
      </c>
      <c r="I2752" s="7" t="str">
        <f>_xlfn.CONCAT(Paper_Reference[[#This Row],[Lvl]:[Paper Description]])</f>
        <v>2J65ISPECN480SPECTRALITE D/G 48 X 961101100DS009-5000FROSTY WHITE</v>
      </c>
      <c r="J2752" s="7">
        <f>COUNTIF(Paper_Reference[Duplicate Key],Paper_Reference[[#This Row],[Duplicate Key]])</f>
        <v>1</v>
      </c>
    </row>
    <row r="2753" spans="1:10">
      <c r="A2753" s="7">
        <v>2</v>
      </c>
      <c r="B2753" s="8" t="s">
        <v>2687</v>
      </c>
      <c r="C2753" s="8" t="s">
        <v>2234</v>
      </c>
      <c r="D2753" s="7">
        <v>1</v>
      </c>
      <c r="E2753" s="7">
        <v>10</v>
      </c>
      <c r="F2753" s="7">
        <v>0.5</v>
      </c>
      <c r="G2753" s="8" t="s">
        <v>2144</v>
      </c>
      <c r="H2753" s="8" t="s">
        <v>1242</v>
      </c>
      <c r="I2753" s="7" t="str">
        <f>_xlfn.CONCAT(Paper_Reference[[#This Row],[Lvl]:[Paper Description]])</f>
        <v>2J75B0239PTQ86DIG DUCK 29 BLK APPR 28.875X691100.510000020-6200Premium Inkjet MPK 9653</v>
      </c>
      <c r="J2753" s="7">
        <f>COUNTIF(Paper_Reference[Duplicate Key],Paper_Reference[[#This Row],[Duplicate Key]])</f>
        <v>1</v>
      </c>
    </row>
    <row r="2754" spans="1:10">
      <c r="A2754" s="7">
        <v>2</v>
      </c>
      <c r="B2754" s="8" t="s">
        <v>2688</v>
      </c>
      <c r="C2754" s="8" t="s">
        <v>2235</v>
      </c>
      <c r="D2754" s="7">
        <v>1</v>
      </c>
      <c r="E2754" s="7">
        <v>10</v>
      </c>
      <c r="F2754" s="7">
        <v>0.25</v>
      </c>
      <c r="G2754" s="8" t="s">
        <v>2144</v>
      </c>
      <c r="H2754" s="8" t="s">
        <v>1242</v>
      </c>
      <c r="I2754" s="7" t="str">
        <f>_xlfn.CONCAT(Paper_Reference[[#This Row],[Lvl]:[Paper Description]])</f>
        <v>2J75B0240PTQ87DIG DUCK 21 BLK APPR 21.25X69.1100.2510000020-6200Premium Inkjet MPK 9653</v>
      </c>
      <c r="J2754" s="7">
        <f>COUNTIF(Paper_Reference[Duplicate Key],Paper_Reference[[#This Row],[Duplicate Key]])</f>
        <v>1</v>
      </c>
    </row>
    <row r="2755" spans="1:10">
      <c r="A2755" s="7">
        <v>2</v>
      </c>
      <c r="B2755" s="8" t="s">
        <v>2689</v>
      </c>
      <c r="C2755" s="8" t="s">
        <v>2236</v>
      </c>
      <c r="D2755" s="7">
        <v>1</v>
      </c>
      <c r="E2755" s="7">
        <v>10</v>
      </c>
      <c r="F2755" s="7">
        <v>0.25</v>
      </c>
      <c r="G2755" s="8" t="s">
        <v>2144</v>
      </c>
      <c r="H2755" s="8" t="s">
        <v>1242</v>
      </c>
      <c r="I2755" s="7" t="str">
        <f>_xlfn.CONCAT(Paper_Reference[[#This Row],[Lvl]:[Paper Description]])</f>
        <v>2J75B0241PTQ88DIG DUCK 18 BLK APPR 18.375X691100.2510000020-6200Premium Inkjet MPK 9653</v>
      </c>
      <c r="J2755" s="7">
        <f>COUNTIF(Paper_Reference[Duplicate Key],Paper_Reference[[#This Row],[Duplicate Key]])</f>
        <v>1</v>
      </c>
    </row>
    <row r="2756" spans="1:10">
      <c r="A2756" s="7">
        <v>2</v>
      </c>
      <c r="B2756" s="8" t="s">
        <v>2690</v>
      </c>
      <c r="C2756" s="8" t="s">
        <v>2237</v>
      </c>
      <c r="D2756" s="7">
        <v>1</v>
      </c>
      <c r="E2756" s="7">
        <v>10</v>
      </c>
      <c r="F2756" s="7">
        <v>0.16669999999999999</v>
      </c>
      <c r="G2756" s="8" t="s">
        <v>2144</v>
      </c>
      <c r="H2756" s="8" t="s">
        <v>1242</v>
      </c>
      <c r="I2756" s="7" t="str">
        <f>_xlfn.CONCAT(Paper_Reference[[#This Row],[Lvl]:[Paper Description]])</f>
        <v>2J75B0242PTQ89DIG DUCK 10 BLK APPR 10.75X69.1100.166710000020-6200Premium Inkjet MPK 9653</v>
      </c>
      <c r="J2756" s="7">
        <f>COUNTIF(Paper_Reference[Duplicate Key],Paper_Reference[[#This Row],[Duplicate Key]])</f>
        <v>1</v>
      </c>
    </row>
    <row r="2757" spans="1:10">
      <c r="A2757" s="7">
        <v>3</v>
      </c>
      <c r="B2757" s="8" t="s">
        <v>9645</v>
      </c>
      <c r="C2757" s="8" t="s">
        <v>9470</v>
      </c>
      <c r="D2757" s="7">
        <v>1</v>
      </c>
      <c r="E2757" s="7">
        <v>10</v>
      </c>
      <c r="F2757" s="7">
        <v>1</v>
      </c>
      <c r="G2757" s="8" t="s">
        <v>9143</v>
      </c>
      <c r="H2757" s="8" t="s">
        <v>9144</v>
      </c>
      <c r="I2757" s="30" t="str">
        <f>_xlfn.CONCAT(Paper_Reference[[#This Row],[Lvl]:[Paper Description]])</f>
        <v>3J75IQ117PQ83Q PFA39 CG FOUL 41.875 X 1441101100PFA39-6200SINGING THE CHICAGO BLUES</v>
      </c>
      <c r="J2757" s="30">
        <f>COUNTIF(Paper_Reference[Duplicate Key],Paper_Reference[[#This Row],[Duplicate Key]])</f>
        <v>1</v>
      </c>
    </row>
    <row r="2758" spans="1:10">
      <c r="A2758" s="7">
        <v>2</v>
      </c>
      <c r="B2758" s="8" t="s">
        <v>3359</v>
      </c>
      <c r="C2758" s="8" t="s">
        <v>3243</v>
      </c>
      <c r="D2758" s="7">
        <v>1</v>
      </c>
      <c r="E2758" s="7">
        <v>10</v>
      </c>
      <c r="F2758" s="7">
        <v>1</v>
      </c>
      <c r="G2758" s="8" t="s">
        <v>3230</v>
      </c>
      <c r="H2758" s="8" t="s">
        <v>3231</v>
      </c>
      <c r="I2758" s="7" t="str">
        <f>_xlfn.CONCAT(Paper_Reference[[#This Row],[Lvl]:[Paper Description]])</f>
        <v>2J75IQU0APQ25Q SW726 COMMON  41.875 X 1441101110SW736-5000PRECISION WHITE 43 X 145</v>
      </c>
      <c r="J2758" s="7">
        <f>COUNTIF(Paper_Reference[Duplicate Key],Paper_Reference[[#This Row],[Duplicate Key]])</f>
        <v>1</v>
      </c>
    </row>
    <row r="2759" spans="1:10">
      <c r="A2759" s="7">
        <v>3</v>
      </c>
      <c r="B2759" s="8" t="s">
        <v>3359</v>
      </c>
      <c r="C2759" s="8" t="s">
        <v>3243</v>
      </c>
      <c r="D2759" s="7">
        <v>1</v>
      </c>
      <c r="E2759" s="7">
        <v>10</v>
      </c>
      <c r="F2759" s="7">
        <v>1</v>
      </c>
      <c r="G2759" s="8" t="s">
        <v>3230</v>
      </c>
      <c r="H2759" s="8" t="s">
        <v>3231</v>
      </c>
      <c r="I2759" s="7" t="str">
        <f>_xlfn.CONCAT(Paper_Reference[[#This Row],[Lvl]:[Paper Description]])</f>
        <v>3J75IQU0APQ25Q SW726 COMMON  41.875 X 1441101110SW736-5000PRECISION WHITE 43 X 145</v>
      </c>
      <c r="J2759" s="7">
        <f>COUNTIF(Paper_Reference[Duplicate Key],Paper_Reference[[#This Row],[Duplicate Key]])</f>
        <v>1</v>
      </c>
    </row>
    <row r="2760" spans="1:10">
      <c r="A2760" s="7">
        <v>3</v>
      </c>
      <c r="B2760" s="8" t="s">
        <v>1223</v>
      </c>
      <c r="C2760" s="8" t="s">
        <v>1218</v>
      </c>
      <c r="D2760" s="7">
        <v>1</v>
      </c>
      <c r="E2760" s="7">
        <v>10</v>
      </c>
      <c r="F2760" s="7">
        <v>0.5</v>
      </c>
      <c r="G2760" s="8" t="s">
        <v>979</v>
      </c>
      <c r="H2760" s="8" t="s">
        <v>987</v>
      </c>
      <c r="I2760" s="7" t="str">
        <f>_xlfn.CONCAT(Paper_Reference[[#This Row],[Lvl]:[Paper Description]])</f>
        <v>3J75IQU10NQ20Q LEFT SHORT APPR 59.75X52.3751100.5100WM521-6200OPEN MAPLE LANE (L)</v>
      </c>
      <c r="J2760" s="7">
        <f>COUNTIF(Paper_Reference[Duplicate Key],Paper_Reference[[#This Row],[Duplicate Key]])</f>
        <v>1</v>
      </c>
    </row>
    <row r="2761" spans="1:10">
      <c r="A2761" s="7">
        <v>3</v>
      </c>
      <c r="B2761" s="8" t="s">
        <v>1234</v>
      </c>
      <c r="C2761" s="8" t="s">
        <v>1227</v>
      </c>
      <c r="D2761" s="7">
        <v>1</v>
      </c>
      <c r="E2761" s="7">
        <v>10</v>
      </c>
      <c r="F2761" s="7">
        <v>0.5</v>
      </c>
      <c r="G2761" s="8" t="s">
        <v>980</v>
      </c>
      <c r="H2761" s="8" t="s">
        <v>988</v>
      </c>
      <c r="I2761" s="7" t="str">
        <f>_xlfn.CONCAT(Paper_Reference[[#This Row],[Lvl]:[Paper Description]])</f>
        <v>3J75IQU11NQ21Q RIGHT SHORT APPR 59.75X52.371100.5100WM531-6200OPEN MAPLE LANE (R)</v>
      </c>
      <c r="J2761" s="7">
        <f>COUNTIF(Paper_Reference[Duplicate Key],Paper_Reference[[#This Row],[Duplicate Key]])</f>
        <v>1</v>
      </c>
    </row>
    <row r="2762" spans="1:10">
      <c r="A2762" s="7">
        <v>3</v>
      </c>
      <c r="B2762" s="8" t="s">
        <v>1224</v>
      </c>
      <c r="C2762" s="8" t="s">
        <v>1219</v>
      </c>
      <c r="D2762" s="7">
        <v>1</v>
      </c>
      <c r="E2762" s="7">
        <v>10</v>
      </c>
      <c r="F2762" s="7">
        <v>1</v>
      </c>
      <c r="G2762" s="8" t="s">
        <v>979</v>
      </c>
      <c r="H2762" s="8" t="s">
        <v>987</v>
      </c>
      <c r="I2762" s="7" t="str">
        <f>_xlfn.CONCAT(Paper_Reference[[#This Row],[Lvl]:[Paper Description]])</f>
        <v>3J75IQU12NQ22Q LEFT LONG APPR 59.75 X 144.01101100WM521-6200OPEN MAPLE LANE (L)</v>
      </c>
      <c r="J2762" s="7">
        <f>COUNTIF(Paper_Reference[Duplicate Key],Paper_Reference[[#This Row],[Duplicate Key]])</f>
        <v>1</v>
      </c>
    </row>
    <row r="2763" spans="1:10">
      <c r="A2763" s="7">
        <v>3</v>
      </c>
      <c r="B2763" s="8" t="s">
        <v>1235</v>
      </c>
      <c r="C2763" s="8" t="s">
        <v>1228</v>
      </c>
      <c r="D2763" s="7">
        <v>1</v>
      </c>
      <c r="E2763" s="7">
        <v>10</v>
      </c>
      <c r="F2763" s="7">
        <v>1</v>
      </c>
      <c r="G2763" s="8" t="s">
        <v>980</v>
      </c>
      <c r="H2763" s="8" t="s">
        <v>988</v>
      </c>
      <c r="I2763" s="7" t="str">
        <f>_xlfn.CONCAT(Paper_Reference[[#This Row],[Lvl]:[Paper Description]])</f>
        <v>3J75IQU13NQ23Q RIGHT LONG APPR 59.75X144.001101100WM531-6200OPEN MAPLE LANE (R)</v>
      </c>
      <c r="J2763" s="7">
        <f>COUNTIF(Paper_Reference[Duplicate Key],Paper_Reference[[#This Row],[Duplicate Key]])</f>
        <v>1</v>
      </c>
    </row>
    <row r="2764" spans="1:10">
      <c r="A2764" s="7">
        <v>3</v>
      </c>
      <c r="B2764" s="8" t="s">
        <v>1236</v>
      </c>
      <c r="C2764" s="8" t="s">
        <v>1229</v>
      </c>
      <c r="D2764" s="7">
        <v>1</v>
      </c>
      <c r="E2764" s="7">
        <v>10</v>
      </c>
      <c r="F2764" s="7">
        <v>0.16669999999999999</v>
      </c>
      <c r="G2764" s="8" t="s">
        <v>980</v>
      </c>
      <c r="H2764" s="8" t="s">
        <v>988</v>
      </c>
      <c r="I2764" s="7" t="str">
        <f>_xlfn.CONCAT(Paper_Reference[[#This Row],[Lvl]:[Paper Description]])</f>
        <v>3J75IQU35PQ47Q H66 HW MINI EXT 29 7/8 X 121100.1667100WM531-6200OPEN MAPLE LANE (R)</v>
      </c>
      <c r="J2764" s="7">
        <f>COUNTIF(Paper_Reference[Duplicate Key],Paper_Reference[[#This Row],[Duplicate Key]])</f>
        <v>1</v>
      </c>
    </row>
    <row r="2765" spans="1:10">
      <c r="A2765" s="7">
        <v>3</v>
      </c>
      <c r="B2765" s="8" t="s">
        <v>943</v>
      </c>
      <c r="C2765" s="8" t="s">
        <v>944</v>
      </c>
      <c r="D2765" s="7">
        <v>1</v>
      </c>
      <c r="E2765" s="7">
        <v>10</v>
      </c>
      <c r="F2765" s="7">
        <v>1</v>
      </c>
      <c r="G2765" s="8" t="s">
        <v>5373</v>
      </c>
      <c r="H2765" s="8" t="s">
        <v>5374</v>
      </c>
      <c r="I2765" s="7" t="str">
        <f>_xlfn.CONCAT(Paper_Reference[[#This Row],[Lvl]:[Paper Description]])</f>
        <v>3J75IQU48NPFUQ WW971 5 FT FILL PAN 60 X 1441101100WW971-6200GUN SAVOY WALNUT</v>
      </c>
      <c r="J2765" s="7">
        <f>COUNTIF(Paper_Reference[Duplicate Key],Paper_Reference[[#This Row],[Duplicate Key]])</f>
        <v>1</v>
      </c>
    </row>
    <row r="2766" spans="1:10">
      <c r="A2766" s="7">
        <v>3</v>
      </c>
      <c r="B2766" s="8" t="s">
        <v>9624</v>
      </c>
      <c r="C2766" s="8" t="s">
        <v>9411</v>
      </c>
      <c r="D2766" s="7">
        <v>1</v>
      </c>
      <c r="E2766" s="7">
        <v>10</v>
      </c>
      <c r="F2766" s="7">
        <v>0.5</v>
      </c>
      <c r="G2766" s="8" t="s">
        <v>9143</v>
      </c>
      <c r="H2766" s="8" t="s">
        <v>9144</v>
      </c>
      <c r="I2766" s="30" t="str">
        <f>_xlfn.CONCAT(Paper_Reference[[#This Row],[Lvl]:[Paper Description]])</f>
        <v>3J75IQU49NQ36Q PFA39 L S\APP 59.81X67.251100.5100PFA39-6200SINGING THE CHICAGO BLUES</v>
      </c>
      <c r="J2766" s="30">
        <f>COUNTIF(Paper_Reference[Duplicate Key],Paper_Reference[[#This Row],[Duplicate Key]])</f>
        <v>1</v>
      </c>
    </row>
    <row r="2767" spans="1:10">
      <c r="A2767" s="7">
        <v>3</v>
      </c>
      <c r="B2767" s="8" t="s">
        <v>9625</v>
      </c>
      <c r="C2767" s="8" t="s">
        <v>9415</v>
      </c>
      <c r="D2767" s="7">
        <v>1</v>
      </c>
      <c r="E2767" s="7">
        <v>10</v>
      </c>
      <c r="F2767" s="7">
        <v>0.5</v>
      </c>
      <c r="G2767" s="8" t="s">
        <v>9143</v>
      </c>
      <c r="H2767" s="8" t="s">
        <v>9144</v>
      </c>
      <c r="I2767" s="30" t="str">
        <f>_xlfn.CONCAT(Paper_Reference[[#This Row],[Lvl]:[Paper Description]])</f>
        <v>3J75IQU50NQ37Q PFA39 R S\ APP 59.81X67.251100.5100PFA39-6200SINGING THE CHICAGO BLUES</v>
      </c>
      <c r="J2767" s="30">
        <f>COUNTIF(Paper_Reference[Duplicate Key],Paper_Reference[[#This Row],[Duplicate Key]])</f>
        <v>1</v>
      </c>
    </row>
    <row r="2768" spans="1:10">
      <c r="A2768" s="7">
        <v>3</v>
      </c>
      <c r="B2768" s="8" t="s">
        <v>9626</v>
      </c>
      <c r="C2768" s="8" t="s">
        <v>9419</v>
      </c>
      <c r="D2768" s="7">
        <v>1</v>
      </c>
      <c r="E2768" s="7">
        <v>10</v>
      </c>
      <c r="F2768" s="7">
        <v>1</v>
      </c>
      <c r="G2768" s="8" t="s">
        <v>9143</v>
      </c>
      <c r="H2768" s="8" t="s">
        <v>9144</v>
      </c>
      <c r="I2768" s="30" t="str">
        <f>_xlfn.CONCAT(Paper_Reference[[#This Row],[Lvl]:[Paper Description]])</f>
        <v>3J75IQU51NQ38Q PFA39 L  APPR 59.81 X 144.001101100PFA39-6200SINGING THE CHICAGO BLUES</v>
      </c>
      <c r="J2768" s="30">
        <f>COUNTIF(Paper_Reference[Duplicate Key],Paper_Reference[[#This Row],[Duplicate Key]])</f>
        <v>1</v>
      </c>
    </row>
    <row r="2769" spans="1:10">
      <c r="A2769" s="7">
        <v>3</v>
      </c>
      <c r="B2769" s="8" t="s">
        <v>9627</v>
      </c>
      <c r="C2769" s="8" t="s">
        <v>9423</v>
      </c>
      <c r="D2769" s="7">
        <v>1</v>
      </c>
      <c r="E2769" s="7">
        <v>10</v>
      </c>
      <c r="F2769" s="7">
        <v>1</v>
      </c>
      <c r="G2769" s="8" t="s">
        <v>9143</v>
      </c>
      <c r="H2769" s="8" t="s">
        <v>9144</v>
      </c>
      <c r="I2769" s="30" t="str">
        <f>_xlfn.CONCAT(Paper_Reference[[#This Row],[Lvl]:[Paper Description]])</f>
        <v>3J75IQU52NQ39Q PFA39 R  APPR 59.81 X 144.001101100PFA39-6200SINGING THE CHICAGO BLUES</v>
      </c>
      <c r="J2769" s="30">
        <f>COUNTIF(Paper_Reference[Duplicate Key],Paper_Reference[[#This Row],[Duplicate Key]])</f>
        <v>1</v>
      </c>
    </row>
    <row r="2770" spans="1:10">
      <c r="A2770" s="7">
        <v>3</v>
      </c>
      <c r="B2770" s="8" t="s">
        <v>9630</v>
      </c>
      <c r="C2770" s="8" t="s">
        <v>9431</v>
      </c>
      <c r="D2770" s="7">
        <v>1</v>
      </c>
      <c r="E2770" s="7">
        <v>10</v>
      </c>
      <c r="F2770" s="7">
        <v>1</v>
      </c>
      <c r="G2770" s="8" t="s">
        <v>9143</v>
      </c>
      <c r="H2770" s="8" t="s">
        <v>9144</v>
      </c>
      <c r="I2770" s="30" t="str">
        <f>_xlfn.CONCAT(Paper_Reference[[#This Row],[Lvl]:[Paper Description]])</f>
        <v>3J75IQU53PQ24Q PFA39 FOUL LINE 41.875 X 1441101100PFA39-6200SINGING THE CHICAGO BLUES</v>
      </c>
      <c r="J2770" s="30">
        <f>COUNTIF(Paper_Reference[Duplicate Key],Paper_Reference[[#This Row],[Duplicate Key]])</f>
        <v>1</v>
      </c>
    </row>
    <row r="2771" spans="1:10">
      <c r="A2771" s="7">
        <v>3</v>
      </c>
      <c r="B2771" s="8" t="s">
        <v>9631</v>
      </c>
      <c r="C2771" s="8" t="s">
        <v>9435</v>
      </c>
      <c r="D2771" s="7">
        <v>1</v>
      </c>
      <c r="E2771" s="7">
        <v>10</v>
      </c>
      <c r="F2771" s="7">
        <v>1</v>
      </c>
      <c r="G2771" s="8" t="s">
        <v>9143</v>
      </c>
      <c r="H2771" s="8" t="s">
        <v>9144</v>
      </c>
      <c r="I2771" s="30" t="str">
        <f>_xlfn.CONCAT(Paper_Reference[[#This Row],[Lvl]:[Paper Description]])</f>
        <v>3J75IQU54PQ25Q PFA39 ARROW  41.875 X 1441101100PFA39-6200SINGING THE CHICAGO BLUES</v>
      </c>
      <c r="J2771" s="30">
        <f>COUNTIF(Paper_Reference[Duplicate Key],Paper_Reference[[#This Row],[Duplicate Key]])</f>
        <v>1</v>
      </c>
    </row>
    <row r="2772" spans="1:10">
      <c r="A2772" s="7">
        <v>3</v>
      </c>
      <c r="B2772" s="8" t="s">
        <v>9632</v>
      </c>
      <c r="C2772" s="8" t="s">
        <v>9439</v>
      </c>
      <c r="D2772" s="7">
        <v>1</v>
      </c>
      <c r="E2772" s="7">
        <v>10</v>
      </c>
      <c r="F2772" s="7">
        <v>1</v>
      </c>
      <c r="G2772" s="8" t="s">
        <v>9143</v>
      </c>
      <c r="H2772" s="8" t="s">
        <v>9144</v>
      </c>
      <c r="I2772" s="30" t="str">
        <f>_xlfn.CONCAT(Paper_Reference[[#This Row],[Lvl]:[Paper Description]])</f>
        <v>3J75IQU55PQ25Q PFA39 COMMON  41.875 X 1441101100PFA39-6200SINGING THE CHICAGO BLUES</v>
      </c>
      <c r="J2772" s="30">
        <f>COUNTIF(Paper_Reference[Duplicate Key],Paper_Reference[[#This Row],[Duplicate Key]])</f>
        <v>1</v>
      </c>
    </row>
    <row r="2773" spans="1:10">
      <c r="A2773" s="7">
        <v>3</v>
      </c>
      <c r="B2773" s="8" t="s">
        <v>827</v>
      </c>
      <c r="C2773" s="8" t="s">
        <v>828</v>
      </c>
      <c r="D2773" s="7">
        <v>1</v>
      </c>
      <c r="E2773" s="7">
        <v>10</v>
      </c>
      <c r="F2773" s="7">
        <v>1</v>
      </c>
      <c r="G2773" s="8" t="s">
        <v>9143</v>
      </c>
      <c r="H2773" s="8" t="s">
        <v>9144</v>
      </c>
      <c r="I2773" s="30" t="str">
        <f>_xlfn.CONCAT(Paper_Reference[[#This Row],[Lvl]:[Paper Description]])</f>
        <v>3J75IQU56NPFUQ PFA39 5 FT FILL PAN 60 X 1441101100PFA39-6200SINGING THE CHICAGO BLUES</v>
      </c>
      <c r="J2773" s="30">
        <f>COUNTIF(Paper_Reference[Duplicate Key],Paper_Reference[[#This Row],[Duplicate Key]])</f>
        <v>1</v>
      </c>
    </row>
    <row r="2774" spans="1:10">
      <c r="A2774" s="7">
        <v>3</v>
      </c>
      <c r="B2774" s="8" t="s">
        <v>9628</v>
      </c>
      <c r="C2774" s="8" t="s">
        <v>9427</v>
      </c>
      <c r="D2774" s="7">
        <v>1</v>
      </c>
      <c r="E2774" s="7">
        <v>10</v>
      </c>
      <c r="F2774" s="7">
        <v>0.33329999999999999</v>
      </c>
      <c r="G2774" s="8" t="s">
        <v>9143</v>
      </c>
      <c r="H2774" s="8" t="s">
        <v>9144</v>
      </c>
      <c r="I2774" s="30" t="str">
        <f>_xlfn.CONCAT(Paper_Reference[[#This Row],[Lvl]:[Paper Description]])</f>
        <v>3J75IQU56NQ26Q PFA39 RET FILL LONG 15X144.01100.3333100PFA39-6200SINGING THE CHICAGO BLUES</v>
      </c>
      <c r="J2774" s="30">
        <f>COUNTIF(Paper_Reference[Duplicate Key],Paper_Reference[[#This Row],[Duplicate Key]])</f>
        <v>1</v>
      </c>
    </row>
    <row r="2775" spans="1:10">
      <c r="A2775" s="7">
        <v>3</v>
      </c>
      <c r="B2775" s="8" t="s">
        <v>9629</v>
      </c>
      <c r="C2775" s="8" t="s">
        <v>9429</v>
      </c>
      <c r="D2775" s="7">
        <v>1</v>
      </c>
      <c r="E2775" s="7">
        <v>10</v>
      </c>
      <c r="F2775" s="7">
        <v>0.16669999999999999</v>
      </c>
      <c r="G2775" s="8" t="s">
        <v>9143</v>
      </c>
      <c r="H2775" s="8" t="s">
        <v>9144</v>
      </c>
      <c r="I2775" s="30" t="str">
        <f>_xlfn.CONCAT(Paper_Reference[[#This Row],[Lvl]:[Paper Description]])</f>
        <v>3J75IQU56NQ27Q PFA39 RET FILL SHORT 15 X 611100.1667100PFA39-6200SINGING THE CHICAGO BLUES</v>
      </c>
      <c r="J2775" s="30">
        <f>COUNTIF(Paper_Reference[Duplicate Key],Paper_Reference[[#This Row],[Duplicate Key]])</f>
        <v>1</v>
      </c>
    </row>
    <row r="2776" spans="1:10">
      <c r="A2776" s="7">
        <v>3</v>
      </c>
      <c r="B2776" s="8" t="s">
        <v>813</v>
      </c>
      <c r="C2776" s="8" t="s">
        <v>814</v>
      </c>
      <c r="D2776" s="7">
        <v>1</v>
      </c>
      <c r="E2776" s="7">
        <v>10</v>
      </c>
      <c r="F2776" s="7">
        <v>1</v>
      </c>
      <c r="G2776" s="8" t="s">
        <v>4129</v>
      </c>
      <c r="H2776" s="8" t="s">
        <v>4130</v>
      </c>
      <c r="I2776" s="7" t="str">
        <f>_xlfn.CONCAT(Paper_Reference[[#This Row],[Lvl]:[Paper Description]])</f>
        <v>3J75IQU64NPFUQ WC013 5 FT FILL PAN 60 X 1441101110WC013-6200BLOSSOM CHERRY</v>
      </c>
      <c r="J2776" s="7">
        <f>COUNTIF(Paper_Reference[Duplicate Key],Paper_Reference[[#This Row],[Duplicate Key]])</f>
        <v>1</v>
      </c>
    </row>
    <row r="2777" spans="1:10">
      <c r="A2777" s="7">
        <v>3</v>
      </c>
      <c r="B2777" s="8" t="s">
        <v>838</v>
      </c>
      <c r="C2777" s="8" t="s">
        <v>839</v>
      </c>
      <c r="D2777" s="7">
        <v>1</v>
      </c>
      <c r="E2777" s="7">
        <v>10</v>
      </c>
      <c r="F2777" s="7">
        <v>1</v>
      </c>
      <c r="G2777" s="8" t="s">
        <v>4371</v>
      </c>
      <c r="H2777" s="8" t="s">
        <v>4372</v>
      </c>
      <c r="I2777" s="7" t="str">
        <f>_xlfn.CONCAT(Paper_Reference[[#This Row],[Lvl]:[Paper Description]])</f>
        <v>3J75IQU82NPFUQ BLACK 5 FT FILL PAN 60 X 1441101100DS064-6200BLACK</v>
      </c>
      <c r="J2777" s="7">
        <f>COUNTIF(Paper_Reference[Duplicate Key],Paper_Reference[[#This Row],[Duplicate Key]])</f>
        <v>1</v>
      </c>
    </row>
    <row r="2778" spans="1:10">
      <c r="A2778" s="7">
        <v>3</v>
      </c>
      <c r="B2778" s="8" t="s">
        <v>9634</v>
      </c>
      <c r="C2778" s="8" t="s">
        <v>9446</v>
      </c>
      <c r="D2778" s="7">
        <v>1</v>
      </c>
      <c r="E2778" s="7">
        <v>10</v>
      </c>
      <c r="F2778" s="7">
        <v>0.5</v>
      </c>
      <c r="G2778" s="8" t="s">
        <v>9143</v>
      </c>
      <c r="H2778" s="8" t="s">
        <v>9144</v>
      </c>
      <c r="I2778" s="30" t="str">
        <f>_xlfn.CONCAT(Paper_Reference[[#This Row],[Lvl]:[Paper Description]])</f>
        <v>3J75IQU92NQ79Q PFA39 L S\APP 59.81 X 67.251100.5100PFA39-6200SINGING THE CHICAGO BLUES</v>
      </c>
      <c r="J2778" s="30">
        <f>COUNTIF(Paper_Reference[Duplicate Key],Paper_Reference[[#This Row],[Duplicate Key]])</f>
        <v>1</v>
      </c>
    </row>
    <row r="2779" spans="1:10">
      <c r="A2779" s="7">
        <v>3</v>
      </c>
      <c r="B2779" s="8" t="s">
        <v>9635</v>
      </c>
      <c r="C2779" s="8" t="s">
        <v>9449</v>
      </c>
      <c r="D2779" s="7">
        <v>1</v>
      </c>
      <c r="E2779" s="7">
        <v>10</v>
      </c>
      <c r="F2779" s="7">
        <v>0.5</v>
      </c>
      <c r="G2779" s="8" t="s">
        <v>9143</v>
      </c>
      <c r="H2779" s="8" t="s">
        <v>9144</v>
      </c>
      <c r="I2779" s="30" t="str">
        <f>_xlfn.CONCAT(Paper_Reference[[#This Row],[Lvl]:[Paper Description]])</f>
        <v>3J75IQU93NQ80Q PFA39 R S\ APP 59.81 X 67.251100.5100PFA39-6200SINGING THE CHICAGO BLUES</v>
      </c>
      <c r="J2779" s="30">
        <f>COUNTIF(Paper_Reference[Duplicate Key],Paper_Reference[[#This Row],[Duplicate Key]])</f>
        <v>1</v>
      </c>
    </row>
    <row r="2780" spans="1:10">
      <c r="A2780" s="7">
        <v>3</v>
      </c>
      <c r="B2780" s="8" t="s">
        <v>9636</v>
      </c>
      <c r="C2780" s="8" t="s">
        <v>9419</v>
      </c>
      <c r="D2780" s="7">
        <v>1</v>
      </c>
      <c r="E2780" s="7">
        <v>10</v>
      </c>
      <c r="F2780" s="7">
        <v>1</v>
      </c>
      <c r="G2780" s="8" t="s">
        <v>9143</v>
      </c>
      <c r="H2780" s="8" t="s">
        <v>9144</v>
      </c>
      <c r="I2780" s="30" t="str">
        <f>_xlfn.CONCAT(Paper_Reference[[#This Row],[Lvl]:[Paper Description]])</f>
        <v>3J75IQU94NQ81Q PFA39 L  APPR 59.81 X 144.001101100PFA39-6200SINGING THE CHICAGO BLUES</v>
      </c>
      <c r="J2780" s="30">
        <f>COUNTIF(Paper_Reference[Duplicate Key],Paper_Reference[[#This Row],[Duplicate Key]])</f>
        <v>1</v>
      </c>
    </row>
    <row r="2781" spans="1:10">
      <c r="A2781" s="7">
        <v>3</v>
      </c>
      <c r="B2781" s="8" t="s">
        <v>9637</v>
      </c>
      <c r="C2781" s="8" t="s">
        <v>9423</v>
      </c>
      <c r="D2781" s="7">
        <v>1</v>
      </c>
      <c r="E2781" s="7">
        <v>10</v>
      </c>
      <c r="F2781" s="7">
        <v>1</v>
      </c>
      <c r="G2781" s="8" t="s">
        <v>9143</v>
      </c>
      <c r="H2781" s="8" t="s">
        <v>9144</v>
      </c>
      <c r="I2781" s="30" t="str">
        <f>_xlfn.CONCAT(Paper_Reference[[#This Row],[Lvl]:[Paper Description]])</f>
        <v>3J75IQU95NQ82Q PFA39 R  APPR 59.81 X 144.001101100PFA39-6200SINGING THE CHICAGO BLUES</v>
      </c>
      <c r="J2781" s="30">
        <f>COUNTIF(Paper_Reference[Duplicate Key],Paper_Reference[[#This Row],[Duplicate Key]])</f>
        <v>1</v>
      </c>
    </row>
    <row r="2782" spans="1:10">
      <c r="A2782" s="7">
        <v>3</v>
      </c>
      <c r="B2782" s="8" t="s">
        <v>9639</v>
      </c>
      <c r="C2782" s="8" t="s">
        <v>9431</v>
      </c>
      <c r="D2782" s="7">
        <v>1</v>
      </c>
      <c r="E2782" s="7">
        <v>10</v>
      </c>
      <c r="F2782" s="7">
        <v>1</v>
      </c>
      <c r="G2782" s="8" t="s">
        <v>9143</v>
      </c>
      <c r="H2782" s="8" t="s">
        <v>9144</v>
      </c>
      <c r="I2782" s="30" t="str">
        <f>_xlfn.CONCAT(Paper_Reference[[#This Row],[Lvl]:[Paper Description]])</f>
        <v>3J75IQU96PQ83Q PFA39 FOUL LINE 41.875 X 1441101100PFA39-6200SINGING THE CHICAGO BLUES</v>
      </c>
      <c r="J2782" s="30">
        <f>COUNTIF(Paper_Reference[Duplicate Key],Paper_Reference[[#This Row],[Duplicate Key]])</f>
        <v>1</v>
      </c>
    </row>
    <row r="2783" spans="1:10">
      <c r="A2783" s="7">
        <v>3</v>
      </c>
      <c r="B2783" s="8" t="s">
        <v>9640</v>
      </c>
      <c r="C2783" s="8" t="s">
        <v>9459</v>
      </c>
      <c r="D2783" s="7">
        <v>1</v>
      </c>
      <c r="E2783" s="7">
        <v>10</v>
      </c>
      <c r="F2783" s="7">
        <v>1</v>
      </c>
      <c r="G2783" s="8" t="s">
        <v>9143</v>
      </c>
      <c r="H2783" s="8" t="s">
        <v>9144</v>
      </c>
      <c r="I2783" s="30" t="str">
        <f>_xlfn.CONCAT(Paper_Reference[[#This Row],[Lvl]:[Paper Description]])</f>
        <v>3J75IQU97PQ25Q PFA39 ARROW 41.875 X 1441101100PFA39-6200SINGING THE CHICAGO BLUES</v>
      </c>
      <c r="J2783" s="30">
        <f>COUNTIF(Paper_Reference[Duplicate Key],Paper_Reference[[#This Row],[Duplicate Key]])</f>
        <v>1</v>
      </c>
    </row>
    <row r="2784" spans="1:10">
      <c r="A2784" s="7">
        <v>3</v>
      </c>
      <c r="B2784" s="8" t="s">
        <v>9641</v>
      </c>
      <c r="C2784" s="8" t="s">
        <v>9439</v>
      </c>
      <c r="D2784" s="7">
        <v>1</v>
      </c>
      <c r="E2784" s="7">
        <v>10</v>
      </c>
      <c r="F2784" s="7">
        <v>1</v>
      </c>
      <c r="G2784" s="8" t="s">
        <v>9143</v>
      </c>
      <c r="H2784" s="8" t="s">
        <v>9144</v>
      </c>
      <c r="I2784" s="30" t="str">
        <f>_xlfn.CONCAT(Paper_Reference[[#This Row],[Lvl]:[Paper Description]])</f>
        <v>3J75IQU98PQ25Q PFA39 COMMON  41.875 X 1441101100PFA39-6200SINGING THE CHICAGO BLUES</v>
      </c>
      <c r="J2784" s="30">
        <f>COUNTIF(Paper_Reference[Duplicate Key],Paper_Reference[[#This Row],[Duplicate Key]])</f>
        <v>1</v>
      </c>
    </row>
    <row r="2785" spans="1:10">
      <c r="A2785" s="7">
        <v>3</v>
      </c>
      <c r="B2785" s="8" t="s">
        <v>9638</v>
      </c>
      <c r="C2785" s="8" t="s">
        <v>9427</v>
      </c>
      <c r="D2785" s="7">
        <v>1</v>
      </c>
      <c r="E2785" s="7">
        <v>10</v>
      </c>
      <c r="F2785" s="7">
        <v>0.33329999999999999</v>
      </c>
      <c r="G2785" s="8" t="s">
        <v>9143</v>
      </c>
      <c r="H2785" s="8" t="s">
        <v>9144</v>
      </c>
      <c r="I2785" s="30" t="str">
        <f>_xlfn.CONCAT(Paper_Reference[[#This Row],[Lvl]:[Paper Description]])</f>
        <v>3J75IQU99NQ26Q PFA39 RET FILL LONG 15X144.01100.3333100PFA39-6200SINGING THE CHICAGO BLUES</v>
      </c>
      <c r="J2785" s="30">
        <f>COUNTIF(Paper_Reference[Duplicate Key],Paper_Reference[[#This Row],[Duplicate Key]])</f>
        <v>1</v>
      </c>
    </row>
    <row r="2786" spans="1:10">
      <c r="A2786" s="7">
        <v>3</v>
      </c>
      <c r="B2786" s="8" t="s">
        <v>9633</v>
      </c>
      <c r="C2786" s="8" t="s">
        <v>9429</v>
      </c>
      <c r="D2786" s="7">
        <v>1</v>
      </c>
      <c r="E2786" s="7">
        <v>10</v>
      </c>
      <c r="F2786" s="7">
        <v>0.16669999999999999</v>
      </c>
      <c r="G2786" s="8" t="s">
        <v>9143</v>
      </c>
      <c r="H2786" s="8" t="s">
        <v>9144</v>
      </c>
      <c r="I2786" s="30" t="str">
        <f>_xlfn.CONCAT(Paper_Reference[[#This Row],[Lvl]:[Paper Description]])</f>
        <v>3J75IQU99NQ27Q PFA39 RET FILL SHORT 15 X 611100.1667100PFA39-6200SINGING THE CHICAGO BLUES</v>
      </c>
      <c r="J2786" s="30">
        <f>COUNTIF(Paper_Reference[Duplicate Key],Paper_Reference[[#This Row],[Duplicate Key]])</f>
        <v>1</v>
      </c>
    </row>
    <row r="2787" spans="1:10">
      <c r="A2787" s="7">
        <v>2</v>
      </c>
      <c r="B2787" s="8" t="s">
        <v>6356</v>
      </c>
      <c r="C2787" s="8" t="s">
        <v>5881</v>
      </c>
      <c r="D2787" s="7">
        <v>1</v>
      </c>
      <c r="E2787" s="7">
        <v>10</v>
      </c>
      <c r="F2787" s="7">
        <v>2</v>
      </c>
      <c r="G2787" s="8" t="s">
        <v>5690</v>
      </c>
      <c r="H2787" s="8" t="s">
        <v>5691</v>
      </c>
      <c r="I2787" s="7" t="str">
        <f>_xlfn.CONCAT(Paper_Reference[[#This Row],[Lvl]:[Paper Description]])</f>
        <v>2J75RB324PTQ64HWY66 W BLOND APPR 51.19X961102100DS009-6200FROSTY WHITE</v>
      </c>
      <c r="J2787" s="7">
        <f>COUNTIF(Paper_Reference[Duplicate Key],Paper_Reference[[#This Row],[Duplicate Key]])</f>
        <v>1</v>
      </c>
    </row>
    <row r="2788" spans="1:10">
      <c r="A2788" s="7">
        <v>2</v>
      </c>
      <c r="B2788" s="8" t="s">
        <v>6357</v>
      </c>
      <c r="C2788" s="8" t="s">
        <v>5882</v>
      </c>
      <c r="D2788" s="7">
        <v>1</v>
      </c>
      <c r="E2788" s="7">
        <v>10</v>
      </c>
      <c r="F2788" s="7">
        <v>0.5</v>
      </c>
      <c r="G2788" s="8" t="s">
        <v>5690</v>
      </c>
      <c r="H2788" s="8" t="s">
        <v>5691</v>
      </c>
      <c r="I2788" s="7" t="str">
        <f>_xlfn.CONCAT(Paper_Reference[[#This Row],[Lvl]:[Paper Description]])</f>
        <v>2J75RB325PQ65HWY66 W BLOND FOUL 29.88X67.201100.5100DS009-6200FROSTY WHITE</v>
      </c>
      <c r="J2788" s="7">
        <f>COUNTIF(Paper_Reference[Duplicate Key],Paper_Reference[[#This Row],[Duplicate Key]])</f>
        <v>1</v>
      </c>
    </row>
    <row r="2789" spans="1:10">
      <c r="A2789" s="7">
        <v>2</v>
      </c>
      <c r="B2789" s="8" t="s">
        <v>6358</v>
      </c>
      <c r="C2789" s="8" t="s">
        <v>5883</v>
      </c>
      <c r="D2789" s="7">
        <v>1</v>
      </c>
      <c r="E2789" s="7">
        <v>10</v>
      </c>
      <c r="F2789" s="7">
        <v>0.5</v>
      </c>
      <c r="G2789" s="8" t="s">
        <v>5690</v>
      </c>
      <c r="H2789" s="8" t="s">
        <v>5691</v>
      </c>
      <c r="I2789" s="7" t="str">
        <f>_xlfn.CONCAT(Paper_Reference[[#This Row],[Lvl]:[Paper Description]])</f>
        <v>2J75RB326PQ65HWY66 W BLOND COMMON 29.88X67.1100.5100DS009-6200FROSTY WHITE</v>
      </c>
      <c r="J2789" s="7">
        <f>COUNTIF(Paper_Reference[Duplicate Key],Paper_Reference[[#This Row],[Duplicate Key]])</f>
        <v>1</v>
      </c>
    </row>
    <row r="2790" spans="1:10">
      <c r="A2790" s="7">
        <v>2</v>
      </c>
      <c r="B2790" s="8" t="s">
        <v>6359</v>
      </c>
      <c r="C2790" s="8" t="s">
        <v>5884</v>
      </c>
      <c r="D2790" s="7">
        <v>1</v>
      </c>
      <c r="E2790" s="7">
        <v>10</v>
      </c>
      <c r="F2790" s="7">
        <v>0.125</v>
      </c>
      <c r="G2790" s="8" t="s">
        <v>5690</v>
      </c>
      <c r="H2790" s="8" t="s">
        <v>5691</v>
      </c>
      <c r="I2790" s="7" t="str">
        <f>_xlfn.CONCAT(Paper_Reference[[#This Row],[Lvl]:[Paper Description]])</f>
        <v>2J75RB327MGQ68HWY66 W BLOND UNION 4.75X481100.125100DS009-6200FROSTY WHITE</v>
      </c>
      <c r="J2790" s="7">
        <f>COUNTIF(Paper_Reference[Duplicate Key],Paper_Reference[[#This Row],[Duplicate Key]])</f>
        <v>1</v>
      </c>
    </row>
    <row r="2791" spans="1:10">
      <c r="A2791" s="7">
        <v>2</v>
      </c>
      <c r="B2791" s="8" t="s">
        <v>7708</v>
      </c>
      <c r="C2791" s="8" t="s">
        <v>5884</v>
      </c>
      <c r="D2791" s="7">
        <v>1</v>
      </c>
      <c r="E2791" s="7">
        <v>10</v>
      </c>
      <c r="F2791" s="7">
        <v>0.22220000000000001</v>
      </c>
      <c r="G2791" s="8" t="s">
        <v>6710</v>
      </c>
      <c r="H2791" s="8" t="s">
        <v>5691</v>
      </c>
      <c r="I2791" s="7" t="str">
        <f>_xlfn.CONCAT(Paper_Reference[[#This Row],[Lvl]:[Paper Description]])</f>
        <v>2J75RB327PQ66HWY66 W BLOND UNION 4.75X481100.2222100DS009-5000FROSTY WHITE</v>
      </c>
      <c r="J2791" s="7">
        <f>COUNTIF(Paper_Reference[Duplicate Key],Paper_Reference[[#This Row],[Duplicate Key]])</f>
        <v>1</v>
      </c>
    </row>
    <row r="2792" spans="1:10">
      <c r="A2792" s="7">
        <v>2</v>
      </c>
      <c r="B2792" s="8" t="s">
        <v>6360</v>
      </c>
      <c r="C2792" s="8" t="s">
        <v>5884</v>
      </c>
      <c r="D2792" s="7">
        <v>1</v>
      </c>
      <c r="E2792" s="7">
        <v>10</v>
      </c>
      <c r="F2792" s="7">
        <v>0.125</v>
      </c>
      <c r="G2792" s="8" t="s">
        <v>5690</v>
      </c>
      <c r="H2792" s="8" t="s">
        <v>5691</v>
      </c>
      <c r="I2792" s="7" t="str">
        <f>_xlfn.CONCAT(Paper_Reference[[#This Row],[Lvl]:[Paper Description]])</f>
        <v>2J75RB327UQ68HWY66 W BLOND UNION 4.75X481100.125100DS009-6200FROSTY WHITE</v>
      </c>
      <c r="J2792" s="7">
        <f>COUNTIF(Paper_Reference[Duplicate Key],Paper_Reference[[#This Row],[Duplicate Key]])</f>
        <v>1</v>
      </c>
    </row>
    <row r="2793" spans="1:10">
      <c r="A2793" s="7">
        <v>2</v>
      </c>
      <c r="B2793" s="8" t="s">
        <v>2691</v>
      </c>
      <c r="C2793" s="8" t="s">
        <v>2238</v>
      </c>
      <c r="D2793" s="7">
        <v>1</v>
      </c>
      <c r="E2793" s="7">
        <v>10</v>
      </c>
      <c r="F2793" s="7">
        <v>1</v>
      </c>
      <c r="G2793" s="8" t="s">
        <v>2144</v>
      </c>
      <c r="H2793" s="8" t="s">
        <v>1242</v>
      </c>
      <c r="I2793" s="7" t="str">
        <f>_xlfn.CONCAT(Paper_Reference[[#This Row],[Lvl]:[Paper Description]])</f>
        <v>2J75RB329PTQ64HWY66 COMP L APPR 51.19 X 96110110000020-6200Premium Inkjet MPK 9653</v>
      </c>
      <c r="J2793" s="7">
        <f>COUNTIF(Paper_Reference[Duplicate Key],Paper_Reference[[#This Row],[Duplicate Key]])</f>
        <v>1</v>
      </c>
    </row>
    <row r="2794" spans="1:10">
      <c r="A2794" s="7">
        <v>2</v>
      </c>
      <c r="B2794" s="8" t="s">
        <v>2691</v>
      </c>
      <c r="C2794" s="8" t="s">
        <v>2238</v>
      </c>
      <c r="D2794" s="7">
        <v>1</v>
      </c>
      <c r="E2794" s="7">
        <v>10</v>
      </c>
      <c r="F2794" s="7">
        <v>2</v>
      </c>
      <c r="G2794" s="8" t="s">
        <v>5690</v>
      </c>
      <c r="H2794" s="8" t="s">
        <v>5691</v>
      </c>
      <c r="I2794" s="7" t="str">
        <f>_xlfn.CONCAT(Paper_Reference[[#This Row],[Lvl]:[Paper Description]])</f>
        <v>2J75RB329PTQ64HWY66 COMP L APPR 51.19 X 961102100DS009-6200FROSTY WHITE</v>
      </c>
      <c r="J2794" s="7">
        <f>COUNTIF(Paper_Reference[Duplicate Key],Paper_Reference[[#This Row],[Duplicate Key]])</f>
        <v>1</v>
      </c>
    </row>
    <row r="2795" spans="1:10">
      <c r="A2795" s="7">
        <v>2</v>
      </c>
      <c r="B2795" s="8" t="s">
        <v>2692</v>
      </c>
      <c r="C2795" s="8" t="s">
        <v>2239</v>
      </c>
      <c r="D2795" s="7">
        <v>1</v>
      </c>
      <c r="E2795" s="7">
        <v>10</v>
      </c>
      <c r="F2795" s="7">
        <v>1</v>
      </c>
      <c r="G2795" s="8" t="s">
        <v>2144</v>
      </c>
      <c r="H2795" s="8" t="s">
        <v>1242</v>
      </c>
      <c r="I2795" s="7" t="str">
        <f>_xlfn.CONCAT(Paper_Reference[[#This Row],[Lvl]:[Paper Description]])</f>
        <v>2J75RB330PTQ67HWY66 COMP R APPR 51.19 X 96110110000020-6200Premium Inkjet MPK 9653</v>
      </c>
      <c r="J2795" s="7">
        <f>COUNTIF(Paper_Reference[Duplicate Key],Paper_Reference[[#This Row],[Duplicate Key]])</f>
        <v>1</v>
      </c>
    </row>
    <row r="2796" spans="1:10">
      <c r="A2796" s="7">
        <v>2</v>
      </c>
      <c r="B2796" s="8" t="s">
        <v>2692</v>
      </c>
      <c r="C2796" s="8" t="s">
        <v>2239</v>
      </c>
      <c r="D2796" s="7">
        <v>1</v>
      </c>
      <c r="E2796" s="7">
        <v>10</v>
      </c>
      <c r="F2796" s="7">
        <v>2</v>
      </c>
      <c r="G2796" s="8" t="s">
        <v>5690</v>
      </c>
      <c r="H2796" s="8" t="s">
        <v>5691</v>
      </c>
      <c r="I2796" s="7" t="str">
        <f>_xlfn.CONCAT(Paper_Reference[[#This Row],[Lvl]:[Paper Description]])</f>
        <v>2J75RB330PTQ67HWY66 COMP R APPR 51.19 X 961102100DS009-6200FROSTY WHITE</v>
      </c>
      <c r="J2796" s="7">
        <f>COUNTIF(Paper_Reference[Duplicate Key],Paper_Reference[[#This Row],[Duplicate Key]])</f>
        <v>1</v>
      </c>
    </row>
    <row r="2797" spans="1:10">
      <c r="A2797" s="7">
        <v>2</v>
      </c>
      <c r="B2797" s="8" t="s">
        <v>2693</v>
      </c>
      <c r="C2797" s="8" t="s">
        <v>2240</v>
      </c>
      <c r="D2797" s="7">
        <v>1</v>
      </c>
      <c r="E2797" s="7">
        <v>10</v>
      </c>
      <c r="F2797" s="7">
        <v>1</v>
      </c>
      <c r="G2797" s="8" t="s">
        <v>2144</v>
      </c>
      <c r="H2797" s="8" t="s">
        <v>1242</v>
      </c>
      <c r="I2797" s="7" t="str">
        <f>_xlfn.CONCAT(Paper_Reference[[#This Row],[Lvl]:[Paper Description]])</f>
        <v>2J75RB331PTQ64HWY66 FWEST L APPR 51.19 X 96110110000020-6200Premium Inkjet MPK 9653</v>
      </c>
      <c r="J2797" s="7">
        <f>COUNTIF(Paper_Reference[Duplicate Key],Paper_Reference[[#This Row],[Duplicate Key]])</f>
        <v>1</v>
      </c>
    </row>
    <row r="2798" spans="1:10">
      <c r="A2798" s="7">
        <v>2</v>
      </c>
      <c r="B2798" s="8" t="s">
        <v>2693</v>
      </c>
      <c r="C2798" s="8" t="s">
        <v>2240</v>
      </c>
      <c r="D2798" s="7">
        <v>1</v>
      </c>
      <c r="E2798" s="7">
        <v>10</v>
      </c>
      <c r="F2798" s="7">
        <v>2</v>
      </c>
      <c r="G2798" s="8" t="s">
        <v>5690</v>
      </c>
      <c r="H2798" s="8" t="s">
        <v>5691</v>
      </c>
      <c r="I2798" s="7" t="str">
        <f>_xlfn.CONCAT(Paper_Reference[[#This Row],[Lvl]:[Paper Description]])</f>
        <v>2J75RB331PTQ64HWY66 FWEST L APPR 51.19 X 961102100DS009-6200FROSTY WHITE</v>
      </c>
      <c r="J2798" s="7">
        <f>COUNTIF(Paper_Reference[Duplicate Key],Paper_Reference[[#This Row],[Duplicate Key]])</f>
        <v>1</v>
      </c>
    </row>
    <row r="2799" spans="1:10">
      <c r="A2799" s="7">
        <v>2</v>
      </c>
      <c r="B2799" s="8" t="s">
        <v>2694</v>
      </c>
      <c r="C2799" s="8" t="s">
        <v>2240</v>
      </c>
      <c r="D2799" s="7">
        <v>1</v>
      </c>
      <c r="E2799" s="7">
        <v>10</v>
      </c>
      <c r="F2799" s="7">
        <v>1</v>
      </c>
      <c r="G2799" s="8" t="s">
        <v>2144</v>
      </c>
      <c r="H2799" s="8" t="s">
        <v>1242</v>
      </c>
      <c r="I2799" s="7" t="str">
        <f>_xlfn.CONCAT(Paper_Reference[[#This Row],[Lvl]:[Paper Description]])</f>
        <v>2J75RB331UQ64HWY66 FWEST L APPR 51.19 X 96110110000020-6200Premium Inkjet MPK 9653</v>
      </c>
      <c r="J2799" s="7">
        <f>COUNTIF(Paper_Reference[Duplicate Key],Paper_Reference[[#This Row],[Duplicate Key]])</f>
        <v>1</v>
      </c>
    </row>
    <row r="2800" spans="1:10">
      <c r="A2800" s="7">
        <v>2</v>
      </c>
      <c r="B2800" s="8" t="s">
        <v>2694</v>
      </c>
      <c r="C2800" s="8" t="s">
        <v>2240</v>
      </c>
      <c r="D2800" s="7">
        <v>1</v>
      </c>
      <c r="E2800" s="7">
        <v>10</v>
      </c>
      <c r="F2800" s="7">
        <v>2</v>
      </c>
      <c r="G2800" s="8" t="s">
        <v>5690</v>
      </c>
      <c r="H2800" s="8" t="s">
        <v>5691</v>
      </c>
      <c r="I2800" s="7" t="str">
        <f>_xlfn.CONCAT(Paper_Reference[[#This Row],[Lvl]:[Paper Description]])</f>
        <v>2J75RB331UQ64HWY66 FWEST L APPR 51.19 X 961102100DS009-6200FROSTY WHITE</v>
      </c>
      <c r="J2800" s="7">
        <f>COUNTIF(Paper_Reference[Duplicate Key],Paper_Reference[[#This Row],[Duplicate Key]])</f>
        <v>1</v>
      </c>
    </row>
    <row r="2801" spans="1:10">
      <c r="A2801" s="7">
        <v>2</v>
      </c>
      <c r="B2801" s="8" t="s">
        <v>2695</v>
      </c>
      <c r="C2801" s="8" t="s">
        <v>2241</v>
      </c>
      <c r="D2801" s="7">
        <v>1</v>
      </c>
      <c r="E2801" s="7">
        <v>10</v>
      </c>
      <c r="F2801" s="7">
        <v>1</v>
      </c>
      <c r="G2801" s="8" t="s">
        <v>2144</v>
      </c>
      <c r="H2801" s="8" t="s">
        <v>1242</v>
      </c>
      <c r="I2801" s="7" t="str">
        <f>_xlfn.CONCAT(Paper_Reference[[#This Row],[Lvl]:[Paper Description]])</f>
        <v>2J75RB332PTQ67HWY66 FWEST R APPR 51.19 X 96110110000020-6200Premium Inkjet MPK 9653</v>
      </c>
      <c r="J2801" s="7">
        <f>COUNTIF(Paper_Reference[Duplicate Key],Paper_Reference[[#This Row],[Duplicate Key]])</f>
        <v>1</v>
      </c>
    </row>
    <row r="2802" spans="1:10">
      <c r="A2802" s="7">
        <v>2</v>
      </c>
      <c r="B2802" s="8" t="s">
        <v>2695</v>
      </c>
      <c r="C2802" s="8" t="s">
        <v>2241</v>
      </c>
      <c r="D2802" s="7">
        <v>1</v>
      </c>
      <c r="E2802" s="7">
        <v>10</v>
      </c>
      <c r="F2802" s="7">
        <v>2</v>
      </c>
      <c r="G2802" s="8" t="s">
        <v>5690</v>
      </c>
      <c r="H2802" s="8" t="s">
        <v>5691</v>
      </c>
      <c r="I2802" s="7" t="str">
        <f>_xlfn.CONCAT(Paper_Reference[[#This Row],[Lvl]:[Paper Description]])</f>
        <v>2J75RB332PTQ67HWY66 FWEST R APPR 51.19 X 961102100DS009-6200FROSTY WHITE</v>
      </c>
      <c r="J2802" s="7">
        <f>COUNTIF(Paper_Reference[Duplicate Key],Paper_Reference[[#This Row],[Duplicate Key]])</f>
        <v>1</v>
      </c>
    </row>
    <row r="2803" spans="1:10">
      <c r="A2803" s="7">
        <v>2</v>
      </c>
      <c r="B2803" s="8" t="s">
        <v>2696</v>
      </c>
      <c r="C2803" s="8" t="s">
        <v>2241</v>
      </c>
      <c r="D2803" s="7">
        <v>1</v>
      </c>
      <c r="E2803" s="7">
        <v>10</v>
      </c>
      <c r="F2803" s="7">
        <v>1</v>
      </c>
      <c r="G2803" s="8" t="s">
        <v>2144</v>
      </c>
      <c r="H2803" s="8" t="s">
        <v>1242</v>
      </c>
      <c r="I2803" s="7" t="str">
        <f>_xlfn.CONCAT(Paper_Reference[[#This Row],[Lvl]:[Paper Description]])</f>
        <v>2J75RB332UQ67HWY66 FWEST R APPR 51.19 X 96110110000020-6200Premium Inkjet MPK 9653</v>
      </c>
      <c r="J2803" s="7">
        <f>COUNTIF(Paper_Reference[Duplicate Key],Paper_Reference[[#This Row],[Duplicate Key]])</f>
        <v>1</v>
      </c>
    </row>
    <row r="2804" spans="1:10">
      <c r="A2804" s="7">
        <v>2</v>
      </c>
      <c r="B2804" s="8" t="s">
        <v>2696</v>
      </c>
      <c r="C2804" s="8" t="s">
        <v>2241</v>
      </c>
      <c r="D2804" s="7">
        <v>1</v>
      </c>
      <c r="E2804" s="7">
        <v>10</v>
      </c>
      <c r="F2804" s="7">
        <v>2</v>
      </c>
      <c r="G2804" s="8" t="s">
        <v>5690</v>
      </c>
      <c r="H2804" s="8" t="s">
        <v>5691</v>
      </c>
      <c r="I2804" s="7" t="str">
        <f>_xlfn.CONCAT(Paper_Reference[[#This Row],[Lvl]:[Paper Description]])</f>
        <v>2J75RB332UQ67HWY66 FWEST R APPR 51.19 X 961102100DS009-6200FROSTY WHITE</v>
      </c>
      <c r="J2804" s="7">
        <f>COUNTIF(Paper_Reference[Duplicate Key],Paper_Reference[[#This Row],[Duplicate Key]])</f>
        <v>1</v>
      </c>
    </row>
    <row r="2805" spans="1:10">
      <c r="A2805" s="7">
        <v>2</v>
      </c>
      <c r="B2805" s="8" t="s">
        <v>6361</v>
      </c>
      <c r="C2805" s="8" t="s">
        <v>5885</v>
      </c>
      <c r="D2805" s="7">
        <v>1</v>
      </c>
      <c r="E2805" s="7">
        <v>10</v>
      </c>
      <c r="F2805" s="7">
        <v>2</v>
      </c>
      <c r="G2805" s="8" t="s">
        <v>5690</v>
      </c>
      <c r="H2805" s="8" t="s">
        <v>5691</v>
      </c>
      <c r="I2805" s="7" t="str">
        <f>_xlfn.CONCAT(Paper_Reference[[#This Row],[Lvl]:[Paper Description]])</f>
        <v>2J75RB333PTQ64HWY66 MONSTER L APPR 51.19 X 91102100DS009-6200FROSTY WHITE</v>
      </c>
      <c r="J2805" s="7">
        <f>COUNTIF(Paper_Reference[Duplicate Key],Paper_Reference[[#This Row],[Duplicate Key]])</f>
        <v>1</v>
      </c>
    </row>
    <row r="2806" spans="1:10">
      <c r="A2806" s="7">
        <v>2</v>
      </c>
      <c r="B2806" s="8" t="s">
        <v>6362</v>
      </c>
      <c r="C2806" s="8" t="s">
        <v>5886</v>
      </c>
      <c r="D2806" s="7">
        <v>1</v>
      </c>
      <c r="E2806" s="7">
        <v>10</v>
      </c>
      <c r="F2806" s="7">
        <v>2</v>
      </c>
      <c r="G2806" s="8" t="s">
        <v>5690</v>
      </c>
      <c r="H2806" s="8" t="s">
        <v>5691</v>
      </c>
      <c r="I2806" s="7" t="str">
        <f>_xlfn.CONCAT(Paper_Reference[[#This Row],[Lvl]:[Paper Description]])</f>
        <v>2J75RB334PTQ67HWY66 MONSTER R APPR 51.19 X 91102100DS009-6200FROSTY WHITE</v>
      </c>
      <c r="J2806" s="7">
        <f>COUNTIF(Paper_Reference[Duplicate Key],Paper_Reference[[#This Row],[Duplicate Key]])</f>
        <v>1</v>
      </c>
    </row>
    <row r="2807" spans="1:10">
      <c r="A2807" s="7">
        <v>2</v>
      </c>
      <c r="B2807" s="8" t="s">
        <v>6363</v>
      </c>
      <c r="C2807" s="8" t="s">
        <v>5887</v>
      </c>
      <c r="D2807" s="7">
        <v>1</v>
      </c>
      <c r="E2807" s="7">
        <v>10</v>
      </c>
      <c r="F2807" s="7">
        <v>0.125</v>
      </c>
      <c r="G2807" s="8" t="s">
        <v>5690</v>
      </c>
      <c r="H2807" s="8" t="s">
        <v>5691</v>
      </c>
      <c r="I2807" s="7" t="str">
        <f>_xlfn.CONCAT(Paper_Reference[[#This Row],[Lvl]:[Paper Description]])</f>
        <v>2J75RB335UQ68HWY66 A BIRDS UNION 4.75 X 481100.125100DS009-6200FROSTY WHITE</v>
      </c>
      <c r="J2807" s="7">
        <f>COUNTIF(Paper_Reference[Duplicate Key],Paper_Reference[[#This Row],[Duplicate Key]])</f>
        <v>1</v>
      </c>
    </row>
    <row r="2808" spans="1:10">
      <c r="A2808" s="7">
        <v>2</v>
      </c>
      <c r="B2808" s="8" t="s">
        <v>891</v>
      </c>
      <c r="C2808" s="8" t="s">
        <v>892</v>
      </c>
      <c r="D2808" s="7">
        <v>1</v>
      </c>
      <c r="E2808" s="7">
        <v>10</v>
      </c>
      <c r="F2808" s="7">
        <v>6.25E-2</v>
      </c>
      <c r="G2808" s="8" t="s">
        <v>2144</v>
      </c>
      <c r="H2808" s="8" t="s">
        <v>1242</v>
      </c>
      <c r="I2808" s="7" t="str">
        <f>_xlfn.CONCAT(Paper_Reference[[#This Row],[Lvl]:[Paper Description]])</f>
        <v>2J75RB341UQ68HWY66 FWEST UNION 4.75 X 481100.062510000020-6200Premium Inkjet MPK 9653</v>
      </c>
      <c r="J2808" s="7">
        <f>COUNTIF(Paper_Reference[Duplicate Key],Paper_Reference[[#This Row],[Duplicate Key]])</f>
        <v>1</v>
      </c>
    </row>
    <row r="2809" spans="1:10">
      <c r="A2809" s="7">
        <v>2</v>
      </c>
      <c r="B2809" s="8" t="s">
        <v>2697</v>
      </c>
      <c r="C2809" s="8" t="s">
        <v>2242</v>
      </c>
      <c r="D2809" s="7">
        <v>1</v>
      </c>
      <c r="E2809" s="7">
        <v>10</v>
      </c>
      <c r="F2809" s="7">
        <v>6.25E-2</v>
      </c>
      <c r="G2809" s="8" t="s">
        <v>2144</v>
      </c>
      <c r="H2809" s="8" t="s">
        <v>1242</v>
      </c>
      <c r="I2809" s="7" t="str">
        <f>_xlfn.CONCAT(Paper_Reference[[#This Row],[Lvl]:[Paper Description]])</f>
        <v>2J75RB343UQ68HWY66 C BURST UNION 4.75 X 481100.062510000020-6200Premium Inkjet MPK 9653</v>
      </c>
      <c r="J2809" s="7">
        <f>COUNTIF(Paper_Reference[Duplicate Key],Paper_Reference[[#This Row],[Duplicate Key]])</f>
        <v>1</v>
      </c>
    </row>
    <row r="2810" spans="1:10">
      <c r="A2810" s="7">
        <v>2</v>
      </c>
      <c r="B2810" s="8" t="s">
        <v>6364</v>
      </c>
      <c r="C2810" s="8" t="s">
        <v>5888</v>
      </c>
      <c r="D2810" s="7">
        <v>1</v>
      </c>
      <c r="E2810" s="7">
        <v>10</v>
      </c>
      <c r="F2810" s="7">
        <v>0.125</v>
      </c>
      <c r="G2810" s="8" t="s">
        <v>5690</v>
      </c>
      <c r="H2810" s="8" t="s">
        <v>5691</v>
      </c>
      <c r="I2810" s="7" t="str">
        <f>_xlfn.CONCAT(Paper_Reference[[#This Row],[Lvl]:[Paper Description]])</f>
        <v>2J75RB349UQ68HWY66 MONSTER UNION 4.75 X 481100.125100DS009-6200FROSTY WHITE</v>
      </c>
      <c r="J2810" s="7">
        <f>COUNTIF(Paper_Reference[Duplicate Key],Paper_Reference[[#This Row],[Duplicate Key]])</f>
        <v>1</v>
      </c>
    </row>
    <row r="2811" spans="1:10">
      <c r="A2811" s="7">
        <v>2</v>
      </c>
      <c r="B2811" s="8" t="s">
        <v>2698</v>
      </c>
      <c r="C2811" s="8" t="s">
        <v>2243</v>
      </c>
      <c r="D2811" s="7">
        <v>1</v>
      </c>
      <c r="E2811" s="7">
        <v>10</v>
      </c>
      <c r="F2811" s="7">
        <v>6.25E-2</v>
      </c>
      <c r="G2811" s="8" t="s">
        <v>2144</v>
      </c>
      <c r="H2811" s="8" t="s">
        <v>1242</v>
      </c>
      <c r="I2811" s="7" t="str">
        <f>_xlfn.CONCAT(Paper_Reference[[#This Row],[Lvl]:[Paper Description]])</f>
        <v>2J75RB353UQ68HWY66 COMP UNION 4.75 X 481100.062510000020-6200Premium Inkjet MPK 9653</v>
      </c>
      <c r="J2811" s="7">
        <f>COUNTIF(Paper_Reference[Duplicate Key],Paper_Reference[[#This Row],[Duplicate Key]])</f>
        <v>1</v>
      </c>
    </row>
    <row r="2812" spans="1:10">
      <c r="A2812" s="7">
        <v>2</v>
      </c>
      <c r="B2812" s="8" t="s">
        <v>6365</v>
      </c>
      <c r="C2812" s="8" t="s">
        <v>5889</v>
      </c>
      <c r="D2812" s="7">
        <v>1</v>
      </c>
      <c r="E2812" s="7">
        <v>10</v>
      </c>
      <c r="F2812" s="7">
        <v>2</v>
      </c>
      <c r="G2812" s="8" t="s">
        <v>5690</v>
      </c>
      <c r="H2812" s="8" t="s">
        <v>5691</v>
      </c>
      <c r="I2812" s="7" t="str">
        <f>_xlfn.CONCAT(Paper_Reference[[#This Row],[Lvl]:[Paper Description]])</f>
        <v>2J75RB355UQ64HWY66 VINTAGE APPR 51.19 X 961102100DS009-6200FROSTY WHITE</v>
      </c>
      <c r="J2812" s="7">
        <f>COUNTIF(Paper_Reference[Duplicate Key],Paper_Reference[[#This Row],[Duplicate Key]])</f>
        <v>1</v>
      </c>
    </row>
    <row r="2813" spans="1:10">
      <c r="A2813" s="7">
        <v>2</v>
      </c>
      <c r="B2813" s="8" t="s">
        <v>6366</v>
      </c>
      <c r="C2813" s="8" t="s">
        <v>5889</v>
      </c>
      <c r="D2813" s="7">
        <v>1</v>
      </c>
      <c r="E2813" s="7">
        <v>10</v>
      </c>
      <c r="F2813" s="7">
        <v>2</v>
      </c>
      <c r="G2813" s="8" t="s">
        <v>5690</v>
      </c>
      <c r="H2813" s="8" t="s">
        <v>5691</v>
      </c>
      <c r="I2813" s="7" t="str">
        <f>_xlfn.CONCAT(Paper_Reference[[#This Row],[Lvl]:[Paper Description]])</f>
        <v>2J75RB355UQ69HWY66 VINTAGE APPR 51.19 X 961102100DS009-6200FROSTY WHITE</v>
      </c>
      <c r="J2813" s="7">
        <f>COUNTIF(Paper_Reference[Duplicate Key],Paper_Reference[[#This Row],[Duplicate Key]])</f>
        <v>1</v>
      </c>
    </row>
    <row r="2814" spans="1:10">
      <c r="A2814" s="7">
        <v>2</v>
      </c>
      <c r="B2814" s="8" t="s">
        <v>6367</v>
      </c>
      <c r="C2814" s="8" t="s">
        <v>5890</v>
      </c>
      <c r="D2814" s="7">
        <v>1</v>
      </c>
      <c r="E2814" s="7">
        <v>10</v>
      </c>
      <c r="F2814" s="7">
        <v>2</v>
      </c>
      <c r="G2814" s="8" t="s">
        <v>5690</v>
      </c>
      <c r="H2814" s="8" t="s">
        <v>5691</v>
      </c>
      <c r="I2814" s="7" t="str">
        <f>_xlfn.CONCAT(Paper_Reference[[#This Row],[Lvl]:[Paper Description]])</f>
        <v>2J75RB359UQ64HWY66 JUKE L APPR 51.19 X 961102100DS009-6200FROSTY WHITE</v>
      </c>
      <c r="J2814" s="7">
        <f>COUNTIF(Paper_Reference[Duplicate Key],Paper_Reference[[#This Row],[Duplicate Key]])</f>
        <v>1</v>
      </c>
    </row>
    <row r="2815" spans="1:10">
      <c r="A2815" s="7">
        <v>2</v>
      </c>
      <c r="B2815" s="8" t="s">
        <v>6368</v>
      </c>
      <c r="C2815" s="8" t="s">
        <v>5891</v>
      </c>
      <c r="D2815" s="7">
        <v>1</v>
      </c>
      <c r="E2815" s="7">
        <v>10</v>
      </c>
      <c r="F2815" s="7">
        <v>2</v>
      </c>
      <c r="G2815" s="8" t="s">
        <v>5690</v>
      </c>
      <c r="H2815" s="8" t="s">
        <v>5691</v>
      </c>
      <c r="I2815" s="7" t="str">
        <f>_xlfn.CONCAT(Paper_Reference[[#This Row],[Lvl]:[Paper Description]])</f>
        <v>2J75RB360UQ67HWY66 JUKE R APPR 51.19 X 961102100DS009-6200FROSTY WHITE</v>
      </c>
      <c r="J2815" s="7">
        <f>COUNTIF(Paper_Reference[Duplicate Key],Paper_Reference[[#This Row],[Duplicate Key]])</f>
        <v>1</v>
      </c>
    </row>
    <row r="2816" spans="1:10">
      <c r="A2816" s="7">
        <v>2</v>
      </c>
      <c r="B2816" s="8" t="s">
        <v>6369</v>
      </c>
      <c r="C2816" s="8" t="s">
        <v>5892</v>
      </c>
      <c r="D2816" s="7">
        <v>1</v>
      </c>
      <c r="E2816" s="7">
        <v>10</v>
      </c>
      <c r="F2816" s="7">
        <v>0.125</v>
      </c>
      <c r="G2816" s="8" t="s">
        <v>5690</v>
      </c>
      <c r="H2816" s="8" t="s">
        <v>5691</v>
      </c>
      <c r="I2816" s="7" t="str">
        <f>_xlfn.CONCAT(Paper_Reference[[#This Row],[Lvl]:[Paper Description]])</f>
        <v>2J75RB363UQ68HWY66 JUKE UNION 4.75 X 481100.125100DS009-6200FROSTY WHITE</v>
      </c>
      <c r="J2816" s="7">
        <f>COUNTIF(Paper_Reference[Duplicate Key],Paper_Reference[[#This Row],[Duplicate Key]])</f>
        <v>1</v>
      </c>
    </row>
    <row r="2817" spans="1:10">
      <c r="A2817" s="7">
        <v>2</v>
      </c>
      <c r="B2817" s="8" t="s">
        <v>6370</v>
      </c>
      <c r="C2817" s="8" t="s">
        <v>5893</v>
      </c>
      <c r="D2817" s="7">
        <v>1</v>
      </c>
      <c r="E2817" s="7">
        <v>10</v>
      </c>
      <c r="F2817" s="7">
        <v>0.125</v>
      </c>
      <c r="G2817" s="8" t="s">
        <v>5690</v>
      </c>
      <c r="H2817" s="8" t="s">
        <v>5691</v>
      </c>
      <c r="I2817" s="7" t="str">
        <f>_xlfn.CONCAT(Paper_Reference[[#This Row],[Lvl]:[Paper Description]])</f>
        <v>2J75RB365UQ68HWY66 VINTAGE APPR UN 4.75X481100.125100DS009-6200FROSTY WHITE</v>
      </c>
      <c r="J2817" s="7">
        <f>COUNTIF(Paper_Reference[Duplicate Key],Paper_Reference[[#This Row],[Duplicate Key]])</f>
        <v>1</v>
      </c>
    </row>
    <row r="2818" spans="1:10">
      <c r="A2818" s="7">
        <v>2</v>
      </c>
      <c r="B2818" s="8" t="s">
        <v>6371</v>
      </c>
      <c r="C2818" s="8" t="s">
        <v>5894</v>
      </c>
      <c r="D2818" s="7">
        <v>1</v>
      </c>
      <c r="E2818" s="7">
        <v>10</v>
      </c>
      <c r="F2818" s="7">
        <v>0.125</v>
      </c>
      <c r="G2818" s="8" t="s">
        <v>5690</v>
      </c>
      <c r="H2818" s="8" t="s">
        <v>5691</v>
      </c>
      <c r="I2818" s="7" t="str">
        <f>_xlfn.CONCAT(Paper_Reference[[#This Row],[Lvl]:[Paper Description]])</f>
        <v>2J75RB370UQ68HWY66 POP66 UNION 4.75 X 481100.125100DS009-6200FROSTY WHITE</v>
      </c>
      <c r="J2818" s="7">
        <f>COUNTIF(Paper_Reference[Duplicate Key],Paper_Reference[[#This Row],[Duplicate Key]])</f>
        <v>1</v>
      </c>
    </row>
    <row r="2819" spans="1:10">
      <c r="A2819" s="7">
        <v>2</v>
      </c>
      <c r="B2819" s="8" t="s">
        <v>2699</v>
      </c>
      <c r="C2819" s="8" t="s">
        <v>2242</v>
      </c>
      <c r="D2819" s="7">
        <v>1</v>
      </c>
      <c r="E2819" s="7">
        <v>10</v>
      </c>
      <c r="F2819" s="7">
        <v>6.25E-2</v>
      </c>
      <c r="G2819" s="8" t="s">
        <v>2144</v>
      </c>
      <c r="H2819" s="8" t="s">
        <v>1242</v>
      </c>
      <c r="I2819" s="7" t="str">
        <f>_xlfn.CONCAT(Paper_Reference[[#This Row],[Lvl]:[Paper Description]])</f>
        <v>2J75RB372UQ68HWY66 C BURST UNION 4.75 X 481100.062510000020-6200Premium Inkjet MPK 9653</v>
      </c>
      <c r="J2819" s="7">
        <f>COUNTIF(Paper_Reference[Duplicate Key],Paper_Reference[[#This Row],[Duplicate Key]])</f>
        <v>1</v>
      </c>
    </row>
    <row r="2820" spans="1:10">
      <c r="A2820" s="7">
        <v>2</v>
      </c>
      <c r="B2820" s="8" t="s">
        <v>6372</v>
      </c>
      <c r="C2820" s="8" t="s">
        <v>5895</v>
      </c>
      <c r="D2820" s="7">
        <v>1</v>
      </c>
      <c r="E2820" s="7">
        <v>10</v>
      </c>
      <c r="F2820" s="7">
        <v>0.16669999999999999</v>
      </c>
      <c r="G2820" s="8" t="s">
        <v>5690</v>
      </c>
      <c r="H2820" s="8" t="s">
        <v>5691</v>
      </c>
      <c r="I2820" s="7" t="str">
        <f>_xlfn.CONCAT(Paper_Reference[[#This Row],[Lvl]:[Paper Description]])</f>
        <v>2J75RB441UQ77HWY66 W BLOND EXT 29.88X16.81100.1667100DS009-6200FROSTY WHITE</v>
      </c>
      <c r="J2820" s="7">
        <f>COUNTIF(Paper_Reference[Duplicate Key],Paper_Reference[[#This Row],[Duplicate Key]])</f>
        <v>1</v>
      </c>
    </row>
    <row r="2821" spans="1:10">
      <c r="A2821" s="7">
        <v>2</v>
      </c>
      <c r="B2821" s="8" t="s">
        <v>2700</v>
      </c>
      <c r="C2821" s="8" t="s">
        <v>2244</v>
      </c>
      <c r="D2821" s="7">
        <v>1</v>
      </c>
      <c r="E2821" s="7">
        <v>10</v>
      </c>
      <c r="F2821" s="7">
        <v>1</v>
      </c>
      <c r="G2821" s="8" t="s">
        <v>2144</v>
      </c>
      <c r="H2821" s="8" t="s">
        <v>1242</v>
      </c>
      <c r="I2821" s="7" t="str">
        <f>_xlfn.CONCAT(Paper_Reference[[#This Row],[Lvl]:[Paper Description]])</f>
        <v>2J75RB504UQ67HWY66 COMP APPR SIN 51.19X96110110000020-6200Premium Inkjet MPK 9653</v>
      </c>
      <c r="J2821" s="7">
        <f>COUNTIF(Paper_Reference[Duplicate Key],Paper_Reference[[#This Row],[Duplicate Key]])</f>
        <v>1</v>
      </c>
    </row>
    <row r="2822" spans="1:10">
      <c r="A2822" s="7">
        <v>2</v>
      </c>
      <c r="B2822" s="8" t="s">
        <v>2701</v>
      </c>
      <c r="C2822" s="8" t="s">
        <v>2245</v>
      </c>
      <c r="D2822" s="7">
        <v>1</v>
      </c>
      <c r="E2822" s="7">
        <v>10</v>
      </c>
      <c r="F2822" s="7">
        <v>0.2</v>
      </c>
      <c r="G2822" s="8" t="s">
        <v>2144</v>
      </c>
      <c r="H2822" s="8" t="s">
        <v>1242</v>
      </c>
      <c r="I2822" s="7" t="str">
        <f>_xlfn.CONCAT(Paper_Reference[[#This Row],[Lvl]:[Paper Description]])</f>
        <v>2J75RB505UQ78HWY66 COMP APPR FILL 9.19 X 961100.210000020-6200Premium Inkjet MPK 9653</v>
      </c>
      <c r="J2822" s="7">
        <f>COUNTIF(Paper_Reference[Duplicate Key],Paper_Reference[[#This Row],[Duplicate Key]])</f>
        <v>1</v>
      </c>
    </row>
    <row r="2823" spans="1:10">
      <c r="A2823" s="7">
        <v>2</v>
      </c>
      <c r="B2823" s="8" t="s">
        <v>2702</v>
      </c>
      <c r="C2823" s="8" t="s">
        <v>2246</v>
      </c>
      <c r="D2823" s="7">
        <v>1</v>
      </c>
      <c r="E2823" s="7">
        <v>10</v>
      </c>
      <c r="F2823" s="7">
        <v>8.3299999999999999E-2</v>
      </c>
      <c r="G2823" s="8" t="s">
        <v>2144</v>
      </c>
      <c r="H2823" s="8" t="s">
        <v>1242</v>
      </c>
      <c r="I2823" s="7" t="str">
        <f>_xlfn.CONCAT(Paper_Reference[[#This Row],[Lvl]:[Paper Description]])</f>
        <v>2J75RB509UQ77HWY66 C BURST EXT 29.88X16.81100.083310000020-6200Premium Inkjet MPK 9653</v>
      </c>
      <c r="J2823" s="7">
        <f>COUNTIF(Paper_Reference[Duplicate Key],Paper_Reference[[#This Row],[Duplicate Key]])</f>
        <v>1</v>
      </c>
    </row>
    <row r="2824" spans="1:10">
      <c r="A2824" s="7">
        <v>2</v>
      </c>
      <c r="B2824" s="8" t="s">
        <v>6373</v>
      </c>
      <c r="C2824" s="8" t="s">
        <v>5896</v>
      </c>
      <c r="D2824" s="7">
        <v>1</v>
      </c>
      <c r="E2824" s="7">
        <v>10</v>
      </c>
      <c r="F2824" s="7">
        <v>0.125</v>
      </c>
      <c r="G2824" s="8" t="s">
        <v>5690</v>
      </c>
      <c r="H2824" s="8" t="s">
        <v>5691</v>
      </c>
      <c r="I2824" s="7" t="str">
        <f>_xlfn.CONCAT(Paper_Reference[[#This Row],[Lvl]:[Paper Description]])</f>
        <v>2J75RB538UQ68HWY66 VT Cherry UNION 4.75 X 41100.125100DS009-6200FROSTY WHITE</v>
      </c>
      <c r="J2824" s="7">
        <f>COUNTIF(Paper_Reference[Duplicate Key],Paper_Reference[[#This Row],[Duplicate Key]])</f>
        <v>1</v>
      </c>
    </row>
    <row r="2825" spans="1:10">
      <c r="A2825" s="7">
        <v>2</v>
      </c>
      <c r="B2825" s="8" t="s">
        <v>6374</v>
      </c>
      <c r="C2825" s="8" t="s">
        <v>5897</v>
      </c>
      <c r="D2825" s="7">
        <v>1</v>
      </c>
      <c r="E2825" s="7">
        <v>10</v>
      </c>
      <c r="F2825" s="7">
        <v>0.16669999999999999</v>
      </c>
      <c r="G2825" s="8" t="s">
        <v>5690</v>
      </c>
      <c r="H2825" s="8" t="s">
        <v>5691</v>
      </c>
      <c r="I2825" s="7" t="str">
        <f>_xlfn.CONCAT(Paper_Reference[[#This Row],[Lvl]:[Paper Description]])</f>
        <v>2J75RB540UQ77HWY66 VT Cherry EXT 29.88X16.81100.1667100DS009-6200FROSTY WHITE</v>
      </c>
      <c r="J2825" s="7">
        <f>COUNTIF(Paper_Reference[Duplicate Key],Paper_Reference[[#This Row],[Duplicate Key]])</f>
        <v>1</v>
      </c>
    </row>
    <row r="2826" spans="1:10">
      <c r="A2826" s="7">
        <v>2</v>
      </c>
      <c r="B2826" s="8" t="s">
        <v>6375</v>
      </c>
      <c r="C2826" s="8" t="s">
        <v>5898</v>
      </c>
      <c r="D2826" s="7">
        <v>1</v>
      </c>
      <c r="E2826" s="7">
        <v>10</v>
      </c>
      <c r="F2826" s="7">
        <v>0.125</v>
      </c>
      <c r="G2826" s="8" t="s">
        <v>5690</v>
      </c>
      <c r="H2826" s="8" t="s">
        <v>5691</v>
      </c>
      <c r="I2826" s="7" t="str">
        <f>_xlfn.CONCAT(Paper_Reference[[#This Row],[Lvl]:[Paper Description]])</f>
        <v>2J75RB589UQ68HWY66 WHITE UNION 4.75 X 481100.125100DS009-6200FROSTY WHITE</v>
      </c>
      <c r="J2826" s="7">
        <f>COUNTIF(Paper_Reference[Duplicate Key],Paper_Reference[[#This Row],[Duplicate Key]])</f>
        <v>1</v>
      </c>
    </row>
    <row r="2827" spans="1:10">
      <c r="A2827" s="7">
        <v>2</v>
      </c>
      <c r="B2827" s="8" t="s">
        <v>6376</v>
      </c>
      <c r="C2827" s="8" t="s">
        <v>5899</v>
      </c>
      <c r="D2827" s="7">
        <v>1</v>
      </c>
      <c r="E2827" s="7">
        <v>10</v>
      </c>
      <c r="F2827" s="7">
        <v>0.16669999999999999</v>
      </c>
      <c r="G2827" s="8" t="s">
        <v>5690</v>
      </c>
      <c r="H2827" s="8" t="s">
        <v>5691</v>
      </c>
      <c r="I2827" s="7" t="str">
        <f>_xlfn.CONCAT(Paper_Reference[[#This Row],[Lvl]:[Paper Description]])</f>
        <v>2J75RB640UQ77HWY66 POP66 EXT 29.88 X 16.81100.1667100DS009-6200FROSTY WHITE</v>
      </c>
      <c r="J2827" s="7">
        <f>COUNTIF(Paper_Reference[Duplicate Key],Paper_Reference[[#This Row],[Duplicate Key]])</f>
        <v>1</v>
      </c>
    </row>
    <row r="2828" spans="1:10">
      <c r="A2828" s="7">
        <v>2</v>
      </c>
      <c r="B2828" s="8" t="s">
        <v>2703</v>
      </c>
      <c r="C2828" s="8" t="s">
        <v>2247</v>
      </c>
      <c r="D2828" s="7">
        <v>1</v>
      </c>
      <c r="E2828" s="7">
        <v>10</v>
      </c>
      <c r="F2828" s="7">
        <v>1</v>
      </c>
      <c r="G2828" s="8" t="s">
        <v>2144</v>
      </c>
      <c r="H2828" s="8" t="s">
        <v>1242</v>
      </c>
      <c r="I2828" s="7" t="str">
        <f>_xlfn.CONCAT(Paper_Reference[[#This Row],[Lvl]:[Paper Description]])</f>
        <v>2J75RB663AB53BREW HOUSE APPR 59.563 X 98110110000020-6200Premium Inkjet MPK 9653</v>
      </c>
      <c r="J2828" s="7">
        <f>COUNTIF(Paper_Reference[Duplicate Key],Paper_Reference[[#This Row],[Duplicate Key]])</f>
        <v>1</v>
      </c>
    </row>
    <row r="2829" spans="1:10">
      <c r="A2829" s="7">
        <v>2</v>
      </c>
      <c r="B2829" s="8" t="s">
        <v>1863</v>
      </c>
      <c r="C2829" s="8" t="s">
        <v>1436</v>
      </c>
      <c r="D2829" s="7">
        <v>1</v>
      </c>
      <c r="E2829" s="7">
        <v>10</v>
      </c>
      <c r="F2829" s="7">
        <v>1</v>
      </c>
      <c r="G2829" s="8" t="s">
        <v>1241</v>
      </c>
      <c r="H2829" s="8" t="s">
        <v>1242</v>
      </c>
      <c r="I2829" s="7" t="str">
        <f>_xlfn.CONCAT(Paper_Reference[[#This Row],[Lvl]:[Paper Description]])</f>
        <v>2J75RB664PB54BREW HOUSE FOUL 41.875 X 96110110000020-5000Premium Inkjet MPK 9653</v>
      </c>
      <c r="J2829" s="7">
        <f>COUNTIF(Paper_Reference[Duplicate Key],Paper_Reference[[#This Row],[Duplicate Key]])</f>
        <v>1</v>
      </c>
    </row>
    <row r="2830" spans="1:10">
      <c r="A2830" s="7">
        <v>2</v>
      </c>
      <c r="B2830" s="8" t="s">
        <v>1864</v>
      </c>
      <c r="C2830" s="8" t="s">
        <v>1437</v>
      </c>
      <c r="D2830" s="7">
        <v>1</v>
      </c>
      <c r="E2830" s="7">
        <v>10</v>
      </c>
      <c r="F2830" s="7">
        <v>1</v>
      </c>
      <c r="G2830" s="8" t="s">
        <v>1241</v>
      </c>
      <c r="H2830" s="8" t="s">
        <v>1242</v>
      </c>
      <c r="I2830" s="7" t="str">
        <f>_xlfn.CONCAT(Paper_Reference[[#This Row],[Lvl]:[Paper Description]])</f>
        <v>2J75RB665PB55BREW HOUSE COM 41.875 X 144110110000020-5000Premium Inkjet MPK 9653</v>
      </c>
      <c r="J2830" s="7">
        <f>COUNTIF(Paper_Reference[Duplicate Key],Paper_Reference[[#This Row],[Duplicate Key]])</f>
        <v>1</v>
      </c>
    </row>
    <row r="2831" spans="1:10">
      <c r="A2831" s="7">
        <v>2</v>
      </c>
      <c r="B2831" s="8" t="s">
        <v>6377</v>
      </c>
      <c r="C2831" s="8" t="s">
        <v>5900</v>
      </c>
      <c r="D2831" s="7">
        <v>1</v>
      </c>
      <c r="E2831" s="7">
        <v>10</v>
      </c>
      <c r="F2831" s="7">
        <v>0.16669999999999999</v>
      </c>
      <c r="G2831" s="8" t="s">
        <v>5690</v>
      </c>
      <c r="H2831" s="8" t="s">
        <v>5691</v>
      </c>
      <c r="I2831" s="7" t="str">
        <f>_xlfn.CONCAT(Paper_Reference[[#This Row],[Lvl]:[Paper Description]])</f>
        <v>2J75RB674UQ77MONSTER EXTENTION 29.88X16.81100.1667100DS009-6200FROSTY WHITE</v>
      </c>
      <c r="J2831" s="7">
        <f>COUNTIF(Paper_Reference[Duplicate Key],Paper_Reference[[#This Row],[Duplicate Key]])</f>
        <v>1</v>
      </c>
    </row>
    <row r="2832" spans="1:10">
      <c r="A2832" s="7">
        <v>2</v>
      </c>
      <c r="B2832" s="8" t="s">
        <v>2704</v>
      </c>
      <c r="C2832" s="8" t="s">
        <v>2248</v>
      </c>
      <c r="D2832" s="7">
        <v>1</v>
      </c>
      <c r="E2832" s="7">
        <v>10</v>
      </c>
      <c r="F2832" s="7">
        <v>8.3299999999999999E-2</v>
      </c>
      <c r="G2832" s="8" t="s">
        <v>2144</v>
      </c>
      <c r="H2832" s="8" t="s">
        <v>1242</v>
      </c>
      <c r="I2832" s="7" t="str">
        <f>_xlfn.CONCAT(Paper_Reference[[#This Row],[Lvl]:[Paper Description]])</f>
        <v>2J75RB797UQ77HWY66 COMP EXT 29.88 X 16.81100.083310000020-6200Premium Inkjet MPK 9653</v>
      </c>
      <c r="J2832" s="7">
        <f>COUNTIF(Paper_Reference[Duplicate Key],Paper_Reference[[#This Row],[Duplicate Key]])</f>
        <v>1</v>
      </c>
    </row>
    <row r="2833" spans="1:10">
      <c r="A2833" s="7">
        <v>2</v>
      </c>
      <c r="B2833" s="8" t="s">
        <v>1865</v>
      </c>
      <c r="C2833" s="8" t="s">
        <v>1438</v>
      </c>
      <c r="D2833" s="7">
        <v>1</v>
      </c>
      <c r="E2833" s="7">
        <v>10</v>
      </c>
      <c r="F2833" s="7">
        <v>1</v>
      </c>
      <c r="G2833" s="8" t="s">
        <v>1241</v>
      </c>
      <c r="H2833" s="8" t="s">
        <v>1242</v>
      </c>
      <c r="I2833" s="7" t="str">
        <f>_xlfn.CONCAT(Paper_Reference[[#This Row],[Lvl]:[Paper Description]])</f>
        <v>2J75RB906PB44INFINITY DIG BLK/WT AR 41.875X110110000020-5000Premium Inkjet MPK 9653</v>
      </c>
      <c r="J2833" s="7">
        <f>COUNTIF(Paper_Reference[Duplicate Key],Paper_Reference[[#This Row],[Duplicate Key]])</f>
        <v>1</v>
      </c>
    </row>
    <row r="2834" spans="1:10">
      <c r="A2834" s="7">
        <v>2</v>
      </c>
      <c r="B2834" s="8" t="s">
        <v>1866</v>
      </c>
      <c r="C2834" s="8" t="s">
        <v>1439</v>
      </c>
      <c r="D2834" s="7">
        <v>1</v>
      </c>
      <c r="E2834" s="7">
        <v>10</v>
      </c>
      <c r="F2834" s="7">
        <v>1</v>
      </c>
      <c r="G2834" s="8" t="s">
        <v>1241</v>
      </c>
      <c r="H2834" s="8" t="s">
        <v>1242</v>
      </c>
      <c r="I2834" s="7" t="str">
        <f>_xlfn.CONCAT(Paper_Reference[[#This Row],[Lvl]:[Paper Description]])</f>
        <v>2J75RB907PB44INFINITY DIG BLK/WT COM 41.875110110000020-5000Premium Inkjet MPK 9653</v>
      </c>
      <c r="J2834" s="7">
        <f>COUNTIF(Paper_Reference[Duplicate Key],Paper_Reference[[#This Row],[Duplicate Key]])</f>
        <v>1</v>
      </c>
    </row>
    <row r="2835" spans="1:10">
      <c r="A2835" s="7">
        <v>2</v>
      </c>
      <c r="B2835" s="8" t="s">
        <v>1867</v>
      </c>
      <c r="C2835" s="8" t="s">
        <v>1440</v>
      </c>
      <c r="D2835" s="7">
        <v>1</v>
      </c>
      <c r="E2835" s="7">
        <v>10</v>
      </c>
      <c r="F2835" s="7">
        <v>1</v>
      </c>
      <c r="G2835" s="8" t="s">
        <v>1241</v>
      </c>
      <c r="H2835" s="8" t="s">
        <v>1242</v>
      </c>
      <c r="I2835" s="7" t="str">
        <f>_xlfn.CONCAT(Paper_Reference[[#This Row],[Lvl]:[Paper Description]])</f>
        <v>2J75RB908PB44INFINITY DIG RED/WT AR 41.875X110110000020-5000Premium Inkjet MPK 9653</v>
      </c>
      <c r="J2835" s="7">
        <f>COUNTIF(Paper_Reference[Duplicate Key],Paper_Reference[[#This Row],[Duplicate Key]])</f>
        <v>1</v>
      </c>
    </row>
    <row r="2836" spans="1:10">
      <c r="A2836" s="7">
        <v>2</v>
      </c>
      <c r="B2836" s="8" t="s">
        <v>1868</v>
      </c>
      <c r="C2836" s="8" t="s">
        <v>1441</v>
      </c>
      <c r="D2836" s="7">
        <v>1</v>
      </c>
      <c r="E2836" s="7">
        <v>10</v>
      </c>
      <c r="F2836" s="7">
        <v>1</v>
      </c>
      <c r="G2836" s="8" t="s">
        <v>1241</v>
      </c>
      <c r="H2836" s="8" t="s">
        <v>1242</v>
      </c>
      <c r="I2836" s="7" t="str">
        <f>_xlfn.CONCAT(Paper_Reference[[#This Row],[Lvl]:[Paper Description]])</f>
        <v>2J75RB909PB44INFINITY DIG RED/WT COM 41.875110110000020-5000Premium Inkjet MPK 9653</v>
      </c>
      <c r="J2836" s="7">
        <f>COUNTIF(Paper_Reference[Duplicate Key],Paper_Reference[[#This Row],[Duplicate Key]])</f>
        <v>1</v>
      </c>
    </row>
    <row r="2837" spans="1:10">
      <c r="A2837" s="7">
        <v>2</v>
      </c>
      <c r="B2837" s="8" t="s">
        <v>1869</v>
      </c>
      <c r="C2837" s="8" t="s">
        <v>1442</v>
      </c>
      <c r="D2837" s="7">
        <v>1</v>
      </c>
      <c r="E2837" s="7">
        <v>10</v>
      </c>
      <c r="F2837" s="7">
        <v>1</v>
      </c>
      <c r="G2837" s="8" t="s">
        <v>1241</v>
      </c>
      <c r="H2837" s="8" t="s">
        <v>1242</v>
      </c>
      <c r="I2837" s="7" t="str">
        <f>_xlfn.CONCAT(Paper_Reference[[#This Row],[Lvl]:[Paper Description]])</f>
        <v>2J75RB910PB44INFINITY DIG WB/BLK AR 41.875X110110000020-5000Premium Inkjet MPK 9653</v>
      </c>
      <c r="J2837" s="7">
        <f>COUNTIF(Paper_Reference[Duplicate Key],Paper_Reference[[#This Row],[Duplicate Key]])</f>
        <v>1</v>
      </c>
    </row>
    <row r="2838" spans="1:10">
      <c r="A2838" s="7">
        <v>2</v>
      </c>
      <c r="B2838" s="8" t="s">
        <v>1870</v>
      </c>
      <c r="C2838" s="8" t="s">
        <v>1443</v>
      </c>
      <c r="D2838" s="7">
        <v>1</v>
      </c>
      <c r="E2838" s="7">
        <v>10</v>
      </c>
      <c r="F2838" s="7">
        <v>1</v>
      </c>
      <c r="G2838" s="8" t="s">
        <v>1241</v>
      </c>
      <c r="H2838" s="8" t="s">
        <v>1242</v>
      </c>
      <c r="I2838" s="7" t="str">
        <f>_xlfn.CONCAT(Paper_Reference[[#This Row],[Lvl]:[Paper Description]])</f>
        <v>2J75RB911PB44INFINITY DIG WB/BLK COM 41.875110110000020-5000Premium Inkjet MPK 9653</v>
      </c>
      <c r="J2838" s="7">
        <f>COUNTIF(Paper_Reference[Duplicate Key],Paper_Reference[[#This Row],[Duplicate Key]])</f>
        <v>1</v>
      </c>
    </row>
    <row r="2839" spans="1:10">
      <c r="A2839" s="7">
        <v>2</v>
      </c>
      <c r="B2839" s="8" t="s">
        <v>1871</v>
      </c>
      <c r="C2839" s="8" t="s">
        <v>1444</v>
      </c>
      <c r="D2839" s="7">
        <v>1</v>
      </c>
      <c r="E2839" s="7">
        <v>10</v>
      </c>
      <c r="F2839" s="7">
        <v>1</v>
      </c>
      <c r="G2839" s="8" t="s">
        <v>1241</v>
      </c>
      <c r="H2839" s="8" t="s">
        <v>1242</v>
      </c>
      <c r="I2839" s="7" t="str">
        <f>_xlfn.CONCAT(Paper_Reference[[#This Row],[Lvl]:[Paper Description]])</f>
        <v>2J75RB926PB44INFINITY DIG WT/BLK AR 41.875X110110000020-5000Premium Inkjet MPK 9653</v>
      </c>
      <c r="J2839" s="7">
        <f>COUNTIF(Paper_Reference[Duplicate Key],Paper_Reference[[#This Row],[Duplicate Key]])</f>
        <v>1</v>
      </c>
    </row>
    <row r="2840" spans="1:10">
      <c r="A2840" s="7">
        <v>2</v>
      </c>
      <c r="B2840" s="8" t="s">
        <v>1872</v>
      </c>
      <c r="C2840" s="8" t="s">
        <v>1445</v>
      </c>
      <c r="D2840" s="7">
        <v>1</v>
      </c>
      <c r="E2840" s="7">
        <v>10</v>
      </c>
      <c r="F2840" s="7">
        <v>1</v>
      </c>
      <c r="G2840" s="8" t="s">
        <v>1241</v>
      </c>
      <c r="H2840" s="8" t="s">
        <v>1242</v>
      </c>
      <c r="I2840" s="7" t="str">
        <f>_xlfn.CONCAT(Paper_Reference[[#This Row],[Lvl]:[Paper Description]])</f>
        <v>2J75RB927PB44INFINITY DIG WT/BLK COM 41.875110110000020-5000Premium Inkjet MPK 9653</v>
      </c>
      <c r="J2840" s="7">
        <f>COUNTIF(Paper_Reference[Duplicate Key],Paper_Reference[[#This Row],[Duplicate Key]])</f>
        <v>1</v>
      </c>
    </row>
    <row r="2841" spans="1:10">
      <c r="A2841" s="7">
        <v>2</v>
      </c>
      <c r="B2841" s="8" t="s">
        <v>1237</v>
      </c>
      <c r="C2841" s="8" t="s">
        <v>1229</v>
      </c>
      <c r="D2841" s="7">
        <v>1</v>
      </c>
      <c r="E2841" s="7">
        <v>10</v>
      </c>
      <c r="F2841" s="7">
        <v>8.3299999999999999E-2</v>
      </c>
      <c r="G2841" s="8" t="s">
        <v>980</v>
      </c>
      <c r="H2841" s="8" t="s">
        <v>988</v>
      </c>
      <c r="I2841" s="7" t="str">
        <f>_xlfn.CONCAT(Paper_Reference[[#This Row],[Lvl]:[Paper Description]])</f>
        <v>2J76IQU18PQ47Q H66 HW MINI EXT 29 7/8 X 121100.0833100WM531-6200OPEN MAPLE LANE (R)</v>
      </c>
      <c r="J2841" s="7">
        <f>COUNTIF(Paper_Reference[Duplicate Key],Paper_Reference[[#This Row],[Duplicate Key]])</f>
        <v>1</v>
      </c>
    </row>
    <row r="2842" spans="1:10">
      <c r="A2842" s="7">
        <v>2</v>
      </c>
      <c r="B2842" s="8" t="s">
        <v>3360</v>
      </c>
      <c r="C2842" s="8" t="s">
        <v>3241</v>
      </c>
      <c r="D2842" s="7">
        <v>1</v>
      </c>
      <c r="E2842" s="7">
        <v>10</v>
      </c>
      <c r="F2842" s="7">
        <v>1</v>
      </c>
      <c r="G2842" s="8" t="s">
        <v>3230</v>
      </c>
      <c r="H2842" s="8" t="s">
        <v>3231</v>
      </c>
      <c r="I2842" s="7" t="str">
        <f>_xlfn.CONCAT(Paper_Reference[[#This Row],[Lvl]:[Paper Description]])</f>
        <v>2J90IFOSSS4001FOSSIL D/G 48 X 1201101110SW736-5000PRECISION WHITE 43 X 145</v>
      </c>
      <c r="J2842" s="7">
        <f>COUNTIF(Paper_Reference[Duplicate Key],Paper_Reference[[#This Row],[Duplicate Key]])</f>
        <v>1</v>
      </c>
    </row>
    <row r="2843" spans="1:10">
      <c r="A2843" s="7">
        <v>2</v>
      </c>
      <c r="B2843" s="8" t="s">
        <v>3361</v>
      </c>
      <c r="C2843" s="8" t="s">
        <v>3240</v>
      </c>
      <c r="D2843" s="7">
        <v>1</v>
      </c>
      <c r="E2843" s="7">
        <v>10</v>
      </c>
      <c r="F2843" s="7">
        <v>1</v>
      </c>
      <c r="G2843" s="8" t="s">
        <v>3230</v>
      </c>
      <c r="H2843" s="8" t="s">
        <v>3231</v>
      </c>
      <c r="I2843" s="7" t="str">
        <f>_xlfn.CONCAT(Paper_Reference[[#This Row],[Lvl]:[Paper Description]])</f>
        <v>2J90IFOSSS4801FOSSIL D/G 48 X 961101110SW736-5000PRECISION WHITE 43 X 145</v>
      </c>
      <c r="J2843" s="7">
        <f>COUNTIF(Paper_Reference[Duplicate Key],Paper_Reference[[#This Row],[Duplicate Key]])</f>
        <v>1</v>
      </c>
    </row>
    <row r="2844" spans="1:10">
      <c r="A2844" s="7">
        <v>2</v>
      </c>
      <c r="B2844" s="8" t="s">
        <v>3869</v>
      </c>
      <c r="C2844" s="8" t="s">
        <v>3767</v>
      </c>
      <c r="D2844" s="7">
        <v>1</v>
      </c>
      <c r="E2844" s="7">
        <v>10</v>
      </c>
      <c r="F2844" s="7">
        <v>1</v>
      </c>
      <c r="G2844" s="8" t="s">
        <v>3826</v>
      </c>
      <c r="H2844" s="8" t="s">
        <v>3827</v>
      </c>
      <c r="I2844" s="7" t="str">
        <f>_xlfn.CONCAT(Paper_Reference[[#This Row],[Lvl]:[Paper Description]])</f>
        <v>2J90IFOSSS5001FOSSIL D/G 60 X 1201101110SW736-6200PRECISION WHITE 62"</v>
      </c>
      <c r="J2844" s="7">
        <f>COUNTIF(Paper_Reference[Duplicate Key],Paper_Reference[[#This Row],[Duplicate Key]])</f>
        <v>1</v>
      </c>
    </row>
    <row r="2845" spans="1:10">
      <c r="A2845" s="7">
        <v>2</v>
      </c>
      <c r="B2845" s="8" t="s">
        <v>3870</v>
      </c>
      <c r="C2845" s="8" t="s">
        <v>3769</v>
      </c>
      <c r="D2845" s="7">
        <v>1</v>
      </c>
      <c r="E2845" s="7">
        <v>10</v>
      </c>
      <c r="F2845" s="7">
        <v>1</v>
      </c>
      <c r="G2845" s="8" t="s">
        <v>3826</v>
      </c>
      <c r="H2845" s="8" t="s">
        <v>3827</v>
      </c>
      <c r="I2845" s="7" t="str">
        <f>_xlfn.CONCAT(Paper_Reference[[#This Row],[Lvl]:[Paper Description]])</f>
        <v>2J90IFOSSS5801FOSSIL D/G 60 X 961101110SW736-6200PRECISION WHITE 62"</v>
      </c>
      <c r="J2845" s="7">
        <f>COUNTIF(Paper_Reference[Duplicate Key],Paper_Reference[[#This Row],[Duplicate Key]])</f>
        <v>1</v>
      </c>
    </row>
    <row r="2846" spans="1:10">
      <c r="A2846" s="7">
        <v>2</v>
      </c>
      <c r="B2846" s="8" t="s">
        <v>7709</v>
      </c>
      <c r="C2846" s="8" t="s">
        <v>7005</v>
      </c>
      <c r="D2846" s="7">
        <v>1</v>
      </c>
      <c r="E2846" s="7">
        <v>10</v>
      </c>
      <c r="F2846" s="7">
        <v>1</v>
      </c>
      <c r="G2846" s="8" t="s">
        <v>6710</v>
      </c>
      <c r="H2846" s="8" t="s">
        <v>5691</v>
      </c>
      <c r="I2846" s="7" t="str">
        <f>_xlfn.CONCAT(Paper_Reference[[#This Row],[Lvl]:[Paper Description]])</f>
        <v>2J99ISPECN400SPECTRALITE D/G 48 X 1201101100DS009-5000FROSTY WHITE</v>
      </c>
      <c r="J2846" s="7">
        <f>COUNTIF(Paper_Reference[Duplicate Key],Paper_Reference[[#This Row],[Duplicate Key]])</f>
        <v>1</v>
      </c>
    </row>
    <row r="2847" spans="1:10">
      <c r="A2847" s="7">
        <v>2</v>
      </c>
      <c r="B2847" s="8" t="s">
        <v>7710</v>
      </c>
      <c r="C2847" s="8" t="s">
        <v>6843</v>
      </c>
      <c r="D2847" s="7">
        <v>1</v>
      </c>
      <c r="E2847" s="7">
        <v>10</v>
      </c>
      <c r="F2847" s="7">
        <v>1</v>
      </c>
      <c r="G2847" s="8" t="s">
        <v>6710</v>
      </c>
      <c r="H2847" s="8" t="s">
        <v>5691</v>
      </c>
      <c r="I2847" s="7" t="str">
        <f>_xlfn.CONCAT(Paper_Reference[[#This Row],[Lvl]:[Paper Description]])</f>
        <v>2J99ISPECN480SPECTRALITE D/G 48 X 961101100DS009-5000FROSTY WHITE</v>
      </c>
      <c r="J2847" s="7">
        <f>COUNTIF(Paper_Reference[Duplicate Key],Paper_Reference[[#This Row],[Duplicate Key]])</f>
        <v>1</v>
      </c>
    </row>
    <row r="2848" spans="1:10">
      <c r="A2848" s="7">
        <v>2</v>
      </c>
      <c r="B2848" s="8" t="s">
        <v>3362</v>
      </c>
      <c r="C2848" s="8" t="s">
        <v>3240</v>
      </c>
      <c r="D2848" s="7">
        <v>1</v>
      </c>
      <c r="E2848" s="7">
        <v>10</v>
      </c>
      <c r="F2848" s="7">
        <v>1</v>
      </c>
      <c r="G2848" s="8" t="s">
        <v>3230</v>
      </c>
      <c r="H2848" s="8" t="s">
        <v>3231</v>
      </c>
      <c r="I2848" s="7" t="str">
        <f>_xlfn.CONCAT(Paper_Reference[[#This Row],[Lvl]:[Paper Description]])</f>
        <v>2JD1IFOSSCR4801FOSSIL D/G 48 X 961101110SW736-5000PRECISION WHITE 43 X 145</v>
      </c>
      <c r="J2848" s="7">
        <f>COUNTIF(Paper_Reference[Duplicate Key],Paper_Reference[[#This Row],[Duplicate Key]])</f>
        <v>1</v>
      </c>
    </row>
    <row r="2849" spans="1:10">
      <c r="A2849" s="7">
        <v>2</v>
      </c>
      <c r="B2849" s="8" t="s">
        <v>3363</v>
      </c>
      <c r="C2849" s="8" t="s">
        <v>3241</v>
      </c>
      <c r="D2849" s="7">
        <v>1</v>
      </c>
      <c r="E2849" s="7">
        <v>10</v>
      </c>
      <c r="F2849" s="7">
        <v>1</v>
      </c>
      <c r="G2849" s="8" t="s">
        <v>3230</v>
      </c>
      <c r="H2849" s="8" t="s">
        <v>3231</v>
      </c>
      <c r="I2849" s="7" t="str">
        <f>_xlfn.CONCAT(Paper_Reference[[#This Row],[Lvl]:[Paper Description]])</f>
        <v>2JD1IFOSSH4001FOSSIL D/G 48 X 1201101110SW736-5000PRECISION WHITE 43 X 145</v>
      </c>
      <c r="J2849" s="7">
        <f>COUNTIF(Paper_Reference[Duplicate Key],Paper_Reference[[#This Row],[Duplicate Key]])</f>
        <v>1</v>
      </c>
    </row>
    <row r="2850" spans="1:10">
      <c r="A2850" s="7">
        <v>2</v>
      </c>
      <c r="B2850" s="8" t="s">
        <v>3364</v>
      </c>
      <c r="C2850" s="8" t="s">
        <v>3239</v>
      </c>
      <c r="D2850" s="7">
        <v>1</v>
      </c>
      <c r="E2850" s="7">
        <v>10</v>
      </c>
      <c r="F2850" s="7">
        <v>1</v>
      </c>
      <c r="G2850" s="8" t="s">
        <v>3230</v>
      </c>
      <c r="H2850" s="8" t="s">
        <v>3231</v>
      </c>
      <c r="I2850" s="7" t="str">
        <f>_xlfn.CONCAT(Paper_Reference[[#This Row],[Lvl]:[Paper Description]])</f>
        <v>2JD1IFOSSH4201FOSSIL D/G 48 X 1441101110SW736-5000PRECISION WHITE 43 X 145</v>
      </c>
      <c r="J2850" s="7">
        <f>COUNTIF(Paper_Reference[Duplicate Key],Paper_Reference[[#This Row],[Duplicate Key]])</f>
        <v>1</v>
      </c>
    </row>
    <row r="2851" spans="1:10">
      <c r="A2851" s="7">
        <v>2</v>
      </c>
      <c r="B2851" s="8" t="s">
        <v>3365</v>
      </c>
      <c r="C2851" s="8" t="s">
        <v>3240</v>
      </c>
      <c r="D2851" s="7">
        <v>1</v>
      </c>
      <c r="E2851" s="7">
        <v>10</v>
      </c>
      <c r="F2851" s="7">
        <v>1</v>
      </c>
      <c r="G2851" s="8" t="s">
        <v>3230</v>
      </c>
      <c r="H2851" s="8" t="s">
        <v>3231</v>
      </c>
      <c r="I2851" s="7" t="str">
        <f>_xlfn.CONCAT(Paper_Reference[[#This Row],[Lvl]:[Paper Description]])</f>
        <v>2JD1IFOSSH4801FOSSIL D/G 48 X 961101110SW736-5000PRECISION WHITE 43 X 145</v>
      </c>
      <c r="J2851" s="7">
        <f>COUNTIF(Paper_Reference[Duplicate Key],Paper_Reference[[#This Row],[Duplicate Key]])</f>
        <v>1</v>
      </c>
    </row>
    <row r="2852" spans="1:10">
      <c r="A2852" s="7">
        <v>2</v>
      </c>
      <c r="B2852" s="8" t="s">
        <v>3871</v>
      </c>
      <c r="C2852" s="8" t="s">
        <v>3767</v>
      </c>
      <c r="D2852" s="7">
        <v>1</v>
      </c>
      <c r="E2852" s="7">
        <v>10</v>
      </c>
      <c r="F2852" s="7">
        <v>1</v>
      </c>
      <c r="G2852" s="8" t="s">
        <v>3826</v>
      </c>
      <c r="H2852" s="8" t="s">
        <v>3827</v>
      </c>
      <c r="I2852" s="7" t="str">
        <f>_xlfn.CONCAT(Paper_Reference[[#This Row],[Lvl]:[Paper Description]])</f>
        <v>2JD1IFOSSH5001FOSSIL D/G 60 X 1201101110SW736-6200PRECISION WHITE 62"</v>
      </c>
      <c r="J2852" s="7">
        <f>COUNTIF(Paper_Reference[Duplicate Key],Paper_Reference[[#This Row],[Duplicate Key]])</f>
        <v>1</v>
      </c>
    </row>
    <row r="2853" spans="1:10">
      <c r="A2853" s="7">
        <v>2</v>
      </c>
      <c r="B2853" s="8" t="s">
        <v>3871</v>
      </c>
      <c r="C2853" s="8" t="s">
        <v>3767</v>
      </c>
      <c r="D2853" s="7">
        <v>1</v>
      </c>
      <c r="E2853" s="7">
        <v>40</v>
      </c>
      <c r="F2853" s="7">
        <v>2</v>
      </c>
      <c r="G2853" s="8" t="s">
        <v>4371</v>
      </c>
      <c r="H2853" s="8" t="s">
        <v>4372</v>
      </c>
      <c r="I2853" s="7" t="str">
        <f>_xlfn.CONCAT(Paper_Reference[[#This Row],[Lvl]:[Paper Description]])</f>
        <v>2JD1IFOSSH5001FOSSIL D/G 60 X 1201402100DS064-6200BLACK</v>
      </c>
      <c r="J2853" s="7">
        <f>COUNTIF(Paper_Reference[Duplicate Key],Paper_Reference[[#This Row],[Duplicate Key]])</f>
        <v>1</v>
      </c>
    </row>
    <row r="2854" spans="1:10">
      <c r="A2854" s="7">
        <v>2</v>
      </c>
      <c r="B2854" s="8" t="s">
        <v>3872</v>
      </c>
      <c r="C2854" s="8" t="s">
        <v>3768</v>
      </c>
      <c r="D2854" s="7">
        <v>1</v>
      </c>
      <c r="E2854" s="7">
        <v>10</v>
      </c>
      <c r="F2854" s="7">
        <v>1</v>
      </c>
      <c r="G2854" s="8" t="s">
        <v>3826</v>
      </c>
      <c r="H2854" s="8" t="s">
        <v>3827</v>
      </c>
      <c r="I2854" s="7" t="str">
        <f>_xlfn.CONCAT(Paper_Reference[[#This Row],[Lvl]:[Paper Description]])</f>
        <v>2JD1IFOSSH5201FOSSIL D/G 60 X 1441101110SW736-6200PRECISION WHITE 62"</v>
      </c>
      <c r="J2854" s="7">
        <f>COUNTIF(Paper_Reference[Duplicate Key],Paper_Reference[[#This Row],[Duplicate Key]])</f>
        <v>1</v>
      </c>
    </row>
    <row r="2855" spans="1:10">
      <c r="A2855" s="7">
        <v>2</v>
      </c>
      <c r="B2855" s="8" t="s">
        <v>3872</v>
      </c>
      <c r="C2855" s="8" t="s">
        <v>3768</v>
      </c>
      <c r="D2855" s="7">
        <v>1</v>
      </c>
      <c r="E2855" s="7">
        <v>40</v>
      </c>
      <c r="F2855" s="7">
        <v>2</v>
      </c>
      <c r="G2855" s="8" t="s">
        <v>4371</v>
      </c>
      <c r="H2855" s="8" t="s">
        <v>4372</v>
      </c>
      <c r="I2855" s="7" t="str">
        <f>_xlfn.CONCAT(Paper_Reference[[#This Row],[Lvl]:[Paper Description]])</f>
        <v>2JD1IFOSSH5201FOSSIL D/G 60 X 1441402100DS064-6200BLACK</v>
      </c>
      <c r="J2855" s="7">
        <f>COUNTIF(Paper_Reference[Duplicate Key],Paper_Reference[[#This Row],[Duplicate Key]])</f>
        <v>1</v>
      </c>
    </row>
    <row r="2856" spans="1:10">
      <c r="A2856" s="7">
        <v>2</v>
      </c>
      <c r="B2856" s="8" t="s">
        <v>3873</v>
      </c>
      <c r="C2856" s="8" t="s">
        <v>3769</v>
      </c>
      <c r="D2856" s="7">
        <v>1</v>
      </c>
      <c r="E2856" s="7">
        <v>10</v>
      </c>
      <c r="F2856" s="7">
        <v>1</v>
      </c>
      <c r="G2856" s="8" t="s">
        <v>3826</v>
      </c>
      <c r="H2856" s="8" t="s">
        <v>3827</v>
      </c>
      <c r="I2856" s="7" t="str">
        <f>_xlfn.CONCAT(Paper_Reference[[#This Row],[Lvl]:[Paper Description]])</f>
        <v>2JD1IFOSSH5801FOSSIL D/G 60 X 961101110SW736-6200PRECISION WHITE 62"</v>
      </c>
      <c r="J2856" s="7">
        <f>COUNTIF(Paper_Reference[Duplicate Key],Paper_Reference[[#This Row],[Duplicate Key]])</f>
        <v>1</v>
      </c>
    </row>
    <row r="2857" spans="1:10">
      <c r="A2857" s="7">
        <v>2</v>
      </c>
      <c r="B2857" s="8" t="s">
        <v>3873</v>
      </c>
      <c r="C2857" s="8" t="s">
        <v>3769</v>
      </c>
      <c r="D2857" s="7">
        <v>1</v>
      </c>
      <c r="E2857" s="7">
        <v>40</v>
      </c>
      <c r="F2857" s="7">
        <v>2</v>
      </c>
      <c r="G2857" s="8" t="s">
        <v>4371</v>
      </c>
      <c r="H2857" s="8" t="s">
        <v>4372</v>
      </c>
      <c r="I2857" s="7" t="str">
        <f>_xlfn.CONCAT(Paper_Reference[[#This Row],[Lvl]:[Paper Description]])</f>
        <v>2JD1IFOSSH5801FOSSIL D/G 60 X 961402100DS064-6200BLACK</v>
      </c>
      <c r="J2857" s="7">
        <f>COUNTIF(Paper_Reference[Duplicate Key],Paper_Reference[[#This Row],[Duplicate Key]])</f>
        <v>1</v>
      </c>
    </row>
    <row r="2858" spans="1:10">
      <c r="A2858" s="7">
        <v>2</v>
      </c>
      <c r="B2858" s="8" t="s">
        <v>3366</v>
      </c>
      <c r="C2858" s="8" t="s">
        <v>3240</v>
      </c>
      <c r="D2858" s="7">
        <v>1</v>
      </c>
      <c r="E2858" s="7">
        <v>10</v>
      </c>
      <c r="F2858" s="7">
        <v>1</v>
      </c>
      <c r="G2858" s="8" t="s">
        <v>3230</v>
      </c>
      <c r="H2858" s="8" t="s">
        <v>3231</v>
      </c>
      <c r="I2858" s="7" t="str">
        <f>_xlfn.CONCAT(Paper_Reference[[#This Row],[Lvl]:[Paper Description]])</f>
        <v>2JD1IFOSSJ4801FOSSIL D/G 48 X 961101110SW736-5000PRECISION WHITE 43 X 145</v>
      </c>
      <c r="J2858" s="7">
        <f>COUNTIF(Paper_Reference[Duplicate Key],Paper_Reference[[#This Row],[Duplicate Key]])</f>
        <v>1</v>
      </c>
    </row>
    <row r="2859" spans="1:10">
      <c r="A2859" s="7">
        <v>2</v>
      </c>
      <c r="B2859" s="8" t="s">
        <v>3367</v>
      </c>
      <c r="C2859" s="8" t="s">
        <v>3240</v>
      </c>
      <c r="D2859" s="7">
        <v>1</v>
      </c>
      <c r="E2859" s="7">
        <v>10</v>
      </c>
      <c r="F2859" s="7">
        <v>1</v>
      </c>
      <c r="G2859" s="8" t="s">
        <v>3230</v>
      </c>
      <c r="H2859" s="8" t="s">
        <v>3231</v>
      </c>
      <c r="I2859" s="7" t="str">
        <f>_xlfn.CONCAT(Paper_Reference[[#This Row],[Lvl]:[Paper Description]])</f>
        <v>2JD1IFOSSPV4801FOSSIL D/G 48 X 961101110SW736-5000PRECISION WHITE 43 X 145</v>
      </c>
      <c r="J2859" s="7">
        <f>COUNTIF(Paper_Reference[Duplicate Key],Paper_Reference[[#This Row],[Duplicate Key]])</f>
        <v>1</v>
      </c>
    </row>
    <row r="2860" spans="1:10">
      <c r="A2860" s="7">
        <v>2</v>
      </c>
      <c r="B2860" s="8" t="s">
        <v>3874</v>
      </c>
      <c r="C2860" s="8" t="s">
        <v>3768</v>
      </c>
      <c r="D2860" s="7">
        <v>1</v>
      </c>
      <c r="E2860" s="7">
        <v>10</v>
      </c>
      <c r="F2860" s="7">
        <v>1</v>
      </c>
      <c r="G2860" s="8" t="s">
        <v>3826</v>
      </c>
      <c r="H2860" s="8" t="s">
        <v>3827</v>
      </c>
      <c r="I2860" s="7" t="str">
        <f>_xlfn.CONCAT(Paper_Reference[[#This Row],[Lvl]:[Paper Description]])</f>
        <v>2JD1IFOSSPV5201FOSSIL D/G 60 X 1441101110SW736-6200PRECISION WHITE 62"</v>
      </c>
      <c r="J2860" s="7">
        <f>COUNTIF(Paper_Reference[Duplicate Key],Paper_Reference[[#This Row],[Duplicate Key]])</f>
        <v>1</v>
      </c>
    </row>
    <row r="2861" spans="1:10">
      <c r="A2861" s="7">
        <v>2</v>
      </c>
      <c r="B2861" s="8" t="s">
        <v>3874</v>
      </c>
      <c r="C2861" s="8" t="s">
        <v>3768</v>
      </c>
      <c r="D2861" s="7">
        <v>1</v>
      </c>
      <c r="E2861" s="7">
        <v>40</v>
      </c>
      <c r="F2861" s="7">
        <v>2</v>
      </c>
      <c r="G2861" s="8" t="s">
        <v>4371</v>
      </c>
      <c r="H2861" s="8" t="s">
        <v>4372</v>
      </c>
      <c r="I2861" s="7" t="str">
        <f>_xlfn.CONCAT(Paper_Reference[[#This Row],[Lvl]:[Paper Description]])</f>
        <v>2JD1IFOSSPV5201FOSSIL D/G 60 X 1441402100DS064-6200BLACK</v>
      </c>
      <c r="J2861" s="7">
        <f>COUNTIF(Paper_Reference[Duplicate Key],Paper_Reference[[#This Row],[Duplicate Key]])</f>
        <v>1</v>
      </c>
    </row>
    <row r="2862" spans="1:10">
      <c r="A2862" s="7">
        <v>2</v>
      </c>
      <c r="B2862" s="8" t="s">
        <v>3369</v>
      </c>
      <c r="C2862" s="8" t="s">
        <v>3241</v>
      </c>
      <c r="D2862" s="7">
        <v>1</v>
      </c>
      <c r="E2862" s="7">
        <v>10</v>
      </c>
      <c r="F2862" s="7">
        <v>1</v>
      </c>
      <c r="G2862" s="8" t="s">
        <v>3230</v>
      </c>
      <c r="H2862" s="8" t="s">
        <v>3231</v>
      </c>
      <c r="I2862" s="7" t="str">
        <f>_xlfn.CONCAT(Paper_Reference[[#This Row],[Lvl]:[Paper Description]])</f>
        <v>2JD1IFOSSS400FOSSIL D/G 48 X 1201101110SW736-5000PRECISION WHITE 43 X 145</v>
      </c>
      <c r="J2862" s="7">
        <f>COUNTIF(Paper_Reference[Duplicate Key],Paper_Reference[[#This Row],[Duplicate Key]])</f>
        <v>1</v>
      </c>
    </row>
    <row r="2863" spans="1:10">
      <c r="A2863" s="7">
        <v>2</v>
      </c>
      <c r="B2863" s="8" t="s">
        <v>3368</v>
      </c>
      <c r="C2863" s="8" t="s">
        <v>3241</v>
      </c>
      <c r="D2863" s="7">
        <v>1</v>
      </c>
      <c r="E2863" s="7">
        <v>10</v>
      </c>
      <c r="F2863" s="7">
        <v>1</v>
      </c>
      <c r="G2863" s="8" t="s">
        <v>3230</v>
      </c>
      <c r="H2863" s="8" t="s">
        <v>3231</v>
      </c>
      <c r="I2863" s="7" t="str">
        <f>_xlfn.CONCAT(Paper_Reference[[#This Row],[Lvl]:[Paper Description]])</f>
        <v>2JD1IFOSSS4001FOSSIL D/G 48 X 1201101110SW736-5000PRECISION WHITE 43 X 145</v>
      </c>
      <c r="J2863" s="7">
        <f>COUNTIF(Paper_Reference[Duplicate Key],Paper_Reference[[#This Row],[Duplicate Key]])</f>
        <v>1</v>
      </c>
    </row>
    <row r="2864" spans="1:10">
      <c r="A2864" s="7">
        <v>2</v>
      </c>
      <c r="B2864" s="8" t="s">
        <v>3371</v>
      </c>
      <c r="C2864" s="8" t="s">
        <v>3239</v>
      </c>
      <c r="D2864" s="7">
        <v>1</v>
      </c>
      <c r="E2864" s="7">
        <v>10</v>
      </c>
      <c r="F2864" s="7">
        <v>1</v>
      </c>
      <c r="G2864" s="8" t="s">
        <v>3230</v>
      </c>
      <c r="H2864" s="8" t="s">
        <v>3231</v>
      </c>
      <c r="I2864" s="7" t="str">
        <f>_xlfn.CONCAT(Paper_Reference[[#This Row],[Lvl]:[Paper Description]])</f>
        <v>2JD1IFOSSS420FOSSIL D/G 48 X 1441101110SW736-5000PRECISION WHITE 43 X 145</v>
      </c>
      <c r="J2864" s="7">
        <f>COUNTIF(Paper_Reference[Duplicate Key],Paper_Reference[[#This Row],[Duplicate Key]])</f>
        <v>1</v>
      </c>
    </row>
    <row r="2865" spans="1:10">
      <c r="A2865" s="7">
        <v>2</v>
      </c>
      <c r="B2865" s="8" t="s">
        <v>3370</v>
      </c>
      <c r="C2865" s="8" t="s">
        <v>3239</v>
      </c>
      <c r="D2865" s="7">
        <v>1</v>
      </c>
      <c r="E2865" s="7">
        <v>10</v>
      </c>
      <c r="F2865" s="7">
        <v>1</v>
      </c>
      <c r="G2865" s="8" t="s">
        <v>3230</v>
      </c>
      <c r="H2865" s="8" t="s">
        <v>3231</v>
      </c>
      <c r="I2865" s="7" t="str">
        <f>_xlfn.CONCAT(Paper_Reference[[#This Row],[Lvl]:[Paper Description]])</f>
        <v>2JD1IFOSSS4201FOSSIL D/G 48 X 1441101110SW736-5000PRECISION WHITE 43 X 145</v>
      </c>
      <c r="J2865" s="7">
        <f>COUNTIF(Paper_Reference[Duplicate Key],Paper_Reference[[#This Row],[Duplicate Key]])</f>
        <v>1</v>
      </c>
    </row>
    <row r="2866" spans="1:10">
      <c r="A2866" s="7">
        <v>2</v>
      </c>
      <c r="B2866" s="8" t="s">
        <v>3373</v>
      </c>
      <c r="C2866" s="8" t="s">
        <v>3240</v>
      </c>
      <c r="D2866" s="7">
        <v>1</v>
      </c>
      <c r="E2866" s="7">
        <v>10</v>
      </c>
      <c r="F2866" s="7">
        <v>1</v>
      </c>
      <c r="G2866" s="8" t="s">
        <v>3230</v>
      </c>
      <c r="H2866" s="8" t="s">
        <v>3231</v>
      </c>
      <c r="I2866" s="7" t="str">
        <f>_xlfn.CONCAT(Paper_Reference[[#This Row],[Lvl]:[Paper Description]])</f>
        <v>2JD1IFOSSS480FOSSIL D/G 48 X 961101110SW736-5000PRECISION WHITE 43 X 145</v>
      </c>
      <c r="J2866" s="7">
        <f>COUNTIF(Paper_Reference[Duplicate Key],Paper_Reference[[#This Row],[Duplicate Key]])</f>
        <v>1</v>
      </c>
    </row>
    <row r="2867" spans="1:10">
      <c r="A2867" s="7">
        <v>2</v>
      </c>
      <c r="B2867" s="8" t="s">
        <v>3372</v>
      </c>
      <c r="C2867" s="8" t="s">
        <v>3240</v>
      </c>
      <c r="D2867" s="7">
        <v>1</v>
      </c>
      <c r="E2867" s="7">
        <v>10</v>
      </c>
      <c r="F2867" s="7">
        <v>1</v>
      </c>
      <c r="G2867" s="8" t="s">
        <v>3230</v>
      </c>
      <c r="H2867" s="8" t="s">
        <v>3231</v>
      </c>
      <c r="I2867" s="7" t="str">
        <f>_xlfn.CONCAT(Paper_Reference[[#This Row],[Lvl]:[Paper Description]])</f>
        <v>2JD1IFOSSS4801FOSSIL D/G 48 X 961101110SW736-5000PRECISION WHITE 43 X 145</v>
      </c>
      <c r="J2867" s="7">
        <f>COUNTIF(Paper_Reference[Duplicate Key],Paper_Reference[[#This Row],[Duplicate Key]])</f>
        <v>1</v>
      </c>
    </row>
    <row r="2868" spans="1:10">
      <c r="A2868" s="7">
        <v>2</v>
      </c>
      <c r="B2868" s="8" t="s">
        <v>3875</v>
      </c>
      <c r="C2868" s="8" t="s">
        <v>3767</v>
      </c>
      <c r="D2868" s="7">
        <v>1</v>
      </c>
      <c r="E2868" s="7">
        <v>10</v>
      </c>
      <c r="F2868" s="7">
        <v>1</v>
      </c>
      <c r="G2868" s="8" t="s">
        <v>3826</v>
      </c>
      <c r="H2868" s="8" t="s">
        <v>3827</v>
      </c>
      <c r="I2868" s="7" t="str">
        <f>_xlfn.CONCAT(Paper_Reference[[#This Row],[Lvl]:[Paper Description]])</f>
        <v>2JD1IFOSSS5001FOSSIL D/G 60 X 1201101110SW736-6200PRECISION WHITE 62"</v>
      </c>
      <c r="J2868" s="7">
        <f>COUNTIF(Paper_Reference[Duplicate Key],Paper_Reference[[#This Row],[Duplicate Key]])</f>
        <v>1</v>
      </c>
    </row>
    <row r="2869" spans="1:10">
      <c r="A2869" s="7">
        <v>2</v>
      </c>
      <c r="B2869" s="8" t="s">
        <v>3875</v>
      </c>
      <c r="C2869" s="8" t="s">
        <v>3767</v>
      </c>
      <c r="D2869" s="7">
        <v>1</v>
      </c>
      <c r="E2869" s="7">
        <v>40</v>
      </c>
      <c r="F2869" s="7">
        <v>2</v>
      </c>
      <c r="G2869" s="8" t="s">
        <v>4371</v>
      </c>
      <c r="H2869" s="8" t="s">
        <v>4372</v>
      </c>
      <c r="I2869" s="7" t="str">
        <f>_xlfn.CONCAT(Paper_Reference[[#This Row],[Lvl]:[Paper Description]])</f>
        <v>2JD1IFOSSS5001FOSSIL D/G 60 X 1201402100DS064-6200BLACK</v>
      </c>
      <c r="J2869" s="7">
        <f>COUNTIF(Paper_Reference[Duplicate Key],Paper_Reference[[#This Row],[Duplicate Key]])</f>
        <v>1</v>
      </c>
    </row>
    <row r="2870" spans="1:10">
      <c r="A2870" s="7">
        <v>2</v>
      </c>
      <c r="B2870" s="8" t="s">
        <v>3876</v>
      </c>
      <c r="C2870" s="8" t="s">
        <v>3768</v>
      </c>
      <c r="D2870" s="7">
        <v>1</v>
      </c>
      <c r="E2870" s="7">
        <v>10</v>
      </c>
      <c r="F2870" s="7">
        <v>1</v>
      </c>
      <c r="G2870" s="8" t="s">
        <v>3826</v>
      </c>
      <c r="H2870" s="8" t="s">
        <v>3827</v>
      </c>
      <c r="I2870" s="7" t="str">
        <f>_xlfn.CONCAT(Paper_Reference[[#This Row],[Lvl]:[Paper Description]])</f>
        <v>2JD1IFOSSS5201FOSSIL D/G 60 X 1441101110SW736-6200PRECISION WHITE 62"</v>
      </c>
      <c r="J2870" s="7">
        <f>COUNTIF(Paper_Reference[Duplicate Key],Paper_Reference[[#This Row],[Duplicate Key]])</f>
        <v>1</v>
      </c>
    </row>
    <row r="2871" spans="1:10">
      <c r="A2871" s="7">
        <v>2</v>
      </c>
      <c r="B2871" s="8" t="s">
        <v>3876</v>
      </c>
      <c r="C2871" s="8" t="s">
        <v>3768</v>
      </c>
      <c r="D2871" s="7">
        <v>1</v>
      </c>
      <c r="E2871" s="7">
        <v>40</v>
      </c>
      <c r="F2871" s="7">
        <v>2</v>
      </c>
      <c r="G2871" s="8" t="s">
        <v>4371</v>
      </c>
      <c r="H2871" s="8" t="s">
        <v>4372</v>
      </c>
      <c r="I2871" s="7" t="str">
        <f>_xlfn.CONCAT(Paper_Reference[[#This Row],[Lvl]:[Paper Description]])</f>
        <v>2JD1IFOSSS5201FOSSIL D/G 60 X 1441402100DS064-6200BLACK</v>
      </c>
      <c r="J2871" s="7">
        <f>COUNTIF(Paper_Reference[Duplicate Key],Paper_Reference[[#This Row],[Duplicate Key]])</f>
        <v>1</v>
      </c>
    </row>
    <row r="2872" spans="1:10">
      <c r="A2872" s="7">
        <v>2</v>
      </c>
      <c r="B2872" s="8" t="s">
        <v>3877</v>
      </c>
      <c r="C2872" s="8" t="s">
        <v>3769</v>
      </c>
      <c r="D2872" s="7">
        <v>1</v>
      </c>
      <c r="E2872" s="7">
        <v>10</v>
      </c>
      <c r="F2872" s="7">
        <v>1</v>
      </c>
      <c r="G2872" s="8" t="s">
        <v>3826</v>
      </c>
      <c r="H2872" s="8" t="s">
        <v>3827</v>
      </c>
      <c r="I2872" s="7" t="str">
        <f>_xlfn.CONCAT(Paper_Reference[[#This Row],[Lvl]:[Paper Description]])</f>
        <v>2JD1IFOSSS5801FOSSIL D/G 60 X 961101110SW736-6200PRECISION WHITE 62"</v>
      </c>
      <c r="J2872" s="7">
        <f>COUNTIF(Paper_Reference[Duplicate Key],Paper_Reference[[#This Row],[Duplicate Key]])</f>
        <v>1</v>
      </c>
    </row>
    <row r="2873" spans="1:10">
      <c r="A2873" s="7">
        <v>2</v>
      </c>
      <c r="B2873" s="8" t="s">
        <v>3877</v>
      </c>
      <c r="C2873" s="8" t="s">
        <v>3769</v>
      </c>
      <c r="D2873" s="7">
        <v>1</v>
      </c>
      <c r="E2873" s="7">
        <v>40</v>
      </c>
      <c r="F2873" s="7">
        <v>2</v>
      </c>
      <c r="G2873" s="8" t="s">
        <v>4371</v>
      </c>
      <c r="H2873" s="8" t="s">
        <v>4372</v>
      </c>
      <c r="I2873" s="7" t="str">
        <f>_xlfn.CONCAT(Paper_Reference[[#This Row],[Lvl]:[Paper Description]])</f>
        <v>2JD1IFOSSS5801FOSSIL D/G 60 X 961402100DS064-6200BLACK</v>
      </c>
      <c r="J2873" s="7">
        <f>COUNTIF(Paper_Reference[Duplicate Key],Paper_Reference[[#This Row],[Duplicate Key]])</f>
        <v>1</v>
      </c>
    </row>
    <row r="2874" spans="1:10">
      <c r="A2874" s="7">
        <v>2</v>
      </c>
      <c r="B2874" s="8" t="s">
        <v>7711</v>
      </c>
      <c r="C2874" s="8" t="s">
        <v>7006</v>
      </c>
      <c r="D2874" s="7">
        <v>1</v>
      </c>
      <c r="E2874" s="7">
        <v>10</v>
      </c>
      <c r="F2874" s="7">
        <v>1</v>
      </c>
      <c r="G2874" s="8" t="s">
        <v>6710</v>
      </c>
      <c r="H2874" s="8" t="s">
        <v>5691</v>
      </c>
      <c r="I2874" s="7" t="str">
        <f>_xlfn.CONCAT(Paper_Reference[[#This Row],[Lvl]:[Paper Description]])</f>
        <v>2JD1ISPE2D3801SPECTRALITE BB D/G 36 X 961101100DS009-5000FROSTY WHITE</v>
      </c>
      <c r="J2874" s="7">
        <f>COUNTIF(Paper_Reference[Duplicate Key],Paper_Reference[[#This Row],[Duplicate Key]])</f>
        <v>1</v>
      </c>
    </row>
    <row r="2875" spans="1:10">
      <c r="A2875" s="7">
        <v>2</v>
      </c>
      <c r="B2875" s="8" t="s">
        <v>7712</v>
      </c>
      <c r="C2875" s="8" t="s">
        <v>7007</v>
      </c>
      <c r="D2875" s="7">
        <v>1</v>
      </c>
      <c r="E2875" s="7">
        <v>10</v>
      </c>
      <c r="F2875" s="7">
        <v>1</v>
      </c>
      <c r="G2875" s="8" t="s">
        <v>6710</v>
      </c>
      <c r="H2875" s="8" t="s">
        <v>5691</v>
      </c>
      <c r="I2875" s="7" t="str">
        <f>_xlfn.CONCAT(Paper_Reference[[#This Row],[Lvl]:[Paper Description]])</f>
        <v>2JD1ISPE2D4001SPECTRALITE BB D/G 48 X 1201101100DS009-5000FROSTY WHITE</v>
      </c>
      <c r="J2875" s="7">
        <f>COUNTIF(Paper_Reference[Duplicate Key],Paper_Reference[[#This Row],[Duplicate Key]])</f>
        <v>1</v>
      </c>
    </row>
    <row r="2876" spans="1:10">
      <c r="A2876" s="7">
        <v>2</v>
      </c>
      <c r="B2876" s="8" t="s">
        <v>7713</v>
      </c>
      <c r="C2876" s="8" t="s">
        <v>7008</v>
      </c>
      <c r="D2876" s="7">
        <v>1</v>
      </c>
      <c r="E2876" s="7">
        <v>10</v>
      </c>
      <c r="F2876" s="7">
        <v>1</v>
      </c>
      <c r="G2876" s="8" t="s">
        <v>6710</v>
      </c>
      <c r="H2876" s="8" t="s">
        <v>5691</v>
      </c>
      <c r="I2876" s="7" t="str">
        <f>_xlfn.CONCAT(Paper_Reference[[#This Row],[Lvl]:[Paper Description]])</f>
        <v>2JD1ISPE2D4801SPECTRALITE BB D/G 48 X 961101100DS009-5000FROSTY WHITE</v>
      </c>
      <c r="J2876" s="7">
        <f>COUNTIF(Paper_Reference[Duplicate Key],Paper_Reference[[#This Row],[Duplicate Key]])</f>
        <v>1</v>
      </c>
    </row>
    <row r="2877" spans="1:10">
      <c r="A2877" s="7">
        <v>2</v>
      </c>
      <c r="B2877" s="8" t="s">
        <v>7714</v>
      </c>
      <c r="C2877" s="8" t="s">
        <v>7006</v>
      </c>
      <c r="D2877" s="7">
        <v>1</v>
      </c>
      <c r="E2877" s="7">
        <v>10</v>
      </c>
      <c r="F2877" s="7">
        <v>1</v>
      </c>
      <c r="G2877" s="8" t="s">
        <v>6710</v>
      </c>
      <c r="H2877" s="8" t="s">
        <v>5691</v>
      </c>
      <c r="I2877" s="7" t="str">
        <f>_xlfn.CONCAT(Paper_Reference[[#This Row],[Lvl]:[Paper Description]])</f>
        <v>2JD1ISPE2S3801SPECTRALITE BB D/G 36 X 961101100DS009-5000FROSTY WHITE</v>
      </c>
      <c r="J2877" s="7">
        <f>COUNTIF(Paper_Reference[Duplicate Key],Paper_Reference[[#This Row],[Duplicate Key]])</f>
        <v>1</v>
      </c>
    </row>
    <row r="2878" spans="1:10">
      <c r="A2878" s="7">
        <v>2</v>
      </c>
      <c r="B2878" s="8" t="s">
        <v>7715</v>
      </c>
      <c r="C2878" s="8" t="s">
        <v>7008</v>
      </c>
      <c r="D2878" s="7">
        <v>1</v>
      </c>
      <c r="E2878" s="7">
        <v>10</v>
      </c>
      <c r="F2878" s="7">
        <v>1</v>
      </c>
      <c r="G2878" s="8" t="s">
        <v>6710</v>
      </c>
      <c r="H2878" s="8" t="s">
        <v>5691</v>
      </c>
      <c r="I2878" s="7" t="str">
        <f>_xlfn.CONCAT(Paper_Reference[[#This Row],[Lvl]:[Paper Description]])</f>
        <v>2JD1ISPE2S4801SPECTRALITE BB D/G 48 X 961101100DS009-5000FROSTY WHITE</v>
      </c>
      <c r="J2878" s="7">
        <f>COUNTIF(Paper_Reference[Duplicate Key],Paper_Reference[[#This Row],[Duplicate Key]])</f>
        <v>1</v>
      </c>
    </row>
    <row r="2879" spans="1:10">
      <c r="A2879" s="7">
        <v>2</v>
      </c>
      <c r="B2879" s="8" t="s">
        <v>7717</v>
      </c>
      <c r="C2879" s="8" t="s">
        <v>6844</v>
      </c>
      <c r="D2879" s="7">
        <v>1</v>
      </c>
      <c r="E2879" s="7">
        <v>10</v>
      </c>
      <c r="F2879" s="7">
        <v>3</v>
      </c>
      <c r="G2879" s="8" t="s">
        <v>6710</v>
      </c>
      <c r="H2879" s="8" t="s">
        <v>5691</v>
      </c>
      <c r="I2879" s="7" t="str">
        <f>_xlfn.CONCAT(Paper_Reference[[#This Row],[Lvl]:[Paper Description]])</f>
        <v>2JD1ISPECD300SPECTRALITE D/G 36 X 1201103100DS009-5000FROSTY WHITE</v>
      </c>
      <c r="J2879" s="7">
        <f>COUNTIF(Paper_Reference[Duplicate Key],Paper_Reference[[#This Row],[Duplicate Key]])</f>
        <v>1</v>
      </c>
    </row>
    <row r="2880" spans="1:10">
      <c r="A2880" s="7">
        <v>2</v>
      </c>
      <c r="B2880" s="8" t="s">
        <v>7716</v>
      </c>
      <c r="C2880" s="8" t="s">
        <v>6844</v>
      </c>
      <c r="D2880" s="7">
        <v>1</v>
      </c>
      <c r="E2880" s="7">
        <v>10</v>
      </c>
      <c r="F2880" s="7">
        <v>3</v>
      </c>
      <c r="G2880" s="8" t="s">
        <v>6710</v>
      </c>
      <c r="H2880" s="8" t="s">
        <v>5691</v>
      </c>
      <c r="I2880" s="7" t="str">
        <f>_xlfn.CONCAT(Paper_Reference[[#This Row],[Lvl]:[Paper Description]])</f>
        <v>2JD1ISPECD3001SPECTRALITE D/G 36 X 1201103100DS009-5000FROSTY WHITE</v>
      </c>
      <c r="J2880" s="7">
        <f>COUNTIF(Paper_Reference[Duplicate Key],Paper_Reference[[#This Row],[Duplicate Key]])</f>
        <v>1</v>
      </c>
    </row>
    <row r="2881" spans="1:10">
      <c r="A2881" s="7">
        <v>2</v>
      </c>
      <c r="B2881" s="8" t="s">
        <v>7719</v>
      </c>
      <c r="C2881" s="8" t="s">
        <v>7009</v>
      </c>
      <c r="D2881" s="7">
        <v>1</v>
      </c>
      <c r="E2881" s="7">
        <v>10</v>
      </c>
      <c r="F2881" s="7">
        <v>3</v>
      </c>
      <c r="G2881" s="8" t="s">
        <v>6710</v>
      </c>
      <c r="H2881" s="8" t="s">
        <v>5691</v>
      </c>
      <c r="I2881" s="7" t="str">
        <f>_xlfn.CONCAT(Paper_Reference[[#This Row],[Lvl]:[Paper Description]])</f>
        <v>2JD1ISPECD380SPECTRALITE  D/G 36 X 961103100DS009-5000FROSTY WHITE</v>
      </c>
      <c r="J2881" s="7">
        <f>COUNTIF(Paper_Reference[Duplicate Key],Paper_Reference[[#This Row],[Duplicate Key]])</f>
        <v>1</v>
      </c>
    </row>
    <row r="2882" spans="1:10">
      <c r="A2882" s="7">
        <v>2</v>
      </c>
      <c r="B2882" s="8" t="s">
        <v>7718</v>
      </c>
      <c r="C2882" s="8" t="s">
        <v>7009</v>
      </c>
      <c r="D2882" s="7">
        <v>1</v>
      </c>
      <c r="E2882" s="7">
        <v>10</v>
      </c>
      <c r="F2882" s="7">
        <v>3</v>
      </c>
      <c r="G2882" s="8" t="s">
        <v>6710</v>
      </c>
      <c r="H2882" s="8" t="s">
        <v>5691</v>
      </c>
      <c r="I2882" s="7" t="str">
        <f>_xlfn.CONCAT(Paper_Reference[[#This Row],[Lvl]:[Paper Description]])</f>
        <v>2JD1ISPECD3801SPECTRALITE  D/G 36 X 961103100DS009-5000FROSTY WHITE</v>
      </c>
      <c r="J2882" s="7">
        <f>COUNTIF(Paper_Reference[Duplicate Key],Paper_Reference[[#This Row],[Duplicate Key]])</f>
        <v>1</v>
      </c>
    </row>
    <row r="2883" spans="1:10">
      <c r="A2883" s="7">
        <v>2</v>
      </c>
      <c r="B2883" s="8" t="s">
        <v>7720</v>
      </c>
      <c r="C2883" s="8" t="s">
        <v>7010</v>
      </c>
      <c r="D2883" s="7">
        <v>1</v>
      </c>
      <c r="E2883" s="7">
        <v>10</v>
      </c>
      <c r="F2883" s="7">
        <v>1</v>
      </c>
      <c r="G2883" s="8" t="s">
        <v>6710</v>
      </c>
      <c r="H2883" s="8" t="s">
        <v>5691</v>
      </c>
      <c r="I2883" s="7" t="str">
        <f>_xlfn.CONCAT(Paper_Reference[[#This Row],[Lvl]:[Paper Description]])</f>
        <v>2JD1IZONED4001IZONE D/G 48 X 1201101100DS009-5000FROSTY WHITE</v>
      </c>
      <c r="J2883" s="7">
        <f>COUNTIF(Paper_Reference[Duplicate Key],Paper_Reference[[#This Row],[Duplicate Key]])</f>
        <v>1</v>
      </c>
    </row>
    <row r="2884" spans="1:10">
      <c r="A2884" s="7">
        <v>2</v>
      </c>
      <c r="B2884" s="8" t="s">
        <v>7721</v>
      </c>
      <c r="C2884" s="8" t="s">
        <v>7011</v>
      </c>
      <c r="D2884" s="7">
        <v>1</v>
      </c>
      <c r="E2884" s="7">
        <v>10</v>
      </c>
      <c r="F2884" s="7">
        <v>1</v>
      </c>
      <c r="G2884" s="8" t="s">
        <v>6710</v>
      </c>
      <c r="H2884" s="8" t="s">
        <v>5691</v>
      </c>
      <c r="I2884" s="7" t="str">
        <f>_xlfn.CONCAT(Paper_Reference[[#This Row],[Lvl]:[Paper Description]])</f>
        <v>2JD1IZONED4201IZONE D/G 48 X 1441101100DS009-5000FROSTY WHITE</v>
      </c>
      <c r="J2884" s="7">
        <f>COUNTIF(Paper_Reference[Duplicate Key],Paper_Reference[[#This Row],[Duplicate Key]])</f>
        <v>1</v>
      </c>
    </row>
    <row r="2885" spans="1:10">
      <c r="A2885" s="7">
        <v>2</v>
      </c>
      <c r="B2885" s="8" t="s">
        <v>7722</v>
      </c>
      <c r="C2885" s="8" t="s">
        <v>7012</v>
      </c>
      <c r="D2885" s="7">
        <v>1</v>
      </c>
      <c r="E2885" s="7">
        <v>10</v>
      </c>
      <c r="F2885" s="7">
        <v>1</v>
      </c>
      <c r="G2885" s="8" t="s">
        <v>6710</v>
      </c>
      <c r="H2885" s="8" t="s">
        <v>5691</v>
      </c>
      <c r="I2885" s="7" t="str">
        <f>_xlfn.CONCAT(Paper_Reference[[#This Row],[Lvl]:[Paper Description]])</f>
        <v>2JD1IZONED4801IZONE D/G 48 X 961101100DS009-5000FROSTY WHITE</v>
      </c>
      <c r="J2885" s="7">
        <f>COUNTIF(Paper_Reference[Duplicate Key],Paper_Reference[[#This Row],[Duplicate Key]])</f>
        <v>1</v>
      </c>
    </row>
    <row r="2886" spans="1:10">
      <c r="A2886" s="7">
        <v>2</v>
      </c>
      <c r="B2886" s="8" t="s">
        <v>5121</v>
      </c>
      <c r="C2886" s="8" t="s">
        <v>4496</v>
      </c>
      <c r="D2886" s="7">
        <v>1</v>
      </c>
      <c r="E2886" s="7">
        <v>10</v>
      </c>
      <c r="F2886" s="7">
        <v>1</v>
      </c>
      <c r="G2886" s="8" t="s">
        <v>5690</v>
      </c>
      <c r="H2886" s="8" t="s">
        <v>5691</v>
      </c>
      <c r="I2886" s="7" t="str">
        <f>_xlfn.CONCAT(Paper_Reference[[#This Row],[Lvl]:[Paper Description]])</f>
        <v>2JD1IZONED5001IZONE D/G 60 X 1201101100DS009-6200FROSTY WHITE</v>
      </c>
      <c r="J2886" s="7">
        <f>COUNTIF(Paper_Reference[Duplicate Key],Paper_Reference[[#This Row],[Duplicate Key]])</f>
        <v>1</v>
      </c>
    </row>
    <row r="2887" spans="1:10">
      <c r="A2887" s="7">
        <v>2</v>
      </c>
      <c r="B2887" s="8" t="s">
        <v>5121</v>
      </c>
      <c r="C2887" s="8" t="s">
        <v>4496</v>
      </c>
      <c r="D2887" s="7">
        <v>1</v>
      </c>
      <c r="E2887" s="7">
        <v>10</v>
      </c>
      <c r="F2887" s="7">
        <v>2</v>
      </c>
      <c r="G2887" s="8" t="s">
        <v>4371</v>
      </c>
      <c r="H2887" s="8" t="s">
        <v>4372</v>
      </c>
      <c r="I2887" s="7" t="str">
        <f>_xlfn.CONCAT(Paper_Reference[[#This Row],[Lvl]:[Paper Description]])</f>
        <v>2JD1IZONED5001IZONE D/G 60 X 1201102100DS064-6200BLACK</v>
      </c>
      <c r="J2887" s="7">
        <f>COUNTIF(Paper_Reference[Duplicate Key],Paper_Reference[[#This Row],[Duplicate Key]])</f>
        <v>1</v>
      </c>
    </row>
    <row r="2888" spans="1:10">
      <c r="A2888" s="7">
        <v>2</v>
      </c>
      <c r="B2888" s="8" t="s">
        <v>5122</v>
      </c>
      <c r="C2888" s="8" t="s">
        <v>3772</v>
      </c>
      <c r="D2888" s="7">
        <v>1</v>
      </c>
      <c r="E2888" s="7">
        <v>10</v>
      </c>
      <c r="F2888" s="7">
        <v>1</v>
      </c>
      <c r="G2888" s="8" t="s">
        <v>5690</v>
      </c>
      <c r="H2888" s="8" t="s">
        <v>5691</v>
      </c>
      <c r="I2888" s="7" t="str">
        <f>_xlfn.CONCAT(Paper_Reference[[#This Row],[Lvl]:[Paper Description]])</f>
        <v>2JD1IZONED5201IZONE D/G 60 X 1441101100DS009-6200FROSTY WHITE</v>
      </c>
      <c r="J2888" s="7">
        <f>COUNTIF(Paper_Reference[Duplicate Key],Paper_Reference[[#This Row],[Duplicate Key]])</f>
        <v>1</v>
      </c>
    </row>
    <row r="2889" spans="1:10">
      <c r="A2889" s="7">
        <v>2</v>
      </c>
      <c r="B2889" s="8" t="s">
        <v>5122</v>
      </c>
      <c r="C2889" s="8" t="s">
        <v>3772</v>
      </c>
      <c r="D2889" s="7">
        <v>1</v>
      </c>
      <c r="E2889" s="7">
        <v>10</v>
      </c>
      <c r="F2889" s="7">
        <v>2</v>
      </c>
      <c r="G2889" s="8" t="s">
        <v>4371</v>
      </c>
      <c r="H2889" s="8" t="s">
        <v>4372</v>
      </c>
      <c r="I2889" s="7" t="str">
        <f>_xlfn.CONCAT(Paper_Reference[[#This Row],[Lvl]:[Paper Description]])</f>
        <v>2JD1IZONED5201IZONE D/G 60 X 1441102100DS064-6200BLACK</v>
      </c>
      <c r="J2889" s="7">
        <f>COUNTIF(Paper_Reference[Duplicate Key],Paper_Reference[[#This Row],[Duplicate Key]])</f>
        <v>1</v>
      </c>
    </row>
    <row r="2890" spans="1:10">
      <c r="A2890" s="7">
        <v>2</v>
      </c>
      <c r="B2890" s="8" t="s">
        <v>5123</v>
      </c>
      <c r="C2890" s="8" t="s">
        <v>4497</v>
      </c>
      <c r="D2890" s="7">
        <v>1</v>
      </c>
      <c r="E2890" s="7">
        <v>10</v>
      </c>
      <c r="F2890" s="7">
        <v>1</v>
      </c>
      <c r="G2890" s="8" t="s">
        <v>5690</v>
      </c>
      <c r="H2890" s="8" t="s">
        <v>5691</v>
      </c>
      <c r="I2890" s="7" t="str">
        <f>_xlfn.CONCAT(Paper_Reference[[#This Row],[Lvl]:[Paper Description]])</f>
        <v>2JD1IZONED5801IZONE D/G 60 X 961101100DS009-6200FROSTY WHITE</v>
      </c>
      <c r="J2890" s="7">
        <f>COUNTIF(Paper_Reference[Duplicate Key],Paper_Reference[[#This Row],[Duplicate Key]])</f>
        <v>1</v>
      </c>
    </row>
    <row r="2891" spans="1:10">
      <c r="A2891" s="7">
        <v>2</v>
      </c>
      <c r="B2891" s="8" t="s">
        <v>5123</v>
      </c>
      <c r="C2891" s="8" t="s">
        <v>4497</v>
      </c>
      <c r="D2891" s="7">
        <v>1</v>
      </c>
      <c r="E2891" s="7">
        <v>10</v>
      </c>
      <c r="F2891" s="7">
        <v>2</v>
      </c>
      <c r="G2891" s="8" t="s">
        <v>4371</v>
      </c>
      <c r="H2891" s="8" t="s">
        <v>4372</v>
      </c>
      <c r="I2891" s="7" t="str">
        <f>_xlfn.CONCAT(Paper_Reference[[#This Row],[Lvl]:[Paper Description]])</f>
        <v>2JD1IZONED5801IZONE D/G 60 X 961102100DS064-6200BLACK</v>
      </c>
      <c r="J2891" s="7">
        <f>COUNTIF(Paper_Reference[Duplicate Key],Paper_Reference[[#This Row],[Duplicate Key]])</f>
        <v>1</v>
      </c>
    </row>
    <row r="2892" spans="1:10">
      <c r="A2892" s="7">
        <v>2</v>
      </c>
      <c r="B2892" s="8" t="s">
        <v>3374</v>
      </c>
      <c r="C2892" s="8" t="s">
        <v>3240</v>
      </c>
      <c r="D2892" s="7">
        <v>1</v>
      </c>
      <c r="E2892" s="7">
        <v>10</v>
      </c>
      <c r="F2892" s="7">
        <v>1</v>
      </c>
      <c r="G2892" s="8" t="s">
        <v>3230</v>
      </c>
      <c r="H2892" s="8" t="s">
        <v>3231</v>
      </c>
      <c r="I2892" s="7" t="str">
        <f>_xlfn.CONCAT(Paper_Reference[[#This Row],[Lvl]:[Paper Description]])</f>
        <v>2JD2IFOSSG4801FOSSIL D/G 48 X 961101110SW736-5000PRECISION WHITE 43 X 145</v>
      </c>
      <c r="J2892" s="7">
        <f>COUNTIF(Paper_Reference[Duplicate Key],Paper_Reference[[#This Row],[Duplicate Key]])</f>
        <v>1</v>
      </c>
    </row>
    <row r="2893" spans="1:10">
      <c r="A2893" s="7">
        <v>2</v>
      </c>
      <c r="B2893" s="8" t="s">
        <v>3375</v>
      </c>
      <c r="C2893" s="8" t="s">
        <v>3241</v>
      </c>
      <c r="D2893" s="7">
        <v>1</v>
      </c>
      <c r="E2893" s="7">
        <v>10</v>
      </c>
      <c r="F2893" s="7">
        <v>1</v>
      </c>
      <c r="G2893" s="8" t="s">
        <v>3230</v>
      </c>
      <c r="H2893" s="8" t="s">
        <v>3231</v>
      </c>
      <c r="I2893" s="7" t="str">
        <f>_xlfn.CONCAT(Paper_Reference[[#This Row],[Lvl]:[Paper Description]])</f>
        <v>2JD2IFOSSH4001FOSSIL D/G 48 X 1201101110SW736-5000PRECISION WHITE 43 X 145</v>
      </c>
      <c r="J2893" s="7">
        <f>COUNTIF(Paper_Reference[Duplicate Key],Paper_Reference[[#This Row],[Duplicate Key]])</f>
        <v>1</v>
      </c>
    </row>
    <row r="2894" spans="1:10">
      <c r="A2894" s="7">
        <v>2</v>
      </c>
      <c r="B2894" s="8" t="s">
        <v>3376</v>
      </c>
      <c r="C2894" s="8" t="s">
        <v>3239</v>
      </c>
      <c r="D2894" s="7">
        <v>1</v>
      </c>
      <c r="E2894" s="7">
        <v>10</v>
      </c>
      <c r="F2894" s="7">
        <v>1</v>
      </c>
      <c r="G2894" s="8" t="s">
        <v>3230</v>
      </c>
      <c r="H2894" s="8" t="s">
        <v>3231</v>
      </c>
      <c r="I2894" s="7" t="str">
        <f>_xlfn.CONCAT(Paper_Reference[[#This Row],[Lvl]:[Paper Description]])</f>
        <v>2JD2IFOSSH4201FOSSIL D/G 48 X 1441101110SW736-5000PRECISION WHITE 43 X 145</v>
      </c>
      <c r="J2894" s="7">
        <f>COUNTIF(Paper_Reference[Duplicate Key],Paper_Reference[[#This Row],[Duplicate Key]])</f>
        <v>1</v>
      </c>
    </row>
    <row r="2895" spans="1:10">
      <c r="A2895" s="7">
        <v>2</v>
      </c>
      <c r="B2895" s="8" t="s">
        <v>3377</v>
      </c>
      <c r="C2895" s="8" t="s">
        <v>3240</v>
      </c>
      <c r="D2895" s="7">
        <v>1</v>
      </c>
      <c r="E2895" s="7">
        <v>10</v>
      </c>
      <c r="F2895" s="7">
        <v>1</v>
      </c>
      <c r="G2895" s="8" t="s">
        <v>3230</v>
      </c>
      <c r="H2895" s="8" t="s">
        <v>3231</v>
      </c>
      <c r="I2895" s="7" t="str">
        <f>_xlfn.CONCAT(Paper_Reference[[#This Row],[Lvl]:[Paper Description]])</f>
        <v>2JD2IFOSSH4801FOSSIL D/G 48 X 961101110SW736-5000PRECISION WHITE 43 X 145</v>
      </c>
      <c r="J2895" s="7">
        <f>COUNTIF(Paper_Reference[Duplicate Key],Paper_Reference[[#This Row],[Duplicate Key]])</f>
        <v>1</v>
      </c>
    </row>
    <row r="2896" spans="1:10">
      <c r="A2896" s="7">
        <v>2</v>
      </c>
      <c r="B2896" s="8" t="s">
        <v>3878</v>
      </c>
      <c r="C2896" s="8" t="s">
        <v>3767</v>
      </c>
      <c r="D2896" s="7">
        <v>1</v>
      </c>
      <c r="E2896" s="7">
        <v>10</v>
      </c>
      <c r="F2896" s="7">
        <v>1</v>
      </c>
      <c r="G2896" s="8" t="s">
        <v>3826</v>
      </c>
      <c r="H2896" s="8" t="s">
        <v>3827</v>
      </c>
      <c r="I2896" s="7" t="str">
        <f>_xlfn.CONCAT(Paper_Reference[[#This Row],[Lvl]:[Paper Description]])</f>
        <v>2JD2IFOSSH5001FOSSIL D/G 60 X 1201101110SW736-6200PRECISION WHITE 62"</v>
      </c>
      <c r="J2896" s="7">
        <f>COUNTIF(Paper_Reference[Duplicate Key],Paper_Reference[[#This Row],[Duplicate Key]])</f>
        <v>1</v>
      </c>
    </row>
    <row r="2897" spans="1:10">
      <c r="A2897" s="7">
        <v>2</v>
      </c>
      <c r="B2897" s="8" t="s">
        <v>3878</v>
      </c>
      <c r="C2897" s="8" t="s">
        <v>3767</v>
      </c>
      <c r="D2897" s="7">
        <v>1</v>
      </c>
      <c r="E2897" s="7">
        <v>40</v>
      </c>
      <c r="F2897" s="7">
        <v>1</v>
      </c>
      <c r="G2897" s="8" t="s">
        <v>4371</v>
      </c>
      <c r="H2897" s="8" t="s">
        <v>4372</v>
      </c>
      <c r="I2897" s="7" t="str">
        <f>_xlfn.CONCAT(Paper_Reference[[#This Row],[Lvl]:[Paper Description]])</f>
        <v>2JD2IFOSSH5001FOSSIL D/G 60 X 1201401100DS064-6200BLACK</v>
      </c>
      <c r="J2897" s="7">
        <f>COUNTIF(Paper_Reference[Duplicate Key],Paper_Reference[[#This Row],[Duplicate Key]])</f>
        <v>1</v>
      </c>
    </row>
    <row r="2898" spans="1:10">
      <c r="A2898" s="7">
        <v>2</v>
      </c>
      <c r="B2898" s="8" t="s">
        <v>3879</v>
      </c>
      <c r="C2898" s="8" t="s">
        <v>3768</v>
      </c>
      <c r="D2898" s="7">
        <v>1</v>
      </c>
      <c r="E2898" s="7">
        <v>10</v>
      </c>
      <c r="F2898" s="7">
        <v>1</v>
      </c>
      <c r="G2898" s="8" t="s">
        <v>3826</v>
      </c>
      <c r="H2898" s="8" t="s">
        <v>3827</v>
      </c>
      <c r="I2898" s="7" t="str">
        <f>_xlfn.CONCAT(Paper_Reference[[#This Row],[Lvl]:[Paper Description]])</f>
        <v>2JD2IFOSSH5201FOSSIL D/G 60 X 1441101110SW736-6200PRECISION WHITE 62"</v>
      </c>
      <c r="J2898" s="7">
        <f>COUNTIF(Paper_Reference[Duplicate Key],Paper_Reference[[#This Row],[Duplicate Key]])</f>
        <v>1</v>
      </c>
    </row>
    <row r="2899" spans="1:10">
      <c r="A2899" s="7">
        <v>2</v>
      </c>
      <c r="B2899" s="8" t="s">
        <v>3879</v>
      </c>
      <c r="C2899" s="8" t="s">
        <v>3768</v>
      </c>
      <c r="D2899" s="7">
        <v>1</v>
      </c>
      <c r="E2899" s="7">
        <v>40</v>
      </c>
      <c r="F2899" s="7">
        <v>1</v>
      </c>
      <c r="G2899" s="8" t="s">
        <v>4371</v>
      </c>
      <c r="H2899" s="8" t="s">
        <v>4372</v>
      </c>
      <c r="I2899" s="7" t="str">
        <f>_xlfn.CONCAT(Paper_Reference[[#This Row],[Lvl]:[Paper Description]])</f>
        <v>2JD2IFOSSH5201FOSSIL D/G 60 X 1441401100DS064-6200BLACK</v>
      </c>
      <c r="J2899" s="7">
        <f>COUNTIF(Paper_Reference[Duplicate Key],Paper_Reference[[#This Row],[Duplicate Key]])</f>
        <v>1</v>
      </c>
    </row>
    <row r="2900" spans="1:10">
      <c r="A2900" s="7">
        <v>2</v>
      </c>
      <c r="B2900" s="8" t="s">
        <v>3880</v>
      </c>
      <c r="C2900" s="8" t="s">
        <v>3769</v>
      </c>
      <c r="D2900" s="7">
        <v>1</v>
      </c>
      <c r="E2900" s="7">
        <v>10</v>
      </c>
      <c r="F2900" s="7">
        <v>1</v>
      </c>
      <c r="G2900" s="8" t="s">
        <v>3826</v>
      </c>
      <c r="H2900" s="8" t="s">
        <v>3827</v>
      </c>
      <c r="I2900" s="7" t="str">
        <f>_xlfn.CONCAT(Paper_Reference[[#This Row],[Lvl]:[Paper Description]])</f>
        <v>2JD2IFOSSH5801FOSSIL D/G 60 X 961101110SW736-6200PRECISION WHITE 62"</v>
      </c>
      <c r="J2900" s="7">
        <f>COUNTIF(Paper_Reference[Duplicate Key],Paper_Reference[[#This Row],[Duplicate Key]])</f>
        <v>1</v>
      </c>
    </row>
    <row r="2901" spans="1:10">
      <c r="A2901" s="7">
        <v>2</v>
      </c>
      <c r="B2901" s="8" t="s">
        <v>3880</v>
      </c>
      <c r="C2901" s="8" t="s">
        <v>3769</v>
      </c>
      <c r="D2901" s="7">
        <v>1</v>
      </c>
      <c r="E2901" s="7">
        <v>40</v>
      </c>
      <c r="F2901" s="7">
        <v>1</v>
      </c>
      <c r="G2901" s="8" t="s">
        <v>4371</v>
      </c>
      <c r="H2901" s="8" t="s">
        <v>4372</v>
      </c>
      <c r="I2901" s="7" t="str">
        <f>_xlfn.CONCAT(Paper_Reference[[#This Row],[Lvl]:[Paper Description]])</f>
        <v>2JD2IFOSSH5801FOSSIL D/G 60 X 961401100DS064-6200BLACK</v>
      </c>
      <c r="J2901" s="7">
        <f>COUNTIF(Paper_Reference[Duplicate Key],Paper_Reference[[#This Row],[Duplicate Key]])</f>
        <v>1</v>
      </c>
    </row>
    <row r="2902" spans="1:10">
      <c r="A2902" s="7">
        <v>2</v>
      </c>
      <c r="B2902" s="8" t="s">
        <v>3378</v>
      </c>
      <c r="C2902" s="8" t="s">
        <v>3240</v>
      </c>
      <c r="D2902" s="7">
        <v>1</v>
      </c>
      <c r="E2902" s="7">
        <v>10</v>
      </c>
      <c r="F2902" s="7">
        <v>1</v>
      </c>
      <c r="G2902" s="8" t="s">
        <v>3230</v>
      </c>
      <c r="H2902" s="8" t="s">
        <v>3231</v>
      </c>
      <c r="I2902" s="7" t="str">
        <f>_xlfn.CONCAT(Paper_Reference[[#This Row],[Lvl]:[Paper Description]])</f>
        <v>2JD2IFOSSJ4801FOSSIL D/G 48 X 961101110SW736-5000PRECISION WHITE 43 X 145</v>
      </c>
      <c r="J2902" s="7">
        <f>COUNTIF(Paper_Reference[Duplicate Key],Paper_Reference[[#This Row],[Duplicate Key]])</f>
        <v>1</v>
      </c>
    </row>
    <row r="2903" spans="1:10">
      <c r="A2903" s="7">
        <v>2</v>
      </c>
      <c r="B2903" s="8" t="s">
        <v>3379</v>
      </c>
      <c r="C2903" s="8" t="s">
        <v>3240</v>
      </c>
      <c r="D2903" s="7">
        <v>1</v>
      </c>
      <c r="E2903" s="7">
        <v>10</v>
      </c>
      <c r="F2903" s="7">
        <v>1</v>
      </c>
      <c r="G2903" s="8" t="s">
        <v>3230</v>
      </c>
      <c r="H2903" s="8" t="s">
        <v>3231</v>
      </c>
      <c r="I2903" s="7" t="str">
        <f>_xlfn.CONCAT(Paper_Reference[[#This Row],[Lvl]:[Paper Description]])</f>
        <v>2JD2IFOSSLS4801FOSSIL D/G 48 X 961101110SW736-5000PRECISION WHITE 43 X 145</v>
      </c>
      <c r="J2903" s="7">
        <f>COUNTIF(Paper_Reference[Duplicate Key],Paper_Reference[[#This Row],[Duplicate Key]])</f>
        <v>1</v>
      </c>
    </row>
    <row r="2904" spans="1:10">
      <c r="A2904" s="7">
        <v>2</v>
      </c>
      <c r="B2904" s="8" t="s">
        <v>3380</v>
      </c>
      <c r="C2904" s="8" t="s">
        <v>3240</v>
      </c>
      <c r="D2904" s="7">
        <v>1</v>
      </c>
      <c r="E2904" s="7">
        <v>10</v>
      </c>
      <c r="F2904" s="7">
        <v>1</v>
      </c>
      <c r="G2904" s="8" t="s">
        <v>3230</v>
      </c>
      <c r="H2904" s="8" t="s">
        <v>3231</v>
      </c>
      <c r="I2904" s="7" t="str">
        <f>_xlfn.CONCAT(Paper_Reference[[#This Row],[Lvl]:[Paper Description]])</f>
        <v>2JD2IFOSSPV4801FOSSIL D/G 48 X 961101110SW736-5000PRECISION WHITE 43 X 145</v>
      </c>
      <c r="J2904" s="7">
        <f>COUNTIF(Paper_Reference[Duplicate Key],Paper_Reference[[#This Row],[Duplicate Key]])</f>
        <v>1</v>
      </c>
    </row>
    <row r="2905" spans="1:10">
      <c r="A2905" s="7">
        <v>2</v>
      </c>
      <c r="B2905" s="8" t="s">
        <v>3881</v>
      </c>
      <c r="C2905" s="8" t="s">
        <v>3768</v>
      </c>
      <c r="D2905" s="7">
        <v>1</v>
      </c>
      <c r="E2905" s="7">
        <v>10</v>
      </c>
      <c r="F2905" s="7">
        <v>1</v>
      </c>
      <c r="G2905" s="8" t="s">
        <v>3826</v>
      </c>
      <c r="H2905" s="8" t="s">
        <v>3827</v>
      </c>
      <c r="I2905" s="7" t="str">
        <f>_xlfn.CONCAT(Paper_Reference[[#This Row],[Lvl]:[Paper Description]])</f>
        <v>2JD2IFOSSPV5201FOSSIL D/G 60 X 1441101110SW736-6200PRECISION WHITE 62"</v>
      </c>
      <c r="J2905" s="7">
        <f>COUNTIF(Paper_Reference[Duplicate Key],Paper_Reference[[#This Row],[Duplicate Key]])</f>
        <v>1</v>
      </c>
    </row>
    <row r="2906" spans="1:10">
      <c r="A2906" s="7">
        <v>2</v>
      </c>
      <c r="B2906" s="8" t="s">
        <v>3881</v>
      </c>
      <c r="C2906" s="8" t="s">
        <v>3768</v>
      </c>
      <c r="D2906" s="7">
        <v>1</v>
      </c>
      <c r="E2906" s="7">
        <v>40</v>
      </c>
      <c r="F2906" s="7">
        <v>1</v>
      </c>
      <c r="G2906" s="8" t="s">
        <v>4371</v>
      </c>
      <c r="H2906" s="8" t="s">
        <v>4372</v>
      </c>
      <c r="I2906" s="7" t="str">
        <f>_xlfn.CONCAT(Paper_Reference[[#This Row],[Lvl]:[Paper Description]])</f>
        <v>2JD2IFOSSPV5201FOSSIL D/G 60 X 1441401100DS064-6200BLACK</v>
      </c>
      <c r="J2906" s="7">
        <f>COUNTIF(Paper_Reference[Duplicate Key],Paper_Reference[[#This Row],[Duplicate Key]])</f>
        <v>1</v>
      </c>
    </row>
    <row r="2907" spans="1:10">
      <c r="A2907" s="7">
        <v>2</v>
      </c>
      <c r="B2907" s="8" t="s">
        <v>3381</v>
      </c>
      <c r="C2907" s="8" t="s">
        <v>3241</v>
      </c>
      <c r="D2907" s="7">
        <v>1</v>
      </c>
      <c r="E2907" s="7">
        <v>10</v>
      </c>
      <c r="F2907" s="7">
        <v>1</v>
      </c>
      <c r="G2907" s="8" t="s">
        <v>3230</v>
      </c>
      <c r="H2907" s="8" t="s">
        <v>3231</v>
      </c>
      <c r="I2907" s="7" t="str">
        <f>_xlfn.CONCAT(Paper_Reference[[#This Row],[Lvl]:[Paper Description]])</f>
        <v>2JD2IFOSSS4001FOSSIL D/G 48 X 1201101110SW736-5000PRECISION WHITE 43 X 145</v>
      </c>
      <c r="J2907" s="7">
        <f>COUNTIF(Paper_Reference[Duplicate Key],Paper_Reference[[#This Row],[Duplicate Key]])</f>
        <v>1</v>
      </c>
    </row>
    <row r="2908" spans="1:10">
      <c r="A2908" s="7">
        <v>2</v>
      </c>
      <c r="B2908" s="8" t="s">
        <v>3383</v>
      </c>
      <c r="C2908" s="8" t="s">
        <v>3239</v>
      </c>
      <c r="D2908" s="7">
        <v>1</v>
      </c>
      <c r="E2908" s="7">
        <v>10</v>
      </c>
      <c r="F2908" s="7">
        <v>1</v>
      </c>
      <c r="G2908" s="8" t="s">
        <v>3230</v>
      </c>
      <c r="H2908" s="8" t="s">
        <v>3231</v>
      </c>
      <c r="I2908" s="7" t="str">
        <f>_xlfn.CONCAT(Paper_Reference[[#This Row],[Lvl]:[Paper Description]])</f>
        <v>2JD2IFOSSS420FOSSIL D/G 48 X 1441101110SW736-5000PRECISION WHITE 43 X 145</v>
      </c>
      <c r="J2908" s="7">
        <f>COUNTIF(Paper_Reference[Duplicate Key],Paper_Reference[[#This Row],[Duplicate Key]])</f>
        <v>1</v>
      </c>
    </row>
    <row r="2909" spans="1:10">
      <c r="A2909" s="7">
        <v>2</v>
      </c>
      <c r="B2909" s="8" t="s">
        <v>3382</v>
      </c>
      <c r="C2909" s="8" t="s">
        <v>3239</v>
      </c>
      <c r="D2909" s="7">
        <v>1</v>
      </c>
      <c r="E2909" s="7">
        <v>10</v>
      </c>
      <c r="F2909" s="7">
        <v>1</v>
      </c>
      <c r="G2909" s="8" t="s">
        <v>3230</v>
      </c>
      <c r="H2909" s="8" t="s">
        <v>3231</v>
      </c>
      <c r="I2909" s="7" t="str">
        <f>_xlfn.CONCAT(Paper_Reference[[#This Row],[Lvl]:[Paper Description]])</f>
        <v>2JD2IFOSSS4201FOSSIL D/G 48 X 1441101110SW736-5000PRECISION WHITE 43 X 145</v>
      </c>
      <c r="J2909" s="7">
        <f>COUNTIF(Paper_Reference[Duplicate Key],Paper_Reference[[#This Row],[Duplicate Key]])</f>
        <v>1</v>
      </c>
    </row>
    <row r="2910" spans="1:10">
      <c r="A2910" s="7">
        <v>2</v>
      </c>
      <c r="B2910" s="8" t="s">
        <v>3385</v>
      </c>
      <c r="C2910" s="8" t="s">
        <v>3240</v>
      </c>
      <c r="D2910" s="7">
        <v>1</v>
      </c>
      <c r="E2910" s="7">
        <v>10</v>
      </c>
      <c r="F2910" s="7">
        <v>1</v>
      </c>
      <c r="G2910" s="8" t="s">
        <v>3230</v>
      </c>
      <c r="H2910" s="8" t="s">
        <v>3231</v>
      </c>
      <c r="I2910" s="7" t="str">
        <f>_xlfn.CONCAT(Paper_Reference[[#This Row],[Lvl]:[Paper Description]])</f>
        <v>2JD2IFOSSS480FOSSIL D/G 48 X 961101110SW736-5000PRECISION WHITE 43 X 145</v>
      </c>
      <c r="J2910" s="7">
        <f>COUNTIF(Paper_Reference[Duplicate Key],Paper_Reference[[#This Row],[Duplicate Key]])</f>
        <v>1</v>
      </c>
    </row>
    <row r="2911" spans="1:10">
      <c r="A2911" s="7">
        <v>2</v>
      </c>
      <c r="B2911" s="8" t="s">
        <v>3384</v>
      </c>
      <c r="C2911" s="8" t="s">
        <v>3240</v>
      </c>
      <c r="D2911" s="7">
        <v>1</v>
      </c>
      <c r="E2911" s="7">
        <v>10</v>
      </c>
      <c r="F2911" s="7">
        <v>1</v>
      </c>
      <c r="G2911" s="8" t="s">
        <v>3230</v>
      </c>
      <c r="H2911" s="8" t="s">
        <v>3231</v>
      </c>
      <c r="I2911" s="7" t="str">
        <f>_xlfn.CONCAT(Paper_Reference[[#This Row],[Lvl]:[Paper Description]])</f>
        <v>2JD2IFOSSS4801FOSSIL D/G 48 X 961101110SW736-5000PRECISION WHITE 43 X 145</v>
      </c>
      <c r="J2911" s="7">
        <f>COUNTIF(Paper_Reference[Duplicate Key],Paper_Reference[[#This Row],[Duplicate Key]])</f>
        <v>1</v>
      </c>
    </row>
    <row r="2912" spans="1:10">
      <c r="A2912" s="7">
        <v>2</v>
      </c>
      <c r="B2912" s="8" t="s">
        <v>3882</v>
      </c>
      <c r="C2912" s="8" t="s">
        <v>3767</v>
      </c>
      <c r="D2912" s="7">
        <v>1</v>
      </c>
      <c r="E2912" s="7">
        <v>10</v>
      </c>
      <c r="F2912" s="7">
        <v>1</v>
      </c>
      <c r="G2912" s="8" t="s">
        <v>3826</v>
      </c>
      <c r="H2912" s="8" t="s">
        <v>3827</v>
      </c>
      <c r="I2912" s="7" t="str">
        <f>_xlfn.CONCAT(Paper_Reference[[#This Row],[Lvl]:[Paper Description]])</f>
        <v>2JD2IFOSSS5001FOSSIL D/G 60 X 1201101110SW736-6200PRECISION WHITE 62"</v>
      </c>
      <c r="J2912" s="7">
        <f>COUNTIF(Paper_Reference[Duplicate Key],Paper_Reference[[#This Row],[Duplicate Key]])</f>
        <v>1</v>
      </c>
    </row>
    <row r="2913" spans="1:10">
      <c r="A2913" s="7">
        <v>2</v>
      </c>
      <c r="B2913" s="8" t="s">
        <v>3882</v>
      </c>
      <c r="C2913" s="8" t="s">
        <v>3767</v>
      </c>
      <c r="D2913" s="7">
        <v>1</v>
      </c>
      <c r="E2913" s="7">
        <v>40</v>
      </c>
      <c r="F2913" s="7">
        <v>1</v>
      </c>
      <c r="G2913" s="8" t="s">
        <v>4371</v>
      </c>
      <c r="H2913" s="8" t="s">
        <v>4372</v>
      </c>
      <c r="I2913" s="7" t="str">
        <f>_xlfn.CONCAT(Paper_Reference[[#This Row],[Lvl]:[Paper Description]])</f>
        <v>2JD2IFOSSS5001FOSSIL D/G 60 X 1201401100DS064-6200BLACK</v>
      </c>
      <c r="J2913" s="7">
        <f>COUNTIF(Paper_Reference[Duplicate Key],Paper_Reference[[#This Row],[Duplicate Key]])</f>
        <v>1</v>
      </c>
    </row>
    <row r="2914" spans="1:10">
      <c r="A2914" s="7">
        <v>2</v>
      </c>
      <c r="B2914" s="8" t="s">
        <v>5124</v>
      </c>
      <c r="C2914" s="8" t="s">
        <v>3768</v>
      </c>
      <c r="D2914" s="7">
        <v>1</v>
      </c>
      <c r="E2914" s="7">
        <v>10</v>
      </c>
      <c r="F2914" s="7">
        <v>1</v>
      </c>
      <c r="G2914" s="8" t="s">
        <v>5690</v>
      </c>
      <c r="H2914" s="8" t="s">
        <v>5691</v>
      </c>
      <c r="I2914" s="7" t="str">
        <f>_xlfn.CONCAT(Paper_Reference[[#This Row],[Lvl]:[Paper Description]])</f>
        <v>2JD2IFOSSS5201FOSSIL D/G 60 X 1441101100DS009-6200FROSTY WHITE</v>
      </c>
      <c r="J2914" s="7">
        <f>COUNTIF(Paper_Reference[Duplicate Key],Paper_Reference[[#This Row],[Duplicate Key]])</f>
        <v>1</v>
      </c>
    </row>
    <row r="2915" spans="1:10">
      <c r="A2915" s="7">
        <v>2</v>
      </c>
      <c r="B2915" s="8" t="s">
        <v>5124</v>
      </c>
      <c r="C2915" s="8" t="s">
        <v>3768</v>
      </c>
      <c r="D2915" s="7">
        <v>1</v>
      </c>
      <c r="E2915" s="7">
        <v>40</v>
      </c>
      <c r="F2915" s="7">
        <v>1</v>
      </c>
      <c r="G2915" s="8" t="s">
        <v>4371</v>
      </c>
      <c r="H2915" s="8" t="s">
        <v>4372</v>
      </c>
      <c r="I2915" s="7" t="str">
        <f>_xlfn.CONCAT(Paper_Reference[[#This Row],[Lvl]:[Paper Description]])</f>
        <v>2JD2IFOSSS5201FOSSIL D/G 60 X 1441401100DS064-6200BLACK</v>
      </c>
      <c r="J2915" s="7">
        <f>COUNTIF(Paper_Reference[Duplicate Key],Paper_Reference[[#This Row],[Duplicate Key]])</f>
        <v>1</v>
      </c>
    </row>
    <row r="2916" spans="1:10">
      <c r="A2916" s="7">
        <v>2</v>
      </c>
      <c r="B2916" s="8" t="s">
        <v>3883</v>
      </c>
      <c r="C2916" s="8" t="s">
        <v>3769</v>
      </c>
      <c r="D2916" s="7">
        <v>1</v>
      </c>
      <c r="E2916" s="7">
        <v>10</v>
      </c>
      <c r="F2916" s="7">
        <v>1</v>
      </c>
      <c r="G2916" s="8" t="s">
        <v>3826</v>
      </c>
      <c r="H2916" s="8" t="s">
        <v>3827</v>
      </c>
      <c r="I2916" s="7" t="str">
        <f>_xlfn.CONCAT(Paper_Reference[[#This Row],[Lvl]:[Paper Description]])</f>
        <v>2JD2IFOSSS5801FOSSIL D/G 60 X 961101110SW736-6200PRECISION WHITE 62"</v>
      </c>
      <c r="J2916" s="7">
        <f>COUNTIF(Paper_Reference[Duplicate Key],Paper_Reference[[#This Row],[Duplicate Key]])</f>
        <v>1</v>
      </c>
    </row>
    <row r="2917" spans="1:10">
      <c r="A2917" s="7">
        <v>2</v>
      </c>
      <c r="B2917" s="8" t="s">
        <v>3883</v>
      </c>
      <c r="C2917" s="8" t="s">
        <v>3769</v>
      </c>
      <c r="D2917" s="7">
        <v>1</v>
      </c>
      <c r="E2917" s="7">
        <v>40</v>
      </c>
      <c r="F2917" s="7">
        <v>1</v>
      </c>
      <c r="G2917" s="8" t="s">
        <v>4371</v>
      </c>
      <c r="H2917" s="8" t="s">
        <v>4372</v>
      </c>
      <c r="I2917" s="7" t="str">
        <f>_xlfn.CONCAT(Paper_Reference[[#This Row],[Lvl]:[Paper Description]])</f>
        <v>2JD2IFOSSS5801FOSSIL D/G 60 X 961401100DS064-6200BLACK</v>
      </c>
      <c r="J2917" s="7">
        <f>COUNTIF(Paper_Reference[Duplicate Key],Paper_Reference[[#This Row],[Duplicate Key]])</f>
        <v>1</v>
      </c>
    </row>
    <row r="2918" spans="1:10">
      <c r="A2918" s="7">
        <v>2</v>
      </c>
      <c r="B2918" s="8" t="s">
        <v>7723</v>
      </c>
      <c r="C2918" s="8" t="s">
        <v>7006</v>
      </c>
      <c r="D2918" s="7">
        <v>1</v>
      </c>
      <c r="E2918" s="7">
        <v>10</v>
      </c>
      <c r="F2918" s="7">
        <v>1</v>
      </c>
      <c r="G2918" s="8" t="s">
        <v>6710</v>
      </c>
      <c r="H2918" s="8" t="s">
        <v>5691</v>
      </c>
      <c r="I2918" s="7" t="str">
        <f>_xlfn.CONCAT(Paper_Reference[[#This Row],[Lvl]:[Paper Description]])</f>
        <v>2JD2ISPE2N380SPECTRALITE BB D/G 36 X 961101100DS009-5000FROSTY WHITE</v>
      </c>
      <c r="J2918" s="7">
        <f>COUNTIF(Paper_Reference[Duplicate Key],Paper_Reference[[#This Row],[Duplicate Key]])</f>
        <v>1</v>
      </c>
    </row>
    <row r="2919" spans="1:10">
      <c r="A2919" s="7">
        <v>2</v>
      </c>
      <c r="B2919" s="8" t="s">
        <v>7724</v>
      </c>
      <c r="C2919" s="8" t="s">
        <v>7007</v>
      </c>
      <c r="D2919" s="7">
        <v>1</v>
      </c>
      <c r="E2919" s="7">
        <v>10</v>
      </c>
      <c r="F2919" s="7">
        <v>1</v>
      </c>
      <c r="G2919" s="8" t="s">
        <v>6710</v>
      </c>
      <c r="H2919" s="8" t="s">
        <v>5691</v>
      </c>
      <c r="I2919" s="7" t="str">
        <f>_xlfn.CONCAT(Paper_Reference[[#This Row],[Lvl]:[Paper Description]])</f>
        <v>2JD2ISPE2N400SPECTRALITE BB D/G 48 X 1201101100DS009-5000FROSTY WHITE</v>
      </c>
      <c r="J2919" s="7">
        <f>COUNTIF(Paper_Reference[Duplicate Key],Paper_Reference[[#This Row],[Duplicate Key]])</f>
        <v>1</v>
      </c>
    </row>
    <row r="2920" spans="1:10">
      <c r="A2920" s="7">
        <v>2</v>
      </c>
      <c r="B2920" s="8" t="s">
        <v>7725</v>
      </c>
      <c r="C2920" s="8" t="s">
        <v>7008</v>
      </c>
      <c r="D2920" s="7">
        <v>1</v>
      </c>
      <c r="E2920" s="7">
        <v>10</v>
      </c>
      <c r="F2920" s="7">
        <v>1</v>
      </c>
      <c r="G2920" s="8" t="s">
        <v>6710</v>
      </c>
      <c r="H2920" s="8" t="s">
        <v>5691</v>
      </c>
      <c r="I2920" s="7" t="str">
        <f>_xlfn.CONCAT(Paper_Reference[[#This Row],[Lvl]:[Paper Description]])</f>
        <v>2JD2ISPE2N480SPECTRALITE BB D/G 48 X 961101100DS009-5000FROSTY WHITE</v>
      </c>
      <c r="J2920" s="7">
        <f>COUNTIF(Paper_Reference[Duplicate Key],Paper_Reference[[#This Row],[Duplicate Key]])</f>
        <v>1</v>
      </c>
    </row>
    <row r="2921" spans="1:10">
      <c r="A2921" s="7">
        <v>2</v>
      </c>
      <c r="B2921" s="8" t="s">
        <v>7726</v>
      </c>
      <c r="C2921" s="8" t="s">
        <v>6843</v>
      </c>
      <c r="D2921" s="7">
        <v>1</v>
      </c>
      <c r="E2921" s="7">
        <v>10</v>
      </c>
      <c r="F2921" s="7">
        <v>2</v>
      </c>
      <c r="G2921" s="8" t="s">
        <v>6710</v>
      </c>
      <c r="H2921" s="8" t="s">
        <v>5691</v>
      </c>
      <c r="I2921" s="7" t="str">
        <f>_xlfn.CONCAT(Paper_Reference[[#This Row],[Lvl]:[Paper Description]])</f>
        <v>2JD2ISPECN480SPECTRALITE D/G 48 X 961102100DS009-5000FROSTY WHITE</v>
      </c>
      <c r="J2921" s="7">
        <f>COUNTIF(Paper_Reference[Duplicate Key],Paper_Reference[[#This Row],[Duplicate Key]])</f>
        <v>1</v>
      </c>
    </row>
    <row r="2922" spans="1:10">
      <c r="A2922" s="7">
        <v>2</v>
      </c>
      <c r="B2922" s="8" t="s">
        <v>7727</v>
      </c>
      <c r="C2922" s="8" t="s">
        <v>7010</v>
      </c>
      <c r="D2922" s="7">
        <v>1</v>
      </c>
      <c r="E2922" s="7">
        <v>10</v>
      </c>
      <c r="F2922" s="7">
        <v>1</v>
      </c>
      <c r="G2922" s="8" t="s">
        <v>6710</v>
      </c>
      <c r="H2922" s="8" t="s">
        <v>5691</v>
      </c>
      <c r="I2922" s="7" t="str">
        <f>_xlfn.CONCAT(Paper_Reference[[#This Row],[Lvl]:[Paper Description]])</f>
        <v>2JD2IZONED4001IZONE D/G 48 X 1201101100DS009-5000FROSTY WHITE</v>
      </c>
      <c r="J2922" s="7">
        <f>COUNTIF(Paper_Reference[Duplicate Key],Paper_Reference[[#This Row],[Duplicate Key]])</f>
        <v>1</v>
      </c>
    </row>
    <row r="2923" spans="1:10">
      <c r="A2923" s="7">
        <v>2</v>
      </c>
      <c r="B2923" s="8" t="s">
        <v>7728</v>
      </c>
      <c r="C2923" s="8" t="s">
        <v>7011</v>
      </c>
      <c r="D2923" s="7">
        <v>1</v>
      </c>
      <c r="E2923" s="7">
        <v>10</v>
      </c>
      <c r="F2923" s="7">
        <v>1</v>
      </c>
      <c r="G2923" s="8" t="s">
        <v>6710</v>
      </c>
      <c r="H2923" s="8" t="s">
        <v>5691</v>
      </c>
      <c r="I2923" s="7" t="str">
        <f>_xlfn.CONCAT(Paper_Reference[[#This Row],[Lvl]:[Paper Description]])</f>
        <v>2JD2IZONED4201IZONE D/G 48 X 1441101100DS009-5000FROSTY WHITE</v>
      </c>
      <c r="J2923" s="7">
        <f>COUNTIF(Paper_Reference[Duplicate Key],Paper_Reference[[#This Row],[Duplicate Key]])</f>
        <v>1</v>
      </c>
    </row>
    <row r="2924" spans="1:10">
      <c r="A2924" s="7">
        <v>2</v>
      </c>
      <c r="B2924" s="8" t="s">
        <v>7729</v>
      </c>
      <c r="C2924" s="8" t="s">
        <v>7012</v>
      </c>
      <c r="D2924" s="7">
        <v>1</v>
      </c>
      <c r="E2924" s="7">
        <v>10</v>
      </c>
      <c r="F2924" s="7">
        <v>1</v>
      </c>
      <c r="G2924" s="8" t="s">
        <v>6710</v>
      </c>
      <c r="H2924" s="8" t="s">
        <v>5691</v>
      </c>
      <c r="I2924" s="7" t="str">
        <f>_xlfn.CONCAT(Paper_Reference[[#This Row],[Lvl]:[Paper Description]])</f>
        <v>2JD2IZONED4801IZONE D/G 48 X 961101100DS009-5000FROSTY WHITE</v>
      </c>
      <c r="J2924" s="7">
        <f>COUNTIF(Paper_Reference[Duplicate Key],Paper_Reference[[#This Row],[Duplicate Key]])</f>
        <v>1</v>
      </c>
    </row>
    <row r="2925" spans="1:10">
      <c r="A2925" s="7">
        <v>2</v>
      </c>
      <c r="B2925" s="8" t="s">
        <v>5125</v>
      </c>
      <c r="C2925" s="8" t="s">
        <v>4496</v>
      </c>
      <c r="D2925" s="7">
        <v>1</v>
      </c>
      <c r="E2925" s="7">
        <v>10</v>
      </c>
      <c r="F2925" s="7">
        <v>1</v>
      </c>
      <c r="G2925" s="8" t="s">
        <v>5690</v>
      </c>
      <c r="H2925" s="8" t="s">
        <v>5691</v>
      </c>
      <c r="I2925" s="7" t="str">
        <f>_xlfn.CONCAT(Paper_Reference[[#This Row],[Lvl]:[Paper Description]])</f>
        <v>2JD2IZONED5001IZONE D/G 60 X 1201101100DS009-6200FROSTY WHITE</v>
      </c>
      <c r="J2925" s="7">
        <f>COUNTIF(Paper_Reference[Duplicate Key],Paper_Reference[[#This Row],[Duplicate Key]])</f>
        <v>1</v>
      </c>
    </row>
    <row r="2926" spans="1:10">
      <c r="A2926" s="7">
        <v>2</v>
      </c>
      <c r="B2926" s="8" t="s">
        <v>5125</v>
      </c>
      <c r="C2926" s="8" t="s">
        <v>4496</v>
      </c>
      <c r="D2926" s="7">
        <v>1</v>
      </c>
      <c r="E2926" s="7">
        <v>10</v>
      </c>
      <c r="F2926" s="7">
        <v>1</v>
      </c>
      <c r="G2926" s="8" t="s">
        <v>4371</v>
      </c>
      <c r="H2926" s="8" t="s">
        <v>4372</v>
      </c>
      <c r="I2926" s="7" t="str">
        <f>_xlfn.CONCAT(Paper_Reference[[#This Row],[Lvl]:[Paper Description]])</f>
        <v>2JD2IZONED5001IZONE D/G 60 X 1201101100DS064-6200BLACK</v>
      </c>
      <c r="J2926" s="7">
        <f>COUNTIF(Paper_Reference[Duplicate Key],Paper_Reference[[#This Row],[Duplicate Key]])</f>
        <v>1</v>
      </c>
    </row>
    <row r="2927" spans="1:10">
      <c r="A2927" s="7">
        <v>2</v>
      </c>
      <c r="B2927" s="8" t="s">
        <v>5126</v>
      </c>
      <c r="C2927" s="8" t="s">
        <v>3772</v>
      </c>
      <c r="D2927" s="7">
        <v>1</v>
      </c>
      <c r="E2927" s="7">
        <v>10</v>
      </c>
      <c r="F2927" s="7">
        <v>1</v>
      </c>
      <c r="G2927" s="8" t="s">
        <v>5690</v>
      </c>
      <c r="H2927" s="8" t="s">
        <v>5691</v>
      </c>
      <c r="I2927" s="7" t="str">
        <f>_xlfn.CONCAT(Paper_Reference[[#This Row],[Lvl]:[Paper Description]])</f>
        <v>2JD2IZONED5201IZONE D/G 60 X 1441101100DS009-6200FROSTY WHITE</v>
      </c>
      <c r="J2927" s="7">
        <f>COUNTIF(Paper_Reference[Duplicate Key],Paper_Reference[[#This Row],[Duplicate Key]])</f>
        <v>1</v>
      </c>
    </row>
    <row r="2928" spans="1:10">
      <c r="A2928" s="7">
        <v>2</v>
      </c>
      <c r="B2928" s="8" t="s">
        <v>5126</v>
      </c>
      <c r="C2928" s="8" t="s">
        <v>3772</v>
      </c>
      <c r="D2928" s="7">
        <v>1</v>
      </c>
      <c r="E2928" s="7">
        <v>10</v>
      </c>
      <c r="F2928" s="7">
        <v>1</v>
      </c>
      <c r="G2928" s="8" t="s">
        <v>4371</v>
      </c>
      <c r="H2928" s="8" t="s">
        <v>4372</v>
      </c>
      <c r="I2928" s="7" t="str">
        <f>_xlfn.CONCAT(Paper_Reference[[#This Row],[Lvl]:[Paper Description]])</f>
        <v>2JD2IZONED5201IZONE D/G 60 X 1441101100DS064-6200BLACK</v>
      </c>
      <c r="J2928" s="7">
        <f>COUNTIF(Paper_Reference[Duplicate Key],Paper_Reference[[#This Row],[Duplicate Key]])</f>
        <v>1</v>
      </c>
    </row>
    <row r="2929" spans="1:10">
      <c r="A2929" s="7">
        <v>2</v>
      </c>
      <c r="B2929" s="8" t="s">
        <v>5127</v>
      </c>
      <c r="C2929" s="8" t="s">
        <v>4497</v>
      </c>
      <c r="D2929" s="7">
        <v>1</v>
      </c>
      <c r="E2929" s="7">
        <v>10</v>
      </c>
      <c r="F2929" s="7">
        <v>1</v>
      </c>
      <c r="G2929" s="8" t="s">
        <v>5690</v>
      </c>
      <c r="H2929" s="8" t="s">
        <v>5691</v>
      </c>
      <c r="I2929" s="7" t="str">
        <f>_xlfn.CONCAT(Paper_Reference[[#This Row],[Lvl]:[Paper Description]])</f>
        <v>2JD2IZONED5801IZONE D/G 60 X 961101100DS009-6200FROSTY WHITE</v>
      </c>
      <c r="J2929" s="7">
        <f>COUNTIF(Paper_Reference[Duplicate Key],Paper_Reference[[#This Row],[Duplicate Key]])</f>
        <v>1</v>
      </c>
    </row>
    <row r="2930" spans="1:10">
      <c r="A2930" s="7">
        <v>2</v>
      </c>
      <c r="B2930" s="8" t="s">
        <v>5127</v>
      </c>
      <c r="C2930" s="8" t="s">
        <v>4497</v>
      </c>
      <c r="D2930" s="7">
        <v>1</v>
      </c>
      <c r="E2930" s="7">
        <v>10</v>
      </c>
      <c r="F2930" s="7">
        <v>1</v>
      </c>
      <c r="G2930" s="8" t="s">
        <v>4371</v>
      </c>
      <c r="H2930" s="8" t="s">
        <v>4372</v>
      </c>
      <c r="I2930" s="7" t="str">
        <f>_xlfn.CONCAT(Paper_Reference[[#This Row],[Lvl]:[Paper Description]])</f>
        <v>2JD2IZONED5801IZONE D/G 60 X 961101100DS064-6200BLACK</v>
      </c>
      <c r="J2930" s="7">
        <f>COUNTIF(Paper_Reference[Duplicate Key],Paper_Reference[[#This Row],[Duplicate Key]])</f>
        <v>1</v>
      </c>
    </row>
    <row r="2931" spans="1:10">
      <c r="A2931" s="7">
        <v>2</v>
      </c>
      <c r="B2931" s="8" t="s">
        <v>3386</v>
      </c>
      <c r="C2931" s="8" t="s">
        <v>3240</v>
      </c>
      <c r="D2931" s="7">
        <v>1</v>
      </c>
      <c r="E2931" s="7">
        <v>10</v>
      </c>
      <c r="F2931" s="7">
        <v>1</v>
      </c>
      <c r="G2931" s="8" t="s">
        <v>3230</v>
      </c>
      <c r="H2931" s="8" t="s">
        <v>3231</v>
      </c>
      <c r="I2931" s="7" t="str">
        <f>_xlfn.CONCAT(Paper_Reference[[#This Row],[Lvl]:[Paper Description]])</f>
        <v>2JD3IFOSSCR4801FOSSIL D/G 48 X 961101110SW736-5000PRECISION WHITE 43 X 145</v>
      </c>
      <c r="J2931" s="7">
        <f>COUNTIF(Paper_Reference[Duplicate Key],Paper_Reference[[#This Row],[Duplicate Key]])</f>
        <v>1</v>
      </c>
    </row>
    <row r="2932" spans="1:10">
      <c r="A2932" s="7">
        <v>2</v>
      </c>
      <c r="B2932" s="8" t="s">
        <v>3387</v>
      </c>
      <c r="C2932" s="8" t="s">
        <v>3241</v>
      </c>
      <c r="D2932" s="7">
        <v>1</v>
      </c>
      <c r="E2932" s="7">
        <v>10</v>
      </c>
      <c r="F2932" s="7">
        <v>1</v>
      </c>
      <c r="G2932" s="8" t="s">
        <v>3230</v>
      </c>
      <c r="H2932" s="8" t="s">
        <v>3231</v>
      </c>
      <c r="I2932" s="7" t="str">
        <f>_xlfn.CONCAT(Paper_Reference[[#This Row],[Lvl]:[Paper Description]])</f>
        <v>2JD3IFOSSH4001FOSSIL D/G 48 X 1201101110SW736-5000PRECISION WHITE 43 X 145</v>
      </c>
      <c r="J2932" s="7">
        <f>COUNTIF(Paper_Reference[Duplicate Key],Paper_Reference[[#This Row],[Duplicate Key]])</f>
        <v>1</v>
      </c>
    </row>
    <row r="2933" spans="1:10">
      <c r="A2933" s="7">
        <v>2</v>
      </c>
      <c r="B2933" s="8" t="s">
        <v>3388</v>
      </c>
      <c r="C2933" s="8" t="s">
        <v>3239</v>
      </c>
      <c r="D2933" s="7">
        <v>1</v>
      </c>
      <c r="E2933" s="7">
        <v>10</v>
      </c>
      <c r="F2933" s="7">
        <v>1</v>
      </c>
      <c r="G2933" s="8" t="s">
        <v>3230</v>
      </c>
      <c r="H2933" s="8" t="s">
        <v>3231</v>
      </c>
      <c r="I2933" s="7" t="str">
        <f>_xlfn.CONCAT(Paper_Reference[[#This Row],[Lvl]:[Paper Description]])</f>
        <v>2JD3IFOSSH4201FOSSIL D/G 48 X 1441101110SW736-5000PRECISION WHITE 43 X 145</v>
      </c>
      <c r="J2933" s="7">
        <f>COUNTIF(Paper_Reference[Duplicate Key],Paper_Reference[[#This Row],[Duplicate Key]])</f>
        <v>1</v>
      </c>
    </row>
    <row r="2934" spans="1:10">
      <c r="A2934" s="7">
        <v>2</v>
      </c>
      <c r="B2934" s="8" t="s">
        <v>3389</v>
      </c>
      <c r="C2934" s="8" t="s">
        <v>3240</v>
      </c>
      <c r="D2934" s="7">
        <v>1</v>
      </c>
      <c r="E2934" s="7">
        <v>10</v>
      </c>
      <c r="F2934" s="7">
        <v>1</v>
      </c>
      <c r="G2934" s="8" t="s">
        <v>3230</v>
      </c>
      <c r="H2934" s="8" t="s">
        <v>3231</v>
      </c>
      <c r="I2934" s="7" t="str">
        <f>_xlfn.CONCAT(Paper_Reference[[#This Row],[Lvl]:[Paper Description]])</f>
        <v>2JD3IFOSSH4801FOSSIL D/G 48 X 961101110SW736-5000PRECISION WHITE 43 X 145</v>
      </c>
      <c r="J2934" s="7">
        <f>COUNTIF(Paper_Reference[Duplicate Key],Paper_Reference[[#This Row],[Duplicate Key]])</f>
        <v>1</v>
      </c>
    </row>
    <row r="2935" spans="1:10">
      <c r="A2935" s="7">
        <v>2</v>
      </c>
      <c r="B2935" s="8" t="s">
        <v>3884</v>
      </c>
      <c r="C2935" s="8" t="s">
        <v>3767</v>
      </c>
      <c r="D2935" s="7">
        <v>1</v>
      </c>
      <c r="E2935" s="7">
        <v>10</v>
      </c>
      <c r="F2935" s="7">
        <v>1</v>
      </c>
      <c r="G2935" s="8" t="s">
        <v>3826</v>
      </c>
      <c r="H2935" s="8" t="s">
        <v>3827</v>
      </c>
      <c r="I2935" s="7" t="str">
        <f>_xlfn.CONCAT(Paper_Reference[[#This Row],[Lvl]:[Paper Description]])</f>
        <v>2JD3IFOSSH5001FOSSIL D/G 60 X 1201101110SW736-6200PRECISION WHITE 62"</v>
      </c>
      <c r="J2935" s="7">
        <f>COUNTIF(Paper_Reference[Duplicate Key],Paper_Reference[[#This Row],[Duplicate Key]])</f>
        <v>1</v>
      </c>
    </row>
    <row r="2936" spans="1:10">
      <c r="A2936" s="7">
        <v>2</v>
      </c>
      <c r="B2936" s="8" t="s">
        <v>3884</v>
      </c>
      <c r="C2936" s="8" t="s">
        <v>3767</v>
      </c>
      <c r="D2936" s="7">
        <v>1</v>
      </c>
      <c r="E2936" s="7">
        <v>40</v>
      </c>
      <c r="F2936" s="7">
        <v>2</v>
      </c>
      <c r="G2936" s="8" t="s">
        <v>4371</v>
      </c>
      <c r="H2936" s="8" t="s">
        <v>4372</v>
      </c>
      <c r="I2936" s="7" t="str">
        <f>_xlfn.CONCAT(Paper_Reference[[#This Row],[Lvl]:[Paper Description]])</f>
        <v>2JD3IFOSSH5001FOSSIL D/G 60 X 1201402100DS064-6200BLACK</v>
      </c>
      <c r="J2936" s="7">
        <f>COUNTIF(Paper_Reference[Duplicate Key],Paper_Reference[[#This Row],[Duplicate Key]])</f>
        <v>1</v>
      </c>
    </row>
    <row r="2937" spans="1:10">
      <c r="A2937" s="7">
        <v>2</v>
      </c>
      <c r="B2937" s="8" t="s">
        <v>3885</v>
      </c>
      <c r="C2937" s="8" t="s">
        <v>3768</v>
      </c>
      <c r="D2937" s="7">
        <v>1</v>
      </c>
      <c r="E2937" s="7">
        <v>10</v>
      </c>
      <c r="F2937" s="7">
        <v>1</v>
      </c>
      <c r="G2937" s="8" t="s">
        <v>3826</v>
      </c>
      <c r="H2937" s="8" t="s">
        <v>3827</v>
      </c>
      <c r="I2937" s="7" t="str">
        <f>_xlfn.CONCAT(Paper_Reference[[#This Row],[Lvl]:[Paper Description]])</f>
        <v>2JD3IFOSSH5201FOSSIL D/G 60 X 1441101110SW736-6200PRECISION WHITE 62"</v>
      </c>
      <c r="J2937" s="7">
        <f>COUNTIF(Paper_Reference[Duplicate Key],Paper_Reference[[#This Row],[Duplicate Key]])</f>
        <v>1</v>
      </c>
    </row>
    <row r="2938" spans="1:10">
      <c r="A2938" s="7">
        <v>2</v>
      </c>
      <c r="B2938" s="8" t="s">
        <v>3885</v>
      </c>
      <c r="C2938" s="8" t="s">
        <v>3768</v>
      </c>
      <c r="D2938" s="7">
        <v>1</v>
      </c>
      <c r="E2938" s="7">
        <v>40</v>
      </c>
      <c r="F2938" s="7">
        <v>2</v>
      </c>
      <c r="G2938" s="8" t="s">
        <v>4371</v>
      </c>
      <c r="H2938" s="8" t="s">
        <v>4372</v>
      </c>
      <c r="I2938" s="7" t="str">
        <f>_xlfn.CONCAT(Paper_Reference[[#This Row],[Lvl]:[Paper Description]])</f>
        <v>2JD3IFOSSH5201FOSSIL D/G 60 X 1441402100DS064-6200BLACK</v>
      </c>
      <c r="J2938" s="7">
        <f>COUNTIF(Paper_Reference[Duplicate Key],Paper_Reference[[#This Row],[Duplicate Key]])</f>
        <v>1</v>
      </c>
    </row>
    <row r="2939" spans="1:10">
      <c r="A2939" s="7">
        <v>2</v>
      </c>
      <c r="B2939" s="8" t="s">
        <v>3886</v>
      </c>
      <c r="C2939" s="8" t="s">
        <v>3769</v>
      </c>
      <c r="D2939" s="7">
        <v>1</v>
      </c>
      <c r="E2939" s="7">
        <v>10</v>
      </c>
      <c r="F2939" s="7">
        <v>1</v>
      </c>
      <c r="G2939" s="8" t="s">
        <v>3826</v>
      </c>
      <c r="H2939" s="8" t="s">
        <v>3827</v>
      </c>
      <c r="I2939" s="7" t="str">
        <f>_xlfn.CONCAT(Paper_Reference[[#This Row],[Lvl]:[Paper Description]])</f>
        <v>2JD3IFOSSH5801FOSSIL D/G 60 X 961101110SW736-6200PRECISION WHITE 62"</v>
      </c>
      <c r="J2939" s="7">
        <f>COUNTIF(Paper_Reference[Duplicate Key],Paper_Reference[[#This Row],[Duplicate Key]])</f>
        <v>1</v>
      </c>
    </row>
    <row r="2940" spans="1:10">
      <c r="A2940" s="7">
        <v>2</v>
      </c>
      <c r="B2940" s="8" t="s">
        <v>3886</v>
      </c>
      <c r="C2940" s="8" t="s">
        <v>3769</v>
      </c>
      <c r="D2940" s="7">
        <v>1</v>
      </c>
      <c r="E2940" s="7">
        <v>40</v>
      </c>
      <c r="F2940" s="7">
        <v>2</v>
      </c>
      <c r="G2940" s="8" t="s">
        <v>4371</v>
      </c>
      <c r="H2940" s="8" t="s">
        <v>4372</v>
      </c>
      <c r="I2940" s="7" t="str">
        <f>_xlfn.CONCAT(Paper_Reference[[#This Row],[Lvl]:[Paper Description]])</f>
        <v>2JD3IFOSSH5801FOSSIL D/G 60 X 961402100DS064-6200BLACK</v>
      </c>
      <c r="J2940" s="7">
        <f>COUNTIF(Paper_Reference[Duplicate Key],Paper_Reference[[#This Row],[Duplicate Key]])</f>
        <v>1</v>
      </c>
    </row>
    <row r="2941" spans="1:10">
      <c r="A2941" s="7">
        <v>2</v>
      </c>
      <c r="B2941" s="8" t="s">
        <v>3390</v>
      </c>
      <c r="C2941" s="8" t="s">
        <v>3240</v>
      </c>
      <c r="D2941" s="7">
        <v>1</v>
      </c>
      <c r="E2941" s="7">
        <v>10</v>
      </c>
      <c r="F2941" s="7">
        <v>1</v>
      </c>
      <c r="G2941" s="8" t="s">
        <v>3230</v>
      </c>
      <c r="H2941" s="8" t="s">
        <v>3231</v>
      </c>
      <c r="I2941" s="7" t="str">
        <f>_xlfn.CONCAT(Paper_Reference[[#This Row],[Lvl]:[Paper Description]])</f>
        <v>2JD3IFOSSJ4801FOSSIL D/G 48 X 961101110SW736-5000PRECISION WHITE 43 X 145</v>
      </c>
      <c r="J2941" s="7">
        <f>COUNTIF(Paper_Reference[Duplicate Key],Paper_Reference[[#This Row],[Duplicate Key]])</f>
        <v>1</v>
      </c>
    </row>
    <row r="2942" spans="1:10">
      <c r="A2942" s="7">
        <v>2</v>
      </c>
      <c r="B2942" s="8" t="s">
        <v>3391</v>
      </c>
      <c r="C2942" s="8" t="s">
        <v>3240</v>
      </c>
      <c r="D2942" s="7">
        <v>1</v>
      </c>
      <c r="E2942" s="7">
        <v>10</v>
      </c>
      <c r="F2942" s="7">
        <v>1</v>
      </c>
      <c r="G2942" s="8" t="s">
        <v>3230</v>
      </c>
      <c r="H2942" s="8" t="s">
        <v>3231</v>
      </c>
      <c r="I2942" s="7" t="str">
        <f>_xlfn.CONCAT(Paper_Reference[[#This Row],[Lvl]:[Paper Description]])</f>
        <v>2JD3IFOSSPV4801FOSSIL D/G 48 X 961101110SW736-5000PRECISION WHITE 43 X 145</v>
      </c>
      <c r="J2942" s="7">
        <f>COUNTIF(Paper_Reference[Duplicate Key],Paper_Reference[[#This Row],[Duplicate Key]])</f>
        <v>1</v>
      </c>
    </row>
    <row r="2943" spans="1:10">
      <c r="A2943" s="7">
        <v>2</v>
      </c>
      <c r="B2943" s="8" t="s">
        <v>3887</v>
      </c>
      <c r="C2943" s="8" t="s">
        <v>3767</v>
      </c>
      <c r="D2943" s="7">
        <v>1</v>
      </c>
      <c r="E2943" s="7">
        <v>10</v>
      </c>
      <c r="F2943" s="7">
        <v>1</v>
      </c>
      <c r="G2943" s="8" t="s">
        <v>3826</v>
      </c>
      <c r="H2943" s="8" t="s">
        <v>3827</v>
      </c>
      <c r="I2943" s="7" t="str">
        <f>_xlfn.CONCAT(Paper_Reference[[#This Row],[Lvl]:[Paper Description]])</f>
        <v>2JD3IFOSSPV5001FOSSIL D/G 60 X 1201101110SW736-6200PRECISION WHITE 62"</v>
      </c>
      <c r="J2943" s="7">
        <f>COUNTIF(Paper_Reference[Duplicate Key],Paper_Reference[[#This Row],[Duplicate Key]])</f>
        <v>1</v>
      </c>
    </row>
    <row r="2944" spans="1:10">
      <c r="A2944" s="7">
        <v>2</v>
      </c>
      <c r="B2944" s="8" t="s">
        <v>3887</v>
      </c>
      <c r="C2944" s="8" t="s">
        <v>3767</v>
      </c>
      <c r="D2944" s="7">
        <v>1</v>
      </c>
      <c r="E2944" s="7">
        <v>40</v>
      </c>
      <c r="F2944" s="7">
        <v>2</v>
      </c>
      <c r="G2944" s="8" t="s">
        <v>4371</v>
      </c>
      <c r="H2944" s="8" t="s">
        <v>4372</v>
      </c>
      <c r="I2944" s="7" t="str">
        <f>_xlfn.CONCAT(Paper_Reference[[#This Row],[Lvl]:[Paper Description]])</f>
        <v>2JD3IFOSSPV5001FOSSIL D/G 60 X 1201402100DS064-6200BLACK</v>
      </c>
      <c r="J2944" s="7">
        <f>COUNTIF(Paper_Reference[Duplicate Key],Paper_Reference[[#This Row],[Duplicate Key]])</f>
        <v>1</v>
      </c>
    </row>
    <row r="2945" spans="1:10">
      <c r="A2945" s="7">
        <v>2</v>
      </c>
      <c r="B2945" s="8" t="s">
        <v>3888</v>
      </c>
      <c r="C2945" s="8" t="s">
        <v>3768</v>
      </c>
      <c r="D2945" s="7">
        <v>1</v>
      </c>
      <c r="E2945" s="7">
        <v>10</v>
      </c>
      <c r="F2945" s="7">
        <v>1</v>
      </c>
      <c r="G2945" s="8" t="s">
        <v>3826</v>
      </c>
      <c r="H2945" s="8" t="s">
        <v>3827</v>
      </c>
      <c r="I2945" s="7" t="str">
        <f>_xlfn.CONCAT(Paper_Reference[[#This Row],[Lvl]:[Paper Description]])</f>
        <v>2JD3IFOSSPV5201FOSSIL D/G 60 X 1441101110SW736-6200PRECISION WHITE 62"</v>
      </c>
      <c r="J2945" s="7">
        <f>COUNTIF(Paper_Reference[Duplicate Key],Paper_Reference[[#This Row],[Duplicate Key]])</f>
        <v>1</v>
      </c>
    </row>
    <row r="2946" spans="1:10">
      <c r="A2946" s="7">
        <v>2</v>
      </c>
      <c r="B2946" s="8" t="s">
        <v>3888</v>
      </c>
      <c r="C2946" s="8" t="s">
        <v>3768</v>
      </c>
      <c r="D2946" s="7">
        <v>1</v>
      </c>
      <c r="E2946" s="7">
        <v>40</v>
      </c>
      <c r="F2946" s="7">
        <v>2</v>
      </c>
      <c r="G2946" s="8" t="s">
        <v>4371</v>
      </c>
      <c r="H2946" s="8" t="s">
        <v>4372</v>
      </c>
      <c r="I2946" s="7" t="str">
        <f>_xlfn.CONCAT(Paper_Reference[[#This Row],[Lvl]:[Paper Description]])</f>
        <v>2JD3IFOSSPV5201FOSSIL D/G 60 X 1441402100DS064-6200BLACK</v>
      </c>
      <c r="J2946" s="7">
        <f>COUNTIF(Paper_Reference[Duplicate Key],Paper_Reference[[#This Row],[Duplicate Key]])</f>
        <v>1</v>
      </c>
    </row>
    <row r="2947" spans="1:10">
      <c r="A2947" s="7">
        <v>2</v>
      </c>
      <c r="B2947" s="8" t="s">
        <v>3393</v>
      </c>
      <c r="C2947" s="8" t="s">
        <v>3241</v>
      </c>
      <c r="D2947" s="7">
        <v>1</v>
      </c>
      <c r="E2947" s="7">
        <v>10</v>
      </c>
      <c r="F2947" s="7">
        <v>1</v>
      </c>
      <c r="G2947" s="8" t="s">
        <v>3230</v>
      </c>
      <c r="H2947" s="8" t="s">
        <v>3231</v>
      </c>
      <c r="I2947" s="7" t="str">
        <f>_xlfn.CONCAT(Paper_Reference[[#This Row],[Lvl]:[Paper Description]])</f>
        <v>2JD3IFOSSS400FOSSIL D/G 48 X 1201101110SW736-5000PRECISION WHITE 43 X 145</v>
      </c>
      <c r="J2947" s="7">
        <f>COUNTIF(Paper_Reference[Duplicate Key],Paper_Reference[[#This Row],[Duplicate Key]])</f>
        <v>1</v>
      </c>
    </row>
    <row r="2948" spans="1:10">
      <c r="A2948" s="7">
        <v>2</v>
      </c>
      <c r="B2948" s="8" t="s">
        <v>3392</v>
      </c>
      <c r="C2948" s="8" t="s">
        <v>3241</v>
      </c>
      <c r="D2948" s="7">
        <v>1</v>
      </c>
      <c r="E2948" s="7">
        <v>10</v>
      </c>
      <c r="F2948" s="7">
        <v>1</v>
      </c>
      <c r="G2948" s="8" t="s">
        <v>3230</v>
      </c>
      <c r="H2948" s="8" t="s">
        <v>3231</v>
      </c>
      <c r="I2948" s="7" t="str">
        <f>_xlfn.CONCAT(Paper_Reference[[#This Row],[Lvl]:[Paper Description]])</f>
        <v>2JD3IFOSSS4001FOSSIL D/G 48 X 1201101110SW736-5000PRECISION WHITE 43 X 145</v>
      </c>
      <c r="J2948" s="7">
        <f>COUNTIF(Paper_Reference[Duplicate Key],Paper_Reference[[#This Row],[Duplicate Key]])</f>
        <v>1</v>
      </c>
    </row>
    <row r="2949" spans="1:10">
      <c r="A2949" s="7">
        <v>2</v>
      </c>
      <c r="B2949" s="8" t="s">
        <v>3395</v>
      </c>
      <c r="C2949" s="8" t="s">
        <v>3239</v>
      </c>
      <c r="D2949" s="7">
        <v>1</v>
      </c>
      <c r="E2949" s="7">
        <v>10</v>
      </c>
      <c r="F2949" s="7">
        <v>1</v>
      </c>
      <c r="G2949" s="8" t="s">
        <v>3230</v>
      </c>
      <c r="H2949" s="8" t="s">
        <v>3231</v>
      </c>
      <c r="I2949" s="7" t="str">
        <f>_xlfn.CONCAT(Paper_Reference[[#This Row],[Lvl]:[Paper Description]])</f>
        <v>2JD3IFOSSS420FOSSIL D/G 48 X 1441101110SW736-5000PRECISION WHITE 43 X 145</v>
      </c>
      <c r="J2949" s="7">
        <f>COUNTIF(Paper_Reference[Duplicate Key],Paper_Reference[[#This Row],[Duplicate Key]])</f>
        <v>1</v>
      </c>
    </row>
    <row r="2950" spans="1:10">
      <c r="A2950" s="7">
        <v>2</v>
      </c>
      <c r="B2950" s="8" t="s">
        <v>3394</v>
      </c>
      <c r="C2950" s="8" t="s">
        <v>3239</v>
      </c>
      <c r="D2950" s="7">
        <v>1</v>
      </c>
      <c r="E2950" s="7">
        <v>10</v>
      </c>
      <c r="F2950" s="7">
        <v>1</v>
      </c>
      <c r="G2950" s="8" t="s">
        <v>3230</v>
      </c>
      <c r="H2950" s="8" t="s">
        <v>3231</v>
      </c>
      <c r="I2950" s="7" t="str">
        <f>_xlfn.CONCAT(Paper_Reference[[#This Row],[Lvl]:[Paper Description]])</f>
        <v>2JD3IFOSSS4201FOSSIL D/G 48 X 1441101110SW736-5000PRECISION WHITE 43 X 145</v>
      </c>
      <c r="J2950" s="7">
        <f>COUNTIF(Paper_Reference[Duplicate Key],Paper_Reference[[#This Row],[Duplicate Key]])</f>
        <v>1</v>
      </c>
    </row>
    <row r="2951" spans="1:10">
      <c r="A2951" s="7">
        <v>2</v>
      </c>
      <c r="B2951" s="8" t="s">
        <v>3397</v>
      </c>
      <c r="C2951" s="8" t="s">
        <v>3240</v>
      </c>
      <c r="D2951" s="7">
        <v>1</v>
      </c>
      <c r="E2951" s="7">
        <v>10</v>
      </c>
      <c r="F2951" s="7">
        <v>1</v>
      </c>
      <c r="G2951" s="8" t="s">
        <v>3230</v>
      </c>
      <c r="H2951" s="8" t="s">
        <v>3231</v>
      </c>
      <c r="I2951" s="7" t="str">
        <f>_xlfn.CONCAT(Paper_Reference[[#This Row],[Lvl]:[Paper Description]])</f>
        <v>2JD3IFOSSS480FOSSIL D/G 48 X 961101110SW736-5000PRECISION WHITE 43 X 145</v>
      </c>
      <c r="J2951" s="7">
        <f>COUNTIF(Paper_Reference[Duplicate Key],Paper_Reference[[#This Row],[Duplicate Key]])</f>
        <v>1</v>
      </c>
    </row>
    <row r="2952" spans="1:10">
      <c r="A2952" s="7">
        <v>2</v>
      </c>
      <c r="B2952" s="8" t="s">
        <v>3396</v>
      </c>
      <c r="C2952" s="8" t="s">
        <v>3240</v>
      </c>
      <c r="D2952" s="7">
        <v>1</v>
      </c>
      <c r="E2952" s="7">
        <v>10</v>
      </c>
      <c r="F2952" s="7">
        <v>1</v>
      </c>
      <c r="G2952" s="8" t="s">
        <v>3230</v>
      </c>
      <c r="H2952" s="8" t="s">
        <v>3231</v>
      </c>
      <c r="I2952" s="7" t="str">
        <f>_xlfn.CONCAT(Paper_Reference[[#This Row],[Lvl]:[Paper Description]])</f>
        <v>2JD3IFOSSS4801FOSSIL D/G 48 X 961101110SW736-5000PRECISION WHITE 43 X 145</v>
      </c>
      <c r="J2952" s="7">
        <f>COUNTIF(Paper_Reference[Duplicate Key],Paper_Reference[[#This Row],[Duplicate Key]])</f>
        <v>1</v>
      </c>
    </row>
    <row r="2953" spans="1:10">
      <c r="A2953" s="7">
        <v>2</v>
      </c>
      <c r="B2953" s="8" t="s">
        <v>3889</v>
      </c>
      <c r="C2953" s="8" t="s">
        <v>3767</v>
      </c>
      <c r="D2953" s="7">
        <v>1</v>
      </c>
      <c r="E2953" s="7">
        <v>10</v>
      </c>
      <c r="F2953" s="7">
        <v>1</v>
      </c>
      <c r="G2953" s="8" t="s">
        <v>3826</v>
      </c>
      <c r="H2953" s="8" t="s">
        <v>3827</v>
      </c>
      <c r="I2953" s="7" t="str">
        <f>_xlfn.CONCAT(Paper_Reference[[#This Row],[Lvl]:[Paper Description]])</f>
        <v>2JD3IFOSSS5001FOSSIL D/G 60 X 1201101110SW736-6200PRECISION WHITE 62"</v>
      </c>
      <c r="J2953" s="7">
        <f>COUNTIF(Paper_Reference[Duplicate Key],Paper_Reference[[#This Row],[Duplicate Key]])</f>
        <v>1</v>
      </c>
    </row>
    <row r="2954" spans="1:10">
      <c r="A2954" s="7">
        <v>2</v>
      </c>
      <c r="B2954" s="8" t="s">
        <v>3889</v>
      </c>
      <c r="C2954" s="8" t="s">
        <v>3767</v>
      </c>
      <c r="D2954" s="7">
        <v>1</v>
      </c>
      <c r="E2954" s="7">
        <v>40</v>
      </c>
      <c r="F2954" s="7">
        <v>2</v>
      </c>
      <c r="G2954" s="8" t="s">
        <v>4371</v>
      </c>
      <c r="H2954" s="8" t="s">
        <v>4372</v>
      </c>
      <c r="I2954" s="7" t="str">
        <f>_xlfn.CONCAT(Paper_Reference[[#This Row],[Lvl]:[Paper Description]])</f>
        <v>2JD3IFOSSS5001FOSSIL D/G 60 X 1201402100DS064-6200BLACK</v>
      </c>
      <c r="J2954" s="7">
        <f>COUNTIF(Paper_Reference[Duplicate Key],Paper_Reference[[#This Row],[Duplicate Key]])</f>
        <v>1</v>
      </c>
    </row>
    <row r="2955" spans="1:10">
      <c r="A2955" s="7">
        <v>2</v>
      </c>
      <c r="B2955" s="8" t="s">
        <v>3890</v>
      </c>
      <c r="C2955" s="8" t="s">
        <v>3768</v>
      </c>
      <c r="D2955" s="7">
        <v>1</v>
      </c>
      <c r="E2955" s="7">
        <v>10</v>
      </c>
      <c r="F2955" s="7">
        <v>1</v>
      </c>
      <c r="G2955" s="8" t="s">
        <v>3826</v>
      </c>
      <c r="H2955" s="8" t="s">
        <v>3827</v>
      </c>
      <c r="I2955" s="7" t="str">
        <f>_xlfn.CONCAT(Paper_Reference[[#This Row],[Lvl]:[Paper Description]])</f>
        <v>2JD3IFOSSS5201FOSSIL D/G 60 X 1441101110SW736-6200PRECISION WHITE 62"</v>
      </c>
      <c r="J2955" s="7">
        <f>COUNTIF(Paper_Reference[Duplicate Key],Paper_Reference[[#This Row],[Duplicate Key]])</f>
        <v>1</v>
      </c>
    </row>
    <row r="2956" spans="1:10">
      <c r="A2956" s="7">
        <v>2</v>
      </c>
      <c r="B2956" s="8" t="s">
        <v>3890</v>
      </c>
      <c r="C2956" s="8" t="s">
        <v>3768</v>
      </c>
      <c r="D2956" s="7">
        <v>1</v>
      </c>
      <c r="E2956" s="7">
        <v>40</v>
      </c>
      <c r="F2956" s="7">
        <v>2</v>
      </c>
      <c r="G2956" s="8" t="s">
        <v>4371</v>
      </c>
      <c r="H2956" s="8" t="s">
        <v>4372</v>
      </c>
      <c r="I2956" s="7" t="str">
        <f>_xlfn.CONCAT(Paper_Reference[[#This Row],[Lvl]:[Paper Description]])</f>
        <v>2JD3IFOSSS5201FOSSIL D/G 60 X 1441402100DS064-6200BLACK</v>
      </c>
      <c r="J2956" s="7">
        <f>COUNTIF(Paper_Reference[Duplicate Key],Paper_Reference[[#This Row],[Duplicate Key]])</f>
        <v>1</v>
      </c>
    </row>
    <row r="2957" spans="1:10">
      <c r="A2957" s="7">
        <v>2</v>
      </c>
      <c r="B2957" s="8" t="s">
        <v>3891</v>
      </c>
      <c r="C2957" s="8" t="s">
        <v>3769</v>
      </c>
      <c r="D2957" s="7">
        <v>1</v>
      </c>
      <c r="E2957" s="7">
        <v>10</v>
      </c>
      <c r="F2957" s="7">
        <v>1</v>
      </c>
      <c r="G2957" s="8" t="s">
        <v>3826</v>
      </c>
      <c r="H2957" s="8" t="s">
        <v>3827</v>
      </c>
      <c r="I2957" s="7" t="str">
        <f>_xlfn.CONCAT(Paper_Reference[[#This Row],[Lvl]:[Paper Description]])</f>
        <v>2JD3IFOSSS5801FOSSIL D/G 60 X 961101110SW736-6200PRECISION WHITE 62"</v>
      </c>
      <c r="J2957" s="7">
        <f>COUNTIF(Paper_Reference[Duplicate Key],Paper_Reference[[#This Row],[Duplicate Key]])</f>
        <v>1</v>
      </c>
    </row>
    <row r="2958" spans="1:10">
      <c r="A2958" s="7">
        <v>2</v>
      </c>
      <c r="B2958" s="8" t="s">
        <v>3891</v>
      </c>
      <c r="C2958" s="8" t="s">
        <v>3769</v>
      </c>
      <c r="D2958" s="7">
        <v>1</v>
      </c>
      <c r="E2958" s="7">
        <v>40</v>
      </c>
      <c r="F2958" s="7">
        <v>2</v>
      </c>
      <c r="G2958" s="8" t="s">
        <v>4371</v>
      </c>
      <c r="H2958" s="8" t="s">
        <v>4372</v>
      </c>
      <c r="I2958" s="7" t="str">
        <f>_xlfn.CONCAT(Paper_Reference[[#This Row],[Lvl]:[Paper Description]])</f>
        <v>2JD3IFOSSS5801FOSSIL D/G 60 X 961402100DS064-6200BLACK</v>
      </c>
      <c r="J2958" s="7">
        <f>COUNTIF(Paper_Reference[Duplicate Key],Paper_Reference[[#This Row],[Duplicate Key]])</f>
        <v>1</v>
      </c>
    </row>
    <row r="2959" spans="1:10">
      <c r="A2959" s="7">
        <v>2</v>
      </c>
      <c r="B2959" s="8" t="s">
        <v>7730</v>
      </c>
      <c r="C2959" s="8" t="s">
        <v>7013</v>
      </c>
      <c r="D2959" s="7">
        <v>1</v>
      </c>
      <c r="E2959" s="7">
        <v>10</v>
      </c>
      <c r="F2959" s="7">
        <v>1</v>
      </c>
      <c r="G2959" s="8" t="s">
        <v>6710</v>
      </c>
      <c r="H2959" s="8" t="s">
        <v>5691</v>
      </c>
      <c r="I2959" s="7" t="str">
        <f>_xlfn.CONCAT(Paper_Reference[[#This Row],[Lvl]:[Paper Description]])</f>
        <v>2JD3ISPE2D300SPECTRALITE BB D/G 36 X 1201101100DS009-5000FROSTY WHITE</v>
      </c>
      <c r="J2959" s="7">
        <f>COUNTIF(Paper_Reference[Duplicate Key],Paper_Reference[[#This Row],[Duplicate Key]])</f>
        <v>1</v>
      </c>
    </row>
    <row r="2960" spans="1:10">
      <c r="A2960" s="7">
        <v>2</v>
      </c>
      <c r="B2960" s="8" t="s">
        <v>7731</v>
      </c>
      <c r="C2960" s="8" t="s">
        <v>7006</v>
      </c>
      <c r="D2960" s="7">
        <v>1</v>
      </c>
      <c r="E2960" s="7">
        <v>10</v>
      </c>
      <c r="F2960" s="7">
        <v>1</v>
      </c>
      <c r="G2960" s="8" t="s">
        <v>6710</v>
      </c>
      <c r="H2960" s="8" t="s">
        <v>5691</v>
      </c>
      <c r="I2960" s="7" t="str">
        <f>_xlfn.CONCAT(Paper_Reference[[#This Row],[Lvl]:[Paper Description]])</f>
        <v>2JD3ISPE2D3801SPECTRALITE BB D/G 36 X 961101100DS009-5000FROSTY WHITE</v>
      </c>
      <c r="J2960" s="7">
        <f>COUNTIF(Paper_Reference[Duplicate Key],Paper_Reference[[#This Row],[Duplicate Key]])</f>
        <v>1</v>
      </c>
    </row>
    <row r="2961" spans="1:10">
      <c r="A2961" s="7">
        <v>2</v>
      </c>
      <c r="B2961" s="8" t="s">
        <v>7732</v>
      </c>
      <c r="C2961" s="8" t="s">
        <v>7007</v>
      </c>
      <c r="D2961" s="7">
        <v>1</v>
      </c>
      <c r="E2961" s="7">
        <v>10</v>
      </c>
      <c r="F2961" s="7">
        <v>1</v>
      </c>
      <c r="G2961" s="8" t="s">
        <v>6710</v>
      </c>
      <c r="H2961" s="8" t="s">
        <v>5691</v>
      </c>
      <c r="I2961" s="7" t="str">
        <f>_xlfn.CONCAT(Paper_Reference[[#This Row],[Lvl]:[Paper Description]])</f>
        <v>2JD3ISPE2D4001SPECTRALITE BB D/G 48 X 1201101100DS009-5000FROSTY WHITE</v>
      </c>
      <c r="J2961" s="7">
        <f>COUNTIF(Paper_Reference[Duplicate Key],Paper_Reference[[#This Row],[Duplicate Key]])</f>
        <v>1</v>
      </c>
    </row>
    <row r="2962" spans="1:10">
      <c r="A2962" s="7">
        <v>2</v>
      </c>
      <c r="B2962" s="8" t="s">
        <v>7733</v>
      </c>
      <c r="C2962" s="8" t="s">
        <v>7014</v>
      </c>
      <c r="D2962" s="7">
        <v>1</v>
      </c>
      <c r="E2962" s="7">
        <v>10</v>
      </c>
      <c r="F2962" s="7">
        <v>1</v>
      </c>
      <c r="G2962" s="8" t="s">
        <v>6710</v>
      </c>
      <c r="H2962" s="8" t="s">
        <v>5691</v>
      </c>
      <c r="I2962" s="7" t="str">
        <f>_xlfn.CONCAT(Paper_Reference[[#This Row],[Lvl]:[Paper Description]])</f>
        <v>2JD3ISPE2D4201SPECTRALITE BB D/G 48 X 1441101100DS009-5000FROSTY WHITE</v>
      </c>
      <c r="J2962" s="7">
        <f>COUNTIF(Paper_Reference[Duplicate Key],Paper_Reference[[#This Row],[Duplicate Key]])</f>
        <v>1</v>
      </c>
    </row>
    <row r="2963" spans="1:10">
      <c r="A2963" s="7">
        <v>2</v>
      </c>
      <c r="B2963" s="8" t="s">
        <v>7735</v>
      </c>
      <c r="C2963" s="8" t="s">
        <v>7008</v>
      </c>
      <c r="D2963" s="7">
        <v>1</v>
      </c>
      <c r="E2963" s="7">
        <v>10</v>
      </c>
      <c r="F2963" s="7">
        <v>1</v>
      </c>
      <c r="G2963" s="8" t="s">
        <v>6710</v>
      </c>
      <c r="H2963" s="8" t="s">
        <v>5691</v>
      </c>
      <c r="I2963" s="7" t="str">
        <f>_xlfn.CONCAT(Paper_Reference[[#This Row],[Lvl]:[Paper Description]])</f>
        <v>2JD3ISPE2D480SPECTRALITE BB D/G 48 X 961101100DS009-5000FROSTY WHITE</v>
      </c>
      <c r="J2963" s="7">
        <f>COUNTIF(Paper_Reference[Duplicate Key],Paper_Reference[[#This Row],[Duplicate Key]])</f>
        <v>1</v>
      </c>
    </row>
    <row r="2964" spans="1:10">
      <c r="A2964" s="7">
        <v>2</v>
      </c>
      <c r="B2964" s="8" t="s">
        <v>7734</v>
      </c>
      <c r="C2964" s="8" t="s">
        <v>7008</v>
      </c>
      <c r="D2964" s="7">
        <v>1</v>
      </c>
      <c r="E2964" s="7">
        <v>10</v>
      </c>
      <c r="F2964" s="7">
        <v>1</v>
      </c>
      <c r="G2964" s="8" t="s">
        <v>6710</v>
      </c>
      <c r="H2964" s="8" t="s">
        <v>5691</v>
      </c>
      <c r="I2964" s="7" t="str">
        <f>_xlfn.CONCAT(Paper_Reference[[#This Row],[Lvl]:[Paper Description]])</f>
        <v>2JD3ISPE2D4801SPECTRALITE BB D/G 48 X 961101100DS009-5000FROSTY WHITE</v>
      </c>
      <c r="J2964" s="7">
        <f>COUNTIF(Paper_Reference[Duplicate Key],Paper_Reference[[#This Row],[Duplicate Key]])</f>
        <v>1</v>
      </c>
    </row>
    <row r="2965" spans="1:10">
      <c r="A2965" s="7">
        <v>2</v>
      </c>
      <c r="B2965" s="8" t="s">
        <v>7736</v>
      </c>
      <c r="C2965" s="8" t="s">
        <v>7006</v>
      </c>
      <c r="D2965" s="7">
        <v>1</v>
      </c>
      <c r="E2965" s="7">
        <v>10</v>
      </c>
      <c r="F2965" s="7">
        <v>1</v>
      </c>
      <c r="G2965" s="8" t="s">
        <v>6710</v>
      </c>
      <c r="H2965" s="8" t="s">
        <v>5691</v>
      </c>
      <c r="I2965" s="7" t="str">
        <f>_xlfn.CONCAT(Paper_Reference[[#This Row],[Lvl]:[Paper Description]])</f>
        <v>2JD3ISPE2S3801SPECTRALITE BB D/G 36 X 961101100DS009-5000FROSTY WHITE</v>
      </c>
      <c r="J2965" s="7">
        <f>COUNTIF(Paper_Reference[Duplicate Key],Paper_Reference[[#This Row],[Duplicate Key]])</f>
        <v>1</v>
      </c>
    </row>
    <row r="2966" spans="1:10">
      <c r="A2966" s="7">
        <v>2</v>
      </c>
      <c r="B2966" s="8" t="s">
        <v>7737</v>
      </c>
      <c r="C2966" s="8" t="s">
        <v>7010</v>
      </c>
      <c r="D2966" s="7">
        <v>1</v>
      </c>
      <c r="E2966" s="7">
        <v>10</v>
      </c>
      <c r="F2966" s="7">
        <v>1</v>
      </c>
      <c r="G2966" s="8" t="s">
        <v>6710</v>
      </c>
      <c r="H2966" s="8" t="s">
        <v>5691</v>
      </c>
      <c r="I2966" s="7" t="str">
        <f>_xlfn.CONCAT(Paper_Reference[[#This Row],[Lvl]:[Paper Description]])</f>
        <v>2JD3IZONED4001IZONE D/G 48 X 1201101100DS009-5000FROSTY WHITE</v>
      </c>
      <c r="J2966" s="7">
        <f>COUNTIF(Paper_Reference[Duplicate Key],Paper_Reference[[#This Row],[Duplicate Key]])</f>
        <v>1</v>
      </c>
    </row>
    <row r="2967" spans="1:10">
      <c r="A2967" s="7">
        <v>2</v>
      </c>
      <c r="B2967" s="8" t="s">
        <v>7738</v>
      </c>
      <c r="C2967" s="8" t="s">
        <v>7012</v>
      </c>
      <c r="D2967" s="7">
        <v>1</v>
      </c>
      <c r="E2967" s="7">
        <v>10</v>
      </c>
      <c r="F2967" s="7">
        <v>1</v>
      </c>
      <c r="G2967" s="8" t="s">
        <v>6710</v>
      </c>
      <c r="H2967" s="8" t="s">
        <v>5691</v>
      </c>
      <c r="I2967" s="7" t="str">
        <f>_xlfn.CONCAT(Paper_Reference[[#This Row],[Lvl]:[Paper Description]])</f>
        <v>2JD3IZONED4801IZONE D/G 48 X 961101100DS009-5000FROSTY WHITE</v>
      </c>
      <c r="J2967" s="7">
        <f>COUNTIF(Paper_Reference[Duplicate Key],Paper_Reference[[#This Row],[Duplicate Key]])</f>
        <v>1</v>
      </c>
    </row>
    <row r="2968" spans="1:10">
      <c r="A2968" s="7">
        <v>2</v>
      </c>
      <c r="B2968" s="8" t="s">
        <v>5128</v>
      </c>
      <c r="C2968" s="8" t="s">
        <v>4496</v>
      </c>
      <c r="D2968" s="7">
        <v>1</v>
      </c>
      <c r="E2968" s="7">
        <v>10</v>
      </c>
      <c r="F2968" s="7">
        <v>1</v>
      </c>
      <c r="G2968" s="8" t="s">
        <v>5690</v>
      </c>
      <c r="H2968" s="8" t="s">
        <v>5691</v>
      </c>
      <c r="I2968" s="7" t="str">
        <f>_xlfn.CONCAT(Paper_Reference[[#This Row],[Lvl]:[Paper Description]])</f>
        <v>2JD3IZONED5001IZONE D/G 60 X 1201101100DS009-6200FROSTY WHITE</v>
      </c>
      <c r="J2968" s="7">
        <f>COUNTIF(Paper_Reference[Duplicate Key],Paper_Reference[[#This Row],[Duplicate Key]])</f>
        <v>1</v>
      </c>
    </row>
    <row r="2969" spans="1:10">
      <c r="A2969" s="7">
        <v>2</v>
      </c>
      <c r="B2969" s="8" t="s">
        <v>5128</v>
      </c>
      <c r="C2969" s="8" t="s">
        <v>4496</v>
      </c>
      <c r="D2969" s="7">
        <v>1</v>
      </c>
      <c r="E2969" s="7">
        <v>10</v>
      </c>
      <c r="F2969" s="7">
        <v>2</v>
      </c>
      <c r="G2969" s="8" t="s">
        <v>4371</v>
      </c>
      <c r="H2969" s="8" t="s">
        <v>4372</v>
      </c>
      <c r="I2969" s="7" t="str">
        <f>_xlfn.CONCAT(Paper_Reference[[#This Row],[Lvl]:[Paper Description]])</f>
        <v>2JD3IZONED5001IZONE D/G 60 X 1201102100DS064-6200BLACK</v>
      </c>
      <c r="J2969" s="7">
        <f>COUNTIF(Paper_Reference[Duplicate Key],Paper_Reference[[#This Row],[Duplicate Key]])</f>
        <v>1</v>
      </c>
    </row>
    <row r="2970" spans="1:10">
      <c r="A2970" s="7">
        <v>2</v>
      </c>
      <c r="B2970" s="8" t="s">
        <v>5129</v>
      </c>
      <c r="C2970" s="8" t="s">
        <v>3772</v>
      </c>
      <c r="D2970" s="7">
        <v>1</v>
      </c>
      <c r="E2970" s="7">
        <v>10</v>
      </c>
      <c r="F2970" s="7">
        <v>1</v>
      </c>
      <c r="G2970" s="8" t="s">
        <v>5690</v>
      </c>
      <c r="H2970" s="8" t="s">
        <v>5691</v>
      </c>
      <c r="I2970" s="7" t="str">
        <f>_xlfn.CONCAT(Paper_Reference[[#This Row],[Lvl]:[Paper Description]])</f>
        <v>2JD3IZONED5201IZONE D/G 60 X 1441101100DS009-6200FROSTY WHITE</v>
      </c>
      <c r="J2970" s="7">
        <f>COUNTIF(Paper_Reference[Duplicate Key],Paper_Reference[[#This Row],[Duplicate Key]])</f>
        <v>1</v>
      </c>
    </row>
    <row r="2971" spans="1:10">
      <c r="A2971" s="7">
        <v>2</v>
      </c>
      <c r="B2971" s="8" t="s">
        <v>5129</v>
      </c>
      <c r="C2971" s="8" t="s">
        <v>3772</v>
      </c>
      <c r="D2971" s="7">
        <v>1</v>
      </c>
      <c r="E2971" s="7">
        <v>10</v>
      </c>
      <c r="F2971" s="7">
        <v>2</v>
      </c>
      <c r="G2971" s="8" t="s">
        <v>4371</v>
      </c>
      <c r="H2971" s="8" t="s">
        <v>4372</v>
      </c>
      <c r="I2971" s="7" t="str">
        <f>_xlfn.CONCAT(Paper_Reference[[#This Row],[Lvl]:[Paper Description]])</f>
        <v>2JD3IZONED5201IZONE D/G 60 X 1441102100DS064-6200BLACK</v>
      </c>
      <c r="J2971" s="7">
        <f>COUNTIF(Paper_Reference[Duplicate Key],Paper_Reference[[#This Row],[Duplicate Key]])</f>
        <v>1</v>
      </c>
    </row>
    <row r="2972" spans="1:10">
      <c r="A2972" s="7">
        <v>2</v>
      </c>
      <c r="B2972" s="8" t="s">
        <v>5130</v>
      </c>
      <c r="C2972" s="8" t="s">
        <v>4497</v>
      </c>
      <c r="D2972" s="7">
        <v>1</v>
      </c>
      <c r="E2972" s="7">
        <v>10</v>
      </c>
      <c r="F2972" s="7">
        <v>1</v>
      </c>
      <c r="G2972" s="8" t="s">
        <v>5690</v>
      </c>
      <c r="H2972" s="8" t="s">
        <v>5691</v>
      </c>
      <c r="I2972" s="7" t="str">
        <f>_xlfn.CONCAT(Paper_Reference[[#This Row],[Lvl]:[Paper Description]])</f>
        <v>2JD3IZONED5801IZONE D/G 60 X 961101100DS009-6200FROSTY WHITE</v>
      </c>
      <c r="J2972" s="7">
        <f>COUNTIF(Paper_Reference[Duplicate Key],Paper_Reference[[#This Row],[Duplicate Key]])</f>
        <v>1</v>
      </c>
    </row>
    <row r="2973" spans="1:10">
      <c r="A2973" s="7">
        <v>2</v>
      </c>
      <c r="B2973" s="8" t="s">
        <v>5130</v>
      </c>
      <c r="C2973" s="8" t="s">
        <v>4497</v>
      </c>
      <c r="D2973" s="7">
        <v>1</v>
      </c>
      <c r="E2973" s="7">
        <v>10</v>
      </c>
      <c r="F2973" s="7">
        <v>2</v>
      </c>
      <c r="G2973" s="8" t="s">
        <v>4371</v>
      </c>
      <c r="H2973" s="8" t="s">
        <v>4372</v>
      </c>
      <c r="I2973" s="7" t="str">
        <f>_xlfn.CONCAT(Paper_Reference[[#This Row],[Lvl]:[Paper Description]])</f>
        <v>2JD3IZONED5801IZONE D/G 60 X 961102100DS064-6200BLACK</v>
      </c>
      <c r="J2973" s="7">
        <f>COUNTIF(Paper_Reference[Duplicate Key],Paper_Reference[[#This Row],[Duplicate Key]])</f>
        <v>1</v>
      </c>
    </row>
    <row r="2974" spans="1:10">
      <c r="A2974" s="7">
        <v>2</v>
      </c>
      <c r="B2974" s="8" t="s">
        <v>7739</v>
      </c>
      <c r="C2974" s="8" t="s">
        <v>7015</v>
      </c>
      <c r="D2974" s="7">
        <v>1</v>
      </c>
      <c r="E2974" s="7">
        <v>10</v>
      </c>
      <c r="F2974" s="7">
        <v>1</v>
      </c>
      <c r="G2974" s="8" t="s">
        <v>6710</v>
      </c>
      <c r="H2974" s="8" t="s">
        <v>5691</v>
      </c>
      <c r="I2974" s="7" t="str">
        <f>_xlfn.CONCAT(Paper_Reference[[#This Row],[Lvl]:[Paper Description]])</f>
        <v>2JD3R0903SD480GEORGIA DC SIGNS 48 X 961101100DS009-5000FROSTY WHITE</v>
      </c>
      <c r="J2974" s="7">
        <f>COUNTIF(Paper_Reference[Duplicate Key],Paper_Reference[[#This Row],[Duplicate Key]])</f>
        <v>1</v>
      </c>
    </row>
    <row r="2975" spans="1:10">
      <c r="A2975" s="7">
        <v>2</v>
      </c>
      <c r="B2975" s="8" t="s">
        <v>3398</v>
      </c>
      <c r="C2975" s="8" t="s">
        <v>3242</v>
      </c>
      <c r="D2975" s="7">
        <v>1</v>
      </c>
      <c r="E2975" s="7">
        <v>40</v>
      </c>
      <c r="F2975" s="7">
        <v>2</v>
      </c>
      <c r="G2975" s="8" t="s">
        <v>3230</v>
      </c>
      <c r="H2975" s="8" t="s">
        <v>3231</v>
      </c>
      <c r="I2975" s="7" t="str">
        <f>_xlfn.CONCAT(Paper_Reference[[#This Row],[Lvl]:[Paper Description]])</f>
        <v>2JD4IBENCSD480BENCHMARK D/G 48 X 961402110SW736-5000PRECISION WHITE 43 X 145</v>
      </c>
      <c r="J2975" s="7">
        <f>COUNTIF(Paper_Reference[Duplicate Key],Paper_Reference[[#This Row],[Duplicate Key]])</f>
        <v>1</v>
      </c>
    </row>
    <row r="2976" spans="1:10">
      <c r="A2976" s="7">
        <v>2</v>
      </c>
      <c r="B2976" s="8" t="s">
        <v>3399</v>
      </c>
      <c r="C2976" s="8" t="s">
        <v>3244</v>
      </c>
      <c r="D2976" s="7">
        <v>1</v>
      </c>
      <c r="E2976" s="7">
        <v>10</v>
      </c>
      <c r="F2976" s="7">
        <v>1</v>
      </c>
      <c r="G2976" s="8" t="s">
        <v>3230</v>
      </c>
      <c r="H2976" s="8" t="s">
        <v>3231</v>
      </c>
      <c r="I2976" s="7" t="str">
        <f>_xlfn.CONCAT(Paper_Reference[[#This Row],[Lvl]:[Paper Description]])</f>
        <v>2JD5IFOSCLS4801FOSSIL D/G (SB040 B) 48 X 961101110SW736-5000PRECISION WHITE 43 X 145</v>
      </c>
      <c r="J2976" s="7">
        <f>COUNTIF(Paper_Reference[Duplicate Key],Paper_Reference[[#This Row],[Duplicate Key]])</f>
        <v>1</v>
      </c>
    </row>
    <row r="2977" spans="1:10">
      <c r="A2977" s="7">
        <v>2</v>
      </c>
      <c r="B2977" s="8" t="s">
        <v>3400</v>
      </c>
      <c r="C2977" s="8" t="s">
        <v>3244</v>
      </c>
      <c r="D2977" s="7">
        <v>1</v>
      </c>
      <c r="E2977" s="7">
        <v>10</v>
      </c>
      <c r="F2977" s="7">
        <v>1</v>
      </c>
      <c r="G2977" s="8" t="s">
        <v>3230</v>
      </c>
      <c r="H2977" s="8" t="s">
        <v>3231</v>
      </c>
      <c r="I2977" s="7" t="str">
        <f>_xlfn.CONCAT(Paper_Reference[[#This Row],[Lvl]:[Paper Description]])</f>
        <v>2JD5IFOSCS4801FOSSIL D/G (SB040 B) 48 X 961101110SW736-5000PRECISION WHITE 43 X 145</v>
      </c>
      <c r="J2977" s="7">
        <f>COUNTIF(Paper_Reference[Duplicate Key],Paper_Reference[[#This Row],[Duplicate Key]])</f>
        <v>1</v>
      </c>
    </row>
    <row r="2978" spans="1:10">
      <c r="A2978" s="7">
        <v>2</v>
      </c>
      <c r="B2978" s="8" t="s">
        <v>3401</v>
      </c>
      <c r="C2978" s="8" t="s">
        <v>3240</v>
      </c>
      <c r="D2978" s="7">
        <v>1</v>
      </c>
      <c r="E2978" s="7">
        <v>10</v>
      </c>
      <c r="F2978" s="7">
        <v>1</v>
      </c>
      <c r="G2978" s="8" t="s">
        <v>3230</v>
      </c>
      <c r="H2978" s="8" t="s">
        <v>3231</v>
      </c>
      <c r="I2978" s="7" t="str">
        <f>_xlfn.CONCAT(Paper_Reference[[#This Row],[Lvl]:[Paper Description]])</f>
        <v>2JD5IFOSSCR4801FOSSIL D/G 48 X 961101110SW736-5000PRECISION WHITE 43 X 145</v>
      </c>
      <c r="J2978" s="7">
        <f>COUNTIF(Paper_Reference[Duplicate Key],Paper_Reference[[#This Row],[Duplicate Key]])</f>
        <v>1</v>
      </c>
    </row>
    <row r="2979" spans="1:10">
      <c r="A2979" s="7">
        <v>2</v>
      </c>
      <c r="B2979" s="8" t="s">
        <v>3402</v>
      </c>
      <c r="C2979" s="8" t="s">
        <v>3241</v>
      </c>
      <c r="D2979" s="7">
        <v>1</v>
      </c>
      <c r="E2979" s="7">
        <v>10</v>
      </c>
      <c r="F2979" s="7">
        <v>1</v>
      </c>
      <c r="G2979" s="8" t="s">
        <v>3230</v>
      </c>
      <c r="H2979" s="8" t="s">
        <v>3231</v>
      </c>
      <c r="I2979" s="7" t="str">
        <f>_xlfn.CONCAT(Paper_Reference[[#This Row],[Lvl]:[Paper Description]])</f>
        <v>2JD5IFOSSH4001FOSSIL D/G 48 X 1201101110SW736-5000PRECISION WHITE 43 X 145</v>
      </c>
      <c r="J2979" s="7">
        <f>COUNTIF(Paper_Reference[Duplicate Key],Paper_Reference[[#This Row],[Duplicate Key]])</f>
        <v>1</v>
      </c>
    </row>
    <row r="2980" spans="1:10">
      <c r="A2980" s="7">
        <v>2</v>
      </c>
      <c r="B2980" s="8" t="s">
        <v>3403</v>
      </c>
      <c r="C2980" s="8" t="s">
        <v>3239</v>
      </c>
      <c r="D2980" s="7">
        <v>1</v>
      </c>
      <c r="E2980" s="7">
        <v>10</v>
      </c>
      <c r="F2980" s="7">
        <v>1</v>
      </c>
      <c r="G2980" s="8" t="s">
        <v>3230</v>
      </c>
      <c r="H2980" s="8" t="s">
        <v>3231</v>
      </c>
      <c r="I2980" s="7" t="str">
        <f>_xlfn.CONCAT(Paper_Reference[[#This Row],[Lvl]:[Paper Description]])</f>
        <v>2JD5IFOSSH4201FOSSIL D/G 48 X 1441101110SW736-5000PRECISION WHITE 43 X 145</v>
      </c>
      <c r="J2980" s="7">
        <f>COUNTIF(Paper_Reference[Duplicate Key],Paper_Reference[[#This Row],[Duplicate Key]])</f>
        <v>1</v>
      </c>
    </row>
    <row r="2981" spans="1:10">
      <c r="A2981" s="7">
        <v>2</v>
      </c>
      <c r="B2981" s="8" t="s">
        <v>3404</v>
      </c>
      <c r="C2981" s="8" t="s">
        <v>3240</v>
      </c>
      <c r="D2981" s="7">
        <v>1</v>
      </c>
      <c r="E2981" s="7">
        <v>10</v>
      </c>
      <c r="F2981" s="7">
        <v>1</v>
      </c>
      <c r="G2981" s="8" t="s">
        <v>3230</v>
      </c>
      <c r="H2981" s="8" t="s">
        <v>3231</v>
      </c>
      <c r="I2981" s="7" t="str">
        <f>_xlfn.CONCAT(Paper_Reference[[#This Row],[Lvl]:[Paper Description]])</f>
        <v>2JD5IFOSSH4801FOSSIL D/G 48 X 961101110SW736-5000PRECISION WHITE 43 X 145</v>
      </c>
      <c r="J2981" s="7">
        <f>COUNTIF(Paper_Reference[Duplicate Key],Paper_Reference[[#This Row],[Duplicate Key]])</f>
        <v>1</v>
      </c>
    </row>
    <row r="2982" spans="1:10">
      <c r="A2982" s="7">
        <v>2</v>
      </c>
      <c r="B2982" s="8" t="s">
        <v>3892</v>
      </c>
      <c r="C2982" s="8" t="s">
        <v>3767</v>
      </c>
      <c r="D2982" s="7">
        <v>1</v>
      </c>
      <c r="E2982" s="7">
        <v>10</v>
      </c>
      <c r="F2982" s="7">
        <v>1</v>
      </c>
      <c r="G2982" s="8" t="s">
        <v>3826</v>
      </c>
      <c r="H2982" s="8" t="s">
        <v>3827</v>
      </c>
      <c r="I2982" s="7" t="str">
        <f>_xlfn.CONCAT(Paper_Reference[[#This Row],[Lvl]:[Paper Description]])</f>
        <v>2JD5IFOSSH5001FOSSIL D/G 60 X 1201101110SW736-6200PRECISION WHITE 62"</v>
      </c>
      <c r="J2982" s="7">
        <f>COUNTIF(Paper_Reference[Duplicate Key],Paper_Reference[[#This Row],[Duplicate Key]])</f>
        <v>1</v>
      </c>
    </row>
    <row r="2983" spans="1:10">
      <c r="A2983" s="7">
        <v>2</v>
      </c>
      <c r="B2983" s="8" t="s">
        <v>3892</v>
      </c>
      <c r="C2983" s="8" t="s">
        <v>3767</v>
      </c>
      <c r="D2983" s="7">
        <v>1</v>
      </c>
      <c r="E2983" s="7">
        <v>40</v>
      </c>
      <c r="F2983" s="7">
        <v>2</v>
      </c>
      <c r="G2983" s="8" t="s">
        <v>4371</v>
      </c>
      <c r="H2983" s="8" t="s">
        <v>4372</v>
      </c>
      <c r="I2983" s="7" t="str">
        <f>_xlfn.CONCAT(Paper_Reference[[#This Row],[Lvl]:[Paper Description]])</f>
        <v>2JD5IFOSSH5001FOSSIL D/G 60 X 1201402100DS064-6200BLACK</v>
      </c>
      <c r="J2983" s="7">
        <f>COUNTIF(Paper_Reference[Duplicate Key],Paper_Reference[[#This Row],[Duplicate Key]])</f>
        <v>1</v>
      </c>
    </row>
    <row r="2984" spans="1:10">
      <c r="A2984" s="7">
        <v>2</v>
      </c>
      <c r="B2984" s="8" t="s">
        <v>3893</v>
      </c>
      <c r="C2984" s="8" t="s">
        <v>3768</v>
      </c>
      <c r="D2984" s="7">
        <v>1</v>
      </c>
      <c r="E2984" s="7">
        <v>10</v>
      </c>
      <c r="F2984" s="7">
        <v>1</v>
      </c>
      <c r="G2984" s="8" t="s">
        <v>3826</v>
      </c>
      <c r="H2984" s="8" t="s">
        <v>3827</v>
      </c>
      <c r="I2984" s="7" t="str">
        <f>_xlfn.CONCAT(Paper_Reference[[#This Row],[Lvl]:[Paper Description]])</f>
        <v>2JD5IFOSSH5201FOSSIL D/G 60 X 1441101110SW736-6200PRECISION WHITE 62"</v>
      </c>
      <c r="J2984" s="7">
        <f>COUNTIF(Paper_Reference[Duplicate Key],Paper_Reference[[#This Row],[Duplicate Key]])</f>
        <v>1</v>
      </c>
    </row>
    <row r="2985" spans="1:10">
      <c r="A2985" s="7">
        <v>2</v>
      </c>
      <c r="B2985" s="8" t="s">
        <v>3893</v>
      </c>
      <c r="C2985" s="8" t="s">
        <v>3768</v>
      </c>
      <c r="D2985" s="7">
        <v>1</v>
      </c>
      <c r="E2985" s="7">
        <v>40</v>
      </c>
      <c r="F2985" s="7">
        <v>2</v>
      </c>
      <c r="G2985" s="8" t="s">
        <v>4371</v>
      </c>
      <c r="H2985" s="8" t="s">
        <v>4372</v>
      </c>
      <c r="I2985" s="7" t="str">
        <f>_xlfn.CONCAT(Paper_Reference[[#This Row],[Lvl]:[Paper Description]])</f>
        <v>2JD5IFOSSH5201FOSSIL D/G 60 X 1441402100DS064-6200BLACK</v>
      </c>
      <c r="J2985" s="7">
        <f>COUNTIF(Paper_Reference[Duplicate Key],Paper_Reference[[#This Row],[Duplicate Key]])</f>
        <v>1</v>
      </c>
    </row>
    <row r="2986" spans="1:10">
      <c r="A2986" s="7">
        <v>2</v>
      </c>
      <c r="B2986" s="8" t="s">
        <v>3894</v>
      </c>
      <c r="C2986" s="8" t="s">
        <v>3769</v>
      </c>
      <c r="D2986" s="7">
        <v>1</v>
      </c>
      <c r="E2986" s="7">
        <v>10</v>
      </c>
      <c r="F2986" s="7">
        <v>1</v>
      </c>
      <c r="G2986" s="8" t="s">
        <v>3826</v>
      </c>
      <c r="H2986" s="8" t="s">
        <v>3827</v>
      </c>
      <c r="I2986" s="7" t="str">
        <f>_xlfn.CONCAT(Paper_Reference[[#This Row],[Lvl]:[Paper Description]])</f>
        <v>2JD5IFOSSH5801FOSSIL D/G 60 X 961101110SW736-6200PRECISION WHITE 62"</v>
      </c>
      <c r="J2986" s="7">
        <f>COUNTIF(Paper_Reference[Duplicate Key],Paper_Reference[[#This Row],[Duplicate Key]])</f>
        <v>1</v>
      </c>
    </row>
    <row r="2987" spans="1:10">
      <c r="A2987" s="7">
        <v>2</v>
      </c>
      <c r="B2987" s="8" t="s">
        <v>3894</v>
      </c>
      <c r="C2987" s="8" t="s">
        <v>3769</v>
      </c>
      <c r="D2987" s="7">
        <v>1</v>
      </c>
      <c r="E2987" s="7">
        <v>40</v>
      </c>
      <c r="F2987" s="7">
        <v>2</v>
      </c>
      <c r="G2987" s="8" t="s">
        <v>4371</v>
      </c>
      <c r="H2987" s="8" t="s">
        <v>4372</v>
      </c>
      <c r="I2987" s="7" t="str">
        <f>_xlfn.CONCAT(Paper_Reference[[#This Row],[Lvl]:[Paper Description]])</f>
        <v>2JD5IFOSSH5801FOSSIL D/G 60 X 961402100DS064-6200BLACK</v>
      </c>
      <c r="J2987" s="7">
        <f>COUNTIF(Paper_Reference[Duplicate Key],Paper_Reference[[#This Row],[Duplicate Key]])</f>
        <v>1</v>
      </c>
    </row>
    <row r="2988" spans="1:10">
      <c r="A2988" s="7">
        <v>2</v>
      </c>
      <c r="B2988" s="8" t="s">
        <v>3405</v>
      </c>
      <c r="C2988" s="8" t="s">
        <v>3241</v>
      </c>
      <c r="D2988" s="7">
        <v>1</v>
      </c>
      <c r="E2988" s="7">
        <v>10</v>
      </c>
      <c r="F2988" s="7">
        <v>1</v>
      </c>
      <c r="G2988" s="8" t="s">
        <v>3230</v>
      </c>
      <c r="H2988" s="8" t="s">
        <v>3231</v>
      </c>
      <c r="I2988" s="7" t="str">
        <f>_xlfn.CONCAT(Paper_Reference[[#This Row],[Lvl]:[Paper Description]])</f>
        <v>2JD5IFOSSJ4001FOSSIL D/G 48 X 1201101110SW736-5000PRECISION WHITE 43 X 145</v>
      </c>
      <c r="J2988" s="7">
        <f>COUNTIF(Paper_Reference[Duplicate Key],Paper_Reference[[#This Row],[Duplicate Key]])</f>
        <v>1</v>
      </c>
    </row>
    <row r="2989" spans="1:10">
      <c r="A2989" s="7">
        <v>2</v>
      </c>
      <c r="B2989" s="8" t="s">
        <v>3406</v>
      </c>
      <c r="C2989" s="8" t="s">
        <v>3239</v>
      </c>
      <c r="D2989" s="7">
        <v>1</v>
      </c>
      <c r="E2989" s="7">
        <v>10</v>
      </c>
      <c r="F2989" s="7">
        <v>1</v>
      </c>
      <c r="G2989" s="8" t="s">
        <v>3230</v>
      </c>
      <c r="H2989" s="8" t="s">
        <v>3231</v>
      </c>
      <c r="I2989" s="7" t="str">
        <f>_xlfn.CONCAT(Paper_Reference[[#This Row],[Lvl]:[Paper Description]])</f>
        <v>2JD5IFOSSJ4201FOSSIL D/G 48 X 1441101110SW736-5000PRECISION WHITE 43 X 145</v>
      </c>
      <c r="J2989" s="7">
        <f>COUNTIF(Paper_Reference[Duplicate Key],Paper_Reference[[#This Row],[Duplicate Key]])</f>
        <v>1</v>
      </c>
    </row>
    <row r="2990" spans="1:10">
      <c r="A2990" s="7">
        <v>2</v>
      </c>
      <c r="B2990" s="8" t="s">
        <v>3407</v>
      </c>
      <c r="C2990" s="8" t="s">
        <v>3240</v>
      </c>
      <c r="D2990" s="7">
        <v>1</v>
      </c>
      <c r="E2990" s="7">
        <v>10</v>
      </c>
      <c r="F2990" s="7">
        <v>1</v>
      </c>
      <c r="G2990" s="8" t="s">
        <v>3230</v>
      </c>
      <c r="H2990" s="8" t="s">
        <v>3231</v>
      </c>
      <c r="I2990" s="7" t="str">
        <f>_xlfn.CONCAT(Paper_Reference[[#This Row],[Lvl]:[Paper Description]])</f>
        <v>2JD5IFOSSJ4801FOSSIL D/G 48 X 961101110SW736-5000PRECISION WHITE 43 X 145</v>
      </c>
      <c r="J2990" s="7">
        <f>COUNTIF(Paper_Reference[Duplicate Key],Paper_Reference[[#This Row],[Duplicate Key]])</f>
        <v>1</v>
      </c>
    </row>
    <row r="2991" spans="1:10">
      <c r="A2991" s="7">
        <v>2</v>
      </c>
      <c r="B2991" s="8" t="s">
        <v>3895</v>
      </c>
      <c r="C2991" s="8" t="s">
        <v>3768</v>
      </c>
      <c r="D2991" s="7">
        <v>1</v>
      </c>
      <c r="E2991" s="7">
        <v>10</v>
      </c>
      <c r="F2991" s="7">
        <v>1</v>
      </c>
      <c r="G2991" s="8" t="s">
        <v>3826</v>
      </c>
      <c r="H2991" s="8" t="s">
        <v>3827</v>
      </c>
      <c r="I2991" s="7" t="str">
        <f>_xlfn.CONCAT(Paper_Reference[[#This Row],[Lvl]:[Paper Description]])</f>
        <v>2JD5IFOSSJ5201FOSSIL D/G 60 X 1441101110SW736-6200PRECISION WHITE 62"</v>
      </c>
      <c r="J2991" s="7">
        <f>COUNTIF(Paper_Reference[Duplicate Key],Paper_Reference[[#This Row],[Duplicate Key]])</f>
        <v>1</v>
      </c>
    </row>
    <row r="2992" spans="1:10">
      <c r="A2992" s="7">
        <v>2</v>
      </c>
      <c r="B2992" s="8" t="s">
        <v>3895</v>
      </c>
      <c r="C2992" s="8" t="s">
        <v>3768</v>
      </c>
      <c r="D2992" s="7">
        <v>1</v>
      </c>
      <c r="E2992" s="7">
        <v>40</v>
      </c>
      <c r="F2992" s="7">
        <v>2</v>
      </c>
      <c r="G2992" s="8" t="s">
        <v>4371</v>
      </c>
      <c r="H2992" s="8" t="s">
        <v>4372</v>
      </c>
      <c r="I2992" s="7" t="str">
        <f>_xlfn.CONCAT(Paper_Reference[[#This Row],[Lvl]:[Paper Description]])</f>
        <v>2JD5IFOSSJ5201FOSSIL D/G 60 X 1441402100DS064-6200BLACK</v>
      </c>
      <c r="J2992" s="7">
        <f>COUNTIF(Paper_Reference[Duplicate Key],Paper_Reference[[#This Row],[Duplicate Key]])</f>
        <v>1</v>
      </c>
    </row>
    <row r="2993" spans="1:10">
      <c r="A2993" s="7">
        <v>2</v>
      </c>
      <c r="B2993" s="8" t="s">
        <v>3408</v>
      </c>
      <c r="C2993" s="8" t="s">
        <v>3240</v>
      </c>
      <c r="D2993" s="7">
        <v>1</v>
      </c>
      <c r="E2993" s="7">
        <v>10</v>
      </c>
      <c r="F2993" s="7">
        <v>1</v>
      </c>
      <c r="G2993" s="8" t="s">
        <v>3230</v>
      </c>
      <c r="H2993" s="8" t="s">
        <v>3231</v>
      </c>
      <c r="I2993" s="7" t="str">
        <f>_xlfn.CONCAT(Paper_Reference[[#This Row],[Lvl]:[Paper Description]])</f>
        <v>2JD5IFOSSLS4801FOSSIL D/G 48 X 961101110SW736-5000PRECISION WHITE 43 X 145</v>
      </c>
      <c r="J2993" s="7">
        <f>COUNTIF(Paper_Reference[Duplicate Key],Paper_Reference[[#This Row],[Duplicate Key]])</f>
        <v>1</v>
      </c>
    </row>
    <row r="2994" spans="1:10">
      <c r="A2994" s="7">
        <v>2</v>
      </c>
      <c r="B2994" s="8" t="s">
        <v>3409</v>
      </c>
      <c r="C2994" s="8" t="s">
        <v>3241</v>
      </c>
      <c r="D2994" s="7">
        <v>1</v>
      </c>
      <c r="E2994" s="7">
        <v>10</v>
      </c>
      <c r="F2994" s="7">
        <v>1</v>
      </c>
      <c r="G2994" s="8" t="s">
        <v>3230</v>
      </c>
      <c r="H2994" s="8" t="s">
        <v>3231</v>
      </c>
      <c r="I2994" s="7" t="str">
        <f>_xlfn.CONCAT(Paper_Reference[[#This Row],[Lvl]:[Paper Description]])</f>
        <v>2JD5IFOSSPV4001FOSSIL D/G 48 X 1201101110SW736-5000PRECISION WHITE 43 X 145</v>
      </c>
      <c r="J2994" s="7">
        <f>COUNTIF(Paper_Reference[Duplicate Key],Paper_Reference[[#This Row],[Duplicate Key]])</f>
        <v>1</v>
      </c>
    </row>
    <row r="2995" spans="1:10">
      <c r="A2995" s="7">
        <v>2</v>
      </c>
      <c r="B2995" s="8" t="s">
        <v>3410</v>
      </c>
      <c r="C2995" s="8" t="s">
        <v>3240</v>
      </c>
      <c r="D2995" s="7">
        <v>1</v>
      </c>
      <c r="E2995" s="7">
        <v>10</v>
      </c>
      <c r="F2995" s="7">
        <v>1</v>
      </c>
      <c r="G2995" s="8" t="s">
        <v>3230</v>
      </c>
      <c r="H2995" s="8" t="s">
        <v>3231</v>
      </c>
      <c r="I2995" s="7" t="str">
        <f>_xlfn.CONCAT(Paper_Reference[[#This Row],[Lvl]:[Paper Description]])</f>
        <v>2JD5IFOSSPV4801FOSSIL D/G 48 X 961101110SW736-5000PRECISION WHITE 43 X 145</v>
      </c>
      <c r="J2995" s="7">
        <f>COUNTIF(Paper_Reference[Duplicate Key],Paper_Reference[[#This Row],[Duplicate Key]])</f>
        <v>1</v>
      </c>
    </row>
    <row r="2996" spans="1:10">
      <c r="A2996" s="7">
        <v>2</v>
      </c>
      <c r="B2996" s="8" t="s">
        <v>3896</v>
      </c>
      <c r="C2996" s="8" t="s">
        <v>3768</v>
      </c>
      <c r="D2996" s="7">
        <v>1</v>
      </c>
      <c r="E2996" s="7">
        <v>10</v>
      </c>
      <c r="F2996" s="7">
        <v>1</v>
      </c>
      <c r="G2996" s="8" t="s">
        <v>3826</v>
      </c>
      <c r="H2996" s="8" t="s">
        <v>3827</v>
      </c>
      <c r="I2996" s="7" t="str">
        <f>_xlfn.CONCAT(Paper_Reference[[#This Row],[Lvl]:[Paper Description]])</f>
        <v>2JD5IFOSSPV5201FOSSIL D/G 60 X 1441101110SW736-6200PRECISION WHITE 62"</v>
      </c>
      <c r="J2996" s="7">
        <f>COUNTIF(Paper_Reference[Duplicate Key],Paper_Reference[[#This Row],[Duplicate Key]])</f>
        <v>1</v>
      </c>
    </row>
    <row r="2997" spans="1:10">
      <c r="A2997" s="7">
        <v>2</v>
      </c>
      <c r="B2997" s="8" t="s">
        <v>3896</v>
      </c>
      <c r="C2997" s="8" t="s">
        <v>3768</v>
      </c>
      <c r="D2997" s="7">
        <v>1</v>
      </c>
      <c r="E2997" s="7">
        <v>40</v>
      </c>
      <c r="F2997" s="7">
        <v>2</v>
      </c>
      <c r="G2997" s="8" t="s">
        <v>4371</v>
      </c>
      <c r="H2997" s="8" t="s">
        <v>4372</v>
      </c>
      <c r="I2997" s="7" t="str">
        <f>_xlfn.CONCAT(Paper_Reference[[#This Row],[Lvl]:[Paper Description]])</f>
        <v>2JD5IFOSSPV5201FOSSIL D/G 60 X 1441402100DS064-6200BLACK</v>
      </c>
      <c r="J2997" s="7">
        <f>COUNTIF(Paper_Reference[Duplicate Key],Paper_Reference[[#This Row],[Duplicate Key]])</f>
        <v>1</v>
      </c>
    </row>
    <row r="2998" spans="1:10">
      <c r="A2998" s="7">
        <v>2</v>
      </c>
      <c r="B2998" s="8" t="s">
        <v>3897</v>
      </c>
      <c r="C2998" s="8" t="s">
        <v>3769</v>
      </c>
      <c r="D2998" s="7">
        <v>1</v>
      </c>
      <c r="E2998" s="7">
        <v>10</v>
      </c>
      <c r="F2998" s="7">
        <v>1</v>
      </c>
      <c r="G2998" s="8" t="s">
        <v>3826</v>
      </c>
      <c r="H2998" s="8" t="s">
        <v>3827</v>
      </c>
      <c r="I2998" s="7" t="str">
        <f>_xlfn.CONCAT(Paper_Reference[[#This Row],[Lvl]:[Paper Description]])</f>
        <v>2JD5IFOSSPV5801FOSSIL D/G 60 X 961101110SW736-6200PRECISION WHITE 62"</v>
      </c>
      <c r="J2998" s="7">
        <f>COUNTIF(Paper_Reference[Duplicate Key],Paper_Reference[[#This Row],[Duplicate Key]])</f>
        <v>1</v>
      </c>
    </row>
    <row r="2999" spans="1:10">
      <c r="A2999" s="7">
        <v>2</v>
      </c>
      <c r="B2999" s="8" t="s">
        <v>3897</v>
      </c>
      <c r="C2999" s="8" t="s">
        <v>3769</v>
      </c>
      <c r="D2999" s="7">
        <v>1</v>
      </c>
      <c r="E2999" s="7">
        <v>40</v>
      </c>
      <c r="F2999" s="7">
        <v>2</v>
      </c>
      <c r="G2999" s="8" t="s">
        <v>4371</v>
      </c>
      <c r="H2999" s="8" t="s">
        <v>4372</v>
      </c>
      <c r="I2999" s="7" t="str">
        <f>_xlfn.CONCAT(Paper_Reference[[#This Row],[Lvl]:[Paper Description]])</f>
        <v>2JD5IFOSSPV5801FOSSIL D/G 60 X 961402100DS064-6200BLACK</v>
      </c>
      <c r="J2999" s="7">
        <f>COUNTIF(Paper_Reference[Duplicate Key],Paper_Reference[[#This Row],[Duplicate Key]])</f>
        <v>1</v>
      </c>
    </row>
    <row r="3000" spans="1:10">
      <c r="A3000" s="7">
        <v>2</v>
      </c>
      <c r="B3000" s="8" t="s">
        <v>3412</v>
      </c>
      <c r="C3000" s="8" t="s">
        <v>3241</v>
      </c>
      <c r="D3000" s="7">
        <v>1</v>
      </c>
      <c r="E3000" s="7">
        <v>10</v>
      </c>
      <c r="F3000" s="7">
        <v>1</v>
      </c>
      <c r="G3000" s="8" t="s">
        <v>3230</v>
      </c>
      <c r="H3000" s="8" t="s">
        <v>3231</v>
      </c>
      <c r="I3000" s="7" t="str">
        <f>_xlfn.CONCAT(Paper_Reference[[#This Row],[Lvl]:[Paper Description]])</f>
        <v>2JD5IFOSSS400FOSSIL D/G 48 X 1201101110SW736-5000PRECISION WHITE 43 X 145</v>
      </c>
      <c r="J3000" s="7">
        <f>COUNTIF(Paper_Reference[Duplicate Key],Paper_Reference[[#This Row],[Duplicate Key]])</f>
        <v>1</v>
      </c>
    </row>
    <row r="3001" spans="1:10">
      <c r="A3001" s="7">
        <v>2</v>
      </c>
      <c r="B3001" s="8" t="s">
        <v>3411</v>
      </c>
      <c r="C3001" s="8" t="s">
        <v>3241</v>
      </c>
      <c r="D3001" s="7">
        <v>1</v>
      </c>
      <c r="E3001" s="7">
        <v>10</v>
      </c>
      <c r="F3001" s="7">
        <v>1</v>
      </c>
      <c r="G3001" s="8" t="s">
        <v>3230</v>
      </c>
      <c r="H3001" s="8" t="s">
        <v>3231</v>
      </c>
      <c r="I3001" s="7" t="str">
        <f>_xlfn.CONCAT(Paper_Reference[[#This Row],[Lvl]:[Paper Description]])</f>
        <v>2JD5IFOSSS4001FOSSIL D/G 48 X 1201101110SW736-5000PRECISION WHITE 43 X 145</v>
      </c>
      <c r="J3001" s="7">
        <f>COUNTIF(Paper_Reference[Duplicate Key],Paper_Reference[[#This Row],[Duplicate Key]])</f>
        <v>1</v>
      </c>
    </row>
    <row r="3002" spans="1:10">
      <c r="A3002" s="7">
        <v>2</v>
      </c>
      <c r="B3002" s="8" t="s">
        <v>3414</v>
      </c>
      <c r="C3002" s="8" t="s">
        <v>3239</v>
      </c>
      <c r="D3002" s="7">
        <v>1</v>
      </c>
      <c r="E3002" s="7">
        <v>10</v>
      </c>
      <c r="F3002" s="7">
        <v>1</v>
      </c>
      <c r="G3002" s="8" t="s">
        <v>3230</v>
      </c>
      <c r="H3002" s="8" t="s">
        <v>3231</v>
      </c>
      <c r="I3002" s="7" t="str">
        <f>_xlfn.CONCAT(Paper_Reference[[#This Row],[Lvl]:[Paper Description]])</f>
        <v>2JD5IFOSSS420FOSSIL D/G 48 X 1441101110SW736-5000PRECISION WHITE 43 X 145</v>
      </c>
      <c r="J3002" s="7">
        <f>COUNTIF(Paper_Reference[Duplicate Key],Paper_Reference[[#This Row],[Duplicate Key]])</f>
        <v>1</v>
      </c>
    </row>
    <row r="3003" spans="1:10">
      <c r="A3003" s="7">
        <v>2</v>
      </c>
      <c r="B3003" s="8" t="s">
        <v>3413</v>
      </c>
      <c r="C3003" s="8" t="s">
        <v>3239</v>
      </c>
      <c r="D3003" s="7">
        <v>1</v>
      </c>
      <c r="E3003" s="7">
        <v>10</v>
      </c>
      <c r="F3003" s="7">
        <v>1</v>
      </c>
      <c r="G3003" s="8" t="s">
        <v>3230</v>
      </c>
      <c r="H3003" s="8" t="s">
        <v>3231</v>
      </c>
      <c r="I3003" s="7" t="str">
        <f>_xlfn.CONCAT(Paper_Reference[[#This Row],[Lvl]:[Paper Description]])</f>
        <v>2JD5IFOSSS4201FOSSIL D/G 48 X 1441101110SW736-5000PRECISION WHITE 43 X 145</v>
      </c>
      <c r="J3003" s="7">
        <f>COUNTIF(Paper_Reference[Duplicate Key],Paper_Reference[[#This Row],[Duplicate Key]])</f>
        <v>1</v>
      </c>
    </row>
    <row r="3004" spans="1:10">
      <c r="A3004" s="7">
        <v>2</v>
      </c>
      <c r="B3004" s="8" t="s">
        <v>3416</v>
      </c>
      <c r="C3004" s="8" t="s">
        <v>3240</v>
      </c>
      <c r="D3004" s="7">
        <v>1</v>
      </c>
      <c r="E3004" s="7">
        <v>10</v>
      </c>
      <c r="F3004" s="7">
        <v>1</v>
      </c>
      <c r="G3004" s="8" t="s">
        <v>3230</v>
      </c>
      <c r="H3004" s="8" t="s">
        <v>3231</v>
      </c>
      <c r="I3004" s="7" t="str">
        <f>_xlfn.CONCAT(Paper_Reference[[#This Row],[Lvl]:[Paper Description]])</f>
        <v>2JD5IFOSSS480FOSSIL D/G 48 X 961101110SW736-5000PRECISION WHITE 43 X 145</v>
      </c>
      <c r="J3004" s="7">
        <f>COUNTIF(Paper_Reference[Duplicate Key],Paper_Reference[[#This Row],[Duplicate Key]])</f>
        <v>1</v>
      </c>
    </row>
    <row r="3005" spans="1:10">
      <c r="A3005" s="7">
        <v>2</v>
      </c>
      <c r="B3005" s="8" t="s">
        <v>3415</v>
      </c>
      <c r="C3005" s="8" t="s">
        <v>3240</v>
      </c>
      <c r="D3005" s="7">
        <v>1</v>
      </c>
      <c r="E3005" s="7">
        <v>10</v>
      </c>
      <c r="F3005" s="7">
        <v>1</v>
      </c>
      <c r="G3005" s="8" t="s">
        <v>3230</v>
      </c>
      <c r="H3005" s="8" t="s">
        <v>3231</v>
      </c>
      <c r="I3005" s="7" t="str">
        <f>_xlfn.CONCAT(Paper_Reference[[#This Row],[Lvl]:[Paper Description]])</f>
        <v>2JD5IFOSSS4801FOSSIL D/G 48 X 961101110SW736-5000PRECISION WHITE 43 X 145</v>
      </c>
      <c r="J3005" s="7">
        <f>COUNTIF(Paper_Reference[Duplicate Key],Paper_Reference[[#This Row],[Duplicate Key]])</f>
        <v>1</v>
      </c>
    </row>
    <row r="3006" spans="1:10">
      <c r="A3006" s="7">
        <v>2</v>
      </c>
      <c r="B3006" s="8" t="s">
        <v>3898</v>
      </c>
      <c r="C3006" s="8" t="s">
        <v>3767</v>
      </c>
      <c r="D3006" s="7">
        <v>1</v>
      </c>
      <c r="E3006" s="7">
        <v>10</v>
      </c>
      <c r="F3006" s="7">
        <v>1</v>
      </c>
      <c r="G3006" s="8" t="s">
        <v>3826</v>
      </c>
      <c r="H3006" s="8" t="s">
        <v>3827</v>
      </c>
      <c r="I3006" s="7" t="str">
        <f>_xlfn.CONCAT(Paper_Reference[[#This Row],[Lvl]:[Paper Description]])</f>
        <v>2JD5IFOSSS5001FOSSIL D/G 60 X 1201101110SW736-6200PRECISION WHITE 62"</v>
      </c>
      <c r="J3006" s="7">
        <f>COUNTIF(Paper_Reference[Duplicate Key],Paper_Reference[[#This Row],[Duplicate Key]])</f>
        <v>1</v>
      </c>
    </row>
    <row r="3007" spans="1:10">
      <c r="A3007" s="7">
        <v>2</v>
      </c>
      <c r="B3007" s="8" t="s">
        <v>3898</v>
      </c>
      <c r="C3007" s="8" t="s">
        <v>3767</v>
      </c>
      <c r="D3007" s="7">
        <v>1</v>
      </c>
      <c r="E3007" s="7">
        <v>40</v>
      </c>
      <c r="F3007" s="7">
        <v>2</v>
      </c>
      <c r="G3007" s="8" t="s">
        <v>4371</v>
      </c>
      <c r="H3007" s="8" t="s">
        <v>4372</v>
      </c>
      <c r="I3007" s="7" t="str">
        <f>_xlfn.CONCAT(Paper_Reference[[#This Row],[Lvl]:[Paper Description]])</f>
        <v>2JD5IFOSSS5001FOSSIL D/G 60 X 1201402100DS064-6200BLACK</v>
      </c>
      <c r="J3007" s="7">
        <f>COUNTIF(Paper_Reference[Duplicate Key],Paper_Reference[[#This Row],[Duplicate Key]])</f>
        <v>1</v>
      </c>
    </row>
    <row r="3008" spans="1:10">
      <c r="A3008" s="7">
        <v>2</v>
      </c>
      <c r="B3008" s="8" t="s">
        <v>3899</v>
      </c>
      <c r="C3008" s="8" t="s">
        <v>3768</v>
      </c>
      <c r="D3008" s="7">
        <v>1</v>
      </c>
      <c r="E3008" s="7">
        <v>10</v>
      </c>
      <c r="F3008" s="7">
        <v>1</v>
      </c>
      <c r="G3008" s="8" t="s">
        <v>3826</v>
      </c>
      <c r="H3008" s="8" t="s">
        <v>3827</v>
      </c>
      <c r="I3008" s="7" t="str">
        <f>_xlfn.CONCAT(Paper_Reference[[#This Row],[Lvl]:[Paper Description]])</f>
        <v>2JD5IFOSSS5201FOSSIL D/G 60 X 1441101110SW736-6200PRECISION WHITE 62"</v>
      </c>
      <c r="J3008" s="7">
        <f>COUNTIF(Paper_Reference[Duplicate Key],Paper_Reference[[#This Row],[Duplicate Key]])</f>
        <v>1</v>
      </c>
    </row>
    <row r="3009" spans="1:10">
      <c r="A3009" s="7">
        <v>2</v>
      </c>
      <c r="B3009" s="8" t="s">
        <v>3899</v>
      </c>
      <c r="C3009" s="8" t="s">
        <v>3768</v>
      </c>
      <c r="D3009" s="7">
        <v>1</v>
      </c>
      <c r="E3009" s="7">
        <v>40</v>
      </c>
      <c r="F3009" s="7">
        <v>2</v>
      </c>
      <c r="G3009" s="8" t="s">
        <v>4371</v>
      </c>
      <c r="H3009" s="8" t="s">
        <v>4372</v>
      </c>
      <c r="I3009" s="7" t="str">
        <f>_xlfn.CONCAT(Paper_Reference[[#This Row],[Lvl]:[Paper Description]])</f>
        <v>2JD5IFOSSS5201FOSSIL D/G 60 X 1441402100DS064-6200BLACK</v>
      </c>
      <c r="J3009" s="7">
        <f>COUNTIF(Paper_Reference[Duplicate Key],Paper_Reference[[#This Row],[Duplicate Key]])</f>
        <v>1</v>
      </c>
    </row>
    <row r="3010" spans="1:10">
      <c r="A3010" s="7">
        <v>2</v>
      </c>
      <c r="B3010" s="8" t="s">
        <v>3900</v>
      </c>
      <c r="C3010" s="8" t="s">
        <v>3769</v>
      </c>
      <c r="D3010" s="7">
        <v>1</v>
      </c>
      <c r="E3010" s="7">
        <v>10</v>
      </c>
      <c r="F3010" s="7">
        <v>1</v>
      </c>
      <c r="G3010" s="8" t="s">
        <v>3826</v>
      </c>
      <c r="H3010" s="8" t="s">
        <v>3827</v>
      </c>
      <c r="I3010" s="7" t="str">
        <f>_xlfn.CONCAT(Paper_Reference[[#This Row],[Lvl]:[Paper Description]])</f>
        <v>2JD5IFOSSS5801FOSSIL D/G 60 X 961101110SW736-6200PRECISION WHITE 62"</v>
      </c>
      <c r="J3010" s="7">
        <f>COUNTIF(Paper_Reference[Duplicate Key],Paper_Reference[[#This Row],[Duplicate Key]])</f>
        <v>1</v>
      </c>
    </row>
    <row r="3011" spans="1:10">
      <c r="A3011" s="7">
        <v>2</v>
      </c>
      <c r="B3011" s="8" t="s">
        <v>3900</v>
      </c>
      <c r="C3011" s="8" t="s">
        <v>3769</v>
      </c>
      <c r="D3011" s="7">
        <v>1</v>
      </c>
      <c r="E3011" s="7">
        <v>40</v>
      </c>
      <c r="F3011" s="7">
        <v>2</v>
      </c>
      <c r="G3011" s="8" t="s">
        <v>4371</v>
      </c>
      <c r="H3011" s="8" t="s">
        <v>4372</v>
      </c>
      <c r="I3011" s="7" t="str">
        <f>_xlfn.CONCAT(Paper_Reference[[#This Row],[Lvl]:[Paper Description]])</f>
        <v>2JD5IFOSSS5801FOSSIL D/G 60 X 961402100DS064-6200BLACK</v>
      </c>
      <c r="J3011" s="7">
        <f>COUNTIF(Paper_Reference[Duplicate Key],Paper_Reference[[#This Row],[Duplicate Key]])</f>
        <v>1</v>
      </c>
    </row>
    <row r="3012" spans="1:10">
      <c r="A3012" s="7">
        <v>2</v>
      </c>
      <c r="B3012" s="8" t="s">
        <v>7740</v>
      </c>
      <c r="C3012" s="8" t="s">
        <v>7016</v>
      </c>
      <c r="D3012" s="7">
        <v>1</v>
      </c>
      <c r="E3012" s="7">
        <v>10</v>
      </c>
      <c r="F3012" s="7">
        <v>1</v>
      </c>
      <c r="G3012" s="8" t="s">
        <v>6710</v>
      </c>
      <c r="H3012" s="8" t="s">
        <v>5691</v>
      </c>
      <c r="I3012" s="7" t="str">
        <f>_xlfn.CONCAT(Paper_Reference[[#This Row],[Lvl]:[Paper Description]])</f>
        <v>2JD5ISPE2D3201SPECTRALITE BB D/G 36 X 1441101100DS009-5000FROSTY WHITE</v>
      </c>
      <c r="J3012" s="7">
        <f>COUNTIF(Paper_Reference[Duplicate Key],Paper_Reference[[#This Row],[Duplicate Key]])</f>
        <v>1</v>
      </c>
    </row>
    <row r="3013" spans="1:10">
      <c r="A3013" s="7">
        <v>2</v>
      </c>
      <c r="B3013" s="8" t="s">
        <v>7741</v>
      </c>
      <c r="C3013" s="8" t="s">
        <v>7006</v>
      </c>
      <c r="D3013" s="7">
        <v>1</v>
      </c>
      <c r="E3013" s="7">
        <v>10</v>
      </c>
      <c r="F3013" s="7">
        <v>1</v>
      </c>
      <c r="G3013" s="8" t="s">
        <v>6710</v>
      </c>
      <c r="H3013" s="8" t="s">
        <v>5691</v>
      </c>
      <c r="I3013" s="7" t="str">
        <f>_xlfn.CONCAT(Paper_Reference[[#This Row],[Lvl]:[Paper Description]])</f>
        <v>2JD5ISPE2D3801SPECTRALITE BB D/G 36 X 961101100DS009-5000FROSTY WHITE</v>
      </c>
      <c r="J3013" s="7">
        <f>COUNTIF(Paper_Reference[Duplicate Key],Paper_Reference[[#This Row],[Duplicate Key]])</f>
        <v>1</v>
      </c>
    </row>
    <row r="3014" spans="1:10">
      <c r="A3014" s="7">
        <v>2</v>
      </c>
      <c r="B3014" s="8" t="s">
        <v>7742</v>
      </c>
      <c r="C3014" s="8" t="s">
        <v>7007</v>
      </c>
      <c r="D3014" s="7">
        <v>1</v>
      </c>
      <c r="E3014" s="7">
        <v>10</v>
      </c>
      <c r="F3014" s="7">
        <v>1</v>
      </c>
      <c r="G3014" s="8" t="s">
        <v>6710</v>
      </c>
      <c r="H3014" s="8" t="s">
        <v>5691</v>
      </c>
      <c r="I3014" s="7" t="str">
        <f>_xlfn.CONCAT(Paper_Reference[[#This Row],[Lvl]:[Paper Description]])</f>
        <v>2JD5ISPE2D4001SPECTRALITE BB D/G 48 X 1201101100DS009-5000FROSTY WHITE</v>
      </c>
      <c r="J3014" s="7">
        <f>COUNTIF(Paper_Reference[Duplicate Key],Paper_Reference[[#This Row],[Duplicate Key]])</f>
        <v>1</v>
      </c>
    </row>
    <row r="3015" spans="1:10">
      <c r="A3015" s="7">
        <v>2</v>
      </c>
      <c r="B3015" s="8" t="s">
        <v>7743</v>
      </c>
      <c r="C3015" s="8" t="s">
        <v>7008</v>
      </c>
      <c r="D3015" s="7">
        <v>1</v>
      </c>
      <c r="E3015" s="7">
        <v>10</v>
      </c>
      <c r="F3015" s="7">
        <v>1</v>
      </c>
      <c r="G3015" s="8" t="s">
        <v>6710</v>
      </c>
      <c r="H3015" s="8" t="s">
        <v>5691</v>
      </c>
      <c r="I3015" s="7" t="str">
        <f>_xlfn.CONCAT(Paper_Reference[[#This Row],[Lvl]:[Paper Description]])</f>
        <v>2JD5ISPE2D4801SPECTRALITE BB D/G 48 X 961101100DS009-5000FROSTY WHITE</v>
      </c>
      <c r="J3015" s="7">
        <f>COUNTIF(Paper_Reference[Duplicate Key],Paper_Reference[[#This Row],[Duplicate Key]])</f>
        <v>1</v>
      </c>
    </row>
    <row r="3016" spans="1:10">
      <c r="A3016" s="7">
        <v>2</v>
      </c>
      <c r="B3016" s="8" t="s">
        <v>7744</v>
      </c>
      <c r="C3016" s="8" t="s">
        <v>7006</v>
      </c>
      <c r="D3016" s="7">
        <v>1</v>
      </c>
      <c r="E3016" s="7">
        <v>10</v>
      </c>
      <c r="F3016" s="7">
        <v>1</v>
      </c>
      <c r="G3016" s="8" t="s">
        <v>6710</v>
      </c>
      <c r="H3016" s="8" t="s">
        <v>5691</v>
      </c>
      <c r="I3016" s="7" t="str">
        <f>_xlfn.CONCAT(Paper_Reference[[#This Row],[Lvl]:[Paper Description]])</f>
        <v>2JD5ISPE2S3801SPECTRALITE BB D/G 36 X 961101100DS009-5000FROSTY WHITE</v>
      </c>
      <c r="J3016" s="7">
        <f>COUNTIF(Paper_Reference[Duplicate Key],Paper_Reference[[#This Row],[Duplicate Key]])</f>
        <v>1</v>
      </c>
    </row>
    <row r="3017" spans="1:10">
      <c r="A3017" s="7">
        <v>2</v>
      </c>
      <c r="B3017" s="8" t="s">
        <v>7745</v>
      </c>
      <c r="C3017" s="8" t="s">
        <v>7008</v>
      </c>
      <c r="D3017" s="7">
        <v>1</v>
      </c>
      <c r="E3017" s="7">
        <v>10</v>
      </c>
      <c r="F3017" s="7">
        <v>1</v>
      </c>
      <c r="G3017" s="8" t="s">
        <v>6710</v>
      </c>
      <c r="H3017" s="8" t="s">
        <v>5691</v>
      </c>
      <c r="I3017" s="7" t="str">
        <f>_xlfn.CONCAT(Paper_Reference[[#This Row],[Lvl]:[Paper Description]])</f>
        <v>2JD5ISPE2S4801SPECTRALITE BB D/G 48 X 961101100DS009-5000FROSTY WHITE</v>
      </c>
      <c r="J3017" s="7">
        <f>COUNTIF(Paper_Reference[Duplicate Key],Paper_Reference[[#This Row],[Duplicate Key]])</f>
        <v>1</v>
      </c>
    </row>
    <row r="3018" spans="1:10">
      <c r="A3018" s="7">
        <v>2</v>
      </c>
      <c r="B3018" s="8" t="s">
        <v>7746</v>
      </c>
      <c r="C3018" s="8" t="s">
        <v>7010</v>
      </c>
      <c r="D3018" s="7">
        <v>1</v>
      </c>
      <c r="E3018" s="7">
        <v>10</v>
      </c>
      <c r="F3018" s="7">
        <v>1</v>
      </c>
      <c r="G3018" s="8" t="s">
        <v>6710</v>
      </c>
      <c r="H3018" s="8" t="s">
        <v>5691</v>
      </c>
      <c r="I3018" s="7" t="str">
        <f>_xlfn.CONCAT(Paper_Reference[[#This Row],[Lvl]:[Paper Description]])</f>
        <v>2JD5IZONED4001IZONE D/G 48 X 1201101100DS009-5000FROSTY WHITE</v>
      </c>
      <c r="J3018" s="7">
        <f>COUNTIF(Paper_Reference[Duplicate Key],Paper_Reference[[#This Row],[Duplicate Key]])</f>
        <v>1</v>
      </c>
    </row>
    <row r="3019" spans="1:10">
      <c r="A3019" s="7">
        <v>2</v>
      </c>
      <c r="B3019" s="8" t="s">
        <v>7747</v>
      </c>
      <c r="C3019" s="8" t="s">
        <v>7011</v>
      </c>
      <c r="D3019" s="7">
        <v>1</v>
      </c>
      <c r="E3019" s="7">
        <v>10</v>
      </c>
      <c r="F3019" s="7">
        <v>1</v>
      </c>
      <c r="G3019" s="8" t="s">
        <v>6710</v>
      </c>
      <c r="H3019" s="8" t="s">
        <v>5691</v>
      </c>
      <c r="I3019" s="7" t="str">
        <f>_xlfn.CONCAT(Paper_Reference[[#This Row],[Lvl]:[Paper Description]])</f>
        <v>2JD5IZONED4201IZONE D/G 48 X 1441101100DS009-5000FROSTY WHITE</v>
      </c>
      <c r="J3019" s="7">
        <f>COUNTIF(Paper_Reference[Duplicate Key],Paper_Reference[[#This Row],[Duplicate Key]])</f>
        <v>1</v>
      </c>
    </row>
    <row r="3020" spans="1:10">
      <c r="A3020" s="7">
        <v>2</v>
      </c>
      <c r="B3020" s="8" t="s">
        <v>7748</v>
      </c>
      <c r="C3020" s="8" t="s">
        <v>7012</v>
      </c>
      <c r="D3020" s="7">
        <v>1</v>
      </c>
      <c r="E3020" s="7">
        <v>10</v>
      </c>
      <c r="F3020" s="7">
        <v>1</v>
      </c>
      <c r="G3020" s="8" t="s">
        <v>6710</v>
      </c>
      <c r="H3020" s="8" t="s">
        <v>5691</v>
      </c>
      <c r="I3020" s="7" t="str">
        <f>_xlfn.CONCAT(Paper_Reference[[#This Row],[Lvl]:[Paper Description]])</f>
        <v>2JD5IZONED4801IZONE D/G 48 X 961101100DS009-5000FROSTY WHITE</v>
      </c>
      <c r="J3020" s="7">
        <f>COUNTIF(Paper_Reference[Duplicate Key],Paper_Reference[[#This Row],[Duplicate Key]])</f>
        <v>1</v>
      </c>
    </row>
    <row r="3021" spans="1:10">
      <c r="A3021" s="7">
        <v>2</v>
      </c>
      <c r="B3021" s="8" t="s">
        <v>5131</v>
      </c>
      <c r="C3021" s="8" t="s">
        <v>4496</v>
      </c>
      <c r="D3021" s="7">
        <v>1</v>
      </c>
      <c r="E3021" s="7">
        <v>10</v>
      </c>
      <c r="F3021" s="7">
        <v>1</v>
      </c>
      <c r="G3021" s="8" t="s">
        <v>5690</v>
      </c>
      <c r="H3021" s="8" t="s">
        <v>5691</v>
      </c>
      <c r="I3021" s="7" t="str">
        <f>_xlfn.CONCAT(Paper_Reference[[#This Row],[Lvl]:[Paper Description]])</f>
        <v>2JD5IZONED5001IZONE D/G 60 X 1201101100DS009-6200FROSTY WHITE</v>
      </c>
      <c r="J3021" s="7">
        <f>COUNTIF(Paper_Reference[Duplicate Key],Paper_Reference[[#This Row],[Duplicate Key]])</f>
        <v>1</v>
      </c>
    </row>
    <row r="3022" spans="1:10">
      <c r="A3022" s="7">
        <v>2</v>
      </c>
      <c r="B3022" s="8" t="s">
        <v>5131</v>
      </c>
      <c r="C3022" s="8" t="s">
        <v>4496</v>
      </c>
      <c r="D3022" s="7">
        <v>1</v>
      </c>
      <c r="E3022" s="7">
        <v>10</v>
      </c>
      <c r="F3022" s="7">
        <v>2</v>
      </c>
      <c r="G3022" s="8" t="s">
        <v>4371</v>
      </c>
      <c r="H3022" s="8" t="s">
        <v>4372</v>
      </c>
      <c r="I3022" s="7" t="str">
        <f>_xlfn.CONCAT(Paper_Reference[[#This Row],[Lvl]:[Paper Description]])</f>
        <v>2JD5IZONED5001IZONE D/G 60 X 1201102100DS064-6200BLACK</v>
      </c>
      <c r="J3022" s="7">
        <f>COUNTIF(Paper_Reference[Duplicate Key],Paper_Reference[[#This Row],[Duplicate Key]])</f>
        <v>1</v>
      </c>
    </row>
    <row r="3023" spans="1:10">
      <c r="A3023" s="7">
        <v>2</v>
      </c>
      <c r="B3023" s="8" t="s">
        <v>5132</v>
      </c>
      <c r="C3023" s="8" t="s">
        <v>3772</v>
      </c>
      <c r="D3023" s="7">
        <v>1</v>
      </c>
      <c r="E3023" s="7">
        <v>10</v>
      </c>
      <c r="F3023" s="7">
        <v>1</v>
      </c>
      <c r="G3023" s="8" t="s">
        <v>5690</v>
      </c>
      <c r="H3023" s="8" t="s">
        <v>5691</v>
      </c>
      <c r="I3023" s="7" t="str">
        <f>_xlfn.CONCAT(Paper_Reference[[#This Row],[Lvl]:[Paper Description]])</f>
        <v>2JD5IZONED5201IZONE D/G 60 X 1441101100DS009-6200FROSTY WHITE</v>
      </c>
      <c r="J3023" s="7">
        <f>COUNTIF(Paper_Reference[Duplicate Key],Paper_Reference[[#This Row],[Duplicate Key]])</f>
        <v>1</v>
      </c>
    </row>
    <row r="3024" spans="1:10">
      <c r="A3024" s="7">
        <v>2</v>
      </c>
      <c r="B3024" s="8" t="s">
        <v>5132</v>
      </c>
      <c r="C3024" s="8" t="s">
        <v>3772</v>
      </c>
      <c r="D3024" s="7">
        <v>1</v>
      </c>
      <c r="E3024" s="7">
        <v>10</v>
      </c>
      <c r="F3024" s="7">
        <v>2</v>
      </c>
      <c r="G3024" s="8" t="s">
        <v>4371</v>
      </c>
      <c r="H3024" s="8" t="s">
        <v>4372</v>
      </c>
      <c r="I3024" s="7" t="str">
        <f>_xlfn.CONCAT(Paper_Reference[[#This Row],[Lvl]:[Paper Description]])</f>
        <v>2JD5IZONED5201IZONE D/G 60 X 1441102100DS064-6200BLACK</v>
      </c>
      <c r="J3024" s="7">
        <f>COUNTIF(Paper_Reference[Duplicate Key],Paper_Reference[[#This Row],[Duplicate Key]])</f>
        <v>1</v>
      </c>
    </row>
    <row r="3025" spans="1:10">
      <c r="A3025" s="7">
        <v>2</v>
      </c>
      <c r="B3025" s="8" t="s">
        <v>5133</v>
      </c>
      <c r="C3025" s="8" t="s">
        <v>4497</v>
      </c>
      <c r="D3025" s="7">
        <v>1</v>
      </c>
      <c r="E3025" s="7">
        <v>10</v>
      </c>
      <c r="F3025" s="7">
        <v>1</v>
      </c>
      <c r="G3025" s="8" t="s">
        <v>5690</v>
      </c>
      <c r="H3025" s="8" t="s">
        <v>5691</v>
      </c>
      <c r="I3025" s="7" t="str">
        <f>_xlfn.CONCAT(Paper_Reference[[#This Row],[Lvl]:[Paper Description]])</f>
        <v>2JD5IZONED5801IZONE D/G 60 X 961101100DS009-6200FROSTY WHITE</v>
      </c>
      <c r="J3025" s="7">
        <f>COUNTIF(Paper_Reference[Duplicate Key],Paper_Reference[[#This Row],[Duplicate Key]])</f>
        <v>1</v>
      </c>
    </row>
    <row r="3026" spans="1:10">
      <c r="A3026" s="7">
        <v>2</v>
      </c>
      <c r="B3026" s="8" t="s">
        <v>5133</v>
      </c>
      <c r="C3026" s="8" t="s">
        <v>4497</v>
      </c>
      <c r="D3026" s="7">
        <v>1</v>
      </c>
      <c r="E3026" s="7">
        <v>10</v>
      </c>
      <c r="F3026" s="7">
        <v>2</v>
      </c>
      <c r="G3026" s="8" t="s">
        <v>4371</v>
      </c>
      <c r="H3026" s="8" t="s">
        <v>4372</v>
      </c>
      <c r="I3026" s="7" t="str">
        <f>_xlfn.CONCAT(Paper_Reference[[#This Row],[Lvl]:[Paper Description]])</f>
        <v>2JD5IZONED5801IZONE D/G 60 X 961102100DS064-6200BLACK</v>
      </c>
      <c r="J3026" s="7">
        <f>COUNTIF(Paper_Reference[Duplicate Key],Paper_Reference[[#This Row],[Duplicate Key]])</f>
        <v>1</v>
      </c>
    </row>
    <row r="3027" spans="1:10">
      <c r="A3027" s="7">
        <v>2</v>
      </c>
      <c r="B3027" s="8" t="s">
        <v>3417</v>
      </c>
      <c r="C3027" s="8" t="s">
        <v>3240</v>
      </c>
      <c r="D3027" s="7">
        <v>1</v>
      </c>
      <c r="E3027" s="7">
        <v>10</v>
      </c>
      <c r="F3027" s="7">
        <v>1</v>
      </c>
      <c r="G3027" s="8" t="s">
        <v>3230</v>
      </c>
      <c r="H3027" s="8" t="s">
        <v>3231</v>
      </c>
      <c r="I3027" s="7" t="str">
        <f>_xlfn.CONCAT(Paper_Reference[[#This Row],[Lvl]:[Paper Description]])</f>
        <v>2JD6IFOSSH4801FOSSIL D/G 48 X 961101110SW736-5000PRECISION WHITE 43 X 145</v>
      </c>
      <c r="J3027" s="7">
        <f>COUNTIF(Paper_Reference[Duplicate Key],Paper_Reference[[#This Row],[Duplicate Key]])</f>
        <v>1</v>
      </c>
    </row>
    <row r="3028" spans="1:10">
      <c r="A3028" s="7">
        <v>2</v>
      </c>
      <c r="B3028" s="8" t="s">
        <v>3418</v>
      </c>
      <c r="C3028" s="8" t="s">
        <v>3245</v>
      </c>
      <c r="D3028" s="7">
        <v>1</v>
      </c>
      <c r="E3028" s="7">
        <v>10</v>
      </c>
      <c r="F3028" s="7">
        <v>1</v>
      </c>
      <c r="G3028" s="8" t="s">
        <v>3230</v>
      </c>
      <c r="H3028" s="8" t="s">
        <v>3231</v>
      </c>
      <c r="I3028" s="7" t="str">
        <f>_xlfn.CONCAT(Paper_Reference[[#This Row],[Lvl]:[Paper Description]])</f>
        <v>2JD6IFOSSN380FOSSIL D/G 36 X 961101110SW736-5000PRECISION WHITE 43 X 145</v>
      </c>
      <c r="J3028" s="7">
        <f>COUNTIF(Paper_Reference[Duplicate Key],Paper_Reference[[#This Row],[Duplicate Key]])</f>
        <v>1</v>
      </c>
    </row>
    <row r="3029" spans="1:10">
      <c r="A3029" s="7">
        <v>2</v>
      </c>
      <c r="B3029" s="8" t="s">
        <v>3419</v>
      </c>
      <c r="C3029" s="8" t="s">
        <v>3240</v>
      </c>
      <c r="D3029" s="7">
        <v>1</v>
      </c>
      <c r="E3029" s="7">
        <v>10</v>
      </c>
      <c r="F3029" s="7">
        <v>1</v>
      </c>
      <c r="G3029" s="8" t="s">
        <v>3230</v>
      </c>
      <c r="H3029" s="8" t="s">
        <v>3231</v>
      </c>
      <c r="I3029" s="7" t="str">
        <f>_xlfn.CONCAT(Paper_Reference[[#This Row],[Lvl]:[Paper Description]])</f>
        <v>2JD6IFOSSN480FOSSIL D/G 48 X 961101110SW736-5000PRECISION WHITE 43 X 145</v>
      </c>
      <c r="J3029" s="7">
        <f>COUNTIF(Paper_Reference[Duplicate Key],Paper_Reference[[#This Row],[Duplicate Key]])</f>
        <v>1</v>
      </c>
    </row>
    <row r="3030" spans="1:10">
      <c r="A3030" s="7">
        <v>2</v>
      </c>
      <c r="B3030" s="8" t="s">
        <v>3420</v>
      </c>
      <c r="C3030" s="8" t="s">
        <v>3240</v>
      </c>
      <c r="D3030" s="7">
        <v>1</v>
      </c>
      <c r="E3030" s="7">
        <v>10</v>
      </c>
      <c r="F3030" s="7">
        <v>1</v>
      </c>
      <c r="G3030" s="8" t="s">
        <v>3230</v>
      </c>
      <c r="H3030" s="8" t="s">
        <v>3231</v>
      </c>
      <c r="I3030" s="7" t="str">
        <f>_xlfn.CONCAT(Paper_Reference[[#This Row],[Lvl]:[Paper Description]])</f>
        <v>2JD6IFOSSPV4801FOSSIL D/G 48 X 961101110SW736-5000PRECISION WHITE 43 X 145</v>
      </c>
      <c r="J3030" s="7">
        <f>COUNTIF(Paper_Reference[Duplicate Key],Paper_Reference[[#This Row],[Duplicate Key]])</f>
        <v>1</v>
      </c>
    </row>
    <row r="3031" spans="1:10">
      <c r="A3031" s="7">
        <v>2</v>
      </c>
      <c r="B3031" s="8" t="s">
        <v>7749</v>
      </c>
      <c r="C3031" s="8" t="s">
        <v>7012</v>
      </c>
      <c r="D3031" s="7">
        <v>1</v>
      </c>
      <c r="E3031" s="7">
        <v>10</v>
      </c>
      <c r="F3031" s="7">
        <v>1</v>
      </c>
      <c r="G3031" s="8" t="s">
        <v>6710</v>
      </c>
      <c r="H3031" s="8" t="s">
        <v>5691</v>
      </c>
      <c r="I3031" s="7" t="str">
        <f>_xlfn.CONCAT(Paper_Reference[[#This Row],[Lvl]:[Paper Description]])</f>
        <v>2JD6IZONED4801IZONE D/G 48 X 961101100DS009-5000FROSTY WHITE</v>
      </c>
      <c r="J3031" s="7">
        <f>COUNTIF(Paper_Reference[Duplicate Key],Paper_Reference[[#This Row],[Duplicate Key]])</f>
        <v>1</v>
      </c>
    </row>
    <row r="3032" spans="1:10">
      <c r="A3032" s="7">
        <v>2</v>
      </c>
      <c r="B3032" s="8" t="s">
        <v>6378</v>
      </c>
      <c r="C3032" s="8" t="s">
        <v>4497</v>
      </c>
      <c r="D3032" s="7">
        <v>1</v>
      </c>
      <c r="E3032" s="7">
        <v>10</v>
      </c>
      <c r="F3032" s="7">
        <v>1</v>
      </c>
      <c r="G3032" s="8" t="s">
        <v>5690</v>
      </c>
      <c r="H3032" s="8" t="s">
        <v>5691</v>
      </c>
      <c r="I3032" s="7" t="str">
        <f>_xlfn.CONCAT(Paper_Reference[[#This Row],[Lvl]:[Paper Description]])</f>
        <v>2JD6IZONED5801IZONE D/G 60 X 961101100DS009-6200FROSTY WHITE</v>
      </c>
      <c r="J3032" s="7">
        <f>COUNTIF(Paper_Reference[Duplicate Key],Paper_Reference[[#This Row],[Duplicate Key]])</f>
        <v>1</v>
      </c>
    </row>
    <row r="3033" spans="1:10">
      <c r="A3033" s="7">
        <v>2</v>
      </c>
      <c r="B3033" s="8" t="s">
        <v>3421</v>
      </c>
      <c r="C3033" s="8" t="s">
        <v>3240</v>
      </c>
      <c r="D3033" s="7">
        <v>1</v>
      </c>
      <c r="E3033" s="7">
        <v>10</v>
      </c>
      <c r="F3033" s="7">
        <v>1</v>
      </c>
      <c r="G3033" s="8" t="s">
        <v>3230</v>
      </c>
      <c r="H3033" s="8" t="s">
        <v>3231</v>
      </c>
      <c r="I3033" s="7" t="str">
        <f>_xlfn.CONCAT(Paper_Reference[[#This Row],[Lvl]:[Paper Description]])</f>
        <v>2JD7IFOSSLS4801FOSSIL D/G 48 X 961101110SW736-5000PRECISION WHITE 43 X 145</v>
      </c>
      <c r="J3033" s="7">
        <f>COUNTIF(Paper_Reference[Duplicate Key],Paper_Reference[[#This Row],[Duplicate Key]])</f>
        <v>1</v>
      </c>
    </row>
    <row r="3034" spans="1:10">
      <c r="A3034" s="7">
        <v>2</v>
      </c>
      <c r="B3034" s="8" t="s">
        <v>3901</v>
      </c>
      <c r="C3034" s="8" t="s">
        <v>3768</v>
      </c>
      <c r="D3034" s="7">
        <v>1</v>
      </c>
      <c r="E3034" s="7">
        <v>10</v>
      </c>
      <c r="F3034" s="7">
        <v>1</v>
      </c>
      <c r="G3034" s="8" t="s">
        <v>3826</v>
      </c>
      <c r="H3034" s="8" t="s">
        <v>3827</v>
      </c>
      <c r="I3034" s="7" t="str">
        <f>_xlfn.CONCAT(Paper_Reference[[#This Row],[Lvl]:[Paper Description]])</f>
        <v>2JD7IFOSSLS5201FOSSIL D/G 60 X 1441101110SW736-6200PRECISION WHITE 62"</v>
      </c>
      <c r="J3034" s="7">
        <f>COUNTIF(Paper_Reference[Duplicate Key],Paper_Reference[[#This Row],[Duplicate Key]])</f>
        <v>1</v>
      </c>
    </row>
    <row r="3035" spans="1:10">
      <c r="A3035" s="7">
        <v>2</v>
      </c>
      <c r="B3035" s="8" t="s">
        <v>3901</v>
      </c>
      <c r="C3035" s="8" t="s">
        <v>3768</v>
      </c>
      <c r="D3035" s="7">
        <v>1</v>
      </c>
      <c r="E3035" s="7">
        <v>40</v>
      </c>
      <c r="F3035" s="7">
        <v>2</v>
      </c>
      <c r="G3035" s="8" t="s">
        <v>4371</v>
      </c>
      <c r="H3035" s="8" t="s">
        <v>4372</v>
      </c>
      <c r="I3035" s="7" t="str">
        <f>_xlfn.CONCAT(Paper_Reference[[#This Row],[Lvl]:[Paper Description]])</f>
        <v>2JD7IFOSSLS5201FOSSIL D/G 60 X 1441402100DS064-6200BLACK</v>
      </c>
      <c r="J3035" s="7">
        <f>COUNTIF(Paper_Reference[Duplicate Key],Paper_Reference[[#This Row],[Duplicate Key]])</f>
        <v>1</v>
      </c>
    </row>
    <row r="3036" spans="1:10">
      <c r="A3036" s="7">
        <v>2</v>
      </c>
      <c r="B3036" s="8" t="s">
        <v>3422</v>
      </c>
      <c r="C3036" s="8" t="s">
        <v>3240</v>
      </c>
      <c r="D3036" s="7">
        <v>1</v>
      </c>
      <c r="E3036" s="7">
        <v>10</v>
      </c>
      <c r="F3036" s="7">
        <v>1</v>
      </c>
      <c r="G3036" s="8" t="s">
        <v>3230</v>
      </c>
      <c r="H3036" s="8" t="s">
        <v>3231</v>
      </c>
      <c r="I3036" s="7" t="str">
        <f>_xlfn.CONCAT(Paper_Reference[[#This Row],[Lvl]:[Paper Description]])</f>
        <v>2JD7IFOSSS4801FOSSIL D/G 48 X 961101110SW736-5000PRECISION WHITE 43 X 145</v>
      </c>
      <c r="J3036" s="7">
        <f>COUNTIF(Paper_Reference[Duplicate Key],Paper_Reference[[#This Row],[Duplicate Key]])</f>
        <v>1</v>
      </c>
    </row>
    <row r="3037" spans="1:10">
      <c r="A3037" s="7">
        <v>2</v>
      </c>
      <c r="B3037" s="8" t="s">
        <v>3902</v>
      </c>
      <c r="C3037" s="8" t="s">
        <v>3768</v>
      </c>
      <c r="D3037" s="7">
        <v>1</v>
      </c>
      <c r="E3037" s="7">
        <v>10</v>
      </c>
      <c r="F3037" s="7">
        <v>1</v>
      </c>
      <c r="G3037" s="8" t="s">
        <v>3826</v>
      </c>
      <c r="H3037" s="8" t="s">
        <v>3827</v>
      </c>
      <c r="I3037" s="7" t="str">
        <f>_xlfn.CONCAT(Paper_Reference[[#This Row],[Lvl]:[Paper Description]])</f>
        <v>2JD7IFOSSS5201FOSSIL D/G 60 X 1441101110SW736-6200PRECISION WHITE 62"</v>
      </c>
      <c r="J3037" s="7">
        <f>COUNTIF(Paper_Reference[Duplicate Key],Paper_Reference[[#This Row],[Duplicate Key]])</f>
        <v>1</v>
      </c>
    </row>
    <row r="3038" spans="1:10">
      <c r="A3038" s="7">
        <v>2</v>
      </c>
      <c r="B3038" s="8" t="s">
        <v>3902</v>
      </c>
      <c r="C3038" s="8" t="s">
        <v>3768</v>
      </c>
      <c r="D3038" s="7">
        <v>1</v>
      </c>
      <c r="E3038" s="7">
        <v>40</v>
      </c>
      <c r="F3038" s="7">
        <v>2</v>
      </c>
      <c r="G3038" s="8" t="s">
        <v>4371</v>
      </c>
      <c r="H3038" s="8" t="s">
        <v>4372</v>
      </c>
      <c r="I3038" s="7" t="str">
        <f>_xlfn.CONCAT(Paper_Reference[[#This Row],[Lvl]:[Paper Description]])</f>
        <v>2JD7IFOSSS5201FOSSIL D/G 60 X 1441402100DS064-6200BLACK</v>
      </c>
      <c r="J3038" s="7">
        <f>COUNTIF(Paper_Reference[Duplicate Key],Paper_Reference[[#This Row],[Duplicate Key]])</f>
        <v>1</v>
      </c>
    </row>
    <row r="3039" spans="1:10">
      <c r="A3039" s="7">
        <v>2</v>
      </c>
      <c r="B3039" s="8" t="s">
        <v>3423</v>
      </c>
      <c r="C3039" s="8" t="s">
        <v>3241</v>
      </c>
      <c r="D3039" s="7">
        <v>1</v>
      </c>
      <c r="E3039" s="7">
        <v>10</v>
      </c>
      <c r="F3039" s="7">
        <v>1</v>
      </c>
      <c r="G3039" s="8" t="s">
        <v>3230</v>
      </c>
      <c r="H3039" s="8" t="s">
        <v>3231</v>
      </c>
      <c r="I3039" s="7" t="str">
        <f>_xlfn.CONCAT(Paper_Reference[[#This Row],[Lvl]:[Paper Description]])</f>
        <v>2JD8IFOSSH4001FOSSIL D/G 48 X 1201101110SW736-5000PRECISION WHITE 43 X 145</v>
      </c>
      <c r="J3039" s="7">
        <f>COUNTIF(Paper_Reference[Duplicate Key],Paper_Reference[[#This Row],[Duplicate Key]])</f>
        <v>1</v>
      </c>
    </row>
    <row r="3040" spans="1:10">
      <c r="A3040" s="7">
        <v>2</v>
      </c>
      <c r="B3040" s="8" t="s">
        <v>3424</v>
      </c>
      <c r="C3040" s="8" t="s">
        <v>3239</v>
      </c>
      <c r="D3040" s="7">
        <v>1</v>
      </c>
      <c r="E3040" s="7">
        <v>10</v>
      </c>
      <c r="F3040" s="7">
        <v>1</v>
      </c>
      <c r="G3040" s="8" t="s">
        <v>3230</v>
      </c>
      <c r="H3040" s="8" t="s">
        <v>3231</v>
      </c>
      <c r="I3040" s="7" t="str">
        <f>_xlfn.CONCAT(Paper_Reference[[#This Row],[Lvl]:[Paper Description]])</f>
        <v>2JD8IFOSSH4201FOSSIL D/G 48 X 1441101110SW736-5000PRECISION WHITE 43 X 145</v>
      </c>
      <c r="J3040" s="7">
        <f>COUNTIF(Paper_Reference[Duplicate Key],Paper_Reference[[#This Row],[Duplicate Key]])</f>
        <v>1</v>
      </c>
    </row>
    <row r="3041" spans="1:10">
      <c r="A3041" s="7">
        <v>2</v>
      </c>
      <c r="B3041" s="8" t="s">
        <v>3425</v>
      </c>
      <c r="C3041" s="8" t="s">
        <v>3240</v>
      </c>
      <c r="D3041" s="7">
        <v>1</v>
      </c>
      <c r="E3041" s="7">
        <v>10</v>
      </c>
      <c r="F3041" s="7">
        <v>1</v>
      </c>
      <c r="G3041" s="8" t="s">
        <v>3230</v>
      </c>
      <c r="H3041" s="8" t="s">
        <v>3231</v>
      </c>
      <c r="I3041" s="7" t="str">
        <f>_xlfn.CONCAT(Paper_Reference[[#This Row],[Lvl]:[Paper Description]])</f>
        <v>2JD8IFOSSH4801FOSSIL D/G 48 X 961101110SW736-5000PRECISION WHITE 43 X 145</v>
      </c>
      <c r="J3041" s="7">
        <f>COUNTIF(Paper_Reference[Duplicate Key],Paper_Reference[[#This Row],[Duplicate Key]])</f>
        <v>1</v>
      </c>
    </row>
    <row r="3042" spans="1:10">
      <c r="A3042" s="7">
        <v>2</v>
      </c>
      <c r="B3042" s="8" t="s">
        <v>3903</v>
      </c>
      <c r="C3042" s="8" t="s">
        <v>3767</v>
      </c>
      <c r="D3042" s="7">
        <v>1</v>
      </c>
      <c r="E3042" s="7">
        <v>10</v>
      </c>
      <c r="F3042" s="7">
        <v>1</v>
      </c>
      <c r="G3042" s="8" t="s">
        <v>3826</v>
      </c>
      <c r="H3042" s="8" t="s">
        <v>3827</v>
      </c>
      <c r="I3042" s="7" t="str">
        <f>_xlfn.CONCAT(Paper_Reference[[#This Row],[Lvl]:[Paper Description]])</f>
        <v>2JD8IFOSSH5001FOSSIL D/G 60 X 1201101110SW736-6200PRECISION WHITE 62"</v>
      </c>
      <c r="J3042" s="7">
        <f>COUNTIF(Paper_Reference[Duplicate Key],Paper_Reference[[#This Row],[Duplicate Key]])</f>
        <v>1</v>
      </c>
    </row>
    <row r="3043" spans="1:10">
      <c r="A3043" s="7">
        <v>2</v>
      </c>
      <c r="B3043" s="8" t="s">
        <v>3903</v>
      </c>
      <c r="C3043" s="8" t="s">
        <v>3767</v>
      </c>
      <c r="D3043" s="7">
        <v>1</v>
      </c>
      <c r="E3043" s="7">
        <v>40</v>
      </c>
      <c r="F3043" s="7">
        <v>2</v>
      </c>
      <c r="G3043" s="8" t="s">
        <v>4371</v>
      </c>
      <c r="H3043" s="8" t="s">
        <v>4372</v>
      </c>
      <c r="I3043" s="7" t="str">
        <f>_xlfn.CONCAT(Paper_Reference[[#This Row],[Lvl]:[Paper Description]])</f>
        <v>2JD8IFOSSH5001FOSSIL D/G 60 X 1201402100DS064-6200BLACK</v>
      </c>
      <c r="J3043" s="7">
        <f>COUNTIF(Paper_Reference[Duplicate Key],Paper_Reference[[#This Row],[Duplicate Key]])</f>
        <v>1</v>
      </c>
    </row>
    <row r="3044" spans="1:10">
      <c r="A3044" s="7">
        <v>2</v>
      </c>
      <c r="B3044" s="8" t="s">
        <v>3904</v>
      </c>
      <c r="C3044" s="8" t="s">
        <v>3768</v>
      </c>
      <c r="D3044" s="7">
        <v>1</v>
      </c>
      <c r="E3044" s="7">
        <v>10</v>
      </c>
      <c r="F3044" s="7">
        <v>1</v>
      </c>
      <c r="G3044" s="8" t="s">
        <v>3826</v>
      </c>
      <c r="H3044" s="8" t="s">
        <v>3827</v>
      </c>
      <c r="I3044" s="7" t="str">
        <f>_xlfn.CONCAT(Paper_Reference[[#This Row],[Lvl]:[Paper Description]])</f>
        <v>2JD8IFOSSH5201FOSSIL D/G 60 X 1441101110SW736-6200PRECISION WHITE 62"</v>
      </c>
      <c r="J3044" s="7">
        <f>COUNTIF(Paper_Reference[Duplicate Key],Paper_Reference[[#This Row],[Duplicate Key]])</f>
        <v>1</v>
      </c>
    </row>
    <row r="3045" spans="1:10">
      <c r="A3045" s="7">
        <v>2</v>
      </c>
      <c r="B3045" s="8" t="s">
        <v>3904</v>
      </c>
      <c r="C3045" s="8" t="s">
        <v>3768</v>
      </c>
      <c r="D3045" s="7">
        <v>1</v>
      </c>
      <c r="E3045" s="7">
        <v>40</v>
      </c>
      <c r="F3045" s="7">
        <v>2</v>
      </c>
      <c r="G3045" s="8" t="s">
        <v>4371</v>
      </c>
      <c r="H3045" s="8" t="s">
        <v>4372</v>
      </c>
      <c r="I3045" s="7" t="str">
        <f>_xlfn.CONCAT(Paper_Reference[[#This Row],[Lvl]:[Paper Description]])</f>
        <v>2JD8IFOSSH5201FOSSIL D/G 60 X 1441402100DS064-6200BLACK</v>
      </c>
      <c r="J3045" s="7">
        <f>COUNTIF(Paper_Reference[Duplicate Key],Paper_Reference[[#This Row],[Duplicate Key]])</f>
        <v>1</v>
      </c>
    </row>
    <row r="3046" spans="1:10">
      <c r="A3046" s="7">
        <v>2</v>
      </c>
      <c r="B3046" s="8" t="s">
        <v>3905</v>
      </c>
      <c r="C3046" s="8" t="s">
        <v>3769</v>
      </c>
      <c r="D3046" s="7">
        <v>1</v>
      </c>
      <c r="E3046" s="7">
        <v>10</v>
      </c>
      <c r="F3046" s="7">
        <v>1</v>
      </c>
      <c r="G3046" s="8" t="s">
        <v>3826</v>
      </c>
      <c r="H3046" s="8" t="s">
        <v>3827</v>
      </c>
      <c r="I3046" s="7" t="str">
        <f>_xlfn.CONCAT(Paper_Reference[[#This Row],[Lvl]:[Paper Description]])</f>
        <v>2JD8IFOSSH5801FOSSIL D/G 60 X 961101110SW736-6200PRECISION WHITE 62"</v>
      </c>
      <c r="J3046" s="7">
        <f>COUNTIF(Paper_Reference[Duplicate Key],Paper_Reference[[#This Row],[Duplicate Key]])</f>
        <v>1</v>
      </c>
    </row>
    <row r="3047" spans="1:10">
      <c r="A3047" s="7">
        <v>2</v>
      </c>
      <c r="B3047" s="8" t="s">
        <v>3905</v>
      </c>
      <c r="C3047" s="8" t="s">
        <v>3769</v>
      </c>
      <c r="D3047" s="7">
        <v>1</v>
      </c>
      <c r="E3047" s="7">
        <v>40</v>
      </c>
      <c r="F3047" s="7">
        <v>2</v>
      </c>
      <c r="G3047" s="8" t="s">
        <v>4371</v>
      </c>
      <c r="H3047" s="8" t="s">
        <v>4372</v>
      </c>
      <c r="I3047" s="7" t="str">
        <f>_xlfn.CONCAT(Paper_Reference[[#This Row],[Lvl]:[Paper Description]])</f>
        <v>2JD8IFOSSH5801FOSSIL D/G 60 X 961402100DS064-6200BLACK</v>
      </c>
      <c r="J3047" s="7">
        <f>COUNTIF(Paper_Reference[Duplicate Key],Paper_Reference[[#This Row],[Duplicate Key]])</f>
        <v>1</v>
      </c>
    </row>
    <row r="3048" spans="1:10">
      <c r="A3048" s="7">
        <v>2</v>
      </c>
      <c r="B3048" s="8" t="s">
        <v>3426</v>
      </c>
      <c r="C3048" s="8" t="s">
        <v>3240</v>
      </c>
      <c r="D3048" s="7">
        <v>1</v>
      </c>
      <c r="E3048" s="7">
        <v>10</v>
      </c>
      <c r="F3048" s="7">
        <v>1</v>
      </c>
      <c r="G3048" s="8" t="s">
        <v>3230</v>
      </c>
      <c r="H3048" s="8" t="s">
        <v>3231</v>
      </c>
      <c r="I3048" s="7" t="str">
        <f>_xlfn.CONCAT(Paper_Reference[[#This Row],[Lvl]:[Paper Description]])</f>
        <v>2JD8IFOSSJ4801FOSSIL D/G 48 X 961101110SW736-5000PRECISION WHITE 43 X 145</v>
      </c>
      <c r="J3048" s="7">
        <f>COUNTIF(Paper_Reference[Duplicate Key],Paper_Reference[[#This Row],[Duplicate Key]])</f>
        <v>1</v>
      </c>
    </row>
    <row r="3049" spans="1:10">
      <c r="A3049" s="7">
        <v>2</v>
      </c>
      <c r="B3049" s="8" t="s">
        <v>3906</v>
      </c>
      <c r="C3049" s="8" t="s">
        <v>3768</v>
      </c>
      <c r="D3049" s="7">
        <v>1</v>
      </c>
      <c r="E3049" s="7">
        <v>10</v>
      </c>
      <c r="F3049" s="7">
        <v>1</v>
      </c>
      <c r="G3049" s="8" t="s">
        <v>3826</v>
      </c>
      <c r="H3049" s="8" t="s">
        <v>3827</v>
      </c>
      <c r="I3049" s="7" t="str">
        <f>_xlfn.CONCAT(Paper_Reference[[#This Row],[Lvl]:[Paper Description]])</f>
        <v>2JD8IFOSSJ5201FOSSIL D/G 60 X 1441101110SW736-6200PRECISION WHITE 62"</v>
      </c>
      <c r="J3049" s="7">
        <f>COUNTIF(Paper_Reference[Duplicate Key],Paper_Reference[[#This Row],[Duplicate Key]])</f>
        <v>1</v>
      </c>
    </row>
    <row r="3050" spans="1:10">
      <c r="A3050" s="7">
        <v>2</v>
      </c>
      <c r="B3050" s="8" t="s">
        <v>3906</v>
      </c>
      <c r="C3050" s="8" t="s">
        <v>3768</v>
      </c>
      <c r="D3050" s="7">
        <v>1</v>
      </c>
      <c r="E3050" s="7">
        <v>40</v>
      </c>
      <c r="F3050" s="7">
        <v>2</v>
      </c>
      <c r="G3050" s="8" t="s">
        <v>4371</v>
      </c>
      <c r="H3050" s="8" t="s">
        <v>4372</v>
      </c>
      <c r="I3050" s="7" t="str">
        <f>_xlfn.CONCAT(Paper_Reference[[#This Row],[Lvl]:[Paper Description]])</f>
        <v>2JD8IFOSSJ5201FOSSIL D/G 60 X 1441402100DS064-6200BLACK</v>
      </c>
      <c r="J3050" s="7">
        <f>COUNTIF(Paper_Reference[Duplicate Key],Paper_Reference[[#This Row],[Duplicate Key]])</f>
        <v>1</v>
      </c>
    </row>
    <row r="3051" spans="1:10">
      <c r="A3051" s="7">
        <v>2</v>
      </c>
      <c r="B3051" s="8" t="s">
        <v>3427</v>
      </c>
      <c r="C3051" s="8" t="s">
        <v>3241</v>
      </c>
      <c r="D3051" s="7">
        <v>1</v>
      </c>
      <c r="E3051" s="7">
        <v>10</v>
      </c>
      <c r="F3051" s="7">
        <v>1</v>
      </c>
      <c r="G3051" s="8" t="s">
        <v>3230</v>
      </c>
      <c r="H3051" s="8" t="s">
        <v>3231</v>
      </c>
      <c r="I3051" s="7" t="str">
        <f>_xlfn.CONCAT(Paper_Reference[[#This Row],[Lvl]:[Paper Description]])</f>
        <v>2JD8IFOSSPV4001FOSSIL D/G 48 X 1201101110SW736-5000PRECISION WHITE 43 X 145</v>
      </c>
      <c r="J3051" s="7">
        <f>COUNTIF(Paper_Reference[Duplicate Key],Paper_Reference[[#This Row],[Duplicate Key]])</f>
        <v>1</v>
      </c>
    </row>
    <row r="3052" spans="1:10">
      <c r="A3052" s="7">
        <v>2</v>
      </c>
      <c r="B3052" s="8" t="s">
        <v>3428</v>
      </c>
      <c r="C3052" s="8" t="s">
        <v>3240</v>
      </c>
      <c r="D3052" s="7">
        <v>1</v>
      </c>
      <c r="E3052" s="7">
        <v>10</v>
      </c>
      <c r="F3052" s="7">
        <v>1</v>
      </c>
      <c r="G3052" s="8" t="s">
        <v>3230</v>
      </c>
      <c r="H3052" s="8" t="s">
        <v>3231</v>
      </c>
      <c r="I3052" s="7" t="str">
        <f>_xlfn.CONCAT(Paper_Reference[[#This Row],[Lvl]:[Paper Description]])</f>
        <v>2JD8IFOSSPV4801FOSSIL D/G 48 X 961101110SW736-5000PRECISION WHITE 43 X 145</v>
      </c>
      <c r="J3052" s="7">
        <f>COUNTIF(Paper_Reference[Duplicate Key],Paper_Reference[[#This Row],[Duplicate Key]])</f>
        <v>1</v>
      </c>
    </row>
    <row r="3053" spans="1:10">
      <c r="A3053" s="7">
        <v>2</v>
      </c>
      <c r="B3053" s="8" t="s">
        <v>3907</v>
      </c>
      <c r="C3053" s="8" t="s">
        <v>3768</v>
      </c>
      <c r="D3053" s="7">
        <v>1</v>
      </c>
      <c r="E3053" s="7">
        <v>10</v>
      </c>
      <c r="F3053" s="7">
        <v>1</v>
      </c>
      <c r="G3053" s="8" t="s">
        <v>3826</v>
      </c>
      <c r="H3053" s="8" t="s">
        <v>3827</v>
      </c>
      <c r="I3053" s="7" t="str">
        <f>_xlfn.CONCAT(Paper_Reference[[#This Row],[Lvl]:[Paper Description]])</f>
        <v>2JD8IFOSSPV5201FOSSIL D/G 60 X 1441101110SW736-6200PRECISION WHITE 62"</v>
      </c>
      <c r="J3053" s="7">
        <f>COUNTIF(Paper_Reference[Duplicate Key],Paper_Reference[[#This Row],[Duplicate Key]])</f>
        <v>1</v>
      </c>
    </row>
    <row r="3054" spans="1:10">
      <c r="A3054" s="7">
        <v>2</v>
      </c>
      <c r="B3054" s="8" t="s">
        <v>3907</v>
      </c>
      <c r="C3054" s="8" t="s">
        <v>3768</v>
      </c>
      <c r="D3054" s="7">
        <v>1</v>
      </c>
      <c r="E3054" s="7">
        <v>40</v>
      </c>
      <c r="F3054" s="7">
        <v>2</v>
      </c>
      <c r="G3054" s="8" t="s">
        <v>4371</v>
      </c>
      <c r="H3054" s="8" t="s">
        <v>4372</v>
      </c>
      <c r="I3054" s="7" t="str">
        <f>_xlfn.CONCAT(Paper_Reference[[#This Row],[Lvl]:[Paper Description]])</f>
        <v>2JD8IFOSSPV5201FOSSIL D/G 60 X 1441402100DS064-6200BLACK</v>
      </c>
      <c r="J3054" s="7">
        <f>COUNTIF(Paper_Reference[Duplicate Key],Paper_Reference[[#This Row],[Duplicate Key]])</f>
        <v>1</v>
      </c>
    </row>
    <row r="3055" spans="1:10">
      <c r="A3055" s="7">
        <v>2</v>
      </c>
      <c r="B3055" s="8" t="s">
        <v>3430</v>
      </c>
      <c r="C3055" s="8" t="s">
        <v>3241</v>
      </c>
      <c r="D3055" s="7">
        <v>1</v>
      </c>
      <c r="E3055" s="7">
        <v>10</v>
      </c>
      <c r="F3055" s="7">
        <v>1</v>
      </c>
      <c r="G3055" s="8" t="s">
        <v>3230</v>
      </c>
      <c r="H3055" s="8" t="s">
        <v>3231</v>
      </c>
      <c r="I3055" s="7" t="str">
        <f>_xlfn.CONCAT(Paper_Reference[[#This Row],[Lvl]:[Paper Description]])</f>
        <v>2JD8IFOSSS400FOSSIL D/G 48 X 1201101110SW736-5000PRECISION WHITE 43 X 145</v>
      </c>
      <c r="J3055" s="7">
        <f>COUNTIF(Paper_Reference[Duplicate Key],Paper_Reference[[#This Row],[Duplicate Key]])</f>
        <v>1</v>
      </c>
    </row>
    <row r="3056" spans="1:10">
      <c r="A3056" s="7">
        <v>2</v>
      </c>
      <c r="B3056" s="8" t="s">
        <v>3429</v>
      </c>
      <c r="C3056" s="8" t="s">
        <v>3241</v>
      </c>
      <c r="D3056" s="7">
        <v>1</v>
      </c>
      <c r="E3056" s="7">
        <v>10</v>
      </c>
      <c r="F3056" s="7">
        <v>1</v>
      </c>
      <c r="G3056" s="8" t="s">
        <v>3230</v>
      </c>
      <c r="H3056" s="8" t="s">
        <v>3231</v>
      </c>
      <c r="I3056" s="7" t="str">
        <f>_xlfn.CONCAT(Paper_Reference[[#This Row],[Lvl]:[Paper Description]])</f>
        <v>2JD8IFOSSS4001FOSSIL D/G 48 X 1201101110SW736-5000PRECISION WHITE 43 X 145</v>
      </c>
      <c r="J3056" s="7">
        <f>COUNTIF(Paper_Reference[Duplicate Key],Paper_Reference[[#This Row],[Duplicate Key]])</f>
        <v>1</v>
      </c>
    </row>
    <row r="3057" spans="1:10">
      <c r="A3057" s="7">
        <v>2</v>
      </c>
      <c r="B3057" s="8" t="s">
        <v>3431</v>
      </c>
      <c r="C3057" s="8" t="s">
        <v>3239</v>
      </c>
      <c r="D3057" s="7">
        <v>1</v>
      </c>
      <c r="E3057" s="7">
        <v>10</v>
      </c>
      <c r="F3057" s="7">
        <v>1</v>
      </c>
      <c r="G3057" s="8" t="s">
        <v>3230</v>
      </c>
      <c r="H3057" s="8" t="s">
        <v>3231</v>
      </c>
      <c r="I3057" s="7" t="str">
        <f>_xlfn.CONCAT(Paper_Reference[[#This Row],[Lvl]:[Paper Description]])</f>
        <v>2JD8IFOSSS4201FOSSIL D/G 48 X 1441101110SW736-5000PRECISION WHITE 43 X 145</v>
      </c>
      <c r="J3057" s="7">
        <f>COUNTIF(Paper_Reference[Duplicate Key],Paper_Reference[[#This Row],[Duplicate Key]])</f>
        <v>1</v>
      </c>
    </row>
    <row r="3058" spans="1:10">
      <c r="A3058" s="7">
        <v>2</v>
      </c>
      <c r="B3058" s="8" t="s">
        <v>3433</v>
      </c>
      <c r="C3058" s="8" t="s">
        <v>3240</v>
      </c>
      <c r="D3058" s="7">
        <v>1</v>
      </c>
      <c r="E3058" s="7">
        <v>10</v>
      </c>
      <c r="F3058" s="7">
        <v>1</v>
      </c>
      <c r="G3058" s="8" t="s">
        <v>3230</v>
      </c>
      <c r="H3058" s="8" t="s">
        <v>3231</v>
      </c>
      <c r="I3058" s="7" t="str">
        <f>_xlfn.CONCAT(Paper_Reference[[#This Row],[Lvl]:[Paper Description]])</f>
        <v>2JD8IFOSSS480FOSSIL D/G 48 X 961101110SW736-5000PRECISION WHITE 43 X 145</v>
      </c>
      <c r="J3058" s="7">
        <f>COUNTIF(Paper_Reference[Duplicate Key],Paper_Reference[[#This Row],[Duplicate Key]])</f>
        <v>1</v>
      </c>
    </row>
    <row r="3059" spans="1:10">
      <c r="A3059" s="7">
        <v>2</v>
      </c>
      <c r="B3059" s="8" t="s">
        <v>3432</v>
      </c>
      <c r="C3059" s="8" t="s">
        <v>3240</v>
      </c>
      <c r="D3059" s="7">
        <v>1</v>
      </c>
      <c r="E3059" s="7">
        <v>10</v>
      </c>
      <c r="F3059" s="7">
        <v>1</v>
      </c>
      <c r="G3059" s="8" t="s">
        <v>3230</v>
      </c>
      <c r="H3059" s="8" t="s">
        <v>3231</v>
      </c>
      <c r="I3059" s="7" t="str">
        <f>_xlfn.CONCAT(Paper_Reference[[#This Row],[Lvl]:[Paper Description]])</f>
        <v>2JD8IFOSSS4801FOSSIL D/G 48 X 961101110SW736-5000PRECISION WHITE 43 X 145</v>
      </c>
      <c r="J3059" s="7">
        <f>COUNTIF(Paper_Reference[Duplicate Key],Paper_Reference[[#This Row],[Duplicate Key]])</f>
        <v>1</v>
      </c>
    </row>
    <row r="3060" spans="1:10">
      <c r="A3060" s="7">
        <v>2</v>
      </c>
      <c r="B3060" s="8" t="s">
        <v>3908</v>
      </c>
      <c r="C3060" s="8" t="s">
        <v>3767</v>
      </c>
      <c r="D3060" s="7">
        <v>1</v>
      </c>
      <c r="E3060" s="7">
        <v>10</v>
      </c>
      <c r="F3060" s="7">
        <v>1</v>
      </c>
      <c r="G3060" s="8" t="s">
        <v>3826</v>
      </c>
      <c r="H3060" s="8" t="s">
        <v>3827</v>
      </c>
      <c r="I3060" s="7" t="str">
        <f>_xlfn.CONCAT(Paper_Reference[[#This Row],[Lvl]:[Paper Description]])</f>
        <v>2JD8IFOSSS5001FOSSIL D/G 60 X 1201101110SW736-6200PRECISION WHITE 62"</v>
      </c>
      <c r="J3060" s="7">
        <f>COUNTIF(Paper_Reference[Duplicate Key],Paper_Reference[[#This Row],[Duplicate Key]])</f>
        <v>1</v>
      </c>
    </row>
    <row r="3061" spans="1:10">
      <c r="A3061" s="7">
        <v>2</v>
      </c>
      <c r="B3061" s="8" t="s">
        <v>3908</v>
      </c>
      <c r="C3061" s="8" t="s">
        <v>3767</v>
      </c>
      <c r="D3061" s="7">
        <v>1</v>
      </c>
      <c r="E3061" s="7">
        <v>40</v>
      </c>
      <c r="F3061" s="7">
        <v>2</v>
      </c>
      <c r="G3061" s="8" t="s">
        <v>4371</v>
      </c>
      <c r="H3061" s="8" t="s">
        <v>4372</v>
      </c>
      <c r="I3061" s="7" t="str">
        <f>_xlfn.CONCAT(Paper_Reference[[#This Row],[Lvl]:[Paper Description]])</f>
        <v>2JD8IFOSSS5001FOSSIL D/G 60 X 1201402100DS064-6200BLACK</v>
      </c>
      <c r="J3061" s="7">
        <f>COUNTIF(Paper_Reference[Duplicate Key],Paper_Reference[[#This Row],[Duplicate Key]])</f>
        <v>1</v>
      </c>
    </row>
    <row r="3062" spans="1:10">
      <c r="A3062" s="7">
        <v>2</v>
      </c>
      <c r="B3062" s="8" t="s">
        <v>3909</v>
      </c>
      <c r="C3062" s="8" t="s">
        <v>3768</v>
      </c>
      <c r="D3062" s="7">
        <v>1</v>
      </c>
      <c r="E3062" s="7">
        <v>10</v>
      </c>
      <c r="F3062" s="7">
        <v>1</v>
      </c>
      <c r="G3062" s="8" t="s">
        <v>3826</v>
      </c>
      <c r="H3062" s="8" t="s">
        <v>3827</v>
      </c>
      <c r="I3062" s="7" t="str">
        <f>_xlfn.CONCAT(Paper_Reference[[#This Row],[Lvl]:[Paper Description]])</f>
        <v>2JD8IFOSSS5201FOSSIL D/G 60 X 1441101110SW736-6200PRECISION WHITE 62"</v>
      </c>
      <c r="J3062" s="7">
        <f>COUNTIF(Paper_Reference[Duplicate Key],Paper_Reference[[#This Row],[Duplicate Key]])</f>
        <v>1</v>
      </c>
    </row>
    <row r="3063" spans="1:10">
      <c r="A3063" s="7">
        <v>2</v>
      </c>
      <c r="B3063" s="8" t="s">
        <v>3909</v>
      </c>
      <c r="C3063" s="8" t="s">
        <v>3768</v>
      </c>
      <c r="D3063" s="7">
        <v>1</v>
      </c>
      <c r="E3063" s="7">
        <v>40</v>
      </c>
      <c r="F3063" s="7">
        <v>2</v>
      </c>
      <c r="G3063" s="8" t="s">
        <v>4371</v>
      </c>
      <c r="H3063" s="8" t="s">
        <v>4372</v>
      </c>
      <c r="I3063" s="7" t="str">
        <f>_xlfn.CONCAT(Paper_Reference[[#This Row],[Lvl]:[Paper Description]])</f>
        <v>2JD8IFOSSS5201FOSSIL D/G 60 X 1441402100DS064-6200BLACK</v>
      </c>
      <c r="J3063" s="7">
        <f>COUNTIF(Paper_Reference[Duplicate Key],Paper_Reference[[#This Row],[Duplicate Key]])</f>
        <v>1</v>
      </c>
    </row>
    <row r="3064" spans="1:10">
      <c r="A3064" s="7">
        <v>2</v>
      </c>
      <c r="B3064" s="8" t="s">
        <v>3910</v>
      </c>
      <c r="C3064" s="8" t="s">
        <v>3769</v>
      </c>
      <c r="D3064" s="7">
        <v>1</v>
      </c>
      <c r="E3064" s="7">
        <v>10</v>
      </c>
      <c r="F3064" s="7">
        <v>1</v>
      </c>
      <c r="G3064" s="8" t="s">
        <v>3826</v>
      </c>
      <c r="H3064" s="8" t="s">
        <v>3827</v>
      </c>
      <c r="I3064" s="7" t="str">
        <f>_xlfn.CONCAT(Paper_Reference[[#This Row],[Lvl]:[Paper Description]])</f>
        <v>2JD8IFOSSS5801FOSSIL D/G 60 X 961101110SW736-6200PRECISION WHITE 62"</v>
      </c>
      <c r="J3064" s="7">
        <f>COUNTIF(Paper_Reference[Duplicate Key],Paper_Reference[[#This Row],[Duplicate Key]])</f>
        <v>1</v>
      </c>
    </row>
    <row r="3065" spans="1:10">
      <c r="A3065" s="7">
        <v>2</v>
      </c>
      <c r="B3065" s="8" t="s">
        <v>3910</v>
      </c>
      <c r="C3065" s="8" t="s">
        <v>3769</v>
      </c>
      <c r="D3065" s="7">
        <v>1</v>
      </c>
      <c r="E3065" s="7">
        <v>40</v>
      </c>
      <c r="F3065" s="7">
        <v>2</v>
      </c>
      <c r="G3065" s="8" t="s">
        <v>4371</v>
      </c>
      <c r="H3065" s="8" t="s">
        <v>4372</v>
      </c>
      <c r="I3065" s="7" t="str">
        <f>_xlfn.CONCAT(Paper_Reference[[#This Row],[Lvl]:[Paper Description]])</f>
        <v>2JD8IFOSSS5801FOSSIL D/G 60 X 961402100DS064-6200BLACK</v>
      </c>
      <c r="J3065" s="7">
        <f>COUNTIF(Paper_Reference[Duplicate Key],Paper_Reference[[#This Row],[Duplicate Key]])</f>
        <v>1</v>
      </c>
    </row>
    <row r="3066" spans="1:10">
      <c r="A3066" s="7">
        <v>2</v>
      </c>
      <c r="B3066" s="8" t="s">
        <v>7750</v>
      </c>
      <c r="C3066" s="8" t="s">
        <v>7006</v>
      </c>
      <c r="D3066" s="7">
        <v>1</v>
      </c>
      <c r="E3066" s="7">
        <v>10</v>
      </c>
      <c r="F3066" s="7">
        <v>1</v>
      </c>
      <c r="G3066" s="8" t="s">
        <v>6710</v>
      </c>
      <c r="H3066" s="8" t="s">
        <v>5691</v>
      </c>
      <c r="I3066" s="7" t="str">
        <f>_xlfn.CONCAT(Paper_Reference[[#This Row],[Lvl]:[Paper Description]])</f>
        <v>2JD8ISPE2D3801SPECTRALITE BB D/G 36 X 961101100DS009-5000FROSTY WHITE</v>
      </c>
      <c r="J3066" s="7">
        <f>COUNTIF(Paper_Reference[Duplicate Key],Paper_Reference[[#This Row],[Duplicate Key]])</f>
        <v>1</v>
      </c>
    </row>
    <row r="3067" spans="1:10">
      <c r="A3067" s="7">
        <v>2</v>
      </c>
      <c r="B3067" s="8" t="s">
        <v>7751</v>
      </c>
      <c r="C3067" s="8" t="s">
        <v>7008</v>
      </c>
      <c r="D3067" s="7">
        <v>1</v>
      </c>
      <c r="E3067" s="7">
        <v>10</v>
      </c>
      <c r="F3067" s="7">
        <v>2</v>
      </c>
      <c r="G3067" s="8" t="s">
        <v>6710</v>
      </c>
      <c r="H3067" s="8" t="s">
        <v>5691</v>
      </c>
      <c r="I3067" s="7" t="str">
        <f>_xlfn.CONCAT(Paper_Reference[[#This Row],[Lvl]:[Paper Description]])</f>
        <v>2JD8ISPE2D4801SPECTRALITE BB D/G 48 X 961102100DS009-5000FROSTY WHITE</v>
      </c>
      <c r="J3067" s="7">
        <f>COUNTIF(Paper_Reference[Duplicate Key],Paper_Reference[[#This Row],[Duplicate Key]])</f>
        <v>1</v>
      </c>
    </row>
    <row r="3068" spans="1:10">
      <c r="A3068" s="7">
        <v>2</v>
      </c>
      <c r="B3068" s="8" t="s">
        <v>7752</v>
      </c>
      <c r="C3068" s="8" t="s">
        <v>7007</v>
      </c>
      <c r="D3068" s="7">
        <v>1</v>
      </c>
      <c r="E3068" s="7">
        <v>10</v>
      </c>
      <c r="F3068" s="7">
        <v>1</v>
      </c>
      <c r="G3068" s="8" t="s">
        <v>6710</v>
      </c>
      <c r="H3068" s="8" t="s">
        <v>5691</v>
      </c>
      <c r="I3068" s="7" t="str">
        <f>_xlfn.CONCAT(Paper_Reference[[#This Row],[Lvl]:[Paper Description]])</f>
        <v>2JD8ISPE2S4001SPECTRALITE BB D/G 48 X 1201101100DS009-5000FROSTY WHITE</v>
      </c>
      <c r="J3068" s="7">
        <f>COUNTIF(Paper_Reference[Duplicate Key],Paper_Reference[[#This Row],[Duplicate Key]])</f>
        <v>1</v>
      </c>
    </row>
    <row r="3069" spans="1:10">
      <c r="A3069" s="7">
        <v>2</v>
      </c>
      <c r="B3069" s="8" t="s">
        <v>7753</v>
      </c>
      <c r="C3069" s="8" t="s">
        <v>7008</v>
      </c>
      <c r="D3069" s="7">
        <v>1</v>
      </c>
      <c r="E3069" s="7">
        <v>10</v>
      </c>
      <c r="F3069" s="7">
        <v>1</v>
      </c>
      <c r="G3069" s="8" t="s">
        <v>6710</v>
      </c>
      <c r="H3069" s="8" t="s">
        <v>5691</v>
      </c>
      <c r="I3069" s="7" t="str">
        <f>_xlfn.CONCAT(Paper_Reference[[#This Row],[Lvl]:[Paper Description]])</f>
        <v>2JD8ISPE2S4801SPECTRALITE BB D/G 48 X 961101100DS009-5000FROSTY WHITE</v>
      </c>
      <c r="J3069" s="7">
        <f>COUNTIF(Paper_Reference[Duplicate Key],Paper_Reference[[#This Row],[Duplicate Key]])</f>
        <v>1</v>
      </c>
    </row>
    <row r="3070" spans="1:10">
      <c r="A3070" s="7">
        <v>2</v>
      </c>
      <c r="B3070" s="8" t="s">
        <v>7754</v>
      </c>
      <c r="C3070" s="8" t="s">
        <v>7010</v>
      </c>
      <c r="D3070" s="7">
        <v>1</v>
      </c>
      <c r="E3070" s="7">
        <v>10</v>
      </c>
      <c r="F3070" s="7">
        <v>1</v>
      </c>
      <c r="G3070" s="8" t="s">
        <v>6710</v>
      </c>
      <c r="H3070" s="8" t="s">
        <v>5691</v>
      </c>
      <c r="I3070" s="7" t="str">
        <f>_xlfn.CONCAT(Paper_Reference[[#This Row],[Lvl]:[Paper Description]])</f>
        <v>2JD8IZONED4001IZONE D/G 48 X 1201101100DS009-5000FROSTY WHITE</v>
      </c>
      <c r="J3070" s="7">
        <f>COUNTIF(Paper_Reference[Duplicate Key],Paper_Reference[[#This Row],[Duplicate Key]])</f>
        <v>1</v>
      </c>
    </row>
    <row r="3071" spans="1:10">
      <c r="A3071" s="7">
        <v>2</v>
      </c>
      <c r="B3071" s="8" t="s">
        <v>7755</v>
      </c>
      <c r="C3071" s="8" t="s">
        <v>7011</v>
      </c>
      <c r="D3071" s="7">
        <v>1</v>
      </c>
      <c r="E3071" s="7">
        <v>10</v>
      </c>
      <c r="F3071" s="7">
        <v>1</v>
      </c>
      <c r="G3071" s="8" t="s">
        <v>6710</v>
      </c>
      <c r="H3071" s="8" t="s">
        <v>5691</v>
      </c>
      <c r="I3071" s="7" t="str">
        <f>_xlfn.CONCAT(Paper_Reference[[#This Row],[Lvl]:[Paper Description]])</f>
        <v>2JD8IZONED4201IZONE D/G 48 X 1441101100DS009-5000FROSTY WHITE</v>
      </c>
      <c r="J3071" s="7">
        <f>COUNTIF(Paper_Reference[Duplicate Key],Paper_Reference[[#This Row],[Duplicate Key]])</f>
        <v>1</v>
      </c>
    </row>
    <row r="3072" spans="1:10">
      <c r="A3072" s="7">
        <v>2</v>
      </c>
      <c r="B3072" s="8" t="s">
        <v>7756</v>
      </c>
      <c r="C3072" s="8" t="s">
        <v>7012</v>
      </c>
      <c r="D3072" s="7">
        <v>1</v>
      </c>
      <c r="E3072" s="7">
        <v>10</v>
      </c>
      <c r="F3072" s="7">
        <v>1</v>
      </c>
      <c r="G3072" s="8" t="s">
        <v>6710</v>
      </c>
      <c r="H3072" s="8" t="s">
        <v>5691</v>
      </c>
      <c r="I3072" s="7" t="str">
        <f>_xlfn.CONCAT(Paper_Reference[[#This Row],[Lvl]:[Paper Description]])</f>
        <v>2JD8IZONED4801IZONE D/G 48 X 961101100DS009-5000FROSTY WHITE</v>
      </c>
      <c r="J3072" s="7">
        <f>COUNTIF(Paper_Reference[Duplicate Key],Paper_Reference[[#This Row],[Duplicate Key]])</f>
        <v>1</v>
      </c>
    </row>
    <row r="3073" spans="1:10">
      <c r="A3073" s="7">
        <v>2</v>
      </c>
      <c r="B3073" s="8" t="s">
        <v>5134</v>
      </c>
      <c r="C3073" s="8" t="s">
        <v>4496</v>
      </c>
      <c r="D3073" s="7">
        <v>1</v>
      </c>
      <c r="E3073" s="7">
        <v>10</v>
      </c>
      <c r="F3073" s="7">
        <v>1</v>
      </c>
      <c r="G3073" s="8" t="s">
        <v>5690</v>
      </c>
      <c r="H3073" s="8" t="s">
        <v>5691</v>
      </c>
      <c r="I3073" s="7" t="str">
        <f>_xlfn.CONCAT(Paper_Reference[[#This Row],[Lvl]:[Paper Description]])</f>
        <v>2JD8IZONED5001IZONE D/G 60 X 1201101100DS009-6200FROSTY WHITE</v>
      </c>
      <c r="J3073" s="7">
        <f>COUNTIF(Paper_Reference[Duplicate Key],Paper_Reference[[#This Row],[Duplicate Key]])</f>
        <v>1</v>
      </c>
    </row>
    <row r="3074" spans="1:10">
      <c r="A3074" s="7">
        <v>2</v>
      </c>
      <c r="B3074" s="8" t="s">
        <v>5134</v>
      </c>
      <c r="C3074" s="8" t="s">
        <v>4496</v>
      </c>
      <c r="D3074" s="7">
        <v>1</v>
      </c>
      <c r="E3074" s="7">
        <v>10</v>
      </c>
      <c r="F3074" s="7">
        <v>2</v>
      </c>
      <c r="G3074" s="8" t="s">
        <v>4371</v>
      </c>
      <c r="H3074" s="8" t="s">
        <v>4372</v>
      </c>
      <c r="I3074" s="7" t="str">
        <f>_xlfn.CONCAT(Paper_Reference[[#This Row],[Lvl]:[Paper Description]])</f>
        <v>2JD8IZONED5001IZONE D/G 60 X 1201102100DS064-6200BLACK</v>
      </c>
      <c r="J3074" s="7">
        <f>COUNTIF(Paper_Reference[Duplicate Key],Paper_Reference[[#This Row],[Duplicate Key]])</f>
        <v>1</v>
      </c>
    </row>
    <row r="3075" spans="1:10">
      <c r="A3075" s="7">
        <v>2</v>
      </c>
      <c r="B3075" s="8" t="s">
        <v>5135</v>
      </c>
      <c r="C3075" s="8" t="s">
        <v>3772</v>
      </c>
      <c r="D3075" s="7">
        <v>1</v>
      </c>
      <c r="E3075" s="7">
        <v>10</v>
      </c>
      <c r="F3075" s="7">
        <v>1</v>
      </c>
      <c r="G3075" s="8" t="s">
        <v>5690</v>
      </c>
      <c r="H3075" s="8" t="s">
        <v>5691</v>
      </c>
      <c r="I3075" s="7" t="str">
        <f>_xlfn.CONCAT(Paper_Reference[[#This Row],[Lvl]:[Paper Description]])</f>
        <v>2JD8IZONED5201IZONE D/G 60 X 1441101100DS009-6200FROSTY WHITE</v>
      </c>
      <c r="J3075" s="7">
        <f>COUNTIF(Paper_Reference[Duplicate Key],Paper_Reference[[#This Row],[Duplicate Key]])</f>
        <v>1</v>
      </c>
    </row>
    <row r="3076" spans="1:10">
      <c r="A3076" s="7">
        <v>2</v>
      </c>
      <c r="B3076" s="8" t="s">
        <v>5135</v>
      </c>
      <c r="C3076" s="8" t="s">
        <v>3772</v>
      </c>
      <c r="D3076" s="7">
        <v>1</v>
      </c>
      <c r="E3076" s="7">
        <v>10</v>
      </c>
      <c r="F3076" s="7">
        <v>2</v>
      </c>
      <c r="G3076" s="8" t="s">
        <v>4371</v>
      </c>
      <c r="H3076" s="8" t="s">
        <v>4372</v>
      </c>
      <c r="I3076" s="7" t="str">
        <f>_xlfn.CONCAT(Paper_Reference[[#This Row],[Lvl]:[Paper Description]])</f>
        <v>2JD8IZONED5201IZONE D/G 60 X 1441102100DS064-6200BLACK</v>
      </c>
      <c r="J3076" s="7">
        <f>COUNTIF(Paper_Reference[Duplicate Key],Paper_Reference[[#This Row],[Duplicate Key]])</f>
        <v>1</v>
      </c>
    </row>
    <row r="3077" spans="1:10">
      <c r="A3077" s="7">
        <v>2</v>
      </c>
      <c r="B3077" s="8" t="s">
        <v>5136</v>
      </c>
      <c r="C3077" s="8" t="s">
        <v>4497</v>
      </c>
      <c r="D3077" s="7">
        <v>1</v>
      </c>
      <c r="E3077" s="7">
        <v>10</v>
      </c>
      <c r="F3077" s="7">
        <v>1</v>
      </c>
      <c r="G3077" s="8" t="s">
        <v>5690</v>
      </c>
      <c r="H3077" s="8" t="s">
        <v>5691</v>
      </c>
      <c r="I3077" s="7" t="str">
        <f>_xlfn.CONCAT(Paper_Reference[[#This Row],[Lvl]:[Paper Description]])</f>
        <v>2JD8IZONED5801IZONE D/G 60 X 961101100DS009-6200FROSTY WHITE</v>
      </c>
      <c r="J3077" s="7">
        <f>COUNTIF(Paper_Reference[Duplicate Key],Paper_Reference[[#This Row],[Duplicate Key]])</f>
        <v>1</v>
      </c>
    </row>
    <row r="3078" spans="1:10">
      <c r="A3078" s="7">
        <v>2</v>
      </c>
      <c r="B3078" s="8" t="s">
        <v>5136</v>
      </c>
      <c r="C3078" s="8" t="s">
        <v>4497</v>
      </c>
      <c r="D3078" s="7">
        <v>1</v>
      </c>
      <c r="E3078" s="7">
        <v>10</v>
      </c>
      <c r="F3078" s="7">
        <v>2</v>
      </c>
      <c r="G3078" s="8" t="s">
        <v>4371</v>
      </c>
      <c r="H3078" s="8" t="s">
        <v>4372</v>
      </c>
      <c r="I3078" s="7" t="str">
        <f>_xlfn.CONCAT(Paper_Reference[[#This Row],[Lvl]:[Paper Description]])</f>
        <v>2JD8IZONED5801IZONE D/G 60 X 961102100DS064-6200BLACK</v>
      </c>
      <c r="J3078" s="7">
        <f>COUNTIF(Paper_Reference[Duplicate Key],Paper_Reference[[#This Row],[Duplicate Key]])</f>
        <v>1</v>
      </c>
    </row>
    <row r="3079" spans="1:10">
      <c r="A3079" s="7">
        <v>2</v>
      </c>
      <c r="B3079" s="8" t="s">
        <v>3434</v>
      </c>
      <c r="C3079" s="8" t="s">
        <v>3241</v>
      </c>
      <c r="D3079" s="7">
        <v>1</v>
      </c>
      <c r="E3079" s="7">
        <v>10</v>
      </c>
      <c r="F3079" s="7">
        <v>1</v>
      </c>
      <c r="G3079" s="8" t="s">
        <v>3230</v>
      </c>
      <c r="H3079" s="8" t="s">
        <v>3231</v>
      </c>
      <c r="I3079" s="7" t="str">
        <f>_xlfn.CONCAT(Paper_Reference[[#This Row],[Lvl]:[Paper Description]])</f>
        <v>2JD9IFOSSH4001FOSSIL D/G 48 X 1201101110SW736-5000PRECISION WHITE 43 X 145</v>
      </c>
      <c r="J3079" s="7">
        <f>COUNTIF(Paper_Reference[Duplicate Key],Paper_Reference[[#This Row],[Duplicate Key]])</f>
        <v>1</v>
      </c>
    </row>
    <row r="3080" spans="1:10">
      <c r="A3080" s="7">
        <v>2</v>
      </c>
      <c r="B3080" s="8" t="s">
        <v>3435</v>
      </c>
      <c r="C3080" s="8" t="s">
        <v>3246</v>
      </c>
      <c r="D3080" s="7">
        <v>1</v>
      </c>
      <c r="E3080" s="7">
        <v>10</v>
      </c>
      <c r="F3080" s="7">
        <v>1</v>
      </c>
      <c r="G3080" s="8" t="s">
        <v>3230</v>
      </c>
      <c r="H3080" s="8" t="s">
        <v>3231</v>
      </c>
      <c r="I3080" s="7" t="str">
        <f>_xlfn.CONCAT(Paper_Reference[[#This Row],[Lvl]:[Paper Description]])</f>
        <v>2JD9IFOSSH4201FOSSIL  D/G 48 X 1441101110SW736-5000PRECISION WHITE 43 X 145</v>
      </c>
      <c r="J3080" s="7">
        <f>COUNTIF(Paper_Reference[Duplicate Key],Paper_Reference[[#This Row],[Duplicate Key]])</f>
        <v>1</v>
      </c>
    </row>
    <row r="3081" spans="1:10">
      <c r="A3081" s="7">
        <v>2</v>
      </c>
      <c r="B3081" s="8" t="s">
        <v>3436</v>
      </c>
      <c r="C3081" s="8" t="s">
        <v>3240</v>
      </c>
      <c r="D3081" s="7">
        <v>1</v>
      </c>
      <c r="E3081" s="7">
        <v>10</v>
      </c>
      <c r="F3081" s="7">
        <v>1</v>
      </c>
      <c r="G3081" s="8" t="s">
        <v>3230</v>
      </c>
      <c r="H3081" s="8" t="s">
        <v>3231</v>
      </c>
      <c r="I3081" s="7" t="str">
        <f>_xlfn.CONCAT(Paper_Reference[[#This Row],[Lvl]:[Paper Description]])</f>
        <v>2JD9IFOSSH4801FOSSIL D/G 48 X 961101110SW736-5000PRECISION WHITE 43 X 145</v>
      </c>
      <c r="J3081" s="7">
        <f>COUNTIF(Paper_Reference[Duplicate Key],Paper_Reference[[#This Row],[Duplicate Key]])</f>
        <v>1</v>
      </c>
    </row>
    <row r="3082" spans="1:10">
      <c r="A3082" s="7">
        <v>2</v>
      </c>
      <c r="B3082" s="8" t="s">
        <v>3911</v>
      </c>
      <c r="C3082" s="8" t="s">
        <v>3767</v>
      </c>
      <c r="D3082" s="7">
        <v>1</v>
      </c>
      <c r="E3082" s="7">
        <v>10</v>
      </c>
      <c r="F3082" s="7">
        <v>1</v>
      </c>
      <c r="G3082" s="8" t="s">
        <v>3826</v>
      </c>
      <c r="H3082" s="8" t="s">
        <v>3827</v>
      </c>
      <c r="I3082" s="7" t="str">
        <f>_xlfn.CONCAT(Paper_Reference[[#This Row],[Lvl]:[Paper Description]])</f>
        <v>2JD9IFOSSH5001FOSSIL D/G 60 X 1201101110SW736-6200PRECISION WHITE 62"</v>
      </c>
      <c r="J3082" s="7">
        <f>COUNTIF(Paper_Reference[Duplicate Key],Paper_Reference[[#This Row],[Duplicate Key]])</f>
        <v>1</v>
      </c>
    </row>
    <row r="3083" spans="1:10">
      <c r="A3083" s="7">
        <v>2</v>
      </c>
      <c r="B3083" s="8" t="s">
        <v>3911</v>
      </c>
      <c r="C3083" s="8" t="s">
        <v>3767</v>
      </c>
      <c r="D3083" s="7">
        <v>1</v>
      </c>
      <c r="E3083" s="7">
        <v>40</v>
      </c>
      <c r="F3083" s="7">
        <v>1</v>
      </c>
      <c r="G3083" s="8" t="s">
        <v>4371</v>
      </c>
      <c r="H3083" s="8" t="s">
        <v>4372</v>
      </c>
      <c r="I3083" s="7" t="str">
        <f>_xlfn.CONCAT(Paper_Reference[[#This Row],[Lvl]:[Paper Description]])</f>
        <v>2JD9IFOSSH5001FOSSIL D/G 60 X 1201401100DS064-6200BLACK</v>
      </c>
      <c r="J3083" s="7">
        <f>COUNTIF(Paper_Reference[Duplicate Key],Paper_Reference[[#This Row],[Duplicate Key]])</f>
        <v>1</v>
      </c>
    </row>
    <row r="3084" spans="1:10">
      <c r="A3084" s="7">
        <v>2</v>
      </c>
      <c r="B3084" s="8" t="s">
        <v>3912</v>
      </c>
      <c r="C3084" s="8" t="s">
        <v>3768</v>
      </c>
      <c r="D3084" s="7">
        <v>1</v>
      </c>
      <c r="E3084" s="7">
        <v>10</v>
      </c>
      <c r="F3084" s="7">
        <v>1</v>
      </c>
      <c r="G3084" s="8" t="s">
        <v>3826</v>
      </c>
      <c r="H3084" s="8" t="s">
        <v>3827</v>
      </c>
      <c r="I3084" s="7" t="str">
        <f>_xlfn.CONCAT(Paper_Reference[[#This Row],[Lvl]:[Paper Description]])</f>
        <v>2JD9IFOSSH5201FOSSIL D/G 60 X 1441101110SW736-6200PRECISION WHITE 62"</v>
      </c>
      <c r="J3084" s="7">
        <f>COUNTIF(Paper_Reference[Duplicate Key],Paper_Reference[[#This Row],[Duplicate Key]])</f>
        <v>1</v>
      </c>
    </row>
    <row r="3085" spans="1:10">
      <c r="A3085" s="7">
        <v>2</v>
      </c>
      <c r="B3085" s="8" t="s">
        <v>3912</v>
      </c>
      <c r="C3085" s="8" t="s">
        <v>3768</v>
      </c>
      <c r="D3085" s="7">
        <v>1</v>
      </c>
      <c r="E3085" s="7">
        <v>40</v>
      </c>
      <c r="F3085" s="7">
        <v>1</v>
      </c>
      <c r="G3085" s="8" t="s">
        <v>4371</v>
      </c>
      <c r="H3085" s="8" t="s">
        <v>4372</v>
      </c>
      <c r="I3085" s="7" t="str">
        <f>_xlfn.CONCAT(Paper_Reference[[#This Row],[Lvl]:[Paper Description]])</f>
        <v>2JD9IFOSSH5201FOSSIL D/G 60 X 1441401100DS064-6200BLACK</v>
      </c>
      <c r="J3085" s="7">
        <f>COUNTIF(Paper_Reference[Duplicate Key],Paper_Reference[[#This Row],[Duplicate Key]])</f>
        <v>1</v>
      </c>
    </row>
    <row r="3086" spans="1:10">
      <c r="A3086" s="7">
        <v>2</v>
      </c>
      <c r="B3086" s="8" t="s">
        <v>3913</v>
      </c>
      <c r="C3086" s="8" t="s">
        <v>3769</v>
      </c>
      <c r="D3086" s="7">
        <v>1</v>
      </c>
      <c r="E3086" s="7">
        <v>10</v>
      </c>
      <c r="F3086" s="7">
        <v>1</v>
      </c>
      <c r="G3086" s="8" t="s">
        <v>3826</v>
      </c>
      <c r="H3086" s="8" t="s">
        <v>3827</v>
      </c>
      <c r="I3086" s="7" t="str">
        <f>_xlfn.CONCAT(Paper_Reference[[#This Row],[Lvl]:[Paper Description]])</f>
        <v>2JD9IFOSSH5801FOSSIL D/G 60 X 961101110SW736-6200PRECISION WHITE 62"</v>
      </c>
      <c r="J3086" s="7">
        <f>COUNTIF(Paper_Reference[Duplicate Key],Paper_Reference[[#This Row],[Duplicate Key]])</f>
        <v>1</v>
      </c>
    </row>
    <row r="3087" spans="1:10">
      <c r="A3087" s="7">
        <v>2</v>
      </c>
      <c r="B3087" s="8" t="s">
        <v>3913</v>
      </c>
      <c r="C3087" s="8" t="s">
        <v>3769</v>
      </c>
      <c r="D3087" s="7">
        <v>1</v>
      </c>
      <c r="E3087" s="7">
        <v>40</v>
      </c>
      <c r="F3087" s="7">
        <v>1</v>
      </c>
      <c r="G3087" s="8" t="s">
        <v>4371</v>
      </c>
      <c r="H3087" s="8" t="s">
        <v>4372</v>
      </c>
      <c r="I3087" s="7" t="str">
        <f>_xlfn.CONCAT(Paper_Reference[[#This Row],[Lvl]:[Paper Description]])</f>
        <v>2JD9IFOSSH5801FOSSIL D/G 60 X 961401100DS064-6200BLACK</v>
      </c>
      <c r="J3087" s="7">
        <f>COUNTIF(Paper_Reference[Duplicate Key],Paper_Reference[[#This Row],[Duplicate Key]])</f>
        <v>1</v>
      </c>
    </row>
    <row r="3088" spans="1:10">
      <c r="A3088" s="7">
        <v>2</v>
      </c>
      <c r="B3088" s="8" t="s">
        <v>3914</v>
      </c>
      <c r="C3088" s="8" t="s">
        <v>3768</v>
      </c>
      <c r="D3088" s="7">
        <v>1</v>
      </c>
      <c r="E3088" s="7">
        <v>10</v>
      </c>
      <c r="F3088" s="7">
        <v>1</v>
      </c>
      <c r="G3088" s="8" t="s">
        <v>3826</v>
      </c>
      <c r="H3088" s="8" t="s">
        <v>3827</v>
      </c>
      <c r="I3088" s="7" t="str">
        <f>_xlfn.CONCAT(Paper_Reference[[#This Row],[Lvl]:[Paper Description]])</f>
        <v>2JD9IFOSSLS5201FOSSIL D/G 60 X 1441101110SW736-6200PRECISION WHITE 62"</v>
      </c>
      <c r="J3088" s="7">
        <f>COUNTIF(Paper_Reference[Duplicate Key],Paper_Reference[[#This Row],[Duplicate Key]])</f>
        <v>1</v>
      </c>
    </row>
    <row r="3089" spans="1:10">
      <c r="A3089" s="7">
        <v>2</v>
      </c>
      <c r="B3089" s="8" t="s">
        <v>3914</v>
      </c>
      <c r="C3089" s="8" t="s">
        <v>3768</v>
      </c>
      <c r="D3089" s="7">
        <v>1</v>
      </c>
      <c r="E3089" s="7">
        <v>40</v>
      </c>
      <c r="F3089" s="7">
        <v>1</v>
      </c>
      <c r="G3089" s="8" t="s">
        <v>4371</v>
      </c>
      <c r="H3089" s="8" t="s">
        <v>4372</v>
      </c>
      <c r="I3089" s="7" t="str">
        <f>_xlfn.CONCAT(Paper_Reference[[#This Row],[Lvl]:[Paper Description]])</f>
        <v>2JD9IFOSSLS5201FOSSIL D/G 60 X 1441401100DS064-6200BLACK</v>
      </c>
      <c r="J3089" s="7">
        <f>COUNTIF(Paper_Reference[Duplicate Key],Paper_Reference[[#This Row],[Duplicate Key]])</f>
        <v>1</v>
      </c>
    </row>
    <row r="3090" spans="1:10">
      <c r="A3090" s="7">
        <v>2</v>
      </c>
      <c r="B3090" s="8" t="s">
        <v>3437</v>
      </c>
      <c r="C3090" s="8" t="s">
        <v>3240</v>
      </c>
      <c r="D3090" s="7">
        <v>1</v>
      </c>
      <c r="E3090" s="7">
        <v>10</v>
      </c>
      <c r="F3090" s="7">
        <v>1</v>
      </c>
      <c r="G3090" s="8" t="s">
        <v>3230</v>
      </c>
      <c r="H3090" s="8" t="s">
        <v>3231</v>
      </c>
      <c r="I3090" s="7" t="str">
        <f>_xlfn.CONCAT(Paper_Reference[[#This Row],[Lvl]:[Paper Description]])</f>
        <v>2JD9IFOSSPV4801FOSSIL D/G 48 X 961101110SW736-5000PRECISION WHITE 43 X 145</v>
      </c>
      <c r="J3090" s="7">
        <f>COUNTIF(Paper_Reference[Duplicate Key],Paper_Reference[[#This Row],[Duplicate Key]])</f>
        <v>1</v>
      </c>
    </row>
    <row r="3091" spans="1:10">
      <c r="A3091" s="7">
        <v>2</v>
      </c>
      <c r="B3091" s="8" t="s">
        <v>3915</v>
      </c>
      <c r="C3091" s="8" t="s">
        <v>3768</v>
      </c>
      <c r="D3091" s="7">
        <v>1</v>
      </c>
      <c r="E3091" s="7">
        <v>10</v>
      </c>
      <c r="F3091" s="7">
        <v>1</v>
      </c>
      <c r="G3091" s="8" t="s">
        <v>3826</v>
      </c>
      <c r="H3091" s="8" t="s">
        <v>3827</v>
      </c>
      <c r="I3091" s="7" t="str">
        <f>_xlfn.CONCAT(Paper_Reference[[#This Row],[Lvl]:[Paper Description]])</f>
        <v>2JD9IFOSSPV5201FOSSIL D/G 60 X 1441101110SW736-6200PRECISION WHITE 62"</v>
      </c>
      <c r="J3091" s="7">
        <f>COUNTIF(Paper_Reference[Duplicate Key],Paper_Reference[[#This Row],[Duplicate Key]])</f>
        <v>1</v>
      </c>
    </row>
    <row r="3092" spans="1:10">
      <c r="A3092" s="7">
        <v>2</v>
      </c>
      <c r="B3092" s="8" t="s">
        <v>3915</v>
      </c>
      <c r="C3092" s="8" t="s">
        <v>3768</v>
      </c>
      <c r="D3092" s="7">
        <v>1</v>
      </c>
      <c r="E3092" s="7">
        <v>40</v>
      </c>
      <c r="F3092" s="7">
        <v>1</v>
      </c>
      <c r="G3092" s="8" t="s">
        <v>4371</v>
      </c>
      <c r="H3092" s="8" t="s">
        <v>4372</v>
      </c>
      <c r="I3092" s="7" t="str">
        <f>_xlfn.CONCAT(Paper_Reference[[#This Row],[Lvl]:[Paper Description]])</f>
        <v>2JD9IFOSSPV5201FOSSIL D/G 60 X 1441401100DS064-6200BLACK</v>
      </c>
      <c r="J3092" s="7">
        <f>COUNTIF(Paper_Reference[Duplicate Key],Paper_Reference[[#This Row],[Duplicate Key]])</f>
        <v>1</v>
      </c>
    </row>
    <row r="3093" spans="1:10">
      <c r="A3093" s="7">
        <v>2</v>
      </c>
      <c r="B3093" s="8" t="s">
        <v>3438</v>
      </c>
      <c r="C3093" s="8" t="s">
        <v>3240</v>
      </c>
      <c r="D3093" s="7">
        <v>1</v>
      </c>
      <c r="E3093" s="7">
        <v>10</v>
      </c>
      <c r="F3093" s="7">
        <v>1</v>
      </c>
      <c r="G3093" s="8" t="s">
        <v>3230</v>
      </c>
      <c r="H3093" s="8" t="s">
        <v>3231</v>
      </c>
      <c r="I3093" s="7" t="str">
        <f>_xlfn.CONCAT(Paper_Reference[[#This Row],[Lvl]:[Paper Description]])</f>
        <v>2JD9IFOSSS4801FOSSIL D/G 48 X 961101110SW736-5000PRECISION WHITE 43 X 145</v>
      </c>
      <c r="J3093" s="7">
        <f>COUNTIF(Paper_Reference[Duplicate Key],Paper_Reference[[#This Row],[Duplicate Key]])</f>
        <v>1</v>
      </c>
    </row>
    <row r="3094" spans="1:10">
      <c r="A3094" s="7">
        <v>2</v>
      </c>
      <c r="B3094" s="8" t="s">
        <v>3916</v>
      </c>
      <c r="C3094" s="8" t="s">
        <v>3768</v>
      </c>
      <c r="D3094" s="7">
        <v>1</v>
      </c>
      <c r="E3094" s="7">
        <v>10</v>
      </c>
      <c r="F3094" s="7">
        <v>1</v>
      </c>
      <c r="G3094" s="8" t="s">
        <v>3826</v>
      </c>
      <c r="H3094" s="8" t="s">
        <v>3827</v>
      </c>
      <c r="I3094" s="7" t="str">
        <f>_xlfn.CONCAT(Paper_Reference[[#This Row],[Lvl]:[Paper Description]])</f>
        <v>2JD9IFOSSS5201FOSSIL D/G 60 X 1441101110SW736-6200PRECISION WHITE 62"</v>
      </c>
      <c r="J3094" s="7">
        <f>COUNTIF(Paper_Reference[Duplicate Key],Paper_Reference[[#This Row],[Duplicate Key]])</f>
        <v>1</v>
      </c>
    </row>
    <row r="3095" spans="1:10">
      <c r="A3095" s="7">
        <v>2</v>
      </c>
      <c r="B3095" s="8" t="s">
        <v>3916</v>
      </c>
      <c r="C3095" s="8" t="s">
        <v>3768</v>
      </c>
      <c r="D3095" s="7">
        <v>1</v>
      </c>
      <c r="E3095" s="7">
        <v>40</v>
      </c>
      <c r="F3095" s="7">
        <v>1</v>
      </c>
      <c r="G3095" s="8" t="s">
        <v>4371</v>
      </c>
      <c r="H3095" s="8" t="s">
        <v>4372</v>
      </c>
      <c r="I3095" s="7" t="str">
        <f>_xlfn.CONCAT(Paper_Reference[[#This Row],[Lvl]:[Paper Description]])</f>
        <v>2JD9IFOSSS5201FOSSIL D/G 60 X 1441401100DS064-6200BLACK</v>
      </c>
      <c r="J3095" s="7">
        <f>COUNTIF(Paper_Reference[Duplicate Key],Paper_Reference[[#This Row],[Duplicate Key]])</f>
        <v>1</v>
      </c>
    </row>
    <row r="3096" spans="1:10">
      <c r="A3096" s="7">
        <v>2</v>
      </c>
      <c r="B3096" s="8" t="s">
        <v>3917</v>
      </c>
      <c r="C3096" s="8" t="s">
        <v>3769</v>
      </c>
      <c r="D3096" s="7">
        <v>1</v>
      </c>
      <c r="E3096" s="7">
        <v>10</v>
      </c>
      <c r="F3096" s="7">
        <v>1</v>
      </c>
      <c r="G3096" s="8" t="s">
        <v>3826</v>
      </c>
      <c r="H3096" s="8" t="s">
        <v>3827</v>
      </c>
      <c r="I3096" s="7" t="str">
        <f>_xlfn.CONCAT(Paper_Reference[[#This Row],[Lvl]:[Paper Description]])</f>
        <v>2JD9IFOSSS5801FOSSIL D/G 60 X 961101110SW736-6200PRECISION WHITE 62"</v>
      </c>
      <c r="J3096" s="7">
        <f>COUNTIF(Paper_Reference[Duplicate Key],Paper_Reference[[#This Row],[Duplicate Key]])</f>
        <v>1</v>
      </c>
    </row>
    <row r="3097" spans="1:10">
      <c r="A3097" s="7">
        <v>2</v>
      </c>
      <c r="B3097" s="8" t="s">
        <v>3917</v>
      </c>
      <c r="C3097" s="8" t="s">
        <v>3769</v>
      </c>
      <c r="D3097" s="7">
        <v>1</v>
      </c>
      <c r="E3097" s="7">
        <v>40</v>
      </c>
      <c r="F3097" s="7">
        <v>1</v>
      </c>
      <c r="G3097" s="8" t="s">
        <v>4371</v>
      </c>
      <c r="H3097" s="8" t="s">
        <v>4372</v>
      </c>
      <c r="I3097" s="7" t="str">
        <f>_xlfn.CONCAT(Paper_Reference[[#This Row],[Lvl]:[Paper Description]])</f>
        <v>2JD9IFOSSS5801FOSSIL D/G 60 X 961401100DS064-6200BLACK</v>
      </c>
      <c r="J3097" s="7">
        <f>COUNTIF(Paper_Reference[Duplicate Key],Paper_Reference[[#This Row],[Duplicate Key]])</f>
        <v>1</v>
      </c>
    </row>
    <row r="3098" spans="1:10">
      <c r="A3098" s="7">
        <v>2</v>
      </c>
      <c r="B3098" s="8" t="s">
        <v>7757</v>
      </c>
      <c r="C3098" s="8" t="s">
        <v>7010</v>
      </c>
      <c r="D3098" s="7">
        <v>1</v>
      </c>
      <c r="E3098" s="7">
        <v>10</v>
      </c>
      <c r="F3098" s="7">
        <v>1</v>
      </c>
      <c r="G3098" s="8" t="s">
        <v>6710</v>
      </c>
      <c r="H3098" s="8" t="s">
        <v>5691</v>
      </c>
      <c r="I3098" s="7" t="str">
        <f>_xlfn.CONCAT(Paper_Reference[[#This Row],[Lvl]:[Paper Description]])</f>
        <v>2JD9IZONED4001IZONE D/G 48 X 1201101100DS009-5000FROSTY WHITE</v>
      </c>
      <c r="J3098" s="7">
        <f>COUNTIF(Paper_Reference[Duplicate Key],Paper_Reference[[#This Row],[Duplicate Key]])</f>
        <v>1</v>
      </c>
    </row>
    <row r="3099" spans="1:10">
      <c r="A3099" s="7">
        <v>2</v>
      </c>
      <c r="B3099" s="8" t="s">
        <v>7758</v>
      </c>
      <c r="C3099" s="8" t="s">
        <v>7011</v>
      </c>
      <c r="D3099" s="7">
        <v>1</v>
      </c>
      <c r="E3099" s="7">
        <v>10</v>
      </c>
      <c r="F3099" s="7">
        <v>1</v>
      </c>
      <c r="G3099" s="8" t="s">
        <v>6710</v>
      </c>
      <c r="H3099" s="8" t="s">
        <v>5691</v>
      </c>
      <c r="I3099" s="7" t="str">
        <f>_xlfn.CONCAT(Paper_Reference[[#This Row],[Lvl]:[Paper Description]])</f>
        <v>2JD9IZONED4201IZONE D/G 48 X 1441101100DS009-5000FROSTY WHITE</v>
      </c>
      <c r="J3099" s="7">
        <f>COUNTIF(Paper_Reference[Duplicate Key],Paper_Reference[[#This Row],[Duplicate Key]])</f>
        <v>1</v>
      </c>
    </row>
    <row r="3100" spans="1:10">
      <c r="A3100" s="7">
        <v>2</v>
      </c>
      <c r="B3100" s="8" t="s">
        <v>7759</v>
      </c>
      <c r="C3100" s="8" t="s">
        <v>7012</v>
      </c>
      <c r="D3100" s="7">
        <v>1</v>
      </c>
      <c r="E3100" s="7">
        <v>10</v>
      </c>
      <c r="F3100" s="7">
        <v>1</v>
      </c>
      <c r="G3100" s="8" t="s">
        <v>6710</v>
      </c>
      <c r="H3100" s="8" t="s">
        <v>5691</v>
      </c>
      <c r="I3100" s="7" t="str">
        <f>_xlfn.CONCAT(Paper_Reference[[#This Row],[Lvl]:[Paper Description]])</f>
        <v>2JD9IZONED4801IZONE D/G 48 X 961101100DS009-5000FROSTY WHITE</v>
      </c>
      <c r="J3100" s="7">
        <f>COUNTIF(Paper_Reference[Duplicate Key],Paper_Reference[[#This Row],[Duplicate Key]])</f>
        <v>1</v>
      </c>
    </row>
    <row r="3101" spans="1:10">
      <c r="A3101" s="7">
        <v>2</v>
      </c>
      <c r="B3101" s="8" t="s">
        <v>5137</v>
      </c>
      <c r="C3101" s="8" t="s">
        <v>4496</v>
      </c>
      <c r="D3101" s="7">
        <v>1</v>
      </c>
      <c r="E3101" s="7">
        <v>10</v>
      </c>
      <c r="F3101" s="7">
        <v>1</v>
      </c>
      <c r="G3101" s="8" t="s">
        <v>5690</v>
      </c>
      <c r="H3101" s="8" t="s">
        <v>5691</v>
      </c>
      <c r="I3101" s="7" t="str">
        <f>_xlfn.CONCAT(Paper_Reference[[#This Row],[Lvl]:[Paper Description]])</f>
        <v>2JD9IZONED5001IZONE D/G 60 X 1201101100DS009-6200FROSTY WHITE</v>
      </c>
      <c r="J3101" s="7">
        <f>COUNTIF(Paper_Reference[Duplicate Key],Paper_Reference[[#This Row],[Duplicate Key]])</f>
        <v>1</v>
      </c>
    </row>
    <row r="3102" spans="1:10">
      <c r="A3102" s="7">
        <v>2</v>
      </c>
      <c r="B3102" s="8" t="s">
        <v>5137</v>
      </c>
      <c r="C3102" s="8" t="s">
        <v>4496</v>
      </c>
      <c r="D3102" s="7">
        <v>1</v>
      </c>
      <c r="E3102" s="7">
        <v>10</v>
      </c>
      <c r="F3102" s="7">
        <v>1</v>
      </c>
      <c r="G3102" s="8" t="s">
        <v>4371</v>
      </c>
      <c r="H3102" s="8" t="s">
        <v>4372</v>
      </c>
      <c r="I3102" s="7" t="str">
        <f>_xlfn.CONCAT(Paper_Reference[[#This Row],[Lvl]:[Paper Description]])</f>
        <v>2JD9IZONED5001IZONE D/G 60 X 1201101100DS064-6200BLACK</v>
      </c>
      <c r="J3102" s="7">
        <f>COUNTIF(Paper_Reference[Duplicate Key],Paper_Reference[[#This Row],[Duplicate Key]])</f>
        <v>1</v>
      </c>
    </row>
    <row r="3103" spans="1:10">
      <c r="A3103" s="7">
        <v>2</v>
      </c>
      <c r="B3103" s="8" t="s">
        <v>5138</v>
      </c>
      <c r="C3103" s="8" t="s">
        <v>3772</v>
      </c>
      <c r="D3103" s="7">
        <v>1</v>
      </c>
      <c r="E3103" s="7">
        <v>10</v>
      </c>
      <c r="F3103" s="7">
        <v>1</v>
      </c>
      <c r="G3103" s="8" t="s">
        <v>5690</v>
      </c>
      <c r="H3103" s="8" t="s">
        <v>5691</v>
      </c>
      <c r="I3103" s="7" t="str">
        <f>_xlfn.CONCAT(Paper_Reference[[#This Row],[Lvl]:[Paper Description]])</f>
        <v>2JD9IZONED5201IZONE D/G 60 X 1441101100DS009-6200FROSTY WHITE</v>
      </c>
      <c r="J3103" s="7">
        <f>COUNTIF(Paper_Reference[Duplicate Key],Paper_Reference[[#This Row],[Duplicate Key]])</f>
        <v>1</v>
      </c>
    </row>
    <row r="3104" spans="1:10">
      <c r="A3104" s="7">
        <v>2</v>
      </c>
      <c r="B3104" s="8" t="s">
        <v>5138</v>
      </c>
      <c r="C3104" s="8" t="s">
        <v>3772</v>
      </c>
      <c r="D3104" s="7">
        <v>1</v>
      </c>
      <c r="E3104" s="7">
        <v>10</v>
      </c>
      <c r="F3104" s="7">
        <v>1</v>
      </c>
      <c r="G3104" s="8" t="s">
        <v>4371</v>
      </c>
      <c r="H3104" s="8" t="s">
        <v>4372</v>
      </c>
      <c r="I3104" s="7" t="str">
        <f>_xlfn.CONCAT(Paper_Reference[[#This Row],[Lvl]:[Paper Description]])</f>
        <v>2JD9IZONED5201IZONE D/G 60 X 1441101100DS064-6200BLACK</v>
      </c>
      <c r="J3104" s="7">
        <f>COUNTIF(Paper_Reference[Duplicate Key],Paper_Reference[[#This Row],[Duplicate Key]])</f>
        <v>1</v>
      </c>
    </row>
    <row r="3105" spans="1:10">
      <c r="A3105" s="7">
        <v>2</v>
      </c>
      <c r="B3105" s="8" t="s">
        <v>5139</v>
      </c>
      <c r="C3105" s="8" t="s">
        <v>4497</v>
      </c>
      <c r="D3105" s="7">
        <v>1</v>
      </c>
      <c r="E3105" s="7">
        <v>10</v>
      </c>
      <c r="F3105" s="7">
        <v>1</v>
      </c>
      <c r="G3105" s="8" t="s">
        <v>5690</v>
      </c>
      <c r="H3105" s="8" t="s">
        <v>5691</v>
      </c>
      <c r="I3105" s="7" t="str">
        <f>_xlfn.CONCAT(Paper_Reference[[#This Row],[Lvl]:[Paper Description]])</f>
        <v>2JD9IZONED5801IZONE D/G 60 X 961101100DS009-6200FROSTY WHITE</v>
      </c>
      <c r="J3105" s="7">
        <f>COUNTIF(Paper_Reference[Duplicate Key],Paper_Reference[[#This Row],[Duplicate Key]])</f>
        <v>1</v>
      </c>
    </row>
    <row r="3106" spans="1:10">
      <c r="A3106" s="7">
        <v>2</v>
      </c>
      <c r="B3106" s="8" t="s">
        <v>5139</v>
      </c>
      <c r="C3106" s="8" t="s">
        <v>4497</v>
      </c>
      <c r="D3106" s="7">
        <v>1</v>
      </c>
      <c r="E3106" s="7">
        <v>10</v>
      </c>
      <c r="F3106" s="7">
        <v>1</v>
      </c>
      <c r="G3106" s="8" t="s">
        <v>4371</v>
      </c>
      <c r="H3106" s="8" t="s">
        <v>4372</v>
      </c>
      <c r="I3106" s="7" t="str">
        <f>_xlfn.CONCAT(Paper_Reference[[#This Row],[Lvl]:[Paper Description]])</f>
        <v>2JD9IZONED5801IZONE D/G 60 X 961101100DS064-6200BLACK</v>
      </c>
      <c r="J3106" s="7">
        <f>COUNTIF(Paper_Reference[Duplicate Key],Paper_Reference[[#This Row],[Duplicate Key]])</f>
        <v>1</v>
      </c>
    </row>
    <row r="3107" spans="1:10">
      <c r="A3107" s="7">
        <v>2</v>
      </c>
      <c r="B3107" s="8" t="s">
        <v>7760</v>
      </c>
      <c r="C3107" s="8" t="s">
        <v>7017</v>
      </c>
      <c r="D3107" s="7">
        <v>1</v>
      </c>
      <c r="E3107" s="7">
        <v>10</v>
      </c>
      <c r="F3107" s="7">
        <v>1</v>
      </c>
      <c r="G3107" s="8" t="s">
        <v>6710</v>
      </c>
      <c r="H3107" s="8" t="s">
        <v>5691</v>
      </c>
      <c r="I3107" s="7" t="str">
        <f>_xlfn.CONCAT(Paper_Reference[[#This Row],[Lvl]:[Paper Description]])</f>
        <v>2JD9R0033N4001RGB PROM P1 D/G 48 X 1201101100DS009-5000FROSTY WHITE</v>
      </c>
      <c r="J3107" s="7">
        <f>COUNTIF(Paper_Reference[Duplicate Key],Paper_Reference[[#This Row],[Duplicate Key]])</f>
        <v>1</v>
      </c>
    </row>
    <row r="3108" spans="1:10">
      <c r="A3108" s="7">
        <v>2</v>
      </c>
      <c r="B3108" s="8" t="s">
        <v>5140</v>
      </c>
      <c r="C3108" s="8" t="s">
        <v>4498</v>
      </c>
      <c r="D3108" s="7">
        <v>1</v>
      </c>
      <c r="E3108" s="7">
        <v>10</v>
      </c>
      <c r="F3108" s="7">
        <v>1</v>
      </c>
      <c r="G3108" s="8" t="s">
        <v>5690</v>
      </c>
      <c r="H3108" s="8" t="s">
        <v>5691</v>
      </c>
      <c r="I3108" s="7" t="str">
        <f>_xlfn.CONCAT(Paper_Reference[[#This Row],[Lvl]:[Paper Description]])</f>
        <v>2JD9R0034N5201RGB PROM P2 D/G 60 X 1441101100DS009-6200FROSTY WHITE</v>
      </c>
      <c r="J3108" s="7">
        <f>COUNTIF(Paper_Reference[Duplicate Key],Paper_Reference[[#This Row],[Duplicate Key]])</f>
        <v>1</v>
      </c>
    </row>
    <row r="3109" spans="1:10">
      <c r="A3109" s="7">
        <v>2</v>
      </c>
      <c r="B3109" s="8" t="s">
        <v>5140</v>
      </c>
      <c r="C3109" s="8" t="s">
        <v>4498</v>
      </c>
      <c r="D3109" s="7">
        <v>1</v>
      </c>
      <c r="E3109" s="7">
        <v>10</v>
      </c>
      <c r="F3109" s="7">
        <v>1</v>
      </c>
      <c r="G3109" s="8" t="s">
        <v>4371</v>
      </c>
      <c r="H3109" s="8" t="s">
        <v>4372</v>
      </c>
      <c r="I3109" s="7" t="str">
        <f>_xlfn.CONCAT(Paper_Reference[[#This Row],[Lvl]:[Paper Description]])</f>
        <v>2JD9R0034N5201RGB PROM P2 D/G 60 X 1441101100DS064-6200BLACK</v>
      </c>
      <c r="J3109" s="7">
        <f>COUNTIF(Paper_Reference[Duplicate Key],Paper_Reference[[#This Row],[Duplicate Key]])</f>
        <v>1</v>
      </c>
    </row>
    <row r="3110" spans="1:10">
      <c r="A3110" s="7">
        <v>2</v>
      </c>
      <c r="B3110" s="8" t="s">
        <v>5141</v>
      </c>
      <c r="C3110" s="8" t="s">
        <v>4499</v>
      </c>
      <c r="D3110" s="7">
        <v>1</v>
      </c>
      <c r="E3110" s="7">
        <v>10</v>
      </c>
      <c r="F3110" s="7">
        <v>1</v>
      </c>
      <c r="G3110" s="8" t="s">
        <v>5690</v>
      </c>
      <c r="H3110" s="8" t="s">
        <v>5691</v>
      </c>
      <c r="I3110" s="7" t="str">
        <f>_xlfn.CONCAT(Paper_Reference[[#This Row],[Lvl]:[Paper Description]])</f>
        <v>2JD9R0035N5201RGB PROM P3 D/G 60 X 1441101100DS009-6200FROSTY WHITE</v>
      </c>
      <c r="J3110" s="7">
        <f>COUNTIF(Paper_Reference[Duplicate Key],Paper_Reference[[#This Row],[Duplicate Key]])</f>
        <v>1</v>
      </c>
    </row>
    <row r="3111" spans="1:10">
      <c r="A3111" s="7">
        <v>2</v>
      </c>
      <c r="B3111" s="8" t="s">
        <v>5141</v>
      </c>
      <c r="C3111" s="8" t="s">
        <v>4499</v>
      </c>
      <c r="D3111" s="7">
        <v>1</v>
      </c>
      <c r="E3111" s="7">
        <v>10</v>
      </c>
      <c r="F3111" s="7">
        <v>1</v>
      </c>
      <c r="G3111" s="8" t="s">
        <v>4371</v>
      </c>
      <c r="H3111" s="8" t="s">
        <v>4372</v>
      </c>
      <c r="I3111" s="7" t="str">
        <f>_xlfn.CONCAT(Paper_Reference[[#This Row],[Lvl]:[Paper Description]])</f>
        <v>2JD9R0035N5201RGB PROM P3 D/G 60 X 1441101100DS064-6200BLACK</v>
      </c>
      <c r="J3111" s="7">
        <f>COUNTIF(Paper_Reference[Duplicate Key],Paper_Reference[[#This Row],[Duplicate Key]])</f>
        <v>1</v>
      </c>
    </row>
    <row r="3112" spans="1:10">
      <c r="A3112" s="7">
        <v>2</v>
      </c>
      <c r="B3112" s="8" t="s">
        <v>7761</v>
      </c>
      <c r="C3112" s="8" t="s">
        <v>7018</v>
      </c>
      <c r="D3112" s="7">
        <v>1</v>
      </c>
      <c r="E3112" s="7">
        <v>10</v>
      </c>
      <c r="F3112" s="7">
        <v>1</v>
      </c>
      <c r="G3112" s="8" t="s">
        <v>6710</v>
      </c>
      <c r="H3112" s="8" t="s">
        <v>5691</v>
      </c>
      <c r="I3112" s="7" t="str">
        <f>_xlfn.CONCAT(Paper_Reference[[#This Row],[Lvl]:[Paper Description]])</f>
        <v>2JD9R0036N4001RGB PROM P4 D/G 48 X 1201101100DS009-5000FROSTY WHITE</v>
      </c>
      <c r="J3112" s="7">
        <f>COUNTIF(Paper_Reference[Duplicate Key],Paper_Reference[[#This Row],[Duplicate Key]])</f>
        <v>1</v>
      </c>
    </row>
    <row r="3113" spans="1:10">
      <c r="A3113" s="7">
        <v>2</v>
      </c>
      <c r="B3113" s="8" t="s">
        <v>5142</v>
      </c>
      <c r="C3113" s="8" t="s">
        <v>4500</v>
      </c>
      <c r="D3113" s="7">
        <v>1</v>
      </c>
      <c r="E3113" s="7">
        <v>10</v>
      </c>
      <c r="F3113" s="7">
        <v>1</v>
      </c>
      <c r="G3113" s="8" t="s">
        <v>5690</v>
      </c>
      <c r="H3113" s="8" t="s">
        <v>5691</v>
      </c>
      <c r="I3113" s="7" t="str">
        <f>_xlfn.CONCAT(Paper_Reference[[#This Row],[Lvl]:[Paper Description]])</f>
        <v>2JD9R0037N5201RGB PROM P5 D/G 60 X 1441101100DS009-6200FROSTY WHITE</v>
      </c>
      <c r="J3113" s="7">
        <f>COUNTIF(Paper_Reference[Duplicate Key],Paper_Reference[[#This Row],[Duplicate Key]])</f>
        <v>1</v>
      </c>
    </row>
    <row r="3114" spans="1:10">
      <c r="A3114" s="7">
        <v>2</v>
      </c>
      <c r="B3114" s="8" t="s">
        <v>5142</v>
      </c>
      <c r="C3114" s="8" t="s">
        <v>4500</v>
      </c>
      <c r="D3114" s="7">
        <v>1</v>
      </c>
      <c r="E3114" s="7">
        <v>10</v>
      </c>
      <c r="F3114" s="7">
        <v>1</v>
      </c>
      <c r="G3114" s="8" t="s">
        <v>4371</v>
      </c>
      <c r="H3114" s="8" t="s">
        <v>4372</v>
      </c>
      <c r="I3114" s="7" t="str">
        <f>_xlfn.CONCAT(Paper_Reference[[#This Row],[Lvl]:[Paper Description]])</f>
        <v>2JD9R0037N5201RGB PROM P5 D/G 60 X 1441101100DS064-6200BLACK</v>
      </c>
      <c r="J3114" s="7">
        <f>COUNTIF(Paper_Reference[Duplicate Key],Paper_Reference[[#This Row],[Duplicate Key]])</f>
        <v>1</v>
      </c>
    </row>
    <row r="3115" spans="1:10">
      <c r="A3115" s="7">
        <v>2</v>
      </c>
      <c r="B3115" s="8" t="s">
        <v>5143</v>
      </c>
      <c r="C3115" s="8" t="s">
        <v>4501</v>
      </c>
      <c r="D3115" s="7">
        <v>1</v>
      </c>
      <c r="E3115" s="7">
        <v>10</v>
      </c>
      <c r="F3115" s="7">
        <v>1</v>
      </c>
      <c r="G3115" s="8" t="s">
        <v>5690</v>
      </c>
      <c r="H3115" s="8" t="s">
        <v>5691</v>
      </c>
      <c r="I3115" s="7" t="str">
        <f>_xlfn.CONCAT(Paper_Reference[[#This Row],[Lvl]:[Paper Description]])</f>
        <v>2JD9R0038N5001RGB PROM P6 D/G 60 X 1201101100DS009-6200FROSTY WHITE</v>
      </c>
      <c r="J3115" s="7">
        <f>COUNTIF(Paper_Reference[Duplicate Key],Paper_Reference[[#This Row],[Duplicate Key]])</f>
        <v>1</v>
      </c>
    </row>
    <row r="3116" spans="1:10">
      <c r="A3116" s="7">
        <v>2</v>
      </c>
      <c r="B3116" s="8" t="s">
        <v>5143</v>
      </c>
      <c r="C3116" s="8" t="s">
        <v>4501</v>
      </c>
      <c r="D3116" s="7">
        <v>1</v>
      </c>
      <c r="E3116" s="7">
        <v>10</v>
      </c>
      <c r="F3116" s="7">
        <v>1</v>
      </c>
      <c r="G3116" s="8" t="s">
        <v>4371</v>
      </c>
      <c r="H3116" s="8" t="s">
        <v>4372</v>
      </c>
      <c r="I3116" s="7" t="str">
        <f>_xlfn.CONCAT(Paper_Reference[[#This Row],[Lvl]:[Paper Description]])</f>
        <v>2JD9R0038N5001RGB PROM P6 D/G 60 X 1201101100DS064-6200BLACK</v>
      </c>
      <c r="J3116" s="7">
        <f>COUNTIF(Paper_Reference[Duplicate Key],Paper_Reference[[#This Row],[Duplicate Key]])</f>
        <v>1</v>
      </c>
    </row>
    <row r="3117" spans="1:10">
      <c r="A3117" s="7">
        <v>2</v>
      </c>
      <c r="B3117" s="8" t="s">
        <v>7762</v>
      </c>
      <c r="C3117" s="8" t="s">
        <v>7019</v>
      </c>
      <c r="D3117" s="7">
        <v>1</v>
      </c>
      <c r="E3117" s="7">
        <v>10</v>
      </c>
      <c r="F3117" s="7">
        <v>1</v>
      </c>
      <c r="G3117" s="8" t="s">
        <v>6710</v>
      </c>
      <c r="H3117" s="8" t="s">
        <v>5691</v>
      </c>
      <c r="I3117" s="7" t="str">
        <f>_xlfn.CONCAT(Paper_Reference[[#This Row],[Lvl]:[Paper Description]])</f>
        <v>2JD9R0039N4001RGB PROM P7 D/G 48 X 1201101100DS009-5000FROSTY WHITE</v>
      </c>
      <c r="J3117" s="7">
        <f>COUNTIF(Paper_Reference[Duplicate Key],Paper_Reference[[#This Row],[Duplicate Key]])</f>
        <v>1</v>
      </c>
    </row>
    <row r="3118" spans="1:10">
      <c r="A3118" s="7">
        <v>2</v>
      </c>
      <c r="B3118" s="8" t="s">
        <v>5144</v>
      </c>
      <c r="C3118" s="8" t="s">
        <v>4502</v>
      </c>
      <c r="D3118" s="7">
        <v>1</v>
      </c>
      <c r="E3118" s="7">
        <v>10</v>
      </c>
      <c r="F3118" s="7">
        <v>1</v>
      </c>
      <c r="G3118" s="8" t="s">
        <v>5690</v>
      </c>
      <c r="H3118" s="8" t="s">
        <v>5691</v>
      </c>
      <c r="I3118" s="7" t="str">
        <f>_xlfn.CONCAT(Paper_Reference[[#This Row],[Lvl]:[Paper Description]])</f>
        <v>2JD9R0040N5201RGB PROM P8 D/G 60 X 1441101100DS009-6200FROSTY WHITE</v>
      </c>
      <c r="J3118" s="7">
        <f>COUNTIF(Paper_Reference[Duplicate Key],Paper_Reference[[#This Row],[Duplicate Key]])</f>
        <v>1</v>
      </c>
    </row>
    <row r="3119" spans="1:10">
      <c r="A3119" s="7">
        <v>2</v>
      </c>
      <c r="B3119" s="8" t="s">
        <v>5144</v>
      </c>
      <c r="C3119" s="8" t="s">
        <v>4502</v>
      </c>
      <c r="D3119" s="7">
        <v>1</v>
      </c>
      <c r="E3119" s="7">
        <v>10</v>
      </c>
      <c r="F3119" s="7">
        <v>1</v>
      </c>
      <c r="G3119" s="8" t="s">
        <v>4371</v>
      </c>
      <c r="H3119" s="8" t="s">
        <v>4372</v>
      </c>
      <c r="I3119" s="7" t="str">
        <f>_xlfn.CONCAT(Paper_Reference[[#This Row],[Lvl]:[Paper Description]])</f>
        <v>2JD9R0040N5201RGB PROM P8 D/G 60 X 1441101100DS064-6200BLACK</v>
      </c>
      <c r="J3119" s="7">
        <f>COUNTIF(Paper_Reference[Duplicate Key],Paper_Reference[[#This Row],[Duplicate Key]])</f>
        <v>1</v>
      </c>
    </row>
    <row r="3120" spans="1:10">
      <c r="A3120" s="7">
        <v>2</v>
      </c>
      <c r="B3120" s="8" t="s">
        <v>5145</v>
      </c>
      <c r="C3120" s="8" t="s">
        <v>4503</v>
      </c>
      <c r="D3120" s="7">
        <v>1</v>
      </c>
      <c r="E3120" s="7">
        <v>10</v>
      </c>
      <c r="F3120" s="7">
        <v>1</v>
      </c>
      <c r="G3120" s="8" t="s">
        <v>5690</v>
      </c>
      <c r="H3120" s="8" t="s">
        <v>5691</v>
      </c>
      <c r="I3120" s="7" t="str">
        <f>_xlfn.CONCAT(Paper_Reference[[#This Row],[Lvl]:[Paper Description]])</f>
        <v>2JD9R0041N5201RGB PROM P9 D/G 60 X 1441101100DS009-6200FROSTY WHITE</v>
      </c>
      <c r="J3120" s="7">
        <f>COUNTIF(Paper_Reference[Duplicate Key],Paper_Reference[[#This Row],[Duplicate Key]])</f>
        <v>1</v>
      </c>
    </row>
    <row r="3121" spans="1:10">
      <c r="A3121" s="7">
        <v>2</v>
      </c>
      <c r="B3121" s="8" t="s">
        <v>5145</v>
      </c>
      <c r="C3121" s="8" t="s">
        <v>4503</v>
      </c>
      <c r="D3121" s="7">
        <v>1</v>
      </c>
      <c r="E3121" s="7">
        <v>10</v>
      </c>
      <c r="F3121" s="7">
        <v>1</v>
      </c>
      <c r="G3121" s="8" t="s">
        <v>4371</v>
      </c>
      <c r="H3121" s="8" t="s">
        <v>4372</v>
      </c>
      <c r="I3121" s="7" t="str">
        <f>_xlfn.CONCAT(Paper_Reference[[#This Row],[Lvl]:[Paper Description]])</f>
        <v>2JD9R0041N5201RGB PROM P9 D/G 60 X 1441101100DS064-6200BLACK</v>
      </c>
      <c r="J3121" s="7">
        <f>COUNTIF(Paper_Reference[Duplicate Key],Paper_Reference[[#This Row],[Duplicate Key]])</f>
        <v>1</v>
      </c>
    </row>
    <row r="3122" spans="1:10">
      <c r="A3122" s="7">
        <v>2</v>
      </c>
      <c r="B3122" s="8" t="s">
        <v>5146</v>
      </c>
      <c r="C3122" s="8" t="s">
        <v>4504</v>
      </c>
      <c r="D3122" s="7">
        <v>1</v>
      </c>
      <c r="E3122" s="7">
        <v>10</v>
      </c>
      <c r="F3122" s="7">
        <v>1</v>
      </c>
      <c r="G3122" s="8" t="s">
        <v>5690</v>
      </c>
      <c r="H3122" s="8" t="s">
        <v>5691</v>
      </c>
      <c r="I3122" s="7" t="str">
        <f>_xlfn.CONCAT(Paper_Reference[[#This Row],[Lvl]:[Paper Description]])</f>
        <v>2JD9R0042N5801RGB PROM P10 D/G 60 X 961101100DS009-6200FROSTY WHITE</v>
      </c>
      <c r="J3122" s="7">
        <f>COUNTIF(Paper_Reference[Duplicate Key],Paper_Reference[[#This Row],[Duplicate Key]])</f>
        <v>1</v>
      </c>
    </row>
    <row r="3123" spans="1:10">
      <c r="A3123" s="7">
        <v>2</v>
      </c>
      <c r="B3123" s="8" t="s">
        <v>5146</v>
      </c>
      <c r="C3123" s="8" t="s">
        <v>4504</v>
      </c>
      <c r="D3123" s="7">
        <v>1</v>
      </c>
      <c r="E3123" s="7">
        <v>10</v>
      </c>
      <c r="F3123" s="7">
        <v>1</v>
      </c>
      <c r="G3123" s="8" t="s">
        <v>4371</v>
      </c>
      <c r="H3123" s="8" t="s">
        <v>4372</v>
      </c>
      <c r="I3123" s="7" t="str">
        <f>_xlfn.CONCAT(Paper_Reference[[#This Row],[Lvl]:[Paper Description]])</f>
        <v>2JD9R0042N5801RGB PROM P10 D/G 60 X 961101100DS064-6200BLACK</v>
      </c>
      <c r="J3123" s="7">
        <f>COUNTIF(Paper_Reference[Duplicate Key],Paper_Reference[[#This Row],[Duplicate Key]])</f>
        <v>1</v>
      </c>
    </row>
    <row r="3124" spans="1:10">
      <c r="A3124" s="7">
        <v>2</v>
      </c>
      <c r="B3124" s="8" t="s">
        <v>7763</v>
      </c>
      <c r="C3124" s="8" t="s">
        <v>7020</v>
      </c>
      <c r="D3124" s="7">
        <v>1</v>
      </c>
      <c r="E3124" s="7">
        <v>10</v>
      </c>
      <c r="F3124" s="7">
        <v>1</v>
      </c>
      <c r="G3124" s="8" t="s">
        <v>6710</v>
      </c>
      <c r="H3124" s="8" t="s">
        <v>5691</v>
      </c>
      <c r="I3124" s="7" t="str">
        <f>_xlfn.CONCAT(Paper_Reference[[#This Row],[Lvl]:[Paper Description]])</f>
        <v>2JD9R0043N4201RGB PROM P11 D/G 48 X 1441101100DS009-5000FROSTY WHITE</v>
      </c>
      <c r="J3124" s="7">
        <f>COUNTIF(Paper_Reference[Duplicate Key],Paper_Reference[[#This Row],[Duplicate Key]])</f>
        <v>1</v>
      </c>
    </row>
    <row r="3125" spans="1:10">
      <c r="A3125" s="7">
        <v>2</v>
      </c>
      <c r="B3125" s="8" t="s">
        <v>5147</v>
      </c>
      <c r="C3125" s="8" t="s">
        <v>4505</v>
      </c>
      <c r="D3125" s="7">
        <v>1</v>
      </c>
      <c r="E3125" s="7">
        <v>10</v>
      </c>
      <c r="F3125" s="7">
        <v>1</v>
      </c>
      <c r="G3125" s="8" t="s">
        <v>5690</v>
      </c>
      <c r="H3125" s="8" t="s">
        <v>5691</v>
      </c>
      <c r="I3125" s="7" t="str">
        <f>_xlfn.CONCAT(Paper_Reference[[#This Row],[Lvl]:[Paper Description]])</f>
        <v>2JD9R0044N5201RGB PROM P12 D/G 60 X 1441101100DS009-6200FROSTY WHITE</v>
      </c>
      <c r="J3125" s="7">
        <f>COUNTIF(Paper_Reference[Duplicate Key],Paper_Reference[[#This Row],[Duplicate Key]])</f>
        <v>1</v>
      </c>
    </row>
    <row r="3126" spans="1:10">
      <c r="A3126" s="7">
        <v>2</v>
      </c>
      <c r="B3126" s="8" t="s">
        <v>5147</v>
      </c>
      <c r="C3126" s="8" t="s">
        <v>4505</v>
      </c>
      <c r="D3126" s="7">
        <v>1</v>
      </c>
      <c r="E3126" s="7">
        <v>10</v>
      </c>
      <c r="F3126" s="7">
        <v>1</v>
      </c>
      <c r="G3126" s="8" t="s">
        <v>4371</v>
      </c>
      <c r="H3126" s="8" t="s">
        <v>4372</v>
      </c>
      <c r="I3126" s="7" t="str">
        <f>_xlfn.CONCAT(Paper_Reference[[#This Row],[Lvl]:[Paper Description]])</f>
        <v>2JD9R0044N5201RGB PROM P12 D/G 60 X 1441101100DS064-6200BLACK</v>
      </c>
      <c r="J3126" s="7">
        <f>COUNTIF(Paper_Reference[Duplicate Key],Paper_Reference[[#This Row],[Duplicate Key]])</f>
        <v>1</v>
      </c>
    </row>
    <row r="3127" spans="1:10">
      <c r="A3127" s="7">
        <v>2</v>
      </c>
      <c r="B3127" s="8" t="s">
        <v>3439</v>
      </c>
      <c r="C3127" s="8" t="s">
        <v>3240</v>
      </c>
      <c r="D3127" s="7">
        <v>1</v>
      </c>
      <c r="E3127" s="7">
        <v>10</v>
      </c>
      <c r="F3127" s="7">
        <v>2</v>
      </c>
      <c r="G3127" s="8" t="s">
        <v>3230</v>
      </c>
      <c r="H3127" s="8" t="s">
        <v>3231</v>
      </c>
      <c r="I3127" s="7" t="str">
        <f>_xlfn.CONCAT(Paper_Reference[[#This Row],[Lvl]:[Paper Description]])</f>
        <v>2JDAIFOSBS4801FOSSIL D/G 48 X 961102110SW736-5000PRECISION WHITE 43 X 145</v>
      </c>
      <c r="J3127" s="7">
        <f>COUNTIF(Paper_Reference[Duplicate Key],Paper_Reference[[#This Row],[Duplicate Key]])</f>
        <v>1</v>
      </c>
    </row>
    <row r="3128" spans="1:10">
      <c r="A3128" s="7">
        <v>2</v>
      </c>
      <c r="B3128" s="8" t="s">
        <v>3440</v>
      </c>
      <c r="C3128" s="8" t="s">
        <v>3241</v>
      </c>
      <c r="D3128" s="7">
        <v>1</v>
      </c>
      <c r="E3128" s="7">
        <v>10</v>
      </c>
      <c r="F3128" s="7">
        <v>1</v>
      </c>
      <c r="G3128" s="8" t="s">
        <v>3230</v>
      </c>
      <c r="H3128" s="8" t="s">
        <v>3231</v>
      </c>
      <c r="I3128" s="7" t="str">
        <f>_xlfn.CONCAT(Paper_Reference[[#This Row],[Lvl]:[Paper Description]])</f>
        <v>2JDAIFOSSG4001FOSSIL D/G 48 X 1201101110SW736-5000PRECISION WHITE 43 X 145</v>
      </c>
      <c r="J3128" s="7">
        <f>COUNTIF(Paper_Reference[Duplicate Key],Paper_Reference[[#This Row],[Duplicate Key]])</f>
        <v>1</v>
      </c>
    </row>
    <row r="3129" spans="1:10">
      <c r="A3129" s="7">
        <v>2</v>
      </c>
      <c r="B3129" s="8" t="s">
        <v>3441</v>
      </c>
      <c r="C3129" s="8" t="s">
        <v>3240</v>
      </c>
      <c r="D3129" s="7">
        <v>1</v>
      </c>
      <c r="E3129" s="7">
        <v>10</v>
      </c>
      <c r="F3129" s="7">
        <v>1</v>
      </c>
      <c r="G3129" s="8" t="s">
        <v>3230</v>
      </c>
      <c r="H3129" s="8" t="s">
        <v>3231</v>
      </c>
      <c r="I3129" s="7" t="str">
        <f>_xlfn.CONCAT(Paper_Reference[[#This Row],[Lvl]:[Paper Description]])</f>
        <v>2JDAIFOSSG4801FOSSIL D/G 48 X 961101110SW736-5000PRECISION WHITE 43 X 145</v>
      </c>
      <c r="J3129" s="7">
        <f>COUNTIF(Paper_Reference[Duplicate Key],Paper_Reference[[#This Row],[Duplicate Key]])</f>
        <v>1</v>
      </c>
    </row>
    <row r="3130" spans="1:10">
      <c r="A3130" s="7">
        <v>2</v>
      </c>
      <c r="B3130" s="8" t="s">
        <v>3442</v>
      </c>
      <c r="C3130" s="8" t="s">
        <v>3241</v>
      </c>
      <c r="D3130" s="7">
        <v>1</v>
      </c>
      <c r="E3130" s="7">
        <v>10</v>
      </c>
      <c r="F3130" s="7">
        <v>1</v>
      </c>
      <c r="G3130" s="8" t="s">
        <v>3230</v>
      </c>
      <c r="H3130" s="8" t="s">
        <v>3231</v>
      </c>
      <c r="I3130" s="7" t="str">
        <f>_xlfn.CONCAT(Paper_Reference[[#This Row],[Lvl]:[Paper Description]])</f>
        <v>2JDAIFOSSH4001FOSSIL D/G 48 X 1201101110SW736-5000PRECISION WHITE 43 X 145</v>
      </c>
      <c r="J3130" s="7">
        <f>COUNTIF(Paper_Reference[Duplicate Key],Paper_Reference[[#This Row],[Duplicate Key]])</f>
        <v>1</v>
      </c>
    </row>
    <row r="3131" spans="1:10">
      <c r="A3131" s="7">
        <v>2</v>
      </c>
      <c r="B3131" s="8" t="s">
        <v>3443</v>
      </c>
      <c r="C3131" s="8" t="s">
        <v>3239</v>
      </c>
      <c r="D3131" s="7">
        <v>1</v>
      </c>
      <c r="E3131" s="7">
        <v>10</v>
      </c>
      <c r="F3131" s="7">
        <v>1</v>
      </c>
      <c r="G3131" s="8" t="s">
        <v>3230</v>
      </c>
      <c r="H3131" s="8" t="s">
        <v>3231</v>
      </c>
      <c r="I3131" s="7" t="str">
        <f>_xlfn.CONCAT(Paper_Reference[[#This Row],[Lvl]:[Paper Description]])</f>
        <v>2JDAIFOSSH4201FOSSIL D/G 48 X 1441101110SW736-5000PRECISION WHITE 43 X 145</v>
      </c>
      <c r="J3131" s="7">
        <f>COUNTIF(Paper_Reference[Duplicate Key],Paper_Reference[[#This Row],[Duplicate Key]])</f>
        <v>1</v>
      </c>
    </row>
    <row r="3132" spans="1:10">
      <c r="A3132" s="7">
        <v>2</v>
      </c>
      <c r="B3132" s="8" t="s">
        <v>3444</v>
      </c>
      <c r="C3132" s="8" t="s">
        <v>3240</v>
      </c>
      <c r="D3132" s="7">
        <v>1</v>
      </c>
      <c r="E3132" s="7">
        <v>10</v>
      </c>
      <c r="F3132" s="7">
        <v>1</v>
      </c>
      <c r="G3132" s="8" t="s">
        <v>3230</v>
      </c>
      <c r="H3132" s="8" t="s">
        <v>3231</v>
      </c>
      <c r="I3132" s="7" t="str">
        <f>_xlfn.CONCAT(Paper_Reference[[#This Row],[Lvl]:[Paper Description]])</f>
        <v>2JDAIFOSSH4801FOSSIL D/G 48 X 961101110SW736-5000PRECISION WHITE 43 X 145</v>
      </c>
      <c r="J3132" s="7">
        <f>COUNTIF(Paper_Reference[Duplicate Key],Paper_Reference[[#This Row],[Duplicate Key]])</f>
        <v>1</v>
      </c>
    </row>
    <row r="3133" spans="1:10">
      <c r="A3133" s="7">
        <v>2</v>
      </c>
      <c r="B3133" s="8" t="s">
        <v>3918</v>
      </c>
      <c r="C3133" s="8" t="s">
        <v>3767</v>
      </c>
      <c r="D3133" s="7">
        <v>1</v>
      </c>
      <c r="E3133" s="7">
        <v>10</v>
      </c>
      <c r="F3133" s="7">
        <v>1</v>
      </c>
      <c r="G3133" s="8" t="s">
        <v>3826</v>
      </c>
      <c r="H3133" s="8" t="s">
        <v>3827</v>
      </c>
      <c r="I3133" s="7" t="str">
        <f>_xlfn.CONCAT(Paper_Reference[[#This Row],[Lvl]:[Paper Description]])</f>
        <v>2JDAIFOSSH5001FOSSIL D/G 60 X 1201101110SW736-6200PRECISION WHITE 62"</v>
      </c>
      <c r="J3133" s="7">
        <f>COUNTIF(Paper_Reference[Duplicate Key],Paper_Reference[[#This Row],[Duplicate Key]])</f>
        <v>1</v>
      </c>
    </row>
    <row r="3134" spans="1:10">
      <c r="A3134" s="7">
        <v>2</v>
      </c>
      <c r="B3134" s="8" t="s">
        <v>3918</v>
      </c>
      <c r="C3134" s="8" t="s">
        <v>3767</v>
      </c>
      <c r="D3134" s="7">
        <v>1</v>
      </c>
      <c r="E3134" s="7">
        <v>40</v>
      </c>
      <c r="F3134" s="7">
        <v>1</v>
      </c>
      <c r="G3134" s="8" t="s">
        <v>4371</v>
      </c>
      <c r="H3134" s="8" t="s">
        <v>4372</v>
      </c>
      <c r="I3134" s="7" t="str">
        <f>_xlfn.CONCAT(Paper_Reference[[#This Row],[Lvl]:[Paper Description]])</f>
        <v>2JDAIFOSSH5001FOSSIL D/G 60 X 1201401100DS064-6200BLACK</v>
      </c>
      <c r="J3134" s="7">
        <f>COUNTIF(Paper_Reference[Duplicate Key],Paper_Reference[[#This Row],[Duplicate Key]])</f>
        <v>1</v>
      </c>
    </row>
    <row r="3135" spans="1:10">
      <c r="A3135" s="7">
        <v>2</v>
      </c>
      <c r="B3135" s="8" t="s">
        <v>3919</v>
      </c>
      <c r="C3135" s="8" t="s">
        <v>3768</v>
      </c>
      <c r="D3135" s="7">
        <v>1</v>
      </c>
      <c r="E3135" s="7">
        <v>10</v>
      </c>
      <c r="F3135" s="7">
        <v>1</v>
      </c>
      <c r="G3135" s="8" t="s">
        <v>3826</v>
      </c>
      <c r="H3135" s="8" t="s">
        <v>3827</v>
      </c>
      <c r="I3135" s="7" t="str">
        <f>_xlfn.CONCAT(Paper_Reference[[#This Row],[Lvl]:[Paper Description]])</f>
        <v>2JDAIFOSSH5201FOSSIL D/G 60 X 1441101110SW736-6200PRECISION WHITE 62"</v>
      </c>
      <c r="J3135" s="7">
        <f>COUNTIF(Paper_Reference[Duplicate Key],Paper_Reference[[#This Row],[Duplicate Key]])</f>
        <v>1</v>
      </c>
    </row>
    <row r="3136" spans="1:10">
      <c r="A3136" s="7">
        <v>2</v>
      </c>
      <c r="B3136" s="8" t="s">
        <v>3919</v>
      </c>
      <c r="C3136" s="8" t="s">
        <v>3768</v>
      </c>
      <c r="D3136" s="7">
        <v>1</v>
      </c>
      <c r="E3136" s="7">
        <v>40</v>
      </c>
      <c r="F3136" s="7">
        <v>1</v>
      </c>
      <c r="G3136" s="8" t="s">
        <v>4371</v>
      </c>
      <c r="H3136" s="8" t="s">
        <v>4372</v>
      </c>
      <c r="I3136" s="7" t="str">
        <f>_xlfn.CONCAT(Paper_Reference[[#This Row],[Lvl]:[Paper Description]])</f>
        <v>2JDAIFOSSH5201FOSSIL D/G 60 X 1441401100DS064-6200BLACK</v>
      </c>
      <c r="J3136" s="7">
        <f>COUNTIF(Paper_Reference[Duplicate Key],Paper_Reference[[#This Row],[Duplicate Key]])</f>
        <v>1</v>
      </c>
    </row>
    <row r="3137" spans="1:10">
      <c r="A3137" s="7">
        <v>2</v>
      </c>
      <c r="B3137" s="8" t="s">
        <v>3920</v>
      </c>
      <c r="C3137" s="8" t="s">
        <v>3769</v>
      </c>
      <c r="D3137" s="7">
        <v>1</v>
      </c>
      <c r="E3137" s="7">
        <v>10</v>
      </c>
      <c r="F3137" s="7">
        <v>1</v>
      </c>
      <c r="G3137" s="8" t="s">
        <v>3826</v>
      </c>
      <c r="H3137" s="8" t="s">
        <v>3827</v>
      </c>
      <c r="I3137" s="7" t="str">
        <f>_xlfn.CONCAT(Paper_Reference[[#This Row],[Lvl]:[Paper Description]])</f>
        <v>2JDAIFOSSH5801FOSSIL D/G 60 X 961101110SW736-6200PRECISION WHITE 62"</v>
      </c>
      <c r="J3137" s="7">
        <f>COUNTIF(Paper_Reference[Duplicate Key],Paper_Reference[[#This Row],[Duplicate Key]])</f>
        <v>1</v>
      </c>
    </row>
    <row r="3138" spans="1:10">
      <c r="A3138" s="7">
        <v>2</v>
      </c>
      <c r="B3138" s="8" t="s">
        <v>3920</v>
      </c>
      <c r="C3138" s="8" t="s">
        <v>3769</v>
      </c>
      <c r="D3138" s="7">
        <v>1</v>
      </c>
      <c r="E3138" s="7">
        <v>40</v>
      </c>
      <c r="F3138" s="7">
        <v>1</v>
      </c>
      <c r="G3138" s="8" t="s">
        <v>4371</v>
      </c>
      <c r="H3138" s="8" t="s">
        <v>4372</v>
      </c>
      <c r="I3138" s="7" t="str">
        <f>_xlfn.CONCAT(Paper_Reference[[#This Row],[Lvl]:[Paper Description]])</f>
        <v>2JDAIFOSSH5801FOSSIL D/G 60 X 961401100DS064-6200BLACK</v>
      </c>
      <c r="J3138" s="7">
        <f>COUNTIF(Paper_Reference[Duplicate Key],Paper_Reference[[#This Row],[Duplicate Key]])</f>
        <v>1</v>
      </c>
    </row>
    <row r="3139" spans="1:10">
      <c r="A3139" s="7">
        <v>2</v>
      </c>
      <c r="B3139" s="8" t="s">
        <v>3445</v>
      </c>
      <c r="C3139" s="8" t="s">
        <v>3240</v>
      </c>
      <c r="D3139" s="7">
        <v>1</v>
      </c>
      <c r="E3139" s="7">
        <v>10</v>
      </c>
      <c r="F3139" s="7">
        <v>1</v>
      </c>
      <c r="G3139" s="8" t="s">
        <v>3230</v>
      </c>
      <c r="H3139" s="8" t="s">
        <v>3231</v>
      </c>
      <c r="I3139" s="7" t="str">
        <f>_xlfn.CONCAT(Paper_Reference[[#This Row],[Lvl]:[Paper Description]])</f>
        <v>2JDAIFOSSJ4801FOSSIL D/G 48 X 961101110SW736-5000PRECISION WHITE 43 X 145</v>
      </c>
      <c r="J3139" s="7">
        <f>COUNTIF(Paper_Reference[Duplicate Key],Paper_Reference[[#This Row],[Duplicate Key]])</f>
        <v>1</v>
      </c>
    </row>
    <row r="3140" spans="1:10">
      <c r="A3140" s="7">
        <v>2</v>
      </c>
      <c r="B3140" s="8" t="s">
        <v>3446</v>
      </c>
      <c r="C3140" s="8" t="s">
        <v>3241</v>
      </c>
      <c r="D3140" s="7">
        <v>1</v>
      </c>
      <c r="E3140" s="7">
        <v>10</v>
      </c>
      <c r="F3140" s="7">
        <v>1</v>
      </c>
      <c r="G3140" s="8" t="s">
        <v>3230</v>
      </c>
      <c r="H3140" s="8" t="s">
        <v>3231</v>
      </c>
      <c r="I3140" s="7" t="str">
        <f>_xlfn.CONCAT(Paper_Reference[[#This Row],[Lvl]:[Paper Description]])</f>
        <v>2JDAIFOSSLS4001FOSSIL D/G 48 X 1201101110SW736-5000PRECISION WHITE 43 X 145</v>
      </c>
      <c r="J3140" s="7">
        <f>COUNTIF(Paper_Reference[Duplicate Key],Paper_Reference[[#This Row],[Duplicate Key]])</f>
        <v>1</v>
      </c>
    </row>
    <row r="3141" spans="1:10">
      <c r="A3141" s="7">
        <v>2</v>
      </c>
      <c r="B3141" s="8" t="s">
        <v>3447</v>
      </c>
      <c r="C3141" s="8" t="s">
        <v>3240</v>
      </c>
      <c r="D3141" s="7">
        <v>1</v>
      </c>
      <c r="E3141" s="7">
        <v>10</v>
      </c>
      <c r="F3141" s="7">
        <v>1</v>
      </c>
      <c r="G3141" s="8" t="s">
        <v>3230</v>
      </c>
      <c r="H3141" s="8" t="s">
        <v>3231</v>
      </c>
      <c r="I3141" s="7" t="str">
        <f>_xlfn.CONCAT(Paper_Reference[[#This Row],[Lvl]:[Paper Description]])</f>
        <v>2JDAIFOSSLS4801FOSSIL D/G 48 X 961101110SW736-5000PRECISION WHITE 43 X 145</v>
      </c>
      <c r="J3141" s="7">
        <f>COUNTIF(Paper_Reference[Duplicate Key],Paper_Reference[[#This Row],[Duplicate Key]])</f>
        <v>1</v>
      </c>
    </row>
    <row r="3142" spans="1:10">
      <c r="A3142" s="7">
        <v>2</v>
      </c>
      <c r="B3142" s="8" t="s">
        <v>3921</v>
      </c>
      <c r="C3142" s="8" t="s">
        <v>3768</v>
      </c>
      <c r="D3142" s="7">
        <v>1</v>
      </c>
      <c r="E3142" s="7">
        <v>10</v>
      </c>
      <c r="F3142" s="7">
        <v>1</v>
      </c>
      <c r="G3142" s="8" t="s">
        <v>3826</v>
      </c>
      <c r="H3142" s="8" t="s">
        <v>3827</v>
      </c>
      <c r="I3142" s="7" t="str">
        <f>_xlfn.CONCAT(Paper_Reference[[#This Row],[Lvl]:[Paper Description]])</f>
        <v>2JDAIFOSSLS5201FOSSIL D/G 60 X 1441101110SW736-6200PRECISION WHITE 62"</v>
      </c>
      <c r="J3142" s="7">
        <f>COUNTIF(Paper_Reference[Duplicate Key],Paper_Reference[[#This Row],[Duplicate Key]])</f>
        <v>1</v>
      </c>
    </row>
    <row r="3143" spans="1:10">
      <c r="A3143" s="7">
        <v>2</v>
      </c>
      <c r="B3143" s="8" t="s">
        <v>3921</v>
      </c>
      <c r="C3143" s="8" t="s">
        <v>3768</v>
      </c>
      <c r="D3143" s="7">
        <v>1</v>
      </c>
      <c r="E3143" s="7">
        <v>40</v>
      </c>
      <c r="F3143" s="7">
        <v>1</v>
      </c>
      <c r="G3143" s="8" t="s">
        <v>4371</v>
      </c>
      <c r="H3143" s="8" t="s">
        <v>4372</v>
      </c>
      <c r="I3143" s="7" t="str">
        <f>_xlfn.CONCAT(Paper_Reference[[#This Row],[Lvl]:[Paper Description]])</f>
        <v>2JDAIFOSSLS5201FOSSIL D/G 60 X 1441401100DS064-6200BLACK</v>
      </c>
      <c r="J3143" s="7">
        <f>COUNTIF(Paper_Reference[Duplicate Key],Paper_Reference[[#This Row],[Duplicate Key]])</f>
        <v>1</v>
      </c>
    </row>
    <row r="3144" spans="1:10">
      <c r="A3144" s="7">
        <v>2</v>
      </c>
      <c r="B3144" s="8" t="s">
        <v>3448</v>
      </c>
      <c r="C3144" s="8" t="s">
        <v>3240</v>
      </c>
      <c r="D3144" s="7">
        <v>1</v>
      </c>
      <c r="E3144" s="7">
        <v>10</v>
      </c>
      <c r="F3144" s="7">
        <v>1</v>
      </c>
      <c r="G3144" s="8" t="s">
        <v>3230</v>
      </c>
      <c r="H3144" s="8" t="s">
        <v>3231</v>
      </c>
      <c r="I3144" s="7" t="str">
        <f>_xlfn.CONCAT(Paper_Reference[[#This Row],[Lvl]:[Paper Description]])</f>
        <v>2JDAIFOSSPV4801FOSSIL D/G 48 X 961101110SW736-5000PRECISION WHITE 43 X 145</v>
      </c>
      <c r="J3144" s="7">
        <f>COUNTIF(Paper_Reference[Duplicate Key],Paper_Reference[[#This Row],[Duplicate Key]])</f>
        <v>1</v>
      </c>
    </row>
    <row r="3145" spans="1:10">
      <c r="A3145" s="7">
        <v>2</v>
      </c>
      <c r="B3145" s="8" t="s">
        <v>3922</v>
      </c>
      <c r="C3145" s="8" t="s">
        <v>3768</v>
      </c>
      <c r="D3145" s="7">
        <v>1</v>
      </c>
      <c r="E3145" s="7">
        <v>10</v>
      </c>
      <c r="F3145" s="7">
        <v>1</v>
      </c>
      <c r="G3145" s="8" t="s">
        <v>3826</v>
      </c>
      <c r="H3145" s="8" t="s">
        <v>3827</v>
      </c>
      <c r="I3145" s="7" t="str">
        <f>_xlfn.CONCAT(Paper_Reference[[#This Row],[Lvl]:[Paper Description]])</f>
        <v>2JDAIFOSSPV5201FOSSIL D/G 60 X 1441101110SW736-6200PRECISION WHITE 62"</v>
      </c>
      <c r="J3145" s="7">
        <f>COUNTIF(Paper_Reference[Duplicate Key],Paper_Reference[[#This Row],[Duplicate Key]])</f>
        <v>1</v>
      </c>
    </row>
    <row r="3146" spans="1:10">
      <c r="A3146" s="7">
        <v>2</v>
      </c>
      <c r="B3146" s="8" t="s">
        <v>3922</v>
      </c>
      <c r="C3146" s="8" t="s">
        <v>3768</v>
      </c>
      <c r="D3146" s="7">
        <v>1</v>
      </c>
      <c r="E3146" s="7">
        <v>40</v>
      </c>
      <c r="F3146" s="7">
        <v>1</v>
      </c>
      <c r="G3146" s="8" t="s">
        <v>4371</v>
      </c>
      <c r="H3146" s="8" t="s">
        <v>4372</v>
      </c>
      <c r="I3146" s="7" t="str">
        <f>_xlfn.CONCAT(Paper_Reference[[#This Row],[Lvl]:[Paper Description]])</f>
        <v>2JDAIFOSSPV5201FOSSIL D/G 60 X 1441401100DS064-6200BLACK</v>
      </c>
      <c r="J3146" s="7">
        <f>COUNTIF(Paper_Reference[Duplicate Key],Paper_Reference[[#This Row],[Duplicate Key]])</f>
        <v>1</v>
      </c>
    </row>
    <row r="3147" spans="1:10">
      <c r="A3147" s="7">
        <v>2</v>
      </c>
      <c r="B3147" s="8" t="s">
        <v>3449</v>
      </c>
      <c r="C3147" s="8" t="s">
        <v>3241</v>
      </c>
      <c r="D3147" s="7">
        <v>1</v>
      </c>
      <c r="E3147" s="7">
        <v>10</v>
      </c>
      <c r="F3147" s="7">
        <v>1</v>
      </c>
      <c r="G3147" s="8" t="s">
        <v>3230</v>
      </c>
      <c r="H3147" s="8" t="s">
        <v>3231</v>
      </c>
      <c r="I3147" s="7" t="str">
        <f>_xlfn.CONCAT(Paper_Reference[[#This Row],[Lvl]:[Paper Description]])</f>
        <v>2JDAIFOSSS4001FOSSIL D/G 48 X 1201101110SW736-5000PRECISION WHITE 43 X 145</v>
      </c>
      <c r="J3147" s="7">
        <f>COUNTIF(Paper_Reference[Duplicate Key],Paper_Reference[[#This Row],[Duplicate Key]])</f>
        <v>1</v>
      </c>
    </row>
    <row r="3148" spans="1:10">
      <c r="A3148" s="7">
        <v>2</v>
      </c>
      <c r="B3148" s="8" t="s">
        <v>3450</v>
      </c>
      <c r="C3148" s="8" t="s">
        <v>3239</v>
      </c>
      <c r="D3148" s="7">
        <v>1</v>
      </c>
      <c r="E3148" s="7">
        <v>10</v>
      </c>
      <c r="F3148" s="7">
        <v>1</v>
      </c>
      <c r="G3148" s="8" t="s">
        <v>3230</v>
      </c>
      <c r="H3148" s="8" t="s">
        <v>3231</v>
      </c>
      <c r="I3148" s="7" t="str">
        <f>_xlfn.CONCAT(Paper_Reference[[#This Row],[Lvl]:[Paper Description]])</f>
        <v>2JDAIFOSSS4201FOSSIL D/G 48 X 1441101110SW736-5000PRECISION WHITE 43 X 145</v>
      </c>
      <c r="J3148" s="7">
        <f>COUNTIF(Paper_Reference[Duplicate Key],Paper_Reference[[#This Row],[Duplicate Key]])</f>
        <v>1</v>
      </c>
    </row>
    <row r="3149" spans="1:10">
      <c r="A3149" s="7">
        <v>2</v>
      </c>
      <c r="B3149" s="8" t="s">
        <v>3452</v>
      </c>
      <c r="C3149" s="8" t="s">
        <v>3240</v>
      </c>
      <c r="D3149" s="7">
        <v>1</v>
      </c>
      <c r="E3149" s="7">
        <v>10</v>
      </c>
      <c r="F3149" s="7">
        <v>1</v>
      </c>
      <c r="G3149" s="8" t="s">
        <v>3230</v>
      </c>
      <c r="H3149" s="8" t="s">
        <v>3231</v>
      </c>
      <c r="I3149" s="7" t="str">
        <f>_xlfn.CONCAT(Paper_Reference[[#This Row],[Lvl]:[Paper Description]])</f>
        <v>2JDAIFOSSS480FOSSIL D/G 48 X 961101110SW736-5000PRECISION WHITE 43 X 145</v>
      </c>
      <c r="J3149" s="7">
        <f>COUNTIF(Paper_Reference[Duplicate Key],Paper_Reference[[#This Row],[Duplicate Key]])</f>
        <v>1</v>
      </c>
    </row>
    <row r="3150" spans="1:10">
      <c r="A3150" s="7">
        <v>2</v>
      </c>
      <c r="B3150" s="8" t="s">
        <v>3451</v>
      </c>
      <c r="C3150" s="8" t="s">
        <v>3240</v>
      </c>
      <c r="D3150" s="7">
        <v>1</v>
      </c>
      <c r="E3150" s="7">
        <v>10</v>
      </c>
      <c r="F3150" s="7">
        <v>1</v>
      </c>
      <c r="G3150" s="8" t="s">
        <v>3230</v>
      </c>
      <c r="H3150" s="8" t="s">
        <v>3231</v>
      </c>
      <c r="I3150" s="7" t="str">
        <f>_xlfn.CONCAT(Paper_Reference[[#This Row],[Lvl]:[Paper Description]])</f>
        <v>2JDAIFOSSS4801FOSSIL D/G 48 X 961101110SW736-5000PRECISION WHITE 43 X 145</v>
      </c>
      <c r="J3150" s="7">
        <f>COUNTIF(Paper_Reference[Duplicate Key],Paper_Reference[[#This Row],[Duplicate Key]])</f>
        <v>1</v>
      </c>
    </row>
    <row r="3151" spans="1:10">
      <c r="A3151" s="7">
        <v>2</v>
      </c>
      <c r="B3151" s="8" t="s">
        <v>3923</v>
      </c>
      <c r="C3151" s="8" t="s">
        <v>3767</v>
      </c>
      <c r="D3151" s="7">
        <v>1</v>
      </c>
      <c r="E3151" s="7">
        <v>10</v>
      </c>
      <c r="F3151" s="7">
        <v>1</v>
      </c>
      <c r="G3151" s="8" t="s">
        <v>3826</v>
      </c>
      <c r="H3151" s="8" t="s">
        <v>3827</v>
      </c>
      <c r="I3151" s="7" t="str">
        <f>_xlfn.CONCAT(Paper_Reference[[#This Row],[Lvl]:[Paper Description]])</f>
        <v>2JDAIFOSSS5001FOSSIL D/G 60 X 1201101110SW736-6200PRECISION WHITE 62"</v>
      </c>
      <c r="J3151" s="7">
        <f>COUNTIF(Paper_Reference[Duplicate Key],Paper_Reference[[#This Row],[Duplicate Key]])</f>
        <v>1</v>
      </c>
    </row>
    <row r="3152" spans="1:10">
      <c r="A3152" s="7">
        <v>2</v>
      </c>
      <c r="B3152" s="8" t="s">
        <v>3923</v>
      </c>
      <c r="C3152" s="8" t="s">
        <v>3767</v>
      </c>
      <c r="D3152" s="7">
        <v>1</v>
      </c>
      <c r="E3152" s="7">
        <v>40</v>
      </c>
      <c r="F3152" s="7">
        <v>1</v>
      </c>
      <c r="G3152" s="8" t="s">
        <v>4371</v>
      </c>
      <c r="H3152" s="8" t="s">
        <v>4372</v>
      </c>
      <c r="I3152" s="7" t="str">
        <f>_xlfn.CONCAT(Paper_Reference[[#This Row],[Lvl]:[Paper Description]])</f>
        <v>2JDAIFOSSS5001FOSSIL D/G 60 X 1201401100DS064-6200BLACK</v>
      </c>
      <c r="J3152" s="7">
        <f>COUNTIF(Paper_Reference[Duplicate Key],Paper_Reference[[#This Row],[Duplicate Key]])</f>
        <v>1</v>
      </c>
    </row>
    <row r="3153" spans="1:10">
      <c r="A3153" s="7">
        <v>2</v>
      </c>
      <c r="B3153" s="8" t="s">
        <v>3924</v>
      </c>
      <c r="C3153" s="8" t="s">
        <v>3768</v>
      </c>
      <c r="D3153" s="7">
        <v>1</v>
      </c>
      <c r="E3153" s="7">
        <v>10</v>
      </c>
      <c r="F3153" s="7">
        <v>1</v>
      </c>
      <c r="G3153" s="8" t="s">
        <v>3826</v>
      </c>
      <c r="H3153" s="8" t="s">
        <v>3827</v>
      </c>
      <c r="I3153" s="7" t="str">
        <f>_xlfn.CONCAT(Paper_Reference[[#This Row],[Lvl]:[Paper Description]])</f>
        <v>2JDAIFOSSS5201FOSSIL D/G 60 X 1441101110SW736-6200PRECISION WHITE 62"</v>
      </c>
      <c r="J3153" s="7">
        <f>COUNTIF(Paper_Reference[Duplicate Key],Paper_Reference[[#This Row],[Duplicate Key]])</f>
        <v>1</v>
      </c>
    </row>
    <row r="3154" spans="1:10">
      <c r="A3154" s="7">
        <v>2</v>
      </c>
      <c r="B3154" s="8" t="s">
        <v>3924</v>
      </c>
      <c r="C3154" s="8" t="s">
        <v>3768</v>
      </c>
      <c r="D3154" s="7">
        <v>1</v>
      </c>
      <c r="E3154" s="7">
        <v>40</v>
      </c>
      <c r="F3154" s="7">
        <v>1</v>
      </c>
      <c r="G3154" s="8" t="s">
        <v>4371</v>
      </c>
      <c r="H3154" s="8" t="s">
        <v>4372</v>
      </c>
      <c r="I3154" s="7" t="str">
        <f>_xlfn.CONCAT(Paper_Reference[[#This Row],[Lvl]:[Paper Description]])</f>
        <v>2JDAIFOSSS5201FOSSIL D/G 60 X 1441401100DS064-6200BLACK</v>
      </c>
      <c r="J3154" s="7">
        <f>COUNTIF(Paper_Reference[Duplicate Key],Paper_Reference[[#This Row],[Duplicate Key]])</f>
        <v>1</v>
      </c>
    </row>
    <row r="3155" spans="1:10">
      <c r="A3155" s="7">
        <v>2</v>
      </c>
      <c r="B3155" s="8" t="s">
        <v>3925</v>
      </c>
      <c r="C3155" s="8" t="s">
        <v>3769</v>
      </c>
      <c r="D3155" s="7">
        <v>1</v>
      </c>
      <c r="E3155" s="7">
        <v>10</v>
      </c>
      <c r="F3155" s="7">
        <v>1</v>
      </c>
      <c r="G3155" s="8" t="s">
        <v>3826</v>
      </c>
      <c r="H3155" s="8" t="s">
        <v>3827</v>
      </c>
      <c r="I3155" s="7" t="str">
        <f>_xlfn.CONCAT(Paper_Reference[[#This Row],[Lvl]:[Paper Description]])</f>
        <v>2JDAIFOSSS5801FOSSIL D/G 60 X 961101110SW736-6200PRECISION WHITE 62"</v>
      </c>
      <c r="J3155" s="7">
        <f>COUNTIF(Paper_Reference[Duplicate Key],Paper_Reference[[#This Row],[Duplicate Key]])</f>
        <v>1</v>
      </c>
    </row>
    <row r="3156" spans="1:10">
      <c r="A3156" s="7">
        <v>2</v>
      </c>
      <c r="B3156" s="8" t="s">
        <v>3925</v>
      </c>
      <c r="C3156" s="8" t="s">
        <v>3769</v>
      </c>
      <c r="D3156" s="7">
        <v>1</v>
      </c>
      <c r="E3156" s="7">
        <v>40</v>
      </c>
      <c r="F3156" s="7">
        <v>1</v>
      </c>
      <c r="G3156" s="8" t="s">
        <v>4371</v>
      </c>
      <c r="H3156" s="8" t="s">
        <v>4372</v>
      </c>
      <c r="I3156" s="7" t="str">
        <f>_xlfn.CONCAT(Paper_Reference[[#This Row],[Lvl]:[Paper Description]])</f>
        <v>2JDAIFOSSS5801FOSSIL D/G 60 X 961401100DS064-6200BLACK</v>
      </c>
      <c r="J3156" s="7">
        <f>COUNTIF(Paper_Reference[Duplicate Key],Paper_Reference[[#This Row],[Duplicate Key]])</f>
        <v>1</v>
      </c>
    </row>
    <row r="3157" spans="1:10">
      <c r="A3157" s="7">
        <v>2</v>
      </c>
      <c r="B3157" s="8" t="s">
        <v>7764</v>
      </c>
      <c r="C3157" s="8" t="s">
        <v>7021</v>
      </c>
      <c r="D3157" s="7">
        <v>1</v>
      </c>
      <c r="E3157" s="7">
        <v>10</v>
      </c>
      <c r="F3157" s="7">
        <v>1</v>
      </c>
      <c r="G3157" s="8" t="s">
        <v>6710</v>
      </c>
      <c r="H3157" s="8" t="s">
        <v>5691</v>
      </c>
      <c r="I3157" s="7" t="str">
        <f>_xlfn.CONCAT(Paper_Reference[[#This Row],[Lvl]:[Paper Description]])</f>
        <v>2JDAISPE2N380SPECTRALITE  BB D/G 36 X 961101100DS009-5000FROSTY WHITE</v>
      </c>
      <c r="J3157" s="7">
        <f>COUNTIF(Paper_Reference[Duplicate Key],Paper_Reference[[#This Row],[Duplicate Key]])</f>
        <v>1</v>
      </c>
    </row>
    <row r="3158" spans="1:10">
      <c r="A3158" s="7">
        <v>2</v>
      </c>
      <c r="B3158" s="8" t="s">
        <v>7765</v>
      </c>
      <c r="C3158" s="8" t="s">
        <v>7008</v>
      </c>
      <c r="D3158" s="7">
        <v>1</v>
      </c>
      <c r="E3158" s="7">
        <v>10</v>
      </c>
      <c r="F3158" s="7">
        <v>1</v>
      </c>
      <c r="G3158" s="8" t="s">
        <v>6710</v>
      </c>
      <c r="H3158" s="8" t="s">
        <v>5691</v>
      </c>
      <c r="I3158" s="7" t="str">
        <f>_xlfn.CONCAT(Paper_Reference[[#This Row],[Lvl]:[Paper Description]])</f>
        <v>2JDAISPE2N480SPECTRALITE BB D/G 48 X 961101100DS009-5000FROSTY WHITE</v>
      </c>
      <c r="J3158" s="7">
        <f>COUNTIF(Paper_Reference[Duplicate Key],Paper_Reference[[#This Row],[Duplicate Key]])</f>
        <v>1</v>
      </c>
    </row>
    <row r="3159" spans="1:10">
      <c r="A3159" s="7">
        <v>2</v>
      </c>
      <c r="B3159" s="8" t="s">
        <v>7766</v>
      </c>
      <c r="C3159" s="8" t="s">
        <v>6843</v>
      </c>
      <c r="D3159" s="7">
        <v>1</v>
      </c>
      <c r="E3159" s="7">
        <v>10</v>
      </c>
      <c r="F3159" s="7">
        <v>2</v>
      </c>
      <c r="G3159" s="8" t="s">
        <v>6710</v>
      </c>
      <c r="H3159" s="8" t="s">
        <v>5691</v>
      </c>
      <c r="I3159" s="7" t="str">
        <f>_xlfn.CONCAT(Paper_Reference[[#This Row],[Lvl]:[Paper Description]])</f>
        <v>2JDAISPECN480SPECTRALITE D/G 48 X 961102100DS009-5000FROSTY WHITE</v>
      </c>
      <c r="J3159" s="7">
        <f>COUNTIF(Paper_Reference[Duplicate Key],Paper_Reference[[#This Row],[Duplicate Key]])</f>
        <v>1</v>
      </c>
    </row>
    <row r="3160" spans="1:10">
      <c r="A3160" s="7">
        <v>2</v>
      </c>
      <c r="B3160" s="8" t="s">
        <v>3453</v>
      </c>
      <c r="C3160" s="8" t="s">
        <v>3242</v>
      </c>
      <c r="D3160" s="7">
        <v>1</v>
      </c>
      <c r="E3160" s="7">
        <v>10</v>
      </c>
      <c r="F3160" s="7">
        <v>1</v>
      </c>
      <c r="G3160" s="8" t="s">
        <v>3230</v>
      </c>
      <c r="H3160" s="8" t="s">
        <v>3231</v>
      </c>
      <c r="I3160" s="7" t="str">
        <f>_xlfn.CONCAT(Paper_Reference[[#This Row],[Lvl]:[Paper Description]])</f>
        <v>2JDCIBENCSD480BENCHMARK D/G 48 X 961101110SW736-5000PRECISION WHITE 43 X 145</v>
      </c>
      <c r="J3160" s="7">
        <f>COUNTIF(Paper_Reference[Duplicate Key],Paper_Reference[[#This Row],[Duplicate Key]])</f>
        <v>1</v>
      </c>
    </row>
    <row r="3161" spans="1:10">
      <c r="A3161" s="7">
        <v>2</v>
      </c>
      <c r="B3161" s="8" t="s">
        <v>3926</v>
      </c>
      <c r="C3161" s="8" t="s">
        <v>3770</v>
      </c>
      <c r="D3161" s="7">
        <v>1</v>
      </c>
      <c r="E3161" s="7">
        <v>10</v>
      </c>
      <c r="F3161" s="7">
        <v>1</v>
      </c>
      <c r="G3161" s="8" t="s">
        <v>3826</v>
      </c>
      <c r="H3161" s="8" t="s">
        <v>3827</v>
      </c>
      <c r="I3161" s="7" t="str">
        <f>_xlfn.CONCAT(Paper_Reference[[#This Row],[Lvl]:[Paper Description]])</f>
        <v>2JDCIBENCSD500BENCHMARK D/G 60 X 1201101110SW736-6200PRECISION WHITE 62"</v>
      </c>
      <c r="J3161" s="7">
        <f>COUNTIF(Paper_Reference[Duplicate Key],Paper_Reference[[#This Row],[Duplicate Key]])</f>
        <v>1</v>
      </c>
    </row>
    <row r="3162" spans="1:10">
      <c r="A3162" s="7">
        <v>2</v>
      </c>
      <c r="B3162" s="8" t="s">
        <v>3926</v>
      </c>
      <c r="C3162" s="8" t="s">
        <v>3770</v>
      </c>
      <c r="D3162" s="7">
        <v>1</v>
      </c>
      <c r="E3162" s="7">
        <v>40</v>
      </c>
      <c r="F3162" s="7">
        <v>1</v>
      </c>
      <c r="G3162" s="8" t="s">
        <v>4371</v>
      </c>
      <c r="H3162" s="8" t="s">
        <v>4372</v>
      </c>
      <c r="I3162" s="7" t="str">
        <f>_xlfn.CONCAT(Paper_Reference[[#This Row],[Lvl]:[Paper Description]])</f>
        <v>2JDCIBENCSD500BENCHMARK D/G 60 X 1201401100DS064-6200BLACK</v>
      </c>
      <c r="J3162" s="7">
        <f>COUNTIF(Paper_Reference[Duplicate Key],Paper_Reference[[#This Row],[Duplicate Key]])</f>
        <v>1</v>
      </c>
    </row>
    <row r="3163" spans="1:10">
      <c r="A3163" s="7">
        <v>2</v>
      </c>
      <c r="B3163" s="8" t="s">
        <v>3454</v>
      </c>
      <c r="C3163" s="8" t="s">
        <v>3241</v>
      </c>
      <c r="D3163" s="7">
        <v>1</v>
      </c>
      <c r="E3163" s="7">
        <v>10</v>
      </c>
      <c r="F3163" s="7">
        <v>1</v>
      </c>
      <c r="G3163" s="8" t="s">
        <v>3230</v>
      </c>
      <c r="H3163" s="8" t="s">
        <v>3231</v>
      </c>
      <c r="I3163" s="7" t="str">
        <f>_xlfn.CONCAT(Paper_Reference[[#This Row],[Lvl]:[Paper Description]])</f>
        <v>2JDCIFOSSH4001FOSSIL D/G 48 X 1201101110SW736-5000PRECISION WHITE 43 X 145</v>
      </c>
      <c r="J3163" s="7">
        <f>COUNTIF(Paper_Reference[Duplicate Key],Paper_Reference[[#This Row],[Duplicate Key]])</f>
        <v>1</v>
      </c>
    </row>
    <row r="3164" spans="1:10">
      <c r="A3164" s="7">
        <v>2</v>
      </c>
      <c r="B3164" s="8" t="s">
        <v>3455</v>
      </c>
      <c r="C3164" s="8" t="s">
        <v>3239</v>
      </c>
      <c r="D3164" s="7">
        <v>1</v>
      </c>
      <c r="E3164" s="7">
        <v>10</v>
      </c>
      <c r="F3164" s="7">
        <v>1</v>
      </c>
      <c r="G3164" s="8" t="s">
        <v>3230</v>
      </c>
      <c r="H3164" s="8" t="s">
        <v>3231</v>
      </c>
      <c r="I3164" s="7" t="str">
        <f>_xlfn.CONCAT(Paper_Reference[[#This Row],[Lvl]:[Paper Description]])</f>
        <v>2JDCIFOSSH4201FOSSIL D/G 48 X 1441101110SW736-5000PRECISION WHITE 43 X 145</v>
      </c>
      <c r="J3164" s="7">
        <f>COUNTIF(Paper_Reference[Duplicate Key],Paper_Reference[[#This Row],[Duplicate Key]])</f>
        <v>1</v>
      </c>
    </row>
    <row r="3165" spans="1:10">
      <c r="A3165" s="7">
        <v>2</v>
      </c>
      <c r="B3165" s="8" t="s">
        <v>3456</v>
      </c>
      <c r="C3165" s="8" t="s">
        <v>3240</v>
      </c>
      <c r="D3165" s="7">
        <v>1</v>
      </c>
      <c r="E3165" s="7">
        <v>10</v>
      </c>
      <c r="F3165" s="7">
        <v>1</v>
      </c>
      <c r="G3165" s="8" t="s">
        <v>3230</v>
      </c>
      <c r="H3165" s="8" t="s">
        <v>3231</v>
      </c>
      <c r="I3165" s="7" t="str">
        <f>_xlfn.CONCAT(Paper_Reference[[#This Row],[Lvl]:[Paper Description]])</f>
        <v>2JDCIFOSSH4801FOSSIL D/G 48 X 961101110SW736-5000PRECISION WHITE 43 X 145</v>
      </c>
      <c r="J3165" s="7">
        <f>COUNTIF(Paper_Reference[Duplicate Key],Paper_Reference[[#This Row],[Duplicate Key]])</f>
        <v>1</v>
      </c>
    </row>
    <row r="3166" spans="1:10">
      <c r="A3166" s="7">
        <v>2</v>
      </c>
      <c r="B3166" s="8" t="s">
        <v>3927</v>
      </c>
      <c r="C3166" s="8" t="s">
        <v>3767</v>
      </c>
      <c r="D3166" s="7">
        <v>1</v>
      </c>
      <c r="E3166" s="7">
        <v>10</v>
      </c>
      <c r="F3166" s="7">
        <v>1</v>
      </c>
      <c r="G3166" s="8" t="s">
        <v>3826</v>
      </c>
      <c r="H3166" s="8" t="s">
        <v>3827</v>
      </c>
      <c r="I3166" s="7" t="str">
        <f>_xlfn.CONCAT(Paper_Reference[[#This Row],[Lvl]:[Paper Description]])</f>
        <v>2JDCIFOSSH5001FOSSIL D/G 60 X 1201101110SW736-6200PRECISION WHITE 62"</v>
      </c>
      <c r="J3166" s="7">
        <f>COUNTIF(Paper_Reference[Duplicate Key],Paper_Reference[[#This Row],[Duplicate Key]])</f>
        <v>1</v>
      </c>
    </row>
    <row r="3167" spans="1:10">
      <c r="A3167" s="7">
        <v>2</v>
      </c>
      <c r="B3167" s="8" t="s">
        <v>3927</v>
      </c>
      <c r="C3167" s="8" t="s">
        <v>3767</v>
      </c>
      <c r="D3167" s="7">
        <v>1</v>
      </c>
      <c r="E3167" s="7">
        <v>40</v>
      </c>
      <c r="F3167" s="7">
        <v>1</v>
      </c>
      <c r="G3167" s="8" t="s">
        <v>4371</v>
      </c>
      <c r="H3167" s="8" t="s">
        <v>4372</v>
      </c>
      <c r="I3167" s="7" t="str">
        <f>_xlfn.CONCAT(Paper_Reference[[#This Row],[Lvl]:[Paper Description]])</f>
        <v>2JDCIFOSSH5001FOSSIL D/G 60 X 1201401100DS064-6200BLACK</v>
      </c>
      <c r="J3167" s="7">
        <f>COUNTIF(Paper_Reference[Duplicate Key],Paper_Reference[[#This Row],[Duplicate Key]])</f>
        <v>1</v>
      </c>
    </row>
    <row r="3168" spans="1:10">
      <c r="A3168" s="7">
        <v>2</v>
      </c>
      <c r="B3168" s="8" t="s">
        <v>3928</v>
      </c>
      <c r="C3168" s="8" t="s">
        <v>3768</v>
      </c>
      <c r="D3168" s="7">
        <v>1</v>
      </c>
      <c r="E3168" s="7">
        <v>10</v>
      </c>
      <c r="F3168" s="7">
        <v>1</v>
      </c>
      <c r="G3168" s="8" t="s">
        <v>3826</v>
      </c>
      <c r="H3168" s="8" t="s">
        <v>3827</v>
      </c>
      <c r="I3168" s="7" t="str">
        <f>_xlfn.CONCAT(Paper_Reference[[#This Row],[Lvl]:[Paper Description]])</f>
        <v>2JDCIFOSSH5201FOSSIL D/G 60 X 1441101110SW736-6200PRECISION WHITE 62"</v>
      </c>
      <c r="J3168" s="7">
        <f>COUNTIF(Paper_Reference[Duplicate Key],Paper_Reference[[#This Row],[Duplicate Key]])</f>
        <v>1</v>
      </c>
    </row>
    <row r="3169" spans="1:10">
      <c r="A3169" s="7">
        <v>2</v>
      </c>
      <c r="B3169" s="8" t="s">
        <v>3928</v>
      </c>
      <c r="C3169" s="8" t="s">
        <v>3768</v>
      </c>
      <c r="D3169" s="7">
        <v>1</v>
      </c>
      <c r="E3169" s="7">
        <v>40</v>
      </c>
      <c r="F3169" s="7">
        <v>1</v>
      </c>
      <c r="G3169" s="8" t="s">
        <v>4371</v>
      </c>
      <c r="H3169" s="8" t="s">
        <v>4372</v>
      </c>
      <c r="I3169" s="7" t="str">
        <f>_xlfn.CONCAT(Paper_Reference[[#This Row],[Lvl]:[Paper Description]])</f>
        <v>2JDCIFOSSH5201FOSSIL D/G 60 X 1441401100DS064-6200BLACK</v>
      </c>
      <c r="J3169" s="7">
        <f>COUNTIF(Paper_Reference[Duplicate Key],Paper_Reference[[#This Row],[Duplicate Key]])</f>
        <v>1</v>
      </c>
    </row>
    <row r="3170" spans="1:10">
      <c r="A3170" s="7">
        <v>2</v>
      </c>
      <c r="B3170" s="8" t="s">
        <v>3929</v>
      </c>
      <c r="C3170" s="8" t="s">
        <v>3769</v>
      </c>
      <c r="D3170" s="7">
        <v>1</v>
      </c>
      <c r="E3170" s="7">
        <v>10</v>
      </c>
      <c r="F3170" s="7">
        <v>1</v>
      </c>
      <c r="G3170" s="8" t="s">
        <v>3826</v>
      </c>
      <c r="H3170" s="8" t="s">
        <v>3827</v>
      </c>
      <c r="I3170" s="7" t="str">
        <f>_xlfn.CONCAT(Paper_Reference[[#This Row],[Lvl]:[Paper Description]])</f>
        <v>2JDCIFOSSH5801FOSSIL D/G 60 X 961101110SW736-6200PRECISION WHITE 62"</v>
      </c>
      <c r="J3170" s="7">
        <f>COUNTIF(Paper_Reference[Duplicate Key],Paper_Reference[[#This Row],[Duplicate Key]])</f>
        <v>1</v>
      </c>
    </row>
    <row r="3171" spans="1:10">
      <c r="A3171" s="7">
        <v>2</v>
      </c>
      <c r="B3171" s="8" t="s">
        <v>3929</v>
      </c>
      <c r="C3171" s="8" t="s">
        <v>3769</v>
      </c>
      <c r="D3171" s="7">
        <v>1</v>
      </c>
      <c r="E3171" s="7">
        <v>40</v>
      </c>
      <c r="F3171" s="7">
        <v>1</v>
      </c>
      <c r="G3171" s="8" t="s">
        <v>4371</v>
      </c>
      <c r="H3171" s="8" t="s">
        <v>4372</v>
      </c>
      <c r="I3171" s="7" t="str">
        <f>_xlfn.CONCAT(Paper_Reference[[#This Row],[Lvl]:[Paper Description]])</f>
        <v>2JDCIFOSSH5801FOSSIL D/G 60 X 961401100DS064-6200BLACK</v>
      </c>
      <c r="J3171" s="7">
        <f>COUNTIF(Paper_Reference[Duplicate Key],Paper_Reference[[#This Row],[Duplicate Key]])</f>
        <v>1</v>
      </c>
    </row>
    <row r="3172" spans="1:10">
      <c r="A3172" s="7">
        <v>2</v>
      </c>
      <c r="B3172" s="8" t="s">
        <v>3457</v>
      </c>
      <c r="C3172" s="8" t="s">
        <v>3240</v>
      </c>
      <c r="D3172" s="7">
        <v>1</v>
      </c>
      <c r="E3172" s="7">
        <v>10</v>
      </c>
      <c r="F3172" s="7">
        <v>1</v>
      </c>
      <c r="G3172" s="8" t="s">
        <v>3230</v>
      </c>
      <c r="H3172" s="8" t="s">
        <v>3231</v>
      </c>
      <c r="I3172" s="7" t="str">
        <f>_xlfn.CONCAT(Paper_Reference[[#This Row],[Lvl]:[Paper Description]])</f>
        <v>2JDCIFOSSLS4801FOSSIL D/G 48 X 961101110SW736-5000PRECISION WHITE 43 X 145</v>
      </c>
      <c r="J3172" s="7">
        <f>COUNTIF(Paper_Reference[Duplicate Key],Paper_Reference[[#This Row],[Duplicate Key]])</f>
        <v>1</v>
      </c>
    </row>
    <row r="3173" spans="1:10">
      <c r="A3173" s="7">
        <v>2</v>
      </c>
      <c r="B3173" s="8" t="s">
        <v>3458</v>
      </c>
      <c r="C3173" s="8" t="s">
        <v>3240</v>
      </c>
      <c r="D3173" s="7">
        <v>1</v>
      </c>
      <c r="E3173" s="7">
        <v>10</v>
      </c>
      <c r="F3173" s="7">
        <v>1</v>
      </c>
      <c r="G3173" s="8" t="s">
        <v>3230</v>
      </c>
      <c r="H3173" s="8" t="s">
        <v>3231</v>
      </c>
      <c r="I3173" s="7" t="str">
        <f>_xlfn.CONCAT(Paper_Reference[[#This Row],[Lvl]:[Paper Description]])</f>
        <v>2JDCIFOSSPV4801FOSSIL D/G 48 X 961101110SW736-5000PRECISION WHITE 43 X 145</v>
      </c>
      <c r="J3173" s="7">
        <f>COUNTIF(Paper_Reference[Duplicate Key],Paper_Reference[[#This Row],[Duplicate Key]])</f>
        <v>1</v>
      </c>
    </row>
    <row r="3174" spans="1:10">
      <c r="A3174" s="7">
        <v>2</v>
      </c>
      <c r="B3174" s="8" t="s">
        <v>3930</v>
      </c>
      <c r="C3174" s="8" t="s">
        <v>3768</v>
      </c>
      <c r="D3174" s="7">
        <v>1</v>
      </c>
      <c r="E3174" s="7">
        <v>10</v>
      </c>
      <c r="F3174" s="7">
        <v>1</v>
      </c>
      <c r="G3174" s="8" t="s">
        <v>3826</v>
      </c>
      <c r="H3174" s="8" t="s">
        <v>3827</v>
      </c>
      <c r="I3174" s="7" t="str">
        <f>_xlfn.CONCAT(Paper_Reference[[#This Row],[Lvl]:[Paper Description]])</f>
        <v>2JDCIFOSSPV5201FOSSIL D/G 60 X 1441101110SW736-6200PRECISION WHITE 62"</v>
      </c>
      <c r="J3174" s="7">
        <f>COUNTIF(Paper_Reference[Duplicate Key],Paper_Reference[[#This Row],[Duplicate Key]])</f>
        <v>1</v>
      </c>
    </row>
    <row r="3175" spans="1:10">
      <c r="A3175" s="7">
        <v>2</v>
      </c>
      <c r="B3175" s="8" t="s">
        <v>3930</v>
      </c>
      <c r="C3175" s="8" t="s">
        <v>3768</v>
      </c>
      <c r="D3175" s="7">
        <v>1</v>
      </c>
      <c r="E3175" s="7">
        <v>40</v>
      </c>
      <c r="F3175" s="7">
        <v>1</v>
      </c>
      <c r="G3175" s="8" t="s">
        <v>4371</v>
      </c>
      <c r="H3175" s="8" t="s">
        <v>4372</v>
      </c>
      <c r="I3175" s="7" t="str">
        <f>_xlfn.CONCAT(Paper_Reference[[#This Row],[Lvl]:[Paper Description]])</f>
        <v>2JDCIFOSSPV5201FOSSIL D/G 60 X 1441401100DS064-6200BLACK</v>
      </c>
      <c r="J3175" s="7">
        <f>COUNTIF(Paper_Reference[Duplicate Key],Paper_Reference[[#This Row],[Duplicate Key]])</f>
        <v>1</v>
      </c>
    </row>
    <row r="3176" spans="1:10">
      <c r="A3176" s="7">
        <v>2</v>
      </c>
      <c r="B3176" s="8" t="s">
        <v>3459</v>
      </c>
      <c r="C3176" s="8" t="s">
        <v>3241</v>
      </c>
      <c r="D3176" s="7">
        <v>1</v>
      </c>
      <c r="E3176" s="7">
        <v>10</v>
      </c>
      <c r="F3176" s="7">
        <v>1</v>
      </c>
      <c r="G3176" s="8" t="s">
        <v>3230</v>
      </c>
      <c r="H3176" s="8" t="s">
        <v>3231</v>
      </c>
      <c r="I3176" s="7" t="str">
        <f>_xlfn.CONCAT(Paper_Reference[[#This Row],[Lvl]:[Paper Description]])</f>
        <v>2JDCIFOSSS4001FOSSIL D/G 48 X 1201101110SW736-5000PRECISION WHITE 43 X 145</v>
      </c>
      <c r="J3176" s="7">
        <f>COUNTIF(Paper_Reference[Duplicate Key],Paper_Reference[[#This Row],[Duplicate Key]])</f>
        <v>1</v>
      </c>
    </row>
    <row r="3177" spans="1:10">
      <c r="A3177" s="7">
        <v>2</v>
      </c>
      <c r="B3177" s="8" t="s">
        <v>3460</v>
      </c>
      <c r="C3177" s="8" t="s">
        <v>3239</v>
      </c>
      <c r="D3177" s="7">
        <v>1</v>
      </c>
      <c r="E3177" s="7">
        <v>10</v>
      </c>
      <c r="F3177" s="7">
        <v>1</v>
      </c>
      <c r="G3177" s="8" t="s">
        <v>3230</v>
      </c>
      <c r="H3177" s="8" t="s">
        <v>3231</v>
      </c>
      <c r="I3177" s="7" t="str">
        <f>_xlfn.CONCAT(Paper_Reference[[#This Row],[Lvl]:[Paper Description]])</f>
        <v>2JDCIFOSSS4201FOSSIL D/G 48 X 1441101110SW736-5000PRECISION WHITE 43 X 145</v>
      </c>
      <c r="J3177" s="7">
        <f>COUNTIF(Paper_Reference[Duplicate Key],Paper_Reference[[#This Row],[Duplicate Key]])</f>
        <v>1</v>
      </c>
    </row>
    <row r="3178" spans="1:10">
      <c r="A3178" s="7">
        <v>2</v>
      </c>
      <c r="B3178" s="8" t="s">
        <v>3462</v>
      </c>
      <c r="C3178" s="8" t="s">
        <v>3240</v>
      </c>
      <c r="D3178" s="7">
        <v>1</v>
      </c>
      <c r="E3178" s="7">
        <v>10</v>
      </c>
      <c r="F3178" s="7">
        <v>1</v>
      </c>
      <c r="G3178" s="8" t="s">
        <v>3230</v>
      </c>
      <c r="H3178" s="8" t="s">
        <v>3231</v>
      </c>
      <c r="I3178" s="7" t="str">
        <f>_xlfn.CONCAT(Paper_Reference[[#This Row],[Lvl]:[Paper Description]])</f>
        <v>2JDCIFOSSS480FOSSIL D/G 48 X 961101110SW736-5000PRECISION WHITE 43 X 145</v>
      </c>
      <c r="J3178" s="7">
        <f>COUNTIF(Paper_Reference[Duplicate Key],Paper_Reference[[#This Row],[Duplicate Key]])</f>
        <v>1</v>
      </c>
    </row>
    <row r="3179" spans="1:10">
      <c r="A3179" s="7">
        <v>2</v>
      </c>
      <c r="B3179" s="8" t="s">
        <v>3461</v>
      </c>
      <c r="C3179" s="8" t="s">
        <v>3240</v>
      </c>
      <c r="D3179" s="7">
        <v>1</v>
      </c>
      <c r="E3179" s="7">
        <v>10</v>
      </c>
      <c r="F3179" s="7">
        <v>1</v>
      </c>
      <c r="G3179" s="8" t="s">
        <v>3230</v>
      </c>
      <c r="H3179" s="8" t="s">
        <v>3231</v>
      </c>
      <c r="I3179" s="7" t="str">
        <f>_xlfn.CONCAT(Paper_Reference[[#This Row],[Lvl]:[Paper Description]])</f>
        <v>2JDCIFOSSS4801FOSSIL D/G 48 X 961101110SW736-5000PRECISION WHITE 43 X 145</v>
      </c>
      <c r="J3179" s="7">
        <f>COUNTIF(Paper_Reference[Duplicate Key],Paper_Reference[[#This Row],[Duplicate Key]])</f>
        <v>1</v>
      </c>
    </row>
    <row r="3180" spans="1:10">
      <c r="A3180" s="7">
        <v>2</v>
      </c>
      <c r="B3180" s="8" t="s">
        <v>3931</v>
      </c>
      <c r="C3180" s="8" t="s">
        <v>3767</v>
      </c>
      <c r="D3180" s="7">
        <v>1</v>
      </c>
      <c r="E3180" s="7">
        <v>10</v>
      </c>
      <c r="F3180" s="7">
        <v>1</v>
      </c>
      <c r="G3180" s="8" t="s">
        <v>3826</v>
      </c>
      <c r="H3180" s="8" t="s">
        <v>3827</v>
      </c>
      <c r="I3180" s="7" t="str">
        <f>_xlfn.CONCAT(Paper_Reference[[#This Row],[Lvl]:[Paper Description]])</f>
        <v>2JDCIFOSSS5001FOSSIL D/G 60 X 1201101110SW736-6200PRECISION WHITE 62"</v>
      </c>
      <c r="J3180" s="7">
        <f>COUNTIF(Paper_Reference[Duplicate Key],Paper_Reference[[#This Row],[Duplicate Key]])</f>
        <v>1</v>
      </c>
    </row>
    <row r="3181" spans="1:10">
      <c r="A3181" s="7">
        <v>2</v>
      </c>
      <c r="B3181" s="8" t="s">
        <v>3931</v>
      </c>
      <c r="C3181" s="8" t="s">
        <v>3767</v>
      </c>
      <c r="D3181" s="7">
        <v>1</v>
      </c>
      <c r="E3181" s="7">
        <v>40</v>
      </c>
      <c r="F3181" s="7">
        <v>1</v>
      </c>
      <c r="G3181" s="8" t="s">
        <v>4371</v>
      </c>
      <c r="H3181" s="8" t="s">
        <v>4372</v>
      </c>
      <c r="I3181" s="7" t="str">
        <f>_xlfn.CONCAT(Paper_Reference[[#This Row],[Lvl]:[Paper Description]])</f>
        <v>2JDCIFOSSS5001FOSSIL D/G 60 X 1201401100DS064-6200BLACK</v>
      </c>
      <c r="J3181" s="7">
        <f>COUNTIF(Paper_Reference[Duplicate Key],Paper_Reference[[#This Row],[Duplicate Key]])</f>
        <v>1</v>
      </c>
    </row>
    <row r="3182" spans="1:10">
      <c r="A3182" s="7">
        <v>2</v>
      </c>
      <c r="B3182" s="8" t="s">
        <v>3932</v>
      </c>
      <c r="C3182" s="8" t="s">
        <v>3768</v>
      </c>
      <c r="D3182" s="7">
        <v>1</v>
      </c>
      <c r="E3182" s="7">
        <v>10</v>
      </c>
      <c r="F3182" s="7">
        <v>1</v>
      </c>
      <c r="G3182" s="8" t="s">
        <v>3826</v>
      </c>
      <c r="H3182" s="8" t="s">
        <v>3827</v>
      </c>
      <c r="I3182" s="7" t="str">
        <f>_xlfn.CONCAT(Paper_Reference[[#This Row],[Lvl]:[Paper Description]])</f>
        <v>2JDCIFOSSS5201FOSSIL D/G 60 X 1441101110SW736-6200PRECISION WHITE 62"</v>
      </c>
      <c r="J3182" s="7">
        <f>COUNTIF(Paper_Reference[Duplicate Key],Paper_Reference[[#This Row],[Duplicate Key]])</f>
        <v>1</v>
      </c>
    </row>
    <row r="3183" spans="1:10">
      <c r="A3183" s="7">
        <v>2</v>
      </c>
      <c r="B3183" s="8" t="s">
        <v>3932</v>
      </c>
      <c r="C3183" s="8" t="s">
        <v>3768</v>
      </c>
      <c r="D3183" s="7">
        <v>1</v>
      </c>
      <c r="E3183" s="7">
        <v>40</v>
      </c>
      <c r="F3183" s="7">
        <v>1</v>
      </c>
      <c r="G3183" s="8" t="s">
        <v>4371</v>
      </c>
      <c r="H3183" s="8" t="s">
        <v>4372</v>
      </c>
      <c r="I3183" s="7" t="str">
        <f>_xlfn.CONCAT(Paper_Reference[[#This Row],[Lvl]:[Paper Description]])</f>
        <v>2JDCIFOSSS5201FOSSIL D/G 60 X 1441401100DS064-6200BLACK</v>
      </c>
      <c r="J3183" s="7">
        <f>COUNTIF(Paper_Reference[Duplicate Key],Paper_Reference[[#This Row],[Duplicate Key]])</f>
        <v>1</v>
      </c>
    </row>
    <row r="3184" spans="1:10">
      <c r="A3184" s="7">
        <v>2</v>
      </c>
      <c r="B3184" s="8" t="s">
        <v>7767</v>
      </c>
      <c r="C3184" s="8" t="s">
        <v>7007</v>
      </c>
      <c r="D3184" s="7">
        <v>1</v>
      </c>
      <c r="E3184" s="7">
        <v>10</v>
      </c>
      <c r="F3184" s="7">
        <v>1</v>
      </c>
      <c r="G3184" s="8" t="s">
        <v>6710</v>
      </c>
      <c r="H3184" s="8" t="s">
        <v>5691</v>
      </c>
      <c r="I3184" s="7" t="str">
        <f>_xlfn.CONCAT(Paper_Reference[[#This Row],[Lvl]:[Paper Description]])</f>
        <v>2JDCISPE2N400SPECTRALITE BB D/G 48 X 1201101100DS009-5000FROSTY WHITE</v>
      </c>
      <c r="J3184" s="7">
        <f>COUNTIF(Paper_Reference[Duplicate Key],Paper_Reference[[#This Row],[Duplicate Key]])</f>
        <v>1</v>
      </c>
    </row>
    <row r="3185" spans="1:10">
      <c r="A3185" s="7">
        <v>2</v>
      </c>
      <c r="B3185" s="8" t="s">
        <v>7768</v>
      </c>
      <c r="C3185" s="8" t="s">
        <v>7008</v>
      </c>
      <c r="D3185" s="7">
        <v>1</v>
      </c>
      <c r="E3185" s="7">
        <v>10</v>
      </c>
      <c r="F3185" s="7">
        <v>1</v>
      </c>
      <c r="G3185" s="8" t="s">
        <v>6710</v>
      </c>
      <c r="H3185" s="8" t="s">
        <v>5691</v>
      </c>
      <c r="I3185" s="7" t="str">
        <f>_xlfn.CONCAT(Paper_Reference[[#This Row],[Lvl]:[Paper Description]])</f>
        <v>2JDCISPE2N480SPECTRALITE BB D/G 48 X 961101100DS009-5000FROSTY WHITE</v>
      </c>
      <c r="J3185" s="7">
        <f>COUNTIF(Paper_Reference[Duplicate Key],Paper_Reference[[#This Row],[Duplicate Key]])</f>
        <v>1</v>
      </c>
    </row>
    <row r="3186" spans="1:10">
      <c r="A3186" s="7">
        <v>2</v>
      </c>
      <c r="B3186" s="8" t="s">
        <v>7769</v>
      </c>
      <c r="C3186" s="8" t="s">
        <v>6844</v>
      </c>
      <c r="D3186" s="7">
        <v>1</v>
      </c>
      <c r="E3186" s="7">
        <v>10</v>
      </c>
      <c r="F3186" s="7">
        <v>2</v>
      </c>
      <c r="G3186" s="8" t="s">
        <v>6710</v>
      </c>
      <c r="H3186" s="8" t="s">
        <v>5691</v>
      </c>
      <c r="I3186" s="7" t="str">
        <f>_xlfn.CONCAT(Paper_Reference[[#This Row],[Lvl]:[Paper Description]])</f>
        <v>2JDCISPECN300SPECTRALITE D/G 36 X 1201102100DS009-5000FROSTY WHITE</v>
      </c>
      <c r="J3186" s="7">
        <f>COUNTIF(Paper_Reference[Duplicate Key],Paper_Reference[[#This Row],[Duplicate Key]])</f>
        <v>1</v>
      </c>
    </row>
    <row r="3187" spans="1:10">
      <c r="A3187" s="7">
        <v>2</v>
      </c>
      <c r="B3187" s="8" t="s">
        <v>7770</v>
      </c>
      <c r="C3187" s="8" t="s">
        <v>7009</v>
      </c>
      <c r="D3187" s="7">
        <v>1</v>
      </c>
      <c r="E3187" s="7">
        <v>10</v>
      </c>
      <c r="F3187" s="7">
        <v>2</v>
      </c>
      <c r="G3187" s="8" t="s">
        <v>6710</v>
      </c>
      <c r="H3187" s="8" t="s">
        <v>5691</v>
      </c>
      <c r="I3187" s="7" t="str">
        <f>_xlfn.CONCAT(Paper_Reference[[#This Row],[Lvl]:[Paper Description]])</f>
        <v>2JDCISPECN380SPECTRALITE  D/G 36 X 961102100DS009-5000FROSTY WHITE</v>
      </c>
      <c r="J3187" s="7">
        <f>COUNTIF(Paper_Reference[Duplicate Key],Paper_Reference[[#This Row],[Duplicate Key]])</f>
        <v>1</v>
      </c>
    </row>
    <row r="3188" spans="1:10">
      <c r="A3188" s="7">
        <v>2</v>
      </c>
      <c r="B3188" s="8" t="s">
        <v>7771</v>
      </c>
      <c r="C3188" s="8" t="s">
        <v>7005</v>
      </c>
      <c r="D3188" s="7">
        <v>1</v>
      </c>
      <c r="E3188" s="7">
        <v>10</v>
      </c>
      <c r="F3188" s="7">
        <v>2</v>
      </c>
      <c r="G3188" s="8" t="s">
        <v>6710</v>
      </c>
      <c r="H3188" s="8" t="s">
        <v>5691</v>
      </c>
      <c r="I3188" s="7" t="str">
        <f>_xlfn.CONCAT(Paper_Reference[[#This Row],[Lvl]:[Paper Description]])</f>
        <v>2JDCISPECN400SPECTRALITE D/G 48 X 1201102100DS009-5000FROSTY WHITE</v>
      </c>
      <c r="J3188" s="7">
        <f>COUNTIF(Paper_Reference[Duplicate Key],Paper_Reference[[#This Row],[Duplicate Key]])</f>
        <v>1</v>
      </c>
    </row>
    <row r="3189" spans="1:10">
      <c r="A3189" s="7">
        <v>2</v>
      </c>
      <c r="B3189" s="8" t="s">
        <v>7772</v>
      </c>
      <c r="C3189" s="8" t="s">
        <v>6843</v>
      </c>
      <c r="D3189" s="7">
        <v>1</v>
      </c>
      <c r="E3189" s="7">
        <v>10</v>
      </c>
      <c r="F3189" s="7">
        <v>2</v>
      </c>
      <c r="G3189" s="8" t="s">
        <v>6710</v>
      </c>
      <c r="H3189" s="8" t="s">
        <v>5691</v>
      </c>
      <c r="I3189" s="7" t="str">
        <f>_xlfn.CONCAT(Paper_Reference[[#This Row],[Lvl]:[Paper Description]])</f>
        <v>2JDCISPECN480SPECTRALITE D/G 48 X 961102100DS009-5000FROSTY WHITE</v>
      </c>
      <c r="J3189" s="7">
        <f>COUNTIF(Paper_Reference[Duplicate Key],Paper_Reference[[#This Row],[Duplicate Key]])</f>
        <v>1</v>
      </c>
    </row>
    <row r="3190" spans="1:10">
      <c r="A3190" s="7">
        <v>2</v>
      </c>
      <c r="B3190" s="8" t="s">
        <v>7773</v>
      </c>
      <c r="C3190" s="8" t="s">
        <v>7010</v>
      </c>
      <c r="D3190" s="7">
        <v>1</v>
      </c>
      <c r="E3190" s="7">
        <v>10</v>
      </c>
      <c r="F3190" s="7">
        <v>1</v>
      </c>
      <c r="G3190" s="8" t="s">
        <v>6710</v>
      </c>
      <c r="H3190" s="8" t="s">
        <v>5691</v>
      </c>
      <c r="I3190" s="7" t="str">
        <f>_xlfn.CONCAT(Paper_Reference[[#This Row],[Lvl]:[Paper Description]])</f>
        <v>2JDCIZONED4001IZONE D/G 48 X 1201101100DS009-5000FROSTY WHITE</v>
      </c>
      <c r="J3190" s="7">
        <f>COUNTIF(Paper_Reference[Duplicate Key],Paper_Reference[[#This Row],[Duplicate Key]])</f>
        <v>1</v>
      </c>
    </row>
    <row r="3191" spans="1:10">
      <c r="A3191" s="7">
        <v>2</v>
      </c>
      <c r="B3191" s="8" t="s">
        <v>7774</v>
      </c>
      <c r="C3191" s="8" t="s">
        <v>7011</v>
      </c>
      <c r="D3191" s="7">
        <v>1</v>
      </c>
      <c r="E3191" s="7">
        <v>10</v>
      </c>
      <c r="F3191" s="7">
        <v>1</v>
      </c>
      <c r="G3191" s="8" t="s">
        <v>6710</v>
      </c>
      <c r="H3191" s="8" t="s">
        <v>5691</v>
      </c>
      <c r="I3191" s="7" t="str">
        <f>_xlfn.CONCAT(Paper_Reference[[#This Row],[Lvl]:[Paper Description]])</f>
        <v>2JDCIZONED4201IZONE D/G 48 X 1441101100DS009-5000FROSTY WHITE</v>
      </c>
      <c r="J3191" s="7">
        <f>COUNTIF(Paper_Reference[Duplicate Key],Paper_Reference[[#This Row],[Duplicate Key]])</f>
        <v>1</v>
      </c>
    </row>
    <row r="3192" spans="1:10">
      <c r="A3192" s="7">
        <v>2</v>
      </c>
      <c r="B3192" s="8" t="s">
        <v>7775</v>
      </c>
      <c r="C3192" s="8" t="s">
        <v>7012</v>
      </c>
      <c r="D3192" s="7">
        <v>1</v>
      </c>
      <c r="E3192" s="7">
        <v>10</v>
      </c>
      <c r="F3192" s="7">
        <v>1</v>
      </c>
      <c r="G3192" s="8" t="s">
        <v>6710</v>
      </c>
      <c r="H3192" s="8" t="s">
        <v>5691</v>
      </c>
      <c r="I3192" s="7" t="str">
        <f>_xlfn.CONCAT(Paper_Reference[[#This Row],[Lvl]:[Paper Description]])</f>
        <v>2JDCIZONED4801IZONE D/G 48 X 961101100DS009-5000FROSTY WHITE</v>
      </c>
      <c r="J3192" s="7">
        <f>COUNTIF(Paper_Reference[Duplicate Key],Paper_Reference[[#This Row],[Duplicate Key]])</f>
        <v>1</v>
      </c>
    </row>
    <row r="3193" spans="1:10">
      <c r="A3193" s="7">
        <v>2</v>
      </c>
      <c r="B3193" s="8" t="s">
        <v>5148</v>
      </c>
      <c r="C3193" s="8" t="s">
        <v>4496</v>
      </c>
      <c r="D3193" s="7">
        <v>1</v>
      </c>
      <c r="E3193" s="7">
        <v>10</v>
      </c>
      <c r="F3193" s="7">
        <v>1</v>
      </c>
      <c r="G3193" s="8" t="s">
        <v>5690</v>
      </c>
      <c r="H3193" s="8" t="s">
        <v>5691</v>
      </c>
      <c r="I3193" s="7" t="str">
        <f>_xlfn.CONCAT(Paper_Reference[[#This Row],[Lvl]:[Paper Description]])</f>
        <v>2JDCIZONED5001IZONE D/G 60 X 1201101100DS009-6200FROSTY WHITE</v>
      </c>
      <c r="J3193" s="7">
        <f>COUNTIF(Paper_Reference[Duplicate Key],Paper_Reference[[#This Row],[Duplicate Key]])</f>
        <v>1</v>
      </c>
    </row>
    <row r="3194" spans="1:10">
      <c r="A3194" s="7">
        <v>2</v>
      </c>
      <c r="B3194" s="8" t="s">
        <v>5148</v>
      </c>
      <c r="C3194" s="8" t="s">
        <v>4496</v>
      </c>
      <c r="D3194" s="7">
        <v>1</v>
      </c>
      <c r="E3194" s="7">
        <v>10</v>
      </c>
      <c r="F3194" s="7">
        <v>1</v>
      </c>
      <c r="G3194" s="8" t="s">
        <v>4371</v>
      </c>
      <c r="H3194" s="8" t="s">
        <v>4372</v>
      </c>
      <c r="I3194" s="7" t="str">
        <f>_xlfn.CONCAT(Paper_Reference[[#This Row],[Lvl]:[Paper Description]])</f>
        <v>2JDCIZONED5001IZONE D/G 60 X 1201101100DS064-6200BLACK</v>
      </c>
      <c r="J3194" s="7">
        <f>COUNTIF(Paper_Reference[Duplicate Key],Paper_Reference[[#This Row],[Duplicate Key]])</f>
        <v>1</v>
      </c>
    </row>
    <row r="3195" spans="1:10">
      <c r="A3195" s="7">
        <v>2</v>
      </c>
      <c r="B3195" s="8" t="s">
        <v>5149</v>
      </c>
      <c r="C3195" s="8" t="s">
        <v>3772</v>
      </c>
      <c r="D3195" s="7">
        <v>1</v>
      </c>
      <c r="E3195" s="7">
        <v>10</v>
      </c>
      <c r="F3195" s="7">
        <v>1</v>
      </c>
      <c r="G3195" s="8" t="s">
        <v>5690</v>
      </c>
      <c r="H3195" s="8" t="s">
        <v>5691</v>
      </c>
      <c r="I3195" s="7" t="str">
        <f>_xlfn.CONCAT(Paper_Reference[[#This Row],[Lvl]:[Paper Description]])</f>
        <v>2JDCIZONED5201IZONE D/G 60 X 1441101100DS009-6200FROSTY WHITE</v>
      </c>
      <c r="J3195" s="7">
        <f>COUNTIF(Paper_Reference[Duplicate Key],Paper_Reference[[#This Row],[Duplicate Key]])</f>
        <v>1</v>
      </c>
    </row>
    <row r="3196" spans="1:10">
      <c r="A3196" s="7">
        <v>2</v>
      </c>
      <c r="B3196" s="8" t="s">
        <v>5149</v>
      </c>
      <c r="C3196" s="8" t="s">
        <v>3772</v>
      </c>
      <c r="D3196" s="7">
        <v>1</v>
      </c>
      <c r="E3196" s="7">
        <v>10</v>
      </c>
      <c r="F3196" s="7">
        <v>1</v>
      </c>
      <c r="G3196" s="8" t="s">
        <v>4371</v>
      </c>
      <c r="H3196" s="8" t="s">
        <v>4372</v>
      </c>
      <c r="I3196" s="7" t="str">
        <f>_xlfn.CONCAT(Paper_Reference[[#This Row],[Lvl]:[Paper Description]])</f>
        <v>2JDCIZONED5201IZONE D/G 60 X 1441101100DS064-6200BLACK</v>
      </c>
      <c r="J3196" s="7">
        <f>COUNTIF(Paper_Reference[Duplicate Key],Paper_Reference[[#This Row],[Duplicate Key]])</f>
        <v>1</v>
      </c>
    </row>
    <row r="3197" spans="1:10">
      <c r="A3197" s="7">
        <v>2</v>
      </c>
      <c r="B3197" s="8" t="s">
        <v>5150</v>
      </c>
      <c r="C3197" s="8" t="s">
        <v>4497</v>
      </c>
      <c r="D3197" s="7">
        <v>1</v>
      </c>
      <c r="E3197" s="7">
        <v>10</v>
      </c>
      <c r="F3197" s="7">
        <v>1</v>
      </c>
      <c r="G3197" s="8" t="s">
        <v>5690</v>
      </c>
      <c r="H3197" s="8" t="s">
        <v>5691</v>
      </c>
      <c r="I3197" s="7" t="str">
        <f>_xlfn.CONCAT(Paper_Reference[[#This Row],[Lvl]:[Paper Description]])</f>
        <v>2JDCIZONED5801IZONE D/G 60 X 961101100DS009-6200FROSTY WHITE</v>
      </c>
      <c r="J3197" s="7">
        <f>COUNTIF(Paper_Reference[Duplicate Key],Paper_Reference[[#This Row],[Duplicate Key]])</f>
        <v>1</v>
      </c>
    </row>
    <row r="3198" spans="1:10">
      <c r="A3198" s="7">
        <v>2</v>
      </c>
      <c r="B3198" s="8" t="s">
        <v>5150</v>
      </c>
      <c r="C3198" s="8" t="s">
        <v>4497</v>
      </c>
      <c r="D3198" s="7">
        <v>1</v>
      </c>
      <c r="E3198" s="7">
        <v>10</v>
      </c>
      <c r="F3198" s="7">
        <v>1</v>
      </c>
      <c r="G3198" s="8" t="s">
        <v>4371</v>
      </c>
      <c r="H3198" s="8" t="s">
        <v>4372</v>
      </c>
      <c r="I3198" s="7" t="str">
        <f>_xlfn.CONCAT(Paper_Reference[[#This Row],[Lvl]:[Paper Description]])</f>
        <v>2JDCIZONED5801IZONE D/G 60 X 961101100DS064-6200BLACK</v>
      </c>
      <c r="J3198" s="7">
        <f>COUNTIF(Paper_Reference[Duplicate Key],Paper_Reference[[#This Row],[Duplicate Key]])</f>
        <v>1</v>
      </c>
    </row>
    <row r="3199" spans="1:10">
      <c r="A3199" s="7">
        <v>2</v>
      </c>
      <c r="B3199" s="8" t="s">
        <v>7776</v>
      </c>
      <c r="C3199" s="8" t="s">
        <v>7022</v>
      </c>
      <c r="D3199" s="7">
        <v>1</v>
      </c>
      <c r="E3199" s="7">
        <v>10</v>
      </c>
      <c r="F3199" s="7">
        <v>0.125</v>
      </c>
      <c r="G3199" s="8" t="s">
        <v>6710</v>
      </c>
      <c r="H3199" s="8" t="s">
        <v>5691</v>
      </c>
      <c r="I3199" s="7" t="str">
        <f>_xlfn.CONCAT(Paper_Reference[[#This Row],[Lvl]:[Paper Description]])</f>
        <v>2JDCRB175NB05LOGO NAME PLATE 42 1/8X16 15/11100.125100DS009-5000FROSTY WHITE</v>
      </c>
      <c r="J3199" s="7">
        <f>COUNTIF(Paper_Reference[Duplicate Key],Paper_Reference[[#This Row],[Duplicate Key]])</f>
        <v>1</v>
      </c>
    </row>
    <row r="3200" spans="1:10">
      <c r="A3200" s="7">
        <v>2</v>
      </c>
      <c r="B3200" s="8" t="s">
        <v>5151</v>
      </c>
      <c r="C3200" s="8" t="s">
        <v>4506</v>
      </c>
      <c r="D3200" s="7">
        <v>1</v>
      </c>
      <c r="E3200" s="7">
        <v>10</v>
      </c>
      <c r="F3200" s="7">
        <v>0.1429</v>
      </c>
      <c r="G3200" s="8" t="s">
        <v>5690</v>
      </c>
      <c r="H3200" s="8" t="s">
        <v>5691</v>
      </c>
      <c r="I3200" s="7" t="str">
        <f>_xlfn.CONCAT(Paper_Reference[[#This Row],[Lvl]:[Paper Description]])</f>
        <v>2JDCRB175NB17LOGO NAME PLATE 57.087X19.8811100.1429100DS009-6200FROSTY WHITE</v>
      </c>
      <c r="J3200" s="7">
        <f>COUNTIF(Paper_Reference[Duplicate Key],Paper_Reference[[#This Row],[Duplicate Key]])</f>
        <v>1</v>
      </c>
    </row>
    <row r="3201" spans="1:10">
      <c r="A3201" s="7">
        <v>2</v>
      </c>
      <c r="B3201" s="8" t="s">
        <v>5151</v>
      </c>
      <c r="C3201" s="8" t="s">
        <v>4506</v>
      </c>
      <c r="D3201" s="7">
        <v>1</v>
      </c>
      <c r="E3201" s="7">
        <v>10</v>
      </c>
      <c r="F3201" s="7">
        <v>0.1429</v>
      </c>
      <c r="G3201" s="8" t="s">
        <v>4371</v>
      </c>
      <c r="H3201" s="8" t="s">
        <v>4372</v>
      </c>
      <c r="I3201" s="7" t="str">
        <f>_xlfn.CONCAT(Paper_Reference[[#This Row],[Lvl]:[Paper Description]])</f>
        <v>2JDCRB175NB17LOGO NAME PLATE 57.087X19.8811100.1429100DS064-6200BLACK</v>
      </c>
      <c r="J3201" s="7">
        <f>COUNTIF(Paper_Reference[Duplicate Key],Paper_Reference[[#This Row],[Duplicate Key]])</f>
        <v>1</v>
      </c>
    </row>
    <row r="3202" spans="1:10">
      <c r="A3202" s="7">
        <v>2</v>
      </c>
      <c r="B3202" s="8" t="s">
        <v>3463</v>
      </c>
      <c r="C3202" s="8" t="s">
        <v>3241</v>
      </c>
      <c r="D3202" s="7">
        <v>1</v>
      </c>
      <c r="E3202" s="7">
        <v>10</v>
      </c>
      <c r="F3202" s="7">
        <v>1</v>
      </c>
      <c r="G3202" s="8" t="s">
        <v>3230</v>
      </c>
      <c r="H3202" s="8" t="s">
        <v>3231</v>
      </c>
      <c r="I3202" s="7" t="str">
        <f>_xlfn.CONCAT(Paper_Reference[[#This Row],[Lvl]:[Paper Description]])</f>
        <v>2JDDIFOSSH4001FOSSIL D/G 48 X 1201101110SW736-5000PRECISION WHITE 43 X 145</v>
      </c>
      <c r="J3202" s="7">
        <f>COUNTIF(Paper_Reference[Duplicate Key],Paper_Reference[[#This Row],[Duplicate Key]])</f>
        <v>1</v>
      </c>
    </row>
    <row r="3203" spans="1:10">
      <c r="A3203" s="7">
        <v>2</v>
      </c>
      <c r="B3203" s="8" t="s">
        <v>3464</v>
      </c>
      <c r="C3203" s="8" t="s">
        <v>3246</v>
      </c>
      <c r="D3203" s="7">
        <v>1</v>
      </c>
      <c r="E3203" s="7">
        <v>10</v>
      </c>
      <c r="F3203" s="7">
        <v>1</v>
      </c>
      <c r="G3203" s="8" t="s">
        <v>3230</v>
      </c>
      <c r="H3203" s="8" t="s">
        <v>3231</v>
      </c>
      <c r="I3203" s="7" t="str">
        <f>_xlfn.CONCAT(Paper_Reference[[#This Row],[Lvl]:[Paper Description]])</f>
        <v>2JDDIFOSSH4201FOSSIL  D/G 48 X 1441101110SW736-5000PRECISION WHITE 43 X 145</v>
      </c>
      <c r="J3203" s="7">
        <f>COUNTIF(Paper_Reference[Duplicate Key],Paper_Reference[[#This Row],[Duplicate Key]])</f>
        <v>1</v>
      </c>
    </row>
    <row r="3204" spans="1:10">
      <c r="A3204" s="7">
        <v>2</v>
      </c>
      <c r="B3204" s="8" t="s">
        <v>3465</v>
      </c>
      <c r="C3204" s="8" t="s">
        <v>3240</v>
      </c>
      <c r="D3204" s="7">
        <v>1</v>
      </c>
      <c r="E3204" s="7">
        <v>10</v>
      </c>
      <c r="F3204" s="7">
        <v>1</v>
      </c>
      <c r="G3204" s="8" t="s">
        <v>3230</v>
      </c>
      <c r="H3204" s="8" t="s">
        <v>3231</v>
      </c>
      <c r="I3204" s="7" t="str">
        <f>_xlfn.CONCAT(Paper_Reference[[#This Row],[Lvl]:[Paper Description]])</f>
        <v>2JDDIFOSSH4801FOSSIL D/G 48 X 961101110SW736-5000PRECISION WHITE 43 X 145</v>
      </c>
      <c r="J3204" s="7">
        <f>COUNTIF(Paper_Reference[Duplicate Key],Paper_Reference[[#This Row],[Duplicate Key]])</f>
        <v>1</v>
      </c>
    </row>
    <row r="3205" spans="1:10">
      <c r="A3205" s="7">
        <v>2</v>
      </c>
      <c r="B3205" s="8" t="s">
        <v>3933</v>
      </c>
      <c r="C3205" s="8" t="s">
        <v>3767</v>
      </c>
      <c r="D3205" s="7">
        <v>1</v>
      </c>
      <c r="E3205" s="7">
        <v>10</v>
      </c>
      <c r="F3205" s="7">
        <v>1</v>
      </c>
      <c r="G3205" s="8" t="s">
        <v>3826</v>
      </c>
      <c r="H3205" s="8" t="s">
        <v>3827</v>
      </c>
      <c r="I3205" s="7" t="str">
        <f>_xlfn.CONCAT(Paper_Reference[[#This Row],[Lvl]:[Paper Description]])</f>
        <v>2JDDIFOSSH5001FOSSIL D/G 60 X 1201101110SW736-6200PRECISION WHITE 62"</v>
      </c>
      <c r="J3205" s="7">
        <f>COUNTIF(Paper_Reference[Duplicate Key],Paper_Reference[[#This Row],[Duplicate Key]])</f>
        <v>1</v>
      </c>
    </row>
    <row r="3206" spans="1:10">
      <c r="A3206" s="7">
        <v>2</v>
      </c>
      <c r="B3206" s="8" t="s">
        <v>3933</v>
      </c>
      <c r="C3206" s="8" t="s">
        <v>3767</v>
      </c>
      <c r="D3206" s="7">
        <v>1</v>
      </c>
      <c r="E3206" s="7">
        <v>40</v>
      </c>
      <c r="F3206" s="7">
        <v>2</v>
      </c>
      <c r="G3206" s="8" t="s">
        <v>4371</v>
      </c>
      <c r="H3206" s="8" t="s">
        <v>4372</v>
      </c>
      <c r="I3206" s="7" t="str">
        <f>_xlfn.CONCAT(Paper_Reference[[#This Row],[Lvl]:[Paper Description]])</f>
        <v>2JDDIFOSSH5001FOSSIL D/G 60 X 1201402100DS064-6200BLACK</v>
      </c>
      <c r="J3206" s="7">
        <f>COUNTIF(Paper_Reference[Duplicate Key],Paper_Reference[[#This Row],[Duplicate Key]])</f>
        <v>1</v>
      </c>
    </row>
    <row r="3207" spans="1:10">
      <c r="A3207" s="7">
        <v>2</v>
      </c>
      <c r="B3207" s="8" t="s">
        <v>3934</v>
      </c>
      <c r="C3207" s="8" t="s">
        <v>3768</v>
      </c>
      <c r="D3207" s="7">
        <v>1</v>
      </c>
      <c r="E3207" s="7">
        <v>10</v>
      </c>
      <c r="F3207" s="7">
        <v>1</v>
      </c>
      <c r="G3207" s="8" t="s">
        <v>3826</v>
      </c>
      <c r="H3207" s="8" t="s">
        <v>3827</v>
      </c>
      <c r="I3207" s="7" t="str">
        <f>_xlfn.CONCAT(Paper_Reference[[#This Row],[Lvl]:[Paper Description]])</f>
        <v>2JDDIFOSSH5201FOSSIL D/G 60 X 1441101110SW736-6200PRECISION WHITE 62"</v>
      </c>
      <c r="J3207" s="7">
        <f>COUNTIF(Paper_Reference[Duplicate Key],Paper_Reference[[#This Row],[Duplicate Key]])</f>
        <v>1</v>
      </c>
    </row>
    <row r="3208" spans="1:10">
      <c r="A3208" s="7">
        <v>2</v>
      </c>
      <c r="B3208" s="8" t="s">
        <v>3934</v>
      </c>
      <c r="C3208" s="8" t="s">
        <v>3768</v>
      </c>
      <c r="D3208" s="7">
        <v>1</v>
      </c>
      <c r="E3208" s="7">
        <v>40</v>
      </c>
      <c r="F3208" s="7">
        <v>2</v>
      </c>
      <c r="G3208" s="8" t="s">
        <v>4371</v>
      </c>
      <c r="H3208" s="8" t="s">
        <v>4372</v>
      </c>
      <c r="I3208" s="7" t="str">
        <f>_xlfn.CONCAT(Paper_Reference[[#This Row],[Lvl]:[Paper Description]])</f>
        <v>2JDDIFOSSH5201FOSSIL D/G 60 X 1441402100DS064-6200BLACK</v>
      </c>
      <c r="J3208" s="7">
        <f>COUNTIF(Paper_Reference[Duplicate Key],Paper_Reference[[#This Row],[Duplicate Key]])</f>
        <v>1</v>
      </c>
    </row>
    <row r="3209" spans="1:10">
      <c r="A3209" s="7">
        <v>2</v>
      </c>
      <c r="B3209" s="8" t="s">
        <v>3935</v>
      </c>
      <c r="C3209" s="8" t="s">
        <v>3769</v>
      </c>
      <c r="D3209" s="7">
        <v>1</v>
      </c>
      <c r="E3209" s="7">
        <v>10</v>
      </c>
      <c r="F3209" s="7">
        <v>1</v>
      </c>
      <c r="G3209" s="8" t="s">
        <v>3826</v>
      </c>
      <c r="H3209" s="8" t="s">
        <v>3827</v>
      </c>
      <c r="I3209" s="7" t="str">
        <f>_xlfn.CONCAT(Paper_Reference[[#This Row],[Lvl]:[Paper Description]])</f>
        <v>2JDDIFOSSH5801FOSSIL D/G 60 X 961101110SW736-6200PRECISION WHITE 62"</v>
      </c>
      <c r="J3209" s="7">
        <f>COUNTIF(Paper_Reference[Duplicate Key],Paper_Reference[[#This Row],[Duplicate Key]])</f>
        <v>1</v>
      </c>
    </row>
    <row r="3210" spans="1:10">
      <c r="A3210" s="7">
        <v>2</v>
      </c>
      <c r="B3210" s="8" t="s">
        <v>3935</v>
      </c>
      <c r="C3210" s="8" t="s">
        <v>3769</v>
      </c>
      <c r="D3210" s="7">
        <v>1</v>
      </c>
      <c r="E3210" s="7">
        <v>40</v>
      </c>
      <c r="F3210" s="7">
        <v>2</v>
      </c>
      <c r="G3210" s="8" t="s">
        <v>4371</v>
      </c>
      <c r="H3210" s="8" t="s">
        <v>4372</v>
      </c>
      <c r="I3210" s="7" t="str">
        <f>_xlfn.CONCAT(Paper_Reference[[#This Row],[Lvl]:[Paper Description]])</f>
        <v>2JDDIFOSSH5801FOSSIL D/G 60 X 961402100DS064-6200BLACK</v>
      </c>
      <c r="J3210" s="7">
        <f>COUNTIF(Paper_Reference[Duplicate Key],Paper_Reference[[#This Row],[Duplicate Key]])</f>
        <v>1</v>
      </c>
    </row>
    <row r="3211" spans="1:10">
      <c r="A3211" s="7">
        <v>2</v>
      </c>
      <c r="B3211" s="8" t="s">
        <v>3466</v>
      </c>
      <c r="C3211" s="8" t="s">
        <v>3240</v>
      </c>
      <c r="D3211" s="7">
        <v>1</v>
      </c>
      <c r="E3211" s="7">
        <v>10</v>
      </c>
      <c r="F3211" s="7">
        <v>1</v>
      </c>
      <c r="G3211" s="8" t="s">
        <v>3230</v>
      </c>
      <c r="H3211" s="8" t="s">
        <v>3231</v>
      </c>
      <c r="I3211" s="7" t="str">
        <f>_xlfn.CONCAT(Paper_Reference[[#This Row],[Lvl]:[Paper Description]])</f>
        <v>2JDDIFOSSPV4801FOSSIL D/G 48 X 961101110SW736-5000PRECISION WHITE 43 X 145</v>
      </c>
      <c r="J3211" s="7">
        <f>COUNTIF(Paper_Reference[Duplicate Key],Paper_Reference[[#This Row],[Duplicate Key]])</f>
        <v>1</v>
      </c>
    </row>
    <row r="3212" spans="1:10">
      <c r="A3212" s="7">
        <v>2</v>
      </c>
      <c r="B3212" s="8" t="s">
        <v>3938</v>
      </c>
      <c r="C3212" s="8" t="s">
        <v>3768</v>
      </c>
      <c r="D3212" s="7">
        <v>1</v>
      </c>
      <c r="E3212" s="7">
        <v>10</v>
      </c>
      <c r="F3212" s="7">
        <v>2</v>
      </c>
      <c r="G3212" s="8" t="s">
        <v>3826</v>
      </c>
      <c r="H3212" s="8" t="s">
        <v>3827</v>
      </c>
      <c r="I3212" s="7" t="str">
        <f>_xlfn.CONCAT(Paper_Reference[[#This Row],[Lvl]:[Paper Description]])</f>
        <v>2JDDIFOSSPV520FOSSIL D/G 60 X 1441102110SW736-6200PRECISION WHITE 62"</v>
      </c>
      <c r="J3212" s="7">
        <f>COUNTIF(Paper_Reference[Duplicate Key],Paper_Reference[[#This Row],[Duplicate Key]])</f>
        <v>1</v>
      </c>
    </row>
    <row r="3213" spans="1:10">
      <c r="A3213" s="7">
        <v>2</v>
      </c>
      <c r="B3213" s="8" t="s">
        <v>3936</v>
      </c>
      <c r="C3213" s="8" t="s">
        <v>3768</v>
      </c>
      <c r="D3213" s="7">
        <v>1</v>
      </c>
      <c r="E3213" s="7">
        <v>10</v>
      </c>
      <c r="F3213" s="7">
        <v>1</v>
      </c>
      <c r="G3213" s="8" t="s">
        <v>3826</v>
      </c>
      <c r="H3213" s="8" t="s">
        <v>3827</v>
      </c>
      <c r="I3213" s="7" t="str">
        <f>_xlfn.CONCAT(Paper_Reference[[#This Row],[Lvl]:[Paper Description]])</f>
        <v>2JDDIFOSSPV5201FOSSIL D/G 60 X 1441101110SW736-6200PRECISION WHITE 62"</v>
      </c>
      <c r="J3213" s="7">
        <f>COUNTIF(Paper_Reference[Duplicate Key],Paper_Reference[[#This Row],[Duplicate Key]])</f>
        <v>1</v>
      </c>
    </row>
    <row r="3214" spans="1:10">
      <c r="A3214" s="7">
        <v>2</v>
      </c>
      <c r="B3214" s="8" t="s">
        <v>3936</v>
      </c>
      <c r="C3214" s="8" t="s">
        <v>3768</v>
      </c>
      <c r="D3214" s="7">
        <v>1</v>
      </c>
      <c r="E3214" s="7">
        <v>40</v>
      </c>
      <c r="F3214" s="7">
        <v>2</v>
      </c>
      <c r="G3214" s="8" t="s">
        <v>4371</v>
      </c>
      <c r="H3214" s="8" t="s">
        <v>4372</v>
      </c>
      <c r="I3214" s="7" t="str">
        <f>_xlfn.CONCAT(Paper_Reference[[#This Row],[Lvl]:[Paper Description]])</f>
        <v>2JDDIFOSSPV5201FOSSIL D/G 60 X 1441402100DS064-6200BLACK</v>
      </c>
      <c r="J3214" s="7">
        <f>COUNTIF(Paper_Reference[Duplicate Key],Paper_Reference[[#This Row],[Duplicate Key]])</f>
        <v>1</v>
      </c>
    </row>
    <row r="3215" spans="1:10">
      <c r="A3215" s="7">
        <v>2</v>
      </c>
      <c r="B3215" s="8" t="s">
        <v>3937</v>
      </c>
      <c r="C3215" s="8" t="s">
        <v>3768</v>
      </c>
      <c r="D3215" s="7">
        <v>1</v>
      </c>
      <c r="E3215" s="7">
        <v>10</v>
      </c>
      <c r="F3215" s="7">
        <v>2</v>
      </c>
      <c r="G3215" s="8" t="s">
        <v>3826</v>
      </c>
      <c r="H3215" s="8" t="s">
        <v>3827</v>
      </c>
      <c r="I3215" s="7" t="str">
        <f>_xlfn.CONCAT(Paper_Reference[[#This Row],[Lvl]:[Paper Description]])</f>
        <v>2JDDIFOSSPV5202FOSSIL D/G 60 X 1441102110SW736-6200PRECISION WHITE 62"</v>
      </c>
      <c r="J3215" s="7">
        <f>COUNTIF(Paper_Reference[Duplicate Key],Paper_Reference[[#This Row],[Duplicate Key]])</f>
        <v>1</v>
      </c>
    </row>
    <row r="3216" spans="1:10">
      <c r="A3216" s="7">
        <v>2</v>
      </c>
      <c r="B3216" s="8" t="s">
        <v>3467</v>
      </c>
      <c r="C3216" s="8" t="s">
        <v>3241</v>
      </c>
      <c r="D3216" s="7">
        <v>1</v>
      </c>
      <c r="E3216" s="7">
        <v>10</v>
      </c>
      <c r="F3216" s="7">
        <v>1</v>
      </c>
      <c r="G3216" s="8" t="s">
        <v>3230</v>
      </c>
      <c r="H3216" s="8" t="s">
        <v>3231</v>
      </c>
      <c r="I3216" s="7" t="str">
        <f>_xlfn.CONCAT(Paper_Reference[[#This Row],[Lvl]:[Paper Description]])</f>
        <v>2JDDIFOSSS4001FOSSIL D/G 48 X 1201101110SW736-5000PRECISION WHITE 43 X 145</v>
      </c>
      <c r="J3216" s="7">
        <f>COUNTIF(Paper_Reference[Duplicate Key],Paper_Reference[[#This Row],[Duplicate Key]])</f>
        <v>1</v>
      </c>
    </row>
    <row r="3217" spans="1:10">
      <c r="A3217" s="7">
        <v>2</v>
      </c>
      <c r="B3217" s="8" t="s">
        <v>3469</v>
      </c>
      <c r="C3217" s="8" t="s">
        <v>3240</v>
      </c>
      <c r="D3217" s="7">
        <v>1</v>
      </c>
      <c r="E3217" s="7">
        <v>10</v>
      </c>
      <c r="F3217" s="7">
        <v>1</v>
      </c>
      <c r="G3217" s="8" t="s">
        <v>3230</v>
      </c>
      <c r="H3217" s="8" t="s">
        <v>3231</v>
      </c>
      <c r="I3217" s="7" t="str">
        <f>_xlfn.CONCAT(Paper_Reference[[#This Row],[Lvl]:[Paper Description]])</f>
        <v>2JDDIFOSSS480FOSSIL D/G 48 X 961101110SW736-5000PRECISION WHITE 43 X 145</v>
      </c>
      <c r="J3217" s="7">
        <f>COUNTIF(Paper_Reference[Duplicate Key],Paper_Reference[[#This Row],[Duplicate Key]])</f>
        <v>1</v>
      </c>
    </row>
    <row r="3218" spans="1:10">
      <c r="A3218" s="7">
        <v>2</v>
      </c>
      <c r="B3218" s="8" t="s">
        <v>3468</v>
      </c>
      <c r="C3218" s="8" t="s">
        <v>3240</v>
      </c>
      <c r="D3218" s="7">
        <v>1</v>
      </c>
      <c r="E3218" s="7">
        <v>10</v>
      </c>
      <c r="F3218" s="7">
        <v>1</v>
      </c>
      <c r="G3218" s="8" t="s">
        <v>3230</v>
      </c>
      <c r="H3218" s="8" t="s">
        <v>3231</v>
      </c>
      <c r="I3218" s="7" t="str">
        <f>_xlfn.CONCAT(Paper_Reference[[#This Row],[Lvl]:[Paper Description]])</f>
        <v>2JDDIFOSSS4801FOSSIL D/G 48 X 961101110SW736-5000PRECISION WHITE 43 X 145</v>
      </c>
      <c r="J3218" s="7">
        <f>COUNTIF(Paper_Reference[Duplicate Key],Paper_Reference[[#This Row],[Duplicate Key]])</f>
        <v>1</v>
      </c>
    </row>
    <row r="3219" spans="1:10">
      <c r="A3219" s="7">
        <v>2</v>
      </c>
      <c r="B3219" s="8" t="s">
        <v>3939</v>
      </c>
      <c r="C3219" s="8" t="s">
        <v>3767</v>
      </c>
      <c r="D3219" s="7">
        <v>1</v>
      </c>
      <c r="E3219" s="7">
        <v>10</v>
      </c>
      <c r="F3219" s="7">
        <v>1</v>
      </c>
      <c r="G3219" s="8" t="s">
        <v>3826</v>
      </c>
      <c r="H3219" s="8" t="s">
        <v>3827</v>
      </c>
      <c r="I3219" s="7" t="str">
        <f>_xlfn.CONCAT(Paper_Reference[[#This Row],[Lvl]:[Paper Description]])</f>
        <v>2JDDIFOSSS5001FOSSIL D/G 60 X 1201101110SW736-6200PRECISION WHITE 62"</v>
      </c>
      <c r="J3219" s="7">
        <f>COUNTIF(Paper_Reference[Duplicate Key],Paper_Reference[[#This Row],[Duplicate Key]])</f>
        <v>1</v>
      </c>
    </row>
    <row r="3220" spans="1:10">
      <c r="A3220" s="7">
        <v>2</v>
      </c>
      <c r="B3220" s="8" t="s">
        <v>3939</v>
      </c>
      <c r="C3220" s="8" t="s">
        <v>3767</v>
      </c>
      <c r="D3220" s="7">
        <v>1</v>
      </c>
      <c r="E3220" s="7">
        <v>40</v>
      </c>
      <c r="F3220" s="7">
        <v>2</v>
      </c>
      <c r="G3220" s="8" t="s">
        <v>4371</v>
      </c>
      <c r="H3220" s="8" t="s">
        <v>4372</v>
      </c>
      <c r="I3220" s="7" t="str">
        <f>_xlfn.CONCAT(Paper_Reference[[#This Row],[Lvl]:[Paper Description]])</f>
        <v>2JDDIFOSSS5001FOSSIL D/G 60 X 1201402100DS064-6200BLACK</v>
      </c>
      <c r="J3220" s="7">
        <f>COUNTIF(Paper_Reference[Duplicate Key],Paper_Reference[[#This Row],[Duplicate Key]])</f>
        <v>1</v>
      </c>
    </row>
    <row r="3221" spans="1:10">
      <c r="A3221" s="7">
        <v>2</v>
      </c>
      <c r="B3221" s="8" t="s">
        <v>3940</v>
      </c>
      <c r="C3221" s="8" t="s">
        <v>3768</v>
      </c>
      <c r="D3221" s="7">
        <v>1</v>
      </c>
      <c r="E3221" s="7">
        <v>10</v>
      </c>
      <c r="F3221" s="7">
        <v>1</v>
      </c>
      <c r="G3221" s="8" t="s">
        <v>3826</v>
      </c>
      <c r="H3221" s="8" t="s">
        <v>3827</v>
      </c>
      <c r="I3221" s="7" t="str">
        <f>_xlfn.CONCAT(Paper_Reference[[#This Row],[Lvl]:[Paper Description]])</f>
        <v>2JDDIFOSSS5201FOSSIL D/G 60 X 1441101110SW736-6200PRECISION WHITE 62"</v>
      </c>
      <c r="J3221" s="7">
        <f>COUNTIF(Paper_Reference[Duplicate Key],Paper_Reference[[#This Row],[Duplicate Key]])</f>
        <v>1</v>
      </c>
    </row>
    <row r="3222" spans="1:10">
      <c r="A3222" s="7">
        <v>2</v>
      </c>
      <c r="B3222" s="8" t="s">
        <v>3940</v>
      </c>
      <c r="C3222" s="8" t="s">
        <v>3768</v>
      </c>
      <c r="D3222" s="7">
        <v>1</v>
      </c>
      <c r="E3222" s="7">
        <v>40</v>
      </c>
      <c r="F3222" s="7">
        <v>2</v>
      </c>
      <c r="G3222" s="8" t="s">
        <v>4371</v>
      </c>
      <c r="H3222" s="8" t="s">
        <v>4372</v>
      </c>
      <c r="I3222" s="7" t="str">
        <f>_xlfn.CONCAT(Paper_Reference[[#This Row],[Lvl]:[Paper Description]])</f>
        <v>2JDDIFOSSS5201FOSSIL D/G 60 X 1441402100DS064-6200BLACK</v>
      </c>
      <c r="J3222" s="7">
        <f>COUNTIF(Paper_Reference[Duplicate Key],Paper_Reference[[#This Row],[Duplicate Key]])</f>
        <v>1</v>
      </c>
    </row>
    <row r="3223" spans="1:10">
      <c r="A3223" s="7">
        <v>2</v>
      </c>
      <c r="B3223" s="8" t="s">
        <v>3941</v>
      </c>
      <c r="C3223" s="8" t="s">
        <v>3768</v>
      </c>
      <c r="D3223" s="7">
        <v>1</v>
      </c>
      <c r="E3223" s="7">
        <v>10</v>
      </c>
      <c r="F3223" s="7">
        <v>2</v>
      </c>
      <c r="G3223" s="8" t="s">
        <v>3826</v>
      </c>
      <c r="H3223" s="8" t="s">
        <v>3827</v>
      </c>
      <c r="I3223" s="7" t="str">
        <f>_xlfn.CONCAT(Paper_Reference[[#This Row],[Lvl]:[Paper Description]])</f>
        <v>2JDDIFOSSS5202FOSSIL D/G 60 X 1441102110SW736-6200PRECISION WHITE 62"</v>
      </c>
      <c r="J3223" s="7">
        <f>COUNTIF(Paper_Reference[Duplicate Key],Paper_Reference[[#This Row],[Duplicate Key]])</f>
        <v>1</v>
      </c>
    </row>
    <row r="3224" spans="1:10">
      <c r="A3224" s="7">
        <v>2</v>
      </c>
      <c r="B3224" s="8" t="s">
        <v>3942</v>
      </c>
      <c r="C3224" s="8" t="s">
        <v>3769</v>
      </c>
      <c r="D3224" s="7">
        <v>1</v>
      </c>
      <c r="E3224" s="7">
        <v>10</v>
      </c>
      <c r="F3224" s="7">
        <v>1</v>
      </c>
      <c r="G3224" s="8" t="s">
        <v>3826</v>
      </c>
      <c r="H3224" s="8" t="s">
        <v>3827</v>
      </c>
      <c r="I3224" s="7" t="str">
        <f>_xlfn.CONCAT(Paper_Reference[[#This Row],[Lvl]:[Paper Description]])</f>
        <v>2JDDIFOSSS5801FOSSIL D/G 60 X 961101110SW736-6200PRECISION WHITE 62"</v>
      </c>
      <c r="J3224" s="7">
        <f>COUNTIF(Paper_Reference[Duplicate Key],Paper_Reference[[#This Row],[Duplicate Key]])</f>
        <v>1</v>
      </c>
    </row>
    <row r="3225" spans="1:10">
      <c r="A3225" s="7">
        <v>2</v>
      </c>
      <c r="B3225" s="8" t="s">
        <v>3942</v>
      </c>
      <c r="C3225" s="8" t="s">
        <v>3769</v>
      </c>
      <c r="D3225" s="7">
        <v>1</v>
      </c>
      <c r="E3225" s="7">
        <v>40</v>
      </c>
      <c r="F3225" s="7">
        <v>2</v>
      </c>
      <c r="G3225" s="8" t="s">
        <v>4371</v>
      </c>
      <c r="H3225" s="8" t="s">
        <v>4372</v>
      </c>
      <c r="I3225" s="7" t="str">
        <f>_xlfn.CONCAT(Paper_Reference[[#This Row],[Lvl]:[Paper Description]])</f>
        <v>2JDDIFOSSS5801FOSSIL D/G 60 X 961402100DS064-6200BLACK</v>
      </c>
      <c r="J3225" s="7">
        <f>COUNTIF(Paper_Reference[Duplicate Key],Paper_Reference[[#This Row],[Duplicate Key]])</f>
        <v>1</v>
      </c>
    </row>
    <row r="3226" spans="1:10">
      <c r="A3226" s="7">
        <v>2</v>
      </c>
      <c r="B3226" s="8" t="s">
        <v>7777</v>
      </c>
      <c r="C3226" s="8" t="s">
        <v>7006</v>
      </c>
      <c r="D3226" s="7">
        <v>1</v>
      </c>
      <c r="E3226" s="7">
        <v>10</v>
      </c>
      <c r="F3226" s="7">
        <v>1</v>
      </c>
      <c r="G3226" s="8" t="s">
        <v>6710</v>
      </c>
      <c r="H3226" s="8" t="s">
        <v>5691</v>
      </c>
      <c r="I3226" s="7" t="str">
        <f>_xlfn.CONCAT(Paper_Reference[[#This Row],[Lvl]:[Paper Description]])</f>
        <v>2JDDISPE2D3801SPECTRALITE BB D/G 36 X 961101100DS009-5000FROSTY WHITE</v>
      </c>
      <c r="J3226" s="7">
        <f>COUNTIF(Paper_Reference[Duplicate Key],Paper_Reference[[#This Row],[Duplicate Key]])</f>
        <v>1</v>
      </c>
    </row>
    <row r="3227" spans="1:10">
      <c r="A3227" s="7">
        <v>2</v>
      </c>
      <c r="B3227" s="8" t="s">
        <v>7778</v>
      </c>
      <c r="C3227" s="8" t="s">
        <v>7008</v>
      </c>
      <c r="D3227" s="7">
        <v>1</v>
      </c>
      <c r="E3227" s="7">
        <v>10</v>
      </c>
      <c r="F3227" s="7">
        <v>1</v>
      </c>
      <c r="G3227" s="8" t="s">
        <v>6710</v>
      </c>
      <c r="H3227" s="8" t="s">
        <v>5691</v>
      </c>
      <c r="I3227" s="7" t="str">
        <f>_xlfn.CONCAT(Paper_Reference[[#This Row],[Lvl]:[Paper Description]])</f>
        <v>2JDDISPE2D4801SPECTRALITE BB D/G 48 X 961101100DS009-5000FROSTY WHITE</v>
      </c>
      <c r="J3227" s="7">
        <f>COUNTIF(Paper_Reference[Duplicate Key],Paper_Reference[[#This Row],[Duplicate Key]])</f>
        <v>1</v>
      </c>
    </row>
    <row r="3228" spans="1:10">
      <c r="A3228" s="7">
        <v>2</v>
      </c>
      <c r="B3228" s="8" t="s">
        <v>3943</v>
      </c>
      <c r="C3228" s="8" t="s">
        <v>3768</v>
      </c>
      <c r="D3228" s="7">
        <v>1</v>
      </c>
      <c r="E3228" s="7">
        <v>10</v>
      </c>
      <c r="F3228" s="7">
        <v>1</v>
      </c>
      <c r="G3228" s="8" t="s">
        <v>3826</v>
      </c>
      <c r="H3228" s="8" t="s">
        <v>3827</v>
      </c>
      <c r="I3228" s="7" t="str">
        <f>_xlfn.CONCAT(Paper_Reference[[#This Row],[Lvl]:[Paper Description]])</f>
        <v>2JDEIFOSSG520FOSSIL D/G 60 X 1441101110SW736-6200PRECISION WHITE 62"</v>
      </c>
      <c r="J3228" s="7">
        <f>COUNTIF(Paper_Reference[Duplicate Key],Paper_Reference[[#This Row],[Duplicate Key]])</f>
        <v>1</v>
      </c>
    </row>
    <row r="3229" spans="1:10">
      <c r="A3229" s="7">
        <v>2</v>
      </c>
      <c r="B3229" s="8" t="s">
        <v>3943</v>
      </c>
      <c r="C3229" s="8" t="s">
        <v>3768</v>
      </c>
      <c r="D3229" s="7">
        <v>1</v>
      </c>
      <c r="E3229" s="7">
        <v>40</v>
      </c>
      <c r="F3229" s="7">
        <v>1</v>
      </c>
      <c r="G3229" s="8" t="s">
        <v>4371</v>
      </c>
      <c r="H3229" s="8" t="s">
        <v>4372</v>
      </c>
      <c r="I3229" s="7" t="str">
        <f>_xlfn.CONCAT(Paper_Reference[[#This Row],[Lvl]:[Paper Description]])</f>
        <v>2JDEIFOSSG520FOSSIL D/G 60 X 1441401100DS064-6200BLACK</v>
      </c>
      <c r="J3229" s="7">
        <f>COUNTIF(Paper_Reference[Duplicate Key],Paper_Reference[[#This Row],[Duplicate Key]])</f>
        <v>1</v>
      </c>
    </row>
    <row r="3230" spans="1:10">
      <c r="A3230" s="7">
        <v>2</v>
      </c>
      <c r="B3230" s="8" t="s">
        <v>3470</v>
      </c>
      <c r="C3230" s="8" t="s">
        <v>3241</v>
      </c>
      <c r="D3230" s="7">
        <v>1</v>
      </c>
      <c r="E3230" s="7">
        <v>10</v>
      </c>
      <c r="F3230" s="7">
        <v>1</v>
      </c>
      <c r="G3230" s="8" t="s">
        <v>3230</v>
      </c>
      <c r="H3230" s="8" t="s">
        <v>3231</v>
      </c>
      <c r="I3230" s="7" t="str">
        <f>_xlfn.CONCAT(Paper_Reference[[#This Row],[Lvl]:[Paper Description]])</f>
        <v>2JDEIFOSSH4001FOSSIL D/G 48 X 1201101110SW736-5000PRECISION WHITE 43 X 145</v>
      </c>
      <c r="J3230" s="7">
        <f>COUNTIF(Paper_Reference[Duplicate Key],Paper_Reference[[#This Row],[Duplicate Key]])</f>
        <v>1</v>
      </c>
    </row>
    <row r="3231" spans="1:10">
      <c r="A3231" s="7">
        <v>2</v>
      </c>
      <c r="B3231" s="8" t="s">
        <v>3471</v>
      </c>
      <c r="C3231" s="8" t="s">
        <v>3239</v>
      </c>
      <c r="D3231" s="7">
        <v>1</v>
      </c>
      <c r="E3231" s="7">
        <v>10</v>
      </c>
      <c r="F3231" s="7">
        <v>1</v>
      </c>
      <c r="G3231" s="8" t="s">
        <v>3230</v>
      </c>
      <c r="H3231" s="8" t="s">
        <v>3231</v>
      </c>
      <c r="I3231" s="7" t="str">
        <f>_xlfn.CONCAT(Paper_Reference[[#This Row],[Lvl]:[Paper Description]])</f>
        <v>2JDEIFOSSH4201FOSSIL D/G 48 X 1441101110SW736-5000PRECISION WHITE 43 X 145</v>
      </c>
      <c r="J3231" s="7">
        <f>COUNTIF(Paper_Reference[Duplicate Key],Paper_Reference[[#This Row],[Duplicate Key]])</f>
        <v>1</v>
      </c>
    </row>
    <row r="3232" spans="1:10">
      <c r="A3232" s="7">
        <v>2</v>
      </c>
      <c r="B3232" s="8" t="s">
        <v>3472</v>
      </c>
      <c r="C3232" s="8" t="s">
        <v>3240</v>
      </c>
      <c r="D3232" s="7">
        <v>1</v>
      </c>
      <c r="E3232" s="7">
        <v>10</v>
      </c>
      <c r="F3232" s="7">
        <v>1</v>
      </c>
      <c r="G3232" s="8" t="s">
        <v>3230</v>
      </c>
      <c r="H3232" s="8" t="s">
        <v>3231</v>
      </c>
      <c r="I3232" s="7" t="str">
        <f>_xlfn.CONCAT(Paper_Reference[[#This Row],[Lvl]:[Paper Description]])</f>
        <v>2JDEIFOSSH4801FOSSIL D/G 48 X 961101110SW736-5000PRECISION WHITE 43 X 145</v>
      </c>
      <c r="J3232" s="7">
        <f>COUNTIF(Paper_Reference[Duplicate Key],Paper_Reference[[#This Row],[Duplicate Key]])</f>
        <v>1</v>
      </c>
    </row>
    <row r="3233" spans="1:10">
      <c r="A3233" s="7">
        <v>2</v>
      </c>
      <c r="B3233" s="8" t="s">
        <v>3944</v>
      </c>
      <c r="C3233" s="8" t="s">
        <v>3767</v>
      </c>
      <c r="D3233" s="7">
        <v>1</v>
      </c>
      <c r="E3233" s="7">
        <v>10</v>
      </c>
      <c r="F3233" s="7">
        <v>1</v>
      </c>
      <c r="G3233" s="8" t="s">
        <v>3826</v>
      </c>
      <c r="H3233" s="8" t="s">
        <v>3827</v>
      </c>
      <c r="I3233" s="7" t="str">
        <f>_xlfn.CONCAT(Paper_Reference[[#This Row],[Lvl]:[Paper Description]])</f>
        <v>2JDEIFOSSH5001FOSSIL D/G 60 X 1201101110SW736-6200PRECISION WHITE 62"</v>
      </c>
      <c r="J3233" s="7">
        <f>COUNTIF(Paper_Reference[Duplicate Key],Paper_Reference[[#This Row],[Duplicate Key]])</f>
        <v>1</v>
      </c>
    </row>
    <row r="3234" spans="1:10">
      <c r="A3234" s="7">
        <v>2</v>
      </c>
      <c r="B3234" s="8" t="s">
        <v>3944</v>
      </c>
      <c r="C3234" s="8" t="s">
        <v>3767</v>
      </c>
      <c r="D3234" s="7">
        <v>1</v>
      </c>
      <c r="E3234" s="7">
        <v>40</v>
      </c>
      <c r="F3234" s="7">
        <v>1</v>
      </c>
      <c r="G3234" s="8" t="s">
        <v>4371</v>
      </c>
      <c r="H3234" s="8" t="s">
        <v>4372</v>
      </c>
      <c r="I3234" s="7" t="str">
        <f>_xlfn.CONCAT(Paper_Reference[[#This Row],[Lvl]:[Paper Description]])</f>
        <v>2JDEIFOSSH5001FOSSIL D/G 60 X 1201401100DS064-6200BLACK</v>
      </c>
      <c r="J3234" s="7">
        <f>COUNTIF(Paper_Reference[Duplicate Key],Paper_Reference[[#This Row],[Duplicate Key]])</f>
        <v>1</v>
      </c>
    </row>
    <row r="3235" spans="1:10">
      <c r="A3235" s="7">
        <v>2</v>
      </c>
      <c r="B3235" s="8" t="s">
        <v>3945</v>
      </c>
      <c r="C3235" s="8" t="s">
        <v>3768</v>
      </c>
      <c r="D3235" s="7">
        <v>1</v>
      </c>
      <c r="E3235" s="7">
        <v>10</v>
      </c>
      <c r="F3235" s="7">
        <v>1</v>
      </c>
      <c r="G3235" s="8" t="s">
        <v>3826</v>
      </c>
      <c r="H3235" s="8" t="s">
        <v>3827</v>
      </c>
      <c r="I3235" s="7" t="str">
        <f>_xlfn.CONCAT(Paper_Reference[[#This Row],[Lvl]:[Paper Description]])</f>
        <v>2JDEIFOSSH5201FOSSIL D/G 60 X 1441101110SW736-6200PRECISION WHITE 62"</v>
      </c>
      <c r="J3235" s="7">
        <f>COUNTIF(Paper_Reference[Duplicate Key],Paper_Reference[[#This Row],[Duplicate Key]])</f>
        <v>1</v>
      </c>
    </row>
    <row r="3236" spans="1:10">
      <c r="A3236" s="7">
        <v>2</v>
      </c>
      <c r="B3236" s="8" t="s">
        <v>3945</v>
      </c>
      <c r="C3236" s="8" t="s">
        <v>3768</v>
      </c>
      <c r="D3236" s="7">
        <v>1</v>
      </c>
      <c r="E3236" s="7">
        <v>40</v>
      </c>
      <c r="F3236" s="7">
        <v>1</v>
      </c>
      <c r="G3236" s="8" t="s">
        <v>4371</v>
      </c>
      <c r="H3236" s="8" t="s">
        <v>4372</v>
      </c>
      <c r="I3236" s="7" t="str">
        <f>_xlfn.CONCAT(Paper_Reference[[#This Row],[Lvl]:[Paper Description]])</f>
        <v>2JDEIFOSSH5201FOSSIL D/G 60 X 1441401100DS064-6200BLACK</v>
      </c>
      <c r="J3236" s="7">
        <f>COUNTIF(Paper_Reference[Duplicate Key],Paper_Reference[[#This Row],[Duplicate Key]])</f>
        <v>1</v>
      </c>
    </row>
    <row r="3237" spans="1:10">
      <c r="A3237" s="7">
        <v>2</v>
      </c>
      <c r="B3237" s="8" t="s">
        <v>3946</v>
      </c>
      <c r="C3237" s="8" t="s">
        <v>3769</v>
      </c>
      <c r="D3237" s="7">
        <v>1</v>
      </c>
      <c r="E3237" s="7">
        <v>10</v>
      </c>
      <c r="F3237" s="7">
        <v>1</v>
      </c>
      <c r="G3237" s="8" t="s">
        <v>3826</v>
      </c>
      <c r="H3237" s="8" t="s">
        <v>3827</v>
      </c>
      <c r="I3237" s="7" t="str">
        <f>_xlfn.CONCAT(Paper_Reference[[#This Row],[Lvl]:[Paper Description]])</f>
        <v>2JDEIFOSSH5801FOSSIL D/G 60 X 961101110SW736-6200PRECISION WHITE 62"</v>
      </c>
      <c r="J3237" s="7">
        <f>COUNTIF(Paper_Reference[Duplicate Key],Paper_Reference[[#This Row],[Duplicate Key]])</f>
        <v>1</v>
      </c>
    </row>
    <row r="3238" spans="1:10">
      <c r="A3238" s="7">
        <v>2</v>
      </c>
      <c r="B3238" s="8" t="s">
        <v>3946</v>
      </c>
      <c r="C3238" s="8" t="s">
        <v>3769</v>
      </c>
      <c r="D3238" s="7">
        <v>1</v>
      </c>
      <c r="E3238" s="7">
        <v>40</v>
      </c>
      <c r="F3238" s="7">
        <v>1</v>
      </c>
      <c r="G3238" s="8" t="s">
        <v>4371</v>
      </c>
      <c r="H3238" s="8" t="s">
        <v>4372</v>
      </c>
      <c r="I3238" s="7" t="str">
        <f>_xlfn.CONCAT(Paper_Reference[[#This Row],[Lvl]:[Paper Description]])</f>
        <v>2JDEIFOSSH5801FOSSIL D/G 60 X 961401100DS064-6200BLACK</v>
      </c>
      <c r="J3238" s="7">
        <f>COUNTIF(Paper_Reference[Duplicate Key],Paper_Reference[[#This Row],[Duplicate Key]])</f>
        <v>1</v>
      </c>
    </row>
    <row r="3239" spans="1:10">
      <c r="A3239" s="7">
        <v>2</v>
      </c>
      <c r="B3239" s="8" t="s">
        <v>3473</v>
      </c>
      <c r="C3239" s="8" t="s">
        <v>3240</v>
      </c>
      <c r="D3239" s="7">
        <v>1</v>
      </c>
      <c r="E3239" s="7">
        <v>10</v>
      </c>
      <c r="F3239" s="7">
        <v>1</v>
      </c>
      <c r="G3239" s="8" t="s">
        <v>3230</v>
      </c>
      <c r="H3239" s="8" t="s">
        <v>3231</v>
      </c>
      <c r="I3239" s="7" t="str">
        <f>_xlfn.CONCAT(Paper_Reference[[#This Row],[Lvl]:[Paper Description]])</f>
        <v>2JDEIFOSSLS4801FOSSIL D/G 48 X 961101110SW736-5000PRECISION WHITE 43 X 145</v>
      </c>
      <c r="J3239" s="7">
        <f>COUNTIF(Paper_Reference[Duplicate Key],Paper_Reference[[#This Row],[Duplicate Key]])</f>
        <v>1</v>
      </c>
    </row>
    <row r="3240" spans="1:10">
      <c r="A3240" s="7">
        <v>2</v>
      </c>
      <c r="B3240" s="8" t="s">
        <v>3947</v>
      </c>
      <c r="C3240" s="8" t="s">
        <v>3768</v>
      </c>
      <c r="D3240" s="7">
        <v>1</v>
      </c>
      <c r="E3240" s="7">
        <v>10</v>
      </c>
      <c r="F3240" s="7">
        <v>1</v>
      </c>
      <c r="G3240" s="8" t="s">
        <v>3826</v>
      </c>
      <c r="H3240" s="8" t="s">
        <v>3827</v>
      </c>
      <c r="I3240" s="7" t="str">
        <f>_xlfn.CONCAT(Paper_Reference[[#This Row],[Lvl]:[Paper Description]])</f>
        <v>2JDEIFOSSLS5201FOSSIL D/G 60 X 1441101110SW736-6200PRECISION WHITE 62"</v>
      </c>
      <c r="J3240" s="7">
        <f>COUNTIF(Paper_Reference[Duplicate Key],Paper_Reference[[#This Row],[Duplicate Key]])</f>
        <v>1</v>
      </c>
    </row>
    <row r="3241" spans="1:10">
      <c r="A3241" s="7">
        <v>2</v>
      </c>
      <c r="B3241" s="8" t="s">
        <v>3947</v>
      </c>
      <c r="C3241" s="8" t="s">
        <v>3768</v>
      </c>
      <c r="D3241" s="7">
        <v>1</v>
      </c>
      <c r="E3241" s="7">
        <v>40</v>
      </c>
      <c r="F3241" s="7">
        <v>1</v>
      </c>
      <c r="G3241" s="8" t="s">
        <v>4371</v>
      </c>
      <c r="H3241" s="8" t="s">
        <v>4372</v>
      </c>
      <c r="I3241" s="7" t="str">
        <f>_xlfn.CONCAT(Paper_Reference[[#This Row],[Lvl]:[Paper Description]])</f>
        <v>2JDEIFOSSLS5201FOSSIL D/G 60 X 1441401100DS064-6200BLACK</v>
      </c>
      <c r="J3241" s="7">
        <f>COUNTIF(Paper_Reference[Duplicate Key],Paper_Reference[[#This Row],[Duplicate Key]])</f>
        <v>1</v>
      </c>
    </row>
    <row r="3242" spans="1:10">
      <c r="A3242" s="7">
        <v>2</v>
      </c>
      <c r="B3242" s="8" t="s">
        <v>3474</v>
      </c>
      <c r="C3242" s="8" t="s">
        <v>3240</v>
      </c>
      <c r="D3242" s="7">
        <v>1</v>
      </c>
      <c r="E3242" s="7">
        <v>10</v>
      </c>
      <c r="F3242" s="7">
        <v>1</v>
      </c>
      <c r="G3242" s="8" t="s">
        <v>3230</v>
      </c>
      <c r="H3242" s="8" t="s">
        <v>3231</v>
      </c>
      <c r="I3242" s="7" t="str">
        <f>_xlfn.CONCAT(Paper_Reference[[#This Row],[Lvl]:[Paper Description]])</f>
        <v>2JDEIFOSSPV4801FOSSIL D/G 48 X 961101110SW736-5000PRECISION WHITE 43 X 145</v>
      </c>
      <c r="J3242" s="7">
        <f>COUNTIF(Paper_Reference[Duplicate Key],Paper_Reference[[#This Row],[Duplicate Key]])</f>
        <v>1</v>
      </c>
    </row>
    <row r="3243" spans="1:10">
      <c r="A3243" s="7">
        <v>2</v>
      </c>
      <c r="B3243" s="8" t="s">
        <v>3948</v>
      </c>
      <c r="C3243" s="8" t="s">
        <v>3768</v>
      </c>
      <c r="D3243" s="7">
        <v>1</v>
      </c>
      <c r="E3243" s="7">
        <v>10</v>
      </c>
      <c r="F3243" s="7">
        <v>1</v>
      </c>
      <c r="G3243" s="8" t="s">
        <v>3826</v>
      </c>
      <c r="H3243" s="8" t="s">
        <v>3827</v>
      </c>
      <c r="I3243" s="7" t="str">
        <f>_xlfn.CONCAT(Paper_Reference[[#This Row],[Lvl]:[Paper Description]])</f>
        <v>2JDEIFOSSPV5201FOSSIL D/G 60 X 1441101110SW736-6200PRECISION WHITE 62"</v>
      </c>
      <c r="J3243" s="7">
        <f>COUNTIF(Paper_Reference[Duplicate Key],Paper_Reference[[#This Row],[Duplicate Key]])</f>
        <v>1</v>
      </c>
    </row>
    <row r="3244" spans="1:10">
      <c r="A3244" s="7">
        <v>2</v>
      </c>
      <c r="B3244" s="8" t="s">
        <v>3948</v>
      </c>
      <c r="C3244" s="8" t="s">
        <v>3768</v>
      </c>
      <c r="D3244" s="7">
        <v>1</v>
      </c>
      <c r="E3244" s="7">
        <v>40</v>
      </c>
      <c r="F3244" s="7">
        <v>1</v>
      </c>
      <c r="G3244" s="8" t="s">
        <v>4371</v>
      </c>
      <c r="H3244" s="8" t="s">
        <v>4372</v>
      </c>
      <c r="I3244" s="7" t="str">
        <f>_xlfn.CONCAT(Paper_Reference[[#This Row],[Lvl]:[Paper Description]])</f>
        <v>2JDEIFOSSPV5201FOSSIL D/G 60 X 1441401100DS064-6200BLACK</v>
      </c>
      <c r="J3244" s="7">
        <f>COUNTIF(Paper_Reference[Duplicate Key],Paper_Reference[[#This Row],[Duplicate Key]])</f>
        <v>1</v>
      </c>
    </row>
    <row r="3245" spans="1:10">
      <c r="A3245" s="7">
        <v>2</v>
      </c>
      <c r="B3245" s="8" t="s">
        <v>3475</v>
      </c>
      <c r="C3245" s="8" t="s">
        <v>3241</v>
      </c>
      <c r="D3245" s="7">
        <v>1</v>
      </c>
      <c r="E3245" s="7">
        <v>10</v>
      </c>
      <c r="F3245" s="7">
        <v>1</v>
      </c>
      <c r="G3245" s="8" t="s">
        <v>3230</v>
      </c>
      <c r="H3245" s="8" t="s">
        <v>3231</v>
      </c>
      <c r="I3245" s="7" t="str">
        <f>_xlfn.CONCAT(Paper_Reference[[#This Row],[Lvl]:[Paper Description]])</f>
        <v>2JDEIFOSSS4001FOSSIL D/G 48 X 1201101110SW736-5000PRECISION WHITE 43 X 145</v>
      </c>
      <c r="J3245" s="7">
        <f>COUNTIF(Paper_Reference[Duplicate Key],Paper_Reference[[#This Row],[Duplicate Key]])</f>
        <v>1</v>
      </c>
    </row>
    <row r="3246" spans="1:10">
      <c r="A3246" s="7">
        <v>2</v>
      </c>
      <c r="B3246" s="8" t="s">
        <v>3476</v>
      </c>
      <c r="C3246" s="8" t="s">
        <v>3239</v>
      </c>
      <c r="D3246" s="7">
        <v>1</v>
      </c>
      <c r="E3246" s="7">
        <v>10</v>
      </c>
      <c r="F3246" s="7">
        <v>1</v>
      </c>
      <c r="G3246" s="8" t="s">
        <v>3230</v>
      </c>
      <c r="H3246" s="8" t="s">
        <v>3231</v>
      </c>
      <c r="I3246" s="7" t="str">
        <f>_xlfn.CONCAT(Paper_Reference[[#This Row],[Lvl]:[Paper Description]])</f>
        <v>2JDEIFOSSS4201FOSSIL D/G 48 X 1441101110SW736-5000PRECISION WHITE 43 X 145</v>
      </c>
      <c r="J3246" s="7">
        <f>COUNTIF(Paper_Reference[Duplicate Key],Paper_Reference[[#This Row],[Duplicate Key]])</f>
        <v>1</v>
      </c>
    </row>
    <row r="3247" spans="1:10">
      <c r="A3247" s="7">
        <v>2</v>
      </c>
      <c r="B3247" s="8" t="s">
        <v>3478</v>
      </c>
      <c r="C3247" s="8" t="s">
        <v>3240</v>
      </c>
      <c r="D3247" s="7">
        <v>1</v>
      </c>
      <c r="E3247" s="7">
        <v>10</v>
      </c>
      <c r="F3247" s="7">
        <v>1</v>
      </c>
      <c r="G3247" s="8" t="s">
        <v>3230</v>
      </c>
      <c r="H3247" s="8" t="s">
        <v>3231</v>
      </c>
      <c r="I3247" s="7" t="str">
        <f>_xlfn.CONCAT(Paper_Reference[[#This Row],[Lvl]:[Paper Description]])</f>
        <v>2JDEIFOSSS480FOSSIL D/G 48 X 961101110SW736-5000PRECISION WHITE 43 X 145</v>
      </c>
      <c r="J3247" s="7">
        <f>COUNTIF(Paper_Reference[Duplicate Key],Paper_Reference[[#This Row],[Duplicate Key]])</f>
        <v>1</v>
      </c>
    </row>
    <row r="3248" spans="1:10">
      <c r="A3248" s="7">
        <v>2</v>
      </c>
      <c r="B3248" s="8" t="s">
        <v>3477</v>
      </c>
      <c r="C3248" s="8" t="s">
        <v>3240</v>
      </c>
      <c r="D3248" s="7">
        <v>1</v>
      </c>
      <c r="E3248" s="7">
        <v>10</v>
      </c>
      <c r="F3248" s="7">
        <v>1</v>
      </c>
      <c r="G3248" s="8" t="s">
        <v>3230</v>
      </c>
      <c r="H3248" s="8" t="s">
        <v>3231</v>
      </c>
      <c r="I3248" s="7" t="str">
        <f>_xlfn.CONCAT(Paper_Reference[[#This Row],[Lvl]:[Paper Description]])</f>
        <v>2JDEIFOSSS4801FOSSIL D/G 48 X 961101110SW736-5000PRECISION WHITE 43 X 145</v>
      </c>
      <c r="J3248" s="7">
        <f>COUNTIF(Paper_Reference[Duplicate Key],Paper_Reference[[#This Row],[Duplicate Key]])</f>
        <v>1</v>
      </c>
    </row>
    <row r="3249" spans="1:10">
      <c r="A3249" s="7">
        <v>2</v>
      </c>
      <c r="B3249" s="8" t="s">
        <v>3949</v>
      </c>
      <c r="C3249" s="8" t="s">
        <v>3767</v>
      </c>
      <c r="D3249" s="7">
        <v>1</v>
      </c>
      <c r="E3249" s="7">
        <v>10</v>
      </c>
      <c r="F3249" s="7">
        <v>1</v>
      </c>
      <c r="G3249" s="8" t="s">
        <v>3826</v>
      </c>
      <c r="H3249" s="8" t="s">
        <v>3827</v>
      </c>
      <c r="I3249" s="7" t="str">
        <f>_xlfn.CONCAT(Paper_Reference[[#This Row],[Lvl]:[Paper Description]])</f>
        <v>2JDEIFOSSS5001FOSSIL D/G 60 X 1201101110SW736-6200PRECISION WHITE 62"</v>
      </c>
      <c r="J3249" s="7">
        <f>COUNTIF(Paper_Reference[Duplicate Key],Paper_Reference[[#This Row],[Duplicate Key]])</f>
        <v>1</v>
      </c>
    </row>
    <row r="3250" spans="1:10">
      <c r="A3250" s="7">
        <v>2</v>
      </c>
      <c r="B3250" s="8" t="s">
        <v>3949</v>
      </c>
      <c r="C3250" s="8" t="s">
        <v>3767</v>
      </c>
      <c r="D3250" s="7">
        <v>1</v>
      </c>
      <c r="E3250" s="7">
        <v>40</v>
      </c>
      <c r="F3250" s="7">
        <v>1</v>
      </c>
      <c r="G3250" s="8" t="s">
        <v>4371</v>
      </c>
      <c r="H3250" s="8" t="s">
        <v>4372</v>
      </c>
      <c r="I3250" s="7" t="str">
        <f>_xlfn.CONCAT(Paper_Reference[[#This Row],[Lvl]:[Paper Description]])</f>
        <v>2JDEIFOSSS5001FOSSIL D/G 60 X 1201401100DS064-6200BLACK</v>
      </c>
      <c r="J3250" s="7">
        <f>COUNTIF(Paper_Reference[Duplicate Key],Paper_Reference[[#This Row],[Duplicate Key]])</f>
        <v>1</v>
      </c>
    </row>
    <row r="3251" spans="1:10">
      <c r="A3251" s="7">
        <v>2</v>
      </c>
      <c r="B3251" s="8" t="s">
        <v>3950</v>
      </c>
      <c r="C3251" s="8" t="s">
        <v>3768</v>
      </c>
      <c r="D3251" s="7">
        <v>1</v>
      </c>
      <c r="E3251" s="7">
        <v>10</v>
      </c>
      <c r="F3251" s="7">
        <v>1</v>
      </c>
      <c r="G3251" s="8" t="s">
        <v>3826</v>
      </c>
      <c r="H3251" s="8" t="s">
        <v>3827</v>
      </c>
      <c r="I3251" s="7" t="str">
        <f>_xlfn.CONCAT(Paper_Reference[[#This Row],[Lvl]:[Paper Description]])</f>
        <v>2JDEIFOSSS5201FOSSIL D/G 60 X 1441101110SW736-6200PRECISION WHITE 62"</v>
      </c>
      <c r="J3251" s="7">
        <f>COUNTIF(Paper_Reference[Duplicate Key],Paper_Reference[[#This Row],[Duplicate Key]])</f>
        <v>1</v>
      </c>
    </row>
    <row r="3252" spans="1:10">
      <c r="A3252" s="7">
        <v>2</v>
      </c>
      <c r="B3252" s="8" t="s">
        <v>3950</v>
      </c>
      <c r="C3252" s="8" t="s">
        <v>3768</v>
      </c>
      <c r="D3252" s="7">
        <v>1</v>
      </c>
      <c r="E3252" s="7">
        <v>40</v>
      </c>
      <c r="F3252" s="7">
        <v>1</v>
      </c>
      <c r="G3252" s="8" t="s">
        <v>4371</v>
      </c>
      <c r="H3252" s="8" t="s">
        <v>4372</v>
      </c>
      <c r="I3252" s="7" t="str">
        <f>_xlfn.CONCAT(Paper_Reference[[#This Row],[Lvl]:[Paper Description]])</f>
        <v>2JDEIFOSSS5201FOSSIL D/G 60 X 1441401100DS064-6200BLACK</v>
      </c>
      <c r="J3252" s="7">
        <f>COUNTIF(Paper_Reference[Duplicate Key],Paper_Reference[[#This Row],[Duplicate Key]])</f>
        <v>1</v>
      </c>
    </row>
    <row r="3253" spans="1:10">
      <c r="A3253" s="7">
        <v>2</v>
      </c>
      <c r="B3253" s="8" t="s">
        <v>3951</v>
      </c>
      <c r="C3253" s="8" t="s">
        <v>3769</v>
      </c>
      <c r="D3253" s="7">
        <v>1</v>
      </c>
      <c r="E3253" s="7">
        <v>10</v>
      </c>
      <c r="F3253" s="7">
        <v>1</v>
      </c>
      <c r="G3253" s="8" t="s">
        <v>3826</v>
      </c>
      <c r="H3253" s="8" t="s">
        <v>3827</v>
      </c>
      <c r="I3253" s="7" t="str">
        <f>_xlfn.CONCAT(Paper_Reference[[#This Row],[Lvl]:[Paper Description]])</f>
        <v>2JDEIFOSSS5801FOSSIL D/G 60 X 961101110SW736-6200PRECISION WHITE 62"</v>
      </c>
      <c r="J3253" s="7">
        <f>COUNTIF(Paper_Reference[Duplicate Key],Paper_Reference[[#This Row],[Duplicate Key]])</f>
        <v>1</v>
      </c>
    </row>
    <row r="3254" spans="1:10">
      <c r="A3254" s="7">
        <v>2</v>
      </c>
      <c r="B3254" s="8" t="s">
        <v>3951</v>
      </c>
      <c r="C3254" s="8" t="s">
        <v>3769</v>
      </c>
      <c r="D3254" s="7">
        <v>1</v>
      </c>
      <c r="E3254" s="7">
        <v>40</v>
      </c>
      <c r="F3254" s="7">
        <v>1</v>
      </c>
      <c r="G3254" s="8" t="s">
        <v>4371</v>
      </c>
      <c r="H3254" s="8" t="s">
        <v>4372</v>
      </c>
      <c r="I3254" s="7" t="str">
        <f>_xlfn.CONCAT(Paper_Reference[[#This Row],[Lvl]:[Paper Description]])</f>
        <v>2JDEIFOSSS5801FOSSIL D/G 60 X 961401100DS064-6200BLACK</v>
      </c>
      <c r="J3254" s="7">
        <f>COUNTIF(Paper_Reference[Duplicate Key],Paper_Reference[[#This Row],[Duplicate Key]])</f>
        <v>1</v>
      </c>
    </row>
    <row r="3255" spans="1:10">
      <c r="A3255" s="7">
        <v>2</v>
      </c>
      <c r="B3255" s="8" t="s">
        <v>7779</v>
      </c>
      <c r="C3255" s="8" t="s">
        <v>7007</v>
      </c>
      <c r="D3255" s="7">
        <v>1</v>
      </c>
      <c r="E3255" s="7">
        <v>10</v>
      </c>
      <c r="F3255" s="7">
        <v>1</v>
      </c>
      <c r="G3255" s="8" t="s">
        <v>6710</v>
      </c>
      <c r="H3255" s="8" t="s">
        <v>5691</v>
      </c>
      <c r="I3255" s="7" t="str">
        <f>_xlfn.CONCAT(Paper_Reference[[#This Row],[Lvl]:[Paper Description]])</f>
        <v>2JDEISPE2N400SPECTRALITE BB D/G 48 X 1201101100DS009-5000FROSTY WHITE</v>
      </c>
      <c r="J3255" s="7">
        <f>COUNTIF(Paper_Reference[Duplicate Key],Paper_Reference[[#This Row],[Duplicate Key]])</f>
        <v>1</v>
      </c>
    </row>
    <row r="3256" spans="1:10">
      <c r="A3256" s="7">
        <v>2</v>
      </c>
      <c r="B3256" s="8" t="s">
        <v>7780</v>
      </c>
      <c r="C3256" s="8" t="s">
        <v>7008</v>
      </c>
      <c r="D3256" s="7">
        <v>1</v>
      </c>
      <c r="E3256" s="7">
        <v>10</v>
      </c>
      <c r="F3256" s="7">
        <v>1</v>
      </c>
      <c r="G3256" s="8" t="s">
        <v>6710</v>
      </c>
      <c r="H3256" s="8" t="s">
        <v>5691</v>
      </c>
      <c r="I3256" s="7" t="str">
        <f>_xlfn.CONCAT(Paper_Reference[[#This Row],[Lvl]:[Paper Description]])</f>
        <v>2JDEISPE2N480SPECTRALITE BB D/G 48 X 961101100DS009-5000FROSTY WHITE</v>
      </c>
      <c r="J3256" s="7">
        <f>COUNTIF(Paper_Reference[Duplicate Key],Paper_Reference[[#This Row],[Duplicate Key]])</f>
        <v>1</v>
      </c>
    </row>
    <row r="3257" spans="1:10">
      <c r="A3257" s="7">
        <v>2</v>
      </c>
      <c r="B3257" s="8" t="s">
        <v>7781</v>
      </c>
      <c r="C3257" s="8" t="s">
        <v>7009</v>
      </c>
      <c r="D3257" s="7">
        <v>1</v>
      </c>
      <c r="E3257" s="7">
        <v>10</v>
      </c>
      <c r="F3257" s="7">
        <v>2</v>
      </c>
      <c r="G3257" s="8" t="s">
        <v>6710</v>
      </c>
      <c r="H3257" s="8" t="s">
        <v>5691</v>
      </c>
      <c r="I3257" s="7" t="str">
        <f>_xlfn.CONCAT(Paper_Reference[[#This Row],[Lvl]:[Paper Description]])</f>
        <v>2JDEISPECN380SPECTRALITE  D/G 36 X 961102100DS009-5000FROSTY WHITE</v>
      </c>
      <c r="J3257" s="7">
        <f>COUNTIF(Paper_Reference[Duplicate Key],Paper_Reference[[#This Row],[Duplicate Key]])</f>
        <v>1</v>
      </c>
    </row>
    <row r="3258" spans="1:10">
      <c r="A3258" s="7">
        <v>2</v>
      </c>
      <c r="B3258" s="8" t="s">
        <v>7782</v>
      </c>
      <c r="C3258" s="8" t="s">
        <v>6843</v>
      </c>
      <c r="D3258" s="7">
        <v>1</v>
      </c>
      <c r="E3258" s="7">
        <v>10</v>
      </c>
      <c r="F3258" s="7">
        <v>2</v>
      </c>
      <c r="G3258" s="8" t="s">
        <v>6710</v>
      </c>
      <c r="H3258" s="8" t="s">
        <v>5691</v>
      </c>
      <c r="I3258" s="7" t="str">
        <f>_xlfn.CONCAT(Paper_Reference[[#This Row],[Lvl]:[Paper Description]])</f>
        <v>2JDEISPECN480SPECTRALITE D/G 48 X 961102100DS009-5000FROSTY WHITE</v>
      </c>
      <c r="J3258" s="7">
        <f>COUNTIF(Paper_Reference[Duplicate Key],Paper_Reference[[#This Row],[Duplicate Key]])</f>
        <v>1</v>
      </c>
    </row>
    <row r="3259" spans="1:10">
      <c r="A3259" s="7">
        <v>2</v>
      </c>
      <c r="B3259" s="8" t="s">
        <v>7783</v>
      </c>
      <c r="C3259" s="8" t="s">
        <v>7010</v>
      </c>
      <c r="D3259" s="7">
        <v>1</v>
      </c>
      <c r="E3259" s="7">
        <v>10</v>
      </c>
      <c r="F3259" s="7">
        <v>1</v>
      </c>
      <c r="G3259" s="8" t="s">
        <v>6710</v>
      </c>
      <c r="H3259" s="8" t="s">
        <v>5691</v>
      </c>
      <c r="I3259" s="7" t="str">
        <f>_xlfn.CONCAT(Paper_Reference[[#This Row],[Lvl]:[Paper Description]])</f>
        <v>2JDEIZONED4001IZONE D/G 48 X 1201101100DS009-5000FROSTY WHITE</v>
      </c>
      <c r="J3259" s="7">
        <f>COUNTIF(Paper_Reference[Duplicate Key],Paper_Reference[[#This Row],[Duplicate Key]])</f>
        <v>1</v>
      </c>
    </row>
    <row r="3260" spans="1:10">
      <c r="A3260" s="7">
        <v>2</v>
      </c>
      <c r="B3260" s="8" t="s">
        <v>7784</v>
      </c>
      <c r="C3260" s="8" t="s">
        <v>7011</v>
      </c>
      <c r="D3260" s="7">
        <v>1</v>
      </c>
      <c r="E3260" s="7">
        <v>10</v>
      </c>
      <c r="F3260" s="7">
        <v>1</v>
      </c>
      <c r="G3260" s="8" t="s">
        <v>6710</v>
      </c>
      <c r="H3260" s="8" t="s">
        <v>5691</v>
      </c>
      <c r="I3260" s="7" t="str">
        <f>_xlfn.CONCAT(Paper_Reference[[#This Row],[Lvl]:[Paper Description]])</f>
        <v>2JDEIZONED4201IZONE D/G 48 X 1441101100DS009-5000FROSTY WHITE</v>
      </c>
      <c r="J3260" s="7">
        <f>COUNTIF(Paper_Reference[Duplicate Key],Paper_Reference[[#This Row],[Duplicate Key]])</f>
        <v>1</v>
      </c>
    </row>
    <row r="3261" spans="1:10">
      <c r="A3261" s="7">
        <v>2</v>
      </c>
      <c r="B3261" s="8" t="s">
        <v>7785</v>
      </c>
      <c r="C3261" s="8" t="s">
        <v>7012</v>
      </c>
      <c r="D3261" s="7">
        <v>1</v>
      </c>
      <c r="E3261" s="7">
        <v>10</v>
      </c>
      <c r="F3261" s="7">
        <v>1</v>
      </c>
      <c r="G3261" s="8" t="s">
        <v>6710</v>
      </c>
      <c r="H3261" s="8" t="s">
        <v>5691</v>
      </c>
      <c r="I3261" s="7" t="str">
        <f>_xlfn.CONCAT(Paper_Reference[[#This Row],[Lvl]:[Paper Description]])</f>
        <v>2JDEIZONED4801IZONE D/G 48 X 961101100DS009-5000FROSTY WHITE</v>
      </c>
      <c r="J3261" s="7">
        <f>COUNTIF(Paper_Reference[Duplicate Key],Paper_Reference[[#This Row],[Duplicate Key]])</f>
        <v>1</v>
      </c>
    </row>
    <row r="3262" spans="1:10">
      <c r="A3262" s="7">
        <v>2</v>
      </c>
      <c r="B3262" s="8" t="s">
        <v>5152</v>
      </c>
      <c r="C3262" s="8" t="s">
        <v>4496</v>
      </c>
      <c r="D3262" s="7">
        <v>1</v>
      </c>
      <c r="E3262" s="7">
        <v>10</v>
      </c>
      <c r="F3262" s="7">
        <v>1</v>
      </c>
      <c r="G3262" s="8" t="s">
        <v>5690</v>
      </c>
      <c r="H3262" s="8" t="s">
        <v>5691</v>
      </c>
      <c r="I3262" s="7" t="str">
        <f>_xlfn.CONCAT(Paper_Reference[[#This Row],[Lvl]:[Paper Description]])</f>
        <v>2JDEIZONED5001IZONE D/G 60 X 1201101100DS009-6200FROSTY WHITE</v>
      </c>
      <c r="J3262" s="7">
        <f>COUNTIF(Paper_Reference[Duplicate Key],Paper_Reference[[#This Row],[Duplicate Key]])</f>
        <v>1</v>
      </c>
    </row>
    <row r="3263" spans="1:10">
      <c r="A3263" s="7">
        <v>2</v>
      </c>
      <c r="B3263" s="8" t="s">
        <v>5152</v>
      </c>
      <c r="C3263" s="8" t="s">
        <v>4496</v>
      </c>
      <c r="D3263" s="7">
        <v>1</v>
      </c>
      <c r="E3263" s="7">
        <v>10</v>
      </c>
      <c r="F3263" s="7">
        <v>1</v>
      </c>
      <c r="G3263" s="8" t="s">
        <v>4371</v>
      </c>
      <c r="H3263" s="8" t="s">
        <v>4372</v>
      </c>
      <c r="I3263" s="7" t="str">
        <f>_xlfn.CONCAT(Paper_Reference[[#This Row],[Lvl]:[Paper Description]])</f>
        <v>2JDEIZONED5001IZONE D/G 60 X 1201101100DS064-6200BLACK</v>
      </c>
      <c r="J3263" s="7">
        <f>COUNTIF(Paper_Reference[Duplicate Key],Paper_Reference[[#This Row],[Duplicate Key]])</f>
        <v>1</v>
      </c>
    </row>
    <row r="3264" spans="1:10">
      <c r="A3264" s="7">
        <v>2</v>
      </c>
      <c r="B3264" s="8" t="s">
        <v>5153</v>
      </c>
      <c r="C3264" s="8" t="s">
        <v>3772</v>
      </c>
      <c r="D3264" s="7">
        <v>1</v>
      </c>
      <c r="E3264" s="7">
        <v>10</v>
      </c>
      <c r="F3264" s="7">
        <v>1</v>
      </c>
      <c r="G3264" s="8" t="s">
        <v>5690</v>
      </c>
      <c r="H3264" s="8" t="s">
        <v>5691</v>
      </c>
      <c r="I3264" s="7" t="str">
        <f>_xlfn.CONCAT(Paper_Reference[[#This Row],[Lvl]:[Paper Description]])</f>
        <v>2JDEIZONED5201IZONE D/G 60 X 1441101100DS009-6200FROSTY WHITE</v>
      </c>
      <c r="J3264" s="7">
        <f>COUNTIF(Paper_Reference[Duplicate Key],Paper_Reference[[#This Row],[Duplicate Key]])</f>
        <v>1</v>
      </c>
    </row>
    <row r="3265" spans="1:10">
      <c r="A3265" s="7">
        <v>2</v>
      </c>
      <c r="B3265" s="8" t="s">
        <v>5153</v>
      </c>
      <c r="C3265" s="8" t="s">
        <v>3772</v>
      </c>
      <c r="D3265" s="7">
        <v>1</v>
      </c>
      <c r="E3265" s="7">
        <v>10</v>
      </c>
      <c r="F3265" s="7">
        <v>1</v>
      </c>
      <c r="G3265" s="8" t="s">
        <v>4371</v>
      </c>
      <c r="H3265" s="8" t="s">
        <v>4372</v>
      </c>
      <c r="I3265" s="7" t="str">
        <f>_xlfn.CONCAT(Paper_Reference[[#This Row],[Lvl]:[Paper Description]])</f>
        <v>2JDEIZONED5201IZONE D/G 60 X 1441101100DS064-6200BLACK</v>
      </c>
      <c r="J3265" s="7">
        <f>COUNTIF(Paper_Reference[Duplicate Key],Paper_Reference[[#This Row],[Duplicate Key]])</f>
        <v>1</v>
      </c>
    </row>
    <row r="3266" spans="1:10">
      <c r="A3266" s="7">
        <v>2</v>
      </c>
      <c r="B3266" s="8" t="s">
        <v>5154</v>
      </c>
      <c r="C3266" s="8" t="s">
        <v>4497</v>
      </c>
      <c r="D3266" s="7">
        <v>1</v>
      </c>
      <c r="E3266" s="7">
        <v>10</v>
      </c>
      <c r="F3266" s="7">
        <v>1</v>
      </c>
      <c r="G3266" s="8" t="s">
        <v>5690</v>
      </c>
      <c r="H3266" s="8" t="s">
        <v>5691</v>
      </c>
      <c r="I3266" s="7" t="str">
        <f>_xlfn.CONCAT(Paper_Reference[[#This Row],[Lvl]:[Paper Description]])</f>
        <v>2JDEIZONED5801IZONE D/G 60 X 961101100DS009-6200FROSTY WHITE</v>
      </c>
      <c r="J3266" s="7">
        <f>COUNTIF(Paper_Reference[Duplicate Key],Paper_Reference[[#This Row],[Duplicate Key]])</f>
        <v>1</v>
      </c>
    </row>
    <row r="3267" spans="1:10">
      <c r="A3267" s="7">
        <v>2</v>
      </c>
      <c r="B3267" s="8" t="s">
        <v>5154</v>
      </c>
      <c r="C3267" s="8" t="s">
        <v>4497</v>
      </c>
      <c r="D3267" s="7">
        <v>1</v>
      </c>
      <c r="E3267" s="7">
        <v>10</v>
      </c>
      <c r="F3267" s="7">
        <v>1</v>
      </c>
      <c r="G3267" s="8" t="s">
        <v>4371</v>
      </c>
      <c r="H3267" s="8" t="s">
        <v>4372</v>
      </c>
      <c r="I3267" s="7" t="str">
        <f>_xlfn.CONCAT(Paper_Reference[[#This Row],[Lvl]:[Paper Description]])</f>
        <v>2JDEIZONED5801IZONE D/G 60 X 961101100DS064-6200BLACK</v>
      </c>
      <c r="J3267" s="7">
        <f>COUNTIF(Paper_Reference[Duplicate Key],Paper_Reference[[#This Row],[Duplicate Key]])</f>
        <v>1</v>
      </c>
    </row>
    <row r="3268" spans="1:10">
      <c r="A3268" s="7">
        <v>2</v>
      </c>
      <c r="B3268" s="8" t="s">
        <v>3479</v>
      </c>
      <c r="C3268" s="8" t="s">
        <v>3241</v>
      </c>
      <c r="D3268" s="7">
        <v>1</v>
      </c>
      <c r="E3268" s="7">
        <v>10</v>
      </c>
      <c r="F3268" s="7">
        <v>1</v>
      </c>
      <c r="G3268" s="8" t="s">
        <v>3230</v>
      </c>
      <c r="H3268" s="8" t="s">
        <v>3231</v>
      </c>
      <c r="I3268" s="7" t="str">
        <f>_xlfn.CONCAT(Paper_Reference[[#This Row],[Lvl]:[Paper Description]])</f>
        <v>2JDFIFOSSH4001FOSSIL D/G 48 X 1201101110SW736-5000PRECISION WHITE 43 X 145</v>
      </c>
      <c r="J3268" s="7">
        <f>COUNTIF(Paper_Reference[Duplicate Key],Paper_Reference[[#This Row],[Duplicate Key]])</f>
        <v>1</v>
      </c>
    </row>
    <row r="3269" spans="1:10">
      <c r="A3269" s="7">
        <v>2</v>
      </c>
      <c r="B3269" s="8" t="s">
        <v>3480</v>
      </c>
      <c r="C3269" s="8" t="s">
        <v>3240</v>
      </c>
      <c r="D3269" s="7">
        <v>1</v>
      </c>
      <c r="E3269" s="7">
        <v>10</v>
      </c>
      <c r="F3269" s="7">
        <v>1</v>
      </c>
      <c r="G3269" s="8" t="s">
        <v>3230</v>
      </c>
      <c r="H3269" s="8" t="s">
        <v>3231</v>
      </c>
      <c r="I3269" s="7" t="str">
        <f>_xlfn.CONCAT(Paper_Reference[[#This Row],[Lvl]:[Paper Description]])</f>
        <v>2JDFIFOSSH4801FOSSIL D/G 48 X 961101110SW736-5000PRECISION WHITE 43 X 145</v>
      </c>
      <c r="J3269" s="7">
        <f>COUNTIF(Paper_Reference[Duplicate Key],Paper_Reference[[#This Row],[Duplicate Key]])</f>
        <v>1</v>
      </c>
    </row>
    <row r="3270" spans="1:10">
      <c r="A3270" s="7">
        <v>2</v>
      </c>
      <c r="B3270" s="8" t="s">
        <v>3952</v>
      </c>
      <c r="C3270" s="8" t="s">
        <v>3767</v>
      </c>
      <c r="D3270" s="7">
        <v>1</v>
      </c>
      <c r="E3270" s="7">
        <v>10</v>
      </c>
      <c r="F3270" s="7">
        <v>1</v>
      </c>
      <c r="G3270" s="8" t="s">
        <v>3826</v>
      </c>
      <c r="H3270" s="8" t="s">
        <v>3827</v>
      </c>
      <c r="I3270" s="7" t="str">
        <f>_xlfn.CONCAT(Paper_Reference[[#This Row],[Lvl]:[Paper Description]])</f>
        <v>2JDFIFOSSH5001FOSSIL D/G 60 X 1201101110SW736-6200PRECISION WHITE 62"</v>
      </c>
      <c r="J3270" s="7">
        <f>COUNTIF(Paper_Reference[Duplicate Key],Paper_Reference[[#This Row],[Duplicate Key]])</f>
        <v>1</v>
      </c>
    </row>
    <row r="3271" spans="1:10">
      <c r="A3271" s="7">
        <v>2</v>
      </c>
      <c r="B3271" s="8" t="s">
        <v>3952</v>
      </c>
      <c r="C3271" s="8" t="s">
        <v>3767</v>
      </c>
      <c r="D3271" s="7">
        <v>1</v>
      </c>
      <c r="E3271" s="7">
        <v>40</v>
      </c>
      <c r="F3271" s="7">
        <v>2</v>
      </c>
      <c r="G3271" s="8" t="s">
        <v>4371</v>
      </c>
      <c r="H3271" s="8" t="s">
        <v>4372</v>
      </c>
      <c r="I3271" s="7" t="str">
        <f>_xlfn.CONCAT(Paper_Reference[[#This Row],[Lvl]:[Paper Description]])</f>
        <v>2JDFIFOSSH5001FOSSIL D/G 60 X 1201402100DS064-6200BLACK</v>
      </c>
      <c r="J3271" s="7">
        <f>COUNTIF(Paper_Reference[Duplicate Key],Paper_Reference[[#This Row],[Duplicate Key]])</f>
        <v>1</v>
      </c>
    </row>
    <row r="3272" spans="1:10">
      <c r="A3272" s="7">
        <v>2</v>
      </c>
      <c r="B3272" s="8" t="s">
        <v>3953</v>
      </c>
      <c r="C3272" s="8" t="s">
        <v>3768</v>
      </c>
      <c r="D3272" s="7">
        <v>1</v>
      </c>
      <c r="E3272" s="7">
        <v>10</v>
      </c>
      <c r="F3272" s="7">
        <v>1</v>
      </c>
      <c r="G3272" s="8" t="s">
        <v>3826</v>
      </c>
      <c r="H3272" s="8" t="s">
        <v>3827</v>
      </c>
      <c r="I3272" s="7" t="str">
        <f>_xlfn.CONCAT(Paper_Reference[[#This Row],[Lvl]:[Paper Description]])</f>
        <v>2JDFIFOSSH5201FOSSIL D/G 60 X 1441101110SW736-6200PRECISION WHITE 62"</v>
      </c>
      <c r="J3272" s="7">
        <f>COUNTIF(Paper_Reference[Duplicate Key],Paper_Reference[[#This Row],[Duplicate Key]])</f>
        <v>1</v>
      </c>
    </row>
    <row r="3273" spans="1:10">
      <c r="A3273" s="7">
        <v>2</v>
      </c>
      <c r="B3273" s="8" t="s">
        <v>3953</v>
      </c>
      <c r="C3273" s="8" t="s">
        <v>3768</v>
      </c>
      <c r="D3273" s="7">
        <v>1</v>
      </c>
      <c r="E3273" s="7">
        <v>40</v>
      </c>
      <c r="F3273" s="7">
        <v>2</v>
      </c>
      <c r="G3273" s="8" t="s">
        <v>4371</v>
      </c>
      <c r="H3273" s="8" t="s">
        <v>4372</v>
      </c>
      <c r="I3273" s="7" t="str">
        <f>_xlfn.CONCAT(Paper_Reference[[#This Row],[Lvl]:[Paper Description]])</f>
        <v>2JDFIFOSSH5201FOSSIL D/G 60 X 1441402100DS064-6200BLACK</v>
      </c>
      <c r="J3273" s="7">
        <f>COUNTIF(Paper_Reference[Duplicate Key],Paper_Reference[[#This Row],[Duplicate Key]])</f>
        <v>1</v>
      </c>
    </row>
    <row r="3274" spans="1:10">
      <c r="A3274" s="7">
        <v>2</v>
      </c>
      <c r="B3274" s="8" t="s">
        <v>3481</v>
      </c>
      <c r="C3274" s="8" t="s">
        <v>3240</v>
      </c>
      <c r="D3274" s="7">
        <v>1</v>
      </c>
      <c r="E3274" s="7">
        <v>10</v>
      </c>
      <c r="F3274" s="7">
        <v>1</v>
      </c>
      <c r="G3274" s="8" t="s">
        <v>3230</v>
      </c>
      <c r="H3274" s="8" t="s">
        <v>3231</v>
      </c>
      <c r="I3274" s="7" t="str">
        <f>_xlfn.CONCAT(Paper_Reference[[#This Row],[Lvl]:[Paper Description]])</f>
        <v>2JDFIFOSSJ4801FOSSIL D/G 48 X 961101110SW736-5000PRECISION WHITE 43 X 145</v>
      </c>
      <c r="J3274" s="7">
        <f>COUNTIF(Paper_Reference[Duplicate Key],Paper_Reference[[#This Row],[Duplicate Key]])</f>
        <v>1</v>
      </c>
    </row>
    <row r="3275" spans="1:10">
      <c r="A3275" s="7">
        <v>2</v>
      </c>
      <c r="B3275" s="8" t="s">
        <v>3954</v>
      </c>
      <c r="C3275" s="8" t="s">
        <v>3767</v>
      </c>
      <c r="D3275" s="7">
        <v>1</v>
      </c>
      <c r="E3275" s="7">
        <v>10</v>
      </c>
      <c r="F3275" s="7">
        <v>1</v>
      </c>
      <c r="G3275" s="8" t="s">
        <v>3826</v>
      </c>
      <c r="H3275" s="8" t="s">
        <v>3827</v>
      </c>
      <c r="I3275" s="7" t="str">
        <f>_xlfn.CONCAT(Paper_Reference[[#This Row],[Lvl]:[Paper Description]])</f>
        <v>2JDFIFOSSJ5001FOSSIL D/G 60 X 1201101110SW736-6200PRECISION WHITE 62"</v>
      </c>
      <c r="J3275" s="7">
        <f>COUNTIF(Paper_Reference[Duplicate Key],Paper_Reference[[#This Row],[Duplicate Key]])</f>
        <v>1</v>
      </c>
    </row>
    <row r="3276" spans="1:10">
      <c r="A3276" s="7">
        <v>2</v>
      </c>
      <c r="B3276" s="8" t="s">
        <v>3954</v>
      </c>
      <c r="C3276" s="8" t="s">
        <v>3767</v>
      </c>
      <c r="D3276" s="7">
        <v>1</v>
      </c>
      <c r="E3276" s="7">
        <v>40</v>
      </c>
      <c r="F3276" s="7">
        <v>2</v>
      </c>
      <c r="G3276" s="8" t="s">
        <v>4371</v>
      </c>
      <c r="H3276" s="8" t="s">
        <v>4372</v>
      </c>
      <c r="I3276" s="7" t="str">
        <f>_xlfn.CONCAT(Paper_Reference[[#This Row],[Lvl]:[Paper Description]])</f>
        <v>2JDFIFOSSJ5001FOSSIL D/G 60 X 1201402100DS064-6200BLACK</v>
      </c>
      <c r="J3276" s="7">
        <f>COUNTIF(Paper_Reference[Duplicate Key],Paper_Reference[[#This Row],[Duplicate Key]])</f>
        <v>1</v>
      </c>
    </row>
    <row r="3277" spans="1:10">
      <c r="A3277" s="7">
        <v>2</v>
      </c>
      <c r="B3277" s="8" t="s">
        <v>3955</v>
      </c>
      <c r="C3277" s="8" t="s">
        <v>3767</v>
      </c>
      <c r="D3277" s="7">
        <v>1</v>
      </c>
      <c r="E3277" s="7">
        <v>10</v>
      </c>
      <c r="F3277" s="7">
        <v>1</v>
      </c>
      <c r="G3277" s="8" t="s">
        <v>3826</v>
      </c>
      <c r="H3277" s="8" t="s">
        <v>3827</v>
      </c>
      <c r="I3277" s="7" t="str">
        <f>_xlfn.CONCAT(Paper_Reference[[#This Row],[Lvl]:[Paper Description]])</f>
        <v>2JDFIFOSSPV5001FOSSIL D/G 60 X 1201101110SW736-6200PRECISION WHITE 62"</v>
      </c>
      <c r="J3277" s="7">
        <f>COUNTIF(Paper_Reference[Duplicate Key],Paper_Reference[[#This Row],[Duplicate Key]])</f>
        <v>1</v>
      </c>
    </row>
    <row r="3278" spans="1:10">
      <c r="A3278" s="7">
        <v>2</v>
      </c>
      <c r="B3278" s="8" t="s">
        <v>3955</v>
      </c>
      <c r="C3278" s="8" t="s">
        <v>3767</v>
      </c>
      <c r="D3278" s="7">
        <v>1</v>
      </c>
      <c r="E3278" s="7">
        <v>40</v>
      </c>
      <c r="F3278" s="7">
        <v>2</v>
      </c>
      <c r="G3278" s="8" t="s">
        <v>4371</v>
      </c>
      <c r="H3278" s="8" t="s">
        <v>4372</v>
      </c>
      <c r="I3278" s="7" t="str">
        <f>_xlfn.CONCAT(Paper_Reference[[#This Row],[Lvl]:[Paper Description]])</f>
        <v>2JDFIFOSSPV5001FOSSIL D/G 60 X 1201402100DS064-6200BLACK</v>
      </c>
      <c r="J3278" s="7">
        <f>COUNTIF(Paper_Reference[Duplicate Key],Paper_Reference[[#This Row],[Duplicate Key]])</f>
        <v>1</v>
      </c>
    </row>
    <row r="3279" spans="1:10">
      <c r="A3279" s="7">
        <v>2</v>
      </c>
      <c r="B3279" s="8" t="s">
        <v>3956</v>
      </c>
      <c r="C3279" s="8" t="s">
        <v>3768</v>
      </c>
      <c r="D3279" s="7">
        <v>1</v>
      </c>
      <c r="E3279" s="7">
        <v>10</v>
      </c>
      <c r="F3279" s="7">
        <v>1</v>
      </c>
      <c r="G3279" s="8" t="s">
        <v>3826</v>
      </c>
      <c r="H3279" s="8" t="s">
        <v>3827</v>
      </c>
      <c r="I3279" s="7" t="str">
        <f>_xlfn.CONCAT(Paper_Reference[[#This Row],[Lvl]:[Paper Description]])</f>
        <v>2JDFIFOSSPV5201FOSSIL D/G 60 X 1441101110SW736-6200PRECISION WHITE 62"</v>
      </c>
      <c r="J3279" s="7">
        <f>COUNTIF(Paper_Reference[Duplicate Key],Paper_Reference[[#This Row],[Duplicate Key]])</f>
        <v>1</v>
      </c>
    </row>
    <row r="3280" spans="1:10">
      <c r="A3280" s="7">
        <v>2</v>
      </c>
      <c r="B3280" s="8" t="s">
        <v>3956</v>
      </c>
      <c r="C3280" s="8" t="s">
        <v>3768</v>
      </c>
      <c r="D3280" s="7">
        <v>1</v>
      </c>
      <c r="E3280" s="7">
        <v>40</v>
      </c>
      <c r="F3280" s="7">
        <v>2</v>
      </c>
      <c r="G3280" s="8" t="s">
        <v>4371</v>
      </c>
      <c r="H3280" s="8" t="s">
        <v>4372</v>
      </c>
      <c r="I3280" s="7" t="str">
        <f>_xlfn.CONCAT(Paper_Reference[[#This Row],[Lvl]:[Paper Description]])</f>
        <v>2JDFIFOSSPV5201FOSSIL D/G 60 X 1441402100DS064-6200BLACK</v>
      </c>
      <c r="J3280" s="7">
        <f>COUNTIF(Paper_Reference[Duplicate Key],Paper_Reference[[#This Row],[Duplicate Key]])</f>
        <v>1</v>
      </c>
    </row>
    <row r="3281" spans="1:10">
      <c r="A3281" s="7">
        <v>2</v>
      </c>
      <c r="B3281" s="8" t="s">
        <v>3482</v>
      </c>
      <c r="C3281" s="8" t="s">
        <v>3241</v>
      </c>
      <c r="D3281" s="7">
        <v>1</v>
      </c>
      <c r="E3281" s="7">
        <v>10</v>
      </c>
      <c r="F3281" s="7">
        <v>1</v>
      </c>
      <c r="G3281" s="8" t="s">
        <v>3230</v>
      </c>
      <c r="H3281" s="8" t="s">
        <v>3231</v>
      </c>
      <c r="I3281" s="7" t="str">
        <f>_xlfn.CONCAT(Paper_Reference[[#This Row],[Lvl]:[Paper Description]])</f>
        <v>2JDFIFOSSS4001FOSSIL D/G 48 X 1201101110SW736-5000PRECISION WHITE 43 X 145</v>
      </c>
      <c r="J3281" s="7">
        <f>COUNTIF(Paper_Reference[Duplicate Key],Paper_Reference[[#This Row],[Duplicate Key]])</f>
        <v>1</v>
      </c>
    </row>
    <row r="3282" spans="1:10">
      <c r="A3282" s="7">
        <v>2</v>
      </c>
      <c r="B3282" s="8" t="s">
        <v>3483</v>
      </c>
      <c r="C3282" s="8" t="s">
        <v>3239</v>
      </c>
      <c r="D3282" s="7">
        <v>1</v>
      </c>
      <c r="E3282" s="7">
        <v>10</v>
      </c>
      <c r="F3282" s="7">
        <v>1</v>
      </c>
      <c r="G3282" s="8" t="s">
        <v>3230</v>
      </c>
      <c r="H3282" s="8" t="s">
        <v>3231</v>
      </c>
      <c r="I3282" s="7" t="str">
        <f>_xlfn.CONCAT(Paper_Reference[[#This Row],[Lvl]:[Paper Description]])</f>
        <v>2JDFIFOSSS4201FOSSIL D/G 48 X 1441101110SW736-5000PRECISION WHITE 43 X 145</v>
      </c>
      <c r="J3282" s="7">
        <f>COUNTIF(Paper_Reference[Duplicate Key],Paper_Reference[[#This Row],[Duplicate Key]])</f>
        <v>1</v>
      </c>
    </row>
    <row r="3283" spans="1:10">
      <c r="A3283" s="7">
        <v>2</v>
      </c>
      <c r="B3283" s="8" t="s">
        <v>3485</v>
      </c>
      <c r="C3283" s="8" t="s">
        <v>3240</v>
      </c>
      <c r="D3283" s="7">
        <v>1</v>
      </c>
      <c r="E3283" s="7">
        <v>10</v>
      </c>
      <c r="F3283" s="7">
        <v>1</v>
      </c>
      <c r="G3283" s="8" t="s">
        <v>3230</v>
      </c>
      <c r="H3283" s="8" t="s">
        <v>3231</v>
      </c>
      <c r="I3283" s="7" t="str">
        <f>_xlfn.CONCAT(Paper_Reference[[#This Row],[Lvl]:[Paper Description]])</f>
        <v>2JDFIFOSSS480FOSSIL D/G 48 X 961101110SW736-5000PRECISION WHITE 43 X 145</v>
      </c>
      <c r="J3283" s="7">
        <f>COUNTIF(Paper_Reference[Duplicate Key],Paper_Reference[[#This Row],[Duplicate Key]])</f>
        <v>1</v>
      </c>
    </row>
    <row r="3284" spans="1:10">
      <c r="A3284" s="7">
        <v>2</v>
      </c>
      <c r="B3284" s="8" t="s">
        <v>3484</v>
      </c>
      <c r="C3284" s="8" t="s">
        <v>3240</v>
      </c>
      <c r="D3284" s="7">
        <v>1</v>
      </c>
      <c r="E3284" s="7">
        <v>10</v>
      </c>
      <c r="F3284" s="7">
        <v>1</v>
      </c>
      <c r="G3284" s="8" t="s">
        <v>3230</v>
      </c>
      <c r="H3284" s="8" t="s">
        <v>3231</v>
      </c>
      <c r="I3284" s="7" t="str">
        <f>_xlfn.CONCAT(Paper_Reference[[#This Row],[Lvl]:[Paper Description]])</f>
        <v>2JDFIFOSSS4801FOSSIL D/G 48 X 961101110SW736-5000PRECISION WHITE 43 X 145</v>
      </c>
      <c r="J3284" s="7">
        <f>COUNTIF(Paper_Reference[Duplicate Key],Paper_Reference[[#This Row],[Duplicate Key]])</f>
        <v>1</v>
      </c>
    </row>
    <row r="3285" spans="1:10">
      <c r="A3285" s="7">
        <v>2</v>
      </c>
      <c r="B3285" s="8" t="s">
        <v>3957</v>
      </c>
      <c r="C3285" s="8" t="s">
        <v>3767</v>
      </c>
      <c r="D3285" s="7">
        <v>1</v>
      </c>
      <c r="E3285" s="7">
        <v>10</v>
      </c>
      <c r="F3285" s="7">
        <v>1</v>
      </c>
      <c r="G3285" s="8" t="s">
        <v>3826</v>
      </c>
      <c r="H3285" s="8" t="s">
        <v>3827</v>
      </c>
      <c r="I3285" s="7" t="str">
        <f>_xlfn.CONCAT(Paper_Reference[[#This Row],[Lvl]:[Paper Description]])</f>
        <v>2JDFIFOSSS5001FOSSIL D/G 60 X 1201101110SW736-6200PRECISION WHITE 62"</v>
      </c>
      <c r="J3285" s="7">
        <f>COUNTIF(Paper_Reference[Duplicate Key],Paper_Reference[[#This Row],[Duplicate Key]])</f>
        <v>1</v>
      </c>
    </row>
    <row r="3286" spans="1:10">
      <c r="A3286" s="7">
        <v>2</v>
      </c>
      <c r="B3286" s="8" t="s">
        <v>3957</v>
      </c>
      <c r="C3286" s="8" t="s">
        <v>3767</v>
      </c>
      <c r="D3286" s="7">
        <v>1</v>
      </c>
      <c r="E3286" s="7">
        <v>40</v>
      </c>
      <c r="F3286" s="7">
        <v>2</v>
      </c>
      <c r="G3286" s="8" t="s">
        <v>4371</v>
      </c>
      <c r="H3286" s="8" t="s">
        <v>4372</v>
      </c>
      <c r="I3286" s="7" t="str">
        <f>_xlfn.CONCAT(Paper_Reference[[#This Row],[Lvl]:[Paper Description]])</f>
        <v>2JDFIFOSSS5001FOSSIL D/G 60 X 1201402100DS064-6200BLACK</v>
      </c>
      <c r="J3286" s="7">
        <f>COUNTIF(Paper_Reference[Duplicate Key],Paper_Reference[[#This Row],[Duplicate Key]])</f>
        <v>1</v>
      </c>
    </row>
    <row r="3287" spans="1:10">
      <c r="A3287" s="7">
        <v>2</v>
      </c>
      <c r="B3287" s="8" t="s">
        <v>3958</v>
      </c>
      <c r="C3287" s="8" t="s">
        <v>3769</v>
      </c>
      <c r="D3287" s="7">
        <v>1</v>
      </c>
      <c r="E3287" s="7">
        <v>10</v>
      </c>
      <c r="F3287" s="7">
        <v>1</v>
      </c>
      <c r="G3287" s="8" t="s">
        <v>3826</v>
      </c>
      <c r="H3287" s="8" t="s">
        <v>3827</v>
      </c>
      <c r="I3287" s="7" t="str">
        <f>_xlfn.CONCAT(Paper_Reference[[#This Row],[Lvl]:[Paper Description]])</f>
        <v>2JDFIFOSSS5801FOSSIL D/G 60 X 961101110SW736-6200PRECISION WHITE 62"</v>
      </c>
      <c r="J3287" s="7">
        <f>COUNTIF(Paper_Reference[Duplicate Key],Paper_Reference[[#This Row],[Duplicate Key]])</f>
        <v>1</v>
      </c>
    </row>
    <row r="3288" spans="1:10">
      <c r="A3288" s="7">
        <v>2</v>
      </c>
      <c r="B3288" s="8" t="s">
        <v>3958</v>
      </c>
      <c r="C3288" s="8" t="s">
        <v>3769</v>
      </c>
      <c r="D3288" s="7">
        <v>1</v>
      </c>
      <c r="E3288" s="7">
        <v>40</v>
      </c>
      <c r="F3288" s="7">
        <v>2</v>
      </c>
      <c r="G3288" s="8" t="s">
        <v>4371</v>
      </c>
      <c r="H3288" s="8" t="s">
        <v>4372</v>
      </c>
      <c r="I3288" s="7" t="str">
        <f>_xlfn.CONCAT(Paper_Reference[[#This Row],[Lvl]:[Paper Description]])</f>
        <v>2JDFIFOSSS5801FOSSIL D/G 60 X 961402100DS064-6200BLACK</v>
      </c>
      <c r="J3288" s="7">
        <f>COUNTIF(Paper_Reference[Duplicate Key],Paper_Reference[[#This Row],[Duplicate Key]])</f>
        <v>1</v>
      </c>
    </row>
    <row r="3289" spans="1:10">
      <c r="A3289" s="7">
        <v>2</v>
      </c>
      <c r="B3289" s="8" t="s">
        <v>7786</v>
      </c>
      <c r="C3289" s="8" t="s">
        <v>7006</v>
      </c>
      <c r="D3289" s="7">
        <v>1</v>
      </c>
      <c r="E3289" s="7">
        <v>10</v>
      </c>
      <c r="F3289" s="7">
        <v>1</v>
      </c>
      <c r="G3289" s="8" t="s">
        <v>6710</v>
      </c>
      <c r="H3289" s="8" t="s">
        <v>5691</v>
      </c>
      <c r="I3289" s="7" t="str">
        <f>_xlfn.CONCAT(Paper_Reference[[#This Row],[Lvl]:[Paper Description]])</f>
        <v>2JDFISPE2S3801SPECTRALITE BB D/G 36 X 961101100DS009-5000FROSTY WHITE</v>
      </c>
      <c r="J3289" s="7">
        <f>COUNTIF(Paper_Reference[Duplicate Key],Paper_Reference[[#This Row],[Duplicate Key]])</f>
        <v>1</v>
      </c>
    </row>
    <row r="3290" spans="1:10">
      <c r="A3290" s="7">
        <v>2</v>
      </c>
      <c r="B3290" s="8" t="s">
        <v>7787</v>
      </c>
      <c r="C3290" s="8" t="s">
        <v>7010</v>
      </c>
      <c r="D3290" s="7">
        <v>1</v>
      </c>
      <c r="E3290" s="7">
        <v>10</v>
      </c>
      <c r="F3290" s="7">
        <v>1</v>
      </c>
      <c r="G3290" s="8" t="s">
        <v>6710</v>
      </c>
      <c r="H3290" s="8" t="s">
        <v>5691</v>
      </c>
      <c r="I3290" s="7" t="str">
        <f>_xlfn.CONCAT(Paper_Reference[[#This Row],[Lvl]:[Paper Description]])</f>
        <v>2JDFIZONED4001IZONE D/G 48 X 1201101100DS009-5000FROSTY WHITE</v>
      </c>
      <c r="J3290" s="7">
        <f>COUNTIF(Paper_Reference[Duplicate Key],Paper_Reference[[#This Row],[Duplicate Key]])</f>
        <v>1</v>
      </c>
    </row>
    <row r="3291" spans="1:10">
      <c r="A3291" s="7">
        <v>2</v>
      </c>
      <c r="B3291" s="8" t="s">
        <v>7788</v>
      </c>
      <c r="C3291" s="8" t="s">
        <v>7012</v>
      </c>
      <c r="D3291" s="7">
        <v>1</v>
      </c>
      <c r="E3291" s="7">
        <v>10</v>
      </c>
      <c r="F3291" s="7">
        <v>1</v>
      </c>
      <c r="G3291" s="8" t="s">
        <v>6710</v>
      </c>
      <c r="H3291" s="8" t="s">
        <v>5691</v>
      </c>
      <c r="I3291" s="7" t="str">
        <f>_xlfn.CONCAT(Paper_Reference[[#This Row],[Lvl]:[Paper Description]])</f>
        <v>2JDFIZONED4801IZONE D/G 48 X 961101100DS009-5000FROSTY WHITE</v>
      </c>
      <c r="J3291" s="7">
        <f>COUNTIF(Paper_Reference[Duplicate Key],Paper_Reference[[#This Row],[Duplicate Key]])</f>
        <v>1</v>
      </c>
    </row>
    <row r="3292" spans="1:10">
      <c r="A3292" s="7">
        <v>2</v>
      </c>
      <c r="B3292" s="8" t="s">
        <v>5155</v>
      </c>
      <c r="C3292" s="8" t="s">
        <v>4496</v>
      </c>
      <c r="D3292" s="7">
        <v>1</v>
      </c>
      <c r="E3292" s="7">
        <v>10</v>
      </c>
      <c r="F3292" s="7">
        <v>1</v>
      </c>
      <c r="G3292" s="8" t="s">
        <v>5690</v>
      </c>
      <c r="H3292" s="8" t="s">
        <v>5691</v>
      </c>
      <c r="I3292" s="7" t="str">
        <f>_xlfn.CONCAT(Paper_Reference[[#This Row],[Lvl]:[Paper Description]])</f>
        <v>2JDFIZONED5001IZONE D/G 60 X 1201101100DS009-6200FROSTY WHITE</v>
      </c>
      <c r="J3292" s="7">
        <f>COUNTIF(Paper_Reference[Duplicate Key],Paper_Reference[[#This Row],[Duplicate Key]])</f>
        <v>1</v>
      </c>
    </row>
    <row r="3293" spans="1:10">
      <c r="A3293" s="7">
        <v>2</v>
      </c>
      <c r="B3293" s="8" t="s">
        <v>5155</v>
      </c>
      <c r="C3293" s="8" t="s">
        <v>4496</v>
      </c>
      <c r="D3293" s="7">
        <v>1</v>
      </c>
      <c r="E3293" s="7">
        <v>10</v>
      </c>
      <c r="F3293" s="7">
        <v>2</v>
      </c>
      <c r="G3293" s="8" t="s">
        <v>4371</v>
      </c>
      <c r="H3293" s="8" t="s">
        <v>4372</v>
      </c>
      <c r="I3293" s="7" t="str">
        <f>_xlfn.CONCAT(Paper_Reference[[#This Row],[Lvl]:[Paper Description]])</f>
        <v>2JDFIZONED5001IZONE D/G 60 X 1201102100DS064-6200BLACK</v>
      </c>
      <c r="J3293" s="7">
        <f>COUNTIF(Paper_Reference[Duplicate Key],Paper_Reference[[#This Row],[Duplicate Key]])</f>
        <v>1</v>
      </c>
    </row>
    <row r="3294" spans="1:10">
      <c r="A3294" s="7">
        <v>2</v>
      </c>
      <c r="B3294" s="8" t="s">
        <v>3959</v>
      </c>
      <c r="C3294" s="8" t="s">
        <v>3772</v>
      </c>
      <c r="D3294" s="7">
        <v>1</v>
      </c>
      <c r="E3294" s="7">
        <v>10</v>
      </c>
      <c r="F3294" s="7">
        <v>1</v>
      </c>
      <c r="G3294" s="8" t="s">
        <v>3826</v>
      </c>
      <c r="H3294" s="8" t="s">
        <v>3827</v>
      </c>
      <c r="I3294" s="7" t="str">
        <f>_xlfn.CONCAT(Paper_Reference[[#This Row],[Lvl]:[Paper Description]])</f>
        <v>2JDFIZONED5201IZONE D/G 60 X 1441101110SW736-6200PRECISION WHITE 62"</v>
      </c>
      <c r="J3294" s="7">
        <f>COUNTIF(Paper_Reference[Duplicate Key],Paper_Reference[[#This Row],[Duplicate Key]])</f>
        <v>1</v>
      </c>
    </row>
    <row r="3295" spans="1:10">
      <c r="A3295" s="7">
        <v>2</v>
      </c>
      <c r="B3295" s="8" t="s">
        <v>3959</v>
      </c>
      <c r="C3295" s="8" t="s">
        <v>3772</v>
      </c>
      <c r="D3295" s="7">
        <v>1</v>
      </c>
      <c r="E3295" s="7">
        <v>10</v>
      </c>
      <c r="F3295" s="7">
        <v>2</v>
      </c>
      <c r="G3295" s="8" t="s">
        <v>4371</v>
      </c>
      <c r="H3295" s="8" t="s">
        <v>4372</v>
      </c>
      <c r="I3295" s="7" t="str">
        <f>_xlfn.CONCAT(Paper_Reference[[#This Row],[Lvl]:[Paper Description]])</f>
        <v>2JDFIZONED5201IZONE D/G 60 X 1441102100DS064-6200BLACK</v>
      </c>
      <c r="J3295" s="7">
        <f>COUNTIF(Paper_Reference[Duplicate Key],Paper_Reference[[#This Row],[Duplicate Key]])</f>
        <v>1</v>
      </c>
    </row>
    <row r="3296" spans="1:10">
      <c r="A3296" s="7">
        <v>2</v>
      </c>
      <c r="B3296" s="8" t="s">
        <v>5156</v>
      </c>
      <c r="C3296" s="8" t="s">
        <v>4497</v>
      </c>
      <c r="D3296" s="7">
        <v>1</v>
      </c>
      <c r="E3296" s="7">
        <v>10</v>
      </c>
      <c r="F3296" s="7">
        <v>1</v>
      </c>
      <c r="G3296" s="8" t="s">
        <v>5690</v>
      </c>
      <c r="H3296" s="8" t="s">
        <v>5691</v>
      </c>
      <c r="I3296" s="7" t="str">
        <f>_xlfn.CONCAT(Paper_Reference[[#This Row],[Lvl]:[Paper Description]])</f>
        <v>2JDFIZONED5801IZONE D/G 60 X 961101100DS009-6200FROSTY WHITE</v>
      </c>
      <c r="J3296" s="7">
        <f>COUNTIF(Paper_Reference[Duplicate Key],Paper_Reference[[#This Row],[Duplicate Key]])</f>
        <v>1</v>
      </c>
    </row>
    <row r="3297" spans="1:10">
      <c r="A3297" s="7">
        <v>2</v>
      </c>
      <c r="B3297" s="8" t="s">
        <v>5156</v>
      </c>
      <c r="C3297" s="8" t="s">
        <v>4497</v>
      </c>
      <c r="D3297" s="7">
        <v>1</v>
      </c>
      <c r="E3297" s="7">
        <v>10</v>
      </c>
      <c r="F3297" s="7">
        <v>2</v>
      </c>
      <c r="G3297" s="8" t="s">
        <v>4371</v>
      </c>
      <c r="H3297" s="8" t="s">
        <v>4372</v>
      </c>
      <c r="I3297" s="7" t="str">
        <f>_xlfn.CONCAT(Paper_Reference[[#This Row],[Lvl]:[Paper Description]])</f>
        <v>2JDFIZONED5801IZONE D/G 60 X 961102100DS064-6200BLACK</v>
      </c>
      <c r="J3297" s="7">
        <f>COUNTIF(Paper_Reference[Duplicate Key],Paper_Reference[[#This Row],[Duplicate Key]])</f>
        <v>1</v>
      </c>
    </row>
    <row r="3298" spans="1:10">
      <c r="A3298" s="7">
        <v>2</v>
      </c>
      <c r="B3298" s="8" t="s">
        <v>3486</v>
      </c>
      <c r="C3298" s="8" t="s">
        <v>3241</v>
      </c>
      <c r="D3298" s="7">
        <v>1</v>
      </c>
      <c r="E3298" s="7">
        <v>10</v>
      </c>
      <c r="F3298" s="7">
        <v>1</v>
      </c>
      <c r="G3298" s="8" t="s">
        <v>3230</v>
      </c>
      <c r="H3298" s="8" t="s">
        <v>3231</v>
      </c>
      <c r="I3298" s="7" t="str">
        <f>_xlfn.CONCAT(Paper_Reference[[#This Row],[Lvl]:[Paper Description]])</f>
        <v>2JDGIFOSSH4001FOSSIL D/G 48 X 1201101110SW736-5000PRECISION WHITE 43 X 145</v>
      </c>
      <c r="J3298" s="7">
        <f>COUNTIF(Paper_Reference[Duplicate Key],Paper_Reference[[#This Row],[Duplicate Key]])</f>
        <v>1</v>
      </c>
    </row>
    <row r="3299" spans="1:10">
      <c r="A3299" s="7">
        <v>2</v>
      </c>
      <c r="B3299" s="8" t="s">
        <v>3487</v>
      </c>
      <c r="C3299" s="8" t="s">
        <v>3240</v>
      </c>
      <c r="D3299" s="7">
        <v>1</v>
      </c>
      <c r="E3299" s="7">
        <v>10</v>
      </c>
      <c r="F3299" s="7">
        <v>1</v>
      </c>
      <c r="G3299" s="8" t="s">
        <v>3230</v>
      </c>
      <c r="H3299" s="8" t="s">
        <v>3231</v>
      </c>
      <c r="I3299" s="7" t="str">
        <f>_xlfn.CONCAT(Paper_Reference[[#This Row],[Lvl]:[Paper Description]])</f>
        <v>2JDGIFOSSH4801FOSSIL D/G 48 X 961101110SW736-5000PRECISION WHITE 43 X 145</v>
      </c>
      <c r="J3299" s="7">
        <f>COUNTIF(Paper_Reference[Duplicate Key],Paper_Reference[[#This Row],[Duplicate Key]])</f>
        <v>1</v>
      </c>
    </row>
    <row r="3300" spans="1:10">
      <c r="A3300" s="7">
        <v>2</v>
      </c>
      <c r="B3300" s="8" t="s">
        <v>3960</v>
      </c>
      <c r="C3300" s="8" t="s">
        <v>3768</v>
      </c>
      <c r="D3300" s="7">
        <v>1</v>
      </c>
      <c r="E3300" s="7">
        <v>10</v>
      </c>
      <c r="F3300" s="7">
        <v>1</v>
      </c>
      <c r="G3300" s="8" t="s">
        <v>3826</v>
      </c>
      <c r="H3300" s="8" t="s">
        <v>3827</v>
      </c>
      <c r="I3300" s="7" t="str">
        <f>_xlfn.CONCAT(Paper_Reference[[#This Row],[Lvl]:[Paper Description]])</f>
        <v>2JDGIFOSSH5201FOSSIL D/G 60 X 1441101110SW736-6200PRECISION WHITE 62"</v>
      </c>
      <c r="J3300" s="7">
        <f>COUNTIF(Paper_Reference[Duplicate Key],Paper_Reference[[#This Row],[Duplicate Key]])</f>
        <v>1</v>
      </c>
    </row>
    <row r="3301" spans="1:10">
      <c r="A3301" s="7">
        <v>2</v>
      </c>
      <c r="B3301" s="8" t="s">
        <v>3960</v>
      </c>
      <c r="C3301" s="8" t="s">
        <v>3768</v>
      </c>
      <c r="D3301" s="7">
        <v>1</v>
      </c>
      <c r="E3301" s="7">
        <v>40</v>
      </c>
      <c r="F3301" s="7">
        <v>2</v>
      </c>
      <c r="G3301" s="8" t="s">
        <v>4371</v>
      </c>
      <c r="H3301" s="8" t="s">
        <v>4372</v>
      </c>
      <c r="I3301" s="7" t="str">
        <f>_xlfn.CONCAT(Paper_Reference[[#This Row],[Lvl]:[Paper Description]])</f>
        <v>2JDGIFOSSH5201FOSSIL D/G 60 X 1441402100DS064-6200BLACK</v>
      </c>
      <c r="J3301" s="7">
        <f>COUNTIF(Paper_Reference[Duplicate Key],Paper_Reference[[#This Row],[Duplicate Key]])</f>
        <v>1</v>
      </c>
    </row>
    <row r="3302" spans="1:10">
      <c r="A3302" s="7">
        <v>2</v>
      </c>
      <c r="B3302" s="8" t="s">
        <v>3488</v>
      </c>
      <c r="C3302" s="8" t="s">
        <v>3241</v>
      </c>
      <c r="D3302" s="7">
        <v>1</v>
      </c>
      <c r="E3302" s="7">
        <v>10</v>
      </c>
      <c r="F3302" s="7">
        <v>1</v>
      </c>
      <c r="G3302" s="8" t="s">
        <v>3230</v>
      </c>
      <c r="H3302" s="8" t="s">
        <v>3231</v>
      </c>
      <c r="I3302" s="7" t="str">
        <f>_xlfn.CONCAT(Paper_Reference[[#This Row],[Lvl]:[Paper Description]])</f>
        <v>2JDGIFOSSPV4001FOSSIL D/G 48 X 1201101110SW736-5000PRECISION WHITE 43 X 145</v>
      </c>
      <c r="J3302" s="7">
        <f>COUNTIF(Paper_Reference[Duplicate Key],Paper_Reference[[#This Row],[Duplicate Key]])</f>
        <v>1</v>
      </c>
    </row>
    <row r="3303" spans="1:10">
      <c r="A3303" s="7">
        <v>2</v>
      </c>
      <c r="B3303" s="8" t="s">
        <v>3489</v>
      </c>
      <c r="C3303" s="8" t="s">
        <v>3240</v>
      </c>
      <c r="D3303" s="7">
        <v>1</v>
      </c>
      <c r="E3303" s="7">
        <v>10</v>
      </c>
      <c r="F3303" s="7">
        <v>1</v>
      </c>
      <c r="G3303" s="8" t="s">
        <v>3230</v>
      </c>
      <c r="H3303" s="8" t="s">
        <v>3231</v>
      </c>
      <c r="I3303" s="7" t="str">
        <f>_xlfn.CONCAT(Paper_Reference[[#This Row],[Lvl]:[Paper Description]])</f>
        <v>2JDGIFOSSPV4801FOSSIL D/G 48 X 961101110SW736-5000PRECISION WHITE 43 X 145</v>
      </c>
      <c r="J3303" s="7">
        <f>COUNTIF(Paper_Reference[Duplicate Key],Paper_Reference[[#This Row],[Duplicate Key]])</f>
        <v>1</v>
      </c>
    </row>
    <row r="3304" spans="1:10">
      <c r="A3304" s="7">
        <v>2</v>
      </c>
      <c r="B3304" s="8" t="s">
        <v>3961</v>
      </c>
      <c r="C3304" s="8" t="s">
        <v>3768</v>
      </c>
      <c r="D3304" s="7">
        <v>1</v>
      </c>
      <c r="E3304" s="7">
        <v>10</v>
      </c>
      <c r="F3304" s="7">
        <v>1</v>
      </c>
      <c r="G3304" s="8" t="s">
        <v>3826</v>
      </c>
      <c r="H3304" s="8" t="s">
        <v>3827</v>
      </c>
      <c r="I3304" s="7" t="str">
        <f>_xlfn.CONCAT(Paper_Reference[[#This Row],[Lvl]:[Paper Description]])</f>
        <v>2JDGIFOSSPV5201FOSSIL D/G 60 X 1441101110SW736-6200PRECISION WHITE 62"</v>
      </c>
      <c r="J3304" s="7">
        <f>COUNTIF(Paper_Reference[Duplicate Key],Paper_Reference[[#This Row],[Duplicate Key]])</f>
        <v>1</v>
      </c>
    </row>
    <row r="3305" spans="1:10">
      <c r="A3305" s="7">
        <v>2</v>
      </c>
      <c r="B3305" s="8" t="s">
        <v>3961</v>
      </c>
      <c r="C3305" s="8" t="s">
        <v>3768</v>
      </c>
      <c r="D3305" s="7">
        <v>1</v>
      </c>
      <c r="E3305" s="7">
        <v>40</v>
      </c>
      <c r="F3305" s="7">
        <v>2</v>
      </c>
      <c r="G3305" s="8" t="s">
        <v>4371</v>
      </c>
      <c r="H3305" s="8" t="s">
        <v>4372</v>
      </c>
      <c r="I3305" s="7" t="str">
        <f>_xlfn.CONCAT(Paper_Reference[[#This Row],[Lvl]:[Paper Description]])</f>
        <v>2JDGIFOSSPV5201FOSSIL D/G 60 X 1441402100DS064-6200BLACK</v>
      </c>
      <c r="J3305" s="7">
        <f>COUNTIF(Paper_Reference[Duplicate Key],Paper_Reference[[#This Row],[Duplicate Key]])</f>
        <v>1</v>
      </c>
    </row>
    <row r="3306" spans="1:10">
      <c r="A3306" s="7">
        <v>2</v>
      </c>
      <c r="B3306" s="8" t="s">
        <v>7789</v>
      </c>
      <c r="C3306" s="8" t="s">
        <v>7023</v>
      </c>
      <c r="D3306" s="7">
        <v>1</v>
      </c>
      <c r="E3306" s="7">
        <v>10</v>
      </c>
      <c r="F3306" s="7">
        <v>2</v>
      </c>
      <c r="G3306" s="8" t="s">
        <v>6710</v>
      </c>
      <c r="H3306" s="8" t="s">
        <v>5691</v>
      </c>
      <c r="I3306" s="7" t="str">
        <f>_xlfn.CONCAT(Paper_Reference[[#This Row],[Lvl]:[Paper Description]])</f>
        <v>2JDIISPECN480SPRCTRALITE D/G 48 X 961102100DS009-5000FROSTY WHITE</v>
      </c>
      <c r="J3306" s="7">
        <f>COUNTIF(Paper_Reference[Duplicate Key],Paper_Reference[[#This Row],[Duplicate Key]])</f>
        <v>1</v>
      </c>
    </row>
    <row r="3307" spans="1:10">
      <c r="A3307" s="7">
        <v>2</v>
      </c>
      <c r="B3307" s="8" t="s">
        <v>3490</v>
      </c>
      <c r="C3307" s="8" t="s">
        <v>3240</v>
      </c>
      <c r="D3307" s="7">
        <v>1</v>
      </c>
      <c r="E3307" s="7">
        <v>10</v>
      </c>
      <c r="F3307" s="7">
        <v>3</v>
      </c>
      <c r="G3307" s="8" t="s">
        <v>3230</v>
      </c>
      <c r="H3307" s="8" t="s">
        <v>3231</v>
      </c>
      <c r="I3307" s="7" t="str">
        <f>_xlfn.CONCAT(Paper_Reference[[#This Row],[Lvl]:[Paper Description]])</f>
        <v>2JDJIFOSBS4801FOSSIL D/G 48 X 961103110SW736-5000PRECISION WHITE 43 X 145</v>
      </c>
      <c r="J3307" s="7">
        <f>COUNTIF(Paper_Reference[Duplicate Key],Paper_Reference[[#This Row],[Duplicate Key]])</f>
        <v>1</v>
      </c>
    </row>
    <row r="3308" spans="1:10">
      <c r="A3308" s="7">
        <v>2</v>
      </c>
      <c r="B3308" s="8" t="s">
        <v>3491</v>
      </c>
      <c r="C3308" s="8" t="s">
        <v>3241</v>
      </c>
      <c r="D3308" s="7">
        <v>1</v>
      </c>
      <c r="E3308" s="7">
        <v>10</v>
      </c>
      <c r="F3308" s="7">
        <v>1</v>
      </c>
      <c r="G3308" s="8" t="s">
        <v>3230</v>
      </c>
      <c r="H3308" s="8" t="s">
        <v>3231</v>
      </c>
      <c r="I3308" s="7" t="str">
        <f>_xlfn.CONCAT(Paper_Reference[[#This Row],[Lvl]:[Paper Description]])</f>
        <v>2JDJIFOSSH4001FOSSIL D/G 48 X 1201101110SW736-5000PRECISION WHITE 43 X 145</v>
      </c>
      <c r="J3308" s="7">
        <f>COUNTIF(Paper_Reference[Duplicate Key],Paper_Reference[[#This Row],[Duplicate Key]])</f>
        <v>1</v>
      </c>
    </row>
    <row r="3309" spans="1:10">
      <c r="A3309" s="7">
        <v>2</v>
      </c>
      <c r="B3309" s="8" t="s">
        <v>3492</v>
      </c>
      <c r="C3309" s="8" t="s">
        <v>3239</v>
      </c>
      <c r="D3309" s="7">
        <v>1</v>
      </c>
      <c r="E3309" s="7">
        <v>10</v>
      </c>
      <c r="F3309" s="7">
        <v>1</v>
      </c>
      <c r="G3309" s="8" t="s">
        <v>3230</v>
      </c>
      <c r="H3309" s="8" t="s">
        <v>3231</v>
      </c>
      <c r="I3309" s="7" t="str">
        <f>_xlfn.CONCAT(Paper_Reference[[#This Row],[Lvl]:[Paper Description]])</f>
        <v>2JDJIFOSSH4201FOSSIL D/G 48 X 1441101110SW736-5000PRECISION WHITE 43 X 145</v>
      </c>
      <c r="J3309" s="7">
        <f>COUNTIF(Paper_Reference[Duplicate Key],Paper_Reference[[#This Row],[Duplicate Key]])</f>
        <v>1</v>
      </c>
    </row>
    <row r="3310" spans="1:10">
      <c r="A3310" s="7">
        <v>2</v>
      </c>
      <c r="B3310" s="8" t="s">
        <v>3493</v>
      </c>
      <c r="C3310" s="8" t="s">
        <v>3240</v>
      </c>
      <c r="D3310" s="7">
        <v>1</v>
      </c>
      <c r="E3310" s="7">
        <v>10</v>
      </c>
      <c r="F3310" s="7">
        <v>1</v>
      </c>
      <c r="G3310" s="8" t="s">
        <v>3230</v>
      </c>
      <c r="H3310" s="8" t="s">
        <v>3231</v>
      </c>
      <c r="I3310" s="7" t="str">
        <f>_xlfn.CONCAT(Paper_Reference[[#This Row],[Lvl]:[Paper Description]])</f>
        <v>2JDJIFOSSH4801FOSSIL D/G 48 X 961101110SW736-5000PRECISION WHITE 43 X 145</v>
      </c>
      <c r="J3310" s="7">
        <f>COUNTIF(Paper_Reference[Duplicate Key],Paper_Reference[[#This Row],[Duplicate Key]])</f>
        <v>1</v>
      </c>
    </row>
    <row r="3311" spans="1:10">
      <c r="A3311" s="7">
        <v>2</v>
      </c>
      <c r="B3311" s="8" t="s">
        <v>3962</v>
      </c>
      <c r="C3311" s="8" t="s">
        <v>3767</v>
      </c>
      <c r="D3311" s="7">
        <v>1</v>
      </c>
      <c r="E3311" s="7">
        <v>10</v>
      </c>
      <c r="F3311" s="7">
        <v>1</v>
      </c>
      <c r="G3311" s="8" t="s">
        <v>3826</v>
      </c>
      <c r="H3311" s="8" t="s">
        <v>3827</v>
      </c>
      <c r="I3311" s="7" t="str">
        <f>_xlfn.CONCAT(Paper_Reference[[#This Row],[Lvl]:[Paper Description]])</f>
        <v>2JDJIFOSSH5001FOSSIL D/G 60 X 1201101110SW736-6200PRECISION WHITE 62"</v>
      </c>
      <c r="J3311" s="7">
        <f>COUNTIF(Paper_Reference[Duplicate Key],Paper_Reference[[#This Row],[Duplicate Key]])</f>
        <v>1</v>
      </c>
    </row>
    <row r="3312" spans="1:10">
      <c r="A3312" s="7">
        <v>2</v>
      </c>
      <c r="B3312" s="8" t="s">
        <v>3962</v>
      </c>
      <c r="C3312" s="8" t="s">
        <v>3767</v>
      </c>
      <c r="D3312" s="7">
        <v>1</v>
      </c>
      <c r="E3312" s="7">
        <v>40</v>
      </c>
      <c r="F3312" s="7">
        <v>2</v>
      </c>
      <c r="G3312" s="8" t="s">
        <v>4371</v>
      </c>
      <c r="H3312" s="8" t="s">
        <v>4372</v>
      </c>
      <c r="I3312" s="7" t="str">
        <f>_xlfn.CONCAT(Paper_Reference[[#This Row],[Lvl]:[Paper Description]])</f>
        <v>2JDJIFOSSH5001FOSSIL D/G 60 X 1201402100DS064-6200BLACK</v>
      </c>
      <c r="J3312" s="7">
        <f>COUNTIF(Paper_Reference[Duplicate Key],Paper_Reference[[#This Row],[Duplicate Key]])</f>
        <v>1</v>
      </c>
    </row>
    <row r="3313" spans="1:10">
      <c r="A3313" s="7">
        <v>2</v>
      </c>
      <c r="B3313" s="8" t="s">
        <v>3963</v>
      </c>
      <c r="C3313" s="8" t="s">
        <v>3768</v>
      </c>
      <c r="D3313" s="7">
        <v>1</v>
      </c>
      <c r="E3313" s="7">
        <v>10</v>
      </c>
      <c r="F3313" s="7">
        <v>1</v>
      </c>
      <c r="G3313" s="8" t="s">
        <v>3826</v>
      </c>
      <c r="H3313" s="8" t="s">
        <v>3827</v>
      </c>
      <c r="I3313" s="7" t="str">
        <f>_xlfn.CONCAT(Paper_Reference[[#This Row],[Lvl]:[Paper Description]])</f>
        <v>2JDJIFOSSH5201FOSSIL D/G 60 X 1441101110SW736-6200PRECISION WHITE 62"</v>
      </c>
      <c r="J3313" s="7">
        <f>COUNTIF(Paper_Reference[Duplicate Key],Paper_Reference[[#This Row],[Duplicate Key]])</f>
        <v>1</v>
      </c>
    </row>
    <row r="3314" spans="1:10">
      <c r="A3314" s="7">
        <v>2</v>
      </c>
      <c r="B3314" s="8" t="s">
        <v>3963</v>
      </c>
      <c r="C3314" s="8" t="s">
        <v>3768</v>
      </c>
      <c r="D3314" s="7">
        <v>1</v>
      </c>
      <c r="E3314" s="7">
        <v>40</v>
      </c>
      <c r="F3314" s="7">
        <v>2</v>
      </c>
      <c r="G3314" s="8" t="s">
        <v>4371</v>
      </c>
      <c r="H3314" s="8" t="s">
        <v>4372</v>
      </c>
      <c r="I3314" s="7" t="str">
        <f>_xlfn.CONCAT(Paper_Reference[[#This Row],[Lvl]:[Paper Description]])</f>
        <v>2JDJIFOSSH5201FOSSIL D/G 60 X 1441402100DS064-6200BLACK</v>
      </c>
      <c r="J3314" s="7">
        <f>COUNTIF(Paper_Reference[Duplicate Key],Paper_Reference[[#This Row],[Duplicate Key]])</f>
        <v>1</v>
      </c>
    </row>
    <row r="3315" spans="1:10">
      <c r="A3315" s="7">
        <v>2</v>
      </c>
      <c r="B3315" s="8" t="s">
        <v>3964</v>
      </c>
      <c r="C3315" s="8" t="s">
        <v>3769</v>
      </c>
      <c r="D3315" s="7">
        <v>1</v>
      </c>
      <c r="E3315" s="7">
        <v>10</v>
      </c>
      <c r="F3315" s="7">
        <v>1</v>
      </c>
      <c r="G3315" s="8" t="s">
        <v>3826</v>
      </c>
      <c r="H3315" s="8" t="s">
        <v>3827</v>
      </c>
      <c r="I3315" s="7" t="str">
        <f>_xlfn.CONCAT(Paper_Reference[[#This Row],[Lvl]:[Paper Description]])</f>
        <v>2JDJIFOSSH5801FOSSIL D/G 60 X 961101110SW736-6200PRECISION WHITE 62"</v>
      </c>
      <c r="J3315" s="7">
        <f>COUNTIF(Paper_Reference[Duplicate Key],Paper_Reference[[#This Row],[Duplicate Key]])</f>
        <v>1</v>
      </c>
    </row>
    <row r="3316" spans="1:10">
      <c r="A3316" s="7">
        <v>2</v>
      </c>
      <c r="B3316" s="8" t="s">
        <v>3964</v>
      </c>
      <c r="C3316" s="8" t="s">
        <v>3769</v>
      </c>
      <c r="D3316" s="7">
        <v>1</v>
      </c>
      <c r="E3316" s="7">
        <v>40</v>
      </c>
      <c r="F3316" s="7">
        <v>2</v>
      </c>
      <c r="G3316" s="8" t="s">
        <v>4371</v>
      </c>
      <c r="H3316" s="8" t="s">
        <v>4372</v>
      </c>
      <c r="I3316" s="7" t="str">
        <f>_xlfn.CONCAT(Paper_Reference[[#This Row],[Lvl]:[Paper Description]])</f>
        <v>2JDJIFOSSH5801FOSSIL D/G 60 X 961402100DS064-6200BLACK</v>
      </c>
      <c r="J3316" s="7">
        <f>COUNTIF(Paper_Reference[Duplicate Key],Paper_Reference[[#This Row],[Duplicate Key]])</f>
        <v>1</v>
      </c>
    </row>
    <row r="3317" spans="1:10">
      <c r="A3317" s="7">
        <v>2</v>
      </c>
      <c r="B3317" s="8" t="s">
        <v>3494</v>
      </c>
      <c r="C3317" s="8" t="s">
        <v>3240</v>
      </c>
      <c r="D3317" s="7">
        <v>1</v>
      </c>
      <c r="E3317" s="7">
        <v>10</v>
      </c>
      <c r="F3317" s="7">
        <v>1</v>
      </c>
      <c r="G3317" s="8" t="s">
        <v>3230</v>
      </c>
      <c r="H3317" s="8" t="s">
        <v>3231</v>
      </c>
      <c r="I3317" s="7" t="str">
        <f>_xlfn.CONCAT(Paper_Reference[[#This Row],[Lvl]:[Paper Description]])</f>
        <v>2JDJIFOSSLS4801FOSSIL D/G 48 X 961101110SW736-5000PRECISION WHITE 43 X 145</v>
      </c>
      <c r="J3317" s="7">
        <f>COUNTIF(Paper_Reference[Duplicate Key],Paper_Reference[[#This Row],[Duplicate Key]])</f>
        <v>1</v>
      </c>
    </row>
    <row r="3318" spans="1:10">
      <c r="A3318" s="7">
        <v>2</v>
      </c>
      <c r="B3318" s="8" t="s">
        <v>3495</v>
      </c>
      <c r="C3318" s="8" t="s">
        <v>3240</v>
      </c>
      <c r="D3318" s="7">
        <v>1</v>
      </c>
      <c r="E3318" s="7">
        <v>10</v>
      </c>
      <c r="F3318" s="7">
        <v>1</v>
      </c>
      <c r="G3318" s="8" t="s">
        <v>3230</v>
      </c>
      <c r="H3318" s="8" t="s">
        <v>3231</v>
      </c>
      <c r="I3318" s="7" t="str">
        <f>_xlfn.CONCAT(Paper_Reference[[#This Row],[Lvl]:[Paper Description]])</f>
        <v>2JDJIFOSSPV4801FOSSIL D/G 48 X 961101110SW736-5000PRECISION WHITE 43 X 145</v>
      </c>
      <c r="J3318" s="7">
        <f>COUNTIF(Paper_Reference[Duplicate Key],Paper_Reference[[#This Row],[Duplicate Key]])</f>
        <v>1</v>
      </c>
    </row>
    <row r="3319" spans="1:10">
      <c r="A3319" s="7">
        <v>2</v>
      </c>
      <c r="B3319" s="8" t="s">
        <v>3965</v>
      </c>
      <c r="C3319" s="8" t="s">
        <v>3768</v>
      </c>
      <c r="D3319" s="7">
        <v>1</v>
      </c>
      <c r="E3319" s="7">
        <v>10</v>
      </c>
      <c r="F3319" s="7">
        <v>1</v>
      </c>
      <c r="G3319" s="8" t="s">
        <v>3826</v>
      </c>
      <c r="H3319" s="8" t="s">
        <v>3827</v>
      </c>
      <c r="I3319" s="7" t="str">
        <f>_xlfn.CONCAT(Paper_Reference[[#This Row],[Lvl]:[Paper Description]])</f>
        <v>2JDJIFOSSPV5201FOSSIL D/G 60 X 1441101110SW736-6200PRECISION WHITE 62"</v>
      </c>
      <c r="J3319" s="7">
        <f>COUNTIF(Paper_Reference[Duplicate Key],Paper_Reference[[#This Row],[Duplicate Key]])</f>
        <v>1</v>
      </c>
    </row>
    <row r="3320" spans="1:10">
      <c r="A3320" s="7">
        <v>2</v>
      </c>
      <c r="B3320" s="8" t="s">
        <v>3965</v>
      </c>
      <c r="C3320" s="8" t="s">
        <v>3768</v>
      </c>
      <c r="D3320" s="7">
        <v>1</v>
      </c>
      <c r="E3320" s="7">
        <v>40</v>
      </c>
      <c r="F3320" s="7">
        <v>2</v>
      </c>
      <c r="G3320" s="8" t="s">
        <v>4371</v>
      </c>
      <c r="H3320" s="8" t="s">
        <v>4372</v>
      </c>
      <c r="I3320" s="7" t="str">
        <f>_xlfn.CONCAT(Paper_Reference[[#This Row],[Lvl]:[Paper Description]])</f>
        <v>2JDJIFOSSPV5201FOSSIL D/G 60 X 1441402100DS064-6200BLACK</v>
      </c>
      <c r="J3320" s="7">
        <f>COUNTIF(Paper_Reference[Duplicate Key],Paper_Reference[[#This Row],[Duplicate Key]])</f>
        <v>1</v>
      </c>
    </row>
    <row r="3321" spans="1:10">
      <c r="A3321" s="7">
        <v>2</v>
      </c>
      <c r="B3321" s="8" t="s">
        <v>3496</v>
      </c>
      <c r="C3321" s="8" t="s">
        <v>3241</v>
      </c>
      <c r="D3321" s="7">
        <v>1</v>
      </c>
      <c r="E3321" s="7">
        <v>10</v>
      </c>
      <c r="F3321" s="7">
        <v>1</v>
      </c>
      <c r="G3321" s="8" t="s">
        <v>3230</v>
      </c>
      <c r="H3321" s="8" t="s">
        <v>3231</v>
      </c>
      <c r="I3321" s="7" t="str">
        <f>_xlfn.CONCAT(Paper_Reference[[#This Row],[Lvl]:[Paper Description]])</f>
        <v>2JDJIFOSSS4001FOSSIL D/G 48 X 1201101110SW736-5000PRECISION WHITE 43 X 145</v>
      </c>
      <c r="J3321" s="7">
        <f>COUNTIF(Paper_Reference[Duplicate Key],Paper_Reference[[#This Row],[Duplicate Key]])</f>
        <v>1</v>
      </c>
    </row>
    <row r="3322" spans="1:10">
      <c r="A3322" s="7">
        <v>2</v>
      </c>
      <c r="B3322" s="8" t="s">
        <v>3497</v>
      </c>
      <c r="C3322" s="8" t="s">
        <v>3240</v>
      </c>
      <c r="D3322" s="7">
        <v>1</v>
      </c>
      <c r="E3322" s="7">
        <v>10</v>
      </c>
      <c r="F3322" s="7">
        <v>1</v>
      </c>
      <c r="G3322" s="8" t="s">
        <v>3230</v>
      </c>
      <c r="H3322" s="8" t="s">
        <v>3231</v>
      </c>
      <c r="I3322" s="7" t="str">
        <f>_xlfn.CONCAT(Paper_Reference[[#This Row],[Lvl]:[Paper Description]])</f>
        <v>2JDJIFOSSS4801FOSSIL D/G 48 X 961101110SW736-5000PRECISION WHITE 43 X 145</v>
      </c>
      <c r="J3322" s="7">
        <f>COUNTIF(Paper_Reference[Duplicate Key],Paper_Reference[[#This Row],[Duplicate Key]])</f>
        <v>1</v>
      </c>
    </row>
    <row r="3323" spans="1:10">
      <c r="A3323" s="7">
        <v>2</v>
      </c>
      <c r="B3323" s="8" t="s">
        <v>3966</v>
      </c>
      <c r="C3323" s="8" t="s">
        <v>3767</v>
      </c>
      <c r="D3323" s="7">
        <v>1</v>
      </c>
      <c r="E3323" s="7">
        <v>10</v>
      </c>
      <c r="F3323" s="7">
        <v>1</v>
      </c>
      <c r="G3323" s="8" t="s">
        <v>3826</v>
      </c>
      <c r="H3323" s="8" t="s">
        <v>3827</v>
      </c>
      <c r="I3323" s="7" t="str">
        <f>_xlfn.CONCAT(Paper_Reference[[#This Row],[Lvl]:[Paper Description]])</f>
        <v>2JDJIFOSSS5001FOSSIL D/G 60 X 1201101110SW736-6200PRECISION WHITE 62"</v>
      </c>
      <c r="J3323" s="7">
        <f>COUNTIF(Paper_Reference[Duplicate Key],Paper_Reference[[#This Row],[Duplicate Key]])</f>
        <v>1</v>
      </c>
    </row>
    <row r="3324" spans="1:10">
      <c r="A3324" s="7">
        <v>2</v>
      </c>
      <c r="B3324" s="8" t="s">
        <v>3966</v>
      </c>
      <c r="C3324" s="8" t="s">
        <v>3767</v>
      </c>
      <c r="D3324" s="7">
        <v>1</v>
      </c>
      <c r="E3324" s="7">
        <v>40</v>
      </c>
      <c r="F3324" s="7">
        <v>2</v>
      </c>
      <c r="G3324" s="8" t="s">
        <v>4371</v>
      </c>
      <c r="H3324" s="8" t="s">
        <v>4372</v>
      </c>
      <c r="I3324" s="7" t="str">
        <f>_xlfn.CONCAT(Paper_Reference[[#This Row],[Lvl]:[Paper Description]])</f>
        <v>2JDJIFOSSS5001FOSSIL D/G 60 X 1201402100DS064-6200BLACK</v>
      </c>
      <c r="J3324" s="7">
        <f>COUNTIF(Paper_Reference[Duplicate Key],Paper_Reference[[#This Row],[Duplicate Key]])</f>
        <v>1</v>
      </c>
    </row>
    <row r="3325" spans="1:10">
      <c r="A3325" s="7">
        <v>2</v>
      </c>
      <c r="B3325" s="8" t="s">
        <v>3967</v>
      </c>
      <c r="C3325" s="8" t="s">
        <v>3768</v>
      </c>
      <c r="D3325" s="7">
        <v>1</v>
      </c>
      <c r="E3325" s="7">
        <v>10</v>
      </c>
      <c r="F3325" s="7">
        <v>1</v>
      </c>
      <c r="G3325" s="8" t="s">
        <v>3826</v>
      </c>
      <c r="H3325" s="8" t="s">
        <v>3827</v>
      </c>
      <c r="I3325" s="7" t="str">
        <f>_xlfn.CONCAT(Paper_Reference[[#This Row],[Lvl]:[Paper Description]])</f>
        <v>2JDJIFOSSS5201FOSSIL D/G 60 X 1441101110SW736-6200PRECISION WHITE 62"</v>
      </c>
      <c r="J3325" s="7">
        <f>COUNTIF(Paper_Reference[Duplicate Key],Paper_Reference[[#This Row],[Duplicate Key]])</f>
        <v>1</v>
      </c>
    </row>
    <row r="3326" spans="1:10">
      <c r="A3326" s="7">
        <v>2</v>
      </c>
      <c r="B3326" s="8" t="s">
        <v>3967</v>
      </c>
      <c r="C3326" s="8" t="s">
        <v>3768</v>
      </c>
      <c r="D3326" s="7">
        <v>1</v>
      </c>
      <c r="E3326" s="7">
        <v>40</v>
      </c>
      <c r="F3326" s="7">
        <v>2</v>
      </c>
      <c r="G3326" s="8" t="s">
        <v>4371</v>
      </c>
      <c r="H3326" s="8" t="s">
        <v>4372</v>
      </c>
      <c r="I3326" s="7" t="str">
        <f>_xlfn.CONCAT(Paper_Reference[[#This Row],[Lvl]:[Paper Description]])</f>
        <v>2JDJIFOSSS5201FOSSIL D/G 60 X 1441402100DS064-6200BLACK</v>
      </c>
      <c r="J3326" s="7">
        <f>COUNTIF(Paper_Reference[Duplicate Key],Paper_Reference[[#This Row],[Duplicate Key]])</f>
        <v>1</v>
      </c>
    </row>
    <row r="3327" spans="1:10">
      <c r="A3327" s="7">
        <v>2</v>
      </c>
      <c r="B3327" s="8" t="s">
        <v>3968</v>
      </c>
      <c r="C3327" s="8" t="s">
        <v>3769</v>
      </c>
      <c r="D3327" s="7">
        <v>1</v>
      </c>
      <c r="E3327" s="7">
        <v>10</v>
      </c>
      <c r="F3327" s="7">
        <v>1</v>
      </c>
      <c r="G3327" s="8" t="s">
        <v>3826</v>
      </c>
      <c r="H3327" s="8" t="s">
        <v>3827</v>
      </c>
      <c r="I3327" s="7" t="str">
        <f>_xlfn.CONCAT(Paper_Reference[[#This Row],[Lvl]:[Paper Description]])</f>
        <v>2JDJIFOSSS5801FOSSIL D/G 60 X 961101110SW736-6200PRECISION WHITE 62"</v>
      </c>
      <c r="J3327" s="7">
        <f>COUNTIF(Paper_Reference[Duplicate Key],Paper_Reference[[#This Row],[Duplicate Key]])</f>
        <v>1</v>
      </c>
    </row>
    <row r="3328" spans="1:10">
      <c r="A3328" s="7">
        <v>2</v>
      </c>
      <c r="B3328" s="8" t="s">
        <v>3968</v>
      </c>
      <c r="C3328" s="8" t="s">
        <v>3769</v>
      </c>
      <c r="D3328" s="7">
        <v>1</v>
      </c>
      <c r="E3328" s="7">
        <v>40</v>
      </c>
      <c r="F3328" s="7">
        <v>2</v>
      </c>
      <c r="G3328" s="8" t="s">
        <v>4371</v>
      </c>
      <c r="H3328" s="8" t="s">
        <v>4372</v>
      </c>
      <c r="I3328" s="7" t="str">
        <f>_xlfn.CONCAT(Paper_Reference[[#This Row],[Lvl]:[Paper Description]])</f>
        <v>2JDJIFOSSS5801FOSSIL D/G 60 X 961402100DS064-6200BLACK</v>
      </c>
      <c r="J3328" s="7">
        <f>COUNTIF(Paper_Reference[Duplicate Key],Paper_Reference[[#This Row],[Duplicate Key]])</f>
        <v>1</v>
      </c>
    </row>
    <row r="3329" spans="1:10">
      <c r="A3329" s="7">
        <v>2</v>
      </c>
      <c r="B3329" s="8" t="s">
        <v>7791</v>
      </c>
      <c r="C3329" s="8" t="s">
        <v>7008</v>
      </c>
      <c r="D3329" s="7">
        <v>1</v>
      </c>
      <c r="E3329" s="7">
        <v>10</v>
      </c>
      <c r="F3329" s="7">
        <v>1</v>
      </c>
      <c r="G3329" s="8" t="s">
        <v>6710</v>
      </c>
      <c r="H3329" s="8" t="s">
        <v>5691</v>
      </c>
      <c r="I3329" s="7" t="str">
        <f>_xlfn.CONCAT(Paper_Reference[[#This Row],[Lvl]:[Paper Description]])</f>
        <v>2JDJISPE2D480SPECTRALITE BB D/G 48 X 961101100DS009-5000FROSTY WHITE</v>
      </c>
      <c r="J3329" s="7">
        <f>COUNTIF(Paper_Reference[Duplicate Key],Paper_Reference[[#This Row],[Duplicate Key]])</f>
        <v>1</v>
      </c>
    </row>
    <row r="3330" spans="1:10">
      <c r="A3330" s="7">
        <v>2</v>
      </c>
      <c r="B3330" s="8" t="s">
        <v>7790</v>
      </c>
      <c r="C3330" s="8" t="s">
        <v>7008</v>
      </c>
      <c r="D3330" s="7">
        <v>1</v>
      </c>
      <c r="E3330" s="7">
        <v>10</v>
      </c>
      <c r="F3330" s="7">
        <v>1</v>
      </c>
      <c r="G3330" s="8" t="s">
        <v>6710</v>
      </c>
      <c r="H3330" s="8" t="s">
        <v>5691</v>
      </c>
      <c r="I3330" s="7" t="str">
        <f>_xlfn.CONCAT(Paper_Reference[[#This Row],[Lvl]:[Paper Description]])</f>
        <v>2JDJISPE2D4801SPECTRALITE BB D/G 48 X 961101100DS009-5000FROSTY WHITE</v>
      </c>
      <c r="J3330" s="7">
        <f>COUNTIF(Paper_Reference[Duplicate Key],Paper_Reference[[#This Row],[Duplicate Key]])</f>
        <v>1</v>
      </c>
    </row>
    <row r="3331" spans="1:10">
      <c r="A3331" s="7">
        <v>2</v>
      </c>
      <c r="B3331" s="8" t="s">
        <v>3498</v>
      </c>
      <c r="C3331" s="8" t="s">
        <v>3241</v>
      </c>
      <c r="D3331" s="7">
        <v>1</v>
      </c>
      <c r="E3331" s="7">
        <v>10</v>
      </c>
      <c r="F3331" s="7">
        <v>1</v>
      </c>
      <c r="G3331" s="8" t="s">
        <v>3230</v>
      </c>
      <c r="H3331" s="8" t="s">
        <v>3231</v>
      </c>
      <c r="I3331" s="7" t="str">
        <f>_xlfn.CONCAT(Paper_Reference[[#This Row],[Lvl]:[Paper Description]])</f>
        <v>2JDKIFOSSS4001FOSSIL D/G 48 X 1201101110SW736-5000PRECISION WHITE 43 X 145</v>
      </c>
      <c r="J3331" s="7">
        <f>COUNTIF(Paper_Reference[Duplicate Key],Paper_Reference[[#This Row],[Duplicate Key]])</f>
        <v>1</v>
      </c>
    </row>
    <row r="3332" spans="1:10">
      <c r="A3332" s="7">
        <v>2</v>
      </c>
      <c r="B3332" s="8" t="s">
        <v>3499</v>
      </c>
      <c r="C3332" s="8" t="s">
        <v>3239</v>
      </c>
      <c r="D3332" s="7">
        <v>1</v>
      </c>
      <c r="E3332" s="7">
        <v>10</v>
      </c>
      <c r="F3332" s="7">
        <v>1</v>
      </c>
      <c r="G3332" s="8" t="s">
        <v>3230</v>
      </c>
      <c r="H3332" s="8" t="s">
        <v>3231</v>
      </c>
      <c r="I3332" s="7" t="str">
        <f>_xlfn.CONCAT(Paper_Reference[[#This Row],[Lvl]:[Paper Description]])</f>
        <v>2JDKIFOSSS4201FOSSIL D/G 48 X 1441101110SW736-5000PRECISION WHITE 43 X 145</v>
      </c>
      <c r="J3332" s="7">
        <f>COUNTIF(Paper_Reference[Duplicate Key],Paper_Reference[[#This Row],[Duplicate Key]])</f>
        <v>1</v>
      </c>
    </row>
    <row r="3333" spans="1:10">
      <c r="A3333" s="7">
        <v>2</v>
      </c>
      <c r="B3333" s="8" t="s">
        <v>3500</v>
      </c>
      <c r="C3333" s="8" t="s">
        <v>3240</v>
      </c>
      <c r="D3333" s="7">
        <v>1</v>
      </c>
      <c r="E3333" s="7">
        <v>10</v>
      </c>
      <c r="F3333" s="7">
        <v>1</v>
      </c>
      <c r="G3333" s="8" t="s">
        <v>3230</v>
      </c>
      <c r="H3333" s="8" t="s">
        <v>3231</v>
      </c>
      <c r="I3333" s="7" t="str">
        <f>_xlfn.CONCAT(Paper_Reference[[#This Row],[Lvl]:[Paper Description]])</f>
        <v>2JDKIFOSSS4801FOSSIL D/G 48 X 961101110SW736-5000PRECISION WHITE 43 X 145</v>
      </c>
      <c r="J3333" s="7">
        <f>COUNTIF(Paper_Reference[Duplicate Key],Paper_Reference[[#This Row],[Duplicate Key]])</f>
        <v>1</v>
      </c>
    </row>
    <row r="3334" spans="1:10">
      <c r="A3334" s="7">
        <v>2</v>
      </c>
      <c r="B3334" s="8" t="s">
        <v>3969</v>
      </c>
      <c r="C3334" s="8" t="s">
        <v>3767</v>
      </c>
      <c r="D3334" s="7">
        <v>1</v>
      </c>
      <c r="E3334" s="7">
        <v>10</v>
      </c>
      <c r="F3334" s="7">
        <v>1</v>
      </c>
      <c r="G3334" s="8" t="s">
        <v>3826</v>
      </c>
      <c r="H3334" s="8" t="s">
        <v>3827</v>
      </c>
      <c r="I3334" s="7" t="str">
        <f>_xlfn.CONCAT(Paper_Reference[[#This Row],[Lvl]:[Paper Description]])</f>
        <v>2JDKIFOSSS5001FOSSIL D/G 60 X 1201101110SW736-6200PRECISION WHITE 62"</v>
      </c>
      <c r="J3334" s="7">
        <f>COUNTIF(Paper_Reference[Duplicate Key],Paper_Reference[[#This Row],[Duplicate Key]])</f>
        <v>1</v>
      </c>
    </row>
    <row r="3335" spans="1:10">
      <c r="A3335" s="7">
        <v>2</v>
      </c>
      <c r="B3335" s="8" t="s">
        <v>3969</v>
      </c>
      <c r="C3335" s="8" t="s">
        <v>3767</v>
      </c>
      <c r="D3335" s="7">
        <v>1</v>
      </c>
      <c r="E3335" s="7">
        <v>40</v>
      </c>
      <c r="F3335" s="7">
        <v>2</v>
      </c>
      <c r="G3335" s="8" t="s">
        <v>4371</v>
      </c>
      <c r="H3335" s="8" t="s">
        <v>4372</v>
      </c>
      <c r="I3335" s="7" t="str">
        <f>_xlfn.CONCAT(Paper_Reference[[#This Row],[Lvl]:[Paper Description]])</f>
        <v>2JDKIFOSSS5001FOSSIL D/G 60 X 1201402100DS064-6200BLACK</v>
      </c>
      <c r="J3335" s="7">
        <f>COUNTIF(Paper_Reference[Duplicate Key],Paper_Reference[[#This Row],[Duplicate Key]])</f>
        <v>1</v>
      </c>
    </row>
    <row r="3336" spans="1:10">
      <c r="A3336" s="7">
        <v>2</v>
      </c>
      <c r="B3336" s="8" t="s">
        <v>3970</v>
      </c>
      <c r="C3336" s="8" t="s">
        <v>3769</v>
      </c>
      <c r="D3336" s="7">
        <v>1</v>
      </c>
      <c r="E3336" s="7">
        <v>10</v>
      </c>
      <c r="F3336" s="7">
        <v>1</v>
      </c>
      <c r="G3336" s="8" t="s">
        <v>3826</v>
      </c>
      <c r="H3336" s="8" t="s">
        <v>3827</v>
      </c>
      <c r="I3336" s="7" t="str">
        <f>_xlfn.CONCAT(Paper_Reference[[#This Row],[Lvl]:[Paper Description]])</f>
        <v>2JDKIFOSSS5801FOSSIL D/G 60 X 961101110SW736-6200PRECISION WHITE 62"</v>
      </c>
      <c r="J3336" s="7">
        <f>COUNTIF(Paper_Reference[Duplicate Key],Paper_Reference[[#This Row],[Duplicate Key]])</f>
        <v>1</v>
      </c>
    </row>
    <row r="3337" spans="1:10">
      <c r="A3337" s="7">
        <v>2</v>
      </c>
      <c r="B3337" s="8" t="s">
        <v>3970</v>
      </c>
      <c r="C3337" s="8" t="s">
        <v>3769</v>
      </c>
      <c r="D3337" s="7">
        <v>1</v>
      </c>
      <c r="E3337" s="7">
        <v>40</v>
      </c>
      <c r="F3337" s="7">
        <v>2</v>
      </c>
      <c r="G3337" s="8" t="s">
        <v>4371</v>
      </c>
      <c r="H3337" s="8" t="s">
        <v>4372</v>
      </c>
      <c r="I3337" s="7" t="str">
        <f>_xlfn.CONCAT(Paper_Reference[[#This Row],[Lvl]:[Paper Description]])</f>
        <v>2JDKIFOSSS5801FOSSIL D/G 60 X 961402100DS064-6200BLACK</v>
      </c>
      <c r="J3337" s="7">
        <f>COUNTIF(Paper_Reference[Duplicate Key],Paper_Reference[[#This Row],[Duplicate Key]])</f>
        <v>1</v>
      </c>
    </row>
    <row r="3338" spans="1:10">
      <c r="A3338" s="7">
        <v>2</v>
      </c>
      <c r="B3338" s="8" t="s">
        <v>3501</v>
      </c>
      <c r="C3338" s="8" t="s">
        <v>3241</v>
      </c>
      <c r="D3338" s="7">
        <v>1</v>
      </c>
      <c r="E3338" s="7">
        <v>10</v>
      </c>
      <c r="F3338" s="7">
        <v>1</v>
      </c>
      <c r="G3338" s="8" t="s">
        <v>3230</v>
      </c>
      <c r="H3338" s="8" t="s">
        <v>3231</v>
      </c>
      <c r="I3338" s="7" t="str">
        <f>_xlfn.CONCAT(Paper_Reference[[#This Row],[Lvl]:[Paper Description]])</f>
        <v>2JDLIFOSSH4001FOSSIL D/G 48 X 1201101110SW736-5000PRECISION WHITE 43 X 145</v>
      </c>
      <c r="J3338" s="7">
        <f>COUNTIF(Paper_Reference[Duplicate Key],Paper_Reference[[#This Row],[Duplicate Key]])</f>
        <v>1</v>
      </c>
    </row>
    <row r="3339" spans="1:10">
      <c r="A3339" s="7">
        <v>2</v>
      </c>
      <c r="B3339" s="8" t="s">
        <v>3502</v>
      </c>
      <c r="C3339" s="8" t="s">
        <v>3246</v>
      </c>
      <c r="D3339" s="7">
        <v>1</v>
      </c>
      <c r="E3339" s="7">
        <v>10</v>
      </c>
      <c r="F3339" s="7">
        <v>1</v>
      </c>
      <c r="G3339" s="8" t="s">
        <v>3230</v>
      </c>
      <c r="H3339" s="8" t="s">
        <v>3231</v>
      </c>
      <c r="I3339" s="7" t="str">
        <f>_xlfn.CONCAT(Paper_Reference[[#This Row],[Lvl]:[Paper Description]])</f>
        <v>2JDLIFOSSH4201FOSSIL  D/G 48 X 1441101110SW736-5000PRECISION WHITE 43 X 145</v>
      </c>
      <c r="J3339" s="7">
        <f>COUNTIF(Paper_Reference[Duplicate Key],Paper_Reference[[#This Row],[Duplicate Key]])</f>
        <v>1</v>
      </c>
    </row>
    <row r="3340" spans="1:10">
      <c r="A3340" s="7">
        <v>2</v>
      </c>
      <c r="B3340" s="8" t="s">
        <v>3503</v>
      </c>
      <c r="C3340" s="8" t="s">
        <v>3240</v>
      </c>
      <c r="D3340" s="7">
        <v>1</v>
      </c>
      <c r="E3340" s="7">
        <v>10</v>
      </c>
      <c r="F3340" s="7">
        <v>1</v>
      </c>
      <c r="G3340" s="8" t="s">
        <v>3230</v>
      </c>
      <c r="H3340" s="8" t="s">
        <v>3231</v>
      </c>
      <c r="I3340" s="7" t="str">
        <f>_xlfn.CONCAT(Paper_Reference[[#This Row],[Lvl]:[Paper Description]])</f>
        <v>2JDLIFOSSH4801FOSSIL D/G 48 X 961101110SW736-5000PRECISION WHITE 43 X 145</v>
      </c>
      <c r="J3340" s="7">
        <f>COUNTIF(Paper_Reference[Duplicate Key],Paper_Reference[[#This Row],[Duplicate Key]])</f>
        <v>1</v>
      </c>
    </row>
    <row r="3341" spans="1:10">
      <c r="A3341" s="7">
        <v>2</v>
      </c>
      <c r="B3341" s="8" t="s">
        <v>3971</v>
      </c>
      <c r="C3341" s="8" t="s">
        <v>3767</v>
      </c>
      <c r="D3341" s="7">
        <v>1</v>
      </c>
      <c r="E3341" s="7">
        <v>10</v>
      </c>
      <c r="F3341" s="7">
        <v>1</v>
      </c>
      <c r="G3341" s="8" t="s">
        <v>3826</v>
      </c>
      <c r="H3341" s="8" t="s">
        <v>3827</v>
      </c>
      <c r="I3341" s="7" t="str">
        <f>_xlfn.CONCAT(Paper_Reference[[#This Row],[Lvl]:[Paper Description]])</f>
        <v>2JDLIFOSSH5001FOSSIL D/G 60 X 1201101110SW736-6200PRECISION WHITE 62"</v>
      </c>
      <c r="J3341" s="7">
        <f>COUNTIF(Paper_Reference[Duplicate Key],Paper_Reference[[#This Row],[Duplicate Key]])</f>
        <v>1</v>
      </c>
    </row>
    <row r="3342" spans="1:10">
      <c r="A3342" s="7">
        <v>2</v>
      </c>
      <c r="B3342" s="8" t="s">
        <v>3971</v>
      </c>
      <c r="C3342" s="8" t="s">
        <v>3767</v>
      </c>
      <c r="D3342" s="7">
        <v>1</v>
      </c>
      <c r="E3342" s="7">
        <v>40</v>
      </c>
      <c r="F3342" s="7">
        <v>1</v>
      </c>
      <c r="G3342" s="8" t="s">
        <v>4371</v>
      </c>
      <c r="H3342" s="8" t="s">
        <v>4372</v>
      </c>
      <c r="I3342" s="7" t="str">
        <f>_xlfn.CONCAT(Paper_Reference[[#This Row],[Lvl]:[Paper Description]])</f>
        <v>2JDLIFOSSH5001FOSSIL D/G 60 X 1201401100DS064-6200BLACK</v>
      </c>
      <c r="J3342" s="7">
        <f>COUNTIF(Paper_Reference[Duplicate Key],Paper_Reference[[#This Row],[Duplicate Key]])</f>
        <v>1</v>
      </c>
    </row>
    <row r="3343" spans="1:10">
      <c r="A3343" s="7">
        <v>2</v>
      </c>
      <c r="B3343" s="8" t="s">
        <v>3972</v>
      </c>
      <c r="C3343" s="8" t="s">
        <v>3768</v>
      </c>
      <c r="D3343" s="7">
        <v>1</v>
      </c>
      <c r="E3343" s="7">
        <v>10</v>
      </c>
      <c r="F3343" s="7">
        <v>1</v>
      </c>
      <c r="G3343" s="8" t="s">
        <v>3826</v>
      </c>
      <c r="H3343" s="8" t="s">
        <v>3827</v>
      </c>
      <c r="I3343" s="7" t="str">
        <f>_xlfn.CONCAT(Paper_Reference[[#This Row],[Lvl]:[Paper Description]])</f>
        <v>2JDLIFOSSH5201FOSSIL D/G 60 X 1441101110SW736-6200PRECISION WHITE 62"</v>
      </c>
      <c r="J3343" s="7">
        <f>COUNTIF(Paper_Reference[Duplicate Key],Paper_Reference[[#This Row],[Duplicate Key]])</f>
        <v>1</v>
      </c>
    </row>
    <row r="3344" spans="1:10">
      <c r="A3344" s="7">
        <v>2</v>
      </c>
      <c r="B3344" s="8" t="s">
        <v>3972</v>
      </c>
      <c r="C3344" s="8" t="s">
        <v>3768</v>
      </c>
      <c r="D3344" s="7">
        <v>1</v>
      </c>
      <c r="E3344" s="7">
        <v>40</v>
      </c>
      <c r="F3344" s="7">
        <v>1</v>
      </c>
      <c r="G3344" s="8" t="s">
        <v>4371</v>
      </c>
      <c r="H3344" s="8" t="s">
        <v>4372</v>
      </c>
      <c r="I3344" s="7" t="str">
        <f>_xlfn.CONCAT(Paper_Reference[[#This Row],[Lvl]:[Paper Description]])</f>
        <v>2JDLIFOSSH5201FOSSIL D/G 60 X 1441401100DS064-6200BLACK</v>
      </c>
      <c r="J3344" s="7">
        <f>COUNTIF(Paper_Reference[Duplicate Key],Paper_Reference[[#This Row],[Duplicate Key]])</f>
        <v>1</v>
      </c>
    </row>
    <row r="3345" spans="1:10">
      <c r="A3345" s="7">
        <v>2</v>
      </c>
      <c r="B3345" s="8" t="s">
        <v>3973</v>
      </c>
      <c r="C3345" s="8" t="s">
        <v>3769</v>
      </c>
      <c r="D3345" s="7">
        <v>1</v>
      </c>
      <c r="E3345" s="7">
        <v>10</v>
      </c>
      <c r="F3345" s="7">
        <v>1</v>
      </c>
      <c r="G3345" s="8" t="s">
        <v>3826</v>
      </c>
      <c r="H3345" s="8" t="s">
        <v>3827</v>
      </c>
      <c r="I3345" s="7" t="str">
        <f>_xlfn.CONCAT(Paper_Reference[[#This Row],[Lvl]:[Paper Description]])</f>
        <v>2JDLIFOSSH5801FOSSIL D/G 60 X 961101110SW736-6200PRECISION WHITE 62"</v>
      </c>
      <c r="J3345" s="7">
        <f>COUNTIF(Paper_Reference[Duplicate Key],Paper_Reference[[#This Row],[Duplicate Key]])</f>
        <v>1</v>
      </c>
    </row>
    <row r="3346" spans="1:10">
      <c r="A3346" s="7">
        <v>2</v>
      </c>
      <c r="B3346" s="8" t="s">
        <v>3973</v>
      </c>
      <c r="C3346" s="8" t="s">
        <v>3769</v>
      </c>
      <c r="D3346" s="7">
        <v>1</v>
      </c>
      <c r="E3346" s="7">
        <v>40</v>
      </c>
      <c r="F3346" s="7">
        <v>1</v>
      </c>
      <c r="G3346" s="8" t="s">
        <v>4371</v>
      </c>
      <c r="H3346" s="8" t="s">
        <v>4372</v>
      </c>
      <c r="I3346" s="7" t="str">
        <f>_xlfn.CONCAT(Paper_Reference[[#This Row],[Lvl]:[Paper Description]])</f>
        <v>2JDLIFOSSH5801FOSSIL D/G 60 X 961401100DS064-6200BLACK</v>
      </c>
      <c r="J3346" s="7">
        <f>COUNTIF(Paper_Reference[Duplicate Key],Paper_Reference[[#This Row],[Duplicate Key]])</f>
        <v>1</v>
      </c>
    </row>
    <row r="3347" spans="1:10">
      <c r="A3347" s="7">
        <v>2</v>
      </c>
      <c r="B3347" s="8" t="s">
        <v>3504</v>
      </c>
      <c r="C3347" s="8" t="s">
        <v>3240</v>
      </c>
      <c r="D3347" s="7">
        <v>1</v>
      </c>
      <c r="E3347" s="7">
        <v>10</v>
      </c>
      <c r="F3347" s="7">
        <v>1</v>
      </c>
      <c r="G3347" s="8" t="s">
        <v>3230</v>
      </c>
      <c r="H3347" s="8" t="s">
        <v>3231</v>
      </c>
      <c r="I3347" s="7" t="str">
        <f>_xlfn.CONCAT(Paper_Reference[[#This Row],[Lvl]:[Paper Description]])</f>
        <v>2JDLIFOSSLS4801FOSSIL D/G 48 X 961101110SW736-5000PRECISION WHITE 43 X 145</v>
      </c>
      <c r="J3347" s="7">
        <f>COUNTIF(Paper_Reference[Duplicate Key],Paper_Reference[[#This Row],[Duplicate Key]])</f>
        <v>1</v>
      </c>
    </row>
    <row r="3348" spans="1:10">
      <c r="A3348" s="7">
        <v>2</v>
      </c>
      <c r="B3348" s="8" t="s">
        <v>3505</v>
      </c>
      <c r="C3348" s="8" t="s">
        <v>3240</v>
      </c>
      <c r="D3348" s="7">
        <v>1</v>
      </c>
      <c r="E3348" s="7">
        <v>10</v>
      </c>
      <c r="F3348" s="7">
        <v>1</v>
      </c>
      <c r="G3348" s="8" t="s">
        <v>3230</v>
      </c>
      <c r="H3348" s="8" t="s">
        <v>3231</v>
      </c>
      <c r="I3348" s="7" t="str">
        <f>_xlfn.CONCAT(Paper_Reference[[#This Row],[Lvl]:[Paper Description]])</f>
        <v>2JDLIFOSSPV4801FOSSIL D/G 48 X 961101110SW736-5000PRECISION WHITE 43 X 145</v>
      </c>
      <c r="J3348" s="7">
        <f>COUNTIF(Paper_Reference[Duplicate Key],Paper_Reference[[#This Row],[Duplicate Key]])</f>
        <v>1</v>
      </c>
    </row>
    <row r="3349" spans="1:10">
      <c r="A3349" s="7">
        <v>2</v>
      </c>
      <c r="B3349" s="8" t="s">
        <v>3974</v>
      </c>
      <c r="C3349" s="8" t="s">
        <v>3768</v>
      </c>
      <c r="D3349" s="7">
        <v>1</v>
      </c>
      <c r="E3349" s="7">
        <v>10</v>
      </c>
      <c r="F3349" s="7">
        <v>1</v>
      </c>
      <c r="G3349" s="8" t="s">
        <v>3826</v>
      </c>
      <c r="H3349" s="8" t="s">
        <v>3827</v>
      </c>
      <c r="I3349" s="7" t="str">
        <f>_xlfn.CONCAT(Paper_Reference[[#This Row],[Lvl]:[Paper Description]])</f>
        <v>2JDLIFOSSPV5201FOSSIL D/G 60 X 1441101110SW736-6200PRECISION WHITE 62"</v>
      </c>
      <c r="J3349" s="7">
        <f>COUNTIF(Paper_Reference[Duplicate Key],Paper_Reference[[#This Row],[Duplicate Key]])</f>
        <v>1</v>
      </c>
    </row>
    <row r="3350" spans="1:10">
      <c r="A3350" s="7">
        <v>2</v>
      </c>
      <c r="B3350" s="8" t="s">
        <v>3974</v>
      </c>
      <c r="C3350" s="8" t="s">
        <v>3768</v>
      </c>
      <c r="D3350" s="7">
        <v>1</v>
      </c>
      <c r="E3350" s="7">
        <v>40</v>
      </c>
      <c r="F3350" s="7">
        <v>1</v>
      </c>
      <c r="G3350" s="8" t="s">
        <v>4371</v>
      </c>
      <c r="H3350" s="8" t="s">
        <v>4372</v>
      </c>
      <c r="I3350" s="7" t="str">
        <f>_xlfn.CONCAT(Paper_Reference[[#This Row],[Lvl]:[Paper Description]])</f>
        <v>2JDLIFOSSPV5201FOSSIL D/G 60 X 1441401100DS064-6200BLACK</v>
      </c>
      <c r="J3350" s="7">
        <f>COUNTIF(Paper_Reference[Duplicate Key],Paper_Reference[[#This Row],[Duplicate Key]])</f>
        <v>1</v>
      </c>
    </row>
    <row r="3351" spans="1:10">
      <c r="A3351" s="7">
        <v>2</v>
      </c>
      <c r="B3351" s="8" t="s">
        <v>3506</v>
      </c>
      <c r="C3351" s="8" t="s">
        <v>3240</v>
      </c>
      <c r="D3351" s="7">
        <v>1</v>
      </c>
      <c r="E3351" s="7">
        <v>10</v>
      </c>
      <c r="F3351" s="7">
        <v>1</v>
      </c>
      <c r="G3351" s="8" t="s">
        <v>3230</v>
      </c>
      <c r="H3351" s="8" t="s">
        <v>3231</v>
      </c>
      <c r="I3351" s="7" t="str">
        <f>_xlfn.CONCAT(Paper_Reference[[#This Row],[Lvl]:[Paper Description]])</f>
        <v>2JDLIFOSSS4801FOSSIL D/G 48 X 961101110SW736-5000PRECISION WHITE 43 X 145</v>
      </c>
      <c r="J3351" s="7">
        <f>COUNTIF(Paper_Reference[Duplicate Key],Paper_Reference[[#This Row],[Duplicate Key]])</f>
        <v>1</v>
      </c>
    </row>
    <row r="3352" spans="1:10">
      <c r="A3352" s="7">
        <v>2</v>
      </c>
      <c r="B3352" s="8" t="s">
        <v>3975</v>
      </c>
      <c r="C3352" s="8" t="s">
        <v>3768</v>
      </c>
      <c r="D3352" s="7">
        <v>1</v>
      </c>
      <c r="E3352" s="7">
        <v>10</v>
      </c>
      <c r="F3352" s="7">
        <v>1</v>
      </c>
      <c r="G3352" s="8" t="s">
        <v>3826</v>
      </c>
      <c r="H3352" s="8" t="s">
        <v>3827</v>
      </c>
      <c r="I3352" s="7" t="str">
        <f>_xlfn.CONCAT(Paper_Reference[[#This Row],[Lvl]:[Paper Description]])</f>
        <v>2JDLIFOSSS5201FOSSIL D/G 60 X 1441101110SW736-6200PRECISION WHITE 62"</v>
      </c>
      <c r="J3352" s="7">
        <f>COUNTIF(Paper_Reference[Duplicate Key],Paper_Reference[[#This Row],[Duplicate Key]])</f>
        <v>1</v>
      </c>
    </row>
    <row r="3353" spans="1:10">
      <c r="A3353" s="7">
        <v>2</v>
      </c>
      <c r="B3353" s="8" t="s">
        <v>3975</v>
      </c>
      <c r="C3353" s="8" t="s">
        <v>3768</v>
      </c>
      <c r="D3353" s="7">
        <v>1</v>
      </c>
      <c r="E3353" s="7">
        <v>40</v>
      </c>
      <c r="F3353" s="7">
        <v>1</v>
      </c>
      <c r="G3353" s="8" t="s">
        <v>4371</v>
      </c>
      <c r="H3353" s="8" t="s">
        <v>4372</v>
      </c>
      <c r="I3353" s="7" t="str">
        <f>_xlfn.CONCAT(Paper_Reference[[#This Row],[Lvl]:[Paper Description]])</f>
        <v>2JDLIFOSSS5201FOSSIL D/G 60 X 1441401100DS064-6200BLACK</v>
      </c>
      <c r="J3353" s="7">
        <f>COUNTIF(Paper_Reference[Duplicate Key],Paper_Reference[[#This Row],[Duplicate Key]])</f>
        <v>1</v>
      </c>
    </row>
    <row r="3354" spans="1:10">
      <c r="A3354" s="7">
        <v>2</v>
      </c>
      <c r="B3354" s="8" t="s">
        <v>7792</v>
      </c>
      <c r="C3354" s="8" t="s">
        <v>7007</v>
      </c>
      <c r="D3354" s="7">
        <v>1</v>
      </c>
      <c r="E3354" s="7">
        <v>10</v>
      </c>
      <c r="F3354" s="7">
        <v>1</v>
      </c>
      <c r="G3354" s="8" t="s">
        <v>6710</v>
      </c>
      <c r="H3354" s="8" t="s">
        <v>5691</v>
      </c>
      <c r="I3354" s="7" t="str">
        <f>_xlfn.CONCAT(Paper_Reference[[#This Row],[Lvl]:[Paper Description]])</f>
        <v>2JDLISPE2N400SPECTRALITE BB D/G 48 X 1201101100DS009-5000FROSTY WHITE</v>
      </c>
      <c r="J3354" s="7">
        <f>COUNTIF(Paper_Reference[Duplicate Key],Paper_Reference[[#This Row],[Duplicate Key]])</f>
        <v>1</v>
      </c>
    </row>
    <row r="3355" spans="1:10">
      <c r="A3355" s="7">
        <v>2</v>
      </c>
      <c r="B3355" s="8" t="s">
        <v>7793</v>
      </c>
      <c r="C3355" s="8" t="s">
        <v>7005</v>
      </c>
      <c r="D3355" s="7">
        <v>1</v>
      </c>
      <c r="E3355" s="7">
        <v>10</v>
      </c>
      <c r="F3355" s="7">
        <v>2</v>
      </c>
      <c r="G3355" s="8" t="s">
        <v>6710</v>
      </c>
      <c r="H3355" s="8" t="s">
        <v>5691</v>
      </c>
      <c r="I3355" s="7" t="str">
        <f>_xlfn.CONCAT(Paper_Reference[[#This Row],[Lvl]:[Paper Description]])</f>
        <v>2JDLISPECN400SPECTRALITE D/G 48 X 1201102100DS009-5000FROSTY WHITE</v>
      </c>
      <c r="J3355" s="7">
        <f>COUNTIF(Paper_Reference[Duplicate Key],Paper_Reference[[#This Row],[Duplicate Key]])</f>
        <v>1</v>
      </c>
    </row>
    <row r="3356" spans="1:10">
      <c r="A3356" s="7">
        <v>2</v>
      </c>
      <c r="B3356" s="8" t="s">
        <v>7794</v>
      </c>
      <c r="C3356" s="8" t="s">
        <v>6843</v>
      </c>
      <c r="D3356" s="7">
        <v>1</v>
      </c>
      <c r="E3356" s="7">
        <v>10</v>
      </c>
      <c r="F3356" s="7">
        <v>2</v>
      </c>
      <c r="G3356" s="8" t="s">
        <v>6710</v>
      </c>
      <c r="H3356" s="8" t="s">
        <v>5691</v>
      </c>
      <c r="I3356" s="7" t="str">
        <f>_xlfn.CONCAT(Paper_Reference[[#This Row],[Lvl]:[Paper Description]])</f>
        <v>2JDLISPECN480SPECTRALITE D/G 48 X 961102100DS009-5000FROSTY WHITE</v>
      </c>
      <c r="J3356" s="7">
        <f>COUNTIF(Paper_Reference[Duplicate Key],Paper_Reference[[#This Row],[Duplicate Key]])</f>
        <v>1</v>
      </c>
    </row>
    <row r="3357" spans="1:10">
      <c r="A3357" s="7">
        <v>2</v>
      </c>
      <c r="B3357" s="8" t="s">
        <v>3507</v>
      </c>
      <c r="C3357" s="8" t="s">
        <v>3241</v>
      </c>
      <c r="D3357" s="7">
        <v>1</v>
      </c>
      <c r="E3357" s="7">
        <v>10</v>
      </c>
      <c r="F3357" s="7">
        <v>1</v>
      </c>
      <c r="G3357" s="8" t="s">
        <v>3230</v>
      </c>
      <c r="H3357" s="8" t="s">
        <v>3231</v>
      </c>
      <c r="I3357" s="7" t="str">
        <f>_xlfn.CONCAT(Paper_Reference[[#This Row],[Lvl]:[Paper Description]])</f>
        <v>2JDMIFOSSH4001FOSSIL D/G 48 X 1201101110SW736-5000PRECISION WHITE 43 X 145</v>
      </c>
      <c r="J3357" s="7">
        <f>COUNTIF(Paper_Reference[Duplicate Key],Paper_Reference[[#This Row],[Duplicate Key]])</f>
        <v>1</v>
      </c>
    </row>
    <row r="3358" spans="1:10">
      <c r="A3358" s="7">
        <v>2</v>
      </c>
      <c r="B3358" s="8" t="s">
        <v>3508</v>
      </c>
      <c r="C3358" s="8" t="s">
        <v>3240</v>
      </c>
      <c r="D3358" s="7">
        <v>1</v>
      </c>
      <c r="E3358" s="7">
        <v>10</v>
      </c>
      <c r="F3358" s="7">
        <v>1</v>
      </c>
      <c r="G3358" s="8" t="s">
        <v>3230</v>
      </c>
      <c r="H3358" s="8" t="s">
        <v>3231</v>
      </c>
      <c r="I3358" s="7" t="str">
        <f>_xlfn.CONCAT(Paper_Reference[[#This Row],[Lvl]:[Paper Description]])</f>
        <v>2JDMIFOSSH4801FOSSIL D/G 48 X 961101110SW736-5000PRECISION WHITE 43 X 145</v>
      </c>
      <c r="J3358" s="7">
        <f>COUNTIF(Paper_Reference[Duplicate Key],Paper_Reference[[#This Row],[Duplicate Key]])</f>
        <v>1</v>
      </c>
    </row>
    <row r="3359" spans="1:10">
      <c r="A3359" s="7">
        <v>2</v>
      </c>
      <c r="B3359" s="8" t="s">
        <v>3976</v>
      </c>
      <c r="C3359" s="8" t="s">
        <v>3767</v>
      </c>
      <c r="D3359" s="7">
        <v>1</v>
      </c>
      <c r="E3359" s="7">
        <v>10</v>
      </c>
      <c r="F3359" s="7">
        <v>1</v>
      </c>
      <c r="G3359" s="8" t="s">
        <v>3826</v>
      </c>
      <c r="H3359" s="8" t="s">
        <v>3827</v>
      </c>
      <c r="I3359" s="7" t="str">
        <f>_xlfn.CONCAT(Paper_Reference[[#This Row],[Lvl]:[Paper Description]])</f>
        <v>2JDMIFOSSH5001FOSSIL D/G 60 X 1201101110SW736-6200PRECISION WHITE 62"</v>
      </c>
      <c r="J3359" s="7">
        <f>COUNTIF(Paper_Reference[Duplicate Key],Paper_Reference[[#This Row],[Duplicate Key]])</f>
        <v>1</v>
      </c>
    </row>
    <row r="3360" spans="1:10">
      <c r="A3360" s="7">
        <v>2</v>
      </c>
      <c r="B3360" s="8" t="s">
        <v>3976</v>
      </c>
      <c r="C3360" s="8" t="s">
        <v>3767</v>
      </c>
      <c r="D3360" s="7">
        <v>1</v>
      </c>
      <c r="E3360" s="7">
        <v>40</v>
      </c>
      <c r="F3360" s="7">
        <v>1</v>
      </c>
      <c r="G3360" s="8" t="s">
        <v>4371</v>
      </c>
      <c r="H3360" s="8" t="s">
        <v>4372</v>
      </c>
      <c r="I3360" s="7" t="str">
        <f>_xlfn.CONCAT(Paper_Reference[[#This Row],[Lvl]:[Paper Description]])</f>
        <v>2JDMIFOSSH5001FOSSIL D/G 60 X 1201401100DS064-6200BLACK</v>
      </c>
      <c r="J3360" s="7">
        <f>COUNTIF(Paper_Reference[Duplicate Key],Paper_Reference[[#This Row],[Duplicate Key]])</f>
        <v>1</v>
      </c>
    </row>
    <row r="3361" spans="1:10">
      <c r="A3361" s="7">
        <v>2</v>
      </c>
      <c r="B3361" s="8" t="s">
        <v>3977</v>
      </c>
      <c r="C3361" s="8" t="s">
        <v>3769</v>
      </c>
      <c r="D3361" s="7">
        <v>1</v>
      </c>
      <c r="E3361" s="7">
        <v>10</v>
      </c>
      <c r="F3361" s="7">
        <v>1</v>
      </c>
      <c r="G3361" s="8" t="s">
        <v>3826</v>
      </c>
      <c r="H3361" s="8" t="s">
        <v>3827</v>
      </c>
      <c r="I3361" s="7" t="str">
        <f>_xlfn.CONCAT(Paper_Reference[[#This Row],[Lvl]:[Paper Description]])</f>
        <v>2JDMIFOSSH5801FOSSIL D/G 60 X 961101110SW736-6200PRECISION WHITE 62"</v>
      </c>
      <c r="J3361" s="7">
        <f>COUNTIF(Paper_Reference[Duplicate Key],Paper_Reference[[#This Row],[Duplicate Key]])</f>
        <v>1</v>
      </c>
    </row>
    <row r="3362" spans="1:10">
      <c r="A3362" s="7">
        <v>2</v>
      </c>
      <c r="B3362" s="8" t="s">
        <v>3977</v>
      </c>
      <c r="C3362" s="8" t="s">
        <v>3769</v>
      </c>
      <c r="D3362" s="7">
        <v>1</v>
      </c>
      <c r="E3362" s="7">
        <v>40</v>
      </c>
      <c r="F3362" s="7">
        <v>1</v>
      </c>
      <c r="G3362" s="8" t="s">
        <v>4371</v>
      </c>
      <c r="H3362" s="8" t="s">
        <v>4372</v>
      </c>
      <c r="I3362" s="7" t="str">
        <f>_xlfn.CONCAT(Paper_Reference[[#This Row],[Lvl]:[Paper Description]])</f>
        <v>2JDMIFOSSH5801FOSSIL D/G 60 X 961401100DS064-6200BLACK</v>
      </c>
      <c r="J3362" s="7">
        <f>COUNTIF(Paper_Reference[Duplicate Key],Paper_Reference[[#This Row],[Duplicate Key]])</f>
        <v>1</v>
      </c>
    </row>
    <row r="3363" spans="1:10">
      <c r="A3363" s="7">
        <v>2</v>
      </c>
      <c r="B3363" s="8" t="s">
        <v>3509</v>
      </c>
      <c r="C3363" s="8" t="s">
        <v>3241</v>
      </c>
      <c r="D3363" s="7">
        <v>1</v>
      </c>
      <c r="E3363" s="7">
        <v>10</v>
      </c>
      <c r="F3363" s="7">
        <v>1</v>
      </c>
      <c r="G3363" s="8" t="s">
        <v>3230</v>
      </c>
      <c r="H3363" s="8" t="s">
        <v>3231</v>
      </c>
      <c r="I3363" s="7" t="str">
        <f>_xlfn.CONCAT(Paper_Reference[[#This Row],[Lvl]:[Paper Description]])</f>
        <v>2JDMIFOSSS4001FOSSIL D/G 48 X 1201101110SW736-5000PRECISION WHITE 43 X 145</v>
      </c>
      <c r="J3363" s="7">
        <f>COUNTIF(Paper_Reference[Duplicate Key],Paper_Reference[[#This Row],[Duplicate Key]])</f>
        <v>1</v>
      </c>
    </row>
    <row r="3364" spans="1:10">
      <c r="A3364" s="7">
        <v>2</v>
      </c>
      <c r="B3364" s="8" t="s">
        <v>3510</v>
      </c>
      <c r="C3364" s="8" t="s">
        <v>3240</v>
      </c>
      <c r="D3364" s="7">
        <v>1</v>
      </c>
      <c r="E3364" s="7">
        <v>10</v>
      </c>
      <c r="F3364" s="7">
        <v>1</v>
      </c>
      <c r="G3364" s="8" t="s">
        <v>3230</v>
      </c>
      <c r="H3364" s="8" t="s">
        <v>3231</v>
      </c>
      <c r="I3364" s="7" t="str">
        <f>_xlfn.CONCAT(Paper_Reference[[#This Row],[Lvl]:[Paper Description]])</f>
        <v>2JDMIFOSSS4801FOSSIL D/G 48 X 961101110SW736-5000PRECISION WHITE 43 X 145</v>
      </c>
      <c r="J3364" s="7">
        <f>COUNTIF(Paper_Reference[Duplicate Key],Paper_Reference[[#This Row],[Duplicate Key]])</f>
        <v>1</v>
      </c>
    </row>
    <row r="3365" spans="1:10">
      <c r="A3365" s="7">
        <v>2</v>
      </c>
      <c r="B3365" s="8" t="s">
        <v>3511</v>
      </c>
      <c r="C3365" s="8" t="s">
        <v>3241</v>
      </c>
      <c r="D3365" s="7">
        <v>1</v>
      </c>
      <c r="E3365" s="7">
        <v>10</v>
      </c>
      <c r="F3365" s="7">
        <v>1</v>
      </c>
      <c r="G3365" s="8" t="s">
        <v>3230</v>
      </c>
      <c r="H3365" s="8" t="s">
        <v>3231</v>
      </c>
      <c r="I3365" s="7" t="str">
        <f>_xlfn.CONCAT(Paper_Reference[[#This Row],[Lvl]:[Paper Description]])</f>
        <v>2JDOIFOSSH4001FOSSIL D/G 48 X 1201101110SW736-5000PRECISION WHITE 43 X 145</v>
      </c>
      <c r="J3365" s="7">
        <f>COUNTIF(Paper_Reference[Duplicate Key],Paper_Reference[[#This Row],[Duplicate Key]])</f>
        <v>1</v>
      </c>
    </row>
    <row r="3366" spans="1:10">
      <c r="A3366" s="7">
        <v>2</v>
      </c>
      <c r="B3366" s="8" t="s">
        <v>3512</v>
      </c>
      <c r="C3366" s="8" t="s">
        <v>3239</v>
      </c>
      <c r="D3366" s="7">
        <v>1</v>
      </c>
      <c r="E3366" s="7">
        <v>10</v>
      </c>
      <c r="F3366" s="7">
        <v>1</v>
      </c>
      <c r="G3366" s="8" t="s">
        <v>3230</v>
      </c>
      <c r="H3366" s="8" t="s">
        <v>3231</v>
      </c>
      <c r="I3366" s="7" t="str">
        <f>_xlfn.CONCAT(Paper_Reference[[#This Row],[Lvl]:[Paper Description]])</f>
        <v>2JDOIFOSSH4201FOSSIL D/G 48 X 1441101110SW736-5000PRECISION WHITE 43 X 145</v>
      </c>
      <c r="J3366" s="7">
        <f>COUNTIF(Paper_Reference[Duplicate Key],Paper_Reference[[#This Row],[Duplicate Key]])</f>
        <v>1</v>
      </c>
    </row>
    <row r="3367" spans="1:10">
      <c r="A3367" s="7">
        <v>2</v>
      </c>
      <c r="B3367" s="8" t="s">
        <v>3513</v>
      </c>
      <c r="C3367" s="8" t="s">
        <v>3240</v>
      </c>
      <c r="D3367" s="7">
        <v>1</v>
      </c>
      <c r="E3367" s="7">
        <v>10</v>
      </c>
      <c r="F3367" s="7">
        <v>1</v>
      </c>
      <c r="G3367" s="8" t="s">
        <v>3230</v>
      </c>
      <c r="H3367" s="8" t="s">
        <v>3231</v>
      </c>
      <c r="I3367" s="7" t="str">
        <f>_xlfn.CONCAT(Paper_Reference[[#This Row],[Lvl]:[Paper Description]])</f>
        <v>2JDOIFOSSH4801FOSSIL D/G 48 X 961101110SW736-5000PRECISION WHITE 43 X 145</v>
      </c>
      <c r="J3367" s="7">
        <f>COUNTIF(Paper_Reference[Duplicate Key],Paper_Reference[[#This Row],[Duplicate Key]])</f>
        <v>1</v>
      </c>
    </row>
    <row r="3368" spans="1:10">
      <c r="A3368" s="7">
        <v>2</v>
      </c>
      <c r="B3368" s="8" t="s">
        <v>3978</v>
      </c>
      <c r="C3368" s="8" t="s">
        <v>3767</v>
      </c>
      <c r="D3368" s="7">
        <v>1</v>
      </c>
      <c r="E3368" s="7">
        <v>10</v>
      </c>
      <c r="F3368" s="7">
        <v>1</v>
      </c>
      <c r="G3368" s="8" t="s">
        <v>3826</v>
      </c>
      <c r="H3368" s="8" t="s">
        <v>3827</v>
      </c>
      <c r="I3368" s="7" t="str">
        <f>_xlfn.CONCAT(Paper_Reference[[#This Row],[Lvl]:[Paper Description]])</f>
        <v>2JDOIFOSSH5001FOSSIL D/G 60 X 1201101110SW736-6200PRECISION WHITE 62"</v>
      </c>
      <c r="J3368" s="7">
        <f>COUNTIF(Paper_Reference[Duplicate Key],Paper_Reference[[#This Row],[Duplicate Key]])</f>
        <v>1</v>
      </c>
    </row>
    <row r="3369" spans="1:10">
      <c r="A3369" s="7">
        <v>2</v>
      </c>
      <c r="B3369" s="8" t="s">
        <v>3978</v>
      </c>
      <c r="C3369" s="8" t="s">
        <v>3767</v>
      </c>
      <c r="D3369" s="7">
        <v>1</v>
      </c>
      <c r="E3369" s="7">
        <v>40</v>
      </c>
      <c r="F3369" s="7">
        <v>1</v>
      </c>
      <c r="G3369" s="8" t="s">
        <v>4371</v>
      </c>
      <c r="H3369" s="8" t="s">
        <v>4372</v>
      </c>
      <c r="I3369" s="7" t="str">
        <f>_xlfn.CONCAT(Paper_Reference[[#This Row],[Lvl]:[Paper Description]])</f>
        <v>2JDOIFOSSH5001FOSSIL D/G 60 X 1201401100DS064-6200BLACK</v>
      </c>
      <c r="J3369" s="7">
        <f>COUNTIF(Paper_Reference[Duplicate Key],Paper_Reference[[#This Row],[Duplicate Key]])</f>
        <v>1</v>
      </c>
    </row>
    <row r="3370" spans="1:10">
      <c r="A3370" s="7">
        <v>2</v>
      </c>
      <c r="B3370" s="8" t="s">
        <v>3979</v>
      </c>
      <c r="C3370" s="8" t="s">
        <v>3769</v>
      </c>
      <c r="D3370" s="7">
        <v>1</v>
      </c>
      <c r="E3370" s="7">
        <v>10</v>
      </c>
      <c r="F3370" s="7">
        <v>1</v>
      </c>
      <c r="G3370" s="8" t="s">
        <v>3826</v>
      </c>
      <c r="H3370" s="8" t="s">
        <v>3827</v>
      </c>
      <c r="I3370" s="7" t="str">
        <f>_xlfn.CONCAT(Paper_Reference[[#This Row],[Lvl]:[Paper Description]])</f>
        <v>2JDOIFOSSH5801FOSSIL D/G 60 X 961101110SW736-6200PRECISION WHITE 62"</v>
      </c>
      <c r="J3370" s="7">
        <f>COUNTIF(Paper_Reference[Duplicate Key],Paper_Reference[[#This Row],[Duplicate Key]])</f>
        <v>1</v>
      </c>
    </row>
    <row r="3371" spans="1:10">
      <c r="A3371" s="7">
        <v>2</v>
      </c>
      <c r="B3371" s="8" t="s">
        <v>3979</v>
      </c>
      <c r="C3371" s="8" t="s">
        <v>3769</v>
      </c>
      <c r="D3371" s="7">
        <v>1</v>
      </c>
      <c r="E3371" s="7">
        <v>40</v>
      </c>
      <c r="F3371" s="7">
        <v>1</v>
      </c>
      <c r="G3371" s="8" t="s">
        <v>4371</v>
      </c>
      <c r="H3371" s="8" t="s">
        <v>4372</v>
      </c>
      <c r="I3371" s="7" t="str">
        <f>_xlfn.CONCAT(Paper_Reference[[#This Row],[Lvl]:[Paper Description]])</f>
        <v>2JDOIFOSSH5801FOSSIL D/G 60 X 961401100DS064-6200BLACK</v>
      </c>
      <c r="J3371" s="7">
        <f>COUNTIF(Paper_Reference[Duplicate Key],Paper_Reference[[#This Row],[Duplicate Key]])</f>
        <v>1</v>
      </c>
    </row>
    <row r="3372" spans="1:10">
      <c r="A3372" s="7">
        <v>2</v>
      </c>
      <c r="B3372" s="8" t="s">
        <v>3514</v>
      </c>
      <c r="C3372" s="8" t="s">
        <v>3240</v>
      </c>
      <c r="D3372" s="7">
        <v>1</v>
      </c>
      <c r="E3372" s="7">
        <v>10</v>
      </c>
      <c r="F3372" s="7">
        <v>1</v>
      </c>
      <c r="G3372" s="8" t="s">
        <v>3230</v>
      </c>
      <c r="H3372" s="8" t="s">
        <v>3231</v>
      </c>
      <c r="I3372" s="7" t="str">
        <f>_xlfn.CONCAT(Paper_Reference[[#This Row],[Lvl]:[Paper Description]])</f>
        <v>2JDOIFOSSPV4801FOSSIL D/G 48 X 961101110SW736-5000PRECISION WHITE 43 X 145</v>
      </c>
      <c r="J3372" s="7">
        <f>COUNTIF(Paper_Reference[Duplicate Key],Paper_Reference[[#This Row],[Duplicate Key]])</f>
        <v>1</v>
      </c>
    </row>
    <row r="3373" spans="1:10">
      <c r="A3373" s="7">
        <v>2</v>
      </c>
      <c r="B3373" s="8" t="s">
        <v>3980</v>
      </c>
      <c r="C3373" s="8" t="s">
        <v>3768</v>
      </c>
      <c r="D3373" s="7">
        <v>1</v>
      </c>
      <c r="E3373" s="7">
        <v>10</v>
      </c>
      <c r="F3373" s="7">
        <v>1</v>
      </c>
      <c r="G3373" s="8" t="s">
        <v>3826</v>
      </c>
      <c r="H3373" s="8" t="s">
        <v>3827</v>
      </c>
      <c r="I3373" s="7" t="str">
        <f>_xlfn.CONCAT(Paper_Reference[[#This Row],[Lvl]:[Paper Description]])</f>
        <v>2JDOIFOSSPV5201FOSSIL D/G 60 X 1441101110SW736-6200PRECISION WHITE 62"</v>
      </c>
      <c r="J3373" s="7">
        <f>COUNTIF(Paper_Reference[Duplicate Key],Paper_Reference[[#This Row],[Duplicate Key]])</f>
        <v>1</v>
      </c>
    </row>
    <row r="3374" spans="1:10">
      <c r="A3374" s="7">
        <v>2</v>
      </c>
      <c r="B3374" s="8" t="s">
        <v>3980</v>
      </c>
      <c r="C3374" s="8" t="s">
        <v>3768</v>
      </c>
      <c r="D3374" s="7">
        <v>1</v>
      </c>
      <c r="E3374" s="7">
        <v>40</v>
      </c>
      <c r="F3374" s="7">
        <v>1</v>
      </c>
      <c r="G3374" s="8" t="s">
        <v>4371</v>
      </c>
      <c r="H3374" s="8" t="s">
        <v>4372</v>
      </c>
      <c r="I3374" s="7" t="str">
        <f>_xlfn.CONCAT(Paper_Reference[[#This Row],[Lvl]:[Paper Description]])</f>
        <v>2JDOIFOSSPV5201FOSSIL D/G 60 X 1441401100DS064-6200BLACK</v>
      </c>
      <c r="J3374" s="7">
        <f>COUNTIF(Paper_Reference[Duplicate Key],Paper_Reference[[#This Row],[Duplicate Key]])</f>
        <v>1</v>
      </c>
    </row>
    <row r="3375" spans="1:10">
      <c r="A3375" s="7">
        <v>2</v>
      </c>
      <c r="B3375" s="8" t="s">
        <v>3515</v>
      </c>
      <c r="C3375" s="8" t="s">
        <v>3240</v>
      </c>
      <c r="D3375" s="7">
        <v>1</v>
      </c>
      <c r="E3375" s="7">
        <v>10</v>
      </c>
      <c r="F3375" s="7">
        <v>1</v>
      </c>
      <c r="G3375" s="8" t="s">
        <v>3230</v>
      </c>
      <c r="H3375" s="8" t="s">
        <v>3231</v>
      </c>
      <c r="I3375" s="7" t="str">
        <f>_xlfn.CONCAT(Paper_Reference[[#This Row],[Lvl]:[Paper Description]])</f>
        <v>2JDOIFOSSS4801FOSSIL D/G 48 X 961101110SW736-5000PRECISION WHITE 43 X 145</v>
      </c>
      <c r="J3375" s="7">
        <f>COUNTIF(Paper_Reference[Duplicate Key],Paper_Reference[[#This Row],[Duplicate Key]])</f>
        <v>1</v>
      </c>
    </row>
    <row r="3376" spans="1:10">
      <c r="A3376" s="7">
        <v>2</v>
      </c>
      <c r="B3376" s="8" t="s">
        <v>7795</v>
      </c>
      <c r="C3376" s="8" t="s">
        <v>7008</v>
      </c>
      <c r="D3376" s="7">
        <v>1</v>
      </c>
      <c r="E3376" s="7">
        <v>10</v>
      </c>
      <c r="F3376" s="7">
        <v>1</v>
      </c>
      <c r="G3376" s="8" t="s">
        <v>6710</v>
      </c>
      <c r="H3376" s="8" t="s">
        <v>5691</v>
      </c>
      <c r="I3376" s="7" t="str">
        <f>_xlfn.CONCAT(Paper_Reference[[#This Row],[Lvl]:[Paper Description]])</f>
        <v>2JDOISPE2D4801SPECTRALITE BB D/G 48 X 961101100DS009-5000FROSTY WHITE</v>
      </c>
      <c r="J3376" s="7">
        <f>COUNTIF(Paper_Reference[Duplicate Key],Paper_Reference[[#This Row],[Duplicate Key]])</f>
        <v>1</v>
      </c>
    </row>
    <row r="3377" spans="1:10">
      <c r="A3377" s="7">
        <v>2</v>
      </c>
      <c r="B3377" s="8" t="s">
        <v>7796</v>
      </c>
      <c r="C3377" s="8" t="s">
        <v>7012</v>
      </c>
      <c r="D3377" s="7">
        <v>1</v>
      </c>
      <c r="E3377" s="7">
        <v>10</v>
      </c>
      <c r="F3377" s="7">
        <v>1</v>
      </c>
      <c r="G3377" s="8" t="s">
        <v>6710</v>
      </c>
      <c r="H3377" s="8" t="s">
        <v>5691</v>
      </c>
      <c r="I3377" s="7" t="str">
        <f>_xlfn.CONCAT(Paper_Reference[[#This Row],[Lvl]:[Paper Description]])</f>
        <v>2JDOIZONED4801IZONE D/G 48 X 961101100DS009-5000FROSTY WHITE</v>
      </c>
      <c r="J3377" s="7">
        <f>COUNTIF(Paper_Reference[Duplicate Key],Paper_Reference[[#This Row],[Duplicate Key]])</f>
        <v>1</v>
      </c>
    </row>
    <row r="3378" spans="1:10">
      <c r="A3378" s="7">
        <v>2</v>
      </c>
      <c r="B3378" s="8" t="s">
        <v>5157</v>
      </c>
      <c r="C3378" s="8" t="s">
        <v>4496</v>
      </c>
      <c r="D3378" s="7">
        <v>1</v>
      </c>
      <c r="E3378" s="7">
        <v>10</v>
      </c>
      <c r="F3378" s="7">
        <v>1</v>
      </c>
      <c r="G3378" s="8" t="s">
        <v>5690</v>
      </c>
      <c r="H3378" s="8" t="s">
        <v>5691</v>
      </c>
      <c r="I3378" s="7" t="str">
        <f>_xlfn.CONCAT(Paper_Reference[[#This Row],[Lvl]:[Paper Description]])</f>
        <v>2JDOIZONED5001IZONE D/G 60 X 1201101100DS009-6200FROSTY WHITE</v>
      </c>
      <c r="J3378" s="7">
        <f>COUNTIF(Paper_Reference[Duplicate Key],Paper_Reference[[#This Row],[Duplicate Key]])</f>
        <v>1</v>
      </c>
    </row>
    <row r="3379" spans="1:10">
      <c r="A3379" s="7">
        <v>2</v>
      </c>
      <c r="B3379" s="8" t="s">
        <v>5157</v>
      </c>
      <c r="C3379" s="8" t="s">
        <v>4496</v>
      </c>
      <c r="D3379" s="7">
        <v>1</v>
      </c>
      <c r="E3379" s="7">
        <v>10</v>
      </c>
      <c r="F3379" s="7">
        <v>1</v>
      </c>
      <c r="G3379" s="8" t="s">
        <v>4371</v>
      </c>
      <c r="H3379" s="8" t="s">
        <v>4372</v>
      </c>
      <c r="I3379" s="7" t="str">
        <f>_xlfn.CONCAT(Paper_Reference[[#This Row],[Lvl]:[Paper Description]])</f>
        <v>2JDOIZONED5001IZONE D/G 60 X 1201101100DS064-6200BLACK</v>
      </c>
      <c r="J3379" s="7">
        <f>COUNTIF(Paper_Reference[Duplicate Key],Paper_Reference[[#This Row],[Duplicate Key]])</f>
        <v>1</v>
      </c>
    </row>
    <row r="3380" spans="1:10">
      <c r="A3380" s="7">
        <v>2</v>
      </c>
      <c r="B3380" s="8" t="s">
        <v>1873</v>
      </c>
      <c r="C3380" s="8" t="s">
        <v>1446</v>
      </c>
      <c r="D3380" s="7">
        <v>1</v>
      </c>
      <c r="E3380" s="7">
        <v>10</v>
      </c>
      <c r="F3380" s="7">
        <v>1</v>
      </c>
      <c r="G3380" s="8" t="s">
        <v>1241</v>
      </c>
      <c r="H3380" s="8" t="s">
        <v>1242</v>
      </c>
      <c r="I3380" s="7" t="str">
        <f>_xlfn.CONCAT(Paper_Reference[[#This Row],[Lvl]:[Paper Description]])</f>
        <v>2JDOR0940MG480OBS ALLEYWOOD (W/MARK) 48 X 96110110000020-5000Premium Inkjet MPK 9653</v>
      </c>
      <c r="J3380" s="7">
        <f>COUNTIF(Paper_Reference[Duplicate Key],Paper_Reference[[#This Row],[Duplicate Key]])</f>
        <v>1</v>
      </c>
    </row>
    <row r="3381" spans="1:10">
      <c r="A3381" s="7">
        <v>2</v>
      </c>
      <c r="B3381" s="8" t="s">
        <v>1874</v>
      </c>
      <c r="C3381" s="8" t="s">
        <v>1447</v>
      </c>
      <c r="D3381" s="7">
        <v>1</v>
      </c>
      <c r="E3381" s="7">
        <v>10</v>
      </c>
      <c r="F3381" s="7">
        <v>1</v>
      </c>
      <c r="G3381" s="8" t="s">
        <v>1241</v>
      </c>
      <c r="H3381" s="8" t="s">
        <v>1242</v>
      </c>
      <c r="I3381" s="7" t="str">
        <f>_xlfn.CONCAT(Paper_Reference[[#This Row],[Lvl]:[Paper Description]])</f>
        <v>2JDOR0941MG480OBS ALLEYWOOD (NO MARK) 48 X 9110110000020-5000Premium Inkjet MPK 9653</v>
      </c>
      <c r="J3381" s="7">
        <f>COUNTIF(Paper_Reference[Duplicate Key],Paper_Reference[[#This Row],[Duplicate Key]])</f>
        <v>1</v>
      </c>
    </row>
    <row r="3382" spans="1:10">
      <c r="A3382" s="7">
        <v>2</v>
      </c>
      <c r="B3382" s="8" t="s">
        <v>2705</v>
      </c>
      <c r="C3382" s="8" t="s">
        <v>2249</v>
      </c>
      <c r="D3382" s="7">
        <v>1</v>
      </c>
      <c r="E3382" s="7">
        <v>10</v>
      </c>
      <c r="F3382" s="7">
        <v>1</v>
      </c>
      <c r="G3382" s="8" t="s">
        <v>2144</v>
      </c>
      <c r="H3382" s="8" t="s">
        <v>1242</v>
      </c>
      <c r="I3382" s="7" t="str">
        <f>_xlfn.CONCAT(Paper_Reference[[#This Row],[Lvl]:[Paper Description]])</f>
        <v>2JDOR1219SD520BRUNS RAKE STORM GRAY 60X144110110000020-6200Premium Inkjet MPK 9653</v>
      </c>
      <c r="J3382" s="7">
        <f>COUNTIF(Paper_Reference[Duplicate Key],Paper_Reference[[#This Row],[Duplicate Key]])</f>
        <v>1</v>
      </c>
    </row>
    <row r="3383" spans="1:10">
      <c r="A3383" s="7">
        <v>2</v>
      </c>
      <c r="B3383" s="8" t="s">
        <v>2705</v>
      </c>
      <c r="C3383" s="8" t="s">
        <v>2249</v>
      </c>
      <c r="D3383" s="7">
        <v>1</v>
      </c>
      <c r="E3383" s="7">
        <v>40</v>
      </c>
      <c r="F3383" s="7">
        <v>1</v>
      </c>
      <c r="G3383" s="8" t="s">
        <v>4371</v>
      </c>
      <c r="H3383" s="8" t="s">
        <v>4372</v>
      </c>
      <c r="I3383" s="7" t="str">
        <f>_xlfn.CONCAT(Paper_Reference[[#This Row],[Lvl]:[Paper Description]])</f>
        <v>2JDOR1219SD520BRUNS RAKE STORM GRAY 60X1441401100DS064-6200BLACK</v>
      </c>
      <c r="J3383" s="7">
        <f>COUNTIF(Paper_Reference[Duplicate Key],Paper_Reference[[#This Row],[Duplicate Key]])</f>
        <v>1</v>
      </c>
    </row>
    <row r="3384" spans="1:10">
      <c r="A3384" s="7">
        <v>2</v>
      </c>
      <c r="B3384" s="8" t="s">
        <v>8</v>
      </c>
      <c r="C3384" s="8" t="s">
        <v>9</v>
      </c>
      <c r="D3384" s="7">
        <v>1</v>
      </c>
      <c r="E3384" s="7">
        <v>10</v>
      </c>
      <c r="F3384" s="7">
        <v>5.5500000000000001E-2</v>
      </c>
      <c r="G3384" s="8" t="s">
        <v>2144</v>
      </c>
      <c r="H3384" s="8" t="s">
        <v>1242</v>
      </c>
      <c r="I3384" s="7" t="str">
        <f>_xlfn.CONCAT(Paper_Reference[[#This Row],[Lvl]:[Paper Description]])</f>
        <v>2JDOR1219SDB62BRUNS RAKE STORM GRAY 7.131 X1100.055510000020-6200Premium Inkjet MPK 9653</v>
      </c>
      <c r="J3384" s="7">
        <f>COUNTIF(Paper_Reference[Duplicate Key],Paper_Reference[[#This Row],[Duplicate Key]])</f>
        <v>1</v>
      </c>
    </row>
    <row r="3385" spans="1:10">
      <c r="A3385" s="7">
        <v>2</v>
      </c>
      <c r="B3385" s="8" t="s">
        <v>8</v>
      </c>
      <c r="C3385" s="8" t="s">
        <v>9</v>
      </c>
      <c r="D3385" s="7">
        <v>1</v>
      </c>
      <c r="E3385" s="7">
        <v>40</v>
      </c>
      <c r="F3385" s="7">
        <v>5.5500000000000001E-2</v>
      </c>
      <c r="G3385" s="8" t="s">
        <v>4371</v>
      </c>
      <c r="H3385" s="8" t="s">
        <v>4372</v>
      </c>
      <c r="I3385" s="7" t="str">
        <f>_xlfn.CONCAT(Paper_Reference[[#This Row],[Lvl]:[Paper Description]])</f>
        <v>2JDOR1219SDB62BRUNS RAKE STORM GRAY 7.131 X1400.0555100DS064-6200BLACK</v>
      </c>
      <c r="J3385" s="7">
        <f>COUNTIF(Paper_Reference[Duplicate Key],Paper_Reference[[#This Row],[Duplicate Key]])</f>
        <v>1</v>
      </c>
    </row>
    <row r="3386" spans="1:10">
      <c r="A3386" s="7">
        <v>2</v>
      </c>
      <c r="B3386" s="8" t="s">
        <v>2706</v>
      </c>
      <c r="C3386" s="8" t="s">
        <v>2250</v>
      </c>
      <c r="D3386" s="7">
        <v>1</v>
      </c>
      <c r="E3386" s="7">
        <v>10</v>
      </c>
      <c r="F3386" s="7">
        <v>0.5</v>
      </c>
      <c r="G3386" s="8" t="s">
        <v>2144</v>
      </c>
      <c r="H3386" s="8" t="s">
        <v>1242</v>
      </c>
      <c r="I3386" s="7" t="str">
        <f>_xlfn.CONCAT(Paper_Reference[[#This Row],[Lvl]:[Paper Description]])</f>
        <v>2JDOR1219SDYLQBRUNS RAKE S/GRAY 58.375 72.251100.510000020-6200Premium Inkjet MPK 9653</v>
      </c>
      <c r="J3386" s="7">
        <f>COUNTIF(Paper_Reference[Duplicate Key],Paper_Reference[[#This Row],[Duplicate Key]])</f>
        <v>1</v>
      </c>
    </row>
    <row r="3387" spans="1:10">
      <c r="A3387" s="7">
        <v>2</v>
      </c>
      <c r="B3387" s="8" t="s">
        <v>2706</v>
      </c>
      <c r="C3387" s="8" t="s">
        <v>2250</v>
      </c>
      <c r="D3387" s="7">
        <v>1</v>
      </c>
      <c r="E3387" s="7">
        <v>40</v>
      </c>
      <c r="F3387" s="7">
        <v>0.5</v>
      </c>
      <c r="G3387" s="8" t="s">
        <v>4371</v>
      </c>
      <c r="H3387" s="8" t="s">
        <v>4372</v>
      </c>
      <c r="I3387" s="7" t="str">
        <f>_xlfn.CONCAT(Paper_Reference[[#This Row],[Lvl]:[Paper Description]])</f>
        <v>2JDOR1219SDYLQBRUNS RAKE S/GRAY 58.375 72.251400.5100DS064-6200BLACK</v>
      </c>
      <c r="J3387" s="7">
        <f>COUNTIF(Paper_Reference[Duplicate Key],Paper_Reference[[#This Row],[Duplicate Key]])</f>
        <v>1</v>
      </c>
    </row>
    <row r="3388" spans="1:10">
      <c r="A3388" s="7">
        <v>2</v>
      </c>
      <c r="B3388" s="8" t="s">
        <v>2707</v>
      </c>
      <c r="C3388" s="8" t="s">
        <v>2251</v>
      </c>
      <c r="D3388" s="7">
        <v>1</v>
      </c>
      <c r="E3388" s="7">
        <v>10</v>
      </c>
      <c r="F3388" s="7">
        <v>1</v>
      </c>
      <c r="G3388" s="8" t="s">
        <v>2144</v>
      </c>
      <c r="H3388" s="8" t="s">
        <v>1242</v>
      </c>
      <c r="I3388" s="7" t="str">
        <f>_xlfn.CONCAT(Paper_Reference[[#This Row],[Lvl]:[Paper Description]])</f>
        <v>2JDOR1220SD520BRUNS RAKE N/BRN 60 X 144110110000020-6200Premium Inkjet MPK 9653</v>
      </c>
      <c r="J3388" s="7">
        <f>COUNTIF(Paper_Reference[Duplicate Key],Paper_Reference[[#This Row],[Duplicate Key]])</f>
        <v>1</v>
      </c>
    </row>
    <row r="3389" spans="1:10">
      <c r="A3389" s="7">
        <v>2</v>
      </c>
      <c r="B3389" s="8" t="s">
        <v>2707</v>
      </c>
      <c r="C3389" s="8" t="s">
        <v>2251</v>
      </c>
      <c r="D3389" s="7">
        <v>1</v>
      </c>
      <c r="E3389" s="7">
        <v>40</v>
      </c>
      <c r="F3389" s="7">
        <v>1</v>
      </c>
      <c r="G3389" s="8" t="s">
        <v>4371</v>
      </c>
      <c r="H3389" s="8" t="s">
        <v>4372</v>
      </c>
      <c r="I3389" s="7" t="str">
        <f>_xlfn.CONCAT(Paper_Reference[[#This Row],[Lvl]:[Paper Description]])</f>
        <v>2JDOR1220SD520BRUNS RAKE N/BRN 60 X 1441401100DS064-6200BLACK</v>
      </c>
      <c r="J3389" s="7">
        <f>COUNTIF(Paper_Reference[Duplicate Key],Paper_Reference[[#This Row],[Duplicate Key]])</f>
        <v>1</v>
      </c>
    </row>
    <row r="3390" spans="1:10">
      <c r="A3390" s="7">
        <v>2</v>
      </c>
      <c r="B3390" s="8" t="s">
        <v>2708</v>
      </c>
      <c r="C3390" s="8" t="s">
        <v>2252</v>
      </c>
      <c r="D3390" s="7">
        <v>1</v>
      </c>
      <c r="E3390" s="7">
        <v>10</v>
      </c>
      <c r="F3390" s="7">
        <v>5.5500000000000001E-2</v>
      </c>
      <c r="G3390" s="8" t="s">
        <v>2144</v>
      </c>
      <c r="H3390" s="8" t="s">
        <v>1242</v>
      </c>
      <c r="I3390" s="7" t="str">
        <f>_xlfn.CONCAT(Paper_Reference[[#This Row],[Lvl]:[Paper Description]])</f>
        <v>2JDOR1220SDB62BRUNS NUBIAN BROWN 7.131X57.361100.055510000020-6200Premium Inkjet MPK 9653</v>
      </c>
      <c r="J3390" s="7">
        <f>COUNTIF(Paper_Reference[Duplicate Key],Paper_Reference[[#This Row],[Duplicate Key]])</f>
        <v>1</v>
      </c>
    </row>
    <row r="3391" spans="1:10">
      <c r="A3391" s="7">
        <v>2</v>
      </c>
      <c r="B3391" s="8" t="s">
        <v>2708</v>
      </c>
      <c r="C3391" s="8" t="s">
        <v>2252</v>
      </c>
      <c r="D3391" s="7">
        <v>1</v>
      </c>
      <c r="E3391" s="7">
        <v>40</v>
      </c>
      <c r="F3391" s="7">
        <v>5.5500000000000001E-2</v>
      </c>
      <c r="G3391" s="8" t="s">
        <v>4371</v>
      </c>
      <c r="H3391" s="8" t="s">
        <v>4372</v>
      </c>
      <c r="I3391" s="7" t="str">
        <f>_xlfn.CONCAT(Paper_Reference[[#This Row],[Lvl]:[Paper Description]])</f>
        <v>2JDOR1220SDB62BRUNS NUBIAN BROWN 7.131X57.361400.0555100DS064-6200BLACK</v>
      </c>
      <c r="J3391" s="7">
        <f>COUNTIF(Paper_Reference[Duplicate Key],Paper_Reference[[#This Row],[Duplicate Key]])</f>
        <v>1</v>
      </c>
    </row>
    <row r="3392" spans="1:10">
      <c r="A3392" s="7">
        <v>2</v>
      </c>
      <c r="B3392" s="8" t="s">
        <v>2709</v>
      </c>
      <c r="C3392" s="8" t="s">
        <v>2253</v>
      </c>
      <c r="D3392" s="7">
        <v>1</v>
      </c>
      <c r="E3392" s="7">
        <v>10</v>
      </c>
      <c r="F3392" s="7">
        <v>0.5</v>
      </c>
      <c r="G3392" s="8" t="s">
        <v>2144</v>
      </c>
      <c r="H3392" s="8" t="s">
        <v>1242</v>
      </c>
      <c r="I3392" s="7" t="str">
        <f>_xlfn.CONCAT(Paper_Reference[[#This Row],[Lvl]:[Paper Description]])</f>
        <v>2JDOR1220SDYLQBRUNS RAKE N/BRN 58.375X72.251100.510000020-6200Premium Inkjet MPK 9653</v>
      </c>
      <c r="J3392" s="7">
        <f>COUNTIF(Paper_Reference[Duplicate Key],Paper_Reference[[#This Row],[Duplicate Key]])</f>
        <v>1</v>
      </c>
    </row>
    <row r="3393" spans="1:10">
      <c r="A3393" s="7">
        <v>2</v>
      </c>
      <c r="B3393" s="8" t="s">
        <v>2709</v>
      </c>
      <c r="C3393" s="8" t="s">
        <v>2253</v>
      </c>
      <c r="D3393" s="7">
        <v>1</v>
      </c>
      <c r="E3393" s="7">
        <v>40</v>
      </c>
      <c r="F3393" s="7">
        <v>0.5</v>
      </c>
      <c r="G3393" s="8" t="s">
        <v>4371</v>
      </c>
      <c r="H3393" s="8" t="s">
        <v>4372</v>
      </c>
      <c r="I3393" s="7" t="str">
        <f>_xlfn.CONCAT(Paper_Reference[[#This Row],[Lvl]:[Paper Description]])</f>
        <v>2JDOR1220SDYLQBRUNS RAKE N/BRN 58.375X72.251400.5100DS064-6200BLACK</v>
      </c>
      <c r="J3393" s="7">
        <f>COUNTIF(Paper_Reference[Duplicate Key],Paper_Reference[[#This Row],[Duplicate Key]])</f>
        <v>1</v>
      </c>
    </row>
    <row r="3394" spans="1:10">
      <c r="A3394" s="7">
        <v>2</v>
      </c>
      <c r="B3394" s="8" t="s">
        <v>7797</v>
      </c>
      <c r="C3394" s="8" t="s">
        <v>6843</v>
      </c>
      <c r="D3394" s="7">
        <v>1</v>
      </c>
      <c r="E3394" s="7">
        <v>10</v>
      </c>
      <c r="F3394" s="7">
        <v>2</v>
      </c>
      <c r="G3394" s="8" t="s">
        <v>6710</v>
      </c>
      <c r="H3394" s="8" t="s">
        <v>5691</v>
      </c>
      <c r="I3394" s="7" t="str">
        <f>_xlfn.CONCAT(Paper_Reference[[#This Row],[Lvl]:[Paper Description]])</f>
        <v>2JDPISPECN480SPECTRALITE D/G 48 X 961102100DS009-5000FROSTY WHITE</v>
      </c>
      <c r="J3394" s="7">
        <f>COUNTIF(Paper_Reference[Duplicate Key],Paper_Reference[[#This Row],[Duplicate Key]])</f>
        <v>1</v>
      </c>
    </row>
    <row r="3395" spans="1:10">
      <c r="A3395" s="7">
        <v>2</v>
      </c>
      <c r="B3395" s="8" t="s">
        <v>3516</v>
      </c>
      <c r="C3395" s="8" t="s">
        <v>3241</v>
      </c>
      <c r="D3395" s="7">
        <v>1</v>
      </c>
      <c r="E3395" s="7">
        <v>10</v>
      </c>
      <c r="F3395" s="7">
        <v>1</v>
      </c>
      <c r="G3395" s="8" t="s">
        <v>3230</v>
      </c>
      <c r="H3395" s="8" t="s">
        <v>3231</v>
      </c>
      <c r="I3395" s="7" t="str">
        <f>_xlfn.CONCAT(Paper_Reference[[#This Row],[Lvl]:[Paper Description]])</f>
        <v>2JDRIFOSSH4001FOSSIL D/G 48 X 1201101110SW736-5000PRECISION WHITE 43 X 145</v>
      </c>
      <c r="J3395" s="7">
        <f>COUNTIF(Paper_Reference[Duplicate Key],Paper_Reference[[#This Row],[Duplicate Key]])</f>
        <v>1</v>
      </c>
    </row>
    <row r="3396" spans="1:10">
      <c r="A3396" s="7">
        <v>2</v>
      </c>
      <c r="B3396" s="8" t="s">
        <v>3517</v>
      </c>
      <c r="C3396" s="8" t="s">
        <v>3240</v>
      </c>
      <c r="D3396" s="7">
        <v>1</v>
      </c>
      <c r="E3396" s="7">
        <v>10</v>
      </c>
      <c r="F3396" s="7">
        <v>1</v>
      </c>
      <c r="G3396" s="8" t="s">
        <v>3230</v>
      </c>
      <c r="H3396" s="8" t="s">
        <v>3231</v>
      </c>
      <c r="I3396" s="7" t="str">
        <f>_xlfn.CONCAT(Paper_Reference[[#This Row],[Lvl]:[Paper Description]])</f>
        <v>2JDRIFOSSJ4801FOSSIL D/G 48 X 961101110SW736-5000PRECISION WHITE 43 X 145</v>
      </c>
      <c r="J3396" s="7">
        <f>COUNTIF(Paper_Reference[Duplicate Key],Paper_Reference[[#This Row],[Duplicate Key]])</f>
        <v>1</v>
      </c>
    </row>
    <row r="3397" spans="1:10">
      <c r="A3397" s="7">
        <v>2</v>
      </c>
      <c r="B3397" s="8" t="s">
        <v>7798</v>
      </c>
      <c r="C3397" s="8" t="s">
        <v>7012</v>
      </c>
      <c r="D3397" s="7">
        <v>1</v>
      </c>
      <c r="E3397" s="7">
        <v>10</v>
      </c>
      <c r="F3397" s="7">
        <v>1</v>
      </c>
      <c r="G3397" s="8" t="s">
        <v>6710</v>
      </c>
      <c r="H3397" s="8" t="s">
        <v>5691</v>
      </c>
      <c r="I3397" s="7" t="str">
        <f>_xlfn.CONCAT(Paper_Reference[[#This Row],[Lvl]:[Paper Description]])</f>
        <v>2JDRIZONED4801IZONE D/G 48 X 961101100DS009-5000FROSTY WHITE</v>
      </c>
      <c r="J3397" s="7">
        <f>COUNTIF(Paper_Reference[Duplicate Key],Paper_Reference[[#This Row],[Duplicate Key]])</f>
        <v>1</v>
      </c>
    </row>
    <row r="3398" spans="1:10">
      <c r="A3398" s="7">
        <v>2</v>
      </c>
      <c r="B3398" s="8" t="s">
        <v>5158</v>
      </c>
      <c r="C3398" s="8" t="s">
        <v>4496</v>
      </c>
      <c r="D3398" s="7">
        <v>1</v>
      </c>
      <c r="E3398" s="7">
        <v>10</v>
      </c>
      <c r="F3398" s="7">
        <v>1</v>
      </c>
      <c r="G3398" s="8" t="s">
        <v>5690</v>
      </c>
      <c r="H3398" s="8" t="s">
        <v>5691</v>
      </c>
      <c r="I3398" s="7" t="str">
        <f>_xlfn.CONCAT(Paper_Reference[[#This Row],[Lvl]:[Paper Description]])</f>
        <v>2JDRIZONED5001IZONE D/G 60 X 1201101100DS009-6200FROSTY WHITE</v>
      </c>
      <c r="J3398" s="7">
        <f>COUNTIF(Paper_Reference[Duplicate Key],Paper_Reference[[#This Row],[Duplicate Key]])</f>
        <v>1</v>
      </c>
    </row>
    <row r="3399" spans="1:10">
      <c r="A3399" s="7">
        <v>2</v>
      </c>
      <c r="B3399" s="8" t="s">
        <v>5158</v>
      </c>
      <c r="C3399" s="8" t="s">
        <v>4496</v>
      </c>
      <c r="D3399" s="7">
        <v>1</v>
      </c>
      <c r="E3399" s="7">
        <v>10</v>
      </c>
      <c r="F3399" s="7">
        <v>1</v>
      </c>
      <c r="G3399" s="8" t="s">
        <v>4371</v>
      </c>
      <c r="H3399" s="8" t="s">
        <v>4372</v>
      </c>
      <c r="I3399" s="7" t="str">
        <f>_xlfn.CONCAT(Paper_Reference[[#This Row],[Lvl]:[Paper Description]])</f>
        <v>2JDRIZONED5001IZONE D/G 60 X 1201101100DS064-6200BLACK</v>
      </c>
      <c r="J3399" s="7">
        <f>COUNTIF(Paper_Reference[Duplicate Key],Paper_Reference[[#This Row],[Duplicate Key]])</f>
        <v>1</v>
      </c>
    </row>
    <row r="3400" spans="1:10">
      <c r="A3400" s="7">
        <v>2</v>
      </c>
      <c r="B3400" s="8" t="s">
        <v>5159</v>
      </c>
      <c r="C3400" s="8" t="s">
        <v>3772</v>
      </c>
      <c r="D3400" s="7">
        <v>1</v>
      </c>
      <c r="E3400" s="7">
        <v>10</v>
      </c>
      <c r="F3400" s="7">
        <v>1</v>
      </c>
      <c r="G3400" s="8" t="s">
        <v>5690</v>
      </c>
      <c r="H3400" s="8" t="s">
        <v>5691</v>
      </c>
      <c r="I3400" s="7" t="str">
        <f>_xlfn.CONCAT(Paper_Reference[[#This Row],[Lvl]:[Paper Description]])</f>
        <v>2JDRIZONED5201IZONE D/G 60 X 1441101100DS009-6200FROSTY WHITE</v>
      </c>
      <c r="J3400" s="7">
        <f>COUNTIF(Paper_Reference[Duplicate Key],Paper_Reference[[#This Row],[Duplicate Key]])</f>
        <v>1</v>
      </c>
    </row>
    <row r="3401" spans="1:10">
      <c r="A3401" s="7">
        <v>2</v>
      </c>
      <c r="B3401" s="8" t="s">
        <v>5159</v>
      </c>
      <c r="C3401" s="8" t="s">
        <v>3772</v>
      </c>
      <c r="D3401" s="7">
        <v>1</v>
      </c>
      <c r="E3401" s="7">
        <v>10</v>
      </c>
      <c r="F3401" s="7">
        <v>1</v>
      </c>
      <c r="G3401" s="8" t="s">
        <v>4371</v>
      </c>
      <c r="H3401" s="8" t="s">
        <v>4372</v>
      </c>
      <c r="I3401" s="7" t="str">
        <f>_xlfn.CONCAT(Paper_Reference[[#This Row],[Lvl]:[Paper Description]])</f>
        <v>2JDRIZONED5201IZONE D/G 60 X 1441101100DS064-6200BLACK</v>
      </c>
      <c r="J3401" s="7">
        <f>COUNTIF(Paper_Reference[Duplicate Key],Paper_Reference[[#This Row],[Duplicate Key]])</f>
        <v>1</v>
      </c>
    </row>
    <row r="3402" spans="1:10">
      <c r="A3402" s="7">
        <v>2</v>
      </c>
      <c r="B3402" s="8" t="s">
        <v>5160</v>
      </c>
      <c r="C3402" s="8" t="s">
        <v>4497</v>
      </c>
      <c r="D3402" s="7">
        <v>1</v>
      </c>
      <c r="E3402" s="7">
        <v>10</v>
      </c>
      <c r="F3402" s="7">
        <v>1</v>
      </c>
      <c r="G3402" s="8" t="s">
        <v>5690</v>
      </c>
      <c r="H3402" s="8" t="s">
        <v>5691</v>
      </c>
      <c r="I3402" s="7" t="str">
        <f>_xlfn.CONCAT(Paper_Reference[[#This Row],[Lvl]:[Paper Description]])</f>
        <v>2JDRIZONED5801IZONE D/G 60 X 961101100DS009-6200FROSTY WHITE</v>
      </c>
      <c r="J3402" s="7">
        <f>COUNTIF(Paper_Reference[Duplicate Key],Paper_Reference[[#This Row],[Duplicate Key]])</f>
        <v>1</v>
      </c>
    </row>
    <row r="3403" spans="1:10">
      <c r="A3403" s="7">
        <v>2</v>
      </c>
      <c r="B3403" s="8" t="s">
        <v>5160</v>
      </c>
      <c r="C3403" s="8" t="s">
        <v>4497</v>
      </c>
      <c r="D3403" s="7">
        <v>1</v>
      </c>
      <c r="E3403" s="7">
        <v>10</v>
      </c>
      <c r="F3403" s="7">
        <v>1</v>
      </c>
      <c r="G3403" s="8" t="s">
        <v>4371</v>
      </c>
      <c r="H3403" s="8" t="s">
        <v>4372</v>
      </c>
      <c r="I3403" s="7" t="str">
        <f>_xlfn.CONCAT(Paper_Reference[[#This Row],[Lvl]:[Paper Description]])</f>
        <v>2JDRIZONED5801IZONE D/G 60 X 961101100DS064-6200BLACK</v>
      </c>
      <c r="J3403" s="7">
        <f>COUNTIF(Paper_Reference[Duplicate Key],Paper_Reference[[#This Row],[Duplicate Key]])</f>
        <v>1</v>
      </c>
    </row>
    <row r="3404" spans="1:10">
      <c r="A3404" s="7">
        <v>2</v>
      </c>
      <c r="B3404" s="8" t="s">
        <v>3518</v>
      </c>
      <c r="C3404" s="8" t="s">
        <v>3241</v>
      </c>
      <c r="D3404" s="7">
        <v>1</v>
      </c>
      <c r="E3404" s="7">
        <v>10</v>
      </c>
      <c r="F3404" s="7">
        <v>1</v>
      </c>
      <c r="G3404" s="8" t="s">
        <v>3230</v>
      </c>
      <c r="H3404" s="8" t="s">
        <v>3231</v>
      </c>
      <c r="I3404" s="7" t="str">
        <f>_xlfn.CONCAT(Paper_Reference[[#This Row],[Lvl]:[Paper Description]])</f>
        <v>2JDSIFOSSH4001FOSSIL D/G 48 X 1201101110SW736-5000PRECISION WHITE 43 X 145</v>
      </c>
      <c r="J3404" s="7">
        <f>COUNTIF(Paper_Reference[Duplicate Key],Paper_Reference[[#This Row],[Duplicate Key]])</f>
        <v>1</v>
      </c>
    </row>
    <row r="3405" spans="1:10">
      <c r="A3405" s="7">
        <v>2</v>
      </c>
      <c r="B3405" s="8" t="s">
        <v>3519</v>
      </c>
      <c r="C3405" s="8" t="s">
        <v>3239</v>
      </c>
      <c r="D3405" s="7">
        <v>1</v>
      </c>
      <c r="E3405" s="7">
        <v>10</v>
      </c>
      <c r="F3405" s="7">
        <v>1</v>
      </c>
      <c r="G3405" s="8" t="s">
        <v>3230</v>
      </c>
      <c r="H3405" s="8" t="s">
        <v>3231</v>
      </c>
      <c r="I3405" s="7" t="str">
        <f>_xlfn.CONCAT(Paper_Reference[[#This Row],[Lvl]:[Paper Description]])</f>
        <v>2JDSIFOSSH4201FOSSIL D/G 48 X 1441101110SW736-5000PRECISION WHITE 43 X 145</v>
      </c>
      <c r="J3405" s="7">
        <f>COUNTIF(Paper_Reference[Duplicate Key],Paper_Reference[[#This Row],[Duplicate Key]])</f>
        <v>1</v>
      </c>
    </row>
    <row r="3406" spans="1:10">
      <c r="A3406" s="7">
        <v>2</v>
      </c>
      <c r="B3406" s="8" t="s">
        <v>3520</v>
      </c>
      <c r="C3406" s="8" t="s">
        <v>3240</v>
      </c>
      <c r="D3406" s="7">
        <v>1</v>
      </c>
      <c r="E3406" s="7">
        <v>10</v>
      </c>
      <c r="F3406" s="7">
        <v>1</v>
      </c>
      <c r="G3406" s="8" t="s">
        <v>3230</v>
      </c>
      <c r="H3406" s="8" t="s">
        <v>3231</v>
      </c>
      <c r="I3406" s="7" t="str">
        <f>_xlfn.CONCAT(Paper_Reference[[#This Row],[Lvl]:[Paper Description]])</f>
        <v>2JDSIFOSSH4801FOSSIL D/G 48 X 961101110SW736-5000PRECISION WHITE 43 X 145</v>
      </c>
      <c r="J3406" s="7">
        <f>COUNTIF(Paper_Reference[Duplicate Key],Paper_Reference[[#This Row],[Duplicate Key]])</f>
        <v>1</v>
      </c>
    </row>
    <row r="3407" spans="1:10">
      <c r="A3407" s="7">
        <v>2</v>
      </c>
      <c r="B3407" s="8" t="s">
        <v>3981</v>
      </c>
      <c r="C3407" s="8" t="s">
        <v>3767</v>
      </c>
      <c r="D3407" s="7">
        <v>1</v>
      </c>
      <c r="E3407" s="7">
        <v>10</v>
      </c>
      <c r="F3407" s="7">
        <v>1</v>
      </c>
      <c r="G3407" s="8" t="s">
        <v>3826</v>
      </c>
      <c r="H3407" s="8" t="s">
        <v>3827</v>
      </c>
      <c r="I3407" s="7" t="str">
        <f>_xlfn.CONCAT(Paper_Reference[[#This Row],[Lvl]:[Paper Description]])</f>
        <v>2JDSIFOSSH5001FOSSIL D/G 60 X 1201101110SW736-6200PRECISION WHITE 62"</v>
      </c>
      <c r="J3407" s="7">
        <f>COUNTIF(Paper_Reference[Duplicate Key],Paper_Reference[[#This Row],[Duplicate Key]])</f>
        <v>1</v>
      </c>
    </row>
    <row r="3408" spans="1:10">
      <c r="A3408" s="7">
        <v>2</v>
      </c>
      <c r="B3408" s="8" t="s">
        <v>3981</v>
      </c>
      <c r="C3408" s="8" t="s">
        <v>3767</v>
      </c>
      <c r="D3408" s="7">
        <v>1</v>
      </c>
      <c r="E3408" s="7">
        <v>40</v>
      </c>
      <c r="F3408" s="7">
        <v>1</v>
      </c>
      <c r="G3408" s="8" t="s">
        <v>4371</v>
      </c>
      <c r="H3408" s="8" t="s">
        <v>4372</v>
      </c>
      <c r="I3408" s="7" t="str">
        <f>_xlfn.CONCAT(Paper_Reference[[#This Row],[Lvl]:[Paper Description]])</f>
        <v>2JDSIFOSSH5001FOSSIL D/G 60 X 1201401100DS064-6200BLACK</v>
      </c>
      <c r="J3408" s="7">
        <f>COUNTIF(Paper_Reference[Duplicate Key],Paper_Reference[[#This Row],[Duplicate Key]])</f>
        <v>1</v>
      </c>
    </row>
    <row r="3409" spans="1:10">
      <c r="A3409" s="7">
        <v>2</v>
      </c>
      <c r="B3409" s="8" t="s">
        <v>3982</v>
      </c>
      <c r="C3409" s="8" t="s">
        <v>3768</v>
      </c>
      <c r="D3409" s="7">
        <v>1</v>
      </c>
      <c r="E3409" s="7">
        <v>10</v>
      </c>
      <c r="F3409" s="7">
        <v>1</v>
      </c>
      <c r="G3409" s="8" t="s">
        <v>3826</v>
      </c>
      <c r="H3409" s="8" t="s">
        <v>3827</v>
      </c>
      <c r="I3409" s="7" t="str">
        <f>_xlfn.CONCAT(Paper_Reference[[#This Row],[Lvl]:[Paper Description]])</f>
        <v>2JDSIFOSSH5201FOSSIL D/G 60 X 1441101110SW736-6200PRECISION WHITE 62"</v>
      </c>
      <c r="J3409" s="7">
        <f>COUNTIF(Paper_Reference[Duplicate Key],Paper_Reference[[#This Row],[Duplicate Key]])</f>
        <v>1</v>
      </c>
    </row>
    <row r="3410" spans="1:10">
      <c r="A3410" s="7">
        <v>2</v>
      </c>
      <c r="B3410" s="8" t="s">
        <v>3982</v>
      </c>
      <c r="C3410" s="8" t="s">
        <v>3768</v>
      </c>
      <c r="D3410" s="7">
        <v>1</v>
      </c>
      <c r="E3410" s="7">
        <v>40</v>
      </c>
      <c r="F3410" s="7">
        <v>1</v>
      </c>
      <c r="G3410" s="8" t="s">
        <v>4371</v>
      </c>
      <c r="H3410" s="8" t="s">
        <v>4372</v>
      </c>
      <c r="I3410" s="7" t="str">
        <f>_xlfn.CONCAT(Paper_Reference[[#This Row],[Lvl]:[Paper Description]])</f>
        <v>2JDSIFOSSH5201FOSSIL D/G 60 X 1441401100DS064-6200BLACK</v>
      </c>
      <c r="J3410" s="7">
        <f>COUNTIF(Paper_Reference[Duplicate Key],Paper_Reference[[#This Row],[Duplicate Key]])</f>
        <v>1</v>
      </c>
    </row>
    <row r="3411" spans="1:10">
      <c r="A3411" s="7">
        <v>2</v>
      </c>
      <c r="B3411" s="8" t="s">
        <v>3521</v>
      </c>
      <c r="C3411" s="8" t="s">
        <v>3240</v>
      </c>
      <c r="D3411" s="7">
        <v>1</v>
      </c>
      <c r="E3411" s="7">
        <v>10</v>
      </c>
      <c r="F3411" s="7">
        <v>1</v>
      </c>
      <c r="G3411" s="8" t="s">
        <v>3230</v>
      </c>
      <c r="H3411" s="8" t="s">
        <v>3231</v>
      </c>
      <c r="I3411" s="7" t="str">
        <f>_xlfn.CONCAT(Paper_Reference[[#This Row],[Lvl]:[Paper Description]])</f>
        <v>2JDSIFOSSPV4801FOSSIL D/G 48 X 961101110SW736-5000PRECISION WHITE 43 X 145</v>
      </c>
      <c r="J3411" s="7">
        <f>COUNTIF(Paper_Reference[Duplicate Key],Paper_Reference[[#This Row],[Duplicate Key]])</f>
        <v>1</v>
      </c>
    </row>
    <row r="3412" spans="1:10">
      <c r="A3412" s="7">
        <v>2</v>
      </c>
      <c r="B3412" s="8" t="s">
        <v>3983</v>
      </c>
      <c r="C3412" s="8" t="s">
        <v>3768</v>
      </c>
      <c r="D3412" s="7">
        <v>1</v>
      </c>
      <c r="E3412" s="7">
        <v>10</v>
      </c>
      <c r="F3412" s="7">
        <v>1</v>
      </c>
      <c r="G3412" s="8" t="s">
        <v>3826</v>
      </c>
      <c r="H3412" s="8" t="s">
        <v>3827</v>
      </c>
      <c r="I3412" s="7" t="str">
        <f>_xlfn.CONCAT(Paper_Reference[[#This Row],[Lvl]:[Paper Description]])</f>
        <v>2JDSIFOSSPV5201FOSSIL D/G 60 X 1441101110SW736-6200PRECISION WHITE 62"</v>
      </c>
      <c r="J3412" s="7">
        <f>COUNTIF(Paper_Reference[Duplicate Key],Paper_Reference[[#This Row],[Duplicate Key]])</f>
        <v>1</v>
      </c>
    </row>
    <row r="3413" spans="1:10">
      <c r="A3413" s="7">
        <v>2</v>
      </c>
      <c r="B3413" s="8" t="s">
        <v>3983</v>
      </c>
      <c r="C3413" s="8" t="s">
        <v>3768</v>
      </c>
      <c r="D3413" s="7">
        <v>1</v>
      </c>
      <c r="E3413" s="7">
        <v>40</v>
      </c>
      <c r="F3413" s="7">
        <v>1</v>
      </c>
      <c r="G3413" s="8" t="s">
        <v>4371</v>
      </c>
      <c r="H3413" s="8" t="s">
        <v>4372</v>
      </c>
      <c r="I3413" s="7" t="str">
        <f>_xlfn.CONCAT(Paper_Reference[[#This Row],[Lvl]:[Paper Description]])</f>
        <v>2JDSIFOSSPV5201FOSSIL D/G 60 X 1441401100DS064-6200BLACK</v>
      </c>
      <c r="J3413" s="7">
        <f>COUNTIF(Paper_Reference[Duplicate Key],Paper_Reference[[#This Row],[Duplicate Key]])</f>
        <v>1</v>
      </c>
    </row>
    <row r="3414" spans="1:10">
      <c r="A3414" s="7">
        <v>2</v>
      </c>
      <c r="B3414" s="8" t="s">
        <v>3522</v>
      </c>
      <c r="C3414" s="8" t="s">
        <v>3241</v>
      </c>
      <c r="D3414" s="7">
        <v>1</v>
      </c>
      <c r="E3414" s="7">
        <v>10</v>
      </c>
      <c r="F3414" s="7">
        <v>1</v>
      </c>
      <c r="G3414" s="8" t="s">
        <v>3230</v>
      </c>
      <c r="H3414" s="8" t="s">
        <v>3231</v>
      </c>
      <c r="I3414" s="7" t="str">
        <f>_xlfn.CONCAT(Paper_Reference[[#This Row],[Lvl]:[Paper Description]])</f>
        <v>2JDSIFOSSS4001FOSSIL D/G 48 X 1201101110SW736-5000PRECISION WHITE 43 X 145</v>
      </c>
      <c r="J3414" s="7">
        <f>COUNTIF(Paper_Reference[Duplicate Key],Paper_Reference[[#This Row],[Duplicate Key]])</f>
        <v>1</v>
      </c>
    </row>
    <row r="3415" spans="1:10">
      <c r="A3415" s="7">
        <v>2</v>
      </c>
      <c r="B3415" s="8" t="s">
        <v>3523</v>
      </c>
      <c r="C3415" s="8" t="s">
        <v>3240</v>
      </c>
      <c r="D3415" s="7">
        <v>1</v>
      </c>
      <c r="E3415" s="7">
        <v>10</v>
      </c>
      <c r="F3415" s="7">
        <v>1</v>
      </c>
      <c r="G3415" s="8" t="s">
        <v>3230</v>
      </c>
      <c r="H3415" s="8" t="s">
        <v>3231</v>
      </c>
      <c r="I3415" s="7" t="str">
        <f>_xlfn.CONCAT(Paper_Reference[[#This Row],[Lvl]:[Paper Description]])</f>
        <v>2JDSIFOSSS4801FOSSIL D/G 48 X 961101110SW736-5000PRECISION WHITE 43 X 145</v>
      </c>
      <c r="J3415" s="7">
        <f>COUNTIF(Paper_Reference[Duplicate Key],Paper_Reference[[#This Row],[Duplicate Key]])</f>
        <v>1</v>
      </c>
    </row>
    <row r="3416" spans="1:10">
      <c r="A3416" s="7">
        <v>2</v>
      </c>
      <c r="B3416" s="8" t="s">
        <v>3984</v>
      </c>
      <c r="C3416" s="8" t="s">
        <v>3767</v>
      </c>
      <c r="D3416" s="7">
        <v>1</v>
      </c>
      <c r="E3416" s="7">
        <v>10</v>
      </c>
      <c r="F3416" s="7">
        <v>1</v>
      </c>
      <c r="G3416" s="8" t="s">
        <v>3826</v>
      </c>
      <c r="H3416" s="8" t="s">
        <v>3827</v>
      </c>
      <c r="I3416" s="7" t="str">
        <f>_xlfn.CONCAT(Paper_Reference[[#This Row],[Lvl]:[Paper Description]])</f>
        <v>2JDSIFOSSS5001FOSSIL D/G 60 X 1201101110SW736-6200PRECISION WHITE 62"</v>
      </c>
      <c r="J3416" s="7">
        <f>COUNTIF(Paper_Reference[Duplicate Key],Paper_Reference[[#This Row],[Duplicate Key]])</f>
        <v>1</v>
      </c>
    </row>
    <row r="3417" spans="1:10">
      <c r="A3417" s="7">
        <v>2</v>
      </c>
      <c r="B3417" s="8" t="s">
        <v>3984</v>
      </c>
      <c r="C3417" s="8" t="s">
        <v>3767</v>
      </c>
      <c r="D3417" s="7">
        <v>1</v>
      </c>
      <c r="E3417" s="7">
        <v>40</v>
      </c>
      <c r="F3417" s="7">
        <v>1</v>
      </c>
      <c r="G3417" s="8" t="s">
        <v>4371</v>
      </c>
      <c r="H3417" s="8" t="s">
        <v>4372</v>
      </c>
      <c r="I3417" s="7" t="str">
        <f>_xlfn.CONCAT(Paper_Reference[[#This Row],[Lvl]:[Paper Description]])</f>
        <v>2JDSIFOSSS5001FOSSIL D/G 60 X 1201401100DS064-6200BLACK</v>
      </c>
      <c r="J3417" s="7">
        <f>COUNTIF(Paper_Reference[Duplicate Key],Paper_Reference[[#This Row],[Duplicate Key]])</f>
        <v>1</v>
      </c>
    </row>
    <row r="3418" spans="1:10">
      <c r="A3418" s="7">
        <v>2</v>
      </c>
      <c r="B3418" s="8" t="s">
        <v>3985</v>
      </c>
      <c r="C3418" s="8" t="s">
        <v>3768</v>
      </c>
      <c r="D3418" s="7">
        <v>1</v>
      </c>
      <c r="E3418" s="7">
        <v>10</v>
      </c>
      <c r="F3418" s="7">
        <v>1</v>
      </c>
      <c r="G3418" s="8" t="s">
        <v>3826</v>
      </c>
      <c r="H3418" s="8" t="s">
        <v>3827</v>
      </c>
      <c r="I3418" s="7" t="str">
        <f>_xlfn.CONCAT(Paper_Reference[[#This Row],[Lvl]:[Paper Description]])</f>
        <v>2JDSIFOSSS5201FOSSIL D/G 60 X 1441101110SW736-6200PRECISION WHITE 62"</v>
      </c>
      <c r="J3418" s="7">
        <f>COUNTIF(Paper_Reference[Duplicate Key],Paper_Reference[[#This Row],[Duplicate Key]])</f>
        <v>1</v>
      </c>
    </row>
    <row r="3419" spans="1:10">
      <c r="A3419" s="7">
        <v>2</v>
      </c>
      <c r="B3419" s="8" t="s">
        <v>3985</v>
      </c>
      <c r="C3419" s="8" t="s">
        <v>3768</v>
      </c>
      <c r="D3419" s="7">
        <v>1</v>
      </c>
      <c r="E3419" s="7">
        <v>40</v>
      </c>
      <c r="F3419" s="7">
        <v>1</v>
      </c>
      <c r="G3419" s="8" t="s">
        <v>4371</v>
      </c>
      <c r="H3419" s="8" t="s">
        <v>4372</v>
      </c>
      <c r="I3419" s="7" t="str">
        <f>_xlfn.CONCAT(Paper_Reference[[#This Row],[Lvl]:[Paper Description]])</f>
        <v>2JDSIFOSSS5201FOSSIL D/G 60 X 1441401100DS064-6200BLACK</v>
      </c>
      <c r="J3419" s="7">
        <f>COUNTIF(Paper_Reference[Duplicate Key],Paper_Reference[[#This Row],[Duplicate Key]])</f>
        <v>1</v>
      </c>
    </row>
    <row r="3420" spans="1:10">
      <c r="A3420" s="7">
        <v>2</v>
      </c>
      <c r="B3420" s="8" t="s">
        <v>3986</v>
      </c>
      <c r="C3420" s="8" t="s">
        <v>3769</v>
      </c>
      <c r="D3420" s="7">
        <v>1</v>
      </c>
      <c r="E3420" s="7">
        <v>10</v>
      </c>
      <c r="F3420" s="7">
        <v>1</v>
      </c>
      <c r="G3420" s="8" t="s">
        <v>3826</v>
      </c>
      <c r="H3420" s="8" t="s">
        <v>3827</v>
      </c>
      <c r="I3420" s="7" t="str">
        <f>_xlfn.CONCAT(Paper_Reference[[#This Row],[Lvl]:[Paper Description]])</f>
        <v>2JDSIFOSSS5801FOSSIL D/G 60 X 961101110SW736-6200PRECISION WHITE 62"</v>
      </c>
      <c r="J3420" s="7">
        <f>COUNTIF(Paper_Reference[Duplicate Key],Paper_Reference[[#This Row],[Duplicate Key]])</f>
        <v>1</v>
      </c>
    </row>
    <row r="3421" spans="1:10">
      <c r="A3421" s="7">
        <v>2</v>
      </c>
      <c r="B3421" s="8" t="s">
        <v>3986</v>
      </c>
      <c r="C3421" s="8" t="s">
        <v>3769</v>
      </c>
      <c r="D3421" s="7">
        <v>1</v>
      </c>
      <c r="E3421" s="7">
        <v>40</v>
      </c>
      <c r="F3421" s="7">
        <v>1</v>
      </c>
      <c r="G3421" s="8" t="s">
        <v>4371</v>
      </c>
      <c r="H3421" s="8" t="s">
        <v>4372</v>
      </c>
      <c r="I3421" s="7" t="str">
        <f>_xlfn.CONCAT(Paper_Reference[[#This Row],[Lvl]:[Paper Description]])</f>
        <v>2JDSIFOSSS5801FOSSIL D/G 60 X 961401100DS064-6200BLACK</v>
      </c>
      <c r="J3421" s="7">
        <f>COUNTIF(Paper_Reference[Duplicate Key],Paper_Reference[[#This Row],[Duplicate Key]])</f>
        <v>1</v>
      </c>
    </row>
    <row r="3422" spans="1:10">
      <c r="A3422" s="7">
        <v>2</v>
      </c>
      <c r="B3422" s="8" t="s">
        <v>3524</v>
      </c>
      <c r="C3422" s="8" t="s">
        <v>3241</v>
      </c>
      <c r="D3422" s="7">
        <v>1</v>
      </c>
      <c r="E3422" s="7">
        <v>10</v>
      </c>
      <c r="F3422" s="7">
        <v>1</v>
      </c>
      <c r="G3422" s="8" t="s">
        <v>3230</v>
      </c>
      <c r="H3422" s="8" t="s">
        <v>3231</v>
      </c>
      <c r="I3422" s="7" t="str">
        <f>_xlfn.CONCAT(Paper_Reference[[#This Row],[Lvl]:[Paper Description]])</f>
        <v>2JDTIFOSSH4001FOSSIL D/G 48 X 1201101110SW736-5000PRECISION WHITE 43 X 145</v>
      </c>
      <c r="J3422" s="7">
        <f>COUNTIF(Paper_Reference[Duplicate Key],Paper_Reference[[#This Row],[Duplicate Key]])</f>
        <v>1</v>
      </c>
    </row>
    <row r="3423" spans="1:10">
      <c r="A3423" s="7">
        <v>2</v>
      </c>
      <c r="B3423" s="8" t="s">
        <v>3525</v>
      </c>
      <c r="C3423" s="8" t="s">
        <v>3239</v>
      </c>
      <c r="D3423" s="7">
        <v>1</v>
      </c>
      <c r="E3423" s="7">
        <v>10</v>
      </c>
      <c r="F3423" s="7">
        <v>1</v>
      </c>
      <c r="G3423" s="8" t="s">
        <v>3230</v>
      </c>
      <c r="H3423" s="8" t="s">
        <v>3231</v>
      </c>
      <c r="I3423" s="7" t="str">
        <f>_xlfn.CONCAT(Paper_Reference[[#This Row],[Lvl]:[Paper Description]])</f>
        <v>2JDTIFOSSH4201FOSSIL D/G 48 X 1441101110SW736-5000PRECISION WHITE 43 X 145</v>
      </c>
      <c r="J3423" s="7">
        <f>COUNTIF(Paper_Reference[Duplicate Key],Paper_Reference[[#This Row],[Duplicate Key]])</f>
        <v>1</v>
      </c>
    </row>
    <row r="3424" spans="1:10">
      <c r="A3424" s="7">
        <v>2</v>
      </c>
      <c r="B3424" s="8" t="s">
        <v>3526</v>
      </c>
      <c r="C3424" s="8" t="s">
        <v>3240</v>
      </c>
      <c r="D3424" s="7">
        <v>1</v>
      </c>
      <c r="E3424" s="7">
        <v>10</v>
      </c>
      <c r="F3424" s="7">
        <v>1</v>
      </c>
      <c r="G3424" s="8" t="s">
        <v>3230</v>
      </c>
      <c r="H3424" s="8" t="s">
        <v>3231</v>
      </c>
      <c r="I3424" s="7" t="str">
        <f>_xlfn.CONCAT(Paper_Reference[[#This Row],[Lvl]:[Paper Description]])</f>
        <v>2JDTIFOSSH4801FOSSIL D/G 48 X 961101110SW736-5000PRECISION WHITE 43 X 145</v>
      </c>
      <c r="J3424" s="7">
        <f>COUNTIF(Paper_Reference[Duplicate Key],Paper_Reference[[#This Row],[Duplicate Key]])</f>
        <v>1</v>
      </c>
    </row>
    <row r="3425" spans="1:10">
      <c r="A3425" s="7">
        <v>2</v>
      </c>
      <c r="B3425" s="8" t="s">
        <v>3987</v>
      </c>
      <c r="C3425" s="8" t="s">
        <v>3767</v>
      </c>
      <c r="D3425" s="7">
        <v>1</v>
      </c>
      <c r="E3425" s="7">
        <v>10</v>
      </c>
      <c r="F3425" s="7">
        <v>1</v>
      </c>
      <c r="G3425" s="8" t="s">
        <v>3826</v>
      </c>
      <c r="H3425" s="8" t="s">
        <v>3827</v>
      </c>
      <c r="I3425" s="7" t="str">
        <f>_xlfn.CONCAT(Paper_Reference[[#This Row],[Lvl]:[Paper Description]])</f>
        <v>2JDTIFOSSH5001FOSSIL D/G 60 X 1201101110SW736-6200PRECISION WHITE 62"</v>
      </c>
      <c r="J3425" s="7">
        <f>COUNTIF(Paper_Reference[Duplicate Key],Paper_Reference[[#This Row],[Duplicate Key]])</f>
        <v>1</v>
      </c>
    </row>
    <row r="3426" spans="1:10">
      <c r="A3426" s="7">
        <v>2</v>
      </c>
      <c r="B3426" s="8" t="s">
        <v>3987</v>
      </c>
      <c r="C3426" s="8" t="s">
        <v>3767</v>
      </c>
      <c r="D3426" s="7">
        <v>1</v>
      </c>
      <c r="E3426" s="7">
        <v>40</v>
      </c>
      <c r="F3426" s="7">
        <v>2</v>
      </c>
      <c r="G3426" s="8" t="s">
        <v>4371</v>
      </c>
      <c r="H3426" s="8" t="s">
        <v>4372</v>
      </c>
      <c r="I3426" s="7" t="str">
        <f>_xlfn.CONCAT(Paper_Reference[[#This Row],[Lvl]:[Paper Description]])</f>
        <v>2JDTIFOSSH5001FOSSIL D/G 60 X 1201402100DS064-6200BLACK</v>
      </c>
      <c r="J3426" s="7">
        <f>COUNTIF(Paper_Reference[Duplicate Key],Paper_Reference[[#This Row],[Duplicate Key]])</f>
        <v>1</v>
      </c>
    </row>
    <row r="3427" spans="1:10">
      <c r="A3427" s="7">
        <v>2</v>
      </c>
      <c r="B3427" s="8" t="s">
        <v>3988</v>
      </c>
      <c r="C3427" s="8" t="s">
        <v>3768</v>
      </c>
      <c r="D3427" s="7">
        <v>1</v>
      </c>
      <c r="E3427" s="7">
        <v>10</v>
      </c>
      <c r="F3427" s="7">
        <v>1</v>
      </c>
      <c r="G3427" s="8" t="s">
        <v>3826</v>
      </c>
      <c r="H3427" s="8" t="s">
        <v>3827</v>
      </c>
      <c r="I3427" s="7" t="str">
        <f>_xlfn.CONCAT(Paper_Reference[[#This Row],[Lvl]:[Paper Description]])</f>
        <v>2JDTIFOSSH5201FOSSIL D/G 60 X 1441101110SW736-6200PRECISION WHITE 62"</v>
      </c>
      <c r="J3427" s="7">
        <f>COUNTIF(Paper_Reference[Duplicate Key],Paper_Reference[[#This Row],[Duplicate Key]])</f>
        <v>1</v>
      </c>
    </row>
    <row r="3428" spans="1:10">
      <c r="A3428" s="7">
        <v>2</v>
      </c>
      <c r="B3428" s="8" t="s">
        <v>3988</v>
      </c>
      <c r="C3428" s="8" t="s">
        <v>3768</v>
      </c>
      <c r="D3428" s="7">
        <v>1</v>
      </c>
      <c r="E3428" s="7">
        <v>40</v>
      </c>
      <c r="F3428" s="7">
        <v>2</v>
      </c>
      <c r="G3428" s="8" t="s">
        <v>4371</v>
      </c>
      <c r="H3428" s="8" t="s">
        <v>4372</v>
      </c>
      <c r="I3428" s="7" t="str">
        <f>_xlfn.CONCAT(Paper_Reference[[#This Row],[Lvl]:[Paper Description]])</f>
        <v>2JDTIFOSSH5201FOSSIL D/G 60 X 1441402100DS064-6200BLACK</v>
      </c>
      <c r="J3428" s="7">
        <f>COUNTIF(Paper_Reference[Duplicate Key],Paper_Reference[[#This Row],[Duplicate Key]])</f>
        <v>1</v>
      </c>
    </row>
    <row r="3429" spans="1:10">
      <c r="A3429" s="7">
        <v>2</v>
      </c>
      <c r="B3429" s="8" t="s">
        <v>3989</v>
      </c>
      <c r="C3429" s="8" t="s">
        <v>3769</v>
      </c>
      <c r="D3429" s="7">
        <v>1</v>
      </c>
      <c r="E3429" s="7">
        <v>10</v>
      </c>
      <c r="F3429" s="7">
        <v>1</v>
      </c>
      <c r="G3429" s="8" t="s">
        <v>3826</v>
      </c>
      <c r="H3429" s="8" t="s">
        <v>3827</v>
      </c>
      <c r="I3429" s="7" t="str">
        <f>_xlfn.CONCAT(Paper_Reference[[#This Row],[Lvl]:[Paper Description]])</f>
        <v>2JDTIFOSSH5801FOSSIL D/G 60 X 961101110SW736-6200PRECISION WHITE 62"</v>
      </c>
      <c r="J3429" s="7">
        <f>COUNTIF(Paper_Reference[Duplicate Key],Paper_Reference[[#This Row],[Duplicate Key]])</f>
        <v>1</v>
      </c>
    </row>
    <row r="3430" spans="1:10">
      <c r="A3430" s="7">
        <v>2</v>
      </c>
      <c r="B3430" s="8" t="s">
        <v>3989</v>
      </c>
      <c r="C3430" s="8" t="s">
        <v>3769</v>
      </c>
      <c r="D3430" s="7">
        <v>1</v>
      </c>
      <c r="E3430" s="7">
        <v>40</v>
      </c>
      <c r="F3430" s="7">
        <v>2</v>
      </c>
      <c r="G3430" s="8" t="s">
        <v>4371</v>
      </c>
      <c r="H3430" s="8" t="s">
        <v>4372</v>
      </c>
      <c r="I3430" s="7" t="str">
        <f>_xlfn.CONCAT(Paper_Reference[[#This Row],[Lvl]:[Paper Description]])</f>
        <v>2JDTIFOSSH5801FOSSIL D/G 60 X 961402100DS064-6200BLACK</v>
      </c>
      <c r="J3430" s="7">
        <f>COUNTIF(Paper_Reference[Duplicate Key],Paper_Reference[[#This Row],[Duplicate Key]])</f>
        <v>1</v>
      </c>
    </row>
    <row r="3431" spans="1:10">
      <c r="A3431" s="7">
        <v>2</v>
      </c>
      <c r="B3431" s="8" t="s">
        <v>3527</v>
      </c>
      <c r="C3431" s="8" t="s">
        <v>3240</v>
      </c>
      <c r="D3431" s="7">
        <v>1</v>
      </c>
      <c r="E3431" s="7">
        <v>10</v>
      </c>
      <c r="F3431" s="7">
        <v>1</v>
      </c>
      <c r="G3431" s="8" t="s">
        <v>3230</v>
      </c>
      <c r="H3431" s="8" t="s">
        <v>3231</v>
      </c>
      <c r="I3431" s="7" t="str">
        <f>_xlfn.CONCAT(Paper_Reference[[#This Row],[Lvl]:[Paper Description]])</f>
        <v>2JDTIFOSSPV4801FOSSIL D/G 48 X 961101110SW736-5000PRECISION WHITE 43 X 145</v>
      </c>
      <c r="J3431" s="7">
        <f>COUNTIF(Paper_Reference[Duplicate Key],Paper_Reference[[#This Row],[Duplicate Key]])</f>
        <v>1</v>
      </c>
    </row>
    <row r="3432" spans="1:10">
      <c r="A3432" s="7">
        <v>2</v>
      </c>
      <c r="B3432" s="8" t="s">
        <v>3990</v>
      </c>
      <c r="C3432" s="8" t="s">
        <v>3768</v>
      </c>
      <c r="D3432" s="7">
        <v>1</v>
      </c>
      <c r="E3432" s="7">
        <v>10</v>
      </c>
      <c r="F3432" s="7">
        <v>1</v>
      </c>
      <c r="G3432" s="8" t="s">
        <v>3826</v>
      </c>
      <c r="H3432" s="8" t="s">
        <v>3827</v>
      </c>
      <c r="I3432" s="7" t="str">
        <f>_xlfn.CONCAT(Paper_Reference[[#This Row],[Lvl]:[Paper Description]])</f>
        <v>2JDTIFOSSPV5201FOSSIL D/G 60 X 1441101110SW736-6200PRECISION WHITE 62"</v>
      </c>
      <c r="J3432" s="7">
        <f>COUNTIF(Paper_Reference[Duplicate Key],Paper_Reference[[#This Row],[Duplicate Key]])</f>
        <v>1</v>
      </c>
    </row>
    <row r="3433" spans="1:10">
      <c r="A3433" s="7">
        <v>2</v>
      </c>
      <c r="B3433" s="8" t="s">
        <v>3990</v>
      </c>
      <c r="C3433" s="8" t="s">
        <v>3768</v>
      </c>
      <c r="D3433" s="7">
        <v>1</v>
      </c>
      <c r="E3433" s="7">
        <v>40</v>
      </c>
      <c r="F3433" s="7">
        <v>2</v>
      </c>
      <c r="G3433" s="8" t="s">
        <v>4371</v>
      </c>
      <c r="H3433" s="8" t="s">
        <v>4372</v>
      </c>
      <c r="I3433" s="7" t="str">
        <f>_xlfn.CONCAT(Paper_Reference[[#This Row],[Lvl]:[Paper Description]])</f>
        <v>2JDTIFOSSPV5201FOSSIL D/G 60 X 1441402100DS064-6200BLACK</v>
      </c>
      <c r="J3433" s="7">
        <f>COUNTIF(Paper_Reference[Duplicate Key],Paper_Reference[[#This Row],[Duplicate Key]])</f>
        <v>1</v>
      </c>
    </row>
    <row r="3434" spans="1:10">
      <c r="A3434" s="7">
        <v>2</v>
      </c>
      <c r="B3434" s="8" t="s">
        <v>3528</v>
      </c>
      <c r="C3434" s="8" t="s">
        <v>3247</v>
      </c>
      <c r="D3434" s="7">
        <v>1</v>
      </c>
      <c r="E3434" s="7">
        <v>40</v>
      </c>
      <c r="F3434" s="7">
        <v>2</v>
      </c>
      <c r="G3434" s="8" t="s">
        <v>3230</v>
      </c>
      <c r="H3434" s="8" t="s">
        <v>3231</v>
      </c>
      <c r="I3434" s="7" t="str">
        <f>_xlfn.CONCAT(Paper_Reference[[#This Row],[Lvl]:[Paper Description]])</f>
        <v>2JDUIBENCSD400BENCHMARK D/G 48 X 1201402110SW736-5000PRECISION WHITE 43 X 145</v>
      </c>
      <c r="J3434" s="7">
        <f>COUNTIF(Paper_Reference[Duplicate Key],Paper_Reference[[#This Row],[Duplicate Key]])</f>
        <v>1</v>
      </c>
    </row>
    <row r="3435" spans="1:10">
      <c r="A3435" s="7">
        <v>2</v>
      </c>
      <c r="B3435" s="8" t="s">
        <v>3529</v>
      </c>
      <c r="C3435" s="8" t="s">
        <v>3242</v>
      </c>
      <c r="D3435" s="7">
        <v>1</v>
      </c>
      <c r="E3435" s="7">
        <v>40</v>
      </c>
      <c r="F3435" s="7">
        <v>2</v>
      </c>
      <c r="G3435" s="8" t="s">
        <v>3230</v>
      </c>
      <c r="H3435" s="8" t="s">
        <v>3231</v>
      </c>
      <c r="I3435" s="7" t="str">
        <f>_xlfn.CONCAT(Paper_Reference[[#This Row],[Lvl]:[Paper Description]])</f>
        <v>2JDUIBENCSD480BENCHMARK D/G 48 X 961402110SW736-5000PRECISION WHITE 43 X 145</v>
      </c>
      <c r="J3435" s="7">
        <f>COUNTIF(Paper_Reference[Duplicate Key],Paper_Reference[[#This Row],[Duplicate Key]])</f>
        <v>1</v>
      </c>
    </row>
    <row r="3436" spans="1:10">
      <c r="A3436" s="7">
        <v>2</v>
      </c>
      <c r="B3436" s="8" t="s">
        <v>3991</v>
      </c>
      <c r="C3436" s="8" t="s">
        <v>3769</v>
      </c>
      <c r="D3436" s="7">
        <v>1</v>
      </c>
      <c r="E3436" s="7">
        <v>10</v>
      </c>
      <c r="F3436" s="7">
        <v>1</v>
      </c>
      <c r="G3436" s="8" t="s">
        <v>3826</v>
      </c>
      <c r="H3436" s="8" t="s">
        <v>3827</v>
      </c>
      <c r="I3436" s="7" t="str">
        <f>_xlfn.CONCAT(Paper_Reference[[#This Row],[Lvl]:[Paper Description]])</f>
        <v>2JDVIFOSSH5801FOSSIL D/G 60 X 961101110SW736-6200PRECISION WHITE 62"</v>
      </c>
      <c r="J3436" s="7">
        <f>COUNTIF(Paper_Reference[Duplicate Key],Paper_Reference[[#This Row],[Duplicate Key]])</f>
        <v>1</v>
      </c>
    </row>
    <row r="3437" spans="1:10">
      <c r="A3437" s="7">
        <v>2</v>
      </c>
      <c r="B3437" s="8" t="s">
        <v>3991</v>
      </c>
      <c r="C3437" s="8" t="s">
        <v>3769</v>
      </c>
      <c r="D3437" s="7">
        <v>1</v>
      </c>
      <c r="E3437" s="7">
        <v>40</v>
      </c>
      <c r="F3437" s="7">
        <v>2</v>
      </c>
      <c r="G3437" s="8" t="s">
        <v>4371</v>
      </c>
      <c r="H3437" s="8" t="s">
        <v>4372</v>
      </c>
      <c r="I3437" s="7" t="str">
        <f>_xlfn.CONCAT(Paper_Reference[[#This Row],[Lvl]:[Paper Description]])</f>
        <v>2JDVIFOSSH5801FOSSIL D/G 60 X 961402100DS064-6200BLACK</v>
      </c>
      <c r="J3437" s="7">
        <f>COUNTIF(Paper_Reference[Duplicate Key],Paper_Reference[[#This Row],[Duplicate Key]])</f>
        <v>1</v>
      </c>
    </row>
    <row r="3438" spans="1:10">
      <c r="A3438" s="7">
        <v>2</v>
      </c>
      <c r="B3438" s="8" t="s">
        <v>6379</v>
      </c>
      <c r="C3438" s="8" t="s">
        <v>5901</v>
      </c>
      <c r="D3438" s="7">
        <v>1</v>
      </c>
      <c r="E3438" s="7">
        <v>10</v>
      </c>
      <c r="F3438" s="7">
        <v>1</v>
      </c>
      <c r="G3438" s="8" t="s">
        <v>5690</v>
      </c>
      <c r="H3438" s="8" t="s">
        <v>5691</v>
      </c>
      <c r="I3438" s="7" t="str">
        <f>_xlfn.CONCAT(Paper_Reference[[#This Row],[Lvl]:[Paper Description]])</f>
        <v>2JI2R0345N580SCH PUB ELEV MURAL 60 X 961101100DS009-6200FROSTY WHITE</v>
      </c>
      <c r="J3438" s="7">
        <f>COUNTIF(Paper_Reference[Duplicate Key],Paper_Reference[[#This Row],[Duplicate Key]])</f>
        <v>1</v>
      </c>
    </row>
    <row r="3439" spans="1:10">
      <c r="A3439" s="7">
        <v>2</v>
      </c>
      <c r="B3439" s="8" t="s">
        <v>6380</v>
      </c>
      <c r="C3439" s="8" t="s">
        <v>5902</v>
      </c>
      <c r="D3439" s="7">
        <v>1</v>
      </c>
      <c r="E3439" s="7">
        <v>10</v>
      </c>
      <c r="F3439" s="7">
        <v>1</v>
      </c>
      <c r="G3439" s="8" t="s">
        <v>5690</v>
      </c>
      <c r="H3439" s="8" t="s">
        <v>5691</v>
      </c>
      <c r="I3439" s="7" t="str">
        <f>_xlfn.CONCAT(Paper_Reference[[#This Row],[Lvl]:[Paper Description]])</f>
        <v>2JI2R0346N580SCH SERV ELEV MURAL 60 X 961101100DS009-6200FROSTY WHITE</v>
      </c>
      <c r="J3439" s="7">
        <f>COUNTIF(Paper_Reference[Duplicate Key],Paper_Reference[[#This Row],[Duplicate Key]])</f>
        <v>1</v>
      </c>
    </row>
    <row r="3440" spans="1:10">
      <c r="A3440" s="7">
        <v>2</v>
      </c>
      <c r="B3440" s="8" t="s">
        <v>7799</v>
      </c>
      <c r="C3440" s="8" t="s">
        <v>7024</v>
      </c>
      <c r="D3440" s="7">
        <v>1</v>
      </c>
      <c r="E3440" s="7">
        <v>10</v>
      </c>
      <c r="F3440" s="7">
        <v>1</v>
      </c>
      <c r="G3440" s="8" t="s">
        <v>6710</v>
      </c>
      <c r="H3440" s="8" t="s">
        <v>5691</v>
      </c>
      <c r="I3440" s="7" t="str">
        <f>_xlfn.CONCAT(Paper_Reference[[#This Row],[Lvl]:[Paper Description]])</f>
        <v>2JI2R0396N480TOBIN MENS 046 NRTH A 48X961101100DS009-5000FROSTY WHITE</v>
      </c>
      <c r="J3440" s="7">
        <f>COUNTIF(Paper_Reference[Duplicate Key],Paper_Reference[[#This Row],[Duplicate Key]])</f>
        <v>1</v>
      </c>
    </row>
    <row r="3441" spans="1:10">
      <c r="A3441" s="7">
        <v>2</v>
      </c>
      <c r="B3441" s="8" t="s">
        <v>7800</v>
      </c>
      <c r="C3441" s="8" t="s">
        <v>7024</v>
      </c>
      <c r="D3441" s="7">
        <v>1</v>
      </c>
      <c r="E3441" s="7">
        <v>10</v>
      </c>
      <c r="F3441" s="7">
        <v>1</v>
      </c>
      <c r="G3441" s="8" t="s">
        <v>6710</v>
      </c>
      <c r="H3441" s="8" t="s">
        <v>5691</v>
      </c>
      <c r="I3441" s="7" t="str">
        <f>_xlfn.CONCAT(Paper_Reference[[#This Row],[Lvl]:[Paper Description]])</f>
        <v>2JI2R0396SD480TOBIN MENS 046 NRTH A 48X961101100DS009-5000FROSTY WHITE</v>
      </c>
      <c r="J3441" s="7">
        <f>COUNTIF(Paper_Reference[Duplicate Key],Paper_Reference[[#This Row],[Duplicate Key]])</f>
        <v>1</v>
      </c>
    </row>
    <row r="3442" spans="1:10">
      <c r="A3442" s="7">
        <v>2</v>
      </c>
      <c r="B3442" s="8" t="s">
        <v>7801</v>
      </c>
      <c r="C3442" s="8" t="s">
        <v>7025</v>
      </c>
      <c r="D3442" s="7">
        <v>1</v>
      </c>
      <c r="E3442" s="7">
        <v>10</v>
      </c>
      <c r="F3442" s="7">
        <v>1</v>
      </c>
      <c r="G3442" s="8" t="s">
        <v>6710</v>
      </c>
      <c r="H3442" s="8" t="s">
        <v>5691</v>
      </c>
      <c r="I3442" s="7" t="str">
        <f>_xlfn.CONCAT(Paper_Reference[[#This Row],[Lvl]:[Paper Description]])</f>
        <v>2JI2R0397N480TOBIN MENS 046 NRTH B 48X961101100DS009-5000FROSTY WHITE</v>
      </c>
      <c r="J3442" s="7">
        <f>COUNTIF(Paper_Reference[Duplicate Key],Paper_Reference[[#This Row],[Duplicate Key]])</f>
        <v>1</v>
      </c>
    </row>
    <row r="3443" spans="1:10">
      <c r="A3443" s="7">
        <v>2</v>
      </c>
      <c r="B3443" s="8" t="s">
        <v>7802</v>
      </c>
      <c r="C3443" s="8" t="s">
        <v>7025</v>
      </c>
      <c r="D3443" s="7">
        <v>1</v>
      </c>
      <c r="E3443" s="7">
        <v>10</v>
      </c>
      <c r="F3443" s="7">
        <v>1</v>
      </c>
      <c r="G3443" s="8" t="s">
        <v>6710</v>
      </c>
      <c r="H3443" s="8" t="s">
        <v>5691</v>
      </c>
      <c r="I3443" s="7" t="str">
        <f>_xlfn.CONCAT(Paper_Reference[[#This Row],[Lvl]:[Paper Description]])</f>
        <v>2JI2R0397SD480TOBIN MENS 046 NRTH B 48X961101100DS009-5000FROSTY WHITE</v>
      </c>
      <c r="J3443" s="7">
        <f>COUNTIF(Paper_Reference[Duplicate Key],Paper_Reference[[#This Row],[Duplicate Key]])</f>
        <v>1</v>
      </c>
    </row>
    <row r="3444" spans="1:10">
      <c r="A3444" s="7">
        <v>2</v>
      </c>
      <c r="B3444" s="8" t="s">
        <v>7803</v>
      </c>
      <c r="C3444" s="8" t="s">
        <v>7026</v>
      </c>
      <c r="D3444" s="7">
        <v>1</v>
      </c>
      <c r="E3444" s="7">
        <v>10</v>
      </c>
      <c r="F3444" s="7">
        <v>1</v>
      </c>
      <c r="G3444" s="8" t="s">
        <v>6710</v>
      </c>
      <c r="H3444" s="8" t="s">
        <v>5691</v>
      </c>
      <c r="I3444" s="7" t="str">
        <f>_xlfn.CONCAT(Paper_Reference[[#This Row],[Lvl]:[Paper Description]])</f>
        <v>2JI2R0398N480TOBIN MENS 046 WEST 48X961101100DS009-5000FROSTY WHITE</v>
      </c>
      <c r="J3444" s="7">
        <f>COUNTIF(Paper_Reference[Duplicate Key],Paper_Reference[[#This Row],[Duplicate Key]])</f>
        <v>1</v>
      </c>
    </row>
    <row r="3445" spans="1:10">
      <c r="A3445" s="7">
        <v>2</v>
      </c>
      <c r="B3445" s="8" t="s">
        <v>7804</v>
      </c>
      <c r="C3445" s="8" t="s">
        <v>7026</v>
      </c>
      <c r="D3445" s="7">
        <v>1</v>
      </c>
      <c r="E3445" s="7">
        <v>10</v>
      </c>
      <c r="F3445" s="7">
        <v>1</v>
      </c>
      <c r="G3445" s="8" t="s">
        <v>6710</v>
      </c>
      <c r="H3445" s="8" t="s">
        <v>5691</v>
      </c>
      <c r="I3445" s="7" t="str">
        <f>_xlfn.CONCAT(Paper_Reference[[#This Row],[Lvl]:[Paper Description]])</f>
        <v>2JI2R0398SD480TOBIN MENS 046 WEST 48X961101100DS009-5000FROSTY WHITE</v>
      </c>
      <c r="J3445" s="7">
        <f>COUNTIF(Paper_Reference[Duplicate Key],Paper_Reference[[#This Row],[Duplicate Key]])</f>
        <v>1</v>
      </c>
    </row>
    <row r="3446" spans="1:10">
      <c r="A3446" s="7">
        <v>2</v>
      </c>
      <c r="B3446" s="8" t="s">
        <v>7805</v>
      </c>
      <c r="C3446" s="8" t="s">
        <v>7027</v>
      </c>
      <c r="D3446" s="7">
        <v>1</v>
      </c>
      <c r="E3446" s="7">
        <v>10</v>
      </c>
      <c r="F3446" s="7">
        <v>1</v>
      </c>
      <c r="G3446" s="8" t="s">
        <v>6710</v>
      </c>
      <c r="H3446" s="8" t="s">
        <v>5691</v>
      </c>
      <c r="I3446" s="7" t="str">
        <f>_xlfn.CONCAT(Paper_Reference[[#This Row],[Lvl]:[Paper Description]])</f>
        <v>2JI2R0399N480TOBIN WOMNS 048 NRTH A 48X961101100DS009-5000FROSTY WHITE</v>
      </c>
      <c r="J3446" s="7">
        <f>COUNTIF(Paper_Reference[Duplicate Key],Paper_Reference[[#This Row],[Duplicate Key]])</f>
        <v>1</v>
      </c>
    </row>
    <row r="3447" spans="1:10">
      <c r="A3447" s="7">
        <v>2</v>
      </c>
      <c r="B3447" s="8" t="s">
        <v>7806</v>
      </c>
      <c r="C3447" s="8" t="s">
        <v>7027</v>
      </c>
      <c r="D3447" s="7">
        <v>1</v>
      </c>
      <c r="E3447" s="7">
        <v>10</v>
      </c>
      <c r="F3447" s="7">
        <v>1</v>
      </c>
      <c r="G3447" s="8" t="s">
        <v>6710</v>
      </c>
      <c r="H3447" s="8" t="s">
        <v>5691</v>
      </c>
      <c r="I3447" s="7" t="str">
        <f>_xlfn.CONCAT(Paper_Reference[[#This Row],[Lvl]:[Paper Description]])</f>
        <v>2JI2R0399SD480TOBIN WOMNS 048 NRTH A 48X961101100DS009-5000FROSTY WHITE</v>
      </c>
      <c r="J3447" s="7">
        <f>COUNTIF(Paper_Reference[Duplicate Key],Paper_Reference[[#This Row],[Duplicate Key]])</f>
        <v>1</v>
      </c>
    </row>
    <row r="3448" spans="1:10">
      <c r="A3448" s="7">
        <v>2</v>
      </c>
      <c r="B3448" s="8" t="s">
        <v>7807</v>
      </c>
      <c r="C3448" s="8" t="s">
        <v>7028</v>
      </c>
      <c r="D3448" s="7">
        <v>1</v>
      </c>
      <c r="E3448" s="7">
        <v>10</v>
      </c>
      <c r="F3448" s="7">
        <v>1</v>
      </c>
      <c r="G3448" s="8" t="s">
        <v>6710</v>
      </c>
      <c r="H3448" s="8" t="s">
        <v>5691</v>
      </c>
      <c r="I3448" s="7" t="str">
        <f>_xlfn.CONCAT(Paper_Reference[[#This Row],[Lvl]:[Paper Description]])</f>
        <v>2JI2R0400N480TOBIN WOMNS 048 NRTH B 48X961101100DS009-5000FROSTY WHITE</v>
      </c>
      <c r="J3448" s="7">
        <f>COUNTIF(Paper_Reference[Duplicate Key],Paper_Reference[[#This Row],[Duplicate Key]])</f>
        <v>1</v>
      </c>
    </row>
    <row r="3449" spans="1:10">
      <c r="A3449" s="7">
        <v>2</v>
      </c>
      <c r="B3449" s="8" t="s">
        <v>7808</v>
      </c>
      <c r="C3449" s="8" t="s">
        <v>7028</v>
      </c>
      <c r="D3449" s="7">
        <v>1</v>
      </c>
      <c r="E3449" s="7">
        <v>10</v>
      </c>
      <c r="F3449" s="7">
        <v>1</v>
      </c>
      <c r="G3449" s="8" t="s">
        <v>6710</v>
      </c>
      <c r="H3449" s="8" t="s">
        <v>5691</v>
      </c>
      <c r="I3449" s="7" t="str">
        <f>_xlfn.CONCAT(Paper_Reference[[#This Row],[Lvl]:[Paper Description]])</f>
        <v>2JI2R0400SD480TOBIN WOMNS 048 NRTH B 48X961101100DS009-5000FROSTY WHITE</v>
      </c>
      <c r="J3449" s="7">
        <f>COUNTIF(Paper_Reference[Duplicate Key],Paper_Reference[[#This Row],[Duplicate Key]])</f>
        <v>1</v>
      </c>
    </row>
    <row r="3450" spans="1:10">
      <c r="A3450" s="7">
        <v>2</v>
      </c>
      <c r="B3450" s="8" t="s">
        <v>7809</v>
      </c>
      <c r="C3450" s="8" t="s">
        <v>7029</v>
      </c>
      <c r="D3450" s="7">
        <v>1</v>
      </c>
      <c r="E3450" s="7">
        <v>10</v>
      </c>
      <c r="F3450" s="7">
        <v>1</v>
      </c>
      <c r="G3450" s="8" t="s">
        <v>6710</v>
      </c>
      <c r="H3450" s="8" t="s">
        <v>5691</v>
      </c>
      <c r="I3450" s="7" t="str">
        <f>_xlfn.CONCAT(Paper_Reference[[#This Row],[Lvl]:[Paper Description]])</f>
        <v>2JI2R0401N480TOBIN WOMNS 048 SO A 48X961101100DS009-5000FROSTY WHITE</v>
      </c>
      <c r="J3450" s="7">
        <f>COUNTIF(Paper_Reference[Duplicate Key],Paper_Reference[[#This Row],[Duplicate Key]])</f>
        <v>1</v>
      </c>
    </row>
    <row r="3451" spans="1:10">
      <c r="A3451" s="7">
        <v>2</v>
      </c>
      <c r="B3451" s="8" t="s">
        <v>7810</v>
      </c>
      <c r="C3451" s="8" t="s">
        <v>7029</v>
      </c>
      <c r="D3451" s="7">
        <v>1</v>
      </c>
      <c r="E3451" s="7">
        <v>10</v>
      </c>
      <c r="F3451" s="7">
        <v>1</v>
      </c>
      <c r="G3451" s="8" t="s">
        <v>6710</v>
      </c>
      <c r="H3451" s="8" t="s">
        <v>5691</v>
      </c>
      <c r="I3451" s="7" t="str">
        <f>_xlfn.CONCAT(Paper_Reference[[#This Row],[Lvl]:[Paper Description]])</f>
        <v>2JI2R0401SD480TOBIN WOMNS 048 SO A 48X961101100DS009-5000FROSTY WHITE</v>
      </c>
      <c r="J3451" s="7">
        <f>COUNTIF(Paper_Reference[Duplicate Key],Paper_Reference[[#This Row],[Duplicate Key]])</f>
        <v>1</v>
      </c>
    </row>
    <row r="3452" spans="1:10">
      <c r="A3452" s="7">
        <v>2</v>
      </c>
      <c r="B3452" s="8" t="s">
        <v>7811</v>
      </c>
      <c r="C3452" s="8" t="s">
        <v>7030</v>
      </c>
      <c r="D3452" s="7">
        <v>1</v>
      </c>
      <c r="E3452" s="7">
        <v>10</v>
      </c>
      <c r="F3452" s="7">
        <v>1</v>
      </c>
      <c r="G3452" s="8" t="s">
        <v>6710</v>
      </c>
      <c r="H3452" s="8" t="s">
        <v>5691</v>
      </c>
      <c r="I3452" s="7" t="str">
        <f>_xlfn.CONCAT(Paper_Reference[[#This Row],[Lvl]:[Paper Description]])</f>
        <v>2JI2R0402N480TOBIN WOMNS 048 SO B 48X961101100DS009-5000FROSTY WHITE</v>
      </c>
      <c r="J3452" s="7">
        <f>COUNTIF(Paper_Reference[Duplicate Key],Paper_Reference[[#This Row],[Duplicate Key]])</f>
        <v>1</v>
      </c>
    </row>
    <row r="3453" spans="1:10">
      <c r="A3453" s="7">
        <v>2</v>
      </c>
      <c r="B3453" s="8" t="s">
        <v>7812</v>
      </c>
      <c r="C3453" s="8" t="s">
        <v>7030</v>
      </c>
      <c r="D3453" s="7">
        <v>1</v>
      </c>
      <c r="E3453" s="7">
        <v>10</v>
      </c>
      <c r="F3453" s="7">
        <v>1</v>
      </c>
      <c r="G3453" s="8" t="s">
        <v>6710</v>
      </c>
      <c r="H3453" s="8" t="s">
        <v>5691</v>
      </c>
      <c r="I3453" s="7" t="str">
        <f>_xlfn.CONCAT(Paper_Reference[[#This Row],[Lvl]:[Paper Description]])</f>
        <v>2JI2R0402SD480TOBIN WOMNS 048 SO B 48X961101100DS009-5000FROSTY WHITE</v>
      </c>
      <c r="J3453" s="7">
        <f>COUNTIF(Paper_Reference[Duplicate Key],Paper_Reference[[#This Row],[Duplicate Key]])</f>
        <v>1</v>
      </c>
    </row>
    <row r="3454" spans="1:10">
      <c r="A3454" s="7">
        <v>2</v>
      </c>
      <c r="B3454" s="8" t="s">
        <v>7813</v>
      </c>
      <c r="C3454" s="8" t="s">
        <v>7031</v>
      </c>
      <c r="D3454" s="7">
        <v>1</v>
      </c>
      <c r="E3454" s="7">
        <v>10</v>
      </c>
      <c r="F3454" s="7">
        <v>1</v>
      </c>
      <c r="G3454" s="8" t="s">
        <v>6710</v>
      </c>
      <c r="H3454" s="8" t="s">
        <v>5691</v>
      </c>
      <c r="I3454" s="7" t="str">
        <f>_xlfn.CONCAT(Paper_Reference[[#This Row],[Lvl]:[Paper Description]])</f>
        <v>2JI2R0403N480TOBIN WOMNS 048 SO C 48X961101100DS009-5000FROSTY WHITE</v>
      </c>
      <c r="J3454" s="7">
        <f>COUNTIF(Paper_Reference[Duplicate Key],Paper_Reference[[#This Row],[Duplicate Key]])</f>
        <v>1</v>
      </c>
    </row>
    <row r="3455" spans="1:10">
      <c r="A3455" s="7">
        <v>2</v>
      </c>
      <c r="B3455" s="8" t="s">
        <v>7814</v>
      </c>
      <c r="C3455" s="8" t="s">
        <v>7031</v>
      </c>
      <c r="D3455" s="7">
        <v>1</v>
      </c>
      <c r="E3455" s="7">
        <v>10</v>
      </c>
      <c r="F3455" s="7">
        <v>1</v>
      </c>
      <c r="G3455" s="8" t="s">
        <v>6710</v>
      </c>
      <c r="H3455" s="8" t="s">
        <v>5691</v>
      </c>
      <c r="I3455" s="7" t="str">
        <f>_xlfn.CONCAT(Paper_Reference[[#This Row],[Lvl]:[Paper Description]])</f>
        <v>2JI2R0403SD480TOBIN WOMNS 048 SO C 48X961101100DS009-5000FROSTY WHITE</v>
      </c>
      <c r="J3455" s="7">
        <f>COUNTIF(Paper_Reference[Duplicate Key],Paper_Reference[[#This Row],[Duplicate Key]])</f>
        <v>1</v>
      </c>
    </row>
    <row r="3456" spans="1:10">
      <c r="A3456" s="7">
        <v>2</v>
      </c>
      <c r="B3456" s="8" t="s">
        <v>7815</v>
      </c>
      <c r="C3456" s="8" t="s">
        <v>7032</v>
      </c>
      <c r="D3456" s="7">
        <v>1</v>
      </c>
      <c r="E3456" s="7">
        <v>10</v>
      </c>
      <c r="F3456" s="7">
        <v>1</v>
      </c>
      <c r="G3456" s="8" t="s">
        <v>6710</v>
      </c>
      <c r="H3456" s="8" t="s">
        <v>5691</v>
      </c>
      <c r="I3456" s="7" t="str">
        <f>_xlfn.CONCAT(Paper_Reference[[#This Row],[Lvl]:[Paper Description]])</f>
        <v>2JI2R0404N480TOBIN WOMNS 048 SO D 48X961101100DS009-5000FROSTY WHITE</v>
      </c>
      <c r="J3456" s="7">
        <f>COUNTIF(Paper_Reference[Duplicate Key],Paper_Reference[[#This Row],[Duplicate Key]])</f>
        <v>1</v>
      </c>
    </row>
    <row r="3457" spans="1:10">
      <c r="A3457" s="7">
        <v>2</v>
      </c>
      <c r="B3457" s="8" t="s">
        <v>7816</v>
      </c>
      <c r="C3457" s="8" t="s">
        <v>7032</v>
      </c>
      <c r="D3457" s="7">
        <v>1</v>
      </c>
      <c r="E3457" s="7">
        <v>10</v>
      </c>
      <c r="F3457" s="7">
        <v>1</v>
      </c>
      <c r="G3457" s="8" t="s">
        <v>6710</v>
      </c>
      <c r="H3457" s="8" t="s">
        <v>5691</v>
      </c>
      <c r="I3457" s="7" t="str">
        <f>_xlfn.CONCAT(Paper_Reference[[#This Row],[Lvl]:[Paper Description]])</f>
        <v>2JI2R0404SD480TOBIN WOMNS 048 SO D 48X961101100DS009-5000FROSTY WHITE</v>
      </c>
      <c r="J3457" s="7">
        <f>COUNTIF(Paper_Reference[Duplicate Key],Paper_Reference[[#This Row],[Duplicate Key]])</f>
        <v>1</v>
      </c>
    </row>
    <row r="3458" spans="1:10">
      <c r="A3458" s="7">
        <v>2</v>
      </c>
      <c r="B3458" s="8" t="s">
        <v>7817</v>
      </c>
      <c r="C3458" s="8" t="s">
        <v>7033</v>
      </c>
      <c r="D3458" s="7">
        <v>1</v>
      </c>
      <c r="E3458" s="7">
        <v>10</v>
      </c>
      <c r="F3458" s="7">
        <v>1</v>
      </c>
      <c r="G3458" s="8" t="s">
        <v>6710</v>
      </c>
      <c r="H3458" s="8" t="s">
        <v>5691</v>
      </c>
      <c r="I3458" s="7" t="str">
        <f>_xlfn.CONCAT(Paper_Reference[[#This Row],[Lvl]:[Paper Description]])</f>
        <v>2JI2R0405N480TOBIN WOMNS 048 WEST 48X961101100DS009-5000FROSTY WHITE</v>
      </c>
      <c r="J3458" s="7">
        <f>COUNTIF(Paper_Reference[Duplicate Key],Paper_Reference[[#This Row],[Duplicate Key]])</f>
        <v>1</v>
      </c>
    </row>
    <row r="3459" spans="1:10">
      <c r="A3459" s="7">
        <v>2</v>
      </c>
      <c r="B3459" s="8" t="s">
        <v>7818</v>
      </c>
      <c r="C3459" s="8" t="s">
        <v>7033</v>
      </c>
      <c r="D3459" s="7">
        <v>1</v>
      </c>
      <c r="E3459" s="7">
        <v>10</v>
      </c>
      <c r="F3459" s="7">
        <v>1</v>
      </c>
      <c r="G3459" s="8" t="s">
        <v>6710</v>
      </c>
      <c r="H3459" s="8" t="s">
        <v>5691</v>
      </c>
      <c r="I3459" s="7" t="str">
        <f>_xlfn.CONCAT(Paper_Reference[[#This Row],[Lvl]:[Paper Description]])</f>
        <v>2JI2R0405SD480TOBIN WOMNS 048 WEST 48X961101100DS009-5000FROSTY WHITE</v>
      </c>
      <c r="J3459" s="7">
        <f>COUNTIF(Paper_Reference[Duplicate Key],Paper_Reference[[#This Row],[Duplicate Key]])</f>
        <v>1</v>
      </c>
    </row>
    <row r="3460" spans="1:10">
      <c r="A3460" s="7">
        <v>2</v>
      </c>
      <c r="B3460" s="8" t="s">
        <v>7819</v>
      </c>
      <c r="C3460" s="8" t="s">
        <v>7034</v>
      </c>
      <c r="D3460" s="7">
        <v>1</v>
      </c>
      <c r="E3460" s="7">
        <v>10</v>
      </c>
      <c r="F3460" s="7">
        <v>1</v>
      </c>
      <c r="G3460" s="8" t="s">
        <v>6710</v>
      </c>
      <c r="H3460" s="8" t="s">
        <v>5691</v>
      </c>
      <c r="I3460" s="7" t="str">
        <f>_xlfn.CONCAT(Paper_Reference[[#This Row],[Lvl]:[Paper Description]])</f>
        <v>2JI2R0406N480TOBIN MENS 202 NRTH 48X961101100DS009-5000FROSTY WHITE</v>
      </c>
      <c r="J3460" s="7">
        <f>COUNTIF(Paper_Reference[Duplicate Key],Paper_Reference[[#This Row],[Duplicate Key]])</f>
        <v>1</v>
      </c>
    </row>
    <row r="3461" spans="1:10">
      <c r="A3461" s="7">
        <v>2</v>
      </c>
      <c r="B3461" s="8" t="s">
        <v>7820</v>
      </c>
      <c r="C3461" s="8" t="s">
        <v>7034</v>
      </c>
      <c r="D3461" s="7">
        <v>1</v>
      </c>
      <c r="E3461" s="7">
        <v>10</v>
      </c>
      <c r="F3461" s="7">
        <v>1</v>
      </c>
      <c r="G3461" s="8" t="s">
        <v>6710</v>
      </c>
      <c r="H3461" s="8" t="s">
        <v>5691</v>
      </c>
      <c r="I3461" s="7" t="str">
        <f>_xlfn.CONCAT(Paper_Reference[[#This Row],[Lvl]:[Paper Description]])</f>
        <v>2JI2R0406SD480TOBIN MENS 202 NRTH 48X961101100DS009-5000FROSTY WHITE</v>
      </c>
      <c r="J3461" s="7">
        <f>COUNTIF(Paper_Reference[Duplicate Key],Paper_Reference[[#This Row],[Duplicate Key]])</f>
        <v>1</v>
      </c>
    </row>
    <row r="3462" spans="1:10">
      <c r="A3462" s="7">
        <v>2</v>
      </c>
      <c r="B3462" s="8" t="s">
        <v>7821</v>
      </c>
      <c r="C3462" s="8" t="s">
        <v>7035</v>
      </c>
      <c r="D3462" s="7">
        <v>1</v>
      </c>
      <c r="E3462" s="7">
        <v>10</v>
      </c>
      <c r="F3462" s="7">
        <v>1</v>
      </c>
      <c r="G3462" s="8" t="s">
        <v>6710</v>
      </c>
      <c r="H3462" s="8" t="s">
        <v>5691</v>
      </c>
      <c r="I3462" s="7" t="str">
        <f>_xlfn.CONCAT(Paper_Reference[[#This Row],[Lvl]:[Paper Description]])</f>
        <v>2JI2R0407N480TOBIN WOMNS 206 NRTH 48X961101100DS009-5000FROSTY WHITE</v>
      </c>
      <c r="J3462" s="7">
        <f>COUNTIF(Paper_Reference[Duplicate Key],Paper_Reference[[#This Row],[Duplicate Key]])</f>
        <v>1</v>
      </c>
    </row>
    <row r="3463" spans="1:10">
      <c r="A3463" s="7">
        <v>2</v>
      </c>
      <c r="B3463" s="8" t="s">
        <v>7822</v>
      </c>
      <c r="C3463" s="8" t="s">
        <v>7035</v>
      </c>
      <c r="D3463" s="7">
        <v>1</v>
      </c>
      <c r="E3463" s="7">
        <v>10</v>
      </c>
      <c r="F3463" s="7">
        <v>1</v>
      </c>
      <c r="G3463" s="8" t="s">
        <v>6710</v>
      </c>
      <c r="H3463" s="8" t="s">
        <v>5691</v>
      </c>
      <c r="I3463" s="7" t="str">
        <f>_xlfn.CONCAT(Paper_Reference[[#This Row],[Lvl]:[Paper Description]])</f>
        <v>2JI2R0407SD480TOBIN WOMNS 206 NRTH 48X961101100DS009-5000FROSTY WHITE</v>
      </c>
      <c r="J3463" s="7">
        <f>COUNTIF(Paper_Reference[Duplicate Key],Paper_Reference[[#This Row],[Duplicate Key]])</f>
        <v>1</v>
      </c>
    </row>
    <row r="3464" spans="1:10">
      <c r="A3464" s="7">
        <v>2</v>
      </c>
      <c r="B3464" s="8" t="s">
        <v>7823</v>
      </c>
      <c r="C3464" s="8" t="s">
        <v>7036</v>
      </c>
      <c r="D3464" s="7">
        <v>1</v>
      </c>
      <c r="E3464" s="7">
        <v>10</v>
      </c>
      <c r="F3464" s="7">
        <v>1</v>
      </c>
      <c r="G3464" s="8" t="s">
        <v>6710</v>
      </c>
      <c r="H3464" s="8" t="s">
        <v>5691</v>
      </c>
      <c r="I3464" s="7" t="str">
        <f>_xlfn.CONCAT(Paper_Reference[[#This Row],[Lvl]:[Paper Description]])</f>
        <v>2JI2R0408N480TOBIN WOMNS 211 SO 48X961101100DS009-5000FROSTY WHITE</v>
      </c>
      <c r="J3464" s="7">
        <f>COUNTIF(Paper_Reference[Duplicate Key],Paper_Reference[[#This Row],[Duplicate Key]])</f>
        <v>1</v>
      </c>
    </row>
    <row r="3465" spans="1:10">
      <c r="A3465" s="7">
        <v>2</v>
      </c>
      <c r="B3465" s="8" t="s">
        <v>7824</v>
      </c>
      <c r="C3465" s="8" t="s">
        <v>7036</v>
      </c>
      <c r="D3465" s="7">
        <v>1</v>
      </c>
      <c r="E3465" s="7">
        <v>10</v>
      </c>
      <c r="F3465" s="7">
        <v>1</v>
      </c>
      <c r="G3465" s="8" t="s">
        <v>6710</v>
      </c>
      <c r="H3465" s="8" t="s">
        <v>5691</v>
      </c>
      <c r="I3465" s="7" t="str">
        <f>_xlfn.CONCAT(Paper_Reference[[#This Row],[Lvl]:[Paper Description]])</f>
        <v>2JI2R0408SD480TOBIN WOMNS 211 SO 48X961101100DS009-5000FROSTY WHITE</v>
      </c>
      <c r="J3465" s="7">
        <f>COUNTIF(Paper_Reference[Duplicate Key],Paper_Reference[[#This Row],[Duplicate Key]])</f>
        <v>1</v>
      </c>
    </row>
    <row r="3466" spans="1:10">
      <c r="A3466" s="7">
        <v>2</v>
      </c>
      <c r="B3466" s="8" t="s">
        <v>7825</v>
      </c>
      <c r="C3466" s="8" t="s">
        <v>7037</v>
      </c>
      <c r="D3466" s="7">
        <v>1</v>
      </c>
      <c r="E3466" s="7">
        <v>10</v>
      </c>
      <c r="F3466" s="7">
        <v>1</v>
      </c>
      <c r="G3466" s="8" t="s">
        <v>6710</v>
      </c>
      <c r="H3466" s="8" t="s">
        <v>5691</v>
      </c>
      <c r="I3466" s="7" t="str">
        <f>_xlfn.CONCAT(Paper_Reference[[#This Row],[Lvl]:[Paper Description]])</f>
        <v>2JI2R0409N480TOBIN WOMNS 211 WEST 48X961101100DS009-5000FROSTY WHITE</v>
      </c>
      <c r="J3466" s="7">
        <f>COUNTIF(Paper_Reference[Duplicate Key],Paper_Reference[[#This Row],[Duplicate Key]])</f>
        <v>1</v>
      </c>
    </row>
    <row r="3467" spans="1:10">
      <c r="A3467" s="7">
        <v>2</v>
      </c>
      <c r="B3467" s="8" t="s">
        <v>7826</v>
      </c>
      <c r="C3467" s="8" t="s">
        <v>7037</v>
      </c>
      <c r="D3467" s="7">
        <v>1</v>
      </c>
      <c r="E3467" s="7">
        <v>10</v>
      </c>
      <c r="F3467" s="7">
        <v>1</v>
      </c>
      <c r="G3467" s="8" t="s">
        <v>6710</v>
      </c>
      <c r="H3467" s="8" t="s">
        <v>5691</v>
      </c>
      <c r="I3467" s="7" t="str">
        <f>_xlfn.CONCAT(Paper_Reference[[#This Row],[Lvl]:[Paper Description]])</f>
        <v>2JI2R0409SD480TOBIN WOMNS 211 WEST 48X961101100DS009-5000FROSTY WHITE</v>
      </c>
      <c r="J3467" s="7">
        <f>COUNTIF(Paper_Reference[Duplicate Key],Paper_Reference[[#This Row],[Duplicate Key]])</f>
        <v>1</v>
      </c>
    </row>
    <row r="3468" spans="1:10">
      <c r="A3468" s="7">
        <v>2</v>
      </c>
      <c r="B3468" s="8" t="s">
        <v>7827</v>
      </c>
      <c r="C3468" s="8" t="s">
        <v>7038</v>
      </c>
      <c r="D3468" s="7">
        <v>1</v>
      </c>
      <c r="E3468" s="7">
        <v>10</v>
      </c>
      <c r="F3468" s="7">
        <v>1</v>
      </c>
      <c r="G3468" s="8" t="s">
        <v>6710</v>
      </c>
      <c r="H3468" s="8" t="s">
        <v>5691</v>
      </c>
      <c r="I3468" s="7" t="str">
        <f>_xlfn.CONCAT(Paper_Reference[[#This Row],[Lvl]:[Paper Description]])</f>
        <v>2JI2R0410N480TOBIN MENS 363 NRTH 48X961101100DS009-5000FROSTY WHITE</v>
      </c>
      <c r="J3468" s="7">
        <f>COUNTIF(Paper_Reference[Duplicate Key],Paper_Reference[[#This Row],[Duplicate Key]])</f>
        <v>1</v>
      </c>
    </row>
    <row r="3469" spans="1:10">
      <c r="A3469" s="7">
        <v>2</v>
      </c>
      <c r="B3469" s="8" t="s">
        <v>7828</v>
      </c>
      <c r="C3469" s="8" t="s">
        <v>7038</v>
      </c>
      <c r="D3469" s="7">
        <v>1</v>
      </c>
      <c r="E3469" s="7">
        <v>10</v>
      </c>
      <c r="F3469" s="7">
        <v>1</v>
      </c>
      <c r="G3469" s="8" t="s">
        <v>6710</v>
      </c>
      <c r="H3469" s="8" t="s">
        <v>5691</v>
      </c>
      <c r="I3469" s="7" t="str">
        <f>_xlfn.CONCAT(Paper_Reference[[#This Row],[Lvl]:[Paper Description]])</f>
        <v>2JI2R0410SD480TOBIN MENS 363 NRTH 48X961101100DS009-5000FROSTY WHITE</v>
      </c>
      <c r="J3469" s="7">
        <f>COUNTIF(Paper_Reference[Duplicate Key],Paper_Reference[[#This Row],[Duplicate Key]])</f>
        <v>1</v>
      </c>
    </row>
    <row r="3470" spans="1:10">
      <c r="A3470" s="7">
        <v>2</v>
      </c>
      <c r="B3470" s="8" t="s">
        <v>7829</v>
      </c>
      <c r="C3470" s="8" t="s">
        <v>7039</v>
      </c>
      <c r="D3470" s="7">
        <v>1</v>
      </c>
      <c r="E3470" s="7">
        <v>10</v>
      </c>
      <c r="F3470" s="7">
        <v>1</v>
      </c>
      <c r="G3470" s="8" t="s">
        <v>6710</v>
      </c>
      <c r="H3470" s="8" t="s">
        <v>5691</v>
      </c>
      <c r="I3470" s="7" t="str">
        <f>_xlfn.CONCAT(Paper_Reference[[#This Row],[Lvl]:[Paper Description]])</f>
        <v>2JI2R0411N480TOBIN MENS 364 NRTH A 48X961101100DS009-5000FROSTY WHITE</v>
      </c>
      <c r="J3470" s="7">
        <f>COUNTIF(Paper_Reference[Duplicate Key],Paper_Reference[[#This Row],[Duplicate Key]])</f>
        <v>1</v>
      </c>
    </row>
    <row r="3471" spans="1:10">
      <c r="A3471" s="7">
        <v>2</v>
      </c>
      <c r="B3471" s="8" t="s">
        <v>7830</v>
      </c>
      <c r="C3471" s="8" t="s">
        <v>7039</v>
      </c>
      <c r="D3471" s="7">
        <v>1</v>
      </c>
      <c r="E3471" s="7">
        <v>10</v>
      </c>
      <c r="F3471" s="7">
        <v>1</v>
      </c>
      <c r="G3471" s="8" t="s">
        <v>6710</v>
      </c>
      <c r="H3471" s="8" t="s">
        <v>5691</v>
      </c>
      <c r="I3471" s="7" t="str">
        <f>_xlfn.CONCAT(Paper_Reference[[#This Row],[Lvl]:[Paper Description]])</f>
        <v>2JI2R0411SD480TOBIN MENS 364 NRTH A 48X961101100DS009-5000FROSTY WHITE</v>
      </c>
      <c r="J3471" s="7">
        <f>COUNTIF(Paper_Reference[Duplicate Key],Paper_Reference[[#This Row],[Duplicate Key]])</f>
        <v>1</v>
      </c>
    </row>
    <row r="3472" spans="1:10">
      <c r="A3472" s="7">
        <v>2</v>
      </c>
      <c r="B3472" s="8" t="s">
        <v>7831</v>
      </c>
      <c r="C3472" s="8" t="s">
        <v>7040</v>
      </c>
      <c r="D3472" s="7">
        <v>1</v>
      </c>
      <c r="E3472" s="7">
        <v>10</v>
      </c>
      <c r="F3472" s="7">
        <v>1</v>
      </c>
      <c r="G3472" s="8" t="s">
        <v>6710</v>
      </c>
      <c r="H3472" s="8" t="s">
        <v>5691</v>
      </c>
      <c r="I3472" s="7" t="str">
        <f>_xlfn.CONCAT(Paper_Reference[[#This Row],[Lvl]:[Paper Description]])</f>
        <v>2JI2R0412N480TOBIN MENS 364 NRTH B 48X961101100DS009-5000FROSTY WHITE</v>
      </c>
      <c r="J3472" s="7">
        <f>COUNTIF(Paper_Reference[Duplicate Key],Paper_Reference[[#This Row],[Duplicate Key]])</f>
        <v>1</v>
      </c>
    </row>
    <row r="3473" spans="1:10">
      <c r="A3473" s="7">
        <v>2</v>
      </c>
      <c r="B3473" s="8" t="s">
        <v>7832</v>
      </c>
      <c r="C3473" s="8" t="s">
        <v>7040</v>
      </c>
      <c r="D3473" s="7">
        <v>1</v>
      </c>
      <c r="E3473" s="7">
        <v>10</v>
      </c>
      <c r="F3473" s="7">
        <v>1</v>
      </c>
      <c r="G3473" s="8" t="s">
        <v>6710</v>
      </c>
      <c r="H3473" s="8" t="s">
        <v>5691</v>
      </c>
      <c r="I3473" s="7" t="str">
        <f>_xlfn.CONCAT(Paper_Reference[[#This Row],[Lvl]:[Paper Description]])</f>
        <v>2JI2R0412SD480TOBIN MENS 364 NRTH B 48X961101100DS009-5000FROSTY WHITE</v>
      </c>
      <c r="J3473" s="7">
        <f>COUNTIF(Paper_Reference[Duplicate Key],Paper_Reference[[#This Row],[Duplicate Key]])</f>
        <v>1</v>
      </c>
    </row>
    <row r="3474" spans="1:10">
      <c r="A3474" s="7">
        <v>2</v>
      </c>
      <c r="B3474" s="8" t="s">
        <v>7833</v>
      </c>
      <c r="C3474" s="8" t="s">
        <v>7041</v>
      </c>
      <c r="D3474" s="7">
        <v>1</v>
      </c>
      <c r="E3474" s="7">
        <v>10</v>
      </c>
      <c r="F3474" s="7">
        <v>1</v>
      </c>
      <c r="G3474" s="8" t="s">
        <v>6710</v>
      </c>
      <c r="H3474" s="8" t="s">
        <v>5691</v>
      </c>
      <c r="I3474" s="7" t="str">
        <f>_xlfn.CONCAT(Paper_Reference[[#This Row],[Lvl]:[Paper Description]])</f>
        <v>2JI2R0413N480TOBIN WOMNS 365 NRTH 48X961101100DS009-5000FROSTY WHITE</v>
      </c>
      <c r="J3474" s="7">
        <f>COUNTIF(Paper_Reference[Duplicate Key],Paper_Reference[[#This Row],[Duplicate Key]])</f>
        <v>1</v>
      </c>
    </row>
    <row r="3475" spans="1:10">
      <c r="A3475" s="7">
        <v>2</v>
      </c>
      <c r="B3475" s="8" t="s">
        <v>7834</v>
      </c>
      <c r="C3475" s="8" t="s">
        <v>7041</v>
      </c>
      <c r="D3475" s="7">
        <v>1</v>
      </c>
      <c r="E3475" s="7">
        <v>10</v>
      </c>
      <c r="F3475" s="7">
        <v>1</v>
      </c>
      <c r="G3475" s="8" t="s">
        <v>6710</v>
      </c>
      <c r="H3475" s="8" t="s">
        <v>5691</v>
      </c>
      <c r="I3475" s="7" t="str">
        <f>_xlfn.CONCAT(Paper_Reference[[#This Row],[Lvl]:[Paper Description]])</f>
        <v>2JI2R0413SD480TOBIN WOMNS 365 NRTH 48X961101100DS009-5000FROSTY WHITE</v>
      </c>
      <c r="J3475" s="7">
        <f>COUNTIF(Paper_Reference[Duplicate Key],Paper_Reference[[#This Row],[Duplicate Key]])</f>
        <v>1</v>
      </c>
    </row>
    <row r="3476" spans="1:10">
      <c r="A3476" s="7">
        <v>2</v>
      </c>
      <c r="B3476" s="8" t="s">
        <v>7835</v>
      </c>
      <c r="C3476" s="8" t="s">
        <v>7042</v>
      </c>
      <c r="D3476" s="7">
        <v>1</v>
      </c>
      <c r="E3476" s="7">
        <v>10</v>
      </c>
      <c r="F3476" s="7">
        <v>1</v>
      </c>
      <c r="G3476" s="8" t="s">
        <v>6710</v>
      </c>
      <c r="H3476" s="8" t="s">
        <v>5691</v>
      </c>
      <c r="I3476" s="7" t="str">
        <f>_xlfn.CONCAT(Paper_Reference[[#This Row],[Lvl]:[Paper Description]])</f>
        <v>2JI2R0414N480TOBIN WOMNS 365 WEST 48X961101100DS009-5000FROSTY WHITE</v>
      </c>
      <c r="J3476" s="7">
        <f>COUNTIF(Paper_Reference[Duplicate Key],Paper_Reference[[#This Row],[Duplicate Key]])</f>
        <v>1</v>
      </c>
    </row>
    <row r="3477" spans="1:10">
      <c r="A3477" s="7">
        <v>2</v>
      </c>
      <c r="B3477" s="8" t="s">
        <v>7836</v>
      </c>
      <c r="C3477" s="8" t="s">
        <v>7042</v>
      </c>
      <c r="D3477" s="7">
        <v>1</v>
      </c>
      <c r="E3477" s="7">
        <v>10</v>
      </c>
      <c r="F3477" s="7">
        <v>1</v>
      </c>
      <c r="G3477" s="8" t="s">
        <v>6710</v>
      </c>
      <c r="H3477" s="8" t="s">
        <v>5691</v>
      </c>
      <c r="I3477" s="7" t="str">
        <f>_xlfn.CONCAT(Paper_Reference[[#This Row],[Lvl]:[Paper Description]])</f>
        <v>2JI2R0414SD480TOBIN WOMNS 365 WEST 48X961101100DS009-5000FROSTY WHITE</v>
      </c>
      <c r="J3477" s="7">
        <f>COUNTIF(Paper_Reference[Duplicate Key],Paper_Reference[[#This Row],[Duplicate Key]])</f>
        <v>1</v>
      </c>
    </row>
    <row r="3478" spans="1:10">
      <c r="A3478" s="7">
        <v>2</v>
      </c>
      <c r="B3478" s="8" t="s">
        <v>7837</v>
      </c>
      <c r="C3478" s="8" t="s">
        <v>7043</v>
      </c>
      <c r="D3478" s="7">
        <v>1</v>
      </c>
      <c r="E3478" s="7">
        <v>10</v>
      </c>
      <c r="F3478" s="7">
        <v>1</v>
      </c>
      <c r="G3478" s="8" t="s">
        <v>6710</v>
      </c>
      <c r="H3478" s="8" t="s">
        <v>5691</v>
      </c>
      <c r="I3478" s="7" t="str">
        <f>_xlfn.CONCAT(Paper_Reference[[#This Row],[Lvl]:[Paper Description]])</f>
        <v>2JI2R0415N480TOBIN WOMNS 366 NRTH A 48X961101100DS009-5000FROSTY WHITE</v>
      </c>
      <c r="J3478" s="7">
        <f>COUNTIF(Paper_Reference[Duplicate Key],Paper_Reference[[#This Row],[Duplicate Key]])</f>
        <v>1</v>
      </c>
    </row>
    <row r="3479" spans="1:10">
      <c r="A3479" s="7">
        <v>2</v>
      </c>
      <c r="B3479" s="8" t="s">
        <v>7838</v>
      </c>
      <c r="C3479" s="8" t="s">
        <v>7043</v>
      </c>
      <c r="D3479" s="7">
        <v>1</v>
      </c>
      <c r="E3479" s="7">
        <v>10</v>
      </c>
      <c r="F3479" s="7">
        <v>1</v>
      </c>
      <c r="G3479" s="8" t="s">
        <v>6710</v>
      </c>
      <c r="H3479" s="8" t="s">
        <v>5691</v>
      </c>
      <c r="I3479" s="7" t="str">
        <f>_xlfn.CONCAT(Paper_Reference[[#This Row],[Lvl]:[Paper Description]])</f>
        <v>2JI2R0415SD480TOBIN WOMNS 366 NRTH A 48X961101100DS009-5000FROSTY WHITE</v>
      </c>
      <c r="J3479" s="7">
        <f>COUNTIF(Paper_Reference[Duplicate Key],Paper_Reference[[#This Row],[Duplicate Key]])</f>
        <v>1</v>
      </c>
    </row>
    <row r="3480" spans="1:10">
      <c r="A3480" s="7">
        <v>2</v>
      </c>
      <c r="B3480" s="8" t="s">
        <v>7839</v>
      </c>
      <c r="C3480" s="8" t="s">
        <v>7044</v>
      </c>
      <c r="D3480" s="7">
        <v>1</v>
      </c>
      <c r="E3480" s="7">
        <v>10</v>
      </c>
      <c r="F3480" s="7">
        <v>1</v>
      </c>
      <c r="G3480" s="8" t="s">
        <v>6710</v>
      </c>
      <c r="H3480" s="8" t="s">
        <v>5691</v>
      </c>
      <c r="I3480" s="7" t="str">
        <f>_xlfn.CONCAT(Paper_Reference[[#This Row],[Lvl]:[Paper Description]])</f>
        <v>2JI2R0416N480TOBIN WOMNS 366 NRTH B 48X961101100DS009-5000FROSTY WHITE</v>
      </c>
      <c r="J3480" s="7">
        <f>COUNTIF(Paper_Reference[Duplicate Key],Paper_Reference[[#This Row],[Duplicate Key]])</f>
        <v>1</v>
      </c>
    </row>
    <row r="3481" spans="1:10">
      <c r="A3481" s="7">
        <v>2</v>
      </c>
      <c r="B3481" s="8" t="s">
        <v>7840</v>
      </c>
      <c r="C3481" s="8" t="s">
        <v>7044</v>
      </c>
      <c r="D3481" s="7">
        <v>1</v>
      </c>
      <c r="E3481" s="7">
        <v>10</v>
      </c>
      <c r="F3481" s="7">
        <v>1</v>
      </c>
      <c r="G3481" s="8" t="s">
        <v>6710</v>
      </c>
      <c r="H3481" s="8" t="s">
        <v>5691</v>
      </c>
      <c r="I3481" s="7" t="str">
        <f>_xlfn.CONCAT(Paper_Reference[[#This Row],[Lvl]:[Paper Description]])</f>
        <v>2JI2R0416SD480TOBIN WOMNS 366 NRTH B 48X961101100DS009-5000FROSTY WHITE</v>
      </c>
      <c r="J3481" s="7">
        <f>COUNTIF(Paper_Reference[Duplicate Key],Paper_Reference[[#This Row],[Duplicate Key]])</f>
        <v>1</v>
      </c>
    </row>
    <row r="3482" spans="1:10">
      <c r="A3482" s="7">
        <v>2</v>
      </c>
      <c r="B3482" s="8" t="s">
        <v>7841</v>
      </c>
      <c r="C3482" s="8" t="s">
        <v>7045</v>
      </c>
      <c r="D3482" s="7">
        <v>1</v>
      </c>
      <c r="E3482" s="7">
        <v>10</v>
      </c>
      <c r="F3482" s="7">
        <v>1</v>
      </c>
      <c r="G3482" s="8" t="s">
        <v>6710</v>
      </c>
      <c r="H3482" s="8" t="s">
        <v>5691</v>
      </c>
      <c r="I3482" s="7" t="str">
        <f>_xlfn.CONCAT(Paper_Reference[[#This Row],[Lvl]:[Paper Description]])</f>
        <v>2JI2R0417N480TOBIN WOMNS 366 SO 48X961101100DS009-5000FROSTY WHITE</v>
      </c>
      <c r="J3482" s="7">
        <f>COUNTIF(Paper_Reference[Duplicate Key],Paper_Reference[[#This Row],[Duplicate Key]])</f>
        <v>1</v>
      </c>
    </row>
    <row r="3483" spans="1:10">
      <c r="A3483" s="7">
        <v>2</v>
      </c>
      <c r="B3483" s="8" t="s">
        <v>7842</v>
      </c>
      <c r="C3483" s="8" t="s">
        <v>7045</v>
      </c>
      <c r="D3483" s="7">
        <v>1</v>
      </c>
      <c r="E3483" s="7">
        <v>10</v>
      </c>
      <c r="F3483" s="7">
        <v>1</v>
      </c>
      <c r="G3483" s="8" t="s">
        <v>6710</v>
      </c>
      <c r="H3483" s="8" t="s">
        <v>5691</v>
      </c>
      <c r="I3483" s="7" t="str">
        <f>_xlfn.CONCAT(Paper_Reference[[#This Row],[Lvl]:[Paper Description]])</f>
        <v>2JI2R0417SD480TOBIN WOMNS 366 SO 48X961101100DS009-5000FROSTY WHITE</v>
      </c>
      <c r="J3483" s="7">
        <f>COUNTIF(Paper_Reference[Duplicate Key],Paper_Reference[[#This Row],[Duplicate Key]])</f>
        <v>1</v>
      </c>
    </row>
    <row r="3484" spans="1:10">
      <c r="A3484" s="7">
        <v>2</v>
      </c>
      <c r="B3484" s="8" t="s">
        <v>7843</v>
      </c>
      <c r="C3484" s="8" t="s">
        <v>7046</v>
      </c>
      <c r="D3484" s="7">
        <v>1</v>
      </c>
      <c r="E3484" s="7">
        <v>10</v>
      </c>
      <c r="F3484" s="7">
        <v>1</v>
      </c>
      <c r="G3484" s="8" t="s">
        <v>6710</v>
      </c>
      <c r="H3484" s="8" t="s">
        <v>5691</v>
      </c>
      <c r="I3484" s="7" t="str">
        <f>_xlfn.CONCAT(Paper_Reference[[#This Row],[Lvl]:[Paper Description]])</f>
        <v>2JI4R0001N480TRU GREEN H/W 48 X 961101100DS009-5000FROSTY WHITE</v>
      </c>
      <c r="J3484" s="7">
        <f>COUNTIF(Paper_Reference[Duplicate Key],Paper_Reference[[#This Row],[Duplicate Key]])</f>
        <v>1</v>
      </c>
    </row>
    <row r="3485" spans="1:10">
      <c r="A3485" s="7">
        <v>2</v>
      </c>
      <c r="B3485" s="8" t="s">
        <v>7844</v>
      </c>
      <c r="C3485" s="8" t="s">
        <v>7047</v>
      </c>
      <c r="D3485" s="7">
        <v>1</v>
      </c>
      <c r="E3485" s="7">
        <v>10</v>
      </c>
      <c r="F3485" s="7">
        <v>1</v>
      </c>
      <c r="G3485" s="8" t="s">
        <v>6710</v>
      </c>
      <c r="H3485" s="8" t="s">
        <v>5691</v>
      </c>
      <c r="I3485" s="7" t="str">
        <f>_xlfn.CONCAT(Paper_Reference[[#This Row],[Lvl]:[Paper Description]])</f>
        <v>2JI4R0030N380TOTAL IMAGING H/W 36 X 961101100DS009-5000FROSTY WHITE</v>
      </c>
      <c r="J3485" s="7">
        <f>COUNTIF(Paper_Reference[Duplicate Key],Paper_Reference[[#This Row],[Duplicate Key]])</f>
        <v>1</v>
      </c>
    </row>
    <row r="3486" spans="1:10">
      <c r="A3486" s="7">
        <v>2</v>
      </c>
      <c r="B3486" s="8" t="s">
        <v>7845</v>
      </c>
      <c r="C3486" s="8" t="s">
        <v>7048</v>
      </c>
      <c r="D3486" s="7">
        <v>1</v>
      </c>
      <c r="E3486" s="7">
        <v>10</v>
      </c>
      <c r="F3486" s="7">
        <v>1</v>
      </c>
      <c r="G3486" s="8" t="s">
        <v>6710</v>
      </c>
      <c r="H3486" s="8" t="s">
        <v>5691</v>
      </c>
      <c r="I3486" s="7" t="str">
        <f>_xlfn.CONCAT(Paper_Reference[[#This Row],[Lvl]:[Paper Description]])</f>
        <v>2JI4R0067N320TOTAL IMAGING A  H/W 36 X 1441101100DS009-5000FROSTY WHITE</v>
      </c>
      <c r="J3486" s="7">
        <f>COUNTIF(Paper_Reference[Duplicate Key],Paper_Reference[[#This Row],[Duplicate Key]])</f>
        <v>1</v>
      </c>
    </row>
    <row r="3487" spans="1:10">
      <c r="A3487" s="7">
        <v>2</v>
      </c>
      <c r="B3487" s="8" t="s">
        <v>7846</v>
      </c>
      <c r="C3487" s="8" t="s">
        <v>7049</v>
      </c>
      <c r="D3487" s="7">
        <v>1</v>
      </c>
      <c r="E3487" s="7">
        <v>10</v>
      </c>
      <c r="F3487" s="7">
        <v>1</v>
      </c>
      <c r="G3487" s="8" t="s">
        <v>6710</v>
      </c>
      <c r="H3487" s="8" t="s">
        <v>5691</v>
      </c>
      <c r="I3487" s="7" t="str">
        <f>_xlfn.CONCAT(Paper_Reference[[#This Row],[Lvl]:[Paper Description]])</f>
        <v>2JI4R0068N300TOTAL IMAGING B H/W 36 X 1201101100DS009-5000FROSTY WHITE</v>
      </c>
      <c r="J3487" s="7">
        <f>COUNTIF(Paper_Reference[Duplicate Key],Paper_Reference[[#This Row],[Duplicate Key]])</f>
        <v>1</v>
      </c>
    </row>
    <row r="3488" spans="1:10">
      <c r="A3488" s="7">
        <v>2</v>
      </c>
      <c r="B3488" s="8" t="s">
        <v>7847</v>
      </c>
      <c r="C3488" s="8" t="s">
        <v>7050</v>
      </c>
      <c r="D3488" s="7">
        <v>1</v>
      </c>
      <c r="E3488" s="7">
        <v>10</v>
      </c>
      <c r="F3488" s="7">
        <v>1</v>
      </c>
      <c r="G3488" s="8" t="s">
        <v>6710</v>
      </c>
      <c r="H3488" s="8" t="s">
        <v>5691</v>
      </c>
      <c r="I3488" s="7" t="str">
        <f>_xlfn.CONCAT(Paper_Reference[[#This Row],[Lvl]:[Paper Description]])</f>
        <v>2JI4R0069N300TOTAL IMAGING C H/W 36 X 1201101100DS009-5000FROSTY WHITE</v>
      </c>
      <c r="J3488" s="7">
        <f>COUNTIF(Paper_Reference[Duplicate Key],Paper_Reference[[#This Row],[Duplicate Key]])</f>
        <v>1</v>
      </c>
    </row>
    <row r="3489" spans="1:10">
      <c r="A3489" s="7">
        <v>2</v>
      </c>
      <c r="B3489" s="8" t="s">
        <v>7848</v>
      </c>
      <c r="C3489" s="8" t="s">
        <v>7051</v>
      </c>
      <c r="D3489" s="7">
        <v>1</v>
      </c>
      <c r="E3489" s="7">
        <v>10</v>
      </c>
      <c r="F3489" s="7">
        <v>1</v>
      </c>
      <c r="G3489" s="8" t="s">
        <v>6710</v>
      </c>
      <c r="H3489" s="8" t="s">
        <v>5691</v>
      </c>
      <c r="I3489" s="7" t="str">
        <f>_xlfn.CONCAT(Paper_Reference[[#This Row],[Lvl]:[Paper Description]])</f>
        <v>2JI4R0070N300TOTAL IMAGING D H/W 36 X 1201101100DS009-5000FROSTY WHITE</v>
      </c>
      <c r="J3489" s="7">
        <f>COUNTIF(Paper_Reference[Duplicate Key],Paper_Reference[[#This Row],[Duplicate Key]])</f>
        <v>1</v>
      </c>
    </row>
    <row r="3490" spans="1:10">
      <c r="A3490" s="7">
        <v>2</v>
      </c>
      <c r="B3490" s="8" t="s">
        <v>7849</v>
      </c>
      <c r="C3490" s="8" t="s">
        <v>7052</v>
      </c>
      <c r="D3490" s="7">
        <v>1</v>
      </c>
      <c r="E3490" s="7">
        <v>10</v>
      </c>
      <c r="F3490" s="7">
        <v>1</v>
      </c>
      <c r="G3490" s="8" t="s">
        <v>6710</v>
      </c>
      <c r="H3490" s="8" t="s">
        <v>5691</v>
      </c>
      <c r="I3490" s="7" t="str">
        <f>_xlfn.CONCAT(Paper_Reference[[#This Row],[Lvl]:[Paper Description]])</f>
        <v>2JI4R0071N300TOTAL IMAGING E H/W 36 X 1201101100DS009-5000FROSTY WHITE</v>
      </c>
      <c r="J3490" s="7">
        <f>COUNTIF(Paper_Reference[Duplicate Key],Paper_Reference[[#This Row],[Duplicate Key]])</f>
        <v>1</v>
      </c>
    </row>
    <row r="3491" spans="1:10">
      <c r="A3491" s="7">
        <v>2</v>
      </c>
      <c r="B3491" s="8" t="s">
        <v>7850</v>
      </c>
      <c r="C3491" s="8" t="s">
        <v>7053</v>
      </c>
      <c r="D3491" s="7">
        <v>1</v>
      </c>
      <c r="E3491" s="7">
        <v>10</v>
      </c>
      <c r="F3491" s="7">
        <v>1</v>
      </c>
      <c r="G3491" s="8" t="s">
        <v>6710</v>
      </c>
      <c r="H3491" s="8" t="s">
        <v>5691</v>
      </c>
      <c r="I3491" s="7" t="str">
        <f>_xlfn.CONCAT(Paper_Reference[[#This Row],[Lvl]:[Paper Description]])</f>
        <v>2JI4R0072N380TOTAL IMAGING F H/W 36 X 961101100DS009-5000FROSTY WHITE</v>
      </c>
      <c r="J3491" s="7">
        <f>COUNTIF(Paper_Reference[Duplicate Key],Paper_Reference[[#This Row],[Duplicate Key]])</f>
        <v>1</v>
      </c>
    </row>
    <row r="3492" spans="1:10">
      <c r="A3492" s="7">
        <v>2</v>
      </c>
      <c r="B3492" s="8" t="s">
        <v>7851</v>
      </c>
      <c r="C3492" s="8" t="s">
        <v>7054</v>
      </c>
      <c r="D3492" s="7">
        <v>1</v>
      </c>
      <c r="E3492" s="7">
        <v>10</v>
      </c>
      <c r="F3492" s="7">
        <v>1</v>
      </c>
      <c r="G3492" s="8" t="s">
        <v>6710</v>
      </c>
      <c r="H3492" s="8" t="s">
        <v>5691</v>
      </c>
      <c r="I3492" s="7" t="str">
        <f>_xlfn.CONCAT(Paper_Reference[[#This Row],[Lvl]:[Paper Description]])</f>
        <v>2JI4R0073N400TOTAL IMAGING G 48 X 1201101100DS009-5000FROSTY WHITE</v>
      </c>
      <c r="J3492" s="7">
        <f>COUNTIF(Paper_Reference[Duplicate Key],Paper_Reference[[#This Row],[Duplicate Key]])</f>
        <v>1</v>
      </c>
    </row>
    <row r="3493" spans="1:10">
      <c r="A3493" s="7">
        <v>2</v>
      </c>
      <c r="B3493" s="8" t="s">
        <v>7852</v>
      </c>
      <c r="C3493" s="8" t="s">
        <v>7055</v>
      </c>
      <c r="D3493" s="7">
        <v>1</v>
      </c>
      <c r="E3493" s="7">
        <v>10</v>
      </c>
      <c r="F3493" s="7">
        <v>1</v>
      </c>
      <c r="G3493" s="8" t="s">
        <v>6710</v>
      </c>
      <c r="H3493" s="8" t="s">
        <v>5691</v>
      </c>
      <c r="I3493" s="7" t="str">
        <f>_xlfn.CONCAT(Paper_Reference[[#This Row],[Lvl]:[Paper Description]])</f>
        <v>2JI4R0074N400TOTAL IMAGING H 48 X 1201101100DS009-5000FROSTY WHITE</v>
      </c>
      <c r="J3493" s="7">
        <f>COUNTIF(Paper_Reference[Duplicate Key],Paper_Reference[[#This Row],[Duplicate Key]])</f>
        <v>1</v>
      </c>
    </row>
    <row r="3494" spans="1:10">
      <c r="A3494" s="7">
        <v>2</v>
      </c>
      <c r="B3494" s="8" t="s">
        <v>7853</v>
      </c>
      <c r="C3494" s="8" t="s">
        <v>7056</v>
      </c>
      <c r="D3494" s="7">
        <v>1</v>
      </c>
      <c r="E3494" s="7">
        <v>10</v>
      </c>
      <c r="F3494" s="7">
        <v>1</v>
      </c>
      <c r="G3494" s="8" t="s">
        <v>6710</v>
      </c>
      <c r="H3494" s="8" t="s">
        <v>5691</v>
      </c>
      <c r="I3494" s="7" t="str">
        <f>_xlfn.CONCAT(Paper_Reference[[#This Row],[Lvl]:[Paper Description]])</f>
        <v>2JI4R0075N400TOTAL IMAGING I 48 X 1201101100DS009-5000FROSTY WHITE</v>
      </c>
      <c r="J3494" s="7">
        <f>COUNTIF(Paper_Reference[Duplicate Key],Paper_Reference[[#This Row],[Duplicate Key]])</f>
        <v>1</v>
      </c>
    </row>
    <row r="3495" spans="1:10">
      <c r="A3495" s="7">
        <v>2</v>
      </c>
      <c r="B3495" s="8" t="s">
        <v>7854</v>
      </c>
      <c r="C3495" s="8" t="s">
        <v>7057</v>
      </c>
      <c r="D3495" s="7">
        <v>1</v>
      </c>
      <c r="E3495" s="7">
        <v>10</v>
      </c>
      <c r="F3495" s="7">
        <v>1</v>
      </c>
      <c r="G3495" s="8" t="s">
        <v>6710</v>
      </c>
      <c r="H3495" s="8" t="s">
        <v>5691</v>
      </c>
      <c r="I3495" s="7" t="str">
        <f>_xlfn.CONCAT(Paper_Reference[[#This Row],[Lvl]:[Paper Description]])</f>
        <v>2JI4R0076N400TOTAL IMAGING J 48 X 1201101100DS009-5000FROSTY WHITE</v>
      </c>
      <c r="J3495" s="7">
        <f>COUNTIF(Paper_Reference[Duplicate Key],Paper_Reference[[#This Row],[Duplicate Key]])</f>
        <v>1</v>
      </c>
    </row>
    <row r="3496" spans="1:10">
      <c r="A3496" s="7">
        <v>2</v>
      </c>
      <c r="B3496" s="8" t="s">
        <v>7855</v>
      </c>
      <c r="C3496" s="8" t="s">
        <v>7058</v>
      </c>
      <c r="D3496" s="7">
        <v>1</v>
      </c>
      <c r="E3496" s="7">
        <v>10</v>
      </c>
      <c r="F3496" s="7">
        <v>1</v>
      </c>
      <c r="G3496" s="8" t="s">
        <v>6710</v>
      </c>
      <c r="H3496" s="8" t="s">
        <v>5691</v>
      </c>
      <c r="I3496" s="7" t="str">
        <f>_xlfn.CONCAT(Paper_Reference[[#This Row],[Lvl]:[Paper Description]])</f>
        <v>2JI4R0077N400TOTAL IMAGING K 48 X 1201101100DS009-5000FROSTY WHITE</v>
      </c>
      <c r="J3496" s="7">
        <f>COUNTIF(Paper_Reference[Duplicate Key],Paper_Reference[[#This Row],[Duplicate Key]])</f>
        <v>1</v>
      </c>
    </row>
    <row r="3497" spans="1:10">
      <c r="A3497" s="7">
        <v>2</v>
      </c>
      <c r="B3497" s="8" t="s">
        <v>7856</v>
      </c>
      <c r="C3497" s="8" t="s">
        <v>7059</v>
      </c>
      <c r="D3497" s="7">
        <v>1</v>
      </c>
      <c r="E3497" s="7">
        <v>10</v>
      </c>
      <c r="F3497" s="7">
        <v>1</v>
      </c>
      <c r="G3497" s="8" t="s">
        <v>6710</v>
      </c>
      <c r="H3497" s="8" t="s">
        <v>5691</v>
      </c>
      <c r="I3497" s="7" t="str">
        <f>_xlfn.CONCAT(Paper_Reference[[#This Row],[Lvl]:[Paper Description]])</f>
        <v>2JI4R0157N480PAPA MURPHY'S PIZZA H/W 48 X 91101100DS009-5000FROSTY WHITE</v>
      </c>
      <c r="J3497" s="7">
        <f>COUNTIF(Paper_Reference[Duplicate Key],Paper_Reference[[#This Row],[Duplicate Key]])</f>
        <v>1</v>
      </c>
    </row>
    <row r="3498" spans="1:10">
      <c r="A3498" s="7">
        <v>2</v>
      </c>
      <c r="B3498" s="8" t="s">
        <v>7857</v>
      </c>
      <c r="C3498" s="8" t="s">
        <v>7060</v>
      </c>
      <c r="D3498" s="7">
        <v>1</v>
      </c>
      <c r="E3498" s="7">
        <v>10</v>
      </c>
      <c r="F3498" s="7">
        <v>1</v>
      </c>
      <c r="G3498" s="8" t="s">
        <v>6710</v>
      </c>
      <c r="H3498" s="8" t="s">
        <v>5691</v>
      </c>
      <c r="I3498" s="7" t="str">
        <f>_xlfn.CONCAT(Paper_Reference[[#This Row],[Lvl]:[Paper Description]])</f>
        <v>2JI4R0185N480PDG WILDLIFE H/W 48 X 961101100DS009-5000FROSTY WHITE</v>
      </c>
      <c r="J3498" s="7">
        <f>COUNTIF(Paper_Reference[Duplicate Key],Paper_Reference[[#This Row],[Duplicate Key]])</f>
        <v>1</v>
      </c>
    </row>
    <row r="3499" spans="1:10">
      <c r="A3499" s="7">
        <v>2</v>
      </c>
      <c r="B3499" s="8" t="s">
        <v>7858</v>
      </c>
      <c r="C3499" s="8" t="s">
        <v>7061</v>
      </c>
      <c r="D3499" s="7">
        <v>1</v>
      </c>
      <c r="E3499" s="7">
        <v>10</v>
      </c>
      <c r="F3499" s="7">
        <v>1</v>
      </c>
      <c r="G3499" s="8" t="s">
        <v>6710</v>
      </c>
      <c r="H3499" s="8" t="s">
        <v>5691</v>
      </c>
      <c r="I3499" s="7" t="str">
        <f>_xlfn.CONCAT(Paper_Reference[[#This Row],[Lvl]:[Paper Description]])</f>
        <v>2JI4R0219N480HOSPITAL SYSTEMS II H/W 48 X 91101100DS009-5000FROSTY WHITE</v>
      </c>
      <c r="J3499" s="7">
        <f>COUNTIF(Paper_Reference[Duplicate Key],Paper_Reference[[#This Row],[Duplicate Key]])</f>
        <v>1</v>
      </c>
    </row>
    <row r="3500" spans="1:10">
      <c r="A3500" s="7">
        <v>2</v>
      </c>
      <c r="B3500" s="8" t="s">
        <v>7859</v>
      </c>
      <c r="C3500" s="8" t="s">
        <v>7062</v>
      </c>
      <c r="D3500" s="7">
        <v>1</v>
      </c>
      <c r="E3500" s="7">
        <v>10</v>
      </c>
      <c r="F3500" s="7">
        <v>1</v>
      </c>
      <c r="G3500" s="8" t="s">
        <v>6710</v>
      </c>
      <c r="H3500" s="8" t="s">
        <v>5691</v>
      </c>
      <c r="I3500" s="7" t="str">
        <f>_xlfn.CONCAT(Paper_Reference[[#This Row],[Lvl]:[Paper Description]])</f>
        <v>2JI4R0221N480FOREST FLOOR H/W 48 X 961101100DS009-5000FROSTY WHITE</v>
      </c>
      <c r="J3500" s="7">
        <f>COUNTIF(Paper_Reference[Duplicate Key],Paper_Reference[[#This Row],[Duplicate Key]])</f>
        <v>1</v>
      </c>
    </row>
    <row r="3501" spans="1:10">
      <c r="A3501" s="7">
        <v>2</v>
      </c>
      <c r="B3501" s="8" t="s">
        <v>7860</v>
      </c>
      <c r="C3501" s="8" t="s">
        <v>7063</v>
      </c>
      <c r="D3501" s="7">
        <v>1</v>
      </c>
      <c r="E3501" s="7">
        <v>10</v>
      </c>
      <c r="F3501" s="7">
        <v>1</v>
      </c>
      <c r="G3501" s="8" t="s">
        <v>6710</v>
      </c>
      <c r="H3501" s="8" t="s">
        <v>5691</v>
      </c>
      <c r="I3501" s="7" t="str">
        <f>_xlfn.CONCAT(Paper_Reference[[#This Row],[Lvl]:[Paper Description]])</f>
        <v>2JI4R0244N400SALMON H/W DG 48 X 1201101100DS009-5000FROSTY WHITE</v>
      </c>
      <c r="J3501" s="7">
        <f>COUNTIF(Paper_Reference[Duplicate Key],Paper_Reference[[#This Row],[Duplicate Key]])</f>
        <v>1</v>
      </c>
    </row>
    <row r="3502" spans="1:10">
      <c r="A3502" s="7">
        <v>2</v>
      </c>
      <c r="B3502" s="8" t="s">
        <v>7861</v>
      </c>
      <c r="C3502" s="8" t="s">
        <v>7064</v>
      </c>
      <c r="D3502" s="7">
        <v>1</v>
      </c>
      <c r="E3502" s="7">
        <v>10</v>
      </c>
      <c r="F3502" s="7">
        <v>1</v>
      </c>
      <c r="G3502" s="8" t="s">
        <v>6710</v>
      </c>
      <c r="H3502" s="8" t="s">
        <v>5691</v>
      </c>
      <c r="I3502" s="7" t="str">
        <f>_xlfn.CONCAT(Paper_Reference[[#This Row],[Lvl]:[Paper Description]])</f>
        <v>2JI4R0245H480ORCA H/W 48 X 961101100DS009-5000FROSTY WHITE</v>
      </c>
      <c r="J3502" s="7">
        <f>COUNTIF(Paper_Reference[Duplicate Key],Paper_Reference[[#This Row],[Duplicate Key]])</f>
        <v>1</v>
      </c>
    </row>
    <row r="3503" spans="1:10">
      <c r="A3503" s="7">
        <v>2</v>
      </c>
      <c r="B3503" s="8" t="s">
        <v>7862</v>
      </c>
      <c r="C3503" s="8" t="s">
        <v>7064</v>
      </c>
      <c r="D3503" s="7">
        <v>1</v>
      </c>
      <c r="E3503" s="7">
        <v>10</v>
      </c>
      <c r="F3503" s="7">
        <v>1</v>
      </c>
      <c r="G3503" s="8" t="s">
        <v>6710</v>
      </c>
      <c r="H3503" s="8" t="s">
        <v>5691</v>
      </c>
      <c r="I3503" s="7" t="str">
        <f>_xlfn.CONCAT(Paper_Reference[[#This Row],[Lvl]:[Paper Description]])</f>
        <v>2JI4R0245N480ORCA H/W 48 X 961101100DS009-5000FROSTY WHITE</v>
      </c>
      <c r="J3503" s="7">
        <f>COUNTIF(Paper_Reference[Duplicate Key],Paper_Reference[[#This Row],[Duplicate Key]])</f>
        <v>1</v>
      </c>
    </row>
    <row r="3504" spans="1:10">
      <c r="A3504" s="7">
        <v>2</v>
      </c>
      <c r="B3504" s="8" t="s">
        <v>7863</v>
      </c>
      <c r="C3504" s="8" t="s">
        <v>7065</v>
      </c>
      <c r="D3504" s="7">
        <v>1</v>
      </c>
      <c r="E3504" s="7">
        <v>10</v>
      </c>
      <c r="F3504" s="7">
        <v>1</v>
      </c>
      <c r="G3504" s="8" t="s">
        <v>6710</v>
      </c>
      <c r="H3504" s="8" t="s">
        <v>5691</v>
      </c>
      <c r="I3504" s="7" t="str">
        <f>_xlfn.CONCAT(Paper_Reference[[#This Row],[Lvl]:[Paper Description]])</f>
        <v>2JI4R0246N480BEAR H/W 48 X 961101100DS009-5000FROSTY WHITE</v>
      </c>
      <c r="J3504" s="7">
        <f>COUNTIF(Paper_Reference[Duplicate Key],Paper_Reference[[#This Row],[Duplicate Key]])</f>
        <v>1</v>
      </c>
    </row>
    <row r="3505" spans="1:10">
      <c r="A3505" s="7">
        <v>2</v>
      </c>
      <c r="B3505" s="8" t="s">
        <v>6381</v>
      </c>
      <c r="C3505" s="8" t="s">
        <v>5903</v>
      </c>
      <c r="D3505" s="7">
        <v>1</v>
      </c>
      <c r="E3505" s="7">
        <v>10</v>
      </c>
      <c r="F3505" s="7">
        <v>1</v>
      </c>
      <c r="G3505" s="8" t="s">
        <v>5690</v>
      </c>
      <c r="H3505" s="8" t="s">
        <v>5691</v>
      </c>
      <c r="I3505" s="7" t="str">
        <f>_xlfn.CONCAT(Paper_Reference[[#This Row],[Lvl]:[Paper Description]])</f>
        <v>2JI4R0247N580SEA LION H/W 60 X 961101100DS009-6200FROSTY WHITE</v>
      </c>
      <c r="J3505" s="7">
        <f>COUNTIF(Paper_Reference[Duplicate Key],Paper_Reference[[#This Row],[Duplicate Key]])</f>
        <v>1</v>
      </c>
    </row>
    <row r="3506" spans="1:10">
      <c r="A3506" s="7">
        <v>2</v>
      </c>
      <c r="B3506" s="8" t="s">
        <v>7864</v>
      </c>
      <c r="C3506" s="8" t="s">
        <v>7066</v>
      </c>
      <c r="D3506" s="7">
        <v>1</v>
      </c>
      <c r="E3506" s="7">
        <v>10</v>
      </c>
      <c r="F3506" s="7">
        <v>1</v>
      </c>
      <c r="G3506" s="8" t="s">
        <v>6710</v>
      </c>
      <c r="H3506" s="8" t="s">
        <v>5691</v>
      </c>
      <c r="I3506" s="7" t="str">
        <f>_xlfn.CONCAT(Paper_Reference[[#This Row],[Lvl]:[Paper Description]])</f>
        <v>2JI4R0248H380EAGLE H/W 36 X 961101100DS009-5000FROSTY WHITE</v>
      </c>
      <c r="J3506" s="7">
        <f>COUNTIF(Paper_Reference[Duplicate Key],Paper_Reference[[#This Row],[Duplicate Key]])</f>
        <v>1</v>
      </c>
    </row>
    <row r="3507" spans="1:10">
      <c r="A3507" s="7">
        <v>2</v>
      </c>
      <c r="B3507" s="8" t="s">
        <v>7865</v>
      </c>
      <c r="C3507" s="8" t="s">
        <v>7067</v>
      </c>
      <c r="D3507" s="7">
        <v>1</v>
      </c>
      <c r="E3507" s="7">
        <v>10</v>
      </c>
      <c r="F3507" s="7">
        <v>1</v>
      </c>
      <c r="G3507" s="8" t="s">
        <v>6710</v>
      </c>
      <c r="H3507" s="8" t="s">
        <v>5691</v>
      </c>
      <c r="I3507" s="7" t="str">
        <f>_xlfn.CONCAT(Paper_Reference[[#This Row],[Lvl]:[Paper Description]])</f>
        <v>2JI4R0248H480EAGLE H/W 48 X 961101100DS009-5000FROSTY WHITE</v>
      </c>
      <c r="J3507" s="7">
        <f>COUNTIF(Paper_Reference[Duplicate Key],Paper_Reference[[#This Row],[Duplicate Key]])</f>
        <v>1</v>
      </c>
    </row>
    <row r="3508" spans="1:10">
      <c r="A3508" s="7">
        <v>2</v>
      </c>
      <c r="B3508" s="8" t="s">
        <v>6382</v>
      </c>
      <c r="C3508" s="8" t="s">
        <v>5904</v>
      </c>
      <c r="D3508" s="7">
        <v>1</v>
      </c>
      <c r="E3508" s="7">
        <v>10</v>
      </c>
      <c r="F3508" s="7">
        <v>1</v>
      </c>
      <c r="G3508" s="8" t="s">
        <v>5690</v>
      </c>
      <c r="H3508" s="8" t="s">
        <v>5691</v>
      </c>
      <c r="I3508" s="7" t="str">
        <f>_xlfn.CONCAT(Paper_Reference[[#This Row],[Lvl]:[Paper Description]])</f>
        <v>2JI4R0248H580EAGLE H/W 60 X 961101100DS009-6200FROSTY WHITE</v>
      </c>
      <c r="J3508" s="7">
        <f>COUNTIF(Paper_Reference[Duplicate Key],Paper_Reference[[#This Row],[Duplicate Key]])</f>
        <v>1</v>
      </c>
    </row>
    <row r="3509" spans="1:10">
      <c r="A3509" s="7">
        <v>2</v>
      </c>
      <c r="B3509" s="8" t="s">
        <v>7866</v>
      </c>
      <c r="C3509" s="8" t="s">
        <v>7066</v>
      </c>
      <c r="D3509" s="7">
        <v>1</v>
      </c>
      <c r="E3509" s="7">
        <v>10</v>
      </c>
      <c r="F3509" s="7">
        <v>1</v>
      </c>
      <c r="G3509" s="8" t="s">
        <v>6710</v>
      </c>
      <c r="H3509" s="8" t="s">
        <v>5691</v>
      </c>
      <c r="I3509" s="7" t="str">
        <f>_xlfn.CONCAT(Paper_Reference[[#This Row],[Lvl]:[Paper Description]])</f>
        <v>2JI4R0248N380EAGLE H/W 36 X 961101100DS009-5000FROSTY WHITE</v>
      </c>
      <c r="J3509" s="7">
        <f>COUNTIF(Paper_Reference[Duplicate Key],Paper_Reference[[#This Row],[Duplicate Key]])</f>
        <v>1</v>
      </c>
    </row>
    <row r="3510" spans="1:10">
      <c r="A3510" s="7">
        <v>2</v>
      </c>
      <c r="B3510" s="8" t="s">
        <v>7867</v>
      </c>
      <c r="C3510" s="8" t="s">
        <v>7067</v>
      </c>
      <c r="D3510" s="7">
        <v>1</v>
      </c>
      <c r="E3510" s="7">
        <v>10</v>
      </c>
      <c r="F3510" s="7">
        <v>1</v>
      </c>
      <c r="G3510" s="8" t="s">
        <v>6710</v>
      </c>
      <c r="H3510" s="8" t="s">
        <v>5691</v>
      </c>
      <c r="I3510" s="7" t="str">
        <f>_xlfn.CONCAT(Paper_Reference[[#This Row],[Lvl]:[Paper Description]])</f>
        <v>2JI4R0248N480EAGLE H/W 48 X 961101100DS009-5000FROSTY WHITE</v>
      </c>
      <c r="J3510" s="7">
        <f>COUNTIF(Paper_Reference[Duplicate Key],Paper_Reference[[#This Row],[Duplicate Key]])</f>
        <v>1</v>
      </c>
    </row>
    <row r="3511" spans="1:10">
      <c r="A3511" s="7">
        <v>2</v>
      </c>
      <c r="B3511" s="8" t="s">
        <v>6383</v>
      </c>
      <c r="C3511" s="8" t="s">
        <v>5904</v>
      </c>
      <c r="D3511" s="7">
        <v>1</v>
      </c>
      <c r="E3511" s="7">
        <v>10</v>
      </c>
      <c r="F3511" s="7">
        <v>1</v>
      </c>
      <c r="G3511" s="8" t="s">
        <v>5690</v>
      </c>
      <c r="H3511" s="8" t="s">
        <v>5691</v>
      </c>
      <c r="I3511" s="7" t="str">
        <f>_xlfn.CONCAT(Paper_Reference[[#This Row],[Lvl]:[Paper Description]])</f>
        <v>2JI4R0248N580EAGLE H/W 60 X 961101100DS009-6200FROSTY WHITE</v>
      </c>
      <c r="J3511" s="7">
        <f>COUNTIF(Paper_Reference[Duplicate Key],Paper_Reference[[#This Row],[Duplicate Key]])</f>
        <v>1</v>
      </c>
    </row>
    <row r="3512" spans="1:10">
      <c r="A3512" s="7">
        <v>2</v>
      </c>
      <c r="B3512" s="8" t="s">
        <v>7868</v>
      </c>
      <c r="C3512" s="8" t="s">
        <v>7068</v>
      </c>
      <c r="D3512" s="7">
        <v>1</v>
      </c>
      <c r="E3512" s="7">
        <v>10</v>
      </c>
      <c r="F3512" s="7">
        <v>1</v>
      </c>
      <c r="G3512" s="8" t="s">
        <v>6710</v>
      </c>
      <c r="H3512" s="8" t="s">
        <v>5691</v>
      </c>
      <c r="I3512" s="7" t="str">
        <f>_xlfn.CONCAT(Paper_Reference[[#This Row],[Lvl]:[Paper Description]])</f>
        <v>2JI4R0249H480CRAB H/W 48 X 961101100DS009-5000FROSTY WHITE</v>
      </c>
      <c r="J3512" s="7">
        <f>COUNTIF(Paper_Reference[Duplicate Key],Paper_Reference[[#This Row],[Duplicate Key]])</f>
        <v>1</v>
      </c>
    </row>
    <row r="3513" spans="1:10">
      <c r="A3513" s="7">
        <v>2</v>
      </c>
      <c r="B3513" s="8" t="s">
        <v>7869</v>
      </c>
      <c r="C3513" s="8" t="s">
        <v>7068</v>
      </c>
      <c r="D3513" s="7">
        <v>1</v>
      </c>
      <c r="E3513" s="7">
        <v>10</v>
      </c>
      <c r="F3513" s="7">
        <v>1</v>
      </c>
      <c r="G3513" s="8" t="s">
        <v>6710</v>
      </c>
      <c r="H3513" s="8" t="s">
        <v>5691</v>
      </c>
      <c r="I3513" s="7" t="str">
        <f>_xlfn.CONCAT(Paper_Reference[[#This Row],[Lvl]:[Paper Description]])</f>
        <v>2JI4R0249N480CRAB H/W 48 X 961101100DS009-5000FROSTY WHITE</v>
      </c>
      <c r="J3513" s="7">
        <f>COUNTIF(Paper_Reference[Duplicate Key],Paper_Reference[[#This Row],[Duplicate Key]])</f>
        <v>1</v>
      </c>
    </row>
    <row r="3514" spans="1:10">
      <c r="A3514" s="7">
        <v>2</v>
      </c>
      <c r="B3514" s="8" t="s">
        <v>7870</v>
      </c>
      <c r="C3514" s="8" t="s">
        <v>7069</v>
      </c>
      <c r="D3514" s="7">
        <v>1</v>
      </c>
      <c r="E3514" s="7">
        <v>10</v>
      </c>
      <c r="F3514" s="7">
        <v>1</v>
      </c>
      <c r="G3514" s="8" t="s">
        <v>6710</v>
      </c>
      <c r="H3514" s="8" t="s">
        <v>5691</v>
      </c>
      <c r="I3514" s="7" t="str">
        <f>_xlfn.CONCAT(Paper_Reference[[#This Row],[Lvl]:[Paper Description]])</f>
        <v>2JI4R0303N380SISKIYOUS 4.3 H/W 36 X 961101100DS009-5000FROSTY WHITE</v>
      </c>
      <c r="J3514" s="7">
        <f>COUNTIF(Paper_Reference[Duplicate Key],Paper_Reference[[#This Row],[Duplicate Key]])</f>
        <v>1</v>
      </c>
    </row>
    <row r="3515" spans="1:10">
      <c r="A3515" s="7">
        <v>2</v>
      </c>
      <c r="B3515" s="8" t="s">
        <v>1875</v>
      </c>
      <c r="C3515" s="8" t="s">
        <v>1448</v>
      </c>
      <c r="D3515" s="7">
        <v>1</v>
      </c>
      <c r="E3515" s="7">
        <v>10</v>
      </c>
      <c r="F3515" s="7">
        <v>1</v>
      </c>
      <c r="G3515" s="8" t="s">
        <v>1241</v>
      </c>
      <c r="H3515" s="8" t="s">
        <v>1242</v>
      </c>
      <c r="I3515" s="7" t="str">
        <f>_xlfn.CONCAT(Paper_Reference[[#This Row],[Lvl]:[Paper Description]])</f>
        <v>2JI4R0355N480CHICKEN OR THE EGG H/W 48 X 96110110000020-5000Premium Inkjet MPK 9653</v>
      </c>
      <c r="J3515" s="7">
        <f>COUNTIF(Paper_Reference[Duplicate Key],Paper_Reference[[#This Row],[Duplicate Key]])</f>
        <v>1</v>
      </c>
    </row>
    <row r="3516" spans="1:10">
      <c r="A3516" s="7">
        <v>2</v>
      </c>
      <c r="B3516" s="8" t="s">
        <v>2710</v>
      </c>
      <c r="C3516" s="8" t="s">
        <v>2254</v>
      </c>
      <c r="D3516" s="7">
        <v>1</v>
      </c>
      <c r="E3516" s="7">
        <v>10</v>
      </c>
      <c r="F3516" s="7">
        <v>1</v>
      </c>
      <c r="G3516" s="8" t="s">
        <v>2144</v>
      </c>
      <c r="H3516" s="8" t="s">
        <v>1242</v>
      </c>
      <c r="I3516" s="7" t="str">
        <f>_xlfn.CONCAT(Paper_Reference[[#This Row],[Lvl]:[Paper Description]])</f>
        <v>2JI4R0355N580CHICKEN OR THE EGG H/W 60 X 96110110000020-6200Premium Inkjet MPK 9653</v>
      </c>
      <c r="J3516" s="7">
        <f>COUNTIF(Paper_Reference[Duplicate Key],Paper_Reference[[#This Row],[Duplicate Key]])</f>
        <v>1</v>
      </c>
    </row>
    <row r="3517" spans="1:10">
      <c r="A3517" s="7">
        <v>2</v>
      </c>
      <c r="B3517" s="8" t="s">
        <v>2711</v>
      </c>
      <c r="C3517" s="8" t="s">
        <v>2255</v>
      </c>
      <c r="D3517" s="7">
        <v>1</v>
      </c>
      <c r="E3517" s="7">
        <v>10</v>
      </c>
      <c r="F3517" s="7">
        <v>1</v>
      </c>
      <c r="G3517" s="8" t="s">
        <v>2144</v>
      </c>
      <c r="H3517" s="8" t="s">
        <v>1242</v>
      </c>
      <c r="I3517" s="7" t="str">
        <f>_xlfn.CONCAT(Paper_Reference[[#This Row],[Lvl]:[Paper Description]])</f>
        <v>2JI4R0355SD500CHICKEN OR THE EGG 60 X 120110110000020-6200Premium Inkjet MPK 9653</v>
      </c>
      <c r="J3517" s="7">
        <f>COUNTIF(Paper_Reference[Duplicate Key],Paper_Reference[[#This Row],[Duplicate Key]])</f>
        <v>1</v>
      </c>
    </row>
    <row r="3518" spans="1:10">
      <c r="A3518" s="7">
        <v>2</v>
      </c>
      <c r="B3518" s="8" t="s">
        <v>2712</v>
      </c>
      <c r="C3518" s="8" t="s">
        <v>2254</v>
      </c>
      <c r="D3518" s="7">
        <v>1</v>
      </c>
      <c r="E3518" s="7">
        <v>10</v>
      </c>
      <c r="F3518" s="7">
        <v>1</v>
      </c>
      <c r="G3518" s="8" t="s">
        <v>2144</v>
      </c>
      <c r="H3518" s="8" t="s">
        <v>1242</v>
      </c>
      <c r="I3518" s="7" t="str">
        <f>_xlfn.CONCAT(Paper_Reference[[#This Row],[Lvl]:[Paper Description]])</f>
        <v>2JI4R0355SD580CHICKEN OR THE EGG H/W 60 X 96110110000020-6200Premium Inkjet MPK 9653</v>
      </c>
      <c r="J3518" s="7">
        <f>COUNTIF(Paper_Reference[Duplicate Key],Paper_Reference[[#This Row],[Duplicate Key]])</f>
        <v>1</v>
      </c>
    </row>
    <row r="3519" spans="1:10">
      <c r="A3519" s="7">
        <v>2</v>
      </c>
      <c r="B3519" s="8" t="s">
        <v>6384</v>
      </c>
      <c r="C3519" s="8" t="s">
        <v>5905</v>
      </c>
      <c r="D3519" s="7">
        <v>1</v>
      </c>
      <c r="E3519" s="7">
        <v>10</v>
      </c>
      <c r="F3519" s="7">
        <v>1</v>
      </c>
      <c r="G3519" s="8" t="s">
        <v>5690</v>
      </c>
      <c r="H3519" s="8" t="s">
        <v>5691</v>
      </c>
      <c r="I3519" s="7" t="str">
        <f>_xlfn.CONCAT(Paper_Reference[[#This Row],[Lvl]:[Paper Description]])</f>
        <v>2JI4R0701SD580BCCWH T7-601 60 X 961101100DS009-6200FROSTY WHITE</v>
      </c>
      <c r="J3519" s="7">
        <f>COUNTIF(Paper_Reference[Duplicate Key],Paper_Reference[[#This Row],[Duplicate Key]])</f>
        <v>1</v>
      </c>
    </row>
    <row r="3520" spans="1:10">
      <c r="A3520" s="7">
        <v>2</v>
      </c>
      <c r="B3520" s="8" t="s">
        <v>7871</v>
      </c>
      <c r="C3520" s="8" t="s">
        <v>7070</v>
      </c>
      <c r="D3520" s="7">
        <v>1</v>
      </c>
      <c r="E3520" s="7">
        <v>10</v>
      </c>
      <c r="F3520" s="7">
        <v>1</v>
      </c>
      <c r="G3520" s="8" t="s">
        <v>6710</v>
      </c>
      <c r="H3520" s="8" t="s">
        <v>5691</v>
      </c>
      <c r="I3520" s="7" t="str">
        <f>_xlfn.CONCAT(Paper_Reference[[#This Row],[Lvl]:[Paper Description]])</f>
        <v>2JI4R0702SD480BCCWH T7-602  H/W 48 X 961101100DS009-5000FROSTY WHITE</v>
      </c>
      <c r="J3520" s="7">
        <f>COUNTIF(Paper_Reference[Duplicate Key],Paper_Reference[[#This Row],[Duplicate Key]])</f>
        <v>1</v>
      </c>
    </row>
    <row r="3521" spans="1:10">
      <c r="A3521" s="7">
        <v>2</v>
      </c>
      <c r="B3521" s="8" t="s">
        <v>7872</v>
      </c>
      <c r="C3521" s="8" t="s">
        <v>7071</v>
      </c>
      <c r="D3521" s="7">
        <v>1</v>
      </c>
      <c r="E3521" s="7">
        <v>10</v>
      </c>
      <c r="F3521" s="7">
        <v>1</v>
      </c>
      <c r="G3521" s="8" t="s">
        <v>6710</v>
      </c>
      <c r="H3521" s="8" t="s">
        <v>5691</v>
      </c>
      <c r="I3521" s="7" t="str">
        <f>_xlfn.CONCAT(Paper_Reference[[#This Row],[Lvl]:[Paper Description]])</f>
        <v>2JI4R0735SD420SCHNEIDER DRIVER COUNT 48X1441101100DS009-5000FROSTY WHITE</v>
      </c>
      <c r="J3521" s="7">
        <f>COUNTIF(Paper_Reference[Duplicate Key],Paper_Reference[[#This Row],[Duplicate Key]])</f>
        <v>1</v>
      </c>
    </row>
    <row r="3522" spans="1:10">
      <c r="A3522" s="7">
        <v>2</v>
      </c>
      <c r="B3522" s="8" t="s">
        <v>1876</v>
      </c>
      <c r="C3522" s="8" t="s">
        <v>1449</v>
      </c>
      <c r="D3522" s="7">
        <v>1</v>
      </c>
      <c r="E3522" s="7">
        <v>10</v>
      </c>
      <c r="F3522" s="7">
        <v>1</v>
      </c>
      <c r="G3522" s="8" t="s">
        <v>1241</v>
      </c>
      <c r="H3522" s="8" t="s">
        <v>1242</v>
      </c>
      <c r="I3522" s="7" t="str">
        <f>_xlfn.CONCAT(Paper_Reference[[#This Row],[Lvl]:[Paper Description]])</f>
        <v>2JI4R0964WE400BACK COV YACHT H/W 48 X 120110110000020-5000Premium Inkjet MPK 9653</v>
      </c>
      <c r="J3522" s="7">
        <f>COUNTIF(Paper_Reference[Duplicate Key],Paper_Reference[[#This Row],[Duplicate Key]])</f>
        <v>1</v>
      </c>
    </row>
    <row r="3523" spans="1:10">
      <c r="A3523" s="7">
        <v>2</v>
      </c>
      <c r="B3523" s="8" t="s">
        <v>1877</v>
      </c>
      <c r="C3523" s="8" t="s">
        <v>1450</v>
      </c>
      <c r="D3523" s="7">
        <v>1</v>
      </c>
      <c r="E3523" s="7">
        <v>10</v>
      </c>
      <c r="F3523" s="7">
        <v>1</v>
      </c>
      <c r="G3523" s="8" t="s">
        <v>1241</v>
      </c>
      <c r="H3523" s="8" t="s">
        <v>1242</v>
      </c>
      <c r="I3523" s="7" t="str">
        <f>_xlfn.CONCAT(Paper_Reference[[#This Row],[Lvl]:[Paper Description]])</f>
        <v>2JI4R0964WE480BACK COVE YACHT H/W 48 X 96110110000020-5000Premium Inkjet MPK 9653</v>
      </c>
      <c r="J3523" s="7">
        <f>COUNTIF(Paper_Reference[Duplicate Key],Paper_Reference[[#This Row],[Duplicate Key]])</f>
        <v>1</v>
      </c>
    </row>
    <row r="3524" spans="1:10">
      <c r="A3524" s="7">
        <v>2</v>
      </c>
      <c r="B3524" s="8" t="s">
        <v>1878</v>
      </c>
      <c r="C3524" s="8" t="s">
        <v>1451</v>
      </c>
      <c r="D3524" s="7">
        <v>1</v>
      </c>
      <c r="E3524" s="7">
        <v>10</v>
      </c>
      <c r="F3524" s="7">
        <v>1</v>
      </c>
      <c r="G3524" s="8" t="s">
        <v>1241</v>
      </c>
      <c r="H3524" s="8" t="s">
        <v>1242</v>
      </c>
      <c r="I3524" s="7" t="str">
        <f>_xlfn.CONCAT(Paper_Reference[[#This Row],[Lvl]:[Paper Description]])</f>
        <v>2JI4R1282SD480MARRIOT GRAND VISTA 48 X 96110110000020-5000Premium Inkjet MPK 9653</v>
      </c>
      <c r="J3524" s="7">
        <f>COUNTIF(Paper_Reference[Duplicate Key],Paper_Reference[[#This Row],[Duplicate Key]])</f>
        <v>1</v>
      </c>
    </row>
    <row r="3525" spans="1:10">
      <c r="A3525" s="7">
        <v>2</v>
      </c>
      <c r="B3525" s="8" t="s">
        <v>3530</v>
      </c>
      <c r="C3525" s="8" t="s">
        <v>3248</v>
      </c>
      <c r="D3525" s="7">
        <v>1</v>
      </c>
      <c r="E3525" s="7">
        <v>10</v>
      </c>
      <c r="F3525" s="7">
        <v>3</v>
      </c>
      <c r="G3525" s="8" t="s">
        <v>3230</v>
      </c>
      <c r="H3525" s="8" t="s">
        <v>3231</v>
      </c>
      <c r="I3525" s="7" t="str">
        <f>_xlfn.CONCAT(Paper_Reference[[#This Row],[Lvl]:[Paper Description]])</f>
        <v>2JI5IFOSSG4001FOSSIL H/W 48 X 1201103110SW736-5000PRECISION WHITE 43 X 145</v>
      </c>
      <c r="J3525" s="7">
        <f>COUNTIF(Paper_Reference[Duplicate Key],Paper_Reference[[#This Row],[Duplicate Key]])</f>
        <v>1</v>
      </c>
    </row>
    <row r="3526" spans="1:10">
      <c r="A3526" s="7">
        <v>2</v>
      </c>
      <c r="B3526" s="8" t="s">
        <v>3531</v>
      </c>
      <c r="C3526" s="8" t="s">
        <v>3249</v>
      </c>
      <c r="D3526" s="7">
        <v>1</v>
      </c>
      <c r="E3526" s="7">
        <v>10</v>
      </c>
      <c r="F3526" s="7">
        <v>3</v>
      </c>
      <c r="G3526" s="8" t="s">
        <v>3230</v>
      </c>
      <c r="H3526" s="8" t="s">
        <v>3231</v>
      </c>
      <c r="I3526" s="7" t="str">
        <f>_xlfn.CONCAT(Paper_Reference[[#This Row],[Lvl]:[Paper Description]])</f>
        <v>2JI5IFOSSG4801FOSSIL H/W 48 X 961103110SW736-5000PRECISION WHITE 43 X 145</v>
      </c>
      <c r="J3526" s="7">
        <f>COUNTIF(Paper_Reference[Duplicate Key],Paper_Reference[[#This Row],[Duplicate Key]])</f>
        <v>1</v>
      </c>
    </row>
    <row r="3527" spans="1:10">
      <c r="A3527" s="7">
        <v>2</v>
      </c>
      <c r="B3527" s="8" t="s">
        <v>3992</v>
      </c>
      <c r="C3527" s="8" t="s">
        <v>3773</v>
      </c>
      <c r="D3527" s="7">
        <v>1</v>
      </c>
      <c r="E3527" s="7">
        <v>10</v>
      </c>
      <c r="F3527" s="7">
        <v>3</v>
      </c>
      <c r="G3527" s="8" t="s">
        <v>3826</v>
      </c>
      <c r="H3527" s="8" t="s">
        <v>3827</v>
      </c>
      <c r="I3527" s="7" t="str">
        <f>_xlfn.CONCAT(Paper_Reference[[#This Row],[Lvl]:[Paper Description]])</f>
        <v>2JI5IFOSSG5801FOSSIL H/W 60 X 961103110SW736-6200PRECISION WHITE 62"</v>
      </c>
      <c r="J3527" s="7">
        <f>COUNTIF(Paper_Reference[Duplicate Key],Paper_Reference[[#This Row],[Duplicate Key]])</f>
        <v>1</v>
      </c>
    </row>
    <row r="3528" spans="1:10">
      <c r="A3528" s="7">
        <v>2</v>
      </c>
      <c r="B3528" s="8" t="s">
        <v>3532</v>
      </c>
      <c r="C3528" s="8" t="s">
        <v>3248</v>
      </c>
      <c r="D3528" s="7">
        <v>1</v>
      </c>
      <c r="E3528" s="7">
        <v>10</v>
      </c>
      <c r="F3528" s="7">
        <v>1</v>
      </c>
      <c r="G3528" s="8" t="s">
        <v>3230</v>
      </c>
      <c r="H3528" s="8" t="s">
        <v>3231</v>
      </c>
      <c r="I3528" s="7" t="str">
        <f>_xlfn.CONCAT(Paper_Reference[[#This Row],[Lvl]:[Paper Description]])</f>
        <v>2JI7IFOSSG4001FOSSIL H/W 48 X 1201101110SW736-5000PRECISION WHITE 43 X 145</v>
      </c>
      <c r="J3528" s="7">
        <f>COUNTIF(Paper_Reference[Duplicate Key],Paper_Reference[[#This Row],[Duplicate Key]])</f>
        <v>1</v>
      </c>
    </row>
    <row r="3529" spans="1:10">
      <c r="A3529" s="7">
        <v>2</v>
      </c>
      <c r="B3529" s="8" t="s">
        <v>3533</v>
      </c>
      <c r="C3529" s="8" t="s">
        <v>3249</v>
      </c>
      <c r="D3529" s="7">
        <v>1</v>
      </c>
      <c r="E3529" s="7">
        <v>10</v>
      </c>
      <c r="F3529" s="7">
        <v>1</v>
      </c>
      <c r="G3529" s="8" t="s">
        <v>3230</v>
      </c>
      <c r="H3529" s="8" t="s">
        <v>3231</v>
      </c>
      <c r="I3529" s="7" t="str">
        <f>_xlfn.CONCAT(Paper_Reference[[#This Row],[Lvl]:[Paper Description]])</f>
        <v>2JI7IFOSSG4801FOSSIL H/W 48 X 961101110SW736-5000PRECISION WHITE 43 X 145</v>
      </c>
      <c r="J3529" s="7">
        <f>COUNTIF(Paper_Reference[Duplicate Key],Paper_Reference[[#This Row],[Duplicate Key]])</f>
        <v>1</v>
      </c>
    </row>
    <row r="3530" spans="1:10">
      <c r="A3530" s="7">
        <v>2</v>
      </c>
      <c r="B3530" s="8" t="s">
        <v>3993</v>
      </c>
      <c r="C3530" s="8" t="s">
        <v>3774</v>
      </c>
      <c r="D3530" s="7">
        <v>1</v>
      </c>
      <c r="E3530" s="7">
        <v>10</v>
      </c>
      <c r="F3530" s="7">
        <v>1</v>
      </c>
      <c r="G3530" s="8" t="s">
        <v>3826</v>
      </c>
      <c r="H3530" s="8" t="s">
        <v>3827</v>
      </c>
      <c r="I3530" s="7" t="str">
        <f>_xlfn.CONCAT(Paper_Reference[[#This Row],[Lvl]:[Paper Description]])</f>
        <v>2JI7IFOSSG5001FOSSIL H/W 60 X 1201101110SW736-6200PRECISION WHITE 62"</v>
      </c>
      <c r="J3530" s="7">
        <f>COUNTIF(Paper_Reference[Duplicate Key],Paper_Reference[[#This Row],[Duplicate Key]])</f>
        <v>1</v>
      </c>
    </row>
    <row r="3531" spans="1:10">
      <c r="A3531" s="7">
        <v>2</v>
      </c>
      <c r="B3531" s="8" t="s">
        <v>3534</v>
      </c>
      <c r="C3531" s="8" t="s">
        <v>3248</v>
      </c>
      <c r="D3531" s="7">
        <v>1</v>
      </c>
      <c r="E3531" s="7">
        <v>10</v>
      </c>
      <c r="F3531" s="7">
        <v>1</v>
      </c>
      <c r="G3531" s="8" t="s">
        <v>3230</v>
      </c>
      <c r="H3531" s="8" t="s">
        <v>3231</v>
      </c>
      <c r="I3531" s="7" t="str">
        <f>_xlfn.CONCAT(Paper_Reference[[#This Row],[Lvl]:[Paper Description]])</f>
        <v>2JI7IFOSSN4001FOSSIL H/W 48 X 1201101110SW736-5000PRECISION WHITE 43 X 145</v>
      </c>
      <c r="J3531" s="7">
        <f>COUNTIF(Paper_Reference[Duplicate Key],Paper_Reference[[#This Row],[Duplicate Key]])</f>
        <v>1</v>
      </c>
    </row>
    <row r="3532" spans="1:10">
      <c r="A3532" s="7">
        <v>2</v>
      </c>
      <c r="B3532" s="8" t="s">
        <v>3535</v>
      </c>
      <c r="C3532" s="8" t="s">
        <v>3249</v>
      </c>
      <c r="D3532" s="7">
        <v>1</v>
      </c>
      <c r="E3532" s="7">
        <v>10</v>
      </c>
      <c r="F3532" s="7">
        <v>1</v>
      </c>
      <c r="G3532" s="8" t="s">
        <v>3230</v>
      </c>
      <c r="H3532" s="8" t="s">
        <v>3231</v>
      </c>
      <c r="I3532" s="7" t="str">
        <f>_xlfn.CONCAT(Paper_Reference[[#This Row],[Lvl]:[Paper Description]])</f>
        <v>2JI7IFOSSPV4801FOSSIL H/W 48 X 961101110SW736-5000PRECISION WHITE 43 X 145</v>
      </c>
      <c r="J3532" s="7">
        <f>COUNTIF(Paper_Reference[Duplicate Key],Paper_Reference[[#This Row],[Duplicate Key]])</f>
        <v>1</v>
      </c>
    </row>
    <row r="3533" spans="1:10">
      <c r="A3533" s="7">
        <v>2</v>
      </c>
      <c r="B3533" s="8" t="s">
        <v>7873</v>
      </c>
      <c r="C3533" s="8" t="s">
        <v>7072</v>
      </c>
      <c r="D3533" s="7">
        <v>1</v>
      </c>
      <c r="E3533" s="7">
        <v>10</v>
      </c>
      <c r="F3533" s="7">
        <v>1</v>
      </c>
      <c r="G3533" s="8" t="s">
        <v>6710</v>
      </c>
      <c r="H3533" s="8" t="s">
        <v>5691</v>
      </c>
      <c r="I3533" s="7" t="str">
        <f>_xlfn.CONCAT(Paper_Reference[[#This Row],[Lvl]:[Paper Description]])</f>
        <v>2JI8R0047N400COWBOY 5 D/G H/W 48 X 1201101100DS009-5000FROSTY WHITE</v>
      </c>
      <c r="J3533" s="7">
        <f>COUNTIF(Paper_Reference[Duplicate Key],Paper_Reference[[#This Row],[Duplicate Key]])</f>
        <v>1</v>
      </c>
    </row>
    <row r="3534" spans="1:10">
      <c r="A3534" s="7">
        <v>2</v>
      </c>
      <c r="B3534" s="8" t="s">
        <v>7874</v>
      </c>
      <c r="C3534" s="8" t="s">
        <v>7073</v>
      </c>
      <c r="D3534" s="7">
        <v>1</v>
      </c>
      <c r="E3534" s="7">
        <v>10</v>
      </c>
      <c r="F3534" s="7">
        <v>1</v>
      </c>
      <c r="G3534" s="8" t="s">
        <v>6710</v>
      </c>
      <c r="H3534" s="8" t="s">
        <v>5691</v>
      </c>
      <c r="I3534" s="7" t="str">
        <f>_xlfn.CONCAT(Paper_Reference[[#This Row],[Lvl]:[Paper Description]])</f>
        <v>2JI8R0065N400FELIX THE CAT D/G H/W 48 X 1201101100DS009-5000FROSTY WHITE</v>
      </c>
      <c r="J3534" s="7">
        <f>COUNTIF(Paper_Reference[Duplicate Key],Paper_Reference[[#This Row],[Duplicate Key]])</f>
        <v>1</v>
      </c>
    </row>
    <row r="3535" spans="1:10">
      <c r="A3535" s="7">
        <v>2</v>
      </c>
      <c r="B3535" s="8" t="s">
        <v>7875</v>
      </c>
      <c r="C3535" s="8" t="s">
        <v>7074</v>
      </c>
      <c r="D3535" s="7">
        <v>1</v>
      </c>
      <c r="E3535" s="7">
        <v>10</v>
      </c>
      <c r="F3535" s="7">
        <v>1</v>
      </c>
      <c r="G3535" s="8" t="s">
        <v>6710</v>
      </c>
      <c r="H3535" s="8" t="s">
        <v>5691</v>
      </c>
      <c r="I3535" s="7" t="str">
        <f>_xlfn.CONCAT(Paper_Reference[[#This Row],[Lvl]:[Paper Description]])</f>
        <v>2JI8R0078N480CAMO BODIES D/G H/W 48 X 961101100DS009-5000FROSTY WHITE</v>
      </c>
      <c r="J3535" s="7">
        <f>COUNTIF(Paper_Reference[Duplicate Key],Paper_Reference[[#This Row],[Duplicate Key]])</f>
        <v>1</v>
      </c>
    </row>
    <row r="3536" spans="1:10">
      <c r="A3536" s="7">
        <v>2</v>
      </c>
      <c r="B3536" s="8" t="s">
        <v>7876</v>
      </c>
      <c r="C3536" s="8" t="s">
        <v>7075</v>
      </c>
      <c r="D3536" s="7">
        <v>1</v>
      </c>
      <c r="E3536" s="7">
        <v>10</v>
      </c>
      <c r="F3536" s="7">
        <v>1</v>
      </c>
      <c r="G3536" s="8" t="s">
        <v>6710</v>
      </c>
      <c r="H3536" s="8" t="s">
        <v>5691</v>
      </c>
      <c r="I3536" s="7" t="str">
        <f>_xlfn.CONCAT(Paper_Reference[[#This Row],[Lvl]:[Paper Description]])</f>
        <v>2JI8R0079N400CAMO SIDES D/G H/W 48 X 1201101100DS009-5000FROSTY WHITE</v>
      </c>
      <c r="J3536" s="7">
        <f>COUNTIF(Paper_Reference[Duplicate Key],Paper_Reference[[#This Row],[Duplicate Key]])</f>
        <v>1</v>
      </c>
    </row>
    <row r="3537" spans="1:10">
      <c r="A3537" s="7">
        <v>2</v>
      </c>
      <c r="B3537" s="8" t="s">
        <v>7877</v>
      </c>
      <c r="C3537" s="8" t="s">
        <v>7076</v>
      </c>
      <c r="D3537" s="7">
        <v>1</v>
      </c>
      <c r="E3537" s="7">
        <v>10</v>
      </c>
      <c r="F3537" s="7">
        <v>1</v>
      </c>
      <c r="G3537" s="8" t="s">
        <v>6710</v>
      </c>
      <c r="H3537" s="8" t="s">
        <v>5691</v>
      </c>
      <c r="I3537" s="7" t="str">
        <f>_xlfn.CONCAT(Paper_Reference[[#This Row],[Lvl]:[Paper Description]])</f>
        <v>2JI8R0118N400FELIX TIE DIE D/G H/W 48 X 1201101100DS009-5000FROSTY WHITE</v>
      </c>
      <c r="J3537" s="7">
        <f>COUNTIF(Paper_Reference[Duplicate Key],Paper_Reference[[#This Row],[Duplicate Key]])</f>
        <v>1</v>
      </c>
    </row>
    <row r="3538" spans="1:10">
      <c r="A3538" s="7">
        <v>2</v>
      </c>
      <c r="B3538" s="8" t="s">
        <v>6385</v>
      </c>
      <c r="C3538" s="8" t="s">
        <v>5906</v>
      </c>
      <c r="D3538" s="7">
        <v>1</v>
      </c>
      <c r="E3538" s="7">
        <v>10</v>
      </c>
      <c r="F3538" s="7">
        <v>1</v>
      </c>
      <c r="G3538" s="8" t="s">
        <v>5690</v>
      </c>
      <c r="H3538" s="8" t="s">
        <v>5691</v>
      </c>
      <c r="I3538" s="7" t="str">
        <f>_xlfn.CONCAT(Paper_Reference[[#This Row],[Lvl]:[Paper Description]])</f>
        <v>2JI8R0136N500HIPPIE GUITAR D/G H/W 60 X 1201101100DS009-6200FROSTY WHITE</v>
      </c>
      <c r="J3538" s="7">
        <f>COUNTIF(Paper_Reference[Duplicate Key],Paper_Reference[[#This Row],[Duplicate Key]])</f>
        <v>1</v>
      </c>
    </row>
    <row r="3539" spans="1:10">
      <c r="A3539" s="7">
        <v>2</v>
      </c>
      <c r="B3539" s="8" t="s">
        <v>6386</v>
      </c>
      <c r="C3539" s="8" t="s">
        <v>5907</v>
      </c>
      <c r="D3539" s="7">
        <v>1</v>
      </c>
      <c r="E3539" s="7">
        <v>10</v>
      </c>
      <c r="F3539" s="7">
        <v>1</v>
      </c>
      <c r="G3539" s="8" t="s">
        <v>5690</v>
      </c>
      <c r="H3539" s="8" t="s">
        <v>5691</v>
      </c>
      <c r="I3539" s="7" t="str">
        <f>_xlfn.CONCAT(Paper_Reference[[#This Row],[Lvl]:[Paper Description]])</f>
        <v>2JI8R0161N520MARTIN LX D/G H/W 60 X 1441101100DS009-6200FROSTY WHITE</v>
      </c>
      <c r="J3539" s="7">
        <f>COUNTIF(Paper_Reference[Duplicate Key],Paper_Reference[[#This Row],[Duplicate Key]])</f>
        <v>1</v>
      </c>
    </row>
    <row r="3540" spans="1:10">
      <c r="A3540" s="7">
        <v>2</v>
      </c>
      <c r="B3540" s="8" t="s">
        <v>6387</v>
      </c>
      <c r="C3540" s="8" t="s">
        <v>5908</v>
      </c>
      <c r="D3540" s="7">
        <v>1</v>
      </c>
      <c r="E3540" s="7">
        <v>10</v>
      </c>
      <c r="F3540" s="7">
        <v>1</v>
      </c>
      <c r="G3540" s="8" t="s">
        <v>5690</v>
      </c>
      <c r="H3540" s="8" t="s">
        <v>5691</v>
      </c>
      <c r="I3540" s="7" t="str">
        <f>_xlfn.CONCAT(Paper_Reference[[#This Row],[Lvl]:[Paper Description]])</f>
        <v>2JI8R0162N520MARTIN DX D/G H/W 60 X 1441101100DS009-6200FROSTY WHITE</v>
      </c>
      <c r="J3540" s="7">
        <f>COUNTIF(Paper_Reference[Duplicate Key],Paper_Reference[[#This Row],[Duplicate Key]])</f>
        <v>1</v>
      </c>
    </row>
    <row r="3541" spans="1:10">
      <c r="A3541" s="7">
        <v>2</v>
      </c>
      <c r="B3541" s="8" t="s">
        <v>6388</v>
      </c>
      <c r="C3541" s="8" t="s">
        <v>5909</v>
      </c>
      <c r="D3541" s="7">
        <v>1</v>
      </c>
      <c r="E3541" s="7">
        <v>10</v>
      </c>
      <c r="F3541" s="7">
        <v>1</v>
      </c>
      <c r="G3541" s="8" t="s">
        <v>5690</v>
      </c>
      <c r="H3541" s="8" t="s">
        <v>5691</v>
      </c>
      <c r="I3541" s="7" t="str">
        <f>_xlfn.CONCAT(Paper_Reference[[#This Row],[Lvl]:[Paper Description]])</f>
        <v>2JI8R0163N520MARTIN NUB D/G H/W 60 X 1441101100DS009-6200FROSTY WHITE</v>
      </c>
      <c r="J3541" s="7">
        <f>COUNTIF(Paper_Reference[Duplicate Key],Paper_Reference[[#This Row],[Duplicate Key]])</f>
        <v>1</v>
      </c>
    </row>
    <row r="3542" spans="1:10">
      <c r="A3542" s="7">
        <v>2</v>
      </c>
      <c r="B3542" s="8" t="s">
        <v>6389</v>
      </c>
      <c r="C3542" s="8" t="s">
        <v>5910</v>
      </c>
      <c r="D3542" s="7">
        <v>1</v>
      </c>
      <c r="E3542" s="7">
        <v>10</v>
      </c>
      <c r="F3542" s="7">
        <v>1</v>
      </c>
      <c r="G3542" s="8" t="s">
        <v>5690</v>
      </c>
      <c r="H3542" s="8" t="s">
        <v>5691</v>
      </c>
      <c r="I3542" s="7" t="str">
        <f>_xlfn.CONCAT(Paper_Reference[[#This Row],[Lvl]:[Paper Description]])</f>
        <v>2JI8R0180N520ELVIS GUITAR D/G H/W 60X1441101100DS009-6200FROSTY WHITE</v>
      </c>
      <c r="J3542" s="7">
        <f>COUNTIF(Paper_Reference[Duplicate Key],Paper_Reference[[#This Row],[Duplicate Key]])</f>
        <v>1</v>
      </c>
    </row>
    <row r="3543" spans="1:10">
      <c r="A3543" s="7">
        <v>2</v>
      </c>
      <c r="B3543" s="8" t="s">
        <v>6390</v>
      </c>
      <c r="C3543" s="8" t="s">
        <v>5911</v>
      </c>
      <c r="D3543" s="7">
        <v>1</v>
      </c>
      <c r="E3543" s="7">
        <v>10</v>
      </c>
      <c r="F3543" s="7">
        <v>0.5</v>
      </c>
      <c r="G3543" s="8" t="s">
        <v>5690</v>
      </c>
      <c r="H3543" s="8" t="s">
        <v>5691</v>
      </c>
      <c r="I3543" s="7" t="str">
        <f>_xlfn.CONCAT(Paper_Reference[[#This Row],[Lvl]:[Paper Description]])</f>
        <v>2JI8R0180N550ELVIS GUITAR D/G H/W 60 X 601100.5100DS009-6200FROSTY WHITE</v>
      </c>
      <c r="J3543" s="7">
        <f>COUNTIF(Paper_Reference[Duplicate Key],Paper_Reference[[#This Row],[Duplicate Key]])</f>
        <v>1</v>
      </c>
    </row>
    <row r="3544" spans="1:10">
      <c r="A3544" s="7">
        <v>2</v>
      </c>
      <c r="B3544" s="8" t="s">
        <v>6391</v>
      </c>
      <c r="C3544" s="8" t="s">
        <v>5912</v>
      </c>
      <c r="D3544" s="7">
        <v>1</v>
      </c>
      <c r="E3544" s="7">
        <v>10</v>
      </c>
      <c r="F3544" s="7">
        <v>1</v>
      </c>
      <c r="G3544" s="8" t="s">
        <v>5690</v>
      </c>
      <c r="H3544" s="8" t="s">
        <v>5691</v>
      </c>
      <c r="I3544" s="7" t="str">
        <f>_xlfn.CONCAT(Paper_Reference[[#This Row],[Lvl]:[Paper Description]])</f>
        <v>2JI8R0180N580ELVIS GUITAR D/G H/W 60 X 961101100DS009-6200FROSTY WHITE</v>
      </c>
      <c r="J3544" s="7">
        <f>COUNTIF(Paper_Reference[Duplicate Key],Paper_Reference[[#This Row],[Duplicate Key]])</f>
        <v>1</v>
      </c>
    </row>
    <row r="3545" spans="1:10">
      <c r="A3545" s="7">
        <v>2</v>
      </c>
      <c r="B3545" s="8" t="s">
        <v>6392</v>
      </c>
      <c r="C3545" s="8" t="s">
        <v>5913</v>
      </c>
      <c r="D3545" s="7">
        <v>1</v>
      </c>
      <c r="E3545" s="7">
        <v>10</v>
      </c>
      <c r="F3545" s="7">
        <v>0.5</v>
      </c>
      <c r="G3545" s="8" t="s">
        <v>5690</v>
      </c>
      <c r="H3545" s="8" t="s">
        <v>5691</v>
      </c>
      <c r="I3545" s="7" t="str">
        <f>_xlfn.CONCAT(Paper_Reference[[#This Row],[Lvl]:[Paper Description]])</f>
        <v>2JI8R0187N550SEALASKA GUITAR D/G H/W 60X601100.5100DS009-6200FROSTY WHITE</v>
      </c>
      <c r="J3545" s="7">
        <f>COUNTIF(Paper_Reference[Duplicate Key],Paper_Reference[[#This Row],[Duplicate Key]])</f>
        <v>1</v>
      </c>
    </row>
    <row r="3546" spans="1:10">
      <c r="A3546" s="7">
        <v>2</v>
      </c>
      <c r="B3546" s="8" t="s">
        <v>6393</v>
      </c>
      <c r="C3546" s="8" t="s">
        <v>5914</v>
      </c>
      <c r="D3546" s="7">
        <v>1</v>
      </c>
      <c r="E3546" s="7">
        <v>10</v>
      </c>
      <c r="F3546" s="7">
        <v>0.5</v>
      </c>
      <c r="G3546" s="8" t="s">
        <v>5690</v>
      </c>
      <c r="H3546" s="8" t="s">
        <v>5691</v>
      </c>
      <c r="I3546" s="7" t="str">
        <f>_xlfn.CONCAT(Paper_Reference[[#This Row],[Lvl]:[Paper Description]])</f>
        <v>2JI8R0206N550LX TOUR GUITAR D/G H/W 60 X 601100.5100DS009-6200FROSTY WHITE</v>
      </c>
      <c r="J3546" s="7">
        <f>COUNTIF(Paper_Reference[Duplicate Key],Paper_Reference[[#This Row],[Duplicate Key]])</f>
        <v>1</v>
      </c>
    </row>
    <row r="3547" spans="1:10">
      <c r="A3547" s="7">
        <v>2</v>
      </c>
      <c r="B3547" s="8" t="s">
        <v>6394</v>
      </c>
      <c r="C3547" s="8" t="s">
        <v>5915</v>
      </c>
      <c r="D3547" s="7">
        <v>1</v>
      </c>
      <c r="E3547" s="7">
        <v>10</v>
      </c>
      <c r="F3547" s="7">
        <v>0.5</v>
      </c>
      <c r="G3547" s="8" t="s">
        <v>5690</v>
      </c>
      <c r="H3547" s="8" t="s">
        <v>5691</v>
      </c>
      <c r="I3547" s="7" t="str">
        <f>_xlfn.CONCAT(Paper_Reference[[#This Row],[Lvl]:[Paper Description]])</f>
        <v>2JI8R0207N550JIMMY BUFFET D/G H/W 60 X 601100.5100DS009-6200FROSTY WHITE</v>
      </c>
      <c r="J3547" s="7">
        <f>COUNTIF(Paper_Reference[Duplicate Key],Paper_Reference[[#This Row],[Duplicate Key]])</f>
        <v>1</v>
      </c>
    </row>
    <row r="3548" spans="1:10">
      <c r="A3548" s="7">
        <v>2</v>
      </c>
      <c r="B3548" s="8" t="s">
        <v>6395</v>
      </c>
      <c r="C3548" s="8" t="s">
        <v>5916</v>
      </c>
      <c r="D3548" s="7">
        <v>1</v>
      </c>
      <c r="E3548" s="7">
        <v>10</v>
      </c>
      <c r="F3548" s="7">
        <v>0.5</v>
      </c>
      <c r="G3548" s="8" t="s">
        <v>5690</v>
      </c>
      <c r="H3548" s="8" t="s">
        <v>5691</v>
      </c>
      <c r="I3548" s="7" t="str">
        <f>_xlfn.CONCAT(Paper_Reference[[#This Row],[Lvl]:[Paper Description]])</f>
        <v>2JI8R0208N560MARTIN TOUR D/G H/W 60 X 721100.5100DS009-6200FROSTY WHITE</v>
      </c>
      <c r="J3548" s="7">
        <f>COUNTIF(Paper_Reference[Duplicate Key],Paper_Reference[[#This Row],[Duplicate Key]])</f>
        <v>1</v>
      </c>
    </row>
    <row r="3549" spans="1:10">
      <c r="A3549" s="7">
        <v>2</v>
      </c>
      <c r="B3549" s="8" t="s">
        <v>7878</v>
      </c>
      <c r="C3549" s="8" t="s">
        <v>7077</v>
      </c>
      <c r="D3549" s="7">
        <v>1</v>
      </c>
      <c r="E3549" s="7">
        <v>10</v>
      </c>
      <c r="F3549" s="7">
        <v>1</v>
      </c>
      <c r="G3549" s="8" t="s">
        <v>6710</v>
      </c>
      <c r="H3549" s="8" t="s">
        <v>5691</v>
      </c>
      <c r="I3549" s="7" t="str">
        <f>_xlfn.CONCAT(Paper_Reference[[#This Row],[Lvl]:[Paper Description]])</f>
        <v>2JI8R0726SD480MARTIN 420 GUITAR D/G H/W 48X91101100DS009-5000FROSTY WHITE</v>
      </c>
      <c r="J3549" s="7">
        <f>COUNTIF(Paper_Reference[Duplicate Key],Paper_Reference[[#This Row],[Duplicate Key]])</f>
        <v>1</v>
      </c>
    </row>
    <row r="3550" spans="1:10">
      <c r="A3550" s="7">
        <v>2</v>
      </c>
      <c r="B3550" s="8" t="s">
        <v>6396</v>
      </c>
      <c r="C3550" s="8" t="s">
        <v>5917</v>
      </c>
      <c r="D3550" s="7">
        <v>1</v>
      </c>
      <c r="E3550" s="7">
        <v>10</v>
      </c>
      <c r="F3550" s="7">
        <v>1</v>
      </c>
      <c r="G3550" s="8" t="s">
        <v>5690</v>
      </c>
      <c r="H3550" s="8" t="s">
        <v>5691</v>
      </c>
      <c r="I3550" s="7" t="str">
        <f>_xlfn.CONCAT(Paper_Reference[[#This Row],[Lvl]:[Paper Description]])</f>
        <v>2JI8R0726SD580MARTIN 420 GUITAR D/G H/W 60X91101100DS009-6200FROSTY WHITE</v>
      </c>
      <c r="J3550" s="7">
        <f>COUNTIF(Paper_Reference[Duplicate Key],Paper_Reference[[#This Row],[Duplicate Key]])</f>
        <v>1</v>
      </c>
    </row>
    <row r="3551" spans="1:10">
      <c r="A3551" s="7">
        <v>2</v>
      </c>
      <c r="B3551" s="8" t="s">
        <v>2713</v>
      </c>
      <c r="C3551" s="8" t="s">
        <v>2256</v>
      </c>
      <c r="D3551" s="7">
        <v>1</v>
      </c>
      <c r="E3551" s="7">
        <v>10</v>
      </c>
      <c r="F3551" s="7">
        <v>1</v>
      </c>
      <c r="G3551" s="8" t="s">
        <v>2144</v>
      </c>
      <c r="H3551" s="8" t="s">
        <v>1242</v>
      </c>
      <c r="I3551" s="7" t="str">
        <f>_xlfn.CONCAT(Paper_Reference[[#This Row],[Lvl]:[Paper Description]])</f>
        <v>2JI8R0782SD580MARTIN WOODSTOCK D/G 60 X 96110110000020-6200Premium Inkjet MPK 9653</v>
      </c>
      <c r="J3551" s="7">
        <f>COUNTIF(Paper_Reference[Duplicate Key],Paper_Reference[[#This Row],[Duplicate Key]])</f>
        <v>1</v>
      </c>
    </row>
    <row r="3552" spans="1:10">
      <c r="A3552" s="7">
        <v>2</v>
      </c>
      <c r="B3552" s="8" t="s">
        <v>2713</v>
      </c>
      <c r="C3552" s="8" t="s">
        <v>2256</v>
      </c>
      <c r="D3552" s="7">
        <v>1</v>
      </c>
      <c r="E3552" s="7">
        <v>10</v>
      </c>
      <c r="F3552" s="7">
        <v>1</v>
      </c>
      <c r="G3552" s="8" t="s">
        <v>5690</v>
      </c>
      <c r="H3552" s="8" t="s">
        <v>5691</v>
      </c>
      <c r="I3552" s="7" t="str">
        <f>_xlfn.CONCAT(Paper_Reference[[#This Row],[Lvl]:[Paper Description]])</f>
        <v>2JI8R0782SD580MARTIN WOODSTOCK D/G 60 X 961101100DS009-6200FROSTY WHITE</v>
      </c>
      <c r="J3552" s="7">
        <f>COUNTIF(Paper_Reference[Duplicate Key],Paper_Reference[[#This Row],[Duplicate Key]])</f>
        <v>1</v>
      </c>
    </row>
    <row r="3553" spans="1:10">
      <c r="A3553" s="7">
        <v>2</v>
      </c>
      <c r="B3553" s="8" t="s">
        <v>6397</v>
      </c>
      <c r="C3553" s="8" t="s">
        <v>5918</v>
      </c>
      <c r="D3553" s="7">
        <v>1</v>
      </c>
      <c r="E3553" s="7">
        <v>10</v>
      </c>
      <c r="F3553" s="7">
        <v>1</v>
      </c>
      <c r="G3553" s="8" t="s">
        <v>5690</v>
      </c>
      <c r="H3553" s="8" t="s">
        <v>5691</v>
      </c>
      <c r="I3553" s="7" t="str">
        <f>_xlfn.CONCAT(Paper_Reference[[#This Row],[Lvl]:[Paper Description]])</f>
        <v>2JI8R0783SD580MARTIN MEXICO 30TH D/G 60 X 961101100DS009-6200FROSTY WHITE</v>
      </c>
      <c r="J3553" s="7">
        <f>COUNTIF(Paper_Reference[Duplicate Key],Paper_Reference[[#This Row],[Duplicate Key]])</f>
        <v>1</v>
      </c>
    </row>
    <row r="3554" spans="1:10">
      <c r="A3554" s="7">
        <v>2</v>
      </c>
      <c r="B3554" s="8" t="s">
        <v>6398</v>
      </c>
      <c r="C3554" s="8" t="s">
        <v>5919</v>
      </c>
      <c r="D3554" s="7">
        <v>1</v>
      </c>
      <c r="E3554" s="7">
        <v>10</v>
      </c>
      <c r="F3554" s="7">
        <v>1</v>
      </c>
      <c r="G3554" s="8" t="s">
        <v>5690</v>
      </c>
      <c r="H3554" s="8" t="s">
        <v>5691</v>
      </c>
      <c r="I3554" s="7" t="str">
        <f>_xlfn.CONCAT(Paper_Reference[[#This Row],[Lvl]:[Paper Description]])</f>
        <v>2JI8R0794SD580MARTIN YUENGLING LX D/G 60X961101100DS009-6200FROSTY WHITE</v>
      </c>
      <c r="J3554" s="7">
        <f>COUNTIF(Paper_Reference[Duplicate Key],Paper_Reference[[#This Row],[Duplicate Key]])</f>
        <v>1</v>
      </c>
    </row>
    <row r="3555" spans="1:10">
      <c r="A3555" s="7">
        <v>2</v>
      </c>
      <c r="B3555" s="8" t="s">
        <v>2714</v>
      </c>
      <c r="C3555" s="8" t="s">
        <v>2257</v>
      </c>
      <c r="D3555" s="7">
        <v>1</v>
      </c>
      <c r="E3555" s="7">
        <v>10</v>
      </c>
      <c r="F3555" s="7">
        <v>1</v>
      </c>
      <c r="G3555" s="8" t="s">
        <v>2144</v>
      </c>
      <c r="H3555" s="8" t="s">
        <v>1242</v>
      </c>
      <c r="I3555" s="7" t="str">
        <f>_xlfn.CONCAT(Paper_Reference[[#This Row],[Lvl]:[Paper Description]])</f>
        <v>2JI8R1317SD580MARTIN LIFE IS GOOD UKE 60X96110110000020-6200Premium Inkjet MPK 9653</v>
      </c>
      <c r="J3555" s="7">
        <f>COUNTIF(Paper_Reference[Duplicate Key],Paper_Reference[[#This Row],[Duplicate Key]])</f>
        <v>1</v>
      </c>
    </row>
    <row r="3556" spans="1:10">
      <c r="A3556" s="7">
        <v>2</v>
      </c>
      <c r="B3556" s="8" t="s">
        <v>2714</v>
      </c>
      <c r="C3556" s="8" t="s">
        <v>2257</v>
      </c>
      <c r="D3556" s="7">
        <v>1</v>
      </c>
      <c r="E3556" s="7">
        <v>10</v>
      </c>
      <c r="F3556" s="7">
        <v>1</v>
      </c>
      <c r="G3556" s="8" t="s">
        <v>5690</v>
      </c>
      <c r="H3556" s="8" t="s">
        <v>5691</v>
      </c>
      <c r="I3556" s="7" t="str">
        <f>_xlfn.CONCAT(Paper_Reference[[#This Row],[Lvl]:[Paper Description]])</f>
        <v>2JI8R1317SD580MARTIN LIFE IS GOOD UKE 60X961101100DS009-6200FROSTY WHITE</v>
      </c>
      <c r="J3556" s="7">
        <f>COUNTIF(Paper_Reference[Duplicate Key],Paper_Reference[[#This Row],[Duplicate Key]])</f>
        <v>1</v>
      </c>
    </row>
    <row r="3557" spans="1:10">
      <c r="A3557" s="7">
        <v>2</v>
      </c>
      <c r="B3557" s="8" t="s">
        <v>3536</v>
      </c>
      <c r="C3557" s="8" t="s">
        <v>3249</v>
      </c>
      <c r="D3557" s="7">
        <v>1</v>
      </c>
      <c r="E3557" s="7">
        <v>10</v>
      </c>
      <c r="F3557" s="7">
        <v>1</v>
      </c>
      <c r="G3557" s="8" t="s">
        <v>3230</v>
      </c>
      <c r="H3557" s="8" t="s">
        <v>3231</v>
      </c>
      <c r="I3557" s="7" t="str">
        <f>_xlfn.CONCAT(Paper_Reference[[#This Row],[Lvl]:[Paper Description]])</f>
        <v>2JIEIFOSSJ4801FOSSIL H/W 48 X 961101110SW736-5000PRECISION WHITE 43 X 145</v>
      </c>
      <c r="J3557" s="7">
        <f>COUNTIF(Paper_Reference[Duplicate Key],Paper_Reference[[#This Row],[Duplicate Key]])</f>
        <v>1</v>
      </c>
    </row>
    <row r="3558" spans="1:10">
      <c r="A3558" s="7">
        <v>2</v>
      </c>
      <c r="B3558" s="8" t="s">
        <v>1879</v>
      </c>
      <c r="C3558" s="8" t="s">
        <v>1452</v>
      </c>
      <c r="D3558" s="7">
        <v>1</v>
      </c>
      <c r="E3558" s="7">
        <v>10</v>
      </c>
      <c r="F3558" s="7">
        <v>1</v>
      </c>
      <c r="G3558" s="8" t="s">
        <v>1241</v>
      </c>
      <c r="H3558" s="8" t="s">
        <v>1242</v>
      </c>
      <c r="I3558" s="7" t="str">
        <f>_xlfn.CONCAT(Paper_Reference[[#This Row],[Lvl]:[Paper Description]])</f>
        <v>2JIER1208SD480LEGACY T103 LOBBY EAST 48 X 96110110000020-5000Premium Inkjet MPK 9653</v>
      </c>
      <c r="J3558" s="7">
        <f>COUNTIF(Paper_Reference[Duplicate Key],Paper_Reference[[#This Row],[Duplicate Key]])</f>
        <v>1</v>
      </c>
    </row>
    <row r="3559" spans="1:10">
      <c r="A3559" s="7">
        <v>2</v>
      </c>
      <c r="B3559" s="8" t="s">
        <v>1880</v>
      </c>
      <c r="C3559" s="8" t="s">
        <v>1453</v>
      </c>
      <c r="D3559" s="7">
        <v>1</v>
      </c>
      <c r="E3559" s="7">
        <v>10</v>
      </c>
      <c r="F3559" s="7">
        <v>1</v>
      </c>
      <c r="G3559" s="8" t="s">
        <v>1241</v>
      </c>
      <c r="H3559" s="8" t="s">
        <v>1242</v>
      </c>
      <c r="I3559" s="7" t="str">
        <f>_xlfn.CONCAT(Paper_Reference[[#This Row],[Lvl]:[Paper Description]])</f>
        <v>2JIER1210SD480LEGACY F100B WAITING N 48 X 96110110000020-5000Premium Inkjet MPK 9653</v>
      </c>
      <c r="J3559" s="7">
        <f>COUNTIF(Paper_Reference[Duplicate Key],Paper_Reference[[#This Row],[Duplicate Key]])</f>
        <v>1</v>
      </c>
    </row>
    <row r="3560" spans="1:10">
      <c r="A3560" s="7">
        <v>2</v>
      </c>
      <c r="B3560" s="8" t="s">
        <v>1881</v>
      </c>
      <c r="C3560" s="8" t="s">
        <v>1454</v>
      </c>
      <c r="D3560" s="7">
        <v>1</v>
      </c>
      <c r="E3560" s="7">
        <v>10</v>
      </c>
      <c r="F3560" s="7">
        <v>1</v>
      </c>
      <c r="G3560" s="8" t="s">
        <v>1241</v>
      </c>
      <c r="H3560" s="8" t="s">
        <v>1242</v>
      </c>
      <c r="I3560" s="7" t="str">
        <f>_xlfn.CONCAT(Paper_Reference[[#This Row],[Lvl]:[Paper Description]])</f>
        <v>2JM5R1005CR480PANOLAM PLANT PLAQUE 48 X 96110110000020-5000Premium Inkjet MPK 9653</v>
      </c>
      <c r="J3560" s="7">
        <f>COUNTIF(Paper_Reference[Duplicate Key],Paper_Reference[[#This Row],[Duplicate Key]])</f>
        <v>1</v>
      </c>
    </row>
    <row r="3561" spans="1:10">
      <c r="A3561" s="7">
        <v>3</v>
      </c>
      <c r="B3561" s="8" t="s">
        <v>474</v>
      </c>
      <c r="C3561" s="8" t="s">
        <v>250</v>
      </c>
      <c r="D3561" s="7">
        <v>1</v>
      </c>
      <c r="E3561" s="7">
        <v>91</v>
      </c>
      <c r="F3561" s="7">
        <v>1</v>
      </c>
      <c r="G3561" s="8" t="s">
        <v>214</v>
      </c>
      <c r="H3561" s="8" t="s">
        <v>423</v>
      </c>
      <c r="I3561" s="7" t="str">
        <f>_xlfn.CONCAT(Paper_Reference[[#This Row],[Lvl]:[Paper Description]])</f>
        <v>3JOLLYROGERPK1JR DIG/UV PRO TWO LANE PACK1911100WM991-4300MAPLE LANE PRINT (W)</v>
      </c>
      <c r="J3561" s="7">
        <f>COUNTIF(Paper_Reference[Duplicate Key],Paper_Reference[[#This Row],[Duplicate Key]])</f>
        <v>1</v>
      </c>
    </row>
    <row r="3562" spans="1:10">
      <c r="A3562" s="7">
        <v>4</v>
      </c>
      <c r="B3562" s="8" t="s">
        <v>474</v>
      </c>
      <c r="C3562" s="8" t="s">
        <v>250</v>
      </c>
      <c r="D3562" s="7">
        <v>1</v>
      </c>
      <c r="E3562" s="7">
        <v>91</v>
      </c>
      <c r="F3562" s="7">
        <v>1</v>
      </c>
      <c r="G3562" s="8" t="s">
        <v>215</v>
      </c>
      <c r="H3562" s="8" t="s">
        <v>422</v>
      </c>
      <c r="I3562" s="7" t="str">
        <f>_xlfn.CONCAT(Paper_Reference[[#This Row],[Lvl]:[Paper Description]])</f>
        <v>4JOLLYROGERPK1JR DIG/UV PRO TWO LANE PACK1911100WM101-6200RIGHT BRUNSWICK MAPLE (W)</v>
      </c>
      <c r="J3562" s="7">
        <f>COUNTIF(Paper_Reference[Duplicate Key],Paper_Reference[[#This Row],[Duplicate Key]])</f>
        <v>1</v>
      </c>
    </row>
    <row r="3563" spans="1:10">
      <c r="A3563" s="7">
        <v>4</v>
      </c>
      <c r="B3563" s="8" t="s">
        <v>474</v>
      </c>
      <c r="C3563" s="8" t="s">
        <v>250</v>
      </c>
      <c r="D3563" s="7">
        <v>1</v>
      </c>
      <c r="E3563" s="7">
        <v>91</v>
      </c>
      <c r="F3563" s="7">
        <v>1</v>
      </c>
      <c r="G3563" s="8" t="s">
        <v>216</v>
      </c>
      <c r="H3563" s="8" t="s">
        <v>424</v>
      </c>
      <c r="I3563" s="7" t="str">
        <f>_xlfn.CONCAT(Paper_Reference[[#This Row],[Lvl]:[Paper Description]])</f>
        <v>4JOLLYROGERPK1JR DIG/UV PRO TWO LANE PACK1911100WM981-6200LEFT BRUNSWICK MAPLE (W)</v>
      </c>
      <c r="J3563" s="7">
        <f>COUNTIF(Paper_Reference[Duplicate Key],Paper_Reference[[#This Row],[Duplicate Key]])</f>
        <v>1</v>
      </c>
    </row>
    <row r="3564" spans="1:10">
      <c r="A3564" s="7">
        <v>4</v>
      </c>
      <c r="B3564" s="8" t="s">
        <v>474</v>
      </c>
      <c r="C3564" s="8" t="s">
        <v>250</v>
      </c>
      <c r="D3564" s="7">
        <v>1</v>
      </c>
      <c r="E3564" s="7">
        <v>91</v>
      </c>
      <c r="F3564" s="7">
        <v>1</v>
      </c>
      <c r="G3564" s="8" t="s">
        <v>214</v>
      </c>
      <c r="H3564" s="8" t="s">
        <v>423</v>
      </c>
      <c r="I3564" s="7" t="str">
        <f>_xlfn.CONCAT(Paper_Reference[[#This Row],[Lvl]:[Paper Description]])</f>
        <v>4JOLLYROGERPK1JR DIG/UV PRO TWO LANE PACK1911100WM991-4300MAPLE LANE PRINT (W)</v>
      </c>
      <c r="J3564" s="7">
        <f>COUNTIF(Paper_Reference[Duplicate Key],Paper_Reference[[#This Row],[Duplicate Key]])</f>
        <v>1</v>
      </c>
    </row>
    <row r="3565" spans="1:10">
      <c r="A3565" s="7">
        <v>2</v>
      </c>
      <c r="B3565" s="8" t="s">
        <v>3537</v>
      </c>
      <c r="C3565" s="8" t="s">
        <v>3240</v>
      </c>
      <c r="D3565" s="7">
        <v>1</v>
      </c>
      <c r="E3565" s="7">
        <v>10</v>
      </c>
      <c r="F3565" s="7">
        <v>1</v>
      </c>
      <c r="G3565" s="8" t="s">
        <v>3230</v>
      </c>
      <c r="H3565" s="8" t="s">
        <v>3231</v>
      </c>
      <c r="I3565" s="7" t="str">
        <f>_xlfn.CONCAT(Paper_Reference[[#This Row],[Lvl]:[Paper Description]])</f>
        <v>2JV1IFOSSS4801FOSSIL D/G 48 X 961101110SW736-5000PRECISION WHITE 43 X 145</v>
      </c>
      <c r="J3565" s="7">
        <f>COUNTIF(Paper_Reference[Duplicate Key],Paper_Reference[[#This Row],[Duplicate Key]])</f>
        <v>1</v>
      </c>
    </row>
    <row r="3566" spans="1:10">
      <c r="A3566" s="7">
        <v>2</v>
      </c>
      <c r="B3566" s="8" t="s">
        <v>3538</v>
      </c>
      <c r="C3566" s="8" t="s">
        <v>3250</v>
      </c>
      <c r="D3566" s="7">
        <v>1</v>
      </c>
      <c r="E3566" s="7">
        <v>10</v>
      </c>
      <c r="F3566" s="7">
        <v>2</v>
      </c>
      <c r="G3566" s="8" t="s">
        <v>3230</v>
      </c>
      <c r="H3566" s="8" t="s">
        <v>3231</v>
      </c>
      <c r="I3566" s="7" t="str">
        <f>_xlfn.CONCAT(Paper_Reference[[#This Row],[Lvl]:[Paper Description]])</f>
        <v>2JX8IFOSSH4001FRL FOSSIL D/G 48 X 1201102110SW736-5000PRECISION WHITE 43 X 145</v>
      </c>
      <c r="J3566" s="7">
        <f>COUNTIF(Paper_Reference[Duplicate Key],Paper_Reference[[#This Row],[Duplicate Key]])</f>
        <v>1</v>
      </c>
    </row>
    <row r="3567" spans="1:10">
      <c r="A3567" s="7">
        <v>2</v>
      </c>
      <c r="B3567" s="8" t="s">
        <v>3539</v>
      </c>
      <c r="C3567" s="8" t="s">
        <v>3251</v>
      </c>
      <c r="D3567" s="7">
        <v>1</v>
      </c>
      <c r="E3567" s="7">
        <v>10</v>
      </c>
      <c r="F3567" s="7">
        <v>2</v>
      </c>
      <c r="G3567" s="8" t="s">
        <v>3230</v>
      </c>
      <c r="H3567" s="8" t="s">
        <v>3231</v>
      </c>
      <c r="I3567" s="7" t="str">
        <f>_xlfn.CONCAT(Paper_Reference[[#This Row],[Lvl]:[Paper Description]])</f>
        <v>2JX8IFOSSH4201FRL FOSSIL D/G 48 X 1441102110SW736-5000PRECISION WHITE 43 X 145</v>
      </c>
      <c r="J3567" s="7">
        <f>COUNTIF(Paper_Reference[Duplicate Key],Paper_Reference[[#This Row],[Duplicate Key]])</f>
        <v>1</v>
      </c>
    </row>
    <row r="3568" spans="1:10">
      <c r="A3568" s="7">
        <v>2</v>
      </c>
      <c r="B3568" s="8" t="s">
        <v>3540</v>
      </c>
      <c r="C3568" s="8" t="s">
        <v>3252</v>
      </c>
      <c r="D3568" s="7">
        <v>1</v>
      </c>
      <c r="E3568" s="7">
        <v>10</v>
      </c>
      <c r="F3568" s="7">
        <v>2</v>
      </c>
      <c r="G3568" s="8" t="s">
        <v>3230</v>
      </c>
      <c r="H3568" s="8" t="s">
        <v>3231</v>
      </c>
      <c r="I3568" s="7" t="str">
        <f>_xlfn.CONCAT(Paper_Reference[[#This Row],[Lvl]:[Paper Description]])</f>
        <v>2JX8IFOSSH4801FRL FOSSIL D/G 48 X 961102110SW736-5000PRECISION WHITE 43 X 145</v>
      </c>
      <c r="J3568" s="7">
        <f>COUNTIF(Paper_Reference[Duplicate Key],Paper_Reference[[#This Row],[Duplicate Key]])</f>
        <v>1</v>
      </c>
    </row>
    <row r="3569" spans="1:10">
      <c r="A3569" s="7">
        <v>2</v>
      </c>
      <c r="B3569" s="8" t="s">
        <v>3994</v>
      </c>
      <c r="C3569" s="8" t="s">
        <v>3775</v>
      </c>
      <c r="D3569" s="7">
        <v>1</v>
      </c>
      <c r="E3569" s="7">
        <v>10</v>
      </c>
      <c r="F3569" s="7">
        <v>2</v>
      </c>
      <c r="G3569" s="8" t="s">
        <v>3826</v>
      </c>
      <c r="H3569" s="8" t="s">
        <v>3827</v>
      </c>
      <c r="I3569" s="7" t="str">
        <f>_xlfn.CONCAT(Paper_Reference[[#This Row],[Lvl]:[Paper Description]])</f>
        <v>2JX8IFOSSH5001FRL FOSSIL D/G 60 X 1201102110SW736-6200PRECISION WHITE 62"</v>
      </c>
      <c r="J3569" s="7">
        <f>COUNTIF(Paper_Reference[Duplicate Key],Paper_Reference[[#This Row],[Duplicate Key]])</f>
        <v>1</v>
      </c>
    </row>
    <row r="3570" spans="1:10">
      <c r="A3570" s="7">
        <v>2</v>
      </c>
      <c r="B3570" s="8" t="s">
        <v>3995</v>
      </c>
      <c r="C3570" s="8" t="s">
        <v>3776</v>
      </c>
      <c r="D3570" s="7">
        <v>1</v>
      </c>
      <c r="E3570" s="7">
        <v>10</v>
      </c>
      <c r="F3570" s="7">
        <v>2</v>
      </c>
      <c r="G3570" s="8" t="s">
        <v>3826</v>
      </c>
      <c r="H3570" s="8" t="s">
        <v>3827</v>
      </c>
      <c r="I3570" s="7" t="str">
        <f>_xlfn.CONCAT(Paper_Reference[[#This Row],[Lvl]:[Paper Description]])</f>
        <v>2JX8IFOSSH5201FRL FOSSIL D/G 60 X 1441102110SW736-6200PRECISION WHITE 62"</v>
      </c>
      <c r="J3570" s="7">
        <f>COUNTIF(Paper_Reference[Duplicate Key],Paper_Reference[[#This Row],[Duplicate Key]])</f>
        <v>1</v>
      </c>
    </row>
    <row r="3571" spans="1:10">
      <c r="A3571" s="7">
        <v>2</v>
      </c>
      <c r="B3571" s="8" t="s">
        <v>3996</v>
      </c>
      <c r="C3571" s="8" t="s">
        <v>3777</v>
      </c>
      <c r="D3571" s="7">
        <v>1</v>
      </c>
      <c r="E3571" s="7">
        <v>10</v>
      </c>
      <c r="F3571" s="7">
        <v>2</v>
      </c>
      <c r="G3571" s="8" t="s">
        <v>3826</v>
      </c>
      <c r="H3571" s="8" t="s">
        <v>3827</v>
      </c>
      <c r="I3571" s="7" t="str">
        <f>_xlfn.CONCAT(Paper_Reference[[#This Row],[Lvl]:[Paper Description]])</f>
        <v>2JX8IFOSSH5801FRL FOSSIL D/G 60 X 961102110SW736-6200PRECISION WHITE 62"</v>
      </c>
      <c r="J3571" s="7">
        <f>COUNTIF(Paper_Reference[Duplicate Key],Paper_Reference[[#This Row],[Duplicate Key]])</f>
        <v>1</v>
      </c>
    </row>
    <row r="3572" spans="1:10">
      <c r="A3572" s="7">
        <v>2</v>
      </c>
      <c r="B3572" s="8" t="s">
        <v>3541</v>
      </c>
      <c r="C3572" s="8" t="s">
        <v>3252</v>
      </c>
      <c r="D3572" s="7">
        <v>1</v>
      </c>
      <c r="E3572" s="7">
        <v>10</v>
      </c>
      <c r="F3572" s="7">
        <v>2</v>
      </c>
      <c r="G3572" s="8" t="s">
        <v>3230</v>
      </c>
      <c r="H3572" s="8" t="s">
        <v>3231</v>
      </c>
      <c r="I3572" s="7" t="str">
        <f>_xlfn.CONCAT(Paper_Reference[[#This Row],[Lvl]:[Paper Description]])</f>
        <v>2JX8IFOSSPV4801FRL FOSSIL D/G 48 X 961102110SW736-5000PRECISION WHITE 43 X 145</v>
      </c>
      <c r="J3572" s="7">
        <f>COUNTIF(Paper_Reference[Duplicate Key],Paper_Reference[[#This Row],[Duplicate Key]])</f>
        <v>1</v>
      </c>
    </row>
    <row r="3573" spans="1:10">
      <c r="A3573" s="7">
        <v>2</v>
      </c>
      <c r="B3573" s="8" t="s">
        <v>3542</v>
      </c>
      <c r="C3573" s="8" t="s">
        <v>3252</v>
      </c>
      <c r="D3573" s="7">
        <v>1</v>
      </c>
      <c r="E3573" s="7">
        <v>10</v>
      </c>
      <c r="F3573" s="7">
        <v>2</v>
      </c>
      <c r="G3573" s="8" t="s">
        <v>3230</v>
      </c>
      <c r="H3573" s="8" t="s">
        <v>3231</v>
      </c>
      <c r="I3573" s="7" t="str">
        <f>_xlfn.CONCAT(Paper_Reference[[#This Row],[Lvl]:[Paper Description]])</f>
        <v>2JX8IFOSSUNYM1FRL FOSSIL D/G 48 X 961102110SW736-5000PRECISION WHITE 43 X 145</v>
      </c>
      <c r="J3573" s="7">
        <f>COUNTIF(Paper_Reference[Duplicate Key],Paper_Reference[[#This Row],[Duplicate Key]])</f>
        <v>1</v>
      </c>
    </row>
    <row r="3574" spans="1:10">
      <c r="A3574" s="7">
        <v>2</v>
      </c>
      <c r="B3574" s="8" t="s">
        <v>3997</v>
      </c>
      <c r="C3574" s="8" t="s">
        <v>3775</v>
      </c>
      <c r="D3574" s="7">
        <v>1</v>
      </c>
      <c r="E3574" s="7">
        <v>10</v>
      </c>
      <c r="F3574" s="7">
        <v>2</v>
      </c>
      <c r="G3574" s="8" t="s">
        <v>3826</v>
      </c>
      <c r="H3574" s="8" t="s">
        <v>3827</v>
      </c>
      <c r="I3574" s="7" t="str">
        <f>_xlfn.CONCAT(Paper_Reference[[#This Row],[Lvl]:[Paper Description]])</f>
        <v>2JX8IFOSSUPFQ1FRL FOSSIL D/G 60 X 1201102110SW736-6200PRECISION WHITE 62"</v>
      </c>
      <c r="J3574" s="7">
        <f>COUNTIF(Paper_Reference[Duplicate Key],Paper_Reference[[#This Row],[Duplicate Key]])</f>
        <v>1</v>
      </c>
    </row>
    <row r="3575" spans="1:10">
      <c r="A3575" s="7">
        <v>2</v>
      </c>
      <c r="B3575" s="8" t="s">
        <v>3998</v>
      </c>
      <c r="C3575" s="8" t="s">
        <v>3776</v>
      </c>
      <c r="D3575" s="7">
        <v>1</v>
      </c>
      <c r="E3575" s="7">
        <v>10</v>
      </c>
      <c r="F3575" s="7">
        <v>2</v>
      </c>
      <c r="G3575" s="8" t="s">
        <v>3826</v>
      </c>
      <c r="H3575" s="8" t="s">
        <v>3827</v>
      </c>
      <c r="I3575" s="7" t="str">
        <f>_xlfn.CONCAT(Paper_Reference[[#This Row],[Lvl]:[Paper Description]])</f>
        <v>2JX8IFOSSUPFU1FRL FOSSIL D/G 60 X 1441102110SW736-6200PRECISION WHITE 62"</v>
      </c>
      <c r="J3575" s="7">
        <f>COUNTIF(Paper_Reference[Duplicate Key],Paper_Reference[[#This Row],[Duplicate Key]])</f>
        <v>1</v>
      </c>
    </row>
    <row r="3576" spans="1:10">
      <c r="A3576" s="7">
        <v>2</v>
      </c>
      <c r="B3576" s="8" t="s">
        <v>8587</v>
      </c>
      <c r="C3576" s="8" t="s">
        <v>8304</v>
      </c>
      <c r="D3576" s="7">
        <v>1</v>
      </c>
      <c r="E3576" s="7">
        <v>10</v>
      </c>
      <c r="F3576" s="7">
        <v>1</v>
      </c>
      <c r="G3576" s="8" t="s">
        <v>8302</v>
      </c>
      <c r="H3576" s="8" t="s">
        <v>8303</v>
      </c>
      <c r="I3576" s="7" t="str">
        <f>_xlfn.CONCAT(Paper_Reference[[#This Row],[Lvl]:[Paper Description]])</f>
        <v>2K32SW813G5001ICE WHITE 60 X 1201101100SW813-6200ICE WHITE</v>
      </c>
      <c r="J3576" s="7">
        <f>COUNTIF(Paper_Reference[Duplicate Key],Paper_Reference[[#This Row],[Duplicate Key]])</f>
        <v>1</v>
      </c>
    </row>
    <row r="3577" spans="1:10">
      <c r="A3577" s="7">
        <v>2</v>
      </c>
      <c r="B3577" s="8" t="s">
        <v>8588</v>
      </c>
      <c r="C3577" s="8" t="s">
        <v>8306</v>
      </c>
      <c r="D3577" s="7">
        <v>1</v>
      </c>
      <c r="E3577" s="7">
        <v>10</v>
      </c>
      <c r="F3577" s="7">
        <v>1</v>
      </c>
      <c r="G3577" s="8" t="s">
        <v>8302</v>
      </c>
      <c r="H3577" s="8" t="s">
        <v>8303</v>
      </c>
      <c r="I3577" s="7" t="str">
        <f>_xlfn.CONCAT(Paper_Reference[[#This Row],[Lvl]:[Paper Description]])</f>
        <v>2K32SW813GL5801ICE WHITE 60 X 961101100SW813-6200ICE WHITE</v>
      </c>
      <c r="J3577" s="7">
        <f>COUNTIF(Paper_Reference[Duplicate Key],Paper_Reference[[#This Row],[Duplicate Key]])</f>
        <v>1</v>
      </c>
    </row>
    <row r="3578" spans="1:10">
      <c r="A3578" s="7">
        <v>2</v>
      </c>
      <c r="B3578" s="8" t="s">
        <v>8589</v>
      </c>
      <c r="C3578" s="8" t="s">
        <v>8304</v>
      </c>
      <c r="D3578" s="7">
        <v>1</v>
      </c>
      <c r="E3578" s="7">
        <v>10</v>
      </c>
      <c r="F3578" s="7">
        <v>1</v>
      </c>
      <c r="G3578" s="8" t="s">
        <v>8302</v>
      </c>
      <c r="H3578" s="8" t="s">
        <v>8303</v>
      </c>
      <c r="I3578" s="7" t="str">
        <f>_xlfn.CONCAT(Paper_Reference[[#This Row],[Lvl]:[Paper Description]])</f>
        <v>2K32SW813N500ICE WHITE 60 X 1201101100SW813-6200ICE WHITE</v>
      </c>
      <c r="J3578" s="7">
        <f>COUNTIF(Paper_Reference[Duplicate Key],Paper_Reference[[#This Row],[Duplicate Key]])</f>
        <v>1</v>
      </c>
    </row>
    <row r="3579" spans="1:10">
      <c r="A3579" s="7">
        <v>2</v>
      </c>
      <c r="B3579" s="8" t="s">
        <v>5624</v>
      </c>
      <c r="C3579" s="8" t="s">
        <v>5377</v>
      </c>
      <c r="D3579" s="7">
        <v>1</v>
      </c>
      <c r="E3579" s="7">
        <v>10</v>
      </c>
      <c r="F3579" s="7">
        <v>1</v>
      </c>
      <c r="G3579" s="8" t="s">
        <v>5373</v>
      </c>
      <c r="H3579" s="8" t="s">
        <v>5374</v>
      </c>
      <c r="I3579" s="7" t="str">
        <f>_xlfn.CONCAT(Paper_Reference[[#This Row],[Lvl]:[Paper Description]])</f>
        <v>2K32WW971SD580GUN SAVOY WALNUT 60 X 961101100WW971-6200GUN SAVOY WALNUT</v>
      </c>
      <c r="J3579" s="7">
        <f>COUNTIF(Paper_Reference[Duplicate Key],Paper_Reference[[#This Row],[Duplicate Key]])</f>
        <v>1</v>
      </c>
    </row>
    <row r="3580" spans="1:10">
      <c r="A3580" s="7">
        <v>2</v>
      </c>
      <c r="B3580" s="8" t="s">
        <v>8591</v>
      </c>
      <c r="C3580" s="8" t="s">
        <v>8305</v>
      </c>
      <c r="D3580" s="7">
        <v>1</v>
      </c>
      <c r="E3580" s="7">
        <v>10</v>
      </c>
      <c r="F3580" s="7">
        <v>1</v>
      </c>
      <c r="G3580" s="8" t="s">
        <v>8302</v>
      </c>
      <c r="H3580" s="8" t="s">
        <v>8303</v>
      </c>
      <c r="I3580" s="7" t="str">
        <f>_xlfn.CONCAT(Paper_Reference[[#This Row],[Lvl]:[Paper Description]])</f>
        <v>2K51SW813G520ICE WHITE 60 X 1441101100SW813-6200ICE WHITE</v>
      </c>
      <c r="J3580" s="7">
        <f>COUNTIF(Paper_Reference[Duplicate Key],Paper_Reference[[#This Row],[Duplicate Key]])</f>
        <v>1</v>
      </c>
    </row>
    <row r="3581" spans="1:10">
      <c r="A3581" s="7">
        <v>2</v>
      </c>
      <c r="B3581" s="8" t="s">
        <v>8590</v>
      </c>
      <c r="C3581" s="8" t="s">
        <v>8305</v>
      </c>
      <c r="D3581" s="7">
        <v>1</v>
      </c>
      <c r="E3581" s="7">
        <v>10</v>
      </c>
      <c r="F3581" s="7">
        <v>1</v>
      </c>
      <c r="G3581" s="8" t="s">
        <v>8302</v>
      </c>
      <c r="H3581" s="8" t="s">
        <v>8303</v>
      </c>
      <c r="I3581" s="7" t="str">
        <f>_xlfn.CONCAT(Paper_Reference[[#This Row],[Lvl]:[Paper Description]])</f>
        <v>2K51SW813G5201ICE WHITE 60 X 1441101100SW813-6200ICE WHITE</v>
      </c>
      <c r="J3581" s="7">
        <f>COUNTIF(Paper_Reference[Duplicate Key],Paper_Reference[[#This Row],[Duplicate Key]])</f>
        <v>1</v>
      </c>
    </row>
    <row r="3582" spans="1:10">
      <c r="A3582" s="7">
        <v>2</v>
      </c>
      <c r="B3582" s="8" t="s">
        <v>3543</v>
      </c>
      <c r="C3582" s="8" t="s">
        <v>3232</v>
      </c>
      <c r="D3582" s="7">
        <v>1</v>
      </c>
      <c r="E3582" s="7">
        <v>10</v>
      </c>
      <c r="F3582" s="7">
        <v>2</v>
      </c>
      <c r="G3582" s="8" t="s">
        <v>3230</v>
      </c>
      <c r="H3582" s="8" t="s">
        <v>3231</v>
      </c>
      <c r="I3582" s="7" t="str">
        <f>_xlfn.CONCAT(Paper_Reference[[#This Row],[Lvl]:[Paper Description]])</f>
        <v>2KD3SW736G300PRECISION WHITE 36 X 1201102110SW736-5000PRECISION WHITE 43 X 145</v>
      </c>
      <c r="J3582" s="7">
        <f>COUNTIF(Paper_Reference[Duplicate Key],Paper_Reference[[#This Row],[Duplicate Key]])</f>
        <v>1</v>
      </c>
    </row>
    <row r="3583" spans="1:10">
      <c r="A3583" s="7">
        <v>2</v>
      </c>
      <c r="B3583" s="8" t="s">
        <v>3544</v>
      </c>
      <c r="C3583" s="8" t="s">
        <v>3253</v>
      </c>
      <c r="D3583" s="7">
        <v>1</v>
      </c>
      <c r="E3583" s="7">
        <v>10</v>
      </c>
      <c r="F3583" s="7">
        <v>2</v>
      </c>
      <c r="G3583" s="8" t="s">
        <v>3230</v>
      </c>
      <c r="H3583" s="8" t="s">
        <v>3231</v>
      </c>
      <c r="I3583" s="7" t="str">
        <f>_xlfn.CONCAT(Paper_Reference[[#This Row],[Lvl]:[Paper Description]])</f>
        <v>2KD3SW736G360PRECISION WHITE 36 X 721102110SW736-5000PRECISION WHITE 43 X 145</v>
      </c>
      <c r="J3583" s="7">
        <f>COUNTIF(Paper_Reference[Duplicate Key],Paper_Reference[[#This Row],[Duplicate Key]])</f>
        <v>1</v>
      </c>
    </row>
    <row r="3584" spans="1:10">
      <c r="A3584" s="7">
        <v>2</v>
      </c>
      <c r="B3584" s="8" t="s">
        <v>3545</v>
      </c>
      <c r="C3584" s="8" t="s">
        <v>3234</v>
      </c>
      <c r="D3584" s="7">
        <v>1</v>
      </c>
      <c r="E3584" s="7">
        <v>10</v>
      </c>
      <c r="F3584" s="7">
        <v>2</v>
      </c>
      <c r="G3584" s="8" t="s">
        <v>3230</v>
      </c>
      <c r="H3584" s="8" t="s">
        <v>3231</v>
      </c>
      <c r="I3584" s="7" t="str">
        <f>_xlfn.CONCAT(Paper_Reference[[#This Row],[Lvl]:[Paper Description]])</f>
        <v>2KD3SW736G380PRECISION WHITE 36 X 961102110SW736-5000PRECISION WHITE 43 X 145</v>
      </c>
      <c r="J3584" s="7">
        <f>COUNTIF(Paper_Reference[Duplicate Key],Paper_Reference[[#This Row],[Duplicate Key]])</f>
        <v>1</v>
      </c>
    </row>
    <row r="3585" spans="1:10">
      <c r="A3585" s="7">
        <v>2</v>
      </c>
      <c r="B3585" s="8" t="s">
        <v>3546</v>
      </c>
      <c r="C3585" s="8" t="s">
        <v>3235</v>
      </c>
      <c r="D3585" s="7">
        <v>1</v>
      </c>
      <c r="E3585" s="7">
        <v>10</v>
      </c>
      <c r="F3585" s="7">
        <v>2</v>
      </c>
      <c r="G3585" s="8" t="s">
        <v>3230</v>
      </c>
      <c r="H3585" s="8" t="s">
        <v>3231</v>
      </c>
      <c r="I3585" s="7" t="str">
        <f>_xlfn.CONCAT(Paper_Reference[[#This Row],[Lvl]:[Paper Description]])</f>
        <v>2KD3SW736N480PRECISION WHITE 48 X 961102110SW736-5000PRECISION WHITE 43 X 145</v>
      </c>
      <c r="J3585" s="7">
        <f>COUNTIF(Paper_Reference[Duplicate Key],Paper_Reference[[#This Row],[Duplicate Key]])</f>
        <v>1</v>
      </c>
    </row>
    <row r="3586" spans="1:10">
      <c r="A3586" s="7">
        <v>2</v>
      </c>
      <c r="B3586" s="8" t="s">
        <v>3200</v>
      </c>
      <c r="C3586" s="8" t="s">
        <v>3099</v>
      </c>
      <c r="D3586" s="7">
        <v>1</v>
      </c>
      <c r="E3586" s="7">
        <v>10</v>
      </c>
      <c r="F3586" s="7">
        <v>1</v>
      </c>
      <c r="G3586" s="8" t="s">
        <v>3115</v>
      </c>
      <c r="H3586" s="8" t="s">
        <v>3090</v>
      </c>
      <c r="I3586" s="7" t="str">
        <f>_xlfn.CONCAT(Paper_Reference[[#This Row],[Lvl]:[Paper Description]])</f>
        <v>2KI5WF132N580VANA H/W 60 X 961101100WF131-6200VANA</v>
      </c>
      <c r="J3586" s="7">
        <f>COUNTIF(Paper_Reference[Duplicate Key],Paper_Reference[[#This Row],[Duplicate Key]])</f>
        <v>1</v>
      </c>
    </row>
    <row r="3587" spans="1:10">
      <c r="A3587" s="7">
        <v>2</v>
      </c>
      <c r="B3587" s="8" t="s">
        <v>3201</v>
      </c>
      <c r="C3587" s="8" t="s">
        <v>3099</v>
      </c>
      <c r="D3587" s="7">
        <v>1</v>
      </c>
      <c r="E3587" s="7">
        <v>10</v>
      </c>
      <c r="F3587" s="7">
        <v>1</v>
      </c>
      <c r="G3587" s="8" t="s">
        <v>3115</v>
      </c>
      <c r="H3587" s="8" t="s">
        <v>3090</v>
      </c>
      <c r="I3587" s="7" t="str">
        <f>_xlfn.CONCAT(Paper_Reference[[#This Row],[Lvl]:[Paper Description]])</f>
        <v>2KI5WF132SD580VANA H/W 60 X 961101100WF131-6200VANA</v>
      </c>
      <c r="J3587" s="7">
        <f>COUNTIF(Paper_Reference[Duplicate Key],Paper_Reference[[#This Row],[Duplicate Key]])</f>
        <v>1</v>
      </c>
    </row>
    <row r="3588" spans="1:10">
      <c r="A3588" s="7">
        <v>3</v>
      </c>
      <c r="B3588" s="8" t="s">
        <v>544</v>
      </c>
      <c r="C3588" s="8" t="s">
        <v>316</v>
      </c>
      <c r="D3588" s="7">
        <v>1</v>
      </c>
      <c r="E3588" s="7">
        <v>91</v>
      </c>
      <c r="F3588" s="7">
        <v>1</v>
      </c>
      <c r="G3588" s="8" t="s">
        <v>218</v>
      </c>
      <c r="H3588" s="8" t="s">
        <v>426</v>
      </c>
      <c r="I3588" s="7" t="str">
        <f>_xlfn.CONCAT(Paper_Reference[[#This Row],[Lvl]:[Paper Description]])</f>
        <v>3KINGSVILAPK01KINGSVILLE ANV GLOW NAVY 2LP1911100WM311-4300IQ MAPLE LANE LH</v>
      </c>
      <c r="J3588" s="7">
        <f>COUNTIF(Paper_Reference[Duplicate Key],Paper_Reference[[#This Row],[Duplicate Key]])</f>
        <v>1</v>
      </c>
    </row>
    <row r="3589" spans="1:10">
      <c r="A3589" s="7">
        <v>3</v>
      </c>
      <c r="B3589" s="8" t="s">
        <v>544</v>
      </c>
      <c r="C3589" s="8" t="s">
        <v>316</v>
      </c>
      <c r="D3589" s="7">
        <v>1</v>
      </c>
      <c r="E3589" s="7">
        <v>91</v>
      </c>
      <c r="F3589" s="7">
        <v>1</v>
      </c>
      <c r="G3589" s="8" t="s">
        <v>219</v>
      </c>
      <c r="H3589" s="8" t="s">
        <v>427</v>
      </c>
      <c r="I3589" s="7" t="str">
        <f>_xlfn.CONCAT(Paper_Reference[[#This Row],[Lvl]:[Paper Description]])</f>
        <v>3KINGSVILAPK01KINGSVILLE ANV GLOW NAVY 2LP1911100WM321-4300IQ MAPLE LANE RH</v>
      </c>
      <c r="J3589" s="7">
        <f>COUNTIF(Paper_Reference[Duplicate Key],Paper_Reference[[#This Row],[Duplicate Key]])</f>
        <v>1</v>
      </c>
    </row>
    <row r="3590" spans="1:10">
      <c r="A3590" s="7">
        <v>3</v>
      </c>
      <c r="B3590" s="8" t="s">
        <v>544</v>
      </c>
      <c r="C3590" s="8" t="s">
        <v>316</v>
      </c>
      <c r="D3590" s="7">
        <v>1</v>
      </c>
      <c r="E3590" s="7">
        <v>91</v>
      </c>
      <c r="F3590" s="7">
        <v>3</v>
      </c>
      <c r="G3590" s="8" t="s">
        <v>218</v>
      </c>
      <c r="H3590" s="8" t="s">
        <v>426</v>
      </c>
      <c r="I3590" s="7" t="str">
        <f>_xlfn.CONCAT(Paper_Reference[[#This Row],[Lvl]:[Paper Description]])</f>
        <v>3KINGSVILAPK01KINGSVILLE ANV GLOW NAVY 2LP1913100WM311-4300IQ MAPLE LANE LH</v>
      </c>
      <c r="J3590" s="7">
        <f>COUNTIF(Paper_Reference[Duplicate Key],Paper_Reference[[#This Row],[Duplicate Key]])</f>
        <v>1</v>
      </c>
    </row>
    <row r="3591" spans="1:10">
      <c r="A3591" s="7">
        <v>3</v>
      </c>
      <c r="B3591" s="8" t="s">
        <v>544</v>
      </c>
      <c r="C3591" s="8" t="s">
        <v>316</v>
      </c>
      <c r="D3591" s="7">
        <v>1</v>
      </c>
      <c r="E3591" s="7">
        <v>91</v>
      </c>
      <c r="F3591" s="7">
        <v>3</v>
      </c>
      <c r="G3591" s="8" t="s">
        <v>219</v>
      </c>
      <c r="H3591" s="8" t="s">
        <v>427</v>
      </c>
      <c r="I3591" s="7" t="str">
        <f>_xlfn.CONCAT(Paper_Reference[[#This Row],[Lvl]:[Paper Description]])</f>
        <v>3KINGSVILAPK01KINGSVILLE ANV GLOW NAVY 2LP1913100WM321-4300IQ MAPLE LANE RH</v>
      </c>
      <c r="J3591" s="7">
        <f>COUNTIF(Paper_Reference[Duplicate Key],Paper_Reference[[#This Row],[Duplicate Key]])</f>
        <v>1</v>
      </c>
    </row>
    <row r="3592" spans="1:10">
      <c r="A3592" s="7">
        <v>4</v>
      </c>
      <c r="B3592" s="8" t="s">
        <v>544</v>
      </c>
      <c r="C3592" s="8" t="s">
        <v>316</v>
      </c>
      <c r="D3592" s="7">
        <v>1</v>
      </c>
      <c r="E3592" s="7">
        <v>91</v>
      </c>
      <c r="F3592" s="7">
        <v>1</v>
      </c>
      <c r="G3592" s="8" t="s">
        <v>217</v>
      </c>
      <c r="H3592" s="8" t="s">
        <v>3229</v>
      </c>
      <c r="I3592" s="7" t="str">
        <f>_xlfn.CONCAT(Paper_Reference[[#This Row],[Lvl]:[Paper Description]])</f>
        <v>4KINGSVILAPK01KINGSVILLE ANV GLOW NAVY 2LP1911100WM301-6200IQ MAPLE LANE (C) 60 X 144</v>
      </c>
      <c r="J3592" s="7">
        <f>COUNTIF(Paper_Reference[Duplicate Key],Paper_Reference[[#This Row],[Duplicate Key]])</f>
        <v>1</v>
      </c>
    </row>
    <row r="3593" spans="1:10">
      <c r="A3593" s="7">
        <v>4</v>
      </c>
      <c r="B3593" s="8" t="s">
        <v>544</v>
      </c>
      <c r="C3593" s="8" t="s">
        <v>316</v>
      </c>
      <c r="D3593" s="7">
        <v>1</v>
      </c>
      <c r="E3593" s="7">
        <v>91</v>
      </c>
      <c r="F3593" s="7">
        <v>1</v>
      </c>
      <c r="G3593" s="8" t="s">
        <v>217</v>
      </c>
      <c r="H3593" s="8" t="s">
        <v>425</v>
      </c>
      <c r="I3593" s="7" t="str">
        <f>_xlfn.CONCAT(Paper_Reference[[#This Row],[Lvl]:[Paper Description]])</f>
        <v>4KINGSVILAPK01KINGSVILLE ANV GLOW NAVY 2LP1911100WM301-6200IQ MAPLE LANE (CENTER)</v>
      </c>
      <c r="J3593" s="7">
        <f>COUNTIF(Paper_Reference[Duplicate Key],Paper_Reference[[#This Row],[Duplicate Key]])</f>
        <v>1</v>
      </c>
    </row>
    <row r="3594" spans="1:10">
      <c r="A3594" s="7">
        <v>4</v>
      </c>
      <c r="B3594" s="8" t="s">
        <v>544</v>
      </c>
      <c r="C3594" s="8" t="s">
        <v>316</v>
      </c>
      <c r="D3594" s="7">
        <v>1</v>
      </c>
      <c r="E3594" s="7">
        <v>91</v>
      </c>
      <c r="F3594" s="7">
        <v>1</v>
      </c>
      <c r="G3594" s="8" t="s">
        <v>218</v>
      </c>
      <c r="H3594" s="8" t="s">
        <v>426</v>
      </c>
      <c r="I3594" s="7" t="str">
        <f>_xlfn.CONCAT(Paper_Reference[[#This Row],[Lvl]:[Paper Description]])</f>
        <v>4KINGSVILAPK01KINGSVILLE ANV GLOW NAVY 2LP1911100WM311-4300IQ MAPLE LANE LH</v>
      </c>
      <c r="J3594" s="7">
        <f>COUNTIF(Paper_Reference[Duplicate Key],Paper_Reference[[#This Row],[Duplicate Key]])</f>
        <v>1</v>
      </c>
    </row>
    <row r="3595" spans="1:10">
      <c r="A3595" s="7">
        <v>4</v>
      </c>
      <c r="B3595" s="8" t="s">
        <v>544</v>
      </c>
      <c r="C3595" s="8" t="s">
        <v>316</v>
      </c>
      <c r="D3595" s="7">
        <v>1</v>
      </c>
      <c r="E3595" s="7">
        <v>91</v>
      </c>
      <c r="F3595" s="7">
        <v>1</v>
      </c>
      <c r="G3595" s="8" t="s">
        <v>219</v>
      </c>
      <c r="H3595" s="8" t="s">
        <v>427</v>
      </c>
      <c r="I3595" s="7" t="str">
        <f>_xlfn.CONCAT(Paper_Reference[[#This Row],[Lvl]:[Paper Description]])</f>
        <v>4KINGSVILAPK01KINGSVILLE ANV GLOW NAVY 2LP1911100WM321-4300IQ MAPLE LANE RH</v>
      </c>
      <c r="J3595" s="7">
        <f>COUNTIF(Paper_Reference[Duplicate Key],Paper_Reference[[#This Row],[Duplicate Key]])</f>
        <v>1</v>
      </c>
    </row>
    <row r="3596" spans="1:10">
      <c r="A3596" s="7">
        <v>2</v>
      </c>
      <c r="B3596" s="8" t="s">
        <v>7879</v>
      </c>
      <c r="C3596" s="8" t="s">
        <v>7078</v>
      </c>
      <c r="D3596" s="7">
        <v>1</v>
      </c>
      <c r="E3596" s="7">
        <v>10</v>
      </c>
      <c r="F3596" s="7">
        <v>1</v>
      </c>
      <c r="G3596" s="8" t="s">
        <v>6710</v>
      </c>
      <c r="H3596" s="8" t="s">
        <v>5691</v>
      </c>
      <c r="I3596" s="7" t="str">
        <f>_xlfn.CONCAT(Paper_Reference[[#This Row],[Lvl]:[Paper Description]])</f>
        <v>2KJ3R0027NNYMSACRED HEART III D/G 48 X 961101100DS009-5000FROSTY WHITE</v>
      </c>
      <c r="J3596" s="7">
        <f>COUNTIF(Paper_Reference[Duplicate Key],Paper_Reference[[#This Row],[Duplicate Key]])</f>
        <v>1</v>
      </c>
    </row>
    <row r="3597" spans="1:10">
      <c r="A3597" s="7">
        <v>2</v>
      </c>
      <c r="B3597" s="8" t="s">
        <v>7880</v>
      </c>
      <c r="C3597" s="8" t="s">
        <v>7079</v>
      </c>
      <c r="D3597" s="7">
        <v>1</v>
      </c>
      <c r="E3597" s="7">
        <v>10</v>
      </c>
      <c r="F3597" s="7">
        <v>1</v>
      </c>
      <c r="G3597" s="8" t="s">
        <v>6710</v>
      </c>
      <c r="H3597" s="8" t="s">
        <v>5691</v>
      </c>
      <c r="I3597" s="7" t="str">
        <f>_xlfn.CONCAT(Paper_Reference[[#This Row],[Lvl]:[Paper Description]])</f>
        <v>2KJ7R0195N480SHRINERS MURAL H/W 48 X 961101100DS009-5000FROSTY WHITE</v>
      </c>
      <c r="J3597" s="7">
        <f>COUNTIF(Paper_Reference[Duplicate Key],Paper_Reference[[#This Row],[Duplicate Key]])</f>
        <v>1</v>
      </c>
    </row>
    <row r="3598" spans="1:10">
      <c r="A3598" s="7">
        <v>3</v>
      </c>
      <c r="B3598" s="8" t="s">
        <v>6399</v>
      </c>
      <c r="C3598" s="8" t="s">
        <v>5920</v>
      </c>
      <c r="D3598" s="7">
        <v>1</v>
      </c>
      <c r="E3598" s="7">
        <v>91</v>
      </c>
      <c r="F3598" s="7">
        <v>1</v>
      </c>
      <c r="G3598" s="8" t="s">
        <v>6710</v>
      </c>
      <c r="H3598" s="8" t="s">
        <v>5691</v>
      </c>
      <c r="I3598" s="7" t="str">
        <f>_xlfn.CONCAT(Paper_Reference[[#This Row],[Lvl]:[Paper Description]])</f>
        <v>3KRASVIP2APK01KRAS VIP TWO LANE PACK1911100DS009-5000FROSTY WHITE</v>
      </c>
      <c r="J3598" s="7">
        <f>COUNTIF(Paper_Reference[Duplicate Key],Paper_Reference[[#This Row],[Duplicate Key]])</f>
        <v>1</v>
      </c>
    </row>
    <row r="3599" spans="1:10">
      <c r="A3599" s="7">
        <v>3</v>
      </c>
      <c r="B3599" s="8" t="s">
        <v>6399</v>
      </c>
      <c r="C3599" s="8" t="s">
        <v>5920</v>
      </c>
      <c r="D3599" s="7">
        <v>1</v>
      </c>
      <c r="E3599" s="7">
        <v>91</v>
      </c>
      <c r="F3599" s="7">
        <v>1</v>
      </c>
      <c r="G3599" s="8" t="s">
        <v>5690</v>
      </c>
      <c r="H3599" s="8" t="s">
        <v>5691</v>
      </c>
      <c r="I3599" s="7" t="str">
        <f>_xlfn.CONCAT(Paper_Reference[[#This Row],[Lvl]:[Paper Description]])</f>
        <v>3KRASVIP2APK01KRAS VIP TWO LANE PACK1911100DS009-6200FROSTY WHITE</v>
      </c>
      <c r="J3599" s="7">
        <f>COUNTIF(Paper_Reference[Duplicate Key],Paper_Reference[[#This Row],[Duplicate Key]])</f>
        <v>1</v>
      </c>
    </row>
    <row r="3600" spans="1:10">
      <c r="A3600" s="7">
        <v>2</v>
      </c>
      <c r="B3600" s="8" t="s">
        <v>6400</v>
      </c>
      <c r="C3600" s="8" t="s">
        <v>5921</v>
      </c>
      <c r="D3600" s="7">
        <v>1</v>
      </c>
      <c r="E3600" s="7">
        <v>10</v>
      </c>
      <c r="F3600" s="7">
        <v>1</v>
      </c>
      <c r="G3600" s="8" t="s">
        <v>5690</v>
      </c>
      <c r="H3600" s="8" t="s">
        <v>5691</v>
      </c>
      <c r="I3600" s="7" t="str">
        <f>_xlfn.CONCAT(Paper_Reference[[#This Row],[Lvl]:[Paper Description]])</f>
        <v>2KZ4R0445N500ST PAUL HOSP HW/DIG 60 X 1201101100DS009-6200FROSTY WHITE</v>
      </c>
      <c r="J3600" s="7">
        <f>COUNTIF(Paper_Reference[Duplicate Key],Paper_Reference[[#This Row],[Duplicate Key]])</f>
        <v>1</v>
      </c>
    </row>
    <row r="3601" spans="1:10">
      <c r="A3601" s="7">
        <v>2</v>
      </c>
      <c r="B3601" s="8" t="s">
        <v>6401</v>
      </c>
      <c r="C3601" s="8" t="s">
        <v>5921</v>
      </c>
      <c r="D3601" s="7">
        <v>1</v>
      </c>
      <c r="E3601" s="7">
        <v>10</v>
      </c>
      <c r="F3601" s="7">
        <v>1</v>
      </c>
      <c r="G3601" s="8" t="s">
        <v>5690</v>
      </c>
      <c r="H3601" s="8" t="s">
        <v>5691</v>
      </c>
      <c r="I3601" s="7" t="str">
        <f>_xlfn.CONCAT(Paper_Reference[[#This Row],[Lvl]:[Paper Description]])</f>
        <v>2KZ4R0445SD500ST PAUL HOSP HW/DIG 60 X 1201101100DS009-6200FROSTY WHITE</v>
      </c>
      <c r="J3601" s="7">
        <f>COUNTIF(Paper_Reference[Duplicate Key],Paper_Reference[[#This Row],[Duplicate Key]])</f>
        <v>1</v>
      </c>
    </row>
    <row r="3602" spans="1:10">
      <c r="A3602" s="7">
        <v>2</v>
      </c>
      <c r="B3602" s="8" t="s">
        <v>1882</v>
      </c>
      <c r="C3602" s="8" t="s">
        <v>1455</v>
      </c>
      <c r="D3602" s="7">
        <v>1</v>
      </c>
      <c r="E3602" s="7">
        <v>10</v>
      </c>
      <c r="F3602" s="7">
        <v>1</v>
      </c>
      <c r="G3602" s="8" t="s">
        <v>1241</v>
      </c>
      <c r="H3602" s="8" t="s">
        <v>1242</v>
      </c>
      <c r="I3602" s="7" t="str">
        <f>_xlfn.CONCAT(Paper_Reference[[#This Row],[Lvl]:[Paper Description]])</f>
        <v>2KZ4R0944SD480LF MSHS CORR 194 48 X 96110110000020-5000Premium Inkjet MPK 9653</v>
      </c>
      <c r="J3602" s="7">
        <f>COUNTIF(Paper_Reference[Duplicate Key],Paper_Reference[[#This Row],[Duplicate Key]])</f>
        <v>1</v>
      </c>
    </row>
    <row r="3603" spans="1:10">
      <c r="A3603" s="7">
        <v>2</v>
      </c>
      <c r="B3603" s="8" t="s">
        <v>1883</v>
      </c>
      <c r="C3603" s="8" t="s">
        <v>1456</v>
      </c>
      <c r="D3603" s="7">
        <v>1</v>
      </c>
      <c r="E3603" s="7">
        <v>10</v>
      </c>
      <c r="F3603" s="7">
        <v>1</v>
      </c>
      <c r="G3603" s="8" t="s">
        <v>1241</v>
      </c>
      <c r="H3603" s="8" t="s">
        <v>1242</v>
      </c>
      <c r="I3603" s="7" t="str">
        <f>_xlfn.CONCAT(Paper_Reference[[#This Row],[Lvl]:[Paper Description]])</f>
        <v>2KZ4R0945SD480LF MSHS CORR 123-29HA701 48X96110110000020-5000Premium Inkjet MPK 9653</v>
      </c>
      <c r="J3603" s="7">
        <f>COUNTIF(Paper_Reference[Duplicate Key],Paper_Reference[[#This Row],[Duplicate Key]])</f>
        <v>1</v>
      </c>
    </row>
    <row r="3604" spans="1:10">
      <c r="A3604" s="7">
        <v>2</v>
      </c>
      <c r="B3604" s="8" t="s">
        <v>1884</v>
      </c>
      <c r="C3604" s="8" t="s">
        <v>1457</v>
      </c>
      <c r="D3604" s="7">
        <v>1</v>
      </c>
      <c r="E3604" s="7">
        <v>10</v>
      </c>
      <c r="F3604" s="7">
        <v>1</v>
      </c>
      <c r="G3604" s="8" t="s">
        <v>1241</v>
      </c>
      <c r="H3604" s="8" t="s">
        <v>1242</v>
      </c>
      <c r="I3604" s="7" t="str">
        <f>_xlfn.CONCAT(Paper_Reference[[#This Row],[Lvl]:[Paper Description]])</f>
        <v>2KZ4R0946SD480LF MSHS CORR 123-30HA701 48X96110110000020-5000Premium Inkjet MPK 9653</v>
      </c>
      <c r="J3604" s="7">
        <f>COUNTIF(Paper_Reference[Duplicate Key],Paper_Reference[[#This Row],[Duplicate Key]])</f>
        <v>1</v>
      </c>
    </row>
    <row r="3605" spans="1:10">
      <c r="A3605" s="7">
        <v>2</v>
      </c>
      <c r="B3605" s="8" t="s">
        <v>2715</v>
      </c>
      <c r="C3605" s="8" t="s">
        <v>2258</v>
      </c>
      <c r="D3605" s="7">
        <v>1</v>
      </c>
      <c r="E3605" s="7">
        <v>10</v>
      </c>
      <c r="F3605" s="7">
        <v>1</v>
      </c>
      <c r="G3605" s="8" t="s">
        <v>2144</v>
      </c>
      <c r="H3605" s="8" t="s">
        <v>1242</v>
      </c>
      <c r="I3605" s="7" t="str">
        <f>_xlfn.CONCAT(Paper_Reference[[#This Row],[Lvl]:[Paper Description]])</f>
        <v>2KZ4R0947SD500LF MSHS CORR 107-115 60 X 120110110000020-6200Premium Inkjet MPK 9653</v>
      </c>
      <c r="J3605" s="7">
        <f>COUNTIF(Paper_Reference[Duplicate Key],Paper_Reference[[#This Row],[Duplicate Key]])</f>
        <v>1</v>
      </c>
    </row>
    <row r="3606" spans="1:10">
      <c r="A3606" s="7">
        <v>2</v>
      </c>
      <c r="B3606" s="8" t="s">
        <v>2716</v>
      </c>
      <c r="C3606" s="8" t="s">
        <v>2259</v>
      </c>
      <c r="D3606" s="7">
        <v>1</v>
      </c>
      <c r="E3606" s="7">
        <v>10</v>
      </c>
      <c r="F3606" s="7">
        <v>1</v>
      </c>
      <c r="G3606" s="8" t="s">
        <v>2144</v>
      </c>
      <c r="H3606" s="8" t="s">
        <v>1242</v>
      </c>
      <c r="I3606" s="7" t="str">
        <f>_xlfn.CONCAT(Paper_Reference[[#This Row],[Lvl]:[Paper Description]])</f>
        <v>2KZ4R0948SD500LF MSHS MULTI RM110 &amp; HS 60X12110110000020-6200Premium Inkjet MPK 9653</v>
      </c>
      <c r="J3606" s="7">
        <f>COUNTIF(Paper_Reference[Duplicate Key],Paper_Reference[[#This Row],[Duplicate Key]])</f>
        <v>1</v>
      </c>
    </row>
    <row r="3607" spans="1:10">
      <c r="A3607" s="7">
        <v>2</v>
      </c>
      <c r="B3607" s="8" t="s">
        <v>8592</v>
      </c>
      <c r="C3607" s="8" t="s">
        <v>8377</v>
      </c>
      <c r="D3607" s="7">
        <v>1</v>
      </c>
      <c r="E3607" s="7">
        <v>10</v>
      </c>
      <c r="F3607" s="7">
        <v>2</v>
      </c>
      <c r="G3607" s="8" t="s">
        <v>8302</v>
      </c>
      <c r="H3607" s="8" t="s">
        <v>8303</v>
      </c>
      <c r="I3607" s="7" t="str">
        <f>_xlfn.CONCAT(Paper_Reference[[#This Row],[Lvl]:[Paper Description]])</f>
        <v>2M01CW813AW520ICE WHITE  60 X 1441102100SW813-6200ICE WHITE</v>
      </c>
      <c r="J3607" s="7">
        <f>COUNTIF(Paper_Reference[Duplicate Key],Paper_Reference[[#This Row],[Duplicate Key]])</f>
        <v>1</v>
      </c>
    </row>
    <row r="3608" spans="1:10">
      <c r="A3608" s="7">
        <v>2</v>
      </c>
      <c r="B3608" s="8" t="s">
        <v>8593</v>
      </c>
      <c r="C3608" s="8" t="s">
        <v>8378</v>
      </c>
      <c r="D3608" s="7">
        <v>1</v>
      </c>
      <c r="E3608" s="7">
        <v>10</v>
      </c>
      <c r="F3608" s="7">
        <v>2</v>
      </c>
      <c r="G3608" s="8" t="s">
        <v>8302</v>
      </c>
      <c r="H3608" s="8" t="s">
        <v>8303</v>
      </c>
      <c r="I3608" s="7" t="str">
        <f>_xlfn.CONCAT(Paper_Reference[[#This Row],[Lvl]:[Paper Description]])</f>
        <v>2M01CW813GL5001ICE WHITE  60 X 1201102100SW813-6200ICE WHITE</v>
      </c>
      <c r="J3608" s="7">
        <f>COUNTIF(Paper_Reference[Duplicate Key],Paper_Reference[[#This Row],[Duplicate Key]])</f>
        <v>1</v>
      </c>
    </row>
    <row r="3609" spans="1:10">
      <c r="A3609" s="7">
        <v>2</v>
      </c>
      <c r="B3609" s="8" t="s">
        <v>8594</v>
      </c>
      <c r="C3609" s="8" t="s">
        <v>8377</v>
      </c>
      <c r="D3609" s="7">
        <v>1</v>
      </c>
      <c r="E3609" s="7">
        <v>10</v>
      </c>
      <c r="F3609" s="7">
        <v>2</v>
      </c>
      <c r="G3609" s="8" t="s">
        <v>8302</v>
      </c>
      <c r="H3609" s="8" t="s">
        <v>8303</v>
      </c>
      <c r="I3609" s="7" t="str">
        <f>_xlfn.CONCAT(Paper_Reference[[#This Row],[Lvl]:[Paper Description]])</f>
        <v>2M01CW813GL5201ICE WHITE  60 X 1441102100SW813-6200ICE WHITE</v>
      </c>
      <c r="J3609" s="7">
        <f>COUNTIF(Paper_Reference[Duplicate Key],Paper_Reference[[#This Row],[Duplicate Key]])</f>
        <v>1</v>
      </c>
    </row>
    <row r="3610" spans="1:10">
      <c r="A3610" s="7">
        <v>2</v>
      </c>
      <c r="B3610" s="8" t="s">
        <v>8595</v>
      </c>
      <c r="C3610" s="8" t="s">
        <v>8377</v>
      </c>
      <c r="D3610" s="7">
        <v>1</v>
      </c>
      <c r="E3610" s="7">
        <v>10</v>
      </c>
      <c r="F3610" s="7">
        <v>2</v>
      </c>
      <c r="G3610" s="8" t="s">
        <v>8302</v>
      </c>
      <c r="H3610" s="8" t="s">
        <v>8303</v>
      </c>
      <c r="I3610" s="7" t="str">
        <f>_xlfn.CONCAT(Paper_Reference[[#This Row],[Lvl]:[Paper Description]])</f>
        <v>2M01CW813SD520ICE WHITE  60 X 1441102100SW813-6200ICE WHITE</v>
      </c>
      <c r="J3610" s="7">
        <f>COUNTIF(Paper_Reference[Duplicate Key],Paper_Reference[[#This Row],[Duplicate Key]])</f>
        <v>1</v>
      </c>
    </row>
    <row r="3611" spans="1:10">
      <c r="A3611" s="7">
        <v>2</v>
      </c>
      <c r="B3611" s="8" t="s">
        <v>8596</v>
      </c>
      <c r="C3611" s="8" t="s">
        <v>8377</v>
      </c>
      <c r="D3611" s="7">
        <v>1</v>
      </c>
      <c r="E3611" s="7">
        <v>10</v>
      </c>
      <c r="F3611" s="7">
        <v>2</v>
      </c>
      <c r="G3611" s="8" t="s">
        <v>8302</v>
      </c>
      <c r="H3611" s="8" t="s">
        <v>8303</v>
      </c>
      <c r="I3611" s="7" t="str">
        <f>_xlfn.CONCAT(Paper_Reference[[#This Row],[Lvl]:[Paper Description]])</f>
        <v>2M01CW813Z520ICE WHITE  60 X 1441102100SW813-6200ICE WHITE</v>
      </c>
      <c r="J3611" s="7">
        <f>COUNTIF(Paper_Reference[Duplicate Key],Paper_Reference[[#This Row],[Duplicate Key]])</f>
        <v>1</v>
      </c>
    </row>
    <row r="3612" spans="1:10">
      <c r="A3612" s="7">
        <v>2</v>
      </c>
      <c r="B3612" s="8" t="s">
        <v>3202</v>
      </c>
      <c r="C3612" s="8" t="s">
        <v>3100</v>
      </c>
      <c r="D3612" s="7">
        <v>1</v>
      </c>
      <c r="E3612" s="7">
        <v>10</v>
      </c>
      <c r="F3612" s="7">
        <v>1</v>
      </c>
      <c r="G3612" s="8" t="s">
        <v>3115</v>
      </c>
      <c r="H3612" s="8" t="s">
        <v>3090</v>
      </c>
      <c r="I3612" s="7" t="str">
        <f>_xlfn.CONCAT(Paper_Reference[[#This Row],[Lvl]:[Paper Description]])</f>
        <v>2M01PC206N580WF131/C2  60 X 961101100WF131-6200VANA</v>
      </c>
      <c r="J3612" s="7">
        <f>COUNTIF(Paper_Reference[Duplicate Key],Paper_Reference[[#This Row],[Duplicate Key]])</f>
        <v>1</v>
      </c>
    </row>
    <row r="3613" spans="1:10">
      <c r="A3613" s="7">
        <v>2</v>
      </c>
      <c r="B3613" s="8" t="s">
        <v>3203</v>
      </c>
      <c r="C3613" s="8" t="s">
        <v>3100</v>
      </c>
      <c r="D3613" s="7">
        <v>1</v>
      </c>
      <c r="E3613" s="7">
        <v>10</v>
      </c>
      <c r="F3613" s="7">
        <v>1</v>
      </c>
      <c r="G3613" s="8" t="s">
        <v>3115</v>
      </c>
      <c r="H3613" s="8" t="s">
        <v>3090</v>
      </c>
      <c r="I3613" s="7" t="str">
        <f>_xlfn.CONCAT(Paper_Reference[[#This Row],[Lvl]:[Paper Description]])</f>
        <v>2M01PC206SD580WF131/C2  60 X 961101100WF131-6200VANA</v>
      </c>
      <c r="J3613" s="7">
        <f>COUNTIF(Paper_Reference[Duplicate Key],Paper_Reference[[#This Row],[Duplicate Key]])</f>
        <v>1</v>
      </c>
    </row>
    <row r="3614" spans="1:10">
      <c r="A3614" s="7">
        <v>2</v>
      </c>
      <c r="B3614" s="8" t="s">
        <v>5161</v>
      </c>
      <c r="C3614" s="8" t="s">
        <v>4507</v>
      </c>
      <c r="D3614" s="7">
        <v>1</v>
      </c>
      <c r="E3614" s="7">
        <v>10</v>
      </c>
      <c r="F3614" s="7">
        <v>1</v>
      </c>
      <c r="G3614" s="8" t="s">
        <v>4371</v>
      </c>
      <c r="H3614" s="8" t="s">
        <v>4372</v>
      </c>
      <c r="I3614" s="7" t="str">
        <f>_xlfn.CONCAT(Paper_Reference[[#This Row],[Lvl]:[Paper Description]])</f>
        <v>2M02AG021SD500SABLE 60 X 1201101100DS064-6200BLACK</v>
      </c>
      <c r="J3614" s="7">
        <f>COUNTIF(Paper_Reference[Duplicate Key],Paper_Reference[[#This Row],[Duplicate Key]])</f>
        <v>1</v>
      </c>
    </row>
    <row r="3615" spans="1:10">
      <c r="A3615" s="7">
        <v>2</v>
      </c>
      <c r="B3615" s="8" t="s">
        <v>5162</v>
      </c>
      <c r="C3615" s="8" t="s">
        <v>4508</v>
      </c>
      <c r="D3615" s="7">
        <v>1</v>
      </c>
      <c r="E3615" s="7">
        <v>10</v>
      </c>
      <c r="F3615" s="7">
        <v>2</v>
      </c>
      <c r="G3615" s="8" t="s">
        <v>4371</v>
      </c>
      <c r="H3615" s="8" t="s">
        <v>4372</v>
      </c>
      <c r="I3615" s="7" t="str">
        <f>_xlfn.CONCAT(Paper_Reference[[#This Row],[Lvl]:[Paper Description]])</f>
        <v>2M02CE101N500BLACK  60X1201102100DS064-6200BLACK</v>
      </c>
      <c r="J3615" s="7">
        <f>COUNTIF(Paper_Reference[Duplicate Key],Paper_Reference[[#This Row],[Duplicate Key]])</f>
        <v>1</v>
      </c>
    </row>
    <row r="3616" spans="1:10">
      <c r="A3616" s="7">
        <v>2</v>
      </c>
      <c r="B3616" s="8" t="s">
        <v>5163</v>
      </c>
      <c r="C3616" s="8" t="s">
        <v>4509</v>
      </c>
      <c r="D3616" s="7">
        <v>1</v>
      </c>
      <c r="E3616" s="7">
        <v>10</v>
      </c>
      <c r="F3616" s="7">
        <v>2</v>
      </c>
      <c r="G3616" s="8" t="s">
        <v>4371</v>
      </c>
      <c r="H3616" s="8" t="s">
        <v>4372</v>
      </c>
      <c r="I3616" s="7" t="str">
        <f>_xlfn.CONCAT(Paper_Reference[[#This Row],[Lvl]:[Paper Description]])</f>
        <v>2M02CE101N520BLACK  60 X 1441102100DS064-6200BLACK</v>
      </c>
      <c r="J3616" s="7">
        <f>COUNTIF(Paper_Reference[Duplicate Key],Paper_Reference[[#This Row],[Duplicate Key]])</f>
        <v>1</v>
      </c>
    </row>
    <row r="3617" spans="1:10">
      <c r="A3617" s="7">
        <v>2</v>
      </c>
      <c r="B3617" s="8" t="s">
        <v>5164</v>
      </c>
      <c r="C3617" s="8" t="s">
        <v>4510</v>
      </c>
      <c r="D3617" s="7">
        <v>1</v>
      </c>
      <c r="E3617" s="7">
        <v>10</v>
      </c>
      <c r="F3617" s="7">
        <v>2</v>
      </c>
      <c r="G3617" s="8" t="s">
        <v>4371</v>
      </c>
      <c r="H3617" s="8" t="s">
        <v>4372</v>
      </c>
      <c r="I3617" s="7" t="str">
        <f>_xlfn.CONCAT(Paper_Reference[[#This Row],[Lvl]:[Paper Description]])</f>
        <v>2M02CE101N580BLACK  60 X 961102100DS064-6200BLACK</v>
      </c>
      <c r="J3617" s="7">
        <f>COUNTIF(Paper_Reference[Duplicate Key],Paper_Reference[[#This Row],[Duplicate Key]])</f>
        <v>1</v>
      </c>
    </row>
    <row r="3618" spans="1:10">
      <c r="A3618" s="7">
        <v>2</v>
      </c>
      <c r="B3618" s="8" t="s">
        <v>5165</v>
      </c>
      <c r="C3618" s="8" t="s">
        <v>4509</v>
      </c>
      <c r="D3618" s="7">
        <v>1</v>
      </c>
      <c r="E3618" s="7">
        <v>10</v>
      </c>
      <c r="F3618" s="7">
        <v>2</v>
      </c>
      <c r="G3618" s="8" t="s">
        <v>4371</v>
      </c>
      <c r="H3618" s="8" t="s">
        <v>4372</v>
      </c>
      <c r="I3618" s="7" t="str">
        <f>_xlfn.CONCAT(Paper_Reference[[#This Row],[Lvl]:[Paper Description]])</f>
        <v>2M02CE101PV520BLACK  60 X 1441102100DS064-6200BLACK</v>
      </c>
      <c r="J3618" s="7">
        <f>COUNTIF(Paper_Reference[Duplicate Key],Paper_Reference[[#This Row],[Duplicate Key]])</f>
        <v>1</v>
      </c>
    </row>
    <row r="3619" spans="1:10">
      <c r="A3619" s="7">
        <v>2</v>
      </c>
      <c r="B3619" s="8" t="s">
        <v>5166</v>
      </c>
      <c r="C3619" s="8" t="s">
        <v>4508</v>
      </c>
      <c r="D3619" s="7">
        <v>1</v>
      </c>
      <c r="E3619" s="7">
        <v>10</v>
      </c>
      <c r="F3619" s="7">
        <v>2</v>
      </c>
      <c r="G3619" s="8" t="s">
        <v>4371</v>
      </c>
      <c r="H3619" s="8" t="s">
        <v>4372</v>
      </c>
      <c r="I3619" s="7" t="str">
        <f>_xlfn.CONCAT(Paper_Reference[[#This Row],[Lvl]:[Paper Description]])</f>
        <v>2M02CE101SD500BLACK  60X1201102100DS064-6200BLACK</v>
      </c>
      <c r="J3619" s="7">
        <f>COUNTIF(Paper_Reference[Duplicate Key],Paper_Reference[[#This Row],[Duplicate Key]])</f>
        <v>1</v>
      </c>
    </row>
    <row r="3620" spans="1:10">
      <c r="A3620" s="7">
        <v>2</v>
      </c>
      <c r="B3620" s="8" t="s">
        <v>5167</v>
      </c>
      <c r="C3620" s="8" t="s">
        <v>4510</v>
      </c>
      <c r="D3620" s="7">
        <v>1</v>
      </c>
      <c r="E3620" s="7">
        <v>10</v>
      </c>
      <c r="F3620" s="7">
        <v>2</v>
      </c>
      <c r="G3620" s="8" t="s">
        <v>4371</v>
      </c>
      <c r="H3620" s="8" t="s">
        <v>4372</v>
      </c>
      <c r="I3620" s="7" t="str">
        <f>_xlfn.CONCAT(Paper_Reference[[#This Row],[Lvl]:[Paper Description]])</f>
        <v>2M02CE101SD580BLACK  60 X 961102100DS064-6200BLACK</v>
      </c>
      <c r="J3620" s="7">
        <f>COUNTIF(Paper_Reference[Duplicate Key],Paper_Reference[[#This Row],[Duplicate Key]])</f>
        <v>1</v>
      </c>
    </row>
    <row r="3621" spans="1:10">
      <c r="A3621" s="7">
        <v>2</v>
      </c>
      <c r="B3621" s="8" t="s">
        <v>5168</v>
      </c>
      <c r="C3621" s="8" t="s">
        <v>4511</v>
      </c>
      <c r="D3621" s="7">
        <v>1</v>
      </c>
      <c r="E3621" s="7">
        <v>10</v>
      </c>
      <c r="F3621" s="7">
        <v>1</v>
      </c>
      <c r="G3621" s="8" t="s">
        <v>4371</v>
      </c>
      <c r="H3621" s="8" t="s">
        <v>4372</v>
      </c>
      <c r="I3621" s="7" t="str">
        <f>_xlfn.CONCAT(Paper_Reference[[#This Row],[Lvl]:[Paper Description]])</f>
        <v>2M02PC203H580WX421/SE101  60 X 961101100DS064-6200BLACK</v>
      </c>
      <c r="J3621" s="7">
        <f>COUNTIF(Paper_Reference[Duplicate Key],Paper_Reference[[#This Row],[Duplicate Key]])</f>
        <v>1</v>
      </c>
    </row>
    <row r="3622" spans="1:10">
      <c r="A3622" s="7">
        <v>2</v>
      </c>
      <c r="B3622" s="8" t="s">
        <v>3204</v>
      </c>
      <c r="C3622" s="8" t="s">
        <v>3088</v>
      </c>
      <c r="D3622" s="7">
        <v>1</v>
      </c>
      <c r="E3622" s="7">
        <v>10</v>
      </c>
      <c r="F3622" s="7">
        <v>1</v>
      </c>
      <c r="G3622" s="8" t="s">
        <v>3115</v>
      </c>
      <c r="H3622" s="8" t="s">
        <v>3090</v>
      </c>
      <c r="I3622" s="7" t="str">
        <f>_xlfn.CONCAT(Paper_Reference[[#This Row],[Lvl]:[Paper Description]])</f>
        <v>2M02WF131N500VANA 60 X 1201101100WF131-6200VANA</v>
      </c>
      <c r="J3622" s="7">
        <f>COUNTIF(Paper_Reference[Duplicate Key],Paper_Reference[[#This Row],[Duplicate Key]])</f>
        <v>1</v>
      </c>
    </row>
    <row r="3623" spans="1:10">
      <c r="A3623" s="7">
        <v>2</v>
      </c>
      <c r="B3623" s="8" t="s">
        <v>3205</v>
      </c>
      <c r="C3623" s="8" t="s">
        <v>3087</v>
      </c>
      <c r="D3623" s="7">
        <v>1</v>
      </c>
      <c r="E3623" s="7">
        <v>10</v>
      </c>
      <c r="F3623" s="7">
        <v>1</v>
      </c>
      <c r="G3623" s="8" t="s">
        <v>3115</v>
      </c>
      <c r="H3623" s="8" t="s">
        <v>3090</v>
      </c>
      <c r="I3623" s="7" t="str">
        <f>_xlfn.CONCAT(Paper_Reference[[#This Row],[Lvl]:[Paper Description]])</f>
        <v>2M02WF131N580VANA 60 X 961101100WF131-6200VANA</v>
      </c>
      <c r="J3623" s="7">
        <f>COUNTIF(Paper_Reference[Duplicate Key],Paper_Reference[[#This Row],[Duplicate Key]])</f>
        <v>1</v>
      </c>
    </row>
    <row r="3624" spans="1:10">
      <c r="A3624" s="7">
        <v>2</v>
      </c>
      <c r="B3624" s="8" t="s">
        <v>3206</v>
      </c>
      <c r="C3624" s="8" t="s">
        <v>3088</v>
      </c>
      <c r="D3624" s="7">
        <v>1</v>
      </c>
      <c r="E3624" s="7">
        <v>10</v>
      </c>
      <c r="F3624" s="7">
        <v>1</v>
      </c>
      <c r="G3624" s="8" t="s">
        <v>3115</v>
      </c>
      <c r="H3624" s="8" t="s">
        <v>3090</v>
      </c>
      <c r="I3624" s="7" t="str">
        <f>_xlfn.CONCAT(Paper_Reference[[#This Row],[Lvl]:[Paper Description]])</f>
        <v>2M02WF131SD500VANA 60 X 1201101100WF131-6200VANA</v>
      </c>
      <c r="J3624" s="7">
        <f>COUNTIF(Paper_Reference[Duplicate Key],Paper_Reference[[#This Row],[Duplicate Key]])</f>
        <v>1</v>
      </c>
    </row>
    <row r="3625" spans="1:10">
      <c r="A3625" s="7">
        <v>2</v>
      </c>
      <c r="B3625" s="8" t="s">
        <v>3207</v>
      </c>
      <c r="C3625" s="8" t="s">
        <v>3087</v>
      </c>
      <c r="D3625" s="7">
        <v>1</v>
      </c>
      <c r="E3625" s="7">
        <v>10</v>
      </c>
      <c r="F3625" s="7">
        <v>1</v>
      </c>
      <c r="G3625" s="8" t="s">
        <v>3115</v>
      </c>
      <c r="H3625" s="8" t="s">
        <v>3090</v>
      </c>
      <c r="I3625" s="7" t="str">
        <f>_xlfn.CONCAT(Paper_Reference[[#This Row],[Lvl]:[Paper Description]])</f>
        <v>2M02WF131SD580VANA 60 X 961101100WF131-6200VANA</v>
      </c>
      <c r="J3625" s="7">
        <f>COUNTIF(Paper_Reference[Duplicate Key],Paper_Reference[[#This Row],[Duplicate Key]])</f>
        <v>1</v>
      </c>
    </row>
    <row r="3626" spans="1:10">
      <c r="A3626" s="7">
        <v>2</v>
      </c>
      <c r="B3626" s="8" t="s">
        <v>5169</v>
      </c>
      <c r="C3626" s="8" t="s">
        <v>4373</v>
      </c>
      <c r="D3626" s="7">
        <v>1</v>
      </c>
      <c r="E3626" s="7">
        <v>10</v>
      </c>
      <c r="F3626" s="7">
        <v>2</v>
      </c>
      <c r="G3626" s="8" t="s">
        <v>4371</v>
      </c>
      <c r="H3626" s="8" t="s">
        <v>4372</v>
      </c>
      <c r="I3626" s="7" t="str">
        <f>_xlfn.CONCAT(Paper_Reference[[#This Row],[Lvl]:[Paper Description]])</f>
        <v>2M39CE101SD500BLACK 60 X 1201102100DS064-6200BLACK</v>
      </c>
      <c r="J3626" s="7">
        <f>COUNTIF(Paper_Reference[Duplicate Key],Paper_Reference[[#This Row],[Duplicate Key]])</f>
        <v>1</v>
      </c>
    </row>
    <row r="3627" spans="1:10">
      <c r="A3627" s="7">
        <v>2</v>
      </c>
      <c r="B3627" s="8" t="s">
        <v>5170</v>
      </c>
      <c r="C3627" s="8" t="s">
        <v>4379</v>
      </c>
      <c r="D3627" s="7">
        <v>1</v>
      </c>
      <c r="E3627" s="7">
        <v>10</v>
      </c>
      <c r="F3627" s="7">
        <v>2</v>
      </c>
      <c r="G3627" s="8" t="s">
        <v>4371</v>
      </c>
      <c r="H3627" s="8" t="s">
        <v>4372</v>
      </c>
      <c r="I3627" s="7" t="str">
        <f>_xlfn.CONCAT(Paper_Reference[[#This Row],[Lvl]:[Paper Description]])</f>
        <v>2M39CE101SD520BLACK 60 X 1441102100DS064-6200BLACK</v>
      </c>
      <c r="J3627" s="7">
        <f>COUNTIF(Paper_Reference[Duplicate Key],Paper_Reference[[#This Row],[Duplicate Key]])</f>
        <v>1</v>
      </c>
    </row>
    <row r="3628" spans="1:10">
      <c r="A3628" s="7">
        <v>2</v>
      </c>
      <c r="B3628" s="8" t="s">
        <v>8597</v>
      </c>
      <c r="C3628" s="8" t="s">
        <v>8305</v>
      </c>
      <c r="D3628" s="7">
        <v>1</v>
      </c>
      <c r="E3628" s="7">
        <v>10</v>
      </c>
      <c r="F3628" s="7">
        <v>2</v>
      </c>
      <c r="G3628" s="8" t="s">
        <v>8302</v>
      </c>
      <c r="H3628" s="8" t="s">
        <v>8303</v>
      </c>
      <c r="I3628" s="7" t="str">
        <f>_xlfn.CONCAT(Paper_Reference[[#This Row],[Lvl]:[Paper Description]])</f>
        <v>2M39CW813GL5201ICE WHITE 60 X 1441102100SW813-6200ICE WHITE</v>
      </c>
      <c r="J3628" s="7">
        <f>COUNTIF(Paper_Reference[Duplicate Key],Paper_Reference[[#This Row],[Duplicate Key]])</f>
        <v>1</v>
      </c>
    </row>
    <row r="3629" spans="1:10">
      <c r="A3629" s="7">
        <v>2</v>
      </c>
      <c r="B3629" s="8" t="s">
        <v>8598</v>
      </c>
      <c r="C3629" s="8" t="s">
        <v>8304</v>
      </c>
      <c r="D3629" s="7">
        <v>1</v>
      </c>
      <c r="E3629" s="7">
        <v>10</v>
      </c>
      <c r="F3629" s="7">
        <v>2</v>
      </c>
      <c r="G3629" s="8" t="s">
        <v>8302</v>
      </c>
      <c r="H3629" s="8" t="s">
        <v>8303</v>
      </c>
      <c r="I3629" s="7" t="str">
        <f>_xlfn.CONCAT(Paper_Reference[[#This Row],[Lvl]:[Paper Description]])</f>
        <v>2M39CW813SD500ICE WHITE 60 X 1201102100SW813-6200ICE WHITE</v>
      </c>
      <c r="J3629" s="7">
        <f>COUNTIF(Paper_Reference[Duplicate Key],Paper_Reference[[#This Row],[Duplicate Key]])</f>
        <v>1</v>
      </c>
    </row>
    <row r="3630" spans="1:10">
      <c r="A3630" s="7">
        <v>2</v>
      </c>
      <c r="B3630" s="8" t="s">
        <v>8599</v>
      </c>
      <c r="C3630" s="8" t="s">
        <v>8305</v>
      </c>
      <c r="D3630" s="7">
        <v>1</v>
      </c>
      <c r="E3630" s="7">
        <v>10</v>
      </c>
      <c r="F3630" s="7">
        <v>2</v>
      </c>
      <c r="G3630" s="8" t="s">
        <v>8302</v>
      </c>
      <c r="H3630" s="8" t="s">
        <v>8303</v>
      </c>
      <c r="I3630" s="7" t="str">
        <f>_xlfn.CONCAT(Paper_Reference[[#This Row],[Lvl]:[Paper Description]])</f>
        <v>2M39CW813SD520ICE WHITE 60 X 1441102100SW813-6200ICE WHITE</v>
      </c>
      <c r="J3630" s="7">
        <f>COUNTIF(Paper_Reference[Duplicate Key],Paper_Reference[[#This Row],[Duplicate Key]])</f>
        <v>1</v>
      </c>
    </row>
    <row r="3631" spans="1:10">
      <c r="A3631" s="7">
        <v>2</v>
      </c>
      <c r="B3631" s="8" t="s">
        <v>8600</v>
      </c>
      <c r="C3631" s="8" t="s">
        <v>8379</v>
      </c>
      <c r="D3631" s="7">
        <v>1</v>
      </c>
      <c r="E3631" s="7">
        <v>10</v>
      </c>
      <c r="F3631" s="7">
        <v>2</v>
      </c>
      <c r="G3631" s="8" t="s">
        <v>8302</v>
      </c>
      <c r="H3631" s="8" t="s">
        <v>8303</v>
      </c>
      <c r="I3631" s="7" t="str">
        <f>_xlfn.CONCAT(Paper_Reference[[#This Row],[Lvl]:[Paper Description]])</f>
        <v>2M39CW813SD5803ICE WHITE  60 X 961102100SW813-6200ICE WHITE</v>
      </c>
      <c r="J3631" s="7">
        <f>COUNTIF(Paper_Reference[Duplicate Key],Paper_Reference[[#This Row],[Duplicate Key]])</f>
        <v>1</v>
      </c>
    </row>
    <row r="3632" spans="1:10">
      <c r="A3632" s="7">
        <v>2</v>
      </c>
      <c r="B3632" s="8" t="s">
        <v>5171</v>
      </c>
      <c r="C3632" s="8" t="s">
        <v>4512</v>
      </c>
      <c r="D3632" s="7">
        <v>1</v>
      </c>
      <c r="E3632" s="7">
        <v>10</v>
      </c>
      <c r="F3632" s="7">
        <v>1</v>
      </c>
      <c r="G3632" s="8" t="s">
        <v>4371</v>
      </c>
      <c r="H3632" s="8" t="s">
        <v>4372</v>
      </c>
      <c r="I3632" s="7" t="str">
        <f>_xlfn.CONCAT(Paper_Reference[[#This Row],[Lvl]:[Paper Description]])</f>
        <v>2M39PC227SD520MT310/SE101 60 X 1441101100DS064-6200BLACK</v>
      </c>
      <c r="J3632" s="7">
        <f>COUNTIF(Paper_Reference[Duplicate Key],Paper_Reference[[#This Row],[Duplicate Key]])</f>
        <v>1</v>
      </c>
    </row>
    <row r="3633" spans="1:10">
      <c r="A3633" s="7">
        <v>2</v>
      </c>
      <c r="B3633" s="8" t="s">
        <v>3208</v>
      </c>
      <c r="C3633" s="8" t="s">
        <v>3092</v>
      </c>
      <c r="D3633" s="7">
        <v>1</v>
      </c>
      <c r="E3633" s="7">
        <v>0</v>
      </c>
      <c r="F3633" s="7">
        <v>0.5</v>
      </c>
      <c r="G3633" s="8" t="s">
        <v>3115</v>
      </c>
      <c r="H3633" s="8" t="s">
        <v>3090</v>
      </c>
      <c r="I3633" s="7" t="str">
        <f>_xlfn.CONCAT(Paper_Reference[[#This Row],[Lvl]:[Paper Description]])</f>
        <v>2M39WF131SD020VANA 30 X 144100.5100WF131-6200VANA</v>
      </c>
      <c r="J3633" s="7">
        <f>COUNTIF(Paper_Reference[Duplicate Key],Paper_Reference[[#This Row],[Duplicate Key]])</f>
        <v>1</v>
      </c>
    </row>
    <row r="3634" spans="1:10">
      <c r="A3634" s="7">
        <v>2</v>
      </c>
      <c r="B3634" s="8" t="s">
        <v>8602</v>
      </c>
      <c r="C3634" s="8" t="s">
        <v>8378</v>
      </c>
      <c r="D3634" s="7">
        <v>1</v>
      </c>
      <c r="E3634" s="7">
        <v>10</v>
      </c>
      <c r="F3634" s="7">
        <v>2</v>
      </c>
      <c r="G3634" s="8" t="s">
        <v>8302</v>
      </c>
      <c r="H3634" s="8" t="s">
        <v>8303</v>
      </c>
      <c r="I3634" s="7" t="str">
        <f>_xlfn.CONCAT(Paper_Reference[[#This Row],[Lvl]:[Paper Description]])</f>
        <v>2M55CW813G500ICE WHITE  60 X 1201102100SW813-6200ICE WHITE</v>
      </c>
      <c r="J3634" s="7">
        <f>COUNTIF(Paper_Reference[Duplicate Key],Paper_Reference[[#This Row],[Duplicate Key]])</f>
        <v>1</v>
      </c>
    </row>
    <row r="3635" spans="1:10">
      <c r="A3635" s="7">
        <v>2</v>
      </c>
      <c r="B3635" s="8" t="s">
        <v>8601</v>
      </c>
      <c r="C3635" s="8" t="s">
        <v>8378</v>
      </c>
      <c r="D3635" s="7">
        <v>1</v>
      </c>
      <c r="E3635" s="7">
        <v>10</v>
      </c>
      <c r="F3635" s="7">
        <v>2</v>
      </c>
      <c r="G3635" s="8" t="s">
        <v>8302</v>
      </c>
      <c r="H3635" s="8" t="s">
        <v>8303</v>
      </c>
      <c r="I3635" s="7" t="str">
        <f>_xlfn.CONCAT(Paper_Reference[[#This Row],[Lvl]:[Paper Description]])</f>
        <v>2M55CW813G5001ICE WHITE  60 X 1201102100SW813-6200ICE WHITE</v>
      </c>
      <c r="J3635" s="7">
        <f>COUNTIF(Paper_Reference[Duplicate Key],Paper_Reference[[#This Row],[Duplicate Key]])</f>
        <v>1</v>
      </c>
    </row>
    <row r="3636" spans="1:10">
      <c r="A3636" s="7">
        <v>2</v>
      </c>
      <c r="B3636" s="8" t="s">
        <v>8604</v>
      </c>
      <c r="C3636" s="8" t="s">
        <v>8377</v>
      </c>
      <c r="D3636" s="7">
        <v>1</v>
      </c>
      <c r="E3636" s="7">
        <v>10</v>
      </c>
      <c r="F3636" s="7">
        <v>2</v>
      </c>
      <c r="G3636" s="8" t="s">
        <v>8302</v>
      </c>
      <c r="H3636" s="8" t="s">
        <v>8303</v>
      </c>
      <c r="I3636" s="7" t="str">
        <f>_xlfn.CONCAT(Paper_Reference[[#This Row],[Lvl]:[Paper Description]])</f>
        <v>2M55CW813G520ICE WHITE  60 X 1441102100SW813-6200ICE WHITE</v>
      </c>
      <c r="J3636" s="7">
        <f>COUNTIF(Paper_Reference[Duplicate Key],Paper_Reference[[#This Row],[Duplicate Key]])</f>
        <v>1</v>
      </c>
    </row>
    <row r="3637" spans="1:10">
      <c r="A3637" s="7">
        <v>2</v>
      </c>
      <c r="B3637" s="8" t="s">
        <v>8603</v>
      </c>
      <c r="C3637" s="8" t="s">
        <v>8377</v>
      </c>
      <c r="D3637" s="7">
        <v>1</v>
      </c>
      <c r="E3637" s="7">
        <v>10</v>
      </c>
      <c r="F3637" s="7">
        <v>2</v>
      </c>
      <c r="G3637" s="8" t="s">
        <v>8302</v>
      </c>
      <c r="H3637" s="8" t="s">
        <v>8303</v>
      </c>
      <c r="I3637" s="7" t="str">
        <f>_xlfn.CONCAT(Paper_Reference[[#This Row],[Lvl]:[Paper Description]])</f>
        <v>2M55CW813G5201ICE WHITE  60 X 1441102100SW813-6200ICE WHITE</v>
      </c>
      <c r="J3637" s="7">
        <f>COUNTIF(Paper_Reference[Duplicate Key],Paper_Reference[[#This Row],[Duplicate Key]])</f>
        <v>1</v>
      </c>
    </row>
    <row r="3638" spans="1:10">
      <c r="A3638" s="7">
        <v>2</v>
      </c>
      <c r="B3638" s="8" t="s">
        <v>8605</v>
      </c>
      <c r="C3638" s="8" t="s">
        <v>8380</v>
      </c>
      <c r="D3638" s="7">
        <v>1</v>
      </c>
      <c r="E3638" s="7">
        <v>10</v>
      </c>
      <c r="F3638" s="7">
        <v>2</v>
      </c>
      <c r="G3638" s="8" t="s">
        <v>8302</v>
      </c>
      <c r="H3638" s="8" t="s">
        <v>8303</v>
      </c>
      <c r="I3638" s="7" t="str">
        <f>_xlfn.CONCAT(Paper_Reference[[#This Row],[Lvl]:[Paper Description]])</f>
        <v>2M55CW813GL4201ICE WHITE  48 X 1441102100SW813-6200ICE WHITE</v>
      </c>
      <c r="J3638" s="7">
        <f>COUNTIF(Paper_Reference[Duplicate Key],Paper_Reference[[#This Row],[Duplicate Key]])</f>
        <v>1</v>
      </c>
    </row>
    <row r="3639" spans="1:10">
      <c r="A3639" s="7">
        <v>2</v>
      </c>
      <c r="B3639" s="8" t="s">
        <v>8606</v>
      </c>
      <c r="C3639" s="8" t="s">
        <v>8377</v>
      </c>
      <c r="D3639" s="7">
        <v>1</v>
      </c>
      <c r="E3639" s="7">
        <v>10</v>
      </c>
      <c r="F3639" s="7">
        <v>2</v>
      </c>
      <c r="G3639" s="8" t="s">
        <v>8302</v>
      </c>
      <c r="H3639" s="8" t="s">
        <v>8303</v>
      </c>
      <c r="I3639" s="7" t="str">
        <f>_xlfn.CONCAT(Paper_Reference[[#This Row],[Lvl]:[Paper Description]])</f>
        <v>2M55CW813GL5201ICE WHITE  60 X 1441102100SW813-6200ICE WHITE</v>
      </c>
      <c r="J3639" s="7">
        <f>COUNTIF(Paper_Reference[Duplicate Key],Paper_Reference[[#This Row],[Duplicate Key]])</f>
        <v>1</v>
      </c>
    </row>
    <row r="3640" spans="1:10">
      <c r="A3640" s="7">
        <v>2</v>
      </c>
      <c r="B3640" s="8" t="s">
        <v>8607</v>
      </c>
      <c r="C3640" s="8" t="s">
        <v>8378</v>
      </c>
      <c r="D3640" s="7">
        <v>1</v>
      </c>
      <c r="E3640" s="7">
        <v>10</v>
      </c>
      <c r="F3640" s="7">
        <v>2</v>
      </c>
      <c r="G3640" s="8" t="s">
        <v>8302</v>
      </c>
      <c r="H3640" s="8" t="s">
        <v>8303</v>
      </c>
      <c r="I3640" s="7" t="str">
        <f>_xlfn.CONCAT(Paper_Reference[[#This Row],[Lvl]:[Paper Description]])</f>
        <v>2M55CW813H5001ICE WHITE  60 X 1201102100SW813-6200ICE WHITE</v>
      </c>
      <c r="J3640" s="7">
        <f>COUNTIF(Paper_Reference[Duplicate Key],Paper_Reference[[#This Row],[Duplicate Key]])</f>
        <v>1</v>
      </c>
    </row>
    <row r="3641" spans="1:10">
      <c r="A3641" s="7">
        <v>2</v>
      </c>
      <c r="B3641" s="8" t="s">
        <v>8608</v>
      </c>
      <c r="C3641" s="8" t="s">
        <v>8377</v>
      </c>
      <c r="D3641" s="7">
        <v>1</v>
      </c>
      <c r="E3641" s="7">
        <v>10</v>
      </c>
      <c r="F3641" s="7">
        <v>2</v>
      </c>
      <c r="G3641" s="8" t="s">
        <v>8302</v>
      </c>
      <c r="H3641" s="8" t="s">
        <v>8303</v>
      </c>
      <c r="I3641" s="7" t="str">
        <f>_xlfn.CONCAT(Paper_Reference[[#This Row],[Lvl]:[Paper Description]])</f>
        <v>2M55CW813I520ICE WHITE  60 X 1441102100SW813-6200ICE WHITE</v>
      </c>
      <c r="J3641" s="7">
        <f>COUNTIF(Paper_Reference[Duplicate Key],Paper_Reference[[#This Row],[Duplicate Key]])</f>
        <v>1</v>
      </c>
    </row>
    <row r="3642" spans="1:10">
      <c r="A3642" s="7">
        <v>2</v>
      </c>
      <c r="B3642" s="8" t="s">
        <v>8609</v>
      </c>
      <c r="C3642" s="8" t="s">
        <v>8381</v>
      </c>
      <c r="D3642" s="7">
        <v>1</v>
      </c>
      <c r="E3642" s="7">
        <v>10</v>
      </c>
      <c r="F3642" s="7">
        <v>1</v>
      </c>
      <c r="G3642" s="8" t="s">
        <v>8302</v>
      </c>
      <c r="H3642" s="8" t="s">
        <v>8303</v>
      </c>
      <c r="I3642" s="7" t="str">
        <f>_xlfn.CONCAT(Paper_Reference[[#This Row],[Lvl]:[Paper Description]])</f>
        <v>2M55CW813N000ICE WHITE  30 X 1201101100SW813-6200ICE WHITE</v>
      </c>
      <c r="J3642" s="7">
        <f>COUNTIF(Paper_Reference[Duplicate Key],Paper_Reference[[#This Row],[Duplicate Key]])</f>
        <v>1</v>
      </c>
    </row>
    <row r="3643" spans="1:10">
      <c r="A3643" s="7">
        <v>2</v>
      </c>
      <c r="B3643" s="8" t="s">
        <v>8610</v>
      </c>
      <c r="C3643" s="8" t="s">
        <v>8382</v>
      </c>
      <c r="D3643" s="7">
        <v>1</v>
      </c>
      <c r="E3643" s="7">
        <v>10</v>
      </c>
      <c r="F3643" s="7">
        <v>1</v>
      </c>
      <c r="G3643" s="8" t="s">
        <v>8302</v>
      </c>
      <c r="H3643" s="8" t="s">
        <v>8303</v>
      </c>
      <c r="I3643" s="7" t="str">
        <f>_xlfn.CONCAT(Paper_Reference[[#This Row],[Lvl]:[Paper Description]])</f>
        <v>2M55CW813N080ICE WHITE  30 X 961101100SW813-6200ICE WHITE</v>
      </c>
      <c r="J3643" s="7">
        <f>COUNTIF(Paper_Reference[Duplicate Key],Paper_Reference[[#This Row],[Duplicate Key]])</f>
        <v>1</v>
      </c>
    </row>
    <row r="3644" spans="1:10">
      <c r="A3644" s="7">
        <v>2</v>
      </c>
      <c r="B3644" s="8" t="s">
        <v>8611</v>
      </c>
      <c r="C3644" s="8" t="s">
        <v>8378</v>
      </c>
      <c r="D3644" s="7">
        <v>1</v>
      </c>
      <c r="E3644" s="7">
        <v>10</v>
      </c>
      <c r="F3644" s="7">
        <v>2</v>
      </c>
      <c r="G3644" s="8" t="s">
        <v>8302</v>
      </c>
      <c r="H3644" s="8" t="s">
        <v>8303</v>
      </c>
      <c r="I3644" s="7" t="str">
        <f>_xlfn.CONCAT(Paper_Reference[[#This Row],[Lvl]:[Paper Description]])</f>
        <v>2M55CW813N500ICE WHITE  60 X 1201102100SW813-6200ICE WHITE</v>
      </c>
      <c r="J3644" s="7">
        <f>COUNTIF(Paper_Reference[Duplicate Key],Paper_Reference[[#This Row],[Duplicate Key]])</f>
        <v>1</v>
      </c>
    </row>
    <row r="3645" spans="1:10">
      <c r="A3645" s="7">
        <v>2</v>
      </c>
      <c r="B3645" s="8" t="s">
        <v>8613</v>
      </c>
      <c r="C3645" s="8" t="s">
        <v>8377</v>
      </c>
      <c r="D3645" s="7">
        <v>1</v>
      </c>
      <c r="E3645" s="7">
        <v>10</v>
      </c>
      <c r="F3645" s="7">
        <v>2</v>
      </c>
      <c r="G3645" s="8" t="s">
        <v>8302</v>
      </c>
      <c r="H3645" s="8" t="s">
        <v>8303</v>
      </c>
      <c r="I3645" s="7" t="str">
        <f>_xlfn.CONCAT(Paper_Reference[[#This Row],[Lvl]:[Paper Description]])</f>
        <v>2M55CW813N520ICE WHITE  60 X 1441102100SW813-6200ICE WHITE</v>
      </c>
      <c r="J3645" s="7">
        <f>COUNTIF(Paper_Reference[Duplicate Key],Paper_Reference[[#This Row],[Duplicate Key]])</f>
        <v>1</v>
      </c>
    </row>
    <row r="3646" spans="1:10">
      <c r="A3646" s="7">
        <v>2</v>
      </c>
      <c r="B3646" s="8" t="s">
        <v>8612</v>
      </c>
      <c r="C3646" s="8" t="s">
        <v>8377</v>
      </c>
      <c r="D3646" s="7">
        <v>1</v>
      </c>
      <c r="E3646" s="7">
        <v>10</v>
      </c>
      <c r="F3646" s="7">
        <v>2</v>
      </c>
      <c r="G3646" s="8" t="s">
        <v>8302</v>
      </c>
      <c r="H3646" s="8" t="s">
        <v>8303</v>
      </c>
      <c r="I3646" s="7" t="str">
        <f>_xlfn.CONCAT(Paper_Reference[[#This Row],[Lvl]:[Paper Description]])</f>
        <v>2M55CW813N5203ICE WHITE  60 X 1441102100SW813-6200ICE WHITE</v>
      </c>
      <c r="J3646" s="7">
        <f>COUNTIF(Paper_Reference[Duplicate Key],Paper_Reference[[#This Row],[Duplicate Key]])</f>
        <v>1</v>
      </c>
    </row>
    <row r="3647" spans="1:10">
      <c r="A3647" s="7">
        <v>2</v>
      </c>
      <c r="B3647" s="8" t="s">
        <v>8614</v>
      </c>
      <c r="C3647" s="8" t="s">
        <v>8379</v>
      </c>
      <c r="D3647" s="7">
        <v>1</v>
      </c>
      <c r="E3647" s="7">
        <v>10</v>
      </c>
      <c r="F3647" s="7">
        <v>2</v>
      </c>
      <c r="G3647" s="8" t="s">
        <v>8302</v>
      </c>
      <c r="H3647" s="8" t="s">
        <v>8303</v>
      </c>
      <c r="I3647" s="7" t="str">
        <f>_xlfn.CONCAT(Paper_Reference[[#This Row],[Lvl]:[Paper Description]])</f>
        <v>2M55CW813N580ICE WHITE  60 X 961102100SW813-6200ICE WHITE</v>
      </c>
      <c r="J3647" s="7">
        <f>COUNTIF(Paper_Reference[Duplicate Key],Paper_Reference[[#This Row],[Duplicate Key]])</f>
        <v>1</v>
      </c>
    </row>
    <row r="3648" spans="1:10">
      <c r="A3648" s="7">
        <v>2</v>
      </c>
      <c r="B3648" s="8" t="s">
        <v>8615</v>
      </c>
      <c r="C3648" s="8" t="s">
        <v>8381</v>
      </c>
      <c r="D3648" s="7">
        <v>1</v>
      </c>
      <c r="E3648" s="7">
        <v>10</v>
      </c>
      <c r="F3648" s="7">
        <v>1</v>
      </c>
      <c r="G3648" s="8" t="s">
        <v>8302</v>
      </c>
      <c r="H3648" s="8" t="s">
        <v>8303</v>
      </c>
      <c r="I3648" s="7" t="str">
        <f>_xlfn.CONCAT(Paper_Reference[[#This Row],[Lvl]:[Paper Description]])</f>
        <v>2M55CW813SD000ICE WHITE  30 X 1201101100SW813-6200ICE WHITE</v>
      </c>
      <c r="J3648" s="7">
        <f>COUNTIF(Paper_Reference[Duplicate Key],Paper_Reference[[#This Row],[Duplicate Key]])</f>
        <v>1</v>
      </c>
    </row>
    <row r="3649" spans="1:10">
      <c r="A3649" s="7">
        <v>2</v>
      </c>
      <c r="B3649" s="8" t="s">
        <v>8616</v>
      </c>
      <c r="C3649" s="8" t="s">
        <v>8382</v>
      </c>
      <c r="D3649" s="7">
        <v>1</v>
      </c>
      <c r="E3649" s="7">
        <v>10</v>
      </c>
      <c r="F3649" s="7">
        <v>1</v>
      </c>
      <c r="G3649" s="8" t="s">
        <v>8302</v>
      </c>
      <c r="H3649" s="8" t="s">
        <v>8303</v>
      </c>
      <c r="I3649" s="7" t="str">
        <f>_xlfn.CONCAT(Paper_Reference[[#This Row],[Lvl]:[Paper Description]])</f>
        <v>2M55CW813SD080ICE WHITE  30 X 961101100SW813-6200ICE WHITE</v>
      </c>
      <c r="J3649" s="7">
        <f>COUNTIF(Paper_Reference[Duplicate Key],Paper_Reference[[#This Row],[Duplicate Key]])</f>
        <v>1</v>
      </c>
    </row>
    <row r="3650" spans="1:10">
      <c r="A3650" s="7">
        <v>2</v>
      </c>
      <c r="B3650" s="8" t="s">
        <v>8618</v>
      </c>
      <c r="C3650" s="8" t="s">
        <v>8378</v>
      </c>
      <c r="D3650" s="7">
        <v>1</v>
      </c>
      <c r="E3650" s="7">
        <v>10</v>
      </c>
      <c r="F3650" s="7">
        <v>2</v>
      </c>
      <c r="G3650" s="8" t="s">
        <v>8302</v>
      </c>
      <c r="H3650" s="8" t="s">
        <v>8303</v>
      </c>
      <c r="I3650" s="7" t="str">
        <f>_xlfn.CONCAT(Paper_Reference[[#This Row],[Lvl]:[Paper Description]])</f>
        <v>2M55CW813SD500ICE WHITE  60 X 1201102100SW813-6200ICE WHITE</v>
      </c>
      <c r="J3650" s="7">
        <f>COUNTIF(Paper_Reference[Duplicate Key],Paper_Reference[[#This Row],[Duplicate Key]])</f>
        <v>1</v>
      </c>
    </row>
    <row r="3651" spans="1:10">
      <c r="A3651" s="7">
        <v>2</v>
      </c>
      <c r="B3651" s="8" t="s">
        <v>8617</v>
      </c>
      <c r="C3651" s="8" t="s">
        <v>8378</v>
      </c>
      <c r="D3651" s="7">
        <v>1</v>
      </c>
      <c r="E3651" s="7">
        <v>10</v>
      </c>
      <c r="F3651" s="7">
        <v>2</v>
      </c>
      <c r="G3651" s="8" t="s">
        <v>8302</v>
      </c>
      <c r="H3651" s="8" t="s">
        <v>8303</v>
      </c>
      <c r="I3651" s="7" t="str">
        <f>_xlfn.CONCAT(Paper_Reference[[#This Row],[Lvl]:[Paper Description]])</f>
        <v>2M55CW813SD5003ICE WHITE  60 X 1201102100SW813-6200ICE WHITE</v>
      </c>
      <c r="J3651" s="7">
        <f>COUNTIF(Paper_Reference[Duplicate Key],Paper_Reference[[#This Row],[Duplicate Key]])</f>
        <v>1</v>
      </c>
    </row>
    <row r="3652" spans="1:10">
      <c r="A3652" s="7">
        <v>2</v>
      </c>
      <c r="B3652" s="8" t="s">
        <v>8619</v>
      </c>
      <c r="C3652" s="8" t="s">
        <v>8377</v>
      </c>
      <c r="D3652" s="7">
        <v>1</v>
      </c>
      <c r="E3652" s="7">
        <v>10</v>
      </c>
      <c r="F3652" s="7">
        <v>2</v>
      </c>
      <c r="G3652" s="8" t="s">
        <v>8302</v>
      </c>
      <c r="H3652" s="8" t="s">
        <v>8303</v>
      </c>
      <c r="I3652" s="7" t="str">
        <f>_xlfn.CONCAT(Paper_Reference[[#This Row],[Lvl]:[Paper Description]])</f>
        <v>2M55CW813SD520ICE WHITE  60 X 1441102100SW813-6200ICE WHITE</v>
      </c>
      <c r="J3652" s="7">
        <f>COUNTIF(Paper_Reference[Duplicate Key],Paper_Reference[[#This Row],[Duplicate Key]])</f>
        <v>1</v>
      </c>
    </row>
    <row r="3653" spans="1:10">
      <c r="A3653" s="7">
        <v>2</v>
      </c>
      <c r="B3653" s="8" t="s">
        <v>8621</v>
      </c>
      <c r="C3653" s="8" t="s">
        <v>8379</v>
      </c>
      <c r="D3653" s="7">
        <v>1</v>
      </c>
      <c r="E3653" s="7">
        <v>10</v>
      </c>
      <c r="F3653" s="7">
        <v>2</v>
      </c>
      <c r="G3653" s="8" t="s">
        <v>8302</v>
      </c>
      <c r="H3653" s="8" t="s">
        <v>8303</v>
      </c>
      <c r="I3653" s="7" t="str">
        <f>_xlfn.CONCAT(Paper_Reference[[#This Row],[Lvl]:[Paper Description]])</f>
        <v>2M55CW813SD580ICE WHITE  60 X 961102100SW813-6200ICE WHITE</v>
      </c>
      <c r="J3653" s="7">
        <f>COUNTIF(Paper_Reference[Duplicate Key],Paper_Reference[[#This Row],[Duplicate Key]])</f>
        <v>1</v>
      </c>
    </row>
    <row r="3654" spans="1:10">
      <c r="A3654" s="7">
        <v>2</v>
      </c>
      <c r="B3654" s="8" t="s">
        <v>8620</v>
      </c>
      <c r="C3654" s="8" t="s">
        <v>8379</v>
      </c>
      <c r="D3654" s="7">
        <v>1</v>
      </c>
      <c r="E3654" s="7">
        <v>10</v>
      </c>
      <c r="F3654" s="7">
        <v>2</v>
      </c>
      <c r="G3654" s="8" t="s">
        <v>8302</v>
      </c>
      <c r="H3654" s="8" t="s">
        <v>8303</v>
      </c>
      <c r="I3654" s="7" t="str">
        <f>_xlfn.CONCAT(Paper_Reference[[#This Row],[Lvl]:[Paper Description]])</f>
        <v>2M55CW813SD5803ICE WHITE  60 X 961102100SW813-6200ICE WHITE</v>
      </c>
      <c r="J3654" s="7">
        <f>COUNTIF(Paper_Reference[Duplicate Key],Paper_Reference[[#This Row],[Duplicate Key]])</f>
        <v>1</v>
      </c>
    </row>
    <row r="3655" spans="1:10">
      <c r="A3655" s="7">
        <v>2</v>
      </c>
      <c r="B3655" s="8" t="s">
        <v>8622</v>
      </c>
      <c r="C3655" s="8" t="s">
        <v>8377</v>
      </c>
      <c r="D3655" s="7">
        <v>1</v>
      </c>
      <c r="E3655" s="7">
        <v>10</v>
      </c>
      <c r="F3655" s="7">
        <v>2</v>
      </c>
      <c r="G3655" s="8" t="s">
        <v>8302</v>
      </c>
      <c r="H3655" s="8" t="s">
        <v>8303</v>
      </c>
      <c r="I3655" s="7" t="str">
        <f>_xlfn.CONCAT(Paper_Reference[[#This Row],[Lvl]:[Paper Description]])</f>
        <v>2M55CW813SM520ICE WHITE  60 X 1441102100SW813-6200ICE WHITE</v>
      </c>
      <c r="J3655" s="7">
        <f>COUNTIF(Paper_Reference[Duplicate Key],Paper_Reference[[#This Row],[Duplicate Key]])</f>
        <v>1</v>
      </c>
    </row>
    <row r="3656" spans="1:10">
      <c r="A3656" s="7">
        <v>2</v>
      </c>
      <c r="B3656" s="8" t="s">
        <v>7881</v>
      </c>
      <c r="C3656" s="8" t="s">
        <v>7080</v>
      </c>
      <c r="D3656" s="7">
        <v>1</v>
      </c>
      <c r="E3656" s="7">
        <v>10</v>
      </c>
      <c r="F3656" s="7">
        <v>2</v>
      </c>
      <c r="G3656" s="8" t="s">
        <v>6710</v>
      </c>
      <c r="H3656" s="8" t="s">
        <v>5691</v>
      </c>
      <c r="I3656" s="7" t="str">
        <f>_xlfn.CONCAT(Paper_Reference[[#This Row],[Lvl]:[Paper Description]])</f>
        <v>2M55PC196G4801DS009/C2  48 X 961102100DS009-5000FROSTY WHITE</v>
      </c>
      <c r="J3656" s="7">
        <f>COUNTIF(Paper_Reference[Duplicate Key],Paper_Reference[[#This Row],[Duplicate Key]])</f>
        <v>1</v>
      </c>
    </row>
    <row r="3657" spans="1:10">
      <c r="A3657" s="7">
        <v>2</v>
      </c>
      <c r="B3657" s="8" t="s">
        <v>3209</v>
      </c>
      <c r="C3657" s="8" t="s">
        <v>3101</v>
      </c>
      <c r="D3657" s="7">
        <v>1</v>
      </c>
      <c r="E3657" s="7">
        <v>10</v>
      </c>
      <c r="F3657" s="7">
        <v>1</v>
      </c>
      <c r="G3657" s="8" t="s">
        <v>3115</v>
      </c>
      <c r="H3657" s="8" t="s">
        <v>3090</v>
      </c>
      <c r="I3657" s="7" t="str">
        <f>_xlfn.CONCAT(Paper_Reference[[#This Row],[Lvl]:[Paper Description]])</f>
        <v>2M55PC206N500WF131/C2  60 X 1201101100WF131-6200VANA</v>
      </c>
      <c r="J3657" s="7">
        <f>COUNTIF(Paper_Reference[Duplicate Key],Paper_Reference[[#This Row],[Duplicate Key]])</f>
        <v>1</v>
      </c>
    </row>
    <row r="3658" spans="1:10">
      <c r="A3658" s="7">
        <v>2</v>
      </c>
      <c r="B3658" s="8" t="s">
        <v>5173</v>
      </c>
      <c r="C3658" s="8" t="s">
        <v>4513</v>
      </c>
      <c r="D3658" s="7">
        <v>1</v>
      </c>
      <c r="E3658" s="7">
        <v>10</v>
      </c>
      <c r="F3658" s="7">
        <v>2</v>
      </c>
      <c r="G3658" s="8" t="s">
        <v>4371</v>
      </c>
      <c r="H3658" s="8" t="s">
        <v>4372</v>
      </c>
      <c r="I3658" s="7" t="str">
        <f>_xlfn.CONCAT(Paper_Reference[[#This Row],[Lvl]:[Paper Description]])</f>
        <v>2M56CE101G500BLACK  60 X 1201102100DS064-6200BLACK</v>
      </c>
      <c r="J3658" s="7">
        <f>COUNTIF(Paper_Reference[Duplicate Key],Paper_Reference[[#This Row],[Duplicate Key]])</f>
        <v>1</v>
      </c>
    </row>
    <row r="3659" spans="1:10">
      <c r="A3659" s="7">
        <v>2</v>
      </c>
      <c r="B3659" s="8" t="s">
        <v>5172</v>
      </c>
      <c r="C3659" s="8" t="s">
        <v>4513</v>
      </c>
      <c r="D3659" s="7">
        <v>1</v>
      </c>
      <c r="E3659" s="7">
        <v>10</v>
      </c>
      <c r="F3659" s="7">
        <v>2</v>
      </c>
      <c r="G3659" s="8" t="s">
        <v>4371</v>
      </c>
      <c r="H3659" s="8" t="s">
        <v>4372</v>
      </c>
      <c r="I3659" s="7" t="str">
        <f>_xlfn.CONCAT(Paper_Reference[[#This Row],[Lvl]:[Paper Description]])</f>
        <v>2M56CE101G5001BLACK  60 X 1201102100DS064-6200BLACK</v>
      </c>
      <c r="J3659" s="7">
        <f>COUNTIF(Paper_Reference[Duplicate Key],Paper_Reference[[#This Row],[Duplicate Key]])</f>
        <v>1</v>
      </c>
    </row>
    <row r="3660" spans="1:10">
      <c r="A3660" s="7">
        <v>2</v>
      </c>
      <c r="B3660" s="8" t="s">
        <v>5174</v>
      </c>
      <c r="C3660" s="8" t="s">
        <v>4509</v>
      </c>
      <c r="D3660" s="7">
        <v>1</v>
      </c>
      <c r="E3660" s="7">
        <v>10</v>
      </c>
      <c r="F3660" s="7">
        <v>2</v>
      </c>
      <c r="G3660" s="8" t="s">
        <v>4371</v>
      </c>
      <c r="H3660" s="8" t="s">
        <v>4372</v>
      </c>
      <c r="I3660" s="7" t="str">
        <f>_xlfn.CONCAT(Paper_Reference[[#This Row],[Lvl]:[Paper Description]])</f>
        <v>2M56CE101G5201BLACK  60 X 1441102100DS064-6200BLACK</v>
      </c>
      <c r="J3660" s="7">
        <f>COUNTIF(Paper_Reference[Duplicate Key],Paper_Reference[[#This Row],[Duplicate Key]])</f>
        <v>1</v>
      </c>
    </row>
    <row r="3661" spans="1:10">
      <c r="A3661" s="7">
        <v>2</v>
      </c>
      <c r="B3661" s="8" t="s">
        <v>5175</v>
      </c>
      <c r="C3661" s="8" t="s">
        <v>4509</v>
      </c>
      <c r="D3661" s="7">
        <v>1</v>
      </c>
      <c r="E3661" s="7">
        <v>10</v>
      </c>
      <c r="F3661" s="7">
        <v>2</v>
      </c>
      <c r="G3661" s="8" t="s">
        <v>4371</v>
      </c>
      <c r="H3661" s="8" t="s">
        <v>4372</v>
      </c>
      <c r="I3661" s="7" t="str">
        <f>_xlfn.CONCAT(Paper_Reference[[#This Row],[Lvl]:[Paper Description]])</f>
        <v>2M56CE101GL5201BLACK  60 X 1441102100DS064-6200BLACK</v>
      </c>
      <c r="J3661" s="7">
        <f>COUNTIF(Paper_Reference[Duplicate Key],Paper_Reference[[#This Row],[Duplicate Key]])</f>
        <v>1</v>
      </c>
    </row>
    <row r="3662" spans="1:10">
      <c r="A3662" s="7">
        <v>2</v>
      </c>
      <c r="B3662" s="8" t="s">
        <v>5176</v>
      </c>
      <c r="C3662" s="8" t="s">
        <v>4513</v>
      </c>
      <c r="D3662" s="7">
        <v>1</v>
      </c>
      <c r="E3662" s="7">
        <v>10</v>
      </c>
      <c r="F3662" s="7">
        <v>2</v>
      </c>
      <c r="G3662" s="8" t="s">
        <v>4371</v>
      </c>
      <c r="H3662" s="8" t="s">
        <v>4372</v>
      </c>
      <c r="I3662" s="7" t="str">
        <f>_xlfn.CONCAT(Paper_Reference[[#This Row],[Lvl]:[Paper Description]])</f>
        <v>2M56CE101N500BLACK  60 X 1201102100DS064-6200BLACK</v>
      </c>
      <c r="J3662" s="7">
        <f>COUNTIF(Paper_Reference[Duplicate Key],Paper_Reference[[#This Row],[Duplicate Key]])</f>
        <v>1</v>
      </c>
    </row>
    <row r="3663" spans="1:10">
      <c r="A3663" s="7">
        <v>2</v>
      </c>
      <c r="B3663" s="8" t="s">
        <v>5178</v>
      </c>
      <c r="C3663" s="8" t="s">
        <v>4509</v>
      </c>
      <c r="D3663" s="7">
        <v>1</v>
      </c>
      <c r="E3663" s="7">
        <v>10</v>
      </c>
      <c r="F3663" s="7">
        <v>2</v>
      </c>
      <c r="G3663" s="8" t="s">
        <v>4371</v>
      </c>
      <c r="H3663" s="8" t="s">
        <v>4372</v>
      </c>
      <c r="I3663" s="7" t="str">
        <f>_xlfn.CONCAT(Paper_Reference[[#This Row],[Lvl]:[Paper Description]])</f>
        <v>2M56CE101N520BLACK  60 X 1441102100DS064-6200BLACK</v>
      </c>
      <c r="J3663" s="7">
        <f>COUNTIF(Paper_Reference[Duplicate Key],Paper_Reference[[#This Row],[Duplicate Key]])</f>
        <v>1</v>
      </c>
    </row>
    <row r="3664" spans="1:10">
      <c r="A3664" s="7">
        <v>2</v>
      </c>
      <c r="B3664" s="8" t="s">
        <v>5177</v>
      </c>
      <c r="C3664" s="8" t="s">
        <v>4509</v>
      </c>
      <c r="D3664" s="7">
        <v>1</v>
      </c>
      <c r="E3664" s="7">
        <v>10</v>
      </c>
      <c r="F3664" s="7">
        <v>2</v>
      </c>
      <c r="G3664" s="8" t="s">
        <v>4371</v>
      </c>
      <c r="H3664" s="8" t="s">
        <v>4372</v>
      </c>
      <c r="I3664" s="7" t="str">
        <f>_xlfn.CONCAT(Paper_Reference[[#This Row],[Lvl]:[Paper Description]])</f>
        <v>2M56CE101N5201BLACK  60 X 1441102100DS064-6200BLACK</v>
      </c>
      <c r="J3664" s="7">
        <f>COUNTIF(Paper_Reference[Duplicate Key],Paper_Reference[[#This Row],[Duplicate Key]])</f>
        <v>1</v>
      </c>
    </row>
    <row r="3665" spans="1:10">
      <c r="A3665" s="7">
        <v>2</v>
      </c>
      <c r="B3665" s="8" t="s">
        <v>5179</v>
      </c>
      <c r="C3665" s="8" t="s">
        <v>4510</v>
      </c>
      <c r="D3665" s="7">
        <v>1</v>
      </c>
      <c r="E3665" s="7">
        <v>10</v>
      </c>
      <c r="F3665" s="7">
        <v>2</v>
      </c>
      <c r="G3665" s="8" t="s">
        <v>4371</v>
      </c>
      <c r="H3665" s="8" t="s">
        <v>4372</v>
      </c>
      <c r="I3665" s="7" t="str">
        <f>_xlfn.CONCAT(Paper_Reference[[#This Row],[Lvl]:[Paper Description]])</f>
        <v>2M56CE101N580BLACK  60 X 961102100DS064-6200BLACK</v>
      </c>
      <c r="J3665" s="7">
        <f>COUNTIF(Paper_Reference[Duplicate Key],Paper_Reference[[#This Row],[Duplicate Key]])</f>
        <v>1</v>
      </c>
    </row>
    <row r="3666" spans="1:10">
      <c r="A3666" s="7">
        <v>2</v>
      </c>
      <c r="B3666" s="8" t="s">
        <v>5180</v>
      </c>
      <c r="C3666" s="8" t="s">
        <v>4513</v>
      </c>
      <c r="D3666" s="7">
        <v>1</v>
      </c>
      <c r="E3666" s="7">
        <v>10</v>
      </c>
      <c r="F3666" s="7">
        <v>2</v>
      </c>
      <c r="G3666" s="8" t="s">
        <v>4371</v>
      </c>
      <c r="H3666" s="8" t="s">
        <v>4372</v>
      </c>
      <c r="I3666" s="7" t="str">
        <f>_xlfn.CONCAT(Paper_Reference[[#This Row],[Lvl]:[Paper Description]])</f>
        <v>2M56CE101SD500BLACK  60 X 1201102100DS064-6200BLACK</v>
      </c>
      <c r="J3666" s="7">
        <f>COUNTIF(Paper_Reference[Duplicate Key],Paper_Reference[[#This Row],[Duplicate Key]])</f>
        <v>1</v>
      </c>
    </row>
    <row r="3667" spans="1:10">
      <c r="A3667" s="7">
        <v>2</v>
      </c>
      <c r="B3667" s="8" t="s">
        <v>5181</v>
      </c>
      <c r="C3667" s="8" t="s">
        <v>4509</v>
      </c>
      <c r="D3667" s="7">
        <v>1</v>
      </c>
      <c r="E3667" s="7">
        <v>10</v>
      </c>
      <c r="F3667" s="7">
        <v>2</v>
      </c>
      <c r="G3667" s="8" t="s">
        <v>4371</v>
      </c>
      <c r="H3667" s="8" t="s">
        <v>4372</v>
      </c>
      <c r="I3667" s="7" t="str">
        <f>_xlfn.CONCAT(Paper_Reference[[#This Row],[Lvl]:[Paper Description]])</f>
        <v>2M56CE101SD520BLACK  60 X 1441102100DS064-6200BLACK</v>
      </c>
      <c r="J3667" s="7">
        <f>COUNTIF(Paper_Reference[Duplicate Key],Paper_Reference[[#This Row],[Duplicate Key]])</f>
        <v>1</v>
      </c>
    </row>
    <row r="3668" spans="1:10">
      <c r="A3668" s="7">
        <v>2</v>
      </c>
      <c r="B3668" s="8" t="s">
        <v>5182</v>
      </c>
      <c r="C3668" s="8" t="s">
        <v>4510</v>
      </c>
      <c r="D3668" s="7">
        <v>1</v>
      </c>
      <c r="E3668" s="7">
        <v>10</v>
      </c>
      <c r="F3668" s="7">
        <v>2</v>
      </c>
      <c r="G3668" s="8" t="s">
        <v>4371</v>
      </c>
      <c r="H3668" s="8" t="s">
        <v>4372</v>
      </c>
      <c r="I3668" s="7" t="str">
        <f>_xlfn.CONCAT(Paper_Reference[[#This Row],[Lvl]:[Paper Description]])</f>
        <v>2M56CE101SD580BLACK  60 X 961102100DS064-6200BLACK</v>
      </c>
      <c r="J3668" s="7">
        <f>COUNTIF(Paper_Reference[Duplicate Key],Paper_Reference[[#This Row],[Duplicate Key]])</f>
        <v>1</v>
      </c>
    </row>
    <row r="3669" spans="1:10">
      <c r="A3669" s="7">
        <v>2</v>
      </c>
      <c r="B3669" s="8" t="s">
        <v>5183</v>
      </c>
      <c r="C3669" s="8" t="s">
        <v>4514</v>
      </c>
      <c r="D3669" s="7">
        <v>1</v>
      </c>
      <c r="E3669" s="7">
        <v>10</v>
      </c>
      <c r="F3669" s="7">
        <v>1</v>
      </c>
      <c r="G3669" s="8" t="s">
        <v>4371</v>
      </c>
      <c r="H3669" s="8" t="s">
        <v>4372</v>
      </c>
      <c r="I3669" s="7" t="str">
        <f>_xlfn.CONCAT(Paper_Reference[[#This Row],[Lvl]:[Paper Description]])</f>
        <v>2M56PC052N500AE021/SE101  60 X 1201101100DS064-6200BLACK</v>
      </c>
      <c r="J3669" s="7">
        <f>COUNTIF(Paper_Reference[Duplicate Key],Paper_Reference[[#This Row],[Duplicate Key]])</f>
        <v>1</v>
      </c>
    </row>
    <row r="3670" spans="1:10">
      <c r="A3670" s="7">
        <v>2</v>
      </c>
      <c r="B3670" s="8" t="s">
        <v>5184</v>
      </c>
      <c r="C3670" s="8" t="s">
        <v>4515</v>
      </c>
      <c r="D3670" s="7">
        <v>1</v>
      </c>
      <c r="E3670" s="7">
        <v>10</v>
      </c>
      <c r="F3670" s="7">
        <v>1</v>
      </c>
      <c r="G3670" s="8" t="s">
        <v>4371</v>
      </c>
      <c r="H3670" s="8" t="s">
        <v>4372</v>
      </c>
      <c r="I3670" s="7" t="str">
        <f>_xlfn.CONCAT(Paper_Reference[[#This Row],[Lvl]:[Paper Description]])</f>
        <v>2M56PC052N520AE021/SE101  60 X 1441101100DS064-6200BLACK</v>
      </c>
      <c r="J3670" s="7">
        <f>COUNTIF(Paper_Reference[Duplicate Key],Paper_Reference[[#This Row],[Duplicate Key]])</f>
        <v>1</v>
      </c>
    </row>
    <row r="3671" spans="1:10">
      <c r="A3671" s="7">
        <v>2</v>
      </c>
      <c r="B3671" s="8" t="s">
        <v>5185</v>
      </c>
      <c r="C3671" s="8" t="s">
        <v>4516</v>
      </c>
      <c r="D3671" s="7">
        <v>1</v>
      </c>
      <c r="E3671" s="7">
        <v>10</v>
      </c>
      <c r="F3671" s="7">
        <v>1</v>
      </c>
      <c r="G3671" s="8" t="s">
        <v>4371</v>
      </c>
      <c r="H3671" s="8" t="s">
        <v>4372</v>
      </c>
      <c r="I3671" s="7" t="str">
        <f>_xlfn.CONCAT(Paper_Reference[[#This Row],[Lvl]:[Paper Description]])</f>
        <v>2M56PC052N580AE021/SE101  60 X 961101100DS064-6200BLACK</v>
      </c>
      <c r="J3671" s="7">
        <f>COUNTIF(Paper_Reference[Duplicate Key],Paper_Reference[[#This Row],[Duplicate Key]])</f>
        <v>1</v>
      </c>
    </row>
    <row r="3672" spans="1:10">
      <c r="A3672" s="7">
        <v>2</v>
      </c>
      <c r="B3672" s="8" t="s">
        <v>5186</v>
      </c>
      <c r="C3672" s="8" t="s">
        <v>4517</v>
      </c>
      <c r="D3672" s="7">
        <v>1</v>
      </c>
      <c r="E3672" s="7">
        <v>10</v>
      </c>
      <c r="F3672" s="7">
        <v>1</v>
      </c>
      <c r="G3672" s="8" t="s">
        <v>4371</v>
      </c>
      <c r="H3672" s="8" t="s">
        <v>4372</v>
      </c>
      <c r="I3672" s="7" t="str">
        <f>_xlfn.CONCAT(Paper_Reference[[#This Row],[Lvl]:[Paper Description]])</f>
        <v>2M56PC203H500WX421/SE101  60 X 1201101100DS064-6200BLACK</v>
      </c>
      <c r="J3672" s="7">
        <f>COUNTIF(Paper_Reference[Duplicate Key],Paper_Reference[[#This Row],[Duplicate Key]])</f>
        <v>1</v>
      </c>
    </row>
    <row r="3673" spans="1:10">
      <c r="A3673" s="7">
        <v>2</v>
      </c>
      <c r="B3673" s="8" t="s">
        <v>5188</v>
      </c>
      <c r="C3673" s="8" t="s">
        <v>4518</v>
      </c>
      <c r="D3673" s="7">
        <v>1</v>
      </c>
      <c r="E3673" s="7">
        <v>10</v>
      </c>
      <c r="F3673" s="7">
        <v>1</v>
      </c>
      <c r="G3673" s="8" t="s">
        <v>4371</v>
      </c>
      <c r="H3673" s="8" t="s">
        <v>4372</v>
      </c>
      <c r="I3673" s="7" t="str">
        <f>_xlfn.CONCAT(Paper_Reference[[#This Row],[Lvl]:[Paper Description]])</f>
        <v>2M56PC203H520WX421/SE101  60 X 1441101100DS064-6200BLACK</v>
      </c>
      <c r="J3673" s="7">
        <f>COUNTIF(Paper_Reference[Duplicate Key],Paper_Reference[[#This Row],[Duplicate Key]])</f>
        <v>1</v>
      </c>
    </row>
    <row r="3674" spans="1:10">
      <c r="A3674" s="7">
        <v>2</v>
      </c>
      <c r="B3674" s="8" t="s">
        <v>5187</v>
      </c>
      <c r="C3674" s="8" t="s">
        <v>4518</v>
      </c>
      <c r="D3674" s="7">
        <v>1</v>
      </c>
      <c r="E3674" s="7">
        <v>10</v>
      </c>
      <c r="F3674" s="7">
        <v>1</v>
      </c>
      <c r="G3674" s="8" t="s">
        <v>4371</v>
      </c>
      <c r="H3674" s="8" t="s">
        <v>4372</v>
      </c>
      <c r="I3674" s="7" t="str">
        <f>_xlfn.CONCAT(Paper_Reference[[#This Row],[Lvl]:[Paper Description]])</f>
        <v>2M56PC203H5201WX421/SE101  60 X 1441101100DS064-6200BLACK</v>
      </c>
      <c r="J3674" s="7">
        <f>COUNTIF(Paper_Reference[Duplicate Key],Paper_Reference[[#This Row],[Duplicate Key]])</f>
        <v>1</v>
      </c>
    </row>
    <row r="3675" spans="1:10">
      <c r="A3675" s="7">
        <v>2</v>
      </c>
      <c r="B3675" s="8" t="s">
        <v>5190</v>
      </c>
      <c r="C3675" s="8" t="s">
        <v>4511</v>
      </c>
      <c r="D3675" s="7">
        <v>1</v>
      </c>
      <c r="E3675" s="7">
        <v>10</v>
      </c>
      <c r="F3675" s="7">
        <v>1</v>
      </c>
      <c r="G3675" s="8" t="s">
        <v>4371</v>
      </c>
      <c r="H3675" s="8" t="s">
        <v>4372</v>
      </c>
      <c r="I3675" s="7" t="str">
        <f>_xlfn.CONCAT(Paper_Reference[[#This Row],[Lvl]:[Paper Description]])</f>
        <v>2M56PC203H580WX421/SE101  60 X 961101100DS064-6200BLACK</v>
      </c>
      <c r="J3675" s="7">
        <f>COUNTIF(Paper_Reference[Duplicate Key],Paper_Reference[[#This Row],[Duplicate Key]])</f>
        <v>1</v>
      </c>
    </row>
    <row r="3676" spans="1:10">
      <c r="A3676" s="7">
        <v>2</v>
      </c>
      <c r="B3676" s="8" t="s">
        <v>5189</v>
      </c>
      <c r="C3676" s="8" t="s">
        <v>4511</v>
      </c>
      <c r="D3676" s="7">
        <v>1</v>
      </c>
      <c r="E3676" s="7">
        <v>10</v>
      </c>
      <c r="F3676" s="7">
        <v>1</v>
      </c>
      <c r="G3676" s="8" t="s">
        <v>4371</v>
      </c>
      <c r="H3676" s="8" t="s">
        <v>4372</v>
      </c>
      <c r="I3676" s="7" t="str">
        <f>_xlfn.CONCAT(Paper_Reference[[#This Row],[Lvl]:[Paper Description]])</f>
        <v>2M56PC203H5801WX421/SE101  60 X 961101100DS064-6200BLACK</v>
      </c>
      <c r="J3676" s="7">
        <f>COUNTIF(Paper_Reference[Duplicate Key],Paper_Reference[[#This Row],[Duplicate Key]])</f>
        <v>1</v>
      </c>
    </row>
    <row r="3677" spans="1:10">
      <c r="A3677" s="7">
        <v>2</v>
      </c>
      <c r="B3677" s="8" t="s">
        <v>5191</v>
      </c>
      <c r="C3677" s="8" t="s">
        <v>4519</v>
      </c>
      <c r="D3677" s="7">
        <v>1</v>
      </c>
      <c r="E3677" s="7">
        <v>10</v>
      </c>
      <c r="F3677" s="7">
        <v>1</v>
      </c>
      <c r="G3677" s="8" t="s">
        <v>4371</v>
      </c>
      <c r="H3677" s="8" t="s">
        <v>4372</v>
      </c>
      <c r="I3677" s="7" t="str">
        <f>_xlfn.CONCAT(Paper_Reference[[#This Row],[Lvl]:[Paper Description]])</f>
        <v>2M56PC214N500AG601/SE101  60 X 1201101100DS064-6200BLACK</v>
      </c>
      <c r="J3677" s="7">
        <f>COUNTIF(Paper_Reference[Duplicate Key],Paper_Reference[[#This Row],[Duplicate Key]])</f>
        <v>1</v>
      </c>
    </row>
    <row r="3678" spans="1:10">
      <c r="A3678" s="7">
        <v>2</v>
      </c>
      <c r="B3678" s="8" t="s">
        <v>3210</v>
      </c>
      <c r="C3678" s="8" t="s">
        <v>3088</v>
      </c>
      <c r="D3678" s="7">
        <v>1</v>
      </c>
      <c r="E3678" s="7">
        <v>0</v>
      </c>
      <c r="F3678" s="7">
        <v>1</v>
      </c>
      <c r="G3678" s="8" t="s">
        <v>3115</v>
      </c>
      <c r="H3678" s="8" t="s">
        <v>3090</v>
      </c>
      <c r="I3678" s="7" t="str">
        <f>_xlfn.CONCAT(Paper_Reference[[#This Row],[Lvl]:[Paper Description]])</f>
        <v>2M56WF131N500VANA 60 X 120101100WF131-6200VANA</v>
      </c>
      <c r="J3678" s="7">
        <f>COUNTIF(Paper_Reference[Duplicate Key],Paper_Reference[[#This Row],[Duplicate Key]])</f>
        <v>1</v>
      </c>
    </row>
    <row r="3679" spans="1:10">
      <c r="A3679" s="7">
        <v>2</v>
      </c>
      <c r="B3679" s="8" t="s">
        <v>3211</v>
      </c>
      <c r="C3679" s="8" t="s">
        <v>3087</v>
      </c>
      <c r="D3679" s="7">
        <v>1</v>
      </c>
      <c r="E3679" s="7">
        <v>0</v>
      </c>
      <c r="F3679" s="7">
        <v>1</v>
      </c>
      <c r="G3679" s="8" t="s">
        <v>3115</v>
      </c>
      <c r="H3679" s="8" t="s">
        <v>3090</v>
      </c>
      <c r="I3679" s="7" t="str">
        <f>_xlfn.CONCAT(Paper_Reference[[#This Row],[Lvl]:[Paper Description]])</f>
        <v>2M56WF131N580VANA 60 X 96101100WF131-6200VANA</v>
      </c>
      <c r="J3679" s="7">
        <f>COUNTIF(Paper_Reference[Duplicate Key],Paper_Reference[[#This Row],[Duplicate Key]])</f>
        <v>1</v>
      </c>
    </row>
    <row r="3680" spans="1:10">
      <c r="A3680" s="7">
        <v>3</v>
      </c>
      <c r="B3680" s="8" t="s">
        <v>6402</v>
      </c>
      <c r="C3680" s="8" t="s">
        <v>5922</v>
      </c>
      <c r="D3680" s="7">
        <v>1</v>
      </c>
      <c r="E3680" s="7">
        <v>91</v>
      </c>
      <c r="F3680" s="7">
        <v>1</v>
      </c>
      <c r="G3680" s="8" t="s">
        <v>5690</v>
      </c>
      <c r="H3680" s="8" t="s">
        <v>5691</v>
      </c>
      <c r="I3680" s="7" t="str">
        <f>_xlfn.CONCAT(Paper_Reference[[#This Row],[Lvl]:[Paper Description]])</f>
        <v>3MAGUVTLPAPPK1MAG UV TWO LANE PACK1911100DS009-6200FROSTY WHITE</v>
      </c>
      <c r="J3680" s="7">
        <f>COUNTIF(Paper_Reference[Duplicate Key],Paper_Reference[[#This Row],[Duplicate Key]])</f>
        <v>1</v>
      </c>
    </row>
    <row r="3681" spans="1:10">
      <c r="A3681" s="7">
        <v>3</v>
      </c>
      <c r="B3681" s="8" t="s">
        <v>6402</v>
      </c>
      <c r="C3681" s="8" t="s">
        <v>5922</v>
      </c>
      <c r="D3681" s="7">
        <v>1</v>
      </c>
      <c r="E3681" s="7">
        <v>91</v>
      </c>
      <c r="F3681" s="7">
        <v>2</v>
      </c>
      <c r="G3681" s="8" t="s">
        <v>6710</v>
      </c>
      <c r="H3681" s="8" t="s">
        <v>5691</v>
      </c>
      <c r="I3681" s="7" t="str">
        <f>_xlfn.CONCAT(Paper_Reference[[#This Row],[Lvl]:[Paper Description]])</f>
        <v>3MAGUVTLPAPPK1MAG UV TWO LANE PACK1912100DS009-5000FROSTY WHITE</v>
      </c>
      <c r="J3681" s="7">
        <f>COUNTIF(Paper_Reference[Duplicate Key],Paper_Reference[[#This Row],[Duplicate Key]])</f>
        <v>1</v>
      </c>
    </row>
    <row r="3682" spans="1:10">
      <c r="A3682" s="7">
        <v>2</v>
      </c>
      <c r="B3682" s="8" t="s">
        <v>5192</v>
      </c>
      <c r="C3682" s="8" t="s">
        <v>4520</v>
      </c>
      <c r="D3682" s="7">
        <v>1</v>
      </c>
      <c r="E3682" s="7">
        <v>10</v>
      </c>
      <c r="F3682" s="7">
        <v>1</v>
      </c>
      <c r="G3682" s="8" t="s">
        <v>4371</v>
      </c>
      <c r="H3682" s="8" t="s">
        <v>4372</v>
      </c>
      <c r="I3682" s="7" t="str">
        <f>_xlfn.CONCAT(Paper_Reference[[#This Row],[Lvl]:[Paper Description]])</f>
        <v>2MB1SE109G5001BLACK M/B 60 X 1201101100DS064-6200BLACK</v>
      </c>
      <c r="J3682" s="7">
        <f>COUNTIF(Paper_Reference[Duplicate Key],Paper_Reference[[#This Row],[Duplicate Key]])</f>
        <v>1</v>
      </c>
    </row>
    <row r="3683" spans="1:10">
      <c r="A3683" s="7">
        <v>2</v>
      </c>
      <c r="B3683" s="8" t="s">
        <v>5194</v>
      </c>
      <c r="C3683" s="8" t="s">
        <v>4521</v>
      </c>
      <c r="D3683" s="7">
        <v>1</v>
      </c>
      <c r="E3683" s="7">
        <v>10</v>
      </c>
      <c r="F3683" s="7">
        <v>1</v>
      </c>
      <c r="G3683" s="8" t="s">
        <v>4371</v>
      </c>
      <c r="H3683" s="8" t="s">
        <v>4372</v>
      </c>
      <c r="I3683" s="7" t="str">
        <f>_xlfn.CONCAT(Paper_Reference[[#This Row],[Lvl]:[Paper Description]])</f>
        <v>2MB1SE109G520BLACK M/B 60 X 1441101100DS064-6200BLACK</v>
      </c>
      <c r="J3683" s="7">
        <f>COUNTIF(Paper_Reference[Duplicate Key],Paper_Reference[[#This Row],[Duplicate Key]])</f>
        <v>1</v>
      </c>
    </row>
    <row r="3684" spans="1:10">
      <c r="A3684" s="7">
        <v>2</v>
      </c>
      <c r="B3684" s="8" t="s">
        <v>5193</v>
      </c>
      <c r="C3684" s="8" t="s">
        <v>4521</v>
      </c>
      <c r="D3684" s="7">
        <v>1</v>
      </c>
      <c r="E3684" s="7">
        <v>10</v>
      </c>
      <c r="F3684" s="7">
        <v>1</v>
      </c>
      <c r="G3684" s="8" t="s">
        <v>4371</v>
      </c>
      <c r="H3684" s="8" t="s">
        <v>4372</v>
      </c>
      <c r="I3684" s="7" t="str">
        <f>_xlfn.CONCAT(Paper_Reference[[#This Row],[Lvl]:[Paper Description]])</f>
        <v>2MB1SE109G5201BLACK M/B 60 X 1441101100DS064-6200BLACK</v>
      </c>
      <c r="J3684" s="7">
        <f>COUNTIF(Paper_Reference[Duplicate Key],Paper_Reference[[#This Row],[Duplicate Key]])</f>
        <v>1</v>
      </c>
    </row>
    <row r="3685" spans="1:10">
      <c r="A3685" s="7">
        <v>2</v>
      </c>
      <c r="B3685" s="8" t="s">
        <v>5195</v>
      </c>
      <c r="C3685" s="8" t="s">
        <v>4520</v>
      </c>
      <c r="D3685" s="7">
        <v>1</v>
      </c>
      <c r="E3685" s="7">
        <v>10</v>
      </c>
      <c r="F3685" s="7">
        <v>1</v>
      </c>
      <c r="G3685" s="8" t="s">
        <v>4371</v>
      </c>
      <c r="H3685" s="8" t="s">
        <v>4372</v>
      </c>
      <c r="I3685" s="7" t="str">
        <f>_xlfn.CONCAT(Paper_Reference[[#This Row],[Lvl]:[Paper Description]])</f>
        <v>2MB1SE109GL5001BLACK M/B 60 X 1201101100DS064-6200BLACK</v>
      </c>
      <c r="J3685" s="7">
        <f>COUNTIF(Paper_Reference[Duplicate Key],Paper_Reference[[#This Row],[Duplicate Key]])</f>
        <v>1</v>
      </c>
    </row>
    <row r="3686" spans="1:10">
      <c r="A3686" s="7">
        <v>2</v>
      </c>
      <c r="B3686" s="8" t="s">
        <v>5196</v>
      </c>
      <c r="C3686" s="8" t="s">
        <v>4521</v>
      </c>
      <c r="D3686" s="7">
        <v>1</v>
      </c>
      <c r="E3686" s="7">
        <v>10</v>
      </c>
      <c r="F3686" s="7">
        <v>1</v>
      </c>
      <c r="G3686" s="8" t="s">
        <v>4371</v>
      </c>
      <c r="H3686" s="8" t="s">
        <v>4372</v>
      </c>
      <c r="I3686" s="7" t="str">
        <f>_xlfn.CONCAT(Paper_Reference[[#This Row],[Lvl]:[Paper Description]])</f>
        <v>2MB1SE109GL5201BLACK M/B 60 X 1441101100DS064-6200BLACK</v>
      </c>
      <c r="J3686" s="7">
        <f>COUNTIF(Paper_Reference[Duplicate Key],Paper_Reference[[#This Row],[Duplicate Key]])</f>
        <v>1</v>
      </c>
    </row>
    <row r="3687" spans="1:10">
      <c r="A3687" s="7">
        <v>3</v>
      </c>
      <c r="B3687" s="8" t="s">
        <v>5197</v>
      </c>
      <c r="C3687" s="8" t="s">
        <v>4522</v>
      </c>
      <c r="D3687" s="7">
        <v>1</v>
      </c>
      <c r="E3687" s="7">
        <v>55</v>
      </c>
      <c r="F3687" s="7">
        <v>0.125</v>
      </c>
      <c r="G3687" s="8" t="s">
        <v>4371</v>
      </c>
      <c r="H3687" s="8" t="s">
        <v>4372</v>
      </c>
      <c r="I3687" s="7" t="str">
        <f>_xlfn.CONCAT(Paper_Reference[[#This Row],[Lvl]:[Paper Description]])</f>
        <v>3MB1SE109GPDM1BLACK M/B 24 X 361550.125100DS064-6200BLACK</v>
      </c>
      <c r="J3687" s="7">
        <f>COUNTIF(Paper_Reference[Duplicate Key],Paper_Reference[[#This Row],[Duplicate Key]])</f>
        <v>1</v>
      </c>
    </row>
    <row r="3688" spans="1:10">
      <c r="A3688" s="7">
        <v>2</v>
      </c>
      <c r="B3688" s="8" t="s">
        <v>8623</v>
      </c>
      <c r="C3688" s="8" t="s">
        <v>8383</v>
      </c>
      <c r="D3688" s="7">
        <v>1</v>
      </c>
      <c r="E3688" s="7">
        <v>10</v>
      </c>
      <c r="F3688" s="7">
        <v>1</v>
      </c>
      <c r="G3688" s="8" t="s">
        <v>8302</v>
      </c>
      <c r="H3688" s="8" t="s">
        <v>8303</v>
      </c>
      <c r="I3688" s="7" t="str">
        <f>_xlfn.CONCAT(Paper_Reference[[#This Row],[Lvl]:[Paper Description]])</f>
        <v>2MB1SW813G5801ICE WHITE M/B 60 X 961101100SW813-6200ICE WHITE</v>
      </c>
      <c r="J3688" s="7">
        <f>COUNTIF(Paper_Reference[Duplicate Key],Paper_Reference[[#This Row],[Duplicate Key]])</f>
        <v>1</v>
      </c>
    </row>
    <row r="3689" spans="1:10">
      <c r="A3689" s="7">
        <v>2</v>
      </c>
      <c r="B3689" s="8" t="s">
        <v>8624</v>
      </c>
      <c r="C3689" s="8" t="s">
        <v>8383</v>
      </c>
      <c r="D3689" s="7">
        <v>1</v>
      </c>
      <c r="E3689" s="7">
        <v>10</v>
      </c>
      <c r="F3689" s="7">
        <v>1</v>
      </c>
      <c r="G3689" s="8" t="s">
        <v>8302</v>
      </c>
      <c r="H3689" s="8" t="s">
        <v>8303</v>
      </c>
      <c r="I3689" s="7" t="str">
        <f>_xlfn.CONCAT(Paper_Reference[[#This Row],[Lvl]:[Paper Description]])</f>
        <v>2MB1SW813GL5801ICE WHITE M/B 60 X 961101100SW813-6200ICE WHITE</v>
      </c>
      <c r="J3689" s="7">
        <f>COUNTIF(Paper_Reference[Duplicate Key],Paper_Reference[[#This Row],[Duplicate Key]])</f>
        <v>1</v>
      </c>
    </row>
    <row r="3690" spans="1:10">
      <c r="A3690" s="7">
        <v>3</v>
      </c>
      <c r="B3690" s="8" t="s">
        <v>6403</v>
      </c>
      <c r="C3690" s="8" t="s">
        <v>5923</v>
      </c>
      <c r="D3690" s="7">
        <v>1</v>
      </c>
      <c r="E3690" s="7">
        <v>55</v>
      </c>
      <c r="F3690" s="7">
        <v>0.25</v>
      </c>
      <c r="G3690" s="8" t="s">
        <v>5690</v>
      </c>
      <c r="H3690" s="8" t="s">
        <v>5691</v>
      </c>
      <c r="I3690" s="7" t="str">
        <f>_xlfn.CONCAT(Paper_Reference[[#This Row],[Lvl]:[Paper Description]])</f>
        <v>3MB1SW844G0501FROSTY WHITE 30 X 601550.25100DS009-6200FROSTY WHITE</v>
      </c>
      <c r="J3690" s="7">
        <f>COUNTIF(Paper_Reference[Duplicate Key],Paper_Reference[[#This Row],[Duplicate Key]])</f>
        <v>1</v>
      </c>
    </row>
    <row r="3691" spans="1:10">
      <c r="A3691" s="7">
        <v>3</v>
      </c>
      <c r="B3691" s="8" t="s">
        <v>6404</v>
      </c>
      <c r="C3691" s="8" t="s">
        <v>5924</v>
      </c>
      <c r="D3691" s="7">
        <v>1</v>
      </c>
      <c r="E3691" s="7">
        <v>55</v>
      </c>
      <c r="F3691" s="7">
        <v>0.25</v>
      </c>
      <c r="G3691" s="8" t="s">
        <v>5690</v>
      </c>
      <c r="H3691" s="8" t="s">
        <v>5691</v>
      </c>
      <c r="I3691" s="7" t="str">
        <f>_xlfn.CONCAT(Paper_Reference[[#This Row],[Lvl]:[Paper Description]])</f>
        <v>3MB1SW844G0601FROSTY WHITE 30 X 721550.25100DS009-6200FROSTY WHITE</v>
      </c>
      <c r="J3691" s="7">
        <f>COUNTIF(Paper_Reference[Duplicate Key],Paper_Reference[[#This Row],[Duplicate Key]])</f>
        <v>1</v>
      </c>
    </row>
    <row r="3692" spans="1:10">
      <c r="A3692" s="7">
        <v>2</v>
      </c>
      <c r="B3692" s="8" t="s">
        <v>7882</v>
      </c>
      <c r="C3692" s="8" t="s">
        <v>7081</v>
      </c>
      <c r="D3692" s="7">
        <v>1</v>
      </c>
      <c r="E3692" s="7">
        <v>10</v>
      </c>
      <c r="F3692" s="7">
        <v>1</v>
      </c>
      <c r="G3692" s="8" t="s">
        <v>6710</v>
      </c>
      <c r="H3692" s="8" t="s">
        <v>5691</v>
      </c>
      <c r="I3692" s="7" t="str">
        <f>_xlfn.CONCAT(Paper_Reference[[#This Row],[Lvl]:[Paper Description]])</f>
        <v>2MB1SW844G3001FROSTY WHITE M/B 36 X 1201101100DS009-5000FROSTY WHITE</v>
      </c>
      <c r="J3692" s="7">
        <f>COUNTIF(Paper_Reference[Duplicate Key],Paper_Reference[[#This Row],[Duplicate Key]])</f>
        <v>1</v>
      </c>
    </row>
    <row r="3693" spans="1:10">
      <c r="A3693" s="7">
        <v>2</v>
      </c>
      <c r="B3693" s="8" t="s">
        <v>7883</v>
      </c>
      <c r="C3693" s="8" t="s">
        <v>5931</v>
      </c>
      <c r="D3693" s="7">
        <v>1</v>
      </c>
      <c r="E3693" s="7">
        <v>10</v>
      </c>
      <c r="F3693" s="7">
        <v>1</v>
      </c>
      <c r="G3693" s="8" t="s">
        <v>6710</v>
      </c>
      <c r="H3693" s="8" t="s">
        <v>5691</v>
      </c>
      <c r="I3693" s="7" t="str">
        <f>_xlfn.CONCAT(Paper_Reference[[#This Row],[Lvl]:[Paper Description]])</f>
        <v>2MB1SW844G3201FROSTY WHITE M/B 36 X 1441101100DS009-5000FROSTY WHITE</v>
      </c>
      <c r="J3693" s="7">
        <f>COUNTIF(Paper_Reference[Duplicate Key],Paper_Reference[[#This Row],[Duplicate Key]])</f>
        <v>1</v>
      </c>
    </row>
    <row r="3694" spans="1:10">
      <c r="A3694" s="7">
        <v>2</v>
      </c>
      <c r="B3694" s="8" t="s">
        <v>7884</v>
      </c>
      <c r="C3694" s="8" t="s">
        <v>7082</v>
      </c>
      <c r="D3694" s="7">
        <v>1</v>
      </c>
      <c r="E3694" s="7">
        <v>10</v>
      </c>
      <c r="F3694" s="7">
        <v>1</v>
      </c>
      <c r="G3694" s="8" t="s">
        <v>6710</v>
      </c>
      <c r="H3694" s="8" t="s">
        <v>5691</v>
      </c>
      <c r="I3694" s="7" t="str">
        <f>_xlfn.CONCAT(Paper_Reference[[#This Row],[Lvl]:[Paper Description]])</f>
        <v>2MB1SW844G3801FROSTY WHITE M/B 36 X 961101100DS009-5000FROSTY WHITE</v>
      </c>
      <c r="J3694" s="7">
        <f>COUNTIF(Paper_Reference[Duplicate Key],Paper_Reference[[#This Row],[Duplicate Key]])</f>
        <v>1</v>
      </c>
    </row>
    <row r="3695" spans="1:10">
      <c r="A3695" s="7">
        <v>2</v>
      </c>
      <c r="B3695" s="8" t="s">
        <v>7886</v>
      </c>
      <c r="C3695" s="8" t="s">
        <v>7083</v>
      </c>
      <c r="D3695" s="7">
        <v>1</v>
      </c>
      <c r="E3695" s="7">
        <v>10</v>
      </c>
      <c r="F3695" s="7">
        <v>1</v>
      </c>
      <c r="G3695" s="8" t="s">
        <v>6710</v>
      </c>
      <c r="H3695" s="8" t="s">
        <v>5691</v>
      </c>
      <c r="I3695" s="7" t="str">
        <f>_xlfn.CONCAT(Paper_Reference[[#This Row],[Lvl]:[Paper Description]])</f>
        <v>2MB1SW844G400FROSTY WHITE M/B 48 X 1201101100DS009-5000FROSTY WHITE</v>
      </c>
      <c r="J3695" s="7">
        <f>COUNTIF(Paper_Reference[Duplicate Key],Paper_Reference[[#This Row],[Duplicate Key]])</f>
        <v>1</v>
      </c>
    </row>
    <row r="3696" spans="1:10">
      <c r="A3696" s="7">
        <v>2</v>
      </c>
      <c r="B3696" s="8" t="s">
        <v>7885</v>
      </c>
      <c r="C3696" s="8" t="s">
        <v>7083</v>
      </c>
      <c r="D3696" s="7">
        <v>1</v>
      </c>
      <c r="E3696" s="7">
        <v>10</v>
      </c>
      <c r="F3696" s="7">
        <v>1</v>
      </c>
      <c r="G3696" s="8" t="s">
        <v>6710</v>
      </c>
      <c r="H3696" s="8" t="s">
        <v>5691</v>
      </c>
      <c r="I3696" s="7" t="str">
        <f>_xlfn.CONCAT(Paper_Reference[[#This Row],[Lvl]:[Paper Description]])</f>
        <v>2MB1SW844G4001FROSTY WHITE M/B 48 X 1201101100DS009-5000FROSTY WHITE</v>
      </c>
      <c r="J3696" s="7">
        <f>COUNTIF(Paper_Reference[Duplicate Key],Paper_Reference[[#This Row],[Duplicate Key]])</f>
        <v>1</v>
      </c>
    </row>
    <row r="3697" spans="1:10">
      <c r="A3697" s="7">
        <v>2</v>
      </c>
      <c r="B3697" s="8" t="s">
        <v>6406</v>
      </c>
      <c r="C3697" s="8" t="s">
        <v>5925</v>
      </c>
      <c r="D3697" s="7">
        <v>1</v>
      </c>
      <c r="E3697" s="7">
        <v>10</v>
      </c>
      <c r="F3697" s="7">
        <v>1</v>
      </c>
      <c r="G3697" s="8" t="s">
        <v>5690</v>
      </c>
      <c r="H3697" s="8" t="s">
        <v>5691</v>
      </c>
      <c r="I3697" s="7" t="str">
        <f>_xlfn.CONCAT(Paper_Reference[[#This Row],[Lvl]:[Paper Description]])</f>
        <v>2MB1SW844G420FROSTY WHITE M/B 48 X 1441101100DS009-6200FROSTY WHITE</v>
      </c>
      <c r="J3697" s="7">
        <f>COUNTIF(Paper_Reference[Duplicate Key],Paper_Reference[[#This Row],[Duplicate Key]])</f>
        <v>1</v>
      </c>
    </row>
    <row r="3698" spans="1:10">
      <c r="A3698" s="7">
        <v>2</v>
      </c>
      <c r="B3698" s="8" t="s">
        <v>6405</v>
      </c>
      <c r="C3698" s="8" t="s">
        <v>5925</v>
      </c>
      <c r="D3698" s="7">
        <v>1</v>
      </c>
      <c r="E3698" s="7">
        <v>10</v>
      </c>
      <c r="F3698" s="7">
        <v>1</v>
      </c>
      <c r="G3698" s="8" t="s">
        <v>5690</v>
      </c>
      <c r="H3698" s="8" t="s">
        <v>5691</v>
      </c>
      <c r="I3698" s="7" t="str">
        <f>_xlfn.CONCAT(Paper_Reference[[#This Row],[Lvl]:[Paper Description]])</f>
        <v>2MB1SW844G4201FROSTY WHITE M/B 48 X 1441101100DS009-6200FROSTY WHITE</v>
      </c>
      <c r="J3698" s="7">
        <f>COUNTIF(Paper_Reference[Duplicate Key],Paper_Reference[[#This Row],[Duplicate Key]])</f>
        <v>1</v>
      </c>
    </row>
    <row r="3699" spans="1:10">
      <c r="A3699" s="7">
        <v>2</v>
      </c>
      <c r="B3699" s="8" t="s">
        <v>7888</v>
      </c>
      <c r="C3699" s="8" t="s">
        <v>7084</v>
      </c>
      <c r="D3699" s="7">
        <v>1</v>
      </c>
      <c r="E3699" s="7">
        <v>10</v>
      </c>
      <c r="F3699" s="7">
        <v>1</v>
      </c>
      <c r="G3699" s="8" t="s">
        <v>6710</v>
      </c>
      <c r="H3699" s="8" t="s">
        <v>5691</v>
      </c>
      <c r="I3699" s="7" t="str">
        <f>_xlfn.CONCAT(Paper_Reference[[#This Row],[Lvl]:[Paper Description]])</f>
        <v>2MB1SW844G480FROSTY WHITE M/B 48 X 961101100DS009-5000FROSTY WHITE</v>
      </c>
      <c r="J3699" s="7">
        <f>COUNTIF(Paper_Reference[Duplicate Key],Paper_Reference[[#This Row],[Duplicate Key]])</f>
        <v>1</v>
      </c>
    </row>
    <row r="3700" spans="1:10">
      <c r="A3700" s="7">
        <v>2</v>
      </c>
      <c r="B3700" s="8" t="s">
        <v>7887</v>
      </c>
      <c r="C3700" s="8" t="s">
        <v>7084</v>
      </c>
      <c r="D3700" s="7">
        <v>1</v>
      </c>
      <c r="E3700" s="7">
        <v>10</v>
      </c>
      <c r="F3700" s="7">
        <v>1</v>
      </c>
      <c r="G3700" s="8" t="s">
        <v>6710</v>
      </c>
      <c r="H3700" s="8" t="s">
        <v>5691</v>
      </c>
      <c r="I3700" s="7" t="str">
        <f>_xlfn.CONCAT(Paper_Reference[[#This Row],[Lvl]:[Paper Description]])</f>
        <v>2MB1SW844G4801FROSTY WHITE M/B 48 X 961101100DS009-5000FROSTY WHITE</v>
      </c>
      <c r="J3700" s="7">
        <f>COUNTIF(Paper_Reference[Duplicate Key],Paper_Reference[[#This Row],[Duplicate Key]])</f>
        <v>1</v>
      </c>
    </row>
    <row r="3701" spans="1:10">
      <c r="A3701" s="7">
        <v>2</v>
      </c>
      <c r="B3701" s="8" t="s">
        <v>6407</v>
      </c>
      <c r="C3701" s="8" t="s">
        <v>5926</v>
      </c>
      <c r="D3701" s="7">
        <v>1</v>
      </c>
      <c r="E3701" s="7">
        <v>10</v>
      </c>
      <c r="F3701" s="7">
        <v>1</v>
      </c>
      <c r="G3701" s="8" t="s">
        <v>5690</v>
      </c>
      <c r="H3701" s="8" t="s">
        <v>5691</v>
      </c>
      <c r="I3701" s="7" t="str">
        <f>_xlfn.CONCAT(Paper_Reference[[#This Row],[Lvl]:[Paper Description]])</f>
        <v>2MB1SW844G500FROSTY WHITE M/B 60 X 1201101100DS009-6200FROSTY WHITE</v>
      </c>
      <c r="J3701" s="7">
        <f>COUNTIF(Paper_Reference[Duplicate Key],Paper_Reference[[#This Row],[Duplicate Key]])</f>
        <v>1</v>
      </c>
    </row>
    <row r="3702" spans="1:10">
      <c r="A3702" s="7">
        <v>2</v>
      </c>
      <c r="B3702" s="8" t="s">
        <v>6408</v>
      </c>
      <c r="C3702" s="8" t="s">
        <v>5927</v>
      </c>
      <c r="D3702" s="7">
        <v>1</v>
      </c>
      <c r="E3702" s="7">
        <v>10</v>
      </c>
      <c r="F3702" s="7">
        <v>1</v>
      </c>
      <c r="G3702" s="8" t="s">
        <v>5690</v>
      </c>
      <c r="H3702" s="8" t="s">
        <v>5691</v>
      </c>
      <c r="I3702" s="7" t="str">
        <f>_xlfn.CONCAT(Paper_Reference[[#This Row],[Lvl]:[Paper Description]])</f>
        <v>2MB1SW844G520FROSTY WHITE M/B 60 X 1441101100DS009-6200FROSTY WHITE</v>
      </c>
      <c r="J3702" s="7">
        <f>COUNTIF(Paper_Reference[Duplicate Key],Paper_Reference[[#This Row],[Duplicate Key]])</f>
        <v>1</v>
      </c>
    </row>
    <row r="3703" spans="1:10">
      <c r="A3703" s="7">
        <v>2</v>
      </c>
      <c r="B3703" s="8" t="s">
        <v>6409</v>
      </c>
      <c r="C3703" s="8" t="s">
        <v>5928</v>
      </c>
      <c r="D3703" s="7">
        <v>1</v>
      </c>
      <c r="E3703" s="7">
        <v>10</v>
      </c>
      <c r="F3703" s="7">
        <v>0.5</v>
      </c>
      <c r="G3703" s="8" t="s">
        <v>5690</v>
      </c>
      <c r="H3703" s="8" t="s">
        <v>5691</v>
      </c>
      <c r="I3703" s="7" t="str">
        <f>_xlfn.CONCAT(Paper_Reference[[#This Row],[Lvl]:[Paper Description]])</f>
        <v>2MB1SW844G5601FROSTY WHITE M/B 60 X 721100.5100DS009-6200FROSTY WHITE</v>
      </c>
      <c r="J3703" s="7">
        <f>COUNTIF(Paper_Reference[Duplicate Key],Paper_Reference[[#This Row],[Duplicate Key]])</f>
        <v>1</v>
      </c>
    </row>
    <row r="3704" spans="1:10">
      <c r="A3704" s="7">
        <v>2</v>
      </c>
      <c r="B3704" s="8" t="s">
        <v>6411</v>
      </c>
      <c r="C3704" s="8" t="s">
        <v>5929</v>
      </c>
      <c r="D3704" s="7">
        <v>1</v>
      </c>
      <c r="E3704" s="7">
        <v>10</v>
      </c>
      <c r="F3704" s="7">
        <v>1</v>
      </c>
      <c r="G3704" s="8" t="s">
        <v>5690</v>
      </c>
      <c r="H3704" s="8" t="s">
        <v>5691</v>
      </c>
      <c r="I3704" s="7" t="str">
        <f>_xlfn.CONCAT(Paper_Reference[[#This Row],[Lvl]:[Paper Description]])</f>
        <v>2MB1SW844G580FROSTY WHITE M/B 60 X 961101100DS009-6200FROSTY WHITE</v>
      </c>
      <c r="J3704" s="7">
        <f>COUNTIF(Paper_Reference[Duplicate Key],Paper_Reference[[#This Row],[Duplicate Key]])</f>
        <v>1</v>
      </c>
    </row>
    <row r="3705" spans="1:10">
      <c r="A3705" s="7">
        <v>2</v>
      </c>
      <c r="B3705" s="8" t="s">
        <v>6410</v>
      </c>
      <c r="C3705" s="8" t="s">
        <v>5929</v>
      </c>
      <c r="D3705" s="7">
        <v>1</v>
      </c>
      <c r="E3705" s="7">
        <v>10</v>
      </c>
      <c r="F3705" s="7">
        <v>1</v>
      </c>
      <c r="G3705" s="8" t="s">
        <v>5690</v>
      </c>
      <c r="H3705" s="8" t="s">
        <v>5691</v>
      </c>
      <c r="I3705" s="7" t="str">
        <f>_xlfn.CONCAT(Paper_Reference[[#This Row],[Lvl]:[Paper Description]])</f>
        <v>2MB1SW844G5801FROSTY WHITE M/B 60 X 961101100DS009-6200FROSTY WHITE</v>
      </c>
      <c r="J3705" s="7">
        <f>COUNTIF(Paper_Reference[Duplicate Key],Paper_Reference[[#This Row],[Duplicate Key]])</f>
        <v>1</v>
      </c>
    </row>
    <row r="3706" spans="1:10">
      <c r="A3706" s="7">
        <v>2</v>
      </c>
      <c r="B3706" s="8" t="s">
        <v>6412</v>
      </c>
      <c r="C3706" s="8" t="s">
        <v>5930</v>
      </c>
      <c r="D3706" s="7">
        <v>1</v>
      </c>
      <c r="E3706" s="7">
        <v>10</v>
      </c>
      <c r="F3706" s="7">
        <v>1</v>
      </c>
      <c r="G3706" s="8" t="s">
        <v>5690</v>
      </c>
      <c r="H3706" s="8" t="s">
        <v>5691</v>
      </c>
      <c r="I3706" s="7" t="str">
        <f>_xlfn.CONCAT(Paper_Reference[[#This Row],[Lvl]:[Paper Description]])</f>
        <v>2MB1SW844G5901FROSTY WHITE M/B 60 X 1081101100DS009-6200FROSTY WHITE</v>
      </c>
      <c r="J3706" s="7">
        <f>COUNTIF(Paper_Reference[Duplicate Key],Paper_Reference[[#This Row],[Duplicate Key]])</f>
        <v>1</v>
      </c>
    </row>
    <row r="3707" spans="1:10">
      <c r="A3707" s="7">
        <v>3</v>
      </c>
      <c r="B3707" s="8" t="s">
        <v>6413</v>
      </c>
      <c r="C3707" s="8" t="s">
        <v>5923</v>
      </c>
      <c r="D3707" s="7">
        <v>1</v>
      </c>
      <c r="E3707" s="7">
        <v>55</v>
      </c>
      <c r="F3707" s="7">
        <v>0.25</v>
      </c>
      <c r="G3707" s="8" t="s">
        <v>5690</v>
      </c>
      <c r="H3707" s="8" t="s">
        <v>5691</v>
      </c>
      <c r="I3707" s="7" t="str">
        <f>_xlfn.CONCAT(Paper_Reference[[#This Row],[Lvl]:[Paper Description]])</f>
        <v>3MB1SW844GL0501FROSTY WHITE 30 X 601550.25100DS009-6200FROSTY WHITE</v>
      </c>
      <c r="J3707" s="7">
        <f>COUNTIF(Paper_Reference[Duplicate Key],Paper_Reference[[#This Row],[Duplicate Key]])</f>
        <v>1</v>
      </c>
    </row>
    <row r="3708" spans="1:10">
      <c r="A3708" s="7">
        <v>3</v>
      </c>
      <c r="B3708" s="8" t="s">
        <v>6414</v>
      </c>
      <c r="C3708" s="8" t="s">
        <v>5924</v>
      </c>
      <c r="D3708" s="7">
        <v>1</v>
      </c>
      <c r="E3708" s="7">
        <v>55</v>
      </c>
      <c r="F3708" s="7">
        <v>0.25</v>
      </c>
      <c r="G3708" s="8" t="s">
        <v>5690</v>
      </c>
      <c r="H3708" s="8" t="s">
        <v>5691</v>
      </c>
      <c r="I3708" s="7" t="str">
        <f>_xlfn.CONCAT(Paper_Reference[[#This Row],[Lvl]:[Paper Description]])</f>
        <v>3MB1SW844GL0601FROSTY WHITE 30 X 721550.25100DS009-6200FROSTY WHITE</v>
      </c>
      <c r="J3708" s="7">
        <f>COUNTIF(Paper_Reference[Duplicate Key],Paper_Reference[[#This Row],[Duplicate Key]])</f>
        <v>1</v>
      </c>
    </row>
    <row r="3709" spans="1:10">
      <c r="A3709" s="7">
        <v>2</v>
      </c>
      <c r="B3709" s="8" t="s">
        <v>7889</v>
      </c>
      <c r="C3709" s="8" t="s">
        <v>7081</v>
      </c>
      <c r="D3709" s="7">
        <v>1</v>
      </c>
      <c r="E3709" s="7">
        <v>10</v>
      </c>
      <c r="F3709" s="7">
        <v>1</v>
      </c>
      <c r="G3709" s="8" t="s">
        <v>6710</v>
      </c>
      <c r="H3709" s="8" t="s">
        <v>5691</v>
      </c>
      <c r="I3709" s="7" t="str">
        <f>_xlfn.CONCAT(Paper_Reference[[#This Row],[Lvl]:[Paper Description]])</f>
        <v>2MB1SW844GL3001FROSTY WHITE M/B 36 X 1201101100DS009-5000FROSTY WHITE</v>
      </c>
      <c r="J3709" s="7">
        <f>COUNTIF(Paper_Reference[Duplicate Key],Paper_Reference[[#This Row],[Duplicate Key]])</f>
        <v>1</v>
      </c>
    </row>
    <row r="3710" spans="1:10">
      <c r="A3710" s="7">
        <v>2</v>
      </c>
      <c r="B3710" s="8" t="s">
        <v>6415</v>
      </c>
      <c r="C3710" s="8" t="s">
        <v>5931</v>
      </c>
      <c r="D3710" s="7">
        <v>1</v>
      </c>
      <c r="E3710" s="7">
        <v>10</v>
      </c>
      <c r="F3710" s="7">
        <v>1</v>
      </c>
      <c r="G3710" s="8" t="s">
        <v>5690</v>
      </c>
      <c r="H3710" s="8" t="s">
        <v>5691</v>
      </c>
      <c r="I3710" s="7" t="str">
        <f>_xlfn.CONCAT(Paper_Reference[[#This Row],[Lvl]:[Paper Description]])</f>
        <v>2MB1SW844GL3201FROSTY WHITE M/B 36 X 1441101100DS009-6200FROSTY WHITE</v>
      </c>
      <c r="J3710" s="7">
        <f>COUNTIF(Paper_Reference[Duplicate Key],Paper_Reference[[#This Row],[Duplicate Key]])</f>
        <v>1</v>
      </c>
    </row>
    <row r="3711" spans="1:10">
      <c r="A3711" s="7">
        <v>2</v>
      </c>
      <c r="B3711" s="8" t="s">
        <v>7890</v>
      </c>
      <c r="C3711" s="8" t="s">
        <v>7082</v>
      </c>
      <c r="D3711" s="7">
        <v>1</v>
      </c>
      <c r="E3711" s="7">
        <v>10</v>
      </c>
      <c r="F3711" s="7">
        <v>1</v>
      </c>
      <c r="G3711" s="8" t="s">
        <v>6710</v>
      </c>
      <c r="H3711" s="8" t="s">
        <v>5691</v>
      </c>
      <c r="I3711" s="7" t="str">
        <f>_xlfn.CONCAT(Paper_Reference[[#This Row],[Lvl]:[Paper Description]])</f>
        <v>2MB1SW844GL3801FROSTY WHITE M/B 36 X 961101100DS009-5000FROSTY WHITE</v>
      </c>
      <c r="J3711" s="7">
        <f>COUNTIF(Paper_Reference[Duplicate Key],Paper_Reference[[#This Row],[Duplicate Key]])</f>
        <v>1</v>
      </c>
    </row>
    <row r="3712" spans="1:10">
      <c r="A3712" s="7">
        <v>2</v>
      </c>
      <c r="B3712" s="8" t="s">
        <v>7891</v>
      </c>
      <c r="C3712" s="8" t="s">
        <v>7083</v>
      </c>
      <c r="D3712" s="7">
        <v>1</v>
      </c>
      <c r="E3712" s="7">
        <v>10</v>
      </c>
      <c r="F3712" s="7">
        <v>1</v>
      </c>
      <c r="G3712" s="8" t="s">
        <v>6710</v>
      </c>
      <c r="H3712" s="8" t="s">
        <v>5691</v>
      </c>
      <c r="I3712" s="7" t="str">
        <f>_xlfn.CONCAT(Paper_Reference[[#This Row],[Lvl]:[Paper Description]])</f>
        <v>2MB1SW844GL4001FROSTY WHITE M/B 48 X 1201101100DS009-5000FROSTY WHITE</v>
      </c>
      <c r="J3712" s="7">
        <f>COUNTIF(Paper_Reference[Duplicate Key],Paper_Reference[[#This Row],[Duplicate Key]])</f>
        <v>1</v>
      </c>
    </row>
    <row r="3713" spans="1:10">
      <c r="A3713" s="7">
        <v>2</v>
      </c>
      <c r="B3713" s="8" t="s">
        <v>6416</v>
      </c>
      <c r="C3713" s="8" t="s">
        <v>5925</v>
      </c>
      <c r="D3713" s="7">
        <v>1</v>
      </c>
      <c r="E3713" s="7">
        <v>10</v>
      </c>
      <c r="F3713" s="7">
        <v>1</v>
      </c>
      <c r="G3713" s="8" t="s">
        <v>5690</v>
      </c>
      <c r="H3713" s="8" t="s">
        <v>5691</v>
      </c>
      <c r="I3713" s="7" t="str">
        <f>_xlfn.CONCAT(Paper_Reference[[#This Row],[Lvl]:[Paper Description]])</f>
        <v>2MB1SW844GL4201FROSTY WHITE M/B 48 X 1441101100DS009-6200FROSTY WHITE</v>
      </c>
      <c r="J3713" s="7">
        <f>COUNTIF(Paper_Reference[Duplicate Key],Paper_Reference[[#This Row],[Duplicate Key]])</f>
        <v>1</v>
      </c>
    </row>
    <row r="3714" spans="1:10">
      <c r="A3714" s="7">
        <v>2</v>
      </c>
      <c r="B3714" s="8" t="s">
        <v>7893</v>
      </c>
      <c r="C3714" s="8" t="s">
        <v>7084</v>
      </c>
      <c r="D3714" s="7">
        <v>1</v>
      </c>
      <c r="E3714" s="7">
        <v>10</v>
      </c>
      <c r="F3714" s="7">
        <v>1</v>
      </c>
      <c r="G3714" s="8" t="s">
        <v>6710</v>
      </c>
      <c r="H3714" s="8" t="s">
        <v>5691</v>
      </c>
      <c r="I3714" s="7" t="str">
        <f>_xlfn.CONCAT(Paper_Reference[[#This Row],[Lvl]:[Paper Description]])</f>
        <v>2MB1SW844GL480FROSTY WHITE M/B 48 X 961101100DS009-5000FROSTY WHITE</v>
      </c>
      <c r="J3714" s="7">
        <f>COUNTIF(Paper_Reference[Duplicate Key],Paper_Reference[[#This Row],[Duplicate Key]])</f>
        <v>1</v>
      </c>
    </row>
    <row r="3715" spans="1:10">
      <c r="A3715" s="7">
        <v>2</v>
      </c>
      <c r="B3715" s="8" t="s">
        <v>7892</v>
      </c>
      <c r="C3715" s="8" t="s">
        <v>7084</v>
      </c>
      <c r="D3715" s="7">
        <v>1</v>
      </c>
      <c r="E3715" s="7">
        <v>10</v>
      </c>
      <c r="F3715" s="7">
        <v>1</v>
      </c>
      <c r="G3715" s="8" t="s">
        <v>6710</v>
      </c>
      <c r="H3715" s="8" t="s">
        <v>5691</v>
      </c>
      <c r="I3715" s="7" t="str">
        <f>_xlfn.CONCAT(Paper_Reference[[#This Row],[Lvl]:[Paper Description]])</f>
        <v>2MB1SW844GL4801FROSTY WHITE M/B 48 X 961101100DS009-5000FROSTY WHITE</v>
      </c>
      <c r="J3715" s="7">
        <f>COUNTIF(Paper_Reference[Duplicate Key],Paper_Reference[[#This Row],[Duplicate Key]])</f>
        <v>1</v>
      </c>
    </row>
    <row r="3716" spans="1:10">
      <c r="A3716" s="7">
        <v>2</v>
      </c>
      <c r="B3716" s="8" t="s">
        <v>6417</v>
      </c>
      <c r="C3716" s="8" t="s">
        <v>5926</v>
      </c>
      <c r="D3716" s="7">
        <v>1</v>
      </c>
      <c r="E3716" s="7">
        <v>10</v>
      </c>
      <c r="F3716" s="7">
        <v>1</v>
      </c>
      <c r="G3716" s="8" t="s">
        <v>5690</v>
      </c>
      <c r="H3716" s="8" t="s">
        <v>5691</v>
      </c>
      <c r="I3716" s="7" t="str">
        <f>_xlfn.CONCAT(Paper_Reference[[#This Row],[Lvl]:[Paper Description]])</f>
        <v>2MB1SW844GL500FROSTY WHITE M/B 60 X 1201101100DS009-6200FROSTY WHITE</v>
      </c>
      <c r="J3716" s="7">
        <f>COUNTIF(Paper_Reference[Duplicate Key],Paper_Reference[[#This Row],[Duplicate Key]])</f>
        <v>1</v>
      </c>
    </row>
    <row r="3717" spans="1:10">
      <c r="A3717" s="7">
        <v>2</v>
      </c>
      <c r="B3717" s="8" t="s">
        <v>6418</v>
      </c>
      <c r="C3717" s="8" t="s">
        <v>5927</v>
      </c>
      <c r="D3717" s="7">
        <v>1</v>
      </c>
      <c r="E3717" s="7">
        <v>10</v>
      </c>
      <c r="F3717" s="7">
        <v>1</v>
      </c>
      <c r="G3717" s="8" t="s">
        <v>5690</v>
      </c>
      <c r="H3717" s="8" t="s">
        <v>5691</v>
      </c>
      <c r="I3717" s="7" t="str">
        <f>_xlfn.CONCAT(Paper_Reference[[#This Row],[Lvl]:[Paper Description]])</f>
        <v>2MB1SW844GL520FROSTY WHITE M/B 60 X 1441101100DS009-6200FROSTY WHITE</v>
      </c>
      <c r="J3717" s="7">
        <f>COUNTIF(Paper_Reference[Duplicate Key],Paper_Reference[[#This Row],[Duplicate Key]])</f>
        <v>1</v>
      </c>
    </row>
    <row r="3718" spans="1:10">
      <c r="A3718" s="7">
        <v>2</v>
      </c>
      <c r="B3718" s="8" t="s">
        <v>6419</v>
      </c>
      <c r="C3718" s="8" t="s">
        <v>5928</v>
      </c>
      <c r="D3718" s="7">
        <v>1</v>
      </c>
      <c r="E3718" s="7">
        <v>10</v>
      </c>
      <c r="F3718" s="7">
        <v>0.5</v>
      </c>
      <c r="G3718" s="8" t="s">
        <v>5690</v>
      </c>
      <c r="H3718" s="8" t="s">
        <v>5691</v>
      </c>
      <c r="I3718" s="7" t="str">
        <f>_xlfn.CONCAT(Paper_Reference[[#This Row],[Lvl]:[Paper Description]])</f>
        <v>2MB1SW844GL5601FROSTY WHITE M/B 60 X 721100.5100DS009-6200FROSTY WHITE</v>
      </c>
      <c r="J3718" s="7">
        <f>COUNTIF(Paper_Reference[Duplicate Key],Paper_Reference[[#This Row],[Duplicate Key]])</f>
        <v>1</v>
      </c>
    </row>
    <row r="3719" spans="1:10">
      <c r="A3719" s="7">
        <v>2</v>
      </c>
      <c r="B3719" s="8" t="s">
        <v>6420</v>
      </c>
      <c r="C3719" s="8" t="s">
        <v>5929</v>
      </c>
      <c r="D3719" s="7">
        <v>1</v>
      </c>
      <c r="E3719" s="7">
        <v>10</v>
      </c>
      <c r="F3719" s="7">
        <v>1</v>
      </c>
      <c r="G3719" s="8" t="s">
        <v>5690</v>
      </c>
      <c r="H3719" s="8" t="s">
        <v>5691</v>
      </c>
      <c r="I3719" s="7" t="str">
        <f>_xlfn.CONCAT(Paper_Reference[[#This Row],[Lvl]:[Paper Description]])</f>
        <v>2MB1SW844GL5801FROSTY WHITE M/B 60 X 961101100DS009-6200FROSTY WHITE</v>
      </c>
      <c r="J3719" s="7">
        <f>COUNTIF(Paper_Reference[Duplicate Key],Paper_Reference[[#This Row],[Duplicate Key]])</f>
        <v>1</v>
      </c>
    </row>
    <row r="3720" spans="1:10">
      <c r="A3720" s="7">
        <v>3</v>
      </c>
      <c r="B3720" s="8" t="s">
        <v>6421</v>
      </c>
      <c r="C3720" s="8" t="s">
        <v>5932</v>
      </c>
      <c r="D3720" s="7">
        <v>1</v>
      </c>
      <c r="E3720" s="7">
        <v>55</v>
      </c>
      <c r="F3720" s="7">
        <v>0.25</v>
      </c>
      <c r="G3720" s="8" t="s">
        <v>5690</v>
      </c>
      <c r="H3720" s="8" t="s">
        <v>5691</v>
      </c>
      <c r="I3720" s="7" t="str">
        <f>_xlfn.CONCAT(Paper_Reference[[#This Row],[Lvl]:[Paper Description]])</f>
        <v>3MB1SW844GLBPR1FROSTY WHITE M/B 30 1/2 X 60 11550.25100DS009-6200FROSTY WHITE</v>
      </c>
      <c r="J3720" s="7">
        <f>COUNTIF(Paper_Reference[Duplicate Key],Paper_Reference[[#This Row],[Duplicate Key]])</f>
        <v>1</v>
      </c>
    </row>
    <row r="3721" spans="1:10">
      <c r="A3721" s="7">
        <v>2</v>
      </c>
      <c r="B3721" s="8" t="s">
        <v>6422</v>
      </c>
      <c r="C3721" s="8" t="s">
        <v>5933</v>
      </c>
      <c r="D3721" s="7">
        <v>1</v>
      </c>
      <c r="E3721" s="7">
        <v>10</v>
      </c>
      <c r="F3721" s="7">
        <v>0.5</v>
      </c>
      <c r="G3721" s="8" t="s">
        <v>5690</v>
      </c>
      <c r="H3721" s="8" t="s">
        <v>5691</v>
      </c>
      <c r="I3721" s="7" t="str">
        <f>_xlfn.CONCAT(Paper_Reference[[#This Row],[Lvl]:[Paper Description]])</f>
        <v>2MB1SW844GLBWX1FROSTY WHITE 36 1/2 X 72 1/21100.5100DS009-6200FROSTY WHITE</v>
      </c>
      <c r="J3721" s="7">
        <f>COUNTIF(Paper_Reference[Duplicate Key],Paper_Reference[[#This Row],[Duplicate Key]])</f>
        <v>1</v>
      </c>
    </row>
    <row r="3722" spans="1:10">
      <c r="A3722" s="7">
        <v>2</v>
      </c>
      <c r="B3722" s="8" t="s">
        <v>6423</v>
      </c>
      <c r="C3722" s="8" t="s">
        <v>5934</v>
      </c>
      <c r="D3722" s="7">
        <v>1</v>
      </c>
      <c r="E3722" s="7">
        <v>10</v>
      </c>
      <c r="F3722" s="7">
        <v>1</v>
      </c>
      <c r="G3722" s="8" t="s">
        <v>5690</v>
      </c>
      <c r="H3722" s="8" t="s">
        <v>5691</v>
      </c>
      <c r="I3722" s="7" t="str">
        <f>_xlfn.CONCAT(Paper_Reference[[#This Row],[Lvl]:[Paper Description]])</f>
        <v>2MB1SW844GLCIG1FROSTY WHITE M/B 49 X 971101100DS009-6200FROSTY WHITE</v>
      </c>
      <c r="J3722" s="7">
        <f>COUNTIF(Paper_Reference[Duplicate Key],Paper_Reference[[#This Row],[Duplicate Key]])</f>
        <v>1</v>
      </c>
    </row>
    <row r="3723" spans="1:10">
      <c r="A3723" s="7">
        <v>2</v>
      </c>
      <c r="B3723" s="8" t="s">
        <v>6424</v>
      </c>
      <c r="C3723" s="8" t="s">
        <v>5935</v>
      </c>
      <c r="D3723" s="7">
        <v>1</v>
      </c>
      <c r="E3723" s="7">
        <v>10</v>
      </c>
      <c r="F3723" s="7">
        <v>0.5</v>
      </c>
      <c r="G3723" s="8" t="s">
        <v>5690</v>
      </c>
      <c r="H3723" s="8" t="s">
        <v>5691</v>
      </c>
      <c r="I3723" s="7" t="str">
        <f>_xlfn.CONCAT(Paper_Reference[[#This Row],[Lvl]:[Paper Description]])</f>
        <v>2MB1SW844GLRWR1FROSTY WHITE M/B 60 1/2 X 72 11100.5100DS009-6200FROSTY WHITE</v>
      </c>
      <c r="J3723" s="7">
        <f>COUNTIF(Paper_Reference[Duplicate Key],Paper_Reference[[#This Row],[Duplicate Key]])</f>
        <v>1</v>
      </c>
    </row>
    <row r="3724" spans="1:10">
      <c r="A3724" s="7">
        <v>2</v>
      </c>
      <c r="B3724" s="8" t="s">
        <v>6425</v>
      </c>
      <c r="C3724" s="8" t="s">
        <v>5936</v>
      </c>
      <c r="D3724" s="7">
        <v>1</v>
      </c>
      <c r="E3724" s="7">
        <v>10</v>
      </c>
      <c r="F3724" s="7">
        <v>0.5</v>
      </c>
      <c r="G3724" s="8" t="s">
        <v>5690</v>
      </c>
      <c r="H3724" s="8" t="s">
        <v>5691</v>
      </c>
      <c r="I3724" s="7" t="str">
        <f>_xlfn.CONCAT(Paper_Reference[[#This Row],[Lvl]:[Paper Description]])</f>
        <v>2MB1SW844GLYGG1FROSTY WHITE 49 X 721100.5100DS009-6200FROSTY WHITE</v>
      </c>
      <c r="J3724" s="7">
        <f>COUNTIF(Paper_Reference[Duplicate Key],Paper_Reference[[#This Row],[Duplicate Key]])</f>
        <v>1</v>
      </c>
    </row>
    <row r="3725" spans="1:10">
      <c r="A3725" s="7">
        <v>2</v>
      </c>
      <c r="B3725" s="8" t="s">
        <v>6426</v>
      </c>
      <c r="C3725" s="8" t="s">
        <v>5935</v>
      </c>
      <c r="D3725" s="7">
        <v>1</v>
      </c>
      <c r="E3725" s="7">
        <v>10</v>
      </c>
      <c r="F3725" s="7">
        <v>0.5</v>
      </c>
      <c r="G3725" s="8" t="s">
        <v>5690</v>
      </c>
      <c r="H3725" s="8" t="s">
        <v>5691</v>
      </c>
      <c r="I3725" s="7" t="str">
        <f>_xlfn.CONCAT(Paper_Reference[[#This Row],[Lvl]:[Paper Description]])</f>
        <v>2MB1SW844GRWR1FROSTY WHITE M/B 60 1/2 X 72 11100.5100DS009-6200FROSTY WHITE</v>
      </c>
      <c r="J3725" s="7">
        <f>COUNTIF(Paper_Reference[Duplicate Key],Paper_Reference[[#This Row],[Duplicate Key]])</f>
        <v>1</v>
      </c>
    </row>
    <row r="3726" spans="1:10">
      <c r="A3726" s="7">
        <v>2</v>
      </c>
      <c r="B3726" s="8" t="s">
        <v>5199</v>
      </c>
      <c r="C3726" s="8" t="s">
        <v>4523</v>
      </c>
      <c r="D3726" s="7">
        <v>1</v>
      </c>
      <c r="E3726" s="7">
        <v>10</v>
      </c>
      <c r="F3726" s="7">
        <v>1</v>
      </c>
      <c r="G3726" s="8" t="s">
        <v>4371</v>
      </c>
      <c r="H3726" s="8" t="s">
        <v>4372</v>
      </c>
      <c r="I3726" s="7" t="str">
        <f>_xlfn.CONCAT(Paper_Reference[[#This Row],[Lvl]:[Paper Description]])</f>
        <v>2MB2SE109G420BLACK M/B 48 X 1441101100DS064-6200BLACK</v>
      </c>
      <c r="J3726" s="7">
        <f>COUNTIF(Paper_Reference[Duplicate Key],Paper_Reference[[#This Row],[Duplicate Key]])</f>
        <v>1</v>
      </c>
    </row>
    <row r="3727" spans="1:10">
      <c r="A3727" s="7">
        <v>2</v>
      </c>
      <c r="B3727" s="8" t="s">
        <v>5198</v>
      </c>
      <c r="C3727" s="8" t="s">
        <v>4523</v>
      </c>
      <c r="D3727" s="7">
        <v>1</v>
      </c>
      <c r="E3727" s="7">
        <v>10</v>
      </c>
      <c r="F3727" s="7">
        <v>1</v>
      </c>
      <c r="G3727" s="8" t="s">
        <v>4371</v>
      </c>
      <c r="H3727" s="8" t="s">
        <v>4372</v>
      </c>
      <c r="I3727" s="7" t="str">
        <f>_xlfn.CONCAT(Paper_Reference[[#This Row],[Lvl]:[Paper Description]])</f>
        <v>2MB2SE109G4201BLACK M/B 48 X 1441101100DS064-6200BLACK</v>
      </c>
      <c r="J3727" s="7">
        <f>COUNTIF(Paper_Reference[Duplicate Key],Paper_Reference[[#This Row],[Duplicate Key]])</f>
        <v>1</v>
      </c>
    </row>
    <row r="3728" spans="1:10">
      <c r="A3728" s="7">
        <v>2</v>
      </c>
      <c r="B3728" s="8" t="s">
        <v>5200</v>
      </c>
      <c r="C3728" s="8" t="s">
        <v>4520</v>
      </c>
      <c r="D3728" s="7">
        <v>1</v>
      </c>
      <c r="E3728" s="7">
        <v>10</v>
      </c>
      <c r="F3728" s="7">
        <v>1</v>
      </c>
      <c r="G3728" s="8" t="s">
        <v>4371</v>
      </c>
      <c r="H3728" s="8" t="s">
        <v>4372</v>
      </c>
      <c r="I3728" s="7" t="str">
        <f>_xlfn.CONCAT(Paper_Reference[[#This Row],[Lvl]:[Paper Description]])</f>
        <v>2MB2SE109G500BLACK M/B 60 X 1201101100DS064-6200BLACK</v>
      </c>
      <c r="J3728" s="7">
        <f>COUNTIF(Paper_Reference[Duplicate Key],Paper_Reference[[#This Row],[Duplicate Key]])</f>
        <v>1</v>
      </c>
    </row>
    <row r="3729" spans="1:10">
      <c r="A3729" s="7">
        <v>2</v>
      </c>
      <c r="B3729" s="8" t="s">
        <v>5201</v>
      </c>
      <c r="C3729" s="8" t="s">
        <v>4521</v>
      </c>
      <c r="D3729" s="7">
        <v>1</v>
      </c>
      <c r="E3729" s="7">
        <v>10</v>
      </c>
      <c r="F3729" s="7">
        <v>1</v>
      </c>
      <c r="G3729" s="8" t="s">
        <v>4371</v>
      </c>
      <c r="H3729" s="8" t="s">
        <v>4372</v>
      </c>
      <c r="I3729" s="7" t="str">
        <f>_xlfn.CONCAT(Paper_Reference[[#This Row],[Lvl]:[Paper Description]])</f>
        <v>2MB2SE109G520BLACK M/B 60 X 1441101100DS064-6200BLACK</v>
      </c>
      <c r="J3729" s="7">
        <f>COUNTIF(Paper_Reference[Duplicate Key],Paper_Reference[[#This Row],[Duplicate Key]])</f>
        <v>1</v>
      </c>
    </row>
    <row r="3730" spans="1:10">
      <c r="A3730" s="7">
        <v>2</v>
      </c>
      <c r="B3730" s="8" t="s">
        <v>5203</v>
      </c>
      <c r="C3730" s="8" t="s">
        <v>4524</v>
      </c>
      <c r="D3730" s="7">
        <v>1</v>
      </c>
      <c r="E3730" s="7">
        <v>10</v>
      </c>
      <c r="F3730" s="7">
        <v>1</v>
      </c>
      <c r="G3730" s="8" t="s">
        <v>4371</v>
      </c>
      <c r="H3730" s="8" t="s">
        <v>4372</v>
      </c>
      <c r="I3730" s="7" t="str">
        <f>_xlfn.CONCAT(Paper_Reference[[#This Row],[Lvl]:[Paper Description]])</f>
        <v>2MB2SE109G580BLACK M/B 60 X 961101100DS064-6200BLACK</v>
      </c>
      <c r="J3730" s="7">
        <f>COUNTIF(Paper_Reference[Duplicate Key],Paper_Reference[[#This Row],[Duplicate Key]])</f>
        <v>1</v>
      </c>
    </row>
    <row r="3731" spans="1:10">
      <c r="A3731" s="7">
        <v>2</v>
      </c>
      <c r="B3731" s="8" t="s">
        <v>5202</v>
      </c>
      <c r="C3731" s="8" t="s">
        <v>4524</v>
      </c>
      <c r="D3731" s="7">
        <v>1</v>
      </c>
      <c r="E3731" s="7">
        <v>10</v>
      </c>
      <c r="F3731" s="7">
        <v>1</v>
      </c>
      <c r="G3731" s="8" t="s">
        <v>4371</v>
      </c>
      <c r="H3731" s="8" t="s">
        <v>4372</v>
      </c>
      <c r="I3731" s="7" t="str">
        <f>_xlfn.CONCAT(Paper_Reference[[#This Row],[Lvl]:[Paper Description]])</f>
        <v>2MB2SE109G5801BLACK M/B 60 X 961101100DS064-6200BLACK</v>
      </c>
      <c r="J3731" s="7">
        <f>COUNTIF(Paper_Reference[Duplicate Key],Paper_Reference[[#This Row],[Duplicate Key]])</f>
        <v>1</v>
      </c>
    </row>
    <row r="3732" spans="1:10">
      <c r="A3732" s="7">
        <v>2</v>
      </c>
      <c r="B3732" s="8" t="s">
        <v>8625</v>
      </c>
      <c r="C3732" s="8" t="s">
        <v>8384</v>
      </c>
      <c r="D3732" s="7">
        <v>1</v>
      </c>
      <c r="E3732" s="7">
        <v>10</v>
      </c>
      <c r="F3732" s="7">
        <v>0.5</v>
      </c>
      <c r="G3732" s="8" t="s">
        <v>8302</v>
      </c>
      <c r="H3732" s="8" t="s">
        <v>8303</v>
      </c>
      <c r="I3732" s="7" t="str">
        <f>_xlfn.CONCAT(Paper_Reference[[#This Row],[Lvl]:[Paper Description]])</f>
        <v>2MB2SW813G4601ICE WHITE 48 X 721100.5100SW813-6200ICE WHITE</v>
      </c>
      <c r="J3732" s="7">
        <f>COUNTIF(Paper_Reference[Duplicate Key],Paper_Reference[[#This Row],[Duplicate Key]])</f>
        <v>1</v>
      </c>
    </row>
    <row r="3733" spans="1:10">
      <c r="A3733" s="7">
        <v>2</v>
      </c>
      <c r="B3733" s="8" t="s">
        <v>8626</v>
      </c>
      <c r="C3733" s="8" t="s">
        <v>8308</v>
      </c>
      <c r="D3733" s="7">
        <v>1</v>
      </c>
      <c r="E3733" s="7">
        <v>10</v>
      </c>
      <c r="F3733" s="7">
        <v>0.5</v>
      </c>
      <c r="G3733" s="8" t="s">
        <v>8302</v>
      </c>
      <c r="H3733" s="8" t="s">
        <v>8303</v>
      </c>
      <c r="I3733" s="7" t="str">
        <f>_xlfn.CONCAT(Paper_Reference[[#This Row],[Lvl]:[Paper Description]])</f>
        <v>2MB2SW813G5501ICE WHITE 60 X 601100.5100SW813-6200ICE WHITE</v>
      </c>
      <c r="J3733" s="7">
        <f>COUNTIF(Paper_Reference[Duplicate Key],Paper_Reference[[#This Row],[Duplicate Key]])</f>
        <v>1</v>
      </c>
    </row>
    <row r="3734" spans="1:10">
      <c r="A3734" s="7">
        <v>2</v>
      </c>
      <c r="B3734" s="8" t="s">
        <v>8627</v>
      </c>
      <c r="C3734" s="8" t="s">
        <v>8385</v>
      </c>
      <c r="D3734" s="7">
        <v>1</v>
      </c>
      <c r="E3734" s="7">
        <v>10</v>
      </c>
      <c r="F3734" s="7">
        <v>0.5</v>
      </c>
      <c r="G3734" s="8" t="s">
        <v>8302</v>
      </c>
      <c r="H3734" s="8" t="s">
        <v>8303</v>
      </c>
      <c r="I3734" s="7" t="str">
        <f>_xlfn.CONCAT(Paper_Reference[[#This Row],[Lvl]:[Paper Description]])</f>
        <v>2MB2SW813G5601ICE WHITE M/B 60 X 721100.5100SW813-6200ICE WHITE</v>
      </c>
      <c r="J3734" s="7">
        <f>COUNTIF(Paper_Reference[Duplicate Key],Paper_Reference[[#This Row],[Duplicate Key]])</f>
        <v>1</v>
      </c>
    </row>
    <row r="3735" spans="1:10">
      <c r="A3735" s="7">
        <v>2</v>
      </c>
      <c r="B3735" s="8" t="s">
        <v>8628</v>
      </c>
      <c r="C3735" s="8" t="s">
        <v>8383</v>
      </c>
      <c r="D3735" s="7">
        <v>1</v>
      </c>
      <c r="E3735" s="7">
        <v>10</v>
      </c>
      <c r="F3735" s="7">
        <v>1</v>
      </c>
      <c r="G3735" s="8" t="s">
        <v>8302</v>
      </c>
      <c r="H3735" s="8" t="s">
        <v>8303</v>
      </c>
      <c r="I3735" s="7" t="str">
        <f>_xlfn.CONCAT(Paper_Reference[[#This Row],[Lvl]:[Paper Description]])</f>
        <v>2MB2SW813G5801ICE WHITE M/B 60 X 961101100SW813-6200ICE WHITE</v>
      </c>
      <c r="J3735" s="7">
        <f>COUNTIF(Paper_Reference[Duplicate Key],Paper_Reference[[#This Row],[Duplicate Key]])</f>
        <v>1</v>
      </c>
    </row>
    <row r="3736" spans="1:10">
      <c r="A3736" s="7">
        <v>2</v>
      </c>
      <c r="B3736" s="8" t="s">
        <v>8629</v>
      </c>
      <c r="C3736" s="8" t="s">
        <v>8386</v>
      </c>
      <c r="D3736" s="7">
        <v>1</v>
      </c>
      <c r="E3736" s="7">
        <v>10</v>
      </c>
      <c r="F3736" s="7">
        <v>1</v>
      </c>
      <c r="G3736" s="8" t="s">
        <v>8302</v>
      </c>
      <c r="H3736" s="8" t="s">
        <v>8303</v>
      </c>
      <c r="I3736" s="7" t="str">
        <f>_xlfn.CONCAT(Paper_Reference[[#This Row],[Lvl]:[Paper Description]])</f>
        <v>2MB2SW813GCIG1ICE WHITE M/B 49 X 971101100SW813-6200ICE WHITE</v>
      </c>
      <c r="J3736" s="7">
        <f>COUNTIF(Paper_Reference[Duplicate Key],Paper_Reference[[#This Row],[Duplicate Key]])</f>
        <v>1</v>
      </c>
    </row>
    <row r="3737" spans="1:10">
      <c r="A3737" s="7">
        <v>2</v>
      </c>
      <c r="B3737" s="8" t="s">
        <v>8630</v>
      </c>
      <c r="C3737" s="8" t="s">
        <v>8387</v>
      </c>
      <c r="D3737" s="7">
        <v>1</v>
      </c>
      <c r="E3737" s="7">
        <v>10</v>
      </c>
      <c r="F3737" s="7">
        <v>1</v>
      </c>
      <c r="G3737" s="8" t="s">
        <v>8302</v>
      </c>
      <c r="H3737" s="8" t="s">
        <v>8303</v>
      </c>
      <c r="I3737" s="7" t="str">
        <f>_xlfn.CONCAT(Paper_Reference[[#This Row],[Lvl]:[Paper Description]])</f>
        <v>2MB2SW813GCMT1ICE WHITE M/B 61 X 1211101100SW813-6200ICE WHITE</v>
      </c>
      <c r="J3737" s="7">
        <f>COUNTIF(Paper_Reference[Duplicate Key],Paper_Reference[[#This Row],[Duplicate Key]])</f>
        <v>1</v>
      </c>
    </row>
    <row r="3738" spans="1:10">
      <c r="A3738" s="7">
        <v>2</v>
      </c>
      <c r="B3738" s="8" t="s">
        <v>8631</v>
      </c>
      <c r="C3738" s="8" t="s">
        <v>8388</v>
      </c>
      <c r="D3738" s="7">
        <v>1</v>
      </c>
      <c r="E3738" s="7">
        <v>10</v>
      </c>
      <c r="F3738" s="7">
        <v>1</v>
      </c>
      <c r="G3738" s="8" t="s">
        <v>8302</v>
      </c>
      <c r="H3738" s="8" t="s">
        <v>8303</v>
      </c>
      <c r="I3738" s="7" t="str">
        <f>_xlfn.CONCAT(Paper_Reference[[#This Row],[Lvl]:[Paper Description]])</f>
        <v>2MB2SW813GDEM1ICE WHITE M/B 61 X 971101100SW813-6200ICE WHITE</v>
      </c>
      <c r="J3738" s="7">
        <f>COUNTIF(Paper_Reference[Duplicate Key],Paper_Reference[[#This Row],[Duplicate Key]])</f>
        <v>1</v>
      </c>
    </row>
    <row r="3739" spans="1:10">
      <c r="A3739" s="7">
        <v>2</v>
      </c>
      <c r="B3739" s="8" t="s">
        <v>8632</v>
      </c>
      <c r="C3739" s="8" t="s">
        <v>8389</v>
      </c>
      <c r="D3739" s="7">
        <v>1</v>
      </c>
      <c r="E3739" s="7">
        <v>10</v>
      </c>
      <c r="F3739" s="7">
        <v>1</v>
      </c>
      <c r="G3739" s="8" t="s">
        <v>8302</v>
      </c>
      <c r="H3739" s="8" t="s">
        <v>8303</v>
      </c>
      <c r="I3739" s="7" t="str">
        <f>_xlfn.CONCAT(Paper_Reference[[#This Row],[Lvl]:[Paper Description]])</f>
        <v>2MB2SW813GFDT1ICE WHITE M/B 49 X 1211101100SW813-6200ICE WHITE</v>
      </c>
      <c r="J3739" s="7">
        <f>COUNTIF(Paper_Reference[Duplicate Key],Paper_Reference[[#This Row],[Duplicate Key]])</f>
        <v>1</v>
      </c>
    </row>
    <row r="3740" spans="1:10">
      <c r="A3740" s="7">
        <v>2</v>
      </c>
      <c r="B3740" s="8" t="s">
        <v>8633</v>
      </c>
      <c r="C3740" s="8" t="s">
        <v>8390</v>
      </c>
      <c r="D3740" s="7">
        <v>1</v>
      </c>
      <c r="E3740" s="7">
        <v>10</v>
      </c>
      <c r="F3740" s="7">
        <v>1</v>
      </c>
      <c r="G3740" s="8" t="s">
        <v>8302</v>
      </c>
      <c r="H3740" s="8" t="s">
        <v>8303</v>
      </c>
      <c r="I3740" s="7" t="str">
        <f>_xlfn.CONCAT(Paper_Reference[[#This Row],[Lvl]:[Paper Description]])</f>
        <v>2MB2SW813GFDU1ICE WHITE M/B 49 X 731101100SW813-6200ICE WHITE</v>
      </c>
      <c r="J3740" s="7">
        <f>COUNTIF(Paper_Reference[Duplicate Key],Paper_Reference[[#This Row],[Duplicate Key]])</f>
        <v>1</v>
      </c>
    </row>
    <row r="3741" spans="1:10">
      <c r="A3741" s="7">
        <v>2</v>
      </c>
      <c r="B3741" s="8" t="s">
        <v>8634</v>
      </c>
      <c r="C3741" s="8" t="s">
        <v>8391</v>
      </c>
      <c r="D3741" s="7">
        <v>1</v>
      </c>
      <c r="E3741" s="7">
        <v>10</v>
      </c>
      <c r="F3741" s="7">
        <v>1</v>
      </c>
      <c r="G3741" s="8" t="s">
        <v>8302</v>
      </c>
      <c r="H3741" s="8" t="s">
        <v>8303</v>
      </c>
      <c r="I3741" s="7" t="str">
        <f>_xlfn.CONCAT(Paper_Reference[[#This Row],[Lvl]:[Paper Description]])</f>
        <v>2MB2SW813GFMR1ICE WHITE M/B 61 X 731101100SW813-6200ICE WHITE</v>
      </c>
      <c r="J3741" s="7">
        <f>COUNTIF(Paper_Reference[Duplicate Key],Paper_Reference[[#This Row],[Duplicate Key]])</f>
        <v>1</v>
      </c>
    </row>
    <row r="3742" spans="1:10">
      <c r="A3742" s="7">
        <v>2</v>
      </c>
      <c r="B3742" s="8" t="s">
        <v>8635</v>
      </c>
      <c r="C3742" s="8" t="s">
        <v>8392</v>
      </c>
      <c r="D3742" s="7">
        <v>1</v>
      </c>
      <c r="E3742" s="7">
        <v>10</v>
      </c>
      <c r="F3742" s="7">
        <v>0.5</v>
      </c>
      <c r="G3742" s="8" t="s">
        <v>8302</v>
      </c>
      <c r="H3742" s="8" t="s">
        <v>8303</v>
      </c>
      <c r="I3742" s="7" t="str">
        <f>_xlfn.CONCAT(Paper_Reference[[#This Row],[Lvl]:[Paper Description]])</f>
        <v>2MB2SW813GL3601ICE WHITE 36 X 721100.5100SW813-6200ICE WHITE</v>
      </c>
      <c r="J3742" s="7">
        <f>COUNTIF(Paper_Reference[Duplicate Key],Paper_Reference[[#This Row],[Duplicate Key]])</f>
        <v>1</v>
      </c>
    </row>
    <row r="3743" spans="1:10">
      <c r="A3743" s="7">
        <v>2</v>
      </c>
      <c r="B3743" s="8" t="s">
        <v>8636</v>
      </c>
      <c r="C3743" s="8" t="s">
        <v>8384</v>
      </c>
      <c r="D3743" s="7">
        <v>1</v>
      </c>
      <c r="E3743" s="7">
        <v>10</v>
      </c>
      <c r="F3743" s="7">
        <v>0.5</v>
      </c>
      <c r="G3743" s="8" t="s">
        <v>8302</v>
      </c>
      <c r="H3743" s="8" t="s">
        <v>8303</v>
      </c>
      <c r="I3743" s="7" t="str">
        <f>_xlfn.CONCAT(Paper_Reference[[#This Row],[Lvl]:[Paper Description]])</f>
        <v>2MB2SW813GL4601ICE WHITE 48 X 721100.5100SW813-6200ICE WHITE</v>
      </c>
      <c r="J3743" s="7">
        <f>COUNTIF(Paper_Reference[Duplicate Key],Paper_Reference[[#This Row],[Duplicate Key]])</f>
        <v>1</v>
      </c>
    </row>
    <row r="3744" spans="1:10">
      <c r="A3744" s="7">
        <v>2</v>
      </c>
      <c r="B3744" s="8" t="s">
        <v>8637</v>
      </c>
      <c r="C3744" s="8" t="s">
        <v>8308</v>
      </c>
      <c r="D3744" s="7">
        <v>1</v>
      </c>
      <c r="E3744" s="7">
        <v>10</v>
      </c>
      <c r="F3744" s="7">
        <v>0.5</v>
      </c>
      <c r="G3744" s="8" t="s">
        <v>8302</v>
      </c>
      <c r="H3744" s="8" t="s">
        <v>8303</v>
      </c>
      <c r="I3744" s="7" t="str">
        <f>_xlfn.CONCAT(Paper_Reference[[#This Row],[Lvl]:[Paper Description]])</f>
        <v>2MB2SW813GL5501ICE WHITE 60 X 601100.5100SW813-6200ICE WHITE</v>
      </c>
      <c r="J3744" s="7">
        <f>COUNTIF(Paper_Reference[Duplicate Key],Paper_Reference[[#This Row],[Duplicate Key]])</f>
        <v>1</v>
      </c>
    </row>
    <row r="3745" spans="1:10">
      <c r="A3745" s="7">
        <v>2</v>
      </c>
      <c r="B3745" s="8" t="s">
        <v>8638</v>
      </c>
      <c r="C3745" s="8" t="s">
        <v>8385</v>
      </c>
      <c r="D3745" s="7">
        <v>1</v>
      </c>
      <c r="E3745" s="7">
        <v>10</v>
      </c>
      <c r="F3745" s="7">
        <v>0.5</v>
      </c>
      <c r="G3745" s="8" t="s">
        <v>8302</v>
      </c>
      <c r="H3745" s="8" t="s">
        <v>8303</v>
      </c>
      <c r="I3745" s="7" t="str">
        <f>_xlfn.CONCAT(Paper_Reference[[#This Row],[Lvl]:[Paper Description]])</f>
        <v>2MB2SW813GL5601ICE WHITE M/B 60 X 721100.5100SW813-6200ICE WHITE</v>
      </c>
      <c r="J3745" s="7">
        <f>COUNTIF(Paper_Reference[Duplicate Key],Paper_Reference[[#This Row],[Duplicate Key]])</f>
        <v>1</v>
      </c>
    </row>
    <row r="3746" spans="1:10">
      <c r="A3746" s="7">
        <v>2</v>
      </c>
      <c r="B3746" s="8" t="s">
        <v>8639</v>
      </c>
      <c r="C3746" s="8" t="s">
        <v>8383</v>
      </c>
      <c r="D3746" s="7">
        <v>1</v>
      </c>
      <c r="E3746" s="7">
        <v>10</v>
      </c>
      <c r="F3746" s="7">
        <v>1</v>
      </c>
      <c r="G3746" s="8" t="s">
        <v>8302</v>
      </c>
      <c r="H3746" s="8" t="s">
        <v>8303</v>
      </c>
      <c r="I3746" s="7" t="str">
        <f>_xlfn.CONCAT(Paper_Reference[[#This Row],[Lvl]:[Paper Description]])</f>
        <v>2MB2SW813GL5801ICE WHITE M/B 60 X 961101100SW813-6200ICE WHITE</v>
      </c>
      <c r="J3746" s="7">
        <f>COUNTIF(Paper_Reference[Duplicate Key],Paper_Reference[[#This Row],[Duplicate Key]])</f>
        <v>1</v>
      </c>
    </row>
    <row r="3747" spans="1:10">
      <c r="A3747" s="7">
        <v>2</v>
      </c>
      <c r="B3747" s="8" t="s">
        <v>8640</v>
      </c>
      <c r="C3747" s="8" t="s">
        <v>8386</v>
      </c>
      <c r="D3747" s="7">
        <v>1</v>
      </c>
      <c r="E3747" s="7">
        <v>10</v>
      </c>
      <c r="F3747" s="7">
        <v>1</v>
      </c>
      <c r="G3747" s="8" t="s">
        <v>8302</v>
      </c>
      <c r="H3747" s="8" t="s">
        <v>8303</v>
      </c>
      <c r="I3747" s="7" t="str">
        <f>_xlfn.CONCAT(Paper_Reference[[#This Row],[Lvl]:[Paper Description]])</f>
        <v>2MB2SW813GLCIG1ICE WHITE M/B 49 X 971101100SW813-6200ICE WHITE</v>
      </c>
      <c r="J3747" s="7">
        <f>COUNTIF(Paper_Reference[Duplicate Key],Paper_Reference[[#This Row],[Duplicate Key]])</f>
        <v>1</v>
      </c>
    </row>
    <row r="3748" spans="1:10">
      <c r="A3748" s="7">
        <v>2</v>
      </c>
      <c r="B3748" s="8" t="s">
        <v>8641</v>
      </c>
      <c r="C3748" s="8" t="s">
        <v>8387</v>
      </c>
      <c r="D3748" s="7">
        <v>1</v>
      </c>
      <c r="E3748" s="7">
        <v>10</v>
      </c>
      <c r="F3748" s="7">
        <v>1</v>
      </c>
      <c r="G3748" s="8" t="s">
        <v>8302</v>
      </c>
      <c r="H3748" s="8" t="s">
        <v>8303</v>
      </c>
      <c r="I3748" s="7" t="str">
        <f>_xlfn.CONCAT(Paper_Reference[[#This Row],[Lvl]:[Paper Description]])</f>
        <v>2MB2SW813GLCMT1ICE WHITE M/B 61 X 1211101100SW813-6200ICE WHITE</v>
      </c>
      <c r="J3748" s="7">
        <f>COUNTIF(Paper_Reference[Duplicate Key],Paper_Reference[[#This Row],[Duplicate Key]])</f>
        <v>1</v>
      </c>
    </row>
    <row r="3749" spans="1:10">
      <c r="A3749" s="7">
        <v>2</v>
      </c>
      <c r="B3749" s="8" t="s">
        <v>8642</v>
      </c>
      <c r="C3749" s="8" t="s">
        <v>8388</v>
      </c>
      <c r="D3749" s="7">
        <v>1</v>
      </c>
      <c r="E3749" s="7">
        <v>10</v>
      </c>
      <c r="F3749" s="7">
        <v>1</v>
      </c>
      <c r="G3749" s="8" t="s">
        <v>8302</v>
      </c>
      <c r="H3749" s="8" t="s">
        <v>8303</v>
      </c>
      <c r="I3749" s="7" t="str">
        <f>_xlfn.CONCAT(Paper_Reference[[#This Row],[Lvl]:[Paper Description]])</f>
        <v>2MB2SW813GLDEM1ICE WHITE M/B 61 X 971101100SW813-6200ICE WHITE</v>
      </c>
      <c r="J3749" s="7">
        <f>COUNTIF(Paper_Reference[Duplicate Key],Paper_Reference[[#This Row],[Duplicate Key]])</f>
        <v>1</v>
      </c>
    </row>
    <row r="3750" spans="1:10">
      <c r="A3750" s="7">
        <v>2</v>
      </c>
      <c r="B3750" s="8" t="s">
        <v>8643</v>
      </c>
      <c r="C3750" s="8" t="s">
        <v>8389</v>
      </c>
      <c r="D3750" s="7">
        <v>1</v>
      </c>
      <c r="E3750" s="7">
        <v>10</v>
      </c>
      <c r="F3750" s="7">
        <v>1</v>
      </c>
      <c r="G3750" s="8" t="s">
        <v>8302</v>
      </c>
      <c r="H3750" s="8" t="s">
        <v>8303</v>
      </c>
      <c r="I3750" s="7" t="str">
        <f>_xlfn.CONCAT(Paper_Reference[[#This Row],[Lvl]:[Paper Description]])</f>
        <v>2MB2SW813GLFDT1ICE WHITE M/B 49 X 1211101100SW813-6200ICE WHITE</v>
      </c>
      <c r="J3750" s="7">
        <f>COUNTIF(Paper_Reference[Duplicate Key],Paper_Reference[[#This Row],[Duplicate Key]])</f>
        <v>1</v>
      </c>
    </row>
    <row r="3751" spans="1:10">
      <c r="A3751" s="7">
        <v>2</v>
      </c>
      <c r="B3751" s="8" t="s">
        <v>8644</v>
      </c>
      <c r="C3751" s="8" t="s">
        <v>8390</v>
      </c>
      <c r="D3751" s="7">
        <v>1</v>
      </c>
      <c r="E3751" s="7">
        <v>10</v>
      </c>
      <c r="F3751" s="7">
        <v>1</v>
      </c>
      <c r="G3751" s="8" t="s">
        <v>8302</v>
      </c>
      <c r="H3751" s="8" t="s">
        <v>8303</v>
      </c>
      <c r="I3751" s="7" t="str">
        <f>_xlfn.CONCAT(Paper_Reference[[#This Row],[Lvl]:[Paper Description]])</f>
        <v>2MB2SW813GLFDU1ICE WHITE M/B 49 X 731101100SW813-6200ICE WHITE</v>
      </c>
      <c r="J3751" s="7">
        <f>COUNTIF(Paper_Reference[Duplicate Key],Paper_Reference[[#This Row],[Duplicate Key]])</f>
        <v>1</v>
      </c>
    </row>
    <row r="3752" spans="1:10">
      <c r="A3752" s="7">
        <v>2</v>
      </c>
      <c r="B3752" s="8" t="s">
        <v>8645</v>
      </c>
      <c r="C3752" s="8" t="s">
        <v>8391</v>
      </c>
      <c r="D3752" s="7">
        <v>1</v>
      </c>
      <c r="E3752" s="7">
        <v>10</v>
      </c>
      <c r="F3752" s="7">
        <v>1</v>
      </c>
      <c r="G3752" s="8" t="s">
        <v>8302</v>
      </c>
      <c r="H3752" s="8" t="s">
        <v>8303</v>
      </c>
      <c r="I3752" s="7" t="str">
        <f>_xlfn.CONCAT(Paper_Reference[[#This Row],[Lvl]:[Paper Description]])</f>
        <v>2MB2SW813GLFMR1ICE WHITE M/B 61 X 731101100SW813-6200ICE WHITE</v>
      </c>
      <c r="J3752" s="7">
        <f>COUNTIF(Paper_Reference[Duplicate Key],Paper_Reference[[#This Row],[Duplicate Key]])</f>
        <v>1</v>
      </c>
    </row>
    <row r="3753" spans="1:10">
      <c r="A3753" s="7">
        <v>2</v>
      </c>
      <c r="B3753" s="8" t="s">
        <v>8646</v>
      </c>
      <c r="C3753" s="8" t="s">
        <v>8393</v>
      </c>
      <c r="D3753" s="7">
        <v>1</v>
      </c>
      <c r="E3753" s="7">
        <v>10</v>
      </c>
      <c r="F3753" s="7">
        <v>0.5</v>
      </c>
      <c r="G3753" s="8" t="s">
        <v>8302</v>
      </c>
      <c r="H3753" s="8" t="s">
        <v>8303</v>
      </c>
      <c r="I3753" s="7" t="str">
        <f>_xlfn.CONCAT(Paper_Reference[[#This Row],[Lvl]:[Paper Description]])</f>
        <v>2MB2SW813GLNCF1ICE WHITE M/B 61 X 611100.5100SW813-6200ICE WHITE</v>
      </c>
      <c r="J3753" s="7">
        <f>COUNTIF(Paper_Reference[Duplicate Key],Paper_Reference[[#This Row],[Duplicate Key]])</f>
        <v>1</v>
      </c>
    </row>
    <row r="3754" spans="1:10">
      <c r="A3754" s="7">
        <v>2</v>
      </c>
      <c r="B3754" s="8" t="s">
        <v>8647</v>
      </c>
      <c r="C3754" s="8" t="s">
        <v>8393</v>
      </c>
      <c r="D3754" s="7">
        <v>1</v>
      </c>
      <c r="E3754" s="7">
        <v>10</v>
      </c>
      <c r="F3754" s="7">
        <v>0.5</v>
      </c>
      <c r="G3754" s="8" t="s">
        <v>8302</v>
      </c>
      <c r="H3754" s="8" t="s">
        <v>8303</v>
      </c>
      <c r="I3754" s="7" t="str">
        <f>_xlfn.CONCAT(Paper_Reference[[#This Row],[Lvl]:[Paper Description]])</f>
        <v>2MB2SW813GNCF1ICE WHITE M/B 61 X 611100.5100SW813-6200ICE WHITE</v>
      </c>
      <c r="J3754" s="7">
        <f>COUNTIF(Paper_Reference[Duplicate Key],Paper_Reference[[#This Row],[Duplicate Key]])</f>
        <v>1</v>
      </c>
    </row>
    <row r="3755" spans="1:10">
      <c r="A3755" s="7">
        <v>2</v>
      </c>
      <c r="B3755" s="8" t="s">
        <v>6427</v>
      </c>
      <c r="C3755" s="8" t="s">
        <v>5937</v>
      </c>
      <c r="D3755" s="7">
        <v>1</v>
      </c>
      <c r="E3755" s="7">
        <v>10</v>
      </c>
      <c r="F3755" s="7">
        <v>0.5</v>
      </c>
      <c r="G3755" s="8" t="s">
        <v>5690</v>
      </c>
      <c r="H3755" s="8" t="s">
        <v>5691</v>
      </c>
      <c r="I3755" s="7" t="str">
        <f>_xlfn.CONCAT(Paper_Reference[[#This Row],[Lvl]:[Paper Description]])</f>
        <v>2MB2SW844G0004FROSTY WHITE M/B 30 X 1201100.5100DS009-6200FROSTY WHITE</v>
      </c>
      <c r="J3755" s="7">
        <f>COUNTIF(Paper_Reference[Duplicate Key],Paper_Reference[[#This Row],[Duplicate Key]])</f>
        <v>1</v>
      </c>
    </row>
    <row r="3756" spans="1:10">
      <c r="A3756" s="7">
        <v>2</v>
      </c>
      <c r="B3756" s="8" t="s">
        <v>7894</v>
      </c>
      <c r="C3756" s="8" t="s">
        <v>7081</v>
      </c>
      <c r="D3756" s="7">
        <v>1</v>
      </c>
      <c r="E3756" s="7">
        <v>10</v>
      </c>
      <c r="F3756" s="7">
        <v>1</v>
      </c>
      <c r="G3756" s="8" t="s">
        <v>6710</v>
      </c>
      <c r="H3756" s="8" t="s">
        <v>5691</v>
      </c>
      <c r="I3756" s="7" t="str">
        <f>_xlfn.CONCAT(Paper_Reference[[#This Row],[Lvl]:[Paper Description]])</f>
        <v>2MB2SW844G3004FROSTY WHITE M/B 36 X 1201101100DS009-5000FROSTY WHITE</v>
      </c>
      <c r="J3756" s="7">
        <f>COUNTIF(Paper_Reference[Duplicate Key],Paper_Reference[[#This Row],[Duplicate Key]])</f>
        <v>1</v>
      </c>
    </row>
    <row r="3757" spans="1:10">
      <c r="A3757" s="7">
        <v>2</v>
      </c>
      <c r="B3757" s="8" t="s">
        <v>7895</v>
      </c>
      <c r="C3757" s="8" t="s">
        <v>5931</v>
      </c>
      <c r="D3757" s="7">
        <v>1</v>
      </c>
      <c r="E3757" s="7">
        <v>10</v>
      </c>
      <c r="F3757" s="7">
        <v>1</v>
      </c>
      <c r="G3757" s="8" t="s">
        <v>6710</v>
      </c>
      <c r="H3757" s="8" t="s">
        <v>5691</v>
      </c>
      <c r="I3757" s="7" t="str">
        <f>_xlfn.CONCAT(Paper_Reference[[#This Row],[Lvl]:[Paper Description]])</f>
        <v>2MB2SW844G3201FROSTY WHITE M/B 36 X 1441101100DS009-5000FROSTY WHITE</v>
      </c>
      <c r="J3757" s="7">
        <f>COUNTIF(Paper_Reference[Duplicate Key],Paper_Reference[[#This Row],[Duplicate Key]])</f>
        <v>1</v>
      </c>
    </row>
    <row r="3758" spans="1:10">
      <c r="A3758" s="7">
        <v>2</v>
      </c>
      <c r="B3758" s="8" t="s">
        <v>7896</v>
      </c>
      <c r="C3758" s="8" t="s">
        <v>7082</v>
      </c>
      <c r="D3758" s="7">
        <v>1</v>
      </c>
      <c r="E3758" s="7">
        <v>10</v>
      </c>
      <c r="F3758" s="7">
        <v>1</v>
      </c>
      <c r="G3758" s="8" t="s">
        <v>6710</v>
      </c>
      <c r="H3758" s="8" t="s">
        <v>5691</v>
      </c>
      <c r="I3758" s="7" t="str">
        <f>_xlfn.CONCAT(Paper_Reference[[#This Row],[Lvl]:[Paper Description]])</f>
        <v>2MB2SW844G3801FROSTY WHITE M/B 36 X 961101100DS009-5000FROSTY WHITE</v>
      </c>
      <c r="J3758" s="7">
        <f>COUNTIF(Paper_Reference[Duplicate Key],Paper_Reference[[#This Row],[Duplicate Key]])</f>
        <v>1</v>
      </c>
    </row>
    <row r="3759" spans="1:10">
      <c r="A3759" s="7">
        <v>2</v>
      </c>
      <c r="B3759" s="8" t="s">
        <v>7898</v>
      </c>
      <c r="C3759" s="8" t="s">
        <v>7083</v>
      </c>
      <c r="D3759" s="7">
        <v>1</v>
      </c>
      <c r="E3759" s="7">
        <v>10</v>
      </c>
      <c r="F3759" s="7">
        <v>1</v>
      </c>
      <c r="G3759" s="8" t="s">
        <v>6710</v>
      </c>
      <c r="H3759" s="8" t="s">
        <v>5691</v>
      </c>
      <c r="I3759" s="7" t="str">
        <f>_xlfn.CONCAT(Paper_Reference[[#This Row],[Lvl]:[Paper Description]])</f>
        <v>2MB2SW844G400FROSTY WHITE M/B 48 X 1201101100DS009-5000FROSTY WHITE</v>
      </c>
      <c r="J3759" s="7">
        <f>COUNTIF(Paper_Reference[Duplicate Key],Paper_Reference[[#This Row],[Duplicate Key]])</f>
        <v>1</v>
      </c>
    </row>
    <row r="3760" spans="1:10">
      <c r="A3760" s="7">
        <v>2</v>
      </c>
      <c r="B3760" s="8" t="s">
        <v>7897</v>
      </c>
      <c r="C3760" s="8" t="s">
        <v>7083</v>
      </c>
      <c r="D3760" s="7">
        <v>1</v>
      </c>
      <c r="E3760" s="7">
        <v>10</v>
      </c>
      <c r="F3760" s="7">
        <v>1</v>
      </c>
      <c r="G3760" s="8" t="s">
        <v>6710</v>
      </c>
      <c r="H3760" s="8" t="s">
        <v>5691</v>
      </c>
      <c r="I3760" s="7" t="str">
        <f>_xlfn.CONCAT(Paper_Reference[[#This Row],[Lvl]:[Paper Description]])</f>
        <v>2MB2SW844G4001FROSTY WHITE M/B 48 X 1201101100DS009-5000FROSTY WHITE</v>
      </c>
      <c r="J3760" s="7">
        <f>COUNTIF(Paper_Reference[Duplicate Key],Paper_Reference[[#This Row],[Duplicate Key]])</f>
        <v>1</v>
      </c>
    </row>
    <row r="3761" spans="1:10">
      <c r="A3761" s="7">
        <v>2</v>
      </c>
      <c r="B3761" s="8" t="s">
        <v>6429</v>
      </c>
      <c r="C3761" s="8" t="s">
        <v>5925</v>
      </c>
      <c r="D3761" s="7">
        <v>1</v>
      </c>
      <c r="E3761" s="7">
        <v>10</v>
      </c>
      <c r="F3761" s="7">
        <v>1</v>
      </c>
      <c r="G3761" s="8" t="s">
        <v>5690</v>
      </c>
      <c r="H3761" s="8" t="s">
        <v>5691</v>
      </c>
      <c r="I3761" s="7" t="str">
        <f>_xlfn.CONCAT(Paper_Reference[[#This Row],[Lvl]:[Paper Description]])</f>
        <v>2MB2SW844G420FROSTY WHITE M/B 48 X 1441101100DS009-6200FROSTY WHITE</v>
      </c>
      <c r="J3761" s="7">
        <f>COUNTIF(Paper_Reference[Duplicate Key],Paper_Reference[[#This Row],[Duplicate Key]])</f>
        <v>1</v>
      </c>
    </row>
    <row r="3762" spans="1:10">
      <c r="A3762" s="7">
        <v>2</v>
      </c>
      <c r="B3762" s="8" t="s">
        <v>6428</v>
      </c>
      <c r="C3762" s="8" t="s">
        <v>5925</v>
      </c>
      <c r="D3762" s="7">
        <v>1</v>
      </c>
      <c r="E3762" s="7">
        <v>10</v>
      </c>
      <c r="F3762" s="7">
        <v>1</v>
      </c>
      <c r="G3762" s="8" t="s">
        <v>5690</v>
      </c>
      <c r="H3762" s="8" t="s">
        <v>5691</v>
      </c>
      <c r="I3762" s="7" t="str">
        <f>_xlfn.CONCAT(Paper_Reference[[#This Row],[Lvl]:[Paper Description]])</f>
        <v>2MB2SW844G4201FROSTY WHITE M/B 48 X 1441101100DS009-6200FROSTY WHITE</v>
      </c>
      <c r="J3762" s="7">
        <f>COUNTIF(Paper_Reference[Duplicate Key],Paper_Reference[[#This Row],[Duplicate Key]])</f>
        <v>1</v>
      </c>
    </row>
    <row r="3763" spans="1:10">
      <c r="A3763" s="7">
        <v>2</v>
      </c>
      <c r="B3763" s="8" t="s">
        <v>7901</v>
      </c>
      <c r="C3763" s="8" t="s">
        <v>7084</v>
      </c>
      <c r="D3763" s="7">
        <v>1</v>
      </c>
      <c r="E3763" s="7">
        <v>10</v>
      </c>
      <c r="F3763" s="7">
        <v>1</v>
      </c>
      <c r="G3763" s="8" t="s">
        <v>6710</v>
      </c>
      <c r="H3763" s="8" t="s">
        <v>5691</v>
      </c>
      <c r="I3763" s="7" t="str">
        <f>_xlfn.CONCAT(Paper_Reference[[#This Row],[Lvl]:[Paper Description]])</f>
        <v>2MB2SW844G480FROSTY WHITE M/B 48 X 961101100DS009-5000FROSTY WHITE</v>
      </c>
      <c r="J3763" s="7">
        <f>COUNTIF(Paper_Reference[Duplicate Key],Paper_Reference[[#This Row],[Duplicate Key]])</f>
        <v>1</v>
      </c>
    </row>
    <row r="3764" spans="1:10">
      <c r="A3764" s="7">
        <v>2</v>
      </c>
      <c r="B3764" s="8" t="s">
        <v>7899</v>
      </c>
      <c r="C3764" s="8" t="s">
        <v>7084</v>
      </c>
      <c r="D3764" s="7">
        <v>1</v>
      </c>
      <c r="E3764" s="7">
        <v>10</v>
      </c>
      <c r="F3764" s="7">
        <v>1</v>
      </c>
      <c r="G3764" s="8" t="s">
        <v>6710</v>
      </c>
      <c r="H3764" s="8" t="s">
        <v>5691</v>
      </c>
      <c r="I3764" s="7" t="str">
        <f>_xlfn.CONCAT(Paper_Reference[[#This Row],[Lvl]:[Paper Description]])</f>
        <v>2MB2SW844G4801FROSTY WHITE M/B 48 X 961101100DS009-5000FROSTY WHITE</v>
      </c>
      <c r="J3764" s="7">
        <f>COUNTIF(Paper_Reference[Duplicate Key],Paper_Reference[[#This Row],[Duplicate Key]])</f>
        <v>1</v>
      </c>
    </row>
    <row r="3765" spans="1:10">
      <c r="A3765" s="7">
        <v>2</v>
      </c>
      <c r="B3765" s="8" t="s">
        <v>7900</v>
      </c>
      <c r="C3765" s="8" t="s">
        <v>7084</v>
      </c>
      <c r="D3765" s="7">
        <v>1</v>
      </c>
      <c r="E3765" s="7">
        <v>10</v>
      </c>
      <c r="F3765" s="7">
        <v>1</v>
      </c>
      <c r="G3765" s="8" t="s">
        <v>6710</v>
      </c>
      <c r="H3765" s="8" t="s">
        <v>5691</v>
      </c>
      <c r="I3765" s="7" t="str">
        <f>_xlfn.CONCAT(Paper_Reference[[#This Row],[Lvl]:[Paper Description]])</f>
        <v>2MB2SW844G4804FROSTY WHITE M/B 48 X 961101100DS009-5000FROSTY WHITE</v>
      </c>
      <c r="J3765" s="7">
        <f>COUNTIF(Paper_Reference[Duplicate Key],Paper_Reference[[#This Row],[Duplicate Key]])</f>
        <v>1</v>
      </c>
    </row>
    <row r="3766" spans="1:10">
      <c r="A3766" s="7">
        <v>2</v>
      </c>
      <c r="B3766" s="8" t="s">
        <v>6431</v>
      </c>
      <c r="C3766" s="8" t="s">
        <v>5926</v>
      </c>
      <c r="D3766" s="7">
        <v>1</v>
      </c>
      <c r="E3766" s="7">
        <v>10</v>
      </c>
      <c r="F3766" s="7">
        <v>1</v>
      </c>
      <c r="G3766" s="8" t="s">
        <v>5690</v>
      </c>
      <c r="H3766" s="8" t="s">
        <v>5691</v>
      </c>
      <c r="I3766" s="7" t="str">
        <f>_xlfn.CONCAT(Paper_Reference[[#This Row],[Lvl]:[Paper Description]])</f>
        <v>2MB2SW844G500FROSTY WHITE M/B 60 X 1201101100DS009-6200FROSTY WHITE</v>
      </c>
      <c r="J3766" s="7">
        <f>COUNTIF(Paper_Reference[Duplicate Key],Paper_Reference[[#This Row],[Duplicate Key]])</f>
        <v>1</v>
      </c>
    </row>
    <row r="3767" spans="1:10">
      <c r="A3767" s="7">
        <v>2</v>
      </c>
      <c r="B3767" s="8" t="s">
        <v>6430</v>
      </c>
      <c r="C3767" s="8" t="s">
        <v>5926</v>
      </c>
      <c r="D3767" s="7">
        <v>1</v>
      </c>
      <c r="E3767" s="7">
        <v>10</v>
      </c>
      <c r="F3767" s="7">
        <v>1</v>
      </c>
      <c r="G3767" s="8" t="s">
        <v>5690</v>
      </c>
      <c r="H3767" s="8" t="s">
        <v>5691</v>
      </c>
      <c r="I3767" s="7" t="str">
        <f>_xlfn.CONCAT(Paper_Reference[[#This Row],[Lvl]:[Paper Description]])</f>
        <v>2MB2SW844G5001FROSTY WHITE M/B 60 X 1201101100DS009-6200FROSTY WHITE</v>
      </c>
      <c r="J3767" s="7">
        <f>COUNTIF(Paper_Reference[Duplicate Key],Paper_Reference[[#This Row],[Duplicate Key]])</f>
        <v>1</v>
      </c>
    </row>
    <row r="3768" spans="1:10">
      <c r="A3768" s="7">
        <v>2</v>
      </c>
      <c r="B3768" s="8" t="s">
        <v>6433</v>
      </c>
      <c r="C3768" s="8" t="s">
        <v>5927</v>
      </c>
      <c r="D3768" s="7">
        <v>1</v>
      </c>
      <c r="E3768" s="7">
        <v>10</v>
      </c>
      <c r="F3768" s="7">
        <v>1</v>
      </c>
      <c r="G3768" s="8" t="s">
        <v>5690</v>
      </c>
      <c r="H3768" s="8" t="s">
        <v>5691</v>
      </c>
      <c r="I3768" s="7" t="str">
        <f>_xlfn.CONCAT(Paper_Reference[[#This Row],[Lvl]:[Paper Description]])</f>
        <v>2MB2SW844G520FROSTY WHITE M/B 60 X 1441101100DS009-6200FROSTY WHITE</v>
      </c>
      <c r="J3768" s="7">
        <f>COUNTIF(Paper_Reference[Duplicate Key],Paper_Reference[[#This Row],[Duplicate Key]])</f>
        <v>1</v>
      </c>
    </row>
    <row r="3769" spans="1:10">
      <c r="A3769" s="7">
        <v>2</v>
      </c>
      <c r="B3769" s="8" t="s">
        <v>6432</v>
      </c>
      <c r="C3769" s="8" t="s">
        <v>5927</v>
      </c>
      <c r="D3769" s="7">
        <v>1</v>
      </c>
      <c r="E3769" s="7">
        <v>10</v>
      </c>
      <c r="F3769" s="7">
        <v>1</v>
      </c>
      <c r="G3769" s="8" t="s">
        <v>5690</v>
      </c>
      <c r="H3769" s="8" t="s">
        <v>5691</v>
      </c>
      <c r="I3769" s="7" t="str">
        <f>_xlfn.CONCAT(Paper_Reference[[#This Row],[Lvl]:[Paper Description]])</f>
        <v>2MB2SW844G5201FROSTY WHITE M/B 60 X 1441101100DS009-6200FROSTY WHITE</v>
      </c>
      <c r="J3769" s="7">
        <f>COUNTIF(Paper_Reference[Duplicate Key],Paper_Reference[[#This Row],[Duplicate Key]])</f>
        <v>1</v>
      </c>
    </row>
    <row r="3770" spans="1:10">
      <c r="A3770" s="7">
        <v>2</v>
      </c>
      <c r="B3770" s="8" t="s">
        <v>6436</v>
      </c>
      <c r="C3770" s="8" t="s">
        <v>5929</v>
      </c>
      <c r="D3770" s="7">
        <v>1</v>
      </c>
      <c r="E3770" s="7">
        <v>10</v>
      </c>
      <c r="F3770" s="7">
        <v>1</v>
      </c>
      <c r="G3770" s="8" t="s">
        <v>5690</v>
      </c>
      <c r="H3770" s="8" t="s">
        <v>5691</v>
      </c>
      <c r="I3770" s="7" t="str">
        <f>_xlfn.CONCAT(Paper_Reference[[#This Row],[Lvl]:[Paper Description]])</f>
        <v>2MB2SW844G580FROSTY WHITE M/B 60 X 961101100DS009-6200FROSTY WHITE</v>
      </c>
      <c r="J3770" s="7">
        <f>COUNTIF(Paper_Reference[Duplicate Key],Paper_Reference[[#This Row],[Duplicate Key]])</f>
        <v>1</v>
      </c>
    </row>
    <row r="3771" spans="1:10">
      <c r="A3771" s="7">
        <v>2</v>
      </c>
      <c r="B3771" s="8" t="s">
        <v>6434</v>
      </c>
      <c r="C3771" s="8" t="s">
        <v>5929</v>
      </c>
      <c r="D3771" s="7">
        <v>1</v>
      </c>
      <c r="E3771" s="7">
        <v>10</v>
      </c>
      <c r="F3771" s="7">
        <v>1</v>
      </c>
      <c r="G3771" s="8" t="s">
        <v>5690</v>
      </c>
      <c r="H3771" s="8" t="s">
        <v>5691</v>
      </c>
      <c r="I3771" s="7" t="str">
        <f>_xlfn.CONCAT(Paper_Reference[[#This Row],[Lvl]:[Paper Description]])</f>
        <v>2MB2SW844G5801FROSTY WHITE M/B 60 X 961101100DS009-6200FROSTY WHITE</v>
      </c>
      <c r="J3771" s="7">
        <f>COUNTIF(Paper_Reference[Duplicate Key],Paper_Reference[[#This Row],[Duplicate Key]])</f>
        <v>1</v>
      </c>
    </row>
    <row r="3772" spans="1:10">
      <c r="A3772" s="7">
        <v>2</v>
      </c>
      <c r="B3772" s="8" t="s">
        <v>6435</v>
      </c>
      <c r="C3772" s="8" t="s">
        <v>5929</v>
      </c>
      <c r="D3772" s="7">
        <v>1</v>
      </c>
      <c r="E3772" s="7">
        <v>10</v>
      </c>
      <c r="F3772" s="7">
        <v>1</v>
      </c>
      <c r="G3772" s="8" t="s">
        <v>5690</v>
      </c>
      <c r="H3772" s="8" t="s">
        <v>5691</v>
      </c>
      <c r="I3772" s="7" t="str">
        <f>_xlfn.CONCAT(Paper_Reference[[#This Row],[Lvl]:[Paper Description]])</f>
        <v>2MB2SW844G5804FROSTY WHITE M/B 60 X 961101100DS009-6200FROSTY WHITE</v>
      </c>
      <c r="J3772" s="7">
        <f>COUNTIF(Paper_Reference[Duplicate Key],Paper_Reference[[#This Row],[Duplicate Key]])</f>
        <v>1</v>
      </c>
    </row>
    <row r="3773" spans="1:10">
      <c r="A3773" s="7">
        <v>2</v>
      </c>
      <c r="B3773" s="8" t="s">
        <v>6437</v>
      </c>
      <c r="C3773" s="8" t="s">
        <v>5938</v>
      </c>
      <c r="D3773" s="7">
        <v>1</v>
      </c>
      <c r="E3773" s="7">
        <v>10</v>
      </c>
      <c r="F3773" s="7">
        <v>1</v>
      </c>
      <c r="G3773" s="8" t="s">
        <v>5690</v>
      </c>
      <c r="H3773" s="8" t="s">
        <v>5691</v>
      </c>
      <c r="I3773" s="7" t="str">
        <f>_xlfn.CONCAT(Paper_Reference[[#This Row],[Lvl]:[Paper Description]])</f>
        <v>2MB2SW844GCMQFROSTY WHITE M/B 61 X 1091101100DS009-6200FROSTY WHITE</v>
      </c>
      <c r="J3773" s="7">
        <f>COUNTIF(Paper_Reference[Duplicate Key],Paper_Reference[[#This Row],[Duplicate Key]])</f>
        <v>1</v>
      </c>
    </row>
    <row r="3774" spans="1:10">
      <c r="A3774" s="7">
        <v>2</v>
      </c>
      <c r="B3774" s="8" t="s">
        <v>6438</v>
      </c>
      <c r="C3774" s="8" t="s">
        <v>5931</v>
      </c>
      <c r="D3774" s="7">
        <v>1</v>
      </c>
      <c r="E3774" s="7">
        <v>10</v>
      </c>
      <c r="F3774" s="7">
        <v>1</v>
      </c>
      <c r="G3774" s="8" t="s">
        <v>5690</v>
      </c>
      <c r="H3774" s="8" t="s">
        <v>5691</v>
      </c>
      <c r="I3774" s="7" t="str">
        <f>_xlfn.CONCAT(Paper_Reference[[#This Row],[Lvl]:[Paper Description]])</f>
        <v>2MB2SW844GL3201FROSTY WHITE M/B 36 X 1441101100DS009-6200FROSTY WHITE</v>
      </c>
      <c r="J3774" s="7">
        <f>COUNTIF(Paper_Reference[Duplicate Key],Paper_Reference[[#This Row],[Duplicate Key]])</f>
        <v>1</v>
      </c>
    </row>
    <row r="3775" spans="1:10">
      <c r="A3775" s="7">
        <v>2</v>
      </c>
      <c r="B3775" s="8" t="s">
        <v>6439</v>
      </c>
      <c r="C3775" s="8" t="s">
        <v>5939</v>
      </c>
      <c r="D3775" s="7">
        <v>1</v>
      </c>
      <c r="E3775" s="7">
        <v>10</v>
      </c>
      <c r="F3775" s="7">
        <v>0.5</v>
      </c>
      <c r="G3775" s="8" t="s">
        <v>5690</v>
      </c>
      <c r="H3775" s="8" t="s">
        <v>5691</v>
      </c>
      <c r="I3775" s="7" t="str">
        <f>_xlfn.CONCAT(Paper_Reference[[#This Row],[Lvl]:[Paper Description]])</f>
        <v>2MB2SW844GL3601FROSTY WHITE M/B 36 X 721100.5100DS009-6200FROSTY WHITE</v>
      </c>
      <c r="J3775" s="7">
        <f>COUNTIF(Paper_Reference[Duplicate Key],Paper_Reference[[#This Row],[Duplicate Key]])</f>
        <v>1</v>
      </c>
    </row>
    <row r="3776" spans="1:10">
      <c r="A3776" s="7">
        <v>2</v>
      </c>
      <c r="B3776" s="8" t="s">
        <v>7902</v>
      </c>
      <c r="C3776" s="8" t="s">
        <v>7083</v>
      </c>
      <c r="D3776" s="7">
        <v>1</v>
      </c>
      <c r="E3776" s="7">
        <v>10</v>
      </c>
      <c r="F3776" s="7">
        <v>1</v>
      </c>
      <c r="G3776" s="8" t="s">
        <v>6710</v>
      </c>
      <c r="H3776" s="8" t="s">
        <v>5691</v>
      </c>
      <c r="I3776" s="7" t="str">
        <f>_xlfn.CONCAT(Paper_Reference[[#This Row],[Lvl]:[Paper Description]])</f>
        <v>2MB2SW844GL4001FROSTY WHITE M/B 48 X 1201101100DS009-5000FROSTY WHITE</v>
      </c>
      <c r="J3776" s="7">
        <f>COUNTIF(Paper_Reference[Duplicate Key],Paper_Reference[[#This Row],[Duplicate Key]])</f>
        <v>1</v>
      </c>
    </row>
    <row r="3777" spans="1:10">
      <c r="A3777" s="7">
        <v>2</v>
      </c>
      <c r="B3777" s="8" t="s">
        <v>6441</v>
      </c>
      <c r="C3777" s="8" t="s">
        <v>5925</v>
      </c>
      <c r="D3777" s="7">
        <v>1</v>
      </c>
      <c r="E3777" s="7">
        <v>10</v>
      </c>
      <c r="F3777" s="7">
        <v>1</v>
      </c>
      <c r="G3777" s="8" t="s">
        <v>5690</v>
      </c>
      <c r="H3777" s="8" t="s">
        <v>5691</v>
      </c>
      <c r="I3777" s="7" t="str">
        <f>_xlfn.CONCAT(Paper_Reference[[#This Row],[Lvl]:[Paper Description]])</f>
        <v>2MB2SW844GL420FROSTY WHITE M/B 48 X 1441101100DS009-6200FROSTY WHITE</v>
      </c>
      <c r="J3777" s="7">
        <f>COUNTIF(Paper_Reference[Duplicate Key],Paper_Reference[[#This Row],[Duplicate Key]])</f>
        <v>1</v>
      </c>
    </row>
    <row r="3778" spans="1:10">
      <c r="A3778" s="7">
        <v>2</v>
      </c>
      <c r="B3778" s="8" t="s">
        <v>6440</v>
      </c>
      <c r="C3778" s="8" t="s">
        <v>5925</v>
      </c>
      <c r="D3778" s="7">
        <v>1</v>
      </c>
      <c r="E3778" s="7">
        <v>10</v>
      </c>
      <c r="F3778" s="7">
        <v>1</v>
      </c>
      <c r="G3778" s="8" t="s">
        <v>5690</v>
      </c>
      <c r="H3778" s="8" t="s">
        <v>5691</v>
      </c>
      <c r="I3778" s="7" t="str">
        <f>_xlfn.CONCAT(Paper_Reference[[#This Row],[Lvl]:[Paper Description]])</f>
        <v>2MB2SW844GL4201FROSTY WHITE M/B 48 X 1441101100DS009-6200FROSTY WHITE</v>
      </c>
      <c r="J3778" s="7">
        <f>COUNTIF(Paper_Reference[Duplicate Key],Paper_Reference[[#This Row],[Duplicate Key]])</f>
        <v>1</v>
      </c>
    </row>
    <row r="3779" spans="1:10">
      <c r="A3779" s="7">
        <v>2</v>
      </c>
      <c r="B3779" s="8" t="s">
        <v>7904</v>
      </c>
      <c r="C3779" s="8" t="s">
        <v>7084</v>
      </c>
      <c r="D3779" s="7">
        <v>1</v>
      </c>
      <c r="E3779" s="7">
        <v>10</v>
      </c>
      <c r="F3779" s="7">
        <v>1</v>
      </c>
      <c r="G3779" s="8" t="s">
        <v>6710</v>
      </c>
      <c r="H3779" s="8" t="s">
        <v>5691</v>
      </c>
      <c r="I3779" s="7" t="str">
        <f>_xlfn.CONCAT(Paper_Reference[[#This Row],[Lvl]:[Paper Description]])</f>
        <v>2MB2SW844GL480FROSTY WHITE M/B 48 X 961101100DS009-5000FROSTY WHITE</v>
      </c>
      <c r="J3779" s="7">
        <f>COUNTIF(Paper_Reference[Duplicate Key],Paper_Reference[[#This Row],[Duplicate Key]])</f>
        <v>1</v>
      </c>
    </row>
    <row r="3780" spans="1:10">
      <c r="A3780" s="7">
        <v>2</v>
      </c>
      <c r="B3780" s="8" t="s">
        <v>7903</v>
      </c>
      <c r="C3780" s="8" t="s">
        <v>7084</v>
      </c>
      <c r="D3780" s="7">
        <v>1</v>
      </c>
      <c r="E3780" s="7">
        <v>10</v>
      </c>
      <c r="F3780" s="7">
        <v>1</v>
      </c>
      <c r="G3780" s="8" t="s">
        <v>6710</v>
      </c>
      <c r="H3780" s="8" t="s">
        <v>5691</v>
      </c>
      <c r="I3780" s="7" t="str">
        <f>_xlfn.CONCAT(Paper_Reference[[#This Row],[Lvl]:[Paper Description]])</f>
        <v>2MB2SW844GL4801FROSTY WHITE M/B 48 X 961101100DS009-5000FROSTY WHITE</v>
      </c>
      <c r="J3780" s="7">
        <f>COUNTIF(Paper_Reference[Duplicate Key],Paper_Reference[[#This Row],[Duplicate Key]])</f>
        <v>1</v>
      </c>
    </row>
    <row r="3781" spans="1:10">
      <c r="A3781" s="7">
        <v>2</v>
      </c>
      <c r="B3781" s="8" t="s">
        <v>6443</v>
      </c>
      <c r="C3781" s="8" t="s">
        <v>5926</v>
      </c>
      <c r="D3781" s="7">
        <v>1</v>
      </c>
      <c r="E3781" s="7">
        <v>10</v>
      </c>
      <c r="F3781" s="7">
        <v>1</v>
      </c>
      <c r="G3781" s="8" t="s">
        <v>5690</v>
      </c>
      <c r="H3781" s="8" t="s">
        <v>5691</v>
      </c>
      <c r="I3781" s="7" t="str">
        <f>_xlfn.CONCAT(Paper_Reference[[#This Row],[Lvl]:[Paper Description]])</f>
        <v>2MB2SW844GL500FROSTY WHITE M/B 60 X 1201101100DS009-6200FROSTY WHITE</v>
      </c>
      <c r="J3781" s="7">
        <f>COUNTIF(Paper_Reference[Duplicate Key],Paper_Reference[[#This Row],[Duplicate Key]])</f>
        <v>1</v>
      </c>
    </row>
    <row r="3782" spans="1:10">
      <c r="A3782" s="7">
        <v>2</v>
      </c>
      <c r="B3782" s="8" t="s">
        <v>6442</v>
      </c>
      <c r="C3782" s="8" t="s">
        <v>5926</v>
      </c>
      <c r="D3782" s="7">
        <v>1</v>
      </c>
      <c r="E3782" s="7">
        <v>10</v>
      </c>
      <c r="F3782" s="7">
        <v>1</v>
      </c>
      <c r="G3782" s="8" t="s">
        <v>5690</v>
      </c>
      <c r="H3782" s="8" t="s">
        <v>5691</v>
      </c>
      <c r="I3782" s="7" t="str">
        <f>_xlfn.CONCAT(Paper_Reference[[#This Row],[Lvl]:[Paper Description]])</f>
        <v>2MB2SW844GL5001FROSTY WHITE M/B 60 X 1201101100DS009-6200FROSTY WHITE</v>
      </c>
      <c r="J3782" s="7">
        <f>COUNTIF(Paper_Reference[Duplicate Key],Paper_Reference[[#This Row],[Duplicate Key]])</f>
        <v>1</v>
      </c>
    </row>
    <row r="3783" spans="1:10">
      <c r="A3783" s="7">
        <v>2</v>
      </c>
      <c r="B3783" s="8" t="s">
        <v>6444</v>
      </c>
      <c r="C3783" s="8" t="s">
        <v>5927</v>
      </c>
      <c r="D3783" s="7">
        <v>1</v>
      </c>
      <c r="E3783" s="7">
        <v>10</v>
      </c>
      <c r="F3783" s="7">
        <v>1</v>
      </c>
      <c r="G3783" s="8" t="s">
        <v>5690</v>
      </c>
      <c r="H3783" s="8" t="s">
        <v>5691</v>
      </c>
      <c r="I3783" s="7" t="str">
        <f>_xlfn.CONCAT(Paper_Reference[[#This Row],[Lvl]:[Paper Description]])</f>
        <v>2MB2SW844GL5201FROSTY WHITE M/B 60 X 1441101100DS009-6200FROSTY WHITE</v>
      </c>
      <c r="J3783" s="7">
        <f>COUNTIF(Paper_Reference[Duplicate Key],Paper_Reference[[#This Row],[Duplicate Key]])</f>
        <v>1</v>
      </c>
    </row>
    <row r="3784" spans="1:10">
      <c r="A3784" s="7">
        <v>2</v>
      </c>
      <c r="B3784" s="8" t="s">
        <v>6445</v>
      </c>
      <c r="C3784" s="8" t="s">
        <v>5928</v>
      </c>
      <c r="D3784" s="7">
        <v>1</v>
      </c>
      <c r="E3784" s="7">
        <v>10</v>
      </c>
      <c r="F3784" s="7">
        <v>0.5</v>
      </c>
      <c r="G3784" s="8" t="s">
        <v>5690</v>
      </c>
      <c r="H3784" s="8" t="s">
        <v>5691</v>
      </c>
      <c r="I3784" s="7" t="str">
        <f>_xlfn.CONCAT(Paper_Reference[[#This Row],[Lvl]:[Paper Description]])</f>
        <v>2MB2SW844GL5601FROSTY WHITE M/B 60 X 721100.5100DS009-6200FROSTY WHITE</v>
      </c>
      <c r="J3784" s="7">
        <f>COUNTIF(Paper_Reference[Duplicate Key],Paper_Reference[[#This Row],[Duplicate Key]])</f>
        <v>1</v>
      </c>
    </row>
    <row r="3785" spans="1:10">
      <c r="A3785" s="7">
        <v>2</v>
      </c>
      <c r="B3785" s="8" t="s">
        <v>6447</v>
      </c>
      <c r="C3785" s="8" t="s">
        <v>5929</v>
      </c>
      <c r="D3785" s="7">
        <v>1</v>
      </c>
      <c r="E3785" s="7">
        <v>10</v>
      </c>
      <c r="F3785" s="7">
        <v>1</v>
      </c>
      <c r="G3785" s="8" t="s">
        <v>5690</v>
      </c>
      <c r="H3785" s="8" t="s">
        <v>5691</v>
      </c>
      <c r="I3785" s="7" t="str">
        <f>_xlfn.CONCAT(Paper_Reference[[#This Row],[Lvl]:[Paper Description]])</f>
        <v>2MB2SW844GL580FROSTY WHITE M/B 60 X 961101100DS009-6200FROSTY WHITE</v>
      </c>
      <c r="J3785" s="7">
        <f>COUNTIF(Paper_Reference[Duplicate Key],Paper_Reference[[#This Row],[Duplicate Key]])</f>
        <v>1</v>
      </c>
    </row>
    <row r="3786" spans="1:10">
      <c r="A3786" s="7">
        <v>2</v>
      </c>
      <c r="B3786" s="8" t="s">
        <v>6446</v>
      </c>
      <c r="C3786" s="8" t="s">
        <v>5929</v>
      </c>
      <c r="D3786" s="7">
        <v>1</v>
      </c>
      <c r="E3786" s="7">
        <v>10</v>
      </c>
      <c r="F3786" s="7">
        <v>1</v>
      </c>
      <c r="G3786" s="8" t="s">
        <v>5690</v>
      </c>
      <c r="H3786" s="8" t="s">
        <v>5691</v>
      </c>
      <c r="I3786" s="7" t="str">
        <f>_xlfn.CONCAT(Paper_Reference[[#This Row],[Lvl]:[Paper Description]])</f>
        <v>2MB2SW844GL5801FROSTY WHITE M/B 60 X 961101100DS009-6200FROSTY WHITE</v>
      </c>
      <c r="J3786" s="7">
        <f>COUNTIF(Paper_Reference[Duplicate Key],Paper_Reference[[#This Row],[Duplicate Key]])</f>
        <v>1</v>
      </c>
    </row>
    <row r="3787" spans="1:10">
      <c r="A3787" s="7">
        <v>2</v>
      </c>
      <c r="B3787" s="8" t="s">
        <v>6448</v>
      </c>
      <c r="C3787" s="8" t="s">
        <v>5940</v>
      </c>
      <c r="D3787" s="7">
        <v>1</v>
      </c>
      <c r="E3787" s="7">
        <v>10</v>
      </c>
      <c r="F3787" s="7">
        <v>1</v>
      </c>
      <c r="G3787" s="8" t="s">
        <v>5690</v>
      </c>
      <c r="H3787" s="8" t="s">
        <v>5691</v>
      </c>
      <c r="I3787" s="7" t="str">
        <f>_xlfn.CONCAT(Paper_Reference[[#This Row],[Lvl]:[Paper Description]])</f>
        <v>2MB2SW844GLCGEFROSTY WHITE M/B 48 X 1451101100DS009-6200FROSTY WHITE</v>
      </c>
      <c r="J3787" s="7">
        <f>COUNTIF(Paper_Reference[Duplicate Key],Paper_Reference[[#This Row],[Duplicate Key]])</f>
        <v>1</v>
      </c>
    </row>
    <row r="3788" spans="1:10">
      <c r="A3788" s="7">
        <v>2</v>
      </c>
      <c r="B3788" s="8" t="s">
        <v>7905</v>
      </c>
      <c r="C3788" s="8" t="s">
        <v>7085</v>
      </c>
      <c r="D3788" s="7">
        <v>1</v>
      </c>
      <c r="E3788" s="7">
        <v>10</v>
      </c>
      <c r="F3788" s="7">
        <v>1</v>
      </c>
      <c r="G3788" s="8" t="s">
        <v>6710</v>
      </c>
      <c r="H3788" s="8" t="s">
        <v>5691</v>
      </c>
      <c r="I3788" s="7" t="str">
        <f>_xlfn.CONCAT(Paper_Reference[[#This Row],[Lvl]:[Paper Description]])</f>
        <v>2MB2SW844GQRY1FROSTY WHITE M/B 48 X 1081101100DS009-5000FROSTY WHITE</v>
      </c>
      <c r="J3788" s="7">
        <f>COUNTIF(Paper_Reference[Duplicate Key],Paper_Reference[[#This Row],[Duplicate Key]])</f>
        <v>1</v>
      </c>
    </row>
    <row r="3789" spans="1:10">
      <c r="A3789" s="7">
        <v>2</v>
      </c>
      <c r="B3789" s="8" t="s">
        <v>7906</v>
      </c>
      <c r="C3789" s="8" t="s">
        <v>7084</v>
      </c>
      <c r="D3789" s="7">
        <v>1</v>
      </c>
      <c r="E3789" s="7">
        <v>10</v>
      </c>
      <c r="F3789" s="7">
        <v>1</v>
      </c>
      <c r="G3789" s="8" t="s">
        <v>6710</v>
      </c>
      <c r="H3789" s="8" t="s">
        <v>5691</v>
      </c>
      <c r="I3789" s="7" t="str">
        <f>_xlfn.CONCAT(Paper_Reference[[#This Row],[Lvl]:[Paper Description]])</f>
        <v>2MB2SW844U480FROSTY WHITE M/B 48 X 961101100DS009-5000FROSTY WHITE</v>
      </c>
      <c r="J3789" s="7">
        <f>COUNTIF(Paper_Reference[Duplicate Key],Paper_Reference[[#This Row],[Duplicate Key]])</f>
        <v>1</v>
      </c>
    </row>
    <row r="3790" spans="1:10">
      <c r="A3790" s="7">
        <v>2</v>
      </c>
      <c r="B3790" s="8" t="s">
        <v>7908</v>
      </c>
      <c r="C3790" s="8" t="s">
        <v>7084</v>
      </c>
      <c r="D3790" s="7">
        <v>1</v>
      </c>
      <c r="E3790" s="7">
        <v>10</v>
      </c>
      <c r="F3790" s="7">
        <v>2</v>
      </c>
      <c r="G3790" s="8" t="s">
        <v>6710</v>
      </c>
      <c r="H3790" s="8" t="s">
        <v>5691</v>
      </c>
      <c r="I3790" s="7" t="str">
        <f>_xlfn.CONCAT(Paper_Reference[[#This Row],[Lvl]:[Paper Description]])</f>
        <v>2MB3SW844G480FROSTY WHITE M/B 48 X 961102100DS009-5000FROSTY WHITE</v>
      </c>
      <c r="J3790" s="7">
        <f>COUNTIF(Paper_Reference[Duplicate Key],Paper_Reference[[#This Row],[Duplicate Key]])</f>
        <v>1</v>
      </c>
    </row>
    <row r="3791" spans="1:10">
      <c r="A3791" s="7">
        <v>2</v>
      </c>
      <c r="B3791" s="8" t="s">
        <v>7907</v>
      </c>
      <c r="C3791" s="8" t="s">
        <v>7084</v>
      </c>
      <c r="D3791" s="7">
        <v>1</v>
      </c>
      <c r="E3791" s="7">
        <v>10</v>
      </c>
      <c r="F3791" s="7">
        <v>2</v>
      </c>
      <c r="G3791" s="8" t="s">
        <v>6710</v>
      </c>
      <c r="H3791" s="8" t="s">
        <v>5691</v>
      </c>
      <c r="I3791" s="7" t="str">
        <f>_xlfn.CONCAT(Paper_Reference[[#This Row],[Lvl]:[Paper Description]])</f>
        <v>2MB3SW844G4802FROSTY WHITE M/B 48 X 961102100DS009-5000FROSTY WHITE</v>
      </c>
      <c r="J3791" s="7">
        <f>COUNTIF(Paper_Reference[Duplicate Key],Paper_Reference[[#This Row],[Duplicate Key]])</f>
        <v>1</v>
      </c>
    </row>
    <row r="3792" spans="1:10">
      <c r="A3792" s="7">
        <v>2</v>
      </c>
      <c r="B3792" s="8" t="s">
        <v>7909</v>
      </c>
      <c r="C3792" s="8" t="s">
        <v>7083</v>
      </c>
      <c r="D3792" s="7">
        <v>1</v>
      </c>
      <c r="E3792" s="7">
        <v>10</v>
      </c>
      <c r="F3792" s="7">
        <v>2</v>
      </c>
      <c r="G3792" s="8" t="s">
        <v>6710</v>
      </c>
      <c r="H3792" s="8" t="s">
        <v>5691</v>
      </c>
      <c r="I3792" s="7" t="str">
        <f>_xlfn.CONCAT(Paper_Reference[[#This Row],[Lvl]:[Paper Description]])</f>
        <v>2MB3SW844GL4002FROSTY WHITE M/B 48 X 1201102100DS009-5000FROSTY WHITE</v>
      </c>
      <c r="J3792" s="7">
        <f>COUNTIF(Paper_Reference[Duplicate Key],Paper_Reference[[#This Row],[Duplicate Key]])</f>
        <v>1</v>
      </c>
    </row>
    <row r="3793" spans="1:10">
      <c r="A3793" s="7">
        <v>2</v>
      </c>
      <c r="B3793" s="8" t="s">
        <v>6449</v>
      </c>
      <c r="C3793" s="8" t="s">
        <v>5925</v>
      </c>
      <c r="D3793" s="7">
        <v>1</v>
      </c>
      <c r="E3793" s="7">
        <v>10</v>
      </c>
      <c r="F3793" s="7">
        <v>2</v>
      </c>
      <c r="G3793" s="8" t="s">
        <v>5690</v>
      </c>
      <c r="H3793" s="8" t="s">
        <v>5691</v>
      </c>
      <c r="I3793" s="7" t="str">
        <f>_xlfn.CONCAT(Paper_Reference[[#This Row],[Lvl]:[Paper Description]])</f>
        <v>2MB3SW844GL4202FROSTY WHITE M/B 48 X 1441102100DS009-6200FROSTY WHITE</v>
      </c>
      <c r="J3793" s="7">
        <f>COUNTIF(Paper_Reference[Duplicate Key],Paper_Reference[[#This Row],[Duplicate Key]])</f>
        <v>1</v>
      </c>
    </row>
    <row r="3794" spans="1:10">
      <c r="A3794" s="7">
        <v>2</v>
      </c>
      <c r="B3794" s="8" t="s">
        <v>7910</v>
      </c>
      <c r="C3794" s="8" t="s">
        <v>7084</v>
      </c>
      <c r="D3794" s="7">
        <v>1</v>
      </c>
      <c r="E3794" s="7">
        <v>10</v>
      </c>
      <c r="F3794" s="7">
        <v>2</v>
      </c>
      <c r="G3794" s="8" t="s">
        <v>6710</v>
      </c>
      <c r="H3794" s="8" t="s">
        <v>5691</v>
      </c>
      <c r="I3794" s="7" t="str">
        <f>_xlfn.CONCAT(Paper_Reference[[#This Row],[Lvl]:[Paper Description]])</f>
        <v>2MB3SW844GL4802FROSTY WHITE M/B 48 X 961102100DS009-5000FROSTY WHITE</v>
      </c>
      <c r="J3794" s="7">
        <f>COUNTIF(Paper_Reference[Duplicate Key],Paper_Reference[[#This Row],[Duplicate Key]])</f>
        <v>1</v>
      </c>
    </row>
    <row r="3795" spans="1:10">
      <c r="A3795" s="7">
        <v>2</v>
      </c>
      <c r="B3795" s="8" t="s">
        <v>7911</v>
      </c>
      <c r="C3795" s="8" t="s">
        <v>7085</v>
      </c>
      <c r="D3795" s="7">
        <v>1</v>
      </c>
      <c r="E3795" s="7">
        <v>10</v>
      </c>
      <c r="F3795" s="7">
        <v>2</v>
      </c>
      <c r="G3795" s="8" t="s">
        <v>6710</v>
      </c>
      <c r="H3795" s="8" t="s">
        <v>5691</v>
      </c>
      <c r="I3795" s="7" t="str">
        <f>_xlfn.CONCAT(Paper_Reference[[#This Row],[Lvl]:[Paper Description]])</f>
        <v>2MB3SW844GL4902FROSTY WHITE M/B 48 X 1081102100DS009-5000FROSTY WHITE</v>
      </c>
      <c r="J3795" s="7">
        <f>COUNTIF(Paper_Reference[Duplicate Key],Paper_Reference[[#This Row],[Duplicate Key]])</f>
        <v>1</v>
      </c>
    </row>
    <row r="3796" spans="1:10">
      <c r="A3796" s="7">
        <v>2</v>
      </c>
      <c r="B3796" s="8" t="s">
        <v>7912</v>
      </c>
      <c r="C3796" s="8" t="s">
        <v>7084</v>
      </c>
      <c r="D3796" s="7">
        <v>1</v>
      </c>
      <c r="E3796" s="7">
        <v>10</v>
      </c>
      <c r="F3796" s="7">
        <v>1</v>
      </c>
      <c r="G3796" s="8" t="s">
        <v>6710</v>
      </c>
      <c r="H3796" s="8" t="s">
        <v>5691</v>
      </c>
      <c r="I3796" s="7" t="str">
        <f>_xlfn.CONCAT(Paper_Reference[[#This Row],[Lvl]:[Paper Description]])</f>
        <v>2MB4SW844G480FROSTY WHITE M/B 48 X 961101100DS009-5000FROSTY WHITE</v>
      </c>
      <c r="J3796" s="7">
        <f>COUNTIF(Paper_Reference[Duplicate Key],Paper_Reference[[#This Row],[Duplicate Key]])</f>
        <v>1</v>
      </c>
    </row>
    <row r="3797" spans="1:10">
      <c r="A3797" s="7">
        <v>2</v>
      </c>
      <c r="B3797" s="8" t="s">
        <v>7913</v>
      </c>
      <c r="C3797" s="8" t="s">
        <v>7084</v>
      </c>
      <c r="D3797" s="7">
        <v>1</v>
      </c>
      <c r="E3797" s="7">
        <v>10</v>
      </c>
      <c r="F3797" s="7">
        <v>1</v>
      </c>
      <c r="G3797" s="8" t="s">
        <v>6710</v>
      </c>
      <c r="H3797" s="8" t="s">
        <v>5691</v>
      </c>
      <c r="I3797" s="7" t="str">
        <f>_xlfn.CONCAT(Paper_Reference[[#This Row],[Lvl]:[Paper Description]])</f>
        <v>2MB4SW844GL4801FROSTY WHITE M/B 48 X 961101100DS009-5000FROSTY WHITE</v>
      </c>
      <c r="J3797" s="7">
        <f>COUNTIF(Paper_Reference[Duplicate Key],Paper_Reference[[#This Row],[Duplicate Key]])</f>
        <v>1</v>
      </c>
    </row>
    <row r="3798" spans="1:10">
      <c r="A3798" s="7">
        <v>2</v>
      </c>
      <c r="B3798" s="8" t="s">
        <v>7915</v>
      </c>
      <c r="C3798" s="8" t="s">
        <v>7084</v>
      </c>
      <c r="D3798" s="7">
        <v>1</v>
      </c>
      <c r="E3798" s="7">
        <v>10</v>
      </c>
      <c r="F3798" s="7">
        <v>1</v>
      </c>
      <c r="G3798" s="8" t="s">
        <v>6710</v>
      </c>
      <c r="H3798" s="8" t="s">
        <v>5691</v>
      </c>
      <c r="I3798" s="7" t="str">
        <f>_xlfn.CONCAT(Paper_Reference[[#This Row],[Lvl]:[Paper Description]])</f>
        <v>2MB5SW844G480FROSTY WHITE M/B 48 X 961101100DS009-5000FROSTY WHITE</v>
      </c>
      <c r="J3798" s="7">
        <f>COUNTIF(Paper_Reference[Duplicate Key],Paper_Reference[[#This Row],[Duplicate Key]])</f>
        <v>1</v>
      </c>
    </row>
    <row r="3799" spans="1:10">
      <c r="A3799" s="7">
        <v>2</v>
      </c>
      <c r="B3799" s="8" t="s">
        <v>7914</v>
      </c>
      <c r="C3799" s="8" t="s">
        <v>7084</v>
      </c>
      <c r="D3799" s="7">
        <v>1</v>
      </c>
      <c r="E3799" s="7">
        <v>10</v>
      </c>
      <c r="F3799" s="7">
        <v>1</v>
      </c>
      <c r="G3799" s="8" t="s">
        <v>6710</v>
      </c>
      <c r="H3799" s="8" t="s">
        <v>5691</v>
      </c>
      <c r="I3799" s="7" t="str">
        <f>_xlfn.CONCAT(Paper_Reference[[#This Row],[Lvl]:[Paper Description]])</f>
        <v>2MB5SW844G4801FROSTY WHITE M/B 48 X 961101100DS009-5000FROSTY WHITE</v>
      </c>
      <c r="J3799" s="7">
        <f>COUNTIF(Paper_Reference[Duplicate Key],Paper_Reference[[#This Row],[Duplicate Key]])</f>
        <v>1</v>
      </c>
    </row>
    <row r="3800" spans="1:10">
      <c r="A3800" s="7">
        <v>2</v>
      </c>
      <c r="B3800" s="8" t="s">
        <v>6450</v>
      </c>
      <c r="C3800" s="8" t="s">
        <v>5926</v>
      </c>
      <c r="D3800" s="7">
        <v>1</v>
      </c>
      <c r="E3800" s="7">
        <v>10</v>
      </c>
      <c r="F3800" s="7">
        <v>1</v>
      </c>
      <c r="G3800" s="8" t="s">
        <v>5690</v>
      </c>
      <c r="H3800" s="8" t="s">
        <v>5691</v>
      </c>
      <c r="I3800" s="7" t="str">
        <f>_xlfn.CONCAT(Paper_Reference[[#This Row],[Lvl]:[Paper Description]])</f>
        <v>2MB5SW844G500FROSTY WHITE M/B 60 X 1201101100DS009-6200FROSTY WHITE</v>
      </c>
      <c r="J3800" s="7">
        <f>COUNTIF(Paper_Reference[Duplicate Key],Paper_Reference[[#This Row],[Duplicate Key]])</f>
        <v>1</v>
      </c>
    </row>
    <row r="3801" spans="1:10">
      <c r="A3801" s="7">
        <v>2</v>
      </c>
      <c r="B3801" s="8" t="s">
        <v>6451</v>
      </c>
      <c r="C3801" s="8" t="s">
        <v>5929</v>
      </c>
      <c r="D3801" s="7">
        <v>1</v>
      </c>
      <c r="E3801" s="7">
        <v>10</v>
      </c>
      <c r="F3801" s="7">
        <v>1</v>
      </c>
      <c r="G3801" s="8" t="s">
        <v>5690</v>
      </c>
      <c r="H3801" s="8" t="s">
        <v>5691</v>
      </c>
      <c r="I3801" s="7" t="str">
        <f>_xlfn.CONCAT(Paper_Reference[[#This Row],[Lvl]:[Paper Description]])</f>
        <v>2MB5SW844G580FROSTY WHITE M/B 60 X 961101100DS009-6200FROSTY WHITE</v>
      </c>
      <c r="J3801" s="7">
        <f>COUNTIF(Paper_Reference[Duplicate Key],Paper_Reference[[#This Row],[Duplicate Key]])</f>
        <v>1</v>
      </c>
    </row>
    <row r="3802" spans="1:10">
      <c r="A3802" s="7">
        <v>2</v>
      </c>
      <c r="B3802" s="8" t="s">
        <v>6452</v>
      </c>
      <c r="C3802" s="8" t="s">
        <v>5931</v>
      </c>
      <c r="D3802" s="7">
        <v>1</v>
      </c>
      <c r="E3802" s="7">
        <v>10</v>
      </c>
      <c r="F3802" s="7">
        <v>1</v>
      </c>
      <c r="G3802" s="8" t="s">
        <v>5690</v>
      </c>
      <c r="H3802" s="8" t="s">
        <v>5691</v>
      </c>
      <c r="I3802" s="7" t="str">
        <f>_xlfn.CONCAT(Paper_Reference[[#This Row],[Lvl]:[Paper Description]])</f>
        <v>2MB5SW844GL3201FROSTY WHITE M/B 36 X 1441101100DS009-6200FROSTY WHITE</v>
      </c>
      <c r="J3802" s="7">
        <f>COUNTIF(Paper_Reference[Duplicate Key],Paper_Reference[[#This Row],[Duplicate Key]])</f>
        <v>1</v>
      </c>
    </row>
    <row r="3803" spans="1:10">
      <c r="A3803" s="7">
        <v>2</v>
      </c>
      <c r="B3803" s="8" t="s">
        <v>7917</v>
      </c>
      <c r="C3803" s="8" t="s">
        <v>7084</v>
      </c>
      <c r="D3803" s="7">
        <v>1</v>
      </c>
      <c r="E3803" s="7">
        <v>10</v>
      </c>
      <c r="F3803" s="7">
        <v>1</v>
      </c>
      <c r="G3803" s="8" t="s">
        <v>6710</v>
      </c>
      <c r="H3803" s="8" t="s">
        <v>5691</v>
      </c>
      <c r="I3803" s="7" t="str">
        <f>_xlfn.CONCAT(Paper_Reference[[#This Row],[Lvl]:[Paper Description]])</f>
        <v>2MB5SW844GL480FROSTY WHITE M/B 48 X 961101100DS009-5000FROSTY WHITE</v>
      </c>
      <c r="J3803" s="7">
        <f>COUNTIF(Paper_Reference[Duplicate Key],Paper_Reference[[#This Row],[Duplicate Key]])</f>
        <v>1</v>
      </c>
    </row>
    <row r="3804" spans="1:10">
      <c r="A3804" s="7">
        <v>2</v>
      </c>
      <c r="B3804" s="8" t="s">
        <v>7916</v>
      </c>
      <c r="C3804" s="8" t="s">
        <v>7084</v>
      </c>
      <c r="D3804" s="7">
        <v>1</v>
      </c>
      <c r="E3804" s="7">
        <v>10</v>
      </c>
      <c r="F3804" s="7">
        <v>1</v>
      </c>
      <c r="G3804" s="8" t="s">
        <v>6710</v>
      </c>
      <c r="H3804" s="8" t="s">
        <v>5691</v>
      </c>
      <c r="I3804" s="7" t="str">
        <f>_xlfn.CONCAT(Paper_Reference[[#This Row],[Lvl]:[Paper Description]])</f>
        <v>2MB5SW844GL4801FROSTY WHITE M/B 48 X 961101100DS009-5000FROSTY WHITE</v>
      </c>
      <c r="J3804" s="7">
        <f>COUNTIF(Paper_Reference[Duplicate Key],Paper_Reference[[#This Row],[Duplicate Key]])</f>
        <v>1</v>
      </c>
    </row>
    <row r="3805" spans="1:10">
      <c r="A3805" s="7">
        <v>2</v>
      </c>
      <c r="B3805" s="8" t="s">
        <v>6454</v>
      </c>
      <c r="C3805" s="8" t="s">
        <v>5926</v>
      </c>
      <c r="D3805" s="7">
        <v>1</v>
      </c>
      <c r="E3805" s="7">
        <v>10</v>
      </c>
      <c r="F3805" s="7">
        <v>1</v>
      </c>
      <c r="G3805" s="8" t="s">
        <v>5690</v>
      </c>
      <c r="H3805" s="8" t="s">
        <v>5691</v>
      </c>
      <c r="I3805" s="7" t="str">
        <f>_xlfn.CONCAT(Paper_Reference[[#This Row],[Lvl]:[Paper Description]])</f>
        <v>2MB5SW844GL500FROSTY WHITE M/B 60 X 1201101100DS009-6200FROSTY WHITE</v>
      </c>
      <c r="J3805" s="7">
        <f>COUNTIF(Paper_Reference[Duplicate Key],Paper_Reference[[#This Row],[Duplicate Key]])</f>
        <v>1</v>
      </c>
    </row>
    <row r="3806" spans="1:10">
      <c r="A3806" s="7">
        <v>2</v>
      </c>
      <c r="B3806" s="8" t="s">
        <v>6453</v>
      </c>
      <c r="C3806" s="8" t="s">
        <v>5926</v>
      </c>
      <c r="D3806" s="7">
        <v>1</v>
      </c>
      <c r="E3806" s="7">
        <v>10</v>
      </c>
      <c r="F3806" s="7">
        <v>1</v>
      </c>
      <c r="G3806" s="8" t="s">
        <v>5690</v>
      </c>
      <c r="H3806" s="8" t="s">
        <v>5691</v>
      </c>
      <c r="I3806" s="7" t="str">
        <f>_xlfn.CONCAT(Paper_Reference[[#This Row],[Lvl]:[Paper Description]])</f>
        <v>2MB5SW844GL5001FROSTY WHITE M/B 60 X 1201101100DS009-6200FROSTY WHITE</v>
      </c>
      <c r="J3806" s="7">
        <f>COUNTIF(Paper_Reference[Duplicate Key],Paper_Reference[[#This Row],[Duplicate Key]])</f>
        <v>1</v>
      </c>
    </row>
    <row r="3807" spans="1:10">
      <c r="A3807" s="7">
        <v>2</v>
      </c>
      <c r="B3807" s="8" t="s">
        <v>6455</v>
      </c>
      <c r="C3807" s="8" t="s">
        <v>5927</v>
      </c>
      <c r="D3807" s="7">
        <v>1</v>
      </c>
      <c r="E3807" s="7">
        <v>10</v>
      </c>
      <c r="F3807" s="7">
        <v>1</v>
      </c>
      <c r="G3807" s="8" t="s">
        <v>5690</v>
      </c>
      <c r="H3807" s="8" t="s">
        <v>5691</v>
      </c>
      <c r="I3807" s="7" t="str">
        <f>_xlfn.CONCAT(Paper_Reference[[#This Row],[Lvl]:[Paper Description]])</f>
        <v>2MB5SW844GL5201FROSTY WHITE M/B 60 X 1441101100DS009-6200FROSTY WHITE</v>
      </c>
      <c r="J3807" s="7">
        <f>COUNTIF(Paper_Reference[Duplicate Key],Paper_Reference[[#This Row],[Duplicate Key]])</f>
        <v>1</v>
      </c>
    </row>
    <row r="3808" spans="1:10">
      <c r="A3808" s="7">
        <v>2</v>
      </c>
      <c r="B3808" s="8" t="s">
        <v>6457</v>
      </c>
      <c r="C3808" s="8" t="s">
        <v>5929</v>
      </c>
      <c r="D3808" s="7">
        <v>1</v>
      </c>
      <c r="E3808" s="7">
        <v>10</v>
      </c>
      <c r="F3808" s="7">
        <v>1</v>
      </c>
      <c r="G3808" s="8" t="s">
        <v>5690</v>
      </c>
      <c r="H3808" s="8" t="s">
        <v>5691</v>
      </c>
      <c r="I3808" s="7" t="str">
        <f>_xlfn.CONCAT(Paper_Reference[[#This Row],[Lvl]:[Paper Description]])</f>
        <v>2MB5SW844GL580FROSTY WHITE M/B 60 X 961101100DS009-6200FROSTY WHITE</v>
      </c>
      <c r="J3808" s="7">
        <f>COUNTIF(Paper_Reference[Duplicate Key],Paper_Reference[[#This Row],[Duplicate Key]])</f>
        <v>1</v>
      </c>
    </row>
    <row r="3809" spans="1:10">
      <c r="A3809" s="7">
        <v>2</v>
      </c>
      <c r="B3809" s="8" t="s">
        <v>6456</v>
      </c>
      <c r="C3809" s="8" t="s">
        <v>5929</v>
      </c>
      <c r="D3809" s="7">
        <v>1</v>
      </c>
      <c r="E3809" s="7">
        <v>10</v>
      </c>
      <c r="F3809" s="7">
        <v>1</v>
      </c>
      <c r="G3809" s="8" t="s">
        <v>5690</v>
      </c>
      <c r="H3809" s="8" t="s">
        <v>5691</v>
      </c>
      <c r="I3809" s="7" t="str">
        <f>_xlfn.CONCAT(Paper_Reference[[#This Row],[Lvl]:[Paper Description]])</f>
        <v>2MB5SW844GL5801FROSTY WHITE M/B 60 X 961101100DS009-6200FROSTY WHITE</v>
      </c>
      <c r="J3809" s="7">
        <f>COUNTIF(Paper_Reference[Duplicate Key],Paper_Reference[[#This Row],[Duplicate Key]])</f>
        <v>1</v>
      </c>
    </row>
    <row r="3810" spans="1:10">
      <c r="A3810" s="7">
        <v>2</v>
      </c>
      <c r="B3810" s="8" t="s">
        <v>7918</v>
      </c>
      <c r="C3810" s="8" t="s">
        <v>7083</v>
      </c>
      <c r="D3810" s="7">
        <v>1</v>
      </c>
      <c r="E3810" s="7">
        <v>10</v>
      </c>
      <c r="F3810" s="7">
        <v>2</v>
      </c>
      <c r="G3810" s="8" t="s">
        <v>6710</v>
      </c>
      <c r="H3810" s="8" t="s">
        <v>5691</v>
      </c>
      <c r="I3810" s="7" t="str">
        <f>_xlfn.CONCAT(Paper_Reference[[#This Row],[Lvl]:[Paper Description]])</f>
        <v>2MD4SW844G4001FROSTY WHITE M/B 48 X 1201102100DS009-5000FROSTY WHITE</v>
      </c>
      <c r="J3810" s="7">
        <f>COUNTIF(Paper_Reference[Duplicate Key],Paper_Reference[[#This Row],[Duplicate Key]])</f>
        <v>1</v>
      </c>
    </row>
    <row r="3811" spans="1:10">
      <c r="A3811" s="7">
        <v>2</v>
      </c>
      <c r="B3811" s="8" t="s">
        <v>7919</v>
      </c>
      <c r="C3811" s="8" t="s">
        <v>5925</v>
      </c>
      <c r="D3811" s="7">
        <v>1</v>
      </c>
      <c r="E3811" s="7">
        <v>10</v>
      </c>
      <c r="F3811" s="7">
        <v>2</v>
      </c>
      <c r="G3811" s="8" t="s">
        <v>6710</v>
      </c>
      <c r="H3811" s="8" t="s">
        <v>5691</v>
      </c>
      <c r="I3811" s="7" t="str">
        <f>_xlfn.CONCAT(Paper_Reference[[#This Row],[Lvl]:[Paper Description]])</f>
        <v>2MD4SW844G4201FROSTY WHITE M/B 48 X 1441102100DS009-5000FROSTY WHITE</v>
      </c>
      <c r="J3811" s="7">
        <f>COUNTIF(Paper_Reference[Duplicate Key],Paper_Reference[[#This Row],[Duplicate Key]])</f>
        <v>1</v>
      </c>
    </row>
    <row r="3812" spans="1:10">
      <c r="A3812" s="7">
        <v>2</v>
      </c>
      <c r="B3812" s="8" t="s">
        <v>7920</v>
      </c>
      <c r="C3812" s="8" t="s">
        <v>7084</v>
      </c>
      <c r="D3812" s="7">
        <v>1</v>
      </c>
      <c r="E3812" s="7">
        <v>10</v>
      </c>
      <c r="F3812" s="7">
        <v>2</v>
      </c>
      <c r="G3812" s="8" t="s">
        <v>6710</v>
      </c>
      <c r="H3812" s="8" t="s">
        <v>5691</v>
      </c>
      <c r="I3812" s="7" t="str">
        <f>_xlfn.CONCAT(Paper_Reference[[#This Row],[Lvl]:[Paper Description]])</f>
        <v>2MD4SW844G4801FROSTY WHITE M/B 48 X 961102100DS009-5000FROSTY WHITE</v>
      </c>
      <c r="J3812" s="7">
        <f>COUNTIF(Paper_Reference[Duplicate Key],Paper_Reference[[#This Row],[Duplicate Key]])</f>
        <v>1</v>
      </c>
    </row>
    <row r="3813" spans="1:10">
      <c r="A3813" s="7">
        <v>2</v>
      </c>
      <c r="B3813" s="8" t="s">
        <v>7921</v>
      </c>
      <c r="C3813" s="8" t="s">
        <v>7084</v>
      </c>
      <c r="D3813" s="7">
        <v>1</v>
      </c>
      <c r="E3813" s="7">
        <v>10</v>
      </c>
      <c r="F3813" s="7">
        <v>2</v>
      </c>
      <c r="G3813" s="8" t="s">
        <v>6710</v>
      </c>
      <c r="H3813" s="8" t="s">
        <v>5691</v>
      </c>
      <c r="I3813" s="7" t="str">
        <f>_xlfn.CONCAT(Paper_Reference[[#This Row],[Lvl]:[Paper Description]])</f>
        <v>2MD5SW844G4802FROSTY WHITE M/B 48 X 961102100DS009-5000FROSTY WHITE</v>
      </c>
      <c r="J3813" s="7">
        <f>COUNTIF(Paper_Reference[Duplicate Key],Paper_Reference[[#This Row],[Duplicate Key]])</f>
        <v>1</v>
      </c>
    </row>
    <row r="3814" spans="1:10">
      <c r="A3814" s="7">
        <v>2</v>
      </c>
      <c r="B3814" s="8" t="s">
        <v>7922</v>
      </c>
      <c r="C3814" s="8" t="s">
        <v>7084</v>
      </c>
      <c r="D3814" s="7">
        <v>1</v>
      </c>
      <c r="E3814" s="7">
        <v>10</v>
      </c>
      <c r="F3814" s="7">
        <v>2</v>
      </c>
      <c r="G3814" s="8" t="s">
        <v>6710</v>
      </c>
      <c r="H3814" s="8" t="s">
        <v>5691</v>
      </c>
      <c r="I3814" s="7" t="str">
        <f>_xlfn.CONCAT(Paper_Reference[[#This Row],[Lvl]:[Paper Description]])</f>
        <v>2MD5SW844GL4802FROSTY WHITE M/B 48 X 961102100DS009-5000FROSTY WHITE</v>
      </c>
      <c r="J3814" s="7">
        <f>COUNTIF(Paper_Reference[Duplicate Key],Paper_Reference[[#This Row],[Duplicate Key]])</f>
        <v>1</v>
      </c>
    </row>
    <row r="3815" spans="1:10">
      <c r="A3815" s="7">
        <v>3</v>
      </c>
      <c r="B3815" s="8" t="s">
        <v>6458</v>
      </c>
      <c r="C3815" s="8" t="s">
        <v>5941</v>
      </c>
      <c r="D3815" s="7">
        <v>1</v>
      </c>
      <c r="E3815" s="7">
        <v>91</v>
      </c>
      <c r="F3815" s="7">
        <v>1</v>
      </c>
      <c r="G3815" s="8" t="s">
        <v>6710</v>
      </c>
      <c r="H3815" s="8" t="s">
        <v>5691</v>
      </c>
      <c r="I3815" s="7" t="str">
        <f>_xlfn.CONCAT(Paper_Reference[[#This Row],[Lvl]:[Paper Description]])</f>
        <v>3MEGASTRUVPPK1MEGASTROJ UV R LANE PACK1911100DS009-5000FROSTY WHITE</v>
      </c>
      <c r="J3815" s="7">
        <f>COUNTIF(Paper_Reference[Duplicate Key],Paper_Reference[[#This Row],[Duplicate Key]])</f>
        <v>1</v>
      </c>
    </row>
    <row r="3816" spans="1:10">
      <c r="A3816" s="7">
        <v>3</v>
      </c>
      <c r="B3816" s="8" t="s">
        <v>6458</v>
      </c>
      <c r="C3816" s="8" t="s">
        <v>5941</v>
      </c>
      <c r="D3816" s="7">
        <v>1</v>
      </c>
      <c r="E3816" s="7">
        <v>91</v>
      </c>
      <c r="F3816" s="7">
        <v>1</v>
      </c>
      <c r="G3816" s="8" t="s">
        <v>5690</v>
      </c>
      <c r="H3816" s="8" t="s">
        <v>5691</v>
      </c>
      <c r="I3816" s="7" t="str">
        <f>_xlfn.CONCAT(Paper_Reference[[#This Row],[Lvl]:[Paper Description]])</f>
        <v>3MEGASTRUVPPK1MEGASTROJ UV R LANE PACK1911100DS009-6200FROSTY WHITE</v>
      </c>
      <c r="J3816" s="7">
        <f>COUNTIF(Paper_Reference[Duplicate Key],Paper_Reference[[#This Row],[Duplicate Key]])</f>
        <v>1</v>
      </c>
    </row>
    <row r="3817" spans="1:10">
      <c r="A3817" s="7">
        <v>2</v>
      </c>
      <c r="B3817" s="8" t="s">
        <v>7923</v>
      </c>
      <c r="C3817" s="8" t="s">
        <v>7086</v>
      </c>
      <c r="D3817" s="7">
        <v>1</v>
      </c>
      <c r="E3817" s="7">
        <v>10</v>
      </c>
      <c r="F3817" s="7">
        <v>1</v>
      </c>
      <c r="G3817" s="8" t="s">
        <v>6710</v>
      </c>
      <c r="H3817" s="8" t="s">
        <v>5691</v>
      </c>
      <c r="I3817" s="7" t="str">
        <f>_xlfn.CONCAT(Paper_Reference[[#This Row],[Lvl]:[Paper Description]])</f>
        <v>2MG1SW844GLYKC1FROSTY WHITE MAG M/B 47.5 X 951101100DS009-5000FROSTY WHITE</v>
      </c>
      <c r="J3817" s="7">
        <f>COUNTIF(Paper_Reference[Duplicate Key],Paper_Reference[[#This Row],[Duplicate Key]])</f>
        <v>1</v>
      </c>
    </row>
    <row r="3818" spans="1:10">
      <c r="A3818" s="7">
        <v>2</v>
      </c>
      <c r="B3818" s="8" t="s">
        <v>7924</v>
      </c>
      <c r="C3818" s="8" t="s">
        <v>7086</v>
      </c>
      <c r="D3818" s="7">
        <v>1</v>
      </c>
      <c r="E3818" s="7">
        <v>10</v>
      </c>
      <c r="F3818" s="7">
        <v>1</v>
      </c>
      <c r="G3818" s="8" t="s">
        <v>6710</v>
      </c>
      <c r="H3818" s="8" t="s">
        <v>5691</v>
      </c>
      <c r="I3818" s="7" t="str">
        <f>_xlfn.CONCAT(Paper_Reference[[#This Row],[Lvl]:[Paper Description]])</f>
        <v>2MG2SW844GLYKC1FROSTY WHITE MAG M/B 47.5 X 951101100DS009-5000FROSTY WHITE</v>
      </c>
      <c r="J3818" s="7">
        <f>COUNTIF(Paper_Reference[Duplicate Key],Paper_Reference[[#This Row],[Duplicate Key]])</f>
        <v>1</v>
      </c>
    </row>
    <row r="3819" spans="1:10">
      <c r="A3819" s="7">
        <v>2</v>
      </c>
      <c r="B3819" s="8" t="s">
        <v>1885</v>
      </c>
      <c r="C3819" s="8" t="s">
        <v>1458</v>
      </c>
      <c r="D3819" s="7">
        <v>1</v>
      </c>
      <c r="E3819" s="7">
        <v>10</v>
      </c>
      <c r="F3819" s="7">
        <v>1</v>
      </c>
      <c r="G3819" s="8" t="s">
        <v>1241</v>
      </c>
      <c r="H3819" s="8" t="s">
        <v>1242</v>
      </c>
      <c r="I3819" s="7" t="str">
        <f>_xlfn.CONCAT(Paper_Reference[[#This Row],[Lvl]:[Paper Description]])</f>
        <v>2MGBR1237GLYJC1MANGINI US MAP MAG M/B 47.5X95110110000020-5000Premium Inkjet MPK 9653</v>
      </c>
      <c r="J3819" s="7">
        <f>COUNTIF(Paper_Reference[Duplicate Key],Paper_Reference[[#This Row],[Duplicate Key]])</f>
        <v>1</v>
      </c>
    </row>
    <row r="3820" spans="1:10">
      <c r="A3820" s="7">
        <v>2</v>
      </c>
      <c r="B3820" s="8" t="s">
        <v>1886</v>
      </c>
      <c r="C3820" s="8" t="s">
        <v>1459</v>
      </c>
      <c r="D3820" s="7">
        <v>1</v>
      </c>
      <c r="E3820" s="7">
        <v>10</v>
      </c>
      <c r="F3820" s="7">
        <v>1</v>
      </c>
      <c r="G3820" s="8" t="s">
        <v>1241</v>
      </c>
      <c r="H3820" s="8" t="s">
        <v>1242</v>
      </c>
      <c r="I3820" s="7" t="str">
        <f>_xlfn.CONCAT(Paper_Reference[[#This Row],[Lvl]:[Paper Description]])</f>
        <v>2MGBR1238GLYJC1BAD PART.  USE 1237110110000020-5000Premium Inkjet MPK 9653</v>
      </c>
      <c r="J3820" s="7">
        <f>COUNTIF(Paper_Reference[Duplicate Key],Paper_Reference[[#This Row],[Duplicate Key]])</f>
        <v>1</v>
      </c>
    </row>
    <row r="3821" spans="1:10">
      <c r="A3821" s="7">
        <v>2</v>
      </c>
      <c r="B3821" s="8" t="s">
        <v>7925</v>
      </c>
      <c r="C3821" s="8" t="s">
        <v>7087</v>
      </c>
      <c r="D3821" s="7">
        <v>1</v>
      </c>
      <c r="E3821" s="7">
        <v>10</v>
      </c>
      <c r="F3821" s="7">
        <v>1</v>
      </c>
      <c r="G3821" s="8" t="s">
        <v>6710</v>
      </c>
      <c r="H3821" s="8" t="s">
        <v>5691</v>
      </c>
      <c r="I3821" s="7" t="str">
        <f>_xlfn.CONCAT(Paper_Reference[[#This Row],[Lvl]:[Paper Description]])</f>
        <v>2MJ1R0622G4801UFP GOOD CATCH MB D/G 48 X 961101100DS009-5000FROSTY WHITE</v>
      </c>
      <c r="J3821" s="7">
        <f>COUNTIF(Paper_Reference[Duplicate Key],Paper_Reference[[#This Row],[Duplicate Key]])</f>
        <v>1</v>
      </c>
    </row>
    <row r="3822" spans="1:10">
      <c r="A3822" s="7">
        <v>2</v>
      </c>
      <c r="B3822" s="8" t="s">
        <v>7926</v>
      </c>
      <c r="C3822" s="8" t="s">
        <v>7087</v>
      </c>
      <c r="D3822" s="7">
        <v>1</v>
      </c>
      <c r="E3822" s="7">
        <v>10</v>
      </c>
      <c r="F3822" s="7">
        <v>1</v>
      </c>
      <c r="G3822" s="8" t="s">
        <v>6710</v>
      </c>
      <c r="H3822" s="8" t="s">
        <v>5691</v>
      </c>
      <c r="I3822" s="7" t="str">
        <f>_xlfn.CONCAT(Paper_Reference[[#This Row],[Lvl]:[Paper Description]])</f>
        <v>2MJ1R0622GL4801UFP GOOD CATCH MB D/G 48 X 961101100DS009-5000FROSTY WHITE</v>
      </c>
      <c r="J3822" s="7">
        <f>COUNTIF(Paper_Reference[Duplicate Key],Paper_Reference[[#This Row],[Duplicate Key]])</f>
        <v>1</v>
      </c>
    </row>
    <row r="3823" spans="1:10">
      <c r="A3823" s="7">
        <v>2</v>
      </c>
      <c r="B3823" s="8" t="s">
        <v>6459</v>
      </c>
      <c r="C3823" s="8" t="s">
        <v>5942</v>
      </c>
      <c r="D3823" s="7">
        <v>1</v>
      </c>
      <c r="E3823" s="7">
        <v>10</v>
      </c>
      <c r="F3823" s="7">
        <v>1</v>
      </c>
      <c r="G3823" s="8" t="s">
        <v>5690</v>
      </c>
      <c r="H3823" s="8" t="s">
        <v>5691</v>
      </c>
      <c r="I3823" s="7" t="str">
        <f>_xlfn.CONCAT(Paper_Reference[[#This Row],[Lvl]:[Paper Description]])</f>
        <v>2MJ1R0708GL5001HELIX MAP MURAL D/G 60 X 1201101100DS009-6200FROSTY WHITE</v>
      </c>
      <c r="J3823" s="7">
        <f>COUNTIF(Paper_Reference[Duplicate Key],Paper_Reference[[#This Row],[Duplicate Key]])</f>
        <v>1</v>
      </c>
    </row>
    <row r="3824" spans="1:10">
      <c r="A3824" s="7">
        <v>2</v>
      </c>
      <c r="B3824" s="8" t="s">
        <v>6460</v>
      </c>
      <c r="C3824" s="8" t="s">
        <v>5843</v>
      </c>
      <c r="D3824" s="7">
        <v>1</v>
      </c>
      <c r="E3824" s="7">
        <v>10</v>
      </c>
      <c r="F3824" s="7">
        <v>1</v>
      </c>
      <c r="G3824" s="8" t="s">
        <v>5690</v>
      </c>
      <c r="H3824" s="8" t="s">
        <v>5691</v>
      </c>
      <c r="I3824" s="7" t="str">
        <f>_xlfn.CONCAT(Paper_Reference[[#This Row],[Lvl]:[Paper Description]])</f>
        <v>2MJ1R0743GL5201MPA AUCTION D/G 60 X 1441101100DS009-6200FROSTY WHITE</v>
      </c>
      <c r="J3824" s="7">
        <f>COUNTIF(Paper_Reference[Duplicate Key],Paper_Reference[[#This Row],[Duplicate Key]])</f>
        <v>1</v>
      </c>
    </row>
    <row r="3825" spans="1:10">
      <c r="A3825" s="7">
        <v>2</v>
      </c>
      <c r="B3825" s="8" t="s">
        <v>7927</v>
      </c>
      <c r="C3825" s="8" t="s">
        <v>7088</v>
      </c>
      <c r="D3825" s="7">
        <v>1</v>
      </c>
      <c r="E3825" s="7">
        <v>10</v>
      </c>
      <c r="F3825" s="7">
        <v>1</v>
      </c>
      <c r="G3825" s="8" t="s">
        <v>6710</v>
      </c>
      <c r="H3825" s="8" t="s">
        <v>5691</v>
      </c>
      <c r="I3825" s="7" t="str">
        <f>_xlfn.CONCAT(Paper_Reference[[#This Row],[Lvl]:[Paper Description]])</f>
        <v>2MJ1R0744GL4801UFP TEAM SUCESS MB D/G 48 X 961101100DS009-5000FROSTY WHITE</v>
      </c>
      <c r="J3825" s="7">
        <f>COUNTIF(Paper_Reference[Duplicate Key],Paper_Reference[[#This Row],[Duplicate Key]])</f>
        <v>1</v>
      </c>
    </row>
    <row r="3826" spans="1:10">
      <c r="A3826" s="7">
        <v>2</v>
      </c>
      <c r="B3826" s="8" t="s">
        <v>7928</v>
      </c>
      <c r="C3826" s="8" t="s">
        <v>7089</v>
      </c>
      <c r="D3826" s="7">
        <v>1</v>
      </c>
      <c r="E3826" s="7">
        <v>10</v>
      </c>
      <c r="F3826" s="7">
        <v>1</v>
      </c>
      <c r="G3826" s="8" t="s">
        <v>6710</v>
      </c>
      <c r="H3826" s="8" t="s">
        <v>5691</v>
      </c>
      <c r="I3826" s="7" t="str">
        <f>_xlfn.CONCAT(Paper_Reference[[#This Row],[Lvl]:[Paper Description]])</f>
        <v>2MJ1R0860GL4801STEVENS CALENDAR MB D/G 48 X 91101100DS009-5000FROSTY WHITE</v>
      </c>
      <c r="J3826" s="7">
        <f>COUNTIF(Paper_Reference[Duplicate Key],Paper_Reference[[#This Row],[Duplicate Key]])</f>
        <v>1</v>
      </c>
    </row>
    <row r="3827" spans="1:10">
      <c r="A3827" s="7">
        <v>2</v>
      </c>
      <c r="B3827" s="8" t="s">
        <v>1887</v>
      </c>
      <c r="C3827" s="8" t="s">
        <v>1460</v>
      </c>
      <c r="D3827" s="7">
        <v>1</v>
      </c>
      <c r="E3827" s="7">
        <v>10</v>
      </c>
      <c r="F3827" s="7">
        <v>1</v>
      </c>
      <c r="G3827" s="8" t="s">
        <v>1241</v>
      </c>
      <c r="H3827" s="8" t="s">
        <v>1242</v>
      </c>
      <c r="I3827" s="7" t="str">
        <f>_xlfn.CONCAT(Paper_Reference[[#This Row],[Lvl]:[Paper Description]])</f>
        <v>2MJ1R0878GL4801TEXAS A&amp;M MB D/G 48 X 96110110000020-5000Premium Inkjet MPK 9653</v>
      </c>
      <c r="J3827" s="7">
        <f>COUNTIF(Paper_Reference[Duplicate Key],Paper_Reference[[#This Row],[Duplicate Key]])</f>
        <v>1</v>
      </c>
    </row>
    <row r="3828" spans="1:10">
      <c r="A3828" s="7">
        <v>2</v>
      </c>
      <c r="B3828" s="8" t="s">
        <v>1888</v>
      </c>
      <c r="C3828" s="8" t="s">
        <v>1461</v>
      </c>
      <c r="D3828" s="7">
        <v>1</v>
      </c>
      <c r="E3828" s="7">
        <v>10</v>
      </c>
      <c r="F3828" s="7">
        <v>1</v>
      </c>
      <c r="G3828" s="8" t="s">
        <v>1241</v>
      </c>
      <c r="H3828" s="8" t="s">
        <v>1242</v>
      </c>
      <c r="I3828" s="7" t="str">
        <f>_xlfn.CONCAT(Paper_Reference[[#This Row],[Lvl]:[Paper Description]])</f>
        <v>2MJ1R0916GL4801TEXAS A&amp;M MB T/TOP LG 48 X 96110110000020-5000Premium Inkjet MPK 9653</v>
      </c>
      <c r="J3828" s="7">
        <f>COUNTIF(Paper_Reference[Duplicate Key],Paper_Reference[[#This Row],[Duplicate Key]])</f>
        <v>1</v>
      </c>
    </row>
    <row r="3829" spans="1:10">
      <c r="A3829" s="7">
        <v>2</v>
      </c>
      <c r="B3829" s="8" t="s">
        <v>1889</v>
      </c>
      <c r="C3829" s="8" t="s">
        <v>1462</v>
      </c>
      <c r="D3829" s="7">
        <v>1</v>
      </c>
      <c r="E3829" s="7">
        <v>10</v>
      </c>
      <c r="F3829" s="7">
        <v>1</v>
      </c>
      <c r="G3829" s="8" t="s">
        <v>1241</v>
      </c>
      <c r="H3829" s="8" t="s">
        <v>1242</v>
      </c>
      <c r="I3829" s="7" t="str">
        <f>_xlfn.CONCAT(Paper_Reference[[#This Row],[Lvl]:[Paper Description]])</f>
        <v>2MJ1R0917GL4801TEXAS A&amp;M MB T/TOP SM 48 X 96110110000020-5000Premium Inkjet MPK 9653</v>
      </c>
      <c r="J3829" s="7">
        <f>COUNTIF(Paper_Reference[Duplicate Key],Paper_Reference[[#This Row],[Duplicate Key]])</f>
        <v>1</v>
      </c>
    </row>
    <row r="3830" spans="1:10">
      <c r="A3830" s="7">
        <v>2</v>
      </c>
      <c r="B3830" s="8" t="s">
        <v>2717</v>
      </c>
      <c r="C3830" s="8" t="s">
        <v>2260</v>
      </c>
      <c r="D3830" s="7">
        <v>1</v>
      </c>
      <c r="E3830" s="7">
        <v>10</v>
      </c>
      <c r="F3830" s="7">
        <v>1</v>
      </c>
      <c r="G3830" s="8" t="s">
        <v>2144</v>
      </c>
      <c r="H3830" s="8" t="s">
        <v>1242</v>
      </c>
      <c r="I3830" s="7" t="str">
        <f>_xlfn.CONCAT(Paper_Reference[[#This Row],[Lvl]:[Paper Description]])</f>
        <v>2MJ1R0968GL5801WORKRITE STUDYVILLE 60 X 96110110000020-6200Premium Inkjet MPK 9653</v>
      </c>
      <c r="J3830" s="7">
        <f>COUNTIF(Paper_Reference[Duplicate Key],Paper_Reference[[#This Row],[Duplicate Key]])</f>
        <v>1</v>
      </c>
    </row>
    <row r="3831" spans="1:10">
      <c r="A3831" s="7">
        <v>2</v>
      </c>
      <c r="B3831" s="8" t="s">
        <v>1890</v>
      </c>
      <c r="C3831" s="8" t="s">
        <v>1463</v>
      </c>
      <c r="D3831" s="7">
        <v>1</v>
      </c>
      <c r="E3831" s="7">
        <v>10</v>
      </c>
      <c r="F3831" s="7">
        <v>1</v>
      </c>
      <c r="G3831" s="8" t="s">
        <v>1241</v>
      </c>
      <c r="H3831" s="8" t="s">
        <v>1242</v>
      </c>
      <c r="I3831" s="7" t="str">
        <f>_xlfn.CONCAT(Paper_Reference[[#This Row],[Lvl]:[Paper Description]])</f>
        <v>2MJ1R1250GL4801PIEDMONT ATHENS 48 X 96110110000020-5000Premium Inkjet MPK 9653</v>
      </c>
      <c r="J3831" s="7">
        <f>COUNTIF(Paper_Reference[Duplicate Key],Paper_Reference[[#This Row],[Duplicate Key]])</f>
        <v>1</v>
      </c>
    </row>
    <row r="3832" spans="1:10">
      <c r="A3832" s="7">
        <v>2</v>
      </c>
      <c r="B3832" s="8" t="s">
        <v>1891</v>
      </c>
      <c r="C3832" s="8" t="s">
        <v>1464</v>
      </c>
      <c r="D3832" s="7">
        <v>1</v>
      </c>
      <c r="E3832" s="7">
        <v>10</v>
      </c>
      <c r="F3832" s="7">
        <v>1</v>
      </c>
      <c r="G3832" s="8" t="s">
        <v>1241</v>
      </c>
      <c r="H3832" s="8" t="s">
        <v>1242</v>
      </c>
      <c r="I3832" s="7" t="str">
        <f>_xlfn.CONCAT(Paper_Reference[[#This Row],[Lvl]:[Paper Description]])</f>
        <v>2MJ1R1325GL4801PIEDMONT ATHENS L/DOOR 48 X 96110110000020-5000Premium Inkjet MPK 9653</v>
      </c>
      <c r="J3832" s="7">
        <f>COUNTIF(Paper_Reference[Duplicate Key],Paper_Reference[[#This Row],[Duplicate Key]])</f>
        <v>1</v>
      </c>
    </row>
    <row r="3833" spans="1:10">
      <c r="A3833" s="7">
        <v>2</v>
      </c>
      <c r="B3833" s="8" t="s">
        <v>6461</v>
      </c>
      <c r="C3833" s="8" t="s">
        <v>5943</v>
      </c>
      <c r="D3833" s="7">
        <v>1</v>
      </c>
      <c r="E3833" s="7">
        <v>10</v>
      </c>
      <c r="F3833" s="7">
        <v>1</v>
      </c>
      <c r="G3833" s="8" t="s">
        <v>5690</v>
      </c>
      <c r="H3833" s="8" t="s">
        <v>5691</v>
      </c>
      <c r="I3833" s="7" t="str">
        <f>_xlfn.CONCAT(Paper_Reference[[#This Row],[Lvl]:[Paper Description]])</f>
        <v>2MJ2R0279G520MIAMI VALLEY M/B 60 X 1441101100DS009-6200FROSTY WHITE</v>
      </c>
      <c r="J3833" s="7">
        <f>COUNTIF(Paper_Reference[Duplicate Key],Paper_Reference[[#This Row],[Duplicate Key]])</f>
        <v>1</v>
      </c>
    </row>
    <row r="3834" spans="1:10">
      <c r="A3834" s="7">
        <v>2</v>
      </c>
      <c r="B3834" s="8" t="s">
        <v>2718</v>
      </c>
      <c r="C3834" s="8" t="s">
        <v>2261</v>
      </c>
      <c r="D3834" s="7">
        <v>1</v>
      </c>
      <c r="E3834" s="7">
        <v>10</v>
      </c>
      <c r="F3834" s="7">
        <v>1</v>
      </c>
      <c r="G3834" s="8" t="s">
        <v>2144</v>
      </c>
      <c r="H3834" s="8" t="s">
        <v>1242</v>
      </c>
      <c r="I3834" s="7" t="str">
        <f>_xlfn.CONCAT(Paper_Reference[[#This Row],[Lvl]:[Paper Description]])</f>
        <v>2MJ2R1232GL5201BROWN HOCKEY M/B 60 X 144110110000020-6200Premium Inkjet MPK 9653</v>
      </c>
      <c r="J3834" s="7">
        <f>COUNTIF(Paper_Reference[Duplicate Key],Paper_Reference[[#This Row],[Duplicate Key]])</f>
        <v>1</v>
      </c>
    </row>
    <row r="3835" spans="1:10">
      <c r="A3835" s="7">
        <v>2</v>
      </c>
      <c r="B3835" s="8" t="s">
        <v>7929</v>
      </c>
      <c r="C3835" s="8" t="s">
        <v>7090</v>
      </c>
      <c r="D3835" s="7">
        <v>1</v>
      </c>
      <c r="E3835" s="7">
        <v>10</v>
      </c>
      <c r="F3835" s="7">
        <v>2</v>
      </c>
      <c r="G3835" s="8" t="s">
        <v>6710</v>
      </c>
      <c r="H3835" s="8" t="s">
        <v>5691</v>
      </c>
      <c r="I3835" s="7" t="str">
        <f>_xlfn.CONCAT(Paper_Reference[[#This Row],[Lvl]:[Paper Description]])</f>
        <v>2MJ3R0741GL4802TREK ACROSS MAINE M/B 48X961102100DS009-5000FROSTY WHITE</v>
      </c>
      <c r="J3835" s="7">
        <f>COUNTIF(Paper_Reference[Duplicate Key],Paper_Reference[[#This Row],[Duplicate Key]])</f>
        <v>1</v>
      </c>
    </row>
    <row r="3836" spans="1:10">
      <c r="A3836" s="7">
        <v>2</v>
      </c>
      <c r="B3836" s="8" t="s">
        <v>6462</v>
      </c>
      <c r="C3836" s="8" t="s">
        <v>5944</v>
      </c>
      <c r="D3836" s="7">
        <v>1</v>
      </c>
      <c r="E3836" s="7">
        <v>10</v>
      </c>
      <c r="F3836" s="7">
        <v>2</v>
      </c>
      <c r="G3836" s="8" t="s">
        <v>5690</v>
      </c>
      <c r="H3836" s="8" t="s">
        <v>5691</v>
      </c>
      <c r="I3836" s="7" t="str">
        <f>_xlfn.CONCAT(Paper_Reference[[#This Row],[Lvl]:[Paper Description]])</f>
        <v>2MJ3R0741GL5202TREK ACROSS MAINE M/B 60 X 1441102100DS009-6200FROSTY WHITE</v>
      </c>
      <c r="J3836" s="7">
        <f>COUNTIF(Paper_Reference[Duplicate Key],Paper_Reference[[#This Row],[Duplicate Key]])</f>
        <v>1</v>
      </c>
    </row>
    <row r="3837" spans="1:10">
      <c r="A3837" s="7">
        <v>1</v>
      </c>
      <c r="B3837" s="8" t="s">
        <v>2719</v>
      </c>
      <c r="C3837" s="8" t="s">
        <v>2262</v>
      </c>
      <c r="D3837" s="7">
        <v>1</v>
      </c>
      <c r="E3837" s="7">
        <v>10</v>
      </c>
      <c r="F3837" s="7">
        <v>1.3806</v>
      </c>
      <c r="G3837" s="8" t="s">
        <v>2144</v>
      </c>
      <c r="H3837" s="8" t="s">
        <v>1242</v>
      </c>
      <c r="I3837" s="7" t="str">
        <f>_xlfn.CONCAT(Paper_Reference[[#This Row],[Lvl]:[Paper Description]])</f>
        <v>1MJ3R0885GL5202CROSSFIT 196  M/B 60 X 1441101.380610000020-6200Premium Inkjet MPK 9653</v>
      </c>
      <c r="J3837" s="7">
        <f>COUNTIF(Paper_Reference[Duplicate Key],Paper_Reference[[#This Row],[Duplicate Key]])</f>
        <v>1</v>
      </c>
    </row>
    <row r="3838" spans="1:10">
      <c r="A3838" s="7">
        <v>1</v>
      </c>
      <c r="B3838" s="8" t="s">
        <v>1892</v>
      </c>
      <c r="C3838" s="8" t="s">
        <v>1465</v>
      </c>
      <c r="D3838" s="7">
        <v>1</v>
      </c>
      <c r="E3838" s="7">
        <v>0</v>
      </c>
      <c r="F3838" s="7">
        <v>0.74680000000000002</v>
      </c>
      <c r="G3838" s="8" t="s">
        <v>1241</v>
      </c>
      <c r="H3838" s="8" t="s">
        <v>1242</v>
      </c>
      <c r="I3838" s="7" t="str">
        <f>_xlfn.CONCAT(Paper_Reference[[#This Row],[Lvl]:[Paper Description]])</f>
        <v>1MJ4GEMBAGL480GP RULE BOARD DIG M/B 48 X 96100.746810000020-5000Premium Inkjet MPK 9653</v>
      </c>
      <c r="J3838" s="7">
        <f>COUNTIF(Paper_Reference[Duplicate Key],Paper_Reference[[#This Row],[Duplicate Key]])</f>
        <v>1</v>
      </c>
    </row>
    <row r="3839" spans="1:10">
      <c r="A3839" s="7">
        <v>2</v>
      </c>
      <c r="B3839" s="8" t="s">
        <v>1892</v>
      </c>
      <c r="C3839" s="8" t="s">
        <v>1465</v>
      </c>
      <c r="D3839" s="7">
        <v>1</v>
      </c>
      <c r="E3839" s="7">
        <v>10</v>
      </c>
      <c r="F3839" s="7">
        <v>1</v>
      </c>
      <c r="G3839" s="8" t="s">
        <v>1241</v>
      </c>
      <c r="H3839" s="8" t="s">
        <v>1242</v>
      </c>
      <c r="I3839" s="7" t="str">
        <f>_xlfn.CONCAT(Paper_Reference[[#This Row],[Lvl]:[Paper Description]])</f>
        <v>2MJ4GEMBAGL480GP RULE BOARD DIG M/B 48 X 96110110000020-5000Premium Inkjet MPK 9653</v>
      </c>
      <c r="J3839" s="7">
        <f>COUNTIF(Paper_Reference[Duplicate Key],Paper_Reference[[#This Row],[Duplicate Key]])</f>
        <v>1</v>
      </c>
    </row>
    <row r="3840" spans="1:10">
      <c r="A3840" s="7">
        <v>1</v>
      </c>
      <c r="B3840" s="8" t="s">
        <v>2720</v>
      </c>
      <c r="C3840" s="8" t="s">
        <v>2263</v>
      </c>
      <c r="D3840" s="7">
        <v>1</v>
      </c>
      <c r="E3840" s="7">
        <v>10</v>
      </c>
      <c r="F3840" s="7">
        <v>1.3806</v>
      </c>
      <c r="G3840" s="8" t="s">
        <v>2144</v>
      </c>
      <c r="H3840" s="8" t="s">
        <v>1242</v>
      </c>
      <c r="I3840" s="7" t="str">
        <f>_xlfn.CONCAT(Paper_Reference[[#This Row],[Lvl]:[Paper Description]])</f>
        <v>1MJ4GEMBAGL520GP RULE BOARD DIG M/B 60 X 1441101.380610000020-6200Premium Inkjet MPK 9653</v>
      </c>
      <c r="J3840" s="7">
        <f>COUNTIF(Paper_Reference[Duplicate Key],Paper_Reference[[#This Row],[Duplicate Key]])</f>
        <v>1</v>
      </c>
    </row>
    <row r="3841" spans="1:10">
      <c r="A3841" s="7">
        <v>1</v>
      </c>
      <c r="B3841" s="8" t="s">
        <v>2721</v>
      </c>
      <c r="C3841" s="8" t="s">
        <v>2262</v>
      </c>
      <c r="D3841" s="7">
        <v>1</v>
      </c>
      <c r="E3841" s="7">
        <v>10</v>
      </c>
      <c r="F3841" s="7">
        <v>1.3806</v>
      </c>
      <c r="G3841" s="8" t="s">
        <v>2144</v>
      </c>
      <c r="H3841" s="8" t="s">
        <v>1242</v>
      </c>
      <c r="I3841" s="7" t="str">
        <f>_xlfn.CONCAT(Paper_Reference[[#This Row],[Lvl]:[Paper Description]])</f>
        <v>1MJ4R0885GL5202CROSSFIT 196  M/B 60 X 1441101.380610000020-6200Premium Inkjet MPK 9653</v>
      </c>
      <c r="J3841" s="7">
        <f>COUNTIF(Paper_Reference[Duplicate Key],Paper_Reference[[#This Row],[Duplicate Key]])</f>
        <v>1</v>
      </c>
    </row>
    <row r="3842" spans="1:10">
      <c r="A3842" s="7">
        <v>2</v>
      </c>
      <c r="B3842" s="8" t="s">
        <v>7930</v>
      </c>
      <c r="C3842" s="8" t="s">
        <v>6713</v>
      </c>
      <c r="D3842" s="7">
        <v>1</v>
      </c>
      <c r="E3842" s="7">
        <v>10</v>
      </c>
      <c r="F3842" s="7">
        <v>2</v>
      </c>
      <c r="G3842" s="8" t="s">
        <v>6710</v>
      </c>
      <c r="H3842" s="8" t="s">
        <v>5691</v>
      </c>
      <c r="I3842" s="7" t="str">
        <f>_xlfn.CONCAT(Paper_Reference[[#This Row],[Lvl]:[Paper Description]])</f>
        <v>2MM5SW844GL4001FROSTY WHITE 48 X 1201102100DS009-5000FROSTY WHITE</v>
      </c>
      <c r="J3842" s="7">
        <f>COUNTIF(Paper_Reference[Duplicate Key],Paper_Reference[[#This Row],[Duplicate Key]])</f>
        <v>1</v>
      </c>
    </row>
    <row r="3843" spans="1:10">
      <c r="A3843" s="7">
        <v>3</v>
      </c>
      <c r="B3843" s="8" t="s">
        <v>6463</v>
      </c>
      <c r="C3843" s="8" t="s">
        <v>5945</v>
      </c>
      <c r="D3843" s="7">
        <v>1</v>
      </c>
      <c r="E3843" s="7">
        <v>0</v>
      </c>
      <c r="F3843" s="7">
        <v>1</v>
      </c>
      <c r="G3843" s="8" t="s">
        <v>5690</v>
      </c>
      <c r="H3843" s="8" t="s">
        <v>5691</v>
      </c>
      <c r="I3843" s="7" t="str">
        <f>_xlfn.CONCAT(Paper_Reference[[#This Row],[Lvl]:[Paper Description]])</f>
        <v>3MONOLITUVPPK1MONOLIT UV TWO LANE PACK101100DS009-6200FROSTY WHITE</v>
      </c>
      <c r="J3843" s="7">
        <f>COUNTIF(Paper_Reference[Duplicate Key],Paper_Reference[[#This Row],[Duplicate Key]])</f>
        <v>1</v>
      </c>
    </row>
    <row r="3844" spans="1:10">
      <c r="A3844" s="7">
        <v>3</v>
      </c>
      <c r="B3844" s="8" t="s">
        <v>6463</v>
      </c>
      <c r="C3844" s="8" t="s">
        <v>5945</v>
      </c>
      <c r="D3844" s="7">
        <v>1</v>
      </c>
      <c r="E3844" s="7">
        <v>91</v>
      </c>
      <c r="F3844" s="7">
        <v>1</v>
      </c>
      <c r="G3844" s="8" t="s">
        <v>5690</v>
      </c>
      <c r="H3844" s="8" t="s">
        <v>5691</v>
      </c>
      <c r="I3844" s="7" t="str">
        <f>_xlfn.CONCAT(Paper_Reference[[#This Row],[Lvl]:[Paper Description]])</f>
        <v>3MONOLITUVPPK1MONOLIT UV TWO LANE PACK1911100DS009-6200FROSTY WHITE</v>
      </c>
      <c r="J3844" s="7">
        <f>COUNTIF(Paper_Reference[Duplicate Key],Paper_Reference[[#This Row],[Duplicate Key]])</f>
        <v>1</v>
      </c>
    </row>
    <row r="3845" spans="1:10">
      <c r="A3845" s="7">
        <v>3</v>
      </c>
      <c r="B3845" s="8" t="s">
        <v>6463</v>
      </c>
      <c r="C3845" s="8" t="s">
        <v>5945</v>
      </c>
      <c r="D3845" s="7">
        <v>1</v>
      </c>
      <c r="E3845" s="7">
        <v>91</v>
      </c>
      <c r="F3845" s="7">
        <v>6</v>
      </c>
      <c r="G3845" s="8" t="s">
        <v>6710</v>
      </c>
      <c r="H3845" s="8" t="s">
        <v>5691</v>
      </c>
      <c r="I3845" s="7" t="str">
        <f>_xlfn.CONCAT(Paper_Reference[[#This Row],[Lvl]:[Paper Description]])</f>
        <v>3MONOLITUVPPK1MONOLIT UV TWO LANE PACK1916100DS009-5000FROSTY WHITE</v>
      </c>
      <c r="J3845" s="7">
        <f>COUNTIF(Paper_Reference[Duplicate Key],Paper_Reference[[#This Row],[Duplicate Key]])</f>
        <v>1</v>
      </c>
    </row>
    <row r="3846" spans="1:10">
      <c r="A3846" s="7">
        <v>3</v>
      </c>
      <c r="B3846" s="8" t="s">
        <v>6464</v>
      </c>
      <c r="C3846" s="8" t="s">
        <v>5946</v>
      </c>
      <c r="D3846" s="7">
        <v>1</v>
      </c>
      <c r="E3846" s="7">
        <v>91</v>
      </c>
      <c r="F3846" s="7">
        <v>1</v>
      </c>
      <c r="G3846" s="8" t="s">
        <v>5690</v>
      </c>
      <c r="H3846" s="8" t="s">
        <v>5691</v>
      </c>
      <c r="I3846" s="7" t="str">
        <f>_xlfn.CONCAT(Paper_Reference[[#This Row],[Lvl]:[Paper Description]])</f>
        <v>3MURANDRETPPK1MURREY ANDRETTI 2LP1911100DS009-6200FROSTY WHITE</v>
      </c>
      <c r="J3846" s="7">
        <f>COUNTIF(Paper_Reference[Duplicate Key],Paper_Reference[[#This Row],[Duplicate Key]])</f>
        <v>1</v>
      </c>
    </row>
    <row r="3847" spans="1:10">
      <c r="A3847" s="7">
        <v>3</v>
      </c>
      <c r="B3847" s="8" t="s">
        <v>6464</v>
      </c>
      <c r="C3847" s="8" t="s">
        <v>5946</v>
      </c>
      <c r="D3847" s="7">
        <v>1</v>
      </c>
      <c r="E3847" s="7">
        <v>91</v>
      </c>
      <c r="F3847" s="7">
        <v>2</v>
      </c>
      <c r="G3847" s="8" t="s">
        <v>6710</v>
      </c>
      <c r="H3847" s="8" t="s">
        <v>5691</v>
      </c>
      <c r="I3847" s="7" t="str">
        <f>_xlfn.CONCAT(Paper_Reference[[#This Row],[Lvl]:[Paper Description]])</f>
        <v>3MURANDRETPPK1MURREY ANDRETTI 2LP1912100DS009-5000FROSTY WHITE</v>
      </c>
      <c r="J3847" s="7">
        <f>COUNTIF(Paper_Reference[Duplicate Key],Paper_Reference[[#This Row],[Duplicate Key]])</f>
        <v>1</v>
      </c>
    </row>
    <row r="3848" spans="1:10">
      <c r="A3848" s="7">
        <v>3</v>
      </c>
      <c r="B3848" s="8" t="s">
        <v>6465</v>
      </c>
      <c r="C3848" s="8" t="s">
        <v>5947</v>
      </c>
      <c r="D3848" s="7">
        <v>1</v>
      </c>
      <c r="E3848" s="7">
        <v>91</v>
      </c>
      <c r="F3848" s="7">
        <v>1</v>
      </c>
      <c r="G3848" s="8" t="s">
        <v>5690</v>
      </c>
      <c r="H3848" s="8" t="s">
        <v>5691</v>
      </c>
      <c r="I3848" s="7" t="str">
        <f>_xlfn.CONCAT(Paper_Reference[[#This Row],[Lvl]:[Paper Description]])</f>
        <v>3MURDS009PPK1MURREY FROSTY WHITE  2LP1911100DS009-6200FROSTY WHITE</v>
      </c>
      <c r="J3848" s="7">
        <f>COUNTIF(Paper_Reference[Duplicate Key],Paper_Reference[[#This Row],[Duplicate Key]])</f>
        <v>1</v>
      </c>
    </row>
    <row r="3849" spans="1:10">
      <c r="A3849" s="7">
        <v>3</v>
      </c>
      <c r="B3849" s="8" t="s">
        <v>6465</v>
      </c>
      <c r="C3849" s="8" t="s">
        <v>5947</v>
      </c>
      <c r="D3849" s="7">
        <v>1</v>
      </c>
      <c r="E3849" s="7">
        <v>91</v>
      </c>
      <c r="F3849" s="7">
        <v>2</v>
      </c>
      <c r="G3849" s="8" t="s">
        <v>6710</v>
      </c>
      <c r="H3849" s="8" t="s">
        <v>5691</v>
      </c>
      <c r="I3849" s="7" t="str">
        <f>_xlfn.CONCAT(Paper_Reference[[#This Row],[Lvl]:[Paper Description]])</f>
        <v>3MURDS009PPK1MURREY FROSTY WHITE  2LP1912100DS009-5000FROSTY WHITE</v>
      </c>
      <c r="J3849" s="7">
        <f>COUNTIF(Paper_Reference[Duplicate Key],Paper_Reference[[#This Row],[Duplicate Key]])</f>
        <v>1</v>
      </c>
    </row>
    <row r="3850" spans="1:10">
      <c r="A3850" s="7">
        <v>3</v>
      </c>
      <c r="B3850" s="8" t="s">
        <v>6466</v>
      </c>
      <c r="C3850" s="8" t="s">
        <v>5948</v>
      </c>
      <c r="D3850" s="7">
        <v>1</v>
      </c>
      <c r="E3850" s="7">
        <v>91</v>
      </c>
      <c r="F3850" s="7">
        <v>1</v>
      </c>
      <c r="G3850" s="8" t="s">
        <v>5690</v>
      </c>
      <c r="H3850" s="8" t="s">
        <v>5691</v>
      </c>
      <c r="I3850" s="7" t="str">
        <f>_xlfn.CONCAT(Paper_Reference[[#This Row],[Lvl]:[Paper Description]])</f>
        <v>3MURDS009PPK2MURREY DIG BLACK/DS009  2LP1911100DS009-6200FROSTY WHITE</v>
      </c>
      <c r="J3850" s="7">
        <f>COUNTIF(Paper_Reference[Duplicate Key],Paper_Reference[[#This Row],[Duplicate Key]])</f>
        <v>1</v>
      </c>
    </row>
    <row r="3851" spans="1:10">
      <c r="A3851" s="7">
        <v>3</v>
      </c>
      <c r="B3851" s="8" t="s">
        <v>6466</v>
      </c>
      <c r="C3851" s="8" t="s">
        <v>5948</v>
      </c>
      <c r="D3851" s="7">
        <v>1</v>
      </c>
      <c r="E3851" s="7">
        <v>91</v>
      </c>
      <c r="F3851" s="7">
        <v>6</v>
      </c>
      <c r="G3851" s="8" t="s">
        <v>6710</v>
      </c>
      <c r="H3851" s="8" t="s">
        <v>5691</v>
      </c>
      <c r="I3851" s="7" t="str">
        <f>_xlfn.CONCAT(Paper_Reference[[#This Row],[Lvl]:[Paper Description]])</f>
        <v>3MURDS009PPK2MURREY DIG BLACK/DS009  2LP1916100DS009-5000FROSTY WHITE</v>
      </c>
      <c r="J3851" s="7">
        <f>COUNTIF(Paper_Reference[Duplicate Key],Paper_Reference[[#This Row],[Duplicate Key]])</f>
        <v>1</v>
      </c>
    </row>
    <row r="3852" spans="1:10">
      <c r="A3852" s="7">
        <v>3</v>
      </c>
      <c r="B3852" s="8" t="s">
        <v>6467</v>
      </c>
      <c r="C3852" s="8" t="s">
        <v>5949</v>
      </c>
      <c r="D3852" s="7">
        <v>1</v>
      </c>
      <c r="E3852" s="7">
        <v>91</v>
      </c>
      <c r="F3852" s="7">
        <v>1</v>
      </c>
      <c r="G3852" s="8" t="s">
        <v>5690</v>
      </c>
      <c r="H3852" s="8" t="s">
        <v>5691</v>
      </c>
      <c r="I3852" s="7" t="str">
        <f>_xlfn.CONCAT(Paper_Reference[[#This Row],[Lvl]:[Paper Description]])</f>
        <v>3MURFOLKSTPPK1MURREY FOLKSTONE  2LP1911100DS009-6200FROSTY WHITE</v>
      </c>
      <c r="J3852" s="7">
        <f>COUNTIF(Paper_Reference[Duplicate Key],Paper_Reference[[#This Row],[Duplicate Key]])</f>
        <v>1</v>
      </c>
    </row>
    <row r="3853" spans="1:10">
      <c r="A3853" s="7">
        <v>3</v>
      </c>
      <c r="B3853" s="8" t="s">
        <v>6467</v>
      </c>
      <c r="C3853" s="8" t="s">
        <v>5949</v>
      </c>
      <c r="D3853" s="7">
        <v>1</v>
      </c>
      <c r="E3853" s="7">
        <v>91</v>
      </c>
      <c r="F3853" s="7">
        <v>2</v>
      </c>
      <c r="G3853" s="8" t="s">
        <v>6710</v>
      </c>
      <c r="H3853" s="8" t="s">
        <v>5691</v>
      </c>
      <c r="I3853" s="7" t="str">
        <f>_xlfn.CONCAT(Paper_Reference[[#This Row],[Lvl]:[Paper Description]])</f>
        <v>3MURFOLKSTPPK1MURREY FOLKSTONE  2LP1912100DS009-5000FROSTY WHITE</v>
      </c>
      <c r="J3853" s="7">
        <f>COUNTIF(Paper_Reference[Duplicate Key],Paper_Reference[[#This Row],[Duplicate Key]])</f>
        <v>1</v>
      </c>
    </row>
    <row r="3854" spans="1:10">
      <c r="A3854" s="7">
        <v>3</v>
      </c>
      <c r="B3854" s="8" t="s">
        <v>623</v>
      </c>
      <c r="C3854" s="8" t="s">
        <v>390</v>
      </c>
      <c r="D3854" s="7">
        <v>1</v>
      </c>
      <c r="E3854" s="7">
        <v>91</v>
      </c>
      <c r="F3854" s="7">
        <v>6</v>
      </c>
      <c r="G3854" s="8" t="s">
        <v>976</v>
      </c>
      <c r="H3854" s="8" t="s">
        <v>984</v>
      </c>
      <c r="I3854" s="7" t="str">
        <f>_xlfn.CONCAT(Paper_Reference[[#This Row],[Lvl]:[Paper Description]])</f>
        <v>3MURGIDCELPK5MURREY CELTIC TWO LANE PACK1916100WM331-4300MURREY LANE (CENTER)</v>
      </c>
      <c r="J3854" s="7">
        <f>COUNTIF(Paper_Reference[Duplicate Key],Paper_Reference[[#This Row],[Duplicate Key]])</f>
        <v>1</v>
      </c>
    </row>
    <row r="3855" spans="1:10">
      <c r="A3855" s="7">
        <v>4</v>
      </c>
      <c r="B3855" s="8" t="s">
        <v>623</v>
      </c>
      <c r="C3855" s="8" t="s">
        <v>390</v>
      </c>
      <c r="D3855" s="7">
        <v>1</v>
      </c>
      <c r="E3855" s="7">
        <v>91</v>
      </c>
      <c r="F3855" s="7">
        <v>1</v>
      </c>
      <c r="G3855" s="8" t="s">
        <v>220</v>
      </c>
      <c r="H3855" s="8" t="s">
        <v>428</v>
      </c>
      <c r="I3855" s="7" t="str">
        <f>_xlfn.CONCAT(Paper_Reference[[#This Row],[Lvl]:[Paper Description]])</f>
        <v>4MURGIDCELPK5MURREY CELTIC TWO LANE PACK1911100WM332-6200MURREY LANE LH</v>
      </c>
      <c r="J3855" s="7">
        <f>COUNTIF(Paper_Reference[Duplicate Key],Paper_Reference[[#This Row],[Duplicate Key]])</f>
        <v>1</v>
      </c>
    </row>
    <row r="3856" spans="1:10">
      <c r="A3856" s="7">
        <v>4</v>
      </c>
      <c r="B3856" s="8" t="s">
        <v>623</v>
      </c>
      <c r="C3856" s="8" t="s">
        <v>390</v>
      </c>
      <c r="D3856" s="7">
        <v>1</v>
      </c>
      <c r="E3856" s="7">
        <v>91</v>
      </c>
      <c r="F3856" s="7">
        <v>1</v>
      </c>
      <c r="G3856" s="8" t="s">
        <v>221</v>
      </c>
      <c r="H3856" s="8" t="s">
        <v>429</v>
      </c>
      <c r="I3856" s="7" t="str">
        <f>_xlfn.CONCAT(Paper_Reference[[#This Row],[Lvl]:[Paper Description]])</f>
        <v>4MURGIDCELPK5MURREY CELTIC TWO LANE PACK1911100WM333-6200MURREY LANE RH</v>
      </c>
      <c r="J3856" s="7">
        <f>COUNTIF(Paper_Reference[Duplicate Key],Paper_Reference[[#This Row],[Duplicate Key]])</f>
        <v>1</v>
      </c>
    </row>
    <row r="3857" spans="1:10">
      <c r="A3857" s="7">
        <v>3</v>
      </c>
      <c r="B3857" s="8" t="s">
        <v>1156</v>
      </c>
      <c r="C3857" s="8" t="s">
        <v>1133</v>
      </c>
      <c r="D3857" s="7">
        <v>1</v>
      </c>
      <c r="E3857" s="7">
        <v>91</v>
      </c>
      <c r="F3857" s="7">
        <v>6</v>
      </c>
      <c r="G3857" s="8" t="s">
        <v>976</v>
      </c>
      <c r="H3857" s="8" t="s">
        <v>984</v>
      </c>
      <c r="I3857" s="7" t="str">
        <f>_xlfn.CONCAT(Paper_Reference[[#This Row],[Lvl]:[Paper Description]])</f>
        <v>3MURGLOWLPPK2MURREY UV LANE ONLY PACK1916100WM331-4300MURREY LANE (CENTER)</v>
      </c>
      <c r="J3857" s="7">
        <f>COUNTIF(Paper_Reference[Duplicate Key],Paper_Reference[[#This Row],[Duplicate Key]])</f>
        <v>1</v>
      </c>
    </row>
    <row r="3858" spans="1:10">
      <c r="A3858" s="7">
        <v>4</v>
      </c>
      <c r="B3858" s="8" t="s">
        <v>1157</v>
      </c>
      <c r="C3858" s="8" t="s">
        <v>1134</v>
      </c>
      <c r="D3858" s="7">
        <v>1</v>
      </c>
      <c r="E3858" s="7">
        <v>91</v>
      </c>
      <c r="F3858" s="7">
        <v>2</v>
      </c>
      <c r="G3858" s="8" t="s">
        <v>976</v>
      </c>
      <c r="H3858" s="8" t="s">
        <v>984</v>
      </c>
      <c r="I3858" s="7" t="str">
        <f>_xlfn.CONCAT(Paper_Reference[[#This Row],[Lvl]:[Paper Description]])</f>
        <v>4MURGLOWLPPK4MURREY UV LANE ONLY (STEP)1912100WM331-4300MURREY LANE (CENTER)</v>
      </c>
      <c r="J3858" s="7">
        <f>COUNTIF(Paper_Reference[Duplicate Key],Paper_Reference[[#This Row],[Duplicate Key]])</f>
        <v>1</v>
      </c>
    </row>
    <row r="3859" spans="1:10">
      <c r="A3859" s="7">
        <v>4</v>
      </c>
      <c r="B3859" s="8" t="s">
        <v>1158</v>
      </c>
      <c r="C3859" s="8" t="s">
        <v>1134</v>
      </c>
      <c r="D3859" s="7">
        <v>1</v>
      </c>
      <c r="E3859" s="7">
        <v>91</v>
      </c>
      <c r="F3859" s="7">
        <v>2</v>
      </c>
      <c r="G3859" s="8" t="s">
        <v>976</v>
      </c>
      <c r="H3859" s="8" t="s">
        <v>984</v>
      </c>
      <c r="I3859" s="7" t="str">
        <f>_xlfn.CONCAT(Paper_Reference[[#This Row],[Lvl]:[Paper Description]])</f>
        <v>4MURGLOWLPPK7MURREY UV LANE ONLY (STEP)1912100WM331-4300MURREY LANE (CENTER)</v>
      </c>
      <c r="J3859" s="7">
        <f>COUNTIF(Paper_Reference[Duplicate Key],Paper_Reference[[#This Row],[Duplicate Key]])</f>
        <v>1</v>
      </c>
    </row>
    <row r="3860" spans="1:10">
      <c r="A3860" s="7">
        <v>3</v>
      </c>
      <c r="B3860" s="8" t="s">
        <v>655</v>
      </c>
      <c r="C3860" s="8" t="s">
        <v>417</v>
      </c>
      <c r="D3860" s="7">
        <v>1</v>
      </c>
      <c r="E3860" s="7">
        <v>91</v>
      </c>
      <c r="F3860" s="7">
        <v>6</v>
      </c>
      <c r="G3860" s="8" t="s">
        <v>976</v>
      </c>
      <c r="H3860" s="8" t="s">
        <v>984</v>
      </c>
      <c r="I3860" s="7" t="str">
        <f>_xlfn.CONCAT(Paper_Reference[[#This Row],[Lvl]:[Paper Description]])</f>
        <v>3MURGLOWNPPK1MURREY UV LANE PACK (2 LANES)1916100WM331-4300MURREY LANE (CENTER)</v>
      </c>
      <c r="J3860" s="7">
        <f>COUNTIF(Paper_Reference[Duplicate Key],Paper_Reference[[#This Row],[Duplicate Key]])</f>
        <v>1</v>
      </c>
    </row>
    <row r="3861" spans="1:10">
      <c r="A3861" s="7">
        <v>4</v>
      </c>
      <c r="B3861" s="8" t="s">
        <v>655</v>
      </c>
      <c r="C3861" s="8" t="s">
        <v>417</v>
      </c>
      <c r="D3861" s="7">
        <v>1</v>
      </c>
      <c r="E3861" s="7">
        <v>91</v>
      </c>
      <c r="F3861" s="7">
        <v>2</v>
      </c>
      <c r="G3861" s="8" t="s">
        <v>221</v>
      </c>
      <c r="H3861" s="8" t="s">
        <v>429</v>
      </c>
      <c r="I3861" s="7" t="str">
        <f>_xlfn.CONCAT(Paper_Reference[[#This Row],[Lvl]:[Paper Description]])</f>
        <v>4MURGLOWNPPK1MURREY UV LANE PACK (2 LANES)1912100WM333-6200MURREY LANE RH</v>
      </c>
      <c r="J3861" s="7">
        <f>COUNTIF(Paper_Reference[Duplicate Key],Paper_Reference[[#This Row],[Duplicate Key]])</f>
        <v>1</v>
      </c>
    </row>
    <row r="3862" spans="1:10">
      <c r="A3862" s="7">
        <v>4</v>
      </c>
      <c r="B3862" s="8" t="s">
        <v>624</v>
      </c>
      <c r="C3862" s="8" t="s">
        <v>391</v>
      </c>
      <c r="D3862" s="7">
        <v>1</v>
      </c>
      <c r="E3862" s="7">
        <v>91</v>
      </c>
      <c r="F3862" s="7">
        <v>1</v>
      </c>
      <c r="G3862" s="8" t="s">
        <v>220</v>
      </c>
      <c r="H3862" s="8" t="s">
        <v>428</v>
      </c>
      <c r="I3862" s="7" t="str">
        <f>_xlfn.CONCAT(Paper_Reference[[#This Row],[Lvl]:[Paper Description]])</f>
        <v>4MURGLOWNPPK2MURREY UV 5 FT WARNING  2LP(A)1911100WM332-6200MURREY LANE LH</v>
      </c>
      <c r="J3862" s="7">
        <f>COUNTIF(Paper_Reference[Duplicate Key],Paper_Reference[[#This Row],[Duplicate Key]])</f>
        <v>1</v>
      </c>
    </row>
    <row r="3863" spans="1:10">
      <c r="A3863" s="7">
        <v>4</v>
      </c>
      <c r="B3863" s="8" t="s">
        <v>624</v>
      </c>
      <c r="C3863" s="8" t="s">
        <v>391</v>
      </c>
      <c r="D3863" s="7">
        <v>1</v>
      </c>
      <c r="E3863" s="7">
        <v>91</v>
      </c>
      <c r="F3863" s="7">
        <v>1</v>
      </c>
      <c r="G3863" s="8" t="s">
        <v>221</v>
      </c>
      <c r="H3863" s="8" t="s">
        <v>429</v>
      </c>
      <c r="I3863" s="7" t="str">
        <f>_xlfn.CONCAT(Paper_Reference[[#This Row],[Lvl]:[Paper Description]])</f>
        <v>4MURGLOWNPPK2MURREY UV 5 FT WARNING  2LP(A)1911100WM333-6200MURREY LANE RH</v>
      </c>
      <c r="J3863" s="7">
        <f>COUNTIF(Paper_Reference[Duplicate Key],Paper_Reference[[#This Row],[Duplicate Key]])</f>
        <v>1</v>
      </c>
    </row>
    <row r="3864" spans="1:10">
      <c r="A3864" s="7">
        <v>4</v>
      </c>
      <c r="B3864" s="8" t="s">
        <v>624</v>
      </c>
      <c r="C3864" s="8" t="s">
        <v>391</v>
      </c>
      <c r="D3864" s="7">
        <v>1</v>
      </c>
      <c r="E3864" s="7">
        <v>91</v>
      </c>
      <c r="F3864" s="7">
        <v>2</v>
      </c>
      <c r="G3864" s="8" t="s">
        <v>976</v>
      </c>
      <c r="H3864" s="8" t="s">
        <v>984</v>
      </c>
      <c r="I3864" s="7" t="str">
        <f>_xlfn.CONCAT(Paper_Reference[[#This Row],[Lvl]:[Paper Description]])</f>
        <v>4MURGLOWNPPK2MURREY UV 5 FT WARNING  2LP(A)1912100WM331-4300MURREY LANE (CENTER)</v>
      </c>
      <c r="J3864" s="7">
        <f>COUNTIF(Paper_Reference[Duplicate Key],Paper_Reference[[#This Row],[Duplicate Key]])</f>
        <v>1</v>
      </c>
    </row>
    <row r="3865" spans="1:10">
      <c r="A3865" s="7">
        <v>4</v>
      </c>
      <c r="B3865" s="8" t="s">
        <v>625</v>
      </c>
      <c r="C3865" s="8" t="s">
        <v>392</v>
      </c>
      <c r="D3865" s="7">
        <v>1</v>
      </c>
      <c r="E3865" s="7">
        <v>91</v>
      </c>
      <c r="F3865" s="7">
        <v>1</v>
      </c>
      <c r="G3865" s="8" t="s">
        <v>220</v>
      </c>
      <c r="H3865" s="8" t="s">
        <v>428</v>
      </c>
      <c r="I3865" s="7" t="str">
        <f>_xlfn.CONCAT(Paper_Reference[[#This Row],[Lvl]:[Paper Description]])</f>
        <v>4MURGLOWNPPK3MURREY UV 5 FT TWO LANE PACK1911100WM332-6200MURREY LANE LH</v>
      </c>
      <c r="J3865" s="7">
        <f>COUNTIF(Paper_Reference[Duplicate Key],Paper_Reference[[#This Row],[Duplicate Key]])</f>
        <v>1</v>
      </c>
    </row>
    <row r="3866" spans="1:10">
      <c r="A3866" s="7">
        <v>4</v>
      </c>
      <c r="B3866" s="8" t="s">
        <v>625</v>
      </c>
      <c r="C3866" s="8" t="s">
        <v>392</v>
      </c>
      <c r="D3866" s="7">
        <v>1</v>
      </c>
      <c r="E3866" s="7">
        <v>91</v>
      </c>
      <c r="F3866" s="7">
        <v>1</v>
      </c>
      <c r="G3866" s="8" t="s">
        <v>221</v>
      </c>
      <c r="H3866" s="8" t="s">
        <v>429</v>
      </c>
      <c r="I3866" s="7" t="str">
        <f>_xlfn.CONCAT(Paper_Reference[[#This Row],[Lvl]:[Paper Description]])</f>
        <v>4MURGLOWNPPK3MURREY UV 5 FT TWO LANE PACK1911100WM333-6200MURREY LANE RH</v>
      </c>
      <c r="J3866" s="7">
        <f>COUNTIF(Paper_Reference[Duplicate Key],Paper_Reference[[#This Row],[Duplicate Key]])</f>
        <v>1</v>
      </c>
    </row>
    <row r="3867" spans="1:10">
      <c r="A3867" s="7">
        <v>4</v>
      </c>
      <c r="B3867" s="8" t="s">
        <v>625</v>
      </c>
      <c r="C3867" s="8" t="s">
        <v>392</v>
      </c>
      <c r="D3867" s="7">
        <v>1</v>
      </c>
      <c r="E3867" s="7">
        <v>91</v>
      </c>
      <c r="F3867" s="7">
        <v>2</v>
      </c>
      <c r="G3867" s="8" t="s">
        <v>976</v>
      </c>
      <c r="H3867" s="8" t="s">
        <v>984</v>
      </c>
      <c r="I3867" s="7" t="str">
        <f>_xlfn.CONCAT(Paper_Reference[[#This Row],[Lvl]:[Paper Description]])</f>
        <v>4MURGLOWNPPK3MURREY UV 5 FT TWO LANE PACK1912100WM331-4300MURREY LANE (CENTER)</v>
      </c>
      <c r="J3867" s="7">
        <f>COUNTIF(Paper_Reference[Duplicate Key],Paper_Reference[[#This Row],[Duplicate Key]])</f>
        <v>1</v>
      </c>
    </row>
    <row r="3868" spans="1:10">
      <c r="A3868" s="7">
        <v>3</v>
      </c>
      <c r="B3868" s="8" t="s">
        <v>626</v>
      </c>
      <c r="C3868" s="8" t="s">
        <v>393</v>
      </c>
      <c r="D3868" s="7">
        <v>1</v>
      </c>
      <c r="E3868" s="7">
        <v>91</v>
      </c>
      <c r="F3868" s="7">
        <v>6</v>
      </c>
      <c r="G3868" s="8" t="s">
        <v>976</v>
      </c>
      <c r="H3868" s="8" t="s">
        <v>984</v>
      </c>
      <c r="I3868" s="7" t="str">
        <f>_xlfn.CONCAT(Paper_Reference[[#This Row],[Lvl]:[Paper Description]])</f>
        <v>3MURGLOWNPPK5MURREY UV 5 FT TWO LANE PACK (1916100WM331-4300MURREY LANE (CENTER)</v>
      </c>
      <c r="J3868" s="7">
        <f>COUNTIF(Paper_Reference[Duplicate Key],Paper_Reference[[#This Row],[Duplicate Key]])</f>
        <v>1</v>
      </c>
    </row>
    <row r="3869" spans="1:10">
      <c r="A3869" s="7">
        <v>4</v>
      </c>
      <c r="B3869" s="8" t="s">
        <v>626</v>
      </c>
      <c r="C3869" s="8" t="s">
        <v>393</v>
      </c>
      <c r="D3869" s="7">
        <v>1</v>
      </c>
      <c r="E3869" s="7">
        <v>91</v>
      </c>
      <c r="F3869" s="7">
        <v>1</v>
      </c>
      <c r="G3869" s="8" t="s">
        <v>220</v>
      </c>
      <c r="H3869" s="8" t="s">
        <v>428</v>
      </c>
      <c r="I3869" s="7" t="str">
        <f>_xlfn.CONCAT(Paper_Reference[[#This Row],[Lvl]:[Paper Description]])</f>
        <v>4MURGLOWNPPK5MURREY UV 5 FT TWO LANE PACK (1911100WM332-6200MURREY LANE LH</v>
      </c>
      <c r="J3869" s="7">
        <f>COUNTIF(Paper_Reference[Duplicate Key],Paper_Reference[[#This Row],[Duplicate Key]])</f>
        <v>1</v>
      </c>
    </row>
    <row r="3870" spans="1:10">
      <c r="A3870" s="7">
        <v>4</v>
      </c>
      <c r="B3870" s="8" t="s">
        <v>626</v>
      </c>
      <c r="C3870" s="8" t="s">
        <v>393</v>
      </c>
      <c r="D3870" s="7">
        <v>1</v>
      </c>
      <c r="E3870" s="7">
        <v>91</v>
      </c>
      <c r="F3870" s="7">
        <v>1</v>
      </c>
      <c r="G3870" s="8" t="s">
        <v>221</v>
      </c>
      <c r="H3870" s="8" t="s">
        <v>429</v>
      </c>
      <c r="I3870" s="7" t="str">
        <f>_xlfn.CONCAT(Paper_Reference[[#This Row],[Lvl]:[Paper Description]])</f>
        <v>4MURGLOWNPPK5MURREY UV 5 FT TWO LANE PACK (1911100WM333-6200MURREY LANE RH</v>
      </c>
      <c r="J3870" s="7">
        <f>COUNTIF(Paper_Reference[Duplicate Key],Paper_Reference[[#This Row],[Duplicate Key]])</f>
        <v>1</v>
      </c>
    </row>
    <row r="3871" spans="1:10">
      <c r="A3871" s="7">
        <v>4</v>
      </c>
      <c r="B3871" s="8" t="s">
        <v>627</v>
      </c>
      <c r="C3871" s="8" t="s">
        <v>394</v>
      </c>
      <c r="D3871" s="7">
        <v>1</v>
      </c>
      <c r="E3871" s="7">
        <v>91</v>
      </c>
      <c r="F3871" s="7">
        <v>1</v>
      </c>
      <c r="G3871" s="8" t="s">
        <v>221</v>
      </c>
      <c r="H3871" s="8" t="s">
        <v>429</v>
      </c>
      <c r="I3871" s="7" t="str">
        <f>_xlfn.CONCAT(Paper_Reference[[#This Row],[Lvl]:[Paper Description]])</f>
        <v>4MURGLOWNPPK6MURREY UV 5 FT UTAH 2LPK (A)1911100WM333-6200MURREY LANE RH</v>
      </c>
      <c r="J3871" s="7">
        <f>COUNTIF(Paper_Reference[Duplicate Key],Paper_Reference[[#This Row],[Duplicate Key]])</f>
        <v>1</v>
      </c>
    </row>
    <row r="3872" spans="1:10">
      <c r="A3872" s="7">
        <v>4</v>
      </c>
      <c r="B3872" s="8" t="s">
        <v>627</v>
      </c>
      <c r="C3872" s="8" t="s">
        <v>394</v>
      </c>
      <c r="D3872" s="7">
        <v>1</v>
      </c>
      <c r="E3872" s="7">
        <v>91</v>
      </c>
      <c r="F3872" s="7">
        <v>2</v>
      </c>
      <c r="G3872" s="8" t="s">
        <v>976</v>
      </c>
      <c r="H3872" s="8" t="s">
        <v>984</v>
      </c>
      <c r="I3872" s="7" t="str">
        <f>_xlfn.CONCAT(Paper_Reference[[#This Row],[Lvl]:[Paper Description]])</f>
        <v>4MURGLOWNPPK6MURREY UV 5 FT UTAH 2LPK (A)1912100WM331-4300MURREY LANE (CENTER)</v>
      </c>
      <c r="J3872" s="7">
        <f>COUNTIF(Paper_Reference[Duplicate Key],Paper_Reference[[#This Row],[Duplicate Key]])</f>
        <v>1</v>
      </c>
    </row>
    <row r="3873" spans="1:10">
      <c r="A3873" s="7">
        <v>5</v>
      </c>
      <c r="B3873" s="8" t="s">
        <v>627</v>
      </c>
      <c r="C3873" s="8" t="s">
        <v>394</v>
      </c>
      <c r="D3873" s="7">
        <v>1</v>
      </c>
      <c r="E3873" s="7">
        <v>91</v>
      </c>
      <c r="F3873" s="7">
        <v>1</v>
      </c>
      <c r="G3873" s="8" t="s">
        <v>220</v>
      </c>
      <c r="H3873" s="8" t="s">
        <v>428</v>
      </c>
      <c r="I3873" s="7" t="str">
        <f>_xlfn.CONCAT(Paper_Reference[[#This Row],[Lvl]:[Paper Description]])</f>
        <v>5MURGLOWNPPK6MURREY UV 5 FT UTAH 2LPK (A)1911100WM332-6200MURREY LANE LH</v>
      </c>
      <c r="J3873" s="7">
        <f>COUNTIF(Paper_Reference[Duplicate Key],Paper_Reference[[#This Row],[Duplicate Key]])</f>
        <v>1</v>
      </c>
    </row>
    <row r="3874" spans="1:10">
      <c r="A3874" s="7">
        <v>4</v>
      </c>
      <c r="B3874" s="8" t="s">
        <v>628</v>
      </c>
      <c r="C3874" s="8" t="s">
        <v>395</v>
      </c>
      <c r="D3874" s="7">
        <v>1</v>
      </c>
      <c r="E3874" s="7">
        <v>91</v>
      </c>
      <c r="F3874" s="7">
        <v>1</v>
      </c>
      <c r="G3874" s="8" t="s">
        <v>220</v>
      </c>
      <c r="H3874" s="8" t="s">
        <v>428</v>
      </c>
      <c r="I3874" s="7" t="str">
        <f>_xlfn.CONCAT(Paper_Reference[[#This Row],[Lvl]:[Paper Description]])</f>
        <v>4MURGLOWNPPK8MURREY UV 5 FT WARNING  2LP1911100WM332-6200MURREY LANE LH</v>
      </c>
      <c r="J3874" s="7">
        <f>COUNTIF(Paper_Reference[Duplicate Key],Paper_Reference[[#This Row],[Duplicate Key]])</f>
        <v>1</v>
      </c>
    </row>
    <row r="3875" spans="1:10">
      <c r="A3875" s="7">
        <v>4</v>
      </c>
      <c r="B3875" s="8" t="s">
        <v>628</v>
      </c>
      <c r="C3875" s="8" t="s">
        <v>395</v>
      </c>
      <c r="D3875" s="7">
        <v>1</v>
      </c>
      <c r="E3875" s="7">
        <v>91</v>
      </c>
      <c r="F3875" s="7">
        <v>1</v>
      </c>
      <c r="G3875" s="8" t="s">
        <v>221</v>
      </c>
      <c r="H3875" s="8" t="s">
        <v>429</v>
      </c>
      <c r="I3875" s="7" t="str">
        <f>_xlfn.CONCAT(Paper_Reference[[#This Row],[Lvl]:[Paper Description]])</f>
        <v>4MURGLOWNPPK8MURREY UV 5 FT WARNING  2LP1911100WM333-6200MURREY LANE RH</v>
      </c>
      <c r="J3875" s="7">
        <f>COUNTIF(Paper_Reference[Duplicate Key],Paper_Reference[[#This Row],[Duplicate Key]])</f>
        <v>1</v>
      </c>
    </row>
    <row r="3876" spans="1:10">
      <c r="A3876" s="7">
        <v>4</v>
      </c>
      <c r="B3876" s="8" t="s">
        <v>628</v>
      </c>
      <c r="C3876" s="8" t="s">
        <v>395</v>
      </c>
      <c r="D3876" s="7">
        <v>1</v>
      </c>
      <c r="E3876" s="7">
        <v>91</v>
      </c>
      <c r="F3876" s="7">
        <v>2</v>
      </c>
      <c r="G3876" s="8" t="s">
        <v>976</v>
      </c>
      <c r="H3876" s="8" t="s">
        <v>984</v>
      </c>
      <c r="I3876" s="7" t="str">
        <f>_xlfn.CONCAT(Paper_Reference[[#This Row],[Lvl]:[Paper Description]])</f>
        <v>4MURGLOWNPPK8MURREY UV 5 FT WARNING  2LP1912100WM331-4300MURREY LANE (CENTER)</v>
      </c>
      <c r="J3876" s="7">
        <f>COUNTIF(Paper_Reference[Duplicate Key],Paper_Reference[[#This Row],[Duplicate Key]])</f>
        <v>1</v>
      </c>
    </row>
    <row r="3877" spans="1:10">
      <c r="A3877" s="7">
        <v>3</v>
      </c>
      <c r="B3877" s="8" t="s">
        <v>6468</v>
      </c>
      <c r="C3877" s="8" t="s">
        <v>5950</v>
      </c>
      <c r="D3877" s="7">
        <v>1</v>
      </c>
      <c r="E3877" s="7">
        <v>91</v>
      </c>
      <c r="F3877" s="7">
        <v>1</v>
      </c>
      <c r="G3877" s="8" t="s">
        <v>5690</v>
      </c>
      <c r="H3877" s="8" t="s">
        <v>5691</v>
      </c>
      <c r="I3877" s="7" t="str">
        <f>_xlfn.CONCAT(Paper_Reference[[#This Row],[Lvl]:[Paper Description]])</f>
        <v>3MURSB009PPK1MURREY ESU SB009  2LP1911100DS009-6200FROSTY WHITE</v>
      </c>
      <c r="J3877" s="7">
        <f>COUNTIF(Paper_Reference[Duplicate Key],Paper_Reference[[#This Row],[Duplicate Key]])</f>
        <v>1</v>
      </c>
    </row>
    <row r="3878" spans="1:10">
      <c r="A3878" s="7">
        <v>3</v>
      </c>
      <c r="B3878" s="8" t="s">
        <v>6468</v>
      </c>
      <c r="C3878" s="8" t="s">
        <v>5950</v>
      </c>
      <c r="D3878" s="7">
        <v>1</v>
      </c>
      <c r="E3878" s="7">
        <v>91</v>
      </c>
      <c r="F3878" s="7">
        <v>2</v>
      </c>
      <c r="G3878" s="8" t="s">
        <v>6710</v>
      </c>
      <c r="H3878" s="8" t="s">
        <v>5691</v>
      </c>
      <c r="I3878" s="7" t="str">
        <f>_xlfn.CONCAT(Paper_Reference[[#This Row],[Lvl]:[Paper Description]])</f>
        <v>3MURSB009PPK1MURREY ESU SB009  2LP1912100DS009-5000FROSTY WHITE</v>
      </c>
      <c r="J3878" s="7">
        <f>COUNTIF(Paper_Reference[Duplicate Key],Paper_Reference[[#This Row],[Duplicate Key]])</f>
        <v>1</v>
      </c>
    </row>
    <row r="3879" spans="1:10">
      <c r="A3879" s="7">
        <v>3</v>
      </c>
      <c r="B3879" s="8" t="s">
        <v>1893</v>
      </c>
      <c r="C3879" s="8" t="s">
        <v>1466</v>
      </c>
      <c r="D3879" s="7">
        <v>1</v>
      </c>
      <c r="E3879" s="7">
        <v>91</v>
      </c>
      <c r="F3879" s="7">
        <v>1</v>
      </c>
      <c r="G3879" s="8" t="s">
        <v>2144</v>
      </c>
      <c r="H3879" s="8" t="s">
        <v>1242</v>
      </c>
      <c r="I3879" s="7" t="str">
        <f>_xlfn.CONCAT(Paper_Reference[[#This Row],[Lvl]:[Paper Description]])</f>
        <v>3MURSB316PPK1MURREY REGIMENTAL BLUE  2LP191110000020-6200Premium Inkjet MPK 9653</v>
      </c>
      <c r="J3879" s="7">
        <f>COUNTIF(Paper_Reference[Duplicate Key],Paper_Reference[[#This Row],[Duplicate Key]])</f>
        <v>1</v>
      </c>
    </row>
    <row r="3880" spans="1:10">
      <c r="A3880" s="7">
        <v>3</v>
      </c>
      <c r="B3880" s="8" t="s">
        <v>1893</v>
      </c>
      <c r="C3880" s="8" t="s">
        <v>1466</v>
      </c>
      <c r="D3880" s="7">
        <v>1</v>
      </c>
      <c r="E3880" s="7">
        <v>91</v>
      </c>
      <c r="F3880" s="7">
        <v>2</v>
      </c>
      <c r="G3880" s="8" t="s">
        <v>1241</v>
      </c>
      <c r="H3880" s="8" t="s">
        <v>1242</v>
      </c>
      <c r="I3880" s="7" t="str">
        <f>_xlfn.CONCAT(Paper_Reference[[#This Row],[Lvl]:[Paper Description]])</f>
        <v>3MURSB316PPK1MURREY REGIMENTAL BLUE  2LP191210000020-5000Premium Inkjet MPK 9653</v>
      </c>
      <c r="J3880" s="7">
        <f>COUNTIF(Paper_Reference[Duplicate Key],Paper_Reference[[#This Row],[Duplicate Key]])</f>
        <v>1</v>
      </c>
    </row>
    <row r="3881" spans="1:10">
      <c r="A3881" s="7">
        <v>4</v>
      </c>
      <c r="B3881" s="8" t="s">
        <v>629</v>
      </c>
      <c r="C3881" s="8" t="s">
        <v>396</v>
      </c>
      <c r="D3881" s="7">
        <v>1</v>
      </c>
      <c r="E3881" s="7">
        <v>91</v>
      </c>
      <c r="F3881" s="7">
        <v>1</v>
      </c>
      <c r="G3881" s="8" t="s">
        <v>220</v>
      </c>
      <c r="H3881" s="8" t="s">
        <v>428</v>
      </c>
      <c r="I3881" s="7" t="str">
        <f>_xlfn.CONCAT(Paper_Reference[[#This Row],[Lvl]:[Paper Description]])</f>
        <v>4MURUVSTNPPK1MURREY UV STRIPE 2LP1911100WM332-6200MURREY LANE LH</v>
      </c>
      <c r="J3881" s="7">
        <f>COUNTIF(Paper_Reference[Duplicate Key],Paper_Reference[[#This Row],[Duplicate Key]])</f>
        <v>1</v>
      </c>
    </row>
    <row r="3882" spans="1:10">
      <c r="A3882" s="7">
        <v>4</v>
      </c>
      <c r="B3882" s="8" t="s">
        <v>629</v>
      </c>
      <c r="C3882" s="8" t="s">
        <v>396</v>
      </c>
      <c r="D3882" s="7">
        <v>1</v>
      </c>
      <c r="E3882" s="7">
        <v>91</v>
      </c>
      <c r="F3882" s="7">
        <v>1</v>
      </c>
      <c r="G3882" s="8" t="s">
        <v>221</v>
      </c>
      <c r="H3882" s="8" t="s">
        <v>429</v>
      </c>
      <c r="I3882" s="7" t="str">
        <f>_xlfn.CONCAT(Paper_Reference[[#This Row],[Lvl]:[Paper Description]])</f>
        <v>4MURUVSTNPPK1MURREY UV STRIPE 2LP1911100WM333-6200MURREY LANE RH</v>
      </c>
      <c r="J3882" s="7">
        <f>COUNTIF(Paper_Reference[Duplicate Key],Paper_Reference[[#This Row],[Duplicate Key]])</f>
        <v>1</v>
      </c>
    </row>
    <row r="3883" spans="1:10">
      <c r="A3883" s="7">
        <v>5</v>
      </c>
      <c r="B3883" s="8" t="s">
        <v>629</v>
      </c>
      <c r="C3883" s="8" t="s">
        <v>396</v>
      </c>
      <c r="D3883" s="7">
        <v>1</v>
      </c>
      <c r="E3883" s="7">
        <v>91</v>
      </c>
      <c r="F3883" s="7">
        <v>2</v>
      </c>
      <c r="G3883" s="8" t="s">
        <v>976</v>
      </c>
      <c r="H3883" s="8" t="s">
        <v>984</v>
      </c>
      <c r="I3883" s="7" t="str">
        <f>_xlfn.CONCAT(Paper_Reference[[#This Row],[Lvl]:[Paper Description]])</f>
        <v>5MURUVSTNPPK1MURREY UV STRIPE 2LP1912100WM331-4300MURREY LANE (CENTER)</v>
      </c>
      <c r="J3883" s="7">
        <f>COUNTIF(Paper_Reference[Duplicate Key],Paper_Reference[[#This Row],[Duplicate Key]])</f>
        <v>1</v>
      </c>
    </row>
    <row r="3884" spans="1:10">
      <c r="A3884" s="7">
        <v>4</v>
      </c>
      <c r="B3884" s="8" t="s">
        <v>630</v>
      </c>
      <c r="C3884" s="8" t="s">
        <v>397</v>
      </c>
      <c r="D3884" s="7">
        <v>1</v>
      </c>
      <c r="E3884" s="7">
        <v>91</v>
      </c>
      <c r="F3884" s="7">
        <v>1</v>
      </c>
      <c r="G3884" s="8" t="s">
        <v>220</v>
      </c>
      <c r="H3884" s="8" t="s">
        <v>428</v>
      </c>
      <c r="I3884" s="7" t="str">
        <f>_xlfn.CONCAT(Paper_Reference[[#This Row],[Lvl]:[Paper Description]])</f>
        <v>4MURUVSTNPPK2MURREY UV BOOM/STRIPE 2LP1911100WM332-6200MURREY LANE LH</v>
      </c>
      <c r="J3884" s="7">
        <f>COUNTIF(Paper_Reference[Duplicate Key],Paper_Reference[[#This Row],[Duplicate Key]])</f>
        <v>1</v>
      </c>
    </row>
    <row r="3885" spans="1:10">
      <c r="A3885" s="7">
        <v>4</v>
      </c>
      <c r="B3885" s="8" t="s">
        <v>630</v>
      </c>
      <c r="C3885" s="8" t="s">
        <v>397</v>
      </c>
      <c r="D3885" s="7">
        <v>1</v>
      </c>
      <c r="E3885" s="7">
        <v>91</v>
      </c>
      <c r="F3885" s="7">
        <v>1</v>
      </c>
      <c r="G3885" s="8" t="s">
        <v>221</v>
      </c>
      <c r="H3885" s="8" t="s">
        <v>429</v>
      </c>
      <c r="I3885" s="7" t="str">
        <f>_xlfn.CONCAT(Paper_Reference[[#This Row],[Lvl]:[Paper Description]])</f>
        <v>4MURUVSTNPPK2MURREY UV BOOM/STRIPE 2LP1911100WM333-6200MURREY LANE RH</v>
      </c>
      <c r="J3885" s="7">
        <f>COUNTIF(Paper_Reference[Duplicate Key],Paper_Reference[[#This Row],[Duplicate Key]])</f>
        <v>1</v>
      </c>
    </row>
    <row r="3886" spans="1:10">
      <c r="A3886" s="7">
        <v>4</v>
      </c>
      <c r="B3886" s="8" t="s">
        <v>630</v>
      </c>
      <c r="C3886" s="8" t="s">
        <v>397</v>
      </c>
      <c r="D3886" s="7">
        <v>1</v>
      </c>
      <c r="E3886" s="7">
        <v>91</v>
      </c>
      <c r="F3886" s="7">
        <v>6</v>
      </c>
      <c r="G3886" s="8" t="s">
        <v>976</v>
      </c>
      <c r="H3886" s="8" t="s">
        <v>984</v>
      </c>
      <c r="I3886" s="7" t="str">
        <f>_xlfn.CONCAT(Paper_Reference[[#This Row],[Lvl]:[Paper Description]])</f>
        <v>4MURUVSTNPPK2MURREY UV BOOM/STRIPE 2LP1916100WM331-4300MURREY LANE (CENTER)</v>
      </c>
      <c r="J3886" s="7">
        <f>COUNTIF(Paper_Reference[Duplicate Key],Paper_Reference[[#This Row],[Duplicate Key]])</f>
        <v>1</v>
      </c>
    </row>
    <row r="3887" spans="1:10">
      <c r="A3887" s="7">
        <v>3</v>
      </c>
      <c r="B3887" s="8" t="s">
        <v>6469</v>
      </c>
      <c r="C3887" s="8" t="s">
        <v>5951</v>
      </c>
      <c r="D3887" s="7">
        <v>1</v>
      </c>
      <c r="E3887" s="7">
        <v>91</v>
      </c>
      <c r="F3887" s="7">
        <v>1</v>
      </c>
      <c r="G3887" s="8" t="s">
        <v>5690</v>
      </c>
      <c r="H3887" s="8" t="s">
        <v>5691</v>
      </c>
      <c r="I3887" s="7" t="str">
        <f>_xlfn.CONCAT(Paper_Reference[[#This Row],[Lvl]:[Paper Description]])</f>
        <v>3MUSCLECARPK2MC PYR MARBLE D/PRO L/PACK1911100DS009-6200FROSTY WHITE</v>
      </c>
      <c r="J3887" s="7">
        <f>COUNTIF(Paper_Reference[Duplicate Key],Paper_Reference[[#This Row],[Duplicate Key]])</f>
        <v>1</v>
      </c>
    </row>
    <row r="3888" spans="1:10">
      <c r="A3888" s="7">
        <v>3</v>
      </c>
      <c r="B3888" s="8" t="s">
        <v>6469</v>
      </c>
      <c r="C3888" s="8" t="s">
        <v>5951</v>
      </c>
      <c r="D3888" s="7">
        <v>1</v>
      </c>
      <c r="E3888" s="7">
        <v>91</v>
      </c>
      <c r="F3888" s="7">
        <v>2</v>
      </c>
      <c r="G3888" s="8" t="s">
        <v>6710</v>
      </c>
      <c r="H3888" s="8" t="s">
        <v>5691</v>
      </c>
      <c r="I3888" s="7" t="str">
        <f>_xlfn.CONCAT(Paper_Reference[[#This Row],[Lvl]:[Paper Description]])</f>
        <v>3MUSCLECARPK2MC PYR MARBLE D/PRO L/PACK1912100DS009-5000FROSTY WHITE</v>
      </c>
      <c r="J3888" s="7">
        <f>COUNTIF(Paper_Reference[Duplicate Key],Paper_Reference[[#This Row],[Duplicate Key]])</f>
        <v>1</v>
      </c>
    </row>
    <row r="3889" spans="1:10">
      <c r="A3889" s="7">
        <v>2</v>
      </c>
      <c r="B3889" s="8" t="s">
        <v>3547</v>
      </c>
      <c r="C3889" s="8" t="s">
        <v>3235</v>
      </c>
      <c r="D3889" s="7">
        <v>1</v>
      </c>
      <c r="E3889" s="7">
        <v>10</v>
      </c>
      <c r="F3889" s="7">
        <v>1</v>
      </c>
      <c r="G3889" s="8" t="s">
        <v>3230</v>
      </c>
      <c r="H3889" s="8" t="s">
        <v>3231</v>
      </c>
      <c r="I3889" s="7" t="str">
        <f>_xlfn.CONCAT(Paper_Reference[[#This Row],[Lvl]:[Paper Description]])</f>
        <v>2NA60S-7036T-4800PRECISION WHITE 48 X 961101110SW736-5000PRECISION WHITE 43 X 145</v>
      </c>
      <c r="J3889" s="7">
        <f>COUNTIF(Paper_Reference[Duplicate Key],Paper_Reference[[#This Row],[Duplicate Key]])</f>
        <v>1</v>
      </c>
    </row>
    <row r="3890" spans="1:10">
      <c r="A3890" s="7">
        <v>3</v>
      </c>
      <c r="B3890" s="8" t="s">
        <v>6470</v>
      </c>
      <c r="C3890" s="8" t="s">
        <v>5952</v>
      </c>
      <c r="D3890" s="7">
        <v>1</v>
      </c>
      <c r="E3890" s="7">
        <v>91</v>
      </c>
      <c r="F3890" s="7">
        <v>1</v>
      </c>
      <c r="G3890" s="8" t="s">
        <v>5690</v>
      </c>
      <c r="H3890" s="8" t="s">
        <v>5691</v>
      </c>
      <c r="I3890" s="7" t="str">
        <f>_xlfn.CONCAT(Paper_Reference[[#This Row],[Lvl]:[Paper Description]])</f>
        <v>3NASUVTLPAPPK1NASCAR UV TWO LANE PACK1911100DS009-6200FROSTY WHITE</v>
      </c>
      <c r="J3890" s="7">
        <f>COUNTIF(Paper_Reference[Duplicate Key],Paper_Reference[[#This Row],[Duplicate Key]])</f>
        <v>1</v>
      </c>
    </row>
    <row r="3891" spans="1:10">
      <c r="A3891" s="7">
        <v>3</v>
      </c>
      <c r="B3891" s="8" t="s">
        <v>6470</v>
      </c>
      <c r="C3891" s="8" t="s">
        <v>5952</v>
      </c>
      <c r="D3891" s="7">
        <v>1</v>
      </c>
      <c r="E3891" s="7">
        <v>91</v>
      </c>
      <c r="F3891" s="7">
        <v>6</v>
      </c>
      <c r="G3891" s="8" t="s">
        <v>6710</v>
      </c>
      <c r="H3891" s="8" t="s">
        <v>5691</v>
      </c>
      <c r="I3891" s="7" t="str">
        <f>_xlfn.CONCAT(Paper_Reference[[#This Row],[Lvl]:[Paper Description]])</f>
        <v>3NASUVTLPAPPK1NASCAR UV TWO LANE PACK1916100DS009-5000FROSTY WHITE</v>
      </c>
      <c r="J3891" s="7">
        <f>COUNTIF(Paper_Reference[Duplicate Key],Paper_Reference[[#This Row],[Duplicate Key]])</f>
        <v>1</v>
      </c>
    </row>
    <row r="3892" spans="1:10">
      <c r="A3892" s="7">
        <v>2</v>
      </c>
      <c r="B3892" s="8" t="s">
        <v>3548</v>
      </c>
      <c r="C3892" s="8" t="s">
        <v>3235</v>
      </c>
      <c r="D3892" s="7">
        <v>1</v>
      </c>
      <c r="E3892" s="7">
        <v>10</v>
      </c>
      <c r="F3892" s="7">
        <v>1</v>
      </c>
      <c r="G3892" s="8" t="s">
        <v>3230</v>
      </c>
      <c r="H3892" s="8" t="s">
        <v>3231</v>
      </c>
      <c r="I3892" s="7" t="str">
        <f>_xlfn.CONCAT(Paper_Reference[[#This Row],[Lvl]:[Paper Description]])</f>
        <v>2NC20S-7036M-4800PRECISION WHITE 48 X 961101110SW736-5000PRECISION WHITE 43 X 145</v>
      </c>
      <c r="J3892" s="7">
        <f>COUNTIF(Paper_Reference[Duplicate Key],Paper_Reference[[#This Row],[Duplicate Key]])</f>
        <v>1</v>
      </c>
    </row>
    <row r="3893" spans="1:10">
      <c r="A3893" s="7">
        <v>2</v>
      </c>
      <c r="B3893" s="8" t="s">
        <v>5204</v>
      </c>
      <c r="C3893" s="8" t="s">
        <v>4525</v>
      </c>
      <c r="D3893" s="7">
        <v>1</v>
      </c>
      <c r="E3893" s="7">
        <v>10</v>
      </c>
      <c r="F3893" s="7">
        <v>1</v>
      </c>
      <c r="G3893" s="8" t="s">
        <v>4371</v>
      </c>
      <c r="H3893" s="8" t="s">
        <v>4372</v>
      </c>
      <c r="I3893" s="7" t="str">
        <f>_xlfn.CONCAT(Paper_Reference[[#This Row],[Lvl]:[Paper Description]])</f>
        <v>2ND30S-6027E-5201MARITIME GRAY 60 X 1441101100DS064-6200BLACK</v>
      </c>
      <c r="J3893" s="7">
        <f>COUNTIF(Paper_Reference[Duplicate Key],Paper_Reference[[#This Row],[Duplicate Key]])</f>
        <v>1</v>
      </c>
    </row>
    <row r="3894" spans="1:10">
      <c r="A3894" s="7">
        <v>2</v>
      </c>
      <c r="B3894" s="8" t="s">
        <v>5205</v>
      </c>
      <c r="C3894" s="8" t="s">
        <v>4525</v>
      </c>
      <c r="D3894" s="7">
        <v>1</v>
      </c>
      <c r="E3894" s="7">
        <v>10</v>
      </c>
      <c r="F3894" s="7">
        <v>1</v>
      </c>
      <c r="G3894" s="8" t="s">
        <v>4371</v>
      </c>
      <c r="H3894" s="8" t="s">
        <v>4372</v>
      </c>
      <c r="I3894" s="7" t="str">
        <f>_xlfn.CONCAT(Paper_Reference[[#This Row],[Lvl]:[Paper Description]])</f>
        <v>2ND30S-6027SD5201MARITIME GRAY 60 X 1441101100DS064-6200BLACK</v>
      </c>
      <c r="J3894" s="7">
        <f>COUNTIF(Paper_Reference[Duplicate Key],Paper_Reference[[#This Row],[Duplicate Key]])</f>
        <v>1</v>
      </c>
    </row>
    <row r="3895" spans="1:10">
      <c r="A3895" s="7">
        <v>2</v>
      </c>
      <c r="B3895" s="8" t="s">
        <v>3549</v>
      </c>
      <c r="C3895" s="8" t="s">
        <v>3254</v>
      </c>
      <c r="D3895" s="7">
        <v>1</v>
      </c>
      <c r="E3895" s="7">
        <v>10</v>
      </c>
      <c r="F3895" s="7">
        <v>1</v>
      </c>
      <c r="G3895" s="8" t="s">
        <v>3230</v>
      </c>
      <c r="H3895" s="8" t="s">
        <v>3231</v>
      </c>
      <c r="I3895" s="7" t="str">
        <f>_xlfn.CONCAT(Paper_Reference[[#This Row],[Lvl]:[Paper Description]])</f>
        <v>2ND45H31936T-4800MXT003 / S-7036 48X961101110SW736-5000PRECISION WHITE 43 X 145</v>
      </c>
      <c r="J3895" s="7">
        <f>COUNTIF(Paper_Reference[Duplicate Key],Paper_Reference[[#This Row],[Duplicate Key]])</f>
        <v>1</v>
      </c>
    </row>
    <row r="3896" spans="1:10">
      <c r="A3896" s="7">
        <v>2</v>
      </c>
      <c r="B3896" s="8" t="s">
        <v>3550</v>
      </c>
      <c r="C3896" s="8" t="s">
        <v>3255</v>
      </c>
      <c r="D3896" s="7">
        <v>1</v>
      </c>
      <c r="E3896" s="7">
        <v>10</v>
      </c>
      <c r="F3896" s="7">
        <v>2</v>
      </c>
      <c r="G3896" s="8" t="s">
        <v>3230</v>
      </c>
      <c r="H3896" s="8" t="s">
        <v>3231</v>
      </c>
      <c r="I3896" s="7" t="str">
        <f>_xlfn.CONCAT(Paper_Reference[[#This Row],[Lvl]:[Paper Description]])</f>
        <v>2ND45S-7036T-4800Precision White  48 x 961102110SW736-5000PRECISION WHITE 43 X 145</v>
      </c>
      <c r="J3896" s="7">
        <f>COUNTIF(Paper_Reference[Duplicate Key],Paper_Reference[[#This Row],[Duplicate Key]])</f>
        <v>1</v>
      </c>
    </row>
    <row r="3897" spans="1:10">
      <c r="A3897" s="7">
        <v>2</v>
      </c>
      <c r="B3897" s="8" t="s">
        <v>3999</v>
      </c>
      <c r="C3897" s="8" t="s">
        <v>3766</v>
      </c>
      <c r="D3897" s="7">
        <v>1</v>
      </c>
      <c r="E3897" s="7">
        <v>10</v>
      </c>
      <c r="F3897" s="7">
        <v>2</v>
      </c>
      <c r="G3897" s="8" t="s">
        <v>3826</v>
      </c>
      <c r="H3897" s="8" t="s">
        <v>3827</v>
      </c>
      <c r="I3897" s="7" t="str">
        <f>_xlfn.CONCAT(Paper_Reference[[#This Row],[Lvl]:[Paper Description]])</f>
        <v>2ND45S-7036T-5200PRECISION WHITE 60 X 1441102110SW736-6200PRECISION WHITE 62"</v>
      </c>
      <c r="J3897" s="7">
        <f>COUNTIF(Paper_Reference[Duplicate Key],Paper_Reference[[#This Row],[Duplicate Key]])</f>
        <v>1</v>
      </c>
    </row>
    <row r="3898" spans="1:10">
      <c r="A3898" s="7">
        <v>2</v>
      </c>
      <c r="B3898" s="8" t="s">
        <v>4000</v>
      </c>
      <c r="C3898" s="8" t="s">
        <v>3778</v>
      </c>
      <c r="D3898" s="7">
        <v>1</v>
      </c>
      <c r="E3898" s="7">
        <v>10</v>
      </c>
      <c r="F3898" s="7">
        <v>2</v>
      </c>
      <c r="G3898" s="8" t="s">
        <v>3826</v>
      </c>
      <c r="H3898" s="8" t="s">
        <v>3827</v>
      </c>
      <c r="I3898" s="7" t="str">
        <f>_xlfn.CONCAT(Paper_Reference[[#This Row],[Lvl]:[Paper Description]])</f>
        <v>2ND45S-7036T-5800PRECISION WHITE 60 X 961102110SW736-6200PRECISION WHITE 62"</v>
      </c>
      <c r="J3898" s="7">
        <f>COUNTIF(Paper_Reference[Duplicate Key],Paper_Reference[[#This Row],[Duplicate Key]])</f>
        <v>1</v>
      </c>
    </row>
    <row r="3899" spans="1:10">
      <c r="A3899" s="7">
        <v>2</v>
      </c>
      <c r="B3899" s="8" t="s">
        <v>4001</v>
      </c>
      <c r="C3899" s="8" t="s">
        <v>3766</v>
      </c>
      <c r="D3899" s="7">
        <v>1</v>
      </c>
      <c r="E3899" s="7">
        <v>10</v>
      </c>
      <c r="F3899" s="7">
        <v>2</v>
      </c>
      <c r="G3899" s="8" t="s">
        <v>3826</v>
      </c>
      <c r="H3899" s="8" t="s">
        <v>3827</v>
      </c>
      <c r="I3899" s="7" t="str">
        <f>_xlfn.CONCAT(Paper_Reference[[#This Row],[Lvl]:[Paper Description]])</f>
        <v>2ND51S-7036T-5200PRECISION WHITE 60 X 1441102110SW736-6200PRECISION WHITE 62"</v>
      </c>
      <c r="J3899" s="7">
        <f>COUNTIF(Paper_Reference[Duplicate Key],Paper_Reference[[#This Row],[Duplicate Key]])</f>
        <v>1</v>
      </c>
    </row>
    <row r="3900" spans="1:10">
      <c r="A3900" s="7">
        <v>2</v>
      </c>
      <c r="B3900" s="8" t="s">
        <v>3551</v>
      </c>
      <c r="C3900" s="8" t="s">
        <v>3256</v>
      </c>
      <c r="D3900" s="7">
        <v>1</v>
      </c>
      <c r="E3900" s="7">
        <v>10</v>
      </c>
      <c r="F3900" s="7">
        <v>1</v>
      </c>
      <c r="G3900" s="8" t="s">
        <v>3230</v>
      </c>
      <c r="H3900" s="8" t="s">
        <v>3231</v>
      </c>
      <c r="I3900" s="7" t="str">
        <f>_xlfn.CONCAT(Paper_Reference[[#This Row],[Lvl]:[Paper Description]])</f>
        <v>2ND57DF3020MG4800S-7036/S-6001 48 X 961101110SW736-5000PRECISION WHITE 43 X 145</v>
      </c>
      <c r="J3900" s="7">
        <f>COUNTIF(Paper_Reference[Duplicate Key],Paper_Reference[[#This Row],[Duplicate Key]])</f>
        <v>1</v>
      </c>
    </row>
    <row r="3901" spans="1:10">
      <c r="A3901" s="7">
        <v>2</v>
      </c>
      <c r="B3901" s="8" t="s">
        <v>3552</v>
      </c>
      <c r="C3901" s="8" t="s">
        <v>3256</v>
      </c>
      <c r="D3901" s="7">
        <v>1</v>
      </c>
      <c r="E3901" s="7">
        <v>10</v>
      </c>
      <c r="F3901" s="7">
        <v>1</v>
      </c>
      <c r="G3901" s="8" t="s">
        <v>3230</v>
      </c>
      <c r="H3901" s="8" t="s">
        <v>3231</v>
      </c>
      <c r="I3901" s="7" t="str">
        <f>_xlfn.CONCAT(Paper_Reference[[#This Row],[Lvl]:[Paper Description]])</f>
        <v>2ND57DF3020PV4800S-7036/S-6001 48 X 961101110SW736-5000PRECISION WHITE 43 X 145</v>
      </c>
      <c r="J3901" s="7">
        <f>COUNTIF(Paper_Reference[Duplicate Key],Paper_Reference[[#This Row],[Duplicate Key]])</f>
        <v>1</v>
      </c>
    </row>
    <row r="3902" spans="1:10">
      <c r="A3902" s="7">
        <v>2</v>
      </c>
      <c r="B3902" s="8" t="s">
        <v>3553</v>
      </c>
      <c r="C3902" s="8" t="s">
        <v>3256</v>
      </c>
      <c r="D3902" s="7">
        <v>1</v>
      </c>
      <c r="E3902" s="7">
        <v>10</v>
      </c>
      <c r="F3902" s="7">
        <v>1</v>
      </c>
      <c r="G3902" s="8" t="s">
        <v>3230</v>
      </c>
      <c r="H3902" s="8" t="s">
        <v>3231</v>
      </c>
      <c r="I3902" s="7" t="str">
        <f>_xlfn.CONCAT(Paper_Reference[[#This Row],[Lvl]:[Paper Description]])</f>
        <v>2ND57DF3020SD4800S-7036/S-6001 48 X 961101110SW736-5000PRECISION WHITE 43 X 145</v>
      </c>
      <c r="J3902" s="7">
        <f>COUNTIF(Paper_Reference[Duplicate Key],Paper_Reference[[#This Row],[Duplicate Key]])</f>
        <v>1</v>
      </c>
    </row>
    <row r="3903" spans="1:10">
      <c r="A3903" s="7">
        <v>2</v>
      </c>
      <c r="B3903" s="8" t="s">
        <v>5206</v>
      </c>
      <c r="C3903" s="8" t="s">
        <v>4380</v>
      </c>
      <c r="D3903" s="7">
        <v>1</v>
      </c>
      <c r="E3903" s="7">
        <v>10</v>
      </c>
      <c r="F3903" s="7">
        <v>2</v>
      </c>
      <c r="G3903" s="8" t="s">
        <v>4371</v>
      </c>
      <c r="H3903" s="8" t="s">
        <v>4372</v>
      </c>
      <c r="I3903" s="7" t="str">
        <f>_xlfn.CONCAT(Paper_Reference[[#This Row],[Lvl]:[Paper Description]])</f>
        <v>2ND57S-6001G-5801BLACK 60 X 961102100DS064-6200BLACK</v>
      </c>
      <c r="J3903" s="7">
        <f>COUNTIF(Paper_Reference[Duplicate Key],Paper_Reference[[#This Row],[Duplicate Key]])</f>
        <v>1</v>
      </c>
    </row>
    <row r="3904" spans="1:10">
      <c r="A3904" s="7">
        <v>2</v>
      </c>
      <c r="B3904" s="8" t="s">
        <v>5207</v>
      </c>
      <c r="C3904" s="8" t="s">
        <v>4380</v>
      </c>
      <c r="D3904" s="7">
        <v>1</v>
      </c>
      <c r="E3904" s="7">
        <v>10</v>
      </c>
      <c r="F3904" s="7">
        <v>2</v>
      </c>
      <c r="G3904" s="8" t="s">
        <v>4371</v>
      </c>
      <c r="H3904" s="8" t="s">
        <v>4372</v>
      </c>
      <c r="I3904" s="7" t="str">
        <f>_xlfn.CONCAT(Paper_Reference[[#This Row],[Lvl]:[Paper Description]])</f>
        <v>2ND57S-6001GL5801BLACK 60 X 961102100DS064-6200BLACK</v>
      </c>
      <c r="J3904" s="7">
        <f>COUNTIF(Paper_Reference[Duplicate Key],Paper_Reference[[#This Row],[Duplicate Key]])</f>
        <v>1</v>
      </c>
    </row>
    <row r="3905" spans="1:10">
      <c r="A3905" s="7">
        <v>2</v>
      </c>
      <c r="B3905" s="8" t="s">
        <v>5208</v>
      </c>
      <c r="C3905" s="8" t="s">
        <v>4526</v>
      </c>
      <c r="D3905" s="7">
        <v>1</v>
      </c>
      <c r="E3905" s="7">
        <v>10</v>
      </c>
      <c r="F3905" s="7">
        <v>2</v>
      </c>
      <c r="G3905" s="8" t="s">
        <v>4371</v>
      </c>
      <c r="H3905" s="8" t="s">
        <v>4372</v>
      </c>
      <c r="I3905" s="7" t="str">
        <f>_xlfn.CONCAT(Paper_Reference[[#This Row],[Lvl]:[Paper Description]])</f>
        <v>2ND57S-6053SM5000JETT BLACK 60 X 1201102100DS064-6200BLACK</v>
      </c>
      <c r="J3905" s="7">
        <f>COUNTIF(Paper_Reference[Duplicate Key],Paper_Reference[[#This Row],[Duplicate Key]])</f>
        <v>1</v>
      </c>
    </row>
    <row r="3906" spans="1:10">
      <c r="A3906" s="7">
        <v>2</v>
      </c>
      <c r="B3906" s="8" t="s">
        <v>5209</v>
      </c>
      <c r="C3906" s="8" t="s">
        <v>4527</v>
      </c>
      <c r="D3906" s="7">
        <v>1</v>
      </c>
      <c r="E3906" s="7">
        <v>10</v>
      </c>
      <c r="F3906" s="7">
        <v>2</v>
      </c>
      <c r="G3906" s="8" t="s">
        <v>4371</v>
      </c>
      <c r="H3906" s="8" t="s">
        <v>4372</v>
      </c>
      <c r="I3906" s="7" t="str">
        <f>_xlfn.CONCAT(Paper_Reference[[#This Row],[Lvl]:[Paper Description]])</f>
        <v>2ND57S-6053SM5200JETT BLACK 60 X 1441102100DS064-6200BLACK</v>
      </c>
      <c r="J3906" s="7">
        <f>COUNTIF(Paper_Reference[Duplicate Key],Paper_Reference[[#This Row],[Duplicate Key]])</f>
        <v>1</v>
      </c>
    </row>
    <row r="3907" spans="1:10">
      <c r="A3907" s="7">
        <v>2</v>
      </c>
      <c r="B3907" s="8" t="s">
        <v>5210</v>
      </c>
      <c r="C3907" s="8" t="s">
        <v>4526</v>
      </c>
      <c r="D3907" s="7">
        <v>1</v>
      </c>
      <c r="E3907" s="7">
        <v>10</v>
      </c>
      <c r="F3907" s="7">
        <v>2</v>
      </c>
      <c r="G3907" s="8" t="s">
        <v>4371</v>
      </c>
      <c r="H3907" s="8" t="s">
        <v>4372</v>
      </c>
      <c r="I3907" s="7" t="str">
        <f>_xlfn.CONCAT(Paper_Reference[[#This Row],[Lvl]:[Paper Description]])</f>
        <v>2ND57S-6053TL5002JETT BLACK 60 X 1201102100DS064-6200BLACK</v>
      </c>
      <c r="J3907" s="7">
        <f>COUNTIF(Paper_Reference[Duplicate Key],Paper_Reference[[#This Row],[Duplicate Key]])</f>
        <v>1</v>
      </c>
    </row>
    <row r="3908" spans="1:10">
      <c r="A3908" s="7">
        <v>2</v>
      </c>
      <c r="B3908" s="8" t="s">
        <v>3554</v>
      </c>
      <c r="C3908" s="8" t="s">
        <v>3235</v>
      </c>
      <c r="D3908" s="7">
        <v>1</v>
      </c>
      <c r="E3908" s="7">
        <v>10</v>
      </c>
      <c r="F3908" s="7">
        <v>2</v>
      </c>
      <c r="G3908" s="8" t="s">
        <v>3230</v>
      </c>
      <c r="H3908" s="8" t="s">
        <v>3231</v>
      </c>
      <c r="I3908" s="7" t="str">
        <f>_xlfn.CONCAT(Paper_Reference[[#This Row],[Lvl]:[Paper Description]])</f>
        <v>2ND57S-7036MG4802PRECISION WHITE 48 X 961102110SW736-5000PRECISION WHITE 43 X 145</v>
      </c>
      <c r="J3908" s="7">
        <f>COUNTIF(Paper_Reference[Duplicate Key],Paper_Reference[[#This Row],[Duplicate Key]])</f>
        <v>1</v>
      </c>
    </row>
    <row r="3909" spans="1:10">
      <c r="A3909" s="7">
        <v>2</v>
      </c>
      <c r="B3909" s="8" t="s">
        <v>4002</v>
      </c>
      <c r="C3909" s="8" t="s">
        <v>3779</v>
      </c>
      <c r="D3909" s="7">
        <v>1</v>
      </c>
      <c r="E3909" s="7">
        <v>10</v>
      </c>
      <c r="F3909" s="7">
        <v>1</v>
      </c>
      <c r="G3909" s="8" t="s">
        <v>3826</v>
      </c>
      <c r="H3909" s="8" t="s">
        <v>3827</v>
      </c>
      <c r="I3909" s="7" t="str">
        <f>_xlfn.CONCAT(Paper_Reference[[#This Row],[Lvl]:[Paper Description]])</f>
        <v>2ND57S-7036MGYJS0PRECISION WHITE 48 X 65 3/41101110SW736-6200PRECISION WHITE 62"</v>
      </c>
      <c r="J3909" s="7">
        <f>COUNTIF(Paper_Reference[Duplicate Key],Paper_Reference[[#This Row],[Duplicate Key]])</f>
        <v>1</v>
      </c>
    </row>
    <row r="3910" spans="1:10">
      <c r="A3910" s="7">
        <v>2</v>
      </c>
      <c r="B3910" s="8" t="s">
        <v>4003</v>
      </c>
      <c r="C3910" s="8" t="s">
        <v>3780</v>
      </c>
      <c r="D3910" s="7">
        <v>1</v>
      </c>
      <c r="E3910" s="7">
        <v>10</v>
      </c>
      <c r="F3910" s="7">
        <v>1</v>
      </c>
      <c r="G3910" s="8" t="s">
        <v>3826</v>
      </c>
      <c r="H3910" s="8" t="s">
        <v>3827</v>
      </c>
      <c r="I3910" s="7" t="str">
        <f>_xlfn.CONCAT(Paper_Reference[[#This Row],[Lvl]:[Paper Description]])</f>
        <v>2ND57S-7036MGYJT0PRECISION WHITE 39 3/8 X 65 3/1101110SW736-6200PRECISION WHITE 62"</v>
      </c>
      <c r="J3910" s="7">
        <f>COUNTIF(Paper_Reference[Duplicate Key],Paper_Reference[[#This Row],[Duplicate Key]])</f>
        <v>1</v>
      </c>
    </row>
    <row r="3911" spans="1:10">
      <c r="A3911" s="7">
        <v>2</v>
      </c>
      <c r="B3911" s="8" t="s">
        <v>4004</v>
      </c>
      <c r="C3911" s="8" t="s">
        <v>3781</v>
      </c>
      <c r="D3911" s="7">
        <v>1</v>
      </c>
      <c r="E3911" s="7">
        <v>10</v>
      </c>
      <c r="F3911" s="7">
        <v>2</v>
      </c>
      <c r="G3911" s="8" t="s">
        <v>3826</v>
      </c>
      <c r="H3911" s="8" t="s">
        <v>3827</v>
      </c>
      <c r="I3911" s="7" t="str">
        <f>_xlfn.CONCAT(Paper_Reference[[#This Row],[Lvl]:[Paper Description]])</f>
        <v>2ND57S-7036T-5200PRECISION WHITE  60 X 1441102110SW736-6200PRECISION WHITE 62"</v>
      </c>
      <c r="J3911" s="7">
        <f>COUNTIF(Paper_Reference[Duplicate Key],Paper_Reference[[#This Row],[Duplicate Key]])</f>
        <v>1</v>
      </c>
    </row>
    <row r="3912" spans="1:10">
      <c r="A3912" s="7">
        <v>3</v>
      </c>
      <c r="B3912" s="8" t="s">
        <v>5211</v>
      </c>
      <c r="C3912" s="8" t="s">
        <v>4528</v>
      </c>
      <c r="D3912" s="7">
        <v>1</v>
      </c>
      <c r="E3912" s="7">
        <v>55</v>
      </c>
      <c r="F3912" s="7">
        <v>4.7600000000000003E-2</v>
      </c>
      <c r="G3912" s="8" t="s">
        <v>4371</v>
      </c>
      <c r="H3912" s="8" t="s">
        <v>4372</v>
      </c>
      <c r="I3912" s="7" t="str">
        <f>_xlfn.CONCAT(Paper_Reference[[#This Row],[Lvl]:[Paper Description]])</f>
        <v>3ND66S-6053SDXYZ1JETT BLACK 19 7/8 X 20 1/21550.0476100DS064-6200BLACK</v>
      </c>
      <c r="J3912" s="7">
        <f>COUNTIF(Paper_Reference[Duplicate Key],Paper_Reference[[#This Row],[Duplicate Key]])</f>
        <v>1</v>
      </c>
    </row>
    <row r="3913" spans="1:10">
      <c r="A3913" s="7">
        <v>2</v>
      </c>
      <c r="B3913" s="8" t="s">
        <v>4005</v>
      </c>
      <c r="C3913" s="8" t="s">
        <v>3782</v>
      </c>
      <c r="D3913" s="7">
        <v>1</v>
      </c>
      <c r="E3913" s="7">
        <v>10</v>
      </c>
      <c r="F3913" s="7">
        <v>1</v>
      </c>
      <c r="G3913" s="8" t="s">
        <v>3826</v>
      </c>
      <c r="H3913" s="8" t="s">
        <v>3827</v>
      </c>
      <c r="I3913" s="7" t="str">
        <f>_xlfn.CONCAT(Paper_Reference[[#This Row],[Lvl]:[Paper Description]])</f>
        <v>2ND68H31957MG4000WC5581/S-7036 48 X 1201101110SW736-6200PRECISION WHITE 62"</v>
      </c>
      <c r="J3913" s="7">
        <f>COUNTIF(Paper_Reference[Duplicate Key],Paper_Reference[[#This Row],[Duplicate Key]])</f>
        <v>1</v>
      </c>
    </row>
    <row r="3914" spans="1:10">
      <c r="A3914" s="7">
        <v>2</v>
      </c>
      <c r="B3914" s="8" t="s">
        <v>4005</v>
      </c>
      <c r="C3914" s="8" t="s">
        <v>3782</v>
      </c>
      <c r="D3914" s="7">
        <v>1</v>
      </c>
      <c r="E3914" s="7">
        <v>10</v>
      </c>
      <c r="F3914" s="7">
        <v>1</v>
      </c>
      <c r="G3914" s="8" t="s">
        <v>4129</v>
      </c>
      <c r="H3914" s="8" t="s">
        <v>4130</v>
      </c>
      <c r="I3914" s="7" t="str">
        <f>_xlfn.CONCAT(Paper_Reference[[#This Row],[Lvl]:[Paper Description]])</f>
        <v>2ND68H31957MG4000WC5581/S-7036 48 X 1201101110WC013-6200BLOSSOM CHERRY</v>
      </c>
      <c r="J3914" s="7">
        <f>COUNTIF(Paper_Reference[Duplicate Key],Paper_Reference[[#This Row],[Duplicate Key]])</f>
        <v>1</v>
      </c>
    </row>
    <row r="3915" spans="1:10">
      <c r="A3915" s="7">
        <v>2</v>
      </c>
      <c r="B3915" s="8" t="s">
        <v>3555</v>
      </c>
      <c r="C3915" s="8" t="s">
        <v>3257</v>
      </c>
      <c r="D3915" s="7">
        <v>1</v>
      </c>
      <c r="E3915" s="7">
        <v>10</v>
      </c>
      <c r="F3915" s="7">
        <v>1</v>
      </c>
      <c r="G3915" s="8" t="s">
        <v>3230</v>
      </c>
      <c r="H3915" s="8" t="s">
        <v>3231</v>
      </c>
      <c r="I3915" s="7" t="str">
        <f>_xlfn.CONCAT(Paper_Reference[[#This Row],[Lvl]:[Paper Description]])</f>
        <v>2ND68H31957MG4800WC5581/S-7036 48 X 961101110SW736-5000PRECISION WHITE 43 X 145</v>
      </c>
      <c r="J3915" s="7">
        <f>COUNTIF(Paper_Reference[Duplicate Key],Paper_Reference[[#This Row],[Duplicate Key]])</f>
        <v>1</v>
      </c>
    </row>
    <row r="3916" spans="1:10">
      <c r="A3916" s="7">
        <v>2</v>
      </c>
      <c r="B3916" s="8" t="s">
        <v>4006</v>
      </c>
      <c r="C3916" s="8" t="s">
        <v>3782</v>
      </c>
      <c r="D3916" s="7">
        <v>1</v>
      </c>
      <c r="E3916" s="7">
        <v>10</v>
      </c>
      <c r="F3916" s="7">
        <v>1</v>
      </c>
      <c r="G3916" s="8" t="s">
        <v>3826</v>
      </c>
      <c r="H3916" s="8" t="s">
        <v>3827</v>
      </c>
      <c r="I3916" s="7" t="str">
        <f>_xlfn.CONCAT(Paper_Reference[[#This Row],[Lvl]:[Paper Description]])</f>
        <v>2ND68H31957N-4000WC5581/S-7036 48 X 1201101110SW736-6200PRECISION WHITE 62"</v>
      </c>
      <c r="J3916" s="7">
        <f>COUNTIF(Paper_Reference[Duplicate Key],Paper_Reference[[#This Row],[Duplicate Key]])</f>
        <v>1</v>
      </c>
    </row>
    <row r="3917" spans="1:10">
      <c r="A3917" s="7">
        <v>2</v>
      </c>
      <c r="B3917" s="8" t="s">
        <v>4006</v>
      </c>
      <c r="C3917" s="8" t="s">
        <v>3782</v>
      </c>
      <c r="D3917" s="7">
        <v>1</v>
      </c>
      <c r="E3917" s="7">
        <v>10</v>
      </c>
      <c r="F3917" s="7">
        <v>1</v>
      </c>
      <c r="G3917" s="8" t="s">
        <v>4129</v>
      </c>
      <c r="H3917" s="8" t="s">
        <v>4130</v>
      </c>
      <c r="I3917" s="7" t="str">
        <f>_xlfn.CONCAT(Paper_Reference[[#This Row],[Lvl]:[Paper Description]])</f>
        <v>2ND68H31957N-4000WC5581/S-7036 48 X 1201101110WC013-6200BLOSSOM CHERRY</v>
      </c>
      <c r="J3917" s="7">
        <f>COUNTIF(Paper_Reference[Duplicate Key],Paper_Reference[[#This Row],[Duplicate Key]])</f>
        <v>1</v>
      </c>
    </row>
    <row r="3918" spans="1:10">
      <c r="A3918" s="7">
        <v>2</v>
      </c>
      <c r="B3918" s="8" t="s">
        <v>3556</v>
      </c>
      <c r="C3918" s="8" t="s">
        <v>3257</v>
      </c>
      <c r="D3918" s="7">
        <v>1</v>
      </c>
      <c r="E3918" s="7">
        <v>10</v>
      </c>
      <c r="F3918" s="7">
        <v>1</v>
      </c>
      <c r="G3918" s="8" t="s">
        <v>3230</v>
      </c>
      <c r="H3918" s="8" t="s">
        <v>3231</v>
      </c>
      <c r="I3918" s="7" t="str">
        <f>_xlfn.CONCAT(Paper_Reference[[#This Row],[Lvl]:[Paper Description]])</f>
        <v>2ND68H31957N-4800WC5581/S-7036 48 X 961101110SW736-5000PRECISION WHITE 43 X 145</v>
      </c>
      <c r="J3918" s="7">
        <f>COUNTIF(Paper_Reference[Duplicate Key],Paper_Reference[[#This Row],[Duplicate Key]])</f>
        <v>1</v>
      </c>
    </row>
    <row r="3919" spans="1:10">
      <c r="A3919" s="7">
        <v>2</v>
      </c>
      <c r="B3919" s="8" t="s">
        <v>3557</v>
      </c>
      <c r="C3919" s="8" t="s">
        <v>3258</v>
      </c>
      <c r="D3919" s="7">
        <v>1</v>
      </c>
      <c r="E3919" s="7">
        <v>10</v>
      </c>
      <c r="F3919" s="7">
        <v>1</v>
      </c>
      <c r="G3919" s="8" t="s">
        <v>3230</v>
      </c>
      <c r="H3919" s="8" t="s">
        <v>3231</v>
      </c>
      <c r="I3919" s="7" t="str">
        <f>_xlfn.CONCAT(Paper_Reference[[#This Row],[Lvl]:[Paper Description]])</f>
        <v>2ND69DF3002T-4800AL2005/S-7036 48 X 961101110SW736-5000PRECISION WHITE 43 X 145</v>
      </c>
      <c r="J3919" s="7">
        <f>COUNTIF(Paper_Reference[Duplicate Key],Paper_Reference[[#This Row],[Duplicate Key]])</f>
        <v>1</v>
      </c>
    </row>
    <row r="3920" spans="1:10">
      <c r="A3920" s="7">
        <v>2</v>
      </c>
      <c r="B3920" s="8" t="s">
        <v>3558</v>
      </c>
      <c r="C3920" s="8" t="s">
        <v>3259</v>
      </c>
      <c r="D3920" s="7">
        <v>1</v>
      </c>
      <c r="E3920" s="7">
        <v>10</v>
      </c>
      <c r="F3920" s="7">
        <v>1</v>
      </c>
      <c r="G3920" s="8" t="s">
        <v>3230</v>
      </c>
      <c r="H3920" s="8" t="s">
        <v>3231</v>
      </c>
      <c r="I3920" s="7" t="str">
        <f>_xlfn.CONCAT(Paper_Reference[[#This Row],[Lvl]:[Paper Description]])</f>
        <v>2ND69DF3003T-4800MR5004/S-7036 48 X 961101110SW736-5000PRECISION WHITE 43 X 145</v>
      </c>
      <c r="J3920" s="7">
        <f>COUNTIF(Paper_Reference[Duplicate Key],Paper_Reference[[#This Row],[Duplicate Key]])</f>
        <v>1</v>
      </c>
    </row>
    <row r="3921" spans="1:10">
      <c r="A3921" s="7">
        <v>2</v>
      </c>
      <c r="B3921" s="8" t="s">
        <v>4007</v>
      </c>
      <c r="C3921" s="8" t="s">
        <v>3783</v>
      </c>
      <c r="D3921" s="7">
        <v>1</v>
      </c>
      <c r="E3921" s="7">
        <v>10</v>
      </c>
      <c r="F3921" s="7">
        <v>1</v>
      </c>
      <c r="G3921" s="8" t="s">
        <v>3826</v>
      </c>
      <c r="H3921" s="8" t="s">
        <v>3827</v>
      </c>
      <c r="I3921" s="7" t="str">
        <f>_xlfn.CONCAT(Paper_Reference[[#This Row],[Lvl]:[Paper Description]])</f>
        <v>2ND69S-7036GLYJQ2PRECISION WHITE 60 X 671101110SW736-6200PRECISION WHITE 62"</v>
      </c>
      <c r="J3921" s="7">
        <f>COUNTIF(Paper_Reference[Duplicate Key],Paper_Reference[[#This Row],[Duplicate Key]])</f>
        <v>1</v>
      </c>
    </row>
    <row r="3922" spans="1:10">
      <c r="A3922" s="7">
        <v>2</v>
      </c>
      <c r="B3922" s="8" t="s">
        <v>4008</v>
      </c>
      <c r="C3922" s="8" t="s">
        <v>3783</v>
      </c>
      <c r="D3922" s="7">
        <v>1</v>
      </c>
      <c r="E3922" s="7">
        <v>10</v>
      </c>
      <c r="F3922" s="7">
        <v>1</v>
      </c>
      <c r="G3922" s="8" t="s">
        <v>3826</v>
      </c>
      <c r="H3922" s="8" t="s">
        <v>3827</v>
      </c>
      <c r="I3922" s="7" t="str">
        <f>_xlfn.CONCAT(Paper_Reference[[#This Row],[Lvl]:[Paper Description]])</f>
        <v>2ND69S-7036MGYJQ0PRECISION WHITE 60 X 671101110SW736-6200PRECISION WHITE 62"</v>
      </c>
      <c r="J3922" s="7">
        <f>COUNTIF(Paper_Reference[Duplicate Key],Paper_Reference[[#This Row],[Duplicate Key]])</f>
        <v>1</v>
      </c>
    </row>
    <row r="3923" spans="1:10">
      <c r="A3923" s="7">
        <v>2</v>
      </c>
      <c r="B3923" s="8" t="s">
        <v>4009</v>
      </c>
      <c r="C3923" s="8" t="s">
        <v>3784</v>
      </c>
      <c r="D3923" s="7">
        <v>1</v>
      </c>
      <c r="E3923" s="7">
        <v>10</v>
      </c>
      <c r="F3923" s="7">
        <v>1</v>
      </c>
      <c r="G3923" s="8" t="s">
        <v>3826</v>
      </c>
      <c r="H3923" s="8" t="s">
        <v>3827</v>
      </c>
      <c r="I3923" s="7" t="str">
        <f>_xlfn.CONCAT(Paper_Reference[[#This Row],[Lvl]:[Paper Description]])</f>
        <v>2ND69S-7036MGYJR0PRECISION WHITE 60 X 65 3/41101110SW736-6200PRECISION WHITE 62"</v>
      </c>
      <c r="J3923" s="7">
        <f>COUNTIF(Paper_Reference[Duplicate Key],Paper_Reference[[#This Row],[Duplicate Key]])</f>
        <v>1</v>
      </c>
    </row>
    <row r="3924" spans="1:10">
      <c r="A3924" s="7">
        <v>2</v>
      </c>
      <c r="B3924" s="8" t="s">
        <v>4010</v>
      </c>
      <c r="C3924" s="8" t="s">
        <v>3779</v>
      </c>
      <c r="D3924" s="7">
        <v>1</v>
      </c>
      <c r="E3924" s="7">
        <v>10</v>
      </c>
      <c r="F3924" s="7">
        <v>1</v>
      </c>
      <c r="G3924" s="8" t="s">
        <v>3826</v>
      </c>
      <c r="H3924" s="8" t="s">
        <v>3827</v>
      </c>
      <c r="I3924" s="7" t="str">
        <f>_xlfn.CONCAT(Paper_Reference[[#This Row],[Lvl]:[Paper Description]])</f>
        <v>2ND69S-7036MGYJS0PRECISION WHITE 48 X 65 3/41101110SW736-6200PRECISION WHITE 62"</v>
      </c>
      <c r="J3924" s="7">
        <f>COUNTIF(Paper_Reference[Duplicate Key],Paper_Reference[[#This Row],[Duplicate Key]])</f>
        <v>1</v>
      </c>
    </row>
    <row r="3925" spans="1:10">
      <c r="A3925" s="7">
        <v>2</v>
      </c>
      <c r="B3925" s="8" t="s">
        <v>4011</v>
      </c>
      <c r="C3925" s="8" t="s">
        <v>3780</v>
      </c>
      <c r="D3925" s="7">
        <v>1</v>
      </c>
      <c r="E3925" s="7">
        <v>10</v>
      </c>
      <c r="F3925" s="7">
        <v>1</v>
      </c>
      <c r="G3925" s="8" t="s">
        <v>3826</v>
      </c>
      <c r="H3925" s="8" t="s">
        <v>3827</v>
      </c>
      <c r="I3925" s="7" t="str">
        <f>_xlfn.CONCAT(Paper_Reference[[#This Row],[Lvl]:[Paper Description]])</f>
        <v>2ND69S-7036MGYJT0PRECISION WHITE 39 3/8 X 65 3/1101110SW736-6200PRECISION WHITE 62"</v>
      </c>
      <c r="J3925" s="7">
        <f>COUNTIF(Paper_Reference[Duplicate Key],Paper_Reference[[#This Row],[Duplicate Key]])</f>
        <v>1</v>
      </c>
    </row>
    <row r="3926" spans="1:10">
      <c r="A3926" s="7">
        <v>2</v>
      </c>
      <c r="B3926" s="8" t="s">
        <v>3559</v>
      </c>
      <c r="C3926" s="8" t="s">
        <v>3255</v>
      </c>
      <c r="D3926" s="7">
        <v>1</v>
      </c>
      <c r="E3926" s="7">
        <v>10</v>
      </c>
      <c r="F3926" s="7">
        <v>2</v>
      </c>
      <c r="G3926" s="8" t="s">
        <v>3230</v>
      </c>
      <c r="H3926" s="8" t="s">
        <v>3231</v>
      </c>
      <c r="I3926" s="7" t="str">
        <f>_xlfn.CONCAT(Paper_Reference[[#This Row],[Lvl]:[Paper Description]])</f>
        <v>2ND69S-7036T-4800Precision White  48 x 961102110SW736-5000PRECISION WHITE 43 X 145</v>
      </c>
      <c r="J3926" s="7">
        <f>COUNTIF(Paper_Reference[Duplicate Key],Paper_Reference[[#This Row],[Duplicate Key]])</f>
        <v>1</v>
      </c>
    </row>
    <row r="3927" spans="1:10">
      <c r="A3927" s="7">
        <v>2</v>
      </c>
      <c r="B3927" s="8" t="s">
        <v>4012</v>
      </c>
      <c r="C3927" s="8" t="s">
        <v>3785</v>
      </c>
      <c r="D3927" s="7">
        <v>1</v>
      </c>
      <c r="E3927" s="7">
        <v>10</v>
      </c>
      <c r="F3927" s="7">
        <v>2</v>
      </c>
      <c r="G3927" s="8" t="s">
        <v>3826</v>
      </c>
      <c r="H3927" s="8" t="s">
        <v>3827</v>
      </c>
      <c r="I3927" s="7" t="str">
        <f>_xlfn.CONCAT(Paper_Reference[[#This Row],[Lvl]:[Paper Description]])</f>
        <v>2ND69S-7036T-5000PRECISION WHITE  60 X 1201102110SW736-6200PRECISION WHITE 62"</v>
      </c>
      <c r="J3927" s="7">
        <f>COUNTIF(Paper_Reference[Duplicate Key],Paper_Reference[[#This Row],[Duplicate Key]])</f>
        <v>1</v>
      </c>
    </row>
    <row r="3928" spans="1:10">
      <c r="A3928" s="7">
        <v>2</v>
      </c>
      <c r="B3928" s="8" t="s">
        <v>4013</v>
      </c>
      <c r="C3928" s="8" t="s">
        <v>3786</v>
      </c>
      <c r="D3928" s="7">
        <v>1</v>
      </c>
      <c r="E3928" s="7">
        <v>10</v>
      </c>
      <c r="F3928" s="7">
        <v>2</v>
      </c>
      <c r="G3928" s="8" t="s">
        <v>3826</v>
      </c>
      <c r="H3928" s="8" t="s">
        <v>3827</v>
      </c>
      <c r="I3928" s="7" t="str">
        <f>_xlfn.CONCAT(Paper_Reference[[#This Row],[Lvl]:[Paper Description]])</f>
        <v>2ND69S-7036T-5200Precision White  60 x 1441102110SW736-6200PRECISION WHITE 62"</v>
      </c>
      <c r="J3928" s="7">
        <f>COUNTIF(Paper_Reference[Duplicate Key],Paper_Reference[[#This Row],[Duplicate Key]])</f>
        <v>1</v>
      </c>
    </row>
    <row r="3929" spans="1:10">
      <c r="A3929" s="7">
        <v>2</v>
      </c>
      <c r="B3929" s="8" t="s">
        <v>4014</v>
      </c>
      <c r="C3929" s="8" t="s">
        <v>3787</v>
      </c>
      <c r="D3929" s="7">
        <v>1</v>
      </c>
      <c r="E3929" s="7">
        <v>10</v>
      </c>
      <c r="F3929" s="7">
        <v>2</v>
      </c>
      <c r="G3929" s="8" t="s">
        <v>3826</v>
      </c>
      <c r="H3929" s="8" t="s">
        <v>3827</v>
      </c>
      <c r="I3929" s="7" t="str">
        <f>_xlfn.CONCAT(Paper_Reference[[#This Row],[Lvl]:[Paper Description]])</f>
        <v>2ND69S-7036T-5800Precision White 60 x 961102110SW736-6200PRECISION WHITE 62"</v>
      </c>
      <c r="J3929" s="7">
        <f>COUNTIF(Paper_Reference[Duplicate Key],Paper_Reference[[#This Row],[Duplicate Key]])</f>
        <v>1</v>
      </c>
    </row>
    <row r="3930" spans="1:10">
      <c r="A3930" s="7">
        <v>2</v>
      </c>
      <c r="B3930" s="8" t="s">
        <v>5212</v>
      </c>
      <c r="C3930" s="8" t="s">
        <v>4529</v>
      </c>
      <c r="D3930" s="7">
        <v>1</v>
      </c>
      <c r="E3930" s="7">
        <v>10</v>
      </c>
      <c r="F3930" s="7">
        <v>2</v>
      </c>
      <c r="G3930" s="8" t="s">
        <v>4371</v>
      </c>
      <c r="H3930" s="8" t="s">
        <v>4372</v>
      </c>
      <c r="I3930" s="7" t="str">
        <f>_xlfn.CONCAT(Paper_Reference[[#This Row],[Lvl]:[Paper Description]])</f>
        <v>2ND74S-6053SM5800JETT BLACK 60 X 961102100DS064-6200BLACK</v>
      </c>
      <c r="J3930" s="7">
        <f>COUNTIF(Paper_Reference[Duplicate Key],Paper_Reference[[#This Row],[Duplicate Key]])</f>
        <v>1</v>
      </c>
    </row>
    <row r="3931" spans="1:10">
      <c r="A3931" s="7">
        <v>3</v>
      </c>
      <c r="B3931" s="8" t="s">
        <v>5213</v>
      </c>
      <c r="C3931" s="8" t="s">
        <v>4447</v>
      </c>
      <c r="D3931" s="7">
        <v>1</v>
      </c>
      <c r="E3931" s="7">
        <v>55</v>
      </c>
      <c r="F3931" s="7">
        <v>0.25</v>
      </c>
      <c r="G3931" s="8" t="s">
        <v>4371</v>
      </c>
      <c r="H3931" s="8" t="s">
        <v>4372</v>
      </c>
      <c r="I3931" s="7" t="str">
        <f>_xlfn.CONCAT(Paper_Reference[[#This Row],[Lvl]:[Paper Description]])</f>
        <v>3ND75S-6053SMBNQ0BLACK 30 X 721550.25100DS064-6200BLACK</v>
      </c>
      <c r="J3931" s="7">
        <f>COUNTIF(Paper_Reference[Duplicate Key],Paper_Reference[[#This Row],[Duplicate Key]])</f>
        <v>1</v>
      </c>
    </row>
    <row r="3932" spans="1:10">
      <c r="A3932" s="7">
        <v>3</v>
      </c>
      <c r="B3932" s="8" t="s">
        <v>5214</v>
      </c>
      <c r="C3932" s="8" t="s">
        <v>4530</v>
      </c>
      <c r="D3932" s="7">
        <v>1</v>
      </c>
      <c r="E3932" s="7">
        <v>55</v>
      </c>
      <c r="F3932" s="7">
        <v>0.25</v>
      </c>
      <c r="G3932" s="8" t="s">
        <v>4371</v>
      </c>
      <c r="H3932" s="8" t="s">
        <v>4372</v>
      </c>
      <c r="I3932" s="7" t="str">
        <f>_xlfn.CONCAT(Paper_Reference[[#This Row],[Lvl]:[Paper Description]])</f>
        <v>3ND75S-6053SMYJM0BLACK 30 X 54.751550.25100DS064-6200BLACK</v>
      </c>
      <c r="J3932" s="7">
        <f>COUNTIF(Paper_Reference[Duplicate Key],Paper_Reference[[#This Row],[Duplicate Key]])</f>
        <v>1</v>
      </c>
    </row>
    <row r="3933" spans="1:10">
      <c r="A3933" s="7">
        <v>2</v>
      </c>
      <c r="B3933" s="8" t="s">
        <v>5215</v>
      </c>
      <c r="C3933" s="8" t="s">
        <v>4531</v>
      </c>
      <c r="D3933" s="7">
        <v>1</v>
      </c>
      <c r="E3933" s="7">
        <v>40</v>
      </c>
      <c r="F3933" s="7">
        <v>1</v>
      </c>
      <c r="G3933" s="8" t="s">
        <v>4371</v>
      </c>
      <c r="H3933" s="8" t="s">
        <v>4372</v>
      </c>
      <c r="I3933" s="7" t="str">
        <f>_xlfn.CONCAT(Paper_Reference[[#This Row],[Lvl]:[Paper Description]])</f>
        <v>2ND77S-2086T-5800JUTE 60 X 961401100DS064-6200BLACK</v>
      </c>
      <c r="J3933" s="7">
        <f>COUNTIF(Paper_Reference[Duplicate Key],Paper_Reference[[#This Row],[Duplicate Key]])</f>
        <v>1</v>
      </c>
    </row>
    <row r="3934" spans="1:10">
      <c r="A3934" s="7">
        <v>2</v>
      </c>
      <c r="B3934" s="8" t="s">
        <v>9619</v>
      </c>
      <c r="C3934" s="8" t="s">
        <v>9152</v>
      </c>
      <c r="D3934" s="7">
        <v>1</v>
      </c>
      <c r="E3934" s="7">
        <v>10</v>
      </c>
      <c r="F3934" s="7">
        <v>1</v>
      </c>
      <c r="G3934" s="8" t="s">
        <v>9143</v>
      </c>
      <c r="H3934" s="8" t="s">
        <v>9144</v>
      </c>
      <c r="I3934" s="30" t="str">
        <f>_xlfn.CONCAT(Paper_Reference[[#This Row],[Lvl]:[Paper Description]])</f>
        <v>2NE30PFA390T-5200SING CHICAGO BLUES 60 X 1441101100PFA39-6200SINGING THE CHICAGO BLUES</v>
      </c>
      <c r="J3934" s="30">
        <f>COUNTIF(Paper_Reference[Duplicate Key],Paper_Reference[[#This Row],[Duplicate Key]])</f>
        <v>1</v>
      </c>
    </row>
    <row r="3935" spans="1:10">
      <c r="A3935" s="7">
        <v>2</v>
      </c>
      <c r="B3935" s="8" t="s">
        <v>3560</v>
      </c>
      <c r="C3935" s="8" t="s">
        <v>3260</v>
      </c>
      <c r="D3935" s="7">
        <v>1</v>
      </c>
      <c r="E3935" s="7">
        <v>10</v>
      </c>
      <c r="F3935" s="7">
        <v>1</v>
      </c>
      <c r="G3935" s="8" t="s">
        <v>3230</v>
      </c>
      <c r="H3935" s="8" t="s">
        <v>3231</v>
      </c>
      <c r="I3935" s="7" t="str">
        <f>_xlfn.CONCAT(Paper_Reference[[#This Row],[Lvl]:[Paper Description]])</f>
        <v>2NE30S-7036T-4000PRECISION WHITE 48 X 1201101110SW736-5000PRECISION WHITE 43 X 145</v>
      </c>
      <c r="J3935" s="7">
        <f>COUNTIF(Paper_Reference[Duplicate Key],Paper_Reference[[#This Row],[Duplicate Key]])</f>
        <v>1</v>
      </c>
    </row>
    <row r="3936" spans="1:10">
      <c r="A3936" s="7">
        <v>2</v>
      </c>
      <c r="B3936" s="8" t="s">
        <v>4015</v>
      </c>
      <c r="C3936" s="8" t="s">
        <v>3766</v>
      </c>
      <c r="D3936" s="7">
        <v>1</v>
      </c>
      <c r="E3936" s="7">
        <v>10</v>
      </c>
      <c r="F3936" s="7">
        <v>1</v>
      </c>
      <c r="G3936" s="8" t="s">
        <v>3826</v>
      </c>
      <c r="H3936" s="8" t="s">
        <v>3827</v>
      </c>
      <c r="I3936" s="7" t="str">
        <f>_xlfn.CONCAT(Paper_Reference[[#This Row],[Lvl]:[Paper Description]])</f>
        <v>2NE30S-7036T-5200PRECISION WHITE 60 X 1441101110SW736-6200PRECISION WHITE 62"</v>
      </c>
      <c r="J3936" s="7">
        <f>COUNTIF(Paper_Reference[Duplicate Key],Paper_Reference[[#This Row],[Duplicate Key]])</f>
        <v>1</v>
      </c>
    </row>
    <row r="3937" spans="1:10">
      <c r="A3937" s="7">
        <v>2</v>
      </c>
      <c r="B3937" s="8" t="s">
        <v>3212</v>
      </c>
      <c r="C3937" s="8" t="s">
        <v>3086</v>
      </c>
      <c r="D3937" s="7">
        <v>1</v>
      </c>
      <c r="E3937" s="7">
        <v>10</v>
      </c>
      <c r="F3937" s="7">
        <v>1</v>
      </c>
      <c r="G3937" s="8" t="s">
        <v>3115</v>
      </c>
      <c r="H3937" s="8" t="s">
        <v>3090</v>
      </c>
      <c r="I3937" s="7" t="str">
        <f>_xlfn.CONCAT(Paper_Reference[[#This Row],[Lvl]:[Paper Description]])</f>
        <v>2NE30WF1310T-5200VANA 60 X 1441101100WF131-6200VANA</v>
      </c>
      <c r="J3937" s="7">
        <f>COUNTIF(Paper_Reference[Duplicate Key],Paper_Reference[[#This Row],[Duplicate Key]])</f>
        <v>1</v>
      </c>
    </row>
    <row r="3938" spans="1:10">
      <c r="A3938" s="7">
        <v>2</v>
      </c>
      <c r="B3938" s="8" t="s">
        <v>3561</v>
      </c>
      <c r="C3938" s="8" t="s">
        <v>3255</v>
      </c>
      <c r="D3938" s="7">
        <v>1</v>
      </c>
      <c r="E3938" s="7">
        <v>10</v>
      </c>
      <c r="F3938" s="7">
        <v>1</v>
      </c>
      <c r="G3938" s="8" t="s">
        <v>3230</v>
      </c>
      <c r="H3938" s="8" t="s">
        <v>3231</v>
      </c>
      <c r="I3938" s="7" t="str">
        <f>_xlfn.CONCAT(Paper_Reference[[#This Row],[Lvl]:[Paper Description]])</f>
        <v>2NF28S-7036C-4800Precision White  48 x 961101110SW736-5000PRECISION WHITE 43 X 145</v>
      </c>
      <c r="J3938" s="7">
        <f>COUNTIF(Paper_Reference[Duplicate Key],Paper_Reference[[#This Row],[Duplicate Key]])</f>
        <v>1</v>
      </c>
    </row>
    <row r="3939" spans="1:10">
      <c r="A3939" s="7">
        <v>2</v>
      </c>
      <c r="B3939" s="8" t="s">
        <v>3562</v>
      </c>
      <c r="C3939" s="8" t="s">
        <v>3261</v>
      </c>
      <c r="D3939" s="7">
        <v>1</v>
      </c>
      <c r="E3939" s="7">
        <v>10</v>
      </c>
      <c r="F3939" s="7">
        <v>1</v>
      </c>
      <c r="G3939" s="8" t="s">
        <v>3230</v>
      </c>
      <c r="H3939" s="8" t="s">
        <v>3231</v>
      </c>
      <c r="I3939" s="7" t="str">
        <f>_xlfn.CONCAT(Paper_Reference[[#This Row],[Lvl]:[Paper Description]])</f>
        <v>2NF28S-7036CR4800PRECISION WHITE  48 X 961101110SW736-5000PRECISION WHITE 43 X 145</v>
      </c>
      <c r="J3939" s="7">
        <f>COUNTIF(Paper_Reference[Duplicate Key],Paper_Reference[[#This Row],[Duplicate Key]])</f>
        <v>1</v>
      </c>
    </row>
    <row r="3940" spans="1:10">
      <c r="A3940" s="7">
        <v>2</v>
      </c>
      <c r="B3940" s="8" t="s">
        <v>3563</v>
      </c>
      <c r="C3940" s="8" t="s">
        <v>3262</v>
      </c>
      <c r="D3940" s="7">
        <v>1</v>
      </c>
      <c r="E3940" s="7">
        <v>10</v>
      </c>
      <c r="F3940" s="7">
        <v>1</v>
      </c>
      <c r="G3940" s="8" t="s">
        <v>3230</v>
      </c>
      <c r="H3940" s="8" t="s">
        <v>3231</v>
      </c>
      <c r="I3940" s="7" t="str">
        <f>_xlfn.CONCAT(Paper_Reference[[#This Row],[Lvl]:[Paper Description]])</f>
        <v>2NF28S-7036E-4800Precision White 48 x 961101110SW736-5000PRECISION WHITE 43 X 145</v>
      </c>
      <c r="J3940" s="7">
        <f>COUNTIF(Paper_Reference[Duplicate Key],Paper_Reference[[#This Row],[Duplicate Key]])</f>
        <v>1</v>
      </c>
    </row>
    <row r="3941" spans="1:10">
      <c r="A3941" s="7">
        <v>2</v>
      </c>
      <c r="B3941" s="8" t="s">
        <v>3564</v>
      </c>
      <c r="C3941" s="8" t="s">
        <v>3263</v>
      </c>
      <c r="D3941" s="7">
        <v>1</v>
      </c>
      <c r="E3941" s="7">
        <v>10</v>
      </c>
      <c r="F3941" s="7">
        <v>1</v>
      </c>
      <c r="G3941" s="8" t="s">
        <v>3230</v>
      </c>
      <c r="H3941" s="8" t="s">
        <v>3231</v>
      </c>
      <c r="I3941" s="7" t="str">
        <f>_xlfn.CONCAT(Paper_Reference[[#This Row],[Lvl]:[Paper Description]])</f>
        <v>2NF28S-7036G-4001Precision White  48 x 1201101110SW736-5000PRECISION WHITE 43 X 145</v>
      </c>
      <c r="J3941" s="7">
        <f>COUNTIF(Paper_Reference[Duplicate Key],Paper_Reference[[#This Row],[Duplicate Key]])</f>
        <v>1</v>
      </c>
    </row>
    <row r="3942" spans="1:10">
      <c r="A3942" s="7">
        <v>2</v>
      </c>
      <c r="B3942" s="8" t="s">
        <v>3565</v>
      </c>
      <c r="C3942" s="8" t="s">
        <v>3264</v>
      </c>
      <c r="D3942" s="7">
        <v>1</v>
      </c>
      <c r="E3942" s="7">
        <v>10</v>
      </c>
      <c r="F3942" s="7">
        <v>1</v>
      </c>
      <c r="G3942" s="8" t="s">
        <v>3230</v>
      </c>
      <c r="H3942" s="8" t="s">
        <v>3231</v>
      </c>
      <c r="I3942" s="7" t="str">
        <f>_xlfn.CONCAT(Paper_Reference[[#This Row],[Lvl]:[Paper Description]])</f>
        <v>2NF28S-7036G-4201Precision White  48 x 1441101110SW736-5000PRECISION WHITE 43 X 145</v>
      </c>
      <c r="J3942" s="7">
        <f>COUNTIF(Paper_Reference[Duplicate Key],Paper_Reference[[#This Row],[Duplicate Key]])</f>
        <v>1</v>
      </c>
    </row>
    <row r="3943" spans="1:10">
      <c r="A3943" s="7">
        <v>2</v>
      </c>
      <c r="B3943" s="8" t="s">
        <v>3566</v>
      </c>
      <c r="C3943" s="8" t="s">
        <v>3255</v>
      </c>
      <c r="D3943" s="7">
        <v>1</v>
      </c>
      <c r="E3943" s="7">
        <v>10</v>
      </c>
      <c r="F3943" s="7">
        <v>1</v>
      </c>
      <c r="G3943" s="8" t="s">
        <v>3230</v>
      </c>
      <c r="H3943" s="8" t="s">
        <v>3231</v>
      </c>
      <c r="I3943" s="7" t="str">
        <f>_xlfn.CONCAT(Paper_Reference[[#This Row],[Lvl]:[Paper Description]])</f>
        <v>2NF28S-7036G-4801Precision White  48 x 961101110SW736-5000PRECISION WHITE 43 X 145</v>
      </c>
      <c r="J3943" s="7">
        <f>COUNTIF(Paper_Reference[Duplicate Key],Paper_Reference[[#This Row],[Duplicate Key]])</f>
        <v>1</v>
      </c>
    </row>
    <row r="3944" spans="1:10">
      <c r="A3944" s="7">
        <v>2</v>
      </c>
      <c r="B3944" s="8" t="s">
        <v>3567</v>
      </c>
      <c r="C3944" s="8" t="s">
        <v>3265</v>
      </c>
      <c r="D3944" s="7">
        <v>1</v>
      </c>
      <c r="E3944" s="7">
        <v>10</v>
      </c>
      <c r="F3944" s="7">
        <v>1</v>
      </c>
      <c r="G3944" s="8" t="s">
        <v>3230</v>
      </c>
      <c r="H3944" s="8" t="s">
        <v>3231</v>
      </c>
      <c r="I3944" s="7" t="str">
        <f>_xlfn.CONCAT(Paper_Reference[[#This Row],[Lvl]:[Paper Description]])</f>
        <v>2NF28S-7036G-4804Precision White PC 48 x 961101110SW736-5000PRECISION WHITE 43 X 145</v>
      </c>
      <c r="J3944" s="7">
        <f>COUNTIF(Paper_Reference[Duplicate Key],Paper_Reference[[#This Row],[Duplicate Key]])</f>
        <v>1</v>
      </c>
    </row>
    <row r="3945" spans="1:10">
      <c r="A3945" s="7">
        <v>2</v>
      </c>
      <c r="B3945" s="8" t="s">
        <v>4016</v>
      </c>
      <c r="C3945" s="8" t="s">
        <v>3788</v>
      </c>
      <c r="D3945" s="7">
        <v>1</v>
      </c>
      <c r="E3945" s="7">
        <v>10</v>
      </c>
      <c r="F3945" s="7">
        <v>1</v>
      </c>
      <c r="G3945" s="8" t="s">
        <v>3826</v>
      </c>
      <c r="H3945" s="8" t="s">
        <v>3827</v>
      </c>
      <c r="I3945" s="7" t="str">
        <f>_xlfn.CONCAT(Paper_Reference[[#This Row],[Lvl]:[Paper Description]])</f>
        <v>2NF28S-7036G-5001Precision White 60 x 1201101110SW736-6200PRECISION WHITE 62"</v>
      </c>
      <c r="J3945" s="7">
        <f>COUNTIF(Paper_Reference[Duplicate Key],Paper_Reference[[#This Row],[Duplicate Key]])</f>
        <v>1</v>
      </c>
    </row>
    <row r="3946" spans="1:10">
      <c r="A3946" s="7">
        <v>2</v>
      </c>
      <c r="B3946" s="8" t="s">
        <v>4017</v>
      </c>
      <c r="C3946" s="8" t="s">
        <v>3789</v>
      </c>
      <c r="D3946" s="7">
        <v>1</v>
      </c>
      <c r="E3946" s="7">
        <v>10</v>
      </c>
      <c r="F3946" s="7">
        <v>1</v>
      </c>
      <c r="G3946" s="8" t="s">
        <v>3826</v>
      </c>
      <c r="H3946" s="8" t="s">
        <v>3827</v>
      </c>
      <c r="I3946" s="7" t="str">
        <f>_xlfn.CONCAT(Paper_Reference[[#This Row],[Lvl]:[Paper Description]])</f>
        <v>2NF28S-7036G-5201Precision White 60X1441101110SW736-6200PRECISION WHITE 62"</v>
      </c>
      <c r="J3946" s="7">
        <f>COUNTIF(Paper_Reference[Duplicate Key],Paper_Reference[[#This Row],[Duplicate Key]])</f>
        <v>1</v>
      </c>
    </row>
    <row r="3947" spans="1:10">
      <c r="A3947" s="7">
        <v>2</v>
      </c>
      <c r="B3947" s="8" t="s">
        <v>4018</v>
      </c>
      <c r="C3947" s="8" t="s">
        <v>3790</v>
      </c>
      <c r="D3947" s="7">
        <v>1</v>
      </c>
      <c r="E3947" s="7">
        <v>10</v>
      </c>
      <c r="F3947" s="7">
        <v>1</v>
      </c>
      <c r="G3947" s="8" t="s">
        <v>3826</v>
      </c>
      <c r="H3947" s="8" t="s">
        <v>3827</v>
      </c>
      <c r="I3947" s="7" t="str">
        <f>_xlfn.CONCAT(Paper_Reference[[#This Row],[Lvl]:[Paper Description]])</f>
        <v>2NF28S-7036G-5801Precision White 60X961101110SW736-6200PRECISION WHITE 62"</v>
      </c>
      <c r="J3947" s="7">
        <f>COUNTIF(Paper_Reference[Duplicate Key],Paper_Reference[[#This Row],[Duplicate Key]])</f>
        <v>1</v>
      </c>
    </row>
    <row r="3948" spans="1:10">
      <c r="A3948" s="7">
        <v>2</v>
      </c>
      <c r="B3948" s="8" t="s">
        <v>3568</v>
      </c>
      <c r="C3948" s="8" t="s">
        <v>3232</v>
      </c>
      <c r="D3948" s="7">
        <v>1</v>
      </c>
      <c r="E3948" s="7">
        <v>10</v>
      </c>
      <c r="F3948" s="7">
        <v>1</v>
      </c>
      <c r="G3948" s="8" t="s">
        <v>3230</v>
      </c>
      <c r="H3948" s="8" t="s">
        <v>3231</v>
      </c>
      <c r="I3948" s="7" t="str">
        <f>_xlfn.CONCAT(Paper_Reference[[#This Row],[Lvl]:[Paper Description]])</f>
        <v>2NF28S-7036GL3001PRECISION WHITE 36 X 1201101110SW736-5000PRECISION WHITE 43 X 145</v>
      </c>
      <c r="J3948" s="7">
        <f>COUNTIF(Paper_Reference[Duplicate Key],Paper_Reference[[#This Row],[Duplicate Key]])</f>
        <v>1</v>
      </c>
    </row>
    <row r="3949" spans="1:10">
      <c r="A3949" s="7">
        <v>2</v>
      </c>
      <c r="B3949" s="8" t="s">
        <v>4019</v>
      </c>
      <c r="C3949" s="8" t="s">
        <v>3233</v>
      </c>
      <c r="D3949" s="7">
        <v>1</v>
      </c>
      <c r="E3949" s="7">
        <v>10</v>
      </c>
      <c r="F3949" s="7">
        <v>1</v>
      </c>
      <c r="G3949" s="8" t="s">
        <v>3826</v>
      </c>
      <c r="H3949" s="8" t="s">
        <v>3827</v>
      </c>
      <c r="I3949" s="7" t="str">
        <f>_xlfn.CONCAT(Paper_Reference[[#This Row],[Lvl]:[Paper Description]])</f>
        <v>2NF28S-7036GL3201PRECISION WHITE 36 X 1441101110SW736-6200PRECISION WHITE 62"</v>
      </c>
      <c r="J3949" s="7">
        <f>COUNTIF(Paper_Reference[Duplicate Key],Paper_Reference[[#This Row],[Duplicate Key]])</f>
        <v>1</v>
      </c>
    </row>
    <row r="3950" spans="1:10">
      <c r="A3950" s="7">
        <v>2</v>
      </c>
      <c r="B3950" s="8" t="s">
        <v>3569</v>
      </c>
      <c r="C3950" s="8" t="s">
        <v>3237</v>
      </c>
      <c r="D3950" s="7">
        <v>1</v>
      </c>
      <c r="E3950" s="7">
        <v>10</v>
      </c>
      <c r="F3950" s="7">
        <v>1</v>
      </c>
      <c r="G3950" s="8" t="s">
        <v>3230</v>
      </c>
      <c r="H3950" s="8" t="s">
        <v>3231</v>
      </c>
      <c r="I3950" s="7" t="str">
        <f>_xlfn.CONCAT(Paper_Reference[[#This Row],[Lvl]:[Paper Description]])</f>
        <v>2NF28S-7036GL4001PRECISION WHITE  48 X 1201101110SW736-5000PRECISION WHITE 43 X 145</v>
      </c>
      <c r="J3950" s="7">
        <f>COUNTIF(Paper_Reference[Duplicate Key],Paper_Reference[[#This Row],[Duplicate Key]])</f>
        <v>1</v>
      </c>
    </row>
    <row r="3951" spans="1:10">
      <c r="A3951" s="7">
        <v>2</v>
      </c>
      <c r="B3951" s="8" t="s">
        <v>4020</v>
      </c>
      <c r="C3951" s="8" t="s">
        <v>3300</v>
      </c>
      <c r="D3951" s="7">
        <v>1</v>
      </c>
      <c r="E3951" s="7">
        <v>10</v>
      </c>
      <c r="F3951" s="7">
        <v>1</v>
      </c>
      <c r="G3951" s="8" t="s">
        <v>3826</v>
      </c>
      <c r="H3951" s="8" t="s">
        <v>3827</v>
      </c>
      <c r="I3951" s="7" t="str">
        <f>_xlfn.CONCAT(Paper_Reference[[#This Row],[Lvl]:[Paper Description]])</f>
        <v>2NF28S-7036GL4201PRECISION WHITE  48 X 1441101110SW736-6200PRECISION WHITE 62"</v>
      </c>
      <c r="J3951" s="7">
        <f>COUNTIF(Paper_Reference[Duplicate Key],Paper_Reference[[#This Row],[Duplicate Key]])</f>
        <v>1</v>
      </c>
    </row>
    <row r="3952" spans="1:10">
      <c r="A3952" s="7">
        <v>2</v>
      </c>
      <c r="B3952" s="8" t="s">
        <v>3570</v>
      </c>
      <c r="C3952" s="8" t="s">
        <v>3261</v>
      </c>
      <c r="D3952" s="7">
        <v>1</v>
      </c>
      <c r="E3952" s="7">
        <v>10</v>
      </c>
      <c r="F3952" s="7">
        <v>1</v>
      </c>
      <c r="G3952" s="8" t="s">
        <v>3230</v>
      </c>
      <c r="H3952" s="8" t="s">
        <v>3231</v>
      </c>
      <c r="I3952" s="7" t="str">
        <f>_xlfn.CONCAT(Paper_Reference[[#This Row],[Lvl]:[Paper Description]])</f>
        <v>2NF28S-7036GL4801PRECISION WHITE  48 X 961101110SW736-5000PRECISION WHITE 43 X 145</v>
      </c>
      <c r="J3952" s="7">
        <f>COUNTIF(Paper_Reference[Duplicate Key],Paper_Reference[[#This Row],[Duplicate Key]])</f>
        <v>1</v>
      </c>
    </row>
    <row r="3953" spans="1:10">
      <c r="A3953" s="7">
        <v>2</v>
      </c>
      <c r="B3953" s="8" t="s">
        <v>3571</v>
      </c>
      <c r="C3953" s="8" t="s">
        <v>3261</v>
      </c>
      <c r="D3953" s="7">
        <v>1</v>
      </c>
      <c r="E3953" s="7">
        <v>10</v>
      </c>
      <c r="F3953" s="7">
        <v>1</v>
      </c>
      <c r="G3953" s="8" t="s">
        <v>3230</v>
      </c>
      <c r="H3953" s="8" t="s">
        <v>3231</v>
      </c>
      <c r="I3953" s="7" t="str">
        <f>_xlfn.CONCAT(Paper_Reference[[#This Row],[Lvl]:[Paper Description]])</f>
        <v>2NF28S-7036GL4804PRECISION WHITE  48 X 961101110SW736-5000PRECISION WHITE 43 X 145</v>
      </c>
      <c r="J3953" s="7">
        <f>COUNTIF(Paper_Reference[Duplicate Key],Paper_Reference[[#This Row],[Duplicate Key]])</f>
        <v>1</v>
      </c>
    </row>
    <row r="3954" spans="1:10">
      <c r="A3954" s="7">
        <v>2</v>
      </c>
      <c r="B3954" s="8" t="s">
        <v>4021</v>
      </c>
      <c r="C3954" s="8" t="s">
        <v>3791</v>
      </c>
      <c r="D3954" s="7">
        <v>1</v>
      </c>
      <c r="E3954" s="7">
        <v>10</v>
      </c>
      <c r="F3954" s="7">
        <v>1</v>
      </c>
      <c r="G3954" s="8" t="s">
        <v>3826</v>
      </c>
      <c r="H3954" s="8" t="s">
        <v>3827</v>
      </c>
      <c r="I3954" s="7" t="str">
        <f>_xlfn.CONCAT(Paper_Reference[[#This Row],[Lvl]:[Paper Description]])</f>
        <v>2NF28S-7036GL5201PRECISION WHITE 60X1441101110SW736-6200PRECISION WHITE 62"</v>
      </c>
      <c r="J3954" s="7">
        <f>COUNTIF(Paper_Reference[Duplicate Key],Paper_Reference[[#This Row],[Duplicate Key]])</f>
        <v>1</v>
      </c>
    </row>
    <row r="3955" spans="1:10">
      <c r="A3955" s="7">
        <v>2</v>
      </c>
      <c r="B3955" s="8" t="s">
        <v>4022</v>
      </c>
      <c r="C3955" s="8" t="s">
        <v>3792</v>
      </c>
      <c r="D3955" s="7">
        <v>1</v>
      </c>
      <c r="E3955" s="7">
        <v>10</v>
      </c>
      <c r="F3955" s="7">
        <v>1</v>
      </c>
      <c r="G3955" s="8" t="s">
        <v>3826</v>
      </c>
      <c r="H3955" s="8" t="s">
        <v>3827</v>
      </c>
      <c r="I3955" s="7" t="str">
        <f>_xlfn.CONCAT(Paper_Reference[[#This Row],[Lvl]:[Paper Description]])</f>
        <v>2NF28S-7036GL5801PRECISION WHITE 60X961101110SW736-6200PRECISION WHITE 62"</v>
      </c>
      <c r="J3955" s="7">
        <f>COUNTIF(Paper_Reference[Duplicate Key],Paper_Reference[[#This Row],[Duplicate Key]])</f>
        <v>1</v>
      </c>
    </row>
    <row r="3956" spans="1:10">
      <c r="A3956" s="7">
        <v>2</v>
      </c>
      <c r="B3956" s="8" t="s">
        <v>3572</v>
      </c>
      <c r="C3956" s="8" t="s">
        <v>3261</v>
      </c>
      <c r="D3956" s="7">
        <v>1</v>
      </c>
      <c r="E3956" s="7">
        <v>10</v>
      </c>
      <c r="F3956" s="7">
        <v>1</v>
      </c>
      <c r="G3956" s="8" t="s">
        <v>3230</v>
      </c>
      <c r="H3956" s="8" t="s">
        <v>3231</v>
      </c>
      <c r="I3956" s="7" t="str">
        <f>_xlfn.CONCAT(Paper_Reference[[#This Row],[Lvl]:[Paper Description]])</f>
        <v>2NF28S-7036LR4800PRECISION WHITE  48 X 961101110SW736-5000PRECISION WHITE 43 X 145</v>
      </c>
      <c r="J3956" s="7">
        <f>COUNTIF(Paper_Reference[Duplicate Key],Paper_Reference[[#This Row],[Duplicate Key]])</f>
        <v>1</v>
      </c>
    </row>
    <row r="3957" spans="1:10">
      <c r="A3957" s="7">
        <v>2</v>
      </c>
      <c r="B3957" s="8" t="s">
        <v>3573</v>
      </c>
      <c r="C3957" s="8" t="s">
        <v>3235</v>
      </c>
      <c r="D3957" s="7">
        <v>1</v>
      </c>
      <c r="E3957" s="7">
        <v>10</v>
      </c>
      <c r="F3957" s="7">
        <v>1</v>
      </c>
      <c r="G3957" s="8" t="s">
        <v>3230</v>
      </c>
      <c r="H3957" s="8" t="s">
        <v>3231</v>
      </c>
      <c r="I3957" s="7" t="str">
        <f>_xlfn.CONCAT(Paper_Reference[[#This Row],[Lvl]:[Paper Description]])</f>
        <v>2NF28S-7036LZ4800PRECISION WHITE 48 X 961101110SW736-5000PRECISION WHITE 43 X 145</v>
      </c>
      <c r="J3957" s="7">
        <f>COUNTIF(Paper_Reference[Duplicate Key],Paper_Reference[[#This Row],[Duplicate Key]])</f>
        <v>1</v>
      </c>
    </row>
    <row r="3958" spans="1:10">
      <c r="A3958" s="7">
        <v>2</v>
      </c>
      <c r="B3958" s="8" t="s">
        <v>3574</v>
      </c>
      <c r="C3958" s="8" t="s">
        <v>3261</v>
      </c>
      <c r="D3958" s="7">
        <v>1</v>
      </c>
      <c r="E3958" s="7">
        <v>10</v>
      </c>
      <c r="F3958" s="7">
        <v>1</v>
      </c>
      <c r="G3958" s="8" t="s">
        <v>3230</v>
      </c>
      <c r="H3958" s="8" t="s">
        <v>3231</v>
      </c>
      <c r="I3958" s="7" t="str">
        <f>_xlfn.CONCAT(Paper_Reference[[#This Row],[Lvl]:[Paper Description]])</f>
        <v>2NF28S-7036MG4800PRECISION WHITE  48 X 961101110SW736-5000PRECISION WHITE 43 X 145</v>
      </c>
      <c r="J3958" s="7">
        <f>COUNTIF(Paper_Reference[Duplicate Key],Paper_Reference[[#This Row],[Duplicate Key]])</f>
        <v>1</v>
      </c>
    </row>
    <row r="3959" spans="1:10">
      <c r="A3959" s="7">
        <v>2</v>
      </c>
      <c r="B3959" s="8" t="s">
        <v>3575</v>
      </c>
      <c r="C3959" s="8" t="s">
        <v>3262</v>
      </c>
      <c r="D3959" s="7">
        <v>1</v>
      </c>
      <c r="E3959" s="7">
        <v>10</v>
      </c>
      <c r="F3959" s="7">
        <v>1</v>
      </c>
      <c r="G3959" s="8" t="s">
        <v>3230</v>
      </c>
      <c r="H3959" s="8" t="s">
        <v>3231</v>
      </c>
      <c r="I3959" s="7" t="str">
        <f>_xlfn.CONCAT(Paper_Reference[[#This Row],[Lvl]:[Paper Description]])</f>
        <v>2NF28S-7036N-4800Precision White 48 x 961101110SW736-5000PRECISION WHITE 43 X 145</v>
      </c>
      <c r="J3959" s="7">
        <f>COUNTIF(Paper_Reference[Duplicate Key],Paper_Reference[[#This Row],[Duplicate Key]])</f>
        <v>1</v>
      </c>
    </row>
    <row r="3960" spans="1:10">
      <c r="A3960" s="7">
        <v>2</v>
      </c>
      <c r="B3960" s="8" t="s">
        <v>3576</v>
      </c>
      <c r="C3960" s="8" t="s">
        <v>3260</v>
      </c>
      <c r="D3960" s="7">
        <v>1</v>
      </c>
      <c r="E3960" s="7">
        <v>10</v>
      </c>
      <c r="F3960" s="7">
        <v>1</v>
      </c>
      <c r="G3960" s="8" t="s">
        <v>3230</v>
      </c>
      <c r="H3960" s="8" t="s">
        <v>3231</v>
      </c>
      <c r="I3960" s="7" t="str">
        <f>_xlfn.CONCAT(Paper_Reference[[#This Row],[Lvl]:[Paper Description]])</f>
        <v>2NF28S-7036PV4000PRECISION WHITE 48 X 1201101110SW736-5000PRECISION WHITE 43 X 145</v>
      </c>
      <c r="J3960" s="7">
        <f>COUNTIF(Paper_Reference[Duplicate Key],Paper_Reference[[#This Row],[Duplicate Key]])</f>
        <v>1</v>
      </c>
    </row>
    <row r="3961" spans="1:10">
      <c r="A3961" s="7">
        <v>2</v>
      </c>
      <c r="B3961" s="8" t="s">
        <v>3577</v>
      </c>
      <c r="C3961" s="8" t="s">
        <v>3235</v>
      </c>
      <c r="D3961" s="7">
        <v>1</v>
      </c>
      <c r="E3961" s="7">
        <v>10</v>
      </c>
      <c r="F3961" s="7">
        <v>1</v>
      </c>
      <c r="G3961" s="8" t="s">
        <v>3230</v>
      </c>
      <c r="H3961" s="8" t="s">
        <v>3231</v>
      </c>
      <c r="I3961" s="7" t="str">
        <f>_xlfn.CONCAT(Paper_Reference[[#This Row],[Lvl]:[Paper Description]])</f>
        <v>2NF28S-7036PV4800PRECISION WHITE 48 X 961101110SW736-5000PRECISION WHITE 43 X 145</v>
      </c>
      <c r="J3961" s="7">
        <f>COUNTIF(Paper_Reference[Duplicate Key],Paper_Reference[[#This Row],[Duplicate Key]])</f>
        <v>1</v>
      </c>
    </row>
    <row r="3962" spans="1:10">
      <c r="A3962" s="7">
        <v>2</v>
      </c>
      <c r="B3962" s="8" t="s">
        <v>4023</v>
      </c>
      <c r="C3962" s="8" t="s">
        <v>3778</v>
      </c>
      <c r="D3962" s="7">
        <v>1</v>
      </c>
      <c r="E3962" s="7">
        <v>10</v>
      </c>
      <c r="F3962" s="7">
        <v>1</v>
      </c>
      <c r="G3962" s="8" t="s">
        <v>3826</v>
      </c>
      <c r="H3962" s="8" t="s">
        <v>3827</v>
      </c>
      <c r="I3962" s="7" t="str">
        <f>_xlfn.CONCAT(Paper_Reference[[#This Row],[Lvl]:[Paper Description]])</f>
        <v>2NF28S-7036SD5800PRECISION WHITE 60 X 961101110SW736-6200PRECISION WHITE 62"</v>
      </c>
      <c r="J3962" s="7">
        <f>COUNTIF(Paper_Reference[Duplicate Key],Paper_Reference[[#This Row],[Duplicate Key]])</f>
        <v>1</v>
      </c>
    </row>
    <row r="3963" spans="1:10">
      <c r="A3963" s="7">
        <v>2</v>
      </c>
      <c r="B3963" s="8" t="s">
        <v>3578</v>
      </c>
      <c r="C3963" s="8" t="s">
        <v>3260</v>
      </c>
      <c r="D3963" s="7">
        <v>1</v>
      </c>
      <c r="E3963" s="7">
        <v>10</v>
      </c>
      <c r="F3963" s="7">
        <v>1</v>
      </c>
      <c r="G3963" s="8" t="s">
        <v>3230</v>
      </c>
      <c r="H3963" s="8" t="s">
        <v>3231</v>
      </c>
      <c r="I3963" s="7" t="str">
        <f>_xlfn.CONCAT(Paper_Reference[[#This Row],[Lvl]:[Paper Description]])</f>
        <v>2NF28S-7036SM4000PRECISION WHITE 48 X 1201101110SW736-5000PRECISION WHITE 43 X 145</v>
      </c>
      <c r="J3963" s="7">
        <f>COUNTIF(Paper_Reference[Duplicate Key],Paper_Reference[[#This Row],[Duplicate Key]])</f>
        <v>1</v>
      </c>
    </row>
    <row r="3964" spans="1:10">
      <c r="A3964" s="7">
        <v>2</v>
      </c>
      <c r="B3964" s="8" t="s">
        <v>3579</v>
      </c>
      <c r="C3964" s="8" t="s">
        <v>3260</v>
      </c>
      <c r="D3964" s="7">
        <v>1</v>
      </c>
      <c r="E3964" s="7">
        <v>10</v>
      </c>
      <c r="F3964" s="7">
        <v>1</v>
      </c>
      <c r="G3964" s="8" t="s">
        <v>3230</v>
      </c>
      <c r="H3964" s="8" t="s">
        <v>3231</v>
      </c>
      <c r="I3964" s="7" t="str">
        <f>_xlfn.CONCAT(Paper_Reference[[#This Row],[Lvl]:[Paper Description]])</f>
        <v>2NF28S-7036SM4003PRECISION WHITE 48 X 1201101110SW736-5000PRECISION WHITE 43 X 145</v>
      </c>
      <c r="J3964" s="7">
        <f>COUNTIF(Paper_Reference[Duplicate Key],Paper_Reference[[#This Row],[Duplicate Key]])</f>
        <v>1</v>
      </c>
    </row>
    <row r="3965" spans="1:10">
      <c r="A3965" s="7">
        <v>2</v>
      </c>
      <c r="B3965" s="8" t="s">
        <v>3580</v>
      </c>
      <c r="C3965" s="8" t="s">
        <v>3235</v>
      </c>
      <c r="D3965" s="7">
        <v>1</v>
      </c>
      <c r="E3965" s="7">
        <v>10</v>
      </c>
      <c r="F3965" s="7">
        <v>1</v>
      </c>
      <c r="G3965" s="8" t="s">
        <v>3230</v>
      </c>
      <c r="H3965" s="8" t="s">
        <v>3231</v>
      </c>
      <c r="I3965" s="7" t="str">
        <f>_xlfn.CONCAT(Paper_Reference[[#This Row],[Lvl]:[Paper Description]])</f>
        <v>2NF28S-7036SM4800PRECISION WHITE 48 X 961101110SW736-5000PRECISION WHITE 43 X 145</v>
      </c>
      <c r="J3965" s="7">
        <f>COUNTIF(Paper_Reference[Duplicate Key],Paper_Reference[[#This Row],[Duplicate Key]])</f>
        <v>1</v>
      </c>
    </row>
    <row r="3966" spans="1:10">
      <c r="A3966" s="7">
        <v>2</v>
      </c>
      <c r="B3966" s="8" t="s">
        <v>3581</v>
      </c>
      <c r="C3966" s="8" t="s">
        <v>3235</v>
      </c>
      <c r="D3966" s="7">
        <v>1</v>
      </c>
      <c r="E3966" s="7">
        <v>10</v>
      </c>
      <c r="F3966" s="7">
        <v>1</v>
      </c>
      <c r="G3966" s="8" t="s">
        <v>3230</v>
      </c>
      <c r="H3966" s="8" t="s">
        <v>3231</v>
      </c>
      <c r="I3966" s="7" t="str">
        <f>_xlfn.CONCAT(Paper_Reference[[#This Row],[Lvl]:[Paper Description]])</f>
        <v>2NF28S-7036SM4803PRECISION WHITE 48 X 961101110SW736-5000PRECISION WHITE 43 X 145</v>
      </c>
      <c r="J3966" s="7">
        <f>COUNTIF(Paper_Reference[Duplicate Key],Paper_Reference[[#This Row],[Duplicate Key]])</f>
        <v>1</v>
      </c>
    </row>
    <row r="3967" spans="1:10">
      <c r="A3967" s="7">
        <v>2</v>
      </c>
      <c r="B3967" s="8" t="s">
        <v>4024</v>
      </c>
      <c r="C3967" s="8" t="s">
        <v>3781</v>
      </c>
      <c r="D3967" s="7">
        <v>1</v>
      </c>
      <c r="E3967" s="7">
        <v>10</v>
      </c>
      <c r="F3967" s="7">
        <v>1</v>
      </c>
      <c r="G3967" s="8" t="s">
        <v>3826</v>
      </c>
      <c r="H3967" s="8" t="s">
        <v>3827</v>
      </c>
      <c r="I3967" s="7" t="str">
        <f>_xlfn.CONCAT(Paper_Reference[[#This Row],[Lvl]:[Paper Description]])</f>
        <v>2NF28S-7036SM5200PRECISION WHITE  60 X 1441101110SW736-6200PRECISION WHITE 62"</v>
      </c>
      <c r="J3967" s="7">
        <f>COUNTIF(Paper_Reference[Duplicate Key],Paper_Reference[[#This Row],[Duplicate Key]])</f>
        <v>1</v>
      </c>
    </row>
    <row r="3968" spans="1:10">
      <c r="A3968" s="7">
        <v>2</v>
      </c>
      <c r="B3968" s="8" t="s">
        <v>3582</v>
      </c>
      <c r="C3968" s="8" t="s">
        <v>3261</v>
      </c>
      <c r="D3968" s="7">
        <v>1</v>
      </c>
      <c r="E3968" s="7">
        <v>10</v>
      </c>
      <c r="F3968" s="7">
        <v>1</v>
      </c>
      <c r="G3968" s="8" t="s">
        <v>3230</v>
      </c>
      <c r="H3968" s="8" t="s">
        <v>3231</v>
      </c>
      <c r="I3968" s="7" t="str">
        <f>_xlfn.CONCAT(Paper_Reference[[#This Row],[Lvl]:[Paper Description]])</f>
        <v>2NF28S-7036SX4800PRECISION WHITE  48 X 961101110SW736-5000PRECISION WHITE 43 X 145</v>
      </c>
      <c r="J3968" s="7">
        <f>COUNTIF(Paper_Reference[Duplicate Key],Paper_Reference[[#This Row],[Duplicate Key]])</f>
        <v>1</v>
      </c>
    </row>
    <row r="3969" spans="1:10">
      <c r="A3969" s="7">
        <v>2</v>
      </c>
      <c r="B3969" s="8" t="s">
        <v>4025</v>
      </c>
      <c r="C3969" s="8" t="s">
        <v>3793</v>
      </c>
      <c r="D3969" s="7">
        <v>1</v>
      </c>
      <c r="E3969" s="7">
        <v>10</v>
      </c>
      <c r="F3969" s="7">
        <v>0.5</v>
      </c>
      <c r="G3969" s="8" t="s">
        <v>3826</v>
      </c>
      <c r="H3969" s="8" t="s">
        <v>3827</v>
      </c>
      <c r="I3969" s="7" t="str">
        <f>_xlfn.CONCAT(Paper_Reference[[#This Row],[Lvl]:[Paper Description]])</f>
        <v>2NF28S-7036T-0200Precision White  30 x 1441100.5110SW736-6200PRECISION WHITE 62"</v>
      </c>
      <c r="J3969" s="7">
        <f>COUNTIF(Paper_Reference[Duplicate Key],Paper_Reference[[#This Row],[Duplicate Key]])</f>
        <v>1</v>
      </c>
    </row>
    <row r="3970" spans="1:10">
      <c r="A3970" s="7">
        <v>2</v>
      </c>
      <c r="B3970" s="8" t="s">
        <v>3583</v>
      </c>
      <c r="C3970" s="8" t="s">
        <v>3266</v>
      </c>
      <c r="D3970" s="7">
        <v>1</v>
      </c>
      <c r="E3970" s="7">
        <v>10</v>
      </c>
      <c r="F3970" s="7">
        <v>1</v>
      </c>
      <c r="G3970" s="8" t="s">
        <v>3230</v>
      </c>
      <c r="H3970" s="8" t="s">
        <v>3231</v>
      </c>
      <c r="I3970" s="7" t="str">
        <f>_xlfn.CONCAT(Paper_Reference[[#This Row],[Lvl]:[Paper Description]])</f>
        <v>2NF28S-7036T-3000Precision White  36 x 1201101110SW736-5000PRECISION WHITE 43 X 145</v>
      </c>
      <c r="J3970" s="7">
        <f>COUNTIF(Paper_Reference[Duplicate Key],Paper_Reference[[#This Row],[Duplicate Key]])</f>
        <v>1</v>
      </c>
    </row>
    <row r="3971" spans="1:10">
      <c r="A3971" s="7">
        <v>2</v>
      </c>
      <c r="B3971" s="8" t="s">
        <v>3584</v>
      </c>
      <c r="C3971" s="8" t="s">
        <v>3267</v>
      </c>
      <c r="D3971" s="7">
        <v>1</v>
      </c>
      <c r="E3971" s="7">
        <v>10</v>
      </c>
      <c r="F3971" s="7">
        <v>1</v>
      </c>
      <c r="G3971" s="8" t="s">
        <v>3230</v>
      </c>
      <c r="H3971" s="8" t="s">
        <v>3231</v>
      </c>
      <c r="I3971" s="7" t="str">
        <f>_xlfn.CONCAT(Paper_Reference[[#This Row],[Lvl]:[Paper Description]])</f>
        <v>2NF28S-7036T-3800Precision White  36 x 961101110SW736-5000PRECISION WHITE 43 X 145</v>
      </c>
      <c r="J3971" s="7">
        <f>COUNTIF(Paper_Reference[Duplicate Key],Paper_Reference[[#This Row],[Duplicate Key]])</f>
        <v>1</v>
      </c>
    </row>
    <row r="3972" spans="1:10">
      <c r="A3972" s="7">
        <v>2</v>
      </c>
      <c r="B3972" s="8" t="s">
        <v>3585</v>
      </c>
      <c r="C3972" s="8" t="s">
        <v>3263</v>
      </c>
      <c r="D3972" s="7">
        <v>1</v>
      </c>
      <c r="E3972" s="7">
        <v>10</v>
      </c>
      <c r="F3972" s="7">
        <v>1</v>
      </c>
      <c r="G3972" s="8" t="s">
        <v>3230</v>
      </c>
      <c r="H3972" s="8" t="s">
        <v>3231</v>
      </c>
      <c r="I3972" s="7" t="str">
        <f>_xlfn.CONCAT(Paper_Reference[[#This Row],[Lvl]:[Paper Description]])</f>
        <v>2NF28S-7036T-4000Precision White  48 x 1201101110SW736-5000PRECISION WHITE 43 X 145</v>
      </c>
      <c r="J3972" s="7">
        <f>COUNTIF(Paper_Reference[Duplicate Key],Paper_Reference[[#This Row],[Duplicate Key]])</f>
        <v>1</v>
      </c>
    </row>
    <row r="3973" spans="1:10">
      <c r="A3973" s="7">
        <v>2</v>
      </c>
      <c r="B3973" s="8" t="s">
        <v>3586</v>
      </c>
      <c r="C3973" s="8" t="s">
        <v>3268</v>
      </c>
      <c r="D3973" s="7">
        <v>1</v>
      </c>
      <c r="E3973" s="7">
        <v>10</v>
      </c>
      <c r="F3973" s="7">
        <v>1</v>
      </c>
      <c r="G3973" s="8" t="s">
        <v>3230</v>
      </c>
      <c r="H3973" s="8" t="s">
        <v>3231</v>
      </c>
      <c r="I3973" s="7" t="str">
        <f>_xlfn.CONCAT(Paper_Reference[[#This Row],[Lvl]:[Paper Description]])</f>
        <v>2NF28S-7036T-4003PRECISSION WHITE  48 X 1201101110SW736-5000PRECISION WHITE 43 X 145</v>
      </c>
      <c r="J3973" s="7">
        <f>COUNTIF(Paper_Reference[Duplicate Key],Paper_Reference[[#This Row],[Duplicate Key]])</f>
        <v>1</v>
      </c>
    </row>
    <row r="3974" spans="1:10">
      <c r="A3974" s="7">
        <v>2</v>
      </c>
      <c r="B3974" s="8" t="s">
        <v>3587</v>
      </c>
      <c r="C3974" s="8" t="s">
        <v>3255</v>
      </c>
      <c r="D3974" s="7">
        <v>1</v>
      </c>
      <c r="E3974" s="7">
        <v>10</v>
      </c>
      <c r="F3974" s="7">
        <v>1</v>
      </c>
      <c r="G3974" s="8" t="s">
        <v>3230</v>
      </c>
      <c r="H3974" s="8" t="s">
        <v>3231</v>
      </c>
      <c r="I3974" s="7" t="str">
        <f>_xlfn.CONCAT(Paper_Reference[[#This Row],[Lvl]:[Paper Description]])</f>
        <v>2NF28S-7036T-4800Precision White  48 x 961101110SW736-5000PRECISION WHITE 43 X 145</v>
      </c>
      <c r="J3974" s="7">
        <f>COUNTIF(Paper_Reference[Duplicate Key],Paper_Reference[[#This Row],[Duplicate Key]])</f>
        <v>1</v>
      </c>
    </row>
    <row r="3975" spans="1:10">
      <c r="A3975" s="7">
        <v>2</v>
      </c>
      <c r="B3975" s="8" t="s">
        <v>3588</v>
      </c>
      <c r="C3975" s="8" t="s">
        <v>3265</v>
      </c>
      <c r="D3975" s="7">
        <v>1</v>
      </c>
      <c r="E3975" s="7">
        <v>10</v>
      </c>
      <c r="F3975" s="7">
        <v>1</v>
      </c>
      <c r="G3975" s="8" t="s">
        <v>3230</v>
      </c>
      <c r="H3975" s="8" t="s">
        <v>3231</v>
      </c>
      <c r="I3975" s="7" t="str">
        <f>_xlfn.CONCAT(Paper_Reference[[#This Row],[Lvl]:[Paper Description]])</f>
        <v>2NF28S-7036T-4801Precision White PC 48 x 961101110SW736-5000PRECISION WHITE 43 X 145</v>
      </c>
      <c r="J3975" s="7">
        <f>COUNTIF(Paper_Reference[Duplicate Key],Paper_Reference[[#This Row],[Duplicate Key]])</f>
        <v>1</v>
      </c>
    </row>
    <row r="3976" spans="1:10">
      <c r="A3976" s="7">
        <v>2</v>
      </c>
      <c r="B3976" s="8" t="s">
        <v>3589</v>
      </c>
      <c r="C3976" s="8" t="s">
        <v>3255</v>
      </c>
      <c r="D3976" s="7">
        <v>1</v>
      </c>
      <c r="E3976" s="7">
        <v>10</v>
      </c>
      <c r="F3976" s="7">
        <v>1</v>
      </c>
      <c r="G3976" s="8" t="s">
        <v>3230</v>
      </c>
      <c r="H3976" s="8" t="s">
        <v>3231</v>
      </c>
      <c r="I3976" s="7" t="str">
        <f>_xlfn.CONCAT(Paper_Reference[[#This Row],[Lvl]:[Paper Description]])</f>
        <v>2NF28S-7036T-4803Precision White  48 x 961101110SW736-5000PRECISION WHITE 43 X 145</v>
      </c>
      <c r="J3976" s="7">
        <f>COUNTIF(Paper_Reference[Duplicate Key],Paper_Reference[[#This Row],[Duplicate Key]])</f>
        <v>1</v>
      </c>
    </row>
    <row r="3977" spans="1:10">
      <c r="A3977" s="7">
        <v>2</v>
      </c>
      <c r="B3977" s="8" t="s">
        <v>4026</v>
      </c>
      <c r="C3977" s="8" t="s">
        <v>3794</v>
      </c>
      <c r="D3977" s="7">
        <v>1</v>
      </c>
      <c r="E3977" s="7">
        <v>10</v>
      </c>
      <c r="F3977" s="7">
        <v>1</v>
      </c>
      <c r="G3977" s="8" t="s">
        <v>3826</v>
      </c>
      <c r="H3977" s="8" t="s">
        <v>3827</v>
      </c>
      <c r="I3977" s="7" t="str">
        <f>_xlfn.CONCAT(Paper_Reference[[#This Row],[Lvl]:[Paper Description]])</f>
        <v>2NF28S-7036T-5000Precision White  60 x 1201101110SW736-6200PRECISION WHITE 62"</v>
      </c>
      <c r="J3977" s="7">
        <f>COUNTIF(Paper_Reference[Duplicate Key],Paper_Reference[[#This Row],[Duplicate Key]])</f>
        <v>1</v>
      </c>
    </row>
    <row r="3978" spans="1:10">
      <c r="A3978" s="7">
        <v>2</v>
      </c>
      <c r="B3978" s="8" t="s">
        <v>4027</v>
      </c>
      <c r="C3978" s="8" t="s">
        <v>3786</v>
      </c>
      <c r="D3978" s="7">
        <v>1</v>
      </c>
      <c r="E3978" s="7">
        <v>10</v>
      </c>
      <c r="F3978" s="7">
        <v>1</v>
      </c>
      <c r="G3978" s="8" t="s">
        <v>3826</v>
      </c>
      <c r="H3978" s="8" t="s">
        <v>3827</v>
      </c>
      <c r="I3978" s="7" t="str">
        <f>_xlfn.CONCAT(Paper_Reference[[#This Row],[Lvl]:[Paper Description]])</f>
        <v>2NF28S-7036T-5200Precision White  60 x 1441101110SW736-6200PRECISION WHITE 62"</v>
      </c>
      <c r="J3978" s="7">
        <f>COUNTIF(Paper_Reference[Duplicate Key],Paper_Reference[[#This Row],[Duplicate Key]])</f>
        <v>1</v>
      </c>
    </row>
    <row r="3979" spans="1:10">
      <c r="A3979" s="7">
        <v>2</v>
      </c>
      <c r="B3979" s="8" t="s">
        <v>4028</v>
      </c>
      <c r="C3979" s="8" t="s">
        <v>3786</v>
      </c>
      <c r="D3979" s="7">
        <v>1</v>
      </c>
      <c r="E3979" s="7">
        <v>10</v>
      </c>
      <c r="F3979" s="7">
        <v>1</v>
      </c>
      <c r="G3979" s="8" t="s">
        <v>3826</v>
      </c>
      <c r="H3979" s="8" t="s">
        <v>3827</v>
      </c>
      <c r="I3979" s="7" t="str">
        <f>_xlfn.CONCAT(Paper_Reference[[#This Row],[Lvl]:[Paper Description]])</f>
        <v>2NF28S-7036T-5203Precision White  60 x 1441101110SW736-6200PRECISION WHITE 62"</v>
      </c>
      <c r="J3979" s="7">
        <f>COUNTIF(Paper_Reference[Duplicate Key],Paper_Reference[[#This Row],[Duplicate Key]])</f>
        <v>1</v>
      </c>
    </row>
    <row r="3980" spans="1:10">
      <c r="A3980" s="7">
        <v>2</v>
      </c>
      <c r="B3980" s="8" t="s">
        <v>4029</v>
      </c>
      <c r="C3980" s="8" t="s">
        <v>3795</v>
      </c>
      <c r="D3980" s="7">
        <v>1</v>
      </c>
      <c r="E3980" s="7">
        <v>10</v>
      </c>
      <c r="F3980" s="7">
        <v>1</v>
      </c>
      <c r="G3980" s="8" t="s">
        <v>3826</v>
      </c>
      <c r="H3980" s="8" t="s">
        <v>3827</v>
      </c>
      <c r="I3980" s="7" t="str">
        <f>_xlfn.CONCAT(Paper_Reference[[#This Row],[Lvl]:[Paper Description]])</f>
        <v>2NF28S-7036T-5800Precision White  60 x 961101110SW736-6200PRECISION WHITE 62"</v>
      </c>
      <c r="J3980" s="7">
        <f>COUNTIF(Paper_Reference[Duplicate Key],Paper_Reference[[#This Row],[Duplicate Key]])</f>
        <v>1</v>
      </c>
    </row>
    <row r="3981" spans="1:10">
      <c r="A3981" s="7">
        <v>2</v>
      </c>
      <c r="B3981" s="8" t="s">
        <v>4030</v>
      </c>
      <c r="C3981" s="8" t="s">
        <v>3796</v>
      </c>
      <c r="D3981" s="7">
        <v>1</v>
      </c>
      <c r="E3981" s="7">
        <v>10</v>
      </c>
      <c r="F3981" s="7">
        <v>0.5</v>
      </c>
      <c r="G3981" s="8" t="s">
        <v>3826</v>
      </c>
      <c r="H3981" s="8" t="s">
        <v>3827</v>
      </c>
      <c r="I3981" s="7" t="str">
        <f>_xlfn.CONCAT(Paper_Reference[[#This Row],[Lvl]:[Paper Description]])</f>
        <v>2NF28S-7036T-RPF0PRECISION WHITE 30 1/2 X 145 11100.5110SW736-6200PRECISION WHITE 62"</v>
      </c>
      <c r="J3981" s="7">
        <f>COUNTIF(Paper_Reference[Duplicate Key],Paper_Reference[[#This Row],[Duplicate Key]])</f>
        <v>1</v>
      </c>
    </row>
    <row r="3982" spans="1:10">
      <c r="A3982" s="7">
        <v>2</v>
      </c>
      <c r="B3982" s="8" t="s">
        <v>3590</v>
      </c>
      <c r="C3982" s="8" t="s">
        <v>3260</v>
      </c>
      <c r="D3982" s="7">
        <v>1</v>
      </c>
      <c r="E3982" s="7">
        <v>10</v>
      </c>
      <c r="F3982" s="7">
        <v>1</v>
      </c>
      <c r="G3982" s="8" t="s">
        <v>3230</v>
      </c>
      <c r="H3982" s="8" t="s">
        <v>3231</v>
      </c>
      <c r="I3982" s="7" t="str">
        <f>_xlfn.CONCAT(Paper_Reference[[#This Row],[Lvl]:[Paper Description]])</f>
        <v>2NF28S-7036VE4000PRECISION WHITE 48 X 1201101110SW736-5000PRECISION WHITE 43 X 145</v>
      </c>
      <c r="J3982" s="7">
        <f>COUNTIF(Paper_Reference[Duplicate Key],Paper_Reference[[#This Row],[Duplicate Key]])</f>
        <v>1</v>
      </c>
    </row>
    <row r="3983" spans="1:10">
      <c r="A3983" s="7">
        <v>2</v>
      </c>
      <c r="B3983" s="8" t="s">
        <v>3591</v>
      </c>
      <c r="C3983" s="8" t="s">
        <v>3235</v>
      </c>
      <c r="D3983" s="7">
        <v>1</v>
      </c>
      <c r="E3983" s="7">
        <v>10</v>
      </c>
      <c r="F3983" s="7">
        <v>1</v>
      </c>
      <c r="G3983" s="8" t="s">
        <v>3230</v>
      </c>
      <c r="H3983" s="8" t="s">
        <v>3231</v>
      </c>
      <c r="I3983" s="7" t="str">
        <f>_xlfn.CONCAT(Paper_Reference[[#This Row],[Lvl]:[Paper Description]])</f>
        <v>2NF28S-7036VE4800PRECISION WHITE 48 X 961101110SW736-5000PRECISION WHITE 43 X 145</v>
      </c>
      <c r="J3983" s="7">
        <f>COUNTIF(Paper_Reference[Duplicate Key],Paper_Reference[[#This Row],[Duplicate Key]])</f>
        <v>1</v>
      </c>
    </row>
    <row r="3984" spans="1:10">
      <c r="A3984" s="7">
        <v>2</v>
      </c>
      <c r="B3984" s="8" t="s">
        <v>4211</v>
      </c>
      <c r="C3984" s="8" t="s">
        <v>4131</v>
      </c>
      <c r="D3984" s="7">
        <v>1</v>
      </c>
      <c r="E3984" s="7">
        <v>10</v>
      </c>
      <c r="F3984" s="7">
        <v>1</v>
      </c>
      <c r="G3984" s="8" t="s">
        <v>4129</v>
      </c>
      <c r="H3984" s="8" t="s">
        <v>4130</v>
      </c>
      <c r="I3984" s="7" t="str">
        <f>_xlfn.CONCAT(Paper_Reference[[#This Row],[Lvl]:[Paper Description]])</f>
        <v>2NF28WC5581E-5200Blossom Cherry  60 x 1441101110WC013-6200BLOSSOM CHERRY</v>
      </c>
      <c r="J3984" s="7">
        <f>COUNTIF(Paper_Reference[Duplicate Key],Paper_Reference[[#This Row],[Duplicate Key]])</f>
        <v>1</v>
      </c>
    </row>
    <row r="3985" spans="1:10">
      <c r="A3985" s="7">
        <v>2</v>
      </c>
      <c r="B3985" s="8" t="s">
        <v>4212</v>
      </c>
      <c r="C3985" s="8" t="s">
        <v>4132</v>
      </c>
      <c r="D3985" s="7">
        <v>1</v>
      </c>
      <c r="E3985" s="7">
        <v>10</v>
      </c>
      <c r="F3985" s="7">
        <v>0.5</v>
      </c>
      <c r="G3985" s="8" t="s">
        <v>4129</v>
      </c>
      <c r="H3985" s="8" t="s">
        <v>4130</v>
      </c>
      <c r="I3985" s="7" t="str">
        <f>_xlfn.CONCAT(Paper_Reference[[#This Row],[Lvl]:[Paper Description]])</f>
        <v>2NF28WC5581MG0200BLOSSOM CHERRY 30 X 1441100.5110WC013-6200BLOSSOM CHERRY</v>
      </c>
      <c r="J3985" s="7">
        <f>COUNTIF(Paper_Reference[Duplicate Key],Paper_Reference[[#This Row],[Duplicate Key]])</f>
        <v>1</v>
      </c>
    </row>
    <row r="3986" spans="1:10">
      <c r="A3986" s="7">
        <v>2</v>
      </c>
      <c r="B3986" s="8" t="s">
        <v>4213</v>
      </c>
      <c r="C3986" s="8" t="s">
        <v>4133</v>
      </c>
      <c r="D3986" s="7">
        <v>1</v>
      </c>
      <c r="E3986" s="7">
        <v>10</v>
      </c>
      <c r="F3986" s="7">
        <v>1</v>
      </c>
      <c r="G3986" s="8" t="s">
        <v>4129</v>
      </c>
      <c r="H3986" s="8" t="s">
        <v>4130</v>
      </c>
      <c r="I3986" s="7" t="str">
        <f>_xlfn.CONCAT(Paper_Reference[[#This Row],[Lvl]:[Paper Description]])</f>
        <v>2NF28WC5581MG4000BLOSSOM CHERRY  48 X 1201101110WC013-6200BLOSSOM CHERRY</v>
      </c>
      <c r="J3986" s="7">
        <f>COUNTIF(Paper_Reference[Duplicate Key],Paper_Reference[[#This Row],[Duplicate Key]])</f>
        <v>1</v>
      </c>
    </row>
    <row r="3987" spans="1:10">
      <c r="A3987" s="7">
        <v>2</v>
      </c>
      <c r="B3987" s="8" t="s">
        <v>4214</v>
      </c>
      <c r="C3987" s="8" t="s">
        <v>4134</v>
      </c>
      <c r="D3987" s="7">
        <v>1</v>
      </c>
      <c r="E3987" s="7">
        <v>10</v>
      </c>
      <c r="F3987" s="7">
        <v>1</v>
      </c>
      <c r="G3987" s="8" t="s">
        <v>4129</v>
      </c>
      <c r="H3987" s="8" t="s">
        <v>4130</v>
      </c>
      <c r="I3987" s="7" t="str">
        <f>_xlfn.CONCAT(Paper_Reference[[#This Row],[Lvl]:[Paper Description]])</f>
        <v>2NF28WC5581MG4201BLOSSOM CHERRY PC 48X1441101110WC013-6200BLOSSOM CHERRY</v>
      </c>
      <c r="J3987" s="7">
        <f>COUNTIF(Paper_Reference[Duplicate Key],Paper_Reference[[#This Row],[Duplicate Key]])</f>
        <v>1</v>
      </c>
    </row>
    <row r="3988" spans="1:10">
      <c r="A3988" s="7">
        <v>2</v>
      </c>
      <c r="B3988" s="8" t="s">
        <v>4215</v>
      </c>
      <c r="C3988" s="8" t="s">
        <v>4135</v>
      </c>
      <c r="D3988" s="7">
        <v>1</v>
      </c>
      <c r="E3988" s="7">
        <v>10</v>
      </c>
      <c r="F3988" s="7">
        <v>1</v>
      </c>
      <c r="G3988" s="8" t="s">
        <v>4129</v>
      </c>
      <c r="H3988" s="8" t="s">
        <v>4130</v>
      </c>
      <c r="I3988" s="7" t="str">
        <f>_xlfn.CONCAT(Paper_Reference[[#This Row],[Lvl]:[Paper Description]])</f>
        <v>2NF28WC5581MG5000BLOSSOM CHERRY  60 X 1201101110WC013-6200BLOSSOM CHERRY</v>
      </c>
      <c r="J3988" s="7">
        <f>COUNTIF(Paper_Reference[Duplicate Key],Paper_Reference[[#This Row],[Duplicate Key]])</f>
        <v>1</v>
      </c>
    </row>
    <row r="3989" spans="1:10">
      <c r="A3989" s="7">
        <v>2</v>
      </c>
      <c r="B3989" s="8" t="s">
        <v>4216</v>
      </c>
      <c r="C3989" s="8" t="s">
        <v>4136</v>
      </c>
      <c r="D3989" s="7">
        <v>1</v>
      </c>
      <c r="E3989" s="7">
        <v>10</v>
      </c>
      <c r="F3989" s="7">
        <v>1</v>
      </c>
      <c r="G3989" s="8" t="s">
        <v>4129</v>
      </c>
      <c r="H3989" s="8" t="s">
        <v>4130</v>
      </c>
      <c r="I3989" s="7" t="str">
        <f>_xlfn.CONCAT(Paper_Reference[[#This Row],[Lvl]:[Paper Description]])</f>
        <v>2NF28WC5581MG5200BLOSSOM CHERRY  60 X 1441101110WC013-6200BLOSSOM CHERRY</v>
      </c>
      <c r="J3989" s="7">
        <f>COUNTIF(Paper_Reference[Duplicate Key],Paper_Reference[[#This Row],[Duplicate Key]])</f>
        <v>1</v>
      </c>
    </row>
    <row r="3990" spans="1:10">
      <c r="A3990" s="7">
        <v>2</v>
      </c>
      <c r="B3990" s="8" t="s">
        <v>4217</v>
      </c>
      <c r="C3990" s="8" t="s">
        <v>4136</v>
      </c>
      <c r="D3990" s="7">
        <v>1</v>
      </c>
      <c r="E3990" s="7">
        <v>10</v>
      </c>
      <c r="F3990" s="7">
        <v>1</v>
      </c>
      <c r="G3990" s="8" t="s">
        <v>4129</v>
      </c>
      <c r="H3990" s="8" t="s">
        <v>4130</v>
      </c>
      <c r="I3990" s="7" t="str">
        <f>_xlfn.CONCAT(Paper_Reference[[#This Row],[Lvl]:[Paper Description]])</f>
        <v>2NF28WC5581MG5201BLOSSOM CHERRY  60 X 1441101110WC013-6200BLOSSOM CHERRY</v>
      </c>
      <c r="J3990" s="7">
        <f>COUNTIF(Paper_Reference[Duplicate Key],Paper_Reference[[#This Row],[Duplicate Key]])</f>
        <v>1</v>
      </c>
    </row>
    <row r="3991" spans="1:10">
      <c r="A3991" s="7">
        <v>2</v>
      </c>
      <c r="B3991" s="8" t="s">
        <v>4218</v>
      </c>
      <c r="C3991" s="8" t="s">
        <v>4137</v>
      </c>
      <c r="D3991" s="7">
        <v>1</v>
      </c>
      <c r="E3991" s="7">
        <v>10</v>
      </c>
      <c r="F3991" s="7">
        <v>1</v>
      </c>
      <c r="G3991" s="8" t="s">
        <v>4129</v>
      </c>
      <c r="H3991" s="8" t="s">
        <v>4130</v>
      </c>
      <c r="I3991" s="7" t="str">
        <f>_xlfn.CONCAT(Paper_Reference[[#This Row],[Lvl]:[Paper Description]])</f>
        <v>2NF28WC5581MG5800BLOSSOM CHERRY  60 X 961101110WC013-6200BLOSSOM CHERRY</v>
      </c>
      <c r="J3991" s="7">
        <f>COUNTIF(Paper_Reference[Duplicate Key],Paper_Reference[[#This Row],[Duplicate Key]])</f>
        <v>1</v>
      </c>
    </row>
    <row r="3992" spans="1:10">
      <c r="A3992" s="7">
        <v>2</v>
      </c>
      <c r="B3992" s="8" t="s">
        <v>4219</v>
      </c>
      <c r="C3992" s="8" t="s">
        <v>4138</v>
      </c>
      <c r="D3992" s="7">
        <v>1</v>
      </c>
      <c r="E3992" s="7">
        <v>10</v>
      </c>
      <c r="F3992" s="7">
        <v>1</v>
      </c>
      <c r="G3992" s="8" t="s">
        <v>4129</v>
      </c>
      <c r="H3992" s="8" t="s">
        <v>4130</v>
      </c>
      <c r="I3992" s="7" t="str">
        <f>_xlfn.CONCAT(Paper_Reference[[#This Row],[Lvl]:[Paper Description]])</f>
        <v>2NF28WC5581MG5801BLOSSOM CHERRY PC 60X961101110WC013-6200BLOSSOM CHERRY</v>
      </c>
      <c r="J3992" s="7">
        <f>COUNTIF(Paper_Reference[Duplicate Key],Paper_Reference[[#This Row],[Duplicate Key]])</f>
        <v>1</v>
      </c>
    </row>
    <row r="3993" spans="1:10">
      <c r="A3993" s="7">
        <v>2</v>
      </c>
      <c r="B3993" s="8" t="s">
        <v>4220</v>
      </c>
      <c r="C3993" s="8" t="s">
        <v>4139</v>
      </c>
      <c r="D3993" s="7">
        <v>1</v>
      </c>
      <c r="E3993" s="7">
        <v>10</v>
      </c>
      <c r="F3993" s="7">
        <v>1</v>
      </c>
      <c r="G3993" s="8" t="s">
        <v>4129</v>
      </c>
      <c r="H3993" s="8" t="s">
        <v>4130</v>
      </c>
      <c r="I3993" s="7" t="str">
        <f>_xlfn.CONCAT(Paper_Reference[[#This Row],[Lvl]:[Paper Description]])</f>
        <v>2NF28WC5581MGCMT0BLOSSOM CHERRY 61  X 1211101110WC013-6200BLOSSOM CHERRY</v>
      </c>
      <c r="J3993" s="7">
        <f>COUNTIF(Paper_Reference[Duplicate Key],Paper_Reference[[#This Row],[Duplicate Key]])</f>
        <v>1</v>
      </c>
    </row>
    <row r="3994" spans="1:10">
      <c r="A3994" s="7">
        <v>2</v>
      </c>
      <c r="B3994" s="8" t="s">
        <v>4221</v>
      </c>
      <c r="C3994" s="8" t="s">
        <v>4140</v>
      </c>
      <c r="D3994" s="7">
        <v>1</v>
      </c>
      <c r="E3994" s="7">
        <v>10</v>
      </c>
      <c r="F3994" s="7">
        <v>1</v>
      </c>
      <c r="G3994" s="8" t="s">
        <v>4129</v>
      </c>
      <c r="H3994" s="8" t="s">
        <v>4130</v>
      </c>
      <c r="I3994" s="7" t="str">
        <f>_xlfn.CONCAT(Paper_Reference[[#This Row],[Lvl]:[Paper Description]])</f>
        <v>2NF28WC5581MGFDT0BLOSSOM CHERRY  49 X 1211101110WC013-6200BLOSSOM CHERRY</v>
      </c>
      <c r="J3994" s="7">
        <f>COUNTIF(Paper_Reference[Duplicate Key],Paper_Reference[[#This Row],[Duplicate Key]])</f>
        <v>1</v>
      </c>
    </row>
    <row r="3995" spans="1:10">
      <c r="A3995" s="7">
        <v>2</v>
      </c>
      <c r="B3995" s="8" t="s">
        <v>4222</v>
      </c>
      <c r="C3995" s="8" t="s">
        <v>4141</v>
      </c>
      <c r="D3995" s="7">
        <v>1</v>
      </c>
      <c r="E3995" s="7">
        <v>10</v>
      </c>
      <c r="F3995" s="7">
        <v>1</v>
      </c>
      <c r="G3995" s="8" t="s">
        <v>4129</v>
      </c>
      <c r="H3995" s="8" t="s">
        <v>4130</v>
      </c>
      <c r="I3995" s="7" t="str">
        <f>_xlfn.CONCAT(Paper_Reference[[#This Row],[Lvl]:[Paper Description]])</f>
        <v>2NF28WC5581MGFDU0BLOSSOM CHERRY 49 X 731101110WC013-6200BLOSSOM CHERRY</v>
      </c>
      <c r="J3995" s="7">
        <f>COUNTIF(Paper_Reference[Duplicate Key],Paper_Reference[[#This Row],[Duplicate Key]])</f>
        <v>1</v>
      </c>
    </row>
    <row r="3996" spans="1:10">
      <c r="A3996" s="7">
        <v>2</v>
      </c>
      <c r="B3996" s="8" t="s">
        <v>4223</v>
      </c>
      <c r="C3996" s="8" t="s">
        <v>4142</v>
      </c>
      <c r="D3996" s="7">
        <v>1</v>
      </c>
      <c r="E3996" s="7">
        <v>10</v>
      </c>
      <c r="F3996" s="7">
        <v>1</v>
      </c>
      <c r="G3996" s="8" t="s">
        <v>4129</v>
      </c>
      <c r="H3996" s="8" t="s">
        <v>4130</v>
      </c>
      <c r="I3996" s="7" t="str">
        <f>_xlfn.CONCAT(Paper_Reference[[#This Row],[Lvl]:[Paper Description]])</f>
        <v>2NF28WC5581MGFMR0BLOSSOM CHERRY 61 X 731101110WC013-6200BLOSSOM CHERRY</v>
      </c>
      <c r="J3996" s="7">
        <f>COUNTIF(Paper_Reference[Duplicate Key],Paper_Reference[[#This Row],[Duplicate Key]])</f>
        <v>1</v>
      </c>
    </row>
    <row r="3997" spans="1:10">
      <c r="A3997" s="7">
        <v>2</v>
      </c>
      <c r="B3997" s="8" t="s">
        <v>4224</v>
      </c>
      <c r="C3997" s="8" t="s">
        <v>4143</v>
      </c>
      <c r="D3997" s="7">
        <v>1</v>
      </c>
      <c r="E3997" s="7">
        <v>10</v>
      </c>
      <c r="F3997" s="7">
        <v>1</v>
      </c>
      <c r="G3997" s="8" t="s">
        <v>4129</v>
      </c>
      <c r="H3997" s="8" t="s">
        <v>4130</v>
      </c>
      <c r="I3997" s="7" t="str">
        <f>_xlfn.CONCAT(Paper_Reference[[#This Row],[Lvl]:[Paper Description]])</f>
        <v>2NF28WC5581N-3000BLOSSOM CHERRY  36 x 1201101110WC013-6200BLOSSOM CHERRY</v>
      </c>
      <c r="J3997" s="7">
        <f>COUNTIF(Paper_Reference[Duplicate Key],Paper_Reference[[#This Row],[Duplicate Key]])</f>
        <v>1</v>
      </c>
    </row>
    <row r="3998" spans="1:10">
      <c r="A3998" s="7">
        <v>2</v>
      </c>
      <c r="B3998" s="8" t="s">
        <v>4225</v>
      </c>
      <c r="C3998" s="8" t="s">
        <v>4144</v>
      </c>
      <c r="D3998" s="7">
        <v>1</v>
      </c>
      <c r="E3998" s="7">
        <v>10</v>
      </c>
      <c r="F3998" s="7">
        <v>1</v>
      </c>
      <c r="G3998" s="8" t="s">
        <v>4129</v>
      </c>
      <c r="H3998" s="8" t="s">
        <v>4130</v>
      </c>
      <c r="I3998" s="7" t="str">
        <f>_xlfn.CONCAT(Paper_Reference[[#This Row],[Lvl]:[Paper Description]])</f>
        <v>2NF28WC5581N-3200Blossom Cherry  36 x 1441101110WC013-6200BLOSSOM CHERRY</v>
      </c>
      <c r="J3998" s="7">
        <f>COUNTIF(Paper_Reference[Duplicate Key],Paper_Reference[[#This Row],[Duplicate Key]])</f>
        <v>1</v>
      </c>
    </row>
    <row r="3999" spans="1:10">
      <c r="A3999" s="7">
        <v>2</v>
      </c>
      <c r="B3999" s="8" t="s">
        <v>4226</v>
      </c>
      <c r="C3999" s="8" t="s">
        <v>4145</v>
      </c>
      <c r="D3999" s="7">
        <v>1</v>
      </c>
      <c r="E3999" s="7">
        <v>10</v>
      </c>
      <c r="F3999" s="7">
        <v>1</v>
      </c>
      <c r="G3999" s="8" t="s">
        <v>4129</v>
      </c>
      <c r="H3999" s="8" t="s">
        <v>4130</v>
      </c>
      <c r="I3999" s="7" t="str">
        <f>_xlfn.CONCAT(Paper_Reference[[#This Row],[Lvl]:[Paper Description]])</f>
        <v>2NF28WC5581N-4000Blossom Cherry  48 x 1201101110WC013-6200BLOSSOM CHERRY</v>
      </c>
      <c r="J3999" s="7">
        <f>COUNTIF(Paper_Reference[Duplicate Key],Paper_Reference[[#This Row],[Duplicate Key]])</f>
        <v>1</v>
      </c>
    </row>
    <row r="4000" spans="1:10">
      <c r="A4000" s="7">
        <v>2</v>
      </c>
      <c r="B4000" s="8" t="s">
        <v>4227</v>
      </c>
      <c r="C4000" s="8" t="s">
        <v>4145</v>
      </c>
      <c r="D4000" s="7">
        <v>1</v>
      </c>
      <c r="E4000" s="7">
        <v>10</v>
      </c>
      <c r="F4000" s="7">
        <v>1</v>
      </c>
      <c r="G4000" s="8" t="s">
        <v>4129</v>
      </c>
      <c r="H4000" s="8" t="s">
        <v>4130</v>
      </c>
      <c r="I4000" s="7" t="str">
        <f>_xlfn.CONCAT(Paper_Reference[[#This Row],[Lvl]:[Paper Description]])</f>
        <v>2NF28WC5581N-4001Blossom Cherry  48 x 1201101110WC013-6200BLOSSOM CHERRY</v>
      </c>
      <c r="J4000" s="7">
        <f>COUNTIF(Paper_Reference[Duplicate Key],Paper_Reference[[#This Row],[Duplicate Key]])</f>
        <v>1</v>
      </c>
    </row>
    <row r="4001" spans="1:10">
      <c r="A4001" s="7">
        <v>2</v>
      </c>
      <c r="B4001" s="8" t="s">
        <v>4228</v>
      </c>
      <c r="C4001" s="8" t="s">
        <v>4146</v>
      </c>
      <c r="D4001" s="7">
        <v>1</v>
      </c>
      <c r="E4001" s="7">
        <v>10</v>
      </c>
      <c r="F4001" s="7">
        <v>1</v>
      </c>
      <c r="G4001" s="8" t="s">
        <v>4129</v>
      </c>
      <c r="H4001" s="8" t="s">
        <v>4130</v>
      </c>
      <c r="I4001" s="7" t="str">
        <f>_xlfn.CONCAT(Paper_Reference[[#This Row],[Lvl]:[Paper Description]])</f>
        <v>2NF28WC5581N-5000Blossom Cherry  60 x 1201101110WC013-6200BLOSSOM CHERRY</v>
      </c>
      <c r="J4001" s="7">
        <f>COUNTIF(Paper_Reference[Duplicate Key],Paper_Reference[[#This Row],[Duplicate Key]])</f>
        <v>1</v>
      </c>
    </row>
    <row r="4002" spans="1:10">
      <c r="A4002" s="7">
        <v>2</v>
      </c>
      <c r="B4002" s="8" t="s">
        <v>4229</v>
      </c>
      <c r="C4002" s="8" t="s">
        <v>4131</v>
      </c>
      <c r="D4002" s="7">
        <v>1</v>
      </c>
      <c r="E4002" s="7">
        <v>10</v>
      </c>
      <c r="F4002" s="7">
        <v>1</v>
      </c>
      <c r="G4002" s="8" t="s">
        <v>4129</v>
      </c>
      <c r="H4002" s="8" t="s">
        <v>4130</v>
      </c>
      <c r="I4002" s="7" t="str">
        <f>_xlfn.CONCAT(Paper_Reference[[#This Row],[Lvl]:[Paper Description]])</f>
        <v>2NF28WC5581N-5200Blossom Cherry  60 x 1441101110WC013-6200BLOSSOM CHERRY</v>
      </c>
      <c r="J4002" s="7">
        <f>COUNTIF(Paper_Reference[Duplicate Key],Paper_Reference[[#This Row],[Duplicate Key]])</f>
        <v>1</v>
      </c>
    </row>
    <row r="4003" spans="1:10">
      <c r="A4003" s="7">
        <v>2</v>
      </c>
      <c r="B4003" s="8" t="s">
        <v>4230</v>
      </c>
      <c r="C4003" s="8" t="s">
        <v>4131</v>
      </c>
      <c r="D4003" s="7">
        <v>1</v>
      </c>
      <c r="E4003" s="7">
        <v>10</v>
      </c>
      <c r="F4003" s="7">
        <v>1</v>
      </c>
      <c r="G4003" s="8" t="s">
        <v>4129</v>
      </c>
      <c r="H4003" s="8" t="s">
        <v>4130</v>
      </c>
      <c r="I4003" s="7" t="str">
        <f>_xlfn.CONCAT(Paper_Reference[[#This Row],[Lvl]:[Paper Description]])</f>
        <v>2NF28WC5581N-5201Blossom Cherry  60 x 1441101110WC013-6200BLOSSOM CHERRY</v>
      </c>
      <c r="J4003" s="7">
        <f>COUNTIF(Paper_Reference[Duplicate Key],Paper_Reference[[#This Row],[Duplicate Key]])</f>
        <v>1</v>
      </c>
    </row>
    <row r="4004" spans="1:10">
      <c r="A4004" s="7">
        <v>2</v>
      </c>
      <c r="B4004" s="8" t="s">
        <v>4231</v>
      </c>
      <c r="C4004" s="8" t="s">
        <v>4147</v>
      </c>
      <c r="D4004" s="7">
        <v>1</v>
      </c>
      <c r="E4004" s="7">
        <v>10</v>
      </c>
      <c r="F4004" s="7">
        <v>1</v>
      </c>
      <c r="G4004" s="8" t="s">
        <v>4129</v>
      </c>
      <c r="H4004" s="8" t="s">
        <v>4130</v>
      </c>
      <c r="I4004" s="7" t="str">
        <f>_xlfn.CONCAT(Paper_Reference[[#This Row],[Lvl]:[Paper Description]])</f>
        <v>2NF28WC5581N-5800Blossom Cherry  60 x 961101110WC013-6200BLOSSOM CHERRY</v>
      </c>
      <c r="J4004" s="7">
        <f>COUNTIF(Paper_Reference[Duplicate Key],Paper_Reference[[#This Row],[Duplicate Key]])</f>
        <v>1</v>
      </c>
    </row>
    <row r="4005" spans="1:10">
      <c r="A4005" s="7">
        <v>2</v>
      </c>
      <c r="B4005" s="8" t="s">
        <v>4232</v>
      </c>
      <c r="C4005" s="8" t="s">
        <v>4138</v>
      </c>
      <c r="D4005" s="7">
        <v>1</v>
      </c>
      <c r="E4005" s="7">
        <v>10</v>
      </c>
      <c r="F4005" s="7">
        <v>1</v>
      </c>
      <c r="G4005" s="8" t="s">
        <v>4129</v>
      </c>
      <c r="H4005" s="8" t="s">
        <v>4130</v>
      </c>
      <c r="I4005" s="7" t="str">
        <f>_xlfn.CONCAT(Paper_Reference[[#This Row],[Lvl]:[Paper Description]])</f>
        <v>2NF28WC5581N-5801BLOSSOM CHERRY PC 60X961101110WC013-6200BLOSSOM CHERRY</v>
      </c>
      <c r="J4005" s="7">
        <f>COUNTIF(Paper_Reference[Duplicate Key],Paper_Reference[[#This Row],[Duplicate Key]])</f>
        <v>1</v>
      </c>
    </row>
    <row r="4006" spans="1:10">
      <c r="A4006" s="7">
        <v>2</v>
      </c>
      <c r="B4006" s="8" t="s">
        <v>4233</v>
      </c>
      <c r="C4006" s="8" t="s">
        <v>4148</v>
      </c>
      <c r="D4006" s="7">
        <v>1</v>
      </c>
      <c r="E4006" s="7">
        <v>10</v>
      </c>
      <c r="F4006" s="7">
        <v>1</v>
      </c>
      <c r="G4006" s="8" t="s">
        <v>4129</v>
      </c>
      <c r="H4006" s="8" t="s">
        <v>4130</v>
      </c>
      <c r="I4006" s="7" t="str">
        <f>_xlfn.CONCAT(Paper_Reference[[#This Row],[Lvl]:[Paper Description]])</f>
        <v>2NF28WC5581N-CMT0BLOSSOM CHERRY 61  x 1211101110WC013-6200BLOSSOM CHERRY</v>
      </c>
      <c r="J4006" s="7">
        <f>COUNTIF(Paper_Reference[Duplicate Key],Paper_Reference[[#This Row],[Duplicate Key]])</f>
        <v>1</v>
      </c>
    </row>
    <row r="4007" spans="1:10">
      <c r="A4007" s="7">
        <v>2</v>
      </c>
      <c r="B4007" s="8" t="s">
        <v>4234</v>
      </c>
      <c r="C4007" s="8" t="s">
        <v>4140</v>
      </c>
      <c r="D4007" s="7">
        <v>1</v>
      </c>
      <c r="E4007" s="7">
        <v>10</v>
      </c>
      <c r="F4007" s="7">
        <v>1</v>
      </c>
      <c r="G4007" s="8" t="s">
        <v>4129</v>
      </c>
      <c r="H4007" s="8" t="s">
        <v>4130</v>
      </c>
      <c r="I4007" s="7" t="str">
        <f>_xlfn.CONCAT(Paper_Reference[[#This Row],[Lvl]:[Paper Description]])</f>
        <v>2NF28WC5581N-FDT0BLOSSOM CHERRY  49 X 1211101110WC013-6200BLOSSOM CHERRY</v>
      </c>
      <c r="J4007" s="7">
        <f>COUNTIF(Paper_Reference[Duplicate Key],Paper_Reference[[#This Row],[Duplicate Key]])</f>
        <v>1</v>
      </c>
    </row>
    <row r="4008" spans="1:10">
      <c r="A4008" s="7">
        <v>2</v>
      </c>
      <c r="B4008" s="8" t="s">
        <v>4235</v>
      </c>
      <c r="C4008" s="8" t="s">
        <v>4141</v>
      </c>
      <c r="D4008" s="7">
        <v>1</v>
      </c>
      <c r="E4008" s="7">
        <v>10</v>
      </c>
      <c r="F4008" s="7">
        <v>1</v>
      </c>
      <c r="G4008" s="8" t="s">
        <v>4129</v>
      </c>
      <c r="H4008" s="8" t="s">
        <v>4130</v>
      </c>
      <c r="I4008" s="7" t="str">
        <f>_xlfn.CONCAT(Paper_Reference[[#This Row],[Lvl]:[Paper Description]])</f>
        <v>2NF28WC5581N-FDU0BLOSSOM CHERRY 49 X 731101110WC013-6200BLOSSOM CHERRY</v>
      </c>
      <c r="J4008" s="7">
        <f>COUNTIF(Paper_Reference[Duplicate Key],Paper_Reference[[#This Row],[Duplicate Key]])</f>
        <v>1</v>
      </c>
    </row>
    <row r="4009" spans="1:10">
      <c r="A4009" s="7">
        <v>2</v>
      </c>
      <c r="B4009" s="8" t="s">
        <v>4236</v>
      </c>
      <c r="C4009" s="8" t="s">
        <v>4142</v>
      </c>
      <c r="D4009" s="7">
        <v>1</v>
      </c>
      <c r="E4009" s="7">
        <v>10</v>
      </c>
      <c r="F4009" s="7">
        <v>1</v>
      </c>
      <c r="G4009" s="8" t="s">
        <v>4129</v>
      </c>
      <c r="H4009" s="8" t="s">
        <v>4130</v>
      </c>
      <c r="I4009" s="7" t="str">
        <f>_xlfn.CONCAT(Paper_Reference[[#This Row],[Lvl]:[Paper Description]])</f>
        <v>2NF28WC5581N-FMR0BLOSSOM CHERRY 61 X 731101110WC013-6200BLOSSOM CHERRY</v>
      </c>
      <c r="J4009" s="7">
        <f>COUNTIF(Paper_Reference[Duplicate Key],Paper_Reference[[#This Row],[Duplicate Key]])</f>
        <v>1</v>
      </c>
    </row>
    <row r="4010" spans="1:10">
      <c r="A4010" s="7">
        <v>2</v>
      </c>
      <c r="B4010" s="8" t="s">
        <v>4237</v>
      </c>
      <c r="C4010" s="8" t="s">
        <v>4149</v>
      </c>
      <c r="D4010" s="7">
        <v>1</v>
      </c>
      <c r="E4010" s="7">
        <v>10</v>
      </c>
      <c r="F4010" s="7">
        <v>1</v>
      </c>
      <c r="G4010" s="8" t="s">
        <v>4129</v>
      </c>
      <c r="H4010" s="8" t="s">
        <v>4130</v>
      </c>
      <c r="I4010" s="7" t="str">
        <f>_xlfn.CONCAT(Paper_Reference[[#This Row],[Lvl]:[Paper Description]])</f>
        <v>2NF28WC5581PV5000BLOSSOM CHERRY 60 X 1201101110WC013-6200BLOSSOM CHERRY</v>
      </c>
      <c r="J4010" s="7">
        <f>COUNTIF(Paper_Reference[Duplicate Key],Paper_Reference[[#This Row],[Duplicate Key]])</f>
        <v>1</v>
      </c>
    </row>
    <row r="4011" spans="1:10">
      <c r="A4011" s="7">
        <v>2</v>
      </c>
      <c r="B4011" s="8" t="s">
        <v>4238</v>
      </c>
      <c r="C4011" s="8" t="s">
        <v>4150</v>
      </c>
      <c r="D4011" s="7">
        <v>1</v>
      </c>
      <c r="E4011" s="7">
        <v>10</v>
      </c>
      <c r="F4011" s="7">
        <v>1</v>
      </c>
      <c r="G4011" s="8" t="s">
        <v>4129</v>
      </c>
      <c r="H4011" s="8" t="s">
        <v>4130</v>
      </c>
      <c r="I4011" s="7" t="str">
        <f>_xlfn.CONCAT(Paper_Reference[[#This Row],[Lvl]:[Paper Description]])</f>
        <v>2NF28WC5581PV5200BLOSSOM CHERRY 60X1441101110WC013-6200BLOSSOM CHERRY</v>
      </c>
      <c r="J4011" s="7">
        <f>COUNTIF(Paper_Reference[Duplicate Key],Paper_Reference[[#This Row],[Duplicate Key]])</f>
        <v>1</v>
      </c>
    </row>
    <row r="4012" spans="1:10">
      <c r="A4012" s="7">
        <v>2</v>
      </c>
      <c r="B4012" s="8" t="s">
        <v>4239</v>
      </c>
      <c r="C4012" s="8" t="s">
        <v>4136</v>
      </c>
      <c r="D4012" s="7">
        <v>1</v>
      </c>
      <c r="E4012" s="7">
        <v>10</v>
      </c>
      <c r="F4012" s="7">
        <v>1</v>
      </c>
      <c r="G4012" s="8" t="s">
        <v>4129</v>
      </c>
      <c r="H4012" s="8" t="s">
        <v>4130</v>
      </c>
      <c r="I4012" s="7" t="str">
        <f>_xlfn.CONCAT(Paper_Reference[[#This Row],[Lvl]:[Paper Description]])</f>
        <v>2NF28WC5581SD5200BLOSSOM CHERRY  60 X 1441101110WC013-6200BLOSSOM CHERRY</v>
      </c>
      <c r="J4012" s="7">
        <f>COUNTIF(Paper_Reference[Duplicate Key],Paper_Reference[[#This Row],[Duplicate Key]])</f>
        <v>1</v>
      </c>
    </row>
    <row r="4013" spans="1:10">
      <c r="A4013" s="7">
        <v>2</v>
      </c>
      <c r="B4013" s="8" t="s">
        <v>4240</v>
      </c>
      <c r="C4013" s="8" t="s">
        <v>4131</v>
      </c>
      <c r="D4013" s="7">
        <v>1</v>
      </c>
      <c r="E4013" s="7">
        <v>10</v>
      </c>
      <c r="F4013" s="7">
        <v>1</v>
      </c>
      <c r="G4013" s="8" t="s">
        <v>4129</v>
      </c>
      <c r="H4013" s="8" t="s">
        <v>4130</v>
      </c>
      <c r="I4013" s="7" t="str">
        <f>_xlfn.CONCAT(Paper_Reference[[#This Row],[Lvl]:[Paper Description]])</f>
        <v>2NF28WC5581T-5200Blossom Cherry  60 x 1441101110WC013-6200BLOSSOM CHERRY</v>
      </c>
      <c r="J4013" s="7">
        <f>COUNTIF(Paper_Reference[Duplicate Key],Paper_Reference[[#This Row],[Duplicate Key]])</f>
        <v>1</v>
      </c>
    </row>
    <row r="4014" spans="1:10">
      <c r="A4014" s="7">
        <v>2</v>
      </c>
      <c r="B4014" s="8" t="s">
        <v>4241</v>
      </c>
      <c r="C4014" s="8" t="s">
        <v>4147</v>
      </c>
      <c r="D4014" s="7">
        <v>1</v>
      </c>
      <c r="E4014" s="7">
        <v>10</v>
      </c>
      <c r="F4014" s="7">
        <v>1</v>
      </c>
      <c r="G4014" s="8" t="s">
        <v>4129</v>
      </c>
      <c r="H4014" s="8" t="s">
        <v>4130</v>
      </c>
      <c r="I4014" s="7" t="str">
        <f>_xlfn.CONCAT(Paper_Reference[[#This Row],[Lvl]:[Paper Description]])</f>
        <v>2NF28WC5581T-5800Blossom Cherry  60 x 961101110WC013-6200BLOSSOM CHERRY</v>
      </c>
      <c r="J4014" s="7">
        <f>COUNTIF(Paper_Reference[Duplicate Key],Paper_Reference[[#This Row],[Duplicate Key]])</f>
        <v>1</v>
      </c>
    </row>
    <row r="4015" spans="1:10">
      <c r="A4015" s="7">
        <v>2</v>
      </c>
      <c r="B4015" s="8" t="s">
        <v>4031</v>
      </c>
      <c r="C4015" s="8" t="s">
        <v>3797</v>
      </c>
      <c r="D4015" s="7">
        <v>1</v>
      </c>
      <c r="E4015" s="7">
        <v>10</v>
      </c>
      <c r="F4015" s="7">
        <v>1</v>
      </c>
      <c r="G4015" s="8" t="s">
        <v>3826</v>
      </c>
      <c r="H4015" s="8" t="s">
        <v>3827</v>
      </c>
      <c r="I4015" s="7" t="str">
        <f>_xlfn.CONCAT(Paper_Reference[[#This Row],[Lvl]:[Paper Description]])</f>
        <v>2NF31S-7036FL5000PRECISION WHITE 60 X 1201101110SW736-6200PRECISION WHITE 62"</v>
      </c>
      <c r="J4015" s="7">
        <f>COUNTIF(Paper_Reference[Duplicate Key],Paper_Reference[[#This Row],[Duplicate Key]])</f>
        <v>1</v>
      </c>
    </row>
    <row r="4016" spans="1:10">
      <c r="A4016" s="7">
        <v>2</v>
      </c>
      <c r="B4016" s="8" t="s">
        <v>3592</v>
      </c>
      <c r="C4016" s="8" t="s">
        <v>3266</v>
      </c>
      <c r="D4016" s="7">
        <v>1</v>
      </c>
      <c r="E4016" s="7">
        <v>10</v>
      </c>
      <c r="F4016" s="7">
        <v>1</v>
      </c>
      <c r="G4016" s="8" t="s">
        <v>3230</v>
      </c>
      <c r="H4016" s="8" t="s">
        <v>3231</v>
      </c>
      <c r="I4016" s="7" t="str">
        <f>_xlfn.CONCAT(Paper_Reference[[#This Row],[Lvl]:[Paper Description]])</f>
        <v>2NF39S-7036G-3001Precision White  36 x 1201101110SW736-5000PRECISION WHITE 43 X 145</v>
      </c>
      <c r="J4016" s="7">
        <f>COUNTIF(Paper_Reference[Duplicate Key],Paper_Reference[[#This Row],[Duplicate Key]])</f>
        <v>1</v>
      </c>
    </row>
    <row r="4017" spans="1:10">
      <c r="A4017" s="7">
        <v>2</v>
      </c>
      <c r="B4017" s="8" t="s">
        <v>4032</v>
      </c>
      <c r="C4017" s="8" t="s">
        <v>3273</v>
      </c>
      <c r="D4017" s="7">
        <v>1</v>
      </c>
      <c r="E4017" s="7">
        <v>10</v>
      </c>
      <c r="F4017" s="7">
        <v>1</v>
      </c>
      <c r="G4017" s="8" t="s">
        <v>3826</v>
      </c>
      <c r="H4017" s="8" t="s">
        <v>3827</v>
      </c>
      <c r="I4017" s="7" t="str">
        <f>_xlfn.CONCAT(Paper_Reference[[#This Row],[Lvl]:[Paper Description]])</f>
        <v>2NF39S-7036G-3201Precision White  36 x 1441101110SW736-6200PRECISION WHITE 62"</v>
      </c>
      <c r="J4017" s="7">
        <f>COUNTIF(Paper_Reference[Duplicate Key],Paper_Reference[[#This Row],[Duplicate Key]])</f>
        <v>1</v>
      </c>
    </row>
    <row r="4018" spans="1:10">
      <c r="A4018" s="7">
        <v>2</v>
      </c>
      <c r="B4018" s="8" t="s">
        <v>3593</v>
      </c>
      <c r="C4018" s="8" t="s">
        <v>3269</v>
      </c>
      <c r="D4018" s="7">
        <v>1</v>
      </c>
      <c r="E4018" s="7">
        <v>10</v>
      </c>
      <c r="F4018" s="7">
        <v>1</v>
      </c>
      <c r="G4018" s="8" t="s">
        <v>3230</v>
      </c>
      <c r="H4018" s="8" t="s">
        <v>3231</v>
      </c>
      <c r="I4018" s="7" t="str">
        <f>_xlfn.CONCAT(Paper_Reference[[#This Row],[Lvl]:[Paper Description]])</f>
        <v>2NF39S-7036G-3801PERCISION WHITE 36 X 961101110SW736-5000PRECISION WHITE 43 X 145</v>
      </c>
      <c r="J4018" s="7">
        <f>COUNTIF(Paper_Reference[Duplicate Key],Paper_Reference[[#This Row],[Duplicate Key]])</f>
        <v>1</v>
      </c>
    </row>
    <row r="4019" spans="1:10">
      <c r="A4019" s="7">
        <v>2</v>
      </c>
      <c r="B4019" s="8" t="s">
        <v>3594</v>
      </c>
      <c r="C4019" s="8" t="s">
        <v>3270</v>
      </c>
      <c r="D4019" s="7">
        <v>1</v>
      </c>
      <c r="E4019" s="7">
        <v>10</v>
      </c>
      <c r="F4019" s="7">
        <v>1</v>
      </c>
      <c r="G4019" s="8" t="s">
        <v>3230</v>
      </c>
      <c r="H4019" s="8" t="s">
        <v>3231</v>
      </c>
      <c r="I4019" s="7" t="str">
        <f>_xlfn.CONCAT(Paper_Reference[[#This Row],[Lvl]:[Paper Description]])</f>
        <v>2NF39S-7036G-4001PRECISION WHITE 48X1201101110SW736-5000PRECISION WHITE 43 X 145</v>
      </c>
      <c r="J4019" s="7">
        <f>COUNTIF(Paper_Reference[Duplicate Key],Paper_Reference[[#This Row],[Duplicate Key]])</f>
        <v>1</v>
      </c>
    </row>
    <row r="4020" spans="1:10">
      <c r="A4020" s="7">
        <v>2</v>
      </c>
      <c r="B4020" s="8" t="s">
        <v>3595</v>
      </c>
      <c r="C4020" s="8" t="s">
        <v>3270</v>
      </c>
      <c r="D4020" s="7">
        <v>1</v>
      </c>
      <c r="E4020" s="7">
        <v>10</v>
      </c>
      <c r="F4020" s="7">
        <v>1</v>
      </c>
      <c r="G4020" s="8" t="s">
        <v>3230</v>
      </c>
      <c r="H4020" s="8" t="s">
        <v>3231</v>
      </c>
      <c r="I4020" s="7" t="str">
        <f>_xlfn.CONCAT(Paper_Reference[[#This Row],[Lvl]:[Paper Description]])</f>
        <v>2NF39S-7036G-4004PRECISION WHITE 48X1201101110SW736-5000PRECISION WHITE 43 X 145</v>
      </c>
      <c r="J4020" s="7">
        <f>COUNTIF(Paper_Reference[Duplicate Key],Paper_Reference[[#This Row],[Duplicate Key]])</f>
        <v>1</v>
      </c>
    </row>
    <row r="4021" spans="1:10">
      <c r="A4021" s="7">
        <v>2</v>
      </c>
      <c r="B4021" s="8" t="s">
        <v>3596</v>
      </c>
      <c r="C4021" s="8" t="s">
        <v>3264</v>
      </c>
      <c r="D4021" s="7">
        <v>1</v>
      </c>
      <c r="E4021" s="7">
        <v>10</v>
      </c>
      <c r="F4021" s="7">
        <v>1</v>
      </c>
      <c r="G4021" s="8" t="s">
        <v>3230</v>
      </c>
      <c r="H4021" s="8" t="s">
        <v>3231</v>
      </c>
      <c r="I4021" s="7" t="str">
        <f>_xlfn.CONCAT(Paper_Reference[[#This Row],[Lvl]:[Paper Description]])</f>
        <v>2NF39S-7036G-4201Precision White  48 x 1441101110SW736-5000PRECISION WHITE 43 X 145</v>
      </c>
      <c r="J4021" s="7">
        <f>COUNTIF(Paper_Reference[Duplicate Key],Paper_Reference[[#This Row],[Duplicate Key]])</f>
        <v>1</v>
      </c>
    </row>
    <row r="4022" spans="1:10">
      <c r="A4022" s="7">
        <v>2</v>
      </c>
      <c r="B4022" s="8" t="s">
        <v>3597</v>
      </c>
      <c r="C4022" s="8" t="s">
        <v>3255</v>
      </c>
      <c r="D4022" s="7">
        <v>1</v>
      </c>
      <c r="E4022" s="7">
        <v>10</v>
      </c>
      <c r="F4022" s="7">
        <v>1</v>
      </c>
      <c r="G4022" s="8" t="s">
        <v>3230</v>
      </c>
      <c r="H4022" s="8" t="s">
        <v>3231</v>
      </c>
      <c r="I4022" s="7" t="str">
        <f>_xlfn.CONCAT(Paper_Reference[[#This Row],[Lvl]:[Paper Description]])</f>
        <v>2NF39S-7036G-4801Precision White  48 x 961101110SW736-5000PRECISION WHITE 43 X 145</v>
      </c>
      <c r="J4022" s="7">
        <f>COUNTIF(Paper_Reference[Duplicate Key],Paper_Reference[[#This Row],[Duplicate Key]])</f>
        <v>1</v>
      </c>
    </row>
    <row r="4023" spans="1:10">
      <c r="A4023" s="7">
        <v>2</v>
      </c>
      <c r="B4023" s="8" t="s">
        <v>3598</v>
      </c>
      <c r="C4023" s="8" t="s">
        <v>3255</v>
      </c>
      <c r="D4023" s="7">
        <v>1</v>
      </c>
      <c r="E4023" s="7">
        <v>10</v>
      </c>
      <c r="F4023" s="7">
        <v>1</v>
      </c>
      <c r="G4023" s="8" t="s">
        <v>3230</v>
      </c>
      <c r="H4023" s="8" t="s">
        <v>3231</v>
      </c>
      <c r="I4023" s="7" t="str">
        <f>_xlfn.CONCAT(Paper_Reference[[#This Row],[Lvl]:[Paper Description]])</f>
        <v>2NF39S-7036G-4804Precision White  48 x 961101110SW736-5000PRECISION WHITE 43 X 145</v>
      </c>
      <c r="J4023" s="7">
        <f>COUNTIF(Paper_Reference[Duplicate Key],Paper_Reference[[#This Row],[Duplicate Key]])</f>
        <v>1</v>
      </c>
    </row>
    <row r="4024" spans="1:10">
      <c r="A4024" s="7">
        <v>2</v>
      </c>
      <c r="B4024" s="8" t="s">
        <v>4033</v>
      </c>
      <c r="C4024" s="8" t="s">
        <v>3794</v>
      </c>
      <c r="D4024" s="7">
        <v>1</v>
      </c>
      <c r="E4024" s="7">
        <v>10</v>
      </c>
      <c r="F4024" s="7">
        <v>1</v>
      </c>
      <c r="G4024" s="8" t="s">
        <v>3826</v>
      </c>
      <c r="H4024" s="8" t="s">
        <v>3827</v>
      </c>
      <c r="I4024" s="7" t="str">
        <f>_xlfn.CONCAT(Paper_Reference[[#This Row],[Lvl]:[Paper Description]])</f>
        <v>2NF39S-7036G-5001Precision White  60 x 1201101110SW736-6200PRECISION WHITE 62"</v>
      </c>
      <c r="J4024" s="7">
        <f>COUNTIF(Paper_Reference[Duplicate Key],Paper_Reference[[#This Row],[Duplicate Key]])</f>
        <v>1</v>
      </c>
    </row>
    <row r="4025" spans="1:10">
      <c r="A4025" s="7">
        <v>2</v>
      </c>
      <c r="B4025" s="8" t="s">
        <v>4034</v>
      </c>
      <c r="C4025" s="8" t="s">
        <v>3786</v>
      </c>
      <c r="D4025" s="7">
        <v>1</v>
      </c>
      <c r="E4025" s="7">
        <v>10</v>
      </c>
      <c r="F4025" s="7">
        <v>1</v>
      </c>
      <c r="G4025" s="8" t="s">
        <v>3826</v>
      </c>
      <c r="H4025" s="8" t="s">
        <v>3827</v>
      </c>
      <c r="I4025" s="7" t="str">
        <f>_xlfn.CONCAT(Paper_Reference[[#This Row],[Lvl]:[Paper Description]])</f>
        <v>2NF39S-7036G-5201Precision White  60 x 1441101110SW736-6200PRECISION WHITE 62"</v>
      </c>
      <c r="J4025" s="7">
        <f>COUNTIF(Paper_Reference[Duplicate Key],Paper_Reference[[#This Row],[Duplicate Key]])</f>
        <v>1</v>
      </c>
    </row>
    <row r="4026" spans="1:10">
      <c r="A4026" s="7">
        <v>2</v>
      </c>
      <c r="B4026" s="8" t="s">
        <v>4035</v>
      </c>
      <c r="C4026" s="8" t="s">
        <v>3798</v>
      </c>
      <c r="D4026" s="7">
        <v>1</v>
      </c>
      <c r="E4026" s="7">
        <v>10</v>
      </c>
      <c r="F4026" s="7">
        <v>1</v>
      </c>
      <c r="G4026" s="8" t="s">
        <v>3826</v>
      </c>
      <c r="H4026" s="8" t="s">
        <v>3827</v>
      </c>
      <c r="I4026" s="7" t="str">
        <f>_xlfn.CONCAT(Paper_Reference[[#This Row],[Lvl]:[Paper Description]])</f>
        <v>2NF39S-7036G-5801Precision White 60x961101110SW736-6200PRECISION WHITE 62"</v>
      </c>
      <c r="J4026" s="7">
        <f>COUNTIF(Paper_Reference[Duplicate Key],Paper_Reference[[#This Row],[Duplicate Key]])</f>
        <v>1</v>
      </c>
    </row>
    <row r="4027" spans="1:10">
      <c r="A4027" s="7">
        <v>2</v>
      </c>
      <c r="B4027" s="8" t="s">
        <v>4036</v>
      </c>
      <c r="C4027" s="8" t="s">
        <v>3301</v>
      </c>
      <c r="D4027" s="7">
        <v>1</v>
      </c>
      <c r="E4027" s="7">
        <v>10</v>
      </c>
      <c r="F4027" s="7">
        <v>1</v>
      </c>
      <c r="G4027" s="8" t="s">
        <v>3826</v>
      </c>
      <c r="H4027" s="8" t="s">
        <v>3827</v>
      </c>
      <c r="I4027" s="7" t="str">
        <f>_xlfn.CONCAT(Paper_Reference[[#This Row],[Lvl]:[Paper Description]])</f>
        <v>2NF39S-7036GL3201PRECISION WHITE  36 X 1441101110SW736-6200PRECISION WHITE 62"</v>
      </c>
      <c r="J4027" s="7">
        <f>COUNTIF(Paper_Reference[Duplicate Key],Paper_Reference[[#This Row],[Duplicate Key]])</f>
        <v>1</v>
      </c>
    </row>
    <row r="4028" spans="1:10">
      <c r="A4028" s="7">
        <v>2</v>
      </c>
      <c r="B4028" s="8" t="s">
        <v>3599</v>
      </c>
      <c r="C4028" s="8" t="s">
        <v>3269</v>
      </c>
      <c r="D4028" s="7">
        <v>1</v>
      </c>
      <c r="E4028" s="7">
        <v>10</v>
      </c>
      <c r="F4028" s="7">
        <v>1</v>
      </c>
      <c r="G4028" s="8" t="s">
        <v>3230</v>
      </c>
      <c r="H4028" s="8" t="s">
        <v>3231</v>
      </c>
      <c r="I4028" s="7" t="str">
        <f>_xlfn.CONCAT(Paper_Reference[[#This Row],[Lvl]:[Paper Description]])</f>
        <v>2NF39S-7036GL3801PERCISION WHITE 36 X 961101110SW736-5000PRECISION WHITE 43 X 145</v>
      </c>
      <c r="J4028" s="7">
        <f>COUNTIF(Paper_Reference[Duplicate Key],Paper_Reference[[#This Row],[Duplicate Key]])</f>
        <v>1</v>
      </c>
    </row>
    <row r="4029" spans="1:10">
      <c r="A4029" s="7">
        <v>2</v>
      </c>
      <c r="B4029" s="8" t="s">
        <v>3600</v>
      </c>
      <c r="C4029" s="8" t="s">
        <v>3270</v>
      </c>
      <c r="D4029" s="7">
        <v>1</v>
      </c>
      <c r="E4029" s="7">
        <v>10</v>
      </c>
      <c r="F4029" s="7">
        <v>1</v>
      </c>
      <c r="G4029" s="8" t="s">
        <v>3230</v>
      </c>
      <c r="H4029" s="8" t="s">
        <v>3231</v>
      </c>
      <c r="I4029" s="7" t="str">
        <f>_xlfn.CONCAT(Paper_Reference[[#This Row],[Lvl]:[Paper Description]])</f>
        <v>2NF39S-7036GL4001PRECISION WHITE 48X1201101110SW736-5000PRECISION WHITE 43 X 145</v>
      </c>
      <c r="J4029" s="7">
        <f>COUNTIF(Paper_Reference[Duplicate Key],Paper_Reference[[#This Row],[Duplicate Key]])</f>
        <v>1</v>
      </c>
    </row>
    <row r="4030" spans="1:10">
      <c r="A4030" s="7">
        <v>2</v>
      </c>
      <c r="B4030" s="8" t="s">
        <v>4037</v>
      </c>
      <c r="C4030" s="8" t="s">
        <v>3300</v>
      </c>
      <c r="D4030" s="7">
        <v>1</v>
      </c>
      <c r="E4030" s="7">
        <v>10</v>
      </c>
      <c r="F4030" s="7">
        <v>1</v>
      </c>
      <c r="G4030" s="8" t="s">
        <v>3826</v>
      </c>
      <c r="H4030" s="8" t="s">
        <v>3827</v>
      </c>
      <c r="I4030" s="7" t="str">
        <f>_xlfn.CONCAT(Paper_Reference[[#This Row],[Lvl]:[Paper Description]])</f>
        <v>2NF39S-7036GL4201PRECISION WHITE  48 X 1441101110SW736-6200PRECISION WHITE 62"</v>
      </c>
      <c r="J4030" s="7">
        <f>COUNTIF(Paper_Reference[Duplicate Key],Paper_Reference[[#This Row],[Duplicate Key]])</f>
        <v>1</v>
      </c>
    </row>
    <row r="4031" spans="1:10">
      <c r="A4031" s="7">
        <v>2</v>
      </c>
      <c r="B4031" s="8" t="s">
        <v>3601</v>
      </c>
      <c r="C4031" s="8" t="s">
        <v>3261</v>
      </c>
      <c r="D4031" s="7">
        <v>1</v>
      </c>
      <c r="E4031" s="7">
        <v>10</v>
      </c>
      <c r="F4031" s="7">
        <v>1</v>
      </c>
      <c r="G4031" s="8" t="s">
        <v>3230</v>
      </c>
      <c r="H4031" s="8" t="s">
        <v>3231</v>
      </c>
      <c r="I4031" s="7" t="str">
        <f>_xlfn.CONCAT(Paper_Reference[[#This Row],[Lvl]:[Paper Description]])</f>
        <v>2NF39S-7036GL4801PRECISION WHITE  48 X 961101110SW736-5000PRECISION WHITE 43 X 145</v>
      </c>
      <c r="J4031" s="7">
        <f>COUNTIF(Paper_Reference[Duplicate Key],Paper_Reference[[#This Row],[Duplicate Key]])</f>
        <v>1</v>
      </c>
    </row>
    <row r="4032" spans="1:10">
      <c r="A4032" s="7">
        <v>2</v>
      </c>
      <c r="B4032" s="8" t="s">
        <v>4038</v>
      </c>
      <c r="C4032" s="8" t="s">
        <v>3781</v>
      </c>
      <c r="D4032" s="7">
        <v>1</v>
      </c>
      <c r="E4032" s="7">
        <v>10</v>
      </c>
      <c r="F4032" s="7">
        <v>1</v>
      </c>
      <c r="G4032" s="8" t="s">
        <v>3826</v>
      </c>
      <c r="H4032" s="8" t="s">
        <v>3827</v>
      </c>
      <c r="I4032" s="7" t="str">
        <f>_xlfn.CONCAT(Paper_Reference[[#This Row],[Lvl]:[Paper Description]])</f>
        <v>2NF39S-7036GL5201PRECISION WHITE  60 X 1441101110SW736-6200PRECISION WHITE 62"</v>
      </c>
      <c r="J4032" s="7">
        <f>COUNTIF(Paper_Reference[Duplicate Key],Paper_Reference[[#This Row],[Duplicate Key]])</f>
        <v>1</v>
      </c>
    </row>
    <row r="4033" spans="1:10">
      <c r="A4033" s="7">
        <v>2</v>
      </c>
      <c r="B4033" s="8" t="s">
        <v>4039</v>
      </c>
      <c r="C4033" s="8" t="s">
        <v>3778</v>
      </c>
      <c r="D4033" s="7">
        <v>1</v>
      </c>
      <c r="E4033" s="7">
        <v>10</v>
      </c>
      <c r="F4033" s="7">
        <v>1</v>
      </c>
      <c r="G4033" s="8" t="s">
        <v>3826</v>
      </c>
      <c r="H4033" s="8" t="s">
        <v>3827</v>
      </c>
      <c r="I4033" s="7" t="str">
        <f>_xlfn.CONCAT(Paper_Reference[[#This Row],[Lvl]:[Paper Description]])</f>
        <v>2NF39S-7036GL5801PRECISION WHITE 60 X 961101110SW736-6200PRECISION WHITE 62"</v>
      </c>
      <c r="J4033" s="7">
        <f>COUNTIF(Paper_Reference[Duplicate Key],Paper_Reference[[#This Row],[Duplicate Key]])</f>
        <v>1</v>
      </c>
    </row>
    <row r="4034" spans="1:10">
      <c r="A4034" s="7">
        <v>2</v>
      </c>
      <c r="B4034" s="8" t="s">
        <v>3602</v>
      </c>
      <c r="C4034" s="8" t="s">
        <v>3271</v>
      </c>
      <c r="D4034" s="7">
        <v>1</v>
      </c>
      <c r="E4034" s="7">
        <v>10</v>
      </c>
      <c r="F4034" s="7">
        <v>1</v>
      </c>
      <c r="G4034" s="8" t="s">
        <v>3230</v>
      </c>
      <c r="H4034" s="8" t="s">
        <v>3231</v>
      </c>
      <c r="I4034" s="7" t="str">
        <f>_xlfn.CONCAT(Paper_Reference[[#This Row],[Lvl]:[Paper Description]])</f>
        <v>2NF39S-7036GV3700PRECISION WHITE 36.5 X 851101110SW736-5000PRECISION WHITE 43 X 145</v>
      </c>
      <c r="J4034" s="7">
        <f>COUNTIF(Paper_Reference[Duplicate Key],Paper_Reference[[#This Row],[Duplicate Key]])</f>
        <v>1</v>
      </c>
    </row>
    <row r="4035" spans="1:10">
      <c r="A4035" s="7">
        <v>2</v>
      </c>
      <c r="B4035" s="8" t="s">
        <v>3603</v>
      </c>
      <c r="C4035" s="8" t="s">
        <v>3235</v>
      </c>
      <c r="D4035" s="7">
        <v>1</v>
      </c>
      <c r="E4035" s="7">
        <v>10</v>
      </c>
      <c r="F4035" s="7">
        <v>1</v>
      </c>
      <c r="G4035" s="8" t="s">
        <v>3230</v>
      </c>
      <c r="H4035" s="8" t="s">
        <v>3231</v>
      </c>
      <c r="I4035" s="7" t="str">
        <f>_xlfn.CONCAT(Paper_Reference[[#This Row],[Lvl]:[Paper Description]])</f>
        <v>2NF39S-7036GV4800PRECISION WHITE 48 X 961101110SW736-5000PRECISION WHITE 43 X 145</v>
      </c>
      <c r="J4035" s="7">
        <f>COUNTIF(Paper_Reference[Duplicate Key],Paper_Reference[[#This Row],[Duplicate Key]])</f>
        <v>1</v>
      </c>
    </row>
    <row r="4036" spans="1:10">
      <c r="A4036" s="7">
        <v>2</v>
      </c>
      <c r="B4036" s="8" t="s">
        <v>4040</v>
      </c>
      <c r="C4036" s="8" t="s">
        <v>3778</v>
      </c>
      <c r="D4036" s="7">
        <v>1</v>
      </c>
      <c r="E4036" s="7">
        <v>10</v>
      </c>
      <c r="F4036" s="7">
        <v>1</v>
      </c>
      <c r="G4036" s="8" t="s">
        <v>3826</v>
      </c>
      <c r="H4036" s="8" t="s">
        <v>3827</v>
      </c>
      <c r="I4036" s="7" t="str">
        <f>_xlfn.CONCAT(Paper_Reference[[#This Row],[Lvl]:[Paper Description]])</f>
        <v>2NF39S-7036GV5800PRECISION WHITE 60 X 961101110SW736-6200PRECISION WHITE 62"</v>
      </c>
      <c r="J4036" s="7">
        <f>COUNTIF(Paper_Reference[Duplicate Key],Paper_Reference[[#This Row],[Duplicate Key]])</f>
        <v>1</v>
      </c>
    </row>
    <row r="4037" spans="1:10">
      <c r="A4037" s="7">
        <v>2</v>
      </c>
      <c r="B4037" s="8" t="s">
        <v>3604</v>
      </c>
      <c r="C4037" s="8" t="s">
        <v>3235</v>
      </c>
      <c r="D4037" s="7">
        <v>1</v>
      </c>
      <c r="E4037" s="7">
        <v>10</v>
      </c>
      <c r="F4037" s="7">
        <v>1</v>
      </c>
      <c r="G4037" s="8" t="s">
        <v>3230</v>
      </c>
      <c r="H4037" s="8" t="s">
        <v>3231</v>
      </c>
      <c r="I4037" s="7" t="str">
        <f>_xlfn.CONCAT(Paper_Reference[[#This Row],[Lvl]:[Paper Description]])</f>
        <v>2NF39S-7036LR4800PRECISION WHITE 48 X 961101110SW736-5000PRECISION WHITE 43 X 145</v>
      </c>
      <c r="J4037" s="7">
        <f>COUNTIF(Paper_Reference[Duplicate Key],Paper_Reference[[#This Row],[Duplicate Key]])</f>
        <v>1</v>
      </c>
    </row>
    <row r="4038" spans="1:10">
      <c r="A4038" s="7">
        <v>2</v>
      </c>
      <c r="B4038" s="8" t="s">
        <v>4041</v>
      </c>
      <c r="C4038" s="8" t="s">
        <v>3260</v>
      </c>
      <c r="D4038" s="7">
        <v>1</v>
      </c>
      <c r="E4038" s="7">
        <v>10</v>
      </c>
      <c r="F4038" s="7">
        <v>1</v>
      </c>
      <c r="G4038" s="8" t="s">
        <v>3826</v>
      </c>
      <c r="H4038" s="8" t="s">
        <v>3827</v>
      </c>
      <c r="I4038" s="7" t="str">
        <f>_xlfn.CONCAT(Paper_Reference[[#This Row],[Lvl]:[Paper Description]])</f>
        <v>2NF39S-7036MG4000PRECISION WHITE 48 X 1201101110SW736-6200PRECISION WHITE 62"</v>
      </c>
      <c r="J4038" s="7">
        <f>COUNTIF(Paper_Reference[Duplicate Key],Paper_Reference[[#This Row],[Duplicate Key]])</f>
        <v>1</v>
      </c>
    </row>
    <row r="4039" spans="1:10">
      <c r="A4039" s="7">
        <v>2</v>
      </c>
      <c r="B4039" s="8" t="s">
        <v>3605</v>
      </c>
      <c r="C4039" s="8" t="s">
        <v>3235</v>
      </c>
      <c r="D4039" s="7">
        <v>1</v>
      </c>
      <c r="E4039" s="7">
        <v>10</v>
      </c>
      <c r="F4039" s="7">
        <v>1</v>
      </c>
      <c r="G4039" s="8" t="s">
        <v>3230</v>
      </c>
      <c r="H4039" s="8" t="s">
        <v>3231</v>
      </c>
      <c r="I4039" s="7" t="str">
        <f>_xlfn.CONCAT(Paper_Reference[[#This Row],[Lvl]:[Paper Description]])</f>
        <v>2NF39S-7036MG4800PRECISION WHITE 48 X 961101110SW736-5000PRECISION WHITE 43 X 145</v>
      </c>
      <c r="J4039" s="7">
        <f>COUNTIF(Paper_Reference[Duplicate Key],Paper_Reference[[#This Row],[Duplicate Key]])</f>
        <v>1</v>
      </c>
    </row>
    <row r="4040" spans="1:10">
      <c r="A4040" s="7">
        <v>2</v>
      </c>
      <c r="B4040" s="8" t="s">
        <v>4042</v>
      </c>
      <c r="C4040" s="8" t="s">
        <v>3781</v>
      </c>
      <c r="D4040" s="7">
        <v>1</v>
      </c>
      <c r="E4040" s="7">
        <v>10</v>
      </c>
      <c r="F4040" s="7">
        <v>1</v>
      </c>
      <c r="G4040" s="8" t="s">
        <v>3826</v>
      </c>
      <c r="H4040" s="8" t="s">
        <v>3827</v>
      </c>
      <c r="I4040" s="7" t="str">
        <f>_xlfn.CONCAT(Paper_Reference[[#This Row],[Lvl]:[Paper Description]])</f>
        <v>2NF39S-7036MG5200PRECISION WHITE  60 X 1441101110SW736-6200PRECISION WHITE 62"</v>
      </c>
      <c r="J4040" s="7">
        <f>COUNTIF(Paper_Reference[Duplicate Key],Paper_Reference[[#This Row],[Duplicate Key]])</f>
        <v>1</v>
      </c>
    </row>
    <row r="4041" spans="1:10">
      <c r="A4041" s="7">
        <v>2</v>
      </c>
      <c r="B4041" s="8" t="s">
        <v>3606</v>
      </c>
      <c r="C4041" s="8" t="s">
        <v>3233</v>
      </c>
      <c r="D4041" s="7">
        <v>1</v>
      </c>
      <c r="E4041" s="7">
        <v>10</v>
      </c>
      <c r="F4041" s="7">
        <v>1</v>
      </c>
      <c r="G4041" s="8" t="s">
        <v>3230</v>
      </c>
      <c r="H4041" s="8" t="s">
        <v>3231</v>
      </c>
      <c r="I4041" s="7" t="str">
        <f>_xlfn.CONCAT(Paper_Reference[[#This Row],[Lvl]:[Paper Description]])</f>
        <v>2NF39S-7036PV3200PRECISION WHITE 36 X 1441101110SW736-5000PRECISION WHITE 43 X 145</v>
      </c>
      <c r="J4041" s="7">
        <f>COUNTIF(Paper_Reference[Duplicate Key],Paper_Reference[[#This Row],[Duplicate Key]])</f>
        <v>1</v>
      </c>
    </row>
    <row r="4042" spans="1:10">
      <c r="A4042" s="7">
        <v>2</v>
      </c>
      <c r="B4042" s="8" t="s">
        <v>3607</v>
      </c>
      <c r="C4042" s="8" t="s">
        <v>3234</v>
      </c>
      <c r="D4042" s="7">
        <v>1</v>
      </c>
      <c r="E4042" s="7">
        <v>10</v>
      </c>
      <c r="F4042" s="7">
        <v>1</v>
      </c>
      <c r="G4042" s="8" t="s">
        <v>3230</v>
      </c>
      <c r="H4042" s="8" t="s">
        <v>3231</v>
      </c>
      <c r="I4042" s="7" t="str">
        <f>_xlfn.CONCAT(Paper_Reference[[#This Row],[Lvl]:[Paper Description]])</f>
        <v>2NF39S-7036PV3800PRECISION WHITE 36 X 961101110SW736-5000PRECISION WHITE 43 X 145</v>
      </c>
      <c r="J4042" s="7">
        <f>COUNTIF(Paper_Reference[Duplicate Key],Paper_Reference[[#This Row],[Duplicate Key]])</f>
        <v>1</v>
      </c>
    </row>
    <row r="4043" spans="1:10">
      <c r="A4043" s="7">
        <v>2</v>
      </c>
      <c r="B4043" s="8" t="s">
        <v>3608</v>
      </c>
      <c r="C4043" s="8" t="s">
        <v>3260</v>
      </c>
      <c r="D4043" s="7">
        <v>1</v>
      </c>
      <c r="E4043" s="7">
        <v>10</v>
      </c>
      <c r="F4043" s="7">
        <v>1</v>
      </c>
      <c r="G4043" s="8" t="s">
        <v>3230</v>
      </c>
      <c r="H4043" s="8" t="s">
        <v>3231</v>
      </c>
      <c r="I4043" s="7" t="str">
        <f>_xlfn.CONCAT(Paper_Reference[[#This Row],[Lvl]:[Paper Description]])</f>
        <v>2NF39S-7036PV4000PRECISION WHITE 48 X 1201101110SW736-5000PRECISION WHITE 43 X 145</v>
      </c>
      <c r="J4043" s="7">
        <f>COUNTIF(Paper_Reference[Duplicate Key],Paper_Reference[[#This Row],[Duplicate Key]])</f>
        <v>1</v>
      </c>
    </row>
    <row r="4044" spans="1:10">
      <c r="A4044" s="7">
        <v>2</v>
      </c>
      <c r="B4044" s="8" t="s">
        <v>3609</v>
      </c>
      <c r="C4044" s="8" t="s">
        <v>3235</v>
      </c>
      <c r="D4044" s="7">
        <v>1</v>
      </c>
      <c r="E4044" s="7">
        <v>10</v>
      </c>
      <c r="F4044" s="7">
        <v>1</v>
      </c>
      <c r="G4044" s="8" t="s">
        <v>3230</v>
      </c>
      <c r="H4044" s="8" t="s">
        <v>3231</v>
      </c>
      <c r="I4044" s="7" t="str">
        <f>_xlfn.CONCAT(Paper_Reference[[#This Row],[Lvl]:[Paper Description]])</f>
        <v>2NF39S-7036PV4800PRECISION WHITE 48 X 961101110SW736-5000PRECISION WHITE 43 X 145</v>
      </c>
      <c r="J4044" s="7">
        <f>COUNTIF(Paper_Reference[Duplicate Key],Paper_Reference[[#This Row],[Duplicate Key]])</f>
        <v>1</v>
      </c>
    </row>
    <row r="4045" spans="1:10">
      <c r="A4045" s="7">
        <v>2</v>
      </c>
      <c r="B4045" s="8" t="s">
        <v>3610</v>
      </c>
      <c r="C4045" s="8" t="s">
        <v>3272</v>
      </c>
      <c r="D4045" s="7">
        <v>1</v>
      </c>
      <c r="E4045" s="7">
        <v>10</v>
      </c>
      <c r="F4045" s="7">
        <v>1</v>
      </c>
      <c r="G4045" s="8" t="s">
        <v>3230</v>
      </c>
      <c r="H4045" s="8" t="s">
        <v>3231</v>
      </c>
      <c r="I4045" s="7" t="str">
        <f>_xlfn.CONCAT(Paper_Reference[[#This Row],[Lvl]:[Paper Description]])</f>
        <v>2NF39S-7036PV4801PRECISION WHITE 48 x 961101110SW736-5000PRECISION WHITE 43 X 145</v>
      </c>
      <c r="J4045" s="7">
        <f>COUNTIF(Paper_Reference[Duplicate Key],Paper_Reference[[#This Row],[Duplicate Key]])</f>
        <v>1</v>
      </c>
    </row>
    <row r="4046" spans="1:10">
      <c r="A4046" s="7">
        <v>2</v>
      </c>
      <c r="B4046" s="8" t="s">
        <v>4043</v>
      </c>
      <c r="C4046" s="8" t="s">
        <v>3794</v>
      </c>
      <c r="D4046" s="7">
        <v>1</v>
      </c>
      <c r="E4046" s="7">
        <v>10</v>
      </c>
      <c r="F4046" s="7">
        <v>1</v>
      </c>
      <c r="G4046" s="8" t="s">
        <v>3826</v>
      </c>
      <c r="H4046" s="8" t="s">
        <v>3827</v>
      </c>
      <c r="I4046" s="7" t="str">
        <f>_xlfn.CONCAT(Paper_Reference[[#This Row],[Lvl]:[Paper Description]])</f>
        <v>2NF39S-7036PV5000Precision White  60 x 1201101110SW736-6200PRECISION WHITE 62"</v>
      </c>
      <c r="J4046" s="7">
        <f>COUNTIF(Paper_Reference[Duplicate Key],Paper_Reference[[#This Row],[Duplicate Key]])</f>
        <v>1</v>
      </c>
    </row>
    <row r="4047" spans="1:10">
      <c r="A4047" s="7">
        <v>2</v>
      </c>
      <c r="B4047" s="8" t="s">
        <v>4044</v>
      </c>
      <c r="C4047" s="8" t="s">
        <v>3799</v>
      </c>
      <c r="D4047" s="7">
        <v>1</v>
      </c>
      <c r="E4047" s="7">
        <v>10</v>
      </c>
      <c r="F4047" s="7">
        <v>1</v>
      </c>
      <c r="G4047" s="8" t="s">
        <v>3826</v>
      </c>
      <c r="H4047" s="8" t="s">
        <v>3827</v>
      </c>
      <c r="I4047" s="7" t="str">
        <f>_xlfn.CONCAT(Paper_Reference[[#This Row],[Lvl]:[Paper Description]])</f>
        <v>2NF39S-7036PV5800PRECISION WHITE  60 x 961101110SW736-6200PRECISION WHITE 62"</v>
      </c>
      <c r="J4047" s="7">
        <f>COUNTIF(Paper_Reference[Duplicate Key],Paper_Reference[[#This Row],[Duplicate Key]])</f>
        <v>1</v>
      </c>
    </row>
    <row r="4048" spans="1:10">
      <c r="A4048" s="7">
        <v>2</v>
      </c>
      <c r="B4048" s="8" t="s">
        <v>3611</v>
      </c>
      <c r="C4048" s="8" t="s">
        <v>3235</v>
      </c>
      <c r="D4048" s="7">
        <v>1</v>
      </c>
      <c r="E4048" s="7">
        <v>10</v>
      </c>
      <c r="F4048" s="7">
        <v>1</v>
      </c>
      <c r="G4048" s="8" t="s">
        <v>3230</v>
      </c>
      <c r="H4048" s="8" t="s">
        <v>3231</v>
      </c>
      <c r="I4048" s="7" t="str">
        <f>_xlfn.CONCAT(Paper_Reference[[#This Row],[Lvl]:[Paper Description]])</f>
        <v>2NF39S-7036SL4800PRECISION WHITE 48 X 961101110SW736-5000PRECISION WHITE 43 X 145</v>
      </c>
      <c r="J4048" s="7">
        <f>COUNTIF(Paper_Reference[Duplicate Key],Paper_Reference[[#This Row],[Duplicate Key]])</f>
        <v>1</v>
      </c>
    </row>
    <row r="4049" spans="1:10">
      <c r="A4049" s="7">
        <v>2</v>
      </c>
      <c r="B4049" s="8" t="s">
        <v>3612</v>
      </c>
      <c r="C4049" s="8" t="s">
        <v>3232</v>
      </c>
      <c r="D4049" s="7">
        <v>1</v>
      </c>
      <c r="E4049" s="7">
        <v>10</v>
      </c>
      <c r="F4049" s="7">
        <v>1</v>
      </c>
      <c r="G4049" s="8" t="s">
        <v>3230</v>
      </c>
      <c r="H4049" s="8" t="s">
        <v>3231</v>
      </c>
      <c r="I4049" s="7" t="str">
        <f>_xlfn.CONCAT(Paper_Reference[[#This Row],[Lvl]:[Paper Description]])</f>
        <v>2NF39S-7036SM3000PRECISION WHITE 36 X 1201101110SW736-5000PRECISION WHITE 43 X 145</v>
      </c>
      <c r="J4049" s="7">
        <f>COUNTIF(Paper_Reference[Duplicate Key],Paper_Reference[[#This Row],[Duplicate Key]])</f>
        <v>1</v>
      </c>
    </row>
    <row r="4050" spans="1:10">
      <c r="A4050" s="7">
        <v>2</v>
      </c>
      <c r="B4050" s="8" t="s">
        <v>3613</v>
      </c>
      <c r="C4050" s="8" t="s">
        <v>3273</v>
      </c>
      <c r="D4050" s="7">
        <v>1</v>
      </c>
      <c r="E4050" s="7">
        <v>10</v>
      </c>
      <c r="F4050" s="7">
        <v>1</v>
      </c>
      <c r="G4050" s="8" t="s">
        <v>3230</v>
      </c>
      <c r="H4050" s="8" t="s">
        <v>3231</v>
      </c>
      <c r="I4050" s="7" t="str">
        <f>_xlfn.CONCAT(Paper_Reference[[#This Row],[Lvl]:[Paper Description]])</f>
        <v>2NF39S-7036SM3200Precision White  36 x 1441101110SW736-5000PRECISION WHITE 43 X 145</v>
      </c>
      <c r="J4050" s="7">
        <f>COUNTIF(Paper_Reference[Duplicate Key],Paper_Reference[[#This Row],[Duplicate Key]])</f>
        <v>1</v>
      </c>
    </row>
    <row r="4051" spans="1:10">
      <c r="A4051" s="7">
        <v>2</v>
      </c>
      <c r="B4051" s="8" t="s">
        <v>3614</v>
      </c>
      <c r="C4051" s="8" t="s">
        <v>3260</v>
      </c>
      <c r="D4051" s="7">
        <v>1</v>
      </c>
      <c r="E4051" s="7">
        <v>10</v>
      </c>
      <c r="F4051" s="7">
        <v>1</v>
      </c>
      <c r="G4051" s="8" t="s">
        <v>3230</v>
      </c>
      <c r="H4051" s="8" t="s">
        <v>3231</v>
      </c>
      <c r="I4051" s="7" t="str">
        <f>_xlfn.CONCAT(Paper_Reference[[#This Row],[Lvl]:[Paper Description]])</f>
        <v>2NF39S-7036SM4000PRECISION WHITE 48 X 1201101110SW736-5000PRECISION WHITE 43 X 145</v>
      </c>
      <c r="J4051" s="7">
        <f>COUNTIF(Paper_Reference[Duplicate Key],Paper_Reference[[#This Row],[Duplicate Key]])</f>
        <v>1</v>
      </c>
    </row>
    <row r="4052" spans="1:10">
      <c r="A4052" s="7">
        <v>2</v>
      </c>
      <c r="B4052" s="8" t="s">
        <v>3615</v>
      </c>
      <c r="C4052" s="8" t="s">
        <v>3260</v>
      </c>
      <c r="D4052" s="7">
        <v>1</v>
      </c>
      <c r="E4052" s="7">
        <v>10</v>
      </c>
      <c r="F4052" s="7">
        <v>1</v>
      </c>
      <c r="G4052" s="8" t="s">
        <v>3230</v>
      </c>
      <c r="H4052" s="8" t="s">
        <v>3231</v>
      </c>
      <c r="I4052" s="7" t="str">
        <f>_xlfn.CONCAT(Paper_Reference[[#This Row],[Lvl]:[Paper Description]])</f>
        <v>2NF39S-7036SM4003PRECISION WHITE 48 X 1201101110SW736-5000PRECISION WHITE 43 X 145</v>
      </c>
      <c r="J4052" s="7">
        <f>COUNTIF(Paper_Reference[Duplicate Key],Paper_Reference[[#This Row],[Duplicate Key]])</f>
        <v>1</v>
      </c>
    </row>
    <row r="4053" spans="1:10">
      <c r="A4053" s="7">
        <v>2</v>
      </c>
      <c r="B4053" s="8" t="s">
        <v>3616</v>
      </c>
      <c r="C4053" s="8" t="s">
        <v>3274</v>
      </c>
      <c r="D4053" s="7">
        <v>1</v>
      </c>
      <c r="E4053" s="7">
        <v>10</v>
      </c>
      <c r="F4053" s="7">
        <v>1</v>
      </c>
      <c r="G4053" s="8" t="s">
        <v>3230</v>
      </c>
      <c r="H4053" s="8" t="s">
        <v>3231</v>
      </c>
      <c r="I4053" s="7" t="str">
        <f>_xlfn.CONCAT(Paper_Reference[[#This Row],[Lvl]:[Paper Description]])</f>
        <v>2NF39S-7036SM4200PRECISION WHITE 48 X 1441101110SW736-5000PRECISION WHITE 43 X 145</v>
      </c>
      <c r="J4053" s="7">
        <f>COUNTIF(Paper_Reference[Duplicate Key],Paper_Reference[[#This Row],[Duplicate Key]])</f>
        <v>1</v>
      </c>
    </row>
    <row r="4054" spans="1:10">
      <c r="A4054" s="7">
        <v>2</v>
      </c>
      <c r="B4054" s="8" t="s">
        <v>3617</v>
      </c>
      <c r="C4054" s="8" t="s">
        <v>3235</v>
      </c>
      <c r="D4054" s="7">
        <v>1</v>
      </c>
      <c r="E4054" s="7">
        <v>10</v>
      </c>
      <c r="F4054" s="7">
        <v>1</v>
      </c>
      <c r="G4054" s="8" t="s">
        <v>3230</v>
      </c>
      <c r="H4054" s="8" t="s">
        <v>3231</v>
      </c>
      <c r="I4054" s="7" t="str">
        <f>_xlfn.CONCAT(Paper_Reference[[#This Row],[Lvl]:[Paper Description]])</f>
        <v>2NF39S-7036SM4800PRECISION WHITE 48 X 961101110SW736-5000PRECISION WHITE 43 X 145</v>
      </c>
      <c r="J4054" s="7">
        <f>COUNTIF(Paper_Reference[Duplicate Key],Paper_Reference[[#This Row],[Duplicate Key]])</f>
        <v>1</v>
      </c>
    </row>
    <row r="4055" spans="1:10">
      <c r="A4055" s="7">
        <v>2</v>
      </c>
      <c r="B4055" s="8" t="s">
        <v>4045</v>
      </c>
      <c r="C4055" s="8" t="s">
        <v>3785</v>
      </c>
      <c r="D4055" s="7">
        <v>1</v>
      </c>
      <c r="E4055" s="7">
        <v>10</v>
      </c>
      <c r="F4055" s="7">
        <v>1</v>
      </c>
      <c r="G4055" s="8" t="s">
        <v>3826</v>
      </c>
      <c r="H4055" s="8" t="s">
        <v>3827</v>
      </c>
      <c r="I4055" s="7" t="str">
        <f>_xlfn.CONCAT(Paper_Reference[[#This Row],[Lvl]:[Paper Description]])</f>
        <v>2NF39S-7036SM5000PRECISION WHITE  60 X 1201101110SW736-6200PRECISION WHITE 62"</v>
      </c>
      <c r="J4055" s="7">
        <f>COUNTIF(Paper_Reference[Duplicate Key],Paper_Reference[[#This Row],[Duplicate Key]])</f>
        <v>1</v>
      </c>
    </row>
    <row r="4056" spans="1:10">
      <c r="A4056" s="7">
        <v>2</v>
      </c>
      <c r="B4056" s="8" t="s">
        <v>4046</v>
      </c>
      <c r="C4056" s="8" t="s">
        <v>3766</v>
      </c>
      <c r="D4056" s="7">
        <v>1</v>
      </c>
      <c r="E4056" s="7">
        <v>10</v>
      </c>
      <c r="F4056" s="7">
        <v>1</v>
      </c>
      <c r="G4056" s="8" t="s">
        <v>3826</v>
      </c>
      <c r="H4056" s="8" t="s">
        <v>3827</v>
      </c>
      <c r="I4056" s="7" t="str">
        <f>_xlfn.CONCAT(Paper_Reference[[#This Row],[Lvl]:[Paper Description]])</f>
        <v>2NF39S-7036SM5200PRECISION WHITE 60 X 1441101110SW736-6200PRECISION WHITE 62"</v>
      </c>
      <c r="J4056" s="7">
        <f>COUNTIF(Paper_Reference[Duplicate Key],Paper_Reference[[#This Row],[Duplicate Key]])</f>
        <v>1</v>
      </c>
    </row>
    <row r="4057" spans="1:10">
      <c r="A4057" s="7">
        <v>2</v>
      </c>
      <c r="B4057" s="8" t="s">
        <v>4047</v>
      </c>
      <c r="C4057" s="8" t="s">
        <v>3766</v>
      </c>
      <c r="D4057" s="7">
        <v>1</v>
      </c>
      <c r="E4057" s="7">
        <v>10</v>
      </c>
      <c r="F4057" s="7">
        <v>1</v>
      </c>
      <c r="G4057" s="8" t="s">
        <v>3826</v>
      </c>
      <c r="H4057" s="8" t="s">
        <v>3827</v>
      </c>
      <c r="I4057" s="7" t="str">
        <f>_xlfn.CONCAT(Paper_Reference[[#This Row],[Lvl]:[Paper Description]])</f>
        <v>2NF39S-7036SM5203PRECISION WHITE 60 X 1441101110SW736-6200PRECISION WHITE 62"</v>
      </c>
      <c r="J4057" s="7">
        <f>COUNTIF(Paper_Reference[Duplicate Key],Paper_Reference[[#This Row],[Duplicate Key]])</f>
        <v>1</v>
      </c>
    </row>
    <row r="4058" spans="1:10">
      <c r="A4058" s="7">
        <v>2</v>
      </c>
      <c r="B4058" s="8" t="s">
        <v>4048</v>
      </c>
      <c r="C4058" s="8" t="s">
        <v>3778</v>
      </c>
      <c r="D4058" s="7">
        <v>1</v>
      </c>
      <c r="E4058" s="7">
        <v>10</v>
      </c>
      <c r="F4058" s="7">
        <v>1</v>
      </c>
      <c r="G4058" s="8" t="s">
        <v>3826</v>
      </c>
      <c r="H4058" s="8" t="s">
        <v>3827</v>
      </c>
      <c r="I4058" s="7" t="str">
        <f>_xlfn.CONCAT(Paper_Reference[[#This Row],[Lvl]:[Paper Description]])</f>
        <v>2NF39S-7036SM5800PRECISION WHITE 60 X 961101110SW736-6200PRECISION WHITE 62"</v>
      </c>
      <c r="J4058" s="7">
        <f>COUNTIF(Paper_Reference[Duplicate Key],Paper_Reference[[#This Row],[Duplicate Key]])</f>
        <v>1</v>
      </c>
    </row>
    <row r="4059" spans="1:10">
      <c r="A4059" s="7">
        <v>2</v>
      </c>
      <c r="B4059" s="8" t="s">
        <v>3618</v>
      </c>
      <c r="C4059" s="8" t="s">
        <v>3235</v>
      </c>
      <c r="D4059" s="7">
        <v>1</v>
      </c>
      <c r="E4059" s="7">
        <v>10</v>
      </c>
      <c r="F4059" s="7">
        <v>1</v>
      </c>
      <c r="G4059" s="8" t="s">
        <v>3230</v>
      </c>
      <c r="H4059" s="8" t="s">
        <v>3231</v>
      </c>
      <c r="I4059" s="7" t="str">
        <f>_xlfn.CONCAT(Paper_Reference[[#This Row],[Lvl]:[Paper Description]])</f>
        <v>2NF39S-7036SX4800PRECISION WHITE 48 X 961101110SW736-5000PRECISION WHITE 43 X 145</v>
      </c>
      <c r="J4059" s="7">
        <f>COUNTIF(Paper_Reference[Duplicate Key],Paper_Reference[[#This Row],[Duplicate Key]])</f>
        <v>1</v>
      </c>
    </row>
    <row r="4060" spans="1:10">
      <c r="A4060" s="7">
        <v>2</v>
      </c>
      <c r="B4060" s="8" t="s">
        <v>4049</v>
      </c>
      <c r="C4060" s="8" t="s">
        <v>3800</v>
      </c>
      <c r="D4060" s="7">
        <v>1</v>
      </c>
      <c r="E4060" s="7">
        <v>10</v>
      </c>
      <c r="F4060" s="7">
        <v>0.5</v>
      </c>
      <c r="G4060" s="8" t="s">
        <v>3826</v>
      </c>
      <c r="H4060" s="8" t="s">
        <v>3827</v>
      </c>
      <c r="I4060" s="7" t="str">
        <f>_xlfn.CONCAT(Paper_Reference[[#This Row],[Lvl]:[Paper Description]])</f>
        <v>2NF39S-7036T-0000Precision White  30 x 1201100.5110SW736-6200PRECISION WHITE 62"</v>
      </c>
      <c r="J4060" s="7">
        <f>COUNTIF(Paper_Reference[Duplicate Key],Paper_Reference[[#This Row],[Duplicate Key]])</f>
        <v>1</v>
      </c>
    </row>
    <row r="4061" spans="1:10">
      <c r="A4061" s="7">
        <v>2</v>
      </c>
      <c r="B4061" s="8" t="s">
        <v>4050</v>
      </c>
      <c r="C4061" s="8" t="s">
        <v>3793</v>
      </c>
      <c r="D4061" s="7">
        <v>1</v>
      </c>
      <c r="E4061" s="7">
        <v>10</v>
      </c>
      <c r="F4061" s="7">
        <v>0.5</v>
      </c>
      <c r="G4061" s="8" t="s">
        <v>3826</v>
      </c>
      <c r="H4061" s="8" t="s">
        <v>3827</v>
      </c>
      <c r="I4061" s="7" t="str">
        <f>_xlfn.CONCAT(Paper_Reference[[#This Row],[Lvl]:[Paper Description]])</f>
        <v>2NF39S-7036T-0200Precision White  30 x 1441100.5110SW736-6200PRECISION WHITE 62"</v>
      </c>
      <c r="J4061" s="7">
        <f>COUNTIF(Paper_Reference[Duplicate Key],Paper_Reference[[#This Row],[Duplicate Key]])</f>
        <v>1</v>
      </c>
    </row>
    <row r="4062" spans="1:10">
      <c r="A4062" s="7">
        <v>2</v>
      </c>
      <c r="B4062" s="8" t="s">
        <v>4051</v>
      </c>
      <c r="C4062" s="8" t="s">
        <v>3801</v>
      </c>
      <c r="D4062" s="7">
        <v>1</v>
      </c>
      <c r="E4062" s="7">
        <v>10</v>
      </c>
      <c r="F4062" s="7">
        <v>0.5</v>
      </c>
      <c r="G4062" s="8" t="s">
        <v>3826</v>
      </c>
      <c r="H4062" s="8" t="s">
        <v>3827</v>
      </c>
      <c r="I4062" s="7" t="str">
        <f>_xlfn.CONCAT(Paper_Reference[[#This Row],[Lvl]:[Paper Description]])</f>
        <v>2NF39S-7036T-0800Precision White  30 x 961100.5110SW736-6200PRECISION WHITE 62"</v>
      </c>
      <c r="J4062" s="7">
        <f>COUNTIF(Paper_Reference[Duplicate Key],Paper_Reference[[#This Row],[Duplicate Key]])</f>
        <v>1</v>
      </c>
    </row>
    <row r="4063" spans="1:10">
      <c r="A4063" s="7">
        <v>2</v>
      </c>
      <c r="B4063" s="8" t="s">
        <v>3619</v>
      </c>
      <c r="C4063" s="8" t="s">
        <v>3266</v>
      </c>
      <c r="D4063" s="7">
        <v>1</v>
      </c>
      <c r="E4063" s="7">
        <v>10</v>
      </c>
      <c r="F4063" s="7">
        <v>1</v>
      </c>
      <c r="G4063" s="8" t="s">
        <v>3230</v>
      </c>
      <c r="H4063" s="8" t="s">
        <v>3231</v>
      </c>
      <c r="I4063" s="7" t="str">
        <f>_xlfn.CONCAT(Paper_Reference[[#This Row],[Lvl]:[Paper Description]])</f>
        <v>2NF39S-7036T-3000Precision White  36 x 1201101110SW736-5000PRECISION WHITE 43 X 145</v>
      </c>
      <c r="J4063" s="7">
        <f>COUNTIF(Paper_Reference[Duplicate Key],Paper_Reference[[#This Row],[Duplicate Key]])</f>
        <v>1</v>
      </c>
    </row>
    <row r="4064" spans="1:10">
      <c r="A4064" s="7">
        <v>2</v>
      </c>
      <c r="B4064" s="8" t="s">
        <v>3620</v>
      </c>
      <c r="C4064" s="8" t="s">
        <v>3273</v>
      </c>
      <c r="D4064" s="7">
        <v>1</v>
      </c>
      <c r="E4064" s="7">
        <v>10</v>
      </c>
      <c r="F4064" s="7">
        <v>1</v>
      </c>
      <c r="G4064" s="8" t="s">
        <v>3230</v>
      </c>
      <c r="H4064" s="8" t="s">
        <v>3231</v>
      </c>
      <c r="I4064" s="7" t="str">
        <f>_xlfn.CONCAT(Paper_Reference[[#This Row],[Lvl]:[Paper Description]])</f>
        <v>2NF39S-7036T-3200Precision White  36 x 1441101110SW736-5000PRECISION WHITE 43 X 145</v>
      </c>
      <c r="J4064" s="7">
        <f>COUNTIF(Paper_Reference[Duplicate Key],Paper_Reference[[#This Row],[Duplicate Key]])</f>
        <v>1</v>
      </c>
    </row>
    <row r="4065" spans="1:10">
      <c r="A4065" s="7">
        <v>2</v>
      </c>
      <c r="B4065" s="8" t="s">
        <v>3621</v>
      </c>
      <c r="C4065" s="8" t="s">
        <v>3267</v>
      </c>
      <c r="D4065" s="7">
        <v>1</v>
      </c>
      <c r="E4065" s="7">
        <v>10</v>
      </c>
      <c r="F4065" s="7">
        <v>1</v>
      </c>
      <c r="G4065" s="8" t="s">
        <v>3230</v>
      </c>
      <c r="H4065" s="8" t="s">
        <v>3231</v>
      </c>
      <c r="I4065" s="7" t="str">
        <f>_xlfn.CONCAT(Paper_Reference[[#This Row],[Lvl]:[Paper Description]])</f>
        <v>2NF39S-7036T-3800Precision White  36 x 961101110SW736-5000PRECISION WHITE 43 X 145</v>
      </c>
      <c r="J4065" s="7">
        <f>COUNTIF(Paper_Reference[Duplicate Key],Paper_Reference[[#This Row],[Duplicate Key]])</f>
        <v>1</v>
      </c>
    </row>
    <row r="4066" spans="1:10">
      <c r="A4066" s="7">
        <v>2</v>
      </c>
      <c r="B4066" s="8" t="s">
        <v>3622</v>
      </c>
      <c r="C4066" s="8" t="s">
        <v>3263</v>
      </c>
      <c r="D4066" s="7">
        <v>1</v>
      </c>
      <c r="E4066" s="7">
        <v>10</v>
      </c>
      <c r="F4066" s="7">
        <v>1</v>
      </c>
      <c r="G4066" s="8" t="s">
        <v>3230</v>
      </c>
      <c r="H4066" s="8" t="s">
        <v>3231</v>
      </c>
      <c r="I4066" s="7" t="str">
        <f>_xlfn.CONCAT(Paper_Reference[[#This Row],[Lvl]:[Paper Description]])</f>
        <v>2NF39S-7036T-4000Precision White  48 x 1201101110SW736-5000PRECISION WHITE 43 X 145</v>
      </c>
      <c r="J4066" s="7">
        <f>COUNTIF(Paper_Reference[Duplicate Key],Paper_Reference[[#This Row],[Duplicate Key]])</f>
        <v>1</v>
      </c>
    </row>
    <row r="4067" spans="1:10">
      <c r="A4067" s="7">
        <v>2</v>
      </c>
      <c r="B4067" s="8" t="s">
        <v>3623</v>
      </c>
      <c r="C4067" s="8" t="s">
        <v>3275</v>
      </c>
      <c r="D4067" s="7">
        <v>1</v>
      </c>
      <c r="E4067" s="7">
        <v>10</v>
      </c>
      <c r="F4067" s="7">
        <v>1</v>
      </c>
      <c r="G4067" s="8" t="s">
        <v>3230</v>
      </c>
      <c r="H4067" s="8" t="s">
        <v>3231</v>
      </c>
      <c r="I4067" s="7" t="str">
        <f>_xlfn.CONCAT(Paper_Reference[[#This Row],[Lvl]:[Paper Description]])</f>
        <v>2NF39S-7036T-4001Precision White  PC 48 x 1201101110SW736-5000PRECISION WHITE 43 X 145</v>
      </c>
      <c r="J4067" s="7">
        <f>COUNTIF(Paper_Reference[Duplicate Key],Paper_Reference[[#This Row],[Duplicate Key]])</f>
        <v>1</v>
      </c>
    </row>
    <row r="4068" spans="1:10">
      <c r="A4068" s="7">
        <v>2</v>
      </c>
      <c r="B4068" s="8" t="s">
        <v>3624</v>
      </c>
      <c r="C4068" s="8" t="s">
        <v>3264</v>
      </c>
      <c r="D4068" s="7">
        <v>1</v>
      </c>
      <c r="E4068" s="7">
        <v>10</v>
      </c>
      <c r="F4068" s="7">
        <v>1</v>
      </c>
      <c r="G4068" s="8" t="s">
        <v>3230</v>
      </c>
      <c r="H4068" s="8" t="s">
        <v>3231</v>
      </c>
      <c r="I4068" s="7" t="str">
        <f>_xlfn.CONCAT(Paper_Reference[[#This Row],[Lvl]:[Paper Description]])</f>
        <v>2NF39S-7036T-4200Precision White  48 x 1441101110SW736-5000PRECISION WHITE 43 X 145</v>
      </c>
      <c r="J4068" s="7">
        <f>COUNTIF(Paper_Reference[Duplicate Key],Paper_Reference[[#This Row],[Duplicate Key]])</f>
        <v>1</v>
      </c>
    </row>
    <row r="4069" spans="1:10">
      <c r="A4069" s="7">
        <v>2</v>
      </c>
      <c r="B4069" s="8" t="s">
        <v>3625</v>
      </c>
      <c r="C4069" s="8" t="s">
        <v>3255</v>
      </c>
      <c r="D4069" s="7">
        <v>1</v>
      </c>
      <c r="E4069" s="7">
        <v>10</v>
      </c>
      <c r="F4069" s="7">
        <v>1</v>
      </c>
      <c r="G4069" s="8" t="s">
        <v>3230</v>
      </c>
      <c r="H4069" s="8" t="s">
        <v>3231</v>
      </c>
      <c r="I4069" s="7" t="str">
        <f>_xlfn.CONCAT(Paper_Reference[[#This Row],[Lvl]:[Paper Description]])</f>
        <v>2NF39S-7036T-4800Precision White  48 x 961101110SW736-5000PRECISION WHITE 43 X 145</v>
      </c>
      <c r="J4069" s="7">
        <f>COUNTIF(Paper_Reference[Duplicate Key],Paper_Reference[[#This Row],[Duplicate Key]])</f>
        <v>1</v>
      </c>
    </row>
    <row r="4070" spans="1:10">
      <c r="A4070" s="7">
        <v>2</v>
      </c>
      <c r="B4070" s="8" t="s">
        <v>3626</v>
      </c>
      <c r="C4070" s="8" t="s">
        <v>3265</v>
      </c>
      <c r="D4070" s="7">
        <v>1</v>
      </c>
      <c r="E4070" s="7">
        <v>10</v>
      </c>
      <c r="F4070" s="7">
        <v>1</v>
      </c>
      <c r="G4070" s="8" t="s">
        <v>3230</v>
      </c>
      <c r="H4070" s="8" t="s">
        <v>3231</v>
      </c>
      <c r="I4070" s="7" t="str">
        <f>_xlfn.CONCAT(Paper_Reference[[#This Row],[Lvl]:[Paper Description]])</f>
        <v>2NF39S-7036T-4801Precision White PC 48 x 961101110SW736-5000PRECISION WHITE 43 X 145</v>
      </c>
      <c r="J4070" s="7">
        <f>COUNTIF(Paper_Reference[Duplicate Key],Paper_Reference[[#This Row],[Duplicate Key]])</f>
        <v>1</v>
      </c>
    </row>
    <row r="4071" spans="1:10">
      <c r="A4071" s="7">
        <v>2</v>
      </c>
      <c r="B4071" s="8" t="s">
        <v>4052</v>
      </c>
      <c r="C4071" s="8" t="s">
        <v>3794</v>
      </c>
      <c r="D4071" s="7">
        <v>1</v>
      </c>
      <c r="E4071" s="7">
        <v>10</v>
      </c>
      <c r="F4071" s="7">
        <v>1</v>
      </c>
      <c r="G4071" s="8" t="s">
        <v>3826</v>
      </c>
      <c r="H4071" s="8" t="s">
        <v>3827</v>
      </c>
      <c r="I4071" s="7" t="str">
        <f>_xlfn.CONCAT(Paper_Reference[[#This Row],[Lvl]:[Paper Description]])</f>
        <v>2NF39S-7036T-5000Precision White  60 x 1201101110SW736-6200PRECISION WHITE 62"</v>
      </c>
      <c r="J4071" s="7">
        <f>COUNTIF(Paper_Reference[Duplicate Key],Paper_Reference[[#This Row],[Duplicate Key]])</f>
        <v>1</v>
      </c>
    </row>
    <row r="4072" spans="1:10">
      <c r="A4072" s="7">
        <v>2</v>
      </c>
      <c r="B4072" s="8" t="s">
        <v>4053</v>
      </c>
      <c r="C4072" s="8" t="s">
        <v>3797</v>
      </c>
      <c r="D4072" s="7">
        <v>1</v>
      </c>
      <c r="E4072" s="7">
        <v>10</v>
      </c>
      <c r="F4072" s="7">
        <v>1</v>
      </c>
      <c r="G4072" s="8" t="s">
        <v>3826</v>
      </c>
      <c r="H4072" s="8" t="s">
        <v>3827</v>
      </c>
      <c r="I4072" s="7" t="str">
        <f>_xlfn.CONCAT(Paper_Reference[[#This Row],[Lvl]:[Paper Description]])</f>
        <v>2NF39S-7036T-5003PRECISION WHITE 60 X 1201101110SW736-6200PRECISION WHITE 62"</v>
      </c>
      <c r="J4072" s="7">
        <f>COUNTIF(Paper_Reference[Duplicate Key],Paper_Reference[[#This Row],[Duplicate Key]])</f>
        <v>1</v>
      </c>
    </row>
    <row r="4073" spans="1:10">
      <c r="A4073" s="7">
        <v>2</v>
      </c>
      <c r="B4073" s="8" t="s">
        <v>4054</v>
      </c>
      <c r="C4073" s="8" t="s">
        <v>3786</v>
      </c>
      <c r="D4073" s="7">
        <v>1</v>
      </c>
      <c r="E4073" s="7">
        <v>10</v>
      </c>
      <c r="F4073" s="7">
        <v>1</v>
      </c>
      <c r="G4073" s="8" t="s">
        <v>3826</v>
      </c>
      <c r="H4073" s="8" t="s">
        <v>3827</v>
      </c>
      <c r="I4073" s="7" t="str">
        <f>_xlfn.CONCAT(Paper_Reference[[#This Row],[Lvl]:[Paper Description]])</f>
        <v>2NF39S-7036T-5200Precision White  60 x 1441101110SW736-6200PRECISION WHITE 62"</v>
      </c>
      <c r="J4073" s="7">
        <f>COUNTIF(Paper_Reference[Duplicate Key],Paper_Reference[[#This Row],[Duplicate Key]])</f>
        <v>1</v>
      </c>
    </row>
    <row r="4074" spans="1:10">
      <c r="A4074" s="7">
        <v>2</v>
      </c>
      <c r="B4074" s="8" t="s">
        <v>4055</v>
      </c>
      <c r="C4074" s="8" t="s">
        <v>3786</v>
      </c>
      <c r="D4074" s="7">
        <v>1</v>
      </c>
      <c r="E4074" s="7">
        <v>10</v>
      </c>
      <c r="F4074" s="7">
        <v>1</v>
      </c>
      <c r="G4074" s="8" t="s">
        <v>3826</v>
      </c>
      <c r="H4074" s="8" t="s">
        <v>3827</v>
      </c>
      <c r="I4074" s="7" t="str">
        <f>_xlfn.CONCAT(Paper_Reference[[#This Row],[Lvl]:[Paper Description]])</f>
        <v>2NF39S-7036T-5201Precision White  60 x 1441101110SW736-6200PRECISION WHITE 62"</v>
      </c>
      <c r="J4074" s="7">
        <f>COUNTIF(Paper_Reference[Duplicate Key],Paper_Reference[[#This Row],[Duplicate Key]])</f>
        <v>1</v>
      </c>
    </row>
    <row r="4075" spans="1:10">
      <c r="A4075" s="7">
        <v>2</v>
      </c>
      <c r="B4075" s="8" t="s">
        <v>4056</v>
      </c>
      <c r="C4075" s="8" t="s">
        <v>3802</v>
      </c>
      <c r="D4075" s="7">
        <v>1</v>
      </c>
      <c r="E4075" s="7">
        <v>10</v>
      </c>
      <c r="F4075" s="7">
        <v>1</v>
      </c>
      <c r="G4075" s="8" t="s">
        <v>3826</v>
      </c>
      <c r="H4075" s="8" t="s">
        <v>3827</v>
      </c>
      <c r="I4075" s="7" t="str">
        <f>_xlfn.CONCAT(Paper_Reference[[#This Row],[Lvl]:[Paper Description]])</f>
        <v>2NF39S-7036T-5203PRECISION  WHITE  60 X 1441101110SW736-6200PRECISION WHITE 62"</v>
      </c>
      <c r="J4075" s="7">
        <f>COUNTIF(Paper_Reference[Duplicate Key],Paper_Reference[[#This Row],[Duplicate Key]])</f>
        <v>1</v>
      </c>
    </row>
    <row r="4076" spans="1:10">
      <c r="A4076" s="7">
        <v>2</v>
      </c>
      <c r="B4076" s="8" t="s">
        <v>4057</v>
      </c>
      <c r="C4076" s="8" t="s">
        <v>3795</v>
      </c>
      <c r="D4076" s="7">
        <v>1</v>
      </c>
      <c r="E4076" s="7">
        <v>10</v>
      </c>
      <c r="F4076" s="7">
        <v>1</v>
      </c>
      <c r="G4076" s="8" t="s">
        <v>3826</v>
      </c>
      <c r="H4076" s="8" t="s">
        <v>3827</v>
      </c>
      <c r="I4076" s="7" t="str">
        <f>_xlfn.CONCAT(Paper_Reference[[#This Row],[Lvl]:[Paper Description]])</f>
        <v>2NF39S-7036T-5800Precision White  60 x 961101110SW736-6200PRECISION WHITE 62"</v>
      </c>
      <c r="J4076" s="7">
        <f>COUNTIF(Paper_Reference[Duplicate Key],Paper_Reference[[#This Row],[Duplicate Key]])</f>
        <v>1</v>
      </c>
    </row>
    <row r="4077" spans="1:10">
      <c r="A4077" s="7">
        <v>2</v>
      </c>
      <c r="B4077" s="8" t="s">
        <v>3627</v>
      </c>
      <c r="C4077" s="8" t="s">
        <v>3274</v>
      </c>
      <c r="D4077" s="7">
        <v>1</v>
      </c>
      <c r="E4077" s="7">
        <v>10</v>
      </c>
      <c r="F4077" s="7">
        <v>1</v>
      </c>
      <c r="G4077" s="8" t="s">
        <v>3230</v>
      </c>
      <c r="H4077" s="8" t="s">
        <v>3231</v>
      </c>
      <c r="I4077" s="7" t="str">
        <f>_xlfn.CONCAT(Paper_Reference[[#This Row],[Lvl]:[Paper Description]])</f>
        <v>2NF39S-7036VE4200PRECISION WHITE 48 X 1441101110SW736-5000PRECISION WHITE 43 X 145</v>
      </c>
      <c r="J4077" s="7">
        <f>COUNTIF(Paper_Reference[Duplicate Key],Paper_Reference[[#This Row],[Duplicate Key]])</f>
        <v>1</v>
      </c>
    </row>
    <row r="4078" spans="1:10">
      <c r="A4078" s="7">
        <v>2</v>
      </c>
      <c r="B4078" s="8" t="s">
        <v>3628</v>
      </c>
      <c r="C4078" s="8" t="s">
        <v>3235</v>
      </c>
      <c r="D4078" s="7">
        <v>1</v>
      </c>
      <c r="E4078" s="7">
        <v>10</v>
      </c>
      <c r="F4078" s="7">
        <v>1</v>
      </c>
      <c r="G4078" s="8" t="s">
        <v>3230</v>
      </c>
      <c r="H4078" s="8" t="s">
        <v>3231</v>
      </c>
      <c r="I4078" s="7" t="str">
        <f>_xlfn.CONCAT(Paper_Reference[[#This Row],[Lvl]:[Paper Description]])</f>
        <v>2NF39S-7036VE4800PRECISION WHITE 48 X 961101110SW736-5000PRECISION WHITE 43 X 145</v>
      </c>
      <c r="J4078" s="7">
        <f>COUNTIF(Paper_Reference[Duplicate Key],Paper_Reference[[#This Row],[Duplicate Key]])</f>
        <v>1</v>
      </c>
    </row>
    <row r="4079" spans="1:10">
      <c r="A4079" s="7">
        <v>2</v>
      </c>
      <c r="B4079" s="8" t="s">
        <v>4058</v>
      </c>
      <c r="C4079" s="8" t="s">
        <v>3766</v>
      </c>
      <c r="D4079" s="7">
        <v>1</v>
      </c>
      <c r="E4079" s="7">
        <v>10</v>
      </c>
      <c r="F4079" s="7">
        <v>1</v>
      </c>
      <c r="G4079" s="8" t="s">
        <v>3826</v>
      </c>
      <c r="H4079" s="8" t="s">
        <v>3827</v>
      </c>
      <c r="I4079" s="7" t="str">
        <f>_xlfn.CONCAT(Paper_Reference[[#This Row],[Lvl]:[Paper Description]])</f>
        <v>2NF39S-7036VE5200PRECISION WHITE 60 X 1441101110SW736-6200PRECISION WHITE 62"</v>
      </c>
      <c r="J4079" s="7">
        <f>COUNTIF(Paper_Reference[Duplicate Key],Paper_Reference[[#This Row],[Duplicate Key]])</f>
        <v>1</v>
      </c>
    </row>
    <row r="4080" spans="1:10">
      <c r="A4080" s="7">
        <v>2</v>
      </c>
      <c r="B4080" s="8" t="s">
        <v>3629</v>
      </c>
      <c r="C4080" s="8" t="s">
        <v>3235</v>
      </c>
      <c r="D4080" s="7">
        <v>1</v>
      </c>
      <c r="E4080" s="7">
        <v>10</v>
      </c>
      <c r="F4080" s="7">
        <v>1</v>
      </c>
      <c r="G4080" s="8" t="s">
        <v>3230</v>
      </c>
      <c r="H4080" s="8" t="s">
        <v>3231</v>
      </c>
      <c r="I4080" s="7" t="str">
        <f>_xlfn.CONCAT(Paper_Reference[[#This Row],[Lvl]:[Paper Description]])</f>
        <v>2NF39S-7036WE4800PRECISION WHITE 48 X 961101110SW736-5000PRECISION WHITE 43 X 145</v>
      </c>
      <c r="J4080" s="7">
        <f>COUNTIF(Paper_Reference[Duplicate Key],Paper_Reference[[#This Row],[Duplicate Key]])</f>
        <v>1</v>
      </c>
    </row>
    <row r="4081" spans="1:10">
      <c r="A4081" s="7">
        <v>2</v>
      </c>
      <c r="B4081" s="8" t="s">
        <v>4242</v>
      </c>
      <c r="C4081" s="8" t="s">
        <v>4151</v>
      </c>
      <c r="D4081" s="7">
        <v>1</v>
      </c>
      <c r="E4081" s="7">
        <v>10</v>
      </c>
      <c r="F4081" s="7">
        <v>1</v>
      </c>
      <c r="G4081" s="8" t="s">
        <v>4129</v>
      </c>
      <c r="H4081" s="8" t="s">
        <v>4130</v>
      </c>
      <c r="I4081" s="7" t="str">
        <f>_xlfn.CONCAT(Paper_Reference[[#This Row],[Lvl]:[Paper Description]])</f>
        <v>2NF39WC5581GL5201BLOSSOM CHERRY 60 X 1441101110WC013-6200BLOSSOM CHERRY</v>
      </c>
      <c r="J4081" s="7">
        <f>COUNTIF(Paper_Reference[Duplicate Key],Paper_Reference[[#This Row],[Duplicate Key]])</f>
        <v>1</v>
      </c>
    </row>
    <row r="4082" spans="1:10">
      <c r="A4082" s="7">
        <v>2</v>
      </c>
      <c r="B4082" s="8" t="s">
        <v>4243</v>
      </c>
      <c r="C4082" s="8" t="s">
        <v>4152</v>
      </c>
      <c r="D4082" s="7">
        <v>1</v>
      </c>
      <c r="E4082" s="7">
        <v>10</v>
      </c>
      <c r="F4082" s="7">
        <v>0.5</v>
      </c>
      <c r="G4082" s="8" t="s">
        <v>4129</v>
      </c>
      <c r="H4082" s="8" t="s">
        <v>4130</v>
      </c>
      <c r="I4082" s="7" t="str">
        <f>_xlfn.CONCAT(Paper_Reference[[#This Row],[Lvl]:[Paper Description]])</f>
        <v>2NF39WC5581MG0000BLOSSOM CHERRY  30 X 1201100.5110WC013-6200BLOSSOM CHERRY</v>
      </c>
      <c r="J4082" s="7">
        <f>COUNTIF(Paper_Reference[Duplicate Key],Paper_Reference[[#This Row],[Duplicate Key]])</f>
        <v>1</v>
      </c>
    </row>
    <row r="4083" spans="1:10">
      <c r="A4083" s="7">
        <v>2</v>
      </c>
      <c r="B4083" s="8" t="s">
        <v>4244</v>
      </c>
      <c r="C4083" s="8" t="s">
        <v>4153</v>
      </c>
      <c r="D4083" s="7">
        <v>1</v>
      </c>
      <c r="E4083" s="7">
        <v>10</v>
      </c>
      <c r="F4083" s="7">
        <v>0.5</v>
      </c>
      <c r="G4083" s="8" t="s">
        <v>4129</v>
      </c>
      <c r="H4083" s="8" t="s">
        <v>4130</v>
      </c>
      <c r="I4083" s="7" t="str">
        <f>_xlfn.CONCAT(Paper_Reference[[#This Row],[Lvl]:[Paper Description]])</f>
        <v>2NF39WC5581MG0200BLOSSOM CHERRY  30 X 1441100.5110WC013-6200BLOSSOM CHERRY</v>
      </c>
      <c r="J4083" s="7">
        <f>COUNTIF(Paper_Reference[Duplicate Key],Paper_Reference[[#This Row],[Duplicate Key]])</f>
        <v>1</v>
      </c>
    </row>
    <row r="4084" spans="1:10">
      <c r="A4084" s="7">
        <v>2</v>
      </c>
      <c r="B4084" s="8" t="s">
        <v>4245</v>
      </c>
      <c r="C4084" s="8" t="s">
        <v>4154</v>
      </c>
      <c r="D4084" s="7">
        <v>1</v>
      </c>
      <c r="E4084" s="7">
        <v>10</v>
      </c>
      <c r="F4084" s="7">
        <v>0.5</v>
      </c>
      <c r="G4084" s="8" t="s">
        <v>4129</v>
      </c>
      <c r="H4084" s="8" t="s">
        <v>4130</v>
      </c>
      <c r="I4084" s="7" t="str">
        <f>_xlfn.CONCAT(Paper_Reference[[#This Row],[Lvl]:[Paper Description]])</f>
        <v>2NF39WC5581MG0800BLOSSOM CHERRY  30 X 961100.5110WC013-6200BLOSSOM CHERRY</v>
      </c>
      <c r="J4084" s="7">
        <f>COUNTIF(Paper_Reference[Duplicate Key],Paper_Reference[[#This Row],[Duplicate Key]])</f>
        <v>1</v>
      </c>
    </row>
    <row r="4085" spans="1:10">
      <c r="A4085" s="7">
        <v>2</v>
      </c>
      <c r="B4085" s="8" t="s">
        <v>4246</v>
      </c>
      <c r="C4085" s="8" t="s">
        <v>4155</v>
      </c>
      <c r="D4085" s="7">
        <v>1</v>
      </c>
      <c r="E4085" s="7">
        <v>10</v>
      </c>
      <c r="F4085" s="7">
        <v>1</v>
      </c>
      <c r="G4085" s="8" t="s">
        <v>4129</v>
      </c>
      <c r="H4085" s="8" t="s">
        <v>4130</v>
      </c>
      <c r="I4085" s="7" t="str">
        <f>_xlfn.CONCAT(Paper_Reference[[#This Row],[Lvl]:[Paper Description]])</f>
        <v>2NF39WC5581MG3000BLOSSOM CHERRY  36 X 1201101110WC013-6200BLOSSOM CHERRY</v>
      </c>
      <c r="J4085" s="7">
        <f>COUNTIF(Paper_Reference[Duplicate Key],Paper_Reference[[#This Row],[Duplicate Key]])</f>
        <v>1</v>
      </c>
    </row>
    <row r="4086" spans="1:10">
      <c r="A4086" s="7">
        <v>2</v>
      </c>
      <c r="B4086" s="8" t="s">
        <v>4247</v>
      </c>
      <c r="C4086" s="8" t="s">
        <v>4156</v>
      </c>
      <c r="D4086" s="7">
        <v>1</v>
      </c>
      <c r="E4086" s="7">
        <v>10</v>
      </c>
      <c r="F4086" s="7">
        <v>1</v>
      </c>
      <c r="G4086" s="8" t="s">
        <v>4129</v>
      </c>
      <c r="H4086" s="8" t="s">
        <v>4130</v>
      </c>
      <c r="I4086" s="7" t="str">
        <f>_xlfn.CONCAT(Paper_Reference[[#This Row],[Lvl]:[Paper Description]])</f>
        <v>2NF39WC5581MG3200BLOSSOM CHERRY  36 X 1441101110WC013-6200BLOSSOM CHERRY</v>
      </c>
      <c r="J4086" s="7">
        <f>COUNTIF(Paper_Reference[Duplicate Key],Paper_Reference[[#This Row],[Duplicate Key]])</f>
        <v>1</v>
      </c>
    </row>
    <row r="4087" spans="1:10">
      <c r="A4087" s="7">
        <v>2</v>
      </c>
      <c r="B4087" s="8" t="s">
        <v>4248</v>
      </c>
      <c r="C4087" s="8" t="s">
        <v>4157</v>
      </c>
      <c r="D4087" s="7">
        <v>1</v>
      </c>
      <c r="E4087" s="7">
        <v>10</v>
      </c>
      <c r="F4087" s="7">
        <v>1</v>
      </c>
      <c r="G4087" s="8" t="s">
        <v>4129</v>
      </c>
      <c r="H4087" s="8" t="s">
        <v>4130</v>
      </c>
      <c r="I4087" s="7" t="str">
        <f>_xlfn.CONCAT(Paper_Reference[[#This Row],[Lvl]:[Paper Description]])</f>
        <v>2NF39WC5581MG3900BLOSSOM CHERRY 36 X 1081101110WC013-6200BLOSSOM CHERRY</v>
      </c>
      <c r="J4087" s="7">
        <f>COUNTIF(Paper_Reference[Duplicate Key],Paper_Reference[[#This Row],[Duplicate Key]])</f>
        <v>1</v>
      </c>
    </row>
    <row r="4088" spans="1:10">
      <c r="A4088" s="7">
        <v>2</v>
      </c>
      <c r="B4088" s="8" t="s">
        <v>4249</v>
      </c>
      <c r="C4088" s="8" t="s">
        <v>4133</v>
      </c>
      <c r="D4088" s="7">
        <v>1</v>
      </c>
      <c r="E4088" s="7">
        <v>10</v>
      </c>
      <c r="F4088" s="7">
        <v>1</v>
      </c>
      <c r="G4088" s="8" t="s">
        <v>4129</v>
      </c>
      <c r="H4088" s="8" t="s">
        <v>4130</v>
      </c>
      <c r="I4088" s="7" t="str">
        <f>_xlfn.CONCAT(Paper_Reference[[#This Row],[Lvl]:[Paper Description]])</f>
        <v>2NF39WC5581MG4000BLOSSOM CHERRY  48 X 1201101110WC013-6200BLOSSOM CHERRY</v>
      </c>
      <c r="J4088" s="7">
        <f>COUNTIF(Paper_Reference[Duplicate Key],Paper_Reference[[#This Row],[Duplicate Key]])</f>
        <v>1</v>
      </c>
    </row>
    <row r="4089" spans="1:10">
      <c r="A4089" s="7">
        <v>2</v>
      </c>
      <c r="B4089" s="8" t="s">
        <v>4250</v>
      </c>
      <c r="C4089" s="8" t="s">
        <v>4133</v>
      </c>
      <c r="D4089" s="7">
        <v>1</v>
      </c>
      <c r="E4089" s="7">
        <v>10</v>
      </c>
      <c r="F4089" s="7">
        <v>1</v>
      </c>
      <c r="G4089" s="8" t="s">
        <v>4129</v>
      </c>
      <c r="H4089" s="8" t="s">
        <v>4130</v>
      </c>
      <c r="I4089" s="7" t="str">
        <f>_xlfn.CONCAT(Paper_Reference[[#This Row],[Lvl]:[Paper Description]])</f>
        <v>2NF39WC5581MG4001BLOSSOM CHERRY  48 X 1201101110WC013-6200BLOSSOM CHERRY</v>
      </c>
      <c r="J4089" s="7">
        <f>COUNTIF(Paper_Reference[Duplicate Key],Paper_Reference[[#This Row],[Duplicate Key]])</f>
        <v>1</v>
      </c>
    </row>
    <row r="4090" spans="1:10">
      <c r="A4090" s="7">
        <v>2</v>
      </c>
      <c r="B4090" s="8" t="s">
        <v>4251</v>
      </c>
      <c r="C4090" s="8" t="s">
        <v>4158</v>
      </c>
      <c r="D4090" s="7">
        <v>1</v>
      </c>
      <c r="E4090" s="7">
        <v>10</v>
      </c>
      <c r="F4090" s="7">
        <v>1</v>
      </c>
      <c r="G4090" s="8" t="s">
        <v>4129</v>
      </c>
      <c r="H4090" s="8" t="s">
        <v>4130</v>
      </c>
      <c r="I4090" s="7" t="str">
        <f>_xlfn.CONCAT(Paper_Reference[[#This Row],[Lvl]:[Paper Description]])</f>
        <v>2NF39WC5581MG4200BLOSSOM CHERRY  48 X 1441101110WC013-6200BLOSSOM CHERRY</v>
      </c>
      <c r="J4090" s="7">
        <f>COUNTIF(Paper_Reference[Duplicate Key],Paper_Reference[[#This Row],[Duplicate Key]])</f>
        <v>1</v>
      </c>
    </row>
    <row r="4091" spans="1:10">
      <c r="A4091" s="7">
        <v>2</v>
      </c>
      <c r="B4091" s="8" t="s">
        <v>4252</v>
      </c>
      <c r="C4091" s="8" t="s">
        <v>4159</v>
      </c>
      <c r="D4091" s="7">
        <v>1</v>
      </c>
      <c r="E4091" s="7">
        <v>10</v>
      </c>
      <c r="F4091" s="7">
        <v>1</v>
      </c>
      <c r="G4091" s="8" t="s">
        <v>4129</v>
      </c>
      <c r="H4091" s="8" t="s">
        <v>4130</v>
      </c>
      <c r="I4091" s="7" t="str">
        <f>_xlfn.CONCAT(Paper_Reference[[#This Row],[Lvl]:[Paper Description]])</f>
        <v>2NF39WC5581MG4201BLOSSOM CHERRY PC  48 X 1441101110WC013-6200BLOSSOM CHERRY</v>
      </c>
      <c r="J4091" s="7">
        <f>COUNTIF(Paper_Reference[Duplicate Key],Paper_Reference[[#This Row],[Duplicate Key]])</f>
        <v>1</v>
      </c>
    </row>
    <row r="4092" spans="1:10">
      <c r="A4092" s="7">
        <v>2</v>
      </c>
      <c r="B4092" s="8" t="s">
        <v>4253</v>
      </c>
      <c r="C4092" s="8" t="s">
        <v>4135</v>
      </c>
      <c r="D4092" s="7">
        <v>1</v>
      </c>
      <c r="E4092" s="7">
        <v>10</v>
      </c>
      <c r="F4092" s="7">
        <v>1</v>
      </c>
      <c r="G4092" s="8" t="s">
        <v>4129</v>
      </c>
      <c r="H4092" s="8" t="s">
        <v>4130</v>
      </c>
      <c r="I4092" s="7" t="str">
        <f>_xlfn.CONCAT(Paper_Reference[[#This Row],[Lvl]:[Paper Description]])</f>
        <v>2NF39WC5581MG5000BLOSSOM CHERRY  60 X 1201101110WC013-6200BLOSSOM CHERRY</v>
      </c>
      <c r="J4092" s="7">
        <f>COUNTIF(Paper_Reference[Duplicate Key],Paper_Reference[[#This Row],[Duplicate Key]])</f>
        <v>1</v>
      </c>
    </row>
    <row r="4093" spans="1:10">
      <c r="A4093" s="7">
        <v>2</v>
      </c>
      <c r="B4093" s="8" t="s">
        <v>4254</v>
      </c>
      <c r="C4093" s="8" t="s">
        <v>4136</v>
      </c>
      <c r="D4093" s="7">
        <v>1</v>
      </c>
      <c r="E4093" s="7">
        <v>10</v>
      </c>
      <c r="F4093" s="7">
        <v>1</v>
      </c>
      <c r="G4093" s="8" t="s">
        <v>4129</v>
      </c>
      <c r="H4093" s="8" t="s">
        <v>4130</v>
      </c>
      <c r="I4093" s="7" t="str">
        <f>_xlfn.CONCAT(Paper_Reference[[#This Row],[Lvl]:[Paper Description]])</f>
        <v>2NF39WC5581MG5200BLOSSOM CHERRY  60 X 1441101110WC013-6200BLOSSOM CHERRY</v>
      </c>
      <c r="J4093" s="7">
        <f>COUNTIF(Paper_Reference[Duplicate Key],Paper_Reference[[#This Row],[Duplicate Key]])</f>
        <v>1</v>
      </c>
    </row>
    <row r="4094" spans="1:10">
      <c r="A4094" s="7">
        <v>2</v>
      </c>
      <c r="B4094" s="8" t="s">
        <v>4255</v>
      </c>
      <c r="C4094" s="8" t="s">
        <v>4151</v>
      </c>
      <c r="D4094" s="7">
        <v>1</v>
      </c>
      <c r="E4094" s="7">
        <v>10</v>
      </c>
      <c r="F4094" s="7">
        <v>1</v>
      </c>
      <c r="G4094" s="8" t="s">
        <v>4129</v>
      </c>
      <c r="H4094" s="8" t="s">
        <v>4130</v>
      </c>
      <c r="I4094" s="7" t="str">
        <f>_xlfn.CONCAT(Paper_Reference[[#This Row],[Lvl]:[Paper Description]])</f>
        <v>2NF39WC5581MG5201BLOSSOM CHERRY 60 X 1441101110WC013-6200BLOSSOM CHERRY</v>
      </c>
      <c r="J4094" s="7">
        <f>COUNTIF(Paper_Reference[Duplicate Key],Paper_Reference[[#This Row],[Duplicate Key]])</f>
        <v>1</v>
      </c>
    </row>
    <row r="4095" spans="1:10">
      <c r="A4095" s="7">
        <v>2</v>
      </c>
      <c r="B4095" s="8" t="s">
        <v>4256</v>
      </c>
      <c r="C4095" s="8" t="s">
        <v>4151</v>
      </c>
      <c r="D4095" s="7">
        <v>1</v>
      </c>
      <c r="E4095" s="7">
        <v>10</v>
      </c>
      <c r="F4095" s="7">
        <v>1</v>
      </c>
      <c r="G4095" s="8" t="s">
        <v>4129</v>
      </c>
      <c r="H4095" s="8" t="s">
        <v>4130</v>
      </c>
      <c r="I4095" s="7" t="str">
        <f>_xlfn.CONCAT(Paper_Reference[[#This Row],[Lvl]:[Paper Description]])</f>
        <v>2NF39WC5581MG5203BLOSSOM CHERRY 60 X 1441101110WC013-6200BLOSSOM CHERRY</v>
      </c>
      <c r="J4095" s="7">
        <f>COUNTIF(Paper_Reference[Duplicate Key],Paper_Reference[[#This Row],[Duplicate Key]])</f>
        <v>1</v>
      </c>
    </row>
    <row r="4096" spans="1:10">
      <c r="A4096" s="7">
        <v>2</v>
      </c>
      <c r="B4096" s="8" t="s">
        <v>4257</v>
      </c>
      <c r="C4096" s="8" t="s">
        <v>4137</v>
      </c>
      <c r="D4096" s="7">
        <v>1</v>
      </c>
      <c r="E4096" s="7">
        <v>10</v>
      </c>
      <c r="F4096" s="7">
        <v>1</v>
      </c>
      <c r="G4096" s="8" t="s">
        <v>4129</v>
      </c>
      <c r="H4096" s="8" t="s">
        <v>4130</v>
      </c>
      <c r="I4096" s="7" t="str">
        <f>_xlfn.CONCAT(Paper_Reference[[#This Row],[Lvl]:[Paper Description]])</f>
        <v>2NF39WC5581MG5800BLOSSOM CHERRY  60 X 961101110WC013-6200BLOSSOM CHERRY</v>
      </c>
      <c r="J4096" s="7">
        <f>COUNTIF(Paper_Reference[Duplicate Key],Paper_Reference[[#This Row],[Duplicate Key]])</f>
        <v>1</v>
      </c>
    </row>
    <row r="4097" spans="1:10">
      <c r="A4097" s="7">
        <v>2</v>
      </c>
      <c r="B4097" s="8" t="s">
        <v>4258</v>
      </c>
      <c r="C4097" s="8" t="s">
        <v>4137</v>
      </c>
      <c r="D4097" s="7">
        <v>1</v>
      </c>
      <c r="E4097" s="7">
        <v>10</v>
      </c>
      <c r="F4097" s="7">
        <v>1</v>
      </c>
      <c r="G4097" s="8" t="s">
        <v>4129</v>
      </c>
      <c r="H4097" s="8" t="s">
        <v>4130</v>
      </c>
      <c r="I4097" s="7" t="str">
        <f>_xlfn.CONCAT(Paper_Reference[[#This Row],[Lvl]:[Paper Description]])</f>
        <v>2NF39WC5581MG5801BLOSSOM CHERRY  60 X 961101110WC013-6200BLOSSOM CHERRY</v>
      </c>
      <c r="J4097" s="7">
        <f>COUNTIF(Paper_Reference[Duplicate Key],Paper_Reference[[#This Row],[Duplicate Key]])</f>
        <v>1</v>
      </c>
    </row>
    <row r="4098" spans="1:10">
      <c r="A4098" s="7">
        <v>2</v>
      </c>
      <c r="B4098" s="8" t="s">
        <v>4259</v>
      </c>
      <c r="C4098" s="8" t="s">
        <v>4160</v>
      </c>
      <c r="D4098" s="7">
        <v>1</v>
      </c>
      <c r="E4098" s="7">
        <v>10</v>
      </c>
      <c r="F4098" s="7">
        <v>0.5</v>
      </c>
      <c r="G4098" s="8" t="s">
        <v>4129</v>
      </c>
      <c r="H4098" s="8" t="s">
        <v>4130</v>
      </c>
      <c r="I4098" s="7" t="str">
        <f>_xlfn.CONCAT(Paper_Reference[[#This Row],[Lvl]:[Paper Description]])</f>
        <v>2NF39WC5581N-0000Blossom Cherry  30 x 1201100.5110WC013-6200BLOSSOM CHERRY</v>
      </c>
      <c r="J4098" s="7">
        <f>COUNTIF(Paper_Reference[Duplicate Key],Paper_Reference[[#This Row],[Duplicate Key]])</f>
        <v>1</v>
      </c>
    </row>
    <row r="4099" spans="1:10">
      <c r="A4099" s="7">
        <v>2</v>
      </c>
      <c r="B4099" s="8" t="s">
        <v>4260</v>
      </c>
      <c r="C4099" s="8" t="s">
        <v>4161</v>
      </c>
      <c r="D4099" s="7">
        <v>1</v>
      </c>
      <c r="E4099" s="7">
        <v>10</v>
      </c>
      <c r="F4099" s="7">
        <v>0.5</v>
      </c>
      <c r="G4099" s="8" t="s">
        <v>4129</v>
      </c>
      <c r="H4099" s="8" t="s">
        <v>4130</v>
      </c>
      <c r="I4099" s="7" t="str">
        <f>_xlfn.CONCAT(Paper_Reference[[#This Row],[Lvl]:[Paper Description]])</f>
        <v>2NF39WC5581N-0200Blossom Cherry  30 x 1441100.5110WC013-6200BLOSSOM CHERRY</v>
      </c>
      <c r="J4099" s="7">
        <f>COUNTIF(Paper_Reference[Duplicate Key],Paper_Reference[[#This Row],[Duplicate Key]])</f>
        <v>1</v>
      </c>
    </row>
    <row r="4100" spans="1:10">
      <c r="A4100" s="7">
        <v>2</v>
      </c>
      <c r="B4100" s="8" t="s">
        <v>4261</v>
      </c>
      <c r="C4100" s="8" t="s">
        <v>4162</v>
      </c>
      <c r="D4100" s="7">
        <v>1</v>
      </c>
      <c r="E4100" s="7">
        <v>10</v>
      </c>
      <c r="F4100" s="7">
        <v>0.5</v>
      </c>
      <c r="G4100" s="8" t="s">
        <v>4129</v>
      </c>
      <c r="H4100" s="8" t="s">
        <v>4130</v>
      </c>
      <c r="I4100" s="7" t="str">
        <f>_xlfn.CONCAT(Paper_Reference[[#This Row],[Lvl]:[Paper Description]])</f>
        <v>2NF39WC5581N-0800Blossom Cherry  30 x 961100.5110WC013-6200BLOSSOM CHERRY</v>
      </c>
      <c r="J4100" s="7">
        <f>COUNTIF(Paper_Reference[Duplicate Key],Paper_Reference[[#This Row],[Duplicate Key]])</f>
        <v>1</v>
      </c>
    </row>
    <row r="4101" spans="1:10">
      <c r="A4101" s="7">
        <v>2</v>
      </c>
      <c r="B4101" s="8" t="s">
        <v>4262</v>
      </c>
      <c r="C4101" s="8" t="s">
        <v>4163</v>
      </c>
      <c r="D4101" s="7">
        <v>1</v>
      </c>
      <c r="E4101" s="7">
        <v>10</v>
      </c>
      <c r="F4101" s="7">
        <v>1</v>
      </c>
      <c r="G4101" s="8" t="s">
        <v>4129</v>
      </c>
      <c r="H4101" s="8" t="s">
        <v>4130</v>
      </c>
      <c r="I4101" s="7" t="str">
        <f>_xlfn.CONCAT(Paper_Reference[[#This Row],[Lvl]:[Paper Description]])</f>
        <v>2NF39WC5581N-3000Blossom Cherry  36 x 1201101110WC013-6200BLOSSOM CHERRY</v>
      </c>
      <c r="J4101" s="7">
        <f>COUNTIF(Paper_Reference[Duplicate Key],Paper_Reference[[#This Row],[Duplicate Key]])</f>
        <v>1</v>
      </c>
    </row>
    <row r="4102" spans="1:10">
      <c r="A4102" s="7">
        <v>2</v>
      </c>
      <c r="B4102" s="8" t="s">
        <v>4263</v>
      </c>
      <c r="C4102" s="8" t="s">
        <v>4144</v>
      </c>
      <c r="D4102" s="7">
        <v>1</v>
      </c>
      <c r="E4102" s="7">
        <v>10</v>
      </c>
      <c r="F4102" s="7">
        <v>1</v>
      </c>
      <c r="G4102" s="8" t="s">
        <v>4129</v>
      </c>
      <c r="H4102" s="8" t="s">
        <v>4130</v>
      </c>
      <c r="I4102" s="7" t="str">
        <f>_xlfn.CONCAT(Paper_Reference[[#This Row],[Lvl]:[Paper Description]])</f>
        <v>2NF39WC5581N-3200Blossom Cherry  36 x 1441101110WC013-6200BLOSSOM CHERRY</v>
      </c>
      <c r="J4102" s="7">
        <f>COUNTIF(Paper_Reference[Duplicate Key],Paper_Reference[[#This Row],[Duplicate Key]])</f>
        <v>1</v>
      </c>
    </row>
    <row r="4103" spans="1:10">
      <c r="A4103" s="7">
        <v>2</v>
      </c>
      <c r="B4103" s="8" t="s">
        <v>4264</v>
      </c>
      <c r="C4103" s="8" t="s">
        <v>4145</v>
      </c>
      <c r="D4103" s="7">
        <v>1</v>
      </c>
      <c r="E4103" s="7">
        <v>10</v>
      </c>
      <c r="F4103" s="7">
        <v>1</v>
      </c>
      <c r="G4103" s="8" t="s">
        <v>4129</v>
      </c>
      <c r="H4103" s="8" t="s">
        <v>4130</v>
      </c>
      <c r="I4103" s="7" t="str">
        <f>_xlfn.CONCAT(Paper_Reference[[#This Row],[Lvl]:[Paper Description]])</f>
        <v>2NF39WC5581N-4000Blossom Cherry  48 x 1201101110WC013-6200BLOSSOM CHERRY</v>
      </c>
      <c r="J4103" s="7">
        <f>COUNTIF(Paper_Reference[Duplicate Key],Paper_Reference[[#This Row],[Duplicate Key]])</f>
        <v>1</v>
      </c>
    </row>
    <row r="4104" spans="1:10">
      <c r="A4104" s="7">
        <v>2</v>
      </c>
      <c r="B4104" s="8" t="s">
        <v>4265</v>
      </c>
      <c r="C4104" s="8" t="s">
        <v>4164</v>
      </c>
      <c r="D4104" s="7">
        <v>1</v>
      </c>
      <c r="E4104" s="7">
        <v>10</v>
      </c>
      <c r="F4104" s="7">
        <v>1</v>
      </c>
      <c r="G4104" s="8" t="s">
        <v>4129</v>
      </c>
      <c r="H4104" s="8" t="s">
        <v>4130</v>
      </c>
      <c r="I4104" s="7" t="str">
        <f>_xlfn.CONCAT(Paper_Reference[[#This Row],[Lvl]:[Paper Description]])</f>
        <v>2NF39WC5581N-4200Blossom Cherry  48 x 1441101110WC013-6200BLOSSOM CHERRY</v>
      </c>
      <c r="J4104" s="7">
        <f>COUNTIF(Paper_Reference[Duplicate Key],Paper_Reference[[#This Row],[Duplicate Key]])</f>
        <v>1</v>
      </c>
    </row>
    <row r="4105" spans="1:10">
      <c r="A4105" s="7">
        <v>2</v>
      </c>
      <c r="B4105" s="8" t="s">
        <v>4266</v>
      </c>
      <c r="C4105" s="8" t="s">
        <v>4165</v>
      </c>
      <c r="D4105" s="7">
        <v>1</v>
      </c>
      <c r="E4105" s="7">
        <v>10</v>
      </c>
      <c r="F4105" s="7">
        <v>1</v>
      </c>
      <c r="G4105" s="8" t="s">
        <v>4129</v>
      </c>
      <c r="H4105" s="8" t="s">
        <v>4130</v>
      </c>
      <c r="I4105" s="7" t="str">
        <f>_xlfn.CONCAT(Paper_Reference[[#This Row],[Lvl]:[Paper Description]])</f>
        <v>2NF39WC5581N-4201Blossom Cherry PC  48 x 1441101110WC013-6200BLOSSOM CHERRY</v>
      </c>
      <c r="J4105" s="7">
        <f>COUNTIF(Paper_Reference[Duplicate Key],Paper_Reference[[#This Row],[Duplicate Key]])</f>
        <v>1</v>
      </c>
    </row>
    <row r="4106" spans="1:10">
      <c r="A4106" s="7">
        <v>2</v>
      </c>
      <c r="B4106" s="8" t="s">
        <v>4267</v>
      </c>
      <c r="C4106" s="8" t="s">
        <v>4146</v>
      </c>
      <c r="D4106" s="7">
        <v>1</v>
      </c>
      <c r="E4106" s="7">
        <v>10</v>
      </c>
      <c r="F4106" s="7">
        <v>1</v>
      </c>
      <c r="G4106" s="8" t="s">
        <v>4129</v>
      </c>
      <c r="H4106" s="8" t="s">
        <v>4130</v>
      </c>
      <c r="I4106" s="7" t="str">
        <f>_xlfn.CONCAT(Paper_Reference[[#This Row],[Lvl]:[Paper Description]])</f>
        <v>2NF39WC5581N-5000Blossom Cherry  60 x 1201101110WC013-6200BLOSSOM CHERRY</v>
      </c>
      <c r="J4106" s="7">
        <f>COUNTIF(Paper_Reference[Duplicate Key],Paper_Reference[[#This Row],[Duplicate Key]])</f>
        <v>1</v>
      </c>
    </row>
    <row r="4107" spans="1:10">
      <c r="A4107" s="7">
        <v>2</v>
      </c>
      <c r="B4107" s="8" t="s">
        <v>4268</v>
      </c>
      <c r="C4107" s="8" t="s">
        <v>4131</v>
      </c>
      <c r="D4107" s="7">
        <v>1</v>
      </c>
      <c r="E4107" s="7">
        <v>10</v>
      </c>
      <c r="F4107" s="7">
        <v>1</v>
      </c>
      <c r="G4107" s="8" t="s">
        <v>4129</v>
      </c>
      <c r="H4107" s="8" t="s">
        <v>4130</v>
      </c>
      <c r="I4107" s="7" t="str">
        <f>_xlfn.CONCAT(Paper_Reference[[#This Row],[Lvl]:[Paper Description]])</f>
        <v>2NF39WC5581N-5200Blossom Cherry  60 x 1441101110WC013-6200BLOSSOM CHERRY</v>
      </c>
      <c r="J4107" s="7">
        <f>COUNTIF(Paper_Reference[Duplicate Key],Paper_Reference[[#This Row],[Duplicate Key]])</f>
        <v>1</v>
      </c>
    </row>
    <row r="4108" spans="1:10">
      <c r="A4108" s="7">
        <v>2</v>
      </c>
      <c r="B4108" s="8" t="s">
        <v>4269</v>
      </c>
      <c r="C4108" s="8" t="s">
        <v>4166</v>
      </c>
      <c r="D4108" s="7">
        <v>1</v>
      </c>
      <c r="E4108" s="7">
        <v>10</v>
      </c>
      <c r="F4108" s="7">
        <v>1</v>
      </c>
      <c r="G4108" s="8" t="s">
        <v>4129</v>
      </c>
      <c r="H4108" s="8" t="s">
        <v>4130</v>
      </c>
      <c r="I4108" s="7" t="str">
        <f>_xlfn.CONCAT(Paper_Reference[[#This Row],[Lvl]:[Paper Description]])</f>
        <v>2NF39WC5581N-5201Blossom Cherry PC  60 x 1441101110WC013-6200BLOSSOM CHERRY</v>
      </c>
      <c r="J4108" s="7">
        <f>COUNTIF(Paper_Reference[Duplicate Key],Paper_Reference[[#This Row],[Duplicate Key]])</f>
        <v>1</v>
      </c>
    </row>
    <row r="4109" spans="1:10">
      <c r="A4109" s="7">
        <v>2</v>
      </c>
      <c r="B4109" s="8" t="s">
        <v>4270</v>
      </c>
      <c r="C4109" s="8" t="s">
        <v>4147</v>
      </c>
      <c r="D4109" s="7">
        <v>1</v>
      </c>
      <c r="E4109" s="7">
        <v>10</v>
      </c>
      <c r="F4109" s="7">
        <v>1</v>
      </c>
      <c r="G4109" s="8" t="s">
        <v>4129</v>
      </c>
      <c r="H4109" s="8" t="s">
        <v>4130</v>
      </c>
      <c r="I4109" s="7" t="str">
        <f>_xlfn.CONCAT(Paper_Reference[[#This Row],[Lvl]:[Paper Description]])</f>
        <v>2NF39WC5581N-5800Blossom Cherry  60 x 961101110WC013-6200BLOSSOM CHERRY</v>
      </c>
      <c r="J4109" s="7">
        <f>COUNTIF(Paper_Reference[Duplicate Key],Paper_Reference[[#This Row],[Duplicate Key]])</f>
        <v>1</v>
      </c>
    </row>
    <row r="4110" spans="1:10">
      <c r="A4110" s="7">
        <v>2</v>
      </c>
      <c r="B4110" s="8" t="s">
        <v>4271</v>
      </c>
      <c r="C4110" s="8" t="s">
        <v>4167</v>
      </c>
      <c r="D4110" s="7">
        <v>1</v>
      </c>
      <c r="E4110" s="7">
        <v>10</v>
      </c>
      <c r="F4110" s="7">
        <v>1</v>
      </c>
      <c r="G4110" s="8" t="s">
        <v>4129</v>
      </c>
      <c r="H4110" s="8" t="s">
        <v>4130</v>
      </c>
      <c r="I4110" s="7" t="str">
        <f>_xlfn.CONCAT(Paper_Reference[[#This Row],[Lvl]:[Paper Description]])</f>
        <v>2NF39WC5581PV5000BLOSSOM CHERRY  60 x 1201101110WC013-6200BLOSSOM CHERRY</v>
      </c>
      <c r="J4110" s="7">
        <f>COUNTIF(Paper_Reference[Duplicate Key],Paper_Reference[[#This Row],[Duplicate Key]])</f>
        <v>1</v>
      </c>
    </row>
    <row r="4111" spans="1:10">
      <c r="A4111" s="7">
        <v>2</v>
      </c>
      <c r="B4111" s="8" t="s">
        <v>4272</v>
      </c>
      <c r="C4111" s="8" t="s">
        <v>4149</v>
      </c>
      <c r="D4111" s="7">
        <v>1</v>
      </c>
      <c r="E4111" s="7">
        <v>10</v>
      </c>
      <c r="F4111" s="7">
        <v>1</v>
      </c>
      <c r="G4111" s="8" t="s">
        <v>4129</v>
      </c>
      <c r="H4111" s="8" t="s">
        <v>4130</v>
      </c>
      <c r="I4111" s="7" t="str">
        <f>_xlfn.CONCAT(Paper_Reference[[#This Row],[Lvl]:[Paper Description]])</f>
        <v>2NF39WC5581SD5000BLOSSOM CHERRY 60 X 1201101110WC013-6200BLOSSOM CHERRY</v>
      </c>
      <c r="J4111" s="7">
        <f>COUNTIF(Paper_Reference[Duplicate Key],Paper_Reference[[#This Row],[Duplicate Key]])</f>
        <v>1</v>
      </c>
    </row>
    <row r="4112" spans="1:10">
      <c r="A4112" s="7">
        <v>2</v>
      </c>
      <c r="B4112" s="8" t="s">
        <v>4273</v>
      </c>
      <c r="C4112" s="8" t="s">
        <v>4151</v>
      </c>
      <c r="D4112" s="7">
        <v>1</v>
      </c>
      <c r="E4112" s="7">
        <v>10</v>
      </c>
      <c r="F4112" s="7">
        <v>1</v>
      </c>
      <c r="G4112" s="8" t="s">
        <v>4129</v>
      </c>
      <c r="H4112" s="8" t="s">
        <v>4130</v>
      </c>
      <c r="I4112" s="7" t="str">
        <f>_xlfn.CONCAT(Paper_Reference[[#This Row],[Lvl]:[Paper Description]])</f>
        <v>2NF39WC5581SD5200BLOSSOM CHERRY 60 X 1441101110WC013-6200BLOSSOM CHERRY</v>
      </c>
      <c r="J4112" s="7">
        <f>COUNTIF(Paper_Reference[Duplicate Key],Paper_Reference[[#This Row],[Duplicate Key]])</f>
        <v>1</v>
      </c>
    </row>
    <row r="4113" spans="1:10">
      <c r="A4113" s="7">
        <v>2</v>
      </c>
      <c r="B4113" s="8" t="s">
        <v>4274</v>
      </c>
      <c r="C4113" s="8" t="s">
        <v>4150</v>
      </c>
      <c r="D4113" s="7">
        <v>1</v>
      </c>
      <c r="E4113" s="7">
        <v>10</v>
      </c>
      <c r="F4113" s="7">
        <v>1</v>
      </c>
      <c r="G4113" s="8" t="s">
        <v>4129</v>
      </c>
      <c r="H4113" s="8" t="s">
        <v>4130</v>
      </c>
      <c r="I4113" s="7" t="str">
        <f>_xlfn.CONCAT(Paper_Reference[[#This Row],[Lvl]:[Paper Description]])</f>
        <v>2NF39WC5581SM5200BLOSSOM CHERRY 60X1441101110WC013-6200BLOSSOM CHERRY</v>
      </c>
      <c r="J4113" s="7">
        <f>COUNTIF(Paper_Reference[Duplicate Key],Paper_Reference[[#This Row],[Duplicate Key]])</f>
        <v>1</v>
      </c>
    </row>
    <row r="4114" spans="1:10">
      <c r="A4114" s="7">
        <v>2</v>
      </c>
      <c r="B4114" s="8" t="s">
        <v>4275</v>
      </c>
      <c r="C4114" s="8" t="s">
        <v>4146</v>
      </c>
      <c r="D4114" s="7">
        <v>1</v>
      </c>
      <c r="E4114" s="7">
        <v>10</v>
      </c>
      <c r="F4114" s="7">
        <v>1</v>
      </c>
      <c r="G4114" s="8" t="s">
        <v>4129</v>
      </c>
      <c r="H4114" s="8" t="s">
        <v>4130</v>
      </c>
      <c r="I4114" s="7" t="str">
        <f>_xlfn.CONCAT(Paper_Reference[[#This Row],[Lvl]:[Paper Description]])</f>
        <v>2NF39WC5581T-5000Blossom Cherry  60 x 1201101110WC013-6200BLOSSOM CHERRY</v>
      </c>
      <c r="J4114" s="7">
        <f>COUNTIF(Paper_Reference[Duplicate Key],Paper_Reference[[#This Row],[Duplicate Key]])</f>
        <v>1</v>
      </c>
    </row>
    <row r="4115" spans="1:10">
      <c r="A4115" s="7">
        <v>2</v>
      </c>
      <c r="B4115" s="8" t="s">
        <v>4276</v>
      </c>
      <c r="C4115" s="8" t="s">
        <v>4131</v>
      </c>
      <c r="D4115" s="7">
        <v>1</v>
      </c>
      <c r="E4115" s="7">
        <v>10</v>
      </c>
      <c r="F4115" s="7">
        <v>1</v>
      </c>
      <c r="G4115" s="8" t="s">
        <v>4129</v>
      </c>
      <c r="H4115" s="8" t="s">
        <v>4130</v>
      </c>
      <c r="I4115" s="7" t="str">
        <f>_xlfn.CONCAT(Paper_Reference[[#This Row],[Lvl]:[Paper Description]])</f>
        <v>2NF39WC5581T-5200Blossom Cherry  60 x 1441101110WC013-6200BLOSSOM CHERRY</v>
      </c>
      <c r="J4115" s="7">
        <f>COUNTIF(Paper_Reference[Duplicate Key],Paper_Reference[[#This Row],[Duplicate Key]])</f>
        <v>1</v>
      </c>
    </row>
    <row r="4116" spans="1:10">
      <c r="A4116" s="7">
        <v>2</v>
      </c>
      <c r="B4116" s="8" t="s">
        <v>4277</v>
      </c>
      <c r="C4116" s="8" t="s">
        <v>4131</v>
      </c>
      <c r="D4116" s="7">
        <v>1</v>
      </c>
      <c r="E4116" s="7">
        <v>10</v>
      </c>
      <c r="F4116" s="7">
        <v>1</v>
      </c>
      <c r="G4116" s="8" t="s">
        <v>4129</v>
      </c>
      <c r="H4116" s="8" t="s">
        <v>4130</v>
      </c>
      <c r="I4116" s="7" t="str">
        <f>_xlfn.CONCAT(Paper_Reference[[#This Row],[Lvl]:[Paper Description]])</f>
        <v>2NF39WC5581T-5203Blossom Cherry  60 x 1441101110WC013-6200BLOSSOM CHERRY</v>
      </c>
      <c r="J4116" s="7">
        <f>COUNTIF(Paper_Reference[Duplicate Key],Paper_Reference[[#This Row],[Duplicate Key]])</f>
        <v>1</v>
      </c>
    </row>
    <row r="4117" spans="1:10">
      <c r="A4117" s="7">
        <v>2</v>
      </c>
      <c r="B4117" s="8" t="s">
        <v>4278</v>
      </c>
      <c r="C4117" s="8" t="s">
        <v>4168</v>
      </c>
      <c r="D4117" s="7">
        <v>1</v>
      </c>
      <c r="E4117" s="7">
        <v>10</v>
      </c>
      <c r="F4117" s="7">
        <v>1</v>
      </c>
      <c r="G4117" s="8" t="s">
        <v>4129</v>
      </c>
      <c r="H4117" s="8" t="s">
        <v>4130</v>
      </c>
      <c r="I4117" s="7" t="str">
        <f>_xlfn.CONCAT(Paper_Reference[[#This Row],[Lvl]:[Paper Description]])</f>
        <v>2NF39WC5581T-5800BLOSSOM CHERRY 60 X 961101110WC013-6200BLOSSOM CHERRY</v>
      </c>
      <c r="J4117" s="7">
        <f>COUNTIF(Paper_Reference[Duplicate Key],Paper_Reference[[#This Row],[Duplicate Key]])</f>
        <v>1</v>
      </c>
    </row>
    <row r="4118" spans="1:10">
      <c r="A4118" s="7">
        <v>2</v>
      </c>
      <c r="B4118" s="8" t="s">
        <v>4279</v>
      </c>
      <c r="C4118" s="8" t="s">
        <v>4133</v>
      </c>
      <c r="D4118" s="7">
        <v>1</v>
      </c>
      <c r="E4118" s="7">
        <v>10</v>
      </c>
      <c r="F4118" s="7">
        <v>1</v>
      </c>
      <c r="G4118" s="8" t="s">
        <v>4129</v>
      </c>
      <c r="H4118" s="8" t="s">
        <v>4130</v>
      </c>
      <c r="I4118" s="7" t="str">
        <f>_xlfn.CONCAT(Paper_Reference[[#This Row],[Lvl]:[Paper Description]])</f>
        <v>2NG02WC5581MG4000BLOSSOM CHERRY  48 X 1201101110WC013-6200BLOSSOM CHERRY</v>
      </c>
      <c r="J4118" s="7">
        <f>COUNTIF(Paper_Reference[Duplicate Key],Paper_Reference[[#This Row],[Duplicate Key]])</f>
        <v>1</v>
      </c>
    </row>
    <row r="4119" spans="1:10">
      <c r="A4119" s="7">
        <v>2</v>
      </c>
      <c r="B4119" s="8" t="s">
        <v>4280</v>
      </c>
      <c r="C4119" s="8" t="s">
        <v>4133</v>
      </c>
      <c r="D4119" s="7">
        <v>1</v>
      </c>
      <c r="E4119" s="7">
        <v>10</v>
      </c>
      <c r="F4119" s="7">
        <v>1</v>
      </c>
      <c r="G4119" s="8" t="s">
        <v>4129</v>
      </c>
      <c r="H4119" s="8" t="s">
        <v>4130</v>
      </c>
      <c r="I4119" s="7" t="str">
        <f>_xlfn.CONCAT(Paper_Reference[[#This Row],[Lvl]:[Paper Description]])</f>
        <v>2NG02WC5581N-4000BLOSSOM CHERRY  48 X 1201101110WC013-6200BLOSSOM CHERRY</v>
      </c>
      <c r="J4119" s="7">
        <f>COUNTIF(Paper_Reference[Duplicate Key],Paper_Reference[[#This Row],[Duplicate Key]])</f>
        <v>1</v>
      </c>
    </row>
    <row r="4120" spans="1:10">
      <c r="A4120" s="7">
        <v>3</v>
      </c>
      <c r="B4120" s="8" t="s">
        <v>5219</v>
      </c>
      <c r="C4120" s="8" t="s">
        <v>4535</v>
      </c>
      <c r="D4120" s="7">
        <v>1</v>
      </c>
      <c r="E4120" s="7">
        <v>55</v>
      </c>
      <c r="F4120" s="7">
        <v>0.1111</v>
      </c>
      <c r="G4120" s="8" t="s">
        <v>4371</v>
      </c>
      <c r="H4120" s="8" t="s">
        <v>4372</v>
      </c>
      <c r="I4120" s="7" t="str">
        <f>_xlfn.CONCAT(Paper_Reference[[#This Row],[Lvl]:[Paper Description]])</f>
        <v>3NG03S-6053VEQDB0JETT BLACK 17 X 38.8751550.1111100DS064-6200BLACK</v>
      </c>
      <c r="J4120" s="7">
        <f>COUNTIF(Paper_Reference[Duplicate Key],Paper_Reference[[#This Row],[Duplicate Key]])</f>
        <v>1</v>
      </c>
    </row>
    <row r="4121" spans="1:10">
      <c r="A4121" s="7">
        <v>3</v>
      </c>
      <c r="B4121" s="8" t="s">
        <v>5220</v>
      </c>
      <c r="C4121" s="8" t="s">
        <v>4536</v>
      </c>
      <c r="D4121" s="7">
        <v>1</v>
      </c>
      <c r="E4121" s="7">
        <v>55</v>
      </c>
      <c r="F4121" s="7">
        <v>8.3299999999999999E-2</v>
      </c>
      <c r="G4121" s="8" t="s">
        <v>4371</v>
      </c>
      <c r="H4121" s="8" t="s">
        <v>4372</v>
      </c>
      <c r="I4121" s="7" t="str">
        <f>_xlfn.CONCAT(Paper_Reference[[#This Row],[Lvl]:[Paper Description]])</f>
        <v>3NG03S-6053VEUDC0JETT BLACK 17 X 291550.0833100DS064-6200BLACK</v>
      </c>
      <c r="J4121" s="7">
        <f>COUNTIF(Paper_Reference[Duplicate Key],Paper_Reference[[#This Row],[Duplicate Key]])</f>
        <v>1</v>
      </c>
    </row>
    <row r="4122" spans="1:10">
      <c r="A4122" s="7">
        <v>3</v>
      </c>
      <c r="B4122" s="8" t="s">
        <v>5221</v>
      </c>
      <c r="C4122" s="8" t="s">
        <v>4537</v>
      </c>
      <c r="D4122" s="7">
        <v>1</v>
      </c>
      <c r="E4122" s="7">
        <v>55</v>
      </c>
      <c r="F4122" s="7">
        <v>0.1111</v>
      </c>
      <c r="G4122" s="8" t="s">
        <v>4371</v>
      </c>
      <c r="H4122" s="8" t="s">
        <v>4372</v>
      </c>
      <c r="I4122" s="7" t="str">
        <f>_xlfn.CONCAT(Paper_Reference[[#This Row],[Lvl]:[Paper Description]])</f>
        <v>3NG03S-6053VEUDJ0Jett Black 17 x 471550.1111100DS064-6200BLACK</v>
      </c>
      <c r="J4122" s="7">
        <f>COUNTIF(Paper_Reference[Duplicate Key],Paper_Reference[[#This Row],[Duplicate Key]])</f>
        <v>1</v>
      </c>
    </row>
    <row r="4123" spans="1:10">
      <c r="A4123" s="7">
        <v>3</v>
      </c>
      <c r="B4123" s="8" t="s">
        <v>5222</v>
      </c>
      <c r="C4123" s="8" t="s">
        <v>4538</v>
      </c>
      <c r="D4123" s="7">
        <v>1</v>
      </c>
      <c r="E4123" s="7">
        <v>55</v>
      </c>
      <c r="F4123" s="7">
        <v>0.1666</v>
      </c>
      <c r="G4123" s="8" t="s">
        <v>4371</v>
      </c>
      <c r="H4123" s="8" t="s">
        <v>4372</v>
      </c>
      <c r="I4123" s="7" t="str">
        <f>_xlfn.CONCAT(Paper_Reference[[#This Row],[Lvl]:[Paper Description]])</f>
        <v>3NG03S-6053VEUDM0JETT BLACK 17 X 60.3751550.1666100DS064-6200BLACK</v>
      </c>
      <c r="J4123" s="7">
        <f>COUNTIF(Paper_Reference[Duplicate Key],Paper_Reference[[#This Row],[Duplicate Key]])</f>
        <v>1</v>
      </c>
    </row>
    <row r="4124" spans="1:10">
      <c r="A4124" s="7">
        <v>3</v>
      </c>
      <c r="B4124" s="8" t="s">
        <v>5216</v>
      </c>
      <c r="C4124" s="8" t="s">
        <v>4532</v>
      </c>
      <c r="D4124" s="7">
        <v>1</v>
      </c>
      <c r="E4124" s="7">
        <v>55</v>
      </c>
      <c r="F4124" s="7">
        <v>0.1111</v>
      </c>
      <c r="G4124" s="8" t="s">
        <v>4371</v>
      </c>
      <c r="H4124" s="8" t="s">
        <v>4372</v>
      </c>
      <c r="I4124" s="7" t="str">
        <f>_xlfn.CONCAT(Paper_Reference[[#This Row],[Lvl]:[Paper Description]])</f>
        <v>3NG03S-6053V-QDB0Jett Black 17 x 38.8751550.1111100DS064-6200BLACK</v>
      </c>
      <c r="J4124" s="7">
        <f>COUNTIF(Paper_Reference[Duplicate Key],Paper_Reference[[#This Row],[Duplicate Key]])</f>
        <v>1</v>
      </c>
    </row>
    <row r="4125" spans="1:10">
      <c r="A4125" s="7">
        <v>3</v>
      </c>
      <c r="B4125" s="8" t="s">
        <v>5217</v>
      </c>
      <c r="C4125" s="8" t="s">
        <v>4533</v>
      </c>
      <c r="D4125" s="7">
        <v>1</v>
      </c>
      <c r="E4125" s="7">
        <v>55</v>
      </c>
      <c r="F4125" s="7">
        <v>8.3299999999999999E-2</v>
      </c>
      <c r="G4125" s="8" t="s">
        <v>4371</v>
      </c>
      <c r="H4125" s="8" t="s">
        <v>4372</v>
      </c>
      <c r="I4125" s="7" t="str">
        <f>_xlfn.CONCAT(Paper_Reference[[#This Row],[Lvl]:[Paper Description]])</f>
        <v>3NG03S-6053V-UDC0Jett Black 17 x 291550.0833100DS064-6200BLACK</v>
      </c>
      <c r="J4125" s="7">
        <f>COUNTIF(Paper_Reference[Duplicate Key],Paper_Reference[[#This Row],[Duplicate Key]])</f>
        <v>1</v>
      </c>
    </row>
    <row r="4126" spans="1:10">
      <c r="A4126" s="7">
        <v>3</v>
      </c>
      <c r="B4126" s="8" t="s">
        <v>5218</v>
      </c>
      <c r="C4126" s="8" t="s">
        <v>4534</v>
      </c>
      <c r="D4126" s="7">
        <v>1</v>
      </c>
      <c r="E4126" s="7">
        <v>55</v>
      </c>
      <c r="F4126" s="7">
        <v>0.1666</v>
      </c>
      <c r="G4126" s="8" t="s">
        <v>4371</v>
      </c>
      <c r="H4126" s="8" t="s">
        <v>4372</v>
      </c>
      <c r="I4126" s="7" t="str">
        <f>_xlfn.CONCAT(Paper_Reference[[#This Row],[Lvl]:[Paper Description]])</f>
        <v>3NG03S-6053V-UDM0Jett Black 17 x 60.3751550.1666100DS064-6200BLACK</v>
      </c>
      <c r="J4126" s="7">
        <f>COUNTIF(Paper_Reference[Duplicate Key],Paper_Reference[[#This Row],[Duplicate Key]])</f>
        <v>1</v>
      </c>
    </row>
    <row r="4127" spans="1:10">
      <c r="A4127" s="7">
        <v>3</v>
      </c>
      <c r="B4127" s="8" t="s">
        <v>5223</v>
      </c>
      <c r="C4127" s="8" t="s">
        <v>4539</v>
      </c>
      <c r="D4127" s="7">
        <v>1</v>
      </c>
      <c r="E4127" s="7">
        <v>10</v>
      </c>
      <c r="F4127" s="7">
        <v>0.1111</v>
      </c>
      <c r="G4127" s="8" t="s">
        <v>4371</v>
      </c>
      <c r="H4127" s="8" t="s">
        <v>4372</v>
      </c>
      <c r="I4127" s="7" t="str">
        <f>_xlfn.CONCAT(Paper_Reference[[#This Row],[Lvl]:[Paper Description]])</f>
        <v>3NG28ST9216B-UOY1PEARL BLACK 19.875X411100.1111100DS064-6200BLACK</v>
      </c>
      <c r="J4127" s="7">
        <f>COUNTIF(Paper_Reference[Duplicate Key],Paper_Reference[[#This Row],[Duplicate Key]])</f>
        <v>1</v>
      </c>
    </row>
    <row r="4128" spans="1:10">
      <c r="A4128" s="7">
        <v>3</v>
      </c>
      <c r="B4128" s="8" t="s">
        <v>5224</v>
      </c>
      <c r="C4128" s="8" t="s">
        <v>4540</v>
      </c>
      <c r="D4128" s="7">
        <v>1</v>
      </c>
      <c r="E4128" s="7">
        <v>10</v>
      </c>
      <c r="F4128" s="7">
        <v>0.1111</v>
      </c>
      <c r="G4128" s="8" t="s">
        <v>4371</v>
      </c>
      <c r="H4128" s="8" t="s">
        <v>4372</v>
      </c>
      <c r="I4128" s="7" t="str">
        <f>_xlfn.CONCAT(Paper_Reference[[#This Row],[Lvl]:[Paper Description]])</f>
        <v>3NG28ST9216B-UPJ1PEARL BLACK PC 20X41.3751100.1111100DS064-6200BLACK</v>
      </c>
      <c r="J4128" s="7">
        <f>COUNTIF(Paper_Reference[Duplicate Key],Paper_Reference[[#This Row],[Duplicate Key]])</f>
        <v>1</v>
      </c>
    </row>
    <row r="4129" spans="1:10">
      <c r="A4129" s="7">
        <v>3</v>
      </c>
      <c r="B4129" s="8" t="s">
        <v>5225</v>
      </c>
      <c r="C4129" s="8" t="s">
        <v>4541</v>
      </c>
      <c r="D4129" s="7">
        <v>1</v>
      </c>
      <c r="E4129" s="7">
        <v>55</v>
      </c>
      <c r="F4129" s="7">
        <v>2.86E-2</v>
      </c>
      <c r="G4129" s="8" t="s">
        <v>4371</v>
      </c>
      <c r="H4129" s="8" t="s">
        <v>4372</v>
      </c>
      <c r="I4129" s="7" t="str">
        <f>_xlfn.CONCAT(Paper_Reference[[#This Row],[Lvl]:[Paper Description]])</f>
        <v>3NG28ST9216E-XFR1Pearl Black PC 11.875 x 18.751550.0286100DS064-6200BLACK</v>
      </c>
      <c r="J4129" s="7">
        <f>COUNTIF(Paper_Reference[Duplicate Key],Paper_Reference[[#This Row],[Duplicate Key]])</f>
        <v>1</v>
      </c>
    </row>
    <row r="4130" spans="1:10">
      <c r="A4130" s="7">
        <v>3</v>
      </c>
      <c r="B4130" s="8" t="s">
        <v>5226</v>
      </c>
      <c r="C4130" s="8" t="s">
        <v>4542</v>
      </c>
      <c r="D4130" s="7">
        <v>1</v>
      </c>
      <c r="E4130" s="7">
        <v>55</v>
      </c>
      <c r="F4130" s="7">
        <v>3.3300000000000003E-2</v>
      </c>
      <c r="G4130" s="8" t="s">
        <v>4371</v>
      </c>
      <c r="H4130" s="8" t="s">
        <v>4372</v>
      </c>
      <c r="I4130" s="7" t="str">
        <f>_xlfn.CONCAT(Paper_Reference[[#This Row],[Lvl]:[Paper Description]])</f>
        <v>3NG28ST9216E-XFT1PEARL BLACK PC 12X211550.0333100DS064-6200BLACK</v>
      </c>
      <c r="J4130" s="7">
        <f>COUNTIF(Paper_Reference[Duplicate Key],Paper_Reference[[#This Row],[Duplicate Key]])</f>
        <v>1</v>
      </c>
    </row>
    <row r="4131" spans="1:10">
      <c r="A4131" s="7">
        <v>3</v>
      </c>
      <c r="B4131" s="8" t="s">
        <v>5227</v>
      </c>
      <c r="C4131" s="8" t="s">
        <v>4539</v>
      </c>
      <c r="D4131" s="7">
        <v>1</v>
      </c>
      <c r="E4131" s="7">
        <v>10</v>
      </c>
      <c r="F4131" s="7">
        <v>0.1111</v>
      </c>
      <c r="G4131" s="8" t="s">
        <v>4371</v>
      </c>
      <c r="H4131" s="8" t="s">
        <v>4372</v>
      </c>
      <c r="I4131" s="7" t="str">
        <f>_xlfn.CONCAT(Paper_Reference[[#This Row],[Lvl]:[Paper Description]])</f>
        <v>3NG28ST9216LRUOY1PEARL BLACK 19.875X411100.1111100DS064-6200BLACK</v>
      </c>
      <c r="J4131" s="7">
        <f>COUNTIF(Paper_Reference[Duplicate Key],Paper_Reference[[#This Row],[Duplicate Key]])</f>
        <v>1</v>
      </c>
    </row>
    <row r="4132" spans="1:10">
      <c r="A4132" s="7">
        <v>3</v>
      </c>
      <c r="B4132" s="8" t="s">
        <v>5228</v>
      </c>
      <c r="C4132" s="8" t="s">
        <v>4540</v>
      </c>
      <c r="D4132" s="7">
        <v>1</v>
      </c>
      <c r="E4132" s="7">
        <v>10</v>
      </c>
      <c r="F4132" s="7">
        <v>0.1111</v>
      </c>
      <c r="G4132" s="8" t="s">
        <v>4371</v>
      </c>
      <c r="H4132" s="8" t="s">
        <v>4372</v>
      </c>
      <c r="I4132" s="7" t="str">
        <f>_xlfn.CONCAT(Paper_Reference[[#This Row],[Lvl]:[Paper Description]])</f>
        <v>3NG28ST9216LRUPJ1PEARL BLACK PC 20X41.3751100.1111100DS064-6200BLACK</v>
      </c>
      <c r="J4132" s="7">
        <f>COUNTIF(Paper_Reference[Duplicate Key],Paper_Reference[[#This Row],[Duplicate Key]])</f>
        <v>1</v>
      </c>
    </row>
    <row r="4133" spans="1:10">
      <c r="A4133" s="7">
        <v>3</v>
      </c>
      <c r="B4133" s="8" t="s">
        <v>5229</v>
      </c>
      <c r="C4133" s="8" t="s">
        <v>4543</v>
      </c>
      <c r="D4133" s="7">
        <v>1</v>
      </c>
      <c r="E4133" s="7">
        <v>55</v>
      </c>
      <c r="F4133" s="7">
        <v>2.86E-2</v>
      </c>
      <c r="G4133" s="8" t="s">
        <v>4371</v>
      </c>
      <c r="H4133" s="8" t="s">
        <v>4372</v>
      </c>
      <c r="I4133" s="7" t="str">
        <f>_xlfn.CONCAT(Paper_Reference[[#This Row],[Lvl]:[Paper Description]])</f>
        <v>3NG28ST9216SDXFR1PEARL BLACK PC 11.875 X 18.751550.0286100DS064-6200BLACK</v>
      </c>
      <c r="J4133" s="7">
        <f>COUNTIF(Paper_Reference[Duplicate Key],Paper_Reference[[#This Row],[Duplicate Key]])</f>
        <v>1</v>
      </c>
    </row>
    <row r="4134" spans="1:10">
      <c r="A4134" s="7">
        <v>3</v>
      </c>
      <c r="B4134" s="8" t="s">
        <v>5230</v>
      </c>
      <c r="C4134" s="8" t="s">
        <v>4542</v>
      </c>
      <c r="D4134" s="7">
        <v>1</v>
      </c>
      <c r="E4134" s="7">
        <v>55</v>
      </c>
      <c r="F4134" s="7">
        <v>3.3300000000000003E-2</v>
      </c>
      <c r="G4134" s="8" t="s">
        <v>4371</v>
      </c>
      <c r="H4134" s="8" t="s">
        <v>4372</v>
      </c>
      <c r="I4134" s="7" t="str">
        <f>_xlfn.CONCAT(Paper_Reference[[#This Row],[Lvl]:[Paper Description]])</f>
        <v>3NG28ST9216SDXFT1PEARL BLACK PC 12X211550.0333100DS064-6200BLACK</v>
      </c>
      <c r="J4134" s="7">
        <f>COUNTIF(Paper_Reference[Duplicate Key],Paper_Reference[[#This Row],[Duplicate Key]])</f>
        <v>1</v>
      </c>
    </row>
    <row r="4135" spans="1:10">
      <c r="A4135" s="7">
        <v>2</v>
      </c>
      <c r="B4135" s="8" t="s">
        <v>4281</v>
      </c>
      <c r="C4135" s="8" t="s">
        <v>4146</v>
      </c>
      <c r="D4135" s="7">
        <v>1</v>
      </c>
      <c r="E4135" s="7">
        <v>10</v>
      </c>
      <c r="F4135" s="7">
        <v>1</v>
      </c>
      <c r="G4135" s="8" t="s">
        <v>4129</v>
      </c>
      <c r="H4135" s="8" t="s">
        <v>4130</v>
      </c>
      <c r="I4135" s="7" t="str">
        <f>_xlfn.CONCAT(Paper_Reference[[#This Row],[Lvl]:[Paper Description]])</f>
        <v>2NG37WC5581G-5001Blossom Cherry  60 x 1201101110WC013-6200BLOSSOM CHERRY</v>
      </c>
      <c r="J4135" s="7">
        <f>COUNTIF(Paper_Reference[Duplicate Key],Paper_Reference[[#This Row],[Duplicate Key]])</f>
        <v>1</v>
      </c>
    </row>
    <row r="4136" spans="1:10">
      <c r="A4136" s="7">
        <v>2</v>
      </c>
      <c r="B4136" s="8" t="s">
        <v>4282</v>
      </c>
      <c r="C4136" s="8" t="s">
        <v>4149</v>
      </c>
      <c r="D4136" s="7">
        <v>1</v>
      </c>
      <c r="E4136" s="7">
        <v>10</v>
      </c>
      <c r="F4136" s="7">
        <v>1</v>
      </c>
      <c r="G4136" s="8" t="s">
        <v>4129</v>
      </c>
      <c r="H4136" s="8" t="s">
        <v>4130</v>
      </c>
      <c r="I4136" s="7" t="str">
        <f>_xlfn.CONCAT(Paper_Reference[[#This Row],[Lvl]:[Paper Description]])</f>
        <v>2NG37WC5581GL5001BLOSSOM CHERRY 60 X 1201101110WC013-6200BLOSSOM CHERRY</v>
      </c>
      <c r="J4136" s="7">
        <f>COUNTIF(Paper_Reference[Duplicate Key],Paper_Reference[[#This Row],[Duplicate Key]])</f>
        <v>1</v>
      </c>
    </row>
    <row r="4137" spans="1:10">
      <c r="A4137" s="7">
        <v>2</v>
      </c>
      <c r="B4137" s="8" t="s">
        <v>3630</v>
      </c>
      <c r="C4137" s="8" t="s">
        <v>3235</v>
      </c>
      <c r="D4137" s="7">
        <v>1</v>
      </c>
      <c r="E4137" s="7">
        <v>10</v>
      </c>
      <c r="F4137" s="7">
        <v>1</v>
      </c>
      <c r="G4137" s="8" t="s">
        <v>3230</v>
      </c>
      <c r="H4137" s="8" t="s">
        <v>3231</v>
      </c>
      <c r="I4137" s="7" t="str">
        <f>_xlfn.CONCAT(Paper_Reference[[#This Row],[Lvl]:[Paper Description]])</f>
        <v>2NG48S-7036B-4800PRECISION WHITE 48 X 961101110SW736-5000PRECISION WHITE 43 X 145</v>
      </c>
      <c r="J4137" s="7">
        <f>COUNTIF(Paper_Reference[Duplicate Key],Paper_Reference[[#This Row],[Duplicate Key]])</f>
        <v>1</v>
      </c>
    </row>
    <row r="4138" spans="1:10">
      <c r="A4138" s="7">
        <v>2</v>
      </c>
      <c r="B4138" s="8" t="s">
        <v>3631</v>
      </c>
      <c r="C4138" s="8" t="s">
        <v>3255</v>
      </c>
      <c r="D4138" s="7">
        <v>1</v>
      </c>
      <c r="E4138" s="7">
        <v>10</v>
      </c>
      <c r="F4138" s="7">
        <v>1</v>
      </c>
      <c r="G4138" s="8" t="s">
        <v>3230</v>
      </c>
      <c r="H4138" s="8" t="s">
        <v>3231</v>
      </c>
      <c r="I4138" s="7" t="str">
        <f>_xlfn.CONCAT(Paper_Reference[[#This Row],[Lvl]:[Paper Description]])</f>
        <v>2NG48S-7036C-4800Precision White  48 x 961101110SW736-5000PRECISION WHITE 43 X 145</v>
      </c>
      <c r="J4138" s="7">
        <f>COUNTIF(Paper_Reference[Duplicate Key],Paper_Reference[[#This Row],[Duplicate Key]])</f>
        <v>1</v>
      </c>
    </row>
    <row r="4139" spans="1:10">
      <c r="A4139" s="7">
        <v>2</v>
      </c>
      <c r="B4139" s="8" t="s">
        <v>3632</v>
      </c>
      <c r="C4139" s="8" t="s">
        <v>3235</v>
      </c>
      <c r="D4139" s="7">
        <v>1</v>
      </c>
      <c r="E4139" s="7">
        <v>10</v>
      </c>
      <c r="F4139" s="7">
        <v>1</v>
      </c>
      <c r="G4139" s="8" t="s">
        <v>3230</v>
      </c>
      <c r="H4139" s="8" t="s">
        <v>3231</v>
      </c>
      <c r="I4139" s="7" t="str">
        <f>_xlfn.CONCAT(Paper_Reference[[#This Row],[Lvl]:[Paper Description]])</f>
        <v>2NG48S-7036CV4800PRECISION WHITE 48 X 961101110SW736-5000PRECISION WHITE 43 X 145</v>
      </c>
      <c r="J4139" s="7">
        <f>COUNTIF(Paper_Reference[Duplicate Key],Paper_Reference[[#This Row],[Duplicate Key]])</f>
        <v>1</v>
      </c>
    </row>
    <row r="4140" spans="1:10">
      <c r="A4140" s="7">
        <v>2</v>
      </c>
      <c r="B4140" s="8" t="s">
        <v>3633</v>
      </c>
      <c r="C4140" s="8" t="s">
        <v>3235</v>
      </c>
      <c r="D4140" s="7">
        <v>1</v>
      </c>
      <c r="E4140" s="7">
        <v>10</v>
      </c>
      <c r="F4140" s="7">
        <v>1</v>
      </c>
      <c r="G4140" s="8" t="s">
        <v>3230</v>
      </c>
      <c r="H4140" s="8" t="s">
        <v>3231</v>
      </c>
      <c r="I4140" s="7" t="str">
        <f>_xlfn.CONCAT(Paper_Reference[[#This Row],[Lvl]:[Paper Description]])</f>
        <v>2NG48S-7036E-4800PRECISION WHITE 48 X 961101110SW736-5000PRECISION WHITE 43 X 145</v>
      </c>
      <c r="J4140" s="7">
        <f>COUNTIF(Paper_Reference[Duplicate Key],Paper_Reference[[#This Row],[Duplicate Key]])</f>
        <v>1</v>
      </c>
    </row>
    <row r="4141" spans="1:10">
      <c r="A4141" s="7">
        <v>2</v>
      </c>
      <c r="B4141" s="8" t="s">
        <v>3634</v>
      </c>
      <c r="C4141" s="8" t="s">
        <v>3266</v>
      </c>
      <c r="D4141" s="7">
        <v>1</v>
      </c>
      <c r="E4141" s="7">
        <v>10</v>
      </c>
      <c r="F4141" s="7">
        <v>1</v>
      </c>
      <c r="G4141" s="8" t="s">
        <v>3230</v>
      </c>
      <c r="H4141" s="8" t="s">
        <v>3231</v>
      </c>
      <c r="I4141" s="7" t="str">
        <f>_xlfn.CONCAT(Paper_Reference[[#This Row],[Lvl]:[Paper Description]])</f>
        <v>2NG48S-7036G-3001Precision White  36 x 1201101110SW736-5000PRECISION WHITE 43 X 145</v>
      </c>
      <c r="J4141" s="7">
        <f>COUNTIF(Paper_Reference[Duplicate Key],Paper_Reference[[#This Row],[Duplicate Key]])</f>
        <v>1</v>
      </c>
    </row>
    <row r="4142" spans="1:10">
      <c r="A4142" s="7">
        <v>2</v>
      </c>
      <c r="B4142" s="8" t="s">
        <v>3635</v>
      </c>
      <c r="C4142" s="8" t="s">
        <v>3263</v>
      </c>
      <c r="D4142" s="7">
        <v>1</v>
      </c>
      <c r="E4142" s="7">
        <v>10</v>
      </c>
      <c r="F4142" s="7">
        <v>1</v>
      </c>
      <c r="G4142" s="8" t="s">
        <v>3230</v>
      </c>
      <c r="H4142" s="8" t="s">
        <v>3231</v>
      </c>
      <c r="I4142" s="7" t="str">
        <f>_xlfn.CONCAT(Paper_Reference[[#This Row],[Lvl]:[Paper Description]])</f>
        <v>2NG48S-7036G-4001Precision White  48 x 1201101110SW736-5000PRECISION WHITE 43 X 145</v>
      </c>
      <c r="J4142" s="7">
        <f>COUNTIF(Paper_Reference[Duplicate Key],Paper_Reference[[#This Row],[Duplicate Key]])</f>
        <v>1</v>
      </c>
    </row>
    <row r="4143" spans="1:10">
      <c r="A4143" s="7">
        <v>2</v>
      </c>
      <c r="B4143" s="8" t="s">
        <v>3636</v>
      </c>
      <c r="C4143" s="8" t="s">
        <v>3276</v>
      </c>
      <c r="D4143" s="7">
        <v>1</v>
      </c>
      <c r="E4143" s="7">
        <v>10</v>
      </c>
      <c r="F4143" s="7">
        <v>1</v>
      </c>
      <c r="G4143" s="8" t="s">
        <v>3230</v>
      </c>
      <c r="H4143" s="8" t="s">
        <v>3231</v>
      </c>
      <c r="I4143" s="7" t="str">
        <f>_xlfn.CONCAT(Paper_Reference[[#This Row],[Lvl]:[Paper Description]])</f>
        <v>2NG48S-7036G-4201PRECISION WHITE 48X1441101110SW736-5000PRECISION WHITE 43 X 145</v>
      </c>
      <c r="J4143" s="7">
        <f>COUNTIF(Paper_Reference[Duplicate Key],Paper_Reference[[#This Row],[Duplicate Key]])</f>
        <v>1</v>
      </c>
    </row>
    <row r="4144" spans="1:10">
      <c r="A4144" s="7">
        <v>2</v>
      </c>
      <c r="B4144" s="8" t="s">
        <v>3637</v>
      </c>
      <c r="C4144" s="8" t="s">
        <v>3235</v>
      </c>
      <c r="D4144" s="7">
        <v>1</v>
      </c>
      <c r="E4144" s="7">
        <v>10</v>
      </c>
      <c r="F4144" s="7">
        <v>1</v>
      </c>
      <c r="G4144" s="8" t="s">
        <v>3230</v>
      </c>
      <c r="H4144" s="8" t="s">
        <v>3231</v>
      </c>
      <c r="I4144" s="7" t="str">
        <f>_xlfn.CONCAT(Paper_Reference[[#This Row],[Lvl]:[Paper Description]])</f>
        <v>2NG48S-7036G-4800PRECISION WHITE 48 X 961101110SW736-5000PRECISION WHITE 43 X 145</v>
      </c>
      <c r="J4144" s="7">
        <f>COUNTIF(Paper_Reference[Duplicate Key],Paper_Reference[[#This Row],[Duplicate Key]])</f>
        <v>1</v>
      </c>
    </row>
    <row r="4145" spans="1:10">
      <c r="A4145" s="7">
        <v>2</v>
      </c>
      <c r="B4145" s="8" t="s">
        <v>3638</v>
      </c>
      <c r="C4145" s="8" t="s">
        <v>3255</v>
      </c>
      <c r="D4145" s="7">
        <v>1</v>
      </c>
      <c r="E4145" s="7">
        <v>10</v>
      </c>
      <c r="F4145" s="7">
        <v>1</v>
      </c>
      <c r="G4145" s="8" t="s">
        <v>3230</v>
      </c>
      <c r="H4145" s="8" t="s">
        <v>3231</v>
      </c>
      <c r="I4145" s="7" t="str">
        <f>_xlfn.CONCAT(Paper_Reference[[#This Row],[Lvl]:[Paper Description]])</f>
        <v>2NG48S-7036G-4801Precision White  48 x 961101110SW736-5000PRECISION WHITE 43 X 145</v>
      </c>
      <c r="J4145" s="7">
        <f>COUNTIF(Paper_Reference[Duplicate Key],Paper_Reference[[#This Row],[Duplicate Key]])</f>
        <v>1</v>
      </c>
    </row>
    <row r="4146" spans="1:10">
      <c r="A4146" s="7">
        <v>2</v>
      </c>
      <c r="B4146" s="8" t="s">
        <v>4059</v>
      </c>
      <c r="C4146" s="8" t="s">
        <v>3794</v>
      </c>
      <c r="D4146" s="7">
        <v>1</v>
      </c>
      <c r="E4146" s="7">
        <v>10</v>
      </c>
      <c r="F4146" s="7">
        <v>1</v>
      </c>
      <c r="G4146" s="8" t="s">
        <v>3826</v>
      </c>
      <c r="H4146" s="8" t="s">
        <v>3827</v>
      </c>
      <c r="I4146" s="7" t="str">
        <f>_xlfn.CONCAT(Paper_Reference[[#This Row],[Lvl]:[Paper Description]])</f>
        <v>2NG48S-7036G-5001Precision White  60 x 1201101110SW736-6200PRECISION WHITE 62"</v>
      </c>
      <c r="J4146" s="7">
        <f>COUNTIF(Paper_Reference[Duplicate Key],Paper_Reference[[#This Row],[Duplicate Key]])</f>
        <v>1</v>
      </c>
    </row>
    <row r="4147" spans="1:10">
      <c r="A4147" s="7">
        <v>2</v>
      </c>
      <c r="B4147" s="8" t="s">
        <v>4060</v>
      </c>
      <c r="C4147" s="8" t="s">
        <v>3786</v>
      </c>
      <c r="D4147" s="7">
        <v>1</v>
      </c>
      <c r="E4147" s="7">
        <v>10</v>
      </c>
      <c r="F4147" s="7">
        <v>1</v>
      </c>
      <c r="G4147" s="8" t="s">
        <v>3826</v>
      </c>
      <c r="H4147" s="8" t="s">
        <v>3827</v>
      </c>
      <c r="I4147" s="7" t="str">
        <f>_xlfn.CONCAT(Paper_Reference[[#This Row],[Lvl]:[Paper Description]])</f>
        <v>2NG48S-7036G-5201Precision White  60 x 1441101110SW736-6200PRECISION WHITE 62"</v>
      </c>
      <c r="J4147" s="7">
        <f>COUNTIF(Paper_Reference[Duplicate Key],Paper_Reference[[#This Row],[Duplicate Key]])</f>
        <v>1</v>
      </c>
    </row>
    <row r="4148" spans="1:10">
      <c r="A4148" s="7">
        <v>2</v>
      </c>
      <c r="B4148" s="8" t="s">
        <v>4061</v>
      </c>
      <c r="C4148" s="8" t="s">
        <v>3795</v>
      </c>
      <c r="D4148" s="7">
        <v>1</v>
      </c>
      <c r="E4148" s="7">
        <v>10</v>
      </c>
      <c r="F4148" s="7">
        <v>1</v>
      </c>
      <c r="G4148" s="8" t="s">
        <v>3826</v>
      </c>
      <c r="H4148" s="8" t="s">
        <v>3827</v>
      </c>
      <c r="I4148" s="7" t="str">
        <f>_xlfn.CONCAT(Paper_Reference[[#This Row],[Lvl]:[Paper Description]])</f>
        <v>2NG48S-7036G-5801Precision White  60 x 961101110SW736-6200PRECISION WHITE 62"</v>
      </c>
      <c r="J4148" s="7">
        <f>COUNTIF(Paper_Reference[Duplicate Key],Paper_Reference[[#This Row],[Duplicate Key]])</f>
        <v>1</v>
      </c>
    </row>
    <row r="4149" spans="1:10">
      <c r="A4149" s="7">
        <v>2</v>
      </c>
      <c r="B4149" s="8" t="s">
        <v>3639</v>
      </c>
      <c r="C4149" s="8" t="s">
        <v>3237</v>
      </c>
      <c r="D4149" s="7">
        <v>1</v>
      </c>
      <c r="E4149" s="7">
        <v>10</v>
      </c>
      <c r="F4149" s="7">
        <v>1</v>
      </c>
      <c r="G4149" s="8" t="s">
        <v>3230</v>
      </c>
      <c r="H4149" s="8" t="s">
        <v>3231</v>
      </c>
      <c r="I4149" s="7" t="str">
        <f>_xlfn.CONCAT(Paper_Reference[[#This Row],[Lvl]:[Paper Description]])</f>
        <v>2NG48S-7036GL4001PRECISION WHITE  48 X 1201101110SW736-5000PRECISION WHITE 43 X 145</v>
      </c>
      <c r="J4149" s="7">
        <f>COUNTIF(Paper_Reference[Duplicate Key],Paper_Reference[[#This Row],[Duplicate Key]])</f>
        <v>1</v>
      </c>
    </row>
    <row r="4150" spans="1:10">
      <c r="A4150" s="7">
        <v>2</v>
      </c>
      <c r="B4150" s="8" t="s">
        <v>3640</v>
      </c>
      <c r="C4150" s="8" t="s">
        <v>3261</v>
      </c>
      <c r="D4150" s="7">
        <v>1</v>
      </c>
      <c r="E4150" s="7">
        <v>10</v>
      </c>
      <c r="F4150" s="7">
        <v>1</v>
      </c>
      <c r="G4150" s="8" t="s">
        <v>3230</v>
      </c>
      <c r="H4150" s="8" t="s">
        <v>3231</v>
      </c>
      <c r="I4150" s="7" t="str">
        <f>_xlfn.CONCAT(Paper_Reference[[#This Row],[Lvl]:[Paper Description]])</f>
        <v>2NG48S-7036GL4801PRECISION WHITE  48 X 961101110SW736-5000PRECISION WHITE 43 X 145</v>
      </c>
      <c r="J4150" s="7">
        <f>COUNTIF(Paper_Reference[Duplicate Key],Paper_Reference[[#This Row],[Duplicate Key]])</f>
        <v>1</v>
      </c>
    </row>
    <row r="4151" spans="1:10">
      <c r="A4151" s="7">
        <v>2</v>
      </c>
      <c r="B4151" s="8" t="s">
        <v>4062</v>
      </c>
      <c r="C4151" s="8" t="s">
        <v>3785</v>
      </c>
      <c r="D4151" s="7">
        <v>1</v>
      </c>
      <c r="E4151" s="7">
        <v>10</v>
      </c>
      <c r="F4151" s="7">
        <v>1</v>
      </c>
      <c r="G4151" s="8" t="s">
        <v>3826</v>
      </c>
      <c r="H4151" s="8" t="s">
        <v>3827</v>
      </c>
      <c r="I4151" s="7" t="str">
        <f>_xlfn.CONCAT(Paper_Reference[[#This Row],[Lvl]:[Paper Description]])</f>
        <v>2NG48S-7036GL5001PRECISION WHITE  60 X 1201101110SW736-6200PRECISION WHITE 62"</v>
      </c>
      <c r="J4151" s="7">
        <f>COUNTIF(Paper_Reference[Duplicate Key],Paper_Reference[[#This Row],[Duplicate Key]])</f>
        <v>1</v>
      </c>
    </row>
    <row r="4152" spans="1:10">
      <c r="A4152" s="7">
        <v>2</v>
      </c>
      <c r="B4152" s="8" t="s">
        <v>4063</v>
      </c>
      <c r="C4152" s="8" t="s">
        <v>3781</v>
      </c>
      <c r="D4152" s="7">
        <v>1</v>
      </c>
      <c r="E4152" s="7">
        <v>10</v>
      </c>
      <c r="F4152" s="7">
        <v>1</v>
      </c>
      <c r="G4152" s="8" t="s">
        <v>3826</v>
      </c>
      <c r="H4152" s="8" t="s">
        <v>3827</v>
      </c>
      <c r="I4152" s="7" t="str">
        <f>_xlfn.CONCAT(Paper_Reference[[#This Row],[Lvl]:[Paper Description]])</f>
        <v>2NG48S-7036GL5201PRECISION WHITE  60 X 1441101110SW736-6200PRECISION WHITE 62"</v>
      </c>
      <c r="J4152" s="7">
        <f>COUNTIF(Paper_Reference[Duplicate Key],Paper_Reference[[#This Row],[Duplicate Key]])</f>
        <v>1</v>
      </c>
    </row>
    <row r="4153" spans="1:10">
      <c r="A4153" s="7">
        <v>2</v>
      </c>
      <c r="B4153" s="8" t="s">
        <v>3641</v>
      </c>
      <c r="C4153" s="8" t="s">
        <v>3235</v>
      </c>
      <c r="D4153" s="7">
        <v>1</v>
      </c>
      <c r="E4153" s="7">
        <v>10</v>
      </c>
      <c r="F4153" s="7">
        <v>1</v>
      </c>
      <c r="G4153" s="8" t="s">
        <v>3230</v>
      </c>
      <c r="H4153" s="8" t="s">
        <v>3231</v>
      </c>
      <c r="I4153" s="7" t="str">
        <f>_xlfn.CONCAT(Paper_Reference[[#This Row],[Lvl]:[Paper Description]])</f>
        <v>2NG48S-7036LC4800PRECISION WHITE 48 X 961101110SW736-5000PRECISION WHITE 43 X 145</v>
      </c>
      <c r="J4153" s="7">
        <f>COUNTIF(Paper_Reference[Duplicate Key],Paper_Reference[[#This Row],[Duplicate Key]])</f>
        <v>1</v>
      </c>
    </row>
    <row r="4154" spans="1:10">
      <c r="A4154" s="7">
        <v>2</v>
      </c>
      <c r="B4154" s="8" t="s">
        <v>3642</v>
      </c>
      <c r="C4154" s="8" t="s">
        <v>3235</v>
      </c>
      <c r="D4154" s="7">
        <v>1</v>
      </c>
      <c r="E4154" s="7">
        <v>10</v>
      </c>
      <c r="F4154" s="7">
        <v>1</v>
      </c>
      <c r="G4154" s="8" t="s">
        <v>3230</v>
      </c>
      <c r="H4154" s="8" t="s">
        <v>3231</v>
      </c>
      <c r="I4154" s="7" t="str">
        <f>_xlfn.CONCAT(Paper_Reference[[#This Row],[Lvl]:[Paper Description]])</f>
        <v>2NG48S-7036LR4800PRECISION WHITE 48 X 961101110SW736-5000PRECISION WHITE 43 X 145</v>
      </c>
      <c r="J4154" s="7">
        <f>COUNTIF(Paper_Reference[Duplicate Key],Paper_Reference[[#This Row],[Duplicate Key]])</f>
        <v>1</v>
      </c>
    </row>
    <row r="4155" spans="1:10">
      <c r="A4155" s="7">
        <v>2</v>
      </c>
      <c r="B4155" s="8" t="s">
        <v>3643</v>
      </c>
      <c r="C4155" s="8" t="s">
        <v>3277</v>
      </c>
      <c r="D4155" s="7">
        <v>1</v>
      </c>
      <c r="E4155" s="7">
        <v>10</v>
      </c>
      <c r="F4155" s="7">
        <v>1</v>
      </c>
      <c r="G4155" s="8" t="s">
        <v>3230</v>
      </c>
      <c r="H4155" s="8" t="s">
        <v>3231</v>
      </c>
      <c r="I4155" s="7" t="str">
        <f>_xlfn.CONCAT(Paper_Reference[[#This Row],[Lvl]:[Paper Description]])</f>
        <v>2NG48S-7036N-4800PRECISION WHITE  48 x 961101110SW736-5000PRECISION WHITE 43 X 145</v>
      </c>
      <c r="J4155" s="7">
        <f>COUNTIF(Paper_Reference[Duplicate Key],Paper_Reference[[#This Row],[Duplicate Key]])</f>
        <v>1</v>
      </c>
    </row>
    <row r="4156" spans="1:10">
      <c r="A4156" s="7">
        <v>2</v>
      </c>
      <c r="B4156" s="8" t="s">
        <v>3644</v>
      </c>
      <c r="C4156" s="8" t="s">
        <v>3235</v>
      </c>
      <c r="D4156" s="7">
        <v>1</v>
      </c>
      <c r="E4156" s="7">
        <v>10</v>
      </c>
      <c r="F4156" s="7">
        <v>1</v>
      </c>
      <c r="G4156" s="8" t="s">
        <v>3230</v>
      </c>
      <c r="H4156" s="8" t="s">
        <v>3231</v>
      </c>
      <c r="I4156" s="7" t="str">
        <f>_xlfn.CONCAT(Paper_Reference[[#This Row],[Lvl]:[Paper Description]])</f>
        <v>2NG48S-7036OL4800PRECISION WHITE 48 X 961101110SW736-5000PRECISION WHITE 43 X 145</v>
      </c>
      <c r="J4156" s="7">
        <f>COUNTIF(Paper_Reference[Duplicate Key],Paper_Reference[[#This Row],[Duplicate Key]])</f>
        <v>1</v>
      </c>
    </row>
    <row r="4157" spans="1:10">
      <c r="A4157" s="7">
        <v>2</v>
      </c>
      <c r="B4157" s="8" t="s">
        <v>3645</v>
      </c>
      <c r="C4157" s="8" t="s">
        <v>3235</v>
      </c>
      <c r="D4157" s="7">
        <v>1</v>
      </c>
      <c r="E4157" s="7">
        <v>10</v>
      </c>
      <c r="F4157" s="7">
        <v>1</v>
      </c>
      <c r="G4157" s="8" t="s">
        <v>3230</v>
      </c>
      <c r="H4157" s="8" t="s">
        <v>3231</v>
      </c>
      <c r="I4157" s="7" t="str">
        <f>_xlfn.CONCAT(Paper_Reference[[#This Row],[Lvl]:[Paper Description]])</f>
        <v>2NG48S-7036OZ4800PRECISION WHITE 48 X 961101110SW736-5000PRECISION WHITE 43 X 145</v>
      </c>
      <c r="J4157" s="7">
        <f>COUNTIF(Paper_Reference[Duplicate Key],Paper_Reference[[#This Row],[Duplicate Key]])</f>
        <v>1</v>
      </c>
    </row>
    <row r="4158" spans="1:10">
      <c r="A4158" s="7">
        <v>2</v>
      </c>
      <c r="B4158" s="8" t="s">
        <v>3646</v>
      </c>
      <c r="C4158" s="8" t="s">
        <v>3235</v>
      </c>
      <c r="D4158" s="7">
        <v>1</v>
      </c>
      <c r="E4158" s="7">
        <v>10</v>
      </c>
      <c r="F4158" s="7">
        <v>1</v>
      </c>
      <c r="G4158" s="8" t="s">
        <v>3230</v>
      </c>
      <c r="H4158" s="8" t="s">
        <v>3231</v>
      </c>
      <c r="I4158" s="7" t="str">
        <f>_xlfn.CONCAT(Paper_Reference[[#This Row],[Lvl]:[Paper Description]])</f>
        <v>2NG48S-7036PV4800PRECISION WHITE 48 X 961101110SW736-5000PRECISION WHITE 43 X 145</v>
      </c>
      <c r="J4158" s="7">
        <f>COUNTIF(Paper_Reference[Duplicate Key],Paper_Reference[[#This Row],[Duplicate Key]])</f>
        <v>1</v>
      </c>
    </row>
    <row r="4159" spans="1:10">
      <c r="A4159" s="7">
        <v>2</v>
      </c>
      <c r="B4159" s="8" t="s">
        <v>3647</v>
      </c>
      <c r="C4159" s="8" t="s">
        <v>3235</v>
      </c>
      <c r="D4159" s="7">
        <v>1</v>
      </c>
      <c r="E4159" s="7">
        <v>10</v>
      </c>
      <c r="F4159" s="7">
        <v>1</v>
      </c>
      <c r="G4159" s="8" t="s">
        <v>3230</v>
      </c>
      <c r="H4159" s="8" t="s">
        <v>3231</v>
      </c>
      <c r="I4159" s="7" t="str">
        <f>_xlfn.CONCAT(Paper_Reference[[#This Row],[Lvl]:[Paper Description]])</f>
        <v>2NG48S-7036SC4800PRECISION WHITE 48 X 961101110SW736-5000PRECISION WHITE 43 X 145</v>
      </c>
      <c r="J4159" s="7">
        <f>COUNTIF(Paper_Reference[Duplicate Key],Paper_Reference[[#This Row],[Duplicate Key]])</f>
        <v>1</v>
      </c>
    </row>
    <row r="4160" spans="1:10">
      <c r="A4160" s="7">
        <v>2</v>
      </c>
      <c r="B4160" s="8" t="s">
        <v>3648</v>
      </c>
      <c r="C4160" s="8" t="s">
        <v>3278</v>
      </c>
      <c r="D4160" s="7">
        <v>1</v>
      </c>
      <c r="E4160" s="7">
        <v>10</v>
      </c>
      <c r="F4160" s="7">
        <v>1</v>
      </c>
      <c r="G4160" s="8" t="s">
        <v>3230</v>
      </c>
      <c r="H4160" s="8" t="s">
        <v>3231</v>
      </c>
      <c r="I4160" s="7" t="str">
        <f>_xlfn.CONCAT(Paper_Reference[[#This Row],[Lvl]:[Paper Description]])</f>
        <v>2NG48S-7036SM3800PRECISION WHITE  36 X 961101110SW736-5000PRECISION WHITE 43 X 145</v>
      </c>
      <c r="J4160" s="7">
        <f>COUNTIF(Paper_Reference[Duplicate Key],Paper_Reference[[#This Row],[Duplicate Key]])</f>
        <v>1</v>
      </c>
    </row>
    <row r="4161" spans="1:10">
      <c r="A4161" s="7">
        <v>2</v>
      </c>
      <c r="B4161" s="8" t="s">
        <v>3649</v>
      </c>
      <c r="C4161" s="8" t="s">
        <v>3260</v>
      </c>
      <c r="D4161" s="7">
        <v>1</v>
      </c>
      <c r="E4161" s="7">
        <v>10</v>
      </c>
      <c r="F4161" s="7">
        <v>1</v>
      </c>
      <c r="G4161" s="8" t="s">
        <v>3230</v>
      </c>
      <c r="H4161" s="8" t="s">
        <v>3231</v>
      </c>
      <c r="I4161" s="7" t="str">
        <f>_xlfn.CONCAT(Paper_Reference[[#This Row],[Lvl]:[Paper Description]])</f>
        <v>2NG48S-7036SM4000PRECISION WHITE 48 X 1201101110SW736-5000PRECISION WHITE 43 X 145</v>
      </c>
      <c r="J4161" s="7">
        <f>COUNTIF(Paper_Reference[Duplicate Key],Paper_Reference[[#This Row],[Duplicate Key]])</f>
        <v>1</v>
      </c>
    </row>
    <row r="4162" spans="1:10">
      <c r="A4162" s="7">
        <v>2</v>
      </c>
      <c r="B4162" s="8" t="s">
        <v>3650</v>
      </c>
      <c r="C4162" s="8" t="s">
        <v>3235</v>
      </c>
      <c r="D4162" s="7">
        <v>1</v>
      </c>
      <c r="E4162" s="7">
        <v>10</v>
      </c>
      <c r="F4162" s="7">
        <v>1</v>
      </c>
      <c r="G4162" s="8" t="s">
        <v>3230</v>
      </c>
      <c r="H4162" s="8" t="s">
        <v>3231</v>
      </c>
      <c r="I4162" s="7" t="str">
        <f>_xlfn.CONCAT(Paper_Reference[[#This Row],[Lvl]:[Paper Description]])</f>
        <v>2NG48S-7036SM4800PRECISION WHITE 48 X 961101110SW736-5000PRECISION WHITE 43 X 145</v>
      </c>
      <c r="J4162" s="7">
        <f>COUNTIF(Paper_Reference[Duplicate Key],Paper_Reference[[#This Row],[Duplicate Key]])</f>
        <v>1</v>
      </c>
    </row>
    <row r="4163" spans="1:10">
      <c r="A4163" s="7">
        <v>2</v>
      </c>
      <c r="B4163" s="8" t="s">
        <v>4064</v>
      </c>
      <c r="C4163" s="8" t="s">
        <v>3766</v>
      </c>
      <c r="D4163" s="7">
        <v>1</v>
      </c>
      <c r="E4163" s="7">
        <v>10</v>
      </c>
      <c r="F4163" s="7">
        <v>1</v>
      </c>
      <c r="G4163" s="8" t="s">
        <v>3826</v>
      </c>
      <c r="H4163" s="8" t="s">
        <v>3827</v>
      </c>
      <c r="I4163" s="7" t="str">
        <f>_xlfn.CONCAT(Paper_Reference[[#This Row],[Lvl]:[Paper Description]])</f>
        <v>2NG48S-7036SM5200PRECISION WHITE 60 X 1441101110SW736-6200PRECISION WHITE 62"</v>
      </c>
      <c r="J4163" s="7">
        <f>COUNTIF(Paper_Reference[Duplicate Key],Paper_Reference[[#This Row],[Duplicate Key]])</f>
        <v>1</v>
      </c>
    </row>
    <row r="4164" spans="1:10">
      <c r="A4164" s="7">
        <v>2</v>
      </c>
      <c r="B4164" s="8" t="s">
        <v>3651</v>
      </c>
      <c r="C4164" s="8" t="s">
        <v>3235</v>
      </c>
      <c r="D4164" s="7">
        <v>1</v>
      </c>
      <c r="E4164" s="7">
        <v>10</v>
      </c>
      <c r="F4164" s="7">
        <v>1</v>
      </c>
      <c r="G4164" s="8" t="s">
        <v>3230</v>
      </c>
      <c r="H4164" s="8" t="s">
        <v>3231</v>
      </c>
      <c r="I4164" s="7" t="str">
        <f>_xlfn.CONCAT(Paper_Reference[[#This Row],[Lvl]:[Paper Description]])</f>
        <v>2NG48S-7036SX4800PRECISION WHITE 48 X 961101110SW736-5000PRECISION WHITE 43 X 145</v>
      </c>
      <c r="J4164" s="7">
        <f>COUNTIF(Paper_Reference[Duplicate Key],Paper_Reference[[#This Row],[Duplicate Key]])</f>
        <v>1</v>
      </c>
    </row>
    <row r="4165" spans="1:10">
      <c r="A4165" s="7">
        <v>2</v>
      </c>
      <c r="B4165" s="8" t="s">
        <v>4065</v>
      </c>
      <c r="C4165" s="8" t="s">
        <v>3800</v>
      </c>
      <c r="D4165" s="7">
        <v>1</v>
      </c>
      <c r="E4165" s="7">
        <v>10</v>
      </c>
      <c r="F4165" s="7">
        <v>0.5</v>
      </c>
      <c r="G4165" s="8" t="s">
        <v>3826</v>
      </c>
      <c r="H4165" s="8" t="s">
        <v>3827</v>
      </c>
      <c r="I4165" s="7" t="str">
        <f>_xlfn.CONCAT(Paper_Reference[[#This Row],[Lvl]:[Paper Description]])</f>
        <v>2NG48S-7036T-0000Precision White  30 x 1201100.5110SW736-6200PRECISION WHITE 62"</v>
      </c>
      <c r="J4165" s="7">
        <f>COUNTIF(Paper_Reference[Duplicate Key],Paper_Reference[[#This Row],[Duplicate Key]])</f>
        <v>1</v>
      </c>
    </row>
    <row r="4166" spans="1:10">
      <c r="A4166" s="7">
        <v>2</v>
      </c>
      <c r="B4166" s="8" t="s">
        <v>4066</v>
      </c>
      <c r="C4166" s="8" t="s">
        <v>3803</v>
      </c>
      <c r="D4166" s="7">
        <v>1</v>
      </c>
      <c r="E4166" s="7">
        <v>10</v>
      </c>
      <c r="F4166" s="7">
        <v>0.5</v>
      </c>
      <c r="G4166" s="8" t="s">
        <v>3826</v>
      </c>
      <c r="H4166" s="8" t="s">
        <v>3827</v>
      </c>
      <c r="I4166" s="7" t="str">
        <f>_xlfn.CONCAT(Paper_Reference[[#This Row],[Lvl]:[Paper Description]])</f>
        <v>2NG48S-7036T-0200Precision White 30 x 1441100.5110SW736-6200PRECISION WHITE 62"</v>
      </c>
      <c r="J4166" s="7">
        <f>COUNTIF(Paper_Reference[Duplicate Key],Paper_Reference[[#This Row],[Duplicate Key]])</f>
        <v>1</v>
      </c>
    </row>
    <row r="4167" spans="1:10">
      <c r="A4167" s="7">
        <v>2</v>
      </c>
      <c r="B4167" s="8" t="s">
        <v>4067</v>
      </c>
      <c r="C4167" s="8" t="s">
        <v>3804</v>
      </c>
      <c r="D4167" s="7">
        <v>1</v>
      </c>
      <c r="E4167" s="7">
        <v>10</v>
      </c>
      <c r="F4167" s="7">
        <v>0.5</v>
      </c>
      <c r="G4167" s="8" t="s">
        <v>3826</v>
      </c>
      <c r="H4167" s="8" t="s">
        <v>3827</v>
      </c>
      <c r="I4167" s="7" t="str">
        <f>_xlfn.CONCAT(Paper_Reference[[#This Row],[Lvl]:[Paper Description]])</f>
        <v>2NG48S-7036T-0700Precision White 30.500 x 084.71100.5110SW736-6200PRECISION WHITE 62"</v>
      </c>
      <c r="J4167" s="7">
        <f>COUNTIF(Paper_Reference[Duplicate Key],Paper_Reference[[#This Row],[Duplicate Key]])</f>
        <v>1</v>
      </c>
    </row>
    <row r="4168" spans="1:10">
      <c r="A4168" s="7">
        <v>2</v>
      </c>
      <c r="B4168" s="8" t="s">
        <v>4068</v>
      </c>
      <c r="C4168" s="8" t="s">
        <v>3801</v>
      </c>
      <c r="D4168" s="7">
        <v>1</v>
      </c>
      <c r="E4168" s="7">
        <v>10</v>
      </c>
      <c r="F4168" s="7">
        <v>0.5</v>
      </c>
      <c r="G4168" s="8" t="s">
        <v>3826</v>
      </c>
      <c r="H4168" s="8" t="s">
        <v>3827</v>
      </c>
      <c r="I4168" s="7" t="str">
        <f>_xlfn.CONCAT(Paper_Reference[[#This Row],[Lvl]:[Paper Description]])</f>
        <v>2NG48S-7036T-0800Precision White  30 x 961100.5110SW736-6200PRECISION WHITE 62"</v>
      </c>
      <c r="J4168" s="7">
        <f>COUNTIF(Paper_Reference[Duplicate Key],Paper_Reference[[#This Row],[Duplicate Key]])</f>
        <v>1</v>
      </c>
    </row>
    <row r="4169" spans="1:10">
      <c r="A4169" s="7">
        <v>2</v>
      </c>
      <c r="B4169" s="8" t="s">
        <v>4069</v>
      </c>
      <c r="C4169" s="8" t="s">
        <v>3801</v>
      </c>
      <c r="D4169" s="7">
        <v>1</v>
      </c>
      <c r="E4169" s="7">
        <v>10</v>
      </c>
      <c r="F4169" s="7">
        <v>0.5</v>
      </c>
      <c r="G4169" s="8" t="s">
        <v>3826</v>
      </c>
      <c r="H4169" s="8" t="s">
        <v>3827</v>
      </c>
      <c r="I4169" s="7" t="str">
        <f>_xlfn.CONCAT(Paper_Reference[[#This Row],[Lvl]:[Paper Description]])</f>
        <v>2NG48S-7036T-0803Precision White  30 x 961100.5110SW736-6200PRECISION WHITE 62"</v>
      </c>
      <c r="J4169" s="7">
        <f>COUNTIF(Paper_Reference[Duplicate Key],Paper_Reference[[#This Row],[Duplicate Key]])</f>
        <v>1</v>
      </c>
    </row>
    <row r="4170" spans="1:10">
      <c r="A4170" s="7">
        <v>2</v>
      </c>
      <c r="B4170" s="8" t="s">
        <v>3652</v>
      </c>
      <c r="C4170" s="8" t="s">
        <v>3266</v>
      </c>
      <c r="D4170" s="7">
        <v>1</v>
      </c>
      <c r="E4170" s="7">
        <v>10</v>
      </c>
      <c r="F4170" s="7">
        <v>1</v>
      </c>
      <c r="G4170" s="8" t="s">
        <v>3230</v>
      </c>
      <c r="H4170" s="8" t="s">
        <v>3231</v>
      </c>
      <c r="I4170" s="7" t="str">
        <f>_xlfn.CONCAT(Paper_Reference[[#This Row],[Lvl]:[Paper Description]])</f>
        <v>2NG48S-7036T-3000Precision White  36 x 1201101110SW736-5000PRECISION WHITE 43 X 145</v>
      </c>
      <c r="J4170" s="7">
        <f>COUNTIF(Paper_Reference[Duplicate Key],Paper_Reference[[#This Row],[Duplicate Key]])</f>
        <v>1</v>
      </c>
    </row>
    <row r="4171" spans="1:10">
      <c r="A4171" s="7">
        <v>2</v>
      </c>
      <c r="B4171" s="8" t="s">
        <v>3653</v>
      </c>
      <c r="C4171" s="8" t="s">
        <v>3273</v>
      </c>
      <c r="D4171" s="7">
        <v>1</v>
      </c>
      <c r="E4171" s="7">
        <v>10</v>
      </c>
      <c r="F4171" s="7">
        <v>1</v>
      </c>
      <c r="G4171" s="8" t="s">
        <v>3230</v>
      </c>
      <c r="H4171" s="8" t="s">
        <v>3231</v>
      </c>
      <c r="I4171" s="7" t="str">
        <f>_xlfn.CONCAT(Paper_Reference[[#This Row],[Lvl]:[Paper Description]])</f>
        <v>2NG48S-7036T-3200Precision White  36 x 1441101110SW736-5000PRECISION WHITE 43 X 145</v>
      </c>
      <c r="J4171" s="7">
        <f>COUNTIF(Paper_Reference[Duplicate Key],Paper_Reference[[#This Row],[Duplicate Key]])</f>
        <v>1</v>
      </c>
    </row>
    <row r="4172" spans="1:10">
      <c r="A4172" s="7">
        <v>2</v>
      </c>
      <c r="B4172" s="8" t="s">
        <v>3654</v>
      </c>
      <c r="C4172" s="8" t="s">
        <v>3271</v>
      </c>
      <c r="D4172" s="7">
        <v>1</v>
      </c>
      <c r="E4172" s="7">
        <v>10</v>
      </c>
      <c r="F4172" s="7">
        <v>1</v>
      </c>
      <c r="G4172" s="8" t="s">
        <v>3230</v>
      </c>
      <c r="H4172" s="8" t="s">
        <v>3231</v>
      </c>
      <c r="I4172" s="7" t="str">
        <f>_xlfn.CONCAT(Paper_Reference[[#This Row],[Lvl]:[Paper Description]])</f>
        <v>2NG48S-7036T-3700PRECISION WHITE 36.5 X 851101110SW736-5000PRECISION WHITE 43 X 145</v>
      </c>
      <c r="J4172" s="7">
        <f>COUNTIF(Paper_Reference[Duplicate Key],Paper_Reference[[#This Row],[Duplicate Key]])</f>
        <v>1</v>
      </c>
    </row>
    <row r="4173" spans="1:10">
      <c r="A4173" s="7">
        <v>2</v>
      </c>
      <c r="B4173" s="8" t="s">
        <v>3655</v>
      </c>
      <c r="C4173" s="8" t="s">
        <v>3267</v>
      </c>
      <c r="D4173" s="7">
        <v>1</v>
      </c>
      <c r="E4173" s="7">
        <v>10</v>
      </c>
      <c r="F4173" s="7">
        <v>1</v>
      </c>
      <c r="G4173" s="8" t="s">
        <v>3230</v>
      </c>
      <c r="H4173" s="8" t="s">
        <v>3231</v>
      </c>
      <c r="I4173" s="7" t="str">
        <f>_xlfn.CONCAT(Paper_Reference[[#This Row],[Lvl]:[Paper Description]])</f>
        <v>2NG48S-7036T-3800Precision White  36 x 961101110SW736-5000PRECISION WHITE 43 X 145</v>
      </c>
      <c r="J4173" s="7">
        <f>COUNTIF(Paper_Reference[Duplicate Key],Paper_Reference[[#This Row],[Duplicate Key]])</f>
        <v>1</v>
      </c>
    </row>
    <row r="4174" spans="1:10">
      <c r="A4174" s="7">
        <v>2</v>
      </c>
      <c r="B4174" s="8" t="s">
        <v>3656</v>
      </c>
      <c r="C4174" s="8" t="s">
        <v>3267</v>
      </c>
      <c r="D4174" s="7">
        <v>1</v>
      </c>
      <c r="E4174" s="7">
        <v>10</v>
      </c>
      <c r="F4174" s="7">
        <v>1</v>
      </c>
      <c r="G4174" s="8" t="s">
        <v>3230</v>
      </c>
      <c r="H4174" s="8" t="s">
        <v>3231</v>
      </c>
      <c r="I4174" s="7" t="str">
        <f>_xlfn.CONCAT(Paper_Reference[[#This Row],[Lvl]:[Paper Description]])</f>
        <v>2NG48S-7036T-3803Precision White  36 x 961101110SW736-5000PRECISION WHITE 43 X 145</v>
      </c>
      <c r="J4174" s="7">
        <f>COUNTIF(Paper_Reference[Duplicate Key],Paper_Reference[[#This Row],[Duplicate Key]])</f>
        <v>1</v>
      </c>
    </row>
    <row r="4175" spans="1:10">
      <c r="A4175" s="7">
        <v>2</v>
      </c>
      <c r="B4175" s="8" t="s">
        <v>3657</v>
      </c>
      <c r="C4175" s="8" t="s">
        <v>3279</v>
      </c>
      <c r="D4175" s="7">
        <v>1</v>
      </c>
      <c r="E4175" s="7">
        <v>10</v>
      </c>
      <c r="F4175" s="7">
        <v>1</v>
      </c>
      <c r="G4175" s="8" t="s">
        <v>3230</v>
      </c>
      <c r="H4175" s="8" t="s">
        <v>3231</v>
      </c>
      <c r="I4175" s="7" t="str">
        <f>_xlfn.CONCAT(Paper_Reference[[#This Row],[Lvl]:[Paper Description]])</f>
        <v>2NG48S-7036T-3900PRECISION WHITE  36.5X108.751101110SW736-5000PRECISION WHITE 43 X 145</v>
      </c>
      <c r="J4175" s="7">
        <f>COUNTIF(Paper_Reference[Duplicate Key],Paper_Reference[[#This Row],[Duplicate Key]])</f>
        <v>1</v>
      </c>
    </row>
    <row r="4176" spans="1:10">
      <c r="A4176" s="7">
        <v>2</v>
      </c>
      <c r="B4176" s="8" t="s">
        <v>3658</v>
      </c>
      <c r="C4176" s="8" t="s">
        <v>3279</v>
      </c>
      <c r="D4176" s="7">
        <v>1</v>
      </c>
      <c r="E4176" s="7">
        <v>10</v>
      </c>
      <c r="F4176" s="7">
        <v>1</v>
      </c>
      <c r="G4176" s="8" t="s">
        <v>3230</v>
      </c>
      <c r="H4176" s="8" t="s">
        <v>3231</v>
      </c>
      <c r="I4176" s="7" t="str">
        <f>_xlfn.CONCAT(Paper_Reference[[#This Row],[Lvl]:[Paper Description]])</f>
        <v>2NG48S-7036T-3903PRECISION WHITE  36.5X108.751101110SW736-5000PRECISION WHITE 43 X 145</v>
      </c>
      <c r="J4176" s="7">
        <f>COUNTIF(Paper_Reference[Duplicate Key],Paper_Reference[[#This Row],[Duplicate Key]])</f>
        <v>1</v>
      </c>
    </row>
    <row r="4177" spans="1:10">
      <c r="A4177" s="7">
        <v>2</v>
      </c>
      <c r="B4177" s="8" t="s">
        <v>3659</v>
      </c>
      <c r="C4177" s="8" t="s">
        <v>3263</v>
      </c>
      <c r="D4177" s="7">
        <v>1</v>
      </c>
      <c r="E4177" s="7">
        <v>10</v>
      </c>
      <c r="F4177" s="7">
        <v>1</v>
      </c>
      <c r="G4177" s="8" t="s">
        <v>3230</v>
      </c>
      <c r="H4177" s="8" t="s">
        <v>3231</v>
      </c>
      <c r="I4177" s="7" t="str">
        <f>_xlfn.CONCAT(Paper_Reference[[#This Row],[Lvl]:[Paper Description]])</f>
        <v>2NG48S-7036T-4000Precision White  48 x 1201101110SW736-5000PRECISION WHITE 43 X 145</v>
      </c>
      <c r="J4177" s="7">
        <f>COUNTIF(Paper_Reference[Duplicate Key],Paper_Reference[[#This Row],[Duplicate Key]])</f>
        <v>1</v>
      </c>
    </row>
    <row r="4178" spans="1:10">
      <c r="A4178" s="7">
        <v>2</v>
      </c>
      <c r="B4178" s="8" t="s">
        <v>3660</v>
      </c>
      <c r="C4178" s="8" t="s">
        <v>3264</v>
      </c>
      <c r="D4178" s="7">
        <v>1</v>
      </c>
      <c r="E4178" s="7">
        <v>10</v>
      </c>
      <c r="F4178" s="7">
        <v>1</v>
      </c>
      <c r="G4178" s="8" t="s">
        <v>3230</v>
      </c>
      <c r="H4178" s="8" t="s">
        <v>3231</v>
      </c>
      <c r="I4178" s="7" t="str">
        <f>_xlfn.CONCAT(Paper_Reference[[#This Row],[Lvl]:[Paper Description]])</f>
        <v>2NG48S-7036T-4200Precision White  48 x 1441101110SW736-5000PRECISION WHITE 43 X 145</v>
      </c>
      <c r="J4178" s="7">
        <f>COUNTIF(Paper_Reference[Duplicate Key],Paper_Reference[[#This Row],[Duplicate Key]])</f>
        <v>1</v>
      </c>
    </row>
    <row r="4179" spans="1:10">
      <c r="A4179" s="7">
        <v>2</v>
      </c>
      <c r="B4179" s="8" t="s">
        <v>3661</v>
      </c>
      <c r="C4179" s="8" t="s">
        <v>3280</v>
      </c>
      <c r="D4179" s="7">
        <v>1</v>
      </c>
      <c r="E4179" s="7">
        <v>10</v>
      </c>
      <c r="F4179" s="7">
        <v>1</v>
      </c>
      <c r="G4179" s="8" t="s">
        <v>3230</v>
      </c>
      <c r="H4179" s="8" t="s">
        <v>3231</v>
      </c>
      <c r="I4179" s="7" t="str">
        <f>_xlfn.CONCAT(Paper_Reference[[#This Row],[Lvl]:[Paper Description]])</f>
        <v>2NG48S-7036T-4700Precision White 48.75x851101110SW736-5000PRECISION WHITE 43 X 145</v>
      </c>
      <c r="J4179" s="7">
        <f>COUNTIF(Paper_Reference[Duplicate Key],Paper_Reference[[#This Row],[Duplicate Key]])</f>
        <v>1</v>
      </c>
    </row>
    <row r="4180" spans="1:10">
      <c r="A4180" s="7">
        <v>2</v>
      </c>
      <c r="B4180" s="8" t="s">
        <v>3662</v>
      </c>
      <c r="C4180" s="8" t="s">
        <v>3255</v>
      </c>
      <c r="D4180" s="7">
        <v>1</v>
      </c>
      <c r="E4180" s="7">
        <v>10</v>
      </c>
      <c r="F4180" s="7">
        <v>1</v>
      </c>
      <c r="G4180" s="8" t="s">
        <v>3230</v>
      </c>
      <c r="H4180" s="8" t="s">
        <v>3231</v>
      </c>
      <c r="I4180" s="7" t="str">
        <f>_xlfn.CONCAT(Paper_Reference[[#This Row],[Lvl]:[Paper Description]])</f>
        <v>2NG48S-7036T-4800Precision White  48 x 961101110SW736-5000PRECISION WHITE 43 X 145</v>
      </c>
      <c r="J4180" s="7">
        <f>COUNTIF(Paper_Reference[Duplicate Key],Paper_Reference[[#This Row],[Duplicate Key]])</f>
        <v>1</v>
      </c>
    </row>
    <row r="4181" spans="1:10">
      <c r="A4181" s="7">
        <v>2</v>
      </c>
      <c r="B4181" s="8" t="s">
        <v>3663</v>
      </c>
      <c r="C4181" s="8" t="s">
        <v>3255</v>
      </c>
      <c r="D4181" s="7">
        <v>1</v>
      </c>
      <c r="E4181" s="7">
        <v>10</v>
      </c>
      <c r="F4181" s="7">
        <v>1</v>
      </c>
      <c r="G4181" s="8" t="s">
        <v>3230</v>
      </c>
      <c r="H4181" s="8" t="s">
        <v>3231</v>
      </c>
      <c r="I4181" s="7" t="str">
        <f>_xlfn.CONCAT(Paper_Reference[[#This Row],[Lvl]:[Paper Description]])</f>
        <v>2NG48S-7036T-4803Precision White  48 x 961101110SW736-5000PRECISION WHITE 43 X 145</v>
      </c>
      <c r="J4181" s="7">
        <f>COUNTIF(Paper_Reference[Duplicate Key],Paper_Reference[[#This Row],[Duplicate Key]])</f>
        <v>1</v>
      </c>
    </row>
    <row r="4182" spans="1:10">
      <c r="A4182" s="7">
        <v>2</v>
      </c>
      <c r="B4182" s="8" t="s">
        <v>4070</v>
      </c>
      <c r="C4182" s="8" t="s">
        <v>3794</v>
      </c>
      <c r="D4182" s="7">
        <v>1</v>
      </c>
      <c r="E4182" s="7">
        <v>10</v>
      </c>
      <c r="F4182" s="7">
        <v>1</v>
      </c>
      <c r="G4182" s="8" t="s">
        <v>3826</v>
      </c>
      <c r="H4182" s="8" t="s">
        <v>3827</v>
      </c>
      <c r="I4182" s="7" t="str">
        <f>_xlfn.CONCAT(Paper_Reference[[#This Row],[Lvl]:[Paper Description]])</f>
        <v>2NG48S-7036T-5000Precision White  60 x 1201101110SW736-6200PRECISION WHITE 62"</v>
      </c>
      <c r="J4182" s="7">
        <f>COUNTIF(Paper_Reference[Duplicate Key],Paper_Reference[[#This Row],[Duplicate Key]])</f>
        <v>1</v>
      </c>
    </row>
    <row r="4183" spans="1:10">
      <c r="A4183" s="7">
        <v>2</v>
      </c>
      <c r="B4183" s="8" t="s">
        <v>4071</v>
      </c>
      <c r="C4183" s="8" t="s">
        <v>3786</v>
      </c>
      <c r="D4183" s="7">
        <v>1</v>
      </c>
      <c r="E4183" s="7">
        <v>10</v>
      </c>
      <c r="F4183" s="7">
        <v>1</v>
      </c>
      <c r="G4183" s="8" t="s">
        <v>3826</v>
      </c>
      <c r="H4183" s="8" t="s">
        <v>3827</v>
      </c>
      <c r="I4183" s="7" t="str">
        <f>_xlfn.CONCAT(Paper_Reference[[#This Row],[Lvl]:[Paper Description]])</f>
        <v>2NG48S-7036T-5200Precision White  60 x 1441101110SW736-6200PRECISION WHITE 62"</v>
      </c>
      <c r="J4183" s="7">
        <f>COUNTIF(Paper_Reference[Duplicate Key],Paper_Reference[[#This Row],[Duplicate Key]])</f>
        <v>1</v>
      </c>
    </row>
    <row r="4184" spans="1:10">
      <c r="A4184" s="7">
        <v>2</v>
      </c>
      <c r="B4184" s="8" t="s">
        <v>4072</v>
      </c>
      <c r="C4184" s="8" t="s">
        <v>3786</v>
      </c>
      <c r="D4184" s="7">
        <v>1</v>
      </c>
      <c r="E4184" s="7">
        <v>10</v>
      </c>
      <c r="F4184" s="7">
        <v>1</v>
      </c>
      <c r="G4184" s="8" t="s">
        <v>3826</v>
      </c>
      <c r="H4184" s="8" t="s">
        <v>3827</v>
      </c>
      <c r="I4184" s="7" t="str">
        <f>_xlfn.CONCAT(Paper_Reference[[#This Row],[Lvl]:[Paper Description]])</f>
        <v>2NG48S-7036T-5203Precision White  60 x 1441101110SW736-6200PRECISION WHITE 62"</v>
      </c>
      <c r="J4184" s="7">
        <f>COUNTIF(Paper_Reference[Duplicate Key],Paper_Reference[[#This Row],[Duplicate Key]])</f>
        <v>1</v>
      </c>
    </row>
    <row r="4185" spans="1:10">
      <c r="A4185" s="7">
        <v>2</v>
      </c>
      <c r="B4185" s="8" t="s">
        <v>4073</v>
      </c>
      <c r="C4185" s="8" t="s">
        <v>3795</v>
      </c>
      <c r="D4185" s="7">
        <v>1</v>
      </c>
      <c r="E4185" s="7">
        <v>10</v>
      </c>
      <c r="F4185" s="7">
        <v>1</v>
      </c>
      <c r="G4185" s="8" t="s">
        <v>3826</v>
      </c>
      <c r="H4185" s="8" t="s">
        <v>3827</v>
      </c>
      <c r="I4185" s="7" t="str">
        <f>_xlfn.CONCAT(Paper_Reference[[#This Row],[Lvl]:[Paper Description]])</f>
        <v>2NG48S-7036T-5800Precision White  60 x 961101110SW736-6200PRECISION WHITE 62"</v>
      </c>
      <c r="J4185" s="7">
        <f>COUNTIF(Paper_Reference[Duplicate Key],Paper_Reference[[#This Row],[Duplicate Key]])</f>
        <v>1</v>
      </c>
    </row>
    <row r="4186" spans="1:10">
      <c r="A4186" s="7">
        <v>2</v>
      </c>
      <c r="B4186" s="8" t="s">
        <v>3664</v>
      </c>
      <c r="C4186" s="8" t="s">
        <v>3235</v>
      </c>
      <c r="D4186" s="7">
        <v>1</v>
      </c>
      <c r="E4186" s="7">
        <v>10</v>
      </c>
      <c r="F4186" s="7">
        <v>1</v>
      </c>
      <c r="G4186" s="8" t="s">
        <v>3230</v>
      </c>
      <c r="H4186" s="8" t="s">
        <v>3231</v>
      </c>
      <c r="I4186" s="7" t="str">
        <f>_xlfn.CONCAT(Paper_Reference[[#This Row],[Lvl]:[Paper Description]])</f>
        <v>2NG48S-7036VR4800PRECISION WHITE 48 X 961101110SW736-5000PRECISION WHITE 43 X 145</v>
      </c>
      <c r="J4186" s="7">
        <f>COUNTIF(Paper_Reference[Duplicate Key],Paper_Reference[[#This Row],[Duplicate Key]])</f>
        <v>1</v>
      </c>
    </row>
    <row r="4187" spans="1:10">
      <c r="A4187" s="7">
        <v>2</v>
      </c>
      <c r="B4187" s="8" t="s">
        <v>3665</v>
      </c>
      <c r="C4187" s="8" t="s">
        <v>3235</v>
      </c>
      <c r="D4187" s="7">
        <v>1</v>
      </c>
      <c r="E4187" s="7">
        <v>10</v>
      </c>
      <c r="F4187" s="7">
        <v>1</v>
      </c>
      <c r="G4187" s="8" t="s">
        <v>3230</v>
      </c>
      <c r="H4187" s="8" t="s">
        <v>3231</v>
      </c>
      <c r="I4187" s="7" t="str">
        <f>_xlfn.CONCAT(Paper_Reference[[#This Row],[Lvl]:[Paper Description]])</f>
        <v>2NG48S-7036WE4800PRECISION WHITE 48 X 961101110SW736-5000PRECISION WHITE 43 X 145</v>
      </c>
      <c r="J4187" s="7">
        <f>COUNTIF(Paper_Reference[Duplicate Key],Paper_Reference[[#This Row],[Duplicate Key]])</f>
        <v>1</v>
      </c>
    </row>
    <row r="4188" spans="1:10">
      <c r="A4188" s="7">
        <v>2</v>
      </c>
      <c r="B4188" s="8" t="s">
        <v>3666</v>
      </c>
      <c r="C4188" s="8" t="s">
        <v>3235</v>
      </c>
      <c r="D4188" s="7">
        <v>1</v>
      </c>
      <c r="E4188" s="7">
        <v>10</v>
      </c>
      <c r="F4188" s="7">
        <v>1</v>
      </c>
      <c r="G4188" s="8" t="s">
        <v>3230</v>
      </c>
      <c r="H4188" s="8" t="s">
        <v>3231</v>
      </c>
      <c r="I4188" s="7" t="str">
        <f>_xlfn.CONCAT(Paper_Reference[[#This Row],[Lvl]:[Paper Description]])</f>
        <v>2NG48S-7036Z-4800PRECISION WHITE 48 X 961101110SW736-5000PRECISION WHITE 43 X 145</v>
      </c>
      <c r="J4188" s="7">
        <f>COUNTIF(Paper_Reference[Duplicate Key],Paper_Reference[[#This Row],[Duplicate Key]])</f>
        <v>1</v>
      </c>
    </row>
    <row r="4189" spans="1:10">
      <c r="A4189" s="7">
        <v>2</v>
      </c>
      <c r="B4189" s="8" t="s">
        <v>4283</v>
      </c>
      <c r="C4189" s="8" t="s">
        <v>4136</v>
      </c>
      <c r="D4189" s="7">
        <v>1</v>
      </c>
      <c r="E4189" s="7">
        <v>10</v>
      </c>
      <c r="F4189" s="7">
        <v>1</v>
      </c>
      <c r="G4189" s="8" t="s">
        <v>4129</v>
      </c>
      <c r="H4189" s="8" t="s">
        <v>4130</v>
      </c>
      <c r="I4189" s="7" t="str">
        <f>_xlfn.CONCAT(Paper_Reference[[#This Row],[Lvl]:[Paper Description]])</f>
        <v>2NG48WC5581AW5200BLOSSOM CHERRY  60 X 1441101110WC013-6200BLOSSOM CHERRY</v>
      </c>
      <c r="J4189" s="7">
        <f>COUNTIF(Paper_Reference[Duplicate Key],Paper_Reference[[#This Row],[Duplicate Key]])</f>
        <v>1</v>
      </c>
    </row>
    <row r="4190" spans="1:10">
      <c r="A4190" s="7">
        <v>2</v>
      </c>
      <c r="B4190" s="8" t="s">
        <v>4284</v>
      </c>
      <c r="C4190" s="8" t="s">
        <v>4169</v>
      </c>
      <c r="D4190" s="7">
        <v>1</v>
      </c>
      <c r="E4190" s="7">
        <v>10</v>
      </c>
      <c r="F4190" s="7">
        <v>0.5</v>
      </c>
      <c r="G4190" s="8" t="s">
        <v>4129</v>
      </c>
      <c r="H4190" s="8" t="s">
        <v>4130</v>
      </c>
      <c r="I4190" s="7" t="str">
        <f>_xlfn.CONCAT(Paper_Reference[[#This Row],[Lvl]:[Paper Description]])</f>
        <v>2NG48WC5581E-0704BLOSSOM CHERRY 30.5 X 851100.5110WC013-6200BLOSSOM CHERRY</v>
      </c>
      <c r="J4190" s="7">
        <f>COUNTIF(Paper_Reference[Duplicate Key],Paper_Reference[[#This Row],[Duplicate Key]])</f>
        <v>1</v>
      </c>
    </row>
    <row r="4191" spans="1:10">
      <c r="A4191" s="7">
        <v>2</v>
      </c>
      <c r="B4191" s="8" t="s">
        <v>4285</v>
      </c>
      <c r="C4191" s="8" t="s">
        <v>4131</v>
      </c>
      <c r="D4191" s="7">
        <v>1</v>
      </c>
      <c r="E4191" s="7">
        <v>10</v>
      </c>
      <c r="F4191" s="7">
        <v>1</v>
      </c>
      <c r="G4191" s="8" t="s">
        <v>4129</v>
      </c>
      <c r="H4191" s="8" t="s">
        <v>4130</v>
      </c>
      <c r="I4191" s="7" t="str">
        <f>_xlfn.CONCAT(Paper_Reference[[#This Row],[Lvl]:[Paper Description]])</f>
        <v>2NG48WC5581E-5200Blossom Cherry  60 x 1441101110WC013-6200BLOSSOM CHERRY</v>
      </c>
      <c r="J4191" s="7">
        <f>COUNTIF(Paper_Reference[Duplicate Key],Paper_Reference[[#This Row],[Duplicate Key]])</f>
        <v>1</v>
      </c>
    </row>
    <row r="4192" spans="1:10">
      <c r="A4192" s="7">
        <v>2</v>
      </c>
      <c r="B4192" s="8" t="s">
        <v>4286</v>
      </c>
      <c r="C4192" s="8" t="s">
        <v>4170</v>
      </c>
      <c r="D4192" s="7">
        <v>1</v>
      </c>
      <c r="E4192" s="7">
        <v>10</v>
      </c>
      <c r="F4192" s="7">
        <v>0.5</v>
      </c>
      <c r="G4192" s="8" t="s">
        <v>4129</v>
      </c>
      <c r="H4192" s="8" t="s">
        <v>4130</v>
      </c>
      <c r="I4192" s="7" t="str">
        <f>_xlfn.CONCAT(Paper_Reference[[#This Row],[Lvl]:[Paper Description]])</f>
        <v>2NG48WC5581MG0700BLOSSOM CHERRY  30 1/2 X 851100.5110WC013-6200BLOSSOM CHERRY</v>
      </c>
      <c r="J4192" s="7">
        <f>COUNTIF(Paper_Reference[Duplicate Key],Paper_Reference[[#This Row],[Duplicate Key]])</f>
        <v>1</v>
      </c>
    </row>
    <row r="4193" spans="1:10">
      <c r="A4193" s="7">
        <v>2</v>
      </c>
      <c r="B4193" s="8" t="s">
        <v>4287</v>
      </c>
      <c r="C4193" s="8" t="s">
        <v>4171</v>
      </c>
      <c r="D4193" s="7">
        <v>1</v>
      </c>
      <c r="E4193" s="7">
        <v>10</v>
      </c>
      <c r="F4193" s="7">
        <v>0.5</v>
      </c>
      <c r="G4193" s="8" t="s">
        <v>4129</v>
      </c>
      <c r="H4193" s="8" t="s">
        <v>4130</v>
      </c>
      <c r="I4193" s="7" t="str">
        <f>_xlfn.CONCAT(Paper_Reference[[#This Row],[Lvl]:[Paper Description]])</f>
        <v>2NG48WC5581MG0701BLOSSOM CHERRY PC 30.5X851100.5110WC013-6200BLOSSOM CHERRY</v>
      </c>
      <c r="J4193" s="7">
        <f>COUNTIF(Paper_Reference[Duplicate Key],Paper_Reference[[#This Row],[Duplicate Key]])</f>
        <v>1</v>
      </c>
    </row>
    <row r="4194" spans="1:10">
      <c r="A4194" s="7">
        <v>2</v>
      </c>
      <c r="B4194" s="8" t="s">
        <v>4288</v>
      </c>
      <c r="C4194" s="8" t="s">
        <v>4170</v>
      </c>
      <c r="D4194" s="7">
        <v>1</v>
      </c>
      <c r="E4194" s="7">
        <v>10</v>
      </c>
      <c r="F4194" s="7">
        <v>0.5</v>
      </c>
      <c r="G4194" s="8" t="s">
        <v>4129</v>
      </c>
      <c r="H4194" s="8" t="s">
        <v>4130</v>
      </c>
      <c r="I4194" s="7" t="str">
        <f>_xlfn.CONCAT(Paper_Reference[[#This Row],[Lvl]:[Paper Description]])</f>
        <v>2NG48WC5581MG0703BLOSSOM CHERRY  30 1/2 X 851100.5110WC013-6200BLOSSOM CHERRY</v>
      </c>
      <c r="J4194" s="7">
        <f>COUNTIF(Paper_Reference[Duplicate Key],Paper_Reference[[#This Row],[Duplicate Key]])</f>
        <v>1</v>
      </c>
    </row>
    <row r="4195" spans="1:10">
      <c r="A4195" s="7">
        <v>2</v>
      </c>
      <c r="B4195" s="8" t="s">
        <v>4289</v>
      </c>
      <c r="C4195" s="8" t="s">
        <v>4172</v>
      </c>
      <c r="D4195" s="7">
        <v>1</v>
      </c>
      <c r="E4195" s="7">
        <v>10</v>
      </c>
      <c r="F4195" s="7">
        <v>0.5</v>
      </c>
      <c r="G4195" s="8" t="s">
        <v>4129</v>
      </c>
      <c r="H4195" s="8" t="s">
        <v>4130</v>
      </c>
      <c r="I4195" s="7" t="str">
        <f>_xlfn.CONCAT(Paper_Reference[[#This Row],[Lvl]:[Paper Description]])</f>
        <v>2NG48WC5581MG0704BLOSSOM CHERRY PC 30.5 X 851100.5110WC013-6200BLOSSOM CHERRY</v>
      </c>
      <c r="J4195" s="7">
        <f>COUNTIF(Paper_Reference[Duplicate Key],Paper_Reference[[#This Row],[Duplicate Key]])</f>
        <v>1</v>
      </c>
    </row>
    <row r="4196" spans="1:10">
      <c r="A4196" s="7">
        <v>2</v>
      </c>
      <c r="B4196" s="8" t="s">
        <v>4290</v>
      </c>
      <c r="C4196" s="8" t="s">
        <v>4154</v>
      </c>
      <c r="D4196" s="7">
        <v>1</v>
      </c>
      <c r="E4196" s="7">
        <v>10</v>
      </c>
      <c r="F4196" s="7">
        <v>0.5</v>
      </c>
      <c r="G4196" s="8" t="s">
        <v>4129</v>
      </c>
      <c r="H4196" s="8" t="s">
        <v>4130</v>
      </c>
      <c r="I4196" s="7" t="str">
        <f>_xlfn.CONCAT(Paper_Reference[[#This Row],[Lvl]:[Paper Description]])</f>
        <v>2NG48WC5581MG0800BLOSSOM CHERRY  30 X 961100.5110WC013-6200BLOSSOM CHERRY</v>
      </c>
      <c r="J4196" s="7">
        <f>COUNTIF(Paper_Reference[Duplicate Key],Paper_Reference[[#This Row],[Duplicate Key]])</f>
        <v>1</v>
      </c>
    </row>
    <row r="4197" spans="1:10">
      <c r="A4197" s="7">
        <v>2</v>
      </c>
      <c r="B4197" s="8" t="s">
        <v>4291</v>
      </c>
      <c r="C4197" s="8" t="s">
        <v>4155</v>
      </c>
      <c r="D4197" s="7">
        <v>1</v>
      </c>
      <c r="E4197" s="7">
        <v>10</v>
      </c>
      <c r="F4197" s="7">
        <v>1</v>
      </c>
      <c r="G4197" s="8" t="s">
        <v>4129</v>
      </c>
      <c r="H4197" s="8" t="s">
        <v>4130</v>
      </c>
      <c r="I4197" s="7" t="str">
        <f>_xlfn.CONCAT(Paper_Reference[[#This Row],[Lvl]:[Paper Description]])</f>
        <v>2NG48WC5581MG3000BLOSSOM CHERRY  36 X 1201101110WC013-6200BLOSSOM CHERRY</v>
      </c>
      <c r="J4197" s="7">
        <f>COUNTIF(Paper_Reference[Duplicate Key],Paper_Reference[[#This Row],[Duplicate Key]])</f>
        <v>1</v>
      </c>
    </row>
    <row r="4198" spans="1:10">
      <c r="A4198" s="7">
        <v>2</v>
      </c>
      <c r="B4198" s="8" t="s">
        <v>4292</v>
      </c>
      <c r="C4198" s="8" t="s">
        <v>4155</v>
      </c>
      <c r="D4198" s="7">
        <v>1</v>
      </c>
      <c r="E4198" s="7">
        <v>10</v>
      </c>
      <c r="F4198" s="7">
        <v>1</v>
      </c>
      <c r="G4198" s="8" t="s">
        <v>4129</v>
      </c>
      <c r="H4198" s="8" t="s">
        <v>4130</v>
      </c>
      <c r="I4198" s="7" t="str">
        <f>_xlfn.CONCAT(Paper_Reference[[#This Row],[Lvl]:[Paper Description]])</f>
        <v>2NG48WC5581MG3003BLOSSOM CHERRY  36 X 1201101110WC013-6200BLOSSOM CHERRY</v>
      </c>
      <c r="J4198" s="7">
        <f>COUNTIF(Paper_Reference[Duplicate Key],Paper_Reference[[#This Row],[Duplicate Key]])</f>
        <v>1</v>
      </c>
    </row>
    <row r="4199" spans="1:10">
      <c r="A4199" s="7">
        <v>2</v>
      </c>
      <c r="B4199" s="8" t="s">
        <v>4293</v>
      </c>
      <c r="C4199" s="8" t="s">
        <v>4173</v>
      </c>
      <c r="D4199" s="7">
        <v>1</v>
      </c>
      <c r="E4199" s="7">
        <v>10</v>
      </c>
      <c r="F4199" s="7">
        <v>1</v>
      </c>
      <c r="G4199" s="8" t="s">
        <v>4129</v>
      </c>
      <c r="H4199" s="8" t="s">
        <v>4130</v>
      </c>
      <c r="I4199" s="7" t="str">
        <f>_xlfn.CONCAT(Paper_Reference[[#This Row],[Lvl]:[Paper Description]])</f>
        <v>2NG48WC5581MG3004BLOSSOM CHERRY 36 X 1201101110WC013-6200BLOSSOM CHERRY</v>
      </c>
      <c r="J4199" s="7">
        <f>COUNTIF(Paper_Reference[Duplicate Key],Paper_Reference[[#This Row],[Duplicate Key]])</f>
        <v>1</v>
      </c>
    </row>
    <row r="4200" spans="1:10">
      <c r="A4200" s="7">
        <v>2</v>
      </c>
      <c r="B4200" s="8" t="s">
        <v>4294</v>
      </c>
      <c r="C4200" s="8" t="s">
        <v>4156</v>
      </c>
      <c r="D4200" s="7">
        <v>1</v>
      </c>
      <c r="E4200" s="7">
        <v>10</v>
      </c>
      <c r="F4200" s="7">
        <v>1</v>
      </c>
      <c r="G4200" s="8" t="s">
        <v>4129</v>
      </c>
      <c r="H4200" s="8" t="s">
        <v>4130</v>
      </c>
      <c r="I4200" s="7" t="str">
        <f>_xlfn.CONCAT(Paper_Reference[[#This Row],[Lvl]:[Paper Description]])</f>
        <v>2NG48WC5581MG3200BLOSSOM CHERRY  36 X 1441101110WC013-6200BLOSSOM CHERRY</v>
      </c>
      <c r="J4200" s="7">
        <f>COUNTIF(Paper_Reference[Duplicate Key],Paper_Reference[[#This Row],[Duplicate Key]])</f>
        <v>1</v>
      </c>
    </row>
    <row r="4201" spans="1:10">
      <c r="A4201" s="7">
        <v>2</v>
      </c>
      <c r="B4201" s="8" t="s">
        <v>4295</v>
      </c>
      <c r="C4201" s="8" t="s">
        <v>4174</v>
      </c>
      <c r="D4201" s="7">
        <v>1</v>
      </c>
      <c r="E4201" s="7">
        <v>10</v>
      </c>
      <c r="F4201" s="7">
        <v>1</v>
      </c>
      <c r="G4201" s="8" t="s">
        <v>4129</v>
      </c>
      <c r="H4201" s="8" t="s">
        <v>4130</v>
      </c>
      <c r="I4201" s="7" t="str">
        <f>_xlfn.CONCAT(Paper_Reference[[#This Row],[Lvl]:[Paper Description]])</f>
        <v>2NG48WC5581MG3901BLOSSOM CHERRY PC 36.5 X 108.71101110WC013-6200BLOSSOM CHERRY</v>
      </c>
      <c r="J4201" s="7">
        <f>COUNTIF(Paper_Reference[Duplicate Key],Paper_Reference[[#This Row],[Duplicate Key]])</f>
        <v>1</v>
      </c>
    </row>
    <row r="4202" spans="1:10">
      <c r="A4202" s="7">
        <v>2</v>
      </c>
      <c r="B4202" s="8" t="s">
        <v>4296</v>
      </c>
      <c r="C4202" s="8" t="s">
        <v>4175</v>
      </c>
      <c r="D4202" s="7">
        <v>1</v>
      </c>
      <c r="E4202" s="7">
        <v>10</v>
      </c>
      <c r="F4202" s="7">
        <v>1</v>
      </c>
      <c r="G4202" s="8" t="s">
        <v>4129</v>
      </c>
      <c r="H4202" s="8" t="s">
        <v>4130</v>
      </c>
      <c r="I4202" s="7" t="str">
        <f>_xlfn.CONCAT(Paper_Reference[[#This Row],[Lvl]:[Paper Description]])</f>
        <v>2NG48WC5581MG3903BLOSSOM CHERRY 36.5 X 108.751101110WC013-6200BLOSSOM CHERRY</v>
      </c>
      <c r="J4202" s="7">
        <f>COUNTIF(Paper_Reference[Duplicate Key],Paper_Reference[[#This Row],[Duplicate Key]])</f>
        <v>1</v>
      </c>
    </row>
    <row r="4203" spans="1:10">
      <c r="A4203" s="7">
        <v>2</v>
      </c>
      <c r="B4203" s="8" t="s">
        <v>4297</v>
      </c>
      <c r="C4203" s="8" t="s">
        <v>4133</v>
      </c>
      <c r="D4203" s="7">
        <v>1</v>
      </c>
      <c r="E4203" s="7">
        <v>10</v>
      </c>
      <c r="F4203" s="7">
        <v>1</v>
      </c>
      <c r="G4203" s="8" t="s">
        <v>4129</v>
      </c>
      <c r="H4203" s="8" t="s">
        <v>4130</v>
      </c>
      <c r="I4203" s="7" t="str">
        <f>_xlfn.CONCAT(Paper_Reference[[#This Row],[Lvl]:[Paper Description]])</f>
        <v>2NG48WC5581MG4000BLOSSOM CHERRY  48 X 1201101110WC013-6200BLOSSOM CHERRY</v>
      </c>
      <c r="J4203" s="7">
        <f>COUNTIF(Paper_Reference[Duplicate Key],Paper_Reference[[#This Row],[Duplicate Key]])</f>
        <v>1</v>
      </c>
    </row>
    <row r="4204" spans="1:10">
      <c r="A4204" s="7">
        <v>2</v>
      </c>
      <c r="B4204" s="8" t="s">
        <v>4298</v>
      </c>
      <c r="C4204" s="8" t="s">
        <v>4133</v>
      </c>
      <c r="D4204" s="7">
        <v>1</v>
      </c>
      <c r="E4204" s="7">
        <v>10</v>
      </c>
      <c r="F4204" s="7">
        <v>1</v>
      </c>
      <c r="G4204" s="8" t="s">
        <v>4129</v>
      </c>
      <c r="H4204" s="8" t="s">
        <v>4130</v>
      </c>
      <c r="I4204" s="7" t="str">
        <f>_xlfn.CONCAT(Paper_Reference[[#This Row],[Lvl]:[Paper Description]])</f>
        <v>2NG48WC5581MG4004BLOSSOM CHERRY  48 X 1201101110WC013-6200BLOSSOM CHERRY</v>
      </c>
      <c r="J4204" s="7">
        <f>COUNTIF(Paper_Reference[Duplicate Key],Paper_Reference[[#This Row],[Duplicate Key]])</f>
        <v>1</v>
      </c>
    </row>
    <row r="4205" spans="1:10">
      <c r="A4205" s="7">
        <v>2</v>
      </c>
      <c r="B4205" s="8" t="s">
        <v>4299</v>
      </c>
      <c r="C4205" s="8" t="s">
        <v>4158</v>
      </c>
      <c r="D4205" s="7">
        <v>1</v>
      </c>
      <c r="E4205" s="7">
        <v>10</v>
      </c>
      <c r="F4205" s="7">
        <v>1</v>
      </c>
      <c r="G4205" s="8" t="s">
        <v>4129</v>
      </c>
      <c r="H4205" s="8" t="s">
        <v>4130</v>
      </c>
      <c r="I4205" s="7" t="str">
        <f>_xlfn.CONCAT(Paper_Reference[[#This Row],[Lvl]:[Paper Description]])</f>
        <v>2NG48WC5581MG4200BLOSSOM CHERRY  48 X 1441101110WC013-6200BLOSSOM CHERRY</v>
      </c>
      <c r="J4205" s="7">
        <f>COUNTIF(Paper_Reference[Duplicate Key],Paper_Reference[[#This Row],[Duplicate Key]])</f>
        <v>1</v>
      </c>
    </row>
    <row r="4206" spans="1:10">
      <c r="A4206" s="7">
        <v>2</v>
      </c>
      <c r="B4206" s="8" t="s">
        <v>4300</v>
      </c>
      <c r="C4206" s="8" t="s">
        <v>4176</v>
      </c>
      <c r="D4206" s="7">
        <v>1</v>
      </c>
      <c r="E4206" s="7">
        <v>10</v>
      </c>
      <c r="F4206" s="7">
        <v>1</v>
      </c>
      <c r="G4206" s="8" t="s">
        <v>4129</v>
      </c>
      <c r="H4206" s="8" t="s">
        <v>4130</v>
      </c>
      <c r="I4206" s="7" t="str">
        <f>_xlfn.CONCAT(Paper_Reference[[#This Row],[Lvl]:[Paper Description]])</f>
        <v>2NG48WC5581MG4903BLOSSOM CHERRY 48.75 X 108.751101110WC013-6200BLOSSOM CHERRY</v>
      </c>
      <c r="J4206" s="7">
        <f>COUNTIF(Paper_Reference[Duplicate Key],Paper_Reference[[#This Row],[Duplicate Key]])</f>
        <v>1</v>
      </c>
    </row>
    <row r="4207" spans="1:10">
      <c r="A4207" s="7">
        <v>2</v>
      </c>
      <c r="B4207" s="8" t="s">
        <v>4301</v>
      </c>
      <c r="C4207" s="8" t="s">
        <v>4135</v>
      </c>
      <c r="D4207" s="7">
        <v>1</v>
      </c>
      <c r="E4207" s="7">
        <v>10</v>
      </c>
      <c r="F4207" s="7">
        <v>1</v>
      </c>
      <c r="G4207" s="8" t="s">
        <v>4129</v>
      </c>
      <c r="H4207" s="8" t="s">
        <v>4130</v>
      </c>
      <c r="I4207" s="7" t="str">
        <f>_xlfn.CONCAT(Paper_Reference[[#This Row],[Lvl]:[Paper Description]])</f>
        <v>2NG48WC5581MG5000BLOSSOM CHERRY  60 X 1201101110WC013-6200BLOSSOM CHERRY</v>
      </c>
      <c r="J4207" s="7">
        <f>COUNTIF(Paper_Reference[Duplicate Key],Paper_Reference[[#This Row],[Duplicate Key]])</f>
        <v>1</v>
      </c>
    </row>
    <row r="4208" spans="1:10">
      <c r="A4208" s="7">
        <v>2</v>
      </c>
      <c r="B4208" s="8" t="s">
        <v>4302</v>
      </c>
      <c r="C4208" s="8" t="s">
        <v>4136</v>
      </c>
      <c r="D4208" s="7">
        <v>1</v>
      </c>
      <c r="E4208" s="7">
        <v>10</v>
      </c>
      <c r="F4208" s="7">
        <v>1</v>
      </c>
      <c r="G4208" s="8" t="s">
        <v>4129</v>
      </c>
      <c r="H4208" s="8" t="s">
        <v>4130</v>
      </c>
      <c r="I4208" s="7" t="str">
        <f>_xlfn.CONCAT(Paper_Reference[[#This Row],[Lvl]:[Paper Description]])</f>
        <v>2NG48WC5581MG5200BLOSSOM CHERRY  60 X 1441101110WC013-6200BLOSSOM CHERRY</v>
      </c>
      <c r="J4208" s="7">
        <f>COUNTIF(Paper_Reference[Duplicate Key],Paper_Reference[[#This Row],[Duplicate Key]])</f>
        <v>1</v>
      </c>
    </row>
    <row r="4209" spans="1:10">
      <c r="A4209" s="7">
        <v>2</v>
      </c>
      <c r="B4209" s="8" t="s">
        <v>4303</v>
      </c>
      <c r="C4209" s="8" t="s">
        <v>4137</v>
      </c>
      <c r="D4209" s="7">
        <v>1</v>
      </c>
      <c r="E4209" s="7">
        <v>10</v>
      </c>
      <c r="F4209" s="7">
        <v>1</v>
      </c>
      <c r="G4209" s="8" t="s">
        <v>4129</v>
      </c>
      <c r="H4209" s="8" t="s">
        <v>4130</v>
      </c>
      <c r="I4209" s="7" t="str">
        <f>_xlfn.CONCAT(Paper_Reference[[#This Row],[Lvl]:[Paper Description]])</f>
        <v>2NG48WC5581MG5800BLOSSOM CHERRY  60 X 961101110WC013-6200BLOSSOM CHERRY</v>
      </c>
      <c r="J4209" s="7">
        <f>COUNTIF(Paper_Reference[Duplicate Key],Paper_Reference[[#This Row],[Duplicate Key]])</f>
        <v>1</v>
      </c>
    </row>
    <row r="4210" spans="1:10">
      <c r="A4210" s="7">
        <v>2</v>
      </c>
      <c r="B4210" s="8" t="s">
        <v>4304</v>
      </c>
      <c r="C4210" s="8" t="s">
        <v>4138</v>
      </c>
      <c r="D4210" s="7">
        <v>1</v>
      </c>
      <c r="E4210" s="7">
        <v>10</v>
      </c>
      <c r="F4210" s="7">
        <v>1</v>
      </c>
      <c r="G4210" s="8" t="s">
        <v>4129</v>
      </c>
      <c r="H4210" s="8" t="s">
        <v>4130</v>
      </c>
      <c r="I4210" s="7" t="str">
        <f>_xlfn.CONCAT(Paper_Reference[[#This Row],[Lvl]:[Paper Description]])</f>
        <v>2NG48WC5581MG5801BLOSSOM CHERRY PC 60X961101110WC013-6200BLOSSOM CHERRY</v>
      </c>
      <c r="J4210" s="7">
        <f>COUNTIF(Paper_Reference[Duplicate Key],Paper_Reference[[#This Row],[Duplicate Key]])</f>
        <v>1</v>
      </c>
    </row>
    <row r="4211" spans="1:10">
      <c r="A4211" s="7">
        <v>2</v>
      </c>
      <c r="B4211" s="8" t="s">
        <v>4305</v>
      </c>
      <c r="C4211" s="8" t="s">
        <v>4177</v>
      </c>
      <c r="D4211" s="7">
        <v>1</v>
      </c>
      <c r="E4211" s="7">
        <v>10</v>
      </c>
      <c r="F4211" s="7">
        <v>1</v>
      </c>
      <c r="G4211" s="8" t="s">
        <v>4129</v>
      </c>
      <c r="H4211" s="8" t="s">
        <v>4130</v>
      </c>
      <c r="I4211" s="7" t="str">
        <f>_xlfn.CONCAT(Paper_Reference[[#This Row],[Lvl]:[Paper Description]])</f>
        <v>2NG48WC5581MGCLK1BLOSSOM CHERRY 60 1/2 X 144 1/1101110WC013-6200BLOSSOM CHERRY</v>
      </c>
      <c r="J4211" s="7">
        <f>COUNTIF(Paper_Reference[Duplicate Key],Paper_Reference[[#This Row],[Duplicate Key]])</f>
        <v>1</v>
      </c>
    </row>
    <row r="4212" spans="1:10">
      <c r="A4212" s="7">
        <v>3</v>
      </c>
      <c r="B4212" s="8" t="s">
        <v>4306</v>
      </c>
      <c r="C4212" s="8" t="s">
        <v>4178</v>
      </c>
      <c r="D4212" s="7">
        <v>1</v>
      </c>
      <c r="E4212" s="7">
        <v>55</v>
      </c>
      <c r="F4212" s="7">
        <v>0.25</v>
      </c>
      <c r="G4212" s="8" t="s">
        <v>4129</v>
      </c>
      <c r="H4212" s="8" t="s">
        <v>4130</v>
      </c>
      <c r="I4212" s="7" t="str">
        <f>_xlfn.CONCAT(Paper_Reference[[#This Row],[Lvl]:[Paper Description]])</f>
        <v>3NG48WC5581MGMFD1BLOSSOM CHERRY 25 X 491550.25110WC013-6200BLOSSOM CHERRY</v>
      </c>
      <c r="J4212" s="7">
        <f>COUNTIF(Paper_Reference[Duplicate Key],Paper_Reference[[#This Row],[Duplicate Key]])</f>
        <v>1</v>
      </c>
    </row>
    <row r="4213" spans="1:10">
      <c r="A4213" s="7">
        <v>3</v>
      </c>
      <c r="B4213" s="8" t="s">
        <v>4307</v>
      </c>
      <c r="C4213" s="8" t="s">
        <v>4179</v>
      </c>
      <c r="D4213" s="7">
        <v>1</v>
      </c>
      <c r="E4213" s="7">
        <v>10</v>
      </c>
      <c r="F4213" s="7">
        <v>0.25</v>
      </c>
      <c r="G4213" s="8" t="s">
        <v>4129</v>
      </c>
      <c r="H4213" s="8" t="s">
        <v>4130</v>
      </c>
      <c r="I4213" s="7" t="str">
        <f>_xlfn.CONCAT(Paper_Reference[[#This Row],[Lvl]:[Paper Description]])</f>
        <v>3NG48WC5581MGMKW1BLOSSOM CHERRY PC 24.5X54.51100.25110WC013-6200BLOSSOM CHERRY</v>
      </c>
      <c r="J4213" s="7">
        <f>COUNTIF(Paper_Reference[Duplicate Key],Paper_Reference[[#This Row],[Duplicate Key]])</f>
        <v>1</v>
      </c>
    </row>
    <row r="4214" spans="1:10">
      <c r="A4214" s="7">
        <v>3</v>
      </c>
      <c r="B4214" s="8" t="s">
        <v>4308</v>
      </c>
      <c r="C4214" s="8" t="s">
        <v>4180</v>
      </c>
      <c r="D4214" s="7">
        <v>1</v>
      </c>
      <c r="E4214" s="7">
        <v>10</v>
      </c>
      <c r="F4214" s="7">
        <v>6.6699999999999995E-2</v>
      </c>
      <c r="G4214" s="8" t="s">
        <v>4129</v>
      </c>
      <c r="H4214" s="8" t="s">
        <v>4130</v>
      </c>
      <c r="I4214" s="7" t="str">
        <f>_xlfn.CONCAT(Paper_Reference[[#This Row],[Lvl]:[Paper Description]])</f>
        <v>3NG48WC5581MGPAW1BLOSSOM CHERRY PC 18.75X24.751100.0667110WC013-6200BLOSSOM CHERRY</v>
      </c>
      <c r="J4214" s="7">
        <f>COUNTIF(Paper_Reference[Duplicate Key],Paper_Reference[[#This Row],[Duplicate Key]])</f>
        <v>1</v>
      </c>
    </row>
    <row r="4215" spans="1:10">
      <c r="A4215" s="7">
        <v>3</v>
      </c>
      <c r="B4215" s="8" t="s">
        <v>4309</v>
      </c>
      <c r="C4215" s="8" t="s">
        <v>4181</v>
      </c>
      <c r="D4215" s="7">
        <v>1</v>
      </c>
      <c r="E4215" s="7">
        <v>10</v>
      </c>
      <c r="F4215" s="7">
        <v>0.25</v>
      </c>
      <c r="G4215" s="8" t="s">
        <v>4129</v>
      </c>
      <c r="H4215" s="8" t="s">
        <v>4130</v>
      </c>
      <c r="I4215" s="7" t="str">
        <f>_xlfn.CONCAT(Paper_Reference[[#This Row],[Lvl]:[Paper Description]])</f>
        <v>3NG48WC5581MGSEQ1BLOSSOM CHERRY PC 26.75X48.751100.25110WC013-6200BLOSSOM CHERRY</v>
      </c>
      <c r="J4215" s="7">
        <f>COUNTIF(Paper_Reference[Duplicate Key],Paper_Reference[[#This Row],[Duplicate Key]])</f>
        <v>1</v>
      </c>
    </row>
    <row r="4216" spans="1:10">
      <c r="A4216" s="7">
        <v>3</v>
      </c>
      <c r="B4216" s="8" t="s">
        <v>4310</v>
      </c>
      <c r="C4216" s="8" t="s">
        <v>4182</v>
      </c>
      <c r="D4216" s="7">
        <v>1</v>
      </c>
      <c r="E4216" s="7">
        <v>10</v>
      </c>
      <c r="F4216" s="7">
        <v>0.25</v>
      </c>
      <c r="G4216" s="8" t="s">
        <v>4129</v>
      </c>
      <c r="H4216" s="8" t="s">
        <v>4130</v>
      </c>
      <c r="I4216" s="7" t="str">
        <f>_xlfn.CONCAT(Paper_Reference[[#This Row],[Lvl]:[Paper Description]])</f>
        <v>3NG48WC5581MGTGC1BLOSSOM CHERRY 30.25X72.251100.25110WC013-6200BLOSSOM CHERRY</v>
      </c>
      <c r="J4216" s="7">
        <f>COUNTIF(Paper_Reference[Duplicate Key],Paper_Reference[[#This Row],[Duplicate Key]])</f>
        <v>1</v>
      </c>
    </row>
    <row r="4217" spans="1:10">
      <c r="A4217" s="7">
        <v>3</v>
      </c>
      <c r="B4217" s="8" t="s">
        <v>4311</v>
      </c>
      <c r="C4217" s="8" t="s">
        <v>4183</v>
      </c>
      <c r="D4217" s="7">
        <v>1</v>
      </c>
      <c r="E4217" s="7">
        <v>10</v>
      </c>
      <c r="F4217" s="7">
        <v>8.3000000000000004E-2</v>
      </c>
      <c r="G4217" s="8" t="s">
        <v>4129</v>
      </c>
      <c r="H4217" s="8" t="s">
        <v>4130</v>
      </c>
      <c r="I4217" s="7" t="str">
        <f>_xlfn.CONCAT(Paper_Reference[[#This Row],[Lvl]:[Paper Description]])</f>
        <v>3NG48WC5581MGVAW1BLOSSOM CHERRY PC 22.75X231100.083110WC013-6200BLOSSOM CHERRY</v>
      </c>
      <c r="J4217" s="7">
        <f>COUNTIF(Paper_Reference[Duplicate Key],Paper_Reference[[#This Row],[Duplicate Key]])</f>
        <v>1</v>
      </c>
    </row>
    <row r="4218" spans="1:10">
      <c r="A4218" s="7">
        <v>2</v>
      </c>
      <c r="B4218" s="8" t="s">
        <v>4312</v>
      </c>
      <c r="C4218" s="8" t="s">
        <v>4184</v>
      </c>
      <c r="D4218" s="7">
        <v>1</v>
      </c>
      <c r="E4218" s="7">
        <v>10</v>
      </c>
      <c r="F4218" s="7">
        <v>0.5</v>
      </c>
      <c r="G4218" s="8" t="s">
        <v>4129</v>
      </c>
      <c r="H4218" s="8" t="s">
        <v>4130</v>
      </c>
      <c r="I4218" s="7" t="str">
        <f>_xlfn.CONCAT(Paper_Reference[[#This Row],[Lvl]:[Paper Description]])</f>
        <v>2NG48WC5581N-0701Blossom Cherry PC 30.5x851100.5110WC013-6200BLOSSOM CHERRY</v>
      </c>
      <c r="J4218" s="7">
        <f>COUNTIF(Paper_Reference[Duplicate Key],Paper_Reference[[#This Row],[Duplicate Key]])</f>
        <v>1</v>
      </c>
    </row>
    <row r="4219" spans="1:10">
      <c r="A4219" s="7">
        <v>2</v>
      </c>
      <c r="B4219" s="8" t="s">
        <v>4313</v>
      </c>
      <c r="C4219" s="8" t="s">
        <v>4185</v>
      </c>
      <c r="D4219" s="7">
        <v>1</v>
      </c>
      <c r="E4219" s="7">
        <v>10</v>
      </c>
      <c r="F4219" s="7">
        <v>0.5</v>
      </c>
      <c r="G4219" s="8" t="s">
        <v>4129</v>
      </c>
      <c r="H4219" s="8" t="s">
        <v>4130</v>
      </c>
      <c r="I4219" s="7" t="str">
        <f>_xlfn.CONCAT(Paper_Reference[[#This Row],[Lvl]:[Paper Description]])</f>
        <v>2NG48WC5581N-0704Blossom Cherry PC 30.5 x 851100.5110WC013-6200BLOSSOM CHERRY</v>
      </c>
      <c r="J4219" s="7">
        <f>COUNTIF(Paper_Reference[Duplicate Key],Paper_Reference[[#This Row],[Duplicate Key]])</f>
        <v>1</v>
      </c>
    </row>
    <row r="4220" spans="1:10">
      <c r="A4220" s="7">
        <v>2</v>
      </c>
      <c r="B4220" s="8" t="s">
        <v>4314</v>
      </c>
      <c r="C4220" s="8" t="s">
        <v>4162</v>
      </c>
      <c r="D4220" s="7">
        <v>1</v>
      </c>
      <c r="E4220" s="7">
        <v>10</v>
      </c>
      <c r="F4220" s="7">
        <v>0.5</v>
      </c>
      <c r="G4220" s="8" t="s">
        <v>4129</v>
      </c>
      <c r="H4220" s="8" t="s">
        <v>4130</v>
      </c>
      <c r="I4220" s="7" t="str">
        <f>_xlfn.CONCAT(Paper_Reference[[#This Row],[Lvl]:[Paper Description]])</f>
        <v>2NG48WC5581N-0800Blossom Cherry  30 x 961100.5110WC013-6200BLOSSOM CHERRY</v>
      </c>
      <c r="J4220" s="7">
        <f>COUNTIF(Paper_Reference[Duplicate Key],Paper_Reference[[#This Row],[Duplicate Key]])</f>
        <v>1</v>
      </c>
    </row>
    <row r="4221" spans="1:10">
      <c r="A4221" s="7">
        <v>2</v>
      </c>
      <c r="B4221" s="8" t="s">
        <v>4315</v>
      </c>
      <c r="C4221" s="8" t="s">
        <v>4186</v>
      </c>
      <c r="D4221" s="7">
        <v>1</v>
      </c>
      <c r="E4221" s="7">
        <v>10</v>
      </c>
      <c r="F4221" s="7">
        <v>0.5</v>
      </c>
      <c r="G4221" s="8" t="s">
        <v>4129</v>
      </c>
      <c r="H4221" s="8" t="s">
        <v>4130</v>
      </c>
      <c r="I4221" s="7" t="str">
        <f>_xlfn.CONCAT(Paper_Reference[[#This Row],[Lvl]:[Paper Description]])</f>
        <v>2NG48WC5581N-0901Blossom Cherry  PC 30.5 x 108.1100.5110WC013-6200BLOSSOM CHERRY</v>
      </c>
      <c r="J4221" s="7">
        <f>COUNTIF(Paper_Reference[Duplicate Key],Paper_Reference[[#This Row],[Duplicate Key]])</f>
        <v>1</v>
      </c>
    </row>
    <row r="4222" spans="1:10">
      <c r="A4222" s="7">
        <v>2</v>
      </c>
      <c r="B4222" s="8" t="s">
        <v>4316</v>
      </c>
      <c r="C4222" s="8" t="s">
        <v>4163</v>
      </c>
      <c r="D4222" s="7">
        <v>1</v>
      </c>
      <c r="E4222" s="7">
        <v>10</v>
      </c>
      <c r="F4222" s="7">
        <v>1</v>
      </c>
      <c r="G4222" s="8" t="s">
        <v>4129</v>
      </c>
      <c r="H4222" s="8" t="s">
        <v>4130</v>
      </c>
      <c r="I4222" s="7" t="str">
        <f>_xlfn.CONCAT(Paper_Reference[[#This Row],[Lvl]:[Paper Description]])</f>
        <v>2NG48WC5581N-3000Blossom Cherry  36 x 1201101110WC013-6200BLOSSOM CHERRY</v>
      </c>
      <c r="J4222" s="7">
        <f>COUNTIF(Paper_Reference[Duplicate Key],Paper_Reference[[#This Row],[Duplicate Key]])</f>
        <v>1</v>
      </c>
    </row>
    <row r="4223" spans="1:10">
      <c r="A4223" s="7">
        <v>2</v>
      </c>
      <c r="B4223" s="8" t="s">
        <v>4317</v>
      </c>
      <c r="C4223" s="8" t="s">
        <v>4144</v>
      </c>
      <c r="D4223" s="7">
        <v>1</v>
      </c>
      <c r="E4223" s="7">
        <v>10</v>
      </c>
      <c r="F4223" s="7">
        <v>1</v>
      </c>
      <c r="G4223" s="8" t="s">
        <v>4129</v>
      </c>
      <c r="H4223" s="8" t="s">
        <v>4130</v>
      </c>
      <c r="I4223" s="7" t="str">
        <f>_xlfn.CONCAT(Paper_Reference[[#This Row],[Lvl]:[Paper Description]])</f>
        <v>2NG48WC5581N-3200Blossom Cherry  36 x 1441101110WC013-6200BLOSSOM CHERRY</v>
      </c>
      <c r="J4223" s="7">
        <f>COUNTIF(Paper_Reference[Duplicate Key],Paper_Reference[[#This Row],[Duplicate Key]])</f>
        <v>1</v>
      </c>
    </row>
    <row r="4224" spans="1:10">
      <c r="A4224" s="7">
        <v>2</v>
      </c>
      <c r="B4224" s="8" t="s">
        <v>4318</v>
      </c>
      <c r="C4224" s="8" t="s">
        <v>4187</v>
      </c>
      <c r="D4224" s="7">
        <v>1</v>
      </c>
      <c r="E4224" s="7">
        <v>10</v>
      </c>
      <c r="F4224" s="7">
        <v>1</v>
      </c>
      <c r="G4224" s="8" t="s">
        <v>4129</v>
      </c>
      <c r="H4224" s="8" t="s">
        <v>4130</v>
      </c>
      <c r="I4224" s="7" t="str">
        <f>_xlfn.CONCAT(Paper_Reference[[#This Row],[Lvl]:[Paper Description]])</f>
        <v>2NG48WC5581N-3901Blossom Cherry PC 36.5 x 108.71101110WC013-6200BLOSSOM CHERRY</v>
      </c>
      <c r="J4224" s="7">
        <f>COUNTIF(Paper_Reference[Duplicate Key],Paper_Reference[[#This Row],[Duplicate Key]])</f>
        <v>1</v>
      </c>
    </row>
    <row r="4225" spans="1:10">
      <c r="A4225" s="7">
        <v>2</v>
      </c>
      <c r="B4225" s="8" t="s">
        <v>4319</v>
      </c>
      <c r="C4225" s="8" t="s">
        <v>4187</v>
      </c>
      <c r="D4225" s="7">
        <v>1</v>
      </c>
      <c r="E4225" s="7">
        <v>10</v>
      </c>
      <c r="F4225" s="7">
        <v>1</v>
      </c>
      <c r="G4225" s="8" t="s">
        <v>4129</v>
      </c>
      <c r="H4225" s="8" t="s">
        <v>4130</v>
      </c>
      <c r="I4225" s="7" t="str">
        <f>_xlfn.CONCAT(Paper_Reference[[#This Row],[Lvl]:[Paper Description]])</f>
        <v>2NG48WC5581N-3904Blossom Cherry PC 36.5 x 108.71101110WC013-6200BLOSSOM CHERRY</v>
      </c>
      <c r="J4225" s="7">
        <f>COUNTIF(Paper_Reference[Duplicate Key],Paper_Reference[[#This Row],[Duplicate Key]])</f>
        <v>1</v>
      </c>
    </row>
    <row r="4226" spans="1:10">
      <c r="A4226" s="7">
        <v>2</v>
      </c>
      <c r="B4226" s="8" t="s">
        <v>4320</v>
      </c>
      <c r="C4226" s="8" t="s">
        <v>4145</v>
      </c>
      <c r="D4226" s="7">
        <v>1</v>
      </c>
      <c r="E4226" s="7">
        <v>10</v>
      </c>
      <c r="F4226" s="7">
        <v>1</v>
      </c>
      <c r="G4226" s="8" t="s">
        <v>4129</v>
      </c>
      <c r="H4226" s="8" t="s">
        <v>4130</v>
      </c>
      <c r="I4226" s="7" t="str">
        <f>_xlfn.CONCAT(Paper_Reference[[#This Row],[Lvl]:[Paper Description]])</f>
        <v>2NG48WC5581N-4000Blossom Cherry  48 x 1201101110WC013-6200BLOSSOM CHERRY</v>
      </c>
      <c r="J4226" s="7">
        <f>COUNTIF(Paper_Reference[Duplicate Key],Paper_Reference[[#This Row],[Duplicate Key]])</f>
        <v>1</v>
      </c>
    </row>
    <row r="4227" spans="1:10">
      <c r="A4227" s="7">
        <v>2</v>
      </c>
      <c r="B4227" s="8" t="s">
        <v>4321</v>
      </c>
      <c r="C4227" s="8" t="s">
        <v>4188</v>
      </c>
      <c r="D4227" s="7">
        <v>1</v>
      </c>
      <c r="E4227" s="7">
        <v>10</v>
      </c>
      <c r="F4227" s="7">
        <v>1</v>
      </c>
      <c r="G4227" s="8" t="s">
        <v>4129</v>
      </c>
      <c r="H4227" s="8" t="s">
        <v>4130</v>
      </c>
      <c r="I4227" s="7" t="str">
        <f>_xlfn.CONCAT(Paper_Reference[[#This Row],[Lvl]:[Paper Description]])</f>
        <v>2NG48WC5581N-4001BLOSSOM CHERRY PC 48X1201101110WC013-6200BLOSSOM CHERRY</v>
      </c>
      <c r="J4227" s="7">
        <f>COUNTIF(Paper_Reference[Duplicate Key],Paper_Reference[[#This Row],[Duplicate Key]])</f>
        <v>1</v>
      </c>
    </row>
    <row r="4228" spans="1:10">
      <c r="A4228" s="7">
        <v>2</v>
      </c>
      <c r="B4228" s="8" t="s">
        <v>4322</v>
      </c>
      <c r="C4228" s="8" t="s">
        <v>4164</v>
      </c>
      <c r="D4228" s="7">
        <v>1</v>
      </c>
      <c r="E4228" s="7">
        <v>10</v>
      </c>
      <c r="F4228" s="7">
        <v>1</v>
      </c>
      <c r="G4228" s="8" t="s">
        <v>4129</v>
      </c>
      <c r="H4228" s="8" t="s">
        <v>4130</v>
      </c>
      <c r="I4228" s="7" t="str">
        <f>_xlfn.CONCAT(Paper_Reference[[#This Row],[Lvl]:[Paper Description]])</f>
        <v>2NG48WC5581N-4200Blossom Cherry  48 x 1441101110WC013-6200BLOSSOM CHERRY</v>
      </c>
      <c r="J4228" s="7">
        <f>COUNTIF(Paper_Reference[Duplicate Key],Paper_Reference[[#This Row],[Duplicate Key]])</f>
        <v>1</v>
      </c>
    </row>
    <row r="4229" spans="1:10">
      <c r="A4229" s="7">
        <v>2</v>
      </c>
      <c r="B4229" s="8" t="s">
        <v>4323</v>
      </c>
      <c r="C4229" s="8" t="s">
        <v>4146</v>
      </c>
      <c r="D4229" s="7">
        <v>1</v>
      </c>
      <c r="E4229" s="7">
        <v>10</v>
      </c>
      <c r="F4229" s="7">
        <v>1</v>
      </c>
      <c r="G4229" s="8" t="s">
        <v>4129</v>
      </c>
      <c r="H4229" s="8" t="s">
        <v>4130</v>
      </c>
      <c r="I4229" s="7" t="str">
        <f>_xlfn.CONCAT(Paper_Reference[[#This Row],[Lvl]:[Paper Description]])</f>
        <v>2NG48WC5581N-5000Blossom Cherry  60 x 1201101110WC013-6200BLOSSOM CHERRY</v>
      </c>
      <c r="J4229" s="7">
        <f>COUNTIF(Paper_Reference[Duplicate Key],Paper_Reference[[#This Row],[Duplicate Key]])</f>
        <v>1</v>
      </c>
    </row>
    <row r="4230" spans="1:10">
      <c r="A4230" s="7">
        <v>2</v>
      </c>
      <c r="B4230" s="8" t="s">
        <v>4324</v>
      </c>
      <c r="C4230" s="8" t="s">
        <v>4131</v>
      </c>
      <c r="D4230" s="7">
        <v>1</v>
      </c>
      <c r="E4230" s="7">
        <v>10</v>
      </c>
      <c r="F4230" s="7">
        <v>1</v>
      </c>
      <c r="G4230" s="8" t="s">
        <v>4129</v>
      </c>
      <c r="H4230" s="8" t="s">
        <v>4130</v>
      </c>
      <c r="I4230" s="7" t="str">
        <f>_xlfn.CONCAT(Paper_Reference[[#This Row],[Lvl]:[Paper Description]])</f>
        <v>2NG48WC5581N-5200Blossom Cherry  60 x 1441101110WC013-6200BLOSSOM CHERRY</v>
      </c>
      <c r="J4230" s="7">
        <f>COUNTIF(Paper_Reference[Duplicate Key],Paper_Reference[[#This Row],[Duplicate Key]])</f>
        <v>1</v>
      </c>
    </row>
    <row r="4231" spans="1:10">
      <c r="A4231" s="7">
        <v>2</v>
      </c>
      <c r="B4231" s="8" t="s">
        <v>4325</v>
      </c>
      <c r="C4231" s="8" t="s">
        <v>4147</v>
      </c>
      <c r="D4231" s="7">
        <v>1</v>
      </c>
      <c r="E4231" s="7">
        <v>10</v>
      </c>
      <c r="F4231" s="7">
        <v>1</v>
      </c>
      <c r="G4231" s="8" t="s">
        <v>4129</v>
      </c>
      <c r="H4231" s="8" t="s">
        <v>4130</v>
      </c>
      <c r="I4231" s="7" t="str">
        <f>_xlfn.CONCAT(Paper_Reference[[#This Row],[Lvl]:[Paper Description]])</f>
        <v>2NG48WC5581N-5800Blossom Cherry  60 x 961101110WC013-6200BLOSSOM CHERRY</v>
      </c>
      <c r="J4231" s="7">
        <f>COUNTIF(Paper_Reference[Duplicate Key],Paper_Reference[[#This Row],[Duplicate Key]])</f>
        <v>1</v>
      </c>
    </row>
    <row r="4232" spans="1:10">
      <c r="A4232" s="7">
        <v>2</v>
      </c>
      <c r="B4232" s="8" t="s">
        <v>4326</v>
      </c>
      <c r="C4232" s="8" t="s">
        <v>4138</v>
      </c>
      <c r="D4232" s="7">
        <v>1</v>
      </c>
      <c r="E4232" s="7">
        <v>10</v>
      </c>
      <c r="F4232" s="7">
        <v>1</v>
      </c>
      <c r="G4232" s="8" t="s">
        <v>4129</v>
      </c>
      <c r="H4232" s="8" t="s">
        <v>4130</v>
      </c>
      <c r="I4232" s="7" t="str">
        <f>_xlfn.CONCAT(Paper_Reference[[#This Row],[Lvl]:[Paper Description]])</f>
        <v>2NG48WC5581N-5801BLOSSOM CHERRY PC 60X961101110WC013-6200BLOSSOM CHERRY</v>
      </c>
      <c r="J4232" s="7">
        <f>COUNTIF(Paper_Reference[Duplicate Key],Paper_Reference[[#This Row],[Duplicate Key]])</f>
        <v>1</v>
      </c>
    </row>
    <row r="4233" spans="1:10">
      <c r="A4233" s="7">
        <v>3</v>
      </c>
      <c r="B4233" s="8" t="s">
        <v>4327</v>
      </c>
      <c r="C4233" s="8" t="s">
        <v>4179</v>
      </c>
      <c r="D4233" s="7">
        <v>1</v>
      </c>
      <c r="E4233" s="7">
        <v>10</v>
      </c>
      <c r="F4233" s="7">
        <v>0.25</v>
      </c>
      <c r="G4233" s="8" t="s">
        <v>4129</v>
      </c>
      <c r="H4233" s="8" t="s">
        <v>4130</v>
      </c>
      <c r="I4233" s="7" t="str">
        <f>_xlfn.CONCAT(Paper_Reference[[#This Row],[Lvl]:[Paper Description]])</f>
        <v>3NG48WC5581N-MKW1BLOSSOM CHERRY PC 24.5X54.51100.25110WC013-6200BLOSSOM CHERRY</v>
      </c>
      <c r="J4233" s="7">
        <f>COUNTIF(Paper_Reference[Duplicate Key],Paper_Reference[[#This Row],[Duplicate Key]])</f>
        <v>1</v>
      </c>
    </row>
    <row r="4234" spans="1:10">
      <c r="A4234" s="7">
        <v>3</v>
      </c>
      <c r="B4234" s="8" t="s">
        <v>4328</v>
      </c>
      <c r="C4234" s="8" t="s">
        <v>4180</v>
      </c>
      <c r="D4234" s="7">
        <v>1</v>
      </c>
      <c r="E4234" s="7">
        <v>10</v>
      </c>
      <c r="F4234" s="7">
        <v>6.6699999999999995E-2</v>
      </c>
      <c r="G4234" s="8" t="s">
        <v>4129</v>
      </c>
      <c r="H4234" s="8" t="s">
        <v>4130</v>
      </c>
      <c r="I4234" s="7" t="str">
        <f>_xlfn.CONCAT(Paper_Reference[[#This Row],[Lvl]:[Paper Description]])</f>
        <v>3NG48WC5581N-PAW1BLOSSOM CHERRY PC 18.75X24.751100.0667110WC013-6200BLOSSOM CHERRY</v>
      </c>
      <c r="J4234" s="7">
        <f>COUNTIF(Paper_Reference[Duplicate Key],Paper_Reference[[#This Row],[Duplicate Key]])</f>
        <v>1</v>
      </c>
    </row>
    <row r="4235" spans="1:10">
      <c r="A4235" s="7">
        <v>3</v>
      </c>
      <c r="B4235" s="8" t="s">
        <v>4329</v>
      </c>
      <c r="C4235" s="8" t="s">
        <v>4181</v>
      </c>
      <c r="D4235" s="7">
        <v>1</v>
      </c>
      <c r="E4235" s="7">
        <v>10</v>
      </c>
      <c r="F4235" s="7">
        <v>0.25</v>
      </c>
      <c r="G4235" s="8" t="s">
        <v>4129</v>
      </c>
      <c r="H4235" s="8" t="s">
        <v>4130</v>
      </c>
      <c r="I4235" s="7" t="str">
        <f>_xlfn.CONCAT(Paper_Reference[[#This Row],[Lvl]:[Paper Description]])</f>
        <v>3NG48WC5581N-SEQ1BLOSSOM CHERRY PC 26.75X48.751100.25110WC013-6200BLOSSOM CHERRY</v>
      </c>
      <c r="J4235" s="7">
        <f>COUNTIF(Paper_Reference[Duplicate Key],Paper_Reference[[#This Row],[Duplicate Key]])</f>
        <v>1</v>
      </c>
    </row>
    <row r="4236" spans="1:10">
      <c r="A4236" s="7">
        <v>3</v>
      </c>
      <c r="B4236" s="8" t="s">
        <v>4330</v>
      </c>
      <c r="C4236" s="8" t="s">
        <v>4189</v>
      </c>
      <c r="D4236" s="7">
        <v>1</v>
      </c>
      <c r="E4236" s="7">
        <v>10</v>
      </c>
      <c r="F4236" s="7">
        <v>0.25</v>
      </c>
      <c r="G4236" s="8" t="s">
        <v>4129</v>
      </c>
      <c r="H4236" s="8" t="s">
        <v>4130</v>
      </c>
      <c r="I4236" s="7" t="str">
        <f>_xlfn.CONCAT(Paper_Reference[[#This Row],[Lvl]:[Paper Description]])</f>
        <v>3NG48WC5581N-TGC1Blossom Cherry 30.25X72.251100.25110WC013-6200BLOSSOM CHERRY</v>
      </c>
      <c r="J4236" s="7">
        <f>COUNTIF(Paper_Reference[Duplicate Key],Paper_Reference[[#This Row],[Duplicate Key]])</f>
        <v>1</v>
      </c>
    </row>
    <row r="4237" spans="1:10">
      <c r="A4237" s="7">
        <v>3</v>
      </c>
      <c r="B4237" s="8" t="s">
        <v>4331</v>
      </c>
      <c r="C4237" s="8" t="s">
        <v>4183</v>
      </c>
      <c r="D4237" s="7">
        <v>1</v>
      </c>
      <c r="E4237" s="7">
        <v>10</v>
      </c>
      <c r="F4237" s="7">
        <v>8.3000000000000004E-2</v>
      </c>
      <c r="G4237" s="8" t="s">
        <v>4129</v>
      </c>
      <c r="H4237" s="8" t="s">
        <v>4130</v>
      </c>
      <c r="I4237" s="7" t="str">
        <f>_xlfn.CONCAT(Paper_Reference[[#This Row],[Lvl]:[Paper Description]])</f>
        <v>3NG48WC5581N-VAW1BLOSSOM CHERRY PC 22.75X231100.083110WC013-6200BLOSSOM CHERRY</v>
      </c>
      <c r="J4237" s="7">
        <f>COUNTIF(Paper_Reference[Duplicate Key],Paper_Reference[[#This Row],[Duplicate Key]])</f>
        <v>1</v>
      </c>
    </row>
    <row r="4238" spans="1:10">
      <c r="A4238" s="7">
        <v>2</v>
      </c>
      <c r="B4238" s="8" t="s">
        <v>4332</v>
      </c>
      <c r="C4238" s="8" t="s">
        <v>4150</v>
      </c>
      <c r="D4238" s="7">
        <v>1</v>
      </c>
      <c r="E4238" s="7">
        <v>10</v>
      </c>
      <c r="F4238" s="7">
        <v>1</v>
      </c>
      <c r="G4238" s="8" t="s">
        <v>4129</v>
      </c>
      <c r="H4238" s="8" t="s">
        <v>4130</v>
      </c>
      <c r="I4238" s="7" t="str">
        <f>_xlfn.CONCAT(Paper_Reference[[#This Row],[Lvl]:[Paper Description]])</f>
        <v>2NG48WC5581PV5200BLOSSOM CHERRY 60X1441101110WC013-6200BLOSSOM CHERRY</v>
      </c>
      <c r="J4238" s="7">
        <f>COUNTIF(Paper_Reference[Duplicate Key],Paper_Reference[[#This Row],[Duplicate Key]])</f>
        <v>1</v>
      </c>
    </row>
    <row r="4239" spans="1:10">
      <c r="A4239" s="7">
        <v>2</v>
      </c>
      <c r="B4239" s="8" t="s">
        <v>4333</v>
      </c>
      <c r="C4239" s="8" t="s">
        <v>4169</v>
      </c>
      <c r="D4239" s="7">
        <v>1</v>
      </c>
      <c r="E4239" s="7">
        <v>10</v>
      </c>
      <c r="F4239" s="7">
        <v>0.5</v>
      </c>
      <c r="G4239" s="8" t="s">
        <v>4129</v>
      </c>
      <c r="H4239" s="8" t="s">
        <v>4130</v>
      </c>
      <c r="I4239" s="7" t="str">
        <f>_xlfn.CONCAT(Paper_Reference[[#This Row],[Lvl]:[Paper Description]])</f>
        <v>2NG48WC5581SD0704BLOSSOM CHERRY 30.5 X 851100.5110WC013-6200BLOSSOM CHERRY</v>
      </c>
      <c r="J4239" s="7">
        <f>COUNTIF(Paper_Reference[Duplicate Key],Paper_Reference[[#This Row],[Duplicate Key]])</f>
        <v>1</v>
      </c>
    </row>
    <row r="4240" spans="1:10">
      <c r="A4240" s="7">
        <v>2</v>
      </c>
      <c r="B4240" s="8" t="s">
        <v>4334</v>
      </c>
      <c r="C4240" s="8" t="s">
        <v>4154</v>
      </c>
      <c r="D4240" s="7">
        <v>1</v>
      </c>
      <c r="E4240" s="7">
        <v>10</v>
      </c>
      <c r="F4240" s="7">
        <v>0.5</v>
      </c>
      <c r="G4240" s="8" t="s">
        <v>4129</v>
      </c>
      <c r="H4240" s="8" t="s">
        <v>4130</v>
      </c>
      <c r="I4240" s="7" t="str">
        <f>_xlfn.CONCAT(Paper_Reference[[#This Row],[Lvl]:[Paper Description]])</f>
        <v>2NG48WC5581SD0800BLOSSOM CHERRY  30 X 961100.5110WC013-6200BLOSSOM CHERRY</v>
      </c>
      <c r="J4240" s="7">
        <f>COUNTIF(Paper_Reference[Duplicate Key],Paper_Reference[[#This Row],[Duplicate Key]])</f>
        <v>1</v>
      </c>
    </row>
    <row r="4241" spans="1:10">
      <c r="A4241" s="7">
        <v>2</v>
      </c>
      <c r="B4241" s="8" t="s">
        <v>4335</v>
      </c>
      <c r="C4241" s="8" t="s">
        <v>4135</v>
      </c>
      <c r="D4241" s="7">
        <v>1</v>
      </c>
      <c r="E4241" s="7">
        <v>10</v>
      </c>
      <c r="F4241" s="7">
        <v>1</v>
      </c>
      <c r="G4241" s="8" t="s">
        <v>4129</v>
      </c>
      <c r="H4241" s="8" t="s">
        <v>4130</v>
      </c>
      <c r="I4241" s="7" t="str">
        <f>_xlfn.CONCAT(Paper_Reference[[#This Row],[Lvl]:[Paper Description]])</f>
        <v>2NG48WC5581SD5000BLOSSOM CHERRY  60 X 1201101110WC013-6200BLOSSOM CHERRY</v>
      </c>
      <c r="J4241" s="7">
        <f>COUNTIF(Paper_Reference[Duplicate Key],Paper_Reference[[#This Row],[Duplicate Key]])</f>
        <v>1</v>
      </c>
    </row>
    <row r="4242" spans="1:10">
      <c r="A4242" s="7">
        <v>2</v>
      </c>
      <c r="B4242" s="8" t="s">
        <v>4336</v>
      </c>
      <c r="C4242" s="8" t="s">
        <v>4136</v>
      </c>
      <c r="D4242" s="7">
        <v>1</v>
      </c>
      <c r="E4242" s="7">
        <v>10</v>
      </c>
      <c r="F4242" s="7">
        <v>1</v>
      </c>
      <c r="G4242" s="8" t="s">
        <v>4129</v>
      </c>
      <c r="H4242" s="8" t="s">
        <v>4130</v>
      </c>
      <c r="I4242" s="7" t="str">
        <f>_xlfn.CONCAT(Paper_Reference[[#This Row],[Lvl]:[Paper Description]])</f>
        <v>2NG48WC5581SD5200BLOSSOM CHERRY  60 X 1441101110WC013-6200BLOSSOM CHERRY</v>
      </c>
      <c r="J4242" s="7">
        <f>COUNTIF(Paper_Reference[Duplicate Key],Paper_Reference[[#This Row],[Duplicate Key]])</f>
        <v>1</v>
      </c>
    </row>
    <row r="4243" spans="1:10">
      <c r="A4243" s="7">
        <v>2</v>
      </c>
      <c r="B4243" s="8" t="s">
        <v>4337</v>
      </c>
      <c r="C4243" s="8" t="s">
        <v>4137</v>
      </c>
      <c r="D4243" s="7">
        <v>1</v>
      </c>
      <c r="E4243" s="7">
        <v>10</v>
      </c>
      <c r="F4243" s="7">
        <v>1</v>
      </c>
      <c r="G4243" s="8" t="s">
        <v>4129</v>
      </c>
      <c r="H4243" s="8" t="s">
        <v>4130</v>
      </c>
      <c r="I4243" s="7" t="str">
        <f>_xlfn.CONCAT(Paper_Reference[[#This Row],[Lvl]:[Paper Description]])</f>
        <v>2NG48WC5581SD5800BLOSSOM CHERRY  60 X 961101110WC013-6200BLOSSOM CHERRY</v>
      </c>
      <c r="J4243" s="7">
        <f>COUNTIF(Paper_Reference[Duplicate Key],Paper_Reference[[#This Row],[Duplicate Key]])</f>
        <v>1</v>
      </c>
    </row>
    <row r="4244" spans="1:10">
      <c r="A4244" s="7">
        <v>2</v>
      </c>
      <c r="B4244" s="8" t="s">
        <v>4338</v>
      </c>
      <c r="C4244" s="8" t="s">
        <v>4190</v>
      </c>
      <c r="D4244" s="7">
        <v>1</v>
      </c>
      <c r="E4244" s="7">
        <v>10</v>
      </c>
      <c r="F4244" s="7">
        <v>0.5</v>
      </c>
      <c r="G4244" s="8" t="s">
        <v>4129</v>
      </c>
      <c r="H4244" s="8" t="s">
        <v>4130</v>
      </c>
      <c r="I4244" s="7" t="str">
        <f>_xlfn.CONCAT(Paper_Reference[[#This Row],[Lvl]:[Paper Description]])</f>
        <v>2NG48WC5581T-0700Blossom Cherry  30.50 x 84.751100.5110WC013-6200BLOSSOM CHERRY</v>
      </c>
      <c r="J4244" s="7">
        <f>COUNTIF(Paper_Reference[Duplicate Key],Paper_Reference[[#This Row],[Duplicate Key]])</f>
        <v>1</v>
      </c>
    </row>
    <row r="4245" spans="1:10">
      <c r="A4245" s="7">
        <v>2</v>
      </c>
      <c r="B4245" s="8" t="s">
        <v>4339</v>
      </c>
      <c r="C4245" s="8" t="s">
        <v>4146</v>
      </c>
      <c r="D4245" s="7">
        <v>1</v>
      </c>
      <c r="E4245" s="7">
        <v>10</v>
      </c>
      <c r="F4245" s="7">
        <v>1</v>
      </c>
      <c r="G4245" s="8" t="s">
        <v>4129</v>
      </c>
      <c r="H4245" s="8" t="s">
        <v>4130</v>
      </c>
      <c r="I4245" s="7" t="str">
        <f>_xlfn.CONCAT(Paper_Reference[[#This Row],[Lvl]:[Paper Description]])</f>
        <v>2NG48WC5581T-5000Blossom Cherry  60 x 1201101110WC013-6200BLOSSOM CHERRY</v>
      </c>
      <c r="J4245" s="7">
        <f>COUNTIF(Paper_Reference[Duplicate Key],Paper_Reference[[#This Row],[Duplicate Key]])</f>
        <v>1</v>
      </c>
    </row>
    <row r="4246" spans="1:10">
      <c r="A4246" s="7">
        <v>2</v>
      </c>
      <c r="B4246" s="8" t="s">
        <v>4340</v>
      </c>
      <c r="C4246" s="8" t="s">
        <v>4191</v>
      </c>
      <c r="D4246" s="7">
        <v>1</v>
      </c>
      <c r="E4246" s="7">
        <v>10</v>
      </c>
      <c r="F4246" s="7">
        <v>1</v>
      </c>
      <c r="G4246" s="8" t="s">
        <v>4129</v>
      </c>
      <c r="H4246" s="8" t="s">
        <v>4130</v>
      </c>
      <c r="I4246" s="7" t="str">
        <f>_xlfn.CONCAT(Paper_Reference[[#This Row],[Lvl]:[Paper Description]])</f>
        <v>2NG48WC5581T-5200Blossom Cherry 60 x 1441101110WC013-6200BLOSSOM CHERRY</v>
      </c>
      <c r="J4246" s="7">
        <f>COUNTIF(Paper_Reference[Duplicate Key],Paper_Reference[[#This Row],[Duplicate Key]])</f>
        <v>1</v>
      </c>
    </row>
    <row r="4247" spans="1:10">
      <c r="A4247" s="7">
        <v>2</v>
      </c>
      <c r="B4247" s="8" t="s">
        <v>4341</v>
      </c>
      <c r="C4247" s="8" t="s">
        <v>4192</v>
      </c>
      <c r="D4247" s="7">
        <v>1</v>
      </c>
      <c r="E4247" s="7">
        <v>10</v>
      </c>
      <c r="F4247" s="7">
        <v>0.5</v>
      </c>
      <c r="G4247" s="8" t="s">
        <v>4129</v>
      </c>
      <c r="H4247" s="8" t="s">
        <v>4130</v>
      </c>
      <c r="I4247" s="7" t="str">
        <f>_xlfn.CONCAT(Paper_Reference[[#This Row],[Lvl]:[Paper Description]])</f>
        <v>2NG48WC5581V-0700BLOSSOM CHERRY 30 1/2 x 851100.5110WC013-6200BLOSSOM CHERRY</v>
      </c>
      <c r="J4247" s="7">
        <f>COUNTIF(Paper_Reference[Duplicate Key],Paper_Reference[[#This Row],[Duplicate Key]])</f>
        <v>1</v>
      </c>
    </row>
    <row r="4248" spans="1:10">
      <c r="A4248" s="7">
        <v>2</v>
      </c>
      <c r="B4248" s="8" t="s">
        <v>4342</v>
      </c>
      <c r="C4248" s="8" t="s">
        <v>4193</v>
      </c>
      <c r="D4248" s="7">
        <v>1</v>
      </c>
      <c r="E4248" s="7">
        <v>10</v>
      </c>
      <c r="F4248" s="7">
        <v>0.5</v>
      </c>
      <c r="G4248" s="8" t="s">
        <v>4129</v>
      </c>
      <c r="H4248" s="8" t="s">
        <v>4130</v>
      </c>
      <c r="I4248" s="7" t="str">
        <f>_xlfn.CONCAT(Paper_Reference[[#This Row],[Lvl]:[Paper Description]])</f>
        <v>2NG48WC5581VE0700BLOSSOM CHERRY 30 1/2 X 851100.5110WC013-6200BLOSSOM CHERRY</v>
      </c>
      <c r="J4248" s="7">
        <f>COUNTIF(Paper_Reference[Duplicate Key],Paper_Reference[[#This Row],[Duplicate Key]])</f>
        <v>1</v>
      </c>
    </row>
    <row r="4249" spans="1:10">
      <c r="A4249" s="7">
        <v>2</v>
      </c>
      <c r="B4249" s="8" t="s">
        <v>4343</v>
      </c>
      <c r="C4249" s="8" t="s">
        <v>4194</v>
      </c>
      <c r="D4249" s="7">
        <v>1</v>
      </c>
      <c r="E4249" s="7">
        <v>10</v>
      </c>
      <c r="F4249" s="7">
        <v>1</v>
      </c>
      <c r="G4249" s="8" t="s">
        <v>4129</v>
      </c>
      <c r="H4249" s="8" t="s">
        <v>4130</v>
      </c>
      <c r="I4249" s="7" t="str">
        <f>_xlfn.CONCAT(Paper_Reference[[#This Row],[Lvl]:[Paper Description]])</f>
        <v>2NG48WC5581Z-5200BLOSSOM CHERRY  60 x 1441101110WC013-6200BLOSSOM CHERRY</v>
      </c>
      <c r="J4249" s="7">
        <f>COUNTIF(Paper_Reference[Duplicate Key],Paper_Reference[[#This Row],[Duplicate Key]])</f>
        <v>1</v>
      </c>
    </row>
    <row r="4250" spans="1:10">
      <c r="A4250" s="7">
        <v>2</v>
      </c>
      <c r="B4250" s="8" t="s">
        <v>5231</v>
      </c>
      <c r="C4250" s="8" t="s">
        <v>4544</v>
      </c>
      <c r="D4250" s="7">
        <v>1</v>
      </c>
      <c r="E4250" s="7">
        <v>10</v>
      </c>
      <c r="F4250" s="7">
        <v>1</v>
      </c>
      <c r="G4250" s="8" t="s">
        <v>4371</v>
      </c>
      <c r="H4250" s="8" t="s">
        <v>4372</v>
      </c>
      <c r="I4250" s="7" t="str">
        <f>_xlfn.CONCAT(Paper_Reference[[#This Row],[Lvl]:[Paper Description]])</f>
        <v>2NG49S-6053AW5200JETT BLACK  60 X 1441101100DS064-6200BLACK</v>
      </c>
      <c r="J4250" s="7">
        <f>COUNTIF(Paper_Reference[Duplicate Key],Paper_Reference[[#This Row],[Duplicate Key]])</f>
        <v>1</v>
      </c>
    </row>
    <row r="4251" spans="1:10">
      <c r="A4251" s="7">
        <v>2</v>
      </c>
      <c r="B4251" s="8" t="s">
        <v>5232</v>
      </c>
      <c r="C4251" s="8" t="s">
        <v>4544</v>
      </c>
      <c r="D4251" s="7">
        <v>1</v>
      </c>
      <c r="E4251" s="7">
        <v>10</v>
      </c>
      <c r="F4251" s="7">
        <v>1</v>
      </c>
      <c r="G4251" s="8" t="s">
        <v>4371</v>
      </c>
      <c r="H4251" s="8" t="s">
        <v>4372</v>
      </c>
      <c r="I4251" s="7" t="str">
        <f>_xlfn.CONCAT(Paper_Reference[[#This Row],[Lvl]:[Paper Description]])</f>
        <v>2NG49S-6053AW5201JETT BLACK  60 X 1441101100DS064-6200BLACK</v>
      </c>
      <c r="J4251" s="7">
        <f>COUNTIF(Paper_Reference[Duplicate Key],Paper_Reference[[#This Row],[Duplicate Key]])</f>
        <v>1</v>
      </c>
    </row>
    <row r="4252" spans="1:10">
      <c r="A4252" s="7">
        <v>2</v>
      </c>
      <c r="B4252" s="8" t="s">
        <v>5233</v>
      </c>
      <c r="C4252" s="8" t="s">
        <v>4545</v>
      </c>
      <c r="D4252" s="7">
        <v>1</v>
      </c>
      <c r="E4252" s="7">
        <v>10</v>
      </c>
      <c r="F4252" s="7">
        <v>1</v>
      </c>
      <c r="G4252" s="8" t="s">
        <v>4371</v>
      </c>
      <c r="H4252" s="8" t="s">
        <v>4372</v>
      </c>
      <c r="I4252" s="7" t="str">
        <f>_xlfn.CONCAT(Paper_Reference[[#This Row],[Lvl]:[Paper Description]])</f>
        <v>2NG49S-6053AW5800JETT BLACK  60 X 961101100DS064-6200BLACK</v>
      </c>
      <c r="J4252" s="7">
        <f>COUNTIF(Paper_Reference[Duplicate Key],Paper_Reference[[#This Row],[Duplicate Key]])</f>
        <v>1</v>
      </c>
    </row>
    <row r="4253" spans="1:10">
      <c r="A4253" s="7">
        <v>2</v>
      </c>
      <c r="B4253" s="8" t="s">
        <v>5234</v>
      </c>
      <c r="C4253" s="8" t="s">
        <v>4546</v>
      </c>
      <c r="D4253" s="7">
        <v>1</v>
      </c>
      <c r="E4253" s="7">
        <v>10</v>
      </c>
      <c r="F4253" s="7">
        <v>0.5</v>
      </c>
      <c r="G4253" s="8" t="s">
        <v>4371</v>
      </c>
      <c r="H4253" s="8" t="s">
        <v>4372</v>
      </c>
      <c r="I4253" s="7" t="str">
        <f>_xlfn.CONCAT(Paper_Reference[[#This Row],[Lvl]:[Paper Description]])</f>
        <v>2NG49S-6053B-0200Jett Black  30 x 1441100.5100DS064-6200BLACK</v>
      </c>
      <c r="J4253" s="7">
        <f>COUNTIF(Paper_Reference[Duplicate Key],Paper_Reference[[#This Row],[Duplicate Key]])</f>
        <v>1</v>
      </c>
    </row>
    <row r="4254" spans="1:10">
      <c r="A4254" s="7">
        <v>3</v>
      </c>
      <c r="B4254" s="8" t="s">
        <v>5235</v>
      </c>
      <c r="C4254" s="8" t="s">
        <v>4547</v>
      </c>
      <c r="D4254" s="7">
        <v>1</v>
      </c>
      <c r="E4254" s="7">
        <v>55</v>
      </c>
      <c r="F4254" s="7">
        <v>0.25</v>
      </c>
      <c r="G4254" s="8" t="s">
        <v>4371</v>
      </c>
      <c r="H4254" s="8" t="s">
        <v>4372</v>
      </c>
      <c r="I4254" s="7" t="str">
        <f>_xlfn.CONCAT(Paper_Reference[[#This Row],[Lvl]:[Paper Description]])</f>
        <v>3NG49S-6053B-0500Jett Black  30 x 601550.25100DS064-6200BLACK</v>
      </c>
      <c r="J4254" s="7">
        <f>COUNTIF(Paper_Reference[Duplicate Key],Paper_Reference[[#This Row],[Duplicate Key]])</f>
        <v>1</v>
      </c>
    </row>
    <row r="4255" spans="1:10">
      <c r="A4255" s="7">
        <v>3</v>
      </c>
      <c r="B4255" s="8" t="s">
        <v>5236</v>
      </c>
      <c r="C4255" s="8" t="s">
        <v>4548</v>
      </c>
      <c r="D4255" s="7">
        <v>1</v>
      </c>
      <c r="E4255" s="7">
        <v>55</v>
      </c>
      <c r="F4255" s="7">
        <v>0.25</v>
      </c>
      <c r="G4255" s="8" t="s">
        <v>4371</v>
      </c>
      <c r="H4255" s="8" t="s">
        <v>4372</v>
      </c>
      <c r="I4255" s="7" t="str">
        <f>_xlfn.CONCAT(Paper_Reference[[#This Row],[Lvl]:[Paper Description]])</f>
        <v>3NG49S-6053B-0600Jett Black  30 x 721550.25100DS064-6200BLACK</v>
      </c>
      <c r="J4255" s="7">
        <f>COUNTIF(Paper_Reference[Duplicate Key],Paper_Reference[[#This Row],[Duplicate Key]])</f>
        <v>1</v>
      </c>
    </row>
    <row r="4256" spans="1:10">
      <c r="A4256" s="7">
        <v>2</v>
      </c>
      <c r="B4256" s="8" t="s">
        <v>5237</v>
      </c>
      <c r="C4256" s="8" t="s">
        <v>4549</v>
      </c>
      <c r="D4256" s="7">
        <v>1</v>
      </c>
      <c r="E4256" s="7">
        <v>10</v>
      </c>
      <c r="F4256" s="7">
        <v>0.5</v>
      </c>
      <c r="G4256" s="8" t="s">
        <v>4371</v>
      </c>
      <c r="H4256" s="8" t="s">
        <v>4372</v>
      </c>
      <c r="I4256" s="7" t="str">
        <f>_xlfn.CONCAT(Paper_Reference[[#This Row],[Lvl]:[Paper Description]])</f>
        <v>2NG49S-6053B-0800Jett Black  30 x 961100.5100DS064-6200BLACK</v>
      </c>
      <c r="J4256" s="7">
        <f>COUNTIF(Paper_Reference[Duplicate Key],Paper_Reference[[#This Row],[Duplicate Key]])</f>
        <v>1</v>
      </c>
    </row>
    <row r="4257" spans="1:10">
      <c r="A4257" s="7">
        <v>2</v>
      </c>
      <c r="B4257" s="8" t="s">
        <v>5238</v>
      </c>
      <c r="C4257" s="8" t="s">
        <v>4550</v>
      </c>
      <c r="D4257" s="7">
        <v>1</v>
      </c>
      <c r="E4257" s="7">
        <v>10</v>
      </c>
      <c r="F4257" s="7">
        <v>1</v>
      </c>
      <c r="G4257" s="8" t="s">
        <v>4371</v>
      </c>
      <c r="H4257" s="8" t="s">
        <v>4372</v>
      </c>
      <c r="I4257" s="7" t="str">
        <f>_xlfn.CONCAT(Paper_Reference[[#This Row],[Lvl]:[Paper Description]])</f>
        <v>2NG49S-6053B-5201Jett Black  60 x 1441101100DS064-6200BLACK</v>
      </c>
      <c r="J4257" s="7">
        <f>COUNTIF(Paper_Reference[Duplicate Key],Paper_Reference[[#This Row],[Duplicate Key]])</f>
        <v>1</v>
      </c>
    </row>
    <row r="4258" spans="1:10">
      <c r="A4258" s="7">
        <v>2</v>
      </c>
      <c r="B4258" s="8" t="s">
        <v>5239</v>
      </c>
      <c r="C4258" s="8" t="s">
        <v>4551</v>
      </c>
      <c r="D4258" s="7">
        <v>1</v>
      </c>
      <c r="E4258" s="7">
        <v>10</v>
      </c>
      <c r="F4258" s="7">
        <v>1</v>
      </c>
      <c r="G4258" s="8" t="s">
        <v>4371</v>
      </c>
      <c r="H4258" s="8" t="s">
        <v>4372</v>
      </c>
      <c r="I4258" s="7" t="str">
        <f>_xlfn.CONCAT(Paper_Reference[[#This Row],[Lvl]:[Paper Description]])</f>
        <v>2NG49S-6053B-5800Jett Black  60 x 961101100DS064-6200BLACK</v>
      </c>
      <c r="J4258" s="7">
        <f>COUNTIF(Paper_Reference[Duplicate Key],Paper_Reference[[#This Row],[Duplicate Key]])</f>
        <v>1</v>
      </c>
    </row>
    <row r="4259" spans="1:10">
      <c r="A4259" s="7">
        <v>2</v>
      </c>
      <c r="B4259" s="8" t="s">
        <v>5240</v>
      </c>
      <c r="C4259" s="8" t="s">
        <v>4552</v>
      </c>
      <c r="D4259" s="7">
        <v>1</v>
      </c>
      <c r="E4259" s="7">
        <v>10</v>
      </c>
      <c r="F4259" s="7">
        <v>1</v>
      </c>
      <c r="G4259" s="8" t="s">
        <v>4371</v>
      </c>
      <c r="H4259" s="8" t="s">
        <v>4372</v>
      </c>
      <c r="I4259" s="7" t="str">
        <f>_xlfn.CONCAT(Paper_Reference[[#This Row],[Lvl]:[Paper Description]])</f>
        <v>2NG49S-6053C-5000Jett Black  60 x 1201101100DS064-6200BLACK</v>
      </c>
      <c r="J4259" s="7">
        <f>COUNTIF(Paper_Reference[Duplicate Key],Paper_Reference[[#This Row],[Duplicate Key]])</f>
        <v>1</v>
      </c>
    </row>
    <row r="4260" spans="1:10">
      <c r="A4260" s="7">
        <v>2</v>
      </c>
      <c r="B4260" s="8" t="s">
        <v>5241</v>
      </c>
      <c r="C4260" s="8" t="s">
        <v>4550</v>
      </c>
      <c r="D4260" s="7">
        <v>1</v>
      </c>
      <c r="E4260" s="7">
        <v>10</v>
      </c>
      <c r="F4260" s="7">
        <v>1</v>
      </c>
      <c r="G4260" s="8" t="s">
        <v>4371</v>
      </c>
      <c r="H4260" s="8" t="s">
        <v>4372</v>
      </c>
      <c r="I4260" s="7" t="str">
        <f>_xlfn.CONCAT(Paper_Reference[[#This Row],[Lvl]:[Paper Description]])</f>
        <v>2NG49S-6053C-5200Jett Black  60 x 1441101100DS064-6200BLACK</v>
      </c>
      <c r="J4260" s="7">
        <f>COUNTIF(Paper_Reference[Duplicate Key],Paper_Reference[[#This Row],[Duplicate Key]])</f>
        <v>1</v>
      </c>
    </row>
    <row r="4261" spans="1:10">
      <c r="A4261" s="7">
        <v>2</v>
      </c>
      <c r="B4261" s="8" t="s">
        <v>5242</v>
      </c>
      <c r="C4261" s="8" t="s">
        <v>4553</v>
      </c>
      <c r="D4261" s="7">
        <v>1</v>
      </c>
      <c r="E4261" s="7">
        <v>10</v>
      </c>
      <c r="F4261" s="7">
        <v>1</v>
      </c>
      <c r="G4261" s="8" t="s">
        <v>4371</v>
      </c>
      <c r="H4261" s="8" t="s">
        <v>4372</v>
      </c>
      <c r="I4261" s="7" t="str">
        <f>_xlfn.CONCAT(Paper_Reference[[#This Row],[Lvl]:[Paper Description]])</f>
        <v>2NG49S-6053C-5201Jett Black PC 60X1441101100DS064-6200BLACK</v>
      </c>
      <c r="J4261" s="7">
        <f>COUNTIF(Paper_Reference[Duplicate Key],Paper_Reference[[#This Row],[Duplicate Key]])</f>
        <v>1</v>
      </c>
    </row>
    <row r="4262" spans="1:10">
      <c r="A4262" s="7">
        <v>2</v>
      </c>
      <c r="B4262" s="8" t="s">
        <v>5243</v>
      </c>
      <c r="C4262" s="8" t="s">
        <v>4551</v>
      </c>
      <c r="D4262" s="7">
        <v>1</v>
      </c>
      <c r="E4262" s="7">
        <v>10</v>
      </c>
      <c r="F4262" s="7">
        <v>1</v>
      </c>
      <c r="G4262" s="8" t="s">
        <v>4371</v>
      </c>
      <c r="H4262" s="8" t="s">
        <v>4372</v>
      </c>
      <c r="I4262" s="7" t="str">
        <f>_xlfn.CONCAT(Paper_Reference[[#This Row],[Lvl]:[Paper Description]])</f>
        <v>2NG49S-6053C-5800Jett Black  60 x 961101100DS064-6200BLACK</v>
      </c>
      <c r="J4262" s="7">
        <f>COUNTIF(Paper_Reference[Duplicate Key],Paper_Reference[[#This Row],[Duplicate Key]])</f>
        <v>1</v>
      </c>
    </row>
    <row r="4263" spans="1:10">
      <c r="A4263" s="7">
        <v>2</v>
      </c>
      <c r="B4263" s="8" t="s">
        <v>5244</v>
      </c>
      <c r="C4263" s="8" t="s">
        <v>4554</v>
      </c>
      <c r="D4263" s="7">
        <v>1</v>
      </c>
      <c r="E4263" s="7">
        <v>10</v>
      </c>
      <c r="F4263" s="7">
        <v>1</v>
      </c>
      <c r="G4263" s="8" t="s">
        <v>4371</v>
      </c>
      <c r="H4263" s="8" t="s">
        <v>4372</v>
      </c>
      <c r="I4263" s="7" t="str">
        <f>_xlfn.CONCAT(Paper_Reference[[#This Row],[Lvl]:[Paper Description]])</f>
        <v>2NG49S-6053CR5000JETT BLACK  60 X 1201101100DS064-6200BLACK</v>
      </c>
      <c r="J4263" s="7">
        <f>COUNTIF(Paper_Reference[Duplicate Key],Paper_Reference[[#This Row],[Duplicate Key]])</f>
        <v>1</v>
      </c>
    </row>
    <row r="4264" spans="1:10">
      <c r="A4264" s="7">
        <v>2</v>
      </c>
      <c r="B4264" s="8" t="s">
        <v>5245</v>
      </c>
      <c r="C4264" s="8" t="s">
        <v>4544</v>
      </c>
      <c r="D4264" s="7">
        <v>1</v>
      </c>
      <c r="E4264" s="7">
        <v>10</v>
      </c>
      <c r="F4264" s="7">
        <v>1</v>
      </c>
      <c r="G4264" s="8" t="s">
        <v>4371</v>
      </c>
      <c r="H4264" s="8" t="s">
        <v>4372</v>
      </c>
      <c r="I4264" s="7" t="str">
        <f>_xlfn.CONCAT(Paper_Reference[[#This Row],[Lvl]:[Paper Description]])</f>
        <v>2NG49S-6053CR5200JETT BLACK  60 X 1441101100DS064-6200BLACK</v>
      </c>
      <c r="J4264" s="7">
        <f>COUNTIF(Paper_Reference[Duplicate Key],Paper_Reference[[#This Row],[Duplicate Key]])</f>
        <v>1</v>
      </c>
    </row>
    <row r="4265" spans="1:10">
      <c r="A4265" s="7">
        <v>2</v>
      </c>
      <c r="B4265" s="8" t="s">
        <v>5246</v>
      </c>
      <c r="C4265" s="8" t="s">
        <v>4545</v>
      </c>
      <c r="D4265" s="7">
        <v>1</v>
      </c>
      <c r="E4265" s="7">
        <v>10</v>
      </c>
      <c r="F4265" s="7">
        <v>1</v>
      </c>
      <c r="G4265" s="8" t="s">
        <v>4371</v>
      </c>
      <c r="H4265" s="8" t="s">
        <v>4372</v>
      </c>
      <c r="I4265" s="7" t="str">
        <f>_xlfn.CONCAT(Paper_Reference[[#This Row],[Lvl]:[Paper Description]])</f>
        <v>2NG49S-6053CR5800JETT BLACK  60 X 961101100DS064-6200BLACK</v>
      </c>
      <c r="J4265" s="7">
        <f>COUNTIF(Paper_Reference[Duplicate Key],Paper_Reference[[#This Row],[Duplicate Key]])</f>
        <v>1</v>
      </c>
    </row>
    <row r="4266" spans="1:10">
      <c r="A4266" s="7">
        <v>3</v>
      </c>
      <c r="B4266" s="8" t="s">
        <v>5247</v>
      </c>
      <c r="C4266" s="8" t="s">
        <v>4555</v>
      </c>
      <c r="D4266" s="7">
        <v>1</v>
      </c>
      <c r="E4266" s="7">
        <v>55</v>
      </c>
      <c r="F4266" s="7">
        <v>0.25</v>
      </c>
      <c r="G4266" s="8" t="s">
        <v>4371</v>
      </c>
      <c r="H4266" s="8" t="s">
        <v>4372</v>
      </c>
      <c r="I4266" s="7" t="str">
        <f>_xlfn.CONCAT(Paper_Reference[[#This Row],[Lvl]:[Paper Description]])</f>
        <v>3NG49S-6053CRYGJ1JETT BLACK 25 X 71 7/81550.25100DS064-6200BLACK</v>
      </c>
      <c r="J4266" s="7">
        <f>COUNTIF(Paper_Reference[Duplicate Key],Paper_Reference[[#This Row],[Duplicate Key]])</f>
        <v>1</v>
      </c>
    </row>
    <row r="4267" spans="1:10">
      <c r="A4267" s="7">
        <v>2</v>
      </c>
      <c r="B4267" s="8" t="s">
        <v>5248</v>
      </c>
      <c r="C4267" s="8" t="s">
        <v>4556</v>
      </c>
      <c r="D4267" s="7">
        <v>1</v>
      </c>
      <c r="E4267" s="7">
        <v>10</v>
      </c>
      <c r="F4267" s="7">
        <v>1</v>
      </c>
      <c r="G4267" s="8" t="s">
        <v>4371</v>
      </c>
      <c r="H4267" s="8" t="s">
        <v>4372</v>
      </c>
      <c r="I4267" s="7" t="str">
        <f>_xlfn.CONCAT(Paper_Reference[[#This Row],[Lvl]:[Paper Description]])</f>
        <v>2NG49S-6053CV4200JETT BLACK 48 X 1441101100DS064-6200BLACK</v>
      </c>
      <c r="J4267" s="7">
        <f>COUNTIF(Paper_Reference[Duplicate Key],Paper_Reference[[#This Row],[Duplicate Key]])</f>
        <v>1</v>
      </c>
    </row>
    <row r="4268" spans="1:10">
      <c r="A4268" s="7">
        <v>2</v>
      </c>
      <c r="B4268" s="8" t="s">
        <v>5249</v>
      </c>
      <c r="C4268" s="8" t="s">
        <v>4527</v>
      </c>
      <c r="D4268" s="7">
        <v>1</v>
      </c>
      <c r="E4268" s="7">
        <v>10</v>
      </c>
      <c r="F4268" s="7">
        <v>1</v>
      </c>
      <c r="G4268" s="8" t="s">
        <v>4371</v>
      </c>
      <c r="H4268" s="8" t="s">
        <v>4372</v>
      </c>
      <c r="I4268" s="7" t="str">
        <f>_xlfn.CONCAT(Paper_Reference[[#This Row],[Lvl]:[Paper Description]])</f>
        <v>2NG49S-6053CV5200JETT BLACK 60 X 1441101100DS064-6200BLACK</v>
      </c>
      <c r="J4268" s="7">
        <f>COUNTIF(Paper_Reference[Duplicate Key],Paper_Reference[[#This Row],[Duplicate Key]])</f>
        <v>1</v>
      </c>
    </row>
    <row r="4269" spans="1:10">
      <c r="A4269" s="7">
        <v>2</v>
      </c>
      <c r="B4269" s="8" t="s">
        <v>5250</v>
      </c>
      <c r="C4269" s="8" t="s">
        <v>4557</v>
      </c>
      <c r="D4269" s="7">
        <v>1</v>
      </c>
      <c r="E4269" s="7">
        <v>10</v>
      </c>
      <c r="F4269" s="7">
        <v>1</v>
      </c>
      <c r="G4269" s="8" t="s">
        <v>4371</v>
      </c>
      <c r="H4269" s="8" t="s">
        <v>4372</v>
      </c>
      <c r="I4269" s="7" t="str">
        <f>_xlfn.CONCAT(Paper_Reference[[#This Row],[Lvl]:[Paper Description]])</f>
        <v>2NG49S-6053E-5000JETT BLACK  60 x 1201101100DS064-6200BLACK</v>
      </c>
      <c r="J4269" s="7">
        <f>COUNTIF(Paper_Reference[Duplicate Key],Paper_Reference[[#This Row],[Duplicate Key]])</f>
        <v>1</v>
      </c>
    </row>
    <row r="4270" spans="1:10">
      <c r="A4270" s="7">
        <v>2</v>
      </c>
      <c r="B4270" s="8" t="s">
        <v>5251</v>
      </c>
      <c r="C4270" s="8" t="s">
        <v>4558</v>
      </c>
      <c r="D4270" s="7">
        <v>1</v>
      </c>
      <c r="E4270" s="7">
        <v>10</v>
      </c>
      <c r="F4270" s="7">
        <v>1</v>
      </c>
      <c r="G4270" s="8" t="s">
        <v>4371</v>
      </c>
      <c r="H4270" s="8" t="s">
        <v>4372</v>
      </c>
      <c r="I4270" s="7" t="str">
        <f>_xlfn.CONCAT(Paper_Reference[[#This Row],[Lvl]:[Paper Description]])</f>
        <v>2NG49S-6053E-5200Jett Black   60 x 1441101100DS064-6200BLACK</v>
      </c>
      <c r="J4270" s="7">
        <f>COUNTIF(Paper_Reference[Duplicate Key],Paper_Reference[[#This Row],[Duplicate Key]])</f>
        <v>1</v>
      </c>
    </row>
    <row r="4271" spans="1:10">
      <c r="A4271" s="7">
        <v>2</v>
      </c>
      <c r="B4271" s="8" t="s">
        <v>5252</v>
      </c>
      <c r="C4271" s="8" t="s">
        <v>4559</v>
      </c>
      <c r="D4271" s="7">
        <v>1</v>
      </c>
      <c r="E4271" s="7">
        <v>10</v>
      </c>
      <c r="F4271" s="7">
        <v>1</v>
      </c>
      <c r="G4271" s="8" t="s">
        <v>4371</v>
      </c>
      <c r="H4271" s="8" t="s">
        <v>4372</v>
      </c>
      <c r="I4271" s="7" t="str">
        <f>_xlfn.CONCAT(Paper_Reference[[#This Row],[Lvl]:[Paper Description]])</f>
        <v>2NG49S-6053G-5001JETT BLACK 60X1201101100DS064-6200BLACK</v>
      </c>
      <c r="J4271" s="7">
        <f>COUNTIF(Paper_Reference[Duplicate Key],Paper_Reference[[#This Row],[Duplicate Key]])</f>
        <v>1</v>
      </c>
    </row>
    <row r="4272" spans="1:10">
      <c r="A4272" s="7">
        <v>2</v>
      </c>
      <c r="B4272" s="8" t="s">
        <v>5253</v>
      </c>
      <c r="C4272" s="8" t="s">
        <v>4550</v>
      </c>
      <c r="D4272" s="7">
        <v>1</v>
      </c>
      <c r="E4272" s="7">
        <v>10</v>
      </c>
      <c r="F4272" s="7">
        <v>1</v>
      </c>
      <c r="G4272" s="8" t="s">
        <v>4371</v>
      </c>
      <c r="H4272" s="8" t="s">
        <v>4372</v>
      </c>
      <c r="I4272" s="7" t="str">
        <f>_xlfn.CONCAT(Paper_Reference[[#This Row],[Lvl]:[Paper Description]])</f>
        <v>2NG49S-6053G-5201Jett Black  60 x 1441101100DS064-6200BLACK</v>
      </c>
      <c r="J4272" s="7">
        <f>COUNTIF(Paper_Reference[Duplicate Key],Paper_Reference[[#This Row],[Duplicate Key]])</f>
        <v>1</v>
      </c>
    </row>
    <row r="4273" spans="1:10">
      <c r="A4273" s="7">
        <v>2</v>
      </c>
      <c r="B4273" s="8" t="s">
        <v>5254</v>
      </c>
      <c r="C4273" s="8" t="s">
        <v>4559</v>
      </c>
      <c r="D4273" s="7">
        <v>1</v>
      </c>
      <c r="E4273" s="7">
        <v>10</v>
      </c>
      <c r="F4273" s="7">
        <v>1</v>
      </c>
      <c r="G4273" s="8" t="s">
        <v>4371</v>
      </c>
      <c r="H4273" s="8" t="s">
        <v>4372</v>
      </c>
      <c r="I4273" s="7" t="str">
        <f>_xlfn.CONCAT(Paper_Reference[[#This Row],[Lvl]:[Paper Description]])</f>
        <v>2NG49S-6053GL5001JETT BLACK 60X1201101100DS064-6200BLACK</v>
      </c>
      <c r="J4273" s="7">
        <f>COUNTIF(Paper_Reference[Duplicate Key],Paper_Reference[[#This Row],[Duplicate Key]])</f>
        <v>1</v>
      </c>
    </row>
    <row r="4274" spans="1:10">
      <c r="A4274" s="7">
        <v>2</v>
      </c>
      <c r="B4274" s="8" t="s">
        <v>5255</v>
      </c>
      <c r="C4274" s="8" t="s">
        <v>4544</v>
      </c>
      <c r="D4274" s="7">
        <v>1</v>
      </c>
      <c r="E4274" s="7">
        <v>10</v>
      </c>
      <c r="F4274" s="7">
        <v>1</v>
      </c>
      <c r="G4274" s="8" t="s">
        <v>4371</v>
      </c>
      <c r="H4274" s="8" t="s">
        <v>4372</v>
      </c>
      <c r="I4274" s="7" t="str">
        <f>_xlfn.CONCAT(Paper_Reference[[#This Row],[Lvl]:[Paper Description]])</f>
        <v>2NG49S-6053GL5201JETT BLACK  60 X 1441101100DS064-6200BLACK</v>
      </c>
      <c r="J4274" s="7">
        <f>COUNTIF(Paper_Reference[Duplicate Key],Paper_Reference[[#This Row],[Duplicate Key]])</f>
        <v>1</v>
      </c>
    </row>
    <row r="4275" spans="1:10">
      <c r="A4275" s="7">
        <v>2</v>
      </c>
      <c r="B4275" s="8" t="s">
        <v>5256</v>
      </c>
      <c r="C4275" s="8" t="s">
        <v>4529</v>
      </c>
      <c r="D4275" s="7">
        <v>1</v>
      </c>
      <c r="E4275" s="7">
        <v>10</v>
      </c>
      <c r="F4275" s="7">
        <v>1</v>
      </c>
      <c r="G4275" s="8" t="s">
        <v>4371</v>
      </c>
      <c r="H4275" s="8" t="s">
        <v>4372</v>
      </c>
      <c r="I4275" s="7" t="str">
        <f>_xlfn.CONCAT(Paper_Reference[[#This Row],[Lvl]:[Paper Description]])</f>
        <v>2NG49S-6053GL5801JETT BLACK 60 X 961101100DS064-6200BLACK</v>
      </c>
      <c r="J4275" s="7">
        <f>COUNTIF(Paper_Reference[Duplicate Key],Paper_Reference[[#This Row],[Duplicate Key]])</f>
        <v>1</v>
      </c>
    </row>
    <row r="4276" spans="1:10">
      <c r="A4276" s="7">
        <v>2</v>
      </c>
      <c r="B4276" s="8" t="s">
        <v>5257</v>
      </c>
      <c r="C4276" s="8" t="s">
        <v>4560</v>
      </c>
      <c r="D4276" s="7">
        <v>1</v>
      </c>
      <c r="E4276" s="7">
        <v>10</v>
      </c>
      <c r="F4276" s="7">
        <v>0.5</v>
      </c>
      <c r="G4276" s="8" t="s">
        <v>4371</v>
      </c>
      <c r="H4276" s="8" t="s">
        <v>4372</v>
      </c>
      <c r="I4276" s="7" t="str">
        <f>_xlfn.CONCAT(Paper_Reference[[#This Row],[Lvl]:[Paper Description]])</f>
        <v>2NG49S-6053LR0000JETT BLACK 30 X 1201100.5100DS064-6200BLACK</v>
      </c>
      <c r="J4276" s="7">
        <f>COUNTIF(Paper_Reference[Duplicate Key],Paper_Reference[[#This Row],[Duplicate Key]])</f>
        <v>1</v>
      </c>
    </row>
    <row r="4277" spans="1:10">
      <c r="A4277" s="7">
        <v>3</v>
      </c>
      <c r="B4277" s="8" t="s">
        <v>5258</v>
      </c>
      <c r="C4277" s="8" t="s">
        <v>4561</v>
      </c>
      <c r="D4277" s="7">
        <v>1</v>
      </c>
      <c r="E4277" s="7">
        <v>55</v>
      </c>
      <c r="F4277" s="7">
        <v>0.25</v>
      </c>
      <c r="G4277" s="8" t="s">
        <v>4371</v>
      </c>
      <c r="H4277" s="8" t="s">
        <v>4372</v>
      </c>
      <c r="I4277" s="7" t="str">
        <f>_xlfn.CONCAT(Paper_Reference[[#This Row],[Lvl]:[Paper Description]])</f>
        <v>3NG49S-6053LR0500JETT BLACK  30 X 601550.25100DS064-6200BLACK</v>
      </c>
      <c r="J4277" s="7">
        <f>COUNTIF(Paper_Reference[Duplicate Key],Paper_Reference[[#This Row],[Duplicate Key]])</f>
        <v>1</v>
      </c>
    </row>
    <row r="4278" spans="1:10">
      <c r="A4278" s="7">
        <v>3</v>
      </c>
      <c r="B4278" s="8" t="s">
        <v>5259</v>
      </c>
      <c r="C4278" s="8" t="s">
        <v>4561</v>
      </c>
      <c r="D4278" s="7">
        <v>1</v>
      </c>
      <c r="E4278" s="7">
        <v>55</v>
      </c>
      <c r="F4278" s="7">
        <v>0.25</v>
      </c>
      <c r="G4278" s="8" t="s">
        <v>4371</v>
      </c>
      <c r="H4278" s="8" t="s">
        <v>4372</v>
      </c>
      <c r="I4278" s="7" t="str">
        <f>_xlfn.CONCAT(Paper_Reference[[#This Row],[Lvl]:[Paper Description]])</f>
        <v>3NG49S-6053LR0503JETT BLACK  30 X 601550.25100DS064-6200BLACK</v>
      </c>
      <c r="J4278" s="7">
        <f>COUNTIF(Paper_Reference[Duplicate Key],Paper_Reference[[#This Row],[Duplicate Key]])</f>
        <v>1</v>
      </c>
    </row>
    <row r="4279" spans="1:10">
      <c r="A4279" s="7">
        <v>3</v>
      </c>
      <c r="B4279" s="8" t="s">
        <v>5260</v>
      </c>
      <c r="C4279" s="8" t="s">
        <v>4562</v>
      </c>
      <c r="D4279" s="7">
        <v>1</v>
      </c>
      <c r="E4279" s="7">
        <v>55</v>
      </c>
      <c r="F4279" s="7">
        <v>0.25</v>
      </c>
      <c r="G4279" s="8" t="s">
        <v>4371</v>
      </c>
      <c r="H4279" s="8" t="s">
        <v>4372</v>
      </c>
      <c r="I4279" s="7" t="str">
        <f>_xlfn.CONCAT(Paper_Reference[[#This Row],[Lvl]:[Paper Description]])</f>
        <v>3NG49S-6053LR0600JETT BLACK  30 X 721550.25100DS064-6200BLACK</v>
      </c>
      <c r="J4279" s="7">
        <f>COUNTIF(Paper_Reference[Duplicate Key],Paper_Reference[[#This Row],[Duplicate Key]])</f>
        <v>1</v>
      </c>
    </row>
    <row r="4280" spans="1:10">
      <c r="A4280" s="7">
        <v>3</v>
      </c>
      <c r="B4280" s="8" t="s">
        <v>5261</v>
      </c>
      <c r="C4280" s="8" t="s">
        <v>4562</v>
      </c>
      <c r="D4280" s="7">
        <v>1</v>
      </c>
      <c r="E4280" s="7">
        <v>55</v>
      </c>
      <c r="F4280" s="7">
        <v>0.25</v>
      </c>
      <c r="G4280" s="8" t="s">
        <v>4371</v>
      </c>
      <c r="H4280" s="8" t="s">
        <v>4372</v>
      </c>
      <c r="I4280" s="7" t="str">
        <f>_xlfn.CONCAT(Paper_Reference[[#This Row],[Lvl]:[Paper Description]])</f>
        <v>3NG49S-6053LR0603JETT BLACK  30 X 721550.25100DS064-6200BLACK</v>
      </c>
      <c r="J4280" s="7">
        <f>COUNTIF(Paper_Reference[Duplicate Key],Paper_Reference[[#This Row],[Duplicate Key]])</f>
        <v>1</v>
      </c>
    </row>
    <row r="4281" spans="1:10">
      <c r="A4281" s="7">
        <v>2</v>
      </c>
      <c r="B4281" s="8" t="s">
        <v>5262</v>
      </c>
      <c r="C4281" s="8" t="s">
        <v>4563</v>
      </c>
      <c r="D4281" s="7">
        <v>1</v>
      </c>
      <c r="E4281" s="7">
        <v>10</v>
      </c>
      <c r="F4281" s="7">
        <v>0.5</v>
      </c>
      <c r="G4281" s="8" t="s">
        <v>4371</v>
      </c>
      <c r="H4281" s="8" t="s">
        <v>4372</v>
      </c>
      <c r="I4281" s="7" t="str">
        <f>_xlfn.CONCAT(Paper_Reference[[#This Row],[Lvl]:[Paper Description]])</f>
        <v>2NG49S-6053LR0800JETT BLACK  30 X 961100.5100DS064-6200BLACK</v>
      </c>
      <c r="J4281" s="7">
        <f>COUNTIF(Paper_Reference[Duplicate Key],Paper_Reference[[#This Row],[Duplicate Key]])</f>
        <v>1</v>
      </c>
    </row>
    <row r="4282" spans="1:10">
      <c r="A4282" s="7">
        <v>2</v>
      </c>
      <c r="B4282" s="8" t="s">
        <v>5263</v>
      </c>
      <c r="C4282" s="8" t="s">
        <v>4564</v>
      </c>
      <c r="D4282" s="7">
        <v>1</v>
      </c>
      <c r="E4282" s="7">
        <v>10</v>
      </c>
      <c r="F4282" s="7">
        <v>0.5</v>
      </c>
      <c r="G4282" s="8" t="s">
        <v>4371</v>
      </c>
      <c r="H4282" s="8" t="s">
        <v>4372</v>
      </c>
      <c r="I4282" s="7" t="str">
        <f>_xlfn.CONCAT(Paper_Reference[[#This Row],[Lvl]:[Paper Description]])</f>
        <v>2NG49S-6053LR0803JETT BLACK 30 X 961100.5100DS064-6200BLACK</v>
      </c>
      <c r="J4282" s="7">
        <f>COUNTIF(Paper_Reference[Duplicate Key],Paper_Reference[[#This Row],[Duplicate Key]])</f>
        <v>1</v>
      </c>
    </row>
    <row r="4283" spans="1:10">
      <c r="A4283" s="7">
        <v>2</v>
      </c>
      <c r="B4283" s="8" t="s">
        <v>5264</v>
      </c>
      <c r="C4283" s="8" t="s">
        <v>4544</v>
      </c>
      <c r="D4283" s="7">
        <v>1</v>
      </c>
      <c r="E4283" s="7">
        <v>10</v>
      </c>
      <c r="F4283" s="7">
        <v>1</v>
      </c>
      <c r="G4283" s="8" t="s">
        <v>4371</v>
      </c>
      <c r="H4283" s="8" t="s">
        <v>4372</v>
      </c>
      <c r="I4283" s="7" t="str">
        <f>_xlfn.CONCAT(Paper_Reference[[#This Row],[Lvl]:[Paper Description]])</f>
        <v>2NG49S-6053LR5201JETT BLACK  60 X 1441101100DS064-6200BLACK</v>
      </c>
      <c r="J4283" s="7">
        <f>COUNTIF(Paper_Reference[Duplicate Key],Paper_Reference[[#This Row],[Duplicate Key]])</f>
        <v>1</v>
      </c>
    </row>
    <row r="4284" spans="1:10">
      <c r="A4284" s="7">
        <v>2</v>
      </c>
      <c r="B4284" s="8" t="s">
        <v>5265</v>
      </c>
      <c r="C4284" s="8" t="s">
        <v>4565</v>
      </c>
      <c r="D4284" s="7">
        <v>1</v>
      </c>
      <c r="E4284" s="7">
        <v>10</v>
      </c>
      <c r="F4284" s="7">
        <v>1</v>
      </c>
      <c r="G4284" s="8" t="s">
        <v>4371</v>
      </c>
      <c r="H4284" s="8" t="s">
        <v>4372</v>
      </c>
      <c r="I4284" s="7" t="str">
        <f>_xlfn.CONCAT(Paper_Reference[[#This Row],[Lvl]:[Paper Description]])</f>
        <v>2NG49S-6053N-5200JETT BLACK  60 x 1441101100DS064-6200BLACK</v>
      </c>
      <c r="J4284" s="7">
        <f>COUNTIF(Paper_Reference[Duplicate Key],Paper_Reference[[#This Row],[Duplicate Key]])</f>
        <v>1</v>
      </c>
    </row>
    <row r="4285" spans="1:10">
      <c r="A4285" s="7">
        <v>2</v>
      </c>
      <c r="B4285" s="8" t="s">
        <v>5266</v>
      </c>
      <c r="C4285" s="8" t="s">
        <v>4554</v>
      </c>
      <c r="D4285" s="7">
        <v>1</v>
      </c>
      <c r="E4285" s="7">
        <v>10</v>
      </c>
      <c r="F4285" s="7">
        <v>1</v>
      </c>
      <c r="G4285" s="8" t="s">
        <v>4371</v>
      </c>
      <c r="H4285" s="8" t="s">
        <v>4372</v>
      </c>
      <c r="I4285" s="7" t="str">
        <f>_xlfn.CONCAT(Paper_Reference[[#This Row],[Lvl]:[Paper Description]])</f>
        <v>2NG49S-6053SD5000JETT BLACK  60 X 1201101100DS064-6200BLACK</v>
      </c>
      <c r="J4285" s="7">
        <f>COUNTIF(Paper_Reference[Duplicate Key],Paper_Reference[[#This Row],[Duplicate Key]])</f>
        <v>1</v>
      </c>
    </row>
    <row r="4286" spans="1:10">
      <c r="A4286" s="7">
        <v>2</v>
      </c>
      <c r="B4286" s="8" t="s">
        <v>5267</v>
      </c>
      <c r="C4286" s="8" t="s">
        <v>4566</v>
      </c>
      <c r="D4286" s="7">
        <v>1</v>
      </c>
      <c r="E4286" s="7">
        <v>10</v>
      </c>
      <c r="F4286" s="7">
        <v>1</v>
      </c>
      <c r="G4286" s="8" t="s">
        <v>4371</v>
      </c>
      <c r="H4286" s="8" t="s">
        <v>4372</v>
      </c>
      <c r="I4286" s="7" t="str">
        <f>_xlfn.CONCAT(Paper_Reference[[#This Row],[Lvl]:[Paper Description]])</f>
        <v>2NG49S-6053SD5200JETT BLACK   60 X 1441101100DS064-6200BLACK</v>
      </c>
      <c r="J4286" s="7">
        <f>COUNTIF(Paper_Reference[Duplicate Key],Paper_Reference[[#This Row],[Duplicate Key]])</f>
        <v>1</v>
      </c>
    </row>
    <row r="4287" spans="1:10">
      <c r="A4287" s="7">
        <v>2</v>
      </c>
      <c r="B4287" s="8" t="s">
        <v>5268</v>
      </c>
      <c r="C4287" s="8" t="s">
        <v>4567</v>
      </c>
      <c r="D4287" s="7">
        <v>1</v>
      </c>
      <c r="E4287" s="7">
        <v>10</v>
      </c>
      <c r="F4287" s="7">
        <v>1</v>
      </c>
      <c r="G4287" s="8" t="s">
        <v>4371</v>
      </c>
      <c r="H4287" s="8" t="s">
        <v>4372</v>
      </c>
      <c r="I4287" s="7" t="str">
        <f>_xlfn.CONCAT(Paper_Reference[[#This Row],[Lvl]:[Paper Description]])</f>
        <v>2NG49S-6053SM5200JETT BLACK 60X1441101100DS064-6200BLACK</v>
      </c>
      <c r="J4287" s="7">
        <f>COUNTIF(Paper_Reference[Duplicate Key],Paper_Reference[[#This Row],[Duplicate Key]])</f>
        <v>1</v>
      </c>
    </row>
    <row r="4288" spans="1:10">
      <c r="A4288" s="7">
        <v>2</v>
      </c>
      <c r="B4288" s="8" t="s">
        <v>5269</v>
      </c>
      <c r="C4288" s="8" t="s">
        <v>4545</v>
      </c>
      <c r="D4288" s="7">
        <v>1</v>
      </c>
      <c r="E4288" s="7">
        <v>10</v>
      </c>
      <c r="F4288" s="7">
        <v>1</v>
      </c>
      <c r="G4288" s="8" t="s">
        <v>4371</v>
      </c>
      <c r="H4288" s="8" t="s">
        <v>4372</v>
      </c>
      <c r="I4288" s="7" t="str">
        <f>_xlfn.CONCAT(Paper_Reference[[#This Row],[Lvl]:[Paper Description]])</f>
        <v>2NG49S-6053SM5800JETT BLACK  60 X 961101100DS064-6200BLACK</v>
      </c>
      <c r="J4288" s="7">
        <f>COUNTIF(Paper_Reference[Duplicate Key],Paper_Reference[[#This Row],[Duplicate Key]])</f>
        <v>1</v>
      </c>
    </row>
    <row r="4289" spans="1:10">
      <c r="A4289" s="7">
        <v>2</v>
      </c>
      <c r="B4289" s="8" t="s">
        <v>5270</v>
      </c>
      <c r="C4289" s="8" t="s">
        <v>4559</v>
      </c>
      <c r="D4289" s="7">
        <v>1</v>
      </c>
      <c r="E4289" s="7">
        <v>10</v>
      </c>
      <c r="F4289" s="7">
        <v>1</v>
      </c>
      <c r="G4289" s="8" t="s">
        <v>4371</v>
      </c>
      <c r="H4289" s="8" t="s">
        <v>4372</v>
      </c>
      <c r="I4289" s="7" t="str">
        <f>_xlfn.CONCAT(Paper_Reference[[#This Row],[Lvl]:[Paper Description]])</f>
        <v>2NG49S-6053V-5000JETT BLACK 60X1201101100DS064-6200BLACK</v>
      </c>
      <c r="J4289" s="7">
        <f>COUNTIF(Paper_Reference[Duplicate Key],Paper_Reference[[#This Row],[Duplicate Key]])</f>
        <v>1</v>
      </c>
    </row>
    <row r="4290" spans="1:10">
      <c r="A4290" s="7">
        <v>2</v>
      </c>
      <c r="B4290" s="8" t="s">
        <v>5271</v>
      </c>
      <c r="C4290" s="8" t="s">
        <v>4559</v>
      </c>
      <c r="D4290" s="7">
        <v>1</v>
      </c>
      <c r="E4290" s="7">
        <v>10</v>
      </c>
      <c r="F4290" s="7">
        <v>1</v>
      </c>
      <c r="G4290" s="8" t="s">
        <v>4371</v>
      </c>
      <c r="H4290" s="8" t="s">
        <v>4372</v>
      </c>
      <c r="I4290" s="7" t="str">
        <f>_xlfn.CONCAT(Paper_Reference[[#This Row],[Lvl]:[Paper Description]])</f>
        <v>2NG49S-6053V-5001JETT BLACK 60X1201101100DS064-6200BLACK</v>
      </c>
      <c r="J4290" s="7">
        <f>COUNTIF(Paper_Reference[Duplicate Key],Paper_Reference[[#This Row],[Duplicate Key]])</f>
        <v>1</v>
      </c>
    </row>
    <row r="4291" spans="1:10">
      <c r="A4291" s="7">
        <v>2</v>
      </c>
      <c r="B4291" s="8" t="s">
        <v>5272</v>
      </c>
      <c r="C4291" s="8" t="s">
        <v>4550</v>
      </c>
      <c r="D4291" s="7">
        <v>1</v>
      </c>
      <c r="E4291" s="7">
        <v>10</v>
      </c>
      <c r="F4291" s="7">
        <v>1</v>
      </c>
      <c r="G4291" s="8" t="s">
        <v>4371</v>
      </c>
      <c r="H4291" s="8" t="s">
        <v>4372</v>
      </c>
      <c r="I4291" s="7" t="str">
        <f>_xlfn.CONCAT(Paper_Reference[[#This Row],[Lvl]:[Paper Description]])</f>
        <v>2NG49S-6053V-5200Jett Black  60 x 1441101100DS064-6200BLACK</v>
      </c>
      <c r="J4291" s="7">
        <f>COUNTIF(Paper_Reference[Duplicate Key],Paper_Reference[[#This Row],[Duplicate Key]])</f>
        <v>1</v>
      </c>
    </row>
    <row r="4292" spans="1:10">
      <c r="A4292" s="7">
        <v>2</v>
      </c>
      <c r="B4292" s="8" t="s">
        <v>5273</v>
      </c>
      <c r="C4292" s="8" t="s">
        <v>4559</v>
      </c>
      <c r="D4292" s="7">
        <v>1</v>
      </c>
      <c r="E4292" s="7">
        <v>10</v>
      </c>
      <c r="F4292" s="7">
        <v>1</v>
      </c>
      <c r="G4292" s="8" t="s">
        <v>4371</v>
      </c>
      <c r="H4292" s="8" t="s">
        <v>4372</v>
      </c>
      <c r="I4292" s="7" t="str">
        <f>_xlfn.CONCAT(Paper_Reference[[#This Row],[Lvl]:[Paper Description]])</f>
        <v>2NG49S-6053VE5000JETT BLACK 60X1201101100DS064-6200BLACK</v>
      </c>
      <c r="J4292" s="7">
        <f>COUNTIF(Paper_Reference[Duplicate Key],Paper_Reference[[#This Row],[Duplicate Key]])</f>
        <v>1</v>
      </c>
    </row>
    <row r="4293" spans="1:10">
      <c r="A4293" s="7">
        <v>2</v>
      </c>
      <c r="B4293" s="8" t="s">
        <v>5274</v>
      </c>
      <c r="C4293" s="8" t="s">
        <v>4559</v>
      </c>
      <c r="D4293" s="7">
        <v>1</v>
      </c>
      <c r="E4293" s="7">
        <v>10</v>
      </c>
      <c r="F4293" s="7">
        <v>1</v>
      </c>
      <c r="G4293" s="8" t="s">
        <v>4371</v>
      </c>
      <c r="H4293" s="8" t="s">
        <v>4372</v>
      </c>
      <c r="I4293" s="7" t="str">
        <f>_xlfn.CONCAT(Paper_Reference[[#This Row],[Lvl]:[Paper Description]])</f>
        <v>2NG49S-6053VE5001JETT BLACK 60X1201101100DS064-6200BLACK</v>
      </c>
      <c r="J4293" s="7">
        <f>COUNTIF(Paper_Reference[Duplicate Key],Paper_Reference[[#This Row],[Duplicate Key]])</f>
        <v>1</v>
      </c>
    </row>
    <row r="4294" spans="1:10">
      <c r="A4294" s="7">
        <v>2</v>
      </c>
      <c r="B4294" s="8" t="s">
        <v>5275</v>
      </c>
      <c r="C4294" s="8" t="s">
        <v>4544</v>
      </c>
      <c r="D4294" s="7">
        <v>1</v>
      </c>
      <c r="E4294" s="7">
        <v>10</v>
      </c>
      <c r="F4294" s="7">
        <v>1</v>
      </c>
      <c r="G4294" s="8" t="s">
        <v>4371</v>
      </c>
      <c r="H4294" s="8" t="s">
        <v>4372</v>
      </c>
      <c r="I4294" s="7" t="str">
        <f>_xlfn.CONCAT(Paper_Reference[[#This Row],[Lvl]:[Paper Description]])</f>
        <v>2NG49S-6053VE5200JETT BLACK  60 X 1441101100DS064-6200BLACK</v>
      </c>
      <c r="J4294" s="7">
        <f>COUNTIF(Paper_Reference[Duplicate Key],Paper_Reference[[#This Row],[Duplicate Key]])</f>
        <v>1</v>
      </c>
    </row>
    <row r="4295" spans="1:10">
      <c r="A4295" s="7">
        <v>2</v>
      </c>
      <c r="B4295" s="8" t="s">
        <v>5276</v>
      </c>
      <c r="C4295" s="8" t="s">
        <v>4527</v>
      </c>
      <c r="D4295" s="7">
        <v>1</v>
      </c>
      <c r="E4295" s="7">
        <v>10</v>
      </c>
      <c r="F4295" s="7">
        <v>1</v>
      </c>
      <c r="G4295" s="8" t="s">
        <v>4371</v>
      </c>
      <c r="H4295" s="8" t="s">
        <v>4372</v>
      </c>
      <c r="I4295" s="7" t="str">
        <f>_xlfn.CONCAT(Paper_Reference[[#This Row],[Lvl]:[Paper Description]])</f>
        <v>2NG49S-6053WE5200JETT BLACK 60 X 1441101100DS064-6200BLACK</v>
      </c>
      <c r="J4295" s="7">
        <f>COUNTIF(Paper_Reference[Duplicate Key],Paper_Reference[[#This Row],[Duplicate Key]])</f>
        <v>1</v>
      </c>
    </row>
    <row r="4296" spans="1:10">
      <c r="A4296" s="7">
        <v>2</v>
      </c>
      <c r="B4296" s="8" t="s">
        <v>5277</v>
      </c>
      <c r="C4296" s="8" t="s">
        <v>4568</v>
      </c>
      <c r="D4296" s="7">
        <v>1</v>
      </c>
      <c r="E4296" s="7">
        <v>10</v>
      </c>
      <c r="F4296" s="7">
        <v>0.5</v>
      </c>
      <c r="G4296" s="8" t="s">
        <v>4371</v>
      </c>
      <c r="H4296" s="8" t="s">
        <v>4372</v>
      </c>
      <c r="I4296" s="7" t="str">
        <f>_xlfn.CONCAT(Paper_Reference[[#This Row],[Lvl]:[Paper Description]])</f>
        <v>2NG49S-6053Z-0200JETT BLACK 30 x 1441100.5100DS064-6200BLACK</v>
      </c>
      <c r="J4296" s="7">
        <f>COUNTIF(Paper_Reference[Duplicate Key],Paper_Reference[[#This Row],[Duplicate Key]])</f>
        <v>1</v>
      </c>
    </row>
    <row r="4297" spans="1:10">
      <c r="A4297" s="7">
        <v>2</v>
      </c>
      <c r="B4297" s="8" t="s">
        <v>5278</v>
      </c>
      <c r="C4297" s="8" t="s">
        <v>4565</v>
      </c>
      <c r="D4297" s="7">
        <v>1</v>
      </c>
      <c r="E4297" s="7">
        <v>10</v>
      </c>
      <c r="F4297" s="7">
        <v>1</v>
      </c>
      <c r="G4297" s="8" t="s">
        <v>4371</v>
      </c>
      <c r="H4297" s="8" t="s">
        <v>4372</v>
      </c>
      <c r="I4297" s="7" t="str">
        <f>_xlfn.CONCAT(Paper_Reference[[#This Row],[Lvl]:[Paper Description]])</f>
        <v>2NG49S-6053Z-5200JETT BLACK  60 x 1441101100DS064-6200BLACK</v>
      </c>
      <c r="J4297" s="7">
        <f>COUNTIF(Paper_Reference[Duplicate Key],Paper_Reference[[#This Row],[Duplicate Key]])</f>
        <v>1</v>
      </c>
    </row>
    <row r="4298" spans="1:10">
      <c r="A4298" s="7">
        <v>2</v>
      </c>
      <c r="B4298" s="8" t="s">
        <v>5279</v>
      </c>
      <c r="C4298" s="8" t="s">
        <v>4569</v>
      </c>
      <c r="D4298" s="7">
        <v>1</v>
      </c>
      <c r="E4298" s="7">
        <v>10</v>
      </c>
      <c r="F4298" s="7">
        <v>1</v>
      </c>
      <c r="G4298" s="8" t="s">
        <v>4371</v>
      </c>
      <c r="H4298" s="8" t="s">
        <v>4372</v>
      </c>
      <c r="I4298" s="7" t="str">
        <f>_xlfn.CONCAT(Paper_Reference[[#This Row],[Lvl]:[Paper Description]])</f>
        <v>2NG49S-6053Z-5201JETT BLACK PC 60X1441101100DS064-6200BLACK</v>
      </c>
      <c r="J4298" s="7">
        <f>COUNTIF(Paper_Reference[Duplicate Key],Paper_Reference[[#This Row],[Duplicate Key]])</f>
        <v>1</v>
      </c>
    </row>
    <row r="4299" spans="1:10">
      <c r="A4299" s="7">
        <v>2</v>
      </c>
      <c r="B4299" s="8" t="s">
        <v>5280</v>
      </c>
      <c r="C4299" s="8" t="s">
        <v>4551</v>
      </c>
      <c r="D4299" s="7">
        <v>1</v>
      </c>
      <c r="E4299" s="7">
        <v>10</v>
      </c>
      <c r="F4299" s="7">
        <v>1</v>
      </c>
      <c r="G4299" s="8" t="s">
        <v>4371</v>
      </c>
      <c r="H4299" s="8" t="s">
        <v>4372</v>
      </c>
      <c r="I4299" s="7" t="str">
        <f>_xlfn.CONCAT(Paper_Reference[[#This Row],[Lvl]:[Paper Description]])</f>
        <v>2NG49S-6053Z-5800Jett Black  60 x 961101100DS064-6200BLACK</v>
      </c>
      <c r="J4299" s="7">
        <f>COUNTIF(Paper_Reference[Duplicate Key],Paper_Reference[[#This Row],[Duplicate Key]])</f>
        <v>1</v>
      </c>
    </row>
    <row r="4300" spans="1:10">
      <c r="A4300" s="7">
        <v>2</v>
      </c>
      <c r="B4300" s="8" t="s">
        <v>716</v>
      </c>
      <c r="C4300" s="8" t="s">
        <v>658</v>
      </c>
      <c r="D4300" s="7">
        <v>1</v>
      </c>
      <c r="E4300" s="7">
        <v>10</v>
      </c>
      <c r="F4300" s="7">
        <v>1</v>
      </c>
      <c r="G4300" s="8" t="s">
        <v>656</v>
      </c>
      <c r="H4300" s="8" t="s">
        <v>657</v>
      </c>
      <c r="I4300" s="7" t="str">
        <f>_xlfn.CONCAT(Paper_Reference[[#This Row],[Lvl]:[Paper Description]])</f>
        <v>2NG62HA0010BPVYM0AMF UV SPL PINE  43.5 X 1441101110HA009-4300AMF BUTCHER BLOCK</v>
      </c>
      <c r="J4300" s="7">
        <f>COUNTIF(Paper_Reference[Duplicate Key],Paper_Reference[[#This Row],[Duplicate Key]])</f>
        <v>1</v>
      </c>
    </row>
    <row r="4301" spans="1:10">
      <c r="A4301" s="7">
        <v>2</v>
      </c>
      <c r="B4301" s="8" t="s">
        <v>717</v>
      </c>
      <c r="C4301" s="8" t="s">
        <v>659</v>
      </c>
      <c r="D4301" s="7">
        <v>1</v>
      </c>
      <c r="E4301" s="7">
        <v>10</v>
      </c>
      <c r="F4301" s="7">
        <v>1</v>
      </c>
      <c r="G4301" s="8" t="s">
        <v>656</v>
      </c>
      <c r="H4301" s="8" t="s">
        <v>657</v>
      </c>
      <c r="I4301" s="7" t="str">
        <f>_xlfn.CONCAT(Paper_Reference[[#This Row],[Lvl]:[Paper Description]])</f>
        <v>2NG62HA0010PTVYM0UV DUCK PIN APPR-077 3/8" 43.51101110HA009-4300AMF BUTCHER BLOCK</v>
      </c>
      <c r="J4301" s="7">
        <f>COUNTIF(Paper_Reference[Duplicate Key],Paper_Reference[[#This Row],[Duplicate Key]])</f>
        <v>1</v>
      </c>
    </row>
    <row r="4302" spans="1:10">
      <c r="A4302" s="7">
        <v>2</v>
      </c>
      <c r="B4302" s="8" t="s">
        <v>718</v>
      </c>
      <c r="C4302" s="8" t="s">
        <v>660</v>
      </c>
      <c r="D4302" s="7">
        <v>1</v>
      </c>
      <c r="E4302" s="7">
        <v>10</v>
      </c>
      <c r="F4302" s="7">
        <v>1</v>
      </c>
      <c r="G4302" s="8" t="s">
        <v>656</v>
      </c>
      <c r="H4302" s="8" t="s">
        <v>657</v>
      </c>
      <c r="I4302" s="7" t="str">
        <f>_xlfn.CONCAT(Paper_Reference[[#This Row],[Lvl]:[Paper Description]])</f>
        <v>2NG62HA0010SBVYM0AMF UV PINE  43.5 X 1441101110HA009-4300AMF BUTCHER BLOCK</v>
      </c>
      <c r="J4302" s="7">
        <f>COUNTIF(Paper_Reference[Duplicate Key],Paper_Reference[[#This Row],[Duplicate Key]])</f>
        <v>1</v>
      </c>
    </row>
    <row r="4303" spans="1:10">
      <c r="A4303" s="7">
        <v>3</v>
      </c>
      <c r="B4303" s="8" t="s">
        <v>719</v>
      </c>
      <c r="C4303" s="8" t="s">
        <v>661</v>
      </c>
      <c r="D4303" s="7">
        <v>1</v>
      </c>
      <c r="E4303" s="7">
        <v>10</v>
      </c>
      <c r="F4303" s="7">
        <v>1</v>
      </c>
      <c r="G4303" s="8" t="s">
        <v>656</v>
      </c>
      <c r="H4303" s="8" t="s">
        <v>657</v>
      </c>
      <c r="I4303" s="7" t="str">
        <f>_xlfn.CONCAT(Paper_Reference[[#This Row],[Lvl]:[Paper Description]])</f>
        <v>3NG62HA0011BPVYM0AMF UV SPL HEAD 43.5 X 1441101110HA009-4300AMF BUTCHER BLOCK</v>
      </c>
      <c r="J4303" s="7">
        <f>COUNTIF(Paper_Reference[Duplicate Key],Paper_Reference[[#This Row],[Duplicate Key]])</f>
        <v>1</v>
      </c>
    </row>
    <row r="4304" spans="1:10">
      <c r="A4304" s="7">
        <v>3</v>
      </c>
      <c r="B4304" s="8" t="s">
        <v>720</v>
      </c>
      <c r="C4304" s="8" t="s">
        <v>662</v>
      </c>
      <c r="D4304" s="7">
        <v>1</v>
      </c>
      <c r="E4304" s="7">
        <v>10</v>
      </c>
      <c r="F4304" s="7">
        <v>1</v>
      </c>
      <c r="G4304" s="8" t="s">
        <v>656</v>
      </c>
      <c r="H4304" s="8" t="s">
        <v>657</v>
      </c>
      <c r="I4304" s="7" t="str">
        <f>_xlfn.CONCAT(Paper_Reference[[#This Row],[Lvl]:[Paper Description]])</f>
        <v>3NG62HA0011SBVYM0AMF UV HEAD 43.5 X 1441101110HA009-4300AMF BUTCHER BLOCK</v>
      </c>
      <c r="J4304" s="7">
        <f>COUNTIF(Paper_Reference[Duplicate Key],Paper_Reference[[#This Row],[Duplicate Key]])</f>
        <v>1</v>
      </c>
    </row>
    <row r="4305" spans="1:10">
      <c r="A4305" s="7">
        <v>3</v>
      </c>
      <c r="B4305" s="8" t="s">
        <v>721</v>
      </c>
      <c r="C4305" s="8" t="s">
        <v>663</v>
      </c>
      <c r="D4305" s="7">
        <v>1</v>
      </c>
      <c r="E4305" s="7">
        <v>10</v>
      </c>
      <c r="F4305" s="7">
        <v>1</v>
      </c>
      <c r="G4305" s="8" t="s">
        <v>656</v>
      </c>
      <c r="H4305" s="8" t="s">
        <v>657</v>
      </c>
      <c r="I4305" s="7" t="str">
        <f>_xlfn.CONCAT(Paper_Reference[[#This Row],[Lvl]:[Paper Description]])</f>
        <v>3NG62HA0012BPVYM0AMF UV SPL ARROW 43.5 X 1441101110HA009-4300AMF BUTCHER BLOCK</v>
      </c>
      <c r="J4305" s="7">
        <f>COUNTIF(Paper_Reference[Duplicate Key],Paper_Reference[[#This Row],[Duplicate Key]])</f>
        <v>1</v>
      </c>
    </row>
    <row r="4306" spans="1:10">
      <c r="A4306" s="7">
        <v>3</v>
      </c>
      <c r="B4306" s="8" t="s">
        <v>722</v>
      </c>
      <c r="C4306" s="8" t="s">
        <v>664</v>
      </c>
      <c r="D4306" s="7">
        <v>1</v>
      </c>
      <c r="E4306" s="7">
        <v>10</v>
      </c>
      <c r="F4306" s="7">
        <v>1</v>
      </c>
      <c r="G4306" s="8" t="s">
        <v>656</v>
      </c>
      <c r="H4306" s="8" t="s">
        <v>657</v>
      </c>
      <c r="I4306" s="7" t="str">
        <f>_xlfn.CONCAT(Paper_Reference[[#This Row],[Lvl]:[Paper Description]])</f>
        <v>3NG62HA0012SBVYM0AMF UV ARROW 43.5 X 1441101110HA009-4300AMF BUTCHER BLOCK</v>
      </c>
      <c r="J4306" s="7">
        <f>COUNTIF(Paper_Reference[Duplicate Key],Paper_Reference[[#This Row],[Duplicate Key]])</f>
        <v>1</v>
      </c>
    </row>
    <row r="4307" spans="1:10">
      <c r="A4307" s="7">
        <v>3</v>
      </c>
      <c r="B4307" s="8" t="s">
        <v>430</v>
      </c>
      <c r="C4307" s="8" t="s">
        <v>205</v>
      </c>
      <c r="D4307" s="7">
        <v>1</v>
      </c>
      <c r="E4307" s="7">
        <v>10</v>
      </c>
      <c r="F4307" s="7">
        <v>1</v>
      </c>
      <c r="G4307" s="8" t="s">
        <v>213</v>
      </c>
      <c r="H4307" s="8" t="s">
        <v>420</v>
      </c>
      <c r="I4307" s="7" t="str">
        <f>_xlfn.CONCAT(Paper_Reference[[#This Row],[Lvl]:[Paper Description]])</f>
        <v>3NG62HA0013PTYBF0AMF UV L/A  R/E 61 X 143 3/41101110WM741-6200AMF MAPLE R/E</v>
      </c>
      <c r="J4307" s="7">
        <f>COUNTIF(Paper_Reference[Duplicate Key],Paper_Reference[[#This Row],[Duplicate Key]])</f>
        <v>1</v>
      </c>
    </row>
    <row r="4308" spans="1:10">
      <c r="A4308" s="7">
        <v>3</v>
      </c>
      <c r="B4308" s="8" t="s">
        <v>443</v>
      </c>
      <c r="C4308" s="8" t="s">
        <v>222</v>
      </c>
      <c r="D4308" s="7">
        <v>1</v>
      </c>
      <c r="E4308" s="7">
        <v>10</v>
      </c>
      <c r="F4308" s="7">
        <v>1</v>
      </c>
      <c r="G4308" s="8" t="s">
        <v>442</v>
      </c>
      <c r="H4308" s="8" t="s">
        <v>421</v>
      </c>
      <c r="I4308" s="7" t="str">
        <f>_xlfn.CONCAT(Paper_Reference[[#This Row],[Lvl]:[Paper Description]])</f>
        <v>3NG62HA0014PTYBF0AMF UV L/A  L/O  61 X 143 3/41101110WM742-6200AMF MAPLE L/O</v>
      </c>
      <c r="J4308" s="7">
        <f>COUNTIF(Paper_Reference[Duplicate Key],Paper_Reference[[#This Row],[Duplicate Key]])</f>
        <v>1</v>
      </c>
    </row>
    <row r="4309" spans="1:10">
      <c r="A4309" s="7">
        <v>3</v>
      </c>
      <c r="B4309" s="8" t="s">
        <v>433</v>
      </c>
      <c r="C4309" s="8" t="s">
        <v>206</v>
      </c>
      <c r="D4309" s="7">
        <v>1</v>
      </c>
      <c r="E4309" s="7">
        <v>10</v>
      </c>
      <c r="F4309" s="7">
        <v>1</v>
      </c>
      <c r="G4309" s="8" t="s">
        <v>213</v>
      </c>
      <c r="H4309" s="8" t="s">
        <v>420</v>
      </c>
      <c r="I4309" s="7" t="str">
        <f>_xlfn.CONCAT(Paper_Reference[[#This Row],[Lvl]:[Paper Description]])</f>
        <v>3NG62HA0015PTYBF0AMF UV S/A  R/E  61 X 143 3/41101110WM741-6200AMF MAPLE R/E</v>
      </c>
      <c r="J4309" s="7">
        <f>COUNTIF(Paper_Reference[Duplicate Key],Paper_Reference[[#This Row],[Duplicate Key]])</f>
        <v>1</v>
      </c>
    </row>
    <row r="4310" spans="1:10">
      <c r="A4310" s="7">
        <v>3</v>
      </c>
      <c r="B4310" s="8" t="s">
        <v>444</v>
      </c>
      <c r="C4310" s="8" t="s">
        <v>223</v>
      </c>
      <c r="D4310" s="7">
        <v>1</v>
      </c>
      <c r="E4310" s="7">
        <v>10</v>
      </c>
      <c r="F4310" s="7">
        <v>1</v>
      </c>
      <c r="G4310" s="8" t="s">
        <v>442</v>
      </c>
      <c r="H4310" s="8" t="s">
        <v>421</v>
      </c>
      <c r="I4310" s="7" t="str">
        <f>_xlfn.CONCAT(Paper_Reference[[#This Row],[Lvl]:[Paper Description]])</f>
        <v>3NG62HA0016PTYBF0AMF UV S/A  L/O  61 X 143 3/41101110WM742-6200AMF MAPLE L/O</v>
      </c>
      <c r="J4310" s="7">
        <f>COUNTIF(Paper_Reference[Duplicate Key],Paper_Reference[[#This Row],[Duplicate Key]])</f>
        <v>1</v>
      </c>
    </row>
    <row r="4311" spans="1:10">
      <c r="A4311" s="7">
        <v>3</v>
      </c>
      <c r="B4311" s="8" t="s">
        <v>723</v>
      </c>
      <c r="C4311" s="8" t="s">
        <v>665</v>
      </c>
      <c r="D4311" s="7">
        <v>1</v>
      </c>
      <c r="E4311" s="7">
        <v>10</v>
      </c>
      <c r="F4311" s="7">
        <v>1</v>
      </c>
      <c r="G4311" s="8" t="s">
        <v>656</v>
      </c>
      <c r="H4311" s="8" t="s">
        <v>657</v>
      </c>
      <c r="I4311" s="7" t="str">
        <f>_xlfn.CONCAT(Paper_Reference[[#This Row],[Lvl]:[Paper Description]])</f>
        <v>3NG62HA0031SBVYM0AMF UV CG FOUL LINE 43.5X1441101110HA009-4300AMF BUTCHER BLOCK</v>
      </c>
      <c r="J4311" s="7">
        <f>COUNTIF(Paper_Reference[Duplicate Key],Paper_Reference[[#This Row],[Duplicate Key]])</f>
        <v>1</v>
      </c>
    </row>
    <row r="4312" spans="1:10">
      <c r="A4312" s="7">
        <v>3</v>
      </c>
      <c r="B4312" s="8" t="s">
        <v>724</v>
      </c>
      <c r="C4312" s="8" t="s">
        <v>666</v>
      </c>
      <c r="D4312" s="7">
        <v>1</v>
      </c>
      <c r="E4312" s="7">
        <v>10</v>
      </c>
      <c r="F4312" s="7">
        <v>1</v>
      </c>
      <c r="G4312" s="8" t="s">
        <v>656</v>
      </c>
      <c r="H4312" s="8" t="s">
        <v>657</v>
      </c>
      <c r="I4312" s="7" t="str">
        <f>_xlfn.CONCAT(Paper_Reference[[#This Row],[Lvl]:[Paper Description]])</f>
        <v>3NG62HA0034BPVYM0AMF UV SPL CG HEAD 43.5 X 1441101110HA009-4300AMF BUTCHER BLOCK</v>
      </c>
      <c r="J4312" s="7">
        <f>COUNTIF(Paper_Reference[Duplicate Key],Paper_Reference[[#This Row],[Duplicate Key]])</f>
        <v>1</v>
      </c>
    </row>
    <row r="4313" spans="1:10">
      <c r="A4313" s="7">
        <v>3</v>
      </c>
      <c r="B4313" s="8" t="s">
        <v>725</v>
      </c>
      <c r="C4313" s="8" t="s">
        <v>667</v>
      </c>
      <c r="D4313" s="7">
        <v>1</v>
      </c>
      <c r="E4313" s="7">
        <v>10</v>
      </c>
      <c r="F4313" s="7">
        <v>1</v>
      </c>
      <c r="G4313" s="8" t="s">
        <v>656</v>
      </c>
      <c r="H4313" s="8" t="s">
        <v>657</v>
      </c>
      <c r="I4313" s="7" t="str">
        <f>_xlfn.CONCAT(Paper_Reference[[#This Row],[Lvl]:[Paper Description]])</f>
        <v>3NG62HA0034SBVYM0AMF UV CG HEAD 43.5 X 1441101110HA009-4300AMF BUTCHER BLOCK</v>
      </c>
      <c r="J4313" s="7">
        <f>COUNTIF(Paper_Reference[Duplicate Key],Paper_Reference[[#This Row],[Duplicate Key]])</f>
        <v>1</v>
      </c>
    </row>
    <row r="4314" spans="1:10">
      <c r="A4314" s="7">
        <v>2</v>
      </c>
      <c r="B4314" s="8" t="s">
        <v>434</v>
      </c>
      <c r="C4314" s="8" t="s">
        <v>207</v>
      </c>
      <c r="D4314" s="7">
        <v>1</v>
      </c>
      <c r="E4314" s="7">
        <v>10</v>
      </c>
      <c r="F4314" s="7">
        <v>1</v>
      </c>
      <c r="G4314" s="8" t="s">
        <v>213</v>
      </c>
      <c r="H4314" s="8" t="s">
        <v>420</v>
      </c>
      <c r="I4314" s="7" t="str">
        <f>_xlfn.CONCAT(Paper_Reference[[#This Row],[Lvl]:[Paper Description]])</f>
        <v>2NG62HA0067PTYBF0AMF UV P/A  R/E  61 X 143 3/41101110WM741-6200AMF MAPLE R/E</v>
      </c>
      <c r="J4314" s="7">
        <f>COUNTIF(Paper_Reference[Duplicate Key],Paper_Reference[[#This Row],[Duplicate Key]])</f>
        <v>1</v>
      </c>
    </row>
    <row r="4315" spans="1:10">
      <c r="A4315" s="7">
        <v>3</v>
      </c>
      <c r="B4315" s="8" t="s">
        <v>726</v>
      </c>
      <c r="C4315" s="8" t="s">
        <v>668</v>
      </c>
      <c r="D4315" s="7">
        <v>1</v>
      </c>
      <c r="E4315" s="7">
        <v>10</v>
      </c>
      <c r="F4315" s="7">
        <v>1</v>
      </c>
      <c r="G4315" s="8" t="s">
        <v>656</v>
      </c>
      <c r="H4315" s="8" t="s">
        <v>657</v>
      </c>
      <c r="I4315" s="7" t="str">
        <f>_xlfn.CONCAT(Paper_Reference[[#This Row],[Lvl]:[Paper Description]])</f>
        <v>3NG62HA0120SBVYM0bad part.  Not a valid part. u1101110HA009-4300AMF BUTCHER BLOCK</v>
      </c>
      <c r="J4315" s="7">
        <f>COUNTIF(Paper_Reference[Duplicate Key],Paper_Reference[[#This Row],[Duplicate Key]])</f>
        <v>1</v>
      </c>
    </row>
    <row r="4316" spans="1:10">
      <c r="A4316" s="7">
        <v>3</v>
      </c>
      <c r="B4316" s="8" t="s">
        <v>727</v>
      </c>
      <c r="C4316" s="8" t="s">
        <v>669</v>
      </c>
      <c r="D4316" s="7">
        <v>1</v>
      </c>
      <c r="E4316" s="7">
        <v>10</v>
      </c>
      <c r="F4316" s="7">
        <v>1</v>
      </c>
      <c r="G4316" s="8" t="s">
        <v>656</v>
      </c>
      <c r="H4316" s="8" t="s">
        <v>657</v>
      </c>
      <c r="I4316" s="7" t="str">
        <f>_xlfn.CONCAT(Paper_Reference[[#This Row],[Lvl]:[Paper Description]])</f>
        <v>3NG62HA0122BPVYM0AMF UV SPL FOUL LINE 43.5 X 141101110HA009-4300AMF BUTCHER BLOCK</v>
      </c>
      <c r="J4316" s="7">
        <f>COUNTIF(Paper_Reference[Duplicate Key],Paper_Reference[[#This Row],[Duplicate Key]])</f>
        <v>1</v>
      </c>
    </row>
    <row r="4317" spans="1:10">
      <c r="A4317" s="7">
        <v>3</v>
      </c>
      <c r="B4317" s="8" t="s">
        <v>728</v>
      </c>
      <c r="C4317" s="8" t="s">
        <v>670</v>
      </c>
      <c r="D4317" s="7">
        <v>1</v>
      </c>
      <c r="E4317" s="7">
        <v>10</v>
      </c>
      <c r="F4317" s="7">
        <v>1</v>
      </c>
      <c r="G4317" s="8" t="s">
        <v>656</v>
      </c>
      <c r="H4317" s="8" t="s">
        <v>657</v>
      </c>
      <c r="I4317" s="7" t="str">
        <f>_xlfn.CONCAT(Paper_Reference[[#This Row],[Lvl]:[Paper Description]])</f>
        <v>3NG62HA0122SBVYM0AMF UV FOUL LINE 43.5 X 1441101110HA009-4300AMF BUTCHER BLOCK</v>
      </c>
      <c r="J4317" s="7">
        <f>COUNTIF(Paper_Reference[Duplicate Key],Paper_Reference[[#This Row],[Duplicate Key]])</f>
        <v>1</v>
      </c>
    </row>
    <row r="4318" spans="1:10">
      <c r="A4318" s="7">
        <v>3</v>
      </c>
      <c r="B4318" s="8" t="s">
        <v>729</v>
      </c>
      <c r="C4318" s="8" t="s">
        <v>671</v>
      </c>
      <c r="D4318" s="7">
        <v>1</v>
      </c>
      <c r="E4318" s="7">
        <v>10</v>
      </c>
      <c r="F4318" s="7">
        <v>1</v>
      </c>
      <c r="G4318" s="8" t="s">
        <v>656</v>
      </c>
      <c r="H4318" s="8" t="s">
        <v>657</v>
      </c>
      <c r="I4318" s="7" t="str">
        <f>_xlfn.CONCAT(Paper_Reference[[#This Row],[Lvl]:[Paper Description]])</f>
        <v>3NG62HA0123BPVYM0UV DUCK PIN FOUL/ARROW 43.5X141101110HA009-4300AMF BUTCHER BLOCK</v>
      </c>
      <c r="J4318" s="7">
        <f>COUNTIF(Paper_Reference[Duplicate Key],Paper_Reference[[#This Row],[Duplicate Key]])</f>
        <v>1</v>
      </c>
    </row>
    <row r="4319" spans="1:10">
      <c r="A4319" s="7">
        <v>3</v>
      </c>
      <c r="B4319" s="8" t="s">
        <v>730</v>
      </c>
      <c r="C4319" s="8" t="s">
        <v>671</v>
      </c>
      <c r="D4319" s="7">
        <v>1</v>
      </c>
      <c r="E4319" s="7">
        <v>10</v>
      </c>
      <c r="F4319" s="7">
        <v>1</v>
      </c>
      <c r="G4319" s="8" t="s">
        <v>656</v>
      </c>
      <c r="H4319" s="8" t="s">
        <v>657</v>
      </c>
      <c r="I4319" s="7" t="str">
        <f>_xlfn.CONCAT(Paper_Reference[[#This Row],[Lvl]:[Paper Description]])</f>
        <v>3NG62HA0123SBVYM0UV DUCK PIN FOUL/ARROW 43.5X141101110HA009-4300AMF BUTCHER BLOCK</v>
      </c>
      <c r="J4319" s="7">
        <f>COUNTIF(Paper_Reference[Duplicate Key],Paper_Reference[[#This Row],[Duplicate Key]])</f>
        <v>1</v>
      </c>
    </row>
    <row r="4320" spans="1:10">
      <c r="A4320" s="7">
        <v>3</v>
      </c>
      <c r="B4320" s="8" t="s">
        <v>731</v>
      </c>
      <c r="C4320" s="8" t="s">
        <v>672</v>
      </c>
      <c r="D4320" s="7">
        <v>1</v>
      </c>
      <c r="E4320" s="7">
        <v>10</v>
      </c>
      <c r="F4320" s="7">
        <v>1</v>
      </c>
      <c r="G4320" s="8" t="s">
        <v>656</v>
      </c>
      <c r="H4320" s="8" t="s">
        <v>657</v>
      </c>
      <c r="I4320" s="7" t="str">
        <f>_xlfn.CONCAT(Paper_Reference[[#This Row],[Lvl]:[Paper Description]])</f>
        <v>3NG62HA012MSBVYM0AMF UV MISSPRINT FOUL 43.5X1441101110HA009-4300AMF BUTCHER BLOCK</v>
      </c>
      <c r="J4320" s="7">
        <f>COUNTIF(Paper_Reference[Duplicate Key],Paper_Reference[[#This Row],[Duplicate Key]])</f>
        <v>1</v>
      </c>
    </row>
    <row r="4321" spans="1:10">
      <c r="A4321" s="7">
        <v>3</v>
      </c>
      <c r="B4321" s="8" t="s">
        <v>732</v>
      </c>
      <c r="C4321" s="8" t="s">
        <v>673</v>
      </c>
      <c r="D4321" s="7">
        <v>1</v>
      </c>
      <c r="E4321" s="7">
        <v>10</v>
      </c>
      <c r="F4321" s="7">
        <v>1</v>
      </c>
      <c r="G4321" s="8" t="s">
        <v>656</v>
      </c>
      <c r="H4321" s="8" t="s">
        <v>657</v>
      </c>
      <c r="I4321" s="7" t="str">
        <f>_xlfn.CONCAT(Paper_Reference[[#This Row],[Lvl]:[Paper Description]])</f>
        <v>3NG62HA0231BPVYM0AMF UV SPL CG FOUL LINE 43.5X11101110HA009-4300AMF BUTCHER BLOCK</v>
      </c>
      <c r="J4321" s="7">
        <f>COUNTIF(Paper_Reference[Duplicate Key],Paper_Reference[[#This Row],[Duplicate Key]])</f>
        <v>1</v>
      </c>
    </row>
    <row r="4322" spans="1:10">
      <c r="A4322" s="7">
        <v>3</v>
      </c>
      <c r="B4322" s="8" t="s">
        <v>733</v>
      </c>
      <c r="C4322" s="8" t="s">
        <v>665</v>
      </c>
      <c r="D4322" s="7">
        <v>1</v>
      </c>
      <c r="E4322" s="7">
        <v>10</v>
      </c>
      <c r="F4322" s="7">
        <v>1</v>
      </c>
      <c r="G4322" s="8" t="s">
        <v>656</v>
      </c>
      <c r="H4322" s="8" t="s">
        <v>657</v>
      </c>
      <c r="I4322" s="7" t="str">
        <f>_xlfn.CONCAT(Paper_Reference[[#This Row],[Lvl]:[Paper Description]])</f>
        <v>3NG62HA0231SBVYM0AMF UV CG FOUL LINE 43.5X1441101110HA009-4300AMF BUTCHER BLOCK</v>
      </c>
      <c r="J4322" s="7">
        <f>COUNTIF(Paper_Reference[Duplicate Key],Paper_Reference[[#This Row],[Duplicate Key]])</f>
        <v>1</v>
      </c>
    </row>
    <row r="4323" spans="1:10">
      <c r="A4323" s="7">
        <v>2</v>
      </c>
      <c r="B4323" s="8" t="s">
        <v>3667</v>
      </c>
      <c r="C4323" s="8" t="s">
        <v>3281</v>
      </c>
      <c r="D4323" s="7">
        <v>1</v>
      </c>
      <c r="E4323" s="7">
        <v>10</v>
      </c>
      <c r="F4323" s="7">
        <v>1</v>
      </c>
      <c r="G4323" s="8" t="s">
        <v>3230</v>
      </c>
      <c r="H4323" s="8" t="s">
        <v>3231</v>
      </c>
      <c r="I4323" s="7" t="str">
        <f>_xlfn.CONCAT(Paper_Reference[[#This Row],[Lvl]:[Paper Description]])</f>
        <v>2NG63B02440PTVYM0DIG PRECISION WT DUCKPIN APPR1101110SW736-5000PRECISION WHITE 43 X 145</v>
      </c>
      <c r="J4323" s="7">
        <f>COUNTIF(Paper_Reference[Duplicate Key],Paper_Reference[[#This Row],[Duplicate Key]])</f>
        <v>1</v>
      </c>
    </row>
    <row r="4324" spans="1:10">
      <c r="A4324" s="7">
        <v>2</v>
      </c>
      <c r="B4324" s="8" t="s">
        <v>3668</v>
      </c>
      <c r="C4324" s="8" t="s">
        <v>3282</v>
      </c>
      <c r="D4324" s="7">
        <v>1</v>
      </c>
      <c r="E4324" s="7">
        <v>10</v>
      </c>
      <c r="F4324" s="7">
        <v>1</v>
      </c>
      <c r="G4324" s="8" t="s">
        <v>3230</v>
      </c>
      <c r="H4324" s="8" t="s">
        <v>3231</v>
      </c>
      <c r="I4324" s="7" t="str">
        <f>_xlfn.CONCAT(Paper_Reference[[#This Row],[Lvl]:[Paper Description]])</f>
        <v>2NG63B02450BPVYM0DIG PRECISION WT DUCKPIN F/A1101110SW736-5000PRECISION WHITE 43 X 145</v>
      </c>
      <c r="J4324" s="7">
        <f>COUNTIF(Paper_Reference[Duplicate Key],Paper_Reference[[#This Row],[Duplicate Key]])</f>
        <v>1</v>
      </c>
    </row>
    <row r="4325" spans="1:10">
      <c r="A4325" s="7">
        <v>3</v>
      </c>
      <c r="B4325" s="8" t="s">
        <v>807</v>
      </c>
      <c r="C4325" s="8" t="s">
        <v>3283</v>
      </c>
      <c r="D4325" s="7">
        <v>1</v>
      </c>
      <c r="E4325" s="7">
        <v>10</v>
      </c>
      <c r="F4325" s="7">
        <v>1</v>
      </c>
      <c r="G4325" s="8" t="s">
        <v>3230</v>
      </c>
      <c r="H4325" s="8" t="s">
        <v>3231</v>
      </c>
      <c r="I4325" s="7" t="str">
        <f>_xlfn.CONCAT(Paper_Reference[[#This Row],[Lvl]:[Paper Description]])</f>
        <v>3NG63H31937BPVYM0AMF WHITE PINE  43.5 X 1441101110SW736-5000PRECISION WHITE 43 X 145</v>
      </c>
      <c r="J4325" s="7">
        <f>COUNTIF(Paper_Reference[Duplicate Key],Paper_Reference[[#This Row],[Duplicate Key]])</f>
        <v>1</v>
      </c>
    </row>
    <row r="4326" spans="1:10">
      <c r="A4326" s="7">
        <v>2</v>
      </c>
      <c r="B4326" s="8" t="s">
        <v>3669</v>
      </c>
      <c r="C4326" s="8" t="s">
        <v>3284</v>
      </c>
      <c r="D4326" s="7">
        <v>1</v>
      </c>
      <c r="E4326" s="7">
        <v>10</v>
      </c>
      <c r="F4326" s="7">
        <v>1</v>
      </c>
      <c r="G4326" s="8" t="s">
        <v>3230</v>
      </c>
      <c r="H4326" s="8" t="s">
        <v>3231</v>
      </c>
      <c r="I4326" s="7" t="str">
        <f>_xlfn.CONCAT(Paper_Reference[[#This Row],[Lvl]:[Paper Description]])</f>
        <v>2NG63H31937SBVYM0AMF WHITE PINE  43.5X1441101110SW736-5000PRECISION WHITE 43 X 145</v>
      </c>
      <c r="J4326" s="7">
        <f>COUNTIF(Paper_Reference[Duplicate Key],Paper_Reference[[#This Row],[Duplicate Key]])</f>
        <v>1</v>
      </c>
    </row>
    <row r="4327" spans="1:10">
      <c r="A4327" s="7">
        <v>2</v>
      </c>
      <c r="B4327" s="8" t="s">
        <v>3670</v>
      </c>
      <c r="C4327" s="8" t="s">
        <v>3285</v>
      </c>
      <c r="D4327" s="7">
        <v>1</v>
      </c>
      <c r="E4327" s="7">
        <v>10</v>
      </c>
      <c r="F4327" s="7">
        <v>1</v>
      </c>
      <c r="G4327" s="8" t="s">
        <v>3230</v>
      </c>
      <c r="H4327" s="8" t="s">
        <v>3231</v>
      </c>
      <c r="I4327" s="7" t="str">
        <f>_xlfn.CONCAT(Paper_Reference[[#This Row],[Lvl]:[Paper Description]])</f>
        <v>2NG63H31938SBVYM0AMF WHITE HEAD  43.5X1441101110SW736-5000PRECISION WHITE 43 X 145</v>
      </c>
      <c r="J4327" s="7">
        <f>COUNTIF(Paper_Reference[Duplicate Key],Paper_Reference[[#This Row],[Duplicate Key]])</f>
        <v>1</v>
      </c>
    </row>
    <row r="4328" spans="1:10">
      <c r="A4328" s="7">
        <v>2</v>
      </c>
      <c r="B4328" s="8" t="s">
        <v>801</v>
      </c>
      <c r="C4328" s="8" t="s">
        <v>3286</v>
      </c>
      <c r="D4328" s="7">
        <v>1</v>
      </c>
      <c r="E4328" s="7">
        <v>10</v>
      </c>
      <c r="F4328" s="7">
        <v>1</v>
      </c>
      <c r="G4328" s="8" t="s">
        <v>3230</v>
      </c>
      <c r="H4328" s="8" t="s">
        <v>3231</v>
      </c>
      <c r="I4328" s="7" t="str">
        <f>_xlfn.CONCAT(Paper_Reference[[#This Row],[Lvl]:[Paper Description]])</f>
        <v>2NG63H31939BPVYM0AMF WHITE ARROW  43.5 X 1441101110SW736-5000PRECISION WHITE 43 X 145</v>
      </c>
      <c r="J4328" s="7">
        <f>COUNTIF(Paper_Reference[Duplicate Key],Paper_Reference[[#This Row],[Duplicate Key]])</f>
        <v>1</v>
      </c>
    </row>
    <row r="4329" spans="1:10">
      <c r="A4329" s="7">
        <v>3</v>
      </c>
      <c r="B4329" s="8" t="s">
        <v>3671</v>
      </c>
      <c r="C4329" s="8" t="s">
        <v>3287</v>
      </c>
      <c r="D4329" s="7">
        <v>1</v>
      </c>
      <c r="E4329" s="7">
        <v>10</v>
      </c>
      <c r="F4329" s="7">
        <v>1</v>
      </c>
      <c r="G4329" s="8" t="s">
        <v>3230</v>
      </c>
      <c r="H4329" s="8" t="s">
        <v>3231</v>
      </c>
      <c r="I4329" s="7" t="str">
        <f>_xlfn.CONCAT(Paper_Reference[[#This Row],[Lvl]:[Paper Description]])</f>
        <v>3NG63H31939SBVYM0AMF WHITE ARROW  43.5X1441101110SW736-5000PRECISION WHITE 43 X 145</v>
      </c>
      <c r="J4329" s="7">
        <f>COUNTIF(Paper_Reference[Duplicate Key],Paper_Reference[[#This Row],[Duplicate Key]])</f>
        <v>1</v>
      </c>
    </row>
    <row r="4330" spans="1:10">
      <c r="A4330" s="7">
        <v>3</v>
      </c>
      <c r="B4330" s="8" t="s">
        <v>880</v>
      </c>
      <c r="C4330" s="8" t="s">
        <v>3805</v>
      </c>
      <c r="D4330" s="7">
        <v>1</v>
      </c>
      <c r="E4330" s="7">
        <v>10</v>
      </c>
      <c r="F4330" s="7">
        <v>1</v>
      </c>
      <c r="G4330" s="8" t="s">
        <v>3826</v>
      </c>
      <c r="H4330" s="8" t="s">
        <v>3827</v>
      </c>
      <c r="I4330" s="7" t="str">
        <f>_xlfn.CONCAT(Paper_Reference[[#This Row],[Lvl]:[Paper Description]])</f>
        <v>3NG63H31940PTYBF0AMF WT LG APPR  R/E  61X143.751101110SW736-6200PRECISION WHITE 62"</v>
      </c>
      <c r="J4330" s="7">
        <f>COUNTIF(Paper_Reference[Duplicate Key],Paper_Reference[[#This Row],[Duplicate Key]])</f>
        <v>1</v>
      </c>
    </row>
    <row r="4331" spans="1:10">
      <c r="A4331" s="7">
        <v>3</v>
      </c>
      <c r="B4331" s="8" t="s">
        <v>883</v>
      </c>
      <c r="C4331" s="8" t="s">
        <v>3806</v>
      </c>
      <c r="D4331" s="7">
        <v>1</v>
      </c>
      <c r="E4331" s="7">
        <v>10</v>
      </c>
      <c r="F4331" s="7">
        <v>1</v>
      </c>
      <c r="G4331" s="8" t="s">
        <v>3826</v>
      </c>
      <c r="H4331" s="8" t="s">
        <v>3827</v>
      </c>
      <c r="I4331" s="7" t="str">
        <f>_xlfn.CONCAT(Paper_Reference[[#This Row],[Lvl]:[Paper Description]])</f>
        <v>3NG63H31941PTYBF0AMF WT SH APPR  R/E  61X143.751101110SW736-6200PRECISION WHITE 62"</v>
      </c>
      <c r="J4331" s="7">
        <f>COUNTIF(Paper_Reference[Duplicate Key],Paper_Reference[[#This Row],[Duplicate Key]])</f>
        <v>1</v>
      </c>
    </row>
    <row r="4332" spans="1:10">
      <c r="A4332" s="7">
        <v>3</v>
      </c>
      <c r="B4332" s="8" t="s">
        <v>810</v>
      </c>
      <c r="C4332" s="8" t="s">
        <v>3807</v>
      </c>
      <c r="D4332" s="7">
        <v>1</v>
      </c>
      <c r="E4332" s="7">
        <v>10</v>
      </c>
      <c r="F4332" s="7">
        <v>1</v>
      </c>
      <c r="G4332" s="8" t="s">
        <v>3826</v>
      </c>
      <c r="H4332" s="8" t="s">
        <v>3827</v>
      </c>
      <c r="I4332" s="7" t="str">
        <f>_xlfn.CONCAT(Paper_Reference[[#This Row],[Lvl]:[Paper Description]])</f>
        <v>3NG63H31942PTYBF0AMF WT LG APPR  L/O  61X143.751101110SW736-6200PRECISION WHITE 62"</v>
      </c>
      <c r="J4332" s="7">
        <f>COUNTIF(Paper_Reference[Duplicate Key],Paper_Reference[[#This Row],[Duplicate Key]])</f>
        <v>1</v>
      </c>
    </row>
    <row r="4333" spans="1:10">
      <c r="A4333" s="7">
        <v>2</v>
      </c>
      <c r="B4333" s="8" t="s">
        <v>4074</v>
      </c>
      <c r="C4333" s="8" t="s">
        <v>3808</v>
      </c>
      <c r="D4333" s="7">
        <v>1</v>
      </c>
      <c r="E4333" s="7">
        <v>10</v>
      </c>
      <c r="F4333" s="7">
        <v>1</v>
      </c>
      <c r="G4333" s="8" t="s">
        <v>3826</v>
      </c>
      <c r="H4333" s="8" t="s">
        <v>3827</v>
      </c>
      <c r="I4333" s="7" t="str">
        <f>_xlfn.CONCAT(Paper_Reference[[#This Row],[Lvl]:[Paper Description]])</f>
        <v>2NG63H31943PTYBF0AMF WT SH APPR  L/O  61X143.751101110SW736-6200PRECISION WHITE 62"</v>
      </c>
      <c r="J4333" s="7">
        <f>COUNTIF(Paper_Reference[Duplicate Key],Paper_Reference[[#This Row],[Duplicate Key]])</f>
        <v>1</v>
      </c>
    </row>
    <row r="4334" spans="1:10">
      <c r="A4334" s="7">
        <v>2</v>
      </c>
      <c r="B4334" s="8" t="s">
        <v>877</v>
      </c>
      <c r="C4334" s="8" t="s">
        <v>3809</v>
      </c>
      <c r="D4334" s="7">
        <v>1</v>
      </c>
      <c r="E4334" s="7">
        <v>10</v>
      </c>
      <c r="F4334" s="7">
        <v>1</v>
      </c>
      <c r="G4334" s="8" t="s">
        <v>3826</v>
      </c>
      <c r="H4334" s="8" t="s">
        <v>3827</v>
      </c>
      <c r="I4334" s="7" t="str">
        <f>_xlfn.CONCAT(Paper_Reference[[#This Row],[Lvl]:[Paper Description]])</f>
        <v>2NG63H31944PTYBF0AMF WHITE PLAIN FILL  61X143 31101110SW736-6200PRECISION WHITE 62"</v>
      </c>
      <c r="J4334" s="7">
        <f>COUNTIF(Paper_Reference[Duplicate Key],Paper_Reference[[#This Row],[Duplicate Key]])</f>
        <v>1</v>
      </c>
    </row>
    <row r="4335" spans="1:10">
      <c r="A4335" s="7">
        <v>2</v>
      </c>
      <c r="B4335" s="8" t="s">
        <v>3672</v>
      </c>
      <c r="C4335" s="8" t="s">
        <v>3288</v>
      </c>
      <c r="D4335" s="7">
        <v>1</v>
      </c>
      <c r="E4335" s="7">
        <v>10</v>
      </c>
      <c r="F4335" s="7">
        <v>1</v>
      </c>
      <c r="G4335" s="8" t="s">
        <v>3230</v>
      </c>
      <c r="H4335" s="8" t="s">
        <v>3231</v>
      </c>
      <c r="I4335" s="7" t="str">
        <f>_xlfn.CONCAT(Paper_Reference[[#This Row],[Lvl]:[Paper Description]])</f>
        <v>2NG63H31948SBVYM0AMF WHITE CG HEAD  43.5X1441101110SW736-5000PRECISION WHITE 43 X 145</v>
      </c>
      <c r="J4335" s="7">
        <f>COUNTIF(Paper_Reference[Duplicate Key],Paper_Reference[[#This Row],[Duplicate Key]])</f>
        <v>1</v>
      </c>
    </row>
    <row r="4336" spans="1:10">
      <c r="A4336" s="7">
        <v>3</v>
      </c>
      <c r="B4336" s="8" t="s">
        <v>3673</v>
      </c>
      <c r="C4336" s="8" t="s">
        <v>3289</v>
      </c>
      <c r="D4336" s="7">
        <v>1</v>
      </c>
      <c r="E4336" s="7">
        <v>10</v>
      </c>
      <c r="F4336" s="7">
        <v>1</v>
      </c>
      <c r="G4336" s="8" t="s">
        <v>3230</v>
      </c>
      <c r="H4336" s="8" t="s">
        <v>3231</v>
      </c>
      <c r="I4336" s="7" t="str">
        <f>_xlfn.CONCAT(Paper_Reference[[#This Row],[Lvl]:[Paper Description]])</f>
        <v>3NG63H31949BPVYM0AMF WHITE CG HEAD  43.5 X 1441101110SW736-5000PRECISION WHITE 43 X 145</v>
      </c>
      <c r="J4336" s="7">
        <f>COUNTIF(Paper_Reference[Duplicate Key],Paper_Reference[[#This Row],[Duplicate Key]])</f>
        <v>1</v>
      </c>
    </row>
    <row r="4337" spans="1:10">
      <c r="A4337" s="7">
        <v>2</v>
      </c>
      <c r="B4337" s="8" t="s">
        <v>3674</v>
      </c>
      <c r="C4337" s="8" t="s">
        <v>3288</v>
      </c>
      <c r="D4337" s="7">
        <v>1</v>
      </c>
      <c r="E4337" s="7">
        <v>10</v>
      </c>
      <c r="F4337" s="7">
        <v>1</v>
      </c>
      <c r="G4337" s="8" t="s">
        <v>3230</v>
      </c>
      <c r="H4337" s="8" t="s">
        <v>3231</v>
      </c>
      <c r="I4337" s="7" t="str">
        <f>_xlfn.CONCAT(Paper_Reference[[#This Row],[Lvl]:[Paper Description]])</f>
        <v>2NG63H31949SBVYM0AMF WHITE CG HEAD  43.5X1441101110SW736-5000PRECISION WHITE 43 X 145</v>
      </c>
      <c r="J4337" s="7">
        <f>COUNTIF(Paper_Reference[Duplicate Key],Paper_Reference[[#This Row],[Duplicate Key]])</f>
        <v>1</v>
      </c>
    </row>
    <row r="4338" spans="1:10">
      <c r="A4338" s="7">
        <v>2</v>
      </c>
      <c r="B4338" s="8" t="s">
        <v>3675</v>
      </c>
      <c r="C4338" s="8" t="s">
        <v>3289</v>
      </c>
      <c r="D4338" s="7">
        <v>1</v>
      </c>
      <c r="E4338" s="7">
        <v>10</v>
      </c>
      <c r="F4338" s="7">
        <v>1</v>
      </c>
      <c r="G4338" s="8" t="s">
        <v>3230</v>
      </c>
      <c r="H4338" s="8" t="s">
        <v>3231</v>
      </c>
      <c r="I4338" s="7" t="str">
        <f>_xlfn.CONCAT(Paper_Reference[[#This Row],[Lvl]:[Paper Description]])</f>
        <v>2NG63H31950SBVYM0AMF WHITE CG HEAD  43.5 X 1441101110SW736-5000PRECISION WHITE 43 X 145</v>
      </c>
      <c r="J4338" s="7">
        <f>COUNTIF(Paper_Reference[Duplicate Key],Paper_Reference[[#This Row],[Duplicate Key]])</f>
        <v>1</v>
      </c>
    </row>
    <row r="4339" spans="1:10">
      <c r="A4339" s="7">
        <v>2</v>
      </c>
      <c r="B4339" s="8" t="s">
        <v>804</v>
      </c>
      <c r="C4339" s="8" t="s">
        <v>3290</v>
      </c>
      <c r="D4339" s="7">
        <v>1</v>
      </c>
      <c r="E4339" s="7">
        <v>10</v>
      </c>
      <c r="F4339" s="7">
        <v>1</v>
      </c>
      <c r="G4339" s="8" t="s">
        <v>3230</v>
      </c>
      <c r="H4339" s="8" t="s">
        <v>3231</v>
      </c>
      <c r="I4339" s="7" t="str">
        <f>_xlfn.CONCAT(Paper_Reference[[#This Row],[Lvl]:[Paper Description]])</f>
        <v>2NG63H31951BPVYM0AMF WHITE HEAD  43.5 X 1441101110SW736-5000PRECISION WHITE 43 X 145</v>
      </c>
      <c r="J4339" s="7">
        <f>COUNTIF(Paper_Reference[Duplicate Key],Paper_Reference[[#This Row],[Duplicate Key]])</f>
        <v>1</v>
      </c>
    </row>
    <row r="4340" spans="1:10">
      <c r="A4340" s="7">
        <v>2</v>
      </c>
      <c r="B4340" s="8" t="s">
        <v>3676</v>
      </c>
      <c r="C4340" s="8" t="s">
        <v>3285</v>
      </c>
      <c r="D4340" s="7">
        <v>1</v>
      </c>
      <c r="E4340" s="7">
        <v>10</v>
      </c>
      <c r="F4340" s="7">
        <v>1</v>
      </c>
      <c r="G4340" s="8" t="s">
        <v>3230</v>
      </c>
      <c r="H4340" s="8" t="s">
        <v>3231</v>
      </c>
      <c r="I4340" s="7" t="str">
        <f>_xlfn.CONCAT(Paper_Reference[[#This Row],[Lvl]:[Paper Description]])</f>
        <v>2NG63H31951SBVYM0AMF WHITE HEAD  43.5X1441101110SW736-5000PRECISION WHITE 43 X 145</v>
      </c>
      <c r="J4340" s="7">
        <f>COUNTIF(Paper_Reference[Duplicate Key],Paper_Reference[[#This Row],[Duplicate Key]])</f>
        <v>1</v>
      </c>
    </row>
    <row r="4341" spans="1:10">
      <c r="A4341" s="7">
        <v>2</v>
      </c>
      <c r="B4341" s="8" t="s">
        <v>734</v>
      </c>
      <c r="C4341" s="8" t="s">
        <v>674</v>
      </c>
      <c r="D4341" s="7">
        <v>1</v>
      </c>
      <c r="E4341" s="7">
        <v>10</v>
      </c>
      <c r="F4341" s="7">
        <v>1</v>
      </c>
      <c r="G4341" s="8" t="s">
        <v>656</v>
      </c>
      <c r="H4341" s="8" t="s">
        <v>657</v>
      </c>
      <c r="I4341" s="7" t="str">
        <f>_xlfn.CONCAT(Paper_Reference[[#This Row],[Lvl]:[Paper Description]])</f>
        <v>2NG63HA0010BPVYM0AMF SPL PINE  43.5 X 1441101110HA009-4300AMF BUTCHER BLOCK</v>
      </c>
      <c r="J4341" s="7">
        <f>COUNTIF(Paper_Reference[Duplicate Key],Paper_Reference[[#This Row],[Duplicate Key]])</f>
        <v>1</v>
      </c>
    </row>
    <row r="4342" spans="1:10">
      <c r="A4342" s="7">
        <v>2</v>
      </c>
      <c r="B4342" s="8" t="s">
        <v>735</v>
      </c>
      <c r="C4342" s="8" t="s">
        <v>675</v>
      </c>
      <c r="D4342" s="7">
        <v>1</v>
      </c>
      <c r="E4342" s="7">
        <v>10</v>
      </c>
      <c r="F4342" s="7">
        <v>0.5</v>
      </c>
      <c r="G4342" s="8" t="s">
        <v>656</v>
      </c>
      <c r="H4342" s="8" t="s">
        <v>657</v>
      </c>
      <c r="I4342" s="7" t="str">
        <f>_xlfn.CONCAT(Paper_Reference[[#This Row],[Lvl]:[Paper Description]])</f>
        <v>2NG63HA0010PTB590DUCK PIN APPR 078 41.875X70.631100.5110HA009-4300AMF BUTCHER BLOCK</v>
      </c>
      <c r="J4342" s="7">
        <f>COUNTIF(Paper_Reference[Duplicate Key],Paper_Reference[[#This Row],[Duplicate Key]])</f>
        <v>1</v>
      </c>
    </row>
    <row r="4343" spans="1:10">
      <c r="A4343" s="7">
        <v>2</v>
      </c>
      <c r="B4343" s="8" t="s">
        <v>736</v>
      </c>
      <c r="C4343" s="8" t="s">
        <v>676</v>
      </c>
      <c r="D4343" s="7">
        <v>1</v>
      </c>
      <c r="E4343" s="7">
        <v>10</v>
      </c>
      <c r="F4343" s="7">
        <v>0.5</v>
      </c>
      <c r="G4343" s="8" t="s">
        <v>656</v>
      </c>
      <c r="H4343" s="8" t="s">
        <v>657</v>
      </c>
      <c r="I4343" s="7" t="str">
        <f>_xlfn.CONCAT(Paper_Reference[[#This Row],[Lvl]:[Paper Description]])</f>
        <v>2NG63HA0010PTB600DUCK PIN APPR 079 28.56 X 70.61100.5110HA009-4300AMF BUTCHER BLOCK</v>
      </c>
      <c r="J4343" s="7">
        <f>COUNTIF(Paper_Reference[Duplicate Key],Paper_Reference[[#This Row],[Duplicate Key]])</f>
        <v>1</v>
      </c>
    </row>
    <row r="4344" spans="1:10">
      <c r="A4344" s="7">
        <v>2</v>
      </c>
      <c r="B4344" s="8" t="s">
        <v>737</v>
      </c>
      <c r="C4344" s="8" t="s">
        <v>677</v>
      </c>
      <c r="D4344" s="7">
        <v>1</v>
      </c>
      <c r="E4344" s="7">
        <v>10</v>
      </c>
      <c r="F4344" s="7">
        <v>0.25</v>
      </c>
      <c r="G4344" s="8" t="s">
        <v>656</v>
      </c>
      <c r="H4344" s="8" t="s">
        <v>657</v>
      </c>
      <c r="I4344" s="7" t="str">
        <f>_xlfn.CONCAT(Paper_Reference[[#This Row],[Lvl]:[Paper Description]])</f>
        <v>2NG63HA0010PTB610DUCK PIN APPR 080 20.94 X 70.61100.25110HA009-4300AMF BUTCHER BLOCK</v>
      </c>
      <c r="J4344" s="7">
        <f>COUNTIF(Paper_Reference[Duplicate Key],Paper_Reference[[#This Row],[Duplicate Key]])</f>
        <v>1</v>
      </c>
    </row>
    <row r="4345" spans="1:10">
      <c r="A4345" s="7">
        <v>2</v>
      </c>
      <c r="B4345" s="8" t="s">
        <v>738</v>
      </c>
      <c r="C4345" s="8" t="s">
        <v>678</v>
      </c>
      <c r="D4345" s="7">
        <v>1</v>
      </c>
      <c r="E4345" s="7">
        <v>10</v>
      </c>
      <c r="F4345" s="7">
        <v>0.25</v>
      </c>
      <c r="G4345" s="8" t="s">
        <v>656</v>
      </c>
      <c r="H4345" s="8" t="s">
        <v>657</v>
      </c>
      <c r="I4345" s="7" t="str">
        <f>_xlfn.CONCAT(Paper_Reference[[#This Row],[Lvl]:[Paper Description]])</f>
        <v>2NG63HA0010PTB620DUCK PIN O APPR 081 19.47 X 701100.25110HA009-4300AMF BUTCHER BLOCK</v>
      </c>
      <c r="J4345" s="7">
        <f>COUNTIF(Paper_Reference[Duplicate Key],Paper_Reference[[#This Row],[Duplicate Key]])</f>
        <v>1</v>
      </c>
    </row>
    <row r="4346" spans="1:10">
      <c r="A4346" s="7">
        <v>2</v>
      </c>
      <c r="B4346" s="8" t="s">
        <v>739</v>
      </c>
      <c r="C4346" s="8" t="s">
        <v>679</v>
      </c>
      <c r="D4346" s="7">
        <v>1</v>
      </c>
      <c r="E4346" s="7">
        <v>10</v>
      </c>
      <c r="F4346" s="7">
        <v>0.25</v>
      </c>
      <c r="G4346" s="8" t="s">
        <v>656</v>
      </c>
      <c r="H4346" s="8" t="s">
        <v>657</v>
      </c>
      <c r="I4346" s="7" t="str">
        <f>_xlfn.CONCAT(Paper_Reference[[#This Row],[Lvl]:[Paper Description]])</f>
        <v>2NG63HA0010PTB630DUCK PIN E APPR 082 19.47 X 701100.25110HA009-4300AMF BUTCHER BLOCK</v>
      </c>
      <c r="J4346" s="7">
        <f>COUNTIF(Paper_Reference[Duplicate Key],Paper_Reference[[#This Row],[Duplicate Key]])</f>
        <v>1</v>
      </c>
    </row>
    <row r="4347" spans="1:10">
      <c r="A4347" s="7">
        <v>2</v>
      </c>
      <c r="B4347" s="8" t="s">
        <v>740</v>
      </c>
      <c r="C4347" s="8" t="s">
        <v>680</v>
      </c>
      <c r="D4347" s="7">
        <v>1</v>
      </c>
      <c r="E4347" s="7">
        <v>10</v>
      </c>
      <c r="F4347" s="7">
        <v>0.16669999999999999</v>
      </c>
      <c r="G4347" s="8" t="s">
        <v>656</v>
      </c>
      <c r="H4347" s="8" t="s">
        <v>657</v>
      </c>
      <c r="I4347" s="7" t="str">
        <f>_xlfn.CONCAT(Paper_Reference[[#This Row],[Lvl]:[Paper Description]])</f>
        <v>2NG63HA0010PTB640DUCK PIN O APPR 083 11.85 X 701100.1667110HA009-4300AMF BUTCHER BLOCK</v>
      </c>
      <c r="J4347" s="7">
        <f>COUNTIF(Paper_Reference[Duplicate Key],Paper_Reference[[#This Row],[Duplicate Key]])</f>
        <v>1</v>
      </c>
    </row>
    <row r="4348" spans="1:10">
      <c r="A4348" s="7">
        <v>2</v>
      </c>
      <c r="B4348" s="8" t="s">
        <v>741</v>
      </c>
      <c r="C4348" s="8" t="s">
        <v>681</v>
      </c>
      <c r="D4348" s="7">
        <v>1</v>
      </c>
      <c r="E4348" s="7">
        <v>10</v>
      </c>
      <c r="F4348" s="7">
        <v>0.16669999999999999</v>
      </c>
      <c r="G4348" s="8" t="s">
        <v>656</v>
      </c>
      <c r="H4348" s="8" t="s">
        <v>657</v>
      </c>
      <c r="I4348" s="7" t="str">
        <f>_xlfn.CONCAT(Paper_Reference[[#This Row],[Lvl]:[Paper Description]])</f>
        <v>2NG63HA0010PTB650DUCK PIN E APPR 084 11.85 X 701100.1667110HA009-4300AMF BUTCHER BLOCK</v>
      </c>
      <c r="J4348" s="7">
        <f>COUNTIF(Paper_Reference[Duplicate Key],Paper_Reference[[#This Row],[Duplicate Key]])</f>
        <v>1</v>
      </c>
    </row>
    <row r="4349" spans="1:10">
      <c r="A4349" s="7">
        <v>2</v>
      </c>
      <c r="B4349" s="8" t="s">
        <v>742</v>
      </c>
      <c r="C4349" s="8" t="s">
        <v>682</v>
      </c>
      <c r="D4349" s="7">
        <v>1</v>
      </c>
      <c r="E4349" s="7">
        <v>10</v>
      </c>
      <c r="F4349" s="7">
        <v>1</v>
      </c>
      <c r="G4349" s="8" t="s">
        <v>656</v>
      </c>
      <c r="H4349" s="8" t="s">
        <v>657</v>
      </c>
      <c r="I4349" s="7" t="str">
        <f>_xlfn.CONCAT(Paper_Reference[[#This Row],[Lvl]:[Paper Description]])</f>
        <v>2NG63HA0010PTVYM0DUCK PIN APPR-077 3/8" 43.5 X1101110HA009-4300AMF BUTCHER BLOCK</v>
      </c>
      <c r="J4349" s="7">
        <f>COUNTIF(Paper_Reference[Duplicate Key],Paper_Reference[[#This Row],[Duplicate Key]])</f>
        <v>1</v>
      </c>
    </row>
    <row r="4350" spans="1:10">
      <c r="A4350" s="7">
        <v>2</v>
      </c>
      <c r="B4350" s="8" t="s">
        <v>743</v>
      </c>
      <c r="C4350" s="8" t="s">
        <v>683</v>
      </c>
      <c r="D4350" s="7">
        <v>1</v>
      </c>
      <c r="E4350" s="7">
        <v>10</v>
      </c>
      <c r="F4350" s="7">
        <v>1</v>
      </c>
      <c r="G4350" s="8" t="s">
        <v>656</v>
      </c>
      <c r="H4350" s="8" t="s">
        <v>657</v>
      </c>
      <c r="I4350" s="7" t="str">
        <f>_xlfn.CONCAT(Paper_Reference[[#This Row],[Lvl]:[Paper Description]])</f>
        <v>2NG63HA0010SBVYM0AMF PINE  43.5X1441101110HA009-4300AMF BUTCHER BLOCK</v>
      </c>
      <c r="J4350" s="7">
        <f>COUNTIF(Paper_Reference[Duplicate Key],Paper_Reference[[#This Row],[Duplicate Key]])</f>
        <v>1</v>
      </c>
    </row>
    <row r="4351" spans="1:10">
      <c r="A4351" s="7">
        <v>3</v>
      </c>
      <c r="B4351" s="8" t="s">
        <v>744</v>
      </c>
      <c r="C4351" s="8" t="s">
        <v>684</v>
      </c>
      <c r="D4351" s="7">
        <v>1</v>
      </c>
      <c r="E4351" s="7">
        <v>10</v>
      </c>
      <c r="F4351" s="7">
        <v>1</v>
      </c>
      <c r="G4351" s="8" t="s">
        <v>656</v>
      </c>
      <c r="H4351" s="8" t="s">
        <v>657</v>
      </c>
      <c r="I4351" s="7" t="str">
        <f>_xlfn.CONCAT(Paper_Reference[[#This Row],[Lvl]:[Paper Description]])</f>
        <v>3NG63HA0011BPVYM0AMF SPL HEAD 43.5 X 1441101110HA009-4300AMF BUTCHER BLOCK</v>
      </c>
      <c r="J4351" s="7">
        <f>COUNTIF(Paper_Reference[Duplicate Key],Paper_Reference[[#This Row],[Duplicate Key]])</f>
        <v>1</v>
      </c>
    </row>
    <row r="4352" spans="1:10">
      <c r="A4352" s="7">
        <v>3</v>
      </c>
      <c r="B4352" s="8" t="s">
        <v>745</v>
      </c>
      <c r="C4352" s="8" t="s">
        <v>685</v>
      </c>
      <c r="D4352" s="7">
        <v>1</v>
      </c>
      <c r="E4352" s="7">
        <v>10</v>
      </c>
      <c r="F4352" s="7">
        <v>1</v>
      </c>
      <c r="G4352" s="8" t="s">
        <v>656</v>
      </c>
      <c r="H4352" s="8" t="s">
        <v>657</v>
      </c>
      <c r="I4352" s="7" t="str">
        <f>_xlfn.CONCAT(Paper_Reference[[#This Row],[Lvl]:[Paper Description]])</f>
        <v>3NG63HA0011SBVYM0AMF HEAD 43.5X1441101110HA009-4300AMF BUTCHER BLOCK</v>
      </c>
      <c r="J4352" s="7">
        <f>COUNTIF(Paper_Reference[Duplicate Key],Paper_Reference[[#This Row],[Duplicate Key]])</f>
        <v>1</v>
      </c>
    </row>
    <row r="4353" spans="1:10">
      <c r="A4353" s="7">
        <v>3</v>
      </c>
      <c r="B4353" s="8" t="s">
        <v>746</v>
      </c>
      <c r="C4353" s="8" t="s">
        <v>686</v>
      </c>
      <c r="D4353" s="7">
        <v>1</v>
      </c>
      <c r="E4353" s="7">
        <v>10</v>
      </c>
      <c r="F4353" s="7">
        <v>1</v>
      </c>
      <c r="G4353" s="8" t="s">
        <v>656</v>
      </c>
      <c r="H4353" s="8" t="s">
        <v>657</v>
      </c>
      <c r="I4353" s="7" t="str">
        <f>_xlfn.CONCAT(Paper_Reference[[#This Row],[Lvl]:[Paper Description]])</f>
        <v>3NG63HA0012BPVYM0AMF SPL ARROW 43.5X1441101110HA009-4300AMF BUTCHER BLOCK</v>
      </c>
      <c r="J4353" s="7">
        <f>COUNTIF(Paper_Reference[Duplicate Key],Paper_Reference[[#This Row],[Duplicate Key]])</f>
        <v>1</v>
      </c>
    </row>
    <row r="4354" spans="1:10">
      <c r="A4354" s="7">
        <v>3</v>
      </c>
      <c r="B4354" s="8" t="s">
        <v>747</v>
      </c>
      <c r="C4354" s="8" t="s">
        <v>687</v>
      </c>
      <c r="D4354" s="7">
        <v>1</v>
      </c>
      <c r="E4354" s="7">
        <v>10</v>
      </c>
      <c r="F4354" s="7">
        <v>1</v>
      </c>
      <c r="G4354" s="8" t="s">
        <v>656</v>
      </c>
      <c r="H4354" s="8" t="s">
        <v>657</v>
      </c>
      <c r="I4354" s="7" t="str">
        <f>_xlfn.CONCAT(Paper_Reference[[#This Row],[Lvl]:[Paper Description]])</f>
        <v>3NG63HA0012SBVYM0AMF ARROW 43.5X1441101110HA009-4300AMF BUTCHER BLOCK</v>
      </c>
      <c r="J4354" s="7">
        <f>COUNTIF(Paper_Reference[Duplicate Key],Paper_Reference[[#This Row],[Duplicate Key]])</f>
        <v>1</v>
      </c>
    </row>
    <row r="4355" spans="1:10">
      <c r="A4355" s="7">
        <v>3</v>
      </c>
      <c r="B4355" s="8" t="s">
        <v>435</v>
      </c>
      <c r="C4355" s="8" t="s">
        <v>208</v>
      </c>
      <c r="D4355" s="7">
        <v>1</v>
      </c>
      <c r="E4355" s="7">
        <v>10</v>
      </c>
      <c r="F4355" s="7">
        <v>1</v>
      </c>
      <c r="G4355" s="8" t="s">
        <v>213</v>
      </c>
      <c r="H4355" s="8" t="s">
        <v>420</v>
      </c>
      <c r="I4355" s="7" t="str">
        <f>_xlfn.CONCAT(Paper_Reference[[#This Row],[Lvl]:[Paper Description]])</f>
        <v>3NG63HA0013PTYBF0AMF LONG APPR  R/E  61 X 143 31101110WM741-6200AMF MAPLE R/E</v>
      </c>
      <c r="J4355" s="7">
        <f>COUNTIF(Paper_Reference[Duplicate Key],Paper_Reference[[#This Row],[Duplicate Key]])</f>
        <v>1</v>
      </c>
    </row>
    <row r="4356" spans="1:10">
      <c r="A4356" s="7">
        <v>3</v>
      </c>
      <c r="B4356" s="8" t="s">
        <v>445</v>
      </c>
      <c r="C4356" s="8" t="s">
        <v>224</v>
      </c>
      <c r="D4356" s="7">
        <v>1</v>
      </c>
      <c r="E4356" s="7">
        <v>10</v>
      </c>
      <c r="F4356" s="7">
        <v>1</v>
      </c>
      <c r="G4356" s="8" t="s">
        <v>442</v>
      </c>
      <c r="H4356" s="8" t="s">
        <v>421</v>
      </c>
      <c r="I4356" s="7" t="str">
        <f>_xlfn.CONCAT(Paper_Reference[[#This Row],[Lvl]:[Paper Description]])</f>
        <v>3NG63HA0014PTYBF0AMF LONG APPR  L/O  61 X 143 31101110WM742-6200AMF MAPLE L/O</v>
      </c>
      <c r="J4356" s="7">
        <f>COUNTIF(Paper_Reference[Duplicate Key],Paper_Reference[[#This Row],[Duplicate Key]])</f>
        <v>1</v>
      </c>
    </row>
    <row r="4357" spans="1:10">
      <c r="A4357" s="7">
        <v>3</v>
      </c>
      <c r="B4357" s="8" t="s">
        <v>436</v>
      </c>
      <c r="C4357" s="8" t="s">
        <v>209</v>
      </c>
      <c r="D4357" s="7">
        <v>1</v>
      </c>
      <c r="E4357" s="7">
        <v>10</v>
      </c>
      <c r="F4357" s="7">
        <v>1</v>
      </c>
      <c r="G4357" s="8" t="s">
        <v>213</v>
      </c>
      <c r="H4357" s="8" t="s">
        <v>420</v>
      </c>
      <c r="I4357" s="7" t="str">
        <f>_xlfn.CONCAT(Paper_Reference[[#This Row],[Lvl]:[Paper Description]])</f>
        <v>3NG63HA0015PTYBF0AMF SHORT APPR  R/E  61 X 1431101110WM741-6200AMF MAPLE R/E</v>
      </c>
      <c r="J4357" s="7">
        <f>COUNTIF(Paper_Reference[Duplicate Key],Paper_Reference[[#This Row],[Duplicate Key]])</f>
        <v>1</v>
      </c>
    </row>
    <row r="4358" spans="1:10">
      <c r="A4358" s="7">
        <v>3</v>
      </c>
      <c r="B4358" s="8" t="s">
        <v>446</v>
      </c>
      <c r="C4358" s="8" t="s">
        <v>225</v>
      </c>
      <c r="D4358" s="7">
        <v>1</v>
      </c>
      <c r="E4358" s="7">
        <v>10</v>
      </c>
      <c r="F4358" s="7">
        <v>1</v>
      </c>
      <c r="G4358" s="8" t="s">
        <v>442</v>
      </c>
      <c r="H4358" s="8" t="s">
        <v>421</v>
      </c>
      <c r="I4358" s="7" t="str">
        <f>_xlfn.CONCAT(Paper_Reference[[#This Row],[Lvl]:[Paper Description]])</f>
        <v>3NG63HA0016PTYBF0AMF SHORT APPR  L/O  61 X 1431101110WM742-6200AMF MAPLE L/O</v>
      </c>
      <c r="J4358" s="7">
        <f>COUNTIF(Paper_Reference[Duplicate Key],Paper_Reference[[#This Row],[Duplicate Key]])</f>
        <v>1</v>
      </c>
    </row>
    <row r="4359" spans="1:10">
      <c r="A4359" s="7">
        <v>3</v>
      </c>
      <c r="B4359" s="8" t="s">
        <v>748</v>
      </c>
      <c r="C4359" s="8" t="s">
        <v>688</v>
      </c>
      <c r="D4359" s="7">
        <v>1</v>
      </c>
      <c r="E4359" s="7">
        <v>10</v>
      </c>
      <c r="F4359" s="7">
        <v>1</v>
      </c>
      <c r="G4359" s="8" t="s">
        <v>656</v>
      </c>
      <c r="H4359" s="8" t="s">
        <v>657</v>
      </c>
      <c r="I4359" s="7" t="str">
        <f>_xlfn.CONCAT(Paper_Reference[[#This Row],[Lvl]:[Paper Description]])</f>
        <v>3NG63HA0031SBVYM0AMF CG FOUL LINE 43.5 X 1441101110HA009-4300AMF BUTCHER BLOCK</v>
      </c>
      <c r="J4359" s="7">
        <f>COUNTIF(Paper_Reference[Duplicate Key],Paper_Reference[[#This Row],[Duplicate Key]])</f>
        <v>1</v>
      </c>
    </row>
    <row r="4360" spans="1:10">
      <c r="A4360" s="7">
        <v>3</v>
      </c>
      <c r="B4360" s="8" t="s">
        <v>749</v>
      </c>
      <c r="C4360" s="8" t="s">
        <v>689</v>
      </c>
      <c r="D4360" s="7">
        <v>1</v>
      </c>
      <c r="E4360" s="7">
        <v>10</v>
      </c>
      <c r="F4360" s="7">
        <v>1</v>
      </c>
      <c r="G4360" s="8" t="s">
        <v>656</v>
      </c>
      <c r="H4360" s="8" t="s">
        <v>657</v>
      </c>
      <c r="I4360" s="7" t="str">
        <f>_xlfn.CONCAT(Paper_Reference[[#This Row],[Lvl]:[Paper Description]])</f>
        <v>3NG63HA0033SBVYM0AMF CG HEAD 43.5X1441101110HA009-4300AMF BUTCHER BLOCK</v>
      </c>
      <c r="J4360" s="7">
        <f>COUNTIF(Paper_Reference[Duplicate Key],Paper_Reference[[#This Row],[Duplicate Key]])</f>
        <v>1</v>
      </c>
    </row>
    <row r="4361" spans="1:10">
      <c r="A4361" s="7">
        <v>3</v>
      </c>
      <c r="B4361" s="8" t="s">
        <v>750</v>
      </c>
      <c r="C4361" s="8" t="s">
        <v>690</v>
      </c>
      <c r="D4361" s="7">
        <v>1</v>
      </c>
      <c r="E4361" s="7">
        <v>10</v>
      </c>
      <c r="F4361" s="7">
        <v>1</v>
      </c>
      <c r="G4361" s="8" t="s">
        <v>656</v>
      </c>
      <c r="H4361" s="8" t="s">
        <v>657</v>
      </c>
      <c r="I4361" s="7" t="str">
        <f>_xlfn.CONCAT(Paper_Reference[[#This Row],[Lvl]:[Paper Description]])</f>
        <v>3NG63HA0034BPVYM0AMF SPL CG HEAD 43.5 X 1441101110HA009-4300AMF BUTCHER BLOCK</v>
      </c>
      <c r="J4361" s="7">
        <f>COUNTIF(Paper_Reference[Duplicate Key],Paper_Reference[[#This Row],[Duplicate Key]])</f>
        <v>1</v>
      </c>
    </row>
    <row r="4362" spans="1:10">
      <c r="A4362" s="7">
        <v>3</v>
      </c>
      <c r="B4362" s="8" t="s">
        <v>751</v>
      </c>
      <c r="C4362" s="8" t="s">
        <v>689</v>
      </c>
      <c r="D4362" s="7">
        <v>1</v>
      </c>
      <c r="E4362" s="7">
        <v>10</v>
      </c>
      <c r="F4362" s="7">
        <v>1</v>
      </c>
      <c r="G4362" s="8" t="s">
        <v>656</v>
      </c>
      <c r="H4362" s="8" t="s">
        <v>657</v>
      </c>
      <c r="I4362" s="7" t="str">
        <f>_xlfn.CONCAT(Paper_Reference[[#This Row],[Lvl]:[Paper Description]])</f>
        <v>3NG63HA0034SBVYM0AMF CG HEAD 43.5X1441101110HA009-4300AMF BUTCHER BLOCK</v>
      </c>
      <c r="J4362" s="7">
        <f>COUNTIF(Paper_Reference[Duplicate Key],Paper_Reference[[#This Row],[Duplicate Key]])</f>
        <v>1</v>
      </c>
    </row>
    <row r="4363" spans="1:10">
      <c r="A4363" s="7">
        <v>3</v>
      </c>
      <c r="B4363" s="8" t="s">
        <v>752</v>
      </c>
      <c r="C4363" s="8" t="s">
        <v>691</v>
      </c>
      <c r="D4363" s="7">
        <v>1</v>
      </c>
      <c r="E4363" s="7">
        <v>10</v>
      </c>
      <c r="F4363" s="7">
        <v>1</v>
      </c>
      <c r="G4363" s="8" t="s">
        <v>656</v>
      </c>
      <c r="H4363" s="8" t="s">
        <v>657</v>
      </c>
      <c r="I4363" s="7" t="str">
        <f>_xlfn.CONCAT(Paper_Reference[[#This Row],[Lvl]:[Paper Description]])</f>
        <v>3NG63HA0035BPVYM0AMF SPL CG FOUL LINE 43.5 X 141101110HA009-4300AMF BUTCHER BLOCK</v>
      </c>
      <c r="J4363" s="7">
        <f>COUNTIF(Paper_Reference[Duplicate Key],Paper_Reference[[#This Row],[Duplicate Key]])</f>
        <v>1</v>
      </c>
    </row>
    <row r="4364" spans="1:10">
      <c r="A4364" s="7">
        <v>3</v>
      </c>
      <c r="B4364" s="8" t="s">
        <v>753</v>
      </c>
      <c r="C4364" s="8" t="s">
        <v>688</v>
      </c>
      <c r="D4364" s="7">
        <v>1</v>
      </c>
      <c r="E4364" s="7">
        <v>10</v>
      </c>
      <c r="F4364" s="7">
        <v>1</v>
      </c>
      <c r="G4364" s="8" t="s">
        <v>656</v>
      </c>
      <c r="H4364" s="8" t="s">
        <v>657</v>
      </c>
      <c r="I4364" s="7" t="str">
        <f>_xlfn.CONCAT(Paper_Reference[[#This Row],[Lvl]:[Paper Description]])</f>
        <v>3NG63HA0035SBVYM0AMF CG FOUL LINE 43.5 X 1441101110HA009-4300AMF BUTCHER BLOCK</v>
      </c>
      <c r="J4364" s="7">
        <f>COUNTIF(Paper_Reference[Duplicate Key],Paper_Reference[[#This Row],[Duplicate Key]])</f>
        <v>1</v>
      </c>
    </row>
    <row r="4365" spans="1:10">
      <c r="A4365" s="7">
        <v>2</v>
      </c>
      <c r="B4365" s="8" t="s">
        <v>437</v>
      </c>
      <c r="C4365" s="8" t="s">
        <v>210</v>
      </c>
      <c r="D4365" s="7">
        <v>1</v>
      </c>
      <c r="E4365" s="7">
        <v>10</v>
      </c>
      <c r="F4365" s="7">
        <v>1</v>
      </c>
      <c r="G4365" s="8" t="s">
        <v>213</v>
      </c>
      <c r="H4365" s="8" t="s">
        <v>420</v>
      </c>
      <c r="I4365" s="7" t="str">
        <f>_xlfn.CONCAT(Paper_Reference[[#This Row],[Lvl]:[Paper Description]])</f>
        <v>2NG63HA0067PTYBF0AMF PLAIN APPR  R/E  61 X 1431101110WM741-6200AMF MAPLE R/E</v>
      </c>
      <c r="J4365" s="7">
        <f>COUNTIF(Paper_Reference[Duplicate Key],Paper_Reference[[#This Row],[Duplicate Key]])</f>
        <v>1</v>
      </c>
    </row>
    <row r="4366" spans="1:10">
      <c r="A4366" s="7">
        <v>3</v>
      </c>
      <c r="B4366" s="8" t="s">
        <v>754</v>
      </c>
      <c r="C4366" s="8" t="s">
        <v>692</v>
      </c>
      <c r="D4366" s="7">
        <v>1</v>
      </c>
      <c r="E4366" s="7">
        <v>10</v>
      </c>
      <c r="F4366" s="7">
        <v>1</v>
      </c>
      <c r="G4366" s="8" t="s">
        <v>656</v>
      </c>
      <c r="H4366" s="8" t="s">
        <v>657</v>
      </c>
      <c r="I4366" s="7" t="str">
        <f>_xlfn.CONCAT(Paper_Reference[[#This Row],[Lvl]:[Paper Description]])</f>
        <v>3NG63HA0110SBVYM03/8" GT Pine AG 43.5X1441101110HA009-4300AMF BUTCHER BLOCK</v>
      </c>
      <c r="J4366" s="7">
        <f>COUNTIF(Paper_Reference[Duplicate Key],Paper_Reference[[#This Row],[Duplicate Key]])</f>
        <v>1</v>
      </c>
    </row>
    <row r="4367" spans="1:10">
      <c r="A4367" s="7">
        <v>3</v>
      </c>
      <c r="B4367" s="8" t="s">
        <v>755</v>
      </c>
      <c r="C4367" s="8" t="s">
        <v>693</v>
      </c>
      <c r="D4367" s="7">
        <v>1</v>
      </c>
      <c r="E4367" s="7">
        <v>10</v>
      </c>
      <c r="F4367" s="7">
        <v>1</v>
      </c>
      <c r="G4367" s="8" t="s">
        <v>656</v>
      </c>
      <c r="H4367" s="8" t="s">
        <v>657</v>
      </c>
      <c r="I4367" s="7" t="str">
        <f>_xlfn.CONCAT(Paper_Reference[[#This Row],[Lvl]:[Paper Description]])</f>
        <v>3NG63HA0111SBVYM03/8" GT Head (Dots) AG 43.5X141101110HA009-4300AMF BUTCHER BLOCK</v>
      </c>
      <c r="J4367" s="7">
        <f>COUNTIF(Paper_Reference[Duplicate Key],Paper_Reference[[#This Row],[Duplicate Key]])</f>
        <v>1</v>
      </c>
    </row>
    <row r="4368" spans="1:10">
      <c r="A4368" s="7">
        <v>3</v>
      </c>
      <c r="B4368" s="8" t="s">
        <v>756</v>
      </c>
      <c r="C4368" s="8" t="s">
        <v>694</v>
      </c>
      <c r="D4368" s="7">
        <v>1</v>
      </c>
      <c r="E4368" s="7">
        <v>10</v>
      </c>
      <c r="F4368" s="7">
        <v>1</v>
      </c>
      <c r="G4368" s="8" t="s">
        <v>656</v>
      </c>
      <c r="H4368" s="8" t="s">
        <v>657</v>
      </c>
      <c r="I4368" s="7" t="str">
        <f>_xlfn.CONCAT(Paper_Reference[[#This Row],[Lvl]:[Paper Description]])</f>
        <v>3NG63HA0112SBVYM03/8" GT Arrows AG 43.5X1441101110HA009-4300AMF BUTCHER BLOCK</v>
      </c>
      <c r="J4368" s="7">
        <f>COUNTIF(Paper_Reference[Duplicate Key],Paper_Reference[[#This Row],[Duplicate Key]])</f>
        <v>1</v>
      </c>
    </row>
    <row r="4369" spans="1:10">
      <c r="A4369" s="7">
        <v>3</v>
      </c>
      <c r="B4369" s="8" t="s">
        <v>757</v>
      </c>
      <c r="C4369" s="8" t="s">
        <v>695</v>
      </c>
      <c r="D4369" s="7">
        <v>1</v>
      </c>
      <c r="E4369" s="7">
        <v>10</v>
      </c>
      <c r="F4369" s="7">
        <v>1</v>
      </c>
      <c r="G4369" s="8" t="s">
        <v>656</v>
      </c>
      <c r="H4369" s="8" t="s">
        <v>657</v>
      </c>
      <c r="I4369" s="7" t="str">
        <f>_xlfn.CONCAT(Paper_Reference[[#This Row],[Lvl]:[Paper Description]])</f>
        <v>3NG63HA0120BPVYM0AMF SPL FOUL LINE 43.5 X 1441101110HA009-4300AMF BUTCHER BLOCK</v>
      </c>
      <c r="J4369" s="7">
        <f>COUNTIF(Paper_Reference[Duplicate Key],Paper_Reference[[#This Row],[Duplicate Key]])</f>
        <v>1</v>
      </c>
    </row>
    <row r="4370" spans="1:10">
      <c r="A4370" s="7">
        <v>3</v>
      </c>
      <c r="B4370" s="8" t="s">
        <v>758</v>
      </c>
      <c r="C4370" s="8" t="s">
        <v>696</v>
      </c>
      <c r="D4370" s="7">
        <v>1</v>
      </c>
      <c r="E4370" s="7">
        <v>10</v>
      </c>
      <c r="F4370" s="7">
        <v>1</v>
      </c>
      <c r="G4370" s="8" t="s">
        <v>656</v>
      </c>
      <c r="H4370" s="8" t="s">
        <v>657</v>
      </c>
      <c r="I4370" s="7" t="str">
        <f>_xlfn.CONCAT(Paper_Reference[[#This Row],[Lvl]:[Paper Description]])</f>
        <v>3NG63HA0120SBVYM0AMF Foul Line 43.5X1441101110HA009-4300AMF BUTCHER BLOCK</v>
      </c>
      <c r="J4370" s="7">
        <f>COUNTIF(Paper_Reference[Duplicate Key],Paper_Reference[[#This Row],[Duplicate Key]])</f>
        <v>1</v>
      </c>
    </row>
    <row r="4371" spans="1:10">
      <c r="A4371" s="7">
        <v>3</v>
      </c>
      <c r="B4371" s="8" t="s">
        <v>759</v>
      </c>
      <c r="C4371" s="8" t="s">
        <v>697</v>
      </c>
      <c r="D4371" s="7">
        <v>1</v>
      </c>
      <c r="E4371" s="7">
        <v>10</v>
      </c>
      <c r="F4371" s="7">
        <v>1</v>
      </c>
      <c r="G4371" s="8" t="s">
        <v>656</v>
      </c>
      <c r="H4371" s="8" t="s">
        <v>657</v>
      </c>
      <c r="I4371" s="7" t="str">
        <f>_xlfn.CONCAT(Paper_Reference[[#This Row],[Lvl]:[Paper Description]])</f>
        <v>3NG63HA0121SBVYM0AG GT Head with Foul Line 43.51101110HA009-4300AMF BUTCHER BLOCK</v>
      </c>
      <c r="J4371" s="7">
        <f>COUNTIF(Paper_Reference[Duplicate Key],Paper_Reference[[#This Row],[Duplicate Key]])</f>
        <v>1</v>
      </c>
    </row>
    <row r="4372" spans="1:10">
      <c r="A4372" s="7">
        <v>3</v>
      </c>
      <c r="B4372" s="8" t="s">
        <v>760</v>
      </c>
      <c r="C4372" s="8" t="s">
        <v>698</v>
      </c>
      <c r="D4372" s="7">
        <v>1</v>
      </c>
      <c r="E4372" s="7">
        <v>10</v>
      </c>
      <c r="F4372" s="7">
        <v>1</v>
      </c>
      <c r="G4372" s="8" t="s">
        <v>656</v>
      </c>
      <c r="H4372" s="8" t="s">
        <v>657</v>
      </c>
      <c r="I4372" s="7" t="str">
        <f>_xlfn.CONCAT(Paper_Reference[[#This Row],[Lvl]:[Paper Description]])</f>
        <v>3NG63HA0123SBB580DUCK PIN FOUL-AR 41.875X142.751101110HA009-4300AMF BUTCHER BLOCK</v>
      </c>
      <c r="J4372" s="7">
        <f>COUNTIF(Paper_Reference[Duplicate Key],Paper_Reference[[#This Row],[Duplicate Key]])</f>
        <v>1</v>
      </c>
    </row>
    <row r="4373" spans="1:10">
      <c r="A4373" s="7">
        <v>3</v>
      </c>
      <c r="B4373" s="8" t="s">
        <v>761</v>
      </c>
      <c r="C4373" s="8" t="s">
        <v>699</v>
      </c>
      <c r="D4373" s="7">
        <v>1</v>
      </c>
      <c r="E4373" s="7">
        <v>10</v>
      </c>
      <c r="F4373" s="7">
        <v>1</v>
      </c>
      <c r="G4373" s="8" t="s">
        <v>656</v>
      </c>
      <c r="H4373" s="8" t="s">
        <v>657</v>
      </c>
      <c r="I4373" s="7" t="str">
        <f>_xlfn.CONCAT(Paper_Reference[[#This Row],[Lvl]:[Paper Description]])</f>
        <v>3NG63HA0123SBVYM0AMF Foul Line II 43.5 X 1441101110HA009-4300AMF BUTCHER BLOCK</v>
      </c>
      <c r="J4373" s="7">
        <f>COUNTIF(Paper_Reference[Duplicate Key],Paper_Reference[[#This Row],[Duplicate Key]])</f>
        <v>1</v>
      </c>
    </row>
    <row r="4374" spans="1:10">
      <c r="A4374" s="7">
        <v>3</v>
      </c>
      <c r="B4374" s="8" t="s">
        <v>762</v>
      </c>
      <c r="C4374" s="8" t="s">
        <v>700</v>
      </c>
      <c r="D4374" s="7">
        <v>1</v>
      </c>
      <c r="E4374" s="7">
        <v>10</v>
      </c>
      <c r="F4374" s="7">
        <v>1</v>
      </c>
      <c r="G4374" s="8" t="s">
        <v>656</v>
      </c>
      <c r="H4374" s="8" t="s">
        <v>657</v>
      </c>
      <c r="I4374" s="7" t="str">
        <f>_xlfn.CONCAT(Paper_Reference[[#This Row],[Lvl]:[Paper Description]])</f>
        <v>3NG63HA0131SBVYM0AG GT CG Head with Foul Line 41101110HA009-4300AMF BUTCHER BLOCK</v>
      </c>
      <c r="J4374" s="7">
        <f>COUNTIF(Paper_Reference[Duplicate Key],Paper_Reference[[#This Row],[Duplicate Key]])</f>
        <v>1</v>
      </c>
    </row>
    <row r="4375" spans="1:10">
      <c r="A4375" s="7">
        <v>3</v>
      </c>
      <c r="B4375" s="8" t="s">
        <v>763</v>
      </c>
      <c r="C4375" s="8" t="s">
        <v>701</v>
      </c>
      <c r="D4375" s="7">
        <v>1</v>
      </c>
      <c r="E4375" s="7">
        <v>10</v>
      </c>
      <c r="F4375" s="7">
        <v>1</v>
      </c>
      <c r="G4375" s="8" t="s">
        <v>656</v>
      </c>
      <c r="H4375" s="8" t="s">
        <v>657</v>
      </c>
      <c r="I4375" s="7" t="str">
        <f>_xlfn.CONCAT(Paper_Reference[[#This Row],[Lvl]:[Paper Description]])</f>
        <v>3NG63HA0133SBVYM03/8" GT CG Head  43.5 X 1441101110HA009-4300AMF BUTCHER BLOCK</v>
      </c>
      <c r="J4375" s="7">
        <f>COUNTIF(Paper_Reference[Duplicate Key],Paper_Reference[[#This Row],[Duplicate Key]])</f>
        <v>1</v>
      </c>
    </row>
    <row r="4376" spans="1:10">
      <c r="A4376" s="7">
        <v>3</v>
      </c>
      <c r="B4376" s="8" t="s">
        <v>764</v>
      </c>
      <c r="C4376" s="8" t="s">
        <v>701</v>
      </c>
      <c r="D4376" s="7">
        <v>1</v>
      </c>
      <c r="E4376" s="7">
        <v>10</v>
      </c>
      <c r="F4376" s="7">
        <v>1</v>
      </c>
      <c r="G4376" s="8" t="s">
        <v>656</v>
      </c>
      <c r="H4376" s="8" t="s">
        <v>657</v>
      </c>
      <c r="I4376" s="7" t="str">
        <f>_xlfn.CONCAT(Paper_Reference[[#This Row],[Lvl]:[Paper Description]])</f>
        <v>3NG63HA0134SBVYM03/8" GT CG Head  43.5 X 1441101110HA009-4300AMF BUTCHER BLOCK</v>
      </c>
      <c r="J4376" s="7">
        <f>COUNTIF(Paper_Reference[Duplicate Key],Paper_Reference[[#This Row],[Duplicate Key]])</f>
        <v>1</v>
      </c>
    </row>
    <row r="4377" spans="1:10">
      <c r="A4377" s="7">
        <v>3</v>
      </c>
      <c r="B4377" s="8" t="s">
        <v>765</v>
      </c>
      <c r="C4377" s="8" t="s">
        <v>702</v>
      </c>
      <c r="D4377" s="7">
        <v>1</v>
      </c>
      <c r="E4377" s="7">
        <v>10</v>
      </c>
      <c r="F4377" s="7">
        <v>1</v>
      </c>
      <c r="G4377" s="8" t="s">
        <v>656</v>
      </c>
      <c r="H4377" s="8" t="s">
        <v>657</v>
      </c>
      <c r="I4377" s="7" t="str">
        <f>_xlfn.CONCAT(Paper_Reference[[#This Row],[Lvl]:[Paper Description]])</f>
        <v>3NG63HA0135SBVYM03/8" GT CG FOUL  43.5 X 1441101110HA009-4300AMF BUTCHER BLOCK</v>
      </c>
      <c r="J4377" s="7">
        <f>COUNTIF(Paper_Reference[Duplicate Key],Paper_Reference[[#This Row],[Duplicate Key]])</f>
        <v>1</v>
      </c>
    </row>
    <row r="4378" spans="1:10">
      <c r="A4378" s="7">
        <v>3</v>
      </c>
      <c r="B4378" s="8" t="s">
        <v>766</v>
      </c>
      <c r="C4378" s="8" t="s">
        <v>703</v>
      </c>
      <c r="D4378" s="7">
        <v>1</v>
      </c>
      <c r="E4378" s="7">
        <v>10</v>
      </c>
      <c r="F4378" s="7">
        <v>1</v>
      </c>
      <c r="G4378" s="8" t="s">
        <v>656</v>
      </c>
      <c r="H4378" s="8" t="s">
        <v>657</v>
      </c>
      <c r="I4378" s="7" t="str">
        <f>_xlfn.CONCAT(Paper_Reference[[#This Row],[Lvl]:[Paper Description]])</f>
        <v>3NG63HA0310BPVYM0AMF GT AUB PINE  43.5 X 1441101110HA009-4300AMF BUTCHER BLOCK</v>
      </c>
      <c r="J4378" s="7">
        <f>COUNTIF(Paper_Reference[Duplicate Key],Paper_Reference[[#This Row],[Duplicate Key]])</f>
        <v>1</v>
      </c>
    </row>
    <row r="4379" spans="1:10">
      <c r="A4379" s="7">
        <v>3</v>
      </c>
      <c r="B4379" s="8" t="s">
        <v>767</v>
      </c>
      <c r="C4379" s="8" t="s">
        <v>703</v>
      </c>
      <c r="D4379" s="7">
        <v>1</v>
      </c>
      <c r="E4379" s="7">
        <v>10</v>
      </c>
      <c r="F4379" s="7">
        <v>1</v>
      </c>
      <c r="G4379" s="8" t="s">
        <v>656</v>
      </c>
      <c r="H4379" s="8" t="s">
        <v>657</v>
      </c>
      <c r="I4379" s="7" t="str">
        <f>_xlfn.CONCAT(Paper_Reference[[#This Row],[Lvl]:[Paper Description]])</f>
        <v>3NG63HA0310SBVYM0AMF GT AUB PINE  43.5 X 1441101110HA009-4300AMF BUTCHER BLOCK</v>
      </c>
      <c r="J4379" s="7">
        <f>COUNTIF(Paper_Reference[Duplicate Key],Paper_Reference[[#This Row],[Duplicate Key]])</f>
        <v>1</v>
      </c>
    </row>
    <row r="4380" spans="1:10">
      <c r="A4380" s="7">
        <v>4</v>
      </c>
      <c r="B4380" s="8" t="s">
        <v>768</v>
      </c>
      <c r="C4380" s="8" t="s">
        <v>693</v>
      </c>
      <c r="D4380" s="7">
        <v>1</v>
      </c>
      <c r="E4380" s="7">
        <v>10</v>
      </c>
      <c r="F4380" s="7">
        <v>1</v>
      </c>
      <c r="G4380" s="8" t="s">
        <v>656</v>
      </c>
      <c r="H4380" s="8" t="s">
        <v>657</v>
      </c>
      <c r="I4380" s="7" t="str">
        <f>_xlfn.CONCAT(Paper_Reference[[#This Row],[Lvl]:[Paper Description]])</f>
        <v>4NG63HA0311SBVYM03/8" GT Head (Dots) AG 43.5X141101110HA009-4300AMF BUTCHER BLOCK</v>
      </c>
      <c r="J4380" s="7">
        <f>COUNTIF(Paper_Reference[Duplicate Key],Paper_Reference[[#This Row],[Duplicate Key]])</f>
        <v>1</v>
      </c>
    </row>
    <row r="4381" spans="1:10">
      <c r="A4381" s="7">
        <v>4</v>
      </c>
      <c r="B4381" s="8" t="s">
        <v>769</v>
      </c>
      <c r="C4381" s="8" t="s">
        <v>704</v>
      </c>
      <c r="D4381" s="7">
        <v>1</v>
      </c>
      <c r="E4381" s="7">
        <v>10</v>
      </c>
      <c r="F4381" s="7">
        <v>1</v>
      </c>
      <c r="G4381" s="8" t="s">
        <v>656</v>
      </c>
      <c r="H4381" s="8" t="s">
        <v>657</v>
      </c>
      <c r="I4381" s="7" t="str">
        <f>_xlfn.CONCAT(Paper_Reference[[#This Row],[Lvl]:[Paper Description]])</f>
        <v>4NG63HA0312BPVYM0AMF GT AUB ARROW 43.5X1441101110HA009-4300AMF BUTCHER BLOCK</v>
      </c>
      <c r="J4381" s="7">
        <f>COUNTIF(Paper_Reference[Duplicate Key],Paper_Reference[[#This Row],[Duplicate Key]])</f>
        <v>1</v>
      </c>
    </row>
    <row r="4382" spans="1:10">
      <c r="A4382" s="7">
        <v>4</v>
      </c>
      <c r="B4382" s="8" t="s">
        <v>770</v>
      </c>
      <c r="C4382" s="8" t="s">
        <v>704</v>
      </c>
      <c r="D4382" s="7">
        <v>1</v>
      </c>
      <c r="E4382" s="7">
        <v>10</v>
      </c>
      <c r="F4382" s="7">
        <v>1</v>
      </c>
      <c r="G4382" s="8" t="s">
        <v>656</v>
      </c>
      <c r="H4382" s="8" t="s">
        <v>657</v>
      </c>
      <c r="I4382" s="7" t="str">
        <f>_xlfn.CONCAT(Paper_Reference[[#This Row],[Lvl]:[Paper Description]])</f>
        <v>4NG63HA0312SBVYM0AMF GT AUB ARROW 43.5X1441101110HA009-4300AMF BUTCHER BLOCK</v>
      </c>
      <c r="J4382" s="7">
        <f>COUNTIF(Paper_Reference[Duplicate Key],Paper_Reference[[#This Row],[Duplicate Key]])</f>
        <v>1</v>
      </c>
    </row>
    <row r="4383" spans="1:10">
      <c r="A4383" s="7">
        <v>4</v>
      </c>
      <c r="B4383" s="8" t="s">
        <v>771</v>
      </c>
      <c r="C4383" s="8" t="s">
        <v>705</v>
      </c>
      <c r="D4383" s="7">
        <v>1</v>
      </c>
      <c r="E4383" s="7">
        <v>10</v>
      </c>
      <c r="F4383" s="7">
        <v>1</v>
      </c>
      <c r="G4383" s="8" t="s">
        <v>656</v>
      </c>
      <c r="H4383" s="8" t="s">
        <v>657</v>
      </c>
      <c r="I4383" s="7" t="str">
        <f>_xlfn.CONCAT(Paper_Reference[[#This Row],[Lvl]:[Paper Description]])</f>
        <v>4NG63HA0321SBVYM0AMF GT A FOUL LINE 43.5X1441101110HA009-4300AMF BUTCHER BLOCK</v>
      </c>
      <c r="J4383" s="7">
        <f>COUNTIF(Paper_Reference[Duplicate Key],Paper_Reference[[#This Row],[Duplicate Key]])</f>
        <v>1</v>
      </c>
    </row>
    <row r="4384" spans="1:10">
      <c r="A4384" s="7">
        <v>4</v>
      </c>
      <c r="B4384" s="8" t="s">
        <v>772</v>
      </c>
      <c r="C4384" s="8" t="s">
        <v>701</v>
      </c>
      <c r="D4384" s="7">
        <v>1</v>
      </c>
      <c r="E4384" s="7">
        <v>10</v>
      </c>
      <c r="F4384" s="7">
        <v>1</v>
      </c>
      <c r="G4384" s="8" t="s">
        <v>656</v>
      </c>
      <c r="H4384" s="8" t="s">
        <v>657</v>
      </c>
      <c r="I4384" s="7" t="str">
        <f>_xlfn.CONCAT(Paper_Reference[[#This Row],[Lvl]:[Paper Description]])</f>
        <v>4NG63HA0334SBVYM03/8" GT CG Head  43.5 X 1441101110HA009-4300AMF BUTCHER BLOCK</v>
      </c>
      <c r="J4384" s="7">
        <f>COUNTIF(Paper_Reference[Duplicate Key],Paper_Reference[[#This Row],[Duplicate Key]])</f>
        <v>1</v>
      </c>
    </row>
    <row r="4385" spans="1:10">
      <c r="A4385" s="7">
        <v>4</v>
      </c>
      <c r="B4385" s="8" t="s">
        <v>773</v>
      </c>
      <c r="C4385" s="8" t="s">
        <v>702</v>
      </c>
      <c r="D4385" s="7">
        <v>1</v>
      </c>
      <c r="E4385" s="7">
        <v>10</v>
      </c>
      <c r="F4385" s="7">
        <v>1</v>
      </c>
      <c r="G4385" s="8" t="s">
        <v>656</v>
      </c>
      <c r="H4385" s="8" t="s">
        <v>657</v>
      </c>
      <c r="I4385" s="7" t="str">
        <f>_xlfn.CONCAT(Paper_Reference[[#This Row],[Lvl]:[Paper Description]])</f>
        <v>4NG63HA0335BPVYM03/8" GT CG FOUL  43.5 X 1441101110HA009-4300AMF BUTCHER BLOCK</v>
      </c>
      <c r="J4385" s="7">
        <f>COUNTIF(Paper_Reference[Duplicate Key],Paper_Reference[[#This Row],[Duplicate Key]])</f>
        <v>1</v>
      </c>
    </row>
    <row r="4386" spans="1:10">
      <c r="A4386" s="7">
        <v>4</v>
      </c>
      <c r="B4386" s="8" t="s">
        <v>774</v>
      </c>
      <c r="C4386" s="8" t="s">
        <v>702</v>
      </c>
      <c r="D4386" s="7">
        <v>1</v>
      </c>
      <c r="E4386" s="7">
        <v>10</v>
      </c>
      <c r="F4386" s="7">
        <v>1</v>
      </c>
      <c r="G4386" s="8" t="s">
        <v>656</v>
      </c>
      <c r="H4386" s="8" t="s">
        <v>657</v>
      </c>
      <c r="I4386" s="7" t="str">
        <f>_xlfn.CONCAT(Paper_Reference[[#This Row],[Lvl]:[Paper Description]])</f>
        <v>4NG63HA0335SBVYM03/8" GT CG FOUL  43.5 X 1441101110HA009-4300AMF BUTCHER BLOCK</v>
      </c>
      <c r="J4386" s="7">
        <f>COUNTIF(Paper_Reference[Duplicate Key],Paper_Reference[[#This Row],[Duplicate Key]])</f>
        <v>1</v>
      </c>
    </row>
    <row r="4387" spans="1:10">
      <c r="A4387" s="7">
        <v>2</v>
      </c>
      <c r="B4387" s="8" t="s">
        <v>775</v>
      </c>
      <c r="C4387" s="8" t="s">
        <v>683</v>
      </c>
      <c r="D4387" s="7">
        <v>1</v>
      </c>
      <c r="E4387" s="7">
        <v>10</v>
      </c>
      <c r="F4387" s="7">
        <v>1</v>
      </c>
      <c r="G4387" s="8" t="s">
        <v>656</v>
      </c>
      <c r="H4387" s="8" t="s">
        <v>657</v>
      </c>
      <c r="I4387" s="7" t="str">
        <f>_xlfn.CONCAT(Paper_Reference[[#This Row],[Lvl]:[Paper Description]])</f>
        <v>2NG78HA0010SBVYM0AMF PINE  43.5X1441101110HA009-4300AMF BUTCHER BLOCK</v>
      </c>
      <c r="J4387" s="7">
        <f>COUNTIF(Paper_Reference[Duplicate Key],Paper_Reference[[#This Row],[Duplicate Key]])</f>
        <v>1</v>
      </c>
    </row>
    <row r="4388" spans="1:10">
      <c r="A4388" s="7">
        <v>3</v>
      </c>
      <c r="B4388" s="8" t="s">
        <v>438</v>
      </c>
      <c r="C4388" s="8" t="s">
        <v>208</v>
      </c>
      <c r="D4388" s="7">
        <v>1</v>
      </c>
      <c r="E4388" s="7">
        <v>10</v>
      </c>
      <c r="F4388" s="7">
        <v>1</v>
      </c>
      <c r="G4388" s="8" t="s">
        <v>213</v>
      </c>
      <c r="H4388" s="8" t="s">
        <v>420</v>
      </c>
      <c r="I4388" s="7" t="str">
        <f>_xlfn.CONCAT(Paper_Reference[[#This Row],[Lvl]:[Paper Description]])</f>
        <v>3NG78HA0013SBYBF0AMF LONG APPR  R/E  61 X 143 31101110WM741-6200AMF MAPLE R/E</v>
      </c>
      <c r="J4388" s="7">
        <f>COUNTIF(Paper_Reference[Duplicate Key],Paper_Reference[[#This Row],[Duplicate Key]])</f>
        <v>1</v>
      </c>
    </row>
    <row r="4389" spans="1:10">
      <c r="A4389" s="7">
        <v>3</v>
      </c>
      <c r="B4389" s="8" t="s">
        <v>447</v>
      </c>
      <c r="C4389" s="8" t="s">
        <v>224</v>
      </c>
      <c r="D4389" s="7">
        <v>1</v>
      </c>
      <c r="E4389" s="7">
        <v>10</v>
      </c>
      <c r="F4389" s="7">
        <v>1</v>
      </c>
      <c r="G4389" s="8" t="s">
        <v>442</v>
      </c>
      <c r="H4389" s="8" t="s">
        <v>421</v>
      </c>
      <c r="I4389" s="7" t="str">
        <f>_xlfn.CONCAT(Paper_Reference[[#This Row],[Lvl]:[Paper Description]])</f>
        <v>3NG78HA0014SBYBF0AMF LONG APPR  L/O  61 X 143 31101110WM742-6200AMF MAPLE L/O</v>
      </c>
      <c r="J4389" s="7">
        <f>COUNTIF(Paper_Reference[Duplicate Key],Paper_Reference[[#This Row],[Duplicate Key]])</f>
        <v>1</v>
      </c>
    </row>
    <row r="4390" spans="1:10">
      <c r="A4390" s="7">
        <v>3</v>
      </c>
      <c r="B4390" s="8" t="s">
        <v>439</v>
      </c>
      <c r="C4390" s="8" t="s">
        <v>209</v>
      </c>
      <c r="D4390" s="7">
        <v>1</v>
      </c>
      <c r="E4390" s="7">
        <v>10</v>
      </c>
      <c r="F4390" s="7">
        <v>1</v>
      </c>
      <c r="G4390" s="8" t="s">
        <v>213</v>
      </c>
      <c r="H4390" s="8" t="s">
        <v>420</v>
      </c>
      <c r="I4390" s="7" t="str">
        <f>_xlfn.CONCAT(Paper_Reference[[#This Row],[Lvl]:[Paper Description]])</f>
        <v>3NG78HA0015SBYBF0AMF SHORT APPR  R/E  61 X 1431101110WM741-6200AMF MAPLE R/E</v>
      </c>
      <c r="J4390" s="7">
        <f>COUNTIF(Paper_Reference[Duplicate Key],Paper_Reference[[#This Row],[Duplicate Key]])</f>
        <v>1</v>
      </c>
    </row>
    <row r="4391" spans="1:10">
      <c r="A4391" s="7">
        <v>3</v>
      </c>
      <c r="B4391" s="8" t="s">
        <v>448</v>
      </c>
      <c r="C4391" s="8" t="s">
        <v>226</v>
      </c>
      <c r="D4391" s="7">
        <v>1</v>
      </c>
      <c r="E4391" s="7">
        <v>10</v>
      </c>
      <c r="F4391" s="7">
        <v>1</v>
      </c>
      <c r="G4391" s="8" t="s">
        <v>442</v>
      </c>
      <c r="H4391" s="8" t="s">
        <v>421</v>
      </c>
      <c r="I4391" s="7" t="str">
        <f>_xlfn.CONCAT(Paper_Reference[[#This Row],[Lvl]:[Paper Description]])</f>
        <v>3NG78HA0016SBYBF0AMF SHORT APPR L/O  61 X 143 31101110WM742-6200AMF MAPLE L/O</v>
      </c>
      <c r="J4391" s="7">
        <f>COUNTIF(Paper_Reference[Duplicate Key],Paper_Reference[[#This Row],[Duplicate Key]])</f>
        <v>1</v>
      </c>
    </row>
    <row r="4392" spans="1:10">
      <c r="A4392" s="7">
        <v>3</v>
      </c>
      <c r="B4392" s="8" t="s">
        <v>776</v>
      </c>
      <c r="C4392" s="8" t="s">
        <v>688</v>
      </c>
      <c r="D4392" s="7">
        <v>1</v>
      </c>
      <c r="E4392" s="7">
        <v>10</v>
      </c>
      <c r="F4392" s="7">
        <v>1</v>
      </c>
      <c r="G4392" s="8" t="s">
        <v>656</v>
      </c>
      <c r="H4392" s="8" t="s">
        <v>657</v>
      </c>
      <c r="I4392" s="7" t="str">
        <f>_xlfn.CONCAT(Paper_Reference[[#This Row],[Lvl]:[Paper Description]])</f>
        <v>3NG78HA0031SBVYM0AMF CG FOUL LINE 43.5 X 1441101110HA009-4300AMF BUTCHER BLOCK</v>
      </c>
      <c r="J4392" s="7">
        <f>COUNTIF(Paper_Reference[Duplicate Key],Paper_Reference[[#This Row],[Duplicate Key]])</f>
        <v>1</v>
      </c>
    </row>
    <row r="4393" spans="1:10">
      <c r="A4393" s="7">
        <v>3</v>
      </c>
      <c r="B4393" s="8" t="s">
        <v>777</v>
      </c>
      <c r="C4393" s="8" t="s">
        <v>690</v>
      </c>
      <c r="D4393" s="7">
        <v>1</v>
      </c>
      <c r="E4393" s="7">
        <v>10</v>
      </c>
      <c r="F4393" s="7">
        <v>1</v>
      </c>
      <c r="G4393" s="8" t="s">
        <v>656</v>
      </c>
      <c r="H4393" s="8" t="s">
        <v>657</v>
      </c>
      <c r="I4393" s="7" t="str">
        <f>_xlfn.CONCAT(Paper_Reference[[#This Row],[Lvl]:[Paper Description]])</f>
        <v>3NG78HA0033SBVYM0AMF SPL CG HEAD 43.5 X 1441101110HA009-4300AMF BUTCHER BLOCK</v>
      </c>
      <c r="J4393" s="7">
        <f>COUNTIF(Paper_Reference[Duplicate Key],Paper_Reference[[#This Row],[Duplicate Key]])</f>
        <v>1</v>
      </c>
    </row>
    <row r="4394" spans="1:10">
      <c r="A4394" s="7">
        <v>2</v>
      </c>
      <c r="B4394" s="8" t="s">
        <v>440</v>
      </c>
      <c r="C4394" s="8" t="s">
        <v>211</v>
      </c>
      <c r="D4394" s="7">
        <v>1</v>
      </c>
      <c r="E4394" s="7">
        <v>10</v>
      </c>
      <c r="F4394" s="7">
        <v>1</v>
      </c>
      <c r="G4394" s="8" t="s">
        <v>213</v>
      </c>
      <c r="H4394" s="8" t="s">
        <v>420</v>
      </c>
      <c r="I4394" s="7" t="str">
        <f>_xlfn.CONCAT(Paper_Reference[[#This Row],[Lvl]:[Paper Description]])</f>
        <v>2NG78HA0067SBYBF0AMF APPR PLAIN R/E  61 X 143 31101110WM741-6200AMF MAPLE R/E</v>
      </c>
      <c r="J4394" s="7">
        <f>COUNTIF(Paper_Reference[Duplicate Key],Paper_Reference[[#This Row],[Duplicate Key]])</f>
        <v>1</v>
      </c>
    </row>
    <row r="4395" spans="1:10">
      <c r="A4395" s="7">
        <v>3</v>
      </c>
      <c r="B4395" s="8" t="s">
        <v>449</v>
      </c>
      <c r="C4395" s="8" t="s">
        <v>227</v>
      </c>
      <c r="D4395" s="7">
        <v>1</v>
      </c>
      <c r="E4395" s="7">
        <v>10</v>
      </c>
      <c r="F4395" s="7">
        <v>1</v>
      </c>
      <c r="G4395" s="8" t="s">
        <v>442</v>
      </c>
      <c r="H4395" s="8" t="s">
        <v>421</v>
      </c>
      <c r="I4395" s="7" t="str">
        <f>_xlfn.CONCAT(Paper_Reference[[#This Row],[Lvl]:[Paper Description]])</f>
        <v>3NG78HA0108SBYBF0AMF APPR HALF L/0  61 X 143 3/1101110WM742-6200AMF MAPLE L/O</v>
      </c>
      <c r="J4395" s="7">
        <f>COUNTIF(Paper_Reference[Duplicate Key],Paper_Reference[[#This Row],[Duplicate Key]])</f>
        <v>1</v>
      </c>
    </row>
    <row r="4396" spans="1:10">
      <c r="A4396" s="7">
        <v>3</v>
      </c>
      <c r="B4396" s="8" t="s">
        <v>441</v>
      </c>
      <c r="C4396" s="8" t="s">
        <v>212</v>
      </c>
      <c r="D4396" s="7">
        <v>1</v>
      </c>
      <c r="E4396" s="7">
        <v>10</v>
      </c>
      <c r="F4396" s="7">
        <v>1</v>
      </c>
      <c r="G4396" s="8" t="s">
        <v>213</v>
      </c>
      <c r="H4396" s="8" t="s">
        <v>420</v>
      </c>
      <c r="I4396" s="7" t="str">
        <f>_xlfn.CONCAT(Paper_Reference[[#This Row],[Lvl]:[Paper Description]])</f>
        <v>3NG78HA0109SBYBF0AMF APPR HALF R/E  61 X 143 3/1101110WM741-6200AMF MAPLE R/E</v>
      </c>
      <c r="J4396" s="7">
        <f>COUNTIF(Paper_Reference[Duplicate Key],Paper_Reference[[#This Row],[Duplicate Key]])</f>
        <v>1</v>
      </c>
    </row>
    <row r="4397" spans="1:10">
      <c r="A4397" s="7">
        <v>3</v>
      </c>
      <c r="B4397" s="8" t="s">
        <v>778</v>
      </c>
      <c r="C4397" s="8" t="s">
        <v>706</v>
      </c>
      <c r="D4397" s="7">
        <v>1</v>
      </c>
      <c r="E4397" s="7">
        <v>10</v>
      </c>
      <c r="F4397" s="7">
        <v>1</v>
      </c>
      <c r="G4397" s="8" t="s">
        <v>656</v>
      </c>
      <c r="H4397" s="8" t="s">
        <v>657</v>
      </c>
      <c r="I4397" s="7" t="str">
        <f>_xlfn.CONCAT(Paper_Reference[[#This Row],[Lvl]:[Paper Description]])</f>
        <v>3NG78HA0110SBVYM01/2" GT PINE AG 43.5X1441101110HA009-4300AMF BUTCHER BLOCK</v>
      </c>
      <c r="J4397" s="7">
        <f>COUNTIF(Paper_Reference[Duplicate Key],Paper_Reference[[#This Row],[Duplicate Key]])</f>
        <v>1</v>
      </c>
    </row>
    <row r="4398" spans="1:10">
      <c r="A4398" s="7">
        <v>3</v>
      </c>
      <c r="B4398" s="8" t="s">
        <v>779</v>
      </c>
      <c r="C4398" s="8" t="s">
        <v>700</v>
      </c>
      <c r="D4398" s="7">
        <v>1</v>
      </c>
      <c r="E4398" s="7">
        <v>10</v>
      </c>
      <c r="F4398" s="7">
        <v>1</v>
      </c>
      <c r="G4398" s="8" t="s">
        <v>656</v>
      </c>
      <c r="H4398" s="8" t="s">
        <v>657</v>
      </c>
      <c r="I4398" s="7" t="str">
        <f>_xlfn.CONCAT(Paper_Reference[[#This Row],[Lvl]:[Paper Description]])</f>
        <v>3NG78HA0131SBVYM0AG GT CG Head with Foul Line 41101110HA009-4300AMF BUTCHER BLOCK</v>
      </c>
      <c r="J4398" s="7">
        <f>COUNTIF(Paper_Reference[Duplicate Key],Paper_Reference[[#This Row],[Duplicate Key]])</f>
        <v>1</v>
      </c>
    </row>
    <row r="4399" spans="1:10">
      <c r="A4399" s="7">
        <v>3</v>
      </c>
      <c r="B4399" s="8" t="s">
        <v>780</v>
      </c>
      <c r="C4399" s="8" t="s">
        <v>707</v>
      </c>
      <c r="D4399" s="7">
        <v>1</v>
      </c>
      <c r="E4399" s="7">
        <v>10</v>
      </c>
      <c r="F4399" s="7">
        <v>1</v>
      </c>
      <c r="G4399" s="8" t="s">
        <v>656</v>
      </c>
      <c r="H4399" s="8" t="s">
        <v>657</v>
      </c>
      <c r="I4399" s="7" t="str">
        <f>_xlfn.CONCAT(Paper_Reference[[#This Row],[Lvl]:[Paper Description]])</f>
        <v>3NG78HA0310SBVYM0AMF SPL GT PINE 43.5X1441101110HA009-4300AMF BUTCHER BLOCK</v>
      </c>
      <c r="J4399" s="7">
        <f>COUNTIF(Paper_Reference[Duplicate Key],Paper_Reference[[#This Row],[Duplicate Key]])</f>
        <v>1</v>
      </c>
    </row>
    <row r="4400" spans="1:10">
      <c r="A4400" s="7">
        <v>3</v>
      </c>
      <c r="B4400" s="8" t="s">
        <v>781</v>
      </c>
      <c r="C4400" s="8" t="s">
        <v>685</v>
      </c>
      <c r="D4400" s="7">
        <v>1</v>
      </c>
      <c r="E4400" s="7">
        <v>10</v>
      </c>
      <c r="F4400" s="7">
        <v>1</v>
      </c>
      <c r="G4400" s="8" t="s">
        <v>656</v>
      </c>
      <c r="H4400" s="8" t="s">
        <v>657</v>
      </c>
      <c r="I4400" s="7" t="str">
        <f>_xlfn.CONCAT(Paper_Reference[[#This Row],[Lvl]:[Paper Description]])</f>
        <v>3NG79HA0011SBVYM0AMF HEAD 43.5X1441101110HA009-4300AMF BUTCHER BLOCK</v>
      </c>
      <c r="J4400" s="7">
        <f>COUNTIF(Paper_Reference[Duplicate Key],Paper_Reference[[#This Row],[Duplicate Key]])</f>
        <v>1</v>
      </c>
    </row>
    <row r="4401" spans="1:10">
      <c r="A4401" s="7">
        <v>3</v>
      </c>
      <c r="B4401" s="8" t="s">
        <v>782</v>
      </c>
      <c r="C4401" s="8" t="s">
        <v>687</v>
      </c>
      <c r="D4401" s="7">
        <v>1</v>
      </c>
      <c r="E4401" s="7">
        <v>10</v>
      </c>
      <c r="F4401" s="7">
        <v>1</v>
      </c>
      <c r="G4401" s="8" t="s">
        <v>656</v>
      </c>
      <c r="H4401" s="8" t="s">
        <v>657</v>
      </c>
      <c r="I4401" s="7" t="str">
        <f>_xlfn.CONCAT(Paper_Reference[[#This Row],[Lvl]:[Paper Description]])</f>
        <v>3NG79HA0012SBVYM0AMF ARROW 43.5X1441101110HA009-4300AMF BUTCHER BLOCK</v>
      </c>
      <c r="J4401" s="7">
        <f>COUNTIF(Paper_Reference[Duplicate Key],Paper_Reference[[#This Row],[Duplicate Key]])</f>
        <v>1</v>
      </c>
    </row>
    <row r="4402" spans="1:10">
      <c r="A4402" s="7">
        <v>3</v>
      </c>
      <c r="B4402" s="8" t="s">
        <v>783</v>
      </c>
      <c r="C4402" s="8" t="s">
        <v>688</v>
      </c>
      <c r="D4402" s="7">
        <v>1</v>
      </c>
      <c r="E4402" s="7">
        <v>10</v>
      </c>
      <c r="F4402" s="7">
        <v>1</v>
      </c>
      <c r="G4402" s="8" t="s">
        <v>656</v>
      </c>
      <c r="H4402" s="8" t="s">
        <v>657</v>
      </c>
      <c r="I4402" s="7" t="str">
        <f>_xlfn.CONCAT(Paper_Reference[[#This Row],[Lvl]:[Paper Description]])</f>
        <v>3NG79HA0031SBVYM0AMF CG FOUL LINE 43.5 X 1441101110HA009-4300AMF BUTCHER BLOCK</v>
      </c>
      <c r="J4402" s="7">
        <f>COUNTIF(Paper_Reference[Duplicate Key],Paper_Reference[[#This Row],[Duplicate Key]])</f>
        <v>1</v>
      </c>
    </row>
    <row r="4403" spans="1:10">
      <c r="A4403" s="7">
        <v>3</v>
      </c>
      <c r="B4403" s="8" t="s">
        <v>784</v>
      </c>
      <c r="C4403" s="8" t="s">
        <v>690</v>
      </c>
      <c r="D4403" s="7">
        <v>1</v>
      </c>
      <c r="E4403" s="7">
        <v>10</v>
      </c>
      <c r="F4403" s="7">
        <v>1</v>
      </c>
      <c r="G4403" s="8" t="s">
        <v>656</v>
      </c>
      <c r="H4403" s="8" t="s">
        <v>657</v>
      </c>
      <c r="I4403" s="7" t="str">
        <f>_xlfn.CONCAT(Paper_Reference[[#This Row],[Lvl]:[Paper Description]])</f>
        <v>3NG79HA0033SBVYM0AMF SPL CG HEAD 43.5 X 1441101110HA009-4300AMF BUTCHER BLOCK</v>
      </c>
      <c r="J4403" s="7">
        <f>COUNTIF(Paper_Reference[Duplicate Key],Paper_Reference[[#This Row],[Duplicate Key]])</f>
        <v>1</v>
      </c>
    </row>
    <row r="4404" spans="1:10">
      <c r="A4404" s="7">
        <v>3</v>
      </c>
      <c r="B4404" s="8" t="s">
        <v>785</v>
      </c>
      <c r="C4404" s="8" t="s">
        <v>690</v>
      </c>
      <c r="D4404" s="7">
        <v>1</v>
      </c>
      <c r="E4404" s="7">
        <v>10</v>
      </c>
      <c r="F4404" s="7">
        <v>1</v>
      </c>
      <c r="G4404" s="8" t="s">
        <v>656</v>
      </c>
      <c r="H4404" s="8" t="s">
        <v>657</v>
      </c>
      <c r="I4404" s="7" t="str">
        <f>_xlfn.CONCAT(Paper_Reference[[#This Row],[Lvl]:[Paper Description]])</f>
        <v>3NG79HA0034SBVYM0AMF SPL CG HEAD 43.5 X 1441101110HA009-4300AMF BUTCHER BLOCK</v>
      </c>
      <c r="J4404" s="7">
        <f>COUNTIF(Paper_Reference[Duplicate Key],Paper_Reference[[#This Row],[Duplicate Key]])</f>
        <v>1</v>
      </c>
    </row>
    <row r="4405" spans="1:10">
      <c r="A4405" s="7">
        <v>3</v>
      </c>
      <c r="B4405" s="8" t="s">
        <v>786</v>
      </c>
      <c r="C4405" s="8" t="s">
        <v>688</v>
      </c>
      <c r="D4405" s="7">
        <v>1</v>
      </c>
      <c r="E4405" s="7">
        <v>10</v>
      </c>
      <c r="F4405" s="7">
        <v>1</v>
      </c>
      <c r="G4405" s="8" t="s">
        <v>656</v>
      </c>
      <c r="H4405" s="8" t="s">
        <v>657</v>
      </c>
      <c r="I4405" s="7" t="str">
        <f>_xlfn.CONCAT(Paper_Reference[[#This Row],[Lvl]:[Paper Description]])</f>
        <v>3NG79HA0035SBVYM0AMF CG FOUL LINE 43.5 X 1441101110HA009-4300AMF BUTCHER BLOCK</v>
      </c>
      <c r="J4405" s="7">
        <f>COUNTIF(Paper_Reference[Duplicate Key],Paper_Reference[[#This Row],[Duplicate Key]])</f>
        <v>1</v>
      </c>
    </row>
    <row r="4406" spans="1:10">
      <c r="A4406" s="7">
        <v>3</v>
      </c>
      <c r="B4406" s="8" t="s">
        <v>787</v>
      </c>
      <c r="C4406" s="8" t="s">
        <v>708</v>
      </c>
      <c r="D4406" s="7">
        <v>1</v>
      </c>
      <c r="E4406" s="7">
        <v>10</v>
      </c>
      <c r="F4406" s="7">
        <v>1</v>
      </c>
      <c r="G4406" s="8" t="s">
        <v>656</v>
      </c>
      <c r="H4406" s="8" t="s">
        <v>657</v>
      </c>
      <c r="I4406" s="7" t="str">
        <f>_xlfn.CONCAT(Paper_Reference[[#This Row],[Lvl]:[Paper Description]])</f>
        <v>3NG79HA0048SBVYM0AMF OLD ARROW PANEL 43.5X1441101110HA009-4300AMF BUTCHER BLOCK</v>
      </c>
      <c r="J4406" s="7">
        <f>COUNTIF(Paper_Reference[Duplicate Key],Paper_Reference[[#This Row],[Duplicate Key]])</f>
        <v>1</v>
      </c>
    </row>
    <row r="4407" spans="1:10">
      <c r="A4407" s="7">
        <v>3</v>
      </c>
      <c r="B4407" s="8" t="s">
        <v>788</v>
      </c>
      <c r="C4407" s="8" t="s">
        <v>709</v>
      </c>
      <c r="D4407" s="7">
        <v>1</v>
      </c>
      <c r="E4407" s="7">
        <v>10</v>
      </c>
      <c r="F4407" s="7">
        <v>1</v>
      </c>
      <c r="G4407" s="8" t="s">
        <v>656</v>
      </c>
      <c r="H4407" s="8" t="s">
        <v>657</v>
      </c>
      <c r="I4407" s="7" t="str">
        <f>_xlfn.CONCAT(Paper_Reference[[#This Row],[Lvl]:[Paper Description]])</f>
        <v>3NG79HA0049SBVYM0AMF OLD HEAD PANEL 43.5X1441101110HA009-4300AMF BUTCHER BLOCK</v>
      </c>
      <c r="J4407" s="7">
        <f>COUNTIF(Paper_Reference[Duplicate Key],Paper_Reference[[#This Row],[Duplicate Key]])</f>
        <v>1</v>
      </c>
    </row>
    <row r="4408" spans="1:10">
      <c r="A4408" s="7">
        <v>3</v>
      </c>
      <c r="B4408" s="8" t="s">
        <v>789</v>
      </c>
      <c r="C4408" s="8" t="s">
        <v>710</v>
      </c>
      <c r="D4408" s="7">
        <v>1</v>
      </c>
      <c r="E4408" s="7">
        <v>10</v>
      </c>
      <c r="F4408" s="7">
        <v>1</v>
      </c>
      <c r="G4408" s="8" t="s">
        <v>656</v>
      </c>
      <c r="H4408" s="8" t="s">
        <v>657</v>
      </c>
      <c r="I4408" s="7" t="str">
        <f>_xlfn.CONCAT(Paper_Reference[[#This Row],[Lvl]:[Paper Description]])</f>
        <v>3NG79HA0111SBVYM01/2" GT Head (Dots) AG 43.5X141101110HA009-4300AMF BUTCHER BLOCK</v>
      </c>
      <c r="J4408" s="7">
        <f>COUNTIF(Paper_Reference[Duplicate Key],Paper_Reference[[#This Row],[Duplicate Key]])</f>
        <v>1</v>
      </c>
    </row>
    <row r="4409" spans="1:10">
      <c r="A4409" s="7">
        <v>3</v>
      </c>
      <c r="B4409" s="8" t="s">
        <v>790</v>
      </c>
      <c r="C4409" s="8" t="s">
        <v>711</v>
      </c>
      <c r="D4409" s="7">
        <v>1</v>
      </c>
      <c r="E4409" s="7">
        <v>10</v>
      </c>
      <c r="F4409" s="7">
        <v>1</v>
      </c>
      <c r="G4409" s="8" t="s">
        <v>656</v>
      </c>
      <c r="H4409" s="8" t="s">
        <v>657</v>
      </c>
      <c r="I4409" s="7" t="str">
        <f>_xlfn.CONCAT(Paper_Reference[[#This Row],[Lvl]:[Paper Description]])</f>
        <v>3NG79HA0112SBVYM01/2" GT Arrows AG 43.5X1441101110HA009-4300AMF BUTCHER BLOCK</v>
      </c>
      <c r="J4409" s="7">
        <f>COUNTIF(Paper_Reference[Duplicate Key],Paper_Reference[[#This Row],[Duplicate Key]])</f>
        <v>1</v>
      </c>
    </row>
    <row r="4410" spans="1:10">
      <c r="A4410" s="7">
        <v>3</v>
      </c>
      <c r="B4410" s="8" t="s">
        <v>791</v>
      </c>
      <c r="C4410" s="8" t="s">
        <v>712</v>
      </c>
      <c r="D4410" s="7">
        <v>1</v>
      </c>
      <c r="E4410" s="7">
        <v>10</v>
      </c>
      <c r="F4410" s="7">
        <v>1</v>
      </c>
      <c r="G4410" s="8" t="s">
        <v>656</v>
      </c>
      <c r="H4410" s="8" t="s">
        <v>657</v>
      </c>
      <c r="I4410" s="7" t="str">
        <f>_xlfn.CONCAT(Paper_Reference[[#This Row],[Lvl]:[Paper Description]])</f>
        <v>3NG79HA0131SBVYM0AG GT CG HEAD W/ FOUL/L 43.5X11101110HA009-4300AMF BUTCHER BLOCK</v>
      </c>
      <c r="J4410" s="7">
        <f>COUNTIF(Paper_Reference[Duplicate Key],Paper_Reference[[#This Row],[Duplicate Key]])</f>
        <v>1</v>
      </c>
    </row>
    <row r="4411" spans="1:10">
      <c r="A4411" s="7">
        <v>3</v>
      </c>
      <c r="B4411" s="8" t="s">
        <v>792</v>
      </c>
      <c r="C4411" s="8" t="s">
        <v>713</v>
      </c>
      <c r="D4411" s="7">
        <v>1</v>
      </c>
      <c r="E4411" s="7">
        <v>10</v>
      </c>
      <c r="F4411" s="7">
        <v>1</v>
      </c>
      <c r="G4411" s="8" t="s">
        <v>656</v>
      </c>
      <c r="H4411" s="8" t="s">
        <v>657</v>
      </c>
      <c r="I4411" s="7" t="str">
        <f>_xlfn.CONCAT(Paper_Reference[[#This Row],[Lvl]:[Paper Description]])</f>
        <v>3NG79HA0133SBVYM0AG GT CG HEAD 43.5 X 1441101110HA009-4300AMF BUTCHER BLOCK</v>
      </c>
      <c r="J4411" s="7">
        <f>COUNTIF(Paper_Reference[Duplicate Key],Paper_Reference[[#This Row],[Duplicate Key]])</f>
        <v>1</v>
      </c>
    </row>
    <row r="4412" spans="1:10">
      <c r="A4412" s="7">
        <v>3</v>
      </c>
      <c r="B4412" s="8" t="s">
        <v>793</v>
      </c>
      <c r="C4412" s="8" t="s">
        <v>713</v>
      </c>
      <c r="D4412" s="7">
        <v>1</v>
      </c>
      <c r="E4412" s="7">
        <v>10</v>
      </c>
      <c r="F4412" s="7">
        <v>1</v>
      </c>
      <c r="G4412" s="8" t="s">
        <v>656</v>
      </c>
      <c r="H4412" s="8" t="s">
        <v>657</v>
      </c>
      <c r="I4412" s="7" t="str">
        <f>_xlfn.CONCAT(Paper_Reference[[#This Row],[Lvl]:[Paper Description]])</f>
        <v>3NG79HA0134SBVYM0AG GT CG HEAD 43.5 X 1441101110HA009-4300AMF BUTCHER BLOCK</v>
      </c>
      <c r="J4412" s="7">
        <f>COUNTIF(Paper_Reference[Duplicate Key],Paper_Reference[[#This Row],[Duplicate Key]])</f>
        <v>1</v>
      </c>
    </row>
    <row r="4413" spans="1:10">
      <c r="A4413" s="7">
        <v>3</v>
      </c>
      <c r="B4413" s="8" t="s">
        <v>794</v>
      </c>
      <c r="C4413" s="8" t="s">
        <v>712</v>
      </c>
      <c r="D4413" s="7">
        <v>1</v>
      </c>
      <c r="E4413" s="7">
        <v>10</v>
      </c>
      <c r="F4413" s="7">
        <v>1</v>
      </c>
      <c r="G4413" s="8" t="s">
        <v>656</v>
      </c>
      <c r="H4413" s="8" t="s">
        <v>657</v>
      </c>
      <c r="I4413" s="7" t="str">
        <f>_xlfn.CONCAT(Paper_Reference[[#This Row],[Lvl]:[Paper Description]])</f>
        <v>3NG79HA0135SBVYM0AG GT CG HEAD W/ FOUL/L 43.5X11101110HA009-4300AMF BUTCHER BLOCK</v>
      </c>
      <c r="J4413" s="7">
        <f>COUNTIF(Paper_Reference[Duplicate Key],Paper_Reference[[#This Row],[Duplicate Key]])</f>
        <v>1</v>
      </c>
    </row>
    <row r="4414" spans="1:10">
      <c r="A4414" s="7">
        <v>4</v>
      </c>
      <c r="B4414" s="8" t="s">
        <v>795</v>
      </c>
      <c r="C4414" s="8" t="s">
        <v>710</v>
      </c>
      <c r="D4414" s="7">
        <v>1</v>
      </c>
      <c r="E4414" s="7">
        <v>10</v>
      </c>
      <c r="F4414" s="7">
        <v>1</v>
      </c>
      <c r="G4414" s="8" t="s">
        <v>656</v>
      </c>
      <c r="H4414" s="8" t="s">
        <v>657</v>
      </c>
      <c r="I4414" s="7" t="str">
        <f>_xlfn.CONCAT(Paper_Reference[[#This Row],[Lvl]:[Paper Description]])</f>
        <v>4NG79HA0311SBVYM01/2" GT Head (Dots) AG 43.5X141101110HA009-4300AMF BUTCHER BLOCK</v>
      </c>
      <c r="J4414" s="7">
        <f>COUNTIF(Paper_Reference[Duplicate Key],Paper_Reference[[#This Row],[Duplicate Key]])</f>
        <v>1</v>
      </c>
    </row>
    <row r="4415" spans="1:10">
      <c r="A4415" s="7">
        <v>4</v>
      </c>
      <c r="B4415" s="8" t="s">
        <v>796</v>
      </c>
      <c r="C4415" s="8" t="s">
        <v>714</v>
      </c>
      <c r="D4415" s="7">
        <v>1</v>
      </c>
      <c r="E4415" s="7">
        <v>10</v>
      </c>
      <c r="F4415" s="7">
        <v>1</v>
      </c>
      <c r="G4415" s="8" t="s">
        <v>656</v>
      </c>
      <c r="H4415" s="8" t="s">
        <v>657</v>
      </c>
      <c r="I4415" s="7" t="str">
        <f>_xlfn.CONCAT(Paper_Reference[[#This Row],[Lvl]:[Paper Description]])</f>
        <v>4NG79HA0312SBVYM0AMF SPL GT ARROW 43.5X1441101110HA009-4300AMF BUTCHER BLOCK</v>
      </c>
      <c r="J4415" s="7">
        <f>COUNTIF(Paper_Reference[Duplicate Key],Paper_Reference[[#This Row],[Duplicate Key]])</f>
        <v>1</v>
      </c>
    </row>
    <row r="4416" spans="1:10">
      <c r="A4416" s="7">
        <v>4</v>
      </c>
      <c r="B4416" s="8" t="s">
        <v>797</v>
      </c>
      <c r="C4416" s="8" t="s">
        <v>715</v>
      </c>
      <c r="D4416" s="7">
        <v>1</v>
      </c>
      <c r="E4416" s="7">
        <v>10</v>
      </c>
      <c r="F4416" s="7">
        <v>1</v>
      </c>
      <c r="G4416" s="8" t="s">
        <v>656</v>
      </c>
      <c r="H4416" s="8" t="s">
        <v>657</v>
      </c>
      <c r="I4416" s="7" t="str">
        <f>_xlfn.CONCAT(Paper_Reference[[#This Row],[Lvl]:[Paper Description]])</f>
        <v>4NG79HA0334SBVYM01/2" GT CG Head  43.5 X 1441101110HA009-4300AMF BUTCHER BLOCK</v>
      </c>
      <c r="J4416" s="7">
        <f>COUNTIF(Paper_Reference[Duplicate Key],Paper_Reference[[#This Row],[Duplicate Key]])</f>
        <v>1</v>
      </c>
    </row>
    <row r="4417" spans="1:10">
      <c r="A4417" s="7">
        <v>2</v>
      </c>
      <c r="B4417" s="8" t="s">
        <v>5281</v>
      </c>
      <c r="C4417" s="8" t="s">
        <v>4570</v>
      </c>
      <c r="D4417" s="7">
        <v>1</v>
      </c>
      <c r="E4417" s="7">
        <v>10</v>
      </c>
      <c r="F4417" s="7">
        <v>1</v>
      </c>
      <c r="G4417" s="8" t="s">
        <v>4371</v>
      </c>
      <c r="H4417" s="8" t="s">
        <v>4372</v>
      </c>
      <c r="I4417" s="7" t="str">
        <f>_xlfn.CONCAT(Paper_Reference[[#This Row],[Lvl]:[Paper Description]])</f>
        <v>2NH28S-6053CA5200JETT BLACK 60 X1441101100DS064-6200BLACK</v>
      </c>
      <c r="J4417" s="7">
        <f>COUNTIF(Paper_Reference[Duplicate Key],Paper_Reference[[#This Row],[Duplicate Key]])</f>
        <v>1</v>
      </c>
    </row>
    <row r="4418" spans="1:10">
      <c r="A4418" s="7">
        <v>2</v>
      </c>
      <c r="B4418" s="8" t="s">
        <v>3677</v>
      </c>
      <c r="C4418" s="8" t="s">
        <v>3235</v>
      </c>
      <c r="D4418" s="7">
        <v>1</v>
      </c>
      <c r="E4418" s="7">
        <v>10</v>
      </c>
      <c r="F4418" s="7">
        <v>1</v>
      </c>
      <c r="G4418" s="8" t="s">
        <v>3230</v>
      </c>
      <c r="H4418" s="8" t="s">
        <v>3231</v>
      </c>
      <c r="I4418" s="7" t="str">
        <f>_xlfn.CONCAT(Paper_Reference[[#This Row],[Lvl]:[Paper Description]])</f>
        <v>2NH28S-7036CA4800PRECISION WHITE 48 X 961101110SW736-5000PRECISION WHITE 43 X 145</v>
      </c>
      <c r="J4418" s="7">
        <f>COUNTIF(Paper_Reference[Duplicate Key],Paper_Reference[[#This Row],[Duplicate Key]])</f>
        <v>1</v>
      </c>
    </row>
    <row r="4419" spans="1:10">
      <c r="A4419" s="7">
        <v>2</v>
      </c>
      <c r="B4419" s="8" t="s">
        <v>4075</v>
      </c>
      <c r="C4419" s="8" t="s">
        <v>3766</v>
      </c>
      <c r="D4419" s="7">
        <v>1</v>
      </c>
      <c r="E4419" s="7">
        <v>10</v>
      </c>
      <c r="F4419" s="7">
        <v>1</v>
      </c>
      <c r="G4419" s="8" t="s">
        <v>3826</v>
      </c>
      <c r="H4419" s="8" t="s">
        <v>3827</v>
      </c>
      <c r="I4419" s="7" t="str">
        <f>_xlfn.CONCAT(Paper_Reference[[#This Row],[Lvl]:[Paper Description]])</f>
        <v>2NH28S-7036CA5200PRECISION WHITE 60 X 1441101110SW736-6200PRECISION WHITE 62"</v>
      </c>
      <c r="J4419" s="7">
        <f>COUNTIF(Paper_Reference[Duplicate Key],Paper_Reference[[#This Row],[Duplicate Key]])</f>
        <v>1</v>
      </c>
    </row>
    <row r="4420" spans="1:10">
      <c r="A4420" s="7">
        <v>2</v>
      </c>
      <c r="B4420" s="8" t="s">
        <v>4076</v>
      </c>
      <c r="C4420" s="8" t="s">
        <v>3766</v>
      </c>
      <c r="D4420" s="7">
        <v>1</v>
      </c>
      <c r="E4420" s="7">
        <v>10</v>
      </c>
      <c r="F4420" s="7">
        <v>1</v>
      </c>
      <c r="G4420" s="8" t="s">
        <v>3826</v>
      </c>
      <c r="H4420" s="8" t="s">
        <v>3827</v>
      </c>
      <c r="I4420" s="7" t="str">
        <f>_xlfn.CONCAT(Paper_Reference[[#This Row],[Lvl]:[Paper Description]])</f>
        <v>2NH28S-7036CA5201PRECISION WHITE 60 X 1441101110SW736-6200PRECISION WHITE 62"</v>
      </c>
      <c r="J4420" s="7">
        <f>COUNTIF(Paper_Reference[Duplicate Key],Paper_Reference[[#This Row],[Duplicate Key]])</f>
        <v>1</v>
      </c>
    </row>
    <row r="4421" spans="1:10">
      <c r="A4421" s="7">
        <v>2</v>
      </c>
      <c r="B4421" s="8" t="s">
        <v>5282</v>
      </c>
      <c r="C4421" s="8" t="s">
        <v>4560</v>
      </c>
      <c r="D4421" s="7">
        <v>1</v>
      </c>
      <c r="E4421" s="7">
        <v>10</v>
      </c>
      <c r="F4421" s="7">
        <v>0.5</v>
      </c>
      <c r="G4421" s="8" t="s">
        <v>4371</v>
      </c>
      <c r="H4421" s="8" t="s">
        <v>4372</v>
      </c>
      <c r="I4421" s="7" t="str">
        <f>_xlfn.CONCAT(Paper_Reference[[#This Row],[Lvl]:[Paper Description]])</f>
        <v>2NH39S-6053CA0000JETT BLACK 30 X 1201100.5100DS064-6200BLACK</v>
      </c>
      <c r="J4421" s="7">
        <f>COUNTIF(Paper_Reference[Duplicate Key],Paper_Reference[[#This Row],[Duplicate Key]])</f>
        <v>1</v>
      </c>
    </row>
    <row r="4422" spans="1:10">
      <c r="A4422" s="7">
        <v>2</v>
      </c>
      <c r="B4422" s="8" t="s">
        <v>5283</v>
      </c>
      <c r="C4422" s="8" t="s">
        <v>4564</v>
      </c>
      <c r="D4422" s="7">
        <v>1</v>
      </c>
      <c r="E4422" s="7">
        <v>10</v>
      </c>
      <c r="F4422" s="7">
        <v>0.5</v>
      </c>
      <c r="G4422" s="8" t="s">
        <v>4371</v>
      </c>
      <c r="H4422" s="8" t="s">
        <v>4372</v>
      </c>
      <c r="I4422" s="7" t="str">
        <f>_xlfn.CONCAT(Paper_Reference[[#This Row],[Lvl]:[Paper Description]])</f>
        <v>2NH39S-6053CA0800JETT BLACK 30 X 961100.5100DS064-6200BLACK</v>
      </c>
      <c r="J4422" s="7">
        <f>COUNTIF(Paper_Reference[Duplicate Key],Paper_Reference[[#This Row],[Duplicate Key]])</f>
        <v>1</v>
      </c>
    </row>
    <row r="4423" spans="1:10">
      <c r="A4423" s="7">
        <v>2</v>
      </c>
      <c r="B4423" s="8" t="s">
        <v>5284</v>
      </c>
      <c r="C4423" s="8" t="s">
        <v>4527</v>
      </c>
      <c r="D4423" s="7">
        <v>1</v>
      </c>
      <c r="E4423" s="7">
        <v>10</v>
      </c>
      <c r="F4423" s="7">
        <v>1</v>
      </c>
      <c r="G4423" s="8" t="s">
        <v>4371</v>
      </c>
      <c r="H4423" s="8" t="s">
        <v>4372</v>
      </c>
      <c r="I4423" s="7" t="str">
        <f>_xlfn.CONCAT(Paper_Reference[[#This Row],[Lvl]:[Paper Description]])</f>
        <v>2NH39S-6053CA5200JETT BLACK 60 X 1441101100DS064-6200BLACK</v>
      </c>
      <c r="J4423" s="7">
        <f>COUNTIF(Paper_Reference[Duplicate Key],Paper_Reference[[#This Row],[Duplicate Key]])</f>
        <v>1</v>
      </c>
    </row>
    <row r="4424" spans="1:10">
      <c r="A4424" s="7">
        <v>2</v>
      </c>
      <c r="B4424" s="8" t="s">
        <v>4077</v>
      </c>
      <c r="C4424" s="8" t="s">
        <v>3766</v>
      </c>
      <c r="D4424" s="7">
        <v>1</v>
      </c>
      <c r="E4424" s="7">
        <v>10</v>
      </c>
      <c r="F4424" s="7">
        <v>1</v>
      </c>
      <c r="G4424" s="8" t="s">
        <v>3826</v>
      </c>
      <c r="H4424" s="8" t="s">
        <v>3827</v>
      </c>
      <c r="I4424" s="7" t="str">
        <f>_xlfn.CONCAT(Paper_Reference[[#This Row],[Lvl]:[Paper Description]])</f>
        <v>2NH39S-7036CA5200PRECISION WHITE 60 X 1441101110SW736-6200PRECISION WHITE 62"</v>
      </c>
      <c r="J4424" s="7">
        <f>COUNTIF(Paper_Reference[Duplicate Key],Paper_Reference[[#This Row],[Duplicate Key]])</f>
        <v>1</v>
      </c>
    </row>
    <row r="4425" spans="1:10">
      <c r="A4425" s="7">
        <v>2</v>
      </c>
      <c r="B4425" s="8" t="s">
        <v>5285</v>
      </c>
      <c r="C4425" s="8" t="s">
        <v>4527</v>
      </c>
      <c r="D4425" s="7">
        <v>1</v>
      </c>
      <c r="E4425" s="7">
        <v>10</v>
      </c>
      <c r="F4425" s="7">
        <v>1</v>
      </c>
      <c r="G4425" s="8" t="s">
        <v>4371</v>
      </c>
      <c r="H4425" s="8" t="s">
        <v>4372</v>
      </c>
      <c r="I4425" s="7" t="str">
        <f>_xlfn.CONCAT(Paper_Reference[[#This Row],[Lvl]:[Paper Description]])</f>
        <v>2NH48S-6053CA5200JETT BLACK 60 X 1441101100DS064-6200BLACK</v>
      </c>
      <c r="J4425" s="7">
        <f>COUNTIF(Paper_Reference[Duplicate Key],Paper_Reference[[#This Row],[Duplicate Key]])</f>
        <v>1</v>
      </c>
    </row>
    <row r="4426" spans="1:10">
      <c r="A4426" s="7">
        <v>2</v>
      </c>
      <c r="B4426" s="8" t="s">
        <v>3678</v>
      </c>
      <c r="C4426" s="8" t="s">
        <v>3235</v>
      </c>
      <c r="D4426" s="7">
        <v>1</v>
      </c>
      <c r="E4426" s="7">
        <v>10</v>
      </c>
      <c r="F4426" s="7">
        <v>1</v>
      </c>
      <c r="G4426" s="8" t="s">
        <v>3230</v>
      </c>
      <c r="H4426" s="8" t="s">
        <v>3231</v>
      </c>
      <c r="I4426" s="7" t="str">
        <f>_xlfn.CONCAT(Paper_Reference[[#This Row],[Lvl]:[Paper Description]])</f>
        <v>2NH48S-7036CA4800PRECISION WHITE 48 X 961101110SW736-5000PRECISION WHITE 43 X 145</v>
      </c>
      <c r="J4426" s="7">
        <f>COUNTIF(Paper_Reference[Duplicate Key],Paper_Reference[[#This Row],[Duplicate Key]])</f>
        <v>1</v>
      </c>
    </row>
    <row r="4427" spans="1:10">
      <c r="A4427" s="7">
        <v>2</v>
      </c>
      <c r="B4427" s="8" t="s">
        <v>4078</v>
      </c>
      <c r="C4427" s="8" t="s">
        <v>3781</v>
      </c>
      <c r="D4427" s="7">
        <v>1</v>
      </c>
      <c r="E4427" s="7">
        <v>10</v>
      </c>
      <c r="F4427" s="7">
        <v>1</v>
      </c>
      <c r="G4427" s="8" t="s">
        <v>3826</v>
      </c>
      <c r="H4427" s="8" t="s">
        <v>3827</v>
      </c>
      <c r="I4427" s="7" t="str">
        <f>_xlfn.CONCAT(Paper_Reference[[#This Row],[Lvl]:[Paper Description]])</f>
        <v>2NH48S-7036CA5200PRECISION WHITE  60 X 1441101110SW736-6200PRECISION WHITE 62"</v>
      </c>
      <c r="J4427" s="7">
        <f>COUNTIF(Paper_Reference[Duplicate Key],Paper_Reference[[#This Row],[Duplicate Key]])</f>
        <v>1</v>
      </c>
    </row>
    <row r="4428" spans="1:10">
      <c r="A4428" s="7">
        <v>2</v>
      </c>
      <c r="B4428" s="8" t="s">
        <v>3679</v>
      </c>
      <c r="C4428" s="8" t="s">
        <v>3291</v>
      </c>
      <c r="D4428" s="7">
        <v>1</v>
      </c>
      <c r="E4428" s="7">
        <v>10</v>
      </c>
      <c r="F4428" s="7">
        <v>2</v>
      </c>
      <c r="G4428" s="8" t="s">
        <v>3230</v>
      </c>
      <c r="H4428" s="8" t="s">
        <v>3231</v>
      </c>
      <c r="I4428" s="7" t="str">
        <f>_xlfn.CONCAT(Paper_Reference[[#This Row],[Lvl]:[Paper Description]])</f>
        <v>2NHD8S-7036CACIG0PRECISION WHITE 49 x 971102110SW736-5000PRECISION WHITE 43 X 145</v>
      </c>
      <c r="J4428" s="7">
        <f>COUNTIF(Paper_Reference[Duplicate Key],Paper_Reference[[#This Row],[Duplicate Key]])</f>
        <v>1</v>
      </c>
    </row>
    <row r="4429" spans="1:10">
      <c r="A4429" s="7">
        <v>2</v>
      </c>
      <c r="B4429" s="8" t="s">
        <v>4079</v>
      </c>
      <c r="C4429" s="8" t="s">
        <v>3810</v>
      </c>
      <c r="D4429" s="7">
        <v>1</v>
      </c>
      <c r="E4429" s="7">
        <v>10</v>
      </c>
      <c r="F4429" s="7">
        <v>2</v>
      </c>
      <c r="G4429" s="8" t="s">
        <v>3826</v>
      </c>
      <c r="H4429" s="8" t="s">
        <v>3827</v>
      </c>
      <c r="I4429" s="7" t="str">
        <f>_xlfn.CONCAT(Paper_Reference[[#This Row],[Lvl]:[Paper Description]])</f>
        <v>2NHD8S-7036CADAN0PRECISION WHITE 61 X 1451102110SW736-6200PRECISION WHITE 62"</v>
      </c>
      <c r="J4429" s="7">
        <f>COUNTIF(Paper_Reference[Duplicate Key],Paper_Reference[[#This Row],[Duplicate Key]])</f>
        <v>1</v>
      </c>
    </row>
    <row r="4430" spans="1:10">
      <c r="A4430" s="7">
        <v>2</v>
      </c>
      <c r="B4430" s="8" t="s">
        <v>3680</v>
      </c>
      <c r="C4430" s="8" t="s">
        <v>3292</v>
      </c>
      <c r="D4430" s="7">
        <v>1</v>
      </c>
      <c r="E4430" s="7">
        <v>10</v>
      </c>
      <c r="F4430" s="7">
        <v>2</v>
      </c>
      <c r="G4430" s="8" t="s">
        <v>3230</v>
      </c>
      <c r="H4430" s="8" t="s">
        <v>3231</v>
      </c>
      <c r="I4430" s="7" t="str">
        <f>_xlfn.CONCAT(Paper_Reference[[#This Row],[Lvl]:[Paper Description]])</f>
        <v>2NHD8S-7036CAQWJ0PRECISION WHITE 36 1/2 X 96 3/1102110SW736-5000PRECISION WHITE 43 X 145</v>
      </c>
      <c r="J4430" s="7">
        <f>COUNTIF(Paper_Reference[Duplicate Key],Paper_Reference[[#This Row],[Duplicate Key]])</f>
        <v>1</v>
      </c>
    </row>
    <row r="4431" spans="1:10">
      <c r="A4431" s="7">
        <v>2</v>
      </c>
      <c r="B4431" s="8" t="s">
        <v>5286</v>
      </c>
      <c r="C4431" s="8" t="s">
        <v>4526</v>
      </c>
      <c r="D4431" s="7">
        <v>1</v>
      </c>
      <c r="E4431" s="7">
        <v>10</v>
      </c>
      <c r="F4431" s="7">
        <v>2</v>
      </c>
      <c r="G4431" s="8" t="s">
        <v>4371</v>
      </c>
      <c r="H4431" s="8" t="s">
        <v>4372</v>
      </c>
      <c r="I4431" s="7" t="str">
        <f>_xlfn.CONCAT(Paper_Reference[[#This Row],[Lvl]:[Paper Description]])</f>
        <v>2NHDIS-6053CA5000JETT BLACK 60 X 1201102100DS064-6200BLACK</v>
      </c>
      <c r="J4431" s="7">
        <f>COUNTIF(Paper_Reference[Duplicate Key],Paper_Reference[[#This Row],[Duplicate Key]])</f>
        <v>1</v>
      </c>
    </row>
    <row r="4432" spans="1:10">
      <c r="A4432" s="7">
        <v>2</v>
      </c>
      <c r="B4432" s="8" t="s">
        <v>5287</v>
      </c>
      <c r="C4432" s="8" t="s">
        <v>4526</v>
      </c>
      <c r="D4432" s="7">
        <v>1</v>
      </c>
      <c r="E4432" s="7">
        <v>10</v>
      </c>
      <c r="F4432" s="7">
        <v>2</v>
      </c>
      <c r="G4432" s="8" t="s">
        <v>4371</v>
      </c>
      <c r="H4432" s="8" t="s">
        <v>4372</v>
      </c>
      <c r="I4432" s="7" t="str">
        <f>_xlfn.CONCAT(Paper_Reference[[#This Row],[Lvl]:[Paper Description]])</f>
        <v>2NHDIS-6053CA5001JETT BLACK 60 X 1201102100DS064-6200BLACK</v>
      </c>
      <c r="J4432" s="7">
        <f>COUNTIF(Paper_Reference[Duplicate Key],Paper_Reference[[#This Row],[Duplicate Key]])</f>
        <v>1</v>
      </c>
    </row>
    <row r="4433" spans="1:10">
      <c r="A4433" s="7">
        <v>2</v>
      </c>
      <c r="B4433" s="8" t="s">
        <v>3681</v>
      </c>
      <c r="C4433" s="8" t="s">
        <v>3235</v>
      </c>
      <c r="D4433" s="7">
        <v>1</v>
      </c>
      <c r="E4433" s="7">
        <v>10</v>
      </c>
      <c r="F4433" s="7">
        <v>1</v>
      </c>
      <c r="G4433" s="8" t="s">
        <v>3230</v>
      </c>
      <c r="H4433" s="8" t="s">
        <v>3231</v>
      </c>
      <c r="I4433" s="7" t="str">
        <f>_xlfn.CONCAT(Paper_Reference[[#This Row],[Lvl]:[Paper Description]])</f>
        <v>2NI48S-7036E-4800PRECISION WHITE 48 X 961101110SW736-5000PRECISION WHITE 43 X 145</v>
      </c>
      <c r="J4433" s="7">
        <f>COUNTIF(Paper_Reference[Duplicate Key],Paper_Reference[[#This Row],[Duplicate Key]])</f>
        <v>1</v>
      </c>
    </row>
    <row r="4434" spans="1:10">
      <c r="A4434" s="7">
        <v>2</v>
      </c>
      <c r="B4434" s="8" t="s">
        <v>3682</v>
      </c>
      <c r="C4434" s="8" t="s">
        <v>3235</v>
      </c>
      <c r="D4434" s="7">
        <v>1</v>
      </c>
      <c r="E4434" s="7">
        <v>10</v>
      </c>
      <c r="F4434" s="7">
        <v>1</v>
      </c>
      <c r="G4434" s="8" t="s">
        <v>3230</v>
      </c>
      <c r="H4434" s="8" t="s">
        <v>3231</v>
      </c>
      <c r="I4434" s="7" t="str">
        <f>_xlfn.CONCAT(Paper_Reference[[#This Row],[Lvl]:[Paper Description]])</f>
        <v>2NI48S-7036SD4800PRECISION WHITE 48 X 961101110SW736-5000PRECISION WHITE 43 X 145</v>
      </c>
      <c r="J4434" s="7">
        <f>COUNTIF(Paper_Reference[Duplicate Key],Paper_Reference[[#This Row],[Duplicate Key]])</f>
        <v>1</v>
      </c>
    </row>
    <row r="4435" spans="1:10">
      <c r="A4435" s="7">
        <v>2</v>
      </c>
      <c r="B4435" s="8" t="s">
        <v>4080</v>
      </c>
      <c r="C4435" s="8" t="s">
        <v>3811</v>
      </c>
      <c r="D4435" s="7">
        <v>1</v>
      </c>
      <c r="E4435" s="7">
        <v>10</v>
      </c>
      <c r="F4435" s="7">
        <v>1</v>
      </c>
      <c r="G4435" s="8" t="s">
        <v>3826</v>
      </c>
      <c r="H4435" s="8" t="s">
        <v>3827</v>
      </c>
      <c r="I4435" s="7" t="str">
        <f>_xlfn.CONCAT(Paper_Reference[[#This Row],[Lvl]:[Paper Description]])</f>
        <v>2NI48S-7036SD5000PRECISION WHITE H/W 60 X 1201101110SW736-6200PRECISION WHITE 62"</v>
      </c>
      <c r="J4435" s="7">
        <f>COUNTIF(Paper_Reference[Duplicate Key],Paper_Reference[[#This Row],[Duplicate Key]])</f>
        <v>1</v>
      </c>
    </row>
    <row r="4436" spans="1:10">
      <c r="A4436" s="7">
        <v>2</v>
      </c>
      <c r="B4436" s="8" t="s">
        <v>5368</v>
      </c>
      <c r="C4436" s="8" t="s">
        <v>5365</v>
      </c>
      <c r="D4436" s="7">
        <v>1</v>
      </c>
      <c r="E4436" s="7">
        <v>10</v>
      </c>
      <c r="F4436" s="7">
        <v>1</v>
      </c>
      <c r="G4436" s="8" t="s">
        <v>5363</v>
      </c>
      <c r="H4436" s="8" t="s">
        <v>5364</v>
      </c>
      <c r="I4436" s="7" t="str">
        <f>_xlfn.CONCAT(Paper_Reference[[#This Row],[Lvl]:[Paper Description]])</f>
        <v>2NJ06HA0010BP4200AMF PINE  48X1441101110WM742-5000AMF MAPLE L/O (CUT DOWN)</v>
      </c>
      <c r="J4436" s="7">
        <f>COUNTIF(Paper_Reference[Duplicate Key],Paper_Reference[[#This Row],[Duplicate Key]])</f>
        <v>1</v>
      </c>
    </row>
    <row r="4437" spans="1:10">
      <c r="A4437" s="7">
        <v>2</v>
      </c>
      <c r="B4437" s="8" t="s">
        <v>5369</v>
      </c>
      <c r="C4437" s="8" t="s">
        <v>5365</v>
      </c>
      <c r="D4437" s="7">
        <v>1</v>
      </c>
      <c r="E4437" s="7">
        <v>10</v>
      </c>
      <c r="F4437" s="7">
        <v>1</v>
      </c>
      <c r="G4437" s="8" t="s">
        <v>5363</v>
      </c>
      <c r="H4437" s="8" t="s">
        <v>5364</v>
      </c>
      <c r="I4437" s="7" t="str">
        <f>_xlfn.CONCAT(Paper_Reference[[#This Row],[Lvl]:[Paper Description]])</f>
        <v>2NJ06HA0010SB4200AMF PINE  48X1441101110WM742-5000AMF MAPLE L/O (CUT DOWN)</v>
      </c>
      <c r="J4437" s="7">
        <f>COUNTIF(Paper_Reference[Duplicate Key],Paper_Reference[[#This Row],[Duplicate Key]])</f>
        <v>1</v>
      </c>
    </row>
    <row r="4438" spans="1:10">
      <c r="A4438" s="7">
        <v>2</v>
      </c>
      <c r="B4438" s="8" t="s">
        <v>3683</v>
      </c>
      <c r="C4438" s="8" t="s">
        <v>3293</v>
      </c>
      <c r="D4438" s="7">
        <v>1</v>
      </c>
      <c r="E4438" s="7">
        <v>10</v>
      </c>
      <c r="F4438" s="7">
        <v>1</v>
      </c>
      <c r="G4438" s="8" t="s">
        <v>3230</v>
      </c>
      <c r="H4438" s="8" t="s">
        <v>3231</v>
      </c>
      <c r="I4438" s="7" t="str">
        <f>_xlfn.CONCAT(Paper_Reference[[#This Row],[Lvl]:[Paper Description]])</f>
        <v>2NJ07H31945BP4200AMF WHITE PLUGS 48 X 1441101110SW736-5000PRECISION WHITE 43 X 145</v>
      </c>
      <c r="J4438" s="7">
        <f>COUNTIF(Paper_Reference[Duplicate Key],Paper_Reference[[#This Row],[Duplicate Key]])</f>
        <v>1</v>
      </c>
    </row>
    <row r="4439" spans="1:10">
      <c r="A4439" s="7">
        <v>2</v>
      </c>
      <c r="B4439" s="8" t="s">
        <v>3684</v>
      </c>
      <c r="C4439" s="8" t="s">
        <v>3294</v>
      </c>
      <c r="D4439" s="7">
        <v>1</v>
      </c>
      <c r="E4439" s="7">
        <v>10</v>
      </c>
      <c r="F4439" s="7">
        <v>1</v>
      </c>
      <c r="G4439" s="8" t="s">
        <v>3230</v>
      </c>
      <c r="H4439" s="8" t="s">
        <v>3231</v>
      </c>
      <c r="I4439" s="7" t="str">
        <f>_xlfn.CONCAT(Paper_Reference[[#This Row],[Lvl]:[Paper Description]])</f>
        <v>2NJ07H31945SB4200AMF WHITE LAMINATE FOR PLUGS 41101110SW736-5000PRECISION WHITE 43 X 145</v>
      </c>
      <c r="J4439" s="7">
        <f>COUNTIF(Paper_Reference[Duplicate Key],Paper_Reference[[#This Row],[Duplicate Key]])</f>
        <v>1</v>
      </c>
    </row>
    <row r="4440" spans="1:10">
      <c r="A4440" s="7">
        <v>2</v>
      </c>
      <c r="B4440" s="8" t="s">
        <v>938</v>
      </c>
      <c r="C4440" s="8" t="s">
        <v>939</v>
      </c>
      <c r="D4440" s="7">
        <v>1</v>
      </c>
      <c r="E4440" s="7">
        <v>10</v>
      </c>
      <c r="F4440" s="7">
        <v>1</v>
      </c>
      <c r="G4440" s="8" t="s">
        <v>5363</v>
      </c>
      <c r="H4440" s="8" t="s">
        <v>5364</v>
      </c>
      <c r="I4440" s="7" t="str">
        <f>_xlfn.CONCAT(Paper_Reference[[#This Row],[Lvl]:[Paper Description]])</f>
        <v>2NJ07HA0009BP4200AMF UV PINE FOR PLUGS 48X1441101110WM742-5000AMF MAPLE L/O (CUT DOWN)</v>
      </c>
      <c r="J4440" s="7">
        <f>COUNTIF(Paper_Reference[Duplicate Key],Paper_Reference[[#This Row],[Duplicate Key]])</f>
        <v>1</v>
      </c>
    </row>
    <row r="4441" spans="1:10">
      <c r="A4441" s="7">
        <v>2</v>
      </c>
      <c r="B4441" s="8" t="s">
        <v>5370</v>
      </c>
      <c r="C4441" s="8" t="s">
        <v>939</v>
      </c>
      <c r="D4441" s="7">
        <v>1</v>
      </c>
      <c r="E4441" s="7">
        <v>10</v>
      </c>
      <c r="F4441" s="7">
        <v>1</v>
      </c>
      <c r="G4441" s="8" t="s">
        <v>5363</v>
      </c>
      <c r="H4441" s="8" t="s">
        <v>5364</v>
      </c>
      <c r="I4441" s="7" t="str">
        <f>_xlfn.CONCAT(Paper_Reference[[#This Row],[Lvl]:[Paper Description]])</f>
        <v>2NJ07HA0009SB4200AMF UV PINE FOR PLUGS 48X1441101110WM742-5000AMF MAPLE L/O (CUT DOWN)</v>
      </c>
      <c r="J4441" s="7">
        <f>COUNTIF(Paper_Reference[Duplicate Key],Paper_Reference[[#This Row],[Duplicate Key]])</f>
        <v>1</v>
      </c>
    </row>
    <row r="4442" spans="1:10">
      <c r="A4442" s="7">
        <v>2</v>
      </c>
      <c r="B4442" s="8" t="s">
        <v>5371</v>
      </c>
      <c r="C4442" s="8" t="s">
        <v>5366</v>
      </c>
      <c r="D4442" s="7">
        <v>1</v>
      </c>
      <c r="E4442" s="7">
        <v>10</v>
      </c>
      <c r="F4442" s="7">
        <v>1</v>
      </c>
      <c r="G4442" s="8" t="s">
        <v>5363</v>
      </c>
      <c r="H4442" s="8" t="s">
        <v>5364</v>
      </c>
      <c r="I4442" s="7" t="str">
        <f>_xlfn.CONCAT(Paper_Reference[[#This Row],[Lvl]:[Paper Description]])</f>
        <v>2NJ07HA0010BP4200AMF SPL PINE FOR PLUGS 48 X 141101110WM742-5000AMF MAPLE L/O (CUT DOWN)</v>
      </c>
      <c r="J4442" s="7">
        <f>COUNTIF(Paper_Reference[Duplicate Key],Paper_Reference[[#This Row],[Duplicate Key]])</f>
        <v>1</v>
      </c>
    </row>
    <row r="4443" spans="1:10">
      <c r="A4443" s="7">
        <v>2</v>
      </c>
      <c r="B4443" s="8" t="s">
        <v>5372</v>
      </c>
      <c r="C4443" s="8" t="s">
        <v>5367</v>
      </c>
      <c r="D4443" s="7">
        <v>1</v>
      </c>
      <c r="E4443" s="7">
        <v>10</v>
      </c>
      <c r="F4443" s="7">
        <v>1</v>
      </c>
      <c r="G4443" s="8" t="s">
        <v>5363</v>
      </c>
      <c r="H4443" s="8" t="s">
        <v>5364</v>
      </c>
      <c r="I4443" s="7" t="str">
        <f>_xlfn.CONCAT(Paper_Reference[[#This Row],[Lvl]:[Paper Description]])</f>
        <v>2NJ07HA0010SB4200AMF PINE FOR PLUGS 48X1441101110WM742-5000AMF MAPLE L/O (CUT DOWN)</v>
      </c>
      <c r="J4443" s="7">
        <f>COUNTIF(Paper_Reference[Duplicate Key],Paper_Reference[[#This Row],[Duplicate Key]])</f>
        <v>1</v>
      </c>
    </row>
    <row r="4444" spans="1:10">
      <c r="A4444" s="7">
        <v>2</v>
      </c>
      <c r="B4444" s="8" t="s">
        <v>7931</v>
      </c>
      <c r="C4444" s="8" t="s">
        <v>7091</v>
      </c>
      <c r="D4444" s="7">
        <v>1</v>
      </c>
      <c r="E4444" s="7">
        <v>10</v>
      </c>
      <c r="F4444" s="7">
        <v>1</v>
      </c>
      <c r="G4444" s="8" t="s">
        <v>6710</v>
      </c>
      <c r="H4444" s="8" t="s">
        <v>5691</v>
      </c>
      <c r="I4444" s="7" t="str">
        <f>_xlfn.CONCAT(Paper_Reference[[#This Row],[Lvl]:[Paper Description]])</f>
        <v>2NJ29ND0027E-4000BOP SEAL 48 X 1201101100DS009-5000FROSTY WHITE</v>
      </c>
      <c r="J4444" s="7">
        <f>COUNTIF(Paper_Reference[Duplicate Key],Paper_Reference[[#This Row],[Duplicate Key]])</f>
        <v>1</v>
      </c>
    </row>
    <row r="4445" spans="1:10">
      <c r="A4445" s="7">
        <v>2</v>
      </c>
      <c r="B4445" s="8" t="s">
        <v>7932</v>
      </c>
      <c r="C4445" s="8" t="s">
        <v>7092</v>
      </c>
      <c r="D4445" s="7">
        <v>1</v>
      </c>
      <c r="E4445" s="7">
        <v>10</v>
      </c>
      <c r="F4445" s="7">
        <v>1</v>
      </c>
      <c r="G4445" s="8" t="s">
        <v>6710</v>
      </c>
      <c r="H4445" s="8" t="s">
        <v>5691</v>
      </c>
      <c r="I4445" s="7" t="str">
        <f>_xlfn.CONCAT(Paper_Reference[[#This Row],[Lvl]:[Paper Description]])</f>
        <v>2NJ29ND0042E-4800FCC FLOURISH D/G 48 X 961101100DS009-5000FROSTY WHITE</v>
      </c>
      <c r="J4445" s="7">
        <f>COUNTIF(Paper_Reference[Duplicate Key],Paper_Reference[[#This Row],[Duplicate Key]])</f>
        <v>1</v>
      </c>
    </row>
    <row r="4446" spans="1:10">
      <c r="A4446" s="7">
        <v>2</v>
      </c>
      <c r="B4446" s="8" t="s">
        <v>6471</v>
      </c>
      <c r="C4446" s="8" t="s">
        <v>5953</v>
      </c>
      <c r="D4446" s="7">
        <v>1</v>
      </c>
      <c r="E4446" s="7">
        <v>10</v>
      </c>
      <c r="F4446" s="7">
        <v>1</v>
      </c>
      <c r="G4446" s="8" t="s">
        <v>5690</v>
      </c>
      <c r="H4446" s="8" t="s">
        <v>5691</v>
      </c>
      <c r="I4446" s="7" t="str">
        <f>_xlfn.CONCAT(Paper_Reference[[#This Row],[Lvl]:[Paper Description]])</f>
        <v>2NJ29ND0049E-5200KAPIOLANI FLOWERS 60 X 1441101100DS009-6200FROSTY WHITE</v>
      </c>
      <c r="J4446" s="7">
        <f>COUNTIF(Paper_Reference[Duplicate Key],Paper_Reference[[#This Row],[Duplicate Key]])</f>
        <v>1</v>
      </c>
    </row>
    <row r="4447" spans="1:10">
      <c r="A4447" s="7">
        <v>2</v>
      </c>
      <c r="B4447" s="8" t="s">
        <v>6472</v>
      </c>
      <c r="C4447" s="8" t="s">
        <v>5954</v>
      </c>
      <c r="D4447" s="7">
        <v>1</v>
      </c>
      <c r="E4447" s="7">
        <v>10</v>
      </c>
      <c r="F4447" s="7">
        <v>1</v>
      </c>
      <c r="G4447" s="8" t="s">
        <v>5690</v>
      </c>
      <c r="H4447" s="8" t="s">
        <v>5691</v>
      </c>
      <c r="I4447" s="7" t="str">
        <f>_xlfn.CONCAT(Paper_Reference[[#This Row],[Lvl]:[Paper Description]])</f>
        <v>2NJ29ND0054E-5200ZEBRA SKIN 60 X 1441101100DS009-6200FROSTY WHITE</v>
      </c>
      <c r="J4447" s="7">
        <f>COUNTIF(Paper_Reference[Duplicate Key],Paper_Reference[[#This Row],[Duplicate Key]])</f>
        <v>1</v>
      </c>
    </row>
    <row r="4448" spans="1:10">
      <c r="A4448" s="7">
        <v>2</v>
      </c>
      <c r="B4448" s="8" t="s">
        <v>6473</v>
      </c>
      <c r="C4448" s="8" t="s">
        <v>5955</v>
      </c>
      <c r="D4448" s="7">
        <v>1</v>
      </c>
      <c r="E4448" s="7">
        <v>10</v>
      </c>
      <c r="F4448" s="7">
        <v>1</v>
      </c>
      <c r="G4448" s="8" t="s">
        <v>5690</v>
      </c>
      <c r="H4448" s="8" t="s">
        <v>5691</v>
      </c>
      <c r="I4448" s="7" t="str">
        <f>_xlfn.CONCAT(Paper_Reference[[#This Row],[Lvl]:[Paper Description]])</f>
        <v>2NJ29ND0064T-5800HARVEYS CANADA 60 X 961101100DS009-6200FROSTY WHITE</v>
      </c>
      <c r="J4448" s="7">
        <f>COUNTIF(Paper_Reference[Duplicate Key],Paper_Reference[[#This Row],[Duplicate Key]])</f>
        <v>1</v>
      </c>
    </row>
    <row r="4449" spans="1:10">
      <c r="A4449" s="7">
        <v>2</v>
      </c>
      <c r="B4449" s="8" t="s">
        <v>6474</v>
      </c>
      <c r="C4449" s="8" t="s">
        <v>5956</v>
      </c>
      <c r="D4449" s="7">
        <v>1</v>
      </c>
      <c r="E4449" s="7">
        <v>10</v>
      </c>
      <c r="F4449" s="7">
        <v>1</v>
      </c>
      <c r="G4449" s="8" t="s">
        <v>5690</v>
      </c>
      <c r="H4449" s="8" t="s">
        <v>5691</v>
      </c>
      <c r="I4449" s="7" t="str">
        <f>_xlfn.CONCAT(Paper_Reference[[#This Row],[Lvl]:[Paper Description]])</f>
        <v>2NJ29ND0065T-5800HARVEYS CANADA A 60 X 961101100DS009-6200FROSTY WHITE</v>
      </c>
      <c r="J4449" s="7">
        <f>COUNTIF(Paper_Reference[Duplicate Key],Paper_Reference[[#This Row],[Duplicate Key]])</f>
        <v>1</v>
      </c>
    </row>
    <row r="4450" spans="1:10">
      <c r="A4450" s="7">
        <v>2</v>
      </c>
      <c r="B4450" s="8" t="s">
        <v>6475</v>
      </c>
      <c r="C4450" s="8" t="s">
        <v>5957</v>
      </c>
      <c r="D4450" s="7">
        <v>1</v>
      </c>
      <c r="E4450" s="7">
        <v>10</v>
      </c>
      <c r="F4450" s="7">
        <v>1</v>
      </c>
      <c r="G4450" s="8" t="s">
        <v>5690</v>
      </c>
      <c r="H4450" s="8" t="s">
        <v>5691</v>
      </c>
      <c r="I4450" s="7" t="str">
        <f>_xlfn.CONCAT(Paper_Reference[[#This Row],[Lvl]:[Paper Description]])</f>
        <v>2NJ29ND0066T-5800HARVEYS CANADA B 60 X 961101100DS009-6200FROSTY WHITE</v>
      </c>
      <c r="J4450" s="7">
        <f>COUNTIF(Paper_Reference[Duplicate Key],Paper_Reference[[#This Row],[Duplicate Key]])</f>
        <v>1</v>
      </c>
    </row>
    <row r="4451" spans="1:10">
      <c r="A4451" s="7">
        <v>2</v>
      </c>
      <c r="B4451" s="8" t="s">
        <v>7933</v>
      </c>
      <c r="C4451" s="8" t="s">
        <v>7093</v>
      </c>
      <c r="D4451" s="7">
        <v>1</v>
      </c>
      <c r="E4451" s="7">
        <v>10</v>
      </c>
      <c r="F4451" s="7">
        <v>1</v>
      </c>
      <c r="G4451" s="8" t="s">
        <v>6710</v>
      </c>
      <c r="H4451" s="8" t="s">
        <v>5691</v>
      </c>
      <c r="I4451" s="7" t="str">
        <f>_xlfn.CONCAT(Paper_Reference[[#This Row],[Lvl]:[Paper Description]])</f>
        <v>2NJ29ND0067SD3800WURTH COUNTER FRONT 36 X 961101100DS009-5000FROSTY WHITE</v>
      </c>
      <c r="J4451" s="7">
        <f>COUNTIF(Paper_Reference[Duplicate Key],Paper_Reference[[#This Row],[Duplicate Key]])</f>
        <v>1</v>
      </c>
    </row>
    <row r="4452" spans="1:10">
      <c r="A4452" s="7">
        <v>2</v>
      </c>
      <c r="B4452" s="8" t="s">
        <v>6476</v>
      </c>
      <c r="C4452" s="8" t="s">
        <v>5958</v>
      </c>
      <c r="D4452" s="7">
        <v>1</v>
      </c>
      <c r="E4452" s="7">
        <v>10</v>
      </c>
      <c r="F4452" s="7">
        <v>1</v>
      </c>
      <c r="G4452" s="8" t="s">
        <v>5690</v>
      </c>
      <c r="H4452" s="8" t="s">
        <v>5691</v>
      </c>
      <c r="I4452" s="7" t="str">
        <f>_xlfn.CONCAT(Paper_Reference[[#This Row],[Lvl]:[Paper Description]])</f>
        <v>2NJ29ND0068T-5000HARVEYS CANADA BI A  60 X 1201101100DS009-6200FROSTY WHITE</v>
      </c>
      <c r="J4452" s="7">
        <f>COUNTIF(Paper_Reference[Duplicate Key],Paper_Reference[[#This Row],[Duplicate Key]])</f>
        <v>1</v>
      </c>
    </row>
    <row r="4453" spans="1:10">
      <c r="A4453" s="7">
        <v>2</v>
      </c>
      <c r="B4453" s="8" t="s">
        <v>6477</v>
      </c>
      <c r="C4453" s="8" t="s">
        <v>5959</v>
      </c>
      <c r="D4453" s="7">
        <v>1</v>
      </c>
      <c r="E4453" s="7">
        <v>10</v>
      </c>
      <c r="F4453" s="7">
        <v>1</v>
      </c>
      <c r="G4453" s="8" t="s">
        <v>5690</v>
      </c>
      <c r="H4453" s="8" t="s">
        <v>5691</v>
      </c>
      <c r="I4453" s="7" t="str">
        <f>_xlfn.CONCAT(Paper_Reference[[#This Row],[Lvl]:[Paper Description]])</f>
        <v>2NJ29ND0069T-5800HARVEYS CANADA BI B 60 X 961101100DS009-6200FROSTY WHITE</v>
      </c>
      <c r="J4453" s="7">
        <f>COUNTIF(Paper_Reference[Duplicate Key],Paper_Reference[[#This Row],[Duplicate Key]])</f>
        <v>1</v>
      </c>
    </row>
    <row r="4454" spans="1:10">
      <c r="A4454" s="7">
        <v>2</v>
      </c>
      <c r="B4454" s="8" t="s">
        <v>6478</v>
      </c>
      <c r="C4454" s="8" t="s">
        <v>5960</v>
      </c>
      <c r="D4454" s="7">
        <v>1</v>
      </c>
      <c r="E4454" s="7">
        <v>10</v>
      </c>
      <c r="F4454" s="7">
        <v>1</v>
      </c>
      <c r="G4454" s="8" t="s">
        <v>5690</v>
      </c>
      <c r="H4454" s="8" t="s">
        <v>5691</v>
      </c>
      <c r="I4454" s="7" t="str">
        <f>_xlfn.CONCAT(Paper_Reference[[#This Row],[Lvl]:[Paper Description]])</f>
        <v>2NJ29ND0071T-5000HARVEYS CANADA SH A 60 X 1201101100DS009-6200FROSTY WHITE</v>
      </c>
      <c r="J4454" s="7">
        <f>COUNTIF(Paper_Reference[Duplicate Key],Paper_Reference[[#This Row],[Duplicate Key]])</f>
        <v>1</v>
      </c>
    </row>
    <row r="4455" spans="1:10">
      <c r="A4455" s="7">
        <v>2</v>
      </c>
      <c r="B4455" s="8" t="s">
        <v>6479</v>
      </c>
      <c r="C4455" s="8" t="s">
        <v>5961</v>
      </c>
      <c r="D4455" s="7">
        <v>1</v>
      </c>
      <c r="E4455" s="7">
        <v>10</v>
      </c>
      <c r="F4455" s="7">
        <v>1</v>
      </c>
      <c r="G4455" s="8" t="s">
        <v>5690</v>
      </c>
      <c r="H4455" s="8" t="s">
        <v>5691</v>
      </c>
      <c r="I4455" s="7" t="str">
        <f>_xlfn.CONCAT(Paper_Reference[[#This Row],[Lvl]:[Paper Description]])</f>
        <v>2NJ29ND0074T-5800ST. HUBERTS FRENCH A 60 X 961101100DS009-6200FROSTY WHITE</v>
      </c>
      <c r="J4455" s="7">
        <f>COUNTIF(Paper_Reference[Duplicate Key],Paper_Reference[[#This Row],[Duplicate Key]])</f>
        <v>1</v>
      </c>
    </row>
    <row r="4456" spans="1:10">
      <c r="A4456" s="7">
        <v>2</v>
      </c>
      <c r="B4456" s="8" t="s">
        <v>6480</v>
      </c>
      <c r="C4456" s="8" t="s">
        <v>5962</v>
      </c>
      <c r="D4456" s="7">
        <v>1</v>
      </c>
      <c r="E4456" s="7">
        <v>10</v>
      </c>
      <c r="F4456" s="7">
        <v>1</v>
      </c>
      <c r="G4456" s="8" t="s">
        <v>5690</v>
      </c>
      <c r="H4456" s="8" t="s">
        <v>5691</v>
      </c>
      <c r="I4456" s="7" t="str">
        <f>_xlfn.CONCAT(Paper_Reference[[#This Row],[Lvl]:[Paper Description]])</f>
        <v>2NJ29ND0075T-5000ST. HUBERTS FRENCH B  60 X 1201101100DS009-6200FROSTY WHITE</v>
      </c>
      <c r="J4456" s="7">
        <f>COUNTIF(Paper_Reference[Duplicate Key],Paper_Reference[[#This Row],[Duplicate Key]])</f>
        <v>1</v>
      </c>
    </row>
    <row r="4457" spans="1:10">
      <c r="A4457" s="7">
        <v>2</v>
      </c>
      <c r="B4457" s="8" t="s">
        <v>6481</v>
      </c>
      <c r="C4457" s="8" t="s">
        <v>5963</v>
      </c>
      <c r="D4457" s="7">
        <v>1</v>
      </c>
      <c r="E4457" s="7">
        <v>10</v>
      </c>
      <c r="F4457" s="7">
        <v>1</v>
      </c>
      <c r="G4457" s="8" t="s">
        <v>5690</v>
      </c>
      <c r="H4457" s="8" t="s">
        <v>5691</v>
      </c>
      <c r="I4457" s="7" t="str">
        <f>_xlfn.CONCAT(Paper_Reference[[#This Row],[Lvl]:[Paper Description]])</f>
        <v>2NJ29ND0079SD5800AM TAB BULLDOG LOGO 60 X 961101100DS009-6200FROSTY WHITE</v>
      </c>
      <c r="J4457" s="7">
        <f>COUNTIF(Paper_Reference[Duplicate Key],Paper_Reference[[#This Row],[Duplicate Key]])</f>
        <v>1</v>
      </c>
    </row>
    <row r="4458" spans="1:10">
      <c r="A4458" s="7">
        <v>2</v>
      </c>
      <c r="B4458" s="8" t="s">
        <v>6482</v>
      </c>
      <c r="C4458" s="8" t="s">
        <v>5964</v>
      </c>
      <c r="D4458" s="7">
        <v>1</v>
      </c>
      <c r="E4458" s="7">
        <v>10</v>
      </c>
      <c r="F4458" s="7">
        <v>1</v>
      </c>
      <c r="G4458" s="8" t="s">
        <v>5690</v>
      </c>
      <c r="H4458" s="8" t="s">
        <v>5691</v>
      </c>
      <c r="I4458" s="7" t="str">
        <f>_xlfn.CONCAT(Paper_Reference[[#This Row],[Lvl]:[Paper Description]])</f>
        <v>2NJ29ND0080SD5800AM TAB PANTHER LOGO 60 X 961101100DS009-6200FROSTY WHITE</v>
      </c>
      <c r="J4458" s="7">
        <f>COUNTIF(Paper_Reference[Duplicate Key],Paper_Reference[[#This Row],[Duplicate Key]])</f>
        <v>1</v>
      </c>
    </row>
    <row r="4459" spans="1:10">
      <c r="A4459" s="7">
        <v>2</v>
      </c>
      <c r="B4459" s="8" t="s">
        <v>6483</v>
      </c>
      <c r="C4459" s="8" t="s">
        <v>5965</v>
      </c>
      <c r="D4459" s="7">
        <v>1</v>
      </c>
      <c r="E4459" s="7">
        <v>10</v>
      </c>
      <c r="F4459" s="7">
        <v>1</v>
      </c>
      <c r="G4459" s="8" t="s">
        <v>5690</v>
      </c>
      <c r="H4459" s="8" t="s">
        <v>5691</v>
      </c>
      <c r="I4459" s="7" t="str">
        <f>_xlfn.CONCAT(Paper_Reference[[#This Row],[Lvl]:[Paper Description]])</f>
        <v>2NJ29ND0081SD5800AM TAB DIG BLUE BAMBOO 60 X 961101100DS009-6200FROSTY WHITE</v>
      </c>
      <c r="J4459" s="7">
        <f>COUNTIF(Paper_Reference[Duplicate Key],Paper_Reference[[#This Row],[Duplicate Key]])</f>
        <v>1</v>
      </c>
    </row>
    <row r="4460" spans="1:10">
      <c r="A4460" s="7">
        <v>2</v>
      </c>
      <c r="B4460" s="8" t="s">
        <v>7934</v>
      </c>
      <c r="C4460" s="8" t="s">
        <v>7094</v>
      </c>
      <c r="D4460" s="7">
        <v>1</v>
      </c>
      <c r="E4460" s="7">
        <v>10</v>
      </c>
      <c r="F4460" s="7">
        <v>1</v>
      </c>
      <c r="G4460" s="8" t="s">
        <v>6710</v>
      </c>
      <c r="H4460" s="8" t="s">
        <v>5691</v>
      </c>
      <c r="I4460" s="7" t="str">
        <f>_xlfn.CONCAT(Paper_Reference[[#This Row],[Lvl]:[Paper Description]])</f>
        <v>2NJ29ND0082SD4800CEDARS SINAI SOFT D/G 48 X 961101100DS009-5000FROSTY WHITE</v>
      </c>
      <c r="J4460" s="7">
        <f>COUNTIF(Paper_Reference[Duplicate Key],Paper_Reference[[#This Row],[Duplicate Key]])</f>
        <v>1</v>
      </c>
    </row>
    <row r="4461" spans="1:10">
      <c r="A4461" s="7">
        <v>2</v>
      </c>
      <c r="B4461" s="8" t="s">
        <v>6484</v>
      </c>
      <c r="C4461" s="8" t="s">
        <v>5966</v>
      </c>
      <c r="D4461" s="7">
        <v>1</v>
      </c>
      <c r="E4461" s="7">
        <v>10</v>
      </c>
      <c r="F4461" s="7">
        <v>1</v>
      </c>
      <c r="G4461" s="8" t="s">
        <v>5690</v>
      </c>
      <c r="H4461" s="8" t="s">
        <v>5691</v>
      </c>
      <c r="I4461" s="7" t="str">
        <f>_xlfn.CONCAT(Paper_Reference[[#This Row],[Lvl]:[Paper Description]])</f>
        <v>2NJ29ND0083T-5800HARVEYS MONTREAL 60 X 961101100DS009-6200FROSTY WHITE</v>
      </c>
      <c r="J4461" s="7">
        <f>COUNTIF(Paper_Reference[Duplicate Key],Paper_Reference[[#This Row],[Duplicate Key]])</f>
        <v>1</v>
      </c>
    </row>
    <row r="4462" spans="1:10">
      <c r="A4462" s="7">
        <v>2</v>
      </c>
      <c r="B4462" s="8" t="s">
        <v>7935</v>
      </c>
      <c r="C4462" s="8" t="s">
        <v>7095</v>
      </c>
      <c r="D4462" s="7">
        <v>1</v>
      </c>
      <c r="E4462" s="7">
        <v>10</v>
      </c>
      <c r="F4462" s="7">
        <v>1</v>
      </c>
      <c r="G4462" s="8" t="s">
        <v>6710</v>
      </c>
      <c r="H4462" s="8" t="s">
        <v>5691</v>
      </c>
      <c r="I4462" s="7" t="str">
        <f>_xlfn.CONCAT(Paper_Reference[[#This Row],[Lvl]:[Paper Description]])</f>
        <v>2NJ29ND0084SD4800TACO BELL BLACK V1 D/G 48 X 961101100DS009-5000FROSTY WHITE</v>
      </c>
      <c r="J4462" s="7">
        <f>COUNTIF(Paper_Reference[Duplicate Key],Paper_Reference[[#This Row],[Duplicate Key]])</f>
        <v>1</v>
      </c>
    </row>
    <row r="4463" spans="1:10">
      <c r="A4463" s="7">
        <v>2</v>
      </c>
      <c r="B4463" s="8" t="s">
        <v>7936</v>
      </c>
      <c r="C4463" s="8" t="s">
        <v>7096</v>
      </c>
      <c r="D4463" s="7">
        <v>1</v>
      </c>
      <c r="E4463" s="7">
        <v>10</v>
      </c>
      <c r="F4463" s="7">
        <v>1</v>
      </c>
      <c r="G4463" s="8" t="s">
        <v>6710</v>
      </c>
      <c r="H4463" s="8" t="s">
        <v>5691</v>
      </c>
      <c r="I4463" s="7" t="str">
        <f>_xlfn.CONCAT(Paper_Reference[[#This Row],[Lvl]:[Paper Description]])</f>
        <v>2NJ29ND0085SD4800TACO BELL BLACK V2 D/G 48 X 961101100DS009-5000FROSTY WHITE</v>
      </c>
      <c r="J4463" s="7">
        <f>COUNTIF(Paper_Reference[Duplicate Key],Paper_Reference[[#This Row],[Duplicate Key]])</f>
        <v>1</v>
      </c>
    </row>
    <row r="4464" spans="1:10">
      <c r="A4464" s="7">
        <v>2</v>
      </c>
      <c r="B4464" s="8" t="s">
        <v>6485</v>
      </c>
      <c r="C4464" s="8" t="s">
        <v>5967</v>
      </c>
      <c r="D4464" s="7">
        <v>1</v>
      </c>
      <c r="E4464" s="7">
        <v>10</v>
      </c>
      <c r="F4464" s="7">
        <v>1</v>
      </c>
      <c r="G4464" s="8" t="s">
        <v>5690</v>
      </c>
      <c r="H4464" s="8" t="s">
        <v>5691</v>
      </c>
      <c r="I4464" s="7" t="str">
        <f>_xlfn.CONCAT(Paper_Reference[[#This Row],[Lvl]:[Paper Description]])</f>
        <v>2NJ29ND0086SD5800TACO BELL WHITE D/G 60 X 961101100DS009-6200FROSTY WHITE</v>
      </c>
      <c r="J4464" s="7">
        <f>COUNTIF(Paper_Reference[Duplicate Key],Paper_Reference[[#This Row],[Duplicate Key]])</f>
        <v>1</v>
      </c>
    </row>
    <row r="4465" spans="1:10">
      <c r="A4465" s="7">
        <v>2</v>
      </c>
      <c r="B4465" s="8" t="s">
        <v>7937</v>
      </c>
      <c r="C4465" s="8" t="s">
        <v>7097</v>
      </c>
      <c r="D4465" s="7">
        <v>1</v>
      </c>
      <c r="E4465" s="7">
        <v>10</v>
      </c>
      <c r="F4465" s="7">
        <v>1</v>
      </c>
      <c r="G4465" s="8" t="s">
        <v>6710</v>
      </c>
      <c r="H4465" s="8" t="s">
        <v>5691</v>
      </c>
      <c r="I4465" s="7" t="str">
        <f>_xlfn.CONCAT(Paper_Reference[[#This Row],[Lvl]:[Paper Description]])</f>
        <v>2NJ29ND0087SD3800ARC HOTEL ELEVTOR PAN 36 X 961101100DS009-5000FROSTY WHITE</v>
      </c>
      <c r="J4465" s="7">
        <f>COUNTIF(Paper_Reference[Duplicate Key],Paper_Reference[[#This Row],[Duplicate Key]])</f>
        <v>1</v>
      </c>
    </row>
    <row r="4466" spans="1:10">
      <c r="A4466" s="7">
        <v>2</v>
      </c>
      <c r="B4466" s="8" t="s">
        <v>7938</v>
      </c>
      <c r="C4466" s="8" t="s">
        <v>7098</v>
      </c>
      <c r="D4466" s="7">
        <v>1</v>
      </c>
      <c r="E4466" s="7">
        <v>10</v>
      </c>
      <c r="F4466" s="7">
        <v>1</v>
      </c>
      <c r="G4466" s="8" t="s">
        <v>6710</v>
      </c>
      <c r="H4466" s="8" t="s">
        <v>5691</v>
      </c>
      <c r="I4466" s="7" t="str">
        <f>_xlfn.CONCAT(Paper_Reference[[#This Row],[Lvl]:[Paper Description]])</f>
        <v>2NJ29ND0088SD3800TACO BELL BLACK V1-2 36 X 961101100DS009-5000FROSTY WHITE</v>
      </c>
      <c r="J4466" s="7">
        <f>COUNTIF(Paper_Reference[Duplicate Key],Paper_Reference[[#This Row],[Duplicate Key]])</f>
        <v>1</v>
      </c>
    </row>
    <row r="4467" spans="1:10">
      <c r="A4467" s="7">
        <v>2</v>
      </c>
      <c r="B4467" s="8" t="s">
        <v>6486</v>
      </c>
      <c r="C4467" s="8" t="s">
        <v>5968</v>
      </c>
      <c r="D4467" s="7">
        <v>1</v>
      </c>
      <c r="E4467" s="7">
        <v>10</v>
      </c>
      <c r="F4467" s="7">
        <v>1</v>
      </c>
      <c r="G4467" s="8" t="s">
        <v>5690</v>
      </c>
      <c r="H4467" s="8" t="s">
        <v>5691</v>
      </c>
      <c r="I4467" s="7" t="str">
        <f>_xlfn.CONCAT(Paper_Reference[[#This Row],[Lvl]:[Paper Description]])</f>
        <v>2NJ29ND0089SD5000AM TAB BELIEVE LOGO  60 X 1201101100DS009-6200FROSTY WHITE</v>
      </c>
      <c r="J4467" s="7">
        <f>COUNTIF(Paper_Reference[Duplicate Key],Paper_Reference[[#This Row],[Duplicate Key]])</f>
        <v>1</v>
      </c>
    </row>
    <row r="4468" spans="1:10">
      <c r="A4468" s="7">
        <v>2</v>
      </c>
      <c r="B4468" s="8" t="s">
        <v>6487</v>
      </c>
      <c r="C4468" s="8" t="s">
        <v>5969</v>
      </c>
      <c r="D4468" s="7">
        <v>1</v>
      </c>
      <c r="E4468" s="7">
        <v>10</v>
      </c>
      <c r="F4468" s="7">
        <v>1</v>
      </c>
      <c r="G4468" s="8" t="s">
        <v>5690</v>
      </c>
      <c r="H4468" s="8" t="s">
        <v>5691</v>
      </c>
      <c r="I4468" s="7" t="str">
        <f>_xlfn.CONCAT(Paper_Reference[[#This Row],[Lvl]:[Paper Description]])</f>
        <v>2NJ29ND0090SD5000AM TAB ACHIEVE LOGO  60 X 1201101100DS009-6200FROSTY WHITE</v>
      </c>
      <c r="J4468" s="7">
        <f>COUNTIF(Paper_Reference[Duplicate Key],Paper_Reference[[#This Row],[Duplicate Key]])</f>
        <v>1</v>
      </c>
    </row>
    <row r="4469" spans="1:10">
      <c r="A4469" s="7">
        <v>2</v>
      </c>
      <c r="B4469" s="8" t="s">
        <v>2722</v>
      </c>
      <c r="C4469" s="8" t="s">
        <v>2264</v>
      </c>
      <c r="D4469" s="7">
        <v>1</v>
      </c>
      <c r="E4469" s="7">
        <v>10</v>
      </c>
      <c r="F4469" s="7">
        <v>1</v>
      </c>
      <c r="G4469" s="8" t="s">
        <v>2144</v>
      </c>
      <c r="H4469" s="8" t="s">
        <v>1242</v>
      </c>
      <c r="I4469" s="7" t="str">
        <f>_xlfn.CONCAT(Paper_Reference[[#This Row],[Lvl]:[Paper Description]])</f>
        <v>2NJ29ND0100SD5000CEGEP VIEX-MON CAFÉ 60 X 120110110000020-6200Premium Inkjet MPK 9653</v>
      </c>
      <c r="J4469" s="7">
        <f>COUNTIF(Paper_Reference[Duplicate Key],Paper_Reference[[#This Row],[Duplicate Key]])</f>
        <v>1</v>
      </c>
    </row>
    <row r="4470" spans="1:10">
      <c r="A4470" s="7">
        <v>2</v>
      </c>
      <c r="B4470" s="8" t="s">
        <v>2723</v>
      </c>
      <c r="C4470" s="8" t="s">
        <v>2265</v>
      </c>
      <c r="D4470" s="7">
        <v>1</v>
      </c>
      <c r="E4470" s="7">
        <v>10</v>
      </c>
      <c r="F4470" s="7">
        <v>1</v>
      </c>
      <c r="G4470" s="8" t="s">
        <v>2144</v>
      </c>
      <c r="H4470" s="8" t="s">
        <v>1242</v>
      </c>
      <c r="I4470" s="7" t="str">
        <f>_xlfn.CONCAT(Paper_Reference[[#This Row],[Lvl]:[Paper Description]])</f>
        <v>2NJ29ND0112SGL4201ABC TRAVELIN BBQ TAB-1 48X144110110000020-6200Premium Inkjet MPK 9653</v>
      </c>
      <c r="J4470" s="7">
        <f>COUNTIF(Paper_Reference[Duplicate Key],Paper_Reference[[#This Row],[Duplicate Key]])</f>
        <v>1</v>
      </c>
    </row>
    <row r="4471" spans="1:10">
      <c r="A4471" s="7">
        <v>2</v>
      </c>
      <c r="B4471" s="8" t="s">
        <v>1894</v>
      </c>
      <c r="C4471" s="8" t="s">
        <v>1467</v>
      </c>
      <c r="D4471" s="7">
        <v>1</v>
      </c>
      <c r="E4471" s="7">
        <v>10</v>
      </c>
      <c r="F4471" s="7">
        <v>1</v>
      </c>
      <c r="G4471" s="8" t="s">
        <v>1241</v>
      </c>
      <c r="H4471" s="8" t="s">
        <v>1242</v>
      </c>
      <c r="I4471" s="7" t="str">
        <f>_xlfn.CONCAT(Paper_Reference[[#This Row],[Lvl]:[Paper Description]])</f>
        <v>2NJ29ND0113GL4001ABC TRAVELIN BBQ TAB-2 48 X 12110110000020-5000Premium Inkjet MPK 9653</v>
      </c>
      <c r="J4471" s="7">
        <f>COUNTIF(Paper_Reference[Duplicate Key],Paper_Reference[[#This Row],[Duplicate Key]])</f>
        <v>1</v>
      </c>
    </row>
    <row r="4472" spans="1:10">
      <c r="A4472" s="7">
        <v>2</v>
      </c>
      <c r="B4472" s="8" t="s">
        <v>1895</v>
      </c>
      <c r="C4472" s="8" t="s">
        <v>1468</v>
      </c>
      <c r="D4472" s="7">
        <v>1</v>
      </c>
      <c r="E4472" s="7">
        <v>10</v>
      </c>
      <c r="F4472" s="7">
        <v>1</v>
      </c>
      <c r="G4472" s="8" t="s">
        <v>1241</v>
      </c>
      <c r="H4472" s="8" t="s">
        <v>1242</v>
      </c>
      <c r="I4472" s="7" t="str">
        <f>_xlfn.CONCAT(Paper_Reference[[#This Row],[Lvl]:[Paper Description]])</f>
        <v>2NJ29ND0114GL3801ABC RICALTINI 36 X 96110110000020-5000Premium Inkjet MPK 9653</v>
      </c>
      <c r="J4472" s="7">
        <f>COUNTIF(Paper_Reference[Duplicate Key],Paper_Reference[[#This Row],[Duplicate Key]])</f>
        <v>1</v>
      </c>
    </row>
    <row r="4473" spans="1:10">
      <c r="A4473" s="7">
        <v>2</v>
      </c>
      <c r="B4473" s="8" t="s">
        <v>2724</v>
      </c>
      <c r="C4473" s="8" t="s">
        <v>2266</v>
      </c>
      <c r="D4473" s="7">
        <v>1</v>
      </c>
      <c r="E4473" s="7">
        <v>10</v>
      </c>
      <c r="F4473" s="7">
        <v>1</v>
      </c>
      <c r="G4473" s="8" t="s">
        <v>2144</v>
      </c>
      <c r="H4473" s="8" t="s">
        <v>1242</v>
      </c>
      <c r="I4473" s="7" t="str">
        <f>_xlfn.CONCAT(Paper_Reference[[#This Row],[Lvl]:[Paper Description]])</f>
        <v>2NJ29ND0115SD5800WIND CREEK W/GRAIN D/G 60 X 96110110000020-6200Premium Inkjet MPK 9653</v>
      </c>
      <c r="J4473" s="7">
        <f>COUNTIF(Paper_Reference[Duplicate Key],Paper_Reference[[#This Row],[Duplicate Key]])</f>
        <v>1</v>
      </c>
    </row>
    <row r="4474" spans="1:10">
      <c r="A4474" s="7">
        <v>2</v>
      </c>
      <c r="B4474" s="8" t="s">
        <v>7939</v>
      </c>
      <c r="C4474" s="8" t="s">
        <v>7099</v>
      </c>
      <c r="D4474" s="7">
        <v>1</v>
      </c>
      <c r="E4474" s="7">
        <v>10</v>
      </c>
      <c r="F4474" s="7">
        <v>1</v>
      </c>
      <c r="G4474" s="8" t="s">
        <v>6710</v>
      </c>
      <c r="H4474" s="8" t="s">
        <v>5691</v>
      </c>
      <c r="I4474" s="7" t="str">
        <f>_xlfn.CONCAT(Paper_Reference[[#This Row],[Lvl]:[Paper Description]])</f>
        <v>2NJ37ND0078T-4800CAROLE FABRICS GRID 48 X 961101100DS009-5000FROSTY WHITE</v>
      </c>
      <c r="J4474" s="7">
        <f>COUNTIF(Paper_Reference[Duplicate Key],Paper_Reference[[#This Row],[Duplicate Key]])</f>
        <v>1</v>
      </c>
    </row>
    <row r="4475" spans="1:10">
      <c r="A4475" s="7">
        <v>2</v>
      </c>
      <c r="B4475" s="8" t="s">
        <v>7940</v>
      </c>
      <c r="C4475" s="8" t="s">
        <v>7100</v>
      </c>
      <c r="D4475" s="7">
        <v>1</v>
      </c>
      <c r="E4475" s="7">
        <v>10</v>
      </c>
      <c r="F4475" s="7">
        <v>1</v>
      </c>
      <c r="G4475" s="8" t="s">
        <v>6710</v>
      </c>
      <c r="H4475" s="8" t="s">
        <v>5691</v>
      </c>
      <c r="I4475" s="7" t="str">
        <f>_xlfn.CONCAT(Paper_Reference[[#This Row],[Lvl]:[Paper Description]])</f>
        <v>2NJ37ND0093SD4200CHOC GREEN LEAVES 48 X 1441101100DS009-5000FROSTY WHITE</v>
      </c>
      <c r="J4475" s="7">
        <f>COUNTIF(Paper_Reference[Duplicate Key],Paper_Reference[[#This Row],[Duplicate Key]])</f>
        <v>1</v>
      </c>
    </row>
    <row r="4476" spans="1:10">
      <c r="A4476" s="7">
        <v>2</v>
      </c>
      <c r="B4476" s="8" t="s">
        <v>7941</v>
      </c>
      <c r="C4476" s="8" t="s">
        <v>7101</v>
      </c>
      <c r="D4476" s="7">
        <v>1</v>
      </c>
      <c r="E4476" s="7">
        <v>10</v>
      </c>
      <c r="F4476" s="7">
        <v>1</v>
      </c>
      <c r="G4476" s="8" t="s">
        <v>6710</v>
      </c>
      <c r="H4476" s="8" t="s">
        <v>5691</v>
      </c>
      <c r="I4476" s="7" t="str">
        <f>_xlfn.CONCAT(Paper_Reference[[#This Row],[Lvl]:[Paper Description]])</f>
        <v>2NJ37ND0094SD4800CHOC ORANGE LEAVES 48 X 961101100DS009-5000FROSTY WHITE</v>
      </c>
      <c r="J4476" s="7">
        <f>COUNTIF(Paper_Reference[Duplicate Key],Paper_Reference[[#This Row],[Duplicate Key]])</f>
        <v>1</v>
      </c>
    </row>
    <row r="4477" spans="1:10">
      <c r="A4477" s="7">
        <v>2</v>
      </c>
      <c r="B4477" s="8" t="s">
        <v>7942</v>
      </c>
      <c r="C4477" s="8" t="s">
        <v>7102</v>
      </c>
      <c r="D4477" s="7">
        <v>1</v>
      </c>
      <c r="E4477" s="7">
        <v>10</v>
      </c>
      <c r="F4477" s="7">
        <v>1</v>
      </c>
      <c r="G4477" s="8" t="s">
        <v>6710</v>
      </c>
      <c r="H4477" s="8" t="s">
        <v>5691</v>
      </c>
      <c r="I4477" s="7" t="str">
        <f>_xlfn.CONCAT(Paper_Reference[[#This Row],[Lvl]:[Paper Description]])</f>
        <v>2NJ37ND0095SD4800CHOC RED  LEAVES 48 X 961101100DS009-5000FROSTY WHITE</v>
      </c>
      <c r="J4477" s="7">
        <f>COUNTIF(Paper_Reference[Duplicate Key],Paper_Reference[[#This Row],[Duplicate Key]])</f>
        <v>1</v>
      </c>
    </row>
    <row r="4478" spans="1:10">
      <c r="A4478" s="7">
        <v>2</v>
      </c>
      <c r="B4478" s="8" t="s">
        <v>7943</v>
      </c>
      <c r="C4478" s="8" t="s">
        <v>7103</v>
      </c>
      <c r="D4478" s="7">
        <v>1</v>
      </c>
      <c r="E4478" s="7">
        <v>10</v>
      </c>
      <c r="F4478" s="7">
        <v>1</v>
      </c>
      <c r="G4478" s="8" t="s">
        <v>6710</v>
      </c>
      <c r="H4478" s="8" t="s">
        <v>5691</v>
      </c>
      <c r="I4478" s="7" t="str">
        <f>_xlfn.CONCAT(Paper_Reference[[#This Row],[Lvl]:[Paper Description]])</f>
        <v>2NJ37ND0096SD4800CHOC YELLOW LEAVES 48 X 961101100DS009-5000FROSTY WHITE</v>
      </c>
      <c r="J4478" s="7">
        <f>COUNTIF(Paper_Reference[Duplicate Key],Paper_Reference[[#This Row],[Duplicate Key]])</f>
        <v>1</v>
      </c>
    </row>
    <row r="4479" spans="1:10">
      <c r="A4479" s="7">
        <v>2</v>
      </c>
      <c r="B4479" s="8" t="s">
        <v>7944</v>
      </c>
      <c r="C4479" s="8" t="s">
        <v>7104</v>
      </c>
      <c r="D4479" s="7">
        <v>1</v>
      </c>
      <c r="E4479" s="7">
        <v>10</v>
      </c>
      <c r="F4479" s="7">
        <v>1</v>
      </c>
      <c r="G4479" s="8" t="s">
        <v>6710</v>
      </c>
      <c r="H4479" s="8" t="s">
        <v>5691</v>
      </c>
      <c r="I4479" s="7" t="str">
        <f>_xlfn.CONCAT(Paper_Reference[[#This Row],[Lvl]:[Paper Description]])</f>
        <v>2NJ37ND0097SD4800CHOC BLUE LEAVES 48 X 961101100DS009-5000FROSTY WHITE</v>
      </c>
      <c r="J4479" s="7">
        <f>COUNTIF(Paper_Reference[Duplicate Key],Paper_Reference[[#This Row],[Duplicate Key]])</f>
        <v>1</v>
      </c>
    </row>
    <row r="4480" spans="1:10">
      <c r="A4480" s="7">
        <v>2</v>
      </c>
      <c r="B4480" s="8" t="s">
        <v>6488</v>
      </c>
      <c r="C4480" s="8" t="s">
        <v>5970</v>
      </c>
      <c r="D4480" s="7">
        <v>1</v>
      </c>
      <c r="E4480" s="7">
        <v>10</v>
      </c>
      <c r="F4480" s="7">
        <v>1</v>
      </c>
      <c r="G4480" s="8" t="s">
        <v>5690</v>
      </c>
      <c r="H4480" s="8" t="s">
        <v>5691</v>
      </c>
      <c r="I4480" s="7" t="str">
        <f>_xlfn.CONCAT(Paper_Reference[[#This Row],[Lvl]:[Paper Description]])</f>
        <v>2NJ37ND0098SD5000UTSW PATIENT ROOM 60 X 1201101100DS009-6200FROSTY WHITE</v>
      </c>
      <c r="J4480" s="7">
        <f>COUNTIF(Paper_Reference[Duplicate Key],Paper_Reference[[#This Row],[Duplicate Key]])</f>
        <v>1</v>
      </c>
    </row>
    <row r="4481" spans="1:10">
      <c r="A4481" s="7">
        <v>2</v>
      </c>
      <c r="B4481" s="8" t="s">
        <v>6489</v>
      </c>
      <c r="C4481" s="8" t="s">
        <v>5971</v>
      </c>
      <c r="D4481" s="7">
        <v>1</v>
      </c>
      <c r="E4481" s="7">
        <v>10</v>
      </c>
      <c r="F4481" s="7">
        <v>1</v>
      </c>
      <c r="G4481" s="8" t="s">
        <v>5690</v>
      </c>
      <c r="H4481" s="8" t="s">
        <v>5691</v>
      </c>
      <c r="I4481" s="7" t="str">
        <f>_xlfn.CONCAT(Paper_Reference[[#This Row],[Lvl]:[Paper Description]])</f>
        <v>2NJ37ND0098SD5800UTSW PATIENT ROOM D/G 60 X 961101100DS009-6200FROSTY WHITE</v>
      </c>
      <c r="J4481" s="7">
        <f>COUNTIF(Paper_Reference[Duplicate Key],Paper_Reference[[#This Row],[Duplicate Key]])</f>
        <v>1</v>
      </c>
    </row>
    <row r="4482" spans="1:10">
      <c r="A4482" s="7">
        <v>2</v>
      </c>
      <c r="B4482" s="8" t="s">
        <v>7945</v>
      </c>
      <c r="C4482" s="8" t="s">
        <v>7105</v>
      </c>
      <c r="D4482" s="7">
        <v>1</v>
      </c>
      <c r="E4482" s="7">
        <v>10</v>
      </c>
      <c r="F4482" s="7">
        <v>1</v>
      </c>
      <c r="G4482" s="8" t="s">
        <v>6710</v>
      </c>
      <c r="H4482" s="8" t="s">
        <v>5691</v>
      </c>
      <c r="I4482" s="7" t="str">
        <f>_xlfn.CONCAT(Paper_Reference[[#This Row],[Lvl]:[Paper Description]])</f>
        <v>2NJ48ND0002E-4800HARD ROCK TATOO D/G 48 X 961101100DS009-5000FROSTY WHITE</v>
      </c>
      <c r="J4482" s="7">
        <f>COUNTIF(Paper_Reference[Duplicate Key],Paper_Reference[[#This Row],[Duplicate Key]])</f>
        <v>1</v>
      </c>
    </row>
    <row r="4483" spans="1:10">
      <c r="A4483" s="7">
        <v>2</v>
      </c>
      <c r="B4483" s="8" t="s">
        <v>7946</v>
      </c>
      <c r="C4483" s="8" t="s">
        <v>7106</v>
      </c>
      <c r="D4483" s="7">
        <v>1</v>
      </c>
      <c r="E4483" s="7">
        <v>10</v>
      </c>
      <c r="F4483" s="7">
        <v>1</v>
      </c>
      <c r="G4483" s="8" t="s">
        <v>6710</v>
      </c>
      <c r="H4483" s="8" t="s">
        <v>5691</v>
      </c>
      <c r="I4483" s="7" t="str">
        <f>_xlfn.CONCAT(Paper_Reference[[#This Row],[Lvl]:[Paper Description]])</f>
        <v>2NJ48ND0010E-3800MANNS LEFT MADALION D/G 36X961101100DS009-5000FROSTY WHITE</v>
      </c>
      <c r="J4483" s="7">
        <f>COUNTIF(Paper_Reference[Duplicate Key],Paper_Reference[[#This Row],[Duplicate Key]])</f>
        <v>1</v>
      </c>
    </row>
    <row r="4484" spans="1:10">
      <c r="A4484" s="7">
        <v>2</v>
      </c>
      <c r="B4484" s="8" t="s">
        <v>7947</v>
      </c>
      <c r="C4484" s="8" t="s">
        <v>7107</v>
      </c>
      <c r="D4484" s="7">
        <v>1</v>
      </c>
      <c r="E4484" s="7">
        <v>10</v>
      </c>
      <c r="F4484" s="7">
        <v>1</v>
      </c>
      <c r="G4484" s="8" t="s">
        <v>6710</v>
      </c>
      <c r="H4484" s="8" t="s">
        <v>5691</v>
      </c>
      <c r="I4484" s="7" t="str">
        <f>_xlfn.CONCAT(Paper_Reference[[#This Row],[Lvl]:[Paper Description]])</f>
        <v>2NJ48ND0010E-4800MANNS LEFT MADALION D/G 48X961101100DS009-5000FROSTY WHITE</v>
      </c>
      <c r="J4484" s="7">
        <f>COUNTIF(Paper_Reference[Duplicate Key],Paper_Reference[[#This Row],[Duplicate Key]])</f>
        <v>1</v>
      </c>
    </row>
    <row r="4485" spans="1:10">
      <c r="A4485" s="7">
        <v>2</v>
      </c>
      <c r="B4485" s="8" t="s">
        <v>7948</v>
      </c>
      <c r="C4485" s="8" t="s">
        <v>7108</v>
      </c>
      <c r="D4485" s="7">
        <v>1</v>
      </c>
      <c r="E4485" s="7">
        <v>10</v>
      </c>
      <c r="F4485" s="7">
        <v>1</v>
      </c>
      <c r="G4485" s="8" t="s">
        <v>6710</v>
      </c>
      <c r="H4485" s="8" t="s">
        <v>5691</v>
      </c>
      <c r="I4485" s="7" t="str">
        <f>_xlfn.CONCAT(Paper_Reference[[#This Row],[Lvl]:[Paper Description]])</f>
        <v>2NJ48ND0011E-3800MANNS RIGHT MADALION D/G 36X961101100DS009-5000FROSTY WHITE</v>
      </c>
      <c r="J4485" s="7">
        <f>COUNTIF(Paper_Reference[Duplicate Key],Paper_Reference[[#This Row],[Duplicate Key]])</f>
        <v>1</v>
      </c>
    </row>
    <row r="4486" spans="1:10">
      <c r="A4486" s="7">
        <v>2</v>
      </c>
      <c r="B4486" s="8" t="s">
        <v>7949</v>
      </c>
      <c r="C4486" s="8" t="s">
        <v>7109</v>
      </c>
      <c r="D4486" s="7">
        <v>1</v>
      </c>
      <c r="E4486" s="7">
        <v>10</v>
      </c>
      <c r="F4486" s="7">
        <v>1</v>
      </c>
      <c r="G4486" s="8" t="s">
        <v>6710</v>
      </c>
      <c r="H4486" s="8" t="s">
        <v>5691</v>
      </c>
      <c r="I4486" s="7" t="str">
        <f>_xlfn.CONCAT(Paper_Reference[[#This Row],[Lvl]:[Paper Description]])</f>
        <v>2NJ48ND0011E-4800MANNS RIGHT MADALION D/G 48X961101100DS009-5000FROSTY WHITE</v>
      </c>
      <c r="J4486" s="7">
        <f>COUNTIF(Paper_Reference[Duplicate Key],Paper_Reference[[#This Row],[Duplicate Key]])</f>
        <v>1</v>
      </c>
    </row>
    <row r="4487" spans="1:10">
      <c r="A4487" s="7">
        <v>2</v>
      </c>
      <c r="B4487" s="8" t="s">
        <v>7950</v>
      </c>
      <c r="C4487" s="8" t="s">
        <v>7110</v>
      </c>
      <c r="D4487" s="7">
        <v>1</v>
      </c>
      <c r="E4487" s="7">
        <v>10</v>
      </c>
      <c r="F4487" s="7">
        <v>1</v>
      </c>
      <c r="G4487" s="8" t="s">
        <v>6710</v>
      </c>
      <c r="H4487" s="8" t="s">
        <v>5691</v>
      </c>
      <c r="I4487" s="7" t="str">
        <f>_xlfn.CONCAT(Paper_Reference[[#This Row],[Lvl]:[Paper Description]])</f>
        <v>2NJ48ND0015E-4800DANKU D/G 48 X 961101100DS009-5000FROSTY WHITE</v>
      </c>
      <c r="J4487" s="7">
        <f>COUNTIF(Paper_Reference[Duplicate Key],Paper_Reference[[#This Row],[Duplicate Key]])</f>
        <v>1</v>
      </c>
    </row>
    <row r="4488" spans="1:10">
      <c r="A4488" s="7">
        <v>2</v>
      </c>
      <c r="B4488" s="8" t="s">
        <v>7951</v>
      </c>
      <c r="C4488" s="8" t="s">
        <v>7111</v>
      </c>
      <c r="D4488" s="7">
        <v>1</v>
      </c>
      <c r="E4488" s="7">
        <v>10</v>
      </c>
      <c r="F4488" s="7">
        <v>1</v>
      </c>
      <c r="G4488" s="8" t="s">
        <v>6710</v>
      </c>
      <c r="H4488" s="8" t="s">
        <v>5691</v>
      </c>
      <c r="I4488" s="7" t="str">
        <f>_xlfn.CONCAT(Paper_Reference[[#This Row],[Lvl]:[Paper Description]])</f>
        <v>2NJ48ND0017E-4200MOONWALK 48 X 1441101100DS009-5000FROSTY WHITE</v>
      </c>
      <c r="J4488" s="7">
        <f>COUNTIF(Paper_Reference[Duplicate Key],Paper_Reference[[#This Row],[Duplicate Key]])</f>
        <v>1</v>
      </c>
    </row>
    <row r="4489" spans="1:10">
      <c r="A4489" s="7">
        <v>2</v>
      </c>
      <c r="B4489" s="8" t="s">
        <v>6490</v>
      </c>
      <c r="C4489" s="8" t="s">
        <v>5972</v>
      </c>
      <c r="D4489" s="7">
        <v>1</v>
      </c>
      <c r="E4489" s="7">
        <v>10</v>
      </c>
      <c r="F4489" s="7">
        <v>1</v>
      </c>
      <c r="G4489" s="8" t="s">
        <v>5690</v>
      </c>
      <c r="H4489" s="8" t="s">
        <v>5691</v>
      </c>
      <c r="I4489" s="7" t="str">
        <f>_xlfn.CONCAT(Paper_Reference[[#This Row],[Lvl]:[Paper Description]])</f>
        <v>2NJ48ND0017E-5200MOONWALK 60 X 1441101100DS009-6200FROSTY WHITE</v>
      </c>
      <c r="J4489" s="7">
        <f>COUNTIF(Paper_Reference[Duplicate Key],Paper_Reference[[#This Row],[Duplicate Key]])</f>
        <v>1</v>
      </c>
    </row>
    <row r="4490" spans="1:10">
      <c r="A4490" s="7">
        <v>2</v>
      </c>
      <c r="B4490" s="8" t="s">
        <v>7952</v>
      </c>
      <c r="C4490" s="8" t="s">
        <v>7112</v>
      </c>
      <c r="D4490" s="7">
        <v>1</v>
      </c>
      <c r="E4490" s="7">
        <v>10</v>
      </c>
      <c r="F4490" s="7">
        <v>1</v>
      </c>
      <c r="G4490" s="8" t="s">
        <v>6710</v>
      </c>
      <c r="H4490" s="8" t="s">
        <v>5691</v>
      </c>
      <c r="I4490" s="7" t="str">
        <f>_xlfn.CONCAT(Paper_Reference[[#This Row],[Lvl]:[Paper Description]])</f>
        <v>2NJ48ND0020E-4800WHATABURGER D/G 48 X 961101100DS009-5000FROSTY WHITE</v>
      </c>
      <c r="J4490" s="7">
        <f>COUNTIF(Paper_Reference[Duplicate Key],Paper_Reference[[#This Row],[Duplicate Key]])</f>
        <v>1</v>
      </c>
    </row>
    <row r="4491" spans="1:10">
      <c r="A4491" s="7">
        <v>2</v>
      </c>
      <c r="B4491" s="8" t="s">
        <v>7953</v>
      </c>
      <c r="C4491" s="8" t="s">
        <v>7113</v>
      </c>
      <c r="D4491" s="7">
        <v>1</v>
      </c>
      <c r="E4491" s="7">
        <v>10</v>
      </c>
      <c r="F4491" s="7">
        <v>1</v>
      </c>
      <c r="G4491" s="8" t="s">
        <v>6710</v>
      </c>
      <c r="H4491" s="8" t="s">
        <v>5691</v>
      </c>
      <c r="I4491" s="7" t="str">
        <f>_xlfn.CONCAT(Paper_Reference[[#This Row],[Lvl]:[Paper Description]])</f>
        <v>2NJ48ND0021E-4000WHATABURGER D/G 48 X 1201101100DS009-5000FROSTY WHITE</v>
      </c>
      <c r="J4491" s="7">
        <f>COUNTIF(Paper_Reference[Duplicate Key],Paper_Reference[[#This Row],[Duplicate Key]])</f>
        <v>1</v>
      </c>
    </row>
    <row r="4492" spans="1:10">
      <c r="A4492" s="7">
        <v>2</v>
      </c>
      <c r="B4492" s="8" t="s">
        <v>7954</v>
      </c>
      <c r="C4492" s="8" t="s">
        <v>7114</v>
      </c>
      <c r="D4492" s="7">
        <v>1</v>
      </c>
      <c r="E4492" s="7">
        <v>10</v>
      </c>
      <c r="F4492" s="7">
        <v>1</v>
      </c>
      <c r="G4492" s="8" t="s">
        <v>6710</v>
      </c>
      <c r="H4492" s="8" t="s">
        <v>5691</v>
      </c>
      <c r="I4492" s="7" t="str">
        <f>_xlfn.CONCAT(Paper_Reference[[#This Row],[Lvl]:[Paper Description]])</f>
        <v>2NJ48ND0023E-3800NORTONS HOSPITAL D/G 36 X 961101100DS009-5000FROSTY WHITE</v>
      </c>
      <c r="J4492" s="7">
        <f>COUNTIF(Paper_Reference[Duplicate Key],Paper_Reference[[#This Row],[Duplicate Key]])</f>
        <v>1</v>
      </c>
    </row>
    <row r="4493" spans="1:10">
      <c r="A4493" s="7">
        <v>2</v>
      </c>
      <c r="B4493" s="8" t="s">
        <v>7955</v>
      </c>
      <c r="C4493" s="8" t="s">
        <v>7115</v>
      </c>
      <c r="D4493" s="7">
        <v>1</v>
      </c>
      <c r="E4493" s="7">
        <v>10</v>
      </c>
      <c r="F4493" s="7">
        <v>1</v>
      </c>
      <c r="G4493" s="8" t="s">
        <v>6710</v>
      </c>
      <c r="H4493" s="8" t="s">
        <v>5691</v>
      </c>
      <c r="I4493" s="7" t="str">
        <f>_xlfn.CONCAT(Paper_Reference[[#This Row],[Lvl]:[Paper Description]])</f>
        <v>2NJ48ND0025E-4800NORTON KCMC D/G 48 X 961101100DS009-5000FROSTY WHITE</v>
      </c>
      <c r="J4493" s="7">
        <f>COUNTIF(Paper_Reference[Duplicate Key],Paper_Reference[[#This Row],[Duplicate Key]])</f>
        <v>1</v>
      </c>
    </row>
    <row r="4494" spans="1:10">
      <c r="A4494" s="7">
        <v>2</v>
      </c>
      <c r="B4494" s="8" t="s">
        <v>6491</v>
      </c>
      <c r="C4494" s="8" t="s">
        <v>5973</v>
      </c>
      <c r="D4494" s="7">
        <v>1</v>
      </c>
      <c r="E4494" s="7">
        <v>10</v>
      </c>
      <c r="F4494" s="7">
        <v>1</v>
      </c>
      <c r="G4494" s="8" t="s">
        <v>5690</v>
      </c>
      <c r="H4494" s="8" t="s">
        <v>5691</v>
      </c>
      <c r="I4494" s="7" t="str">
        <f>_xlfn.CONCAT(Paper_Reference[[#This Row],[Lvl]:[Paper Description]])</f>
        <v>2NJ48ND0029E-5800SAM'S KNOB D/G 60 X 961101100DS009-6200FROSTY WHITE</v>
      </c>
      <c r="J4494" s="7">
        <f>COUNTIF(Paper_Reference[Duplicate Key],Paper_Reference[[#This Row],[Duplicate Key]])</f>
        <v>1</v>
      </c>
    </row>
    <row r="4495" spans="1:10">
      <c r="A4495" s="7">
        <v>2</v>
      </c>
      <c r="B4495" s="8" t="s">
        <v>6492</v>
      </c>
      <c r="C4495" s="8" t="s">
        <v>5974</v>
      </c>
      <c r="D4495" s="7">
        <v>1</v>
      </c>
      <c r="E4495" s="7">
        <v>10</v>
      </c>
      <c r="F4495" s="7">
        <v>1</v>
      </c>
      <c r="G4495" s="8" t="s">
        <v>5690</v>
      </c>
      <c r="H4495" s="8" t="s">
        <v>5691</v>
      </c>
      <c r="I4495" s="7" t="str">
        <f>_xlfn.CONCAT(Paper_Reference[[#This Row],[Lvl]:[Paper Description]])</f>
        <v>2NJ48ND0030E-5200SAM'S KNOB II D/G  60 X 1441101100DS009-6200FROSTY WHITE</v>
      </c>
      <c r="J4495" s="7">
        <f>COUNTIF(Paper_Reference[Duplicate Key],Paper_Reference[[#This Row],[Duplicate Key]])</f>
        <v>1</v>
      </c>
    </row>
    <row r="4496" spans="1:10">
      <c r="A4496" s="7">
        <v>2</v>
      </c>
      <c r="B4496" s="8" t="s">
        <v>7956</v>
      </c>
      <c r="C4496" s="8" t="s">
        <v>7116</v>
      </c>
      <c r="D4496" s="7">
        <v>1</v>
      </c>
      <c r="E4496" s="7">
        <v>10</v>
      </c>
      <c r="F4496" s="7">
        <v>1</v>
      </c>
      <c r="G4496" s="8" t="s">
        <v>6710</v>
      </c>
      <c r="H4496" s="8" t="s">
        <v>5691</v>
      </c>
      <c r="I4496" s="7" t="str">
        <f>_xlfn.CONCAT(Paper_Reference[[#This Row],[Lvl]:[Paper Description]])</f>
        <v>2NJ48ND0037E-3800SAM'S KNOB 1 TOP D/G 36 X 961101100DS009-5000FROSTY WHITE</v>
      </c>
      <c r="J4496" s="7">
        <f>COUNTIF(Paper_Reference[Duplicate Key],Paper_Reference[[#This Row],[Duplicate Key]])</f>
        <v>1</v>
      </c>
    </row>
    <row r="4497" spans="1:10">
      <c r="A4497" s="7">
        <v>2</v>
      </c>
      <c r="B4497" s="8" t="s">
        <v>7957</v>
      </c>
      <c r="C4497" s="8" t="s">
        <v>7117</v>
      </c>
      <c r="D4497" s="7">
        <v>1</v>
      </c>
      <c r="E4497" s="7">
        <v>10</v>
      </c>
      <c r="F4497" s="7">
        <v>1</v>
      </c>
      <c r="G4497" s="8" t="s">
        <v>6710</v>
      </c>
      <c r="H4497" s="8" t="s">
        <v>5691</v>
      </c>
      <c r="I4497" s="7" t="str">
        <f>_xlfn.CONCAT(Paper_Reference[[#This Row],[Lvl]:[Paper Description]])</f>
        <v>2NJ48ND0038E-3200SAM'S KNOB 2 TOP D/G 36 X 1441101100DS009-5000FROSTY WHITE</v>
      </c>
      <c r="J4497" s="7">
        <f>COUNTIF(Paper_Reference[Duplicate Key],Paper_Reference[[#This Row],[Duplicate Key]])</f>
        <v>1</v>
      </c>
    </row>
    <row r="4498" spans="1:10">
      <c r="A4498" s="7">
        <v>2</v>
      </c>
      <c r="B4498" s="8" t="s">
        <v>7958</v>
      </c>
      <c r="C4498" s="8" t="s">
        <v>7118</v>
      </c>
      <c r="D4498" s="7">
        <v>1</v>
      </c>
      <c r="E4498" s="7">
        <v>10</v>
      </c>
      <c r="F4498" s="7">
        <v>1</v>
      </c>
      <c r="G4498" s="8" t="s">
        <v>6710</v>
      </c>
      <c r="H4498" s="8" t="s">
        <v>5691</v>
      </c>
      <c r="I4498" s="7" t="str">
        <f>_xlfn.CONCAT(Paper_Reference[[#This Row],[Lvl]:[Paper Description]])</f>
        <v>2NJ48ND0039E-4800SAM'S KNOB WOMENS D/G 48 X 961101100DS009-5000FROSTY WHITE</v>
      </c>
      <c r="J4498" s="7">
        <f>COUNTIF(Paper_Reference[Duplicate Key],Paper_Reference[[#This Row],[Duplicate Key]])</f>
        <v>1</v>
      </c>
    </row>
    <row r="4499" spans="1:10">
      <c r="A4499" s="7">
        <v>2</v>
      </c>
      <c r="B4499" s="8" t="s">
        <v>6493</v>
      </c>
      <c r="C4499" s="8" t="s">
        <v>5975</v>
      </c>
      <c r="D4499" s="7">
        <v>1</v>
      </c>
      <c r="E4499" s="7">
        <v>10</v>
      </c>
      <c r="F4499" s="7">
        <v>1</v>
      </c>
      <c r="G4499" s="8" t="s">
        <v>5690</v>
      </c>
      <c r="H4499" s="8" t="s">
        <v>5691</v>
      </c>
      <c r="I4499" s="7" t="str">
        <f>_xlfn.CONCAT(Paper_Reference[[#This Row],[Lvl]:[Paper Description]])</f>
        <v>2NJ48ND0039E-5800SAM'S KNOB WOMENS D/G 60 X 961101100DS009-6200FROSTY WHITE</v>
      </c>
      <c r="J4499" s="7">
        <f>COUNTIF(Paper_Reference[Duplicate Key],Paper_Reference[[#This Row],[Duplicate Key]])</f>
        <v>1</v>
      </c>
    </row>
    <row r="4500" spans="1:10">
      <c r="A4500" s="7">
        <v>2</v>
      </c>
      <c r="B4500" s="8" t="s">
        <v>6494</v>
      </c>
      <c r="C4500" s="8" t="s">
        <v>5976</v>
      </c>
      <c r="D4500" s="7">
        <v>1</v>
      </c>
      <c r="E4500" s="7">
        <v>10</v>
      </c>
      <c r="F4500" s="7">
        <v>1</v>
      </c>
      <c r="G4500" s="8" t="s">
        <v>5690</v>
      </c>
      <c r="H4500" s="8" t="s">
        <v>5691</v>
      </c>
      <c r="I4500" s="7" t="str">
        <f>_xlfn.CONCAT(Paper_Reference[[#This Row],[Lvl]:[Paper Description]])</f>
        <v>2NJ48ND0040E-5000SAM'S KNOB MENS D/G 60 X 1201101100DS009-6200FROSTY WHITE</v>
      </c>
      <c r="J4500" s="7">
        <f>COUNTIF(Paper_Reference[Duplicate Key],Paper_Reference[[#This Row],[Duplicate Key]])</f>
        <v>1</v>
      </c>
    </row>
    <row r="4501" spans="1:10">
      <c r="A4501" s="7">
        <v>2</v>
      </c>
      <c r="B4501" s="8" t="s">
        <v>6495</v>
      </c>
      <c r="C4501" s="8" t="s">
        <v>5977</v>
      </c>
      <c r="D4501" s="7">
        <v>1</v>
      </c>
      <c r="E4501" s="7">
        <v>10</v>
      </c>
      <c r="F4501" s="7">
        <v>1</v>
      </c>
      <c r="G4501" s="8" t="s">
        <v>5690</v>
      </c>
      <c r="H4501" s="8" t="s">
        <v>5691</v>
      </c>
      <c r="I4501" s="7" t="str">
        <f>_xlfn.CONCAT(Paper_Reference[[#This Row],[Lvl]:[Paper Description]])</f>
        <v>2NJ48ND0040E-5800SAM'S KNOB MENS D/G 60 X 961101100DS009-6200FROSTY WHITE</v>
      </c>
      <c r="J4501" s="7">
        <f>COUNTIF(Paper_Reference[Duplicate Key],Paper_Reference[[#This Row],[Duplicate Key]])</f>
        <v>1</v>
      </c>
    </row>
    <row r="4502" spans="1:10">
      <c r="A4502" s="7">
        <v>2</v>
      </c>
      <c r="B4502" s="8" t="s">
        <v>7959</v>
      </c>
      <c r="C4502" s="8" t="s">
        <v>7119</v>
      </c>
      <c r="D4502" s="7">
        <v>1</v>
      </c>
      <c r="E4502" s="7">
        <v>10</v>
      </c>
      <c r="F4502" s="7">
        <v>1</v>
      </c>
      <c r="G4502" s="8" t="s">
        <v>6710</v>
      </c>
      <c r="H4502" s="8" t="s">
        <v>5691</v>
      </c>
      <c r="I4502" s="7" t="str">
        <f>_xlfn.CONCAT(Paper_Reference[[#This Row],[Lvl]:[Paper Description]])</f>
        <v>2NJ48ND0045G-4800CHICAGO COIN NEW D/G 48 X 961101100DS009-5000FROSTY WHITE</v>
      </c>
      <c r="J4502" s="7">
        <f>COUNTIF(Paper_Reference[Duplicate Key],Paper_Reference[[#This Row],[Duplicate Key]])</f>
        <v>1</v>
      </c>
    </row>
    <row r="4503" spans="1:10">
      <c r="A4503" s="7">
        <v>2</v>
      </c>
      <c r="B4503" s="8" t="s">
        <v>7960</v>
      </c>
      <c r="C4503" s="8" t="s">
        <v>7120</v>
      </c>
      <c r="D4503" s="7">
        <v>1</v>
      </c>
      <c r="E4503" s="7">
        <v>10</v>
      </c>
      <c r="F4503" s="7">
        <v>1</v>
      </c>
      <c r="G4503" s="8" t="s">
        <v>6710</v>
      </c>
      <c r="H4503" s="8" t="s">
        <v>5691</v>
      </c>
      <c r="I4503" s="7" t="str">
        <f>_xlfn.CONCAT(Paper_Reference[[#This Row],[Lvl]:[Paper Description]])</f>
        <v>2NJ48ND0047E-4200WYLIE LIBRARY D/G 48 X 1441101100DS009-5000FROSTY WHITE</v>
      </c>
      <c r="J4503" s="7">
        <f>COUNTIF(Paper_Reference[Duplicate Key],Paper_Reference[[#This Row],[Duplicate Key]])</f>
        <v>1</v>
      </c>
    </row>
    <row r="4504" spans="1:10">
      <c r="A4504" s="7">
        <v>2</v>
      </c>
      <c r="B4504" s="8" t="s">
        <v>7961</v>
      </c>
      <c r="C4504" s="8" t="s">
        <v>7121</v>
      </c>
      <c r="D4504" s="7">
        <v>1</v>
      </c>
      <c r="E4504" s="7">
        <v>10</v>
      </c>
      <c r="F4504" s="7">
        <v>1</v>
      </c>
      <c r="G4504" s="8" t="s">
        <v>6710</v>
      </c>
      <c r="H4504" s="8" t="s">
        <v>5691</v>
      </c>
      <c r="I4504" s="7" t="str">
        <f>_xlfn.CONCAT(Paper_Reference[[#This Row],[Lvl]:[Paper Description]])</f>
        <v>2NJ48ND0047E-4800WYLIE LIBRARY D/G 48 X 961101100DS009-5000FROSTY WHITE</v>
      </c>
      <c r="J4504" s="7">
        <f>COUNTIF(Paper_Reference[Duplicate Key],Paper_Reference[[#This Row],[Duplicate Key]])</f>
        <v>1</v>
      </c>
    </row>
    <row r="4505" spans="1:10">
      <c r="A4505" s="7">
        <v>2</v>
      </c>
      <c r="B4505" s="8" t="s">
        <v>6496</v>
      </c>
      <c r="C4505" s="8" t="s">
        <v>5978</v>
      </c>
      <c r="D4505" s="7">
        <v>1</v>
      </c>
      <c r="E4505" s="7">
        <v>10</v>
      </c>
      <c r="F4505" s="7">
        <v>1</v>
      </c>
      <c r="G4505" s="8" t="s">
        <v>5690</v>
      </c>
      <c r="H4505" s="8" t="s">
        <v>5691</v>
      </c>
      <c r="I4505" s="7" t="str">
        <f>_xlfn.CONCAT(Paper_Reference[[#This Row],[Lvl]:[Paper Description]])</f>
        <v>2NJ48ND0047E-5800WYLIE LIBRARY D/G 60 X 961101100DS009-6200FROSTY WHITE</v>
      </c>
      <c r="J4505" s="7">
        <f>COUNTIF(Paper_Reference[Duplicate Key],Paper_Reference[[#This Row],[Duplicate Key]])</f>
        <v>1</v>
      </c>
    </row>
    <row r="4506" spans="1:10">
      <c r="A4506" s="7">
        <v>2</v>
      </c>
      <c r="B4506" s="8" t="s">
        <v>6497</v>
      </c>
      <c r="C4506" s="8" t="s">
        <v>5954</v>
      </c>
      <c r="D4506" s="7">
        <v>1</v>
      </c>
      <c r="E4506" s="7">
        <v>10</v>
      </c>
      <c r="F4506" s="7">
        <v>1</v>
      </c>
      <c r="G4506" s="8" t="s">
        <v>5690</v>
      </c>
      <c r="H4506" s="8" t="s">
        <v>5691</v>
      </c>
      <c r="I4506" s="7" t="str">
        <f>_xlfn.CONCAT(Paper_Reference[[#This Row],[Lvl]:[Paper Description]])</f>
        <v>2NJ48ND0054G-5201ZEBRA SKIN 60 X 1441101100DS009-6200FROSTY WHITE</v>
      </c>
      <c r="J4506" s="7">
        <f>COUNTIF(Paper_Reference[Duplicate Key],Paper_Reference[[#This Row],[Duplicate Key]])</f>
        <v>1</v>
      </c>
    </row>
    <row r="4507" spans="1:10">
      <c r="A4507" s="7">
        <v>2</v>
      </c>
      <c r="B4507" s="8" t="s">
        <v>6498</v>
      </c>
      <c r="C4507" s="8" t="s">
        <v>5979</v>
      </c>
      <c r="D4507" s="7">
        <v>1</v>
      </c>
      <c r="E4507" s="7">
        <v>10</v>
      </c>
      <c r="F4507" s="7">
        <v>1</v>
      </c>
      <c r="G4507" s="8" t="s">
        <v>5690</v>
      </c>
      <c r="H4507" s="8" t="s">
        <v>5691</v>
      </c>
      <c r="I4507" s="7" t="str">
        <f>_xlfn.CONCAT(Paper_Reference[[#This Row],[Lvl]:[Paper Description]])</f>
        <v>2NJ48ND0070SD5800NLH ELEVATOR IMAGE  60 X 961101100DS009-6200FROSTY WHITE</v>
      </c>
      <c r="J4507" s="7">
        <f>COUNTIF(Paper_Reference[Duplicate Key],Paper_Reference[[#This Row],[Duplicate Key]])</f>
        <v>1</v>
      </c>
    </row>
    <row r="4508" spans="1:10">
      <c r="A4508" s="7">
        <v>2</v>
      </c>
      <c r="B4508" s="8" t="s">
        <v>6499</v>
      </c>
      <c r="C4508" s="8" t="s">
        <v>5980</v>
      </c>
      <c r="D4508" s="7">
        <v>1</v>
      </c>
      <c r="E4508" s="7">
        <v>10</v>
      </c>
      <c r="F4508" s="7">
        <v>1</v>
      </c>
      <c r="G4508" s="8" t="s">
        <v>5690</v>
      </c>
      <c r="H4508" s="8" t="s">
        <v>5691</v>
      </c>
      <c r="I4508" s="7" t="str">
        <f>_xlfn.CONCAT(Paper_Reference[[#This Row],[Lvl]:[Paper Description]])</f>
        <v>2NJ48ND0072SD5200WURTH SAMPLE 60 X 1441101100DS009-6200FROSTY WHITE</v>
      </c>
      <c r="J4508" s="7">
        <f>COUNTIF(Paper_Reference[Duplicate Key],Paper_Reference[[#This Row],[Duplicate Key]])</f>
        <v>1</v>
      </c>
    </row>
    <row r="4509" spans="1:10">
      <c r="A4509" s="7">
        <v>2</v>
      </c>
      <c r="B4509" s="8" t="s">
        <v>6500</v>
      </c>
      <c r="C4509" s="8" t="s">
        <v>5981</v>
      </c>
      <c r="D4509" s="7">
        <v>1</v>
      </c>
      <c r="E4509" s="7">
        <v>10</v>
      </c>
      <c r="F4509" s="7">
        <v>1</v>
      </c>
      <c r="G4509" s="8" t="s">
        <v>5690</v>
      </c>
      <c r="H4509" s="8" t="s">
        <v>5691</v>
      </c>
      <c r="I4509" s="7" t="str">
        <f>_xlfn.CONCAT(Paper_Reference[[#This Row],[Lvl]:[Paper Description]])</f>
        <v>2NJ48ND0077SD5200MAZZIO'S PIZZA T/TOPS 60 X 1441101100DS009-6200FROSTY WHITE</v>
      </c>
      <c r="J4509" s="7">
        <f>COUNTIF(Paper_Reference[Duplicate Key],Paper_Reference[[#This Row],[Duplicate Key]])</f>
        <v>1</v>
      </c>
    </row>
    <row r="4510" spans="1:10">
      <c r="A4510" s="7">
        <v>3</v>
      </c>
      <c r="B4510" s="8" t="s">
        <v>4344</v>
      </c>
      <c r="C4510" s="8" t="s">
        <v>4195</v>
      </c>
      <c r="D4510" s="7">
        <v>1</v>
      </c>
      <c r="E4510" s="7">
        <v>10</v>
      </c>
      <c r="F4510" s="7">
        <v>1</v>
      </c>
      <c r="G4510" s="8" t="s">
        <v>4129</v>
      </c>
      <c r="H4510" s="8" t="s">
        <v>4130</v>
      </c>
      <c r="I4510" s="7" t="str">
        <f>_xlfn.CONCAT(Paper_Reference[[#This Row],[Lvl]:[Paper Description]])</f>
        <v>3NJ48T21012N-5000BAD PART NO LONGER AVAILABLE1101110WC013-6200BLOSSOM CHERRY</v>
      </c>
      <c r="J4510" s="7">
        <f>COUNTIF(Paper_Reference[Duplicate Key],Paper_Reference[[#This Row],[Duplicate Key]])</f>
        <v>1</v>
      </c>
    </row>
    <row r="4511" spans="1:10">
      <c r="A4511" s="7">
        <v>2</v>
      </c>
      <c r="B4511" s="8" t="s">
        <v>4081</v>
      </c>
      <c r="C4511" s="8" t="s">
        <v>3812</v>
      </c>
      <c r="D4511" s="7">
        <v>1</v>
      </c>
      <c r="E4511" s="7">
        <v>10</v>
      </c>
      <c r="F4511" s="7">
        <v>1</v>
      </c>
      <c r="G4511" s="8" t="s">
        <v>5690</v>
      </c>
      <c r="H4511" s="8" t="s">
        <v>5691</v>
      </c>
      <c r="I4511" s="7" t="str">
        <f>_xlfn.CONCAT(Paper_Reference[[#This Row],[Lvl]:[Paper Description]])</f>
        <v>2NJDEND0051T-5200DUNHAMS STRIPES D/G 60 X 1441101100DS009-6200FROSTY WHITE</v>
      </c>
      <c r="J4511" s="7">
        <f>COUNTIF(Paper_Reference[Duplicate Key],Paper_Reference[[#This Row],[Duplicate Key]])</f>
        <v>1</v>
      </c>
    </row>
    <row r="4512" spans="1:10">
      <c r="A4512" s="7">
        <v>2</v>
      </c>
      <c r="B4512" s="8" t="s">
        <v>4081</v>
      </c>
      <c r="C4512" s="8" t="s">
        <v>3812</v>
      </c>
      <c r="D4512" s="7">
        <v>1</v>
      </c>
      <c r="E4512" s="7">
        <v>40</v>
      </c>
      <c r="F4512" s="7">
        <v>1</v>
      </c>
      <c r="G4512" s="8" t="s">
        <v>3826</v>
      </c>
      <c r="H4512" s="8" t="s">
        <v>3827</v>
      </c>
      <c r="I4512" s="7" t="str">
        <f>_xlfn.CONCAT(Paper_Reference[[#This Row],[Lvl]:[Paper Description]])</f>
        <v>2NJDEND0051T-5200DUNHAMS STRIPES D/G 60 X 1441401110SW736-6200PRECISION WHITE 62"</v>
      </c>
      <c r="J4512" s="7">
        <f>COUNTIF(Paper_Reference[Duplicate Key],Paper_Reference[[#This Row],[Duplicate Key]])</f>
        <v>1</v>
      </c>
    </row>
    <row r="4513" spans="1:10">
      <c r="A4513" s="7">
        <v>2</v>
      </c>
      <c r="B4513" s="8" t="s">
        <v>4082</v>
      </c>
      <c r="C4513" s="8" t="s">
        <v>3813</v>
      </c>
      <c r="D4513" s="7">
        <v>1</v>
      </c>
      <c r="E4513" s="7">
        <v>10</v>
      </c>
      <c r="F4513" s="7">
        <v>1</v>
      </c>
      <c r="G4513" s="8" t="s">
        <v>5690</v>
      </c>
      <c r="H4513" s="8" t="s">
        <v>5691</v>
      </c>
      <c r="I4513" s="7" t="str">
        <f>_xlfn.CONCAT(Paper_Reference[[#This Row],[Lvl]:[Paper Description]])</f>
        <v>2NJDEND0052T-5200DUNHAMS MONDRIAN D/G 60 X 1441101100DS009-6200FROSTY WHITE</v>
      </c>
      <c r="J4513" s="7">
        <f>COUNTIF(Paper_Reference[Duplicate Key],Paper_Reference[[#This Row],[Duplicate Key]])</f>
        <v>1</v>
      </c>
    </row>
    <row r="4514" spans="1:10">
      <c r="A4514" s="7">
        <v>2</v>
      </c>
      <c r="B4514" s="8" t="s">
        <v>4082</v>
      </c>
      <c r="C4514" s="8" t="s">
        <v>3813</v>
      </c>
      <c r="D4514" s="7">
        <v>1</v>
      </c>
      <c r="E4514" s="7">
        <v>40</v>
      </c>
      <c r="F4514" s="7">
        <v>1</v>
      </c>
      <c r="G4514" s="8" t="s">
        <v>3826</v>
      </c>
      <c r="H4514" s="8" t="s">
        <v>3827</v>
      </c>
      <c r="I4514" s="7" t="str">
        <f>_xlfn.CONCAT(Paper_Reference[[#This Row],[Lvl]:[Paper Description]])</f>
        <v>2NJDEND0052T-5200DUNHAMS MONDRIAN D/G 60 X 1441401110SW736-6200PRECISION WHITE 62"</v>
      </c>
      <c r="J4514" s="7">
        <f>COUNTIF(Paper_Reference[Duplicate Key],Paper_Reference[[#This Row],[Duplicate Key]])</f>
        <v>1</v>
      </c>
    </row>
    <row r="4515" spans="1:10">
      <c r="A4515" s="7">
        <v>2</v>
      </c>
      <c r="B4515" s="8" t="s">
        <v>4083</v>
      </c>
      <c r="C4515" s="8" t="s">
        <v>3814</v>
      </c>
      <c r="D4515" s="7">
        <v>1</v>
      </c>
      <c r="E4515" s="7">
        <v>10</v>
      </c>
      <c r="F4515" s="7">
        <v>1</v>
      </c>
      <c r="G4515" s="8" t="s">
        <v>5690</v>
      </c>
      <c r="H4515" s="8" t="s">
        <v>5691</v>
      </c>
      <c r="I4515" s="7" t="str">
        <f>_xlfn.CONCAT(Paper_Reference[[#This Row],[Lvl]:[Paper Description]])</f>
        <v>2NJDEND0053T-5200DUNHAMS GRAFITTI D/G 60 X 1441101100DS009-6200FROSTY WHITE</v>
      </c>
      <c r="J4515" s="7">
        <f>COUNTIF(Paper_Reference[Duplicate Key],Paper_Reference[[#This Row],[Duplicate Key]])</f>
        <v>1</v>
      </c>
    </row>
    <row r="4516" spans="1:10">
      <c r="A4516" s="7">
        <v>2</v>
      </c>
      <c r="B4516" s="8" t="s">
        <v>4083</v>
      </c>
      <c r="C4516" s="8" t="s">
        <v>3814</v>
      </c>
      <c r="D4516" s="7">
        <v>1</v>
      </c>
      <c r="E4516" s="7">
        <v>40</v>
      </c>
      <c r="F4516" s="7">
        <v>1</v>
      </c>
      <c r="G4516" s="8" t="s">
        <v>3826</v>
      </c>
      <c r="H4516" s="8" t="s">
        <v>3827</v>
      </c>
      <c r="I4516" s="7" t="str">
        <f>_xlfn.CONCAT(Paper_Reference[[#This Row],[Lvl]:[Paper Description]])</f>
        <v>2NJDEND0053T-5200DUNHAMS GRAFITTI D/G 60 X 1441401110SW736-6200PRECISION WHITE 62"</v>
      </c>
      <c r="J4516" s="7">
        <f>COUNTIF(Paper_Reference[Duplicate Key],Paper_Reference[[#This Row],[Duplicate Key]])</f>
        <v>1</v>
      </c>
    </row>
    <row r="4517" spans="1:10">
      <c r="A4517" s="7">
        <v>2</v>
      </c>
      <c r="B4517" s="8" t="s">
        <v>6501</v>
      </c>
      <c r="C4517" s="8" t="s">
        <v>5901</v>
      </c>
      <c r="D4517" s="7">
        <v>1</v>
      </c>
      <c r="E4517" s="7">
        <v>10</v>
      </c>
      <c r="F4517" s="7">
        <v>1</v>
      </c>
      <c r="G4517" s="8" t="s">
        <v>5690</v>
      </c>
      <c r="H4517" s="8" t="s">
        <v>5691</v>
      </c>
      <c r="I4517" s="7" t="str">
        <f>_xlfn.CONCAT(Paper_Reference[[#This Row],[Lvl]:[Paper Description]])</f>
        <v>2NJI2ND0055E-5801SCH PUB ELEV MURAL 60 X 961101100DS009-6200FROSTY WHITE</v>
      </c>
      <c r="J4517" s="7">
        <f>COUNTIF(Paper_Reference[Duplicate Key],Paper_Reference[[#This Row],[Duplicate Key]])</f>
        <v>1</v>
      </c>
    </row>
    <row r="4518" spans="1:10">
      <c r="A4518" s="7">
        <v>2</v>
      </c>
      <c r="B4518" s="8" t="s">
        <v>6502</v>
      </c>
      <c r="C4518" s="8" t="s">
        <v>5901</v>
      </c>
      <c r="D4518" s="7">
        <v>1</v>
      </c>
      <c r="E4518" s="7">
        <v>10</v>
      </c>
      <c r="F4518" s="7">
        <v>1</v>
      </c>
      <c r="G4518" s="8" t="s">
        <v>5690</v>
      </c>
      <c r="H4518" s="8" t="s">
        <v>5691</v>
      </c>
      <c r="I4518" s="7" t="str">
        <f>_xlfn.CONCAT(Paper_Reference[[#This Row],[Lvl]:[Paper Description]])</f>
        <v>2NJI2ND0055SD5801SCH PUB ELEV MURAL 60 X 961101100DS009-6200FROSTY WHITE</v>
      </c>
      <c r="J4518" s="7">
        <f>COUNTIF(Paper_Reference[Duplicate Key],Paper_Reference[[#This Row],[Duplicate Key]])</f>
        <v>1</v>
      </c>
    </row>
    <row r="4519" spans="1:10">
      <c r="A4519" s="7">
        <v>2</v>
      </c>
      <c r="B4519" s="8" t="s">
        <v>6503</v>
      </c>
      <c r="C4519" s="8" t="s">
        <v>5902</v>
      </c>
      <c r="D4519" s="7">
        <v>1</v>
      </c>
      <c r="E4519" s="7">
        <v>10</v>
      </c>
      <c r="F4519" s="7">
        <v>1</v>
      </c>
      <c r="G4519" s="8" t="s">
        <v>5690</v>
      </c>
      <c r="H4519" s="8" t="s">
        <v>5691</v>
      </c>
      <c r="I4519" s="7" t="str">
        <f>_xlfn.CONCAT(Paper_Reference[[#This Row],[Lvl]:[Paper Description]])</f>
        <v>2NJI2ND0056E-5801SCH SERV ELEV MURAL 60 X 961101100DS009-6200FROSTY WHITE</v>
      </c>
      <c r="J4519" s="7">
        <f>COUNTIF(Paper_Reference[Duplicate Key],Paper_Reference[[#This Row],[Duplicate Key]])</f>
        <v>1</v>
      </c>
    </row>
    <row r="4520" spans="1:10">
      <c r="A4520" s="7">
        <v>2</v>
      </c>
      <c r="B4520" s="8" t="s">
        <v>6504</v>
      </c>
      <c r="C4520" s="8" t="s">
        <v>5902</v>
      </c>
      <c r="D4520" s="7">
        <v>1</v>
      </c>
      <c r="E4520" s="7">
        <v>10</v>
      </c>
      <c r="F4520" s="7">
        <v>1</v>
      </c>
      <c r="G4520" s="8" t="s">
        <v>5690</v>
      </c>
      <c r="H4520" s="8" t="s">
        <v>5691</v>
      </c>
      <c r="I4520" s="7" t="str">
        <f>_xlfn.CONCAT(Paper_Reference[[#This Row],[Lvl]:[Paper Description]])</f>
        <v>2NJI2ND0056SD5801SCH SERV ELEV MURAL 60 X 961101100DS009-6200FROSTY WHITE</v>
      </c>
      <c r="J4520" s="7">
        <f>COUNTIF(Paper_Reference[Duplicate Key],Paper_Reference[[#This Row],[Duplicate Key]])</f>
        <v>1</v>
      </c>
    </row>
    <row r="4521" spans="1:10">
      <c r="A4521" s="7">
        <v>2</v>
      </c>
      <c r="B4521" s="8" t="s">
        <v>6505</v>
      </c>
      <c r="C4521" s="8" t="s">
        <v>5982</v>
      </c>
      <c r="D4521" s="7">
        <v>1</v>
      </c>
      <c r="E4521" s="7">
        <v>10</v>
      </c>
      <c r="F4521" s="7">
        <v>1</v>
      </c>
      <c r="G4521" s="8" t="s">
        <v>5690</v>
      </c>
      <c r="H4521" s="8" t="s">
        <v>5691</v>
      </c>
      <c r="I4521" s="7" t="str">
        <f>_xlfn.CONCAT(Paper_Reference[[#This Row],[Lvl]:[Paper Description]])</f>
        <v>2NJI2ND0057E-5801SCH SITE ELEV MURAL 60 X 961101100DS009-6200FROSTY WHITE</v>
      </c>
      <c r="J4521" s="7">
        <f>COUNTIF(Paper_Reference[Duplicate Key],Paper_Reference[[#This Row],[Duplicate Key]])</f>
        <v>1</v>
      </c>
    </row>
    <row r="4522" spans="1:10">
      <c r="A4522" s="7">
        <v>2</v>
      </c>
      <c r="B4522" s="8" t="s">
        <v>7962</v>
      </c>
      <c r="C4522" s="8" t="s">
        <v>7122</v>
      </c>
      <c r="D4522" s="7">
        <v>1</v>
      </c>
      <c r="E4522" s="7">
        <v>10</v>
      </c>
      <c r="F4522" s="7">
        <v>1</v>
      </c>
      <c r="G4522" s="8" t="s">
        <v>6710</v>
      </c>
      <c r="H4522" s="8" t="s">
        <v>5691</v>
      </c>
      <c r="I4522" s="7" t="str">
        <f>_xlfn.CONCAT(Paper_Reference[[#This Row],[Lvl]:[Paper Description]])</f>
        <v>2NJI4ND0099SD4000FOSHAY LEARNING CEN 48 X 1201101100DS009-5000FROSTY WHITE</v>
      </c>
      <c r="J4522" s="7">
        <f>COUNTIF(Paper_Reference[Duplicate Key],Paper_Reference[[#This Row],[Duplicate Key]])</f>
        <v>1</v>
      </c>
    </row>
    <row r="4523" spans="1:10">
      <c r="A4523" s="7">
        <v>2</v>
      </c>
      <c r="B4523" s="8" t="s">
        <v>3685</v>
      </c>
      <c r="C4523" s="8" t="s">
        <v>3235</v>
      </c>
      <c r="D4523" s="7">
        <v>1</v>
      </c>
      <c r="E4523" s="7">
        <v>10</v>
      </c>
      <c r="F4523" s="7">
        <v>1</v>
      </c>
      <c r="G4523" s="8" t="s">
        <v>3230</v>
      </c>
      <c r="H4523" s="8" t="s">
        <v>3231</v>
      </c>
      <c r="I4523" s="7" t="str">
        <f>_xlfn.CONCAT(Paper_Reference[[#This Row],[Lvl]:[Paper Description]])</f>
        <v>2NK32S-7036G-4801PRECISION WHITE 48 X 961101110SW736-5000PRECISION WHITE 43 X 145</v>
      </c>
      <c r="J4523" s="7">
        <f>COUNTIF(Paper_Reference[Duplicate Key],Paper_Reference[[#This Row],[Duplicate Key]])</f>
        <v>1</v>
      </c>
    </row>
    <row r="4524" spans="1:10">
      <c r="A4524" s="7">
        <v>2</v>
      </c>
      <c r="B4524" s="8" t="s">
        <v>4084</v>
      </c>
      <c r="C4524" s="8" t="s">
        <v>3815</v>
      </c>
      <c r="D4524" s="7">
        <v>1</v>
      </c>
      <c r="E4524" s="7">
        <v>10</v>
      </c>
      <c r="F4524" s="7">
        <v>1</v>
      </c>
      <c r="G4524" s="8" t="s">
        <v>3826</v>
      </c>
      <c r="H4524" s="8" t="s">
        <v>3827</v>
      </c>
      <c r="I4524" s="7" t="str">
        <f>_xlfn.CONCAT(Paper_Reference[[#This Row],[Lvl]:[Paper Description]])</f>
        <v>2NK32S-7036T-5800PRECISION WHITE  60 X 961101110SW736-6200PRECISION WHITE 62"</v>
      </c>
      <c r="J4524" s="7">
        <f>COUNTIF(Paper_Reference[Duplicate Key],Paper_Reference[[#This Row],[Duplicate Key]])</f>
        <v>1</v>
      </c>
    </row>
    <row r="4525" spans="1:10">
      <c r="A4525" s="7">
        <v>2</v>
      </c>
      <c r="B4525" s="8" t="s">
        <v>4345</v>
      </c>
      <c r="C4525" s="8" t="s">
        <v>4168</v>
      </c>
      <c r="D4525" s="7">
        <v>1</v>
      </c>
      <c r="E4525" s="7">
        <v>10</v>
      </c>
      <c r="F4525" s="7">
        <v>1</v>
      </c>
      <c r="G4525" s="8" t="s">
        <v>4129</v>
      </c>
      <c r="H4525" s="8" t="s">
        <v>4130</v>
      </c>
      <c r="I4525" s="7" t="str">
        <f>_xlfn.CONCAT(Paper_Reference[[#This Row],[Lvl]:[Paper Description]])</f>
        <v>2NK32WC5581SD5801BLOSSOM CHERRY 60 X 961101110WC013-6200BLOSSOM CHERRY</v>
      </c>
      <c r="J4525" s="7">
        <f>COUNTIF(Paper_Reference[Duplicate Key],Paper_Reference[[#This Row],[Duplicate Key]])</f>
        <v>1</v>
      </c>
    </row>
    <row r="4526" spans="1:10">
      <c r="A4526" s="7">
        <v>2</v>
      </c>
      <c r="B4526" s="8" t="s">
        <v>3686</v>
      </c>
      <c r="C4526" s="8" t="s">
        <v>3255</v>
      </c>
      <c r="D4526" s="7">
        <v>1</v>
      </c>
      <c r="E4526" s="7">
        <v>10</v>
      </c>
      <c r="F4526" s="7">
        <v>1</v>
      </c>
      <c r="G4526" s="8" t="s">
        <v>3230</v>
      </c>
      <c r="H4526" s="8" t="s">
        <v>3231</v>
      </c>
      <c r="I4526" s="7" t="str">
        <f>_xlfn.CONCAT(Paper_Reference[[#This Row],[Lvl]:[Paper Description]])</f>
        <v>2NK51S-7036T-4800Precision White  48 x 961101110SW736-5000PRECISION WHITE 43 X 145</v>
      </c>
      <c r="J4526" s="7">
        <f>COUNTIF(Paper_Reference[Duplicate Key],Paper_Reference[[#This Row],[Duplicate Key]])</f>
        <v>1</v>
      </c>
    </row>
    <row r="4527" spans="1:10">
      <c r="A4527" s="7">
        <v>2</v>
      </c>
      <c r="B4527" s="8" t="s">
        <v>4085</v>
      </c>
      <c r="C4527" s="8" t="s">
        <v>3778</v>
      </c>
      <c r="D4527" s="7">
        <v>1</v>
      </c>
      <c r="E4527" s="7">
        <v>10</v>
      </c>
      <c r="F4527" s="7">
        <v>1</v>
      </c>
      <c r="G4527" s="8" t="s">
        <v>3826</v>
      </c>
      <c r="H4527" s="8" t="s">
        <v>3827</v>
      </c>
      <c r="I4527" s="7" t="str">
        <f>_xlfn.CONCAT(Paper_Reference[[#This Row],[Lvl]:[Paper Description]])</f>
        <v>2NK51S-7036T-5800PRECISION WHITE 60 X 961101110SW736-6200PRECISION WHITE 62"</v>
      </c>
      <c r="J4527" s="7">
        <f>COUNTIF(Paper_Reference[Duplicate Key],Paper_Reference[[#This Row],[Duplicate Key]])</f>
        <v>1</v>
      </c>
    </row>
    <row r="4528" spans="1:10">
      <c r="A4528" s="7">
        <v>2</v>
      </c>
      <c r="B4528" s="8" t="s">
        <v>4346</v>
      </c>
      <c r="C4528" s="8" t="s">
        <v>4149</v>
      </c>
      <c r="D4528" s="7">
        <v>1</v>
      </c>
      <c r="E4528" s="7">
        <v>10</v>
      </c>
      <c r="F4528" s="7">
        <v>2</v>
      </c>
      <c r="G4528" s="8" t="s">
        <v>4129</v>
      </c>
      <c r="H4528" s="8" t="s">
        <v>4130</v>
      </c>
      <c r="I4528" s="7" t="str">
        <f>_xlfn.CONCAT(Paper_Reference[[#This Row],[Lvl]:[Paper Description]])</f>
        <v>2NKDEWC5581T-5000BLOSSOM CHERRY 60 X 1201102110WC013-6200BLOSSOM CHERRY</v>
      </c>
      <c r="J4528" s="7">
        <f>COUNTIF(Paper_Reference[Duplicate Key],Paper_Reference[[#This Row],[Duplicate Key]])</f>
        <v>1</v>
      </c>
    </row>
    <row r="4529" spans="1:10">
      <c r="A4529" s="7">
        <v>2</v>
      </c>
      <c r="B4529" s="8" t="s">
        <v>4347</v>
      </c>
      <c r="C4529" s="8" t="s">
        <v>4151</v>
      </c>
      <c r="D4529" s="7">
        <v>1</v>
      </c>
      <c r="E4529" s="7">
        <v>10</v>
      </c>
      <c r="F4529" s="7">
        <v>2</v>
      </c>
      <c r="G4529" s="8" t="s">
        <v>4129</v>
      </c>
      <c r="H4529" s="8" t="s">
        <v>4130</v>
      </c>
      <c r="I4529" s="7" t="str">
        <f>_xlfn.CONCAT(Paper_Reference[[#This Row],[Lvl]:[Paper Description]])</f>
        <v>2NKDEWC5581T-5200BLOSSOM CHERRY 60 X 1441102110WC013-6200BLOSSOM CHERRY</v>
      </c>
      <c r="J4529" s="7">
        <f>COUNTIF(Paper_Reference[Duplicate Key],Paper_Reference[[#This Row],[Duplicate Key]])</f>
        <v>1</v>
      </c>
    </row>
    <row r="4530" spans="1:10">
      <c r="A4530" s="7">
        <v>2</v>
      </c>
      <c r="B4530" s="8" t="s">
        <v>4348</v>
      </c>
      <c r="C4530" s="8" t="s">
        <v>4149</v>
      </c>
      <c r="D4530" s="7">
        <v>1</v>
      </c>
      <c r="E4530" s="7">
        <v>10</v>
      </c>
      <c r="F4530" s="7">
        <v>2</v>
      </c>
      <c r="G4530" s="8" t="s">
        <v>4129</v>
      </c>
      <c r="H4530" s="8" t="s">
        <v>4130</v>
      </c>
      <c r="I4530" s="7" t="str">
        <f>_xlfn.CONCAT(Paper_Reference[[#This Row],[Lvl]:[Paper Description]])</f>
        <v>2NKDFWC5581T-5000BLOSSOM CHERRY 60 X 1201102110WC013-6200BLOSSOM CHERRY</v>
      </c>
      <c r="J4530" s="7">
        <f>COUNTIF(Paper_Reference[Duplicate Key],Paper_Reference[[#This Row],[Duplicate Key]])</f>
        <v>1</v>
      </c>
    </row>
    <row r="4531" spans="1:10">
      <c r="A4531" s="7">
        <v>2</v>
      </c>
      <c r="B4531" s="8" t="s">
        <v>4349</v>
      </c>
      <c r="C4531" s="8" t="s">
        <v>4151</v>
      </c>
      <c r="D4531" s="7">
        <v>1</v>
      </c>
      <c r="E4531" s="7">
        <v>10</v>
      </c>
      <c r="F4531" s="7">
        <v>2</v>
      </c>
      <c r="G4531" s="8" t="s">
        <v>4129</v>
      </c>
      <c r="H4531" s="8" t="s">
        <v>4130</v>
      </c>
      <c r="I4531" s="7" t="str">
        <f>_xlfn.CONCAT(Paper_Reference[[#This Row],[Lvl]:[Paper Description]])</f>
        <v>2NKDFWC5581T-5200BLOSSOM CHERRY 60 X 1441102110WC013-6200BLOSSOM CHERRY</v>
      </c>
      <c r="J4531" s="7">
        <f>COUNTIF(Paper_Reference[Duplicate Key],Paper_Reference[[#This Row],[Duplicate Key]])</f>
        <v>1</v>
      </c>
    </row>
    <row r="4532" spans="1:10">
      <c r="A4532" s="7">
        <v>2</v>
      </c>
      <c r="B4532" s="8" t="s">
        <v>1896</v>
      </c>
      <c r="C4532" s="8" t="s">
        <v>1455</v>
      </c>
      <c r="D4532" s="7">
        <v>1</v>
      </c>
      <c r="E4532" s="7">
        <v>10</v>
      </c>
      <c r="F4532" s="7">
        <v>1</v>
      </c>
      <c r="G4532" s="8" t="s">
        <v>1241</v>
      </c>
      <c r="H4532" s="8" t="s">
        <v>1242</v>
      </c>
      <c r="I4532" s="7" t="str">
        <f>_xlfn.CONCAT(Paper_Reference[[#This Row],[Lvl]:[Paper Description]])</f>
        <v>2NKZ4ND0102SD4800LF MSHS CORR 194 48 X 96110110000020-5000Premium Inkjet MPK 9653</v>
      </c>
      <c r="J4532" s="7">
        <f>COUNTIF(Paper_Reference[Duplicate Key],Paper_Reference[[#This Row],[Duplicate Key]])</f>
        <v>1</v>
      </c>
    </row>
    <row r="4533" spans="1:10">
      <c r="A4533" s="7">
        <v>2</v>
      </c>
      <c r="B4533" s="8" t="s">
        <v>1897</v>
      </c>
      <c r="C4533" s="8" t="s">
        <v>1456</v>
      </c>
      <c r="D4533" s="7">
        <v>1</v>
      </c>
      <c r="E4533" s="7">
        <v>10</v>
      </c>
      <c r="F4533" s="7">
        <v>1</v>
      </c>
      <c r="G4533" s="8" t="s">
        <v>1241</v>
      </c>
      <c r="H4533" s="8" t="s">
        <v>1242</v>
      </c>
      <c r="I4533" s="7" t="str">
        <f>_xlfn.CONCAT(Paper_Reference[[#This Row],[Lvl]:[Paper Description]])</f>
        <v>2NKZ4ND0103SD4800LF MSHS CORR 123-29HA701 48X96110110000020-5000Premium Inkjet MPK 9653</v>
      </c>
      <c r="J4533" s="7">
        <f>COUNTIF(Paper_Reference[Duplicate Key],Paper_Reference[[#This Row],[Duplicate Key]])</f>
        <v>1</v>
      </c>
    </row>
    <row r="4534" spans="1:10">
      <c r="A4534" s="7">
        <v>2</v>
      </c>
      <c r="B4534" s="8" t="s">
        <v>1898</v>
      </c>
      <c r="C4534" s="8" t="s">
        <v>1457</v>
      </c>
      <c r="D4534" s="7">
        <v>1</v>
      </c>
      <c r="E4534" s="7">
        <v>10</v>
      </c>
      <c r="F4534" s="7">
        <v>1</v>
      </c>
      <c r="G4534" s="8" t="s">
        <v>1241</v>
      </c>
      <c r="H4534" s="8" t="s">
        <v>1242</v>
      </c>
      <c r="I4534" s="7" t="str">
        <f>_xlfn.CONCAT(Paper_Reference[[#This Row],[Lvl]:[Paper Description]])</f>
        <v>2NKZ4ND0104SD4800LF MSHS CORR 123-30HA701 48X96110110000020-5000Premium Inkjet MPK 9653</v>
      </c>
      <c r="J4534" s="7">
        <f>COUNTIF(Paper_Reference[Duplicate Key],Paper_Reference[[#This Row],[Duplicate Key]])</f>
        <v>1</v>
      </c>
    </row>
    <row r="4535" spans="1:10">
      <c r="A4535" s="7">
        <v>2</v>
      </c>
      <c r="B4535" s="8" t="s">
        <v>2725</v>
      </c>
      <c r="C4535" s="8" t="s">
        <v>2258</v>
      </c>
      <c r="D4535" s="7">
        <v>1</v>
      </c>
      <c r="E4535" s="7">
        <v>10</v>
      </c>
      <c r="F4535" s="7">
        <v>1</v>
      </c>
      <c r="G4535" s="8" t="s">
        <v>2144</v>
      </c>
      <c r="H4535" s="8" t="s">
        <v>1242</v>
      </c>
      <c r="I4535" s="7" t="str">
        <f>_xlfn.CONCAT(Paper_Reference[[#This Row],[Lvl]:[Paper Description]])</f>
        <v>2NKZ4ND0105SD5000LF MSHS CORR 107-115 60 X 120110110000020-6200Premium Inkjet MPK 9653</v>
      </c>
      <c r="J4535" s="7">
        <f>COUNTIF(Paper_Reference[Duplicate Key],Paper_Reference[[#This Row],[Duplicate Key]])</f>
        <v>1</v>
      </c>
    </row>
    <row r="4536" spans="1:10">
      <c r="A4536" s="7">
        <v>2</v>
      </c>
      <c r="B4536" s="8" t="s">
        <v>2726</v>
      </c>
      <c r="C4536" s="8" t="s">
        <v>2259</v>
      </c>
      <c r="D4536" s="7">
        <v>1</v>
      </c>
      <c r="E4536" s="7">
        <v>10</v>
      </c>
      <c r="F4536" s="7">
        <v>1</v>
      </c>
      <c r="G4536" s="8" t="s">
        <v>2144</v>
      </c>
      <c r="H4536" s="8" t="s">
        <v>1242</v>
      </c>
      <c r="I4536" s="7" t="str">
        <f>_xlfn.CONCAT(Paper_Reference[[#This Row],[Lvl]:[Paper Description]])</f>
        <v>2NKZ4ND0106SD5000LF MSHS MULTI RM110 &amp; HS 60X12110110000020-6200Premium Inkjet MPK 9653</v>
      </c>
      <c r="J4536" s="7">
        <f>COUNTIF(Paper_Reference[Duplicate Key],Paper_Reference[[#This Row],[Duplicate Key]])</f>
        <v>1</v>
      </c>
    </row>
    <row r="4537" spans="1:10">
      <c r="A4537" s="7">
        <v>2</v>
      </c>
      <c r="B4537" s="8" t="s">
        <v>1899</v>
      </c>
      <c r="C4537" s="8" t="s">
        <v>1469</v>
      </c>
      <c r="D4537" s="7">
        <v>1</v>
      </c>
      <c r="E4537" s="7">
        <v>10</v>
      </c>
      <c r="F4537" s="7">
        <v>1</v>
      </c>
      <c r="G4537" s="8" t="s">
        <v>1241</v>
      </c>
      <c r="H4537" s="8" t="s">
        <v>1242</v>
      </c>
      <c r="I4537" s="7" t="str">
        <f>_xlfn.CONCAT(Paper_Reference[[#This Row],[Lvl]:[Paper Description]])</f>
        <v>2NKZ4ND0109SD4800LF MSHS 40" LOGO 48 X 96110110000020-5000Premium Inkjet MPK 9653</v>
      </c>
      <c r="J4537" s="7">
        <f>COUNTIF(Paper_Reference[Duplicate Key],Paper_Reference[[#This Row],[Duplicate Key]])</f>
        <v>1</v>
      </c>
    </row>
    <row r="4538" spans="1:10">
      <c r="A4538" s="7">
        <v>2</v>
      </c>
      <c r="B4538" s="8" t="s">
        <v>4086</v>
      </c>
      <c r="C4538" s="8" t="s">
        <v>3816</v>
      </c>
      <c r="D4538" s="7">
        <v>1</v>
      </c>
      <c r="E4538" s="7">
        <v>10</v>
      </c>
      <c r="F4538" s="7">
        <v>1</v>
      </c>
      <c r="G4538" s="8" t="s">
        <v>3826</v>
      </c>
      <c r="H4538" s="8" t="s">
        <v>3827</v>
      </c>
      <c r="I4538" s="7" t="str">
        <f>_xlfn.CONCAT(Paper_Reference[[#This Row],[Lvl]:[Paper Description]])</f>
        <v>2NM01S-7036E-0800PRECISION WHITE  30 X 961101110SW736-6200PRECISION WHITE 62"</v>
      </c>
      <c r="J4538" s="7">
        <f>COUNTIF(Paper_Reference[Duplicate Key],Paper_Reference[[#This Row],[Duplicate Key]])</f>
        <v>1</v>
      </c>
    </row>
    <row r="4539" spans="1:10">
      <c r="A4539" s="7">
        <v>2</v>
      </c>
      <c r="B4539" s="8" t="s">
        <v>3687</v>
      </c>
      <c r="C4539" s="8" t="s">
        <v>3237</v>
      </c>
      <c r="D4539" s="7">
        <v>1</v>
      </c>
      <c r="E4539" s="7">
        <v>10</v>
      </c>
      <c r="F4539" s="7">
        <v>2</v>
      </c>
      <c r="G4539" s="8" t="s">
        <v>3230</v>
      </c>
      <c r="H4539" s="8" t="s">
        <v>3231</v>
      </c>
      <c r="I4539" s="7" t="str">
        <f>_xlfn.CONCAT(Paper_Reference[[#This Row],[Lvl]:[Paper Description]])</f>
        <v>2NM01S-7036E-4000PRECISION WHITE  48 X 1201102110SW736-5000PRECISION WHITE 43 X 145</v>
      </c>
      <c r="J4539" s="7">
        <f>COUNTIF(Paper_Reference[Duplicate Key],Paper_Reference[[#This Row],[Duplicate Key]])</f>
        <v>1</v>
      </c>
    </row>
    <row r="4540" spans="1:10">
      <c r="A4540" s="7">
        <v>2</v>
      </c>
      <c r="B4540" s="8" t="s">
        <v>3688</v>
      </c>
      <c r="C4540" s="8" t="s">
        <v>3261</v>
      </c>
      <c r="D4540" s="7">
        <v>1</v>
      </c>
      <c r="E4540" s="7">
        <v>10</v>
      </c>
      <c r="F4540" s="7">
        <v>2</v>
      </c>
      <c r="G4540" s="8" t="s">
        <v>3230</v>
      </c>
      <c r="H4540" s="8" t="s">
        <v>3231</v>
      </c>
      <c r="I4540" s="7" t="str">
        <f>_xlfn.CONCAT(Paper_Reference[[#This Row],[Lvl]:[Paper Description]])</f>
        <v>2NM01S-7036E-4800PRECISION WHITE  48 X 961102110SW736-5000PRECISION WHITE 43 X 145</v>
      </c>
      <c r="J4540" s="7">
        <f>COUNTIF(Paper_Reference[Duplicate Key],Paper_Reference[[#This Row],[Duplicate Key]])</f>
        <v>1</v>
      </c>
    </row>
    <row r="4541" spans="1:10">
      <c r="A4541" s="7">
        <v>2</v>
      </c>
      <c r="B4541" s="8" t="s">
        <v>3689</v>
      </c>
      <c r="C4541" s="8" t="s">
        <v>3261</v>
      </c>
      <c r="D4541" s="7">
        <v>1</v>
      </c>
      <c r="E4541" s="7">
        <v>10</v>
      </c>
      <c r="F4541" s="7">
        <v>2</v>
      </c>
      <c r="G4541" s="8" t="s">
        <v>3230</v>
      </c>
      <c r="H4541" s="8" t="s">
        <v>3231</v>
      </c>
      <c r="I4541" s="7" t="str">
        <f>_xlfn.CONCAT(Paper_Reference[[#This Row],[Lvl]:[Paper Description]])</f>
        <v>2NM01S-7036E-4801PRECISION WHITE  48 X 961102110SW736-5000PRECISION WHITE 43 X 145</v>
      </c>
      <c r="J4541" s="7">
        <f>COUNTIF(Paper_Reference[Duplicate Key],Paper_Reference[[#This Row],[Duplicate Key]])</f>
        <v>1</v>
      </c>
    </row>
    <row r="4542" spans="1:10">
      <c r="A4542" s="7">
        <v>2</v>
      </c>
      <c r="B4542" s="8" t="s">
        <v>4087</v>
      </c>
      <c r="C4542" s="8" t="s">
        <v>3785</v>
      </c>
      <c r="D4542" s="7">
        <v>1</v>
      </c>
      <c r="E4542" s="7">
        <v>10</v>
      </c>
      <c r="F4542" s="7">
        <v>2</v>
      </c>
      <c r="G4542" s="8" t="s">
        <v>3826</v>
      </c>
      <c r="H4542" s="8" t="s">
        <v>3827</v>
      </c>
      <c r="I4542" s="7" t="str">
        <f>_xlfn.CONCAT(Paper_Reference[[#This Row],[Lvl]:[Paper Description]])</f>
        <v>2NM01S-7036E-5000PRECISION WHITE  60 X 1201102110SW736-6200PRECISION WHITE 62"</v>
      </c>
      <c r="J4542" s="7">
        <f>COUNTIF(Paper_Reference[Duplicate Key],Paper_Reference[[#This Row],[Duplicate Key]])</f>
        <v>1</v>
      </c>
    </row>
    <row r="4543" spans="1:10">
      <c r="A4543" s="7">
        <v>2</v>
      </c>
      <c r="B4543" s="8" t="s">
        <v>4088</v>
      </c>
      <c r="C4543" s="8" t="s">
        <v>3817</v>
      </c>
      <c r="D4543" s="7">
        <v>1</v>
      </c>
      <c r="E4543" s="7">
        <v>10</v>
      </c>
      <c r="F4543" s="7">
        <v>2</v>
      </c>
      <c r="G4543" s="8" t="s">
        <v>3826</v>
      </c>
      <c r="H4543" s="8" t="s">
        <v>3827</v>
      </c>
      <c r="I4543" s="7" t="str">
        <f>_xlfn.CONCAT(Paper_Reference[[#This Row],[Lvl]:[Paper Description]])</f>
        <v>2NM01S-7036E-5200PRECISION WHITE  60X1441102110SW736-6200PRECISION WHITE 62"</v>
      </c>
      <c r="J4543" s="7">
        <f>COUNTIF(Paper_Reference[Duplicate Key],Paper_Reference[[#This Row],[Duplicate Key]])</f>
        <v>1</v>
      </c>
    </row>
    <row r="4544" spans="1:10">
      <c r="A4544" s="7">
        <v>2</v>
      </c>
      <c r="B4544" s="8" t="s">
        <v>3690</v>
      </c>
      <c r="C4544" s="8" t="s">
        <v>3295</v>
      </c>
      <c r="D4544" s="7">
        <v>1</v>
      </c>
      <c r="E4544" s="7">
        <v>10</v>
      </c>
      <c r="F4544" s="7">
        <v>2</v>
      </c>
      <c r="G4544" s="8" t="s">
        <v>3230</v>
      </c>
      <c r="H4544" s="8" t="s">
        <v>3231</v>
      </c>
      <c r="I4544" s="7" t="str">
        <f>_xlfn.CONCAT(Paper_Reference[[#This Row],[Lvl]:[Paper Description]])</f>
        <v>2NM01S-7036G-3801PRECISION WHITE  36X961102110SW736-5000PRECISION WHITE 43 X 145</v>
      </c>
      <c r="J4544" s="7">
        <f>COUNTIF(Paper_Reference[Duplicate Key],Paper_Reference[[#This Row],[Duplicate Key]])</f>
        <v>1</v>
      </c>
    </row>
    <row r="4545" spans="1:10">
      <c r="A4545" s="7">
        <v>2</v>
      </c>
      <c r="B4545" s="8" t="s">
        <v>3691</v>
      </c>
      <c r="C4545" s="8" t="s">
        <v>3296</v>
      </c>
      <c r="D4545" s="7">
        <v>1</v>
      </c>
      <c r="E4545" s="7">
        <v>10</v>
      </c>
      <c r="F4545" s="7">
        <v>2</v>
      </c>
      <c r="G4545" s="8" t="s">
        <v>3230</v>
      </c>
      <c r="H4545" s="8" t="s">
        <v>3231</v>
      </c>
      <c r="I4545" s="7" t="str">
        <f>_xlfn.CONCAT(Paper_Reference[[#This Row],[Lvl]:[Paper Description]])</f>
        <v>2NM01S-7036G-4000PRECISON WHITE  48 X 1201102110SW736-5000PRECISION WHITE 43 X 145</v>
      </c>
      <c r="J4545" s="7">
        <f>COUNTIF(Paper_Reference[Duplicate Key],Paper_Reference[[#This Row],[Duplicate Key]])</f>
        <v>1</v>
      </c>
    </row>
    <row r="4546" spans="1:10">
      <c r="A4546" s="7">
        <v>2</v>
      </c>
      <c r="B4546" s="8" t="s">
        <v>3692</v>
      </c>
      <c r="C4546" s="8" t="s">
        <v>3296</v>
      </c>
      <c r="D4546" s="7">
        <v>1</v>
      </c>
      <c r="E4546" s="7">
        <v>10</v>
      </c>
      <c r="F4546" s="7">
        <v>2</v>
      </c>
      <c r="G4546" s="8" t="s">
        <v>3230</v>
      </c>
      <c r="H4546" s="8" t="s">
        <v>3231</v>
      </c>
      <c r="I4546" s="7" t="str">
        <f>_xlfn.CONCAT(Paper_Reference[[#This Row],[Lvl]:[Paper Description]])</f>
        <v>2NM01S-7036G-4001PRECISON WHITE  48 X 1201102110SW736-5000PRECISION WHITE 43 X 145</v>
      </c>
      <c r="J4546" s="7">
        <f>COUNTIF(Paper_Reference[Duplicate Key],Paper_Reference[[#This Row],[Duplicate Key]])</f>
        <v>1</v>
      </c>
    </row>
    <row r="4547" spans="1:10">
      <c r="A4547" s="7">
        <v>2</v>
      </c>
      <c r="B4547" s="8" t="s">
        <v>3693</v>
      </c>
      <c r="C4547" s="8" t="s">
        <v>3297</v>
      </c>
      <c r="D4547" s="7">
        <v>1</v>
      </c>
      <c r="E4547" s="7">
        <v>10</v>
      </c>
      <c r="F4547" s="7">
        <v>2</v>
      </c>
      <c r="G4547" s="8" t="s">
        <v>3230</v>
      </c>
      <c r="H4547" s="8" t="s">
        <v>3231</v>
      </c>
      <c r="I4547" s="7" t="str">
        <f>_xlfn.CONCAT(Paper_Reference[[#This Row],[Lvl]:[Paper Description]])</f>
        <v>2NM01S-7036G-4200PRECISION WHITE  48X1441102110SW736-5000PRECISION WHITE 43 X 145</v>
      </c>
      <c r="J4547" s="7">
        <f>COUNTIF(Paper_Reference[Duplicate Key],Paper_Reference[[#This Row],[Duplicate Key]])</f>
        <v>1</v>
      </c>
    </row>
    <row r="4548" spans="1:10">
      <c r="A4548" s="7">
        <v>2</v>
      </c>
      <c r="B4548" s="8" t="s">
        <v>3694</v>
      </c>
      <c r="C4548" s="8" t="s">
        <v>3297</v>
      </c>
      <c r="D4548" s="7">
        <v>1</v>
      </c>
      <c r="E4548" s="7">
        <v>10</v>
      </c>
      <c r="F4548" s="7">
        <v>2</v>
      </c>
      <c r="G4548" s="8" t="s">
        <v>3230</v>
      </c>
      <c r="H4548" s="8" t="s">
        <v>3231</v>
      </c>
      <c r="I4548" s="7" t="str">
        <f>_xlfn.CONCAT(Paper_Reference[[#This Row],[Lvl]:[Paper Description]])</f>
        <v>2NM01S-7036G-4201PRECISION WHITE  48X1441102110SW736-5000PRECISION WHITE 43 X 145</v>
      </c>
      <c r="J4548" s="7">
        <f>COUNTIF(Paper_Reference[Duplicate Key],Paper_Reference[[#This Row],[Duplicate Key]])</f>
        <v>1</v>
      </c>
    </row>
    <row r="4549" spans="1:10">
      <c r="A4549" s="7">
        <v>2</v>
      </c>
      <c r="B4549" s="8" t="s">
        <v>3695</v>
      </c>
      <c r="C4549" s="8" t="s">
        <v>3261</v>
      </c>
      <c r="D4549" s="7">
        <v>1</v>
      </c>
      <c r="E4549" s="7">
        <v>10</v>
      </c>
      <c r="F4549" s="7">
        <v>2</v>
      </c>
      <c r="G4549" s="8" t="s">
        <v>3230</v>
      </c>
      <c r="H4549" s="8" t="s">
        <v>3231</v>
      </c>
      <c r="I4549" s="7" t="str">
        <f>_xlfn.CONCAT(Paper_Reference[[#This Row],[Lvl]:[Paper Description]])</f>
        <v>2NM01S-7036G-4800PRECISION WHITE  48 X 961102110SW736-5000PRECISION WHITE 43 X 145</v>
      </c>
      <c r="J4549" s="7">
        <f>COUNTIF(Paper_Reference[Duplicate Key],Paper_Reference[[#This Row],[Duplicate Key]])</f>
        <v>1</v>
      </c>
    </row>
    <row r="4550" spans="1:10">
      <c r="A4550" s="7">
        <v>2</v>
      </c>
      <c r="B4550" s="8" t="s">
        <v>3696</v>
      </c>
      <c r="C4550" s="8" t="s">
        <v>3261</v>
      </c>
      <c r="D4550" s="7">
        <v>1</v>
      </c>
      <c r="E4550" s="7">
        <v>10</v>
      </c>
      <c r="F4550" s="7">
        <v>2</v>
      </c>
      <c r="G4550" s="8" t="s">
        <v>3230</v>
      </c>
      <c r="H4550" s="8" t="s">
        <v>3231</v>
      </c>
      <c r="I4550" s="7" t="str">
        <f>_xlfn.CONCAT(Paper_Reference[[#This Row],[Lvl]:[Paper Description]])</f>
        <v>2NM01S-7036G-4801PRECISION WHITE  48 X 961102110SW736-5000PRECISION WHITE 43 X 145</v>
      </c>
      <c r="J4550" s="7">
        <f>COUNTIF(Paper_Reference[Duplicate Key],Paper_Reference[[#This Row],[Duplicate Key]])</f>
        <v>1</v>
      </c>
    </row>
    <row r="4551" spans="1:10">
      <c r="A4551" s="7">
        <v>2</v>
      </c>
      <c r="B4551" s="8" t="s">
        <v>4089</v>
      </c>
      <c r="C4551" s="8" t="s">
        <v>3785</v>
      </c>
      <c r="D4551" s="7">
        <v>1</v>
      </c>
      <c r="E4551" s="7">
        <v>10</v>
      </c>
      <c r="F4551" s="7">
        <v>2</v>
      </c>
      <c r="G4551" s="8" t="s">
        <v>3826</v>
      </c>
      <c r="H4551" s="8" t="s">
        <v>3827</v>
      </c>
      <c r="I4551" s="7" t="str">
        <f>_xlfn.CONCAT(Paper_Reference[[#This Row],[Lvl]:[Paper Description]])</f>
        <v>2NM01S-7036G-5001PRECISION WHITE  60 X 1201102110SW736-6200PRECISION WHITE 62"</v>
      </c>
      <c r="J4551" s="7">
        <f>COUNTIF(Paper_Reference[Duplicate Key],Paper_Reference[[#This Row],[Duplicate Key]])</f>
        <v>1</v>
      </c>
    </row>
    <row r="4552" spans="1:10">
      <c r="A4552" s="7">
        <v>2</v>
      </c>
      <c r="B4552" s="8" t="s">
        <v>4090</v>
      </c>
      <c r="C4552" s="8" t="s">
        <v>3817</v>
      </c>
      <c r="D4552" s="7">
        <v>1</v>
      </c>
      <c r="E4552" s="7">
        <v>10</v>
      </c>
      <c r="F4552" s="7">
        <v>2</v>
      </c>
      <c r="G4552" s="8" t="s">
        <v>3826</v>
      </c>
      <c r="H4552" s="8" t="s">
        <v>3827</v>
      </c>
      <c r="I4552" s="7" t="str">
        <f>_xlfn.CONCAT(Paper_Reference[[#This Row],[Lvl]:[Paper Description]])</f>
        <v>2NM01S-7036G-5200PRECISION WHITE  60X1441102110SW736-6200PRECISION WHITE 62"</v>
      </c>
      <c r="J4552" s="7">
        <f>COUNTIF(Paper_Reference[Duplicate Key],Paper_Reference[[#This Row],[Duplicate Key]])</f>
        <v>1</v>
      </c>
    </row>
    <row r="4553" spans="1:10">
      <c r="A4553" s="7">
        <v>2</v>
      </c>
      <c r="B4553" s="8" t="s">
        <v>4091</v>
      </c>
      <c r="C4553" s="8" t="s">
        <v>3817</v>
      </c>
      <c r="D4553" s="7">
        <v>1</v>
      </c>
      <c r="E4553" s="7">
        <v>10</v>
      </c>
      <c r="F4553" s="7">
        <v>2</v>
      </c>
      <c r="G4553" s="8" t="s">
        <v>3826</v>
      </c>
      <c r="H4553" s="8" t="s">
        <v>3827</v>
      </c>
      <c r="I4553" s="7" t="str">
        <f>_xlfn.CONCAT(Paper_Reference[[#This Row],[Lvl]:[Paper Description]])</f>
        <v>2NM01S-7036G-5201PRECISION WHITE  60X1441102110SW736-6200PRECISION WHITE 62"</v>
      </c>
      <c r="J4553" s="7">
        <f>COUNTIF(Paper_Reference[Duplicate Key],Paper_Reference[[#This Row],[Duplicate Key]])</f>
        <v>1</v>
      </c>
    </row>
    <row r="4554" spans="1:10">
      <c r="A4554" s="7">
        <v>2</v>
      </c>
      <c r="B4554" s="8" t="s">
        <v>3697</v>
      </c>
      <c r="C4554" s="8" t="s">
        <v>3296</v>
      </c>
      <c r="D4554" s="7">
        <v>1</v>
      </c>
      <c r="E4554" s="7">
        <v>10</v>
      </c>
      <c r="F4554" s="7">
        <v>2</v>
      </c>
      <c r="G4554" s="8" t="s">
        <v>3230</v>
      </c>
      <c r="H4554" s="8" t="s">
        <v>3231</v>
      </c>
      <c r="I4554" s="7" t="str">
        <f>_xlfn.CONCAT(Paper_Reference[[#This Row],[Lvl]:[Paper Description]])</f>
        <v>2NM01S-7036GL4001PRECISON WHITE  48 X 1201102110SW736-5000PRECISION WHITE 43 X 145</v>
      </c>
      <c r="J4554" s="7">
        <f>COUNTIF(Paper_Reference[Duplicate Key],Paper_Reference[[#This Row],[Duplicate Key]])</f>
        <v>1</v>
      </c>
    </row>
    <row r="4555" spans="1:10">
      <c r="A4555" s="7">
        <v>2</v>
      </c>
      <c r="B4555" s="8" t="s">
        <v>3698</v>
      </c>
      <c r="C4555" s="8" t="s">
        <v>3261</v>
      </c>
      <c r="D4555" s="7">
        <v>1</v>
      </c>
      <c r="E4555" s="7">
        <v>10</v>
      </c>
      <c r="F4555" s="7">
        <v>2</v>
      </c>
      <c r="G4555" s="8" t="s">
        <v>3230</v>
      </c>
      <c r="H4555" s="8" t="s">
        <v>3231</v>
      </c>
      <c r="I4555" s="7" t="str">
        <f>_xlfn.CONCAT(Paper_Reference[[#This Row],[Lvl]:[Paper Description]])</f>
        <v>2NM01S-7036GL4801PRECISION WHITE  48 X 961102110SW736-5000PRECISION WHITE 43 X 145</v>
      </c>
      <c r="J4555" s="7">
        <f>COUNTIF(Paper_Reference[Duplicate Key],Paper_Reference[[#This Row],[Duplicate Key]])</f>
        <v>1</v>
      </c>
    </row>
    <row r="4556" spans="1:10">
      <c r="A4556" s="7">
        <v>2</v>
      </c>
      <c r="B4556" s="8" t="s">
        <v>4092</v>
      </c>
      <c r="C4556" s="8" t="s">
        <v>3785</v>
      </c>
      <c r="D4556" s="7">
        <v>1</v>
      </c>
      <c r="E4556" s="7">
        <v>10</v>
      </c>
      <c r="F4556" s="7">
        <v>2</v>
      </c>
      <c r="G4556" s="8" t="s">
        <v>3826</v>
      </c>
      <c r="H4556" s="8" t="s">
        <v>3827</v>
      </c>
      <c r="I4556" s="7" t="str">
        <f>_xlfn.CONCAT(Paper_Reference[[#This Row],[Lvl]:[Paper Description]])</f>
        <v>2NM01S-7036GL5001PRECISION WHITE  60 X 1201102110SW736-6200PRECISION WHITE 62"</v>
      </c>
      <c r="J4556" s="7">
        <f>COUNTIF(Paper_Reference[Duplicate Key],Paper_Reference[[#This Row],[Duplicate Key]])</f>
        <v>1</v>
      </c>
    </row>
    <row r="4557" spans="1:10">
      <c r="A4557" s="7">
        <v>2</v>
      </c>
      <c r="B4557" s="8" t="s">
        <v>3699</v>
      </c>
      <c r="C4557" s="8" t="s">
        <v>3235</v>
      </c>
      <c r="D4557" s="7">
        <v>1</v>
      </c>
      <c r="E4557" s="7">
        <v>10</v>
      </c>
      <c r="F4557" s="7">
        <v>2</v>
      </c>
      <c r="G4557" s="8" t="s">
        <v>3230</v>
      </c>
      <c r="H4557" s="8" t="s">
        <v>3231</v>
      </c>
      <c r="I4557" s="7" t="str">
        <f>_xlfn.CONCAT(Paper_Reference[[#This Row],[Lvl]:[Paper Description]])</f>
        <v>2NM01S-7036MG4800PRECISION WHITE 48 X 961102110SW736-5000PRECISION WHITE 43 X 145</v>
      </c>
      <c r="J4557" s="7">
        <f>COUNTIF(Paper_Reference[Duplicate Key],Paper_Reference[[#This Row],[Duplicate Key]])</f>
        <v>1</v>
      </c>
    </row>
    <row r="4558" spans="1:10">
      <c r="A4558" s="7">
        <v>2</v>
      </c>
      <c r="B4558" s="8" t="s">
        <v>4093</v>
      </c>
      <c r="C4558" s="8" t="s">
        <v>3766</v>
      </c>
      <c r="D4558" s="7">
        <v>1</v>
      </c>
      <c r="E4558" s="7">
        <v>10</v>
      </c>
      <c r="F4558" s="7">
        <v>2</v>
      </c>
      <c r="G4558" s="8" t="s">
        <v>3826</v>
      </c>
      <c r="H4558" s="8" t="s">
        <v>3827</v>
      </c>
      <c r="I4558" s="7" t="str">
        <f>_xlfn.CONCAT(Paper_Reference[[#This Row],[Lvl]:[Paper Description]])</f>
        <v>2NM01S-7036MG5200PRECISION WHITE 60 X 1441102110SW736-6200PRECISION WHITE 62"</v>
      </c>
      <c r="J4558" s="7">
        <f>COUNTIF(Paper_Reference[Duplicate Key],Paper_Reference[[#This Row],[Duplicate Key]])</f>
        <v>1</v>
      </c>
    </row>
    <row r="4559" spans="1:10">
      <c r="A4559" s="7">
        <v>2</v>
      </c>
      <c r="B4559" s="8" t="s">
        <v>3700</v>
      </c>
      <c r="C4559" s="8" t="s">
        <v>3237</v>
      </c>
      <c r="D4559" s="7">
        <v>1</v>
      </c>
      <c r="E4559" s="7">
        <v>10</v>
      </c>
      <c r="F4559" s="7">
        <v>2</v>
      </c>
      <c r="G4559" s="8" t="s">
        <v>3230</v>
      </c>
      <c r="H4559" s="8" t="s">
        <v>3231</v>
      </c>
      <c r="I4559" s="7" t="str">
        <f>_xlfn.CONCAT(Paper_Reference[[#This Row],[Lvl]:[Paper Description]])</f>
        <v>2NM01S-7036SD4000PRECISION WHITE  48 X 1201102110SW736-5000PRECISION WHITE 43 X 145</v>
      </c>
      <c r="J4559" s="7">
        <f>COUNTIF(Paper_Reference[Duplicate Key],Paper_Reference[[#This Row],[Duplicate Key]])</f>
        <v>1</v>
      </c>
    </row>
    <row r="4560" spans="1:10">
      <c r="A4560" s="7">
        <v>2</v>
      </c>
      <c r="B4560" s="8" t="s">
        <v>3701</v>
      </c>
      <c r="C4560" s="8" t="s">
        <v>3261</v>
      </c>
      <c r="D4560" s="7">
        <v>1</v>
      </c>
      <c r="E4560" s="7">
        <v>10</v>
      </c>
      <c r="F4560" s="7">
        <v>2</v>
      </c>
      <c r="G4560" s="8" t="s">
        <v>3230</v>
      </c>
      <c r="H4560" s="8" t="s">
        <v>3231</v>
      </c>
      <c r="I4560" s="7" t="str">
        <f>_xlfn.CONCAT(Paper_Reference[[#This Row],[Lvl]:[Paper Description]])</f>
        <v>2NM01S-7036SD4800PRECISION WHITE  48 X 961102110SW736-5000PRECISION WHITE 43 X 145</v>
      </c>
      <c r="J4560" s="7">
        <f>COUNTIF(Paper_Reference[Duplicate Key],Paper_Reference[[#This Row],[Duplicate Key]])</f>
        <v>1</v>
      </c>
    </row>
    <row r="4561" spans="1:10">
      <c r="A4561" s="7">
        <v>2</v>
      </c>
      <c r="B4561" s="8" t="s">
        <v>3702</v>
      </c>
      <c r="C4561" s="8" t="s">
        <v>3261</v>
      </c>
      <c r="D4561" s="7">
        <v>1</v>
      </c>
      <c r="E4561" s="7">
        <v>10</v>
      </c>
      <c r="F4561" s="7">
        <v>2</v>
      </c>
      <c r="G4561" s="8" t="s">
        <v>3230</v>
      </c>
      <c r="H4561" s="8" t="s">
        <v>3231</v>
      </c>
      <c r="I4561" s="7" t="str">
        <f>_xlfn.CONCAT(Paper_Reference[[#This Row],[Lvl]:[Paper Description]])</f>
        <v>2NM01S-7036SD4801PRECISION WHITE  48 X 961102110SW736-5000PRECISION WHITE 43 X 145</v>
      </c>
      <c r="J4561" s="7">
        <f>COUNTIF(Paper_Reference[Duplicate Key],Paper_Reference[[#This Row],[Duplicate Key]])</f>
        <v>1</v>
      </c>
    </row>
    <row r="4562" spans="1:10">
      <c r="A4562" s="7">
        <v>2</v>
      </c>
      <c r="B4562" s="8" t="s">
        <v>3703</v>
      </c>
      <c r="C4562" s="8" t="s">
        <v>3261</v>
      </c>
      <c r="D4562" s="7">
        <v>1</v>
      </c>
      <c r="E4562" s="7">
        <v>10</v>
      </c>
      <c r="F4562" s="7">
        <v>2</v>
      </c>
      <c r="G4562" s="8" t="s">
        <v>3230</v>
      </c>
      <c r="H4562" s="8" t="s">
        <v>3231</v>
      </c>
      <c r="I4562" s="7" t="str">
        <f>_xlfn.CONCAT(Paper_Reference[[#This Row],[Lvl]:[Paper Description]])</f>
        <v>2NM01S-7036SD4803PRECISION WHITE  48 X 961102110SW736-5000PRECISION WHITE 43 X 145</v>
      </c>
      <c r="J4562" s="7">
        <f>COUNTIF(Paper_Reference[Duplicate Key],Paper_Reference[[#This Row],[Duplicate Key]])</f>
        <v>1</v>
      </c>
    </row>
    <row r="4563" spans="1:10">
      <c r="A4563" s="7">
        <v>2</v>
      </c>
      <c r="B4563" s="8" t="s">
        <v>4094</v>
      </c>
      <c r="C4563" s="8" t="s">
        <v>3785</v>
      </c>
      <c r="D4563" s="7">
        <v>1</v>
      </c>
      <c r="E4563" s="7">
        <v>10</v>
      </c>
      <c r="F4563" s="7">
        <v>2</v>
      </c>
      <c r="G4563" s="8" t="s">
        <v>3826</v>
      </c>
      <c r="H4563" s="8" t="s">
        <v>3827</v>
      </c>
      <c r="I4563" s="7" t="str">
        <f>_xlfn.CONCAT(Paper_Reference[[#This Row],[Lvl]:[Paper Description]])</f>
        <v>2NM01S-7036SD5000PRECISION WHITE  60 X 1201102110SW736-6200PRECISION WHITE 62"</v>
      </c>
      <c r="J4563" s="7">
        <f>COUNTIF(Paper_Reference[Duplicate Key],Paper_Reference[[#This Row],[Duplicate Key]])</f>
        <v>1</v>
      </c>
    </row>
    <row r="4564" spans="1:10">
      <c r="A4564" s="7">
        <v>2</v>
      </c>
      <c r="B4564" s="8" t="s">
        <v>4095</v>
      </c>
      <c r="C4564" s="8" t="s">
        <v>3817</v>
      </c>
      <c r="D4564" s="7">
        <v>1</v>
      </c>
      <c r="E4564" s="7">
        <v>10</v>
      </c>
      <c r="F4564" s="7">
        <v>2</v>
      </c>
      <c r="G4564" s="8" t="s">
        <v>3826</v>
      </c>
      <c r="H4564" s="8" t="s">
        <v>3827</v>
      </c>
      <c r="I4564" s="7" t="str">
        <f>_xlfn.CONCAT(Paper_Reference[[#This Row],[Lvl]:[Paper Description]])</f>
        <v>2NM01S-7036SD5200PRECISION WHITE  60X1441102110SW736-6200PRECISION WHITE 62"</v>
      </c>
      <c r="J4564" s="7">
        <f>COUNTIF(Paper_Reference[Duplicate Key],Paper_Reference[[#This Row],[Duplicate Key]])</f>
        <v>1</v>
      </c>
    </row>
    <row r="4565" spans="1:10">
      <c r="A4565" s="7">
        <v>2</v>
      </c>
      <c r="B4565" s="8" t="s">
        <v>3704</v>
      </c>
      <c r="C4565" s="8" t="s">
        <v>3261</v>
      </c>
      <c r="D4565" s="7">
        <v>1</v>
      </c>
      <c r="E4565" s="7">
        <v>10</v>
      </c>
      <c r="F4565" s="7">
        <v>2</v>
      </c>
      <c r="G4565" s="8" t="s">
        <v>3230</v>
      </c>
      <c r="H4565" s="8" t="s">
        <v>3231</v>
      </c>
      <c r="I4565" s="7" t="str">
        <f>_xlfn.CONCAT(Paper_Reference[[#This Row],[Lvl]:[Paper Description]])</f>
        <v>2NM01S-7036SM4800PRECISION WHITE  48 X 961102110SW736-5000PRECISION WHITE 43 X 145</v>
      </c>
      <c r="J4565" s="7">
        <f>COUNTIF(Paper_Reference[Duplicate Key],Paper_Reference[[#This Row],[Duplicate Key]])</f>
        <v>1</v>
      </c>
    </row>
    <row r="4566" spans="1:10">
      <c r="A4566" s="7">
        <v>2</v>
      </c>
      <c r="B4566" s="8" t="s">
        <v>3705</v>
      </c>
      <c r="C4566" s="8" t="s">
        <v>3298</v>
      </c>
      <c r="D4566" s="7">
        <v>1</v>
      </c>
      <c r="E4566" s="7">
        <v>10</v>
      </c>
      <c r="F4566" s="7">
        <v>1</v>
      </c>
      <c r="G4566" s="8" t="s">
        <v>3230</v>
      </c>
      <c r="H4566" s="8" t="s">
        <v>3231</v>
      </c>
      <c r="I4566" s="7" t="str">
        <f>_xlfn.CONCAT(Paper_Reference[[#This Row],[Lvl]:[Paper Description]])</f>
        <v>2NM01S-7036T-4000BAD PART USE EM011101110SW736-5000PRECISION WHITE 43 X 145</v>
      </c>
      <c r="J4566" s="7">
        <f>COUNTIF(Paper_Reference[Duplicate Key],Paper_Reference[[#This Row],[Duplicate Key]])</f>
        <v>1</v>
      </c>
    </row>
    <row r="4567" spans="1:10">
      <c r="A4567" s="7">
        <v>2</v>
      </c>
      <c r="B4567" s="8" t="s">
        <v>5288</v>
      </c>
      <c r="C4567" s="8" t="s">
        <v>4527</v>
      </c>
      <c r="D4567" s="7">
        <v>1</v>
      </c>
      <c r="E4567" s="7">
        <v>10</v>
      </c>
      <c r="F4567" s="7">
        <v>2</v>
      </c>
      <c r="G4567" s="8" t="s">
        <v>4371</v>
      </c>
      <c r="H4567" s="8" t="s">
        <v>4372</v>
      </c>
      <c r="I4567" s="7" t="str">
        <f>_xlfn.CONCAT(Paper_Reference[[#This Row],[Lvl]:[Paper Description]])</f>
        <v>2NM02S-6053SD5200JETT BLACK 60 X 1441102100DS064-6200BLACK</v>
      </c>
      <c r="J4567" s="7">
        <f>COUNTIF(Paper_Reference[Duplicate Key],Paper_Reference[[#This Row],[Duplicate Key]])</f>
        <v>1</v>
      </c>
    </row>
    <row r="4568" spans="1:10">
      <c r="A4568" s="7">
        <v>2</v>
      </c>
      <c r="B4568" s="8" t="s">
        <v>5289</v>
      </c>
      <c r="C4568" s="8" t="s">
        <v>4571</v>
      </c>
      <c r="D4568" s="7">
        <v>1</v>
      </c>
      <c r="E4568" s="7">
        <v>10</v>
      </c>
      <c r="F4568" s="7">
        <v>1</v>
      </c>
      <c r="G4568" s="8" t="s">
        <v>4371</v>
      </c>
      <c r="H4568" s="8" t="s">
        <v>4372</v>
      </c>
      <c r="I4568" s="7" t="str">
        <f>_xlfn.CONCAT(Paper_Reference[[#This Row],[Lvl]:[Paper Description]])</f>
        <v>2NM39FS6001SD5000RUSH 60 X 1201101100DS064-6200BLACK</v>
      </c>
      <c r="J4568" s="7">
        <f>COUNTIF(Paper_Reference[Duplicate Key],Paper_Reference[[#This Row],[Duplicate Key]])</f>
        <v>1</v>
      </c>
    </row>
    <row r="4569" spans="1:10">
      <c r="A4569" s="7">
        <v>2</v>
      </c>
      <c r="B4569" s="8" t="s">
        <v>5290</v>
      </c>
      <c r="C4569" s="8" t="s">
        <v>4526</v>
      </c>
      <c r="D4569" s="7">
        <v>1</v>
      </c>
      <c r="E4569" s="7">
        <v>10</v>
      </c>
      <c r="F4569" s="7">
        <v>2</v>
      </c>
      <c r="G4569" s="8" t="s">
        <v>4371</v>
      </c>
      <c r="H4569" s="8" t="s">
        <v>4372</v>
      </c>
      <c r="I4569" s="7" t="str">
        <f>_xlfn.CONCAT(Paper_Reference[[#This Row],[Lvl]:[Paper Description]])</f>
        <v>2NM39S-6053SD5000JETT BLACK 60 X 1201102100DS064-6200BLACK</v>
      </c>
      <c r="J4569" s="7">
        <f>COUNTIF(Paper_Reference[Duplicate Key],Paper_Reference[[#This Row],[Duplicate Key]])</f>
        <v>1</v>
      </c>
    </row>
    <row r="4570" spans="1:10">
      <c r="A4570" s="7">
        <v>2</v>
      </c>
      <c r="B4570" s="8" t="s">
        <v>3706</v>
      </c>
      <c r="C4570" s="8" t="s">
        <v>3260</v>
      </c>
      <c r="D4570" s="7">
        <v>1</v>
      </c>
      <c r="E4570" s="7">
        <v>10</v>
      </c>
      <c r="F4570" s="7">
        <v>2</v>
      </c>
      <c r="G4570" s="8" t="s">
        <v>3230</v>
      </c>
      <c r="H4570" s="8" t="s">
        <v>3231</v>
      </c>
      <c r="I4570" s="7" t="str">
        <f>_xlfn.CONCAT(Paper_Reference[[#This Row],[Lvl]:[Paper Description]])</f>
        <v>2NM39S-7036GL4001PRECISION WHITE 48 X 1201102110SW736-5000PRECISION WHITE 43 X 145</v>
      </c>
      <c r="J4570" s="7">
        <f>COUNTIF(Paper_Reference[Duplicate Key],Paper_Reference[[#This Row],[Duplicate Key]])</f>
        <v>1</v>
      </c>
    </row>
    <row r="4571" spans="1:10">
      <c r="A4571" s="7">
        <v>2</v>
      </c>
      <c r="B4571" s="8" t="s">
        <v>3707</v>
      </c>
      <c r="C4571" s="8" t="s">
        <v>3260</v>
      </c>
      <c r="D4571" s="7">
        <v>1</v>
      </c>
      <c r="E4571" s="7">
        <v>10</v>
      </c>
      <c r="F4571" s="7">
        <v>2</v>
      </c>
      <c r="G4571" s="8" t="s">
        <v>3230</v>
      </c>
      <c r="H4571" s="8" t="s">
        <v>3231</v>
      </c>
      <c r="I4571" s="7" t="str">
        <f>_xlfn.CONCAT(Paper_Reference[[#This Row],[Lvl]:[Paper Description]])</f>
        <v>2NM39S-7036GL4004PRECISION WHITE 48 X 1201102110SW736-5000PRECISION WHITE 43 X 145</v>
      </c>
      <c r="J4571" s="7">
        <f>COUNTIF(Paper_Reference[Duplicate Key],Paper_Reference[[#This Row],[Duplicate Key]])</f>
        <v>1</v>
      </c>
    </row>
    <row r="4572" spans="1:10">
      <c r="A4572" s="7">
        <v>2</v>
      </c>
      <c r="B4572" s="8" t="s">
        <v>3708</v>
      </c>
      <c r="C4572" s="8" t="s">
        <v>3260</v>
      </c>
      <c r="D4572" s="7">
        <v>1</v>
      </c>
      <c r="E4572" s="7">
        <v>10</v>
      </c>
      <c r="F4572" s="7">
        <v>2</v>
      </c>
      <c r="G4572" s="8" t="s">
        <v>3230</v>
      </c>
      <c r="H4572" s="8" t="s">
        <v>3231</v>
      </c>
      <c r="I4572" s="7" t="str">
        <f>_xlfn.CONCAT(Paper_Reference[[#This Row],[Lvl]:[Paper Description]])</f>
        <v>2NM39S-7036SD4000PRECISION WHITE 48 X 1201102110SW736-5000PRECISION WHITE 43 X 145</v>
      </c>
      <c r="J4572" s="7">
        <f>COUNTIF(Paper_Reference[Duplicate Key],Paper_Reference[[#This Row],[Duplicate Key]])</f>
        <v>1</v>
      </c>
    </row>
    <row r="4573" spans="1:10">
      <c r="A4573" s="7">
        <v>2</v>
      </c>
      <c r="B4573" s="8" t="s">
        <v>3709</v>
      </c>
      <c r="C4573" s="8" t="s">
        <v>3235</v>
      </c>
      <c r="D4573" s="7">
        <v>1</v>
      </c>
      <c r="E4573" s="7">
        <v>10</v>
      </c>
      <c r="F4573" s="7">
        <v>2</v>
      </c>
      <c r="G4573" s="8" t="s">
        <v>3230</v>
      </c>
      <c r="H4573" s="8" t="s">
        <v>3231</v>
      </c>
      <c r="I4573" s="7" t="str">
        <f>_xlfn.CONCAT(Paper_Reference[[#This Row],[Lvl]:[Paper Description]])</f>
        <v>2NM39S-7036SD4800PRECISION WHITE 48 X 961102110SW736-5000PRECISION WHITE 43 X 145</v>
      </c>
      <c r="J4573" s="7">
        <f>COUNTIF(Paper_Reference[Duplicate Key],Paper_Reference[[#This Row],[Duplicate Key]])</f>
        <v>1</v>
      </c>
    </row>
    <row r="4574" spans="1:10">
      <c r="A4574" s="7">
        <v>2</v>
      </c>
      <c r="B4574" s="8" t="s">
        <v>3710</v>
      </c>
      <c r="C4574" s="8" t="s">
        <v>3235</v>
      </c>
      <c r="D4574" s="7">
        <v>1</v>
      </c>
      <c r="E4574" s="7">
        <v>10</v>
      </c>
      <c r="F4574" s="7">
        <v>2</v>
      </c>
      <c r="G4574" s="8" t="s">
        <v>3230</v>
      </c>
      <c r="H4574" s="8" t="s">
        <v>3231</v>
      </c>
      <c r="I4574" s="7" t="str">
        <f>_xlfn.CONCAT(Paper_Reference[[#This Row],[Lvl]:[Paper Description]])</f>
        <v>2NM39S-7036SD4801PRECISION WHITE 48 X 961102110SW736-5000PRECISION WHITE 43 X 145</v>
      </c>
      <c r="J4574" s="7">
        <f>COUNTIF(Paper_Reference[Duplicate Key],Paper_Reference[[#This Row],[Duplicate Key]])</f>
        <v>1</v>
      </c>
    </row>
    <row r="4575" spans="1:10">
      <c r="A4575" s="7">
        <v>2</v>
      </c>
      <c r="B4575" s="8" t="s">
        <v>4096</v>
      </c>
      <c r="C4575" s="8" t="s">
        <v>3766</v>
      </c>
      <c r="D4575" s="7">
        <v>1</v>
      </c>
      <c r="E4575" s="7">
        <v>10</v>
      </c>
      <c r="F4575" s="7">
        <v>2</v>
      </c>
      <c r="G4575" s="8" t="s">
        <v>3826</v>
      </c>
      <c r="H4575" s="8" t="s">
        <v>3827</v>
      </c>
      <c r="I4575" s="7" t="str">
        <f>_xlfn.CONCAT(Paper_Reference[[#This Row],[Lvl]:[Paper Description]])</f>
        <v>2NM39S-7036SD5200PRECISION WHITE 60 X 1441102110SW736-6200PRECISION WHITE 62"</v>
      </c>
      <c r="J4575" s="7">
        <f>COUNTIF(Paper_Reference[Duplicate Key],Paper_Reference[[#This Row],[Duplicate Key]])</f>
        <v>1</v>
      </c>
    </row>
    <row r="4576" spans="1:10">
      <c r="A4576" s="7">
        <v>2</v>
      </c>
      <c r="B4576" s="8" t="s">
        <v>3711</v>
      </c>
      <c r="C4576" s="8" t="s">
        <v>3260</v>
      </c>
      <c r="D4576" s="7">
        <v>1</v>
      </c>
      <c r="E4576" s="7">
        <v>10</v>
      </c>
      <c r="F4576" s="7">
        <v>2</v>
      </c>
      <c r="G4576" s="8" t="s">
        <v>3230</v>
      </c>
      <c r="H4576" s="8" t="s">
        <v>3231</v>
      </c>
      <c r="I4576" s="7" t="str">
        <f>_xlfn.CONCAT(Paper_Reference[[#This Row],[Lvl]:[Paper Description]])</f>
        <v>2NM39S-7036SM4000PRECISION WHITE 48 X 1201102110SW736-5000PRECISION WHITE 43 X 145</v>
      </c>
      <c r="J4576" s="7">
        <f>COUNTIF(Paper_Reference[Duplicate Key],Paper_Reference[[#This Row],[Duplicate Key]])</f>
        <v>1</v>
      </c>
    </row>
    <row r="4577" spans="1:10">
      <c r="A4577" s="7">
        <v>2</v>
      </c>
      <c r="B4577" s="8" t="s">
        <v>3712</v>
      </c>
      <c r="C4577" s="8" t="s">
        <v>3260</v>
      </c>
      <c r="D4577" s="7">
        <v>1</v>
      </c>
      <c r="E4577" s="7">
        <v>10</v>
      </c>
      <c r="F4577" s="7">
        <v>2</v>
      </c>
      <c r="G4577" s="8" t="s">
        <v>3230</v>
      </c>
      <c r="H4577" s="8" t="s">
        <v>3231</v>
      </c>
      <c r="I4577" s="7" t="str">
        <f>_xlfn.CONCAT(Paper_Reference[[#This Row],[Lvl]:[Paper Description]])</f>
        <v>2NM39S-7036SM4001PRECISION WHITE 48 X 1201102110SW736-5000PRECISION WHITE 43 X 145</v>
      </c>
      <c r="J4577" s="7">
        <f>COUNTIF(Paper_Reference[Duplicate Key],Paper_Reference[[#This Row],[Duplicate Key]])</f>
        <v>1</v>
      </c>
    </row>
    <row r="4578" spans="1:10">
      <c r="A4578" s="7">
        <v>2</v>
      </c>
      <c r="B4578" s="8" t="s">
        <v>3713</v>
      </c>
      <c r="C4578" s="8" t="s">
        <v>3260</v>
      </c>
      <c r="D4578" s="7">
        <v>1</v>
      </c>
      <c r="E4578" s="7">
        <v>10</v>
      </c>
      <c r="F4578" s="7">
        <v>2</v>
      </c>
      <c r="G4578" s="8" t="s">
        <v>3230</v>
      </c>
      <c r="H4578" s="8" t="s">
        <v>3231</v>
      </c>
      <c r="I4578" s="7" t="str">
        <f>_xlfn.CONCAT(Paper_Reference[[#This Row],[Lvl]:[Paper Description]])</f>
        <v>2NM39S-7036SM4003PRECISION WHITE 48 X 1201102110SW736-5000PRECISION WHITE 43 X 145</v>
      </c>
      <c r="J4578" s="7">
        <f>COUNTIF(Paper_Reference[Duplicate Key],Paper_Reference[[#This Row],[Duplicate Key]])</f>
        <v>1</v>
      </c>
    </row>
    <row r="4579" spans="1:10">
      <c r="A4579" s="7">
        <v>2</v>
      </c>
      <c r="B4579" s="8" t="s">
        <v>3714</v>
      </c>
      <c r="C4579" s="8" t="s">
        <v>3274</v>
      </c>
      <c r="D4579" s="7">
        <v>1</v>
      </c>
      <c r="E4579" s="7">
        <v>10</v>
      </c>
      <c r="F4579" s="7">
        <v>2</v>
      </c>
      <c r="G4579" s="8" t="s">
        <v>3230</v>
      </c>
      <c r="H4579" s="8" t="s">
        <v>3231</v>
      </c>
      <c r="I4579" s="7" t="str">
        <f>_xlfn.CONCAT(Paper_Reference[[#This Row],[Lvl]:[Paper Description]])</f>
        <v>2NM39S-7036SM4203PRECISION WHITE 48 X 1441102110SW736-5000PRECISION WHITE 43 X 145</v>
      </c>
      <c r="J4579" s="7">
        <f>COUNTIF(Paper_Reference[Duplicate Key],Paper_Reference[[#This Row],[Duplicate Key]])</f>
        <v>1</v>
      </c>
    </row>
    <row r="4580" spans="1:10">
      <c r="A4580" s="7">
        <v>2</v>
      </c>
      <c r="B4580" s="8" t="s">
        <v>3715</v>
      </c>
      <c r="C4580" s="8" t="s">
        <v>3235</v>
      </c>
      <c r="D4580" s="7">
        <v>1</v>
      </c>
      <c r="E4580" s="7">
        <v>10</v>
      </c>
      <c r="F4580" s="7">
        <v>2</v>
      </c>
      <c r="G4580" s="8" t="s">
        <v>3230</v>
      </c>
      <c r="H4580" s="8" t="s">
        <v>3231</v>
      </c>
      <c r="I4580" s="7" t="str">
        <f>_xlfn.CONCAT(Paper_Reference[[#This Row],[Lvl]:[Paper Description]])</f>
        <v>2NM39S-7036SM4803PRECISION WHITE 48 X 961102110SW736-5000PRECISION WHITE 43 X 145</v>
      </c>
      <c r="J4580" s="7">
        <f>COUNTIF(Paper_Reference[Duplicate Key],Paper_Reference[[#This Row],[Duplicate Key]])</f>
        <v>1</v>
      </c>
    </row>
    <row r="4581" spans="1:10">
      <c r="A4581" s="7">
        <v>2</v>
      </c>
      <c r="B4581" s="8" t="s">
        <v>4097</v>
      </c>
      <c r="C4581" s="8" t="s">
        <v>3797</v>
      </c>
      <c r="D4581" s="7">
        <v>1</v>
      </c>
      <c r="E4581" s="7">
        <v>10</v>
      </c>
      <c r="F4581" s="7">
        <v>2</v>
      </c>
      <c r="G4581" s="8" t="s">
        <v>3826</v>
      </c>
      <c r="H4581" s="8" t="s">
        <v>3827</v>
      </c>
      <c r="I4581" s="7" t="str">
        <f>_xlfn.CONCAT(Paper_Reference[[#This Row],[Lvl]:[Paper Description]])</f>
        <v>2NM39S-7036SM5003PRECISION WHITE 60 X 1201102110SW736-6200PRECISION WHITE 62"</v>
      </c>
      <c r="J4581" s="7">
        <f>COUNTIF(Paper_Reference[Duplicate Key],Paper_Reference[[#This Row],[Duplicate Key]])</f>
        <v>1</v>
      </c>
    </row>
    <row r="4582" spans="1:10">
      <c r="A4582" s="7">
        <v>2</v>
      </c>
      <c r="B4582" s="8" t="s">
        <v>4098</v>
      </c>
      <c r="C4582" s="8" t="s">
        <v>3766</v>
      </c>
      <c r="D4582" s="7">
        <v>1</v>
      </c>
      <c r="E4582" s="7">
        <v>10</v>
      </c>
      <c r="F4582" s="7">
        <v>2</v>
      </c>
      <c r="G4582" s="8" t="s">
        <v>3826</v>
      </c>
      <c r="H4582" s="8" t="s">
        <v>3827</v>
      </c>
      <c r="I4582" s="7" t="str">
        <f>_xlfn.CONCAT(Paper_Reference[[#This Row],[Lvl]:[Paper Description]])</f>
        <v>2NM39S-7036SM5200PRECISION WHITE 60 X 1441102110SW736-6200PRECISION WHITE 62"</v>
      </c>
      <c r="J4582" s="7">
        <f>COUNTIF(Paper_Reference[Duplicate Key],Paper_Reference[[#This Row],[Duplicate Key]])</f>
        <v>1</v>
      </c>
    </row>
    <row r="4583" spans="1:10">
      <c r="A4583" s="7">
        <v>2</v>
      </c>
      <c r="B4583" s="8" t="s">
        <v>3716</v>
      </c>
      <c r="C4583" s="8" t="s">
        <v>3299</v>
      </c>
      <c r="D4583" s="7">
        <v>1</v>
      </c>
      <c r="E4583" s="7">
        <v>10</v>
      </c>
      <c r="F4583" s="7">
        <v>2</v>
      </c>
      <c r="G4583" s="8" t="s">
        <v>3230</v>
      </c>
      <c r="H4583" s="8" t="s">
        <v>3231</v>
      </c>
      <c r="I4583" s="7" t="str">
        <f>_xlfn.CONCAT(Paper_Reference[[#This Row],[Lvl]:[Paper Description]])</f>
        <v>2NM55S-7036E-4000PRECISION WHITE  48X1201102110SW736-5000PRECISION WHITE 43 X 145</v>
      </c>
      <c r="J4583" s="7">
        <f>COUNTIF(Paper_Reference[Duplicate Key],Paper_Reference[[#This Row],[Duplicate Key]])</f>
        <v>1</v>
      </c>
    </row>
    <row r="4584" spans="1:10">
      <c r="A4584" s="7">
        <v>2</v>
      </c>
      <c r="B4584" s="8" t="s">
        <v>3717</v>
      </c>
      <c r="C4584" s="8" t="s">
        <v>3237</v>
      </c>
      <c r="D4584" s="7">
        <v>1</v>
      </c>
      <c r="E4584" s="7">
        <v>10</v>
      </c>
      <c r="F4584" s="7">
        <v>2</v>
      </c>
      <c r="G4584" s="8" t="s">
        <v>3230</v>
      </c>
      <c r="H4584" s="8" t="s">
        <v>3231</v>
      </c>
      <c r="I4584" s="7" t="str">
        <f>_xlfn.CONCAT(Paper_Reference[[#This Row],[Lvl]:[Paper Description]])</f>
        <v>2NM55S-7036E-4001PRECISION WHITE  48 X 1201102110SW736-5000PRECISION WHITE 43 X 145</v>
      </c>
      <c r="J4584" s="7">
        <f>COUNTIF(Paper_Reference[Duplicate Key],Paper_Reference[[#This Row],[Duplicate Key]])</f>
        <v>1</v>
      </c>
    </row>
    <row r="4585" spans="1:10">
      <c r="A4585" s="7">
        <v>2</v>
      </c>
      <c r="B4585" s="8" t="s">
        <v>3718</v>
      </c>
      <c r="C4585" s="8" t="s">
        <v>3299</v>
      </c>
      <c r="D4585" s="7">
        <v>1</v>
      </c>
      <c r="E4585" s="7">
        <v>10</v>
      </c>
      <c r="F4585" s="7">
        <v>2</v>
      </c>
      <c r="G4585" s="8" t="s">
        <v>3230</v>
      </c>
      <c r="H4585" s="8" t="s">
        <v>3231</v>
      </c>
      <c r="I4585" s="7" t="str">
        <f>_xlfn.CONCAT(Paper_Reference[[#This Row],[Lvl]:[Paper Description]])</f>
        <v>2NM55S-7036E-4003PRECISION WHITE  48X1201102110SW736-5000PRECISION WHITE 43 X 145</v>
      </c>
      <c r="J4585" s="7">
        <f>COUNTIF(Paper_Reference[Duplicate Key],Paper_Reference[[#This Row],[Duplicate Key]])</f>
        <v>1</v>
      </c>
    </row>
    <row r="4586" spans="1:10">
      <c r="A4586" s="7">
        <v>2</v>
      </c>
      <c r="B4586" s="8" t="s">
        <v>3719</v>
      </c>
      <c r="C4586" s="8" t="s">
        <v>3297</v>
      </c>
      <c r="D4586" s="7">
        <v>1</v>
      </c>
      <c r="E4586" s="7">
        <v>10</v>
      </c>
      <c r="F4586" s="7">
        <v>2</v>
      </c>
      <c r="G4586" s="8" t="s">
        <v>3230</v>
      </c>
      <c r="H4586" s="8" t="s">
        <v>3231</v>
      </c>
      <c r="I4586" s="7" t="str">
        <f>_xlfn.CONCAT(Paper_Reference[[#This Row],[Lvl]:[Paper Description]])</f>
        <v>2NM55S-7036E-4200PRECISION WHITE  48X1441102110SW736-5000PRECISION WHITE 43 X 145</v>
      </c>
      <c r="J4586" s="7">
        <f>COUNTIF(Paper_Reference[Duplicate Key],Paper_Reference[[#This Row],[Duplicate Key]])</f>
        <v>1</v>
      </c>
    </row>
    <row r="4587" spans="1:10">
      <c r="A4587" s="7">
        <v>2</v>
      </c>
      <c r="B4587" s="8" t="s">
        <v>3720</v>
      </c>
      <c r="C4587" s="8" t="s">
        <v>3261</v>
      </c>
      <c r="D4587" s="7">
        <v>1</v>
      </c>
      <c r="E4587" s="7">
        <v>10</v>
      </c>
      <c r="F4587" s="7">
        <v>2</v>
      </c>
      <c r="G4587" s="8" t="s">
        <v>3230</v>
      </c>
      <c r="H4587" s="8" t="s">
        <v>3231</v>
      </c>
      <c r="I4587" s="7" t="str">
        <f>_xlfn.CONCAT(Paper_Reference[[#This Row],[Lvl]:[Paper Description]])</f>
        <v>2NM55S-7036E-4800PRECISION WHITE  48 X 961102110SW736-5000PRECISION WHITE 43 X 145</v>
      </c>
      <c r="J4587" s="7">
        <f>COUNTIF(Paper_Reference[Duplicate Key],Paper_Reference[[#This Row],[Duplicate Key]])</f>
        <v>1</v>
      </c>
    </row>
    <row r="4588" spans="1:10">
      <c r="A4588" s="7">
        <v>2</v>
      </c>
      <c r="B4588" s="8" t="s">
        <v>4099</v>
      </c>
      <c r="C4588" s="8" t="s">
        <v>3818</v>
      </c>
      <c r="D4588" s="7">
        <v>1</v>
      </c>
      <c r="E4588" s="7">
        <v>10</v>
      </c>
      <c r="F4588" s="7">
        <v>2</v>
      </c>
      <c r="G4588" s="8" t="s">
        <v>3826</v>
      </c>
      <c r="H4588" s="8" t="s">
        <v>3827</v>
      </c>
      <c r="I4588" s="7" t="str">
        <f>_xlfn.CONCAT(Paper_Reference[[#This Row],[Lvl]:[Paper Description]])</f>
        <v>2NM55S-7036E-5000PRECISION WHITE  60X1201102110SW736-6200PRECISION WHITE 62"</v>
      </c>
      <c r="J4588" s="7">
        <f>COUNTIF(Paper_Reference[Duplicate Key],Paper_Reference[[#This Row],[Duplicate Key]])</f>
        <v>1</v>
      </c>
    </row>
    <row r="4589" spans="1:10">
      <c r="A4589" s="7">
        <v>2</v>
      </c>
      <c r="B4589" s="8" t="s">
        <v>4100</v>
      </c>
      <c r="C4589" s="8" t="s">
        <v>3817</v>
      </c>
      <c r="D4589" s="7">
        <v>1</v>
      </c>
      <c r="E4589" s="7">
        <v>10</v>
      </c>
      <c r="F4589" s="7">
        <v>2</v>
      </c>
      <c r="G4589" s="8" t="s">
        <v>3826</v>
      </c>
      <c r="H4589" s="8" t="s">
        <v>3827</v>
      </c>
      <c r="I4589" s="7" t="str">
        <f>_xlfn.CONCAT(Paper_Reference[[#This Row],[Lvl]:[Paper Description]])</f>
        <v>2NM55S-7036E-5200PRECISION WHITE  60X1441102110SW736-6200PRECISION WHITE 62"</v>
      </c>
      <c r="J4589" s="7">
        <f>COUNTIF(Paper_Reference[Duplicate Key],Paper_Reference[[#This Row],[Duplicate Key]])</f>
        <v>1</v>
      </c>
    </row>
    <row r="4590" spans="1:10">
      <c r="A4590" s="7">
        <v>2</v>
      </c>
      <c r="B4590" s="8" t="s">
        <v>4101</v>
      </c>
      <c r="C4590" s="8" t="s">
        <v>3817</v>
      </c>
      <c r="D4590" s="7">
        <v>1</v>
      </c>
      <c r="E4590" s="7">
        <v>10</v>
      </c>
      <c r="F4590" s="7">
        <v>2</v>
      </c>
      <c r="G4590" s="8" t="s">
        <v>3826</v>
      </c>
      <c r="H4590" s="8" t="s">
        <v>3827</v>
      </c>
      <c r="I4590" s="7" t="str">
        <f>_xlfn.CONCAT(Paper_Reference[[#This Row],[Lvl]:[Paper Description]])</f>
        <v>2NM55S-7036E-5201PRECISION WHITE  60X1441102110SW736-6200PRECISION WHITE 62"</v>
      </c>
      <c r="J4590" s="7">
        <f>COUNTIF(Paper_Reference[Duplicate Key],Paper_Reference[[#This Row],[Duplicate Key]])</f>
        <v>1</v>
      </c>
    </row>
    <row r="4591" spans="1:10">
      <c r="A4591" s="7">
        <v>2</v>
      </c>
      <c r="B4591" s="8" t="s">
        <v>3721</v>
      </c>
      <c r="C4591" s="8" t="s">
        <v>3278</v>
      </c>
      <c r="D4591" s="7">
        <v>1</v>
      </c>
      <c r="E4591" s="7">
        <v>10</v>
      </c>
      <c r="F4591" s="7">
        <v>2</v>
      </c>
      <c r="G4591" s="8" t="s">
        <v>3230</v>
      </c>
      <c r="H4591" s="8" t="s">
        <v>3231</v>
      </c>
      <c r="I4591" s="7" t="str">
        <f>_xlfn.CONCAT(Paper_Reference[[#This Row],[Lvl]:[Paper Description]])</f>
        <v>2NM55S-7036G-3801PRECISION WHITE  36 X 961102110SW736-5000PRECISION WHITE 43 X 145</v>
      </c>
      <c r="J4591" s="7">
        <f>COUNTIF(Paper_Reference[Duplicate Key],Paper_Reference[[#This Row],[Duplicate Key]])</f>
        <v>1</v>
      </c>
    </row>
    <row r="4592" spans="1:10">
      <c r="A4592" s="7">
        <v>2</v>
      </c>
      <c r="B4592" s="8" t="s">
        <v>3722</v>
      </c>
      <c r="C4592" s="8" t="s">
        <v>3299</v>
      </c>
      <c r="D4592" s="7">
        <v>1</v>
      </c>
      <c r="E4592" s="7">
        <v>10</v>
      </c>
      <c r="F4592" s="7">
        <v>2</v>
      </c>
      <c r="G4592" s="8" t="s">
        <v>3230</v>
      </c>
      <c r="H4592" s="8" t="s">
        <v>3231</v>
      </c>
      <c r="I4592" s="7" t="str">
        <f>_xlfn.CONCAT(Paper_Reference[[#This Row],[Lvl]:[Paper Description]])</f>
        <v>2NM55S-7036G-4000PRECISION WHITE  48X1201102110SW736-5000PRECISION WHITE 43 X 145</v>
      </c>
      <c r="J4592" s="7">
        <f>COUNTIF(Paper_Reference[Duplicate Key],Paper_Reference[[#This Row],[Duplicate Key]])</f>
        <v>1</v>
      </c>
    </row>
    <row r="4593" spans="1:10">
      <c r="A4593" s="7">
        <v>2</v>
      </c>
      <c r="B4593" s="8" t="s">
        <v>3723</v>
      </c>
      <c r="C4593" s="8" t="s">
        <v>3299</v>
      </c>
      <c r="D4593" s="7">
        <v>1</v>
      </c>
      <c r="E4593" s="7">
        <v>10</v>
      </c>
      <c r="F4593" s="7">
        <v>2</v>
      </c>
      <c r="G4593" s="8" t="s">
        <v>3230</v>
      </c>
      <c r="H4593" s="8" t="s">
        <v>3231</v>
      </c>
      <c r="I4593" s="7" t="str">
        <f>_xlfn.CONCAT(Paper_Reference[[#This Row],[Lvl]:[Paper Description]])</f>
        <v>2NM55S-7036G-4001PRECISION WHITE  48X1201102110SW736-5000PRECISION WHITE 43 X 145</v>
      </c>
      <c r="J4593" s="7">
        <f>COUNTIF(Paper_Reference[Duplicate Key],Paper_Reference[[#This Row],[Duplicate Key]])</f>
        <v>1</v>
      </c>
    </row>
    <row r="4594" spans="1:10">
      <c r="A4594" s="7">
        <v>2</v>
      </c>
      <c r="B4594" s="8" t="s">
        <v>3724</v>
      </c>
      <c r="C4594" s="8" t="s">
        <v>3299</v>
      </c>
      <c r="D4594" s="7">
        <v>1</v>
      </c>
      <c r="E4594" s="7">
        <v>10</v>
      </c>
      <c r="F4594" s="7">
        <v>2</v>
      </c>
      <c r="G4594" s="8" t="s">
        <v>3230</v>
      </c>
      <c r="H4594" s="8" t="s">
        <v>3231</v>
      </c>
      <c r="I4594" s="7" t="str">
        <f>_xlfn.CONCAT(Paper_Reference[[#This Row],[Lvl]:[Paper Description]])</f>
        <v>2NM55S-7036G-4004PRECISION WHITE  48X1201102110SW736-5000PRECISION WHITE 43 X 145</v>
      </c>
      <c r="J4594" s="7">
        <f>COUNTIF(Paper_Reference[Duplicate Key],Paper_Reference[[#This Row],[Duplicate Key]])</f>
        <v>1</v>
      </c>
    </row>
    <row r="4595" spans="1:10">
      <c r="A4595" s="7">
        <v>2</v>
      </c>
      <c r="B4595" s="8" t="s">
        <v>3725</v>
      </c>
      <c r="C4595" s="8" t="s">
        <v>3300</v>
      </c>
      <c r="D4595" s="7">
        <v>1</v>
      </c>
      <c r="E4595" s="7">
        <v>10</v>
      </c>
      <c r="F4595" s="7">
        <v>2</v>
      </c>
      <c r="G4595" s="8" t="s">
        <v>3230</v>
      </c>
      <c r="H4595" s="8" t="s">
        <v>3231</v>
      </c>
      <c r="I4595" s="7" t="str">
        <f>_xlfn.CONCAT(Paper_Reference[[#This Row],[Lvl]:[Paper Description]])</f>
        <v>2NM55S-7036G-4201PRECISION WHITE  48 X 1441102110SW736-5000PRECISION WHITE 43 X 145</v>
      </c>
      <c r="J4595" s="7">
        <f>COUNTIF(Paper_Reference[Duplicate Key],Paper_Reference[[#This Row],[Duplicate Key]])</f>
        <v>1</v>
      </c>
    </row>
    <row r="4596" spans="1:10">
      <c r="A4596" s="7">
        <v>2</v>
      </c>
      <c r="B4596" s="8" t="s">
        <v>3726</v>
      </c>
      <c r="C4596" s="8" t="s">
        <v>3261</v>
      </c>
      <c r="D4596" s="7">
        <v>1</v>
      </c>
      <c r="E4596" s="7">
        <v>10</v>
      </c>
      <c r="F4596" s="7">
        <v>2</v>
      </c>
      <c r="G4596" s="8" t="s">
        <v>3230</v>
      </c>
      <c r="H4596" s="8" t="s">
        <v>3231</v>
      </c>
      <c r="I4596" s="7" t="str">
        <f>_xlfn.CONCAT(Paper_Reference[[#This Row],[Lvl]:[Paper Description]])</f>
        <v>2NM55S-7036G-4801PRECISION WHITE  48 X 961102110SW736-5000PRECISION WHITE 43 X 145</v>
      </c>
      <c r="J4596" s="7">
        <f>COUNTIF(Paper_Reference[Duplicate Key],Paper_Reference[[#This Row],[Duplicate Key]])</f>
        <v>1</v>
      </c>
    </row>
    <row r="4597" spans="1:10">
      <c r="A4597" s="7">
        <v>2</v>
      </c>
      <c r="B4597" s="8" t="s">
        <v>4102</v>
      </c>
      <c r="C4597" s="8" t="s">
        <v>3785</v>
      </c>
      <c r="D4597" s="7">
        <v>1</v>
      </c>
      <c r="E4597" s="7">
        <v>10</v>
      </c>
      <c r="F4597" s="7">
        <v>2</v>
      </c>
      <c r="G4597" s="8" t="s">
        <v>3826</v>
      </c>
      <c r="H4597" s="8" t="s">
        <v>3827</v>
      </c>
      <c r="I4597" s="7" t="str">
        <f>_xlfn.CONCAT(Paper_Reference[[#This Row],[Lvl]:[Paper Description]])</f>
        <v>2NM55S-7036G-5001PRECISION WHITE  60 X 1201102110SW736-6200PRECISION WHITE 62"</v>
      </c>
      <c r="J4597" s="7">
        <f>COUNTIF(Paper_Reference[Duplicate Key],Paper_Reference[[#This Row],[Duplicate Key]])</f>
        <v>1</v>
      </c>
    </row>
    <row r="4598" spans="1:10">
      <c r="A4598" s="7">
        <v>2</v>
      </c>
      <c r="B4598" s="8" t="s">
        <v>4103</v>
      </c>
      <c r="C4598" s="8" t="s">
        <v>3781</v>
      </c>
      <c r="D4598" s="7">
        <v>1</v>
      </c>
      <c r="E4598" s="7">
        <v>10</v>
      </c>
      <c r="F4598" s="7">
        <v>2</v>
      </c>
      <c r="G4598" s="8" t="s">
        <v>3826</v>
      </c>
      <c r="H4598" s="8" t="s">
        <v>3827</v>
      </c>
      <c r="I4598" s="7" t="str">
        <f>_xlfn.CONCAT(Paper_Reference[[#This Row],[Lvl]:[Paper Description]])</f>
        <v>2NM55S-7036G-5201PRECISION WHITE  60 X 1441102110SW736-6200PRECISION WHITE 62"</v>
      </c>
      <c r="J4598" s="7">
        <f>COUNTIF(Paper_Reference[Duplicate Key],Paper_Reference[[#This Row],[Duplicate Key]])</f>
        <v>1</v>
      </c>
    </row>
    <row r="4599" spans="1:10">
      <c r="A4599" s="7">
        <v>2</v>
      </c>
      <c r="B4599" s="8" t="s">
        <v>4104</v>
      </c>
      <c r="C4599" s="8" t="s">
        <v>3815</v>
      </c>
      <c r="D4599" s="7">
        <v>1</v>
      </c>
      <c r="E4599" s="7">
        <v>10</v>
      </c>
      <c r="F4599" s="7">
        <v>2</v>
      </c>
      <c r="G4599" s="8" t="s">
        <v>3826</v>
      </c>
      <c r="H4599" s="8" t="s">
        <v>3827</v>
      </c>
      <c r="I4599" s="7" t="str">
        <f>_xlfn.CONCAT(Paper_Reference[[#This Row],[Lvl]:[Paper Description]])</f>
        <v>2NM55S-7036G-5801PRECISION WHITE  60 X 961102110SW736-6200PRECISION WHITE 62"</v>
      </c>
      <c r="J4599" s="7">
        <f>COUNTIF(Paper_Reference[Duplicate Key],Paper_Reference[[#This Row],[Duplicate Key]])</f>
        <v>1</v>
      </c>
    </row>
    <row r="4600" spans="1:10">
      <c r="A4600" s="7">
        <v>2</v>
      </c>
      <c r="B4600" s="8" t="s">
        <v>3727</v>
      </c>
      <c r="C4600" s="8" t="s">
        <v>3278</v>
      </c>
      <c r="D4600" s="7">
        <v>1</v>
      </c>
      <c r="E4600" s="7">
        <v>10</v>
      </c>
      <c r="F4600" s="7">
        <v>2</v>
      </c>
      <c r="G4600" s="8" t="s">
        <v>3230</v>
      </c>
      <c r="H4600" s="8" t="s">
        <v>3231</v>
      </c>
      <c r="I4600" s="7" t="str">
        <f>_xlfn.CONCAT(Paper_Reference[[#This Row],[Lvl]:[Paper Description]])</f>
        <v>2NM55S-7036GL3801PRECISION WHITE  36 X 961102110SW736-5000PRECISION WHITE 43 X 145</v>
      </c>
      <c r="J4600" s="7">
        <f>COUNTIF(Paper_Reference[Duplicate Key],Paper_Reference[[#This Row],[Duplicate Key]])</f>
        <v>1</v>
      </c>
    </row>
    <row r="4601" spans="1:10">
      <c r="A4601" s="7">
        <v>2</v>
      </c>
      <c r="B4601" s="8" t="s">
        <v>3728</v>
      </c>
      <c r="C4601" s="8" t="s">
        <v>3299</v>
      </c>
      <c r="D4601" s="7">
        <v>1</v>
      </c>
      <c r="E4601" s="7">
        <v>10</v>
      </c>
      <c r="F4601" s="7">
        <v>2</v>
      </c>
      <c r="G4601" s="8" t="s">
        <v>3230</v>
      </c>
      <c r="H4601" s="8" t="s">
        <v>3231</v>
      </c>
      <c r="I4601" s="7" t="str">
        <f>_xlfn.CONCAT(Paper_Reference[[#This Row],[Lvl]:[Paper Description]])</f>
        <v>2NM55S-7036GL4001PRECISION WHITE  48X1201102110SW736-5000PRECISION WHITE 43 X 145</v>
      </c>
      <c r="J4601" s="7">
        <f>COUNTIF(Paper_Reference[Duplicate Key],Paper_Reference[[#This Row],[Duplicate Key]])</f>
        <v>1</v>
      </c>
    </row>
    <row r="4602" spans="1:10">
      <c r="A4602" s="7">
        <v>2</v>
      </c>
      <c r="B4602" s="8" t="s">
        <v>4105</v>
      </c>
      <c r="C4602" s="8" t="s">
        <v>3300</v>
      </c>
      <c r="D4602" s="7">
        <v>1</v>
      </c>
      <c r="E4602" s="7">
        <v>10</v>
      </c>
      <c r="F4602" s="7">
        <v>2</v>
      </c>
      <c r="G4602" s="8" t="s">
        <v>3826</v>
      </c>
      <c r="H4602" s="8" t="s">
        <v>3827</v>
      </c>
      <c r="I4602" s="7" t="str">
        <f>_xlfn.CONCAT(Paper_Reference[[#This Row],[Lvl]:[Paper Description]])</f>
        <v>2NM55S-7036GL4201PRECISION WHITE  48 X 1441102110SW736-6200PRECISION WHITE 62"</v>
      </c>
      <c r="J4602" s="7">
        <f>COUNTIF(Paper_Reference[Duplicate Key],Paper_Reference[[#This Row],[Duplicate Key]])</f>
        <v>1</v>
      </c>
    </row>
    <row r="4603" spans="1:10">
      <c r="A4603" s="7">
        <v>2</v>
      </c>
      <c r="B4603" s="8" t="s">
        <v>3729</v>
      </c>
      <c r="C4603" s="8" t="s">
        <v>3261</v>
      </c>
      <c r="D4603" s="7">
        <v>1</v>
      </c>
      <c r="E4603" s="7">
        <v>10</v>
      </c>
      <c r="F4603" s="7">
        <v>2</v>
      </c>
      <c r="G4603" s="8" t="s">
        <v>3230</v>
      </c>
      <c r="H4603" s="8" t="s">
        <v>3231</v>
      </c>
      <c r="I4603" s="7" t="str">
        <f>_xlfn.CONCAT(Paper_Reference[[#This Row],[Lvl]:[Paper Description]])</f>
        <v>2NM55S-7036GL4801PRECISION WHITE  48 X 961102110SW736-5000PRECISION WHITE 43 X 145</v>
      </c>
      <c r="J4603" s="7">
        <f>COUNTIF(Paper_Reference[Duplicate Key],Paper_Reference[[#This Row],[Duplicate Key]])</f>
        <v>1</v>
      </c>
    </row>
    <row r="4604" spans="1:10">
      <c r="A4604" s="7">
        <v>2</v>
      </c>
      <c r="B4604" s="8" t="s">
        <v>4106</v>
      </c>
      <c r="C4604" s="8" t="s">
        <v>3785</v>
      </c>
      <c r="D4604" s="7">
        <v>1</v>
      </c>
      <c r="E4604" s="7">
        <v>10</v>
      </c>
      <c r="F4604" s="7">
        <v>2</v>
      </c>
      <c r="G4604" s="8" t="s">
        <v>3826</v>
      </c>
      <c r="H4604" s="8" t="s">
        <v>3827</v>
      </c>
      <c r="I4604" s="7" t="str">
        <f>_xlfn.CONCAT(Paper_Reference[[#This Row],[Lvl]:[Paper Description]])</f>
        <v>2NM55S-7036GL5001PRECISION WHITE  60 X 1201102110SW736-6200PRECISION WHITE 62"</v>
      </c>
      <c r="J4604" s="7">
        <f>COUNTIF(Paper_Reference[Duplicate Key],Paper_Reference[[#This Row],[Duplicate Key]])</f>
        <v>1</v>
      </c>
    </row>
    <row r="4605" spans="1:10">
      <c r="A4605" s="7">
        <v>2</v>
      </c>
      <c r="B4605" s="8" t="s">
        <v>4107</v>
      </c>
      <c r="C4605" s="8" t="s">
        <v>3781</v>
      </c>
      <c r="D4605" s="7">
        <v>1</v>
      </c>
      <c r="E4605" s="7">
        <v>10</v>
      </c>
      <c r="F4605" s="7">
        <v>2</v>
      </c>
      <c r="G4605" s="8" t="s">
        <v>3826</v>
      </c>
      <c r="H4605" s="8" t="s">
        <v>3827</v>
      </c>
      <c r="I4605" s="7" t="str">
        <f>_xlfn.CONCAT(Paper_Reference[[#This Row],[Lvl]:[Paper Description]])</f>
        <v>2NM55S-7036GL5201PRECISION WHITE  60 X 1441102110SW736-6200PRECISION WHITE 62"</v>
      </c>
      <c r="J4605" s="7">
        <f>COUNTIF(Paper_Reference[Duplicate Key],Paper_Reference[[#This Row],[Duplicate Key]])</f>
        <v>1</v>
      </c>
    </row>
    <row r="4606" spans="1:10">
      <c r="A4606" s="7">
        <v>2</v>
      </c>
      <c r="B4606" s="8" t="s">
        <v>4108</v>
      </c>
      <c r="C4606" s="8" t="s">
        <v>3237</v>
      </c>
      <c r="D4606" s="7">
        <v>1</v>
      </c>
      <c r="E4606" s="7">
        <v>10</v>
      </c>
      <c r="F4606" s="7">
        <v>2</v>
      </c>
      <c r="G4606" s="8" t="s">
        <v>3826</v>
      </c>
      <c r="H4606" s="8" t="s">
        <v>3827</v>
      </c>
      <c r="I4606" s="7" t="str">
        <f>_xlfn.CONCAT(Paper_Reference[[#This Row],[Lvl]:[Paper Description]])</f>
        <v>2NM55S-7036MG4000PRECISION WHITE  48 X 1201102110SW736-6200PRECISION WHITE 62"</v>
      </c>
      <c r="J4606" s="7">
        <f>COUNTIF(Paper_Reference[Duplicate Key],Paper_Reference[[#This Row],[Duplicate Key]])</f>
        <v>1</v>
      </c>
    </row>
    <row r="4607" spans="1:10">
      <c r="A4607" s="7">
        <v>2</v>
      </c>
      <c r="B4607" s="8" t="s">
        <v>3730</v>
      </c>
      <c r="C4607" s="8" t="s">
        <v>3261</v>
      </c>
      <c r="D4607" s="7">
        <v>1</v>
      </c>
      <c r="E4607" s="7">
        <v>10</v>
      </c>
      <c r="F4607" s="7">
        <v>2</v>
      </c>
      <c r="G4607" s="8" t="s">
        <v>3230</v>
      </c>
      <c r="H4607" s="8" t="s">
        <v>3231</v>
      </c>
      <c r="I4607" s="7" t="str">
        <f>_xlfn.CONCAT(Paper_Reference[[#This Row],[Lvl]:[Paper Description]])</f>
        <v>2NM55S-7036MG4800PRECISION WHITE  48 X 961102110SW736-5000PRECISION WHITE 43 X 145</v>
      </c>
      <c r="J4607" s="7">
        <f>COUNTIF(Paper_Reference[Duplicate Key],Paper_Reference[[#This Row],[Duplicate Key]])</f>
        <v>1</v>
      </c>
    </row>
    <row r="4608" spans="1:10">
      <c r="A4608" s="7">
        <v>2</v>
      </c>
      <c r="B4608" s="8" t="s">
        <v>4109</v>
      </c>
      <c r="C4608" s="8" t="s">
        <v>3237</v>
      </c>
      <c r="D4608" s="7">
        <v>1</v>
      </c>
      <c r="E4608" s="7">
        <v>10</v>
      </c>
      <c r="F4608" s="7">
        <v>2</v>
      </c>
      <c r="G4608" s="8" t="s">
        <v>3826</v>
      </c>
      <c r="H4608" s="8" t="s">
        <v>3827</v>
      </c>
      <c r="I4608" s="7" t="str">
        <f>_xlfn.CONCAT(Paper_Reference[[#This Row],[Lvl]:[Paper Description]])</f>
        <v>2NM55S-7036N-4000PRECISION WHITE  48 X 1201102110SW736-6200PRECISION WHITE 62"</v>
      </c>
      <c r="J4608" s="7">
        <f>COUNTIF(Paper_Reference[Duplicate Key],Paper_Reference[[#This Row],[Duplicate Key]])</f>
        <v>1</v>
      </c>
    </row>
    <row r="4609" spans="1:10">
      <c r="A4609" s="7">
        <v>2</v>
      </c>
      <c r="B4609" s="8" t="s">
        <v>3731</v>
      </c>
      <c r="C4609" s="8" t="s">
        <v>3261</v>
      </c>
      <c r="D4609" s="7">
        <v>1</v>
      </c>
      <c r="E4609" s="7">
        <v>10</v>
      </c>
      <c r="F4609" s="7">
        <v>2</v>
      </c>
      <c r="G4609" s="8" t="s">
        <v>3230</v>
      </c>
      <c r="H4609" s="8" t="s">
        <v>3231</v>
      </c>
      <c r="I4609" s="7" t="str">
        <f>_xlfn.CONCAT(Paper_Reference[[#This Row],[Lvl]:[Paper Description]])</f>
        <v>2NM55S-7036N-4800PRECISION WHITE  48 X 961102110SW736-5000PRECISION WHITE 43 X 145</v>
      </c>
      <c r="J4609" s="7">
        <f>COUNTIF(Paper_Reference[Duplicate Key],Paper_Reference[[#This Row],[Duplicate Key]])</f>
        <v>1</v>
      </c>
    </row>
    <row r="4610" spans="1:10">
      <c r="A4610" s="7">
        <v>2</v>
      </c>
      <c r="B4610" s="8" t="s">
        <v>3732</v>
      </c>
      <c r="C4610" s="8" t="s">
        <v>3261</v>
      </c>
      <c r="D4610" s="7">
        <v>1</v>
      </c>
      <c r="E4610" s="7">
        <v>10</v>
      </c>
      <c r="F4610" s="7">
        <v>2</v>
      </c>
      <c r="G4610" s="8" t="s">
        <v>3230</v>
      </c>
      <c r="H4610" s="8" t="s">
        <v>3231</v>
      </c>
      <c r="I4610" s="7" t="str">
        <f>_xlfn.CONCAT(Paper_Reference[[#This Row],[Lvl]:[Paper Description]])</f>
        <v>2NM55S-7036N-4801PRECISION WHITE  48 X 961102110SW736-5000PRECISION WHITE 43 X 145</v>
      </c>
      <c r="J4610" s="7">
        <f>COUNTIF(Paper_Reference[Duplicate Key],Paper_Reference[[#This Row],[Duplicate Key]])</f>
        <v>1</v>
      </c>
    </row>
    <row r="4611" spans="1:10">
      <c r="A4611" s="7">
        <v>2</v>
      </c>
      <c r="B4611" s="8" t="s">
        <v>3733</v>
      </c>
      <c r="C4611" s="8" t="s">
        <v>3301</v>
      </c>
      <c r="D4611" s="7">
        <v>1</v>
      </c>
      <c r="E4611" s="7">
        <v>10</v>
      </c>
      <c r="F4611" s="7">
        <v>2</v>
      </c>
      <c r="G4611" s="8" t="s">
        <v>3230</v>
      </c>
      <c r="H4611" s="8" t="s">
        <v>3231</v>
      </c>
      <c r="I4611" s="7" t="str">
        <f>_xlfn.CONCAT(Paper_Reference[[#This Row],[Lvl]:[Paper Description]])</f>
        <v>2NM55S-7036SD3200PRECISION WHITE  36 X 1441102110SW736-5000PRECISION WHITE 43 X 145</v>
      </c>
      <c r="J4611" s="7">
        <f>COUNTIF(Paper_Reference[Duplicate Key],Paper_Reference[[#This Row],[Duplicate Key]])</f>
        <v>1</v>
      </c>
    </row>
    <row r="4612" spans="1:10">
      <c r="A4612" s="7">
        <v>2</v>
      </c>
      <c r="B4612" s="8" t="s">
        <v>3734</v>
      </c>
      <c r="C4612" s="8" t="s">
        <v>3299</v>
      </c>
      <c r="D4612" s="7">
        <v>1</v>
      </c>
      <c r="E4612" s="7">
        <v>10</v>
      </c>
      <c r="F4612" s="7">
        <v>2</v>
      </c>
      <c r="G4612" s="8" t="s">
        <v>3230</v>
      </c>
      <c r="H4612" s="8" t="s">
        <v>3231</v>
      </c>
      <c r="I4612" s="7" t="str">
        <f>_xlfn.CONCAT(Paper_Reference[[#This Row],[Lvl]:[Paper Description]])</f>
        <v>2NM55S-7036SD4000PRECISION WHITE  48X1201102110SW736-5000PRECISION WHITE 43 X 145</v>
      </c>
      <c r="J4612" s="7">
        <f>COUNTIF(Paper_Reference[Duplicate Key],Paper_Reference[[#This Row],[Duplicate Key]])</f>
        <v>1</v>
      </c>
    </row>
    <row r="4613" spans="1:10">
      <c r="A4613" s="7">
        <v>2</v>
      </c>
      <c r="B4613" s="8" t="s">
        <v>3735</v>
      </c>
      <c r="C4613" s="8" t="s">
        <v>3297</v>
      </c>
      <c r="D4613" s="7">
        <v>1</v>
      </c>
      <c r="E4613" s="7">
        <v>10</v>
      </c>
      <c r="F4613" s="7">
        <v>2</v>
      </c>
      <c r="G4613" s="8" t="s">
        <v>3230</v>
      </c>
      <c r="H4613" s="8" t="s">
        <v>3231</v>
      </c>
      <c r="I4613" s="7" t="str">
        <f>_xlfn.CONCAT(Paper_Reference[[#This Row],[Lvl]:[Paper Description]])</f>
        <v>2NM55S-7036SD4200PRECISION WHITE  48X1441102110SW736-5000PRECISION WHITE 43 X 145</v>
      </c>
      <c r="J4613" s="7">
        <f>COUNTIF(Paper_Reference[Duplicate Key],Paper_Reference[[#This Row],[Duplicate Key]])</f>
        <v>1</v>
      </c>
    </row>
    <row r="4614" spans="1:10">
      <c r="A4614" s="7">
        <v>2</v>
      </c>
      <c r="B4614" s="8" t="s">
        <v>3736</v>
      </c>
      <c r="C4614" s="8" t="s">
        <v>3261</v>
      </c>
      <c r="D4614" s="7">
        <v>1</v>
      </c>
      <c r="E4614" s="7">
        <v>10</v>
      </c>
      <c r="F4614" s="7">
        <v>2</v>
      </c>
      <c r="G4614" s="8" t="s">
        <v>3230</v>
      </c>
      <c r="H4614" s="8" t="s">
        <v>3231</v>
      </c>
      <c r="I4614" s="7" t="str">
        <f>_xlfn.CONCAT(Paper_Reference[[#This Row],[Lvl]:[Paper Description]])</f>
        <v>2NM55S-7036SD4800PRECISION WHITE  48 X 961102110SW736-5000PRECISION WHITE 43 X 145</v>
      </c>
      <c r="J4614" s="7">
        <f>COUNTIF(Paper_Reference[Duplicate Key],Paper_Reference[[#This Row],[Duplicate Key]])</f>
        <v>1</v>
      </c>
    </row>
    <row r="4615" spans="1:10">
      <c r="A4615" s="7">
        <v>2</v>
      </c>
      <c r="B4615" s="8" t="s">
        <v>3737</v>
      </c>
      <c r="C4615" s="8" t="s">
        <v>3261</v>
      </c>
      <c r="D4615" s="7">
        <v>1</v>
      </c>
      <c r="E4615" s="7">
        <v>10</v>
      </c>
      <c r="F4615" s="7">
        <v>2</v>
      </c>
      <c r="G4615" s="8" t="s">
        <v>3230</v>
      </c>
      <c r="H4615" s="8" t="s">
        <v>3231</v>
      </c>
      <c r="I4615" s="7" t="str">
        <f>_xlfn.CONCAT(Paper_Reference[[#This Row],[Lvl]:[Paper Description]])</f>
        <v>2NM55S-7036SD4803PRECISION WHITE  48 X 961102110SW736-5000PRECISION WHITE 43 X 145</v>
      </c>
      <c r="J4615" s="7">
        <f>COUNTIF(Paper_Reference[Duplicate Key],Paper_Reference[[#This Row],[Duplicate Key]])</f>
        <v>1</v>
      </c>
    </row>
    <row r="4616" spans="1:10">
      <c r="A4616" s="7">
        <v>2</v>
      </c>
      <c r="B4616" s="8" t="s">
        <v>4110</v>
      </c>
      <c r="C4616" s="8" t="s">
        <v>3797</v>
      </c>
      <c r="D4616" s="7">
        <v>1</v>
      </c>
      <c r="E4616" s="7">
        <v>10</v>
      </c>
      <c r="F4616" s="7">
        <v>2</v>
      </c>
      <c r="G4616" s="8" t="s">
        <v>3826</v>
      </c>
      <c r="H4616" s="8" t="s">
        <v>3827</v>
      </c>
      <c r="I4616" s="7" t="str">
        <f>_xlfn.CONCAT(Paper_Reference[[#This Row],[Lvl]:[Paper Description]])</f>
        <v>2NM55S-7036SD5000PRECISION WHITE 60 X 1201102110SW736-6200PRECISION WHITE 62"</v>
      </c>
      <c r="J4616" s="7">
        <f>COUNTIF(Paper_Reference[Duplicate Key],Paper_Reference[[#This Row],[Duplicate Key]])</f>
        <v>1</v>
      </c>
    </row>
    <row r="4617" spans="1:10">
      <c r="A4617" s="7">
        <v>2</v>
      </c>
      <c r="B4617" s="8" t="s">
        <v>4111</v>
      </c>
      <c r="C4617" s="8" t="s">
        <v>3817</v>
      </c>
      <c r="D4617" s="7">
        <v>1</v>
      </c>
      <c r="E4617" s="7">
        <v>10</v>
      </c>
      <c r="F4617" s="7">
        <v>2</v>
      </c>
      <c r="G4617" s="8" t="s">
        <v>3826</v>
      </c>
      <c r="H4617" s="8" t="s">
        <v>3827</v>
      </c>
      <c r="I4617" s="7" t="str">
        <f>_xlfn.CONCAT(Paper_Reference[[#This Row],[Lvl]:[Paper Description]])</f>
        <v>2NM55S-7036SD5200PRECISION WHITE  60X1441102110SW736-6200PRECISION WHITE 62"</v>
      </c>
      <c r="J4617" s="7">
        <f>COUNTIF(Paper_Reference[Duplicate Key],Paper_Reference[[#This Row],[Duplicate Key]])</f>
        <v>1</v>
      </c>
    </row>
    <row r="4618" spans="1:10">
      <c r="A4618" s="7">
        <v>2</v>
      </c>
      <c r="B4618" s="8" t="s">
        <v>4112</v>
      </c>
      <c r="C4618" s="8" t="s">
        <v>3817</v>
      </c>
      <c r="D4618" s="7">
        <v>1</v>
      </c>
      <c r="E4618" s="7">
        <v>10</v>
      </c>
      <c r="F4618" s="7">
        <v>2</v>
      </c>
      <c r="G4618" s="8" t="s">
        <v>3826</v>
      </c>
      <c r="H4618" s="8" t="s">
        <v>3827</v>
      </c>
      <c r="I4618" s="7" t="str">
        <f>_xlfn.CONCAT(Paper_Reference[[#This Row],[Lvl]:[Paper Description]])</f>
        <v>2NM55S-7036SD5201PRECISION WHITE  60X1441102110SW736-6200PRECISION WHITE 62"</v>
      </c>
      <c r="J4618" s="7">
        <f>COUNTIF(Paper_Reference[Duplicate Key],Paper_Reference[[#This Row],[Duplicate Key]])</f>
        <v>1</v>
      </c>
    </row>
    <row r="4619" spans="1:10">
      <c r="A4619" s="7">
        <v>2</v>
      </c>
      <c r="B4619" s="8" t="s">
        <v>3738</v>
      </c>
      <c r="C4619" s="8" t="s">
        <v>3302</v>
      </c>
      <c r="D4619" s="7">
        <v>1</v>
      </c>
      <c r="E4619" s="7">
        <v>10</v>
      </c>
      <c r="F4619" s="7">
        <v>2</v>
      </c>
      <c r="G4619" s="8" t="s">
        <v>3230</v>
      </c>
      <c r="H4619" s="8" t="s">
        <v>3231</v>
      </c>
      <c r="I4619" s="7" t="str">
        <f>_xlfn.CONCAT(Paper_Reference[[#This Row],[Lvl]:[Paper Description]])</f>
        <v>2NM55S-7036SM3001PRECISION WHITE  36 X 1201102110SW736-5000PRECISION WHITE 43 X 145</v>
      </c>
      <c r="J4619" s="7">
        <f>COUNTIF(Paper_Reference[Duplicate Key],Paper_Reference[[#This Row],[Duplicate Key]])</f>
        <v>1</v>
      </c>
    </row>
    <row r="4620" spans="1:10">
      <c r="A4620" s="7">
        <v>2</v>
      </c>
      <c r="B4620" s="8" t="s">
        <v>3739</v>
      </c>
      <c r="C4620" s="8" t="s">
        <v>3299</v>
      </c>
      <c r="D4620" s="7">
        <v>1</v>
      </c>
      <c r="E4620" s="7">
        <v>10</v>
      </c>
      <c r="F4620" s="7">
        <v>2</v>
      </c>
      <c r="G4620" s="8" t="s">
        <v>3230</v>
      </c>
      <c r="H4620" s="8" t="s">
        <v>3231</v>
      </c>
      <c r="I4620" s="7" t="str">
        <f>_xlfn.CONCAT(Paper_Reference[[#This Row],[Lvl]:[Paper Description]])</f>
        <v>2NM55S-7036SM4000PRECISION WHITE  48X1201102110SW736-5000PRECISION WHITE 43 X 145</v>
      </c>
      <c r="J4620" s="7">
        <f>COUNTIF(Paper_Reference[Duplicate Key],Paper_Reference[[#This Row],[Duplicate Key]])</f>
        <v>1</v>
      </c>
    </row>
    <row r="4621" spans="1:10">
      <c r="A4621" s="7">
        <v>2</v>
      </c>
      <c r="B4621" s="8" t="s">
        <v>3740</v>
      </c>
      <c r="C4621" s="8" t="s">
        <v>3261</v>
      </c>
      <c r="D4621" s="7">
        <v>1</v>
      </c>
      <c r="E4621" s="7">
        <v>10</v>
      </c>
      <c r="F4621" s="7">
        <v>2</v>
      </c>
      <c r="G4621" s="8" t="s">
        <v>3230</v>
      </c>
      <c r="H4621" s="8" t="s">
        <v>3231</v>
      </c>
      <c r="I4621" s="7" t="str">
        <f>_xlfn.CONCAT(Paper_Reference[[#This Row],[Lvl]:[Paper Description]])</f>
        <v>2NM55S-7036SM4800PRECISION WHITE  48 X 961102110SW736-5000PRECISION WHITE 43 X 145</v>
      </c>
      <c r="J4621" s="7">
        <f>COUNTIF(Paper_Reference[Duplicate Key],Paper_Reference[[#This Row],[Duplicate Key]])</f>
        <v>1</v>
      </c>
    </row>
    <row r="4622" spans="1:10">
      <c r="A4622" s="7">
        <v>2</v>
      </c>
      <c r="B4622" s="8" t="s">
        <v>3741</v>
      </c>
      <c r="C4622" s="8" t="s">
        <v>3261</v>
      </c>
      <c r="D4622" s="7">
        <v>1</v>
      </c>
      <c r="E4622" s="7">
        <v>10</v>
      </c>
      <c r="F4622" s="7">
        <v>2</v>
      </c>
      <c r="G4622" s="8" t="s">
        <v>3230</v>
      </c>
      <c r="H4622" s="8" t="s">
        <v>3231</v>
      </c>
      <c r="I4622" s="7" t="str">
        <f>_xlfn.CONCAT(Paper_Reference[[#This Row],[Lvl]:[Paper Description]])</f>
        <v>2NM55S-7036SM4803PRECISION WHITE  48 X 961102110SW736-5000PRECISION WHITE 43 X 145</v>
      </c>
      <c r="J4622" s="7">
        <f>COUNTIF(Paper_Reference[Duplicate Key],Paper_Reference[[#This Row],[Duplicate Key]])</f>
        <v>1</v>
      </c>
    </row>
    <row r="4623" spans="1:10">
      <c r="A4623" s="7">
        <v>2</v>
      </c>
      <c r="B4623" s="8" t="s">
        <v>4113</v>
      </c>
      <c r="C4623" s="8" t="s">
        <v>3817</v>
      </c>
      <c r="D4623" s="7">
        <v>1</v>
      </c>
      <c r="E4623" s="7">
        <v>10</v>
      </c>
      <c r="F4623" s="7">
        <v>2</v>
      </c>
      <c r="G4623" s="8" t="s">
        <v>3826</v>
      </c>
      <c r="H4623" s="8" t="s">
        <v>3827</v>
      </c>
      <c r="I4623" s="7" t="str">
        <f>_xlfn.CONCAT(Paper_Reference[[#This Row],[Lvl]:[Paper Description]])</f>
        <v>2NM55S-7036SM5200PRECISION WHITE  60X1441102110SW736-6200PRECISION WHITE 62"</v>
      </c>
      <c r="J4623" s="7">
        <f>COUNTIF(Paper_Reference[Duplicate Key],Paper_Reference[[#This Row],[Duplicate Key]])</f>
        <v>1</v>
      </c>
    </row>
    <row r="4624" spans="1:10">
      <c r="A4624" s="7">
        <v>2</v>
      </c>
      <c r="B4624" s="8" t="s">
        <v>4114</v>
      </c>
      <c r="C4624" s="8" t="s">
        <v>3766</v>
      </c>
      <c r="D4624" s="7">
        <v>1</v>
      </c>
      <c r="E4624" s="7">
        <v>10</v>
      </c>
      <c r="F4624" s="7">
        <v>2</v>
      </c>
      <c r="G4624" s="8" t="s">
        <v>3826</v>
      </c>
      <c r="H4624" s="8" t="s">
        <v>3827</v>
      </c>
      <c r="I4624" s="7" t="str">
        <f>_xlfn.CONCAT(Paper_Reference[[#This Row],[Lvl]:[Paper Description]])</f>
        <v>2NM55S-7036SM5203PRECISION WHITE 60 X 1441102110SW736-6200PRECISION WHITE 62"</v>
      </c>
      <c r="J4624" s="7">
        <f>COUNTIF(Paper_Reference[Duplicate Key],Paper_Reference[[#This Row],[Duplicate Key]])</f>
        <v>1</v>
      </c>
    </row>
    <row r="4625" spans="1:10">
      <c r="A4625" s="7">
        <v>2</v>
      </c>
      <c r="B4625" s="8" t="s">
        <v>3742</v>
      </c>
      <c r="C4625" s="8" t="s">
        <v>3261</v>
      </c>
      <c r="D4625" s="7">
        <v>1</v>
      </c>
      <c r="E4625" s="7">
        <v>10</v>
      </c>
      <c r="F4625" s="7">
        <v>2</v>
      </c>
      <c r="G4625" s="8" t="s">
        <v>3230</v>
      </c>
      <c r="H4625" s="8" t="s">
        <v>3231</v>
      </c>
      <c r="I4625" s="7" t="str">
        <f>_xlfn.CONCAT(Paper_Reference[[#This Row],[Lvl]:[Paper Description]])</f>
        <v>2NM55S-7036TL4800PRECISION WHITE  48 X 961102110SW736-5000PRECISION WHITE 43 X 145</v>
      </c>
      <c r="J4625" s="7">
        <f>COUNTIF(Paper_Reference[Duplicate Key],Paper_Reference[[#This Row],[Duplicate Key]])</f>
        <v>1</v>
      </c>
    </row>
    <row r="4626" spans="1:10">
      <c r="A4626" s="7">
        <v>2</v>
      </c>
      <c r="B4626" s="8" t="s">
        <v>3743</v>
      </c>
      <c r="C4626" s="8" t="s">
        <v>3260</v>
      </c>
      <c r="D4626" s="7">
        <v>1</v>
      </c>
      <c r="E4626" s="7">
        <v>10</v>
      </c>
      <c r="F4626" s="7">
        <v>2</v>
      </c>
      <c r="G4626" s="8" t="s">
        <v>3230</v>
      </c>
      <c r="H4626" s="8" t="s">
        <v>3231</v>
      </c>
      <c r="I4626" s="7" t="str">
        <f>_xlfn.CONCAT(Paper_Reference[[#This Row],[Lvl]:[Paper Description]])</f>
        <v>2NM55S-7036VE4000PRECISION WHITE 48 X 1201102110SW736-5000PRECISION WHITE 43 X 145</v>
      </c>
      <c r="J4626" s="7">
        <f>COUNTIF(Paper_Reference[Duplicate Key],Paper_Reference[[#This Row],[Duplicate Key]])</f>
        <v>1</v>
      </c>
    </row>
    <row r="4627" spans="1:10">
      <c r="A4627" s="7">
        <v>2</v>
      </c>
      <c r="B4627" s="8" t="s">
        <v>5291</v>
      </c>
      <c r="C4627" s="8" t="s">
        <v>4527</v>
      </c>
      <c r="D4627" s="7">
        <v>1</v>
      </c>
      <c r="E4627" s="7">
        <v>10</v>
      </c>
      <c r="F4627" s="7">
        <v>2</v>
      </c>
      <c r="G4627" s="8" t="s">
        <v>4371</v>
      </c>
      <c r="H4627" s="8" t="s">
        <v>4372</v>
      </c>
      <c r="I4627" s="7" t="str">
        <f>_xlfn.CONCAT(Paper_Reference[[#This Row],[Lvl]:[Paper Description]])</f>
        <v>2NM56S-6053SD5200JETT BLACK 60 X 1441102100DS064-6200BLACK</v>
      </c>
      <c r="J4627" s="7">
        <f>COUNTIF(Paper_Reference[Duplicate Key],Paper_Reference[[#This Row],[Duplicate Key]])</f>
        <v>1</v>
      </c>
    </row>
    <row r="4628" spans="1:10">
      <c r="A4628" s="7">
        <v>2</v>
      </c>
      <c r="B4628" s="8" t="s">
        <v>5292</v>
      </c>
      <c r="C4628" s="8" t="s">
        <v>4572</v>
      </c>
      <c r="D4628" s="7">
        <v>1</v>
      </c>
      <c r="E4628" s="7">
        <v>10</v>
      </c>
      <c r="F4628" s="7">
        <v>1</v>
      </c>
      <c r="G4628" s="8" t="s">
        <v>4371</v>
      </c>
      <c r="H4628" s="8" t="s">
        <v>4372</v>
      </c>
      <c r="I4628" s="7" t="str">
        <f>_xlfn.CONCAT(Paper_Reference[[#This Row],[Lvl]:[Paper Description]])</f>
        <v>2NM56VA5002SD5200EASY ELEGANCE 60 X 1441101100DS064-6200BLACK</v>
      </c>
      <c r="J4628" s="7">
        <f>COUNTIF(Paper_Reference[Duplicate Key],Paper_Reference[[#This Row],[Duplicate Key]])</f>
        <v>1</v>
      </c>
    </row>
    <row r="4629" spans="1:10">
      <c r="A4629" s="7">
        <v>2</v>
      </c>
      <c r="B4629" s="8" t="s">
        <v>5293</v>
      </c>
      <c r="C4629" s="8" t="s">
        <v>4573</v>
      </c>
      <c r="D4629" s="7">
        <v>1</v>
      </c>
      <c r="E4629" s="7">
        <v>10</v>
      </c>
      <c r="F4629" s="7">
        <v>1</v>
      </c>
      <c r="G4629" s="8" t="s">
        <v>4371</v>
      </c>
      <c r="H4629" s="8" t="s">
        <v>4372</v>
      </c>
      <c r="I4629" s="7" t="str">
        <f>_xlfn.CONCAT(Paper_Reference[[#This Row],[Lvl]:[Paper Description]])</f>
        <v>2NM56WK0024WE5800PALAZZO  60 X 961101100DS064-6200BLACK</v>
      </c>
      <c r="J4629" s="7">
        <f>COUNTIF(Paper_Reference[Duplicate Key],Paper_Reference[[#This Row],[Duplicate Key]])</f>
        <v>1</v>
      </c>
    </row>
    <row r="4630" spans="1:10">
      <c r="A4630" s="7">
        <v>2</v>
      </c>
      <c r="B4630" s="8" t="s">
        <v>8648</v>
      </c>
      <c r="C4630" s="8" t="s">
        <v>8306</v>
      </c>
      <c r="D4630" s="7">
        <v>1</v>
      </c>
      <c r="E4630" s="7">
        <v>10</v>
      </c>
      <c r="F4630" s="7">
        <v>1</v>
      </c>
      <c r="G4630" s="8" t="s">
        <v>8302</v>
      </c>
      <c r="H4630" s="8" t="s">
        <v>8303</v>
      </c>
      <c r="I4630" s="7" t="str">
        <f>_xlfn.CONCAT(Paper_Reference[[#This Row],[Lvl]:[Paper Description]])</f>
        <v>2NM81SW8130SD5800ICE WHITE 60 X 961101100SW813-6200ICE WHITE</v>
      </c>
      <c r="J4630" s="7">
        <f>COUNTIF(Paper_Reference[Duplicate Key],Paper_Reference[[#This Row],[Duplicate Key]])</f>
        <v>1</v>
      </c>
    </row>
    <row r="4631" spans="1:10">
      <c r="A4631" s="7">
        <v>2</v>
      </c>
      <c r="B4631" s="8" t="s">
        <v>4350</v>
      </c>
      <c r="C4631" s="8" t="s">
        <v>4196</v>
      </c>
      <c r="D4631" s="7">
        <v>1</v>
      </c>
      <c r="E4631" s="7">
        <v>10</v>
      </c>
      <c r="F4631" s="7">
        <v>1</v>
      </c>
      <c r="G4631" s="8" t="s">
        <v>4129</v>
      </c>
      <c r="H4631" s="8" t="s">
        <v>4130</v>
      </c>
      <c r="I4631" s="7" t="str">
        <f>_xlfn.CONCAT(Paper_Reference[[#This Row],[Lvl]:[Paper Description]])</f>
        <v>2NM81WC5581MG4001BLOSSOM CHERRY 48 X 1201101110WC013-6200BLOSSOM CHERRY</v>
      </c>
      <c r="J4631" s="7">
        <f>COUNTIF(Paper_Reference[Duplicate Key],Paper_Reference[[#This Row],[Duplicate Key]])</f>
        <v>1</v>
      </c>
    </row>
    <row r="4632" spans="1:10">
      <c r="A4632" s="7">
        <v>2</v>
      </c>
      <c r="B4632" s="8" t="s">
        <v>4351</v>
      </c>
      <c r="C4632" s="8" t="s">
        <v>4196</v>
      </c>
      <c r="D4632" s="7">
        <v>1</v>
      </c>
      <c r="E4632" s="7">
        <v>10</v>
      </c>
      <c r="F4632" s="7">
        <v>1</v>
      </c>
      <c r="G4632" s="8" t="s">
        <v>4129</v>
      </c>
      <c r="H4632" s="8" t="s">
        <v>4130</v>
      </c>
      <c r="I4632" s="7" t="str">
        <f>_xlfn.CONCAT(Paper_Reference[[#This Row],[Lvl]:[Paper Description]])</f>
        <v>2NM81WC5581N-4000BLOSSOM CHERRY 48 X 1201101110WC013-6200BLOSSOM CHERRY</v>
      </c>
      <c r="J4632" s="7">
        <f>COUNTIF(Paper_Reference[Duplicate Key],Paper_Reference[[#This Row],[Duplicate Key]])</f>
        <v>1</v>
      </c>
    </row>
    <row r="4633" spans="1:10">
      <c r="A4633" s="7">
        <v>2</v>
      </c>
      <c r="B4633" s="8" t="s">
        <v>4352</v>
      </c>
      <c r="C4633" s="8" t="s">
        <v>4196</v>
      </c>
      <c r="D4633" s="7">
        <v>1</v>
      </c>
      <c r="E4633" s="7">
        <v>10</v>
      </c>
      <c r="F4633" s="7">
        <v>1</v>
      </c>
      <c r="G4633" s="8" t="s">
        <v>4129</v>
      </c>
      <c r="H4633" s="8" t="s">
        <v>4130</v>
      </c>
      <c r="I4633" s="7" t="str">
        <f>_xlfn.CONCAT(Paper_Reference[[#This Row],[Lvl]:[Paper Description]])</f>
        <v>2NM81WC5581N-4001BLOSSOM CHERRY 48 X 1201101110WC013-6200BLOSSOM CHERRY</v>
      </c>
      <c r="J4633" s="7">
        <f>COUNTIF(Paper_Reference[Duplicate Key],Paper_Reference[[#This Row],[Duplicate Key]])</f>
        <v>1</v>
      </c>
    </row>
    <row r="4634" spans="1:10">
      <c r="A4634" s="7">
        <v>2</v>
      </c>
      <c r="B4634" s="8" t="s">
        <v>8649</v>
      </c>
      <c r="C4634" s="8" t="s">
        <v>8306</v>
      </c>
      <c r="D4634" s="7">
        <v>1</v>
      </c>
      <c r="E4634" s="7">
        <v>10</v>
      </c>
      <c r="F4634" s="7">
        <v>1</v>
      </c>
      <c r="G4634" s="8" t="s">
        <v>8302</v>
      </c>
      <c r="H4634" s="8" t="s">
        <v>8303</v>
      </c>
      <c r="I4634" s="7" t="str">
        <f>_xlfn.CONCAT(Paper_Reference[[#This Row],[Lvl]:[Paper Description]])</f>
        <v>2NM83SW8130SD5801ICE WHITE 60 X 961101100SW813-6200ICE WHITE</v>
      </c>
      <c r="J4634" s="7">
        <f>COUNTIF(Paper_Reference[Duplicate Key],Paper_Reference[[#This Row],[Duplicate Key]])</f>
        <v>1</v>
      </c>
    </row>
    <row r="4635" spans="1:10">
      <c r="A4635" s="7">
        <v>2</v>
      </c>
      <c r="B4635" s="8" t="s">
        <v>8650</v>
      </c>
      <c r="C4635" s="8" t="s">
        <v>8306</v>
      </c>
      <c r="D4635" s="7">
        <v>1</v>
      </c>
      <c r="E4635" s="7">
        <v>10</v>
      </c>
      <c r="F4635" s="7">
        <v>1</v>
      </c>
      <c r="G4635" s="8" t="s">
        <v>8302</v>
      </c>
      <c r="H4635" s="8" t="s">
        <v>8303</v>
      </c>
      <c r="I4635" s="7" t="str">
        <f>_xlfn.CONCAT(Paper_Reference[[#This Row],[Lvl]:[Paper Description]])</f>
        <v>2NM86SW8130SD5800ICE WHITE 60 X 961101100SW813-6200ICE WHITE</v>
      </c>
      <c r="J4635" s="7">
        <f>COUNTIF(Paper_Reference[Duplicate Key],Paper_Reference[[#This Row],[Duplicate Key]])</f>
        <v>1</v>
      </c>
    </row>
    <row r="4636" spans="1:10">
      <c r="A4636" s="7">
        <v>2</v>
      </c>
      <c r="B4636" s="8" t="s">
        <v>8651</v>
      </c>
      <c r="C4636" s="8" t="s">
        <v>8306</v>
      </c>
      <c r="D4636" s="7">
        <v>1</v>
      </c>
      <c r="E4636" s="7">
        <v>10</v>
      </c>
      <c r="F4636" s="7">
        <v>1</v>
      </c>
      <c r="G4636" s="8" t="s">
        <v>8302</v>
      </c>
      <c r="H4636" s="8" t="s">
        <v>8303</v>
      </c>
      <c r="I4636" s="7" t="str">
        <f>_xlfn.CONCAT(Paper_Reference[[#This Row],[Lvl]:[Paper Description]])</f>
        <v>2NM86SW8130SD5801ICE WHITE 60 X 961101100SW813-6200ICE WHITE</v>
      </c>
      <c r="J4636" s="7">
        <f>COUNTIF(Paper_Reference[Duplicate Key],Paper_Reference[[#This Row],[Duplicate Key]])</f>
        <v>1</v>
      </c>
    </row>
    <row r="4637" spans="1:10">
      <c r="A4637" s="7">
        <v>2</v>
      </c>
      <c r="B4637" s="8" t="s">
        <v>5294</v>
      </c>
      <c r="C4637" s="8" t="s">
        <v>4529</v>
      </c>
      <c r="D4637" s="7">
        <v>1</v>
      </c>
      <c r="E4637" s="7">
        <v>10</v>
      </c>
      <c r="F4637" s="7">
        <v>1</v>
      </c>
      <c r="G4637" s="8" t="s">
        <v>4371</v>
      </c>
      <c r="H4637" s="8" t="s">
        <v>4372</v>
      </c>
      <c r="I4637" s="7" t="str">
        <f>_xlfn.CONCAT(Paper_Reference[[#This Row],[Lvl]:[Paper Description]])</f>
        <v>2NMB1S-6053G-5801JETT BLACK 60 X 961101100DS064-6200BLACK</v>
      </c>
      <c r="J4637" s="7">
        <f>COUNTIF(Paper_Reference[Duplicate Key],Paper_Reference[[#This Row],[Duplicate Key]])</f>
        <v>1</v>
      </c>
    </row>
    <row r="4638" spans="1:10">
      <c r="A4638" s="7">
        <v>2</v>
      </c>
      <c r="B4638" s="8" t="s">
        <v>5295</v>
      </c>
      <c r="C4638" s="8" t="s">
        <v>4529</v>
      </c>
      <c r="D4638" s="7">
        <v>1</v>
      </c>
      <c r="E4638" s="7">
        <v>10</v>
      </c>
      <c r="F4638" s="7">
        <v>1</v>
      </c>
      <c r="G4638" s="8" t="s">
        <v>4371</v>
      </c>
      <c r="H4638" s="8" t="s">
        <v>4372</v>
      </c>
      <c r="I4638" s="7" t="str">
        <f>_xlfn.CONCAT(Paper_Reference[[#This Row],[Lvl]:[Paper Description]])</f>
        <v>2NMB1S-6053GL5801JETT BLACK 60 X 961101100DS064-6200BLACK</v>
      </c>
      <c r="J4638" s="7">
        <f>COUNTIF(Paper_Reference[Duplicate Key],Paper_Reference[[#This Row],[Duplicate Key]])</f>
        <v>1</v>
      </c>
    </row>
    <row r="4639" spans="1:10">
      <c r="A4639" s="7">
        <v>2</v>
      </c>
      <c r="B4639" s="8" t="s">
        <v>3744</v>
      </c>
      <c r="C4639" s="8" t="s">
        <v>3235</v>
      </c>
      <c r="D4639" s="7">
        <v>1</v>
      </c>
      <c r="E4639" s="7">
        <v>10</v>
      </c>
      <c r="F4639" s="7">
        <v>1</v>
      </c>
      <c r="G4639" s="8" t="s">
        <v>3230</v>
      </c>
      <c r="H4639" s="8" t="s">
        <v>3231</v>
      </c>
      <c r="I4639" s="7" t="str">
        <f>_xlfn.CONCAT(Paper_Reference[[#This Row],[Lvl]:[Paper Description]])</f>
        <v>2NMB1S-7036GL4801PRECISION WHITE 48 X 961101110SW736-5000PRECISION WHITE 43 X 145</v>
      </c>
      <c r="J4639" s="7">
        <f>COUNTIF(Paper_Reference[Duplicate Key],Paper_Reference[[#This Row],[Duplicate Key]])</f>
        <v>1</v>
      </c>
    </row>
    <row r="4640" spans="1:10">
      <c r="A4640" s="7">
        <v>2</v>
      </c>
      <c r="B4640" s="8" t="s">
        <v>3745</v>
      </c>
      <c r="C4640" s="8" t="s">
        <v>3235</v>
      </c>
      <c r="D4640" s="7">
        <v>1</v>
      </c>
      <c r="E4640" s="7">
        <v>10</v>
      </c>
      <c r="F4640" s="7">
        <v>1</v>
      </c>
      <c r="G4640" s="8" t="s">
        <v>3230</v>
      </c>
      <c r="H4640" s="8" t="s">
        <v>3231</v>
      </c>
      <c r="I4640" s="7" t="str">
        <f>_xlfn.CONCAT(Paper_Reference[[#This Row],[Lvl]:[Paper Description]])</f>
        <v>2NMB1S-7036GL4804PRECISION WHITE 48 X 961101110SW736-5000PRECISION WHITE 43 X 145</v>
      </c>
      <c r="J4640" s="7">
        <f>COUNTIF(Paper_Reference[Duplicate Key],Paper_Reference[[#This Row],[Duplicate Key]])</f>
        <v>1</v>
      </c>
    </row>
    <row r="4641" spans="1:10">
      <c r="A4641" s="7">
        <v>2</v>
      </c>
      <c r="B4641" s="8" t="s">
        <v>4115</v>
      </c>
      <c r="C4641" s="8" t="s">
        <v>3766</v>
      </c>
      <c r="D4641" s="7">
        <v>1</v>
      </c>
      <c r="E4641" s="7">
        <v>10</v>
      </c>
      <c r="F4641" s="7">
        <v>1</v>
      </c>
      <c r="G4641" s="8" t="s">
        <v>3826</v>
      </c>
      <c r="H4641" s="8" t="s">
        <v>3827</v>
      </c>
      <c r="I4641" s="7" t="str">
        <f>_xlfn.CONCAT(Paper_Reference[[#This Row],[Lvl]:[Paper Description]])</f>
        <v>2NMB1S-7036GL5201PRECISION WHITE 60 X 1441101110SW736-6200PRECISION WHITE 62"</v>
      </c>
      <c r="J4641" s="7">
        <f>COUNTIF(Paper_Reference[Duplicate Key],Paper_Reference[[#This Row],[Duplicate Key]])</f>
        <v>1</v>
      </c>
    </row>
    <row r="4642" spans="1:10">
      <c r="A4642" s="7">
        <v>2</v>
      </c>
      <c r="B4642" s="8" t="s">
        <v>3746</v>
      </c>
      <c r="C4642" s="8" t="s">
        <v>3235</v>
      </c>
      <c r="D4642" s="7">
        <v>1</v>
      </c>
      <c r="E4642" s="7">
        <v>10</v>
      </c>
      <c r="F4642" s="7">
        <v>1</v>
      </c>
      <c r="G4642" s="8" t="s">
        <v>3230</v>
      </c>
      <c r="H4642" s="8" t="s">
        <v>3231</v>
      </c>
      <c r="I4642" s="7" t="str">
        <f>_xlfn.CONCAT(Paper_Reference[[#This Row],[Lvl]:[Paper Description]])</f>
        <v>2NMB1S-7036MB4800PRECISION WHITE 48 X 961101110SW736-5000PRECISION WHITE 43 X 145</v>
      </c>
      <c r="J4642" s="7">
        <f>COUNTIF(Paper_Reference[Duplicate Key],Paper_Reference[[#This Row],[Duplicate Key]])</f>
        <v>1</v>
      </c>
    </row>
    <row r="4643" spans="1:10">
      <c r="A4643" s="7">
        <v>2</v>
      </c>
      <c r="B4643" s="8" t="s">
        <v>4116</v>
      </c>
      <c r="C4643" s="8" t="s">
        <v>3766</v>
      </c>
      <c r="D4643" s="7">
        <v>1</v>
      </c>
      <c r="E4643" s="7">
        <v>10</v>
      </c>
      <c r="F4643" s="7">
        <v>1</v>
      </c>
      <c r="G4643" s="8" t="s">
        <v>3826</v>
      </c>
      <c r="H4643" s="8" t="s">
        <v>3827</v>
      </c>
      <c r="I4643" s="7" t="str">
        <f>_xlfn.CONCAT(Paper_Reference[[#This Row],[Lvl]:[Paper Description]])</f>
        <v>2NMB1S-7036MB5200PRECISION WHITE 60 X 1441101110SW736-6200PRECISION WHITE 62"</v>
      </c>
      <c r="J4643" s="7">
        <f>COUNTIF(Paper_Reference[Duplicate Key],Paper_Reference[[#This Row],[Duplicate Key]])</f>
        <v>1</v>
      </c>
    </row>
    <row r="4644" spans="1:10">
      <c r="A4644" s="7">
        <v>2</v>
      </c>
      <c r="B4644" s="8" t="s">
        <v>7963</v>
      </c>
      <c r="C4644" s="8" t="s">
        <v>5931</v>
      </c>
      <c r="D4644" s="7">
        <v>1</v>
      </c>
      <c r="E4644" s="7">
        <v>10</v>
      </c>
      <c r="F4644" s="7">
        <v>1</v>
      </c>
      <c r="G4644" s="8" t="s">
        <v>6710</v>
      </c>
      <c r="H4644" s="8" t="s">
        <v>5691</v>
      </c>
      <c r="I4644" s="7" t="str">
        <f>_xlfn.CONCAT(Paper_Reference[[#This Row],[Lvl]:[Paper Description]])</f>
        <v>2NMB1SW8440G-3201FROSTY WHITE M/B 36 X 1441101100DS009-5000FROSTY WHITE</v>
      </c>
      <c r="J4644" s="7">
        <f>COUNTIF(Paper_Reference[Duplicate Key],Paper_Reference[[#This Row],[Duplicate Key]])</f>
        <v>1</v>
      </c>
    </row>
    <row r="4645" spans="1:10">
      <c r="A4645" s="7">
        <v>2</v>
      </c>
      <c r="B4645" s="8" t="s">
        <v>7964</v>
      </c>
      <c r="C4645" s="8" t="s">
        <v>7084</v>
      </c>
      <c r="D4645" s="7">
        <v>1</v>
      </c>
      <c r="E4645" s="7">
        <v>10</v>
      </c>
      <c r="F4645" s="7">
        <v>1</v>
      </c>
      <c r="G4645" s="8" t="s">
        <v>6710</v>
      </c>
      <c r="H4645" s="8" t="s">
        <v>5691</v>
      </c>
      <c r="I4645" s="7" t="str">
        <f>_xlfn.CONCAT(Paper_Reference[[#This Row],[Lvl]:[Paper Description]])</f>
        <v>2NMB1SW8440G-4801FROSTY WHITE M/B 48 X 961101100DS009-5000FROSTY WHITE</v>
      </c>
      <c r="J4645" s="7">
        <f>COUNTIF(Paper_Reference[Duplicate Key],Paper_Reference[[#This Row],[Duplicate Key]])</f>
        <v>1</v>
      </c>
    </row>
    <row r="4646" spans="1:10">
      <c r="A4646" s="7">
        <v>2</v>
      </c>
      <c r="B4646" s="8" t="s">
        <v>6506</v>
      </c>
      <c r="C4646" s="8" t="s">
        <v>5692</v>
      </c>
      <c r="D4646" s="7">
        <v>1</v>
      </c>
      <c r="E4646" s="7">
        <v>10</v>
      </c>
      <c r="F4646" s="7">
        <v>1</v>
      </c>
      <c r="G4646" s="8" t="s">
        <v>5690</v>
      </c>
      <c r="H4646" s="8" t="s">
        <v>5691</v>
      </c>
      <c r="I4646" s="7" t="str">
        <f>_xlfn.CONCAT(Paper_Reference[[#This Row],[Lvl]:[Paper Description]])</f>
        <v>2NMB1SW8440G-5201FROSTY WHITE 60 X 1441101100DS009-6200FROSTY WHITE</v>
      </c>
      <c r="J4646" s="7">
        <f>COUNTIF(Paper_Reference[Duplicate Key],Paper_Reference[[#This Row],[Duplicate Key]])</f>
        <v>1</v>
      </c>
    </row>
    <row r="4647" spans="1:10">
      <c r="A4647" s="7">
        <v>3</v>
      </c>
      <c r="B4647" s="8" t="s">
        <v>7965</v>
      </c>
      <c r="C4647" s="8" t="s">
        <v>7123</v>
      </c>
      <c r="D4647" s="7">
        <v>1</v>
      </c>
      <c r="E4647" s="7">
        <v>55</v>
      </c>
      <c r="F4647" s="7">
        <v>0.1</v>
      </c>
      <c r="G4647" s="8" t="s">
        <v>6710</v>
      </c>
      <c r="H4647" s="8" t="s">
        <v>5691</v>
      </c>
      <c r="I4647" s="7" t="str">
        <f>_xlfn.CONCAT(Paper_Reference[[#This Row],[Lvl]:[Paper Description]])</f>
        <v>3NMB1SW8440G-CZS1FROSTY WHITE M/B 18 1/8X18 1/81550.1100DS009-5000FROSTY WHITE</v>
      </c>
      <c r="J4647" s="7">
        <f>COUNTIF(Paper_Reference[Duplicate Key],Paper_Reference[[#This Row],[Duplicate Key]])</f>
        <v>1</v>
      </c>
    </row>
    <row r="4648" spans="1:10">
      <c r="A4648" s="7">
        <v>2</v>
      </c>
      <c r="B4648" s="8" t="s">
        <v>7967</v>
      </c>
      <c r="C4648" s="8" t="s">
        <v>7084</v>
      </c>
      <c r="D4648" s="7">
        <v>1</v>
      </c>
      <c r="E4648" s="7">
        <v>10</v>
      </c>
      <c r="F4648" s="7">
        <v>1</v>
      </c>
      <c r="G4648" s="8" t="s">
        <v>6710</v>
      </c>
      <c r="H4648" s="8" t="s">
        <v>5691</v>
      </c>
      <c r="I4648" s="7" t="str">
        <f>_xlfn.CONCAT(Paper_Reference[[#This Row],[Lvl]:[Paper Description]])</f>
        <v>2NMB1SW8440GL4801FROSTY WHITE M/B 48 X 961101100DS009-5000FROSTY WHITE</v>
      </c>
      <c r="J4648" s="7">
        <f>COUNTIF(Paper_Reference[Duplicate Key],Paper_Reference[[#This Row],[Duplicate Key]])</f>
        <v>1</v>
      </c>
    </row>
    <row r="4649" spans="1:10">
      <c r="A4649" s="7">
        <v>2</v>
      </c>
      <c r="B4649" s="8" t="s">
        <v>6507</v>
      </c>
      <c r="C4649" s="8" t="s">
        <v>5692</v>
      </c>
      <c r="D4649" s="7">
        <v>1</v>
      </c>
      <c r="E4649" s="7">
        <v>10</v>
      </c>
      <c r="F4649" s="7">
        <v>1</v>
      </c>
      <c r="G4649" s="8" t="s">
        <v>5690</v>
      </c>
      <c r="H4649" s="8" t="s">
        <v>5691</v>
      </c>
      <c r="I4649" s="7" t="str">
        <f>_xlfn.CONCAT(Paper_Reference[[#This Row],[Lvl]:[Paper Description]])</f>
        <v>2NMB1SW8440GL5201FROSTY WHITE 60 X 1441101100DS009-6200FROSTY WHITE</v>
      </c>
      <c r="J4649" s="7">
        <f>COUNTIF(Paper_Reference[Duplicate Key],Paper_Reference[[#This Row],[Duplicate Key]])</f>
        <v>1</v>
      </c>
    </row>
    <row r="4650" spans="1:10">
      <c r="A4650" s="7">
        <v>3</v>
      </c>
      <c r="B4650" s="8" t="s">
        <v>7966</v>
      </c>
      <c r="C4650" s="8" t="s">
        <v>7124</v>
      </c>
      <c r="D4650" s="7">
        <v>1</v>
      </c>
      <c r="E4650" s="7">
        <v>55</v>
      </c>
      <c r="F4650" s="7">
        <v>0.2</v>
      </c>
      <c r="G4650" s="8" t="s">
        <v>6710</v>
      </c>
      <c r="H4650" s="8" t="s">
        <v>5691</v>
      </c>
      <c r="I4650" s="7" t="str">
        <f>_xlfn.CONCAT(Paper_Reference[[#This Row],[Lvl]:[Paper Description]])</f>
        <v>3NMB1SW8440G-XLN1FROSTY WHITE M/B 36 1/2X18 1/81550.2100DS009-5000FROSTY WHITE</v>
      </c>
      <c r="J4650" s="7">
        <f>COUNTIF(Paper_Reference[Duplicate Key],Paper_Reference[[#This Row],[Duplicate Key]])</f>
        <v>1</v>
      </c>
    </row>
    <row r="4651" spans="1:10">
      <c r="A4651" s="7">
        <v>2</v>
      </c>
      <c r="B4651" s="8" t="s">
        <v>3747</v>
      </c>
      <c r="C4651" s="8" t="s">
        <v>3235</v>
      </c>
      <c r="D4651" s="7">
        <v>1</v>
      </c>
      <c r="E4651" s="7">
        <v>10</v>
      </c>
      <c r="F4651" s="7">
        <v>1</v>
      </c>
      <c r="G4651" s="8" t="s">
        <v>3230</v>
      </c>
      <c r="H4651" s="8" t="s">
        <v>3231</v>
      </c>
      <c r="I4651" s="7" t="str">
        <f>_xlfn.CONCAT(Paper_Reference[[#This Row],[Lvl]:[Paper Description]])</f>
        <v>2NMB2S-7036GL4801PRECISION WHITE 48 X 961101110SW736-5000PRECISION WHITE 43 X 145</v>
      </c>
      <c r="J4651" s="7">
        <f>COUNTIF(Paper_Reference[Duplicate Key],Paper_Reference[[#This Row],[Duplicate Key]])</f>
        <v>1</v>
      </c>
    </row>
    <row r="4652" spans="1:10">
      <c r="A4652" s="7">
        <v>2</v>
      </c>
      <c r="B4652" s="8" t="s">
        <v>7968</v>
      </c>
      <c r="C4652" s="8" t="s">
        <v>5931</v>
      </c>
      <c r="D4652" s="7">
        <v>1</v>
      </c>
      <c r="E4652" s="7">
        <v>10</v>
      </c>
      <c r="F4652" s="7">
        <v>1</v>
      </c>
      <c r="G4652" s="8" t="s">
        <v>6710</v>
      </c>
      <c r="H4652" s="8" t="s">
        <v>5691</v>
      </c>
      <c r="I4652" s="7" t="str">
        <f>_xlfn.CONCAT(Paper_Reference[[#This Row],[Lvl]:[Paper Description]])</f>
        <v>2NMB2SW8440G-3201FROSTY WHITE M/B 36 X 1441101100DS009-5000FROSTY WHITE</v>
      </c>
      <c r="J4652" s="7">
        <f>COUNTIF(Paper_Reference[Duplicate Key],Paper_Reference[[#This Row],[Duplicate Key]])</f>
        <v>1</v>
      </c>
    </row>
    <row r="4653" spans="1:10">
      <c r="A4653" s="7">
        <v>2</v>
      </c>
      <c r="B4653" s="8" t="s">
        <v>7969</v>
      </c>
      <c r="C4653" s="8" t="s">
        <v>7083</v>
      </c>
      <c r="D4653" s="7">
        <v>1</v>
      </c>
      <c r="E4653" s="7">
        <v>10</v>
      </c>
      <c r="F4653" s="7">
        <v>1</v>
      </c>
      <c r="G4653" s="8" t="s">
        <v>6710</v>
      </c>
      <c r="H4653" s="8" t="s">
        <v>5691</v>
      </c>
      <c r="I4653" s="7" t="str">
        <f>_xlfn.CONCAT(Paper_Reference[[#This Row],[Lvl]:[Paper Description]])</f>
        <v>2NMB2SW8440G-4001FROSTY WHITE M/B 48 X 1201101100DS009-5000FROSTY WHITE</v>
      </c>
      <c r="J4653" s="7">
        <f>COUNTIF(Paper_Reference[Duplicate Key],Paper_Reference[[#This Row],[Duplicate Key]])</f>
        <v>1</v>
      </c>
    </row>
    <row r="4654" spans="1:10">
      <c r="A4654" s="7">
        <v>2</v>
      </c>
      <c r="B4654" s="8" t="s">
        <v>7970</v>
      </c>
      <c r="C4654" s="8" t="s">
        <v>7084</v>
      </c>
      <c r="D4654" s="7">
        <v>1</v>
      </c>
      <c r="E4654" s="7">
        <v>10</v>
      </c>
      <c r="F4654" s="7">
        <v>1</v>
      </c>
      <c r="G4654" s="8" t="s">
        <v>6710</v>
      </c>
      <c r="H4654" s="8" t="s">
        <v>5691</v>
      </c>
      <c r="I4654" s="7" t="str">
        <f>_xlfn.CONCAT(Paper_Reference[[#This Row],[Lvl]:[Paper Description]])</f>
        <v>2NMB2SW8440G-4801FROSTY WHITE M/B 48 X 961101100DS009-5000FROSTY WHITE</v>
      </c>
      <c r="J4654" s="7">
        <f>COUNTIF(Paper_Reference[Duplicate Key],Paper_Reference[[#This Row],[Duplicate Key]])</f>
        <v>1</v>
      </c>
    </row>
    <row r="4655" spans="1:10">
      <c r="A4655" s="7">
        <v>3</v>
      </c>
      <c r="B4655" s="8" t="s">
        <v>7971</v>
      </c>
      <c r="C4655" s="8" t="s">
        <v>7123</v>
      </c>
      <c r="D4655" s="7">
        <v>1</v>
      </c>
      <c r="E4655" s="7">
        <v>55</v>
      </c>
      <c r="F4655" s="7">
        <v>0.1</v>
      </c>
      <c r="G4655" s="8" t="s">
        <v>6710</v>
      </c>
      <c r="H4655" s="8" t="s">
        <v>5691</v>
      </c>
      <c r="I4655" s="7" t="str">
        <f>_xlfn.CONCAT(Paper_Reference[[#This Row],[Lvl]:[Paper Description]])</f>
        <v>3NMB2SW8440G-CZS1FROSTY WHITE M/B 18 1/8X18 1/81550.1100DS009-5000FROSTY WHITE</v>
      </c>
      <c r="J4655" s="7">
        <f>COUNTIF(Paper_Reference[Duplicate Key],Paper_Reference[[#This Row],[Duplicate Key]])</f>
        <v>1</v>
      </c>
    </row>
    <row r="4656" spans="1:10">
      <c r="A4656" s="7">
        <v>2</v>
      </c>
      <c r="B4656" s="8" t="s">
        <v>7973</v>
      </c>
      <c r="C4656" s="8" t="s">
        <v>7083</v>
      </c>
      <c r="D4656" s="7">
        <v>1</v>
      </c>
      <c r="E4656" s="7">
        <v>10</v>
      </c>
      <c r="F4656" s="7">
        <v>1</v>
      </c>
      <c r="G4656" s="8" t="s">
        <v>6710</v>
      </c>
      <c r="H4656" s="8" t="s">
        <v>5691</v>
      </c>
      <c r="I4656" s="7" t="str">
        <f>_xlfn.CONCAT(Paper_Reference[[#This Row],[Lvl]:[Paper Description]])</f>
        <v>2NMB2SW8440GL4001FROSTY WHITE M/B 48 X 1201101100DS009-5000FROSTY WHITE</v>
      </c>
      <c r="J4656" s="7">
        <f>COUNTIF(Paper_Reference[Duplicate Key],Paper_Reference[[#This Row],[Duplicate Key]])</f>
        <v>1</v>
      </c>
    </row>
    <row r="4657" spans="1:10">
      <c r="A4657" s="7">
        <v>2</v>
      </c>
      <c r="B4657" s="8" t="s">
        <v>7974</v>
      </c>
      <c r="C4657" s="8" t="s">
        <v>7084</v>
      </c>
      <c r="D4657" s="7">
        <v>1</v>
      </c>
      <c r="E4657" s="7">
        <v>10</v>
      </c>
      <c r="F4657" s="7">
        <v>1</v>
      </c>
      <c r="G4657" s="8" t="s">
        <v>6710</v>
      </c>
      <c r="H4657" s="8" t="s">
        <v>5691</v>
      </c>
      <c r="I4657" s="7" t="str">
        <f>_xlfn.CONCAT(Paper_Reference[[#This Row],[Lvl]:[Paper Description]])</f>
        <v>2NMB2SW8440GL4801FROSTY WHITE M/B 48 X 961101100DS009-5000FROSTY WHITE</v>
      </c>
      <c r="J4657" s="7">
        <f>COUNTIF(Paper_Reference[Duplicate Key],Paper_Reference[[#This Row],[Duplicate Key]])</f>
        <v>1</v>
      </c>
    </row>
    <row r="4658" spans="1:10">
      <c r="A4658" s="7">
        <v>3</v>
      </c>
      <c r="B4658" s="8" t="s">
        <v>7972</v>
      </c>
      <c r="C4658" s="8" t="s">
        <v>7124</v>
      </c>
      <c r="D4658" s="7">
        <v>1</v>
      </c>
      <c r="E4658" s="7">
        <v>55</v>
      </c>
      <c r="F4658" s="7">
        <v>0.2</v>
      </c>
      <c r="G4658" s="8" t="s">
        <v>6710</v>
      </c>
      <c r="H4658" s="8" t="s">
        <v>5691</v>
      </c>
      <c r="I4658" s="7" t="str">
        <f>_xlfn.CONCAT(Paper_Reference[[#This Row],[Lvl]:[Paper Description]])</f>
        <v>3NMB2SW8440G-XLN1FROSTY WHITE M/B 36 1/2X18 1/81550.2100DS009-5000FROSTY WHITE</v>
      </c>
      <c r="J4658" s="7">
        <f>COUNTIF(Paper_Reference[Duplicate Key],Paper_Reference[[#This Row],[Duplicate Key]])</f>
        <v>1</v>
      </c>
    </row>
    <row r="4659" spans="1:10">
      <c r="A4659" s="7">
        <v>2</v>
      </c>
      <c r="B4659" s="8" t="s">
        <v>3748</v>
      </c>
      <c r="C4659" s="8" t="s">
        <v>3235</v>
      </c>
      <c r="D4659" s="7">
        <v>1</v>
      </c>
      <c r="E4659" s="7">
        <v>10</v>
      </c>
      <c r="F4659" s="7">
        <v>2</v>
      </c>
      <c r="G4659" s="8" t="s">
        <v>3230</v>
      </c>
      <c r="H4659" s="8" t="s">
        <v>3231</v>
      </c>
      <c r="I4659" s="7" t="str">
        <f>_xlfn.CONCAT(Paper_Reference[[#This Row],[Lvl]:[Paper Description]])</f>
        <v>2NMD6S-7036T-4802PRECISION WHITE 48 X 961102110SW736-5000PRECISION WHITE 43 X 145</v>
      </c>
      <c r="J4659" s="7">
        <f>COUNTIF(Paper_Reference[Duplicate Key],Paper_Reference[[#This Row],[Duplicate Key]])</f>
        <v>1</v>
      </c>
    </row>
    <row r="4660" spans="1:10">
      <c r="A4660" s="7">
        <v>2</v>
      </c>
      <c r="B4660" s="8" t="s">
        <v>6508</v>
      </c>
      <c r="C4660" s="8" t="s">
        <v>5983</v>
      </c>
      <c r="D4660" s="7">
        <v>1</v>
      </c>
      <c r="E4660" s="7">
        <v>10</v>
      </c>
      <c r="F4660" s="7">
        <v>1</v>
      </c>
      <c r="G4660" s="8" t="s">
        <v>5690</v>
      </c>
      <c r="H4660" s="8" t="s">
        <v>5691</v>
      </c>
      <c r="I4660" s="7" t="str">
        <f>_xlfn.CONCAT(Paper_Reference[[#This Row],[Lvl]:[Paper Description]])</f>
        <v>2NMJ1ND0058G-5001HOSPITAL NATURE 60 X 1201101100DS009-6200FROSTY WHITE</v>
      </c>
      <c r="J4660" s="7">
        <f>COUNTIF(Paper_Reference[Duplicate Key],Paper_Reference[[#This Row],[Duplicate Key]])</f>
        <v>1</v>
      </c>
    </row>
    <row r="4661" spans="1:10">
      <c r="A4661" s="7">
        <v>2</v>
      </c>
      <c r="B4661" s="8" t="s">
        <v>6509</v>
      </c>
      <c r="C4661" s="8" t="s">
        <v>5984</v>
      </c>
      <c r="D4661" s="7">
        <v>1</v>
      </c>
      <c r="E4661" s="7">
        <v>10</v>
      </c>
      <c r="F4661" s="7">
        <v>1</v>
      </c>
      <c r="G4661" s="8" t="s">
        <v>5690</v>
      </c>
      <c r="H4661" s="8" t="s">
        <v>5691</v>
      </c>
      <c r="I4661" s="7" t="str">
        <f>_xlfn.CONCAT(Paper_Reference[[#This Row],[Lvl]:[Paper Description]])</f>
        <v>2NMJ1ND0059G-5001HOSPITAL COMMUNICATE 60X1201101100DS009-6200FROSTY WHITE</v>
      </c>
      <c r="J4661" s="7">
        <f>COUNTIF(Paper_Reference[Duplicate Key],Paper_Reference[[#This Row],[Duplicate Key]])</f>
        <v>1</v>
      </c>
    </row>
    <row r="4662" spans="1:10">
      <c r="A4662" s="7">
        <v>2</v>
      </c>
      <c r="B4662" s="8" t="s">
        <v>1900</v>
      </c>
      <c r="C4662" s="8" t="s">
        <v>1470</v>
      </c>
      <c r="D4662" s="7">
        <v>1</v>
      </c>
      <c r="E4662" s="7">
        <v>10</v>
      </c>
      <c r="F4662" s="7">
        <v>1</v>
      </c>
      <c r="G4662" s="8" t="s">
        <v>1241</v>
      </c>
      <c r="H4662" s="8" t="s">
        <v>1242</v>
      </c>
      <c r="I4662" s="7" t="str">
        <f>_xlfn.CONCAT(Paper_Reference[[#This Row],[Lvl]:[Paper Description]])</f>
        <v>2NMJ1ND0117GL4001CAPU A102 FACILITY MAP 48 X 12110110000020-5000Premium Inkjet MPK 9653</v>
      </c>
      <c r="J4662" s="7">
        <f>COUNTIF(Paper_Reference[Duplicate Key],Paper_Reference[[#This Row],[Duplicate Key]])</f>
        <v>1</v>
      </c>
    </row>
    <row r="4663" spans="1:10">
      <c r="A4663" s="7">
        <v>2</v>
      </c>
      <c r="B4663" s="8" t="s">
        <v>1901</v>
      </c>
      <c r="C4663" s="8" t="s">
        <v>1471</v>
      </c>
      <c r="D4663" s="7">
        <v>1</v>
      </c>
      <c r="E4663" s="7">
        <v>10</v>
      </c>
      <c r="F4663" s="7">
        <v>1</v>
      </c>
      <c r="G4663" s="8" t="s">
        <v>1241</v>
      </c>
      <c r="H4663" s="8" t="s">
        <v>1242</v>
      </c>
      <c r="I4663" s="7" t="str">
        <f>_xlfn.CONCAT(Paper_Reference[[#This Row],[Lvl]:[Paper Description]])</f>
        <v>2NMJ1ND0118GL4001CAPU A103 CON MAP 48 X 120110110000020-5000Premium Inkjet MPK 9653</v>
      </c>
      <c r="J4663" s="7">
        <f>COUNTIF(Paper_Reference[Duplicate Key],Paper_Reference[[#This Row],[Duplicate Key]])</f>
        <v>1</v>
      </c>
    </row>
    <row r="4664" spans="1:10">
      <c r="A4664" s="7">
        <v>2</v>
      </c>
      <c r="B4664" s="8" t="s">
        <v>1902</v>
      </c>
      <c r="C4664" s="8" t="s">
        <v>1472</v>
      </c>
      <c r="D4664" s="7">
        <v>1</v>
      </c>
      <c r="E4664" s="7">
        <v>10</v>
      </c>
      <c r="F4664" s="7">
        <v>1</v>
      </c>
      <c r="G4664" s="8" t="s">
        <v>1241</v>
      </c>
      <c r="H4664" s="8" t="s">
        <v>1242</v>
      </c>
      <c r="I4664" s="7" t="str">
        <f>_xlfn.CONCAT(Paper_Reference[[#This Row],[Lvl]:[Paper Description]])</f>
        <v>2NMJ1ND0119GL3001CAPU A106-107 CON MAP 36 X 120110110000020-5000Premium Inkjet MPK 9653</v>
      </c>
      <c r="J4664" s="7">
        <f>COUNTIF(Paper_Reference[Duplicate Key],Paper_Reference[[#This Row],[Duplicate Key]])</f>
        <v>1</v>
      </c>
    </row>
    <row r="4665" spans="1:10">
      <c r="A4665" s="7">
        <v>2</v>
      </c>
      <c r="B4665" s="8" t="s">
        <v>7975</v>
      </c>
      <c r="C4665" s="8" t="s">
        <v>7125</v>
      </c>
      <c r="D4665" s="7">
        <v>1</v>
      </c>
      <c r="E4665" s="7">
        <v>10</v>
      </c>
      <c r="F4665" s="7">
        <v>1</v>
      </c>
      <c r="G4665" s="8" t="s">
        <v>6710</v>
      </c>
      <c r="H4665" s="8" t="s">
        <v>5691</v>
      </c>
      <c r="I4665" s="7" t="str">
        <f>_xlfn.CONCAT(Paper_Reference[[#This Row],[Lvl]:[Paper Description]])</f>
        <v>2NMJ2ND0041G-4800JDT DIGITAL M/B 48 X 961101100DS009-5000FROSTY WHITE</v>
      </c>
      <c r="J4665" s="7">
        <f>COUNTIF(Paper_Reference[Duplicate Key],Paper_Reference[[#This Row],[Duplicate Key]])</f>
        <v>1</v>
      </c>
    </row>
    <row r="4666" spans="1:10">
      <c r="A4666" s="7">
        <v>2</v>
      </c>
      <c r="B4666" s="8" t="s">
        <v>6510</v>
      </c>
      <c r="C4666" s="8" t="s">
        <v>5985</v>
      </c>
      <c r="D4666" s="7">
        <v>1</v>
      </c>
      <c r="E4666" s="7">
        <v>10</v>
      </c>
      <c r="F4666" s="7">
        <v>1</v>
      </c>
      <c r="G4666" s="8" t="s">
        <v>5690</v>
      </c>
      <c r="H4666" s="8" t="s">
        <v>5691</v>
      </c>
      <c r="I4666" s="7" t="str">
        <f>_xlfn.CONCAT(Paper_Reference[[#This Row],[Lvl]:[Paper Description]])</f>
        <v>2NMJ2ND0048G-5200KAPIOLANI M/B 60 X 1441101100DS009-6200FROSTY WHITE</v>
      </c>
      <c r="J4666" s="7">
        <f>COUNTIF(Paper_Reference[Duplicate Key],Paper_Reference[[#This Row],[Duplicate Key]])</f>
        <v>1</v>
      </c>
    </row>
    <row r="4667" spans="1:10">
      <c r="A4667" s="7">
        <v>2</v>
      </c>
      <c r="B4667" s="8" t="s">
        <v>6511</v>
      </c>
      <c r="C4667" s="8" t="s">
        <v>5986</v>
      </c>
      <c r="D4667" s="7">
        <v>1</v>
      </c>
      <c r="E4667" s="7">
        <v>10</v>
      </c>
      <c r="F4667" s="7">
        <v>1</v>
      </c>
      <c r="G4667" s="8" t="s">
        <v>5690</v>
      </c>
      <c r="H4667" s="8" t="s">
        <v>5691</v>
      </c>
      <c r="I4667" s="7" t="str">
        <f>_xlfn.CONCAT(Paper_Reference[[#This Row],[Lvl]:[Paper Description]])</f>
        <v>2NMJ2ND0048G-5800KAPIOLANI M/B 60 X 961101100DS009-6200FROSTY WHITE</v>
      </c>
      <c r="J4667" s="7">
        <f>COUNTIF(Paper_Reference[Duplicate Key],Paper_Reference[[#This Row],[Duplicate Key]])</f>
        <v>1</v>
      </c>
    </row>
    <row r="4668" spans="1:10">
      <c r="A4668" s="7">
        <v>2</v>
      </c>
      <c r="B4668" s="8" t="s">
        <v>6512</v>
      </c>
      <c r="C4668" s="8" t="s">
        <v>5987</v>
      </c>
      <c r="D4668" s="7">
        <v>1</v>
      </c>
      <c r="E4668" s="7">
        <v>10</v>
      </c>
      <c r="F4668" s="7">
        <v>1</v>
      </c>
      <c r="G4668" s="8" t="s">
        <v>5690</v>
      </c>
      <c r="H4668" s="8" t="s">
        <v>5691</v>
      </c>
      <c r="I4668" s="7" t="str">
        <f>_xlfn.CONCAT(Paper_Reference[[#This Row],[Lvl]:[Paper Description]])</f>
        <v>2NMJ2ND0049E-5200KAPIOLANI FLOWERS M/B 60 X 1441101100DS009-6200FROSTY WHITE</v>
      </c>
      <c r="J4668" s="7">
        <f>COUNTIF(Paper_Reference[Duplicate Key],Paper_Reference[[#This Row],[Duplicate Key]])</f>
        <v>1</v>
      </c>
    </row>
    <row r="4669" spans="1:10">
      <c r="A4669" s="7">
        <v>2</v>
      </c>
      <c r="B4669" s="8" t="s">
        <v>1903</v>
      </c>
      <c r="C4669" s="8" t="s">
        <v>1473</v>
      </c>
      <c r="D4669" s="7">
        <v>1</v>
      </c>
      <c r="E4669" s="7">
        <v>10</v>
      </c>
      <c r="F4669" s="7">
        <v>1</v>
      </c>
      <c r="G4669" s="8" t="s">
        <v>1241</v>
      </c>
      <c r="H4669" s="8" t="s">
        <v>1242</v>
      </c>
      <c r="I4669" s="7" t="str">
        <f>_xlfn.CONCAT(Paper_Reference[[#This Row],[Lvl]:[Paper Description]])</f>
        <v>2NMJ2ND0101GL4801KELLER M/B 48 X 96110110000020-5000Premium Inkjet MPK 9653</v>
      </c>
      <c r="J4669" s="7">
        <f>COUNTIF(Paper_Reference[Duplicate Key],Paper_Reference[[#This Row],[Duplicate Key]])</f>
        <v>1</v>
      </c>
    </row>
    <row r="4670" spans="1:10">
      <c r="A4670" s="7">
        <v>2</v>
      </c>
      <c r="B4670" s="8" t="s">
        <v>1904</v>
      </c>
      <c r="C4670" s="8" t="s">
        <v>1474</v>
      </c>
      <c r="D4670" s="7">
        <v>1</v>
      </c>
      <c r="E4670" s="7">
        <v>10</v>
      </c>
      <c r="F4670" s="7">
        <v>1</v>
      </c>
      <c r="G4670" s="8" t="s">
        <v>1241</v>
      </c>
      <c r="H4670" s="8" t="s">
        <v>1242</v>
      </c>
      <c r="I4670" s="7" t="str">
        <f>_xlfn.CONCAT(Paper_Reference[[#This Row],[Lvl]:[Paper Description]])</f>
        <v>2NMJ2ND0120GL3001MILLWORK ONE CAB DOOR 36X120110110000020-5000Premium Inkjet MPK 9653</v>
      </c>
      <c r="J4670" s="7">
        <f>COUNTIF(Paper_Reference[Duplicate Key],Paper_Reference[[#This Row],[Duplicate Key]])</f>
        <v>1</v>
      </c>
    </row>
    <row r="4671" spans="1:10">
      <c r="A4671" s="7">
        <v>2</v>
      </c>
      <c r="B4671" s="8" t="s">
        <v>3749</v>
      </c>
      <c r="C4671" s="8" t="s">
        <v>3303</v>
      </c>
      <c r="D4671" s="7">
        <v>1</v>
      </c>
      <c r="E4671" s="7">
        <v>10</v>
      </c>
      <c r="F4671" s="7">
        <v>2</v>
      </c>
      <c r="G4671" s="8" t="s">
        <v>3230</v>
      </c>
      <c r="H4671" s="8" t="s">
        <v>3231</v>
      </c>
      <c r="I4671" s="7" t="str">
        <f>_xlfn.CONCAT(Paper_Reference[[#This Row],[Lvl]:[Paper Description]])</f>
        <v>2NMM5S-7036GL4801PRECISION WHITE  M/B 48 X 961102110SW736-5000PRECISION WHITE 43 X 145</v>
      </c>
      <c r="J4671" s="7">
        <f>COUNTIF(Paper_Reference[Duplicate Key],Paper_Reference[[#This Row],[Duplicate Key]])</f>
        <v>1</v>
      </c>
    </row>
    <row r="4672" spans="1:10">
      <c r="A4672" s="7">
        <v>3</v>
      </c>
      <c r="B4672" s="8" t="s">
        <v>6513</v>
      </c>
      <c r="C4672" s="8" t="s">
        <v>5988</v>
      </c>
      <c r="D4672" s="7">
        <v>1</v>
      </c>
      <c r="E4672" s="7">
        <v>91</v>
      </c>
      <c r="F4672" s="7">
        <v>2</v>
      </c>
      <c r="G4672" s="8" t="s">
        <v>5690</v>
      </c>
      <c r="H4672" s="8" t="s">
        <v>5691</v>
      </c>
      <c r="I4672" s="7" t="str">
        <f>_xlfn.CONCAT(Paper_Reference[[#This Row],[Lvl]:[Paper Description]])</f>
        <v>3NUGMADLANEPK1NUG MAD LANE PACK1912100DS009-6200FROSTY WHITE</v>
      </c>
      <c r="J4672" s="7">
        <f>COUNTIF(Paper_Reference[Duplicate Key],Paper_Reference[[#This Row],[Duplicate Key]])</f>
        <v>1</v>
      </c>
    </row>
    <row r="4673" spans="1:10">
      <c r="A4673" s="7">
        <v>3</v>
      </c>
      <c r="B4673" s="8" t="s">
        <v>6513</v>
      </c>
      <c r="C4673" s="8" t="s">
        <v>5988</v>
      </c>
      <c r="D4673" s="7">
        <v>1</v>
      </c>
      <c r="E4673" s="7">
        <v>91</v>
      </c>
      <c r="F4673" s="7">
        <v>4</v>
      </c>
      <c r="G4673" s="8" t="s">
        <v>6710</v>
      </c>
      <c r="H4673" s="8" t="s">
        <v>5691</v>
      </c>
      <c r="I4673" s="7" t="str">
        <f>_xlfn.CONCAT(Paper_Reference[[#This Row],[Lvl]:[Paper Description]])</f>
        <v>3NUGMADLANEPK1NUG MAD LANE PACK1914100DS009-5000FROSTY WHITE</v>
      </c>
      <c r="J4673" s="7">
        <f>COUNTIF(Paper_Reference[Duplicate Key],Paper_Reference[[#This Row],[Duplicate Key]])</f>
        <v>1</v>
      </c>
    </row>
    <row r="4674" spans="1:10">
      <c r="A4674" s="7">
        <v>3</v>
      </c>
      <c r="B4674" s="8" t="s">
        <v>6514</v>
      </c>
      <c r="C4674" s="8" t="s">
        <v>5989</v>
      </c>
      <c r="D4674" s="7">
        <v>1</v>
      </c>
      <c r="E4674" s="7">
        <v>91</v>
      </c>
      <c r="F4674" s="7">
        <v>1</v>
      </c>
      <c r="G4674" s="8" t="s">
        <v>5690</v>
      </c>
      <c r="H4674" s="8" t="s">
        <v>5691</v>
      </c>
      <c r="I4674" s="7" t="str">
        <f>_xlfn.CONCAT(Paper_Reference[[#This Row],[Lvl]:[Paper Description]])</f>
        <v>3NYDIG00APPK1NEW YORK UV TWO LANE PACK1911100DS009-6200FROSTY WHITE</v>
      </c>
      <c r="J4674" s="7">
        <f>COUNTIF(Paper_Reference[Duplicate Key],Paper_Reference[[#This Row],[Duplicate Key]])</f>
        <v>1</v>
      </c>
    </row>
    <row r="4675" spans="1:10">
      <c r="A4675" s="7">
        <v>3</v>
      </c>
      <c r="B4675" s="8" t="s">
        <v>6514</v>
      </c>
      <c r="C4675" s="8" t="s">
        <v>5989</v>
      </c>
      <c r="D4675" s="7">
        <v>1</v>
      </c>
      <c r="E4675" s="7">
        <v>91</v>
      </c>
      <c r="F4675" s="7">
        <v>6</v>
      </c>
      <c r="G4675" s="8" t="s">
        <v>6710</v>
      </c>
      <c r="H4675" s="8" t="s">
        <v>5691</v>
      </c>
      <c r="I4675" s="7" t="str">
        <f>_xlfn.CONCAT(Paper_Reference[[#This Row],[Lvl]:[Paper Description]])</f>
        <v>3NYDIG00APPK1NEW YORK UV TWO LANE PACK1916100DS009-5000FROSTY WHITE</v>
      </c>
      <c r="J4675" s="7">
        <f>COUNTIF(Paper_Reference[Duplicate Key],Paper_Reference[[#This Row],[Duplicate Key]])</f>
        <v>1</v>
      </c>
    </row>
    <row r="4676" spans="1:10">
      <c r="A4676" s="7">
        <v>3</v>
      </c>
      <c r="B4676" s="8" t="s">
        <v>475</v>
      </c>
      <c r="C4676" s="8" t="s">
        <v>251</v>
      </c>
      <c r="D4676" s="7">
        <v>1</v>
      </c>
      <c r="E4676" s="7">
        <v>91</v>
      </c>
      <c r="F4676" s="7">
        <v>1</v>
      </c>
      <c r="G4676" s="8" t="s">
        <v>214</v>
      </c>
      <c r="H4676" s="8" t="s">
        <v>423</v>
      </c>
      <c r="I4676" s="7" t="str">
        <f>_xlfn.CONCAT(Paper_Reference[[#This Row],[Lvl]:[Paper Description]])</f>
        <v>3OCEANGIDAPK01OCEAN UV PRO LEFT LANE PACK1911100WM991-4300MAPLE LANE PRINT (W)</v>
      </c>
      <c r="J4676" s="7">
        <f>COUNTIF(Paper_Reference[Duplicate Key],Paper_Reference[[#This Row],[Duplicate Key]])</f>
        <v>1</v>
      </c>
    </row>
    <row r="4677" spans="1:10">
      <c r="A4677" s="7">
        <v>4</v>
      </c>
      <c r="B4677" s="8" t="s">
        <v>475</v>
      </c>
      <c r="C4677" s="8" t="s">
        <v>251</v>
      </c>
      <c r="D4677" s="7">
        <v>1</v>
      </c>
      <c r="E4677" s="7">
        <v>91</v>
      </c>
      <c r="F4677" s="7">
        <v>1</v>
      </c>
      <c r="G4677" s="8" t="s">
        <v>216</v>
      </c>
      <c r="H4677" s="8" t="s">
        <v>424</v>
      </c>
      <c r="I4677" s="7" t="str">
        <f>_xlfn.CONCAT(Paper_Reference[[#This Row],[Lvl]:[Paper Description]])</f>
        <v>4OCEANGIDAPK01OCEAN UV PRO LEFT LANE PACK1911100WM981-6200LEFT BRUNSWICK MAPLE (W)</v>
      </c>
      <c r="J4677" s="7">
        <f>COUNTIF(Paper_Reference[Duplicate Key],Paper_Reference[[#This Row],[Duplicate Key]])</f>
        <v>1</v>
      </c>
    </row>
    <row r="4678" spans="1:10">
      <c r="A4678" s="7">
        <v>4</v>
      </c>
      <c r="B4678" s="8" t="s">
        <v>475</v>
      </c>
      <c r="C4678" s="8" t="s">
        <v>251</v>
      </c>
      <c r="D4678" s="7">
        <v>1</v>
      </c>
      <c r="E4678" s="7">
        <v>91</v>
      </c>
      <c r="F4678" s="7">
        <v>1</v>
      </c>
      <c r="G4678" s="8" t="s">
        <v>214</v>
      </c>
      <c r="H4678" s="8" t="s">
        <v>423</v>
      </c>
      <c r="I4678" s="7" t="str">
        <f>_xlfn.CONCAT(Paper_Reference[[#This Row],[Lvl]:[Paper Description]])</f>
        <v>4OCEANGIDAPK01OCEAN UV PRO LEFT LANE PACK1911100WM991-4300MAPLE LANE PRINT (W)</v>
      </c>
      <c r="J4678" s="7">
        <f>COUNTIF(Paper_Reference[Duplicate Key],Paper_Reference[[#This Row],[Duplicate Key]])</f>
        <v>1</v>
      </c>
    </row>
    <row r="4679" spans="1:10">
      <c r="A4679" s="7">
        <v>3</v>
      </c>
      <c r="B4679" s="8" t="s">
        <v>476</v>
      </c>
      <c r="C4679" s="8" t="s">
        <v>252</v>
      </c>
      <c r="D4679" s="7">
        <v>1</v>
      </c>
      <c r="E4679" s="7">
        <v>91</v>
      </c>
      <c r="F4679" s="7">
        <v>1</v>
      </c>
      <c r="G4679" s="8" t="s">
        <v>214</v>
      </c>
      <c r="H4679" s="8" t="s">
        <v>423</v>
      </c>
      <c r="I4679" s="7" t="str">
        <f>_xlfn.CONCAT(Paper_Reference[[#This Row],[Lvl]:[Paper Description]])</f>
        <v>3OCEANGIDAPK02OCEAN GID 2 LANE PACK1911100WM991-4300MAPLE LANE PRINT (W)</v>
      </c>
      <c r="J4679" s="7">
        <f>COUNTIF(Paper_Reference[Duplicate Key],Paper_Reference[[#This Row],[Duplicate Key]])</f>
        <v>1</v>
      </c>
    </row>
    <row r="4680" spans="1:10">
      <c r="A4680" s="7">
        <v>4</v>
      </c>
      <c r="B4680" s="8" t="s">
        <v>476</v>
      </c>
      <c r="C4680" s="8" t="s">
        <v>252</v>
      </c>
      <c r="D4680" s="7">
        <v>1</v>
      </c>
      <c r="E4680" s="7">
        <v>91</v>
      </c>
      <c r="F4680" s="7">
        <v>1</v>
      </c>
      <c r="G4680" s="8" t="s">
        <v>215</v>
      </c>
      <c r="H4680" s="8" t="s">
        <v>422</v>
      </c>
      <c r="I4680" s="7" t="str">
        <f>_xlfn.CONCAT(Paper_Reference[[#This Row],[Lvl]:[Paper Description]])</f>
        <v>4OCEANGIDAPK02OCEAN GID 2 LANE PACK1911100WM101-6200RIGHT BRUNSWICK MAPLE (W)</v>
      </c>
      <c r="J4680" s="7">
        <f>COUNTIF(Paper_Reference[Duplicate Key],Paper_Reference[[#This Row],[Duplicate Key]])</f>
        <v>1</v>
      </c>
    </row>
    <row r="4681" spans="1:10">
      <c r="A4681" s="7">
        <v>4</v>
      </c>
      <c r="B4681" s="8" t="s">
        <v>476</v>
      </c>
      <c r="C4681" s="8" t="s">
        <v>252</v>
      </c>
      <c r="D4681" s="7">
        <v>1</v>
      </c>
      <c r="E4681" s="7">
        <v>91</v>
      </c>
      <c r="F4681" s="7">
        <v>1</v>
      </c>
      <c r="G4681" s="8" t="s">
        <v>216</v>
      </c>
      <c r="H4681" s="8" t="s">
        <v>424</v>
      </c>
      <c r="I4681" s="7" t="str">
        <f>_xlfn.CONCAT(Paper_Reference[[#This Row],[Lvl]:[Paper Description]])</f>
        <v>4OCEANGIDAPK02OCEAN GID 2 LANE PACK1911100WM981-6200LEFT BRUNSWICK MAPLE (W)</v>
      </c>
      <c r="J4681" s="7">
        <f>COUNTIF(Paper_Reference[Duplicate Key],Paper_Reference[[#This Row],[Duplicate Key]])</f>
        <v>1</v>
      </c>
    </row>
    <row r="4682" spans="1:10">
      <c r="A4682" s="7">
        <v>4</v>
      </c>
      <c r="B4682" s="8" t="s">
        <v>476</v>
      </c>
      <c r="C4682" s="8" t="s">
        <v>252</v>
      </c>
      <c r="D4682" s="7">
        <v>1</v>
      </c>
      <c r="E4682" s="7">
        <v>91</v>
      </c>
      <c r="F4682" s="7">
        <v>1</v>
      </c>
      <c r="G4682" s="8" t="s">
        <v>214</v>
      </c>
      <c r="H4682" s="8" t="s">
        <v>423</v>
      </c>
      <c r="I4682" s="7" t="str">
        <f>_xlfn.CONCAT(Paper_Reference[[#This Row],[Lvl]:[Paper Description]])</f>
        <v>4OCEANGIDAPK02OCEAN GID 2 LANE PACK1911100WM991-4300MAPLE LANE PRINT (W)</v>
      </c>
      <c r="J4682" s="7">
        <f>COUNTIF(Paper_Reference[Duplicate Key],Paper_Reference[[#This Row],[Duplicate Key]])</f>
        <v>1</v>
      </c>
    </row>
    <row r="4683" spans="1:10">
      <c r="A4683" s="7">
        <v>3</v>
      </c>
      <c r="B4683" s="8" t="s">
        <v>545</v>
      </c>
      <c r="C4683" s="8" t="s">
        <v>317</v>
      </c>
      <c r="D4683" s="7">
        <v>1</v>
      </c>
      <c r="E4683" s="7">
        <v>91</v>
      </c>
      <c r="F4683" s="7">
        <v>1</v>
      </c>
      <c r="G4683" s="8" t="s">
        <v>218</v>
      </c>
      <c r="H4683" s="8" t="s">
        <v>426</v>
      </c>
      <c r="I4683" s="7" t="str">
        <f>_xlfn.CONCAT(Paper_Reference[[#This Row],[Lvl]:[Paper Description]])</f>
        <v>3OCEANGIDAPK03OCEAN SYN 2 LANE PACK1911100WM311-4300IQ MAPLE LANE LH</v>
      </c>
      <c r="J4683" s="7">
        <f>COUNTIF(Paper_Reference[Duplicate Key],Paper_Reference[[#This Row],[Duplicate Key]])</f>
        <v>1</v>
      </c>
    </row>
    <row r="4684" spans="1:10">
      <c r="A4684" s="7">
        <v>3</v>
      </c>
      <c r="B4684" s="8" t="s">
        <v>545</v>
      </c>
      <c r="C4684" s="8" t="s">
        <v>317</v>
      </c>
      <c r="D4684" s="7">
        <v>1</v>
      </c>
      <c r="E4684" s="7">
        <v>91</v>
      </c>
      <c r="F4684" s="7">
        <v>1</v>
      </c>
      <c r="G4684" s="8" t="s">
        <v>219</v>
      </c>
      <c r="H4684" s="8" t="s">
        <v>427</v>
      </c>
      <c r="I4684" s="7" t="str">
        <f>_xlfn.CONCAT(Paper_Reference[[#This Row],[Lvl]:[Paper Description]])</f>
        <v>3OCEANGIDAPK03OCEAN SYN 2 LANE PACK1911100WM321-4300IQ MAPLE LANE RH</v>
      </c>
      <c r="J4684" s="7">
        <f>COUNTIF(Paper_Reference[Duplicate Key],Paper_Reference[[#This Row],[Duplicate Key]])</f>
        <v>1</v>
      </c>
    </row>
    <row r="4685" spans="1:10">
      <c r="A4685" s="7">
        <v>4</v>
      </c>
      <c r="B4685" s="8" t="s">
        <v>545</v>
      </c>
      <c r="C4685" s="8" t="s">
        <v>317</v>
      </c>
      <c r="D4685" s="7">
        <v>1</v>
      </c>
      <c r="E4685" s="7">
        <v>91</v>
      </c>
      <c r="F4685" s="7">
        <v>1</v>
      </c>
      <c r="G4685" s="8" t="s">
        <v>217</v>
      </c>
      <c r="H4685" s="8" t="s">
        <v>3229</v>
      </c>
      <c r="I4685" s="7" t="str">
        <f>_xlfn.CONCAT(Paper_Reference[[#This Row],[Lvl]:[Paper Description]])</f>
        <v>4OCEANGIDAPK03OCEAN SYN 2 LANE PACK1911100WM301-6200IQ MAPLE LANE (C) 60 X 144</v>
      </c>
      <c r="J4685" s="7">
        <f>COUNTIF(Paper_Reference[Duplicate Key],Paper_Reference[[#This Row],[Duplicate Key]])</f>
        <v>1</v>
      </c>
    </row>
    <row r="4686" spans="1:10">
      <c r="A4686" s="7">
        <v>4</v>
      </c>
      <c r="B4686" s="8" t="s">
        <v>545</v>
      </c>
      <c r="C4686" s="8" t="s">
        <v>317</v>
      </c>
      <c r="D4686" s="7">
        <v>1</v>
      </c>
      <c r="E4686" s="7">
        <v>91</v>
      </c>
      <c r="F4686" s="7">
        <v>1</v>
      </c>
      <c r="G4686" s="8" t="s">
        <v>217</v>
      </c>
      <c r="H4686" s="8" t="s">
        <v>425</v>
      </c>
      <c r="I4686" s="7" t="str">
        <f>_xlfn.CONCAT(Paper_Reference[[#This Row],[Lvl]:[Paper Description]])</f>
        <v>4OCEANGIDAPK03OCEAN SYN 2 LANE PACK1911100WM301-6200IQ MAPLE LANE (CENTER)</v>
      </c>
      <c r="J4686" s="7">
        <f>COUNTIF(Paper_Reference[Duplicate Key],Paper_Reference[[#This Row],[Duplicate Key]])</f>
        <v>1</v>
      </c>
    </row>
    <row r="4687" spans="1:10">
      <c r="A4687" s="7">
        <v>4</v>
      </c>
      <c r="B4687" s="8" t="s">
        <v>545</v>
      </c>
      <c r="C4687" s="8" t="s">
        <v>317</v>
      </c>
      <c r="D4687" s="7">
        <v>1</v>
      </c>
      <c r="E4687" s="7">
        <v>91</v>
      </c>
      <c r="F4687" s="7">
        <v>1</v>
      </c>
      <c r="G4687" s="8" t="s">
        <v>218</v>
      </c>
      <c r="H4687" s="8" t="s">
        <v>426</v>
      </c>
      <c r="I4687" s="7" t="str">
        <f>_xlfn.CONCAT(Paper_Reference[[#This Row],[Lvl]:[Paper Description]])</f>
        <v>4OCEANGIDAPK03OCEAN SYN 2 LANE PACK1911100WM311-4300IQ MAPLE LANE LH</v>
      </c>
      <c r="J4687" s="7">
        <f>COUNTIF(Paper_Reference[Duplicate Key],Paper_Reference[[#This Row],[Duplicate Key]])</f>
        <v>1</v>
      </c>
    </row>
    <row r="4688" spans="1:10">
      <c r="A4688" s="7">
        <v>4</v>
      </c>
      <c r="B4688" s="8" t="s">
        <v>545</v>
      </c>
      <c r="C4688" s="8" t="s">
        <v>317</v>
      </c>
      <c r="D4688" s="7">
        <v>1</v>
      </c>
      <c r="E4688" s="7">
        <v>91</v>
      </c>
      <c r="F4688" s="7">
        <v>1</v>
      </c>
      <c r="G4688" s="8" t="s">
        <v>219</v>
      </c>
      <c r="H4688" s="8" t="s">
        <v>427</v>
      </c>
      <c r="I4688" s="7" t="str">
        <f>_xlfn.CONCAT(Paper_Reference[[#This Row],[Lvl]:[Paper Description]])</f>
        <v>4OCEANGIDAPK03OCEAN SYN 2 LANE PACK1911100WM321-4300IQ MAPLE LANE RH</v>
      </c>
      <c r="J4688" s="7">
        <f>COUNTIF(Paper_Reference[Duplicate Key],Paper_Reference[[#This Row],[Duplicate Key]])</f>
        <v>1</v>
      </c>
    </row>
    <row r="4689" spans="1:10">
      <c r="A4689" s="7">
        <v>3</v>
      </c>
      <c r="B4689" s="8" t="s">
        <v>546</v>
      </c>
      <c r="C4689" s="8" t="s">
        <v>318</v>
      </c>
      <c r="D4689" s="7">
        <v>1</v>
      </c>
      <c r="E4689" s="7">
        <v>91</v>
      </c>
      <c r="F4689" s="7">
        <v>1</v>
      </c>
      <c r="G4689" s="8" t="s">
        <v>218</v>
      </c>
      <c r="H4689" s="8" t="s">
        <v>426</v>
      </c>
      <c r="I4689" s="7" t="str">
        <f>_xlfn.CONCAT(Paper_Reference[[#This Row],[Lvl]:[Paper Description]])</f>
        <v>3OCEANGIDAPK04OCEAN SYN 2 LP FULL GLOW1911100WM311-4300IQ MAPLE LANE LH</v>
      </c>
      <c r="J4689" s="7">
        <f>COUNTIF(Paper_Reference[Duplicate Key],Paper_Reference[[#This Row],[Duplicate Key]])</f>
        <v>1</v>
      </c>
    </row>
    <row r="4690" spans="1:10">
      <c r="A4690" s="7">
        <v>3</v>
      </c>
      <c r="B4690" s="8" t="s">
        <v>546</v>
      </c>
      <c r="C4690" s="8" t="s">
        <v>318</v>
      </c>
      <c r="D4690" s="7">
        <v>1</v>
      </c>
      <c r="E4690" s="7">
        <v>91</v>
      </c>
      <c r="F4690" s="7">
        <v>1</v>
      </c>
      <c r="G4690" s="8" t="s">
        <v>219</v>
      </c>
      <c r="H4690" s="8" t="s">
        <v>427</v>
      </c>
      <c r="I4690" s="7" t="str">
        <f>_xlfn.CONCAT(Paper_Reference[[#This Row],[Lvl]:[Paper Description]])</f>
        <v>3OCEANGIDAPK04OCEAN SYN 2 LP FULL GLOW1911100WM321-4300IQ MAPLE LANE RH</v>
      </c>
      <c r="J4690" s="7">
        <f>COUNTIF(Paper_Reference[Duplicate Key],Paper_Reference[[#This Row],[Duplicate Key]])</f>
        <v>1</v>
      </c>
    </row>
    <row r="4691" spans="1:10">
      <c r="A4691" s="7">
        <v>4</v>
      </c>
      <c r="B4691" s="8" t="s">
        <v>546</v>
      </c>
      <c r="C4691" s="8" t="s">
        <v>318</v>
      </c>
      <c r="D4691" s="7">
        <v>1</v>
      </c>
      <c r="E4691" s="7">
        <v>91</v>
      </c>
      <c r="F4691" s="7">
        <v>1</v>
      </c>
      <c r="G4691" s="8" t="s">
        <v>217</v>
      </c>
      <c r="H4691" s="8" t="s">
        <v>3229</v>
      </c>
      <c r="I4691" s="7" t="str">
        <f>_xlfn.CONCAT(Paper_Reference[[#This Row],[Lvl]:[Paper Description]])</f>
        <v>4OCEANGIDAPK04OCEAN SYN 2 LP FULL GLOW1911100WM301-6200IQ MAPLE LANE (C) 60 X 144</v>
      </c>
      <c r="J4691" s="7">
        <f>COUNTIF(Paper_Reference[Duplicate Key],Paper_Reference[[#This Row],[Duplicate Key]])</f>
        <v>1</v>
      </c>
    </row>
    <row r="4692" spans="1:10">
      <c r="A4692" s="7">
        <v>4</v>
      </c>
      <c r="B4692" s="8" t="s">
        <v>546</v>
      </c>
      <c r="C4692" s="8" t="s">
        <v>318</v>
      </c>
      <c r="D4692" s="7">
        <v>1</v>
      </c>
      <c r="E4692" s="7">
        <v>91</v>
      </c>
      <c r="F4692" s="7">
        <v>1</v>
      </c>
      <c r="G4692" s="8" t="s">
        <v>217</v>
      </c>
      <c r="H4692" s="8" t="s">
        <v>425</v>
      </c>
      <c r="I4692" s="7" t="str">
        <f>_xlfn.CONCAT(Paper_Reference[[#This Row],[Lvl]:[Paper Description]])</f>
        <v>4OCEANGIDAPK04OCEAN SYN 2 LP FULL GLOW1911100WM301-6200IQ MAPLE LANE (CENTER)</v>
      </c>
      <c r="J4692" s="7">
        <f>COUNTIF(Paper_Reference[Duplicate Key],Paper_Reference[[#This Row],[Duplicate Key]])</f>
        <v>1</v>
      </c>
    </row>
    <row r="4693" spans="1:10">
      <c r="A4693" s="7">
        <v>4</v>
      </c>
      <c r="B4693" s="8" t="s">
        <v>546</v>
      </c>
      <c r="C4693" s="8" t="s">
        <v>318</v>
      </c>
      <c r="D4693" s="7">
        <v>1</v>
      </c>
      <c r="E4693" s="7">
        <v>91</v>
      </c>
      <c r="F4693" s="7">
        <v>1</v>
      </c>
      <c r="G4693" s="8" t="s">
        <v>218</v>
      </c>
      <c r="H4693" s="8" t="s">
        <v>426</v>
      </c>
      <c r="I4693" s="7" t="str">
        <f>_xlfn.CONCAT(Paper_Reference[[#This Row],[Lvl]:[Paper Description]])</f>
        <v>4OCEANGIDAPK04OCEAN SYN 2 LP FULL GLOW1911100WM311-4300IQ MAPLE LANE LH</v>
      </c>
      <c r="J4693" s="7">
        <f>COUNTIF(Paper_Reference[Duplicate Key],Paper_Reference[[#This Row],[Duplicate Key]])</f>
        <v>1</v>
      </c>
    </row>
    <row r="4694" spans="1:10">
      <c r="A4694" s="7">
        <v>4</v>
      </c>
      <c r="B4694" s="8" t="s">
        <v>546</v>
      </c>
      <c r="C4694" s="8" t="s">
        <v>318</v>
      </c>
      <c r="D4694" s="7">
        <v>1</v>
      </c>
      <c r="E4694" s="7">
        <v>91</v>
      </c>
      <c r="F4694" s="7">
        <v>1</v>
      </c>
      <c r="G4694" s="8" t="s">
        <v>219</v>
      </c>
      <c r="H4694" s="8" t="s">
        <v>427</v>
      </c>
      <c r="I4694" s="7" t="str">
        <f>_xlfn.CONCAT(Paper_Reference[[#This Row],[Lvl]:[Paper Description]])</f>
        <v>4OCEANGIDAPK04OCEAN SYN 2 LP FULL GLOW1911100WM321-4300IQ MAPLE LANE RH</v>
      </c>
      <c r="J4694" s="7">
        <f>COUNTIF(Paper_Reference[Duplicate Key],Paper_Reference[[#This Row],[Duplicate Key]])</f>
        <v>1</v>
      </c>
    </row>
    <row r="4695" spans="1:10">
      <c r="A4695" s="7">
        <v>3</v>
      </c>
      <c r="B4695" s="8" t="s">
        <v>477</v>
      </c>
      <c r="C4695" s="8" t="s">
        <v>253</v>
      </c>
      <c r="D4695" s="7">
        <v>1</v>
      </c>
      <c r="E4695" s="7">
        <v>91</v>
      </c>
      <c r="F4695" s="7">
        <v>1</v>
      </c>
      <c r="G4695" s="8" t="s">
        <v>214</v>
      </c>
      <c r="H4695" s="8" t="s">
        <v>423</v>
      </c>
      <c r="I4695" s="7" t="str">
        <f>_xlfn.CONCAT(Paper_Reference[[#This Row],[Lvl]:[Paper Description]])</f>
        <v>3OCEANGIDAPK05OCEAN FULL GLOW 2 LP1911100WM991-4300MAPLE LANE PRINT (W)</v>
      </c>
      <c r="J4695" s="7">
        <f>COUNTIF(Paper_Reference[Duplicate Key],Paper_Reference[[#This Row],[Duplicate Key]])</f>
        <v>1</v>
      </c>
    </row>
    <row r="4696" spans="1:10">
      <c r="A4696" s="7">
        <v>4</v>
      </c>
      <c r="B4696" s="8" t="s">
        <v>477</v>
      </c>
      <c r="C4696" s="8" t="s">
        <v>253</v>
      </c>
      <c r="D4696" s="7">
        <v>1</v>
      </c>
      <c r="E4696" s="7">
        <v>91</v>
      </c>
      <c r="F4696" s="7">
        <v>1</v>
      </c>
      <c r="G4696" s="8" t="s">
        <v>215</v>
      </c>
      <c r="H4696" s="8" t="s">
        <v>422</v>
      </c>
      <c r="I4696" s="7" t="str">
        <f>_xlfn.CONCAT(Paper_Reference[[#This Row],[Lvl]:[Paper Description]])</f>
        <v>4OCEANGIDAPK05OCEAN FULL GLOW 2 LP1911100WM101-6200RIGHT BRUNSWICK MAPLE (W)</v>
      </c>
      <c r="J4696" s="7">
        <f>COUNTIF(Paper_Reference[Duplicate Key],Paper_Reference[[#This Row],[Duplicate Key]])</f>
        <v>1</v>
      </c>
    </row>
    <row r="4697" spans="1:10">
      <c r="A4697" s="7">
        <v>4</v>
      </c>
      <c r="B4697" s="8" t="s">
        <v>477</v>
      </c>
      <c r="C4697" s="8" t="s">
        <v>253</v>
      </c>
      <c r="D4697" s="7">
        <v>1</v>
      </c>
      <c r="E4697" s="7">
        <v>91</v>
      </c>
      <c r="F4697" s="7">
        <v>1</v>
      </c>
      <c r="G4697" s="8" t="s">
        <v>216</v>
      </c>
      <c r="H4697" s="8" t="s">
        <v>424</v>
      </c>
      <c r="I4697" s="7" t="str">
        <f>_xlfn.CONCAT(Paper_Reference[[#This Row],[Lvl]:[Paper Description]])</f>
        <v>4OCEANGIDAPK05OCEAN FULL GLOW 2 LP1911100WM981-6200LEFT BRUNSWICK MAPLE (W)</v>
      </c>
      <c r="J4697" s="7">
        <f>COUNTIF(Paper_Reference[Duplicate Key],Paper_Reference[[#This Row],[Duplicate Key]])</f>
        <v>1</v>
      </c>
    </row>
    <row r="4698" spans="1:10">
      <c r="A4698" s="7">
        <v>4</v>
      </c>
      <c r="B4698" s="8" t="s">
        <v>477</v>
      </c>
      <c r="C4698" s="8" t="s">
        <v>253</v>
      </c>
      <c r="D4698" s="7">
        <v>1</v>
      </c>
      <c r="E4698" s="7">
        <v>91</v>
      </c>
      <c r="F4698" s="7">
        <v>1</v>
      </c>
      <c r="G4698" s="8" t="s">
        <v>214</v>
      </c>
      <c r="H4698" s="8" t="s">
        <v>423</v>
      </c>
      <c r="I4698" s="7" t="str">
        <f>_xlfn.CONCAT(Paper_Reference[[#This Row],[Lvl]:[Paper Description]])</f>
        <v>4OCEANGIDAPK05OCEAN FULL GLOW 2 LP1911100WM991-4300MAPLE LANE PRINT (W)</v>
      </c>
      <c r="J4698" s="7">
        <f>COUNTIF(Paper_Reference[Duplicate Key],Paper_Reference[[#This Row],[Duplicate Key]])</f>
        <v>1</v>
      </c>
    </row>
    <row r="4699" spans="1:10">
      <c r="A4699" s="7">
        <v>3</v>
      </c>
      <c r="B4699" s="8" t="s">
        <v>6515</v>
      </c>
      <c r="C4699" s="8" t="s">
        <v>5990</v>
      </c>
      <c r="D4699" s="7">
        <v>1</v>
      </c>
      <c r="E4699" s="7">
        <v>91</v>
      </c>
      <c r="F4699" s="7">
        <v>1</v>
      </c>
      <c r="G4699" s="8" t="s">
        <v>5690</v>
      </c>
      <c r="H4699" s="8" t="s">
        <v>5691</v>
      </c>
      <c r="I4699" s="7" t="str">
        <f>_xlfn.CONCAT(Paper_Reference[[#This Row],[Lvl]:[Paper Description]])</f>
        <v>3OLLUVTLPAPPK1OLL UV TWO LANE PACK1911100DS009-6200FROSTY WHITE</v>
      </c>
      <c r="J4699" s="7">
        <f>COUNTIF(Paper_Reference[Duplicate Key],Paper_Reference[[#This Row],[Duplicate Key]])</f>
        <v>1</v>
      </c>
    </row>
    <row r="4700" spans="1:10">
      <c r="A4700" s="7">
        <v>3</v>
      </c>
      <c r="B4700" s="8" t="s">
        <v>6515</v>
      </c>
      <c r="C4700" s="8" t="s">
        <v>5990</v>
      </c>
      <c r="D4700" s="7">
        <v>1</v>
      </c>
      <c r="E4700" s="7">
        <v>91</v>
      </c>
      <c r="F4700" s="7">
        <v>2</v>
      </c>
      <c r="G4700" s="8" t="s">
        <v>6710</v>
      </c>
      <c r="H4700" s="8" t="s">
        <v>5691</v>
      </c>
      <c r="I4700" s="7" t="str">
        <f>_xlfn.CONCAT(Paper_Reference[[#This Row],[Lvl]:[Paper Description]])</f>
        <v>3OLLUVTLPAPPK1OLL UV TWO LANE PACK1912100DS009-5000FROSTY WHITE</v>
      </c>
      <c r="J4700" s="7">
        <f>COUNTIF(Paper_Reference[Duplicate Key],Paper_Reference[[#This Row],[Duplicate Key]])</f>
        <v>1</v>
      </c>
    </row>
    <row r="4701" spans="1:10">
      <c r="A4701" s="7">
        <v>2</v>
      </c>
      <c r="B4701" s="8" t="s">
        <v>1905</v>
      </c>
      <c r="C4701" s="8" t="s">
        <v>1475</v>
      </c>
      <c r="D4701" s="7">
        <v>1</v>
      </c>
      <c r="E4701" s="7">
        <v>10</v>
      </c>
      <c r="F4701" s="7">
        <v>1</v>
      </c>
      <c r="G4701" s="8" t="s">
        <v>1241</v>
      </c>
      <c r="H4701" s="8" t="s">
        <v>1242</v>
      </c>
      <c r="I4701" s="7" t="str">
        <f>_xlfn.CONCAT(Paper_Reference[[#This Row],[Lvl]:[Paper Description]])</f>
        <v>2PJ28DG0006SD4800PAINTED DIST WOOD D/G 48 X 96110110000020-5000Premium Inkjet MPK 9653</v>
      </c>
      <c r="J4701" s="7">
        <f>COUNTIF(Paper_Reference[Duplicate Key],Paper_Reference[[#This Row],[Duplicate Key]])</f>
        <v>1</v>
      </c>
    </row>
    <row r="4702" spans="1:10">
      <c r="A4702" s="7">
        <v>2</v>
      </c>
      <c r="B4702" s="8" t="s">
        <v>1906</v>
      </c>
      <c r="C4702" s="8" t="s">
        <v>1476</v>
      </c>
      <c r="D4702" s="7">
        <v>1</v>
      </c>
      <c r="E4702" s="7">
        <v>10</v>
      </c>
      <c r="F4702" s="7">
        <v>1</v>
      </c>
      <c r="G4702" s="8" t="s">
        <v>1241</v>
      </c>
      <c r="H4702" s="8" t="s">
        <v>1242</v>
      </c>
      <c r="I4702" s="7" t="str">
        <f>_xlfn.CONCAT(Paper_Reference[[#This Row],[Lvl]:[Paper Description]])</f>
        <v>2PJ28DG0019SD4800BUDS AND BERRIES 48 X 96110110000020-5000Premium Inkjet MPK 9653</v>
      </c>
      <c r="J4702" s="7">
        <f>COUNTIF(Paper_Reference[Duplicate Key],Paper_Reference[[#This Row],[Duplicate Key]])</f>
        <v>1</v>
      </c>
    </row>
    <row r="4703" spans="1:10">
      <c r="A4703" s="7">
        <v>2</v>
      </c>
      <c r="B4703" s="8" t="s">
        <v>1907</v>
      </c>
      <c r="C4703" s="8" t="s">
        <v>1477</v>
      </c>
      <c r="D4703" s="7">
        <v>1</v>
      </c>
      <c r="E4703" s="7">
        <v>10</v>
      </c>
      <c r="F4703" s="7">
        <v>1</v>
      </c>
      <c r="G4703" s="8" t="s">
        <v>1241</v>
      </c>
      <c r="H4703" s="8" t="s">
        <v>1242</v>
      </c>
      <c r="I4703" s="7" t="str">
        <f>_xlfn.CONCAT(Paper_Reference[[#This Row],[Lvl]:[Paper Description]])</f>
        <v>2PJ28DG0031SD4000EAT YOUR VEGGIES 48 X 120110110000020-5000Premium Inkjet MPK 9653</v>
      </c>
      <c r="J4703" s="7">
        <f>COUNTIF(Paper_Reference[Duplicate Key],Paper_Reference[[#This Row],[Duplicate Key]])</f>
        <v>1</v>
      </c>
    </row>
    <row r="4704" spans="1:10">
      <c r="A4704" s="7">
        <v>2</v>
      </c>
      <c r="B4704" s="8" t="s">
        <v>1908</v>
      </c>
      <c r="C4704" s="8" t="s">
        <v>1478</v>
      </c>
      <c r="D4704" s="7">
        <v>1</v>
      </c>
      <c r="E4704" s="7">
        <v>10</v>
      </c>
      <c r="F4704" s="7">
        <v>1</v>
      </c>
      <c r="G4704" s="8" t="s">
        <v>1241</v>
      </c>
      <c r="H4704" s="8" t="s">
        <v>1242</v>
      </c>
      <c r="I4704" s="7" t="str">
        <f>_xlfn.CONCAT(Paper_Reference[[#This Row],[Lvl]:[Paper Description]])</f>
        <v>2PJ28DG0031SD4800EAT YOUR VEGGIES 48 X 96110110000020-5000Premium Inkjet MPK 9653</v>
      </c>
      <c r="J4704" s="7">
        <f>COUNTIF(Paper_Reference[Duplicate Key],Paper_Reference[[#This Row],[Duplicate Key]])</f>
        <v>1</v>
      </c>
    </row>
    <row r="4705" spans="1:10">
      <c r="A4705" s="7">
        <v>2</v>
      </c>
      <c r="B4705" s="8" t="s">
        <v>1909</v>
      </c>
      <c r="C4705" s="8" t="s">
        <v>1479</v>
      </c>
      <c r="D4705" s="7">
        <v>1</v>
      </c>
      <c r="E4705" s="7">
        <v>10</v>
      </c>
      <c r="F4705" s="7">
        <v>1</v>
      </c>
      <c r="G4705" s="8" t="s">
        <v>1241</v>
      </c>
      <c r="H4705" s="8" t="s">
        <v>1242</v>
      </c>
      <c r="I4705" s="7" t="str">
        <f>_xlfn.CONCAT(Paper_Reference[[#This Row],[Lvl]:[Paper Description]])</f>
        <v>2PJ28DG0034SD4800HOUNDSTOOTH CLASSIC 48 X 96110110000020-5000Premium Inkjet MPK 9653</v>
      </c>
      <c r="J4705" s="7">
        <f>COUNTIF(Paper_Reference[Duplicate Key],Paper_Reference[[#This Row],[Duplicate Key]])</f>
        <v>1</v>
      </c>
    </row>
    <row r="4706" spans="1:10">
      <c r="A4706" s="7">
        <v>2</v>
      </c>
      <c r="B4706" s="8" t="s">
        <v>1910</v>
      </c>
      <c r="C4706" s="8" t="s">
        <v>1480</v>
      </c>
      <c r="D4706" s="7">
        <v>1</v>
      </c>
      <c r="E4706" s="7">
        <v>10</v>
      </c>
      <c r="F4706" s="7">
        <v>1</v>
      </c>
      <c r="G4706" s="8" t="s">
        <v>1241</v>
      </c>
      <c r="H4706" s="8" t="s">
        <v>1242</v>
      </c>
      <c r="I4706" s="7" t="str">
        <f>_xlfn.CONCAT(Paper_Reference[[#This Row],[Lvl]:[Paper Description]])</f>
        <v>2PJ28DG0041SD4800CRACKED ICE 48 X 96110110000020-5000Premium Inkjet MPK 9653</v>
      </c>
      <c r="J4706" s="7">
        <f>COUNTIF(Paper_Reference[Duplicate Key],Paper_Reference[[#This Row],[Duplicate Key]])</f>
        <v>1</v>
      </c>
    </row>
    <row r="4707" spans="1:10">
      <c r="A4707" s="7">
        <v>2</v>
      </c>
      <c r="B4707" s="8" t="s">
        <v>1911</v>
      </c>
      <c r="C4707" s="8" t="s">
        <v>1481</v>
      </c>
      <c r="D4707" s="7">
        <v>1</v>
      </c>
      <c r="E4707" s="7">
        <v>10</v>
      </c>
      <c r="F4707" s="7">
        <v>1</v>
      </c>
      <c r="G4707" s="8" t="s">
        <v>1241</v>
      </c>
      <c r="H4707" s="8" t="s">
        <v>1242</v>
      </c>
      <c r="I4707" s="7" t="str">
        <f>_xlfn.CONCAT(Paper_Reference[[#This Row],[Lvl]:[Paper Description]])</f>
        <v>2PJ28DG0061SD3200SCATTERED NUMBERS 36 X 144110110000020-5000Premium Inkjet MPK 9653</v>
      </c>
      <c r="J4707" s="7">
        <f>COUNTIF(Paper_Reference[Duplicate Key],Paper_Reference[[#This Row],[Duplicate Key]])</f>
        <v>1</v>
      </c>
    </row>
    <row r="4708" spans="1:10">
      <c r="A4708" s="7">
        <v>2</v>
      </c>
      <c r="B4708" s="8" t="s">
        <v>1912</v>
      </c>
      <c r="C4708" s="8" t="s">
        <v>1482</v>
      </c>
      <c r="D4708" s="7">
        <v>1</v>
      </c>
      <c r="E4708" s="7">
        <v>10</v>
      </c>
      <c r="F4708" s="7">
        <v>1</v>
      </c>
      <c r="G4708" s="8" t="s">
        <v>1241</v>
      </c>
      <c r="H4708" s="8" t="s">
        <v>1242</v>
      </c>
      <c r="I4708" s="7" t="str">
        <f>_xlfn.CONCAT(Paper_Reference[[#This Row],[Lvl]:[Paper Description]])</f>
        <v>2PJ28DG0064SD4800SCIENCE LAB C/BOARD 48 X 96110110000020-5000Premium Inkjet MPK 9653</v>
      </c>
      <c r="J4708" s="7">
        <f>COUNTIF(Paper_Reference[Duplicate Key],Paper_Reference[[#This Row],[Duplicate Key]])</f>
        <v>1</v>
      </c>
    </row>
    <row r="4709" spans="1:10">
      <c r="A4709" s="7">
        <v>2</v>
      </c>
      <c r="B4709" s="8" t="s">
        <v>1913</v>
      </c>
      <c r="C4709" s="8" t="s">
        <v>1482</v>
      </c>
      <c r="D4709" s="7">
        <v>1</v>
      </c>
      <c r="E4709" s="7">
        <v>10</v>
      </c>
      <c r="F4709" s="7">
        <v>1</v>
      </c>
      <c r="G4709" s="8" t="s">
        <v>1241</v>
      </c>
      <c r="H4709" s="8" t="s">
        <v>1242</v>
      </c>
      <c r="I4709" s="7" t="str">
        <f>_xlfn.CONCAT(Paper_Reference[[#This Row],[Lvl]:[Paper Description]])</f>
        <v>2PJ28DG0064SD4803SCIENCE LAB C/BOARD 48 X 96110110000020-5000Premium Inkjet MPK 9653</v>
      </c>
      <c r="J4709" s="7">
        <f>COUNTIF(Paper_Reference[Duplicate Key],Paper_Reference[[#This Row],[Duplicate Key]])</f>
        <v>1</v>
      </c>
    </row>
    <row r="4710" spans="1:10">
      <c r="A4710" s="7">
        <v>2</v>
      </c>
      <c r="B4710" s="8" t="s">
        <v>2727</v>
      </c>
      <c r="C4710" s="8" t="s">
        <v>2267</v>
      </c>
      <c r="D4710" s="7">
        <v>1</v>
      </c>
      <c r="E4710" s="7">
        <v>10</v>
      </c>
      <c r="F4710" s="7">
        <v>1</v>
      </c>
      <c r="G4710" s="8" t="s">
        <v>2144</v>
      </c>
      <c r="H4710" s="8" t="s">
        <v>1242</v>
      </c>
      <c r="I4710" s="7" t="str">
        <f>_xlfn.CONCAT(Paper_Reference[[#This Row],[Lvl]:[Paper Description]])</f>
        <v>2PJ28DG0064SD5200SCIENCE LAB C/BOARD 60 X 144110110000020-6200Premium Inkjet MPK 9653</v>
      </c>
      <c r="J4710" s="7">
        <f>COUNTIF(Paper_Reference[Duplicate Key],Paper_Reference[[#This Row],[Duplicate Key]])</f>
        <v>1</v>
      </c>
    </row>
    <row r="4711" spans="1:10">
      <c r="A4711" s="7">
        <v>2</v>
      </c>
      <c r="B4711" s="8" t="s">
        <v>1914</v>
      </c>
      <c r="C4711" s="8" t="s">
        <v>1483</v>
      </c>
      <c r="D4711" s="7">
        <v>1</v>
      </c>
      <c r="E4711" s="7">
        <v>10</v>
      </c>
      <c r="F4711" s="7">
        <v>1</v>
      </c>
      <c r="G4711" s="8" t="s">
        <v>1241</v>
      </c>
      <c r="H4711" s="8" t="s">
        <v>1242</v>
      </c>
      <c r="I4711" s="7" t="str">
        <f>_xlfn.CONCAT(Paper_Reference[[#This Row],[Lvl]:[Paper Description]])</f>
        <v>2PJ28DG0071SD4800WHITE VENUS II 48 X 96110110000020-5000Premium Inkjet MPK 9653</v>
      </c>
      <c r="J4711" s="7">
        <f>COUNTIF(Paper_Reference[Duplicate Key],Paper_Reference[[#This Row],[Duplicate Key]])</f>
        <v>1</v>
      </c>
    </row>
    <row r="4712" spans="1:10">
      <c r="A4712" s="7">
        <v>2</v>
      </c>
      <c r="B4712" s="8" t="s">
        <v>2728</v>
      </c>
      <c r="C4712" s="8" t="s">
        <v>2268</v>
      </c>
      <c r="D4712" s="7">
        <v>1</v>
      </c>
      <c r="E4712" s="7">
        <v>10</v>
      </c>
      <c r="F4712" s="7">
        <v>1</v>
      </c>
      <c r="G4712" s="8" t="s">
        <v>2144</v>
      </c>
      <c r="H4712" s="8" t="s">
        <v>1242</v>
      </c>
      <c r="I4712" s="7" t="str">
        <f>_xlfn.CONCAT(Paper_Reference[[#This Row],[Lvl]:[Paper Description]])</f>
        <v>2PJ28DG0071SD5200WHITE VENUS II 60 X 144110110000020-6200Premium Inkjet MPK 9653</v>
      </c>
      <c r="J4712" s="7">
        <f>COUNTIF(Paper_Reference[Duplicate Key],Paper_Reference[[#This Row],[Duplicate Key]])</f>
        <v>1</v>
      </c>
    </row>
    <row r="4713" spans="1:10">
      <c r="A4713" s="7">
        <v>2</v>
      </c>
      <c r="B4713" s="8" t="s">
        <v>1915</v>
      </c>
      <c r="C4713" s="8" t="s">
        <v>1484</v>
      </c>
      <c r="D4713" s="7">
        <v>1</v>
      </c>
      <c r="E4713" s="7">
        <v>10</v>
      </c>
      <c r="F4713" s="7">
        <v>1</v>
      </c>
      <c r="G4713" s="8" t="s">
        <v>1241</v>
      </c>
      <c r="H4713" s="8" t="s">
        <v>1242</v>
      </c>
      <c r="I4713" s="7" t="str">
        <f>_xlfn.CONCAT(Paper_Reference[[#This Row],[Lvl]:[Paper Description]])</f>
        <v>2PJ28DG0075SD4800LILAC BOOMERANG 48 X 96110110000020-5000Premium Inkjet MPK 9653</v>
      </c>
      <c r="J4713" s="7">
        <f>COUNTIF(Paper_Reference[Duplicate Key],Paper_Reference[[#This Row],[Duplicate Key]])</f>
        <v>1</v>
      </c>
    </row>
    <row r="4714" spans="1:10">
      <c r="A4714" s="7">
        <v>2</v>
      </c>
      <c r="B4714" s="8" t="s">
        <v>1916</v>
      </c>
      <c r="C4714" s="8" t="s">
        <v>1485</v>
      </c>
      <c r="D4714" s="7">
        <v>1</v>
      </c>
      <c r="E4714" s="7">
        <v>10</v>
      </c>
      <c r="F4714" s="7">
        <v>1</v>
      </c>
      <c r="G4714" s="8" t="s">
        <v>1241</v>
      </c>
      <c r="H4714" s="8" t="s">
        <v>1242</v>
      </c>
      <c r="I4714" s="7" t="str">
        <f>_xlfn.CONCAT(Paper_Reference[[#This Row],[Lvl]:[Paper Description]])</f>
        <v>2PJ28DG0084SD4800PLAID INTER ASH GRAY 48 X 96110110000020-5000Premium Inkjet MPK 9653</v>
      </c>
      <c r="J4714" s="7">
        <f>COUNTIF(Paper_Reference[Duplicate Key],Paper_Reference[[#This Row],[Duplicate Key]])</f>
        <v>1</v>
      </c>
    </row>
    <row r="4715" spans="1:10">
      <c r="A4715" s="7">
        <v>2</v>
      </c>
      <c r="B4715" s="8" t="s">
        <v>1917</v>
      </c>
      <c r="C4715" s="8" t="s">
        <v>1486</v>
      </c>
      <c r="D4715" s="7">
        <v>1</v>
      </c>
      <c r="E4715" s="7">
        <v>10</v>
      </c>
      <c r="F4715" s="7">
        <v>1</v>
      </c>
      <c r="G4715" s="8" t="s">
        <v>1241</v>
      </c>
      <c r="H4715" s="8" t="s">
        <v>1242</v>
      </c>
      <c r="I4715" s="7" t="str">
        <f>_xlfn.CONCAT(Paper_Reference[[#This Row],[Lvl]:[Paper Description]])</f>
        <v>2PJ29DG0003SD480VIN HERRINGBONE WOOD 48 X 96110110000020-5000Premium Inkjet MPK 9653</v>
      </c>
      <c r="J4715" s="7">
        <f>COUNTIF(Paper_Reference[Duplicate Key],Paper_Reference[[#This Row],[Duplicate Key]])</f>
        <v>1</v>
      </c>
    </row>
    <row r="4716" spans="1:10">
      <c r="A4716" s="7">
        <v>2</v>
      </c>
      <c r="B4716" s="8" t="s">
        <v>1918</v>
      </c>
      <c r="C4716" s="8" t="s">
        <v>1475</v>
      </c>
      <c r="D4716" s="7">
        <v>1</v>
      </c>
      <c r="E4716" s="7">
        <v>10</v>
      </c>
      <c r="F4716" s="7">
        <v>1</v>
      </c>
      <c r="G4716" s="8" t="s">
        <v>1241</v>
      </c>
      <c r="H4716" s="8" t="s">
        <v>1242</v>
      </c>
      <c r="I4716" s="7" t="str">
        <f>_xlfn.CONCAT(Paper_Reference[[#This Row],[Lvl]:[Paper Description]])</f>
        <v>2PJ29DG0006SD4800PAINTED DIST WOOD D/G 48 X 96110110000020-5000Premium Inkjet MPK 9653</v>
      </c>
      <c r="J4716" s="7">
        <f>COUNTIF(Paper_Reference[Duplicate Key],Paper_Reference[[#This Row],[Duplicate Key]])</f>
        <v>1</v>
      </c>
    </row>
    <row r="4717" spans="1:10">
      <c r="A4717" s="7">
        <v>2</v>
      </c>
      <c r="B4717" s="8" t="s">
        <v>1919</v>
      </c>
      <c r="C4717" s="8" t="s">
        <v>1487</v>
      </c>
      <c r="D4717" s="7">
        <v>1</v>
      </c>
      <c r="E4717" s="7">
        <v>10</v>
      </c>
      <c r="F4717" s="7">
        <v>1</v>
      </c>
      <c r="G4717" s="8" t="s">
        <v>1241</v>
      </c>
      <c r="H4717" s="8" t="s">
        <v>1242</v>
      </c>
      <c r="I4717" s="7" t="str">
        <f>_xlfn.CONCAT(Paper_Reference[[#This Row],[Lvl]:[Paper Description]])</f>
        <v>2PJ29DG0014SD4800MARBLED CHEVRON 48 X 96110110000020-5000Premium Inkjet MPK 9653</v>
      </c>
      <c r="J4717" s="7">
        <f>COUNTIF(Paper_Reference[Duplicate Key],Paper_Reference[[#This Row],[Duplicate Key]])</f>
        <v>1</v>
      </c>
    </row>
    <row r="4718" spans="1:10">
      <c r="A4718" s="7">
        <v>2</v>
      </c>
      <c r="B4718" s="8" t="s">
        <v>2729</v>
      </c>
      <c r="C4718" s="8" t="s">
        <v>2269</v>
      </c>
      <c r="D4718" s="7">
        <v>1</v>
      </c>
      <c r="E4718" s="7">
        <v>10</v>
      </c>
      <c r="F4718" s="7">
        <v>1</v>
      </c>
      <c r="G4718" s="8" t="s">
        <v>2144</v>
      </c>
      <c r="H4718" s="8" t="s">
        <v>1242</v>
      </c>
      <c r="I4718" s="7" t="str">
        <f>_xlfn.CONCAT(Paper_Reference[[#This Row],[Lvl]:[Paper Description]])</f>
        <v>2PJ29DG0014SD5200MARBLED CHEVRON 60 X 144110110000020-6200Premium Inkjet MPK 9653</v>
      </c>
      <c r="J4718" s="7">
        <f>COUNTIF(Paper_Reference[Duplicate Key],Paper_Reference[[#This Row],[Duplicate Key]])</f>
        <v>1</v>
      </c>
    </row>
    <row r="4719" spans="1:10">
      <c r="A4719" s="7">
        <v>2</v>
      </c>
      <c r="B4719" s="8" t="s">
        <v>1920</v>
      </c>
      <c r="C4719" s="8" t="s">
        <v>1477</v>
      </c>
      <c r="D4719" s="7">
        <v>1</v>
      </c>
      <c r="E4719" s="7">
        <v>10</v>
      </c>
      <c r="F4719" s="7">
        <v>1</v>
      </c>
      <c r="G4719" s="8" t="s">
        <v>1241</v>
      </c>
      <c r="H4719" s="8" t="s">
        <v>1242</v>
      </c>
      <c r="I4719" s="7" t="str">
        <f>_xlfn.CONCAT(Paper_Reference[[#This Row],[Lvl]:[Paper Description]])</f>
        <v>2PJ29DG0031SD4000EAT YOUR VEGGIES 48 X 120110110000020-5000Premium Inkjet MPK 9653</v>
      </c>
      <c r="J4719" s="7">
        <f>COUNTIF(Paper_Reference[Duplicate Key],Paper_Reference[[#This Row],[Duplicate Key]])</f>
        <v>1</v>
      </c>
    </row>
    <row r="4720" spans="1:10">
      <c r="A4720" s="7">
        <v>2</v>
      </c>
      <c r="B4720" s="8" t="s">
        <v>1921</v>
      </c>
      <c r="C4720" s="8" t="s">
        <v>1478</v>
      </c>
      <c r="D4720" s="7">
        <v>1</v>
      </c>
      <c r="E4720" s="7">
        <v>10</v>
      </c>
      <c r="F4720" s="7">
        <v>1</v>
      </c>
      <c r="G4720" s="8" t="s">
        <v>1241</v>
      </c>
      <c r="H4720" s="8" t="s">
        <v>1242</v>
      </c>
      <c r="I4720" s="7" t="str">
        <f>_xlfn.CONCAT(Paper_Reference[[#This Row],[Lvl]:[Paper Description]])</f>
        <v>2PJ29DG0031SD4800EAT YOUR VEGGIES 48 X 96110110000020-5000Premium Inkjet MPK 9653</v>
      </c>
      <c r="J4720" s="7">
        <f>COUNTIF(Paper_Reference[Duplicate Key],Paper_Reference[[#This Row],[Duplicate Key]])</f>
        <v>1</v>
      </c>
    </row>
    <row r="4721" spans="1:10">
      <c r="A4721" s="7">
        <v>2</v>
      </c>
      <c r="B4721" s="8" t="s">
        <v>2730</v>
      </c>
      <c r="C4721" s="8" t="s">
        <v>2270</v>
      </c>
      <c r="D4721" s="7">
        <v>1</v>
      </c>
      <c r="E4721" s="7">
        <v>10</v>
      </c>
      <c r="F4721" s="7">
        <v>1</v>
      </c>
      <c r="G4721" s="8" t="s">
        <v>2144</v>
      </c>
      <c r="H4721" s="8" t="s">
        <v>1242</v>
      </c>
      <c r="I4721" s="7" t="str">
        <f>_xlfn.CONCAT(Paper_Reference[[#This Row],[Lvl]:[Paper Description]])</f>
        <v>2PJ29DG0033SD5800FADED TRIANGLE D/G 60 X 96110110000020-6200Premium Inkjet MPK 9653</v>
      </c>
      <c r="J4721" s="7">
        <f>COUNTIF(Paper_Reference[Duplicate Key],Paper_Reference[[#This Row],[Duplicate Key]])</f>
        <v>1</v>
      </c>
    </row>
    <row r="4722" spans="1:10">
      <c r="A4722" s="7">
        <v>2</v>
      </c>
      <c r="B4722" s="8" t="s">
        <v>1922</v>
      </c>
      <c r="C4722" s="8" t="s">
        <v>1488</v>
      </c>
      <c r="D4722" s="7">
        <v>1</v>
      </c>
      <c r="E4722" s="7">
        <v>10</v>
      </c>
      <c r="F4722" s="7">
        <v>1</v>
      </c>
      <c r="G4722" s="8" t="s">
        <v>1241</v>
      </c>
      <c r="H4722" s="8" t="s">
        <v>1242</v>
      </c>
      <c r="I4722" s="7" t="str">
        <f>_xlfn.CONCAT(Paper_Reference[[#This Row],[Lvl]:[Paper Description]])</f>
        <v>2PJ29DG0033T-4800FADED TRIANGLE 48 X 96110110000020-5000Premium Inkjet MPK 9653</v>
      </c>
      <c r="J4722" s="7">
        <f>COUNTIF(Paper_Reference[Duplicate Key],Paper_Reference[[#This Row],[Duplicate Key]])</f>
        <v>1</v>
      </c>
    </row>
    <row r="4723" spans="1:10">
      <c r="A4723" s="7">
        <v>2</v>
      </c>
      <c r="B4723" s="8" t="s">
        <v>1923</v>
      </c>
      <c r="C4723" s="8" t="s">
        <v>1489</v>
      </c>
      <c r="D4723" s="7">
        <v>1</v>
      </c>
      <c r="E4723" s="7">
        <v>10</v>
      </c>
      <c r="F4723" s="7">
        <v>1</v>
      </c>
      <c r="G4723" s="8" t="s">
        <v>1241</v>
      </c>
      <c r="H4723" s="8" t="s">
        <v>1242</v>
      </c>
      <c r="I4723" s="7" t="str">
        <f>_xlfn.CONCAT(Paper_Reference[[#This Row],[Lvl]:[Paper Description]])</f>
        <v>2PJ29DG0038SD4800MANDELA 48 X 96110110000020-5000Premium Inkjet MPK 9653</v>
      </c>
      <c r="J4723" s="7">
        <f>COUNTIF(Paper_Reference[Duplicate Key],Paper_Reference[[#This Row],[Duplicate Key]])</f>
        <v>1</v>
      </c>
    </row>
    <row r="4724" spans="1:10">
      <c r="A4724" s="7">
        <v>2</v>
      </c>
      <c r="B4724" s="8" t="s">
        <v>1924</v>
      </c>
      <c r="C4724" s="8" t="s">
        <v>1490</v>
      </c>
      <c r="D4724" s="7">
        <v>1</v>
      </c>
      <c r="E4724" s="7">
        <v>10</v>
      </c>
      <c r="F4724" s="7">
        <v>1</v>
      </c>
      <c r="G4724" s="8" t="s">
        <v>1241</v>
      </c>
      <c r="H4724" s="8" t="s">
        <v>1242</v>
      </c>
      <c r="I4724" s="7" t="str">
        <f>_xlfn.CONCAT(Paper_Reference[[#This Row],[Lvl]:[Paper Description]])</f>
        <v>2PJ29DG0040EV4800RIPPLE STRIPE 48 X 96110110000020-5000Premium Inkjet MPK 9653</v>
      </c>
      <c r="J4724" s="7">
        <f>COUNTIF(Paper_Reference[Duplicate Key],Paper_Reference[[#This Row],[Duplicate Key]])</f>
        <v>1</v>
      </c>
    </row>
    <row r="4725" spans="1:10">
      <c r="A4725" s="7">
        <v>2</v>
      </c>
      <c r="B4725" s="8" t="s">
        <v>1925</v>
      </c>
      <c r="C4725" s="8" t="s">
        <v>1491</v>
      </c>
      <c r="D4725" s="7">
        <v>1</v>
      </c>
      <c r="E4725" s="7">
        <v>10</v>
      </c>
      <c r="F4725" s="7">
        <v>1</v>
      </c>
      <c r="G4725" s="8" t="s">
        <v>1241</v>
      </c>
      <c r="H4725" s="8" t="s">
        <v>1242</v>
      </c>
      <c r="I4725" s="7" t="str">
        <f>_xlfn.CONCAT(Paper_Reference[[#This Row],[Lvl]:[Paper Description]])</f>
        <v>2PJ29DG0040SD4000RIPPLE STRIPE 48 X 120110110000020-5000Premium Inkjet MPK 9653</v>
      </c>
      <c r="J4725" s="7">
        <f>COUNTIF(Paper_Reference[Duplicate Key],Paper_Reference[[#This Row],[Duplicate Key]])</f>
        <v>1</v>
      </c>
    </row>
    <row r="4726" spans="1:10">
      <c r="A4726" s="7">
        <v>2</v>
      </c>
      <c r="B4726" s="8" t="s">
        <v>1926</v>
      </c>
      <c r="C4726" s="8" t="s">
        <v>1490</v>
      </c>
      <c r="D4726" s="7">
        <v>1</v>
      </c>
      <c r="E4726" s="7">
        <v>10</v>
      </c>
      <c r="F4726" s="7">
        <v>1</v>
      </c>
      <c r="G4726" s="8" t="s">
        <v>1241</v>
      </c>
      <c r="H4726" s="8" t="s">
        <v>1242</v>
      </c>
      <c r="I4726" s="7" t="str">
        <f>_xlfn.CONCAT(Paper_Reference[[#This Row],[Lvl]:[Paper Description]])</f>
        <v>2PJ29DG0040SD4800RIPPLE STRIPE 48 X 96110110000020-5000Premium Inkjet MPK 9653</v>
      </c>
      <c r="J4726" s="7">
        <f>COUNTIF(Paper_Reference[Duplicate Key],Paper_Reference[[#This Row],[Duplicate Key]])</f>
        <v>1</v>
      </c>
    </row>
    <row r="4727" spans="1:10">
      <c r="A4727" s="7">
        <v>2</v>
      </c>
      <c r="B4727" s="8" t="s">
        <v>2731</v>
      </c>
      <c r="C4727" s="8" t="s">
        <v>2271</v>
      </c>
      <c r="D4727" s="7">
        <v>1</v>
      </c>
      <c r="E4727" s="7">
        <v>10</v>
      </c>
      <c r="F4727" s="7">
        <v>1</v>
      </c>
      <c r="G4727" s="8" t="s">
        <v>2144</v>
      </c>
      <c r="H4727" s="8" t="s">
        <v>1242</v>
      </c>
      <c r="I4727" s="7" t="str">
        <f>_xlfn.CONCAT(Paper_Reference[[#This Row],[Lvl]:[Paper Description]])</f>
        <v>2PJ29DG0040SD5200RIPPLE STRIPE 60 X 144110110000020-6200Premium Inkjet MPK 9653</v>
      </c>
      <c r="J4727" s="7">
        <f>COUNTIF(Paper_Reference[Duplicate Key],Paper_Reference[[#This Row],[Duplicate Key]])</f>
        <v>1</v>
      </c>
    </row>
    <row r="4728" spans="1:10">
      <c r="A4728" s="7">
        <v>2</v>
      </c>
      <c r="B4728" s="8" t="s">
        <v>1927</v>
      </c>
      <c r="C4728" s="8" t="s">
        <v>1480</v>
      </c>
      <c r="D4728" s="7">
        <v>1</v>
      </c>
      <c r="E4728" s="7">
        <v>10</v>
      </c>
      <c r="F4728" s="7">
        <v>1</v>
      </c>
      <c r="G4728" s="8" t="s">
        <v>1241</v>
      </c>
      <c r="H4728" s="8" t="s">
        <v>1242</v>
      </c>
      <c r="I4728" s="7" t="str">
        <f>_xlfn.CONCAT(Paper_Reference[[#This Row],[Lvl]:[Paper Description]])</f>
        <v>2PJ29DG0041SD4800CRACKED ICE 48 X 96110110000020-5000Premium Inkjet MPK 9653</v>
      </c>
      <c r="J4728" s="7">
        <f>COUNTIF(Paper_Reference[Duplicate Key],Paper_Reference[[#This Row],[Duplicate Key]])</f>
        <v>1</v>
      </c>
    </row>
    <row r="4729" spans="1:10">
      <c r="A4729" s="7">
        <v>2</v>
      </c>
      <c r="B4729" s="8" t="s">
        <v>1928</v>
      </c>
      <c r="C4729" s="8" t="s">
        <v>1492</v>
      </c>
      <c r="D4729" s="7">
        <v>1</v>
      </c>
      <c r="E4729" s="7">
        <v>10</v>
      </c>
      <c r="F4729" s="7">
        <v>1</v>
      </c>
      <c r="G4729" s="8" t="s">
        <v>1241</v>
      </c>
      <c r="H4729" s="8" t="s">
        <v>1242</v>
      </c>
      <c r="I4729" s="7" t="str">
        <f>_xlfn.CONCAT(Paper_Reference[[#This Row],[Lvl]:[Paper Description]])</f>
        <v>2PJ29DG0043SD4800FALLING TRIANGLES 48 X 96110110000020-5000Premium Inkjet MPK 9653</v>
      </c>
      <c r="J4729" s="7">
        <f>COUNTIF(Paper_Reference[Duplicate Key],Paper_Reference[[#This Row],[Duplicate Key]])</f>
        <v>1</v>
      </c>
    </row>
    <row r="4730" spans="1:10">
      <c r="A4730" s="7">
        <v>2</v>
      </c>
      <c r="B4730" s="8" t="s">
        <v>1929</v>
      </c>
      <c r="C4730" s="8" t="s">
        <v>1493</v>
      </c>
      <c r="D4730" s="7">
        <v>1</v>
      </c>
      <c r="E4730" s="7">
        <v>10</v>
      </c>
      <c r="F4730" s="7">
        <v>1</v>
      </c>
      <c r="G4730" s="8" t="s">
        <v>1241</v>
      </c>
      <c r="H4730" s="8" t="s">
        <v>1242</v>
      </c>
      <c r="I4730" s="7" t="str">
        <f>_xlfn.CONCAT(Paper_Reference[[#This Row],[Lvl]:[Paper Description]])</f>
        <v>2PJ29DG0044T-4800DOTTED DOTTIE 48 X 96110110000020-5000Premium Inkjet MPK 9653</v>
      </c>
      <c r="J4730" s="7">
        <f>COUNTIF(Paper_Reference[Duplicate Key],Paper_Reference[[#This Row],[Duplicate Key]])</f>
        <v>1</v>
      </c>
    </row>
    <row r="4731" spans="1:10">
      <c r="A4731" s="7">
        <v>2</v>
      </c>
      <c r="B4731" s="8" t="s">
        <v>1930</v>
      </c>
      <c r="C4731" s="8" t="s">
        <v>1494</v>
      </c>
      <c r="D4731" s="7">
        <v>1</v>
      </c>
      <c r="E4731" s="7">
        <v>10</v>
      </c>
      <c r="F4731" s="7">
        <v>1</v>
      </c>
      <c r="G4731" s="8" t="s">
        <v>1241</v>
      </c>
      <c r="H4731" s="8" t="s">
        <v>1242</v>
      </c>
      <c r="I4731" s="7" t="str">
        <f>_xlfn.CONCAT(Paper_Reference[[#This Row],[Lvl]:[Paper Description]])</f>
        <v>2PJ29DG0045SD4800RAIN DROPLET 48 X 96110110000020-5000Premium Inkjet MPK 9653</v>
      </c>
      <c r="J4731" s="7">
        <f>COUNTIF(Paper_Reference[Duplicate Key],Paper_Reference[[#This Row],[Duplicate Key]])</f>
        <v>1</v>
      </c>
    </row>
    <row r="4732" spans="1:10">
      <c r="A4732" s="7">
        <v>2</v>
      </c>
      <c r="B4732" s="8" t="s">
        <v>1931</v>
      </c>
      <c r="C4732" s="8" t="s">
        <v>1495</v>
      </c>
      <c r="D4732" s="7">
        <v>1</v>
      </c>
      <c r="E4732" s="7">
        <v>10</v>
      </c>
      <c r="F4732" s="7">
        <v>1</v>
      </c>
      <c r="G4732" s="8" t="s">
        <v>1241</v>
      </c>
      <c r="H4732" s="8" t="s">
        <v>1242</v>
      </c>
      <c r="I4732" s="7" t="str">
        <f>_xlfn.CONCAT(Paper_Reference[[#This Row],[Lvl]:[Paper Description]])</f>
        <v>2PJ29DG0046SD4800SILLY STRING 48 X 96110110000020-5000Premium Inkjet MPK 9653</v>
      </c>
      <c r="J4732" s="7">
        <f>COUNTIF(Paper_Reference[Duplicate Key],Paper_Reference[[#This Row],[Duplicate Key]])</f>
        <v>1</v>
      </c>
    </row>
    <row r="4733" spans="1:10">
      <c r="A4733" s="7">
        <v>2</v>
      </c>
      <c r="B4733" s="8" t="s">
        <v>2732</v>
      </c>
      <c r="C4733" s="8" t="s">
        <v>2272</v>
      </c>
      <c r="D4733" s="7">
        <v>1</v>
      </c>
      <c r="E4733" s="7">
        <v>10</v>
      </c>
      <c r="F4733" s="7">
        <v>1</v>
      </c>
      <c r="G4733" s="8" t="s">
        <v>2144</v>
      </c>
      <c r="H4733" s="8" t="s">
        <v>1242</v>
      </c>
      <c r="I4733" s="7" t="str">
        <f>_xlfn.CONCAT(Paper_Reference[[#This Row],[Lvl]:[Paper Description]])</f>
        <v>2PJ29DG0051SD5200TWISTED TWINE 60 X 144110110000020-6200Premium Inkjet MPK 9653</v>
      </c>
      <c r="J4733" s="7">
        <f>COUNTIF(Paper_Reference[Duplicate Key],Paper_Reference[[#This Row],[Duplicate Key]])</f>
        <v>1</v>
      </c>
    </row>
    <row r="4734" spans="1:10">
      <c r="A4734" s="7">
        <v>2</v>
      </c>
      <c r="B4734" s="8" t="s">
        <v>2733</v>
      </c>
      <c r="C4734" s="8" t="s">
        <v>2273</v>
      </c>
      <c r="D4734" s="7">
        <v>1</v>
      </c>
      <c r="E4734" s="7">
        <v>10</v>
      </c>
      <c r="F4734" s="7">
        <v>1</v>
      </c>
      <c r="G4734" s="8" t="s">
        <v>2144</v>
      </c>
      <c r="H4734" s="8" t="s">
        <v>1242</v>
      </c>
      <c r="I4734" s="7" t="str">
        <f>_xlfn.CONCAT(Paper_Reference[[#This Row],[Lvl]:[Paper Description]])</f>
        <v>2PJ29DG0057SDCMT0CUBED CROSSING 61 X 121110110000020-6200Premium Inkjet MPK 9653</v>
      </c>
      <c r="J4734" s="7">
        <f>COUNTIF(Paper_Reference[Duplicate Key],Paper_Reference[[#This Row],[Duplicate Key]])</f>
        <v>1</v>
      </c>
    </row>
    <row r="4735" spans="1:10">
      <c r="A4735" s="7">
        <v>2</v>
      </c>
      <c r="B4735" s="8" t="s">
        <v>1932</v>
      </c>
      <c r="C4735" s="8" t="s">
        <v>1496</v>
      </c>
      <c r="D4735" s="7">
        <v>1</v>
      </c>
      <c r="E4735" s="7">
        <v>10</v>
      </c>
      <c r="F4735" s="7">
        <v>1</v>
      </c>
      <c r="G4735" s="8" t="s">
        <v>1241</v>
      </c>
      <c r="H4735" s="8" t="s">
        <v>1242</v>
      </c>
      <c r="I4735" s="7" t="str">
        <f>_xlfn.CONCAT(Paper_Reference[[#This Row],[Lvl]:[Paper Description]])</f>
        <v>2PJ29DG0057SDFDT0CUBED CROSSING 49 X 121110110000020-5000Premium Inkjet MPK 9653</v>
      </c>
      <c r="J4735" s="7">
        <f>COUNTIF(Paper_Reference[Duplicate Key],Paper_Reference[[#This Row],[Duplicate Key]])</f>
        <v>1</v>
      </c>
    </row>
    <row r="4736" spans="1:10">
      <c r="A4736" s="7">
        <v>2</v>
      </c>
      <c r="B4736" s="8" t="s">
        <v>1933</v>
      </c>
      <c r="C4736" s="8" t="s">
        <v>1497</v>
      </c>
      <c r="D4736" s="7">
        <v>1</v>
      </c>
      <c r="E4736" s="7">
        <v>10</v>
      </c>
      <c r="F4736" s="7">
        <v>1</v>
      </c>
      <c r="G4736" s="8" t="s">
        <v>1241</v>
      </c>
      <c r="H4736" s="8" t="s">
        <v>1242</v>
      </c>
      <c r="I4736" s="7" t="str">
        <f>_xlfn.CONCAT(Paper_Reference[[#This Row],[Lvl]:[Paper Description]])</f>
        <v>2PJ29DG0059SD4800IT'S A ZOO 48 X 96110110000020-5000Premium Inkjet MPK 9653</v>
      </c>
      <c r="J4736" s="7">
        <f>COUNTIF(Paper_Reference[Duplicate Key],Paper_Reference[[#This Row],[Duplicate Key]])</f>
        <v>1</v>
      </c>
    </row>
    <row r="4737" spans="1:10">
      <c r="A4737" s="7">
        <v>2</v>
      </c>
      <c r="B4737" s="8" t="s">
        <v>1934</v>
      </c>
      <c r="C4737" s="8" t="s">
        <v>1498</v>
      </c>
      <c r="D4737" s="7">
        <v>1</v>
      </c>
      <c r="E4737" s="7">
        <v>10</v>
      </c>
      <c r="F4737" s="7">
        <v>1</v>
      </c>
      <c r="G4737" s="8" t="s">
        <v>1241</v>
      </c>
      <c r="H4737" s="8" t="s">
        <v>1242</v>
      </c>
      <c r="I4737" s="7" t="str">
        <f>_xlfn.CONCAT(Paper_Reference[[#This Row],[Lvl]:[Paper Description]])</f>
        <v>2PJ29DG0060SD4800STAMPED NUMBERS D/G 48 X 96110110000020-5000Premium Inkjet MPK 9653</v>
      </c>
      <c r="J4737" s="7">
        <f>COUNTIF(Paper_Reference[Duplicate Key],Paper_Reference[[#This Row],[Duplicate Key]])</f>
        <v>1</v>
      </c>
    </row>
    <row r="4738" spans="1:10">
      <c r="A4738" s="7">
        <v>2</v>
      </c>
      <c r="B4738" s="8" t="s">
        <v>2734</v>
      </c>
      <c r="C4738" s="8" t="s">
        <v>2274</v>
      </c>
      <c r="D4738" s="7">
        <v>1</v>
      </c>
      <c r="E4738" s="7">
        <v>10</v>
      </c>
      <c r="F4738" s="7">
        <v>1</v>
      </c>
      <c r="G4738" s="8" t="s">
        <v>2144</v>
      </c>
      <c r="H4738" s="8" t="s">
        <v>1242</v>
      </c>
      <c r="I4738" s="7" t="str">
        <f>_xlfn.CONCAT(Paper_Reference[[#This Row],[Lvl]:[Paper Description]])</f>
        <v>2PJ29DG0060SD5200STAMPED NUMBERS 60 X 144110110000020-6200Premium Inkjet MPK 9653</v>
      </c>
      <c r="J4738" s="7">
        <f>COUNTIF(Paper_Reference[Duplicate Key],Paper_Reference[[#This Row],[Duplicate Key]])</f>
        <v>1</v>
      </c>
    </row>
    <row r="4739" spans="1:10">
      <c r="A4739" s="7">
        <v>2</v>
      </c>
      <c r="B4739" s="8" t="s">
        <v>2735</v>
      </c>
      <c r="C4739" s="8" t="s">
        <v>2275</v>
      </c>
      <c r="D4739" s="7">
        <v>1</v>
      </c>
      <c r="E4739" s="7">
        <v>10</v>
      </c>
      <c r="F4739" s="7">
        <v>1</v>
      </c>
      <c r="G4739" s="8" t="s">
        <v>2144</v>
      </c>
      <c r="H4739" s="8" t="s">
        <v>1242</v>
      </c>
      <c r="I4739" s="7" t="str">
        <f>_xlfn.CONCAT(Paper_Reference[[#This Row],[Lvl]:[Paper Description]])</f>
        <v>2PJ29DG0061SD5201SCATTERED NUMBERS 60 X 144110110000020-6200Premium Inkjet MPK 9653</v>
      </c>
      <c r="J4739" s="7">
        <f>COUNTIF(Paper_Reference[Duplicate Key],Paper_Reference[[#This Row],[Duplicate Key]])</f>
        <v>1</v>
      </c>
    </row>
    <row r="4740" spans="1:10">
      <c r="A4740" s="7">
        <v>2</v>
      </c>
      <c r="B4740" s="8" t="s">
        <v>2736</v>
      </c>
      <c r="C4740" s="8" t="s">
        <v>2275</v>
      </c>
      <c r="D4740" s="7">
        <v>1</v>
      </c>
      <c r="E4740" s="7">
        <v>10</v>
      </c>
      <c r="F4740" s="7">
        <v>1</v>
      </c>
      <c r="G4740" s="8" t="s">
        <v>2144</v>
      </c>
      <c r="H4740" s="8" t="s">
        <v>1242</v>
      </c>
      <c r="I4740" s="7" t="str">
        <f>_xlfn.CONCAT(Paper_Reference[[#This Row],[Lvl]:[Paper Description]])</f>
        <v>2PJ29DG0061SD5203SCATTERED NUMBERS 60 X 144110110000020-6200Premium Inkjet MPK 9653</v>
      </c>
      <c r="J4740" s="7">
        <f>COUNTIF(Paper_Reference[Duplicate Key],Paper_Reference[[#This Row],[Duplicate Key]])</f>
        <v>1</v>
      </c>
    </row>
    <row r="4741" spans="1:10">
      <c r="A4741" s="7">
        <v>2</v>
      </c>
      <c r="B4741" s="8" t="s">
        <v>2737</v>
      </c>
      <c r="C4741" s="8" t="s">
        <v>2267</v>
      </c>
      <c r="D4741" s="7">
        <v>1</v>
      </c>
      <c r="E4741" s="7">
        <v>10</v>
      </c>
      <c r="F4741" s="7">
        <v>1</v>
      </c>
      <c r="G4741" s="8" t="s">
        <v>2144</v>
      </c>
      <c r="H4741" s="8" t="s">
        <v>1242</v>
      </c>
      <c r="I4741" s="7" t="str">
        <f>_xlfn.CONCAT(Paper_Reference[[#This Row],[Lvl]:[Paper Description]])</f>
        <v>2PJ29DG0064SD5200SCIENCE LAB C/BOARD 60 X 144110110000020-6200Premium Inkjet MPK 9653</v>
      </c>
      <c r="J4741" s="7">
        <f>COUNTIF(Paper_Reference[Duplicate Key],Paper_Reference[[#This Row],[Duplicate Key]])</f>
        <v>1</v>
      </c>
    </row>
    <row r="4742" spans="1:10">
      <c r="A4742" s="7">
        <v>2</v>
      </c>
      <c r="B4742" s="8" t="s">
        <v>1935</v>
      </c>
      <c r="C4742" s="8" t="s">
        <v>1499</v>
      </c>
      <c r="D4742" s="7">
        <v>1</v>
      </c>
      <c r="E4742" s="7">
        <v>10</v>
      </c>
      <c r="F4742" s="7">
        <v>1</v>
      </c>
      <c r="G4742" s="8" t="s">
        <v>1241</v>
      </c>
      <c r="H4742" s="8" t="s">
        <v>1242</v>
      </c>
      <c r="I4742" s="7" t="str">
        <f>_xlfn.CONCAT(Paper_Reference[[#This Row],[Lvl]:[Paper Description]])</f>
        <v>2PJ29DG0065SD4800BALOON DOG BLACK 48 X 96110110000020-5000Premium Inkjet MPK 9653</v>
      </c>
      <c r="J4742" s="7">
        <f>COUNTIF(Paper_Reference[Duplicate Key],Paper_Reference[[#This Row],[Duplicate Key]])</f>
        <v>1</v>
      </c>
    </row>
    <row r="4743" spans="1:10">
      <c r="A4743" s="7">
        <v>2</v>
      </c>
      <c r="B4743" s="8" t="s">
        <v>2738</v>
      </c>
      <c r="C4743" s="8" t="s">
        <v>2276</v>
      </c>
      <c r="D4743" s="7">
        <v>1</v>
      </c>
      <c r="E4743" s="7">
        <v>10</v>
      </c>
      <c r="F4743" s="7">
        <v>1</v>
      </c>
      <c r="G4743" s="8" t="s">
        <v>2144</v>
      </c>
      <c r="H4743" s="8" t="s">
        <v>1242</v>
      </c>
      <c r="I4743" s="7" t="str">
        <f>_xlfn.CONCAT(Paper_Reference[[#This Row],[Lvl]:[Paper Description]])</f>
        <v>2PJ29DG0065SD5000BALOON DOG BLACK  60 X 120110110000020-6200Premium Inkjet MPK 9653</v>
      </c>
      <c r="J4743" s="7">
        <f>COUNTIF(Paper_Reference[Duplicate Key],Paper_Reference[[#This Row],[Duplicate Key]])</f>
        <v>1</v>
      </c>
    </row>
    <row r="4744" spans="1:10">
      <c r="A4744" s="7">
        <v>2</v>
      </c>
      <c r="B4744" s="8" t="s">
        <v>2739</v>
      </c>
      <c r="C4744" s="8" t="s">
        <v>2277</v>
      </c>
      <c r="D4744" s="7">
        <v>1</v>
      </c>
      <c r="E4744" s="7">
        <v>10</v>
      </c>
      <c r="F4744" s="7">
        <v>1</v>
      </c>
      <c r="G4744" s="8" t="s">
        <v>2144</v>
      </c>
      <c r="H4744" s="8" t="s">
        <v>1242</v>
      </c>
      <c r="I4744" s="7" t="str">
        <f>_xlfn.CONCAT(Paper_Reference[[#This Row],[Lvl]:[Paper Description]])</f>
        <v>2PJ29DG0065SD5200BALOON DOG BLACK 60 X 144110110000020-6200Premium Inkjet MPK 9653</v>
      </c>
      <c r="J4744" s="7">
        <f>COUNTIF(Paper_Reference[Duplicate Key],Paper_Reference[[#This Row],[Duplicate Key]])</f>
        <v>1</v>
      </c>
    </row>
    <row r="4745" spans="1:10">
      <c r="A4745" s="7">
        <v>2</v>
      </c>
      <c r="B4745" s="8" t="s">
        <v>1936</v>
      </c>
      <c r="C4745" s="8" t="s">
        <v>1500</v>
      </c>
      <c r="D4745" s="7">
        <v>1</v>
      </c>
      <c r="E4745" s="7">
        <v>10</v>
      </c>
      <c r="F4745" s="7">
        <v>1</v>
      </c>
      <c r="G4745" s="8" t="s">
        <v>1241</v>
      </c>
      <c r="H4745" s="8" t="s">
        <v>1242</v>
      </c>
      <c r="I4745" s="7" t="str">
        <f>_xlfn.CONCAT(Paper_Reference[[#This Row],[Lvl]:[Paper Description]])</f>
        <v>2PJ29DG0071SD3000WHITE VENUS II 36 X 120110110000020-5000Premium Inkjet MPK 9653</v>
      </c>
      <c r="J4745" s="7">
        <f>COUNTIF(Paper_Reference[Duplicate Key],Paper_Reference[[#This Row],[Duplicate Key]])</f>
        <v>1</v>
      </c>
    </row>
    <row r="4746" spans="1:10">
      <c r="A4746" s="7">
        <v>2</v>
      </c>
      <c r="B4746" s="8" t="s">
        <v>1937</v>
      </c>
      <c r="C4746" s="8" t="s">
        <v>1501</v>
      </c>
      <c r="D4746" s="7">
        <v>1</v>
      </c>
      <c r="E4746" s="7">
        <v>10</v>
      </c>
      <c r="F4746" s="7">
        <v>1</v>
      </c>
      <c r="G4746" s="8" t="s">
        <v>1241</v>
      </c>
      <c r="H4746" s="8" t="s">
        <v>1242</v>
      </c>
      <c r="I4746" s="7" t="str">
        <f>_xlfn.CONCAT(Paper_Reference[[#This Row],[Lvl]:[Paper Description]])</f>
        <v>2PJ29DG0071SD4000WHITE VENUS II 48 X 120110110000020-5000Premium Inkjet MPK 9653</v>
      </c>
      <c r="J4746" s="7">
        <f>COUNTIF(Paper_Reference[Duplicate Key],Paper_Reference[[#This Row],[Duplicate Key]])</f>
        <v>1</v>
      </c>
    </row>
    <row r="4747" spans="1:10">
      <c r="A4747" s="7">
        <v>2</v>
      </c>
      <c r="B4747" s="8" t="s">
        <v>1938</v>
      </c>
      <c r="C4747" s="8" t="s">
        <v>1483</v>
      </c>
      <c r="D4747" s="7">
        <v>1</v>
      </c>
      <c r="E4747" s="7">
        <v>10</v>
      </c>
      <c r="F4747" s="7">
        <v>1</v>
      </c>
      <c r="G4747" s="8" t="s">
        <v>1241</v>
      </c>
      <c r="H4747" s="8" t="s">
        <v>1242</v>
      </c>
      <c r="I4747" s="7" t="str">
        <f>_xlfn.CONCAT(Paper_Reference[[#This Row],[Lvl]:[Paper Description]])</f>
        <v>2PJ29DG0071SD4800WHITE VENUS II 48 X 96110110000020-5000Premium Inkjet MPK 9653</v>
      </c>
      <c r="J4747" s="7">
        <f>COUNTIF(Paper_Reference[Duplicate Key],Paper_Reference[[#This Row],[Duplicate Key]])</f>
        <v>1</v>
      </c>
    </row>
    <row r="4748" spans="1:10">
      <c r="A4748" s="7">
        <v>2</v>
      </c>
      <c r="B4748" s="8" t="s">
        <v>2740</v>
      </c>
      <c r="C4748" s="8" t="s">
        <v>2278</v>
      </c>
      <c r="D4748" s="7">
        <v>1</v>
      </c>
      <c r="E4748" s="7">
        <v>10</v>
      </c>
      <c r="F4748" s="7">
        <v>1</v>
      </c>
      <c r="G4748" s="8" t="s">
        <v>2144</v>
      </c>
      <c r="H4748" s="8" t="s">
        <v>1242</v>
      </c>
      <c r="I4748" s="7" t="str">
        <f>_xlfn.CONCAT(Paper_Reference[[#This Row],[Lvl]:[Paper Description]])</f>
        <v>2PJ29DG0071SD5000WHITE VENUS II 60 X 120110110000020-6200Premium Inkjet MPK 9653</v>
      </c>
      <c r="J4748" s="7">
        <f>COUNTIF(Paper_Reference[Duplicate Key],Paper_Reference[[#This Row],[Duplicate Key]])</f>
        <v>1</v>
      </c>
    </row>
    <row r="4749" spans="1:10">
      <c r="A4749" s="7">
        <v>2</v>
      </c>
      <c r="B4749" s="8" t="s">
        <v>2741</v>
      </c>
      <c r="C4749" s="8" t="s">
        <v>2268</v>
      </c>
      <c r="D4749" s="7">
        <v>1</v>
      </c>
      <c r="E4749" s="7">
        <v>10</v>
      </c>
      <c r="F4749" s="7">
        <v>1</v>
      </c>
      <c r="G4749" s="8" t="s">
        <v>2144</v>
      </c>
      <c r="H4749" s="8" t="s">
        <v>1242</v>
      </c>
      <c r="I4749" s="7" t="str">
        <f>_xlfn.CONCAT(Paper_Reference[[#This Row],[Lvl]:[Paper Description]])</f>
        <v>2PJ29DG0071SD5200WHITE VENUS II 60 X 144110110000020-6200Premium Inkjet MPK 9653</v>
      </c>
      <c r="J4749" s="7">
        <f>COUNTIF(Paper_Reference[Duplicate Key],Paper_Reference[[#This Row],[Duplicate Key]])</f>
        <v>1</v>
      </c>
    </row>
    <row r="4750" spans="1:10">
      <c r="A4750" s="7">
        <v>2</v>
      </c>
      <c r="B4750" s="8" t="s">
        <v>1939</v>
      </c>
      <c r="C4750" s="8" t="s">
        <v>1483</v>
      </c>
      <c r="D4750" s="7">
        <v>1</v>
      </c>
      <c r="E4750" s="7">
        <v>10</v>
      </c>
      <c r="F4750" s="7">
        <v>1</v>
      </c>
      <c r="G4750" s="8" t="s">
        <v>1241</v>
      </c>
      <c r="H4750" s="8" t="s">
        <v>1242</v>
      </c>
      <c r="I4750" s="7" t="str">
        <f>_xlfn.CONCAT(Paper_Reference[[#This Row],[Lvl]:[Paper Description]])</f>
        <v>2PJ29DG0071T-4800WHITE VENUS II 48 X 96110110000020-5000Premium Inkjet MPK 9653</v>
      </c>
      <c r="J4750" s="7">
        <f>COUNTIF(Paper_Reference[Duplicate Key],Paper_Reference[[#This Row],[Duplicate Key]])</f>
        <v>1</v>
      </c>
    </row>
    <row r="4751" spans="1:10">
      <c r="A4751" s="7">
        <v>2</v>
      </c>
      <c r="B4751" s="8" t="s">
        <v>1940</v>
      </c>
      <c r="C4751" s="8" t="s">
        <v>1502</v>
      </c>
      <c r="D4751" s="7">
        <v>1</v>
      </c>
      <c r="E4751" s="7">
        <v>10</v>
      </c>
      <c r="F4751" s="7">
        <v>1</v>
      </c>
      <c r="G4751" s="8" t="s">
        <v>1241</v>
      </c>
      <c r="H4751" s="8" t="s">
        <v>1242</v>
      </c>
      <c r="I4751" s="7" t="str">
        <f>_xlfn.CONCAT(Paper_Reference[[#This Row],[Lvl]:[Paper Description]])</f>
        <v>2PJ29DG0072SD4200TURQUOISE VENUS II 48 X 144110110000020-5000Premium Inkjet MPK 9653</v>
      </c>
      <c r="J4751" s="7">
        <f>COUNTIF(Paper_Reference[Duplicate Key],Paper_Reference[[#This Row],[Duplicate Key]])</f>
        <v>1</v>
      </c>
    </row>
    <row r="4752" spans="1:10">
      <c r="A4752" s="7">
        <v>2</v>
      </c>
      <c r="B4752" s="8" t="s">
        <v>1941</v>
      </c>
      <c r="C4752" s="8" t="s">
        <v>1503</v>
      </c>
      <c r="D4752" s="7">
        <v>1</v>
      </c>
      <c r="E4752" s="7">
        <v>10</v>
      </c>
      <c r="F4752" s="7">
        <v>1</v>
      </c>
      <c r="G4752" s="8" t="s">
        <v>1241</v>
      </c>
      <c r="H4752" s="8" t="s">
        <v>1242</v>
      </c>
      <c r="I4752" s="7" t="str">
        <f>_xlfn.CONCAT(Paper_Reference[[#This Row],[Lvl]:[Paper Description]])</f>
        <v>2PJ29DG0072SD4800TURQUOISE VENUS II 48 X 96110110000020-5000Premium Inkjet MPK 9653</v>
      </c>
      <c r="J4752" s="7">
        <f>COUNTIF(Paper_Reference[Duplicate Key],Paper_Reference[[#This Row],[Duplicate Key]])</f>
        <v>1</v>
      </c>
    </row>
    <row r="4753" spans="1:10">
      <c r="A4753" s="7">
        <v>2</v>
      </c>
      <c r="B4753" s="8" t="s">
        <v>1942</v>
      </c>
      <c r="C4753" s="8" t="s">
        <v>1504</v>
      </c>
      <c r="D4753" s="7">
        <v>1</v>
      </c>
      <c r="E4753" s="7">
        <v>10</v>
      </c>
      <c r="F4753" s="7">
        <v>1</v>
      </c>
      <c r="G4753" s="8" t="s">
        <v>1241</v>
      </c>
      <c r="H4753" s="8" t="s">
        <v>1242</v>
      </c>
      <c r="I4753" s="7" t="str">
        <f>_xlfn.CONCAT(Paper_Reference[[#This Row],[Lvl]:[Paper Description]])</f>
        <v>2PJ29DG0076SD3800CARBON BLACK BOOM 36 X 96110110000020-5000Premium Inkjet MPK 9653</v>
      </c>
      <c r="J4753" s="7">
        <f>COUNTIF(Paper_Reference[Duplicate Key],Paper_Reference[[#This Row],[Duplicate Key]])</f>
        <v>1</v>
      </c>
    </row>
    <row r="4754" spans="1:10">
      <c r="A4754" s="7">
        <v>2</v>
      </c>
      <c r="B4754" s="8" t="s">
        <v>1943</v>
      </c>
      <c r="C4754" s="8" t="s">
        <v>1505</v>
      </c>
      <c r="D4754" s="7">
        <v>1</v>
      </c>
      <c r="E4754" s="7">
        <v>10</v>
      </c>
      <c r="F4754" s="7">
        <v>1</v>
      </c>
      <c r="G4754" s="8" t="s">
        <v>1241</v>
      </c>
      <c r="H4754" s="8" t="s">
        <v>1242</v>
      </c>
      <c r="I4754" s="7" t="str">
        <f>_xlfn.CONCAT(Paper_Reference[[#This Row],[Lvl]:[Paper Description]])</f>
        <v>2PJ29DG0076SD4800CARBON BLACK BOOM 48 X 96110110000020-5000Premium Inkjet MPK 9653</v>
      </c>
      <c r="J4754" s="7">
        <f>COUNTIF(Paper_Reference[Duplicate Key],Paper_Reference[[#This Row],[Duplicate Key]])</f>
        <v>1</v>
      </c>
    </row>
    <row r="4755" spans="1:10">
      <c r="A4755" s="7">
        <v>2</v>
      </c>
      <c r="B4755" s="8" t="s">
        <v>2742</v>
      </c>
      <c r="C4755" s="8" t="s">
        <v>2279</v>
      </c>
      <c r="D4755" s="7">
        <v>1</v>
      </c>
      <c r="E4755" s="7">
        <v>10</v>
      </c>
      <c r="F4755" s="7">
        <v>1</v>
      </c>
      <c r="G4755" s="8" t="s">
        <v>2144</v>
      </c>
      <c r="H4755" s="8" t="s">
        <v>1242</v>
      </c>
      <c r="I4755" s="7" t="str">
        <f>_xlfn.CONCAT(Paper_Reference[[#This Row],[Lvl]:[Paper Description]])</f>
        <v>2PJ29DG0076SD5800CARBON BLACK BOOM D/G 60 X 96110110000020-6200Premium Inkjet MPK 9653</v>
      </c>
      <c r="J4755" s="7">
        <f>COUNTIF(Paper_Reference[Duplicate Key],Paper_Reference[[#This Row],[Duplicate Key]])</f>
        <v>1</v>
      </c>
    </row>
    <row r="4756" spans="1:10">
      <c r="A4756" s="7">
        <v>2</v>
      </c>
      <c r="B4756" s="8" t="s">
        <v>1944</v>
      </c>
      <c r="C4756" s="8" t="s">
        <v>1505</v>
      </c>
      <c r="D4756" s="7">
        <v>1</v>
      </c>
      <c r="E4756" s="7">
        <v>10</v>
      </c>
      <c r="F4756" s="7">
        <v>1</v>
      </c>
      <c r="G4756" s="8" t="s">
        <v>1241</v>
      </c>
      <c r="H4756" s="8" t="s">
        <v>1242</v>
      </c>
      <c r="I4756" s="7" t="str">
        <f>_xlfn.CONCAT(Paper_Reference[[#This Row],[Lvl]:[Paper Description]])</f>
        <v>2PJ29DG0076T-4800CARBON BLACK BOOM 48 X 96110110000020-5000Premium Inkjet MPK 9653</v>
      </c>
      <c r="J4756" s="7">
        <f>COUNTIF(Paper_Reference[Duplicate Key],Paper_Reference[[#This Row],[Duplicate Key]])</f>
        <v>1</v>
      </c>
    </row>
    <row r="4757" spans="1:10">
      <c r="A4757" s="7">
        <v>2</v>
      </c>
      <c r="B4757" s="8" t="s">
        <v>1945</v>
      </c>
      <c r="C4757" s="8" t="s">
        <v>1506</v>
      </c>
      <c r="D4757" s="7">
        <v>1</v>
      </c>
      <c r="E4757" s="7">
        <v>10</v>
      </c>
      <c r="F4757" s="7">
        <v>1</v>
      </c>
      <c r="G4757" s="8" t="s">
        <v>1241</v>
      </c>
      <c r="H4757" s="8" t="s">
        <v>1242</v>
      </c>
      <c r="I4757" s="7" t="str">
        <f>_xlfn.CONCAT(Paper_Reference[[#This Row],[Lvl]:[Paper Description]])</f>
        <v>2PJ29DG0077SD4800ODENTON PINK LADY 48 X 96110110000020-5000Premium Inkjet MPK 9653</v>
      </c>
      <c r="J4757" s="7">
        <f>COUNTIF(Paper_Reference[Duplicate Key],Paper_Reference[[#This Row],[Duplicate Key]])</f>
        <v>1</v>
      </c>
    </row>
    <row r="4758" spans="1:10">
      <c r="A4758" s="7">
        <v>2</v>
      </c>
      <c r="B4758" s="8" t="s">
        <v>1946</v>
      </c>
      <c r="C4758" s="8" t="s">
        <v>1507</v>
      </c>
      <c r="D4758" s="7">
        <v>1</v>
      </c>
      <c r="E4758" s="7">
        <v>10</v>
      </c>
      <c r="F4758" s="7">
        <v>1</v>
      </c>
      <c r="G4758" s="8" t="s">
        <v>1241</v>
      </c>
      <c r="H4758" s="8" t="s">
        <v>1242</v>
      </c>
      <c r="I4758" s="7" t="str">
        <f>_xlfn.CONCAT(Paper_Reference[[#This Row],[Lvl]:[Paper Description]])</f>
        <v>2PJ29DG0078SD3000ODENTON NEON LIGHT 36 X 120110110000020-5000Premium Inkjet MPK 9653</v>
      </c>
      <c r="J4758" s="7">
        <f>COUNTIF(Paper_Reference[Duplicate Key],Paper_Reference[[#This Row],[Duplicate Key]])</f>
        <v>1</v>
      </c>
    </row>
    <row r="4759" spans="1:10">
      <c r="A4759" s="7">
        <v>2</v>
      </c>
      <c r="B4759" s="8" t="s">
        <v>1947</v>
      </c>
      <c r="C4759" s="8" t="s">
        <v>1508</v>
      </c>
      <c r="D4759" s="7">
        <v>1</v>
      </c>
      <c r="E4759" s="7">
        <v>10</v>
      </c>
      <c r="F4759" s="7">
        <v>1</v>
      </c>
      <c r="G4759" s="8" t="s">
        <v>1241</v>
      </c>
      <c r="H4759" s="8" t="s">
        <v>1242</v>
      </c>
      <c r="I4759" s="7" t="str">
        <f>_xlfn.CONCAT(Paper_Reference[[#This Row],[Lvl]:[Paper Description]])</f>
        <v>2PJ29DG0078SD4000ODENTON NEON LIGHT 48 X 120110110000020-5000Premium Inkjet MPK 9653</v>
      </c>
      <c r="J4759" s="7">
        <f>COUNTIF(Paper_Reference[Duplicate Key],Paper_Reference[[#This Row],[Duplicate Key]])</f>
        <v>1</v>
      </c>
    </row>
    <row r="4760" spans="1:10">
      <c r="A4760" s="7">
        <v>2</v>
      </c>
      <c r="B4760" s="8" t="s">
        <v>1948</v>
      </c>
      <c r="C4760" s="8" t="s">
        <v>1509</v>
      </c>
      <c r="D4760" s="7">
        <v>1</v>
      </c>
      <c r="E4760" s="7">
        <v>10</v>
      </c>
      <c r="F4760" s="7">
        <v>1</v>
      </c>
      <c r="G4760" s="8" t="s">
        <v>1241</v>
      </c>
      <c r="H4760" s="8" t="s">
        <v>1242</v>
      </c>
      <c r="I4760" s="7" t="str">
        <f>_xlfn.CONCAT(Paper_Reference[[#This Row],[Lvl]:[Paper Description]])</f>
        <v>2PJ29DG0078SD4800ODENTON NEON LIGHT48 X 96110110000020-5000Premium Inkjet MPK 9653</v>
      </c>
      <c r="J4760" s="7">
        <f>COUNTIF(Paper_Reference[Duplicate Key],Paper_Reference[[#This Row],[Duplicate Key]])</f>
        <v>1</v>
      </c>
    </row>
    <row r="4761" spans="1:10">
      <c r="A4761" s="7">
        <v>2</v>
      </c>
      <c r="B4761" s="8" t="s">
        <v>2743</v>
      </c>
      <c r="C4761" s="8" t="s">
        <v>2280</v>
      </c>
      <c r="D4761" s="7">
        <v>1</v>
      </c>
      <c r="E4761" s="7">
        <v>10</v>
      </c>
      <c r="F4761" s="7">
        <v>1</v>
      </c>
      <c r="G4761" s="8" t="s">
        <v>2144</v>
      </c>
      <c r="H4761" s="8" t="s">
        <v>1242</v>
      </c>
      <c r="I4761" s="7" t="str">
        <f>_xlfn.CONCAT(Paper_Reference[[#This Row],[Lvl]:[Paper Description]])</f>
        <v>2PJ29DG0078SD5000ODENTON NEON LIGHT  60 X 120110110000020-6200Premium Inkjet MPK 9653</v>
      </c>
      <c r="J4761" s="7">
        <f>COUNTIF(Paper_Reference[Duplicate Key],Paper_Reference[[#This Row],[Duplicate Key]])</f>
        <v>1</v>
      </c>
    </row>
    <row r="4762" spans="1:10">
      <c r="A4762" s="7">
        <v>2</v>
      </c>
      <c r="B4762" s="8" t="s">
        <v>2744</v>
      </c>
      <c r="C4762" s="8" t="s">
        <v>2281</v>
      </c>
      <c r="D4762" s="7">
        <v>1</v>
      </c>
      <c r="E4762" s="7">
        <v>10</v>
      </c>
      <c r="F4762" s="7">
        <v>1</v>
      </c>
      <c r="G4762" s="8" t="s">
        <v>2144</v>
      </c>
      <c r="H4762" s="8" t="s">
        <v>1242</v>
      </c>
      <c r="I4762" s="7" t="str">
        <f>_xlfn.CONCAT(Paper_Reference[[#This Row],[Lvl]:[Paper Description]])</f>
        <v>2PJ29DG0078SM5200ODENTON NEON LIGHT 60 X 144110110000020-6200Premium Inkjet MPK 9653</v>
      </c>
      <c r="J4762" s="7">
        <f>COUNTIF(Paper_Reference[Duplicate Key],Paper_Reference[[#This Row],[Duplicate Key]])</f>
        <v>1</v>
      </c>
    </row>
    <row r="4763" spans="1:10">
      <c r="A4763" s="7">
        <v>2</v>
      </c>
      <c r="B4763" s="8" t="s">
        <v>1949</v>
      </c>
      <c r="C4763" s="8" t="s">
        <v>1510</v>
      </c>
      <c r="D4763" s="7">
        <v>1</v>
      </c>
      <c r="E4763" s="7">
        <v>10</v>
      </c>
      <c r="F4763" s="7">
        <v>1</v>
      </c>
      <c r="G4763" s="8" t="s">
        <v>1241</v>
      </c>
      <c r="H4763" s="8" t="s">
        <v>1242</v>
      </c>
      <c r="I4763" s="7" t="str">
        <f>_xlfn.CONCAT(Paper_Reference[[#This Row],[Lvl]:[Paper Description]])</f>
        <v>2PJ29DG0078T-4800ODENTON NEON LIGHT 48 X 96110110000020-5000Premium Inkjet MPK 9653</v>
      </c>
      <c r="J4763" s="7">
        <f>COUNTIF(Paper_Reference[Duplicate Key],Paper_Reference[[#This Row],[Duplicate Key]])</f>
        <v>1</v>
      </c>
    </row>
    <row r="4764" spans="1:10">
      <c r="A4764" s="7">
        <v>2</v>
      </c>
      <c r="B4764" s="8" t="s">
        <v>1950</v>
      </c>
      <c r="C4764" s="8" t="s">
        <v>1511</v>
      </c>
      <c r="D4764" s="7">
        <v>1</v>
      </c>
      <c r="E4764" s="7">
        <v>10</v>
      </c>
      <c r="F4764" s="7">
        <v>1</v>
      </c>
      <c r="G4764" s="8" t="s">
        <v>1241</v>
      </c>
      <c r="H4764" s="8" t="s">
        <v>1242</v>
      </c>
      <c r="I4764" s="7" t="str">
        <f>_xlfn.CONCAT(Paper_Reference[[#This Row],[Lvl]:[Paper Description]])</f>
        <v>2PJ29DG0080SD4800BABY ANIMAL FRIENDS 48 X 96110110000020-5000Premium Inkjet MPK 9653</v>
      </c>
      <c r="J4764" s="7">
        <f>COUNTIF(Paper_Reference[Duplicate Key],Paper_Reference[[#This Row],[Duplicate Key]])</f>
        <v>1</v>
      </c>
    </row>
    <row r="4765" spans="1:10">
      <c r="A4765" s="7">
        <v>2</v>
      </c>
      <c r="B4765" s="8" t="s">
        <v>1951</v>
      </c>
      <c r="C4765" s="8" t="s">
        <v>1512</v>
      </c>
      <c r="D4765" s="7">
        <v>1</v>
      </c>
      <c r="E4765" s="7">
        <v>10</v>
      </c>
      <c r="F4765" s="7">
        <v>1</v>
      </c>
      <c r="G4765" s="8" t="s">
        <v>1241</v>
      </c>
      <c r="H4765" s="8" t="s">
        <v>1242</v>
      </c>
      <c r="I4765" s="7" t="str">
        <f>_xlfn.CONCAT(Paper_Reference[[#This Row],[Lvl]:[Paper Description]])</f>
        <v>2PJ29DG0083SD4800MINI HOUNDSTOOTH MIST 48 X 96110110000020-5000Premium Inkjet MPK 9653</v>
      </c>
      <c r="J4765" s="7">
        <f>COUNTIF(Paper_Reference[Duplicate Key],Paper_Reference[[#This Row],[Duplicate Key]])</f>
        <v>1</v>
      </c>
    </row>
    <row r="4766" spans="1:10">
      <c r="A4766" s="7">
        <v>2</v>
      </c>
      <c r="B4766" s="8" t="s">
        <v>1952</v>
      </c>
      <c r="C4766" s="8" t="s">
        <v>1485</v>
      </c>
      <c r="D4766" s="7">
        <v>1</v>
      </c>
      <c r="E4766" s="7">
        <v>10</v>
      </c>
      <c r="F4766" s="7">
        <v>1</v>
      </c>
      <c r="G4766" s="8" t="s">
        <v>1241</v>
      </c>
      <c r="H4766" s="8" t="s">
        <v>1242</v>
      </c>
      <c r="I4766" s="7" t="str">
        <f>_xlfn.CONCAT(Paper_Reference[[#This Row],[Lvl]:[Paper Description]])</f>
        <v>2PJ29DG0084SD4800PLAID INTER ASH GRAY 48 X 96110110000020-5000Premium Inkjet MPK 9653</v>
      </c>
      <c r="J4766" s="7">
        <f>COUNTIF(Paper_Reference[Duplicate Key],Paper_Reference[[#This Row],[Duplicate Key]])</f>
        <v>1</v>
      </c>
    </row>
    <row r="4767" spans="1:10">
      <c r="A4767" s="7">
        <v>2</v>
      </c>
      <c r="B4767" s="8" t="s">
        <v>2745</v>
      </c>
      <c r="C4767" s="8" t="s">
        <v>2282</v>
      </c>
      <c r="D4767" s="7">
        <v>1</v>
      </c>
      <c r="E4767" s="7">
        <v>10</v>
      </c>
      <c r="F4767" s="7">
        <v>1</v>
      </c>
      <c r="G4767" s="8" t="s">
        <v>2144</v>
      </c>
      <c r="H4767" s="8" t="s">
        <v>1242</v>
      </c>
      <c r="I4767" s="7" t="str">
        <f>_xlfn.CONCAT(Paper_Reference[[#This Row],[Lvl]:[Paper Description]])</f>
        <v>2PJ29DG0084SD5200PLAID INTER ASH GRAY 60 X 144110110000020-6200Premium Inkjet MPK 9653</v>
      </c>
      <c r="J4767" s="7">
        <f>COUNTIF(Paper_Reference[Duplicate Key],Paper_Reference[[#This Row],[Duplicate Key]])</f>
        <v>1</v>
      </c>
    </row>
    <row r="4768" spans="1:10">
      <c r="A4768" s="7">
        <v>2</v>
      </c>
      <c r="B4768" s="8" t="s">
        <v>1953</v>
      </c>
      <c r="C4768" s="8" t="s">
        <v>1513</v>
      </c>
      <c r="D4768" s="7">
        <v>1</v>
      </c>
      <c r="E4768" s="7">
        <v>10</v>
      </c>
      <c r="F4768" s="7">
        <v>1</v>
      </c>
      <c r="G4768" s="8" t="s">
        <v>1241</v>
      </c>
      <c r="H4768" s="8" t="s">
        <v>1242</v>
      </c>
      <c r="I4768" s="7" t="str">
        <f>_xlfn.CONCAT(Paper_Reference[[#This Row],[Lvl]:[Paper Description]])</f>
        <v>2PJ29DG0085SD4800PLAID INTER PARCHMENT 48 X 96110110000020-5000Premium Inkjet MPK 9653</v>
      </c>
      <c r="J4768" s="7">
        <f>COUNTIF(Paper_Reference[Duplicate Key],Paper_Reference[[#This Row],[Duplicate Key]])</f>
        <v>1</v>
      </c>
    </row>
    <row r="4769" spans="1:10">
      <c r="A4769" s="7">
        <v>2</v>
      </c>
      <c r="B4769" s="8" t="s">
        <v>1954</v>
      </c>
      <c r="C4769" s="8" t="s">
        <v>1514</v>
      </c>
      <c r="D4769" s="7">
        <v>1</v>
      </c>
      <c r="E4769" s="7">
        <v>10</v>
      </c>
      <c r="F4769" s="7">
        <v>1</v>
      </c>
      <c r="G4769" s="8" t="s">
        <v>1241</v>
      </c>
      <c r="H4769" s="8" t="s">
        <v>1242</v>
      </c>
      <c r="I4769" s="7" t="str">
        <f>_xlfn.CONCAT(Paper_Reference[[#This Row],[Lvl]:[Paper Description]])</f>
        <v>2PJ29ND0110GL4001ABC RICALTINI 7345 48 X 120110110000020-5000Premium Inkjet MPK 9653</v>
      </c>
      <c r="J4769" s="7">
        <f>COUNTIF(Paper_Reference[Duplicate Key],Paper_Reference[[#This Row],[Duplicate Key]])</f>
        <v>1</v>
      </c>
    </row>
    <row r="4770" spans="1:10">
      <c r="A4770" s="7">
        <v>2</v>
      </c>
      <c r="B4770" s="8" t="s">
        <v>1955</v>
      </c>
      <c r="C4770" s="8" t="s">
        <v>1515</v>
      </c>
      <c r="D4770" s="7">
        <v>1</v>
      </c>
      <c r="E4770" s="7">
        <v>10</v>
      </c>
      <c r="F4770" s="7">
        <v>1</v>
      </c>
      <c r="G4770" s="8" t="s">
        <v>1241</v>
      </c>
      <c r="H4770" s="8" t="s">
        <v>1242</v>
      </c>
      <c r="I4770" s="7" t="str">
        <f>_xlfn.CONCAT(Paper_Reference[[#This Row],[Lvl]:[Paper Description]])</f>
        <v>2PJ37DG0001SD4800HONEYCOMB HEX WOOD 48 X 96110110000020-5000Premium Inkjet MPK 9653</v>
      </c>
      <c r="J4770" s="7">
        <f>COUNTIF(Paper_Reference[Duplicate Key],Paper_Reference[[#This Row],[Duplicate Key]])</f>
        <v>1</v>
      </c>
    </row>
    <row r="4771" spans="1:10">
      <c r="A4771" s="7">
        <v>2</v>
      </c>
      <c r="B4771" s="8" t="s">
        <v>1956</v>
      </c>
      <c r="C4771" s="8" t="s">
        <v>1516</v>
      </c>
      <c r="D4771" s="7">
        <v>1</v>
      </c>
      <c r="E4771" s="7">
        <v>10</v>
      </c>
      <c r="F4771" s="7">
        <v>1</v>
      </c>
      <c r="G4771" s="8" t="s">
        <v>1241</v>
      </c>
      <c r="H4771" s="8" t="s">
        <v>1242</v>
      </c>
      <c r="I4771" s="7" t="str">
        <f>_xlfn.CONCAT(Paper_Reference[[#This Row],[Lvl]:[Paper Description]])</f>
        <v>2PJ37DG0012SD4800MIDAS TOUCH 48 X 96110110000020-5000Premium Inkjet MPK 9653</v>
      </c>
      <c r="J4771" s="7">
        <f>COUNTIF(Paper_Reference[Duplicate Key],Paper_Reference[[#This Row],[Duplicate Key]])</f>
        <v>1</v>
      </c>
    </row>
    <row r="4772" spans="1:10">
      <c r="A4772" s="7">
        <v>2</v>
      </c>
      <c r="B4772" s="8" t="s">
        <v>2746</v>
      </c>
      <c r="C4772" s="8" t="s">
        <v>2283</v>
      </c>
      <c r="D4772" s="7">
        <v>1</v>
      </c>
      <c r="E4772" s="7">
        <v>10</v>
      </c>
      <c r="F4772" s="7">
        <v>1</v>
      </c>
      <c r="G4772" s="8" t="s">
        <v>2144</v>
      </c>
      <c r="H4772" s="8" t="s">
        <v>1242</v>
      </c>
      <c r="I4772" s="7" t="str">
        <f>_xlfn.CONCAT(Paper_Reference[[#This Row],[Lvl]:[Paper Description]])</f>
        <v>2PJ37DG0012VE5200MIDAS TOUCH 60 X 144110110000020-6200Premium Inkjet MPK 9653</v>
      </c>
      <c r="J4772" s="7">
        <f>COUNTIF(Paper_Reference[Duplicate Key],Paper_Reference[[#This Row],[Duplicate Key]])</f>
        <v>1</v>
      </c>
    </row>
    <row r="4773" spans="1:10">
      <c r="A4773" s="7">
        <v>2</v>
      </c>
      <c r="B4773" s="8" t="s">
        <v>1957</v>
      </c>
      <c r="C4773" s="8" t="s">
        <v>1517</v>
      </c>
      <c r="D4773" s="7">
        <v>1</v>
      </c>
      <c r="E4773" s="7">
        <v>10</v>
      </c>
      <c r="F4773" s="7">
        <v>1</v>
      </c>
      <c r="G4773" s="8" t="s">
        <v>1241</v>
      </c>
      <c r="H4773" s="8" t="s">
        <v>1242</v>
      </c>
      <c r="I4773" s="7" t="str">
        <f>_xlfn.CONCAT(Paper_Reference[[#This Row],[Lvl]:[Paper Description]])</f>
        <v>2PJ37DG0013SD4800MARBLED TRAPEZOID 48 X 96110110000020-5000Premium Inkjet MPK 9653</v>
      </c>
      <c r="J4773" s="7">
        <f>COUNTIF(Paper_Reference[Duplicate Key],Paper_Reference[[#This Row],[Duplicate Key]])</f>
        <v>1</v>
      </c>
    </row>
    <row r="4774" spans="1:10">
      <c r="A4774" s="7">
        <v>2</v>
      </c>
      <c r="B4774" s="8" t="s">
        <v>1958</v>
      </c>
      <c r="C4774" s="8" t="s">
        <v>1487</v>
      </c>
      <c r="D4774" s="7">
        <v>1</v>
      </c>
      <c r="E4774" s="7">
        <v>10</v>
      </c>
      <c r="F4774" s="7">
        <v>1</v>
      </c>
      <c r="G4774" s="8" t="s">
        <v>1241</v>
      </c>
      <c r="H4774" s="8" t="s">
        <v>1242</v>
      </c>
      <c r="I4774" s="7" t="str">
        <f>_xlfn.CONCAT(Paper_Reference[[#This Row],[Lvl]:[Paper Description]])</f>
        <v>2PJ37DG0014SD4800MARBLED CHEVRON 48 X 96110110000020-5000Premium Inkjet MPK 9653</v>
      </c>
      <c r="J4774" s="7">
        <f>COUNTIF(Paper_Reference[Duplicate Key],Paper_Reference[[#This Row],[Duplicate Key]])</f>
        <v>1</v>
      </c>
    </row>
    <row r="4775" spans="1:10">
      <c r="A4775" s="7">
        <v>2</v>
      </c>
      <c r="B4775" s="8" t="s">
        <v>2747</v>
      </c>
      <c r="C4775" s="8" t="s">
        <v>2284</v>
      </c>
      <c r="D4775" s="7">
        <v>1</v>
      </c>
      <c r="E4775" s="7">
        <v>10</v>
      </c>
      <c r="F4775" s="7">
        <v>1</v>
      </c>
      <c r="G4775" s="8" t="s">
        <v>2144</v>
      </c>
      <c r="H4775" s="8" t="s">
        <v>1242</v>
      </c>
      <c r="I4775" s="7" t="str">
        <f>_xlfn.CONCAT(Paper_Reference[[#This Row],[Lvl]:[Paper Description]])</f>
        <v>2PJ37DG0014SD5000MARBLED CHEVRON 60 X 120110110000020-6200Premium Inkjet MPK 9653</v>
      </c>
      <c r="J4775" s="7">
        <f>COUNTIF(Paper_Reference[Duplicate Key],Paper_Reference[[#This Row],[Duplicate Key]])</f>
        <v>1</v>
      </c>
    </row>
    <row r="4776" spans="1:10">
      <c r="A4776" s="7">
        <v>2</v>
      </c>
      <c r="B4776" s="8" t="s">
        <v>2748</v>
      </c>
      <c r="C4776" s="8" t="s">
        <v>2285</v>
      </c>
      <c r="D4776" s="7">
        <v>1</v>
      </c>
      <c r="E4776" s="7">
        <v>10</v>
      </c>
      <c r="F4776" s="7">
        <v>1</v>
      </c>
      <c r="G4776" s="8" t="s">
        <v>2144</v>
      </c>
      <c r="H4776" s="8" t="s">
        <v>1242</v>
      </c>
      <c r="I4776" s="7" t="str">
        <f>_xlfn.CONCAT(Paper_Reference[[#This Row],[Lvl]:[Paper Description]])</f>
        <v>2PJ37DG0018SD5200NIMBUS CLOUD TILE 60 X 144110110000020-6200Premium Inkjet MPK 9653</v>
      </c>
      <c r="J4776" s="7">
        <f>COUNTIF(Paper_Reference[Duplicate Key],Paper_Reference[[#This Row],[Duplicate Key]])</f>
        <v>1</v>
      </c>
    </row>
    <row r="4777" spans="1:10">
      <c r="A4777" s="7">
        <v>2</v>
      </c>
      <c r="B4777" s="8" t="s">
        <v>1959</v>
      </c>
      <c r="C4777" s="8" t="s">
        <v>1518</v>
      </c>
      <c r="D4777" s="7">
        <v>1</v>
      </c>
      <c r="E4777" s="7">
        <v>10</v>
      </c>
      <c r="F4777" s="7">
        <v>1</v>
      </c>
      <c r="G4777" s="8" t="s">
        <v>1241</v>
      </c>
      <c r="H4777" s="8" t="s">
        <v>1242</v>
      </c>
      <c r="I4777" s="7" t="str">
        <f>_xlfn.CONCAT(Paper_Reference[[#This Row],[Lvl]:[Paper Description]])</f>
        <v>2PJ37DG0020SD4800MAUI 48 X 96110110000020-5000Premium Inkjet MPK 9653</v>
      </c>
      <c r="J4777" s="7">
        <f>COUNTIF(Paper_Reference[Duplicate Key],Paper_Reference[[#This Row],[Duplicate Key]])</f>
        <v>1</v>
      </c>
    </row>
    <row r="4778" spans="1:10">
      <c r="A4778" s="7">
        <v>2</v>
      </c>
      <c r="B4778" s="8" t="s">
        <v>1960</v>
      </c>
      <c r="C4778" s="8" t="s">
        <v>1519</v>
      </c>
      <c r="D4778" s="7">
        <v>1</v>
      </c>
      <c r="E4778" s="7">
        <v>10</v>
      </c>
      <c r="F4778" s="7">
        <v>1</v>
      </c>
      <c r="G4778" s="8" t="s">
        <v>1241</v>
      </c>
      <c r="H4778" s="8" t="s">
        <v>1242</v>
      </c>
      <c r="I4778" s="7" t="str">
        <f>_xlfn.CONCAT(Paper_Reference[[#This Row],[Lvl]:[Paper Description]])</f>
        <v>2PJ37DG0023SD4800TIME FOR SPRING 48 X 96110110000020-5000Premium Inkjet MPK 9653</v>
      </c>
      <c r="J4778" s="7">
        <f>COUNTIF(Paper_Reference[Duplicate Key],Paper_Reference[[#This Row],[Duplicate Key]])</f>
        <v>1</v>
      </c>
    </row>
    <row r="4779" spans="1:10">
      <c r="A4779" s="7">
        <v>2</v>
      </c>
      <c r="B4779" s="8" t="s">
        <v>1961</v>
      </c>
      <c r="C4779" s="8" t="s">
        <v>1520</v>
      </c>
      <c r="D4779" s="7">
        <v>1</v>
      </c>
      <c r="E4779" s="7">
        <v>10</v>
      </c>
      <c r="F4779" s="7">
        <v>1</v>
      </c>
      <c r="G4779" s="8" t="s">
        <v>1241</v>
      </c>
      <c r="H4779" s="8" t="s">
        <v>1242</v>
      </c>
      <c r="I4779" s="7" t="str">
        <f>_xlfn.CONCAT(Paper_Reference[[#This Row],[Lvl]:[Paper Description]])</f>
        <v>2PJ37DG0026SD4800LEAF AND VINE 48 X 96110110000020-5000Premium Inkjet MPK 9653</v>
      </c>
      <c r="J4779" s="7">
        <f>COUNTIF(Paper_Reference[Duplicate Key],Paper_Reference[[#This Row],[Duplicate Key]])</f>
        <v>1</v>
      </c>
    </row>
    <row r="4780" spans="1:10">
      <c r="A4780" s="7">
        <v>2</v>
      </c>
      <c r="B4780" s="8" t="s">
        <v>2750</v>
      </c>
      <c r="C4780" s="8" t="s">
        <v>2287</v>
      </c>
      <c r="D4780" s="7">
        <v>1</v>
      </c>
      <c r="E4780" s="7">
        <v>10</v>
      </c>
      <c r="F4780" s="7">
        <v>1</v>
      </c>
      <c r="G4780" s="8" t="s">
        <v>2144</v>
      </c>
      <c r="H4780" s="8" t="s">
        <v>1242</v>
      </c>
      <c r="I4780" s="7" t="str">
        <f>_xlfn.CONCAT(Paper_Reference[[#This Row],[Lvl]:[Paper Description]])</f>
        <v>2PJ37DG0029SD520BAD PART USE 5200110110000020-6200Premium Inkjet MPK 9653</v>
      </c>
      <c r="J4780" s="7">
        <f>COUNTIF(Paper_Reference[Duplicate Key],Paper_Reference[[#This Row],[Duplicate Key]])</f>
        <v>1</v>
      </c>
    </row>
    <row r="4781" spans="1:10">
      <c r="A4781" s="7">
        <v>2</v>
      </c>
      <c r="B4781" s="8" t="s">
        <v>2749</v>
      </c>
      <c r="C4781" s="8" t="s">
        <v>2286</v>
      </c>
      <c r="D4781" s="7">
        <v>1</v>
      </c>
      <c r="E4781" s="7">
        <v>10</v>
      </c>
      <c r="F4781" s="7">
        <v>1</v>
      </c>
      <c r="G4781" s="8" t="s">
        <v>2144</v>
      </c>
      <c r="H4781" s="8" t="s">
        <v>1242</v>
      </c>
      <c r="I4781" s="7" t="str">
        <f>_xlfn.CONCAT(Paper_Reference[[#This Row],[Lvl]:[Paper Description]])</f>
        <v>2PJ37DG0029SD5200CARNATION D/G 60 X 144110110000020-6200Premium Inkjet MPK 9653</v>
      </c>
      <c r="J4781" s="7">
        <f>COUNTIF(Paper_Reference[Duplicate Key],Paper_Reference[[#This Row],[Duplicate Key]])</f>
        <v>1</v>
      </c>
    </row>
    <row r="4782" spans="1:10">
      <c r="A4782" s="7">
        <v>2</v>
      </c>
      <c r="B4782" s="8" t="s">
        <v>2752</v>
      </c>
      <c r="C4782" s="8" t="s">
        <v>2287</v>
      </c>
      <c r="D4782" s="7">
        <v>1</v>
      </c>
      <c r="E4782" s="7">
        <v>10</v>
      </c>
      <c r="F4782" s="7">
        <v>1</v>
      </c>
      <c r="G4782" s="8" t="s">
        <v>2144</v>
      </c>
      <c r="H4782" s="8" t="s">
        <v>1242</v>
      </c>
      <c r="I4782" s="7" t="str">
        <f>_xlfn.CONCAT(Paper_Reference[[#This Row],[Lvl]:[Paper Description]])</f>
        <v>2PJ37DG0032SD520BAD PART USE 5200110110000020-6200Premium Inkjet MPK 9653</v>
      </c>
      <c r="J4782" s="7">
        <f>COUNTIF(Paper_Reference[Duplicate Key],Paper_Reference[[#This Row],[Duplicate Key]])</f>
        <v>1</v>
      </c>
    </row>
    <row r="4783" spans="1:10">
      <c r="A4783" s="7">
        <v>2</v>
      </c>
      <c r="B4783" s="8" t="s">
        <v>2751</v>
      </c>
      <c r="C4783" s="8" t="s">
        <v>2288</v>
      </c>
      <c r="D4783" s="7">
        <v>1</v>
      </c>
      <c r="E4783" s="7">
        <v>10</v>
      </c>
      <c r="F4783" s="7">
        <v>1</v>
      </c>
      <c r="G4783" s="8" t="s">
        <v>2144</v>
      </c>
      <c r="H4783" s="8" t="s">
        <v>1242</v>
      </c>
      <c r="I4783" s="7" t="str">
        <f>_xlfn.CONCAT(Paper_Reference[[#This Row],[Lvl]:[Paper Description]])</f>
        <v>2PJ37DG0032SD5200GRILL HOUSE D/G 60 X 144110110000020-6200Premium Inkjet MPK 9653</v>
      </c>
      <c r="J4783" s="7">
        <f>COUNTIF(Paper_Reference[Duplicate Key],Paper_Reference[[#This Row],[Duplicate Key]])</f>
        <v>1</v>
      </c>
    </row>
    <row r="4784" spans="1:10">
      <c r="A4784" s="7">
        <v>2</v>
      </c>
      <c r="B4784" s="8" t="s">
        <v>1962</v>
      </c>
      <c r="C4784" s="8" t="s">
        <v>1521</v>
      </c>
      <c r="D4784" s="7">
        <v>1</v>
      </c>
      <c r="E4784" s="7">
        <v>10</v>
      </c>
      <c r="F4784" s="7">
        <v>1</v>
      </c>
      <c r="G4784" s="8" t="s">
        <v>1241</v>
      </c>
      <c r="H4784" s="8" t="s">
        <v>1242</v>
      </c>
      <c r="I4784" s="7" t="str">
        <f>_xlfn.CONCAT(Paper_Reference[[#This Row],[Lvl]:[Paper Description]])</f>
        <v>2PJ37DG0035SD4800PLAID INTERSECTION 48 X 96110110000020-5000Premium Inkjet MPK 9653</v>
      </c>
      <c r="J4784" s="7">
        <f>COUNTIF(Paper_Reference[Duplicate Key],Paper_Reference[[#This Row],[Duplicate Key]])</f>
        <v>1</v>
      </c>
    </row>
    <row r="4785" spans="1:10">
      <c r="A4785" s="7">
        <v>2</v>
      </c>
      <c r="B4785" s="8" t="s">
        <v>1963</v>
      </c>
      <c r="C4785" s="8" t="s">
        <v>1489</v>
      </c>
      <c r="D4785" s="7">
        <v>1</v>
      </c>
      <c r="E4785" s="7">
        <v>10</v>
      </c>
      <c r="F4785" s="7">
        <v>1</v>
      </c>
      <c r="G4785" s="8" t="s">
        <v>1241</v>
      </c>
      <c r="H4785" s="8" t="s">
        <v>1242</v>
      </c>
      <c r="I4785" s="7" t="str">
        <f>_xlfn.CONCAT(Paper_Reference[[#This Row],[Lvl]:[Paper Description]])</f>
        <v>2PJ37DG0038SD4800MANDELA 48 X 96110110000020-5000Premium Inkjet MPK 9653</v>
      </c>
      <c r="J4785" s="7">
        <f>COUNTIF(Paper_Reference[Duplicate Key],Paper_Reference[[#This Row],[Duplicate Key]])</f>
        <v>1</v>
      </c>
    </row>
    <row r="4786" spans="1:10">
      <c r="A4786" s="7">
        <v>2</v>
      </c>
      <c r="B4786" s="8" t="s">
        <v>1964</v>
      </c>
      <c r="C4786" s="8" t="s">
        <v>1522</v>
      </c>
      <c r="D4786" s="7">
        <v>1</v>
      </c>
      <c r="E4786" s="7">
        <v>10</v>
      </c>
      <c r="F4786" s="7">
        <v>1</v>
      </c>
      <c r="G4786" s="8" t="s">
        <v>1241</v>
      </c>
      <c r="H4786" s="8" t="s">
        <v>1242</v>
      </c>
      <c r="I4786" s="7" t="str">
        <f>_xlfn.CONCAT(Paper_Reference[[#This Row],[Lvl]:[Paper Description]])</f>
        <v>2PJ37DG0039SD4800WAVES 48 X 96110110000020-5000Premium Inkjet MPK 9653</v>
      </c>
      <c r="J4786" s="7">
        <f>COUNTIF(Paper_Reference[Duplicate Key],Paper_Reference[[#This Row],[Duplicate Key]])</f>
        <v>1</v>
      </c>
    </row>
    <row r="4787" spans="1:10">
      <c r="A4787" s="7">
        <v>2</v>
      </c>
      <c r="B4787" s="8" t="s">
        <v>1965</v>
      </c>
      <c r="C4787" s="8" t="s">
        <v>1490</v>
      </c>
      <c r="D4787" s="7">
        <v>1</v>
      </c>
      <c r="E4787" s="7">
        <v>10</v>
      </c>
      <c r="F4787" s="7">
        <v>1</v>
      </c>
      <c r="G4787" s="8" t="s">
        <v>1241</v>
      </c>
      <c r="H4787" s="8" t="s">
        <v>1242</v>
      </c>
      <c r="I4787" s="7" t="str">
        <f>_xlfn.CONCAT(Paper_Reference[[#This Row],[Lvl]:[Paper Description]])</f>
        <v>2PJ37DG0040SD4800RIPPLE STRIPE 48 X 96110110000020-5000Premium Inkjet MPK 9653</v>
      </c>
      <c r="J4787" s="7">
        <f>COUNTIF(Paper_Reference[Duplicate Key],Paper_Reference[[#This Row],[Duplicate Key]])</f>
        <v>1</v>
      </c>
    </row>
    <row r="4788" spans="1:10">
      <c r="A4788" s="7">
        <v>2</v>
      </c>
      <c r="B4788" s="8" t="s">
        <v>2753</v>
      </c>
      <c r="C4788" s="8" t="s">
        <v>2271</v>
      </c>
      <c r="D4788" s="7">
        <v>1</v>
      </c>
      <c r="E4788" s="7">
        <v>10</v>
      </c>
      <c r="F4788" s="7">
        <v>1</v>
      </c>
      <c r="G4788" s="8" t="s">
        <v>2144</v>
      </c>
      <c r="H4788" s="8" t="s">
        <v>1242</v>
      </c>
      <c r="I4788" s="7" t="str">
        <f>_xlfn.CONCAT(Paper_Reference[[#This Row],[Lvl]:[Paper Description]])</f>
        <v>2PJ37DG0040SD5200RIPPLE STRIPE 60 X 144110110000020-6200Premium Inkjet MPK 9653</v>
      </c>
      <c r="J4788" s="7">
        <f>COUNTIF(Paper_Reference[Duplicate Key],Paper_Reference[[#This Row],[Duplicate Key]])</f>
        <v>1</v>
      </c>
    </row>
    <row r="4789" spans="1:10">
      <c r="A4789" s="7">
        <v>2</v>
      </c>
      <c r="B4789" s="8" t="s">
        <v>1966</v>
      </c>
      <c r="C4789" s="8" t="s">
        <v>1492</v>
      </c>
      <c r="D4789" s="7">
        <v>1</v>
      </c>
      <c r="E4789" s="7">
        <v>10</v>
      </c>
      <c r="F4789" s="7">
        <v>1</v>
      </c>
      <c r="G4789" s="8" t="s">
        <v>1241</v>
      </c>
      <c r="H4789" s="8" t="s">
        <v>1242</v>
      </c>
      <c r="I4789" s="7" t="str">
        <f>_xlfn.CONCAT(Paper_Reference[[#This Row],[Lvl]:[Paper Description]])</f>
        <v>2PJ37DG0043SD4800FALLING TRIANGLES 48 X 96110110000020-5000Premium Inkjet MPK 9653</v>
      </c>
      <c r="J4789" s="7">
        <f>COUNTIF(Paper_Reference[Duplicate Key],Paper_Reference[[#This Row],[Duplicate Key]])</f>
        <v>1</v>
      </c>
    </row>
    <row r="4790" spans="1:10">
      <c r="A4790" s="7">
        <v>2</v>
      </c>
      <c r="B4790" s="8" t="s">
        <v>2754</v>
      </c>
      <c r="C4790" s="8" t="s">
        <v>2289</v>
      </c>
      <c r="D4790" s="7">
        <v>1</v>
      </c>
      <c r="E4790" s="7">
        <v>10</v>
      </c>
      <c r="F4790" s="7">
        <v>1</v>
      </c>
      <c r="G4790" s="8" t="s">
        <v>2144</v>
      </c>
      <c r="H4790" s="8" t="s">
        <v>1242</v>
      </c>
      <c r="I4790" s="7" t="str">
        <f>_xlfn.CONCAT(Paper_Reference[[#This Row],[Lvl]:[Paper Description]])</f>
        <v>2PJ37DG0045SD5200RAIN DROPLET D/G 60 X 144110110000020-6200Premium Inkjet MPK 9653</v>
      </c>
      <c r="J4790" s="7">
        <f>COUNTIF(Paper_Reference[Duplicate Key],Paper_Reference[[#This Row],[Duplicate Key]])</f>
        <v>1</v>
      </c>
    </row>
    <row r="4791" spans="1:10">
      <c r="A4791" s="7">
        <v>2</v>
      </c>
      <c r="B4791" s="8" t="s">
        <v>1967</v>
      </c>
      <c r="C4791" s="8" t="s">
        <v>1523</v>
      </c>
      <c r="D4791" s="7">
        <v>1</v>
      </c>
      <c r="E4791" s="7">
        <v>10</v>
      </c>
      <c r="F4791" s="7">
        <v>1</v>
      </c>
      <c r="G4791" s="8" t="s">
        <v>1241</v>
      </c>
      <c r="H4791" s="8" t="s">
        <v>1242</v>
      </c>
      <c r="I4791" s="7" t="str">
        <f>_xlfn.CONCAT(Paper_Reference[[#This Row],[Lvl]:[Paper Description]])</f>
        <v>2PJ37DG0048SD4800INK BRUSH WASABI 48 X 96110110000020-5000Premium Inkjet MPK 9653</v>
      </c>
      <c r="J4791" s="7">
        <f>COUNTIF(Paper_Reference[Duplicate Key],Paper_Reference[[#This Row],[Duplicate Key]])</f>
        <v>1</v>
      </c>
    </row>
    <row r="4792" spans="1:10">
      <c r="A4792" s="7">
        <v>2</v>
      </c>
      <c r="B4792" s="8" t="s">
        <v>1968</v>
      </c>
      <c r="C4792" s="8" t="s">
        <v>1524</v>
      </c>
      <c r="D4792" s="7">
        <v>1</v>
      </c>
      <c r="E4792" s="7">
        <v>10</v>
      </c>
      <c r="F4792" s="7">
        <v>1</v>
      </c>
      <c r="G4792" s="8" t="s">
        <v>1241</v>
      </c>
      <c r="H4792" s="8" t="s">
        <v>1242</v>
      </c>
      <c r="I4792" s="7" t="str">
        <f>_xlfn.CONCAT(Paper_Reference[[#This Row],[Lvl]:[Paper Description]])</f>
        <v>2PJ37DG0049SD4800INK BRUSH INDIGO 48 X 96110110000020-5000Premium Inkjet MPK 9653</v>
      </c>
      <c r="J4792" s="7">
        <f>COUNTIF(Paper_Reference[Duplicate Key],Paper_Reference[[#This Row],[Duplicate Key]])</f>
        <v>1</v>
      </c>
    </row>
    <row r="4793" spans="1:10">
      <c r="A4793" s="7">
        <v>2</v>
      </c>
      <c r="B4793" s="8" t="s">
        <v>1969</v>
      </c>
      <c r="C4793" s="8" t="s">
        <v>1525</v>
      </c>
      <c r="D4793" s="7">
        <v>1</v>
      </c>
      <c r="E4793" s="7">
        <v>10</v>
      </c>
      <c r="F4793" s="7">
        <v>1</v>
      </c>
      <c r="G4793" s="8" t="s">
        <v>1241</v>
      </c>
      <c r="H4793" s="8" t="s">
        <v>1242</v>
      </c>
      <c r="I4793" s="7" t="str">
        <f>_xlfn.CONCAT(Paper_Reference[[#This Row],[Lvl]:[Paper Description]])</f>
        <v>2PJ37DG0051SD4800TWISTED TWINE 48 X 96110110000020-5000Premium Inkjet MPK 9653</v>
      </c>
      <c r="J4793" s="7">
        <f>COUNTIF(Paper_Reference[Duplicate Key],Paper_Reference[[#This Row],[Duplicate Key]])</f>
        <v>1</v>
      </c>
    </row>
    <row r="4794" spans="1:10">
      <c r="A4794" s="7">
        <v>2</v>
      </c>
      <c r="B4794" s="8" t="s">
        <v>2755</v>
      </c>
      <c r="C4794" s="8" t="s">
        <v>2272</v>
      </c>
      <c r="D4794" s="7">
        <v>1</v>
      </c>
      <c r="E4794" s="7">
        <v>10</v>
      </c>
      <c r="F4794" s="7">
        <v>1</v>
      </c>
      <c r="G4794" s="8" t="s">
        <v>2144</v>
      </c>
      <c r="H4794" s="8" t="s">
        <v>1242</v>
      </c>
      <c r="I4794" s="7" t="str">
        <f>_xlfn.CONCAT(Paper_Reference[[#This Row],[Lvl]:[Paper Description]])</f>
        <v>2PJ37DG0051SD5200TWISTED TWINE 60 X 144110110000020-6200Premium Inkjet MPK 9653</v>
      </c>
      <c r="J4794" s="7">
        <f>COUNTIF(Paper_Reference[Duplicate Key],Paper_Reference[[#This Row],[Duplicate Key]])</f>
        <v>1</v>
      </c>
    </row>
    <row r="4795" spans="1:10">
      <c r="A4795" s="7">
        <v>2</v>
      </c>
      <c r="B4795" s="8" t="s">
        <v>1970</v>
      </c>
      <c r="C4795" s="8" t="s">
        <v>1526</v>
      </c>
      <c r="D4795" s="7">
        <v>1</v>
      </c>
      <c r="E4795" s="7">
        <v>10</v>
      </c>
      <c r="F4795" s="7">
        <v>1</v>
      </c>
      <c r="G4795" s="8" t="s">
        <v>1241</v>
      </c>
      <c r="H4795" s="8" t="s">
        <v>1242</v>
      </c>
      <c r="I4795" s="7" t="str">
        <f>_xlfn.CONCAT(Paper_Reference[[#This Row],[Lvl]:[Paper Description]])</f>
        <v>2PJ37DG0053SD4800ISTANBUL 48 X 96110110000020-5000Premium Inkjet MPK 9653</v>
      </c>
      <c r="J4795" s="7">
        <f>COUNTIF(Paper_Reference[Duplicate Key],Paper_Reference[[#This Row],[Duplicate Key]])</f>
        <v>1</v>
      </c>
    </row>
    <row r="4796" spans="1:10">
      <c r="A4796" s="7">
        <v>2</v>
      </c>
      <c r="B4796" s="8" t="s">
        <v>2756</v>
      </c>
      <c r="C4796" s="8" t="s">
        <v>2290</v>
      </c>
      <c r="D4796" s="7">
        <v>1</v>
      </c>
      <c r="E4796" s="7">
        <v>10</v>
      </c>
      <c r="F4796" s="7">
        <v>1</v>
      </c>
      <c r="G4796" s="8" t="s">
        <v>2144</v>
      </c>
      <c r="H4796" s="8" t="s">
        <v>1242</v>
      </c>
      <c r="I4796" s="7" t="str">
        <f>_xlfn.CONCAT(Paper_Reference[[#This Row],[Lvl]:[Paper Description]])</f>
        <v>2PJ37DG0054SD5000BALLROOM BLITZ 60 X 120110110000020-6200Premium Inkjet MPK 9653</v>
      </c>
      <c r="J4796" s="7">
        <f>COUNTIF(Paper_Reference[Duplicate Key],Paper_Reference[[#This Row],[Duplicate Key]])</f>
        <v>1</v>
      </c>
    </row>
    <row r="4797" spans="1:10">
      <c r="A4797" s="7">
        <v>2</v>
      </c>
      <c r="B4797" s="8" t="s">
        <v>2757</v>
      </c>
      <c r="C4797" s="8" t="s">
        <v>2291</v>
      </c>
      <c r="D4797" s="7">
        <v>1</v>
      </c>
      <c r="E4797" s="7">
        <v>10</v>
      </c>
      <c r="F4797" s="7">
        <v>1</v>
      </c>
      <c r="G4797" s="8" t="s">
        <v>2144</v>
      </c>
      <c r="H4797" s="8" t="s">
        <v>1242</v>
      </c>
      <c r="I4797" s="7" t="str">
        <f>_xlfn.CONCAT(Paper_Reference[[#This Row],[Lvl]:[Paper Description]])</f>
        <v>2PJ37DG0054SD5200BALLROOM BLITZ 60 X 144110110000020-6200Premium Inkjet MPK 9653</v>
      </c>
      <c r="J4797" s="7">
        <f>COUNTIF(Paper_Reference[Duplicate Key],Paper_Reference[[#This Row],[Duplicate Key]])</f>
        <v>1</v>
      </c>
    </row>
    <row r="4798" spans="1:10">
      <c r="A4798" s="7">
        <v>2</v>
      </c>
      <c r="B4798" s="8" t="s">
        <v>1971</v>
      </c>
      <c r="C4798" s="8" t="s">
        <v>1527</v>
      </c>
      <c r="D4798" s="7">
        <v>1</v>
      </c>
      <c r="E4798" s="7">
        <v>10</v>
      </c>
      <c r="F4798" s="7">
        <v>1</v>
      </c>
      <c r="G4798" s="8" t="s">
        <v>1241</v>
      </c>
      <c r="H4798" s="8" t="s">
        <v>1242</v>
      </c>
      <c r="I4798" s="7" t="str">
        <f>_xlfn.CONCAT(Paper_Reference[[#This Row],[Lvl]:[Paper Description]])</f>
        <v>2PJ37DG0055SD4800PARIS PARISIAN 48 X 96110110000020-5000Premium Inkjet MPK 9653</v>
      </c>
      <c r="J4798" s="7">
        <f>COUNTIF(Paper_Reference[Duplicate Key],Paper_Reference[[#This Row],[Duplicate Key]])</f>
        <v>1</v>
      </c>
    </row>
    <row r="4799" spans="1:10">
      <c r="A4799" s="7">
        <v>2</v>
      </c>
      <c r="B4799" s="8" t="s">
        <v>1972</v>
      </c>
      <c r="C4799" s="8" t="s">
        <v>1528</v>
      </c>
      <c r="D4799" s="7">
        <v>1</v>
      </c>
      <c r="E4799" s="7">
        <v>10</v>
      </c>
      <c r="F4799" s="7">
        <v>1</v>
      </c>
      <c r="G4799" s="8" t="s">
        <v>1241</v>
      </c>
      <c r="H4799" s="8" t="s">
        <v>1242</v>
      </c>
      <c r="I4799" s="7" t="str">
        <f>_xlfn.CONCAT(Paper_Reference[[#This Row],[Lvl]:[Paper Description]])</f>
        <v>2PJ37DG0057SD3200CUBED CROSSING 36 X 144110110000020-5000Premium Inkjet MPK 9653</v>
      </c>
      <c r="J4799" s="7">
        <f>COUNTIF(Paper_Reference[Duplicate Key],Paper_Reference[[#This Row],[Duplicate Key]])</f>
        <v>1</v>
      </c>
    </row>
    <row r="4800" spans="1:10">
      <c r="A4800" s="7">
        <v>2</v>
      </c>
      <c r="B4800" s="8" t="s">
        <v>2758</v>
      </c>
      <c r="C4800" s="8" t="s">
        <v>2292</v>
      </c>
      <c r="D4800" s="7">
        <v>1</v>
      </c>
      <c r="E4800" s="7">
        <v>10</v>
      </c>
      <c r="F4800" s="7">
        <v>1</v>
      </c>
      <c r="G4800" s="8" t="s">
        <v>2144</v>
      </c>
      <c r="H4800" s="8" t="s">
        <v>1242</v>
      </c>
      <c r="I4800" s="7" t="str">
        <f>_xlfn.CONCAT(Paper_Reference[[#This Row],[Lvl]:[Paper Description]])</f>
        <v>2PJ37DG0057SD5200CUBED CROSSING 60 X 144110110000020-6200Premium Inkjet MPK 9653</v>
      </c>
      <c r="J4800" s="7">
        <f>COUNTIF(Paper_Reference[Duplicate Key],Paper_Reference[[#This Row],[Duplicate Key]])</f>
        <v>1</v>
      </c>
    </row>
    <row r="4801" spans="1:10">
      <c r="A4801" s="7">
        <v>2</v>
      </c>
      <c r="B4801" s="8" t="s">
        <v>2759</v>
      </c>
      <c r="C4801" s="8" t="s">
        <v>2293</v>
      </c>
      <c r="D4801" s="7">
        <v>1</v>
      </c>
      <c r="E4801" s="7">
        <v>10</v>
      </c>
      <c r="F4801" s="7">
        <v>1</v>
      </c>
      <c r="G4801" s="8" t="s">
        <v>2144</v>
      </c>
      <c r="H4801" s="8" t="s">
        <v>1242</v>
      </c>
      <c r="I4801" s="7" t="str">
        <f>_xlfn.CONCAT(Paper_Reference[[#This Row],[Lvl]:[Paper Description]])</f>
        <v>2PJ37DG0059SD5200IT'S A ZOO 60 X 144110110000020-6200Premium Inkjet MPK 9653</v>
      </c>
      <c r="J4801" s="7">
        <f>COUNTIF(Paper_Reference[Duplicate Key],Paper_Reference[[#This Row],[Duplicate Key]])</f>
        <v>1</v>
      </c>
    </row>
    <row r="4802" spans="1:10">
      <c r="A4802" s="7">
        <v>2</v>
      </c>
      <c r="B4802" s="8" t="s">
        <v>1973</v>
      </c>
      <c r="C4802" s="8" t="s">
        <v>1529</v>
      </c>
      <c r="D4802" s="7">
        <v>1</v>
      </c>
      <c r="E4802" s="7">
        <v>10</v>
      </c>
      <c r="F4802" s="7">
        <v>1</v>
      </c>
      <c r="G4802" s="8" t="s">
        <v>1241</v>
      </c>
      <c r="H4802" s="8" t="s">
        <v>1242</v>
      </c>
      <c r="I4802" s="7" t="str">
        <f>_xlfn.CONCAT(Paper_Reference[[#This Row],[Lvl]:[Paper Description]])</f>
        <v>2PJ37DG0060SD4800STAMPED NUMBERS 48 X 96110110000020-5000Premium Inkjet MPK 9653</v>
      </c>
      <c r="J4802" s="7">
        <f>COUNTIF(Paper_Reference[Duplicate Key],Paper_Reference[[#This Row],[Duplicate Key]])</f>
        <v>1</v>
      </c>
    </row>
    <row r="4803" spans="1:10">
      <c r="A4803" s="7">
        <v>2</v>
      </c>
      <c r="B4803" s="8" t="s">
        <v>2760</v>
      </c>
      <c r="C4803" s="8" t="s">
        <v>2274</v>
      </c>
      <c r="D4803" s="7">
        <v>1</v>
      </c>
      <c r="E4803" s="7">
        <v>10</v>
      </c>
      <c r="F4803" s="7">
        <v>1</v>
      </c>
      <c r="G4803" s="8" t="s">
        <v>2144</v>
      </c>
      <c r="H4803" s="8" t="s">
        <v>1242</v>
      </c>
      <c r="I4803" s="7" t="str">
        <f>_xlfn.CONCAT(Paper_Reference[[#This Row],[Lvl]:[Paper Description]])</f>
        <v>2PJ37DG0060SD5200STAMPED NUMBERS 60 X 144110110000020-6200Premium Inkjet MPK 9653</v>
      </c>
      <c r="J4803" s="7">
        <f>COUNTIF(Paper_Reference[Duplicate Key],Paper_Reference[[#This Row],[Duplicate Key]])</f>
        <v>1</v>
      </c>
    </row>
    <row r="4804" spans="1:10">
      <c r="A4804" s="7">
        <v>2</v>
      </c>
      <c r="B4804" s="8" t="s">
        <v>1974</v>
      </c>
      <c r="C4804" s="8" t="s">
        <v>1481</v>
      </c>
      <c r="D4804" s="7">
        <v>1</v>
      </c>
      <c r="E4804" s="7">
        <v>10</v>
      </c>
      <c r="F4804" s="7">
        <v>1</v>
      </c>
      <c r="G4804" s="8" t="s">
        <v>1241</v>
      </c>
      <c r="H4804" s="8" t="s">
        <v>1242</v>
      </c>
      <c r="I4804" s="7" t="str">
        <f>_xlfn.CONCAT(Paper_Reference[[#This Row],[Lvl]:[Paper Description]])</f>
        <v>2PJ37DG0061SD3200SCATTERED NUMBERS 36 X 144110110000020-5000Premium Inkjet MPK 9653</v>
      </c>
      <c r="J4804" s="7">
        <f>COUNTIF(Paper_Reference[Duplicate Key],Paper_Reference[[#This Row],[Duplicate Key]])</f>
        <v>1</v>
      </c>
    </row>
    <row r="4805" spans="1:10">
      <c r="A4805" s="7">
        <v>2</v>
      </c>
      <c r="B4805" s="8" t="s">
        <v>1975</v>
      </c>
      <c r="C4805" s="8" t="s">
        <v>1530</v>
      </c>
      <c r="D4805" s="7">
        <v>1</v>
      </c>
      <c r="E4805" s="7">
        <v>10</v>
      </c>
      <c r="F4805" s="7">
        <v>1</v>
      </c>
      <c r="G4805" s="8" t="s">
        <v>1241</v>
      </c>
      <c r="H4805" s="8" t="s">
        <v>1242</v>
      </c>
      <c r="I4805" s="7" t="str">
        <f>_xlfn.CONCAT(Paper_Reference[[#This Row],[Lvl]:[Paper Description]])</f>
        <v>2PJ37DG0064SD4200SCIENCE LAB C/BOARD 48 X 144110110000020-5000Premium Inkjet MPK 9653</v>
      </c>
      <c r="J4805" s="7">
        <f>COUNTIF(Paper_Reference[Duplicate Key],Paper_Reference[[#This Row],[Duplicate Key]])</f>
        <v>1</v>
      </c>
    </row>
    <row r="4806" spans="1:10">
      <c r="A4806" s="7">
        <v>2</v>
      </c>
      <c r="B4806" s="8" t="s">
        <v>2762</v>
      </c>
      <c r="C4806" s="8" t="s">
        <v>2287</v>
      </c>
      <c r="D4806" s="7">
        <v>1</v>
      </c>
      <c r="E4806" s="7">
        <v>10</v>
      </c>
      <c r="F4806" s="7">
        <v>1</v>
      </c>
      <c r="G4806" s="8" t="s">
        <v>2144</v>
      </c>
      <c r="H4806" s="8" t="s">
        <v>1242</v>
      </c>
      <c r="I4806" s="7" t="str">
        <f>_xlfn.CONCAT(Paper_Reference[[#This Row],[Lvl]:[Paper Description]])</f>
        <v>2PJ37DG0066SD520BAD PART USE 5200110110000020-6200Premium Inkjet MPK 9653</v>
      </c>
      <c r="J4806" s="7">
        <f>COUNTIF(Paper_Reference[Duplicate Key],Paper_Reference[[#This Row],[Duplicate Key]])</f>
        <v>1</v>
      </c>
    </row>
    <row r="4807" spans="1:10">
      <c r="A4807" s="7">
        <v>2</v>
      </c>
      <c r="B4807" s="8" t="s">
        <v>2761</v>
      </c>
      <c r="C4807" s="8" t="s">
        <v>2294</v>
      </c>
      <c r="D4807" s="7">
        <v>1</v>
      </c>
      <c r="E4807" s="7">
        <v>10</v>
      </c>
      <c r="F4807" s="7">
        <v>1</v>
      </c>
      <c r="G4807" s="8" t="s">
        <v>2144</v>
      </c>
      <c r="H4807" s="8" t="s">
        <v>1242</v>
      </c>
      <c r="I4807" s="7" t="str">
        <f>_xlfn.CONCAT(Paper_Reference[[#This Row],[Lvl]:[Paper Description]])</f>
        <v>2PJ37DG0066SD5200STEPPING UP D/G 60 X 144110110000020-6200Premium Inkjet MPK 9653</v>
      </c>
      <c r="J4807" s="7">
        <f>COUNTIF(Paper_Reference[Duplicate Key],Paper_Reference[[#This Row],[Duplicate Key]])</f>
        <v>1</v>
      </c>
    </row>
    <row r="4808" spans="1:10">
      <c r="A4808" s="7">
        <v>2</v>
      </c>
      <c r="B4808" s="8" t="s">
        <v>2763</v>
      </c>
      <c r="C4808" s="8" t="s">
        <v>2268</v>
      </c>
      <c r="D4808" s="7">
        <v>1</v>
      </c>
      <c r="E4808" s="7">
        <v>10</v>
      </c>
      <c r="F4808" s="7">
        <v>1</v>
      </c>
      <c r="G4808" s="8" t="s">
        <v>2144</v>
      </c>
      <c r="H4808" s="8" t="s">
        <v>1242</v>
      </c>
      <c r="I4808" s="7" t="str">
        <f>_xlfn.CONCAT(Paper_Reference[[#This Row],[Lvl]:[Paper Description]])</f>
        <v>2PJ37DG0071GL5201WHITE VENUS II 60 X 144110110000020-6200Premium Inkjet MPK 9653</v>
      </c>
      <c r="J4808" s="7">
        <f>COUNTIF(Paper_Reference[Duplicate Key],Paper_Reference[[#This Row],[Duplicate Key]])</f>
        <v>1</v>
      </c>
    </row>
    <row r="4809" spans="1:10">
      <c r="A4809" s="7">
        <v>2</v>
      </c>
      <c r="B4809" s="8" t="s">
        <v>1976</v>
      </c>
      <c r="C4809" s="8" t="s">
        <v>1483</v>
      </c>
      <c r="D4809" s="7">
        <v>1</v>
      </c>
      <c r="E4809" s="7">
        <v>10</v>
      </c>
      <c r="F4809" s="7">
        <v>1</v>
      </c>
      <c r="G4809" s="8" t="s">
        <v>1241</v>
      </c>
      <c r="H4809" s="8" t="s">
        <v>1242</v>
      </c>
      <c r="I4809" s="7" t="str">
        <f>_xlfn.CONCAT(Paper_Reference[[#This Row],[Lvl]:[Paper Description]])</f>
        <v>2PJ37DG0071MG4800WHITE VENUS II 48 X 96110110000020-5000Premium Inkjet MPK 9653</v>
      </c>
      <c r="J4809" s="7">
        <f>COUNTIF(Paper_Reference[Duplicate Key],Paper_Reference[[#This Row],[Duplicate Key]])</f>
        <v>1</v>
      </c>
    </row>
    <row r="4810" spans="1:10">
      <c r="A4810" s="7">
        <v>2</v>
      </c>
      <c r="B4810" s="8" t="s">
        <v>1977</v>
      </c>
      <c r="C4810" s="8" t="s">
        <v>1531</v>
      </c>
      <c r="D4810" s="7">
        <v>1</v>
      </c>
      <c r="E4810" s="7">
        <v>10</v>
      </c>
      <c r="F4810" s="7">
        <v>1</v>
      </c>
      <c r="G4810" s="8" t="s">
        <v>1241</v>
      </c>
      <c r="H4810" s="8" t="s">
        <v>1242</v>
      </c>
      <c r="I4810" s="7" t="str">
        <f>_xlfn.CONCAT(Paper_Reference[[#This Row],[Lvl]:[Paper Description]])</f>
        <v>2PJ37DG0071SD3200WHITEVENUS II 36 X 144110110000020-5000Premium Inkjet MPK 9653</v>
      </c>
      <c r="J4810" s="7">
        <f>COUNTIF(Paper_Reference[Duplicate Key],Paper_Reference[[#This Row],[Duplicate Key]])</f>
        <v>1</v>
      </c>
    </row>
    <row r="4811" spans="1:10">
      <c r="A4811" s="7">
        <v>2</v>
      </c>
      <c r="B4811" s="8" t="s">
        <v>1978</v>
      </c>
      <c r="C4811" s="8" t="s">
        <v>1532</v>
      </c>
      <c r="D4811" s="7">
        <v>1</v>
      </c>
      <c r="E4811" s="7">
        <v>10</v>
      </c>
      <c r="F4811" s="7">
        <v>1</v>
      </c>
      <c r="G4811" s="8" t="s">
        <v>1241</v>
      </c>
      <c r="H4811" s="8" t="s">
        <v>1242</v>
      </c>
      <c r="I4811" s="7" t="str">
        <f>_xlfn.CONCAT(Paper_Reference[[#This Row],[Lvl]:[Paper Description]])</f>
        <v>2PJ37DG0071SD3800WHITE VENUS II 36 X 96110110000020-5000Premium Inkjet MPK 9653</v>
      </c>
      <c r="J4811" s="7">
        <f>COUNTIF(Paper_Reference[Duplicate Key],Paper_Reference[[#This Row],[Duplicate Key]])</f>
        <v>1</v>
      </c>
    </row>
    <row r="4812" spans="1:10">
      <c r="A4812" s="7">
        <v>2</v>
      </c>
      <c r="B4812" s="8" t="s">
        <v>1979</v>
      </c>
      <c r="C4812" s="8" t="s">
        <v>1501</v>
      </c>
      <c r="D4812" s="7">
        <v>1</v>
      </c>
      <c r="E4812" s="7">
        <v>10</v>
      </c>
      <c r="F4812" s="7">
        <v>1</v>
      </c>
      <c r="G4812" s="8" t="s">
        <v>1241</v>
      </c>
      <c r="H4812" s="8" t="s">
        <v>1242</v>
      </c>
      <c r="I4812" s="7" t="str">
        <f>_xlfn.CONCAT(Paper_Reference[[#This Row],[Lvl]:[Paper Description]])</f>
        <v>2PJ37DG0071SD4000WHITE VENUS II 48 X 120110110000020-5000Premium Inkjet MPK 9653</v>
      </c>
      <c r="J4812" s="7">
        <f>COUNTIF(Paper_Reference[Duplicate Key],Paper_Reference[[#This Row],[Duplicate Key]])</f>
        <v>1</v>
      </c>
    </row>
    <row r="4813" spans="1:10">
      <c r="A4813" s="7">
        <v>2</v>
      </c>
      <c r="B4813" s="8" t="s">
        <v>1980</v>
      </c>
      <c r="C4813" s="8" t="s">
        <v>1533</v>
      </c>
      <c r="D4813" s="7">
        <v>1</v>
      </c>
      <c r="E4813" s="7">
        <v>10</v>
      </c>
      <c r="F4813" s="7">
        <v>1</v>
      </c>
      <c r="G4813" s="8" t="s">
        <v>1241</v>
      </c>
      <c r="H4813" s="8" t="s">
        <v>1242</v>
      </c>
      <c r="I4813" s="7" t="str">
        <f>_xlfn.CONCAT(Paper_Reference[[#This Row],[Lvl]:[Paper Description]])</f>
        <v>2PJ37DG0071SD4200WHITE VENUS II 48 X 144110110000020-5000Premium Inkjet MPK 9653</v>
      </c>
      <c r="J4813" s="7">
        <f>COUNTIF(Paper_Reference[Duplicate Key],Paper_Reference[[#This Row],[Duplicate Key]])</f>
        <v>1</v>
      </c>
    </row>
    <row r="4814" spans="1:10">
      <c r="A4814" s="7">
        <v>2</v>
      </c>
      <c r="B4814" s="8" t="s">
        <v>1981</v>
      </c>
      <c r="C4814" s="8" t="s">
        <v>1483</v>
      </c>
      <c r="D4814" s="7">
        <v>1</v>
      </c>
      <c r="E4814" s="7">
        <v>10</v>
      </c>
      <c r="F4814" s="7">
        <v>1</v>
      </c>
      <c r="G4814" s="8" t="s">
        <v>1241</v>
      </c>
      <c r="H4814" s="8" t="s">
        <v>1242</v>
      </c>
      <c r="I4814" s="7" t="str">
        <f>_xlfn.CONCAT(Paper_Reference[[#This Row],[Lvl]:[Paper Description]])</f>
        <v>2PJ37DG0071SD4800WHITE VENUS II 48 X 96110110000020-5000Premium Inkjet MPK 9653</v>
      </c>
      <c r="J4814" s="7">
        <f>COUNTIF(Paper_Reference[Duplicate Key],Paper_Reference[[#This Row],[Duplicate Key]])</f>
        <v>1</v>
      </c>
    </row>
    <row r="4815" spans="1:10">
      <c r="A4815" s="7">
        <v>2</v>
      </c>
      <c r="B4815" s="8" t="s">
        <v>2764</v>
      </c>
      <c r="C4815" s="8" t="s">
        <v>2278</v>
      </c>
      <c r="D4815" s="7">
        <v>1</v>
      </c>
      <c r="E4815" s="7">
        <v>10</v>
      </c>
      <c r="F4815" s="7">
        <v>1</v>
      </c>
      <c r="G4815" s="8" t="s">
        <v>2144</v>
      </c>
      <c r="H4815" s="8" t="s">
        <v>1242</v>
      </c>
      <c r="I4815" s="7" t="str">
        <f>_xlfn.CONCAT(Paper_Reference[[#This Row],[Lvl]:[Paper Description]])</f>
        <v>2PJ37DG0071SD5001WHITE VENUS II 60 X 120110110000020-6200Premium Inkjet MPK 9653</v>
      </c>
      <c r="J4815" s="7">
        <f>COUNTIF(Paper_Reference[Duplicate Key],Paper_Reference[[#This Row],[Duplicate Key]])</f>
        <v>1</v>
      </c>
    </row>
    <row r="4816" spans="1:10">
      <c r="A4816" s="7">
        <v>2</v>
      </c>
      <c r="B4816" s="8" t="s">
        <v>2765</v>
      </c>
      <c r="C4816" s="8" t="s">
        <v>2268</v>
      </c>
      <c r="D4816" s="7">
        <v>1</v>
      </c>
      <c r="E4816" s="7">
        <v>10</v>
      </c>
      <c r="F4816" s="7">
        <v>1</v>
      </c>
      <c r="G4816" s="8" t="s">
        <v>2144</v>
      </c>
      <c r="H4816" s="8" t="s">
        <v>1242</v>
      </c>
      <c r="I4816" s="7" t="str">
        <f>_xlfn.CONCAT(Paper_Reference[[#This Row],[Lvl]:[Paper Description]])</f>
        <v>2PJ37DG0071SD5200WHITE VENUS II 60 X 144110110000020-6200Premium Inkjet MPK 9653</v>
      </c>
      <c r="J4816" s="7">
        <f>COUNTIF(Paper_Reference[Duplicate Key],Paper_Reference[[#This Row],[Duplicate Key]])</f>
        <v>1</v>
      </c>
    </row>
    <row r="4817" spans="1:10">
      <c r="A4817" s="7">
        <v>2</v>
      </c>
      <c r="B4817" s="8" t="s">
        <v>2766</v>
      </c>
      <c r="C4817" s="8" t="s">
        <v>2295</v>
      </c>
      <c r="D4817" s="7">
        <v>1</v>
      </c>
      <c r="E4817" s="7">
        <v>10</v>
      </c>
      <c r="F4817" s="7">
        <v>1</v>
      </c>
      <c r="G4817" s="8" t="s">
        <v>2144</v>
      </c>
      <c r="H4817" s="8" t="s">
        <v>1242</v>
      </c>
      <c r="I4817" s="7" t="str">
        <f>_xlfn.CONCAT(Paper_Reference[[#This Row],[Lvl]:[Paper Description]])</f>
        <v>2PJ37DG0071SD5800WHITE VENUS II 60 X 96110110000020-6200Premium Inkjet MPK 9653</v>
      </c>
      <c r="J4817" s="7">
        <f>COUNTIF(Paper_Reference[Duplicate Key],Paper_Reference[[#This Row],[Duplicate Key]])</f>
        <v>1</v>
      </c>
    </row>
    <row r="4818" spans="1:10">
      <c r="A4818" s="7">
        <v>2</v>
      </c>
      <c r="B4818" s="8" t="s">
        <v>1982</v>
      </c>
      <c r="C4818" s="8" t="s">
        <v>1483</v>
      </c>
      <c r="D4818" s="7">
        <v>1</v>
      </c>
      <c r="E4818" s="7">
        <v>10</v>
      </c>
      <c r="F4818" s="7">
        <v>1</v>
      </c>
      <c r="G4818" s="8" t="s">
        <v>1241</v>
      </c>
      <c r="H4818" s="8" t="s">
        <v>1242</v>
      </c>
      <c r="I4818" s="7" t="str">
        <f>_xlfn.CONCAT(Paper_Reference[[#This Row],[Lvl]:[Paper Description]])</f>
        <v>2PJ37DG0071T-4800WHITE VENUS II 48 X 96110110000020-5000Premium Inkjet MPK 9653</v>
      </c>
      <c r="J4818" s="7">
        <f>COUNTIF(Paper_Reference[Duplicate Key],Paper_Reference[[#This Row],[Duplicate Key]])</f>
        <v>1</v>
      </c>
    </row>
    <row r="4819" spans="1:10">
      <c r="A4819" s="7">
        <v>2</v>
      </c>
      <c r="B4819" s="8" t="s">
        <v>2767</v>
      </c>
      <c r="C4819" s="8" t="s">
        <v>2268</v>
      </c>
      <c r="D4819" s="7">
        <v>1</v>
      </c>
      <c r="E4819" s="7">
        <v>10</v>
      </c>
      <c r="F4819" s="7">
        <v>1</v>
      </c>
      <c r="G4819" s="8" t="s">
        <v>2144</v>
      </c>
      <c r="H4819" s="8" t="s">
        <v>1242</v>
      </c>
      <c r="I4819" s="7" t="str">
        <f>_xlfn.CONCAT(Paper_Reference[[#This Row],[Lvl]:[Paper Description]])</f>
        <v>2PJ37DG0071T-5200WHITE VENUS II 60 X 144110110000020-6200Premium Inkjet MPK 9653</v>
      </c>
      <c r="J4819" s="7">
        <f>COUNTIF(Paper_Reference[Duplicate Key],Paper_Reference[[#This Row],[Duplicate Key]])</f>
        <v>1</v>
      </c>
    </row>
    <row r="4820" spans="1:10">
      <c r="A4820" s="7">
        <v>2</v>
      </c>
      <c r="B4820" s="8" t="s">
        <v>1983</v>
      </c>
      <c r="C4820" s="8" t="s">
        <v>1534</v>
      </c>
      <c r="D4820" s="7">
        <v>1</v>
      </c>
      <c r="E4820" s="7">
        <v>10</v>
      </c>
      <c r="F4820" s="7">
        <v>1</v>
      </c>
      <c r="G4820" s="8" t="s">
        <v>1241</v>
      </c>
      <c r="H4820" s="8" t="s">
        <v>1242</v>
      </c>
      <c r="I4820" s="7" t="str">
        <f>_xlfn.CONCAT(Paper_Reference[[#This Row],[Lvl]:[Paper Description]])</f>
        <v>2PJ37DG0072SD3800TURQUOISE VENUS II 36 X 96110110000020-5000Premium Inkjet MPK 9653</v>
      </c>
      <c r="J4820" s="7">
        <f>COUNTIF(Paper_Reference[Duplicate Key],Paper_Reference[[#This Row],[Duplicate Key]])</f>
        <v>1</v>
      </c>
    </row>
    <row r="4821" spans="1:10">
      <c r="A4821" s="7">
        <v>2</v>
      </c>
      <c r="B4821" s="8" t="s">
        <v>1984</v>
      </c>
      <c r="C4821" s="8" t="s">
        <v>1535</v>
      </c>
      <c r="D4821" s="7">
        <v>1</v>
      </c>
      <c r="E4821" s="7">
        <v>10</v>
      </c>
      <c r="F4821" s="7">
        <v>1</v>
      </c>
      <c r="G4821" s="8" t="s">
        <v>1241</v>
      </c>
      <c r="H4821" s="8" t="s">
        <v>1242</v>
      </c>
      <c r="I4821" s="7" t="str">
        <f>_xlfn.CONCAT(Paper_Reference[[#This Row],[Lvl]:[Paper Description]])</f>
        <v>2PJ37DG0072SD4000TURQUOISE VENUS II 48 X 120110110000020-5000Premium Inkjet MPK 9653</v>
      </c>
      <c r="J4821" s="7">
        <f>COUNTIF(Paper_Reference[Duplicate Key],Paper_Reference[[#This Row],[Duplicate Key]])</f>
        <v>1</v>
      </c>
    </row>
    <row r="4822" spans="1:10">
      <c r="A4822" s="7">
        <v>2</v>
      </c>
      <c r="B4822" s="8" t="s">
        <v>1985</v>
      </c>
      <c r="C4822" s="8" t="s">
        <v>1503</v>
      </c>
      <c r="D4822" s="7">
        <v>1</v>
      </c>
      <c r="E4822" s="7">
        <v>10</v>
      </c>
      <c r="F4822" s="7">
        <v>1</v>
      </c>
      <c r="G4822" s="8" t="s">
        <v>1241</v>
      </c>
      <c r="H4822" s="8" t="s">
        <v>1242</v>
      </c>
      <c r="I4822" s="7" t="str">
        <f>_xlfn.CONCAT(Paper_Reference[[#This Row],[Lvl]:[Paper Description]])</f>
        <v>2PJ37DG0072SD4800TURQUOISE VENUS II 48 X 96110110000020-5000Premium Inkjet MPK 9653</v>
      </c>
      <c r="J4822" s="7">
        <f>COUNTIF(Paper_Reference[Duplicate Key],Paper_Reference[[#This Row],[Duplicate Key]])</f>
        <v>1</v>
      </c>
    </row>
    <row r="4823" spans="1:10">
      <c r="A4823" s="7">
        <v>2</v>
      </c>
      <c r="B4823" s="8" t="s">
        <v>1986</v>
      </c>
      <c r="C4823" s="8" t="s">
        <v>1503</v>
      </c>
      <c r="D4823" s="7">
        <v>1</v>
      </c>
      <c r="E4823" s="7">
        <v>10</v>
      </c>
      <c r="F4823" s="7">
        <v>1</v>
      </c>
      <c r="G4823" s="8" t="s">
        <v>1241</v>
      </c>
      <c r="H4823" s="8" t="s">
        <v>1242</v>
      </c>
      <c r="I4823" s="7" t="str">
        <f>_xlfn.CONCAT(Paper_Reference[[#This Row],[Lvl]:[Paper Description]])</f>
        <v>2PJ37DG0072SD4803TURQUOISE VENUS II 48 X 96110110000020-5000Premium Inkjet MPK 9653</v>
      </c>
      <c r="J4823" s="7">
        <f>COUNTIF(Paper_Reference[Duplicate Key],Paper_Reference[[#This Row],[Duplicate Key]])</f>
        <v>1</v>
      </c>
    </row>
    <row r="4824" spans="1:10">
      <c r="A4824" s="7">
        <v>2</v>
      </c>
      <c r="B4824" s="8" t="s">
        <v>2768</v>
      </c>
      <c r="C4824" s="8" t="s">
        <v>2296</v>
      </c>
      <c r="D4824" s="7">
        <v>1</v>
      </c>
      <c r="E4824" s="7">
        <v>10</v>
      </c>
      <c r="F4824" s="7">
        <v>1</v>
      </c>
      <c r="G4824" s="8" t="s">
        <v>2144</v>
      </c>
      <c r="H4824" s="8" t="s">
        <v>1242</v>
      </c>
      <c r="I4824" s="7" t="str">
        <f>_xlfn.CONCAT(Paper_Reference[[#This Row],[Lvl]:[Paper Description]])</f>
        <v>2PJ37DG0072SD5200TURQUOISE VENUS II 60 X 144110110000020-6200Premium Inkjet MPK 9653</v>
      </c>
      <c r="J4824" s="7">
        <f>COUNTIF(Paper_Reference[Duplicate Key],Paper_Reference[[#This Row],[Duplicate Key]])</f>
        <v>1</v>
      </c>
    </row>
    <row r="4825" spans="1:10">
      <c r="A4825" s="7">
        <v>2</v>
      </c>
      <c r="B4825" s="8" t="s">
        <v>2769</v>
      </c>
      <c r="C4825" s="8" t="s">
        <v>2297</v>
      </c>
      <c r="D4825" s="7">
        <v>1</v>
      </c>
      <c r="E4825" s="7">
        <v>10</v>
      </c>
      <c r="F4825" s="7">
        <v>1</v>
      </c>
      <c r="G4825" s="8" t="s">
        <v>2144</v>
      </c>
      <c r="H4825" s="8" t="s">
        <v>1242</v>
      </c>
      <c r="I4825" s="7" t="str">
        <f>_xlfn.CONCAT(Paper_Reference[[#This Row],[Lvl]:[Paper Description]])</f>
        <v>2PJ37DG0072SD5800TURQUOISE VENUS II 60 X 96110110000020-6200Premium Inkjet MPK 9653</v>
      </c>
      <c r="J4825" s="7">
        <f>COUNTIF(Paper_Reference[Duplicate Key],Paper_Reference[[#This Row],[Duplicate Key]])</f>
        <v>1</v>
      </c>
    </row>
    <row r="4826" spans="1:10">
      <c r="A4826" s="7">
        <v>2</v>
      </c>
      <c r="B4826" s="8" t="s">
        <v>2770</v>
      </c>
      <c r="C4826" s="8" t="s">
        <v>2296</v>
      </c>
      <c r="D4826" s="7">
        <v>1</v>
      </c>
      <c r="E4826" s="7">
        <v>10</v>
      </c>
      <c r="F4826" s="7">
        <v>1</v>
      </c>
      <c r="G4826" s="8" t="s">
        <v>2144</v>
      </c>
      <c r="H4826" s="8" t="s">
        <v>1242</v>
      </c>
      <c r="I4826" s="7" t="str">
        <f>_xlfn.CONCAT(Paper_Reference[[#This Row],[Lvl]:[Paper Description]])</f>
        <v>2PJ37DG0072SM5200TURQUOISE VENUS II 60 X 144110110000020-6200Premium Inkjet MPK 9653</v>
      </c>
      <c r="J4826" s="7">
        <f>COUNTIF(Paper_Reference[Duplicate Key],Paper_Reference[[#This Row],[Duplicate Key]])</f>
        <v>1</v>
      </c>
    </row>
    <row r="4827" spans="1:10">
      <c r="A4827" s="7">
        <v>2</v>
      </c>
      <c r="B4827" s="8" t="s">
        <v>1987</v>
      </c>
      <c r="C4827" s="8" t="s">
        <v>1503</v>
      </c>
      <c r="D4827" s="7">
        <v>1</v>
      </c>
      <c r="E4827" s="7">
        <v>10</v>
      </c>
      <c r="F4827" s="7">
        <v>1</v>
      </c>
      <c r="G4827" s="8" t="s">
        <v>1241</v>
      </c>
      <c r="H4827" s="8" t="s">
        <v>1242</v>
      </c>
      <c r="I4827" s="7" t="str">
        <f>_xlfn.CONCAT(Paper_Reference[[#This Row],[Lvl]:[Paper Description]])</f>
        <v>2PJ37DG0072T-4800TURQUOISE VENUS II 48 X 96110110000020-5000Premium Inkjet MPK 9653</v>
      </c>
      <c r="J4827" s="7">
        <f>COUNTIF(Paper_Reference[Duplicate Key],Paper_Reference[[#This Row],[Duplicate Key]])</f>
        <v>1</v>
      </c>
    </row>
    <row r="4828" spans="1:10">
      <c r="A4828" s="7">
        <v>2</v>
      </c>
      <c r="B4828" s="8" t="s">
        <v>1988</v>
      </c>
      <c r="C4828" s="8" t="s">
        <v>1536</v>
      </c>
      <c r="D4828" s="7">
        <v>1</v>
      </c>
      <c r="E4828" s="7">
        <v>10</v>
      </c>
      <c r="F4828" s="7">
        <v>1</v>
      </c>
      <c r="G4828" s="8" t="s">
        <v>1241</v>
      </c>
      <c r="H4828" s="8" t="s">
        <v>1242</v>
      </c>
      <c r="I4828" s="7" t="str">
        <f>_xlfn.CONCAT(Paper_Reference[[#This Row],[Lvl]:[Paper Description]])</f>
        <v>2PJ37DG0073SD4800ODENTON PINK LADY XL 48 X 96110110000020-5000Premium Inkjet MPK 9653</v>
      </c>
      <c r="J4828" s="7">
        <f>COUNTIF(Paper_Reference[Duplicate Key],Paper_Reference[[#This Row],[Duplicate Key]])</f>
        <v>1</v>
      </c>
    </row>
    <row r="4829" spans="1:10">
      <c r="A4829" s="7">
        <v>2</v>
      </c>
      <c r="B4829" s="8" t="s">
        <v>2771</v>
      </c>
      <c r="C4829" s="8" t="s">
        <v>2298</v>
      </c>
      <c r="D4829" s="7">
        <v>1</v>
      </c>
      <c r="E4829" s="7">
        <v>10</v>
      </c>
      <c r="F4829" s="7">
        <v>1</v>
      </c>
      <c r="G4829" s="8" t="s">
        <v>2144</v>
      </c>
      <c r="H4829" s="8" t="s">
        <v>1242</v>
      </c>
      <c r="I4829" s="7" t="str">
        <f>_xlfn.CONCAT(Paper_Reference[[#This Row],[Lvl]:[Paper Description]])</f>
        <v>2PJ37DG0073SD5200ODENTON PINK LADY XL 60 X 144110110000020-6200Premium Inkjet MPK 9653</v>
      </c>
      <c r="J4829" s="7">
        <f>COUNTIF(Paper_Reference[Duplicate Key],Paper_Reference[[#This Row],[Duplicate Key]])</f>
        <v>1</v>
      </c>
    </row>
    <row r="4830" spans="1:10">
      <c r="A4830" s="7">
        <v>2</v>
      </c>
      <c r="B4830" s="8" t="s">
        <v>1989</v>
      </c>
      <c r="C4830" s="8" t="s">
        <v>1537</v>
      </c>
      <c r="D4830" s="7">
        <v>1</v>
      </c>
      <c r="E4830" s="7">
        <v>10</v>
      </c>
      <c r="F4830" s="7">
        <v>1</v>
      </c>
      <c r="G4830" s="8" t="s">
        <v>1241</v>
      </c>
      <c r="H4830" s="8" t="s">
        <v>1242</v>
      </c>
      <c r="I4830" s="7" t="str">
        <f>_xlfn.CONCAT(Paper_Reference[[#This Row],[Lvl]:[Paper Description]])</f>
        <v>2PJ37DG0074SD4800ODENTON NEON LIGHT XL 48 X 96110110000020-5000Premium Inkjet MPK 9653</v>
      </c>
      <c r="J4830" s="7">
        <f>COUNTIF(Paper_Reference[Duplicate Key],Paper_Reference[[#This Row],[Duplicate Key]])</f>
        <v>1</v>
      </c>
    </row>
    <row r="4831" spans="1:10">
      <c r="A4831" s="7">
        <v>2</v>
      </c>
      <c r="B4831" s="8" t="s">
        <v>2772</v>
      </c>
      <c r="C4831" s="8" t="s">
        <v>2299</v>
      </c>
      <c r="D4831" s="7">
        <v>1</v>
      </c>
      <c r="E4831" s="7">
        <v>10</v>
      </c>
      <c r="F4831" s="7">
        <v>1</v>
      </c>
      <c r="G4831" s="8" t="s">
        <v>2144</v>
      </c>
      <c r="H4831" s="8" t="s">
        <v>1242</v>
      </c>
      <c r="I4831" s="7" t="str">
        <f>_xlfn.CONCAT(Paper_Reference[[#This Row],[Lvl]:[Paper Description]])</f>
        <v>2PJ37DG0074SD5200ODENTON NEON LIGHT XL 60 X 144110110000020-6200Premium Inkjet MPK 9653</v>
      </c>
      <c r="J4831" s="7">
        <f>COUNTIF(Paper_Reference[Duplicate Key],Paper_Reference[[#This Row],[Duplicate Key]])</f>
        <v>1</v>
      </c>
    </row>
    <row r="4832" spans="1:10">
      <c r="A4832" s="7">
        <v>2</v>
      </c>
      <c r="B4832" s="8" t="s">
        <v>2773</v>
      </c>
      <c r="C4832" s="8" t="s">
        <v>2299</v>
      </c>
      <c r="D4832" s="7">
        <v>1</v>
      </c>
      <c r="E4832" s="7">
        <v>10</v>
      </c>
      <c r="F4832" s="7">
        <v>1</v>
      </c>
      <c r="G4832" s="8" t="s">
        <v>2144</v>
      </c>
      <c r="H4832" s="8" t="s">
        <v>1242</v>
      </c>
      <c r="I4832" s="7" t="str">
        <f>_xlfn.CONCAT(Paper_Reference[[#This Row],[Lvl]:[Paper Description]])</f>
        <v>2PJ37DG0074T-5200ODENTON NEON LIGHT XL 60 X 144110110000020-6200Premium Inkjet MPK 9653</v>
      </c>
      <c r="J4832" s="7">
        <f>COUNTIF(Paper_Reference[Duplicate Key],Paper_Reference[[#This Row],[Duplicate Key]])</f>
        <v>1</v>
      </c>
    </row>
    <row r="4833" spans="1:10">
      <c r="A4833" s="7">
        <v>2</v>
      </c>
      <c r="B4833" s="8" t="s">
        <v>1990</v>
      </c>
      <c r="C4833" s="8" t="s">
        <v>1484</v>
      </c>
      <c r="D4833" s="7">
        <v>1</v>
      </c>
      <c r="E4833" s="7">
        <v>10</v>
      </c>
      <c r="F4833" s="7">
        <v>1</v>
      </c>
      <c r="G4833" s="8" t="s">
        <v>1241</v>
      </c>
      <c r="H4833" s="8" t="s">
        <v>1242</v>
      </c>
      <c r="I4833" s="7" t="str">
        <f>_xlfn.CONCAT(Paper_Reference[[#This Row],[Lvl]:[Paper Description]])</f>
        <v>2PJ37DG0075SD4800LILAC BOOMERANG 48 X 96110110000020-5000Premium Inkjet MPK 9653</v>
      </c>
      <c r="J4833" s="7">
        <f>COUNTIF(Paper_Reference[Duplicate Key],Paper_Reference[[#This Row],[Duplicate Key]])</f>
        <v>1</v>
      </c>
    </row>
    <row r="4834" spans="1:10">
      <c r="A4834" s="7">
        <v>2</v>
      </c>
      <c r="B4834" s="8" t="s">
        <v>2774</v>
      </c>
      <c r="C4834" s="8" t="s">
        <v>2300</v>
      </c>
      <c r="D4834" s="7">
        <v>1</v>
      </c>
      <c r="E4834" s="7">
        <v>10</v>
      </c>
      <c r="F4834" s="7">
        <v>1</v>
      </c>
      <c r="G4834" s="8" t="s">
        <v>2144</v>
      </c>
      <c r="H4834" s="8" t="s">
        <v>1242</v>
      </c>
      <c r="I4834" s="7" t="str">
        <f>_xlfn.CONCAT(Paper_Reference[[#This Row],[Lvl]:[Paper Description]])</f>
        <v>2PJ37DG0075SD5200LILAC BOOMERANG 60 X 144110110000020-6200Premium Inkjet MPK 9653</v>
      </c>
      <c r="J4834" s="7">
        <f>COUNTIF(Paper_Reference[Duplicate Key],Paper_Reference[[#This Row],[Duplicate Key]])</f>
        <v>1</v>
      </c>
    </row>
    <row r="4835" spans="1:10">
      <c r="A4835" s="7">
        <v>2</v>
      </c>
      <c r="B4835" s="8" t="s">
        <v>1991</v>
      </c>
      <c r="C4835" s="8" t="s">
        <v>1538</v>
      </c>
      <c r="D4835" s="7">
        <v>1</v>
      </c>
      <c r="E4835" s="7">
        <v>10</v>
      </c>
      <c r="F4835" s="7">
        <v>1</v>
      </c>
      <c r="G4835" s="8" t="s">
        <v>1241</v>
      </c>
      <c r="H4835" s="8" t="s">
        <v>1242</v>
      </c>
      <c r="I4835" s="7" t="str">
        <f>_xlfn.CONCAT(Paper_Reference[[#This Row],[Lvl]:[Paper Description]])</f>
        <v>2PJ37DG0076SD3000CARBON BLACK BOOM 36 X 120110110000020-5000Premium Inkjet MPK 9653</v>
      </c>
      <c r="J4835" s="7">
        <f>COUNTIF(Paper_Reference[Duplicate Key],Paper_Reference[[#This Row],[Duplicate Key]])</f>
        <v>1</v>
      </c>
    </row>
    <row r="4836" spans="1:10">
      <c r="A4836" s="7">
        <v>2</v>
      </c>
      <c r="B4836" s="8" t="s">
        <v>1992</v>
      </c>
      <c r="C4836" s="8" t="s">
        <v>1539</v>
      </c>
      <c r="D4836" s="7">
        <v>1</v>
      </c>
      <c r="E4836" s="7">
        <v>10</v>
      </c>
      <c r="F4836" s="7">
        <v>1</v>
      </c>
      <c r="G4836" s="8" t="s">
        <v>1241</v>
      </c>
      <c r="H4836" s="8" t="s">
        <v>1242</v>
      </c>
      <c r="I4836" s="7" t="str">
        <f>_xlfn.CONCAT(Paper_Reference[[#This Row],[Lvl]:[Paper Description]])</f>
        <v>2PJ37DG0076SD3200CARBON BLACK BOOM 36 X 144110110000020-5000Premium Inkjet MPK 9653</v>
      </c>
      <c r="J4836" s="7">
        <f>COUNTIF(Paper_Reference[Duplicate Key],Paper_Reference[[#This Row],[Duplicate Key]])</f>
        <v>1</v>
      </c>
    </row>
    <row r="4837" spans="1:10">
      <c r="A4837" s="7">
        <v>2</v>
      </c>
      <c r="B4837" s="8" t="s">
        <v>1993</v>
      </c>
      <c r="C4837" s="8" t="s">
        <v>1504</v>
      </c>
      <c r="D4837" s="7">
        <v>1</v>
      </c>
      <c r="E4837" s="7">
        <v>10</v>
      </c>
      <c r="F4837" s="7">
        <v>1</v>
      </c>
      <c r="G4837" s="8" t="s">
        <v>1241</v>
      </c>
      <c r="H4837" s="8" t="s">
        <v>1242</v>
      </c>
      <c r="I4837" s="7" t="str">
        <f>_xlfn.CONCAT(Paper_Reference[[#This Row],[Lvl]:[Paper Description]])</f>
        <v>2PJ37DG0076SD3800CARBON BLACK BOOM 36 X 96110110000020-5000Premium Inkjet MPK 9653</v>
      </c>
      <c r="J4837" s="7">
        <f>COUNTIF(Paper_Reference[Duplicate Key],Paper_Reference[[#This Row],[Duplicate Key]])</f>
        <v>1</v>
      </c>
    </row>
    <row r="4838" spans="1:10">
      <c r="A4838" s="7">
        <v>2</v>
      </c>
      <c r="B4838" s="8" t="s">
        <v>1994</v>
      </c>
      <c r="C4838" s="8" t="s">
        <v>1540</v>
      </c>
      <c r="D4838" s="7">
        <v>1</v>
      </c>
      <c r="E4838" s="7">
        <v>10</v>
      </c>
      <c r="F4838" s="7">
        <v>1</v>
      </c>
      <c r="G4838" s="8" t="s">
        <v>1241</v>
      </c>
      <c r="H4838" s="8" t="s">
        <v>1242</v>
      </c>
      <c r="I4838" s="7" t="str">
        <f>_xlfn.CONCAT(Paper_Reference[[#This Row],[Lvl]:[Paper Description]])</f>
        <v>2PJ37DG0076SD4200CARBON BLACK BOOM 48 X 144110110000020-5000Premium Inkjet MPK 9653</v>
      </c>
      <c r="J4838" s="7">
        <f>COUNTIF(Paper_Reference[Duplicate Key],Paper_Reference[[#This Row],[Duplicate Key]])</f>
        <v>1</v>
      </c>
    </row>
    <row r="4839" spans="1:10">
      <c r="A4839" s="7">
        <v>2</v>
      </c>
      <c r="B4839" s="8" t="s">
        <v>1995</v>
      </c>
      <c r="C4839" s="8" t="s">
        <v>1505</v>
      </c>
      <c r="D4839" s="7">
        <v>1</v>
      </c>
      <c r="E4839" s="7">
        <v>10</v>
      </c>
      <c r="F4839" s="7">
        <v>1</v>
      </c>
      <c r="G4839" s="8" t="s">
        <v>1241</v>
      </c>
      <c r="H4839" s="8" t="s">
        <v>1242</v>
      </c>
      <c r="I4839" s="7" t="str">
        <f>_xlfn.CONCAT(Paper_Reference[[#This Row],[Lvl]:[Paper Description]])</f>
        <v>2PJ37DG0076SD4800CARBON BLACK BOOM 48 X 96110110000020-5000Premium Inkjet MPK 9653</v>
      </c>
      <c r="J4839" s="7">
        <f>COUNTIF(Paper_Reference[Duplicate Key],Paper_Reference[[#This Row],[Duplicate Key]])</f>
        <v>1</v>
      </c>
    </row>
    <row r="4840" spans="1:10">
      <c r="A4840" s="7">
        <v>2</v>
      </c>
      <c r="B4840" s="8" t="s">
        <v>2775</v>
      </c>
      <c r="C4840" s="8" t="s">
        <v>2301</v>
      </c>
      <c r="D4840" s="7">
        <v>1</v>
      </c>
      <c r="E4840" s="7">
        <v>10</v>
      </c>
      <c r="F4840" s="7">
        <v>1</v>
      </c>
      <c r="G4840" s="8" t="s">
        <v>2144</v>
      </c>
      <c r="H4840" s="8" t="s">
        <v>1242</v>
      </c>
      <c r="I4840" s="7" t="str">
        <f>_xlfn.CONCAT(Paper_Reference[[#This Row],[Lvl]:[Paper Description]])</f>
        <v>2PJ37DG0076SD5000CARBON BLACK BOOM 60 X 120110110000020-6200Premium Inkjet MPK 9653</v>
      </c>
      <c r="J4840" s="7">
        <f>COUNTIF(Paper_Reference[Duplicate Key],Paper_Reference[[#This Row],[Duplicate Key]])</f>
        <v>1</v>
      </c>
    </row>
    <row r="4841" spans="1:10">
      <c r="A4841" s="7">
        <v>2</v>
      </c>
      <c r="B4841" s="8" t="s">
        <v>2776</v>
      </c>
      <c r="C4841" s="8" t="s">
        <v>2302</v>
      </c>
      <c r="D4841" s="7">
        <v>1</v>
      </c>
      <c r="E4841" s="7">
        <v>10</v>
      </c>
      <c r="F4841" s="7">
        <v>1</v>
      </c>
      <c r="G4841" s="8" t="s">
        <v>2144</v>
      </c>
      <c r="H4841" s="8" t="s">
        <v>1242</v>
      </c>
      <c r="I4841" s="7" t="str">
        <f>_xlfn.CONCAT(Paper_Reference[[#This Row],[Lvl]:[Paper Description]])</f>
        <v>2PJ37DG0076SD5200CARBON BLACK BOOM 60 X 144110110000020-6200Premium Inkjet MPK 9653</v>
      </c>
      <c r="J4841" s="7">
        <f>COUNTIF(Paper_Reference[Duplicate Key],Paper_Reference[[#This Row],[Duplicate Key]])</f>
        <v>1</v>
      </c>
    </row>
    <row r="4842" spans="1:10">
      <c r="A4842" s="7">
        <v>2</v>
      </c>
      <c r="B4842" s="8" t="s">
        <v>2777</v>
      </c>
      <c r="C4842" s="8" t="s">
        <v>2303</v>
      </c>
      <c r="D4842" s="7">
        <v>1</v>
      </c>
      <c r="E4842" s="7">
        <v>10</v>
      </c>
      <c r="F4842" s="7">
        <v>1</v>
      </c>
      <c r="G4842" s="8" t="s">
        <v>2144</v>
      </c>
      <c r="H4842" s="8" t="s">
        <v>1242</v>
      </c>
      <c r="I4842" s="7" t="str">
        <f>_xlfn.CONCAT(Paper_Reference[[#This Row],[Lvl]:[Paper Description]])</f>
        <v>2PJ37DG0076SD5800CARBON BLACK BOOM 60 X 96110110000020-6200Premium Inkjet MPK 9653</v>
      </c>
      <c r="J4842" s="7">
        <f>COUNTIF(Paper_Reference[Duplicate Key],Paper_Reference[[#This Row],[Duplicate Key]])</f>
        <v>1</v>
      </c>
    </row>
    <row r="4843" spans="1:10">
      <c r="A4843" s="7">
        <v>2</v>
      </c>
      <c r="B4843" s="8" t="s">
        <v>1996</v>
      </c>
      <c r="C4843" s="8" t="s">
        <v>1506</v>
      </c>
      <c r="D4843" s="7">
        <v>1</v>
      </c>
      <c r="E4843" s="7">
        <v>10</v>
      </c>
      <c r="F4843" s="7">
        <v>1</v>
      </c>
      <c r="G4843" s="8" t="s">
        <v>1241</v>
      </c>
      <c r="H4843" s="8" t="s">
        <v>1242</v>
      </c>
      <c r="I4843" s="7" t="str">
        <f>_xlfn.CONCAT(Paper_Reference[[#This Row],[Lvl]:[Paper Description]])</f>
        <v>2PJ37DG0077SD4800ODENTON PINK LADY 48 X 96110110000020-5000Premium Inkjet MPK 9653</v>
      </c>
      <c r="J4843" s="7">
        <f>COUNTIF(Paper_Reference[Duplicate Key],Paper_Reference[[#This Row],[Duplicate Key]])</f>
        <v>1</v>
      </c>
    </row>
    <row r="4844" spans="1:10">
      <c r="A4844" s="7">
        <v>2</v>
      </c>
      <c r="B4844" s="8" t="s">
        <v>1997</v>
      </c>
      <c r="C4844" s="8" t="s">
        <v>1507</v>
      </c>
      <c r="D4844" s="7">
        <v>1</v>
      </c>
      <c r="E4844" s="7">
        <v>10</v>
      </c>
      <c r="F4844" s="7">
        <v>1</v>
      </c>
      <c r="G4844" s="8" t="s">
        <v>1241</v>
      </c>
      <c r="H4844" s="8" t="s">
        <v>1242</v>
      </c>
      <c r="I4844" s="7" t="str">
        <f>_xlfn.CONCAT(Paper_Reference[[#This Row],[Lvl]:[Paper Description]])</f>
        <v>2PJ37DG0078SD3000ODENTON NEON LIGHT 36 X 120110110000020-5000Premium Inkjet MPK 9653</v>
      </c>
      <c r="J4844" s="7">
        <f>COUNTIF(Paper_Reference[Duplicate Key],Paper_Reference[[#This Row],[Duplicate Key]])</f>
        <v>1</v>
      </c>
    </row>
    <row r="4845" spans="1:10">
      <c r="A4845" s="7">
        <v>2</v>
      </c>
      <c r="B4845" s="8" t="s">
        <v>1998</v>
      </c>
      <c r="C4845" s="8" t="s">
        <v>1541</v>
      </c>
      <c r="D4845" s="7">
        <v>1</v>
      </c>
      <c r="E4845" s="7">
        <v>10</v>
      </c>
      <c r="F4845" s="7">
        <v>1</v>
      </c>
      <c r="G4845" s="8" t="s">
        <v>1241</v>
      </c>
      <c r="H4845" s="8" t="s">
        <v>1242</v>
      </c>
      <c r="I4845" s="7" t="str">
        <f>_xlfn.CONCAT(Paper_Reference[[#This Row],[Lvl]:[Paper Description]])</f>
        <v>2PJ37DG0078SD3200ODENTON NEON LIGHT 36 X 144110110000020-5000Premium Inkjet MPK 9653</v>
      </c>
      <c r="J4845" s="7">
        <f>COUNTIF(Paper_Reference[Duplicate Key],Paper_Reference[[#This Row],[Duplicate Key]])</f>
        <v>1</v>
      </c>
    </row>
    <row r="4846" spans="1:10">
      <c r="A4846" s="7">
        <v>2</v>
      </c>
      <c r="B4846" s="8" t="s">
        <v>1999</v>
      </c>
      <c r="C4846" s="8" t="s">
        <v>1542</v>
      </c>
      <c r="D4846" s="7">
        <v>1</v>
      </c>
      <c r="E4846" s="7">
        <v>10</v>
      </c>
      <c r="F4846" s="7">
        <v>1</v>
      </c>
      <c r="G4846" s="8" t="s">
        <v>1241</v>
      </c>
      <c r="H4846" s="8" t="s">
        <v>1242</v>
      </c>
      <c r="I4846" s="7" t="str">
        <f>_xlfn.CONCAT(Paper_Reference[[#This Row],[Lvl]:[Paper Description]])</f>
        <v>2PJ37DG0078SD3800ODENTON NEON LIGHT 36 X 96110110000020-5000Premium Inkjet MPK 9653</v>
      </c>
      <c r="J4846" s="7">
        <f>COUNTIF(Paper_Reference[Duplicate Key],Paper_Reference[[#This Row],[Duplicate Key]])</f>
        <v>1</v>
      </c>
    </row>
    <row r="4847" spans="1:10">
      <c r="A4847" s="7">
        <v>2</v>
      </c>
      <c r="B4847" s="8" t="s">
        <v>2000</v>
      </c>
      <c r="C4847" s="8" t="s">
        <v>1508</v>
      </c>
      <c r="D4847" s="7">
        <v>1</v>
      </c>
      <c r="E4847" s="7">
        <v>10</v>
      </c>
      <c r="F4847" s="7">
        <v>1</v>
      </c>
      <c r="G4847" s="8" t="s">
        <v>1241</v>
      </c>
      <c r="H4847" s="8" t="s">
        <v>1242</v>
      </c>
      <c r="I4847" s="7" t="str">
        <f>_xlfn.CONCAT(Paper_Reference[[#This Row],[Lvl]:[Paper Description]])</f>
        <v>2PJ37DG0078SD4000ODENTON NEON LIGHT 48 X 120110110000020-5000Premium Inkjet MPK 9653</v>
      </c>
      <c r="J4847" s="7">
        <f>COUNTIF(Paper_Reference[Duplicate Key],Paper_Reference[[#This Row],[Duplicate Key]])</f>
        <v>1</v>
      </c>
    </row>
    <row r="4848" spans="1:10">
      <c r="A4848" s="7">
        <v>2</v>
      </c>
      <c r="B4848" s="8" t="s">
        <v>2001</v>
      </c>
      <c r="C4848" s="8" t="s">
        <v>1510</v>
      </c>
      <c r="D4848" s="7">
        <v>1</v>
      </c>
      <c r="E4848" s="7">
        <v>10</v>
      </c>
      <c r="F4848" s="7">
        <v>1</v>
      </c>
      <c r="G4848" s="8" t="s">
        <v>1241</v>
      </c>
      <c r="H4848" s="8" t="s">
        <v>1242</v>
      </c>
      <c r="I4848" s="7" t="str">
        <f>_xlfn.CONCAT(Paper_Reference[[#This Row],[Lvl]:[Paper Description]])</f>
        <v>2PJ37DG0078SD4800ODENTON NEON LIGHT 48 X 96110110000020-5000Premium Inkjet MPK 9653</v>
      </c>
      <c r="J4848" s="7">
        <f>COUNTIF(Paper_Reference[Duplicate Key],Paper_Reference[[#This Row],[Duplicate Key]])</f>
        <v>1</v>
      </c>
    </row>
    <row r="4849" spans="1:10">
      <c r="A4849" s="7">
        <v>2</v>
      </c>
      <c r="B4849" s="8" t="s">
        <v>2778</v>
      </c>
      <c r="C4849" s="8" t="s">
        <v>2304</v>
      </c>
      <c r="D4849" s="7">
        <v>1</v>
      </c>
      <c r="E4849" s="7">
        <v>10</v>
      </c>
      <c r="F4849" s="7">
        <v>1</v>
      </c>
      <c r="G4849" s="8" t="s">
        <v>2144</v>
      </c>
      <c r="H4849" s="8" t="s">
        <v>1242</v>
      </c>
      <c r="I4849" s="7" t="str">
        <f>_xlfn.CONCAT(Paper_Reference[[#This Row],[Lvl]:[Paper Description]])</f>
        <v>2PJ37DG0078SD5000ODENTON NEON LIGHT 60 X 120110110000020-6200Premium Inkjet MPK 9653</v>
      </c>
      <c r="J4849" s="7">
        <f>COUNTIF(Paper_Reference[Duplicate Key],Paper_Reference[[#This Row],[Duplicate Key]])</f>
        <v>1</v>
      </c>
    </row>
    <row r="4850" spans="1:10">
      <c r="A4850" s="7">
        <v>2</v>
      </c>
      <c r="B4850" s="8" t="s">
        <v>2779</v>
      </c>
      <c r="C4850" s="8" t="s">
        <v>2281</v>
      </c>
      <c r="D4850" s="7">
        <v>1</v>
      </c>
      <c r="E4850" s="7">
        <v>10</v>
      </c>
      <c r="F4850" s="7">
        <v>1</v>
      </c>
      <c r="G4850" s="8" t="s">
        <v>2144</v>
      </c>
      <c r="H4850" s="8" t="s">
        <v>1242</v>
      </c>
      <c r="I4850" s="7" t="str">
        <f>_xlfn.CONCAT(Paper_Reference[[#This Row],[Lvl]:[Paper Description]])</f>
        <v>2PJ37DG0078SD5200ODENTON NEON LIGHT 60 X 144110110000020-6200Premium Inkjet MPK 9653</v>
      </c>
      <c r="J4850" s="7">
        <f>COUNTIF(Paper_Reference[Duplicate Key],Paper_Reference[[#This Row],[Duplicate Key]])</f>
        <v>1</v>
      </c>
    </row>
    <row r="4851" spans="1:10">
      <c r="A4851" s="7">
        <v>2</v>
      </c>
      <c r="B4851" s="8" t="s">
        <v>2002</v>
      </c>
      <c r="C4851" s="8" t="s">
        <v>1543</v>
      </c>
      <c r="D4851" s="7">
        <v>1</v>
      </c>
      <c r="E4851" s="7">
        <v>10</v>
      </c>
      <c r="F4851" s="7">
        <v>1</v>
      </c>
      <c r="G4851" s="8" t="s">
        <v>1241</v>
      </c>
      <c r="H4851" s="8" t="s">
        <v>1242</v>
      </c>
      <c r="I4851" s="7" t="str">
        <f>_xlfn.CONCAT(Paper_Reference[[#This Row],[Lvl]:[Paper Description]])</f>
        <v>2PJ37DG0079SD4800GRAFFITI 48 X 96110110000020-5000Premium Inkjet MPK 9653</v>
      </c>
      <c r="J4851" s="7">
        <f>COUNTIF(Paper_Reference[Duplicate Key],Paper_Reference[[#This Row],[Duplicate Key]])</f>
        <v>1</v>
      </c>
    </row>
    <row r="4852" spans="1:10">
      <c r="A4852" s="7">
        <v>2</v>
      </c>
      <c r="B4852" s="8" t="s">
        <v>2003</v>
      </c>
      <c r="C4852" s="8" t="s">
        <v>1544</v>
      </c>
      <c r="D4852" s="7">
        <v>1</v>
      </c>
      <c r="E4852" s="7">
        <v>10</v>
      </c>
      <c r="F4852" s="7">
        <v>1</v>
      </c>
      <c r="G4852" s="8" t="s">
        <v>1241</v>
      </c>
      <c r="H4852" s="8" t="s">
        <v>1242</v>
      </c>
      <c r="I4852" s="7" t="str">
        <f>_xlfn.CONCAT(Paper_Reference[[#This Row],[Lvl]:[Paper Description]])</f>
        <v>2PJ37DG0081SD4800MINI HONDSTOOTH KHAKI 48 X 96110110000020-5000Premium Inkjet MPK 9653</v>
      </c>
      <c r="J4852" s="7">
        <f>COUNTIF(Paper_Reference[Duplicate Key],Paper_Reference[[#This Row],[Duplicate Key]])</f>
        <v>1</v>
      </c>
    </row>
    <row r="4853" spans="1:10">
      <c r="A4853" s="7">
        <v>2</v>
      </c>
      <c r="B4853" s="8" t="s">
        <v>2004</v>
      </c>
      <c r="C4853" s="8" t="s">
        <v>1545</v>
      </c>
      <c r="D4853" s="7">
        <v>1</v>
      </c>
      <c r="E4853" s="7">
        <v>10</v>
      </c>
      <c r="F4853" s="7">
        <v>1</v>
      </c>
      <c r="G4853" s="8" t="s">
        <v>1241</v>
      </c>
      <c r="H4853" s="8" t="s">
        <v>1242</v>
      </c>
      <c r="I4853" s="7" t="str">
        <f>_xlfn.CONCAT(Paper_Reference[[#This Row],[Lvl]:[Paper Description]])</f>
        <v>2PJ37DG0082SD4800MINI HOUNDSTOOTH CHOC 48X96110110000020-5000Premium Inkjet MPK 9653</v>
      </c>
      <c r="J4853" s="7">
        <f>COUNTIF(Paper_Reference[Duplicate Key],Paper_Reference[[#This Row],[Duplicate Key]])</f>
        <v>1</v>
      </c>
    </row>
    <row r="4854" spans="1:10">
      <c r="A4854" s="7">
        <v>2</v>
      </c>
      <c r="B4854" s="8" t="s">
        <v>2005</v>
      </c>
      <c r="C4854" s="8" t="s">
        <v>1512</v>
      </c>
      <c r="D4854" s="7">
        <v>1</v>
      </c>
      <c r="E4854" s="7">
        <v>10</v>
      </c>
      <c r="F4854" s="7">
        <v>1</v>
      </c>
      <c r="G4854" s="8" t="s">
        <v>1241</v>
      </c>
      <c r="H4854" s="8" t="s">
        <v>1242</v>
      </c>
      <c r="I4854" s="7" t="str">
        <f>_xlfn.CONCAT(Paper_Reference[[#This Row],[Lvl]:[Paper Description]])</f>
        <v>2PJ37DG0083SD4800MINI HOUNDSTOOTH MIST 48 X 96110110000020-5000Premium Inkjet MPK 9653</v>
      </c>
      <c r="J4854" s="7">
        <f>COUNTIF(Paper_Reference[Duplicate Key],Paper_Reference[[#This Row],[Duplicate Key]])</f>
        <v>1</v>
      </c>
    </row>
    <row r="4855" spans="1:10">
      <c r="A4855" s="7">
        <v>2</v>
      </c>
      <c r="B4855" s="8" t="s">
        <v>2006</v>
      </c>
      <c r="C4855" s="8" t="s">
        <v>1485</v>
      </c>
      <c r="D4855" s="7">
        <v>1</v>
      </c>
      <c r="E4855" s="7">
        <v>10</v>
      </c>
      <c r="F4855" s="7">
        <v>1</v>
      </c>
      <c r="G4855" s="8" t="s">
        <v>1241</v>
      </c>
      <c r="H4855" s="8" t="s">
        <v>1242</v>
      </c>
      <c r="I4855" s="7" t="str">
        <f>_xlfn.CONCAT(Paper_Reference[[#This Row],[Lvl]:[Paper Description]])</f>
        <v>2PJ37DG0084SD4800PLAID INTER ASH GRAY 48 X 96110110000020-5000Premium Inkjet MPK 9653</v>
      </c>
      <c r="J4855" s="7">
        <f>COUNTIF(Paper_Reference[Duplicate Key],Paper_Reference[[#This Row],[Duplicate Key]])</f>
        <v>1</v>
      </c>
    </row>
    <row r="4856" spans="1:10">
      <c r="A4856" s="7">
        <v>2</v>
      </c>
      <c r="B4856" s="8" t="s">
        <v>2780</v>
      </c>
      <c r="C4856" s="8" t="s">
        <v>2282</v>
      </c>
      <c r="D4856" s="7">
        <v>1</v>
      </c>
      <c r="E4856" s="7">
        <v>10</v>
      </c>
      <c r="F4856" s="7">
        <v>1</v>
      </c>
      <c r="G4856" s="8" t="s">
        <v>2144</v>
      </c>
      <c r="H4856" s="8" t="s">
        <v>1242</v>
      </c>
      <c r="I4856" s="7" t="str">
        <f>_xlfn.CONCAT(Paper_Reference[[#This Row],[Lvl]:[Paper Description]])</f>
        <v>2PJ37DG0084SD5200PLAID INTER ASH GRAY 60 X 144110110000020-6200Premium Inkjet MPK 9653</v>
      </c>
      <c r="J4856" s="7">
        <f>COUNTIF(Paper_Reference[Duplicate Key],Paper_Reference[[#This Row],[Duplicate Key]])</f>
        <v>1</v>
      </c>
    </row>
    <row r="4857" spans="1:10">
      <c r="A4857" s="7">
        <v>2</v>
      </c>
      <c r="B4857" s="8" t="s">
        <v>2007</v>
      </c>
      <c r="C4857" s="8" t="s">
        <v>1513</v>
      </c>
      <c r="D4857" s="7">
        <v>1</v>
      </c>
      <c r="E4857" s="7">
        <v>10</v>
      </c>
      <c r="F4857" s="7">
        <v>1</v>
      </c>
      <c r="G4857" s="8" t="s">
        <v>1241</v>
      </c>
      <c r="H4857" s="8" t="s">
        <v>1242</v>
      </c>
      <c r="I4857" s="7" t="str">
        <f>_xlfn.CONCAT(Paper_Reference[[#This Row],[Lvl]:[Paper Description]])</f>
        <v>2PJ37DG0085SD4800PLAID INTER PARCHMENT 48 X 96110110000020-5000Premium Inkjet MPK 9653</v>
      </c>
      <c r="J4857" s="7">
        <f>COUNTIF(Paper_Reference[Duplicate Key],Paper_Reference[[#This Row],[Duplicate Key]])</f>
        <v>1</v>
      </c>
    </row>
    <row r="4858" spans="1:10">
      <c r="A4858" s="7">
        <v>2</v>
      </c>
      <c r="B4858" s="8" t="s">
        <v>2781</v>
      </c>
      <c r="C4858" s="8" t="s">
        <v>2305</v>
      </c>
      <c r="D4858" s="7">
        <v>1</v>
      </c>
      <c r="E4858" s="7">
        <v>10</v>
      </c>
      <c r="F4858" s="7">
        <v>1</v>
      </c>
      <c r="G4858" s="8" t="s">
        <v>2144</v>
      </c>
      <c r="H4858" s="8" t="s">
        <v>1242</v>
      </c>
      <c r="I4858" s="7" t="str">
        <f>_xlfn.CONCAT(Paper_Reference[[#This Row],[Lvl]:[Paper Description]])</f>
        <v>2PJ37DG0085SD5000PLAID INTER PARCHMENT 60 X 120110110000020-6200Premium Inkjet MPK 9653</v>
      </c>
      <c r="J4858" s="7">
        <f>COUNTIF(Paper_Reference[Duplicate Key],Paper_Reference[[#This Row],[Duplicate Key]])</f>
        <v>1</v>
      </c>
    </row>
    <row r="4859" spans="1:10">
      <c r="A4859" s="7">
        <v>2</v>
      </c>
      <c r="B4859" s="8" t="s">
        <v>2782</v>
      </c>
      <c r="C4859" s="8" t="s">
        <v>2306</v>
      </c>
      <c r="D4859" s="7">
        <v>1</v>
      </c>
      <c r="E4859" s="7">
        <v>10</v>
      </c>
      <c r="F4859" s="7">
        <v>1</v>
      </c>
      <c r="G4859" s="8" t="s">
        <v>2144</v>
      </c>
      <c r="H4859" s="8" t="s">
        <v>1242</v>
      </c>
      <c r="I4859" s="7" t="str">
        <f>_xlfn.CONCAT(Paper_Reference[[#This Row],[Lvl]:[Paper Description]])</f>
        <v>2PJ37DG0086SD5200BLUE LUMINARY LEAF 60 X 144110110000020-6200Premium Inkjet MPK 9653</v>
      </c>
      <c r="J4859" s="7">
        <f>COUNTIF(Paper_Reference[Duplicate Key],Paper_Reference[[#This Row],[Duplicate Key]])</f>
        <v>1</v>
      </c>
    </row>
    <row r="4860" spans="1:10">
      <c r="A4860" s="7">
        <v>2</v>
      </c>
      <c r="B4860" s="8" t="s">
        <v>2783</v>
      </c>
      <c r="C4860" s="8" t="s">
        <v>2306</v>
      </c>
      <c r="D4860" s="7">
        <v>1</v>
      </c>
      <c r="E4860" s="7">
        <v>10</v>
      </c>
      <c r="F4860" s="7">
        <v>1</v>
      </c>
      <c r="G4860" s="8" t="s">
        <v>2144</v>
      </c>
      <c r="H4860" s="8" t="s">
        <v>1242</v>
      </c>
      <c r="I4860" s="7" t="str">
        <f>_xlfn.CONCAT(Paper_Reference[[#This Row],[Lvl]:[Paper Description]])</f>
        <v>2PJ37DG0086T-5200BLUE LUMINARY LEAF 60 X 144110110000020-6200Premium Inkjet MPK 9653</v>
      </c>
      <c r="J4860" s="7">
        <f>COUNTIF(Paper_Reference[Duplicate Key],Paper_Reference[[#This Row],[Duplicate Key]])</f>
        <v>1</v>
      </c>
    </row>
    <row r="4861" spans="1:10">
      <c r="A4861" s="7">
        <v>2</v>
      </c>
      <c r="B4861" s="8" t="s">
        <v>2008</v>
      </c>
      <c r="C4861" s="8" t="s">
        <v>1546</v>
      </c>
      <c r="D4861" s="7">
        <v>1</v>
      </c>
      <c r="E4861" s="7">
        <v>10</v>
      </c>
      <c r="F4861" s="7">
        <v>1</v>
      </c>
      <c r="G4861" s="8" t="s">
        <v>1241</v>
      </c>
      <c r="H4861" s="8" t="s">
        <v>1242</v>
      </c>
      <c r="I4861" s="7" t="str">
        <f>_xlfn.CONCAT(Paper_Reference[[#This Row],[Lvl]:[Paper Description]])</f>
        <v>2PJ37DG0088SD4800VERI PERI SILLYSTRING 48 X 96110110000020-5000Premium Inkjet MPK 9653</v>
      </c>
      <c r="J4861" s="7">
        <f>COUNTIF(Paper_Reference[Duplicate Key],Paper_Reference[[#This Row],[Duplicate Key]])</f>
        <v>1</v>
      </c>
    </row>
    <row r="4862" spans="1:10">
      <c r="A4862" s="7">
        <v>2</v>
      </c>
      <c r="B4862" s="8" t="s">
        <v>2009</v>
      </c>
      <c r="C4862" s="8" t="s">
        <v>1547</v>
      </c>
      <c r="D4862" s="7">
        <v>1</v>
      </c>
      <c r="E4862" s="7">
        <v>10</v>
      </c>
      <c r="F4862" s="7">
        <v>1</v>
      </c>
      <c r="G4862" s="8" t="s">
        <v>1241</v>
      </c>
      <c r="H4862" s="8" t="s">
        <v>1242</v>
      </c>
      <c r="I4862" s="7" t="str">
        <f>_xlfn.CONCAT(Paper_Reference[[#This Row],[Lvl]:[Paper Description]])</f>
        <v>2PJ37DG0089SD4800VERI PERI ICELANDIC 48 X 96110110000020-5000Premium Inkjet MPK 9653</v>
      </c>
      <c r="J4862" s="7">
        <f>COUNTIF(Paper_Reference[Duplicate Key],Paper_Reference[[#This Row],[Duplicate Key]])</f>
        <v>1</v>
      </c>
    </row>
    <row r="4863" spans="1:10">
      <c r="A4863" s="7">
        <v>2</v>
      </c>
      <c r="B4863" s="8" t="s">
        <v>2784</v>
      </c>
      <c r="C4863" s="8" t="s">
        <v>2307</v>
      </c>
      <c r="D4863" s="7">
        <v>1</v>
      </c>
      <c r="E4863" s="7">
        <v>10</v>
      </c>
      <c r="F4863" s="7">
        <v>1</v>
      </c>
      <c r="G4863" s="8" t="s">
        <v>2144</v>
      </c>
      <c r="H4863" s="8" t="s">
        <v>1242</v>
      </c>
      <c r="I4863" s="7" t="str">
        <f>_xlfn.CONCAT(Paper_Reference[[#This Row],[Lvl]:[Paper Description]])</f>
        <v>2PJ48DG0005SD5800VINTAGE SQUARE WOOD 60 X 96110110000020-6200Premium Inkjet MPK 9653</v>
      </c>
      <c r="J4863" s="7">
        <f>COUNTIF(Paper_Reference[Duplicate Key],Paper_Reference[[#This Row],[Duplicate Key]])</f>
        <v>1</v>
      </c>
    </row>
    <row r="4864" spans="1:10">
      <c r="A4864" s="7">
        <v>2</v>
      </c>
      <c r="B4864" s="8" t="s">
        <v>2785</v>
      </c>
      <c r="C4864" s="8" t="s">
        <v>2308</v>
      </c>
      <c r="D4864" s="7">
        <v>1</v>
      </c>
      <c r="E4864" s="7">
        <v>10</v>
      </c>
      <c r="F4864" s="7">
        <v>1</v>
      </c>
      <c r="G4864" s="8" t="s">
        <v>2144</v>
      </c>
      <c r="H4864" s="8" t="s">
        <v>1242</v>
      </c>
      <c r="I4864" s="7" t="str">
        <f>_xlfn.CONCAT(Paper_Reference[[#This Row],[Lvl]:[Paper Description]])</f>
        <v>2PJ48DG0013SD5200MARBLED TRAPEZOID 60 X 144110110000020-6200Premium Inkjet MPK 9653</v>
      </c>
      <c r="J4864" s="7">
        <f>COUNTIF(Paper_Reference[Duplicate Key],Paper_Reference[[#This Row],[Duplicate Key]])</f>
        <v>1</v>
      </c>
    </row>
    <row r="4865" spans="1:10">
      <c r="A4865" s="7">
        <v>2</v>
      </c>
      <c r="B4865" s="8" t="s">
        <v>2010</v>
      </c>
      <c r="C4865" s="8" t="s">
        <v>1548</v>
      </c>
      <c r="D4865" s="7">
        <v>1</v>
      </c>
      <c r="E4865" s="7">
        <v>10</v>
      </c>
      <c r="F4865" s="7">
        <v>1</v>
      </c>
      <c r="G4865" s="8" t="s">
        <v>1241</v>
      </c>
      <c r="H4865" s="8" t="s">
        <v>1242</v>
      </c>
      <c r="I4865" s="7" t="str">
        <f>_xlfn.CONCAT(Paper_Reference[[#This Row],[Lvl]:[Paper Description]])</f>
        <v>2PJ48DG0038SD4800MANDALA 48 X 96110110000020-5000Premium Inkjet MPK 9653</v>
      </c>
      <c r="J4865" s="7">
        <f>COUNTIF(Paper_Reference[Duplicate Key],Paper_Reference[[#This Row],[Duplicate Key]])</f>
        <v>1</v>
      </c>
    </row>
    <row r="4866" spans="1:10">
      <c r="A4866" s="7">
        <v>2</v>
      </c>
      <c r="B4866" s="8" t="s">
        <v>2786</v>
      </c>
      <c r="C4866" s="8" t="s">
        <v>2309</v>
      </c>
      <c r="D4866" s="7">
        <v>1</v>
      </c>
      <c r="E4866" s="7">
        <v>10</v>
      </c>
      <c r="F4866" s="7">
        <v>1</v>
      </c>
      <c r="G4866" s="8" t="s">
        <v>2144</v>
      </c>
      <c r="H4866" s="8" t="s">
        <v>1242</v>
      </c>
      <c r="I4866" s="7" t="str">
        <f>_xlfn.CONCAT(Paper_Reference[[#This Row],[Lvl]:[Paper Description]])</f>
        <v>2PJ48DG0038SD5200MANDELA 60 X 144110110000020-6200Premium Inkjet MPK 9653</v>
      </c>
      <c r="J4866" s="7">
        <f>COUNTIF(Paper_Reference[Duplicate Key],Paper_Reference[[#This Row],[Duplicate Key]])</f>
        <v>1</v>
      </c>
    </row>
    <row r="4867" spans="1:10">
      <c r="A4867" s="7">
        <v>2</v>
      </c>
      <c r="B4867" s="8" t="s">
        <v>2787</v>
      </c>
      <c r="C4867" s="8" t="s">
        <v>2310</v>
      </c>
      <c r="D4867" s="7">
        <v>1</v>
      </c>
      <c r="E4867" s="7">
        <v>10</v>
      </c>
      <c r="F4867" s="7">
        <v>1</v>
      </c>
      <c r="G4867" s="8" t="s">
        <v>2144</v>
      </c>
      <c r="H4867" s="8" t="s">
        <v>1242</v>
      </c>
      <c r="I4867" s="7" t="str">
        <f>_xlfn.CONCAT(Paper_Reference[[#This Row],[Lvl]:[Paper Description]])</f>
        <v>2PJ48DG0040GL5801RIPPLE STRIPE 60 X 96110110000020-6200Premium Inkjet MPK 9653</v>
      </c>
      <c r="J4867" s="7">
        <f>COUNTIF(Paper_Reference[Duplicate Key],Paper_Reference[[#This Row],[Duplicate Key]])</f>
        <v>1</v>
      </c>
    </row>
    <row r="4868" spans="1:10">
      <c r="A4868" s="7">
        <v>2</v>
      </c>
      <c r="B4868" s="8" t="s">
        <v>2011</v>
      </c>
      <c r="C4868" s="8" t="s">
        <v>1490</v>
      </c>
      <c r="D4868" s="7">
        <v>1</v>
      </c>
      <c r="E4868" s="7">
        <v>10</v>
      </c>
      <c r="F4868" s="7">
        <v>1</v>
      </c>
      <c r="G4868" s="8" t="s">
        <v>1241</v>
      </c>
      <c r="H4868" s="8" t="s">
        <v>1242</v>
      </c>
      <c r="I4868" s="7" t="str">
        <f>_xlfn.CONCAT(Paper_Reference[[#This Row],[Lvl]:[Paper Description]])</f>
        <v>2PJ48DG0040SD4800RIPPLE STRIPE 48 X 96110110000020-5000Premium Inkjet MPK 9653</v>
      </c>
      <c r="J4868" s="7">
        <f>COUNTIF(Paper_Reference[Duplicate Key],Paper_Reference[[#This Row],[Duplicate Key]])</f>
        <v>1</v>
      </c>
    </row>
    <row r="4869" spans="1:10">
      <c r="A4869" s="7">
        <v>2</v>
      </c>
      <c r="B4869" s="8" t="s">
        <v>2788</v>
      </c>
      <c r="C4869" s="8" t="s">
        <v>2271</v>
      </c>
      <c r="D4869" s="7">
        <v>1</v>
      </c>
      <c r="E4869" s="7">
        <v>10</v>
      </c>
      <c r="F4869" s="7">
        <v>1</v>
      </c>
      <c r="G4869" s="8" t="s">
        <v>2144</v>
      </c>
      <c r="H4869" s="8" t="s">
        <v>1242</v>
      </c>
      <c r="I4869" s="7" t="str">
        <f>_xlfn.CONCAT(Paper_Reference[[#This Row],[Lvl]:[Paper Description]])</f>
        <v>2PJ48DG0040SD5200RIPPLE STRIPE 60 X 144110110000020-6200Premium Inkjet MPK 9653</v>
      </c>
      <c r="J4869" s="7">
        <f>COUNTIF(Paper_Reference[Duplicate Key],Paper_Reference[[#This Row],[Duplicate Key]])</f>
        <v>1</v>
      </c>
    </row>
    <row r="4870" spans="1:10">
      <c r="A4870" s="7">
        <v>2</v>
      </c>
      <c r="B4870" s="8" t="s">
        <v>2012</v>
      </c>
      <c r="C4870" s="8" t="s">
        <v>1490</v>
      </c>
      <c r="D4870" s="7">
        <v>1</v>
      </c>
      <c r="E4870" s="7">
        <v>10</v>
      </c>
      <c r="F4870" s="7">
        <v>1</v>
      </c>
      <c r="G4870" s="8" t="s">
        <v>1241</v>
      </c>
      <c r="H4870" s="8" t="s">
        <v>1242</v>
      </c>
      <c r="I4870" s="7" t="str">
        <f>_xlfn.CONCAT(Paper_Reference[[#This Row],[Lvl]:[Paper Description]])</f>
        <v>2PJ48DG0040T-4800RIPPLE STRIPE 48 X 96110110000020-5000Premium Inkjet MPK 9653</v>
      </c>
      <c r="J4870" s="7">
        <f>COUNTIF(Paper_Reference[Duplicate Key],Paper_Reference[[#This Row],[Duplicate Key]])</f>
        <v>1</v>
      </c>
    </row>
    <row r="4871" spans="1:10">
      <c r="A4871" s="7">
        <v>2</v>
      </c>
      <c r="B4871" s="8" t="s">
        <v>2013</v>
      </c>
      <c r="C4871" s="8" t="s">
        <v>1493</v>
      </c>
      <c r="D4871" s="7">
        <v>1</v>
      </c>
      <c r="E4871" s="7">
        <v>10</v>
      </c>
      <c r="F4871" s="7">
        <v>1</v>
      </c>
      <c r="G4871" s="8" t="s">
        <v>1241</v>
      </c>
      <c r="H4871" s="8" t="s">
        <v>1242</v>
      </c>
      <c r="I4871" s="7" t="str">
        <f>_xlfn.CONCAT(Paper_Reference[[#This Row],[Lvl]:[Paper Description]])</f>
        <v>2PJ48DG0044T-4800DOTTED DOTTIE 48 X 96110110000020-5000Premium Inkjet MPK 9653</v>
      </c>
      <c r="J4871" s="7">
        <f>COUNTIF(Paper_Reference[Duplicate Key],Paper_Reference[[#This Row],[Duplicate Key]])</f>
        <v>1</v>
      </c>
    </row>
    <row r="4872" spans="1:10">
      <c r="A4872" s="7">
        <v>2</v>
      </c>
      <c r="B4872" s="8" t="s">
        <v>2789</v>
      </c>
      <c r="C4872" s="8" t="s">
        <v>2311</v>
      </c>
      <c r="D4872" s="7">
        <v>1</v>
      </c>
      <c r="E4872" s="7">
        <v>10</v>
      </c>
      <c r="F4872" s="7">
        <v>1</v>
      </c>
      <c r="G4872" s="8" t="s">
        <v>2144</v>
      </c>
      <c r="H4872" s="8" t="s">
        <v>1242</v>
      </c>
      <c r="I4872" s="7" t="str">
        <f>_xlfn.CONCAT(Paper_Reference[[#This Row],[Lvl]:[Paper Description]])</f>
        <v>2PJ48DG0044T-5200DOTTED DOTTIE 60 X 144110110000020-6200Premium Inkjet MPK 9653</v>
      </c>
      <c r="J4872" s="7">
        <f>COUNTIF(Paper_Reference[Duplicate Key],Paper_Reference[[#This Row],[Duplicate Key]])</f>
        <v>1</v>
      </c>
    </row>
    <row r="4873" spans="1:10">
      <c r="A4873" s="7">
        <v>2</v>
      </c>
      <c r="B4873" s="8" t="s">
        <v>2014</v>
      </c>
      <c r="C4873" s="8" t="s">
        <v>1549</v>
      </c>
      <c r="D4873" s="7">
        <v>1</v>
      </c>
      <c r="E4873" s="7">
        <v>10</v>
      </c>
      <c r="F4873" s="7">
        <v>1</v>
      </c>
      <c r="G4873" s="8" t="s">
        <v>1241</v>
      </c>
      <c r="H4873" s="8" t="s">
        <v>1242</v>
      </c>
      <c r="I4873" s="7" t="str">
        <f>_xlfn.CONCAT(Paper_Reference[[#This Row],[Lvl]:[Paper Description]])</f>
        <v>2PJ48DG0052SD4800MYKONOS 48 X 96110110000020-5000Premium Inkjet MPK 9653</v>
      </c>
      <c r="J4873" s="7">
        <f>COUNTIF(Paper_Reference[Duplicate Key],Paper_Reference[[#This Row],[Duplicate Key]])</f>
        <v>1</v>
      </c>
    </row>
    <row r="4874" spans="1:10">
      <c r="A4874" s="7">
        <v>2</v>
      </c>
      <c r="B4874" s="8" t="s">
        <v>2015</v>
      </c>
      <c r="C4874" s="8" t="s">
        <v>1550</v>
      </c>
      <c r="D4874" s="7">
        <v>1</v>
      </c>
      <c r="E4874" s="7">
        <v>10</v>
      </c>
      <c r="F4874" s="7">
        <v>1</v>
      </c>
      <c r="G4874" s="8" t="s">
        <v>1241</v>
      </c>
      <c r="H4874" s="8" t="s">
        <v>1242</v>
      </c>
      <c r="I4874" s="7" t="str">
        <f>_xlfn.CONCAT(Paper_Reference[[#This Row],[Lvl]:[Paper Description]])</f>
        <v>2PJ48DG0056T-4800ICELANDIC 48 X 96110110000020-5000Premium Inkjet MPK 9653</v>
      </c>
      <c r="J4874" s="7">
        <f>COUNTIF(Paper_Reference[Duplicate Key],Paper_Reference[[#This Row],[Duplicate Key]])</f>
        <v>1</v>
      </c>
    </row>
    <row r="4875" spans="1:10">
      <c r="A4875" s="7">
        <v>2</v>
      </c>
      <c r="B4875" s="8" t="s">
        <v>2016</v>
      </c>
      <c r="C4875" s="8" t="s">
        <v>1551</v>
      </c>
      <c r="D4875" s="7">
        <v>1</v>
      </c>
      <c r="E4875" s="7">
        <v>10</v>
      </c>
      <c r="F4875" s="7">
        <v>1</v>
      </c>
      <c r="G4875" s="8" t="s">
        <v>1241</v>
      </c>
      <c r="H4875" s="8" t="s">
        <v>1242</v>
      </c>
      <c r="I4875" s="7" t="str">
        <f>_xlfn.CONCAT(Paper_Reference[[#This Row],[Lvl]:[Paper Description]])</f>
        <v>2PJ48DG0058SD4000COAL TRAIN 48 X 120110110000020-5000Premium Inkjet MPK 9653</v>
      </c>
      <c r="J4875" s="7">
        <f>COUNTIF(Paper_Reference[Duplicate Key],Paper_Reference[[#This Row],[Duplicate Key]])</f>
        <v>1</v>
      </c>
    </row>
    <row r="4876" spans="1:10">
      <c r="A4876" s="7">
        <v>2</v>
      </c>
      <c r="B4876" s="8" t="s">
        <v>2790</v>
      </c>
      <c r="C4876" s="8" t="s">
        <v>2268</v>
      </c>
      <c r="D4876" s="7">
        <v>1</v>
      </c>
      <c r="E4876" s="7">
        <v>10</v>
      </c>
      <c r="F4876" s="7">
        <v>1</v>
      </c>
      <c r="G4876" s="8" t="s">
        <v>2144</v>
      </c>
      <c r="H4876" s="8" t="s">
        <v>1242</v>
      </c>
      <c r="I4876" s="7" t="str">
        <f>_xlfn.CONCAT(Paper_Reference[[#This Row],[Lvl]:[Paper Description]])</f>
        <v>2PJ48DG0071GL5201WHITE VENUS II 60 X 144110110000020-6200Premium Inkjet MPK 9653</v>
      </c>
      <c r="J4876" s="7">
        <f>COUNTIF(Paper_Reference[Duplicate Key],Paper_Reference[[#This Row],[Duplicate Key]])</f>
        <v>1</v>
      </c>
    </row>
    <row r="4877" spans="1:10">
      <c r="A4877" s="7">
        <v>2</v>
      </c>
      <c r="B4877" s="8" t="s">
        <v>2017</v>
      </c>
      <c r="C4877" s="8" t="s">
        <v>1552</v>
      </c>
      <c r="D4877" s="7">
        <v>1</v>
      </c>
      <c r="E4877" s="7">
        <v>10</v>
      </c>
      <c r="F4877" s="7">
        <v>1</v>
      </c>
      <c r="G4877" s="8" t="s">
        <v>1241</v>
      </c>
      <c r="H4877" s="8" t="s">
        <v>1242</v>
      </c>
      <c r="I4877" s="7" t="str">
        <f>_xlfn.CONCAT(Paper_Reference[[#This Row],[Lvl]:[Paper Description]])</f>
        <v>2PJ48DG0071SD3200WHITE VENUS II 36 X 144110110000020-5000Premium Inkjet MPK 9653</v>
      </c>
      <c r="J4877" s="7">
        <f>COUNTIF(Paper_Reference[Duplicate Key],Paper_Reference[[#This Row],[Duplicate Key]])</f>
        <v>1</v>
      </c>
    </row>
    <row r="4878" spans="1:10">
      <c r="A4878" s="7">
        <v>2</v>
      </c>
      <c r="B4878" s="8" t="s">
        <v>2018</v>
      </c>
      <c r="C4878" s="8" t="s">
        <v>1532</v>
      </c>
      <c r="D4878" s="7">
        <v>1</v>
      </c>
      <c r="E4878" s="7">
        <v>10</v>
      </c>
      <c r="F4878" s="7">
        <v>1</v>
      </c>
      <c r="G4878" s="8" t="s">
        <v>1241</v>
      </c>
      <c r="H4878" s="8" t="s">
        <v>1242</v>
      </c>
      <c r="I4878" s="7" t="str">
        <f>_xlfn.CONCAT(Paper_Reference[[#This Row],[Lvl]:[Paper Description]])</f>
        <v>2PJ48DG0071SD3800WHITE VENUS II 36 X 96110110000020-5000Premium Inkjet MPK 9653</v>
      </c>
      <c r="J4878" s="7">
        <f>COUNTIF(Paper_Reference[Duplicate Key],Paper_Reference[[#This Row],[Duplicate Key]])</f>
        <v>1</v>
      </c>
    </row>
    <row r="4879" spans="1:10">
      <c r="A4879" s="7">
        <v>2</v>
      </c>
      <c r="B4879" s="8" t="s">
        <v>2019</v>
      </c>
      <c r="C4879" s="8" t="s">
        <v>1533</v>
      </c>
      <c r="D4879" s="7">
        <v>1</v>
      </c>
      <c r="E4879" s="7">
        <v>10</v>
      </c>
      <c r="F4879" s="7">
        <v>1</v>
      </c>
      <c r="G4879" s="8" t="s">
        <v>1241</v>
      </c>
      <c r="H4879" s="8" t="s">
        <v>1242</v>
      </c>
      <c r="I4879" s="7" t="str">
        <f>_xlfn.CONCAT(Paper_Reference[[#This Row],[Lvl]:[Paper Description]])</f>
        <v>2PJ48DG0071SD4200WHITE VENUS II 48 X 144110110000020-5000Premium Inkjet MPK 9653</v>
      </c>
      <c r="J4879" s="7">
        <f>COUNTIF(Paper_Reference[Duplicate Key],Paper_Reference[[#This Row],[Duplicate Key]])</f>
        <v>1</v>
      </c>
    </row>
    <row r="4880" spans="1:10">
      <c r="A4880" s="7">
        <v>2</v>
      </c>
      <c r="B4880" s="8" t="s">
        <v>2020</v>
      </c>
      <c r="C4880" s="8" t="s">
        <v>1483</v>
      </c>
      <c r="D4880" s="7">
        <v>1</v>
      </c>
      <c r="E4880" s="7">
        <v>10</v>
      </c>
      <c r="F4880" s="7">
        <v>1</v>
      </c>
      <c r="G4880" s="8" t="s">
        <v>1241</v>
      </c>
      <c r="H4880" s="8" t="s">
        <v>1242</v>
      </c>
      <c r="I4880" s="7" t="str">
        <f>_xlfn.CONCAT(Paper_Reference[[#This Row],[Lvl]:[Paper Description]])</f>
        <v>2PJ48DG0071SD4800WHITE VENUS II 48 X 96110110000020-5000Premium Inkjet MPK 9653</v>
      </c>
      <c r="J4880" s="7">
        <f>COUNTIF(Paper_Reference[Duplicate Key],Paper_Reference[[#This Row],[Duplicate Key]])</f>
        <v>1</v>
      </c>
    </row>
    <row r="4881" spans="1:10">
      <c r="A4881" s="7">
        <v>2</v>
      </c>
      <c r="B4881" s="8" t="s">
        <v>2791</v>
      </c>
      <c r="C4881" s="8" t="s">
        <v>2278</v>
      </c>
      <c r="D4881" s="7">
        <v>1</v>
      </c>
      <c r="E4881" s="7">
        <v>10</v>
      </c>
      <c r="F4881" s="7">
        <v>1</v>
      </c>
      <c r="G4881" s="8" t="s">
        <v>2144</v>
      </c>
      <c r="H4881" s="8" t="s">
        <v>1242</v>
      </c>
      <c r="I4881" s="7" t="str">
        <f>_xlfn.CONCAT(Paper_Reference[[#This Row],[Lvl]:[Paper Description]])</f>
        <v>2PJ48DG0071SD5000WHITE VENUS II 60 X 120110110000020-6200Premium Inkjet MPK 9653</v>
      </c>
      <c r="J4881" s="7">
        <f>COUNTIF(Paper_Reference[Duplicate Key],Paper_Reference[[#This Row],[Duplicate Key]])</f>
        <v>1</v>
      </c>
    </row>
    <row r="4882" spans="1:10">
      <c r="A4882" s="7">
        <v>2</v>
      </c>
      <c r="B4882" s="8" t="s">
        <v>2792</v>
      </c>
      <c r="C4882" s="8" t="s">
        <v>2268</v>
      </c>
      <c r="D4882" s="7">
        <v>1</v>
      </c>
      <c r="E4882" s="7">
        <v>10</v>
      </c>
      <c r="F4882" s="7">
        <v>1</v>
      </c>
      <c r="G4882" s="8" t="s">
        <v>2144</v>
      </c>
      <c r="H4882" s="8" t="s">
        <v>1242</v>
      </c>
      <c r="I4882" s="7" t="str">
        <f>_xlfn.CONCAT(Paper_Reference[[#This Row],[Lvl]:[Paper Description]])</f>
        <v>2PJ48DG0071SD5200WHITE VENUS II 60 X 144110110000020-6200Premium Inkjet MPK 9653</v>
      </c>
      <c r="J4882" s="7">
        <f>COUNTIF(Paper_Reference[Duplicate Key],Paper_Reference[[#This Row],[Duplicate Key]])</f>
        <v>1</v>
      </c>
    </row>
    <row r="4883" spans="1:10">
      <c r="A4883" s="7">
        <v>2</v>
      </c>
      <c r="B4883" s="8" t="s">
        <v>2021</v>
      </c>
      <c r="C4883" s="8" t="s">
        <v>1533</v>
      </c>
      <c r="D4883" s="7">
        <v>1</v>
      </c>
      <c r="E4883" s="7">
        <v>10</v>
      </c>
      <c r="F4883" s="7">
        <v>1</v>
      </c>
      <c r="G4883" s="8" t="s">
        <v>1241</v>
      </c>
      <c r="H4883" s="8" t="s">
        <v>1242</v>
      </c>
      <c r="I4883" s="7" t="str">
        <f>_xlfn.CONCAT(Paper_Reference[[#This Row],[Lvl]:[Paper Description]])</f>
        <v>2PJ48DG0071T-4200WHITE VENUS II 48 X 144110110000020-5000Premium Inkjet MPK 9653</v>
      </c>
      <c r="J4883" s="7">
        <f>COUNTIF(Paper_Reference[Duplicate Key],Paper_Reference[[#This Row],[Duplicate Key]])</f>
        <v>1</v>
      </c>
    </row>
    <row r="4884" spans="1:10">
      <c r="A4884" s="7">
        <v>2</v>
      </c>
      <c r="B4884" s="8" t="s">
        <v>2793</v>
      </c>
      <c r="C4884" s="8" t="s">
        <v>2268</v>
      </c>
      <c r="D4884" s="7">
        <v>1</v>
      </c>
      <c r="E4884" s="7">
        <v>10</v>
      </c>
      <c r="F4884" s="7">
        <v>1</v>
      </c>
      <c r="G4884" s="8" t="s">
        <v>2144</v>
      </c>
      <c r="H4884" s="8" t="s">
        <v>1242</v>
      </c>
      <c r="I4884" s="7" t="str">
        <f>_xlfn.CONCAT(Paper_Reference[[#This Row],[Lvl]:[Paper Description]])</f>
        <v>2PJ48DG0071T-5200WHITE VENUS II 60 X 144110110000020-6200Premium Inkjet MPK 9653</v>
      </c>
      <c r="J4884" s="7">
        <f>COUNTIF(Paper_Reference[Duplicate Key],Paper_Reference[[#This Row],[Duplicate Key]])</f>
        <v>1</v>
      </c>
    </row>
    <row r="4885" spans="1:10">
      <c r="A4885" s="7">
        <v>2</v>
      </c>
      <c r="B4885" s="8" t="s">
        <v>2022</v>
      </c>
      <c r="C4885" s="8" t="s">
        <v>1553</v>
      </c>
      <c r="D4885" s="7">
        <v>1</v>
      </c>
      <c r="E4885" s="7">
        <v>10</v>
      </c>
      <c r="F4885" s="7">
        <v>1</v>
      </c>
      <c r="G4885" s="8" t="s">
        <v>1241</v>
      </c>
      <c r="H4885" s="8" t="s">
        <v>1242</v>
      </c>
      <c r="I4885" s="7" t="str">
        <f>_xlfn.CONCAT(Paper_Reference[[#This Row],[Lvl]:[Paper Description]])</f>
        <v>2PJ48DG0072SD4800TURQUIOSE VENUS II 48 X 96110110000020-5000Premium Inkjet MPK 9653</v>
      </c>
      <c r="J4885" s="7">
        <f>COUNTIF(Paper_Reference[Duplicate Key],Paper_Reference[[#This Row],[Duplicate Key]])</f>
        <v>1</v>
      </c>
    </row>
    <row r="4886" spans="1:10">
      <c r="A4886" s="7">
        <v>2</v>
      </c>
      <c r="B4886" s="8" t="s">
        <v>2794</v>
      </c>
      <c r="C4886" s="8" t="s">
        <v>2296</v>
      </c>
      <c r="D4886" s="7">
        <v>1</v>
      </c>
      <c r="E4886" s="7">
        <v>10</v>
      </c>
      <c r="F4886" s="7">
        <v>1</v>
      </c>
      <c r="G4886" s="8" t="s">
        <v>2144</v>
      </c>
      <c r="H4886" s="8" t="s">
        <v>1242</v>
      </c>
      <c r="I4886" s="7" t="str">
        <f>_xlfn.CONCAT(Paper_Reference[[#This Row],[Lvl]:[Paper Description]])</f>
        <v>2PJ48DG0072SD5200TURQUOISE VENUS II 60 X 144110110000020-6200Premium Inkjet MPK 9653</v>
      </c>
      <c r="J4886" s="7">
        <f>COUNTIF(Paper_Reference[Duplicate Key],Paper_Reference[[#This Row],[Duplicate Key]])</f>
        <v>1</v>
      </c>
    </row>
    <row r="4887" spans="1:10">
      <c r="A4887" s="7">
        <v>2</v>
      </c>
      <c r="B4887" s="8" t="s">
        <v>2023</v>
      </c>
      <c r="C4887" s="8" t="s">
        <v>1502</v>
      </c>
      <c r="D4887" s="7">
        <v>1</v>
      </c>
      <c r="E4887" s="7">
        <v>10</v>
      </c>
      <c r="F4887" s="7">
        <v>1</v>
      </c>
      <c r="G4887" s="8" t="s">
        <v>1241</v>
      </c>
      <c r="H4887" s="8" t="s">
        <v>1242</v>
      </c>
      <c r="I4887" s="7" t="str">
        <f>_xlfn.CONCAT(Paper_Reference[[#This Row],[Lvl]:[Paper Description]])</f>
        <v>2PJ48DG0072T-4200TURQUOISE VENUS II 48 X 144110110000020-5000Premium Inkjet MPK 9653</v>
      </c>
      <c r="J4887" s="7">
        <f>COUNTIF(Paper_Reference[Duplicate Key],Paper_Reference[[#This Row],[Duplicate Key]])</f>
        <v>1</v>
      </c>
    </row>
    <row r="4888" spans="1:10">
      <c r="A4888" s="7">
        <v>2</v>
      </c>
      <c r="B4888" s="8" t="s">
        <v>2024</v>
      </c>
      <c r="C4888" s="8" t="s">
        <v>1553</v>
      </c>
      <c r="D4888" s="7">
        <v>1</v>
      </c>
      <c r="E4888" s="7">
        <v>10</v>
      </c>
      <c r="F4888" s="7">
        <v>1</v>
      </c>
      <c r="G4888" s="8" t="s">
        <v>1241</v>
      </c>
      <c r="H4888" s="8" t="s">
        <v>1242</v>
      </c>
      <c r="I4888" s="7" t="str">
        <f>_xlfn.CONCAT(Paper_Reference[[#This Row],[Lvl]:[Paper Description]])</f>
        <v>2PJ48DG0072T-4800TURQUIOSE VENUS II 48 X 96110110000020-5000Premium Inkjet MPK 9653</v>
      </c>
      <c r="J4888" s="7">
        <f>COUNTIF(Paper_Reference[Duplicate Key],Paper_Reference[[#This Row],[Duplicate Key]])</f>
        <v>1</v>
      </c>
    </row>
    <row r="4889" spans="1:10">
      <c r="A4889" s="7">
        <v>2</v>
      </c>
      <c r="B4889" s="8" t="s">
        <v>2795</v>
      </c>
      <c r="C4889" s="8" t="s">
        <v>2296</v>
      </c>
      <c r="D4889" s="7">
        <v>1</v>
      </c>
      <c r="E4889" s="7">
        <v>10</v>
      </c>
      <c r="F4889" s="7">
        <v>1</v>
      </c>
      <c r="G4889" s="8" t="s">
        <v>2144</v>
      </c>
      <c r="H4889" s="8" t="s">
        <v>1242</v>
      </c>
      <c r="I4889" s="7" t="str">
        <f>_xlfn.CONCAT(Paper_Reference[[#This Row],[Lvl]:[Paper Description]])</f>
        <v>2PJ48DG0072T-5200TURQUOISE VENUS II 60 X 144110110000020-6200Premium Inkjet MPK 9653</v>
      </c>
      <c r="J4889" s="7">
        <f>COUNTIF(Paper_Reference[Duplicate Key],Paper_Reference[[#This Row],[Duplicate Key]])</f>
        <v>1</v>
      </c>
    </row>
    <row r="4890" spans="1:10">
      <c r="A4890" s="7">
        <v>2</v>
      </c>
      <c r="B4890" s="8" t="s">
        <v>2796</v>
      </c>
      <c r="C4890" s="8" t="s">
        <v>2297</v>
      </c>
      <c r="D4890" s="7">
        <v>1</v>
      </c>
      <c r="E4890" s="7">
        <v>10</v>
      </c>
      <c r="F4890" s="7">
        <v>1</v>
      </c>
      <c r="G4890" s="8" t="s">
        <v>2144</v>
      </c>
      <c r="H4890" s="8" t="s">
        <v>1242</v>
      </c>
      <c r="I4890" s="7" t="str">
        <f>_xlfn.CONCAT(Paper_Reference[[#This Row],[Lvl]:[Paper Description]])</f>
        <v>2PJ48DG0072T-5800TURQUOISE VENUS II 60 X 96110110000020-6200Premium Inkjet MPK 9653</v>
      </c>
      <c r="J4890" s="7">
        <f>COUNTIF(Paper_Reference[Duplicate Key],Paper_Reference[[#This Row],[Duplicate Key]])</f>
        <v>1</v>
      </c>
    </row>
    <row r="4891" spans="1:10">
      <c r="A4891" s="7">
        <v>2</v>
      </c>
      <c r="B4891" s="8" t="s">
        <v>2025</v>
      </c>
      <c r="C4891" s="8" t="s">
        <v>1540</v>
      </c>
      <c r="D4891" s="7">
        <v>1</v>
      </c>
      <c r="E4891" s="7">
        <v>10</v>
      </c>
      <c r="F4891" s="7">
        <v>1</v>
      </c>
      <c r="G4891" s="8" t="s">
        <v>1241</v>
      </c>
      <c r="H4891" s="8" t="s">
        <v>1242</v>
      </c>
      <c r="I4891" s="7" t="str">
        <f>_xlfn.CONCAT(Paper_Reference[[#This Row],[Lvl]:[Paper Description]])</f>
        <v>2PJ48DG0076SD4200CARBON BLACK BOOM 48 X 144110110000020-5000Premium Inkjet MPK 9653</v>
      </c>
      <c r="J4891" s="7">
        <f>COUNTIF(Paper_Reference[Duplicate Key],Paper_Reference[[#This Row],[Duplicate Key]])</f>
        <v>1</v>
      </c>
    </row>
    <row r="4892" spans="1:10">
      <c r="A4892" s="7">
        <v>2</v>
      </c>
      <c r="B4892" s="8" t="s">
        <v>2026</v>
      </c>
      <c r="C4892" s="8" t="s">
        <v>1505</v>
      </c>
      <c r="D4892" s="7">
        <v>1</v>
      </c>
      <c r="E4892" s="7">
        <v>10</v>
      </c>
      <c r="F4892" s="7">
        <v>1</v>
      </c>
      <c r="G4892" s="8" t="s">
        <v>1241</v>
      </c>
      <c r="H4892" s="8" t="s">
        <v>1242</v>
      </c>
      <c r="I4892" s="7" t="str">
        <f>_xlfn.CONCAT(Paper_Reference[[#This Row],[Lvl]:[Paper Description]])</f>
        <v>2PJ48DG0076SD4800CARBON BLACK BOOM 48 X 96110110000020-5000Premium Inkjet MPK 9653</v>
      </c>
      <c r="J4892" s="7">
        <f>COUNTIF(Paper_Reference[Duplicate Key],Paper_Reference[[#This Row],[Duplicate Key]])</f>
        <v>1</v>
      </c>
    </row>
    <row r="4893" spans="1:10">
      <c r="A4893" s="7">
        <v>2</v>
      </c>
      <c r="B4893" s="8" t="s">
        <v>2027</v>
      </c>
      <c r="C4893" s="8" t="s">
        <v>1506</v>
      </c>
      <c r="D4893" s="7">
        <v>1</v>
      </c>
      <c r="E4893" s="7">
        <v>10</v>
      </c>
      <c r="F4893" s="7">
        <v>1</v>
      </c>
      <c r="G4893" s="8" t="s">
        <v>1241</v>
      </c>
      <c r="H4893" s="8" t="s">
        <v>1242</v>
      </c>
      <c r="I4893" s="7" t="str">
        <f>_xlfn.CONCAT(Paper_Reference[[#This Row],[Lvl]:[Paper Description]])</f>
        <v>2PJ48DG0077T-4800ODENTON PINK LADY 48 X 96110110000020-5000Premium Inkjet MPK 9653</v>
      </c>
      <c r="J4893" s="7">
        <f>COUNTIF(Paper_Reference[Duplicate Key],Paper_Reference[[#This Row],[Duplicate Key]])</f>
        <v>1</v>
      </c>
    </row>
    <row r="4894" spans="1:10">
      <c r="A4894" s="7">
        <v>2</v>
      </c>
      <c r="B4894" s="8" t="s">
        <v>2028</v>
      </c>
      <c r="C4894" s="8" t="s">
        <v>1510</v>
      </c>
      <c r="D4894" s="7">
        <v>1</v>
      </c>
      <c r="E4894" s="7">
        <v>10</v>
      </c>
      <c r="F4894" s="7">
        <v>1</v>
      </c>
      <c r="G4894" s="8" t="s">
        <v>1241</v>
      </c>
      <c r="H4894" s="8" t="s">
        <v>1242</v>
      </c>
      <c r="I4894" s="7" t="str">
        <f>_xlfn.CONCAT(Paper_Reference[[#This Row],[Lvl]:[Paper Description]])</f>
        <v>2PJ48DG0078GL4801ODENTON NEON LIGHT 48 X 96110110000020-5000Premium Inkjet MPK 9653</v>
      </c>
      <c r="J4894" s="7">
        <f>COUNTIF(Paper_Reference[Duplicate Key],Paper_Reference[[#This Row],[Duplicate Key]])</f>
        <v>1</v>
      </c>
    </row>
    <row r="4895" spans="1:10">
      <c r="A4895" s="7">
        <v>2</v>
      </c>
      <c r="B4895" s="8" t="s">
        <v>2029</v>
      </c>
      <c r="C4895" s="8" t="s">
        <v>1507</v>
      </c>
      <c r="D4895" s="7">
        <v>1</v>
      </c>
      <c r="E4895" s="7">
        <v>10</v>
      </c>
      <c r="F4895" s="7">
        <v>1</v>
      </c>
      <c r="G4895" s="8" t="s">
        <v>1241</v>
      </c>
      <c r="H4895" s="8" t="s">
        <v>1242</v>
      </c>
      <c r="I4895" s="7" t="str">
        <f>_xlfn.CONCAT(Paper_Reference[[#This Row],[Lvl]:[Paper Description]])</f>
        <v>2PJ48DG0078SD3000ODENTON NEON LIGHT 36 X 120110110000020-5000Premium Inkjet MPK 9653</v>
      </c>
      <c r="J4895" s="7">
        <f>COUNTIF(Paper_Reference[Duplicate Key],Paper_Reference[[#This Row],[Duplicate Key]])</f>
        <v>1</v>
      </c>
    </row>
    <row r="4896" spans="1:10">
      <c r="A4896" s="7">
        <v>2</v>
      </c>
      <c r="B4896" s="8" t="s">
        <v>2030</v>
      </c>
      <c r="C4896" s="8" t="s">
        <v>1541</v>
      </c>
      <c r="D4896" s="7">
        <v>1</v>
      </c>
      <c r="E4896" s="7">
        <v>10</v>
      </c>
      <c r="F4896" s="7">
        <v>1</v>
      </c>
      <c r="G4896" s="8" t="s">
        <v>1241</v>
      </c>
      <c r="H4896" s="8" t="s">
        <v>1242</v>
      </c>
      <c r="I4896" s="7" t="str">
        <f>_xlfn.CONCAT(Paper_Reference[[#This Row],[Lvl]:[Paper Description]])</f>
        <v>2PJ48DG0078SD3200ODENTON NEON LIGHT 36 X 144110110000020-5000Premium Inkjet MPK 9653</v>
      </c>
      <c r="J4896" s="7">
        <f>COUNTIF(Paper_Reference[Duplicate Key],Paper_Reference[[#This Row],[Duplicate Key]])</f>
        <v>1</v>
      </c>
    </row>
    <row r="4897" spans="1:10">
      <c r="A4897" s="7">
        <v>2</v>
      </c>
      <c r="B4897" s="8" t="s">
        <v>2031</v>
      </c>
      <c r="C4897" s="8" t="s">
        <v>1542</v>
      </c>
      <c r="D4897" s="7">
        <v>1</v>
      </c>
      <c r="E4897" s="7">
        <v>10</v>
      </c>
      <c r="F4897" s="7">
        <v>1</v>
      </c>
      <c r="G4897" s="8" t="s">
        <v>1241</v>
      </c>
      <c r="H4897" s="8" t="s">
        <v>1242</v>
      </c>
      <c r="I4897" s="7" t="str">
        <f>_xlfn.CONCAT(Paper_Reference[[#This Row],[Lvl]:[Paper Description]])</f>
        <v>2PJ48DG0078SD3800ODENTON NEON LIGHT 36 X 96110110000020-5000Premium Inkjet MPK 9653</v>
      </c>
      <c r="J4897" s="7">
        <f>COUNTIF(Paper_Reference[Duplicate Key],Paper_Reference[[#This Row],[Duplicate Key]])</f>
        <v>1</v>
      </c>
    </row>
    <row r="4898" spans="1:10">
      <c r="A4898" s="7">
        <v>2</v>
      </c>
      <c r="B4898" s="8" t="s">
        <v>2032</v>
      </c>
      <c r="C4898" s="8" t="s">
        <v>1510</v>
      </c>
      <c r="D4898" s="7">
        <v>1</v>
      </c>
      <c r="E4898" s="7">
        <v>10</v>
      </c>
      <c r="F4898" s="7">
        <v>1</v>
      </c>
      <c r="G4898" s="8" t="s">
        <v>1241</v>
      </c>
      <c r="H4898" s="8" t="s">
        <v>1242</v>
      </c>
      <c r="I4898" s="7" t="str">
        <f>_xlfn.CONCAT(Paper_Reference[[#This Row],[Lvl]:[Paper Description]])</f>
        <v>2PJ48DG0078SD4800ODENTON NEON LIGHT 48 X 96110110000020-5000Premium Inkjet MPK 9653</v>
      </c>
      <c r="J4898" s="7">
        <f>COUNTIF(Paper_Reference[Duplicate Key],Paper_Reference[[#This Row],[Duplicate Key]])</f>
        <v>1</v>
      </c>
    </row>
    <row r="4899" spans="1:10">
      <c r="A4899" s="7">
        <v>2</v>
      </c>
      <c r="B4899" s="8" t="s">
        <v>2797</v>
      </c>
      <c r="C4899" s="8" t="s">
        <v>2281</v>
      </c>
      <c r="D4899" s="7">
        <v>1</v>
      </c>
      <c r="E4899" s="7">
        <v>10</v>
      </c>
      <c r="F4899" s="7">
        <v>1</v>
      </c>
      <c r="G4899" s="8" t="s">
        <v>2144</v>
      </c>
      <c r="H4899" s="8" t="s">
        <v>1242</v>
      </c>
      <c r="I4899" s="7" t="str">
        <f>_xlfn.CONCAT(Paper_Reference[[#This Row],[Lvl]:[Paper Description]])</f>
        <v>2PJ48DG0078SD5200ODENTON NEON LIGHT 60 X 144110110000020-6200Premium Inkjet MPK 9653</v>
      </c>
      <c r="J4899" s="7">
        <f>COUNTIF(Paper_Reference[Duplicate Key],Paper_Reference[[#This Row],[Duplicate Key]])</f>
        <v>1</v>
      </c>
    </row>
    <row r="4900" spans="1:10">
      <c r="A4900" s="7">
        <v>2</v>
      </c>
      <c r="B4900" s="8" t="s">
        <v>2798</v>
      </c>
      <c r="C4900" s="8" t="s">
        <v>2312</v>
      </c>
      <c r="D4900" s="7">
        <v>1</v>
      </c>
      <c r="E4900" s="7">
        <v>10</v>
      </c>
      <c r="F4900" s="7">
        <v>1</v>
      </c>
      <c r="G4900" s="8" t="s">
        <v>2144</v>
      </c>
      <c r="H4900" s="8" t="s">
        <v>1242</v>
      </c>
      <c r="I4900" s="7" t="str">
        <f>_xlfn.CONCAT(Paper_Reference[[#This Row],[Lvl]:[Paper Description]])</f>
        <v>2PJ48DG0078SD5800ODENTON NEON LIGHT 60 X 96110110000020-6200Premium Inkjet MPK 9653</v>
      </c>
      <c r="J4900" s="7">
        <f>COUNTIF(Paper_Reference[Duplicate Key],Paper_Reference[[#This Row],[Duplicate Key]])</f>
        <v>1</v>
      </c>
    </row>
    <row r="4901" spans="1:10">
      <c r="A4901" s="7">
        <v>2</v>
      </c>
      <c r="B4901" s="8" t="s">
        <v>2033</v>
      </c>
      <c r="C4901" s="8" t="s">
        <v>1554</v>
      </c>
      <c r="D4901" s="7">
        <v>1</v>
      </c>
      <c r="E4901" s="7">
        <v>10</v>
      </c>
      <c r="F4901" s="7">
        <v>1</v>
      </c>
      <c r="G4901" s="8" t="s">
        <v>1241</v>
      </c>
      <c r="H4901" s="8" t="s">
        <v>1242</v>
      </c>
      <c r="I4901" s="7" t="str">
        <f>_xlfn.CONCAT(Paper_Reference[[#This Row],[Lvl]:[Paper Description]])</f>
        <v>2PJ48DG0082SM4800HOUNDSTOOTH CHOCOLATE 48 X 96110110000020-5000Premium Inkjet MPK 9653</v>
      </c>
      <c r="J4901" s="7">
        <f>COUNTIF(Paper_Reference[Duplicate Key],Paper_Reference[[#This Row],[Duplicate Key]])</f>
        <v>1</v>
      </c>
    </row>
    <row r="4902" spans="1:10">
      <c r="A4902" s="7">
        <v>2</v>
      </c>
      <c r="B4902" s="8" t="s">
        <v>2034</v>
      </c>
      <c r="C4902" s="8" t="s">
        <v>1555</v>
      </c>
      <c r="D4902" s="7">
        <v>1</v>
      </c>
      <c r="E4902" s="7">
        <v>10</v>
      </c>
      <c r="F4902" s="7">
        <v>1</v>
      </c>
      <c r="G4902" s="8" t="s">
        <v>1241</v>
      </c>
      <c r="H4902" s="8" t="s">
        <v>1242</v>
      </c>
      <c r="I4902" s="7" t="str">
        <f>_xlfn.CONCAT(Paper_Reference[[#This Row],[Lvl]:[Paper Description]])</f>
        <v>2PJ48DG0083T-3200MINI HOUNDSTOOTH MIST 36 X 144110110000020-5000Premium Inkjet MPK 9653</v>
      </c>
      <c r="J4902" s="7">
        <f>COUNTIF(Paper_Reference[Duplicate Key],Paper_Reference[[#This Row],[Duplicate Key]])</f>
        <v>1</v>
      </c>
    </row>
    <row r="4903" spans="1:10">
      <c r="A4903" s="7">
        <v>3</v>
      </c>
      <c r="B4903" s="8" t="s">
        <v>6516</v>
      </c>
      <c r="C4903" s="8" t="s">
        <v>5991</v>
      </c>
      <c r="D4903" s="7">
        <v>1</v>
      </c>
      <c r="E4903" s="7">
        <v>91</v>
      </c>
      <c r="F4903" s="7">
        <v>1</v>
      </c>
      <c r="G4903" s="8" t="s">
        <v>5690</v>
      </c>
      <c r="H4903" s="8" t="s">
        <v>5691</v>
      </c>
      <c r="I4903" s="7" t="str">
        <f>_xlfn.CONCAT(Paper_Reference[[#This Row],[Lvl]:[Paper Description]])</f>
        <v>3PPALSUVAPPK1PIN PALS UV TWO LANE PACK1911100DS009-6200FROSTY WHITE</v>
      </c>
      <c r="J4903" s="7">
        <f>COUNTIF(Paper_Reference[Duplicate Key],Paper_Reference[[#This Row],[Duplicate Key]])</f>
        <v>1</v>
      </c>
    </row>
    <row r="4904" spans="1:10">
      <c r="A4904" s="7">
        <v>3</v>
      </c>
      <c r="B4904" s="8" t="s">
        <v>6516</v>
      </c>
      <c r="C4904" s="8" t="s">
        <v>5991</v>
      </c>
      <c r="D4904" s="7">
        <v>1</v>
      </c>
      <c r="E4904" s="7">
        <v>91</v>
      </c>
      <c r="F4904" s="7">
        <v>2</v>
      </c>
      <c r="G4904" s="8" t="s">
        <v>6710</v>
      </c>
      <c r="H4904" s="8" t="s">
        <v>5691</v>
      </c>
      <c r="I4904" s="7" t="str">
        <f>_xlfn.CONCAT(Paper_Reference[[#This Row],[Lvl]:[Paper Description]])</f>
        <v>3PPALSUVAPPK1PIN PALS UV TWO LANE PACK1912100DS009-5000FROSTY WHITE</v>
      </c>
      <c r="J4904" s="7">
        <f>COUNTIF(Paper_Reference[Duplicate Key],Paper_Reference[[#This Row],[Duplicate Key]])</f>
        <v>1</v>
      </c>
    </row>
    <row r="4905" spans="1:10">
      <c r="A4905" s="7">
        <v>3</v>
      </c>
      <c r="B4905" s="8" t="s">
        <v>6517</v>
      </c>
      <c r="C4905" s="8" t="s">
        <v>5992</v>
      </c>
      <c r="D4905" s="7">
        <v>1</v>
      </c>
      <c r="E4905" s="7">
        <v>91</v>
      </c>
      <c r="F4905" s="7">
        <v>1</v>
      </c>
      <c r="G4905" s="8" t="s">
        <v>6710</v>
      </c>
      <c r="H4905" s="8" t="s">
        <v>5691</v>
      </c>
      <c r="I4905" s="7" t="str">
        <f>_xlfn.CONCAT(Paper_Reference[[#This Row],[Lvl]:[Paper Description]])</f>
        <v>3PZWK024APPK1DIG/WK024  LEFT LP1911100DS009-5000FROSTY WHITE</v>
      </c>
      <c r="J4905" s="7">
        <f>COUNTIF(Paper_Reference[Duplicate Key],Paper_Reference[[#This Row],[Duplicate Key]])</f>
        <v>1</v>
      </c>
    </row>
    <row r="4906" spans="1:10">
      <c r="A4906" s="7">
        <v>3</v>
      </c>
      <c r="B4906" s="8" t="s">
        <v>6517</v>
      </c>
      <c r="C4906" s="8" t="s">
        <v>5992</v>
      </c>
      <c r="D4906" s="7">
        <v>1</v>
      </c>
      <c r="E4906" s="7">
        <v>91</v>
      </c>
      <c r="F4906" s="7">
        <v>1</v>
      </c>
      <c r="G4906" s="8" t="s">
        <v>5690</v>
      </c>
      <c r="H4906" s="8" t="s">
        <v>5691</v>
      </c>
      <c r="I4906" s="7" t="str">
        <f>_xlfn.CONCAT(Paper_Reference[[#This Row],[Lvl]:[Paper Description]])</f>
        <v>3PZWK024APPK1DIG/WK024  LEFT LP1911100DS009-6200FROSTY WHITE</v>
      </c>
      <c r="J4906" s="7">
        <f>COUNTIF(Paper_Reference[Duplicate Key],Paper_Reference[[#This Row],[Duplicate Key]])</f>
        <v>1</v>
      </c>
    </row>
    <row r="4907" spans="1:10">
      <c r="A4907" s="7">
        <v>1</v>
      </c>
      <c r="B4907" s="8" t="s">
        <v>5296</v>
      </c>
      <c r="C4907" s="8" t="s">
        <v>4574</v>
      </c>
      <c r="D4907" s="7">
        <v>1</v>
      </c>
      <c r="E4907" s="7">
        <v>10</v>
      </c>
      <c r="F4907" s="7">
        <v>9.0999999999999998E-2</v>
      </c>
      <c r="G4907" s="8" t="s">
        <v>4371</v>
      </c>
      <c r="H4907" s="8" t="s">
        <v>4372</v>
      </c>
      <c r="I4907" s="7" t="str">
        <f>_xlfn.CONCAT(Paper_Reference[[#This Row],[Lvl]:[Paper Description]])</f>
        <v>1QBZDS064NCMZ0BLACK 61 1/21100.091100DS064-6200BLACK</v>
      </c>
      <c r="J4907" s="7">
        <f>COUNTIF(Paper_Reference[Duplicate Key],Paper_Reference[[#This Row],[Duplicate Key]])</f>
        <v>1</v>
      </c>
    </row>
    <row r="4908" spans="1:10">
      <c r="A4908" s="7">
        <v>1</v>
      </c>
      <c r="B4908" s="8" t="s">
        <v>5625</v>
      </c>
      <c r="C4908" s="8" t="s">
        <v>5432</v>
      </c>
      <c r="D4908" s="7">
        <v>1</v>
      </c>
      <c r="E4908" s="7">
        <v>10</v>
      </c>
      <c r="F4908" s="7">
        <v>0.66539999999999999</v>
      </c>
      <c r="G4908" s="8" t="s">
        <v>5373</v>
      </c>
      <c r="H4908" s="8" t="s">
        <v>5374</v>
      </c>
      <c r="I4908" s="7" t="str">
        <f>_xlfn.CONCAT(Paper_Reference[[#This Row],[Lvl]:[Paper Description]])</f>
        <v>1QFKWW971NFFF0GUN SAVOY WALNUT 61 1/2 X 1101100.6654100WW971-6200GUN SAVOY WALNUT</v>
      </c>
      <c r="J4908" s="7">
        <f>COUNTIF(Paper_Reference[Duplicate Key],Paper_Reference[[#This Row],[Duplicate Key]])</f>
        <v>1</v>
      </c>
    </row>
    <row r="4909" spans="1:10">
      <c r="A4909" s="7">
        <v>1</v>
      </c>
      <c r="B4909" s="8" t="s">
        <v>5626</v>
      </c>
      <c r="C4909" s="8" t="s">
        <v>5433</v>
      </c>
      <c r="D4909" s="7">
        <v>1</v>
      </c>
      <c r="E4909" s="7">
        <v>10</v>
      </c>
      <c r="F4909" s="7">
        <v>0.59519999999999995</v>
      </c>
      <c r="G4909" s="8" t="s">
        <v>5373</v>
      </c>
      <c r="H4909" s="8" t="s">
        <v>5374</v>
      </c>
      <c r="I4909" s="7" t="str">
        <f>_xlfn.CONCAT(Paper_Reference[[#This Row],[Lvl]:[Paper Description]])</f>
        <v>1QFKWW971NKRK0GUN SAVOY WALNUT 61 1/2 X 981100.5952100WW971-6200GUN SAVOY WALNUT</v>
      </c>
      <c r="J4909" s="7">
        <f>COUNTIF(Paper_Reference[Duplicate Key],Paper_Reference[[#This Row],[Duplicate Key]])</f>
        <v>1</v>
      </c>
    </row>
    <row r="4910" spans="1:10">
      <c r="A4910" s="7">
        <v>1</v>
      </c>
      <c r="B4910" s="8" t="s">
        <v>5627</v>
      </c>
      <c r="C4910" s="8" t="s">
        <v>5434</v>
      </c>
      <c r="D4910" s="7">
        <v>1</v>
      </c>
      <c r="E4910" s="7">
        <v>10</v>
      </c>
      <c r="F4910" s="7">
        <v>0.4234</v>
      </c>
      <c r="G4910" s="8" t="s">
        <v>5373</v>
      </c>
      <c r="H4910" s="8" t="s">
        <v>5374</v>
      </c>
      <c r="I4910" s="7" t="str">
        <f>_xlfn.CONCAT(Paper_Reference[[#This Row],[Lvl]:[Paper Description]])</f>
        <v>1QFKWW971NLWX0GUN SAVOY WALNUT 61 1/2 X 701100.4234100WW971-6200GUN SAVOY WALNUT</v>
      </c>
      <c r="J4910" s="7">
        <f>COUNTIF(Paper_Reference[Duplicate Key],Paper_Reference[[#This Row],[Duplicate Key]])</f>
        <v>1</v>
      </c>
    </row>
    <row r="4911" spans="1:10">
      <c r="A4911" s="7">
        <v>1</v>
      </c>
      <c r="B4911" s="8" t="s">
        <v>5628</v>
      </c>
      <c r="C4911" s="8" t="s">
        <v>5435</v>
      </c>
      <c r="D4911" s="7">
        <v>1</v>
      </c>
      <c r="E4911" s="7">
        <v>10</v>
      </c>
      <c r="F4911" s="7">
        <v>0.5081</v>
      </c>
      <c r="G4911" s="8" t="s">
        <v>5373</v>
      </c>
      <c r="H4911" s="8" t="s">
        <v>5374</v>
      </c>
      <c r="I4911" s="7" t="str">
        <f>_xlfn.CONCAT(Paper_Reference[[#This Row],[Lvl]:[Paper Description]])</f>
        <v>1QFKWW971NQIG0GUN SAVOY WALNUT 61 1/2 X 841100.5081100WW971-6200GUN SAVOY WALNUT</v>
      </c>
      <c r="J4911" s="7">
        <f>COUNTIF(Paper_Reference[Duplicate Key],Paper_Reference[[#This Row],[Duplicate Key]])</f>
        <v>1</v>
      </c>
    </row>
    <row r="4912" spans="1:10">
      <c r="A4912" s="7">
        <v>2</v>
      </c>
      <c r="B4912" s="8" t="s">
        <v>5297</v>
      </c>
      <c r="C4912" s="8" t="s">
        <v>4575</v>
      </c>
      <c r="D4912" s="7">
        <v>1</v>
      </c>
      <c r="E4912" s="7">
        <v>10</v>
      </c>
      <c r="F4912" s="7">
        <v>0.21340000000000001</v>
      </c>
      <c r="G4912" s="8" t="s">
        <v>4371</v>
      </c>
      <c r="H4912" s="8" t="s">
        <v>4372</v>
      </c>
      <c r="I4912" s="7" t="str">
        <f>_xlfn.CONCAT(Paper_Reference[[#This Row],[Lvl]:[Paper Description]])</f>
        <v>2QGTDS064NTFF0BLACK 26 1/4 X 17 1/41100.2134100DS064-6200BLACK</v>
      </c>
      <c r="J4912" s="7">
        <f>COUNTIF(Paper_Reference[Duplicate Key],Paper_Reference[[#This Row],[Duplicate Key]])</f>
        <v>1</v>
      </c>
    </row>
    <row r="4913" spans="1:10">
      <c r="A4913" s="7">
        <v>2</v>
      </c>
      <c r="B4913" s="8" t="s">
        <v>5298</v>
      </c>
      <c r="C4913" s="8" t="s">
        <v>4576</v>
      </c>
      <c r="D4913" s="7">
        <v>1</v>
      </c>
      <c r="E4913" s="7">
        <v>10</v>
      </c>
      <c r="F4913" s="7">
        <v>7.3200000000000001E-2</v>
      </c>
      <c r="G4913" s="8" t="s">
        <v>4371</v>
      </c>
      <c r="H4913" s="8" t="s">
        <v>4372</v>
      </c>
      <c r="I4913" s="7" t="str">
        <f>_xlfn.CONCAT(Paper_Reference[[#This Row],[Lvl]:[Paper Description]])</f>
        <v>2QGTDS064NTFG0BLACK 9 X 17 1/41100.0732100DS064-6200BLACK</v>
      </c>
      <c r="J4913" s="7">
        <f>COUNTIF(Paper_Reference[Duplicate Key],Paper_Reference[[#This Row],[Duplicate Key]])</f>
        <v>1</v>
      </c>
    </row>
    <row r="4914" spans="1:10">
      <c r="A4914" s="7">
        <v>1</v>
      </c>
      <c r="B4914" s="8" t="s">
        <v>5299</v>
      </c>
      <c r="C4914" s="8" t="s">
        <v>4577</v>
      </c>
      <c r="D4914" s="7">
        <v>1</v>
      </c>
      <c r="E4914" s="7">
        <v>10</v>
      </c>
      <c r="F4914" s="7">
        <v>0.73619999999999997</v>
      </c>
      <c r="G4914" s="8" t="s">
        <v>4371</v>
      </c>
      <c r="H4914" s="8" t="s">
        <v>4372</v>
      </c>
      <c r="I4914" s="7" t="str">
        <f>_xlfn.CONCAT(Paper_Reference[[#This Row],[Lvl]:[Paper Description]])</f>
        <v>1QHRDS064NSYY0BLACK 61 1/8 X 97 1/81100.7362100DS064-6200BLACK</v>
      </c>
      <c r="J4914" s="7">
        <f>COUNTIF(Paper_Reference[Duplicate Key],Paper_Reference[[#This Row],[Duplicate Key]])</f>
        <v>1</v>
      </c>
    </row>
    <row r="4915" spans="1:10">
      <c r="A4915" s="7">
        <v>1</v>
      </c>
      <c r="B4915" s="8" t="s">
        <v>5300</v>
      </c>
      <c r="C4915" s="8" t="s">
        <v>4578</v>
      </c>
      <c r="D4915" s="7">
        <v>1</v>
      </c>
      <c r="E4915" s="7">
        <v>10</v>
      </c>
      <c r="F4915" s="7">
        <v>0.91820000000000002</v>
      </c>
      <c r="G4915" s="8" t="s">
        <v>4371</v>
      </c>
      <c r="H4915" s="8" t="s">
        <v>4372</v>
      </c>
      <c r="I4915" s="7" t="str">
        <f>_xlfn.CONCAT(Paper_Reference[[#This Row],[Lvl]:[Paper Description]])</f>
        <v>1QHRDS064NSZA0BLACK 61 1/8 X 121 1/81100.9182100DS064-6200BLACK</v>
      </c>
      <c r="J4915" s="7">
        <f>COUNTIF(Paper_Reference[Duplicate Key],Paper_Reference[[#This Row],[Duplicate Key]])</f>
        <v>1</v>
      </c>
    </row>
    <row r="4916" spans="1:10">
      <c r="A4916" s="7">
        <v>1</v>
      </c>
      <c r="B4916" s="8" t="s">
        <v>5629</v>
      </c>
      <c r="C4916" s="8" t="s">
        <v>5436</v>
      </c>
      <c r="D4916" s="7">
        <v>1</v>
      </c>
      <c r="E4916" s="7">
        <v>10</v>
      </c>
      <c r="F4916" s="7">
        <v>0.66239999999999999</v>
      </c>
      <c r="G4916" s="8" t="s">
        <v>5373</v>
      </c>
      <c r="H4916" s="8" t="s">
        <v>5374</v>
      </c>
      <c r="I4916" s="7" t="str">
        <f>_xlfn.CONCAT(Paper_Reference[[#This Row],[Lvl]:[Paper Description]])</f>
        <v>1QHRWW971NCNC0GUN SAVOY WAL 61 1/2X109 1/21100.6624100WW971-6200GUN SAVOY WALNUT</v>
      </c>
      <c r="J4916" s="7">
        <f>COUNTIF(Paper_Reference[Duplicate Key],Paper_Reference[[#This Row],[Duplicate Key]])</f>
        <v>1</v>
      </c>
    </row>
    <row r="4917" spans="1:10">
      <c r="A4917" s="7">
        <v>1</v>
      </c>
      <c r="B4917" s="8" t="s">
        <v>5630</v>
      </c>
      <c r="C4917" s="8" t="s">
        <v>5437</v>
      </c>
      <c r="D4917" s="7">
        <v>1</v>
      </c>
      <c r="E4917" s="7">
        <v>10</v>
      </c>
      <c r="F4917" s="7">
        <v>0.58979999999999999</v>
      </c>
      <c r="G4917" s="8" t="s">
        <v>5373</v>
      </c>
      <c r="H4917" s="8" t="s">
        <v>5374</v>
      </c>
      <c r="I4917" s="7" t="str">
        <f>_xlfn.CONCAT(Paper_Reference[[#This Row],[Lvl]:[Paper Description]])</f>
        <v>1QHRWW971NLVU0GUN SAVOY WAL 61 1/2 X 97 1/21100.5898100WW971-6200GUN SAVOY WALNUT</v>
      </c>
      <c r="J4917" s="7">
        <f>COUNTIF(Paper_Reference[Duplicate Key],Paper_Reference[[#This Row],[Duplicate Key]])</f>
        <v>1</v>
      </c>
    </row>
    <row r="4918" spans="1:10">
      <c r="A4918" s="7">
        <v>1</v>
      </c>
      <c r="B4918" s="8" t="s">
        <v>5631</v>
      </c>
      <c r="C4918" s="8" t="s">
        <v>5438</v>
      </c>
      <c r="D4918" s="7">
        <v>1</v>
      </c>
      <c r="E4918" s="7">
        <v>10</v>
      </c>
      <c r="F4918" s="7">
        <v>0.5897</v>
      </c>
      <c r="G4918" s="8" t="s">
        <v>5373</v>
      </c>
      <c r="H4918" s="8" t="s">
        <v>5374</v>
      </c>
      <c r="I4918" s="7" t="str">
        <f>_xlfn.CONCAT(Paper_Reference[[#This Row],[Lvl]:[Paper Description]])</f>
        <v>1QHRWW971NPFZ0GUN SAVOY WAL  61 1/4 X 97 1/41100.5897100WW971-6200GUN SAVOY WALNUT</v>
      </c>
      <c r="J4918" s="7">
        <f>COUNTIF(Paper_Reference[Duplicate Key],Paper_Reference[[#This Row],[Duplicate Key]])</f>
        <v>1</v>
      </c>
    </row>
    <row r="4919" spans="1:10">
      <c r="A4919" s="7">
        <v>1</v>
      </c>
      <c r="B4919" s="8" t="s">
        <v>5632</v>
      </c>
      <c r="C4919" s="8" t="s">
        <v>5439</v>
      </c>
      <c r="D4919" s="7">
        <v>1</v>
      </c>
      <c r="E4919" s="7">
        <v>10</v>
      </c>
      <c r="F4919" s="7">
        <v>0.66249999999999998</v>
      </c>
      <c r="G4919" s="8" t="s">
        <v>5373</v>
      </c>
      <c r="H4919" s="8" t="s">
        <v>5374</v>
      </c>
      <c r="I4919" s="7" t="str">
        <f>_xlfn.CONCAT(Paper_Reference[[#This Row],[Lvl]:[Paper Description]])</f>
        <v>1QHRWW971NSVY0GUN SAVOY WAL 61 1/4 X 109 1/41100.6625100WW971-6200GUN SAVOY WALNUT</v>
      </c>
      <c r="J4919" s="7">
        <f>COUNTIF(Paper_Reference[Duplicate Key],Paper_Reference[[#This Row],[Duplicate Key]])</f>
        <v>1</v>
      </c>
    </row>
    <row r="4920" spans="1:10">
      <c r="A4920" s="7">
        <v>1</v>
      </c>
      <c r="B4920" s="8" t="s">
        <v>5633</v>
      </c>
      <c r="C4920" s="8" t="s">
        <v>5440</v>
      </c>
      <c r="D4920" s="7">
        <v>1</v>
      </c>
      <c r="E4920" s="7">
        <v>10</v>
      </c>
      <c r="F4920" s="7">
        <v>0.58899999999999997</v>
      </c>
      <c r="G4920" s="8" t="s">
        <v>5373</v>
      </c>
      <c r="H4920" s="8" t="s">
        <v>5374</v>
      </c>
      <c r="I4920" s="7" t="str">
        <f>_xlfn.CONCAT(Paper_Reference[[#This Row],[Lvl]:[Paper Description]])</f>
        <v>1QHRWW971NSYY0GUN SAVOY WAL 61 1/8 X 97 1/81100.589100WW971-6200GUN SAVOY WALNUT</v>
      </c>
      <c r="J4920" s="7">
        <f>COUNTIF(Paper_Reference[Duplicate Key],Paper_Reference[[#This Row],[Duplicate Key]])</f>
        <v>1</v>
      </c>
    </row>
    <row r="4921" spans="1:10">
      <c r="A4921" s="7">
        <v>1</v>
      </c>
      <c r="B4921" s="8" t="s">
        <v>5634</v>
      </c>
      <c r="C4921" s="8" t="s">
        <v>5441</v>
      </c>
      <c r="D4921" s="7">
        <v>1</v>
      </c>
      <c r="E4921" s="7">
        <v>10</v>
      </c>
      <c r="F4921" s="7">
        <v>0.66180000000000005</v>
      </c>
      <c r="G4921" s="8" t="s">
        <v>5373</v>
      </c>
      <c r="H4921" s="8" t="s">
        <v>5374</v>
      </c>
      <c r="I4921" s="7" t="str">
        <f>_xlfn.CONCAT(Paper_Reference[[#This Row],[Lvl]:[Paper Description]])</f>
        <v>1QHRWW971NSYZ0GUN SAVOY WAL 61 1/8 X 109 1/81100.6618100WW971-6200GUN SAVOY WALNUT</v>
      </c>
      <c r="J4921" s="7">
        <f>COUNTIF(Paper_Reference[Duplicate Key],Paper_Reference[[#This Row],[Duplicate Key]])</f>
        <v>1</v>
      </c>
    </row>
    <row r="4922" spans="1:10">
      <c r="A4922" s="7">
        <v>1</v>
      </c>
      <c r="B4922" s="8" t="s">
        <v>5635</v>
      </c>
      <c r="C4922" s="8" t="s">
        <v>5442</v>
      </c>
      <c r="D4922" s="7">
        <v>1</v>
      </c>
      <c r="E4922" s="7">
        <v>10</v>
      </c>
      <c r="F4922" s="7">
        <v>0.73450000000000004</v>
      </c>
      <c r="G4922" s="8" t="s">
        <v>5373</v>
      </c>
      <c r="H4922" s="8" t="s">
        <v>5374</v>
      </c>
      <c r="I4922" s="7" t="str">
        <f>_xlfn.CONCAT(Paper_Reference[[#This Row],[Lvl]:[Paper Description]])</f>
        <v>1QHRWW971NSZA0GUN SAVOY WAL 61 1/8 X 121 1/81100.7345100WW971-6200GUN SAVOY WALNUT</v>
      </c>
      <c r="J4922" s="7">
        <f>COUNTIF(Paper_Reference[Duplicate Key],Paper_Reference[[#This Row],[Duplicate Key]])</f>
        <v>1</v>
      </c>
    </row>
    <row r="4923" spans="1:10">
      <c r="A4923" s="7">
        <v>1</v>
      </c>
      <c r="B4923" s="8" t="s">
        <v>5636</v>
      </c>
      <c r="C4923" s="8" t="s">
        <v>5432</v>
      </c>
      <c r="D4923" s="7">
        <v>1</v>
      </c>
      <c r="E4923" s="7">
        <v>10</v>
      </c>
      <c r="F4923" s="7">
        <v>0.66539999999999999</v>
      </c>
      <c r="G4923" s="8" t="s">
        <v>5373</v>
      </c>
      <c r="H4923" s="8" t="s">
        <v>5374</v>
      </c>
      <c r="I4923" s="7" t="str">
        <f>_xlfn.CONCAT(Paper_Reference[[#This Row],[Lvl]:[Paper Description]])</f>
        <v>1QHSWW971NFFF0GUN SAVOY WALNUT 61 1/2 X 1101100.6654100WW971-6200GUN SAVOY WALNUT</v>
      </c>
      <c r="J4923" s="7">
        <f>COUNTIF(Paper_Reference[Duplicate Key],Paper_Reference[[#This Row],[Duplicate Key]])</f>
        <v>1</v>
      </c>
    </row>
    <row r="4924" spans="1:10">
      <c r="A4924" s="7">
        <v>1</v>
      </c>
      <c r="B4924" s="8" t="s">
        <v>5301</v>
      </c>
      <c r="C4924" s="8" t="s">
        <v>4579</v>
      </c>
      <c r="D4924" s="7">
        <v>1</v>
      </c>
      <c r="E4924" s="7">
        <v>10</v>
      </c>
      <c r="F4924" s="7">
        <v>0.91910000000000003</v>
      </c>
      <c r="G4924" s="8" t="s">
        <v>4371</v>
      </c>
      <c r="H4924" s="8" t="s">
        <v>4372</v>
      </c>
      <c r="I4924" s="7" t="str">
        <f>_xlfn.CONCAT(Paper_Reference[[#This Row],[Lvl]:[Paper Description]])</f>
        <v>1QHZDS064NCLH0BLACK 61 1/4 X 121 1/41100.9191100DS064-6200BLACK</v>
      </c>
      <c r="J4924" s="7">
        <f>COUNTIF(Paper_Reference[Duplicate Key],Paper_Reference[[#This Row],[Duplicate Key]])</f>
        <v>1</v>
      </c>
    </row>
    <row r="4925" spans="1:10">
      <c r="A4925" s="7">
        <v>1</v>
      </c>
      <c r="B4925" s="8" t="s">
        <v>5302</v>
      </c>
      <c r="C4925" s="8" t="s">
        <v>4580</v>
      </c>
      <c r="D4925" s="7">
        <v>1</v>
      </c>
      <c r="E4925" s="7">
        <v>10</v>
      </c>
      <c r="F4925" s="7">
        <v>0.83169999999999999</v>
      </c>
      <c r="G4925" s="8" t="s">
        <v>4371</v>
      </c>
      <c r="H4925" s="8" t="s">
        <v>4372</v>
      </c>
      <c r="I4925" s="7" t="str">
        <f>_xlfn.CONCAT(Paper_Reference[[#This Row],[Lvl]:[Paper Description]])</f>
        <v>1QHZDS064NCNC0BLACK 61 1/2 X 109 1/21100.8317100DS064-6200BLACK</v>
      </c>
      <c r="J4925" s="7">
        <f>COUNTIF(Paper_Reference[Duplicate Key],Paper_Reference[[#This Row],[Duplicate Key]])</f>
        <v>1</v>
      </c>
    </row>
    <row r="4926" spans="1:10">
      <c r="A4926" s="7">
        <v>1</v>
      </c>
      <c r="B4926" s="8" t="s">
        <v>5303</v>
      </c>
      <c r="C4926" s="8" t="s">
        <v>4581</v>
      </c>
      <c r="D4926" s="7">
        <v>1</v>
      </c>
      <c r="E4926" s="7">
        <v>10</v>
      </c>
      <c r="F4926" s="7">
        <v>0.83550000000000002</v>
      </c>
      <c r="G4926" s="8" t="s">
        <v>4371</v>
      </c>
      <c r="H4926" s="8" t="s">
        <v>4372</v>
      </c>
      <c r="I4926" s="7" t="str">
        <f>_xlfn.CONCAT(Paper_Reference[[#This Row],[Lvl]:[Paper Description]])</f>
        <v>1QHZDS064NFFF0BLACK 61 1/2 X 1101100.8355100DS064-6200BLACK</v>
      </c>
      <c r="J4926" s="7">
        <f>COUNTIF(Paper_Reference[Duplicate Key],Paper_Reference[[#This Row],[Duplicate Key]])</f>
        <v>1</v>
      </c>
    </row>
    <row r="4927" spans="1:10">
      <c r="A4927" s="7">
        <v>1</v>
      </c>
      <c r="B4927" s="8" t="s">
        <v>5304</v>
      </c>
      <c r="C4927" s="8" t="s">
        <v>4582</v>
      </c>
      <c r="D4927" s="7">
        <v>1</v>
      </c>
      <c r="E4927" s="7">
        <v>10</v>
      </c>
      <c r="F4927" s="7">
        <v>0.74439999999999995</v>
      </c>
      <c r="G4927" s="8" t="s">
        <v>4371</v>
      </c>
      <c r="H4927" s="8" t="s">
        <v>4372</v>
      </c>
      <c r="I4927" s="7" t="str">
        <f>_xlfn.CONCAT(Paper_Reference[[#This Row],[Lvl]:[Paper Description]])</f>
        <v>1QHZDS064NKRK0BLACK 61 1/2 X 981100.7444100DS064-6200BLACK</v>
      </c>
      <c r="J4927" s="7">
        <f>COUNTIF(Paper_Reference[Duplicate Key],Paper_Reference[[#This Row],[Duplicate Key]])</f>
        <v>1</v>
      </c>
    </row>
    <row r="4928" spans="1:10">
      <c r="A4928" s="7">
        <v>1</v>
      </c>
      <c r="B4928" s="8" t="s">
        <v>5305</v>
      </c>
      <c r="C4928" s="8" t="s">
        <v>4583</v>
      </c>
      <c r="D4928" s="7">
        <v>1</v>
      </c>
      <c r="E4928" s="7">
        <v>10</v>
      </c>
      <c r="F4928" s="7">
        <v>0.74060000000000004</v>
      </c>
      <c r="G4928" s="8" t="s">
        <v>4371</v>
      </c>
      <c r="H4928" s="8" t="s">
        <v>4372</v>
      </c>
      <c r="I4928" s="7" t="str">
        <f>_xlfn.CONCAT(Paper_Reference[[#This Row],[Lvl]:[Paper Description]])</f>
        <v>1QHZDS064NLVU0BLACK 61 1/2 X 97 1/21100.7406100DS064-6200BLACK</v>
      </c>
      <c r="J4928" s="7">
        <f>COUNTIF(Paper_Reference[Duplicate Key],Paper_Reference[[#This Row],[Duplicate Key]])</f>
        <v>1</v>
      </c>
    </row>
    <row r="4929" spans="1:10">
      <c r="A4929" s="7">
        <v>1</v>
      </c>
      <c r="B4929" s="8" t="s">
        <v>5306</v>
      </c>
      <c r="C4929" s="8" t="s">
        <v>4584</v>
      </c>
      <c r="D4929" s="7">
        <v>1</v>
      </c>
      <c r="E4929" s="7">
        <v>10</v>
      </c>
      <c r="F4929" s="7">
        <v>0.92659999999999998</v>
      </c>
      <c r="G4929" s="8" t="s">
        <v>4371</v>
      </c>
      <c r="H4929" s="8" t="s">
        <v>4372</v>
      </c>
      <c r="I4929" s="7" t="str">
        <f>_xlfn.CONCAT(Paper_Reference[[#This Row],[Lvl]:[Paper Description]])</f>
        <v>1QHZDS064NLVW0BLACK 61 1/2 X 1221100.9266100DS064-6200BLACK</v>
      </c>
      <c r="J4929" s="7">
        <f>COUNTIF(Paper_Reference[Duplicate Key],Paper_Reference[[#This Row],[Duplicate Key]])</f>
        <v>1</v>
      </c>
    </row>
    <row r="4930" spans="1:10">
      <c r="A4930" s="7">
        <v>1</v>
      </c>
      <c r="B4930" s="8" t="s">
        <v>5307</v>
      </c>
      <c r="C4930" s="8" t="s">
        <v>4585</v>
      </c>
      <c r="D4930" s="7">
        <v>1</v>
      </c>
      <c r="E4930" s="7">
        <v>10</v>
      </c>
      <c r="F4930" s="7">
        <v>0.56089999999999995</v>
      </c>
      <c r="G4930" s="8" t="s">
        <v>4371</v>
      </c>
      <c r="H4930" s="8" t="s">
        <v>4372</v>
      </c>
      <c r="I4930" s="7" t="str">
        <f>_xlfn.CONCAT(Paper_Reference[[#This Row],[Lvl]:[Paper Description]])</f>
        <v>1QHZDS064NLVX0BLACK 61 1/2 X 741100.5609100DS064-6200BLACK</v>
      </c>
      <c r="J4930" s="7">
        <f>COUNTIF(Paper_Reference[Duplicate Key],Paper_Reference[[#This Row],[Duplicate Key]])</f>
        <v>1</v>
      </c>
    </row>
    <row r="4931" spans="1:10">
      <c r="A4931" s="7">
        <v>1</v>
      </c>
      <c r="B4931" s="8" t="s">
        <v>5308</v>
      </c>
      <c r="C4931" s="8" t="s">
        <v>4586</v>
      </c>
      <c r="D4931" s="7">
        <v>1</v>
      </c>
      <c r="E4931" s="7">
        <v>10</v>
      </c>
      <c r="F4931" s="7">
        <v>0.6532</v>
      </c>
      <c r="G4931" s="8" t="s">
        <v>4371</v>
      </c>
      <c r="H4931" s="8" t="s">
        <v>4372</v>
      </c>
      <c r="I4931" s="7" t="str">
        <f>_xlfn.CONCAT(Paper_Reference[[#This Row],[Lvl]:[Paper Description]])</f>
        <v>1QHZDS064NLVY0BLACK 61 1/2 X 861100.6532100DS064-6200BLACK</v>
      </c>
      <c r="J4931" s="7">
        <f>COUNTIF(Paper_Reference[Duplicate Key],Paper_Reference[[#This Row],[Duplicate Key]])</f>
        <v>1</v>
      </c>
    </row>
    <row r="4932" spans="1:10">
      <c r="A4932" s="7">
        <v>1</v>
      </c>
      <c r="B4932" s="8" t="s">
        <v>5309</v>
      </c>
      <c r="C4932" s="8" t="s">
        <v>4587</v>
      </c>
      <c r="D4932" s="7">
        <v>1</v>
      </c>
      <c r="E4932" s="7">
        <v>10</v>
      </c>
      <c r="F4932" s="7">
        <v>0.92279999999999995</v>
      </c>
      <c r="G4932" s="8" t="s">
        <v>4371</v>
      </c>
      <c r="H4932" s="8" t="s">
        <v>4372</v>
      </c>
      <c r="I4932" s="7" t="str">
        <f>_xlfn.CONCAT(Paper_Reference[[#This Row],[Lvl]:[Paper Description]])</f>
        <v>1QHZDS064NNJJ0BLACK 61 1/2 X 121 1/21100.9228100DS064-6200BLACK</v>
      </c>
      <c r="J4932" s="7">
        <f>COUNTIF(Paper_Reference[Duplicate Key],Paper_Reference[[#This Row],[Duplicate Key]])</f>
        <v>1</v>
      </c>
    </row>
    <row r="4933" spans="1:10">
      <c r="A4933" s="7">
        <v>1</v>
      </c>
      <c r="B4933" s="8" t="s">
        <v>5310</v>
      </c>
      <c r="C4933" s="8" t="s">
        <v>4588</v>
      </c>
      <c r="D4933" s="7">
        <v>1</v>
      </c>
      <c r="E4933" s="7">
        <v>10</v>
      </c>
      <c r="F4933" s="7">
        <v>0.55830000000000002</v>
      </c>
      <c r="G4933" s="8" t="s">
        <v>4371</v>
      </c>
      <c r="H4933" s="8" t="s">
        <v>4372</v>
      </c>
      <c r="I4933" s="7" t="str">
        <f>_xlfn.CONCAT(Paper_Reference[[#This Row],[Lvl]:[Paper Description]])</f>
        <v>1QHZDS064NNST0BLACK 61 1/2 X 73 1/21100.5583100DS064-6200BLACK</v>
      </c>
      <c r="J4933" s="7">
        <f>COUNTIF(Paper_Reference[Duplicate Key],Paper_Reference[[#This Row],[Duplicate Key]])</f>
        <v>1</v>
      </c>
    </row>
    <row r="4934" spans="1:10">
      <c r="A4934" s="7">
        <v>1</v>
      </c>
      <c r="B4934" s="8" t="s">
        <v>5311</v>
      </c>
      <c r="C4934" s="8" t="s">
        <v>4589</v>
      </c>
      <c r="D4934" s="7">
        <v>1</v>
      </c>
      <c r="E4934" s="7">
        <v>10</v>
      </c>
      <c r="F4934" s="7">
        <v>0.64939999999999998</v>
      </c>
      <c r="G4934" s="8" t="s">
        <v>4371</v>
      </c>
      <c r="H4934" s="8" t="s">
        <v>4372</v>
      </c>
      <c r="I4934" s="7" t="str">
        <f>_xlfn.CONCAT(Paper_Reference[[#This Row],[Lvl]:[Paper Description]])</f>
        <v>1QHZDS064NNSU0BLACK 61 1/2 X 85 1/21100.6494100DS064-6200BLACK</v>
      </c>
      <c r="J4934" s="7">
        <f>COUNTIF(Paper_Reference[Duplicate Key],Paper_Reference[[#This Row],[Duplicate Key]])</f>
        <v>1</v>
      </c>
    </row>
    <row r="4935" spans="1:10">
      <c r="A4935" s="7">
        <v>1</v>
      </c>
      <c r="B4935" s="8" t="s">
        <v>5312</v>
      </c>
      <c r="C4935" s="8" t="s">
        <v>4590</v>
      </c>
      <c r="D4935" s="7">
        <v>1</v>
      </c>
      <c r="E4935" s="7">
        <v>10</v>
      </c>
      <c r="F4935" s="7">
        <v>0.73719999999999997</v>
      </c>
      <c r="G4935" s="8" t="s">
        <v>4371</v>
      </c>
      <c r="H4935" s="8" t="s">
        <v>4372</v>
      </c>
      <c r="I4935" s="7" t="str">
        <f>_xlfn.CONCAT(Paper_Reference[[#This Row],[Lvl]:[Paper Description]])</f>
        <v>1QHZDS064NPFZ0BLACK 61 1/4 X 97 1/41100.7372100DS064-6200BLACK</v>
      </c>
      <c r="J4935" s="7">
        <f>COUNTIF(Paper_Reference[Duplicate Key],Paper_Reference[[#This Row],[Duplicate Key]])</f>
        <v>1</v>
      </c>
    </row>
    <row r="4936" spans="1:10">
      <c r="A4936" s="7">
        <v>1</v>
      </c>
      <c r="B4936" s="8" t="s">
        <v>5313</v>
      </c>
      <c r="C4936" s="8" t="s">
        <v>4591</v>
      </c>
      <c r="D4936" s="7">
        <v>1</v>
      </c>
      <c r="E4936" s="7">
        <v>10</v>
      </c>
      <c r="F4936" s="7">
        <v>0.55530000000000002</v>
      </c>
      <c r="G4936" s="8" t="s">
        <v>4371</v>
      </c>
      <c r="H4936" s="8" t="s">
        <v>4372</v>
      </c>
      <c r="I4936" s="7" t="str">
        <f>_xlfn.CONCAT(Paper_Reference[[#This Row],[Lvl]:[Paper Description]])</f>
        <v>1QHZDS064NSVU0BLACK 61 1/4 X 73 1/41100.5553100DS064-6200BLACK</v>
      </c>
      <c r="J4936" s="7">
        <f>COUNTIF(Paper_Reference[Duplicate Key],Paper_Reference[[#This Row],[Duplicate Key]])</f>
        <v>1</v>
      </c>
    </row>
    <row r="4937" spans="1:10">
      <c r="A4937" s="7">
        <v>1</v>
      </c>
      <c r="B4937" s="8" t="s">
        <v>5314</v>
      </c>
      <c r="C4937" s="8" t="s">
        <v>4592</v>
      </c>
      <c r="D4937" s="7">
        <v>1</v>
      </c>
      <c r="E4937" s="7">
        <v>10</v>
      </c>
      <c r="F4937" s="7">
        <v>0.82809999999999995</v>
      </c>
      <c r="G4937" s="8" t="s">
        <v>4371</v>
      </c>
      <c r="H4937" s="8" t="s">
        <v>4372</v>
      </c>
      <c r="I4937" s="7" t="str">
        <f>_xlfn.CONCAT(Paper_Reference[[#This Row],[Lvl]:[Paper Description]])</f>
        <v>1QHZDS064NSVY0BLACK 61 1/4 X 109 1/41100.8281100DS064-6200BLACK</v>
      </c>
      <c r="J4937" s="7">
        <f>COUNTIF(Paper_Reference[Duplicate Key],Paper_Reference[[#This Row],[Duplicate Key]])</f>
        <v>1</v>
      </c>
    </row>
    <row r="4938" spans="1:10">
      <c r="A4938" s="7">
        <v>1</v>
      </c>
      <c r="B4938" s="8" t="s">
        <v>5315</v>
      </c>
      <c r="C4938" s="8" t="s">
        <v>4577</v>
      </c>
      <c r="D4938" s="7">
        <v>1</v>
      </c>
      <c r="E4938" s="7">
        <v>10</v>
      </c>
      <c r="F4938" s="7">
        <v>0.73619999999999997</v>
      </c>
      <c r="G4938" s="8" t="s">
        <v>4371</v>
      </c>
      <c r="H4938" s="8" t="s">
        <v>4372</v>
      </c>
      <c r="I4938" s="7" t="str">
        <f>_xlfn.CONCAT(Paper_Reference[[#This Row],[Lvl]:[Paper Description]])</f>
        <v>1QHZDS064NSYY0BLACK 61 1/8 X 97 1/81100.7362100DS064-6200BLACK</v>
      </c>
      <c r="J4938" s="7">
        <f>COUNTIF(Paper_Reference[Duplicate Key],Paper_Reference[[#This Row],[Duplicate Key]])</f>
        <v>1</v>
      </c>
    </row>
    <row r="4939" spans="1:10">
      <c r="A4939" s="7">
        <v>1</v>
      </c>
      <c r="B4939" s="8" t="s">
        <v>5316</v>
      </c>
      <c r="C4939" s="8" t="s">
        <v>4578</v>
      </c>
      <c r="D4939" s="7">
        <v>1</v>
      </c>
      <c r="E4939" s="7">
        <v>10</v>
      </c>
      <c r="F4939" s="7">
        <v>0.91820000000000002</v>
      </c>
      <c r="G4939" s="8" t="s">
        <v>4371</v>
      </c>
      <c r="H4939" s="8" t="s">
        <v>4372</v>
      </c>
      <c r="I4939" s="7" t="str">
        <f>_xlfn.CONCAT(Paper_Reference[[#This Row],[Lvl]:[Paper Description]])</f>
        <v>1QHZDS064NSZA0BLACK 61 1/8 X 121 1/81100.9182100DS064-6200BLACK</v>
      </c>
      <c r="J4939" s="7">
        <f>COUNTIF(Paper_Reference[Duplicate Key],Paper_Reference[[#This Row],[Duplicate Key]])</f>
        <v>1</v>
      </c>
    </row>
    <row r="4940" spans="1:10">
      <c r="A4940" s="7">
        <v>2</v>
      </c>
      <c r="B4940" s="8" t="s">
        <v>7976</v>
      </c>
      <c r="C4940" s="8" t="s">
        <v>7126</v>
      </c>
      <c r="D4940" s="7">
        <v>1</v>
      </c>
      <c r="E4940" s="7">
        <v>10</v>
      </c>
      <c r="F4940" s="7">
        <v>5.5599999999999997E-2</v>
      </c>
      <c r="G4940" s="8" t="s">
        <v>6710</v>
      </c>
      <c r="H4940" s="8" t="s">
        <v>5691</v>
      </c>
      <c r="I4940" s="7" t="str">
        <f>_xlfn.CONCAT(Paper_Reference[[#This Row],[Lvl]:[Paper Description]])</f>
        <v>2QIRDS009NAJT0FROSTY WHITE 15 X 151100.0556100DS009-5000FROSTY WHITE</v>
      </c>
      <c r="J4940" s="7">
        <f>COUNTIF(Paper_Reference[Duplicate Key],Paper_Reference[[#This Row],[Duplicate Key]])</f>
        <v>1</v>
      </c>
    </row>
    <row r="4941" spans="1:10">
      <c r="A4941" s="7">
        <v>2</v>
      </c>
      <c r="B4941" s="8" t="s">
        <v>7977</v>
      </c>
      <c r="C4941" s="8" t="s">
        <v>7127</v>
      </c>
      <c r="D4941" s="7">
        <v>1</v>
      </c>
      <c r="E4941" s="7">
        <v>10</v>
      </c>
      <c r="F4941" s="7">
        <v>0.5</v>
      </c>
      <c r="G4941" s="8" t="s">
        <v>6710</v>
      </c>
      <c r="H4941" s="8" t="s">
        <v>5691</v>
      </c>
      <c r="I4941" s="7" t="str">
        <f>_xlfn.CONCAT(Paper_Reference[[#This Row],[Lvl]:[Paper Description]])</f>
        <v>2QIRDS009NBFC0FROSTY WHITE 24 X 321100.5100DS009-5000FROSTY WHITE</v>
      </c>
      <c r="J4941" s="7">
        <f>COUNTIF(Paper_Reference[Duplicate Key],Paper_Reference[[#This Row],[Duplicate Key]])</f>
        <v>1</v>
      </c>
    </row>
    <row r="4942" spans="1:10">
      <c r="A4942" s="7">
        <v>2</v>
      </c>
      <c r="B4942" s="8" t="s">
        <v>7978</v>
      </c>
      <c r="C4942" s="8" t="s">
        <v>7128</v>
      </c>
      <c r="D4942" s="7">
        <v>1</v>
      </c>
      <c r="E4942" s="7">
        <v>10</v>
      </c>
      <c r="F4942" s="7">
        <v>0.125</v>
      </c>
      <c r="G4942" s="8" t="s">
        <v>6710</v>
      </c>
      <c r="H4942" s="8" t="s">
        <v>5691</v>
      </c>
      <c r="I4942" s="7" t="str">
        <f>_xlfn.CONCAT(Paper_Reference[[#This Row],[Lvl]:[Paper Description]])</f>
        <v>2QIRDS009NBFZ0FROSTY WHITE 24 1/2 X 24 1/21100.125100DS009-5000FROSTY WHITE</v>
      </c>
      <c r="J4942" s="7">
        <f>COUNTIF(Paper_Reference[Duplicate Key],Paper_Reference[[#This Row],[Duplicate Key]])</f>
        <v>1</v>
      </c>
    </row>
    <row r="4943" spans="1:10">
      <c r="A4943" s="7">
        <v>1</v>
      </c>
      <c r="B4943" s="8" t="s">
        <v>6518</v>
      </c>
      <c r="C4943" s="8" t="s">
        <v>5993</v>
      </c>
      <c r="D4943" s="7">
        <v>1</v>
      </c>
      <c r="E4943" s="7">
        <v>10</v>
      </c>
      <c r="F4943" s="7">
        <v>0.9839</v>
      </c>
      <c r="G4943" s="8" t="s">
        <v>5690</v>
      </c>
      <c r="H4943" s="8" t="s">
        <v>5691</v>
      </c>
      <c r="I4943" s="7" t="str">
        <f>_xlfn.CONCAT(Paper_Reference[[#This Row],[Lvl]:[Paper Description]])</f>
        <v>1QIRDS009NFFF0FROSTY WHITE 61 1/2 X 1101100.9839100DS009-6200FROSTY WHITE</v>
      </c>
      <c r="J4943" s="7">
        <f>COUNTIF(Paper_Reference[Duplicate Key],Paper_Reference[[#This Row],[Duplicate Key]])</f>
        <v>1</v>
      </c>
    </row>
    <row r="4944" spans="1:10">
      <c r="A4944" s="7">
        <v>1</v>
      </c>
      <c r="B4944" s="8" t="s">
        <v>6519</v>
      </c>
      <c r="C4944" s="8" t="s">
        <v>5994</v>
      </c>
      <c r="D4944" s="7">
        <v>1</v>
      </c>
      <c r="E4944" s="7">
        <v>10</v>
      </c>
      <c r="F4944" s="7">
        <v>0.87660000000000005</v>
      </c>
      <c r="G4944" s="8" t="s">
        <v>5690</v>
      </c>
      <c r="H4944" s="8" t="s">
        <v>5691</v>
      </c>
      <c r="I4944" s="7" t="str">
        <f>_xlfn.CONCAT(Paper_Reference[[#This Row],[Lvl]:[Paper Description]])</f>
        <v>1QIRDS009NKRK0FROSTY WHITE 61 1/2 X 981100.8766100DS009-6200FROSTY WHITE</v>
      </c>
      <c r="J4944" s="7">
        <f>COUNTIF(Paper_Reference[Duplicate Key],Paper_Reference[[#This Row],[Duplicate Key]])</f>
        <v>1</v>
      </c>
    </row>
    <row r="4945" spans="1:10">
      <c r="A4945" s="7">
        <v>1</v>
      </c>
      <c r="B4945" s="8" t="s">
        <v>7979</v>
      </c>
      <c r="C4945" s="8" t="s">
        <v>7129</v>
      </c>
      <c r="D4945" s="7">
        <v>1</v>
      </c>
      <c r="E4945" s="7">
        <v>10</v>
      </c>
      <c r="F4945" s="7">
        <v>0.79459999999999997</v>
      </c>
      <c r="G4945" s="8" t="s">
        <v>6710</v>
      </c>
      <c r="H4945" s="8" t="s">
        <v>5691</v>
      </c>
      <c r="I4945" s="7" t="str">
        <f>_xlfn.CONCAT(Paper_Reference[[#This Row],[Lvl]:[Paper Description]])</f>
        <v>1QIRDS009NLVG0FROSTY WHITE 49 1/2 X 1101100.7946100DS009-5000FROSTY WHITE</v>
      </c>
      <c r="J4945" s="7">
        <f>COUNTIF(Paper_Reference[Duplicate Key],Paper_Reference[[#This Row],[Duplicate Key]])</f>
        <v>1</v>
      </c>
    </row>
    <row r="4946" spans="1:10">
      <c r="A4946" s="7">
        <v>2</v>
      </c>
      <c r="B4946" s="8" t="s">
        <v>6520</v>
      </c>
      <c r="C4946" s="8" t="s">
        <v>5995</v>
      </c>
      <c r="D4946" s="7">
        <v>1</v>
      </c>
      <c r="E4946" s="7">
        <v>10</v>
      </c>
      <c r="F4946" s="7">
        <v>8.3299999999999999E-2</v>
      </c>
      <c r="G4946" s="8" t="s">
        <v>5690</v>
      </c>
      <c r="H4946" s="8" t="s">
        <v>5691</v>
      </c>
      <c r="I4946" s="7" t="str">
        <f>_xlfn.CONCAT(Paper_Reference[[#This Row],[Lvl]:[Paper Description]])</f>
        <v>2QIRDS009NTCH0FROSTY WHITE 20 X 241100.0833100DS009-6200FROSTY WHITE</v>
      </c>
      <c r="J4946" s="7">
        <f>COUNTIF(Paper_Reference[Duplicate Key],Paper_Reference[[#This Row],[Duplicate Key]])</f>
        <v>1</v>
      </c>
    </row>
    <row r="4947" spans="1:10">
      <c r="A4947" s="7">
        <v>1</v>
      </c>
      <c r="B4947" s="8" t="s">
        <v>5317</v>
      </c>
      <c r="C4947" s="8" t="s">
        <v>4593</v>
      </c>
      <c r="D4947" s="7">
        <v>1</v>
      </c>
      <c r="E4947" s="7">
        <v>10</v>
      </c>
      <c r="F4947" s="7">
        <v>0.36509999999999998</v>
      </c>
      <c r="G4947" s="8" t="s">
        <v>4371</v>
      </c>
      <c r="H4947" s="8" t="s">
        <v>4372</v>
      </c>
      <c r="I4947" s="7" t="str">
        <f>_xlfn.CONCAT(Paper_Reference[[#This Row],[Lvl]:[Paper Description]])</f>
        <v>1QIRDS064NRWZ0BLACK 61 1/2 X 561100.3651100DS064-6200BLACK</v>
      </c>
      <c r="J4947" s="7">
        <f>COUNTIF(Paper_Reference[Duplicate Key],Paper_Reference[[#This Row],[Duplicate Key]])</f>
        <v>1</v>
      </c>
    </row>
    <row r="4948" spans="1:10">
      <c r="A4948" s="7">
        <v>2</v>
      </c>
      <c r="B4948" s="8" t="s">
        <v>5318</v>
      </c>
      <c r="C4948" s="8" t="s">
        <v>4594</v>
      </c>
      <c r="D4948" s="7">
        <v>1</v>
      </c>
      <c r="E4948" s="7">
        <v>10</v>
      </c>
      <c r="F4948" s="7">
        <v>0.21340000000000001</v>
      </c>
      <c r="G4948" s="8" t="s">
        <v>4371</v>
      </c>
      <c r="H4948" s="8" t="s">
        <v>4372</v>
      </c>
      <c r="I4948" s="7" t="str">
        <f>_xlfn.CONCAT(Paper_Reference[[#This Row],[Lvl]:[Paper Description]])</f>
        <v>2QIRDS064NTGX0BLACK 26 1/4 X 17 1/81100.2134100DS064-6200BLACK</v>
      </c>
      <c r="J4948" s="7">
        <f>COUNTIF(Paper_Reference[Duplicate Key],Paper_Reference[[#This Row],[Duplicate Key]])</f>
        <v>1</v>
      </c>
    </row>
    <row r="4949" spans="1:10">
      <c r="A4949" s="7">
        <v>2</v>
      </c>
      <c r="B4949" s="8" t="s">
        <v>5319</v>
      </c>
      <c r="C4949" s="8" t="s">
        <v>4595</v>
      </c>
      <c r="D4949" s="7">
        <v>1</v>
      </c>
      <c r="E4949" s="7">
        <v>10</v>
      </c>
      <c r="F4949" s="7">
        <v>7.3200000000000001E-2</v>
      </c>
      <c r="G4949" s="8" t="s">
        <v>4371</v>
      </c>
      <c r="H4949" s="8" t="s">
        <v>4372</v>
      </c>
      <c r="I4949" s="7" t="str">
        <f>_xlfn.CONCAT(Paper_Reference[[#This Row],[Lvl]:[Paper Description]])</f>
        <v>2QIRDS064NTGY0BLACK 9 X 17 1/81100.0732100DS064-6200BLACK</v>
      </c>
      <c r="J4949" s="7">
        <f>COUNTIF(Paper_Reference[Duplicate Key],Paper_Reference[[#This Row],[Duplicate Key]])</f>
        <v>1</v>
      </c>
    </row>
    <row r="4950" spans="1:10">
      <c r="A4950" s="7">
        <v>2</v>
      </c>
      <c r="B4950" s="8" t="s">
        <v>5320</v>
      </c>
      <c r="C4950" s="8" t="s">
        <v>4596</v>
      </c>
      <c r="D4950" s="7">
        <v>1</v>
      </c>
      <c r="E4950" s="7">
        <v>10</v>
      </c>
      <c r="F4950" s="7">
        <v>0.2843</v>
      </c>
      <c r="G4950" s="8" t="s">
        <v>4371</v>
      </c>
      <c r="H4950" s="8" t="s">
        <v>4372</v>
      </c>
      <c r="I4950" s="7" t="str">
        <f>_xlfn.CONCAT(Paper_Reference[[#This Row],[Lvl]:[Paper Description]])</f>
        <v>2QIRDS064NWIU0BLACK 35 X 17 1/81100.2843100DS064-6200BLACK</v>
      </c>
      <c r="J4950" s="7">
        <f>COUNTIF(Paper_Reference[Duplicate Key],Paper_Reference[[#This Row],[Duplicate Key]])</f>
        <v>1</v>
      </c>
    </row>
    <row r="4951" spans="1:10">
      <c r="A4951" s="7">
        <v>1</v>
      </c>
      <c r="B4951" s="8" t="s">
        <v>9620</v>
      </c>
      <c r="C4951" s="8" t="s">
        <v>9404</v>
      </c>
      <c r="D4951" s="7">
        <v>1</v>
      </c>
      <c r="E4951" s="7">
        <v>10</v>
      </c>
      <c r="F4951" s="7">
        <v>0.42449999999999999</v>
      </c>
      <c r="G4951" s="8" t="s">
        <v>9143</v>
      </c>
      <c r="H4951" s="8" t="s">
        <v>9144</v>
      </c>
      <c r="I4951" s="30" t="str">
        <f>_xlfn.CONCAT(Paper_Reference[[#This Row],[Lvl]:[Paper Description]])</f>
        <v>1QIRPFA39NRWZ0SING CHICAGO BLUES 61 1/2 X 561100.4245100PFA39-6200SINGING THE CHICAGO BLUES</v>
      </c>
      <c r="J4951" s="30">
        <f>COUNTIF(Paper_Reference[Duplicate Key],Paper_Reference[[#This Row],[Duplicate Key]])</f>
        <v>1</v>
      </c>
    </row>
    <row r="4952" spans="1:10">
      <c r="A4952" s="7">
        <v>1</v>
      </c>
      <c r="B4952" s="8" t="s">
        <v>9621</v>
      </c>
      <c r="C4952" s="8" t="s">
        <v>9406</v>
      </c>
      <c r="D4952" s="7">
        <v>1</v>
      </c>
      <c r="E4952" s="7">
        <v>10</v>
      </c>
      <c r="F4952" s="7">
        <v>1.6672</v>
      </c>
      <c r="G4952" s="8" t="s">
        <v>9143</v>
      </c>
      <c r="H4952" s="8" t="s">
        <v>9144</v>
      </c>
      <c r="I4952" s="30" t="str">
        <f>_xlfn.CONCAT(Paper_Reference[[#This Row],[Lvl]:[Paper Description]])</f>
        <v>1QIRPFA39NSPL0SING CHICAGO BLUES 61 1/2X2191101.6672100PFA39-6200SINGING THE CHICAGO BLUES</v>
      </c>
      <c r="J4952" s="30">
        <f>COUNTIF(Paper_Reference[Duplicate Key],Paper_Reference[[#This Row],[Duplicate Key]])</f>
        <v>1</v>
      </c>
    </row>
    <row r="4953" spans="1:10">
      <c r="A4953" s="7">
        <v>1</v>
      </c>
      <c r="B4953" s="8" t="s">
        <v>9622</v>
      </c>
      <c r="C4953" s="8" t="s">
        <v>9408</v>
      </c>
      <c r="D4953" s="7">
        <v>1</v>
      </c>
      <c r="E4953" s="7">
        <v>10</v>
      </c>
      <c r="F4953" s="7">
        <v>1.482</v>
      </c>
      <c r="G4953" s="8" t="s">
        <v>9143</v>
      </c>
      <c r="H4953" s="8" t="s">
        <v>9144</v>
      </c>
      <c r="I4953" s="30" t="str">
        <f>_xlfn.CONCAT(Paper_Reference[[#This Row],[Lvl]:[Paper Description]])</f>
        <v>1QIRPFA39NTNL0SINGING CHICAGO BLUES 61 1/2 X1101.482100PFA39-6200SINGING THE CHICAGO BLUES</v>
      </c>
      <c r="J4953" s="30">
        <f>COUNTIF(Paper_Reference[Duplicate Key],Paper_Reference[[#This Row],[Duplicate Key]])</f>
        <v>1</v>
      </c>
    </row>
    <row r="4954" spans="1:10">
      <c r="A4954" s="7">
        <v>1</v>
      </c>
      <c r="B4954" s="8" t="s">
        <v>3750</v>
      </c>
      <c r="C4954" s="8" t="s">
        <v>3304</v>
      </c>
      <c r="D4954" s="7">
        <v>1</v>
      </c>
      <c r="E4954" s="7">
        <v>10</v>
      </c>
      <c r="F4954" s="7">
        <v>0.1351</v>
      </c>
      <c r="G4954" s="8" t="s">
        <v>3230</v>
      </c>
      <c r="H4954" s="8" t="s">
        <v>3231</v>
      </c>
      <c r="I4954" s="7" t="str">
        <f>_xlfn.CONCAT(Paper_Reference[[#This Row],[Lvl]:[Paper Description]])</f>
        <v>1QIRSW736NCIM0PRECISION WHITE 49 1/21100.1351110SW736-5000PRECISION WHITE 43 X 145</v>
      </c>
      <c r="J4954" s="7">
        <f>COUNTIF(Paper_Reference[Duplicate Key],Paper_Reference[[#This Row],[Duplicate Key]])</f>
        <v>1</v>
      </c>
    </row>
    <row r="4955" spans="1:10">
      <c r="A4955" s="7">
        <v>1</v>
      </c>
      <c r="B4955" s="8" t="s">
        <v>4117</v>
      </c>
      <c r="C4955" s="8" t="s">
        <v>3819</v>
      </c>
      <c r="D4955" s="7">
        <v>1</v>
      </c>
      <c r="E4955" s="7">
        <v>10</v>
      </c>
      <c r="F4955" s="7">
        <v>0.1673</v>
      </c>
      <c r="G4955" s="8" t="s">
        <v>3826</v>
      </c>
      <c r="H4955" s="8" t="s">
        <v>3827</v>
      </c>
      <c r="I4955" s="7" t="str">
        <f>_xlfn.CONCAT(Paper_Reference[[#This Row],[Lvl]:[Paper Description]])</f>
        <v>1QIRSW736NCMZ0PRECISION WHITE 61 1/21100.1673110SW736-6200PRECISION WHITE 62"</v>
      </c>
      <c r="J4955" s="7">
        <f>COUNTIF(Paper_Reference[Duplicate Key],Paper_Reference[[#This Row],[Duplicate Key]])</f>
        <v>1</v>
      </c>
    </row>
    <row r="4956" spans="1:10">
      <c r="A4956" s="7">
        <v>1</v>
      </c>
      <c r="B4956" s="8" t="s">
        <v>4118</v>
      </c>
      <c r="C4956" s="8" t="s">
        <v>3820</v>
      </c>
      <c r="D4956" s="7">
        <v>1</v>
      </c>
      <c r="E4956" s="7">
        <v>10</v>
      </c>
      <c r="F4956" s="7">
        <v>1.3371999999999999</v>
      </c>
      <c r="G4956" s="8" t="s">
        <v>3826</v>
      </c>
      <c r="H4956" s="8" t="s">
        <v>3827</v>
      </c>
      <c r="I4956" s="7" t="str">
        <f>_xlfn.CONCAT(Paper_Reference[[#This Row],[Lvl]:[Paper Description]])</f>
        <v>1QIRSW736NKRK0PRECISION WHITE 61 1/2 X 981101.3372110SW736-6200PRECISION WHITE 62"</v>
      </c>
      <c r="J4956" s="7">
        <f>COUNTIF(Paper_Reference[Duplicate Key],Paper_Reference[[#This Row],[Duplicate Key]])</f>
        <v>1</v>
      </c>
    </row>
    <row r="4957" spans="1:10">
      <c r="A4957" s="7">
        <v>1</v>
      </c>
      <c r="B4957" s="8" t="s">
        <v>3751</v>
      </c>
      <c r="C4957" s="8" t="s">
        <v>3305</v>
      </c>
      <c r="D4957" s="7">
        <v>1</v>
      </c>
      <c r="E4957" s="7">
        <v>10</v>
      </c>
      <c r="F4957" s="7">
        <v>1.0799000000000001</v>
      </c>
      <c r="G4957" s="8" t="s">
        <v>3230</v>
      </c>
      <c r="H4957" s="8" t="s">
        <v>3231</v>
      </c>
      <c r="I4957" s="7" t="str">
        <f>_xlfn.CONCAT(Paper_Reference[[#This Row],[Lvl]:[Paper Description]])</f>
        <v>1QIRSW736NKRL0PRECISION WHITE 49 1/2 X 981101.0799110SW736-5000PRECISION WHITE 43 X 145</v>
      </c>
      <c r="J4957" s="7">
        <f>COUNTIF(Paper_Reference[Duplicate Key],Paper_Reference[[#This Row],[Duplicate Key]])</f>
        <v>1</v>
      </c>
    </row>
    <row r="4958" spans="1:10">
      <c r="A4958" s="7">
        <v>1</v>
      </c>
      <c r="B4958" s="8" t="s">
        <v>3752</v>
      </c>
      <c r="C4958" s="8" t="s">
        <v>3306</v>
      </c>
      <c r="D4958" s="7">
        <v>1</v>
      </c>
      <c r="E4958" s="7">
        <v>10</v>
      </c>
      <c r="F4958" s="7">
        <v>1.3444</v>
      </c>
      <c r="G4958" s="8" t="s">
        <v>3230</v>
      </c>
      <c r="H4958" s="8" t="s">
        <v>3231</v>
      </c>
      <c r="I4958" s="7" t="str">
        <f>_xlfn.CONCAT(Paper_Reference[[#This Row],[Lvl]:[Paper Description]])</f>
        <v>1QIRSW736NLVI0PRICISION WHITE 49 1/2 X 1221101.3444110SW736-5000PRECISION WHITE 43 X 145</v>
      </c>
      <c r="J4958" s="7">
        <f>COUNTIF(Paper_Reference[Duplicate Key],Paper_Reference[[#This Row],[Duplicate Key]])</f>
        <v>1</v>
      </c>
    </row>
    <row r="4959" spans="1:10">
      <c r="A4959" s="7">
        <v>1</v>
      </c>
      <c r="B4959" s="8" t="s">
        <v>4119</v>
      </c>
      <c r="C4959" s="8" t="s">
        <v>3821</v>
      </c>
      <c r="D4959" s="7">
        <v>1</v>
      </c>
      <c r="E4959" s="7">
        <v>10</v>
      </c>
      <c r="F4959" s="7">
        <v>1.9921</v>
      </c>
      <c r="G4959" s="8" t="s">
        <v>3826</v>
      </c>
      <c r="H4959" s="8" t="s">
        <v>3827</v>
      </c>
      <c r="I4959" s="7" t="str">
        <f>_xlfn.CONCAT(Paper_Reference[[#This Row],[Lvl]:[Paper Description]])</f>
        <v>1QIRSW736NLWD0PRECISION WHITE 61 1/2 X 1461101.9921110SW736-6200PRECISION WHITE 62"</v>
      </c>
      <c r="J4959" s="7">
        <f>COUNTIF(Paper_Reference[Duplicate Key],Paper_Reference[[#This Row],[Duplicate Key]])</f>
        <v>1</v>
      </c>
    </row>
    <row r="4960" spans="1:10">
      <c r="A4960" s="7">
        <v>1</v>
      </c>
      <c r="B4960" s="8" t="s">
        <v>3753</v>
      </c>
      <c r="C4960" s="8" t="s">
        <v>3307</v>
      </c>
      <c r="D4960" s="7">
        <v>1</v>
      </c>
      <c r="E4960" s="7">
        <v>10</v>
      </c>
      <c r="F4960" s="7">
        <v>1.2266999999999999</v>
      </c>
      <c r="G4960" s="8" t="s">
        <v>3230</v>
      </c>
      <c r="H4960" s="8" t="s">
        <v>3231</v>
      </c>
      <c r="I4960" s="7" t="str">
        <f>_xlfn.CONCAT(Paper_Reference[[#This Row],[Lvl]:[Paper Description]])</f>
        <v>1QIRSW736NSWH0PRECISION WHITE 38 X 801101.2267110SW736-5000PRECISION WHITE 43 X 145</v>
      </c>
      <c r="J4960" s="7">
        <f>COUNTIF(Paper_Reference[Duplicate Key],Paper_Reference[[#This Row],[Duplicate Key]])</f>
        <v>1</v>
      </c>
    </row>
    <row r="4961" spans="1:10">
      <c r="A4961" s="7">
        <v>1</v>
      </c>
      <c r="B4961" s="8" t="s">
        <v>3754</v>
      </c>
      <c r="C4961" s="8" t="s">
        <v>3308</v>
      </c>
      <c r="D4961" s="7">
        <v>1</v>
      </c>
      <c r="E4961" s="7">
        <v>10</v>
      </c>
      <c r="F4961" s="7">
        <v>2.7267999999999999</v>
      </c>
      <c r="G4961" s="8" t="s">
        <v>3230</v>
      </c>
      <c r="H4961" s="8" t="s">
        <v>3231</v>
      </c>
      <c r="I4961" s="7" t="str">
        <f>_xlfn.CONCAT(Paper_Reference[[#This Row],[Lvl]:[Paper Description]])</f>
        <v>1QIRSW736NTNJ0PRECISION WHITE 49 1/2 X 195 11102.7268110SW736-5000PRECISION WHITE 43 X 145</v>
      </c>
      <c r="J4961" s="7">
        <f>COUNTIF(Paper_Reference[Duplicate Key],Paper_Reference[[#This Row],[Duplicate Key]])</f>
        <v>1</v>
      </c>
    </row>
    <row r="4962" spans="1:10">
      <c r="A4962" s="7">
        <v>1</v>
      </c>
      <c r="B4962" s="8" t="s">
        <v>4120</v>
      </c>
      <c r="C4962" s="8" t="s">
        <v>3822</v>
      </c>
      <c r="D4962" s="7">
        <v>1</v>
      </c>
      <c r="E4962" s="7">
        <v>10</v>
      </c>
      <c r="F4962" s="7">
        <v>2.7267999999999999</v>
      </c>
      <c r="G4962" s="8" t="s">
        <v>3826</v>
      </c>
      <c r="H4962" s="8" t="s">
        <v>3827</v>
      </c>
      <c r="I4962" s="7" t="str">
        <f>_xlfn.CONCAT(Paper_Reference[[#This Row],[Lvl]:[Paper Description]])</f>
        <v>1QIRSW736NTNL0PRECISION WHITE 61 1/2 X 195 11102.7268110SW736-6200PRECISION WHITE 62"</v>
      </c>
      <c r="J4962" s="7">
        <f>COUNTIF(Paper_Reference[Duplicate Key],Paper_Reference[[#This Row],[Duplicate Key]])</f>
        <v>1</v>
      </c>
    </row>
    <row r="4963" spans="1:10">
      <c r="A4963" s="7">
        <v>1</v>
      </c>
      <c r="B4963" s="8" t="s">
        <v>4353</v>
      </c>
      <c r="C4963" s="8" t="s">
        <v>4197</v>
      </c>
      <c r="D4963" s="7">
        <v>1</v>
      </c>
      <c r="E4963" s="7">
        <v>10</v>
      </c>
      <c r="F4963" s="7">
        <v>9.0999999999999998E-2</v>
      </c>
      <c r="G4963" s="8" t="s">
        <v>4129</v>
      </c>
      <c r="H4963" s="8" t="s">
        <v>4130</v>
      </c>
      <c r="I4963" s="7" t="str">
        <f>_xlfn.CONCAT(Paper_Reference[[#This Row],[Lvl]:[Paper Description]])</f>
        <v>1QIRWC013NCMZ0BLOSSOM CHERRY 61 1/21100.091110WC013-6200BLOSSOM CHERRY</v>
      </c>
      <c r="J4963" s="7">
        <f>COUNTIF(Paper_Reference[Duplicate Key],Paper_Reference[[#This Row],[Duplicate Key]])</f>
        <v>1</v>
      </c>
    </row>
    <row r="4964" spans="1:10">
      <c r="A4964" s="7">
        <v>2</v>
      </c>
      <c r="B4964" s="8" t="s">
        <v>4354</v>
      </c>
      <c r="C4964" s="8" t="s">
        <v>4198</v>
      </c>
      <c r="D4964" s="7">
        <v>1</v>
      </c>
      <c r="E4964" s="7">
        <v>10</v>
      </c>
      <c r="F4964" s="7">
        <v>0.33329999999999999</v>
      </c>
      <c r="G4964" s="8" t="s">
        <v>4129</v>
      </c>
      <c r="H4964" s="8" t="s">
        <v>4130</v>
      </c>
      <c r="I4964" s="7" t="str">
        <f>_xlfn.CONCAT(Paper_Reference[[#This Row],[Lvl]:[Paper Description]])</f>
        <v>2QIRWC013NQHZ0BLOSSOM CHERRY 20 3/16X26 3/161100.3333110WC013-6200BLOSSOM CHERRY</v>
      </c>
      <c r="J4964" s="7">
        <f>COUNTIF(Paper_Reference[Duplicate Key],Paper_Reference[[#This Row],[Duplicate Key]])</f>
        <v>1</v>
      </c>
    </row>
    <row r="4965" spans="1:10">
      <c r="A4965" s="7">
        <v>1</v>
      </c>
      <c r="B4965" s="8" t="s">
        <v>3213</v>
      </c>
      <c r="C4965" s="8" t="s">
        <v>3102</v>
      </c>
      <c r="D4965" s="7">
        <v>1</v>
      </c>
      <c r="E4965" s="7">
        <v>10</v>
      </c>
      <c r="F4965" s="7">
        <v>0.42449999999999999</v>
      </c>
      <c r="G4965" s="8" t="s">
        <v>3115</v>
      </c>
      <c r="H4965" s="8" t="s">
        <v>3090</v>
      </c>
      <c r="I4965" s="7" t="str">
        <f>_xlfn.CONCAT(Paper_Reference[[#This Row],[Lvl]:[Paper Description]])</f>
        <v>1QIRWF131NRWZ0VANA 61 1/2 X 561100.4245100WF131-6200VANA</v>
      </c>
      <c r="J4965" s="7">
        <f>COUNTIF(Paper_Reference[Duplicate Key],Paper_Reference[[#This Row],[Duplicate Key]])</f>
        <v>1</v>
      </c>
    </row>
    <row r="4966" spans="1:10">
      <c r="A4966" s="7">
        <v>2</v>
      </c>
      <c r="B4966" s="8" t="s">
        <v>5637</v>
      </c>
      <c r="C4966" s="8" t="s">
        <v>5443</v>
      </c>
      <c r="D4966" s="7">
        <v>1</v>
      </c>
      <c r="E4966" s="7">
        <v>10</v>
      </c>
      <c r="F4966" s="7">
        <v>0.5</v>
      </c>
      <c r="G4966" s="8" t="s">
        <v>5373</v>
      </c>
      <c r="H4966" s="8" t="s">
        <v>5374</v>
      </c>
      <c r="I4966" s="7" t="str">
        <f>_xlfn.CONCAT(Paper_Reference[[#This Row],[Lvl]:[Paper Description]])</f>
        <v>2QIRWW971NBJJ0GUN SAVOY WALNUT 27 X 331100.5100WW971-6200GUN SAVOY WALNUT</v>
      </c>
      <c r="J4966" s="7">
        <f>COUNTIF(Paper_Reference[Duplicate Key],Paper_Reference[[#This Row],[Duplicate Key]])</f>
        <v>1</v>
      </c>
    </row>
    <row r="4967" spans="1:10">
      <c r="A4967" s="7">
        <v>1</v>
      </c>
      <c r="B4967" s="8" t="s">
        <v>5638</v>
      </c>
      <c r="C4967" s="8" t="s">
        <v>5444</v>
      </c>
      <c r="D4967" s="7">
        <v>1</v>
      </c>
      <c r="E4967" s="7">
        <v>10</v>
      </c>
      <c r="F4967" s="7">
        <v>7.2800000000000004E-2</v>
      </c>
      <c r="G4967" s="8" t="s">
        <v>5373</v>
      </c>
      <c r="H4967" s="8" t="s">
        <v>5374</v>
      </c>
      <c r="I4967" s="7" t="str">
        <f>_xlfn.CONCAT(Paper_Reference[[#This Row],[Lvl]:[Paper Description]])</f>
        <v>1QIRWW971NCMZ0GUN SAVOY WALNUT 61 1/21100.0728100WW971-6200GUN SAVOY WALNUT</v>
      </c>
      <c r="J4967" s="7">
        <f>COUNTIF(Paper_Reference[Duplicate Key],Paper_Reference[[#This Row],[Duplicate Key]])</f>
        <v>1</v>
      </c>
    </row>
    <row r="4968" spans="1:10">
      <c r="A4968" s="7">
        <v>1</v>
      </c>
      <c r="B4968" s="8" t="s">
        <v>5639</v>
      </c>
      <c r="C4968" s="8" t="s">
        <v>5432</v>
      </c>
      <c r="D4968" s="7">
        <v>1</v>
      </c>
      <c r="E4968" s="7">
        <v>10</v>
      </c>
      <c r="F4968" s="7">
        <v>0.66539999999999999</v>
      </c>
      <c r="G4968" s="8" t="s">
        <v>5373</v>
      </c>
      <c r="H4968" s="8" t="s">
        <v>5374</v>
      </c>
      <c r="I4968" s="7" t="str">
        <f>_xlfn.CONCAT(Paper_Reference[[#This Row],[Lvl]:[Paper Description]])</f>
        <v>1QIRWW971NFFF0GUN SAVOY WALNUT 61 1/2 X 1101100.6654100WW971-6200GUN SAVOY WALNUT</v>
      </c>
      <c r="J4968" s="7">
        <f>COUNTIF(Paper_Reference[Duplicate Key],Paper_Reference[[#This Row],[Duplicate Key]])</f>
        <v>1</v>
      </c>
    </row>
    <row r="4969" spans="1:10">
      <c r="A4969" s="7">
        <v>1</v>
      </c>
      <c r="B4969" s="8" t="s">
        <v>5640</v>
      </c>
      <c r="C4969" s="8" t="s">
        <v>5433</v>
      </c>
      <c r="D4969" s="7">
        <v>1</v>
      </c>
      <c r="E4969" s="7">
        <v>10</v>
      </c>
      <c r="F4969" s="7">
        <v>0.59279999999999999</v>
      </c>
      <c r="G4969" s="8" t="s">
        <v>5373</v>
      </c>
      <c r="H4969" s="8" t="s">
        <v>5374</v>
      </c>
      <c r="I4969" s="7" t="str">
        <f>_xlfn.CONCAT(Paper_Reference[[#This Row],[Lvl]:[Paper Description]])</f>
        <v>1QIRWW971NKRK0GUN SAVOY WALNUT 61 1/2 X 981100.5928100WW971-6200GUN SAVOY WALNUT</v>
      </c>
      <c r="J4969" s="7">
        <f>COUNTIF(Paper_Reference[Duplicate Key],Paper_Reference[[#This Row],[Duplicate Key]])</f>
        <v>1</v>
      </c>
    </row>
    <row r="4970" spans="1:10">
      <c r="A4970" s="7">
        <v>1</v>
      </c>
      <c r="B4970" s="8" t="s">
        <v>5641</v>
      </c>
      <c r="C4970" s="8" t="s">
        <v>5445</v>
      </c>
      <c r="D4970" s="7">
        <v>1</v>
      </c>
      <c r="E4970" s="7">
        <v>10</v>
      </c>
      <c r="F4970" s="7">
        <v>0.73980000000000001</v>
      </c>
      <c r="G4970" s="8" t="s">
        <v>5373</v>
      </c>
      <c r="H4970" s="8" t="s">
        <v>5374</v>
      </c>
      <c r="I4970" s="7" t="str">
        <f>_xlfn.CONCAT(Paper_Reference[[#This Row],[Lvl]:[Paper Description]])</f>
        <v>1QIRWW971NLVW0GUN SAVOY WALNUT 61 1/2 X 1221100.7398100WW971-6200GUN SAVOY WALNUT</v>
      </c>
      <c r="J4970" s="7">
        <f>COUNTIF(Paper_Reference[Duplicate Key],Paper_Reference[[#This Row],[Duplicate Key]])</f>
        <v>1</v>
      </c>
    </row>
    <row r="4971" spans="1:10">
      <c r="A4971" s="7">
        <v>1</v>
      </c>
      <c r="B4971" s="8" t="s">
        <v>5642</v>
      </c>
      <c r="C4971" s="8" t="s">
        <v>5446</v>
      </c>
      <c r="D4971" s="7">
        <v>1</v>
      </c>
      <c r="E4971" s="7">
        <v>10</v>
      </c>
      <c r="F4971" s="7">
        <v>1.3281000000000001</v>
      </c>
      <c r="G4971" s="8" t="s">
        <v>5373</v>
      </c>
      <c r="H4971" s="8" t="s">
        <v>5374</v>
      </c>
      <c r="I4971" s="7" t="str">
        <f>_xlfn.CONCAT(Paper_Reference[[#This Row],[Lvl]:[Paper Description]])</f>
        <v>1QIRWW971NLWJ0GUN SAVOY WALNUT 61 1/2 X 2191101.3281100WW971-6200GUN SAVOY WALNUT</v>
      </c>
      <c r="J4971" s="7">
        <f>COUNTIF(Paper_Reference[Duplicate Key],Paper_Reference[[#This Row],[Duplicate Key]])</f>
        <v>1</v>
      </c>
    </row>
    <row r="4972" spans="1:10">
      <c r="A4972" s="7">
        <v>2</v>
      </c>
      <c r="B4972" s="8" t="s">
        <v>5643</v>
      </c>
      <c r="C4972" s="8" t="s">
        <v>5447</v>
      </c>
      <c r="D4972" s="7">
        <v>1</v>
      </c>
      <c r="E4972" s="7">
        <v>10</v>
      </c>
      <c r="F4972" s="7">
        <v>0.5</v>
      </c>
      <c r="G4972" s="8" t="s">
        <v>5373</v>
      </c>
      <c r="H4972" s="8" t="s">
        <v>5374</v>
      </c>
      <c r="I4972" s="7" t="str">
        <f>_xlfn.CONCAT(Paper_Reference[[#This Row],[Lvl]:[Paper Description]])</f>
        <v>2QIRWW971NMWR0GUN SAVOY WALNUT 28 X 401100.5100WW971-6200GUN SAVOY WALNUT</v>
      </c>
      <c r="J4972" s="7">
        <f>COUNTIF(Paper_Reference[Duplicate Key],Paper_Reference[[#This Row],[Duplicate Key]])</f>
        <v>1</v>
      </c>
    </row>
    <row r="4973" spans="1:10">
      <c r="A4973" s="7">
        <v>1</v>
      </c>
      <c r="B4973" s="8" t="s">
        <v>5644</v>
      </c>
      <c r="C4973" s="8" t="s">
        <v>5448</v>
      </c>
      <c r="D4973" s="7">
        <v>1</v>
      </c>
      <c r="E4973" s="7">
        <v>10</v>
      </c>
      <c r="F4973" s="7">
        <v>0.46689999999999998</v>
      </c>
      <c r="G4973" s="8" t="s">
        <v>5373</v>
      </c>
      <c r="H4973" s="8" t="s">
        <v>5374</v>
      </c>
      <c r="I4973" s="7" t="str">
        <f>_xlfn.CONCAT(Paper_Reference[[#This Row],[Lvl]:[Paper Description]])</f>
        <v>1QIRWW971NPAY0GUN SAVOY WAL 61 1/2 X 771100.4669100WW971-6200GUN SAVOY WALNUT</v>
      </c>
      <c r="J4973" s="7">
        <f>COUNTIF(Paper_Reference[Duplicate Key],Paper_Reference[[#This Row],[Duplicate Key]])</f>
        <v>1</v>
      </c>
    </row>
    <row r="4974" spans="1:10">
      <c r="A4974" s="7">
        <v>2</v>
      </c>
      <c r="B4974" s="8" t="s">
        <v>5645</v>
      </c>
      <c r="C4974" s="8" t="s">
        <v>5449</v>
      </c>
      <c r="D4974" s="7">
        <v>1</v>
      </c>
      <c r="E4974" s="7">
        <v>10</v>
      </c>
      <c r="F4974" s="7">
        <v>0.33329999999999999</v>
      </c>
      <c r="G4974" s="8" t="s">
        <v>5373</v>
      </c>
      <c r="H4974" s="8" t="s">
        <v>5374</v>
      </c>
      <c r="I4974" s="7" t="str">
        <f>_xlfn.CONCAT(Paper_Reference[[#This Row],[Lvl]:[Paper Description]])</f>
        <v>2QIRWW971NQHZ0GUN SAVOY WAL 20 3/16X26 3/161100.3333100WW971-6200GUN SAVOY WALNUT</v>
      </c>
      <c r="J4974" s="7">
        <f>COUNTIF(Paper_Reference[Duplicate Key],Paper_Reference[[#This Row],[Duplicate Key]])</f>
        <v>1</v>
      </c>
    </row>
    <row r="4975" spans="1:10">
      <c r="A4975" s="7">
        <v>1</v>
      </c>
      <c r="B4975" s="8" t="s">
        <v>5646</v>
      </c>
      <c r="C4975" s="8" t="s">
        <v>5450</v>
      </c>
      <c r="D4975" s="7">
        <v>1</v>
      </c>
      <c r="E4975" s="7">
        <v>10</v>
      </c>
      <c r="F4975" s="7">
        <v>0.3206</v>
      </c>
      <c r="G4975" s="8" t="s">
        <v>5373</v>
      </c>
      <c r="H4975" s="8" t="s">
        <v>5374</v>
      </c>
      <c r="I4975" s="7" t="str">
        <f>_xlfn.CONCAT(Paper_Reference[[#This Row],[Lvl]:[Paper Description]])</f>
        <v>1QIRWW971NQIZ0GUN SAVOY WALNUT 61 1/2 X 531100.3206100WW971-6200GUN SAVOY WALNUT</v>
      </c>
      <c r="J4975" s="7">
        <f>COUNTIF(Paper_Reference[Duplicate Key],Paper_Reference[[#This Row],[Duplicate Key]])</f>
        <v>1</v>
      </c>
    </row>
    <row r="4976" spans="1:10">
      <c r="A4976" s="7">
        <v>1</v>
      </c>
      <c r="B4976" s="8" t="s">
        <v>5647</v>
      </c>
      <c r="C4976" s="8" t="s">
        <v>5451</v>
      </c>
      <c r="D4976" s="7">
        <v>1</v>
      </c>
      <c r="E4976" s="7">
        <v>10</v>
      </c>
      <c r="F4976" s="7">
        <v>0.48509999999999998</v>
      </c>
      <c r="G4976" s="8" t="s">
        <v>5373</v>
      </c>
      <c r="H4976" s="8" t="s">
        <v>5374</v>
      </c>
      <c r="I4976" s="7" t="str">
        <f>_xlfn.CONCAT(Paper_Reference[[#This Row],[Lvl]:[Paper Description]])</f>
        <v>1QIRWW971NQVV0GUN SAVOY WALNUT 61 1/2 X 801100.4851100WW971-6200GUN SAVOY WALNUT</v>
      </c>
      <c r="J4976" s="7">
        <f>COUNTIF(Paper_Reference[Duplicate Key],Paper_Reference[[#This Row],[Duplicate Key]])</f>
        <v>1</v>
      </c>
    </row>
    <row r="4977" spans="1:10">
      <c r="A4977" s="7">
        <v>2</v>
      </c>
      <c r="B4977" s="8" t="s">
        <v>5648</v>
      </c>
      <c r="C4977" s="8" t="s">
        <v>5452</v>
      </c>
      <c r="D4977" s="7">
        <v>1</v>
      </c>
      <c r="E4977" s="7">
        <v>10</v>
      </c>
      <c r="F4977" s="7">
        <v>0.5</v>
      </c>
      <c r="G4977" s="8" t="s">
        <v>5373</v>
      </c>
      <c r="H4977" s="8" t="s">
        <v>5374</v>
      </c>
      <c r="I4977" s="7" t="str">
        <f>_xlfn.CONCAT(Paper_Reference[[#This Row],[Lvl]:[Paper Description]])</f>
        <v>2QIRWW971NRRN0GUN SAVOY WAL 30 1/2 X 38 1/41100.5100WW971-6200GUN SAVOY WALNUT</v>
      </c>
      <c r="J4977" s="7">
        <f>COUNTIF(Paper_Reference[Duplicate Key],Paper_Reference[[#This Row],[Duplicate Key]])</f>
        <v>1</v>
      </c>
    </row>
    <row r="4978" spans="1:10">
      <c r="A4978" s="7">
        <v>1</v>
      </c>
      <c r="B4978" s="8" t="s">
        <v>5649</v>
      </c>
      <c r="C4978" s="8" t="s">
        <v>5453</v>
      </c>
      <c r="D4978" s="7">
        <v>1</v>
      </c>
      <c r="E4978" s="7">
        <v>10</v>
      </c>
      <c r="F4978" s="7">
        <v>0.33960000000000001</v>
      </c>
      <c r="G4978" s="8" t="s">
        <v>5373</v>
      </c>
      <c r="H4978" s="8" t="s">
        <v>5374</v>
      </c>
      <c r="I4978" s="7" t="str">
        <f>_xlfn.CONCAT(Paper_Reference[[#This Row],[Lvl]:[Paper Description]])</f>
        <v>1QIRWW971NRWZ0GUN SAVOY WALNUT 61 1/2 X 561100.3396100WW971-6200GUN SAVOY WALNUT</v>
      </c>
      <c r="J4978" s="7">
        <f>COUNTIF(Paper_Reference[Duplicate Key],Paper_Reference[[#This Row],[Duplicate Key]])</f>
        <v>1</v>
      </c>
    </row>
    <row r="4979" spans="1:10">
      <c r="A4979" s="7">
        <v>1</v>
      </c>
      <c r="B4979" s="8" t="s">
        <v>5650</v>
      </c>
      <c r="C4979" s="8" t="s">
        <v>5454</v>
      </c>
      <c r="D4979" s="7">
        <v>1</v>
      </c>
      <c r="E4979" s="7">
        <v>10</v>
      </c>
      <c r="F4979" s="7">
        <v>0.24199999999999999</v>
      </c>
      <c r="G4979" s="8" t="s">
        <v>5373</v>
      </c>
      <c r="H4979" s="8" t="s">
        <v>5374</v>
      </c>
      <c r="I4979" s="7" t="str">
        <f>_xlfn.CONCAT(Paper_Reference[[#This Row],[Lvl]:[Paper Description]])</f>
        <v>1QIRWW971NRZI0GUN SAVOY WALNUT 61 1/2 X 401100.242100WW971-6200GUN SAVOY WALNUT</v>
      </c>
      <c r="J4979" s="7">
        <f>COUNTIF(Paper_Reference[Duplicate Key],Paper_Reference[[#This Row],[Duplicate Key]])</f>
        <v>1</v>
      </c>
    </row>
    <row r="4980" spans="1:10">
      <c r="A4980" s="7">
        <v>1</v>
      </c>
      <c r="B4980" s="8" t="s">
        <v>5651</v>
      </c>
      <c r="C4980" s="8" t="s">
        <v>5455</v>
      </c>
      <c r="D4980" s="7">
        <v>1</v>
      </c>
      <c r="E4980" s="7">
        <v>10</v>
      </c>
      <c r="F4980" s="7">
        <v>0.2722</v>
      </c>
      <c r="G4980" s="8" t="s">
        <v>5373</v>
      </c>
      <c r="H4980" s="8" t="s">
        <v>5374</v>
      </c>
      <c r="I4980" s="7" t="str">
        <f>_xlfn.CONCAT(Paper_Reference[[#This Row],[Lvl]:[Paper Description]])</f>
        <v>1QIRWW971NSLQ0GUN SAVOY WALNUT 61 1/2 X 451100.2722100WW971-6200GUN SAVOY WALNUT</v>
      </c>
      <c r="J4980" s="7">
        <f>COUNTIF(Paper_Reference[Duplicate Key],Paper_Reference[[#This Row],[Duplicate Key]])</f>
        <v>1</v>
      </c>
    </row>
    <row r="4981" spans="1:10">
      <c r="A4981" s="7">
        <v>2</v>
      </c>
      <c r="B4981" s="8" t="s">
        <v>5652</v>
      </c>
      <c r="C4981" s="8" t="s">
        <v>5456</v>
      </c>
      <c r="D4981" s="7">
        <v>1</v>
      </c>
      <c r="E4981" s="7">
        <v>10</v>
      </c>
      <c r="F4981" s="7">
        <v>0.125</v>
      </c>
      <c r="G4981" s="8" t="s">
        <v>5373</v>
      </c>
      <c r="H4981" s="8" t="s">
        <v>5374</v>
      </c>
      <c r="I4981" s="7" t="str">
        <f>_xlfn.CONCAT(Paper_Reference[[#This Row],[Lvl]:[Paper Description]])</f>
        <v>2QIRWW971NTGH0GUN SAVOY WAL 14 3/4 X 15 3/41100.125100WW971-6200GUN SAVOY WALNUT</v>
      </c>
      <c r="J4981" s="7">
        <f>COUNTIF(Paper_Reference[Duplicate Key],Paper_Reference[[#This Row],[Duplicate Key]])</f>
        <v>1</v>
      </c>
    </row>
    <row r="4982" spans="1:10">
      <c r="A4982" s="7">
        <v>2</v>
      </c>
      <c r="B4982" s="8" t="s">
        <v>5653</v>
      </c>
      <c r="C4982" s="8" t="s">
        <v>5457</v>
      </c>
      <c r="D4982" s="7">
        <v>1</v>
      </c>
      <c r="E4982" s="7">
        <v>10</v>
      </c>
      <c r="F4982" s="7">
        <v>0.5</v>
      </c>
      <c r="G4982" s="8" t="s">
        <v>5373</v>
      </c>
      <c r="H4982" s="8" t="s">
        <v>5374</v>
      </c>
      <c r="I4982" s="7" t="str">
        <f>_xlfn.CONCAT(Paper_Reference[[#This Row],[Lvl]:[Paper Description]])</f>
        <v>2QIRWW971NTHT0GUN SAVOY WALNUT 25 X 33 1/21100.5100WW971-6200GUN SAVOY WALNUT</v>
      </c>
      <c r="J4982" s="7">
        <f>COUNTIF(Paper_Reference[Duplicate Key],Paper_Reference[[#This Row],[Duplicate Key]])</f>
        <v>1</v>
      </c>
    </row>
    <row r="4983" spans="1:10">
      <c r="A4983" s="7">
        <v>2</v>
      </c>
      <c r="B4983" s="8" t="s">
        <v>5321</v>
      </c>
      <c r="C4983" s="8" t="s">
        <v>4597</v>
      </c>
      <c r="D4983" s="7">
        <v>1</v>
      </c>
      <c r="E4983" s="7">
        <v>10</v>
      </c>
      <c r="F4983" s="7">
        <v>0.33329999999999999</v>
      </c>
      <c r="G4983" s="8" t="s">
        <v>4371</v>
      </c>
      <c r="H4983" s="8" t="s">
        <v>4372</v>
      </c>
      <c r="I4983" s="7" t="str">
        <f>_xlfn.CONCAT(Paper_Reference[[#This Row],[Lvl]:[Paper Description]])</f>
        <v>2QISDS064NQHZ0BLACK 20 3/16 X 26 3/161100.3333100DS064-6200BLACK</v>
      </c>
      <c r="J4983" s="7">
        <f>COUNTIF(Paper_Reference[Duplicate Key],Paper_Reference[[#This Row],[Duplicate Key]])</f>
        <v>1</v>
      </c>
    </row>
    <row r="4984" spans="1:10">
      <c r="A4984" s="7">
        <v>1</v>
      </c>
      <c r="B4984" s="8" t="s">
        <v>5322</v>
      </c>
      <c r="C4984" s="8" t="s">
        <v>4598</v>
      </c>
      <c r="D4984" s="7">
        <v>1</v>
      </c>
      <c r="E4984" s="7">
        <v>10</v>
      </c>
      <c r="F4984" s="7">
        <v>0.60770000000000002</v>
      </c>
      <c r="G4984" s="8" t="s">
        <v>4371</v>
      </c>
      <c r="H4984" s="8" t="s">
        <v>4372</v>
      </c>
      <c r="I4984" s="7" t="str">
        <f>_xlfn.CONCAT(Paper_Reference[[#This Row],[Lvl]:[Paper Description]])</f>
        <v>1QISDS064NQVV0BLACK 61 1/2 X 801100.6077100DS064-6200BLACK</v>
      </c>
      <c r="J4984" s="7">
        <f>COUNTIF(Paper_Reference[Duplicate Key],Paper_Reference[[#This Row],[Duplicate Key]])</f>
        <v>1</v>
      </c>
    </row>
    <row r="4985" spans="1:10">
      <c r="A4985" s="7">
        <v>1</v>
      </c>
      <c r="B4985" s="8" t="s">
        <v>3755</v>
      </c>
      <c r="C4985" s="8" t="s">
        <v>3304</v>
      </c>
      <c r="D4985" s="7">
        <v>1</v>
      </c>
      <c r="E4985" s="7">
        <v>10</v>
      </c>
      <c r="F4985" s="7">
        <v>0.1351</v>
      </c>
      <c r="G4985" s="8" t="s">
        <v>3230</v>
      </c>
      <c r="H4985" s="8" t="s">
        <v>3231</v>
      </c>
      <c r="I4985" s="7" t="str">
        <f>_xlfn.CONCAT(Paper_Reference[[#This Row],[Lvl]:[Paper Description]])</f>
        <v>1QISSW736NCIM0PRECISION WHITE 49 1/21100.1351110SW736-5000PRECISION WHITE 43 X 145</v>
      </c>
      <c r="J4985" s="7">
        <f>COUNTIF(Paper_Reference[Duplicate Key],Paper_Reference[[#This Row],[Duplicate Key]])</f>
        <v>1</v>
      </c>
    </row>
    <row r="4986" spans="1:10">
      <c r="A4986" s="7">
        <v>1</v>
      </c>
      <c r="B4986" s="8" t="s">
        <v>4121</v>
      </c>
      <c r="C4986" s="8" t="s">
        <v>3819</v>
      </c>
      <c r="D4986" s="7">
        <v>1</v>
      </c>
      <c r="E4986" s="7">
        <v>10</v>
      </c>
      <c r="F4986" s="7">
        <v>0.1673</v>
      </c>
      <c r="G4986" s="8" t="s">
        <v>3826</v>
      </c>
      <c r="H4986" s="8" t="s">
        <v>3827</v>
      </c>
      <c r="I4986" s="7" t="str">
        <f>_xlfn.CONCAT(Paper_Reference[[#This Row],[Lvl]:[Paper Description]])</f>
        <v>1QISSW736NCMZ0PRECISION WHITE 61 1/21100.1673110SW736-6200PRECISION WHITE 62"</v>
      </c>
      <c r="J4986" s="7">
        <f>COUNTIF(Paper_Reference[Duplicate Key],Paper_Reference[[#This Row],[Duplicate Key]])</f>
        <v>1</v>
      </c>
    </row>
    <row r="4987" spans="1:10">
      <c r="A4987" s="7">
        <v>1</v>
      </c>
      <c r="B4987" s="8" t="s">
        <v>8652</v>
      </c>
      <c r="C4987" s="8" t="s">
        <v>8394</v>
      </c>
      <c r="D4987" s="7">
        <v>1</v>
      </c>
      <c r="E4987" s="7">
        <v>10</v>
      </c>
      <c r="F4987" s="7">
        <v>0.96079999999999999</v>
      </c>
      <c r="G4987" s="8" t="s">
        <v>8302</v>
      </c>
      <c r="H4987" s="8" t="s">
        <v>8303</v>
      </c>
      <c r="I4987" s="7" t="str">
        <f>_xlfn.CONCAT(Paper_Reference[[#This Row],[Lvl]:[Paper Description]])</f>
        <v>1QISSW813NLVU0ICE WHITE 61 1/2 X 97 1/21100.9608100SW813-6200ICE WHITE</v>
      </c>
      <c r="J4987" s="7">
        <f>COUNTIF(Paper_Reference[Duplicate Key],Paper_Reference[[#This Row],[Duplicate Key]])</f>
        <v>1</v>
      </c>
    </row>
    <row r="4988" spans="1:10">
      <c r="A4988" s="7">
        <v>2</v>
      </c>
      <c r="B4988" s="8" t="s">
        <v>5654</v>
      </c>
      <c r="C4988" s="8" t="s">
        <v>5449</v>
      </c>
      <c r="D4988" s="7">
        <v>1</v>
      </c>
      <c r="E4988" s="7">
        <v>10</v>
      </c>
      <c r="F4988" s="7">
        <v>0.33329999999999999</v>
      </c>
      <c r="G4988" s="8" t="s">
        <v>5373</v>
      </c>
      <c r="H4988" s="8" t="s">
        <v>5374</v>
      </c>
      <c r="I4988" s="7" t="str">
        <f>_xlfn.CONCAT(Paper_Reference[[#This Row],[Lvl]:[Paper Description]])</f>
        <v>2QISWW971NQHZ0GUN SAVOY WAL 20 3/16X26 3/161100.3333100WW971-6200GUN SAVOY WALNUT</v>
      </c>
      <c r="J4988" s="7">
        <f>COUNTIF(Paper_Reference[Duplicate Key],Paper_Reference[[#This Row],[Duplicate Key]])</f>
        <v>1</v>
      </c>
    </row>
    <row r="4989" spans="1:10">
      <c r="A4989" s="7">
        <v>1</v>
      </c>
      <c r="B4989" s="8" t="s">
        <v>5655</v>
      </c>
      <c r="C4989" s="8" t="s">
        <v>5451</v>
      </c>
      <c r="D4989" s="7">
        <v>1</v>
      </c>
      <c r="E4989" s="7">
        <v>10</v>
      </c>
      <c r="F4989" s="7">
        <v>0.4839</v>
      </c>
      <c r="G4989" s="8" t="s">
        <v>5373</v>
      </c>
      <c r="H4989" s="8" t="s">
        <v>5374</v>
      </c>
      <c r="I4989" s="7" t="str">
        <f>_xlfn.CONCAT(Paper_Reference[[#This Row],[Lvl]:[Paper Description]])</f>
        <v>1QISWW971NQVV0GUN SAVOY WALNUT 61 1/2 X 801100.4839100WW971-6200GUN SAVOY WALNUT</v>
      </c>
      <c r="J4989" s="7">
        <f>COUNTIF(Paper_Reference[Duplicate Key],Paper_Reference[[#This Row],[Duplicate Key]])</f>
        <v>1</v>
      </c>
    </row>
    <row r="4990" spans="1:10">
      <c r="A4990" s="7">
        <v>1</v>
      </c>
      <c r="B4990" s="8" t="s">
        <v>5656</v>
      </c>
      <c r="C4990" s="8" t="s">
        <v>5458</v>
      </c>
      <c r="D4990" s="7">
        <v>1</v>
      </c>
      <c r="E4990" s="7">
        <v>10</v>
      </c>
      <c r="F4990" s="7">
        <v>0.4052</v>
      </c>
      <c r="G4990" s="8" t="s">
        <v>5373</v>
      </c>
      <c r="H4990" s="8" t="s">
        <v>5374</v>
      </c>
      <c r="I4990" s="7" t="str">
        <f>_xlfn.CONCAT(Paper_Reference[[#This Row],[Lvl]:[Paper Description]])</f>
        <v>1QISWW971NRQZ0GUN SAVOY WALNUT 61 1/2 X 671100.4052100WW971-6200GUN SAVOY WALNUT</v>
      </c>
      <c r="J4990" s="7">
        <f>COUNTIF(Paper_Reference[Duplicate Key],Paper_Reference[[#This Row],[Duplicate Key]])</f>
        <v>1</v>
      </c>
    </row>
    <row r="4991" spans="1:10">
      <c r="A4991" s="7">
        <v>2</v>
      </c>
      <c r="B4991" s="8" t="s">
        <v>5657</v>
      </c>
      <c r="C4991" s="8" t="s">
        <v>5459</v>
      </c>
      <c r="D4991" s="7">
        <v>1</v>
      </c>
      <c r="E4991" s="7">
        <v>10</v>
      </c>
      <c r="F4991" s="7">
        <v>7.1400000000000005E-2</v>
      </c>
      <c r="G4991" s="8" t="s">
        <v>5373</v>
      </c>
      <c r="H4991" s="8" t="s">
        <v>5374</v>
      </c>
      <c r="I4991" s="7" t="str">
        <f>_xlfn.CONCAT(Paper_Reference[[#This Row],[Lvl]:[Paper Description]])</f>
        <v>2QISWW971NTUN0GUN SAVOY WALNUT 8 X 14 1/21100.0714100WW971-6200GUN SAVOY WALNUT</v>
      </c>
      <c r="J4991" s="7">
        <f>COUNTIF(Paper_Reference[Duplicate Key],Paper_Reference[[#This Row],[Duplicate Key]])</f>
        <v>1</v>
      </c>
    </row>
    <row r="4992" spans="1:10">
      <c r="A4992" s="7">
        <v>2</v>
      </c>
      <c r="B4992" s="8" t="s">
        <v>7980</v>
      </c>
      <c r="C4992" s="8" t="s">
        <v>7130</v>
      </c>
      <c r="D4992" s="7">
        <v>1</v>
      </c>
      <c r="E4992" s="7">
        <v>10</v>
      </c>
      <c r="F4992" s="7">
        <v>8.3299999999999999E-2</v>
      </c>
      <c r="G4992" s="8" t="s">
        <v>6710</v>
      </c>
      <c r="H4992" s="8" t="s">
        <v>5691</v>
      </c>
      <c r="I4992" s="7" t="str">
        <f>_xlfn.CONCAT(Paper_Reference[[#This Row],[Lvl]:[Paper Description]])</f>
        <v>2QIUDS009NALU0FROSTY WHITE 16 X 241100.0833100DS009-5000FROSTY WHITE</v>
      </c>
      <c r="J4992" s="7">
        <f>COUNTIF(Paper_Reference[Duplicate Key],Paper_Reference[[#This Row],[Duplicate Key]])</f>
        <v>1</v>
      </c>
    </row>
    <row r="4993" spans="1:10">
      <c r="A4993" s="7">
        <v>1</v>
      </c>
      <c r="B4993" s="8" t="s">
        <v>5323</v>
      </c>
      <c r="C4993" s="8" t="s">
        <v>4581</v>
      </c>
      <c r="D4993" s="7">
        <v>1</v>
      </c>
      <c r="E4993" s="7">
        <v>10</v>
      </c>
      <c r="F4993" s="7">
        <v>0.83550000000000002</v>
      </c>
      <c r="G4993" s="8" t="s">
        <v>4371</v>
      </c>
      <c r="H4993" s="8" t="s">
        <v>4372</v>
      </c>
      <c r="I4993" s="7" t="str">
        <f>_xlfn.CONCAT(Paper_Reference[[#This Row],[Lvl]:[Paper Description]])</f>
        <v>1QIZDS064NFFF0BLACK 61 1/2 X 1101100.8355100DS064-6200BLACK</v>
      </c>
      <c r="J4993" s="7">
        <f>COUNTIF(Paper_Reference[Duplicate Key],Paper_Reference[[#This Row],[Duplicate Key]])</f>
        <v>1</v>
      </c>
    </row>
    <row r="4994" spans="1:10">
      <c r="A4994" s="7">
        <v>1</v>
      </c>
      <c r="B4994" s="8" t="s">
        <v>5324</v>
      </c>
      <c r="C4994" s="8" t="s">
        <v>4582</v>
      </c>
      <c r="D4994" s="7">
        <v>1</v>
      </c>
      <c r="E4994" s="7">
        <v>10</v>
      </c>
      <c r="F4994" s="7">
        <v>0.7429</v>
      </c>
      <c r="G4994" s="8" t="s">
        <v>4371</v>
      </c>
      <c r="H4994" s="8" t="s">
        <v>4372</v>
      </c>
      <c r="I4994" s="7" t="str">
        <f>_xlfn.CONCAT(Paper_Reference[[#This Row],[Lvl]:[Paper Description]])</f>
        <v>1QIZDS064NKRK0BLACK 61 1/2 X 981100.7429100DS064-6200BLACK</v>
      </c>
      <c r="J4994" s="7">
        <f>COUNTIF(Paper_Reference[Duplicate Key],Paper_Reference[[#This Row],[Duplicate Key]])</f>
        <v>1</v>
      </c>
    </row>
    <row r="4995" spans="1:10">
      <c r="A4995" s="7">
        <v>1</v>
      </c>
      <c r="B4995" s="8" t="s">
        <v>5325</v>
      </c>
      <c r="C4995" s="8" t="s">
        <v>4599</v>
      </c>
      <c r="D4995" s="7">
        <v>1</v>
      </c>
      <c r="E4995" s="7">
        <v>10</v>
      </c>
      <c r="F4995" s="7">
        <v>0.27289999999999998</v>
      </c>
      <c r="G4995" s="8" t="s">
        <v>4371</v>
      </c>
      <c r="H4995" s="8" t="s">
        <v>4372</v>
      </c>
      <c r="I4995" s="7" t="str">
        <f>_xlfn.CONCAT(Paper_Reference[[#This Row],[Lvl]:[Paper Description]])</f>
        <v>1QIZDS064NLVP0BLACK 61 1/2 X 361100.2729100DS064-6200BLACK</v>
      </c>
      <c r="J4995" s="7">
        <f>COUNTIF(Paper_Reference[Duplicate Key],Paper_Reference[[#This Row],[Duplicate Key]])</f>
        <v>1</v>
      </c>
    </row>
    <row r="4996" spans="1:10">
      <c r="A4996" s="7">
        <v>1</v>
      </c>
      <c r="B4996" s="8" t="s">
        <v>5326</v>
      </c>
      <c r="C4996" s="8" t="s">
        <v>4600</v>
      </c>
      <c r="D4996" s="7">
        <v>1</v>
      </c>
      <c r="E4996" s="7">
        <v>10</v>
      </c>
      <c r="F4996" s="7">
        <v>0.31840000000000002</v>
      </c>
      <c r="G4996" s="8" t="s">
        <v>4371</v>
      </c>
      <c r="H4996" s="8" t="s">
        <v>4372</v>
      </c>
      <c r="I4996" s="7" t="str">
        <f>_xlfn.CONCAT(Paper_Reference[[#This Row],[Lvl]:[Paper Description]])</f>
        <v>1QIZDS064NLVQ0BLACK 61 1/2 X 421100.3184100DS064-6200BLACK</v>
      </c>
      <c r="J4996" s="7">
        <f>COUNTIF(Paper_Reference[Duplicate Key],Paper_Reference[[#This Row],[Duplicate Key]])</f>
        <v>1</v>
      </c>
    </row>
    <row r="4997" spans="1:10">
      <c r="A4997" s="7">
        <v>1</v>
      </c>
      <c r="B4997" s="8" t="s">
        <v>5327</v>
      </c>
      <c r="C4997" s="8" t="s">
        <v>4584</v>
      </c>
      <c r="D4997" s="7">
        <v>1</v>
      </c>
      <c r="E4997" s="7">
        <v>10</v>
      </c>
      <c r="F4997" s="7">
        <v>0.92479999999999996</v>
      </c>
      <c r="G4997" s="8" t="s">
        <v>4371</v>
      </c>
      <c r="H4997" s="8" t="s">
        <v>4372</v>
      </c>
      <c r="I4997" s="7" t="str">
        <f>_xlfn.CONCAT(Paper_Reference[[#This Row],[Lvl]:[Paper Description]])</f>
        <v>1QIZDS064NLVW0BLACK 61 1/2 X 1221100.9248100DS064-6200BLACK</v>
      </c>
      <c r="J4997" s="7">
        <f>COUNTIF(Paper_Reference[Duplicate Key],Paper_Reference[[#This Row],[Duplicate Key]])</f>
        <v>1</v>
      </c>
    </row>
    <row r="4998" spans="1:10">
      <c r="A4998" s="7">
        <v>1</v>
      </c>
      <c r="B4998" s="8" t="s">
        <v>5328</v>
      </c>
      <c r="C4998" s="8" t="s">
        <v>4601</v>
      </c>
      <c r="D4998" s="7">
        <v>1</v>
      </c>
      <c r="E4998" s="7">
        <v>10</v>
      </c>
      <c r="F4998" s="7">
        <v>1.1067</v>
      </c>
      <c r="G4998" s="8" t="s">
        <v>4371</v>
      </c>
      <c r="H4998" s="8" t="s">
        <v>4372</v>
      </c>
      <c r="I4998" s="7" t="str">
        <f>_xlfn.CONCAT(Paper_Reference[[#This Row],[Lvl]:[Paper Description]])</f>
        <v>1QIZDS064NLWD0BLACK 61 1/2 X 1461101.1067100DS064-6200BLACK</v>
      </c>
      <c r="J4998" s="7">
        <f>COUNTIF(Paper_Reference[Duplicate Key],Paper_Reference[[#This Row],[Duplicate Key]])</f>
        <v>1</v>
      </c>
    </row>
    <row r="4999" spans="1:10">
      <c r="A4999" s="7">
        <v>1</v>
      </c>
      <c r="B4999" s="8" t="s">
        <v>5329</v>
      </c>
      <c r="C4999" s="8" t="s">
        <v>4589</v>
      </c>
      <c r="D4999" s="7">
        <v>1</v>
      </c>
      <c r="E4999" s="7">
        <v>10</v>
      </c>
      <c r="F4999" s="7">
        <v>0.64939999999999998</v>
      </c>
      <c r="G4999" s="8" t="s">
        <v>4371</v>
      </c>
      <c r="H4999" s="8" t="s">
        <v>4372</v>
      </c>
      <c r="I4999" s="7" t="str">
        <f>_xlfn.CONCAT(Paper_Reference[[#This Row],[Lvl]:[Paper Description]])</f>
        <v>1QIZDS064NNSU0BLACK 61 1/2 X 85 1/21100.6494100DS064-6200BLACK</v>
      </c>
      <c r="J4999" s="7">
        <f>COUNTIF(Paper_Reference[Duplicate Key],Paper_Reference[[#This Row],[Duplicate Key]])</f>
        <v>1</v>
      </c>
    </row>
    <row r="5000" spans="1:10">
      <c r="A5000" s="7">
        <v>1</v>
      </c>
      <c r="B5000" s="8" t="s">
        <v>5330</v>
      </c>
      <c r="C5000" s="8" t="s">
        <v>4602</v>
      </c>
      <c r="D5000" s="7">
        <v>1</v>
      </c>
      <c r="E5000" s="7">
        <v>10</v>
      </c>
      <c r="F5000" s="7">
        <v>0.3639</v>
      </c>
      <c r="G5000" s="8" t="s">
        <v>4371</v>
      </c>
      <c r="H5000" s="8" t="s">
        <v>4372</v>
      </c>
      <c r="I5000" s="7" t="str">
        <f>_xlfn.CONCAT(Paper_Reference[[#This Row],[Lvl]:[Paper Description]])</f>
        <v>1QIZDS064NSRM0BLACK 61 1/2 X 481100.3639100DS064-6200BLACK</v>
      </c>
      <c r="J5000" s="7">
        <f>COUNTIF(Paper_Reference[Duplicate Key],Paper_Reference[[#This Row],[Duplicate Key]])</f>
        <v>1</v>
      </c>
    </row>
    <row r="5001" spans="1:10">
      <c r="A5001" s="7">
        <v>1</v>
      </c>
      <c r="B5001" s="8" t="s">
        <v>4122</v>
      </c>
      <c r="C5001" s="8" t="s">
        <v>3823</v>
      </c>
      <c r="D5001" s="7">
        <v>1</v>
      </c>
      <c r="E5001" s="7">
        <v>10</v>
      </c>
      <c r="F5001" s="7">
        <v>1.3599000000000001</v>
      </c>
      <c r="G5001" s="8" t="s">
        <v>3826</v>
      </c>
      <c r="H5001" s="8" t="s">
        <v>3827</v>
      </c>
      <c r="I5001" s="7" t="str">
        <f>_xlfn.CONCAT(Paper_Reference[[#This Row],[Lvl]:[Paper Description]])</f>
        <v>1QIZSW736NLVU0PRECISION WHITE 61 1/2 X 97 1/1101.3599110SW736-6200PRECISION WHITE 62"</v>
      </c>
      <c r="J5001" s="7">
        <f>COUNTIF(Paper_Reference[Duplicate Key],Paper_Reference[[#This Row],[Duplicate Key]])</f>
        <v>1</v>
      </c>
    </row>
    <row r="5002" spans="1:10">
      <c r="A5002" s="7">
        <v>1</v>
      </c>
      <c r="B5002" s="8" t="s">
        <v>7981</v>
      </c>
      <c r="C5002" s="8" t="s">
        <v>7131</v>
      </c>
      <c r="D5002" s="7">
        <v>1</v>
      </c>
      <c r="E5002" s="7">
        <v>10</v>
      </c>
      <c r="F5002" s="7">
        <v>8.6900000000000005E-2</v>
      </c>
      <c r="G5002" s="8" t="s">
        <v>6710</v>
      </c>
      <c r="H5002" s="8" t="s">
        <v>5691</v>
      </c>
      <c r="I5002" s="7" t="str">
        <f>_xlfn.CONCAT(Paper_Reference[[#This Row],[Lvl]:[Paper Description]])</f>
        <v>1QKIDS009NCIM0FROSTY WHITE 49 1/21100.0869100DS009-5000FROSTY WHITE</v>
      </c>
      <c r="J5002" s="7">
        <f>COUNTIF(Paper_Reference[Duplicate Key],Paper_Reference[[#This Row],[Duplicate Key]])</f>
        <v>1</v>
      </c>
    </row>
    <row r="5003" spans="1:10">
      <c r="A5003" s="7">
        <v>1</v>
      </c>
      <c r="B5003" s="8" t="s">
        <v>6521</v>
      </c>
      <c r="C5003" s="8" t="s">
        <v>5996</v>
      </c>
      <c r="D5003" s="7">
        <v>1</v>
      </c>
      <c r="E5003" s="7">
        <v>10</v>
      </c>
      <c r="F5003" s="7">
        <v>0.10730000000000001</v>
      </c>
      <c r="G5003" s="8" t="s">
        <v>5690</v>
      </c>
      <c r="H5003" s="8" t="s">
        <v>5691</v>
      </c>
      <c r="I5003" s="7" t="str">
        <f>_xlfn.CONCAT(Paper_Reference[[#This Row],[Lvl]:[Paper Description]])</f>
        <v>1QKIDS009NCMZ0FROSTY WHITE 61 1/21100.1073100DS009-6200FROSTY WHITE</v>
      </c>
      <c r="J5003" s="7">
        <f>COUNTIF(Paper_Reference[Duplicate Key],Paper_Reference[[#This Row],[Duplicate Key]])</f>
        <v>1</v>
      </c>
    </row>
    <row r="5004" spans="1:10">
      <c r="A5004" s="7">
        <v>1</v>
      </c>
      <c r="B5004" s="8" t="s">
        <v>5331</v>
      </c>
      <c r="C5004" s="8" t="s">
        <v>4574</v>
      </c>
      <c r="D5004" s="7">
        <v>1</v>
      </c>
      <c r="E5004" s="7">
        <v>10</v>
      </c>
      <c r="F5004" s="7">
        <v>9.11E-2</v>
      </c>
      <c r="G5004" s="8" t="s">
        <v>4371</v>
      </c>
      <c r="H5004" s="8" t="s">
        <v>4372</v>
      </c>
      <c r="I5004" s="7" t="str">
        <f>_xlfn.CONCAT(Paper_Reference[[#This Row],[Lvl]:[Paper Description]])</f>
        <v>1QKLDS064NCMZ0BLACK 61 1/21100.0911100DS064-6200BLACK</v>
      </c>
      <c r="J5004" s="7">
        <f>COUNTIF(Paper_Reference[Duplicate Key],Paper_Reference[[#This Row],[Duplicate Key]])</f>
        <v>1</v>
      </c>
    </row>
    <row r="5005" spans="1:10">
      <c r="A5005" s="7">
        <v>1</v>
      </c>
      <c r="B5005" s="8" t="s">
        <v>5658</v>
      </c>
      <c r="C5005" s="8" t="s">
        <v>5444</v>
      </c>
      <c r="D5005" s="7">
        <v>1</v>
      </c>
      <c r="E5005" s="7">
        <v>10</v>
      </c>
      <c r="F5005" s="7">
        <v>7.2599999999999998E-2</v>
      </c>
      <c r="G5005" s="8" t="s">
        <v>5373</v>
      </c>
      <c r="H5005" s="8" t="s">
        <v>5374</v>
      </c>
      <c r="I5005" s="7" t="str">
        <f>_xlfn.CONCAT(Paper_Reference[[#This Row],[Lvl]:[Paper Description]])</f>
        <v>1QKLWW971NCMZ0GUN SAVOY WALNUT 61 1/21100.0726100WW971-6200GUN SAVOY WALNUT</v>
      </c>
      <c r="J5005" s="7">
        <f>COUNTIF(Paper_Reference[Duplicate Key],Paper_Reference[[#This Row],[Duplicate Key]])</f>
        <v>1</v>
      </c>
    </row>
    <row r="5006" spans="1:10">
      <c r="A5006" s="7">
        <v>4</v>
      </c>
      <c r="B5006" s="8" t="s">
        <v>5332</v>
      </c>
      <c r="C5006" s="8" t="s">
        <v>4603</v>
      </c>
      <c r="D5006" s="7">
        <v>1</v>
      </c>
      <c r="E5006" s="7">
        <v>91</v>
      </c>
      <c r="F5006" s="7">
        <v>1</v>
      </c>
      <c r="G5006" s="8" t="s">
        <v>4371</v>
      </c>
      <c r="H5006" s="8" t="s">
        <v>4372</v>
      </c>
      <c r="I5006" s="7" t="str">
        <f>_xlfn.CONCAT(Paper_Reference[[#This Row],[Lvl]:[Paper Description]])</f>
        <v>4QUBBLACKPK10Q BLACK RIGHT LP1911100DS064-6200BLACK</v>
      </c>
      <c r="J5006" s="7">
        <f>COUNTIF(Paper_Reference[Duplicate Key],Paper_Reference[[#This Row],[Duplicate Key]])</f>
        <v>1</v>
      </c>
    </row>
    <row r="5007" spans="1:10">
      <c r="A5007" s="7">
        <v>4</v>
      </c>
      <c r="B5007" s="8" t="s">
        <v>924</v>
      </c>
      <c r="C5007" s="8" t="s">
        <v>925</v>
      </c>
      <c r="D5007" s="7">
        <v>1</v>
      </c>
      <c r="E5007" s="7">
        <v>91</v>
      </c>
      <c r="F5007" s="7">
        <v>1</v>
      </c>
      <c r="G5007" s="8" t="s">
        <v>4371</v>
      </c>
      <c r="H5007" s="8" t="s">
        <v>4372</v>
      </c>
      <c r="I5007" s="7" t="str">
        <f>_xlfn.CONCAT(Paper_Reference[[#This Row],[Lvl]:[Paper Description]])</f>
        <v>4QUBBLACKPK11Q BLACK CG 2 LANE PACK1911100DS064-6200BLACK</v>
      </c>
      <c r="J5007" s="7">
        <f>COUNTIF(Paper_Reference[Duplicate Key],Paper_Reference[[#This Row],[Duplicate Key]])</f>
        <v>1</v>
      </c>
    </row>
    <row r="5008" spans="1:10">
      <c r="A5008" s="7">
        <v>4</v>
      </c>
      <c r="B5008" s="8" t="s">
        <v>927</v>
      </c>
      <c r="C5008" s="8" t="s">
        <v>928</v>
      </c>
      <c r="D5008" s="7">
        <v>1</v>
      </c>
      <c r="E5008" s="7">
        <v>91</v>
      </c>
      <c r="F5008" s="7">
        <v>1</v>
      </c>
      <c r="G5008" s="8" t="s">
        <v>4371</v>
      </c>
      <c r="H5008" s="8" t="s">
        <v>4372</v>
      </c>
      <c r="I5008" s="7" t="str">
        <f>_xlfn.CONCAT(Paper_Reference[[#This Row],[Lvl]:[Paper Description]])</f>
        <v>4QUBBLACKPK12Q BLACK CG LEFT LP1911100DS064-6200BLACK</v>
      </c>
      <c r="J5008" s="7">
        <f>COUNTIF(Paper_Reference[Duplicate Key],Paper_Reference[[#This Row],[Duplicate Key]])</f>
        <v>1</v>
      </c>
    </row>
    <row r="5009" spans="1:10">
      <c r="A5009" s="7">
        <v>4</v>
      </c>
      <c r="B5009" s="8" t="s">
        <v>930</v>
      </c>
      <c r="C5009" s="8" t="s">
        <v>931</v>
      </c>
      <c r="D5009" s="7">
        <v>1</v>
      </c>
      <c r="E5009" s="7">
        <v>91</v>
      </c>
      <c r="F5009" s="7">
        <v>1</v>
      </c>
      <c r="G5009" s="8" t="s">
        <v>4371</v>
      </c>
      <c r="H5009" s="8" t="s">
        <v>4372</v>
      </c>
      <c r="I5009" s="7" t="str">
        <f>_xlfn.CONCAT(Paper_Reference[[#This Row],[Lvl]:[Paper Description]])</f>
        <v>4QUBBLACKPK13Q BLACK CG RIGHT LP1911100DS064-6200BLACK</v>
      </c>
      <c r="J5009" s="7">
        <f>COUNTIF(Paper_Reference[Duplicate Key],Paper_Reference[[#This Row],[Duplicate Key]])</f>
        <v>1</v>
      </c>
    </row>
    <row r="5010" spans="1:10">
      <c r="A5010" s="7">
        <v>4</v>
      </c>
      <c r="B5010" s="8" t="s">
        <v>5333</v>
      </c>
      <c r="C5010" s="8" t="s">
        <v>4604</v>
      </c>
      <c r="D5010" s="7">
        <v>1</v>
      </c>
      <c r="E5010" s="7">
        <v>91</v>
      </c>
      <c r="F5010" s="7">
        <v>1</v>
      </c>
      <c r="G5010" s="8" t="s">
        <v>4371</v>
      </c>
      <c r="H5010" s="8" t="s">
        <v>4372</v>
      </c>
      <c r="I5010" s="7" t="str">
        <f>_xlfn.CONCAT(Paper_Reference[[#This Row],[Lvl]:[Paper Description]])</f>
        <v>4QUBBLACKPPK6BAD PART...USE PPK7 AS OF 10241911100DS064-6200BLACK</v>
      </c>
      <c r="J5010" s="7">
        <f>COUNTIF(Paper_Reference[Duplicate Key],Paper_Reference[[#This Row],[Duplicate Key]])</f>
        <v>1</v>
      </c>
    </row>
    <row r="5011" spans="1:10">
      <c r="A5011" s="7">
        <v>4</v>
      </c>
      <c r="B5011" s="8" t="s">
        <v>5334</v>
      </c>
      <c r="C5011" s="8" t="s">
        <v>4605</v>
      </c>
      <c r="D5011" s="7">
        <v>1</v>
      </c>
      <c r="E5011" s="7">
        <v>91</v>
      </c>
      <c r="F5011" s="7">
        <v>1</v>
      </c>
      <c r="G5011" s="8" t="s">
        <v>4371</v>
      </c>
      <c r="H5011" s="8" t="s">
        <v>4372</v>
      </c>
      <c r="I5011" s="7" t="str">
        <f>_xlfn.CONCAT(Paper_Reference[[#This Row],[Lvl]:[Paper Description]])</f>
        <v>4QUBBLACKPPK7Q BLACK MAD 2 LANE PACK1911100DS064-6200BLACK</v>
      </c>
      <c r="J5011" s="7">
        <f>COUNTIF(Paper_Reference[Duplicate Key],Paper_Reference[[#This Row],[Duplicate Key]])</f>
        <v>1</v>
      </c>
    </row>
    <row r="5012" spans="1:10">
      <c r="A5012" s="7">
        <v>4</v>
      </c>
      <c r="B5012" s="8" t="s">
        <v>832</v>
      </c>
      <c r="C5012" s="8" t="s">
        <v>833</v>
      </c>
      <c r="D5012" s="7">
        <v>1</v>
      </c>
      <c r="E5012" s="7">
        <v>91</v>
      </c>
      <c r="F5012" s="7">
        <v>1</v>
      </c>
      <c r="G5012" s="8" t="s">
        <v>4371</v>
      </c>
      <c r="H5012" s="8" t="s">
        <v>4372</v>
      </c>
      <c r="I5012" s="7" t="str">
        <f>_xlfn.CONCAT(Paper_Reference[[#This Row],[Lvl]:[Paper Description]])</f>
        <v>4QUBBLACKPPK8Q BLACK 2 LANE PACK1911100DS064-6200BLACK</v>
      </c>
      <c r="J5012" s="7">
        <f>COUNTIF(Paper_Reference[Duplicate Key],Paper_Reference[[#This Row],[Duplicate Key]])</f>
        <v>1</v>
      </c>
    </row>
    <row r="5013" spans="1:10">
      <c r="A5013" s="7">
        <v>4</v>
      </c>
      <c r="B5013" s="8" t="s">
        <v>851</v>
      </c>
      <c r="C5013" s="8" t="s">
        <v>852</v>
      </c>
      <c r="D5013" s="7">
        <v>1</v>
      </c>
      <c r="E5013" s="7">
        <v>91</v>
      </c>
      <c r="F5013" s="7">
        <v>1</v>
      </c>
      <c r="G5013" s="8" t="s">
        <v>4371</v>
      </c>
      <c r="H5013" s="8" t="s">
        <v>4372</v>
      </c>
      <c r="I5013" s="7" t="str">
        <f>_xlfn.CONCAT(Paper_Reference[[#This Row],[Lvl]:[Paper Description]])</f>
        <v>4QUBBLACKPPK9Q BLACK LEFT LP1911100DS064-6200BLACK</v>
      </c>
      <c r="J5013" s="7">
        <f>COUNTIF(Paper_Reference[Duplicate Key],Paper_Reference[[#This Row],[Duplicate Key]])</f>
        <v>1</v>
      </c>
    </row>
    <row r="5014" spans="1:10">
      <c r="A5014" s="7">
        <v>3</v>
      </c>
      <c r="B5014" s="8" t="s">
        <v>6522</v>
      </c>
      <c r="C5014" s="8" t="s">
        <v>5997</v>
      </c>
      <c r="D5014" s="7">
        <v>1</v>
      </c>
      <c r="E5014" s="7">
        <v>91</v>
      </c>
      <c r="F5014" s="7">
        <v>2</v>
      </c>
      <c r="G5014" s="8" t="s">
        <v>5690</v>
      </c>
      <c r="H5014" s="8" t="s">
        <v>5691</v>
      </c>
      <c r="I5014" s="7" t="str">
        <f>_xlfn.CONCAT(Paper_Reference[[#This Row],[Lvl]:[Paper Description]])</f>
        <v>3QUBDIGHWYPK10Q HWY66 POP66 LANE PK1912100DS009-6200FROSTY WHITE</v>
      </c>
      <c r="J5014" s="7">
        <f>COUNTIF(Paper_Reference[Duplicate Key],Paper_Reference[[#This Row],[Duplicate Key]])</f>
        <v>1</v>
      </c>
    </row>
    <row r="5015" spans="1:10">
      <c r="A5015" s="7">
        <v>3</v>
      </c>
      <c r="B5015" s="8" t="s">
        <v>2799</v>
      </c>
      <c r="C5015" s="8" t="s">
        <v>2313</v>
      </c>
      <c r="D5015" s="7">
        <v>1</v>
      </c>
      <c r="E5015" s="7">
        <v>91</v>
      </c>
      <c r="F5015" s="7">
        <v>1</v>
      </c>
      <c r="G5015" s="8" t="s">
        <v>2144</v>
      </c>
      <c r="H5015" s="8" t="s">
        <v>1242</v>
      </c>
      <c r="I5015" s="7" t="str">
        <f>_xlfn.CONCAT(Paper_Reference[[#This Row],[Lvl]:[Paper Description]])</f>
        <v>3QUBDIGHWYPK11Q HWY66 C BURST L/P W/ FILL191110000020-6200Premium Inkjet MPK 9653</v>
      </c>
      <c r="J5015" s="7">
        <f>COUNTIF(Paper_Reference[Duplicate Key],Paper_Reference[[#This Row],[Duplicate Key]])</f>
        <v>1</v>
      </c>
    </row>
    <row r="5016" spans="1:10">
      <c r="A5016" s="7">
        <v>3</v>
      </c>
      <c r="B5016" s="8" t="s">
        <v>2799</v>
      </c>
      <c r="C5016" s="8" t="s">
        <v>2313</v>
      </c>
      <c r="D5016" s="7">
        <v>1</v>
      </c>
      <c r="E5016" s="7">
        <v>91</v>
      </c>
      <c r="F5016" s="7">
        <v>1</v>
      </c>
      <c r="G5016" s="8" t="s">
        <v>5690</v>
      </c>
      <c r="H5016" s="8" t="s">
        <v>5691</v>
      </c>
      <c r="I5016" s="7" t="str">
        <f>_xlfn.CONCAT(Paper_Reference[[#This Row],[Lvl]:[Paper Description]])</f>
        <v>3QUBDIGHWYPK11Q HWY66 C BURST L/P W/ FILL1911100DS009-6200FROSTY WHITE</v>
      </c>
      <c r="J5016" s="7">
        <f>COUNTIF(Paper_Reference[Duplicate Key],Paper_Reference[[#This Row],[Duplicate Key]])</f>
        <v>1</v>
      </c>
    </row>
    <row r="5017" spans="1:10">
      <c r="A5017" s="7">
        <v>3</v>
      </c>
      <c r="B5017" s="8" t="s">
        <v>6523</v>
      </c>
      <c r="C5017" s="8" t="s">
        <v>5998</v>
      </c>
      <c r="D5017" s="7">
        <v>1</v>
      </c>
      <c r="E5017" s="7">
        <v>91</v>
      </c>
      <c r="F5017" s="7">
        <v>2</v>
      </c>
      <c r="G5017" s="8" t="s">
        <v>5690</v>
      </c>
      <c r="H5017" s="8" t="s">
        <v>5691</v>
      </c>
      <c r="I5017" s="7" t="str">
        <f>_xlfn.CONCAT(Paper_Reference[[#This Row],[Lvl]:[Paper Description]])</f>
        <v>3QUBDIGHWYPK12Q HWY66 VT Cherry LANE PK1912100DS009-6200FROSTY WHITE</v>
      </c>
      <c r="J5017" s="7">
        <f>COUNTIF(Paper_Reference[Duplicate Key],Paper_Reference[[#This Row],[Duplicate Key]])</f>
        <v>1</v>
      </c>
    </row>
    <row r="5018" spans="1:10">
      <c r="A5018" s="7">
        <v>3</v>
      </c>
      <c r="B5018" s="8" t="s">
        <v>6524</v>
      </c>
      <c r="C5018" s="8" t="s">
        <v>5999</v>
      </c>
      <c r="D5018" s="7">
        <v>1</v>
      </c>
      <c r="E5018" s="7">
        <v>91</v>
      </c>
      <c r="F5018" s="7">
        <v>1</v>
      </c>
      <c r="G5018" s="8" t="s">
        <v>5690</v>
      </c>
      <c r="H5018" s="8" t="s">
        <v>5691</v>
      </c>
      <c r="I5018" s="7" t="str">
        <f>_xlfn.CONCAT(Paper_Reference[[#This Row],[Lvl]:[Paper Description]])</f>
        <v>3QUBDIGHWYPK13Q HWY66 WHITE LANE PK1911100DS009-6200FROSTY WHITE</v>
      </c>
      <c r="J5018" s="7">
        <f>COUNTIF(Paper_Reference[Duplicate Key],Paper_Reference[[#This Row],[Duplicate Key]])</f>
        <v>1</v>
      </c>
    </row>
    <row r="5019" spans="1:10">
      <c r="A5019" s="7">
        <v>3</v>
      </c>
      <c r="B5019" s="8" t="s">
        <v>6525</v>
      </c>
      <c r="C5019" s="8" t="s">
        <v>6000</v>
      </c>
      <c r="D5019" s="7">
        <v>1</v>
      </c>
      <c r="E5019" s="7">
        <v>91</v>
      </c>
      <c r="F5019" s="7">
        <v>1</v>
      </c>
      <c r="G5019" s="8" t="s">
        <v>5690</v>
      </c>
      <c r="H5019" s="8" t="s">
        <v>5691</v>
      </c>
      <c r="I5019" s="7" t="str">
        <f>_xlfn.CONCAT(Paper_Reference[[#This Row],[Lvl]:[Paper Description]])</f>
        <v>3QUBDIGHWYPPK1Q HWY66 SEGA LANE PK1911100DS009-6200FROSTY WHITE</v>
      </c>
      <c r="J5019" s="7">
        <f>COUNTIF(Paper_Reference[Duplicate Key],Paper_Reference[[#This Row],[Duplicate Key]])</f>
        <v>1</v>
      </c>
    </row>
    <row r="5020" spans="1:10">
      <c r="A5020" s="7">
        <v>3</v>
      </c>
      <c r="B5020" s="8" t="s">
        <v>898</v>
      </c>
      <c r="C5020" s="8" t="s">
        <v>899</v>
      </c>
      <c r="D5020" s="7">
        <v>1</v>
      </c>
      <c r="E5020" s="7">
        <v>91</v>
      </c>
      <c r="F5020" s="7">
        <v>2</v>
      </c>
      <c r="G5020" s="8" t="s">
        <v>5690</v>
      </c>
      <c r="H5020" s="8" t="s">
        <v>5691</v>
      </c>
      <c r="I5020" s="7" t="str">
        <f>_xlfn.CONCAT(Paper_Reference[[#This Row],[Lvl]:[Paper Description]])</f>
        <v>3QUBDIGHWYPPK2Q HWY66 W BLOND LANE PK1912100DS009-6200FROSTY WHITE</v>
      </c>
      <c r="J5020" s="7">
        <f>COUNTIF(Paper_Reference[Duplicate Key],Paper_Reference[[#This Row],[Duplicate Key]])</f>
        <v>1</v>
      </c>
    </row>
    <row r="5021" spans="1:10">
      <c r="A5021" s="7">
        <v>3</v>
      </c>
      <c r="B5021" s="8" t="s">
        <v>6526</v>
      </c>
      <c r="C5021" s="8" t="s">
        <v>6001</v>
      </c>
      <c r="D5021" s="7">
        <v>1</v>
      </c>
      <c r="E5021" s="7">
        <v>91</v>
      </c>
      <c r="F5021" s="7">
        <v>2</v>
      </c>
      <c r="G5021" s="8" t="s">
        <v>5690</v>
      </c>
      <c r="H5021" s="8" t="s">
        <v>5691</v>
      </c>
      <c r="I5021" s="7" t="str">
        <f>_xlfn.CONCAT(Paper_Reference[[#This Row],[Lvl]:[Paper Description]])</f>
        <v>3QUBDIGHWYPPK3Q HWY66 A BIRDS LANE PK1912100DS009-6200FROSTY WHITE</v>
      </c>
      <c r="J5021" s="7">
        <f>COUNTIF(Paper_Reference[Duplicate Key],Paper_Reference[[#This Row],[Duplicate Key]])</f>
        <v>1</v>
      </c>
    </row>
    <row r="5022" spans="1:10">
      <c r="A5022" s="7">
        <v>3</v>
      </c>
      <c r="B5022" s="8" t="s">
        <v>895</v>
      </c>
      <c r="C5022" s="8" t="s">
        <v>896</v>
      </c>
      <c r="D5022" s="7">
        <v>1</v>
      </c>
      <c r="E5022" s="7">
        <v>91</v>
      </c>
      <c r="F5022" s="7">
        <v>8</v>
      </c>
      <c r="G5022" s="8" t="s">
        <v>2144</v>
      </c>
      <c r="H5022" s="8" t="s">
        <v>1242</v>
      </c>
      <c r="I5022" s="7" t="str">
        <f>_xlfn.CONCAT(Paper_Reference[[#This Row],[Lvl]:[Paper Description]])</f>
        <v>3QUBDIGHWYPPK4Q HWY66 FWEST LANE PK191810000020-6200Premium Inkjet MPK 9653</v>
      </c>
      <c r="J5022" s="7">
        <f>COUNTIF(Paper_Reference[Duplicate Key],Paper_Reference[[#This Row],[Duplicate Key]])</f>
        <v>1</v>
      </c>
    </row>
    <row r="5023" spans="1:10">
      <c r="A5023" s="7">
        <v>3</v>
      </c>
      <c r="B5023" s="8" t="s">
        <v>2800</v>
      </c>
      <c r="C5023" s="8" t="s">
        <v>2314</v>
      </c>
      <c r="D5023" s="7">
        <v>1</v>
      </c>
      <c r="E5023" s="7">
        <v>91</v>
      </c>
      <c r="F5023" s="7">
        <v>2</v>
      </c>
      <c r="G5023" s="8" t="s">
        <v>2144</v>
      </c>
      <c r="H5023" s="8" t="s">
        <v>1242</v>
      </c>
      <c r="I5023" s="7" t="str">
        <f>_xlfn.CONCAT(Paper_Reference[[#This Row],[Lvl]:[Paper Description]])</f>
        <v>3QUBDIGHWYPPK5Q HWY66 C BURST LANE PK191210000020-6200Premium Inkjet MPK 9653</v>
      </c>
      <c r="J5023" s="7">
        <f>COUNTIF(Paper_Reference[Duplicate Key],Paper_Reference[[#This Row],[Duplicate Key]])</f>
        <v>1</v>
      </c>
    </row>
    <row r="5024" spans="1:10">
      <c r="A5024" s="7">
        <v>3</v>
      </c>
      <c r="B5024" s="8" t="s">
        <v>6527</v>
      </c>
      <c r="C5024" s="8" t="s">
        <v>6002</v>
      </c>
      <c r="D5024" s="7">
        <v>1</v>
      </c>
      <c r="E5024" s="7">
        <v>91</v>
      </c>
      <c r="F5024" s="7">
        <v>1</v>
      </c>
      <c r="G5024" s="8" t="s">
        <v>5690</v>
      </c>
      <c r="H5024" s="8" t="s">
        <v>5691</v>
      </c>
      <c r="I5024" s="7" t="str">
        <f>_xlfn.CONCAT(Paper_Reference[[#This Row],[Lvl]:[Paper Description]])</f>
        <v>3QUBDIGHWYPPK6Q HWY66 MONSTER LANE PK1911100DS009-6200FROSTY WHITE</v>
      </c>
      <c r="J5024" s="7">
        <f>COUNTIF(Paper_Reference[Duplicate Key],Paper_Reference[[#This Row],[Duplicate Key]])</f>
        <v>1</v>
      </c>
    </row>
    <row r="5025" spans="1:10">
      <c r="A5025" s="7">
        <v>3</v>
      </c>
      <c r="B5025" s="8" t="s">
        <v>841</v>
      </c>
      <c r="C5025" s="8" t="s">
        <v>842</v>
      </c>
      <c r="D5025" s="7">
        <v>1</v>
      </c>
      <c r="E5025" s="7">
        <v>91</v>
      </c>
      <c r="F5025" s="7">
        <v>1</v>
      </c>
      <c r="G5025" s="8" t="s">
        <v>2144</v>
      </c>
      <c r="H5025" s="8" t="s">
        <v>1242</v>
      </c>
      <c r="I5025" s="7" t="str">
        <f>_xlfn.CONCAT(Paper_Reference[[#This Row],[Lvl]:[Paper Description]])</f>
        <v>3QUBDIGHWYPPK7Q HWY66 COMP LANE PK191110000020-6200Premium Inkjet MPK 9653</v>
      </c>
      <c r="J5025" s="7">
        <f>COUNTIF(Paper_Reference[Duplicate Key],Paper_Reference[[#This Row],[Duplicate Key]])</f>
        <v>1</v>
      </c>
    </row>
    <row r="5026" spans="1:10">
      <c r="A5026" s="7">
        <v>3</v>
      </c>
      <c r="B5026" s="8" t="s">
        <v>6528</v>
      </c>
      <c r="C5026" s="8" t="s">
        <v>6003</v>
      </c>
      <c r="D5026" s="7">
        <v>1</v>
      </c>
      <c r="E5026" s="7">
        <v>91</v>
      </c>
      <c r="F5026" s="7">
        <v>2</v>
      </c>
      <c r="G5026" s="8" t="s">
        <v>5690</v>
      </c>
      <c r="H5026" s="8" t="s">
        <v>5691</v>
      </c>
      <c r="I5026" s="7" t="str">
        <f>_xlfn.CONCAT(Paper_Reference[[#This Row],[Lvl]:[Paper Description]])</f>
        <v>3QUBDIGHWYPPK8Q HWY66 VINTAGE LANE PK1912100DS009-6200FROSTY WHITE</v>
      </c>
      <c r="J5026" s="7">
        <f>COUNTIF(Paper_Reference[Duplicate Key],Paper_Reference[[#This Row],[Duplicate Key]])</f>
        <v>1</v>
      </c>
    </row>
    <row r="5027" spans="1:10">
      <c r="A5027" s="7">
        <v>3</v>
      </c>
      <c r="B5027" s="8" t="s">
        <v>6529</v>
      </c>
      <c r="C5027" s="8" t="s">
        <v>6004</v>
      </c>
      <c r="D5027" s="7">
        <v>1</v>
      </c>
      <c r="E5027" s="7">
        <v>91</v>
      </c>
      <c r="F5027" s="7">
        <v>8</v>
      </c>
      <c r="G5027" s="8" t="s">
        <v>5690</v>
      </c>
      <c r="H5027" s="8" t="s">
        <v>5691</v>
      </c>
      <c r="I5027" s="7" t="str">
        <f>_xlfn.CONCAT(Paper_Reference[[#This Row],[Lvl]:[Paper Description]])</f>
        <v>3QUBDIGHWYPPK9Q HWY66 JUKE LANE PK1918100DS009-6200FROSTY WHITE</v>
      </c>
      <c r="J5027" s="7">
        <f>COUNTIF(Paper_Reference[Duplicate Key],Paper_Reference[[#This Row],[Duplicate Key]])</f>
        <v>1</v>
      </c>
    </row>
    <row r="5028" spans="1:10">
      <c r="A5028" s="7">
        <v>3</v>
      </c>
      <c r="B5028" s="8" t="s">
        <v>2801</v>
      </c>
      <c r="C5028" s="8" t="s">
        <v>2315</v>
      </c>
      <c r="D5028" s="7">
        <v>1</v>
      </c>
      <c r="E5028" s="7">
        <v>91</v>
      </c>
      <c r="F5028" s="7">
        <v>1</v>
      </c>
      <c r="G5028" s="8" t="s">
        <v>2144</v>
      </c>
      <c r="H5028" s="8" t="s">
        <v>1242</v>
      </c>
      <c r="I5028" s="7" t="str">
        <f>_xlfn.CONCAT(Paper_Reference[[#This Row],[Lvl]:[Paper Description]])</f>
        <v>3QUBDKPINMBPK1Q DIG DK/PIN MID BLK LP191110000020-6200Premium Inkjet MPK 9653</v>
      </c>
      <c r="J5028" s="7">
        <f>COUNTIF(Paper_Reference[Duplicate Key],Paper_Reference[[#This Row],[Duplicate Key]])</f>
        <v>1</v>
      </c>
    </row>
    <row r="5029" spans="1:10">
      <c r="A5029" s="7">
        <v>3</v>
      </c>
      <c r="B5029" s="8" t="s">
        <v>2802</v>
      </c>
      <c r="C5029" s="8" t="s">
        <v>2316</v>
      </c>
      <c r="D5029" s="7">
        <v>1</v>
      </c>
      <c r="E5029" s="7">
        <v>91</v>
      </c>
      <c r="F5029" s="7">
        <v>2</v>
      </c>
      <c r="G5029" s="8" t="s">
        <v>2144</v>
      </c>
      <c r="H5029" s="8" t="s">
        <v>1242</v>
      </c>
      <c r="I5029" s="7" t="str">
        <f>_xlfn.CONCAT(Paper_Reference[[#This Row],[Lvl]:[Paper Description]])</f>
        <v>3QUBDKPINQBPK1Q DIG DK/PIN 3QTR BLK LP191210000020-6200Premium Inkjet MPK 9653</v>
      </c>
      <c r="J5029" s="7">
        <f>COUNTIF(Paper_Reference[Duplicate Key],Paper_Reference[[#This Row],[Duplicate Key]])</f>
        <v>1</v>
      </c>
    </row>
    <row r="5030" spans="1:10">
      <c r="A5030" s="7">
        <v>3</v>
      </c>
      <c r="B5030" s="8" t="s">
        <v>2803</v>
      </c>
      <c r="C5030" s="8" t="s">
        <v>2317</v>
      </c>
      <c r="D5030" s="7">
        <v>1</v>
      </c>
      <c r="E5030" s="7">
        <v>91</v>
      </c>
      <c r="F5030" s="7">
        <v>1</v>
      </c>
      <c r="G5030" s="8" t="s">
        <v>2144</v>
      </c>
      <c r="H5030" s="8" t="s">
        <v>1242</v>
      </c>
      <c r="I5030" s="7" t="str">
        <f>_xlfn.CONCAT(Paper_Reference[[#This Row],[Lvl]:[Paper Description]])</f>
        <v>3QUBDKPINSBPK1Q DIG DK/PIN STD BLK LP191110000020-6200Premium Inkjet MPK 9653</v>
      </c>
      <c r="J5030" s="7">
        <f>COUNTIF(Paper_Reference[Duplicate Key],Paper_Reference[[#This Row],[Duplicate Key]])</f>
        <v>1</v>
      </c>
    </row>
    <row r="5031" spans="1:10">
      <c r="A5031" s="7">
        <v>4</v>
      </c>
      <c r="B5031" s="8" t="s">
        <v>9623</v>
      </c>
      <c r="C5031" s="8" t="s">
        <v>8712</v>
      </c>
      <c r="D5031" s="7">
        <v>1</v>
      </c>
      <c r="E5031" s="7">
        <v>91</v>
      </c>
      <c r="F5031" s="7">
        <v>1</v>
      </c>
      <c r="G5031" s="8" t="s">
        <v>9143</v>
      </c>
      <c r="H5031" s="8" t="s">
        <v>9144</v>
      </c>
      <c r="I5031" s="30" t="str">
        <f>_xlfn.CONCAT(Paper_Reference[[#This Row],[Lvl]:[Paper Description]])</f>
        <v>4QUBPFA39PPK1Q PFA39 SING C/BLUES 2 LP1911100PFA39-6200SINGING THE CHICAGO BLUES</v>
      </c>
      <c r="J5031" s="30">
        <f>COUNTIF(Paper_Reference[Duplicate Key],Paper_Reference[[#This Row],[Duplicate Key]])</f>
        <v>1</v>
      </c>
    </row>
    <row r="5032" spans="1:10">
      <c r="A5032" s="7">
        <v>4</v>
      </c>
      <c r="B5032" s="8" t="s">
        <v>9623</v>
      </c>
      <c r="C5032" s="8" t="s">
        <v>8712</v>
      </c>
      <c r="D5032" s="7">
        <v>1</v>
      </c>
      <c r="E5032" s="7">
        <v>91</v>
      </c>
      <c r="F5032" s="7">
        <v>2</v>
      </c>
      <c r="G5032" s="8" t="s">
        <v>9143</v>
      </c>
      <c r="H5032" s="8" t="s">
        <v>9144</v>
      </c>
      <c r="I5032" s="30" t="str">
        <f>_xlfn.CONCAT(Paper_Reference[[#This Row],[Lvl]:[Paper Description]])</f>
        <v>4QUBPFA39PPK1Q PFA39 SING C/BLUES 2 LP1912100PFA39-6200SINGING THE CHICAGO BLUES</v>
      </c>
      <c r="J5032" s="30">
        <f>COUNTIF(Paper_Reference[Duplicate Key],Paper_Reference[[#This Row],[Duplicate Key]])</f>
        <v>1</v>
      </c>
    </row>
    <row r="5033" spans="1:10">
      <c r="A5033" s="7">
        <v>4</v>
      </c>
      <c r="B5033" s="8" t="s">
        <v>9623</v>
      </c>
      <c r="C5033" s="8" t="s">
        <v>8712</v>
      </c>
      <c r="D5033" s="7">
        <v>1</v>
      </c>
      <c r="E5033" s="7">
        <v>91</v>
      </c>
      <c r="F5033" s="7">
        <v>6</v>
      </c>
      <c r="G5033" s="8" t="s">
        <v>9143</v>
      </c>
      <c r="H5033" s="8" t="s">
        <v>9144</v>
      </c>
      <c r="I5033" s="30" t="str">
        <f>_xlfn.CONCAT(Paper_Reference[[#This Row],[Lvl]:[Paper Description]])</f>
        <v>4QUBPFA39PPK1Q PFA39 SING C/BLUES 2 LP1916100PFA39-6200SINGING THE CHICAGO BLUES</v>
      </c>
      <c r="J5033" s="30">
        <f>COUNTIF(Paper_Reference[Duplicate Key],Paper_Reference[[#This Row],[Duplicate Key]])</f>
        <v>1</v>
      </c>
    </row>
    <row r="5034" spans="1:10">
      <c r="A5034" s="7">
        <v>4</v>
      </c>
      <c r="B5034" s="8" t="s">
        <v>8711</v>
      </c>
      <c r="C5034" s="8" t="s">
        <v>8712</v>
      </c>
      <c r="D5034" s="7">
        <v>1</v>
      </c>
      <c r="E5034" s="7">
        <v>91</v>
      </c>
      <c r="F5034" s="7">
        <v>1</v>
      </c>
      <c r="G5034" s="8" t="s">
        <v>9143</v>
      </c>
      <c r="H5034" s="8" t="s">
        <v>9144</v>
      </c>
      <c r="I5034" s="30" t="str">
        <f>_xlfn.CONCAT(Paper_Reference[[#This Row],[Lvl]:[Paper Description]])</f>
        <v>4QUBPFA39PPK2Q PFA39 SING C/BLUES 2 LP1911100PFA39-6200SINGING THE CHICAGO BLUES</v>
      </c>
      <c r="J5034" s="30">
        <f>COUNTIF(Paper_Reference[Duplicate Key],Paper_Reference[[#This Row],[Duplicate Key]])</f>
        <v>1</v>
      </c>
    </row>
    <row r="5035" spans="1:10">
      <c r="A5035" s="7">
        <v>4</v>
      </c>
      <c r="B5035" s="8" t="s">
        <v>8711</v>
      </c>
      <c r="C5035" s="8" t="s">
        <v>8712</v>
      </c>
      <c r="D5035" s="7">
        <v>1</v>
      </c>
      <c r="E5035" s="7">
        <v>91</v>
      </c>
      <c r="F5035" s="7">
        <v>2</v>
      </c>
      <c r="G5035" s="8" t="s">
        <v>9143</v>
      </c>
      <c r="H5035" s="8" t="s">
        <v>9144</v>
      </c>
      <c r="I5035" s="30" t="str">
        <f>_xlfn.CONCAT(Paper_Reference[[#This Row],[Lvl]:[Paper Description]])</f>
        <v>4QUBPFA39PPK2Q PFA39 SING C/BLUES 2 LP1912100PFA39-6200SINGING THE CHICAGO BLUES</v>
      </c>
      <c r="J5035" s="30">
        <f>COUNTIF(Paper_Reference[Duplicate Key],Paper_Reference[[#This Row],[Duplicate Key]])</f>
        <v>1</v>
      </c>
    </row>
    <row r="5036" spans="1:10">
      <c r="A5036" s="7">
        <v>4</v>
      </c>
      <c r="B5036" s="8" t="s">
        <v>8711</v>
      </c>
      <c r="C5036" s="8" t="s">
        <v>8712</v>
      </c>
      <c r="D5036" s="7">
        <v>1</v>
      </c>
      <c r="E5036" s="7">
        <v>91</v>
      </c>
      <c r="F5036" s="7">
        <v>6</v>
      </c>
      <c r="G5036" s="8" t="s">
        <v>9143</v>
      </c>
      <c r="H5036" s="8" t="s">
        <v>9144</v>
      </c>
      <c r="I5036" s="30" t="str">
        <f>_xlfn.CONCAT(Paper_Reference[[#This Row],[Lvl]:[Paper Description]])</f>
        <v>4QUBPFA39PPK2Q PFA39 SING C/BLUES 2 LP1916100PFA39-6200SINGING THE CHICAGO BLUES</v>
      </c>
      <c r="J5036" s="30">
        <f>COUNTIF(Paper_Reference[Duplicate Key],Paper_Reference[[#This Row],[Duplicate Key]])</f>
        <v>1</v>
      </c>
    </row>
    <row r="5037" spans="1:10">
      <c r="A5037" s="7">
        <v>4</v>
      </c>
      <c r="B5037" s="8" t="s">
        <v>9642</v>
      </c>
      <c r="C5037" s="8" t="s">
        <v>9464</v>
      </c>
      <c r="D5037" s="7">
        <v>1</v>
      </c>
      <c r="E5037" s="7">
        <v>91</v>
      </c>
      <c r="F5037" s="7">
        <v>1</v>
      </c>
      <c r="G5037" s="8" t="s">
        <v>9143</v>
      </c>
      <c r="H5037" s="8" t="s">
        <v>9144</v>
      </c>
      <c r="I5037" s="30" t="str">
        <f>_xlfn.CONCAT(Paper_Reference[[#This Row],[Lvl]:[Paper Description]])</f>
        <v>4QUBPFA39PPK3Q PFA39 SING C/BLUES LEFT LP1911100PFA39-6200SINGING THE CHICAGO BLUES</v>
      </c>
      <c r="J5037" s="30">
        <f>COUNTIF(Paper_Reference[Duplicate Key],Paper_Reference[[#This Row],[Duplicate Key]])</f>
        <v>1</v>
      </c>
    </row>
    <row r="5038" spans="1:10">
      <c r="A5038" s="7">
        <v>4</v>
      </c>
      <c r="B5038" s="8" t="s">
        <v>9642</v>
      </c>
      <c r="C5038" s="8" t="s">
        <v>9464</v>
      </c>
      <c r="D5038" s="7">
        <v>1</v>
      </c>
      <c r="E5038" s="7">
        <v>91</v>
      </c>
      <c r="F5038" s="7">
        <v>3</v>
      </c>
      <c r="G5038" s="8" t="s">
        <v>9143</v>
      </c>
      <c r="H5038" s="8" t="s">
        <v>9144</v>
      </c>
      <c r="I5038" s="30" t="str">
        <f>_xlfn.CONCAT(Paper_Reference[[#This Row],[Lvl]:[Paper Description]])</f>
        <v>4QUBPFA39PPK3Q PFA39 SING C/BLUES LEFT LP1913100PFA39-6200SINGING THE CHICAGO BLUES</v>
      </c>
      <c r="J5038" s="30">
        <f>COUNTIF(Paper_Reference[Duplicate Key],Paper_Reference[[#This Row],[Duplicate Key]])</f>
        <v>1</v>
      </c>
    </row>
    <row r="5039" spans="1:10">
      <c r="A5039" s="7">
        <v>4</v>
      </c>
      <c r="B5039" s="8" t="s">
        <v>9643</v>
      </c>
      <c r="C5039" s="8" t="s">
        <v>9466</v>
      </c>
      <c r="D5039" s="7">
        <v>1</v>
      </c>
      <c r="E5039" s="7">
        <v>91</v>
      </c>
      <c r="F5039" s="7">
        <v>1</v>
      </c>
      <c r="G5039" s="8" t="s">
        <v>9143</v>
      </c>
      <c r="H5039" s="8" t="s">
        <v>9144</v>
      </c>
      <c r="I5039" s="30" t="str">
        <f>_xlfn.CONCAT(Paper_Reference[[#This Row],[Lvl]:[Paper Description]])</f>
        <v>4QUBPFA39PPK4Q PFA39 SING C/BLUES RIGHT LP1911100PFA39-6200SINGING THE CHICAGO BLUES</v>
      </c>
      <c r="J5039" s="30">
        <f>COUNTIF(Paper_Reference[Duplicate Key],Paper_Reference[[#This Row],[Duplicate Key]])</f>
        <v>1</v>
      </c>
    </row>
    <row r="5040" spans="1:10">
      <c r="A5040" s="7">
        <v>4</v>
      </c>
      <c r="B5040" s="8" t="s">
        <v>9643</v>
      </c>
      <c r="C5040" s="8" t="s">
        <v>9466</v>
      </c>
      <c r="D5040" s="7">
        <v>1</v>
      </c>
      <c r="E5040" s="7">
        <v>91</v>
      </c>
      <c r="F5040" s="7">
        <v>3</v>
      </c>
      <c r="G5040" s="8" t="s">
        <v>9143</v>
      </c>
      <c r="H5040" s="8" t="s">
        <v>9144</v>
      </c>
      <c r="I5040" s="30" t="str">
        <f>_xlfn.CONCAT(Paper_Reference[[#This Row],[Lvl]:[Paper Description]])</f>
        <v>4QUBPFA39PPK4Q PFA39 SING C/BLUES RIGHT LP1913100PFA39-6200SINGING THE CHICAGO BLUES</v>
      </c>
      <c r="J5040" s="30">
        <f>COUNTIF(Paper_Reference[Duplicate Key],Paper_Reference[[#This Row],[Duplicate Key]])</f>
        <v>1</v>
      </c>
    </row>
    <row r="5041" spans="1:10">
      <c r="A5041" s="7">
        <v>4</v>
      </c>
      <c r="B5041" s="8" t="s">
        <v>9644</v>
      </c>
      <c r="C5041" s="8" t="s">
        <v>9468</v>
      </c>
      <c r="D5041" s="7">
        <v>1</v>
      </c>
      <c r="E5041" s="7">
        <v>91</v>
      </c>
      <c r="F5041" s="7">
        <v>1</v>
      </c>
      <c r="G5041" s="8" t="s">
        <v>9143</v>
      </c>
      <c r="H5041" s="8" t="s">
        <v>9144</v>
      </c>
      <c r="I5041" s="30" t="str">
        <f>_xlfn.CONCAT(Paper_Reference[[#This Row],[Lvl]:[Paper Description]])</f>
        <v>4QUBPFA39PPK5Q PFA39 SING C/BLUES CG 2 LP1911100PFA39-6200SINGING THE CHICAGO BLUES</v>
      </c>
      <c r="J5041" s="30">
        <f>COUNTIF(Paper_Reference[Duplicate Key],Paper_Reference[[#This Row],[Duplicate Key]])</f>
        <v>1</v>
      </c>
    </row>
    <row r="5042" spans="1:10">
      <c r="A5042" s="7">
        <v>4</v>
      </c>
      <c r="B5042" s="8" t="s">
        <v>9644</v>
      </c>
      <c r="C5042" s="8" t="s">
        <v>9468</v>
      </c>
      <c r="D5042" s="7">
        <v>1</v>
      </c>
      <c r="E5042" s="7">
        <v>91</v>
      </c>
      <c r="F5042" s="7">
        <v>2</v>
      </c>
      <c r="G5042" s="8" t="s">
        <v>9143</v>
      </c>
      <c r="H5042" s="8" t="s">
        <v>9144</v>
      </c>
      <c r="I5042" s="30" t="str">
        <f>_xlfn.CONCAT(Paper_Reference[[#This Row],[Lvl]:[Paper Description]])</f>
        <v>4QUBPFA39PPK5Q PFA39 SING C/BLUES CG 2 LP1912100PFA39-6200SINGING THE CHICAGO BLUES</v>
      </c>
      <c r="J5042" s="30">
        <f>COUNTIF(Paper_Reference[Duplicate Key],Paper_Reference[[#This Row],[Duplicate Key]])</f>
        <v>1</v>
      </c>
    </row>
    <row r="5043" spans="1:10">
      <c r="A5043" s="7">
        <v>4</v>
      </c>
      <c r="B5043" s="8" t="s">
        <v>9644</v>
      </c>
      <c r="C5043" s="8" t="s">
        <v>9468</v>
      </c>
      <c r="D5043" s="7">
        <v>1</v>
      </c>
      <c r="E5043" s="7">
        <v>91</v>
      </c>
      <c r="F5043" s="7">
        <v>6</v>
      </c>
      <c r="G5043" s="8" t="s">
        <v>9143</v>
      </c>
      <c r="H5043" s="8" t="s">
        <v>9144</v>
      </c>
      <c r="I5043" s="30" t="str">
        <f>_xlfn.CONCAT(Paper_Reference[[#This Row],[Lvl]:[Paper Description]])</f>
        <v>4QUBPFA39PPK5Q PFA39 SING C/BLUES CG 2 LP1916100PFA39-6200SINGING THE CHICAGO BLUES</v>
      </c>
      <c r="J5043" s="30">
        <f>COUNTIF(Paper_Reference[Duplicate Key],Paper_Reference[[#This Row],[Duplicate Key]])</f>
        <v>1</v>
      </c>
    </row>
    <row r="5044" spans="1:10">
      <c r="A5044" s="7">
        <v>4</v>
      </c>
      <c r="B5044" s="8" t="s">
        <v>9646</v>
      </c>
      <c r="C5044" s="8" t="s">
        <v>9474</v>
      </c>
      <c r="D5044" s="7">
        <v>1</v>
      </c>
      <c r="E5044" s="7">
        <v>91</v>
      </c>
      <c r="F5044" s="7">
        <v>1</v>
      </c>
      <c r="G5044" s="8" t="s">
        <v>9143</v>
      </c>
      <c r="H5044" s="8" t="s">
        <v>9144</v>
      </c>
      <c r="I5044" s="30" t="str">
        <f>_xlfn.CONCAT(Paper_Reference[[#This Row],[Lvl]:[Paper Description]])</f>
        <v>4QUBPFA39PPK6Q PFA39 SING C/BLUES CG LEFT L1911100PFA39-6200SINGING THE CHICAGO BLUES</v>
      </c>
      <c r="J5044" s="30">
        <f>COUNTIF(Paper_Reference[Duplicate Key],Paper_Reference[[#This Row],[Duplicate Key]])</f>
        <v>1</v>
      </c>
    </row>
    <row r="5045" spans="1:10">
      <c r="A5045" s="7">
        <v>4</v>
      </c>
      <c r="B5045" s="8" t="s">
        <v>9646</v>
      </c>
      <c r="C5045" s="8" t="s">
        <v>9474</v>
      </c>
      <c r="D5045" s="7">
        <v>1</v>
      </c>
      <c r="E5045" s="7">
        <v>91</v>
      </c>
      <c r="F5045" s="7">
        <v>3</v>
      </c>
      <c r="G5045" s="8" t="s">
        <v>9143</v>
      </c>
      <c r="H5045" s="8" t="s">
        <v>9144</v>
      </c>
      <c r="I5045" s="30" t="str">
        <f>_xlfn.CONCAT(Paper_Reference[[#This Row],[Lvl]:[Paper Description]])</f>
        <v>4QUBPFA39PPK6Q PFA39 SING C/BLUES CG LEFT L1913100PFA39-6200SINGING THE CHICAGO BLUES</v>
      </c>
      <c r="J5045" s="30">
        <f>COUNTIF(Paper_Reference[Duplicate Key],Paper_Reference[[#This Row],[Duplicate Key]])</f>
        <v>1</v>
      </c>
    </row>
    <row r="5046" spans="1:10">
      <c r="A5046" s="7">
        <v>4</v>
      </c>
      <c r="B5046" s="8" t="s">
        <v>9647</v>
      </c>
      <c r="C5046" s="8" t="s">
        <v>9476</v>
      </c>
      <c r="D5046" s="7">
        <v>1</v>
      </c>
      <c r="E5046" s="7">
        <v>91</v>
      </c>
      <c r="F5046" s="7">
        <v>1</v>
      </c>
      <c r="G5046" s="8" t="s">
        <v>9143</v>
      </c>
      <c r="H5046" s="8" t="s">
        <v>9144</v>
      </c>
      <c r="I5046" s="30" t="str">
        <f>_xlfn.CONCAT(Paper_Reference[[#This Row],[Lvl]:[Paper Description]])</f>
        <v>4QUBPFA39PPK7Q PFA39 SING C/BLUES CG R LP1911100PFA39-6200SINGING THE CHICAGO BLUES</v>
      </c>
      <c r="J5046" s="30">
        <f>COUNTIF(Paper_Reference[Duplicate Key],Paper_Reference[[#This Row],[Duplicate Key]])</f>
        <v>1</v>
      </c>
    </row>
    <row r="5047" spans="1:10">
      <c r="A5047" s="7">
        <v>4</v>
      </c>
      <c r="B5047" s="8" t="s">
        <v>9647</v>
      </c>
      <c r="C5047" s="8" t="s">
        <v>9476</v>
      </c>
      <c r="D5047" s="7">
        <v>1</v>
      </c>
      <c r="E5047" s="7">
        <v>91</v>
      </c>
      <c r="F5047" s="7">
        <v>3</v>
      </c>
      <c r="G5047" s="8" t="s">
        <v>9143</v>
      </c>
      <c r="H5047" s="8" t="s">
        <v>9144</v>
      </c>
      <c r="I5047" s="30" t="str">
        <f>_xlfn.CONCAT(Paper_Reference[[#This Row],[Lvl]:[Paper Description]])</f>
        <v>4QUBPFA39PPK7Q PFA39 SING C/BLUES CG R LP1913100PFA39-6200SINGING THE CHICAGO BLUES</v>
      </c>
      <c r="J5047" s="30">
        <f>COUNTIF(Paper_Reference[Duplicate Key],Paper_Reference[[#This Row],[Duplicate Key]])</f>
        <v>1</v>
      </c>
    </row>
    <row r="5048" spans="1:10">
      <c r="A5048" s="7">
        <v>3</v>
      </c>
      <c r="B5048" s="8" t="s">
        <v>1201</v>
      </c>
      <c r="C5048" s="8" t="s">
        <v>1184</v>
      </c>
      <c r="D5048" s="7">
        <v>1</v>
      </c>
      <c r="E5048" s="7">
        <v>91</v>
      </c>
      <c r="F5048" s="7">
        <v>1</v>
      </c>
      <c r="G5048" s="8" t="s">
        <v>979</v>
      </c>
      <c r="H5048" s="8" t="s">
        <v>987</v>
      </c>
      <c r="I5048" s="7" t="str">
        <f>_xlfn.CONCAT(Paper_Reference[[#This Row],[Lvl]:[Paper Description]])</f>
        <v>3QUBUSTMADPK22Q UV UST MAD LANE PACK1911100WM521-6200OPEN MAPLE LANE (L)</v>
      </c>
      <c r="J5048" s="7">
        <f>COUNTIF(Paper_Reference[Duplicate Key],Paper_Reference[[#This Row],[Duplicate Key]])</f>
        <v>1</v>
      </c>
    </row>
    <row r="5049" spans="1:10">
      <c r="A5049" s="7">
        <v>3</v>
      </c>
      <c r="B5049" s="8" t="s">
        <v>1201</v>
      </c>
      <c r="C5049" s="8" t="s">
        <v>1184</v>
      </c>
      <c r="D5049" s="7">
        <v>1</v>
      </c>
      <c r="E5049" s="7">
        <v>91</v>
      </c>
      <c r="F5049" s="7">
        <v>6</v>
      </c>
      <c r="G5049" s="8" t="s">
        <v>978</v>
      </c>
      <c r="H5049" s="8" t="s">
        <v>986</v>
      </c>
      <c r="I5049" s="7" t="str">
        <f>_xlfn.CONCAT(Paper_Reference[[#This Row],[Lvl]:[Paper Description]])</f>
        <v>3QUBUSTMADPK22Q UV UST MAD LANE PACK1916100WM511-4300OPEN MAPLE LANE (C)</v>
      </c>
      <c r="J5049" s="7">
        <f>COUNTIF(Paper_Reference[Duplicate Key],Paper_Reference[[#This Row],[Duplicate Key]])</f>
        <v>1</v>
      </c>
    </row>
    <row r="5050" spans="1:10">
      <c r="A5050" s="7">
        <v>4</v>
      </c>
      <c r="B5050" s="8" t="s">
        <v>1201</v>
      </c>
      <c r="C5050" s="8" t="s">
        <v>1184</v>
      </c>
      <c r="D5050" s="7">
        <v>1</v>
      </c>
      <c r="E5050" s="7">
        <v>91</v>
      </c>
      <c r="F5050" s="7">
        <v>1</v>
      </c>
      <c r="G5050" s="8" t="s">
        <v>980</v>
      </c>
      <c r="H5050" s="8" t="s">
        <v>988</v>
      </c>
      <c r="I5050" s="7" t="str">
        <f>_xlfn.CONCAT(Paper_Reference[[#This Row],[Lvl]:[Paper Description]])</f>
        <v>4QUBUSTMADPK22Q UV UST MAD LANE PACK1911100WM531-6200OPEN MAPLE LANE (R)</v>
      </c>
      <c r="J5050" s="7">
        <f>COUNTIF(Paper_Reference[Duplicate Key],Paper_Reference[[#This Row],[Duplicate Key]])</f>
        <v>1</v>
      </c>
    </row>
    <row r="5051" spans="1:10">
      <c r="A5051" s="7">
        <v>3</v>
      </c>
      <c r="B5051" s="8" t="s">
        <v>1202</v>
      </c>
      <c r="C5051" s="8" t="s">
        <v>1185</v>
      </c>
      <c r="D5051" s="7">
        <v>1</v>
      </c>
      <c r="E5051" s="7">
        <v>91</v>
      </c>
      <c r="F5051" s="7">
        <v>1</v>
      </c>
      <c r="G5051" s="8" t="s">
        <v>979</v>
      </c>
      <c r="H5051" s="8" t="s">
        <v>987</v>
      </c>
      <c r="I5051" s="7" t="str">
        <f>_xlfn.CONCAT(Paper_Reference[[#This Row],[Lvl]:[Paper Description]])</f>
        <v>3QUBUVDREPPK20Q UV DREAM LANE PACK1911100WM521-6200OPEN MAPLE LANE (L)</v>
      </c>
      <c r="J5051" s="7">
        <f>COUNTIF(Paper_Reference[Duplicate Key],Paper_Reference[[#This Row],[Duplicate Key]])</f>
        <v>1</v>
      </c>
    </row>
    <row r="5052" spans="1:10">
      <c r="A5052" s="7">
        <v>3</v>
      </c>
      <c r="B5052" s="8" t="s">
        <v>1202</v>
      </c>
      <c r="C5052" s="8" t="s">
        <v>1185</v>
      </c>
      <c r="D5052" s="7">
        <v>1</v>
      </c>
      <c r="E5052" s="7">
        <v>91</v>
      </c>
      <c r="F5052" s="7">
        <v>6</v>
      </c>
      <c r="G5052" s="8" t="s">
        <v>978</v>
      </c>
      <c r="H5052" s="8" t="s">
        <v>986</v>
      </c>
      <c r="I5052" s="7" t="str">
        <f>_xlfn.CONCAT(Paper_Reference[[#This Row],[Lvl]:[Paper Description]])</f>
        <v>3QUBUVDREPPK20Q UV DREAM LANE PACK1916100WM511-4300OPEN MAPLE LANE (C)</v>
      </c>
      <c r="J5052" s="7">
        <f>COUNTIF(Paper_Reference[Duplicate Key],Paper_Reference[[#This Row],[Duplicate Key]])</f>
        <v>1</v>
      </c>
    </row>
    <row r="5053" spans="1:10">
      <c r="A5053" s="7">
        <v>4</v>
      </c>
      <c r="B5053" s="8" t="s">
        <v>1202</v>
      </c>
      <c r="C5053" s="8" t="s">
        <v>1185</v>
      </c>
      <c r="D5053" s="7">
        <v>1</v>
      </c>
      <c r="E5053" s="7">
        <v>91</v>
      </c>
      <c r="F5053" s="7">
        <v>1</v>
      </c>
      <c r="G5053" s="8" t="s">
        <v>980</v>
      </c>
      <c r="H5053" s="8" t="s">
        <v>988</v>
      </c>
      <c r="I5053" s="7" t="str">
        <f>_xlfn.CONCAT(Paper_Reference[[#This Row],[Lvl]:[Paper Description]])</f>
        <v>4QUBUVDREPPK20Q UV DREAM LANE PACK1911100WM531-6200OPEN MAPLE LANE (R)</v>
      </c>
      <c r="J5053" s="7">
        <f>COUNTIF(Paper_Reference[Duplicate Key],Paper_Reference[[#This Row],[Duplicate Key]])</f>
        <v>1</v>
      </c>
    </row>
    <row r="5054" spans="1:10">
      <c r="A5054" s="7">
        <v>4</v>
      </c>
      <c r="B5054" s="8" t="s">
        <v>1203</v>
      </c>
      <c r="C5054" s="8" t="s">
        <v>1186</v>
      </c>
      <c r="D5054" s="7">
        <v>1</v>
      </c>
      <c r="E5054" s="7">
        <v>91</v>
      </c>
      <c r="F5054" s="7">
        <v>2</v>
      </c>
      <c r="G5054" s="8" t="s">
        <v>978</v>
      </c>
      <c r="H5054" s="8" t="s">
        <v>986</v>
      </c>
      <c r="I5054" s="7" t="str">
        <f>_xlfn.CONCAT(Paper_Reference[[#This Row],[Lvl]:[Paper Description]])</f>
        <v>4QUBUVSPWPPK11Q SPIDER UV LANE ONLY PK1912100WM511-4300OPEN MAPLE LANE (C)</v>
      </c>
      <c r="J5054" s="7">
        <f>COUNTIF(Paper_Reference[Duplicate Key],Paper_Reference[[#This Row],[Duplicate Key]])</f>
        <v>1</v>
      </c>
    </row>
    <row r="5055" spans="1:10">
      <c r="A5055" s="7">
        <v>3</v>
      </c>
      <c r="B5055" s="8" t="s">
        <v>1204</v>
      </c>
      <c r="C5055" s="8" t="s">
        <v>1187</v>
      </c>
      <c r="D5055" s="7">
        <v>1</v>
      </c>
      <c r="E5055" s="7">
        <v>91</v>
      </c>
      <c r="F5055" s="7">
        <v>1</v>
      </c>
      <c r="G5055" s="8" t="s">
        <v>979</v>
      </c>
      <c r="H5055" s="8" t="s">
        <v>987</v>
      </c>
      <c r="I5055" s="7" t="str">
        <f>_xlfn.CONCAT(Paper_Reference[[#This Row],[Lvl]:[Paper Description]])</f>
        <v>3QUBUVSPWPPK16Q UV SPIDER SINGLE LANE I PK1911100WM521-6200OPEN MAPLE LANE (L)</v>
      </c>
      <c r="J5055" s="7">
        <f>COUNTIF(Paper_Reference[Duplicate Key],Paper_Reference[[#This Row],[Duplicate Key]])</f>
        <v>1</v>
      </c>
    </row>
    <row r="5056" spans="1:10">
      <c r="A5056" s="7">
        <v>4</v>
      </c>
      <c r="B5056" s="8" t="s">
        <v>1204</v>
      </c>
      <c r="C5056" s="8" t="s">
        <v>1187</v>
      </c>
      <c r="D5056" s="7">
        <v>1</v>
      </c>
      <c r="E5056" s="7">
        <v>91</v>
      </c>
      <c r="F5056" s="7">
        <v>1</v>
      </c>
      <c r="G5056" s="8" t="s">
        <v>978</v>
      </c>
      <c r="H5056" s="8" t="s">
        <v>986</v>
      </c>
      <c r="I5056" s="7" t="str">
        <f>_xlfn.CONCAT(Paper_Reference[[#This Row],[Lvl]:[Paper Description]])</f>
        <v>4QUBUVSPWPPK16Q UV SPIDER SINGLE LANE I PK1911100WM511-4300OPEN MAPLE LANE (C)</v>
      </c>
      <c r="J5056" s="7">
        <f>COUNTIF(Paper_Reference[Duplicate Key],Paper_Reference[[#This Row],[Duplicate Key]])</f>
        <v>1</v>
      </c>
    </row>
    <row r="5057" spans="1:10">
      <c r="A5057" s="7">
        <v>3</v>
      </c>
      <c r="B5057" s="8" t="s">
        <v>1205</v>
      </c>
      <c r="C5057" s="8" t="s">
        <v>1188</v>
      </c>
      <c r="D5057" s="7">
        <v>1</v>
      </c>
      <c r="E5057" s="7">
        <v>91</v>
      </c>
      <c r="F5057" s="7">
        <v>1</v>
      </c>
      <c r="G5057" s="8" t="s">
        <v>979</v>
      </c>
      <c r="H5057" s="8" t="s">
        <v>987</v>
      </c>
      <c r="I5057" s="7" t="str">
        <f>_xlfn.CONCAT(Paper_Reference[[#This Row],[Lvl]:[Paper Description]])</f>
        <v>3QUBUVSPWPPK19Q UV SPIDER SINGLE LANE II PK1911100WM521-6200OPEN MAPLE LANE (L)</v>
      </c>
      <c r="J5057" s="7">
        <f>COUNTIF(Paper_Reference[Duplicate Key],Paper_Reference[[#This Row],[Duplicate Key]])</f>
        <v>1</v>
      </c>
    </row>
    <row r="5058" spans="1:10">
      <c r="A5058" s="7">
        <v>3</v>
      </c>
      <c r="B5058" s="8" t="s">
        <v>1205</v>
      </c>
      <c r="C5058" s="8" t="s">
        <v>1188</v>
      </c>
      <c r="D5058" s="7">
        <v>1</v>
      </c>
      <c r="E5058" s="7">
        <v>91</v>
      </c>
      <c r="F5058" s="7">
        <v>3</v>
      </c>
      <c r="G5058" s="8" t="s">
        <v>978</v>
      </c>
      <c r="H5058" s="8" t="s">
        <v>986</v>
      </c>
      <c r="I5058" s="7" t="str">
        <f>_xlfn.CONCAT(Paper_Reference[[#This Row],[Lvl]:[Paper Description]])</f>
        <v>3QUBUVSPWPPK19Q UV SPIDER SINGLE LANE II PK1913100WM511-4300OPEN MAPLE LANE (C)</v>
      </c>
      <c r="J5058" s="7">
        <f>COUNTIF(Paper_Reference[Duplicate Key],Paper_Reference[[#This Row],[Duplicate Key]])</f>
        <v>1</v>
      </c>
    </row>
    <row r="5059" spans="1:10">
      <c r="A5059" s="7">
        <v>4</v>
      </c>
      <c r="B5059" s="8" t="s">
        <v>1205</v>
      </c>
      <c r="C5059" s="8" t="s">
        <v>1188</v>
      </c>
      <c r="D5059" s="7">
        <v>1</v>
      </c>
      <c r="E5059" s="7">
        <v>91</v>
      </c>
      <c r="F5059" s="7">
        <v>1</v>
      </c>
      <c r="G5059" s="8" t="s">
        <v>980</v>
      </c>
      <c r="H5059" s="8" t="s">
        <v>988</v>
      </c>
      <c r="I5059" s="7" t="str">
        <f>_xlfn.CONCAT(Paper_Reference[[#This Row],[Lvl]:[Paper Description]])</f>
        <v>4QUBUVSPWPPK19Q UV SPIDER SINGLE LANE II PK1911100WM531-6200OPEN MAPLE LANE (R)</v>
      </c>
      <c r="J5059" s="7">
        <f>COUNTIF(Paper_Reference[Duplicate Key],Paper_Reference[[#This Row],[Duplicate Key]])</f>
        <v>1</v>
      </c>
    </row>
    <row r="5060" spans="1:10">
      <c r="A5060" s="7">
        <v>3</v>
      </c>
      <c r="B5060" s="8" t="s">
        <v>1206</v>
      </c>
      <c r="C5060" s="8" t="s">
        <v>1189</v>
      </c>
      <c r="D5060" s="7">
        <v>1</v>
      </c>
      <c r="E5060" s="7">
        <v>91</v>
      </c>
      <c r="F5060" s="7">
        <v>1</v>
      </c>
      <c r="G5060" s="8" t="s">
        <v>979</v>
      </c>
      <c r="H5060" s="8" t="s">
        <v>987</v>
      </c>
      <c r="I5060" s="7" t="str">
        <f>_xlfn.CONCAT(Paper_Reference[[#This Row],[Lvl]:[Paper Description]])</f>
        <v>3QUBUVSPWPPK8Q SPIDER UV 2 LANE PK1911100WM521-6200OPEN MAPLE LANE (L)</v>
      </c>
      <c r="J5060" s="7">
        <f>COUNTIF(Paper_Reference[Duplicate Key],Paper_Reference[[#This Row],[Duplicate Key]])</f>
        <v>1</v>
      </c>
    </row>
    <row r="5061" spans="1:10">
      <c r="A5061" s="7">
        <v>4</v>
      </c>
      <c r="B5061" s="8" t="s">
        <v>1206</v>
      </c>
      <c r="C5061" s="8" t="s">
        <v>1189</v>
      </c>
      <c r="D5061" s="7">
        <v>1</v>
      </c>
      <c r="E5061" s="7">
        <v>91</v>
      </c>
      <c r="F5061" s="7">
        <v>1</v>
      </c>
      <c r="G5061" s="8" t="s">
        <v>980</v>
      </c>
      <c r="H5061" s="8" t="s">
        <v>988</v>
      </c>
      <c r="I5061" s="7" t="str">
        <f>_xlfn.CONCAT(Paper_Reference[[#This Row],[Lvl]:[Paper Description]])</f>
        <v>4QUBUVSPWPPK8Q SPIDER UV 2 LANE PK1911100WM531-6200OPEN MAPLE LANE (R)</v>
      </c>
      <c r="J5061" s="7">
        <f>COUNTIF(Paper_Reference[Duplicate Key],Paper_Reference[[#This Row],[Duplicate Key]])</f>
        <v>1</v>
      </c>
    </row>
    <row r="5062" spans="1:10">
      <c r="A5062" s="7">
        <v>4</v>
      </c>
      <c r="B5062" s="8" t="s">
        <v>1206</v>
      </c>
      <c r="C5062" s="8" t="s">
        <v>1189</v>
      </c>
      <c r="D5062" s="7">
        <v>1</v>
      </c>
      <c r="E5062" s="7">
        <v>91</v>
      </c>
      <c r="F5062" s="7">
        <v>2</v>
      </c>
      <c r="G5062" s="8" t="s">
        <v>978</v>
      </c>
      <c r="H5062" s="8" t="s">
        <v>986</v>
      </c>
      <c r="I5062" s="7" t="str">
        <f>_xlfn.CONCAT(Paper_Reference[[#This Row],[Lvl]:[Paper Description]])</f>
        <v>4QUBUVSPWPPK8Q SPIDER UV 2 LANE PK1912100WM511-4300OPEN MAPLE LANE (C)</v>
      </c>
      <c r="J5062" s="7">
        <f>COUNTIF(Paper_Reference[Duplicate Key],Paper_Reference[[#This Row],[Duplicate Key]])</f>
        <v>1</v>
      </c>
    </row>
    <row r="5063" spans="1:10">
      <c r="A5063" s="7">
        <v>4</v>
      </c>
      <c r="B5063" s="8" t="s">
        <v>1207</v>
      </c>
      <c r="C5063" s="8" t="s">
        <v>1190</v>
      </c>
      <c r="D5063" s="7">
        <v>1</v>
      </c>
      <c r="E5063" s="7">
        <v>91</v>
      </c>
      <c r="F5063" s="7">
        <v>2</v>
      </c>
      <c r="G5063" s="8" t="s">
        <v>978</v>
      </c>
      <c r="H5063" s="8" t="s">
        <v>986</v>
      </c>
      <c r="I5063" s="7" t="str">
        <f>_xlfn.CONCAT(Paper_Reference[[#This Row],[Lvl]:[Paper Description]])</f>
        <v>4QUBUVWGSPPK10Q UV COM WOODGRAIN L/O PK1912100WM511-4300OPEN MAPLE LANE (C)</v>
      </c>
      <c r="J5063" s="7">
        <f>COUNTIF(Paper_Reference[Duplicate Key],Paper_Reference[[#This Row],[Duplicate Key]])</f>
        <v>1</v>
      </c>
    </row>
    <row r="5064" spans="1:10">
      <c r="A5064" s="7">
        <v>3</v>
      </c>
      <c r="B5064" s="8" t="s">
        <v>1238</v>
      </c>
      <c r="C5064" s="8" t="s">
        <v>1230</v>
      </c>
      <c r="D5064" s="7">
        <v>1</v>
      </c>
      <c r="E5064" s="7">
        <v>91</v>
      </c>
      <c r="F5064" s="7">
        <v>2</v>
      </c>
      <c r="G5064" s="8" t="s">
        <v>980</v>
      </c>
      <c r="H5064" s="8" t="s">
        <v>988</v>
      </c>
      <c r="I5064" s="7" t="str">
        <f>_xlfn.CONCAT(Paper_Reference[[#This Row],[Lvl]:[Paper Description]])</f>
        <v>3QUBUVWGSPPK12Q UV H66 HW MINI SINGLE PK1912100WM531-6200OPEN MAPLE LANE (R)</v>
      </c>
      <c r="J5064" s="7">
        <f>COUNTIF(Paper_Reference[Duplicate Key],Paper_Reference[[#This Row],[Duplicate Key]])</f>
        <v>1</v>
      </c>
    </row>
    <row r="5065" spans="1:10">
      <c r="A5065" s="7">
        <v>4</v>
      </c>
      <c r="B5065" s="8" t="s">
        <v>1208</v>
      </c>
      <c r="C5065" s="8" t="s">
        <v>1191</v>
      </c>
      <c r="D5065" s="7">
        <v>1</v>
      </c>
      <c r="E5065" s="7">
        <v>91</v>
      </c>
      <c r="F5065" s="7">
        <v>1</v>
      </c>
      <c r="G5065" s="8" t="s">
        <v>978</v>
      </c>
      <c r="H5065" s="8" t="s">
        <v>986</v>
      </c>
      <c r="I5065" s="7" t="str">
        <f>_xlfn.CONCAT(Paper_Reference[[#This Row],[Lvl]:[Paper Description]])</f>
        <v>4QUBUVWGSPPK15Q UV WOOD HW SIN LANE I PK1911100WM511-4300OPEN MAPLE LANE (C)</v>
      </c>
      <c r="J5065" s="7">
        <f>COUNTIF(Paper_Reference[Duplicate Key],Paper_Reference[[#This Row],[Duplicate Key]])</f>
        <v>1</v>
      </c>
    </row>
    <row r="5066" spans="1:10">
      <c r="A5066" s="7">
        <v>4</v>
      </c>
      <c r="B5066" s="8" t="s">
        <v>1208</v>
      </c>
      <c r="C5066" s="8" t="s">
        <v>1191</v>
      </c>
      <c r="D5066" s="7">
        <v>1</v>
      </c>
      <c r="E5066" s="7">
        <v>91</v>
      </c>
      <c r="F5066" s="7">
        <v>1</v>
      </c>
      <c r="G5066" s="8" t="s">
        <v>979</v>
      </c>
      <c r="H5066" s="8" t="s">
        <v>987</v>
      </c>
      <c r="I5066" s="7" t="str">
        <f>_xlfn.CONCAT(Paper_Reference[[#This Row],[Lvl]:[Paper Description]])</f>
        <v>4QUBUVWGSPPK15Q UV WOOD HW SIN LANE I PK1911100WM521-6200OPEN MAPLE LANE (L)</v>
      </c>
      <c r="J5066" s="7">
        <f>COUNTIF(Paper_Reference[Duplicate Key],Paper_Reference[[#This Row],[Duplicate Key]])</f>
        <v>1</v>
      </c>
    </row>
    <row r="5067" spans="1:10">
      <c r="A5067" s="7">
        <v>3</v>
      </c>
      <c r="B5067" s="8" t="s">
        <v>1209</v>
      </c>
      <c r="C5067" s="8" t="s">
        <v>1192</v>
      </c>
      <c r="D5067" s="7">
        <v>1</v>
      </c>
      <c r="E5067" s="7">
        <v>91</v>
      </c>
      <c r="F5067" s="7">
        <v>1</v>
      </c>
      <c r="G5067" s="8" t="s">
        <v>979</v>
      </c>
      <c r="H5067" s="8" t="s">
        <v>987</v>
      </c>
      <c r="I5067" s="7" t="str">
        <f>_xlfn.CONCAT(Paper_Reference[[#This Row],[Lvl]:[Paper Description]])</f>
        <v>3QUBUVWGSPPK18Q UV WOOD HW SIN LANE II PK1911100WM521-6200OPEN MAPLE LANE (L)</v>
      </c>
      <c r="J5067" s="7">
        <f>COUNTIF(Paper_Reference[Duplicate Key],Paper_Reference[[#This Row],[Duplicate Key]])</f>
        <v>1</v>
      </c>
    </row>
    <row r="5068" spans="1:10">
      <c r="A5068" s="7">
        <v>3</v>
      </c>
      <c r="B5068" s="8" t="s">
        <v>1209</v>
      </c>
      <c r="C5068" s="8" t="s">
        <v>1192</v>
      </c>
      <c r="D5068" s="7">
        <v>1</v>
      </c>
      <c r="E5068" s="7">
        <v>91</v>
      </c>
      <c r="F5068" s="7">
        <v>3</v>
      </c>
      <c r="G5068" s="8" t="s">
        <v>978</v>
      </c>
      <c r="H5068" s="8" t="s">
        <v>986</v>
      </c>
      <c r="I5068" s="7" t="str">
        <f>_xlfn.CONCAT(Paper_Reference[[#This Row],[Lvl]:[Paper Description]])</f>
        <v>3QUBUVWGSPPK18Q UV WOOD HW SIN LANE II PK1913100WM511-4300OPEN MAPLE LANE (C)</v>
      </c>
      <c r="J5068" s="7">
        <f>COUNTIF(Paper_Reference[Duplicate Key],Paper_Reference[[#This Row],[Duplicate Key]])</f>
        <v>1</v>
      </c>
    </row>
    <row r="5069" spans="1:10">
      <c r="A5069" s="7">
        <v>4</v>
      </c>
      <c r="B5069" s="8" t="s">
        <v>1209</v>
      </c>
      <c r="C5069" s="8" t="s">
        <v>1192</v>
      </c>
      <c r="D5069" s="7">
        <v>1</v>
      </c>
      <c r="E5069" s="7">
        <v>91</v>
      </c>
      <c r="F5069" s="7">
        <v>1</v>
      </c>
      <c r="G5069" s="8" t="s">
        <v>980</v>
      </c>
      <c r="H5069" s="8" t="s">
        <v>988</v>
      </c>
      <c r="I5069" s="7" t="str">
        <f>_xlfn.CONCAT(Paper_Reference[[#This Row],[Lvl]:[Paper Description]])</f>
        <v>4QUBUVWGSPPK18Q UV WOOD HW SIN LANE II PK1911100WM531-6200OPEN MAPLE LANE (R)</v>
      </c>
      <c r="J5069" s="7">
        <f>COUNTIF(Paper_Reference[Duplicate Key],Paper_Reference[[#This Row],[Duplicate Key]])</f>
        <v>1</v>
      </c>
    </row>
    <row r="5070" spans="1:10">
      <c r="A5070" s="7">
        <v>3</v>
      </c>
      <c r="B5070" s="8" t="s">
        <v>1210</v>
      </c>
      <c r="C5070" s="8" t="s">
        <v>1193</v>
      </c>
      <c r="D5070" s="7">
        <v>1</v>
      </c>
      <c r="E5070" s="7">
        <v>91</v>
      </c>
      <c r="F5070" s="7">
        <v>1</v>
      </c>
      <c r="G5070" s="8" t="s">
        <v>979</v>
      </c>
      <c r="H5070" s="8" t="s">
        <v>987</v>
      </c>
      <c r="I5070" s="7" t="str">
        <f>_xlfn.CONCAT(Paper_Reference[[#This Row],[Lvl]:[Paper Description]])</f>
        <v>3QUBUVWGSPPK21Q UV WG NARROW 2 LANE PK1911100WM521-6200OPEN MAPLE LANE (L)</v>
      </c>
      <c r="J5070" s="7">
        <f>COUNTIF(Paper_Reference[Duplicate Key],Paper_Reference[[#This Row],[Duplicate Key]])</f>
        <v>1</v>
      </c>
    </row>
    <row r="5071" spans="1:10">
      <c r="A5071" s="7">
        <v>3</v>
      </c>
      <c r="B5071" s="8" t="s">
        <v>1210</v>
      </c>
      <c r="C5071" s="8" t="s">
        <v>1193</v>
      </c>
      <c r="D5071" s="7">
        <v>1</v>
      </c>
      <c r="E5071" s="7">
        <v>91</v>
      </c>
      <c r="F5071" s="7">
        <v>6</v>
      </c>
      <c r="G5071" s="8" t="s">
        <v>978</v>
      </c>
      <c r="H5071" s="8" t="s">
        <v>986</v>
      </c>
      <c r="I5071" s="7" t="str">
        <f>_xlfn.CONCAT(Paper_Reference[[#This Row],[Lvl]:[Paper Description]])</f>
        <v>3QUBUVWGSPPK21Q UV WG NARROW 2 LANE PK1916100WM511-4300OPEN MAPLE LANE (C)</v>
      </c>
      <c r="J5071" s="7">
        <f>COUNTIF(Paper_Reference[Duplicate Key],Paper_Reference[[#This Row],[Duplicate Key]])</f>
        <v>1</v>
      </c>
    </row>
    <row r="5072" spans="1:10">
      <c r="A5072" s="7">
        <v>4</v>
      </c>
      <c r="B5072" s="8" t="s">
        <v>1210</v>
      </c>
      <c r="C5072" s="8" t="s">
        <v>1193</v>
      </c>
      <c r="D5072" s="7">
        <v>1</v>
      </c>
      <c r="E5072" s="7">
        <v>91</v>
      </c>
      <c r="F5072" s="7">
        <v>1</v>
      </c>
      <c r="G5072" s="8" t="s">
        <v>980</v>
      </c>
      <c r="H5072" s="8" t="s">
        <v>988</v>
      </c>
      <c r="I5072" s="7" t="str">
        <f>_xlfn.CONCAT(Paper_Reference[[#This Row],[Lvl]:[Paper Description]])</f>
        <v>4QUBUVWGSPPK21Q UV WG NARROW 2 LANE PK1911100WM531-6200OPEN MAPLE LANE (R)</v>
      </c>
      <c r="J5072" s="7">
        <f>COUNTIF(Paper_Reference[Duplicate Key],Paper_Reference[[#This Row],[Duplicate Key]])</f>
        <v>1</v>
      </c>
    </row>
    <row r="5073" spans="1:10">
      <c r="A5073" s="7">
        <v>3</v>
      </c>
      <c r="B5073" s="8" t="s">
        <v>1239</v>
      </c>
      <c r="C5073" s="8" t="s">
        <v>1231</v>
      </c>
      <c r="D5073" s="7">
        <v>1</v>
      </c>
      <c r="E5073" s="7">
        <v>91</v>
      </c>
      <c r="F5073" s="7">
        <v>4</v>
      </c>
      <c r="G5073" s="8" t="s">
        <v>980</v>
      </c>
      <c r="H5073" s="8" t="s">
        <v>988</v>
      </c>
      <c r="I5073" s="7" t="str">
        <f>_xlfn.CONCAT(Paper_Reference[[#This Row],[Lvl]:[Paper Description]])</f>
        <v>3QUBUVWGSPPK23Q UV H66 HW MINI 1 LANE PK1914100WM531-6200OPEN MAPLE LANE (R)</v>
      </c>
      <c r="J5073" s="7">
        <f>COUNTIF(Paper_Reference[Duplicate Key],Paper_Reference[[#This Row],[Duplicate Key]])</f>
        <v>1</v>
      </c>
    </row>
    <row r="5074" spans="1:10">
      <c r="A5074" s="7">
        <v>4</v>
      </c>
      <c r="B5074" s="8" t="s">
        <v>1240</v>
      </c>
      <c r="C5074" s="8" t="s">
        <v>819</v>
      </c>
      <c r="D5074" s="7">
        <v>1</v>
      </c>
      <c r="E5074" s="7">
        <v>91</v>
      </c>
      <c r="F5074" s="7">
        <v>2</v>
      </c>
      <c r="G5074" s="8" t="s">
        <v>980</v>
      </c>
      <c r="H5074" s="8" t="s">
        <v>988</v>
      </c>
      <c r="I5074" s="7" t="str">
        <f>_xlfn.CONCAT(Paper_Reference[[#This Row],[Lvl]:[Paper Description]])</f>
        <v>4QUBUVWGSPPK3Q UV H66 HW MINI 2 LANE PK1912100WM531-6200OPEN MAPLE LANE (R)</v>
      </c>
      <c r="J5074" s="7">
        <f>COUNTIF(Paper_Reference[Duplicate Key],Paper_Reference[[#This Row],[Duplicate Key]])</f>
        <v>1</v>
      </c>
    </row>
    <row r="5075" spans="1:10">
      <c r="A5075" s="7">
        <v>4</v>
      </c>
      <c r="B5075" s="8" t="s">
        <v>818</v>
      </c>
      <c r="C5075" s="8" t="s">
        <v>819</v>
      </c>
      <c r="D5075" s="7">
        <v>1</v>
      </c>
      <c r="E5075" s="7">
        <v>91</v>
      </c>
      <c r="F5075" s="7">
        <v>2</v>
      </c>
      <c r="G5075" s="8" t="s">
        <v>980</v>
      </c>
      <c r="H5075" s="8" t="s">
        <v>988</v>
      </c>
      <c r="I5075" s="7" t="str">
        <f>_xlfn.CONCAT(Paper_Reference[[#This Row],[Lvl]:[Paper Description]])</f>
        <v>4QUBUVWGSPPK4Q UV H66 HW MINI 2 LANE PK1912100WM531-6200OPEN MAPLE LANE (R)</v>
      </c>
      <c r="J5075" s="7">
        <f>COUNTIF(Paper_Reference[Duplicate Key],Paper_Reference[[#This Row],[Duplicate Key]])</f>
        <v>1</v>
      </c>
    </row>
    <row r="5076" spans="1:10">
      <c r="A5076" s="7">
        <v>3</v>
      </c>
      <c r="B5076" s="8" t="s">
        <v>1211</v>
      </c>
      <c r="C5076" s="8" t="s">
        <v>1194</v>
      </c>
      <c r="D5076" s="7">
        <v>1</v>
      </c>
      <c r="E5076" s="7">
        <v>91</v>
      </c>
      <c r="F5076" s="7">
        <v>1</v>
      </c>
      <c r="G5076" s="8" t="s">
        <v>979</v>
      </c>
      <c r="H5076" s="8" t="s">
        <v>987</v>
      </c>
      <c r="I5076" s="7" t="str">
        <f>_xlfn.CONCAT(Paper_Reference[[#This Row],[Lvl]:[Paper Description]])</f>
        <v>3QUBUVWGSPPK7BAD PART USE PPK91911100WM521-6200OPEN MAPLE LANE (L)</v>
      </c>
      <c r="J5076" s="7">
        <f>COUNTIF(Paper_Reference[Duplicate Key],Paper_Reference[[#This Row],[Duplicate Key]])</f>
        <v>1</v>
      </c>
    </row>
    <row r="5077" spans="1:10">
      <c r="A5077" s="7">
        <v>4</v>
      </c>
      <c r="B5077" s="8" t="s">
        <v>1211</v>
      </c>
      <c r="C5077" s="8" t="s">
        <v>1194</v>
      </c>
      <c r="D5077" s="7">
        <v>1</v>
      </c>
      <c r="E5077" s="7">
        <v>91</v>
      </c>
      <c r="F5077" s="7">
        <v>1</v>
      </c>
      <c r="G5077" s="8" t="s">
        <v>980</v>
      </c>
      <c r="H5077" s="8" t="s">
        <v>988</v>
      </c>
      <c r="I5077" s="7" t="str">
        <f>_xlfn.CONCAT(Paper_Reference[[#This Row],[Lvl]:[Paper Description]])</f>
        <v>4QUBUVWGSPPK7BAD PART USE PPK91911100WM531-6200OPEN MAPLE LANE (R)</v>
      </c>
      <c r="J5077" s="7">
        <f>COUNTIF(Paper_Reference[Duplicate Key],Paper_Reference[[#This Row],[Duplicate Key]])</f>
        <v>1</v>
      </c>
    </row>
    <row r="5078" spans="1:10">
      <c r="A5078" s="7">
        <v>4</v>
      </c>
      <c r="B5078" s="8" t="s">
        <v>1211</v>
      </c>
      <c r="C5078" s="8" t="s">
        <v>1194</v>
      </c>
      <c r="D5078" s="7">
        <v>1</v>
      </c>
      <c r="E5078" s="7">
        <v>91</v>
      </c>
      <c r="F5078" s="7">
        <v>2</v>
      </c>
      <c r="G5078" s="8" t="s">
        <v>978</v>
      </c>
      <c r="H5078" s="8" t="s">
        <v>986</v>
      </c>
      <c r="I5078" s="7" t="str">
        <f>_xlfn.CONCAT(Paper_Reference[[#This Row],[Lvl]:[Paper Description]])</f>
        <v>4QUBUVWGSPPK7BAD PART USE PPK91912100WM511-4300OPEN MAPLE LANE (C)</v>
      </c>
      <c r="J5078" s="7">
        <f>COUNTIF(Paper_Reference[Duplicate Key],Paper_Reference[[#This Row],[Duplicate Key]])</f>
        <v>1</v>
      </c>
    </row>
    <row r="5079" spans="1:10">
      <c r="A5079" s="7">
        <v>4</v>
      </c>
      <c r="B5079" s="8" t="s">
        <v>1212</v>
      </c>
      <c r="C5079" s="8" t="s">
        <v>1195</v>
      </c>
      <c r="D5079" s="7">
        <v>1</v>
      </c>
      <c r="E5079" s="7">
        <v>91</v>
      </c>
      <c r="F5079" s="7">
        <v>1</v>
      </c>
      <c r="G5079" s="8" t="s">
        <v>979</v>
      </c>
      <c r="H5079" s="8" t="s">
        <v>987</v>
      </c>
      <c r="I5079" s="7" t="str">
        <f>_xlfn.CONCAT(Paper_Reference[[#This Row],[Lvl]:[Paper Description]])</f>
        <v>4QUBUVWGSPPK9Q UV COM WOODGRAIN 2 LANE PK1911100WM521-6200OPEN MAPLE LANE (L)</v>
      </c>
      <c r="J5079" s="7">
        <f>COUNTIF(Paper_Reference[Duplicate Key],Paper_Reference[[#This Row],[Duplicate Key]])</f>
        <v>1</v>
      </c>
    </row>
    <row r="5080" spans="1:10">
      <c r="A5080" s="7">
        <v>4</v>
      </c>
      <c r="B5080" s="8" t="s">
        <v>1212</v>
      </c>
      <c r="C5080" s="8" t="s">
        <v>1195</v>
      </c>
      <c r="D5080" s="7">
        <v>1</v>
      </c>
      <c r="E5080" s="7">
        <v>91</v>
      </c>
      <c r="F5080" s="7">
        <v>1</v>
      </c>
      <c r="G5080" s="8" t="s">
        <v>980</v>
      </c>
      <c r="H5080" s="8" t="s">
        <v>988</v>
      </c>
      <c r="I5080" s="7" t="str">
        <f>_xlfn.CONCAT(Paper_Reference[[#This Row],[Lvl]:[Paper Description]])</f>
        <v>4QUBUVWGSPPK9Q UV COM WOODGRAIN 2 LANE PK1911100WM531-6200OPEN MAPLE LANE (R)</v>
      </c>
      <c r="J5080" s="7">
        <f>COUNTIF(Paper_Reference[Duplicate Key],Paper_Reference[[#This Row],[Duplicate Key]])</f>
        <v>1</v>
      </c>
    </row>
    <row r="5081" spans="1:10">
      <c r="A5081" s="7">
        <v>4</v>
      </c>
      <c r="B5081" s="8" t="s">
        <v>1212</v>
      </c>
      <c r="C5081" s="8" t="s">
        <v>1195</v>
      </c>
      <c r="D5081" s="7">
        <v>1</v>
      </c>
      <c r="E5081" s="7">
        <v>91</v>
      </c>
      <c r="F5081" s="7">
        <v>2</v>
      </c>
      <c r="G5081" s="8" t="s">
        <v>978</v>
      </c>
      <c r="H5081" s="8" t="s">
        <v>986</v>
      </c>
      <c r="I5081" s="7" t="str">
        <f>_xlfn.CONCAT(Paper_Reference[[#This Row],[Lvl]:[Paper Description]])</f>
        <v>4QUBUVWGSPPK9Q UV COM WOODGRAIN 2 LANE PK1912100WM511-4300OPEN MAPLE LANE (C)</v>
      </c>
      <c r="J5081" s="7">
        <f>COUNTIF(Paper_Reference[Duplicate Key],Paper_Reference[[#This Row],[Duplicate Key]])</f>
        <v>1</v>
      </c>
    </row>
    <row r="5082" spans="1:10">
      <c r="A5082" s="7">
        <v>4</v>
      </c>
      <c r="B5082" s="8" t="s">
        <v>4355</v>
      </c>
      <c r="C5082" s="8" t="s">
        <v>4199</v>
      </c>
      <c r="D5082" s="7">
        <v>1</v>
      </c>
      <c r="E5082" s="7">
        <v>91</v>
      </c>
      <c r="F5082" s="7">
        <v>1</v>
      </c>
      <c r="G5082" s="8" t="s">
        <v>4129</v>
      </c>
      <c r="H5082" s="8" t="s">
        <v>4130</v>
      </c>
      <c r="I5082" s="7" t="str">
        <f>_xlfn.CONCAT(Paper_Reference[[#This Row],[Lvl]:[Paper Description]])</f>
        <v>4QUBWC013PPK1Q WC013 BLOSSOM CHR 2 LP1911110WC013-6200BLOSSOM CHERRY</v>
      </c>
      <c r="J5082" s="7">
        <f>COUNTIF(Paper_Reference[Duplicate Key],Paper_Reference[[#This Row],[Duplicate Key]])</f>
        <v>1</v>
      </c>
    </row>
    <row r="5083" spans="1:10">
      <c r="A5083" s="7">
        <v>4</v>
      </c>
      <c r="B5083" s="8" t="s">
        <v>4356</v>
      </c>
      <c r="C5083" s="8" t="s">
        <v>4200</v>
      </c>
      <c r="D5083" s="7">
        <v>1</v>
      </c>
      <c r="E5083" s="7">
        <v>91</v>
      </c>
      <c r="F5083" s="7">
        <v>1</v>
      </c>
      <c r="G5083" s="8" t="s">
        <v>4129</v>
      </c>
      <c r="H5083" s="8" t="s">
        <v>4130</v>
      </c>
      <c r="I5083" s="7" t="str">
        <f>_xlfn.CONCAT(Paper_Reference[[#This Row],[Lvl]:[Paper Description]])</f>
        <v>4QUBWC013PPK2Q WC013 BLOSSOM CHR RLP1911110WC013-6200BLOSSOM CHERRY</v>
      </c>
      <c r="J5083" s="7">
        <f>COUNTIF(Paper_Reference[Duplicate Key],Paper_Reference[[#This Row],[Duplicate Key]])</f>
        <v>1</v>
      </c>
    </row>
    <row r="5084" spans="1:10">
      <c r="A5084" s="7">
        <v>4</v>
      </c>
      <c r="B5084" s="8" t="s">
        <v>4357</v>
      </c>
      <c r="C5084" s="8" t="s">
        <v>4199</v>
      </c>
      <c r="D5084" s="7">
        <v>1</v>
      </c>
      <c r="E5084" s="7">
        <v>91</v>
      </c>
      <c r="F5084" s="7">
        <v>1</v>
      </c>
      <c r="G5084" s="8" t="s">
        <v>4129</v>
      </c>
      <c r="H5084" s="8" t="s">
        <v>4130</v>
      </c>
      <c r="I5084" s="7" t="str">
        <f>_xlfn.CONCAT(Paper_Reference[[#This Row],[Lvl]:[Paper Description]])</f>
        <v>4QUBWC013PPK3Q WC013 BLOSSOM CHR 2 LP1911110WC013-6200BLOSSOM CHERRY</v>
      </c>
      <c r="J5084" s="7">
        <f>COUNTIF(Paper_Reference[Duplicate Key],Paper_Reference[[#This Row],[Duplicate Key]])</f>
        <v>1</v>
      </c>
    </row>
    <row r="5085" spans="1:10">
      <c r="A5085" s="7">
        <v>4</v>
      </c>
      <c r="B5085" s="8" t="s">
        <v>4358</v>
      </c>
      <c r="C5085" s="8" t="s">
        <v>4201</v>
      </c>
      <c r="D5085" s="7">
        <v>1</v>
      </c>
      <c r="E5085" s="7">
        <v>91</v>
      </c>
      <c r="F5085" s="7">
        <v>1</v>
      </c>
      <c r="G5085" s="8" t="s">
        <v>4129</v>
      </c>
      <c r="H5085" s="8" t="s">
        <v>4130</v>
      </c>
      <c r="I5085" s="7" t="str">
        <f>_xlfn.CONCAT(Paper_Reference[[#This Row],[Lvl]:[Paper Description]])</f>
        <v>4QUBWC013PPK4Q WC013 BLOSSOM CHR LLP1911110WC013-6200BLOSSOM CHERRY</v>
      </c>
      <c r="J5085" s="7">
        <f>COUNTIF(Paper_Reference[Duplicate Key],Paper_Reference[[#This Row],[Duplicate Key]])</f>
        <v>1</v>
      </c>
    </row>
    <row r="5086" spans="1:10">
      <c r="A5086" s="7">
        <v>4</v>
      </c>
      <c r="B5086" s="8" t="s">
        <v>4359</v>
      </c>
      <c r="C5086" s="8" t="s">
        <v>4200</v>
      </c>
      <c r="D5086" s="7">
        <v>1</v>
      </c>
      <c r="E5086" s="7">
        <v>91</v>
      </c>
      <c r="F5086" s="7">
        <v>1</v>
      </c>
      <c r="G5086" s="8" t="s">
        <v>4129</v>
      </c>
      <c r="H5086" s="8" t="s">
        <v>4130</v>
      </c>
      <c r="I5086" s="7" t="str">
        <f>_xlfn.CONCAT(Paper_Reference[[#This Row],[Lvl]:[Paper Description]])</f>
        <v>4QUBWC013PPK5Q WC013 BLOSSOM CHR RLP1911110WC013-6200BLOSSOM CHERRY</v>
      </c>
      <c r="J5086" s="7">
        <f>COUNTIF(Paper_Reference[Duplicate Key],Paper_Reference[[#This Row],[Duplicate Key]])</f>
        <v>1</v>
      </c>
    </row>
    <row r="5087" spans="1:10">
      <c r="A5087" s="7">
        <v>4</v>
      </c>
      <c r="B5087" s="8" t="s">
        <v>816</v>
      </c>
      <c r="C5087" s="8" t="s">
        <v>817</v>
      </c>
      <c r="D5087" s="7">
        <v>1</v>
      </c>
      <c r="E5087" s="7">
        <v>91</v>
      </c>
      <c r="F5087" s="7">
        <v>1</v>
      </c>
      <c r="G5087" s="8" t="s">
        <v>4129</v>
      </c>
      <c r="H5087" s="8" t="s">
        <v>4130</v>
      </c>
      <c r="I5087" s="7" t="str">
        <f>_xlfn.CONCAT(Paper_Reference[[#This Row],[Lvl]:[Paper Description]])</f>
        <v>4QUBWC013PPK6Q WC013 BLOSSOM CHR CG 2 LP1911110WC013-6200BLOSSOM CHERRY</v>
      </c>
      <c r="J5087" s="7">
        <f>COUNTIF(Paper_Reference[Duplicate Key],Paper_Reference[[#This Row],[Duplicate Key]])</f>
        <v>1</v>
      </c>
    </row>
    <row r="5088" spans="1:10">
      <c r="A5088" s="7">
        <v>4</v>
      </c>
      <c r="B5088" s="8" t="s">
        <v>4360</v>
      </c>
      <c r="C5088" s="8" t="s">
        <v>4202</v>
      </c>
      <c r="D5088" s="7">
        <v>1</v>
      </c>
      <c r="E5088" s="7">
        <v>91</v>
      </c>
      <c r="F5088" s="7">
        <v>1</v>
      </c>
      <c r="G5088" s="8" t="s">
        <v>4129</v>
      </c>
      <c r="H5088" s="8" t="s">
        <v>4130</v>
      </c>
      <c r="I5088" s="7" t="str">
        <f>_xlfn.CONCAT(Paper_Reference[[#This Row],[Lvl]:[Paper Description]])</f>
        <v>4QUBWC013PPK7Q WC013 BLOSSOM CHR CG LLP1911110WC013-6200BLOSSOM CHERRY</v>
      </c>
      <c r="J5088" s="7">
        <f>COUNTIF(Paper_Reference[Duplicate Key],Paper_Reference[[#This Row],[Duplicate Key]])</f>
        <v>1</v>
      </c>
    </row>
    <row r="5089" spans="1:10">
      <c r="A5089" s="7">
        <v>4</v>
      </c>
      <c r="B5089" s="8" t="s">
        <v>4361</v>
      </c>
      <c r="C5089" s="8" t="s">
        <v>4203</v>
      </c>
      <c r="D5089" s="7">
        <v>1</v>
      </c>
      <c r="E5089" s="7">
        <v>91</v>
      </c>
      <c r="F5089" s="7">
        <v>1</v>
      </c>
      <c r="G5089" s="8" t="s">
        <v>4129</v>
      </c>
      <c r="H5089" s="8" t="s">
        <v>4130</v>
      </c>
      <c r="I5089" s="7" t="str">
        <f>_xlfn.CONCAT(Paper_Reference[[#This Row],[Lvl]:[Paper Description]])</f>
        <v>4QUBWC013PPK8Q WC013 BLOSSOM CHR CG RLP1911110WC013-6200BLOSSOM CHERRY</v>
      </c>
      <c r="J5089" s="7">
        <f>COUNTIF(Paper_Reference[Duplicate Key],Paper_Reference[[#This Row],[Duplicate Key]])</f>
        <v>1</v>
      </c>
    </row>
    <row r="5090" spans="1:10">
      <c r="A5090" s="7">
        <v>3</v>
      </c>
      <c r="B5090" s="8" t="s">
        <v>1213</v>
      </c>
      <c r="C5090" s="8" t="s">
        <v>1196</v>
      </c>
      <c r="D5090" s="7">
        <v>1</v>
      </c>
      <c r="E5090" s="7">
        <v>91</v>
      </c>
      <c r="F5090" s="7">
        <v>3</v>
      </c>
      <c r="G5090" s="8" t="s">
        <v>978</v>
      </c>
      <c r="H5090" s="8" t="s">
        <v>986</v>
      </c>
      <c r="I5090" s="7" t="str">
        <f>_xlfn.CONCAT(Paper_Reference[[#This Row],[Lvl]:[Paper Description]])</f>
        <v>3QUBWGLPSPPK14Q WOODGRAIN SINGLE LANE PK1913100WM511-4300OPEN MAPLE LANE (C)</v>
      </c>
      <c r="J5090" s="7">
        <f>COUNTIF(Paper_Reference[Duplicate Key],Paper_Reference[[#This Row],[Duplicate Key]])</f>
        <v>1</v>
      </c>
    </row>
    <row r="5091" spans="1:10">
      <c r="A5091" s="7">
        <v>4</v>
      </c>
      <c r="B5091" s="8" t="s">
        <v>1213</v>
      </c>
      <c r="C5091" s="8" t="s">
        <v>1196</v>
      </c>
      <c r="D5091" s="7">
        <v>1</v>
      </c>
      <c r="E5091" s="7">
        <v>91</v>
      </c>
      <c r="F5091" s="7">
        <v>1</v>
      </c>
      <c r="G5091" s="8" t="s">
        <v>979</v>
      </c>
      <c r="H5091" s="8" t="s">
        <v>987</v>
      </c>
      <c r="I5091" s="7" t="str">
        <f>_xlfn.CONCAT(Paper_Reference[[#This Row],[Lvl]:[Paper Description]])</f>
        <v>4QUBWGLPSPPK14Q WOODGRAIN SINGLE LANE PK1911100WM521-6200OPEN MAPLE LANE (L)</v>
      </c>
      <c r="J5091" s="7">
        <f>COUNTIF(Paper_Reference[Duplicate Key],Paper_Reference[[#This Row],[Duplicate Key]])</f>
        <v>1</v>
      </c>
    </row>
    <row r="5092" spans="1:10">
      <c r="A5092" s="7">
        <v>3</v>
      </c>
      <c r="B5092" s="8" t="s">
        <v>1214</v>
      </c>
      <c r="C5092" s="8" t="s">
        <v>1197</v>
      </c>
      <c r="D5092" s="7">
        <v>1</v>
      </c>
      <c r="E5092" s="7">
        <v>91</v>
      </c>
      <c r="F5092" s="7">
        <v>1</v>
      </c>
      <c r="G5092" s="8" t="s">
        <v>979</v>
      </c>
      <c r="H5092" s="8" t="s">
        <v>987</v>
      </c>
      <c r="I5092" s="7" t="str">
        <f>_xlfn.CONCAT(Paper_Reference[[#This Row],[Lvl]:[Paper Description]])</f>
        <v>3QUBWGLPSPPK17Q WOODGRAIN SINGLE LANE II PK1911100WM521-6200OPEN MAPLE LANE (L)</v>
      </c>
      <c r="J5092" s="7">
        <f>COUNTIF(Paper_Reference[Duplicate Key],Paper_Reference[[#This Row],[Duplicate Key]])</f>
        <v>1</v>
      </c>
    </row>
    <row r="5093" spans="1:10">
      <c r="A5093" s="7">
        <v>4</v>
      </c>
      <c r="B5093" s="8" t="s">
        <v>1214</v>
      </c>
      <c r="C5093" s="8" t="s">
        <v>1197</v>
      </c>
      <c r="D5093" s="7">
        <v>1</v>
      </c>
      <c r="E5093" s="7">
        <v>91</v>
      </c>
      <c r="F5093" s="7">
        <v>1</v>
      </c>
      <c r="G5093" s="8" t="s">
        <v>978</v>
      </c>
      <c r="H5093" s="8" t="s">
        <v>986</v>
      </c>
      <c r="I5093" s="7" t="str">
        <f>_xlfn.CONCAT(Paper_Reference[[#This Row],[Lvl]:[Paper Description]])</f>
        <v>4QUBWGLPSPPK17Q WOODGRAIN SINGLE LANE II PK1911100WM511-4300OPEN MAPLE LANE (C)</v>
      </c>
      <c r="J5093" s="7">
        <f>COUNTIF(Paper_Reference[Duplicate Key],Paper_Reference[[#This Row],[Duplicate Key]])</f>
        <v>1</v>
      </c>
    </row>
    <row r="5094" spans="1:10">
      <c r="A5094" s="7">
        <v>4</v>
      </c>
      <c r="B5094" s="8" t="s">
        <v>1214</v>
      </c>
      <c r="C5094" s="8" t="s">
        <v>1197</v>
      </c>
      <c r="D5094" s="7">
        <v>1</v>
      </c>
      <c r="E5094" s="7">
        <v>91</v>
      </c>
      <c r="F5094" s="7">
        <v>1</v>
      </c>
      <c r="G5094" s="8" t="s">
        <v>980</v>
      </c>
      <c r="H5094" s="8" t="s">
        <v>988</v>
      </c>
      <c r="I5094" s="7" t="str">
        <f>_xlfn.CONCAT(Paper_Reference[[#This Row],[Lvl]:[Paper Description]])</f>
        <v>4QUBWGLPSPPK17Q WOODGRAIN SINGLE LANE II PK1911100WM531-6200OPEN MAPLE LANE (R)</v>
      </c>
      <c r="J5094" s="7">
        <f>COUNTIF(Paper_Reference[Duplicate Key],Paper_Reference[[#This Row],[Duplicate Key]])</f>
        <v>1</v>
      </c>
    </row>
    <row r="5095" spans="1:10">
      <c r="A5095" s="7">
        <v>4</v>
      </c>
      <c r="B5095" s="8" t="s">
        <v>1215</v>
      </c>
      <c r="C5095" s="8" t="s">
        <v>1198</v>
      </c>
      <c r="D5095" s="7">
        <v>1</v>
      </c>
      <c r="E5095" s="7">
        <v>91</v>
      </c>
      <c r="F5095" s="7">
        <v>1</v>
      </c>
      <c r="G5095" s="8" t="s">
        <v>979</v>
      </c>
      <c r="H5095" s="8" t="s">
        <v>987</v>
      </c>
      <c r="I5095" s="7" t="str">
        <f>_xlfn.CONCAT(Paper_Reference[[#This Row],[Lvl]:[Paper Description]])</f>
        <v>4QUBWGLPSPPK21Q 7/16 WOOD 2 LANE PACK1911100WM521-6200OPEN MAPLE LANE (L)</v>
      </c>
      <c r="J5095" s="7">
        <f>COUNTIF(Paper_Reference[Duplicate Key],Paper_Reference[[#This Row],[Duplicate Key]])</f>
        <v>1</v>
      </c>
    </row>
    <row r="5096" spans="1:10">
      <c r="A5096" s="7">
        <v>4</v>
      </c>
      <c r="B5096" s="8" t="s">
        <v>1215</v>
      </c>
      <c r="C5096" s="8" t="s">
        <v>1198</v>
      </c>
      <c r="D5096" s="7">
        <v>1</v>
      </c>
      <c r="E5096" s="7">
        <v>91</v>
      </c>
      <c r="F5096" s="7">
        <v>1</v>
      </c>
      <c r="G5096" s="8" t="s">
        <v>980</v>
      </c>
      <c r="H5096" s="8" t="s">
        <v>988</v>
      </c>
      <c r="I5096" s="7" t="str">
        <f>_xlfn.CONCAT(Paper_Reference[[#This Row],[Lvl]:[Paper Description]])</f>
        <v>4QUBWGLPSPPK21Q 7/16 WOOD 2 LANE PACK1911100WM531-6200OPEN MAPLE LANE (R)</v>
      </c>
      <c r="J5096" s="7">
        <f>COUNTIF(Paper_Reference[Duplicate Key],Paper_Reference[[#This Row],[Duplicate Key]])</f>
        <v>1</v>
      </c>
    </row>
    <row r="5097" spans="1:10">
      <c r="A5097" s="7">
        <v>4</v>
      </c>
      <c r="B5097" s="8" t="s">
        <v>1215</v>
      </c>
      <c r="C5097" s="8" t="s">
        <v>1198</v>
      </c>
      <c r="D5097" s="7">
        <v>1</v>
      </c>
      <c r="E5097" s="7">
        <v>91</v>
      </c>
      <c r="F5097" s="7">
        <v>2</v>
      </c>
      <c r="G5097" s="8" t="s">
        <v>978</v>
      </c>
      <c r="H5097" s="8" t="s">
        <v>986</v>
      </c>
      <c r="I5097" s="7" t="str">
        <f>_xlfn.CONCAT(Paper_Reference[[#This Row],[Lvl]:[Paper Description]])</f>
        <v>4QUBWGLPSPPK21Q 7/16 WOOD 2 LANE PACK1912100WM511-4300OPEN MAPLE LANE (C)</v>
      </c>
      <c r="J5097" s="7">
        <f>COUNTIF(Paper_Reference[Duplicate Key],Paper_Reference[[#This Row],[Duplicate Key]])</f>
        <v>1</v>
      </c>
    </row>
    <row r="5098" spans="1:10">
      <c r="A5098" s="7">
        <v>4</v>
      </c>
      <c r="B5098" s="8" t="s">
        <v>1216</v>
      </c>
      <c r="C5098" s="8" t="s">
        <v>1199</v>
      </c>
      <c r="D5098" s="7">
        <v>1</v>
      </c>
      <c r="E5098" s="7">
        <v>91</v>
      </c>
      <c r="F5098" s="7">
        <v>1</v>
      </c>
      <c r="G5098" s="8" t="s">
        <v>979</v>
      </c>
      <c r="H5098" s="8" t="s">
        <v>987</v>
      </c>
      <c r="I5098" s="7" t="str">
        <f>_xlfn.CONCAT(Paper_Reference[[#This Row],[Lvl]:[Paper Description]])</f>
        <v>4QUBWGLPSPPK6Q COM WOODGRAIN 2 LANE PACK1911100WM521-6200OPEN MAPLE LANE (L)</v>
      </c>
      <c r="J5098" s="7">
        <f>COUNTIF(Paper_Reference[Duplicate Key],Paper_Reference[[#This Row],[Duplicate Key]])</f>
        <v>1</v>
      </c>
    </row>
    <row r="5099" spans="1:10">
      <c r="A5099" s="7">
        <v>4</v>
      </c>
      <c r="B5099" s="8" t="s">
        <v>1216</v>
      </c>
      <c r="C5099" s="8" t="s">
        <v>1199</v>
      </c>
      <c r="D5099" s="7">
        <v>1</v>
      </c>
      <c r="E5099" s="7">
        <v>91</v>
      </c>
      <c r="F5099" s="7">
        <v>1</v>
      </c>
      <c r="G5099" s="8" t="s">
        <v>980</v>
      </c>
      <c r="H5099" s="8" t="s">
        <v>988</v>
      </c>
      <c r="I5099" s="7" t="str">
        <f>_xlfn.CONCAT(Paper_Reference[[#This Row],[Lvl]:[Paper Description]])</f>
        <v>4QUBWGLPSPPK6Q COM WOODGRAIN 2 LANE PACK1911100WM531-6200OPEN MAPLE LANE (R)</v>
      </c>
      <c r="J5099" s="7">
        <f>COUNTIF(Paper_Reference[Duplicate Key],Paper_Reference[[#This Row],[Duplicate Key]])</f>
        <v>1</v>
      </c>
    </row>
    <row r="5100" spans="1:10">
      <c r="A5100" s="7">
        <v>4</v>
      </c>
      <c r="B5100" s="8" t="s">
        <v>1216</v>
      </c>
      <c r="C5100" s="8" t="s">
        <v>1199</v>
      </c>
      <c r="D5100" s="7">
        <v>1</v>
      </c>
      <c r="E5100" s="7">
        <v>91</v>
      </c>
      <c r="F5100" s="7">
        <v>2</v>
      </c>
      <c r="G5100" s="8" t="s">
        <v>978</v>
      </c>
      <c r="H5100" s="8" t="s">
        <v>986</v>
      </c>
      <c r="I5100" s="7" t="str">
        <f>_xlfn.CONCAT(Paper_Reference[[#This Row],[Lvl]:[Paper Description]])</f>
        <v>4QUBWGLPSPPK6Q COM WOODGRAIN 2 LANE PACK1912100WM511-4300OPEN MAPLE LANE (C)</v>
      </c>
      <c r="J5100" s="7">
        <f>COUNTIF(Paper_Reference[Duplicate Key],Paper_Reference[[#This Row],[Duplicate Key]])</f>
        <v>1</v>
      </c>
    </row>
    <row r="5101" spans="1:10">
      <c r="A5101" s="7">
        <v>4</v>
      </c>
      <c r="B5101" s="8" t="s">
        <v>5659</v>
      </c>
      <c r="C5101" s="8" t="s">
        <v>5460</v>
      </c>
      <c r="D5101" s="7">
        <v>1</v>
      </c>
      <c r="E5101" s="7">
        <v>91</v>
      </c>
      <c r="F5101" s="7">
        <v>1</v>
      </c>
      <c r="G5101" s="8" t="s">
        <v>5373</v>
      </c>
      <c r="H5101" s="8" t="s">
        <v>5374</v>
      </c>
      <c r="I5101" s="7" t="str">
        <f>_xlfn.CONCAT(Paper_Reference[[#This Row],[Lvl]:[Paper Description]])</f>
        <v>4QUBWW971PK10Q WW971 CL GUN RIGHT LP1911100WW971-6200GUN SAVOY WALNUT</v>
      </c>
      <c r="J5101" s="7">
        <f>COUNTIF(Paper_Reference[Duplicate Key],Paper_Reference[[#This Row],[Duplicate Key]])</f>
        <v>1</v>
      </c>
    </row>
    <row r="5102" spans="1:10">
      <c r="A5102" s="7">
        <v>4</v>
      </c>
      <c r="B5102" s="8" t="s">
        <v>5660</v>
      </c>
      <c r="C5102" s="8" t="s">
        <v>5461</v>
      </c>
      <c r="D5102" s="7">
        <v>1</v>
      </c>
      <c r="E5102" s="7">
        <v>91</v>
      </c>
      <c r="F5102" s="7">
        <v>1</v>
      </c>
      <c r="G5102" s="8" t="s">
        <v>5373</v>
      </c>
      <c r="H5102" s="8" t="s">
        <v>5374</v>
      </c>
      <c r="I5102" s="7" t="str">
        <f>_xlfn.CONCAT(Paper_Reference[[#This Row],[Lvl]:[Paper Description]])</f>
        <v>4QUBWW971PK11Q WW971 CL GUN CG 2LP1911100WW971-6200GUN SAVOY WALNUT</v>
      </c>
      <c r="J5102" s="7">
        <f>COUNTIF(Paper_Reference[Duplicate Key],Paper_Reference[[#This Row],[Duplicate Key]])</f>
        <v>1</v>
      </c>
    </row>
    <row r="5103" spans="1:10">
      <c r="A5103" s="7">
        <v>4</v>
      </c>
      <c r="B5103" s="8" t="s">
        <v>5661</v>
      </c>
      <c r="C5103" s="8" t="s">
        <v>5462</v>
      </c>
      <c r="D5103" s="7">
        <v>1</v>
      </c>
      <c r="E5103" s="7">
        <v>91</v>
      </c>
      <c r="F5103" s="7">
        <v>1</v>
      </c>
      <c r="G5103" s="8" t="s">
        <v>5373</v>
      </c>
      <c r="H5103" s="8" t="s">
        <v>5374</v>
      </c>
      <c r="I5103" s="7" t="str">
        <f>_xlfn.CONCAT(Paper_Reference[[#This Row],[Lvl]:[Paper Description]])</f>
        <v>4QUBWW971PK12Q WW971 CL GUN CG LEFT LP1911100WW971-6200GUN SAVOY WALNUT</v>
      </c>
      <c r="J5103" s="7">
        <f>COUNTIF(Paper_Reference[Duplicate Key],Paper_Reference[[#This Row],[Duplicate Key]])</f>
        <v>1</v>
      </c>
    </row>
    <row r="5104" spans="1:10">
      <c r="A5104" s="7">
        <v>4</v>
      </c>
      <c r="B5104" s="8" t="s">
        <v>5662</v>
      </c>
      <c r="C5104" s="8" t="s">
        <v>5463</v>
      </c>
      <c r="D5104" s="7">
        <v>1</v>
      </c>
      <c r="E5104" s="7">
        <v>91</v>
      </c>
      <c r="F5104" s="7">
        <v>1</v>
      </c>
      <c r="G5104" s="8" t="s">
        <v>5373</v>
      </c>
      <c r="H5104" s="8" t="s">
        <v>5374</v>
      </c>
      <c r="I5104" s="7" t="str">
        <f>_xlfn.CONCAT(Paper_Reference[[#This Row],[Lvl]:[Paper Description]])</f>
        <v>4QUBWW971PK13Q WW971 CL GUN CG RIGHT LP1911100WW971-6200GUN SAVOY WALNUT</v>
      </c>
      <c r="J5104" s="7">
        <f>COUNTIF(Paper_Reference[Duplicate Key],Paper_Reference[[#This Row],[Duplicate Key]])</f>
        <v>1</v>
      </c>
    </row>
    <row r="5105" spans="1:10">
      <c r="A5105" s="7">
        <v>4</v>
      </c>
      <c r="B5105" s="8" t="s">
        <v>5663</v>
      </c>
      <c r="C5105" s="8" t="s">
        <v>948</v>
      </c>
      <c r="D5105" s="7">
        <v>1</v>
      </c>
      <c r="E5105" s="7">
        <v>91</v>
      </c>
      <c r="F5105" s="7">
        <v>2</v>
      </c>
      <c r="G5105" s="8" t="s">
        <v>5373</v>
      </c>
      <c r="H5105" s="8" t="s">
        <v>5374</v>
      </c>
      <c r="I5105" s="7" t="str">
        <f>_xlfn.CONCAT(Paper_Reference[[#This Row],[Lvl]:[Paper Description]])</f>
        <v>4QUBWW971PPK1Q WW971 CL GUN 2 LANE PACK1912100WW971-6200GUN SAVOY WALNUT</v>
      </c>
      <c r="J5105" s="7">
        <f>COUNTIF(Paper_Reference[Duplicate Key],Paper_Reference[[#This Row],[Duplicate Key]])</f>
        <v>1</v>
      </c>
    </row>
    <row r="5106" spans="1:10">
      <c r="A5106" s="7">
        <v>4</v>
      </c>
      <c r="B5106" s="8" t="s">
        <v>5664</v>
      </c>
      <c r="C5106" s="8" t="s">
        <v>5464</v>
      </c>
      <c r="D5106" s="7">
        <v>1</v>
      </c>
      <c r="E5106" s="7">
        <v>91</v>
      </c>
      <c r="F5106" s="7">
        <v>1</v>
      </c>
      <c r="G5106" s="8" t="s">
        <v>5373</v>
      </c>
      <c r="H5106" s="8" t="s">
        <v>5374</v>
      </c>
      <c r="I5106" s="7" t="str">
        <f>_xlfn.CONCAT(Paper_Reference[[#This Row],[Lvl]:[Paper Description]])</f>
        <v>4QUBWW971PPK2Q WW971 CL GUN 2LP (- APP)1911100WW971-6200GUN SAVOY WALNUT</v>
      </c>
      <c r="J5106" s="7">
        <f>COUNTIF(Paper_Reference[Duplicate Key],Paper_Reference[[#This Row],[Duplicate Key]])</f>
        <v>1</v>
      </c>
    </row>
    <row r="5107" spans="1:10">
      <c r="A5107" s="7">
        <v>4</v>
      </c>
      <c r="B5107" s="8" t="s">
        <v>5665</v>
      </c>
      <c r="C5107" s="8" t="s">
        <v>5465</v>
      </c>
      <c r="D5107" s="7">
        <v>1</v>
      </c>
      <c r="E5107" s="7">
        <v>91</v>
      </c>
      <c r="F5107" s="7">
        <v>1</v>
      </c>
      <c r="G5107" s="8" t="s">
        <v>5373</v>
      </c>
      <c r="H5107" s="8" t="s">
        <v>5374</v>
      </c>
      <c r="I5107" s="7" t="str">
        <f>_xlfn.CONCAT(Paper_Reference[[#This Row],[Lvl]:[Paper Description]])</f>
        <v>4QUBWW971PPK3Q WW971 CL GUN LEFT LP1911100WW971-6200GUN SAVOY WALNUT</v>
      </c>
      <c r="J5107" s="7">
        <f>COUNTIF(Paper_Reference[Duplicate Key],Paper_Reference[[#This Row],[Duplicate Key]])</f>
        <v>1</v>
      </c>
    </row>
    <row r="5108" spans="1:10">
      <c r="A5108" s="7">
        <v>4</v>
      </c>
      <c r="B5108" s="8" t="s">
        <v>5666</v>
      </c>
      <c r="C5108" s="8" t="s">
        <v>5460</v>
      </c>
      <c r="D5108" s="7">
        <v>1</v>
      </c>
      <c r="E5108" s="7">
        <v>91</v>
      </c>
      <c r="F5108" s="7">
        <v>1</v>
      </c>
      <c r="G5108" s="8" t="s">
        <v>5373</v>
      </c>
      <c r="H5108" s="8" t="s">
        <v>5374</v>
      </c>
      <c r="I5108" s="7" t="str">
        <f>_xlfn.CONCAT(Paper_Reference[[#This Row],[Lvl]:[Paper Description]])</f>
        <v>4QUBWW971PPK4Q WW971 CL GUN RIGHT LP1911100WW971-6200GUN SAVOY WALNUT</v>
      </c>
      <c r="J5108" s="7">
        <f>COUNTIF(Paper_Reference[Duplicate Key],Paper_Reference[[#This Row],[Duplicate Key]])</f>
        <v>1</v>
      </c>
    </row>
    <row r="5109" spans="1:10">
      <c r="A5109" s="7">
        <v>4</v>
      </c>
      <c r="B5109" s="8" t="s">
        <v>5667</v>
      </c>
      <c r="C5109" s="8" t="s">
        <v>5466</v>
      </c>
      <c r="D5109" s="7">
        <v>1</v>
      </c>
      <c r="E5109" s="7">
        <v>91</v>
      </c>
      <c r="F5109" s="7">
        <v>1</v>
      </c>
      <c r="G5109" s="8" t="s">
        <v>5373</v>
      </c>
      <c r="H5109" s="8" t="s">
        <v>5374</v>
      </c>
      <c r="I5109" s="7" t="str">
        <f>_xlfn.CONCAT(Paper_Reference[[#This Row],[Lvl]:[Paper Description]])</f>
        <v>4QUBWW971PPK5Q WW971 CL GUN (CG) 2LP1911100WW971-6200GUN SAVOY WALNUT</v>
      </c>
      <c r="J5109" s="7">
        <f>COUNTIF(Paper_Reference[Duplicate Key],Paper_Reference[[#This Row],[Duplicate Key]])</f>
        <v>1</v>
      </c>
    </row>
    <row r="5110" spans="1:10">
      <c r="A5110" s="7">
        <v>4</v>
      </c>
      <c r="B5110" s="8" t="s">
        <v>5668</v>
      </c>
      <c r="C5110" s="8" t="s">
        <v>5467</v>
      </c>
      <c r="D5110" s="7">
        <v>1</v>
      </c>
      <c r="E5110" s="7">
        <v>91</v>
      </c>
      <c r="F5110" s="7">
        <v>3</v>
      </c>
      <c r="G5110" s="8" t="s">
        <v>5373</v>
      </c>
      <c r="H5110" s="8" t="s">
        <v>5374</v>
      </c>
      <c r="I5110" s="7" t="str">
        <f>_xlfn.CONCAT(Paper_Reference[[#This Row],[Lvl]:[Paper Description]])</f>
        <v>4QUBWW971PPK6Q WW971 CL GUN  (CG) RLP1913100WW971-6200GUN SAVOY WALNUT</v>
      </c>
      <c r="J5110" s="7">
        <f>COUNTIF(Paper_Reference[Duplicate Key],Paper_Reference[[#This Row],[Duplicate Key]])</f>
        <v>1</v>
      </c>
    </row>
    <row r="5111" spans="1:10">
      <c r="A5111" s="7">
        <v>4</v>
      </c>
      <c r="B5111" s="8" t="s">
        <v>5669</v>
      </c>
      <c r="C5111" s="8" t="s">
        <v>5468</v>
      </c>
      <c r="D5111" s="7">
        <v>1</v>
      </c>
      <c r="E5111" s="7">
        <v>91</v>
      </c>
      <c r="F5111" s="7">
        <v>1</v>
      </c>
      <c r="G5111" s="8" t="s">
        <v>5373</v>
      </c>
      <c r="H5111" s="8" t="s">
        <v>5374</v>
      </c>
      <c r="I5111" s="7" t="str">
        <f>_xlfn.CONCAT(Paper_Reference[[#This Row],[Lvl]:[Paper Description]])</f>
        <v>4QUBWW971PPK7Q WW971 CL GUN (CG) LLP1911100WW971-6200GUN SAVOY WALNUT</v>
      </c>
      <c r="J5111" s="7">
        <f>COUNTIF(Paper_Reference[Duplicate Key],Paper_Reference[[#This Row],[Duplicate Key]])</f>
        <v>1</v>
      </c>
    </row>
    <row r="5112" spans="1:10">
      <c r="A5112" s="7">
        <v>4</v>
      </c>
      <c r="B5112" s="8" t="s">
        <v>947</v>
      </c>
      <c r="C5112" s="8" t="s">
        <v>948</v>
      </c>
      <c r="D5112" s="7">
        <v>1</v>
      </c>
      <c r="E5112" s="7">
        <v>91</v>
      </c>
      <c r="F5112" s="7">
        <v>1</v>
      </c>
      <c r="G5112" s="8" t="s">
        <v>5373</v>
      </c>
      <c r="H5112" s="8" t="s">
        <v>5374</v>
      </c>
      <c r="I5112" s="7" t="str">
        <f>_xlfn.CONCAT(Paper_Reference[[#This Row],[Lvl]:[Paper Description]])</f>
        <v>4QUBWW971PPK8Q WW971 CL GUN 2 LANE PACK1911100WW971-6200GUN SAVOY WALNUT</v>
      </c>
      <c r="J5112" s="7">
        <f>COUNTIF(Paper_Reference[Duplicate Key],Paper_Reference[[#This Row],[Duplicate Key]])</f>
        <v>1</v>
      </c>
    </row>
    <row r="5113" spans="1:10">
      <c r="A5113" s="7">
        <v>4</v>
      </c>
      <c r="B5113" s="8" t="s">
        <v>5670</v>
      </c>
      <c r="C5113" s="8" t="s">
        <v>5465</v>
      </c>
      <c r="D5113" s="7">
        <v>1</v>
      </c>
      <c r="E5113" s="7">
        <v>91</v>
      </c>
      <c r="F5113" s="7">
        <v>1</v>
      </c>
      <c r="G5113" s="8" t="s">
        <v>5373</v>
      </c>
      <c r="H5113" s="8" t="s">
        <v>5374</v>
      </c>
      <c r="I5113" s="7" t="str">
        <f>_xlfn.CONCAT(Paper_Reference[[#This Row],[Lvl]:[Paper Description]])</f>
        <v>4QUBWW971PPK9Q WW971 CL GUN LEFT LP1911100WW971-6200GUN SAVOY WALNUT</v>
      </c>
      <c r="J5113" s="7">
        <f>COUNTIF(Paper_Reference[Duplicate Key],Paper_Reference[[#This Row],[Duplicate Key]])</f>
        <v>1</v>
      </c>
    </row>
    <row r="5114" spans="1:10">
      <c r="A5114" s="7">
        <v>1</v>
      </c>
      <c r="B5114" s="8" t="s">
        <v>5335</v>
      </c>
      <c r="C5114" s="8" t="s">
        <v>4584</v>
      </c>
      <c r="D5114" s="7">
        <v>1</v>
      </c>
      <c r="E5114" s="7">
        <v>10</v>
      </c>
      <c r="F5114" s="7">
        <v>0.92620000000000002</v>
      </c>
      <c r="G5114" s="8" t="s">
        <v>4371</v>
      </c>
      <c r="H5114" s="8" t="s">
        <v>4372</v>
      </c>
      <c r="I5114" s="7" t="str">
        <f>_xlfn.CONCAT(Paper_Reference[[#This Row],[Lvl]:[Paper Description]])</f>
        <v>1QZBDS064NLVW0BLACK 61 1/2 X 1221100.9262100DS064-6200BLACK</v>
      </c>
      <c r="J5114" s="7">
        <f>COUNTIF(Paper_Reference[Duplicate Key],Paper_Reference[[#This Row],[Duplicate Key]])</f>
        <v>1</v>
      </c>
    </row>
    <row r="5115" spans="1:10">
      <c r="A5115" s="7">
        <v>1</v>
      </c>
      <c r="B5115" s="8" t="s">
        <v>5336</v>
      </c>
      <c r="C5115" s="8" t="s">
        <v>4585</v>
      </c>
      <c r="D5115" s="7">
        <v>1</v>
      </c>
      <c r="E5115" s="7">
        <v>10</v>
      </c>
      <c r="F5115" s="7">
        <v>0.56179999999999997</v>
      </c>
      <c r="G5115" s="8" t="s">
        <v>4371</v>
      </c>
      <c r="H5115" s="8" t="s">
        <v>4372</v>
      </c>
      <c r="I5115" s="7" t="str">
        <f>_xlfn.CONCAT(Paper_Reference[[#This Row],[Lvl]:[Paper Description]])</f>
        <v>1QZBDS064NLVX0BLACK 61 1/2 X 741100.5618100DS064-6200BLACK</v>
      </c>
      <c r="J5115" s="7">
        <f>COUNTIF(Paper_Reference[Duplicate Key],Paper_Reference[[#This Row],[Duplicate Key]])</f>
        <v>1</v>
      </c>
    </row>
    <row r="5116" spans="1:10">
      <c r="A5116" s="7">
        <v>1</v>
      </c>
      <c r="B5116" s="8" t="s">
        <v>5671</v>
      </c>
      <c r="C5116" s="8" t="s">
        <v>5444</v>
      </c>
      <c r="D5116" s="7">
        <v>1</v>
      </c>
      <c r="E5116" s="7">
        <v>10</v>
      </c>
      <c r="F5116" s="7">
        <v>7.2599999999999998E-2</v>
      </c>
      <c r="G5116" s="8" t="s">
        <v>5373</v>
      </c>
      <c r="H5116" s="8" t="s">
        <v>5374</v>
      </c>
      <c r="I5116" s="7" t="str">
        <f>_xlfn.CONCAT(Paper_Reference[[#This Row],[Lvl]:[Paper Description]])</f>
        <v>1QZBWW971NCMZ0GUN SAVOY WALNUT 61 1/21100.0726100WW971-6200GUN SAVOY WALNUT</v>
      </c>
      <c r="J5116" s="7">
        <f>COUNTIF(Paper_Reference[Duplicate Key],Paper_Reference[[#This Row],[Duplicate Key]])</f>
        <v>1</v>
      </c>
    </row>
    <row r="5117" spans="1:10">
      <c r="A5117" s="7">
        <v>1</v>
      </c>
      <c r="B5117" s="8" t="s">
        <v>5672</v>
      </c>
      <c r="C5117" s="8" t="s">
        <v>5432</v>
      </c>
      <c r="D5117" s="7">
        <v>1</v>
      </c>
      <c r="E5117" s="7">
        <v>10</v>
      </c>
      <c r="F5117" s="7">
        <v>0.66539999999999999</v>
      </c>
      <c r="G5117" s="8" t="s">
        <v>5373</v>
      </c>
      <c r="H5117" s="8" t="s">
        <v>5374</v>
      </c>
      <c r="I5117" s="7" t="str">
        <f>_xlfn.CONCAT(Paper_Reference[[#This Row],[Lvl]:[Paper Description]])</f>
        <v>1QZBWW971NFFF0GUN SAVOY WALNUT 61 1/2 X 1101100.6654100WW971-6200GUN SAVOY WALNUT</v>
      </c>
      <c r="J5117" s="7">
        <f>COUNTIF(Paper_Reference[Duplicate Key],Paper_Reference[[#This Row],[Duplicate Key]])</f>
        <v>1</v>
      </c>
    </row>
    <row r="5118" spans="1:10">
      <c r="A5118" s="7">
        <v>1</v>
      </c>
      <c r="B5118" s="8" t="s">
        <v>5673</v>
      </c>
      <c r="C5118" s="8" t="s">
        <v>5433</v>
      </c>
      <c r="D5118" s="7">
        <v>1</v>
      </c>
      <c r="E5118" s="7">
        <v>10</v>
      </c>
      <c r="F5118" s="7">
        <v>0.59279999999999999</v>
      </c>
      <c r="G5118" s="8" t="s">
        <v>5373</v>
      </c>
      <c r="H5118" s="8" t="s">
        <v>5374</v>
      </c>
      <c r="I5118" s="7" t="str">
        <f>_xlfn.CONCAT(Paper_Reference[[#This Row],[Lvl]:[Paper Description]])</f>
        <v>1QZBWW971NKRK0GUN SAVOY WALNUT 61 1/2 X 981100.5928100WW971-6200GUN SAVOY WALNUT</v>
      </c>
      <c r="J5118" s="7">
        <f>COUNTIF(Paper_Reference[Duplicate Key],Paper_Reference[[#This Row],[Duplicate Key]])</f>
        <v>1</v>
      </c>
    </row>
    <row r="5119" spans="1:10">
      <c r="A5119" s="7">
        <v>1</v>
      </c>
      <c r="B5119" s="8" t="s">
        <v>5674</v>
      </c>
      <c r="C5119" s="8" t="s">
        <v>5445</v>
      </c>
      <c r="D5119" s="7">
        <v>1</v>
      </c>
      <c r="E5119" s="7">
        <v>10</v>
      </c>
      <c r="F5119" s="7">
        <v>0.73799999999999999</v>
      </c>
      <c r="G5119" s="8" t="s">
        <v>5373</v>
      </c>
      <c r="H5119" s="8" t="s">
        <v>5374</v>
      </c>
      <c r="I5119" s="7" t="str">
        <f>_xlfn.CONCAT(Paper_Reference[[#This Row],[Lvl]:[Paper Description]])</f>
        <v>1QZBWW971NLVW0GUN SAVOY WALNUT 61 1/2 X 1221100.738100WW971-6200GUN SAVOY WALNUT</v>
      </c>
      <c r="J5119" s="7">
        <f>COUNTIF(Paper_Reference[Duplicate Key],Paper_Reference[[#This Row],[Duplicate Key]])</f>
        <v>1</v>
      </c>
    </row>
    <row r="5120" spans="1:10">
      <c r="A5120" s="7">
        <v>1</v>
      </c>
      <c r="B5120" s="8" t="s">
        <v>5675</v>
      </c>
      <c r="C5120" s="8" t="s">
        <v>5469</v>
      </c>
      <c r="D5120" s="7">
        <v>1</v>
      </c>
      <c r="E5120" s="7">
        <v>10</v>
      </c>
      <c r="F5120" s="7">
        <v>0.4476</v>
      </c>
      <c r="G5120" s="8" t="s">
        <v>5373</v>
      </c>
      <c r="H5120" s="8" t="s">
        <v>5374</v>
      </c>
      <c r="I5120" s="7" t="str">
        <f>_xlfn.CONCAT(Paper_Reference[[#This Row],[Lvl]:[Paper Description]])</f>
        <v>1QZBWW971NLVX0GUN SAVOY WALNUT 61 1/2 X 741100.4476100WW971-6200GUN SAVOY WALNUT</v>
      </c>
      <c r="J5120" s="7">
        <f>COUNTIF(Paper_Reference[Duplicate Key],Paper_Reference[[#This Row],[Duplicate Key]])</f>
        <v>1</v>
      </c>
    </row>
    <row r="5121" spans="1:10">
      <c r="A5121" s="7">
        <v>1</v>
      </c>
      <c r="B5121" s="8" t="s">
        <v>5676</v>
      </c>
      <c r="C5121" s="8" t="s">
        <v>5470</v>
      </c>
      <c r="D5121" s="7">
        <v>1</v>
      </c>
      <c r="E5121" s="7">
        <v>10</v>
      </c>
      <c r="F5121" s="7">
        <v>1.1796</v>
      </c>
      <c r="G5121" s="8" t="s">
        <v>5373</v>
      </c>
      <c r="H5121" s="8" t="s">
        <v>5374</v>
      </c>
      <c r="I5121" s="7" t="str">
        <f>_xlfn.CONCAT(Paper_Reference[[#This Row],[Lvl]:[Paper Description]])</f>
        <v>1QZBWW971NLWG0GUN SAVOY WALNUT 61 1/2 X 1951101.1796100WW971-6200GUN SAVOY WALNUT</v>
      </c>
      <c r="J5121" s="7">
        <f>COUNTIF(Paper_Reference[Duplicate Key],Paper_Reference[[#This Row],[Duplicate Key]])</f>
        <v>1</v>
      </c>
    </row>
    <row r="5122" spans="1:10">
      <c r="A5122" s="7">
        <v>1</v>
      </c>
      <c r="B5122" s="8" t="s">
        <v>5677</v>
      </c>
      <c r="C5122" s="8" t="s">
        <v>5446</v>
      </c>
      <c r="D5122" s="7">
        <v>1</v>
      </c>
      <c r="E5122" s="7">
        <v>10</v>
      </c>
      <c r="F5122" s="7">
        <v>1.3247</v>
      </c>
      <c r="G5122" s="8" t="s">
        <v>5373</v>
      </c>
      <c r="H5122" s="8" t="s">
        <v>5374</v>
      </c>
      <c r="I5122" s="7" t="str">
        <f>_xlfn.CONCAT(Paper_Reference[[#This Row],[Lvl]:[Paper Description]])</f>
        <v>1QZBWW971NLWJ0GUN SAVOY WALNUT 61 1/2 X 2191101.3247100WW971-6200GUN SAVOY WALNUT</v>
      </c>
      <c r="J5122" s="7">
        <f>COUNTIF(Paper_Reference[Duplicate Key],Paper_Reference[[#This Row],[Duplicate Key]])</f>
        <v>1</v>
      </c>
    </row>
    <row r="5123" spans="1:10">
      <c r="A5123" s="7">
        <v>1</v>
      </c>
      <c r="B5123" s="8" t="s">
        <v>5678</v>
      </c>
      <c r="C5123" s="8" t="s">
        <v>5471</v>
      </c>
      <c r="D5123" s="7">
        <v>1</v>
      </c>
      <c r="E5123" s="7">
        <v>10</v>
      </c>
      <c r="F5123" s="7">
        <v>0.5958</v>
      </c>
      <c r="G5123" s="8" t="s">
        <v>5373</v>
      </c>
      <c r="H5123" s="8" t="s">
        <v>5374</v>
      </c>
      <c r="I5123" s="7" t="str">
        <f>_xlfn.CONCAT(Paper_Reference[[#This Row],[Lvl]:[Paper Description]])</f>
        <v>1QZBWW971NPXM0GUN SAVOY WAL 61 1/2 X 98 1/21100.5958100WW971-6200GUN SAVOY WALNUT</v>
      </c>
      <c r="J5123" s="7">
        <f>COUNTIF(Paper_Reference[Duplicate Key],Paper_Reference[[#This Row],[Duplicate Key]])</f>
        <v>1</v>
      </c>
    </row>
    <row r="5124" spans="1:10">
      <c r="A5124" s="7">
        <v>1</v>
      </c>
      <c r="B5124" s="8" t="s">
        <v>5679</v>
      </c>
      <c r="C5124" s="8" t="s">
        <v>5472</v>
      </c>
      <c r="D5124" s="7">
        <v>1</v>
      </c>
      <c r="E5124" s="7">
        <v>10</v>
      </c>
      <c r="F5124" s="7">
        <v>0.74099999999999999</v>
      </c>
      <c r="G5124" s="8" t="s">
        <v>5373</v>
      </c>
      <c r="H5124" s="8" t="s">
        <v>5374</v>
      </c>
      <c r="I5124" s="7" t="str">
        <f>_xlfn.CONCAT(Paper_Reference[[#This Row],[Lvl]:[Paper Description]])</f>
        <v>1QZBWW971NPYP0GUN SAVOY WAL 61 1/2 X 122 1/21100.741100WW971-6200GUN SAVOY WALNUT</v>
      </c>
      <c r="J5124" s="7">
        <f>COUNTIF(Paper_Reference[Duplicate Key],Paper_Reference[[#This Row],[Duplicate Key]])</f>
        <v>1</v>
      </c>
    </row>
    <row r="5125" spans="1:10">
      <c r="A5125" s="7">
        <v>1</v>
      </c>
      <c r="B5125" s="8" t="s">
        <v>5337</v>
      </c>
      <c r="C5125" s="8" t="s">
        <v>4574</v>
      </c>
      <c r="D5125" s="7">
        <v>1</v>
      </c>
      <c r="E5125" s="7">
        <v>10</v>
      </c>
      <c r="F5125" s="7">
        <v>9.0999999999999998E-2</v>
      </c>
      <c r="G5125" s="8" t="s">
        <v>4371</v>
      </c>
      <c r="H5125" s="8" t="s">
        <v>4372</v>
      </c>
      <c r="I5125" s="7" t="str">
        <f>_xlfn.CONCAT(Paper_Reference[[#This Row],[Lvl]:[Paper Description]])</f>
        <v>1QZQDS064NCMZ0BLACK 61 1/21100.091100DS064-6200BLACK</v>
      </c>
      <c r="J5125" s="7">
        <f>COUNTIF(Paper_Reference[Duplicate Key],Paper_Reference[[#This Row],[Duplicate Key]])</f>
        <v>1</v>
      </c>
    </row>
    <row r="5126" spans="1:10">
      <c r="A5126" s="7">
        <v>1</v>
      </c>
      <c r="B5126" s="8" t="s">
        <v>5338</v>
      </c>
      <c r="C5126" s="8" t="s">
        <v>4606</v>
      </c>
      <c r="D5126" s="7">
        <v>1</v>
      </c>
      <c r="E5126" s="7">
        <v>10</v>
      </c>
      <c r="F5126" s="7">
        <v>0.28050000000000003</v>
      </c>
      <c r="G5126" s="8" t="s">
        <v>4371</v>
      </c>
      <c r="H5126" s="8" t="s">
        <v>4372</v>
      </c>
      <c r="I5126" s="7" t="str">
        <f>_xlfn.CONCAT(Paper_Reference[[#This Row],[Lvl]:[Paper Description]])</f>
        <v>1QZQDS064NCNA0BLACK 61 1/2 X 371100.2805100DS064-6200BLACK</v>
      </c>
      <c r="J5126" s="7">
        <f>COUNTIF(Paper_Reference[Duplicate Key],Paper_Reference[[#This Row],[Duplicate Key]])</f>
        <v>1</v>
      </c>
    </row>
    <row r="5127" spans="1:10">
      <c r="A5127" s="7">
        <v>1</v>
      </c>
      <c r="B5127" s="8" t="s">
        <v>5339</v>
      </c>
      <c r="C5127" s="8" t="s">
        <v>4580</v>
      </c>
      <c r="D5127" s="7">
        <v>1</v>
      </c>
      <c r="E5127" s="7">
        <v>10</v>
      </c>
      <c r="F5127" s="7">
        <v>0.83</v>
      </c>
      <c r="G5127" s="8" t="s">
        <v>4371</v>
      </c>
      <c r="H5127" s="8" t="s">
        <v>4372</v>
      </c>
      <c r="I5127" s="7" t="str">
        <f>_xlfn.CONCAT(Paper_Reference[[#This Row],[Lvl]:[Paper Description]])</f>
        <v>1QZQDS064NCNC0BLACK 61 1/2 X 109 1/21100.83100DS064-6200BLACK</v>
      </c>
      <c r="J5127" s="7">
        <f>COUNTIF(Paper_Reference[Duplicate Key],Paper_Reference[[#This Row],[Duplicate Key]])</f>
        <v>1</v>
      </c>
    </row>
    <row r="5128" spans="1:10">
      <c r="A5128" s="7">
        <v>1</v>
      </c>
      <c r="B5128" s="8" t="s">
        <v>5340</v>
      </c>
      <c r="C5128" s="8" t="s">
        <v>4607</v>
      </c>
      <c r="D5128" s="7">
        <v>1</v>
      </c>
      <c r="E5128" s="7">
        <v>10</v>
      </c>
      <c r="F5128" s="7">
        <v>0.83379999999999999</v>
      </c>
      <c r="G5128" s="8" t="s">
        <v>4371</v>
      </c>
      <c r="H5128" s="8" t="s">
        <v>4372</v>
      </c>
      <c r="I5128" s="7" t="str">
        <f>_xlfn.CONCAT(Paper_Reference[[#This Row],[Lvl]:[Paper Description]])</f>
        <v>1QZQDS064NFFF0BLACK  61 1/2 X 1101100.8338100DS064-6200BLACK</v>
      </c>
      <c r="J5128" s="7">
        <f>COUNTIF(Paper_Reference[Duplicate Key],Paper_Reference[[#This Row],[Duplicate Key]])</f>
        <v>1</v>
      </c>
    </row>
    <row r="5129" spans="1:10">
      <c r="A5129" s="7">
        <v>1</v>
      </c>
      <c r="B5129" s="8" t="s">
        <v>5341</v>
      </c>
      <c r="C5129" s="8" t="s">
        <v>4608</v>
      </c>
      <c r="D5129" s="7">
        <v>1</v>
      </c>
      <c r="E5129" s="7">
        <v>10</v>
      </c>
      <c r="F5129" s="7">
        <v>1.0991</v>
      </c>
      <c r="G5129" s="8" t="s">
        <v>4371</v>
      </c>
      <c r="H5129" s="8" t="s">
        <v>4372</v>
      </c>
      <c r="I5129" s="7" t="str">
        <f>_xlfn.CONCAT(Paper_Reference[[#This Row],[Lvl]:[Paper Description]])</f>
        <v>1QZQDS064NKRE0BLACK 61 1/2 X 1451101.0991100DS064-6200BLACK</v>
      </c>
      <c r="J5129" s="7">
        <f>COUNTIF(Paper_Reference[Duplicate Key],Paper_Reference[[#This Row],[Duplicate Key]])</f>
        <v>1</v>
      </c>
    </row>
    <row r="5130" spans="1:10">
      <c r="A5130" s="7">
        <v>1</v>
      </c>
      <c r="B5130" s="8" t="s">
        <v>5342</v>
      </c>
      <c r="C5130" s="8" t="s">
        <v>4582</v>
      </c>
      <c r="D5130" s="7">
        <v>1</v>
      </c>
      <c r="E5130" s="7">
        <v>10</v>
      </c>
      <c r="F5130" s="7">
        <v>0.7429</v>
      </c>
      <c r="G5130" s="8" t="s">
        <v>4371</v>
      </c>
      <c r="H5130" s="8" t="s">
        <v>4372</v>
      </c>
      <c r="I5130" s="7" t="str">
        <f>_xlfn.CONCAT(Paper_Reference[[#This Row],[Lvl]:[Paper Description]])</f>
        <v>1QZQDS064NKRK0BLACK 61 1/2 X 981100.7429100DS064-6200BLACK</v>
      </c>
      <c r="J5130" s="7">
        <f>COUNTIF(Paper_Reference[Duplicate Key],Paper_Reference[[#This Row],[Duplicate Key]])</f>
        <v>1</v>
      </c>
    </row>
    <row r="5131" spans="1:10">
      <c r="A5131" s="7">
        <v>1</v>
      </c>
      <c r="B5131" s="8" t="s">
        <v>5343</v>
      </c>
      <c r="C5131" s="8" t="s">
        <v>4599</v>
      </c>
      <c r="D5131" s="7">
        <v>1</v>
      </c>
      <c r="E5131" s="7">
        <v>10</v>
      </c>
      <c r="F5131" s="7">
        <v>0.27289999999999998</v>
      </c>
      <c r="G5131" s="8" t="s">
        <v>4371</v>
      </c>
      <c r="H5131" s="8" t="s">
        <v>4372</v>
      </c>
      <c r="I5131" s="7" t="str">
        <f>_xlfn.CONCAT(Paper_Reference[[#This Row],[Lvl]:[Paper Description]])</f>
        <v>1QZQDS064NLVP0BLACK 61 1/2 X 361100.2729100DS064-6200BLACK</v>
      </c>
      <c r="J5131" s="7">
        <f>COUNTIF(Paper_Reference[Duplicate Key],Paper_Reference[[#This Row],[Duplicate Key]])</f>
        <v>1</v>
      </c>
    </row>
    <row r="5132" spans="1:10">
      <c r="A5132" s="7">
        <v>1</v>
      </c>
      <c r="B5132" s="8" t="s">
        <v>5344</v>
      </c>
      <c r="C5132" s="8" t="s">
        <v>4600</v>
      </c>
      <c r="D5132" s="7">
        <v>1</v>
      </c>
      <c r="E5132" s="7">
        <v>10</v>
      </c>
      <c r="F5132" s="7">
        <v>0.31840000000000002</v>
      </c>
      <c r="G5132" s="8" t="s">
        <v>4371</v>
      </c>
      <c r="H5132" s="8" t="s">
        <v>4372</v>
      </c>
      <c r="I5132" s="7" t="str">
        <f>_xlfn.CONCAT(Paper_Reference[[#This Row],[Lvl]:[Paper Description]])</f>
        <v>1QZQDS064NLVQ0BLACK 61 1/2 X 421100.3184100DS064-6200BLACK</v>
      </c>
      <c r="J5132" s="7">
        <f>COUNTIF(Paper_Reference[Duplicate Key],Paper_Reference[[#This Row],[Duplicate Key]])</f>
        <v>1</v>
      </c>
    </row>
    <row r="5133" spans="1:10">
      <c r="A5133" s="7">
        <v>1</v>
      </c>
      <c r="B5133" s="8" t="s">
        <v>5345</v>
      </c>
      <c r="C5133" s="8" t="s">
        <v>4609</v>
      </c>
      <c r="D5133" s="7">
        <v>1</v>
      </c>
      <c r="E5133" s="7">
        <v>10</v>
      </c>
      <c r="F5133" s="7">
        <v>0.73909999999999998</v>
      </c>
      <c r="G5133" s="8" t="s">
        <v>4371</v>
      </c>
      <c r="H5133" s="8" t="s">
        <v>4372</v>
      </c>
      <c r="I5133" s="7" t="str">
        <f>_xlfn.CONCAT(Paper_Reference[[#This Row],[Lvl]:[Paper Description]])</f>
        <v>1QZQDS064NLVU0BLACK 61 1/2 X  97 1/21100.7391100DS064-6200BLACK</v>
      </c>
      <c r="J5133" s="7">
        <f>COUNTIF(Paper_Reference[Duplicate Key],Paper_Reference[[#This Row],[Duplicate Key]])</f>
        <v>1</v>
      </c>
    </row>
    <row r="5134" spans="1:10">
      <c r="A5134" s="7">
        <v>1</v>
      </c>
      <c r="B5134" s="8" t="s">
        <v>5346</v>
      </c>
      <c r="C5134" s="8" t="s">
        <v>4584</v>
      </c>
      <c r="D5134" s="7">
        <v>1</v>
      </c>
      <c r="E5134" s="7">
        <v>10</v>
      </c>
      <c r="F5134" s="7">
        <v>0.92479999999999996</v>
      </c>
      <c r="G5134" s="8" t="s">
        <v>4371</v>
      </c>
      <c r="H5134" s="8" t="s">
        <v>4372</v>
      </c>
      <c r="I5134" s="7" t="str">
        <f>_xlfn.CONCAT(Paper_Reference[[#This Row],[Lvl]:[Paper Description]])</f>
        <v>1QZQDS064NLVW0BLACK 61 1/2 X 1221100.9248100DS064-6200BLACK</v>
      </c>
      <c r="J5134" s="7">
        <f>COUNTIF(Paper_Reference[Duplicate Key],Paper_Reference[[#This Row],[Duplicate Key]])</f>
        <v>1</v>
      </c>
    </row>
    <row r="5135" spans="1:10">
      <c r="A5135" s="7">
        <v>1</v>
      </c>
      <c r="B5135" s="8" t="s">
        <v>5347</v>
      </c>
      <c r="C5135" s="8" t="s">
        <v>4601</v>
      </c>
      <c r="D5135" s="7">
        <v>1</v>
      </c>
      <c r="E5135" s="7">
        <v>10</v>
      </c>
      <c r="F5135" s="7">
        <v>1.1067</v>
      </c>
      <c r="G5135" s="8" t="s">
        <v>4371</v>
      </c>
      <c r="H5135" s="8" t="s">
        <v>4372</v>
      </c>
      <c r="I5135" s="7" t="str">
        <f>_xlfn.CONCAT(Paper_Reference[[#This Row],[Lvl]:[Paper Description]])</f>
        <v>1QZQDS064NLWD0BLACK 61 1/2 X 1461101.1067100DS064-6200BLACK</v>
      </c>
      <c r="J5135" s="7">
        <f>COUNTIF(Paper_Reference[Duplicate Key],Paper_Reference[[#This Row],[Duplicate Key]])</f>
        <v>1</v>
      </c>
    </row>
    <row r="5136" spans="1:10">
      <c r="A5136" s="7">
        <v>1</v>
      </c>
      <c r="B5136" s="8" t="s">
        <v>5348</v>
      </c>
      <c r="C5136" s="8" t="s">
        <v>4610</v>
      </c>
      <c r="D5136" s="7">
        <v>1</v>
      </c>
      <c r="E5136" s="7">
        <v>10</v>
      </c>
      <c r="F5136" s="7">
        <v>0.3715</v>
      </c>
      <c r="G5136" s="8" t="s">
        <v>4371</v>
      </c>
      <c r="H5136" s="8" t="s">
        <v>4372</v>
      </c>
      <c r="I5136" s="7" t="str">
        <f>_xlfn.CONCAT(Paper_Reference[[#This Row],[Lvl]:[Paper Description]])</f>
        <v>1QZQDS064NMGE0BLACK 61 1/2 X 491100.3715100DS064-6200BLACK</v>
      </c>
      <c r="J5136" s="7">
        <f>COUNTIF(Paper_Reference[Duplicate Key],Paper_Reference[[#This Row],[Duplicate Key]])</f>
        <v>1</v>
      </c>
    </row>
    <row r="5137" spans="1:10">
      <c r="A5137" s="7">
        <v>1</v>
      </c>
      <c r="B5137" s="8" t="s">
        <v>5349</v>
      </c>
      <c r="C5137" s="8" t="s">
        <v>4587</v>
      </c>
      <c r="D5137" s="7">
        <v>1</v>
      </c>
      <c r="E5137" s="7">
        <v>10</v>
      </c>
      <c r="F5137" s="7">
        <v>0.92100000000000004</v>
      </c>
      <c r="G5137" s="8" t="s">
        <v>4371</v>
      </c>
      <c r="H5137" s="8" t="s">
        <v>4372</v>
      </c>
      <c r="I5137" s="7" t="str">
        <f>_xlfn.CONCAT(Paper_Reference[[#This Row],[Lvl]:[Paper Description]])</f>
        <v>1QZQDS064NNJJ0BLACK 61 1/2 X 121 1/21100.921100DS064-6200BLACK</v>
      </c>
      <c r="J5137" s="7">
        <f>COUNTIF(Paper_Reference[Duplicate Key],Paper_Reference[[#This Row],[Duplicate Key]])</f>
        <v>1</v>
      </c>
    </row>
    <row r="5138" spans="1:10">
      <c r="A5138" s="7">
        <v>1</v>
      </c>
      <c r="B5138" s="8" t="s">
        <v>5350</v>
      </c>
      <c r="C5138" s="8" t="s">
        <v>4588</v>
      </c>
      <c r="D5138" s="7">
        <v>1</v>
      </c>
      <c r="E5138" s="7">
        <v>10</v>
      </c>
      <c r="F5138" s="7">
        <v>0.55720000000000003</v>
      </c>
      <c r="G5138" s="8" t="s">
        <v>4371</v>
      </c>
      <c r="H5138" s="8" t="s">
        <v>4372</v>
      </c>
      <c r="I5138" s="7" t="str">
        <f>_xlfn.CONCAT(Paper_Reference[[#This Row],[Lvl]:[Paper Description]])</f>
        <v>1QZQDS064NNST0BLACK 61 1/2 X 73 1/21100.5572100DS064-6200BLACK</v>
      </c>
      <c r="J5138" s="7">
        <f>COUNTIF(Paper_Reference[Duplicate Key],Paper_Reference[[#This Row],[Duplicate Key]])</f>
        <v>1</v>
      </c>
    </row>
    <row r="5139" spans="1:10">
      <c r="A5139" s="7">
        <v>1</v>
      </c>
      <c r="B5139" s="8" t="s">
        <v>5351</v>
      </c>
      <c r="C5139" s="8" t="s">
        <v>4589</v>
      </c>
      <c r="D5139" s="7">
        <v>1</v>
      </c>
      <c r="E5139" s="7">
        <v>10</v>
      </c>
      <c r="F5139" s="7">
        <v>0.64810000000000001</v>
      </c>
      <c r="G5139" s="8" t="s">
        <v>4371</v>
      </c>
      <c r="H5139" s="8" t="s">
        <v>4372</v>
      </c>
      <c r="I5139" s="7" t="str">
        <f>_xlfn.CONCAT(Paper_Reference[[#This Row],[Lvl]:[Paper Description]])</f>
        <v>1QZQDS064NNSU0BLACK 61 1/2 X 85 1/21100.6481100DS064-6200BLACK</v>
      </c>
      <c r="J5139" s="7">
        <f>COUNTIF(Paper_Reference[Duplicate Key],Paper_Reference[[#This Row],[Duplicate Key]])</f>
        <v>1</v>
      </c>
    </row>
    <row r="5140" spans="1:10">
      <c r="A5140" s="7">
        <v>1</v>
      </c>
      <c r="B5140" s="8" t="s">
        <v>5352</v>
      </c>
      <c r="C5140" s="8" t="s">
        <v>4611</v>
      </c>
      <c r="D5140" s="7">
        <v>1</v>
      </c>
      <c r="E5140" s="7">
        <v>10</v>
      </c>
      <c r="F5140" s="7">
        <v>1.1029</v>
      </c>
      <c r="G5140" s="8" t="s">
        <v>4371</v>
      </c>
      <c r="H5140" s="8" t="s">
        <v>4372</v>
      </c>
      <c r="I5140" s="7" t="str">
        <f>_xlfn.CONCAT(Paper_Reference[[#This Row],[Lvl]:[Paper Description]])</f>
        <v>1QZQDS064NSJV0BLACK 61 1/2 X 145 1/21101.1029100DS064-6200BLACK</v>
      </c>
      <c r="J5140" s="7">
        <f>COUNTIF(Paper_Reference[Duplicate Key],Paper_Reference[[#This Row],[Duplicate Key]])</f>
        <v>1</v>
      </c>
    </row>
    <row r="5141" spans="1:10">
      <c r="A5141" s="7">
        <v>1</v>
      </c>
      <c r="B5141" s="8" t="s">
        <v>5353</v>
      </c>
      <c r="C5141" s="8" t="s">
        <v>4612</v>
      </c>
      <c r="D5141" s="7">
        <v>1</v>
      </c>
      <c r="E5141" s="7">
        <v>10</v>
      </c>
      <c r="F5141" s="7">
        <v>1.6638999999999999</v>
      </c>
      <c r="G5141" s="8" t="s">
        <v>4371</v>
      </c>
      <c r="H5141" s="8" t="s">
        <v>4372</v>
      </c>
      <c r="I5141" s="7" t="str">
        <f>_xlfn.CONCAT(Paper_Reference[[#This Row],[Lvl]:[Paper Description]])</f>
        <v>1QZQDS064NSPL0BLACK 61 1/2 X 219 1/21101.6639100DS064-6200BLACK</v>
      </c>
      <c r="J5141" s="7">
        <f>COUNTIF(Paper_Reference[Duplicate Key],Paper_Reference[[#This Row],[Duplicate Key]])</f>
        <v>1</v>
      </c>
    </row>
    <row r="5142" spans="1:10">
      <c r="A5142" s="7">
        <v>1</v>
      </c>
      <c r="B5142" s="8" t="s">
        <v>5354</v>
      </c>
      <c r="C5142" s="8" t="s">
        <v>4577</v>
      </c>
      <c r="D5142" s="7">
        <v>1</v>
      </c>
      <c r="E5142" s="7">
        <v>10</v>
      </c>
      <c r="F5142" s="7">
        <v>0.73619999999999997</v>
      </c>
      <c r="G5142" s="8" t="s">
        <v>4371</v>
      </c>
      <c r="H5142" s="8" t="s">
        <v>4372</v>
      </c>
      <c r="I5142" s="7" t="str">
        <f>_xlfn.CONCAT(Paper_Reference[[#This Row],[Lvl]:[Paper Description]])</f>
        <v>1QZQDS064NSYY0BLACK 61 1/8 X 97 1/81100.7362100DS064-6200BLACK</v>
      </c>
      <c r="J5142" s="7">
        <f>COUNTIF(Paper_Reference[Duplicate Key],Paper_Reference[[#This Row],[Duplicate Key]])</f>
        <v>1</v>
      </c>
    </row>
    <row r="5143" spans="1:10">
      <c r="A5143" s="7">
        <v>1</v>
      </c>
      <c r="B5143" s="8" t="s">
        <v>5355</v>
      </c>
      <c r="C5143" s="8" t="s">
        <v>4613</v>
      </c>
      <c r="D5143" s="7">
        <v>1</v>
      </c>
      <c r="E5143" s="7">
        <v>10</v>
      </c>
      <c r="F5143" s="7">
        <v>1.4819</v>
      </c>
      <c r="G5143" s="8" t="s">
        <v>4371</v>
      </c>
      <c r="H5143" s="8" t="s">
        <v>4372</v>
      </c>
      <c r="I5143" s="7" t="str">
        <f>_xlfn.CONCAT(Paper_Reference[[#This Row],[Lvl]:[Paper Description]])</f>
        <v>1QZQDS064NTNL0BLACK 61 1/2 X 195 1/21101.4819100DS064-6200BLACK</v>
      </c>
      <c r="J5143" s="7">
        <f>COUNTIF(Paper_Reference[Duplicate Key],Paper_Reference[[#This Row],[Duplicate Key]])</f>
        <v>1</v>
      </c>
    </row>
    <row r="5144" spans="1:10">
      <c r="A5144" s="7">
        <v>1</v>
      </c>
      <c r="B5144" s="8" t="s">
        <v>5356</v>
      </c>
      <c r="C5144" s="8" t="s">
        <v>4580</v>
      </c>
      <c r="D5144" s="7">
        <v>1</v>
      </c>
      <c r="E5144" s="7">
        <v>10</v>
      </c>
      <c r="F5144" s="7">
        <v>0.83</v>
      </c>
      <c r="G5144" s="8" t="s">
        <v>4371</v>
      </c>
      <c r="H5144" s="8" t="s">
        <v>4372</v>
      </c>
      <c r="I5144" s="7" t="str">
        <f>_xlfn.CONCAT(Paper_Reference[[#This Row],[Lvl]:[Paper Description]])</f>
        <v>1QZSDS064NCNC0BLACK 61 1/2 X 109 1/21100.83100DS064-6200BLACK</v>
      </c>
      <c r="J5144" s="7">
        <f>COUNTIF(Paper_Reference[Duplicate Key],Paper_Reference[[#This Row],[Duplicate Key]])</f>
        <v>1</v>
      </c>
    </row>
    <row r="5145" spans="1:10">
      <c r="A5145" s="7">
        <v>1</v>
      </c>
      <c r="B5145" s="8" t="s">
        <v>9648</v>
      </c>
      <c r="C5145" s="8" t="s">
        <v>9478</v>
      </c>
      <c r="D5145" s="7">
        <v>1</v>
      </c>
      <c r="E5145" s="7">
        <v>10</v>
      </c>
      <c r="F5145" s="7">
        <v>9.0999999999999998E-2</v>
      </c>
      <c r="G5145" s="8" t="s">
        <v>9143</v>
      </c>
      <c r="H5145" s="8" t="s">
        <v>9144</v>
      </c>
      <c r="I5145" s="30" t="str">
        <f>_xlfn.CONCAT(Paper_Reference[[#This Row],[Lvl]:[Paper Description]])</f>
        <v>1QZSPFA39NCMZ0SING CHICAGO BLUES 61 1/21100.091100PFA39-6200SINGING THE CHICAGO BLUES</v>
      </c>
      <c r="J5145" s="30">
        <f>COUNTIF(Paper_Reference[Duplicate Key],Paper_Reference[[#This Row],[Duplicate Key]])</f>
        <v>1</v>
      </c>
    </row>
    <row r="5146" spans="1:10">
      <c r="A5146" s="7">
        <v>1</v>
      </c>
      <c r="B5146" s="8" t="s">
        <v>9649</v>
      </c>
      <c r="C5146" s="8" t="s">
        <v>9480</v>
      </c>
      <c r="D5146" s="7">
        <v>1</v>
      </c>
      <c r="E5146" s="7">
        <v>10</v>
      </c>
      <c r="F5146" s="7">
        <v>0.83379999999999999</v>
      </c>
      <c r="G5146" s="8" t="s">
        <v>9143</v>
      </c>
      <c r="H5146" s="8" t="s">
        <v>9144</v>
      </c>
      <c r="I5146" s="30" t="str">
        <f>_xlfn.CONCAT(Paper_Reference[[#This Row],[Lvl]:[Paper Description]])</f>
        <v>1QZSPFA39NFFF0SING CHICAGO BLUES 61 1/2X1101100.8338100PFA39-6200SINGING THE CHICAGO BLUES</v>
      </c>
      <c r="J5146" s="30">
        <f>COUNTIF(Paper_Reference[Duplicate Key],Paper_Reference[[#This Row],[Duplicate Key]])</f>
        <v>1</v>
      </c>
    </row>
    <row r="5147" spans="1:10">
      <c r="A5147" s="7">
        <v>1</v>
      </c>
      <c r="B5147" s="8" t="s">
        <v>9650</v>
      </c>
      <c r="C5147" s="8" t="s">
        <v>9482</v>
      </c>
      <c r="D5147" s="7">
        <v>1</v>
      </c>
      <c r="E5147" s="7">
        <v>10</v>
      </c>
      <c r="F5147" s="7">
        <v>0.7429</v>
      </c>
      <c r="G5147" s="8" t="s">
        <v>9143</v>
      </c>
      <c r="H5147" s="8" t="s">
        <v>9144</v>
      </c>
      <c r="I5147" s="30" t="str">
        <f>_xlfn.CONCAT(Paper_Reference[[#This Row],[Lvl]:[Paper Description]])</f>
        <v>1QZSPFA39NKRK0SING CHICAGO BLUES 61 1/2 X 981100.7429100PFA39-6200SINGING THE CHICAGO BLUES</v>
      </c>
      <c r="J5147" s="30">
        <f>COUNTIF(Paper_Reference[Duplicate Key],Paper_Reference[[#This Row],[Duplicate Key]])</f>
        <v>1</v>
      </c>
    </row>
    <row r="5148" spans="1:10">
      <c r="A5148" s="7">
        <v>1</v>
      </c>
      <c r="B5148" s="8" t="s">
        <v>9651</v>
      </c>
      <c r="C5148" s="8" t="s">
        <v>9484</v>
      </c>
      <c r="D5148" s="7">
        <v>1</v>
      </c>
      <c r="E5148" s="7">
        <v>10</v>
      </c>
      <c r="F5148" s="7">
        <v>0.92479999999999996</v>
      </c>
      <c r="G5148" s="8" t="s">
        <v>9143</v>
      </c>
      <c r="H5148" s="8" t="s">
        <v>9144</v>
      </c>
      <c r="I5148" s="30" t="str">
        <f>_xlfn.CONCAT(Paper_Reference[[#This Row],[Lvl]:[Paper Description]])</f>
        <v>1QZSPFA39NLVW0SING CHICAGO BLUES 61 1/2X1221100.9248100PFA39-6200SINGING THE CHICAGO BLUES</v>
      </c>
      <c r="J5148" s="30">
        <f>COUNTIF(Paper_Reference[Duplicate Key],Paper_Reference[[#This Row],[Duplicate Key]])</f>
        <v>1</v>
      </c>
    </row>
    <row r="5149" spans="1:10">
      <c r="A5149" s="7">
        <v>1</v>
      </c>
      <c r="B5149" s="8" t="s">
        <v>9652</v>
      </c>
      <c r="C5149" s="8" t="s">
        <v>9486</v>
      </c>
      <c r="D5149" s="7">
        <v>1</v>
      </c>
      <c r="E5149" s="7">
        <v>10</v>
      </c>
      <c r="F5149" s="7">
        <v>1.6638999999999999</v>
      </c>
      <c r="G5149" s="8" t="s">
        <v>9143</v>
      </c>
      <c r="H5149" s="8" t="s">
        <v>9144</v>
      </c>
      <c r="I5149" s="30" t="str">
        <f>_xlfn.CONCAT(Paper_Reference[[#This Row],[Lvl]:[Paper Description]])</f>
        <v>1QZSPFA39NSPL0S CHICAGO BLUES 61 1/2X219 1/21101.6639100PFA39-6200SINGING THE CHICAGO BLUES</v>
      </c>
      <c r="J5149" s="30">
        <f>COUNTIF(Paper_Reference[Duplicate Key],Paper_Reference[[#This Row],[Duplicate Key]])</f>
        <v>1</v>
      </c>
    </row>
    <row r="5150" spans="1:10">
      <c r="A5150" s="7">
        <v>1</v>
      </c>
      <c r="B5150" s="8" t="s">
        <v>9653</v>
      </c>
      <c r="C5150" s="8" t="s">
        <v>9488</v>
      </c>
      <c r="D5150" s="7">
        <v>1</v>
      </c>
      <c r="E5150" s="7">
        <v>10</v>
      </c>
      <c r="F5150" s="7">
        <v>1.482</v>
      </c>
      <c r="G5150" s="8" t="s">
        <v>9143</v>
      </c>
      <c r="H5150" s="8" t="s">
        <v>9144</v>
      </c>
      <c r="I5150" s="30" t="str">
        <f>_xlfn.CONCAT(Paper_Reference[[#This Row],[Lvl]:[Paper Description]])</f>
        <v>1QZSPFA39NTNL0S CHICAGO BLUES 61 1/2X195 1/21101.482100PFA39-6200SINGING THE CHICAGO BLUES</v>
      </c>
      <c r="J5150" s="30">
        <f>COUNTIF(Paper_Reference[Duplicate Key],Paper_Reference[[#This Row],[Duplicate Key]])</f>
        <v>1</v>
      </c>
    </row>
    <row r="5151" spans="1:10">
      <c r="A5151" s="7">
        <v>1</v>
      </c>
      <c r="B5151" s="8" t="s">
        <v>4362</v>
      </c>
      <c r="C5151" s="8" t="s">
        <v>4197</v>
      </c>
      <c r="D5151" s="7">
        <v>1</v>
      </c>
      <c r="E5151" s="7">
        <v>10</v>
      </c>
      <c r="F5151" s="7">
        <v>9.0999999999999998E-2</v>
      </c>
      <c r="G5151" s="8" t="s">
        <v>4129</v>
      </c>
      <c r="H5151" s="8" t="s">
        <v>4130</v>
      </c>
      <c r="I5151" s="7" t="str">
        <f>_xlfn.CONCAT(Paper_Reference[[#This Row],[Lvl]:[Paper Description]])</f>
        <v>1QZSWC013NCMZ0BLOSSOM CHERRY 61 1/21100.091110WC013-6200BLOSSOM CHERRY</v>
      </c>
      <c r="J5151" s="7">
        <f>COUNTIF(Paper_Reference[Duplicate Key],Paper_Reference[[#This Row],[Duplicate Key]])</f>
        <v>1</v>
      </c>
    </row>
    <row r="5152" spans="1:10">
      <c r="A5152" s="7">
        <v>1</v>
      </c>
      <c r="B5152" s="8" t="s">
        <v>4363</v>
      </c>
      <c r="C5152" s="8" t="s">
        <v>4204</v>
      </c>
      <c r="D5152" s="7">
        <v>1</v>
      </c>
      <c r="E5152" s="7">
        <v>10</v>
      </c>
      <c r="F5152" s="7">
        <v>0.7429</v>
      </c>
      <c r="G5152" s="8" t="s">
        <v>4129</v>
      </c>
      <c r="H5152" s="8" t="s">
        <v>4130</v>
      </c>
      <c r="I5152" s="7" t="str">
        <f>_xlfn.CONCAT(Paper_Reference[[#This Row],[Lvl]:[Paper Description]])</f>
        <v>1QZSWC013NKRK0BLOSSOM CHERRY 61 1/2 X 981100.7429110WC013-6200BLOSSOM CHERRY</v>
      </c>
      <c r="J5152" s="7">
        <f>COUNTIF(Paper_Reference[Duplicate Key],Paper_Reference[[#This Row],[Duplicate Key]])</f>
        <v>1</v>
      </c>
    </row>
    <row r="5153" spans="1:10">
      <c r="A5153" s="7">
        <v>1</v>
      </c>
      <c r="B5153" s="8" t="s">
        <v>4364</v>
      </c>
      <c r="C5153" s="8" t="s">
        <v>4205</v>
      </c>
      <c r="D5153" s="7">
        <v>1</v>
      </c>
      <c r="E5153" s="7">
        <v>10</v>
      </c>
      <c r="F5153" s="7">
        <v>0.73909999999999998</v>
      </c>
      <c r="G5153" s="8" t="s">
        <v>4129</v>
      </c>
      <c r="H5153" s="8" t="s">
        <v>4130</v>
      </c>
      <c r="I5153" s="7" t="str">
        <f>_xlfn.CONCAT(Paper_Reference[[#This Row],[Lvl]:[Paper Description]])</f>
        <v>1QZSWC013NLVU0BLOSSOM CHERRY 61 1/2 X  97 1/1100.7391110WC013-6200BLOSSOM CHERRY</v>
      </c>
      <c r="J5153" s="7">
        <f>COUNTIF(Paper_Reference[Duplicate Key],Paper_Reference[[#This Row],[Duplicate Key]])</f>
        <v>1</v>
      </c>
    </row>
    <row r="5154" spans="1:10">
      <c r="A5154" s="7">
        <v>1</v>
      </c>
      <c r="B5154" s="8" t="s">
        <v>4365</v>
      </c>
      <c r="C5154" s="8" t="s">
        <v>4206</v>
      </c>
      <c r="D5154" s="7">
        <v>1</v>
      </c>
      <c r="E5154" s="7">
        <v>10</v>
      </c>
      <c r="F5154" s="7">
        <v>0.92100000000000004</v>
      </c>
      <c r="G5154" s="8" t="s">
        <v>4129</v>
      </c>
      <c r="H5154" s="8" t="s">
        <v>4130</v>
      </c>
      <c r="I5154" s="7" t="str">
        <f>_xlfn.CONCAT(Paper_Reference[[#This Row],[Lvl]:[Paper Description]])</f>
        <v>1QZSWC013NNJJ0BLOSSOM CHR 61 1/2 X 121 1/21100.921110WC013-6200BLOSSOM CHERRY</v>
      </c>
      <c r="J5154" s="7">
        <f>COUNTIF(Paper_Reference[Duplicate Key],Paper_Reference[[#This Row],[Duplicate Key]])</f>
        <v>1</v>
      </c>
    </row>
    <row r="5155" spans="1:10">
      <c r="A5155" s="7">
        <v>1</v>
      </c>
      <c r="B5155" s="8" t="s">
        <v>4366</v>
      </c>
      <c r="C5155" s="8" t="s">
        <v>4207</v>
      </c>
      <c r="D5155" s="7">
        <v>1</v>
      </c>
      <c r="E5155" s="7">
        <v>10</v>
      </c>
      <c r="F5155" s="7">
        <v>0.55720000000000003</v>
      </c>
      <c r="G5155" s="8" t="s">
        <v>4129</v>
      </c>
      <c r="H5155" s="8" t="s">
        <v>4130</v>
      </c>
      <c r="I5155" s="7" t="str">
        <f>_xlfn.CONCAT(Paper_Reference[[#This Row],[Lvl]:[Paper Description]])</f>
        <v>1QZSWC013NNST0BLOSSOM CHERRY 61 1/2X73 1/21100.5572110WC013-6200BLOSSOM CHERRY</v>
      </c>
      <c r="J5155" s="7">
        <f>COUNTIF(Paper_Reference[Duplicate Key],Paper_Reference[[#This Row],[Duplicate Key]])</f>
        <v>1</v>
      </c>
    </row>
    <row r="5156" spans="1:10">
      <c r="A5156" s="7">
        <v>1</v>
      </c>
      <c r="B5156" s="8" t="s">
        <v>4367</v>
      </c>
      <c r="C5156" s="8" t="s">
        <v>4208</v>
      </c>
      <c r="D5156" s="7">
        <v>1</v>
      </c>
      <c r="E5156" s="7">
        <v>10</v>
      </c>
      <c r="F5156" s="7">
        <v>1.1029</v>
      </c>
      <c r="G5156" s="8" t="s">
        <v>4129</v>
      </c>
      <c r="H5156" s="8" t="s">
        <v>4130</v>
      </c>
      <c r="I5156" s="7" t="str">
        <f>_xlfn.CONCAT(Paper_Reference[[#This Row],[Lvl]:[Paper Description]])</f>
        <v>1QZSWC013NSJV0BLOSSOM CHR 61 1/2 X 145 1/21101.1029110WC013-6200BLOSSOM CHERRY</v>
      </c>
      <c r="J5156" s="7">
        <f>COUNTIF(Paper_Reference[Duplicate Key],Paper_Reference[[#This Row],[Duplicate Key]])</f>
        <v>1</v>
      </c>
    </row>
    <row r="5157" spans="1:10">
      <c r="A5157" s="7">
        <v>1</v>
      </c>
      <c r="B5157" s="8" t="s">
        <v>3214</v>
      </c>
      <c r="C5157" s="8" t="s">
        <v>3103</v>
      </c>
      <c r="D5157" s="7">
        <v>1</v>
      </c>
      <c r="E5157" s="7">
        <v>10</v>
      </c>
      <c r="F5157" s="7">
        <v>0.83379999999999999</v>
      </c>
      <c r="G5157" s="8" t="s">
        <v>3115</v>
      </c>
      <c r="H5157" s="8" t="s">
        <v>3090</v>
      </c>
      <c r="I5157" s="7" t="str">
        <f>_xlfn.CONCAT(Paper_Reference[[#This Row],[Lvl]:[Paper Description]])</f>
        <v>1QZSWF131NFFF0VANA 61 1/2 X 1101100.8338100WF131-6200VANA</v>
      </c>
      <c r="J5157" s="7">
        <f>COUNTIF(Paper_Reference[Duplicate Key],Paper_Reference[[#This Row],[Duplicate Key]])</f>
        <v>1</v>
      </c>
    </row>
    <row r="5158" spans="1:10">
      <c r="A5158" s="7">
        <v>1</v>
      </c>
      <c r="B5158" s="8" t="s">
        <v>5680</v>
      </c>
      <c r="C5158" s="8" t="s">
        <v>5444</v>
      </c>
      <c r="D5158" s="7">
        <v>1</v>
      </c>
      <c r="E5158" s="7">
        <v>10</v>
      </c>
      <c r="F5158" s="7">
        <v>7.2800000000000004E-2</v>
      </c>
      <c r="G5158" s="8" t="s">
        <v>5373</v>
      </c>
      <c r="H5158" s="8" t="s">
        <v>5374</v>
      </c>
      <c r="I5158" s="7" t="str">
        <f>_xlfn.CONCAT(Paper_Reference[[#This Row],[Lvl]:[Paper Description]])</f>
        <v>1QZSWW971NCMZ0GUN SAVOY WALNUT 61 1/21100.0728100WW971-6200GUN SAVOY WALNUT</v>
      </c>
      <c r="J5158" s="7">
        <f>COUNTIF(Paper_Reference[Duplicate Key],Paper_Reference[[#This Row],[Duplicate Key]])</f>
        <v>1</v>
      </c>
    </row>
    <row r="5159" spans="1:10">
      <c r="A5159" s="7">
        <v>1</v>
      </c>
      <c r="B5159" s="8" t="s">
        <v>5681</v>
      </c>
      <c r="C5159" s="8" t="s">
        <v>5473</v>
      </c>
      <c r="D5159" s="7">
        <v>1</v>
      </c>
      <c r="E5159" s="7">
        <v>10</v>
      </c>
      <c r="F5159" s="7">
        <v>0.66400000000000003</v>
      </c>
      <c r="G5159" s="8" t="s">
        <v>5373</v>
      </c>
      <c r="H5159" s="8" t="s">
        <v>5374</v>
      </c>
      <c r="I5159" s="7" t="str">
        <f>_xlfn.CONCAT(Paper_Reference[[#This Row],[Lvl]:[Paper Description]])</f>
        <v>1QZSWW971NCNC0GUN SAVOY WAL 61 1/2 X 109 1/21100.664100WW971-6200GUN SAVOY WALNUT</v>
      </c>
      <c r="J5159" s="7">
        <f>COUNTIF(Paper_Reference[Duplicate Key],Paper_Reference[[#This Row],[Duplicate Key]])</f>
        <v>1</v>
      </c>
    </row>
    <row r="5160" spans="1:10">
      <c r="A5160" s="7">
        <v>1</v>
      </c>
      <c r="B5160" s="8" t="s">
        <v>5682</v>
      </c>
      <c r="C5160" s="8" t="s">
        <v>5432</v>
      </c>
      <c r="D5160" s="7">
        <v>1</v>
      </c>
      <c r="E5160" s="7">
        <v>10</v>
      </c>
      <c r="F5160" s="7">
        <v>0.66710000000000003</v>
      </c>
      <c r="G5160" s="8" t="s">
        <v>5373</v>
      </c>
      <c r="H5160" s="8" t="s">
        <v>5374</v>
      </c>
      <c r="I5160" s="7" t="str">
        <f>_xlfn.CONCAT(Paper_Reference[[#This Row],[Lvl]:[Paper Description]])</f>
        <v>1QZSWW971NFFF0GUN SAVOY WALNUT 61 1/2 X 1101100.6671100WW971-6200GUN SAVOY WALNUT</v>
      </c>
      <c r="J5160" s="7">
        <f>COUNTIF(Paper_Reference[Duplicate Key],Paper_Reference[[#This Row],[Duplicate Key]])</f>
        <v>1</v>
      </c>
    </row>
    <row r="5161" spans="1:10">
      <c r="A5161" s="7">
        <v>1</v>
      </c>
      <c r="B5161" s="8" t="s">
        <v>5683</v>
      </c>
      <c r="C5161" s="8" t="s">
        <v>5437</v>
      </c>
      <c r="D5161" s="7">
        <v>1</v>
      </c>
      <c r="E5161" s="7">
        <v>10</v>
      </c>
      <c r="F5161" s="7">
        <v>0.59130000000000005</v>
      </c>
      <c r="G5161" s="8" t="s">
        <v>5373</v>
      </c>
      <c r="H5161" s="8" t="s">
        <v>5374</v>
      </c>
      <c r="I5161" s="7" t="str">
        <f>_xlfn.CONCAT(Paper_Reference[[#This Row],[Lvl]:[Paper Description]])</f>
        <v>1QZSWW971NLVU0GUN SAVOY WAL 61 1/2 X 97 1/21100.5913100WW971-6200GUN SAVOY WALNUT</v>
      </c>
      <c r="J5161" s="7">
        <f>COUNTIF(Paper_Reference[Duplicate Key],Paper_Reference[[#This Row],[Duplicate Key]])</f>
        <v>1</v>
      </c>
    </row>
    <row r="5162" spans="1:10">
      <c r="A5162" s="7">
        <v>1</v>
      </c>
      <c r="B5162" s="8" t="s">
        <v>5684</v>
      </c>
      <c r="C5162" s="8" t="s">
        <v>5445</v>
      </c>
      <c r="D5162" s="7">
        <v>1</v>
      </c>
      <c r="E5162" s="7">
        <v>10</v>
      </c>
      <c r="F5162" s="7">
        <v>0.73980000000000001</v>
      </c>
      <c r="G5162" s="8" t="s">
        <v>5373</v>
      </c>
      <c r="H5162" s="8" t="s">
        <v>5374</v>
      </c>
      <c r="I5162" s="7" t="str">
        <f>_xlfn.CONCAT(Paper_Reference[[#This Row],[Lvl]:[Paper Description]])</f>
        <v>1QZSWW971NLVW0GUN SAVOY WALNUT 61 1/2 X 1221100.7398100WW971-6200GUN SAVOY WALNUT</v>
      </c>
      <c r="J5162" s="7">
        <f>COUNTIF(Paper_Reference[Duplicate Key],Paper_Reference[[#This Row],[Duplicate Key]])</f>
        <v>1</v>
      </c>
    </row>
    <row r="5163" spans="1:10">
      <c r="A5163" s="7">
        <v>1</v>
      </c>
      <c r="B5163" s="8" t="s">
        <v>3756</v>
      </c>
      <c r="C5163" s="8" t="s">
        <v>3305</v>
      </c>
      <c r="D5163" s="7">
        <v>1</v>
      </c>
      <c r="E5163" s="7">
        <v>10</v>
      </c>
      <c r="F5163" s="7">
        <v>1.0799000000000001</v>
      </c>
      <c r="G5163" s="8" t="s">
        <v>3230</v>
      </c>
      <c r="H5163" s="8" t="s">
        <v>3231</v>
      </c>
      <c r="I5163" s="7" t="str">
        <f>_xlfn.CONCAT(Paper_Reference[[#This Row],[Lvl]:[Paper Description]])</f>
        <v>1QZTSW736NKRL0PRECISION WHITE 49 1/2 X 981101.0799110SW736-5000PRECISION WHITE 43 X 145</v>
      </c>
      <c r="J5163" s="7">
        <f>COUNTIF(Paper_Reference[Duplicate Key],Paper_Reference[[#This Row],[Duplicate Key]])</f>
        <v>1</v>
      </c>
    </row>
    <row r="5164" spans="1:10">
      <c r="A5164" s="7">
        <v>1</v>
      </c>
      <c r="B5164" s="8" t="s">
        <v>5357</v>
      </c>
      <c r="C5164" s="8" t="s">
        <v>4580</v>
      </c>
      <c r="D5164" s="7">
        <v>1</v>
      </c>
      <c r="E5164" s="7">
        <v>10</v>
      </c>
      <c r="F5164" s="7">
        <v>0.83</v>
      </c>
      <c r="G5164" s="8" t="s">
        <v>4371</v>
      </c>
      <c r="H5164" s="8" t="s">
        <v>4372</v>
      </c>
      <c r="I5164" s="7" t="str">
        <f>_xlfn.CONCAT(Paper_Reference[[#This Row],[Lvl]:[Paper Description]])</f>
        <v>1QZUDS064NCNC0BLACK 61 1/2 X 109 1/21100.83100DS064-6200BLACK</v>
      </c>
      <c r="J5164" s="7">
        <f>COUNTIF(Paper_Reference[Duplicate Key],Paper_Reference[[#This Row],[Duplicate Key]])</f>
        <v>1</v>
      </c>
    </row>
    <row r="5165" spans="1:10">
      <c r="A5165" s="7">
        <v>3</v>
      </c>
      <c r="B5165" s="8" t="s">
        <v>478</v>
      </c>
      <c r="C5165" s="8" t="s">
        <v>254</v>
      </c>
      <c r="D5165" s="7">
        <v>1</v>
      </c>
      <c r="E5165" s="7">
        <v>91</v>
      </c>
      <c r="F5165" s="7">
        <v>2</v>
      </c>
      <c r="G5165" s="8" t="s">
        <v>214</v>
      </c>
      <c r="H5165" s="8" t="s">
        <v>423</v>
      </c>
      <c r="I5165" s="7" t="str">
        <f>_xlfn.CONCAT(Paper_Reference[[#This Row],[Lvl]:[Paper Description]])</f>
        <v>3SHSUGIDAPPK1SHSU DIG UV PRO 2LP1912100WM991-4300MAPLE LANE PRINT (W)</v>
      </c>
      <c r="J5165" s="7">
        <f>COUNTIF(Paper_Reference[Duplicate Key],Paper_Reference[[#This Row],[Duplicate Key]])</f>
        <v>1</v>
      </c>
    </row>
    <row r="5166" spans="1:10">
      <c r="A5166" s="7">
        <v>3</v>
      </c>
      <c r="B5166" s="8" t="s">
        <v>478</v>
      </c>
      <c r="C5166" s="8" t="s">
        <v>254</v>
      </c>
      <c r="D5166" s="7">
        <v>1</v>
      </c>
      <c r="E5166" s="7">
        <v>91</v>
      </c>
      <c r="F5166" s="7">
        <v>4</v>
      </c>
      <c r="G5166" s="8" t="s">
        <v>214</v>
      </c>
      <c r="H5166" s="8" t="s">
        <v>423</v>
      </c>
      <c r="I5166" s="7" t="str">
        <f>_xlfn.CONCAT(Paper_Reference[[#This Row],[Lvl]:[Paper Description]])</f>
        <v>3SHSUGIDAPPK1SHSU DIG UV PRO 2LP1914100WM991-4300MAPLE LANE PRINT (W)</v>
      </c>
      <c r="J5166" s="7">
        <f>COUNTIF(Paper_Reference[Duplicate Key],Paper_Reference[[#This Row],[Duplicate Key]])</f>
        <v>1</v>
      </c>
    </row>
    <row r="5167" spans="1:10">
      <c r="A5167" s="7">
        <v>4</v>
      </c>
      <c r="B5167" s="8" t="s">
        <v>478</v>
      </c>
      <c r="C5167" s="8" t="s">
        <v>254</v>
      </c>
      <c r="D5167" s="7">
        <v>1</v>
      </c>
      <c r="E5167" s="7">
        <v>91</v>
      </c>
      <c r="F5167" s="7">
        <v>1</v>
      </c>
      <c r="G5167" s="8" t="s">
        <v>215</v>
      </c>
      <c r="H5167" s="8" t="s">
        <v>422</v>
      </c>
      <c r="I5167" s="7" t="str">
        <f>_xlfn.CONCAT(Paper_Reference[[#This Row],[Lvl]:[Paper Description]])</f>
        <v>4SHSUGIDAPPK1SHSU DIG UV PRO 2LP1911100WM101-6200RIGHT BRUNSWICK MAPLE (W)</v>
      </c>
      <c r="J5167" s="7">
        <f>COUNTIF(Paper_Reference[Duplicate Key],Paper_Reference[[#This Row],[Duplicate Key]])</f>
        <v>1</v>
      </c>
    </row>
    <row r="5168" spans="1:10">
      <c r="A5168" s="7">
        <v>4</v>
      </c>
      <c r="B5168" s="8" t="s">
        <v>478</v>
      </c>
      <c r="C5168" s="8" t="s">
        <v>254</v>
      </c>
      <c r="D5168" s="7">
        <v>1</v>
      </c>
      <c r="E5168" s="7">
        <v>91</v>
      </c>
      <c r="F5168" s="7">
        <v>1</v>
      </c>
      <c r="G5168" s="8" t="s">
        <v>216</v>
      </c>
      <c r="H5168" s="8" t="s">
        <v>424</v>
      </c>
      <c r="I5168" s="7" t="str">
        <f>_xlfn.CONCAT(Paper_Reference[[#This Row],[Lvl]:[Paper Description]])</f>
        <v>4SHSUGIDAPPK1SHSU DIG UV PRO 2LP1911100WM981-6200LEFT BRUNSWICK MAPLE (W)</v>
      </c>
      <c r="J5168" s="7">
        <f>COUNTIF(Paper_Reference[Duplicate Key],Paper_Reference[[#This Row],[Duplicate Key]])</f>
        <v>1</v>
      </c>
    </row>
    <row r="5169" spans="1:10">
      <c r="A5169" s="7">
        <v>4</v>
      </c>
      <c r="B5169" s="8" t="s">
        <v>478</v>
      </c>
      <c r="C5169" s="8" t="s">
        <v>254</v>
      </c>
      <c r="D5169" s="7">
        <v>1</v>
      </c>
      <c r="E5169" s="7">
        <v>91</v>
      </c>
      <c r="F5169" s="7">
        <v>2</v>
      </c>
      <c r="G5169" s="8" t="s">
        <v>214</v>
      </c>
      <c r="H5169" s="8" t="s">
        <v>423</v>
      </c>
      <c r="I5169" s="7" t="str">
        <f>_xlfn.CONCAT(Paper_Reference[[#This Row],[Lvl]:[Paper Description]])</f>
        <v>4SHSUGIDAPPK1SHSU DIG UV PRO 2LP1912100WM991-4300MAPLE LANE PRINT (W)</v>
      </c>
      <c r="J5169" s="7">
        <f>COUNTIF(Paper_Reference[Duplicate Key],Paper_Reference[[#This Row],[Duplicate Key]])</f>
        <v>1</v>
      </c>
    </row>
    <row r="5170" spans="1:10">
      <c r="A5170" s="7">
        <v>3</v>
      </c>
      <c r="B5170" s="8" t="s">
        <v>547</v>
      </c>
      <c r="C5170" s="8" t="s">
        <v>319</v>
      </c>
      <c r="D5170" s="7">
        <v>1</v>
      </c>
      <c r="E5170" s="7">
        <v>91</v>
      </c>
      <c r="F5170" s="7">
        <v>1</v>
      </c>
      <c r="G5170" s="8" t="s">
        <v>218</v>
      </c>
      <c r="H5170" s="8" t="s">
        <v>426</v>
      </c>
      <c r="I5170" s="7" t="str">
        <f>_xlfn.CONCAT(Paper_Reference[[#This Row],[Lvl]:[Paper Description]])</f>
        <v>3SOCSWIRLAPK16SOCHI SWIRL TEX LANE PACK1911100WM311-4300IQ MAPLE LANE LH</v>
      </c>
      <c r="J5170" s="7">
        <f>COUNTIF(Paper_Reference[Duplicate Key],Paper_Reference[[#This Row],[Duplicate Key]])</f>
        <v>1</v>
      </c>
    </row>
    <row r="5171" spans="1:10">
      <c r="A5171" s="7">
        <v>3</v>
      </c>
      <c r="B5171" s="8" t="s">
        <v>547</v>
      </c>
      <c r="C5171" s="8" t="s">
        <v>319</v>
      </c>
      <c r="D5171" s="7">
        <v>1</v>
      </c>
      <c r="E5171" s="7">
        <v>91</v>
      </c>
      <c r="F5171" s="7">
        <v>1</v>
      </c>
      <c r="G5171" s="8" t="s">
        <v>219</v>
      </c>
      <c r="H5171" s="8" t="s">
        <v>427</v>
      </c>
      <c r="I5171" s="7" t="str">
        <f>_xlfn.CONCAT(Paper_Reference[[#This Row],[Lvl]:[Paper Description]])</f>
        <v>3SOCSWIRLAPK16SOCHI SWIRL TEX LANE PACK1911100WM321-4300IQ MAPLE LANE RH</v>
      </c>
      <c r="J5171" s="7">
        <f>COUNTIF(Paper_Reference[Duplicate Key],Paper_Reference[[#This Row],[Duplicate Key]])</f>
        <v>1</v>
      </c>
    </row>
    <row r="5172" spans="1:10">
      <c r="A5172" s="7">
        <v>4</v>
      </c>
      <c r="B5172" s="8" t="s">
        <v>547</v>
      </c>
      <c r="C5172" s="8" t="s">
        <v>319</v>
      </c>
      <c r="D5172" s="7">
        <v>1</v>
      </c>
      <c r="E5172" s="7">
        <v>91</v>
      </c>
      <c r="F5172" s="7">
        <v>1</v>
      </c>
      <c r="G5172" s="8" t="s">
        <v>217</v>
      </c>
      <c r="H5172" s="8" t="s">
        <v>3229</v>
      </c>
      <c r="I5172" s="7" t="str">
        <f>_xlfn.CONCAT(Paper_Reference[[#This Row],[Lvl]:[Paper Description]])</f>
        <v>4SOCSWIRLAPK16SOCHI SWIRL TEX LANE PACK1911100WM301-6200IQ MAPLE LANE (C) 60 X 144</v>
      </c>
      <c r="J5172" s="7">
        <f>COUNTIF(Paper_Reference[Duplicate Key],Paper_Reference[[#This Row],[Duplicate Key]])</f>
        <v>1</v>
      </c>
    </row>
    <row r="5173" spans="1:10">
      <c r="A5173" s="7">
        <v>4</v>
      </c>
      <c r="B5173" s="8" t="s">
        <v>547</v>
      </c>
      <c r="C5173" s="8" t="s">
        <v>319</v>
      </c>
      <c r="D5173" s="7">
        <v>1</v>
      </c>
      <c r="E5173" s="7">
        <v>91</v>
      </c>
      <c r="F5173" s="7">
        <v>1</v>
      </c>
      <c r="G5173" s="8" t="s">
        <v>217</v>
      </c>
      <c r="H5173" s="8" t="s">
        <v>425</v>
      </c>
      <c r="I5173" s="7" t="str">
        <f>_xlfn.CONCAT(Paper_Reference[[#This Row],[Lvl]:[Paper Description]])</f>
        <v>4SOCSWIRLAPK16SOCHI SWIRL TEX LANE PACK1911100WM301-6200IQ MAPLE LANE (CENTER)</v>
      </c>
      <c r="J5173" s="7">
        <f>COUNTIF(Paper_Reference[Duplicate Key],Paper_Reference[[#This Row],[Duplicate Key]])</f>
        <v>1</v>
      </c>
    </row>
    <row r="5174" spans="1:10">
      <c r="A5174" s="7">
        <v>4</v>
      </c>
      <c r="B5174" s="8" t="s">
        <v>547</v>
      </c>
      <c r="C5174" s="8" t="s">
        <v>319</v>
      </c>
      <c r="D5174" s="7">
        <v>1</v>
      </c>
      <c r="E5174" s="7">
        <v>91</v>
      </c>
      <c r="F5174" s="7">
        <v>1</v>
      </c>
      <c r="G5174" s="8" t="s">
        <v>218</v>
      </c>
      <c r="H5174" s="8" t="s">
        <v>426</v>
      </c>
      <c r="I5174" s="7" t="str">
        <f>_xlfn.CONCAT(Paper_Reference[[#This Row],[Lvl]:[Paper Description]])</f>
        <v>4SOCSWIRLAPK16SOCHI SWIRL TEX LANE PACK1911100WM311-4300IQ MAPLE LANE LH</v>
      </c>
      <c r="J5174" s="7">
        <f>COUNTIF(Paper_Reference[Duplicate Key],Paper_Reference[[#This Row],[Duplicate Key]])</f>
        <v>1</v>
      </c>
    </row>
    <row r="5175" spans="1:10">
      <c r="A5175" s="7">
        <v>4</v>
      </c>
      <c r="B5175" s="8" t="s">
        <v>547</v>
      </c>
      <c r="C5175" s="8" t="s">
        <v>319</v>
      </c>
      <c r="D5175" s="7">
        <v>1</v>
      </c>
      <c r="E5175" s="7">
        <v>91</v>
      </c>
      <c r="F5175" s="7">
        <v>1</v>
      </c>
      <c r="G5175" s="8" t="s">
        <v>219</v>
      </c>
      <c r="H5175" s="8" t="s">
        <v>427</v>
      </c>
      <c r="I5175" s="7" t="str">
        <f>_xlfn.CONCAT(Paper_Reference[[#This Row],[Lvl]:[Paper Description]])</f>
        <v>4SOCSWIRLAPK16SOCHI SWIRL TEX LANE PACK1911100WM321-4300IQ MAPLE LANE RH</v>
      </c>
      <c r="J5175" s="7">
        <f>COUNTIF(Paper_Reference[Duplicate Key],Paper_Reference[[#This Row],[Duplicate Key]])</f>
        <v>1</v>
      </c>
    </row>
    <row r="5176" spans="1:10">
      <c r="A5176" s="7">
        <v>3</v>
      </c>
      <c r="B5176" s="8" t="s">
        <v>6530</v>
      </c>
      <c r="C5176" s="8" t="s">
        <v>6005</v>
      </c>
      <c r="D5176" s="7">
        <v>1</v>
      </c>
      <c r="E5176" s="7">
        <v>91</v>
      </c>
      <c r="F5176" s="7">
        <v>1</v>
      </c>
      <c r="G5176" s="8" t="s">
        <v>6710</v>
      </c>
      <c r="H5176" s="8" t="s">
        <v>5691</v>
      </c>
      <c r="I5176" s="7" t="str">
        <f>_xlfn.CONCAT(Paper_Reference[[#This Row],[Lvl]:[Paper Description]])</f>
        <v>3SPWO710APPK1DIG/WO710 UV LEFT LP1911100DS009-5000FROSTY WHITE</v>
      </c>
      <c r="J5176" s="7">
        <f>COUNTIF(Paper_Reference[Duplicate Key],Paper_Reference[[#This Row],[Duplicate Key]])</f>
        <v>1</v>
      </c>
    </row>
    <row r="5177" spans="1:10">
      <c r="A5177" s="7">
        <v>3</v>
      </c>
      <c r="B5177" s="8" t="s">
        <v>6530</v>
      </c>
      <c r="C5177" s="8" t="s">
        <v>6005</v>
      </c>
      <c r="D5177" s="7">
        <v>1</v>
      </c>
      <c r="E5177" s="7">
        <v>91</v>
      </c>
      <c r="F5177" s="7">
        <v>1</v>
      </c>
      <c r="G5177" s="8" t="s">
        <v>5690</v>
      </c>
      <c r="H5177" s="8" t="s">
        <v>5691</v>
      </c>
      <c r="I5177" s="7" t="str">
        <f>_xlfn.CONCAT(Paper_Reference[[#This Row],[Lvl]:[Paper Description]])</f>
        <v>3SPWO710APPK1DIG/WO710 UV LEFT LP1911100DS009-6200FROSTY WHITE</v>
      </c>
      <c r="J5177" s="7">
        <f>COUNTIF(Paper_Reference[Duplicate Key],Paper_Reference[[#This Row],[Duplicate Key]])</f>
        <v>1</v>
      </c>
    </row>
    <row r="5178" spans="1:10">
      <c r="A5178" s="7">
        <v>3</v>
      </c>
      <c r="B5178" s="8" t="s">
        <v>6531</v>
      </c>
      <c r="C5178" s="8" t="s">
        <v>6006</v>
      </c>
      <c r="D5178" s="7">
        <v>1</v>
      </c>
      <c r="E5178" s="7">
        <v>91</v>
      </c>
      <c r="F5178" s="7">
        <v>1</v>
      </c>
      <c r="G5178" s="8" t="s">
        <v>5690</v>
      </c>
      <c r="H5178" s="8" t="s">
        <v>5691</v>
      </c>
      <c r="I5178" s="7" t="str">
        <f>_xlfn.CONCAT(Paper_Reference[[#This Row],[Lvl]:[Paper Description]])</f>
        <v>3STERLITUVPPK1STERLITAMAK UV TWO LANE PACK1911100DS009-6200FROSTY WHITE</v>
      </c>
      <c r="J5178" s="7">
        <f>COUNTIF(Paper_Reference[Duplicate Key],Paper_Reference[[#This Row],[Duplicate Key]])</f>
        <v>1</v>
      </c>
    </row>
    <row r="5179" spans="1:10">
      <c r="A5179" s="7">
        <v>3</v>
      </c>
      <c r="B5179" s="8" t="s">
        <v>6531</v>
      </c>
      <c r="C5179" s="8" t="s">
        <v>6006</v>
      </c>
      <c r="D5179" s="7">
        <v>1</v>
      </c>
      <c r="E5179" s="7">
        <v>91</v>
      </c>
      <c r="F5179" s="7">
        <v>2</v>
      </c>
      <c r="G5179" s="8" t="s">
        <v>6710</v>
      </c>
      <c r="H5179" s="8" t="s">
        <v>5691</v>
      </c>
      <c r="I5179" s="7" t="str">
        <f>_xlfn.CONCAT(Paper_Reference[[#This Row],[Lvl]:[Paper Description]])</f>
        <v>3STERLITUVPPK1STERLITAMAK UV TWO LANE PACK1912100DS009-5000FROSTY WHITE</v>
      </c>
      <c r="J5179" s="7">
        <f>COUNTIF(Paper_Reference[Duplicate Key],Paper_Reference[[#This Row],[Duplicate Key]])</f>
        <v>1</v>
      </c>
    </row>
    <row r="5180" spans="1:10">
      <c r="A5180" s="7">
        <v>3</v>
      </c>
      <c r="B5180" s="8" t="s">
        <v>548</v>
      </c>
      <c r="C5180" s="8" t="s">
        <v>320</v>
      </c>
      <c r="D5180" s="7">
        <v>1</v>
      </c>
      <c r="E5180" s="7">
        <v>91</v>
      </c>
      <c r="F5180" s="7">
        <v>1</v>
      </c>
      <c r="G5180" s="8" t="s">
        <v>218</v>
      </c>
      <c r="H5180" s="8" t="s">
        <v>426</v>
      </c>
      <c r="I5180" s="7" t="str">
        <f>_xlfn.CONCAT(Paper_Reference[[#This Row],[Lvl]:[Paper Description]])</f>
        <v>3STREZSTARSPK1STREZHEVOI TEX LANE PACK1911100WM311-4300IQ MAPLE LANE LH</v>
      </c>
      <c r="J5180" s="7">
        <f>COUNTIF(Paper_Reference[Duplicate Key],Paper_Reference[[#This Row],[Duplicate Key]])</f>
        <v>1</v>
      </c>
    </row>
    <row r="5181" spans="1:10">
      <c r="A5181" s="7">
        <v>3</v>
      </c>
      <c r="B5181" s="8" t="s">
        <v>548</v>
      </c>
      <c r="C5181" s="8" t="s">
        <v>320</v>
      </c>
      <c r="D5181" s="7">
        <v>1</v>
      </c>
      <c r="E5181" s="7">
        <v>91</v>
      </c>
      <c r="F5181" s="7">
        <v>1</v>
      </c>
      <c r="G5181" s="8" t="s">
        <v>219</v>
      </c>
      <c r="H5181" s="8" t="s">
        <v>427</v>
      </c>
      <c r="I5181" s="7" t="str">
        <f>_xlfn.CONCAT(Paper_Reference[[#This Row],[Lvl]:[Paper Description]])</f>
        <v>3STREZSTARSPK1STREZHEVOI TEX LANE PACK1911100WM321-4300IQ MAPLE LANE RH</v>
      </c>
      <c r="J5181" s="7">
        <f>COUNTIF(Paper_Reference[Duplicate Key],Paper_Reference[[#This Row],[Duplicate Key]])</f>
        <v>1</v>
      </c>
    </row>
    <row r="5182" spans="1:10">
      <c r="A5182" s="7">
        <v>4</v>
      </c>
      <c r="B5182" s="8" t="s">
        <v>548</v>
      </c>
      <c r="C5182" s="8" t="s">
        <v>320</v>
      </c>
      <c r="D5182" s="7">
        <v>1</v>
      </c>
      <c r="E5182" s="7">
        <v>91</v>
      </c>
      <c r="F5182" s="7">
        <v>1</v>
      </c>
      <c r="G5182" s="8" t="s">
        <v>217</v>
      </c>
      <c r="H5182" s="8" t="s">
        <v>3229</v>
      </c>
      <c r="I5182" s="7" t="str">
        <f>_xlfn.CONCAT(Paper_Reference[[#This Row],[Lvl]:[Paper Description]])</f>
        <v>4STREZSTARSPK1STREZHEVOI TEX LANE PACK1911100WM301-6200IQ MAPLE LANE (C) 60 X 144</v>
      </c>
      <c r="J5182" s="7">
        <f>COUNTIF(Paper_Reference[Duplicate Key],Paper_Reference[[#This Row],[Duplicate Key]])</f>
        <v>1</v>
      </c>
    </row>
    <row r="5183" spans="1:10">
      <c r="A5183" s="7">
        <v>4</v>
      </c>
      <c r="B5183" s="8" t="s">
        <v>548</v>
      </c>
      <c r="C5183" s="8" t="s">
        <v>320</v>
      </c>
      <c r="D5183" s="7">
        <v>1</v>
      </c>
      <c r="E5183" s="7">
        <v>91</v>
      </c>
      <c r="F5183" s="7">
        <v>1</v>
      </c>
      <c r="G5183" s="8" t="s">
        <v>217</v>
      </c>
      <c r="H5183" s="8" t="s">
        <v>425</v>
      </c>
      <c r="I5183" s="7" t="str">
        <f>_xlfn.CONCAT(Paper_Reference[[#This Row],[Lvl]:[Paper Description]])</f>
        <v>4STREZSTARSPK1STREZHEVOI TEX LANE PACK1911100WM301-6200IQ MAPLE LANE (CENTER)</v>
      </c>
      <c r="J5183" s="7">
        <f>COUNTIF(Paper_Reference[Duplicate Key],Paper_Reference[[#This Row],[Duplicate Key]])</f>
        <v>1</v>
      </c>
    </row>
    <row r="5184" spans="1:10">
      <c r="A5184" s="7">
        <v>4</v>
      </c>
      <c r="B5184" s="8" t="s">
        <v>548</v>
      </c>
      <c r="C5184" s="8" t="s">
        <v>320</v>
      </c>
      <c r="D5184" s="7">
        <v>1</v>
      </c>
      <c r="E5184" s="7">
        <v>91</v>
      </c>
      <c r="F5184" s="7">
        <v>1</v>
      </c>
      <c r="G5184" s="8" t="s">
        <v>218</v>
      </c>
      <c r="H5184" s="8" t="s">
        <v>426</v>
      </c>
      <c r="I5184" s="7" t="str">
        <f>_xlfn.CONCAT(Paper_Reference[[#This Row],[Lvl]:[Paper Description]])</f>
        <v>4STREZSTARSPK1STREZHEVOI TEX LANE PACK1911100WM311-4300IQ MAPLE LANE LH</v>
      </c>
      <c r="J5184" s="7">
        <f>COUNTIF(Paper_Reference[Duplicate Key],Paper_Reference[[#This Row],[Duplicate Key]])</f>
        <v>1</v>
      </c>
    </row>
    <row r="5185" spans="1:10">
      <c r="A5185" s="7">
        <v>4</v>
      </c>
      <c r="B5185" s="8" t="s">
        <v>548</v>
      </c>
      <c r="C5185" s="8" t="s">
        <v>320</v>
      </c>
      <c r="D5185" s="7">
        <v>1</v>
      </c>
      <c r="E5185" s="7">
        <v>91</v>
      </c>
      <c r="F5185" s="7">
        <v>1</v>
      </c>
      <c r="G5185" s="8" t="s">
        <v>219</v>
      </c>
      <c r="H5185" s="8" t="s">
        <v>427</v>
      </c>
      <c r="I5185" s="7" t="str">
        <f>_xlfn.CONCAT(Paper_Reference[[#This Row],[Lvl]:[Paper Description]])</f>
        <v>4STREZSTARSPK1STREZHEVOI TEX LANE PACK1911100WM321-4300IQ MAPLE LANE RH</v>
      </c>
      <c r="J5185" s="7">
        <f>COUNTIF(Paper_Reference[Duplicate Key],Paper_Reference[[#This Row],[Duplicate Key]])</f>
        <v>1</v>
      </c>
    </row>
    <row r="5186" spans="1:10">
      <c r="A5186" s="7">
        <v>3</v>
      </c>
      <c r="B5186" s="8" t="s">
        <v>549</v>
      </c>
      <c r="C5186" s="8" t="s">
        <v>321</v>
      </c>
      <c r="D5186" s="7">
        <v>1</v>
      </c>
      <c r="E5186" s="7">
        <v>91</v>
      </c>
      <c r="F5186" s="7">
        <v>1</v>
      </c>
      <c r="G5186" s="8" t="s">
        <v>218</v>
      </c>
      <c r="H5186" s="8" t="s">
        <v>426</v>
      </c>
      <c r="I5186" s="7" t="str">
        <f>_xlfn.CONCAT(Paper_Reference[[#This Row],[Lvl]:[Paper Description]])</f>
        <v>3SYN3BRUNAPK16SYN3 TEX/PLATE LANE PACK1911100WM311-4300IQ MAPLE LANE LH</v>
      </c>
      <c r="J5186" s="7">
        <f>COUNTIF(Paper_Reference[Duplicate Key],Paper_Reference[[#This Row],[Duplicate Key]])</f>
        <v>1</v>
      </c>
    </row>
    <row r="5187" spans="1:10">
      <c r="A5187" s="7">
        <v>3</v>
      </c>
      <c r="B5187" s="8" t="s">
        <v>549</v>
      </c>
      <c r="C5187" s="8" t="s">
        <v>321</v>
      </c>
      <c r="D5187" s="7">
        <v>1</v>
      </c>
      <c r="E5187" s="7">
        <v>91</v>
      </c>
      <c r="F5187" s="7">
        <v>1</v>
      </c>
      <c r="G5187" s="8" t="s">
        <v>219</v>
      </c>
      <c r="H5187" s="8" t="s">
        <v>427</v>
      </c>
      <c r="I5187" s="7" t="str">
        <f>_xlfn.CONCAT(Paper_Reference[[#This Row],[Lvl]:[Paper Description]])</f>
        <v>3SYN3BRUNAPK16SYN3 TEX/PLATE LANE PACK1911100WM321-4300IQ MAPLE LANE RH</v>
      </c>
      <c r="J5187" s="7">
        <f>COUNTIF(Paper_Reference[Duplicate Key],Paper_Reference[[#This Row],[Duplicate Key]])</f>
        <v>1</v>
      </c>
    </row>
    <row r="5188" spans="1:10">
      <c r="A5188" s="7">
        <v>3</v>
      </c>
      <c r="B5188" s="8" t="s">
        <v>549</v>
      </c>
      <c r="C5188" s="8" t="s">
        <v>321</v>
      </c>
      <c r="D5188" s="7">
        <v>1</v>
      </c>
      <c r="E5188" s="7">
        <v>91</v>
      </c>
      <c r="F5188" s="7">
        <v>3</v>
      </c>
      <c r="G5188" s="8" t="s">
        <v>218</v>
      </c>
      <c r="H5188" s="8" t="s">
        <v>426</v>
      </c>
      <c r="I5188" s="7" t="str">
        <f>_xlfn.CONCAT(Paper_Reference[[#This Row],[Lvl]:[Paper Description]])</f>
        <v>3SYN3BRUNAPK16SYN3 TEX/PLATE LANE PACK1913100WM311-4300IQ MAPLE LANE LH</v>
      </c>
      <c r="J5188" s="7">
        <f>COUNTIF(Paper_Reference[Duplicate Key],Paper_Reference[[#This Row],[Duplicate Key]])</f>
        <v>1</v>
      </c>
    </row>
    <row r="5189" spans="1:10">
      <c r="A5189" s="7">
        <v>3</v>
      </c>
      <c r="B5189" s="8" t="s">
        <v>549</v>
      </c>
      <c r="C5189" s="8" t="s">
        <v>321</v>
      </c>
      <c r="D5189" s="7">
        <v>1</v>
      </c>
      <c r="E5189" s="7">
        <v>91</v>
      </c>
      <c r="F5189" s="7">
        <v>3</v>
      </c>
      <c r="G5189" s="8" t="s">
        <v>219</v>
      </c>
      <c r="H5189" s="8" t="s">
        <v>427</v>
      </c>
      <c r="I5189" s="7" t="str">
        <f>_xlfn.CONCAT(Paper_Reference[[#This Row],[Lvl]:[Paper Description]])</f>
        <v>3SYN3BRUNAPK16SYN3 TEX/PLATE LANE PACK1913100WM321-4300IQ MAPLE LANE RH</v>
      </c>
      <c r="J5189" s="7">
        <f>COUNTIF(Paper_Reference[Duplicate Key],Paper_Reference[[#This Row],[Duplicate Key]])</f>
        <v>1</v>
      </c>
    </row>
    <row r="5190" spans="1:10">
      <c r="A5190" s="7">
        <v>4</v>
      </c>
      <c r="B5190" s="8" t="s">
        <v>549</v>
      </c>
      <c r="C5190" s="8" t="s">
        <v>321</v>
      </c>
      <c r="D5190" s="7">
        <v>1</v>
      </c>
      <c r="E5190" s="7">
        <v>91</v>
      </c>
      <c r="F5190" s="7">
        <v>1</v>
      </c>
      <c r="G5190" s="8" t="s">
        <v>217</v>
      </c>
      <c r="H5190" s="8" t="s">
        <v>3229</v>
      </c>
      <c r="I5190" s="7" t="str">
        <f>_xlfn.CONCAT(Paper_Reference[[#This Row],[Lvl]:[Paper Description]])</f>
        <v>4SYN3BRUNAPK16SYN3 TEX/PLATE LANE PACK1911100WM301-6200IQ MAPLE LANE (C) 60 X 144</v>
      </c>
      <c r="J5190" s="7">
        <f>COUNTIF(Paper_Reference[Duplicate Key],Paper_Reference[[#This Row],[Duplicate Key]])</f>
        <v>1</v>
      </c>
    </row>
    <row r="5191" spans="1:10">
      <c r="A5191" s="7">
        <v>4</v>
      </c>
      <c r="B5191" s="8" t="s">
        <v>549</v>
      </c>
      <c r="C5191" s="8" t="s">
        <v>321</v>
      </c>
      <c r="D5191" s="7">
        <v>1</v>
      </c>
      <c r="E5191" s="7">
        <v>91</v>
      </c>
      <c r="F5191" s="7">
        <v>1</v>
      </c>
      <c r="G5191" s="8" t="s">
        <v>217</v>
      </c>
      <c r="H5191" s="8" t="s">
        <v>425</v>
      </c>
      <c r="I5191" s="7" t="str">
        <f>_xlfn.CONCAT(Paper_Reference[[#This Row],[Lvl]:[Paper Description]])</f>
        <v>4SYN3BRUNAPK16SYN3 TEX/PLATE LANE PACK1911100WM301-6200IQ MAPLE LANE (CENTER)</v>
      </c>
      <c r="J5191" s="7">
        <f>COUNTIF(Paper_Reference[Duplicate Key],Paper_Reference[[#This Row],[Duplicate Key]])</f>
        <v>1</v>
      </c>
    </row>
    <row r="5192" spans="1:10">
      <c r="A5192" s="7">
        <v>4</v>
      </c>
      <c r="B5192" s="8" t="s">
        <v>549</v>
      </c>
      <c r="C5192" s="8" t="s">
        <v>321</v>
      </c>
      <c r="D5192" s="7">
        <v>1</v>
      </c>
      <c r="E5192" s="7">
        <v>91</v>
      </c>
      <c r="F5192" s="7">
        <v>1</v>
      </c>
      <c r="G5192" s="8" t="s">
        <v>218</v>
      </c>
      <c r="H5192" s="8" t="s">
        <v>426</v>
      </c>
      <c r="I5192" s="7" t="str">
        <f>_xlfn.CONCAT(Paper_Reference[[#This Row],[Lvl]:[Paper Description]])</f>
        <v>4SYN3BRUNAPK16SYN3 TEX/PLATE LANE PACK1911100WM311-4300IQ MAPLE LANE LH</v>
      </c>
      <c r="J5192" s="7">
        <f>COUNTIF(Paper_Reference[Duplicate Key],Paper_Reference[[#This Row],[Duplicate Key]])</f>
        <v>1</v>
      </c>
    </row>
    <row r="5193" spans="1:10">
      <c r="A5193" s="7">
        <v>4</v>
      </c>
      <c r="B5193" s="8" t="s">
        <v>549</v>
      </c>
      <c r="C5193" s="8" t="s">
        <v>321</v>
      </c>
      <c r="D5193" s="7">
        <v>1</v>
      </c>
      <c r="E5193" s="7">
        <v>91</v>
      </c>
      <c r="F5193" s="7">
        <v>1</v>
      </c>
      <c r="G5193" s="8" t="s">
        <v>219</v>
      </c>
      <c r="H5193" s="8" t="s">
        <v>427</v>
      </c>
      <c r="I5193" s="7" t="str">
        <f>_xlfn.CONCAT(Paper_Reference[[#This Row],[Lvl]:[Paper Description]])</f>
        <v>4SYN3BRUNAPK16SYN3 TEX/PLATE LANE PACK1911100WM321-4300IQ MAPLE LANE RH</v>
      </c>
      <c r="J5193" s="7">
        <f>COUNTIF(Paper_Reference[Duplicate Key],Paper_Reference[[#This Row],[Duplicate Key]])</f>
        <v>1</v>
      </c>
    </row>
    <row r="5194" spans="1:10">
      <c r="A5194" s="7">
        <v>3</v>
      </c>
      <c r="B5194" s="8" t="s">
        <v>550</v>
      </c>
      <c r="C5194" s="8" t="s">
        <v>322</v>
      </c>
      <c r="D5194" s="7">
        <v>1</v>
      </c>
      <c r="E5194" s="7">
        <v>91</v>
      </c>
      <c r="F5194" s="7">
        <v>1</v>
      </c>
      <c r="G5194" s="8" t="s">
        <v>219</v>
      </c>
      <c r="H5194" s="8" t="s">
        <v>427</v>
      </c>
      <c r="I5194" s="7" t="str">
        <f>_xlfn.CONCAT(Paper_Reference[[#This Row],[Lvl]:[Paper Description]])</f>
        <v>3SYN3BRUNAPK18SYN3 RIGHT TEX/PLATE LANE1911100WM321-4300IQ MAPLE LANE RH</v>
      </c>
      <c r="J5194" s="7">
        <f>COUNTIF(Paper_Reference[Duplicate Key],Paper_Reference[[#This Row],[Duplicate Key]])</f>
        <v>1</v>
      </c>
    </row>
    <row r="5195" spans="1:10">
      <c r="A5195" s="7">
        <v>3</v>
      </c>
      <c r="B5195" s="8" t="s">
        <v>550</v>
      </c>
      <c r="C5195" s="8" t="s">
        <v>322</v>
      </c>
      <c r="D5195" s="7">
        <v>1</v>
      </c>
      <c r="E5195" s="7">
        <v>91</v>
      </c>
      <c r="F5195" s="7">
        <v>3</v>
      </c>
      <c r="G5195" s="8" t="s">
        <v>219</v>
      </c>
      <c r="H5195" s="8" t="s">
        <v>427</v>
      </c>
      <c r="I5195" s="7" t="str">
        <f>_xlfn.CONCAT(Paper_Reference[[#This Row],[Lvl]:[Paper Description]])</f>
        <v>3SYN3BRUNAPK18SYN3 RIGHT TEX/PLATE LANE1913100WM321-4300IQ MAPLE LANE RH</v>
      </c>
      <c r="J5195" s="7">
        <f>COUNTIF(Paper_Reference[Duplicate Key],Paper_Reference[[#This Row],[Duplicate Key]])</f>
        <v>1</v>
      </c>
    </row>
    <row r="5196" spans="1:10">
      <c r="A5196" s="7">
        <v>4</v>
      </c>
      <c r="B5196" s="8" t="s">
        <v>550</v>
      </c>
      <c r="C5196" s="8" t="s">
        <v>322</v>
      </c>
      <c r="D5196" s="7">
        <v>1</v>
      </c>
      <c r="E5196" s="7">
        <v>91</v>
      </c>
      <c r="F5196" s="7">
        <v>1</v>
      </c>
      <c r="G5196" s="8" t="s">
        <v>217</v>
      </c>
      <c r="H5196" s="8" t="s">
        <v>3229</v>
      </c>
      <c r="I5196" s="7" t="str">
        <f>_xlfn.CONCAT(Paper_Reference[[#This Row],[Lvl]:[Paper Description]])</f>
        <v>4SYN3BRUNAPK18SYN3 RIGHT TEX/PLATE LANE1911100WM301-6200IQ MAPLE LANE (C) 60 X 144</v>
      </c>
      <c r="J5196" s="7">
        <f>COUNTIF(Paper_Reference[Duplicate Key],Paper_Reference[[#This Row],[Duplicate Key]])</f>
        <v>1</v>
      </c>
    </row>
    <row r="5197" spans="1:10">
      <c r="A5197" s="7">
        <v>4</v>
      </c>
      <c r="B5197" s="8" t="s">
        <v>550</v>
      </c>
      <c r="C5197" s="8" t="s">
        <v>322</v>
      </c>
      <c r="D5197" s="7">
        <v>1</v>
      </c>
      <c r="E5197" s="7">
        <v>91</v>
      </c>
      <c r="F5197" s="7">
        <v>1</v>
      </c>
      <c r="G5197" s="8" t="s">
        <v>217</v>
      </c>
      <c r="H5197" s="8" t="s">
        <v>425</v>
      </c>
      <c r="I5197" s="7" t="str">
        <f>_xlfn.CONCAT(Paper_Reference[[#This Row],[Lvl]:[Paper Description]])</f>
        <v>4SYN3BRUNAPK18SYN3 RIGHT TEX/PLATE LANE1911100WM301-6200IQ MAPLE LANE (CENTER)</v>
      </c>
      <c r="J5197" s="7">
        <f>COUNTIF(Paper_Reference[Duplicate Key],Paper_Reference[[#This Row],[Duplicate Key]])</f>
        <v>1</v>
      </c>
    </row>
    <row r="5198" spans="1:10">
      <c r="A5198" s="7">
        <v>4</v>
      </c>
      <c r="B5198" s="8" t="s">
        <v>550</v>
      </c>
      <c r="C5198" s="8" t="s">
        <v>322</v>
      </c>
      <c r="D5198" s="7">
        <v>1</v>
      </c>
      <c r="E5198" s="7">
        <v>91</v>
      </c>
      <c r="F5198" s="7">
        <v>1</v>
      </c>
      <c r="G5198" s="8" t="s">
        <v>219</v>
      </c>
      <c r="H5198" s="8" t="s">
        <v>427</v>
      </c>
      <c r="I5198" s="7" t="str">
        <f>_xlfn.CONCAT(Paper_Reference[[#This Row],[Lvl]:[Paper Description]])</f>
        <v>4SYN3BRUNAPK18SYN3 RIGHT TEX/PLATE LANE1911100WM321-4300IQ MAPLE LANE RH</v>
      </c>
      <c r="J5198" s="7">
        <f>COUNTIF(Paper_Reference[Duplicate Key],Paper_Reference[[#This Row],[Duplicate Key]])</f>
        <v>1</v>
      </c>
    </row>
    <row r="5199" spans="1:10">
      <c r="A5199" s="7">
        <v>3</v>
      </c>
      <c r="B5199" s="8" t="s">
        <v>551</v>
      </c>
      <c r="C5199" s="8" t="s">
        <v>323</v>
      </c>
      <c r="D5199" s="7">
        <v>1</v>
      </c>
      <c r="E5199" s="7">
        <v>91</v>
      </c>
      <c r="F5199" s="7">
        <v>1</v>
      </c>
      <c r="G5199" s="8" t="s">
        <v>218</v>
      </c>
      <c r="H5199" s="8" t="s">
        <v>426</v>
      </c>
      <c r="I5199" s="7" t="str">
        <f>_xlfn.CONCAT(Paper_Reference[[#This Row],[Lvl]:[Paper Description]])</f>
        <v>3SYN3BRUNAPK19SYN3 LEFT TEX/PLATE LANE1911100WM311-4300IQ MAPLE LANE LH</v>
      </c>
      <c r="J5199" s="7">
        <f>COUNTIF(Paper_Reference[Duplicate Key],Paper_Reference[[#This Row],[Duplicate Key]])</f>
        <v>1</v>
      </c>
    </row>
    <row r="5200" spans="1:10">
      <c r="A5200" s="7">
        <v>3</v>
      </c>
      <c r="B5200" s="8" t="s">
        <v>551</v>
      </c>
      <c r="C5200" s="8" t="s">
        <v>323</v>
      </c>
      <c r="D5200" s="7">
        <v>1</v>
      </c>
      <c r="E5200" s="7">
        <v>91</v>
      </c>
      <c r="F5200" s="7">
        <v>3</v>
      </c>
      <c r="G5200" s="8" t="s">
        <v>218</v>
      </c>
      <c r="H5200" s="8" t="s">
        <v>426</v>
      </c>
      <c r="I5200" s="7" t="str">
        <f>_xlfn.CONCAT(Paper_Reference[[#This Row],[Lvl]:[Paper Description]])</f>
        <v>3SYN3BRUNAPK19SYN3 LEFT TEX/PLATE LANE1913100WM311-4300IQ MAPLE LANE LH</v>
      </c>
      <c r="J5200" s="7">
        <f>COUNTIF(Paper_Reference[Duplicate Key],Paper_Reference[[#This Row],[Duplicate Key]])</f>
        <v>1</v>
      </c>
    </row>
    <row r="5201" spans="1:10">
      <c r="A5201" s="7">
        <v>4</v>
      </c>
      <c r="B5201" s="8" t="s">
        <v>551</v>
      </c>
      <c r="C5201" s="8" t="s">
        <v>323</v>
      </c>
      <c r="D5201" s="7">
        <v>1</v>
      </c>
      <c r="E5201" s="7">
        <v>91</v>
      </c>
      <c r="F5201" s="7">
        <v>1</v>
      </c>
      <c r="G5201" s="8" t="s">
        <v>217</v>
      </c>
      <c r="H5201" s="8" t="s">
        <v>3229</v>
      </c>
      <c r="I5201" s="7" t="str">
        <f>_xlfn.CONCAT(Paper_Reference[[#This Row],[Lvl]:[Paper Description]])</f>
        <v>4SYN3BRUNAPK19SYN3 LEFT TEX/PLATE LANE1911100WM301-6200IQ MAPLE LANE (C) 60 X 144</v>
      </c>
      <c r="J5201" s="7">
        <f>COUNTIF(Paper_Reference[Duplicate Key],Paper_Reference[[#This Row],[Duplicate Key]])</f>
        <v>1</v>
      </c>
    </row>
    <row r="5202" spans="1:10">
      <c r="A5202" s="7">
        <v>4</v>
      </c>
      <c r="B5202" s="8" t="s">
        <v>551</v>
      </c>
      <c r="C5202" s="8" t="s">
        <v>323</v>
      </c>
      <c r="D5202" s="7">
        <v>1</v>
      </c>
      <c r="E5202" s="7">
        <v>91</v>
      </c>
      <c r="F5202" s="7">
        <v>1</v>
      </c>
      <c r="G5202" s="8" t="s">
        <v>217</v>
      </c>
      <c r="H5202" s="8" t="s">
        <v>425</v>
      </c>
      <c r="I5202" s="7" t="str">
        <f>_xlfn.CONCAT(Paper_Reference[[#This Row],[Lvl]:[Paper Description]])</f>
        <v>4SYN3BRUNAPK19SYN3 LEFT TEX/PLATE LANE1911100WM301-6200IQ MAPLE LANE (CENTER)</v>
      </c>
      <c r="J5202" s="7">
        <f>COUNTIF(Paper_Reference[Duplicate Key],Paper_Reference[[#This Row],[Duplicate Key]])</f>
        <v>1</v>
      </c>
    </row>
    <row r="5203" spans="1:10">
      <c r="A5203" s="7">
        <v>4</v>
      </c>
      <c r="B5203" s="8" t="s">
        <v>551</v>
      </c>
      <c r="C5203" s="8" t="s">
        <v>323</v>
      </c>
      <c r="D5203" s="7">
        <v>1</v>
      </c>
      <c r="E5203" s="7">
        <v>91</v>
      </c>
      <c r="F5203" s="7">
        <v>1</v>
      </c>
      <c r="G5203" s="8" t="s">
        <v>218</v>
      </c>
      <c r="H5203" s="8" t="s">
        <v>426</v>
      </c>
      <c r="I5203" s="7" t="str">
        <f>_xlfn.CONCAT(Paper_Reference[[#This Row],[Lvl]:[Paper Description]])</f>
        <v>4SYN3BRUNAPK19SYN3 LEFT TEX/PLATE LANE1911100WM311-4300IQ MAPLE LANE LH</v>
      </c>
      <c r="J5203" s="7">
        <f>COUNTIF(Paper_Reference[Duplicate Key],Paper_Reference[[#This Row],[Duplicate Key]])</f>
        <v>1</v>
      </c>
    </row>
    <row r="5204" spans="1:10">
      <c r="A5204" s="7">
        <v>3</v>
      </c>
      <c r="B5204" s="8" t="s">
        <v>605</v>
      </c>
      <c r="C5204" s="8" t="s">
        <v>373</v>
      </c>
      <c r="D5204" s="7">
        <v>1</v>
      </c>
      <c r="E5204" s="7">
        <v>91</v>
      </c>
      <c r="F5204" s="7">
        <v>3</v>
      </c>
      <c r="G5204" s="8" t="s">
        <v>218</v>
      </c>
      <c r="H5204" s="8" t="s">
        <v>426</v>
      </c>
      <c r="I5204" s="7" t="str">
        <f>_xlfn.CONCAT(Paper_Reference[[#This Row],[Lvl]:[Paper Description]])</f>
        <v>3SYN3BRUNPPK17SYN3 LANE ONLY PACK1913100WM311-4300IQ MAPLE LANE LH</v>
      </c>
      <c r="J5204" s="7">
        <f>COUNTIF(Paper_Reference[Duplicate Key],Paper_Reference[[#This Row],[Duplicate Key]])</f>
        <v>1</v>
      </c>
    </row>
    <row r="5205" spans="1:10">
      <c r="A5205" s="7">
        <v>3</v>
      </c>
      <c r="B5205" s="8" t="s">
        <v>605</v>
      </c>
      <c r="C5205" s="8" t="s">
        <v>373</v>
      </c>
      <c r="D5205" s="7">
        <v>1</v>
      </c>
      <c r="E5205" s="7">
        <v>91</v>
      </c>
      <c r="F5205" s="7">
        <v>3</v>
      </c>
      <c r="G5205" s="8" t="s">
        <v>219</v>
      </c>
      <c r="H5205" s="8" t="s">
        <v>427</v>
      </c>
      <c r="I5205" s="7" t="str">
        <f>_xlfn.CONCAT(Paper_Reference[[#This Row],[Lvl]:[Paper Description]])</f>
        <v>3SYN3BRUNPPK17SYN3 LANE ONLY PACK1913100WM321-4300IQ MAPLE LANE RH</v>
      </c>
      <c r="J5205" s="7">
        <f>COUNTIF(Paper_Reference[Duplicate Key],Paper_Reference[[#This Row],[Duplicate Key]])</f>
        <v>1</v>
      </c>
    </row>
    <row r="5206" spans="1:10">
      <c r="A5206" s="7">
        <v>4</v>
      </c>
      <c r="B5206" s="8" t="s">
        <v>605</v>
      </c>
      <c r="C5206" s="8" t="s">
        <v>373</v>
      </c>
      <c r="D5206" s="7">
        <v>1</v>
      </c>
      <c r="E5206" s="7">
        <v>91</v>
      </c>
      <c r="F5206" s="7">
        <v>1</v>
      </c>
      <c r="G5206" s="8" t="s">
        <v>218</v>
      </c>
      <c r="H5206" s="8" t="s">
        <v>426</v>
      </c>
      <c r="I5206" s="7" t="str">
        <f>_xlfn.CONCAT(Paper_Reference[[#This Row],[Lvl]:[Paper Description]])</f>
        <v>4SYN3BRUNPPK17SYN3 LANE ONLY PACK1911100WM311-4300IQ MAPLE LANE LH</v>
      </c>
      <c r="J5206" s="7">
        <f>COUNTIF(Paper_Reference[Duplicate Key],Paper_Reference[[#This Row],[Duplicate Key]])</f>
        <v>1</v>
      </c>
    </row>
    <row r="5207" spans="1:10">
      <c r="A5207" s="7">
        <v>4</v>
      </c>
      <c r="B5207" s="8" t="s">
        <v>605</v>
      </c>
      <c r="C5207" s="8" t="s">
        <v>373</v>
      </c>
      <c r="D5207" s="7">
        <v>1</v>
      </c>
      <c r="E5207" s="7">
        <v>91</v>
      </c>
      <c r="F5207" s="7">
        <v>1</v>
      </c>
      <c r="G5207" s="8" t="s">
        <v>219</v>
      </c>
      <c r="H5207" s="8" t="s">
        <v>427</v>
      </c>
      <c r="I5207" s="7" t="str">
        <f>_xlfn.CONCAT(Paper_Reference[[#This Row],[Lvl]:[Paper Description]])</f>
        <v>4SYN3BRUNPPK17SYN3 LANE ONLY PACK1911100WM321-4300IQ MAPLE LANE RH</v>
      </c>
      <c r="J5207" s="7">
        <f>COUNTIF(Paper_Reference[Duplicate Key],Paper_Reference[[#This Row],[Duplicate Key]])</f>
        <v>1</v>
      </c>
    </row>
    <row r="5208" spans="1:10">
      <c r="A5208" s="7">
        <v>3</v>
      </c>
      <c r="B5208" s="8" t="s">
        <v>552</v>
      </c>
      <c r="C5208" s="8" t="s">
        <v>324</v>
      </c>
      <c r="D5208" s="7">
        <v>1</v>
      </c>
      <c r="E5208" s="7">
        <v>91</v>
      </c>
      <c r="F5208" s="7">
        <v>1</v>
      </c>
      <c r="G5208" s="8" t="s">
        <v>219</v>
      </c>
      <c r="H5208" s="8" t="s">
        <v>427</v>
      </c>
      <c r="I5208" s="7" t="str">
        <f>_xlfn.CONCAT(Paper_Reference[[#This Row],[Lvl]:[Paper Description]])</f>
        <v>3SYN3GLOWAPK02SYN3 UV TEX APP R/SHORT PACK1911100WM321-4300IQ MAPLE LANE RH</v>
      </c>
      <c r="J5208" s="7">
        <f>COUNTIF(Paper_Reference[Duplicate Key],Paper_Reference[[#This Row],[Duplicate Key]])</f>
        <v>1</v>
      </c>
    </row>
    <row r="5209" spans="1:10">
      <c r="A5209" s="7">
        <v>4</v>
      </c>
      <c r="B5209" s="8" t="s">
        <v>552</v>
      </c>
      <c r="C5209" s="8" t="s">
        <v>324</v>
      </c>
      <c r="D5209" s="7">
        <v>1</v>
      </c>
      <c r="E5209" s="7">
        <v>91</v>
      </c>
      <c r="F5209" s="7">
        <v>1</v>
      </c>
      <c r="G5209" s="8" t="s">
        <v>217</v>
      </c>
      <c r="H5209" s="8" t="s">
        <v>3229</v>
      </c>
      <c r="I5209" s="7" t="str">
        <f>_xlfn.CONCAT(Paper_Reference[[#This Row],[Lvl]:[Paper Description]])</f>
        <v>4SYN3GLOWAPK02SYN3 UV TEX APP R/SHORT PACK1911100WM301-6200IQ MAPLE LANE (C) 60 X 144</v>
      </c>
      <c r="J5209" s="7">
        <f>COUNTIF(Paper_Reference[Duplicate Key],Paper_Reference[[#This Row],[Duplicate Key]])</f>
        <v>1</v>
      </c>
    </row>
    <row r="5210" spans="1:10">
      <c r="A5210" s="7">
        <v>4</v>
      </c>
      <c r="B5210" s="8" t="s">
        <v>552</v>
      </c>
      <c r="C5210" s="8" t="s">
        <v>324</v>
      </c>
      <c r="D5210" s="7">
        <v>1</v>
      </c>
      <c r="E5210" s="7">
        <v>91</v>
      </c>
      <c r="F5210" s="7">
        <v>1</v>
      </c>
      <c r="G5210" s="8" t="s">
        <v>217</v>
      </c>
      <c r="H5210" s="8" t="s">
        <v>425</v>
      </c>
      <c r="I5210" s="7" t="str">
        <f>_xlfn.CONCAT(Paper_Reference[[#This Row],[Lvl]:[Paper Description]])</f>
        <v>4SYN3GLOWAPK02SYN3 UV TEX APP R/SHORT PACK1911100WM301-6200IQ MAPLE LANE (CENTER)</v>
      </c>
      <c r="J5210" s="7">
        <f>COUNTIF(Paper_Reference[Duplicate Key],Paper_Reference[[#This Row],[Duplicate Key]])</f>
        <v>1</v>
      </c>
    </row>
    <row r="5211" spans="1:10">
      <c r="A5211" s="7">
        <v>4</v>
      </c>
      <c r="B5211" s="8" t="s">
        <v>552</v>
      </c>
      <c r="C5211" s="8" t="s">
        <v>324</v>
      </c>
      <c r="D5211" s="7">
        <v>1</v>
      </c>
      <c r="E5211" s="7">
        <v>91</v>
      </c>
      <c r="F5211" s="7">
        <v>1</v>
      </c>
      <c r="G5211" s="8" t="s">
        <v>219</v>
      </c>
      <c r="H5211" s="8" t="s">
        <v>427</v>
      </c>
      <c r="I5211" s="7" t="str">
        <f>_xlfn.CONCAT(Paper_Reference[[#This Row],[Lvl]:[Paper Description]])</f>
        <v>4SYN3GLOWAPK02SYN3 UV TEX APP R/SHORT PACK1911100WM321-4300IQ MAPLE LANE RH</v>
      </c>
      <c r="J5211" s="7">
        <f>COUNTIF(Paper_Reference[Duplicate Key],Paper_Reference[[#This Row],[Duplicate Key]])</f>
        <v>1</v>
      </c>
    </row>
    <row r="5212" spans="1:10">
      <c r="A5212" s="7">
        <v>3</v>
      </c>
      <c r="B5212" s="8" t="s">
        <v>151</v>
      </c>
      <c r="C5212" s="8" t="s">
        <v>152</v>
      </c>
      <c r="D5212" s="7">
        <v>1</v>
      </c>
      <c r="E5212" s="7">
        <v>91</v>
      </c>
      <c r="F5212" s="7">
        <v>1</v>
      </c>
      <c r="G5212" s="8" t="s">
        <v>218</v>
      </c>
      <c r="H5212" s="8" t="s">
        <v>426</v>
      </c>
      <c r="I5212" s="7" t="str">
        <f>_xlfn.CONCAT(Paper_Reference[[#This Row],[Lvl]:[Paper Description]])</f>
        <v>3SYN3GLOWAPK12SYN3 UV TEX/PLATE LANE PACK1911100WM311-4300IQ MAPLE LANE LH</v>
      </c>
      <c r="J5212" s="7">
        <f>COUNTIF(Paper_Reference[Duplicate Key],Paper_Reference[[#This Row],[Duplicate Key]])</f>
        <v>1</v>
      </c>
    </row>
    <row r="5213" spans="1:10">
      <c r="A5213" s="7">
        <v>3</v>
      </c>
      <c r="B5213" s="8" t="s">
        <v>151</v>
      </c>
      <c r="C5213" s="8" t="s">
        <v>152</v>
      </c>
      <c r="D5213" s="7">
        <v>1</v>
      </c>
      <c r="E5213" s="7">
        <v>91</v>
      </c>
      <c r="F5213" s="7">
        <v>1</v>
      </c>
      <c r="G5213" s="8" t="s">
        <v>219</v>
      </c>
      <c r="H5213" s="8" t="s">
        <v>427</v>
      </c>
      <c r="I5213" s="7" t="str">
        <f>_xlfn.CONCAT(Paper_Reference[[#This Row],[Lvl]:[Paper Description]])</f>
        <v>3SYN3GLOWAPK12SYN3 UV TEX/PLATE LANE PACK1911100WM321-4300IQ MAPLE LANE RH</v>
      </c>
      <c r="J5213" s="7">
        <f>COUNTIF(Paper_Reference[Duplicate Key],Paper_Reference[[#This Row],[Duplicate Key]])</f>
        <v>1</v>
      </c>
    </row>
    <row r="5214" spans="1:10">
      <c r="A5214" s="7">
        <v>3</v>
      </c>
      <c r="B5214" s="8" t="s">
        <v>151</v>
      </c>
      <c r="C5214" s="8" t="s">
        <v>152</v>
      </c>
      <c r="D5214" s="7">
        <v>1</v>
      </c>
      <c r="E5214" s="7">
        <v>91</v>
      </c>
      <c r="F5214" s="7">
        <v>3</v>
      </c>
      <c r="G5214" s="8" t="s">
        <v>218</v>
      </c>
      <c r="H5214" s="8" t="s">
        <v>426</v>
      </c>
      <c r="I5214" s="7" t="str">
        <f>_xlfn.CONCAT(Paper_Reference[[#This Row],[Lvl]:[Paper Description]])</f>
        <v>3SYN3GLOWAPK12SYN3 UV TEX/PLATE LANE PACK1913100WM311-4300IQ MAPLE LANE LH</v>
      </c>
      <c r="J5214" s="7">
        <f>COUNTIF(Paper_Reference[Duplicate Key],Paper_Reference[[#This Row],[Duplicate Key]])</f>
        <v>1</v>
      </c>
    </row>
    <row r="5215" spans="1:10">
      <c r="A5215" s="7">
        <v>3</v>
      </c>
      <c r="B5215" s="8" t="s">
        <v>151</v>
      </c>
      <c r="C5215" s="8" t="s">
        <v>152</v>
      </c>
      <c r="D5215" s="7">
        <v>1</v>
      </c>
      <c r="E5215" s="7">
        <v>91</v>
      </c>
      <c r="F5215" s="7">
        <v>3</v>
      </c>
      <c r="G5215" s="8" t="s">
        <v>219</v>
      </c>
      <c r="H5215" s="8" t="s">
        <v>427</v>
      </c>
      <c r="I5215" s="7" t="str">
        <f>_xlfn.CONCAT(Paper_Reference[[#This Row],[Lvl]:[Paper Description]])</f>
        <v>3SYN3GLOWAPK12SYN3 UV TEX/PLATE LANE PACK1913100WM321-4300IQ MAPLE LANE RH</v>
      </c>
      <c r="J5215" s="7">
        <f>COUNTIF(Paper_Reference[Duplicate Key],Paper_Reference[[#This Row],[Duplicate Key]])</f>
        <v>1</v>
      </c>
    </row>
    <row r="5216" spans="1:10">
      <c r="A5216" s="7">
        <v>4</v>
      </c>
      <c r="B5216" s="8" t="s">
        <v>151</v>
      </c>
      <c r="C5216" s="8" t="s">
        <v>152</v>
      </c>
      <c r="D5216" s="7">
        <v>1</v>
      </c>
      <c r="E5216" s="7">
        <v>91</v>
      </c>
      <c r="F5216" s="7">
        <v>1</v>
      </c>
      <c r="G5216" s="8" t="s">
        <v>217</v>
      </c>
      <c r="H5216" s="8" t="s">
        <v>3229</v>
      </c>
      <c r="I5216" s="7" t="str">
        <f>_xlfn.CONCAT(Paper_Reference[[#This Row],[Lvl]:[Paper Description]])</f>
        <v>4SYN3GLOWAPK12SYN3 UV TEX/PLATE LANE PACK1911100WM301-6200IQ MAPLE LANE (C) 60 X 144</v>
      </c>
      <c r="J5216" s="7">
        <f>COUNTIF(Paper_Reference[Duplicate Key],Paper_Reference[[#This Row],[Duplicate Key]])</f>
        <v>1</v>
      </c>
    </row>
    <row r="5217" spans="1:10">
      <c r="A5217" s="7">
        <v>4</v>
      </c>
      <c r="B5217" s="8" t="s">
        <v>151</v>
      </c>
      <c r="C5217" s="8" t="s">
        <v>152</v>
      </c>
      <c r="D5217" s="7">
        <v>1</v>
      </c>
      <c r="E5217" s="7">
        <v>91</v>
      </c>
      <c r="F5217" s="7">
        <v>1</v>
      </c>
      <c r="G5217" s="8" t="s">
        <v>217</v>
      </c>
      <c r="H5217" s="8" t="s">
        <v>425</v>
      </c>
      <c r="I5217" s="7" t="str">
        <f>_xlfn.CONCAT(Paper_Reference[[#This Row],[Lvl]:[Paper Description]])</f>
        <v>4SYN3GLOWAPK12SYN3 UV TEX/PLATE LANE PACK1911100WM301-6200IQ MAPLE LANE (CENTER)</v>
      </c>
      <c r="J5217" s="7">
        <f>COUNTIF(Paper_Reference[Duplicate Key],Paper_Reference[[#This Row],[Duplicate Key]])</f>
        <v>1</v>
      </c>
    </row>
    <row r="5218" spans="1:10">
      <c r="A5218" s="7">
        <v>4</v>
      </c>
      <c r="B5218" s="8" t="s">
        <v>151</v>
      </c>
      <c r="C5218" s="8" t="s">
        <v>152</v>
      </c>
      <c r="D5218" s="7">
        <v>1</v>
      </c>
      <c r="E5218" s="7">
        <v>91</v>
      </c>
      <c r="F5218" s="7">
        <v>1</v>
      </c>
      <c r="G5218" s="8" t="s">
        <v>218</v>
      </c>
      <c r="H5218" s="8" t="s">
        <v>426</v>
      </c>
      <c r="I5218" s="7" t="str">
        <f>_xlfn.CONCAT(Paper_Reference[[#This Row],[Lvl]:[Paper Description]])</f>
        <v>4SYN3GLOWAPK12SYN3 UV TEX/PLATE LANE PACK1911100WM311-4300IQ MAPLE LANE LH</v>
      </c>
      <c r="J5218" s="7">
        <f>COUNTIF(Paper_Reference[Duplicate Key],Paper_Reference[[#This Row],[Duplicate Key]])</f>
        <v>1</v>
      </c>
    </row>
    <row r="5219" spans="1:10">
      <c r="A5219" s="7">
        <v>4</v>
      </c>
      <c r="B5219" s="8" t="s">
        <v>151</v>
      </c>
      <c r="C5219" s="8" t="s">
        <v>152</v>
      </c>
      <c r="D5219" s="7">
        <v>1</v>
      </c>
      <c r="E5219" s="7">
        <v>91</v>
      </c>
      <c r="F5219" s="7">
        <v>1</v>
      </c>
      <c r="G5219" s="8" t="s">
        <v>219</v>
      </c>
      <c r="H5219" s="8" t="s">
        <v>427</v>
      </c>
      <c r="I5219" s="7" t="str">
        <f>_xlfn.CONCAT(Paper_Reference[[#This Row],[Lvl]:[Paper Description]])</f>
        <v>4SYN3GLOWAPK12SYN3 UV TEX/PLATE LANE PACK1911100WM321-4300IQ MAPLE LANE RH</v>
      </c>
      <c r="J5219" s="7">
        <f>COUNTIF(Paper_Reference[Duplicate Key],Paper_Reference[[#This Row],[Duplicate Key]])</f>
        <v>1</v>
      </c>
    </row>
    <row r="5220" spans="1:10">
      <c r="A5220" s="7">
        <v>3</v>
      </c>
      <c r="B5220" s="8" t="s">
        <v>553</v>
      </c>
      <c r="C5220" s="8" t="s">
        <v>325</v>
      </c>
      <c r="D5220" s="7">
        <v>1</v>
      </c>
      <c r="E5220" s="7">
        <v>91</v>
      </c>
      <c r="F5220" s="7">
        <v>1</v>
      </c>
      <c r="G5220" s="8" t="s">
        <v>218</v>
      </c>
      <c r="H5220" s="8" t="s">
        <v>426</v>
      </c>
      <c r="I5220" s="7" t="str">
        <f>_xlfn.CONCAT(Paper_Reference[[#This Row],[Lvl]:[Paper Description]])</f>
        <v>3SYN3GLOWAPK13SYN3 UV 45 FT TEX LANE PACK1911100WM311-4300IQ MAPLE LANE LH</v>
      </c>
      <c r="J5220" s="7">
        <f>COUNTIF(Paper_Reference[Duplicate Key],Paper_Reference[[#This Row],[Duplicate Key]])</f>
        <v>1</v>
      </c>
    </row>
    <row r="5221" spans="1:10">
      <c r="A5221" s="7">
        <v>3</v>
      </c>
      <c r="B5221" s="8" t="s">
        <v>553</v>
      </c>
      <c r="C5221" s="8" t="s">
        <v>325</v>
      </c>
      <c r="D5221" s="7">
        <v>1</v>
      </c>
      <c r="E5221" s="7">
        <v>91</v>
      </c>
      <c r="F5221" s="7">
        <v>1</v>
      </c>
      <c r="G5221" s="8" t="s">
        <v>219</v>
      </c>
      <c r="H5221" s="8" t="s">
        <v>427</v>
      </c>
      <c r="I5221" s="7" t="str">
        <f>_xlfn.CONCAT(Paper_Reference[[#This Row],[Lvl]:[Paper Description]])</f>
        <v>3SYN3GLOWAPK13SYN3 UV 45 FT TEX LANE PACK1911100WM321-4300IQ MAPLE LANE RH</v>
      </c>
      <c r="J5221" s="7">
        <f>COUNTIF(Paper_Reference[Duplicate Key],Paper_Reference[[#This Row],[Duplicate Key]])</f>
        <v>1</v>
      </c>
    </row>
    <row r="5222" spans="1:10">
      <c r="A5222" s="7">
        <v>3</v>
      </c>
      <c r="B5222" s="8" t="s">
        <v>553</v>
      </c>
      <c r="C5222" s="8" t="s">
        <v>325</v>
      </c>
      <c r="D5222" s="7">
        <v>1</v>
      </c>
      <c r="E5222" s="7">
        <v>91</v>
      </c>
      <c r="F5222" s="7">
        <v>2</v>
      </c>
      <c r="G5222" s="8" t="s">
        <v>218</v>
      </c>
      <c r="H5222" s="8" t="s">
        <v>426</v>
      </c>
      <c r="I5222" s="7" t="str">
        <f>_xlfn.CONCAT(Paper_Reference[[#This Row],[Lvl]:[Paper Description]])</f>
        <v>3SYN3GLOWAPK13SYN3 UV 45 FT TEX LANE PACK1912100WM311-4300IQ MAPLE LANE LH</v>
      </c>
      <c r="J5222" s="7">
        <f>COUNTIF(Paper_Reference[Duplicate Key],Paper_Reference[[#This Row],[Duplicate Key]])</f>
        <v>1</v>
      </c>
    </row>
    <row r="5223" spans="1:10">
      <c r="A5223" s="7">
        <v>3</v>
      </c>
      <c r="B5223" s="8" t="s">
        <v>553</v>
      </c>
      <c r="C5223" s="8" t="s">
        <v>325</v>
      </c>
      <c r="D5223" s="7">
        <v>1</v>
      </c>
      <c r="E5223" s="7">
        <v>91</v>
      </c>
      <c r="F5223" s="7">
        <v>2</v>
      </c>
      <c r="G5223" s="8" t="s">
        <v>219</v>
      </c>
      <c r="H5223" s="8" t="s">
        <v>427</v>
      </c>
      <c r="I5223" s="7" t="str">
        <f>_xlfn.CONCAT(Paper_Reference[[#This Row],[Lvl]:[Paper Description]])</f>
        <v>3SYN3GLOWAPK13SYN3 UV 45 FT TEX LANE PACK1912100WM321-4300IQ MAPLE LANE RH</v>
      </c>
      <c r="J5223" s="7">
        <f>COUNTIF(Paper_Reference[Duplicate Key],Paper_Reference[[#This Row],[Duplicate Key]])</f>
        <v>1</v>
      </c>
    </row>
    <row r="5224" spans="1:10">
      <c r="A5224" s="7">
        <v>4</v>
      </c>
      <c r="B5224" s="8" t="s">
        <v>553</v>
      </c>
      <c r="C5224" s="8" t="s">
        <v>325</v>
      </c>
      <c r="D5224" s="7">
        <v>1</v>
      </c>
      <c r="E5224" s="7">
        <v>91</v>
      </c>
      <c r="F5224" s="7">
        <v>1</v>
      </c>
      <c r="G5224" s="8" t="s">
        <v>217</v>
      </c>
      <c r="H5224" s="8" t="s">
        <v>3229</v>
      </c>
      <c r="I5224" s="7" t="str">
        <f>_xlfn.CONCAT(Paper_Reference[[#This Row],[Lvl]:[Paper Description]])</f>
        <v>4SYN3GLOWAPK13SYN3 UV 45 FT TEX LANE PACK1911100WM301-6200IQ MAPLE LANE (C) 60 X 144</v>
      </c>
      <c r="J5224" s="7">
        <f>COUNTIF(Paper_Reference[Duplicate Key],Paper_Reference[[#This Row],[Duplicate Key]])</f>
        <v>1</v>
      </c>
    </row>
    <row r="5225" spans="1:10">
      <c r="A5225" s="7">
        <v>4</v>
      </c>
      <c r="B5225" s="8" t="s">
        <v>553</v>
      </c>
      <c r="C5225" s="8" t="s">
        <v>325</v>
      </c>
      <c r="D5225" s="7">
        <v>1</v>
      </c>
      <c r="E5225" s="7">
        <v>91</v>
      </c>
      <c r="F5225" s="7">
        <v>1</v>
      </c>
      <c r="G5225" s="8" t="s">
        <v>217</v>
      </c>
      <c r="H5225" s="8" t="s">
        <v>425</v>
      </c>
      <c r="I5225" s="7" t="str">
        <f>_xlfn.CONCAT(Paper_Reference[[#This Row],[Lvl]:[Paper Description]])</f>
        <v>4SYN3GLOWAPK13SYN3 UV 45 FT TEX LANE PACK1911100WM301-6200IQ MAPLE LANE (CENTER)</v>
      </c>
      <c r="J5225" s="7">
        <f>COUNTIF(Paper_Reference[Duplicate Key],Paper_Reference[[#This Row],[Duplicate Key]])</f>
        <v>1</v>
      </c>
    </row>
    <row r="5226" spans="1:10">
      <c r="A5226" s="7">
        <v>4</v>
      </c>
      <c r="B5226" s="8" t="s">
        <v>553</v>
      </c>
      <c r="C5226" s="8" t="s">
        <v>325</v>
      </c>
      <c r="D5226" s="7">
        <v>1</v>
      </c>
      <c r="E5226" s="7">
        <v>91</v>
      </c>
      <c r="F5226" s="7">
        <v>1</v>
      </c>
      <c r="G5226" s="8" t="s">
        <v>218</v>
      </c>
      <c r="H5226" s="8" t="s">
        <v>426</v>
      </c>
      <c r="I5226" s="7" t="str">
        <f>_xlfn.CONCAT(Paper_Reference[[#This Row],[Lvl]:[Paper Description]])</f>
        <v>4SYN3GLOWAPK13SYN3 UV 45 FT TEX LANE PACK1911100WM311-4300IQ MAPLE LANE LH</v>
      </c>
      <c r="J5226" s="7">
        <f>COUNTIF(Paper_Reference[Duplicate Key],Paper_Reference[[#This Row],[Duplicate Key]])</f>
        <v>1</v>
      </c>
    </row>
    <row r="5227" spans="1:10">
      <c r="A5227" s="7">
        <v>4</v>
      </c>
      <c r="B5227" s="8" t="s">
        <v>553</v>
      </c>
      <c r="C5227" s="8" t="s">
        <v>325</v>
      </c>
      <c r="D5227" s="7">
        <v>1</v>
      </c>
      <c r="E5227" s="7">
        <v>91</v>
      </c>
      <c r="F5227" s="7">
        <v>1</v>
      </c>
      <c r="G5227" s="8" t="s">
        <v>219</v>
      </c>
      <c r="H5227" s="8" t="s">
        <v>427</v>
      </c>
      <c r="I5227" s="7" t="str">
        <f>_xlfn.CONCAT(Paper_Reference[[#This Row],[Lvl]:[Paper Description]])</f>
        <v>4SYN3GLOWAPK13SYN3 UV 45 FT TEX LANE PACK1911100WM321-4300IQ MAPLE LANE RH</v>
      </c>
      <c r="J5227" s="7">
        <f>COUNTIF(Paper_Reference[Duplicate Key],Paper_Reference[[#This Row],[Duplicate Key]])</f>
        <v>1</v>
      </c>
    </row>
    <row r="5228" spans="1:10">
      <c r="A5228" s="7">
        <v>3</v>
      </c>
      <c r="B5228" s="8" t="s">
        <v>554</v>
      </c>
      <c r="C5228" s="8" t="s">
        <v>326</v>
      </c>
      <c r="D5228" s="7">
        <v>1</v>
      </c>
      <c r="E5228" s="7">
        <v>91</v>
      </c>
      <c r="F5228" s="7">
        <v>1</v>
      </c>
      <c r="G5228" s="8" t="s">
        <v>218</v>
      </c>
      <c r="H5228" s="8" t="s">
        <v>426</v>
      </c>
      <c r="I5228" s="7" t="str">
        <f>_xlfn.CONCAT(Paper_Reference[[#This Row],[Lvl]:[Paper Description]])</f>
        <v>3SYN3GLOWAPK14SYN3 UV T/P ODD LANE PACK1911100WM311-4300IQ MAPLE LANE LH</v>
      </c>
      <c r="J5228" s="7">
        <f>COUNTIF(Paper_Reference[Duplicate Key],Paper_Reference[[#This Row],[Duplicate Key]])</f>
        <v>1</v>
      </c>
    </row>
    <row r="5229" spans="1:10">
      <c r="A5229" s="7">
        <v>3</v>
      </c>
      <c r="B5229" s="8" t="s">
        <v>554</v>
      </c>
      <c r="C5229" s="8" t="s">
        <v>326</v>
      </c>
      <c r="D5229" s="7">
        <v>1</v>
      </c>
      <c r="E5229" s="7">
        <v>91</v>
      </c>
      <c r="F5229" s="7">
        <v>3</v>
      </c>
      <c r="G5229" s="8" t="s">
        <v>218</v>
      </c>
      <c r="H5229" s="8" t="s">
        <v>426</v>
      </c>
      <c r="I5229" s="7" t="str">
        <f>_xlfn.CONCAT(Paper_Reference[[#This Row],[Lvl]:[Paper Description]])</f>
        <v>3SYN3GLOWAPK14SYN3 UV T/P ODD LANE PACK1913100WM311-4300IQ MAPLE LANE LH</v>
      </c>
      <c r="J5229" s="7">
        <f>COUNTIF(Paper_Reference[Duplicate Key],Paper_Reference[[#This Row],[Duplicate Key]])</f>
        <v>1</v>
      </c>
    </row>
    <row r="5230" spans="1:10">
      <c r="A5230" s="7">
        <v>4</v>
      </c>
      <c r="B5230" s="8" t="s">
        <v>554</v>
      </c>
      <c r="C5230" s="8" t="s">
        <v>326</v>
      </c>
      <c r="D5230" s="7">
        <v>1</v>
      </c>
      <c r="E5230" s="7">
        <v>91</v>
      </c>
      <c r="F5230" s="7">
        <v>1</v>
      </c>
      <c r="G5230" s="8" t="s">
        <v>217</v>
      </c>
      <c r="H5230" s="8" t="s">
        <v>3229</v>
      </c>
      <c r="I5230" s="7" t="str">
        <f>_xlfn.CONCAT(Paper_Reference[[#This Row],[Lvl]:[Paper Description]])</f>
        <v>4SYN3GLOWAPK14SYN3 UV T/P ODD LANE PACK1911100WM301-6200IQ MAPLE LANE (C) 60 X 144</v>
      </c>
      <c r="J5230" s="7">
        <f>COUNTIF(Paper_Reference[Duplicate Key],Paper_Reference[[#This Row],[Duplicate Key]])</f>
        <v>1</v>
      </c>
    </row>
    <row r="5231" spans="1:10">
      <c r="A5231" s="7">
        <v>4</v>
      </c>
      <c r="B5231" s="8" t="s">
        <v>554</v>
      </c>
      <c r="C5231" s="8" t="s">
        <v>326</v>
      </c>
      <c r="D5231" s="7">
        <v>1</v>
      </c>
      <c r="E5231" s="7">
        <v>91</v>
      </c>
      <c r="F5231" s="7">
        <v>1</v>
      </c>
      <c r="G5231" s="8" t="s">
        <v>217</v>
      </c>
      <c r="H5231" s="8" t="s">
        <v>425</v>
      </c>
      <c r="I5231" s="7" t="str">
        <f>_xlfn.CONCAT(Paper_Reference[[#This Row],[Lvl]:[Paper Description]])</f>
        <v>4SYN3GLOWAPK14SYN3 UV T/P ODD LANE PACK1911100WM301-6200IQ MAPLE LANE (CENTER)</v>
      </c>
      <c r="J5231" s="7">
        <f>COUNTIF(Paper_Reference[Duplicate Key],Paper_Reference[[#This Row],[Duplicate Key]])</f>
        <v>1</v>
      </c>
    </row>
    <row r="5232" spans="1:10">
      <c r="A5232" s="7">
        <v>4</v>
      </c>
      <c r="B5232" s="8" t="s">
        <v>554</v>
      </c>
      <c r="C5232" s="8" t="s">
        <v>326</v>
      </c>
      <c r="D5232" s="7">
        <v>1</v>
      </c>
      <c r="E5232" s="7">
        <v>91</v>
      </c>
      <c r="F5232" s="7">
        <v>1</v>
      </c>
      <c r="G5232" s="8" t="s">
        <v>218</v>
      </c>
      <c r="H5232" s="8" t="s">
        <v>426</v>
      </c>
      <c r="I5232" s="7" t="str">
        <f>_xlfn.CONCAT(Paper_Reference[[#This Row],[Lvl]:[Paper Description]])</f>
        <v>4SYN3GLOWAPK14SYN3 UV T/P ODD LANE PACK1911100WM311-4300IQ MAPLE LANE LH</v>
      </c>
      <c r="J5232" s="7">
        <f>COUNTIF(Paper_Reference[Duplicate Key],Paper_Reference[[#This Row],[Duplicate Key]])</f>
        <v>1</v>
      </c>
    </row>
    <row r="5233" spans="1:10">
      <c r="A5233" s="7">
        <v>3</v>
      </c>
      <c r="B5233" s="8" t="s">
        <v>555</v>
      </c>
      <c r="C5233" s="8" t="s">
        <v>327</v>
      </c>
      <c r="D5233" s="7">
        <v>1</v>
      </c>
      <c r="E5233" s="7">
        <v>91</v>
      </c>
      <c r="F5233" s="7">
        <v>1</v>
      </c>
      <c r="G5233" s="8" t="s">
        <v>217</v>
      </c>
      <c r="H5233" s="8" t="s">
        <v>3229</v>
      </c>
      <c r="I5233" s="7" t="str">
        <f>_xlfn.CONCAT(Paper_Reference[[#This Row],[Lvl]:[Paper Description]])</f>
        <v>3SYN3GLOWAPK15SYN3 UV T/P VIRTUAL 11 FT PACK1911100WM301-6200IQ MAPLE LANE (C) 60 X 144</v>
      </c>
      <c r="J5233" s="7">
        <f>COUNTIF(Paper_Reference[Duplicate Key],Paper_Reference[[#This Row],[Duplicate Key]])</f>
        <v>1</v>
      </c>
    </row>
    <row r="5234" spans="1:10">
      <c r="A5234" s="7">
        <v>3</v>
      </c>
      <c r="B5234" s="8" t="s">
        <v>555</v>
      </c>
      <c r="C5234" s="8" t="s">
        <v>327</v>
      </c>
      <c r="D5234" s="7">
        <v>1</v>
      </c>
      <c r="E5234" s="7">
        <v>91</v>
      </c>
      <c r="F5234" s="7">
        <v>1</v>
      </c>
      <c r="G5234" s="8" t="s">
        <v>217</v>
      </c>
      <c r="H5234" s="8" t="s">
        <v>425</v>
      </c>
      <c r="I5234" s="7" t="str">
        <f>_xlfn.CONCAT(Paper_Reference[[#This Row],[Lvl]:[Paper Description]])</f>
        <v>3SYN3GLOWAPK15SYN3 UV T/P VIRTUAL 11 FT PACK1911100WM301-6200IQ MAPLE LANE (CENTER)</v>
      </c>
      <c r="J5234" s="7">
        <f>COUNTIF(Paper_Reference[Duplicate Key],Paper_Reference[[#This Row],[Duplicate Key]])</f>
        <v>1</v>
      </c>
    </row>
    <row r="5235" spans="1:10">
      <c r="A5235" s="7">
        <v>3</v>
      </c>
      <c r="B5235" s="8" t="s">
        <v>555</v>
      </c>
      <c r="C5235" s="8" t="s">
        <v>327</v>
      </c>
      <c r="D5235" s="7">
        <v>1</v>
      </c>
      <c r="E5235" s="7">
        <v>91</v>
      </c>
      <c r="F5235" s="7">
        <v>1</v>
      </c>
      <c r="G5235" s="8" t="s">
        <v>218</v>
      </c>
      <c r="H5235" s="8" t="s">
        <v>426</v>
      </c>
      <c r="I5235" s="7" t="str">
        <f>_xlfn.CONCAT(Paper_Reference[[#This Row],[Lvl]:[Paper Description]])</f>
        <v>3SYN3GLOWAPK15SYN3 UV T/P VIRTUAL 11 FT PACK1911100WM311-4300IQ MAPLE LANE LH</v>
      </c>
      <c r="J5235" s="7">
        <f>COUNTIF(Paper_Reference[Duplicate Key],Paper_Reference[[#This Row],[Duplicate Key]])</f>
        <v>1</v>
      </c>
    </row>
    <row r="5236" spans="1:10">
      <c r="A5236" s="7">
        <v>3</v>
      </c>
      <c r="B5236" s="8" t="s">
        <v>555</v>
      </c>
      <c r="C5236" s="8" t="s">
        <v>327</v>
      </c>
      <c r="D5236" s="7">
        <v>1</v>
      </c>
      <c r="E5236" s="7">
        <v>91</v>
      </c>
      <c r="F5236" s="7">
        <v>1</v>
      </c>
      <c r="G5236" s="8" t="s">
        <v>219</v>
      </c>
      <c r="H5236" s="8" t="s">
        <v>427</v>
      </c>
      <c r="I5236" s="7" t="str">
        <f>_xlfn.CONCAT(Paper_Reference[[#This Row],[Lvl]:[Paper Description]])</f>
        <v>3SYN3GLOWAPK15SYN3 UV T/P VIRTUAL 11 FT PACK1911100WM321-4300IQ MAPLE LANE RH</v>
      </c>
      <c r="J5236" s="7">
        <f>COUNTIF(Paper_Reference[Duplicate Key],Paper_Reference[[#This Row],[Duplicate Key]])</f>
        <v>1</v>
      </c>
    </row>
    <row r="5237" spans="1:10">
      <c r="A5237" s="7">
        <v>4</v>
      </c>
      <c r="B5237" s="8" t="s">
        <v>555</v>
      </c>
      <c r="C5237" s="8" t="s">
        <v>327</v>
      </c>
      <c r="D5237" s="7">
        <v>1</v>
      </c>
      <c r="E5237" s="7">
        <v>91</v>
      </c>
      <c r="F5237" s="7">
        <v>1</v>
      </c>
      <c r="G5237" s="8" t="s">
        <v>218</v>
      </c>
      <c r="H5237" s="8" t="s">
        <v>426</v>
      </c>
      <c r="I5237" s="7" t="str">
        <f>_xlfn.CONCAT(Paper_Reference[[#This Row],[Lvl]:[Paper Description]])</f>
        <v>4SYN3GLOWAPK15SYN3 UV T/P VIRTUAL 11 FT PACK1911100WM311-4300IQ MAPLE LANE LH</v>
      </c>
      <c r="J5237" s="7">
        <f>COUNTIF(Paper_Reference[Duplicate Key],Paper_Reference[[#This Row],[Duplicate Key]])</f>
        <v>1</v>
      </c>
    </row>
    <row r="5238" spans="1:10">
      <c r="A5238" s="7">
        <v>4</v>
      </c>
      <c r="B5238" s="8" t="s">
        <v>555</v>
      </c>
      <c r="C5238" s="8" t="s">
        <v>327</v>
      </c>
      <c r="D5238" s="7">
        <v>1</v>
      </c>
      <c r="E5238" s="7">
        <v>91</v>
      </c>
      <c r="F5238" s="7">
        <v>1</v>
      </c>
      <c r="G5238" s="8" t="s">
        <v>219</v>
      </c>
      <c r="H5238" s="8" t="s">
        <v>427</v>
      </c>
      <c r="I5238" s="7" t="str">
        <f>_xlfn.CONCAT(Paper_Reference[[#This Row],[Lvl]:[Paper Description]])</f>
        <v>4SYN3GLOWAPK15SYN3 UV T/P VIRTUAL 11 FT PACK1911100WM321-4300IQ MAPLE LANE RH</v>
      </c>
      <c r="J5238" s="7">
        <f>COUNTIF(Paper_Reference[Duplicate Key],Paper_Reference[[#This Row],[Duplicate Key]])</f>
        <v>1</v>
      </c>
    </row>
    <row r="5239" spans="1:10">
      <c r="A5239" s="7">
        <v>3</v>
      </c>
      <c r="B5239" s="8" t="s">
        <v>556</v>
      </c>
      <c r="C5239" s="8" t="s">
        <v>321</v>
      </c>
      <c r="D5239" s="7">
        <v>1</v>
      </c>
      <c r="E5239" s="7">
        <v>91</v>
      </c>
      <c r="F5239" s="7">
        <v>1</v>
      </c>
      <c r="G5239" s="8" t="s">
        <v>218</v>
      </c>
      <c r="H5239" s="8" t="s">
        <v>426</v>
      </c>
      <c r="I5239" s="7" t="str">
        <f>_xlfn.CONCAT(Paper_Reference[[#This Row],[Lvl]:[Paper Description]])</f>
        <v>3SYN3GLOWAPK16SYN3 TEX/PLATE LANE PACK1911100WM311-4300IQ MAPLE LANE LH</v>
      </c>
      <c r="J5239" s="7">
        <f>COUNTIF(Paper_Reference[Duplicate Key],Paper_Reference[[#This Row],[Duplicate Key]])</f>
        <v>1</v>
      </c>
    </row>
    <row r="5240" spans="1:10">
      <c r="A5240" s="7">
        <v>3</v>
      </c>
      <c r="B5240" s="8" t="s">
        <v>556</v>
      </c>
      <c r="C5240" s="8" t="s">
        <v>321</v>
      </c>
      <c r="D5240" s="7">
        <v>1</v>
      </c>
      <c r="E5240" s="7">
        <v>91</v>
      </c>
      <c r="F5240" s="7">
        <v>1</v>
      </c>
      <c r="G5240" s="8" t="s">
        <v>219</v>
      </c>
      <c r="H5240" s="8" t="s">
        <v>427</v>
      </c>
      <c r="I5240" s="7" t="str">
        <f>_xlfn.CONCAT(Paper_Reference[[#This Row],[Lvl]:[Paper Description]])</f>
        <v>3SYN3GLOWAPK16SYN3 TEX/PLATE LANE PACK1911100WM321-4300IQ MAPLE LANE RH</v>
      </c>
      <c r="J5240" s="7">
        <f>COUNTIF(Paper_Reference[Duplicate Key],Paper_Reference[[#This Row],[Duplicate Key]])</f>
        <v>1</v>
      </c>
    </row>
    <row r="5241" spans="1:10">
      <c r="A5241" s="7">
        <v>3</v>
      </c>
      <c r="B5241" s="8" t="s">
        <v>556</v>
      </c>
      <c r="C5241" s="8" t="s">
        <v>321</v>
      </c>
      <c r="D5241" s="7">
        <v>1</v>
      </c>
      <c r="E5241" s="7">
        <v>91</v>
      </c>
      <c r="F5241" s="7">
        <v>3</v>
      </c>
      <c r="G5241" s="8" t="s">
        <v>218</v>
      </c>
      <c r="H5241" s="8" t="s">
        <v>426</v>
      </c>
      <c r="I5241" s="7" t="str">
        <f>_xlfn.CONCAT(Paper_Reference[[#This Row],[Lvl]:[Paper Description]])</f>
        <v>3SYN3GLOWAPK16SYN3 TEX/PLATE LANE PACK1913100WM311-4300IQ MAPLE LANE LH</v>
      </c>
      <c r="J5241" s="7">
        <f>COUNTIF(Paper_Reference[Duplicate Key],Paper_Reference[[#This Row],[Duplicate Key]])</f>
        <v>1</v>
      </c>
    </row>
    <row r="5242" spans="1:10">
      <c r="A5242" s="7">
        <v>3</v>
      </c>
      <c r="B5242" s="8" t="s">
        <v>556</v>
      </c>
      <c r="C5242" s="8" t="s">
        <v>321</v>
      </c>
      <c r="D5242" s="7">
        <v>1</v>
      </c>
      <c r="E5242" s="7">
        <v>91</v>
      </c>
      <c r="F5242" s="7">
        <v>3</v>
      </c>
      <c r="G5242" s="8" t="s">
        <v>219</v>
      </c>
      <c r="H5242" s="8" t="s">
        <v>427</v>
      </c>
      <c r="I5242" s="7" t="str">
        <f>_xlfn.CONCAT(Paper_Reference[[#This Row],[Lvl]:[Paper Description]])</f>
        <v>3SYN3GLOWAPK16SYN3 TEX/PLATE LANE PACK1913100WM321-4300IQ MAPLE LANE RH</v>
      </c>
      <c r="J5242" s="7">
        <f>COUNTIF(Paper_Reference[Duplicate Key],Paper_Reference[[#This Row],[Duplicate Key]])</f>
        <v>1</v>
      </c>
    </row>
    <row r="5243" spans="1:10">
      <c r="A5243" s="7">
        <v>4</v>
      </c>
      <c r="B5243" s="8" t="s">
        <v>556</v>
      </c>
      <c r="C5243" s="8" t="s">
        <v>321</v>
      </c>
      <c r="D5243" s="7">
        <v>1</v>
      </c>
      <c r="E5243" s="7">
        <v>91</v>
      </c>
      <c r="F5243" s="7">
        <v>1</v>
      </c>
      <c r="G5243" s="8" t="s">
        <v>217</v>
      </c>
      <c r="H5243" s="8" t="s">
        <v>3229</v>
      </c>
      <c r="I5243" s="7" t="str">
        <f>_xlfn.CONCAT(Paper_Reference[[#This Row],[Lvl]:[Paper Description]])</f>
        <v>4SYN3GLOWAPK16SYN3 TEX/PLATE LANE PACK1911100WM301-6200IQ MAPLE LANE (C) 60 X 144</v>
      </c>
      <c r="J5243" s="7">
        <f>COUNTIF(Paper_Reference[Duplicate Key],Paper_Reference[[#This Row],[Duplicate Key]])</f>
        <v>1</v>
      </c>
    </row>
    <row r="5244" spans="1:10">
      <c r="A5244" s="7">
        <v>4</v>
      </c>
      <c r="B5244" s="8" t="s">
        <v>556</v>
      </c>
      <c r="C5244" s="8" t="s">
        <v>321</v>
      </c>
      <c r="D5244" s="7">
        <v>1</v>
      </c>
      <c r="E5244" s="7">
        <v>91</v>
      </c>
      <c r="F5244" s="7">
        <v>1</v>
      </c>
      <c r="G5244" s="8" t="s">
        <v>217</v>
      </c>
      <c r="H5244" s="8" t="s">
        <v>425</v>
      </c>
      <c r="I5244" s="7" t="str">
        <f>_xlfn.CONCAT(Paper_Reference[[#This Row],[Lvl]:[Paper Description]])</f>
        <v>4SYN3GLOWAPK16SYN3 TEX/PLATE LANE PACK1911100WM301-6200IQ MAPLE LANE (CENTER)</v>
      </c>
      <c r="J5244" s="7">
        <f>COUNTIF(Paper_Reference[Duplicate Key],Paper_Reference[[#This Row],[Duplicate Key]])</f>
        <v>1</v>
      </c>
    </row>
    <row r="5245" spans="1:10">
      <c r="A5245" s="7">
        <v>4</v>
      </c>
      <c r="B5245" s="8" t="s">
        <v>556</v>
      </c>
      <c r="C5245" s="8" t="s">
        <v>321</v>
      </c>
      <c r="D5245" s="7">
        <v>1</v>
      </c>
      <c r="E5245" s="7">
        <v>91</v>
      </c>
      <c r="F5245" s="7">
        <v>1</v>
      </c>
      <c r="G5245" s="8" t="s">
        <v>218</v>
      </c>
      <c r="H5245" s="8" t="s">
        <v>426</v>
      </c>
      <c r="I5245" s="7" t="str">
        <f>_xlfn.CONCAT(Paper_Reference[[#This Row],[Lvl]:[Paper Description]])</f>
        <v>4SYN3GLOWAPK16SYN3 TEX/PLATE LANE PACK1911100WM311-4300IQ MAPLE LANE LH</v>
      </c>
      <c r="J5245" s="7">
        <f>COUNTIF(Paper_Reference[Duplicate Key],Paper_Reference[[#This Row],[Duplicate Key]])</f>
        <v>1</v>
      </c>
    </row>
    <row r="5246" spans="1:10">
      <c r="A5246" s="7">
        <v>4</v>
      </c>
      <c r="B5246" s="8" t="s">
        <v>556</v>
      </c>
      <c r="C5246" s="8" t="s">
        <v>321</v>
      </c>
      <c r="D5246" s="7">
        <v>1</v>
      </c>
      <c r="E5246" s="7">
        <v>91</v>
      </c>
      <c r="F5246" s="7">
        <v>1</v>
      </c>
      <c r="G5246" s="8" t="s">
        <v>219</v>
      </c>
      <c r="H5246" s="8" t="s">
        <v>427</v>
      </c>
      <c r="I5246" s="7" t="str">
        <f>_xlfn.CONCAT(Paper_Reference[[#This Row],[Lvl]:[Paper Description]])</f>
        <v>4SYN3GLOWAPK16SYN3 TEX/PLATE LANE PACK1911100WM321-4300IQ MAPLE LANE RH</v>
      </c>
      <c r="J5246" s="7">
        <f>COUNTIF(Paper_Reference[Duplicate Key],Paper_Reference[[#This Row],[Duplicate Key]])</f>
        <v>1</v>
      </c>
    </row>
    <row r="5247" spans="1:10">
      <c r="A5247" s="7">
        <v>3</v>
      </c>
      <c r="B5247" s="8" t="s">
        <v>557</v>
      </c>
      <c r="C5247" s="8" t="s">
        <v>328</v>
      </c>
      <c r="D5247" s="7">
        <v>1</v>
      </c>
      <c r="E5247" s="7">
        <v>91</v>
      </c>
      <c r="F5247" s="7">
        <v>1</v>
      </c>
      <c r="G5247" s="8" t="s">
        <v>217</v>
      </c>
      <c r="H5247" s="8" t="s">
        <v>3229</v>
      </c>
      <c r="I5247" s="7" t="str">
        <f>_xlfn.CONCAT(Paper_Reference[[#This Row],[Lvl]:[Paper Description]])</f>
        <v>3SYN3GLOWAPK18SYN3 UV T/P VIRTUAL 7 FT PACK1911100WM301-6200IQ MAPLE LANE (C) 60 X 144</v>
      </c>
      <c r="J5247" s="7">
        <f>COUNTIF(Paper_Reference[Duplicate Key],Paper_Reference[[#This Row],[Duplicate Key]])</f>
        <v>1</v>
      </c>
    </row>
    <row r="5248" spans="1:10">
      <c r="A5248" s="7">
        <v>3</v>
      </c>
      <c r="B5248" s="8" t="s">
        <v>557</v>
      </c>
      <c r="C5248" s="8" t="s">
        <v>328</v>
      </c>
      <c r="D5248" s="7">
        <v>1</v>
      </c>
      <c r="E5248" s="7">
        <v>91</v>
      </c>
      <c r="F5248" s="7">
        <v>1</v>
      </c>
      <c r="G5248" s="8" t="s">
        <v>217</v>
      </c>
      <c r="H5248" s="8" t="s">
        <v>425</v>
      </c>
      <c r="I5248" s="7" t="str">
        <f>_xlfn.CONCAT(Paper_Reference[[#This Row],[Lvl]:[Paper Description]])</f>
        <v>3SYN3GLOWAPK18SYN3 UV T/P VIRTUAL 7 FT PACK1911100WM301-6200IQ MAPLE LANE (CENTER)</v>
      </c>
      <c r="J5248" s="7">
        <f>COUNTIF(Paper_Reference[Duplicate Key],Paper_Reference[[#This Row],[Duplicate Key]])</f>
        <v>1</v>
      </c>
    </row>
    <row r="5249" spans="1:10">
      <c r="A5249" s="7">
        <v>3</v>
      </c>
      <c r="B5249" s="8" t="s">
        <v>557</v>
      </c>
      <c r="C5249" s="8" t="s">
        <v>328</v>
      </c>
      <c r="D5249" s="7">
        <v>1</v>
      </c>
      <c r="E5249" s="7">
        <v>91</v>
      </c>
      <c r="F5249" s="7">
        <v>1</v>
      </c>
      <c r="G5249" s="8" t="s">
        <v>218</v>
      </c>
      <c r="H5249" s="8" t="s">
        <v>426</v>
      </c>
      <c r="I5249" s="7" t="str">
        <f>_xlfn.CONCAT(Paper_Reference[[#This Row],[Lvl]:[Paper Description]])</f>
        <v>3SYN3GLOWAPK18SYN3 UV T/P VIRTUAL 7 FT PACK1911100WM311-4300IQ MAPLE LANE LH</v>
      </c>
      <c r="J5249" s="7">
        <f>COUNTIF(Paper_Reference[Duplicate Key],Paper_Reference[[#This Row],[Duplicate Key]])</f>
        <v>1</v>
      </c>
    </row>
    <row r="5250" spans="1:10">
      <c r="A5250" s="7">
        <v>3</v>
      </c>
      <c r="B5250" s="8" t="s">
        <v>557</v>
      </c>
      <c r="C5250" s="8" t="s">
        <v>328</v>
      </c>
      <c r="D5250" s="7">
        <v>1</v>
      </c>
      <c r="E5250" s="7">
        <v>91</v>
      </c>
      <c r="F5250" s="7">
        <v>1</v>
      </c>
      <c r="G5250" s="8" t="s">
        <v>219</v>
      </c>
      <c r="H5250" s="8" t="s">
        <v>427</v>
      </c>
      <c r="I5250" s="7" t="str">
        <f>_xlfn.CONCAT(Paper_Reference[[#This Row],[Lvl]:[Paper Description]])</f>
        <v>3SYN3GLOWAPK18SYN3 UV T/P VIRTUAL 7 FT PACK1911100WM321-4300IQ MAPLE LANE RH</v>
      </c>
      <c r="J5250" s="7">
        <f>COUNTIF(Paper_Reference[Duplicate Key],Paper_Reference[[#This Row],[Duplicate Key]])</f>
        <v>1</v>
      </c>
    </row>
    <row r="5251" spans="1:10">
      <c r="A5251" s="7">
        <v>4</v>
      </c>
      <c r="B5251" s="8" t="s">
        <v>557</v>
      </c>
      <c r="C5251" s="8" t="s">
        <v>328</v>
      </c>
      <c r="D5251" s="7">
        <v>1</v>
      </c>
      <c r="E5251" s="7">
        <v>91</v>
      </c>
      <c r="F5251" s="7">
        <v>1</v>
      </c>
      <c r="G5251" s="8" t="s">
        <v>217</v>
      </c>
      <c r="H5251" s="8" t="s">
        <v>425</v>
      </c>
      <c r="I5251" s="7" t="str">
        <f>_xlfn.CONCAT(Paper_Reference[[#This Row],[Lvl]:[Paper Description]])</f>
        <v>4SYN3GLOWAPK18SYN3 UV T/P VIRTUAL 7 FT PACK1911100WM301-6200IQ MAPLE LANE (CENTER)</v>
      </c>
      <c r="J5251" s="7">
        <f>COUNTIF(Paper_Reference[Duplicate Key],Paper_Reference[[#This Row],[Duplicate Key]])</f>
        <v>1</v>
      </c>
    </row>
    <row r="5252" spans="1:10">
      <c r="A5252" s="7">
        <v>4</v>
      </c>
      <c r="B5252" s="8" t="s">
        <v>557</v>
      </c>
      <c r="C5252" s="8" t="s">
        <v>328</v>
      </c>
      <c r="D5252" s="7">
        <v>1</v>
      </c>
      <c r="E5252" s="7">
        <v>91</v>
      </c>
      <c r="F5252" s="7">
        <v>1</v>
      </c>
      <c r="G5252" s="8" t="s">
        <v>218</v>
      </c>
      <c r="H5252" s="8" t="s">
        <v>426</v>
      </c>
      <c r="I5252" s="7" t="str">
        <f>_xlfn.CONCAT(Paper_Reference[[#This Row],[Lvl]:[Paper Description]])</f>
        <v>4SYN3GLOWAPK18SYN3 UV T/P VIRTUAL 7 FT PACK1911100WM311-4300IQ MAPLE LANE LH</v>
      </c>
      <c r="J5252" s="7">
        <f>COUNTIF(Paper_Reference[Duplicate Key],Paper_Reference[[#This Row],[Duplicate Key]])</f>
        <v>1</v>
      </c>
    </row>
    <row r="5253" spans="1:10">
      <c r="A5253" s="7">
        <v>4</v>
      </c>
      <c r="B5253" s="8" t="s">
        <v>557</v>
      </c>
      <c r="C5253" s="8" t="s">
        <v>328</v>
      </c>
      <c r="D5253" s="7">
        <v>1</v>
      </c>
      <c r="E5253" s="7">
        <v>91</v>
      </c>
      <c r="F5253" s="7">
        <v>1</v>
      </c>
      <c r="G5253" s="8" t="s">
        <v>219</v>
      </c>
      <c r="H5253" s="8" t="s">
        <v>427</v>
      </c>
      <c r="I5253" s="7" t="str">
        <f>_xlfn.CONCAT(Paper_Reference[[#This Row],[Lvl]:[Paper Description]])</f>
        <v>4SYN3GLOWAPK18SYN3 UV T/P VIRTUAL 7 FT PACK1911100WM321-4300IQ MAPLE LANE RH</v>
      </c>
      <c r="J5253" s="7">
        <f>COUNTIF(Paper_Reference[Duplicate Key],Paper_Reference[[#This Row],[Duplicate Key]])</f>
        <v>1</v>
      </c>
    </row>
    <row r="5254" spans="1:10">
      <c r="A5254" s="7">
        <v>3</v>
      </c>
      <c r="B5254" s="8" t="s">
        <v>558</v>
      </c>
      <c r="C5254" s="8" t="s">
        <v>329</v>
      </c>
      <c r="D5254" s="7">
        <v>1</v>
      </c>
      <c r="E5254" s="7">
        <v>91</v>
      </c>
      <c r="F5254" s="7">
        <v>1</v>
      </c>
      <c r="G5254" s="8" t="s">
        <v>217</v>
      </c>
      <c r="H5254" s="8" t="s">
        <v>425</v>
      </c>
      <c r="I5254" s="7" t="str">
        <f>_xlfn.CONCAT(Paper_Reference[[#This Row],[Lvl]:[Paper Description]])</f>
        <v>3SYN3GLOWAPK19SYN3 UV T/P VIRTUAL 7 FT SINGL1911100WM301-6200IQ MAPLE LANE (CENTER)</v>
      </c>
      <c r="J5254" s="7">
        <f>COUNTIF(Paper_Reference[Duplicate Key],Paper_Reference[[#This Row],[Duplicate Key]])</f>
        <v>1</v>
      </c>
    </row>
    <row r="5255" spans="1:10">
      <c r="A5255" s="7">
        <v>3</v>
      </c>
      <c r="B5255" s="8" t="s">
        <v>558</v>
      </c>
      <c r="C5255" s="8" t="s">
        <v>329</v>
      </c>
      <c r="D5255" s="7">
        <v>1</v>
      </c>
      <c r="E5255" s="7">
        <v>91</v>
      </c>
      <c r="F5255" s="7">
        <v>1</v>
      </c>
      <c r="G5255" s="8" t="s">
        <v>218</v>
      </c>
      <c r="H5255" s="8" t="s">
        <v>426</v>
      </c>
      <c r="I5255" s="7" t="str">
        <f>_xlfn.CONCAT(Paper_Reference[[#This Row],[Lvl]:[Paper Description]])</f>
        <v>3SYN3GLOWAPK19SYN3 UV T/P VIRTUAL 7 FT SINGL1911100WM311-4300IQ MAPLE LANE LH</v>
      </c>
      <c r="J5255" s="7">
        <f>COUNTIF(Paper_Reference[Duplicate Key],Paper_Reference[[#This Row],[Duplicate Key]])</f>
        <v>1</v>
      </c>
    </row>
    <row r="5256" spans="1:10">
      <c r="A5256" s="7">
        <v>4</v>
      </c>
      <c r="B5256" s="8" t="s">
        <v>558</v>
      </c>
      <c r="C5256" s="8" t="s">
        <v>329</v>
      </c>
      <c r="D5256" s="7">
        <v>1</v>
      </c>
      <c r="E5256" s="7">
        <v>91</v>
      </c>
      <c r="F5256" s="7">
        <v>1</v>
      </c>
      <c r="G5256" s="8" t="s">
        <v>217</v>
      </c>
      <c r="H5256" s="8" t="s">
        <v>3229</v>
      </c>
      <c r="I5256" s="7" t="str">
        <f>_xlfn.CONCAT(Paper_Reference[[#This Row],[Lvl]:[Paper Description]])</f>
        <v>4SYN3GLOWAPK19SYN3 UV T/P VIRTUAL 7 FT SINGL1911100WM301-6200IQ MAPLE LANE (C) 60 X 144</v>
      </c>
      <c r="J5256" s="7">
        <f>COUNTIF(Paper_Reference[Duplicate Key],Paper_Reference[[#This Row],[Duplicate Key]])</f>
        <v>1</v>
      </c>
    </row>
    <row r="5257" spans="1:10">
      <c r="A5257" s="7">
        <v>4</v>
      </c>
      <c r="B5257" s="8" t="s">
        <v>558</v>
      </c>
      <c r="C5257" s="8" t="s">
        <v>329</v>
      </c>
      <c r="D5257" s="7">
        <v>1</v>
      </c>
      <c r="E5257" s="7">
        <v>91</v>
      </c>
      <c r="F5257" s="7">
        <v>1</v>
      </c>
      <c r="G5257" s="8" t="s">
        <v>217</v>
      </c>
      <c r="H5257" s="8" t="s">
        <v>425</v>
      </c>
      <c r="I5257" s="7" t="str">
        <f>_xlfn.CONCAT(Paper_Reference[[#This Row],[Lvl]:[Paper Description]])</f>
        <v>4SYN3GLOWAPK19SYN3 UV T/P VIRTUAL 7 FT SINGL1911100WM301-6200IQ MAPLE LANE (CENTER)</v>
      </c>
      <c r="J5257" s="7">
        <f>COUNTIF(Paper_Reference[Duplicate Key],Paper_Reference[[#This Row],[Duplicate Key]])</f>
        <v>1</v>
      </c>
    </row>
    <row r="5258" spans="1:10">
      <c r="A5258" s="7">
        <v>4</v>
      </c>
      <c r="B5258" s="8" t="s">
        <v>558</v>
      </c>
      <c r="C5258" s="8" t="s">
        <v>329</v>
      </c>
      <c r="D5258" s="7">
        <v>1</v>
      </c>
      <c r="E5258" s="7">
        <v>91</v>
      </c>
      <c r="F5258" s="7">
        <v>1</v>
      </c>
      <c r="G5258" s="8" t="s">
        <v>218</v>
      </c>
      <c r="H5258" s="8" t="s">
        <v>426</v>
      </c>
      <c r="I5258" s="7" t="str">
        <f>_xlfn.CONCAT(Paper_Reference[[#This Row],[Lvl]:[Paper Description]])</f>
        <v>4SYN3GLOWAPK19SYN3 UV T/P VIRTUAL 7 FT SINGL1911100WM311-4300IQ MAPLE LANE LH</v>
      </c>
      <c r="J5258" s="7">
        <f>COUNTIF(Paper_Reference[Duplicate Key],Paper_Reference[[#This Row],[Duplicate Key]])</f>
        <v>1</v>
      </c>
    </row>
    <row r="5259" spans="1:10">
      <c r="A5259" s="7">
        <v>3</v>
      </c>
      <c r="B5259" s="8" t="s">
        <v>559</v>
      </c>
      <c r="C5259" s="8" t="s">
        <v>330</v>
      </c>
      <c r="D5259" s="7">
        <v>1</v>
      </c>
      <c r="E5259" s="7">
        <v>91</v>
      </c>
      <c r="F5259" s="7">
        <v>1</v>
      </c>
      <c r="G5259" s="8" t="s">
        <v>217</v>
      </c>
      <c r="H5259" s="8" t="s">
        <v>3229</v>
      </c>
      <c r="I5259" s="7" t="str">
        <f>_xlfn.CONCAT(Paper_Reference[[#This Row],[Lvl]:[Paper Description]])</f>
        <v>3SYN3GLOWAPK20SYN3 UV T/P VIRTUAL 11 FT SING1911100WM301-6200IQ MAPLE LANE (C) 60 X 144</v>
      </c>
      <c r="J5259" s="7">
        <f>COUNTIF(Paper_Reference[Duplicate Key],Paper_Reference[[#This Row],[Duplicate Key]])</f>
        <v>1</v>
      </c>
    </row>
    <row r="5260" spans="1:10">
      <c r="A5260" s="7">
        <v>3</v>
      </c>
      <c r="B5260" s="8" t="s">
        <v>559</v>
      </c>
      <c r="C5260" s="8" t="s">
        <v>330</v>
      </c>
      <c r="D5260" s="7">
        <v>1</v>
      </c>
      <c r="E5260" s="7">
        <v>91</v>
      </c>
      <c r="F5260" s="7">
        <v>1</v>
      </c>
      <c r="G5260" s="8" t="s">
        <v>217</v>
      </c>
      <c r="H5260" s="8" t="s">
        <v>425</v>
      </c>
      <c r="I5260" s="7" t="str">
        <f>_xlfn.CONCAT(Paper_Reference[[#This Row],[Lvl]:[Paper Description]])</f>
        <v>3SYN3GLOWAPK20SYN3 UV T/P VIRTUAL 11 FT SING1911100WM301-6200IQ MAPLE LANE (CENTER)</v>
      </c>
      <c r="J5260" s="7">
        <f>COUNTIF(Paper_Reference[Duplicate Key],Paper_Reference[[#This Row],[Duplicate Key]])</f>
        <v>1</v>
      </c>
    </row>
    <row r="5261" spans="1:10">
      <c r="A5261" s="7">
        <v>3</v>
      </c>
      <c r="B5261" s="8" t="s">
        <v>559</v>
      </c>
      <c r="C5261" s="8" t="s">
        <v>330</v>
      </c>
      <c r="D5261" s="7">
        <v>1</v>
      </c>
      <c r="E5261" s="7">
        <v>91</v>
      </c>
      <c r="F5261" s="7">
        <v>1</v>
      </c>
      <c r="G5261" s="8" t="s">
        <v>218</v>
      </c>
      <c r="H5261" s="8" t="s">
        <v>426</v>
      </c>
      <c r="I5261" s="7" t="str">
        <f>_xlfn.CONCAT(Paper_Reference[[#This Row],[Lvl]:[Paper Description]])</f>
        <v>3SYN3GLOWAPK20SYN3 UV T/P VIRTUAL 11 FT SING1911100WM311-4300IQ MAPLE LANE LH</v>
      </c>
      <c r="J5261" s="7">
        <f>COUNTIF(Paper_Reference[Duplicate Key],Paper_Reference[[#This Row],[Duplicate Key]])</f>
        <v>1</v>
      </c>
    </row>
    <row r="5262" spans="1:10">
      <c r="A5262" s="7">
        <v>4</v>
      </c>
      <c r="B5262" s="8" t="s">
        <v>559</v>
      </c>
      <c r="C5262" s="8" t="s">
        <v>330</v>
      </c>
      <c r="D5262" s="7">
        <v>1</v>
      </c>
      <c r="E5262" s="7">
        <v>91</v>
      </c>
      <c r="F5262" s="7">
        <v>1</v>
      </c>
      <c r="G5262" s="8" t="s">
        <v>217</v>
      </c>
      <c r="H5262" s="8" t="s">
        <v>425</v>
      </c>
      <c r="I5262" s="7" t="str">
        <f>_xlfn.CONCAT(Paper_Reference[[#This Row],[Lvl]:[Paper Description]])</f>
        <v>4SYN3GLOWAPK20SYN3 UV T/P VIRTUAL 11 FT SING1911100WM301-6200IQ MAPLE LANE (CENTER)</v>
      </c>
      <c r="J5262" s="7">
        <f>COUNTIF(Paper_Reference[Duplicate Key],Paper_Reference[[#This Row],[Duplicate Key]])</f>
        <v>1</v>
      </c>
    </row>
    <row r="5263" spans="1:10">
      <c r="A5263" s="7">
        <v>4</v>
      </c>
      <c r="B5263" s="8" t="s">
        <v>559</v>
      </c>
      <c r="C5263" s="8" t="s">
        <v>330</v>
      </c>
      <c r="D5263" s="7">
        <v>1</v>
      </c>
      <c r="E5263" s="7">
        <v>91</v>
      </c>
      <c r="F5263" s="7">
        <v>1</v>
      </c>
      <c r="G5263" s="8" t="s">
        <v>218</v>
      </c>
      <c r="H5263" s="8" t="s">
        <v>426</v>
      </c>
      <c r="I5263" s="7" t="str">
        <f>_xlfn.CONCAT(Paper_Reference[[#This Row],[Lvl]:[Paper Description]])</f>
        <v>4SYN3GLOWAPK20SYN3 UV T/P VIRTUAL 11 FT SING1911100WM311-4300IQ MAPLE LANE LH</v>
      </c>
      <c r="J5263" s="7">
        <f>COUNTIF(Paper_Reference[Duplicate Key],Paper_Reference[[#This Row],[Duplicate Key]])</f>
        <v>1</v>
      </c>
    </row>
    <row r="5264" spans="1:10">
      <c r="A5264" s="7">
        <v>3</v>
      </c>
      <c r="B5264" s="8" t="s">
        <v>560</v>
      </c>
      <c r="C5264" s="8" t="s">
        <v>331</v>
      </c>
      <c r="D5264" s="7">
        <v>1</v>
      </c>
      <c r="E5264" s="7">
        <v>91</v>
      </c>
      <c r="F5264" s="7">
        <v>1</v>
      </c>
      <c r="G5264" s="8" t="s">
        <v>217</v>
      </c>
      <c r="H5264" s="8" t="s">
        <v>3229</v>
      </c>
      <c r="I5264" s="7" t="str">
        <f>_xlfn.CONCAT(Paper_Reference[[#This Row],[Lvl]:[Paper Description]])</f>
        <v>3SYN3GLOWAPK21SYN3 UV VIRTUAL STAIR PACK1911100WM301-6200IQ MAPLE LANE (C) 60 X 144</v>
      </c>
      <c r="J5264" s="7">
        <f>COUNTIF(Paper_Reference[Duplicate Key],Paper_Reference[[#This Row],[Duplicate Key]])</f>
        <v>1</v>
      </c>
    </row>
    <row r="5265" spans="1:10">
      <c r="A5265" s="7">
        <v>3</v>
      </c>
      <c r="B5265" s="8" t="s">
        <v>560</v>
      </c>
      <c r="C5265" s="8" t="s">
        <v>331</v>
      </c>
      <c r="D5265" s="7">
        <v>1</v>
      </c>
      <c r="E5265" s="7">
        <v>91</v>
      </c>
      <c r="F5265" s="7">
        <v>1</v>
      </c>
      <c r="G5265" s="8" t="s">
        <v>217</v>
      </c>
      <c r="H5265" s="8" t="s">
        <v>425</v>
      </c>
      <c r="I5265" s="7" t="str">
        <f>_xlfn.CONCAT(Paper_Reference[[#This Row],[Lvl]:[Paper Description]])</f>
        <v>3SYN3GLOWAPK21SYN3 UV VIRTUAL STAIR PACK1911100WM301-6200IQ MAPLE LANE (CENTER)</v>
      </c>
      <c r="J5265" s="7">
        <f>COUNTIF(Paper_Reference[Duplicate Key],Paper_Reference[[#This Row],[Duplicate Key]])</f>
        <v>1</v>
      </c>
    </row>
    <row r="5266" spans="1:10">
      <c r="A5266" s="7">
        <v>4</v>
      </c>
      <c r="B5266" s="8" t="s">
        <v>561</v>
      </c>
      <c r="C5266" s="8" t="s">
        <v>332</v>
      </c>
      <c r="D5266" s="7">
        <v>1</v>
      </c>
      <c r="E5266" s="7">
        <v>91</v>
      </c>
      <c r="F5266" s="7">
        <v>1</v>
      </c>
      <c r="G5266" s="8" t="s">
        <v>217</v>
      </c>
      <c r="H5266" s="8" t="s">
        <v>3229</v>
      </c>
      <c r="I5266" s="7" t="str">
        <f>_xlfn.CONCAT(Paper_Reference[[#This Row],[Lvl]:[Paper Description]])</f>
        <v>4SYN3GLOWAPK22SYN3 UV TEX APP A/O PACK1911100WM301-6200IQ MAPLE LANE (C) 60 X 144</v>
      </c>
      <c r="J5266" s="7">
        <f>COUNTIF(Paper_Reference[Duplicate Key],Paper_Reference[[#This Row],[Duplicate Key]])</f>
        <v>1</v>
      </c>
    </row>
    <row r="5267" spans="1:10">
      <c r="A5267" s="7">
        <v>4</v>
      </c>
      <c r="B5267" s="8" t="s">
        <v>561</v>
      </c>
      <c r="C5267" s="8" t="s">
        <v>332</v>
      </c>
      <c r="D5267" s="7">
        <v>1</v>
      </c>
      <c r="E5267" s="7">
        <v>91</v>
      </c>
      <c r="F5267" s="7">
        <v>1</v>
      </c>
      <c r="G5267" s="8" t="s">
        <v>217</v>
      </c>
      <c r="H5267" s="8" t="s">
        <v>425</v>
      </c>
      <c r="I5267" s="7" t="str">
        <f>_xlfn.CONCAT(Paper_Reference[[#This Row],[Lvl]:[Paper Description]])</f>
        <v>4SYN3GLOWAPK22SYN3 UV TEX APP A/O PACK1911100WM301-6200IQ MAPLE LANE (CENTER)</v>
      </c>
      <c r="J5267" s="7">
        <f>COUNTIF(Paper_Reference[Duplicate Key],Paper_Reference[[#This Row],[Duplicate Key]])</f>
        <v>1</v>
      </c>
    </row>
    <row r="5268" spans="1:10">
      <c r="A5268" s="7">
        <v>3</v>
      </c>
      <c r="B5268" s="8" t="s">
        <v>157</v>
      </c>
      <c r="C5268" s="8" t="s">
        <v>158</v>
      </c>
      <c r="D5268" s="7">
        <v>1</v>
      </c>
      <c r="E5268" s="7">
        <v>91</v>
      </c>
      <c r="F5268" s="7">
        <v>1</v>
      </c>
      <c r="G5268" s="8" t="s">
        <v>219</v>
      </c>
      <c r="H5268" s="8" t="s">
        <v>427</v>
      </c>
      <c r="I5268" s="7" t="str">
        <f>_xlfn.CONCAT(Paper_Reference[[#This Row],[Lvl]:[Paper Description]])</f>
        <v>3SYN3GLOWAPK23SYN3 UV T/P RT LANE PACK1911100WM321-4300IQ MAPLE LANE RH</v>
      </c>
      <c r="J5268" s="7">
        <f>COUNTIF(Paper_Reference[Duplicate Key],Paper_Reference[[#This Row],[Duplicate Key]])</f>
        <v>1</v>
      </c>
    </row>
    <row r="5269" spans="1:10">
      <c r="A5269" s="7">
        <v>3</v>
      </c>
      <c r="B5269" s="8" t="s">
        <v>157</v>
      </c>
      <c r="C5269" s="8" t="s">
        <v>158</v>
      </c>
      <c r="D5269" s="7">
        <v>1</v>
      </c>
      <c r="E5269" s="7">
        <v>91</v>
      </c>
      <c r="F5269" s="7">
        <v>3</v>
      </c>
      <c r="G5269" s="8" t="s">
        <v>219</v>
      </c>
      <c r="H5269" s="8" t="s">
        <v>427</v>
      </c>
      <c r="I5269" s="7" t="str">
        <f>_xlfn.CONCAT(Paper_Reference[[#This Row],[Lvl]:[Paper Description]])</f>
        <v>3SYN3GLOWAPK23SYN3 UV T/P RT LANE PACK1913100WM321-4300IQ MAPLE LANE RH</v>
      </c>
      <c r="J5269" s="7">
        <f>COUNTIF(Paper_Reference[Duplicate Key],Paper_Reference[[#This Row],[Duplicate Key]])</f>
        <v>1</v>
      </c>
    </row>
    <row r="5270" spans="1:10">
      <c r="A5270" s="7">
        <v>4</v>
      </c>
      <c r="B5270" s="8" t="s">
        <v>157</v>
      </c>
      <c r="C5270" s="8" t="s">
        <v>158</v>
      </c>
      <c r="D5270" s="7">
        <v>1</v>
      </c>
      <c r="E5270" s="7">
        <v>91</v>
      </c>
      <c r="F5270" s="7">
        <v>1</v>
      </c>
      <c r="G5270" s="8" t="s">
        <v>217</v>
      </c>
      <c r="H5270" s="8" t="s">
        <v>3229</v>
      </c>
      <c r="I5270" s="7" t="str">
        <f>_xlfn.CONCAT(Paper_Reference[[#This Row],[Lvl]:[Paper Description]])</f>
        <v>4SYN3GLOWAPK23SYN3 UV T/P RT LANE PACK1911100WM301-6200IQ MAPLE LANE (C) 60 X 144</v>
      </c>
      <c r="J5270" s="7">
        <f>COUNTIF(Paper_Reference[Duplicate Key],Paper_Reference[[#This Row],[Duplicate Key]])</f>
        <v>1</v>
      </c>
    </row>
    <row r="5271" spans="1:10">
      <c r="A5271" s="7">
        <v>4</v>
      </c>
      <c r="B5271" s="8" t="s">
        <v>157</v>
      </c>
      <c r="C5271" s="8" t="s">
        <v>158</v>
      </c>
      <c r="D5271" s="7">
        <v>1</v>
      </c>
      <c r="E5271" s="7">
        <v>91</v>
      </c>
      <c r="F5271" s="7">
        <v>1</v>
      </c>
      <c r="G5271" s="8" t="s">
        <v>217</v>
      </c>
      <c r="H5271" s="8" t="s">
        <v>425</v>
      </c>
      <c r="I5271" s="7" t="str">
        <f>_xlfn.CONCAT(Paper_Reference[[#This Row],[Lvl]:[Paper Description]])</f>
        <v>4SYN3GLOWAPK23SYN3 UV T/P RT LANE PACK1911100WM301-6200IQ MAPLE LANE (CENTER)</v>
      </c>
      <c r="J5271" s="7">
        <f>COUNTIF(Paper_Reference[Duplicate Key],Paper_Reference[[#This Row],[Duplicate Key]])</f>
        <v>1</v>
      </c>
    </row>
    <row r="5272" spans="1:10">
      <c r="A5272" s="7">
        <v>4</v>
      </c>
      <c r="B5272" s="8" t="s">
        <v>157</v>
      </c>
      <c r="C5272" s="8" t="s">
        <v>158</v>
      </c>
      <c r="D5272" s="7">
        <v>1</v>
      </c>
      <c r="E5272" s="7">
        <v>91</v>
      </c>
      <c r="F5272" s="7">
        <v>1</v>
      </c>
      <c r="G5272" s="8" t="s">
        <v>219</v>
      </c>
      <c r="H5272" s="8" t="s">
        <v>427</v>
      </c>
      <c r="I5272" s="7" t="str">
        <f>_xlfn.CONCAT(Paper_Reference[[#This Row],[Lvl]:[Paper Description]])</f>
        <v>4SYN3GLOWAPK23SYN3 UV T/P RT LANE PACK1911100WM321-4300IQ MAPLE LANE RH</v>
      </c>
      <c r="J5272" s="7">
        <f>COUNTIF(Paper_Reference[Duplicate Key],Paper_Reference[[#This Row],[Duplicate Key]])</f>
        <v>1</v>
      </c>
    </row>
    <row r="5273" spans="1:10">
      <c r="A5273" s="7">
        <v>3</v>
      </c>
      <c r="B5273" s="8" t="s">
        <v>562</v>
      </c>
      <c r="C5273" s="8" t="s">
        <v>333</v>
      </c>
      <c r="D5273" s="7">
        <v>1</v>
      </c>
      <c r="E5273" s="7">
        <v>91</v>
      </c>
      <c r="F5273" s="7">
        <v>1</v>
      </c>
      <c r="G5273" s="8" t="s">
        <v>218</v>
      </c>
      <c r="H5273" s="8" t="s">
        <v>426</v>
      </c>
      <c r="I5273" s="7" t="str">
        <f>_xlfn.CONCAT(Paper_Reference[[#This Row],[Lvl]:[Paper Description]])</f>
        <v>3SYN3GLOWAPK24SYN3 UV T/P 8P LANE PACK1911100WM311-4300IQ MAPLE LANE LH</v>
      </c>
      <c r="J5273" s="7">
        <f>COUNTIF(Paper_Reference[Duplicate Key],Paper_Reference[[#This Row],[Duplicate Key]])</f>
        <v>1</v>
      </c>
    </row>
    <row r="5274" spans="1:10">
      <c r="A5274" s="7">
        <v>3</v>
      </c>
      <c r="B5274" s="8" t="s">
        <v>562</v>
      </c>
      <c r="C5274" s="8" t="s">
        <v>333</v>
      </c>
      <c r="D5274" s="7">
        <v>1</v>
      </c>
      <c r="E5274" s="7">
        <v>91</v>
      </c>
      <c r="F5274" s="7">
        <v>1</v>
      </c>
      <c r="G5274" s="8" t="s">
        <v>219</v>
      </c>
      <c r="H5274" s="8" t="s">
        <v>427</v>
      </c>
      <c r="I5274" s="7" t="str">
        <f>_xlfn.CONCAT(Paper_Reference[[#This Row],[Lvl]:[Paper Description]])</f>
        <v>3SYN3GLOWAPK24SYN3 UV T/P 8P LANE PACK1911100WM321-4300IQ MAPLE LANE RH</v>
      </c>
      <c r="J5274" s="7">
        <f>COUNTIF(Paper_Reference[Duplicate Key],Paper_Reference[[#This Row],[Duplicate Key]])</f>
        <v>1</v>
      </c>
    </row>
    <row r="5275" spans="1:10">
      <c r="A5275" s="7">
        <v>4</v>
      </c>
      <c r="B5275" s="8" t="s">
        <v>562</v>
      </c>
      <c r="C5275" s="8" t="s">
        <v>333</v>
      </c>
      <c r="D5275" s="7">
        <v>1</v>
      </c>
      <c r="E5275" s="7">
        <v>91</v>
      </c>
      <c r="F5275" s="7">
        <v>1</v>
      </c>
      <c r="G5275" s="8" t="s">
        <v>217</v>
      </c>
      <c r="H5275" s="8" t="s">
        <v>3229</v>
      </c>
      <c r="I5275" s="7" t="str">
        <f>_xlfn.CONCAT(Paper_Reference[[#This Row],[Lvl]:[Paper Description]])</f>
        <v>4SYN3GLOWAPK24SYN3 UV T/P 8P LANE PACK1911100WM301-6200IQ MAPLE LANE (C) 60 X 144</v>
      </c>
      <c r="J5275" s="7">
        <f>COUNTIF(Paper_Reference[Duplicate Key],Paper_Reference[[#This Row],[Duplicate Key]])</f>
        <v>1</v>
      </c>
    </row>
    <row r="5276" spans="1:10">
      <c r="A5276" s="7">
        <v>4</v>
      </c>
      <c r="B5276" s="8" t="s">
        <v>562</v>
      </c>
      <c r="C5276" s="8" t="s">
        <v>333</v>
      </c>
      <c r="D5276" s="7">
        <v>1</v>
      </c>
      <c r="E5276" s="7">
        <v>91</v>
      </c>
      <c r="F5276" s="7">
        <v>1</v>
      </c>
      <c r="G5276" s="8" t="s">
        <v>217</v>
      </c>
      <c r="H5276" s="8" t="s">
        <v>425</v>
      </c>
      <c r="I5276" s="7" t="str">
        <f>_xlfn.CONCAT(Paper_Reference[[#This Row],[Lvl]:[Paper Description]])</f>
        <v>4SYN3GLOWAPK24SYN3 UV T/P 8P LANE PACK1911100WM301-6200IQ MAPLE LANE (CENTER)</v>
      </c>
      <c r="J5276" s="7">
        <f>COUNTIF(Paper_Reference[Duplicate Key],Paper_Reference[[#This Row],[Duplicate Key]])</f>
        <v>1</v>
      </c>
    </row>
    <row r="5277" spans="1:10">
      <c r="A5277" s="7">
        <v>4</v>
      </c>
      <c r="B5277" s="8" t="s">
        <v>562</v>
      </c>
      <c r="C5277" s="8" t="s">
        <v>333</v>
      </c>
      <c r="D5277" s="7">
        <v>1</v>
      </c>
      <c r="E5277" s="7">
        <v>91</v>
      </c>
      <c r="F5277" s="7">
        <v>1</v>
      </c>
      <c r="G5277" s="8" t="s">
        <v>218</v>
      </c>
      <c r="H5277" s="8" t="s">
        <v>426</v>
      </c>
      <c r="I5277" s="7" t="str">
        <f>_xlfn.CONCAT(Paper_Reference[[#This Row],[Lvl]:[Paper Description]])</f>
        <v>4SYN3GLOWAPK24SYN3 UV T/P 8P LANE PACK1911100WM311-4300IQ MAPLE LANE LH</v>
      </c>
      <c r="J5277" s="7">
        <f>COUNTIF(Paper_Reference[Duplicate Key],Paper_Reference[[#This Row],[Duplicate Key]])</f>
        <v>1</v>
      </c>
    </row>
    <row r="5278" spans="1:10">
      <c r="A5278" s="7">
        <v>4</v>
      </c>
      <c r="B5278" s="8" t="s">
        <v>562</v>
      </c>
      <c r="C5278" s="8" t="s">
        <v>333</v>
      </c>
      <c r="D5278" s="7">
        <v>1</v>
      </c>
      <c r="E5278" s="7">
        <v>91</v>
      </c>
      <c r="F5278" s="7">
        <v>1</v>
      </c>
      <c r="G5278" s="8" t="s">
        <v>219</v>
      </c>
      <c r="H5278" s="8" t="s">
        <v>427</v>
      </c>
      <c r="I5278" s="7" t="str">
        <f>_xlfn.CONCAT(Paper_Reference[[#This Row],[Lvl]:[Paper Description]])</f>
        <v>4SYN3GLOWAPK24SYN3 UV T/P 8P LANE PACK1911100WM321-4300IQ MAPLE LANE RH</v>
      </c>
      <c r="J5278" s="7">
        <f>COUNTIF(Paper_Reference[Duplicate Key],Paper_Reference[[#This Row],[Duplicate Key]])</f>
        <v>1</v>
      </c>
    </row>
    <row r="5279" spans="1:10">
      <c r="A5279" s="7">
        <v>3</v>
      </c>
      <c r="B5279" s="8" t="s">
        <v>563</v>
      </c>
      <c r="C5279" s="8" t="s">
        <v>334</v>
      </c>
      <c r="D5279" s="7">
        <v>1</v>
      </c>
      <c r="E5279" s="7">
        <v>91</v>
      </c>
      <c r="F5279" s="7">
        <v>1</v>
      </c>
      <c r="G5279" s="8" t="s">
        <v>218</v>
      </c>
      <c r="H5279" s="8" t="s">
        <v>426</v>
      </c>
      <c r="I5279" s="7" t="str">
        <f>_xlfn.CONCAT(Paper_Reference[[#This Row],[Lvl]:[Paper Description]])</f>
        <v>3SYN3GLOWAPK25SYN3 UV T/P ODD SHORT PACK1911100WM311-4300IQ MAPLE LANE LH</v>
      </c>
      <c r="J5279" s="7">
        <f>COUNTIF(Paper_Reference[Duplicate Key],Paper_Reference[[#This Row],[Duplicate Key]])</f>
        <v>1</v>
      </c>
    </row>
    <row r="5280" spans="1:10">
      <c r="A5280" s="7">
        <v>4</v>
      </c>
      <c r="B5280" s="8" t="s">
        <v>563</v>
      </c>
      <c r="C5280" s="8" t="s">
        <v>334</v>
      </c>
      <c r="D5280" s="7">
        <v>1</v>
      </c>
      <c r="E5280" s="7">
        <v>91</v>
      </c>
      <c r="F5280" s="7">
        <v>1</v>
      </c>
      <c r="G5280" s="8" t="s">
        <v>217</v>
      </c>
      <c r="H5280" s="8" t="s">
        <v>3229</v>
      </c>
      <c r="I5280" s="7" t="str">
        <f>_xlfn.CONCAT(Paper_Reference[[#This Row],[Lvl]:[Paper Description]])</f>
        <v>4SYN3GLOWAPK25SYN3 UV T/P ODD SHORT PACK1911100WM301-6200IQ MAPLE LANE (C) 60 X 144</v>
      </c>
      <c r="J5280" s="7">
        <f>COUNTIF(Paper_Reference[Duplicate Key],Paper_Reference[[#This Row],[Duplicate Key]])</f>
        <v>1</v>
      </c>
    </row>
    <row r="5281" spans="1:10">
      <c r="A5281" s="7">
        <v>4</v>
      </c>
      <c r="B5281" s="8" t="s">
        <v>563</v>
      </c>
      <c r="C5281" s="8" t="s">
        <v>334</v>
      </c>
      <c r="D5281" s="7">
        <v>1</v>
      </c>
      <c r="E5281" s="7">
        <v>91</v>
      </c>
      <c r="F5281" s="7">
        <v>1</v>
      </c>
      <c r="G5281" s="8" t="s">
        <v>217</v>
      </c>
      <c r="H5281" s="8" t="s">
        <v>425</v>
      </c>
      <c r="I5281" s="7" t="str">
        <f>_xlfn.CONCAT(Paper_Reference[[#This Row],[Lvl]:[Paper Description]])</f>
        <v>4SYN3GLOWAPK25SYN3 UV T/P ODD SHORT PACK1911100WM301-6200IQ MAPLE LANE (CENTER)</v>
      </c>
      <c r="J5281" s="7">
        <f>COUNTIF(Paper_Reference[Duplicate Key],Paper_Reference[[#This Row],[Duplicate Key]])</f>
        <v>1</v>
      </c>
    </row>
    <row r="5282" spans="1:10">
      <c r="A5282" s="7">
        <v>4</v>
      </c>
      <c r="B5282" s="8" t="s">
        <v>563</v>
      </c>
      <c r="C5282" s="8" t="s">
        <v>334</v>
      </c>
      <c r="D5282" s="7">
        <v>1</v>
      </c>
      <c r="E5282" s="7">
        <v>91</v>
      </c>
      <c r="F5282" s="7">
        <v>1</v>
      </c>
      <c r="G5282" s="8" t="s">
        <v>218</v>
      </c>
      <c r="H5282" s="8" t="s">
        <v>426</v>
      </c>
      <c r="I5282" s="7" t="str">
        <f>_xlfn.CONCAT(Paper_Reference[[#This Row],[Lvl]:[Paper Description]])</f>
        <v>4SYN3GLOWAPK25SYN3 UV T/P ODD SHORT PACK1911100WM311-4300IQ MAPLE LANE LH</v>
      </c>
      <c r="J5282" s="7">
        <f>COUNTIF(Paper_Reference[Duplicate Key],Paper_Reference[[#This Row],[Duplicate Key]])</f>
        <v>1</v>
      </c>
    </row>
    <row r="5283" spans="1:10">
      <c r="A5283" s="7">
        <v>3</v>
      </c>
      <c r="B5283" s="8" t="s">
        <v>564</v>
      </c>
      <c r="C5283" s="8" t="s">
        <v>335</v>
      </c>
      <c r="D5283" s="7">
        <v>1</v>
      </c>
      <c r="E5283" s="7">
        <v>91</v>
      </c>
      <c r="F5283" s="7">
        <v>1</v>
      </c>
      <c r="G5283" s="8" t="s">
        <v>218</v>
      </c>
      <c r="H5283" s="8" t="s">
        <v>426</v>
      </c>
      <c r="I5283" s="7" t="str">
        <f>_xlfn.CONCAT(Paper_Reference[[#This Row],[Lvl]:[Paper Description]])</f>
        <v>3SYN3GLOWAPK28SYN3 UV TEX SLIP HAZ LANE PACK1911100WM311-4300IQ MAPLE LANE LH</v>
      </c>
      <c r="J5283" s="7">
        <f>COUNTIF(Paper_Reference[Duplicate Key],Paper_Reference[[#This Row],[Duplicate Key]])</f>
        <v>1</v>
      </c>
    </row>
    <row r="5284" spans="1:10">
      <c r="A5284" s="7">
        <v>3</v>
      </c>
      <c r="B5284" s="8" t="s">
        <v>564</v>
      </c>
      <c r="C5284" s="8" t="s">
        <v>335</v>
      </c>
      <c r="D5284" s="7">
        <v>1</v>
      </c>
      <c r="E5284" s="7">
        <v>91</v>
      </c>
      <c r="F5284" s="7">
        <v>1</v>
      </c>
      <c r="G5284" s="8" t="s">
        <v>219</v>
      </c>
      <c r="H5284" s="8" t="s">
        <v>427</v>
      </c>
      <c r="I5284" s="7" t="str">
        <f>_xlfn.CONCAT(Paper_Reference[[#This Row],[Lvl]:[Paper Description]])</f>
        <v>3SYN3GLOWAPK28SYN3 UV TEX SLIP HAZ LANE PACK1911100WM321-4300IQ MAPLE LANE RH</v>
      </c>
      <c r="J5284" s="7">
        <f>COUNTIF(Paper_Reference[Duplicate Key],Paper_Reference[[#This Row],[Duplicate Key]])</f>
        <v>1</v>
      </c>
    </row>
    <row r="5285" spans="1:10">
      <c r="A5285" s="7">
        <v>3</v>
      </c>
      <c r="B5285" s="8" t="s">
        <v>564</v>
      </c>
      <c r="C5285" s="8" t="s">
        <v>335</v>
      </c>
      <c r="D5285" s="7">
        <v>1</v>
      </c>
      <c r="E5285" s="7">
        <v>91</v>
      </c>
      <c r="F5285" s="7">
        <v>3</v>
      </c>
      <c r="G5285" s="8" t="s">
        <v>218</v>
      </c>
      <c r="H5285" s="8" t="s">
        <v>426</v>
      </c>
      <c r="I5285" s="7" t="str">
        <f>_xlfn.CONCAT(Paper_Reference[[#This Row],[Lvl]:[Paper Description]])</f>
        <v>3SYN3GLOWAPK28SYN3 UV TEX SLIP HAZ LANE PACK1913100WM311-4300IQ MAPLE LANE LH</v>
      </c>
      <c r="J5285" s="7">
        <f>COUNTIF(Paper_Reference[Duplicate Key],Paper_Reference[[#This Row],[Duplicate Key]])</f>
        <v>1</v>
      </c>
    </row>
    <row r="5286" spans="1:10">
      <c r="A5286" s="7">
        <v>3</v>
      </c>
      <c r="B5286" s="8" t="s">
        <v>564</v>
      </c>
      <c r="C5286" s="8" t="s">
        <v>335</v>
      </c>
      <c r="D5286" s="7">
        <v>1</v>
      </c>
      <c r="E5286" s="7">
        <v>91</v>
      </c>
      <c r="F5286" s="7">
        <v>3</v>
      </c>
      <c r="G5286" s="8" t="s">
        <v>219</v>
      </c>
      <c r="H5286" s="8" t="s">
        <v>427</v>
      </c>
      <c r="I5286" s="7" t="str">
        <f>_xlfn.CONCAT(Paper_Reference[[#This Row],[Lvl]:[Paper Description]])</f>
        <v>3SYN3GLOWAPK28SYN3 UV TEX SLIP HAZ LANE PACK1913100WM321-4300IQ MAPLE LANE RH</v>
      </c>
      <c r="J5286" s="7">
        <f>COUNTIF(Paper_Reference[Duplicate Key],Paper_Reference[[#This Row],[Duplicate Key]])</f>
        <v>1</v>
      </c>
    </row>
    <row r="5287" spans="1:10">
      <c r="A5287" s="7">
        <v>4</v>
      </c>
      <c r="B5287" s="8" t="s">
        <v>564</v>
      </c>
      <c r="C5287" s="8" t="s">
        <v>335</v>
      </c>
      <c r="D5287" s="7">
        <v>1</v>
      </c>
      <c r="E5287" s="7">
        <v>91</v>
      </c>
      <c r="F5287" s="7">
        <v>1</v>
      </c>
      <c r="G5287" s="8" t="s">
        <v>217</v>
      </c>
      <c r="H5287" s="8" t="s">
        <v>3229</v>
      </c>
      <c r="I5287" s="7" t="str">
        <f>_xlfn.CONCAT(Paper_Reference[[#This Row],[Lvl]:[Paper Description]])</f>
        <v>4SYN3GLOWAPK28SYN3 UV TEX SLIP HAZ LANE PACK1911100WM301-6200IQ MAPLE LANE (C) 60 X 144</v>
      </c>
      <c r="J5287" s="7">
        <f>COUNTIF(Paper_Reference[Duplicate Key],Paper_Reference[[#This Row],[Duplicate Key]])</f>
        <v>1</v>
      </c>
    </row>
    <row r="5288" spans="1:10">
      <c r="A5288" s="7">
        <v>4</v>
      </c>
      <c r="B5288" s="8" t="s">
        <v>564</v>
      </c>
      <c r="C5288" s="8" t="s">
        <v>335</v>
      </c>
      <c r="D5288" s="7">
        <v>1</v>
      </c>
      <c r="E5288" s="7">
        <v>91</v>
      </c>
      <c r="F5288" s="7">
        <v>1</v>
      </c>
      <c r="G5288" s="8" t="s">
        <v>217</v>
      </c>
      <c r="H5288" s="8" t="s">
        <v>425</v>
      </c>
      <c r="I5288" s="7" t="str">
        <f>_xlfn.CONCAT(Paper_Reference[[#This Row],[Lvl]:[Paper Description]])</f>
        <v>4SYN3GLOWAPK28SYN3 UV TEX SLIP HAZ LANE PACK1911100WM301-6200IQ MAPLE LANE (CENTER)</v>
      </c>
      <c r="J5288" s="7">
        <f>COUNTIF(Paper_Reference[Duplicate Key],Paper_Reference[[#This Row],[Duplicate Key]])</f>
        <v>1</v>
      </c>
    </row>
    <row r="5289" spans="1:10">
      <c r="A5289" s="7">
        <v>4</v>
      </c>
      <c r="B5289" s="8" t="s">
        <v>564</v>
      </c>
      <c r="C5289" s="8" t="s">
        <v>335</v>
      </c>
      <c r="D5289" s="7">
        <v>1</v>
      </c>
      <c r="E5289" s="7">
        <v>91</v>
      </c>
      <c r="F5289" s="7">
        <v>1</v>
      </c>
      <c r="G5289" s="8" t="s">
        <v>218</v>
      </c>
      <c r="H5289" s="8" t="s">
        <v>426</v>
      </c>
      <c r="I5289" s="7" t="str">
        <f>_xlfn.CONCAT(Paper_Reference[[#This Row],[Lvl]:[Paper Description]])</f>
        <v>4SYN3GLOWAPK28SYN3 UV TEX SLIP HAZ LANE PACK1911100WM311-4300IQ MAPLE LANE LH</v>
      </c>
      <c r="J5289" s="7">
        <f>COUNTIF(Paper_Reference[Duplicate Key],Paper_Reference[[#This Row],[Duplicate Key]])</f>
        <v>1</v>
      </c>
    </row>
    <row r="5290" spans="1:10">
      <c r="A5290" s="7">
        <v>4</v>
      </c>
      <c r="B5290" s="8" t="s">
        <v>564</v>
      </c>
      <c r="C5290" s="8" t="s">
        <v>335</v>
      </c>
      <c r="D5290" s="7">
        <v>1</v>
      </c>
      <c r="E5290" s="7">
        <v>91</v>
      </c>
      <c r="F5290" s="7">
        <v>1</v>
      </c>
      <c r="G5290" s="8" t="s">
        <v>219</v>
      </c>
      <c r="H5290" s="8" t="s">
        <v>427</v>
      </c>
      <c r="I5290" s="7" t="str">
        <f>_xlfn.CONCAT(Paper_Reference[[#This Row],[Lvl]:[Paper Description]])</f>
        <v>4SYN3GLOWAPK28SYN3 UV TEX SLIP HAZ LANE PACK1911100WM321-4300IQ MAPLE LANE RH</v>
      </c>
      <c r="J5290" s="7">
        <f>COUNTIF(Paper_Reference[Duplicate Key],Paper_Reference[[#This Row],[Duplicate Key]])</f>
        <v>1</v>
      </c>
    </row>
    <row r="5291" spans="1:10">
      <c r="A5291" s="7">
        <v>3</v>
      </c>
      <c r="B5291" s="8" t="s">
        <v>565</v>
      </c>
      <c r="C5291" s="8" t="s">
        <v>336</v>
      </c>
      <c r="D5291" s="7">
        <v>1</v>
      </c>
      <c r="E5291" s="7">
        <v>91</v>
      </c>
      <c r="F5291" s="7">
        <v>1</v>
      </c>
      <c r="G5291" s="8" t="s">
        <v>218</v>
      </c>
      <c r="H5291" s="8" t="s">
        <v>426</v>
      </c>
      <c r="I5291" s="7" t="str">
        <f>_xlfn.CONCAT(Paper_Reference[[#This Row],[Lvl]:[Paper Description]])</f>
        <v>3SYN3GLOWAPK29SYN3 UV TEX BI SLIP HAZ LP1911100WM311-4300IQ MAPLE LANE LH</v>
      </c>
      <c r="J5291" s="7">
        <f>COUNTIF(Paper_Reference[Duplicate Key],Paper_Reference[[#This Row],[Duplicate Key]])</f>
        <v>1</v>
      </c>
    </row>
    <row r="5292" spans="1:10">
      <c r="A5292" s="7">
        <v>3</v>
      </c>
      <c r="B5292" s="8" t="s">
        <v>565</v>
      </c>
      <c r="C5292" s="8" t="s">
        <v>336</v>
      </c>
      <c r="D5292" s="7">
        <v>1</v>
      </c>
      <c r="E5292" s="7">
        <v>91</v>
      </c>
      <c r="F5292" s="7">
        <v>1</v>
      </c>
      <c r="G5292" s="8" t="s">
        <v>219</v>
      </c>
      <c r="H5292" s="8" t="s">
        <v>427</v>
      </c>
      <c r="I5292" s="7" t="str">
        <f>_xlfn.CONCAT(Paper_Reference[[#This Row],[Lvl]:[Paper Description]])</f>
        <v>3SYN3GLOWAPK29SYN3 UV TEX BI SLIP HAZ LP1911100WM321-4300IQ MAPLE LANE RH</v>
      </c>
      <c r="J5292" s="7">
        <f>COUNTIF(Paper_Reference[Duplicate Key],Paper_Reference[[#This Row],[Duplicate Key]])</f>
        <v>1</v>
      </c>
    </row>
    <row r="5293" spans="1:10">
      <c r="A5293" s="7">
        <v>3</v>
      </c>
      <c r="B5293" s="8" t="s">
        <v>565</v>
      </c>
      <c r="C5293" s="8" t="s">
        <v>336</v>
      </c>
      <c r="D5293" s="7">
        <v>1</v>
      </c>
      <c r="E5293" s="7">
        <v>91</v>
      </c>
      <c r="F5293" s="7">
        <v>3</v>
      </c>
      <c r="G5293" s="8" t="s">
        <v>218</v>
      </c>
      <c r="H5293" s="8" t="s">
        <v>426</v>
      </c>
      <c r="I5293" s="7" t="str">
        <f>_xlfn.CONCAT(Paper_Reference[[#This Row],[Lvl]:[Paper Description]])</f>
        <v>3SYN3GLOWAPK29SYN3 UV TEX BI SLIP HAZ LP1913100WM311-4300IQ MAPLE LANE LH</v>
      </c>
      <c r="J5293" s="7">
        <f>COUNTIF(Paper_Reference[Duplicate Key],Paper_Reference[[#This Row],[Duplicate Key]])</f>
        <v>1</v>
      </c>
    </row>
    <row r="5294" spans="1:10">
      <c r="A5294" s="7">
        <v>3</v>
      </c>
      <c r="B5294" s="8" t="s">
        <v>565</v>
      </c>
      <c r="C5294" s="8" t="s">
        <v>336</v>
      </c>
      <c r="D5294" s="7">
        <v>1</v>
      </c>
      <c r="E5294" s="7">
        <v>91</v>
      </c>
      <c r="F5294" s="7">
        <v>3</v>
      </c>
      <c r="G5294" s="8" t="s">
        <v>219</v>
      </c>
      <c r="H5294" s="8" t="s">
        <v>427</v>
      </c>
      <c r="I5294" s="7" t="str">
        <f>_xlfn.CONCAT(Paper_Reference[[#This Row],[Lvl]:[Paper Description]])</f>
        <v>3SYN3GLOWAPK29SYN3 UV TEX BI SLIP HAZ LP1913100WM321-4300IQ MAPLE LANE RH</v>
      </c>
      <c r="J5294" s="7">
        <f>COUNTIF(Paper_Reference[Duplicate Key],Paper_Reference[[#This Row],[Duplicate Key]])</f>
        <v>1</v>
      </c>
    </row>
    <row r="5295" spans="1:10">
      <c r="A5295" s="7">
        <v>4</v>
      </c>
      <c r="B5295" s="8" t="s">
        <v>565</v>
      </c>
      <c r="C5295" s="8" t="s">
        <v>336</v>
      </c>
      <c r="D5295" s="7">
        <v>1</v>
      </c>
      <c r="E5295" s="7">
        <v>91</v>
      </c>
      <c r="F5295" s="7">
        <v>1</v>
      </c>
      <c r="G5295" s="8" t="s">
        <v>217</v>
      </c>
      <c r="H5295" s="8" t="s">
        <v>3229</v>
      </c>
      <c r="I5295" s="7" t="str">
        <f>_xlfn.CONCAT(Paper_Reference[[#This Row],[Lvl]:[Paper Description]])</f>
        <v>4SYN3GLOWAPK29SYN3 UV TEX BI SLIP HAZ LP1911100WM301-6200IQ MAPLE LANE (C) 60 X 144</v>
      </c>
      <c r="J5295" s="7">
        <f>COUNTIF(Paper_Reference[Duplicate Key],Paper_Reference[[#This Row],[Duplicate Key]])</f>
        <v>1</v>
      </c>
    </row>
    <row r="5296" spans="1:10">
      <c r="A5296" s="7">
        <v>4</v>
      </c>
      <c r="B5296" s="8" t="s">
        <v>565</v>
      </c>
      <c r="C5296" s="8" t="s">
        <v>336</v>
      </c>
      <c r="D5296" s="7">
        <v>1</v>
      </c>
      <c r="E5296" s="7">
        <v>91</v>
      </c>
      <c r="F5296" s="7">
        <v>1</v>
      </c>
      <c r="G5296" s="8" t="s">
        <v>217</v>
      </c>
      <c r="H5296" s="8" t="s">
        <v>425</v>
      </c>
      <c r="I5296" s="7" t="str">
        <f>_xlfn.CONCAT(Paper_Reference[[#This Row],[Lvl]:[Paper Description]])</f>
        <v>4SYN3GLOWAPK29SYN3 UV TEX BI SLIP HAZ LP1911100WM301-6200IQ MAPLE LANE (CENTER)</v>
      </c>
      <c r="J5296" s="7">
        <f>COUNTIF(Paper_Reference[Duplicate Key],Paper_Reference[[#This Row],[Duplicate Key]])</f>
        <v>1</v>
      </c>
    </row>
    <row r="5297" spans="1:10">
      <c r="A5297" s="7">
        <v>4</v>
      </c>
      <c r="B5297" s="8" t="s">
        <v>565</v>
      </c>
      <c r="C5297" s="8" t="s">
        <v>336</v>
      </c>
      <c r="D5297" s="7">
        <v>1</v>
      </c>
      <c r="E5297" s="7">
        <v>91</v>
      </c>
      <c r="F5297" s="7">
        <v>1</v>
      </c>
      <c r="G5297" s="8" t="s">
        <v>218</v>
      </c>
      <c r="H5297" s="8" t="s">
        <v>426</v>
      </c>
      <c r="I5297" s="7" t="str">
        <f>_xlfn.CONCAT(Paper_Reference[[#This Row],[Lvl]:[Paper Description]])</f>
        <v>4SYN3GLOWAPK29SYN3 UV TEX BI SLIP HAZ LP1911100WM311-4300IQ MAPLE LANE LH</v>
      </c>
      <c r="J5297" s="7">
        <f>COUNTIF(Paper_Reference[Duplicate Key],Paper_Reference[[#This Row],[Duplicate Key]])</f>
        <v>1</v>
      </c>
    </row>
    <row r="5298" spans="1:10">
      <c r="A5298" s="7">
        <v>4</v>
      </c>
      <c r="B5298" s="8" t="s">
        <v>565</v>
      </c>
      <c r="C5298" s="8" t="s">
        <v>336</v>
      </c>
      <c r="D5298" s="7">
        <v>1</v>
      </c>
      <c r="E5298" s="7">
        <v>91</v>
      </c>
      <c r="F5298" s="7">
        <v>1</v>
      </c>
      <c r="G5298" s="8" t="s">
        <v>219</v>
      </c>
      <c r="H5298" s="8" t="s">
        <v>427</v>
      </c>
      <c r="I5298" s="7" t="str">
        <f>_xlfn.CONCAT(Paper_Reference[[#This Row],[Lvl]:[Paper Description]])</f>
        <v>4SYN3GLOWAPK29SYN3 UV TEX BI SLIP HAZ LP1911100WM321-4300IQ MAPLE LANE RH</v>
      </c>
      <c r="J5298" s="7">
        <f>COUNTIF(Paper_Reference[Duplicate Key],Paper_Reference[[#This Row],[Duplicate Key]])</f>
        <v>1</v>
      </c>
    </row>
    <row r="5299" spans="1:10">
      <c r="A5299" s="7">
        <v>3</v>
      </c>
      <c r="B5299" s="8" t="s">
        <v>566</v>
      </c>
      <c r="C5299" s="8" t="s">
        <v>337</v>
      </c>
      <c r="D5299" s="7">
        <v>1</v>
      </c>
      <c r="E5299" s="7">
        <v>91</v>
      </c>
      <c r="F5299" s="7">
        <v>1</v>
      </c>
      <c r="G5299" s="8" t="s">
        <v>218</v>
      </c>
      <c r="H5299" s="8" t="s">
        <v>426</v>
      </c>
      <c r="I5299" s="7" t="str">
        <f>_xlfn.CONCAT(Paper_Reference[[#This Row],[Lvl]:[Paper Description]])</f>
        <v>3SYN3GLOWAPK30SYN3 UV TEX BI SLIP HAZ L/O LP1911100WM311-4300IQ MAPLE LANE LH</v>
      </c>
      <c r="J5299" s="7">
        <f>COUNTIF(Paper_Reference[Duplicate Key],Paper_Reference[[#This Row],[Duplicate Key]])</f>
        <v>1</v>
      </c>
    </row>
    <row r="5300" spans="1:10">
      <c r="A5300" s="7">
        <v>3</v>
      </c>
      <c r="B5300" s="8" t="s">
        <v>566</v>
      </c>
      <c r="C5300" s="8" t="s">
        <v>337</v>
      </c>
      <c r="D5300" s="7">
        <v>1</v>
      </c>
      <c r="E5300" s="7">
        <v>91</v>
      </c>
      <c r="F5300" s="7">
        <v>3</v>
      </c>
      <c r="G5300" s="8" t="s">
        <v>218</v>
      </c>
      <c r="H5300" s="8" t="s">
        <v>426</v>
      </c>
      <c r="I5300" s="7" t="str">
        <f>_xlfn.CONCAT(Paper_Reference[[#This Row],[Lvl]:[Paper Description]])</f>
        <v>3SYN3GLOWAPK30SYN3 UV TEX BI SLIP HAZ L/O LP1913100WM311-4300IQ MAPLE LANE LH</v>
      </c>
      <c r="J5300" s="7">
        <f>COUNTIF(Paper_Reference[Duplicate Key],Paper_Reference[[#This Row],[Duplicate Key]])</f>
        <v>1</v>
      </c>
    </row>
    <row r="5301" spans="1:10">
      <c r="A5301" s="7">
        <v>4</v>
      </c>
      <c r="B5301" s="8" t="s">
        <v>566</v>
      </c>
      <c r="C5301" s="8" t="s">
        <v>337</v>
      </c>
      <c r="D5301" s="7">
        <v>1</v>
      </c>
      <c r="E5301" s="7">
        <v>91</v>
      </c>
      <c r="F5301" s="7">
        <v>1</v>
      </c>
      <c r="G5301" s="8" t="s">
        <v>217</v>
      </c>
      <c r="H5301" s="8" t="s">
        <v>3229</v>
      </c>
      <c r="I5301" s="7" t="str">
        <f>_xlfn.CONCAT(Paper_Reference[[#This Row],[Lvl]:[Paper Description]])</f>
        <v>4SYN3GLOWAPK30SYN3 UV TEX BI SLIP HAZ L/O LP1911100WM301-6200IQ MAPLE LANE (C) 60 X 144</v>
      </c>
      <c r="J5301" s="7">
        <f>COUNTIF(Paper_Reference[Duplicate Key],Paper_Reference[[#This Row],[Duplicate Key]])</f>
        <v>1</v>
      </c>
    </row>
    <row r="5302" spans="1:10">
      <c r="A5302" s="7">
        <v>4</v>
      </c>
      <c r="B5302" s="8" t="s">
        <v>566</v>
      </c>
      <c r="C5302" s="8" t="s">
        <v>337</v>
      </c>
      <c r="D5302" s="7">
        <v>1</v>
      </c>
      <c r="E5302" s="7">
        <v>91</v>
      </c>
      <c r="F5302" s="7">
        <v>1</v>
      </c>
      <c r="G5302" s="8" t="s">
        <v>217</v>
      </c>
      <c r="H5302" s="8" t="s">
        <v>425</v>
      </c>
      <c r="I5302" s="7" t="str">
        <f>_xlfn.CONCAT(Paper_Reference[[#This Row],[Lvl]:[Paper Description]])</f>
        <v>4SYN3GLOWAPK30SYN3 UV TEX BI SLIP HAZ L/O LP1911100WM301-6200IQ MAPLE LANE (CENTER)</v>
      </c>
      <c r="J5302" s="7">
        <f>COUNTIF(Paper_Reference[Duplicate Key],Paper_Reference[[#This Row],[Duplicate Key]])</f>
        <v>1</v>
      </c>
    </row>
    <row r="5303" spans="1:10">
      <c r="A5303" s="7">
        <v>4</v>
      </c>
      <c r="B5303" s="8" t="s">
        <v>566</v>
      </c>
      <c r="C5303" s="8" t="s">
        <v>337</v>
      </c>
      <c r="D5303" s="7">
        <v>1</v>
      </c>
      <c r="E5303" s="7">
        <v>91</v>
      </c>
      <c r="F5303" s="7">
        <v>1</v>
      </c>
      <c r="G5303" s="8" t="s">
        <v>218</v>
      </c>
      <c r="H5303" s="8" t="s">
        <v>426</v>
      </c>
      <c r="I5303" s="7" t="str">
        <f>_xlfn.CONCAT(Paper_Reference[[#This Row],[Lvl]:[Paper Description]])</f>
        <v>4SYN3GLOWAPK30SYN3 UV TEX BI SLIP HAZ L/O LP1911100WM311-4300IQ MAPLE LANE LH</v>
      </c>
      <c r="J5303" s="7">
        <f>COUNTIF(Paper_Reference[Duplicate Key],Paper_Reference[[#This Row],[Duplicate Key]])</f>
        <v>1</v>
      </c>
    </row>
    <row r="5304" spans="1:10">
      <c r="A5304" s="7">
        <v>3</v>
      </c>
      <c r="B5304" s="8" t="s">
        <v>567</v>
      </c>
      <c r="C5304" s="8" t="s">
        <v>338</v>
      </c>
      <c r="D5304" s="7">
        <v>1</v>
      </c>
      <c r="E5304" s="7">
        <v>91</v>
      </c>
      <c r="F5304" s="7">
        <v>1</v>
      </c>
      <c r="G5304" s="8" t="s">
        <v>218</v>
      </c>
      <c r="H5304" s="8" t="s">
        <v>426</v>
      </c>
      <c r="I5304" s="7" t="str">
        <f>_xlfn.CONCAT(Paper_Reference[[#This Row],[Lvl]:[Paper Description]])</f>
        <v>3SYN3GLOWAPK31SYN3 UV 45 FT TEX LEFT LP1911100WM311-4300IQ MAPLE LANE LH</v>
      </c>
      <c r="J5304" s="7">
        <f>COUNTIF(Paper_Reference[Duplicate Key],Paper_Reference[[#This Row],[Duplicate Key]])</f>
        <v>1</v>
      </c>
    </row>
    <row r="5305" spans="1:10">
      <c r="A5305" s="7">
        <v>3</v>
      </c>
      <c r="B5305" s="8" t="s">
        <v>567</v>
      </c>
      <c r="C5305" s="8" t="s">
        <v>338</v>
      </c>
      <c r="D5305" s="7">
        <v>1</v>
      </c>
      <c r="E5305" s="7">
        <v>91</v>
      </c>
      <c r="F5305" s="7">
        <v>2</v>
      </c>
      <c r="G5305" s="8" t="s">
        <v>218</v>
      </c>
      <c r="H5305" s="8" t="s">
        <v>426</v>
      </c>
      <c r="I5305" s="7" t="str">
        <f>_xlfn.CONCAT(Paper_Reference[[#This Row],[Lvl]:[Paper Description]])</f>
        <v>3SYN3GLOWAPK31SYN3 UV 45 FT TEX LEFT LP1912100WM311-4300IQ MAPLE LANE LH</v>
      </c>
      <c r="J5305" s="7">
        <f>COUNTIF(Paper_Reference[Duplicate Key],Paper_Reference[[#This Row],[Duplicate Key]])</f>
        <v>1</v>
      </c>
    </row>
    <row r="5306" spans="1:10">
      <c r="A5306" s="7">
        <v>4</v>
      </c>
      <c r="B5306" s="8" t="s">
        <v>567</v>
      </c>
      <c r="C5306" s="8" t="s">
        <v>338</v>
      </c>
      <c r="D5306" s="7">
        <v>1</v>
      </c>
      <c r="E5306" s="7">
        <v>91</v>
      </c>
      <c r="F5306" s="7">
        <v>1</v>
      </c>
      <c r="G5306" s="8" t="s">
        <v>217</v>
      </c>
      <c r="H5306" s="8" t="s">
        <v>3229</v>
      </c>
      <c r="I5306" s="7" t="str">
        <f>_xlfn.CONCAT(Paper_Reference[[#This Row],[Lvl]:[Paper Description]])</f>
        <v>4SYN3GLOWAPK31SYN3 UV 45 FT TEX LEFT LP1911100WM301-6200IQ MAPLE LANE (C) 60 X 144</v>
      </c>
      <c r="J5306" s="7">
        <f>COUNTIF(Paper_Reference[Duplicate Key],Paper_Reference[[#This Row],[Duplicate Key]])</f>
        <v>1</v>
      </c>
    </row>
    <row r="5307" spans="1:10">
      <c r="A5307" s="7">
        <v>4</v>
      </c>
      <c r="B5307" s="8" t="s">
        <v>567</v>
      </c>
      <c r="C5307" s="8" t="s">
        <v>338</v>
      </c>
      <c r="D5307" s="7">
        <v>1</v>
      </c>
      <c r="E5307" s="7">
        <v>91</v>
      </c>
      <c r="F5307" s="7">
        <v>1</v>
      </c>
      <c r="G5307" s="8" t="s">
        <v>217</v>
      </c>
      <c r="H5307" s="8" t="s">
        <v>425</v>
      </c>
      <c r="I5307" s="7" t="str">
        <f>_xlfn.CONCAT(Paper_Reference[[#This Row],[Lvl]:[Paper Description]])</f>
        <v>4SYN3GLOWAPK31SYN3 UV 45 FT TEX LEFT LP1911100WM301-6200IQ MAPLE LANE (CENTER)</v>
      </c>
      <c r="J5307" s="7">
        <f>COUNTIF(Paper_Reference[Duplicate Key],Paper_Reference[[#This Row],[Duplicate Key]])</f>
        <v>1</v>
      </c>
    </row>
    <row r="5308" spans="1:10">
      <c r="A5308" s="7">
        <v>4</v>
      </c>
      <c r="B5308" s="8" t="s">
        <v>567</v>
      </c>
      <c r="C5308" s="8" t="s">
        <v>338</v>
      </c>
      <c r="D5308" s="7">
        <v>1</v>
      </c>
      <c r="E5308" s="7">
        <v>91</v>
      </c>
      <c r="F5308" s="7">
        <v>1</v>
      </c>
      <c r="G5308" s="8" t="s">
        <v>218</v>
      </c>
      <c r="H5308" s="8" t="s">
        <v>426</v>
      </c>
      <c r="I5308" s="7" t="str">
        <f>_xlfn.CONCAT(Paper_Reference[[#This Row],[Lvl]:[Paper Description]])</f>
        <v>4SYN3GLOWAPK31SYN3 UV 45 FT TEX LEFT LP1911100WM311-4300IQ MAPLE LANE LH</v>
      </c>
      <c r="J5308" s="7">
        <f>COUNTIF(Paper_Reference[Duplicate Key],Paper_Reference[[#This Row],[Duplicate Key]])</f>
        <v>1</v>
      </c>
    </row>
    <row r="5309" spans="1:10">
      <c r="A5309" s="7">
        <v>3</v>
      </c>
      <c r="B5309" s="8" t="s">
        <v>568</v>
      </c>
      <c r="C5309" s="8" t="s">
        <v>339</v>
      </c>
      <c r="D5309" s="7">
        <v>1</v>
      </c>
      <c r="E5309" s="7">
        <v>91</v>
      </c>
      <c r="F5309" s="7">
        <v>1</v>
      </c>
      <c r="G5309" s="8" t="s">
        <v>218</v>
      </c>
      <c r="H5309" s="8" t="s">
        <v>426</v>
      </c>
      <c r="I5309" s="7" t="str">
        <f>_xlfn.CONCAT(Paper_Reference[[#This Row],[Lvl]:[Paper Description]])</f>
        <v>3SYN3GLOWAPK32SYN3 UV TUMBLE CREEK  8P LP1911100WM311-4300IQ MAPLE LANE LH</v>
      </c>
      <c r="J5309" s="7">
        <f>COUNTIF(Paper_Reference[Duplicate Key],Paper_Reference[[#This Row],[Duplicate Key]])</f>
        <v>1</v>
      </c>
    </row>
    <row r="5310" spans="1:10">
      <c r="A5310" s="7">
        <v>3</v>
      </c>
      <c r="B5310" s="8" t="s">
        <v>568</v>
      </c>
      <c r="C5310" s="8" t="s">
        <v>339</v>
      </c>
      <c r="D5310" s="7">
        <v>1</v>
      </c>
      <c r="E5310" s="7">
        <v>91</v>
      </c>
      <c r="F5310" s="7">
        <v>1</v>
      </c>
      <c r="G5310" s="8" t="s">
        <v>219</v>
      </c>
      <c r="H5310" s="8" t="s">
        <v>427</v>
      </c>
      <c r="I5310" s="7" t="str">
        <f>_xlfn.CONCAT(Paper_Reference[[#This Row],[Lvl]:[Paper Description]])</f>
        <v>3SYN3GLOWAPK32SYN3 UV TUMBLE CREEK  8P LP1911100WM321-4300IQ MAPLE LANE RH</v>
      </c>
      <c r="J5310" s="7">
        <f>COUNTIF(Paper_Reference[Duplicate Key],Paper_Reference[[#This Row],[Duplicate Key]])</f>
        <v>1</v>
      </c>
    </row>
    <row r="5311" spans="1:10">
      <c r="A5311" s="7">
        <v>4</v>
      </c>
      <c r="B5311" s="8" t="s">
        <v>568</v>
      </c>
      <c r="C5311" s="8" t="s">
        <v>339</v>
      </c>
      <c r="D5311" s="7">
        <v>1</v>
      </c>
      <c r="E5311" s="7">
        <v>91</v>
      </c>
      <c r="F5311" s="7">
        <v>1</v>
      </c>
      <c r="G5311" s="8" t="s">
        <v>217</v>
      </c>
      <c r="H5311" s="8" t="s">
        <v>3229</v>
      </c>
      <c r="I5311" s="7" t="str">
        <f>_xlfn.CONCAT(Paper_Reference[[#This Row],[Lvl]:[Paper Description]])</f>
        <v>4SYN3GLOWAPK32SYN3 UV TUMBLE CREEK  8P LP1911100WM301-6200IQ MAPLE LANE (C) 60 X 144</v>
      </c>
      <c r="J5311" s="7">
        <f>COUNTIF(Paper_Reference[Duplicate Key],Paper_Reference[[#This Row],[Duplicate Key]])</f>
        <v>1</v>
      </c>
    </row>
    <row r="5312" spans="1:10">
      <c r="A5312" s="7">
        <v>4</v>
      </c>
      <c r="B5312" s="8" t="s">
        <v>568</v>
      </c>
      <c r="C5312" s="8" t="s">
        <v>339</v>
      </c>
      <c r="D5312" s="7">
        <v>1</v>
      </c>
      <c r="E5312" s="7">
        <v>91</v>
      </c>
      <c r="F5312" s="7">
        <v>1</v>
      </c>
      <c r="G5312" s="8" t="s">
        <v>217</v>
      </c>
      <c r="H5312" s="8" t="s">
        <v>425</v>
      </c>
      <c r="I5312" s="7" t="str">
        <f>_xlfn.CONCAT(Paper_Reference[[#This Row],[Lvl]:[Paper Description]])</f>
        <v>4SYN3GLOWAPK32SYN3 UV TUMBLE CREEK  8P LP1911100WM301-6200IQ MAPLE LANE (CENTER)</v>
      </c>
      <c r="J5312" s="7">
        <f>COUNTIF(Paper_Reference[Duplicate Key],Paper_Reference[[#This Row],[Duplicate Key]])</f>
        <v>1</v>
      </c>
    </row>
    <row r="5313" spans="1:10">
      <c r="A5313" s="7">
        <v>4</v>
      </c>
      <c r="B5313" s="8" t="s">
        <v>568</v>
      </c>
      <c r="C5313" s="8" t="s">
        <v>339</v>
      </c>
      <c r="D5313" s="7">
        <v>1</v>
      </c>
      <c r="E5313" s="7">
        <v>91</v>
      </c>
      <c r="F5313" s="7">
        <v>1</v>
      </c>
      <c r="G5313" s="8" t="s">
        <v>218</v>
      </c>
      <c r="H5313" s="8" t="s">
        <v>426</v>
      </c>
      <c r="I5313" s="7" t="str">
        <f>_xlfn.CONCAT(Paper_Reference[[#This Row],[Lvl]:[Paper Description]])</f>
        <v>4SYN3GLOWAPK32SYN3 UV TUMBLE CREEK  8P LP1911100WM311-4300IQ MAPLE LANE LH</v>
      </c>
      <c r="J5313" s="7">
        <f>COUNTIF(Paper_Reference[Duplicate Key],Paper_Reference[[#This Row],[Duplicate Key]])</f>
        <v>1</v>
      </c>
    </row>
    <row r="5314" spans="1:10">
      <c r="A5314" s="7">
        <v>4</v>
      </c>
      <c r="B5314" s="8" t="s">
        <v>568</v>
      </c>
      <c r="C5314" s="8" t="s">
        <v>339</v>
      </c>
      <c r="D5314" s="7">
        <v>1</v>
      </c>
      <c r="E5314" s="7">
        <v>91</v>
      </c>
      <c r="F5314" s="7">
        <v>1</v>
      </c>
      <c r="G5314" s="8" t="s">
        <v>219</v>
      </c>
      <c r="H5314" s="8" t="s">
        <v>427</v>
      </c>
      <c r="I5314" s="7" t="str">
        <f>_xlfn.CONCAT(Paper_Reference[[#This Row],[Lvl]:[Paper Description]])</f>
        <v>4SYN3GLOWAPK32SYN3 UV TUMBLE CREEK  8P LP1911100WM321-4300IQ MAPLE LANE RH</v>
      </c>
      <c r="J5314" s="7">
        <f>COUNTIF(Paper_Reference[Duplicate Key],Paper_Reference[[#This Row],[Duplicate Key]])</f>
        <v>1</v>
      </c>
    </row>
    <row r="5315" spans="1:10">
      <c r="A5315" s="7">
        <v>3</v>
      </c>
      <c r="B5315" s="8" t="s">
        <v>569</v>
      </c>
      <c r="C5315" s="8" t="s">
        <v>340</v>
      </c>
      <c r="D5315" s="7">
        <v>1</v>
      </c>
      <c r="E5315" s="7">
        <v>91</v>
      </c>
      <c r="F5315" s="7">
        <v>1</v>
      </c>
      <c r="G5315" s="8" t="s">
        <v>219</v>
      </c>
      <c r="H5315" s="8" t="s">
        <v>427</v>
      </c>
      <c r="I5315" s="7" t="str">
        <f>_xlfn.CONCAT(Paper_Reference[[#This Row],[Lvl]:[Paper Description]])</f>
        <v>3SYN3GLOWAPK33SYN3 UV TEX SLIP HAZ RIGHT LP1911100WM321-4300IQ MAPLE LANE RH</v>
      </c>
      <c r="J5315" s="7">
        <f>COUNTIF(Paper_Reference[Duplicate Key],Paper_Reference[[#This Row],[Duplicate Key]])</f>
        <v>1</v>
      </c>
    </row>
    <row r="5316" spans="1:10">
      <c r="A5316" s="7">
        <v>3</v>
      </c>
      <c r="B5316" s="8" t="s">
        <v>569</v>
      </c>
      <c r="C5316" s="8" t="s">
        <v>340</v>
      </c>
      <c r="D5316" s="7">
        <v>1</v>
      </c>
      <c r="E5316" s="7">
        <v>91</v>
      </c>
      <c r="F5316" s="7">
        <v>3</v>
      </c>
      <c r="G5316" s="8" t="s">
        <v>219</v>
      </c>
      <c r="H5316" s="8" t="s">
        <v>427</v>
      </c>
      <c r="I5316" s="7" t="str">
        <f>_xlfn.CONCAT(Paper_Reference[[#This Row],[Lvl]:[Paper Description]])</f>
        <v>3SYN3GLOWAPK33SYN3 UV TEX SLIP HAZ RIGHT LP1913100WM321-4300IQ MAPLE LANE RH</v>
      </c>
      <c r="J5316" s="7">
        <f>COUNTIF(Paper_Reference[Duplicate Key],Paper_Reference[[#This Row],[Duplicate Key]])</f>
        <v>1</v>
      </c>
    </row>
    <row r="5317" spans="1:10">
      <c r="A5317" s="7">
        <v>4</v>
      </c>
      <c r="B5317" s="8" t="s">
        <v>569</v>
      </c>
      <c r="C5317" s="8" t="s">
        <v>340</v>
      </c>
      <c r="D5317" s="7">
        <v>1</v>
      </c>
      <c r="E5317" s="7">
        <v>91</v>
      </c>
      <c r="F5317" s="7">
        <v>1</v>
      </c>
      <c r="G5317" s="8" t="s">
        <v>217</v>
      </c>
      <c r="H5317" s="8" t="s">
        <v>3229</v>
      </c>
      <c r="I5317" s="7" t="str">
        <f>_xlfn.CONCAT(Paper_Reference[[#This Row],[Lvl]:[Paper Description]])</f>
        <v>4SYN3GLOWAPK33SYN3 UV TEX SLIP HAZ RIGHT LP1911100WM301-6200IQ MAPLE LANE (C) 60 X 144</v>
      </c>
      <c r="J5317" s="7">
        <f>COUNTIF(Paper_Reference[Duplicate Key],Paper_Reference[[#This Row],[Duplicate Key]])</f>
        <v>1</v>
      </c>
    </row>
    <row r="5318" spans="1:10">
      <c r="A5318" s="7">
        <v>4</v>
      </c>
      <c r="B5318" s="8" t="s">
        <v>569</v>
      </c>
      <c r="C5318" s="8" t="s">
        <v>340</v>
      </c>
      <c r="D5318" s="7">
        <v>1</v>
      </c>
      <c r="E5318" s="7">
        <v>91</v>
      </c>
      <c r="F5318" s="7">
        <v>1</v>
      </c>
      <c r="G5318" s="8" t="s">
        <v>217</v>
      </c>
      <c r="H5318" s="8" t="s">
        <v>425</v>
      </c>
      <c r="I5318" s="7" t="str">
        <f>_xlfn.CONCAT(Paper_Reference[[#This Row],[Lvl]:[Paper Description]])</f>
        <v>4SYN3GLOWAPK33SYN3 UV TEX SLIP HAZ RIGHT LP1911100WM301-6200IQ MAPLE LANE (CENTER)</v>
      </c>
      <c r="J5318" s="7">
        <f>COUNTIF(Paper_Reference[Duplicate Key],Paper_Reference[[#This Row],[Duplicate Key]])</f>
        <v>1</v>
      </c>
    </row>
    <row r="5319" spans="1:10">
      <c r="A5319" s="7">
        <v>4</v>
      </c>
      <c r="B5319" s="8" t="s">
        <v>569</v>
      </c>
      <c r="C5319" s="8" t="s">
        <v>340</v>
      </c>
      <c r="D5319" s="7">
        <v>1</v>
      </c>
      <c r="E5319" s="7">
        <v>91</v>
      </c>
      <c r="F5319" s="7">
        <v>1</v>
      </c>
      <c r="G5319" s="8" t="s">
        <v>219</v>
      </c>
      <c r="H5319" s="8" t="s">
        <v>427</v>
      </c>
      <c r="I5319" s="7" t="str">
        <f>_xlfn.CONCAT(Paper_Reference[[#This Row],[Lvl]:[Paper Description]])</f>
        <v>4SYN3GLOWAPK33SYN3 UV TEX SLIP HAZ RIGHT LP1911100WM321-4300IQ MAPLE LANE RH</v>
      </c>
      <c r="J5319" s="7">
        <f>COUNTIF(Paper_Reference[Duplicate Key],Paper_Reference[[#This Row],[Duplicate Key]])</f>
        <v>1</v>
      </c>
    </row>
    <row r="5320" spans="1:10">
      <c r="A5320" s="7">
        <v>3</v>
      </c>
      <c r="B5320" s="8" t="s">
        <v>606</v>
      </c>
      <c r="C5320" s="8" t="s">
        <v>374</v>
      </c>
      <c r="D5320" s="7">
        <v>1</v>
      </c>
      <c r="E5320" s="7">
        <v>91</v>
      </c>
      <c r="F5320" s="7">
        <v>3</v>
      </c>
      <c r="G5320" s="8" t="s">
        <v>218</v>
      </c>
      <c r="H5320" s="8" t="s">
        <v>426</v>
      </c>
      <c r="I5320" s="7" t="str">
        <f>_xlfn.CONCAT(Paper_Reference[[#This Row],[Lvl]:[Paper Description]])</f>
        <v>3SYN3GLOWPPK13SYN3 UV LANE ONLY PACK1913100WM311-4300IQ MAPLE LANE LH</v>
      </c>
      <c r="J5320" s="7">
        <f>COUNTIF(Paper_Reference[Duplicate Key],Paper_Reference[[#This Row],[Duplicate Key]])</f>
        <v>1</v>
      </c>
    </row>
    <row r="5321" spans="1:10">
      <c r="A5321" s="7">
        <v>3</v>
      </c>
      <c r="B5321" s="8" t="s">
        <v>606</v>
      </c>
      <c r="C5321" s="8" t="s">
        <v>374</v>
      </c>
      <c r="D5321" s="7">
        <v>1</v>
      </c>
      <c r="E5321" s="7">
        <v>91</v>
      </c>
      <c r="F5321" s="7">
        <v>3</v>
      </c>
      <c r="G5321" s="8" t="s">
        <v>219</v>
      </c>
      <c r="H5321" s="8" t="s">
        <v>427</v>
      </c>
      <c r="I5321" s="7" t="str">
        <f>_xlfn.CONCAT(Paper_Reference[[#This Row],[Lvl]:[Paper Description]])</f>
        <v>3SYN3GLOWPPK13SYN3 UV LANE ONLY PACK1913100WM321-4300IQ MAPLE LANE RH</v>
      </c>
      <c r="J5321" s="7">
        <f>COUNTIF(Paper_Reference[Duplicate Key],Paper_Reference[[#This Row],[Duplicate Key]])</f>
        <v>1</v>
      </c>
    </row>
    <row r="5322" spans="1:10">
      <c r="A5322" s="7">
        <v>4</v>
      </c>
      <c r="B5322" s="8" t="s">
        <v>606</v>
      </c>
      <c r="C5322" s="8" t="s">
        <v>374</v>
      </c>
      <c r="D5322" s="7">
        <v>1</v>
      </c>
      <c r="E5322" s="7">
        <v>91</v>
      </c>
      <c r="F5322" s="7">
        <v>1</v>
      </c>
      <c r="G5322" s="8" t="s">
        <v>218</v>
      </c>
      <c r="H5322" s="8" t="s">
        <v>426</v>
      </c>
      <c r="I5322" s="7" t="str">
        <f>_xlfn.CONCAT(Paper_Reference[[#This Row],[Lvl]:[Paper Description]])</f>
        <v>4SYN3GLOWPPK13SYN3 UV LANE ONLY PACK1911100WM311-4300IQ MAPLE LANE LH</v>
      </c>
      <c r="J5322" s="7">
        <f>COUNTIF(Paper_Reference[Duplicate Key],Paper_Reference[[#This Row],[Duplicate Key]])</f>
        <v>1</v>
      </c>
    </row>
    <row r="5323" spans="1:10">
      <c r="A5323" s="7">
        <v>4</v>
      </c>
      <c r="B5323" s="8" t="s">
        <v>606</v>
      </c>
      <c r="C5323" s="8" t="s">
        <v>374</v>
      </c>
      <c r="D5323" s="7">
        <v>1</v>
      </c>
      <c r="E5323" s="7">
        <v>91</v>
      </c>
      <c r="F5323" s="7">
        <v>1</v>
      </c>
      <c r="G5323" s="8" t="s">
        <v>219</v>
      </c>
      <c r="H5323" s="8" t="s">
        <v>427</v>
      </c>
      <c r="I5323" s="7" t="str">
        <f>_xlfn.CONCAT(Paper_Reference[[#This Row],[Lvl]:[Paper Description]])</f>
        <v>4SYN3GLOWPPK13SYN3 UV LANE ONLY PACK1911100WM321-4300IQ MAPLE LANE RH</v>
      </c>
      <c r="J5323" s="7">
        <f>COUNTIF(Paper_Reference[Duplicate Key],Paper_Reference[[#This Row],[Duplicate Key]])</f>
        <v>1</v>
      </c>
    </row>
    <row r="5324" spans="1:10">
      <c r="A5324" s="7">
        <v>3</v>
      </c>
      <c r="B5324" s="8" t="s">
        <v>607</v>
      </c>
      <c r="C5324" s="8" t="s">
        <v>373</v>
      </c>
      <c r="D5324" s="7">
        <v>1</v>
      </c>
      <c r="E5324" s="7">
        <v>0</v>
      </c>
      <c r="F5324" s="7">
        <v>3</v>
      </c>
      <c r="G5324" s="8" t="s">
        <v>218</v>
      </c>
      <c r="H5324" s="8" t="s">
        <v>426</v>
      </c>
      <c r="I5324" s="7" t="str">
        <f>_xlfn.CONCAT(Paper_Reference[[#This Row],[Lvl]:[Paper Description]])</f>
        <v>3SYN3GLOWPPK17SYN3 LANE ONLY PACK103100WM311-4300IQ MAPLE LANE LH</v>
      </c>
      <c r="J5324" s="7">
        <f>COUNTIF(Paper_Reference[Duplicate Key],Paper_Reference[[#This Row],[Duplicate Key]])</f>
        <v>1</v>
      </c>
    </row>
    <row r="5325" spans="1:10">
      <c r="A5325" s="7">
        <v>3</v>
      </c>
      <c r="B5325" s="8" t="s">
        <v>607</v>
      </c>
      <c r="C5325" s="8" t="s">
        <v>373</v>
      </c>
      <c r="D5325" s="7">
        <v>1</v>
      </c>
      <c r="E5325" s="7">
        <v>0</v>
      </c>
      <c r="F5325" s="7">
        <v>3</v>
      </c>
      <c r="G5325" s="8" t="s">
        <v>219</v>
      </c>
      <c r="H5325" s="8" t="s">
        <v>427</v>
      </c>
      <c r="I5325" s="7" t="str">
        <f>_xlfn.CONCAT(Paper_Reference[[#This Row],[Lvl]:[Paper Description]])</f>
        <v>3SYN3GLOWPPK17SYN3 LANE ONLY PACK103100WM321-4300IQ MAPLE LANE RH</v>
      </c>
      <c r="J5325" s="7">
        <f>COUNTIF(Paper_Reference[Duplicate Key],Paper_Reference[[#This Row],[Duplicate Key]])</f>
        <v>1</v>
      </c>
    </row>
    <row r="5326" spans="1:10">
      <c r="A5326" s="7">
        <v>4</v>
      </c>
      <c r="B5326" s="8" t="s">
        <v>607</v>
      </c>
      <c r="C5326" s="8" t="s">
        <v>373</v>
      </c>
      <c r="D5326" s="7">
        <v>1</v>
      </c>
      <c r="E5326" s="7">
        <v>91</v>
      </c>
      <c r="F5326" s="7">
        <v>1</v>
      </c>
      <c r="G5326" s="8" t="s">
        <v>218</v>
      </c>
      <c r="H5326" s="8" t="s">
        <v>426</v>
      </c>
      <c r="I5326" s="7" t="str">
        <f>_xlfn.CONCAT(Paper_Reference[[#This Row],[Lvl]:[Paper Description]])</f>
        <v>4SYN3GLOWPPK17SYN3 LANE ONLY PACK1911100WM311-4300IQ MAPLE LANE LH</v>
      </c>
      <c r="J5326" s="7">
        <f>COUNTIF(Paper_Reference[Duplicate Key],Paper_Reference[[#This Row],[Duplicate Key]])</f>
        <v>1</v>
      </c>
    </row>
    <row r="5327" spans="1:10">
      <c r="A5327" s="7">
        <v>4</v>
      </c>
      <c r="B5327" s="8" t="s">
        <v>607</v>
      </c>
      <c r="C5327" s="8" t="s">
        <v>373</v>
      </c>
      <c r="D5327" s="7">
        <v>1</v>
      </c>
      <c r="E5327" s="7">
        <v>91</v>
      </c>
      <c r="F5327" s="7">
        <v>1</v>
      </c>
      <c r="G5327" s="8" t="s">
        <v>219</v>
      </c>
      <c r="H5327" s="8" t="s">
        <v>427</v>
      </c>
      <c r="I5327" s="7" t="str">
        <f>_xlfn.CONCAT(Paper_Reference[[#This Row],[Lvl]:[Paper Description]])</f>
        <v>4SYN3GLOWPPK17SYN3 LANE ONLY PACK1911100WM321-4300IQ MAPLE LANE RH</v>
      </c>
      <c r="J5327" s="7">
        <f>COUNTIF(Paper_Reference[Duplicate Key],Paper_Reference[[#This Row],[Duplicate Key]])</f>
        <v>1</v>
      </c>
    </row>
    <row r="5328" spans="1:10">
      <c r="A5328" s="7">
        <v>3</v>
      </c>
      <c r="B5328" s="8" t="s">
        <v>608</v>
      </c>
      <c r="C5328" s="8" t="s">
        <v>375</v>
      </c>
      <c r="D5328" s="7">
        <v>1</v>
      </c>
      <c r="E5328" s="7">
        <v>91</v>
      </c>
      <c r="F5328" s="7">
        <v>3</v>
      </c>
      <c r="G5328" s="8" t="s">
        <v>218</v>
      </c>
      <c r="H5328" s="8" t="s">
        <v>426</v>
      </c>
      <c r="I5328" s="7" t="str">
        <f>_xlfn.CONCAT(Paper_Reference[[#This Row],[Lvl]:[Paper Description]])</f>
        <v>3SYN3GLOWPPK26SYN3 UV LEFT LANE ONLY PK1913100WM311-4300IQ MAPLE LANE LH</v>
      </c>
      <c r="J5328" s="7">
        <f>COUNTIF(Paper_Reference[Duplicate Key],Paper_Reference[[#This Row],[Duplicate Key]])</f>
        <v>1</v>
      </c>
    </row>
    <row r="5329" spans="1:10">
      <c r="A5329" s="7">
        <v>4</v>
      </c>
      <c r="B5329" s="8" t="s">
        <v>608</v>
      </c>
      <c r="C5329" s="8" t="s">
        <v>375</v>
      </c>
      <c r="D5329" s="7">
        <v>1</v>
      </c>
      <c r="E5329" s="7">
        <v>91</v>
      </c>
      <c r="F5329" s="7">
        <v>1</v>
      </c>
      <c r="G5329" s="8" t="s">
        <v>218</v>
      </c>
      <c r="H5329" s="8" t="s">
        <v>426</v>
      </c>
      <c r="I5329" s="7" t="str">
        <f>_xlfn.CONCAT(Paper_Reference[[#This Row],[Lvl]:[Paper Description]])</f>
        <v>4SYN3GLOWPPK26SYN3 UV LEFT LANE ONLY PK1911100WM311-4300IQ MAPLE LANE LH</v>
      </c>
      <c r="J5329" s="7">
        <f>COUNTIF(Paper_Reference[Duplicate Key],Paper_Reference[[#This Row],[Duplicate Key]])</f>
        <v>1</v>
      </c>
    </row>
    <row r="5330" spans="1:10">
      <c r="A5330" s="7">
        <v>3</v>
      </c>
      <c r="B5330" s="8" t="s">
        <v>618</v>
      </c>
      <c r="C5330" s="8" t="s">
        <v>385</v>
      </c>
      <c r="D5330" s="7">
        <v>1</v>
      </c>
      <c r="E5330" s="7">
        <v>91</v>
      </c>
      <c r="F5330" s="7">
        <v>3</v>
      </c>
      <c r="G5330" s="8" t="s">
        <v>219</v>
      </c>
      <c r="H5330" s="8" t="s">
        <v>427</v>
      </c>
      <c r="I5330" s="7" t="str">
        <f>_xlfn.CONCAT(Paper_Reference[[#This Row],[Lvl]:[Paper Description]])</f>
        <v>3SYN3GLOWPPK27SYN3 UV RIGHT LANE ONLY PK1913100WM321-4300IQ MAPLE LANE RH</v>
      </c>
      <c r="J5330" s="7">
        <f>COUNTIF(Paper_Reference[Duplicate Key],Paper_Reference[[#This Row],[Duplicate Key]])</f>
        <v>1</v>
      </c>
    </row>
    <row r="5331" spans="1:10">
      <c r="A5331" s="7">
        <v>4</v>
      </c>
      <c r="B5331" s="8" t="s">
        <v>618</v>
      </c>
      <c r="C5331" s="8" t="s">
        <v>385</v>
      </c>
      <c r="D5331" s="7">
        <v>1</v>
      </c>
      <c r="E5331" s="7">
        <v>91</v>
      </c>
      <c r="F5331" s="7">
        <v>1</v>
      </c>
      <c r="G5331" s="8" t="s">
        <v>219</v>
      </c>
      <c r="H5331" s="8" t="s">
        <v>427</v>
      </c>
      <c r="I5331" s="7" t="str">
        <f>_xlfn.CONCAT(Paper_Reference[[#This Row],[Lvl]:[Paper Description]])</f>
        <v>4SYN3GLOWPPK27SYN3 UV RIGHT LANE ONLY PK1911100WM321-4300IQ MAPLE LANE RH</v>
      </c>
      <c r="J5331" s="7">
        <f>COUNTIF(Paper_Reference[Duplicate Key],Paper_Reference[[#This Row],[Duplicate Key]])</f>
        <v>1</v>
      </c>
    </row>
    <row r="5332" spans="1:10">
      <c r="A5332" s="7">
        <v>3</v>
      </c>
      <c r="B5332" s="8" t="s">
        <v>570</v>
      </c>
      <c r="C5332" s="8" t="s">
        <v>341</v>
      </c>
      <c r="D5332" s="7">
        <v>1</v>
      </c>
      <c r="E5332" s="7">
        <v>91</v>
      </c>
      <c r="F5332" s="7">
        <v>1</v>
      </c>
      <c r="G5332" s="8" t="s">
        <v>218</v>
      </c>
      <c r="H5332" s="8" t="s">
        <v>426</v>
      </c>
      <c r="I5332" s="7" t="str">
        <f>_xlfn.CONCAT(Paper_Reference[[#This Row],[Lvl]:[Paper Description]])</f>
        <v>3SYN3LINESAPPK1SYN3 UV LINES 2 LANE PACK1911100WM311-4300IQ MAPLE LANE LH</v>
      </c>
      <c r="J5332" s="7">
        <f>COUNTIF(Paper_Reference[Duplicate Key],Paper_Reference[[#This Row],[Duplicate Key]])</f>
        <v>1</v>
      </c>
    </row>
    <row r="5333" spans="1:10">
      <c r="A5333" s="7">
        <v>3</v>
      </c>
      <c r="B5333" s="8" t="s">
        <v>570</v>
      </c>
      <c r="C5333" s="8" t="s">
        <v>341</v>
      </c>
      <c r="D5333" s="7">
        <v>1</v>
      </c>
      <c r="E5333" s="7">
        <v>91</v>
      </c>
      <c r="F5333" s="7">
        <v>1</v>
      </c>
      <c r="G5333" s="8" t="s">
        <v>219</v>
      </c>
      <c r="H5333" s="8" t="s">
        <v>427</v>
      </c>
      <c r="I5333" s="7" t="str">
        <f>_xlfn.CONCAT(Paper_Reference[[#This Row],[Lvl]:[Paper Description]])</f>
        <v>3SYN3LINESAPPK1SYN3 UV LINES 2 LANE PACK1911100WM321-4300IQ MAPLE LANE RH</v>
      </c>
      <c r="J5333" s="7">
        <f>COUNTIF(Paper_Reference[Duplicate Key],Paper_Reference[[#This Row],[Duplicate Key]])</f>
        <v>1</v>
      </c>
    </row>
    <row r="5334" spans="1:10">
      <c r="A5334" s="7">
        <v>3</v>
      </c>
      <c r="B5334" s="8" t="s">
        <v>570</v>
      </c>
      <c r="C5334" s="8" t="s">
        <v>341</v>
      </c>
      <c r="D5334" s="7">
        <v>1</v>
      </c>
      <c r="E5334" s="7">
        <v>91</v>
      </c>
      <c r="F5334" s="7">
        <v>3</v>
      </c>
      <c r="G5334" s="8" t="s">
        <v>218</v>
      </c>
      <c r="H5334" s="8" t="s">
        <v>426</v>
      </c>
      <c r="I5334" s="7" t="str">
        <f>_xlfn.CONCAT(Paper_Reference[[#This Row],[Lvl]:[Paper Description]])</f>
        <v>3SYN3LINESAPPK1SYN3 UV LINES 2 LANE PACK1913100WM311-4300IQ MAPLE LANE LH</v>
      </c>
      <c r="J5334" s="7">
        <f>COUNTIF(Paper_Reference[Duplicate Key],Paper_Reference[[#This Row],[Duplicate Key]])</f>
        <v>1</v>
      </c>
    </row>
    <row r="5335" spans="1:10">
      <c r="A5335" s="7">
        <v>3</v>
      </c>
      <c r="B5335" s="8" t="s">
        <v>570</v>
      </c>
      <c r="C5335" s="8" t="s">
        <v>341</v>
      </c>
      <c r="D5335" s="7">
        <v>1</v>
      </c>
      <c r="E5335" s="7">
        <v>91</v>
      </c>
      <c r="F5335" s="7">
        <v>3</v>
      </c>
      <c r="G5335" s="8" t="s">
        <v>219</v>
      </c>
      <c r="H5335" s="8" t="s">
        <v>427</v>
      </c>
      <c r="I5335" s="7" t="str">
        <f>_xlfn.CONCAT(Paper_Reference[[#This Row],[Lvl]:[Paper Description]])</f>
        <v>3SYN3LINESAPPK1SYN3 UV LINES 2 LANE PACK1913100WM321-4300IQ MAPLE LANE RH</v>
      </c>
      <c r="J5335" s="7">
        <f>COUNTIF(Paper_Reference[Duplicate Key],Paper_Reference[[#This Row],[Duplicate Key]])</f>
        <v>1</v>
      </c>
    </row>
    <row r="5336" spans="1:10">
      <c r="A5336" s="7">
        <v>4</v>
      </c>
      <c r="B5336" s="8" t="s">
        <v>570</v>
      </c>
      <c r="C5336" s="8" t="s">
        <v>341</v>
      </c>
      <c r="D5336" s="7">
        <v>1</v>
      </c>
      <c r="E5336" s="7">
        <v>91</v>
      </c>
      <c r="F5336" s="7">
        <v>1</v>
      </c>
      <c r="G5336" s="8" t="s">
        <v>217</v>
      </c>
      <c r="H5336" s="8" t="s">
        <v>3229</v>
      </c>
      <c r="I5336" s="7" t="str">
        <f>_xlfn.CONCAT(Paper_Reference[[#This Row],[Lvl]:[Paper Description]])</f>
        <v>4SYN3LINESAPPK1SYN3 UV LINES 2 LANE PACK1911100WM301-6200IQ MAPLE LANE (C) 60 X 144</v>
      </c>
      <c r="J5336" s="7">
        <f>COUNTIF(Paper_Reference[Duplicate Key],Paper_Reference[[#This Row],[Duplicate Key]])</f>
        <v>1</v>
      </c>
    </row>
    <row r="5337" spans="1:10">
      <c r="A5337" s="7">
        <v>4</v>
      </c>
      <c r="B5337" s="8" t="s">
        <v>570</v>
      </c>
      <c r="C5337" s="8" t="s">
        <v>341</v>
      </c>
      <c r="D5337" s="7">
        <v>1</v>
      </c>
      <c r="E5337" s="7">
        <v>91</v>
      </c>
      <c r="F5337" s="7">
        <v>1</v>
      </c>
      <c r="G5337" s="8" t="s">
        <v>217</v>
      </c>
      <c r="H5337" s="8" t="s">
        <v>425</v>
      </c>
      <c r="I5337" s="7" t="str">
        <f>_xlfn.CONCAT(Paper_Reference[[#This Row],[Lvl]:[Paper Description]])</f>
        <v>4SYN3LINESAPPK1SYN3 UV LINES 2 LANE PACK1911100WM301-6200IQ MAPLE LANE (CENTER)</v>
      </c>
      <c r="J5337" s="7">
        <f>COUNTIF(Paper_Reference[Duplicate Key],Paper_Reference[[#This Row],[Duplicate Key]])</f>
        <v>1</v>
      </c>
    </row>
    <row r="5338" spans="1:10">
      <c r="A5338" s="7">
        <v>4</v>
      </c>
      <c r="B5338" s="8" t="s">
        <v>570</v>
      </c>
      <c r="C5338" s="8" t="s">
        <v>341</v>
      </c>
      <c r="D5338" s="7">
        <v>1</v>
      </c>
      <c r="E5338" s="7">
        <v>91</v>
      </c>
      <c r="F5338" s="7">
        <v>1</v>
      </c>
      <c r="G5338" s="8" t="s">
        <v>218</v>
      </c>
      <c r="H5338" s="8" t="s">
        <v>426</v>
      </c>
      <c r="I5338" s="7" t="str">
        <f>_xlfn.CONCAT(Paper_Reference[[#This Row],[Lvl]:[Paper Description]])</f>
        <v>4SYN3LINESAPPK1SYN3 UV LINES 2 LANE PACK1911100WM311-4300IQ MAPLE LANE LH</v>
      </c>
      <c r="J5338" s="7">
        <f>COUNTIF(Paper_Reference[Duplicate Key],Paper_Reference[[#This Row],[Duplicate Key]])</f>
        <v>1</v>
      </c>
    </row>
    <row r="5339" spans="1:10">
      <c r="A5339" s="7">
        <v>4</v>
      </c>
      <c r="B5339" s="8" t="s">
        <v>570</v>
      </c>
      <c r="C5339" s="8" t="s">
        <v>341</v>
      </c>
      <c r="D5339" s="7">
        <v>1</v>
      </c>
      <c r="E5339" s="7">
        <v>91</v>
      </c>
      <c r="F5339" s="7">
        <v>1</v>
      </c>
      <c r="G5339" s="8" t="s">
        <v>219</v>
      </c>
      <c r="H5339" s="8" t="s">
        <v>427</v>
      </c>
      <c r="I5339" s="7" t="str">
        <f>_xlfn.CONCAT(Paper_Reference[[#This Row],[Lvl]:[Paper Description]])</f>
        <v>4SYN3LINESAPPK1SYN3 UV LINES 2 LANE PACK1911100WM321-4300IQ MAPLE LANE RH</v>
      </c>
      <c r="J5339" s="7">
        <f>COUNTIF(Paper_Reference[Duplicate Key],Paper_Reference[[#This Row],[Duplicate Key]])</f>
        <v>1</v>
      </c>
    </row>
    <row r="5340" spans="1:10">
      <c r="A5340" s="7">
        <v>3</v>
      </c>
      <c r="B5340" s="8" t="s">
        <v>571</v>
      </c>
      <c r="C5340" s="8" t="s">
        <v>342</v>
      </c>
      <c r="D5340" s="7">
        <v>1</v>
      </c>
      <c r="E5340" s="7">
        <v>91</v>
      </c>
      <c r="F5340" s="7">
        <v>1</v>
      </c>
      <c r="G5340" s="8" t="s">
        <v>218</v>
      </c>
      <c r="H5340" s="8" t="s">
        <v>426</v>
      </c>
      <c r="I5340" s="7" t="str">
        <f>_xlfn.CONCAT(Paper_Reference[[#This Row],[Lvl]:[Paper Description]])</f>
        <v>3SYN3PIPUVAPPK1SYN3 PIP UV 2 LANE PACK1911100WM311-4300IQ MAPLE LANE LH</v>
      </c>
      <c r="J5340" s="7">
        <f>COUNTIF(Paper_Reference[Duplicate Key],Paper_Reference[[#This Row],[Duplicate Key]])</f>
        <v>1</v>
      </c>
    </row>
    <row r="5341" spans="1:10">
      <c r="A5341" s="7">
        <v>3</v>
      </c>
      <c r="B5341" s="8" t="s">
        <v>571</v>
      </c>
      <c r="C5341" s="8" t="s">
        <v>342</v>
      </c>
      <c r="D5341" s="7">
        <v>1</v>
      </c>
      <c r="E5341" s="7">
        <v>91</v>
      </c>
      <c r="F5341" s="7">
        <v>1</v>
      </c>
      <c r="G5341" s="8" t="s">
        <v>219</v>
      </c>
      <c r="H5341" s="8" t="s">
        <v>427</v>
      </c>
      <c r="I5341" s="7" t="str">
        <f>_xlfn.CONCAT(Paper_Reference[[#This Row],[Lvl]:[Paper Description]])</f>
        <v>3SYN3PIPUVAPPK1SYN3 PIP UV 2 LANE PACK1911100WM321-4300IQ MAPLE LANE RH</v>
      </c>
      <c r="J5341" s="7">
        <f>COUNTIF(Paper_Reference[Duplicate Key],Paper_Reference[[#This Row],[Duplicate Key]])</f>
        <v>1</v>
      </c>
    </row>
    <row r="5342" spans="1:10">
      <c r="A5342" s="7">
        <v>3</v>
      </c>
      <c r="B5342" s="8" t="s">
        <v>571</v>
      </c>
      <c r="C5342" s="8" t="s">
        <v>342</v>
      </c>
      <c r="D5342" s="7">
        <v>1</v>
      </c>
      <c r="E5342" s="7">
        <v>91</v>
      </c>
      <c r="F5342" s="7">
        <v>3</v>
      </c>
      <c r="G5342" s="8" t="s">
        <v>218</v>
      </c>
      <c r="H5342" s="8" t="s">
        <v>426</v>
      </c>
      <c r="I5342" s="7" t="str">
        <f>_xlfn.CONCAT(Paper_Reference[[#This Row],[Lvl]:[Paper Description]])</f>
        <v>3SYN3PIPUVAPPK1SYN3 PIP UV 2 LANE PACK1913100WM311-4300IQ MAPLE LANE LH</v>
      </c>
      <c r="J5342" s="7">
        <f>COUNTIF(Paper_Reference[Duplicate Key],Paper_Reference[[#This Row],[Duplicate Key]])</f>
        <v>1</v>
      </c>
    </row>
    <row r="5343" spans="1:10">
      <c r="A5343" s="7">
        <v>3</v>
      </c>
      <c r="B5343" s="8" t="s">
        <v>571</v>
      </c>
      <c r="C5343" s="8" t="s">
        <v>342</v>
      </c>
      <c r="D5343" s="7">
        <v>1</v>
      </c>
      <c r="E5343" s="7">
        <v>91</v>
      </c>
      <c r="F5343" s="7">
        <v>3</v>
      </c>
      <c r="G5343" s="8" t="s">
        <v>219</v>
      </c>
      <c r="H5343" s="8" t="s">
        <v>427</v>
      </c>
      <c r="I5343" s="7" t="str">
        <f>_xlfn.CONCAT(Paper_Reference[[#This Row],[Lvl]:[Paper Description]])</f>
        <v>3SYN3PIPUVAPPK1SYN3 PIP UV 2 LANE PACK1913100WM321-4300IQ MAPLE LANE RH</v>
      </c>
      <c r="J5343" s="7">
        <f>COUNTIF(Paper_Reference[Duplicate Key],Paper_Reference[[#This Row],[Duplicate Key]])</f>
        <v>1</v>
      </c>
    </row>
    <row r="5344" spans="1:10">
      <c r="A5344" s="7">
        <v>4</v>
      </c>
      <c r="B5344" s="8" t="s">
        <v>571</v>
      </c>
      <c r="C5344" s="8" t="s">
        <v>342</v>
      </c>
      <c r="D5344" s="7">
        <v>1</v>
      </c>
      <c r="E5344" s="7">
        <v>91</v>
      </c>
      <c r="F5344" s="7">
        <v>1</v>
      </c>
      <c r="G5344" s="8" t="s">
        <v>217</v>
      </c>
      <c r="H5344" s="8" t="s">
        <v>3229</v>
      </c>
      <c r="I5344" s="7" t="str">
        <f>_xlfn.CONCAT(Paper_Reference[[#This Row],[Lvl]:[Paper Description]])</f>
        <v>4SYN3PIPUVAPPK1SYN3 PIP UV 2 LANE PACK1911100WM301-6200IQ MAPLE LANE (C) 60 X 144</v>
      </c>
      <c r="J5344" s="7">
        <f>COUNTIF(Paper_Reference[Duplicate Key],Paper_Reference[[#This Row],[Duplicate Key]])</f>
        <v>1</v>
      </c>
    </row>
    <row r="5345" spans="1:10">
      <c r="A5345" s="7">
        <v>4</v>
      </c>
      <c r="B5345" s="8" t="s">
        <v>571</v>
      </c>
      <c r="C5345" s="8" t="s">
        <v>342</v>
      </c>
      <c r="D5345" s="7">
        <v>1</v>
      </c>
      <c r="E5345" s="7">
        <v>91</v>
      </c>
      <c r="F5345" s="7">
        <v>1</v>
      </c>
      <c r="G5345" s="8" t="s">
        <v>217</v>
      </c>
      <c r="H5345" s="8" t="s">
        <v>425</v>
      </c>
      <c r="I5345" s="7" t="str">
        <f>_xlfn.CONCAT(Paper_Reference[[#This Row],[Lvl]:[Paper Description]])</f>
        <v>4SYN3PIPUVAPPK1SYN3 PIP UV 2 LANE PACK1911100WM301-6200IQ MAPLE LANE (CENTER)</v>
      </c>
      <c r="J5345" s="7">
        <f>COUNTIF(Paper_Reference[Duplicate Key],Paper_Reference[[#This Row],[Duplicate Key]])</f>
        <v>1</v>
      </c>
    </row>
    <row r="5346" spans="1:10">
      <c r="A5346" s="7">
        <v>4</v>
      </c>
      <c r="B5346" s="8" t="s">
        <v>571</v>
      </c>
      <c r="C5346" s="8" t="s">
        <v>342</v>
      </c>
      <c r="D5346" s="7">
        <v>1</v>
      </c>
      <c r="E5346" s="7">
        <v>91</v>
      </c>
      <c r="F5346" s="7">
        <v>1</v>
      </c>
      <c r="G5346" s="8" t="s">
        <v>218</v>
      </c>
      <c r="H5346" s="8" t="s">
        <v>426</v>
      </c>
      <c r="I5346" s="7" t="str">
        <f>_xlfn.CONCAT(Paper_Reference[[#This Row],[Lvl]:[Paper Description]])</f>
        <v>4SYN3PIPUVAPPK1SYN3 PIP UV 2 LANE PACK1911100WM311-4300IQ MAPLE LANE LH</v>
      </c>
      <c r="J5346" s="7">
        <f>COUNTIF(Paper_Reference[Duplicate Key],Paper_Reference[[#This Row],[Duplicate Key]])</f>
        <v>1</v>
      </c>
    </row>
    <row r="5347" spans="1:10">
      <c r="A5347" s="7">
        <v>4</v>
      </c>
      <c r="B5347" s="8" t="s">
        <v>571</v>
      </c>
      <c r="C5347" s="8" t="s">
        <v>342</v>
      </c>
      <c r="D5347" s="7">
        <v>1</v>
      </c>
      <c r="E5347" s="7">
        <v>91</v>
      </c>
      <c r="F5347" s="7">
        <v>1</v>
      </c>
      <c r="G5347" s="8" t="s">
        <v>219</v>
      </c>
      <c r="H5347" s="8" t="s">
        <v>427</v>
      </c>
      <c r="I5347" s="7" t="str">
        <f>_xlfn.CONCAT(Paper_Reference[[#This Row],[Lvl]:[Paper Description]])</f>
        <v>4SYN3PIPUVAPPK1SYN3 PIP UV 2 LANE PACK1911100WM321-4300IQ MAPLE LANE RH</v>
      </c>
      <c r="J5347" s="7">
        <f>COUNTIF(Paper_Reference[Duplicate Key],Paper_Reference[[#This Row],[Duplicate Key]])</f>
        <v>1</v>
      </c>
    </row>
    <row r="5348" spans="1:10">
      <c r="A5348" s="7">
        <v>3</v>
      </c>
      <c r="B5348" s="8" t="s">
        <v>572</v>
      </c>
      <c r="C5348" s="8" t="s">
        <v>343</v>
      </c>
      <c r="D5348" s="7">
        <v>1</v>
      </c>
      <c r="E5348" s="7">
        <v>91</v>
      </c>
      <c r="F5348" s="7">
        <v>1</v>
      </c>
      <c r="G5348" s="8" t="s">
        <v>218</v>
      </c>
      <c r="H5348" s="8" t="s">
        <v>426</v>
      </c>
      <c r="I5348" s="7" t="str">
        <f>_xlfn.CONCAT(Paper_Reference[[#This Row],[Lvl]:[Paper Description]])</f>
        <v>3SYNBRUNSPPK2SYN LANE PACK1911100WM311-4300IQ MAPLE LANE LH</v>
      </c>
      <c r="J5348" s="7">
        <f>COUNTIF(Paper_Reference[Duplicate Key],Paper_Reference[[#This Row],[Duplicate Key]])</f>
        <v>1</v>
      </c>
    </row>
    <row r="5349" spans="1:10">
      <c r="A5349" s="7">
        <v>3</v>
      </c>
      <c r="B5349" s="8" t="s">
        <v>572</v>
      </c>
      <c r="C5349" s="8" t="s">
        <v>343</v>
      </c>
      <c r="D5349" s="7">
        <v>1</v>
      </c>
      <c r="E5349" s="7">
        <v>91</v>
      </c>
      <c r="F5349" s="7">
        <v>1</v>
      </c>
      <c r="G5349" s="8" t="s">
        <v>219</v>
      </c>
      <c r="H5349" s="8" t="s">
        <v>427</v>
      </c>
      <c r="I5349" s="7" t="str">
        <f>_xlfn.CONCAT(Paper_Reference[[#This Row],[Lvl]:[Paper Description]])</f>
        <v>3SYNBRUNSPPK2SYN LANE PACK1911100WM321-4300IQ MAPLE LANE RH</v>
      </c>
      <c r="J5349" s="7">
        <f>COUNTIF(Paper_Reference[Duplicate Key],Paper_Reference[[#This Row],[Duplicate Key]])</f>
        <v>1</v>
      </c>
    </row>
    <row r="5350" spans="1:10">
      <c r="A5350" s="7">
        <v>3</v>
      </c>
      <c r="B5350" s="8" t="s">
        <v>572</v>
      </c>
      <c r="C5350" s="8" t="s">
        <v>343</v>
      </c>
      <c r="D5350" s="7">
        <v>1</v>
      </c>
      <c r="E5350" s="7">
        <v>91</v>
      </c>
      <c r="F5350" s="7">
        <v>3</v>
      </c>
      <c r="G5350" s="8" t="s">
        <v>218</v>
      </c>
      <c r="H5350" s="8" t="s">
        <v>426</v>
      </c>
      <c r="I5350" s="7" t="str">
        <f>_xlfn.CONCAT(Paper_Reference[[#This Row],[Lvl]:[Paper Description]])</f>
        <v>3SYNBRUNSPPK2SYN LANE PACK1913100WM311-4300IQ MAPLE LANE LH</v>
      </c>
      <c r="J5350" s="7">
        <f>COUNTIF(Paper_Reference[Duplicate Key],Paper_Reference[[#This Row],[Duplicate Key]])</f>
        <v>1</v>
      </c>
    </row>
    <row r="5351" spans="1:10">
      <c r="A5351" s="7">
        <v>3</v>
      </c>
      <c r="B5351" s="8" t="s">
        <v>572</v>
      </c>
      <c r="C5351" s="8" t="s">
        <v>343</v>
      </c>
      <c r="D5351" s="7">
        <v>1</v>
      </c>
      <c r="E5351" s="7">
        <v>91</v>
      </c>
      <c r="F5351" s="7">
        <v>3</v>
      </c>
      <c r="G5351" s="8" t="s">
        <v>219</v>
      </c>
      <c r="H5351" s="8" t="s">
        <v>427</v>
      </c>
      <c r="I5351" s="7" t="str">
        <f>_xlfn.CONCAT(Paper_Reference[[#This Row],[Lvl]:[Paper Description]])</f>
        <v>3SYNBRUNSPPK2SYN LANE PACK1913100WM321-4300IQ MAPLE LANE RH</v>
      </c>
      <c r="J5351" s="7">
        <f>COUNTIF(Paper_Reference[Duplicate Key],Paper_Reference[[#This Row],[Duplicate Key]])</f>
        <v>1</v>
      </c>
    </row>
    <row r="5352" spans="1:10">
      <c r="A5352" s="7">
        <v>4</v>
      </c>
      <c r="B5352" s="8" t="s">
        <v>572</v>
      </c>
      <c r="C5352" s="8" t="s">
        <v>343</v>
      </c>
      <c r="D5352" s="7">
        <v>1</v>
      </c>
      <c r="E5352" s="7">
        <v>91</v>
      </c>
      <c r="F5352" s="7">
        <v>1</v>
      </c>
      <c r="G5352" s="8" t="s">
        <v>217</v>
      </c>
      <c r="H5352" s="8" t="s">
        <v>3229</v>
      </c>
      <c r="I5352" s="7" t="str">
        <f>_xlfn.CONCAT(Paper_Reference[[#This Row],[Lvl]:[Paper Description]])</f>
        <v>4SYNBRUNSPPK2SYN LANE PACK1911100WM301-6200IQ MAPLE LANE (C) 60 X 144</v>
      </c>
      <c r="J5352" s="7">
        <f>COUNTIF(Paper_Reference[Duplicate Key],Paper_Reference[[#This Row],[Duplicate Key]])</f>
        <v>1</v>
      </c>
    </row>
    <row r="5353" spans="1:10">
      <c r="A5353" s="7">
        <v>4</v>
      </c>
      <c r="B5353" s="8" t="s">
        <v>572</v>
      </c>
      <c r="C5353" s="8" t="s">
        <v>343</v>
      </c>
      <c r="D5353" s="7">
        <v>1</v>
      </c>
      <c r="E5353" s="7">
        <v>91</v>
      </c>
      <c r="F5353" s="7">
        <v>1</v>
      </c>
      <c r="G5353" s="8" t="s">
        <v>217</v>
      </c>
      <c r="H5353" s="8" t="s">
        <v>425</v>
      </c>
      <c r="I5353" s="7" t="str">
        <f>_xlfn.CONCAT(Paper_Reference[[#This Row],[Lvl]:[Paper Description]])</f>
        <v>4SYNBRUNSPPK2SYN LANE PACK1911100WM301-6200IQ MAPLE LANE (CENTER)</v>
      </c>
      <c r="J5353" s="7">
        <f>COUNTIF(Paper_Reference[Duplicate Key],Paper_Reference[[#This Row],[Duplicate Key]])</f>
        <v>1</v>
      </c>
    </row>
    <row r="5354" spans="1:10">
      <c r="A5354" s="7">
        <v>4</v>
      </c>
      <c r="B5354" s="8" t="s">
        <v>572</v>
      </c>
      <c r="C5354" s="8" t="s">
        <v>343</v>
      </c>
      <c r="D5354" s="7">
        <v>1</v>
      </c>
      <c r="E5354" s="7">
        <v>91</v>
      </c>
      <c r="F5354" s="7">
        <v>1</v>
      </c>
      <c r="G5354" s="8" t="s">
        <v>218</v>
      </c>
      <c r="H5354" s="8" t="s">
        <v>426</v>
      </c>
      <c r="I5354" s="7" t="str">
        <f>_xlfn.CONCAT(Paper_Reference[[#This Row],[Lvl]:[Paper Description]])</f>
        <v>4SYNBRUNSPPK2SYN LANE PACK1911100WM311-4300IQ MAPLE LANE LH</v>
      </c>
      <c r="J5354" s="7">
        <f>COUNTIF(Paper_Reference[Duplicate Key],Paper_Reference[[#This Row],[Duplicate Key]])</f>
        <v>1</v>
      </c>
    </row>
    <row r="5355" spans="1:10">
      <c r="A5355" s="7">
        <v>4</v>
      </c>
      <c r="B5355" s="8" t="s">
        <v>572</v>
      </c>
      <c r="C5355" s="8" t="s">
        <v>343</v>
      </c>
      <c r="D5355" s="7">
        <v>1</v>
      </c>
      <c r="E5355" s="7">
        <v>91</v>
      </c>
      <c r="F5355" s="7">
        <v>1</v>
      </c>
      <c r="G5355" s="8" t="s">
        <v>219</v>
      </c>
      <c r="H5355" s="8" t="s">
        <v>427</v>
      </c>
      <c r="I5355" s="7" t="str">
        <f>_xlfn.CONCAT(Paper_Reference[[#This Row],[Lvl]:[Paper Description]])</f>
        <v>4SYNBRUNSPPK2SYN LANE PACK1911100WM321-4300IQ MAPLE LANE RH</v>
      </c>
      <c r="J5355" s="7">
        <f>COUNTIF(Paper_Reference[Duplicate Key],Paper_Reference[[#This Row],[Duplicate Key]])</f>
        <v>1</v>
      </c>
    </row>
    <row r="5356" spans="1:10">
      <c r="A5356" s="7">
        <v>3</v>
      </c>
      <c r="B5356" s="8" t="s">
        <v>609</v>
      </c>
      <c r="C5356" s="8" t="s">
        <v>376</v>
      </c>
      <c r="D5356" s="7">
        <v>1</v>
      </c>
      <c r="E5356" s="7">
        <v>91</v>
      </c>
      <c r="F5356" s="7">
        <v>3</v>
      </c>
      <c r="G5356" s="8" t="s">
        <v>218</v>
      </c>
      <c r="H5356" s="8" t="s">
        <v>426</v>
      </c>
      <c r="I5356" s="7" t="str">
        <f>_xlfn.CONCAT(Paper_Reference[[#This Row],[Lvl]:[Paper Description]])</f>
        <v>3SYNBRUNSPPK4SYN LANE ONLY PACK1913100WM311-4300IQ MAPLE LANE LH</v>
      </c>
      <c r="J5356" s="7">
        <f>COUNTIF(Paper_Reference[Duplicate Key],Paper_Reference[[#This Row],[Duplicate Key]])</f>
        <v>1</v>
      </c>
    </row>
    <row r="5357" spans="1:10">
      <c r="A5357" s="7">
        <v>3</v>
      </c>
      <c r="B5357" s="8" t="s">
        <v>609</v>
      </c>
      <c r="C5357" s="8" t="s">
        <v>376</v>
      </c>
      <c r="D5357" s="7">
        <v>1</v>
      </c>
      <c r="E5357" s="7">
        <v>91</v>
      </c>
      <c r="F5357" s="7">
        <v>3</v>
      </c>
      <c r="G5357" s="8" t="s">
        <v>219</v>
      </c>
      <c r="H5357" s="8" t="s">
        <v>427</v>
      </c>
      <c r="I5357" s="7" t="str">
        <f>_xlfn.CONCAT(Paper_Reference[[#This Row],[Lvl]:[Paper Description]])</f>
        <v>3SYNBRUNSPPK4SYN LANE ONLY PACK1913100WM321-4300IQ MAPLE LANE RH</v>
      </c>
      <c r="J5357" s="7">
        <f>COUNTIF(Paper_Reference[Duplicate Key],Paper_Reference[[#This Row],[Duplicate Key]])</f>
        <v>1</v>
      </c>
    </row>
    <row r="5358" spans="1:10">
      <c r="A5358" s="7">
        <v>4</v>
      </c>
      <c r="B5358" s="8" t="s">
        <v>609</v>
      </c>
      <c r="C5358" s="8" t="s">
        <v>376</v>
      </c>
      <c r="D5358" s="7">
        <v>1</v>
      </c>
      <c r="E5358" s="7">
        <v>91</v>
      </c>
      <c r="F5358" s="7">
        <v>1</v>
      </c>
      <c r="G5358" s="8" t="s">
        <v>218</v>
      </c>
      <c r="H5358" s="8" t="s">
        <v>426</v>
      </c>
      <c r="I5358" s="7" t="str">
        <f>_xlfn.CONCAT(Paper_Reference[[#This Row],[Lvl]:[Paper Description]])</f>
        <v>4SYNBRUNSPPK4SYN LANE ONLY PACK1911100WM311-4300IQ MAPLE LANE LH</v>
      </c>
      <c r="J5358" s="7">
        <f>COUNTIF(Paper_Reference[Duplicate Key],Paper_Reference[[#This Row],[Duplicate Key]])</f>
        <v>1</v>
      </c>
    </row>
    <row r="5359" spans="1:10">
      <c r="A5359" s="7">
        <v>4</v>
      </c>
      <c r="B5359" s="8" t="s">
        <v>609</v>
      </c>
      <c r="C5359" s="8" t="s">
        <v>376</v>
      </c>
      <c r="D5359" s="7">
        <v>1</v>
      </c>
      <c r="E5359" s="7">
        <v>91</v>
      </c>
      <c r="F5359" s="7">
        <v>1</v>
      </c>
      <c r="G5359" s="8" t="s">
        <v>219</v>
      </c>
      <c r="H5359" s="8" t="s">
        <v>427</v>
      </c>
      <c r="I5359" s="7" t="str">
        <f>_xlfn.CONCAT(Paper_Reference[[#This Row],[Lvl]:[Paper Description]])</f>
        <v>4SYNBRUNSPPK4SYN LANE ONLY PACK1911100WM321-4300IQ MAPLE LANE RH</v>
      </c>
      <c r="J5359" s="7">
        <f>COUNTIF(Paper_Reference[Duplicate Key],Paper_Reference[[#This Row],[Duplicate Key]])</f>
        <v>1</v>
      </c>
    </row>
    <row r="5360" spans="1:10">
      <c r="A5360" s="7">
        <v>3</v>
      </c>
      <c r="B5360" s="8" t="s">
        <v>573</v>
      </c>
      <c r="C5360" s="8" t="s">
        <v>344</v>
      </c>
      <c r="D5360" s="7">
        <v>1</v>
      </c>
      <c r="E5360" s="7">
        <v>91</v>
      </c>
      <c r="F5360" s="7">
        <v>1</v>
      </c>
      <c r="G5360" s="8" t="s">
        <v>218</v>
      </c>
      <c r="H5360" s="8" t="s">
        <v>426</v>
      </c>
      <c r="I5360" s="7" t="str">
        <f>_xlfn.CONCAT(Paper_Reference[[#This Row],[Lvl]:[Paper Description]])</f>
        <v>3SYNBRUNSPPK6SYN2 LANE PACK1911100WM311-4300IQ MAPLE LANE LH</v>
      </c>
      <c r="J5360" s="7">
        <f>COUNTIF(Paper_Reference[Duplicate Key],Paper_Reference[[#This Row],[Duplicate Key]])</f>
        <v>1</v>
      </c>
    </row>
    <row r="5361" spans="1:10">
      <c r="A5361" s="7">
        <v>3</v>
      </c>
      <c r="B5361" s="8" t="s">
        <v>573</v>
      </c>
      <c r="C5361" s="8" t="s">
        <v>344</v>
      </c>
      <c r="D5361" s="7">
        <v>1</v>
      </c>
      <c r="E5361" s="7">
        <v>91</v>
      </c>
      <c r="F5361" s="7">
        <v>1</v>
      </c>
      <c r="G5361" s="8" t="s">
        <v>219</v>
      </c>
      <c r="H5361" s="8" t="s">
        <v>427</v>
      </c>
      <c r="I5361" s="7" t="str">
        <f>_xlfn.CONCAT(Paper_Reference[[#This Row],[Lvl]:[Paper Description]])</f>
        <v>3SYNBRUNSPPK6SYN2 LANE PACK1911100WM321-4300IQ MAPLE LANE RH</v>
      </c>
      <c r="J5361" s="7">
        <f>COUNTIF(Paper_Reference[Duplicate Key],Paper_Reference[[#This Row],[Duplicate Key]])</f>
        <v>1</v>
      </c>
    </row>
    <row r="5362" spans="1:10">
      <c r="A5362" s="7">
        <v>3</v>
      </c>
      <c r="B5362" s="8" t="s">
        <v>573</v>
      </c>
      <c r="C5362" s="8" t="s">
        <v>344</v>
      </c>
      <c r="D5362" s="7">
        <v>1</v>
      </c>
      <c r="E5362" s="7">
        <v>91</v>
      </c>
      <c r="F5362" s="7">
        <v>3</v>
      </c>
      <c r="G5362" s="8" t="s">
        <v>218</v>
      </c>
      <c r="H5362" s="8" t="s">
        <v>426</v>
      </c>
      <c r="I5362" s="7" t="str">
        <f>_xlfn.CONCAT(Paper_Reference[[#This Row],[Lvl]:[Paper Description]])</f>
        <v>3SYNBRUNSPPK6SYN2 LANE PACK1913100WM311-4300IQ MAPLE LANE LH</v>
      </c>
      <c r="J5362" s="7">
        <f>COUNTIF(Paper_Reference[Duplicate Key],Paper_Reference[[#This Row],[Duplicate Key]])</f>
        <v>1</v>
      </c>
    </row>
    <row r="5363" spans="1:10">
      <c r="A5363" s="7">
        <v>3</v>
      </c>
      <c r="B5363" s="8" t="s">
        <v>573</v>
      </c>
      <c r="C5363" s="8" t="s">
        <v>344</v>
      </c>
      <c r="D5363" s="7">
        <v>1</v>
      </c>
      <c r="E5363" s="7">
        <v>91</v>
      </c>
      <c r="F5363" s="7">
        <v>3</v>
      </c>
      <c r="G5363" s="8" t="s">
        <v>219</v>
      </c>
      <c r="H5363" s="8" t="s">
        <v>427</v>
      </c>
      <c r="I5363" s="7" t="str">
        <f>_xlfn.CONCAT(Paper_Reference[[#This Row],[Lvl]:[Paper Description]])</f>
        <v>3SYNBRUNSPPK6SYN2 LANE PACK1913100WM321-4300IQ MAPLE LANE RH</v>
      </c>
      <c r="J5363" s="7">
        <f>COUNTIF(Paper_Reference[Duplicate Key],Paper_Reference[[#This Row],[Duplicate Key]])</f>
        <v>1</v>
      </c>
    </row>
    <row r="5364" spans="1:10">
      <c r="A5364" s="7">
        <v>4</v>
      </c>
      <c r="B5364" s="8" t="s">
        <v>573</v>
      </c>
      <c r="C5364" s="8" t="s">
        <v>344</v>
      </c>
      <c r="D5364" s="7">
        <v>1</v>
      </c>
      <c r="E5364" s="7">
        <v>91</v>
      </c>
      <c r="F5364" s="7">
        <v>1</v>
      </c>
      <c r="G5364" s="8" t="s">
        <v>217</v>
      </c>
      <c r="H5364" s="8" t="s">
        <v>3229</v>
      </c>
      <c r="I5364" s="7" t="str">
        <f>_xlfn.CONCAT(Paper_Reference[[#This Row],[Lvl]:[Paper Description]])</f>
        <v>4SYNBRUNSPPK6SYN2 LANE PACK1911100WM301-6200IQ MAPLE LANE (C) 60 X 144</v>
      </c>
      <c r="J5364" s="7">
        <f>COUNTIF(Paper_Reference[Duplicate Key],Paper_Reference[[#This Row],[Duplicate Key]])</f>
        <v>1</v>
      </c>
    </row>
    <row r="5365" spans="1:10">
      <c r="A5365" s="7">
        <v>4</v>
      </c>
      <c r="B5365" s="8" t="s">
        <v>573</v>
      </c>
      <c r="C5365" s="8" t="s">
        <v>344</v>
      </c>
      <c r="D5365" s="7">
        <v>1</v>
      </c>
      <c r="E5365" s="7">
        <v>91</v>
      </c>
      <c r="F5365" s="7">
        <v>1</v>
      </c>
      <c r="G5365" s="8" t="s">
        <v>217</v>
      </c>
      <c r="H5365" s="8" t="s">
        <v>425</v>
      </c>
      <c r="I5365" s="7" t="str">
        <f>_xlfn.CONCAT(Paper_Reference[[#This Row],[Lvl]:[Paper Description]])</f>
        <v>4SYNBRUNSPPK6SYN2 LANE PACK1911100WM301-6200IQ MAPLE LANE (CENTER)</v>
      </c>
      <c r="J5365" s="7">
        <f>COUNTIF(Paper_Reference[Duplicate Key],Paper_Reference[[#This Row],[Duplicate Key]])</f>
        <v>1</v>
      </c>
    </row>
    <row r="5366" spans="1:10">
      <c r="A5366" s="7">
        <v>4</v>
      </c>
      <c r="B5366" s="8" t="s">
        <v>573</v>
      </c>
      <c r="C5366" s="8" t="s">
        <v>344</v>
      </c>
      <c r="D5366" s="7">
        <v>1</v>
      </c>
      <c r="E5366" s="7">
        <v>91</v>
      </c>
      <c r="F5366" s="7">
        <v>1</v>
      </c>
      <c r="G5366" s="8" t="s">
        <v>218</v>
      </c>
      <c r="H5366" s="8" t="s">
        <v>426</v>
      </c>
      <c r="I5366" s="7" t="str">
        <f>_xlfn.CONCAT(Paper_Reference[[#This Row],[Lvl]:[Paper Description]])</f>
        <v>4SYNBRUNSPPK6SYN2 LANE PACK1911100WM311-4300IQ MAPLE LANE LH</v>
      </c>
      <c r="J5366" s="7">
        <f>COUNTIF(Paper_Reference[Duplicate Key],Paper_Reference[[#This Row],[Duplicate Key]])</f>
        <v>1</v>
      </c>
    </row>
    <row r="5367" spans="1:10">
      <c r="A5367" s="7">
        <v>4</v>
      </c>
      <c r="B5367" s="8" t="s">
        <v>573</v>
      </c>
      <c r="C5367" s="8" t="s">
        <v>344</v>
      </c>
      <c r="D5367" s="7">
        <v>1</v>
      </c>
      <c r="E5367" s="7">
        <v>91</v>
      </c>
      <c r="F5367" s="7">
        <v>1</v>
      </c>
      <c r="G5367" s="8" t="s">
        <v>219</v>
      </c>
      <c r="H5367" s="8" t="s">
        <v>427</v>
      </c>
      <c r="I5367" s="7" t="str">
        <f>_xlfn.CONCAT(Paper_Reference[[#This Row],[Lvl]:[Paper Description]])</f>
        <v>4SYNBRUNSPPK6SYN2 LANE PACK1911100WM321-4300IQ MAPLE LANE RH</v>
      </c>
      <c r="J5367" s="7">
        <f>COUNTIF(Paper_Reference[Duplicate Key],Paper_Reference[[#This Row],[Duplicate Key]])</f>
        <v>1</v>
      </c>
    </row>
    <row r="5368" spans="1:10">
      <c r="A5368" s="7">
        <v>3</v>
      </c>
      <c r="B5368" s="8" t="s">
        <v>610</v>
      </c>
      <c r="C5368" s="8" t="s">
        <v>377</v>
      </c>
      <c r="D5368" s="7">
        <v>1</v>
      </c>
      <c r="E5368" s="7">
        <v>91</v>
      </c>
      <c r="F5368" s="7">
        <v>3</v>
      </c>
      <c r="G5368" s="8" t="s">
        <v>218</v>
      </c>
      <c r="H5368" s="8" t="s">
        <v>426</v>
      </c>
      <c r="I5368" s="7" t="str">
        <f>_xlfn.CONCAT(Paper_Reference[[#This Row],[Lvl]:[Paper Description]])</f>
        <v>3SYNBRUNSPPK8SYN2 LANE ONLY PACK1913100WM311-4300IQ MAPLE LANE LH</v>
      </c>
      <c r="J5368" s="7">
        <f>COUNTIF(Paper_Reference[Duplicate Key],Paper_Reference[[#This Row],[Duplicate Key]])</f>
        <v>1</v>
      </c>
    </row>
    <row r="5369" spans="1:10">
      <c r="A5369" s="7">
        <v>3</v>
      </c>
      <c r="B5369" s="8" t="s">
        <v>610</v>
      </c>
      <c r="C5369" s="8" t="s">
        <v>377</v>
      </c>
      <c r="D5369" s="7">
        <v>1</v>
      </c>
      <c r="E5369" s="7">
        <v>91</v>
      </c>
      <c r="F5369" s="7">
        <v>3</v>
      </c>
      <c r="G5369" s="8" t="s">
        <v>219</v>
      </c>
      <c r="H5369" s="8" t="s">
        <v>427</v>
      </c>
      <c r="I5369" s="7" t="str">
        <f>_xlfn.CONCAT(Paper_Reference[[#This Row],[Lvl]:[Paper Description]])</f>
        <v>3SYNBRUNSPPK8SYN2 LANE ONLY PACK1913100WM321-4300IQ MAPLE LANE RH</v>
      </c>
      <c r="J5369" s="7">
        <f>COUNTIF(Paper_Reference[Duplicate Key],Paper_Reference[[#This Row],[Duplicate Key]])</f>
        <v>1</v>
      </c>
    </row>
    <row r="5370" spans="1:10">
      <c r="A5370" s="7">
        <v>4</v>
      </c>
      <c r="B5370" s="8" t="s">
        <v>610</v>
      </c>
      <c r="C5370" s="8" t="s">
        <v>377</v>
      </c>
      <c r="D5370" s="7">
        <v>1</v>
      </c>
      <c r="E5370" s="7">
        <v>91</v>
      </c>
      <c r="F5370" s="7">
        <v>1</v>
      </c>
      <c r="G5370" s="8" t="s">
        <v>218</v>
      </c>
      <c r="H5370" s="8" t="s">
        <v>426</v>
      </c>
      <c r="I5370" s="7" t="str">
        <f>_xlfn.CONCAT(Paper_Reference[[#This Row],[Lvl]:[Paper Description]])</f>
        <v>4SYNBRUNSPPK8SYN2 LANE ONLY PACK1911100WM311-4300IQ MAPLE LANE LH</v>
      </c>
      <c r="J5370" s="7">
        <f>COUNTIF(Paper_Reference[Duplicate Key],Paper_Reference[[#This Row],[Duplicate Key]])</f>
        <v>1</v>
      </c>
    </row>
    <row r="5371" spans="1:10">
      <c r="A5371" s="7">
        <v>4</v>
      </c>
      <c r="B5371" s="8" t="s">
        <v>610</v>
      </c>
      <c r="C5371" s="8" t="s">
        <v>377</v>
      </c>
      <c r="D5371" s="7">
        <v>1</v>
      </c>
      <c r="E5371" s="7">
        <v>91</v>
      </c>
      <c r="F5371" s="7">
        <v>1</v>
      </c>
      <c r="G5371" s="8" t="s">
        <v>219</v>
      </c>
      <c r="H5371" s="8" t="s">
        <v>427</v>
      </c>
      <c r="I5371" s="7" t="str">
        <f>_xlfn.CONCAT(Paper_Reference[[#This Row],[Lvl]:[Paper Description]])</f>
        <v>4SYNBRUNSPPK8SYN2 LANE ONLY PACK1911100WM321-4300IQ MAPLE LANE RH</v>
      </c>
      <c r="J5371" s="7">
        <f>COUNTIF(Paper_Reference[Duplicate Key],Paper_Reference[[#This Row],[Duplicate Key]])</f>
        <v>1</v>
      </c>
    </row>
    <row r="5372" spans="1:10">
      <c r="A5372" s="7">
        <v>4</v>
      </c>
      <c r="B5372" s="8" t="s">
        <v>611</v>
      </c>
      <c r="C5372" s="8" t="s">
        <v>378</v>
      </c>
      <c r="D5372" s="7">
        <v>1</v>
      </c>
      <c r="E5372" s="7">
        <v>91</v>
      </c>
      <c r="F5372" s="7">
        <v>2</v>
      </c>
      <c r="G5372" s="8" t="s">
        <v>218</v>
      </c>
      <c r="H5372" s="8" t="s">
        <v>426</v>
      </c>
      <c r="I5372" s="7" t="str">
        <f>_xlfn.CONCAT(Paper_Reference[[#This Row],[Lvl]:[Paper Description]])</f>
        <v>4SYNGLOR1PPK10SYN2 UV ROUND 1 COM PACK1912100WM311-4300IQ MAPLE LANE LH</v>
      </c>
      <c r="J5372" s="7">
        <f>COUNTIF(Paper_Reference[Duplicate Key],Paper_Reference[[#This Row],[Duplicate Key]])</f>
        <v>1</v>
      </c>
    </row>
    <row r="5373" spans="1:10">
      <c r="A5373" s="7">
        <v>4</v>
      </c>
      <c r="B5373" s="8" t="s">
        <v>611</v>
      </c>
      <c r="C5373" s="8" t="s">
        <v>378</v>
      </c>
      <c r="D5373" s="7">
        <v>1</v>
      </c>
      <c r="E5373" s="7">
        <v>91</v>
      </c>
      <c r="F5373" s="7">
        <v>2</v>
      </c>
      <c r="G5373" s="8" t="s">
        <v>219</v>
      </c>
      <c r="H5373" s="8" t="s">
        <v>427</v>
      </c>
      <c r="I5373" s="7" t="str">
        <f>_xlfn.CONCAT(Paper_Reference[[#This Row],[Lvl]:[Paper Description]])</f>
        <v>4SYNGLOR1PPK10SYN2 UV ROUND 1 COM PACK1912100WM321-4300IQ MAPLE LANE RH</v>
      </c>
      <c r="J5373" s="7">
        <f>COUNTIF(Paper_Reference[Duplicate Key],Paper_Reference[[#This Row],[Duplicate Key]])</f>
        <v>1</v>
      </c>
    </row>
    <row r="5374" spans="1:10">
      <c r="A5374" s="7">
        <v>3</v>
      </c>
      <c r="B5374" s="8" t="s">
        <v>574</v>
      </c>
      <c r="C5374" s="8" t="s">
        <v>345</v>
      </c>
      <c r="D5374" s="7">
        <v>1</v>
      </c>
      <c r="E5374" s="7">
        <v>91</v>
      </c>
      <c r="F5374" s="7">
        <v>1</v>
      </c>
      <c r="G5374" s="8" t="s">
        <v>218</v>
      </c>
      <c r="H5374" s="8" t="s">
        <v>426</v>
      </c>
      <c r="I5374" s="7" t="str">
        <f>_xlfn.CONCAT(Paper_Reference[[#This Row],[Lvl]:[Paper Description]])</f>
        <v>3SYNGLOR1PPK11SYN2 UV ROUND 1 2-LANE PACK1911100WM311-4300IQ MAPLE LANE LH</v>
      </c>
      <c r="J5374" s="7">
        <f>COUNTIF(Paper_Reference[Duplicate Key],Paper_Reference[[#This Row],[Duplicate Key]])</f>
        <v>1</v>
      </c>
    </row>
    <row r="5375" spans="1:10">
      <c r="A5375" s="7">
        <v>3</v>
      </c>
      <c r="B5375" s="8" t="s">
        <v>574</v>
      </c>
      <c r="C5375" s="8" t="s">
        <v>345</v>
      </c>
      <c r="D5375" s="7">
        <v>1</v>
      </c>
      <c r="E5375" s="7">
        <v>91</v>
      </c>
      <c r="F5375" s="7">
        <v>1</v>
      </c>
      <c r="G5375" s="8" t="s">
        <v>219</v>
      </c>
      <c r="H5375" s="8" t="s">
        <v>427</v>
      </c>
      <c r="I5375" s="7" t="str">
        <f>_xlfn.CONCAT(Paper_Reference[[#This Row],[Lvl]:[Paper Description]])</f>
        <v>3SYNGLOR1PPK11SYN2 UV ROUND 1 2-LANE PACK1911100WM321-4300IQ MAPLE LANE RH</v>
      </c>
      <c r="J5375" s="7">
        <f>COUNTIF(Paper_Reference[Duplicate Key],Paper_Reference[[#This Row],[Duplicate Key]])</f>
        <v>1</v>
      </c>
    </row>
    <row r="5376" spans="1:10">
      <c r="A5376" s="7">
        <v>3</v>
      </c>
      <c r="B5376" s="8" t="s">
        <v>574</v>
      </c>
      <c r="C5376" s="8" t="s">
        <v>345</v>
      </c>
      <c r="D5376" s="7">
        <v>1</v>
      </c>
      <c r="E5376" s="7">
        <v>91</v>
      </c>
      <c r="F5376" s="7">
        <v>3</v>
      </c>
      <c r="G5376" s="8" t="s">
        <v>218</v>
      </c>
      <c r="H5376" s="8" t="s">
        <v>426</v>
      </c>
      <c r="I5376" s="7" t="str">
        <f>_xlfn.CONCAT(Paper_Reference[[#This Row],[Lvl]:[Paper Description]])</f>
        <v>3SYNGLOR1PPK11SYN2 UV ROUND 1 2-LANE PACK1913100WM311-4300IQ MAPLE LANE LH</v>
      </c>
      <c r="J5376" s="7">
        <f>COUNTIF(Paper_Reference[Duplicate Key],Paper_Reference[[#This Row],[Duplicate Key]])</f>
        <v>1</v>
      </c>
    </row>
    <row r="5377" spans="1:10">
      <c r="A5377" s="7">
        <v>3</v>
      </c>
      <c r="B5377" s="8" t="s">
        <v>574</v>
      </c>
      <c r="C5377" s="8" t="s">
        <v>345</v>
      </c>
      <c r="D5377" s="7">
        <v>1</v>
      </c>
      <c r="E5377" s="7">
        <v>91</v>
      </c>
      <c r="F5377" s="7">
        <v>3</v>
      </c>
      <c r="G5377" s="8" t="s">
        <v>219</v>
      </c>
      <c r="H5377" s="8" t="s">
        <v>427</v>
      </c>
      <c r="I5377" s="7" t="str">
        <f>_xlfn.CONCAT(Paper_Reference[[#This Row],[Lvl]:[Paper Description]])</f>
        <v>3SYNGLOR1PPK11SYN2 UV ROUND 1 2-LANE PACK1913100WM321-4300IQ MAPLE LANE RH</v>
      </c>
      <c r="J5377" s="7">
        <f>COUNTIF(Paper_Reference[Duplicate Key],Paper_Reference[[#This Row],[Duplicate Key]])</f>
        <v>1</v>
      </c>
    </row>
    <row r="5378" spans="1:10">
      <c r="A5378" s="7">
        <v>4</v>
      </c>
      <c r="B5378" s="8" t="s">
        <v>574</v>
      </c>
      <c r="C5378" s="8" t="s">
        <v>345</v>
      </c>
      <c r="D5378" s="7">
        <v>1</v>
      </c>
      <c r="E5378" s="7">
        <v>91</v>
      </c>
      <c r="F5378" s="7">
        <v>1</v>
      </c>
      <c r="G5378" s="8" t="s">
        <v>217</v>
      </c>
      <c r="H5378" s="8" t="s">
        <v>3229</v>
      </c>
      <c r="I5378" s="7" t="str">
        <f>_xlfn.CONCAT(Paper_Reference[[#This Row],[Lvl]:[Paper Description]])</f>
        <v>4SYNGLOR1PPK11SYN2 UV ROUND 1 2-LANE PACK1911100WM301-6200IQ MAPLE LANE (C) 60 X 144</v>
      </c>
      <c r="J5378" s="7">
        <f>COUNTIF(Paper_Reference[Duplicate Key],Paper_Reference[[#This Row],[Duplicate Key]])</f>
        <v>1</v>
      </c>
    </row>
    <row r="5379" spans="1:10">
      <c r="A5379" s="7">
        <v>4</v>
      </c>
      <c r="B5379" s="8" t="s">
        <v>574</v>
      </c>
      <c r="C5379" s="8" t="s">
        <v>345</v>
      </c>
      <c r="D5379" s="7">
        <v>1</v>
      </c>
      <c r="E5379" s="7">
        <v>91</v>
      </c>
      <c r="F5379" s="7">
        <v>1</v>
      </c>
      <c r="G5379" s="8" t="s">
        <v>217</v>
      </c>
      <c r="H5379" s="8" t="s">
        <v>425</v>
      </c>
      <c r="I5379" s="7" t="str">
        <f>_xlfn.CONCAT(Paper_Reference[[#This Row],[Lvl]:[Paper Description]])</f>
        <v>4SYNGLOR1PPK11SYN2 UV ROUND 1 2-LANE PACK1911100WM301-6200IQ MAPLE LANE (CENTER)</v>
      </c>
      <c r="J5379" s="7">
        <f>COUNTIF(Paper_Reference[Duplicate Key],Paper_Reference[[#This Row],[Duplicate Key]])</f>
        <v>1</v>
      </c>
    </row>
    <row r="5380" spans="1:10">
      <c r="A5380" s="7">
        <v>4</v>
      </c>
      <c r="B5380" s="8" t="s">
        <v>574</v>
      </c>
      <c r="C5380" s="8" t="s">
        <v>345</v>
      </c>
      <c r="D5380" s="7">
        <v>1</v>
      </c>
      <c r="E5380" s="7">
        <v>91</v>
      </c>
      <c r="F5380" s="7">
        <v>1</v>
      </c>
      <c r="G5380" s="8" t="s">
        <v>218</v>
      </c>
      <c r="H5380" s="8" t="s">
        <v>426</v>
      </c>
      <c r="I5380" s="7" t="str">
        <f>_xlfn.CONCAT(Paper_Reference[[#This Row],[Lvl]:[Paper Description]])</f>
        <v>4SYNGLOR1PPK11SYN2 UV ROUND 1 2-LANE PACK1911100WM311-4300IQ MAPLE LANE LH</v>
      </c>
      <c r="J5380" s="7">
        <f>COUNTIF(Paper_Reference[Duplicate Key],Paper_Reference[[#This Row],[Duplicate Key]])</f>
        <v>1</v>
      </c>
    </row>
    <row r="5381" spans="1:10">
      <c r="A5381" s="7">
        <v>4</v>
      </c>
      <c r="B5381" s="8" t="s">
        <v>574</v>
      </c>
      <c r="C5381" s="8" t="s">
        <v>345</v>
      </c>
      <c r="D5381" s="7">
        <v>1</v>
      </c>
      <c r="E5381" s="7">
        <v>91</v>
      </c>
      <c r="F5381" s="7">
        <v>1</v>
      </c>
      <c r="G5381" s="8" t="s">
        <v>219</v>
      </c>
      <c r="H5381" s="8" t="s">
        <v>427</v>
      </c>
      <c r="I5381" s="7" t="str">
        <f>_xlfn.CONCAT(Paper_Reference[[#This Row],[Lvl]:[Paper Description]])</f>
        <v>4SYNGLOR1PPK11SYN2 UV ROUND 1 2-LANE PACK1911100WM321-4300IQ MAPLE LANE RH</v>
      </c>
      <c r="J5381" s="7">
        <f>COUNTIF(Paper_Reference[Duplicate Key],Paper_Reference[[#This Row],[Duplicate Key]])</f>
        <v>1</v>
      </c>
    </row>
    <row r="5382" spans="1:10">
      <c r="A5382" s="7">
        <v>4</v>
      </c>
      <c r="B5382" s="8" t="s">
        <v>575</v>
      </c>
      <c r="C5382" s="8" t="s">
        <v>346</v>
      </c>
      <c r="D5382" s="7">
        <v>1</v>
      </c>
      <c r="E5382" s="7">
        <v>91</v>
      </c>
      <c r="F5382" s="7">
        <v>1</v>
      </c>
      <c r="G5382" s="8" t="s">
        <v>219</v>
      </c>
      <c r="H5382" s="8" t="s">
        <v>427</v>
      </c>
      <c r="I5382" s="7" t="str">
        <f>_xlfn.CONCAT(Paper_Reference[[#This Row],[Lvl]:[Paper Description]])</f>
        <v>4SYNGLOR1PPK9SYN2 UV ROUND 1 PACK1911100WM321-4300IQ MAPLE LANE RH</v>
      </c>
      <c r="J5382" s="7">
        <f>COUNTIF(Paper_Reference[Duplicate Key],Paper_Reference[[#This Row],[Duplicate Key]])</f>
        <v>1</v>
      </c>
    </row>
    <row r="5383" spans="1:10">
      <c r="A5383" s="7">
        <v>4</v>
      </c>
      <c r="B5383" s="8" t="s">
        <v>575</v>
      </c>
      <c r="C5383" s="8" t="s">
        <v>346</v>
      </c>
      <c r="D5383" s="7">
        <v>1</v>
      </c>
      <c r="E5383" s="7">
        <v>91</v>
      </c>
      <c r="F5383" s="7">
        <v>6</v>
      </c>
      <c r="G5383" s="8" t="s">
        <v>217</v>
      </c>
      <c r="H5383" s="8" t="s">
        <v>3229</v>
      </c>
      <c r="I5383" s="7" t="str">
        <f>_xlfn.CONCAT(Paper_Reference[[#This Row],[Lvl]:[Paper Description]])</f>
        <v>4SYNGLOR1PPK9SYN2 UV ROUND 1 PACK1916100WM301-6200IQ MAPLE LANE (C) 60 X 144</v>
      </c>
      <c r="J5383" s="7">
        <f>COUNTIF(Paper_Reference[Duplicate Key],Paper_Reference[[#This Row],[Duplicate Key]])</f>
        <v>1</v>
      </c>
    </row>
    <row r="5384" spans="1:10">
      <c r="A5384" s="7">
        <v>4</v>
      </c>
      <c r="B5384" s="8" t="s">
        <v>575</v>
      </c>
      <c r="C5384" s="8" t="s">
        <v>346</v>
      </c>
      <c r="D5384" s="7">
        <v>1</v>
      </c>
      <c r="E5384" s="7">
        <v>91</v>
      </c>
      <c r="F5384" s="7">
        <v>6</v>
      </c>
      <c r="G5384" s="8" t="s">
        <v>217</v>
      </c>
      <c r="H5384" s="8" t="s">
        <v>425</v>
      </c>
      <c r="I5384" s="7" t="str">
        <f>_xlfn.CONCAT(Paper_Reference[[#This Row],[Lvl]:[Paper Description]])</f>
        <v>4SYNGLOR1PPK9SYN2 UV ROUND 1 PACK1916100WM301-6200IQ MAPLE LANE (CENTER)</v>
      </c>
      <c r="J5384" s="7">
        <f>COUNTIF(Paper_Reference[Duplicate Key],Paper_Reference[[#This Row],[Duplicate Key]])</f>
        <v>1</v>
      </c>
    </row>
    <row r="5385" spans="1:10">
      <c r="A5385" s="7">
        <v>3</v>
      </c>
      <c r="B5385" s="8" t="s">
        <v>576</v>
      </c>
      <c r="C5385" s="8" t="s">
        <v>347</v>
      </c>
      <c r="D5385" s="7">
        <v>1</v>
      </c>
      <c r="E5385" s="7">
        <v>91</v>
      </c>
      <c r="F5385" s="7">
        <v>1</v>
      </c>
      <c r="G5385" s="8" t="s">
        <v>218</v>
      </c>
      <c r="H5385" s="8" t="s">
        <v>426</v>
      </c>
      <c r="I5385" s="7" t="str">
        <f>_xlfn.CONCAT(Paper_Reference[[#This Row],[Lvl]:[Paper Description]])</f>
        <v>3SYNGLOWSAPK1SYN UV TEX/PLATE LANE PACK1911100WM311-4300IQ MAPLE LANE LH</v>
      </c>
      <c r="J5385" s="7">
        <f>COUNTIF(Paper_Reference[Duplicate Key],Paper_Reference[[#This Row],[Duplicate Key]])</f>
        <v>1</v>
      </c>
    </row>
    <row r="5386" spans="1:10">
      <c r="A5386" s="7">
        <v>3</v>
      </c>
      <c r="B5386" s="8" t="s">
        <v>576</v>
      </c>
      <c r="C5386" s="8" t="s">
        <v>347</v>
      </c>
      <c r="D5386" s="7">
        <v>1</v>
      </c>
      <c r="E5386" s="7">
        <v>91</v>
      </c>
      <c r="F5386" s="7">
        <v>1</v>
      </c>
      <c r="G5386" s="8" t="s">
        <v>219</v>
      </c>
      <c r="H5386" s="8" t="s">
        <v>427</v>
      </c>
      <c r="I5386" s="7" t="str">
        <f>_xlfn.CONCAT(Paper_Reference[[#This Row],[Lvl]:[Paper Description]])</f>
        <v>3SYNGLOWSAPK1SYN UV TEX/PLATE LANE PACK1911100WM321-4300IQ MAPLE LANE RH</v>
      </c>
      <c r="J5386" s="7">
        <f>COUNTIF(Paper_Reference[Duplicate Key],Paper_Reference[[#This Row],[Duplicate Key]])</f>
        <v>1</v>
      </c>
    </row>
    <row r="5387" spans="1:10">
      <c r="A5387" s="7">
        <v>3</v>
      </c>
      <c r="B5387" s="8" t="s">
        <v>576</v>
      </c>
      <c r="C5387" s="8" t="s">
        <v>347</v>
      </c>
      <c r="D5387" s="7">
        <v>1</v>
      </c>
      <c r="E5387" s="7">
        <v>91</v>
      </c>
      <c r="F5387" s="7">
        <v>3</v>
      </c>
      <c r="G5387" s="8" t="s">
        <v>218</v>
      </c>
      <c r="H5387" s="8" t="s">
        <v>426</v>
      </c>
      <c r="I5387" s="7" t="str">
        <f>_xlfn.CONCAT(Paper_Reference[[#This Row],[Lvl]:[Paper Description]])</f>
        <v>3SYNGLOWSAPK1SYN UV TEX/PLATE LANE PACK1913100WM311-4300IQ MAPLE LANE LH</v>
      </c>
      <c r="J5387" s="7">
        <f>COUNTIF(Paper_Reference[Duplicate Key],Paper_Reference[[#This Row],[Duplicate Key]])</f>
        <v>1</v>
      </c>
    </row>
    <row r="5388" spans="1:10">
      <c r="A5388" s="7">
        <v>3</v>
      </c>
      <c r="B5388" s="8" t="s">
        <v>576</v>
      </c>
      <c r="C5388" s="8" t="s">
        <v>347</v>
      </c>
      <c r="D5388" s="7">
        <v>1</v>
      </c>
      <c r="E5388" s="7">
        <v>91</v>
      </c>
      <c r="F5388" s="7">
        <v>3</v>
      </c>
      <c r="G5388" s="8" t="s">
        <v>219</v>
      </c>
      <c r="H5388" s="8" t="s">
        <v>427</v>
      </c>
      <c r="I5388" s="7" t="str">
        <f>_xlfn.CONCAT(Paper_Reference[[#This Row],[Lvl]:[Paper Description]])</f>
        <v>3SYNGLOWSAPK1SYN UV TEX/PLATE LANE PACK1913100WM321-4300IQ MAPLE LANE RH</v>
      </c>
      <c r="J5388" s="7">
        <f>COUNTIF(Paper_Reference[Duplicate Key],Paper_Reference[[#This Row],[Duplicate Key]])</f>
        <v>1</v>
      </c>
    </row>
    <row r="5389" spans="1:10">
      <c r="A5389" s="7">
        <v>4</v>
      </c>
      <c r="B5389" s="8" t="s">
        <v>576</v>
      </c>
      <c r="C5389" s="8" t="s">
        <v>347</v>
      </c>
      <c r="D5389" s="7">
        <v>1</v>
      </c>
      <c r="E5389" s="7">
        <v>91</v>
      </c>
      <c r="F5389" s="7">
        <v>1</v>
      </c>
      <c r="G5389" s="8" t="s">
        <v>217</v>
      </c>
      <c r="H5389" s="8" t="s">
        <v>3229</v>
      </c>
      <c r="I5389" s="7" t="str">
        <f>_xlfn.CONCAT(Paper_Reference[[#This Row],[Lvl]:[Paper Description]])</f>
        <v>4SYNGLOWSAPK1SYN UV TEX/PLATE LANE PACK1911100WM301-6200IQ MAPLE LANE (C) 60 X 144</v>
      </c>
      <c r="J5389" s="7">
        <f>COUNTIF(Paper_Reference[Duplicate Key],Paper_Reference[[#This Row],[Duplicate Key]])</f>
        <v>1</v>
      </c>
    </row>
    <row r="5390" spans="1:10">
      <c r="A5390" s="7">
        <v>4</v>
      </c>
      <c r="B5390" s="8" t="s">
        <v>576</v>
      </c>
      <c r="C5390" s="8" t="s">
        <v>347</v>
      </c>
      <c r="D5390" s="7">
        <v>1</v>
      </c>
      <c r="E5390" s="7">
        <v>91</v>
      </c>
      <c r="F5390" s="7">
        <v>1</v>
      </c>
      <c r="G5390" s="8" t="s">
        <v>217</v>
      </c>
      <c r="H5390" s="8" t="s">
        <v>425</v>
      </c>
      <c r="I5390" s="7" t="str">
        <f>_xlfn.CONCAT(Paper_Reference[[#This Row],[Lvl]:[Paper Description]])</f>
        <v>4SYNGLOWSAPK1SYN UV TEX/PLATE LANE PACK1911100WM301-6200IQ MAPLE LANE (CENTER)</v>
      </c>
      <c r="J5390" s="7">
        <f>COUNTIF(Paper_Reference[Duplicate Key],Paper_Reference[[#This Row],[Duplicate Key]])</f>
        <v>1</v>
      </c>
    </row>
    <row r="5391" spans="1:10">
      <c r="A5391" s="7">
        <v>4</v>
      </c>
      <c r="B5391" s="8" t="s">
        <v>576</v>
      </c>
      <c r="C5391" s="8" t="s">
        <v>347</v>
      </c>
      <c r="D5391" s="7">
        <v>1</v>
      </c>
      <c r="E5391" s="7">
        <v>91</v>
      </c>
      <c r="F5391" s="7">
        <v>1</v>
      </c>
      <c r="G5391" s="8" t="s">
        <v>218</v>
      </c>
      <c r="H5391" s="8" t="s">
        <v>426</v>
      </c>
      <c r="I5391" s="7" t="str">
        <f>_xlfn.CONCAT(Paper_Reference[[#This Row],[Lvl]:[Paper Description]])</f>
        <v>4SYNGLOWSAPK1SYN UV TEX/PLATE LANE PACK1911100WM311-4300IQ MAPLE LANE LH</v>
      </c>
      <c r="J5391" s="7">
        <f>COUNTIF(Paper_Reference[Duplicate Key],Paper_Reference[[#This Row],[Duplicate Key]])</f>
        <v>1</v>
      </c>
    </row>
    <row r="5392" spans="1:10">
      <c r="A5392" s="7">
        <v>4</v>
      </c>
      <c r="B5392" s="8" t="s">
        <v>576</v>
      </c>
      <c r="C5392" s="8" t="s">
        <v>347</v>
      </c>
      <c r="D5392" s="7">
        <v>1</v>
      </c>
      <c r="E5392" s="7">
        <v>91</v>
      </c>
      <c r="F5392" s="7">
        <v>1</v>
      </c>
      <c r="G5392" s="8" t="s">
        <v>219</v>
      </c>
      <c r="H5392" s="8" t="s">
        <v>427</v>
      </c>
      <c r="I5392" s="7" t="str">
        <f>_xlfn.CONCAT(Paper_Reference[[#This Row],[Lvl]:[Paper Description]])</f>
        <v>4SYNGLOWSAPK1SYN UV TEX/PLATE LANE PACK1911100WM321-4300IQ MAPLE LANE RH</v>
      </c>
      <c r="J5392" s="7">
        <f>COUNTIF(Paper_Reference[Duplicate Key],Paper_Reference[[#This Row],[Duplicate Key]])</f>
        <v>1</v>
      </c>
    </row>
    <row r="5393" spans="1:10">
      <c r="A5393" s="7">
        <v>3</v>
      </c>
      <c r="B5393" s="8" t="s">
        <v>577</v>
      </c>
      <c r="C5393" s="8" t="s">
        <v>348</v>
      </c>
      <c r="D5393" s="7">
        <v>1</v>
      </c>
      <c r="E5393" s="7">
        <v>91</v>
      </c>
      <c r="F5393" s="7">
        <v>1</v>
      </c>
      <c r="G5393" s="8" t="s">
        <v>218</v>
      </c>
      <c r="H5393" s="8" t="s">
        <v>426</v>
      </c>
      <c r="I5393" s="7" t="str">
        <f>_xlfn.CONCAT(Paper_Reference[[#This Row],[Lvl]:[Paper Description]])</f>
        <v>3SYNGLOWSAPK5SYN2 UV TEX/PLATE LANE PACK1911100WM311-4300IQ MAPLE LANE LH</v>
      </c>
      <c r="J5393" s="7">
        <f>COUNTIF(Paper_Reference[Duplicate Key],Paper_Reference[[#This Row],[Duplicate Key]])</f>
        <v>1</v>
      </c>
    </row>
    <row r="5394" spans="1:10">
      <c r="A5394" s="7">
        <v>3</v>
      </c>
      <c r="B5394" s="8" t="s">
        <v>577</v>
      </c>
      <c r="C5394" s="8" t="s">
        <v>348</v>
      </c>
      <c r="D5394" s="7">
        <v>1</v>
      </c>
      <c r="E5394" s="7">
        <v>91</v>
      </c>
      <c r="F5394" s="7">
        <v>1</v>
      </c>
      <c r="G5394" s="8" t="s">
        <v>219</v>
      </c>
      <c r="H5394" s="8" t="s">
        <v>427</v>
      </c>
      <c r="I5394" s="7" t="str">
        <f>_xlfn.CONCAT(Paper_Reference[[#This Row],[Lvl]:[Paper Description]])</f>
        <v>3SYNGLOWSAPK5SYN2 UV TEX/PLATE LANE PACK1911100WM321-4300IQ MAPLE LANE RH</v>
      </c>
      <c r="J5394" s="7">
        <f>COUNTIF(Paper_Reference[Duplicate Key],Paper_Reference[[#This Row],[Duplicate Key]])</f>
        <v>1</v>
      </c>
    </row>
    <row r="5395" spans="1:10">
      <c r="A5395" s="7">
        <v>3</v>
      </c>
      <c r="B5395" s="8" t="s">
        <v>577</v>
      </c>
      <c r="C5395" s="8" t="s">
        <v>348</v>
      </c>
      <c r="D5395" s="7">
        <v>1</v>
      </c>
      <c r="E5395" s="7">
        <v>91</v>
      </c>
      <c r="F5395" s="7">
        <v>3</v>
      </c>
      <c r="G5395" s="8" t="s">
        <v>218</v>
      </c>
      <c r="H5395" s="8" t="s">
        <v>426</v>
      </c>
      <c r="I5395" s="7" t="str">
        <f>_xlfn.CONCAT(Paper_Reference[[#This Row],[Lvl]:[Paper Description]])</f>
        <v>3SYNGLOWSAPK5SYN2 UV TEX/PLATE LANE PACK1913100WM311-4300IQ MAPLE LANE LH</v>
      </c>
      <c r="J5395" s="7">
        <f>COUNTIF(Paper_Reference[Duplicate Key],Paper_Reference[[#This Row],[Duplicate Key]])</f>
        <v>1</v>
      </c>
    </row>
    <row r="5396" spans="1:10">
      <c r="A5396" s="7">
        <v>3</v>
      </c>
      <c r="B5396" s="8" t="s">
        <v>577</v>
      </c>
      <c r="C5396" s="8" t="s">
        <v>348</v>
      </c>
      <c r="D5396" s="7">
        <v>1</v>
      </c>
      <c r="E5396" s="7">
        <v>91</v>
      </c>
      <c r="F5396" s="7">
        <v>3</v>
      </c>
      <c r="G5396" s="8" t="s">
        <v>219</v>
      </c>
      <c r="H5396" s="8" t="s">
        <v>427</v>
      </c>
      <c r="I5396" s="7" t="str">
        <f>_xlfn.CONCAT(Paper_Reference[[#This Row],[Lvl]:[Paper Description]])</f>
        <v>3SYNGLOWSAPK5SYN2 UV TEX/PLATE LANE PACK1913100WM321-4300IQ MAPLE LANE RH</v>
      </c>
      <c r="J5396" s="7">
        <f>COUNTIF(Paper_Reference[Duplicate Key],Paper_Reference[[#This Row],[Duplicate Key]])</f>
        <v>1</v>
      </c>
    </row>
    <row r="5397" spans="1:10">
      <c r="A5397" s="7">
        <v>4</v>
      </c>
      <c r="B5397" s="8" t="s">
        <v>577</v>
      </c>
      <c r="C5397" s="8" t="s">
        <v>348</v>
      </c>
      <c r="D5397" s="7">
        <v>1</v>
      </c>
      <c r="E5397" s="7">
        <v>91</v>
      </c>
      <c r="F5397" s="7">
        <v>1</v>
      </c>
      <c r="G5397" s="8" t="s">
        <v>217</v>
      </c>
      <c r="H5397" s="8" t="s">
        <v>3229</v>
      </c>
      <c r="I5397" s="7" t="str">
        <f>_xlfn.CONCAT(Paper_Reference[[#This Row],[Lvl]:[Paper Description]])</f>
        <v>4SYNGLOWSAPK5SYN2 UV TEX/PLATE LANE PACK1911100WM301-6200IQ MAPLE LANE (C) 60 X 144</v>
      </c>
      <c r="J5397" s="7">
        <f>COUNTIF(Paper_Reference[Duplicate Key],Paper_Reference[[#This Row],[Duplicate Key]])</f>
        <v>1</v>
      </c>
    </row>
    <row r="5398" spans="1:10">
      <c r="A5398" s="7">
        <v>4</v>
      </c>
      <c r="B5398" s="8" t="s">
        <v>577</v>
      </c>
      <c r="C5398" s="8" t="s">
        <v>348</v>
      </c>
      <c r="D5398" s="7">
        <v>1</v>
      </c>
      <c r="E5398" s="7">
        <v>91</v>
      </c>
      <c r="F5398" s="7">
        <v>1</v>
      </c>
      <c r="G5398" s="8" t="s">
        <v>217</v>
      </c>
      <c r="H5398" s="8" t="s">
        <v>425</v>
      </c>
      <c r="I5398" s="7" t="str">
        <f>_xlfn.CONCAT(Paper_Reference[[#This Row],[Lvl]:[Paper Description]])</f>
        <v>4SYNGLOWSAPK5SYN2 UV TEX/PLATE LANE PACK1911100WM301-6200IQ MAPLE LANE (CENTER)</v>
      </c>
      <c r="J5398" s="7">
        <f>COUNTIF(Paper_Reference[Duplicate Key],Paper_Reference[[#This Row],[Duplicate Key]])</f>
        <v>1</v>
      </c>
    </row>
    <row r="5399" spans="1:10">
      <c r="A5399" s="7">
        <v>4</v>
      </c>
      <c r="B5399" s="8" t="s">
        <v>577</v>
      </c>
      <c r="C5399" s="8" t="s">
        <v>348</v>
      </c>
      <c r="D5399" s="7">
        <v>1</v>
      </c>
      <c r="E5399" s="7">
        <v>91</v>
      </c>
      <c r="F5399" s="7">
        <v>1</v>
      </c>
      <c r="G5399" s="8" t="s">
        <v>218</v>
      </c>
      <c r="H5399" s="8" t="s">
        <v>426</v>
      </c>
      <c r="I5399" s="7" t="str">
        <f>_xlfn.CONCAT(Paper_Reference[[#This Row],[Lvl]:[Paper Description]])</f>
        <v>4SYNGLOWSAPK5SYN2 UV TEX/PLATE LANE PACK1911100WM311-4300IQ MAPLE LANE LH</v>
      </c>
      <c r="J5399" s="7">
        <f>COUNTIF(Paper_Reference[Duplicate Key],Paper_Reference[[#This Row],[Duplicate Key]])</f>
        <v>1</v>
      </c>
    </row>
    <row r="5400" spans="1:10">
      <c r="A5400" s="7">
        <v>4</v>
      </c>
      <c r="B5400" s="8" t="s">
        <v>577</v>
      </c>
      <c r="C5400" s="8" t="s">
        <v>348</v>
      </c>
      <c r="D5400" s="7">
        <v>1</v>
      </c>
      <c r="E5400" s="7">
        <v>91</v>
      </c>
      <c r="F5400" s="7">
        <v>1</v>
      </c>
      <c r="G5400" s="8" t="s">
        <v>219</v>
      </c>
      <c r="H5400" s="8" t="s">
        <v>427</v>
      </c>
      <c r="I5400" s="7" t="str">
        <f>_xlfn.CONCAT(Paper_Reference[[#This Row],[Lvl]:[Paper Description]])</f>
        <v>4SYNGLOWSAPK5SYN2 UV TEX/PLATE LANE PACK1911100WM321-4300IQ MAPLE LANE RH</v>
      </c>
      <c r="J5400" s="7">
        <f>COUNTIF(Paper_Reference[Duplicate Key],Paper_Reference[[#This Row],[Duplicate Key]])</f>
        <v>1</v>
      </c>
    </row>
    <row r="5401" spans="1:10">
      <c r="A5401" s="7">
        <v>3</v>
      </c>
      <c r="B5401" s="8" t="s">
        <v>578</v>
      </c>
      <c r="C5401" s="8" t="s">
        <v>349</v>
      </c>
      <c r="D5401" s="7">
        <v>1</v>
      </c>
      <c r="E5401" s="7">
        <v>91</v>
      </c>
      <c r="F5401" s="7">
        <v>1</v>
      </c>
      <c r="G5401" s="8" t="s">
        <v>218</v>
      </c>
      <c r="H5401" s="8" t="s">
        <v>426</v>
      </c>
      <c r="I5401" s="7" t="str">
        <f>_xlfn.CONCAT(Paper_Reference[[#This Row],[Lvl]:[Paper Description]])</f>
        <v>3SYNGLOWSPPK3SYN UV LANE PAIR1911100WM311-4300IQ MAPLE LANE LH</v>
      </c>
      <c r="J5401" s="7">
        <f>COUNTIF(Paper_Reference[Duplicate Key],Paper_Reference[[#This Row],[Duplicate Key]])</f>
        <v>1</v>
      </c>
    </row>
    <row r="5402" spans="1:10">
      <c r="A5402" s="7">
        <v>3</v>
      </c>
      <c r="B5402" s="8" t="s">
        <v>578</v>
      </c>
      <c r="C5402" s="8" t="s">
        <v>349</v>
      </c>
      <c r="D5402" s="7">
        <v>1</v>
      </c>
      <c r="E5402" s="7">
        <v>91</v>
      </c>
      <c r="F5402" s="7">
        <v>1</v>
      </c>
      <c r="G5402" s="8" t="s">
        <v>219</v>
      </c>
      <c r="H5402" s="8" t="s">
        <v>427</v>
      </c>
      <c r="I5402" s="7" t="str">
        <f>_xlfn.CONCAT(Paper_Reference[[#This Row],[Lvl]:[Paper Description]])</f>
        <v>3SYNGLOWSPPK3SYN UV LANE PAIR1911100WM321-4300IQ MAPLE LANE RH</v>
      </c>
      <c r="J5402" s="7">
        <f>COUNTIF(Paper_Reference[Duplicate Key],Paper_Reference[[#This Row],[Duplicate Key]])</f>
        <v>1</v>
      </c>
    </row>
    <row r="5403" spans="1:10">
      <c r="A5403" s="7">
        <v>3</v>
      </c>
      <c r="B5403" s="8" t="s">
        <v>578</v>
      </c>
      <c r="C5403" s="8" t="s">
        <v>349</v>
      </c>
      <c r="D5403" s="7">
        <v>1</v>
      </c>
      <c r="E5403" s="7">
        <v>91</v>
      </c>
      <c r="F5403" s="7">
        <v>3</v>
      </c>
      <c r="G5403" s="8" t="s">
        <v>218</v>
      </c>
      <c r="H5403" s="8" t="s">
        <v>426</v>
      </c>
      <c r="I5403" s="7" t="str">
        <f>_xlfn.CONCAT(Paper_Reference[[#This Row],[Lvl]:[Paper Description]])</f>
        <v>3SYNGLOWSPPK3SYN UV LANE PAIR1913100WM311-4300IQ MAPLE LANE LH</v>
      </c>
      <c r="J5403" s="7">
        <f>COUNTIF(Paper_Reference[Duplicate Key],Paper_Reference[[#This Row],[Duplicate Key]])</f>
        <v>1</v>
      </c>
    </row>
    <row r="5404" spans="1:10">
      <c r="A5404" s="7">
        <v>3</v>
      </c>
      <c r="B5404" s="8" t="s">
        <v>578</v>
      </c>
      <c r="C5404" s="8" t="s">
        <v>349</v>
      </c>
      <c r="D5404" s="7">
        <v>1</v>
      </c>
      <c r="E5404" s="7">
        <v>91</v>
      </c>
      <c r="F5404" s="7">
        <v>3</v>
      </c>
      <c r="G5404" s="8" t="s">
        <v>219</v>
      </c>
      <c r="H5404" s="8" t="s">
        <v>427</v>
      </c>
      <c r="I5404" s="7" t="str">
        <f>_xlfn.CONCAT(Paper_Reference[[#This Row],[Lvl]:[Paper Description]])</f>
        <v>3SYNGLOWSPPK3SYN UV LANE PAIR1913100WM321-4300IQ MAPLE LANE RH</v>
      </c>
      <c r="J5404" s="7">
        <f>COUNTIF(Paper_Reference[Duplicate Key],Paper_Reference[[#This Row],[Duplicate Key]])</f>
        <v>1</v>
      </c>
    </row>
    <row r="5405" spans="1:10">
      <c r="A5405" s="7">
        <v>4</v>
      </c>
      <c r="B5405" s="8" t="s">
        <v>578</v>
      </c>
      <c r="C5405" s="8" t="s">
        <v>349</v>
      </c>
      <c r="D5405" s="7">
        <v>1</v>
      </c>
      <c r="E5405" s="7">
        <v>91</v>
      </c>
      <c r="F5405" s="7">
        <v>1</v>
      </c>
      <c r="G5405" s="8" t="s">
        <v>217</v>
      </c>
      <c r="H5405" s="8" t="s">
        <v>3229</v>
      </c>
      <c r="I5405" s="7" t="str">
        <f>_xlfn.CONCAT(Paper_Reference[[#This Row],[Lvl]:[Paper Description]])</f>
        <v>4SYNGLOWSPPK3SYN UV LANE PAIR1911100WM301-6200IQ MAPLE LANE (C) 60 X 144</v>
      </c>
      <c r="J5405" s="7">
        <f>COUNTIF(Paper_Reference[Duplicate Key],Paper_Reference[[#This Row],[Duplicate Key]])</f>
        <v>1</v>
      </c>
    </row>
    <row r="5406" spans="1:10">
      <c r="A5406" s="7">
        <v>4</v>
      </c>
      <c r="B5406" s="8" t="s">
        <v>578</v>
      </c>
      <c r="C5406" s="8" t="s">
        <v>349</v>
      </c>
      <c r="D5406" s="7">
        <v>1</v>
      </c>
      <c r="E5406" s="7">
        <v>91</v>
      </c>
      <c r="F5406" s="7">
        <v>1</v>
      </c>
      <c r="G5406" s="8" t="s">
        <v>217</v>
      </c>
      <c r="H5406" s="8" t="s">
        <v>425</v>
      </c>
      <c r="I5406" s="7" t="str">
        <f>_xlfn.CONCAT(Paper_Reference[[#This Row],[Lvl]:[Paper Description]])</f>
        <v>4SYNGLOWSPPK3SYN UV LANE PAIR1911100WM301-6200IQ MAPLE LANE (CENTER)</v>
      </c>
      <c r="J5406" s="7">
        <f>COUNTIF(Paper_Reference[Duplicate Key],Paper_Reference[[#This Row],[Duplicate Key]])</f>
        <v>1</v>
      </c>
    </row>
    <row r="5407" spans="1:10">
      <c r="A5407" s="7">
        <v>4</v>
      </c>
      <c r="B5407" s="8" t="s">
        <v>578</v>
      </c>
      <c r="C5407" s="8" t="s">
        <v>349</v>
      </c>
      <c r="D5407" s="7">
        <v>1</v>
      </c>
      <c r="E5407" s="7">
        <v>91</v>
      </c>
      <c r="F5407" s="7">
        <v>1</v>
      </c>
      <c r="G5407" s="8" t="s">
        <v>218</v>
      </c>
      <c r="H5407" s="8" t="s">
        <v>426</v>
      </c>
      <c r="I5407" s="7" t="str">
        <f>_xlfn.CONCAT(Paper_Reference[[#This Row],[Lvl]:[Paper Description]])</f>
        <v>4SYNGLOWSPPK3SYN UV LANE PAIR1911100WM311-4300IQ MAPLE LANE LH</v>
      </c>
      <c r="J5407" s="7">
        <f>COUNTIF(Paper_Reference[Duplicate Key],Paper_Reference[[#This Row],[Duplicate Key]])</f>
        <v>1</v>
      </c>
    </row>
    <row r="5408" spans="1:10">
      <c r="A5408" s="7">
        <v>4</v>
      </c>
      <c r="B5408" s="8" t="s">
        <v>578</v>
      </c>
      <c r="C5408" s="8" t="s">
        <v>349</v>
      </c>
      <c r="D5408" s="7">
        <v>1</v>
      </c>
      <c r="E5408" s="7">
        <v>91</v>
      </c>
      <c r="F5408" s="7">
        <v>1</v>
      </c>
      <c r="G5408" s="8" t="s">
        <v>219</v>
      </c>
      <c r="H5408" s="8" t="s">
        <v>427</v>
      </c>
      <c r="I5408" s="7" t="str">
        <f>_xlfn.CONCAT(Paper_Reference[[#This Row],[Lvl]:[Paper Description]])</f>
        <v>4SYNGLOWSPPK3SYN UV LANE PAIR1911100WM321-4300IQ MAPLE LANE RH</v>
      </c>
      <c r="J5408" s="7">
        <f>COUNTIF(Paper_Reference[Duplicate Key],Paper_Reference[[#This Row],[Duplicate Key]])</f>
        <v>1</v>
      </c>
    </row>
    <row r="5409" spans="1:10">
      <c r="A5409" s="7">
        <v>3</v>
      </c>
      <c r="B5409" s="8" t="s">
        <v>612</v>
      </c>
      <c r="C5409" s="8" t="s">
        <v>379</v>
      </c>
      <c r="D5409" s="7">
        <v>1</v>
      </c>
      <c r="E5409" s="7">
        <v>91</v>
      </c>
      <c r="F5409" s="7">
        <v>3</v>
      </c>
      <c r="G5409" s="8" t="s">
        <v>218</v>
      </c>
      <c r="H5409" s="8" t="s">
        <v>426</v>
      </c>
      <c r="I5409" s="7" t="str">
        <f>_xlfn.CONCAT(Paper_Reference[[#This Row],[Lvl]:[Paper Description]])</f>
        <v>3SYNGLOWSPPK4SYN UV LANE ONLY PACK1913100WM311-4300IQ MAPLE LANE LH</v>
      </c>
      <c r="J5409" s="7">
        <f>COUNTIF(Paper_Reference[Duplicate Key],Paper_Reference[[#This Row],[Duplicate Key]])</f>
        <v>1</v>
      </c>
    </row>
    <row r="5410" spans="1:10">
      <c r="A5410" s="7">
        <v>3</v>
      </c>
      <c r="B5410" s="8" t="s">
        <v>612</v>
      </c>
      <c r="C5410" s="8" t="s">
        <v>379</v>
      </c>
      <c r="D5410" s="7">
        <v>1</v>
      </c>
      <c r="E5410" s="7">
        <v>91</v>
      </c>
      <c r="F5410" s="7">
        <v>3</v>
      </c>
      <c r="G5410" s="8" t="s">
        <v>219</v>
      </c>
      <c r="H5410" s="8" t="s">
        <v>427</v>
      </c>
      <c r="I5410" s="7" t="str">
        <f>_xlfn.CONCAT(Paper_Reference[[#This Row],[Lvl]:[Paper Description]])</f>
        <v>3SYNGLOWSPPK4SYN UV LANE ONLY PACK1913100WM321-4300IQ MAPLE LANE RH</v>
      </c>
      <c r="J5410" s="7">
        <f>COUNTIF(Paper_Reference[Duplicate Key],Paper_Reference[[#This Row],[Duplicate Key]])</f>
        <v>1</v>
      </c>
    </row>
    <row r="5411" spans="1:10">
      <c r="A5411" s="7">
        <v>4</v>
      </c>
      <c r="B5411" s="8" t="s">
        <v>612</v>
      </c>
      <c r="C5411" s="8" t="s">
        <v>379</v>
      </c>
      <c r="D5411" s="7">
        <v>1</v>
      </c>
      <c r="E5411" s="7">
        <v>91</v>
      </c>
      <c r="F5411" s="7">
        <v>1</v>
      </c>
      <c r="G5411" s="8" t="s">
        <v>218</v>
      </c>
      <c r="H5411" s="8" t="s">
        <v>426</v>
      </c>
      <c r="I5411" s="7" t="str">
        <f>_xlfn.CONCAT(Paper_Reference[[#This Row],[Lvl]:[Paper Description]])</f>
        <v>4SYNGLOWSPPK4SYN UV LANE ONLY PACK1911100WM311-4300IQ MAPLE LANE LH</v>
      </c>
      <c r="J5411" s="7">
        <f>COUNTIF(Paper_Reference[Duplicate Key],Paper_Reference[[#This Row],[Duplicate Key]])</f>
        <v>1</v>
      </c>
    </row>
    <row r="5412" spans="1:10">
      <c r="A5412" s="7">
        <v>4</v>
      </c>
      <c r="B5412" s="8" t="s">
        <v>612</v>
      </c>
      <c r="C5412" s="8" t="s">
        <v>379</v>
      </c>
      <c r="D5412" s="7">
        <v>1</v>
      </c>
      <c r="E5412" s="7">
        <v>91</v>
      </c>
      <c r="F5412" s="7">
        <v>1</v>
      </c>
      <c r="G5412" s="8" t="s">
        <v>219</v>
      </c>
      <c r="H5412" s="8" t="s">
        <v>427</v>
      </c>
      <c r="I5412" s="7" t="str">
        <f>_xlfn.CONCAT(Paper_Reference[[#This Row],[Lvl]:[Paper Description]])</f>
        <v>4SYNGLOWSPPK4SYN UV LANE ONLY PACK1911100WM321-4300IQ MAPLE LANE RH</v>
      </c>
      <c r="J5412" s="7">
        <f>COUNTIF(Paper_Reference[Duplicate Key],Paper_Reference[[#This Row],[Duplicate Key]])</f>
        <v>1</v>
      </c>
    </row>
    <row r="5413" spans="1:10">
      <c r="A5413" s="7">
        <v>3</v>
      </c>
      <c r="B5413" s="8" t="s">
        <v>579</v>
      </c>
      <c r="C5413" s="8" t="s">
        <v>350</v>
      </c>
      <c r="D5413" s="7">
        <v>1</v>
      </c>
      <c r="E5413" s="7">
        <v>91</v>
      </c>
      <c r="F5413" s="7">
        <v>1</v>
      </c>
      <c r="G5413" s="8" t="s">
        <v>218</v>
      </c>
      <c r="H5413" s="8" t="s">
        <v>426</v>
      </c>
      <c r="I5413" s="7" t="str">
        <f>_xlfn.CONCAT(Paper_Reference[[#This Row],[Lvl]:[Paper Description]])</f>
        <v>3SYNGLOWSPPK7SYN2 UV LANE PAIR1911100WM311-4300IQ MAPLE LANE LH</v>
      </c>
      <c r="J5413" s="7">
        <f>COUNTIF(Paper_Reference[Duplicate Key],Paper_Reference[[#This Row],[Duplicate Key]])</f>
        <v>1</v>
      </c>
    </row>
    <row r="5414" spans="1:10">
      <c r="A5414" s="7">
        <v>3</v>
      </c>
      <c r="B5414" s="8" t="s">
        <v>579</v>
      </c>
      <c r="C5414" s="8" t="s">
        <v>350</v>
      </c>
      <c r="D5414" s="7">
        <v>1</v>
      </c>
      <c r="E5414" s="7">
        <v>91</v>
      </c>
      <c r="F5414" s="7">
        <v>1</v>
      </c>
      <c r="G5414" s="8" t="s">
        <v>219</v>
      </c>
      <c r="H5414" s="8" t="s">
        <v>427</v>
      </c>
      <c r="I5414" s="7" t="str">
        <f>_xlfn.CONCAT(Paper_Reference[[#This Row],[Lvl]:[Paper Description]])</f>
        <v>3SYNGLOWSPPK7SYN2 UV LANE PAIR1911100WM321-4300IQ MAPLE LANE RH</v>
      </c>
      <c r="J5414" s="7">
        <f>COUNTIF(Paper_Reference[Duplicate Key],Paper_Reference[[#This Row],[Duplicate Key]])</f>
        <v>1</v>
      </c>
    </row>
    <row r="5415" spans="1:10">
      <c r="A5415" s="7">
        <v>3</v>
      </c>
      <c r="B5415" s="8" t="s">
        <v>579</v>
      </c>
      <c r="C5415" s="8" t="s">
        <v>350</v>
      </c>
      <c r="D5415" s="7">
        <v>1</v>
      </c>
      <c r="E5415" s="7">
        <v>91</v>
      </c>
      <c r="F5415" s="7">
        <v>3</v>
      </c>
      <c r="G5415" s="8" t="s">
        <v>218</v>
      </c>
      <c r="H5415" s="8" t="s">
        <v>426</v>
      </c>
      <c r="I5415" s="7" t="str">
        <f>_xlfn.CONCAT(Paper_Reference[[#This Row],[Lvl]:[Paper Description]])</f>
        <v>3SYNGLOWSPPK7SYN2 UV LANE PAIR1913100WM311-4300IQ MAPLE LANE LH</v>
      </c>
      <c r="J5415" s="7">
        <f>COUNTIF(Paper_Reference[Duplicate Key],Paper_Reference[[#This Row],[Duplicate Key]])</f>
        <v>1</v>
      </c>
    </row>
    <row r="5416" spans="1:10">
      <c r="A5416" s="7">
        <v>3</v>
      </c>
      <c r="B5416" s="8" t="s">
        <v>579</v>
      </c>
      <c r="C5416" s="8" t="s">
        <v>350</v>
      </c>
      <c r="D5416" s="7">
        <v>1</v>
      </c>
      <c r="E5416" s="7">
        <v>91</v>
      </c>
      <c r="F5416" s="7">
        <v>3</v>
      </c>
      <c r="G5416" s="8" t="s">
        <v>219</v>
      </c>
      <c r="H5416" s="8" t="s">
        <v>427</v>
      </c>
      <c r="I5416" s="7" t="str">
        <f>_xlfn.CONCAT(Paper_Reference[[#This Row],[Lvl]:[Paper Description]])</f>
        <v>3SYNGLOWSPPK7SYN2 UV LANE PAIR1913100WM321-4300IQ MAPLE LANE RH</v>
      </c>
      <c r="J5416" s="7">
        <f>COUNTIF(Paper_Reference[Duplicate Key],Paper_Reference[[#This Row],[Duplicate Key]])</f>
        <v>1</v>
      </c>
    </row>
    <row r="5417" spans="1:10">
      <c r="A5417" s="7">
        <v>4</v>
      </c>
      <c r="B5417" s="8" t="s">
        <v>579</v>
      </c>
      <c r="C5417" s="8" t="s">
        <v>350</v>
      </c>
      <c r="D5417" s="7">
        <v>1</v>
      </c>
      <c r="E5417" s="7">
        <v>91</v>
      </c>
      <c r="F5417" s="7">
        <v>1</v>
      </c>
      <c r="G5417" s="8" t="s">
        <v>217</v>
      </c>
      <c r="H5417" s="8" t="s">
        <v>3229</v>
      </c>
      <c r="I5417" s="7" t="str">
        <f>_xlfn.CONCAT(Paper_Reference[[#This Row],[Lvl]:[Paper Description]])</f>
        <v>4SYNGLOWSPPK7SYN2 UV LANE PAIR1911100WM301-6200IQ MAPLE LANE (C) 60 X 144</v>
      </c>
      <c r="J5417" s="7">
        <f>COUNTIF(Paper_Reference[Duplicate Key],Paper_Reference[[#This Row],[Duplicate Key]])</f>
        <v>1</v>
      </c>
    </row>
    <row r="5418" spans="1:10">
      <c r="A5418" s="7">
        <v>4</v>
      </c>
      <c r="B5418" s="8" t="s">
        <v>579</v>
      </c>
      <c r="C5418" s="8" t="s">
        <v>350</v>
      </c>
      <c r="D5418" s="7">
        <v>1</v>
      </c>
      <c r="E5418" s="7">
        <v>91</v>
      </c>
      <c r="F5418" s="7">
        <v>1</v>
      </c>
      <c r="G5418" s="8" t="s">
        <v>217</v>
      </c>
      <c r="H5418" s="8" t="s">
        <v>425</v>
      </c>
      <c r="I5418" s="7" t="str">
        <f>_xlfn.CONCAT(Paper_Reference[[#This Row],[Lvl]:[Paper Description]])</f>
        <v>4SYNGLOWSPPK7SYN2 UV LANE PAIR1911100WM301-6200IQ MAPLE LANE (CENTER)</v>
      </c>
      <c r="J5418" s="7">
        <f>COUNTIF(Paper_Reference[Duplicate Key],Paper_Reference[[#This Row],[Duplicate Key]])</f>
        <v>1</v>
      </c>
    </row>
    <row r="5419" spans="1:10">
      <c r="A5419" s="7">
        <v>4</v>
      </c>
      <c r="B5419" s="8" t="s">
        <v>579</v>
      </c>
      <c r="C5419" s="8" t="s">
        <v>350</v>
      </c>
      <c r="D5419" s="7">
        <v>1</v>
      </c>
      <c r="E5419" s="7">
        <v>91</v>
      </c>
      <c r="F5419" s="7">
        <v>1</v>
      </c>
      <c r="G5419" s="8" t="s">
        <v>218</v>
      </c>
      <c r="H5419" s="8" t="s">
        <v>426</v>
      </c>
      <c r="I5419" s="7" t="str">
        <f>_xlfn.CONCAT(Paper_Reference[[#This Row],[Lvl]:[Paper Description]])</f>
        <v>4SYNGLOWSPPK7SYN2 UV LANE PAIR1911100WM311-4300IQ MAPLE LANE LH</v>
      </c>
      <c r="J5419" s="7">
        <f>COUNTIF(Paper_Reference[Duplicate Key],Paper_Reference[[#This Row],[Duplicate Key]])</f>
        <v>1</v>
      </c>
    </row>
    <row r="5420" spans="1:10">
      <c r="A5420" s="7">
        <v>4</v>
      </c>
      <c r="B5420" s="8" t="s">
        <v>579</v>
      </c>
      <c r="C5420" s="8" t="s">
        <v>350</v>
      </c>
      <c r="D5420" s="7">
        <v>1</v>
      </c>
      <c r="E5420" s="7">
        <v>91</v>
      </c>
      <c r="F5420" s="7">
        <v>1</v>
      </c>
      <c r="G5420" s="8" t="s">
        <v>219</v>
      </c>
      <c r="H5420" s="8" t="s">
        <v>427</v>
      </c>
      <c r="I5420" s="7" t="str">
        <f>_xlfn.CONCAT(Paper_Reference[[#This Row],[Lvl]:[Paper Description]])</f>
        <v>4SYNGLOWSPPK7SYN2 UV LANE PAIR1911100WM321-4300IQ MAPLE LANE RH</v>
      </c>
      <c r="J5420" s="7">
        <f>COUNTIF(Paper_Reference[Duplicate Key],Paper_Reference[[#This Row],[Duplicate Key]])</f>
        <v>1</v>
      </c>
    </row>
    <row r="5421" spans="1:10">
      <c r="A5421" s="7">
        <v>3</v>
      </c>
      <c r="B5421" s="8" t="s">
        <v>613</v>
      </c>
      <c r="C5421" s="8" t="s">
        <v>380</v>
      </c>
      <c r="D5421" s="7">
        <v>1</v>
      </c>
      <c r="E5421" s="7">
        <v>91</v>
      </c>
      <c r="F5421" s="7">
        <v>3</v>
      </c>
      <c r="G5421" s="8" t="s">
        <v>218</v>
      </c>
      <c r="H5421" s="8" t="s">
        <v>426</v>
      </c>
      <c r="I5421" s="7" t="str">
        <f>_xlfn.CONCAT(Paper_Reference[[#This Row],[Lvl]:[Paper Description]])</f>
        <v>3SYNGLOWSPPK8SYN2 UV LANE ONLY PACK1913100WM311-4300IQ MAPLE LANE LH</v>
      </c>
      <c r="J5421" s="7">
        <f>COUNTIF(Paper_Reference[Duplicate Key],Paper_Reference[[#This Row],[Duplicate Key]])</f>
        <v>1</v>
      </c>
    </row>
    <row r="5422" spans="1:10">
      <c r="A5422" s="7">
        <v>3</v>
      </c>
      <c r="B5422" s="8" t="s">
        <v>613</v>
      </c>
      <c r="C5422" s="8" t="s">
        <v>380</v>
      </c>
      <c r="D5422" s="7">
        <v>1</v>
      </c>
      <c r="E5422" s="7">
        <v>91</v>
      </c>
      <c r="F5422" s="7">
        <v>3</v>
      </c>
      <c r="G5422" s="8" t="s">
        <v>219</v>
      </c>
      <c r="H5422" s="8" t="s">
        <v>427</v>
      </c>
      <c r="I5422" s="7" t="str">
        <f>_xlfn.CONCAT(Paper_Reference[[#This Row],[Lvl]:[Paper Description]])</f>
        <v>3SYNGLOWSPPK8SYN2 UV LANE ONLY PACK1913100WM321-4300IQ MAPLE LANE RH</v>
      </c>
      <c r="J5422" s="7">
        <f>COUNTIF(Paper_Reference[Duplicate Key],Paper_Reference[[#This Row],[Duplicate Key]])</f>
        <v>1</v>
      </c>
    </row>
    <row r="5423" spans="1:10">
      <c r="A5423" s="7">
        <v>4</v>
      </c>
      <c r="B5423" s="8" t="s">
        <v>613</v>
      </c>
      <c r="C5423" s="8" t="s">
        <v>380</v>
      </c>
      <c r="D5423" s="7">
        <v>1</v>
      </c>
      <c r="E5423" s="7">
        <v>91</v>
      </c>
      <c r="F5423" s="7">
        <v>1</v>
      </c>
      <c r="G5423" s="8" t="s">
        <v>218</v>
      </c>
      <c r="H5423" s="8" t="s">
        <v>426</v>
      </c>
      <c r="I5423" s="7" t="str">
        <f>_xlfn.CONCAT(Paper_Reference[[#This Row],[Lvl]:[Paper Description]])</f>
        <v>4SYNGLOWSPPK8SYN2 UV LANE ONLY PACK1911100WM311-4300IQ MAPLE LANE LH</v>
      </c>
      <c r="J5423" s="7">
        <f>COUNTIF(Paper_Reference[Duplicate Key],Paper_Reference[[#This Row],[Duplicate Key]])</f>
        <v>1</v>
      </c>
    </row>
    <row r="5424" spans="1:10">
      <c r="A5424" s="7">
        <v>4</v>
      </c>
      <c r="B5424" s="8" t="s">
        <v>613</v>
      </c>
      <c r="C5424" s="8" t="s">
        <v>380</v>
      </c>
      <c r="D5424" s="7">
        <v>1</v>
      </c>
      <c r="E5424" s="7">
        <v>91</v>
      </c>
      <c r="F5424" s="7">
        <v>1</v>
      </c>
      <c r="G5424" s="8" t="s">
        <v>219</v>
      </c>
      <c r="H5424" s="8" t="s">
        <v>427</v>
      </c>
      <c r="I5424" s="7" t="str">
        <f>_xlfn.CONCAT(Paper_Reference[[#This Row],[Lvl]:[Paper Description]])</f>
        <v>4SYNGLOWSPPK8SYN2 UV LANE ONLY PACK1911100WM321-4300IQ MAPLE LANE RH</v>
      </c>
      <c r="J5424" s="7">
        <f>COUNTIF(Paper_Reference[Duplicate Key],Paper_Reference[[#This Row],[Duplicate Key]])</f>
        <v>1</v>
      </c>
    </row>
    <row r="5425" spans="1:10">
      <c r="A5425" s="7">
        <v>3</v>
      </c>
      <c r="B5425" s="8" t="s">
        <v>6532</v>
      </c>
      <c r="C5425" s="8" t="s">
        <v>6007</v>
      </c>
      <c r="D5425" s="7">
        <v>1</v>
      </c>
      <c r="E5425" s="7">
        <v>91</v>
      </c>
      <c r="F5425" s="7">
        <v>1</v>
      </c>
      <c r="G5425" s="8" t="s">
        <v>6710</v>
      </c>
      <c r="H5425" s="8" t="s">
        <v>5691</v>
      </c>
      <c r="I5425" s="7" t="str">
        <f>_xlfn.CONCAT(Paper_Reference[[#This Row],[Lvl]:[Paper Description]])</f>
        <v>3TCWZ460APPK1DIG/WZ460 UV LEFT LP1911100DS009-5000FROSTY WHITE</v>
      </c>
      <c r="J5425" s="7">
        <f>COUNTIF(Paper_Reference[Duplicate Key],Paper_Reference[[#This Row],[Duplicate Key]])</f>
        <v>1</v>
      </c>
    </row>
    <row r="5426" spans="1:10">
      <c r="A5426" s="7">
        <v>3</v>
      </c>
      <c r="B5426" s="8" t="s">
        <v>6532</v>
      </c>
      <c r="C5426" s="8" t="s">
        <v>6007</v>
      </c>
      <c r="D5426" s="7">
        <v>1</v>
      </c>
      <c r="E5426" s="7">
        <v>91</v>
      </c>
      <c r="F5426" s="7">
        <v>1</v>
      </c>
      <c r="G5426" s="8" t="s">
        <v>5690</v>
      </c>
      <c r="H5426" s="8" t="s">
        <v>5691</v>
      </c>
      <c r="I5426" s="7" t="str">
        <f>_xlfn.CONCAT(Paper_Reference[[#This Row],[Lvl]:[Paper Description]])</f>
        <v>3TCWZ460APPK1DIG/WZ460 UV LEFT LP1911100DS009-6200FROSTY WHITE</v>
      </c>
      <c r="J5426" s="7">
        <f>COUNTIF(Paper_Reference[Duplicate Key],Paper_Reference[[#This Row],[Duplicate Key]])</f>
        <v>1</v>
      </c>
    </row>
    <row r="5427" spans="1:10">
      <c r="A5427" s="7">
        <v>2</v>
      </c>
      <c r="B5427" s="8" t="s">
        <v>631</v>
      </c>
      <c r="C5427" s="8" t="s">
        <v>398</v>
      </c>
      <c r="D5427" s="7">
        <v>1</v>
      </c>
      <c r="E5427" s="7">
        <v>10</v>
      </c>
      <c r="F5427" s="7">
        <v>1</v>
      </c>
      <c r="G5427" s="8" t="s">
        <v>220</v>
      </c>
      <c r="H5427" s="8" t="s">
        <v>428</v>
      </c>
      <c r="I5427" s="7" t="str">
        <f>_xlfn.CONCAT(Paper_Reference[[#This Row],[Lvl]:[Paper Description]])</f>
        <v>2U48WM334N580MURRY LANE/40 60 X 961101100WM332-6200MURREY LANE LH</v>
      </c>
      <c r="J5427" s="7">
        <f>COUNTIF(Paper_Reference[Duplicate Key],Paper_Reference[[#This Row],[Duplicate Key]])</f>
        <v>1</v>
      </c>
    </row>
    <row r="5428" spans="1:10">
      <c r="A5428" s="7">
        <v>2</v>
      </c>
      <c r="B5428" s="8" t="s">
        <v>632</v>
      </c>
      <c r="C5428" s="8" t="s">
        <v>398</v>
      </c>
      <c r="D5428" s="7">
        <v>1</v>
      </c>
      <c r="E5428" s="7">
        <v>10</v>
      </c>
      <c r="F5428" s="7">
        <v>1</v>
      </c>
      <c r="G5428" s="8" t="s">
        <v>220</v>
      </c>
      <c r="H5428" s="8" t="s">
        <v>428</v>
      </c>
      <c r="I5428" s="7" t="str">
        <f>_xlfn.CONCAT(Paper_Reference[[#This Row],[Lvl]:[Paper Description]])</f>
        <v>2U48WM334SD580MURRY LANE/40 60 X 961101100WM332-6200MURREY LANE LH</v>
      </c>
      <c r="J5428" s="7">
        <f>COUNTIF(Paper_Reference[Duplicate Key],Paper_Reference[[#This Row],[Duplicate Key]])</f>
        <v>1</v>
      </c>
    </row>
    <row r="5429" spans="1:10">
      <c r="A5429" s="7">
        <v>2</v>
      </c>
      <c r="B5429" s="8" t="s">
        <v>7982</v>
      </c>
      <c r="C5429" s="8" t="s">
        <v>7132</v>
      </c>
      <c r="D5429" s="7">
        <v>1</v>
      </c>
      <c r="E5429" s="7">
        <v>10</v>
      </c>
      <c r="F5429" s="7">
        <v>1</v>
      </c>
      <c r="G5429" s="8" t="s">
        <v>6710</v>
      </c>
      <c r="H5429" s="8" t="s">
        <v>5691</v>
      </c>
      <c r="I5429" s="7" t="str">
        <f>_xlfn.CONCAT(Paper_Reference[[#This Row],[Lvl]:[Paper Description]])</f>
        <v>2UJ4R0011N380WINE GLASSES D/G 36 X 961101100DS009-5000FROSTY WHITE</v>
      </c>
      <c r="J5429" s="7">
        <f>COUNTIF(Paper_Reference[Duplicate Key],Paper_Reference[[#This Row],[Duplicate Key]])</f>
        <v>1</v>
      </c>
    </row>
    <row r="5430" spans="1:10">
      <c r="A5430" s="7">
        <v>2</v>
      </c>
      <c r="B5430" s="8" t="s">
        <v>7983</v>
      </c>
      <c r="C5430" s="8" t="s">
        <v>7133</v>
      </c>
      <c r="D5430" s="7">
        <v>1</v>
      </c>
      <c r="E5430" s="7">
        <v>10</v>
      </c>
      <c r="F5430" s="7">
        <v>1</v>
      </c>
      <c r="G5430" s="8" t="s">
        <v>6710</v>
      </c>
      <c r="H5430" s="8" t="s">
        <v>5691</v>
      </c>
      <c r="I5430" s="7" t="str">
        <f>_xlfn.CONCAT(Paper_Reference[[#This Row],[Lvl]:[Paper Description]])</f>
        <v>2UJ4R0012N480WINE GLASSES II D/G 48 X 961101100DS009-5000FROSTY WHITE</v>
      </c>
      <c r="J5430" s="7">
        <f>COUNTIF(Paper_Reference[Duplicate Key],Paper_Reference[[#This Row],[Duplicate Key]])</f>
        <v>1</v>
      </c>
    </row>
    <row r="5431" spans="1:10">
      <c r="A5431" s="7">
        <v>2</v>
      </c>
      <c r="B5431" s="8" t="s">
        <v>6533</v>
      </c>
      <c r="C5431" s="8" t="s">
        <v>6008</v>
      </c>
      <c r="D5431" s="7">
        <v>1</v>
      </c>
      <c r="E5431" s="7">
        <v>10</v>
      </c>
      <c r="F5431" s="7">
        <v>1</v>
      </c>
      <c r="G5431" s="8" t="s">
        <v>5690</v>
      </c>
      <c r="H5431" s="8" t="s">
        <v>5691</v>
      </c>
      <c r="I5431" s="7" t="str">
        <f>_xlfn.CONCAT(Paper_Reference[[#This Row],[Lvl]:[Paper Description]])</f>
        <v>2UJ4R0013N580WINE GLASSES III 60 X 961101100DS009-6200FROSTY WHITE</v>
      </c>
      <c r="J5431" s="7">
        <f>COUNTIF(Paper_Reference[Duplicate Key],Paper_Reference[[#This Row],[Duplicate Key]])</f>
        <v>1</v>
      </c>
    </row>
    <row r="5432" spans="1:10">
      <c r="A5432" s="7">
        <v>2</v>
      </c>
      <c r="B5432" s="8" t="s">
        <v>7984</v>
      </c>
      <c r="C5432" s="8" t="s">
        <v>7134</v>
      </c>
      <c r="D5432" s="7">
        <v>1</v>
      </c>
      <c r="E5432" s="7">
        <v>10</v>
      </c>
      <c r="F5432" s="7">
        <v>1</v>
      </c>
      <c r="G5432" s="8" t="s">
        <v>6710</v>
      </c>
      <c r="H5432" s="8" t="s">
        <v>5691</v>
      </c>
      <c r="I5432" s="7" t="str">
        <f>_xlfn.CONCAT(Paper_Reference[[#This Row],[Lvl]:[Paper Description]])</f>
        <v>2UJ4R0114N380BLAST TABLE TOP D/G 36 X 961101100DS009-5000FROSTY WHITE</v>
      </c>
      <c r="J5432" s="7">
        <f>COUNTIF(Paper_Reference[Duplicate Key],Paper_Reference[[#This Row],[Duplicate Key]])</f>
        <v>1</v>
      </c>
    </row>
    <row r="5433" spans="1:10">
      <c r="A5433" s="7">
        <v>2</v>
      </c>
      <c r="B5433" s="8" t="s">
        <v>7985</v>
      </c>
      <c r="C5433" s="8" t="s">
        <v>7135</v>
      </c>
      <c r="D5433" s="7">
        <v>1</v>
      </c>
      <c r="E5433" s="7">
        <v>10</v>
      </c>
      <c r="F5433" s="7">
        <v>1</v>
      </c>
      <c r="G5433" s="8" t="s">
        <v>6710</v>
      </c>
      <c r="H5433" s="8" t="s">
        <v>5691</v>
      </c>
      <c r="I5433" s="7" t="str">
        <f>_xlfn.CONCAT(Paper_Reference[[#This Row],[Lvl]:[Paper Description]])</f>
        <v>2UJ4R0156N380BLAST ROUND TABLES D/G 36X961101100DS009-5000FROSTY WHITE</v>
      </c>
      <c r="J5433" s="7">
        <f>COUNTIF(Paper_Reference[Duplicate Key],Paper_Reference[[#This Row],[Duplicate Key]])</f>
        <v>1</v>
      </c>
    </row>
    <row r="5434" spans="1:10">
      <c r="A5434" s="7">
        <v>2</v>
      </c>
      <c r="B5434" s="8" t="s">
        <v>7986</v>
      </c>
      <c r="C5434" s="8" t="s">
        <v>7135</v>
      </c>
      <c r="D5434" s="7">
        <v>1</v>
      </c>
      <c r="E5434" s="7">
        <v>10</v>
      </c>
      <c r="F5434" s="7">
        <v>1</v>
      </c>
      <c r="G5434" s="8" t="s">
        <v>6710</v>
      </c>
      <c r="H5434" s="8" t="s">
        <v>5691</v>
      </c>
      <c r="I5434" s="7" t="str">
        <f>_xlfn.CONCAT(Paper_Reference[[#This Row],[Lvl]:[Paper Description]])</f>
        <v>2UJ4R0156SD380BLAST ROUND TABLES D/G 36X961101100DS009-5000FROSTY WHITE</v>
      </c>
      <c r="J5434" s="7">
        <f>COUNTIF(Paper_Reference[Duplicate Key],Paper_Reference[[#This Row],[Duplicate Key]])</f>
        <v>1</v>
      </c>
    </row>
    <row r="5435" spans="1:10">
      <c r="A5435" s="7">
        <v>2</v>
      </c>
      <c r="B5435" s="8" t="s">
        <v>6534</v>
      </c>
      <c r="C5435" s="8" t="s">
        <v>6009</v>
      </c>
      <c r="D5435" s="7">
        <v>1</v>
      </c>
      <c r="E5435" s="7">
        <v>10</v>
      </c>
      <c r="F5435" s="7">
        <v>1</v>
      </c>
      <c r="G5435" s="8" t="s">
        <v>5690</v>
      </c>
      <c r="H5435" s="8" t="s">
        <v>5691</v>
      </c>
      <c r="I5435" s="7" t="str">
        <f>_xlfn.CONCAT(Paper_Reference[[#This Row],[Lvl]:[Paper Description]])</f>
        <v>2UJ4R0178N520GOLDEN BOWL D/G  60 X 1441101100DS009-6200FROSTY WHITE</v>
      </c>
      <c r="J5435" s="7">
        <f>COUNTIF(Paper_Reference[Duplicate Key],Paper_Reference[[#This Row],[Duplicate Key]])</f>
        <v>1</v>
      </c>
    </row>
    <row r="5436" spans="1:10">
      <c r="A5436" s="7">
        <v>2</v>
      </c>
      <c r="B5436" s="8" t="s">
        <v>7987</v>
      </c>
      <c r="C5436" s="8" t="s">
        <v>7136</v>
      </c>
      <c r="D5436" s="7">
        <v>1</v>
      </c>
      <c r="E5436" s="7">
        <v>10</v>
      </c>
      <c r="F5436" s="7">
        <v>1</v>
      </c>
      <c r="G5436" s="8" t="s">
        <v>6710</v>
      </c>
      <c r="H5436" s="8" t="s">
        <v>5691</v>
      </c>
      <c r="I5436" s="7" t="str">
        <f>_xlfn.CONCAT(Paper_Reference[[#This Row],[Lvl]:[Paper Description]])</f>
        <v>2UJ4R0179N480GOLDEN BOWL II D/G 48 X 961101100DS009-5000FROSTY WHITE</v>
      </c>
      <c r="J5436" s="7">
        <f>COUNTIF(Paper_Reference[Duplicate Key],Paper_Reference[[#This Row],[Duplicate Key]])</f>
        <v>1</v>
      </c>
    </row>
    <row r="5437" spans="1:10">
      <c r="A5437" s="7">
        <v>2</v>
      </c>
      <c r="B5437" s="8" t="s">
        <v>7988</v>
      </c>
      <c r="C5437" s="8" t="s">
        <v>7137</v>
      </c>
      <c r="D5437" s="7">
        <v>1</v>
      </c>
      <c r="E5437" s="7">
        <v>10</v>
      </c>
      <c r="F5437" s="7">
        <v>1</v>
      </c>
      <c r="G5437" s="8" t="s">
        <v>6710</v>
      </c>
      <c r="H5437" s="8" t="s">
        <v>5691</v>
      </c>
      <c r="I5437" s="7" t="str">
        <f>_xlfn.CONCAT(Paper_Reference[[#This Row],[Lvl]:[Paper Description]])</f>
        <v>2UJ6R0174G4801DYNAMO HOT FLASH 48 X 961101100DS009-5000FROSTY WHITE</v>
      </c>
      <c r="J5437" s="7">
        <f>COUNTIF(Paper_Reference[Duplicate Key],Paper_Reference[[#This Row],[Duplicate Key]])</f>
        <v>1</v>
      </c>
    </row>
    <row r="5438" spans="1:10">
      <c r="A5438" s="7">
        <v>2</v>
      </c>
      <c r="B5438" s="8" t="s">
        <v>7989</v>
      </c>
      <c r="C5438" s="8" t="s">
        <v>7138</v>
      </c>
      <c r="D5438" s="7">
        <v>1</v>
      </c>
      <c r="E5438" s="7">
        <v>10</v>
      </c>
      <c r="F5438" s="7">
        <v>1</v>
      </c>
      <c r="G5438" s="8" t="s">
        <v>6710</v>
      </c>
      <c r="H5438" s="8" t="s">
        <v>5691</v>
      </c>
      <c r="I5438" s="7" t="str">
        <f>_xlfn.CONCAT(Paper_Reference[[#This Row],[Lvl]:[Paper Description]])</f>
        <v>2UJ6R0176G4801DYNAMO BLUE HOT FLASH 48 X 961101100DS009-5000FROSTY WHITE</v>
      </c>
      <c r="J5438" s="7">
        <f>COUNTIF(Paper_Reference[Duplicate Key],Paper_Reference[[#This Row],[Duplicate Key]])</f>
        <v>1</v>
      </c>
    </row>
    <row r="5439" spans="1:10">
      <c r="A5439" s="7">
        <v>2</v>
      </c>
      <c r="B5439" s="8" t="s">
        <v>7990</v>
      </c>
      <c r="C5439" s="8" t="s">
        <v>7139</v>
      </c>
      <c r="D5439" s="7">
        <v>1</v>
      </c>
      <c r="E5439" s="7">
        <v>10</v>
      </c>
      <c r="F5439" s="7">
        <v>1</v>
      </c>
      <c r="G5439" s="8" t="s">
        <v>6710</v>
      </c>
      <c r="H5439" s="8" t="s">
        <v>5691</v>
      </c>
      <c r="I5439" s="7" t="str">
        <f>_xlfn.CONCAT(Paper_Reference[[#This Row],[Lvl]:[Paper Description]])</f>
        <v>2UJ6R0367G4801DYNAMO MAIN EVENT HOC 48 X 961101100DS009-5000FROSTY WHITE</v>
      </c>
      <c r="J5439" s="7">
        <f>COUNTIF(Paper_Reference[Duplicate Key],Paper_Reference[[#This Row],[Duplicate Key]])</f>
        <v>1</v>
      </c>
    </row>
    <row r="5440" spans="1:10">
      <c r="A5440" s="7">
        <v>2</v>
      </c>
      <c r="B5440" s="8" t="s">
        <v>7991</v>
      </c>
      <c r="C5440" s="8" t="s">
        <v>7139</v>
      </c>
      <c r="D5440" s="7">
        <v>1</v>
      </c>
      <c r="E5440" s="7">
        <v>10</v>
      </c>
      <c r="F5440" s="7">
        <v>1</v>
      </c>
      <c r="G5440" s="8" t="s">
        <v>6710</v>
      </c>
      <c r="H5440" s="8" t="s">
        <v>5691</v>
      </c>
      <c r="I5440" s="7" t="str">
        <f>_xlfn.CONCAT(Paper_Reference[[#This Row],[Lvl]:[Paper Description]])</f>
        <v>2UJ6R0367GL4801DYNAMO MAIN EVENT HOC 48 X 961101100DS009-5000FROSTY WHITE</v>
      </c>
      <c r="J5440" s="7">
        <f>COUNTIF(Paper_Reference[Duplicate Key],Paper_Reference[[#This Row],[Duplicate Key]])</f>
        <v>1</v>
      </c>
    </row>
    <row r="5441" spans="1:10">
      <c r="A5441" s="7">
        <v>2</v>
      </c>
      <c r="B5441" s="8" t="s">
        <v>7992</v>
      </c>
      <c r="C5441" s="8" t="s">
        <v>7140</v>
      </c>
      <c r="D5441" s="7">
        <v>1</v>
      </c>
      <c r="E5441" s="7">
        <v>10</v>
      </c>
      <c r="F5441" s="7">
        <v>1</v>
      </c>
      <c r="G5441" s="8" t="s">
        <v>6710</v>
      </c>
      <c r="H5441" s="8" t="s">
        <v>5691</v>
      </c>
      <c r="I5441" s="7" t="str">
        <f>_xlfn.CONCAT(Paper_Reference[[#This Row],[Lvl]:[Paper Description]])</f>
        <v>2UJ6R0395G4801DYNAMO BLACK HOLE 48 X 961101100DS009-5000FROSTY WHITE</v>
      </c>
      <c r="J5441" s="7">
        <f>COUNTIF(Paper_Reference[Duplicate Key],Paper_Reference[[#This Row],[Duplicate Key]])</f>
        <v>1</v>
      </c>
    </row>
    <row r="5442" spans="1:10">
      <c r="A5442" s="7">
        <v>2</v>
      </c>
      <c r="B5442" s="8" t="s">
        <v>7993</v>
      </c>
      <c r="C5442" s="8" t="s">
        <v>7141</v>
      </c>
      <c r="D5442" s="7">
        <v>1</v>
      </c>
      <c r="E5442" s="7">
        <v>10</v>
      </c>
      <c r="F5442" s="7">
        <v>1</v>
      </c>
      <c r="G5442" s="8" t="s">
        <v>6710</v>
      </c>
      <c r="H5442" s="8" t="s">
        <v>5691</v>
      </c>
      <c r="I5442" s="7" t="str">
        <f>_xlfn.CONCAT(Paper_Reference[[#This Row],[Lvl]:[Paper Description]])</f>
        <v>2UJ6R0461G4801DYNAMO KINGS HOCKEY 48 X 961101100DS009-5000FROSTY WHITE</v>
      </c>
      <c r="J5442" s="7">
        <f>COUNTIF(Paper_Reference[Duplicate Key],Paper_Reference[[#This Row],[Duplicate Key]])</f>
        <v>1</v>
      </c>
    </row>
    <row r="5443" spans="1:10">
      <c r="A5443" s="7">
        <v>2</v>
      </c>
      <c r="B5443" s="8" t="s">
        <v>7994</v>
      </c>
      <c r="C5443" s="8" t="s">
        <v>7141</v>
      </c>
      <c r="D5443" s="7">
        <v>1</v>
      </c>
      <c r="E5443" s="7">
        <v>10</v>
      </c>
      <c r="F5443" s="7">
        <v>1</v>
      </c>
      <c r="G5443" s="8" t="s">
        <v>6710</v>
      </c>
      <c r="H5443" s="8" t="s">
        <v>5691</v>
      </c>
      <c r="I5443" s="7" t="str">
        <f>_xlfn.CONCAT(Paper_Reference[[#This Row],[Lvl]:[Paper Description]])</f>
        <v>2UJ6R0461GL4801DYNAMO KINGS HOCKEY 48 X 961101100DS009-5000FROSTY WHITE</v>
      </c>
      <c r="J5443" s="7">
        <f>COUNTIF(Paper_Reference[Duplicate Key],Paper_Reference[[#This Row],[Duplicate Key]])</f>
        <v>1</v>
      </c>
    </row>
    <row r="5444" spans="1:10">
      <c r="A5444" s="7">
        <v>2</v>
      </c>
      <c r="B5444" s="8" t="s">
        <v>2035</v>
      </c>
      <c r="C5444" s="8" t="s">
        <v>1556</v>
      </c>
      <c r="D5444" s="7">
        <v>1</v>
      </c>
      <c r="E5444" s="7">
        <v>10</v>
      </c>
      <c r="F5444" s="7">
        <v>1</v>
      </c>
      <c r="G5444" s="8" t="s">
        <v>1241</v>
      </c>
      <c r="H5444" s="8" t="s">
        <v>1242</v>
      </c>
      <c r="I5444" s="7" t="str">
        <f>_xlfn.CONCAT(Paper_Reference[[#This Row],[Lvl]:[Paper Description]])</f>
        <v>2UJ6R1392GL4801DYNAMO DIG FIRESTORM 48X96110110000020-5000Premium Inkjet MPK 9653</v>
      </c>
      <c r="J5444" s="7">
        <f>COUNTIF(Paper_Reference[Duplicate Key],Paper_Reference[[#This Row],[Duplicate Key]])</f>
        <v>1</v>
      </c>
    </row>
    <row r="5445" spans="1:10">
      <c r="A5445" s="7">
        <v>2</v>
      </c>
      <c r="B5445" s="8" t="s">
        <v>2036</v>
      </c>
      <c r="C5445" s="8" t="s">
        <v>1557</v>
      </c>
      <c r="D5445" s="7">
        <v>1</v>
      </c>
      <c r="E5445" s="7">
        <v>10</v>
      </c>
      <c r="F5445" s="7">
        <v>1</v>
      </c>
      <c r="G5445" s="8" t="s">
        <v>1241</v>
      </c>
      <c r="H5445" s="8" t="s">
        <v>1242</v>
      </c>
      <c r="I5445" s="7" t="str">
        <f>_xlfn.CONCAT(Paper_Reference[[#This Row],[Lvl]:[Paper Description]])</f>
        <v>2UJ6R1393GL4801DYNAMO LRG LOGO PURPLE 48X96110110000020-5000Premium Inkjet MPK 9653</v>
      </c>
      <c r="J5445" s="7">
        <f>COUNTIF(Paper_Reference[Duplicate Key],Paper_Reference[[#This Row],[Duplicate Key]])</f>
        <v>1</v>
      </c>
    </row>
    <row r="5446" spans="1:10">
      <c r="A5446" s="7">
        <v>2</v>
      </c>
      <c r="B5446" s="8" t="s">
        <v>2037</v>
      </c>
      <c r="C5446" s="8" t="s">
        <v>1558</v>
      </c>
      <c r="D5446" s="7">
        <v>1</v>
      </c>
      <c r="E5446" s="7">
        <v>10</v>
      </c>
      <c r="F5446" s="7">
        <v>1</v>
      </c>
      <c r="G5446" s="8" t="s">
        <v>1241</v>
      </c>
      <c r="H5446" s="8" t="s">
        <v>1242</v>
      </c>
      <c r="I5446" s="7" t="str">
        <f>_xlfn.CONCAT(Paper_Reference[[#This Row],[Lvl]:[Paper Description]])</f>
        <v>2UJ6R1394GL4801DYNAMO LRG LOGO BLUE 48X96110110000020-5000Premium Inkjet MPK 9653</v>
      </c>
      <c r="J5446" s="7">
        <f>COUNTIF(Paper_Reference[Duplicate Key],Paper_Reference[[#This Row],[Duplicate Key]])</f>
        <v>1</v>
      </c>
    </row>
    <row r="5447" spans="1:10">
      <c r="A5447" s="7">
        <v>3</v>
      </c>
      <c r="B5447" s="8" t="s">
        <v>6535</v>
      </c>
      <c r="C5447" s="8" t="s">
        <v>6010</v>
      </c>
      <c r="D5447" s="7">
        <v>1</v>
      </c>
      <c r="E5447" s="7">
        <v>91</v>
      </c>
      <c r="F5447" s="7">
        <v>1</v>
      </c>
      <c r="G5447" s="8" t="s">
        <v>5690</v>
      </c>
      <c r="H5447" s="8" t="s">
        <v>5691</v>
      </c>
      <c r="I5447" s="7" t="str">
        <f>_xlfn.CONCAT(Paper_Reference[[#This Row],[Lvl]:[Paper Description]])</f>
        <v>3UPTOWNDPROPK1UPTOWN ALLEY DIG PRO L/PACK1911100DS009-6200FROSTY WHITE</v>
      </c>
      <c r="J5447" s="7">
        <f>COUNTIF(Paper_Reference[Duplicate Key],Paper_Reference[[#This Row],[Duplicate Key]])</f>
        <v>1</v>
      </c>
    </row>
    <row r="5448" spans="1:10">
      <c r="A5448" s="7">
        <v>3</v>
      </c>
      <c r="B5448" s="8" t="s">
        <v>6535</v>
      </c>
      <c r="C5448" s="8" t="s">
        <v>6010</v>
      </c>
      <c r="D5448" s="7">
        <v>1</v>
      </c>
      <c r="E5448" s="7">
        <v>91</v>
      </c>
      <c r="F5448" s="7">
        <v>6</v>
      </c>
      <c r="G5448" s="8" t="s">
        <v>6710</v>
      </c>
      <c r="H5448" s="8" t="s">
        <v>5691</v>
      </c>
      <c r="I5448" s="7" t="str">
        <f>_xlfn.CONCAT(Paper_Reference[[#This Row],[Lvl]:[Paper Description]])</f>
        <v>3UPTOWNDPROPK1UPTOWN ALLEY DIG PRO L/PACK1916100DS009-5000FROSTY WHITE</v>
      </c>
      <c r="J5448" s="7">
        <f>COUNTIF(Paper_Reference[Duplicate Key],Paper_Reference[[#This Row],[Duplicate Key]])</f>
        <v>1</v>
      </c>
    </row>
    <row r="5449" spans="1:10">
      <c r="A5449" s="7">
        <v>3</v>
      </c>
      <c r="B5449" s="8" t="s">
        <v>2038</v>
      </c>
      <c r="C5449" s="8" t="s">
        <v>1559</v>
      </c>
      <c r="D5449" s="7">
        <v>1</v>
      </c>
      <c r="E5449" s="7">
        <v>91</v>
      </c>
      <c r="F5449" s="7">
        <v>1</v>
      </c>
      <c r="G5449" s="8" t="s">
        <v>2144</v>
      </c>
      <c r="H5449" s="8" t="s">
        <v>1242</v>
      </c>
      <c r="I5449" s="7" t="str">
        <f>_xlfn.CONCAT(Paper_Reference[[#This Row],[Lvl]:[Paper Description]])</f>
        <v>3USBBLACKPK01US BOWLING BLACK 2 LANE PK191110000020-6200Premium Inkjet MPK 9653</v>
      </c>
      <c r="J5449" s="7">
        <f>COUNTIF(Paper_Reference[Duplicate Key],Paper_Reference[[#This Row],[Duplicate Key]])</f>
        <v>1</v>
      </c>
    </row>
    <row r="5450" spans="1:10">
      <c r="A5450" s="7">
        <v>3</v>
      </c>
      <c r="B5450" s="8" t="s">
        <v>2038</v>
      </c>
      <c r="C5450" s="8" t="s">
        <v>1559</v>
      </c>
      <c r="D5450" s="7">
        <v>1</v>
      </c>
      <c r="E5450" s="7">
        <v>91</v>
      </c>
      <c r="F5450" s="7">
        <v>2</v>
      </c>
      <c r="G5450" s="8" t="s">
        <v>1241</v>
      </c>
      <c r="H5450" s="8" t="s">
        <v>1242</v>
      </c>
      <c r="I5450" s="7" t="str">
        <f>_xlfn.CONCAT(Paper_Reference[[#This Row],[Lvl]:[Paper Description]])</f>
        <v>3USBBLACKPK01US BOWLING BLACK 2 LANE PK191210000020-5000Premium Inkjet MPK 9653</v>
      </c>
      <c r="J5450" s="7">
        <f>COUNTIF(Paper_Reference[Duplicate Key],Paper_Reference[[#This Row],[Duplicate Key]])</f>
        <v>1</v>
      </c>
    </row>
    <row r="5451" spans="1:10">
      <c r="A5451" s="7">
        <v>3</v>
      </c>
      <c r="B5451" s="8" t="s">
        <v>2039</v>
      </c>
      <c r="C5451" s="8" t="s">
        <v>1560</v>
      </c>
      <c r="D5451" s="7">
        <v>1</v>
      </c>
      <c r="E5451" s="7">
        <v>91</v>
      </c>
      <c r="F5451" s="7">
        <v>1</v>
      </c>
      <c r="G5451" s="8" t="s">
        <v>2144</v>
      </c>
      <c r="H5451" s="8" t="s">
        <v>1242</v>
      </c>
      <c r="I5451" s="7" t="str">
        <f>_xlfn.CONCAT(Paper_Reference[[#This Row],[Lvl]:[Paper Description]])</f>
        <v>3USBGRAY2PK01US BOWLING GRAY 202 2 LANE PK191110000020-6200Premium Inkjet MPK 9653</v>
      </c>
      <c r="J5451" s="7">
        <f>COUNTIF(Paper_Reference[Duplicate Key],Paper_Reference[[#This Row],[Duplicate Key]])</f>
        <v>1</v>
      </c>
    </row>
    <row r="5452" spans="1:10">
      <c r="A5452" s="7">
        <v>3</v>
      </c>
      <c r="B5452" s="8" t="s">
        <v>2039</v>
      </c>
      <c r="C5452" s="8" t="s">
        <v>1560</v>
      </c>
      <c r="D5452" s="7">
        <v>1</v>
      </c>
      <c r="E5452" s="7">
        <v>91</v>
      </c>
      <c r="F5452" s="7">
        <v>2</v>
      </c>
      <c r="G5452" s="8" t="s">
        <v>1241</v>
      </c>
      <c r="H5452" s="8" t="s">
        <v>1242</v>
      </c>
      <c r="I5452" s="7" t="str">
        <f>_xlfn.CONCAT(Paper_Reference[[#This Row],[Lvl]:[Paper Description]])</f>
        <v>3USBGRAY2PK01US BOWLING GRAY 202 2 LANE PK191210000020-5000Premium Inkjet MPK 9653</v>
      </c>
      <c r="J5452" s="7">
        <f>COUNTIF(Paper_Reference[Duplicate Key],Paper_Reference[[#This Row],[Duplicate Key]])</f>
        <v>1</v>
      </c>
    </row>
    <row r="5453" spans="1:10">
      <c r="A5453" s="7">
        <v>3</v>
      </c>
      <c r="B5453" s="8" t="s">
        <v>2040</v>
      </c>
      <c r="C5453" s="8" t="s">
        <v>1561</v>
      </c>
      <c r="D5453" s="7">
        <v>1</v>
      </c>
      <c r="E5453" s="7">
        <v>91</v>
      </c>
      <c r="F5453" s="7">
        <v>1</v>
      </c>
      <c r="G5453" s="8" t="s">
        <v>1241</v>
      </c>
      <c r="H5453" s="8" t="s">
        <v>1242</v>
      </c>
      <c r="I5453" s="7" t="str">
        <f>_xlfn.CONCAT(Paper_Reference[[#This Row],[Lvl]:[Paper Description]])</f>
        <v>3USBGRAY2PK02US BOWLING GRAY 202 LEFT LP191110000020-5000Premium Inkjet MPK 9653</v>
      </c>
      <c r="J5453" s="7">
        <f>COUNTIF(Paper_Reference[Duplicate Key],Paper_Reference[[#This Row],[Duplicate Key]])</f>
        <v>1</v>
      </c>
    </row>
    <row r="5454" spans="1:10">
      <c r="A5454" s="7">
        <v>3</v>
      </c>
      <c r="B5454" s="8" t="s">
        <v>2040</v>
      </c>
      <c r="C5454" s="8" t="s">
        <v>1561</v>
      </c>
      <c r="D5454" s="7">
        <v>1</v>
      </c>
      <c r="E5454" s="7">
        <v>91</v>
      </c>
      <c r="F5454" s="7">
        <v>1</v>
      </c>
      <c r="G5454" s="8" t="s">
        <v>2144</v>
      </c>
      <c r="H5454" s="8" t="s">
        <v>1242</v>
      </c>
      <c r="I5454" s="7" t="str">
        <f>_xlfn.CONCAT(Paper_Reference[[#This Row],[Lvl]:[Paper Description]])</f>
        <v>3USBGRAY2PK02US BOWLING GRAY 202 LEFT LP191110000020-6200Premium Inkjet MPK 9653</v>
      </c>
      <c r="J5454" s="7">
        <f>COUNTIF(Paper_Reference[Duplicate Key],Paper_Reference[[#This Row],[Duplicate Key]])</f>
        <v>1</v>
      </c>
    </row>
    <row r="5455" spans="1:10">
      <c r="A5455" s="7">
        <v>3</v>
      </c>
      <c r="B5455" s="8" t="s">
        <v>2041</v>
      </c>
      <c r="C5455" s="8" t="s">
        <v>1562</v>
      </c>
      <c r="D5455" s="7">
        <v>1</v>
      </c>
      <c r="E5455" s="7">
        <v>91</v>
      </c>
      <c r="F5455" s="7">
        <v>6</v>
      </c>
      <c r="G5455" s="8" t="s">
        <v>1241</v>
      </c>
      <c r="H5455" s="8" t="s">
        <v>1242</v>
      </c>
      <c r="I5455" s="7" t="str">
        <f>_xlfn.CONCAT(Paper_Reference[[#This Row],[Lvl]:[Paper Description]])</f>
        <v>3USBJONESPK01USB JONES TIEL 2 LANE PK191610000020-5000Premium Inkjet MPK 9653</v>
      </c>
      <c r="J5455" s="7">
        <f>COUNTIF(Paper_Reference[Duplicate Key],Paper_Reference[[#This Row],[Duplicate Key]])</f>
        <v>1</v>
      </c>
    </row>
    <row r="5456" spans="1:10">
      <c r="A5456" s="7">
        <v>3</v>
      </c>
      <c r="B5456" s="8" t="s">
        <v>2804</v>
      </c>
      <c r="C5456" s="8" t="s">
        <v>2318</v>
      </c>
      <c r="D5456" s="7">
        <v>1</v>
      </c>
      <c r="E5456" s="7">
        <v>91</v>
      </c>
      <c r="F5456" s="7">
        <v>1</v>
      </c>
      <c r="G5456" s="8" t="s">
        <v>2144</v>
      </c>
      <c r="H5456" s="8" t="s">
        <v>1242</v>
      </c>
      <c r="I5456" s="7" t="str">
        <f>_xlfn.CONCAT(Paper_Reference[[#This Row],[Lvl]:[Paper Description]])</f>
        <v>3USBPIRATEPK01USB PIRATE II MINI NG 2LP191110000020-6200Premium Inkjet MPK 9653</v>
      </c>
      <c r="J5456" s="7">
        <f>COUNTIF(Paper_Reference[Duplicate Key],Paper_Reference[[#This Row],[Duplicate Key]])</f>
        <v>1</v>
      </c>
    </row>
    <row r="5457" spans="1:10">
      <c r="A5457" s="7">
        <v>3</v>
      </c>
      <c r="B5457" s="8" t="s">
        <v>6536</v>
      </c>
      <c r="C5457" s="8" t="s">
        <v>6011</v>
      </c>
      <c r="D5457" s="7">
        <v>1</v>
      </c>
      <c r="E5457" s="7">
        <v>91</v>
      </c>
      <c r="F5457" s="7">
        <v>8</v>
      </c>
      <c r="G5457" s="8" t="s">
        <v>5690</v>
      </c>
      <c r="H5457" s="8" t="s">
        <v>5691</v>
      </c>
      <c r="I5457" s="7" t="str">
        <f>_xlfn.CONCAT(Paper_Reference[[#This Row],[Lvl]:[Paper Description]])</f>
        <v>3USBRBMDZPK01RB MINI DIG ZOMBIE 2LP1918100DS009-6200FROSTY WHITE</v>
      </c>
      <c r="J5457" s="7">
        <f>COUNTIF(Paper_Reference[Duplicate Key],Paper_Reference[[#This Row],[Duplicate Key]])</f>
        <v>1</v>
      </c>
    </row>
    <row r="5458" spans="1:10">
      <c r="A5458" s="7">
        <v>3</v>
      </c>
      <c r="B5458" s="8" t="s">
        <v>2805</v>
      </c>
      <c r="C5458" s="8" t="s">
        <v>2319</v>
      </c>
      <c r="D5458" s="7">
        <v>1</v>
      </c>
      <c r="E5458" s="7">
        <v>91</v>
      </c>
      <c r="F5458" s="7">
        <v>1</v>
      </c>
      <c r="G5458" s="8" t="s">
        <v>2144</v>
      </c>
      <c r="H5458" s="8" t="s">
        <v>1242</v>
      </c>
      <c r="I5458" s="7" t="str">
        <f>_xlfn.CONCAT(Paper_Reference[[#This Row],[Lvl]:[Paper Description]])</f>
        <v>3USBRBMGPK03RB MINI DIG PIRATE 2 LP191110000020-6200Premium Inkjet MPK 9653</v>
      </c>
      <c r="J5458" s="7">
        <f>COUNTIF(Paper_Reference[Duplicate Key],Paper_Reference[[#This Row],[Duplicate Key]])</f>
        <v>1</v>
      </c>
    </row>
    <row r="5459" spans="1:10">
      <c r="A5459" s="7">
        <v>3</v>
      </c>
      <c r="B5459" s="8" t="s">
        <v>2042</v>
      </c>
      <c r="C5459" s="8" t="s">
        <v>1563</v>
      </c>
      <c r="D5459" s="7">
        <v>1</v>
      </c>
      <c r="E5459" s="7">
        <v>91</v>
      </c>
      <c r="F5459" s="7">
        <v>1</v>
      </c>
      <c r="G5459" s="8" t="s">
        <v>2144</v>
      </c>
      <c r="H5459" s="8" t="s">
        <v>1242</v>
      </c>
      <c r="I5459" s="7" t="str">
        <f>_xlfn.CONCAT(Paper_Reference[[#This Row],[Lvl]:[Paper Description]])</f>
        <v>3USBWX231PK01US BOWLING WX231 2 LANE PK191110000020-6200Premium Inkjet MPK 9653</v>
      </c>
      <c r="J5459" s="7">
        <f>COUNTIF(Paper_Reference[Duplicate Key],Paper_Reference[[#This Row],[Duplicate Key]])</f>
        <v>1</v>
      </c>
    </row>
    <row r="5460" spans="1:10">
      <c r="A5460" s="7">
        <v>3</v>
      </c>
      <c r="B5460" s="8" t="s">
        <v>2042</v>
      </c>
      <c r="C5460" s="8" t="s">
        <v>1563</v>
      </c>
      <c r="D5460" s="7">
        <v>1</v>
      </c>
      <c r="E5460" s="7">
        <v>91</v>
      </c>
      <c r="F5460" s="7">
        <v>6</v>
      </c>
      <c r="G5460" s="8" t="s">
        <v>1241</v>
      </c>
      <c r="H5460" s="8" t="s">
        <v>1242</v>
      </c>
      <c r="I5460" s="7" t="str">
        <f>_xlfn.CONCAT(Paper_Reference[[#This Row],[Lvl]:[Paper Description]])</f>
        <v>3USBWX231PK01US BOWLING WX231 2 LANE PK191610000020-5000Premium Inkjet MPK 9653</v>
      </c>
      <c r="J5460" s="7">
        <f>COUNTIF(Paper_Reference[Duplicate Key],Paper_Reference[[#This Row],[Duplicate Key]])</f>
        <v>1</v>
      </c>
    </row>
    <row r="5461" spans="1:10">
      <c r="A5461" s="7">
        <v>3</v>
      </c>
      <c r="B5461" s="8" t="s">
        <v>6537</v>
      </c>
      <c r="C5461" s="8" t="s">
        <v>6012</v>
      </c>
      <c r="D5461" s="7">
        <v>1</v>
      </c>
      <c r="E5461" s="7">
        <v>91</v>
      </c>
      <c r="F5461" s="7">
        <v>1</v>
      </c>
      <c r="G5461" s="8" t="s">
        <v>5690</v>
      </c>
      <c r="H5461" s="8" t="s">
        <v>5691</v>
      </c>
      <c r="I5461" s="7" t="str">
        <f>_xlfn.CONCAT(Paper_Reference[[#This Row],[Lvl]:[Paper Description]])</f>
        <v>3USMG160APPK1DIG/MG160 UV TWO LANE PACK1911100DS009-6200FROSTY WHITE</v>
      </c>
      <c r="J5461" s="7">
        <f>COUNTIF(Paper_Reference[Duplicate Key],Paper_Reference[[#This Row],[Duplicate Key]])</f>
        <v>1</v>
      </c>
    </row>
    <row r="5462" spans="1:10">
      <c r="A5462" s="7">
        <v>3</v>
      </c>
      <c r="B5462" s="8" t="s">
        <v>6537</v>
      </c>
      <c r="C5462" s="8" t="s">
        <v>6012</v>
      </c>
      <c r="D5462" s="7">
        <v>1</v>
      </c>
      <c r="E5462" s="7">
        <v>91</v>
      </c>
      <c r="F5462" s="7">
        <v>2</v>
      </c>
      <c r="G5462" s="8" t="s">
        <v>6710</v>
      </c>
      <c r="H5462" s="8" t="s">
        <v>5691</v>
      </c>
      <c r="I5462" s="7" t="str">
        <f>_xlfn.CONCAT(Paper_Reference[[#This Row],[Lvl]:[Paper Description]])</f>
        <v>3USMG160APPK1DIG/MG160 UV TWO LANE PACK1912100DS009-5000FROSTY WHITE</v>
      </c>
      <c r="J5462" s="7">
        <f>COUNTIF(Paper_Reference[Duplicate Key],Paper_Reference[[#This Row],[Duplicate Key]])</f>
        <v>1</v>
      </c>
    </row>
    <row r="5463" spans="1:10">
      <c r="A5463" s="7">
        <v>4</v>
      </c>
      <c r="B5463" s="8" t="s">
        <v>3215</v>
      </c>
      <c r="C5463" s="8" t="s">
        <v>3104</v>
      </c>
      <c r="D5463" s="7">
        <v>1</v>
      </c>
      <c r="E5463" s="7">
        <v>91</v>
      </c>
      <c r="F5463" s="7">
        <v>1</v>
      </c>
      <c r="G5463" s="8" t="s">
        <v>3115</v>
      </c>
      <c r="H5463" s="8" t="s">
        <v>3090</v>
      </c>
      <c r="I5463" s="7" t="str">
        <f>_xlfn.CONCAT(Paper_Reference[[#This Row],[Lvl]:[Paper Description]])</f>
        <v>4VNWF131APPK1VANA UV 2 LANE PK1911100WF131-6200VANA</v>
      </c>
      <c r="J5463" s="7">
        <f>COUNTIF(Paper_Reference[Duplicate Key],Paper_Reference[[#This Row],[Duplicate Key]])</f>
        <v>1</v>
      </c>
    </row>
    <row r="5464" spans="1:10">
      <c r="A5464" s="7">
        <v>4</v>
      </c>
      <c r="B5464" s="8" t="s">
        <v>3216</v>
      </c>
      <c r="C5464" s="8" t="s">
        <v>3105</v>
      </c>
      <c r="D5464" s="7">
        <v>1</v>
      </c>
      <c r="E5464" s="7">
        <v>91</v>
      </c>
      <c r="F5464" s="7">
        <v>1</v>
      </c>
      <c r="G5464" s="8" t="s">
        <v>3115</v>
      </c>
      <c r="H5464" s="8" t="s">
        <v>3090</v>
      </c>
      <c r="I5464" s="7" t="str">
        <f>_xlfn.CONCAT(Paper_Reference[[#This Row],[Lvl]:[Paper Description]])</f>
        <v>4VNWF131APPK2VANA 2 LANE PK1911100WF131-6200VANA</v>
      </c>
      <c r="J5464" s="7">
        <f>COUNTIF(Paper_Reference[Duplicate Key],Paper_Reference[[#This Row],[Duplicate Key]])</f>
        <v>1</v>
      </c>
    </row>
    <row r="5465" spans="1:10">
      <c r="A5465" s="7">
        <v>4</v>
      </c>
      <c r="B5465" s="8" t="s">
        <v>3217</v>
      </c>
      <c r="C5465" s="8" t="s">
        <v>3104</v>
      </c>
      <c r="D5465" s="7">
        <v>1</v>
      </c>
      <c r="E5465" s="7">
        <v>91</v>
      </c>
      <c r="F5465" s="7">
        <v>1</v>
      </c>
      <c r="G5465" s="8" t="s">
        <v>3115</v>
      </c>
      <c r="H5465" s="8" t="s">
        <v>3090</v>
      </c>
      <c r="I5465" s="7" t="str">
        <f>_xlfn.CONCAT(Paper_Reference[[#This Row],[Lvl]:[Paper Description]])</f>
        <v>4VNWF131APPK3VANA UV 2 LANE PK1911100WF131-6200VANA</v>
      </c>
      <c r="J5465" s="7">
        <f>COUNTIF(Paper_Reference[Duplicate Key],Paper_Reference[[#This Row],[Duplicate Key]])</f>
        <v>1</v>
      </c>
    </row>
    <row r="5466" spans="1:10">
      <c r="A5466" s="7">
        <v>4</v>
      </c>
      <c r="B5466" s="8" t="s">
        <v>3218</v>
      </c>
      <c r="C5466" s="8" t="s">
        <v>3106</v>
      </c>
      <c r="D5466" s="7">
        <v>1</v>
      </c>
      <c r="E5466" s="7">
        <v>91</v>
      </c>
      <c r="F5466" s="7">
        <v>1</v>
      </c>
      <c r="G5466" s="8" t="s">
        <v>3115</v>
      </c>
      <c r="H5466" s="8" t="s">
        <v>3090</v>
      </c>
      <c r="I5466" s="7" t="str">
        <f>_xlfn.CONCAT(Paper_Reference[[#This Row],[Lvl]:[Paper Description]])</f>
        <v>4VNWF131APPK4VANA UV 2 LEFT ONLY LP1911100WF131-6200VANA</v>
      </c>
      <c r="J5466" s="7">
        <f>COUNTIF(Paper_Reference[Duplicate Key],Paper_Reference[[#This Row],[Duplicate Key]])</f>
        <v>1</v>
      </c>
    </row>
    <row r="5467" spans="1:10">
      <c r="A5467" s="7">
        <v>4</v>
      </c>
      <c r="B5467" s="8" t="s">
        <v>3219</v>
      </c>
      <c r="C5467" s="8" t="s">
        <v>3107</v>
      </c>
      <c r="D5467" s="7">
        <v>1</v>
      </c>
      <c r="E5467" s="7">
        <v>91</v>
      </c>
      <c r="F5467" s="7">
        <v>1</v>
      </c>
      <c r="G5467" s="8" t="s">
        <v>3115</v>
      </c>
      <c r="H5467" s="8" t="s">
        <v>3090</v>
      </c>
      <c r="I5467" s="7" t="str">
        <f>_xlfn.CONCAT(Paper_Reference[[#This Row],[Lvl]:[Paper Description]])</f>
        <v>4VNWF131APPK5VANA UV 2 RIGHT ONLY LP1911100WF131-6200VANA</v>
      </c>
      <c r="J5467" s="7">
        <f>COUNTIF(Paper_Reference[Duplicate Key],Paper_Reference[[#This Row],[Duplicate Key]])</f>
        <v>1</v>
      </c>
    </row>
    <row r="5468" spans="1:10">
      <c r="A5468" s="7">
        <v>4</v>
      </c>
      <c r="B5468" s="8" t="s">
        <v>3220</v>
      </c>
      <c r="C5468" s="8" t="s">
        <v>3108</v>
      </c>
      <c r="D5468" s="7">
        <v>1</v>
      </c>
      <c r="E5468" s="7">
        <v>91</v>
      </c>
      <c r="F5468" s="7">
        <v>1</v>
      </c>
      <c r="G5468" s="8" t="s">
        <v>3115</v>
      </c>
      <c r="H5468" s="8" t="s">
        <v>3090</v>
      </c>
      <c r="I5468" s="7" t="str">
        <f>_xlfn.CONCAT(Paper_Reference[[#This Row],[Lvl]:[Paper Description]])</f>
        <v>4VNWF131APPK6VANA NG RIGHT ONLY LP1911100WF131-6200VANA</v>
      </c>
      <c r="J5468" s="7">
        <f>COUNTIF(Paper_Reference[Duplicate Key],Paper_Reference[[#This Row],[Duplicate Key]])</f>
        <v>1</v>
      </c>
    </row>
    <row r="5469" spans="1:10">
      <c r="A5469" s="7">
        <v>4</v>
      </c>
      <c r="B5469" s="8" t="s">
        <v>3221</v>
      </c>
      <c r="C5469" s="8" t="s">
        <v>3109</v>
      </c>
      <c r="D5469" s="7">
        <v>1</v>
      </c>
      <c r="E5469" s="7">
        <v>91</v>
      </c>
      <c r="F5469" s="7">
        <v>1</v>
      </c>
      <c r="G5469" s="8" t="s">
        <v>3115</v>
      </c>
      <c r="H5469" s="8" t="s">
        <v>3090</v>
      </c>
      <c r="I5469" s="7" t="str">
        <f>_xlfn.CONCAT(Paper_Reference[[#This Row],[Lvl]:[Paper Description]])</f>
        <v>4VNWF131APPK7VANA PRO UV 2 LANE PK1911100WF131-6200VANA</v>
      </c>
      <c r="J5469" s="7">
        <f>COUNTIF(Paper_Reference[Duplicate Key],Paper_Reference[[#This Row],[Duplicate Key]])</f>
        <v>1</v>
      </c>
    </row>
    <row r="5470" spans="1:10">
      <c r="A5470" s="7">
        <v>3</v>
      </c>
      <c r="B5470" s="8" t="s">
        <v>6538</v>
      </c>
      <c r="C5470" s="8" t="s">
        <v>6013</v>
      </c>
      <c r="D5470" s="7">
        <v>1</v>
      </c>
      <c r="E5470" s="7">
        <v>91</v>
      </c>
      <c r="F5470" s="7">
        <v>1</v>
      </c>
      <c r="G5470" s="8" t="s">
        <v>6710</v>
      </c>
      <c r="H5470" s="8" t="s">
        <v>5691</v>
      </c>
      <c r="I5470" s="7" t="str">
        <f>_xlfn.CONCAT(Paper_Reference[[#This Row],[Lvl]:[Paper Description]])</f>
        <v>3WAHP272APPK1WANDERER UV TWO LANE PACK1911100DS009-5000FROSTY WHITE</v>
      </c>
      <c r="J5470" s="7">
        <f>COUNTIF(Paper_Reference[Duplicate Key],Paper_Reference[[#This Row],[Duplicate Key]])</f>
        <v>1</v>
      </c>
    </row>
    <row r="5471" spans="1:10">
      <c r="A5471" s="7">
        <v>3</v>
      </c>
      <c r="B5471" s="8" t="s">
        <v>6538</v>
      </c>
      <c r="C5471" s="8" t="s">
        <v>6013</v>
      </c>
      <c r="D5471" s="7">
        <v>1</v>
      </c>
      <c r="E5471" s="7">
        <v>91</v>
      </c>
      <c r="F5471" s="7">
        <v>1</v>
      </c>
      <c r="G5471" s="8" t="s">
        <v>5690</v>
      </c>
      <c r="H5471" s="8" t="s">
        <v>5691</v>
      </c>
      <c r="I5471" s="7" t="str">
        <f>_xlfn.CONCAT(Paper_Reference[[#This Row],[Lvl]:[Paper Description]])</f>
        <v>3WAHP272APPK1WANDERER UV TWO LANE PACK1911100DS009-6200FROSTY WHITE</v>
      </c>
      <c r="J5471" s="7">
        <f>COUNTIF(Paper_Reference[Duplicate Key],Paper_Reference[[#This Row],[Duplicate Key]])</f>
        <v>1</v>
      </c>
    </row>
    <row r="5472" spans="1:10">
      <c r="A5472" s="7">
        <v>3</v>
      </c>
      <c r="B5472" s="8" t="s">
        <v>6539</v>
      </c>
      <c r="C5472" s="8" t="s">
        <v>6014</v>
      </c>
      <c r="D5472" s="7">
        <v>1</v>
      </c>
      <c r="E5472" s="7">
        <v>91</v>
      </c>
      <c r="F5472" s="7">
        <v>1</v>
      </c>
      <c r="G5472" s="8" t="s">
        <v>6710</v>
      </c>
      <c r="H5472" s="8" t="s">
        <v>5691</v>
      </c>
      <c r="I5472" s="7" t="str">
        <f>_xlfn.CONCAT(Paper_Reference[[#This Row],[Lvl]:[Paper Description]])</f>
        <v>3WAHP272APPK2WANDERER DIG UV 2LP1911100DS009-5000FROSTY WHITE</v>
      </c>
      <c r="J5472" s="7">
        <f>COUNTIF(Paper_Reference[Duplicate Key],Paper_Reference[[#This Row],[Duplicate Key]])</f>
        <v>1</v>
      </c>
    </row>
    <row r="5473" spans="1:10">
      <c r="A5473" s="7">
        <v>3</v>
      </c>
      <c r="B5473" s="8" t="s">
        <v>6539</v>
      </c>
      <c r="C5473" s="8" t="s">
        <v>6014</v>
      </c>
      <c r="D5473" s="7">
        <v>1</v>
      </c>
      <c r="E5473" s="7">
        <v>91</v>
      </c>
      <c r="F5473" s="7">
        <v>1</v>
      </c>
      <c r="G5473" s="8" t="s">
        <v>5690</v>
      </c>
      <c r="H5473" s="8" t="s">
        <v>5691</v>
      </c>
      <c r="I5473" s="7" t="str">
        <f>_xlfn.CONCAT(Paper_Reference[[#This Row],[Lvl]:[Paper Description]])</f>
        <v>3WAHP272APPK2WANDERER DIG UV 2LP1911100DS009-6200FROSTY WHITE</v>
      </c>
      <c r="J5473" s="7">
        <f>COUNTIF(Paper_Reference[Duplicate Key],Paper_Reference[[#This Row],[Duplicate Key]])</f>
        <v>1</v>
      </c>
    </row>
    <row r="5474" spans="1:10">
      <c r="A5474" s="7">
        <v>4</v>
      </c>
      <c r="B5474" s="8" t="s">
        <v>479</v>
      </c>
      <c r="C5474" s="8" t="s">
        <v>255</v>
      </c>
      <c r="D5474" s="7">
        <v>1</v>
      </c>
      <c r="E5474" s="7">
        <v>91</v>
      </c>
      <c r="F5474" s="7">
        <v>1</v>
      </c>
      <c r="G5474" s="8" t="s">
        <v>215</v>
      </c>
      <c r="H5474" s="8" t="s">
        <v>422</v>
      </c>
      <c r="I5474" s="7" t="str">
        <f>_xlfn.CONCAT(Paper_Reference[[#This Row],[Lvl]:[Paper Description]])</f>
        <v>4WPHP272APPK2WANDERER HP272 PRO 2LP SH1911100WM101-6200RIGHT BRUNSWICK MAPLE (W)</v>
      </c>
      <c r="J5474" s="7">
        <f>COUNTIF(Paper_Reference[Duplicate Key],Paper_Reference[[#This Row],[Duplicate Key]])</f>
        <v>1</v>
      </c>
    </row>
    <row r="5475" spans="1:10">
      <c r="A5475" s="7">
        <v>4</v>
      </c>
      <c r="B5475" s="8" t="s">
        <v>479</v>
      </c>
      <c r="C5475" s="8" t="s">
        <v>255</v>
      </c>
      <c r="D5475" s="7">
        <v>1</v>
      </c>
      <c r="E5475" s="7">
        <v>91</v>
      </c>
      <c r="F5475" s="7">
        <v>1</v>
      </c>
      <c r="G5475" s="8" t="s">
        <v>216</v>
      </c>
      <c r="H5475" s="8" t="s">
        <v>424</v>
      </c>
      <c r="I5475" s="7" t="str">
        <f>_xlfn.CONCAT(Paper_Reference[[#This Row],[Lvl]:[Paper Description]])</f>
        <v>4WPHP272APPK2WANDERER HP272 PRO 2LP SH1911100WM981-6200LEFT BRUNSWICK MAPLE (W)</v>
      </c>
      <c r="J5475" s="7">
        <f>COUNTIF(Paper_Reference[Duplicate Key],Paper_Reference[[#This Row],[Duplicate Key]])</f>
        <v>1</v>
      </c>
    </row>
    <row r="5476" spans="1:10">
      <c r="A5476" s="7">
        <v>4</v>
      </c>
      <c r="B5476" s="8" t="s">
        <v>479</v>
      </c>
      <c r="C5476" s="8" t="s">
        <v>255</v>
      </c>
      <c r="D5476" s="7">
        <v>1</v>
      </c>
      <c r="E5476" s="7">
        <v>91</v>
      </c>
      <c r="F5476" s="7">
        <v>2</v>
      </c>
      <c r="G5476" s="8" t="s">
        <v>214</v>
      </c>
      <c r="H5476" s="8" t="s">
        <v>423</v>
      </c>
      <c r="I5476" s="7" t="str">
        <f>_xlfn.CONCAT(Paper_Reference[[#This Row],[Lvl]:[Paper Description]])</f>
        <v>4WPHP272APPK2WANDERER HP272 PRO 2LP SH1912100WM991-4300MAPLE LANE PRINT (W)</v>
      </c>
      <c r="J5476" s="7">
        <f>COUNTIF(Paper_Reference[Duplicate Key],Paper_Reference[[#This Row],[Duplicate Key]])</f>
        <v>1</v>
      </c>
    </row>
    <row r="5477" spans="1:10">
      <c r="A5477" s="7">
        <v>4</v>
      </c>
      <c r="B5477" s="8" t="s">
        <v>580</v>
      </c>
      <c r="C5477" s="8" t="s">
        <v>351</v>
      </c>
      <c r="D5477" s="7">
        <v>1</v>
      </c>
      <c r="E5477" s="7">
        <v>91</v>
      </c>
      <c r="F5477" s="7">
        <v>1</v>
      </c>
      <c r="G5477" s="8" t="s">
        <v>217</v>
      </c>
      <c r="H5477" s="8" t="s">
        <v>3229</v>
      </c>
      <c r="I5477" s="7" t="str">
        <f>_xlfn.CONCAT(Paper_Reference[[#This Row],[Lvl]:[Paper Description]])</f>
        <v>4WPWM361APPK2WM361 UV WAN/SYN W/BL 2 LP1911100WM301-6200IQ MAPLE LANE (C) 60 X 144</v>
      </c>
      <c r="J5477" s="7">
        <f>COUNTIF(Paper_Reference[Duplicate Key],Paper_Reference[[#This Row],[Duplicate Key]])</f>
        <v>1</v>
      </c>
    </row>
    <row r="5478" spans="1:10">
      <c r="A5478" s="7">
        <v>4</v>
      </c>
      <c r="B5478" s="8" t="s">
        <v>580</v>
      </c>
      <c r="C5478" s="8" t="s">
        <v>351</v>
      </c>
      <c r="D5478" s="7">
        <v>1</v>
      </c>
      <c r="E5478" s="7">
        <v>91</v>
      </c>
      <c r="F5478" s="7">
        <v>1</v>
      </c>
      <c r="G5478" s="8" t="s">
        <v>217</v>
      </c>
      <c r="H5478" s="8" t="s">
        <v>425</v>
      </c>
      <c r="I5478" s="7" t="str">
        <f>_xlfn.CONCAT(Paper_Reference[[#This Row],[Lvl]:[Paper Description]])</f>
        <v>4WPWM361APPK2WM361 UV WAN/SYN W/BL 2 LP1911100WM301-6200IQ MAPLE LANE (CENTER)</v>
      </c>
      <c r="J5478" s="7">
        <f>COUNTIF(Paper_Reference[Duplicate Key],Paper_Reference[[#This Row],[Duplicate Key]])</f>
        <v>1</v>
      </c>
    </row>
    <row r="5479" spans="1:10">
      <c r="A5479" s="7">
        <v>2</v>
      </c>
      <c r="B5479" s="8" t="s">
        <v>2806</v>
      </c>
      <c r="C5479" s="8" t="s">
        <v>2320</v>
      </c>
      <c r="D5479" s="7">
        <v>1</v>
      </c>
      <c r="E5479" s="7">
        <v>10</v>
      </c>
      <c r="F5479" s="7">
        <v>2</v>
      </c>
      <c r="G5479" s="8" t="s">
        <v>2144</v>
      </c>
      <c r="H5479" s="8" t="s">
        <v>1242</v>
      </c>
      <c r="I5479" s="7" t="str">
        <f>_xlfn.CONCAT(Paper_Reference[[#This Row],[Lvl]:[Paper Description]])</f>
        <v>2X75FS020SDPFQFRL #00020 BLANK DIG SH 60 X 1110210000020-6200Premium Inkjet MPK 9653</v>
      </c>
      <c r="J5479" s="7">
        <f>COUNTIF(Paper_Reference[Duplicate Key],Paper_Reference[[#This Row],[Duplicate Key]])</f>
        <v>1</v>
      </c>
    </row>
    <row r="5480" spans="1:10">
      <c r="A5480" s="7">
        <v>2</v>
      </c>
      <c r="B5480" s="8" t="s">
        <v>2806</v>
      </c>
      <c r="C5480" s="8" t="s">
        <v>2320</v>
      </c>
      <c r="D5480" s="7">
        <v>1</v>
      </c>
      <c r="E5480" s="7">
        <v>10</v>
      </c>
      <c r="F5480" s="7">
        <v>2</v>
      </c>
      <c r="G5480" s="8" t="s">
        <v>5690</v>
      </c>
      <c r="H5480" s="8" t="s">
        <v>5691</v>
      </c>
      <c r="I5480" s="7" t="str">
        <f>_xlfn.CONCAT(Paper_Reference[[#This Row],[Lvl]:[Paper Description]])</f>
        <v>2X75FS020SDPFQFRL #00020 BLANK DIG SH 60 X 11102100DS009-6200FROSTY WHITE</v>
      </c>
      <c r="J5480" s="7">
        <f>COUNTIF(Paper_Reference[Duplicate Key],Paper_Reference[[#This Row],[Duplicate Key]])</f>
        <v>1</v>
      </c>
    </row>
    <row r="5481" spans="1:10">
      <c r="A5481" s="7">
        <v>2</v>
      </c>
      <c r="B5481" s="8" t="s">
        <v>6540</v>
      </c>
      <c r="C5481" s="8" t="s">
        <v>6015</v>
      </c>
      <c r="D5481" s="7">
        <v>1</v>
      </c>
      <c r="E5481" s="7">
        <v>10</v>
      </c>
      <c r="F5481" s="7">
        <v>2</v>
      </c>
      <c r="G5481" s="8" t="s">
        <v>5690</v>
      </c>
      <c r="H5481" s="8" t="s">
        <v>5691</v>
      </c>
      <c r="I5481" s="7" t="str">
        <f>_xlfn.CONCAT(Paper_Reference[[#This Row],[Lvl]:[Paper Description]])</f>
        <v>2X75FS576N500FRL FROSTY WHITE 60 X 1201102100DS009-6200FROSTY WHITE</v>
      </c>
      <c r="J5481" s="7">
        <f>COUNTIF(Paper_Reference[Duplicate Key],Paper_Reference[[#This Row],[Duplicate Key]])</f>
        <v>1</v>
      </c>
    </row>
    <row r="5482" spans="1:10">
      <c r="A5482" s="7">
        <v>2</v>
      </c>
      <c r="B5482" s="8" t="s">
        <v>5358</v>
      </c>
      <c r="C5482" s="8" t="s">
        <v>4614</v>
      </c>
      <c r="D5482" s="7">
        <v>1</v>
      </c>
      <c r="E5482" s="7">
        <v>10</v>
      </c>
      <c r="F5482" s="7">
        <v>2</v>
      </c>
      <c r="G5482" s="8" t="s">
        <v>4371</v>
      </c>
      <c r="H5482" s="8" t="s">
        <v>4372</v>
      </c>
      <c r="I5482" s="7" t="str">
        <f>_xlfn.CONCAT(Paper_Reference[[#This Row],[Lvl]:[Paper Description]])</f>
        <v>2X75FS760SDPFQFRL BLACK 60 X 1201102100DS064-6200BLACK</v>
      </c>
      <c r="J5482" s="7">
        <f>COUNTIF(Paper_Reference[Duplicate Key],Paper_Reference[[#This Row],[Duplicate Key]])</f>
        <v>1</v>
      </c>
    </row>
    <row r="5483" spans="1:10">
      <c r="A5483" s="7">
        <v>2</v>
      </c>
      <c r="B5483" s="8" t="s">
        <v>8653</v>
      </c>
      <c r="C5483" s="8" t="s">
        <v>8395</v>
      </c>
      <c r="D5483" s="7">
        <v>1</v>
      </c>
      <c r="E5483" s="7">
        <v>10</v>
      </c>
      <c r="F5483" s="7">
        <v>2</v>
      </c>
      <c r="G5483" s="8" t="s">
        <v>8302</v>
      </c>
      <c r="H5483" s="8" t="s">
        <v>8303</v>
      </c>
      <c r="I5483" s="7" t="str">
        <f>_xlfn.CONCAT(Paper_Reference[[#This Row],[Lvl]:[Paper Description]])</f>
        <v>2X75FS853NNYRFRL ICE WHITE 60 X 961102100SW813-6200ICE WHITE</v>
      </c>
      <c r="J5483" s="7">
        <f>COUNTIF(Paper_Reference[Duplicate Key],Paper_Reference[[#This Row],[Duplicate Key]])</f>
        <v>1</v>
      </c>
    </row>
    <row r="5484" spans="1:10">
      <c r="A5484" s="7">
        <v>2</v>
      </c>
      <c r="B5484" s="8" t="s">
        <v>8654</v>
      </c>
      <c r="C5484" s="8" t="s">
        <v>8395</v>
      </c>
      <c r="D5484" s="7">
        <v>1</v>
      </c>
      <c r="E5484" s="7">
        <v>10</v>
      </c>
      <c r="F5484" s="7">
        <v>2</v>
      </c>
      <c r="G5484" s="8" t="s">
        <v>8302</v>
      </c>
      <c r="H5484" s="8" t="s">
        <v>8303</v>
      </c>
      <c r="I5484" s="7" t="str">
        <f>_xlfn.CONCAT(Paper_Reference[[#This Row],[Lvl]:[Paper Description]])</f>
        <v>2X75FS853SDNYR3FRL ICE WHITE 60 X 961102100SW813-6200ICE WHITE</v>
      </c>
      <c r="J5484" s="7">
        <f>COUNTIF(Paper_Reference[Duplicate Key],Paper_Reference[[#This Row],[Duplicate Key]])</f>
        <v>1</v>
      </c>
    </row>
    <row r="5485" spans="1:10">
      <c r="A5485" s="7">
        <v>2</v>
      </c>
      <c r="B5485" s="8" t="s">
        <v>8655</v>
      </c>
      <c r="C5485" s="8" t="s">
        <v>8396</v>
      </c>
      <c r="D5485" s="7">
        <v>1</v>
      </c>
      <c r="E5485" s="7">
        <v>10</v>
      </c>
      <c r="F5485" s="7">
        <v>2</v>
      </c>
      <c r="G5485" s="8" t="s">
        <v>8302</v>
      </c>
      <c r="H5485" s="8" t="s">
        <v>8303</v>
      </c>
      <c r="I5485" s="7" t="str">
        <f>_xlfn.CONCAT(Paper_Reference[[#This Row],[Lvl]:[Paper Description]])</f>
        <v>2X75FS853SDPFQFRL ICE WHITE 60 X 1201102100SW813-6200ICE WHITE</v>
      </c>
      <c r="J5485" s="7">
        <f>COUNTIF(Paper_Reference[Duplicate Key],Paper_Reference[[#This Row],[Duplicate Key]])</f>
        <v>1</v>
      </c>
    </row>
    <row r="5486" spans="1:10">
      <c r="A5486" s="7">
        <v>2</v>
      </c>
      <c r="B5486" s="8" t="s">
        <v>5685</v>
      </c>
      <c r="C5486" s="8" t="s">
        <v>5474</v>
      </c>
      <c r="D5486" s="7">
        <v>1</v>
      </c>
      <c r="E5486" s="7">
        <v>10</v>
      </c>
      <c r="F5486" s="7">
        <v>2</v>
      </c>
      <c r="G5486" s="8" t="s">
        <v>5373</v>
      </c>
      <c r="H5486" s="8" t="s">
        <v>5374</v>
      </c>
      <c r="I5486" s="7" t="str">
        <f>_xlfn.CONCAT(Paper_Reference[[#This Row],[Lvl]:[Paper Description]])</f>
        <v>2X75FW282NNYRFRL GUN SAVOY WALNUT 60 X 961102100WW971-6200GUN SAVOY WALNUT</v>
      </c>
      <c r="J5486" s="7">
        <f>COUNTIF(Paper_Reference[Duplicate Key],Paper_Reference[[#This Row],[Duplicate Key]])</f>
        <v>1</v>
      </c>
    </row>
    <row r="5487" spans="1:10">
      <c r="A5487" s="7">
        <v>2</v>
      </c>
      <c r="B5487" s="8" t="s">
        <v>5686</v>
      </c>
      <c r="C5487" s="8" t="s">
        <v>5475</v>
      </c>
      <c r="D5487" s="7">
        <v>1</v>
      </c>
      <c r="E5487" s="7">
        <v>10</v>
      </c>
      <c r="F5487" s="7">
        <v>2</v>
      </c>
      <c r="G5487" s="8" t="s">
        <v>5373</v>
      </c>
      <c r="H5487" s="8" t="s">
        <v>5374</v>
      </c>
      <c r="I5487" s="7" t="str">
        <f>_xlfn.CONCAT(Paper_Reference[[#This Row],[Lvl]:[Paper Description]])</f>
        <v>2X75FW282NPFQFRL GUNSAVOY WALNUT 60 X 1201102100WW971-6200GUN SAVOY WALNUT</v>
      </c>
      <c r="J5487" s="7">
        <f>COUNTIF(Paper_Reference[Duplicate Key],Paper_Reference[[#This Row],[Duplicate Key]])</f>
        <v>1</v>
      </c>
    </row>
    <row r="5488" spans="1:10">
      <c r="A5488" s="7">
        <v>2</v>
      </c>
      <c r="B5488" s="8" t="s">
        <v>5687</v>
      </c>
      <c r="C5488" s="8" t="s">
        <v>5474</v>
      </c>
      <c r="D5488" s="7">
        <v>1</v>
      </c>
      <c r="E5488" s="7">
        <v>10</v>
      </c>
      <c r="F5488" s="7">
        <v>2</v>
      </c>
      <c r="G5488" s="8" t="s">
        <v>5373</v>
      </c>
      <c r="H5488" s="8" t="s">
        <v>5374</v>
      </c>
      <c r="I5488" s="7" t="str">
        <f>_xlfn.CONCAT(Paper_Reference[[#This Row],[Lvl]:[Paper Description]])</f>
        <v>2X75FW282SDNYRFRL GUN SAVOY WALNUT 60 X 961102100WW971-6200GUN SAVOY WALNUT</v>
      </c>
      <c r="J5488" s="7">
        <f>COUNTIF(Paper_Reference[Duplicate Key],Paper_Reference[[#This Row],[Duplicate Key]])</f>
        <v>1</v>
      </c>
    </row>
    <row r="5489" spans="1:10">
      <c r="A5489" s="7">
        <v>2</v>
      </c>
      <c r="B5489" s="8" t="s">
        <v>5688</v>
      </c>
      <c r="C5489" s="8" t="s">
        <v>5475</v>
      </c>
      <c r="D5489" s="7">
        <v>1</v>
      </c>
      <c r="E5489" s="7">
        <v>10</v>
      </c>
      <c r="F5489" s="7">
        <v>2</v>
      </c>
      <c r="G5489" s="8" t="s">
        <v>5373</v>
      </c>
      <c r="H5489" s="8" t="s">
        <v>5374</v>
      </c>
      <c r="I5489" s="7" t="str">
        <f>_xlfn.CONCAT(Paper_Reference[[#This Row],[Lvl]:[Paper Description]])</f>
        <v>2X75FW282SDPFQFRL GUNSAVOY WALNUT 60 X 1201102100WW971-6200GUN SAVOY WALNUT</v>
      </c>
      <c r="J5489" s="7">
        <f>COUNTIF(Paper_Reference[Duplicate Key],Paper_Reference[[#This Row],[Duplicate Key]])</f>
        <v>1</v>
      </c>
    </row>
    <row r="5490" spans="1:10">
      <c r="A5490" s="7">
        <v>2</v>
      </c>
      <c r="B5490" s="8" t="s">
        <v>5689</v>
      </c>
      <c r="C5490" s="8" t="s">
        <v>5476</v>
      </c>
      <c r="D5490" s="7">
        <v>1</v>
      </c>
      <c r="E5490" s="7">
        <v>10</v>
      </c>
      <c r="F5490" s="7">
        <v>2</v>
      </c>
      <c r="G5490" s="8" t="s">
        <v>5373</v>
      </c>
      <c r="H5490" s="8" t="s">
        <v>5374</v>
      </c>
      <c r="I5490" s="7" t="str">
        <f>_xlfn.CONCAT(Paper_Reference[[#This Row],[Lvl]:[Paper Description]])</f>
        <v>2X75FW282WEPFQFRL GUN SAVOY WALNUT 60 X 1201102100WW971-6200GUN SAVOY WALNUT</v>
      </c>
      <c r="J5490" s="7">
        <f>COUNTIF(Paper_Reference[Duplicate Key],Paper_Reference[[#This Row],[Duplicate Key]])</f>
        <v>1</v>
      </c>
    </row>
    <row r="5491" spans="1:10">
      <c r="A5491" s="7">
        <v>2</v>
      </c>
      <c r="B5491" s="8" t="s">
        <v>3222</v>
      </c>
      <c r="C5491" s="8" t="s">
        <v>3110</v>
      </c>
      <c r="D5491" s="7">
        <v>1</v>
      </c>
      <c r="E5491" s="7">
        <v>10</v>
      </c>
      <c r="F5491" s="7">
        <v>1</v>
      </c>
      <c r="G5491" s="8" t="s">
        <v>3115</v>
      </c>
      <c r="H5491" s="8" t="s">
        <v>3090</v>
      </c>
      <c r="I5491" s="7" t="str">
        <f>_xlfn.CONCAT(Paper_Reference[[#This Row],[Lvl]:[Paper Description]])</f>
        <v>2X75FW444NLSRFRL VANA  60 X 481101100WF131-6200VANA</v>
      </c>
      <c r="J5491" s="7">
        <f>COUNTIF(Paper_Reference[Duplicate Key],Paper_Reference[[#This Row],[Duplicate Key]])</f>
        <v>1</v>
      </c>
    </row>
    <row r="5492" spans="1:10">
      <c r="A5492" s="7">
        <v>2</v>
      </c>
      <c r="B5492" s="8" t="s">
        <v>3223</v>
      </c>
      <c r="C5492" s="8" t="s">
        <v>3111</v>
      </c>
      <c r="D5492" s="7">
        <v>1</v>
      </c>
      <c r="E5492" s="7">
        <v>10</v>
      </c>
      <c r="F5492" s="7">
        <v>2</v>
      </c>
      <c r="G5492" s="8" t="s">
        <v>3115</v>
      </c>
      <c r="H5492" s="8" t="s">
        <v>3090</v>
      </c>
      <c r="I5492" s="7" t="str">
        <f>_xlfn.CONCAT(Paper_Reference[[#This Row],[Lvl]:[Paper Description]])</f>
        <v>2X75FW444NNYRFRL VANA 60 X 961102100WF131-6200VANA</v>
      </c>
      <c r="J5492" s="7">
        <f>COUNTIF(Paper_Reference[Duplicate Key],Paper_Reference[[#This Row],[Duplicate Key]])</f>
        <v>1</v>
      </c>
    </row>
    <row r="5493" spans="1:10">
      <c r="A5493" s="7">
        <v>2</v>
      </c>
      <c r="B5493" s="8" t="s">
        <v>3224</v>
      </c>
      <c r="C5493" s="8" t="s">
        <v>3112</v>
      </c>
      <c r="D5493" s="7">
        <v>1</v>
      </c>
      <c r="E5493" s="7">
        <v>10</v>
      </c>
      <c r="F5493" s="7">
        <v>2</v>
      </c>
      <c r="G5493" s="8" t="s">
        <v>3115</v>
      </c>
      <c r="H5493" s="8" t="s">
        <v>3090</v>
      </c>
      <c r="I5493" s="7" t="str">
        <f>_xlfn.CONCAT(Paper_Reference[[#This Row],[Lvl]:[Paper Description]])</f>
        <v>2X75FW444NPFQFRL VANA 60 X 1201102100WF131-6200VANA</v>
      </c>
      <c r="J5493" s="7">
        <f>COUNTIF(Paper_Reference[Duplicate Key],Paper_Reference[[#This Row],[Duplicate Key]])</f>
        <v>1</v>
      </c>
    </row>
    <row r="5494" spans="1:10">
      <c r="A5494" s="7">
        <v>2</v>
      </c>
      <c r="B5494" s="8" t="s">
        <v>3225</v>
      </c>
      <c r="C5494" s="8" t="s">
        <v>3113</v>
      </c>
      <c r="D5494" s="7">
        <v>1</v>
      </c>
      <c r="E5494" s="7">
        <v>10</v>
      </c>
      <c r="F5494" s="7">
        <v>2</v>
      </c>
      <c r="G5494" s="8" t="s">
        <v>3115</v>
      </c>
      <c r="H5494" s="8" t="s">
        <v>3090</v>
      </c>
      <c r="I5494" s="7" t="str">
        <f>_xlfn.CONCAT(Paper_Reference[[#This Row],[Lvl]:[Paper Description]])</f>
        <v>2X75FW444NRAJFRL VANA 60 X 1081102100WF131-6200VANA</v>
      </c>
      <c r="J5494" s="7">
        <f>COUNTIF(Paper_Reference[Duplicate Key],Paper_Reference[[#This Row],[Duplicate Key]])</f>
        <v>1</v>
      </c>
    </row>
    <row r="5495" spans="1:10">
      <c r="A5495" s="7">
        <v>2</v>
      </c>
      <c r="B5495" s="8" t="s">
        <v>3226</v>
      </c>
      <c r="C5495" s="8" t="s">
        <v>3111</v>
      </c>
      <c r="D5495" s="7">
        <v>1</v>
      </c>
      <c r="E5495" s="7">
        <v>10</v>
      </c>
      <c r="F5495" s="7">
        <v>2</v>
      </c>
      <c r="G5495" s="8" t="s">
        <v>3115</v>
      </c>
      <c r="H5495" s="8" t="s">
        <v>3090</v>
      </c>
      <c r="I5495" s="7" t="str">
        <f>_xlfn.CONCAT(Paper_Reference[[#This Row],[Lvl]:[Paper Description]])</f>
        <v>2X75FW444SDNYRFRL VANA 60 X 961102100WF131-6200VANA</v>
      </c>
      <c r="J5495" s="7">
        <f>COUNTIF(Paper_Reference[Duplicate Key],Paper_Reference[[#This Row],[Duplicate Key]])</f>
        <v>1</v>
      </c>
    </row>
    <row r="5496" spans="1:10">
      <c r="A5496" s="7">
        <v>2</v>
      </c>
      <c r="B5496" s="8" t="s">
        <v>3227</v>
      </c>
      <c r="C5496" s="8" t="s">
        <v>3112</v>
      </c>
      <c r="D5496" s="7">
        <v>1</v>
      </c>
      <c r="E5496" s="7">
        <v>10</v>
      </c>
      <c r="F5496" s="7">
        <v>2</v>
      </c>
      <c r="G5496" s="8" t="s">
        <v>3115</v>
      </c>
      <c r="H5496" s="8" t="s">
        <v>3090</v>
      </c>
      <c r="I5496" s="7" t="str">
        <f>_xlfn.CONCAT(Paper_Reference[[#This Row],[Lvl]:[Paper Description]])</f>
        <v>2X75FW444SDPFQFRL VANA 60 X 1201102100WF131-6200VANA</v>
      </c>
      <c r="J5496" s="7">
        <f>COUNTIF(Paper_Reference[Duplicate Key],Paper_Reference[[#This Row],[Duplicate Key]])</f>
        <v>1</v>
      </c>
    </row>
    <row r="5497" spans="1:10">
      <c r="A5497" s="7">
        <v>2</v>
      </c>
      <c r="B5497" s="8" t="s">
        <v>3757</v>
      </c>
      <c r="C5497" s="8" t="s">
        <v>3309</v>
      </c>
      <c r="D5497" s="7">
        <v>1</v>
      </c>
      <c r="E5497" s="7">
        <v>10</v>
      </c>
      <c r="F5497" s="7">
        <v>2</v>
      </c>
      <c r="G5497" s="8" t="s">
        <v>3230</v>
      </c>
      <c r="H5497" s="8" t="s">
        <v>3231</v>
      </c>
      <c r="I5497" s="7" t="str">
        <f>_xlfn.CONCAT(Paper_Reference[[#This Row],[Lvl]:[Paper Description]])</f>
        <v>2X75NS184LNNYMFRL PRECISION WHITE 48 X 961102110SW736-5000PRECISION WHITE 43 X 145</v>
      </c>
      <c r="J5497" s="7">
        <f>COUNTIF(Paper_Reference[Duplicate Key],Paper_Reference[[#This Row],[Duplicate Key]])</f>
        <v>1</v>
      </c>
    </row>
    <row r="5498" spans="1:10">
      <c r="A5498" s="7">
        <v>2</v>
      </c>
      <c r="B5498" s="8" t="s">
        <v>4123</v>
      </c>
      <c r="C5498" s="8" t="s">
        <v>3311</v>
      </c>
      <c r="D5498" s="7">
        <v>1</v>
      </c>
      <c r="E5498" s="7">
        <v>10</v>
      </c>
      <c r="F5498" s="7">
        <v>2</v>
      </c>
      <c r="G5498" s="8" t="s">
        <v>3826</v>
      </c>
      <c r="H5498" s="8" t="s">
        <v>3827</v>
      </c>
      <c r="I5498" s="7" t="str">
        <f>_xlfn.CONCAT(Paper_Reference[[#This Row],[Lvl]:[Paper Description]])</f>
        <v>2X75NS184LNPFNFRL PRECISION WHITE 48 X 1201102110SW736-6200PRECISION WHITE 62"</v>
      </c>
      <c r="J5498" s="7">
        <f>COUNTIF(Paper_Reference[Duplicate Key],Paper_Reference[[#This Row],[Duplicate Key]])</f>
        <v>1</v>
      </c>
    </row>
    <row r="5499" spans="1:10">
      <c r="A5499" s="7">
        <v>2</v>
      </c>
      <c r="B5499" s="8" t="s">
        <v>3758</v>
      </c>
      <c r="C5499" s="8" t="s">
        <v>3310</v>
      </c>
      <c r="D5499" s="7">
        <v>1</v>
      </c>
      <c r="E5499" s="7">
        <v>10</v>
      </c>
      <c r="F5499" s="7">
        <v>2</v>
      </c>
      <c r="G5499" s="8" t="s">
        <v>3230</v>
      </c>
      <c r="H5499" s="8" t="s">
        <v>3231</v>
      </c>
      <c r="I5499" s="7" t="str">
        <f>_xlfn.CONCAT(Paper_Reference[[#This Row],[Lvl]:[Paper Description]])</f>
        <v>2X75NS184LNPNYFRL PRECISION WHITE 36 X 961102110SW736-5000PRECISION WHITE 43 X 145</v>
      </c>
      <c r="J5499" s="7">
        <f>COUNTIF(Paper_Reference[Duplicate Key],Paper_Reference[[#This Row],[Duplicate Key]])</f>
        <v>1</v>
      </c>
    </row>
    <row r="5500" spans="1:10">
      <c r="A5500" s="7">
        <v>2</v>
      </c>
      <c r="B5500" s="8" t="s">
        <v>3759</v>
      </c>
      <c r="C5500" s="8" t="s">
        <v>3309</v>
      </c>
      <c r="D5500" s="7">
        <v>1</v>
      </c>
      <c r="E5500" s="7">
        <v>10</v>
      </c>
      <c r="F5500" s="7">
        <v>2</v>
      </c>
      <c r="G5500" s="8" t="s">
        <v>3230</v>
      </c>
      <c r="H5500" s="8" t="s">
        <v>3231</v>
      </c>
      <c r="I5500" s="7" t="str">
        <f>_xlfn.CONCAT(Paper_Reference[[#This Row],[Lvl]:[Paper Description]])</f>
        <v>2X75NS184NNYMFRL PRECISION WHITE 48 X 961102110SW736-5000PRECISION WHITE 43 X 145</v>
      </c>
      <c r="J5500" s="7">
        <f>COUNTIF(Paper_Reference[Duplicate Key],Paper_Reference[[#This Row],[Duplicate Key]])</f>
        <v>1</v>
      </c>
    </row>
    <row r="5501" spans="1:10">
      <c r="A5501" s="7">
        <v>2</v>
      </c>
      <c r="B5501" s="8" t="s">
        <v>4124</v>
      </c>
      <c r="C5501" s="8" t="s">
        <v>3824</v>
      </c>
      <c r="D5501" s="7">
        <v>1</v>
      </c>
      <c r="E5501" s="7">
        <v>10</v>
      </c>
      <c r="F5501" s="7">
        <v>2</v>
      </c>
      <c r="G5501" s="8" t="s">
        <v>3826</v>
      </c>
      <c r="H5501" s="8" t="s">
        <v>3827</v>
      </c>
      <c r="I5501" s="7" t="str">
        <f>_xlfn.CONCAT(Paper_Reference[[#This Row],[Lvl]:[Paper Description]])</f>
        <v>2X75NS184NNYRFRL PRECISION WHITE 60 X 961102110SW736-6200PRECISION WHITE 62"</v>
      </c>
      <c r="J5501" s="7">
        <f>COUNTIF(Paper_Reference[Duplicate Key],Paper_Reference[[#This Row],[Duplicate Key]])</f>
        <v>1</v>
      </c>
    </row>
    <row r="5502" spans="1:10">
      <c r="A5502" s="7">
        <v>2</v>
      </c>
      <c r="B5502" s="8" t="s">
        <v>3760</v>
      </c>
      <c r="C5502" s="8" t="s">
        <v>3311</v>
      </c>
      <c r="D5502" s="7">
        <v>1</v>
      </c>
      <c r="E5502" s="7">
        <v>10</v>
      </c>
      <c r="F5502" s="7">
        <v>2</v>
      </c>
      <c r="G5502" s="8" t="s">
        <v>3230</v>
      </c>
      <c r="H5502" s="8" t="s">
        <v>3231</v>
      </c>
      <c r="I5502" s="7" t="str">
        <f>_xlfn.CONCAT(Paper_Reference[[#This Row],[Lvl]:[Paper Description]])</f>
        <v>2X75NS184NPFNFRL PRECISION WHITE 48 X 1201102110SW736-5000PRECISION WHITE 43 X 145</v>
      </c>
      <c r="J5502" s="7">
        <f>COUNTIF(Paper_Reference[Duplicate Key],Paper_Reference[[#This Row],[Duplicate Key]])</f>
        <v>1</v>
      </c>
    </row>
    <row r="5503" spans="1:10">
      <c r="A5503" s="7">
        <v>2</v>
      </c>
      <c r="B5503" s="8" t="s">
        <v>3761</v>
      </c>
      <c r="C5503" s="8" t="s">
        <v>3309</v>
      </c>
      <c r="D5503" s="7">
        <v>1</v>
      </c>
      <c r="E5503" s="7">
        <v>10</v>
      </c>
      <c r="F5503" s="7">
        <v>2</v>
      </c>
      <c r="G5503" s="8" t="s">
        <v>3230</v>
      </c>
      <c r="H5503" s="8" t="s">
        <v>3231</v>
      </c>
      <c r="I5503" s="7" t="str">
        <f>_xlfn.CONCAT(Paper_Reference[[#This Row],[Lvl]:[Paper Description]])</f>
        <v>2X75NS184OLNYMFRL PRECISION WHITE 48 X 961102110SW736-5000PRECISION WHITE 43 X 145</v>
      </c>
      <c r="J5503" s="7">
        <f>COUNTIF(Paper_Reference[Duplicate Key],Paper_Reference[[#This Row],[Duplicate Key]])</f>
        <v>1</v>
      </c>
    </row>
    <row r="5504" spans="1:10">
      <c r="A5504" s="7">
        <v>2</v>
      </c>
      <c r="B5504" s="8" t="s">
        <v>4125</v>
      </c>
      <c r="C5504" s="8" t="s">
        <v>3311</v>
      </c>
      <c r="D5504" s="7">
        <v>1</v>
      </c>
      <c r="E5504" s="7">
        <v>10</v>
      </c>
      <c r="F5504" s="7">
        <v>2</v>
      </c>
      <c r="G5504" s="8" t="s">
        <v>3826</v>
      </c>
      <c r="H5504" s="8" t="s">
        <v>3827</v>
      </c>
      <c r="I5504" s="7" t="str">
        <f>_xlfn.CONCAT(Paper_Reference[[#This Row],[Lvl]:[Paper Description]])</f>
        <v>2X75NS184OLPFNFRL PRECISION WHITE 48 X 1201102110SW736-6200PRECISION WHITE 62"</v>
      </c>
      <c r="J5504" s="7">
        <f>COUNTIF(Paper_Reference[Duplicate Key],Paper_Reference[[#This Row],[Duplicate Key]])</f>
        <v>1</v>
      </c>
    </row>
    <row r="5505" spans="1:10">
      <c r="A5505" s="7">
        <v>2</v>
      </c>
      <c r="B5505" s="8" t="s">
        <v>3762</v>
      </c>
      <c r="C5505" s="8" t="s">
        <v>3310</v>
      </c>
      <c r="D5505" s="7">
        <v>1</v>
      </c>
      <c r="E5505" s="7">
        <v>10</v>
      </c>
      <c r="F5505" s="7">
        <v>2</v>
      </c>
      <c r="G5505" s="8" t="s">
        <v>3230</v>
      </c>
      <c r="H5505" s="8" t="s">
        <v>3231</v>
      </c>
      <c r="I5505" s="7" t="str">
        <f>_xlfn.CONCAT(Paper_Reference[[#This Row],[Lvl]:[Paper Description]])</f>
        <v>2X75NS184OLPNYFRL PRECISION WHITE 36 X 961102110SW736-5000PRECISION WHITE 43 X 145</v>
      </c>
      <c r="J5505" s="7">
        <f>COUNTIF(Paper_Reference[Duplicate Key],Paper_Reference[[#This Row],[Duplicate Key]])</f>
        <v>1</v>
      </c>
    </row>
    <row r="5506" spans="1:10">
      <c r="A5506" s="7">
        <v>2</v>
      </c>
      <c r="B5506" s="8" t="s">
        <v>3763</v>
      </c>
      <c r="C5506" s="8" t="s">
        <v>3309</v>
      </c>
      <c r="D5506" s="7">
        <v>1</v>
      </c>
      <c r="E5506" s="7">
        <v>10</v>
      </c>
      <c r="F5506" s="7">
        <v>2</v>
      </c>
      <c r="G5506" s="8" t="s">
        <v>3230</v>
      </c>
      <c r="H5506" s="8" t="s">
        <v>3231</v>
      </c>
      <c r="I5506" s="7" t="str">
        <f>_xlfn.CONCAT(Paper_Reference[[#This Row],[Lvl]:[Paper Description]])</f>
        <v>2X75NS184SDNYMFRL PRECISION WHITE 48 X 961102110SW736-5000PRECISION WHITE 43 X 145</v>
      </c>
      <c r="J5506" s="7">
        <f>COUNTIF(Paper_Reference[Duplicate Key],Paper_Reference[[#This Row],[Duplicate Key]])</f>
        <v>1</v>
      </c>
    </row>
    <row r="5507" spans="1:10">
      <c r="A5507" s="7">
        <v>2</v>
      </c>
      <c r="B5507" s="8" t="s">
        <v>4126</v>
      </c>
      <c r="C5507" s="8" t="s">
        <v>3824</v>
      </c>
      <c r="D5507" s="7">
        <v>1</v>
      </c>
      <c r="E5507" s="7">
        <v>10</v>
      </c>
      <c r="F5507" s="7">
        <v>2</v>
      </c>
      <c r="G5507" s="8" t="s">
        <v>3826</v>
      </c>
      <c r="H5507" s="8" t="s">
        <v>3827</v>
      </c>
      <c r="I5507" s="7" t="str">
        <f>_xlfn.CONCAT(Paper_Reference[[#This Row],[Lvl]:[Paper Description]])</f>
        <v>2X75NS184SDNYRFRL PRECISION WHITE 60 X 961102110SW736-6200PRECISION WHITE 62"</v>
      </c>
      <c r="J5507" s="7">
        <f>COUNTIF(Paper_Reference[Duplicate Key],Paper_Reference[[#This Row],[Duplicate Key]])</f>
        <v>1</v>
      </c>
    </row>
    <row r="5508" spans="1:10">
      <c r="A5508" s="7">
        <v>2</v>
      </c>
      <c r="B5508" s="8" t="s">
        <v>3764</v>
      </c>
      <c r="C5508" s="8" t="s">
        <v>3311</v>
      </c>
      <c r="D5508" s="7">
        <v>1</v>
      </c>
      <c r="E5508" s="7">
        <v>10</v>
      </c>
      <c r="F5508" s="7">
        <v>2</v>
      </c>
      <c r="G5508" s="8" t="s">
        <v>3230</v>
      </c>
      <c r="H5508" s="8" t="s">
        <v>3231</v>
      </c>
      <c r="I5508" s="7" t="str">
        <f>_xlfn.CONCAT(Paper_Reference[[#This Row],[Lvl]:[Paper Description]])</f>
        <v>2X75NS184SDPFNFRL PRECISION WHITE 48 X 1201102110SW736-5000PRECISION WHITE 43 X 145</v>
      </c>
      <c r="J5508" s="7">
        <f>COUNTIF(Paper_Reference[Duplicate Key],Paper_Reference[[#This Row],[Duplicate Key]])</f>
        <v>1</v>
      </c>
    </row>
    <row r="5509" spans="1:10">
      <c r="A5509" s="7">
        <v>2</v>
      </c>
      <c r="B5509" s="8" t="s">
        <v>4127</v>
      </c>
      <c r="C5509" s="8" t="s">
        <v>3825</v>
      </c>
      <c r="D5509" s="7">
        <v>1</v>
      </c>
      <c r="E5509" s="7">
        <v>10</v>
      </c>
      <c r="F5509" s="7">
        <v>2</v>
      </c>
      <c r="G5509" s="8" t="s">
        <v>3826</v>
      </c>
      <c r="H5509" s="8" t="s">
        <v>3827</v>
      </c>
      <c r="I5509" s="7" t="str">
        <f>_xlfn.CONCAT(Paper_Reference[[#This Row],[Lvl]:[Paper Description]])</f>
        <v>2X75NS184SDPFQFRL PRECISION WHITE 60 X 1201102110SW736-6200PRECISION WHITE 62"</v>
      </c>
      <c r="J5509" s="7">
        <f>COUNTIF(Paper_Reference[Duplicate Key],Paper_Reference[[#This Row],[Duplicate Key]])</f>
        <v>1</v>
      </c>
    </row>
    <row r="5510" spans="1:10">
      <c r="A5510" s="7">
        <v>2</v>
      </c>
      <c r="B5510" s="8" t="s">
        <v>4128</v>
      </c>
      <c r="C5510" s="8" t="s">
        <v>3825</v>
      </c>
      <c r="D5510" s="7">
        <v>1</v>
      </c>
      <c r="E5510" s="7">
        <v>10</v>
      </c>
      <c r="F5510" s="7">
        <v>2</v>
      </c>
      <c r="G5510" s="8" t="s">
        <v>3826</v>
      </c>
      <c r="H5510" s="8" t="s">
        <v>3827</v>
      </c>
      <c r="I5510" s="7" t="str">
        <f>_xlfn.CONCAT(Paper_Reference[[#This Row],[Lvl]:[Paper Description]])</f>
        <v>2X75NS184SMPFQFRL PRECISION WHITE 60 X 1201102110SW736-6200PRECISION WHITE 62"</v>
      </c>
      <c r="J5510" s="7">
        <f>COUNTIF(Paper_Reference[Duplicate Key],Paper_Reference[[#This Row],[Duplicate Key]])</f>
        <v>1</v>
      </c>
    </row>
    <row r="5511" spans="1:10">
      <c r="A5511" s="7">
        <v>2</v>
      </c>
      <c r="B5511" s="8" t="s">
        <v>5359</v>
      </c>
      <c r="C5511" s="8" t="s">
        <v>4615</v>
      </c>
      <c r="D5511" s="7">
        <v>1</v>
      </c>
      <c r="E5511" s="7">
        <v>10</v>
      </c>
      <c r="F5511" s="7">
        <v>2</v>
      </c>
      <c r="G5511" s="8" t="s">
        <v>4371</v>
      </c>
      <c r="H5511" s="8" t="s">
        <v>4372</v>
      </c>
      <c r="I5511" s="7" t="str">
        <f>_xlfn.CONCAT(Paper_Reference[[#This Row],[Lvl]:[Paper Description]])</f>
        <v>2X75NS878NNYRFRL JETT BLACK 60 X 961102100DS064-6200BLACK</v>
      </c>
      <c r="J5511" s="7">
        <f>COUNTIF(Paper_Reference[Duplicate Key],Paper_Reference[[#This Row],[Duplicate Key]])</f>
        <v>1</v>
      </c>
    </row>
    <row r="5512" spans="1:10">
      <c r="A5512" s="7">
        <v>2</v>
      </c>
      <c r="B5512" s="8" t="s">
        <v>5360</v>
      </c>
      <c r="C5512" s="8" t="s">
        <v>4615</v>
      </c>
      <c r="D5512" s="7">
        <v>1</v>
      </c>
      <c r="E5512" s="7">
        <v>10</v>
      </c>
      <c r="F5512" s="7">
        <v>2</v>
      </c>
      <c r="G5512" s="8" t="s">
        <v>4371</v>
      </c>
      <c r="H5512" s="8" t="s">
        <v>4372</v>
      </c>
      <c r="I5512" s="7" t="str">
        <f>_xlfn.CONCAT(Paper_Reference[[#This Row],[Lvl]:[Paper Description]])</f>
        <v>2X75NS878SDNYRFRL JETT BLACK 60 X 961102100DS064-6200BLACK</v>
      </c>
      <c r="J5512" s="7">
        <f>COUNTIF(Paper_Reference[Duplicate Key],Paper_Reference[[#This Row],[Duplicate Key]])</f>
        <v>1</v>
      </c>
    </row>
    <row r="5513" spans="1:10">
      <c r="A5513" s="7">
        <v>2</v>
      </c>
      <c r="B5513" s="8" t="s">
        <v>4368</v>
      </c>
      <c r="C5513" s="8" t="s">
        <v>4209</v>
      </c>
      <c r="D5513" s="7">
        <v>1</v>
      </c>
      <c r="E5513" s="7">
        <v>10</v>
      </c>
      <c r="F5513" s="7">
        <v>2</v>
      </c>
      <c r="G5513" s="8" t="s">
        <v>4129</v>
      </c>
      <c r="H5513" s="8" t="s">
        <v>4130</v>
      </c>
      <c r="I5513" s="7" t="str">
        <f>_xlfn.CONCAT(Paper_Reference[[#This Row],[Lvl]:[Paper Description]])</f>
        <v>2X75NW617NPFQFRL BLOSSOM CHERRY 60 X 1201102110WC013-6200BLOSSOM CHERRY</v>
      </c>
      <c r="J5513" s="7">
        <f>COUNTIF(Paper_Reference[Duplicate Key],Paper_Reference[[#This Row],[Duplicate Key]])</f>
        <v>1</v>
      </c>
    </row>
    <row r="5514" spans="1:10">
      <c r="A5514" s="7">
        <v>2</v>
      </c>
      <c r="B5514" s="8" t="s">
        <v>4369</v>
      </c>
      <c r="C5514" s="8" t="s">
        <v>4210</v>
      </c>
      <c r="D5514" s="7">
        <v>1</v>
      </c>
      <c r="E5514" s="7">
        <v>10</v>
      </c>
      <c r="F5514" s="7">
        <v>2</v>
      </c>
      <c r="G5514" s="8" t="s">
        <v>4129</v>
      </c>
      <c r="H5514" s="8" t="s">
        <v>4130</v>
      </c>
      <c r="I5514" s="7" t="str">
        <f>_xlfn.CONCAT(Paper_Reference[[#This Row],[Lvl]:[Paper Description]])</f>
        <v>2X75NW617SDNYRFRL BLOSSOM CHERRY 60 X 961102110WC013-6200BLOSSOM CHERRY</v>
      </c>
      <c r="J5514" s="7">
        <f>COUNTIF(Paper_Reference[Duplicate Key],Paper_Reference[[#This Row],[Duplicate Key]])</f>
        <v>1</v>
      </c>
    </row>
    <row r="5515" spans="1:10">
      <c r="A5515" s="7">
        <v>2</v>
      </c>
      <c r="B5515" s="8" t="s">
        <v>4370</v>
      </c>
      <c r="C5515" s="8" t="s">
        <v>4209</v>
      </c>
      <c r="D5515" s="7">
        <v>1</v>
      </c>
      <c r="E5515" s="7">
        <v>10</v>
      </c>
      <c r="F5515" s="7">
        <v>2</v>
      </c>
      <c r="G5515" s="8" t="s">
        <v>4129</v>
      </c>
      <c r="H5515" s="8" t="s">
        <v>4130</v>
      </c>
      <c r="I5515" s="7" t="str">
        <f>_xlfn.CONCAT(Paper_Reference[[#This Row],[Lvl]:[Paper Description]])</f>
        <v>2X75NW617SDPFQFRL BLOSSOM CHERRY 60 X 1201102110WC013-6200BLOSSOM CHERRY</v>
      </c>
      <c r="J5515" s="7">
        <f>COUNTIF(Paper_Reference[Duplicate Key],Paper_Reference[[#This Row],[Duplicate Key]])</f>
        <v>1</v>
      </c>
    </row>
    <row r="5516" spans="1:10">
      <c r="A5516" s="7">
        <v>3</v>
      </c>
      <c r="B5516" s="8" t="s">
        <v>3228</v>
      </c>
      <c r="C5516" s="8" t="s">
        <v>3114</v>
      </c>
      <c r="D5516" s="7">
        <v>1</v>
      </c>
      <c r="E5516" s="7">
        <v>10</v>
      </c>
      <c r="F5516" s="7">
        <v>1</v>
      </c>
      <c r="G5516" s="8" t="s">
        <v>3115</v>
      </c>
      <c r="H5516" s="8" t="s">
        <v>3090</v>
      </c>
      <c r="I5516" s="7" t="str">
        <f>_xlfn.CONCAT(Paper_Reference[[#This Row],[Lvl]:[Paper Description]])</f>
        <v>3X88JW444NPFNFRL VANA XG 48 X 1201101100WF131-6200VANA</v>
      </c>
      <c r="J5516" s="7">
        <f>COUNTIF(Paper_Reference[Duplicate Key],Paper_Reference[[#This Row],[Duplicate Key]])</f>
        <v>1</v>
      </c>
    </row>
    <row r="5517" spans="1:10">
      <c r="A5517" s="7">
        <v>2</v>
      </c>
      <c r="B5517" s="8" t="s">
        <v>5361</v>
      </c>
      <c r="C5517" s="8" t="s">
        <v>4614</v>
      </c>
      <c r="D5517" s="7">
        <v>1</v>
      </c>
      <c r="E5517" s="7">
        <v>10</v>
      </c>
      <c r="F5517" s="7">
        <v>2</v>
      </c>
      <c r="G5517" s="8" t="s">
        <v>4371</v>
      </c>
      <c r="H5517" s="8" t="s">
        <v>4372</v>
      </c>
      <c r="I5517" s="7" t="str">
        <f>_xlfn.CONCAT(Paper_Reference[[#This Row],[Lvl]:[Paper Description]])</f>
        <v>2X89FS760NPFQFRL BLACK 60 X 1201102100DS064-6200BLACK</v>
      </c>
      <c r="J5517" s="7">
        <f>COUNTIF(Paper_Reference[Duplicate Key],Paper_Reference[[#This Row],[Duplicate Key]])</f>
        <v>1</v>
      </c>
    </row>
    <row r="5518" spans="1:10">
      <c r="A5518" s="7">
        <v>2</v>
      </c>
      <c r="B5518" s="8" t="s">
        <v>5362</v>
      </c>
      <c r="C5518" s="8" t="s">
        <v>4616</v>
      </c>
      <c r="D5518" s="7">
        <v>1</v>
      </c>
      <c r="E5518" s="7">
        <v>10</v>
      </c>
      <c r="F5518" s="7">
        <v>2</v>
      </c>
      <c r="G5518" s="8" t="s">
        <v>4371</v>
      </c>
      <c r="H5518" s="8" t="s">
        <v>4372</v>
      </c>
      <c r="I5518" s="7" t="str">
        <f>_xlfn.CONCAT(Paper_Reference[[#This Row],[Lvl]:[Paper Description]])</f>
        <v>2X89FS760NPFUFRL BLACK 60 X 1441102100DS064-6200BLACK</v>
      </c>
      <c r="J5518" s="7">
        <f>COUNTIF(Paper_Reference[Duplicate Key],Paper_Reference[[#This Row],[Duplicate Key]])</f>
        <v>1</v>
      </c>
    </row>
    <row r="5519" spans="1:10">
      <c r="A5519" s="7">
        <v>2</v>
      </c>
      <c r="B5519" s="8" t="s">
        <v>8656</v>
      </c>
      <c r="C5519" s="8" t="s">
        <v>8395</v>
      </c>
      <c r="D5519" s="7">
        <v>1</v>
      </c>
      <c r="E5519" s="7">
        <v>10</v>
      </c>
      <c r="F5519" s="7">
        <v>2</v>
      </c>
      <c r="G5519" s="8" t="s">
        <v>8302</v>
      </c>
      <c r="H5519" s="8" t="s">
        <v>8303</v>
      </c>
      <c r="I5519" s="7" t="str">
        <f>_xlfn.CONCAT(Paper_Reference[[#This Row],[Lvl]:[Paper Description]])</f>
        <v>2X89FS853NNYRFRL ICE WHITE 60 X 961102100SW813-6200ICE WHITE</v>
      </c>
      <c r="J5519" s="7">
        <f>COUNTIF(Paper_Reference[Duplicate Key],Paper_Reference[[#This Row],[Duplicate Key]])</f>
        <v>1</v>
      </c>
    </row>
    <row r="5520" spans="1:10">
      <c r="A5520" s="7">
        <v>2</v>
      </c>
      <c r="B5520" s="8" t="s">
        <v>3765</v>
      </c>
      <c r="C5520" s="8" t="s">
        <v>3309</v>
      </c>
      <c r="D5520" s="7">
        <v>1</v>
      </c>
      <c r="E5520" s="7">
        <v>10</v>
      </c>
      <c r="F5520" s="7">
        <v>2</v>
      </c>
      <c r="G5520" s="8" t="s">
        <v>3230</v>
      </c>
      <c r="H5520" s="8" t="s">
        <v>3231</v>
      </c>
      <c r="I5520" s="7" t="str">
        <f>_xlfn.CONCAT(Paper_Reference[[#This Row],[Lvl]:[Paper Description]])</f>
        <v>2X89NS184NNYMFRL PRECISION WHITE 48 X 961102110SW736-5000PRECISION WHITE 43 X 145</v>
      </c>
      <c r="J5520" s="7">
        <f>COUNTIF(Paper_Reference[Duplicate Key],Paper_Reference[[#This Row],[Duplicate Key]])</f>
        <v>1</v>
      </c>
    </row>
    <row r="5521" spans="1:10">
      <c r="A5521" s="7">
        <v>2</v>
      </c>
      <c r="B5521" s="8" t="s">
        <v>7995</v>
      </c>
      <c r="C5521" s="8" t="s">
        <v>7142</v>
      </c>
      <c r="D5521" s="7">
        <v>1</v>
      </c>
      <c r="E5521" s="7">
        <v>10</v>
      </c>
      <c r="F5521" s="7">
        <v>2</v>
      </c>
      <c r="G5521" s="8" t="s">
        <v>6710</v>
      </c>
      <c r="H5521" s="8" t="s">
        <v>5691</v>
      </c>
      <c r="I5521" s="7" t="str">
        <f>_xlfn.CONCAT(Paper_Reference[[#This Row],[Lvl]:[Paper Description]])</f>
        <v>2XD8RD001NTNXFRL BRUNS GRAPHICS 42 X 1321102100DS009-5000FROSTY WHITE</v>
      </c>
      <c r="J5521" s="7">
        <f>COUNTIF(Paper_Reference[Duplicate Key],Paper_Reference[[#This Row],[Duplicate Key]])</f>
        <v>1</v>
      </c>
    </row>
    <row r="5522" spans="1:10">
      <c r="A5522" s="7">
        <v>2</v>
      </c>
      <c r="B5522" s="8" t="s">
        <v>7996</v>
      </c>
      <c r="C5522" s="8" t="s">
        <v>7143</v>
      </c>
      <c r="D5522" s="7">
        <v>1</v>
      </c>
      <c r="E5522" s="7">
        <v>10</v>
      </c>
      <c r="F5522" s="7">
        <v>2</v>
      </c>
      <c r="G5522" s="8" t="s">
        <v>6710</v>
      </c>
      <c r="H5522" s="8" t="s">
        <v>5691</v>
      </c>
      <c r="I5522" s="7" t="str">
        <f>_xlfn.CONCAT(Paper_Reference[[#This Row],[Lvl]:[Paper Description]])</f>
        <v>2XJ4R0080N480FRL FED COM M-A P1 48 X 961102100DS009-5000FROSTY WHITE</v>
      </c>
      <c r="J5522" s="7">
        <f>COUNTIF(Paper_Reference[Duplicate Key],Paper_Reference[[#This Row],[Duplicate Key]])</f>
        <v>1</v>
      </c>
    </row>
    <row r="5523" spans="1:10">
      <c r="A5523" s="7">
        <v>2</v>
      </c>
      <c r="B5523" s="8" t="s">
        <v>7997</v>
      </c>
      <c r="C5523" s="8" t="s">
        <v>7144</v>
      </c>
      <c r="D5523" s="7">
        <v>1</v>
      </c>
      <c r="E5523" s="7">
        <v>10</v>
      </c>
      <c r="F5523" s="7">
        <v>2</v>
      </c>
      <c r="G5523" s="8" t="s">
        <v>6710</v>
      </c>
      <c r="H5523" s="8" t="s">
        <v>5691</v>
      </c>
      <c r="I5523" s="7" t="str">
        <f>_xlfn.CONCAT(Paper_Reference[[#This Row],[Lvl]:[Paper Description]])</f>
        <v>2XJ4R0081N480FRL FED COM M-A P2 48 X 961102100DS009-5000FROSTY WHITE</v>
      </c>
      <c r="J5523" s="7">
        <f>COUNTIF(Paper_Reference[Duplicate Key],Paper_Reference[[#This Row],[Duplicate Key]])</f>
        <v>1</v>
      </c>
    </row>
    <row r="5524" spans="1:10">
      <c r="A5524" s="7">
        <v>2</v>
      </c>
      <c r="B5524" s="8" t="s">
        <v>7998</v>
      </c>
      <c r="C5524" s="8" t="s">
        <v>7145</v>
      </c>
      <c r="D5524" s="7">
        <v>1</v>
      </c>
      <c r="E5524" s="7">
        <v>10</v>
      </c>
      <c r="F5524" s="7">
        <v>2</v>
      </c>
      <c r="G5524" s="8" t="s">
        <v>6710</v>
      </c>
      <c r="H5524" s="8" t="s">
        <v>5691</v>
      </c>
      <c r="I5524" s="7" t="str">
        <f>_xlfn.CONCAT(Paper_Reference[[#This Row],[Lvl]:[Paper Description]])</f>
        <v>2XJ4R0082N480FRL FED COM M-A P3 48 X 961102100DS009-5000FROSTY WHITE</v>
      </c>
      <c r="J5524" s="7">
        <f>COUNTIF(Paper_Reference[Duplicate Key],Paper_Reference[[#This Row],[Duplicate Key]])</f>
        <v>1</v>
      </c>
    </row>
    <row r="5525" spans="1:10">
      <c r="A5525" s="7">
        <v>2</v>
      </c>
      <c r="B5525" s="8" t="s">
        <v>7999</v>
      </c>
      <c r="C5525" s="8" t="s">
        <v>7146</v>
      </c>
      <c r="D5525" s="7">
        <v>1</v>
      </c>
      <c r="E5525" s="7">
        <v>10</v>
      </c>
      <c r="F5525" s="7">
        <v>2</v>
      </c>
      <c r="G5525" s="8" t="s">
        <v>6710</v>
      </c>
      <c r="H5525" s="8" t="s">
        <v>5691</v>
      </c>
      <c r="I5525" s="7" t="str">
        <f>_xlfn.CONCAT(Paper_Reference[[#This Row],[Lvl]:[Paper Description]])</f>
        <v>2XJ4R0083N480FRL FED COM M-A P4 48 X 961102100DS009-5000FROSTY WHITE</v>
      </c>
      <c r="J5525" s="7">
        <f>COUNTIF(Paper_Reference[Duplicate Key],Paper_Reference[[#This Row],[Duplicate Key]])</f>
        <v>1</v>
      </c>
    </row>
    <row r="5526" spans="1:10">
      <c r="A5526" s="7">
        <v>2</v>
      </c>
      <c r="B5526" s="8" t="s">
        <v>8000</v>
      </c>
      <c r="C5526" s="8" t="s">
        <v>7147</v>
      </c>
      <c r="D5526" s="7">
        <v>1</v>
      </c>
      <c r="E5526" s="7">
        <v>10</v>
      </c>
      <c r="F5526" s="7">
        <v>2</v>
      </c>
      <c r="G5526" s="8" t="s">
        <v>6710</v>
      </c>
      <c r="H5526" s="8" t="s">
        <v>5691</v>
      </c>
      <c r="I5526" s="7" t="str">
        <f>_xlfn.CONCAT(Paper_Reference[[#This Row],[Lvl]:[Paper Description]])</f>
        <v>2XJ4R0084N480FRL FED COM M-A P5 48 X 961102100DS009-5000FROSTY WHITE</v>
      </c>
      <c r="J5526" s="7">
        <f>COUNTIF(Paper_Reference[Duplicate Key],Paper_Reference[[#This Row],[Duplicate Key]])</f>
        <v>1</v>
      </c>
    </row>
    <row r="5527" spans="1:10">
      <c r="A5527" s="7">
        <v>2</v>
      </c>
      <c r="B5527" s="8" t="s">
        <v>8001</v>
      </c>
      <c r="C5527" s="8" t="s">
        <v>7148</v>
      </c>
      <c r="D5527" s="7">
        <v>1</v>
      </c>
      <c r="E5527" s="7">
        <v>10</v>
      </c>
      <c r="F5527" s="7">
        <v>2</v>
      </c>
      <c r="G5527" s="8" t="s">
        <v>6710</v>
      </c>
      <c r="H5527" s="8" t="s">
        <v>5691</v>
      </c>
      <c r="I5527" s="7" t="str">
        <f>_xlfn.CONCAT(Paper_Reference[[#This Row],[Lvl]:[Paper Description]])</f>
        <v>2XJ4R0085N380FRL FED COM M-A P6 36 X 961102100DS009-5000FROSTY WHITE</v>
      </c>
      <c r="J5527" s="7">
        <f>COUNTIF(Paper_Reference[Duplicate Key],Paper_Reference[[#This Row],[Duplicate Key]])</f>
        <v>1</v>
      </c>
    </row>
    <row r="5528" spans="1:10">
      <c r="A5528" s="7">
        <v>2</v>
      </c>
      <c r="B5528" s="8" t="s">
        <v>8002</v>
      </c>
      <c r="C5528" s="8" t="s">
        <v>7149</v>
      </c>
      <c r="D5528" s="7">
        <v>1</v>
      </c>
      <c r="E5528" s="7">
        <v>10</v>
      </c>
      <c r="F5528" s="7">
        <v>2</v>
      </c>
      <c r="G5528" s="8" t="s">
        <v>6710</v>
      </c>
      <c r="H5528" s="8" t="s">
        <v>5691</v>
      </c>
      <c r="I5528" s="7" t="str">
        <f>_xlfn.CONCAT(Paper_Reference[[#This Row],[Lvl]:[Paper Description]])</f>
        <v>2XJ4R0086N480FRL FED COM M-B P1 48 X 961102100DS009-5000FROSTY WHITE</v>
      </c>
      <c r="J5528" s="7">
        <f>COUNTIF(Paper_Reference[Duplicate Key],Paper_Reference[[#This Row],[Duplicate Key]])</f>
        <v>1</v>
      </c>
    </row>
    <row r="5529" spans="1:10">
      <c r="A5529" s="7">
        <v>2</v>
      </c>
      <c r="B5529" s="8" t="s">
        <v>8003</v>
      </c>
      <c r="C5529" s="8" t="s">
        <v>7150</v>
      </c>
      <c r="D5529" s="7">
        <v>1</v>
      </c>
      <c r="E5529" s="7">
        <v>10</v>
      </c>
      <c r="F5529" s="7">
        <v>2</v>
      </c>
      <c r="G5529" s="8" t="s">
        <v>6710</v>
      </c>
      <c r="H5529" s="8" t="s">
        <v>5691</v>
      </c>
      <c r="I5529" s="7" t="str">
        <f>_xlfn.CONCAT(Paper_Reference[[#This Row],[Lvl]:[Paper Description]])</f>
        <v>2XJ4R0087N480FRL FED COM M-B P2 48 X 961102100DS009-5000FROSTY WHITE</v>
      </c>
      <c r="J5529" s="7">
        <f>COUNTIF(Paper_Reference[Duplicate Key],Paper_Reference[[#This Row],[Duplicate Key]])</f>
        <v>1</v>
      </c>
    </row>
    <row r="5530" spans="1:10">
      <c r="A5530" s="7">
        <v>2</v>
      </c>
      <c r="B5530" s="8" t="s">
        <v>8004</v>
      </c>
      <c r="C5530" s="8" t="s">
        <v>7151</v>
      </c>
      <c r="D5530" s="7">
        <v>1</v>
      </c>
      <c r="E5530" s="7">
        <v>10</v>
      </c>
      <c r="F5530" s="7">
        <v>2</v>
      </c>
      <c r="G5530" s="8" t="s">
        <v>6710</v>
      </c>
      <c r="H5530" s="8" t="s">
        <v>5691</v>
      </c>
      <c r="I5530" s="7" t="str">
        <f>_xlfn.CONCAT(Paper_Reference[[#This Row],[Lvl]:[Paper Description]])</f>
        <v>2XJ4R0088N480FRL FED COM M-B P3 48 X 961102100DS009-5000FROSTY WHITE</v>
      </c>
      <c r="J5530" s="7">
        <f>COUNTIF(Paper_Reference[Duplicate Key],Paper_Reference[[#This Row],[Duplicate Key]])</f>
        <v>1</v>
      </c>
    </row>
    <row r="5531" spans="1:10">
      <c r="A5531" s="7">
        <v>2</v>
      </c>
      <c r="B5531" s="8" t="s">
        <v>8005</v>
      </c>
      <c r="C5531" s="8" t="s">
        <v>7152</v>
      </c>
      <c r="D5531" s="7">
        <v>1</v>
      </c>
      <c r="E5531" s="7">
        <v>10</v>
      </c>
      <c r="F5531" s="7">
        <v>2</v>
      </c>
      <c r="G5531" s="8" t="s">
        <v>6710</v>
      </c>
      <c r="H5531" s="8" t="s">
        <v>5691</v>
      </c>
      <c r="I5531" s="7" t="str">
        <f>_xlfn.CONCAT(Paper_Reference[[#This Row],[Lvl]:[Paper Description]])</f>
        <v>2XJ4R0089N480FRL FED COM M-B P4 48 X 961102100DS009-5000FROSTY WHITE</v>
      </c>
      <c r="J5531" s="7">
        <f>COUNTIF(Paper_Reference[Duplicate Key],Paper_Reference[[#This Row],[Duplicate Key]])</f>
        <v>1</v>
      </c>
    </row>
    <row r="5532" spans="1:10">
      <c r="A5532" s="7">
        <v>2</v>
      </c>
      <c r="B5532" s="8" t="s">
        <v>8006</v>
      </c>
      <c r="C5532" s="8" t="s">
        <v>7153</v>
      </c>
      <c r="D5532" s="7">
        <v>1</v>
      </c>
      <c r="E5532" s="7">
        <v>10</v>
      </c>
      <c r="F5532" s="7">
        <v>2</v>
      </c>
      <c r="G5532" s="8" t="s">
        <v>6710</v>
      </c>
      <c r="H5532" s="8" t="s">
        <v>5691</v>
      </c>
      <c r="I5532" s="7" t="str">
        <f>_xlfn.CONCAT(Paper_Reference[[#This Row],[Lvl]:[Paper Description]])</f>
        <v>2XJ4R0090N480FRL FED COM M-B P5 48 X 961102100DS009-5000FROSTY WHITE</v>
      </c>
      <c r="J5532" s="7">
        <f>COUNTIF(Paper_Reference[Duplicate Key],Paper_Reference[[#This Row],[Duplicate Key]])</f>
        <v>1</v>
      </c>
    </row>
    <row r="5533" spans="1:10">
      <c r="A5533" s="7">
        <v>2</v>
      </c>
      <c r="B5533" s="8" t="s">
        <v>8007</v>
      </c>
      <c r="C5533" s="8" t="s">
        <v>7154</v>
      </c>
      <c r="D5533" s="7">
        <v>1</v>
      </c>
      <c r="E5533" s="7">
        <v>10</v>
      </c>
      <c r="F5533" s="7">
        <v>2</v>
      </c>
      <c r="G5533" s="8" t="s">
        <v>6710</v>
      </c>
      <c r="H5533" s="8" t="s">
        <v>5691</v>
      </c>
      <c r="I5533" s="7" t="str">
        <f>_xlfn.CONCAT(Paper_Reference[[#This Row],[Lvl]:[Paper Description]])</f>
        <v>2XJ4R0091N380FRL FED COM M-B P6 36 X 961102100DS009-5000FROSTY WHITE</v>
      </c>
      <c r="J5533" s="7">
        <f>COUNTIF(Paper_Reference[Duplicate Key],Paper_Reference[[#This Row],[Duplicate Key]])</f>
        <v>1</v>
      </c>
    </row>
    <row r="5534" spans="1:10">
      <c r="A5534" s="7">
        <v>2</v>
      </c>
      <c r="B5534" s="8" t="s">
        <v>8008</v>
      </c>
      <c r="C5534" s="8" t="s">
        <v>7155</v>
      </c>
      <c r="D5534" s="7">
        <v>1</v>
      </c>
      <c r="E5534" s="7">
        <v>10</v>
      </c>
      <c r="F5534" s="7">
        <v>2</v>
      </c>
      <c r="G5534" s="8" t="s">
        <v>6710</v>
      </c>
      <c r="H5534" s="8" t="s">
        <v>5691</v>
      </c>
      <c r="I5534" s="7" t="str">
        <f>_xlfn.CONCAT(Paper_Reference[[#This Row],[Lvl]:[Paper Description]])</f>
        <v>2XJ4R0092N480FRL FED COM M-C P1 48 X 961102100DS009-5000FROSTY WHITE</v>
      </c>
      <c r="J5534" s="7">
        <f>COUNTIF(Paper_Reference[Duplicate Key],Paper_Reference[[#This Row],[Duplicate Key]])</f>
        <v>1</v>
      </c>
    </row>
    <row r="5535" spans="1:10">
      <c r="A5535" s="7">
        <v>2</v>
      </c>
      <c r="B5535" s="8" t="s">
        <v>8009</v>
      </c>
      <c r="C5535" s="8" t="s">
        <v>7156</v>
      </c>
      <c r="D5535" s="7">
        <v>1</v>
      </c>
      <c r="E5535" s="7">
        <v>10</v>
      </c>
      <c r="F5535" s="7">
        <v>2</v>
      </c>
      <c r="G5535" s="8" t="s">
        <v>6710</v>
      </c>
      <c r="H5535" s="8" t="s">
        <v>5691</v>
      </c>
      <c r="I5535" s="7" t="str">
        <f>_xlfn.CONCAT(Paper_Reference[[#This Row],[Lvl]:[Paper Description]])</f>
        <v>2XJ4R0093N480FRL FED COM M-C P2 48 X 961102100DS009-5000FROSTY WHITE</v>
      </c>
      <c r="J5535" s="7">
        <f>COUNTIF(Paper_Reference[Duplicate Key],Paper_Reference[[#This Row],[Duplicate Key]])</f>
        <v>1</v>
      </c>
    </row>
    <row r="5536" spans="1:10">
      <c r="A5536" s="7">
        <v>2</v>
      </c>
      <c r="B5536" s="8" t="s">
        <v>8010</v>
      </c>
      <c r="C5536" s="8" t="s">
        <v>7157</v>
      </c>
      <c r="D5536" s="7">
        <v>1</v>
      </c>
      <c r="E5536" s="7">
        <v>10</v>
      </c>
      <c r="F5536" s="7">
        <v>2</v>
      </c>
      <c r="G5536" s="8" t="s">
        <v>6710</v>
      </c>
      <c r="H5536" s="8" t="s">
        <v>5691</v>
      </c>
      <c r="I5536" s="7" t="str">
        <f>_xlfn.CONCAT(Paper_Reference[[#This Row],[Lvl]:[Paper Description]])</f>
        <v>2XJ4R0094N480FRL FED COM M-C P3 48 X 961102100DS009-5000FROSTY WHITE</v>
      </c>
      <c r="J5536" s="7">
        <f>COUNTIF(Paper_Reference[Duplicate Key],Paper_Reference[[#This Row],[Duplicate Key]])</f>
        <v>1</v>
      </c>
    </row>
    <row r="5537" spans="1:10">
      <c r="A5537" s="7">
        <v>2</v>
      </c>
      <c r="B5537" s="8" t="s">
        <v>8011</v>
      </c>
      <c r="C5537" s="8" t="s">
        <v>7158</v>
      </c>
      <c r="D5537" s="7">
        <v>1</v>
      </c>
      <c r="E5537" s="7">
        <v>10</v>
      </c>
      <c r="F5537" s="7">
        <v>2</v>
      </c>
      <c r="G5537" s="8" t="s">
        <v>6710</v>
      </c>
      <c r="H5537" s="8" t="s">
        <v>5691</v>
      </c>
      <c r="I5537" s="7" t="str">
        <f>_xlfn.CONCAT(Paper_Reference[[#This Row],[Lvl]:[Paper Description]])</f>
        <v>2XJ4R0095N480FRL FED COM M-C P4 48 X 961102100DS009-5000FROSTY WHITE</v>
      </c>
      <c r="J5537" s="7">
        <f>COUNTIF(Paper_Reference[Duplicate Key],Paper_Reference[[#This Row],[Duplicate Key]])</f>
        <v>1</v>
      </c>
    </row>
    <row r="5538" spans="1:10">
      <c r="A5538" s="7">
        <v>2</v>
      </c>
      <c r="B5538" s="8" t="s">
        <v>8012</v>
      </c>
      <c r="C5538" s="8" t="s">
        <v>7159</v>
      </c>
      <c r="D5538" s="7">
        <v>1</v>
      </c>
      <c r="E5538" s="7">
        <v>10</v>
      </c>
      <c r="F5538" s="7">
        <v>2</v>
      </c>
      <c r="G5538" s="8" t="s">
        <v>6710</v>
      </c>
      <c r="H5538" s="8" t="s">
        <v>5691</v>
      </c>
      <c r="I5538" s="7" t="str">
        <f>_xlfn.CONCAT(Paper_Reference[[#This Row],[Lvl]:[Paper Description]])</f>
        <v>2XJ4R0096N480FRL FED COM M-C P5 48 X 961102100DS009-5000FROSTY WHITE</v>
      </c>
      <c r="J5538" s="7">
        <f>COUNTIF(Paper_Reference[Duplicate Key],Paper_Reference[[#This Row],[Duplicate Key]])</f>
        <v>1</v>
      </c>
    </row>
    <row r="5539" spans="1:10">
      <c r="A5539" s="7">
        <v>2</v>
      </c>
      <c r="B5539" s="8" t="s">
        <v>8013</v>
      </c>
      <c r="C5539" s="8" t="s">
        <v>7160</v>
      </c>
      <c r="D5539" s="7">
        <v>1</v>
      </c>
      <c r="E5539" s="7">
        <v>10</v>
      </c>
      <c r="F5539" s="7">
        <v>2</v>
      </c>
      <c r="G5539" s="8" t="s">
        <v>6710</v>
      </c>
      <c r="H5539" s="8" t="s">
        <v>5691</v>
      </c>
      <c r="I5539" s="7" t="str">
        <f>_xlfn.CONCAT(Paper_Reference[[#This Row],[Lvl]:[Paper Description]])</f>
        <v>2XJ4R0097N380FRL FED COM M-C P6 36 X 961102100DS009-5000FROSTY WHITE</v>
      </c>
      <c r="J5539" s="7">
        <f>COUNTIF(Paper_Reference[Duplicate Key],Paper_Reference[[#This Row],[Duplicate Key]])</f>
        <v>1</v>
      </c>
    </row>
    <row r="5540" spans="1:10">
      <c r="A5540" s="7">
        <v>2</v>
      </c>
      <c r="B5540" s="8" t="s">
        <v>8014</v>
      </c>
      <c r="C5540" s="8" t="s">
        <v>7161</v>
      </c>
      <c r="D5540" s="7">
        <v>1</v>
      </c>
      <c r="E5540" s="7">
        <v>10</v>
      </c>
      <c r="F5540" s="7">
        <v>1</v>
      </c>
      <c r="G5540" s="8" t="s">
        <v>6710</v>
      </c>
      <c r="H5540" s="8" t="s">
        <v>5691</v>
      </c>
      <c r="I5540" s="7" t="str">
        <f>_xlfn.CONCAT(Paper_Reference[[#This Row],[Lvl]:[Paper Description]])</f>
        <v>2XJ6R0230N480FRL ROBESON HS MURALS 48 X 961101100DS009-5000FROSTY WHITE</v>
      </c>
      <c r="J5540" s="7">
        <f>COUNTIF(Paper_Reference[Duplicate Key],Paper_Reference[[#This Row],[Duplicate Key]])</f>
        <v>1</v>
      </c>
    </row>
    <row r="5541" spans="1:10">
      <c r="A5541" s="7">
        <v>2</v>
      </c>
      <c r="B5541" s="8" t="s">
        <v>8015</v>
      </c>
      <c r="C5541" s="8" t="s">
        <v>7162</v>
      </c>
      <c r="D5541" s="7">
        <v>1</v>
      </c>
      <c r="E5541" s="7">
        <v>10</v>
      </c>
      <c r="F5541" s="7">
        <v>1</v>
      </c>
      <c r="G5541" s="8" t="s">
        <v>6710</v>
      </c>
      <c r="H5541" s="8" t="s">
        <v>5691</v>
      </c>
      <c r="I5541" s="7" t="str">
        <f>_xlfn.CONCAT(Paper_Reference[[#This Row],[Lvl]:[Paper Description]])</f>
        <v>2XJ6R0262N480FRL SUFFOLK MAP TABLE 48 X 961101100DS009-5000FROSTY WHITE</v>
      </c>
      <c r="J5541" s="7">
        <f>COUNTIF(Paper_Reference[Duplicate Key],Paper_Reference[[#This Row],[Duplicate Key]])</f>
        <v>1</v>
      </c>
    </row>
    <row r="5542" spans="1:10">
      <c r="A5542" s="7">
        <v>2</v>
      </c>
      <c r="B5542" s="8" t="s">
        <v>8016</v>
      </c>
      <c r="C5542" s="8" t="s">
        <v>7163</v>
      </c>
      <c r="D5542" s="7">
        <v>1</v>
      </c>
      <c r="E5542" s="7">
        <v>10</v>
      </c>
      <c r="F5542" s="7">
        <v>1</v>
      </c>
      <c r="G5542" s="8" t="s">
        <v>6710</v>
      </c>
      <c r="H5542" s="8" t="s">
        <v>5691</v>
      </c>
      <c r="I5542" s="7" t="str">
        <f>_xlfn.CONCAT(Paper_Reference[[#This Row],[Lvl]:[Paper Description]])</f>
        <v>2XJ6R0263N480FRL SUFFOLK BRICK TABLE 48 X 91101100DS009-5000FROSTY WHITE</v>
      </c>
      <c r="J5542" s="7">
        <f>COUNTIF(Paper_Reference[Duplicate Key],Paper_Reference[[#This Row],[Duplicate Key]])</f>
        <v>1</v>
      </c>
    </row>
    <row r="5543" spans="1:10">
      <c r="A5543" s="7">
        <v>2</v>
      </c>
      <c r="B5543" s="8" t="s">
        <v>6541</v>
      </c>
      <c r="C5543" s="8" t="s">
        <v>6016</v>
      </c>
      <c r="D5543" s="7">
        <v>1</v>
      </c>
      <c r="E5543" s="7">
        <v>10</v>
      </c>
      <c r="F5543" s="7">
        <v>1</v>
      </c>
      <c r="G5543" s="8" t="s">
        <v>5690</v>
      </c>
      <c r="H5543" s="8" t="s">
        <v>5691</v>
      </c>
      <c r="I5543" s="7" t="str">
        <f>_xlfn.CONCAT(Paper_Reference[[#This Row],[Lvl]:[Paper Description]])</f>
        <v>2XJ6R0638SD580FRL SCH OR PANEL 60 X 961101100DS009-6200FROSTY WHITE</v>
      </c>
      <c r="J5543" s="7">
        <f>COUNTIF(Paper_Reference[Duplicate Key],Paper_Reference[[#This Row],[Duplicate Key]])</f>
        <v>1</v>
      </c>
    </row>
    <row r="5544" spans="1:10">
      <c r="A5544" s="7">
        <v>2</v>
      </c>
      <c r="B5544" s="8" t="s">
        <v>6542</v>
      </c>
      <c r="C5544" s="8" t="s">
        <v>6017</v>
      </c>
      <c r="D5544" s="7">
        <v>1</v>
      </c>
      <c r="E5544" s="7">
        <v>10</v>
      </c>
      <c r="F5544" s="7">
        <v>1</v>
      </c>
      <c r="G5544" s="8" t="s">
        <v>5690</v>
      </c>
      <c r="H5544" s="8" t="s">
        <v>5691</v>
      </c>
      <c r="I5544" s="7" t="str">
        <f>_xlfn.CONCAT(Paper_Reference[[#This Row],[Lvl]:[Paper Description]])</f>
        <v>2XJ6R0733SD580FRL VILLA FLORANCE 60 X 961101100DS009-6200FROSTY WHITE</v>
      </c>
      <c r="J5544" s="7">
        <f>COUNTIF(Paper_Reference[Duplicate Key],Paper_Reference[[#This Row],[Duplicate Key]])</f>
        <v>1</v>
      </c>
    </row>
    <row r="5545" spans="1:10">
      <c r="A5545" s="7">
        <v>2</v>
      </c>
      <c r="B5545" s="8" t="s">
        <v>2043</v>
      </c>
      <c r="C5545" s="8" t="s">
        <v>1564</v>
      </c>
      <c r="D5545" s="7">
        <v>1</v>
      </c>
      <c r="E5545" s="7">
        <v>10</v>
      </c>
      <c r="F5545" s="7">
        <v>1</v>
      </c>
      <c r="G5545" s="8" t="s">
        <v>1241</v>
      </c>
      <c r="H5545" s="8" t="s">
        <v>1242</v>
      </c>
      <c r="I5545" s="7" t="str">
        <f>_xlfn.CONCAT(Paper_Reference[[#This Row],[Lvl]:[Paper Description]])</f>
        <v>2XJ6R0960SD480FRL PENN STATE ELEV 38 48 X 96110110000020-5000Premium Inkjet MPK 9653</v>
      </c>
      <c r="J5545" s="7">
        <f>COUNTIF(Paper_Reference[Duplicate Key],Paper_Reference[[#This Row],[Duplicate Key]])</f>
        <v>1</v>
      </c>
    </row>
    <row r="5546" spans="1:10">
      <c r="A5546" s="7">
        <v>2</v>
      </c>
      <c r="B5546" s="8" t="s">
        <v>2043</v>
      </c>
      <c r="C5546" s="8" t="s">
        <v>1564</v>
      </c>
      <c r="D5546" s="7">
        <v>1</v>
      </c>
      <c r="E5546" s="7">
        <v>10</v>
      </c>
      <c r="F5546" s="7">
        <v>1</v>
      </c>
      <c r="G5546" s="8" t="s">
        <v>6710</v>
      </c>
      <c r="H5546" s="8" t="s">
        <v>5691</v>
      </c>
      <c r="I5546" s="7" t="str">
        <f>_xlfn.CONCAT(Paper_Reference[[#This Row],[Lvl]:[Paper Description]])</f>
        <v>2XJ6R0960SD480FRL PENN STATE ELEV 38 48 X 961101100DS009-5000FROSTY WHITE</v>
      </c>
      <c r="J5546" s="7">
        <f>COUNTIF(Paper_Reference[Duplicate Key],Paper_Reference[[#This Row],[Duplicate Key]])</f>
        <v>1</v>
      </c>
    </row>
    <row r="5547" spans="1:10">
      <c r="A5547" s="7">
        <v>2</v>
      </c>
      <c r="B5547" s="8" t="s">
        <v>2807</v>
      </c>
      <c r="C5547" s="8" t="s">
        <v>2321</v>
      </c>
      <c r="D5547" s="7">
        <v>1</v>
      </c>
      <c r="E5547" s="7">
        <v>10</v>
      </c>
      <c r="F5547" s="7">
        <v>1</v>
      </c>
      <c r="G5547" s="8" t="s">
        <v>2144</v>
      </c>
      <c r="H5547" s="8" t="s">
        <v>1242</v>
      </c>
      <c r="I5547" s="7" t="str">
        <f>_xlfn.CONCAT(Paper_Reference[[#This Row],[Lvl]:[Paper Description]])</f>
        <v>2XJ6R0961SD580FRL PENN STATE ELEV 26 60 X 96110110000020-6200Premium Inkjet MPK 9653</v>
      </c>
      <c r="J5547" s="7">
        <f>COUNTIF(Paper_Reference[Duplicate Key],Paper_Reference[[#This Row],[Duplicate Key]])</f>
        <v>1</v>
      </c>
    </row>
    <row r="5548" spans="1:10">
      <c r="A5548" s="7">
        <v>2</v>
      </c>
      <c r="B5548" s="8" t="s">
        <v>2807</v>
      </c>
      <c r="C5548" s="8" t="s">
        <v>2321</v>
      </c>
      <c r="D5548" s="7">
        <v>1</v>
      </c>
      <c r="E5548" s="7">
        <v>10</v>
      </c>
      <c r="F5548" s="7">
        <v>1</v>
      </c>
      <c r="G5548" s="8" t="s">
        <v>5690</v>
      </c>
      <c r="H5548" s="8" t="s">
        <v>5691</v>
      </c>
      <c r="I5548" s="7" t="str">
        <f>_xlfn.CONCAT(Paper_Reference[[#This Row],[Lvl]:[Paper Description]])</f>
        <v>2XJ6R0961SD580FRL PENN STATE ELEV 26 60 X 961101100DS009-6200FROSTY WHITE</v>
      </c>
      <c r="J5548" s="7">
        <f>COUNTIF(Paper_Reference[Duplicate Key],Paper_Reference[[#This Row],[Duplicate Key]])</f>
        <v>1</v>
      </c>
    </row>
    <row r="5549" spans="1:10">
      <c r="A5549" s="7">
        <v>2</v>
      </c>
      <c r="B5549" s="8" t="s">
        <v>2808</v>
      </c>
      <c r="C5549" s="8" t="s">
        <v>2322</v>
      </c>
      <c r="D5549" s="7">
        <v>1</v>
      </c>
      <c r="E5549" s="7">
        <v>10</v>
      </c>
      <c r="F5549" s="7">
        <v>1</v>
      </c>
      <c r="G5549" s="8" t="s">
        <v>2144</v>
      </c>
      <c r="H5549" s="8" t="s">
        <v>1242</v>
      </c>
      <c r="I5549" s="7" t="str">
        <f>_xlfn.CONCAT(Paper_Reference[[#This Row],[Lvl]:[Paper Description]])</f>
        <v>2XJ6R1046SD580DAY SHRINERS RM 2517 60 X 96110110000020-6200Premium Inkjet MPK 9653</v>
      </c>
      <c r="J5549" s="7">
        <f>COUNTIF(Paper_Reference[Duplicate Key],Paper_Reference[[#This Row],[Duplicate Key]])</f>
        <v>1</v>
      </c>
    </row>
    <row r="5550" spans="1:10">
      <c r="A5550" s="7">
        <v>2</v>
      </c>
      <c r="B5550" s="8" t="s">
        <v>2808</v>
      </c>
      <c r="C5550" s="8" t="s">
        <v>2322</v>
      </c>
      <c r="D5550" s="7">
        <v>1</v>
      </c>
      <c r="E5550" s="7">
        <v>10</v>
      </c>
      <c r="F5550" s="7">
        <v>1</v>
      </c>
      <c r="G5550" s="8" t="s">
        <v>5690</v>
      </c>
      <c r="H5550" s="8" t="s">
        <v>5691</v>
      </c>
      <c r="I5550" s="7" t="str">
        <f>_xlfn.CONCAT(Paper_Reference[[#This Row],[Lvl]:[Paper Description]])</f>
        <v>2XJ6R1046SD580DAY SHRINERS RM 2517 60 X 961101100DS009-6200FROSTY WHITE</v>
      </c>
      <c r="J5550" s="7">
        <f>COUNTIF(Paper_Reference[Duplicate Key],Paper_Reference[[#This Row],[Duplicate Key]])</f>
        <v>1</v>
      </c>
    </row>
    <row r="5551" spans="1:10">
      <c r="A5551" s="7">
        <v>2</v>
      </c>
      <c r="B5551" s="8" t="s">
        <v>2809</v>
      </c>
      <c r="C5551" s="8" t="s">
        <v>2323</v>
      </c>
      <c r="D5551" s="7">
        <v>1</v>
      </c>
      <c r="E5551" s="7">
        <v>10</v>
      </c>
      <c r="F5551" s="7">
        <v>1</v>
      </c>
      <c r="G5551" s="8" t="s">
        <v>2144</v>
      </c>
      <c r="H5551" s="8" t="s">
        <v>1242</v>
      </c>
      <c r="I5551" s="7" t="str">
        <f>_xlfn.CONCAT(Paper_Reference[[#This Row],[Lvl]:[Paper Description]])</f>
        <v>2XJ6R1047SD580DAY SHRINERS RM 2518-22-23 60X110110000020-6200Premium Inkjet MPK 9653</v>
      </c>
      <c r="J5551" s="7">
        <f>COUNTIF(Paper_Reference[Duplicate Key],Paper_Reference[[#This Row],[Duplicate Key]])</f>
        <v>1</v>
      </c>
    </row>
    <row r="5552" spans="1:10">
      <c r="A5552" s="7">
        <v>2</v>
      </c>
      <c r="B5552" s="8" t="s">
        <v>2809</v>
      </c>
      <c r="C5552" s="8" t="s">
        <v>2323</v>
      </c>
      <c r="D5552" s="7">
        <v>1</v>
      </c>
      <c r="E5552" s="7">
        <v>10</v>
      </c>
      <c r="F5552" s="7">
        <v>1</v>
      </c>
      <c r="G5552" s="8" t="s">
        <v>5690</v>
      </c>
      <c r="H5552" s="8" t="s">
        <v>5691</v>
      </c>
      <c r="I5552" s="7" t="str">
        <f>_xlfn.CONCAT(Paper_Reference[[#This Row],[Lvl]:[Paper Description]])</f>
        <v>2XJ6R1047SD580DAY SHRINERS RM 2518-22-23 60X1101100DS009-6200FROSTY WHITE</v>
      </c>
      <c r="J5552" s="7">
        <f>COUNTIF(Paper_Reference[Duplicate Key],Paper_Reference[[#This Row],[Duplicate Key]])</f>
        <v>1</v>
      </c>
    </row>
    <row r="5553" spans="1:10">
      <c r="A5553" s="7">
        <v>2</v>
      </c>
      <c r="B5553" s="8" t="s">
        <v>2810</v>
      </c>
      <c r="C5553" s="8" t="s">
        <v>2324</v>
      </c>
      <c r="D5553" s="7">
        <v>1</v>
      </c>
      <c r="E5553" s="7">
        <v>10</v>
      </c>
      <c r="F5553" s="7">
        <v>1</v>
      </c>
      <c r="G5553" s="8" t="s">
        <v>2144</v>
      </c>
      <c r="H5553" s="8" t="s">
        <v>1242</v>
      </c>
      <c r="I5553" s="7" t="str">
        <f>_xlfn.CONCAT(Paper_Reference[[#This Row],[Lvl]:[Paper Description]])</f>
        <v>2XJ6R1048SD580DAY SHRINERS RM 2519-20-24 60X110110000020-6200Premium Inkjet MPK 9653</v>
      </c>
      <c r="J5553" s="7">
        <f>COUNTIF(Paper_Reference[Duplicate Key],Paper_Reference[[#This Row],[Duplicate Key]])</f>
        <v>1</v>
      </c>
    </row>
    <row r="5554" spans="1:10">
      <c r="A5554" s="7">
        <v>2</v>
      </c>
      <c r="B5554" s="8" t="s">
        <v>2810</v>
      </c>
      <c r="C5554" s="8" t="s">
        <v>2324</v>
      </c>
      <c r="D5554" s="7">
        <v>1</v>
      </c>
      <c r="E5554" s="7">
        <v>10</v>
      </c>
      <c r="F5554" s="7">
        <v>1</v>
      </c>
      <c r="G5554" s="8" t="s">
        <v>5690</v>
      </c>
      <c r="H5554" s="8" t="s">
        <v>5691</v>
      </c>
      <c r="I5554" s="7" t="str">
        <f>_xlfn.CONCAT(Paper_Reference[[#This Row],[Lvl]:[Paper Description]])</f>
        <v>2XJ6R1048SD580DAY SHRINERS RM 2519-20-24 60X1101100DS009-6200FROSTY WHITE</v>
      </c>
      <c r="J5554" s="7">
        <f>COUNTIF(Paper_Reference[Duplicate Key],Paper_Reference[[#This Row],[Duplicate Key]])</f>
        <v>1</v>
      </c>
    </row>
    <row r="5555" spans="1:10">
      <c r="A5555" s="7">
        <v>2</v>
      </c>
      <c r="B5555" s="8" t="s">
        <v>2811</v>
      </c>
      <c r="C5555" s="8" t="s">
        <v>2325</v>
      </c>
      <c r="D5555" s="7">
        <v>1</v>
      </c>
      <c r="E5555" s="7">
        <v>10</v>
      </c>
      <c r="F5555" s="7">
        <v>1</v>
      </c>
      <c r="G5555" s="8" t="s">
        <v>2144</v>
      </c>
      <c r="H5555" s="8" t="s">
        <v>1242</v>
      </c>
      <c r="I5555" s="7" t="str">
        <f>_xlfn.CONCAT(Paper_Reference[[#This Row],[Lvl]:[Paper Description]])</f>
        <v>2XJ6R1049SD500DAY SHRINERS RM 2525 60 X 120110110000020-6200Premium Inkjet MPK 9653</v>
      </c>
      <c r="J5555" s="7">
        <f>COUNTIF(Paper_Reference[Duplicate Key],Paper_Reference[[#This Row],[Duplicate Key]])</f>
        <v>1</v>
      </c>
    </row>
    <row r="5556" spans="1:10">
      <c r="A5556" s="7">
        <v>2</v>
      </c>
      <c r="B5556" s="8" t="s">
        <v>2811</v>
      </c>
      <c r="C5556" s="8" t="s">
        <v>2325</v>
      </c>
      <c r="D5556" s="7">
        <v>1</v>
      </c>
      <c r="E5556" s="7">
        <v>10</v>
      </c>
      <c r="F5556" s="7">
        <v>1</v>
      </c>
      <c r="G5556" s="8" t="s">
        <v>5690</v>
      </c>
      <c r="H5556" s="8" t="s">
        <v>5691</v>
      </c>
      <c r="I5556" s="7" t="str">
        <f>_xlfn.CONCAT(Paper_Reference[[#This Row],[Lvl]:[Paper Description]])</f>
        <v>2XJ6R1049SD500DAY SHRINERS RM 2525 60 X 1201101100DS009-6200FROSTY WHITE</v>
      </c>
      <c r="J5556" s="7">
        <f>COUNTIF(Paper_Reference[Duplicate Key],Paper_Reference[[#This Row],[Duplicate Key]])</f>
        <v>1</v>
      </c>
    </row>
    <row r="5557" spans="1:10">
      <c r="A5557" s="7">
        <v>2</v>
      </c>
      <c r="B5557" s="8" t="s">
        <v>2044</v>
      </c>
      <c r="C5557" s="8" t="s">
        <v>1565</v>
      </c>
      <c r="D5557" s="7">
        <v>1</v>
      </c>
      <c r="E5557" s="7">
        <v>0</v>
      </c>
      <c r="F5557" s="7">
        <v>2</v>
      </c>
      <c r="G5557" s="8" t="s">
        <v>6710</v>
      </c>
      <c r="H5557" s="8" t="s">
        <v>5691</v>
      </c>
      <c r="I5557" s="7" t="str">
        <f>_xlfn.CONCAT(Paper_Reference[[#This Row],[Lvl]:[Paper Description]])</f>
        <v>2XJ8DX0045LR4000RAIN DROPLET 48 X 120102100DS009-5000FROSTY WHITE</v>
      </c>
      <c r="J5557" s="7">
        <f>COUNTIF(Paper_Reference[Duplicate Key],Paper_Reference[[#This Row],[Duplicate Key]])</f>
        <v>1</v>
      </c>
    </row>
    <row r="5558" spans="1:10">
      <c r="A5558" s="7">
        <v>2</v>
      </c>
      <c r="B5558" s="8" t="s">
        <v>2044</v>
      </c>
      <c r="C5558" s="8" t="s">
        <v>1565</v>
      </c>
      <c r="D5558" s="7">
        <v>1</v>
      </c>
      <c r="E5558" s="7">
        <v>10</v>
      </c>
      <c r="F5558" s="7">
        <v>1</v>
      </c>
      <c r="G5558" s="8" t="s">
        <v>1241</v>
      </c>
      <c r="H5558" s="8" t="s">
        <v>1242</v>
      </c>
      <c r="I5558" s="7" t="str">
        <f>_xlfn.CONCAT(Paper_Reference[[#This Row],[Lvl]:[Paper Description]])</f>
        <v>2XJ8DX0045LR4000RAIN DROPLET 48 X 120110110000020-5000Premium Inkjet MPK 9653</v>
      </c>
      <c r="J5558" s="7">
        <f>COUNTIF(Paper_Reference[Duplicate Key],Paper_Reference[[#This Row],[Duplicate Key]])</f>
        <v>1</v>
      </c>
    </row>
    <row r="5559" spans="1:10">
      <c r="A5559" s="7">
        <v>2</v>
      </c>
      <c r="B5559" s="8" t="s">
        <v>2045</v>
      </c>
      <c r="C5559" s="8" t="s">
        <v>1565</v>
      </c>
      <c r="D5559" s="7">
        <v>1</v>
      </c>
      <c r="E5559" s="7">
        <v>0</v>
      </c>
      <c r="F5559" s="7">
        <v>2</v>
      </c>
      <c r="G5559" s="8" t="s">
        <v>6710</v>
      </c>
      <c r="H5559" s="8" t="s">
        <v>5691</v>
      </c>
      <c r="I5559" s="7" t="str">
        <f>_xlfn.CONCAT(Paper_Reference[[#This Row],[Lvl]:[Paper Description]])</f>
        <v>2XJ8DX0045SD4000RAIN DROPLET 48 X 120102100DS009-5000FROSTY WHITE</v>
      </c>
      <c r="J5559" s="7">
        <f>COUNTIF(Paper_Reference[Duplicate Key],Paper_Reference[[#This Row],[Duplicate Key]])</f>
        <v>1</v>
      </c>
    </row>
    <row r="5560" spans="1:10">
      <c r="A5560" s="7">
        <v>2</v>
      </c>
      <c r="B5560" s="8" t="s">
        <v>2045</v>
      </c>
      <c r="C5560" s="8" t="s">
        <v>1565</v>
      </c>
      <c r="D5560" s="7">
        <v>1</v>
      </c>
      <c r="E5560" s="7">
        <v>10</v>
      </c>
      <c r="F5560" s="7">
        <v>1</v>
      </c>
      <c r="G5560" s="8" t="s">
        <v>1241</v>
      </c>
      <c r="H5560" s="8" t="s">
        <v>1242</v>
      </c>
      <c r="I5560" s="7" t="str">
        <f>_xlfn.CONCAT(Paper_Reference[[#This Row],[Lvl]:[Paper Description]])</f>
        <v>2XJ8DX0045SD4000RAIN DROPLET 48 X 120110110000020-5000Premium Inkjet MPK 9653</v>
      </c>
      <c r="J5560" s="7">
        <f>COUNTIF(Paper_Reference[Duplicate Key],Paper_Reference[[#This Row],[Duplicate Key]])</f>
        <v>1</v>
      </c>
    </row>
    <row r="5561" spans="1:10">
      <c r="A5561" s="7">
        <v>2</v>
      </c>
      <c r="B5561" s="8" t="s">
        <v>2813</v>
      </c>
      <c r="C5561" s="8" t="s">
        <v>2327</v>
      </c>
      <c r="D5561" s="7">
        <v>1</v>
      </c>
      <c r="E5561" s="7">
        <v>0</v>
      </c>
      <c r="F5561" s="7">
        <v>2</v>
      </c>
      <c r="G5561" s="8" t="s">
        <v>5690</v>
      </c>
      <c r="H5561" s="8" t="s">
        <v>5691</v>
      </c>
      <c r="I5561" s="7" t="str">
        <f>_xlfn.CONCAT(Paper_Reference[[#This Row],[Lvl]:[Paper Description]])</f>
        <v>2XJ8DX0057SD500BAD PART S/B 5000102100DS009-6200FROSTY WHITE</v>
      </c>
      <c r="J5561" s="7">
        <f>COUNTIF(Paper_Reference[Duplicate Key],Paper_Reference[[#This Row],[Duplicate Key]])</f>
        <v>1</v>
      </c>
    </row>
    <row r="5562" spans="1:10">
      <c r="A5562" s="7">
        <v>2</v>
      </c>
      <c r="B5562" s="8" t="s">
        <v>2813</v>
      </c>
      <c r="C5562" s="8" t="s">
        <v>2327</v>
      </c>
      <c r="D5562" s="7">
        <v>1</v>
      </c>
      <c r="E5562" s="7">
        <v>10</v>
      </c>
      <c r="F5562" s="7">
        <v>1</v>
      </c>
      <c r="G5562" s="8" t="s">
        <v>2144</v>
      </c>
      <c r="H5562" s="8" t="s">
        <v>1242</v>
      </c>
      <c r="I5562" s="7" t="str">
        <f>_xlfn.CONCAT(Paper_Reference[[#This Row],[Lvl]:[Paper Description]])</f>
        <v>2XJ8DX0057SD500BAD PART S/B 5000110110000020-6200Premium Inkjet MPK 9653</v>
      </c>
      <c r="J5562" s="7">
        <f>COUNTIF(Paper_Reference[Duplicate Key],Paper_Reference[[#This Row],[Duplicate Key]])</f>
        <v>1</v>
      </c>
    </row>
    <row r="5563" spans="1:10">
      <c r="A5563" s="7">
        <v>2</v>
      </c>
      <c r="B5563" s="8" t="s">
        <v>2812</v>
      </c>
      <c r="C5563" s="8" t="s">
        <v>2326</v>
      </c>
      <c r="D5563" s="7">
        <v>1</v>
      </c>
      <c r="E5563" s="7">
        <v>0</v>
      </c>
      <c r="F5563" s="7">
        <v>2</v>
      </c>
      <c r="G5563" s="8" t="s">
        <v>5690</v>
      </c>
      <c r="H5563" s="8" t="s">
        <v>5691</v>
      </c>
      <c r="I5563" s="7" t="str">
        <f>_xlfn.CONCAT(Paper_Reference[[#This Row],[Lvl]:[Paper Description]])</f>
        <v>2XJ8DX0057SD5000CUBED CROSSING  60 X 120102100DS009-6200FROSTY WHITE</v>
      </c>
      <c r="J5563" s="7">
        <f>COUNTIF(Paper_Reference[Duplicate Key],Paper_Reference[[#This Row],[Duplicate Key]])</f>
        <v>1</v>
      </c>
    </row>
    <row r="5564" spans="1:10">
      <c r="A5564" s="7">
        <v>2</v>
      </c>
      <c r="B5564" s="8" t="s">
        <v>2812</v>
      </c>
      <c r="C5564" s="8" t="s">
        <v>2326</v>
      </c>
      <c r="D5564" s="7">
        <v>1</v>
      </c>
      <c r="E5564" s="7">
        <v>10</v>
      </c>
      <c r="F5564" s="7">
        <v>1</v>
      </c>
      <c r="G5564" s="8" t="s">
        <v>2144</v>
      </c>
      <c r="H5564" s="8" t="s">
        <v>1242</v>
      </c>
      <c r="I5564" s="7" t="str">
        <f>_xlfn.CONCAT(Paper_Reference[[#This Row],[Lvl]:[Paper Description]])</f>
        <v>2XJ8DX0057SD5000CUBED CROSSING  60 X 120110110000020-6200Premium Inkjet MPK 9653</v>
      </c>
      <c r="J5564" s="7">
        <f>COUNTIF(Paper_Reference[Duplicate Key],Paper_Reference[[#This Row],[Duplicate Key]])</f>
        <v>1</v>
      </c>
    </row>
    <row r="5565" spans="1:10">
      <c r="A5565" s="7">
        <v>2</v>
      </c>
      <c r="B5565" s="8" t="s">
        <v>2046</v>
      </c>
      <c r="C5565" s="8" t="s">
        <v>1505</v>
      </c>
      <c r="D5565" s="7">
        <v>1</v>
      </c>
      <c r="E5565" s="7">
        <v>0</v>
      </c>
      <c r="F5565" s="7">
        <v>2</v>
      </c>
      <c r="G5565" s="8" t="s">
        <v>6710</v>
      </c>
      <c r="H5565" s="8" t="s">
        <v>5691</v>
      </c>
      <c r="I5565" s="7" t="str">
        <f>_xlfn.CONCAT(Paper_Reference[[#This Row],[Lvl]:[Paper Description]])</f>
        <v>2XJ8DX0076SD4800CARBON BLACK BOOM 48 X 96102100DS009-5000FROSTY WHITE</v>
      </c>
      <c r="J5565" s="7">
        <f>COUNTIF(Paper_Reference[Duplicate Key],Paper_Reference[[#This Row],[Duplicate Key]])</f>
        <v>1</v>
      </c>
    </row>
    <row r="5566" spans="1:10">
      <c r="A5566" s="7">
        <v>2</v>
      </c>
      <c r="B5566" s="8" t="s">
        <v>2046</v>
      </c>
      <c r="C5566" s="8" t="s">
        <v>1505</v>
      </c>
      <c r="D5566" s="7">
        <v>1</v>
      </c>
      <c r="E5566" s="7">
        <v>10</v>
      </c>
      <c r="F5566" s="7">
        <v>1</v>
      </c>
      <c r="G5566" s="8" t="s">
        <v>1241</v>
      </c>
      <c r="H5566" s="8" t="s">
        <v>1242</v>
      </c>
      <c r="I5566" s="7" t="str">
        <f>_xlfn.CONCAT(Paper_Reference[[#This Row],[Lvl]:[Paper Description]])</f>
        <v>2XJ8DX0076SD4800CARBON BLACK BOOM 48 X 96110110000020-5000Premium Inkjet MPK 9653</v>
      </c>
      <c r="J5566" s="7">
        <f>COUNTIF(Paper_Reference[Duplicate Key],Paper_Reference[[#This Row],[Duplicate Key]])</f>
        <v>1</v>
      </c>
    </row>
    <row r="5567" spans="1:10">
      <c r="A5567" s="7">
        <v>2</v>
      </c>
      <c r="B5567" s="8" t="s">
        <v>8017</v>
      </c>
      <c r="C5567" s="8" t="s">
        <v>3252</v>
      </c>
      <c r="D5567" s="7">
        <v>1</v>
      </c>
      <c r="E5567" s="7">
        <v>10</v>
      </c>
      <c r="F5567" s="7">
        <v>2</v>
      </c>
      <c r="G5567" s="8" t="s">
        <v>6710</v>
      </c>
      <c r="H5567" s="8" t="s">
        <v>5691</v>
      </c>
      <c r="I5567" s="7" t="str">
        <f>_xlfn.CONCAT(Paper_Reference[[#This Row],[Lvl]:[Paper Description]])</f>
        <v>2XJ8IFOSSSNYM1FRL FOSSIL D/G 48 X 961102100DS009-5000FROSTY WHITE</v>
      </c>
      <c r="J5567" s="7">
        <f>COUNTIF(Paper_Reference[Duplicate Key],Paper_Reference[[#This Row],[Duplicate Key]])</f>
        <v>1</v>
      </c>
    </row>
    <row r="5568" spans="1:10">
      <c r="A5568" s="7">
        <v>2</v>
      </c>
      <c r="B5568" s="8" t="s">
        <v>8018</v>
      </c>
      <c r="C5568" s="8" t="s">
        <v>3250</v>
      </c>
      <c r="D5568" s="7">
        <v>1</v>
      </c>
      <c r="E5568" s="7">
        <v>10</v>
      </c>
      <c r="F5568" s="7">
        <v>2</v>
      </c>
      <c r="G5568" s="8" t="s">
        <v>6710</v>
      </c>
      <c r="H5568" s="8" t="s">
        <v>5691</v>
      </c>
      <c r="I5568" s="7" t="str">
        <f>_xlfn.CONCAT(Paper_Reference[[#This Row],[Lvl]:[Paper Description]])</f>
        <v>2XJ8IFOSSSPFN1FRL FOSSIL D/G 48 X 1201102100DS009-5000FROSTY WHITE</v>
      </c>
      <c r="J5568" s="7">
        <f>COUNTIF(Paper_Reference[Duplicate Key],Paper_Reference[[#This Row],[Duplicate Key]])</f>
        <v>1</v>
      </c>
    </row>
    <row r="5569" spans="1:10">
      <c r="A5569" s="7">
        <v>2</v>
      </c>
      <c r="B5569" s="8" t="s">
        <v>6543</v>
      </c>
      <c r="C5569" s="8" t="s">
        <v>6018</v>
      </c>
      <c r="D5569" s="7">
        <v>1</v>
      </c>
      <c r="E5569" s="7">
        <v>10</v>
      </c>
      <c r="F5569" s="7">
        <v>2</v>
      </c>
      <c r="G5569" s="8" t="s">
        <v>5690</v>
      </c>
      <c r="H5569" s="8" t="s">
        <v>5691</v>
      </c>
      <c r="I5569" s="7" t="str">
        <f>_xlfn.CONCAT(Paper_Reference[[#This Row],[Lvl]:[Paper Description]])</f>
        <v>2XJ8R0000N500FRL BLANK DIGITAL SHEET 60X1201102100DS009-6200FROSTY WHITE</v>
      </c>
      <c r="J5569" s="7">
        <f>COUNTIF(Paper_Reference[Duplicate Key],Paper_Reference[[#This Row],[Duplicate Key]])</f>
        <v>1</v>
      </c>
    </row>
    <row r="5570" spans="1:10">
      <c r="A5570" s="7">
        <v>2</v>
      </c>
      <c r="B5570" s="8" t="s">
        <v>6544</v>
      </c>
      <c r="C5570" s="8" t="s">
        <v>6019</v>
      </c>
      <c r="D5570" s="7">
        <v>1</v>
      </c>
      <c r="E5570" s="7">
        <v>10</v>
      </c>
      <c r="F5570" s="7">
        <v>2</v>
      </c>
      <c r="G5570" s="8" t="s">
        <v>5690</v>
      </c>
      <c r="H5570" s="8" t="s">
        <v>5691</v>
      </c>
      <c r="I5570" s="7" t="str">
        <f>_xlfn.CONCAT(Paper_Reference[[#This Row],[Lvl]:[Paper Description]])</f>
        <v>2XJ8R0025NNYRFRL SACRED HEART 60 X 961102100DS009-6200FROSTY WHITE</v>
      </c>
      <c r="J5570" s="7">
        <f>COUNTIF(Paper_Reference[Duplicate Key],Paper_Reference[[#This Row],[Duplicate Key]])</f>
        <v>1</v>
      </c>
    </row>
    <row r="5571" spans="1:10">
      <c r="A5571" s="7">
        <v>2</v>
      </c>
      <c r="B5571" s="8" t="s">
        <v>8019</v>
      </c>
      <c r="C5571" s="8" t="s">
        <v>7164</v>
      </c>
      <c r="D5571" s="7">
        <v>1</v>
      </c>
      <c r="E5571" s="7">
        <v>10</v>
      </c>
      <c r="F5571" s="7">
        <v>2</v>
      </c>
      <c r="G5571" s="8" t="s">
        <v>6710</v>
      </c>
      <c r="H5571" s="8" t="s">
        <v>5691</v>
      </c>
      <c r="I5571" s="7" t="str">
        <f>_xlfn.CONCAT(Paper_Reference[[#This Row],[Lvl]:[Paper Description]])</f>
        <v>2XJ8R0026NNYMFRL SACRED HEART II 48 X 961102100DS009-5000FROSTY WHITE</v>
      </c>
      <c r="J5571" s="7">
        <f>COUNTIF(Paper_Reference[Duplicate Key],Paper_Reference[[#This Row],[Duplicate Key]])</f>
        <v>1</v>
      </c>
    </row>
    <row r="5572" spans="1:10">
      <c r="A5572" s="7">
        <v>2</v>
      </c>
      <c r="B5572" s="8" t="s">
        <v>8020</v>
      </c>
      <c r="C5572" s="8" t="s">
        <v>7143</v>
      </c>
      <c r="D5572" s="7">
        <v>1</v>
      </c>
      <c r="E5572" s="7">
        <v>10</v>
      </c>
      <c r="F5572" s="7">
        <v>2</v>
      </c>
      <c r="G5572" s="8" t="s">
        <v>6710</v>
      </c>
      <c r="H5572" s="8" t="s">
        <v>5691</v>
      </c>
      <c r="I5572" s="7" t="str">
        <f>_xlfn.CONCAT(Paper_Reference[[#This Row],[Lvl]:[Paper Description]])</f>
        <v>2XJ8R0080NNYMFRL FED COM M-A P1 48 X 961102100DS009-5000FROSTY WHITE</v>
      </c>
      <c r="J5572" s="7">
        <f>COUNTIF(Paper_Reference[Duplicate Key],Paper_Reference[[#This Row],[Duplicate Key]])</f>
        <v>1</v>
      </c>
    </row>
    <row r="5573" spans="1:10">
      <c r="A5573" s="7">
        <v>2</v>
      </c>
      <c r="B5573" s="8" t="s">
        <v>8021</v>
      </c>
      <c r="C5573" s="8" t="s">
        <v>7144</v>
      </c>
      <c r="D5573" s="7">
        <v>1</v>
      </c>
      <c r="E5573" s="7">
        <v>10</v>
      </c>
      <c r="F5573" s="7">
        <v>2</v>
      </c>
      <c r="G5573" s="8" t="s">
        <v>6710</v>
      </c>
      <c r="H5573" s="8" t="s">
        <v>5691</v>
      </c>
      <c r="I5573" s="7" t="str">
        <f>_xlfn.CONCAT(Paper_Reference[[#This Row],[Lvl]:[Paper Description]])</f>
        <v>2XJ8R0081NNYMFRL FED COM M-A P2 48 X 961102100DS009-5000FROSTY WHITE</v>
      </c>
      <c r="J5573" s="7">
        <f>COUNTIF(Paper_Reference[Duplicate Key],Paper_Reference[[#This Row],[Duplicate Key]])</f>
        <v>1</v>
      </c>
    </row>
    <row r="5574" spans="1:10">
      <c r="A5574" s="7">
        <v>2</v>
      </c>
      <c r="B5574" s="8" t="s">
        <v>8022</v>
      </c>
      <c r="C5574" s="8" t="s">
        <v>7145</v>
      </c>
      <c r="D5574" s="7">
        <v>1</v>
      </c>
      <c r="E5574" s="7">
        <v>10</v>
      </c>
      <c r="F5574" s="7">
        <v>2</v>
      </c>
      <c r="G5574" s="8" t="s">
        <v>6710</v>
      </c>
      <c r="H5574" s="8" t="s">
        <v>5691</v>
      </c>
      <c r="I5574" s="7" t="str">
        <f>_xlfn.CONCAT(Paper_Reference[[#This Row],[Lvl]:[Paper Description]])</f>
        <v>2XJ8R0082NNYMFRL FED COM M-A P3 48 X 961102100DS009-5000FROSTY WHITE</v>
      </c>
      <c r="J5574" s="7">
        <f>COUNTIF(Paper_Reference[Duplicate Key],Paper_Reference[[#This Row],[Duplicate Key]])</f>
        <v>1</v>
      </c>
    </row>
    <row r="5575" spans="1:10">
      <c r="A5575" s="7">
        <v>2</v>
      </c>
      <c r="B5575" s="8" t="s">
        <v>8023</v>
      </c>
      <c r="C5575" s="8" t="s">
        <v>7146</v>
      </c>
      <c r="D5575" s="7">
        <v>1</v>
      </c>
      <c r="E5575" s="7">
        <v>10</v>
      </c>
      <c r="F5575" s="7">
        <v>2</v>
      </c>
      <c r="G5575" s="8" t="s">
        <v>6710</v>
      </c>
      <c r="H5575" s="8" t="s">
        <v>5691</v>
      </c>
      <c r="I5575" s="7" t="str">
        <f>_xlfn.CONCAT(Paper_Reference[[#This Row],[Lvl]:[Paper Description]])</f>
        <v>2XJ8R0083NNYMFRL FED COM M-A P4 48 X 961102100DS009-5000FROSTY WHITE</v>
      </c>
      <c r="J5575" s="7">
        <f>COUNTIF(Paper_Reference[Duplicate Key],Paper_Reference[[#This Row],[Duplicate Key]])</f>
        <v>1</v>
      </c>
    </row>
    <row r="5576" spans="1:10">
      <c r="A5576" s="7">
        <v>2</v>
      </c>
      <c r="B5576" s="8" t="s">
        <v>8024</v>
      </c>
      <c r="C5576" s="8" t="s">
        <v>7147</v>
      </c>
      <c r="D5576" s="7">
        <v>1</v>
      </c>
      <c r="E5576" s="7">
        <v>10</v>
      </c>
      <c r="F5576" s="7">
        <v>2</v>
      </c>
      <c r="G5576" s="8" t="s">
        <v>6710</v>
      </c>
      <c r="H5576" s="8" t="s">
        <v>5691</v>
      </c>
      <c r="I5576" s="7" t="str">
        <f>_xlfn.CONCAT(Paper_Reference[[#This Row],[Lvl]:[Paper Description]])</f>
        <v>2XJ8R0084NNYMFRL FED COM M-A P5 48 X 961102100DS009-5000FROSTY WHITE</v>
      </c>
      <c r="J5576" s="7">
        <f>COUNTIF(Paper_Reference[Duplicate Key],Paper_Reference[[#This Row],[Duplicate Key]])</f>
        <v>1</v>
      </c>
    </row>
    <row r="5577" spans="1:10">
      <c r="A5577" s="7">
        <v>2</v>
      </c>
      <c r="B5577" s="8" t="s">
        <v>8025</v>
      </c>
      <c r="C5577" s="8" t="s">
        <v>7148</v>
      </c>
      <c r="D5577" s="7">
        <v>1</v>
      </c>
      <c r="E5577" s="7">
        <v>10</v>
      </c>
      <c r="F5577" s="7">
        <v>2</v>
      </c>
      <c r="G5577" s="8" t="s">
        <v>6710</v>
      </c>
      <c r="H5577" s="8" t="s">
        <v>5691</v>
      </c>
      <c r="I5577" s="7" t="str">
        <f>_xlfn.CONCAT(Paper_Reference[[#This Row],[Lvl]:[Paper Description]])</f>
        <v>2XJ8R0085NPNYFRL FED COM M-A P6 36 X 961102100DS009-5000FROSTY WHITE</v>
      </c>
      <c r="J5577" s="7">
        <f>COUNTIF(Paper_Reference[Duplicate Key],Paper_Reference[[#This Row],[Duplicate Key]])</f>
        <v>1</v>
      </c>
    </row>
    <row r="5578" spans="1:10">
      <c r="A5578" s="7">
        <v>2</v>
      </c>
      <c r="B5578" s="8" t="s">
        <v>8026</v>
      </c>
      <c r="C5578" s="8" t="s">
        <v>7149</v>
      </c>
      <c r="D5578" s="7">
        <v>1</v>
      </c>
      <c r="E5578" s="7">
        <v>10</v>
      </c>
      <c r="F5578" s="7">
        <v>2</v>
      </c>
      <c r="G5578" s="8" t="s">
        <v>6710</v>
      </c>
      <c r="H5578" s="8" t="s">
        <v>5691</v>
      </c>
      <c r="I5578" s="7" t="str">
        <f>_xlfn.CONCAT(Paper_Reference[[#This Row],[Lvl]:[Paper Description]])</f>
        <v>2XJ8R0086NNYMFRL FED COM M-B P1 48 X 961102100DS009-5000FROSTY WHITE</v>
      </c>
      <c r="J5578" s="7">
        <f>COUNTIF(Paper_Reference[Duplicate Key],Paper_Reference[[#This Row],[Duplicate Key]])</f>
        <v>1</v>
      </c>
    </row>
    <row r="5579" spans="1:10">
      <c r="A5579" s="7">
        <v>2</v>
      </c>
      <c r="B5579" s="8" t="s">
        <v>8027</v>
      </c>
      <c r="C5579" s="8" t="s">
        <v>7150</v>
      </c>
      <c r="D5579" s="7">
        <v>1</v>
      </c>
      <c r="E5579" s="7">
        <v>10</v>
      </c>
      <c r="F5579" s="7">
        <v>2</v>
      </c>
      <c r="G5579" s="8" t="s">
        <v>6710</v>
      </c>
      <c r="H5579" s="8" t="s">
        <v>5691</v>
      </c>
      <c r="I5579" s="7" t="str">
        <f>_xlfn.CONCAT(Paper_Reference[[#This Row],[Lvl]:[Paper Description]])</f>
        <v>2XJ8R0087NNYMFRL FED COM M-B P2 48 X 961102100DS009-5000FROSTY WHITE</v>
      </c>
      <c r="J5579" s="7">
        <f>COUNTIF(Paper_Reference[Duplicate Key],Paper_Reference[[#This Row],[Duplicate Key]])</f>
        <v>1</v>
      </c>
    </row>
    <row r="5580" spans="1:10">
      <c r="A5580" s="7">
        <v>2</v>
      </c>
      <c r="B5580" s="8" t="s">
        <v>8028</v>
      </c>
      <c r="C5580" s="8" t="s">
        <v>7151</v>
      </c>
      <c r="D5580" s="7">
        <v>1</v>
      </c>
      <c r="E5580" s="7">
        <v>10</v>
      </c>
      <c r="F5580" s="7">
        <v>2</v>
      </c>
      <c r="G5580" s="8" t="s">
        <v>6710</v>
      </c>
      <c r="H5580" s="8" t="s">
        <v>5691</v>
      </c>
      <c r="I5580" s="7" t="str">
        <f>_xlfn.CONCAT(Paper_Reference[[#This Row],[Lvl]:[Paper Description]])</f>
        <v>2XJ8R0088NNYMFRL FED COM M-B P3 48 X 961102100DS009-5000FROSTY WHITE</v>
      </c>
      <c r="J5580" s="7">
        <f>COUNTIF(Paper_Reference[Duplicate Key],Paper_Reference[[#This Row],[Duplicate Key]])</f>
        <v>1</v>
      </c>
    </row>
    <row r="5581" spans="1:10">
      <c r="A5581" s="7">
        <v>2</v>
      </c>
      <c r="B5581" s="8" t="s">
        <v>8029</v>
      </c>
      <c r="C5581" s="8" t="s">
        <v>7152</v>
      </c>
      <c r="D5581" s="7">
        <v>1</v>
      </c>
      <c r="E5581" s="7">
        <v>10</v>
      </c>
      <c r="F5581" s="7">
        <v>2</v>
      </c>
      <c r="G5581" s="8" t="s">
        <v>6710</v>
      </c>
      <c r="H5581" s="8" t="s">
        <v>5691</v>
      </c>
      <c r="I5581" s="7" t="str">
        <f>_xlfn.CONCAT(Paper_Reference[[#This Row],[Lvl]:[Paper Description]])</f>
        <v>2XJ8R0089NNYMFRL FED COM M-B P4 48 X 961102100DS009-5000FROSTY WHITE</v>
      </c>
      <c r="J5581" s="7">
        <f>COUNTIF(Paper_Reference[Duplicate Key],Paper_Reference[[#This Row],[Duplicate Key]])</f>
        <v>1</v>
      </c>
    </row>
    <row r="5582" spans="1:10">
      <c r="A5582" s="7">
        <v>2</v>
      </c>
      <c r="B5582" s="8" t="s">
        <v>8030</v>
      </c>
      <c r="C5582" s="8" t="s">
        <v>7153</v>
      </c>
      <c r="D5582" s="7">
        <v>1</v>
      </c>
      <c r="E5582" s="7">
        <v>10</v>
      </c>
      <c r="F5582" s="7">
        <v>2</v>
      </c>
      <c r="G5582" s="8" t="s">
        <v>6710</v>
      </c>
      <c r="H5582" s="8" t="s">
        <v>5691</v>
      </c>
      <c r="I5582" s="7" t="str">
        <f>_xlfn.CONCAT(Paper_Reference[[#This Row],[Lvl]:[Paper Description]])</f>
        <v>2XJ8R0090NNYMFRL FED COM M-B P5 48 X 961102100DS009-5000FROSTY WHITE</v>
      </c>
      <c r="J5582" s="7">
        <f>COUNTIF(Paper_Reference[Duplicate Key],Paper_Reference[[#This Row],[Duplicate Key]])</f>
        <v>1</v>
      </c>
    </row>
    <row r="5583" spans="1:10">
      <c r="A5583" s="7">
        <v>2</v>
      </c>
      <c r="B5583" s="8" t="s">
        <v>8031</v>
      </c>
      <c r="C5583" s="8" t="s">
        <v>7154</v>
      </c>
      <c r="D5583" s="7">
        <v>1</v>
      </c>
      <c r="E5583" s="7">
        <v>10</v>
      </c>
      <c r="F5583" s="7">
        <v>2</v>
      </c>
      <c r="G5583" s="8" t="s">
        <v>6710</v>
      </c>
      <c r="H5583" s="8" t="s">
        <v>5691</v>
      </c>
      <c r="I5583" s="7" t="str">
        <f>_xlfn.CONCAT(Paper_Reference[[#This Row],[Lvl]:[Paper Description]])</f>
        <v>2XJ8R0091NPNYFRL FED COM M-B P6 36 X 961102100DS009-5000FROSTY WHITE</v>
      </c>
      <c r="J5583" s="7">
        <f>COUNTIF(Paper_Reference[Duplicate Key],Paper_Reference[[#This Row],[Duplicate Key]])</f>
        <v>1</v>
      </c>
    </row>
    <row r="5584" spans="1:10">
      <c r="A5584" s="7">
        <v>2</v>
      </c>
      <c r="B5584" s="8" t="s">
        <v>8032</v>
      </c>
      <c r="C5584" s="8" t="s">
        <v>7155</v>
      </c>
      <c r="D5584" s="7">
        <v>1</v>
      </c>
      <c r="E5584" s="7">
        <v>10</v>
      </c>
      <c r="F5584" s="7">
        <v>2</v>
      </c>
      <c r="G5584" s="8" t="s">
        <v>6710</v>
      </c>
      <c r="H5584" s="8" t="s">
        <v>5691</v>
      </c>
      <c r="I5584" s="7" t="str">
        <f>_xlfn.CONCAT(Paper_Reference[[#This Row],[Lvl]:[Paper Description]])</f>
        <v>2XJ8R0092NNYMFRL FED COM M-C P1 48 X 961102100DS009-5000FROSTY WHITE</v>
      </c>
      <c r="J5584" s="7">
        <f>COUNTIF(Paper_Reference[Duplicate Key],Paper_Reference[[#This Row],[Duplicate Key]])</f>
        <v>1</v>
      </c>
    </row>
    <row r="5585" spans="1:10">
      <c r="A5585" s="7">
        <v>2</v>
      </c>
      <c r="B5585" s="8" t="s">
        <v>8033</v>
      </c>
      <c r="C5585" s="8" t="s">
        <v>7156</v>
      </c>
      <c r="D5585" s="7">
        <v>1</v>
      </c>
      <c r="E5585" s="7">
        <v>10</v>
      </c>
      <c r="F5585" s="7">
        <v>2</v>
      </c>
      <c r="G5585" s="8" t="s">
        <v>6710</v>
      </c>
      <c r="H5585" s="8" t="s">
        <v>5691</v>
      </c>
      <c r="I5585" s="7" t="str">
        <f>_xlfn.CONCAT(Paper_Reference[[#This Row],[Lvl]:[Paper Description]])</f>
        <v>2XJ8R0093NNYMFRL FED COM M-C P2 48 X 961102100DS009-5000FROSTY WHITE</v>
      </c>
      <c r="J5585" s="7">
        <f>COUNTIF(Paper_Reference[Duplicate Key],Paper_Reference[[#This Row],[Duplicate Key]])</f>
        <v>1</v>
      </c>
    </row>
    <row r="5586" spans="1:10">
      <c r="A5586" s="7">
        <v>2</v>
      </c>
      <c r="B5586" s="8" t="s">
        <v>8034</v>
      </c>
      <c r="C5586" s="8" t="s">
        <v>7157</v>
      </c>
      <c r="D5586" s="7">
        <v>1</v>
      </c>
      <c r="E5586" s="7">
        <v>10</v>
      </c>
      <c r="F5586" s="7">
        <v>2</v>
      </c>
      <c r="G5586" s="8" t="s">
        <v>6710</v>
      </c>
      <c r="H5586" s="8" t="s">
        <v>5691</v>
      </c>
      <c r="I5586" s="7" t="str">
        <f>_xlfn.CONCAT(Paper_Reference[[#This Row],[Lvl]:[Paper Description]])</f>
        <v>2XJ8R0094NNYMFRL FED COM M-C P3 48 X 961102100DS009-5000FROSTY WHITE</v>
      </c>
      <c r="J5586" s="7">
        <f>COUNTIF(Paper_Reference[Duplicate Key],Paper_Reference[[#This Row],[Duplicate Key]])</f>
        <v>1</v>
      </c>
    </row>
    <row r="5587" spans="1:10">
      <c r="A5587" s="7">
        <v>2</v>
      </c>
      <c r="B5587" s="8" t="s">
        <v>8035</v>
      </c>
      <c r="C5587" s="8" t="s">
        <v>7158</v>
      </c>
      <c r="D5587" s="7">
        <v>1</v>
      </c>
      <c r="E5587" s="7">
        <v>10</v>
      </c>
      <c r="F5587" s="7">
        <v>2</v>
      </c>
      <c r="G5587" s="8" t="s">
        <v>6710</v>
      </c>
      <c r="H5587" s="8" t="s">
        <v>5691</v>
      </c>
      <c r="I5587" s="7" t="str">
        <f>_xlfn.CONCAT(Paper_Reference[[#This Row],[Lvl]:[Paper Description]])</f>
        <v>2XJ8R0095NNYMFRL FED COM M-C P4 48 X 961102100DS009-5000FROSTY WHITE</v>
      </c>
      <c r="J5587" s="7">
        <f>COUNTIF(Paper_Reference[Duplicate Key],Paper_Reference[[#This Row],[Duplicate Key]])</f>
        <v>1</v>
      </c>
    </row>
    <row r="5588" spans="1:10">
      <c r="A5588" s="7">
        <v>2</v>
      </c>
      <c r="B5588" s="8" t="s">
        <v>8036</v>
      </c>
      <c r="C5588" s="8" t="s">
        <v>7159</v>
      </c>
      <c r="D5588" s="7">
        <v>1</v>
      </c>
      <c r="E5588" s="7">
        <v>10</v>
      </c>
      <c r="F5588" s="7">
        <v>2</v>
      </c>
      <c r="G5588" s="8" t="s">
        <v>6710</v>
      </c>
      <c r="H5588" s="8" t="s">
        <v>5691</v>
      </c>
      <c r="I5588" s="7" t="str">
        <f>_xlfn.CONCAT(Paper_Reference[[#This Row],[Lvl]:[Paper Description]])</f>
        <v>2XJ8R0096NNYMFRL FED COM M-C P5 48 X 961102100DS009-5000FROSTY WHITE</v>
      </c>
      <c r="J5588" s="7">
        <f>COUNTIF(Paper_Reference[Duplicate Key],Paper_Reference[[#This Row],[Duplicate Key]])</f>
        <v>1</v>
      </c>
    </row>
    <row r="5589" spans="1:10">
      <c r="A5589" s="7">
        <v>2</v>
      </c>
      <c r="B5589" s="8" t="s">
        <v>8037</v>
      </c>
      <c r="C5589" s="8" t="s">
        <v>7160</v>
      </c>
      <c r="D5589" s="7">
        <v>1</v>
      </c>
      <c r="E5589" s="7">
        <v>10</v>
      </c>
      <c r="F5589" s="7">
        <v>2</v>
      </c>
      <c r="G5589" s="8" t="s">
        <v>6710</v>
      </c>
      <c r="H5589" s="8" t="s">
        <v>5691</v>
      </c>
      <c r="I5589" s="7" t="str">
        <f>_xlfn.CONCAT(Paper_Reference[[#This Row],[Lvl]:[Paper Description]])</f>
        <v>2XJ8R0097NPNYFRL FED COM M-C P6 36 X 961102100DS009-5000FROSTY WHITE</v>
      </c>
      <c r="J5589" s="7">
        <f>COUNTIF(Paper_Reference[Duplicate Key],Paper_Reference[[#This Row],[Duplicate Key]])</f>
        <v>1</v>
      </c>
    </row>
    <row r="5590" spans="1:10">
      <c r="A5590" s="7">
        <v>2</v>
      </c>
      <c r="B5590" s="8" t="s">
        <v>8038</v>
      </c>
      <c r="C5590" s="8" t="s">
        <v>7165</v>
      </c>
      <c r="D5590" s="7">
        <v>1</v>
      </c>
      <c r="E5590" s="7">
        <v>10</v>
      </c>
      <c r="F5590" s="7">
        <v>2</v>
      </c>
      <c r="G5590" s="8" t="s">
        <v>6710</v>
      </c>
      <c r="H5590" s="8" t="s">
        <v>5691</v>
      </c>
      <c r="I5590" s="7" t="str">
        <f>_xlfn.CONCAT(Paper_Reference[[#This Row],[Lvl]:[Paper Description]])</f>
        <v>2XJ8R0131NNYMFRL SPEEDY P1 48 X 961102100DS009-5000FROSTY WHITE</v>
      </c>
      <c r="J5590" s="7">
        <f>COUNTIF(Paper_Reference[Duplicate Key],Paper_Reference[[#This Row],[Duplicate Key]])</f>
        <v>1</v>
      </c>
    </row>
    <row r="5591" spans="1:10">
      <c r="A5591" s="7">
        <v>2</v>
      </c>
      <c r="B5591" s="8" t="s">
        <v>6545</v>
      </c>
      <c r="C5591" s="8" t="s">
        <v>6020</v>
      </c>
      <c r="D5591" s="7">
        <v>1</v>
      </c>
      <c r="E5591" s="7">
        <v>10</v>
      </c>
      <c r="F5591" s="7">
        <v>2</v>
      </c>
      <c r="G5591" s="8" t="s">
        <v>5690</v>
      </c>
      <c r="H5591" s="8" t="s">
        <v>5691</v>
      </c>
      <c r="I5591" s="7" t="str">
        <f>_xlfn.CONCAT(Paper_Reference[[#This Row],[Lvl]:[Paper Description]])</f>
        <v>2XJ8R0132NNYRFRL SPEEDY P2 60 X 961102100DS009-6200FROSTY WHITE</v>
      </c>
      <c r="J5591" s="7">
        <f>COUNTIF(Paper_Reference[Duplicate Key],Paper_Reference[[#This Row],[Duplicate Key]])</f>
        <v>1</v>
      </c>
    </row>
    <row r="5592" spans="1:10">
      <c r="A5592" s="7">
        <v>2</v>
      </c>
      <c r="B5592" s="8" t="s">
        <v>6546</v>
      </c>
      <c r="C5592" s="8" t="s">
        <v>6021</v>
      </c>
      <c r="D5592" s="7">
        <v>1</v>
      </c>
      <c r="E5592" s="7">
        <v>10</v>
      </c>
      <c r="F5592" s="7">
        <v>2</v>
      </c>
      <c r="G5592" s="8" t="s">
        <v>5690</v>
      </c>
      <c r="H5592" s="8" t="s">
        <v>5691</v>
      </c>
      <c r="I5592" s="7" t="str">
        <f>_xlfn.CONCAT(Paper_Reference[[#This Row],[Lvl]:[Paper Description]])</f>
        <v>2XJ8R0139NNYRFRL PSP PEDIATRICS  60 X 961102100DS009-6200FROSTY WHITE</v>
      </c>
      <c r="J5592" s="7">
        <f>COUNTIF(Paper_Reference[Duplicate Key],Paper_Reference[[#This Row],[Duplicate Key]])</f>
        <v>1</v>
      </c>
    </row>
    <row r="5593" spans="1:10">
      <c r="A5593" s="7">
        <v>2</v>
      </c>
      <c r="B5593" s="8" t="s">
        <v>6547</v>
      </c>
      <c r="C5593" s="8" t="s">
        <v>6022</v>
      </c>
      <c r="D5593" s="7">
        <v>1</v>
      </c>
      <c r="E5593" s="7">
        <v>10</v>
      </c>
      <c r="F5593" s="7">
        <v>2</v>
      </c>
      <c r="G5593" s="8" t="s">
        <v>5690</v>
      </c>
      <c r="H5593" s="8" t="s">
        <v>5691</v>
      </c>
      <c r="I5593" s="7" t="str">
        <f>_xlfn.CONCAT(Paper_Reference[[#This Row],[Lvl]:[Paper Description]])</f>
        <v>2XJ8R0139NPFQFRL PSP PEDI 60 X 1201102100DS009-6200FROSTY WHITE</v>
      </c>
      <c r="J5593" s="7">
        <f>COUNTIF(Paper_Reference[Duplicate Key],Paper_Reference[[#This Row],[Duplicate Key]])</f>
        <v>1</v>
      </c>
    </row>
    <row r="5594" spans="1:10">
      <c r="A5594" s="7">
        <v>2</v>
      </c>
      <c r="B5594" s="8" t="s">
        <v>8039</v>
      </c>
      <c r="C5594" s="8" t="s">
        <v>7166</v>
      </c>
      <c r="D5594" s="7">
        <v>1</v>
      </c>
      <c r="E5594" s="7">
        <v>10</v>
      </c>
      <c r="F5594" s="7">
        <v>2</v>
      </c>
      <c r="G5594" s="8" t="s">
        <v>6710</v>
      </c>
      <c r="H5594" s="8" t="s">
        <v>5691</v>
      </c>
      <c r="I5594" s="7" t="str">
        <f>_xlfn.CONCAT(Paper_Reference[[#This Row],[Lvl]:[Paper Description]])</f>
        <v>2XJ8R0155NNYMFRL SKYLINE OF ATLANTA 48 X 961102100DS009-5000FROSTY WHITE</v>
      </c>
      <c r="J5594" s="7">
        <f>COUNTIF(Paper_Reference[Duplicate Key],Paper_Reference[[#This Row],[Duplicate Key]])</f>
        <v>1</v>
      </c>
    </row>
    <row r="5595" spans="1:10">
      <c r="A5595" s="7">
        <v>2</v>
      </c>
      <c r="B5595" s="8" t="s">
        <v>6548</v>
      </c>
      <c r="C5595" s="8" t="s">
        <v>6023</v>
      </c>
      <c r="D5595" s="7">
        <v>1</v>
      </c>
      <c r="E5595" s="7">
        <v>10</v>
      </c>
      <c r="F5595" s="7">
        <v>2</v>
      </c>
      <c r="G5595" s="8" t="s">
        <v>5690</v>
      </c>
      <c r="H5595" s="8" t="s">
        <v>5691</v>
      </c>
      <c r="I5595" s="7" t="str">
        <f>_xlfn.CONCAT(Paper_Reference[[#This Row],[Lvl]:[Paper Description]])</f>
        <v>2XJ8R0171NWWCFRL STRIVE GROUP MURAL 60 X 771102100DS009-6200FROSTY WHITE</v>
      </c>
      <c r="J5595" s="7">
        <f>COUNTIF(Paper_Reference[Duplicate Key],Paper_Reference[[#This Row],[Duplicate Key]])</f>
        <v>1</v>
      </c>
    </row>
    <row r="5596" spans="1:10">
      <c r="A5596" s="7">
        <v>2</v>
      </c>
      <c r="B5596" s="8" t="s">
        <v>8040</v>
      </c>
      <c r="C5596" s="8" t="s">
        <v>7167</v>
      </c>
      <c r="D5596" s="7">
        <v>1</v>
      </c>
      <c r="E5596" s="7">
        <v>10</v>
      </c>
      <c r="F5596" s="7">
        <v>2</v>
      </c>
      <c r="G5596" s="8" t="s">
        <v>6710</v>
      </c>
      <c r="H5596" s="8" t="s">
        <v>5691</v>
      </c>
      <c r="I5596" s="7" t="str">
        <f>_xlfn.CONCAT(Paper_Reference[[#This Row],[Lvl]:[Paper Description]])</f>
        <v>2XJ8R0181NPNYFRL MAGEE HOSPITAL 36 X 961102100DS009-5000FROSTY WHITE</v>
      </c>
      <c r="J5596" s="7">
        <f>COUNTIF(Paper_Reference[Duplicate Key],Paper_Reference[[#This Row],[Duplicate Key]])</f>
        <v>1</v>
      </c>
    </row>
    <row r="5597" spans="1:10">
      <c r="A5597" s="7">
        <v>2</v>
      </c>
      <c r="B5597" s="8" t="s">
        <v>8041</v>
      </c>
      <c r="C5597" s="8" t="s">
        <v>7168</v>
      </c>
      <c r="D5597" s="7">
        <v>1</v>
      </c>
      <c r="E5597" s="7">
        <v>10</v>
      </c>
      <c r="F5597" s="7">
        <v>2</v>
      </c>
      <c r="G5597" s="8" t="s">
        <v>6710</v>
      </c>
      <c r="H5597" s="8" t="s">
        <v>5691</v>
      </c>
      <c r="I5597" s="7" t="str">
        <f>_xlfn.CONCAT(Paper_Reference[[#This Row],[Lvl]:[Paper Description]])</f>
        <v>2XJ8R0182NNYMFRL MAGEE HOSPITAL 48 X 961102100DS009-5000FROSTY WHITE</v>
      </c>
      <c r="J5597" s="7">
        <f>COUNTIF(Paper_Reference[Duplicate Key],Paper_Reference[[#This Row],[Duplicate Key]])</f>
        <v>1</v>
      </c>
    </row>
    <row r="5598" spans="1:10">
      <c r="A5598" s="7">
        <v>2</v>
      </c>
      <c r="B5598" s="8" t="s">
        <v>6549</v>
      </c>
      <c r="C5598" s="8" t="s">
        <v>6024</v>
      </c>
      <c r="D5598" s="7">
        <v>1</v>
      </c>
      <c r="E5598" s="7">
        <v>10</v>
      </c>
      <c r="F5598" s="7">
        <v>2</v>
      </c>
      <c r="G5598" s="8" t="s">
        <v>5690</v>
      </c>
      <c r="H5598" s="8" t="s">
        <v>5691</v>
      </c>
      <c r="I5598" s="7" t="str">
        <f>_xlfn.CONCAT(Paper_Reference[[#This Row],[Lvl]:[Paper Description]])</f>
        <v>2XJ8R0183NNYRFRL MAGEE HOSPITAL 60 X 961102100DS009-6200FROSTY WHITE</v>
      </c>
      <c r="J5598" s="7">
        <f>COUNTIF(Paper_Reference[Duplicate Key],Paper_Reference[[#This Row],[Duplicate Key]])</f>
        <v>1</v>
      </c>
    </row>
    <row r="5599" spans="1:10">
      <c r="A5599" s="7">
        <v>2</v>
      </c>
      <c r="B5599" s="8" t="s">
        <v>6550</v>
      </c>
      <c r="C5599" s="8" t="s">
        <v>6025</v>
      </c>
      <c r="D5599" s="7">
        <v>1</v>
      </c>
      <c r="E5599" s="7">
        <v>10</v>
      </c>
      <c r="F5599" s="7">
        <v>2</v>
      </c>
      <c r="G5599" s="8" t="s">
        <v>5690</v>
      </c>
      <c r="H5599" s="8" t="s">
        <v>5691</v>
      </c>
      <c r="I5599" s="7" t="str">
        <f>_xlfn.CONCAT(Paper_Reference[[#This Row],[Lvl]:[Paper Description]])</f>
        <v>2XJ8R0183NXBNFRL MAGEE HOSPITAL 58 1/2 X 961102100DS009-6200FROSTY WHITE</v>
      </c>
      <c r="J5599" s="7">
        <f>COUNTIF(Paper_Reference[Duplicate Key],Paper_Reference[[#This Row],[Duplicate Key]])</f>
        <v>1</v>
      </c>
    </row>
    <row r="5600" spans="1:10">
      <c r="A5600" s="7">
        <v>2</v>
      </c>
      <c r="B5600" s="8" t="s">
        <v>8042</v>
      </c>
      <c r="C5600" s="8" t="s">
        <v>7169</v>
      </c>
      <c r="D5600" s="7">
        <v>1</v>
      </c>
      <c r="E5600" s="7">
        <v>10</v>
      </c>
      <c r="F5600" s="7">
        <v>2</v>
      </c>
      <c r="G5600" s="8" t="s">
        <v>6710</v>
      </c>
      <c r="H5600" s="8" t="s">
        <v>5691</v>
      </c>
      <c r="I5600" s="7" t="str">
        <f>_xlfn.CONCAT(Paper_Reference[[#This Row],[Lvl]:[Paper Description]])</f>
        <v>2XJ8R0186NXCHFRL SAVANNAH MURAL 48 X 1021102100DS009-5000FROSTY WHITE</v>
      </c>
      <c r="J5600" s="7">
        <f>COUNTIF(Paper_Reference[Duplicate Key],Paper_Reference[[#This Row],[Duplicate Key]])</f>
        <v>1</v>
      </c>
    </row>
    <row r="5601" spans="1:10">
      <c r="A5601" s="7">
        <v>2</v>
      </c>
      <c r="B5601" s="8" t="s">
        <v>8043</v>
      </c>
      <c r="C5601" s="8" t="s">
        <v>7170</v>
      </c>
      <c r="D5601" s="7">
        <v>1</v>
      </c>
      <c r="E5601" s="7">
        <v>10</v>
      </c>
      <c r="F5601" s="7">
        <v>2</v>
      </c>
      <c r="G5601" s="8" t="s">
        <v>6710</v>
      </c>
      <c r="H5601" s="8" t="s">
        <v>5691</v>
      </c>
      <c r="I5601" s="7" t="str">
        <f>_xlfn.CONCAT(Paper_Reference[[#This Row],[Lvl]:[Paper Description]])</f>
        <v>2XJ8R0188NXCGFRL RAINFOREST M 48 1/2 X 1021102100DS009-5000FROSTY WHITE</v>
      </c>
      <c r="J5601" s="7">
        <f>COUNTIF(Paper_Reference[Duplicate Key],Paper_Reference[[#This Row],[Duplicate Key]])</f>
        <v>1</v>
      </c>
    </row>
    <row r="5602" spans="1:10">
      <c r="A5602" s="7">
        <v>2</v>
      </c>
      <c r="B5602" s="8" t="s">
        <v>8044</v>
      </c>
      <c r="C5602" s="8" t="s">
        <v>7171</v>
      </c>
      <c r="D5602" s="7">
        <v>1</v>
      </c>
      <c r="E5602" s="7">
        <v>10</v>
      </c>
      <c r="F5602" s="7">
        <v>2</v>
      </c>
      <c r="G5602" s="8" t="s">
        <v>6710</v>
      </c>
      <c r="H5602" s="8" t="s">
        <v>5691</v>
      </c>
      <c r="I5602" s="7" t="str">
        <f>_xlfn.CONCAT(Paper_Reference[[#This Row],[Lvl]:[Paper Description]])</f>
        <v>2XJ8R0189NNYMFRL QUOTE BOARD 48 X 961102100DS009-5000FROSTY WHITE</v>
      </c>
      <c r="J5602" s="7">
        <f>COUNTIF(Paper_Reference[Duplicate Key],Paper_Reference[[#This Row],[Duplicate Key]])</f>
        <v>1</v>
      </c>
    </row>
    <row r="5603" spans="1:10">
      <c r="A5603" s="7">
        <v>2</v>
      </c>
      <c r="B5603" s="8" t="s">
        <v>8045</v>
      </c>
      <c r="C5603" s="8" t="s">
        <v>7172</v>
      </c>
      <c r="D5603" s="7">
        <v>1</v>
      </c>
      <c r="E5603" s="7">
        <v>10</v>
      </c>
      <c r="F5603" s="7">
        <v>2</v>
      </c>
      <c r="G5603" s="8" t="s">
        <v>6710</v>
      </c>
      <c r="H5603" s="8" t="s">
        <v>5691</v>
      </c>
      <c r="I5603" s="7" t="str">
        <f>_xlfn.CONCAT(Paper_Reference[[#This Row],[Lvl]:[Paper Description]])</f>
        <v>2XJ8R0193NNYMFRL HOSPITAL SYSTEMS 48 X 961102100DS009-5000FROSTY WHITE</v>
      </c>
      <c r="J5603" s="7">
        <f>COUNTIF(Paper_Reference[Duplicate Key],Paper_Reference[[#This Row],[Duplicate Key]])</f>
        <v>1</v>
      </c>
    </row>
    <row r="5604" spans="1:10">
      <c r="A5604" s="7">
        <v>2</v>
      </c>
      <c r="B5604" s="8" t="s">
        <v>8046</v>
      </c>
      <c r="C5604" s="8" t="s">
        <v>7173</v>
      </c>
      <c r="D5604" s="7">
        <v>1</v>
      </c>
      <c r="E5604" s="7">
        <v>10</v>
      </c>
      <c r="F5604" s="7">
        <v>2</v>
      </c>
      <c r="G5604" s="8" t="s">
        <v>6710</v>
      </c>
      <c r="H5604" s="8" t="s">
        <v>5691</v>
      </c>
      <c r="I5604" s="7" t="str">
        <f>_xlfn.CONCAT(Paper_Reference[[#This Row],[Lvl]:[Paper Description]])</f>
        <v>2XJ8R0195NPYYFRL SHRINERS MURAL 48 X 841102100DS009-5000FROSTY WHITE</v>
      </c>
      <c r="J5604" s="7">
        <f>COUNTIF(Paper_Reference[Duplicate Key],Paper_Reference[[#This Row],[Duplicate Key]])</f>
        <v>1</v>
      </c>
    </row>
    <row r="5605" spans="1:10">
      <c r="A5605" s="7">
        <v>2</v>
      </c>
      <c r="B5605" s="8" t="s">
        <v>8047</v>
      </c>
      <c r="C5605" s="8" t="s">
        <v>7174</v>
      </c>
      <c r="D5605" s="7">
        <v>1</v>
      </c>
      <c r="E5605" s="7">
        <v>10</v>
      </c>
      <c r="F5605" s="7">
        <v>2</v>
      </c>
      <c r="G5605" s="8" t="s">
        <v>6710</v>
      </c>
      <c r="H5605" s="8" t="s">
        <v>5691</v>
      </c>
      <c r="I5605" s="7" t="str">
        <f>_xlfn.CONCAT(Paper_Reference[[#This Row],[Lvl]:[Paper Description]])</f>
        <v>2XJ8R0201NNYMFRL MONROE HS BOARD 48 X 961102100DS009-5000FROSTY WHITE</v>
      </c>
      <c r="J5605" s="7">
        <f>COUNTIF(Paper_Reference[Duplicate Key],Paper_Reference[[#This Row],[Duplicate Key]])</f>
        <v>1</v>
      </c>
    </row>
    <row r="5606" spans="1:10">
      <c r="A5606" s="7">
        <v>2</v>
      </c>
      <c r="B5606" s="8" t="s">
        <v>8048</v>
      </c>
      <c r="C5606" s="8" t="s">
        <v>7175</v>
      </c>
      <c r="D5606" s="7">
        <v>1</v>
      </c>
      <c r="E5606" s="7">
        <v>10</v>
      </c>
      <c r="F5606" s="7">
        <v>2</v>
      </c>
      <c r="G5606" s="8" t="s">
        <v>6710</v>
      </c>
      <c r="H5606" s="8" t="s">
        <v>5691</v>
      </c>
      <c r="I5606" s="7" t="str">
        <f>_xlfn.CONCAT(Paper_Reference[[#This Row],[Lvl]:[Paper Description]])</f>
        <v>2XJ8R0220NNYMFRL HILLCREST HS BOARD 48X961102100DS009-5000FROSTY WHITE</v>
      </c>
      <c r="J5606" s="7">
        <f>COUNTIF(Paper_Reference[Duplicate Key],Paper_Reference[[#This Row],[Duplicate Key]])</f>
        <v>1</v>
      </c>
    </row>
    <row r="5607" spans="1:10">
      <c r="A5607" s="7">
        <v>2</v>
      </c>
      <c r="B5607" s="8" t="s">
        <v>8049</v>
      </c>
      <c r="C5607" s="8" t="s">
        <v>7161</v>
      </c>
      <c r="D5607" s="7">
        <v>1</v>
      </c>
      <c r="E5607" s="7">
        <v>10</v>
      </c>
      <c r="F5607" s="7">
        <v>2</v>
      </c>
      <c r="G5607" s="8" t="s">
        <v>6710</v>
      </c>
      <c r="H5607" s="8" t="s">
        <v>5691</v>
      </c>
      <c r="I5607" s="7" t="str">
        <f>_xlfn.CONCAT(Paper_Reference[[#This Row],[Lvl]:[Paper Description]])</f>
        <v>2XJ8R0230NNYMFRL ROBESON HS MURALS 48 X 961102100DS009-5000FROSTY WHITE</v>
      </c>
      <c r="J5607" s="7">
        <f>COUNTIF(Paper_Reference[Duplicate Key],Paper_Reference[[#This Row],[Duplicate Key]])</f>
        <v>1</v>
      </c>
    </row>
    <row r="5608" spans="1:10">
      <c r="A5608" s="7">
        <v>2</v>
      </c>
      <c r="B5608" s="8" t="s">
        <v>8050</v>
      </c>
      <c r="C5608" s="8" t="s">
        <v>7176</v>
      </c>
      <c r="D5608" s="7">
        <v>1</v>
      </c>
      <c r="E5608" s="7">
        <v>10</v>
      </c>
      <c r="F5608" s="7">
        <v>2</v>
      </c>
      <c r="G5608" s="8" t="s">
        <v>6710</v>
      </c>
      <c r="H5608" s="8" t="s">
        <v>5691</v>
      </c>
      <c r="I5608" s="7" t="str">
        <f>_xlfn.CONCAT(Paper_Reference[[#This Row],[Lvl]:[Paper Description]])</f>
        <v>2XJ8R0231NNYMFRL CMC DAYTON YELLOW 48 X 961102100DS009-5000FROSTY WHITE</v>
      </c>
      <c r="J5608" s="7">
        <f>COUNTIF(Paper_Reference[Duplicate Key],Paper_Reference[[#This Row],[Duplicate Key]])</f>
        <v>1</v>
      </c>
    </row>
    <row r="5609" spans="1:10">
      <c r="A5609" s="7">
        <v>2</v>
      </c>
      <c r="B5609" s="8" t="s">
        <v>8051</v>
      </c>
      <c r="C5609" s="8" t="s">
        <v>7177</v>
      </c>
      <c r="D5609" s="7">
        <v>1</v>
      </c>
      <c r="E5609" s="7">
        <v>10</v>
      </c>
      <c r="F5609" s="7">
        <v>2</v>
      </c>
      <c r="G5609" s="8" t="s">
        <v>6710</v>
      </c>
      <c r="H5609" s="8" t="s">
        <v>5691</v>
      </c>
      <c r="I5609" s="7" t="str">
        <f>_xlfn.CONCAT(Paper_Reference[[#This Row],[Lvl]:[Paper Description]])</f>
        <v>2XJ8R0231NPNYFRL CMC DAYTON YELLOW 36 X 961102100DS009-5000FROSTY WHITE</v>
      </c>
      <c r="J5609" s="7">
        <f>COUNTIF(Paper_Reference[Duplicate Key],Paper_Reference[[#This Row],[Duplicate Key]])</f>
        <v>1</v>
      </c>
    </row>
    <row r="5610" spans="1:10">
      <c r="A5610" s="7">
        <v>2</v>
      </c>
      <c r="B5610" s="8" t="s">
        <v>8052</v>
      </c>
      <c r="C5610" s="8" t="s">
        <v>7177</v>
      </c>
      <c r="D5610" s="7">
        <v>1</v>
      </c>
      <c r="E5610" s="7">
        <v>10</v>
      </c>
      <c r="F5610" s="7">
        <v>2</v>
      </c>
      <c r="G5610" s="8" t="s">
        <v>6710</v>
      </c>
      <c r="H5610" s="8" t="s">
        <v>5691</v>
      </c>
      <c r="I5610" s="7" t="str">
        <f>_xlfn.CONCAT(Paper_Reference[[#This Row],[Lvl]:[Paper Description]])</f>
        <v>2XJ8R0231SDPNYFRL CMC DAYTON YELLOW 36 X 961102100DS009-5000FROSTY WHITE</v>
      </c>
      <c r="J5610" s="7">
        <f>COUNTIF(Paper_Reference[Duplicate Key],Paper_Reference[[#This Row],[Duplicate Key]])</f>
        <v>1</v>
      </c>
    </row>
    <row r="5611" spans="1:10">
      <c r="A5611" s="7">
        <v>2</v>
      </c>
      <c r="B5611" s="8" t="s">
        <v>8053</v>
      </c>
      <c r="C5611" s="8" t="s">
        <v>7178</v>
      </c>
      <c r="D5611" s="7">
        <v>1</v>
      </c>
      <c r="E5611" s="7">
        <v>10</v>
      </c>
      <c r="F5611" s="7">
        <v>2</v>
      </c>
      <c r="G5611" s="8" t="s">
        <v>6710</v>
      </c>
      <c r="H5611" s="8" t="s">
        <v>5691</v>
      </c>
      <c r="I5611" s="7" t="str">
        <f>_xlfn.CONCAT(Paper_Reference[[#This Row],[Lvl]:[Paper Description]])</f>
        <v>2XJ8R0232NNYMFRL CMC DAYTON PURPLE 48 X 961102100DS009-5000FROSTY WHITE</v>
      </c>
      <c r="J5611" s="7">
        <f>COUNTIF(Paper_Reference[Duplicate Key],Paper_Reference[[#This Row],[Duplicate Key]])</f>
        <v>1</v>
      </c>
    </row>
    <row r="5612" spans="1:10">
      <c r="A5612" s="7">
        <v>2</v>
      </c>
      <c r="B5612" s="8" t="s">
        <v>8054</v>
      </c>
      <c r="C5612" s="8" t="s">
        <v>7178</v>
      </c>
      <c r="D5612" s="7">
        <v>1</v>
      </c>
      <c r="E5612" s="7">
        <v>10</v>
      </c>
      <c r="F5612" s="7">
        <v>2</v>
      </c>
      <c r="G5612" s="8" t="s">
        <v>6710</v>
      </c>
      <c r="H5612" s="8" t="s">
        <v>5691</v>
      </c>
      <c r="I5612" s="7" t="str">
        <f>_xlfn.CONCAT(Paper_Reference[[#This Row],[Lvl]:[Paper Description]])</f>
        <v>2XJ8R0232SDNYMFRL CMC DAYTON PURPLE 48 X 961102100DS009-5000FROSTY WHITE</v>
      </c>
      <c r="J5612" s="7">
        <f>COUNTIF(Paper_Reference[Duplicate Key],Paper_Reference[[#This Row],[Duplicate Key]])</f>
        <v>1</v>
      </c>
    </row>
    <row r="5613" spans="1:10">
      <c r="A5613" s="7">
        <v>2</v>
      </c>
      <c r="B5613" s="8" t="s">
        <v>8055</v>
      </c>
      <c r="C5613" s="8" t="s">
        <v>7179</v>
      </c>
      <c r="D5613" s="7">
        <v>1</v>
      </c>
      <c r="E5613" s="7">
        <v>10</v>
      </c>
      <c r="F5613" s="7">
        <v>2</v>
      </c>
      <c r="G5613" s="8" t="s">
        <v>6710</v>
      </c>
      <c r="H5613" s="8" t="s">
        <v>5691</v>
      </c>
      <c r="I5613" s="7" t="str">
        <f>_xlfn.CONCAT(Paper_Reference[[#This Row],[Lvl]:[Paper Description]])</f>
        <v>2XJ8R0232SDPFLFRL CMC DAYTON PURPLE 36 X 1201102100DS009-5000FROSTY WHITE</v>
      </c>
      <c r="J5613" s="7">
        <f>COUNTIF(Paper_Reference[Duplicate Key],Paper_Reference[[#This Row],[Duplicate Key]])</f>
        <v>1</v>
      </c>
    </row>
    <row r="5614" spans="1:10">
      <c r="A5614" s="7">
        <v>2</v>
      </c>
      <c r="B5614" s="8" t="s">
        <v>8056</v>
      </c>
      <c r="C5614" s="8" t="s">
        <v>7180</v>
      </c>
      <c r="D5614" s="7">
        <v>1</v>
      </c>
      <c r="E5614" s="7">
        <v>10</v>
      </c>
      <c r="F5614" s="7">
        <v>2</v>
      </c>
      <c r="G5614" s="8" t="s">
        <v>6710</v>
      </c>
      <c r="H5614" s="8" t="s">
        <v>5691</v>
      </c>
      <c r="I5614" s="7" t="str">
        <f>_xlfn.CONCAT(Paper_Reference[[#This Row],[Lvl]:[Paper Description]])</f>
        <v>2XJ8R0232SDPFNFRL CMC DAYTON PURPLE 48 X 1201102100DS009-5000FROSTY WHITE</v>
      </c>
      <c r="J5614" s="7">
        <f>COUNTIF(Paper_Reference[Duplicate Key],Paper_Reference[[#This Row],[Duplicate Key]])</f>
        <v>1</v>
      </c>
    </row>
    <row r="5615" spans="1:10">
      <c r="A5615" s="7">
        <v>2</v>
      </c>
      <c r="B5615" s="8" t="s">
        <v>8057</v>
      </c>
      <c r="C5615" s="8" t="s">
        <v>7181</v>
      </c>
      <c r="D5615" s="7">
        <v>1</v>
      </c>
      <c r="E5615" s="7">
        <v>10</v>
      </c>
      <c r="F5615" s="7">
        <v>2</v>
      </c>
      <c r="G5615" s="8" t="s">
        <v>6710</v>
      </c>
      <c r="H5615" s="8" t="s">
        <v>5691</v>
      </c>
      <c r="I5615" s="7" t="str">
        <f>_xlfn.CONCAT(Paper_Reference[[#This Row],[Lvl]:[Paper Description]])</f>
        <v>2XJ8R0232SDPNYFRL CMC DAYTON PURPLE 36 X 961102100DS009-5000FROSTY WHITE</v>
      </c>
      <c r="J5615" s="7">
        <f>COUNTIF(Paper_Reference[Duplicate Key],Paper_Reference[[#This Row],[Duplicate Key]])</f>
        <v>1</v>
      </c>
    </row>
    <row r="5616" spans="1:10">
      <c r="A5616" s="7">
        <v>2</v>
      </c>
      <c r="B5616" s="8" t="s">
        <v>8058</v>
      </c>
      <c r="C5616" s="8" t="s">
        <v>7182</v>
      </c>
      <c r="D5616" s="7">
        <v>1</v>
      </c>
      <c r="E5616" s="7">
        <v>10</v>
      </c>
      <c r="F5616" s="7">
        <v>2</v>
      </c>
      <c r="G5616" s="8" t="s">
        <v>6710</v>
      </c>
      <c r="H5616" s="8" t="s">
        <v>5691</v>
      </c>
      <c r="I5616" s="7" t="str">
        <f>_xlfn.CONCAT(Paper_Reference[[#This Row],[Lvl]:[Paper Description]])</f>
        <v>2XJ8R0233NNYMFRL CMC DAYTON GREEN 48 X 961102100DS009-5000FROSTY WHITE</v>
      </c>
      <c r="J5616" s="7">
        <f>COUNTIF(Paper_Reference[Duplicate Key],Paper_Reference[[#This Row],[Duplicate Key]])</f>
        <v>1</v>
      </c>
    </row>
    <row r="5617" spans="1:10">
      <c r="A5617" s="7">
        <v>2</v>
      </c>
      <c r="B5617" s="8" t="s">
        <v>8059</v>
      </c>
      <c r="C5617" s="8" t="s">
        <v>7183</v>
      </c>
      <c r="D5617" s="7">
        <v>1</v>
      </c>
      <c r="E5617" s="7">
        <v>10</v>
      </c>
      <c r="F5617" s="7">
        <v>2</v>
      </c>
      <c r="G5617" s="8" t="s">
        <v>6710</v>
      </c>
      <c r="H5617" s="8" t="s">
        <v>5691</v>
      </c>
      <c r="I5617" s="7" t="str">
        <f>_xlfn.CONCAT(Paper_Reference[[#This Row],[Lvl]:[Paper Description]])</f>
        <v>2XJ8R0233SDPNYFRL CMC DAYTON GREEN 36 X 961102100DS009-5000FROSTY WHITE</v>
      </c>
      <c r="J5617" s="7">
        <f>COUNTIF(Paper_Reference[Duplicate Key],Paper_Reference[[#This Row],[Duplicate Key]])</f>
        <v>1</v>
      </c>
    </row>
    <row r="5618" spans="1:10">
      <c r="A5618" s="7">
        <v>2</v>
      </c>
      <c r="B5618" s="8" t="s">
        <v>8060</v>
      </c>
      <c r="C5618" s="8" t="s">
        <v>7184</v>
      </c>
      <c r="D5618" s="7">
        <v>1</v>
      </c>
      <c r="E5618" s="7">
        <v>10</v>
      </c>
      <c r="F5618" s="7">
        <v>2</v>
      </c>
      <c r="G5618" s="8" t="s">
        <v>6710</v>
      </c>
      <c r="H5618" s="8" t="s">
        <v>5691</v>
      </c>
      <c r="I5618" s="7" t="str">
        <f>_xlfn.CONCAT(Paper_Reference[[#This Row],[Lvl]:[Paper Description]])</f>
        <v>2XJ8R0234NNYMFRL CMC DAYTON BLUE 48 X 961102100DS009-5000FROSTY WHITE</v>
      </c>
      <c r="J5618" s="7">
        <f>COUNTIF(Paper_Reference[Duplicate Key],Paper_Reference[[#This Row],[Duplicate Key]])</f>
        <v>1</v>
      </c>
    </row>
    <row r="5619" spans="1:10">
      <c r="A5619" s="7">
        <v>2</v>
      </c>
      <c r="B5619" s="8" t="s">
        <v>8061</v>
      </c>
      <c r="C5619" s="8" t="s">
        <v>7185</v>
      </c>
      <c r="D5619" s="7">
        <v>1</v>
      </c>
      <c r="E5619" s="7">
        <v>10</v>
      </c>
      <c r="F5619" s="7">
        <v>2</v>
      </c>
      <c r="G5619" s="8" t="s">
        <v>6710</v>
      </c>
      <c r="H5619" s="8" t="s">
        <v>5691</v>
      </c>
      <c r="I5619" s="7" t="str">
        <f>_xlfn.CONCAT(Paper_Reference[[#This Row],[Lvl]:[Paper Description]])</f>
        <v>2XJ8R0234SDPFNFRL CMC DAYTON BLUE 48 X 1201102100DS009-5000FROSTY WHITE</v>
      </c>
      <c r="J5619" s="7">
        <f>COUNTIF(Paper_Reference[Duplicate Key],Paper_Reference[[#This Row],[Duplicate Key]])</f>
        <v>1</v>
      </c>
    </row>
    <row r="5620" spans="1:10">
      <c r="A5620" s="7">
        <v>2</v>
      </c>
      <c r="B5620" s="8" t="s">
        <v>8062</v>
      </c>
      <c r="C5620" s="8" t="s">
        <v>7186</v>
      </c>
      <c r="D5620" s="7">
        <v>1</v>
      </c>
      <c r="E5620" s="7">
        <v>10</v>
      </c>
      <c r="F5620" s="7">
        <v>2</v>
      </c>
      <c r="G5620" s="8" t="s">
        <v>6710</v>
      </c>
      <c r="H5620" s="8" t="s">
        <v>5691</v>
      </c>
      <c r="I5620" s="7" t="str">
        <f>_xlfn.CONCAT(Paper_Reference[[#This Row],[Lvl]:[Paper Description]])</f>
        <v>2XJ8R0234SDPNYFRL CMC DAYTON BLUE 36 X 961102100DS009-5000FROSTY WHITE</v>
      </c>
      <c r="J5620" s="7">
        <f>COUNTIF(Paper_Reference[Duplicate Key],Paper_Reference[[#This Row],[Duplicate Key]])</f>
        <v>1</v>
      </c>
    </row>
    <row r="5621" spans="1:10">
      <c r="A5621" s="7">
        <v>2</v>
      </c>
      <c r="B5621" s="8" t="s">
        <v>8063</v>
      </c>
      <c r="C5621" s="8" t="s">
        <v>7187</v>
      </c>
      <c r="D5621" s="7">
        <v>1</v>
      </c>
      <c r="E5621" s="7">
        <v>10</v>
      </c>
      <c r="F5621" s="7">
        <v>2</v>
      </c>
      <c r="G5621" s="8" t="s">
        <v>6710</v>
      </c>
      <c r="H5621" s="8" t="s">
        <v>5691</v>
      </c>
      <c r="I5621" s="7" t="str">
        <f>_xlfn.CONCAT(Paper_Reference[[#This Row],[Lvl]:[Paper Description]])</f>
        <v>2XJ8R0237N480FRL AURORA PARROTS 48 X 961102100DS009-5000FROSTY WHITE</v>
      </c>
      <c r="J5621" s="7">
        <f>COUNTIF(Paper_Reference[Duplicate Key],Paper_Reference[[#This Row],[Duplicate Key]])</f>
        <v>1</v>
      </c>
    </row>
    <row r="5622" spans="1:10">
      <c r="A5622" s="7">
        <v>2</v>
      </c>
      <c r="B5622" s="8" t="s">
        <v>8064</v>
      </c>
      <c r="C5622" s="8" t="s">
        <v>7188</v>
      </c>
      <c r="D5622" s="7">
        <v>1</v>
      </c>
      <c r="E5622" s="7">
        <v>10</v>
      </c>
      <c r="F5622" s="7">
        <v>2</v>
      </c>
      <c r="G5622" s="8" t="s">
        <v>6710</v>
      </c>
      <c r="H5622" s="8" t="s">
        <v>5691</v>
      </c>
      <c r="I5622" s="7" t="str">
        <f>_xlfn.CONCAT(Paper_Reference[[#This Row],[Lvl]:[Paper Description]])</f>
        <v>2XJ8R0238N480FRL AURORA GIRAFFES 48 X 961102100DS009-5000FROSTY WHITE</v>
      </c>
      <c r="J5622" s="7">
        <f>COUNTIF(Paper_Reference[Duplicate Key],Paper_Reference[[#This Row],[Duplicate Key]])</f>
        <v>1</v>
      </c>
    </row>
    <row r="5623" spans="1:10">
      <c r="A5623" s="7">
        <v>2</v>
      </c>
      <c r="B5623" s="8" t="s">
        <v>8065</v>
      </c>
      <c r="C5623" s="8" t="s">
        <v>7189</v>
      </c>
      <c r="D5623" s="7">
        <v>1</v>
      </c>
      <c r="E5623" s="7">
        <v>10</v>
      </c>
      <c r="F5623" s="7">
        <v>2</v>
      </c>
      <c r="G5623" s="8" t="s">
        <v>6710</v>
      </c>
      <c r="H5623" s="8" t="s">
        <v>5691</v>
      </c>
      <c r="I5623" s="7" t="str">
        <f>_xlfn.CONCAT(Paper_Reference[[#This Row],[Lvl]:[Paper Description]])</f>
        <v>2XJ8R0239N400FRL AURORA CHIMP 48 X 1201102100DS009-5000FROSTY WHITE</v>
      </c>
      <c r="J5623" s="7">
        <f>COUNTIF(Paper_Reference[Duplicate Key],Paper_Reference[[#This Row],[Duplicate Key]])</f>
        <v>1</v>
      </c>
    </row>
    <row r="5624" spans="1:10">
      <c r="A5624" s="7">
        <v>2</v>
      </c>
      <c r="B5624" s="8" t="s">
        <v>8066</v>
      </c>
      <c r="C5624" s="8" t="s">
        <v>7190</v>
      </c>
      <c r="D5624" s="7">
        <v>1</v>
      </c>
      <c r="E5624" s="7">
        <v>10</v>
      </c>
      <c r="F5624" s="7">
        <v>2</v>
      </c>
      <c r="G5624" s="8" t="s">
        <v>6710</v>
      </c>
      <c r="H5624" s="8" t="s">
        <v>5691</v>
      </c>
      <c r="I5624" s="7" t="str">
        <f>_xlfn.CONCAT(Paper_Reference[[#This Row],[Lvl]:[Paper Description]])</f>
        <v>2XJ8R0240N480FRL AURORA ELEPHANT 48 X 961102100DS009-5000FROSTY WHITE</v>
      </c>
      <c r="J5624" s="7">
        <f>COUNTIF(Paper_Reference[Duplicate Key],Paper_Reference[[#This Row],[Duplicate Key]])</f>
        <v>1</v>
      </c>
    </row>
    <row r="5625" spans="1:10">
      <c r="A5625" s="7">
        <v>2</v>
      </c>
      <c r="B5625" s="8" t="s">
        <v>8067</v>
      </c>
      <c r="C5625" s="8" t="s">
        <v>7191</v>
      </c>
      <c r="D5625" s="7">
        <v>1</v>
      </c>
      <c r="E5625" s="7">
        <v>10</v>
      </c>
      <c r="F5625" s="7">
        <v>2</v>
      </c>
      <c r="G5625" s="8" t="s">
        <v>6710</v>
      </c>
      <c r="H5625" s="8" t="s">
        <v>5691</v>
      </c>
      <c r="I5625" s="7" t="str">
        <f>_xlfn.CONCAT(Paper_Reference[[#This Row],[Lvl]:[Paper Description]])</f>
        <v>2XJ8R0241N480FRL AURORA ELEPHANT II 48 X 961102100DS009-5000FROSTY WHITE</v>
      </c>
      <c r="J5625" s="7">
        <f>COUNTIF(Paper_Reference[Duplicate Key],Paper_Reference[[#This Row],[Duplicate Key]])</f>
        <v>1</v>
      </c>
    </row>
    <row r="5626" spans="1:10">
      <c r="A5626" s="7">
        <v>2</v>
      </c>
      <c r="B5626" s="8" t="s">
        <v>8068</v>
      </c>
      <c r="C5626" s="8" t="s">
        <v>7192</v>
      </c>
      <c r="D5626" s="7">
        <v>1</v>
      </c>
      <c r="E5626" s="7">
        <v>10</v>
      </c>
      <c r="F5626" s="7">
        <v>2</v>
      </c>
      <c r="G5626" s="8" t="s">
        <v>6710</v>
      </c>
      <c r="H5626" s="8" t="s">
        <v>5691</v>
      </c>
      <c r="I5626" s="7" t="str">
        <f>_xlfn.CONCAT(Paper_Reference[[#This Row],[Lvl]:[Paper Description]])</f>
        <v>2XJ8R0242N480FRL AURORA ELEPHANT III 48X961102100DS009-5000FROSTY WHITE</v>
      </c>
      <c r="J5626" s="7">
        <f>COUNTIF(Paper_Reference[Duplicate Key],Paper_Reference[[#This Row],[Duplicate Key]])</f>
        <v>1</v>
      </c>
    </row>
    <row r="5627" spans="1:10">
      <c r="A5627" s="7">
        <v>2</v>
      </c>
      <c r="B5627" s="8" t="s">
        <v>8069</v>
      </c>
      <c r="C5627" s="8" t="s">
        <v>7193</v>
      </c>
      <c r="D5627" s="7">
        <v>1</v>
      </c>
      <c r="E5627" s="7">
        <v>10</v>
      </c>
      <c r="F5627" s="7">
        <v>2</v>
      </c>
      <c r="G5627" s="8" t="s">
        <v>6710</v>
      </c>
      <c r="H5627" s="8" t="s">
        <v>5691</v>
      </c>
      <c r="I5627" s="7" t="str">
        <f>_xlfn.CONCAT(Paper_Reference[[#This Row],[Lvl]:[Paper Description]])</f>
        <v>2XJ8R0243N480FRL STEVENSON HS BOARD 48X961102100DS009-5000FROSTY WHITE</v>
      </c>
      <c r="J5627" s="7">
        <f>COUNTIF(Paper_Reference[Duplicate Key],Paper_Reference[[#This Row],[Duplicate Key]])</f>
        <v>1</v>
      </c>
    </row>
    <row r="5628" spans="1:10">
      <c r="A5628" s="7">
        <v>2</v>
      </c>
      <c r="B5628" s="8" t="s">
        <v>8070</v>
      </c>
      <c r="C5628" s="8" t="s">
        <v>7194</v>
      </c>
      <c r="D5628" s="7">
        <v>1</v>
      </c>
      <c r="E5628" s="7">
        <v>10</v>
      </c>
      <c r="F5628" s="7">
        <v>2</v>
      </c>
      <c r="G5628" s="8" t="s">
        <v>6710</v>
      </c>
      <c r="H5628" s="8" t="s">
        <v>5691</v>
      </c>
      <c r="I5628" s="7" t="str">
        <f>_xlfn.CONCAT(Paper_Reference[[#This Row],[Lvl]:[Paper Description]])</f>
        <v>2XJ8R0244NPFLFRL SALMON DG 36 X 1201102100DS009-5000FROSTY WHITE</v>
      </c>
      <c r="J5628" s="7">
        <f>COUNTIF(Paper_Reference[Duplicate Key],Paper_Reference[[#This Row],[Duplicate Key]])</f>
        <v>1</v>
      </c>
    </row>
    <row r="5629" spans="1:10">
      <c r="A5629" s="7">
        <v>2</v>
      </c>
      <c r="B5629" s="8" t="s">
        <v>6551</v>
      </c>
      <c r="C5629" s="8" t="s">
        <v>6026</v>
      </c>
      <c r="D5629" s="7">
        <v>1</v>
      </c>
      <c r="E5629" s="7">
        <v>10</v>
      </c>
      <c r="F5629" s="7">
        <v>2</v>
      </c>
      <c r="G5629" s="8" t="s">
        <v>5690</v>
      </c>
      <c r="H5629" s="8" t="s">
        <v>5691</v>
      </c>
      <c r="I5629" s="7" t="str">
        <f>_xlfn.CONCAT(Paper_Reference[[#This Row],[Lvl]:[Paper Description]])</f>
        <v>2XJ8R0244NPFQFRL SALMON DG 60 X 1201102100DS009-6200FROSTY WHITE</v>
      </c>
      <c r="J5629" s="7">
        <f>COUNTIF(Paper_Reference[Duplicate Key],Paper_Reference[[#This Row],[Duplicate Key]])</f>
        <v>1</v>
      </c>
    </row>
    <row r="5630" spans="1:10">
      <c r="A5630" s="7">
        <v>2</v>
      </c>
      <c r="B5630" s="8" t="s">
        <v>6552</v>
      </c>
      <c r="C5630" s="8" t="s">
        <v>6027</v>
      </c>
      <c r="D5630" s="7">
        <v>1</v>
      </c>
      <c r="E5630" s="7">
        <v>10</v>
      </c>
      <c r="F5630" s="7">
        <v>2</v>
      </c>
      <c r="G5630" s="8" t="s">
        <v>5690</v>
      </c>
      <c r="H5630" s="8" t="s">
        <v>5691</v>
      </c>
      <c r="I5630" s="7" t="str">
        <f>_xlfn.CONCAT(Paper_Reference[[#This Row],[Lvl]:[Paper Description]])</f>
        <v>2XJ8R0245NNYRFRL ORCA  DG 60 X 961102100DS009-6200FROSTY WHITE</v>
      </c>
      <c r="J5630" s="7">
        <f>COUNTIF(Paper_Reference[Duplicate Key],Paper_Reference[[#This Row],[Duplicate Key]])</f>
        <v>1</v>
      </c>
    </row>
    <row r="5631" spans="1:10">
      <c r="A5631" s="7">
        <v>2</v>
      </c>
      <c r="B5631" s="8" t="s">
        <v>8071</v>
      </c>
      <c r="C5631" s="8" t="s">
        <v>7195</v>
      </c>
      <c r="D5631" s="7">
        <v>1</v>
      </c>
      <c r="E5631" s="7">
        <v>10</v>
      </c>
      <c r="F5631" s="7">
        <v>2</v>
      </c>
      <c r="G5631" s="8" t="s">
        <v>6710</v>
      </c>
      <c r="H5631" s="8" t="s">
        <v>5691</v>
      </c>
      <c r="I5631" s="7" t="str">
        <f>_xlfn.CONCAT(Paper_Reference[[#This Row],[Lvl]:[Paper Description]])</f>
        <v>2XJ8R0245NPNYFRL ORCA DG 36 X 961102100DS009-5000FROSTY WHITE</v>
      </c>
      <c r="J5631" s="7">
        <f>COUNTIF(Paper_Reference[Duplicate Key],Paper_Reference[[#This Row],[Duplicate Key]])</f>
        <v>1</v>
      </c>
    </row>
    <row r="5632" spans="1:10">
      <c r="A5632" s="7">
        <v>2</v>
      </c>
      <c r="B5632" s="8" t="s">
        <v>6553</v>
      </c>
      <c r="C5632" s="8" t="s">
        <v>6028</v>
      </c>
      <c r="D5632" s="7">
        <v>1</v>
      </c>
      <c r="E5632" s="7">
        <v>10</v>
      </c>
      <c r="F5632" s="7">
        <v>2</v>
      </c>
      <c r="G5632" s="8" t="s">
        <v>5690</v>
      </c>
      <c r="H5632" s="8" t="s">
        <v>5691</v>
      </c>
      <c r="I5632" s="7" t="str">
        <f>_xlfn.CONCAT(Paper_Reference[[#This Row],[Lvl]:[Paper Description]])</f>
        <v>2XJ8R0247NNYRFRL SEA LION 60 X 961102100DS009-6200FROSTY WHITE</v>
      </c>
      <c r="J5632" s="7">
        <f>COUNTIF(Paper_Reference[Duplicate Key],Paper_Reference[[#This Row],[Duplicate Key]])</f>
        <v>1</v>
      </c>
    </row>
    <row r="5633" spans="1:10">
      <c r="A5633" s="7">
        <v>2</v>
      </c>
      <c r="B5633" s="8" t="s">
        <v>6554</v>
      </c>
      <c r="C5633" s="8" t="s">
        <v>6029</v>
      </c>
      <c r="D5633" s="7">
        <v>1</v>
      </c>
      <c r="E5633" s="7">
        <v>10</v>
      </c>
      <c r="F5633" s="7">
        <v>2</v>
      </c>
      <c r="G5633" s="8" t="s">
        <v>5690</v>
      </c>
      <c r="H5633" s="8" t="s">
        <v>5691</v>
      </c>
      <c r="I5633" s="7" t="str">
        <f>_xlfn.CONCAT(Paper_Reference[[#This Row],[Lvl]:[Paper Description]])</f>
        <v>2XJ8R0248NNYRFRL EAGLE 60 X 961102100DS009-6200FROSTY WHITE</v>
      </c>
      <c r="J5633" s="7">
        <f>COUNTIF(Paper_Reference[Duplicate Key],Paper_Reference[[#This Row],[Duplicate Key]])</f>
        <v>1</v>
      </c>
    </row>
    <row r="5634" spans="1:10">
      <c r="A5634" s="7">
        <v>2</v>
      </c>
      <c r="B5634" s="8" t="s">
        <v>8072</v>
      </c>
      <c r="C5634" s="8" t="s">
        <v>7196</v>
      </c>
      <c r="D5634" s="7">
        <v>1</v>
      </c>
      <c r="E5634" s="7">
        <v>10</v>
      </c>
      <c r="F5634" s="7">
        <v>2</v>
      </c>
      <c r="G5634" s="8" t="s">
        <v>6710</v>
      </c>
      <c r="H5634" s="8" t="s">
        <v>5691</v>
      </c>
      <c r="I5634" s="7" t="str">
        <f>_xlfn.CONCAT(Paper_Reference[[#This Row],[Lvl]:[Paper Description]])</f>
        <v>2XJ8R0248NPNYFRL EAGLE 36 X 961102100DS009-5000FROSTY WHITE</v>
      </c>
      <c r="J5634" s="7">
        <f>COUNTIF(Paper_Reference[Duplicate Key],Paper_Reference[[#This Row],[Duplicate Key]])</f>
        <v>1</v>
      </c>
    </row>
    <row r="5635" spans="1:10">
      <c r="A5635" s="7">
        <v>2</v>
      </c>
      <c r="B5635" s="8" t="s">
        <v>8073</v>
      </c>
      <c r="C5635" s="8" t="s">
        <v>7197</v>
      </c>
      <c r="D5635" s="7">
        <v>1</v>
      </c>
      <c r="E5635" s="7">
        <v>10</v>
      </c>
      <c r="F5635" s="7">
        <v>2</v>
      </c>
      <c r="G5635" s="8" t="s">
        <v>6710</v>
      </c>
      <c r="H5635" s="8" t="s">
        <v>5691</v>
      </c>
      <c r="I5635" s="7" t="str">
        <f>_xlfn.CONCAT(Paper_Reference[[#This Row],[Lvl]:[Paper Description]])</f>
        <v>2XJ8R0252N480FRL BRODY HALL 48 X 961102100DS009-5000FROSTY WHITE</v>
      </c>
      <c r="J5635" s="7">
        <f>COUNTIF(Paper_Reference[Duplicate Key],Paper_Reference[[#This Row],[Duplicate Key]])</f>
        <v>1</v>
      </c>
    </row>
    <row r="5636" spans="1:10">
      <c r="A5636" s="7">
        <v>2</v>
      </c>
      <c r="B5636" s="8" t="s">
        <v>8074</v>
      </c>
      <c r="C5636" s="8" t="s">
        <v>7198</v>
      </c>
      <c r="D5636" s="7">
        <v>1</v>
      </c>
      <c r="E5636" s="7">
        <v>10</v>
      </c>
      <c r="F5636" s="7">
        <v>2</v>
      </c>
      <c r="G5636" s="8" t="s">
        <v>6710</v>
      </c>
      <c r="H5636" s="8" t="s">
        <v>5691</v>
      </c>
      <c r="I5636" s="7" t="str">
        <f>_xlfn.CONCAT(Paper_Reference[[#This Row],[Lvl]:[Paper Description]])</f>
        <v>2XJ8R0253N420FRL BRODY HALL WC-15 48 X 1441102100DS009-5000FROSTY WHITE</v>
      </c>
      <c r="J5636" s="7">
        <f>COUNTIF(Paper_Reference[Duplicate Key],Paper_Reference[[#This Row],[Duplicate Key]])</f>
        <v>1</v>
      </c>
    </row>
    <row r="5637" spans="1:10">
      <c r="A5637" s="7">
        <v>2</v>
      </c>
      <c r="B5637" s="8" t="s">
        <v>6555</v>
      </c>
      <c r="C5637" s="8" t="s">
        <v>6030</v>
      </c>
      <c r="D5637" s="7">
        <v>1</v>
      </c>
      <c r="E5637" s="7">
        <v>10</v>
      </c>
      <c r="F5637" s="7">
        <v>2</v>
      </c>
      <c r="G5637" s="8" t="s">
        <v>5690</v>
      </c>
      <c r="H5637" s="8" t="s">
        <v>5691</v>
      </c>
      <c r="I5637" s="7" t="str">
        <f>_xlfn.CONCAT(Paper_Reference[[#This Row],[Lvl]:[Paper Description]])</f>
        <v>2XJ8R0253N500FRL BRODY HALL WC-15 60 X 1201102100DS009-6200FROSTY WHITE</v>
      </c>
      <c r="J5637" s="7">
        <f>COUNTIF(Paper_Reference[Duplicate Key],Paper_Reference[[#This Row],[Duplicate Key]])</f>
        <v>1</v>
      </c>
    </row>
    <row r="5638" spans="1:10">
      <c r="A5638" s="7">
        <v>2</v>
      </c>
      <c r="B5638" s="8" t="s">
        <v>6556</v>
      </c>
      <c r="C5638" s="8" t="s">
        <v>6031</v>
      </c>
      <c r="D5638" s="7">
        <v>1</v>
      </c>
      <c r="E5638" s="7">
        <v>10</v>
      </c>
      <c r="F5638" s="7">
        <v>2</v>
      </c>
      <c r="G5638" s="8" t="s">
        <v>5690</v>
      </c>
      <c r="H5638" s="8" t="s">
        <v>5691</v>
      </c>
      <c r="I5638" s="7" t="str">
        <f>_xlfn.CONCAT(Paper_Reference[[#This Row],[Lvl]:[Paper Description]])</f>
        <v>2XJ8R0253N580FRL BRODY HALL WC-15 60 X 961102100DS009-6200FROSTY WHITE</v>
      </c>
      <c r="J5638" s="7">
        <f>COUNTIF(Paper_Reference[Duplicate Key],Paper_Reference[[#This Row],[Duplicate Key]])</f>
        <v>1</v>
      </c>
    </row>
    <row r="5639" spans="1:10">
      <c r="A5639" s="7">
        <v>2</v>
      </c>
      <c r="B5639" s="8" t="s">
        <v>8075</v>
      </c>
      <c r="C5639" s="8" t="s">
        <v>7199</v>
      </c>
      <c r="D5639" s="7">
        <v>1</v>
      </c>
      <c r="E5639" s="7">
        <v>10</v>
      </c>
      <c r="F5639" s="7">
        <v>2</v>
      </c>
      <c r="G5639" s="8" t="s">
        <v>6710</v>
      </c>
      <c r="H5639" s="8" t="s">
        <v>5691</v>
      </c>
      <c r="I5639" s="7" t="str">
        <f>_xlfn.CONCAT(Paper_Reference[[#This Row],[Lvl]:[Paper Description]])</f>
        <v>2XJ8R0254N480FRL BRODY HALL WC-9 48 X 961102100DS009-5000FROSTY WHITE</v>
      </c>
      <c r="J5639" s="7">
        <f>COUNTIF(Paper_Reference[Duplicate Key],Paper_Reference[[#This Row],[Duplicate Key]])</f>
        <v>1</v>
      </c>
    </row>
    <row r="5640" spans="1:10">
      <c r="A5640" s="7">
        <v>2</v>
      </c>
      <c r="B5640" s="8" t="s">
        <v>6557</v>
      </c>
      <c r="C5640" s="8" t="s">
        <v>6032</v>
      </c>
      <c r="D5640" s="7">
        <v>1</v>
      </c>
      <c r="E5640" s="7">
        <v>10</v>
      </c>
      <c r="F5640" s="7">
        <v>2</v>
      </c>
      <c r="G5640" s="8" t="s">
        <v>5690</v>
      </c>
      <c r="H5640" s="8" t="s">
        <v>5691</v>
      </c>
      <c r="I5640" s="7" t="str">
        <f>_xlfn.CONCAT(Paper_Reference[[#This Row],[Lvl]:[Paper Description]])</f>
        <v>2XJ8R0255N580FRL WW ENTRY LEVEL 60 X 961102100DS009-6200FROSTY WHITE</v>
      </c>
      <c r="J5640" s="7">
        <f>COUNTIF(Paper_Reference[Duplicate Key],Paper_Reference[[#This Row],[Duplicate Key]])</f>
        <v>1</v>
      </c>
    </row>
    <row r="5641" spans="1:10">
      <c r="A5641" s="7">
        <v>2</v>
      </c>
      <c r="B5641" s="8" t="s">
        <v>6558</v>
      </c>
      <c r="C5641" s="8" t="s">
        <v>6033</v>
      </c>
      <c r="D5641" s="7">
        <v>1</v>
      </c>
      <c r="E5641" s="7">
        <v>10</v>
      </c>
      <c r="F5641" s="7">
        <v>2</v>
      </c>
      <c r="G5641" s="8" t="s">
        <v>5690</v>
      </c>
      <c r="H5641" s="8" t="s">
        <v>5691</v>
      </c>
      <c r="I5641" s="7" t="str">
        <f>_xlfn.CONCAT(Paper_Reference[[#This Row],[Lvl]:[Paper Description]])</f>
        <v>2XJ8R0256N500FRL WW LEVEL 1 60 X 1201102100DS009-6200FROSTY WHITE</v>
      </c>
      <c r="J5641" s="7">
        <f>COUNTIF(Paper_Reference[Duplicate Key],Paper_Reference[[#This Row],[Duplicate Key]])</f>
        <v>1</v>
      </c>
    </row>
    <row r="5642" spans="1:10">
      <c r="A5642" s="7">
        <v>2</v>
      </c>
      <c r="B5642" s="8" t="s">
        <v>6559</v>
      </c>
      <c r="C5642" s="8" t="s">
        <v>6034</v>
      </c>
      <c r="D5642" s="7">
        <v>1</v>
      </c>
      <c r="E5642" s="7">
        <v>10</v>
      </c>
      <c r="F5642" s="7">
        <v>2</v>
      </c>
      <c r="G5642" s="8" t="s">
        <v>5690</v>
      </c>
      <c r="H5642" s="8" t="s">
        <v>5691</v>
      </c>
      <c r="I5642" s="7" t="str">
        <f>_xlfn.CONCAT(Paper_Reference[[#This Row],[Lvl]:[Paper Description]])</f>
        <v>2XJ8R0257N500FRL WW LEVEL 2 60 X 1201102100DS009-6200FROSTY WHITE</v>
      </c>
      <c r="J5642" s="7">
        <f>COUNTIF(Paper_Reference[Duplicate Key],Paper_Reference[[#This Row],[Duplicate Key]])</f>
        <v>1</v>
      </c>
    </row>
    <row r="5643" spans="1:10">
      <c r="A5643" s="7">
        <v>2</v>
      </c>
      <c r="B5643" s="8" t="s">
        <v>6560</v>
      </c>
      <c r="C5643" s="8" t="s">
        <v>6035</v>
      </c>
      <c r="D5643" s="7">
        <v>1</v>
      </c>
      <c r="E5643" s="7">
        <v>10</v>
      </c>
      <c r="F5643" s="7">
        <v>2</v>
      </c>
      <c r="G5643" s="8" t="s">
        <v>5690</v>
      </c>
      <c r="H5643" s="8" t="s">
        <v>5691</v>
      </c>
      <c r="I5643" s="7" t="str">
        <f>_xlfn.CONCAT(Paper_Reference[[#This Row],[Lvl]:[Paper Description]])</f>
        <v>2XJ8R0258N500FRL WW LEVEL 3 60 X 1201102100DS009-6200FROSTY WHITE</v>
      </c>
      <c r="J5643" s="7">
        <f>COUNTIF(Paper_Reference[Duplicate Key],Paper_Reference[[#This Row],[Duplicate Key]])</f>
        <v>1</v>
      </c>
    </row>
    <row r="5644" spans="1:10">
      <c r="A5644" s="7">
        <v>2</v>
      </c>
      <c r="B5644" s="8" t="s">
        <v>6561</v>
      </c>
      <c r="C5644" s="8" t="s">
        <v>6036</v>
      </c>
      <c r="D5644" s="7">
        <v>1</v>
      </c>
      <c r="E5644" s="7">
        <v>10</v>
      </c>
      <c r="F5644" s="7">
        <v>2</v>
      </c>
      <c r="G5644" s="8" t="s">
        <v>5690</v>
      </c>
      <c r="H5644" s="8" t="s">
        <v>5691</v>
      </c>
      <c r="I5644" s="7" t="str">
        <f>_xlfn.CONCAT(Paper_Reference[[#This Row],[Lvl]:[Paper Description]])</f>
        <v>2XJ8R0258N580FRL WW LEVEL 3 60 X 961102100DS009-6200FROSTY WHITE</v>
      </c>
      <c r="J5644" s="7">
        <f>COUNTIF(Paper_Reference[Duplicate Key],Paper_Reference[[#This Row],[Duplicate Key]])</f>
        <v>1</v>
      </c>
    </row>
    <row r="5645" spans="1:10">
      <c r="A5645" s="7">
        <v>2</v>
      </c>
      <c r="B5645" s="8" t="s">
        <v>6562</v>
      </c>
      <c r="C5645" s="8" t="s">
        <v>6037</v>
      </c>
      <c r="D5645" s="7">
        <v>1</v>
      </c>
      <c r="E5645" s="7">
        <v>10</v>
      </c>
      <c r="F5645" s="7">
        <v>2</v>
      </c>
      <c r="G5645" s="8" t="s">
        <v>5690</v>
      </c>
      <c r="H5645" s="8" t="s">
        <v>5691</v>
      </c>
      <c r="I5645" s="7" t="str">
        <f>_xlfn.CONCAT(Paper_Reference[[#This Row],[Lvl]:[Paper Description]])</f>
        <v>2XJ8R0259N500FRL WW LEVEL 4 60 X 1201102100DS009-6200FROSTY WHITE</v>
      </c>
      <c r="J5645" s="7">
        <f>COUNTIF(Paper_Reference[Duplicate Key],Paper_Reference[[#This Row],[Duplicate Key]])</f>
        <v>1</v>
      </c>
    </row>
    <row r="5646" spans="1:10">
      <c r="A5646" s="7">
        <v>2</v>
      </c>
      <c r="B5646" s="8" t="s">
        <v>6563</v>
      </c>
      <c r="C5646" s="8" t="s">
        <v>6038</v>
      </c>
      <c r="D5646" s="7">
        <v>1</v>
      </c>
      <c r="E5646" s="7">
        <v>10</v>
      </c>
      <c r="F5646" s="7">
        <v>2</v>
      </c>
      <c r="G5646" s="8" t="s">
        <v>5690</v>
      </c>
      <c r="H5646" s="8" t="s">
        <v>5691</v>
      </c>
      <c r="I5646" s="7" t="str">
        <f>_xlfn.CONCAT(Paper_Reference[[#This Row],[Lvl]:[Paper Description]])</f>
        <v>2XJ8R0259N580FRL WW LEVEL 4 60 X 961102100DS009-6200FROSTY WHITE</v>
      </c>
      <c r="J5646" s="7">
        <f>COUNTIF(Paper_Reference[Duplicate Key],Paper_Reference[[#This Row],[Duplicate Key]])</f>
        <v>1</v>
      </c>
    </row>
    <row r="5647" spans="1:10">
      <c r="A5647" s="7">
        <v>2</v>
      </c>
      <c r="B5647" s="8" t="s">
        <v>6564</v>
      </c>
      <c r="C5647" s="8" t="s">
        <v>6039</v>
      </c>
      <c r="D5647" s="7">
        <v>1</v>
      </c>
      <c r="E5647" s="7">
        <v>10</v>
      </c>
      <c r="F5647" s="7">
        <v>2</v>
      </c>
      <c r="G5647" s="8" t="s">
        <v>5690</v>
      </c>
      <c r="H5647" s="8" t="s">
        <v>5691</v>
      </c>
      <c r="I5647" s="7" t="str">
        <f>_xlfn.CONCAT(Paper_Reference[[#This Row],[Lvl]:[Paper Description]])</f>
        <v>2XJ8R0261N500FRL BOSTON MED 60 X 1201102100DS009-6200FROSTY WHITE</v>
      </c>
      <c r="J5647" s="7">
        <f>COUNTIF(Paper_Reference[Duplicate Key],Paper_Reference[[#This Row],[Duplicate Key]])</f>
        <v>1</v>
      </c>
    </row>
    <row r="5648" spans="1:10">
      <c r="A5648" s="7">
        <v>2</v>
      </c>
      <c r="B5648" s="8" t="s">
        <v>6565</v>
      </c>
      <c r="C5648" s="8" t="s">
        <v>6040</v>
      </c>
      <c r="D5648" s="7">
        <v>1</v>
      </c>
      <c r="E5648" s="7">
        <v>10</v>
      </c>
      <c r="F5648" s="7">
        <v>2</v>
      </c>
      <c r="G5648" s="8" t="s">
        <v>5690</v>
      </c>
      <c r="H5648" s="8" t="s">
        <v>5691</v>
      </c>
      <c r="I5648" s="7" t="str">
        <f>_xlfn.CONCAT(Paper_Reference[[#This Row],[Lvl]:[Paper Description]])</f>
        <v>2XJ8R0273N500FRL BOSTON MED HISTORY 60X1201102100DS009-6200FROSTY WHITE</v>
      </c>
      <c r="J5648" s="7">
        <f>COUNTIF(Paper_Reference[Duplicate Key],Paper_Reference[[#This Row],[Duplicate Key]])</f>
        <v>1</v>
      </c>
    </row>
    <row r="5649" spans="1:10">
      <c r="A5649" s="7">
        <v>2</v>
      </c>
      <c r="B5649" s="8" t="s">
        <v>6566</v>
      </c>
      <c r="C5649" s="8" t="s">
        <v>6041</v>
      </c>
      <c r="D5649" s="7">
        <v>1</v>
      </c>
      <c r="E5649" s="7">
        <v>10</v>
      </c>
      <c r="F5649" s="7">
        <v>2</v>
      </c>
      <c r="G5649" s="8" t="s">
        <v>5690</v>
      </c>
      <c r="H5649" s="8" t="s">
        <v>5691</v>
      </c>
      <c r="I5649" s="7" t="str">
        <f>_xlfn.CONCAT(Paper_Reference[[#This Row],[Lvl]:[Paper Description]])</f>
        <v>2XJ8R0283N580FRL TRUMAN CRANBERRY 60X961102100DS009-6200FROSTY WHITE</v>
      </c>
      <c r="J5649" s="7">
        <f>COUNTIF(Paper_Reference[Duplicate Key],Paper_Reference[[#This Row],[Duplicate Key]])</f>
        <v>1</v>
      </c>
    </row>
    <row r="5650" spans="1:10">
      <c r="A5650" s="7">
        <v>2</v>
      </c>
      <c r="B5650" s="8" t="s">
        <v>6567</v>
      </c>
      <c r="C5650" s="8" t="s">
        <v>6042</v>
      </c>
      <c r="D5650" s="7">
        <v>1</v>
      </c>
      <c r="E5650" s="7">
        <v>10</v>
      </c>
      <c r="F5650" s="7">
        <v>2</v>
      </c>
      <c r="G5650" s="8" t="s">
        <v>5690</v>
      </c>
      <c r="H5650" s="8" t="s">
        <v>5691</v>
      </c>
      <c r="I5650" s="7" t="str">
        <f>_xlfn.CONCAT(Paper_Reference[[#This Row],[Lvl]:[Paper Description]])</f>
        <v>2XJ8R0284N500FRL TRUMAN WHEAT 60 X 1201102100DS009-6200FROSTY WHITE</v>
      </c>
      <c r="J5650" s="7">
        <f>COUNTIF(Paper_Reference[Duplicate Key],Paper_Reference[[#This Row],[Duplicate Key]])</f>
        <v>1</v>
      </c>
    </row>
    <row r="5651" spans="1:10">
      <c r="A5651" s="7">
        <v>2</v>
      </c>
      <c r="B5651" s="8" t="s">
        <v>8076</v>
      </c>
      <c r="C5651" s="8" t="s">
        <v>7200</v>
      </c>
      <c r="D5651" s="7">
        <v>1</v>
      </c>
      <c r="E5651" s="7">
        <v>10</v>
      </c>
      <c r="F5651" s="7">
        <v>2</v>
      </c>
      <c r="G5651" s="8" t="s">
        <v>6710</v>
      </c>
      <c r="H5651" s="8" t="s">
        <v>5691</v>
      </c>
      <c r="I5651" s="7" t="str">
        <f>_xlfn.CONCAT(Paper_Reference[[#This Row],[Lvl]:[Paper Description]])</f>
        <v>2XJ8R0285N400FRL RUSH HOSPITAL WG-16 48X1201102100DS009-5000FROSTY WHITE</v>
      </c>
      <c r="J5651" s="7">
        <f>COUNTIF(Paper_Reference[Duplicate Key],Paper_Reference[[#This Row],[Duplicate Key]])</f>
        <v>1</v>
      </c>
    </row>
    <row r="5652" spans="1:10">
      <c r="A5652" s="7">
        <v>2</v>
      </c>
      <c r="B5652" s="8" t="s">
        <v>8077</v>
      </c>
      <c r="C5652" s="8" t="s">
        <v>7201</v>
      </c>
      <c r="D5652" s="7">
        <v>1</v>
      </c>
      <c r="E5652" s="7">
        <v>10</v>
      </c>
      <c r="F5652" s="7">
        <v>2</v>
      </c>
      <c r="G5652" s="8" t="s">
        <v>6710</v>
      </c>
      <c r="H5652" s="8" t="s">
        <v>5691</v>
      </c>
      <c r="I5652" s="7" t="str">
        <f>_xlfn.CONCAT(Paper_Reference[[#This Row],[Lvl]:[Paper Description]])</f>
        <v>2XJ8R0286N400FRL RUSH HOSPITAL WG-17 48X1201102100DS009-5000FROSTY WHITE</v>
      </c>
      <c r="J5652" s="7">
        <f>COUNTIF(Paper_Reference[Duplicate Key],Paper_Reference[[#This Row],[Duplicate Key]])</f>
        <v>1</v>
      </c>
    </row>
    <row r="5653" spans="1:10">
      <c r="A5653" s="7">
        <v>2</v>
      </c>
      <c r="B5653" s="8" t="s">
        <v>8078</v>
      </c>
      <c r="C5653" s="8" t="s">
        <v>7202</v>
      </c>
      <c r="D5653" s="7">
        <v>1</v>
      </c>
      <c r="E5653" s="7">
        <v>10</v>
      </c>
      <c r="F5653" s="7">
        <v>2</v>
      </c>
      <c r="G5653" s="8" t="s">
        <v>6710</v>
      </c>
      <c r="H5653" s="8" t="s">
        <v>5691</v>
      </c>
      <c r="I5653" s="7" t="str">
        <f>_xlfn.CONCAT(Paper_Reference[[#This Row],[Lvl]:[Paper Description]])</f>
        <v>2XJ8R0287N400FRL RUSH HOSPITAL WG-18 48X1201102100DS009-5000FROSTY WHITE</v>
      </c>
      <c r="J5653" s="7">
        <f>COUNTIF(Paper_Reference[Duplicate Key],Paper_Reference[[#This Row],[Duplicate Key]])</f>
        <v>1</v>
      </c>
    </row>
    <row r="5654" spans="1:10">
      <c r="A5654" s="7">
        <v>2</v>
      </c>
      <c r="B5654" s="8" t="s">
        <v>8079</v>
      </c>
      <c r="C5654" s="8" t="s">
        <v>7203</v>
      </c>
      <c r="D5654" s="7">
        <v>1</v>
      </c>
      <c r="E5654" s="7">
        <v>10</v>
      </c>
      <c r="F5654" s="7">
        <v>2</v>
      </c>
      <c r="G5654" s="8" t="s">
        <v>6710</v>
      </c>
      <c r="H5654" s="8" t="s">
        <v>5691</v>
      </c>
      <c r="I5654" s="7" t="str">
        <f>_xlfn.CONCAT(Paper_Reference[[#This Row],[Lvl]:[Paper Description]])</f>
        <v>2XJ8R0288N480FRL RUSH HOSPITAL WG-20 48X961102100DS009-5000FROSTY WHITE</v>
      </c>
      <c r="J5654" s="7">
        <f>COUNTIF(Paper_Reference[Duplicate Key],Paper_Reference[[#This Row],[Duplicate Key]])</f>
        <v>1</v>
      </c>
    </row>
    <row r="5655" spans="1:10">
      <c r="A5655" s="7">
        <v>2</v>
      </c>
      <c r="B5655" s="8" t="s">
        <v>8080</v>
      </c>
      <c r="C5655" s="8" t="s">
        <v>7204</v>
      </c>
      <c r="D5655" s="7">
        <v>1</v>
      </c>
      <c r="E5655" s="7">
        <v>10</v>
      </c>
      <c r="F5655" s="7">
        <v>2</v>
      </c>
      <c r="G5655" s="8" t="s">
        <v>6710</v>
      </c>
      <c r="H5655" s="8" t="s">
        <v>5691</v>
      </c>
      <c r="I5655" s="7" t="str">
        <f>_xlfn.CONCAT(Paper_Reference[[#This Row],[Lvl]:[Paper Description]])</f>
        <v>2XJ8R0290N480FRL PS 126 LIBRARY D/G 48 X 961102100DS009-5000FROSTY WHITE</v>
      </c>
      <c r="J5655" s="7">
        <f>COUNTIF(Paper_Reference[Duplicate Key],Paper_Reference[[#This Row],[Duplicate Key]])</f>
        <v>1</v>
      </c>
    </row>
    <row r="5656" spans="1:10">
      <c r="A5656" s="7">
        <v>2</v>
      </c>
      <c r="B5656" s="8" t="s">
        <v>8081</v>
      </c>
      <c r="C5656" s="8" t="s">
        <v>7205</v>
      </c>
      <c r="D5656" s="7">
        <v>1</v>
      </c>
      <c r="E5656" s="7">
        <v>10</v>
      </c>
      <c r="F5656" s="7">
        <v>2</v>
      </c>
      <c r="G5656" s="8" t="s">
        <v>6710</v>
      </c>
      <c r="H5656" s="8" t="s">
        <v>5691</v>
      </c>
      <c r="I5656" s="7" t="str">
        <f>_xlfn.CONCAT(Paper_Reference[[#This Row],[Lvl]:[Paper Description]])</f>
        <v>2XJ8R0293N400FRL PHASE 3 CAFE 48 X 1201102100DS009-5000FROSTY WHITE</v>
      </c>
      <c r="J5656" s="7">
        <f>COUNTIF(Paper_Reference[Duplicate Key],Paper_Reference[[#This Row],[Duplicate Key]])</f>
        <v>1</v>
      </c>
    </row>
    <row r="5657" spans="1:10">
      <c r="A5657" s="7">
        <v>2</v>
      </c>
      <c r="B5657" s="8" t="s">
        <v>6568</v>
      </c>
      <c r="C5657" s="8" t="s">
        <v>6043</v>
      </c>
      <c r="D5657" s="7">
        <v>1</v>
      </c>
      <c r="E5657" s="7">
        <v>10</v>
      </c>
      <c r="F5657" s="7">
        <v>2</v>
      </c>
      <c r="G5657" s="8" t="s">
        <v>5690</v>
      </c>
      <c r="H5657" s="8" t="s">
        <v>5691</v>
      </c>
      <c r="I5657" s="7" t="str">
        <f>_xlfn.CONCAT(Paper_Reference[[#This Row],[Lvl]:[Paper Description]])</f>
        <v>2XJ8R0293N500FRL PHASE 3  CAFE 60 X 1201102100DS009-6200FROSTY WHITE</v>
      </c>
      <c r="J5657" s="7">
        <f>COUNTIF(Paper_Reference[Duplicate Key],Paper_Reference[[#This Row],[Duplicate Key]])</f>
        <v>1</v>
      </c>
    </row>
    <row r="5658" spans="1:10">
      <c r="A5658" s="7">
        <v>2</v>
      </c>
      <c r="B5658" s="8" t="s">
        <v>8082</v>
      </c>
      <c r="C5658" s="8" t="s">
        <v>7206</v>
      </c>
      <c r="D5658" s="7">
        <v>1</v>
      </c>
      <c r="E5658" s="7">
        <v>10</v>
      </c>
      <c r="F5658" s="7">
        <v>2</v>
      </c>
      <c r="G5658" s="8" t="s">
        <v>6710</v>
      </c>
      <c r="H5658" s="8" t="s">
        <v>5691</v>
      </c>
      <c r="I5658" s="7" t="str">
        <f>_xlfn.CONCAT(Paper_Reference[[#This Row],[Lvl]:[Paper Description]])</f>
        <v>2XJ8R0295N480FRL PS-15 HALL 48 X 961102100DS009-5000FROSTY WHITE</v>
      </c>
      <c r="J5658" s="7">
        <f>COUNTIF(Paper_Reference[Duplicate Key],Paper_Reference[[#This Row],[Duplicate Key]])</f>
        <v>1</v>
      </c>
    </row>
    <row r="5659" spans="1:10">
      <c r="A5659" s="7">
        <v>2</v>
      </c>
      <c r="B5659" s="8" t="s">
        <v>8083</v>
      </c>
      <c r="C5659" s="8" t="s">
        <v>7207</v>
      </c>
      <c r="D5659" s="7">
        <v>1</v>
      </c>
      <c r="E5659" s="7">
        <v>10</v>
      </c>
      <c r="F5659" s="7">
        <v>2</v>
      </c>
      <c r="G5659" s="8" t="s">
        <v>6710</v>
      </c>
      <c r="H5659" s="8" t="s">
        <v>5691</v>
      </c>
      <c r="I5659" s="7" t="str">
        <f>_xlfn.CONCAT(Paper_Reference[[#This Row],[Lvl]:[Paper Description]])</f>
        <v>2XJ8R0298N480FRL CARNEY HOSPITAL 48 X 961102100DS009-5000FROSTY WHITE</v>
      </c>
      <c r="J5659" s="7">
        <f>COUNTIF(Paper_Reference[Duplicate Key],Paper_Reference[[#This Row],[Duplicate Key]])</f>
        <v>1</v>
      </c>
    </row>
    <row r="5660" spans="1:10">
      <c r="A5660" s="7">
        <v>2</v>
      </c>
      <c r="B5660" s="8" t="s">
        <v>6569</v>
      </c>
      <c r="C5660" s="8" t="s">
        <v>6044</v>
      </c>
      <c r="D5660" s="7">
        <v>1</v>
      </c>
      <c r="E5660" s="7">
        <v>10</v>
      </c>
      <c r="F5660" s="7">
        <v>2</v>
      </c>
      <c r="G5660" s="8" t="s">
        <v>5690</v>
      </c>
      <c r="H5660" s="8" t="s">
        <v>5691</v>
      </c>
      <c r="I5660" s="7" t="str">
        <f>_xlfn.CONCAT(Paper_Reference[[#This Row],[Lvl]:[Paper Description]])</f>
        <v>2XJ8R0298N500FRL CARNEY HOSPITAL 60 X 1201102100DS009-6200FROSTY WHITE</v>
      </c>
      <c r="J5660" s="7">
        <f>COUNTIF(Paper_Reference[Duplicate Key],Paper_Reference[[#This Row],[Duplicate Key]])</f>
        <v>1</v>
      </c>
    </row>
    <row r="5661" spans="1:10">
      <c r="A5661" s="7">
        <v>2</v>
      </c>
      <c r="B5661" s="8" t="s">
        <v>8084</v>
      </c>
      <c r="C5661" s="8" t="s">
        <v>7207</v>
      </c>
      <c r="D5661" s="7">
        <v>1</v>
      </c>
      <c r="E5661" s="7">
        <v>10</v>
      </c>
      <c r="F5661" s="7">
        <v>2</v>
      </c>
      <c r="G5661" s="8" t="s">
        <v>6710</v>
      </c>
      <c r="H5661" s="8" t="s">
        <v>5691</v>
      </c>
      <c r="I5661" s="7" t="str">
        <f>_xlfn.CONCAT(Paper_Reference[[#This Row],[Lvl]:[Paper Description]])</f>
        <v>2XJ8R0298SD480FRL CARNEY HOSPITAL 48 X 961102100DS009-5000FROSTY WHITE</v>
      </c>
      <c r="J5661" s="7">
        <f>COUNTIF(Paper_Reference[Duplicate Key],Paper_Reference[[#This Row],[Duplicate Key]])</f>
        <v>1</v>
      </c>
    </row>
    <row r="5662" spans="1:10">
      <c r="A5662" s="7">
        <v>2</v>
      </c>
      <c r="B5662" s="8" t="s">
        <v>8085</v>
      </c>
      <c r="C5662" s="8" t="s">
        <v>7208</v>
      </c>
      <c r="D5662" s="7">
        <v>1</v>
      </c>
      <c r="E5662" s="7">
        <v>10</v>
      </c>
      <c r="F5662" s="7">
        <v>2</v>
      </c>
      <c r="G5662" s="8" t="s">
        <v>6710</v>
      </c>
      <c r="H5662" s="8" t="s">
        <v>5691</v>
      </c>
      <c r="I5662" s="7" t="str">
        <f>_xlfn.CONCAT(Paper_Reference[[#This Row],[Lvl]:[Paper Description]])</f>
        <v>2XJ8R0300N380FRL SISKIYOUS 1.1     36 X 961102100DS009-5000FROSTY WHITE</v>
      </c>
      <c r="J5662" s="7">
        <f>COUNTIF(Paper_Reference[Duplicate Key],Paper_Reference[[#This Row],[Duplicate Key]])</f>
        <v>1</v>
      </c>
    </row>
    <row r="5663" spans="1:10">
      <c r="A5663" s="7">
        <v>2</v>
      </c>
      <c r="B5663" s="8" t="s">
        <v>8086</v>
      </c>
      <c r="C5663" s="8" t="s">
        <v>7209</v>
      </c>
      <c r="D5663" s="7">
        <v>1</v>
      </c>
      <c r="E5663" s="7">
        <v>10</v>
      </c>
      <c r="F5663" s="7">
        <v>2</v>
      </c>
      <c r="G5663" s="8" t="s">
        <v>6710</v>
      </c>
      <c r="H5663" s="8" t="s">
        <v>5691</v>
      </c>
      <c r="I5663" s="7" t="str">
        <f>_xlfn.CONCAT(Paper_Reference[[#This Row],[Lvl]:[Paper Description]])</f>
        <v>2XJ8R0301N400FRL SISKIYOUS 2.1     48 X 1201102100DS009-5000FROSTY WHITE</v>
      </c>
      <c r="J5663" s="7">
        <f>COUNTIF(Paper_Reference[Duplicate Key],Paper_Reference[[#This Row],[Duplicate Key]])</f>
        <v>1</v>
      </c>
    </row>
    <row r="5664" spans="1:10">
      <c r="A5664" s="7">
        <v>2</v>
      </c>
      <c r="B5664" s="8" t="s">
        <v>6570</v>
      </c>
      <c r="C5664" s="8" t="s">
        <v>6045</v>
      </c>
      <c r="D5664" s="7">
        <v>1</v>
      </c>
      <c r="E5664" s="7">
        <v>10</v>
      </c>
      <c r="F5664" s="7">
        <v>2</v>
      </c>
      <c r="G5664" s="8" t="s">
        <v>5690</v>
      </c>
      <c r="H5664" s="8" t="s">
        <v>5691</v>
      </c>
      <c r="I5664" s="7" t="str">
        <f>_xlfn.CONCAT(Paper_Reference[[#This Row],[Lvl]:[Paper Description]])</f>
        <v>2XJ8R0302N500FRL SISKIYOUS 3.2     60 X 1201102100DS009-6200FROSTY WHITE</v>
      </c>
      <c r="J5664" s="7">
        <f>COUNTIF(Paper_Reference[Duplicate Key],Paper_Reference[[#This Row],[Duplicate Key]])</f>
        <v>1</v>
      </c>
    </row>
    <row r="5665" spans="1:10">
      <c r="A5665" s="7">
        <v>2</v>
      </c>
      <c r="B5665" s="8" t="s">
        <v>8087</v>
      </c>
      <c r="C5665" s="8" t="s">
        <v>7210</v>
      </c>
      <c r="D5665" s="7">
        <v>1</v>
      </c>
      <c r="E5665" s="7">
        <v>10</v>
      </c>
      <c r="F5665" s="7">
        <v>2</v>
      </c>
      <c r="G5665" s="8" t="s">
        <v>6710</v>
      </c>
      <c r="H5665" s="8" t="s">
        <v>5691</v>
      </c>
      <c r="I5665" s="7" t="str">
        <f>_xlfn.CONCAT(Paper_Reference[[#This Row],[Lvl]:[Paper Description]])</f>
        <v>2XJ8R0303N380FRL SISKIYOUS 4.3     36 X 961102100DS009-5000FROSTY WHITE</v>
      </c>
      <c r="J5665" s="7">
        <f>COUNTIF(Paper_Reference[Duplicate Key],Paper_Reference[[#This Row],[Duplicate Key]])</f>
        <v>1</v>
      </c>
    </row>
    <row r="5666" spans="1:10">
      <c r="A5666" s="7">
        <v>2</v>
      </c>
      <c r="B5666" s="8" t="s">
        <v>6571</v>
      </c>
      <c r="C5666" s="8" t="s">
        <v>6046</v>
      </c>
      <c r="D5666" s="7">
        <v>1</v>
      </c>
      <c r="E5666" s="7">
        <v>10</v>
      </c>
      <c r="F5666" s="7">
        <v>2</v>
      </c>
      <c r="G5666" s="8" t="s">
        <v>5690</v>
      </c>
      <c r="H5666" s="8" t="s">
        <v>5691</v>
      </c>
      <c r="I5666" s="7" t="str">
        <f>_xlfn.CONCAT(Paper_Reference[[#This Row],[Lvl]:[Paper Description]])</f>
        <v>2XJ8R0304N500FRL SISKIYOUS 5.4     60 X 1201102100DS009-6200FROSTY WHITE</v>
      </c>
      <c r="J5666" s="7">
        <f>COUNTIF(Paper_Reference[Duplicate Key],Paper_Reference[[#This Row],[Duplicate Key]])</f>
        <v>1</v>
      </c>
    </row>
    <row r="5667" spans="1:10">
      <c r="A5667" s="7">
        <v>2</v>
      </c>
      <c r="B5667" s="8" t="s">
        <v>6572</v>
      </c>
      <c r="C5667" s="8" t="s">
        <v>6047</v>
      </c>
      <c r="D5667" s="7">
        <v>1</v>
      </c>
      <c r="E5667" s="7">
        <v>10</v>
      </c>
      <c r="F5667" s="7">
        <v>2</v>
      </c>
      <c r="G5667" s="8" t="s">
        <v>5690</v>
      </c>
      <c r="H5667" s="8" t="s">
        <v>5691</v>
      </c>
      <c r="I5667" s="7" t="str">
        <f>_xlfn.CONCAT(Paper_Reference[[#This Row],[Lvl]:[Paper Description]])</f>
        <v>2XJ8R0305N500FRL SISKIYOUS 6.5     60 X 1201102100DS009-6200FROSTY WHITE</v>
      </c>
      <c r="J5667" s="7">
        <f>COUNTIF(Paper_Reference[Duplicate Key],Paper_Reference[[#This Row],[Duplicate Key]])</f>
        <v>1</v>
      </c>
    </row>
    <row r="5668" spans="1:10">
      <c r="A5668" s="7">
        <v>2</v>
      </c>
      <c r="B5668" s="8" t="s">
        <v>8088</v>
      </c>
      <c r="C5668" s="8" t="s">
        <v>7211</v>
      </c>
      <c r="D5668" s="7">
        <v>1</v>
      </c>
      <c r="E5668" s="7">
        <v>10</v>
      </c>
      <c r="F5668" s="7">
        <v>2</v>
      </c>
      <c r="G5668" s="8" t="s">
        <v>6710</v>
      </c>
      <c r="H5668" s="8" t="s">
        <v>5691</v>
      </c>
      <c r="I5668" s="7" t="str">
        <f>_xlfn.CONCAT(Paper_Reference[[#This Row],[Lvl]:[Paper Description]])</f>
        <v>2XJ8R0306N380FRL SISKIYOUS 7.5     36 X 961102100DS009-5000FROSTY WHITE</v>
      </c>
      <c r="J5668" s="7">
        <f>COUNTIF(Paper_Reference[Duplicate Key],Paper_Reference[[#This Row],[Duplicate Key]])</f>
        <v>1</v>
      </c>
    </row>
    <row r="5669" spans="1:10">
      <c r="A5669" s="7">
        <v>2</v>
      </c>
      <c r="B5669" s="8" t="s">
        <v>8089</v>
      </c>
      <c r="C5669" s="8" t="s">
        <v>7212</v>
      </c>
      <c r="D5669" s="7">
        <v>1</v>
      </c>
      <c r="E5669" s="7">
        <v>10</v>
      </c>
      <c r="F5669" s="7">
        <v>2</v>
      </c>
      <c r="G5669" s="8" t="s">
        <v>6710</v>
      </c>
      <c r="H5669" s="8" t="s">
        <v>5691</v>
      </c>
      <c r="I5669" s="7" t="str">
        <f>_xlfn.CONCAT(Paper_Reference[[#This Row],[Lvl]:[Paper Description]])</f>
        <v>2XJ8R0307N380FRL SISKIYOUS 8.6     36 X 961102100DS009-5000FROSTY WHITE</v>
      </c>
      <c r="J5669" s="7">
        <f>COUNTIF(Paper_Reference[Duplicate Key],Paper_Reference[[#This Row],[Duplicate Key]])</f>
        <v>1</v>
      </c>
    </row>
    <row r="5670" spans="1:10">
      <c r="A5670" s="7">
        <v>2</v>
      </c>
      <c r="B5670" s="8" t="s">
        <v>8090</v>
      </c>
      <c r="C5670" s="8" t="s">
        <v>7213</v>
      </c>
      <c r="D5670" s="7">
        <v>1</v>
      </c>
      <c r="E5670" s="7">
        <v>10</v>
      </c>
      <c r="F5670" s="7">
        <v>2</v>
      </c>
      <c r="G5670" s="8" t="s">
        <v>6710</v>
      </c>
      <c r="H5670" s="8" t="s">
        <v>5691</v>
      </c>
      <c r="I5670" s="7" t="str">
        <f>_xlfn.CONCAT(Paper_Reference[[#This Row],[Lvl]:[Paper Description]])</f>
        <v>2XJ8R0308N380FRL SISKIYOUS 9.7     36 X 961102100DS009-5000FROSTY WHITE</v>
      </c>
      <c r="J5670" s="7">
        <f>COUNTIF(Paper_Reference[Duplicate Key],Paper_Reference[[#This Row],[Duplicate Key]])</f>
        <v>1</v>
      </c>
    </row>
    <row r="5671" spans="1:10">
      <c r="A5671" s="7">
        <v>2</v>
      </c>
      <c r="B5671" s="8" t="s">
        <v>8091</v>
      </c>
      <c r="C5671" s="8" t="s">
        <v>7214</v>
      </c>
      <c r="D5671" s="7">
        <v>1</v>
      </c>
      <c r="E5671" s="7">
        <v>10</v>
      </c>
      <c r="F5671" s="7">
        <v>2</v>
      </c>
      <c r="G5671" s="8" t="s">
        <v>6710</v>
      </c>
      <c r="H5671" s="8" t="s">
        <v>5691</v>
      </c>
      <c r="I5671" s="7" t="str">
        <f>_xlfn.CONCAT(Paper_Reference[[#This Row],[Lvl]:[Paper Description]])</f>
        <v>2XJ8R0309N380FRL SISKIYOUS 16.11     36 X 91102100DS009-5000FROSTY WHITE</v>
      </c>
      <c r="J5671" s="7">
        <f>COUNTIF(Paper_Reference[Duplicate Key],Paper_Reference[[#This Row],[Duplicate Key]])</f>
        <v>1</v>
      </c>
    </row>
    <row r="5672" spans="1:10">
      <c r="A5672" s="7">
        <v>2</v>
      </c>
      <c r="B5672" s="8" t="s">
        <v>6573</v>
      </c>
      <c r="C5672" s="8" t="s">
        <v>6048</v>
      </c>
      <c r="D5672" s="7">
        <v>1</v>
      </c>
      <c r="E5672" s="7">
        <v>10</v>
      </c>
      <c r="F5672" s="7">
        <v>2</v>
      </c>
      <c r="G5672" s="8" t="s">
        <v>5690</v>
      </c>
      <c r="H5672" s="8" t="s">
        <v>5691</v>
      </c>
      <c r="I5672" s="7" t="str">
        <f>_xlfn.CONCAT(Paper_Reference[[#This Row],[Lvl]:[Paper Description]])</f>
        <v>2XJ8R0310N580FRL SISKIYOUS 17.12     60 X 91102100DS009-6200FROSTY WHITE</v>
      </c>
      <c r="J5672" s="7">
        <f>COUNTIF(Paper_Reference[Duplicate Key],Paper_Reference[[#This Row],[Duplicate Key]])</f>
        <v>1</v>
      </c>
    </row>
    <row r="5673" spans="1:10">
      <c r="A5673" s="7">
        <v>2</v>
      </c>
      <c r="B5673" s="8" t="s">
        <v>8092</v>
      </c>
      <c r="C5673" s="8" t="s">
        <v>7215</v>
      </c>
      <c r="D5673" s="7">
        <v>1</v>
      </c>
      <c r="E5673" s="7">
        <v>10</v>
      </c>
      <c r="F5673" s="7">
        <v>2</v>
      </c>
      <c r="G5673" s="8" t="s">
        <v>6710</v>
      </c>
      <c r="H5673" s="8" t="s">
        <v>5691</v>
      </c>
      <c r="I5673" s="7" t="str">
        <f>_xlfn.CONCAT(Paper_Reference[[#This Row],[Lvl]:[Paper Description]])</f>
        <v>2XJ8R0311N380FRL SISKIYOUS 18.12     36 X 91102100DS009-5000FROSTY WHITE</v>
      </c>
      <c r="J5673" s="7">
        <f>COUNTIF(Paper_Reference[Duplicate Key],Paper_Reference[[#This Row],[Duplicate Key]])</f>
        <v>1</v>
      </c>
    </row>
    <row r="5674" spans="1:10">
      <c r="A5674" s="7">
        <v>2</v>
      </c>
      <c r="B5674" s="8" t="s">
        <v>8093</v>
      </c>
      <c r="C5674" s="8" t="s">
        <v>7216</v>
      </c>
      <c r="D5674" s="7">
        <v>1</v>
      </c>
      <c r="E5674" s="7">
        <v>10</v>
      </c>
      <c r="F5674" s="7">
        <v>2</v>
      </c>
      <c r="G5674" s="8" t="s">
        <v>6710</v>
      </c>
      <c r="H5674" s="8" t="s">
        <v>5691</v>
      </c>
      <c r="I5674" s="7" t="str">
        <f>_xlfn.CONCAT(Paper_Reference[[#This Row],[Lvl]:[Paper Description]])</f>
        <v>2XJ8R0311N480FRL SISKIYOUS 18.12     48 X 91102100DS009-5000FROSTY WHITE</v>
      </c>
      <c r="J5674" s="7">
        <f>COUNTIF(Paper_Reference[Duplicate Key],Paper_Reference[[#This Row],[Duplicate Key]])</f>
        <v>1</v>
      </c>
    </row>
    <row r="5675" spans="1:10">
      <c r="A5675" s="7">
        <v>2</v>
      </c>
      <c r="B5675" s="8" t="s">
        <v>6574</v>
      </c>
      <c r="C5675" s="8" t="s">
        <v>6049</v>
      </c>
      <c r="D5675" s="7">
        <v>1</v>
      </c>
      <c r="E5675" s="7">
        <v>10</v>
      </c>
      <c r="F5675" s="7">
        <v>2</v>
      </c>
      <c r="G5675" s="8" t="s">
        <v>5690</v>
      </c>
      <c r="H5675" s="8" t="s">
        <v>5691</v>
      </c>
      <c r="I5675" s="7" t="str">
        <f>_xlfn.CONCAT(Paper_Reference[[#This Row],[Lvl]:[Paper Description]])</f>
        <v>2XJ8R0312NNYRFRL ARK REENA D/G 60 X 961102100DS009-6200FROSTY WHITE</v>
      </c>
      <c r="J5675" s="7">
        <f>COUNTIF(Paper_Reference[Duplicate Key],Paper_Reference[[#This Row],[Duplicate Key]])</f>
        <v>1</v>
      </c>
    </row>
    <row r="5676" spans="1:10">
      <c r="A5676" s="7">
        <v>2</v>
      </c>
      <c r="B5676" s="8" t="s">
        <v>6575</v>
      </c>
      <c r="C5676" s="8" t="s">
        <v>6050</v>
      </c>
      <c r="D5676" s="7">
        <v>1</v>
      </c>
      <c r="E5676" s="7">
        <v>10</v>
      </c>
      <c r="F5676" s="7">
        <v>2</v>
      </c>
      <c r="G5676" s="8" t="s">
        <v>5690</v>
      </c>
      <c r="H5676" s="8" t="s">
        <v>5691</v>
      </c>
      <c r="I5676" s="7" t="str">
        <f>_xlfn.CONCAT(Paper_Reference[[#This Row],[Lvl]:[Paper Description]])</f>
        <v>2XJ8R0314N580FRL ALICE LLOYD WRIGHT 60 X 961102100DS009-6200FROSTY WHITE</v>
      </c>
      <c r="J5676" s="7">
        <f>COUNTIF(Paper_Reference[Duplicate Key],Paper_Reference[[#This Row],[Duplicate Key]])</f>
        <v>1</v>
      </c>
    </row>
    <row r="5677" spans="1:10">
      <c r="A5677" s="7">
        <v>2</v>
      </c>
      <c r="B5677" s="8" t="s">
        <v>8094</v>
      </c>
      <c r="C5677" s="8" t="s">
        <v>7217</v>
      </c>
      <c r="D5677" s="7">
        <v>1</v>
      </c>
      <c r="E5677" s="7">
        <v>10</v>
      </c>
      <c r="F5677" s="7">
        <v>2</v>
      </c>
      <c r="G5677" s="8" t="s">
        <v>6710</v>
      </c>
      <c r="H5677" s="8" t="s">
        <v>5691</v>
      </c>
      <c r="I5677" s="7" t="str">
        <f>_xlfn.CONCAT(Paper_Reference[[#This Row],[Lvl]:[Paper Description]])</f>
        <v>2XJ8R0315N400FRL B/STATE POD A GREEN 48X1201102100DS009-5000FROSTY WHITE</v>
      </c>
      <c r="J5677" s="7">
        <f>COUNTIF(Paper_Reference[Duplicate Key],Paper_Reference[[#This Row],[Duplicate Key]])</f>
        <v>1</v>
      </c>
    </row>
    <row r="5678" spans="1:10">
      <c r="A5678" s="7">
        <v>2</v>
      </c>
      <c r="B5678" s="8" t="s">
        <v>8095</v>
      </c>
      <c r="C5678" s="8" t="s">
        <v>7218</v>
      </c>
      <c r="D5678" s="7">
        <v>1</v>
      </c>
      <c r="E5678" s="7">
        <v>10</v>
      </c>
      <c r="F5678" s="7">
        <v>2</v>
      </c>
      <c r="G5678" s="8" t="s">
        <v>6710</v>
      </c>
      <c r="H5678" s="8" t="s">
        <v>5691</v>
      </c>
      <c r="I5678" s="7" t="str">
        <f>_xlfn.CONCAT(Paper_Reference[[#This Row],[Lvl]:[Paper Description]])</f>
        <v>2XJ8R0316N400FRL B/STATE POD B RAISIN 48X121102100DS009-5000FROSTY WHITE</v>
      </c>
      <c r="J5678" s="7">
        <f>COUNTIF(Paper_Reference[Duplicate Key],Paper_Reference[[#This Row],[Duplicate Key]])</f>
        <v>1</v>
      </c>
    </row>
    <row r="5679" spans="1:10">
      <c r="A5679" s="7">
        <v>2</v>
      </c>
      <c r="B5679" s="8" t="s">
        <v>8096</v>
      </c>
      <c r="C5679" s="8" t="s">
        <v>7219</v>
      </c>
      <c r="D5679" s="7">
        <v>1</v>
      </c>
      <c r="E5679" s="7">
        <v>10</v>
      </c>
      <c r="F5679" s="7">
        <v>2</v>
      </c>
      <c r="G5679" s="8" t="s">
        <v>6710</v>
      </c>
      <c r="H5679" s="8" t="s">
        <v>5691</v>
      </c>
      <c r="I5679" s="7" t="str">
        <f>_xlfn.CONCAT(Paper_Reference[[#This Row],[Lvl]:[Paper Description]])</f>
        <v>2XJ8R0317N400FRL B/STATE POD C BLUE 48X1201102100DS009-5000FROSTY WHITE</v>
      </c>
      <c r="J5679" s="7">
        <f>COUNTIF(Paper_Reference[Duplicate Key],Paper_Reference[[#This Row],[Duplicate Key]])</f>
        <v>1</v>
      </c>
    </row>
    <row r="5680" spans="1:10">
      <c r="A5680" s="7">
        <v>2</v>
      </c>
      <c r="B5680" s="8" t="s">
        <v>8097</v>
      </c>
      <c r="C5680" s="8" t="s">
        <v>7220</v>
      </c>
      <c r="D5680" s="7">
        <v>1</v>
      </c>
      <c r="E5680" s="7">
        <v>10</v>
      </c>
      <c r="F5680" s="7">
        <v>2</v>
      </c>
      <c r="G5680" s="8" t="s">
        <v>6710</v>
      </c>
      <c r="H5680" s="8" t="s">
        <v>5691</v>
      </c>
      <c r="I5680" s="7" t="str">
        <f>_xlfn.CONCAT(Paper_Reference[[#This Row],[Lvl]:[Paper Description]])</f>
        <v>2XJ8R0318N400FRL B/STATE POD D CINN 48X1201102100DS009-5000FROSTY WHITE</v>
      </c>
      <c r="J5680" s="7">
        <f>COUNTIF(Paper_Reference[Duplicate Key],Paper_Reference[[#This Row],[Duplicate Key]])</f>
        <v>1</v>
      </c>
    </row>
    <row r="5681" spans="1:10">
      <c r="A5681" s="7">
        <v>2</v>
      </c>
      <c r="B5681" s="8" t="s">
        <v>8098</v>
      </c>
      <c r="C5681" s="8" t="s">
        <v>7221</v>
      </c>
      <c r="D5681" s="7">
        <v>1</v>
      </c>
      <c r="E5681" s="7">
        <v>10</v>
      </c>
      <c r="F5681" s="7">
        <v>2</v>
      </c>
      <c r="G5681" s="8" t="s">
        <v>6710</v>
      </c>
      <c r="H5681" s="8" t="s">
        <v>5691</v>
      </c>
      <c r="I5681" s="7" t="str">
        <f>_xlfn.CONCAT(Paper_Reference[[#This Row],[Lvl]:[Paper Description]])</f>
        <v>2XJ8R0319N400FRL B/STATE DBL DOORS 48X1201102100DS009-5000FROSTY WHITE</v>
      </c>
      <c r="J5681" s="7">
        <f>COUNTIF(Paper_Reference[Duplicate Key],Paper_Reference[[#This Row],[Duplicate Key]])</f>
        <v>1</v>
      </c>
    </row>
    <row r="5682" spans="1:10">
      <c r="A5682" s="7">
        <v>2</v>
      </c>
      <c r="B5682" s="8" t="s">
        <v>8099</v>
      </c>
      <c r="C5682" s="8" t="s">
        <v>7222</v>
      </c>
      <c r="D5682" s="7">
        <v>1</v>
      </c>
      <c r="E5682" s="7">
        <v>10</v>
      </c>
      <c r="F5682" s="7">
        <v>2</v>
      </c>
      <c r="G5682" s="8" t="s">
        <v>6710</v>
      </c>
      <c r="H5682" s="8" t="s">
        <v>5691</v>
      </c>
      <c r="I5682" s="7" t="str">
        <f>_xlfn.CONCAT(Paper_Reference[[#This Row],[Lvl]:[Paper Description]])</f>
        <v>2XJ8R0319N480FRL B/STATE DBL DOORS 48 X 961102100DS009-5000FROSTY WHITE</v>
      </c>
      <c r="J5682" s="7">
        <f>COUNTIF(Paper_Reference[Duplicate Key],Paper_Reference[[#This Row],[Duplicate Key]])</f>
        <v>1</v>
      </c>
    </row>
    <row r="5683" spans="1:10">
      <c r="A5683" s="7">
        <v>2</v>
      </c>
      <c r="B5683" s="8" t="s">
        <v>8100</v>
      </c>
      <c r="C5683" s="8" t="s">
        <v>7223</v>
      </c>
      <c r="D5683" s="7">
        <v>1</v>
      </c>
      <c r="E5683" s="7">
        <v>10</v>
      </c>
      <c r="F5683" s="7">
        <v>2</v>
      </c>
      <c r="G5683" s="8" t="s">
        <v>6710</v>
      </c>
      <c r="H5683" s="8" t="s">
        <v>5691</v>
      </c>
      <c r="I5683" s="7" t="str">
        <f>_xlfn.CONCAT(Paper_Reference[[#This Row],[Lvl]:[Paper Description]])</f>
        <v>2XJ8R0320N480FRL WELLIES 48 X 961102100DS009-5000FROSTY WHITE</v>
      </c>
      <c r="J5683" s="7">
        <f>COUNTIF(Paper_Reference[Duplicate Key],Paper_Reference[[#This Row],[Duplicate Key]])</f>
        <v>1</v>
      </c>
    </row>
    <row r="5684" spans="1:10">
      <c r="A5684" s="7">
        <v>2</v>
      </c>
      <c r="B5684" s="8" t="s">
        <v>8101</v>
      </c>
      <c r="C5684" s="8" t="s">
        <v>7224</v>
      </c>
      <c r="D5684" s="7">
        <v>1</v>
      </c>
      <c r="E5684" s="7">
        <v>10</v>
      </c>
      <c r="F5684" s="7">
        <v>2</v>
      </c>
      <c r="G5684" s="8" t="s">
        <v>6710</v>
      </c>
      <c r="H5684" s="8" t="s">
        <v>5691</v>
      </c>
      <c r="I5684" s="7" t="str">
        <f>_xlfn.CONCAT(Paper_Reference[[#This Row],[Lvl]:[Paper Description]])</f>
        <v>2XJ8R0321N380FRL BAYSTATE IMAGING 36 X 961102100DS009-5000FROSTY WHITE</v>
      </c>
      <c r="J5684" s="7">
        <f>COUNTIF(Paper_Reference[Duplicate Key],Paper_Reference[[#This Row],[Duplicate Key]])</f>
        <v>1</v>
      </c>
    </row>
    <row r="5685" spans="1:10">
      <c r="A5685" s="7">
        <v>2</v>
      </c>
      <c r="B5685" s="8" t="s">
        <v>8102</v>
      </c>
      <c r="C5685" s="8" t="s">
        <v>7225</v>
      </c>
      <c r="D5685" s="7">
        <v>1</v>
      </c>
      <c r="E5685" s="7">
        <v>10</v>
      </c>
      <c r="F5685" s="7">
        <v>2</v>
      </c>
      <c r="G5685" s="8" t="s">
        <v>6710</v>
      </c>
      <c r="H5685" s="8" t="s">
        <v>5691</v>
      </c>
      <c r="I5685" s="7" t="str">
        <f>_xlfn.CONCAT(Paper_Reference[[#This Row],[Lvl]:[Paper Description]])</f>
        <v>2XJ8R0321N480FRL BAYSTATE IMAGING 48 X 961102100DS009-5000FROSTY WHITE</v>
      </c>
      <c r="J5685" s="7">
        <f>COUNTIF(Paper_Reference[Duplicate Key],Paper_Reference[[#This Row],[Duplicate Key]])</f>
        <v>1</v>
      </c>
    </row>
    <row r="5686" spans="1:10">
      <c r="A5686" s="7">
        <v>2</v>
      </c>
      <c r="B5686" s="8" t="s">
        <v>6576</v>
      </c>
      <c r="C5686" s="8" t="s">
        <v>6051</v>
      </c>
      <c r="D5686" s="7">
        <v>1</v>
      </c>
      <c r="E5686" s="7">
        <v>10</v>
      </c>
      <c r="F5686" s="7">
        <v>2</v>
      </c>
      <c r="G5686" s="8" t="s">
        <v>5690</v>
      </c>
      <c r="H5686" s="8" t="s">
        <v>5691</v>
      </c>
      <c r="I5686" s="7" t="str">
        <f>_xlfn.CONCAT(Paper_Reference[[#This Row],[Lvl]:[Paper Description]])</f>
        <v>2XJ8R0321N580FRL BAYSTATE IMAGING 60 X 961102100DS009-6200FROSTY WHITE</v>
      </c>
      <c r="J5686" s="7">
        <f>COUNTIF(Paper_Reference[Duplicate Key],Paper_Reference[[#This Row],[Duplicate Key]])</f>
        <v>1</v>
      </c>
    </row>
    <row r="5687" spans="1:10">
      <c r="A5687" s="7">
        <v>2</v>
      </c>
      <c r="B5687" s="8" t="s">
        <v>8103</v>
      </c>
      <c r="C5687" s="8" t="s">
        <v>7226</v>
      </c>
      <c r="D5687" s="7">
        <v>1</v>
      </c>
      <c r="E5687" s="7">
        <v>10</v>
      </c>
      <c r="F5687" s="7">
        <v>2</v>
      </c>
      <c r="G5687" s="8" t="s">
        <v>6710</v>
      </c>
      <c r="H5687" s="8" t="s">
        <v>5691</v>
      </c>
      <c r="I5687" s="7" t="str">
        <f>_xlfn.CONCAT(Paper_Reference[[#This Row],[Lvl]:[Paper Description]])</f>
        <v>2XJ8R0322NNYMFRL BAY ST ASSESMENT RMS 48 X1102100DS009-5000FROSTY WHITE</v>
      </c>
      <c r="J5687" s="7">
        <f>COUNTIF(Paper_Reference[Duplicate Key],Paper_Reference[[#This Row],[Duplicate Key]])</f>
        <v>1</v>
      </c>
    </row>
    <row r="5688" spans="1:10">
      <c r="A5688" s="7">
        <v>2</v>
      </c>
      <c r="B5688" s="8" t="s">
        <v>6577</v>
      </c>
      <c r="C5688" s="8" t="s">
        <v>6052</v>
      </c>
      <c r="D5688" s="7">
        <v>1</v>
      </c>
      <c r="E5688" s="7">
        <v>10</v>
      </c>
      <c r="F5688" s="7">
        <v>2</v>
      </c>
      <c r="G5688" s="8" t="s">
        <v>5690</v>
      </c>
      <c r="H5688" s="8" t="s">
        <v>5691</v>
      </c>
      <c r="I5688" s="7" t="str">
        <f>_xlfn.CONCAT(Paper_Reference[[#This Row],[Lvl]:[Paper Description]])</f>
        <v>2XJ8R0324N500FRL SCH LEVEL 8 MURAL 60 X 1201102100DS009-6200FROSTY WHITE</v>
      </c>
      <c r="J5688" s="7">
        <f>COUNTIF(Paper_Reference[Duplicate Key],Paper_Reference[[#This Row],[Duplicate Key]])</f>
        <v>1</v>
      </c>
    </row>
    <row r="5689" spans="1:10">
      <c r="A5689" s="7">
        <v>2</v>
      </c>
      <c r="B5689" s="8" t="s">
        <v>6578</v>
      </c>
      <c r="C5689" s="8" t="s">
        <v>6053</v>
      </c>
      <c r="D5689" s="7">
        <v>1</v>
      </c>
      <c r="E5689" s="7">
        <v>10</v>
      </c>
      <c r="F5689" s="7">
        <v>2</v>
      </c>
      <c r="G5689" s="8" t="s">
        <v>5690</v>
      </c>
      <c r="H5689" s="8" t="s">
        <v>5691</v>
      </c>
      <c r="I5689" s="7" t="str">
        <f>_xlfn.CONCAT(Paper_Reference[[#This Row],[Lvl]:[Paper Description]])</f>
        <v>2XJ8R0325N500FRL SCH LEVEL 8 VESTIBULE 60X11102100DS009-6200FROSTY WHITE</v>
      </c>
      <c r="J5689" s="7">
        <f>COUNTIF(Paper_Reference[Duplicate Key],Paper_Reference[[#This Row],[Duplicate Key]])</f>
        <v>1</v>
      </c>
    </row>
    <row r="5690" spans="1:10">
      <c r="A5690" s="7">
        <v>2</v>
      </c>
      <c r="B5690" s="8" t="s">
        <v>6579</v>
      </c>
      <c r="C5690" s="8" t="s">
        <v>6053</v>
      </c>
      <c r="D5690" s="7">
        <v>1</v>
      </c>
      <c r="E5690" s="7">
        <v>10</v>
      </c>
      <c r="F5690" s="7">
        <v>2</v>
      </c>
      <c r="G5690" s="8" t="s">
        <v>5690</v>
      </c>
      <c r="H5690" s="8" t="s">
        <v>5691</v>
      </c>
      <c r="I5690" s="7" t="str">
        <f>_xlfn.CONCAT(Paper_Reference[[#This Row],[Lvl]:[Paper Description]])</f>
        <v>2XJ8R0325SD500FRL SCH LEVEL 8 VESTIBULE 60X11102100DS009-6200FROSTY WHITE</v>
      </c>
      <c r="J5690" s="7">
        <f>COUNTIF(Paper_Reference[Duplicate Key],Paper_Reference[[#This Row],[Duplicate Key]])</f>
        <v>1</v>
      </c>
    </row>
    <row r="5691" spans="1:10">
      <c r="A5691" s="7">
        <v>2</v>
      </c>
      <c r="B5691" s="8" t="s">
        <v>6580</v>
      </c>
      <c r="C5691" s="8" t="s">
        <v>6054</v>
      </c>
      <c r="D5691" s="7">
        <v>1</v>
      </c>
      <c r="E5691" s="7">
        <v>10</v>
      </c>
      <c r="F5691" s="7">
        <v>2</v>
      </c>
      <c r="G5691" s="8" t="s">
        <v>5690</v>
      </c>
      <c r="H5691" s="8" t="s">
        <v>5691</v>
      </c>
      <c r="I5691" s="7" t="str">
        <f>_xlfn.CONCAT(Paper_Reference[[#This Row],[Lvl]:[Paper Description]])</f>
        <v>2XJ8R0326N580FRL SCH LEVEL 9 VESTIBULE 60 X1102100DS009-6200FROSTY WHITE</v>
      </c>
      <c r="J5691" s="7">
        <f>COUNTIF(Paper_Reference[Duplicate Key],Paper_Reference[[#This Row],[Duplicate Key]])</f>
        <v>1</v>
      </c>
    </row>
    <row r="5692" spans="1:10">
      <c r="A5692" s="7">
        <v>2</v>
      </c>
      <c r="B5692" s="8" t="s">
        <v>8104</v>
      </c>
      <c r="C5692" s="8" t="s">
        <v>7227</v>
      </c>
      <c r="D5692" s="7">
        <v>1</v>
      </c>
      <c r="E5692" s="7">
        <v>10</v>
      </c>
      <c r="F5692" s="7">
        <v>2</v>
      </c>
      <c r="G5692" s="8" t="s">
        <v>6710</v>
      </c>
      <c r="H5692" s="8" t="s">
        <v>5691</v>
      </c>
      <c r="I5692" s="7" t="str">
        <f>_xlfn.CONCAT(Paper_Reference[[#This Row],[Lvl]:[Paper Description]])</f>
        <v>2XJ8R0327N480FRL  MATTAPAN HEALTH  48 X 961102100DS009-5000FROSTY WHITE</v>
      </c>
      <c r="J5692" s="7">
        <f>COUNTIF(Paper_Reference[Duplicate Key],Paper_Reference[[#This Row],[Duplicate Key]])</f>
        <v>1</v>
      </c>
    </row>
    <row r="5693" spans="1:10">
      <c r="A5693" s="7">
        <v>2</v>
      </c>
      <c r="B5693" s="8" t="s">
        <v>6581</v>
      </c>
      <c r="C5693" s="8" t="s">
        <v>6055</v>
      </c>
      <c r="D5693" s="7">
        <v>1</v>
      </c>
      <c r="E5693" s="7">
        <v>10</v>
      </c>
      <c r="F5693" s="7">
        <v>2</v>
      </c>
      <c r="G5693" s="8" t="s">
        <v>5690</v>
      </c>
      <c r="H5693" s="8" t="s">
        <v>5691</v>
      </c>
      <c r="I5693" s="7" t="str">
        <f>_xlfn.CONCAT(Paper_Reference[[#This Row],[Lvl]:[Paper Description]])</f>
        <v>2XJ8R0328N500FRL SCH LEVEL 7-1 60 X 1201102100DS009-6200FROSTY WHITE</v>
      </c>
      <c r="J5693" s="7">
        <f>COUNTIF(Paper_Reference[Duplicate Key],Paper_Reference[[#This Row],[Duplicate Key]])</f>
        <v>1</v>
      </c>
    </row>
    <row r="5694" spans="1:10">
      <c r="A5694" s="7">
        <v>2</v>
      </c>
      <c r="B5694" s="8" t="s">
        <v>6582</v>
      </c>
      <c r="C5694" s="8" t="s">
        <v>6056</v>
      </c>
      <c r="D5694" s="7">
        <v>1</v>
      </c>
      <c r="E5694" s="7">
        <v>10</v>
      </c>
      <c r="F5694" s="7">
        <v>2</v>
      </c>
      <c r="G5694" s="8" t="s">
        <v>5690</v>
      </c>
      <c r="H5694" s="8" t="s">
        <v>5691</v>
      </c>
      <c r="I5694" s="7" t="str">
        <f>_xlfn.CONCAT(Paper_Reference[[#This Row],[Lvl]:[Paper Description]])</f>
        <v>2XJ8R0329N500FRL SCH LEVEL 7-2A 60 X 1201102100DS009-6200FROSTY WHITE</v>
      </c>
      <c r="J5694" s="7">
        <f>COUNTIF(Paper_Reference[Duplicate Key],Paper_Reference[[#This Row],[Duplicate Key]])</f>
        <v>1</v>
      </c>
    </row>
    <row r="5695" spans="1:10">
      <c r="A5695" s="7">
        <v>2</v>
      </c>
      <c r="B5695" s="8" t="s">
        <v>6583</v>
      </c>
      <c r="C5695" s="8" t="s">
        <v>6057</v>
      </c>
      <c r="D5695" s="7">
        <v>1</v>
      </c>
      <c r="E5695" s="7">
        <v>10</v>
      </c>
      <c r="F5695" s="7">
        <v>2</v>
      </c>
      <c r="G5695" s="8" t="s">
        <v>5690</v>
      </c>
      <c r="H5695" s="8" t="s">
        <v>5691</v>
      </c>
      <c r="I5695" s="7" t="str">
        <f>_xlfn.CONCAT(Paper_Reference[[#This Row],[Lvl]:[Paper Description]])</f>
        <v>2XJ8R0330N500FRL SCH LEVEL 7-2B 60 X 1201102100DS009-6200FROSTY WHITE</v>
      </c>
      <c r="J5695" s="7">
        <f>COUNTIF(Paper_Reference[Duplicate Key],Paper_Reference[[#This Row],[Duplicate Key]])</f>
        <v>1</v>
      </c>
    </row>
    <row r="5696" spans="1:10">
      <c r="A5696" s="7">
        <v>2</v>
      </c>
      <c r="B5696" s="8" t="s">
        <v>6584</v>
      </c>
      <c r="C5696" s="8" t="s">
        <v>6058</v>
      </c>
      <c r="D5696" s="7">
        <v>1</v>
      </c>
      <c r="E5696" s="7">
        <v>10</v>
      </c>
      <c r="F5696" s="7">
        <v>2</v>
      </c>
      <c r="G5696" s="8" t="s">
        <v>5690</v>
      </c>
      <c r="H5696" s="8" t="s">
        <v>5691</v>
      </c>
      <c r="I5696" s="7" t="str">
        <f>_xlfn.CONCAT(Paper_Reference[[#This Row],[Lvl]:[Paper Description]])</f>
        <v>2XJ8R0331N500FRL SCH LEVEL 7-3 60 X 1201102100DS009-6200FROSTY WHITE</v>
      </c>
      <c r="J5696" s="7">
        <f>COUNTIF(Paper_Reference[Duplicate Key],Paper_Reference[[#This Row],[Duplicate Key]])</f>
        <v>1</v>
      </c>
    </row>
    <row r="5697" spans="1:10">
      <c r="A5697" s="7">
        <v>2</v>
      </c>
      <c r="B5697" s="8" t="s">
        <v>6585</v>
      </c>
      <c r="C5697" s="8" t="s">
        <v>6059</v>
      </c>
      <c r="D5697" s="7">
        <v>1</v>
      </c>
      <c r="E5697" s="7">
        <v>10</v>
      </c>
      <c r="F5697" s="7">
        <v>2</v>
      </c>
      <c r="G5697" s="8" t="s">
        <v>5690</v>
      </c>
      <c r="H5697" s="8" t="s">
        <v>5691</v>
      </c>
      <c r="I5697" s="7" t="str">
        <f>_xlfn.CONCAT(Paper_Reference[[#This Row],[Lvl]:[Paper Description]])</f>
        <v>2XJ8R0332N500FRL SCH LEVEL 7-4 60 X 1201102100DS009-6200FROSTY WHITE</v>
      </c>
      <c r="J5697" s="7">
        <f>COUNTIF(Paper_Reference[Duplicate Key],Paper_Reference[[#This Row],[Duplicate Key]])</f>
        <v>1</v>
      </c>
    </row>
    <row r="5698" spans="1:10">
      <c r="A5698" s="7">
        <v>2</v>
      </c>
      <c r="B5698" s="8" t="s">
        <v>6586</v>
      </c>
      <c r="C5698" s="8" t="s">
        <v>6060</v>
      </c>
      <c r="D5698" s="7">
        <v>1</v>
      </c>
      <c r="E5698" s="7">
        <v>10</v>
      </c>
      <c r="F5698" s="7">
        <v>2</v>
      </c>
      <c r="G5698" s="8" t="s">
        <v>5690</v>
      </c>
      <c r="H5698" s="8" t="s">
        <v>5691</v>
      </c>
      <c r="I5698" s="7" t="str">
        <f>_xlfn.CONCAT(Paper_Reference[[#This Row],[Lvl]:[Paper Description]])</f>
        <v>2XJ8R0333N500FRL SCH LEVEL 6-1 60 X 1201102100DS009-6200FROSTY WHITE</v>
      </c>
      <c r="J5698" s="7">
        <f>COUNTIF(Paper_Reference[Duplicate Key],Paper_Reference[[#This Row],[Duplicate Key]])</f>
        <v>1</v>
      </c>
    </row>
    <row r="5699" spans="1:10">
      <c r="A5699" s="7">
        <v>2</v>
      </c>
      <c r="B5699" s="8" t="s">
        <v>6587</v>
      </c>
      <c r="C5699" s="8" t="s">
        <v>6061</v>
      </c>
      <c r="D5699" s="7">
        <v>1</v>
      </c>
      <c r="E5699" s="7">
        <v>10</v>
      </c>
      <c r="F5699" s="7">
        <v>2</v>
      </c>
      <c r="G5699" s="8" t="s">
        <v>5690</v>
      </c>
      <c r="H5699" s="8" t="s">
        <v>5691</v>
      </c>
      <c r="I5699" s="7" t="str">
        <f>_xlfn.CONCAT(Paper_Reference[[#This Row],[Lvl]:[Paper Description]])</f>
        <v>2XJ8R0334N500FRL SCH LEVEL 6-2A 60 X 1201102100DS009-6200FROSTY WHITE</v>
      </c>
      <c r="J5699" s="7">
        <f>COUNTIF(Paper_Reference[Duplicate Key],Paper_Reference[[#This Row],[Duplicate Key]])</f>
        <v>1</v>
      </c>
    </row>
    <row r="5700" spans="1:10">
      <c r="A5700" s="7">
        <v>2</v>
      </c>
      <c r="B5700" s="8" t="s">
        <v>6588</v>
      </c>
      <c r="C5700" s="8" t="s">
        <v>6062</v>
      </c>
      <c r="D5700" s="7">
        <v>1</v>
      </c>
      <c r="E5700" s="7">
        <v>10</v>
      </c>
      <c r="F5700" s="7">
        <v>2</v>
      </c>
      <c r="G5700" s="8" t="s">
        <v>5690</v>
      </c>
      <c r="H5700" s="8" t="s">
        <v>5691</v>
      </c>
      <c r="I5700" s="7" t="str">
        <f>_xlfn.CONCAT(Paper_Reference[[#This Row],[Lvl]:[Paper Description]])</f>
        <v>2XJ8R0335N500FRL SCH LEVEL 6-2B 60 X 1201102100DS009-6200FROSTY WHITE</v>
      </c>
      <c r="J5700" s="7">
        <f>COUNTIF(Paper_Reference[Duplicate Key],Paper_Reference[[#This Row],[Duplicate Key]])</f>
        <v>1</v>
      </c>
    </row>
    <row r="5701" spans="1:10">
      <c r="A5701" s="7">
        <v>2</v>
      </c>
      <c r="B5701" s="8" t="s">
        <v>6589</v>
      </c>
      <c r="C5701" s="8" t="s">
        <v>6063</v>
      </c>
      <c r="D5701" s="7">
        <v>1</v>
      </c>
      <c r="E5701" s="7">
        <v>10</v>
      </c>
      <c r="F5701" s="7">
        <v>2</v>
      </c>
      <c r="G5701" s="8" t="s">
        <v>5690</v>
      </c>
      <c r="H5701" s="8" t="s">
        <v>5691</v>
      </c>
      <c r="I5701" s="7" t="str">
        <f>_xlfn.CONCAT(Paper_Reference[[#This Row],[Lvl]:[Paper Description]])</f>
        <v>2XJ8R0336N500FRL SCH LEVEL 6-3 60 X 1201102100DS009-6200FROSTY WHITE</v>
      </c>
      <c r="J5701" s="7">
        <f>COUNTIF(Paper_Reference[Duplicate Key],Paper_Reference[[#This Row],[Duplicate Key]])</f>
        <v>1</v>
      </c>
    </row>
    <row r="5702" spans="1:10">
      <c r="A5702" s="7">
        <v>2</v>
      </c>
      <c r="B5702" s="8" t="s">
        <v>6590</v>
      </c>
      <c r="C5702" s="8" t="s">
        <v>6064</v>
      </c>
      <c r="D5702" s="7">
        <v>1</v>
      </c>
      <c r="E5702" s="7">
        <v>10</v>
      </c>
      <c r="F5702" s="7">
        <v>2</v>
      </c>
      <c r="G5702" s="8" t="s">
        <v>5690</v>
      </c>
      <c r="H5702" s="8" t="s">
        <v>5691</v>
      </c>
      <c r="I5702" s="7" t="str">
        <f>_xlfn.CONCAT(Paper_Reference[[#This Row],[Lvl]:[Paper Description]])</f>
        <v>2XJ8R0337N500FRL SCH LEVEL 6-4 60 X 1201102100DS009-6200FROSTY WHITE</v>
      </c>
      <c r="J5702" s="7">
        <f>COUNTIF(Paper_Reference[Duplicate Key],Paper_Reference[[#This Row],[Duplicate Key]])</f>
        <v>1</v>
      </c>
    </row>
    <row r="5703" spans="1:10">
      <c r="A5703" s="7">
        <v>2</v>
      </c>
      <c r="B5703" s="8" t="s">
        <v>6591</v>
      </c>
      <c r="C5703" s="8" t="s">
        <v>6065</v>
      </c>
      <c r="D5703" s="7">
        <v>1</v>
      </c>
      <c r="E5703" s="7">
        <v>10</v>
      </c>
      <c r="F5703" s="7">
        <v>2</v>
      </c>
      <c r="G5703" s="8" t="s">
        <v>5690</v>
      </c>
      <c r="H5703" s="8" t="s">
        <v>5691</v>
      </c>
      <c r="I5703" s="7" t="str">
        <f>_xlfn.CONCAT(Paper_Reference[[#This Row],[Lvl]:[Paper Description]])</f>
        <v>2XJ8R0338N500FRL STUDIO 8 ELEVATOR 60 X 1201102100DS009-6200FROSTY WHITE</v>
      </c>
      <c r="J5703" s="7">
        <f>COUNTIF(Paper_Reference[Duplicate Key],Paper_Reference[[#This Row],[Duplicate Key]])</f>
        <v>1</v>
      </c>
    </row>
    <row r="5704" spans="1:10">
      <c r="A5704" s="7">
        <v>2</v>
      </c>
      <c r="B5704" s="8" t="s">
        <v>8105</v>
      </c>
      <c r="C5704" s="8" t="s">
        <v>7228</v>
      </c>
      <c r="D5704" s="7">
        <v>1</v>
      </c>
      <c r="E5704" s="7">
        <v>10</v>
      </c>
      <c r="F5704" s="7">
        <v>2</v>
      </c>
      <c r="G5704" s="8" t="s">
        <v>6710</v>
      </c>
      <c r="H5704" s="8" t="s">
        <v>5691</v>
      </c>
      <c r="I5704" s="7" t="str">
        <f>_xlfn.CONCAT(Paper_Reference[[#This Row],[Lvl]:[Paper Description]])</f>
        <v>2XJ8R0339N400FRL SCH LEVEL 3-1 48X1201102100DS009-5000FROSTY WHITE</v>
      </c>
      <c r="J5704" s="7">
        <f>COUNTIF(Paper_Reference[Duplicate Key],Paper_Reference[[#This Row],[Duplicate Key]])</f>
        <v>1</v>
      </c>
    </row>
    <row r="5705" spans="1:10">
      <c r="A5705" s="7">
        <v>2</v>
      </c>
      <c r="B5705" s="8" t="s">
        <v>6592</v>
      </c>
      <c r="C5705" s="8" t="s">
        <v>6066</v>
      </c>
      <c r="D5705" s="7">
        <v>1</v>
      </c>
      <c r="E5705" s="7">
        <v>10</v>
      </c>
      <c r="F5705" s="7">
        <v>2</v>
      </c>
      <c r="G5705" s="8" t="s">
        <v>5690</v>
      </c>
      <c r="H5705" s="8" t="s">
        <v>5691</v>
      </c>
      <c r="I5705" s="7" t="str">
        <f>_xlfn.CONCAT(Paper_Reference[[#This Row],[Lvl]:[Paper Description]])</f>
        <v>2XJ8R0339N500FRL SCH LEVEL 3-1 60 X 1201102100DS009-6200FROSTY WHITE</v>
      </c>
      <c r="J5705" s="7">
        <f>COUNTIF(Paper_Reference[Duplicate Key],Paper_Reference[[#This Row],[Duplicate Key]])</f>
        <v>1</v>
      </c>
    </row>
    <row r="5706" spans="1:10">
      <c r="A5706" s="7">
        <v>2</v>
      </c>
      <c r="B5706" s="8" t="s">
        <v>8106</v>
      </c>
      <c r="C5706" s="8" t="s">
        <v>7229</v>
      </c>
      <c r="D5706" s="7">
        <v>1</v>
      </c>
      <c r="E5706" s="7">
        <v>10</v>
      </c>
      <c r="F5706" s="7">
        <v>2</v>
      </c>
      <c r="G5706" s="8" t="s">
        <v>6710</v>
      </c>
      <c r="H5706" s="8" t="s">
        <v>5691</v>
      </c>
      <c r="I5706" s="7" t="str">
        <f>_xlfn.CONCAT(Paper_Reference[[#This Row],[Lvl]:[Paper Description]])</f>
        <v>2XJ8R0340N400FRL SCH LEVEL 3.2A 48X1201102100DS009-5000FROSTY WHITE</v>
      </c>
      <c r="J5706" s="7">
        <f>COUNTIF(Paper_Reference[Duplicate Key],Paper_Reference[[#This Row],[Duplicate Key]])</f>
        <v>1</v>
      </c>
    </row>
    <row r="5707" spans="1:10">
      <c r="A5707" s="7">
        <v>2</v>
      </c>
      <c r="B5707" s="8" t="s">
        <v>6593</v>
      </c>
      <c r="C5707" s="8" t="s">
        <v>6067</v>
      </c>
      <c r="D5707" s="7">
        <v>1</v>
      </c>
      <c r="E5707" s="7">
        <v>10</v>
      </c>
      <c r="F5707" s="7">
        <v>2</v>
      </c>
      <c r="G5707" s="8" t="s">
        <v>5690</v>
      </c>
      <c r="H5707" s="8" t="s">
        <v>5691</v>
      </c>
      <c r="I5707" s="7" t="str">
        <f>_xlfn.CONCAT(Paper_Reference[[#This Row],[Lvl]:[Paper Description]])</f>
        <v>2XJ8R0341N500FRL SCH LEVEL 3-2B 60 X 1201102100DS009-6200FROSTY WHITE</v>
      </c>
      <c r="J5707" s="7">
        <f>COUNTIF(Paper_Reference[Duplicate Key],Paper_Reference[[#This Row],[Duplicate Key]])</f>
        <v>1</v>
      </c>
    </row>
    <row r="5708" spans="1:10">
      <c r="A5708" s="7">
        <v>2</v>
      </c>
      <c r="B5708" s="8" t="s">
        <v>6594</v>
      </c>
      <c r="C5708" s="8" t="s">
        <v>6068</v>
      </c>
      <c r="D5708" s="7">
        <v>1</v>
      </c>
      <c r="E5708" s="7">
        <v>10</v>
      </c>
      <c r="F5708" s="7">
        <v>2</v>
      </c>
      <c r="G5708" s="8" t="s">
        <v>5690</v>
      </c>
      <c r="H5708" s="8" t="s">
        <v>5691</v>
      </c>
      <c r="I5708" s="7" t="str">
        <f>_xlfn.CONCAT(Paper_Reference[[#This Row],[Lvl]:[Paper Description]])</f>
        <v>2XJ8R0342N500FRL SCH ED 1 60 X 1201102100DS009-6200FROSTY WHITE</v>
      </c>
      <c r="J5708" s="7">
        <f>COUNTIF(Paper_Reference[Duplicate Key],Paper_Reference[[#This Row],[Duplicate Key]])</f>
        <v>1</v>
      </c>
    </row>
    <row r="5709" spans="1:10">
      <c r="A5709" s="7">
        <v>2</v>
      </c>
      <c r="B5709" s="8" t="s">
        <v>6595</v>
      </c>
      <c r="C5709" s="8" t="s">
        <v>6069</v>
      </c>
      <c r="D5709" s="7">
        <v>1</v>
      </c>
      <c r="E5709" s="7">
        <v>10</v>
      </c>
      <c r="F5709" s="7">
        <v>2</v>
      </c>
      <c r="G5709" s="8" t="s">
        <v>5690</v>
      </c>
      <c r="H5709" s="8" t="s">
        <v>5691</v>
      </c>
      <c r="I5709" s="7" t="str">
        <f>_xlfn.CONCAT(Paper_Reference[[#This Row],[Lvl]:[Paper Description]])</f>
        <v>2XJ8R0343N500FRL SCH ED 2 60 X 1201102100DS009-6200FROSTY WHITE</v>
      </c>
      <c r="J5709" s="7">
        <f>COUNTIF(Paper_Reference[Duplicate Key],Paper_Reference[[#This Row],[Duplicate Key]])</f>
        <v>1</v>
      </c>
    </row>
    <row r="5710" spans="1:10">
      <c r="A5710" s="7">
        <v>2</v>
      </c>
      <c r="B5710" s="8" t="s">
        <v>6596</v>
      </c>
      <c r="C5710" s="8" t="s">
        <v>6070</v>
      </c>
      <c r="D5710" s="7">
        <v>1</v>
      </c>
      <c r="E5710" s="7">
        <v>10</v>
      </c>
      <c r="F5710" s="7">
        <v>2</v>
      </c>
      <c r="G5710" s="8" t="s">
        <v>5690</v>
      </c>
      <c r="H5710" s="8" t="s">
        <v>5691</v>
      </c>
      <c r="I5710" s="7" t="str">
        <f>_xlfn.CONCAT(Paper_Reference[[#This Row],[Lvl]:[Paper Description]])</f>
        <v>2XJ8R0344N500FRL SCH ED 3 60 X 1201102100DS009-6200FROSTY WHITE</v>
      </c>
      <c r="J5710" s="7">
        <f>COUNTIF(Paper_Reference[Duplicate Key],Paper_Reference[[#This Row],[Duplicate Key]])</f>
        <v>1</v>
      </c>
    </row>
    <row r="5711" spans="1:10">
      <c r="A5711" s="7">
        <v>2</v>
      </c>
      <c r="B5711" s="8" t="s">
        <v>6597</v>
      </c>
      <c r="C5711" s="8" t="s">
        <v>6071</v>
      </c>
      <c r="D5711" s="7">
        <v>1</v>
      </c>
      <c r="E5711" s="7">
        <v>10</v>
      </c>
      <c r="F5711" s="7">
        <v>2</v>
      </c>
      <c r="G5711" s="8" t="s">
        <v>5690</v>
      </c>
      <c r="H5711" s="8" t="s">
        <v>5691</v>
      </c>
      <c r="I5711" s="7" t="str">
        <f>_xlfn.CONCAT(Paper_Reference[[#This Row],[Lvl]:[Paper Description]])</f>
        <v>2XJ8R0347N500FRL SCH LEVEL 3-3 60 X 1201102100DS009-6200FROSTY WHITE</v>
      </c>
      <c r="J5711" s="7">
        <f>COUNTIF(Paper_Reference[Duplicate Key],Paper_Reference[[#This Row],[Duplicate Key]])</f>
        <v>1</v>
      </c>
    </row>
    <row r="5712" spans="1:10">
      <c r="A5712" s="7">
        <v>2</v>
      </c>
      <c r="B5712" s="8" t="s">
        <v>6598</v>
      </c>
      <c r="C5712" s="8" t="s">
        <v>6072</v>
      </c>
      <c r="D5712" s="7">
        <v>1</v>
      </c>
      <c r="E5712" s="7">
        <v>10</v>
      </c>
      <c r="F5712" s="7">
        <v>2</v>
      </c>
      <c r="G5712" s="8" t="s">
        <v>5690</v>
      </c>
      <c r="H5712" s="8" t="s">
        <v>5691</v>
      </c>
      <c r="I5712" s="7" t="str">
        <f>_xlfn.CONCAT(Paper_Reference[[#This Row],[Lvl]:[Paper Description]])</f>
        <v>2XJ8R0348N500FRL SCH LEVEL 3-4 60 X 1201102100DS009-6200FROSTY WHITE</v>
      </c>
      <c r="J5712" s="7">
        <f>COUNTIF(Paper_Reference[Duplicate Key],Paper_Reference[[#This Row],[Duplicate Key]])</f>
        <v>1</v>
      </c>
    </row>
    <row r="5713" spans="1:10">
      <c r="A5713" s="7">
        <v>2</v>
      </c>
      <c r="B5713" s="8" t="s">
        <v>6599</v>
      </c>
      <c r="C5713" s="8" t="s">
        <v>6073</v>
      </c>
      <c r="D5713" s="7">
        <v>1</v>
      </c>
      <c r="E5713" s="7">
        <v>10</v>
      </c>
      <c r="F5713" s="7">
        <v>2</v>
      </c>
      <c r="G5713" s="8" t="s">
        <v>5690</v>
      </c>
      <c r="H5713" s="8" t="s">
        <v>5691</v>
      </c>
      <c r="I5713" s="7" t="str">
        <f>_xlfn.CONCAT(Paper_Reference[[#This Row],[Lvl]:[Paper Description]])</f>
        <v>2XJ8R0349N580FRL TRUMAN CORN 60 X 961102100DS009-6200FROSTY WHITE</v>
      </c>
      <c r="J5713" s="7">
        <f>COUNTIF(Paper_Reference[Duplicate Key],Paper_Reference[[#This Row],[Duplicate Key]])</f>
        <v>1</v>
      </c>
    </row>
    <row r="5714" spans="1:10">
      <c r="A5714" s="7">
        <v>2</v>
      </c>
      <c r="B5714" s="8" t="s">
        <v>6600</v>
      </c>
      <c r="C5714" s="8" t="s">
        <v>6074</v>
      </c>
      <c r="D5714" s="7">
        <v>1</v>
      </c>
      <c r="E5714" s="7">
        <v>10</v>
      </c>
      <c r="F5714" s="7">
        <v>2</v>
      </c>
      <c r="G5714" s="8" t="s">
        <v>5690</v>
      </c>
      <c r="H5714" s="8" t="s">
        <v>5691</v>
      </c>
      <c r="I5714" s="7" t="str">
        <f>_xlfn.CONCAT(Paper_Reference[[#This Row],[Lvl]:[Paper Description]])</f>
        <v>2XJ8R0356J580FRL RAHS DREAMLINER 60 X 961102100DS009-6200FROSTY WHITE</v>
      </c>
      <c r="J5714" s="7">
        <f>COUNTIF(Paper_Reference[Duplicate Key],Paper_Reference[[#This Row],[Duplicate Key]])</f>
        <v>1</v>
      </c>
    </row>
    <row r="5715" spans="1:10">
      <c r="A5715" s="7">
        <v>2</v>
      </c>
      <c r="B5715" s="8" t="s">
        <v>6601</v>
      </c>
      <c r="C5715" s="8" t="s">
        <v>6075</v>
      </c>
      <c r="D5715" s="7">
        <v>1</v>
      </c>
      <c r="E5715" s="7">
        <v>10</v>
      </c>
      <c r="F5715" s="7">
        <v>2</v>
      </c>
      <c r="G5715" s="8" t="s">
        <v>5690</v>
      </c>
      <c r="H5715" s="8" t="s">
        <v>5691</v>
      </c>
      <c r="I5715" s="7" t="str">
        <f>_xlfn.CONCAT(Paper_Reference[[#This Row],[Lvl]:[Paper Description]])</f>
        <v>2XJ8R0357J580FRL RAHS HISTORY 60 X 961102100DS009-6200FROSTY WHITE</v>
      </c>
      <c r="J5715" s="7">
        <f>COUNTIF(Paper_Reference[Duplicate Key],Paper_Reference[[#This Row],[Duplicate Key]])</f>
        <v>1</v>
      </c>
    </row>
    <row r="5716" spans="1:10">
      <c r="A5716" s="7">
        <v>2</v>
      </c>
      <c r="B5716" s="8" t="s">
        <v>6602</v>
      </c>
      <c r="C5716" s="8" t="s">
        <v>6076</v>
      </c>
      <c r="D5716" s="7">
        <v>1</v>
      </c>
      <c r="E5716" s="7">
        <v>10</v>
      </c>
      <c r="F5716" s="7">
        <v>2</v>
      </c>
      <c r="G5716" s="8" t="s">
        <v>5690</v>
      </c>
      <c r="H5716" s="8" t="s">
        <v>5691</v>
      </c>
      <c r="I5716" s="7" t="str">
        <f>_xlfn.CONCAT(Paper_Reference[[#This Row],[Lvl]:[Paper Description]])</f>
        <v>2XJ8R0358J580FRL RAHS HUBBLE 60 X 961102100DS009-6200FROSTY WHITE</v>
      </c>
      <c r="J5716" s="7">
        <f>COUNTIF(Paper_Reference[Duplicate Key],Paper_Reference[[#This Row],[Duplicate Key]])</f>
        <v>1</v>
      </c>
    </row>
    <row r="5717" spans="1:10">
      <c r="A5717" s="7">
        <v>2</v>
      </c>
      <c r="B5717" s="8" t="s">
        <v>6603</v>
      </c>
      <c r="C5717" s="8" t="s">
        <v>6077</v>
      </c>
      <c r="D5717" s="7">
        <v>1</v>
      </c>
      <c r="E5717" s="7">
        <v>10</v>
      </c>
      <c r="F5717" s="7">
        <v>2</v>
      </c>
      <c r="G5717" s="8" t="s">
        <v>5690</v>
      </c>
      <c r="H5717" s="8" t="s">
        <v>5691</v>
      </c>
      <c r="I5717" s="7" t="str">
        <f>_xlfn.CONCAT(Paper_Reference[[#This Row],[Lvl]:[Paper Description]])</f>
        <v>2XJ8R0359J580FRL RAHS COMM 60 X 961102100DS009-6200FROSTY WHITE</v>
      </c>
      <c r="J5717" s="7">
        <f>COUNTIF(Paper_Reference[Duplicate Key],Paper_Reference[[#This Row],[Duplicate Key]])</f>
        <v>1</v>
      </c>
    </row>
    <row r="5718" spans="1:10">
      <c r="A5718" s="7">
        <v>2</v>
      </c>
      <c r="B5718" s="8" t="s">
        <v>6604</v>
      </c>
      <c r="C5718" s="8" t="s">
        <v>6078</v>
      </c>
      <c r="D5718" s="7">
        <v>1</v>
      </c>
      <c r="E5718" s="7">
        <v>10</v>
      </c>
      <c r="F5718" s="7">
        <v>2</v>
      </c>
      <c r="G5718" s="8" t="s">
        <v>5690</v>
      </c>
      <c r="H5718" s="8" t="s">
        <v>5691</v>
      </c>
      <c r="I5718" s="7" t="str">
        <f>_xlfn.CONCAT(Paper_Reference[[#This Row],[Lvl]:[Paper Description]])</f>
        <v>2XJ8R0360J580FRL RAHS ROBOTICS 60 X 961102100DS009-6200FROSTY WHITE</v>
      </c>
      <c r="J5718" s="7">
        <f>COUNTIF(Paper_Reference[Duplicate Key],Paper_Reference[[#This Row],[Duplicate Key]])</f>
        <v>1</v>
      </c>
    </row>
    <row r="5719" spans="1:10">
      <c r="A5719" s="7">
        <v>2</v>
      </c>
      <c r="B5719" s="8" t="s">
        <v>8107</v>
      </c>
      <c r="C5719" s="8" t="s">
        <v>7230</v>
      </c>
      <c r="D5719" s="7">
        <v>1</v>
      </c>
      <c r="E5719" s="7">
        <v>10</v>
      </c>
      <c r="F5719" s="7">
        <v>2</v>
      </c>
      <c r="G5719" s="8" t="s">
        <v>6710</v>
      </c>
      <c r="H5719" s="8" t="s">
        <v>5691</v>
      </c>
      <c r="I5719" s="7" t="str">
        <f>_xlfn.CONCAT(Paper_Reference[[#This Row],[Lvl]:[Paper Description]])</f>
        <v>2XJ8R0366N400FRL PEGULA ICE ARENA 48 X 1201102100DS009-5000FROSTY WHITE</v>
      </c>
      <c r="J5719" s="7">
        <f>COUNTIF(Paper_Reference[Duplicate Key],Paper_Reference[[#This Row],[Duplicate Key]])</f>
        <v>1</v>
      </c>
    </row>
    <row r="5720" spans="1:10">
      <c r="A5720" s="7">
        <v>2</v>
      </c>
      <c r="B5720" s="8" t="s">
        <v>6605</v>
      </c>
      <c r="C5720" s="8" t="s">
        <v>6079</v>
      </c>
      <c r="D5720" s="7">
        <v>1</v>
      </c>
      <c r="E5720" s="7">
        <v>10</v>
      </c>
      <c r="F5720" s="7">
        <v>2</v>
      </c>
      <c r="G5720" s="8" t="s">
        <v>5690</v>
      </c>
      <c r="H5720" s="8" t="s">
        <v>5691</v>
      </c>
      <c r="I5720" s="7" t="str">
        <f>_xlfn.CONCAT(Paper_Reference[[#This Row],[Lvl]:[Paper Description]])</f>
        <v>2XJ8R0366N500FRL PEGULA ICE ARENA 60 X 1201102100DS009-6200FROSTY WHITE</v>
      </c>
      <c r="J5720" s="7">
        <f>COUNTIF(Paper_Reference[Duplicate Key],Paper_Reference[[#This Row],[Duplicate Key]])</f>
        <v>1</v>
      </c>
    </row>
    <row r="5721" spans="1:10">
      <c r="A5721" s="7">
        <v>2</v>
      </c>
      <c r="B5721" s="8" t="s">
        <v>8108</v>
      </c>
      <c r="C5721" s="8" t="s">
        <v>7231</v>
      </c>
      <c r="D5721" s="7">
        <v>1</v>
      </c>
      <c r="E5721" s="7">
        <v>10</v>
      </c>
      <c r="F5721" s="7">
        <v>2</v>
      </c>
      <c r="G5721" s="8" t="s">
        <v>6710</v>
      </c>
      <c r="H5721" s="8" t="s">
        <v>5691</v>
      </c>
      <c r="I5721" s="7" t="str">
        <f>_xlfn.CONCAT(Paper_Reference[[#This Row],[Lvl]:[Paper Description]])</f>
        <v>2XJ8R0370N380FRL COLLEGE - REDWOODS 36X961102100DS009-5000FROSTY WHITE</v>
      </c>
      <c r="J5721" s="7">
        <f>COUNTIF(Paper_Reference[Duplicate Key],Paper_Reference[[#This Row],[Duplicate Key]])</f>
        <v>1</v>
      </c>
    </row>
    <row r="5722" spans="1:10">
      <c r="A5722" s="7">
        <v>2</v>
      </c>
      <c r="B5722" s="8" t="s">
        <v>6606</v>
      </c>
      <c r="C5722" s="8" t="s">
        <v>6080</v>
      </c>
      <c r="D5722" s="7">
        <v>1</v>
      </c>
      <c r="E5722" s="7">
        <v>10</v>
      </c>
      <c r="F5722" s="7">
        <v>2</v>
      </c>
      <c r="G5722" s="8" t="s">
        <v>5690</v>
      </c>
      <c r="H5722" s="8" t="s">
        <v>5691</v>
      </c>
      <c r="I5722" s="7" t="str">
        <f>_xlfn.CONCAT(Paper_Reference[[#This Row],[Lvl]:[Paper Description]])</f>
        <v>2XJ8R0370N580FRL COLLEGE - REDWOODS 60X961102100DS009-6200FROSTY WHITE</v>
      </c>
      <c r="J5722" s="7">
        <f>COUNTIF(Paper_Reference[Duplicate Key],Paper_Reference[[#This Row],[Duplicate Key]])</f>
        <v>1</v>
      </c>
    </row>
    <row r="5723" spans="1:10">
      <c r="A5723" s="7">
        <v>2</v>
      </c>
      <c r="B5723" s="8" t="s">
        <v>8109</v>
      </c>
      <c r="C5723" s="8" t="s">
        <v>7232</v>
      </c>
      <c r="D5723" s="7">
        <v>1</v>
      </c>
      <c r="E5723" s="7">
        <v>10</v>
      </c>
      <c r="F5723" s="7">
        <v>2</v>
      </c>
      <c r="G5723" s="8" t="s">
        <v>6710</v>
      </c>
      <c r="H5723" s="8" t="s">
        <v>5691</v>
      </c>
      <c r="I5723" s="7" t="str">
        <f>_xlfn.CONCAT(Paper_Reference[[#This Row],[Lvl]:[Paper Description]])</f>
        <v>2XJ8R0371N480FRL ASTRO BOOM III 48 X 961102100DS009-5000FROSTY WHITE</v>
      </c>
      <c r="J5723" s="7">
        <f>COUNTIF(Paper_Reference[Duplicate Key],Paper_Reference[[#This Row],[Duplicate Key]])</f>
        <v>1</v>
      </c>
    </row>
    <row r="5724" spans="1:10">
      <c r="A5724" s="7">
        <v>2</v>
      </c>
      <c r="B5724" s="8" t="s">
        <v>8110</v>
      </c>
      <c r="C5724" s="8" t="s">
        <v>7232</v>
      </c>
      <c r="D5724" s="7">
        <v>1</v>
      </c>
      <c r="E5724" s="7">
        <v>10</v>
      </c>
      <c r="F5724" s="7">
        <v>2</v>
      </c>
      <c r="G5724" s="8" t="s">
        <v>6710</v>
      </c>
      <c r="H5724" s="8" t="s">
        <v>5691</v>
      </c>
      <c r="I5724" s="7" t="str">
        <f>_xlfn.CONCAT(Paper_Reference[[#This Row],[Lvl]:[Paper Description]])</f>
        <v>2XJ8R0371SD480FRL ASTRO BOOM III 48 X 961102100DS009-5000FROSTY WHITE</v>
      </c>
      <c r="J5724" s="7">
        <f>COUNTIF(Paper_Reference[Duplicate Key],Paper_Reference[[#This Row],[Duplicate Key]])</f>
        <v>1</v>
      </c>
    </row>
    <row r="5725" spans="1:10">
      <c r="A5725" s="7">
        <v>2</v>
      </c>
      <c r="B5725" s="8" t="s">
        <v>8111</v>
      </c>
      <c r="C5725" s="8" t="s">
        <v>7233</v>
      </c>
      <c r="D5725" s="7">
        <v>1</v>
      </c>
      <c r="E5725" s="7">
        <v>10</v>
      </c>
      <c r="F5725" s="7">
        <v>2</v>
      </c>
      <c r="G5725" s="8" t="s">
        <v>6710</v>
      </c>
      <c r="H5725" s="8" t="s">
        <v>5691</v>
      </c>
      <c r="I5725" s="7" t="str">
        <f>_xlfn.CONCAT(Paper_Reference[[#This Row],[Lvl]:[Paper Description]])</f>
        <v>2XJ8R0375N480FRL KCU PHASE T1 48 X 961102100DS009-5000FROSTY WHITE</v>
      </c>
      <c r="J5725" s="7">
        <f>COUNTIF(Paper_Reference[Duplicate Key],Paper_Reference[[#This Row],[Duplicate Key]])</f>
        <v>1</v>
      </c>
    </row>
    <row r="5726" spans="1:10">
      <c r="A5726" s="7">
        <v>2</v>
      </c>
      <c r="B5726" s="8" t="s">
        <v>6607</v>
      </c>
      <c r="C5726" s="8" t="s">
        <v>6081</v>
      </c>
      <c r="D5726" s="7">
        <v>1</v>
      </c>
      <c r="E5726" s="7">
        <v>10</v>
      </c>
      <c r="F5726" s="7">
        <v>2</v>
      </c>
      <c r="G5726" s="8" t="s">
        <v>5690</v>
      </c>
      <c r="H5726" s="8" t="s">
        <v>5691</v>
      </c>
      <c r="I5726" s="7" t="str">
        <f>_xlfn.CONCAT(Paper_Reference[[#This Row],[Lvl]:[Paper Description]])</f>
        <v>2XJ8R0394N500FRL SYHC WAVES 60 X 1201102100DS009-6200FROSTY WHITE</v>
      </c>
      <c r="J5726" s="7">
        <f>COUNTIF(Paper_Reference[Duplicate Key],Paper_Reference[[#This Row],[Duplicate Key]])</f>
        <v>1</v>
      </c>
    </row>
    <row r="5727" spans="1:10">
      <c r="A5727" s="7">
        <v>2</v>
      </c>
      <c r="B5727" s="8" t="s">
        <v>8112</v>
      </c>
      <c r="C5727" s="8" t="s">
        <v>7234</v>
      </c>
      <c r="D5727" s="7">
        <v>1</v>
      </c>
      <c r="E5727" s="7">
        <v>10</v>
      </c>
      <c r="F5727" s="7">
        <v>2</v>
      </c>
      <c r="G5727" s="8" t="s">
        <v>6710</v>
      </c>
      <c r="H5727" s="8" t="s">
        <v>5691</v>
      </c>
      <c r="I5727" s="7" t="str">
        <f>_xlfn.CONCAT(Paper_Reference[[#This Row],[Lvl]:[Paper Description]])</f>
        <v>2XJ8R0421N480FRL OHSU 13TH FLOOR MUR 48X961102100DS009-5000FROSTY WHITE</v>
      </c>
      <c r="J5727" s="7">
        <f>COUNTIF(Paper_Reference[Duplicate Key],Paper_Reference[[#This Row],[Duplicate Key]])</f>
        <v>1</v>
      </c>
    </row>
    <row r="5728" spans="1:10">
      <c r="A5728" s="7">
        <v>2</v>
      </c>
      <c r="B5728" s="8" t="s">
        <v>6608</v>
      </c>
      <c r="C5728" s="8" t="s">
        <v>6082</v>
      </c>
      <c r="D5728" s="7">
        <v>1</v>
      </c>
      <c r="E5728" s="7">
        <v>10</v>
      </c>
      <c r="F5728" s="7">
        <v>2</v>
      </c>
      <c r="G5728" s="8" t="s">
        <v>5690</v>
      </c>
      <c r="H5728" s="8" t="s">
        <v>5691</v>
      </c>
      <c r="I5728" s="7" t="str">
        <f>_xlfn.CONCAT(Paper_Reference[[#This Row],[Lvl]:[Paper Description]])</f>
        <v>2XJ8R0422N580FRL CHCH PHASE 1 60 X 961102100DS009-6200FROSTY WHITE</v>
      </c>
      <c r="J5728" s="7">
        <f>COUNTIF(Paper_Reference[Duplicate Key],Paper_Reference[[#This Row],[Duplicate Key]])</f>
        <v>1</v>
      </c>
    </row>
    <row r="5729" spans="1:10">
      <c r="A5729" s="7">
        <v>2</v>
      </c>
      <c r="B5729" s="8" t="s">
        <v>6609</v>
      </c>
      <c r="C5729" s="8" t="s">
        <v>6082</v>
      </c>
      <c r="D5729" s="7">
        <v>1</v>
      </c>
      <c r="E5729" s="7">
        <v>10</v>
      </c>
      <c r="F5729" s="7">
        <v>2</v>
      </c>
      <c r="G5729" s="8" t="s">
        <v>5690</v>
      </c>
      <c r="H5729" s="8" t="s">
        <v>5691</v>
      </c>
      <c r="I5729" s="7" t="str">
        <f>_xlfn.CONCAT(Paper_Reference[[#This Row],[Lvl]:[Paper Description]])</f>
        <v>2XJ8R0422SD580FRL CHCH PHASE 1 60 X 961102100DS009-6200FROSTY WHITE</v>
      </c>
      <c r="J5729" s="7">
        <f>COUNTIF(Paper_Reference[Duplicate Key],Paper_Reference[[#This Row],[Duplicate Key]])</f>
        <v>1</v>
      </c>
    </row>
    <row r="5730" spans="1:10">
      <c r="A5730" s="7">
        <v>2</v>
      </c>
      <c r="B5730" s="8" t="s">
        <v>6610</v>
      </c>
      <c r="C5730" s="8" t="s">
        <v>6083</v>
      </c>
      <c r="D5730" s="7">
        <v>1</v>
      </c>
      <c r="E5730" s="7">
        <v>10</v>
      </c>
      <c r="F5730" s="7">
        <v>2</v>
      </c>
      <c r="G5730" s="8" t="s">
        <v>5690</v>
      </c>
      <c r="H5730" s="8" t="s">
        <v>5691</v>
      </c>
      <c r="I5730" s="7" t="str">
        <f>_xlfn.CONCAT(Paper_Reference[[#This Row],[Lvl]:[Paper Description]])</f>
        <v>2XJ8R0424N580FRL OHSU 14TH FLOOR MUR 60X961102100DS009-6200FROSTY WHITE</v>
      </c>
      <c r="J5730" s="7">
        <f>COUNTIF(Paper_Reference[Duplicate Key],Paper_Reference[[#This Row],[Duplicate Key]])</f>
        <v>1</v>
      </c>
    </row>
    <row r="5731" spans="1:10">
      <c r="A5731" s="7">
        <v>2</v>
      </c>
      <c r="B5731" s="8" t="s">
        <v>6611</v>
      </c>
      <c r="C5731" s="8" t="s">
        <v>6083</v>
      </c>
      <c r="D5731" s="7">
        <v>1</v>
      </c>
      <c r="E5731" s="7">
        <v>10</v>
      </c>
      <c r="F5731" s="7">
        <v>2</v>
      </c>
      <c r="G5731" s="8" t="s">
        <v>5690</v>
      </c>
      <c r="H5731" s="8" t="s">
        <v>5691</v>
      </c>
      <c r="I5731" s="7" t="str">
        <f>_xlfn.CONCAT(Paper_Reference[[#This Row],[Lvl]:[Paper Description]])</f>
        <v>2XJ8R0424SD580FRL OHSU 14TH FLOOR MUR 60X961102100DS009-6200FROSTY WHITE</v>
      </c>
      <c r="J5731" s="7">
        <f>COUNTIF(Paper_Reference[Duplicate Key],Paper_Reference[[#This Row],[Duplicate Key]])</f>
        <v>1</v>
      </c>
    </row>
    <row r="5732" spans="1:10">
      <c r="A5732" s="7">
        <v>2</v>
      </c>
      <c r="B5732" s="8" t="s">
        <v>6612</v>
      </c>
      <c r="C5732" s="8" t="s">
        <v>6084</v>
      </c>
      <c r="D5732" s="7">
        <v>1</v>
      </c>
      <c r="E5732" s="7">
        <v>10</v>
      </c>
      <c r="F5732" s="7">
        <v>2</v>
      </c>
      <c r="G5732" s="8" t="s">
        <v>5690</v>
      </c>
      <c r="H5732" s="8" t="s">
        <v>5691</v>
      </c>
      <c r="I5732" s="7" t="str">
        <f>_xlfn.CONCAT(Paper_Reference[[#This Row],[Lvl]:[Paper Description]])</f>
        <v>2XJ8R0428N500FRL OGGI PIZZA 60 X 1201102100DS009-6200FROSTY WHITE</v>
      </c>
      <c r="J5732" s="7">
        <f>COUNTIF(Paper_Reference[Duplicate Key],Paper_Reference[[#This Row],[Duplicate Key]])</f>
        <v>1</v>
      </c>
    </row>
    <row r="5733" spans="1:10">
      <c r="A5733" s="7">
        <v>2</v>
      </c>
      <c r="B5733" s="8" t="s">
        <v>6613</v>
      </c>
      <c r="C5733" s="8" t="s">
        <v>6084</v>
      </c>
      <c r="D5733" s="7">
        <v>1</v>
      </c>
      <c r="E5733" s="7">
        <v>10</v>
      </c>
      <c r="F5733" s="7">
        <v>2</v>
      </c>
      <c r="G5733" s="8" t="s">
        <v>5690</v>
      </c>
      <c r="H5733" s="8" t="s">
        <v>5691</v>
      </c>
      <c r="I5733" s="7" t="str">
        <f>_xlfn.CONCAT(Paper_Reference[[#This Row],[Lvl]:[Paper Description]])</f>
        <v>2XJ8R0428SD500FRL OGGI PIZZA 60 X 1201102100DS009-6200FROSTY WHITE</v>
      </c>
      <c r="J5733" s="7">
        <f>COUNTIF(Paper_Reference[Duplicate Key],Paper_Reference[[#This Row],[Duplicate Key]])</f>
        <v>1</v>
      </c>
    </row>
    <row r="5734" spans="1:10">
      <c r="A5734" s="7">
        <v>2</v>
      </c>
      <c r="B5734" s="8" t="s">
        <v>8113</v>
      </c>
      <c r="C5734" s="8" t="s">
        <v>7235</v>
      </c>
      <c r="D5734" s="7">
        <v>1</v>
      </c>
      <c r="E5734" s="7">
        <v>10</v>
      </c>
      <c r="F5734" s="7">
        <v>2</v>
      </c>
      <c r="G5734" s="8" t="s">
        <v>6710</v>
      </c>
      <c r="H5734" s="8" t="s">
        <v>5691</v>
      </c>
      <c r="I5734" s="7" t="str">
        <f>_xlfn.CONCAT(Paper_Reference[[#This Row],[Lvl]:[Paper Description]])</f>
        <v>2XJ8R0429N480FRL UOMSQ 48 X 961102100DS009-5000FROSTY WHITE</v>
      </c>
      <c r="J5734" s="7">
        <f>COUNTIF(Paper_Reference[Duplicate Key],Paper_Reference[[#This Row],[Duplicate Key]])</f>
        <v>1</v>
      </c>
    </row>
    <row r="5735" spans="1:10">
      <c r="A5735" s="7">
        <v>2</v>
      </c>
      <c r="B5735" s="8" t="s">
        <v>8114</v>
      </c>
      <c r="C5735" s="8" t="s">
        <v>7235</v>
      </c>
      <c r="D5735" s="7">
        <v>1</v>
      </c>
      <c r="E5735" s="7">
        <v>10</v>
      </c>
      <c r="F5735" s="7">
        <v>2</v>
      </c>
      <c r="G5735" s="8" t="s">
        <v>6710</v>
      </c>
      <c r="H5735" s="8" t="s">
        <v>5691</v>
      </c>
      <c r="I5735" s="7" t="str">
        <f>_xlfn.CONCAT(Paper_Reference[[#This Row],[Lvl]:[Paper Description]])</f>
        <v>2XJ8R0429SD480FRL UOMSQ 48 X 961102100DS009-5000FROSTY WHITE</v>
      </c>
      <c r="J5735" s="7">
        <f>COUNTIF(Paper_Reference[Duplicate Key],Paper_Reference[[#This Row],[Duplicate Key]])</f>
        <v>1</v>
      </c>
    </row>
    <row r="5736" spans="1:10">
      <c r="A5736" s="7">
        <v>2</v>
      </c>
      <c r="B5736" s="8" t="s">
        <v>8115</v>
      </c>
      <c r="C5736" s="8" t="s">
        <v>7236</v>
      </c>
      <c r="D5736" s="7">
        <v>1</v>
      </c>
      <c r="E5736" s="7">
        <v>10</v>
      </c>
      <c r="F5736" s="7">
        <v>2</v>
      </c>
      <c r="G5736" s="8" t="s">
        <v>6710</v>
      </c>
      <c r="H5736" s="8" t="s">
        <v>5691</v>
      </c>
      <c r="I5736" s="7" t="str">
        <f>_xlfn.CONCAT(Paper_Reference[[#This Row],[Lvl]:[Paper Description]])</f>
        <v>2XJ8R0440N400FRL LOYOLA ED RM 1 48 X 1201102100DS009-5000FROSTY WHITE</v>
      </c>
      <c r="J5736" s="7">
        <f>COUNTIF(Paper_Reference[Duplicate Key],Paper_Reference[[#This Row],[Duplicate Key]])</f>
        <v>1</v>
      </c>
    </row>
    <row r="5737" spans="1:10">
      <c r="A5737" s="7">
        <v>2</v>
      </c>
      <c r="B5737" s="8" t="s">
        <v>8116</v>
      </c>
      <c r="C5737" s="8" t="s">
        <v>7236</v>
      </c>
      <c r="D5737" s="7">
        <v>1</v>
      </c>
      <c r="E5737" s="7">
        <v>10</v>
      </c>
      <c r="F5737" s="7">
        <v>2</v>
      </c>
      <c r="G5737" s="8" t="s">
        <v>6710</v>
      </c>
      <c r="H5737" s="8" t="s">
        <v>5691</v>
      </c>
      <c r="I5737" s="7" t="str">
        <f>_xlfn.CONCAT(Paper_Reference[[#This Row],[Lvl]:[Paper Description]])</f>
        <v>2XJ8R0440SD400FRL LOYOLA ED RM 1 48 X 1201102100DS009-5000FROSTY WHITE</v>
      </c>
      <c r="J5737" s="7">
        <f>COUNTIF(Paper_Reference[Duplicate Key],Paper_Reference[[#This Row],[Duplicate Key]])</f>
        <v>1</v>
      </c>
    </row>
    <row r="5738" spans="1:10">
      <c r="A5738" s="7">
        <v>2</v>
      </c>
      <c r="B5738" s="8" t="s">
        <v>8117</v>
      </c>
      <c r="C5738" s="8" t="s">
        <v>7237</v>
      </c>
      <c r="D5738" s="7">
        <v>1</v>
      </c>
      <c r="E5738" s="7">
        <v>10</v>
      </c>
      <c r="F5738" s="7">
        <v>2</v>
      </c>
      <c r="G5738" s="8" t="s">
        <v>6710</v>
      </c>
      <c r="H5738" s="8" t="s">
        <v>5691</v>
      </c>
      <c r="I5738" s="7" t="str">
        <f>_xlfn.CONCAT(Paper_Reference[[#This Row],[Lvl]:[Paper Description]])</f>
        <v>2XJ8R0441N400FRL LOYOLA ED RM 2 48 X 1201102100DS009-5000FROSTY WHITE</v>
      </c>
      <c r="J5738" s="7">
        <f>COUNTIF(Paper_Reference[Duplicate Key],Paper_Reference[[#This Row],[Duplicate Key]])</f>
        <v>1</v>
      </c>
    </row>
    <row r="5739" spans="1:10">
      <c r="A5739" s="7">
        <v>2</v>
      </c>
      <c r="B5739" s="8" t="s">
        <v>8118</v>
      </c>
      <c r="C5739" s="8" t="s">
        <v>7237</v>
      </c>
      <c r="D5739" s="7">
        <v>1</v>
      </c>
      <c r="E5739" s="7">
        <v>10</v>
      </c>
      <c r="F5739" s="7">
        <v>2</v>
      </c>
      <c r="G5739" s="8" t="s">
        <v>6710</v>
      </c>
      <c r="H5739" s="8" t="s">
        <v>5691</v>
      </c>
      <c r="I5739" s="7" t="str">
        <f>_xlfn.CONCAT(Paper_Reference[[#This Row],[Lvl]:[Paper Description]])</f>
        <v>2XJ8R0441SD400FRL LOYOLA ED RM 2 48 X 1201102100DS009-5000FROSTY WHITE</v>
      </c>
      <c r="J5739" s="7">
        <f>COUNTIF(Paper_Reference[Duplicate Key],Paper_Reference[[#This Row],[Duplicate Key]])</f>
        <v>1</v>
      </c>
    </row>
    <row r="5740" spans="1:10">
      <c r="A5740" s="7">
        <v>2</v>
      </c>
      <c r="B5740" s="8" t="s">
        <v>8119</v>
      </c>
      <c r="C5740" s="8" t="s">
        <v>7238</v>
      </c>
      <c r="D5740" s="7">
        <v>1</v>
      </c>
      <c r="E5740" s="7">
        <v>10</v>
      </c>
      <c r="F5740" s="7">
        <v>2</v>
      </c>
      <c r="G5740" s="8" t="s">
        <v>6710</v>
      </c>
      <c r="H5740" s="8" t="s">
        <v>5691</v>
      </c>
      <c r="I5740" s="7" t="str">
        <f>_xlfn.CONCAT(Paper_Reference[[#This Row],[Lvl]:[Paper Description]])</f>
        <v>2XJ8R0442N400FRL LOYOLA ED RM 3 48 X 1201102100DS009-5000FROSTY WHITE</v>
      </c>
      <c r="J5740" s="7">
        <f>COUNTIF(Paper_Reference[Duplicate Key],Paper_Reference[[#This Row],[Duplicate Key]])</f>
        <v>1</v>
      </c>
    </row>
    <row r="5741" spans="1:10">
      <c r="A5741" s="7">
        <v>2</v>
      </c>
      <c r="B5741" s="8" t="s">
        <v>8120</v>
      </c>
      <c r="C5741" s="8" t="s">
        <v>7238</v>
      </c>
      <c r="D5741" s="7">
        <v>1</v>
      </c>
      <c r="E5741" s="7">
        <v>10</v>
      </c>
      <c r="F5741" s="7">
        <v>2</v>
      </c>
      <c r="G5741" s="8" t="s">
        <v>6710</v>
      </c>
      <c r="H5741" s="8" t="s">
        <v>5691</v>
      </c>
      <c r="I5741" s="7" t="str">
        <f>_xlfn.CONCAT(Paper_Reference[[#This Row],[Lvl]:[Paper Description]])</f>
        <v>2XJ8R0442SD400FRL LOYOLA ED RM 3 48 X 1201102100DS009-5000FROSTY WHITE</v>
      </c>
      <c r="J5741" s="7">
        <f>COUNTIF(Paper_Reference[Duplicate Key],Paper_Reference[[#This Row],[Duplicate Key]])</f>
        <v>1</v>
      </c>
    </row>
    <row r="5742" spans="1:10">
      <c r="A5742" s="7">
        <v>2</v>
      </c>
      <c r="B5742" s="8" t="s">
        <v>8121</v>
      </c>
      <c r="C5742" s="8" t="s">
        <v>7239</v>
      </c>
      <c r="D5742" s="7">
        <v>1</v>
      </c>
      <c r="E5742" s="7">
        <v>10</v>
      </c>
      <c r="F5742" s="7">
        <v>2</v>
      </c>
      <c r="G5742" s="8" t="s">
        <v>6710</v>
      </c>
      <c r="H5742" s="8" t="s">
        <v>5691</v>
      </c>
      <c r="I5742" s="7" t="str">
        <f>_xlfn.CONCAT(Paper_Reference[[#This Row],[Lvl]:[Paper Description]])</f>
        <v>2XJ8R0443N480FRL LOYOLA ED CORR 1 48 X 961102100DS009-5000FROSTY WHITE</v>
      </c>
      <c r="J5742" s="7">
        <f>COUNTIF(Paper_Reference[Duplicate Key],Paper_Reference[[#This Row],[Duplicate Key]])</f>
        <v>1</v>
      </c>
    </row>
    <row r="5743" spans="1:10">
      <c r="A5743" s="7">
        <v>2</v>
      </c>
      <c r="B5743" s="8" t="s">
        <v>8122</v>
      </c>
      <c r="C5743" s="8" t="s">
        <v>7239</v>
      </c>
      <c r="D5743" s="7">
        <v>1</v>
      </c>
      <c r="E5743" s="7">
        <v>10</v>
      </c>
      <c r="F5743" s="7">
        <v>2</v>
      </c>
      <c r="G5743" s="8" t="s">
        <v>6710</v>
      </c>
      <c r="H5743" s="8" t="s">
        <v>5691</v>
      </c>
      <c r="I5743" s="7" t="str">
        <f>_xlfn.CONCAT(Paper_Reference[[#This Row],[Lvl]:[Paper Description]])</f>
        <v>2XJ8R0443SD480FRL LOYOLA ED CORR 1 48 X 961102100DS009-5000FROSTY WHITE</v>
      </c>
      <c r="J5743" s="7">
        <f>COUNTIF(Paper_Reference[Duplicate Key],Paper_Reference[[#This Row],[Duplicate Key]])</f>
        <v>1</v>
      </c>
    </row>
    <row r="5744" spans="1:10">
      <c r="A5744" s="7">
        <v>2</v>
      </c>
      <c r="B5744" s="8" t="s">
        <v>8123</v>
      </c>
      <c r="C5744" s="8" t="s">
        <v>7240</v>
      </c>
      <c r="D5744" s="7">
        <v>1</v>
      </c>
      <c r="E5744" s="7">
        <v>10</v>
      </c>
      <c r="F5744" s="7">
        <v>2</v>
      </c>
      <c r="G5744" s="8" t="s">
        <v>6710</v>
      </c>
      <c r="H5744" s="8" t="s">
        <v>5691</v>
      </c>
      <c r="I5744" s="7" t="str">
        <f>_xlfn.CONCAT(Paper_Reference[[#This Row],[Lvl]:[Paper Description]])</f>
        <v>2XJ8R0444N480FRL LOYOLA ED CORR 2 48 X 961102100DS009-5000FROSTY WHITE</v>
      </c>
      <c r="J5744" s="7">
        <f>COUNTIF(Paper_Reference[Duplicate Key],Paper_Reference[[#This Row],[Duplicate Key]])</f>
        <v>1</v>
      </c>
    </row>
    <row r="5745" spans="1:10">
      <c r="A5745" s="7">
        <v>2</v>
      </c>
      <c r="B5745" s="8" t="s">
        <v>8124</v>
      </c>
      <c r="C5745" s="8" t="s">
        <v>7240</v>
      </c>
      <c r="D5745" s="7">
        <v>1</v>
      </c>
      <c r="E5745" s="7">
        <v>10</v>
      </c>
      <c r="F5745" s="7">
        <v>2</v>
      </c>
      <c r="G5745" s="8" t="s">
        <v>6710</v>
      </c>
      <c r="H5745" s="8" t="s">
        <v>5691</v>
      </c>
      <c r="I5745" s="7" t="str">
        <f>_xlfn.CONCAT(Paper_Reference[[#This Row],[Lvl]:[Paper Description]])</f>
        <v>2XJ8R0444SD480FRL LOYOLA ED CORR 2 48 X 961102100DS009-5000FROSTY WHITE</v>
      </c>
      <c r="J5745" s="7">
        <f>COUNTIF(Paper_Reference[Duplicate Key],Paper_Reference[[#This Row],[Duplicate Key]])</f>
        <v>1</v>
      </c>
    </row>
    <row r="5746" spans="1:10">
      <c r="A5746" s="7">
        <v>2</v>
      </c>
      <c r="B5746" s="8" t="s">
        <v>6614</v>
      </c>
      <c r="C5746" s="8" t="s">
        <v>6085</v>
      </c>
      <c r="D5746" s="7">
        <v>1</v>
      </c>
      <c r="E5746" s="7">
        <v>10</v>
      </c>
      <c r="F5746" s="7">
        <v>2</v>
      </c>
      <c r="G5746" s="8" t="s">
        <v>5690</v>
      </c>
      <c r="H5746" s="8" t="s">
        <v>5691</v>
      </c>
      <c r="I5746" s="7" t="str">
        <f>_xlfn.CONCAT(Paper_Reference[[#This Row],[Lvl]:[Paper Description]])</f>
        <v>2XJ8R0447N580FRL OGGI PIZA II 60 X 961102100DS009-6200FROSTY WHITE</v>
      </c>
      <c r="J5746" s="7">
        <f>COUNTIF(Paper_Reference[Duplicate Key],Paper_Reference[[#This Row],[Duplicate Key]])</f>
        <v>1</v>
      </c>
    </row>
    <row r="5747" spans="1:10">
      <c r="A5747" s="7">
        <v>2</v>
      </c>
      <c r="B5747" s="8" t="s">
        <v>6615</v>
      </c>
      <c r="C5747" s="8" t="s">
        <v>6085</v>
      </c>
      <c r="D5747" s="7">
        <v>1</v>
      </c>
      <c r="E5747" s="7">
        <v>10</v>
      </c>
      <c r="F5747" s="7">
        <v>2</v>
      </c>
      <c r="G5747" s="8" t="s">
        <v>5690</v>
      </c>
      <c r="H5747" s="8" t="s">
        <v>5691</v>
      </c>
      <c r="I5747" s="7" t="str">
        <f>_xlfn.CONCAT(Paper_Reference[[#This Row],[Lvl]:[Paper Description]])</f>
        <v>2XJ8R0447SD580FRL OGGI PIZA II 60 X 961102100DS009-6200FROSTY WHITE</v>
      </c>
      <c r="J5747" s="7">
        <f>COUNTIF(Paper_Reference[Duplicate Key],Paper_Reference[[#This Row],[Duplicate Key]])</f>
        <v>1</v>
      </c>
    </row>
    <row r="5748" spans="1:10">
      <c r="A5748" s="7">
        <v>2</v>
      </c>
      <c r="B5748" s="8" t="s">
        <v>8125</v>
      </c>
      <c r="C5748" s="8" t="s">
        <v>7241</v>
      </c>
      <c r="D5748" s="7">
        <v>1</v>
      </c>
      <c r="E5748" s="7">
        <v>10</v>
      </c>
      <c r="F5748" s="7">
        <v>2</v>
      </c>
      <c r="G5748" s="8" t="s">
        <v>6710</v>
      </c>
      <c r="H5748" s="8" t="s">
        <v>5691</v>
      </c>
      <c r="I5748" s="7" t="str">
        <f>_xlfn.CONCAT(Paper_Reference[[#This Row],[Lvl]:[Paper Description]])</f>
        <v>2XJ8R0448N480FRL NE METRO GRN LEAF 48X961102100DS009-5000FROSTY WHITE</v>
      </c>
      <c r="J5748" s="7">
        <f>COUNTIF(Paper_Reference[Duplicate Key],Paper_Reference[[#This Row],[Duplicate Key]])</f>
        <v>1</v>
      </c>
    </row>
    <row r="5749" spans="1:10">
      <c r="A5749" s="7">
        <v>2</v>
      </c>
      <c r="B5749" s="8" t="s">
        <v>8126</v>
      </c>
      <c r="C5749" s="8" t="s">
        <v>7241</v>
      </c>
      <c r="D5749" s="7">
        <v>1</v>
      </c>
      <c r="E5749" s="7">
        <v>10</v>
      </c>
      <c r="F5749" s="7">
        <v>2</v>
      </c>
      <c r="G5749" s="8" t="s">
        <v>6710</v>
      </c>
      <c r="H5749" s="8" t="s">
        <v>5691</v>
      </c>
      <c r="I5749" s="7" t="str">
        <f>_xlfn.CONCAT(Paper_Reference[[#This Row],[Lvl]:[Paper Description]])</f>
        <v>2XJ8R0448SD480FRL NE METRO GRN LEAF 48X961102100DS009-5000FROSTY WHITE</v>
      </c>
      <c r="J5749" s="7">
        <f>COUNTIF(Paper_Reference[Duplicate Key],Paper_Reference[[#This Row],[Duplicate Key]])</f>
        <v>1</v>
      </c>
    </row>
    <row r="5750" spans="1:10">
      <c r="A5750" s="7">
        <v>2</v>
      </c>
      <c r="B5750" s="8" t="s">
        <v>8127</v>
      </c>
      <c r="C5750" s="8" t="s">
        <v>7242</v>
      </c>
      <c r="D5750" s="7">
        <v>1</v>
      </c>
      <c r="E5750" s="7">
        <v>10</v>
      </c>
      <c r="F5750" s="7">
        <v>2</v>
      </c>
      <c r="G5750" s="8" t="s">
        <v>6710</v>
      </c>
      <c r="H5750" s="8" t="s">
        <v>5691</v>
      </c>
      <c r="I5750" s="7" t="str">
        <f>_xlfn.CONCAT(Paper_Reference[[#This Row],[Lvl]:[Paper Description]])</f>
        <v>2XJ8R0449N480FRL NE METRO BLUE RIP 48X961102100DS009-5000FROSTY WHITE</v>
      </c>
      <c r="J5750" s="7">
        <f>COUNTIF(Paper_Reference[Duplicate Key],Paper_Reference[[#This Row],[Duplicate Key]])</f>
        <v>1</v>
      </c>
    </row>
    <row r="5751" spans="1:10">
      <c r="A5751" s="7">
        <v>2</v>
      </c>
      <c r="B5751" s="8" t="s">
        <v>8128</v>
      </c>
      <c r="C5751" s="8" t="s">
        <v>7242</v>
      </c>
      <c r="D5751" s="7">
        <v>1</v>
      </c>
      <c r="E5751" s="7">
        <v>10</v>
      </c>
      <c r="F5751" s="7">
        <v>2</v>
      </c>
      <c r="G5751" s="8" t="s">
        <v>6710</v>
      </c>
      <c r="H5751" s="8" t="s">
        <v>5691</v>
      </c>
      <c r="I5751" s="7" t="str">
        <f>_xlfn.CONCAT(Paper_Reference[[#This Row],[Lvl]:[Paper Description]])</f>
        <v>2XJ8R0449SD480FRL NE METRO BLUE RIP 48X961102100DS009-5000FROSTY WHITE</v>
      </c>
      <c r="J5751" s="7">
        <f>COUNTIF(Paper_Reference[Duplicate Key],Paper_Reference[[#This Row],[Duplicate Key]])</f>
        <v>1</v>
      </c>
    </row>
    <row r="5752" spans="1:10">
      <c r="A5752" s="7">
        <v>2</v>
      </c>
      <c r="B5752" s="8" t="s">
        <v>8129</v>
      </c>
      <c r="C5752" s="8" t="s">
        <v>7243</v>
      </c>
      <c r="D5752" s="7">
        <v>1</v>
      </c>
      <c r="E5752" s="7">
        <v>10</v>
      </c>
      <c r="F5752" s="7">
        <v>2</v>
      </c>
      <c r="G5752" s="8" t="s">
        <v>6710</v>
      </c>
      <c r="H5752" s="8" t="s">
        <v>5691</v>
      </c>
      <c r="I5752" s="7" t="str">
        <f>_xlfn.CONCAT(Paper_Reference[[#This Row],[Lvl]:[Paper Description]])</f>
        <v>2XJ8R0450N480FRL NE METRO YELO WHEAT 48X961102100DS009-5000FROSTY WHITE</v>
      </c>
      <c r="J5752" s="7">
        <f>COUNTIF(Paper_Reference[Duplicate Key],Paper_Reference[[#This Row],[Duplicate Key]])</f>
        <v>1</v>
      </c>
    </row>
    <row r="5753" spans="1:10">
      <c r="A5753" s="7">
        <v>2</v>
      </c>
      <c r="B5753" s="8" t="s">
        <v>8130</v>
      </c>
      <c r="C5753" s="8" t="s">
        <v>7243</v>
      </c>
      <c r="D5753" s="7">
        <v>1</v>
      </c>
      <c r="E5753" s="7">
        <v>10</v>
      </c>
      <c r="F5753" s="7">
        <v>2</v>
      </c>
      <c r="G5753" s="8" t="s">
        <v>6710</v>
      </c>
      <c r="H5753" s="8" t="s">
        <v>5691</v>
      </c>
      <c r="I5753" s="7" t="str">
        <f>_xlfn.CONCAT(Paper_Reference[[#This Row],[Lvl]:[Paper Description]])</f>
        <v>2XJ8R0450SD480FRL NE METRO YELO WHEAT 48X961102100DS009-5000FROSTY WHITE</v>
      </c>
      <c r="J5753" s="7">
        <f>COUNTIF(Paper_Reference[Duplicate Key],Paper_Reference[[#This Row],[Duplicate Key]])</f>
        <v>1</v>
      </c>
    </row>
    <row r="5754" spans="1:10">
      <c r="A5754" s="7">
        <v>2</v>
      </c>
      <c r="B5754" s="8" t="s">
        <v>8131</v>
      </c>
      <c r="C5754" s="8" t="s">
        <v>7244</v>
      </c>
      <c r="D5754" s="7">
        <v>1</v>
      </c>
      <c r="E5754" s="7">
        <v>10</v>
      </c>
      <c r="F5754" s="7">
        <v>2</v>
      </c>
      <c r="G5754" s="8" t="s">
        <v>6710</v>
      </c>
      <c r="H5754" s="8" t="s">
        <v>5691</v>
      </c>
      <c r="I5754" s="7" t="str">
        <f>_xlfn.CONCAT(Paper_Reference[[#This Row],[Lvl]:[Paper Description]])</f>
        <v>2XJ8R0451N480FRL NE METRO ORNG ROCK 48X961102100DS009-5000FROSTY WHITE</v>
      </c>
      <c r="J5754" s="7">
        <f>COUNTIF(Paper_Reference[Duplicate Key],Paper_Reference[[#This Row],[Duplicate Key]])</f>
        <v>1</v>
      </c>
    </row>
    <row r="5755" spans="1:10">
      <c r="A5755" s="7">
        <v>2</v>
      </c>
      <c r="B5755" s="8" t="s">
        <v>8132</v>
      </c>
      <c r="C5755" s="8" t="s">
        <v>7244</v>
      </c>
      <c r="D5755" s="7">
        <v>1</v>
      </c>
      <c r="E5755" s="7">
        <v>10</v>
      </c>
      <c r="F5755" s="7">
        <v>2</v>
      </c>
      <c r="G5755" s="8" t="s">
        <v>6710</v>
      </c>
      <c r="H5755" s="8" t="s">
        <v>5691</v>
      </c>
      <c r="I5755" s="7" t="str">
        <f>_xlfn.CONCAT(Paper_Reference[[#This Row],[Lvl]:[Paper Description]])</f>
        <v>2XJ8R0451SD480FRL NE METRO ORNG ROCK 48X961102100DS009-5000FROSTY WHITE</v>
      </c>
      <c r="J5755" s="7">
        <f>COUNTIF(Paper_Reference[Duplicate Key],Paper_Reference[[#This Row],[Duplicate Key]])</f>
        <v>1</v>
      </c>
    </row>
    <row r="5756" spans="1:10">
      <c r="A5756" s="7">
        <v>2</v>
      </c>
      <c r="B5756" s="8" t="s">
        <v>8133</v>
      </c>
      <c r="C5756" s="8" t="s">
        <v>7245</v>
      </c>
      <c r="D5756" s="7">
        <v>1</v>
      </c>
      <c r="E5756" s="7">
        <v>10</v>
      </c>
      <c r="F5756" s="7">
        <v>2</v>
      </c>
      <c r="G5756" s="8" t="s">
        <v>6710</v>
      </c>
      <c r="H5756" s="8" t="s">
        <v>5691</v>
      </c>
      <c r="I5756" s="7" t="str">
        <f>_xlfn.CONCAT(Paper_Reference[[#This Row],[Lvl]:[Paper Description]])</f>
        <v>2XJ8R0454N480FRL BERKLEY N/STATION 48 X 961102100DS009-5000FROSTY WHITE</v>
      </c>
      <c r="J5756" s="7">
        <f>COUNTIF(Paper_Reference[Duplicate Key],Paper_Reference[[#This Row],[Duplicate Key]])</f>
        <v>1</v>
      </c>
    </row>
    <row r="5757" spans="1:10">
      <c r="A5757" s="7">
        <v>2</v>
      </c>
      <c r="B5757" s="8" t="s">
        <v>8134</v>
      </c>
      <c r="C5757" s="8" t="s">
        <v>7245</v>
      </c>
      <c r="D5757" s="7">
        <v>1</v>
      </c>
      <c r="E5757" s="7">
        <v>10</v>
      </c>
      <c r="F5757" s="7">
        <v>2</v>
      </c>
      <c r="G5757" s="8" t="s">
        <v>6710</v>
      </c>
      <c r="H5757" s="8" t="s">
        <v>5691</v>
      </c>
      <c r="I5757" s="7" t="str">
        <f>_xlfn.CONCAT(Paper_Reference[[#This Row],[Lvl]:[Paper Description]])</f>
        <v>2XJ8R0454SD480FRL BERKLEY N/STATION 48 X 961102100DS009-5000FROSTY WHITE</v>
      </c>
      <c r="J5757" s="7">
        <f>COUNTIF(Paper_Reference[Duplicate Key],Paper_Reference[[#This Row],[Duplicate Key]])</f>
        <v>1</v>
      </c>
    </row>
    <row r="5758" spans="1:10">
      <c r="A5758" s="7">
        <v>2</v>
      </c>
      <c r="B5758" s="8" t="s">
        <v>8135</v>
      </c>
      <c r="C5758" s="8" t="s">
        <v>7246</v>
      </c>
      <c r="D5758" s="7">
        <v>1</v>
      </c>
      <c r="E5758" s="7">
        <v>10</v>
      </c>
      <c r="F5758" s="7">
        <v>2</v>
      </c>
      <c r="G5758" s="8" t="s">
        <v>6710</v>
      </c>
      <c r="H5758" s="8" t="s">
        <v>5691</v>
      </c>
      <c r="I5758" s="7" t="str">
        <f>_xlfn.CONCAT(Paper_Reference[[#This Row],[Lvl]:[Paper Description]])</f>
        <v>2XJ8R0455N480FRL BERKLEY NICU NORTH 48 X 961102100DS009-5000FROSTY WHITE</v>
      </c>
      <c r="J5758" s="7">
        <f>COUNTIF(Paper_Reference[Duplicate Key],Paper_Reference[[#This Row],[Duplicate Key]])</f>
        <v>1</v>
      </c>
    </row>
    <row r="5759" spans="1:10">
      <c r="A5759" s="7">
        <v>2</v>
      </c>
      <c r="B5759" s="8" t="s">
        <v>8136</v>
      </c>
      <c r="C5759" s="8" t="s">
        <v>7246</v>
      </c>
      <c r="D5759" s="7">
        <v>1</v>
      </c>
      <c r="E5759" s="7">
        <v>10</v>
      </c>
      <c r="F5759" s="7">
        <v>2</v>
      </c>
      <c r="G5759" s="8" t="s">
        <v>6710</v>
      </c>
      <c r="H5759" s="8" t="s">
        <v>5691</v>
      </c>
      <c r="I5759" s="7" t="str">
        <f>_xlfn.CONCAT(Paper_Reference[[#This Row],[Lvl]:[Paper Description]])</f>
        <v>2XJ8R0455SD480FRL BERKLEY NICU NORTH 48 X 961102100DS009-5000FROSTY WHITE</v>
      </c>
      <c r="J5759" s="7">
        <f>COUNTIF(Paper_Reference[Duplicate Key],Paper_Reference[[#This Row],[Duplicate Key]])</f>
        <v>1</v>
      </c>
    </row>
    <row r="5760" spans="1:10">
      <c r="A5760" s="7">
        <v>2</v>
      </c>
      <c r="B5760" s="8" t="s">
        <v>8137</v>
      </c>
      <c r="C5760" s="8" t="s">
        <v>7247</v>
      </c>
      <c r="D5760" s="7">
        <v>1</v>
      </c>
      <c r="E5760" s="7">
        <v>10</v>
      </c>
      <c r="F5760" s="7">
        <v>2</v>
      </c>
      <c r="G5760" s="8" t="s">
        <v>6710</v>
      </c>
      <c r="H5760" s="8" t="s">
        <v>5691</v>
      </c>
      <c r="I5760" s="7" t="str">
        <f>_xlfn.CONCAT(Paper_Reference[[#This Row],[Lvl]:[Paper Description]])</f>
        <v>2XJ8R0456N480FRL BERKLEY NICU SOUTH 48 X 961102100DS009-5000FROSTY WHITE</v>
      </c>
      <c r="J5760" s="7">
        <f>COUNTIF(Paper_Reference[Duplicate Key],Paper_Reference[[#This Row],[Duplicate Key]])</f>
        <v>1</v>
      </c>
    </row>
    <row r="5761" spans="1:10">
      <c r="A5761" s="7">
        <v>2</v>
      </c>
      <c r="B5761" s="8" t="s">
        <v>8138</v>
      </c>
      <c r="C5761" s="8" t="s">
        <v>7247</v>
      </c>
      <c r="D5761" s="7">
        <v>1</v>
      </c>
      <c r="E5761" s="7">
        <v>10</v>
      </c>
      <c r="F5761" s="7">
        <v>2</v>
      </c>
      <c r="G5761" s="8" t="s">
        <v>6710</v>
      </c>
      <c r="H5761" s="8" t="s">
        <v>5691</v>
      </c>
      <c r="I5761" s="7" t="str">
        <f>_xlfn.CONCAT(Paper_Reference[[#This Row],[Lvl]:[Paper Description]])</f>
        <v>2XJ8R0456SD480FRL BERKLEY NICU SOUTH 48 X 961102100DS009-5000FROSTY WHITE</v>
      </c>
      <c r="J5761" s="7">
        <f>COUNTIF(Paper_Reference[Duplicate Key],Paper_Reference[[#This Row],[Duplicate Key]])</f>
        <v>1</v>
      </c>
    </row>
    <row r="5762" spans="1:10">
      <c r="A5762" s="7">
        <v>2</v>
      </c>
      <c r="B5762" s="8" t="s">
        <v>8139</v>
      </c>
      <c r="C5762" s="8" t="s">
        <v>7248</v>
      </c>
      <c r="D5762" s="7">
        <v>1</v>
      </c>
      <c r="E5762" s="7">
        <v>10</v>
      </c>
      <c r="F5762" s="7">
        <v>2</v>
      </c>
      <c r="G5762" s="8" t="s">
        <v>6710</v>
      </c>
      <c r="H5762" s="8" t="s">
        <v>5691</v>
      </c>
      <c r="I5762" s="7" t="str">
        <f>_xlfn.CONCAT(Paper_Reference[[#This Row],[Lvl]:[Paper Description]])</f>
        <v>2XJ8R0457N480FRL BERKLEY INFANT RM 48 X 961102100DS009-5000FROSTY WHITE</v>
      </c>
      <c r="J5762" s="7">
        <f>COUNTIF(Paper_Reference[Duplicate Key],Paper_Reference[[#This Row],[Duplicate Key]])</f>
        <v>1</v>
      </c>
    </row>
    <row r="5763" spans="1:10">
      <c r="A5763" s="7">
        <v>2</v>
      </c>
      <c r="B5763" s="8" t="s">
        <v>8140</v>
      </c>
      <c r="C5763" s="8" t="s">
        <v>7248</v>
      </c>
      <c r="D5763" s="7">
        <v>1</v>
      </c>
      <c r="E5763" s="7">
        <v>10</v>
      </c>
      <c r="F5763" s="7">
        <v>2</v>
      </c>
      <c r="G5763" s="8" t="s">
        <v>6710</v>
      </c>
      <c r="H5763" s="8" t="s">
        <v>5691</v>
      </c>
      <c r="I5763" s="7" t="str">
        <f>_xlfn.CONCAT(Paper_Reference[[#This Row],[Lvl]:[Paper Description]])</f>
        <v>2XJ8R0457SD480FRL BERKLEY INFANT RM 48 X 961102100DS009-5000FROSTY WHITE</v>
      </c>
      <c r="J5763" s="7">
        <f>COUNTIF(Paper_Reference[Duplicate Key],Paper_Reference[[#This Row],[Duplicate Key]])</f>
        <v>1</v>
      </c>
    </row>
    <row r="5764" spans="1:10">
      <c r="A5764" s="7">
        <v>2</v>
      </c>
      <c r="B5764" s="8" t="s">
        <v>8141</v>
      </c>
      <c r="C5764" s="8" t="s">
        <v>7249</v>
      </c>
      <c r="D5764" s="7">
        <v>1</v>
      </c>
      <c r="E5764" s="7">
        <v>10</v>
      </c>
      <c r="F5764" s="7">
        <v>2</v>
      </c>
      <c r="G5764" s="8" t="s">
        <v>6710</v>
      </c>
      <c r="H5764" s="8" t="s">
        <v>5691</v>
      </c>
      <c r="I5764" s="7" t="str">
        <f>_xlfn.CONCAT(Paper_Reference[[#This Row],[Lvl]:[Paper Description]])</f>
        <v>2XJ8R0458N480FRL BERKLEY ISOLATION RM 48 X1102100DS009-5000FROSTY WHITE</v>
      </c>
      <c r="J5764" s="7">
        <f>COUNTIF(Paper_Reference[Duplicate Key],Paper_Reference[[#This Row],[Duplicate Key]])</f>
        <v>1</v>
      </c>
    </row>
    <row r="5765" spans="1:10">
      <c r="A5765" s="7">
        <v>2</v>
      </c>
      <c r="B5765" s="8" t="s">
        <v>8142</v>
      </c>
      <c r="C5765" s="8" t="s">
        <v>7249</v>
      </c>
      <c r="D5765" s="7">
        <v>1</v>
      </c>
      <c r="E5765" s="7">
        <v>10</v>
      </c>
      <c r="F5765" s="7">
        <v>2</v>
      </c>
      <c r="G5765" s="8" t="s">
        <v>6710</v>
      </c>
      <c r="H5765" s="8" t="s">
        <v>5691</v>
      </c>
      <c r="I5765" s="7" t="str">
        <f>_xlfn.CONCAT(Paper_Reference[[#This Row],[Lvl]:[Paper Description]])</f>
        <v>2XJ8R0458SD480FRL BERKLEY ISOLATION RM 48 X1102100DS009-5000FROSTY WHITE</v>
      </c>
      <c r="J5765" s="7">
        <f>COUNTIF(Paper_Reference[Duplicate Key],Paper_Reference[[#This Row],[Duplicate Key]])</f>
        <v>1</v>
      </c>
    </row>
    <row r="5766" spans="1:10">
      <c r="A5766" s="7">
        <v>2</v>
      </c>
      <c r="B5766" s="8" t="s">
        <v>6616</v>
      </c>
      <c r="C5766" s="8" t="s">
        <v>6086</v>
      </c>
      <c r="D5766" s="7">
        <v>1</v>
      </c>
      <c r="E5766" s="7">
        <v>10</v>
      </c>
      <c r="F5766" s="7">
        <v>2</v>
      </c>
      <c r="G5766" s="8" t="s">
        <v>5690</v>
      </c>
      <c r="H5766" s="8" t="s">
        <v>5691</v>
      </c>
      <c r="I5766" s="7" t="str">
        <f>_xlfn.CONCAT(Paper_Reference[[#This Row],[Lvl]:[Paper Description]])</f>
        <v>2XJ8R0463N500FRL SCH LEVEL 4-1 MURAL 60 X 11102100DS009-6200FROSTY WHITE</v>
      </c>
      <c r="J5766" s="7">
        <f>COUNTIF(Paper_Reference[Duplicate Key],Paper_Reference[[#This Row],[Duplicate Key]])</f>
        <v>1</v>
      </c>
    </row>
    <row r="5767" spans="1:10">
      <c r="A5767" s="7">
        <v>2</v>
      </c>
      <c r="B5767" s="8" t="s">
        <v>6617</v>
      </c>
      <c r="C5767" s="8" t="s">
        <v>6086</v>
      </c>
      <c r="D5767" s="7">
        <v>1</v>
      </c>
      <c r="E5767" s="7">
        <v>10</v>
      </c>
      <c r="F5767" s="7">
        <v>2</v>
      </c>
      <c r="G5767" s="8" t="s">
        <v>5690</v>
      </c>
      <c r="H5767" s="8" t="s">
        <v>5691</v>
      </c>
      <c r="I5767" s="7" t="str">
        <f>_xlfn.CONCAT(Paper_Reference[[#This Row],[Lvl]:[Paper Description]])</f>
        <v>2XJ8R0463SD500FRL SCH LEVEL 4-1 MURAL 60 X 11102100DS009-6200FROSTY WHITE</v>
      </c>
      <c r="J5767" s="7">
        <f>COUNTIF(Paper_Reference[Duplicate Key],Paper_Reference[[#This Row],[Duplicate Key]])</f>
        <v>1</v>
      </c>
    </row>
    <row r="5768" spans="1:10">
      <c r="A5768" s="7">
        <v>2</v>
      </c>
      <c r="B5768" s="8" t="s">
        <v>6618</v>
      </c>
      <c r="C5768" s="8" t="s">
        <v>6087</v>
      </c>
      <c r="D5768" s="7">
        <v>1</v>
      </c>
      <c r="E5768" s="7">
        <v>10</v>
      </c>
      <c r="F5768" s="7">
        <v>2</v>
      </c>
      <c r="G5768" s="8" t="s">
        <v>5690</v>
      </c>
      <c r="H5768" s="8" t="s">
        <v>5691</v>
      </c>
      <c r="I5768" s="7" t="str">
        <f>_xlfn.CONCAT(Paper_Reference[[#This Row],[Lvl]:[Paper Description]])</f>
        <v>2XJ8R0464N500FRL SCH LEVEL 4-2A MURAL 60 X1102100DS009-6200FROSTY WHITE</v>
      </c>
      <c r="J5768" s="7">
        <f>COUNTIF(Paper_Reference[Duplicate Key],Paper_Reference[[#This Row],[Duplicate Key]])</f>
        <v>1</v>
      </c>
    </row>
    <row r="5769" spans="1:10">
      <c r="A5769" s="7">
        <v>2</v>
      </c>
      <c r="B5769" s="8" t="s">
        <v>6619</v>
      </c>
      <c r="C5769" s="8" t="s">
        <v>6087</v>
      </c>
      <c r="D5769" s="7">
        <v>1</v>
      </c>
      <c r="E5769" s="7">
        <v>10</v>
      </c>
      <c r="F5769" s="7">
        <v>2</v>
      </c>
      <c r="G5769" s="8" t="s">
        <v>5690</v>
      </c>
      <c r="H5769" s="8" t="s">
        <v>5691</v>
      </c>
      <c r="I5769" s="7" t="str">
        <f>_xlfn.CONCAT(Paper_Reference[[#This Row],[Lvl]:[Paper Description]])</f>
        <v>2XJ8R0464SD500FRL SCH LEVEL 4-2A MURAL 60 X1102100DS009-6200FROSTY WHITE</v>
      </c>
      <c r="J5769" s="7">
        <f>COUNTIF(Paper_Reference[Duplicate Key],Paper_Reference[[#This Row],[Duplicate Key]])</f>
        <v>1</v>
      </c>
    </row>
    <row r="5770" spans="1:10">
      <c r="A5770" s="7">
        <v>2</v>
      </c>
      <c r="B5770" s="8" t="s">
        <v>6620</v>
      </c>
      <c r="C5770" s="8" t="s">
        <v>6088</v>
      </c>
      <c r="D5770" s="7">
        <v>1</v>
      </c>
      <c r="E5770" s="7">
        <v>10</v>
      </c>
      <c r="F5770" s="7">
        <v>2</v>
      </c>
      <c r="G5770" s="8" t="s">
        <v>5690</v>
      </c>
      <c r="H5770" s="8" t="s">
        <v>5691</v>
      </c>
      <c r="I5770" s="7" t="str">
        <f>_xlfn.CONCAT(Paper_Reference[[#This Row],[Lvl]:[Paper Description]])</f>
        <v>2XJ8R0465N500FRL SCH LEVEL 4-2B MURAL 60 X1102100DS009-6200FROSTY WHITE</v>
      </c>
      <c r="J5770" s="7">
        <f>COUNTIF(Paper_Reference[Duplicate Key],Paper_Reference[[#This Row],[Duplicate Key]])</f>
        <v>1</v>
      </c>
    </row>
    <row r="5771" spans="1:10">
      <c r="A5771" s="7">
        <v>2</v>
      </c>
      <c r="B5771" s="8" t="s">
        <v>6621</v>
      </c>
      <c r="C5771" s="8" t="s">
        <v>6088</v>
      </c>
      <c r="D5771" s="7">
        <v>1</v>
      </c>
      <c r="E5771" s="7">
        <v>10</v>
      </c>
      <c r="F5771" s="7">
        <v>2</v>
      </c>
      <c r="G5771" s="8" t="s">
        <v>5690</v>
      </c>
      <c r="H5771" s="8" t="s">
        <v>5691</v>
      </c>
      <c r="I5771" s="7" t="str">
        <f>_xlfn.CONCAT(Paper_Reference[[#This Row],[Lvl]:[Paper Description]])</f>
        <v>2XJ8R0465SD500FRL SCH LEVEL 4-2B MURAL 60 X1102100DS009-6200FROSTY WHITE</v>
      </c>
      <c r="J5771" s="7">
        <f>COUNTIF(Paper_Reference[Duplicate Key],Paper_Reference[[#This Row],[Duplicate Key]])</f>
        <v>1</v>
      </c>
    </row>
    <row r="5772" spans="1:10">
      <c r="A5772" s="7">
        <v>2</v>
      </c>
      <c r="B5772" s="8" t="s">
        <v>6622</v>
      </c>
      <c r="C5772" s="8" t="s">
        <v>6089</v>
      </c>
      <c r="D5772" s="7">
        <v>1</v>
      </c>
      <c r="E5772" s="7">
        <v>10</v>
      </c>
      <c r="F5772" s="7">
        <v>2</v>
      </c>
      <c r="G5772" s="8" t="s">
        <v>5690</v>
      </c>
      <c r="H5772" s="8" t="s">
        <v>5691</v>
      </c>
      <c r="I5772" s="7" t="str">
        <f>_xlfn.CONCAT(Paper_Reference[[#This Row],[Lvl]:[Paper Description]])</f>
        <v>2XJ8R0466N500FRL SCH LEVEL 4-3 MURAL 60 X 11102100DS009-6200FROSTY WHITE</v>
      </c>
      <c r="J5772" s="7">
        <f>COUNTIF(Paper_Reference[Duplicate Key],Paper_Reference[[#This Row],[Duplicate Key]])</f>
        <v>1</v>
      </c>
    </row>
    <row r="5773" spans="1:10">
      <c r="A5773" s="7">
        <v>2</v>
      </c>
      <c r="B5773" s="8" t="s">
        <v>6623</v>
      </c>
      <c r="C5773" s="8" t="s">
        <v>6089</v>
      </c>
      <c r="D5773" s="7">
        <v>1</v>
      </c>
      <c r="E5773" s="7">
        <v>10</v>
      </c>
      <c r="F5773" s="7">
        <v>2</v>
      </c>
      <c r="G5773" s="8" t="s">
        <v>5690</v>
      </c>
      <c r="H5773" s="8" t="s">
        <v>5691</v>
      </c>
      <c r="I5773" s="7" t="str">
        <f>_xlfn.CONCAT(Paper_Reference[[#This Row],[Lvl]:[Paper Description]])</f>
        <v>2XJ8R0466SD500FRL SCH LEVEL 4-3 MURAL 60 X 11102100DS009-6200FROSTY WHITE</v>
      </c>
      <c r="J5773" s="7">
        <f>COUNTIF(Paper_Reference[Duplicate Key],Paper_Reference[[#This Row],[Duplicate Key]])</f>
        <v>1</v>
      </c>
    </row>
    <row r="5774" spans="1:10">
      <c r="A5774" s="7">
        <v>2</v>
      </c>
      <c r="B5774" s="8" t="s">
        <v>6624</v>
      </c>
      <c r="C5774" s="8" t="s">
        <v>6090</v>
      </c>
      <c r="D5774" s="7">
        <v>1</v>
      </c>
      <c r="E5774" s="7">
        <v>10</v>
      </c>
      <c r="F5774" s="7">
        <v>2</v>
      </c>
      <c r="G5774" s="8" t="s">
        <v>5690</v>
      </c>
      <c r="H5774" s="8" t="s">
        <v>5691</v>
      </c>
      <c r="I5774" s="7" t="str">
        <f>_xlfn.CONCAT(Paper_Reference[[#This Row],[Lvl]:[Paper Description]])</f>
        <v>2XJ8R0467N500FRL SCH LEVEL 4-4 MURAL 60 X 11102100DS009-6200FROSTY WHITE</v>
      </c>
      <c r="J5774" s="7">
        <f>COUNTIF(Paper_Reference[Duplicate Key],Paper_Reference[[#This Row],[Duplicate Key]])</f>
        <v>1</v>
      </c>
    </row>
    <row r="5775" spans="1:10">
      <c r="A5775" s="7">
        <v>2</v>
      </c>
      <c r="B5775" s="8" t="s">
        <v>6625</v>
      </c>
      <c r="C5775" s="8" t="s">
        <v>6090</v>
      </c>
      <c r="D5775" s="7">
        <v>1</v>
      </c>
      <c r="E5775" s="7">
        <v>10</v>
      </c>
      <c r="F5775" s="7">
        <v>2</v>
      </c>
      <c r="G5775" s="8" t="s">
        <v>5690</v>
      </c>
      <c r="H5775" s="8" t="s">
        <v>5691</v>
      </c>
      <c r="I5775" s="7" t="str">
        <f>_xlfn.CONCAT(Paper_Reference[[#This Row],[Lvl]:[Paper Description]])</f>
        <v>2XJ8R0467SD500FRL SCH LEVEL 4-4 MURAL 60 X 11102100DS009-6200FROSTY WHITE</v>
      </c>
      <c r="J5775" s="7">
        <f>COUNTIF(Paper_Reference[Duplicate Key],Paper_Reference[[#This Row],[Duplicate Key]])</f>
        <v>1</v>
      </c>
    </row>
    <row r="5776" spans="1:10">
      <c r="A5776" s="7">
        <v>2</v>
      </c>
      <c r="B5776" s="8" t="s">
        <v>6626</v>
      </c>
      <c r="C5776" s="8" t="s">
        <v>6091</v>
      </c>
      <c r="D5776" s="7">
        <v>1</v>
      </c>
      <c r="E5776" s="7">
        <v>10</v>
      </c>
      <c r="F5776" s="7">
        <v>2</v>
      </c>
      <c r="G5776" s="8" t="s">
        <v>5690</v>
      </c>
      <c r="H5776" s="8" t="s">
        <v>5691</v>
      </c>
      <c r="I5776" s="7" t="str">
        <f>_xlfn.CONCAT(Paper_Reference[[#This Row],[Lvl]:[Paper Description]])</f>
        <v>2XJ8R0468N500FRL SCH LEVEL 4-5 MURAL 60 X 11102100DS009-6200FROSTY WHITE</v>
      </c>
      <c r="J5776" s="7">
        <f>COUNTIF(Paper_Reference[Duplicate Key],Paper_Reference[[#This Row],[Duplicate Key]])</f>
        <v>1</v>
      </c>
    </row>
    <row r="5777" spans="1:10">
      <c r="A5777" s="7">
        <v>2</v>
      </c>
      <c r="B5777" s="8" t="s">
        <v>6627</v>
      </c>
      <c r="C5777" s="8" t="s">
        <v>6091</v>
      </c>
      <c r="D5777" s="7">
        <v>1</v>
      </c>
      <c r="E5777" s="7">
        <v>10</v>
      </c>
      <c r="F5777" s="7">
        <v>2</v>
      </c>
      <c r="G5777" s="8" t="s">
        <v>5690</v>
      </c>
      <c r="H5777" s="8" t="s">
        <v>5691</v>
      </c>
      <c r="I5777" s="7" t="str">
        <f>_xlfn.CONCAT(Paper_Reference[[#This Row],[Lvl]:[Paper Description]])</f>
        <v>2XJ8R0468SD500FRL SCH LEVEL 4-5 MURAL 60 X 11102100DS009-6200FROSTY WHITE</v>
      </c>
      <c r="J5777" s="7">
        <f>COUNTIF(Paper_Reference[Duplicate Key],Paper_Reference[[#This Row],[Duplicate Key]])</f>
        <v>1</v>
      </c>
    </row>
    <row r="5778" spans="1:10">
      <c r="A5778" s="7">
        <v>2</v>
      </c>
      <c r="B5778" s="8" t="s">
        <v>6628</v>
      </c>
      <c r="C5778" s="8" t="s">
        <v>6092</v>
      </c>
      <c r="D5778" s="7">
        <v>1</v>
      </c>
      <c r="E5778" s="7">
        <v>10</v>
      </c>
      <c r="F5778" s="7">
        <v>2</v>
      </c>
      <c r="G5778" s="8" t="s">
        <v>5690</v>
      </c>
      <c r="H5778" s="8" t="s">
        <v>5691</v>
      </c>
      <c r="I5778" s="7" t="str">
        <f>_xlfn.CONCAT(Paper_Reference[[#This Row],[Lvl]:[Paper Description]])</f>
        <v>2XJ8R0469N500FRL SCH LEVEL 5-1 MURAL 60 X 11102100DS009-6200FROSTY WHITE</v>
      </c>
      <c r="J5778" s="7">
        <f>COUNTIF(Paper_Reference[Duplicate Key],Paper_Reference[[#This Row],[Duplicate Key]])</f>
        <v>1</v>
      </c>
    </row>
    <row r="5779" spans="1:10">
      <c r="A5779" s="7">
        <v>2</v>
      </c>
      <c r="B5779" s="8" t="s">
        <v>6629</v>
      </c>
      <c r="C5779" s="8" t="s">
        <v>6092</v>
      </c>
      <c r="D5779" s="7">
        <v>1</v>
      </c>
      <c r="E5779" s="7">
        <v>10</v>
      </c>
      <c r="F5779" s="7">
        <v>2</v>
      </c>
      <c r="G5779" s="8" t="s">
        <v>5690</v>
      </c>
      <c r="H5779" s="8" t="s">
        <v>5691</v>
      </c>
      <c r="I5779" s="7" t="str">
        <f>_xlfn.CONCAT(Paper_Reference[[#This Row],[Lvl]:[Paper Description]])</f>
        <v>2XJ8R0469SD500FRL SCH LEVEL 5-1 MURAL 60 X 11102100DS009-6200FROSTY WHITE</v>
      </c>
      <c r="J5779" s="7">
        <f>COUNTIF(Paper_Reference[Duplicate Key],Paper_Reference[[#This Row],[Duplicate Key]])</f>
        <v>1</v>
      </c>
    </row>
    <row r="5780" spans="1:10">
      <c r="A5780" s="7">
        <v>2</v>
      </c>
      <c r="B5780" s="8" t="s">
        <v>6630</v>
      </c>
      <c r="C5780" s="8" t="s">
        <v>6093</v>
      </c>
      <c r="D5780" s="7">
        <v>1</v>
      </c>
      <c r="E5780" s="7">
        <v>10</v>
      </c>
      <c r="F5780" s="7">
        <v>2</v>
      </c>
      <c r="G5780" s="8" t="s">
        <v>5690</v>
      </c>
      <c r="H5780" s="8" t="s">
        <v>5691</v>
      </c>
      <c r="I5780" s="7" t="str">
        <f>_xlfn.CONCAT(Paper_Reference[[#This Row],[Lvl]:[Paper Description]])</f>
        <v>2XJ8R0470N500FRL SCH LEVEL 5-2A MURAL 60 X1102100DS009-6200FROSTY WHITE</v>
      </c>
      <c r="J5780" s="7">
        <f>COUNTIF(Paper_Reference[Duplicate Key],Paper_Reference[[#This Row],[Duplicate Key]])</f>
        <v>1</v>
      </c>
    </row>
    <row r="5781" spans="1:10">
      <c r="A5781" s="7">
        <v>2</v>
      </c>
      <c r="B5781" s="8" t="s">
        <v>6631</v>
      </c>
      <c r="C5781" s="8" t="s">
        <v>6093</v>
      </c>
      <c r="D5781" s="7">
        <v>1</v>
      </c>
      <c r="E5781" s="7">
        <v>10</v>
      </c>
      <c r="F5781" s="7">
        <v>2</v>
      </c>
      <c r="G5781" s="8" t="s">
        <v>5690</v>
      </c>
      <c r="H5781" s="8" t="s">
        <v>5691</v>
      </c>
      <c r="I5781" s="7" t="str">
        <f>_xlfn.CONCAT(Paper_Reference[[#This Row],[Lvl]:[Paper Description]])</f>
        <v>2XJ8R0470SD500FRL SCH LEVEL 5-2A MURAL 60 X1102100DS009-6200FROSTY WHITE</v>
      </c>
      <c r="J5781" s="7">
        <f>COUNTIF(Paper_Reference[Duplicate Key],Paper_Reference[[#This Row],[Duplicate Key]])</f>
        <v>1</v>
      </c>
    </row>
    <row r="5782" spans="1:10">
      <c r="A5782" s="7">
        <v>2</v>
      </c>
      <c r="B5782" s="8" t="s">
        <v>6632</v>
      </c>
      <c r="C5782" s="8" t="s">
        <v>6094</v>
      </c>
      <c r="D5782" s="7">
        <v>1</v>
      </c>
      <c r="E5782" s="7">
        <v>10</v>
      </c>
      <c r="F5782" s="7">
        <v>2</v>
      </c>
      <c r="G5782" s="8" t="s">
        <v>5690</v>
      </c>
      <c r="H5782" s="8" t="s">
        <v>5691</v>
      </c>
      <c r="I5782" s="7" t="str">
        <f>_xlfn.CONCAT(Paper_Reference[[#This Row],[Lvl]:[Paper Description]])</f>
        <v>2XJ8R0471N500FRL SCH LEVEL 5-2B MURAL 60 X1102100DS009-6200FROSTY WHITE</v>
      </c>
      <c r="J5782" s="7">
        <f>COUNTIF(Paper_Reference[Duplicate Key],Paper_Reference[[#This Row],[Duplicate Key]])</f>
        <v>1</v>
      </c>
    </row>
    <row r="5783" spans="1:10">
      <c r="A5783" s="7">
        <v>2</v>
      </c>
      <c r="B5783" s="8" t="s">
        <v>6633</v>
      </c>
      <c r="C5783" s="8" t="s">
        <v>6094</v>
      </c>
      <c r="D5783" s="7">
        <v>1</v>
      </c>
      <c r="E5783" s="7">
        <v>10</v>
      </c>
      <c r="F5783" s="7">
        <v>2</v>
      </c>
      <c r="G5783" s="8" t="s">
        <v>5690</v>
      </c>
      <c r="H5783" s="8" t="s">
        <v>5691</v>
      </c>
      <c r="I5783" s="7" t="str">
        <f>_xlfn.CONCAT(Paper_Reference[[#This Row],[Lvl]:[Paper Description]])</f>
        <v>2XJ8R0471SD500FRL SCH LEVEL 5-2B MURAL 60 X1102100DS009-6200FROSTY WHITE</v>
      </c>
      <c r="J5783" s="7">
        <f>COUNTIF(Paper_Reference[Duplicate Key],Paper_Reference[[#This Row],[Duplicate Key]])</f>
        <v>1</v>
      </c>
    </row>
    <row r="5784" spans="1:10">
      <c r="A5784" s="7">
        <v>2</v>
      </c>
      <c r="B5784" s="8" t="s">
        <v>6634</v>
      </c>
      <c r="C5784" s="8" t="s">
        <v>6095</v>
      </c>
      <c r="D5784" s="7">
        <v>1</v>
      </c>
      <c r="E5784" s="7">
        <v>10</v>
      </c>
      <c r="F5784" s="7">
        <v>2</v>
      </c>
      <c r="G5784" s="8" t="s">
        <v>5690</v>
      </c>
      <c r="H5784" s="8" t="s">
        <v>5691</v>
      </c>
      <c r="I5784" s="7" t="str">
        <f>_xlfn.CONCAT(Paper_Reference[[#This Row],[Lvl]:[Paper Description]])</f>
        <v>2XJ8R0472N500FRL SCH LEVEL 5-3 MURAL 60 X 11102100DS009-6200FROSTY WHITE</v>
      </c>
      <c r="J5784" s="7">
        <f>COUNTIF(Paper_Reference[Duplicate Key],Paper_Reference[[#This Row],[Duplicate Key]])</f>
        <v>1</v>
      </c>
    </row>
    <row r="5785" spans="1:10">
      <c r="A5785" s="7">
        <v>2</v>
      </c>
      <c r="B5785" s="8" t="s">
        <v>6635</v>
      </c>
      <c r="C5785" s="8" t="s">
        <v>6095</v>
      </c>
      <c r="D5785" s="7">
        <v>1</v>
      </c>
      <c r="E5785" s="7">
        <v>10</v>
      </c>
      <c r="F5785" s="7">
        <v>2</v>
      </c>
      <c r="G5785" s="8" t="s">
        <v>5690</v>
      </c>
      <c r="H5785" s="8" t="s">
        <v>5691</v>
      </c>
      <c r="I5785" s="7" t="str">
        <f>_xlfn.CONCAT(Paper_Reference[[#This Row],[Lvl]:[Paper Description]])</f>
        <v>2XJ8R0472SD500FRL SCH LEVEL 5-3 MURAL 60 X 11102100DS009-6200FROSTY WHITE</v>
      </c>
      <c r="J5785" s="7">
        <f>COUNTIF(Paper_Reference[Duplicate Key],Paper_Reference[[#This Row],[Duplicate Key]])</f>
        <v>1</v>
      </c>
    </row>
    <row r="5786" spans="1:10">
      <c r="A5786" s="7">
        <v>2</v>
      </c>
      <c r="B5786" s="8" t="s">
        <v>6636</v>
      </c>
      <c r="C5786" s="8" t="s">
        <v>6096</v>
      </c>
      <c r="D5786" s="7">
        <v>1</v>
      </c>
      <c r="E5786" s="7">
        <v>10</v>
      </c>
      <c r="F5786" s="7">
        <v>2</v>
      </c>
      <c r="G5786" s="8" t="s">
        <v>5690</v>
      </c>
      <c r="H5786" s="8" t="s">
        <v>5691</v>
      </c>
      <c r="I5786" s="7" t="str">
        <f>_xlfn.CONCAT(Paper_Reference[[#This Row],[Lvl]:[Paper Description]])</f>
        <v>2XJ8R0474N500FRL LEOMINSTER MURAL 60 X 1201102100DS009-6200FROSTY WHITE</v>
      </c>
      <c r="J5786" s="7">
        <f>COUNTIF(Paper_Reference[Duplicate Key],Paper_Reference[[#This Row],[Duplicate Key]])</f>
        <v>1</v>
      </c>
    </row>
    <row r="5787" spans="1:10">
      <c r="A5787" s="7">
        <v>2</v>
      </c>
      <c r="B5787" s="8" t="s">
        <v>6637</v>
      </c>
      <c r="C5787" s="8" t="s">
        <v>6096</v>
      </c>
      <c r="D5787" s="7">
        <v>1</v>
      </c>
      <c r="E5787" s="7">
        <v>10</v>
      </c>
      <c r="F5787" s="7">
        <v>2</v>
      </c>
      <c r="G5787" s="8" t="s">
        <v>5690</v>
      </c>
      <c r="H5787" s="8" t="s">
        <v>5691</v>
      </c>
      <c r="I5787" s="7" t="str">
        <f>_xlfn.CONCAT(Paper_Reference[[#This Row],[Lvl]:[Paper Description]])</f>
        <v>2XJ8R0474SD500FRL LEOMINSTER MURAL 60 X 1201102100DS009-6200FROSTY WHITE</v>
      </c>
      <c r="J5787" s="7">
        <f>COUNTIF(Paper_Reference[Duplicate Key],Paper_Reference[[#This Row],[Duplicate Key]])</f>
        <v>1</v>
      </c>
    </row>
    <row r="5788" spans="1:10">
      <c r="A5788" s="7">
        <v>2</v>
      </c>
      <c r="B5788" s="8" t="s">
        <v>6638</v>
      </c>
      <c r="C5788" s="8" t="s">
        <v>6097</v>
      </c>
      <c r="D5788" s="7">
        <v>1</v>
      </c>
      <c r="E5788" s="7">
        <v>10</v>
      </c>
      <c r="F5788" s="7">
        <v>2</v>
      </c>
      <c r="G5788" s="8" t="s">
        <v>5690</v>
      </c>
      <c r="H5788" s="8" t="s">
        <v>5691</v>
      </c>
      <c r="I5788" s="7" t="str">
        <f>_xlfn.CONCAT(Paper_Reference[[#This Row],[Lvl]:[Paper Description]])</f>
        <v>2XJ8R0479N580FRL CIVIC HOSP 4TH FLOOR 60 X1102100DS009-6200FROSTY WHITE</v>
      </c>
      <c r="J5788" s="7">
        <f>COUNTIF(Paper_Reference[Duplicate Key],Paper_Reference[[#This Row],[Duplicate Key]])</f>
        <v>1</v>
      </c>
    </row>
    <row r="5789" spans="1:10">
      <c r="A5789" s="7">
        <v>2</v>
      </c>
      <c r="B5789" s="8" t="s">
        <v>6639</v>
      </c>
      <c r="C5789" s="8" t="s">
        <v>6097</v>
      </c>
      <c r="D5789" s="7">
        <v>1</v>
      </c>
      <c r="E5789" s="7">
        <v>10</v>
      </c>
      <c r="F5789" s="7">
        <v>2</v>
      </c>
      <c r="G5789" s="8" t="s">
        <v>5690</v>
      </c>
      <c r="H5789" s="8" t="s">
        <v>5691</v>
      </c>
      <c r="I5789" s="7" t="str">
        <f>_xlfn.CONCAT(Paper_Reference[[#This Row],[Lvl]:[Paper Description]])</f>
        <v>2XJ8R0479SD580FRL CIVIC HOSP 4TH FLOOR 60 X1102100DS009-6200FROSTY WHITE</v>
      </c>
      <c r="J5789" s="7">
        <f>COUNTIF(Paper_Reference[Duplicate Key],Paper_Reference[[#This Row],[Duplicate Key]])</f>
        <v>1</v>
      </c>
    </row>
    <row r="5790" spans="1:10">
      <c r="A5790" s="7">
        <v>2</v>
      </c>
      <c r="B5790" s="8" t="s">
        <v>6640</v>
      </c>
      <c r="C5790" s="8" t="s">
        <v>6098</v>
      </c>
      <c r="D5790" s="7">
        <v>1</v>
      </c>
      <c r="E5790" s="7">
        <v>10</v>
      </c>
      <c r="F5790" s="7">
        <v>2</v>
      </c>
      <c r="G5790" s="8" t="s">
        <v>5690</v>
      </c>
      <c r="H5790" s="8" t="s">
        <v>5691</v>
      </c>
      <c r="I5790" s="7" t="str">
        <f>_xlfn.CONCAT(Paper_Reference[[#This Row],[Lvl]:[Paper Description]])</f>
        <v>2XJ8R0480N580FRL CHCH 5301 60 X 961102100DS009-6200FROSTY WHITE</v>
      </c>
      <c r="J5790" s="7">
        <f>COUNTIF(Paper_Reference[Duplicate Key],Paper_Reference[[#This Row],[Duplicate Key]])</f>
        <v>1</v>
      </c>
    </row>
    <row r="5791" spans="1:10">
      <c r="A5791" s="7">
        <v>2</v>
      </c>
      <c r="B5791" s="8" t="s">
        <v>6641</v>
      </c>
      <c r="C5791" s="8" t="s">
        <v>6098</v>
      </c>
      <c r="D5791" s="7">
        <v>1</v>
      </c>
      <c r="E5791" s="7">
        <v>10</v>
      </c>
      <c r="F5791" s="7">
        <v>2</v>
      </c>
      <c r="G5791" s="8" t="s">
        <v>5690</v>
      </c>
      <c r="H5791" s="8" t="s">
        <v>5691</v>
      </c>
      <c r="I5791" s="7" t="str">
        <f>_xlfn.CONCAT(Paper_Reference[[#This Row],[Lvl]:[Paper Description]])</f>
        <v>2XJ8R0480SD580FRL CHCH 5301 60 X 961102100DS009-6200FROSTY WHITE</v>
      </c>
      <c r="J5791" s="7">
        <f>COUNTIF(Paper_Reference[Duplicate Key],Paper_Reference[[#This Row],[Duplicate Key]])</f>
        <v>1</v>
      </c>
    </row>
    <row r="5792" spans="1:10">
      <c r="A5792" s="7">
        <v>2</v>
      </c>
      <c r="B5792" s="8" t="s">
        <v>8143</v>
      </c>
      <c r="C5792" s="8" t="s">
        <v>7250</v>
      </c>
      <c r="D5792" s="7">
        <v>1</v>
      </c>
      <c r="E5792" s="7">
        <v>10</v>
      </c>
      <c r="F5792" s="7">
        <v>2</v>
      </c>
      <c r="G5792" s="8" t="s">
        <v>6710</v>
      </c>
      <c r="H5792" s="8" t="s">
        <v>5691</v>
      </c>
      <c r="I5792" s="7" t="str">
        <f>_xlfn.CONCAT(Paper_Reference[[#This Row],[Lvl]:[Paper Description]])</f>
        <v>2XJ8R0481N480FRL CHCH 5309 EAST 48 X 961102100DS009-5000FROSTY WHITE</v>
      </c>
      <c r="J5792" s="7">
        <f>COUNTIF(Paper_Reference[Duplicate Key],Paper_Reference[[#This Row],[Duplicate Key]])</f>
        <v>1</v>
      </c>
    </row>
    <row r="5793" spans="1:10">
      <c r="A5793" s="7">
        <v>2</v>
      </c>
      <c r="B5793" s="8" t="s">
        <v>8144</v>
      </c>
      <c r="C5793" s="8" t="s">
        <v>7250</v>
      </c>
      <c r="D5793" s="7">
        <v>1</v>
      </c>
      <c r="E5793" s="7">
        <v>10</v>
      </c>
      <c r="F5793" s="7">
        <v>2</v>
      </c>
      <c r="G5793" s="8" t="s">
        <v>6710</v>
      </c>
      <c r="H5793" s="8" t="s">
        <v>5691</v>
      </c>
      <c r="I5793" s="7" t="str">
        <f>_xlfn.CONCAT(Paper_Reference[[#This Row],[Lvl]:[Paper Description]])</f>
        <v>2XJ8R0481SD480FRL CHCH 5309 EAST 48 X 961102100DS009-5000FROSTY WHITE</v>
      </c>
      <c r="J5793" s="7">
        <f>COUNTIF(Paper_Reference[Duplicate Key],Paper_Reference[[#This Row],[Duplicate Key]])</f>
        <v>1</v>
      </c>
    </row>
    <row r="5794" spans="1:10">
      <c r="A5794" s="7">
        <v>2</v>
      </c>
      <c r="B5794" s="8" t="s">
        <v>6642</v>
      </c>
      <c r="C5794" s="8" t="s">
        <v>6099</v>
      </c>
      <c r="D5794" s="7">
        <v>1</v>
      </c>
      <c r="E5794" s="7">
        <v>10</v>
      </c>
      <c r="F5794" s="7">
        <v>2</v>
      </c>
      <c r="G5794" s="8" t="s">
        <v>5690</v>
      </c>
      <c r="H5794" s="8" t="s">
        <v>5691</v>
      </c>
      <c r="I5794" s="7" t="str">
        <f>_xlfn.CONCAT(Paper_Reference[[#This Row],[Lvl]:[Paper Description]])</f>
        <v>2XJ8R0482N580FRL CORONADO SHORES 60 X 961102100DS009-6200FROSTY WHITE</v>
      </c>
      <c r="J5794" s="7">
        <f>COUNTIF(Paper_Reference[Duplicate Key],Paper_Reference[[#This Row],[Duplicate Key]])</f>
        <v>1</v>
      </c>
    </row>
    <row r="5795" spans="1:10">
      <c r="A5795" s="7">
        <v>2</v>
      </c>
      <c r="B5795" s="8" t="s">
        <v>6643</v>
      </c>
      <c r="C5795" s="8" t="s">
        <v>6099</v>
      </c>
      <c r="D5795" s="7">
        <v>1</v>
      </c>
      <c r="E5795" s="7">
        <v>10</v>
      </c>
      <c r="F5795" s="7">
        <v>2</v>
      </c>
      <c r="G5795" s="8" t="s">
        <v>5690</v>
      </c>
      <c r="H5795" s="8" t="s">
        <v>5691</v>
      </c>
      <c r="I5795" s="7" t="str">
        <f>_xlfn.CONCAT(Paper_Reference[[#This Row],[Lvl]:[Paper Description]])</f>
        <v>2XJ8R0482SD580FRL CORONADO SHORES 60 X 961102100DS009-6200FROSTY WHITE</v>
      </c>
      <c r="J5795" s="7">
        <f>COUNTIF(Paper_Reference[Duplicate Key],Paper_Reference[[#This Row],[Duplicate Key]])</f>
        <v>1</v>
      </c>
    </row>
    <row r="5796" spans="1:10">
      <c r="A5796" s="7">
        <v>2</v>
      </c>
      <c r="B5796" s="8" t="s">
        <v>8145</v>
      </c>
      <c r="C5796" s="8" t="s">
        <v>7251</v>
      </c>
      <c r="D5796" s="7">
        <v>1</v>
      </c>
      <c r="E5796" s="7">
        <v>10</v>
      </c>
      <c r="F5796" s="7">
        <v>2</v>
      </c>
      <c r="G5796" s="8" t="s">
        <v>6710</v>
      </c>
      <c r="H5796" s="8" t="s">
        <v>5691</v>
      </c>
      <c r="I5796" s="7" t="str">
        <f>_xlfn.CONCAT(Paper_Reference[[#This Row],[Lvl]:[Paper Description]])</f>
        <v>2XJ8R0485N480FRL HARDIN HOSPITAL 48 X 961102100DS009-5000FROSTY WHITE</v>
      </c>
      <c r="J5796" s="7">
        <f>COUNTIF(Paper_Reference[Duplicate Key],Paper_Reference[[#This Row],[Duplicate Key]])</f>
        <v>1</v>
      </c>
    </row>
    <row r="5797" spans="1:10">
      <c r="A5797" s="7">
        <v>2</v>
      </c>
      <c r="B5797" s="8" t="s">
        <v>8146</v>
      </c>
      <c r="C5797" s="8" t="s">
        <v>7251</v>
      </c>
      <c r="D5797" s="7">
        <v>1</v>
      </c>
      <c r="E5797" s="7">
        <v>10</v>
      </c>
      <c r="F5797" s="7">
        <v>2</v>
      </c>
      <c r="G5797" s="8" t="s">
        <v>6710</v>
      </c>
      <c r="H5797" s="8" t="s">
        <v>5691</v>
      </c>
      <c r="I5797" s="7" t="str">
        <f>_xlfn.CONCAT(Paper_Reference[[#This Row],[Lvl]:[Paper Description]])</f>
        <v>2XJ8R0485SD480FRL HARDIN HOSPITAL 48 X 961102100DS009-5000FROSTY WHITE</v>
      </c>
      <c r="J5797" s="7">
        <f>COUNTIF(Paper_Reference[Duplicate Key],Paper_Reference[[#This Row],[Duplicate Key]])</f>
        <v>1</v>
      </c>
    </row>
    <row r="5798" spans="1:10">
      <c r="A5798" s="7">
        <v>2</v>
      </c>
      <c r="B5798" s="8" t="s">
        <v>6644</v>
      </c>
      <c r="C5798" s="8" t="s">
        <v>6100</v>
      </c>
      <c r="D5798" s="7">
        <v>1</v>
      </c>
      <c r="E5798" s="7">
        <v>10</v>
      </c>
      <c r="F5798" s="7">
        <v>2</v>
      </c>
      <c r="G5798" s="8" t="s">
        <v>5690</v>
      </c>
      <c r="H5798" s="8" t="s">
        <v>5691</v>
      </c>
      <c r="I5798" s="7" t="str">
        <f>_xlfn.CONCAT(Paper_Reference[[#This Row],[Lvl]:[Paper Description]])</f>
        <v>2XJ8R0486N580FRL CHCH 5301 SOUTH 60 X 961102100DS009-6200FROSTY WHITE</v>
      </c>
      <c r="J5798" s="7">
        <f>COUNTIF(Paper_Reference[Duplicate Key],Paper_Reference[[#This Row],[Duplicate Key]])</f>
        <v>1</v>
      </c>
    </row>
    <row r="5799" spans="1:10">
      <c r="A5799" s="7">
        <v>2</v>
      </c>
      <c r="B5799" s="8" t="s">
        <v>6645</v>
      </c>
      <c r="C5799" s="8" t="s">
        <v>6100</v>
      </c>
      <c r="D5799" s="7">
        <v>1</v>
      </c>
      <c r="E5799" s="7">
        <v>10</v>
      </c>
      <c r="F5799" s="7">
        <v>2</v>
      </c>
      <c r="G5799" s="8" t="s">
        <v>5690</v>
      </c>
      <c r="H5799" s="8" t="s">
        <v>5691</v>
      </c>
      <c r="I5799" s="7" t="str">
        <f>_xlfn.CONCAT(Paper_Reference[[#This Row],[Lvl]:[Paper Description]])</f>
        <v>2XJ8R0486SD580FRL CHCH 5301 SOUTH 60 X 961102100DS009-6200FROSTY WHITE</v>
      </c>
      <c r="J5799" s="7">
        <f>COUNTIF(Paper_Reference[Duplicate Key],Paper_Reference[[#This Row],[Duplicate Key]])</f>
        <v>1</v>
      </c>
    </row>
    <row r="5800" spans="1:10">
      <c r="A5800" s="7">
        <v>2</v>
      </c>
      <c r="B5800" s="8" t="s">
        <v>8147</v>
      </c>
      <c r="C5800" s="8" t="s">
        <v>7252</v>
      </c>
      <c r="D5800" s="7">
        <v>1</v>
      </c>
      <c r="E5800" s="7">
        <v>10</v>
      </c>
      <c r="F5800" s="7">
        <v>2</v>
      </c>
      <c r="G5800" s="8" t="s">
        <v>6710</v>
      </c>
      <c r="H5800" s="8" t="s">
        <v>5691</v>
      </c>
      <c r="I5800" s="7" t="str">
        <f>_xlfn.CONCAT(Paper_Reference[[#This Row],[Lvl]:[Paper Description]])</f>
        <v>2XJ8R0488N400FRL CHOC 5TH FLOOR 48 X 1201102100DS009-5000FROSTY WHITE</v>
      </c>
      <c r="J5800" s="7">
        <f>COUNTIF(Paper_Reference[Duplicate Key],Paper_Reference[[#This Row],[Duplicate Key]])</f>
        <v>1</v>
      </c>
    </row>
    <row r="5801" spans="1:10">
      <c r="A5801" s="7">
        <v>2</v>
      </c>
      <c r="B5801" s="8" t="s">
        <v>8148</v>
      </c>
      <c r="C5801" s="8" t="s">
        <v>7253</v>
      </c>
      <c r="D5801" s="7">
        <v>1</v>
      </c>
      <c r="E5801" s="7">
        <v>10</v>
      </c>
      <c r="F5801" s="7">
        <v>2</v>
      </c>
      <c r="G5801" s="8" t="s">
        <v>6710</v>
      </c>
      <c r="H5801" s="8" t="s">
        <v>5691</v>
      </c>
      <c r="I5801" s="7" t="str">
        <f>_xlfn.CONCAT(Paper_Reference[[#This Row],[Lvl]:[Paper Description]])</f>
        <v>2XJ8R0488N480FRL CHOC 5TH FLOOR 48 X 961102100DS009-5000FROSTY WHITE</v>
      </c>
      <c r="J5801" s="7">
        <f>COUNTIF(Paper_Reference[Duplicate Key],Paper_Reference[[#This Row],[Duplicate Key]])</f>
        <v>1</v>
      </c>
    </row>
    <row r="5802" spans="1:10">
      <c r="A5802" s="7">
        <v>2</v>
      </c>
      <c r="B5802" s="8" t="s">
        <v>8149</v>
      </c>
      <c r="C5802" s="8" t="s">
        <v>7252</v>
      </c>
      <c r="D5802" s="7">
        <v>1</v>
      </c>
      <c r="E5802" s="7">
        <v>10</v>
      </c>
      <c r="F5802" s="7">
        <v>2</v>
      </c>
      <c r="G5802" s="8" t="s">
        <v>6710</v>
      </c>
      <c r="H5802" s="8" t="s">
        <v>5691</v>
      </c>
      <c r="I5802" s="7" t="str">
        <f>_xlfn.CONCAT(Paper_Reference[[#This Row],[Lvl]:[Paper Description]])</f>
        <v>2XJ8R0488SD400FRL CHOC 5TH FLOOR 48 X 1201102100DS009-5000FROSTY WHITE</v>
      </c>
      <c r="J5802" s="7">
        <f>COUNTIF(Paper_Reference[Duplicate Key],Paper_Reference[[#This Row],[Duplicate Key]])</f>
        <v>1</v>
      </c>
    </row>
    <row r="5803" spans="1:10">
      <c r="A5803" s="7">
        <v>2</v>
      </c>
      <c r="B5803" s="8" t="s">
        <v>8150</v>
      </c>
      <c r="C5803" s="8" t="s">
        <v>7253</v>
      </c>
      <c r="D5803" s="7">
        <v>1</v>
      </c>
      <c r="E5803" s="7">
        <v>10</v>
      </c>
      <c r="F5803" s="7">
        <v>2</v>
      </c>
      <c r="G5803" s="8" t="s">
        <v>6710</v>
      </c>
      <c r="H5803" s="8" t="s">
        <v>5691</v>
      </c>
      <c r="I5803" s="7" t="str">
        <f>_xlfn.CONCAT(Paper_Reference[[#This Row],[Lvl]:[Paper Description]])</f>
        <v>2XJ8R0488SD480FRL CHOC 5TH FLOOR 48 X 961102100DS009-5000FROSTY WHITE</v>
      </c>
      <c r="J5803" s="7">
        <f>COUNTIF(Paper_Reference[Duplicate Key],Paper_Reference[[#This Row],[Duplicate Key]])</f>
        <v>1</v>
      </c>
    </row>
    <row r="5804" spans="1:10">
      <c r="A5804" s="7">
        <v>2</v>
      </c>
      <c r="B5804" s="8" t="s">
        <v>8151</v>
      </c>
      <c r="C5804" s="8" t="s">
        <v>7254</v>
      </c>
      <c r="D5804" s="7">
        <v>1</v>
      </c>
      <c r="E5804" s="7">
        <v>10</v>
      </c>
      <c r="F5804" s="7">
        <v>2</v>
      </c>
      <c r="G5804" s="8" t="s">
        <v>6710</v>
      </c>
      <c r="H5804" s="8" t="s">
        <v>5691</v>
      </c>
      <c r="I5804" s="7" t="str">
        <f>_xlfn.CONCAT(Paper_Reference[[#This Row],[Lvl]:[Paper Description]])</f>
        <v>2XJ8R0491N480FRL PROVIDENCE 3028-3 48 X 961102100DS009-5000FROSTY WHITE</v>
      </c>
      <c r="J5804" s="7">
        <f>COUNTIF(Paper_Reference[Duplicate Key],Paper_Reference[[#This Row],[Duplicate Key]])</f>
        <v>1</v>
      </c>
    </row>
    <row r="5805" spans="1:10">
      <c r="A5805" s="7">
        <v>2</v>
      </c>
      <c r="B5805" s="8" t="s">
        <v>8152</v>
      </c>
      <c r="C5805" s="8" t="s">
        <v>7254</v>
      </c>
      <c r="D5805" s="7">
        <v>1</v>
      </c>
      <c r="E5805" s="7">
        <v>10</v>
      </c>
      <c r="F5805" s="7">
        <v>2</v>
      </c>
      <c r="G5805" s="8" t="s">
        <v>6710</v>
      </c>
      <c r="H5805" s="8" t="s">
        <v>5691</v>
      </c>
      <c r="I5805" s="7" t="str">
        <f>_xlfn.CONCAT(Paper_Reference[[#This Row],[Lvl]:[Paper Description]])</f>
        <v>2XJ8R0491SD480FRL PROVIDENCE 3028-3 48 X 961102100DS009-5000FROSTY WHITE</v>
      </c>
      <c r="J5805" s="7">
        <f>COUNTIF(Paper_Reference[Duplicate Key],Paper_Reference[[#This Row],[Duplicate Key]])</f>
        <v>1</v>
      </c>
    </row>
    <row r="5806" spans="1:10">
      <c r="A5806" s="7">
        <v>2</v>
      </c>
      <c r="B5806" s="8" t="s">
        <v>8153</v>
      </c>
      <c r="C5806" s="8" t="s">
        <v>7255</v>
      </c>
      <c r="D5806" s="7">
        <v>1</v>
      </c>
      <c r="E5806" s="7">
        <v>10</v>
      </c>
      <c r="F5806" s="7">
        <v>2</v>
      </c>
      <c r="G5806" s="8" t="s">
        <v>6710</v>
      </c>
      <c r="H5806" s="8" t="s">
        <v>5691</v>
      </c>
      <c r="I5806" s="7" t="str">
        <f>_xlfn.CONCAT(Paper_Reference[[#This Row],[Lvl]:[Paper Description]])</f>
        <v>2XJ8R0492N480FRL PROVIDENCE 3028-4 48 X 961102100DS009-5000FROSTY WHITE</v>
      </c>
      <c r="J5806" s="7">
        <f>COUNTIF(Paper_Reference[Duplicate Key],Paper_Reference[[#This Row],[Duplicate Key]])</f>
        <v>1</v>
      </c>
    </row>
    <row r="5807" spans="1:10">
      <c r="A5807" s="7">
        <v>2</v>
      </c>
      <c r="B5807" s="8" t="s">
        <v>8154</v>
      </c>
      <c r="C5807" s="8" t="s">
        <v>7255</v>
      </c>
      <c r="D5807" s="7">
        <v>1</v>
      </c>
      <c r="E5807" s="7">
        <v>10</v>
      </c>
      <c r="F5807" s="7">
        <v>2</v>
      </c>
      <c r="G5807" s="8" t="s">
        <v>6710</v>
      </c>
      <c r="H5807" s="8" t="s">
        <v>5691</v>
      </c>
      <c r="I5807" s="7" t="str">
        <f>_xlfn.CONCAT(Paper_Reference[[#This Row],[Lvl]:[Paper Description]])</f>
        <v>2XJ8R0492SD480FRL PROVIDENCE 3028-4 48 X 961102100DS009-5000FROSTY WHITE</v>
      </c>
      <c r="J5807" s="7">
        <f>COUNTIF(Paper_Reference[Duplicate Key],Paper_Reference[[#This Row],[Duplicate Key]])</f>
        <v>1</v>
      </c>
    </row>
    <row r="5808" spans="1:10">
      <c r="A5808" s="7">
        <v>2</v>
      </c>
      <c r="B5808" s="8" t="s">
        <v>8155</v>
      </c>
      <c r="C5808" s="8" t="s">
        <v>7256</v>
      </c>
      <c r="D5808" s="7">
        <v>1</v>
      </c>
      <c r="E5808" s="7">
        <v>10</v>
      </c>
      <c r="F5808" s="7">
        <v>2</v>
      </c>
      <c r="G5808" s="8" t="s">
        <v>6710</v>
      </c>
      <c r="H5808" s="8" t="s">
        <v>5691</v>
      </c>
      <c r="I5808" s="7" t="str">
        <f>_xlfn.CONCAT(Paper_Reference[[#This Row],[Lvl]:[Paper Description]])</f>
        <v>2XJ8R0493N480FRL PROVIDENCE 3106-5 48 X 961102100DS009-5000FROSTY WHITE</v>
      </c>
      <c r="J5808" s="7">
        <f>COUNTIF(Paper_Reference[Duplicate Key],Paper_Reference[[#This Row],[Duplicate Key]])</f>
        <v>1</v>
      </c>
    </row>
    <row r="5809" spans="1:10">
      <c r="A5809" s="7">
        <v>2</v>
      </c>
      <c r="B5809" s="8" t="s">
        <v>8156</v>
      </c>
      <c r="C5809" s="8" t="s">
        <v>7256</v>
      </c>
      <c r="D5809" s="7">
        <v>1</v>
      </c>
      <c r="E5809" s="7">
        <v>10</v>
      </c>
      <c r="F5809" s="7">
        <v>2</v>
      </c>
      <c r="G5809" s="8" t="s">
        <v>6710</v>
      </c>
      <c r="H5809" s="8" t="s">
        <v>5691</v>
      </c>
      <c r="I5809" s="7" t="str">
        <f>_xlfn.CONCAT(Paper_Reference[[#This Row],[Lvl]:[Paper Description]])</f>
        <v>2XJ8R0493SD480FRL PROVIDENCE 3106-5 48 X 961102100DS009-5000FROSTY WHITE</v>
      </c>
      <c r="J5809" s="7">
        <f>COUNTIF(Paper_Reference[Duplicate Key],Paper_Reference[[#This Row],[Duplicate Key]])</f>
        <v>1</v>
      </c>
    </row>
    <row r="5810" spans="1:10">
      <c r="A5810" s="7">
        <v>2</v>
      </c>
      <c r="B5810" s="8" t="s">
        <v>8157</v>
      </c>
      <c r="C5810" s="8" t="s">
        <v>7257</v>
      </c>
      <c r="D5810" s="7">
        <v>1</v>
      </c>
      <c r="E5810" s="7">
        <v>10</v>
      </c>
      <c r="F5810" s="7">
        <v>2</v>
      </c>
      <c r="G5810" s="8" t="s">
        <v>6710</v>
      </c>
      <c r="H5810" s="8" t="s">
        <v>5691</v>
      </c>
      <c r="I5810" s="7" t="str">
        <f>_xlfn.CONCAT(Paper_Reference[[#This Row],[Lvl]:[Paper Description]])</f>
        <v>2XJ8R0494N480FRL PROVIDENCE 3106-6 48 X 961102100DS009-5000FROSTY WHITE</v>
      </c>
      <c r="J5810" s="7">
        <f>COUNTIF(Paper_Reference[Duplicate Key],Paper_Reference[[#This Row],[Duplicate Key]])</f>
        <v>1</v>
      </c>
    </row>
    <row r="5811" spans="1:10">
      <c r="A5811" s="7">
        <v>2</v>
      </c>
      <c r="B5811" s="8" t="s">
        <v>8158</v>
      </c>
      <c r="C5811" s="8" t="s">
        <v>7257</v>
      </c>
      <c r="D5811" s="7">
        <v>1</v>
      </c>
      <c r="E5811" s="7">
        <v>10</v>
      </c>
      <c r="F5811" s="7">
        <v>2</v>
      </c>
      <c r="G5811" s="8" t="s">
        <v>6710</v>
      </c>
      <c r="H5811" s="8" t="s">
        <v>5691</v>
      </c>
      <c r="I5811" s="7" t="str">
        <f>_xlfn.CONCAT(Paper_Reference[[#This Row],[Lvl]:[Paper Description]])</f>
        <v>2XJ8R0494SD480FRL PROVIDENCE 3106-6 48 X 961102100DS009-5000FROSTY WHITE</v>
      </c>
      <c r="J5811" s="7">
        <f>COUNTIF(Paper_Reference[Duplicate Key],Paper_Reference[[#This Row],[Duplicate Key]])</f>
        <v>1</v>
      </c>
    </row>
    <row r="5812" spans="1:10">
      <c r="A5812" s="7">
        <v>2</v>
      </c>
      <c r="B5812" s="8" t="s">
        <v>8159</v>
      </c>
      <c r="C5812" s="8" t="s">
        <v>7258</v>
      </c>
      <c r="D5812" s="7">
        <v>1</v>
      </c>
      <c r="E5812" s="7">
        <v>10</v>
      </c>
      <c r="F5812" s="7">
        <v>2</v>
      </c>
      <c r="G5812" s="8" t="s">
        <v>6710</v>
      </c>
      <c r="H5812" s="8" t="s">
        <v>5691</v>
      </c>
      <c r="I5812" s="7" t="str">
        <f>_xlfn.CONCAT(Paper_Reference[[#This Row],[Lvl]:[Paper Description]])</f>
        <v>2XJ8R0495N480FRL PROVIDENCE NURSE 48 X 961102100DS009-5000FROSTY WHITE</v>
      </c>
      <c r="J5812" s="7">
        <f>COUNTIF(Paper_Reference[Duplicate Key],Paper_Reference[[#This Row],[Duplicate Key]])</f>
        <v>1</v>
      </c>
    </row>
    <row r="5813" spans="1:10">
      <c r="A5813" s="7">
        <v>2</v>
      </c>
      <c r="B5813" s="8" t="s">
        <v>8160</v>
      </c>
      <c r="C5813" s="8" t="s">
        <v>7258</v>
      </c>
      <c r="D5813" s="7">
        <v>1</v>
      </c>
      <c r="E5813" s="7">
        <v>10</v>
      </c>
      <c r="F5813" s="7">
        <v>2</v>
      </c>
      <c r="G5813" s="8" t="s">
        <v>6710</v>
      </c>
      <c r="H5813" s="8" t="s">
        <v>5691</v>
      </c>
      <c r="I5813" s="7" t="str">
        <f>_xlfn.CONCAT(Paper_Reference[[#This Row],[Lvl]:[Paper Description]])</f>
        <v>2XJ8R0495SD480FRL PROVIDENCE NURSE 48 X 961102100DS009-5000FROSTY WHITE</v>
      </c>
      <c r="J5813" s="7">
        <f>COUNTIF(Paper_Reference[Duplicate Key],Paper_Reference[[#This Row],[Duplicate Key]])</f>
        <v>1</v>
      </c>
    </row>
    <row r="5814" spans="1:10">
      <c r="A5814" s="7">
        <v>2</v>
      </c>
      <c r="B5814" s="8" t="s">
        <v>8161</v>
      </c>
      <c r="C5814" s="8" t="s">
        <v>7259</v>
      </c>
      <c r="D5814" s="7">
        <v>1</v>
      </c>
      <c r="E5814" s="7">
        <v>10</v>
      </c>
      <c r="F5814" s="7">
        <v>2</v>
      </c>
      <c r="G5814" s="8" t="s">
        <v>6710</v>
      </c>
      <c r="H5814" s="8" t="s">
        <v>5691</v>
      </c>
      <c r="I5814" s="7" t="str">
        <f>_xlfn.CONCAT(Paper_Reference[[#This Row],[Lvl]:[Paper Description]])</f>
        <v>2XJ8R0496CR400FRL BAYSTATE 5TH FLOOR 48X1201102100DS009-5000FROSTY WHITE</v>
      </c>
      <c r="J5814" s="7">
        <f>COUNTIF(Paper_Reference[Duplicate Key],Paper_Reference[[#This Row],[Duplicate Key]])</f>
        <v>1</v>
      </c>
    </row>
    <row r="5815" spans="1:10">
      <c r="A5815" s="7">
        <v>2</v>
      </c>
      <c r="B5815" s="8" t="s">
        <v>8162</v>
      </c>
      <c r="C5815" s="8" t="s">
        <v>7259</v>
      </c>
      <c r="D5815" s="7">
        <v>1</v>
      </c>
      <c r="E5815" s="7">
        <v>10</v>
      </c>
      <c r="F5815" s="7">
        <v>2</v>
      </c>
      <c r="G5815" s="8" t="s">
        <v>6710</v>
      </c>
      <c r="H5815" s="8" t="s">
        <v>5691</v>
      </c>
      <c r="I5815" s="7" t="str">
        <f>_xlfn.CONCAT(Paper_Reference[[#This Row],[Lvl]:[Paper Description]])</f>
        <v>2XJ8R0496J400FRL BAYSTATE 5TH FLOOR 48X1201102100DS009-5000FROSTY WHITE</v>
      </c>
      <c r="J5815" s="7">
        <f>COUNTIF(Paper_Reference[Duplicate Key],Paper_Reference[[#This Row],[Duplicate Key]])</f>
        <v>1</v>
      </c>
    </row>
    <row r="5816" spans="1:10">
      <c r="A5816" s="7">
        <v>2</v>
      </c>
      <c r="B5816" s="8" t="s">
        <v>8163</v>
      </c>
      <c r="C5816" s="8" t="s">
        <v>7260</v>
      </c>
      <c r="D5816" s="7">
        <v>1</v>
      </c>
      <c r="E5816" s="7">
        <v>10</v>
      </c>
      <c r="F5816" s="7">
        <v>2</v>
      </c>
      <c r="G5816" s="8" t="s">
        <v>6710</v>
      </c>
      <c r="H5816" s="8" t="s">
        <v>5691</v>
      </c>
      <c r="I5816" s="7" t="str">
        <f>_xlfn.CONCAT(Paper_Reference[[#This Row],[Lvl]:[Paper Description]])</f>
        <v>2XJ8R0497CR480FRL BAYSTATE 6TH FLOOR 48X961102100DS009-5000FROSTY WHITE</v>
      </c>
      <c r="J5816" s="7">
        <f>COUNTIF(Paper_Reference[Duplicate Key],Paper_Reference[[#This Row],[Duplicate Key]])</f>
        <v>1</v>
      </c>
    </row>
    <row r="5817" spans="1:10">
      <c r="A5817" s="7">
        <v>2</v>
      </c>
      <c r="B5817" s="8" t="s">
        <v>8164</v>
      </c>
      <c r="C5817" s="8" t="s">
        <v>7260</v>
      </c>
      <c r="D5817" s="7">
        <v>1</v>
      </c>
      <c r="E5817" s="7">
        <v>10</v>
      </c>
      <c r="F5817" s="7">
        <v>2</v>
      </c>
      <c r="G5817" s="8" t="s">
        <v>6710</v>
      </c>
      <c r="H5817" s="8" t="s">
        <v>5691</v>
      </c>
      <c r="I5817" s="7" t="str">
        <f>_xlfn.CONCAT(Paper_Reference[[#This Row],[Lvl]:[Paper Description]])</f>
        <v>2XJ8R0497J480FRL BAYSTATE 6TH FLOOR 48X961102100DS009-5000FROSTY WHITE</v>
      </c>
      <c r="J5817" s="7">
        <f>COUNTIF(Paper_Reference[Duplicate Key],Paper_Reference[[#This Row],[Duplicate Key]])</f>
        <v>1</v>
      </c>
    </row>
    <row r="5818" spans="1:10">
      <c r="A5818" s="7">
        <v>2</v>
      </c>
      <c r="B5818" s="8" t="s">
        <v>8165</v>
      </c>
      <c r="C5818" s="8" t="s">
        <v>7261</v>
      </c>
      <c r="D5818" s="7">
        <v>1</v>
      </c>
      <c r="E5818" s="7">
        <v>10</v>
      </c>
      <c r="F5818" s="7">
        <v>2</v>
      </c>
      <c r="G5818" s="8" t="s">
        <v>6710</v>
      </c>
      <c r="H5818" s="8" t="s">
        <v>5691</v>
      </c>
      <c r="I5818" s="7" t="str">
        <f>_xlfn.CONCAT(Paper_Reference[[#This Row],[Lvl]:[Paper Description]])</f>
        <v>2XJ8R0498CR400FRL BAYSTATE 7TH FLOOR 48X1201102100DS009-5000FROSTY WHITE</v>
      </c>
      <c r="J5818" s="7">
        <f>COUNTIF(Paper_Reference[Duplicate Key],Paper_Reference[[#This Row],[Duplicate Key]])</f>
        <v>1</v>
      </c>
    </row>
    <row r="5819" spans="1:10">
      <c r="A5819" s="7">
        <v>2</v>
      </c>
      <c r="B5819" s="8" t="s">
        <v>8166</v>
      </c>
      <c r="C5819" s="8" t="s">
        <v>7261</v>
      </c>
      <c r="D5819" s="7">
        <v>1</v>
      </c>
      <c r="E5819" s="7">
        <v>10</v>
      </c>
      <c r="F5819" s="7">
        <v>2</v>
      </c>
      <c r="G5819" s="8" t="s">
        <v>6710</v>
      </c>
      <c r="H5819" s="8" t="s">
        <v>5691</v>
      </c>
      <c r="I5819" s="7" t="str">
        <f>_xlfn.CONCAT(Paper_Reference[[#This Row],[Lvl]:[Paper Description]])</f>
        <v>2XJ8R0498J400FRL BAYSTATE 7TH FLOOR 48X1201102100DS009-5000FROSTY WHITE</v>
      </c>
      <c r="J5819" s="7">
        <f>COUNTIF(Paper_Reference[Duplicate Key],Paper_Reference[[#This Row],[Duplicate Key]])</f>
        <v>1</v>
      </c>
    </row>
    <row r="5820" spans="1:10">
      <c r="A5820" s="7">
        <v>2</v>
      </c>
      <c r="B5820" s="8" t="s">
        <v>6646</v>
      </c>
      <c r="C5820" s="8" t="s">
        <v>6101</v>
      </c>
      <c r="D5820" s="7">
        <v>1</v>
      </c>
      <c r="E5820" s="7">
        <v>10</v>
      </c>
      <c r="F5820" s="7">
        <v>2</v>
      </c>
      <c r="G5820" s="8" t="s">
        <v>5690</v>
      </c>
      <c r="H5820" s="8" t="s">
        <v>5691</v>
      </c>
      <c r="I5820" s="7" t="str">
        <f>_xlfn.CONCAT(Paper_Reference[[#This Row],[Lvl]:[Paper Description]])</f>
        <v>2XJ8R0499N580FRL PROVIDENCE 3106-6-35C  601102100DS009-6200FROSTY WHITE</v>
      </c>
      <c r="J5820" s="7">
        <f>COUNTIF(Paper_Reference[Duplicate Key],Paper_Reference[[#This Row],[Duplicate Key]])</f>
        <v>1</v>
      </c>
    </row>
    <row r="5821" spans="1:10">
      <c r="A5821" s="7">
        <v>2</v>
      </c>
      <c r="B5821" s="8" t="s">
        <v>6647</v>
      </c>
      <c r="C5821" s="8" t="s">
        <v>6101</v>
      </c>
      <c r="D5821" s="7">
        <v>1</v>
      </c>
      <c r="E5821" s="7">
        <v>10</v>
      </c>
      <c r="F5821" s="7">
        <v>2</v>
      </c>
      <c r="G5821" s="8" t="s">
        <v>5690</v>
      </c>
      <c r="H5821" s="8" t="s">
        <v>5691</v>
      </c>
      <c r="I5821" s="7" t="str">
        <f>_xlfn.CONCAT(Paper_Reference[[#This Row],[Lvl]:[Paper Description]])</f>
        <v>2XJ8R0499SD580FRL PROVIDENCE 3106-6-35C  601102100DS009-6200FROSTY WHITE</v>
      </c>
      <c r="J5821" s="7">
        <f>COUNTIF(Paper_Reference[Duplicate Key],Paper_Reference[[#This Row],[Duplicate Key]])</f>
        <v>1</v>
      </c>
    </row>
    <row r="5822" spans="1:10">
      <c r="A5822" s="7">
        <v>2</v>
      </c>
      <c r="B5822" s="8" t="s">
        <v>8167</v>
      </c>
      <c r="C5822" s="8" t="s">
        <v>7262</v>
      </c>
      <c r="D5822" s="7">
        <v>1</v>
      </c>
      <c r="E5822" s="7">
        <v>10</v>
      </c>
      <c r="F5822" s="7">
        <v>2</v>
      </c>
      <c r="G5822" s="8" t="s">
        <v>6710</v>
      </c>
      <c r="H5822" s="8" t="s">
        <v>5691</v>
      </c>
      <c r="I5822" s="7" t="str">
        <f>_xlfn.CONCAT(Paper_Reference[[#This Row],[Lvl]:[Paper Description]])</f>
        <v>2XJ8R0501CR400FRL ND PACU 1 48X1201102100DS009-5000FROSTY WHITE</v>
      </c>
      <c r="J5822" s="7">
        <f>COUNTIF(Paper_Reference[Duplicate Key],Paper_Reference[[#This Row],[Duplicate Key]])</f>
        <v>1</v>
      </c>
    </row>
    <row r="5823" spans="1:10">
      <c r="A5823" s="7">
        <v>2</v>
      </c>
      <c r="B5823" s="8" t="s">
        <v>8168</v>
      </c>
      <c r="C5823" s="8" t="s">
        <v>7262</v>
      </c>
      <c r="D5823" s="7">
        <v>1</v>
      </c>
      <c r="E5823" s="7">
        <v>10</v>
      </c>
      <c r="F5823" s="7">
        <v>2</v>
      </c>
      <c r="G5823" s="8" t="s">
        <v>6710</v>
      </c>
      <c r="H5823" s="8" t="s">
        <v>5691</v>
      </c>
      <c r="I5823" s="7" t="str">
        <f>_xlfn.CONCAT(Paper_Reference[[#This Row],[Lvl]:[Paper Description]])</f>
        <v>2XJ8R0501J400FRL ND PACU 1 48X1201102100DS009-5000FROSTY WHITE</v>
      </c>
      <c r="J5823" s="7">
        <f>COUNTIF(Paper_Reference[Duplicate Key],Paper_Reference[[#This Row],[Duplicate Key]])</f>
        <v>1</v>
      </c>
    </row>
    <row r="5824" spans="1:10">
      <c r="A5824" s="7">
        <v>2</v>
      </c>
      <c r="B5824" s="8" t="s">
        <v>8169</v>
      </c>
      <c r="C5824" s="8" t="s">
        <v>7263</v>
      </c>
      <c r="D5824" s="7">
        <v>1</v>
      </c>
      <c r="E5824" s="7">
        <v>10</v>
      </c>
      <c r="F5824" s="7">
        <v>2</v>
      </c>
      <c r="G5824" s="8" t="s">
        <v>6710</v>
      </c>
      <c r="H5824" s="8" t="s">
        <v>5691</v>
      </c>
      <c r="I5824" s="7" t="str">
        <f>_xlfn.CONCAT(Paper_Reference[[#This Row],[Lvl]:[Paper Description]])</f>
        <v>2XJ8R0502CR400FRL ND PACU 2 48X1201102100DS009-5000FROSTY WHITE</v>
      </c>
      <c r="J5824" s="7">
        <f>COUNTIF(Paper_Reference[Duplicate Key],Paper_Reference[[#This Row],[Duplicate Key]])</f>
        <v>1</v>
      </c>
    </row>
    <row r="5825" spans="1:10">
      <c r="A5825" s="7">
        <v>2</v>
      </c>
      <c r="B5825" s="8" t="s">
        <v>8170</v>
      </c>
      <c r="C5825" s="8" t="s">
        <v>7263</v>
      </c>
      <c r="D5825" s="7">
        <v>1</v>
      </c>
      <c r="E5825" s="7">
        <v>10</v>
      </c>
      <c r="F5825" s="7">
        <v>2</v>
      </c>
      <c r="G5825" s="8" t="s">
        <v>6710</v>
      </c>
      <c r="H5825" s="8" t="s">
        <v>5691</v>
      </c>
      <c r="I5825" s="7" t="str">
        <f>_xlfn.CONCAT(Paper_Reference[[#This Row],[Lvl]:[Paper Description]])</f>
        <v>2XJ8R0502J400FRL ND PACU 2 48X1201102100DS009-5000FROSTY WHITE</v>
      </c>
      <c r="J5825" s="7">
        <f>COUNTIF(Paper_Reference[Duplicate Key],Paper_Reference[[#This Row],[Duplicate Key]])</f>
        <v>1</v>
      </c>
    </row>
    <row r="5826" spans="1:10">
      <c r="A5826" s="7">
        <v>2</v>
      </c>
      <c r="B5826" s="8" t="s">
        <v>8171</v>
      </c>
      <c r="C5826" s="8" t="s">
        <v>7264</v>
      </c>
      <c r="D5826" s="7">
        <v>1</v>
      </c>
      <c r="E5826" s="7">
        <v>10</v>
      </c>
      <c r="F5826" s="7">
        <v>2</v>
      </c>
      <c r="G5826" s="8" t="s">
        <v>6710</v>
      </c>
      <c r="H5826" s="8" t="s">
        <v>5691</v>
      </c>
      <c r="I5826" s="7" t="str">
        <f>_xlfn.CONCAT(Paper_Reference[[#This Row],[Lvl]:[Paper Description]])</f>
        <v>2XJ8R0503CR400FRL ND PACU 3 48X1201102100DS009-5000FROSTY WHITE</v>
      </c>
      <c r="J5826" s="7">
        <f>COUNTIF(Paper_Reference[Duplicate Key],Paper_Reference[[#This Row],[Duplicate Key]])</f>
        <v>1</v>
      </c>
    </row>
    <row r="5827" spans="1:10">
      <c r="A5827" s="7">
        <v>2</v>
      </c>
      <c r="B5827" s="8" t="s">
        <v>8172</v>
      </c>
      <c r="C5827" s="8" t="s">
        <v>7264</v>
      </c>
      <c r="D5827" s="7">
        <v>1</v>
      </c>
      <c r="E5827" s="7">
        <v>10</v>
      </c>
      <c r="F5827" s="7">
        <v>2</v>
      </c>
      <c r="G5827" s="8" t="s">
        <v>6710</v>
      </c>
      <c r="H5827" s="8" t="s">
        <v>5691</v>
      </c>
      <c r="I5827" s="7" t="str">
        <f>_xlfn.CONCAT(Paper_Reference[[#This Row],[Lvl]:[Paper Description]])</f>
        <v>2XJ8R0503J400FRL ND PACU 3 48X1201102100DS009-5000FROSTY WHITE</v>
      </c>
      <c r="J5827" s="7">
        <f>COUNTIF(Paper_Reference[Duplicate Key],Paper_Reference[[#This Row],[Duplicate Key]])</f>
        <v>1</v>
      </c>
    </row>
    <row r="5828" spans="1:10">
      <c r="A5828" s="7">
        <v>2</v>
      </c>
      <c r="B5828" s="8" t="s">
        <v>8173</v>
      </c>
      <c r="C5828" s="8" t="s">
        <v>7265</v>
      </c>
      <c r="D5828" s="7">
        <v>1</v>
      </c>
      <c r="E5828" s="7">
        <v>10</v>
      </c>
      <c r="F5828" s="7">
        <v>2</v>
      </c>
      <c r="G5828" s="8" t="s">
        <v>6710</v>
      </c>
      <c r="H5828" s="8" t="s">
        <v>5691</v>
      </c>
      <c r="I5828" s="7" t="str">
        <f>_xlfn.CONCAT(Paper_Reference[[#This Row],[Lvl]:[Paper Description]])</f>
        <v>2XJ8R0509N400FRL COFFEE BEANERY 48 X 1201102100DS009-5000FROSTY WHITE</v>
      </c>
      <c r="J5828" s="7">
        <f>COUNTIF(Paper_Reference[Duplicate Key],Paper_Reference[[#This Row],[Duplicate Key]])</f>
        <v>1</v>
      </c>
    </row>
    <row r="5829" spans="1:10">
      <c r="A5829" s="7">
        <v>2</v>
      </c>
      <c r="B5829" s="8" t="s">
        <v>8174</v>
      </c>
      <c r="C5829" s="8" t="s">
        <v>7265</v>
      </c>
      <c r="D5829" s="7">
        <v>1</v>
      </c>
      <c r="E5829" s="7">
        <v>10</v>
      </c>
      <c r="F5829" s="7">
        <v>2</v>
      </c>
      <c r="G5829" s="8" t="s">
        <v>6710</v>
      </c>
      <c r="H5829" s="8" t="s">
        <v>5691</v>
      </c>
      <c r="I5829" s="7" t="str">
        <f>_xlfn.CONCAT(Paper_Reference[[#This Row],[Lvl]:[Paper Description]])</f>
        <v>2XJ8R0509SD400FRL COFFEE BEANERY 48 X 1201102100DS009-5000FROSTY WHITE</v>
      </c>
      <c r="J5829" s="7">
        <f>COUNTIF(Paper_Reference[Duplicate Key],Paper_Reference[[#This Row],[Duplicate Key]])</f>
        <v>1</v>
      </c>
    </row>
    <row r="5830" spans="1:10">
      <c r="A5830" s="7">
        <v>2</v>
      </c>
      <c r="B5830" s="8" t="s">
        <v>6648</v>
      </c>
      <c r="C5830" s="8" t="s">
        <v>6102</v>
      </c>
      <c r="D5830" s="7">
        <v>1</v>
      </c>
      <c r="E5830" s="7">
        <v>10</v>
      </c>
      <c r="F5830" s="7">
        <v>2</v>
      </c>
      <c r="G5830" s="8" t="s">
        <v>5690</v>
      </c>
      <c r="H5830" s="8" t="s">
        <v>5691</v>
      </c>
      <c r="I5830" s="7" t="str">
        <f>_xlfn.CONCAT(Paper_Reference[[#This Row],[Lvl]:[Paper Description]])</f>
        <v>2XJ8R0510N500FRL SFU MURAL 60 X 1201102100DS009-6200FROSTY WHITE</v>
      </c>
      <c r="J5830" s="7">
        <f>COUNTIF(Paper_Reference[Duplicate Key],Paper_Reference[[#This Row],[Duplicate Key]])</f>
        <v>1</v>
      </c>
    </row>
    <row r="5831" spans="1:10">
      <c r="A5831" s="7">
        <v>2</v>
      </c>
      <c r="B5831" s="8" t="s">
        <v>6649</v>
      </c>
      <c r="C5831" s="8" t="s">
        <v>6102</v>
      </c>
      <c r="D5831" s="7">
        <v>1</v>
      </c>
      <c r="E5831" s="7">
        <v>10</v>
      </c>
      <c r="F5831" s="7">
        <v>2</v>
      </c>
      <c r="G5831" s="8" t="s">
        <v>5690</v>
      </c>
      <c r="H5831" s="8" t="s">
        <v>5691</v>
      </c>
      <c r="I5831" s="7" t="str">
        <f>_xlfn.CONCAT(Paper_Reference[[#This Row],[Lvl]:[Paper Description]])</f>
        <v>2XJ8R0510SD500FRL SFU MURAL 60 X 1201102100DS009-6200FROSTY WHITE</v>
      </c>
      <c r="J5831" s="7">
        <f>COUNTIF(Paper_Reference[Duplicate Key],Paper_Reference[[#This Row],[Duplicate Key]])</f>
        <v>1</v>
      </c>
    </row>
    <row r="5832" spans="1:10">
      <c r="A5832" s="7">
        <v>2</v>
      </c>
      <c r="B5832" s="8" t="s">
        <v>8175</v>
      </c>
      <c r="C5832" s="8" t="s">
        <v>7266</v>
      </c>
      <c r="D5832" s="7">
        <v>1</v>
      </c>
      <c r="E5832" s="7">
        <v>10</v>
      </c>
      <c r="F5832" s="7">
        <v>2</v>
      </c>
      <c r="G5832" s="8" t="s">
        <v>6710</v>
      </c>
      <c r="H5832" s="8" t="s">
        <v>5691</v>
      </c>
      <c r="I5832" s="7" t="str">
        <f>_xlfn.CONCAT(Paper_Reference[[#This Row],[Lvl]:[Paper Description]])</f>
        <v>2XJ8R0511N480FRL NATRONA HS MURAL 48 X 961102100DS009-5000FROSTY WHITE</v>
      </c>
      <c r="J5832" s="7">
        <f>COUNTIF(Paper_Reference[Duplicate Key],Paper_Reference[[#This Row],[Duplicate Key]])</f>
        <v>1</v>
      </c>
    </row>
    <row r="5833" spans="1:10">
      <c r="A5833" s="7">
        <v>2</v>
      </c>
      <c r="B5833" s="8" t="s">
        <v>8176</v>
      </c>
      <c r="C5833" s="8" t="s">
        <v>7266</v>
      </c>
      <c r="D5833" s="7">
        <v>1</v>
      </c>
      <c r="E5833" s="7">
        <v>10</v>
      </c>
      <c r="F5833" s="7">
        <v>2</v>
      </c>
      <c r="G5833" s="8" t="s">
        <v>6710</v>
      </c>
      <c r="H5833" s="8" t="s">
        <v>5691</v>
      </c>
      <c r="I5833" s="7" t="str">
        <f>_xlfn.CONCAT(Paper_Reference[[#This Row],[Lvl]:[Paper Description]])</f>
        <v>2XJ8R0511SD480FRL NATRONA HS MURAL 48 X 961102100DS009-5000FROSTY WHITE</v>
      </c>
      <c r="J5833" s="7">
        <f>COUNTIF(Paper_Reference[Duplicate Key],Paper_Reference[[#This Row],[Duplicate Key]])</f>
        <v>1</v>
      </c>
    </row>
    <row r="5834" spans="1:10">
      <c r="A5834" s="7">
        <v>2</v>
      </c>
      <c r="B5834" s="8" t="s">
        <v>6650</v>
      </c>
      <c r="C5834" s="8" t="s">
        <v>6103</v>
      </c>
      <c r="D5834" s="7">
        <v>1</v>
      </c>
      <c r="E5834" s="7">
        <v>10</v>
      </c>
      <c r="F5834" s="7">
        <v>2</v>
      </c>
      <c r="G5834" s="8" t="s">
        <v>5690</v>
      </c>
      <c r="H5834" s="8" t="s">
        <v>5691</v>
      </c>
      <c r="I5834" s="7" t="str">
        <f>_xlfn.CONCAT(Paper_Reference[[#This Row],[Lvl]:[Paper Description]])</f>
        <v>2XJ8R0514N580FRL CHCH 5106 WEST  60 X 961102100DS009-6200FROSTY WHITE</v>
      </c>
      <c r="J5834" s="7">
        <f>COUNTIF(Paper_Reference[Duplicate Key],Paper_Reference[[#This Row],[Duplicate Key]])</f>
        <v>1</v>
      </c>
    </row>
    <row r="5835" spans="1:10">
      <c r="A5835" s="7">
        <v>2</v>
      </c>
      <c r="B5835" s="8" t="s">
        <v>6651</v>
      </c>
      <c r="C5835" s="8" t="s">
        <v>6103</v>
      </c>
      <c r="D5835" s="7">
        <v>1</v>
      </c>
      <c r="E5835" s="7">
        <v>10</v>
      </c>
      <c r="F5835" s="7">
        <v>2</v>
      </c>
      <c r="G5835" s="8" t="s">
        <v>5690</v>
      </c>
      <c r="H5835" s="8" t="s">
        <v>5691</v>
      </c>
      <c r="I5835" s="7" t="str">
        <f>_xlfn.CONCAT(Paper_Reference[[#This Row],[Lvl]:[Paper Description]])</f>
        <v>2XJ8R0514NNYRFRL CHCH 5106 WEST  60 X 961102100DS009-6200FROSTY WHITE</v>
      </c>
      <c r="J5835" s="7">
        <f>COUNTIF(Paper_Reference[Duplicate Key],Paper_Reference[[#This Row],[Duplicate Key]])</f>
        <v>1</v>
      </c>
    </row>
    <row r="5836" spans="1:10">
      <c r="A5836" s="7">
        <v>2</v>
      </c>
      <c r="B5836" s="8" t="s">
        <v>6652</v>
      </c>
      <c r="C5836" s="8" t="s">
        <v>6103</v>
      </c>
      <c r="D5836" s="7">
        <v>1</v>
      </c>
      <c r="E5836" s="7">
        <v>10</v>
      </c>
      <c r="F5836" s="7">
        <v>2</v>
      </c>
      <c r="G5836" s="8" t="s">
        <v>5690</v>
      </c>
      <c r="H5836" s="8" t="s">
        <v>5691</v>
      </c>
      <c r="I5836" s="7" t="str">
        <f>_xlfn.CONCAT(Paper_Reference[[#This Row],[Lvl]:[Paper Description]])</f>
        <v>2XJ8R0514SD580FRL CHCH 5106 WEST  60 X 961102100DS009-6200FROSTY WHITE</v>
      </c>
      <c r="J5836" s="7">
        <f>COUNTIF(Paper_Reference[Duplicate Key],Paper_Reference[[#This Row],[Duplicate Key]])</f>
        <v>1</v>
      </c>
    </row>
    <row r="5837" spans="1:10">
      <c r="A5837" s="7">
        <v>2</v>
      </c>
      <c r="B5837" s="8" t="s">
        <v>6653</v>
      </c>
      <c r="C5837" s="8" t="s">
        <v>6103</v>
      </c>
      <c r="D5837" s="7">
        <v>1</v>
      </c>
      <c r="E5837" s="7">
        <v>10</v>
      </c>
      <c r="F5837" s="7">
        <v>2</v>
      </c>
      <c r="G5837" s="8" t="s">
        <v>5690</v>
      </c>
      <c r="H5837" s="8" t="s">
        <v>5691</v>
      </c>
      <c r="I5837" s="7" t="str">
        <f>_xlfn.CONCAT(Paper_Reference[[#This Row],[Lvl]:[Paper Description]])</f>
        <v>2XJ8R0514SDNYRFRL CHCH 5106 WEST  60 X 961102100DS009-6200FROSTY WHITE</v>
      </c>
      <c r="J5837" s="7">
        <f>COUNTIF(Paper_Reference[Duplicate Key],Paper_Reference[[#This Row],[Duplicate Key]])</f>
        <v>1</v>
      </c>
    </row>
    <row r="5838" spans="1:10">
      <c r="A5838" s="7">
        <v>2</v>
      </c>
      <c r="B5838" s="8" t="s">
        <v>6654</v>
      </c>
      <c r="C5838" s="8" t="s">
        <v>6104</v>
      </c>
      <c r="D5838" s="7">
        <v>1</v>
      </c>
      <c r="E5838" s="7">
        <v>10</v>
      </c>
      <c r="F5838" s="7">
        <v>2</v>
      </c>
      <c r="G5838" s="8" t="s">
        <v>5690</v>
      </c>
      <c r="H5838" s="8" t="s">
        <v>5691</v>
      </c>
      <c r="I5838" s="7" t="str">
        <f>_xlfn.CONCAT(Paper_Reference[[#This Row],[Lvl]:[Paper Description]])</f>
        <v>2XJ8R0515N580FRL CHCH 5104 WEST 60 X 961102100DS009-6200FROSTY WHITE</v>
      </c>
      <c r="J5838" s="7">
        <f>COUNTIF(Paper_Reference[Duplicate Key],Paper_Reference[[#This Row],[Duplicate Key]])</f>
        <v>1</v>
      </c>
    </row>
    <row r="5839" spans="1:10">
      <c r="A5839" s="7">
        <v>2</v>
      </c>
      <c r="B5839" s="8" t="s">
        <v>6655</v>
      </c>
      <c r="C5839" s="8" t="s">
        <v>6104</v>
      </c>
      <c r="D5839" s="7">
        <v>1</v>
      </c>
      <c r="E5839" s="7">
        <v>10</v>
      </c>
      <c r="F5839" s="7">
        <v>2</v>
      </c>
      <c r="G5839" s="8" t="s">
        <v>5690</v>
      </c>
      <c r="H5839" s="8" t="s">
        <v>5691</v>
      </c>
      <c r="I5839" s="7" t="str">
        <f>_xlfn.CONCAT(Paper_Reference[[#This Row],[Lvl]:[Paper Description]])</f>
        <v>2XJ8R0515SD580FRL CHCH 5104 WEST 60 X 961102100DS009-6200FROSTY WHITE</v>
      </c>
      <c r="J5839" s="7">
        <f>COUNTIF(Paper_Reference[Duplicate Key],Paper_Reference[[#This Row],[Duplicate Key]])</f>
        <v>1</v>
      </c>
    </row>
    <row r="5840" spans="1:10">
      <c r="A5840" s="7">
        <v>2</v>
      </c>
      <c r="B5840" s="8" t="s">
        <v>6656</v>
      </c>
      <c r="C5840" s="8" t="s">
        <v>6105</v>
      </c>
      <c r="D5840" s="7">
        <v>1</v>
      </c>
      <c r="E5840" s="7">
        <v>10</v>
      </c>
      <c r="F5840" s="7">
        <v>2</v>
      </c>
      <c r="G5840" s="8" t="s">
        <v>5690</v>
      </c>
      <c r="H5840" s="8" t="s">
        <v>5691</v>
      </c>
      <c r="I5840" s="7" t="str">
        <f>_xlfn.CONCAT(Paper_Reference[[#This Row],[Lvl]:[Paper Description]])</f>
        <v>2XJ8R0516N580FRL CHCH PEDS SOUTH 60 X 961102100DS009-6200FROSTY WHITE</v>
      </c>
      <c r="J5840" s="7">
        <f>COUNTIF(Paper_Reference[Duplicate Key],Paper_Reference[[#This Row],[Duplicate Key]])</f>
        <v>1</v>
      </c>
    </row>
    <row r="5841" spans="1:10">
      <c r="A5841" s="7">
        <v>2</v>
      </c>
      <c r="B5841" s="8" t="s">
        <v>6657</v>
      </c>
      <c r="C5841" s="8" t="s">
        <v>6105</v>
      </c>
      <c r="D5841" s="7">
        <v>1</v>
      </c>
      <c r="E5841" s="7">
        <v>10</v>
      </c>
      <c r="F5841" s="7">
        <v>2</v>
      </c>
      <c r="G5841" s="8" t="s">
        <v>5690</v>
      </c>
      <c r="H5841" s="8" t="s">
        <v>5691</v>
      </c>
      <c r="I5841" s="7" t="str">
        <f>_xlfn.CONCAT(Paper_Reference[[#This Row],[Lvl]:[Paper Description]])</f>
        <v>2XJ8R0516SD580FRL CHCH PEDS SOUTH 60 X 961102100DS009-6200FROSTY WHITE</v>
      </c>
      <c r="J5841" s="7">
        <f>COUNTIF(Paper_Reference[Duplicate Key],Paper_Reference[[#This Row],[Duplicate Key]])</f>
        <v>1</v>
      </c>
    </row>
    <row r="5842" spans="1:10">
      <c r="A5842" s="7">
        <v>2</v>
      </c>
      <c r="B5842" s="8" t="s">
        <v>6658</v>
      </c>
      <c r="C5842" s="8" t="s">
        <v>6106</v>
      </c>
      <c r="D5842" s="7">
        <v>1</v>
      </c>
      <c r="E5842" s="7">
        <v>10</v>
      </c>
      <c r="F5842" s="7">
        <v>2</v>
      </c>
      <c r="G5842" s="8" t="s">
        <v>5690</v>
      </c>
      <c r="H5842" s="8" t="s">
        <v>5691</v>
      </c>
      <c r="I5842" s="7" t="str">
        <f>_xlfn.CONCAT(Paper_Reference[[#This Row],[Lvl]:[Paper Description]])</f>
        <v>2XJ8R0517N580FRL CHCH PEDS 5102 EAST 60X961102100DS009-6200FROSTY WHITE</v>
      </c>
      <c r="J5842" s="7">
        <f>COUNTIF(Paper_Reference[Duplicate Key],Paper_Reference[[#This Row],[Duplicate Key]])</f>
        <v>1</v>
      </c>
    </row>
    <row r="5843" spans="1:10">
      <c r="A5843" s="7">
        <v>2</v>
      </c>
      <c r="B5843" s="8" t="s">
        <v>6659</v>
      </c>
      <c r="C5843" s="8" t="s">
        <v>6106</v>
      </c>
      <c r="D5843" s="7">
        <v>1</v>
      </c>
      <c r="E5843" s="7">
        <v>10</v>
      </c>
      <c r="F5843" s="7">
        <v>2</v>
      </c>
      <c r="G5843" s="8" t="s">
        <v>5690</v>
      </c>
      <c r="H5843" s="8" t="s">
        <v>5691</v>
      </c>
      <c r="I5843" s="7" t="str">
        <f>_xlfn.CONCAT(Paper_Reference[[#This Row],[Lvl]:[Paper Description]])</f>
        <v>2XJ8R0517SD580FRL CHCH PEDS 5102 EAST 60X961102100DS009-6200FROSTY WHITE</v>
      </c>
      <c r="J5843" s="7">
        <f>COUNTIF(Paper_Reference[Duplicate Key],Paper_Reference[[#This Row],[Duplicate Key]])</f>
        <v>1</v>
      </c>
    </row>
    <row r="5844" spans="1:10">
      <c r="A5844" s="7">
        <v>2</v>
      </c>
      <c r="B5844" s="8" t="s">
        <v>8177</v>
      </c>
      <c r="C5844" s="8" t="s">
        <v>7267</v>
      </c>
      <c r="D5844" s="7">
        <v>1</v>
      </c>
      <c r="E5844" s="7">
        <v>10</v>
      </c>
      <c r="F5844" s="7">
        <v>2</v>
      </c>
      <c r="G5844" s="8" t="s">
        <v>6710</v>
      </c>
      <c r="H5844" s="8" t="s">
        <v>5691</v>
      </c>
      <c r="I5844" s="7" t="str">
        <f>_xlfn.CONCAT(Paper_Reference[[#This Row],[Lvl]:[Paper Description]])</f>
        <v>2XJ8R0525N480UM DAISY FRL 48 X 961102100DS009-5000FROSTY WHITE</v>
      </c>
      <c r="J5844" s="7">
        <f>COUNTIF(Paper_Reference[Duplicate Key],Paper_Reference[[#This Row],[Duplicate Key]])</f>
        <v>1</v>
      </c>
    </row>
    <row r="5845" spans="1:10">
      <c r="A5845" s="7">
        <v>2</v>
      </c>
      <c r="B5845" s="8" t="s">
        <v>8178</v>
      </c>
      <c r="C5845" s="8" t="s">
        <v>7267</v>
      </c>
      <c r="D5845" s="7">
        <v>1</v>
      </c>
      <c r="E5845" s="7">
        <v>10</v>
      </c>
      <c r="F5845" s="7">
        <v>2</v>
      </c>
      <c r="G5845" s="8" t="s">
        <v>6710</v>
      </c>
      <c r="H5845" s="8" t="s">
        <v>5691</v>
      </c>
      <c r="I5845" s="7" t="str">
        <f>_xlfn.CONCAT(Paper_Reference[[#This Row],[Lvl]:[Paper Description]])</f>
        <v>2XJ8R0525SD480UM DAISY FRL 48 X 961102100DS009-5000FROSTY WHITE</v>
      </c>
      <c r="J5845" s="7">
        <f>COUNTIF(Paper_Reference[Duplicate Key],Paper_Reference[[#This Row],[Duplicate Key]])</f>
        <v>1</v>
      </c>
    </row>
    <row r="5846" spans="1:10">
      <c r="A5846" s="7">
        <v>2</v>
      </c>
      <c r="B5846" s="8" t="s">
        <v>8179</v>
      </c>
      <c r="C5846" s="8" t="s">
        <v>7268</v>
      </c>
      <c r="D5846" s="7">
        <v>1</v>
      </c>
      <c r="E5846" s="7">
        <v>10</v>
      </c>
      <c r="F5846" s="7">
        <v>2</v>
      </c>
      <c r="G5846" s="8" t="s">
        <v>6710</v>
      </c>
      <c r="H5846" s="8" t="s">
        <v>5691</v>
      </c>
      <c r="I5846" s="7" t="str">
        <f>_xlfn.CONCAT(Paper_Reference[[#This Row],[Lvl]:[Paper Description]])</f>
        <v>2XJ8R0530N480FRL NOR LEA FRL 48 X 961102100DS009-5000FROSTY WHITE</v>
      </c>
      <c r="J5846" s="7">
        <f>COUNTIF(Paper_Reference[Duplicate Key],Paper_Reference[[#This Row],[Duplicate Key]])</f>
        <v>1</v>
      </c>
    </row>
    <row r="5847" spans="1:10">
      <c r="A5847" s="7">
        <v>2</v>
      </c>
      <c r="B5847" s="8" t="s">
        <v>8180</v>
      </c>
      <c r="C5847" s="8" t="s">
        <v>7268</v>
      </c>
      <c r="D5847" s="7">
        <v>1</v>
      </c>
      <c r="E5847" s="7">
        <v>10</v>
      </c>
      <c r="F5847" s="7">
        <v>2</v>
      </c>
      <c r="G5847" s="8" t="s">
        <v>6710</v>
      </c>
      <c r="H5847" s="8" t="s">
        <v>5691</v>
      </c>
      <c r="I5847" s="7" t="str">
        <f>_xlfn.CONCAT(Paper_Reference[[#This Row],[Lvl]:[Paper Description]])</f>
        <v>2XJ8R0530SD480FRL NOR LEA FRL 48 X 961102100DS009-5000FROSTY WHITE</v>
      </c>
      <c r="J5847" s="7">
        <f>COUNTIF(Paper_Reference[Duplicate Key],Paper_Reference[[#This Row],[Duplicate Key]])</f>
        <v>1</v>
      </c>
    </row>
    <row r="5848" spans="1:10">
      <c r="A5848" s="7">
        <v>2</v>
      </c>
      <c r="B5848" s="8" t="s">
        <v>8181</v>
      </c>
      <c r="C5848" s="8" t="s">
        <v>7269</v>
      </c>
      <c r="D5848" s="7">
        <v>1</v>
      </c>
      <c r="E5848" s="7">
        <v>10</v>
      </c>
      <c r="F5848" s="7">
        <v>2</v>
      </c>
      <c r="G5848" s="8" t="s">
        <v>6710</v>
      </c>
      <c r="H5848" s="8" t="s">
        <v>5691</v>
      </c>
      <c r="I5848" s="7" t="str">
        <f>_xlfn.CONCAT(Paper_Reference[[#This Row],[Lvl]:[Paper Description]])</f>
        <v>2XJ8R0581N400FRL OCH MAIN ENT 48 X 1201102100DS009-5000FROSTY WHITE</v>
      </c>
      <c r="J5848" s="7">
        <f>COUNTIF(Paper_Reference[Duplicate Key],Paper_Reference[[#This Row],[Duplicate Key]])</f>
        <v>1</v>
      </c>
    </row>
    <row r="5849" spans="1:10">
      <c r="A5849" s="7">
        <v>2</v>
      </c>
      <c r="B5849" s="8" t="s">
        <v>8182</v>
      </c>
      <c r="C5849" s="8" t="s">
        <v>7269</v>
      </c>
      <c r="D5849" s="7">
        <v>1</v>
      </c>
      <c r="E5849" s="7">
        <v>10</v>
      </c>
      <c r="F5849" s="7">
        <v>2</v>
      </c>
      <c r="G5849" s="8" t="s">
        <v>6710</v>
      </c>
      <c r="H5849" s="8" t="s">
        <v>5691</v>
      </c>
      <c r="I5849" s="7" t="str">
        <f>_xlfn.CONCAT(Paper_Reference[[#This Row],[Lvl]:[Paper Description]])</f>
        <v>2XJ8R0581SD400FRL OCH MAIN ENT 48 X 1201102100DS009-5000FROSTY WHITE</v>
      </c>
      <c r="J5849" s="7">
        <f>COUNTIF(Paper_Reference[Duplicate Key],Paper_Reference[[#This Row],[Duplicate Key]])</f>
        <v>1</v>
      </c>
    </row>
    <row r="5850" spans="1:10">
      <c r="A5850" s="7">
        <v>2</v>
      </c>
      <c r="B5850" s="8" t="s">
        <v>6660</v>
      </c>
      <c r="C5850" s="8" t="s">
        <v>6107</v>
      </c>
      <c r="D5850" s="7">
        <v>1</v>
      </c>
      <c r="E5850" s="7">
        <v>10</v>
      </c>
      <c r="F5850" s="7">
        <v>2</v>
      </c>
      <c r="G5850" s="8" t="s">
        <v>5690</v>
      </c>
      <c r="H5850" s="8" t="s">
        <v>5691</v>
      </c>
      <c r="I5850" s="7" t="str">
        <f>_xlfn.CONCAT(Paper_Reference[[#This Row],[Lvl]:[Paper Description]])</f>
        <v>2XJ8R0582N580MCD ORLANDO G-01 FRL   60 X 961102100DS009-6200FROSTY WHITE</v>
      </c>
      <c r="J5850" s="7">
        <f>COUNTIF(Paper_Reference[Duplicate Key],Paper_Reference[[#This Row],[Duplicate Key]])</f>
        <v>1</v>
      </c>
    </row>
    <row r="5851" spans="1:10">
      <c r="A5851" s="7">
        <v>2</v>
      </c>
      <c r="B5851" s="8" t="s">
        <v>6661</v>
      </c>
      <c r="C5851" s="8" t="s">
        <v>6107</v>
      </c>
      <c r="D5851" s="7">
        <v>1</v>
      </c>
      <c r="E5851" s="7">
        <v>10</v>
      </c>
      <c r="F5851" s="7">
        <v>2</v>
      </c>
      <c r="G5851" s="8" t="s">
        <v>5690</v>
      </c>
      <c r="H5851" s="8" t="s">
        <v>5691</v>
      </c>
      <c r="I5851" s="7" t="str">
        <f>_xlfn.CONCAT(Paper_Reference[[#This Row],[Lvl]:[Paper Description]])</f>
        <v>2XJ8R0582SD580MCD ORLANDO G-01 FRL   60 X 961102100DS009-6200FROSTY WHITE</v>
      </c>
      <c r="J5851" s="7">
        <f>COUNTIF(Paper_Reference[Duplicate Key],Paper_Reference[[#This Row],[Duplicate Key]])</f>
        <v>1</v>
      </c>
    </row>
    <row r="5852" spans="1:10">
      <c r="A5852" s="7">
        <v>2</v>
      </c>
      <c r="B5852" s="8" t="s">
        <v>8183</v>
      </c>
      <c r="C5852" s="8" t="s">
        <v>7270</v>
      </c>
      <c r="D5852" s="7">
        <v>1</v>
      </c>
      <c r="E5852" s="7">
        <v>10</v>
      </c>
      <c r="F5852" s="7">
        <v>2</v>
      </c>
      <c r="G5852" s="8" t="s">
        <v>6710</v>
      </c>
      <c r="H5852" s="8" t="s">
        <v>5691</v>
      </c>
      <c r="I5852" s="7" t="str">
        <f>_xlfn.CONCAT(Paper_Reference[[#This Row],[Lvl]:[Paper Description]])</f>
        <v>2XJ8R0583N480MCD ORLANDO G-02 FRL 48X961102100DS009-5000FROSTY WHITE</v>
      </c>
      <c r="J5852" s="7">
        <f>COUNTIF(Paper_Reference[Duplicate Key],Paper_Reference[[#This Row],[Duplicate Key]])</f>
        <v>1</v>
      </c>
    </row>
    <row r="5853" spans="1:10">
      <c r="A5853" s="7">
        <v>2</v>
      </c>
      <c r="B5853" s="8" t="s">
        <v>8184</v>
      </c>
      <c r="C5853" s="8" t="s">
        <v>7270</v>
      </c>
      <c r="D5853" s="7">
        <v>1</v>
      </c>
      <c r="E5853" s="7">
        <v>10</v>
      </c>
      <c r="F5853" s="7">
        <v>2</v>
      </c>
      <c r="G5853" s="8" t="s">
        <v>6710</v>
      </c>
      <c r="H5853" s="8" t="s">
        <v>5691</v>
      </c>
      <c r="I5853" s="7" t="str">
        <f>_xlfn.CONCAT(Paper_Reference[[#This Row],[Lvl]:[Paper Description]])</f>
        <v>2XJ8R0583SD480MCD ORLANDO G-02 FRL 48X961102100DS009-5000FROSTY WHITE</v>
      </c>
      <c r="J5853" s="7">
        <f>COUNTIF(Paper_Reference[Duplicate Key],Paper_Reference[[#This Row],[Duplicate Key]])</f>
        <v>1</v>
      </c>
    </row>
    <row r="5854" spans="1:10">
      <c r="A5854" s="7">
        <v>2</v>
      </c>
      <c r="B5854" s="8" t="s">
        <v>8185</v>
      </c>
      <c r="C5854" s="8" t="s">
        <v>7271</v>
      </c>
      <c r="D5854" s="7">
        <v>1</v>
      </c>
      <c r="E5854" s="7">
        <v>10</v>
      </c>
      <c r="F5854" s="7">
        <v>2</v>
      </c>
      <c r="G5854" s="8" t="s">
        <v>6710</v>
      </c>
      <c r="H5854" s="8" t="s">
        <v>5691</v>
      </c>
      <c r="I5854" s="7" t="str">
        <f>_xlfn.CONCAT(Paper_Reference[[#This Row],[Lvl]:[Paper Description]])</f>
        <v>2XJ8R0584N480MCD ORLANDO G-03 FRL 48X961102100DS009-5000FROSTY WHITE</v>
      </c>
      <c r="J5854" s="7">
        <f>COUNTIF(Paper_Reference[Duplicate Key],Paper_Reference[[#This Row],[Duplicate Key]])</f>
        <v>1</v>
      </c>
    </row>
    <row r="5855" spans="1:10">
      <c r="A5855" s="7">
        <v>2</v>
      </c>
      <c r="B5855" s="8" t="s">
        <v>8186</v>
      </c>
      <c r="C5855" s="8" t="s">
        <v>7271</v>
      </c>
      <c r="D5855" s="7">
        <v>1</v>
      </c>
      <c r="E5855" s="7">
        <v>10</v>
      </c>
      <c r="F5855" s="7">
        <v>2</v>
      </c>
      <c r="G5855" s="8" t="s">
        <v>6710</v>
      </c>
      <c r="H5855" s="8" t="s">
        <v>5691</v>
      </c>
      <c r="I5855" s="7" t="str">
        <f>_xlfn.CONCAT(Paper_Reference[[#This Row],[Lvl]:[Paper Description]])</f>
        <v>2XJ8R0584SD480MCD ORLANDO G-03 FRL 48X961102100DS009-5000FROSTY WHITE</v>
      </c>
      <c r="J5855" s="7">
        <f>COUNTIF(Paper_Reference[Duplicate Key],Paper_Reference[[#This Row],[Duplicate Key]])</f>
        <v>1</v>
      </c>
    </row>
    <row r="5856" spans="1:10">
      <c r="A5856" s="7">
        <v>2</v>
      </c>
      <c r="B5856" s="8" t="s">
        <v>8187</v>
      </c>
      <c r="C5856" s="8" t="s">
        <v>7272</v>
      </c>
      <c r="D5856" s="7">
        <v>1</v>
      </c>
      <c r="E5856" s="7">
        <v>10</v>
      </c>
      <c r="F5856" s="7">
        <v>2</v>
      </c>
      <c r="G5856" s="8" t="s">
        <v>6710</v>
      </c>
      <c r="H5856" s="8" t="s">
        <v>5691</v>
      </c>
      <c r="I5856" s="7" t="str">
        <f>_xlfn.CONCAT(Paper_Reference[[#This Row],[Lvl]:[Paper Description]])</f>
        <v>2XJ8R0585N480MCD ORLANDO G-04 FRL 48X961102100DS009-5000FROSTY WHITE</v>
      </c>
      <c r="J5856" s="7">
        <f>COUNTIF(Paper_Reference[Duplicate Key],Paper_Reference[[#This Row],[Duplicate Key]])</f>
        <v>1</v>
      </c>
    </row>
    <row r="5857" spans="1:10">
      <c r="A5857" s="7">
        <v>2</v>
      </c>
      <c r="B5857" s="8" t="s">
        <v>8188</v>
      </c>
      <c r="C5857" s="8" t="s">
        <v>7272</v>
      </c>
      <c r="D5857" s="7">
        <v>1</v>
      </c>
      <c r="E5857" s="7">
        <v>10</v>
      </c>
      <c r="F5857" s="7">
        <v>2</v>
      </c>
      <c r="G5857" s="8" t="s">
        <v>6710</v>
      </c>
      <c r="H5857" s="8" t="s">
        <v>5691</v>
      </c>
      <c r="I5857" s="7" t="str">
        <f>_xlfn.CONCAT(Paper_Reference[[#This Row],[Lvl]:[Paper Description]])</f>
        <v>2XJ8R0585SD480MCD ORLANDO G-04 FRL 48X961102100DS009-5000FROSTY WHITE</v>
      </c>
      <c r="J5857" s="7">
        <f>COUNTIF(Paper_Reference[Duplicate Key],Paper_Reference[[#This Row],[Duplicate Key]])</f>
        <v>1</v>
      </c>
    </row>
    <row r="5858" spans="1:10">
      <c r="A5858" s="7">
        <v>2</v>
      </c>
      <c r="B5858" s="8" t="s">
        <v>6662</v>
      </c>
      <c r="C5858" s="8" t="s">
        <v>6108</v>
      </c>
      <c r="D5858" s="7">
        <v>1</v>
      </c>
      <c r="E5858" s="7">
        <v>10</v>
      </c>
      <c r="F5858" s="7">
        <v>2</v>
      </c>
      <c r="G5858" s="8" t="s">
        <v>5690</v>
      </c>
      <c r="H5858" s="8" t="s">
        <v>5691</v>
      </c>
      <c r="I5858" s="7" t="str">
        <f>_xlfn.CONCAT(Paper_Reference[[#This Row],[Lvl]:[Paper Description]])</f>
        <v>2XJ8R0586N580MCD ORLANDO G-05 FRL   60 X 961102100DS009-6200FROSTY WHITE</v>
      </c>
      <c r="J5858" s="7">
        <f>COUNTIF(Paper_Reference[Duplicate Key],Paper_Reference[[#This Row],[Duplicate Key]])</f>
        <v>1</v>
      </c>
    </row>
    <row r="5859" spans="1:10">
      <c r="A5859" s="7">
        <v>2</v>
      </c>
      <c r="B5859" s="8" t="s">
        <v>6663</v>
      </c>
      <c r="C5859" s="8" t="s">
        <v>6108</v>
      </c>
      <c r="D5859" s="7">
        <v>1</v>
      </c>
      <c r="E5859" s="7">
        <v>10</v>
      </c>
      <c r="F5859" s="7">
        <v>2</v>
      </c>
      <c r="G5859" s="8" t="s">
        <v>5690</v>
      </c>
      <c r="H5859" s="8" t="s">
        <v>5691</v>
      </c>
      <c r="I5859" s="7" t="str">
        <f>_xlfn.CONCAT(Paper_Reference[[#This Row],[Lvl]:[Paper Description]])</f>
        <v>2XJ8R0586SD580MCD ORLANDO G-05 FRL   60 X 961102100DS009-6200FROSTY WHITE</v>
      </c>
      <c r="J5859" s="7">
        <f>COUNTIF(Paper_Reference[Duplicate Key],Paper_Reference[[#This Row],[Duplicate Key]])</f>
        <v>1</v>
      </c>
    </row>
    <row r="5860" spans="1:10">
      <c r="A5860" s="7">
        <v>2</v>
      </c>
      <c r="B5860" s="8" t="s">
        <v>6664</v>
      </c>
      <c r="C5860" s="8" t="s">
        <v>6109</v>
      </c>
      <c r="D5860" s="7">
        <v>1</v>
      </c>
      <c r="E5860" s="7">
        <v>10</v>
      </c>
      <c r="F5860" s="7">
        <v>2</v>
      </c>
      <c r="G5860" s="8" t="s">
        <v>5690</v>
      </c>
      <c r="H5860" s="8" t="s">
        <v>5691</v>
      </c>
      <c r="I5860" s="7" t="str">
        <f>_xlfn.CONCAT(Paper_Reference[[#This Row],[Lvl]:[Paper Description]])</f>
        <v>2XJ8R0587N580MCD ORLANDO SOFFIT FRL   60 X1102100DS009-6200FROSTY WHITE</v>
      </c>
      <c r="J5860" s="7">
        <f>COUNTIF(Paper_Reference[Duplicate Key],Paper_Reference[[#This Row],[Duplicate Key]])</f>
        <v>1</v>
      </c>
    </row>
    <row r="5861" spans="1:10">
      <c r="A5861" s="7">
        <v>2</v>
      </c>
      <c r="B5861" s="8" t="s">
        <v>6665</v>
      </c>
      <c r="C5861" s="8" t="s">
        <v>6109</v>
      </c>
      <c r="D5861" s="7">
        <v>1</v>
      </c>
      <c r="E5861" s="7">
        <v>10</v>
      </c>
      <c r="F5861" s="7">
        <v>2</v>
      </c>
      <c r="G5861" s="8" t="s">
        <v>5690</v>
      </c>
      <c r="H5861" s="8" t="s">
        <v>5691</v>
      </c>
      <c r="I5861" s="7" t="str">
        <f>_xlfn.CONCAT(Paper_Reference[[#This Row],[Lvl]:[Paper Description]])</f>
        <v>2XJ8R0587SD580MCD ORLANDO SOFFIT FRL   60 X1102100DS009-6200FROSTY WHITE</v>
      </c>
      <c r="J5861" s="7">
        <f>COUNTIF(Paper_Reference[Duplicate Key],Paper_Reference[[#This Row],[Duplicate Key]])</f>
        <v>1</v>
      </c>
    </row>
    <row r="5862" spans="1:10">
      <c r="A5862" s="7">
        <v>2</v>
      </c>
      <c r="B5862" s="8" t="s">
        <v>8189</v>
      </c>
      <c r="C5862" s="8" t="s">
        <v>7273</v>
      </c>
      <c r="D5862" s="7">
        <v>1</v>
      </c>
      <c r="E5862" s="7">
        <v>10</v>
      </c>
      <c r="F5862" s="7">
        <v>2</v>
      </c>
      <c r="G5862" s="8" t="s">
        <v>6710</v>
      </c>
      <c r="H5862" s="8" t="s">
        <v>5691</v>
      </c>
      <c r="I5862" s="7" t="str">
        <f>_xlfn.CONCAT(Paper_Reference[[#This Row],[Lvl]:[Paper Description]])</f>
        <v>2XJ8R0588N400FRL KETCHIKEN 2100 NORTH 48 X1102100DS009-5000FROSTY WHITE</v>
      </c>
      <c r="J5862" s="7">
        <f>COUNTIF(Paper_Reference[Duplicate Key],Paper_Reference[[#This Row],[Duplicate Key]])</f>
        <v>1</v>
      </c>
    </row>
    <row r="5863" spans="1:10">
      <c r="A5863" s="7">
        <v>2</v>
      </c>
      <c r="B5863" s="8" t="s">
        <v>8190</v>
      </c>
      <c r="C5863" s="8" t="s">
        <v>7273</v>
      </c>
      <c r="D5863" s="7">
        <v>1</v>
      </c>
      <c r="E5863" s="7">
        <v>10</v>
      </c>
      <c r="F5863" s="7">
        <v>2</v>
      </c>
      <c r="G5863" s="8" t="s">
        <v>6710</v>
      </c>
      <c r="H5863" s="8" t="s">
        <v>5691</v>
      </c>
      <c r="I5863" s="7" t="str">
        <f>_xlfn.CONCAT(Paper_Reference[[#This Row],[Lvl]:[Paper Description]])</f>
        <v>2XJ8R0588SD400FRL KETCHIKEN 2100 NORTH 48 X1102100DS009-5000FROSTY WHITE</v>
      </c>
      <c r="J5863" s="7">
        <f>COUNTIF(Paper_Reference[Duplicate Key],Paper_Reference[[#This Row],[Duplicate Key]])</f>
        <v>1</v>
      </c>
    </row>
    <row r="5864" spans="1:10">
      <c r="A5864" s="7">
        <v>2</v>
      </c>
      <c r="B5864" s="8" t="s">
        <v>8191</v>
      </c>
      <c r="C5864" s="8" t="s">
        <v>7274</v>
      </c>
      <c r="D5864" s="7">
        <v>1</v>
      </c>
      <c r="E5864" s="7">
        <v>10</v>
      </c>
      <c r="F5864" s="7">
        <v>2</v>
      </c>
      <c r="G5864" s="8" t="s">
        <v>6710</v>
      </c>
      <c r="H5864" s="8" t="s">
        <v>5691</v>
      </c>
      <c r="I5864" s="7" t="str">
        <f>_xlfn.CONCAT(Paper_Reference[[#This Row],[Lvl]:[Paper Description]])</f>
        <v>2XJ8R0589N400FRL KETCHIKEN 1364 NORTH 48 X1102100DS009-5000FROSTY WHITE</v>
      </c>
      <c r="J5864" s="7">
        <f>COUNTIF(Paper_Reference[Duplicate Key],Paper_Reference[[#This Row],[Duplicate Key]])</f>
        <v>1</v>
      </c>
    </row>
    <row r="5865" spans="1:10">
      <c r="A5865" s="7">
        <v>2</v>
      </c>
      <c r="B5865" s="8" t="s">
        <v>8192</v>
      </c>
      <c r="C5865" s="8" t="s">
        <v>7274</v>
      </c>
      <c r="D5865" s="7">
        <v>1</v>
      </c>
      <c r="E5865" s="7">
        <v>10</v>
      </c>
      <c r="F5865" s="7">
        <v>2</v>
      </c>
      <c r="G5865" s="8" t="s">
        <v>6710</v>
      </c>
      <c r="H5865" s="8" t="s">
        <v>5691</v>
      </c>
      <c r="I5865" s="7" t="str">
        <f>_xlfn.CONCAT(Paper_Reference[[#This Row],[Lvl]:[Paper Description]])</f>
        <v>2XJ8R0589SD400FRL KETCHIKEN 1364 NORTH 48 X1102100DS009-5000FROSTY WHITE</v>
      </c>
      <c r="J5865" s="7">
        <f>COUNTIF(Paper_Reference[Duplicate Key],Paper_Reference[[#This Row],[Duplicate Key]])</f>
        <v>1</v>
      </c>
    </row>
    <row r="5866" spans="1:10">
      <c r="A5866" s="7">
        <v>2</v>
      </c>
      <c r="B5866" s="8" t="s">
        <v>8193</v>
      </c>
      <c r="C5866" s="8" t="s">
        <v>7275</v>
      </c>
      <c r="D5866" s="7">
        <v>1</v>
      </c>
      <c r="E5866" s="7">
        <v>10</v>
      </c>
      <c r="F5866" s="7">
        <v>2</v>
      </c>
      <c r="G5866" s="8" t="s">
        <v>6710</v>
      </c>
      <c r="H5866" s="8" t="s">
        <v>5691</v>
      </c>
      <c r="I5866" s="7" t="str">
        <f>_xlfn.CONCAT(Paper_Reference[[#This Row],[Lvl]:[Paper Description]])</f>
        <v>2XJ8R0590N400FRL KETCHIKEN G101 NORTH 48 X1102100DS009-5000FROSTY WHITE</v>
      </c>
      <c r="J5866" s="7">
        <f>COUNTIF(Paper_Reference[Duplicate Key],Paper_Reference[[#This Row],[Duplicate Key]])</f>
        <v>1</v>
      </c>
    </row>
    <row r="5867" spans="1:10">
      <c r="A5867" s="7">
        <v>2</v>
      </c>
      <c r="B5867" s="8" t="s">
        <v>8194</v>
      </c>
      <c r="C5867" s="8" t="s">
        <v>7275</v>
      </c>
      <c r="D5867" s="7">
        <v>1</v>
      </c>
      <c r="E5867" s="7">
        <v>10</v>
      </c>
      <c r="F5867" s="7">
        <v>2</v>
      </c>
      <c r="G5867" s="8" t="s">
        <v>6710</v>
      </c>
      <c r="H5867" s="8" t="s">
        <v>5691</v>
      </c>
      <c r="I5867" s="7" t="str">
        <f>_xlfn.CONCAT(Paper_Reference[[#This Row],[Lvl]:[Paper Description]])</f>
        <v>2XJ8R0590SD400FRL KETCHIKEN G101 NORTH 48 X1102100DS009-5000FROSTY WHITE</v>
      </c>
      <c r="J5867" s="7">
        <f>COUNTIF(Paper_Reference[Duplicate Key],Paper_Reference[[#This Row],[Duplicate Key]])</f>
        <v>1</v>
      </c>
    </row>
    <row r="5868" spans="1:10">
      <c r="A5868" s="7">
        <v>2</v>
      </c>
      <c r="B5868" s="8" t="s">
        <v>8195</v>
      </c>
      <c r="C5868" s="8" t="s">
        <v>7276</v>
      </c>
      <c r="D5868" s="7">
        <v>1</v>
      </c>
      <c r="E5868" s="7">
        <v>10</v>
      </c>
      <c r="F5868" s="7">
        <v>2</v>
      </c>
      <c r="G5868" s="8" t="s">
        <v>6710</v>
      </c>
      <c r="H5868" s="8" t="s">
        <v>5691</v>
      </c>
      <c r="I5868" s="7" t="str">
        <f>_xlfn.CONCAT(Paper_Reference[[#This Row],[Lvl]:[Paper Description]])</f>
        <v>2XJ8R0591N400FRL KETCHIKEN S100 NORTH 48 X1102100DS009-5000FROSTY WHITE</v>
      </c>
      <c r="J5868" s="7">
        <f>COUNTIF(Paper_Reference[Duplicate Key],Paper_Reference[[#This Row],[Duplicate Key]])</f>
        <v>1</v>
      </c>
    </row>
    <row r="5869" spans="1:10">
      <c r="A5869" s="7">
        <v>2</v>
      </c>
      <c r="B5869" s="8" t="s">
        <v>8196</v>
      </c>
      <c r="C5869" s="8" t="s">
        <v>7276</v>
      </c>
      <c r="D5869" s="7">
        <v>1</v>
      </c>
      <c r="E5869" s="7">
        <v>10</v>
      </c>
      <c r="F5869" s="7">
        <v>2</v>
      </c>
      <c r="G5869" s="8" t="s">
        <v>6710</v>
      </c>
      <c r="H5869" s="8" t="s">
        <v>5691</v>
      </c>
      <c r="I5869" s="7" t="str">
        <f>_xlfn.CONCAT(Paper_Reference[[#This Row],[Lvl]:[Paper Description]])</f>
        <v>2XJ8R0591SD400FRL KETCHIKEN S100 NORTH 48 X1102100DS009-5000FROSTY WHITE</v>
      </c>
      <c r="J5869" s="7">
        <f>COUNTIF(Paper_Reference[Duplicate Key],Paper_Reference[[#This Row],[Duplicate Key]])</f>
        <v>1</v>
      </c>
    </row>
    <row r="5870" spans="1:10">
      <c r="A5870" s="7">
        <v>2</v>
      </c>
      <c r="B5870" s="8" t="s">
        <v>8197</v>
      </c>
      <c r="C5870" s="8" t="s">
        <v>7277</v>
      </c>
      <c r="D5870" s="7">
        <v>1</v>
      </c>
      <c r="E5870" s="7">
        <v>10</v>
      </c>
      <c r="F5870" s="7">
        <v>2</v>
      </c>
      <c r="G5870" s="8" t="s">
        <v>6710</v>
      </c>
      <c r="H5870" s="8" t="s">
        <v>5691</v>
      </c>
      <c r="I5870" s="7" t="str">
        <f>_xlfn.CONCAT(Paper_Reference[[#This Row],[Lvl]:[Paper Description]])</f>
        <v>2XJ8R0592N400FRL KETCHIKEN S102 NORTH 48 X1102100DS009-5000FROSTY WHITE</v>
      </c>
      <c r="J5870" s="7">
        <f>COUNTIF(Paper_Reference[Duplicate Key],Paper_Reference[[#This Row],[Duplicate Key]])</f>
        <v>1</v>
      </c>
    </row>
    <row r="5871" spans="1:10">
      <c r="A5871" s="7">
        <v>2</v>
      </c>
      <c r="B5871" s="8" t="s">
        <v>8198</v>
      </c>
      <c r="C5871" s="8" t="s">
        <v>7277</v>
      </c>
      <c r="D5871" s="7">
        <v>1</v>
      </c>
      <c r="E5871" s="7">
        <v>10</v>
      </c>
      <c r="F5871" s="7">
        <v>2</v>
      </c>
      <c r="G5871" s="8" t="s">
        <v>6710</v>
      </c>
      <c r="H5871" s="8" t="s">
        <v>5691</v>
      </c>
      <c r="I5871" s="7" t="str">
        <f>_xlfn.CONCAT(Paper_Reference[[#This Row],[Lvl]:[Paper Description]])</f>
        <v>2XJ8R0592SD400FRL KETCHIKEN S102 NORTH 48 X1102100DS009-5000FROSTY WHITE</v>
      </c>
      <c r="J5871" s="7">
        <f>COUNTIF(Paper_Reference[Duplicate Key],Paper_Reference[[#This Row],[Duplicate Key]])</f>
        <v>1</v>
      </c>
    </row>
    <row r="5872" spans="1:10">
      <c r="A5872" s="7">
        <v>2</v>
      </c>
      <c r="B5872" s="8" t="s">
        <v>8199</v>
      </c>
      <c r="C5872" s="8" t="s">
        <v>7278</v>
      </c>
      <c r="D5872" s="7">
        <v>1</v>
      </c>
      <c r="E5872" s="7">
        <v>10</v>
      </c>
      <c r="F5872" s="7">
        <v>2</v>
      </c>
      <c r="G5872" s="8" t="s">
        <v>6710</v>
      </c>
      <c r="H5872" s="8" t="s">
        <v>5691</v>
      </c>
      <c r="I5872" s="7" t="str">
        <f>_xlfn.CONCAT(Paper_Reference[[#This Row],[Lvl]:[Paper Description]])</f>
        <v>2XJ8R0593N400FRL REDI MED MURAL 48 X 1201102100DS009-5000FROSTY WHITE</v>
      </c>
      <c r="J5872" s="7">
        <f>COUNTIF(Paper_Reference[Duplicate Key],Paper_Reference[[#This Row],[Duplicate Key]])</f>
        <v>1</v>
      </c>
    </row>
    <row r="5873" spans="1:10">
      <c r="A5873" s="7">
        <v>2</v>
      </c>
      <c r="B5873" s="8" t="s">
        <v>8200</v>
      </c>
      <c r="C5873" s="8" t="s">
        <v>7278</v>
      </c>
      <c r="D5873" s="7">
        <v>1</v>
      </c>
      <c r="E5873" s="7">
        <v>10</v>
      </c>
      <c r="F5873" s="7">
        <v>2</v>
      </c>
      <c r="G5873" s="8" t="s">
        <v>6710</v>
      </c>
      <c r="H5873" s="8" t="s">
        <v>5691</v>
      </c>
      <c r="I5873" s="7" t="str">
        <f>_xlfn.CONCAT(Paper_Reference[[#This Row],[Lvl]:[Paper Description]])</f>
        <v>2XJ8R0593SD400FRL REDI MED MURAL 48 X 1201102100DS009-5000FROSTY WHITE</v>
      </c>
      <c r="J5873" s="7">
        <f>COUNTIF(Paper_Reference[Duplicate Key],Paper_Reference[[#This Row],[Duplicate Key]])</f>
        <v>1</v>
      </c>
    </row>
    <row r="5874" spans="1:10">
      <c r="A5874" s="7">
        <v>2</v>
      </c>
      <c r="B5874" s="8" t="s">
        <v>8201</v>
      </c>
      <c r="C5874" s="8" t="s">
        <v>7279</v>
      </c>
      <c r="D5874" s="7">
        <v>1</v>
      </c>
      <c r="E5874" s="7">
        <v>10</v>
      </c>
      <c r="F5874" s="7">
        <v>2</v>
      </c>
      <c r="G5874" s="8" t="s">
        <v>6710</v>
      </c>
      <c r="H5874" s="8" t="s">
        <v>5691</v>
      </c>
      <c r="I5874" s="7" t="str">
        <f>_xlfn.CONCAT(Paper_Reference[[#This Row],[Lvl]:[Paper Description]])</f>
        <v>2XJ8R0594N480FRL RICHELIEU VANCOVER 48X961102100DS009-5000FROSTY WHITE</v>
      </c>
      <c r="J5874" s="7">
        <f>COUNTIF(Paper_Reference[Duplicate Key],Paper_Reference[[#This Row],[Duplicate Key]])</f>
        <v>1</v>
      </c>
    </row>
    <row r="5875" spans="1:10">
      <c r="A5875" s="7">
        <v>2</v>
      </c>
      <c r="B5875" s="8" t="s">
        <v>8202</v>
      </c>
      <c r="C5875" s="8" t="s">
        <v>7279</v>
      </c>
      <c r="D5875" s="7">
        <v>1</v>
      </c>
      <c r="E5875" s="7">
        <v>10</v>
      </c>
      <c r="F5875" s="7">
        <v>2</v>
      </c>
      <c r="G5875" s="8" t="s">
        <v>6710</v>
      </c>
      <c r="H5875" s="8" t="s">
        <v>5691</v>
      </c>
      <c r="I5875" s="7" t="str">
        <f>_xlfn.CONCAT(Paper_Reference[[#This Row],[Lvl]:[Paper Description]])</f>
        <v>2XJ8R0594SD480FRL RICHELIEU VANCOVER 48X961102100DS009-5000FROSTY WHITE</v>
      </c>
      <c r="J5875" s="7">
        <f>COUNTIF(Paper_Reference[Duplicate Key],Paper_Reference[[#This Row],[Duplicate Key]])</f>
        <v>1</v>
      </c>
    </row>
    <row r="5876" spans="1:10">
      <c r="A5876" s="7">
        <v>2</v>
      </c>
      <c r="B5876" s="8" t="s">
        <v>8203</v>
      </c>
      <c r="C5876" s="8" t="s">
        <v>7280</v>
      </c>
      <c r="D5876" s="7">
        <v>1</v>
      </c>
      <c r="E5876" s="7">
        <v>10</v>
      </c>
      <c r="F5876" s="7">
        <v>2</v>
      </c>
      <c r="G5876" s="8" t="s">
        <v>6710</v>
      </c>
      <c r="H5876" s="8" t="s">
        <v>5691</v>
      </c>
      <c r="I5876" s="7" t="str">
        <f>_xlfn.CONCAT(Paper_Reference[[#This Row],[Lvl]:[Paper Description]])</f>
        <v>2XJ8R0596N4003FRL UCHC PATIENT TOWER 48 X 121102100DS009-5000FROSTY WHITE</v>
      </c>
      <c r="J5876" s="7">
        <f>COUNTIF(Paper_Reference[Duplicate Key],Paper_Reference[[#This Row],[Duplicate Key]])</f>
        <v>1</v>
      </c>
    </row>
    <row r="5877" spans="1:10">
      <c r="A5877" s="7">
        <v>2</v>
      </c>
      <c r="B5877" s="8" t="s">
        <v>8204</v>
      </c>
      <c r="C5877" s="8" t="s">
        <v>7280</v>
      </c>
      <c r="D5877" s="7">
        <v>1</v>
      </c>
      <c r="E5877" s="7">
        <v>10</v>
      </c>
      <c r="F5877" s="7">
        <v>2</v>
      </c>
      <c r="G5877" s="8" t="s">
        <v>6710</v>
      </c>
      <c r="H5877" s="8" t="s">
        <v>5691</v>
      </c>
      <c r="I5877" s="7" t="str">
        <f>_xlfn.CONCAT(Paper_Reference[[#This Row],[Lvl]:[Paper Description]])</f>
        <v>2XJ8R0596SD4003FRL UCHC PATIENT TOWER 48 X 121102100DS009-5000FROSTY WHITE</v>
      </c>
      <c r="J5877" s="7">
        <f>COUNTIF(Paper_Reference[Duplicate Key],Paper_Reference[[#This Row],[Duplicate Key]])</f>
        <v>1</v>
      </c>
    </row>
    <row r="5878" spans="1:10">
      <c r="A5878" s="7">
        <v>2</v>
      </c>
      <c r="B5878" s="8" t="s">
        <v>8205</v>
      </c>
      <c r="C5878" s="8" t="s">
        <v>7281</v>
      </c>
      <c r="D5878" s="7">
        <v>1</v>
      </c>
      <c r="E5878" s="7">
        <v>10</v>
      </c>
      <c r="F5878" s="7">
        <v>2</v>
      </c>
      <c r="G5878" s="8" t="s">
        <v>6710</v>
      </c>
      <c r="H5878" s="8" t="s">
        <v>5691</v>
      </c>
      <c r="I5878" s="7" t="str">
        <f>_xlfn.CONCAT(Paper_Reference[[#This Row],[Lvl]:[Paper Description]])</f>
        <v>2XJ8R0597N480ICH PEDS CATH A1 48 X 961102100DS009-5000FROSTY WHITE</v>
      </c>
      <c r="J5878" s="7">
        <f>COUNTIF(Paper_Reference[Duplicate Key],Paper_Reference[[#This Row],[Duplicate Key]])</f>
        <v>1</v>
      </c>
    </row>
    <row r="5879" spans="1:10">
      <c r="A5879" s="7">
        <v>2</v>
      </c>
      <c r="B5879" s="8" t="s">
        <v>8206</v>
      </c>
      <c r="C5879" s="8" t="s">
        <v>7281</v>
      </c>
      <c r="D5879" s="7">
        <v>1</v>
      </c>
      <c r="E5879" s="7">
        <v>10</v>
      </c>
      <c r="F5879" s="7">
        <v>2</v>
      </c>
      <c r="G5879" s="8" t="s">
        <v>6710</v>
      </c>
      <c r="H5879" s="8" t="s">
        <v>5691</v>
      </c>
      <c r="I5879" s="7" t="str">
        <f>_xlfn.CONCAT(Paper_Reference[[#This Row],[Lvl]:[Paper Description]])</f>
        <v>2XJ8R0597SD480ICH PEDS CATH A1 48 X 961102100DS009-5000FROSTY WHITE</v>
      </c>
      <c r="J5879" s="7">
        <f>COUNTIF(Paper_Reference[Duplicate Key],Paper_Reference[[#This Row],[Duplicate Key]])</f>
        <v>1</v>
      </c>
    </row>
    <row r="5880" spans="1:10">
      <c r="A5880" s="7">
        <v>2</v>
      </c>
      <c r="B5880" s="8" t="s">
        <v>8207</v>
      </c>
      <c r="C5880" s="8" t="s">
        <v>7282</v>
      </c>
      <c r="D5880" s="7">
        <v>1</v>
      </c>
      <c r="E5880" s="7">
        <v>10</v>
      </c>
      <c r="F5880" s="7">
        <v>2</v>
      </c>
      <c r="G5880" s="8" t="s">
        <v>6710</v>
      </c>
      <c r="H5880" s="8" t="s">
        <v>5691</v>
      </c>
      <c r="I5880" s="7" t="str">
        <f>_xlfn.CONCAT(Paper_Reference[[#This Row],[Lvl]:[Paper Description]])</f>
        <v>2XJ8R0598N480ICH PEDS CATH A2 48 X 961102100DS009-5000FROSTY WHITE</v>
      </c>
      <c r="J5880" s="7">
        <f>COUNTIF(Paper_Reference[Duplicate Key],Paper_Reference[[#This Row],[Duplicate Key]])</f>
        <v>1</v>
      </c>
    </row>
    <row r="5881" spans="1:10">
      <c r="A5881" s="7">
        <v>2</v>
      </c>
      <c r="B5881" s="8" t="s">
        <v>8208</v>
      </c>
      <c r="C5881" s="8" t="s">
        <v>7282</v>
      </c>
      <c r="D5881" s="7">
        <v>1</v>
      </c>
      <c r="E5881" s="7">
        <v>10</v>
      </c>
      <c r="F5881" s="7">
        <v>2</v>
      </c>
      <c r="G5881" s="8" t="s">
        <v>6710</v>
      </c>
      <c r="H5881" s="8" t="s">
        <v>5691</v>
      </c>
      <c r="I5881" s="7" t="str">
        <f>_xlfn.CONCAT(Paper_Reference[[#This Row],[Lvl]:[Paper Description]])</f>
        <v>2XJ8R0598SD480ICH PEDS CATH A2 48 X 961102100DS009-5000FROSTY WHITE</v>
      </c>
      <c r="J5881" s="7">
        <f>COUNTIF(Paper_Reference[Duplicate Key],Paper_Reference[[#This Row],[Duplicate Key]])</f>
        <v>1</v>
      </c>
    </row>
    <row r="5882" spans="1:10">
      <c r="A5882" s="7">
        <v>2</v>
      </c>
      <c r="B5882" s="8" t="s">
        <v>8209</v>
      </c>
      <c r="C5882" s="8" t="s">
        <v>7283</v>
      </c>
      <c r="D5882" s="7">
        <v>1</v>
      </c>
      <c r="E5882" s="7">
        <v>10</v>
      </c>
      <c r="F5882" s="7">
        <v>2</v>
      </c>
      <c r="G5882" s="8" t="s">
        <v>6710</v>
      </c>
      <c r="H5882" s="8" t="s">
        <v>5691</v>
      </c>
      <c r="I5882" s="7" t="str">
        <f>_xlfn.CONCAT(Paper_Reference[[#This Row],[Lvl]:[Paper Description]])</f>
        <v>2XJ8R0599N480ICH PEDS CATH A3 48 X 961102100DS009-5000FROSTY WHITE</v>
      </c>
      <c r="J5882" s="7">
        <f>COUNTIF(Paper_Reference[Duplicate Key],Paper_Reference[[#This Row],[Duplicate Key]])</f>
        <v>1</v>
      </c>
    </row>
    <row r="5883" spans="1:10">
      <c r="A5883" s="7">
        <v>2</v>
      </c>
      <c r="B5883" s="8" t="s">
        <v>8210</v>
      </c>
      <c r="C5883" s="8" t="s">
        <v>7283</v>
      </c>
      <c r="D5883" s="7">
        <v>1</v>
      </c>
      <c r="E5883" s="7">
        <v>10</v>
      </c>
      <c r="F5883" s="7">
        <v>2</v>
      </c>
      <c r="G5883" s="8" t="s">
        <v>6710</v>
      </c>
      <c r="H5883" s="8" t="s">
        <v>5691</v>
      </c>
      <c r="I5883" s="7" t="str">
        <f>_xlfn.CONCAT(Paper_Reference[[#This Row],[Lvl]:[Paper Description]])</f>
        <v>2XJ8R0599SD480ICH PEDS CATH A3 48 X 961102100DS009-5000FROSTY WHITE</v>
      </c>
      <c r="J5883" s="7">
        <f>COUNTIF(Paper_Reference[Duplicate Key],Paper_Reference[[#This Row],[Duplicate Key]])</f>
        <v>1</v>
      </c>
    </row>
    <row r="5884" spans="1:10">
      <c r="A5884" s="7">
        <v>2</v>
      </c>
      <c r="B5884" s="8" t="s">
        <v>6666</v>
      </c>
      <c r="C5884" s="8" t="s">
        <v>6110</v>
      </c>
      <c r="D5884" s="7">
        <v>1</v>
      </c>
      <c r="E5884" s="7">
        <v>10</v>
      </c>
      <c r="F5884" s="7">
        <v>2</v>
      </c>
      <c r="G5884" s="8" t="s">
        <v>5690</v>
      </c>
      <c r="H5884" s="8" t="s">
        <v>5691</v>
      </c>
      <c r="I5884" s="7" t="str">
        <f>_xlfn.CONCAT(Paper_Reference[[#This Row],[Lvl]:[Paper Description]])</f>
        <v>2XJ8R0600N580ICH PEDS CATH A4   60 X 961102100DS009-6200FROSTY WHITE</v>
      </c>
      <c r="J5884" s="7">
        <f>COUNTIF(Paper_Reference[Duplicate Key],Paper_Reference[[#This Row],[Duplicate Key]])</f>
        <v>1</v>
      </c>
    </row>
    <row r="5885" spans="1:10">
      <c r="A5885" s="7">
        <v>2</v>
      </c>
      <c r="B5885" s="8" t="s">
        <v>6667</v>
      </c>
      <c r="C5885" s="8" t="s">
        <v>6110</v>
      </c>
      <c r="D5885" s="7">
        <v>1</v>
      </c>
      <c r="E5885" s="7">
        <v>10</v>
      </c>
      <c r="F5885" s="7">
        <v>2</v>
      </c>
      <c r="G5885" s="8" t="s">
        <v>5690</v>
      </c>
      <c r="H5885" s="8" t="s">
        <v>5691</v>
      </c>
      <c r="I5885" s="7" t="str">
        <f>_xlfn.CONCAT(Paper_Reference[[#This Row],[Lvl]:[Paper Description]])</f>
        <v>2XJ8R0600SD580ICH PEDS CATH A4   60 X 961102100DS009-6200FROSTY WHITE</v>
      </c>
      <c r="J5885" s="7">
        <f>COUNTIF(Paper_Reference[Duplicate Key],Paper_Reference[[#This Row],[Duplicate Key]])</f>
        <v>1</v>
      </c>
    </row>
    <row r="5886" spans="1:10">
      <c r="A5886" s="7">
        <v>2</v>
      </c>
      <c r="B5886" s="8" t="s">
        <v>8211</v>
      </c>
      <c r="C5886" s="8" t="s">
        <v>7284</v>
      </c>
      <c r="D5886" s="7">
        <v>1</v>
      </c>
      <c r="E5886" s="7">
        <v>10</v>
      </c>
      <c r="F5886" s="7">
        <v>2</v>
      </c>
      <c r="G5886" s="8" t="s">
        <v>6710</v>
      </c>
      <c r="H5886" s="8" t="s">
        <v>5691</v>
      </c>
      <c r="I5886" s="7" t="str">
        <f>_xlfn.CONCAT(Paper_Reference[[#This Row],[Lvl]:[Paper Description]])</f>
        <v>2XJ8R0601N480ICH PEDS CATH A5 48 X 961102100DS009-5000FROSTY WHITE</v>
      </c>
      <c r="J5886" s="7">
        <f>COUNTIF(Paper_Reference[Duplicate Key],Paper_Reference[[#This Row],[Duplicate Key]])</f>
        <v>1</v>
      </c>
    </row>
    <row r="5887" spans="1:10">
      <c r="A5887" s="7">
        <v>2</v>
      </c>
      <c r="B5887" s="8" t="s">
        <v>8212</v>
      </c>
      <c r="C5887" s="8" t="s">
        <v>7284</v>
      </c>
      <c r="D5887" s="7">
        <v>1</v>
      </c>
      <c r="E5887" s="7">
        <v>10</v>
      </c>
      <c r="F5887" s="7">
        <v>2</v>
      </c>
      <c r="G5887" s="8" t="s">
        <v>6710</v>
      </c>
      <c r="H5887" s="8" t="s">
        <v>5691</v>
      </c>
      <c r="I5887" s="7" t="str">
        <f>_xlfn.CONCAT(Paper_Reference[[#This Row],[Lvl]:[Paper Description]])</f>
        <v>2XJ8R0601SD480ICH PEDS CATH A5 48 X 961102100DS009-5000FROSTY WHITE</v>
      </c>
      <c r="J5887" s="7">
        <f>COUNTIF(Paper_Reference[Duplicate Key],Paper_Reference[[#This Row],[Duplicate Key]])</f>
        <v>1</v>
      </c>
    </row>
    <row r="5888" spans="1:10">
      <c r="A5888" s="7">
        <v>2</v>
      </c>
      <c r="B5888" s="8" t="s">
        <v>8213</v>
      </c>
      <c r="C5888" s="8" t="s">
        <v>7285</v>
      </c>
      <c r="D5888" s="7">
        <v>1</v>
      </c>
      <c r="E5888" s="7">
        <v>10</v>
      </c>
      <c r="F5888" s="7">
        <v>2</v>
      </c>
      <c r="G5888" s="8" t="s">
        <v>6710</v>
      </c>
      <c r="H5888" s="8" t="s">
        <v>5691</v>
      </c>
      <c r="I5888" s="7" t="str">
        <f>_xlfn.CONCAT(Paper_Reference[[#This Row],[Lvl]:[Paper Description]])</f>
        <v>2XJ8R0605N480FRL PT HERSHEY MED 48 X 961102100DS009-5000FROSTY WHITE</v>
      </c>
      <c r="J5888" s="7">
        <f>COUNTIF(Paper_Reference[Duplicate Key],Paper_Reference[[#This Row],[Duplicate Key]])</f>
        <v>1</v>
      </c>
    </row>
    <row r="5889" spans="1:10">
      <c r="A5889" s="7">
        <v>2</v>
      </c>
      <c r="B5889" s="8" t="s">
        <v>8214</v>
      </c>
      <c r="C5889" s="8" t="s">
        <v>7285</v>
      </c>
      <c r="D5889" s="7">
        <v>1</v>
      </c>
      <c r="E5889" s="7">
        <v>10</v>
      </c>
      <c r="F5889" s="7">
        <v>2</v>
      </c>
      <c r="G5889" s="8" t="s">
        <v>6710</v>
      </c>
      <c r="H5889" s="8" t="s">
        <v>5691</v>
      </c>
      <c r="I5889" s="7" t="str">
        <f>_xlfn.CONCAT(Paper_Reference[[#This Row],[Lvl]:[Paper Description]])</f>
        <v>2XJ8R0605SD480FRL PT HERSHEY MED 48 X 961102100DS009-5000FROSTY WHITE</v>
      </c>
      <c r="J5889" s="7">
        <f>COUNTIF(Paper_Reference[Duplicate Key],Paper_Reference[[#This Row],[Duplicate Key]])</f>
        <v>1</v>
      </c>
    </row>
    <row r="5890" spans="1:10">
      <c r="A5890" s="7">
        <v>2</v>
      </c>
      <c r="B5890" s="8" t="s">
        <v>8215</v>
      </c>
      <c r="C5890" s="8" t="s">
        <v>7286</v>
      </c>
      <c r="D5890" s="7">
        <v>1</v>
      </c>
      <c r="E5890" s="7">
        <v>10</v>
      </c>
      <c r="F5890" s="7">
        <v>2</v>
      </c>
      <c r="G5890" s="8" t="s">
        <v>6710</v>
      </c>
      <c r="H5890" s="8" t="s">
        <v>5691</v>
      </c>
      <c r="I5890" s="7" t="str">
        <f>_xlfn.CONCAT(Paper_Reference[[#This Row],[Lvl]:[Paper Description]])</f>
        <v>2XJ8R0606N480FRL ARBOR HEIGHTS STEAM 48X961102100DS009-5000FROSTY WHITE</v>
      </c>
      <c r="J5890" s="7">
        <f>COUNTIF(Paper_Reference[Duplicate Key],Paper_Reference[[#This Row],[Duplicate Key]])</f>
        <v>1</v>
      </c>
    </row>
    <row r="5891" spans="1:10">
      <c r="A5891" s="7">
        <v>2</v>
      </c>
      <c r="B5891" s="8" t="s">
        <v>8216</v>
      </c>
      <c r="C5891" s="8" t="s">
        <v>7286</v>
      </c>
      <c r="D5891" s="7">
        <v>1</v>
      </c>
      <c r="E5891" s="7">
        <v>10</v>
      </c>
      <c r="F5891" s="7">
        <v>2</v>
      </c>
      <c r="G5891" s="8" t="s">
        <v>6710</v>
      </c>
      <c r="H5891" s="8" t="s">
        <v>5691</v>
      </c>
      <c r="I5891" s="7" t="str">
        <f>_xlfn.CONCAT(Paper_Reference[[#This Row],[Lvl]:[Paper Description]])</f>
        <v>2XJ8R0606SD480FRL ARBOR HEIGHTS STEAM 48X961102100DS009-5000FROSTY WHITE</v>
      </c>
      <c r="J5891" s="7">
        <f>COUNTIF(Paper_Reference[Duplicate Key],Paper_Reference[[#This Row],[Duplicate Key]])</f>
        <v>1</v>
      </c>
    </row>
    <row r="5892" spans="1:10">
      <c r="A5892" s="7">
        <v>2</v>
      </c>
      <c r="B5892" s="8" t="s">
        <v>8217</v>
      </c>
      <c r="C5892" s="8" t="s">
        <v>7287</v>
      </c>
      <c r="D5892" s="7">
        <v>1</v>
      </c>
      <c r="E5892" s="7">
        <v>10</v>
      </c>
      <c r="F5892" s="7">
        <v>2</v>
      </c>
      <c r="G5892" s="8" t="s">
        <v>6710</v>
      </c>
      <c r="H5892" s="8" t="s">
        <v>5691</v>
      </c>
      <c r="I5892" s="7" t="str">
        <f>_xlfn.CONCAT(Paper_Reference[[#This Row],[Lvl]:[Paper Description]])</f>
        <v>2XJ8R0607N480FRL ARBOR HEIGHTS WATER 48X961102100DS009-5000FROSTY WHITE</v>
      </c>
      <c r="J5892" s="7">
        <f>COUNTIF(Paper_Reference[Duplicate Key],Paper_Reference[[#This Row],[Duplicate Key]])</f>
        <v>1</v>
      </c>
    </row>
    <row r="5893" spans="1:10">
      <c r="A5893" s="7">
        <v>2</v>
      </c>
      <c r="B5893" s="8" t="s">
        <v>8218</v>
      </c>
      <c r="C5893" s="8" t="s">
        <v>7287</v>
      </c>
      <c r="D5893" s="7">
        <v>1</v>
      </c>
      <c r="E5893" s="7">
        <v>10</v>
      </c>
      <c r="F5893" s="7">
        <v>2</v>
      </c>
      <c r="G5893" s="8" t="s">
        <v>6710</v>
      </c>
      <c r="H5893" s="8" t="s">
        <v>5691</v>
      </c>
      <c r="I5893" s="7" t="str">
        <f>_xlfn.CONCAT(Paper_Reference[[#This Row],[Lvl]:[Paper Description]])</f>
        <v>2XJ8R0607SD480FRL ARBOR HEIGHTS WATER 48X961102100DS009-5000FROSTY WHITE</v>
      </c>
      <c r="J5893" s="7">
        <f>COUNTIF(Paper_Reference[Duplicate Key],Paper_Reference[[#This Row],[Duplicate Key]])</f>
        <v>1</v>
      </c>
    </row>
    <row r="5894" spans="1:10">
      <c r="A5894" s="7">
        <v>2</v>
      </c>
      <c r="B5894" s="8" t="s">
        <v>8219</v>
      </c>
      <c r="C5894" s="8" t="s">
        <v>7288</v>
      </c>
      <c r="D5894" s="7">
        <v>1</v>
      </c>
      <c r="E5894" s="7">
        <v>10</v>
      </c>
      <c r="F5894" s="7">
        <v>2</v>
      </c>
      <c r="G5894" s="8" t="s">
        <v>6710</v>
      </c>
      <c r="H5894" s="8" t="s">
        <v>5691</v>
      </c>
      <c r="I5894" s="7" t="str">
        <f>_xlfn.CONCAT(Paper_Reference[[#This Row],[Lvl]:[Paper Description]])</f>
        <v>2XJ8R0608N480FRL ARBOR HEIGHTS FIRE 48X961102100DS009-5000FROSTY WHITE</v>
      </c>
      <c r="J5894" s="7">
        <f>COUNTIF(Paper_Reference[Duplicate Key],Paper_Reference[[#This Row],[Duplicate Key]])</f>
        <v>1</v>
      </c>
    </row>
    <row r="5895" spans="1:10">
      <c r="A5895" s="7">
        <v>2</v>
      </c>
      <c r="B5895" s="8" t="s">
        <v>8220</v>
      </c>
      <c r="C5895" s="8" t="s">
        <v>7288</v>
      </c>
      <c r="D5895" s="7">
        <v>1</v>
      </c>
      <c r="E5895" s="7">
        <v>10</v>
      </c>
      <c r="F5895" s="7">
        <v>2</v>
      </c>
      <c r="G5895" s="8" t="s">
        <v>6710</v>
      </c>
      <c r="H5895" s="8" t="s">
        <v>5691</v>
      </c>
      <c r="I5895" s="7" t="str">
        <f>_xlfn.CONCAT(Paper_Reference[[#This Row],[Lvl]:[Paper Description]])</f>
        <v>2XJ8R0608SD480FRL ARBOR HEIGHTS FIRE 48X961102100DS009-5000FROSTY WHITE</v>
      </c>
      <c r="J5895" s="7">
        <f>COUNTIF(Paper_Reference[Duplicate Key],Paper_Reference[[#This Row],[Duplicate Key]])</f>
        <v>1</v>
      </c>
    </row>
    <row r="5896" spans="1:10">
      <c r="A5896" s="7">
        <v>2</v>
      </c>
      <c r="B5896" s="8" t="s">
        <v>8221</v>
      </c>
      <c r="C5896" s="8" t="s">
        <v>7289</v>
      </c>
      <c r="D5896" s="7">
        <v>1</v>
      </c>
      <c r="E5896" s="7">
        <v>10</v>
      </c>
      <c r="F5896" s="7">
        <v>2</v>
      </c>
      <c r="G5896" s="8" t="s">
        <v>6710</v>
      </c>
      <c r="H5896" s="8" t="s">
        <v>5691</v>
      </c>
      <c r="I5896" s="7" t="str">
        <f>_xlfn.CONCAT(Paper_Reference[[#This Row],[Lvl]:[Paper Description]])</f>
        <v>2XJ8R0609N480FRL ARBOR HEIGHTS EARTH 48X961102100DS009-5000FROSTY WHITE</v>
      </c>
      <c r="J5896" s="7">
        <f>COUNTIF(Paper_Reference[Duplicate Key],Paper_Reference[[#This Row],[Duplicate Key]])</f>
        <v>1</v>
      </c>
    </row>
    <row r="5897" spans="1:10">
      <c r="A5897" s="7">
        <v>2</v>
      </c>
      <c r="B5897" s="8" t="s">
        <v>8222</v>
      </c>
      <c r="C5897" s="8" t="s">
        <v>7289</v>
      </c>
      <c r="D5897" s="7">
        <v>1</v>
      </c>
      <c r="E5897" s="7">
        <v>10</v>
      </c>
      <c r="F5897" s="7">
        <v>2</v>
      </c>
      <c r="G5897" s="8" t="s">
        <v>6710</v>
      </c>
      <c r="H5897" s="8" t="s">
        <v>5691</v>
      </c>
      <c r="I5897" s="7" t="str">
        <f>_xlfn.CONCAT(Paper_Reference[[#This Row],[Lvl]:[Paper Description]])</f>
        <v>2XJ8R0609SD480FRL ARBOR HEIGHTS EARTH 48X961102100DS009-5000FROSTY WHITE</v>
      </c>
      <c r="J5897" s="7">
        <f>COUNTIF(Paper_Reference[Duplicate Key],Paper_Reference[[#This Row],[Duplicate Key]])</f>
        <v>1</v>
      </c>
    </row>
    <row r="5898" spans="1:10">
      <c r="A5898" s="7">
        <v>2</v>
      </c>
      <c r="B5898" s="8" t="s">
        <v>8223</v>
      </c>
      <c r="C5898" s="8" t="s">
        <v>7290</v>
      </c>
      <c r="D5898" s="7">
        <v>1</v>
      </c>
      <c r="E5898" s="7">
        <v>10</v>
      </c>
      <c r="F5898" s="7">
        <v>2</v>
      </c>
      <c r="G5898" s="8" t="s">
        <v>6710</v>
      </c>
      <c r="H5898" s="8" t="s">
        <v>5691</v>
      </c>
      <c r="I5898" s="7" t="str">
        <f>_xlfn.CONCAT(Paper_Reference[[#This Row],[Lvl]:[Paper Description]])</f>
        <v>2XJ8R0610N480FRL ARBOR HEIGHTS AIR 48X961102100DS009-5000FROSTY WHITE</v>
      </c>
      <c r="J5898" s="7">
        <f>COUNTIF(Paper_Reference[Duplicate Key],Paper_Reference[[#This Row],[Duplicate Key]])</f>
        <v>1</v>
      </c>
    </row>
    <row r="5899" spans="1:10">
      <c r="A5899" s="7">
        <v>2</v>
      </c>
      <c r="B5899" s="8" t="s">
        <v>8224</v>
      </c>
      <c r="C5899" s="8" t="s">
        <v>7290</v>
      </c>
      <c r="D5899" s="7">
        <v>1</v>
      </c>
      <c r="E5899" s="7">
        <v>10</v>
      </c>
      <c r="F5899" s="7">
        <v>2</v>
      </c>
      <c r="G5899" s="8" t="s">
        <v>6710</v>
      </c>
      <c r="H5899" s="8" t="s">
        <v>5691</v>
      </c>
      <c r="I5899" s="7" t="str">
        <f>_xlfn.CONCAT(Paper_Reference[[#This Row],[Lvl]:[Paper Description]])</f>
        <v>2XJ8R0610SD480FRL ARBOR HEIGHTS AIR 48X961102100DS009-5000FROSTY WHITE</v>
      </c>
      <c r="J5899" s="7">
        <f>COUNTIF(Paper_Reference[Duplicate Key],Paper_Reference[[#This Row],[Duplicate Key]])</f>
        <v>1</v>
      </c>
    </row>
    <row r="5900" spans="1:10">
      <c r="A5900" s="7">
        <v>2</v>
      </c>
      <c r="B5900" s="8" t="s">
        <v>8225</v>
      </c>
      <c r="C5900" s="8" t="s">
        <v>7291</v>
      </c>
      <c r="D5900" s="7">
        <v>1</v>
      </c>
      <c r="E5900" s="7">
        <v>10</v>
      </c>
      <c r="F5900" s="7">
        <v>2</v>
      </c>
      <c r="G5900" s="8" t="s">
        <v>6710</v>
      </c>
      <c r="H5900" s="8" t="s">
        <v>5691</v>
      </c>
      <c r="I5900" s="7" t="str">
        <f>_xlfn.CONCAT(Paper_Reference[[#This Row],[Lvl]:[Paper Description]])</f>
        <v>2XJ8R0611N480FRL ARBOR HEIGHTS SPACE 48X961102100DS009-5000FROSTY WHITE</v>
      </c>
      <c r="J5900" s="7">
        <f>COUNTIF(Paper_Reference[Duplicate Key],Paper_Reference[[#This Row],[Duplicate Key]])</f>
        <v>1</v>
      </c>
    </row>
    <row r="5901" spans="1:10">
      <c r="A5901" s="7">
        <v>2</v>
      </c>
      <c r="B5901" s="8" t="s">
        <v>8226</v>
      </c>
      <c r="C5901" s="8" t="s">
        <v>7291</v>
      </c>
      <c r="D5901" s="7">
        <v>1</v>
      </c>
      <c r="E5901" s="7">
        <v>10</v>
      </c>
      <c r="F5901" s="7">
        <v>2</v>
      </c>
      <c r="G5901" s="8" t="s">
        <v>6710</v>
      </c>
      <c r="H5901" s="8" t="s">
        <v>5691</v>
      </c>
      <c r="I5901" s="7" t="str">
        <f>_xlfn.CONCAT(Paper_Reference[[#This Row],[Lvl]:[Paper Description]])</f>
        <v>2XJ8R0611SD480FRL ARBOR HEIGHTS SPACE 48X961102100DS009-5000FROSTY WHITE</v>
      </c>
      <c r="J5901" s="7">
        <f>COUNTIF(Paper_Reference[Duplicate Key],Paper_Reference[[#This Row],[Duplicate Key]])</f>
        <v>1</v>
      </c>
    </row>
    <row r="5902" spans="1:10">
      <c r="A5902" s="7">
        <v>2</v>
      </c>
      <c r="B5902" s="8" t="s">
        <v>8227</v>
      </c>
      <c r="C5902" s="8" t="s">
        <v>7292</v>
      </c>
      <c r="D5902" s="7">
        <v>1</v>
      </c>
      <c r="E5902" s="7">
        <v>10</v>
      </c>
      <c r="F5902" s="7">
        <v>2</v>
      </c>
      <c r="G5902" s="8" t="s">
        <v>6710</v>
      </c>
      <c r="H5902" s="8" t="s">
        <v>5691</v>
      </c>
      <c r="I5902" s="7" t="str">
        <f>_xlfn.CONCAT(Paper_Reference[[#This Row],[Lvl]:[Paper Description]])</f>
        <v>2XJ8R0612N480FRL ARBOR HEIGHTS NAUT 48X961102100DS009-5000FROSTY WHITE</v>
      </c>
      <c r="J5902" s="7">
        <f>COUNTIF(Paper_Reference[Duplicate Key],Paper_Reference[[#This Row],[Duplicate Key]])</f>
        <v>1</v>
      </c>
    </row>
    <row r="5903" spans="1:10">
      <c r="A5903" s="7">
        <v>2</v>
      </c>
      <c r="B5903" s="8" t="s">
        <v>8228</v>
      </c>
      <c r="C5903" s="8" t="s">
        <v>7292</v>
      </c>
      <c r="D5903" s="7">
        <v>1</v>
      </c>
      <c r="E5903" s="7">
        <v>10</v>
      </c>
      <c r="F5903" s="7">
        <v>2</v>
      </c>
      <c r="G5903" s="8" t="s">
        <v>6710</v>
      </c>
      <c r="H5903" s="8" t="s">
        <v>5691</v>
      </c>
      <c r="I5903" s="7" t="str">
        <f>_xlfn.CONCAT(Paper_Reference[[#This Row],[Lvl]:[Paper Description]])</f>
        <v>2XJ8R0612SD480FRL ARBOR HEIGHTS NAUT 48X961102100DS009-5000FROSTY WHITE</v>
      </c>
      <c r="J5903" s="7">
        <f>COUNTIF(Paper_Reference[Duplicate Key],Paper_Reference[[#This Row],[Duplicate Key]])</f>
        <v>1</v>
      </c>
    </row>
    <row r="5904" spans="1:10">
      <c r="A5904" s="7">
        <v>2</v>
      </c>
      <c r="B5904" s="8" t="s">
        <v>6668</v>
      </c>
      <c r="C5904" s="8" t="s">
        <v>6111</v>
      </c>
      <c r="D5904" s="7">
        <v>1</v>
      </c>
      <c r="E5904" s="7">
        <v>10</v>
      </c>
      <c r="F5904" s="7">
        <v>2</v>
      </c>
      <c r="G5904" s="8" t="s">
        <v>5690</v>
      </c>
      <c r="H5904" s="8" t="s">
        <v>5691</v>
      </c>
      <c r="I5904" s="7" t="str">
        <f>_xlfn.CONCAT(Paper_Reference[[#This Row],[Lvl]:[Paper Description]])</f>
        <v>2XJ8R0613N500ARBOR HEIGHTS TENNIS 60 X 1201102100DS009-6200FROSTY WHITE</v>
      </c>
      <c r="J5904" s="7">
        <f>COUNTIF(Paper_Reference[Duplicate Key],Paper_Reference[[#This Row],[Duplicate Key]])</f>
        <v>1</v>
      </c>
    </row>
    <row r="5905" spans="1:10">
      <c r="A5905" s="7">
        <v>2</v>
      </c>
      <c r="B5905" s="8" t="s">
        <v>6669</v>
      </c>
      <c r="C5905" s="8" t="s">
        <v>6111</v>
      </c>
      <c r="D5905" s="7">
        <v>1</v>
      </c>
      <c r="E5905" s="7">
        <v>10</v>
      </c>
      <c r="F5905" s="7">
        <v>2</v>
      </c>
      <c r="G5905" s="8" t="s">
        <v>5690</v>
      </c>
      <c r="H5905" s="8" t="s">
        <v>5691</v>
      </c>
      <c r="I5905" s="7" t="str">
        <f>_xlfn.CONCAT(Paper_Reference[[#This Row],[Lvl]:[Paper Description]])</f>
        <v>2XJ8R0613SD500ARBOR HEIGHTS TENNIS 60 X 1201102100DS009-6200FROSTY WHITE</v>
      </c>
      <c r="J5905" s="7">
        <f>COUNTIF(Paper_Reference[Duplicate Key],Paper_Reference[[#This Row],[Duplicate Key]])</f>
        <v>1</v>
      </c>
    </row>
    <row r="5906" spans="1:10">
      <c r="A5906" s="7">
        <v>2</v>
      </c>
      <c r="B5906" s="8" t="s">
        <v>8229</v>
      </c>
      <c r="C5906" s="8" t="s">
        <v>7293</v>
      </c>
      <c r="D5906" s="7">
        <v>1</v>
      </c>
      <c r="E5906" s="7">
        <v>10</v>
      </c>
      <c r="F5906" s="7">
        <v>2</v>
      </c>
      <c r="G5906" s="8" t="s">
        <v>6710</v>
      </c>
      <c r="H5906" s="8" t="s">
        <v>5691</v>
      </c>
      <c r="I5906" s="7" t="str">
        <f>_xlfn.CONCAT(Paper_Reference[[#This Row],[Lvl]:[Paper Description]])</f>
        <v>2XJ8R0614N480FRL CHCH PHASE 4 48 X 961102100DS009-5000FROSTY WHITE</v>
      </c>
      <c r="J5906" s="7">
        <f>COUNTIF(Paper_Reference[Duplicate Key],Paper_Reference[[#This Row],[Duplicate Key]])</f>
        <v>1</v>
      </c>
    </row>
    <row r="5907" spans="1:10">
      <c r="A5907" s="7">
        <v>2</v>
      </c>
      <c r="B5907" s="8" t="s">
        <v>8230</v>
      </c>
      <c r="C5907" s="8" t="s">
        <v>7293</v>
      </c>
      <c r="D5907" s="7">
        <v>1</v>
      </c>
      <c r="E5907" s="7">
        <v>10</v>
      </c>
      <c r="F5907" s="7">
        <v>2</v>
      </c>
      <c r="G5907" s="8" t="s">
        <v>6710</v>
      </c>
      <c r="H5907" s="8" t="s">
        <v>5691</v>
      </c>
      <c r="I5907" s="7" t="str">
        <f>_xlfn.CONCAT(Paper_Reference[[#This Row],[Lvl]:[Paper Description]])</f>
        <v>2XJ8R0614SD480FRL CHCH PHASE 4 48 X 961102100DS009-5000FROSTY WHITE</v>
      </c>
      <c r="J5907" s="7">
        <f>COUNTIF(Paper_Reference[Duplicate Key],Paper_Reference[[#This Row],[Duplicate Key]])</f>
        <v>1</v>
      </c>
    </row>
    <row r="5908" spans="1:10">
      <c r="A5908" s="7">
        <v>2</v>
      </c>
      <c r="B5908" s="8" t="s">
        <v>8231</v>
      </c>
      <c r="C5908" s="8" t="s">
        <v>7294</v>
      </c>
      <c r="D5908" s="7">
        <v>1</v>
      </c>
      <c r="E5908" s="7">
        <v>10</v>
      </c>
      <c r="F5908" s="7">
        <v>2</v>
      </c>
      <c r="G5908" s="8" t="s">
        <v>6710</v>
      </c>
      <c r="H5908" s="8" t="s">
        <v>5691</v>
      </c>
      <c r="I5908" s="7" t="str">
        <f>_xlfn.CONCAT(Paper_Reference[[#This Row],[Lvl]:[Paper Description]])</f>
        <v>2XJ8R0616N480FRL CHCH PICU WAITING 48 X 961102100DS009-5000FROSTY WHITE</v>
      </c>
      <c r="J5908" s="7">
        <f>COUNTIF(Paper_Reference[Duplicate Key],Paper_Reference[[#This Row],[Duplicate Key]])</f>
        <v>1</v>
      </c>
    </row>
    <row r="5909" spans="1:10">
      <c r="A5909" s="7">
        <v>2</v>
      </c>
      <c r="B5909" s="8" t="s">
        <v>8232</v>
      </c>
      <c r="C5909" s="8" t="s">
        <v>7294</v>
      </c>
      <c r="D5909" s="7">
        <v>1</v>
      </c>
      <c r="E5909" s="7">
        <v>10</v>
      </c>
      <c r="F5909" s="7">
        <v>2</v>
      </c>
      <c r="G5909" s="8" t="s">
        <v>6710</v>
      </c>
      <c r="H5909" s="8" t="s">
        <v>5691</v>
      </c>
      <c r="I5909" s="7" t="str">
        <f>_xlfn.CONCAT(Paper_Reference[[#This Row],[Lvl]:[Paper Description]])</f>
        <v>2XJ8R0616SD480FRL CHCH PICU WAITING 48 X 961102100DS009-5000FROSTY WHITE</v>
      </c>
      <c r="J5909" s="7">
        <f>COUNTIF(Paper_Reference[Duplicate Key],Paper_Reference[[#This Row],[Duplicate Key]])</f>
        <v>1</v>
      </c>
    </row>
    <row r="5910" spans="1:10">
      <c r="A5910" s="7">
        <v>2</v>
      </c>
      <c r="B5910" s="8" t="s">
        <v>8233</v>
      </c>
      <c r="C5910" s="8" t="s">
        <v>7295</v>
      </c>
      <c r="D5910" s="7">
        <v>1</v>
      </c>
      <c r="E5910" s="7">
        <v>10</v>
      </c>
      <c r="F5910" s="7">
        <v>2</v>
      </c>
      <c r="G5910" s="8" t="s">
        <v>6710</v>
      </c>
      <c r="H5910" s="8" t="s">
        <v>5691</v>
      </c>
      <c r="I5910" s="7" t="str">
        <f>_xlfn.CONCAT(Paper_Reference[[#This Row],[Lvl]:[Paper Description]])</f>
        <v>2XJ8R0617N400PINEHURST EARTH WALL 48X1201102100DS009-5000FROSTY WHITE</v>
      </c>
      <c r="J5910" s="7">
        <f>COUNTIF(Paper_Reference[Duplicate Key],Paper_Reference[[#This Row],[Duplicate Key]])</f>
        <v>1</v>
      </c>
    </row>
    <row r="5911" spans="1:10">
      <c r="A5911" s="7">
        <v>2</v>
      </c>
      <c r="B5911" s="8" t="s">
        <v>8234</v>
      </c>
      <c r="C5911" s="8" t="s">
        <v>7295</v>
      </c>
      <c r="D5911" s="7">
        <v>1</v>
      </c>
      <c r="E5911" s="7">
        <v>10</v>
      </c>
      <c r="F5911" s="7">
        <v>2</v>
      </c>
      <c r="G5911" s="8" t="s">
        <v>6710</v>
      </c>
      <c r="H5911" s="8" t="s">
        <v>5691</v>
      </c>
      <c r="I5911" s="7" t="str">
        <f>_xlfn.CONCAT(Paper_Reference[[#This Row],[Lvl]:[Paper Description]])</f>
        <v>2XJ8R0617SD400PINEHURST EARTH WALL 48X1201102100DS009-5000FROSTY WHITE</v>
      </c>
      <c r="J5911" s="7">
        <f>COUNTIF(Paper_Reference[Duplicate Key],Paper_Reference[[#This Row],[Duplicate Key]])</f>
        <v>1</v>
      </c>
    </row>
    <row r="5912" spans="1:10">
      <c r="A5912" s="7">
        <v>2</v>
      </c>
      <c r="B5912" s="8" t="s">
        <v>8235</v>
      </c>
      <c r="C5912" s="8" t="s">
        <v>7296</v>
      </c>
      <c r="D5912" s="7">
        <v>1</v>
      </c>
      <c r="E5912" s="7">
        <v>10</v>
      </c>
      <c r="F5912" s="7">
        <v>2</v>
      </c>
      <c r="G5912" s="8" t="s">
        <v>6710</v>
      </c>
      <c r="H5912" s="8" t="s">
        <v>5691</v>
      </c>
      <c r="I5912" s="7" t="str">
        <f>_xlfn.CONCAT(Paper_Reference[[#This Row],[Lvl]:[Paper Description]])</f>
        <v>2XJ8R0618N400PINEHURST EQUATION 48 X 1201102100DS009-5000FROSTY WHITE</v>
      </c>
      <c r="J5912" s="7">
        <f>COUNTIF(Paper_Reference[Duplicate Key],Paper_Reference[[#This Row],[Duplicate Key]])</f>
        <v>1</v>
      </c>
    </row>
    <row r="5913" spans="1:10">
      <c r="A5913" s="7">
        <v>2</v>
      </c>
      <c r="B5913" s="8" t="s">
        <v>8236</v>
      </c>
      <c r="C5913" s="8" t="s">
        <v>7296</v>
      </c>
      <c r="D5913" s="7">
        <v>1</v>
      </c>
      <c r="E5913" s="7">
        <v>10</v>
      </c>
      <c r="F5913" s="7">
        <v>2</v>
      </c>
      <c r="G5913" s="8" t="s">
        <v>6710</v>
      </c>
      <c r="H5913" s="8" t="s">
        <v>5691</v>
      </c>
      <c r="I5913" s="7" t="str">
        <f>_xlfn.CONCAT(Paper_Reference[[#This Row],[Lvl]:[Paper Description]])</f>
        <v>2XJ8R0618SD400PINEHURST EQUATION 48 X 1201102100DS009-5000FROSTY WHITE</v>
      </c>
      <c r="J5913" s="7">
        <f>COUNTIF(Paper_Reference[Duplicate Key],Paper_Reference[[#This Row],[Duplicate Key]])</f>
        <v>1</v>
      </c>
    </row>
    <row r="5914" spans="1:10">
      <c r="A5914" s="7">
        <v>2</v>
      </c>
      <c r="B5914" s="8" t="s">
        <v>6670</v>
      </c>
      <c r="C5914" s="8" t="s">
        <v>6112</v>
      </c>
      <c r="D5914" s="7">
        <v>1</v>
      </c>
      <c r="E5914" s="7">
        <v>10</v>
      </c>
      <c r="F5914" s="7">
        <v>2</v>
      </c>
      <c r="G5914" s="8" t="s">
        <v>5690</v>
      </c>
      <c r="H5914" s="8" t="s">
        <v>5691</v>
      </c>
      <c r="I5914" s="7" t="str">
        <f>_xlfn.CONCAT(Paper_Reference[[#This Row],[Lvl]:[Paper Description]])</f>
        <v>2XJ8R0627SD500DEBAKEY W-7 L-2 60 X 1201102100DS009-6200FROSTY WHITE</v>
      </c>
      <c r="J5914" s="7">
        <f>COUNTIF(Paper_Reference[Duplicate Key],Paper_Reference[[#This Row],[Duplicate Key]])</f>
        <v>1</v>
      </c>
    </row>
    <row r="5915" spans="1:10">
      <c r="A5915" s="7">
        <v>2</v>
      </c>
      <c r="B5915" s="8" t="s">
        <v>6671</v>
      </c>
      <c r="C5915" s="8" t="s">
        <v>6113</v>
      </c>
      <c r="D5915" s="7">
        <v>1</v>
      </c>
      <c r="E5915" s="7">
        <v>10</v>
      </c>
      <c r="F5915" s="7">
        <v>2</v>
      </c>
      <c r="G5915" s="8" t="s">
        <v>5690</v>
      </c>
      <c r="H5915" s="8" t="s">
        <v>5691</v>
      </c>
      <c r="I5915" s="7" t="str">
        <f>_xlfn.CONCAT(Paper_Reference[[#This Row],[Lvl]:[Paper Description]])</f>
        <v>2XJ8R0628SD500DEBAKEY W-8 L-3 60 X 1201102100DS009-6200FROSTY WHITE</v>
      </c>
      <c r="J5915" s="7">
        <f>COUNTIF(Paper_Reference[Duplicate Key],Paper_Reference[[#This Row],[Duplicate Key]])</f>
        <v>1</v>
      </c>
    </row>
    <row r="5916" spans="1:10">
      <c r="A5916" s="7">
        <v>2</v>
      </c>
      <c r="B5916" s="8" t="s">
        <v>6672</v>
      </c>
      <c r="C5916" s="8" t="s">
        <v>6114</v>
      </c>
      <c r="D5916" s="7">
        <v>1</v>
      </c>
      <c r="E5916" s="7">
        <v>10</v>
      </c>
      <c r="F5916" s="7">
        <v>2</v>
      </c>
      <c r="G5916" s="8" t="s">
        <v>5690</v>
      </c>
      <c r="H5916" s="8" t="s">
        <v>5691</v>
      </c>
      <c r="I5916" s="7" t="str">
        <f>_xlfn.CONCAT(Paper_Reference[[#This Row],[Lvl]:[Paper Description]])</f>
        <v>2XJ8R0629SD500DEBAKEY W-9 L-3 60 X 1201102100DS009-6200FROSTY WHITE</v>
      </c>
      <c r="J5916" s="7">
        <f>COUNTIF(Paper_Reference[Duplicate Key],Paper_Reference[[#This Row],[Duplicate Key]])</f>
        <v>1</v>
      </c>
    </row>
    <row r="5917" spans="1:10">
      <c r="A5917" s="7">
        <v>2</v>
      </c>
      <c r="B5917" s="8" t="s">
        <v>6673</v>
      </c>
      <c r="C5917" s="8" t="s">
        <v>6115</v>
      </c>
      <c r="D5917" s="7">
        <v>1</v>
      </c>
      <c r="E5917" s="7">
        <v>10</v>
      </c>
      <c r="F5917" s="7">
        <v>2</v>
      </c>
      <c r="G5917" s="8" t="s">
        <v>5690</v>
      </c>
      <c r="H5917" s="8" t="s">
        <v>5691</v>
      </c>
      <c r="I5917" s="7" t="str">
        <f>_xlfn.CONCAT(Paper_Reference[[#This Row],[Lvl]:[Paper Description]])</f>
        <v>2XJ8R0630SD500DEBAKEY W-14 L-4 60 X 1201102100DS009-6200FROSTY WHITE</v>
      </c>
      <c r="J5917" s="7">
        <f>COUNTIF(Paper_Reference[Duplicate Key],Paper_Reference[[#This Row],[Duplicate Key]])</f>
        <v>1</v>
      </c>
    </row>
    <row r="5918" spans="1:10">
      <c r="A5918" s="7">
        <v>2</v>
      </c>
      <c r="B5918" s="8" t="s">
        <v>6674</v>
      </c>
      <c r="C5918" s="8" t="s">
        <v>6116</v>
      </c>
      <c r="D5918" s="7">
        <v>1</v>
      </c>
      <c r="E5918" s="7">
        <v>10</v>
      </c>
      <c r="F5918" s="7">
        <v>2</v>
      </c>
      <c r="G5918" s="8" t="s">
        <v>5690</v>
      </c>
      <c r="H5918" s="8" t="s">
        <v>5691</v>
      </c>
      <c r="I5918" s="7" t="str">
        <f>_xlfn.CONCAT(Paper_Reference[[#This Row],[Lvl]:[Paper Description]])</f>
        <v>2XJ8R0633SD500DEBAKEY W-3 L-1 FRL 60 X 1201102100DS009-6200FROSTY WHITE</v>
      </c>
      <c r="J5918" s="7">
        <f>COUNTIF(Paper_Reference[Duplicate Key],Paper_Reference[[#This Row],[Duplicate Key]])</f>
        <v>1</v>
      </c>
    </row>
    <row r="5919" spans="1:10">
      <c r="A5919" s="7">
        <v>2</v>
      </c>
      <c r="B5919" s="8" t="s">
        <v>6675</v>
      </c>
      <c r="C5919" s="8" t="s">
        <v>6117</v>
      </c>
      <c r="D5919" s="7">
        <v>1</v>
      </c>
      <c r="E5919" s="7">
        <v>10</v>
      </c>
      <c r="F5919" s="7">
        <v>2</v>
      </c>
      <c r="G5919" s="8" t="s">
        <v>5690</v>
      </c>
      <c r="H5919" s="8" t="s">
        <v>5691</v>
      </c>
      <c r="I5919" s="7" t="str">
        <f>_xlfn.CONCAT(Paper_Reference[[#This Row],[Lvl]:[Paper Description]])</f>
        <v>2XJ8R0634SD500DEBAKEY W-5 L-2 FRL 60 X 1201102100DS009-6200FROSTY WHITE</v>
      </c>
      <c r="J5919" s="7">
        <f>COUNTIF(Paper_Reference[Duplicate Key],Paper_Reference[[#This Row],[Duplicate Key]])</f>
        <v>1</v>
      </c>
    </row>
    <row r="5920" spans="1:10">
      <c r="A5920" s="7">
        <v>2</v>
      </c>
      <c r="B5920" s="8" t="s">
        <v>6676</v>
      </c>
      <c r="C5920" s="8" t="s">
        <v>6118</v>
      </c>
      <c r="D5920" s="7">
        <v>1</v>
      </c>
      <c r="E5920" s="7">
        <v>10</v>
      </c>
      <c r="F5920" s="7">
        <v>2</v>
      </c>
      <c r="G5920" s="8" t="s">
        <v>5690</v>
      </c>
      <c r="H5920" s="8" t="s">
        <v>5691</v>
      </c>
      <c r="I5920" s="7" t="str">
        <f>_xlfn.CONCAT(Paper_Reference[[#This Row],[Lvl]:[Paper Description]])</f>
        <v>2XJ8R0635SD500DEBAKEY W-17 L-5 FRL 60 X 1201102100DS009-6200FROSTY WHITE</v>
      </c>
      <c r="J5920" s="7">
        <f>COUNTIF(Paper_Reference[Duplicate Key],Paper_Reference[[#This Row],[Duplicate Key]])</f>
        <v>1</v>
      </c>
    </row>
    <row r="5921" spans="1:10">
      <c r="A5921" s="7">
        <v>2</v>
      </c>
      <c r="B5921" s="8" t="s">
        <v>6677</v>
      </c>
      <c r="C5921" s="8" t="s">
        <v>6119</v>
      </c>
      <c r="D5921" s="7">
        <v>1</v>
      </c>
      <c r="E5921" s="7">
        <v>10</v>
      </c>
      <c r="F5921" s="7">
        <v>2</v>
      </c>
      <c r="G5921" s="8" t="s">
        <v>5690</v>
      </c>
      <c r="H5921" s="8" t="s">
        <v>5691</v>
      </c>
      <c r="I5921" s="7" t="str">
        <f>_xlfn.CONCAT(Paper_Reference[[#This Row],[Lvl]:[Paper Description]])</f>
        <v>2XJ8R0638SDNYRFRL SCH CHILDREN OR 60 X 961102100DS009-6200FROSTY WHITE</v>
      </c>
      <c r="J5921" s="7">
        <f>COUNTIF(Paper_Reference[Duplicate Key],Paper_Reference[[#This Row],[Duplicate Key]])</f>
        <v>1</v>
      </c>
    </row>
    <row r="5922" spans="1:10">
      <c r="A5922" s="7">
        <v>2</v>
      </c>
      <c r="B5922" s="8" t="s">
        <v>8237</v>
      </c>
      <c r="C5922" s="8" t="s">
        <v>7297</v>
      </c>
      <c r="D5922" s="7">
        <v>1</v>
      </c>
      <c r="E5922" s="7">
        <v>10</v>
      </c>
      <c r="F5922" s="7">
        <v>2</v>
      </c>
      <c r="G5922" s="8" t="s">
        <v>6710</v>
      </c>
      <c r="H5922" s="8" t="s">
        <v>5691</v>
      </c>
      <c r="I5922" s="7" t="str">
        <f>_xlfn.CONCAT(Paper_Reference[[#This Row],[Lvl]:[Paper Description]])</f>
        <v>2XJ8R0650SD400BCCWH T1-518 SOUTH 48 X 1201102100DS009-5000FROSTY WHITE</v>
      </c>
      <c r="J5922" s="7">
        <f>COUNTIF(Paper_Reference[Duplicate Key],Paper_Reference[[#This Row],[Duplicate Key]])</f>
        <v>1</v>
      </c>
    </row>
    <row r="5923" spans="1:10">
      <c r="A5923" s="7">
        <v>2</v>
      </c>
      <c r="B5923" s="8" t="s">
        <v>8238</v>
      </c>
      <c r="C5923" s="8" t="s">
        <v>7298</v>
      </c>
      <c r="D5923" s="7">
        <v>1</v>
      </c>
      <c r="E5923" s="7">
        <v>10</v>
      </c>
      <c r="F5923" s="7">
        <v>2</v>
      </c>
      <c r="G5923" s="8" t="s">
        <v>6710</v>
      </c>
      <c r="H5923" s="8" t="s">
        <v>5691</v>
      </c>
      <c r="I5923" s="7" t="str">
        <f>_xlfn.CONCAT(Paper_Reference[[#This Row],[Lvl]:[Paper Description]])</f>
        <v>2XJ8R0651SD400BCCWH T1-518 WEST 48 X 1201102100DS009-5000FROSTY WHITE</v>
      </c>
      <c r="J5923" s="7">
        <f>COUNTIF(Paper_Reference[Duplicate Key],Paper_Reference[[#This Row],[Duplicate Key]])</f>
        <v>1</v>
      </c>
    </row>
    <row r="5924" spans="1:10">
      <c r="A5924" s="7">
        <v>2</v>
      </c>
      <c r="B5924" s="8" t="s">
        <v>8239</v>
      </c>
      <c r="C5924" s="8" t="s">
        <v>7299</v>
      </c>
      <c r="D5924" s="7">
        <v>1</v>
      </c>
      <c r="E5924" s="7">
        <v>10</v>
      </c>
      <c r="F5924" s="7">
        <v>2</v>
      </c>
      <c r="G5924" s="8" t="s">
        <v>6710</v>
      </c>
      <c r="H5924" s="8" t="s">
        <v>5691</v>
      </c>
      <c r="I5924" s="7" t="str">
        <f>_xlfn.CONCAT(Paper_Reference[[#This Row],[Lvl]:[Paper Description]])</f>
        <v>2XJ8R0652SD400BCCWH T1-518 NORTH 48 X 1201102100DS009-5000FROSTY WHITE</v>
      </c>
      <c r="J5924" s="7">
        <f>COUNTIF(Paper_Reference[Duplicate Key],Paper_Reference[[#This Row],[Duplicate Key]])</f>
        <v>1</v>
      </c>
    </row>
    <row r="5925" spans="1:10">
      <c r="A5925" s="7">
        <v>2</v>
      </c>
      <c r="B5925" s="8" t="s">
        <v>8240</v>
      </c>
      <c r="C5925" s="8" t="s">
        <v>7300</v>
      </c>
      <c r="D5925" s="7">
        <v>1</v>
      </c>
      <c r="E5925" s="7">
        <v>10</v>
      </c>
      <c r="F5925" s="7">
        <v>2</v>
      </c>
      <c r="G5925" s="8" t="s">
        <v>6710</v>
      </c>
      <c r="H5925" s="8" t="s">
        <v>5691</v>
      </c>
      <c r="I5925" s="7" t="str">
        <f>_xlfn.CONCAT(Paper_Reference[[#This Row],[Lvl]:[Paper Description]])</f>
        <v>2XJ8R0653SD400BCCWH T1-518 EAST 48 X 1201102100DS009-5000FROSTY WHITE</v>
      </c>
      <c r="J5925" s="7">
        <f>COUNTIF(Paper_Reference[Duplicate Key],Paper_Reference[[#This Row],[Duplicate Key]])</f>
        <v>1</v>
      </c>
    </row>
    <row r="5926" spans="1:10">
      <c r="A5926" s="7">
        <v>2</v>
      </c>
      <c r="B5926" s="8" t="s">
        <v>6678</v>
      </c>
      <c r="C5926" s="8" t="s">
        <v>6120</v>
      </c>
      <c r="D5926" s="7">
        <v>1</v>
      </c>
      <c r="E5926" s="7">
        <v>10</v>
      </c>
      <c r="F5926" s="7">
        <v>2</v>
      </c>
      <c r="G5926" s="8" t="s">
        <v>5690</v>
      </c>
      <c r="H5926" s="8" t="s">
        <v>5691</v>
      </c>
      <c r="I5926" s="7" t="str">
        <f>_xlfn.CONCAT(Paper_Reference[[#This Row],[Lvl]:[Paper Description]])</f>
        <v>2XJ8R0660SD500FRL JHU MURAL 60 X 1201102100DS009-6200FROSTY WHITE</v>
      </c>
      <c r="J5926" s="7">
        <f>COUNTIF(Paper_Reference[Duplicate Key],Paper_Reference[[#This Row],[Duplicate Key]])</f>
        <v>1</v>
      </c>
    </row>
    <row r="5927" spans="1:10">
      <c r="A5927" s="7">
        <v>2</v>
      </c>
      <c r="B5927" s="8" t="s">
        <v>8241</v>
      </c>
      <c r="C5927" s="8" t="s">
        <v>7301</v>
      </c>
      <c r="D5927" s="7">
        <v>1</v>
      </c>
      <c r="E5927" s="7">
        <v>10</v>
      </c>
      <c r="F5927" s="7">
        <v>2</v>
      </c>
      <c r="G5927" s="8" t="s">
        <v>6710</v>
      </c>
      <c r="H5927" s="8" t="s">
        <v>5691</v>
      </c>
      <c r="I5927" s="7" t="str">
        <f>_xlfn.CONCAT(Paper_Reference[[#This Row],[Lvl]:[Paper Description]])</f>
        <v>2XJ8R0661SD480BCCWH T6-500 SOUTH 48 X 961102100DS009-5000FROSTY WHITE</v>
      </c>
      <c r="J5927" s="7">
        <f>COUNTIF(Paper_Reference[Duplicate Key],Paper_Reference[[#This Row],[Duplicate Key]])</f>
        <v>1</v>
      </c>
    </row>
    <row r="5928" spans="1:10">
      <c r="A5928" s="7">
        <v>2</v>
      </c>
      <c r="B5928" s="8" t="s">
        <v>8242</v>
      </c>
      <c r="C5928" s="8" t="s">
        <v>7302</v>
      </c>
      <c r="D5928" s="7">
        <v>1</v>
      </c>
      <c r="E5928" s="7">
        <v>10</v>
      </c>
      <c r="F5928" s="7">
        <v>2</v>
      </c>
      <c r="G5928" s="8" t="s">
        <v>6710</v>
      </c>
      <c r="H5928" s="8" t="s">
        <v>5691</v>
      </c>
      <c r="I5928" s="7" t="str">
        <f>_xlfn.CONCAT(Paper_Reference[[#This Row],[Lvl]:[Paper Description]])</f>
        <v>2XJ8R0662SD480BCCWH T6-900 EAST 48 X 961102100DS009-5000FROSTY WHITE</v>
      </c>
      <c r="J5928" s="7">
        <f>COUNTIF(Paper_Reference[Duplicate Key],Paper_Reference[[#This Row],[Duplicate Key]])</f>
        <v>1</v>
      </c>
    </row>
    <row r="5929" spans="1:10">
      <c r="A5929" s="7">
        <v>2</v>
      </c>
      <c r="B5929" s="8" t="s">
        <v>8243</v>
      </c>
      <c r="C5929" s="8" t="s">
        <v>7303</v>
      </c>
      <c r="D5929" s="7">
        <v>1</v>
      </c>
      <c r="E5929" s="7">
        <v>10</v>
      </c>
      <c r="F5929" s="7">
        <v>2</v>
      </c>
      <c r="G5929" s="8" t="s">
        <v>6710</v>
      </c>
      <c r="H5929" s="8" t="s">
        <v>5691</v>
      </c>
      <c r="I5929" s="7" t="str">
        <f>_xlfn.CONCAT(Paper_Reference[[#This Row],[Lvl]:[Paper Description]])</f>
        <v>2XJ8R0663SD480BCCWH T6-608 NORTH 48 X 961102100DS009-5000FROSTY WHITE</v>
      </c>
      <c r="J5929" s="7">
        <f>COUNTIF(Paper_Reference[Duplicate Key],Paper_Reference[[#This Row],[Duplicate Key]])</f>
        <v>1</v>
      </c>
    </row>
    <row r="5930" spans="1:10">
      <c r="A5930" s="7">
        <v>2</v>
      </c>
      <c r="B5930" s="8" t="s">
        <v>8244</v>
      </c>
      <c r="C5930" s="8" t="s">
        <v>7304</v>
      </c>
      <c r="D5930" s="7">
        <v>1</v>
      </c>
      <c r="E5930" s="7">
        <v>10</v>
      </c>
      <c r="F5930" s="7">
        <v>2</v>
      </c>
      <c r="G5930" s="8" t="s">
        <v>6710</v>
      </c>
      <c r="H5930" s="8" t="s">
        <v>5691</v>
      </c>
      <c r="I5930" s="7" t="str">
        <f>_xlfn.CONCAT(Paper_Reference[[#This Row],[Lvl]:[Paper Description]])</f>
        <v>2XJ8R0664SD400BCCWH T1-812 SPACE CEN 48 X 121102100DS009-5000FROSTY WHITE</v>
      </c>
      <c r="J5930" s="7">
        <f>COUNTIF(Paper_Reference[Duplicate Key],Paper_Reference[[#This Row],[Duplicate Key]])</f>
        <v>1</v>
      </c>
    </row>
    <row r="5931" spans="1:10">
      <c r="A5931" s="7">
        <v>2</v>
      </c>
      <c r="B5931" s="8" t="s">
        <v>8245</v>
      </c>
      <c r="C5931" s="8" t="s">
        <v>7305</v>
      </c>
      <c r="D5931" s="7">
        <v>1</v>
      </c>
      <c r="E5931" s="7">
        <v>10</v>
      </c>
      <c r="F5931" s="7">
        <v>2</v>
      </c>
      <c r="G5931" s="8" t="s">
        <v>6710</v>
      </c>
      <c r="H5931" s="8" t="s">
        <v>5691</v>
      </c>
      <c r="I5931" s="7" t="str">
        <f>_xlfn.CONCAT(Paper_Reference[[#This Row],[Lvl]:[Paper Description]])</f>
        <v>2XJ8R0665SD400BCCWH T1-238 SEDATION 48 X 1201102100DS009-5000FROSTY WHITE</v>
      </c>
      <c r="J5931" s="7">
        <f>COUNTIF(Paper_Reference[Duplicate Key],Paper_Reference[[#This Row],[Duplicate Key]])</f>
        <v>1</v>
      </c>
    </row>
    <row r="5932" spans="1:10">
      <c r="A5932" s="7">
        <v>2</v>
      </c>
      <c r="B5932" s="8" t="s">
        <v>8246</v>
      </c>
      <c r="C5932" s="8" t="s">
        <v>7306</v>
      </c>
      <c r="D5932" s="7">
        <v>1</v>
      </c>
      <c r="E5932" s="7">
        <v>10</v>
      </c>
      <c r="F5932" s="7">
        <v>2</v>
      </c>
      <c r="G5932" s="8" t="s">
        <v>6710</v>
      </c>
      <c r="H5932" s="8" t="s">
        <v>5691</v>
      </c>
      <c r="I5932" s="7" t="str">
        <f>_xlfn.CONCAT(Paper_Reference[[#This Row],[Lvl]:[Paper Description]])</f>
        <v>2XJ8R0667SD480BCCWH T6-302 CORR 48 X 961102100DS009-5000FROSTY WHITE</v>
      </c>
      <c r="J5932" s="7">
        <f>COUNTIF(Paper_Reference[Duplicate Key],Paper_Reference[[#This Row],[Duplicate Key]])</f>
        <v>1</v>
      </c>
    </row>
    <row r="5933" spans="1:10">
      <c r="A5933" s="7">
        <v>2</v>
      </c>
      <c r="B5933" s="8" t="s">
        <v>8247</v>
      </c>
      <c r="C5933" s="8" t="s">
        <v>7307</v>
      </c>
      <c r="D5933" s="7">
        <v>1</v>
      </c>
      <c r="E5933" s="7">
        <v>10</v>
      </c>
      <c r="F5933" s="7">
        <v>2</v>
      </c>
      <c r="G5933" s="8" t="s">
        <v>6710</v>
      </c>
      <c r="H5933" s="8" t="s">
        <v>5691</v>
      </c>
      <c r="I5933" s="7" t="str">
        <f>_xlfn.CONCAT(Paper_Reference[[#This Row],[Lvl]:[Paper Description]])</f>
        <v>2XJ8R0687SD480BCCWH T6-602 48 X 961102100DS009-5000FROSTY WHITE</v>
      </c>
      <c r="J5933" s="7">
        <f>COUNTIF(Paper_Reference[Duplicate Key],Paper_Reference[[#This Row],[Duplicate Key]])</f>
        <v>1</v>
      </c>
    </row>
    <row r="5934" spans="1:10">
      <c r="A5934" s="7">
        <v>2</v>
      </c>
      <c r="B5934" s="8" t="s">
        <v>6679</v>
      </c>
      <c r="C5934" s="8" t="s">
        <v>6121</v>
      </c>
      <c r="D5934" s="7">
        <v>1</v>
      </c>
      <c r="E5934" s="7">
        <v>10</v>
      </c>
      <c r="F5934" s="7">
        <v>2</v>
      </c>
      <c r="G5934" s="8" t="s">
        <v>5690</v>
      </c>
      <c r="H5934" s="8" t="s">
        <v>5691</v>
      </c>
      <c r="I5934" s="7" t="str">
        <f>_xlfn.CONCAT(Paper_Reference[[#This Row],[Lvl]:[Paper Description]])</f>
        <v>2XJ8R0688SD500FRL DESIGNTEX R&amp;D 60 X 1201102100DS009-6200FROSTY WHITE</v>
      </c>
      <c r="J5934" s="7">
        <f>COUNTIF(Paper_Reference[Duplicate Key],Paper_Reference[[#This Row],[Duplicate Key]])</f>
        <v>1</v>
      </c>
    </row>
    <row r="5935" spans="1:10">
      <c r="A5935" s="7">
        <v>2</v>
      </c>
      <c r="B5935" s="8" t="s">
        <v>8248</v>
      </c>
      <c r="C5935" s="8" t="s">
        <v>7308</v>
      </c>
      <c r="D5935" s="7">
        <v>1</v>
      </c>
      <c r="E5935" s="7">
        <v>10</v>
      </c>
      <c r="F5935" s="7">
        <v>2</v>
      </c>
      <c r="G5935" s="8" t="s">
        <v>6710</v>
      </c>
      <c r="H5935" s="8" t="s">
        <v>5691</v>
      </c>
      <c r="I5935" s="7" t="str">
        <f>_xlfn.CONCAT(Paper_Reference[[#This Row],[Lvl]:[Paper Description]])</f>
        <v>2XJ8R0692SD480MAKE PIZZA REST FRL 48 X 961102100DS009-5000FROSTY WHITE</v>
      </c>
      <c r="J5935" s="7">
        <f>COUNTIF(Paper_Reference[Duplicate Key],Paper_Reference[[#This Row],[Duplicate Key]])</f>
        <v>1</v>
      </c>
    </row>
    <row r="5936" spans="1:10">
      <c r="A5936" s="7">
        <v>2</v>
      </c>
      <c r="B5936" s="8" t="s">
        <v>8249</v>
      </c>
      <c r="C5936" s="8" t="s">
        <v>7309</v>
      </c>
      <c r="D5936" s="7">
        <v>1</v>
      </c>
      <c r="E5936" s="7">
        <v>10</v>
      </c>
      <c r="F5936" s="7">
        <v>2</v>
      </c>
      <c r="G5936" s="8" t="s">
        <v>6710</v>
      </c>
      <c r="H5936" s="8" t="s">
        <v>5691</v>
      </c>
      <c r="I5936" s="7" t="str">
        <f>_xlfn.CONCAT(Paper_Reference[[#This Row],[Lvl]:[Paper Description]])</f>
        <v>2XJ8R0693SD480BCCWH T1-700 FRL 48 X 961102100DS009-5000FROSTY WHITE</v>
      </c>
      <c r="J5936" s="7">
        <f>COUNTIF(Paper_Reference[Duplicate Key],Paper_Reference[[#This Row],[Duplicate Key]])</f>
        <v>1</v>
      </c>
    </row>
    <row r="5937" spans="1:10">
      <c r="A5937" s="7">
        <v>2</v>
      </c>
      <c r="B5937" s="8" t="s">
        <v>8250</v>
      </c>
      <c r="C5937" s="8" t="s">
        <v>7310</v>
      </c>
      <c r="D5937" s="7">
        <v>1</v>
      </c>
      <c r="E5937" s="7">
        <v>10</v>
      </c>
      <c r="F5937" s="7">
        <v>2</v>
      </c>
      <c r="G5937" s="8" t="s">
        <v>6710</v>
      </c>
      <c r="H5937" s="8" t="s">
        <v>5691</v>
      </c>
      <c r="I5937" s="7" t="str">
        <f>_xlfn.CONCAT(Paper_Reference[[#This Row],[Lvl]:[Paper Description]])</f>
        <v>2XJ8R0694SD480BCCWH T4-505 FRL 48 X 961102100DS009-5000FROSTY WHITE</v>
      </c>
      <c r="J5937" s="7">
        <f>COUNTIF(Paper_Reference[Duplicate Key],Paper_Reference[[#This Row],[Duplicate Key]])</f>
        <v>1</v>
      </c>
    </row>
    <row r="5938" spans="1:10">
      <c r="A5938" s="7">
        <v>2</v>
      </c>
      <c r="B5938" s="8" t="s">
        <v>6680</v>
      </c>
      <c r="C5938" s="8" t="s">
        <v>6122</v>
      </c>
      <c r="D5938" s="7">
        <v>1</v>
      </c>
      <c r="E5938" s="7">
        <v>10</v>
      </c>
      <c r="F5938" s="7">
        <v>2</v>
      </c>
      <c r="G5938" s="8" t="s">
        <v>5690</v>
      </c>
      <c r="H5938" s="8" t="s">
        <v>5691</v>
      </c>
      <c r="I5938" s="7" t="str">
        <f>_xlfn.CONCAT(Paper_Reference[[#This Row],[Lvl]:[Paper Description]])</f>
        <v>2XJ8R0695SD580BCCWH T6-201 FRL 60 X 961102100DS009-6200FROSTY WHITE</v>
      </c>
      <c r="J5938" s="7">
        <f>COUNTIF(Paper_Reference[Duplicate Key],Paper_Reference[[#This Row],[Duplicate Key]])</f>
        <v>1</v>
      </c>
    </row>
    <row r="5939" spans="1:10">
      <c r="A5939" s="7">
        <v>2</v>
      </c>
      <c r="B5939" s="8" t="s">
        <v>8251</v>
      </c>
      <c r="C5939" s="8" t="s">
        <v>7311</v>
      </c>
      <c r="D5939" s="7">
        <v>1</v>
      </c>
      <c r="E5939" s="7">
        <v>10</v>
      </c>
      <c r="F5939" s="7">
        <v>2</v>
      </c>
      <c r="G5939" s="8" t="s">
        <v>6710</v>
      </c>
      <c r="H5939" s="8" t="s">
        <v>5691</v>
      </c>
      <c r="I5939" s="7" t="str">
        <f>_xlfn.CONCAT(Paper_Reference[[#This Row],[Lvl]:[Paper Description]])</f>
        <v>2XJ8R0696SD400BCCWH T6-523 FRL 48 X 1201102100DS009-5000FROSTY WHITE</v>
      </c>
      <c r="J5939" s="7">
        <f>COUNTIF(Paper_Reference[Duplicate Key],Paper_Reference[[#This Row],[Duplicate Key]])</f>
        <v>1</v>
      </c>
    </row>
    <row r="5940" spans="1:10">
      <c r="A5940" s="7">
        <v>2</v>
      </c>
      <c r="B5940" s="8" t="s">
        <v>8252</v>
      </c>
      <c r="C5940" s="8" t="s">
        <v>7312</v>
      </c>
      <c r="D5940" s="7">
        <v>1</v>
      </c>
      <c r="E5940" s="7">
        <v>10</v>
      </c>
      <c r="F5940" s="7">
        <v>2</v>
      </c>
      <c r="G5940" s="8" t="s">
        <v>6710</v>
      </c>
      <c r="H5940" s="8" t="s">
        <v>5691</v>
      </c>
      <c r="I5940" s="7" t="str">
        <f>_xlfn.CONCAT(Paper_Reference[[#This Row],[Lvl]:[Paper Description]])</f>
        <v>2XJ8R0697SD480BCCWH T6-601 FRL 48 X 961102100DS009-5000FROSTY WHITE</v>
      </c>
      <c r="J5940" s="7">
        <f>COUNTIF(Paper_Reference[Duplicate Key],Paper_Reference[[#This Row],[Duplicate Key]])</f>
        <v>1</v>
      </c>
    </row>
    <row r="5941" spans="1:10">
      <c r="A5941" s="7">
        <v>2</v>
      </c>
      <c r="B5941" s="8" t="s">
        <v>8253</v>
      </c>
      <c r="C5941" s="8" t="s">
        <v>7313</v>
      </c>
      <c r="D5941" s="7">
        <v>1</v>
      </c>
      <c r="E5941" s="7">
        <v>10</v>
      </c>
      <c r="F5941" s="7">
        <v>2</v>
      </c>
      <c r="G5941" s="8" t="s">
        <v>6710</v>
      </c>
      <c r="H5941" s="8" t="s">
        <v>5691</v>
      </c>
      <c r="I5941" s="7" t="str">
        <f>_xlfn.CONCAT(Paper_Reference[[#This Row],[Lvl]:[Paper Description]])</f>
        <v>2XJ8R0698SD480BCCWH T7-201 FRL 48 X 961102100DS009-5000FROSTY WHITE</v>
      </c>
      <c r="J5941" s="7">
        <f>COUNTIF(Paper_Reference[Duplicate Key],Paper_Reference[[#This Row],[Duplicate Key]])</f>
        <v>1</v>
      </c>
    </row>
    <row r="5942" spans="1:10">
      <c r="A5942" s="7">
        <v>2</v>
      </c>
      <c r="B5942" s="8" t="s">
        <v>8254</v>
      </c>
      <c r="C5942" s="8" t="s">
        <v>7314</v>
      </c>
      <c r="D5942" s="7">
        <v>1</v>
      </c>
      <c r="E5942" s="7">
        <v>10</v>
      </c>
      <c r="F5942" s="7">
        <v>2</v>
      </c>
      <c r="G5942" s="8" t="s">
        <v>6710</v>
      </c>
      <c r="H5942" s="8" t="s">
        <v>5691</v>
      </c>
      <c r="I5942" s="7" t="str">
        <f>_xlfn.CONCAT(Paper_Reference[[#This Row],[Lvl]:[Paper Description]])</f>
        <v>2XJ8R0699SD480BCCWH T7-302 FRL 48 X 961102100DS009-5000FROSTY WHITE</v>
      </c>
      <c r="J5942" s="7">
        <f>COUNTIF(Paper_Reference[Duplicate Key],Paper_Reference[[#This Row],[Duplicate Key]])</f>
        <v>1</v>
      </c>
    </row>
    <row r="5943" spans="1:10">
      <c r="A5943" s="7">
        <v>2</v>
      </c>
      <c r="B5943" s="8" t="s">
        <v>8255</v>
      </c>
      <c r="C5943" s="8" t="s">
        <v>7315</v>
      </c>
      <c r="D5943" s="7">
        <v>1</v>
      </c>
      <c r="E5943" s="7">
        <v>10</v>
      </c>
      <c r="F5943" s="7">
        <v>2</v>
      </c>
      <c r="G5943" s="8" t="s">
        <v>6710</v>
      </c>
      <c r="H5943" s="8" t="s">
        <v>5691</v>
      </c>
      <c r="I5943" s="7" t="str">
        <f>_xlfn.CONCAT(Paper_Reference[[#This Row],[Lvl]:[Paper Description]])</f>
        <v>2XJ8R0700SD480BCCWH T7-500 FRL 48 X 961102100DS009-5000FROSTY WHITE</v>
      </c>
      <c r="J5943" s="7">
        <f>COUNTIF(Paper_Reference[Duplicate Key],Paper_Reference[[#This Row],[Duplicate Key]])</f>
        <v>1</v>
      </c>
    </row>
    <row r="5944" spans="1:10">
      <c r="A5944" s="7">
        <v>2</v>
      </c>
      <c r="B5944" s="8" t="s">
        <v>6681</v>
      </c>
      <c r="C5944" s="8" t="s">
        <v>6123</v>
      </c>
      <c r="D5944" s="7">
        <v>1</v>
      </c>
      <c r="E5944" s="7">
        <v>10</v>
      </c>
      <c r="F5944" s="7">
        <v>2</v>
      </c>
      <c r="G5944" s="8" t="s">
        <v>5690</v>
      </c>
      <c r="H5944" s="8" t="s">
        <v>5691</v>
      </c>
      <c r="I5944" s="7" t="str">
        <f>_xlfn.CONCAT(Paper_Reference[[#This Row],[Lvl]:[Paper Description]])</f>
        <v>2XJ8R0701SD580BCCWH T7-601 FRL 60 X 961102100DS009-6200FROSTY WHITE</v>
      </c>
      <c r="J5944" s="7">
        <f>COUNTIF(Paper_Reference[Duplicate Key],Paper_Reference[[#This Row],[Duplicate Key]])</f>
        <v>1</v>
      </c>
    </row>
    <row r="5945" spans="1:10">
      <c r="A5945" s="7">
        <v>2</v>
      </c>
      <c r="B5945" s="8" t="s">
        <v>8256</v>
      </c>
      <c r="C5945" s="8" t="s">
        <v>7316</v>
      </c>
      <c r="D5945" s="7">
        <v>1</v>
      </c>
      <c r="E5945" s="7">
        <v>10</v>
      </c>
      <c r="F5945" s="7">
        <v>2</v>
      </c>
      <c r="G5945" s="8" t="s">
        <v>6710</v>
      </c>
      <c r="H5945" s="8" t="s">
        <v>5691</v>
      </c>
      <c r="I5945" s="7" t="str">
        <f>_xlfn.CONCAT(Paper_Reference[[#This Row],[Lvl]:[Paper Description]])</f>
        <v>2XJ8R0702SD480BCCWH T7-602 FRL 48 X 961102100DS009-5000FROSTY WHITE</v>
      </c>
      <c r="J5945" s="7">
        <f>COUNTIF(Paper_Reference[Duplicate Key],Paper_Reference[[#This Row],[Duplicate Key]])</f>
        <v>1</v>
      </c>
    </row>
    <row r="5946" spans="1:10">
      <c r="A5946" s="7">
        <v>2</v>
      </c>
      <c r="B5946" s="8" t="s">
        <v>6682</v>
      </c>
      <c r="C5946" s="8" t="s">
        <v>6124</v>
      </c>
      <c r="D5946" s="7">
        <v>1</v>
      </c>
      <c r="E5946" s="7">
        <v>10</v>
      </c>
      <c r="F5946" s="7">
        <v>2</v>
      </c>
      <c r="G5946" s="8" t="s">
        <v>5690</v>
      </c>
      <c r="H5946" s="8" t="s">
        <v>5691</v>
      </c>
      <c r="I5946" s="7" t="str">
        <f>_xlfn.CONCAT(Paper_Reference[[#This Row],[Lvl]:[Paper Description]])</f>
        <v>2XJ8R0703SD580BCCWH T7-608 FRL 60 X 961102100DS009-6200FROSTY WHITE</v>
      </c>
      <c r="J5946" s="7">
        <f>COUNTIF(Paper_Reference[Duplicate Key],Paper_Reference[[#This Row],[Duplicate Key]])</f>
        <v>1</v>
      </c>
    </row>
    <row r="5947" spans="1:10">
      <c r="A5947" s="7">
        <v>2</v>
      </c>
      <c r="B5947" s="8" t="s">
        <v>8257</v>
      </c>
      <c r="C5947" s="8" t="s">
        <v>7317</v>
      </c>
      <c r="D5947" s="7">
        <v>1</v>
      </c>
      <c r="E5947" s="7">
        <v>10</v>
      </c>
      <c r="F5947" s="7">
        <v>2</v>
      </c>
      <c r="G5947" s="8" t="s">
        <v>6710</v>
      </c>
      <c r="H5947" s="8" t="s">
        <v>5691</v>
      </c>
      <c r="I5947" s="7" t="str">
        <f>_xlfn.CONCAT(Paper_Reference[[#This Row],[Lvl]:[Paper Description]])</f>
        <v>2XJ8R0704SD400BCCWH T7-725 FRL 48 X 1201102100DS009-5000FROSTY WHITE</v>
      </c>
      <c r="J5947" s="7">
        <f>COUNTIF(Paper_Reference[Duplicate Key],Paper_Reference[[#This Row],[Duplicate Key]])</f>
        <v>1</v>
      </c>
    </row>
    <row r="5948" spans="1:10">
      <c r="A5948" s="7">
        <v>2</v>
      </c>
      <c r="B5948" s="8" t="s">
        <v>8258</v>
      </c>
      <c r="C5948" s="8" t="s">
        <v>7318</v>
      </c>
      <c r="D5948" s="7">
        <v>1</v>
      </c>
      <c r="E5948" s="7">
        <v>10</v>
      </c>
      <c r="F5948" s="7">
        <v>2</v>
      </c>
      <c r="G5948" s="8" t="s">
        <v>6710</v>
      </c>
      <c r="H5948" s="8" t="s">
        <v>5691</v>
      </c>
      <c r="I5948" s="7" t="str">
        <f>_xlfn.CONCAT(Paper_Reference[[#This Row],[Lvl]:[Paper Description]])</f>
        <v>2XJ8R0704SD480BCCWH T7-725 FRL 48 X 961102100DS009-5000FROSTY WHITE</v>
      </c>
      <c r="J5948" s="7">
        <f>COUNTIF(Paper_Reference[Duplicate Key],Paper_Reference[[#This Row],[Duplicate Key]])</f>
        <v>1</v>
      </c>
    </row>
    <row r="5949" spans="1:10">
      <c r="A5949" s="7">
        <v>2</v>
      </c>
      <c r="B5949" s="8" t="s">
        <v>6683</v>
      </c>
      <c r="C5949" s="8" t="s">
        <v>6125</v>
      </c>
      <c r="D5949" s="7">
        <v>1</v>
      </c>
      <c r="E5949" s="7">
        <v>10</v>
      </c>
      <c r="F5949" s="7">
        <v>2</v>
      </c>
      <c r="G5949" s="8" t="s">
        <v>5690</v>
      </c>
      <c r="H5949" s="8" t="s">
        <v>5691</v>
      </c>
      <c r="I5949" s="7" t="str">
        <f>_xlfn.CONCAT(Paper_Reference[[#This Row],[Lvl]:[Paper Description]])</f>
        <v>2XJ8R0705SD580BCCWH T7-900 FRL 60 X 961102100DS009-6200FROSTY WHITE</v>
      </c>
      <c r="J5949" s="7">
        <f>COUNTIF(Paper_Reference[Duplicate Key],Paper_Reference[[#This Row],[Duplicate Key]])</f>
        <v>1</v>
      </c>
    </row>
    <row r="5950" spans="1:10">
      <c r="A5950" s="7">
        <v>2</v>
      </c>
      <c r="B5950" s="8" t="s">
        <v>8259</v>
      </c>
      <c r="C5950" s="8" t="s">
        <v>7319</v>
      </c>
      <c r="D5950" s="7">
        <v>1</v>
      </c>
      <c r="E5950" s="7">
        <v>10</v>
      </c>
      <c r="F5950" s="7">
        <v>2</v>
      </c>
      <c r="G5950" s="8" t="s">
        <v>6710</v>
      </c>
      <c r="H5950" s="8" t="s">
        <v>5691</v>
      </c>
      <c r="I5950" s="7" t="str">
        <f>_xlfn.CONCAT(Paper_Reference[[#This Row],[Lvl]:[Paper Description]])</f>
        <v>2XJ8R0706SD400BCCWH T8-319 FRL 48 X 1201102100DS009-5000FROSTY WHITE</v>
      </c>
      <c r="J5950" s="7">
        <f>COUNTIF(Paper_Reference[Duplicate Key],Paper_Reference[[#This Row],[Duplicate Key]])</f>
        <v>1</v>
      </c>
    </row>
    <row r="5951" spans="1:10">
      <c r="A5951" s="7">
        <v>2</v>
      </c>
      <c r="B5951" s="8" t="s">
        <v>8260</v>
      </c>
      <c r="C5951" s="8" t="s">
        <v>7320</v>
      </c>
      <c r="D5951" s="7">
        <v>1</v>
      </c>
      <c r="E5951" s="7">
        <v>10</v>
      </c>
      <c r="F5951" s="7">
        <v>2</v>
      </c>
      <c r="G5951" s="8" t="s">
        <v>6710</v>
      </c>
      <c r="H5951" s="8" t="s">
        <v>5691</v>
      </c>
      <c r="I5951" s="7" t="str">
        <f>_xlfn.CONCAT(Paper_Reference[[#This Row],[Lvl]:[Paper Description]])</f>
        <v>2XJ8R0707SD480BCCWH T8-900 FRL 48 X 961102100DS009-5000FROSTY WHITE</v>
      </c>
      <c r="J5951" s="7">
        <f>COUNTIF(Paper_Reference[Duplicate Key],Paper_Reference[[#This Row],[Duplicate Key]])</f>
        <v>1</v>
      </c>
    </row>
    <row r="5952" spans="1:10">
      <c r="A5952" s="7">
        <v>2</v>
      </c>
      <c r="B5952" s="8" t="s">
        <v>8261</v>
      </c>
      <c r="C5952" s="8" t="s">
        <v>7321</v>
      </c>
      <c r="D5952" s="7">
        <v>1</v>
      </c>
      <c r="E5952" s="7">
        <v>10</v>
      </c>
      <c r="F5952" s="7">
        <v>2</v>
      </c>
      <c r="G5952" s="8" t="s">
        <v>6710</v>
      </c>
      <c r="H5952" s="8" t="s">
        <v>5691</v>
      </c>
      <c r="I5952" s="7" t="str">
        <f>_xlfn.CONCAT(Paper_Reference[[#This Row],[Lvl]:[Paper Description]])</f>
        <v>2XJ8R0709SD400SCH RIVER MURAL FRL 48 X 1201102100DS009-5000FROSTY WHITE</v>
      </c>
      <c r="J5952" s="7">
        <f>COUNTIF(Paper_Reference[Duplicate Key],Paper_Reference[[#This Row],[Duplicate Key]])</f>
        <v>1</v>
      </c>
    </row>
    <row r="5953" spans="1:10">
      <c r="A5953" s="7">
        <v>2</v>
      </c>
      <c r="B5953" s="8" t="s">
        <v>8262</v>
      </c>
      <c r="C5953" s="8" t="s">
        <v>7322</v>
      </c>
      <c r="D5953" s="7">
        <v>1</v>
      </c>
      <c r="E5953" s="7">
        <v>10</v>
      </c>
      <c r="F5953" s="7">
        <v>2</v>
      </c>
      <c r="G5953" s="8" t="s">
        <v>6710</v>
      </c>
      <c r="H5953" s="8" t="s">
        <v>5691</v>
      </c>
      <c r="I5953" s="7" t="str">
        <f>_xlfn.CONCAT(Paper_Reference[[#This Row],[Lvl]:[Paper Description]])</f>
        <v>2XJ8R0719SD480BAYSTATE ED PL-6 FRL 48 X 961102100DS009-5000FROSTY WHITE</v>
      </c>
      <c r="J5953" s="7">
        <f>COUNTIF(Paper_Reference[Duplicate Key],Paper_Reference[[#This Row],[Duplicate Key]])</f>
        <v>1</v>
      </c>
    </row>
    <row r="5954" spans="1:10">
      <c r="A5954" s="7">
        <v>2</v>
      </c>
      <c r="B5954" s="8" t="s">
        <v>8263</v>
      </c>
      <c r="C5954" s="8" t="s">
        <v>7323</v>
      </c>
      <c r="D5954" s="7">
        <v>1</v>
      </c>
      <c r="E5954" s="7">
        <v>10</v>
      </c>
      <c r="F5954" s="7">
        <v>2</v>
      </c>
      <c r="G5954" s="8" t="s">
        <v>6710</v>
      </c>
      <c r="H5954" s="8" t="s">
        <v>5691</v>
      </c>
      <c r="I5954" s="7" t="str">
        <f>_xlfn.CONCAT(Paper_Reference[[#This Row],[Lvl]:[Paper Description]])</f>
        <v>2XJ8R0720SD480BAYSTATE ED PL-7 FRL 48 X 961102100DS009-5000FROSTY WHITE</v>
      </c>
      <c r="J5954" s="7">
        <f>COUNTIF(Paper_Reference[Duplicate Key],Paper_Reference[[#This Row],[Duplicate Key]])</f>
        <v>1</v>
      </c>
    </row>
    <row r="5955" spans="1:10">
      <c r="A5955" s="7">
        <v>2</v>
      </c>
      <c r="B5955" s="8" t="s">
        <v>6684</v>
      </c>
      <c r="C5955" s="8" t="s">
        <v>6126</v>
      </c>
      <c r="D5955" s="7">
        <v>1</v>
      </c>
      <c r="E5955" s="7">
        <v>10</v>
      </c>
      <c r="F5955" s="7">
        <v>2</v>
      </c>
      <c r="G5955" s="8" t="s">
        <v>5690</v>
      </c>
      <c r="H5955" s="8" t="s">
        <v>5691</v>
      </c>
      <c r="I5955" s="7" t="str">
        <f>_xlfn.CONCAT(Paper_Reference[[#This Row],[Lvl]:[Paper Description]])</f>
        <v>2XJ8R0737SD500FRL NYU KIMMEL 60 X 1201102100DS009-6200FROSTY WHITE</v>
      </c>
      <c r="J5955" s="7">
        <f>COUNTIF(Paper_Reference[Duplicate Key],Paper_Reference[[#This Row],[Duplicate Key]])</f>
        <v>1</v>
      </c>
    </row>
    <row r="5956" spans="1:10">
      <c r="A5956" s="7">
        <v>2</v>
      </c>
      <c r="B5956" s="8" t="s">
        <v>6685</v>
      </c>
      <c r="C5956" s="8" t="s">
        <v>6127</v>
      </c>
      <c r="D5956" s="7">
        <v>1</v>
      </c>
      <c r="E5956" s="7">
        <v>10</v>
      </c>
      <c r="F5956" s="7">
        <v>2</v>
      </c>
      <c r="G5956" s="8" t="s">
        <v>5690</v>
      </c>
      <c r="H5956" s="8" t="s">
        <v>5691</v>
      </c>
      <c r="I5956" s="7" t="str">
        <f>_xlfn.CONCAT(Paper_Reference[[#This Row],[Lvl]:[Paper Description]])</f>
        <v>2XJ8R0740SD580ST. LUKES MOOSE WALL 60 X 961102100DS009-6200FROSTY WHITE</v>
      </c>
      <c r="J5956" s="7">
        <f>COUNTIF(Paper_Reference[Duplicate Key],Paper_Reference[[#This Row],[Duplicate Key]])</f>
        <v>1</v>
      </c>
    </row>
    <row r="5957" spans="1:10">
      <c r="A5957" s="7">
        <v>2</v>
      </c>
      <c r="B5957" s="8" t="s">
        <v>8264</v>
      </c>
      <c r="C5957" s="8" t="s">
        <v>7324</v>
      </c>
      <c r="D5957" s="7">
        <v>1</v>
      </c>
      <c r="E5957" s="7">
        <v>10</v>
      </c>
      <c r="F5957" s="7">
        <v>2</v>
      </c>
      <c r="G5957" s="8" t="s">
        <v>6710</v>
      </c>
      <c r="H5957" s="8" t="s">
        <v>5691</v>
      </c>
      <c r="I5957" s="7" t="str">
        <f>_xlfn.CONCAT(Paper_Reference[[#This Row],[Lvl]:[Paper Description]])</f>
        <v>2XJ8R0742SD400ADENA MED HEADWALL FRL 48X1201102100DS009-5000FROSTY WHITE</v>
      </c>
      <c r="J5957" s="7">
        <f>COUNTIF(Paper_Reference[Duplicate Key],Paper_Reference[[#This Row],[Duplicate Key]])</f>
        <v>1</v>
      </c>
    </row>
    <row r="5958" spans="1:10">
      <c r="A5958" s="7">
        <v>2</v>
      </c>
      <c r="B5958" s="8" t="s">
        <v>6686</v>
      </c>
      <c r="C5958" s="8" t="s">
        <v>6128</v>
      </c>
      <c r="D5958" s="7">
        <v>1</v>
      </c>
      <c r="E5958" s="7">
        <v>10</v>
      </c>
      <c r="F5958" s="7">
        <v>2</v>
      </c>
      <c r="G5958" s="8" t="s">
        <v>5690</v>
      </c>
      <c r="H5958" s="8" t="s">
        <v>5691</v>
      </c>
      <c r="I5958" s="7" t="str">
        <f>_xlfn.CONCAT(Paper_Reference[[#This Row],[Lvl]:[Paper Description]])</f>
        <v>2XJ8R0746SD500FRL RIVERS EAST MOCK UP 60X1201102100DS009-6200FROSTY WHITE</v>
      </c>
      <c r="J5958" s="7">
        <f>COUNTIF(Paper_Reference[Duplicate Key],Paper_Reference[[#This Row],[Duplicate Key]])</f>
        <v>1</v>
      </c>
    </row>
    <row r="5959" spans="1:10">
      <c r="A5959" s="7">
        <v>2</v>
      </c>
      <c r="B5959" s="8" t="s">
        <v>8265</v>
      </c>
      <c r="C5959" s="8" t="s">
        <v>7325</v>
      </c>
      <c r="D5959" s="7">
        <v>1</v>
      </c>
      <c r="E5959" s="7">
        <v>10</v>
      </c>
      <c r="F5959" s="7">
        <v>2</v>
      </c>
      <c r="G5959" s="8" t="s">
        <v>6710</v>
      </c>
      <c r="H5959" s="8" t="s">
        <v>5691</v>
      </c>
      <c r="I5959" s="7" t="str">
        <f>_xlfn.CONCAT(Paper_Reference[[#This Row],[Lvl]:[Paper Description]])</f>
        <v>2XJ8R0750SD480SLSD ELEMENTARY FRL 48 X 961102100DS009-5000FROSTY WHITE</v>
      </c>
      <c r="J5959" s="7">
        <f>COUNTIF(Paper_Reference[Duplicate Key],Paper_Reference[[#This Row],[Duplicate Key]])</f>
        <v>1</v>
      </c>
    </row>
    <row r="5960" spans="1:10">
      <c r="A5960" s="7">
        <v>2</v>
      </c>
      <c r="B5960" s="8" t="s">
        <v>6687</v>
      </c>
      <c r="C5960" s="8" t="s">
        <v>6129</v>
      </c>
      <c r="D5960" s="7">
        <v>1</v>
      </c>
      <c r="E5960" s="7">
        <v>10</v>
      </c>
      <c r="F5960" s="7">
        <v>2</v>
      </c>
      <c r="G5960" s="8" t="s">
        <v>5690</v>
      </c>
      <c r="H5960" s="8" t="s">
        <v>5691</v>
      </c>
      <c r="I5960" s="7" t="str">
        <f>_xlfn.CONCAT(Paper_Reference[[#This Row],[Lvl]:[Paper Description]])</f>
        <v>2XJ8R0751SD500FRL TILLICUM MS L1 MEX 60X1201102100DS009-6200FROSTY WHITE</v>
      </c>
      <c r="J5960" s="7">
        <f>COUNTIF(Paper_Reference[Duplicate Key],Paper_Reference[[#This Row],[Duplicate Key]])</f>
        <v>1</v>
      </c>
    </row>
    <row r="5961" spans="1:10">
      <c r="A5961" s="7">
        <v>2</v>
      </c>
      <c r="B5961" s="8" t="s">
        <v>6688</v>
      </c>
      <c r="C5961" s="8" t="s">
        <v>6130</v>
      </c>
      <c r="D5961" s="7">
        <v>1</v>
      </c>
      <c r="E5961" s="7">
        <v>10</v>
      </c>
      <c r="F5961" s="7">
        <v>2</v>
      </c>
      <c r="G5961" s="8" t="s">
        <v>5690</v>
      </c>
      <c r="H5961" s="8" t="s">
        <v>5691</v>
      </c>
      <c r="I5961" s="7" t="str">
        <f>_xlfn.CONCAT(Paper_Reference[[#This Row],[Lvl]:[Paper Description]])</f>
        <v>2XJ8R0752SD500FRL TILLICUM MS L2 PARIS 60X121102100DS009-6200FROSTY WHITE</v>
      </c>
      <c r="J5961" s="7">
        <f>COUNTIF(Paper_Reference[Duplicate Key],Paper_Reference[[#This Row],[Duplicate Key]])</f>
        <v>1</v>
      </c>
    </row>
    <row r="5962" spans="1:10">
      <c r="A5962" s="7">
        <v>2</v>
      </c>
      <c r="B5962" s="8" t="s">
        <v>6689</v>
      </c>
      <c r="C5962" s="8" t="s">
        <v>6131</v>
      </c>
      <c r="D5962" s="7">
        <v>1</v>
      </c>
      <c r="E5962" s="7">
        <v>10</v>
      </c>
      <c r="F5962" s="7">
        <v>2</v>
      </c>
      <c r="G5962" s="8" t="s">
        <v>5690</v>
      </c>
      <c r="H5962" s="8" t="s">
        <v>5691</v>
      </c>
      <c r="I5962" s="7" t="str">
        <f>_xlfn.CONCAT(Paper_Reference[[#This Row],[Lvl]:[Paper Description]])</f>
        <v>2XJ8R0753SD500FRL TILLICUM MS L3 WASH 60X1201102100DS009-6200FROSTY WHITE</v>
      </c>
      <c r="J5962" s="7">
        <f>COUNTIF(Paper_Reference[Duplicate Key],Paper_Reference[[#This Row],[Duplicate Key]])</f>
        <v>1</v>
      </c>
    </row>
    <row r="5963" spans="1:10">
      <c r="A5963" s="7">
        <v>2</v>
      </c>
      <c r="B5963" s="8" t="s">
        <v>6690</v>
      </c>
      <c r="C5963" s="8" t="s">
        <v>6132</v>
      </c>
      <c r="D5963" s="7">
        <v>1</v>
      </c>
      <c r="E5963" s="7">
        <v>10</v>
      </c>
      <c r="F5963" s="7">
        <v>2</v>
      </c>
      <c r="G5963" s="8" t="s">
        <v>5690</v>
      </c>
      <c r="H5963" s="8" t="s">
        <v>5691</v>
      </c>
      <c r="I5963" s="7" t="str">
        <f>_xlfn.CONCAT(Paper_Reference[[#This Row],[Lvl]:[Paper Description]])</f>
        <v>2XJ8R0771SD500FRL RIVER EAST CORR 60 X 1201102100DS009-6200FROSTY WHITE</v>
      </c>
      <c r="J5963" s="7">
        <f>COUNTIF(Paper_Reference[Duplicate Key],Paper_Reference[[#This Row],[Duplicate Key]])</f>
        <v>1</v>
      </c>
    </row>
    <row r="5964" spans="1:10">
      <c r="A5964" s="7">
        <v>2</v>
      </c>
      <c r="B5964" s="8" t="s">
        <v>6691</v>
      </c>
      <c r="C5964" s="8" t="s">
        <v>6133</v>
      </c>
      <c r="D5964" s="7">
        <v>1</v>
      </c>
      <c r="E5964" s="7">
        <v>10</v>
      </c>
      <c r="F5964" s="7">
        <v>2</v>
      </c>
      <c r="G5964" s="8" t="s">
        <v>5690</v>
      </c>
      <c r="H5964" s="8" t="s">
        <v>5691</v>
      </c>
      <c r="I5964" s="7" t="str">
        <f>_xlfn.CONCAT(Paper_Reference[[#This Row],[Lvl]:[Paper Description]])</f>
        <v>2XJ8R0772SD500FRL RIVER EAST ENTRY 60 X 1201102100DS009-6200FROSTY WHITE</v>
      </c>
      <c r="J5964" s="7">
        <f>COUNTIF(Paper_Reference[Duplicate Key],Paper_Reference[[#This Row],[Duplicate Key]])</f>
        <v>1</v>
      </c>
    </row>
    <row r="5965" spans="1:10">
      <c r="A5965" s="7">
        <v>2</v>
      </c>
      <c r="B5965" s="8" t="s">
        <v>6692</v>
      </c>
      <c r="C5965" s="8" t="s">
        <v>6134</v>
      </c>
      <c r="D5965" s="7">
        <v>1</v>
      </c>
      <c r="E5965" s="7">
        <v>10</v>
      </c>
      <c r="F5965" s="7">
        <v>2</v>
      </c>
      <c r="G5965" s="8" t="s">
        <v>5690</v>
      </c>
      <c r="H5965" s="8" t="s">
        <v>5691</v>
      </c>
      <c r="I5965" s="7" t="str">
        <f>_xlfn.CONCAT(Paper_Reference[[#This Row],[Lvl]:[Paper Description]])</f>
        <v>2XJ8R0788SD500FRL CCHMC-B4-LDRP 60 X 1201102100DS009-6200FROSTY WHITE</v>
      </c>
      <c r="J5965" s="7">
        <f>COUNTIF(Paper_Reference[Duplicate Key],Paper_Reference[[#This Row],[Duplicate Key]])</f>
        <v>1</v>
      </c>
    </row>
    <row r="5966" spans="1:10">
      <c r="A5966" s="7">
        <v>2</v>
      </c>
      <c r="B5966" s="8" t="s">
        <v>6693</v>
      </c>
      <c r="C5966" s="8" t="s">
        <v>6135</v>
      </c>
      <c r="D5966" s="7">
        <v>1</v>
      </c>
      <c r="E5966" s="7">
        <v>10</v>
      </c>
      <c r="F5966" s="7">
        <v>2</v>
      </c>
      <c r="G5966" s="8" t="s">
        <v>5690</v>
      </c>
      <c r="H5966" s="8" t="s">
        <v>5691</v>
      </c>
      <c r="I5966" s="7" t="str">
        <f>_xlfn.CONCAT(Paper_Reference[[#This Row],[Lvl]:[Paper Description]])</f>
        <v>2XJ8R0795SD500STANTON MED L0 - NORTH 60 X 121102100DS009-6200FROSTY WHITE</v>
      </c>
      <c r="J5966" s="7">
        <f>COUNTIF(Paper_Reference[Duplicate Key],Paper_Reference[[#This Row],[Duplicate Key]])</f>
        <v>1</v>
      </c>
    </row>
    <row r="5967" spans="1:10">
      <c r="A5967" s="7">
        <v>2</v>
      </c>
      <c r="B5967" s="8" t="s">
        <v>6694</v>
      </c>
      <c r="C5967" s="8" t="s">
        <v>6136</v>
      </c>
      <c r="D5967" s="7">
        <v>1</v>
      </c>
      <c r="E5967" s="7">
        <v>10</v>
      </c>
      <c r="F5967" s="7">
        <v>2</v>
      </c>
      <c r="G5967" s="8" t="s">
        <v>5690</v>
      </c>
      <c r="H5967" s="8" t="s">
        <v>5691</v>
      </c>
      <c r="I5967" s="7" t="str">
        <f>_xlfn.CONCAT(Paper_Reference[[#This Row],[Lvl]:[Paper Description]])</f>
        <v>2XJ8R0796SD500STANTON MED L1 - CAFE 60 X 1201102100DS009-6200FROSTY WHITE</v>
      </c>
      <c r="J5967" s="7">
        <f>COUNTIF(Paper_Reference[Duplicate Key],Paper_Reference[[#This Row],[Duplicate Key]])</f>
        <v>1</v>
      </c>
    </row>
    <row r="5968" spans="1:10">
      <c r="A5968" s="7">
        <v>2</v>
      </c>
      <c r="B5968" s="8" t="s">
        <v>8266</v>
      </c>
      <c r="C5968" s="8" t="s">
        <v>7326</v>
      </c>
      <c r="D5968" s="7">
        <v>1</v>
      </c>
      <c r="E5968" s="7">
        <v>10</v>
      </c>
      <c r="F5968" s="7">
        <v>2</v>
      </c>
      <c r="G5968" s="8" t="s">
        <v>6710</v>
      </c>
      <c r="H5968" s="8" t="s">
        <v>5691</v>
      </c>
      <c r="I5968" s="7" t="str">
        <f>_xlfn.CONCAT(Paper_Reference[[#This Row],[Lvl]:[Paper Description]])</f>
        <v>2XJ8R0797SD400STANTON MED L1 - ED 48 X 1201102100DS009-5000FROSTY WHITE</v>
      </c>
      <c r="J5968" s="7">
        <f>COUNTIF(Paper_Reference[Duplicate Key],Paper_Reference[[#This Row],[Duplicate Key]])</f>
        <v>1</v>
      </c>
    </row>
    <row r="5969" spans="1:10">
      <c r="A5969" s="7">
        <v>2</v>
      </c>
      <c r="B5969" s="8" t="s">
        <v>6695</v>
      </c>
      <c r="C5969" s="8" t="s">
        <v>6137</v>
      </c>
      <c r="D5969" s="7">
        <v>1</v>
      </c>
      <c r="E5969" s="7">
        <v>10</v>
      </c>
      <c r="F5969" s="7">
        <v>2</v>
      </c>
      <c r="G5969" s="8" t="s">
        <v>5690</v>
      </c>
      <c r="H5969" s="8" t="s">
        <v>5691</v>
      </c>
      <c r="I5969" s="7" t="str">
        <f>_xlfn.CONCAT(Paper_Reference[[#This Row],[Lvl]:[Paper Description]])</f>
        <v>2XJ8R0798SD500STANTON MED L2 - NORTH 60 X 121102100DS009-6200FROSTY WHITE</v>
      </c>
      <c r="J5969" s="7">
        <f>COUNTIF(Paper_Reference[Duplicate Key],Paper_Reference[[#This Row],[Duplicate Key]])</f>
        <v>1</v>
      </c>
    </row>
    <row r="5970" spans="1:10">
      <c r="A5970" s="7">
        <v>2</v>
      </c>
      <c r="B5970" s="8" t="s">
        <v>6696</v>
      </c>
      <c r="C5970" s="8" t="s">
        <v>6138</v>
      </c>
      <c r="D5970" s="7">
        <v>1</v>
      </c>
      <c r="E5970" s="7">
        <v>10</v>
      </c>
      <c r="F5970" s="7">
        <v>2</v>
      </c>
      <c r="G5970" s="8" t="s">
        <v>5690</v>
      </c>
      <c r="H5970" s="8" t="s">
        <v>5691</v>
      </c>
      <c r="I5970" s="7" t="str">
        <f>_xlfn.CONCAT(Paper_Reference[[#This Row],[Lvl]:[Paper Description]])</f>
        <v>2XJ8R0799SD500STANTON MED L2 - SW 60 X 1201102100DS009-6200FROSTY WHITE</v>
      </c>
      <c r="J5970" s="7">
        <f>COUNTIF(Paper_Reference[Duplicate Key],Paper_Reference[[#This Row],[Duplicate Key]])</f>
        <v>1</v>
      </c>
    </row>
    <row r="5971" spans="1:10">
      <c r="A5971" s="7">
        <v>2</v>
      </c>
      <c r="B5971" s="8" t="s">
        <v>6697</v>
      </c>
      <c r="C5971" s="8" t="s">
        <v>6139</v>
      </c>
      <c r="D5971" s="7">
        <v>1</v>
      </c>
      <c r="E5971" s="7">
        <v>10</v>
      </c>
      <c r="F5971" s="7">
        <v>2</v>
      </c>
      <c r="G5971" s="8" t="s">
        <v>5690</v>
      </c>
      <c r="H5971" s="8" t="s">
        <v>5691</v>
      </c>
      <c r="I5971" s="7" t="str">
        <f>_xlfn.CONCAT(Paper_Reference[[#This Row],[Lvl]:[Paper Description]])</f>
        <v>2XJ8R0800SD500STANTON MED L2 - SS 60 X 1201102100DS009-6200FROSTY WHITE</v>
      </c>
      <c r="J5971" s="7">
        <f>COUNTIF(Paper_Reference[Duplicate Key],Paper_Reference[[#This Row],[Duplicate Key]])</f>
        <v>1</v>
      </c>
    </row>
    <row r="5972" spans="1:10">
      <c r="A5972" s="7">
        <v>2</v>
      </c>
      <c r="B5972" s="8" t="s">
        <v>6698</v>
      </c>
      <c r="C5972" s="8" t="s">
        <v>6140</v>
      </c>
      <c r="D5972" s="7">
        <v>1</v>
      </c>
      <c r="E5972" s="7">
        <v>10</v>
      </c>
      <c r="F5972" s="7">
        <v>2</v>
      </c>
      <c r="G5972" s="8" t="s">
        <v>5690</v>
      </c>
      <c r="H5972" s="8" t="s">
        <v>5691</v>
      </c>
      <c r="I5972" s="7" t="str">
        <f>_xlfn.CONCAT(Paper_Reference[[#This Row],[Lvl]:[Paper Description]])</f>
        <v>2XJ8R0801SD500STANTON MED L3 - SOUTH 60 X 121102100DS009-6200FROSTY WHITE</v>
      </c>
      <c r="J5972" s="7">
        <f>COUNTIF(Paper_Reference[Duplicate Key],Paper_Reference[[#This Row],[Duplicate Key]])</f>
        <v>1</v>
      </c>
    </row>
    <row r="5973" spans="1:10">
      <c r="A5973" s="7">
        <v>2</v>
      </c>
      <c r="B5973" s="8" t="s">
        <v>6699</v>
      </c>
      <c r="C5973" s="8" t="s">
        <v>6141</v>
      </c>
      <c r="D5973" s="7">
        <v>1</v>
      </c>
      <c r="E5973" s="7">
        <v>10</v>
      </c>
      <c r="F5973" s="7">
        <v>2</v>
      </c>
      <c r="G5973" s="8" t="s">
        <v>5690</v>
      </c>
      <c r="H5973" s="8" t="s">
        <v>5691</v>
      </c>
      <c r="I5973" s="7" t="str">
        <f>_xlfn.CONCAT(Paper_Reference[[#This Row],[Lvl]:[Paper Description]])</f>
        <v>2XJ8R0802SD500STANTON MED L3 - WEST 60 X 1201102100DS009-6200FROSTY WHITE</v>
      </c>
      <c r="J5973" s="7">
        <f>COUNTIF(Paper_Reference[Duplicate Key],Paper_Reference[[#This Row],[Duplicate Key]])</f>
        <v>1</v>
      </c>
    </row>
    <row r="5974" spans="1:10">
      <c r="A5974" s="7">
        <v>2</v>
      </c>
      <c r="B5974" s="8" t="s">
        <v>6700</v>
      </c>
      <c r="C5974" s="8" t="s">
        <v>6142</v>
      </c>
      <c r="D5974" s="7">
        <v>1</v>
      </c>
      <c r="E5974" s="7">
        <v>10</v>
      </c>
      <c r="F5974" s="7">
        <v>2</v>
      </c>
      <c r="G5974" s="8" t="s">
        <v>5690</v>
      </c>
      <c r="H5974" s="8" t="s">
        <v>5691</v>
      </c>
      <c r="I5974" s="7" t="str">
        <f>_xlfn.CONCAT(Paper_Reference[[#This Row],[Lvl]:[Paper Description]])</f>
        <v>2XJ8R0803SD500STANTON MED L4 60 X 1201102100DS009-6200FROSTY WHITE</v>
      </c>
      <c r="J5974" s="7">
        <f>COUNTIF(Paper_Reference[Duplicate Key],Paper_Reference[[#This Row],[Duplicate Key]])</f>
        <v>1</v>
      </c>
    </row>
    <row r="5975" spans="1:10">
      <c r="A5975" s="7">
        <v>2</v>
      </c>
      <c r="B5975" s="8" t="s">
        <v>6701</v>
      </c>
      <c r="C5975" s="8" t="s">
        <v>6143</v>
      </c>
      <c r="D5975" s="7">
        <v>1</v>
      </c>
      <c r="E5975" s="7">
        <v>10</v>
      </c>
      <c r="F5975" s="7">
        <v>2</v>
      </c>
      <c r="G5975" s="8" t="s">
        <v>5690</v>
      </c>
      <c r="H5975" s="8" t="s">
        <v>5691</v>
      </c>
      <c r="I5975" s="7" t="str">
        <f>_xlfn.CONCAT(Paper_Reference[[#This Row],[Lvl]:[Paper Description]])</f>
        <v>2XJ8R0804SD500STANTON MED L5 60 X 1201102100DS009-6200FROSTY WHITE</v>
      </c>
      <c r="J5975" s="7">
        <f>COUNTIF(Paper_Reference[Duplicate Key],Paper_Reference[[#This Row],[Duplicate Key]])</f>
        <v>1</v>
      </c>
    </row>
    <row r="5976" spans="1:10">
      <c r="A5976" s="7">
        <v>2</v>
      </c>
      <c r="B5976" s="8" t="s">
        <v>6702</v>
      </c>
      <c r="C5976" s="8" t="s">
        <v>6144</v>
      </c>
      <c r="D5976" s="7">
        <v>1</v>
      </c>
      <c r="E5976" s="7">
        <v>10</v>
      </c>
      <c r="F5976" s="7">
        <v>2</v>
      </c>
      <c r="G5976" s="8" t="s">
        <v>5690</v>
      </c>
      <c r="H5976" s="8" t="s">
        <v>5691</v>
      </c>
      <c r="I5976" s="7" t="str">
        <f>_xlfn.CONCAT(Paper_Reference[[#This Row],[Lvl]:[Paper Description]])</f>
        <v>2XJ8R0806SD580HEATHMAN HOTEL ELEV 60 X 961102100DS009-6200FROSTY WHITE</v>
      </c>
      <c r="J5976" s="7">
        <f>COUNTIF(Paper_Reference[Duplicate Key],Paper_Reference[[#This Row],[Duplicate Key]])</f>
        <v>1</v>
      </c>
    </row>
    <row r="5977" spans="1:10">
      <c r="A5977" s="7">
        <v>2</v>
      </c>
      <c r="B5977" s="8" t="s">
        <v>8267</v>
      </c>
      <c r="C5977" s="8" t="s">
        <v>7327</v>
      </c>
      <c r="D5977" s="7">
        <v>1</v>
      </c>
      <c r="E5977" s="7">
        <v>10</v>
      </c>
      <c r="F5977" s="7">
        <v>2</v>
      </c>
      <c r="G5977" s="8" t="s">
        <v>6710</v>
      </c>
      <c r="H5977" s="8" t="s">
        <v>5691</v>
      </c>
      <c r="I5977" s="7" t="str">
        <f>_xlfn.CONCAT(Paper_Reference[[#This Row],[Lvl]:[Paper Description]])</f>
        <v>2XJ8R0812SD400ST CHARLES FRL-1 48 X 1201102100DS009-5000FROSTY WHITE</v>
      </c>
      <c r="J5977" s="7">
        <f>COUNTIF(Paper_Reference[Duplicate Key],Paper_Reference[[#This Row],[Duplicate Key]])</f>
        <v>1</v>
      </c>
    </row>
    <row r="5978" spans="1:10">
      <c r="A5978" s="7">
        <v>2</v>
      </c>
      <c r="B5978" s="8" t="s">
        <v>8268</v>
      </c>
      <c r="C5978" s="8" t="s">
        <v>7328</v>
      </c>
      <c r="D5978" s="7">
        <v>1</v>
      </c>
      <c r="E5978" s="7">
        <v>10</v>
      </c>
      <c r="F5978" s="7">
        <v>2</v>
      </c>
      <c r="G5978" s="8" t="s">
        <v>6710</v>
      </c>
      <c r="H5978" s="8" t="s">
        <v>5691</v>
      </c>
      <c r="I5978" s="7" t="str">
        <f>_xlfn.CONCAT(Paper_Reference[[#This Row],[Lvl]:[Paper Description]])</f>
        <v>2XJ8R0813SD400ST CHARLES FRL-1A 48 X 1201102100DS009-5000FROSTY WHITE</v>
      </c>
      <c r="J5978" s="7">
        <f>COUNTIF(Paper_Reference[Duplicate Key],Paper_Reference[[#This Row],[Duplicate Key]])</f>
        <v>1</v>
      </c>
    </row>
    <row r="5979" spans="1:10">
      <c r="A5979" s="7">
        <v>2</v>
      </c>
      <c r="B5979" s="8" t="s">
        <v>6703</v>
      </c>
      <c r="C5979" s="8" t="s">
        <v>6145</v>
      </c>
      <c r="D5979" s="7">
        <v>1</v>
      </c>
      <c r="E5979" s="7">
        <v>10</v>
      </c>
      <c r="F5979" s="7">
        <v>2</v>
      </c>
      <c r="G5979" s="8" t="s">
        <v>5690</v>
      </c>
      <c r="H5979" s="8" t="s">
        <v>5691</v>
      </c>
      <c r="I5979" s="7" t="str">
        <f>_xlfn.CONCAT(Paper_Reference[[#This Row],[Lvl]:[Paper Description]])</f>
        <v>2XJ8R0814SD500ST CHARLES FRL-2 60 X 1201102100DS009-6200FROSTY WHITE</v>
      </c>
      <c r="J5979" s="7">
        <f>COUNTIF(Paper_Reference[Duplicate Key],Paper_Reference[[#This Row],[Duplicate Key]])</f>
        <v>1</v>
      </c>
    </row>
    <row r="5980" spans="1:10">
      <c r="A5980" s="7">
        <v>2</v>
      </c>
      <c r="B5980" s="8" t="s">
        <v>8269</v>
      </c>
      <c r="C5980" s="8" t="s">
        <v>7329</v>
      </c>
      <c r="D5980" s="7">
        <v>1</v>
      </c>
      <c r="E5980" s="7">
        <v>10</v>
      </c>
      <c r="F5980" s="7">
        <v>2</v>
      </c>
      <c r="G5980" s="8" t="s">
        <v>6710</v>
      </c>
      <c r="H5980" s="8" t="s">
        <v>5691</v>
      </c>
      <c r="I5980" s="7" t="str">
        <f>_xlfn.CONCAT(Paper_Reference[[#This Row],[Lvl]:[Paper Description]])</f>
        <v>2XJ8R0815SD480ST CHARLES FRL-3 BLUE 48 X 961102100DS009-5000FROSTY WHITE</v>
      </c>
      <c r="J5980" s="7">
        <f>COUNTIF(Paper_Reference[Duplicate Key],Paper_Reference[[#This Row],[Duplicate Key]])</f>
        <v>1</v>
      </c>
    </row>
    <row r="5981" spans="1:10">
      <c r="A5981" s="7">
        <v>2</v>
      </c>
      <c r="B5981" s="8" t="s">
        <v>8270</v>
      </c>
      <c r="C5981" s="8" t="s">
        <v>7330</v>
      </c>
      <c r="D5981" s="7">
        <v>1</v>
      </c>
      <c r="E5981" s="7">
        <v>10</v>
      </c>
      <c r="F5981" s="7">
        <v>2</v>
      </c>
      <c r="G5981" s="8" t="s">
        <v>6710</v>
      </c>
      <c r="H5981" s="8" t="s">
        <v>5691</v>
      </c>
      <c r="I5981" s="7" t="str">
        <f>_xlfn.CONCAT(Paper_Reference[[#This Row],[Lvl]:[Paper Description]])</f>
        <v>2XJ8R0816SD480ST CHARLES FRL-3 GREEN 48 X 961102100DS009-5000FROSTY WHITE</v>
      </c>
      <c r="J5981" s="7">
        <f>COUNTIF(Paper_Reference[Duplicate Key],Paper_Reference[[#This Row],[Duplicate Key]])</f>
        <v>1</v>
      </c>
    </row>
    <row r="5982" spans="1:10">
      <c r="A5982" s="7">
        <v>2</v>
      </c>
      <c r="B5982" s="8" t="s">
        <v>8271</v>
      </c>
      <c r="C5982" s="8" t="s">
        <v>7331</v>
      </c>
      <c r="D5982" s="7">
        <v>1</v>
      </c>
      <c r="E5982" s="7">
        <v>10</v>
      </c>
      <c r="F5982" s="7">
        <v>2</v>
      </c>
      <c r="G5982" s="8" t="s">
        <v>6710</v>
      </c>
      <c r="H5982" s="8" t="s">
        <v>5691</v>
      </c>
      <c r="I5982" s="7" t="str">
        <f>_xlfn.CONCAT(Paper_Reference[[#This Row],[Lvl]:[Paper Description]])</f>
        <v>2XJ8R0817SD480ST CHARLES FRL-3 BLUE SM 48 X1102100DS009-5000FROSTY WHITE</v>
      </c>
      <c r="J5982" s="7">
        <f>COUNTIF(Paper_Reference[Duplicate Key],Paper_Reference[[#This Row],[Duplicate Key]])</f>
        <v>1</v>
      </c>
    </row>
    <row r="5983" spans="1:10">
      <c r="A5983" s="7">
        <v>2</v>
      </c>
      <c r="B5983" s="8" t="s">
        <v>8272</v>
      </c>
      <c r="C5983" s="8" t="s">
        <v>7332</v>
      </c>
      <c r="D5983" s="7">
        <v>1</v>
      </c>
      <c r="E5983" s="7">
        <v>10</v>
      </c>
      <c r="F5983" s="7">
        <v>2</v>
      </c>
      <c r="G5983" s="8" t="s">
        <v>6710</v>
      </c>
      <c r="H5983" s="8" t="s">
        <v>5691</v>
      </c>
      <c r="I5983" s="7" t="str">
        <f>_xlfn.CONCAT(Paper_Reference[[#This Row],[Lvl]:[Paper Description]])</f>
        <v>2XJ8R0818SD480ST CHARLES FRL-3 GREEN SM 48 X1102100DS009-5000FROSTY WHITE</v>
      </c>
      <c r="J5983" s="7">
        <f>COUNTIF(Paper_Reference[Duplicate Key],Paper_Reference[[#This Row],[Duplicate Key]])</f>
        <v>1</v>
      </c>
    </row>
    <row r="5984" spans="1:10">
      <c r="A5984" s="7">
        <v>2</v>
      </c>
      <c r="B5984" s="8" t="s">
        <v>8273</v>
      </c>
      <c r="C5984" s="8" t="s">
        <v>7333</v>
      </c>
      <c r="D5984" s="7">
        <v>1</v>
      </c>
      <c r="E5984" s="7">
        <v>10</v>
      </c>
      <c r="F5984" s="7">
        <v>2</v>
      </c>
      <c r="G5984" s="8" t="s">
        <v>6710</v>
      </c>
      <c r="H5984" s="8" t="s">
        <v>5691</v>
      </c>
      <c r="I5984" s="7" t="str">
        <f>_xlfn.CONCAT(Paper_Reference[[#This Row],[Lvl]:[Paper Description]])</f>
        <v>2XJ8R0819SD480MILFORD HOSPITAL RM 3 48 X 961102100DS009-5000FROSTY WHITE</v>
      </c>
      <c r="J5984" s="7">
        <f>COUNTIF(Paper_Reference[Duplicate Key],Paper_Reference[[#This Row],[Duplicate Key]])</f>
        <v>1</v>
      </c>
    </row>
    <row r="5985" spans="1:10">
      <c r="A5985" s="7">
        <v>2</v>
      </c>
      <c r="B5985" s="8" t="s">
        <v>8274</v>
      </c>
      <c r="C5985" s="8" t="s">
        <v>7334</v>
      </c>
      <c r="D5985" s="7">
        <v>1</v>
      </c>
      <c r="E5985" s="7">
        <v>10</v>
      </c>
      <c r="F5985" s="7">
        <v>2</v>
      </c>
      <c r="G5985" s="8" t="s">
        <v>6710</v>
      </c>
      <c r="H5985" s="8" t="s">
        <v>5691</v>
      </c>
      <c r="I5985" s="7" t="str">
        <f>_xlfn.CONCAT(Paper_Reference[[#This Row],[Lvl]:[Paper Description]])</f>
        <v>2XJ8R0820SD480MILFORD HOSPITAL RM 1 48 X 961102100DS009-5000FROSTY WHITE</v>
      </c>
      <c r="J5985" s="7">
        <f>COUNTIF(Paper_Reference[Duplicate Key],Paper_Reference[[#This Row],[Duplicate Key]])</f>
        <v>1</v>
      </c>
    </row>
    <row r="5986" spans="1:10">
      <c r="A5986" s="7">
        <v>2</v>
      </c>
      <c r="B5986" s="8" t="s">
        <v>8275</v>
      </c>
      <c r="C5986" s="8" t="s">
        <v>7335</v>
      </c>
      <c r="D5986" s="7">
        <v>1</v>
      </c>
      <c r="E5986" s="7">
        <v>10</v>
      </c>
      <c r="F5986" s="7">
        <v>2</v>
      </c>
      <c r="G5986" s="8" t="s">
        <v>6710</v>
      </c>
      <c r="H5986" s="8" t="s">
        <v>5691</v>
      </c>
      <c r="I5986" s="7" t="str">
        <f>_xlfn.CONCAT(Paper_Reference[[#This Row],[Lvl]:[Paper Description]])</f>
        <v>2XJ8R0821SD480MILFORD HOSPITAL RM 2 48 X 961102100DS009-5000FROSTY WHITE</v>
      </c>
      <c r="J5986" s="7">
        <f>COUNTIF(Paper_Reference[Duplicate Key],Paper_Reference[[#This Row],[Duplicate Key]])</f>
        <v>1</v>
      </c>
    </row>
    <row r="5987" spans="1:10">
      <c r="A5987" s="7">
        <v>2</v>
      </c>
      <c r="B5987" s="8" t="s">
        <v>8276</v>
      </c>
      <c r="C5987" s="8" t="s">
        <v>7336</v>
      </c>
      <c r="D5987" s="7">
        <v>1</v>
      </c>
      <c r="E5987" s="7">
        <v>10</v>
      </c>
      <c r="F5987" s="7">
        <v>2</v>
      </c>
      <c r="G5987" s="8" t="s">
        <v>6710</v>
      </c>
      <c r="H5987" s="8" t="s">
        <v>5691</v>
      </c>
      <c r="I5987" s="7" t="str">
        <f>_xlfn.CONCAT(Paper_Reference[[#This Row],[Lvl]:[Paper Description]])</f>
        <v>2XJ8R0822SD480MILFORD HOSP END COR 48 X 961102100DS009-5000FROSTY WHITE</v>
      </c>
      <c r="J5987" s="7">
        <f>COUNTIF(Paper_Reference[Duplicate Key],Paper_Reference[[#This Row],[Duplicate Key]])</f>
        <v>1</v>
      </c>
    </row>
    <row r="5988" spans="1:10">
      <c r="A5988" s="7">
        <v>2</v>
      </c>
      <c r="B5988" s="8" t="s">
        <v>8277</v>
      </c>
      <c r="C5988" s="8" t="s">
        <v>7337</v>
      </c>
      <c r="D5988" s="7">
        <v>1</v>
      </c>
      <c r="E5988" s="7">
        <v>10</v>
      </c>
      <c r="F5988" s="7">
        <v>2</v>
      </c>
      <c r="G5988" s="8" t="s">
        <v>6710</v>
      </c>
      <c r="H5988" s="8" t="s">
        <v>5691</v>
      </c>
      <c r="I5988" s="7" t="str">
        <f>_xlfn.CONCAT(Paper_Reference[[#This Row],[Lvl]:[Paper Description]])</f>
        <v>2XJ8R0823SD480MILFORD HOSP COR CORNER 48 X 91102100DS009-5000FROSTY WHITE</v>
      </c>
      <c r="J5988" s="7">
        <f>COUNTIF(Paper_Reference[Duplicate Key],Paper_Reference[[#This Row],[Duplicate Key]])</f>
        <v>1</v>
      </c>
    </row>
    <row r="5989" spans="1:10">
      <c r="A5989" s="7">
        <v>2</v>
      </c>
      <c r="B5989" s="8" t="s">
        <v>8278</v>
      </c>
      <c r="C5989" s="8" t="s">
        <v>7338</v>
      </c>
      <c r="D5989" s="7">
        <v>1</v>
      </c>
      <c r="E5989" s="7">
        <v>10</v>
      </c>
      <c r="F5989" s="7">
        <v>2</v>
      </c>
      <c r="G5989" s="8" t="s">
        <v>6710</v>
      </c>
      <c r="H5989" s="8" t="s">
        <v>5691</v>
      </c>
      <c r="I5989" s="7" t="str">
        <f>_xlfn.CONCAT(Paper_Reference[[#This Row],[Lvl]:[Paper Description]])</f>
        <v>2XJ8R0824CR480BAYSTATE CORRIDOR 48 X 961102100DS009-5000FROSTY WHITE</v>
      </c>
      <c r="J5989" s="7">
        <f>COUNTIF(Paper_Reference[Duplicate Key],Paper_Reference[[#This Row],[Duplicate Key]])</f>
        <v>1</v>
      </c>
    </row>
    <row r="5990" spans="1:10">
      <c r="A5990" s="7">
        <v>2</v>
      </c>
      <c r="B5990" s="8" t="s">
        <v>8279</v>
      </c>
      <c r="C5990" s="8" t="s">
        <v>7339</v>
      </c>
      <c r="D5990" s="7">
        <v>1</v>
      </c>
      <c r="E5990" s="7">
        <v>10</v>
      </c>
      <c r="F5990" s="7">
        <v>2</v>
      </c>
      <c r="G5990" s="8" t="s">
        <v>6710</v>
      </c>
      <c r="H5990" s="8" t="s">
        <v>5691</v>
      </c>
      <c r="I5990" s="7" t="str">
        <f>_xlfn.CONCAT(Paper_Reference[[#This Row],[Lvl]:[Paper Description]])</f>
        <v>2XJ8R0826SD400GOLDEN WEST 114 48 X 1201102100DS009-5000FROSTY WHITE</v>
      </c>
      <c r="J5990" s="7">
        <f>COUNTIF(Paper_Reference[Duplicate Key],Paper_Reference[[#This Row],[Duplicate Key]])</f>
        <v>1</v>
      </c>
    </row>
    <row r="5991" spans="1:10">
      <c r="A5991" s="7">
        <v>2</v>
      </c>
      <c r="B5991" s="8" t="s">
        <v>8280</v>
      </c>
      <c r="C5991" s="8" t="s">
        <v>7340</v>
      </c>
      <c r="D5991" s="7">
        <v>1</v>
      </c>
      <c r="E5991" s="7">
        <v>10</v>
      </c>
      <c r="F5991" s="7">
        <v>2</v>
      </c>
      <c r="G5991" s="8" t="s">
        <v>6710</v>
      </c>
      <c r="H5991" s="8" t="s">
        <v>5691</v>
      </c>
      <c r="I5991" s="7" t="str">
        <f>_xlfn.CONCAT(Paper_Reference[[#This Row],[Lvl]:[Paper Description]])</f>
        <v>2XJ8R0827SD400GOLDEN WEST 140 48 X 1201102100DS009-5000FROSTY WHITE</v>
      </c>
      <c r="J5991" s="7">
        <f>COUNTIF(Paper_Reference[Duplicate Key],Paper_Reference[[#This Row],[Duplicate Key]])</f>
        <v>1</v>
      </c>
    </row>
    <row r="5992" spans="1:10">
      <c r="A5992" s="7">
        <v>2</v>
      </c>
      <c r="B5992" s="8" t="s">
        <v>8281</v>
      </c>
      <c r="C5992" s="8" t="s">
        <v>7341</v>
      </c>
      <c r="D5992" s="7">
        <v>1</v>
      </c>
      <c r="E5992" s="7">
        <v>10</v>
      </c>
      <c r="F5992" s="7">
        <v>2</v>
      </c>
      <c r="G5992" s="8" t="s">
        <v>6710</v>
      </c>
      <c r="H5992" s="8" t="s">
        <v>5691</v>
      </c>
      <c r="I5992" s="7" t="str">
        <f>_xlfn.CONCAT(Paper_Reference[[#This Row],[Lvl]:[Paper Description]])</f>
        <v>2XJ8R0828SD400GOLDEN WEST 160A 48 X 1201102100DS009-5000FROSTY WHITE</v>
      </c>
      <c r="J5992" s="7">
        <f>COUNTIF(Paper_Reference[Duplicate Key],Paper_Reference[[#This Row],[Duplicate Key]])</f>
        <v>1</v>
      </c>
    </row>
    <row r="5993" spans="1:10">
      <c r="A5993" s="7">
        <v>2</v>
      </c>
      <c r="B5993" s="8" t="s">
        <v>8282</v>
      </c>
      <c r="C5993" s="8" t="s">
        <v>7342</v>
      </c>
      <c r="D5993" s="7">
        <v>1</v>
      </c>
      <c r="E5993" s="7">
        <v>10</v>
      </c>
      <c r="F5993" s="7">
        <v>2</v>
      </c>
      <c r="G5993" s="8" t="s">
        <v>6710</v>
      </c>
      <c r="H5993" s="8" t="s">
        <v>5691</v>
      </c>
      <c r="I5993" s="7" t="str">
        <f>_xlfn.CONCAT(Paper_Reference[[#This Row],[Lvl]:[Paper Description]])</f>
        <v>2XJ8R0829SD400GOLDEN WEST 160B 48 X 1201102100DS009-5000FROSTY WHITE</v>
      </c>
      <c r="J5993" s="7">
        <f>COUNTIF(Paper_Reference[Duplicate Key],Paper_Reference[[#This Row],[Duplicate Key]])</f>
        <v>1</v>
      </c>
    </row>
    <row r="5994" spans="1:10">
      <c r="A5994" s="7">
        <v>2</v>
      </c>
      <c r="B5994" s="8" t="s">
        <v>8283</v>
      </c>
      <c r="C5994" s="8" t="s">
        <v>7343</v>
      </c>
      <c r="D5994" s="7">
        <v>1</v>
      </c>
      <c r="E5994" s="7">
        <v>10</v>
      </c>
      <c r="F5994" s="7">
        <v>2</v>
      </c>
      <c r="G5994" s="8" t="s">
        <v>6710</v>
      </c>
      <c r="H5994" s="8" t="s">
        <v>5691</v>
      </c>
      <c r="I5994" s="7" t="str">
        <f>_xlfn.CONCAT(Paper_Reference[[#This Row],[Lvl]:[Paper Description]])</f>
        <v>2XJ8R0830SD400GOLDEN WEST 250A 48 X 1201102100DS009-5000FROSTY WHITE</v>
      </c>
      <c r="J5994" s="7">
        <f>COUNTIF(Paper_Reference[Duplicate Key],Paper_Reference[[#This Row],[Duplicate Key]])</f>
        <v>1</v>
      </c>
    </row>
    <row r="5995" spans="1:10">
      <c r="A5995" s="7">
        <v>2</v>
      </c>
      <c r="B5995" s="8" t="s">
        <v>8284</v>
      </c>
      <c r="C5995" s="8" t="s">
        <v>7344</v>
      </c>
      <c r="D5995" s="7">
        <v>1</v>
      </c>
      <c r="E5995" s="7">
        <v>10</v>
      </c>
      <c r="F5995" s="7">
        <v>2</v>
      </c>
      <c r="G5995" s="8" t="s">
        <v>6710</v>
      </c>
      <c r="H5995" s="8" t="s">
        <v>5691</v>
      </c>
      <c r="I5995" s="7" t="str">
        <f>_xlfn.CONCAT(Paper_Reference[[#This Row],[Lvl]:[Paper Description]])</f>
        <v>2XJ8R0831SD400GOLDEN WEST 250B 48 X 1201102100DS009-5000FROSTY WHITE</v>
      </c>
      <c r="J5995" s="7">
        <f>COUNTIF(Paper_Reference[Duplicate Key],Paper_Reference[[#This Row],[Duplicate Key]])</f>
        <v>1</v>
      </c>
    </row>
    <row r="5996" spans="1:10">
      <c r="A5996" s="7">
        <v>2</v>
      </c>
      <c r="B5996" s="8" t="s">
        <v>8285</v>
      </c>
      <c r="C5996" s="8" t="s">
        <v>7345</v>
      </c>
      <c r="D5996" s="7">
        <v>1</v>
      </c>
      <c r="E5996" s="7">
        <v>10</v>
      </c>
      <c r="F5996" s="7">
        <v>2</v>
      </c>
      <c r="G5996" s="8" t="s">
        <v>6710</v>
      </c>
      <c r="H5996" s="8" t="s">
        <v>5691</v>
      </c>
      <c r="I5996" s="7" t="str">
        <f>_xlfn.CONCAT(Paper_Reference[[#This Row],[Lvl]:[Paper Description]])</f>
        <v>2XJ8R0832SD400GOLDEN WEST 318 48 X 1201102100DS009-5000FROSTY WHITE</v>
      </c>
      <c r="J5996" s="7">
        <f>COUNTIF(Paper_Reference[Duplicate Key],Paper_Reference[[#This Row],[Duplicate Key]])</f>
        <v>1</v>
      </c>
    </row>
    <row r="5997" spans="1:10">
      <c r="A5997" s="7">
        <v>2</v>
      </c>
      <c r="B5997" s="8" t="s">
        <v>8286</v>
      </c>
      <c r="C5997" s="8" t="s">
        <v>7346</v>
      </c>
      <c r="D5997" s="7">
        <v>1</v>
      </c>
      <c r="E5997" s="7">
        <v>10</v>
      </c>
      <c r="F5997" s="7">
        <v>2</v>
      </c>
      <c r="G5997" s="8" t="s">
        <v>6710</v>
      </c>
      <c r="H5997" s="8" t="s">
        <v>5691</v>
      </c>
      <c r="I5997" s="7" t="str">
        <f>_xlfn.CONCAT(Paper_Reference[[#This Row],[Lvl]:[Paper Description]])</f>
        <v>2XJ8R0833SD400GOLDEN WEST 344A 48 X 1201102100DS009-5000FROSTY WHITE</v>
      </c>
      <c r="J5997" s="7">
        <f>COUNTIF(Paper_Reference[Duplicate Key],Paper_Reference[[#This Row],[Duplicate Key]])</f>
        <v>1</v>
      </c>
    </row>
    <row r="5998" spans="1:10">
      <c r="A5998" s="7">
        <v>2</v>
      </c>
      <c r="B5998" s="8" t="s">
        <v>8287</v>
      </c>
      <c r="C5998" s="8" t="s">
        <v>7347</v>
      </c>
      <c r="D5998" s="7">
        <v>1</v>
      </c>
      <c r="E5998" s="7">
        <v>10</v>
      </c>
      <c r="F5998" s="7">
        <v>2</v>
      </c>
      <c r="G5998" s="8" t="s">
        <v>6710</v>
      </c>
      <c r="H5998" s="8" t="s">
        <v>5691</v>
      </c>
      <c r="I5998" s="7" t="str">
        <f>_xlfn.CONCAT(Paper_Reference[[#This Row],[Lvl]:[Paper Description]])</f>
        <v>2XJ8R0834SD400GOLDEN WEST 344B 48 X 1201102100DS009-5000FROSTY WHITE</v>
      </c>
      <c r="J5998" s="7">
        <f>COUNTIF(Paper_Reference[Duplicate Key],Paper_Reference[[#This Row],[Duplicate Key]])</f>
        <v>1</v>
      </c>
    </row>
    <row r="5999" spans="1:10">
      <c r="A5999" s="7">
        <v>2</v>
      </c>
      <c r="B5999" s="8" t="s">
        <v>8288</v>
      </c>
      <c r="C5999" s="8" t="s">
        <v>7348</v>
      </c>
      <c r="D5999" s="7">
        <v>1</v>
      </c>
      <c r="E5999" s="7">
        <v>10</v>
      </c>
      <c r="F5999" s="7">
        <v>2</v>
      </c>
      <c r="G5999" s="8" t="s">
        <v>6710</v>
      </c>
      <c r="H5999" s="8" t="s">
        <v>5691</v>
      </c>
      <c r="I5999" s="7" t="str">
        <f>_xlfn.CONCAT(Paper_Reference[[#This Row],[Lvl]:[Paper Description]])</f>
        <v>2XJ8R0835SD400GOLDEN WEST 344C 48 X 1201102100DS009-5000FROSTY WHITE</v>
      </c>
      <c r="J5999" s="7">
        <f>COUNTIF(Paper_Reference[Duplicate Key],Paper_Reference[[#This Row],[Duplicate Key]])</f>
        <v>1</v>
      </c>
    </row>
    <row r="6000" spans="1:10">
      <c r="A6000" s="7">
        <v>2</v>
      </c>
      <c r="B6000" s="8" t="s">
        <v>8289</v>
      </c>
      <c r="C6000" s="8" t="s">
        <v>7349</v>
      </c>
      <c r="D6000" s="7">
        <v>1</v>
      </c>
      <c r="E6000" s="7">
        <v>10</v>
      </c>
      <c r="F6000" s="7">
        <v>2</v>
      </c>
      <c r="G6000" s="8" t="s">
        <v>6710</v>
      </c>
      <c r="H6000" s="8" t="s">
        <v>5691</v>
      </c>
      <c r="I6000" s="7" t="str">
        <f>_xlfn.CONCAT(Paper_Reference[[#This Row],[Lvl]:[Paper Description]])</f>
        <v>2XJ8R0836SD400GOLDEN WEST 344D 48 X 1201102100DS009-5000FROSTY WHITE</v>
      </c>
      <c r="J6000" s="7">
        <f>COUNTIF(Paper_Reference[Duplicate Key],Paper_Reference[[#This Row],[Duplicate Key]])</f>
        <v>1</v>
      </c>
    </row>
    <row r="6001" spans="1:10">
      <c r="A6001" s="7">
        <v>2</v>
      </c>
      <c r="B6001" s="8" t="s">
        <v>8290</v>
      </c>
      <c r="C6001" s="8" t="s">
        <v>7350</v>
      </c>
      <c r="D6001" s="7">
        <v>1</v>
      </c>
      <c r="E6001" s="7">
        <v>10</v>
      </c>
      <c r="F6001" s="7">
        <v>2</v>
      </c>
      <c r="G6001" s="8" t="s">
        <v>6710</v>
      </c>
      <c r="H6001" s="8" t="s">
        <v>5691</v>
      </c>
      <c r="I6001" s="7" t="str">
        <f>_xlfn.CONCAT(Paper_Reference[[#This Row],[Lvl]:[Paper Description]])</f>
        <v>2XJ8R0845SD400GOLDEN WEST 300 48 X 1201102100DS009-5000FROSTY WHITE</v>
      </c>
      <c r="J6001" s="7">
        <f>COUNTIF(Paper_Reference[Duplicate Key],Paper_Reference[[#This Row],[Duplicate Key]])</f>
        <v>1</v>
      </c>
    </row>
    <row r="6002" spans="1:10">
      <c r="A6002" s="7">
        <v>2</v>
      </c>
      <c r="B6002" s="8" t="s">
        <v>8291</v>
      </c>
      <c r="C6002" s="8" t="s">
        <v>7351</v>
      </c>
      <c r="D6002" s="7">
        <v>1</v>
      </c>
      <c r="E6002" s="7">
        <v>10</v>
      </c>
      <c r="F6002" s="7">
        <v>2</v>
      </c>
      <c r="G6002" s="8" t="s">
        <v>6710</v>
      </c>
      <c r="H6002" s="8" t="s">
        <v>5691</v>
      </c>
      <c r="I6002" s="7" t="str">
        <f>_xlfn.CONCAT(Paper_Reference[[#This Row],[Lvl]:[Paper Description]])</f>
        <v>2XJ8R0847SD480SJUSD DYER K AFRICA 48 X 961102100DS009-5000FROSTY WHITE</v>
      </c>
      <c r="J6002" s="7">
        <f>COUNTIF(Paper_Reference[Duplicate Key],Paper_Reference[[#This Row],[Duplicate Key]])</f>
        <v>1</v>
      </c>
    </row>
    <row r="6003" spans="1:10">
      <c r="A6003" s="7">
        <v>2</v>
      </c>
      <c r="B6003" s="8" t="s">
        <v>8292</v>
      </c>
      <c r="C6003" s="8" t="s">
        <v>7352</v>
      </c>
      <c r="D6003" s="7">
        <v>1</v>
      </c>
      <c r="E6003" s="7">
        <v>10</v>
      </c>
      <c r="F6003" s="7">
        <v>2</v>
      </c>
      <c r="G6003" s="8" t="s">
        <v>6710</v>
      </c>
      <c r="H6003" s="8" t="s">
        <v>5691</v>
      </c>
      <c r="I6003" s="7" t="str">
        <f>_xlfn.CONCAT(Paper_Reference[[#This Row],[Lvl]:[Paper Description]])</f>
        <v>2XJ8R0848SD480SJUSD DYER K ASIA 48 X 961102100DS009-5000FROSTY WHITE</v>
      </c>
      <c r="J6003" s="7">
        <f>COUNTIF(Paper_Reference[Duplicate Key],Paper_Reference[[#This Row],[Duplicate Key]])</f>
        <v>1</v>
      </c>
    </row>
    <row r="6004" spans="1:10">
      <c r="A6004" s="7">
        <v>2</v>
      </c>
      <c r="B6004" s="8" t="s">
        <v>8293</v>
      </c>
      <c r="C6004" s="8" t="s">
        <v>7353</v>
      </c>
      <c r="D6004" s="7">
        <v>1</v>
      </c>
      <c r="E6004" s="7">
        <v>10</v>
      </c>
      <c r="F6004" s="7">
        <v>2</v>
      </c>
      <c r="G6004" s="8" t="s">
        <v>6710</v>
      </c>
      <c r="H6004" s="8" t="s">
        <v>5691</v>
      </c>
      <c r="I6004" s="7" t="str">
        <f>_xlfn.CONCAT(Paper_Reference[[#This Row],[Lvl]:[Paper Description]])</f>
        <v>2XJ8R0849SD480SJUSD DYER K AUSTRALIA 48 X 961102100DS009-5000FROSTY WHITE</v>
      </c>
      <c r="J6004" s="7">
        <f>COUNTIF(Paper_Reference[Duplicate Key],Paper_Reference[[#This Row],[Duplicate Key]])</f>
        <v>1</v>
      </c>
    </row>
    <row r="6005" spans="1:10">
      <c r="A6005" s="7">
        <v>2</v>
      </c>
      <c r="B6005" s="8" t="s">
        <v>8294</v>
      </c>
      <c r="C6005" s="8" t="s">
        <v>7354</v>
      </c>
      <c r="D6005" s="7">
        <v>1</v>
      </c>
      <c r="E6005" s="7">
        <v>10</v>
      </c>
      <c r="F6005" s="7">
        <v>2</v>
      </c>
      <c r="G6005" s="8" t="s">
        <v>6710</v>
      </c>
      <c r="H6005" s="8" t="s">
        <v>5691</v>
      </c>
      <c r="I6005" s="7" t="str">
        <f>_xlfn.CONCAT(Paper_Reference[[#This Row],[Lvl]:[Paper Description]])</f>
        <v>2XJ8R0850SD380SJUSD DYER K EUROPE 36 X 961102100DS009-5000FROSTY WHITE</v>
      </c>
      <c r="J6005" s="7">
        <f>COUNTIF(Paper_Reference[Duplicate Key],Paper_Reference[[#This Row],[Duplicate Key]])</f>
        <v>1</v>
      </c>
    </row>
    <row r="6006" spans="1:10">
      <c r="A6006" s="7">
        <v>2</v>
      </c>
      <c r="B6006" s="8" t="s">
        <v>8295</v>
      </c>
      <c r="C6006" s="8" t="s">
        <v>7355</v>
      </c>
      <c r="D6006" s="7">
        <v>1</v>
      </c>
      <c r="E6006" s="7">
        <v>10</v>
      </c>
      <c r="F6006" s="7">
        <v>2</v>
      </c>
      <c r="G6006" s="8" t="s">
        <v>6710</v>
      </c>
      <c r="H6006" s="8" t="s">
        <v>5691</v>
      </c>
      <c r="I6006" s="7" t="str">
        <f>_xlfn.CONCAT(Paper_Reference[[#This Row],[Lvl]:[Paper Description]])</f>
        <v>2XJ8R0851SD380SJUSD DYER K S AMERICA 36 X 961102100DS009-5000FROSTY WHITE</v>
      </c>
      <c r="J6006" s="7">
        <f>COUNTIF(Paper_Reference[Duplicate Key],Paper_Reference[[#This Row],[Duplicate Key]])</f>
        <v>1</v>
      </c>
    </row>
    <row r="6007" spans="1:10">
      <c r="A6007" s="7">
        <v>2</v>
      </c>
      <c r="B6007" s="8" t="s">
        <v>8296</v>
      </c>
      <c r="C6007" s="8" t="s">
        <v>7356</v>
      </c>
      <c r="D6007" s="7">
        <v>1</v>
      </c>
      <c r="E6007" s="7">
        <v>10</v>
      </c>
      <c r="F6007" s="7">
        <v>2</v>
      </c>
      <c r="G6007" s="8" t="s">
        <v>6710</v>
      </c>
      <c r="H6007" s="8" t="s">
        <v>5691</v>
      </c>
      <c r="I6007" s="7" t="str">
        <f>_xlfn.CONCAT(Paper_Reference[[#This Row],[Lvl]:[Paper Description]])</f>
        <v>2XJ8R0851SD480SJUSD DYER K S AMERICA 48 X 961102100DS009-5000FROSTY WHITE</v>
      </c>
      <c r="J6007" s="7">
        <f>COUNTIF(Paper_Reference[Duplicate Key],Paper_Reference[[#This Row],[Duplicate Key]])</f>
        <v>1</v>
      </c>
    </row>
    <row r="6008" spans="1:10">
      <c r="A6008" s="7">
        <v>2</v>
      </c>
      <c r="B6008" s="8" t="s">
        <v>8297</v>
      </c>
      <c r="C6008" s="8" t="s">
        <v>7357</v>
      </c>
      <c r="D6008" s="7">
        <v>1</v>
      </c>
      <c r="E6008" s="7">
        <v>10</v>
      </c>
      <c r="F6008" s="7">
        <v>2</v>
      </c>
      <c r="G6008" s="8" t="s">
        <v>6710</v>
      </c>
      <c r="H6008" s="8" t="s">
        <v>5691</v>
      </c>
      <c r="I6008" s="7" t="str">
        <f>_xlfn.CONCAT(Paper_Reference[[#This Row],[Lvl]:[Paper Description]])</f>
        <v>2XJ8R0854SD480SJUSD DYER K ANTARCTICA 48 X 91102100DS009-5000FROSTY WHITE</v>
      </c>
      <c r="J6008" s="7">
        <f>COUNTIF(Paper_Reference[Duplicate Key],Paper_Reference[[#This Row],[Duplicate Key]])</f>
        <v>1</v>
      </c>
    </row>
    <row r="6009" spans="1:10">
      <c r="A6009" s="7">
        <v>2</v>
      </c>
      <c r="B6009" s="8" t="s">
        <v>6704</v>
      </c>
      <c r="C6009" s="8" t="s">
        <v>6146</v>
      </c>
      <c r="D6009" s="7">
        <v>1</v>
      </c>
      <c r="E6009" s="7">
        <v>10</v>
      </c>
      <c r="F6009" s="7">
        <v>2</v>
      </c>
      <c r="G6009" s="8" t="s">
        <v>5690</v>
      </c>
      <c r="H6009" s="8" t="s">
        <v>5691</v>
      </c>
      <c r="I6009" s="7" t="str">
        <f>_xlfn.CONCAT(Paper_Reference[[#This Row],[Lvl]:[Paper Description]])</f>
        <v>2XJ8R0855SD500SJUSD DYER K N AMERICA 60 X 121102100DS009-6200FROSTY WHITE</v>
      </c>
      <c r="J6009" s="7">
        <f>COUNTIF(Paper_Reference[Duplicate Key],Paper_Reference[[#This Row],[Duplicate Key]])</f>
        <v>1</v>
      </c>
    </row>
    <row r="6010" spans="1:10">
      <c r="A6010" s="7">
        <v>2</v>
      </c>
      <c r="B6010" s="8" t="s">
        <v>6705</v>
      </c>
      <c r="C6010" s="8" t="s">
        <v>6147</v>
      </c>
      <c r="D6010" s="7">
        <v>1</v>
      </c>
      <c r="E6010" s="7">
        <v>10</v>
      </c>
      <c r="F6010" s="7">
        <v>2</v>
      </c>
      <c r="G6010" s="8" t="s">
        <v>5690</v>
      </c>
      <c r="H6010" s="8" t="s">
        <v>5691</v>
      </c>
      <c r="I6010" s="7" t="str">
        <f>_xlfn.CONCAT(Paper_Reference[[#This Row],[Lvl]:[Paper Description]])</f>
        <v>2XJ8R0856SD580ENOCH GRAPHIC #2 60 X 961102100DS009-6200FROSTY WHITE</v>
      </c>
      <c r="J6010" s="7">
        <f>COUNTIF(Paper_Reference[Duplicate Key],Paper_Reference[[#This Row],[Duplicate Key]])</f>
        <v>1</v>
      </c>
    </row>
    <row r="6011" spans="1:10">
      <c r="A6011" s="7">
        <v>2</v>
      </c>
      <c r="B6011" s="8" t="s">
        <v>6706</v>
      </c>
      <c r="C6011" s="8" t="s">
        <v>6148</v>
      </c>
      <c r="D6011" s="7">
        <v>1</v>
      </c>
      <c r="E6011" s="7">
        <v>10</v>
      </c>
      <c r="F6011" s="7">
        <v>2</v>
      </c>
      <c r="G6011" s="8" t="s">
        <v>5690</v>
      </c>
      <c r="H6011" s="8" t="s">
        <v>5691</v>
      </c>
      <c r="I6011" s="7" t="str">
        <f>_xlfn.CONCAT(Paper_Reference[[#This Row],[Lvl]:[Paper Description]])</f>
        <v>2XJ8R0857SD500ENOCH GRAPHIC #4  60 X 1201102100DS009-6200FROSTY WHITE</v>
      </c>
      <c r="J6011" s="7">
        <f>COUNTIF(Paper_Reference[Duplicate Key],Paper_Reference[[#This Row],[Duplicate Key]])</f>
        <v>1</v>
      </c>
    </row>
    <row r="6012" spans="1:10">
      <c r="A6012" s="7">
        <v>2</v>
      </c>
      <c r="B6012" s="8" t="s">
        <v>6707</v>
      </c>
      <c r="C6012" s="8" t="s">
        <v>6149</v>
      </c>
      <c r="D6012" s="7">
        <v>1</v>
      </c>
      <c r="E6012" s="7">
        <v>10</v>
      </c>
      <c r="F6012" s="7">
        <v>2</v>
      </c>
      <c r="G6012" s="8" t="s">
        <v>5690</v>
      </c>
      <c r="H6012" s="8" t="s">
        <v>5691</v>
      </c>
      <c r="I6012" s="7" t="str">
        <f>_xlfn.CONCAT(Paper_Reference[[#This Row],[Lvl]:[Paper Description]])</f>
        <v>2XJ8R0858SD580ENOCH GRAPHIC #5 60 X 961102100DS009-6200FROSTY WHITE</v>
      </c>
      <c r="J6012" s="7">
        <f>COUNTIF(Paper_Reference[Duplicate Key],Paper_Reference[[#This Row],[Duplicate Key]])</f>
        <v>1</v>
      </c>
    </row>
    <row r="6013" spans="1:10">
      <c r="A6013" s="7">
        <v>2</v>
      </c>
      <c r="B6013" s="8" t="s">
        <v>8298</v>
      </c>
      <c r="C6013" s="8" t="s">
        <v>7358</v>
      </c>
      <c r="D6013" s="7">
        <v>1</v>
      </c>
      <c r="E6013" s="7">
        <v>10</v>
      </c>
      <c r="F6013" s="7">
        <v>2</v>
      </c>
      <c r="G6013" s="8" t="s">
        <v>6710</v>
      </c>
      <c r="H6013" s="8" t="s">
        <v>5691</v>
      </c>
      <c r="I6013" s="7" t="str">
        <f>_xlfn.CONCAT(Paper_Reference[[#This Row],[Lvl]:[Paper Description]])</f>
        <v>2XJ8R0859SD480ENOCH GRAPHIC #6  48 X 961102100DS009-5000FROSTY WHITE</v>
      </c>
      <c r="J6013" s="7">
        <f>COUNTIF(Paper_Reference[Duplicate Key],Paper_Reference[[#This Row],[Duplicate Key]])</f>
        <v>1</v>
      </c>
    </row>
    <row r="6014" spans="1:10">
      <c r="A6014" s="7">
        <v>2</v>
      </c>
      <c r="B6014" s="8" t="s">
        <v>2047</v>
      </c>
      <c r="C6014" s="8" t="s">
        <v>1566</v>
      </c>
      <c r="D6014" s="7">
        <v>1</v>
      </c>
      <c r="E6014" s="7">
        <v>10</v>
      </c>
      <c r="F6014" s="7">
        <v>1</v>
      </c>
      <c r="G6014" s="8" t="s">
        <v>1241</v>
      </c>
      <c r="H6014" s="8" t="s">
        <v>1242</v>
      </c>
      <c r="I6014" s="7" t="str">
        <f>_xlfn.CONCAT(Paper_Reference[[#This Row],[Lvl]:[Paper Description]])</f>
        <v>2XJ8R0863SD480PRAIRE ECC ANIMAL  48 X 96110110000020-5000Premium Inkjet MPK 9653</v>
      </c>
      <c r="J6014" s="7">
        <f>COUNTIF(Paper_Reference[Duplicate Key],Paper_Reference[[#This Row],[Duplicate Key]])</f>
        <v>1</v>
      </c>
    </row>
    <row r="6015" spans="1:10">
      <c r="A6015" s="7">
        <v>2</v>
      </c>
      <c r="B6015" s="8" t="s">
        <v>2047</v>
      </c>
      <c r="C6015" s="8" t="s">
        <v>1566</v>
      </c>
      <c r="D6015" s="7">
        <v>1</v>
      </c>
      <c r="E6015" s="7">
        <v>10</v>
      </c>
      <c r="F6015" s="7">
        <v>2</v>
      </c>
      <c r="G6015" s="8" t="s">
        <v>6710</v>
      </c>
      <c r="H6015" s="8" t="s">
        <v>5691</v>
      </c>
      <c r="I6015" s="7" t="str">
        <f>_xlfn.CONCAT(Paper_Reference[[#This Row],[Lvl]:[Paper Description]])</f>
        <v>2XJ8R0863SD480PRAIRE ECC ANIMAL  48 X 961102100DS009-5000FROSTY WHITE</v>
      </c>
      <c r="J6015" s="7">
        <f>COUNTIF(Paper_Reference[Duplicate Key],Paper_Reference[[#This Row],[Duplicate Key]])</f>
        <v>1</v>
      </c>
    </row>
    <row r="6016" spans="1:10">
      <c r="A6016" s="7">
        <v>2</v>
      </c>
      <c r="B6016" s="8" t="s">
        <v>2814</v>
      </c>
      <c r="C6016" s="8" t="s">
        <v>2328</v>
      </c>
      <c r="D6016" s="7">
        <v>1</v>
      </c>
      <c r="E6016" s="7">
        <v>10</v>
      </c>
      <c r="F6016" s="7">
        <v>1</v>
      </c>
      <c r="G6016" s="8" t="s">
        <v>2144</v>
      </c>
      <c r="H6016" s="8" t="s">
        <v>1242</v>
      </c>
      <c r="I6016" s="7" t="str">
        <f>_xlfn.CONCAT(Paper_Reference[[#This Row],[Lvl]:[Paper Description]])</f>
        <v>2XJ8R0864SD580CAL POLY POMONA B111  60 X 96110110000020-6200Premium Inkjet MPK 9653</v>
      </c>
      <c r="J6016" s="7">
        <f>COUNTIF(Paper_Reference[Duplicate Key],Paper_Reference[[#This Row],[Duplicate Key]])</f>
        <v>1</v>
      </c>
    </row>
    <row r="6017" spans="1:10">
      <c r="A6017" s="7">
        <v>2</v>
      </c>
      <c r="B6017" s="8" t="s">
        <v>2814</v>
      </c>
      <c r="C6017" s="8" t="s">
        <v>2328</v>
      </c>
      <c r="D6017" s="7">
        <v>1</v>
      </c>
      <c r="E6017" s="7">
        <v>10</v>
      </c>
      <c r="F6017" s="7">
        <v>2</v>
      </c>
      <c r="G6017" s="8" t="s">
        <v>5690</v>
      </c>
      <c r="H6017" s="8" t="s">
        <v>5691</v>
      </c>
      <c r="I6017" s="7" t="str">
        <f>_xlfn.CONCAT(Paper_Reference[[#This Row],[Lvl]:[Paper Description]])</f>
        <v>2XJ8R0864SD580CAL POLY POMONA B111  60 X 961102100DS009-6200FROSTY WHITE</v>
      </c>
      <c r="J6017" s="7">
        <f>COUNTIF(Paper_Reference[Duplicate Key],Paper_Reference[[#This Row],[Duplicate Key]])</f>
        <v>1</v>
      </c>
    </row>
    <row r="6018" spans="1:10">
      <c r="A6018" s="7">
        <v>2</v>
      </c>
      <c r="B6018" s="8" t="s">
        <v>2815</v>
      </c>
      <c r="C6018" s="8" t="s">
        <v>2329</v>
      </c>
      <c r="D6018" s="7">
        <v>1</v>
      </c>
      <c r="E6018" s="7">
        <v>10</v>
      </c>
      <c r="F6018" s="7">
        <v>1</v>
      </c>
      <c r="G6018" s="8" t="s">
        <v>2144</v>
      </c>
      <c r="H6018" s="8" t="s">
        <v>1242</v>
      </c>
      <c r="I6018" s="7" t="str">
        <f>_xlfn.CONCAT(Paper_Reference[[#This Row],[Lvl]:[Paper Description]])</f>
        <v>2XJ8R0865SD580CAL POLY POMONA B114  60 X 96110110000020-6200Premium Inkjet MPK 9653</v>
      </c>
      <c r="J6018" s="7">
        <f>COUNTIF(Paper_Reference[Duplicate Key],Paper_Reference[[#This Row],[Duplicate Key]])</f>
        <v>1</v>
      </c>
    </row>
    <row r="6019" spans="1:10">
      <c r="A6019" s="7">
        <v>2</v>
      </c>
      <c r="B6019" s="8" t="s">
        <v>2815</v>
      </c>
      <c r="C6019" s="8" t="s">
        <v>2329</v>
      </c>
      <c r="D6019" s="7">
        <v>1</v>
      </c>
      <c r="E6019" s="7">
        <v>10</v>
      </c>
      <c r="F6019" s="7">
        <v>2</v>
      </c>
      <c r="G6019" s="8" t="s">
        <v>5690</v>
      </c>
      <c r="H6019" s="8" t="s">
        <v>5691</v>
      </c>
      <c r="I6019" s="7" t="str">
        <f>_xlfn.CONCAT(Paper_Reference[[#This Row],[Lvl]:[Paper Description]])</f>
        <v>2XJ8R0865SD580CAL POLY POMONA B114  60 X 961102100DS009-6200FROSTY WHITE</v>
      </c>
      <c r="J6019" s="7">
        <f>COUNTIF(Paper_Reference[Duplicate Key],Paper_Reference[[#This Row],[Duplicate Key]])</f>
        <v>1</v>
      </c>
    </row>
    <row r="6020" spans="1:10">
      <c r="A6020" s="7">
        <v>2</v>
      </c>
      <c r="B6020" s="8" t="s">
        <v>2816</v>
      </c>
      <c r="C6020" s="8" t="s">
        <v>2330</v>
      </c>
      <c r="D6020" s="7">
        <v>1</v>
      </c>
      <c r="E6020" s="7">
        <v>10</v>
      </c>
      <c r="F6020" s="7">
        <v>1</v>
      </c>
      <c r="G6020" s="8" t="s">
        <v>2144</v>
      </c>
      <c r="H6020" s="8" t="s">
        <v>1242</v>
      </c>
      <c r="I6020" s="7" t="str">
        <f>_xlfn.CONCAT(Paper_Reference[[#This Row],[Lvl]:[Paper Description]])</f>
        <v>2XJ8R0866SD580CAL POLY POMONA A126C  60 X 96110110000020-6200Premium Inkjet MPK 9653</v>
      </c>
      <c r="J6020" s="7">
        <f>COUNTIF(Paper_Reference[Duplicate Key],Paper_Reference[[#This Row],[Duplicate Key]])</f>
        <v>1</v>
      </c>
    </row>
    <row r="6021" spans="1:10">
      <c r="A6021" s="7">
        <v>2</v>
      </c>
      <c r="B6021" s="8" t="s">
        <v>2816</v>
      </c>
      <c r="C6021" s="8" t="s">
        <v>2330</v>
      </c>
      <c r="D6021" s="7">
        <v>1</v>
      </c>
      <c r="E6021" s="7">
        <v>10</v>
      </c>
      <c r="F6021" s="7">
        <v>2</v>
      </c>
      <c r="G6021" s="8" t="s">
        <v>5690</v>
      </c>
      <c r="H6021" s="8" t="s">
        <v>5691</v>
      </c>
      <c r="I6021" s="7" t="str">
        <f>_xlfn.CONCAT(Paper_Reference[[#This Row],[Lvl]:[Paper Description]])</f>
        <v>2XJ8R0866SD580CAL POLY POMONA A126C  60 X 961102100DS009-6200FROSTY WHITE</v>
      </c>
      <c r="J6021" s="7">
        <f>COUNTIF(Paper_Reference[Duplicate Key],Paper_Reference[[#This Row],[Duplicate Key]])</f>
        <v>1</v>
      </c>
    </row>
    <row r="6022" spans="1:10">
      <c r="A6022" s="7">
        <v>2</v>
      </c>
      <c r="B6022" s="8" t="s">
        <v>2048</v>
      </c>
      <c r="C6022" s="8" t="s">
        <v>1567</v>
      </c>
      <c r="D6022" s="7">
        <v>1</v>
      </c>
      <c r="E6022" s="7">
        <v>10</v>
      </c>
      <c r="F6022" s="7">
        <v>1</v>
      </c>
      <c r="G6022" s="8" t="s">
        <v>1241</v>
      </c>
      <c r="H6022" s="8" t="s">
        <v>1242</v>
      </c>
      <c r="I6022" s="7" t="str">
        <f>_xlfn.CONCAT(Paper_Reference[[#This Row],[Lvl]:[Paper Description]])</f>
        <v>2XJ8R0877SD400AHS-MACPHAIL BRKOUT WALL 48X12110110000020-5000Premium Inkjet MPK 9653</v>
      </c>
      <c r="J6022" s="7">
        <f>COUNTIF(Paper_Reference[Duplicate Key],Paper_Reference[[#This Row],[Duplicate Key]])</f>
        <v>1</v>
      </c>
    </row>
    <row r="6023" spans="1:10">
      <c r="A6023" s="7">
        <v>2</v>
      </c>
      <c r="B6023" s="8" t="s">
        <v>2048</v>
      </c>
      <c r="C6023" s="8" t="s">
        <v>1567</v>
      </c>
      <c r="D6023" s="7">
        <v>1</v>
      </c>
      <c r="E6023" s="7">
        <v>10</v>
      </c>
      <c r="F6023" s="7">
        <v>2</v>
      </c>
      <c r="G6023" s="8" t="s">
        <v>6710</v>
      </c>
      <c r="H6023" s="8" t="s">
        <v>5691</v>
      </c>
      <c r="I6023" s="7" t="str">
        <f>_xlfn.CONCAT(Paper_Reference[[#This Row],[Lvl]:[Paper Description]])</f>
        <v>2XJ8R0877SD400AHS-MACPHAIL BRKOUT WALL 48X121102100DS009-5000FROSTY WHITE</v>
      </c>
      <c r="J6023" s="7">
        <f>COUNTIF(Paper_Reference[Duplicate Key],Paper_Reference[[#This Row],[Duplicate Key]])</f>
        <v>1</v>
      </c>
    </row>
    <row r="6024" spans="1:10">
      <c r="A6024" s="7">
        <v>2</v>
      </c>
      <c r="B6024" s="8" t="s">
        <v>2817</v>
      </c>
      <c r="C6024" s="8" t="s">
        <v>2331</v>
      </c>
      <c r="D6024" s="7">
        <v>1</v>
      </c>
      <c r="E6024" s="7">
        <v>10</v>
      </c>
      <c r="F6024" s="7">
        <v>1</v>
      </c>
      <c r="G6024" s="8" t="s">
        <v>2144</v>
      </c>
      <c r="H6024" s="8" t="s">
        <v>1242</v>
      </c>
      <c r="I6024" s="7" t="str">
        <f>_xlfn.CONCAT(Paper_Reference[[#This Row],[Lvl]:[Paper Description]])</f>
        <v>2XJ8R0886SD500EAGLE RIDGE  60 X 120110110000020-6200Premium Inkjet MPK 9653</v>
      </c>
      <c r="J6024" s="7">
        <f>COUNTIF(Paper_Reference[Duplicate Key],Paper_Reference[[#This Row],[Duplicate Key]])</f>
        <v>1</v>
      </c>
    </row>
    <row r="6025" spans="1:10">
      <c r="A6025" s="7">
        <v>2</v>
      </c>
      <c r="B6025" s="8" t="s">
        <v>2817</v>
      </c>
      <c r="C6025" s="8" t="s">
        <v>2331</v>
      </c>
      <c r="D6025" s="7">
        <v>1</v>
      </c>
      <c r="E6025" s="7">
        <v>10</v>
      </c>
      <c r="F6025" s="7">
        <v>2</v>
      </c>
      <c r="G6025" s="8" t="s">
        <v>5690</v>
      </c>
      <c r="H6025" s="8" t="s">
        <v>5691</v>
      </c>
      <c r="I6025" s="7" t="str">
        <f>_xlfn.CONCAT(Paper_Reference[[#This Row],[Lvl]:[Paper Description]])</f>
        <v>2XJ8R0886SD500EAGLE RIDGE  60 X 1201102100DS009-6200FROSTY WHITE</v>
      </c>
      <c r="J6025" s="7">
        <f>COUNTIF(Paper_Reference[Duplicate Key],Paper_Reference[[#This Row],[Duplicate Key]])</f>
        <v>1</v>
      </c>
    </row>
    <row r="6026" spans="1:10">
      <c r="A6026" s="7">
        <v>2</v>
      </c>
      <c r="B6026" s="8" t="s">
        <v>2818</v>
      </c>
      <c r="C6026" s="8" t="s">
        <v>2332</v>
      </c>
      <c r="D6026" s="7">
        <v>1</v>
      </c>
      <c r="E6026" s="7">
        <v>10</v>
      </c>
      <c r="F6026" s="7">
        <v>1</v>
      </c>
      <c r="G6026" s="8" t="s">
        <v>2144</v>
      </c>
      <c r="H6026" s="8" t="s">
        <v>1242</v>
      </c>
      <c r="I6026" s="7" t="str">
        <f>_xlfn.CONCAT(Paper_Reference[[#This Row],[Lvl]:[Paper Description]])</f>
        <v>2XJ8R0889SD580DIG FRL SAMPLE SHEET 60 X 96110110000020-6200Premium Inkjet MPK 9653</v>
      </c>
      <c r="J6026" s="7">
        <f>COUNTIF(Paper_Reference[Duplicate Key],Paper_Reference[[#This Row],[Duplicate Key]])</f>
        <v>1</v>
      </c>
    </row>
    <row r="6027" spans="1:10">
      <c r="A6027" s="7">
        <v>2</v>
      </c>
      <c r="B6027" s="8" t="s">
        <v>2818</v>
      </c>
      <c r="C6027" s="8" t="s">
        <v>2332</v>
      </c>
      <c r="D6027" s="7">
        <v>1</v>
      </c>
      <c r="E6027" s="7">
        <v>10</v>
      </c>
      <c r="F6027" s="7">
        <v>2</v>
      </c>
      <c r="G6027" s="8" t="s">
        <v>5690</v>
      </c>
      <c r="H6027" s="8" t="s">
        <v>5691</v>
      </c>
      <c r="I6027" s="7" t="str">
        <f>_xlfn.CONCAT(Paper_Reference[[#This Row],[Lvl]:[Paper Description]])</f>
        <v>2XJ8R0889SD580DIG FRL SAMPLE SHEET 60 X 961102100DS009-6200FROSTY WHITE</v>
      </c>
      <c r="J6027" s="7">
        <f>COUNTIF(Paper_Reference[Duplicate Key],Paper_Reference[[#This Row],[Duplicate Key]])</f>
        <v>1</v>
      </c>
    </row>
    <row r="6028" spans="1:10">
      <c r="A6028" s="7">
        <v>2</v>
      </c>
      <c r="B6028" s="8" t="s">
        <v>2049</v>
      </c>
      <c r="C6028" s="8" t="s">
        <v>1568</v>
      </c>
      <c r="D6028" s="7">
        <v>1</v>
      </c>
      <c r="E6028" s="7">
        <v>10</v>
      </c>
      <c r="F6028" s="7">
        <v>1</v>
      </c>
      <c r="G6028" s="8" t="s">
        <v>1241</v>
      </c>
      <c r="H6028" s="8" t="s">
        <v>1242</v>
      </c>
      <c r="I6028" s="7" t="str">
        <f>_xlfn.CONCAT(Paper_Reference[[#This Row],[Lvl]:[Paper Description]])</f>
        <v>2XJ8R0895SD480ST.MARYS HS SPORTS 48 X 96110110000020-5000Premium Inkjet MPK 9653</v>
      </c>
      <c r="J6028" s="7">
        <f>COUNTIF(Paper_Reference[Duplicate Key],Paper_Reference[[#This Row],[Duplicate Key]])</f>
        <v>1</v>
      </c>
    </row>
    <row r="6029" spans="1:10">
      <c r="A6029" s="7">
        <v>2</v>
      </c>
      <c r="B6029" s="8" t="s">
        <v>2049</v>
      </c>
      <c r="C6029" s="8" t="s">
        <v>1568</v>
      </c>
      <c r="D6029" s="7">
        <v>1</v>
      </c>
      <c r="E6029" s="7">
        <v>10</v>
      </c>
      <c r="F6029" s="7">
        <v>2</v>
      </c>
      <c r="G6029" s="8" t="s">
        <v>6710</v>
      </c>
      <c r="H6029" s="8" t="s">
        <v>5691</v>
      </c>
      <c r="I6029" s="7" t="str">
        <f>_xlfn.CONCAT(Paper_Reference[[#This Row],[Lvl]:[Paper Description]])</f>
        <v>2XJ8R0895SD480ST.MARYS HS SPORTS 48 X 961102100DS009-5000FROSTY WHITE</v>
      </c>
      <c r="J6029" s="7">
        <f>COUNTIF(Paper_Reference[Duplicate Key],Paper_Reference[[#This Row],[Duplicate Key]])</f>
        <v>1</v>
      </c>
    </row>
    <row r="6030" spans="1:10">
      <c r="A6030" s="7">
        <v>2</v>
      </c>
      <c r="B6030" s="8" t="s">
        <v>2819</v>
      </c>
      <c r="C6030" s="8" t="s">
        <v>2333</v>
      </c>
      <c r="D6030" s="7">
        <v>1</v>
      </c>
      <c r="E6030" s="7">
        <v>10</v>
      </c>
      <c r="F6030" s="7">
        <v>1</v>
      </c>
      <c r="G6030" s="8" t="s">
        <v>2144</v>
      </c>
      <c r="H6030" s="8" t="s">
        <v>1242</v>
      </c>
      <c r="I6030" s="7" t="str">
        <f>_xlfn.CONCAT(Paper_Reference[[#This Row],[Lvl]:[Paper Description]])</f>
        <v>2XJ8R0896SD500MT SAC HALLWAY 60 X 120110110000020-6200Premium Inkjet MPK 9653</v>
      </c>
      <c r="J6030" s="7">
        <f>COUNTIF(Paper_Reference[Duplicate Key],Paper_Reference[[#This Row],[Duplicate Key]])</f>
        <v>1</v>
      </c>
    </row>
    <row r="6031" spans="1:10">
      <c r="A6031" s="7">
        <v>2</v>
      </c>
      <c r="B6031" s="8" t="s">
        <v>2819</v>
      </c>
      <c r="C6031" s="8" t="s">
        <v>2333</v>
      </c>
      <c r="D6031" s="7">
        <v>1</v>
      </c>
      <c r="E6031" s="7">
        <v>10</v>
      </c>
      <c r="F6031" s="7">
        <v>2</v>
      </c>
      <c r="G6031" s="8" t="s">
        <v>5690</v>
      </c>
      <c r="H6031" s="8" t="s">
        <v>5691</v>
      </c>
      <c r="I6031" s="7" t="str">
        <f>_xlfn.CONCAT(Paper_Reference[[#This Row],[Lvl]:[Paper Description]])</f>
        <v>2XJ8R0896SD500MT SAC HALLWAY 60 X 1201102100DS009-6200FROSTY WHITE</v>
      </c>
      <c r="J6031" s="7">
        <f>COUNTIF(Paper_Reference[Duplicate Key],Paper_Reference[[#This Row],[Duplicate Key]])</f>
        <v>1</v>
      </c>
    </row>
    <row r="6032" spans="1:10">
      <c r="A6032" s="7">
        <v>2</v>
      </c>
      <c r="B6032" s="8" t="s">
        <v>2050</v>
      </c>
      <c r="C6032" s="8" t="s">
        <v>1569</v>
      </c>
      <c r="D6032" s="7">
        <v>1</v>
      </c>
      <c r="E6032" s="7">
        <v>10</v>
      </c>
      <c r="F6032" s="7">
        <v>1</v>
      </c>
      <c r="G6032" s="8" t="s">
        <v>1241</v>
      </c>
      <c r="H6032" s="8" t="s">
        <v>1242</v>
      </c>
      <c r="I6032" s="7" t="str">
        <f>_xlfn.CONCAT(Paper_Reference[[#This Row],[Lvl]:[Paper Description]])</f>
        <v>2XJ8R0897SD400MT SAC TEAM ROOM 48 X 120110110000020-5000Premium Inkjet MPK 9653</v>
      </c>
      <c r="J6032" s="7">
        <f>COUNTIF(Paper_Reference[Duplicate Key],Paper_Reference[[#This Row],[Duplicate Key]])</f>
        <v>1</v>
      </c>
    </row>
    <row r="6033" spans="1:10">
      <c r="A6033" s="7">
        <v>2</v>
      </c>
      <c r="B6033" s="8" t="s">
        <v>2050</v>
      </c>
      <c r="C6033" s="8" t="s">
        <v>1569</v>
      </c>
      <c r="D6033" s="7">
        <v>1</v>
      </c>
      <c r="E6033" s="7">
        <v>10</v>
      </c>
      <c r="F6033" s="7">
        <v>2</v>
      </c>
      <c r="G6033" s="8" t="s">
        <v>6710</v>
      </c>
      <c r="H6033" s="8" t="s">
        <v>5691</v>
      </c>
      <c r="I6033" s="7" t="str">
        <f>_xlfn.CONCAT(Paper_Reference[[#This Row],[Lvl]:[Paper Description]])</f>
        <v>2XJ8R0897SD400MT SAC TEAM ROOM 48 X 1201102100DS009-5000FROSTY WHITE</v>
      </c>
      <c r="J6033" s="7">
        <f>COUNTIF(Paper_Reference[Duplicate Key],Paper_Reference[[#This Row],[Duplicate Key]])</f>
        <v>1</v>
      </c>
    </row>
    <row r="6034" spans="1:10">
      <c r="A6034" s="7">
        <v>2</v>
      </c>
      <c r="B6034" s="8" t="s">
        <v>2051</v>
      </c>
      <c r="C6034" s="8" t="s">
        <v>1570</v>
      </c>
      <c r="D6034" s="7">
        <v>1</v>
      </c>
      <c r="E6034" s="7">
        <v>10</v>
      </c>
      <c r="F6034" s="7">
        <v>1</v>
      </c>
      <c r="G6034" s="8" t="s">
        <v>1241</v>
      </c>
      <c r="H6034" s="8" t="s">
        <v>1242</v>
      </c>
      <c r="I6034" s="7" t="str">
        <f>_xlfn.CONCAT(Paper_Reference[[#This Row],[Lvl]:[Paper Description]])</f>
        <v>2XJ8R0898SD400MT SAC WEIGHT ROOM 48 X 120110110000020-5000Premium Inkjet MPK 9653</v>
      </c>
      <c r="J6034" s="7">
        <f>COUNTIF(Paper_Reference[Duplicate Key],Paper_Reference[[#This Row],[Duplicate Key]])</f>
        <v>1</v>
      </c>
    </row>
    <row r="6035" spans="1:10">
      <c r="A6035" s="7">
        <v>2</v>
      </c>
      <c r="B6035" s="8" t="s">
        <v>2051</v>
      </c>
      <c r="C6035" s="8" t="s">
        <v>1570</v>
      </c>
      <c r="D6035" s="7">
        <v>1</v>
      </c>
      <c r="E6035" s="7">
        <v>10</v>
      </c>
      <c r="F6035" s="7">
        <v>2</v>
      </c>
      <c r="G6035" s="8" t="s">
        <v>6710</v>
      </c>
      <c r="H6035" s="8" t="s">
        <v>5691</v>
      </c>
      <c r="I6035" s="7" t="str">
        <f>_xlfn.CONCAT(Paper_Reference[[#This Row],[Lvl]:[Paper Description]])</f>
        <v>2XJ8R0898SD400MT SAC WEIGHT ROOM 48 X 1201102100DS009-5000FROSTY WHITE</v>
      </c>
      <c r="J6035" s="7">
        <f>COUNTIF(Paper_Reference[Duplicate Key],Paper_Reference[[#This Row],[Duplicate Key]])</f>
        <v>1</v>
      </c>
    </row>
    <row r="6036" spans="1:10">
      <c r="A6036" s="7">
        <v>2</v>
      </c>
      <c r="B6036" s="8" t="s">
        <v>2820</v>
      </c>
      <c r="C6036" s="8" t="s">
        <v>2334</v>
      </c>
      <c r="D6036" s="7">
        <v>1</v>
      </c>
      <c r="E6036" s="7">
        <v>10</v>
      </c>
      <c r="F6036" s="7">
        <v>1</v>
      </c>
      <c r="G6036" s="8" t="s">
        <v>2144</v>
      </c>
      <c r="H6036" s="8" t="s">
        <v>1242</v>
      </c>
      <c r="I6036" s="7" t="str">
        <f>_xlfn.CONCAT(Paper_Reference[[#This Row],[Lvl]:[Paper Description]])</f>
        <v>2XJ8R0899SD580MT SAC LOBBY 60 X 96110110000020-6200Premium Inkjet MPK 9653</v>
      </c>
      <c r="J6036" s="7">
        <f>COUNTIF(Paper_Reference[Duplicate Key],Paper_Reference[[#This Row],[Duplicate Key]])</f>
        <v>1</v>
      </c>
    </row>
    <row r="6037" spans="1:10">
      <c r="A6037" s="7">
        <v>2</v>
      </c>
      <c r="B6037" s="8" t="s">
        <v>2820</v>
      </c>
      <c r="C6037" s="8" t="s">
        <v>2334</v>
      </c>
      <c r="D6037" s="7">
        <v>1</v>
      </c>
      <c r="E6037" s="7">
        <v>10</v>
      </c>
      <c r="F6037" s="7">
        <v>2</v>
      </c>
      <c r="G6037" s="8" t="s">
        <v>5690</v>
      </c>
      <c r="H6037" s="8" t="s">
        <v>5691</v>
      </c>
      <c r="I6037" s="7" t="str">
        <f>_xlfn.CONCAT(Paper_Reference[[#This Row],[Lvl]:[Paper Description]])</f>
        <v>2XJ8R0899SD580MT SAC LOBBY 60 X 961102100DS009-6200FROSTY WHITE</v>
      </c>
      <c r="J6037" s="7">
        <f>COUNTIF(Paper_Reference[Duplicate Key],Paper_Reference[[#This Row],[Duplicate Key]])</f>
        <v>1</v>
      </c>
    </row>
    <row r="6038" spans="1:10">
      <c r="A6038" s="7">
        <v>2</v>
      </c>
      <c r="B6038" s="8" t="s">
        <v>2052</v>
      </c>
      <c r="C6038" s="8" t="s">
        <v>1571</v>
      </c>
      <c r="D6038" s="7">
        <v>1</v>
      </c>
      <c r="E6038" s="7">
        <v>10</v>
      </c>
      <c r="F6038" s="7">
        <v>1</v>
      </c>
      <c r="G6038" s="8" t="s">
        <v>1241</v>
      </c>
      <c r="H6038" s="8" t="s">
        <v>1242</v>
      </c>
      <c r="I6038" s="7" t="str">
        <f>_xlfn.CONCAT(Paper_Reference[[#This Row],[Lvl]:[Paper Description]])</f>
        <v>2XJ8R0900SD480LAFAYETTE APPLE 48 X 96110110000020-5000Premium Inkjet MPK 9653</v>
      </c>
      <c r="J6038" s="7">
        <f>COUNTIF(Paper_Reference[Duplicate Key],Paper_Reference[[#This Row],[Duplicate Key]])</f>
        <v>1</v>
      </c>
    </row>
    <row r="6039" spans="1:10">
      <c r="A6039" s="7">
        <v>2</v>
      </c>
      <c r="B6039" s="8" t="s">
        <v>2052</v>
      </c>
      <c r="C6039" s="8" t="s">
        <v>1571</v>
      </c>
      <c r="D6039" s="7">
        <v>1</v>
      </c>
      <c r="E6039" s="7">
        <v>10</v>
      </c>
      <c r="F6039" s="7">
        <v>2</v>
      </c>
      <c r="G6039" s="8" t="s">
        <v>6710</v>
      </c>
      <c r="H6039" s="8" t="s">
        <v>5691</v>
      </c>
      <c r="I6039" s="7" t="str">
        <f>_xlfn.CONCAT(Paper_Reference[[#This Row],[Lvl]:[Paper Description]])</f>
        <v>2XJ8R0900SD480LAFAYETTE APPLE 48 X 961102100DS009-5000FROSTY WHITE</v>
      </c>
      <c r="J6039" s="7">
        <f>COUNTIF(Paper_Reference[Duplicate Key],Paper_Reference[[#This Row],[Duplicate Key]])</f>
        <v>1</v>
      </c>
    </row>
    <row r="6040" spans="1:10">
      <c r="A6040" s="7">
        <v>2</v>
      </c>
      <c r="B6040" s="8" t="s">
        <v>2821</v>
      </c>
      <c r="C6040" s="8" t="s">
        <v>2335</v>
      </c>
      <c r="D6040" s="7">
        <v>1</v>
      </c>
      <c r="E6040" s="7">
        <v>10</v>
      </c>
      <c r="F6040" s="7">
        <v>1</v>
      </c>
      <c r="G6040" s="8" t="s">
        <v>2144</v>
      </c>
      <c r="H6040" s="8" t="s">
        <v>1242</v>
      </c>
      <c r="I6040" s="7" t="str">
        <f>_xlfn.CONCAT(Paper_Reference[[#This Row],[Lvl]:[Paper Description]])</f>
        <v>2XJ8R0906SD580SWED EDMUNDS BHU N1.3 60 X 96110110000020-6200Premium Inkjet MPK 9653</v>
      </c>
      <c r="J6040" s="7">
        <f>COUNTIF(Paper_Reference[Duplicate Key],Paper_Reference[[#This Row],[Duplicate Key]])</f>
        <v>1</v>
      </c>
    </row>
    <row r="6041" spans="1:10">
      <c r="A6041" s="7">
        <v>2</v>
      </c>
      <c r="B6041" s="8" t="s">
        <v>2821</v>
      </c>
      <c r="C6041" s="8" t="s">
        <v>2335</v>
      </c>
      <c r="D6041" s="7">
        <v>1</v>
      </c>
      <c r="E6041" s="7">
        <v>10</v>
      </c>
      <c r="F6041" s="7">
        <v>2</v>
      </c>
      <c r="G6041" s="8" t="s">
        <v>5690</v>
      </c>
      <c r="H6041" s="8" t="s">
        <v>5691</v>
      </c>
      <c r="I6041" s="7" t="str">
        <f>_xlfn.CONCAT(Paper_Reference[[#This Row],[Lvl]:[Paper Description]])</f>
        <v>2XJ8R0906SD580SWED EDMUNDS BHU N1.3 60 X 961102100DS009-6200FROSTY WHITE</v>
      </c>
      <c r="J6041" s="7">
        <f>COUNTIF(Paper_Reference[Duplicate Key],Paper_Reference[[#This Row],[Duplicate Key]])</f>
        <v>1</v>
      </c>
    </row>
    <row r="6042" spans="1:10">
      <c r="A6042" s="7">
        <v>2</v>
      </c>
      <c r="B6042" s="8" t="s">
        <v>2053</v>
      </c>
      <c r="C6042" s="8" t="s">
        <v>1572</v>
      </c>
      <c r="D6042" s="7">
        <v>1</v>
      </c>
      <c r="E6042" s="7">
        <v>10</v>
      </c>
      <c r="F6042" s="7">
        <v>1</v>
      </c>
      <c r="G6042" s="8" t="s">
        <v>1241</v>
      </c>
      <c r="H6042" s="8" t="s">
        <v>1242</v>
      </c>
      <c r="I6042" s="7" t="str">
        <f>_xlfn.CONCAT(Paper_Reference[[#This Row],[Lvl]:[Paper Description]])</f>
        <v>2XJ8R0907SD480SWED EDMUNDS BHU N1.1 48 X 96110110000020-5000Premium Inkjet MPK 9653</v>
      </c>
      <c r="J6042" s="7">
        <f>COUNTIF(Paper_Reference[Duplicate Key],Paper_Reference[[#This Row],[Duplicate Key]])</f>
        <v>1</v>
      </c>
    </row>
    <row r="6043" spans="1:10">
      <c r="A6043" s="7">
        <v>2</v>
      </c>
      <c r="B6043" s="8" t="s">
        <v>2053</v>
      </c>
      <c r="C6043" s="8" t="s">
        <v>1572</v>
      </c>
      <c r="D6043" s="7">
        <v>1</v>
      </c>
      <c r="E6043" s="7">
        <v>10</v>
      </c>
      <c r="F6043" s="7">
        <v>2</v>
      </c>
      <c r="G6043" s="8" t="s">
        <v>6710</v>
      </c>
      <c r="H6043" s="8" t="s">
        <v>5691</v>
      </c>
      <c r="I6043" s="7" t="str">
        <f>_xlfn.CONCAT(Paper_Reference[[#This Row],[Lvl]:[Paper Description]])</f>
        <v>2XJ8R0907SD480SWED EDMUNDS BHU N1.1 48 X 961102100DS009-5000FROSTY WHITE</v>
      </c>
      <c r="J6043" s="7">
        <f>COUNTIF(Paper_Reference[Duplicate Key],Paper_Reference[[#This Row],[Duplicate Key]])</f>
        <v>1</v>
      </c>
    </row>
    <row r="6044" spans="1:10">
      <c r="A6044" s="7">
        <v>2</v>
      </c>
      <c r="B6044" s="8" t="s">
        <v>2822</v>
      </c>
      <c r="C6044" s="8" t="s">
        <v>2336</v>
      </c>
      <c r="D6044" s="7">
        <v>1</v>
      </c>
      <c r="E6044" s="7">
        <v>10</v>
      </c>
      <c r="F6044" s="7">
        <v>1</v>
      </c>
      <c r="G6044" s="8" t="s">
        <v>2144</v>
      </c>
      <c r="H6044" s="8" t="s">
        <v>1242</v>
      </c>
      <c r="I6044" s="7" t="str">
        <f>_xlfn.CONCAT(Paper_Reference[[#This Row],[Lvl]:[Paper Description]])</f>
        <v>2XJ8R0908SD580SWED EDMUNDS BHU N1.4 60 X 96110110000020-6200Premium Inkjet MPK 9653</v>
      </c>
      <c r="J6044" s="7">
        <f>COUNTIF(Paper_Reference[Duplicate Key],Paper_Reference[[#This Row],[Duplicate Key]])</f>
        <v>1</v>
      </c>
    </row>
    <row r="6045" spans="1:10">
      <c r="A6045" s="7">
        <v>2</v>
      </c>
      <c r="B6045" s="8" t="s">
        <v>2822</v>
      </c>
      <c r="C6045" s="8" t="s">
        <v>2336</v>
      </c>
      <c r="D6045" s="7">
        <v>1</v>
      </c>
      <c r="E6045" s="7">
        <v>10</v>
      </c>
      <c r="F6045" s="7">
        <v>2</v>
      </c>
      <c r="G6045" s="8" t="s">
        <v>5690</v>
      </c>
      <c r="H6045" s="8" t="s">
        <v>5691</v>
      </c>
      <c r="I6045" s="7" t="str">
        <f>_xlfn.CONCAT(Paper_Reference[[#This Row],[Lvl]:[Paper Description]])</f>
        <v>2XJ8R0908SD580SWED EDMUNDS BHU N1.4 60 X 961102100DS009-6200FROSTY WHITE</v>
      </c>
      <c r="J6045" s="7">
        <f>COUNTIF(Paper_Reference[Duplicate Key],Paper_Reference[[#This Row],[Duplicate Key]])</f>
        <v>1</v>
      </c>
    </row>
    <row r="6046" spans="1:10">
      <c r="A6046" s="7">
        <v>2</v>
      </c>
      <c r="B6046" s="8" t="s">
        <v>2823</v>
      </c>
      <c r="C6046" s="8" t="s">
        <v>2337</v>
      </c>
      <c r="D6046" s="7">
        <v>1</v>
      </c>
      <c r="E6046" s="7">
        <v>10</v>
      </c>
      <c r="F6046" s="7">
        <v>1</v>
      </c>
      <c r="G6046" s="8" t="s">
        <v>2144</v>
      </c>
      <c r="H6046" s="8" t="s">
        <v>1242</v>
      </c>
      <c r="I6046" s="7" t="str">
        <f>_xlfn.CONCAT(Paper_Reference[[#This Row],[Lvl]:[Paper Description]])</f>
        <v>2XJ8R0909SD580SWED EDMUNDS BHU N1.2 60 X 96110110000020-6200Premium Inkjet MPK 9653</v>
      </c>
      <c r="J6046" s="7">
        <f>COUNTIF(Paper_Reference[Duplicate Key],Paper_Reference[[#This Row],[Duplicate Key]])</f>
        <v>1</v>
      </c>
    </row>
    <row r="6047" spans="1:10">
      <c r="A6047" s="7">
        <v>2</v>
      </c>
      <c r="B6047" s="8" t="s">
        <v>2823</v>
      </c>
      <c r="C6047" s="8" t="s">
        <v>2337</v>
      </c>
      <c r="D6047" s="7">
        <v>1</v>
      </c>
      <c r="E6047" s="7">
        <v>10</v>
      </c>
      <c r="F6047" s="7">
        <v>2</v>
      </c>
      <c r="G6047" s="8" t="s">
        <v>5690</v>
      </c>
      <c r="H6047" s="8" t="s">
        <v>5691</v>
      </c>
      <c r="I6047" s="7" t="str">
        <f>_xlfn.CONCAT(Paper_Reference[[#This Row],[Lvl]:[Paper Description]])</f>
        <v>2XJ8R0909SD580SWED EDMUNDS BHU N1.2 60 X 961102100DS009-6200FROSTY WHITE</v>
      </c>
      <c r="J6047" s="7">
        <f>COUNTIF(Paper_Reference[Duplicate Key],Paper_Reference[[#This Row],[Duplicate Key]])</f>
        <v>1</v>
      </c>
    </row>
    <row r="6048" spans="1:10">
      <c r="A6048" s="7">
        <v>2</v>
      </c>
      <c r="B6048" s="8" t="s">
        <v>2054</v>
      </c>
      <c r="C6048" s="8" t="s">
        <v>1573</v>
      </c>
      <c r="D6048" s="7">
        <v>1</v>
      </c>
      <c r="E6048" s="7">
        <v>10</v>
      </c>
      <c r="F6048" s="7">
        <v>1</v>
      </c>
      <c r="G6048" s="8" t="s">
        <v>1241</v>
      </c>
      <c r="H6048" s="8" t="s">
        <v>1242</v>
      </c>
      <c r="I6048" s="7" t="str">
        <f>_xlfn.CONCAT(Paper_Reference[[#This Row],[Lvl]:[Paper Description]])</f>
        <v>2XJ8R0918SD400BSB HAMLIN WALL A 48 X 120110110000020-5000Premium Inkjet MPK 9653</v>
      </c>
      <c r="J6048" s="7">
        <f>COUNTIF(Paper_Reference[Duplicate Key],Paper_Reference[[#This Row],[Duplicate Key]])</f>
        <v>1</v>
      </c>
    </row>
    <row r="6049" spans="1:10">
      <c r="A6049" s="7">
        <v>2</v>
      </c>
      <c r="B6049" s="8" t="s">
        <v>2054</v>
      </c>
      <c r="C6049" s="8" t="s">
        <v>1573</v>
      </c>
      <c r="D6049" s="7">
        <v>1</v>
      </c>
      <c r="E6049" s="7">
        <v>10</v>
      </c>
      <c r="F6049" s="7">
        <v>2</v>
      </c>
      <c r="G6049" s="8" t="s">
        <v>6710</v>
      </c>
      <c r="H6049" s="8" t="s">
        <v>5691</v>
      </c>
      <c r="I6049" s="7" t="str">
        <f>_xlfn.CONCAT(Paper_Reference[[#This Row],[Lvl]:[Paper Description]])</f>
        <v>2XJ8R0918SD400BSB HAMLIN WALL A 48 X 1201102100DS009-5000FROSTY WHITE</v>
      </c>
      <c r="J6049" s="7">
        <f>COUNTIF(Paper_Reference[Duplicate Key],Paper_Reference[[#This Row],[Duplicate Key]])</f>
        <v>1</v>
      </c>
    </row>
    <row r="6050" spans="1:10">
      <c r="A6050" s="7">
        <v>2</v>
      </c>
      <c r="B6050" s="8" t="s">
        <v>2055</v>
      </c>
      <c r="C6050" s="8" t="s">
        <v>1574</v>
      </c>
      <c r="D6050" s="7">
        <v>1</v>
      </c>
      <c r="E6050" s="7">
        <v>10</v>
      </c>
      <c r="F6050" s="7">
        <v>1</v>
      </c>
      <c r="G6050" s="8" t="s">
        <v>1241</v>
      </c>
      <c r="H6050" s="8" t="s">
        <v>1242</v>
      </c>
      <c r="I6050" s="7" t="str">
        <f>_xlfn.CONCAT(Paper_Reference[[#This Row],[Lvl]:[Paper Description]])</f>
        <v>2XJ8R0919SD400BSB HAMLIN WALL B 48 X 120110110000020-5000Premium Inkjet MPK 9653</v>
      </c>
      <c r="J6050" s="7">
        <f>COUNTIF(Paper_Reference[Duplicate Key],Paper_Reference[[#This Row],[Duplicate Key]])</f>
        <v>1</v>
      </c>
    </row>
    <row r="6051" spans="1:10">
      <c r="A6051" s="7">
        <v>2</v>
      </c>
      <c r="B6051" s="8" t="s">
        <v>2055</v>
      </c>
      <c r="C6051" s="8" t="s">
        <v>1574</v>
      </c>
      <c r="D6051" s="7">
        <v>1</v>
      </c>
      <c r="E6051" s="7">
        <v>10</v>
      </c>
      <c r="F6051" s="7">
        <v>2</v>
      </c>
      <c r="G6051" s="8" t="s">
        <v>6710</v>
      </c>
      <c r="H6051" s="8" t="s">
        <v>5691</v>
      </c>
      <c r="I6051" s="7" t="str">
        <f>_xlfn.CONCAT(Paper_Reference[[#This Row],[Lvl]:[Paper Description]])</f>
        <v>2XJ8R0919SD400BSB HAMLIN WALL B 48 X 1201102100DS009-5000FROSTY WHITE</v>
      </c>
      <c r="J6051" s="7">
        <f>COUNTIF(Paper_Reference[Duplicate Key],Paper_Reference[[#This Row],[Duplicate Key]])</f>
        <v>1</v>
      </c>
    </row>
    <row r="6052" spans="1:10">
      <c r="A6052" s="7">
        <v>2</v>
      </c>
      <c r="B6052" s="8" t="s">
        <v>2056</v>
      </c>
      <c r="C6052" s="8" t="s">
        <v>1575</v>
      </c>
      <c r="D6052" s="7">
        <v>1</v>
      </c>
      <c r="E6052" s="7">
        <v>10</v>
      </c>
      <c r="F6052" s="7">
        <v>1</v>
      </c>
      <c r="G6052" s="8" t="s">
        <v>1241</v>
      </c>
      <c r="H6052" s="8" t="s">
        <v>1242</v>
      </c>
      <c r="I6052" s="7" t="str">
        <f>_xlfn.CONCAT(Paper_Reference[[#This Row],[Lvl]:[Paper Description]])</f>
        <v>2XJ8R0920SD400BSB HAMLIN WALL C 48 X 120110110000020-5000Premium Inkjet MPK 9653</v>
      </c>
      <c r="J6052" s="7">
        <f>COUNTIF(Paper_Reference[Duplicate Key],Paper_Reference[[#This Row],[Duplicate Key]])</f>
        <v>1</v>
      </c>
    </row>
    <row r="6053" spans="1:10">
      <c r="A6053" s="7">
        <v>2</v>
      </c>
      <c r="B6053" s="8" t="s">
        <v>2056</v>
      </c>
      <c r="C6053" s="8" t="s">
        <v>1575</v>
      </c>
      <c r="D6053" s="7">
        <v>1</v>
      </c>
      <c r="E6053" s="7">
        <v>10</v>
      </c>
      <c r="F6053" s="7">
        <v>2</v>
      </c>
      <c r="G6053" s="8" t="s">
        <v>6710</v>
      </c>
      <c r="H6053" s="8" t="s">
        <v>5691</v>
      </c>
      <c r="I6053" s="7" t="str">
        <f>_xlfn.CONCAT(Paper_Reference[[#This Row],[Lvl]:[Paper Description]])</f>
        <v>2XJ8R0920SD400BSB HAMLIN WALL C 48 X 1201102100DS009-5000FROSTY WHITE</v>
      </c>
      <c r="J6053" s="7">
        <f>COUNTIF(Paper_Reference[Duplicate Key],Paper_Reference[[#This Row],[Duplicate Key]])</f>
        <v>1</v>
      </c>
    </row>
    <row r="6054" spans="1:10">
      <c r="A6054" s="7">
        <v>2</v>
      </c>
      <c r="B6054" s="8" t="s">
        <v>2824</v>
      </c>
      <c r="C6054" s="8" t="s">
        <v>2338</v>
      </c>
      <c r="D6054" s="7">
        <v>1</v>
      </c>
      <c r="E6054" s="7">
        <v>10</v>
      </c>
      <c r="F6054" s="7">
        <v>1</v>
      </c>
      <c r="G6054" s="8" t="s">
        <v>2144</v>
      </c>
      <c r="H6054" s="8" t="s">
        <v>1242</v>
      </c>
      <c r="I6054" s="7" t="str">
        <f>_xlfn.CONCAT(Paper_Reference[[#This Row],[Lvl]:[Paper Description]])</f>
        <v>2XJ8R0921SD580ECMC ER BLUE ZONE 60 X 96110110000020-6200Premium Inkjet MPK 9653</v>
      </c>
      <c r="J6054" s="7">
        <f>COUNTIF(Paper_Reference[Duplicate Key],Paper_Reference[[#This Row],[Duplicate Key]])</f>
        <v>1</v>
      </c>
    </row>
    <row r="6055" spans="1:10">
      <c r="A6055" s="7">
        <v>2</v>
      </c>
      <c r="B6055" s="8" t="s">
        <v>2824</v>
      </c>
      <c r="C6055" s="8" t="s">
        <v>2338</v>
      </c>
      <c r="D6055" s="7">
        <v>1</v>
      </c>
      <c r="E6055" s="7">
        <v>10</v>
      </c>
      <c r="F6055" s="7">
        <v>2</v>
      </c>
      <c r="G6055" s="8" t="s">
        <v>5690</v>
      </c>
      <c r="H6055" s="8" t="s">
        <v>5691</v>
      </c>
      <c r="I6055" s="7" t="str">
        <f>_xlfn.CONCAT(Paper_Reference[[#This Row],[Lvl]:[Paper Description]])</f>
        <v>2XJ8R0921SD580ECMC ER BLUE ZONE 60 X 961102100DS009-6200FROSTY WHITE</v>
      </c>
      <c r="J6055" s="7">
        <f>COUNTIF(Paper_Reference[Duplicate Key],Paper_Reference[[#This Row],[Duplicate Key]])</f>
        <v>1</v>
      </c>
    </row>
    <row r="6056" spans="1:10">
      <c r="A6056" s="7">
        <v>2</v>
      </c>
      <c r="B6056" s="8" t="s">
        <v>2057</v>
      </c>
      <c r="C6056" s="8" t="s">
        <v>1576</v>
      </c>
      <c r="D6056" s="7">
        <v>1</v>
      </c>
      <c r="E6056" s="7">
        <v>10</v>
      </c>
      <c r="F6056" s="7">
        <v>1</v>
      </c>
      <c r="G6056" s="8" t="s">
        <v>1241</v>
      </c>
      <c r="H6056" s="8" t="s">
        <v>1242</v>
      </c>
      <c r="I6056" s="7" t="str">
        <f>_xlfn.CONCAT(Paper_Reference[[#This Row],[Lvl]:[Paper Description]])</f>
        <v>2XJ8R0922SD480ECMC ER TRAUMA COR 1 48 X 96110110000020-5000Premium Inkjet MPK 9653</v>
      </c>
      <c r="J6056" s="7">
        <f>COUNTIF(Paper_Reference[Duplicate Key],Paper_Reference[[#This Row],[Duplicate Key]])</f>
        <v>1</v>
      </c>
    </row>
    <row r="6057" spans="1:10">
      <c r="A6057" s="7">
        <v>2</v>
      </c>
      <c r="B6057" s="8" t="s">
        <v>2057</v>
      </c>
      <c r="C6057" s="8" t="s">
        <v>1576</v>
      </c>
      <c r="D6057" s="7">
        <v>1</v>
      </c>
      <c r="E6057" s="7">
        <v>10</v>
      </c>
      <c r="F6057" s="7">
        <v>2</v>
      </c>
      <c r="G6057" s="8" t="s">
        <v>6710</v>
      </c>
      <c r="H6057" s="8" t="s">
        <v>5691</v>
      </c>
      <c r="I6057" s="7" t="str">
        <f>_xlfn.CONCAT(Paper_Reference[[#This Row],[Lvl]:[Paper Description]])</f>
        <v>2XJ8R0922SD480ECMC ER TRAUMA COR 1 48 X 961102100DS009-5000FROSTY WHITE</v>
      </c>
      <c r="J6057" s="7">
        <f>COUNTIF(Paper_Reference[Duplicate Key],Paper_Reference[[#This Row],[Duplicate Key]])</f>
        <v>1</v>
      </c>
    </row>
    <row r="6058" spans="1:10">
      <c r="A6058" s="7">
        <v>2</v>
      </c>
      <c r="B6058" s="8" t="s">
        <v>2058</v>
      </c>
      <c r="C6058" s="8" t="s">
        <v>1577</v>
      </c>
      <c r="D6058" s="7">
        <v>1</v>
      </c>
      <c r="E6058" s="7">
        <v>10</v>
      </c>
      <c r="F6058" s="7">
        <v>1</v>
      </c>
      <c r="G6058" s="8" t="s">
        <v>1241</v>
      </c>
      <c r="H6058" s="8" t="s">
        <v>1242</v>
      </c>
      <c r="I6058" s="7" t="str">
        <f>_xlfn.CONCAT(Paper_Reference[[#This Row],[Lvl]:[Paper Description]])</f>
        <v>2XJ8R0923SD480ECMC ER TRAUMA COR 2 48 X 96110110000020-5000Premium Inkjet MPK 9653</v>
      </c>
      <c r="J6058" s="7">
        <f>COUNTIF(Paper_Reference[Duplicate Key],Paper_Reference[[#This Row],[Duplicate Key]])</f>
        <v>1</v>
      </c>
    </row>
    <row r="6059" spans="1:10">
      <c r="A6059" s="7">
        <v>2</v>
      </c>
      <c r="B6059" s="8" t="s">
        <v>2058</v>
      </c>
      <c r="C6059" s="8" t="s">
        <v>1577</v>
      </c>
      <c r="D6059" s="7">
        <v>1</v>
      </c>
      <c r="E6059" s="7">
        <v>10</v>
      </c>
      <c r="F6059" s="7">
        <v>2</v>
      </c>
      <c r="G6059" s="8" t="s">
        <v>6710</v>
      </c>
      <c r="H6059" s="8" t="s">
        <v>5691</v>
      </c>
      <c r="I6059" s="7" t="str">
        <f>_xlfn.CONCAT(Paper_Reference[[#This Row],[Lvl]:[Paper Description]])</f>
        <v>2XJ8R0923SD480ECMC ER TRAUMA COR 2 48 X 961102100DS009-5000FROSTY WHITE</v>
      </c>
      <c r="J6059" s="7">
        <f>COUNTIF(Paper_Reference[Duplicate Key],Paper_Reference[[#This Row],[Duplicate Key]])</f>
        <v>1</v>
      </c>
    </row>
    <row r="6060" spans="1:10">
      <c r="A6060" s="7">
        <v>2</v>
      </c>
      <c r="B6060" s="8" t="s">
        <v>2825</v>
      </c>
      <c r="C6060" s="8" t="s">
        <v>2339</v>
      </c>
      <c r="D6060" s="7">
        <v>1</v>
      </c>
      <c r="E6060" s="7">
        <v>10</v>
      </c>
      <c r="F6060" s="7">
        <v>1</v>
      </c>
      <c r="G6060" s="8" t="s">
        <v>2144</v>
      </c>
      <c r="H6060" s="8" t="s">
        <v>1242</v>
      </c>
      <c r="I6060" s="7" t="str">
        <f>_xlfn.CONCAT(Paper_Reference[[#This Row],[Lvl]:[Paper Description]])</f>
        <v>2XJ8R0924SD580ECMC ER GREEN ZONE 60 X 96110110000020-6200Premium Inkjet MPK 9653</v>
      </c>
      <c r="J6060" s="7">
        <f>COUNTIF(Paper_Reference[Duplicate Key],Paper_Reference[[#This Row],[Duplicate Key]])</f>
        <v>1</v>
      </c>
    </row>
    <row r="6061" spans="1:10">
      <c r="A6061" s="7">
        <v>2</v>
      </c>
      <c r="B6061" s="8" t="s">
        <v>2825</v>
      </c>
      <c r="C6061" s="8" t="s">
        <v>2339</v>
      </c>
      <c r="D6061" s="7">
        <v>1</v>
      </c>
      <c r="E6061" s="7">
        <v>10</v>
      </c>
      <c r="F6061" s="7">
        <v>2</v>
      </c>
      <c r="G6061" s="8" t="s">
        <v>5690</v>
      </c>
      <c r="H6061" s="8" t="s">
        <v>5691</v>
      </c>
      <c r="I6061" s="7" t="str">
        <f>_xlfn.CONCAT(Paper_Reference[[#This Row],[Lvl]:[Paper Description]])</f>
        <v>2XJ8R0924SD580ECMC ER GREEN ZONE 60 X 961102100DS009-6200FROSTY WHITE</v>
      </c>
      <c r="J6061" s="7">
        <f>COUNTIF(Paper_Reference[Duplicate Key],Paper_Reference[[#This Row],[Duplicate Key]])</f>
        <v>1</v>
      </c>
    </row>
    <row r="6062" spans="1:10">
      <c r="A6062" s="7">
        <v>2</v>
      </c>
      <c r="B6062" s="8" t="s">
        <v>2826</v>
      </c>
      <c r="C6062" s="8" t="s">
        <v>2340</v>
      </c>
      <c r="D6062" s="7">
        <v>1</v>
      </c>
      <c r="E6062" s="7">
        <v>10</v>
      </c>
      <c r="F6062" s="7">
        <v>1</v>
      </c>
      <c r="G6062" s="8" t="s">
        <v>2144</v>
      </c>
      <c r="H6062" s="8" t="s">
        <v>1242</v>
      </c>
      <c r="I6062" s="7" t="str">
        <f>_xlfn.CONCAT(Paper_Reference[[#This Row],[Lvl]:[Paper Description]])</f>
        <v>2XJ8R0925SD580ECMC ER ORANGE ZONE 60 X 96110110000020-6200Premium Inkjet MPK 9653</v>
      </c>
      <c r="J6062" s="7">
        <f>COUNTIF(Paper_Reference[Duplicate Key],Paper_Reference[[#This Row],[Duplicate Key]])</f>
        <v>1</v>
      </c>
    </row>
    <row r="6063" spans="1:10">
      <c r="A6063" s="7">
        <v>2</v>
      </c>
      <c r="B6063" s="8" t="s">
        <v>2826</v>
      </c>
      <c r="C6063" s="8" t="s">
        <v>2340</v>
      </c>
      <c r="D6063" s="7">
        <v>1</v>
      </c>
      <c r="E6063" s="7">
        <v>10</v>
      </c>
      <c r="F6063" s="7">
        <v>2</v>
      </c>
      <c r="G6063" s="8" t="s">
        <v>5690</v>
      </c>
      <c r="H6063" s="8" t="s">
        <v>5691</v>
      </c>
      <c r="I6063" s="7" t="str">
        <f>_xlfn.CONCAT(Paper_Reference[[#This Row],[Lvl]:[Paper Description]])</f>
        <v>2XJ8R0925SD580ECMC ER ORANGE ZONE 60 X 961102100DS009-6200FROSTY WHITE</v>
      </c>
      <c r="J6063" s="7">
        <f>COUNTIF(Paper_Reference[Duplicate Key],Paper_Reference[[#This Row],[Duplicate Key]])</f>
        <v>1</v>
      </c>
    </row>
    <row r="6064" spans="1:10">
      <c r="A6064" s="7">
        <v>2</v>
      </c>
      <c r="B6064" s="8" t="s">
        <v>2059</v>
      </c>
      <c r="C6064" s="8" t="s">
        <v>1578</v>
      </c>
      <c r="D6064" s="7">
        <v>1</v>
      </c>
      <c r="E6064" s="7">
        <v>10</v>
      </c>
      <c r="F6064" s="7">
        <v>1</v>
      </c>
      <c r="G6064" s="8" t="s">
        <v>1241</v>
      </c>
      <c r="H6064" s="8" t="s">
        <v>1242</v>
      </c>
      <c r="I6064" s="7" t="str">
        <f>_xlfn.CONCAT(Paper_Reference[[#This Row],[Lvl]:[Paper Description]])</f>
        <v>2XJ8R0926SD480ECMC ER L1 TRAUMA 48 X 96110110000020-5000Premium Inkjet MPK 9653</v>
      </c>
      <c r="J6064" s="7">
        <f>COUNTIF(Paper_Reference[Duplicate Key],Paper_Reference[[#This Row],[Duplicate Key]])</f>
        <v>1</v>
      </c>
    </row>
    <row r="6065" spans="1:10">
      <c r="A6065" s="7">
        <v>2</v>
      </c>
      <c r="B6065" s="8" t="s">
        <v>2059</v>
      </c>
      <c r="C6065" s="8" t="s">
        <v>1578</v>
      </c>
      <c r="D6065" s="7">
        <v>1</v>
      </c>
      <c r="E6065" s="7">
        <v>10</v>
      </c>
      <c r="F6065" s="7">
        <v>2</v>
      </c>
      <c r="G6065" s="8" t="s">
        <v>6710</v>
      </c>
      <c r="H6065" s="8" t="s">
        <v>5691</v>
      </c>
      <c r="I6065" s="7" t="str">
        <f>_xlfn.CONCAT(Paper_Reference[[#This Row],[Lvl]:[Paper Description]])</f>
        <v>2XJ8R0926SD480ECMC ER L1 TRAUMA 48 X 961102100DS009-5000FROSTY WHITE</v>
      </c>
      <c r="J6065" s="7">
        <f>COUNTIF(Paper_Reference[Duplicate Key],Paper_Reference[[#This Row],[Duplicate Key]])</f>
        <v>1</v>
      </c>
    </row>
    <row r="6066" spans="1:10">
      <c r="A6066" s="7">
        <v>2</v>
      </c>
      <c r="B6066" s="8" t="s">
        <v>2827</v>
      </c>
      <c r="C6066" s="8" t="s">
        <v>2341</v>
      </c>
      <c r="D6066" s="7">
        <v>1</v>
      </c>
      <c r="E6066" s="7">
        <v>10</v>
      </c>
      <c r="F6066" s="7">
        <v>1</v>
      </c>
      <c r="G6066" s="8" t="s">
        <v>2144</v>
      </c>
      <c r="H6066" s="8" t="s">
        <v>1242</v>
      </c>
      <c r="I6066" s="7" t="str">
        <f>_xlfn.CONCAT(Paper_Reference[[#This Row],[Lvl]:[Paper Description]])</f>
        <v>2XJ8R0927SD500ECMC ER IMAGING 60 X 120110110000020-6200Premium Inkjet MPK 9653</v>
      </c>
      <c r="J6066" s="7">
        <f>COUNTIF(Paper_Reference[Duplicate Key],Paper_Reference[[#This Row],[Duplicate Key]])</f>
        <v>1</v>
      </c>
    </row>
    <row r="6067" spans="1:10">
      <c r="A6067" s="7">
        <v>2</v>
      </c>
      <c r="B6067" s="8" t="s">
        <v>2827</v>
      </c>
      <c r="C6067" s="8" t="s">
        <v>2341</v>
      </c>
      <c r="D6067" s="7">
        <v>1</v>
      </c>
      <c r="E6067" s="7">
        <v>10</v>
      </c>
      <c r="F6067" s="7">
        <v>2</v>
      </c>
      <c r="G6067" s="8" t="s">
        <v>5690</v>
      </c>
      <c r="H6067" s="8" t="s">
        <v>5691</v>
      </c>
      <c r="I6067" s="7" t="str">
        <f>_xlfn.CONCAT(Paper_Reference[[#This Row],[Lvl]:[Paper Description]])</f>
        <v>2XJ8R0927SD500ECMC ER IMAGING 60 X 1201102100DS009-6200FROSTY WHITE</v>
      </c>
      <c r="J6067" s="7">
        <f>COUNTIF(Paper_Reference[Duplicate Key],Paper_Reference[[#This Row],[Duplicate Key]])</f>
        <v>1</v>
      </c>
    </row>
    <row r="6068" spans="1:10">
      <c r="A6068" s="7">
        <v>2</v>
      </c>
      <c r="B6068" s="8" t="s">
        <v>2828</v>
      </c>
      <c r="C6068" s="8" t="s">
        <v>2342</v>
      </c>
      <c r="D6068" s="7">
        <v>1</v>
      </c>
      <c r="E6068" s="7">
        <v>10</v>
      </c>
      <c r="F6068" s="7">
        <v>1</v>
      </c>
      <c r="G6068" s="8" t="s">
        <v>2144</v>
      </c>
      <c r="H6068" s="8" t="s">
        <v>1242</v>
      </c>
      <c r="I6068" s="7" t="str">
        <f>_xlfn.CONCAT(Paper_Reference[[#This Row],[Lvl]:[Paper Description]])</f>
        <v>2XJ8R0928SD500DIAGNOSTIC CARDIO 60 X 120110110000020-6200Premium Inkjet MPK 9653</v>
      </c>
      <c r="J6068" s="7">
        <f>COUNTIF(Paper_Reference[Duplicate Key],Paper_Reference[[#This Row],[Duplicate Key]])</f>
        <v>1</v>
      </c>
    </row>
    <row r="6069" spans="1:10">
      <c r="A6069" s="7">
        <v>2</v>
      </c>
      <c r="B6069" s="8" t="s">
        <v>2828</v>
      </c>
      <c r="C6069" s="8" t="s">
        <v>2342</v>
      </c>
      <c r="D6069" s="7">
        <v>1</v>
      </c>
      <c r="E6069" s="7">
        <v>10</v>
      </c>
      <c r="F6069" s="7">
        <v>2</v>
      </c>
      <c r="G6069" s="8" t="s">
        <v>5690</v>
      </c>
      <c r="H6069" s="8" t="s">
        <v>5691</v>
      </c>
      <c r="I6069" s="7" t="str">
        <f>_xlfn.CONCAT(Paper_Reference[[#This Row],[Lvl]:[Paper Description]])</f>
        <v>2XJ8R0928SD500DIAGNOSTIC CARDIO 60 X 1201102100DS009-6200FROSTY WHITE</v>
      </c>
      <c r="J6069" s="7">
        <f>COUNTIF(Paper_Reference[Duplicate Key],Paper_Reference[[#This Row],[Duplicate Key]])</f>
        <v>1</v>
      </c>
    </row>
    <row r="6070" spans="1:10">
      <c r="A6070" s="7">
        <v>2</v>
      </c>
      <c r="B6070" s="8" t="s">
        <v>2060</v>
      </c>
      <c r="C6070" s="8" t="s">
        <v>1579</v>
      </c>
      <c r="D6070" s="7">
        <v>1</v>
      </c>
      <c r="E6070" s="7">
        <v>10</v>
      </c>
      <c r="F6070" s="7">
        <v>1</v>
      </c>
      <c r="G6070" s="8" t="s">
        <v>1241</v>
      </c>
      <c r="H6070" s="8" t="s">
        <v>1242</v>
      </c>
      <c r="I6070" s="7" t="str">
        <f>_xlfn.CONCAT(Paper_Reference[[#This Row],[Lvl]:[Paper Description]])</f>
        <v>2XJ8R0929SD400CCHMC B4-MFM B4 48 X 120110110000020-5000Premium Inkjet MPK 9653</v>
      </c>
      <c r="J6070" s="7">
        <f>COUNTIF(Paper_Reference[Duplicate Key],Paper_Reference[[#This Row],[Duplicate Key]])</f>
        <v>1</v>
      </c>
    </row>
    <row r="6071" spans="1:10">
      <c r="A6071" s="7">
        <v>2</v>
      </c>
      <c r="B6071" s="8" t="s">
        <v>2060</v>
      </c>
      <c r="C6071" s="8" t="s">
        <v>1579</v>
      </c>
      <c r="D6071" s="7">
        <v>1</v>
      </c>
      <c r="E6071" s="7">
        <v>10</v>
      </c>
      <c r="F6071" s="7">
        <v>2</v>
      </c>
      <c r="G6071" s="8" t="s">
        <v>6710</v>
      </c>
      <c r="H6071" s="8" t="s">
        <v>5691</v>
      </c>
      <c r="I6071" s="7" t="str">
        <f>_xlfn.CONCAT(Paper_Reference[[#This Row],[Lvl]:[Paper Description]])</f>
        <v>2XJ8R0929SD400CCHMC B4-MFM B4 48 X 1201102100DS009-5000FROSTY WHITE</v>
      </c>
      <c r="J6071" s="7">
        <f>COUNTIF(Paper_Reference[Duplicate Key],Paper_Reference[[#This Row],[Duplicate Key]])</f>
        <v>1</v>
      </c>
    </row>
    <row r="6072" spans="1:10">
      <c r="A6072" s="7">
        <v>2</v>
      </c>
      <c r="B6072" s="8" t="s">
        <v>2829</v>
      </c>
      <c r="C6072" s="8" t="s">
        <v>2343</v>
      </c>
      <c r="D6072" s="7">
        <v>1</v>
      </c>
      <c r="E6072" s="7">
        <v>10</v>
      </c>
      <c r="F6072" s="7">
        <v>1</v>
      </c>
      <c r="G6072" s="8" t="s">
        <v>2144</v>
      </c>
      <c r="H6072" s="8" t="s">
        <v>1242</v>
      </c>
      <c r="I6072" s="7" t="str">
        <f>_xlfn.CONCAT(Paper_Reference[[#This Row],[Lvl]:[Paper Description]])</f>
        <v>2XJ8R0930SD580CCHMC B4-MFM WP4 60 X 96110110000020-6200Premium Inkjet MPK 9653</v>
      </c>
      <c r="J6072" s="7">
        <f>COUNTIF(Paper_Reference[Duplicate Key],Paper_Reference[[#This Row],[Duplicate Key]])</f>
        <v>1</v>
      </c>
    </row>
    <row r="6073" spans="1:10">
      <c r="A6073" s="7">
        <v>2</v>
      </c>
      <c r="B6073" s="8" t="s">
        <v>2829</v>
      </c>
      <c r="C6073" s="8" t="s">
        <v>2343</v>
      </c>
      <c r="D6073" s="7">
        <v>1</v>
      </c>
      <c r="E6073" s="7">
        <v>10</v>
      </c>
      <c r="F6073" s="7">
        <v>2</v>
      </c>
      <c r="G6073" s="8" t="s">
        <v>5690</v>
      </c>
      <c r="H6073" s="8" t="s">
        <v>5691</v>
      </c>
      <c r="I6073" s="7" t="str">
        <f>_xlfn.CONCAT(Paper_Reference[[#This Row],[Lvl]:[Paper Description]])</f>
        <v>2XJ8R0930SD580CCHMC B4-MFM WP4 60 X 961102100DS009-6200FROSTY WHITE</v>
      </c>
      <c r="J6073" s="7">
        <f>COUNTIF(Paper_Reference[Duplicate Key],Paper_Reference[[#This Row],[Duplicate Key]])</f>
        <v>1</v>
      </c>
    </row>
    <row r="6074" spans="1:10">
      <c r="A6074" s="7">
        <v>2</v>
      </c>
      <c r="B6074" s="8" t="s">
        <v>2061</v>
      </c>
      <c r="C6074" s="8" t="s">
        <v>1580</v>
      </c>
      <c r="D6074" s="7">
        <v>1</v>
      </c>
      <c r="E6074" s="7">
        <v>10</v>
      </c>
      <c r="F6074" s="7">
        <v>1</v>
      </c>
      <c r="G6074" s="8" t="s">
        <v>1241</v>
      </c>
      <c r="H6074" s="8" t="s">
        <v>1242</v>
      </c>
      <c r="I6074" s="7" t="str">
        <f>_xlfn.CONCAT(Paper_Reference[[#This Row],[Lvl]:[Paper Description]])</f>
        <v>2XJ8R0931SD300NORTON CHIR A 36 X 120110110000020-5000Premium Inkjet MPK 9653</v>
      </c>
      <c r="J6074" s="7">
        <f>COUNTIF(Paper_Reference[Duplicate Key],Paper_Reference[[#This Row],[Duplicate Key]])</f>
        <v>1</v>
      </c>
    </row>
    <row r="6075" spans="1:10">
      <c r="A6075" s="7">
        <v>2</v>
      </c>
      <c r="B6075" s="8" t="s">
        <v>2061</v>
      </c>
      <c r="C6075" s="8" t="s">
        <v>1580</v>
      </c>
      <c r="D6075" s="7">
        <v>1</v>
      </c>
      <c r="E6075" s="7">
        <v>10</v>
      </c>
      <c r="F6075" s="7">
        <v>2</v>
      </c>
      <c r="G6075" s="8" t="s">
        <v>6710</v>
      </c>
      <c r="H6075" s="8" t="s">
        <v>5691</v>
      </c>
      <c r="I6075" s="7" t="str">
        <f>_xlfn.CONCAT(Paper_Reference[[#This Row],[Lvl]:[Paper Description]])</f>
        <v>2XJ8R0931SD300NORTON CHIR A 36 X 1201102100DS009-5000FROSTY WHITE</v>
      </c>
      <c r="J6075" s="7">
        <f>COUNTIF(Paper_Reference[Duplicate Key],Paper_Reference[[#This Row],[Duplicate Key]])</f>
        <v>1</v>
      </c>
    </row>
    <row r="6076" spans="1:10">
      <c r="A6076" s="7">
        <v>2</v>
      </c>
      <c r="B6076" s="8" t="s">
        <v>2830</v>
      </c>
      <c r="C6076" s="8" t="s">
        <v>2344</v>
      </c>
      <c r="D6076" s="7">
        <v>1</v>
      </c>
      <c r="E6076" s="7">
        <v>10</v>
      </c>
      <c r="F6076" s="7">
        <v>1</v>
      </c>
      <c r="G6076" s="8" t="s">
        <v>2144</v>
      </c>
      <c r="H6076" s="8" t="s">
        <v>1242</v>
      </c>
      <c r="I6076" s="7" t="str">
        <f>_xlfn.CONCAT(Paper_Reference[[#This Row],[Lvl]:[Paper Description]])</f>
        <v>2XJ8R0932SD500NORTON CHIR B 60 X 120110110000020-6200Premium Inkjet MPK 9653</v>
      </c>
      <c r="J6076" s="7">
        <f>COUNTIF(Paper_Reference[Duplicate Key],Paper_Reference[[#This Row],[Duplicate Key]])</f>
        <v>1</v>
      </c>
    </row>
    <row r="6077" spans="1:10">
      <c r="A6077" s="7">
        <v>2</v>
      </c>
      <c r="B6077" s="8" t="s">
        <v>2830</v>
      </c>
      <c r="C6077" s="8" t="s">
        <v>2344</v>
      </c>
      <c r="D6077" s="7">
        <v>1</v>
      </c>
      <c r="E6077" s="7">
        <v>10</v>
      </c>
      <c r="F6077" s="7">
        <v>2</v>
      </c>
      <c r="G6077" s="8" t="s">
        <v>5690</v>
      </c>
      <c r="H6077" s="8" t="s">
        <v>5691</v>
      </c>
      <c r="I6077" s="7" t="str">
        <f>_xlfn.CONCAT(Paper_Reference[[#This Row],[Lvl]:[Paper Description]])</f>
        <v>2XJ8R0932SD500NORTON CHIR B 60 X 1201102100DS009-6200FROSTY WHITE</v>
      </c>
      <c r="J6077" s="7">
        <f>COUNTIF(Paper_Reference[Duplicate Key],Paper_Reference[[#This Row],[Duplicate Key]])</f>
        <v>1</v>
      </c>
    </row>
    <row r="6078" spans="1:10">
      <c r="A6078" s="7">
        <v>2</v>
      </c>
      <c r="B6078" s="8" t="s">
        <v>2062</v>
      </c>
      <c r="C6078" s="8" t="s">
        <v>1581</v>
      </c>
      <c r="D6078" s="7">
        <v>1</v>
      </c>
      <c r="E6078" s="7">
        <v>10</v>
      </c>
      <c r="F6078" s="7">
        <v>1</v>
      </c>
      <c r="G6078" s="8" t="s">
        <v>1241</v>
      </c>
      <c r="H6078" s="8" t="s">
        <v>1242</v>
      </c>
      <c r="I6078" s="7" t="str">
        <f>_xlfn.CONCAT(Paper_Reference[[#This Row],[Lvl]:[Paper Description]])</f>
        <v>2XJ8R0933SD480NORTON CHIR C1 48 X 96110110000020-5000Premium Inkjet MPK 9653</v>
      </c>
      <c r="J6078" s="7">
        <f>COUNTIF(Paper_Reference[Duplicate Key],Paper_Reference[[#This Row],[Duplicate Key]])</f>
        <v>1</v>
      </c>
    </row>
    <row r="6079" spans="1:10">
      <c r="A6079" s="7">
        <v>2</v>
      </c>
      <c r="B6079" s="8" t="s">
        <v>2062</v>
      </c>
      <c r="C6079" s="8" t="s">
        <v>1581</v>
      </c>
      <c r="D6079" s="7">
        <v>1</v>
      </c>
      <c r="E6079" s="7">
        <v>10</v>
      </c>
      <c r="F6079" s="7">
        <v>2</v>
      </c>
      <c r="G6079" s="8" t="s">
        <v>6710</v>
      </c>
      <c r="H6079" s="8" t="s">
        <v>5691</v>
      </c>
      <c r="I6079" s="7" t="str">
        <f>_xlfn.CONCAT(Paper_Reference[[#This Row],[Lvl]:[Paper Description]])</f>
        <v>2XJ8R0933SD480NORTON CHIR C1 48 X 961102100DS009-5000FROSTY WHITE</v>
      </c>
      <c r="J6079" s="7">
        <f>COUNTIF(Paper_Reference[Duplicate Key],Paper_Reference[[#This Row],[Duplicate Key]])</f>
        <v>1</v>
      </c>
    </row>
    <row r="6080" spans="1:10">
      <c r="A6080" s="7">
        <v>2</v>
      </c>
      <c r="B6080" s="8" t="s">
        <v>2063</v>
      </c>
      <c r="C6080" s="8" t="s">
        <v>1582</v>
      </c>
      <c r="D6080" s="7">
        <v>1</v>
      </c>
      <c r="E6080" s="7">
        <v>10</v>
      </c>
      <c r="F6080" s="7">
        <v>1</v>
      </c>
      <c r="G6080" s="8" t="s">
        <v>1241</v>
      </c>
      <c r="H6080" s="8" t="s">
        <v>1242</v>
      </c>
      <c r="I6080" s="7" t="str">
        <f>_xlfn.CONCAT(Paper_Reference[[#This Row],[Lvl]:[Paper Description]])</f>
        <v>2XJ8R0934SD380NORTON CHIR C2 36 X 96110110000020-5000Premium Inkjet MPK 9653</v>
      </c>
      <c r="J6080" s="7">
        <f>COUNTIF(Paper_Reference[Duplicate Key],Paper_Reference[[#This Row],[Duplicate Key]])</f>
        <v>1</v>
      </c>
    </row>
    <row r="6081" spans="1:10">
      <c r="A6081" s="7">
        <v>2</v>
      </c>
      <c r="B6081" s="8" t="s">
        <v>2063</v>
      </c>
      <c r="C6081" s="8" t="s">
        <v>1582</v>
      </c>
      <c r="D6081" s="7">
        <v>1</v>
      </c>
      <c r="E6081" s="7">
        <v>10</v>
      </c>
      <c r="F6081" s="7">
        <v>2</v>
      </c>
      <c r="G6081" s="8" t="s">
        <v>6710</v>
      </c>
      <c r="H6081" s="8" t="s">
        <v>5691</v>
      </c>
      <c r="I6081" s="7" t="str">
        <f>_xlfn.CONCAT(Paper_Reference[[#This Row],[Lvl]:[Paper Description]])</f>
        <v>2XJ8R0934SD380NORTON CHIR C2 36 X 961102100DS009-5000FROSTY WHITE</v>
      </c>
      <c r="J6081" s="7">
        <f>COUNTIF(Paper_Reference[Duplicate Key],Paper_Reference[[#This Row],[Duplicate Key]])</f>
        <v>1</v>
      </c>
    </row>
    <row r="6082" spans="1:10">
      <c r="A6082" s="7">
        <v>2</v>
      </c>
      <c r="B6082" s="8" t="s">
        <v>2064</v>
      </c>
      <c r="C6082" s="8" t="s">
        <v>1583</v>
      </c>
      <c r="D6082" s="7">
        <v>1</v>
      </c>
      <c r="E6082" s="7">
        <v>10</v>
      </c>
      <c r="F6082" s="7">
        <v>1</v>
      </c>
      <c r="G6082" s="8" t="s">
        <v>1241</v>
      </c>
      <c r="H6082" s="8" t="s">
        <v>1242</v>
      </c>
      <c r="I6082" s="7" t="str">
        <f>_xlfn.CONCAT(Paper_Reference[[#This Row],[Lvl]:[Paper Description]])</f>
        <v>2XJ8R0935SD380NORTON CHIR D 36 X 96110110000020-5000Premium Inkjet MPK 9653</v>
      </c>
      <c r="J6082" s="7">
        <f>COUNTIF(Paper_Reference[Duplicate Key],Paper_Reference[[#This Row],[Duplicate Key]])</f>
        <v>1</v>
      </c>
    </row>
    <row r="6083" spans="1:10">
      <c r="A6083" s="7">
        <v>2</v>
      </c>
      <c r="B6083" s="8" t="s">
        <v>2064</v>
      </c>
      <c r="C6083" s="8" t="s">
        <v>1583</v>
      </c>
      <c r="D6083" s="7">
        <v>1</v>
      </c>
      <c r="E6083" s="7">
        <v>10</v>
      </c>
      <c r="F6083" s="7">
        <v>2</v>
      </c>
      <c r="G6083" s="8" t="s">
        <v>6710</v>
      </c>
      <c r="H6083" s="8" t="s">
        <v>5691</v>
      </c>
      <c r="I6083" s="7" t="str">
        <f>_xlfn.CONCAT(Paper_Reference[[#This Row],[Lvl]:[Paper Description]])</f>
        <v>2XJ8R0935SD380NORTON CHIR D 36 X 961102100DS009-5000FROSTY WHITE</v>
      </c>
      <c r="J6083" s="7">
        <f>COUNTIF(Paper_Reference[Duplicate Key],Paper_Reference[[#This Row],[Duplicate Key]])</f>
        <v>1</v>
      </c>
    </row>
    <row r="6084" spans="1:10">
      <c r="A6084" s="7">
        <v>2</v>
      </c>
      <c r="B6084" s="8" t="s">
        <v>2065</v>
      </c>
      <c r="C6084" s="8" t="s">
        <v>1584</v>
      </c>
      <c r="D6084" s="7">
        <v>1</v>
      </c>
      <c r="E6084" s="7">
        <v>10</v>
      </c>
      <c r="F6084" s="7">
        <v>1</v>
      </c>
      <c r="G6084" s="8" t="s">
        <v>1241</v>
      </c>
      <c r="H6084" s="8" t="s">
        <v>1242</v>
      </c>
      <c r="I6084" s="7" t="str">
        <f>_xlfn.CONCAT(Paper_Reference[[#This Row],[Lvl]:[Paper Description]])</f>
        <v>2XJ8R0936SD480NORTON CHIR E 48 X 96110110000020-5000Premium Inkjet MPK 9653</v>
      </c>
      <c r="J6084" s="7">
        <f>COUNTIF(Paper_Reference[Duplicate Key],Paper_Reference[[#This Row],[Duplicate Key]])</f>
        <v>1</v>
      </c>
    </row>
    <row r="6085" spans="1:10">
      <c r="A6085" s="7">
        <v>2</v>
      </c>
      <c r="B6085" s="8" t="s">
        <v>2065</v>
      </c>
      <c r="C6085" s="8" t="s">
        <v>1584</v>
      </c>
      <c r="D6085" s="7">
        <v>1</v>
      </c>
      <c r="E6085" s="7">
        <v>10</v>
      </c>
      <c r="F6085" s="7">
        <v>2</v>
      </c>
      <c r="G6085" s="8" t="s">
        <v>6710</v>
      </c>
      <c r="H6085" s="8" t="s">
        <v>5691</v>
      </c>
      <c r="I6085" s="7" t="str">
        <f>_xlfn.CONCAT(Paper_Reference[[#This Row],[Lvl]:[Paper Description]])</f>
        <v>2XJ8R0936SD480NORTON CHIR E 48 X 961102100DS009-5000FROSTY WHITE</v>
      </c>
      <c r="J6085" s="7">
        <f>COUNTIF(Paper_Reference[Duplicate Key],Paper_Reference[[#This Row],[Duplicate Key]])</f>
        <v>1</v>
      </c>
    </row>
    <row r="6086" spans="1:10">
      <c r="A6086" s="7">
        <v>2</v>
      </c>
      <c r="B6086" s="8" t="s">
        <v>2066</v>
      </c>
      <c r="C6086" s="8" t="s">
        <v>1585</v>
      </c>
      <c r="D6086" s="7">
        <v>1</v>
      </c>
      <c r="E6086" s="7">
        <v>10</v>
      </c>
      <c r="F6086" s="7">
        <v>1</v>
      </c>
      <c r="G6086" s="8" t="s">
        <v>1241</v>
      </c>
      <c r="H6086" s="8" t="s">
        <v>1242</v>
      </c>
      <c r="I6086" s="7" t="str">
        <f>_xlfn.CONCAT(Paper_Reference[[#This Row],[Lvl]:[Paper Description]])</f>
        <v>2XJ8R0937SD480CARSON MIDDLE - ARCH 48 X 96110110000020-5000Premium Inkjet MPK 9653</v>
      </c>
      <c r="J6086" s="7">
        <f>COUNTIF(Paper_Reference[Duplicate Key],Paper_Reference[[#This Row],[Duplicate Key]])</f>
        <v>1</v>
      </c>
    </row>
    <row r="6087" spans="1:10">
      <c r="A6087" s="7">
        <v>2</v>
      </c>
      <c r="B6087" s="8" t="s">
        <v>2066</v>
      </c>
      <c r="C6087" s="8" t="s">
        <v>1585</v>
      </c>
      <c r="D6087" s="7">
        <v>1</v>
      </c>
      <c r="E6087" s="7">
        <v>10</v>
      </c>
      <c r="F6087" s="7">
        <v>2</v>
      </c>
      <c r="G6087" s="8" t="s">
        <v>6710</v>
      </c>
      <c r="H6087" s="8" t="s">
        <v>5691</v>
      </c>
      <c r="I6087" s="7" t="str">
        <f>_xlfn.CONCAT(Paper_Reference[[#This Row],[Lvl]:[Paper Description]])</f>
        <v>2XJ8R0937SD480CARSON MIDDLE - ARCH 48 X 961102100DS009-5000FROSTY WHITE</v>
      </c>
      <c r="J6087" s="7">
        <f>COUNTIF(Paper_Reference[Duplicate Key],Paper_Reference[[#This Row],[Duplicate Key]])</f>
        <v>1</v>
      </c>
    </row>
    <row r="6088" spans="1:10">
      <c r="A6088" s="7">
        <v>2</v>
      </c>
      <c r="B6088" s="8" t="s">
        <v>2831</v>
      </c>
      <c r="C6088" s="8" t="s">
        <v>2345</v>
      </c>
      <c r="D6088" s="7">
        <v>1</v>
      </c>
      <c r="E6088" s="7">
        <v>10</v>
      </c>
      <c r="F6088" s="7">
        <v>1</v>
      </c>
      <c r="G6088" s="8" t="s">
        <v>2144</v>
      </c>
      <c r="H6088" s="8" t="s">
        <v>1242</v>
      </c>
      <c r="I6088" s="7" t="str">
        <f>_xlfn.CONCAT(Paper_Reference[[#This Row],[Lvl]:[Paper Description]])</f>
        <v>2XJ8R0938SD580CARSON MIDDLE - ROVER 60 X 96110110000020-6200Premium Inkjet MPK 9653</v>
      </c>
      <c r="J6088" s="7">
        <f>COUNTIF(Paper_Reference[Duplicate Key],Paper_Reference[[#This Row],[Duplicate Key]])</f>
        <v>1</v>
      </c>
    </row>
    <row r="6089" spans="1:10">
      <c r="A6089" s="7">
        <v>2</v>
      </c>
      <c r="B6089" s="8" t="s">
        <v>2831</v>
      </c>
      <c r="C6089" s="8" t="s">
        <v>2345</v>
      </c>
      <c r="D6089" s="7">
        <v>1</v>
      </c>
      <c r="E6089" s="7">
        <v>10</v>
      </c>
      <c r="F6089" s="7">
        <v>2</v>
      </c>
      <c r="G6089" s="8" t="s">
        <v>5690</v>
      </c>
      <c r="H6089" s="8" t="s">
        <v>5691</v>
      </c>
      <c r="I6089" s="7" t="str">
        <f>_xlfn.CONCAT(Paper_Reference[[#This Row],[Lvl]:[Paper Description]])</f>
        <v>2XJ8R0938SD580CARSON MIDDLE - ROVER 60 X 961102100DS009-6200FROSTY WHITE</v>
      </c>
      <c r="J6089" s="7">
        <f>COUNTIF(Paper_Reference[Duplicate Key],Paper_Reference[[#This Row],[Duplicate Key]])</f>
        <v>1</v>
      </c>
    </row>
    <row r="6090" spans="1:10">
      <c r="A6090" s="7">
        <v>2</v>
      </c>
      <c r="B6090" s="8" t="s">
        <v>2832</v>
      </c>
      <c r="C6090" s="8" t="s">
        <v>2346</v>
      </c>
      <c r="D6090" s="7">
        <v>1</v>
      </c>
      <c r="E6090" s="7">
        <v>10</v>
      </c>
      <c r="F6090" s="7">
        <v>1</v>
      </c>
      <c r="G6090" s="8" t="s">
        <v>2144</v>
      </c>
      <c r="H6090" s="8" t="s">
        <v>1242</v>
      </c>
      <c r="I6090" s="7" t="str">
        <f>_xlfn.CONCAT(Paper_Reference[[#This Row],[Lvl]:[Paper Description]])</f>
        <v>2XJ8R0939SD500FRL MLHS WAVELENGTH  60 X 120110110000020-6200Premium Inkjet MPK 9653</v>
      </c>
      <c r="J6090" s="7">
        <f>COUNTIF(Paper_Reference[Duplicate Key],Paper_Reference[[#This Row],[Duplicate Key]])</f>
        <v>1</v>
      </c>
    </row>
    <row r="6091" spans="1:10">
      <c r="A6091" s="7">
        <v>2</v>
      </c>
      <c r="B6091" s="8" t="s">
        <v>2832</v>
      </c>
      <c r="C6091" s="8" t="s">
        <v>2346</v>
      </c>
      <c r="D6091" s="7">
        <v>1</v>
      </c>
      <c r="E6091" s="7">
        <v>10</v>
      </c>
      <c r="F6091" s="7">
        <v>2</v>
      </c>
      <c r="G6091" s="8" t="s">
        <v>5690</v>
      </c>
      <c r="H6091" s="8" t="s">
        <v>5691</v>
      </c>
      <c r="I6091" s="7" t="str">
        <f>_xlfn.CONCAT(Paper_Reference[[#This Row],[Lvl]:[Paper Description]])</f>
        <v>2XJ8R0939SD500FRL MLHS WAVELENGTH  60 X 1201102100DS009-6200FROSTY WHITE</v>
      </c>
      <c r="J6091" s="7">
        <f>COUNTIF(Paper_Reference[Duplicate Key],Paper_Reference[[#This Row],[Duplicate Key]])</f>
        <v>1</v>
      </c>
    </row>
    <row r="6092" spans="1:10">
      <c r="A6092" s="7">
        <v>2</v>
      </c>
      <c r="B6092" s="8" t="s">
        <v>2067</v>
      </c>
      <c r="C6092" s="8" t="s">
        <v>1586</v>
      </c>
      <c r="D6092" s="7">
        <v>1</v>
      </c>
      <c r="E6092" s="7">
        <v>10</v>
      </c>
      <c r="F6092" s="7">
        <v>1</v>
      </c>
      <c r="G6092" s="8" t="s">
        <v>1241</v>
      </c>
      <c r="H6092" s="8" t="s">
        <v>1242</v>
      </c>
      <c r="I6092" s="7" t="str">
        <f>_xlfn.CONCAT(Paper_Reference[[#This Row],[Lvl]:[Paper Description]])</f>
        <v>2XJ8R0943SD480FORT NELSON WALL PANEL 48 X 96110110000020-5000Premium Inkjet MPK 9653</v>
      </c>
      <c r="J6092" s="7">
        <f>COUNTIF(Paper_Reference[Duplicate Key],Paper_Reference[[#This Row],[Duplicate Key]])</f>
        <v>1</v>
      </c>
    </row>
    <row r="6093" spans="1:10">
      <c r="A6093" s="7">
        <v>2</v>
      </c>
      <c r="B6093" s="8" t="s">
        <v>2067</v>
      </c>
      <c r="C6093" s="8" t="s">
        <v>1586</v>
      </c>
      <c r="D6093" s="7">
        <v>1</v>
      </c>
      <c r="E6093" s="7">
        <v>10</v>
      </c>
      <c r="F6093" s="7">
        <v>2</v>
      </c>
      <c r="G6093" s="8" t="s">
        <v>6710</v>
      </c>
      <c r="H6093" s="8" t="s">
        <v>5691</v>
      </c>
      <c r="I6093" s="7" t="str">
        <f>_xlfn.CONCAT(Paper_Reference[[#This Row],[Lvl]:[Paper Description]])</f>
        <v>2XJ8R0943SD480FORT NELSON WALL PANEL 48 X 961102100DS009-5000FROSTY WHITE</v>
      </c>
      <c r="J6093" s="7">
        <f>COUNTIF(Paper_Reference[Duplicate Key],Paper_Reference[[#This Row],[Duplicate Key]])</f>
        <v>1</v>
      </c>
    </row>
    <row r="6094" spans="1:10">
      <c r="A6094" s="7">
        <v>2</v>
      </c>
      <c r="B6094" s="8" t="s">
        <v>2068</v>
      </c>
      <c r="C6094" s="8" t="s">
        <v>1587</v>
      </c>
      <c r="D6094" s="7">
        <v>1</v>
      </c>
      <c r="E6094" s="7">
        <v>10</v>
      </c>
      <c r="F6094" s="7">
        <v>1</v>
      </c>
      <c r="G6094" s="8" t="s">
        <v>1241</v>
      </c>
      <c r="H6094" s="8" t="s">
        <v>1242</v>
      </c>
      <c r="I6094" s="7" t="str">
        <f>_xlfn.CONCAT(Paper_Reference[[#This Row],[Lvl]:[Paper Description]])</f>
        <v>2XJ8R0949SD400EID CROWN COLONY ELEV 48X120110110000020-5000Premium Inkjet MPK 9653</v>
      </c>
      <c r="J6094" s="7">
        <f>COUNTIF(Paper_Reference[Duplicate Key],Paper_Reference[[#This Row],[Duplicate Key]])</f>
        <v>1</v>
      </c>
    </row>
    <row r="6095" spans="1:10">
      <c r="A6095" s="7">
        <v>2</v>
      </c>
      <c r="B6095" s="8" t="s">
        <v>2068</v>
      </c>
      <c r="C6095" s="8" t="s">
        <v>1587</v>
      </c>
      <c r="D6095" s="7">
        <v>1</v>
      </c>
      <c r="E6095" s="7">
        <v>10</v>
      </c>
      <c r="F6095" s="7">
        <v>2</v>
      </c>
      <c r="G6095" s="8" t="s">
        <v>6710</v>
      </c>
      <c r="H6095" s="8" t="s">
        <v>5691</v>
      </c>
      <c r="I6095" s="7" t="str">
        <f>_xlfn.CONCAT(Paper_Reference[[#This Row],[Lvl]:[Paper Description]])</f>
        <v>2XJ8R0949SD400EID CROWN COLONY ELEV 48X1201102100DS009-5000FROSTY WHITE</v>
      </c>
      <c r="J6095" s="7">
        <f>COUNTIF(Paper_Reference[Duplicate Key],Paper_Reference[[#This Row],[Duplicate Key]])</f>
        <v>1</v>
      </c>
    </row>
    <row r="6096" spans="1:10">
      <c r="A6096" s="7">
        <v>2</v>
      </c>
      <c r="B6096" s="8" t="s">
        <v>2833</v>
      </c>
      <c r="C6096" s="8" t="s">
        <v>2347</v>
      </c>
      <c r="D6096" s="7">
        <v>1</v>
      </c>
      <c r="E6096" s="7">
        <v>10</v>
      </c>
      <c r="F6096" s="7">
        <v>1</v>
      </c>
      <c r="G6096" s="8" t="s">
        <v>2144</v>
      </c>
      <c r="H6096" s="8" t="s">
        <v>1242</v>
      </c>
      <c r="I6096" s="7" t="str">
        <f>_xlfn.CONCAT(Paper_Reference[[#This Row],[Lvl]:[Paper Description]])</f>
        <v>2XJ8R0950SD500MMS B111 GRAY 60 X 120110110000020-6200Premium Inkjet MPK 9653</v>
      </c>
      <c r="J6096" s="7">
        <f>COUNTIF(Paper_Reference[Duplicate Key],Paper_Reference[[#This Row],[Duplicate Key]])</f>
        <v>1</v>
      </c>
    </row>
    <row r="6097" spans="1:10">
      <c r="A6097" s="7">
        <v>2</v>
      </c>
      <c r="B6097" s="8" t="s">
        <v>2833</v>
      </c>
      <c r="C6097" s="8" t="s">
        <v>2347</v>
      </c>
      <c r="D6097" s="7">
        <v>1</v>
      </c>
      <c r="E6097" s="7">
        <v>10</v>
      </c>
      <c r="F6097" s="7">
        <v>2</v>
      </c>
      <c r="G6097" s="8" t="s">
        <v>5690</v>
      </c>
      <c r="H6097" s="8" t="s">
        <v>5691</v>
      </c>
      <c r="I6097" s="7" t="str">
        <f>_xlfn.CONCAT(Paper_Reference[[#This Row],[Lvl]:[Paper Description]])</f>
        <v>2XJ8R0950SD500MMS B111 GRAY 60 X 1201102100DS009-6200FROSTY WHITE</v>
      </c>
      <c r="J6097" s="7">
        <f>COUNTIF(Paper_Reference[Duplicate Key],Paper_Reference[[#This Row],[Duplicate Key]])</f>
        <v>1</v>
      </c>
    </row>
    <row r="6098" spans="1:10">
      <c r="A6098" s="7">
        <v>2</v>
      </c>
      <c r="B6098" s="8" t="s">
        <v>2834</v>
      </c>
      <c r="C6098" s="8" t="s">
        <v>2348</v>
      </c>
      <c r="D6098" s="7">
        <v>1</v>
      </c>
      <c r="E6098" s="7">
        <v>10</v>
      </c>
      <c r="F6098" s="7">
        <v>1</v>
      </c>
      <c r="G6098" s="8" t="s">
        <v>2144</v>
      </c>
      <c r="H6098" s="8" t="s">
        <v>1242</v>
      </c>
      <c r="I6098" s="7" t="str">
        <f>_xlfn.CONCAT(Paper_Reference[[#This Row],[Lvl]:[Paper Description]])</f>
        <v>2XJ8R0951SD500MMS C-133-N BLACK 60 X 120110110000020-6200Premium Inkjet MPK 9653</v>
      </c>
      <c r="J6098" s="7">
        <f>COUNTIF(Paper_Reference[Duplicate Key],Paper_Reference[[#This Row],[Duplicate Key]])</f>
        <v>1</v>
      </c>
    </row>
    <row r="6099" spans="1:10">
      <c r="A6099" s="7">
        <v>2</v>
      </c>
      <c r="B6099" s="8" t="s">
        <v>2834</v>
      </c>
      <c r="C6099" s="8" t="s">
        <v>2348</v>
      </c>
      <c r="D6099" s="7">
        <v>1</v>
      </c>
      <c r="E6099" s="7">
        <v>10</v>
      </c>
      <c r="F6099" s="7">
        <v>2</v>
      </c>
      <c r="G6099" s="8" t="s">
        <v>5690</v>
      </c>
      <c r="H6099" s="8" t="s">
        <v>5691</v>
      </c>
      <c r="I6099" s="7" t="str">
        <f>_xlfn.CONCAT(Paper_Reference[[#This Row],[Lvl]:[Paper Description]])</f>
        <v>2XJ8R0951SD500MMS C-133-N BLACK 60 X 1201102100DS009-6200FROSTY WHITE</v>
      </c>
      <c r="J6099" s="7">
        <f>COUNTIF(Paper_Reference[Duplicate Key],Paper_Reference[[#This Row],[Duplicate Key]])</f>
        <v>1</v>
      </c>
    </row>
    <row r="6100" spans="1:10">
      <c r="A6100" s="7">
        <v>2</v>
      </c>
      <c r="B6100" s="8" t="s">
        <v>2835</v>
      </c>
      <c r="C6100" s="8" t="s">
        <v>2349</v>
      </c>
      <c r="D6100" s="7">
        <v>1</v>
      </c>
      <c r="E6100" s="7">
        <v>10</v>
      </c>
      <c r="F6100" s="7">
        <v>1</v>
      </c>
      <c r="G6100" s="8" t="s">
        <v>2144</v>
      </c>
      <c r="H6100" s="8" t="s">
        <v>1242</v>
      </c>
      <c r="I6100" s="7" t="str">
        <f>_xlfn.CONCAT(Paper_Reference[[#This Row],[Lvl]:[Paper Description]])</f>
        <v>2XJ8R0952SD500MMS C-133-N RED 60 X 120110110000020-6200Premium Inkjet MPK 9653</v>
      </c>
      <c r="J6100" s="7">
        <f>COUNTIF(Paper_Reference[Duplicate Key],Paper_Reference[[#This Row],[Duplicate Key]])</f>
        <v>1</v>
      </c>
    </row>
    <row r="6101" spans="1:10">
      <c r="A6101" s="7">
        <v>2</v>
      </c>
      <c r="B6101" s="8" t="s">
        <v>2835</v>
      </c>
      <c r="C6101" s="8" t="s">
        <v>2349</v>
      </c>
      <c r="D6101" s="7">
        <v>1</v>
      </c>
      <c r="E6101" s="7">
        <v>10</v>
      </c>
      <c r="F6101" s="7">
        <v>2</v>
      </c>
      <c r="G6101" s="8" t="s">
        <v>5690</v>
      </c>
      <c r="H6101" s="8" t="s">
        <v>5691</v>
      </c>
      <c r="I6101" s="7" t="str">
        <f>_xlfn.CONCAT(Paper_Reference[[#This Row],[Lvl]:[Paper Description]])</f>
        <v>2XJ8R0952SD500MMS C-133-N RED 60 X 1201102100DS009-6200FROSTY WHITE</v>
      </c>
      <c r="J6101" s="7">
        <f>COUNTIF(Paper_Reference[Duplicate Key],Paper_Reference[[#This Row],[Duplicate Key]])</f>
        <v>1</v>
      </c>
    </row>
    <row r="6102" spans="1:10">
      <c r="A6102" s="7">
        <v>2</v>
      </c>
      <c r="B6102" s="8" t="s">
        <v>2836</v>
      </c>
      <c r="C6102" s="8" t="s">
        <v>2350</v>
      </c>
      <c r="D6102" s="7">
        <v>1</v>
      </c>
      <c r="E6102" s="7">
        <v>10</v>
      </c>
      <c r="F6102" s="7">
        <v>1</v>
      </c>
      <c r="G6102" s="8" t="s">
        <v>2144</v>
      </c>
      <c r="H6102" s="8" t="s">
        <v>1242</v>
      </c>
      <c r="I6102" s="7" t="str">
        <f>_xlfn.CONCAT(Paper_Reference[[#This Row],[Lvl]:[Paper Description]])</f>
        <v>2XJ8R0953SD500MMS C-208-N BLACK 60 X 120110110000020-6200Premium Inkjet MPK 9653</v>
      </c>
      <c r="J6102" s="7">
        <f>COUNTIF(Paper_Reference[Duplicate Key],Paper_Reference[[#This Row],[Duplicate Key]])</f>
        <v>1</v>
      </c>
    </row>
    <row r="6103" spans="1:10">
      <c r="A6103" s="7">
        <v>2</v>
      </c>
      <c r="B6103" s="8" t="s">
        <v>2836</v>
      </c>
      <c r="C6103" s="8" t="s">
        <v>2350</v>
      </c>
      <c r="D6103" s="7">
        <v>1</v>
      </c>
      <c r="E6103" s="7">
        <v>10</v>
      </c>
      <c r="F6103" s="7">
        <v>2</v>
      </c>
      <c r="G6103" s="8" t="s">
        <v>5690</v>
      </c>
      <c r="H6103" s="8" t="s">
        <v>5691</v>
      </c>
      <c r="I6103" s="7" t="str">
        <f>_xlfn.CONCAT(Paper_Reference[[#This Row],[Lvl]:[Paper Description]])</f>
        <v>2XJ8R0953SD500MMS C-208-N BLACK 60 X 1201102100DS009-6200FROSTY WHITE</v>
      </c>
      <c r="J6103" s="7">
        <f>COUNTIF(Paper_Reference[Duplicate Key],Paper_Reference[[#This Row],[Duplicate Key]])</f>
        <v>1</v>
      </c>
    </row>
    <row r="6104" spans="1:10">
      <c r="A6104" s="7">
        <v>2</v>
      </c>
      <c r="B6104" s="8" t="s">
        <v>2837</v>
      </c>
      <c r="C6104" s="8" t="s">
        <v>2351</v>
      </c>
      <c r="D6104" s="7">
        <v>1</v>
      </c>
      <c r="E6104" s="7">
        <v>10</v>
      </c>
      <c r="F6104" s="7">
        <v>1</v>
      </c>
      <c r="G6104" s="8" t="s">
        <v>2144</v>
      </c>
      <c r="H6104" s="8" t="s">
        <v>1242</v>
      </c>
      <c r="I6104" s="7" t="str">
        <f>_xlfn.CONCAT(Paper_Reference[[#This Row],[Lvl]:[Paper Description]])</f>
        <v>2XJ8R0954SD500MMS C-208-N RED 60 X 120110110000020-6200Premium Inkjet MPK 9653</v>
      </c>
      <c r="J6104" s="7">
        <f>COUNTIF(Paper_Reference[Duplicate Key],Paper_Reference[[#This Row],[Duplicate Key]])</f>
        <v>1</v>
      </c>
    </row>
    <row r="6105" spans="1:10">
      <c r="A6105" s="7">
        <v>2</v>
      </c>
      <c r="B6105" s="8" t="s">
        <v>2837</v>
      </c>
      <c r="C6105" s="8" t="s">
        <v>2351</v>
      </c>
      <c r="D6105" s="7">
        <v>1</v>
      </c>
      <c r="E6105" s="7">
        <v>10</v>
      </c>
      <c r="F6105" s="7">
        <v>2</v>
      </c>
      <c r="G6105" s="8" t="s">
        <v>5690</v>
      </c>
      <c r="H6105" s="8" t="s">
        <v>5691</v>
      </c>
      <c r="I6105" s="7" t="str">
        <f>_xlfn.CONCAT(Paper_Reference[[#This Row],[Lvl]:[Paper Description]])</f>
        <v>2XJ8R0954SD500MMS C-208-N RED 60 X 1201102100DS009-6200FROSTY WHITE</v>
      </c>
      <c r="J6105" s="7">
        <f>COUNTIF(Paper_Reference[Duplicate Key],Paper_Reference[[#This Row],[Duplicate Key]])</f>
        <v>1</v>
      </c>
    </row>
    <row r="6106" spans="1:10">
      <c r="A6106" s="7">
        <v>2</v>
      </c>
      <c r="B6106" s="8" t="s">
        <v>2838</v>
      </c>
      <c r="C6106" s="8" t="s">
        <v>2352</v>
      </c>
      <c r="D6106" s="7">
        <v>1</v>
      </c>
      <c r="E6106" s="7">
        <v>10</v>
      </c>
      <c r="F6106" s="7">
        <v>1</v>
      </c>
      <c r="G6106" s="8" t="s">
        <v>2144</v>
      </c>
      <c r="H6106" s="8" t="s">
        <v>1242</v>
      </c>
      <c r="I6106" s="7" t="str">
        <f>_xlfn.CONCAT(Paper_Reference[[#This Row],[Lvl]:[Paper Description]])</f>
        <v>2XJ8R0955SD500MMS B111 RED 60 X 120110110000020-6200Premium Inkjet MPK 9653</v>
      </c>
      <c r="J6106" s="7">
        <f>COUNTIF(Paper_Reference[Duplicate Key],Paper_Reference[[#This Row],[Duplicate Key]])</f>
        <v>1</v>
      </c>
    </row>
    <row r="6107" spans="1:10">
      <c r="A6107" s="7">
        <v>2</v>
      </c>
      <c r="B6107" s="8" t="s">
        <v>2838</v>
      </c>
      <c r="C6107" s="8" t="s">
        <v>2352</v>
      </c>
      <c r="D6107" s="7">
        <v>1</v>
      </c>
      <c r="E6107" s="7">
        <v>10</v>
      </c>
      <c r="F6107" s="7">
        <v>2</v>
      </c>
      <c r="G6107" s="8" t="s">
        <v>5690</v>
      </c>
      <c r="H6107" s="8" t="s">
        <v>5691</v>
      </c>
      <c r="I6107" s="7" t="str">
        <f>_xlfn.CONCAT(Paper_Reference[[#This Row],[Lvl]:[Paper Description]])</f>
        <v>2XJ8R0955SD500MMS B111 RED 60 X 1201102100DS009-6200FROSTY WHITE</v>
      </c>
      <c r="J6107" s="7">
        <f>COUNTIF(Paper_Reference[Duplicate Key],Paper_Reference[[#This Row],[Duplicate Key]])</f>
        <v>1</v>
      </c>
    </row>
    <row r="6108" spans="1:10">
      <c r="A6108" s="7">
        <v>2</v>
      </c>
      <c r="B6108" s="8" t="s">
        <v>2839</v>
      </c>
      <c r="C6108" s="8" t="s">
        <v>2353</v>
      </c>
      <c r="D6108" s="7">
        <v>1</v>
      </c>
      <c r="E6108" s="7">
        <v>10</v>
      </c>
      <c r="F6108" s="7">
        <v>1</v>
      </c>
      <c r="G6108" s="8" t="s">
        <v>2144</v>
      </c>
      <c r="H6108" s="8" t="s">
        <v>1242</v>
      </c>
      <c r="I6108" s="7" t="str">
        <f>_xlfn.CONCAT(Paper_Reference[[#This Row],[Lvl]:[Paper Description]])</f>
        <v>2XJ8R0956SD500MMS B111 BLACK 60 X 120110110000020-6200Premium Inkjet MPK 9653</v>
      </c>
      <c r="J6108" s="7">
        <f>COUNTIF(Paper_Reference[Duplicate Key],Paper_Reference[[#This Row],[Duplicate Key]])</f>
        <v>1</v>
      </c>
    </row>
    <row r="6109" spans="1:10">
      <c r="A6109" s="7">
        <v>2</v>
      </c>
      <c r="B6109" s="8" t="s">
        <v>2839</v>
      </c>
      <c r="C6109" s="8" t="s">
        <v>2353</v>
      </c>
      <c r="D6109" s="7">
        <v>1</v>
      </c>
      <c r="E6109" s="7">
        <v>10</v>
      </c>
      <c r="F6109" s="7">
        <v>2</v>
      </c>
      <c r="G6109" s="8" t="s">
        <v>5690</v>
      </c>
      <c r="H6109" s="8" t="s">
        <v>5691</v>
      </c>
      <c r="I6109" s="7" t="str">
        <f>_xlfn.CONCAT(Paper_Reference[[#This Row],[Lvl]:[Paper Description]])</f>
        <v>2XJ8R0956SD500MMS B111 BLACK 60 X 1201102100DS009-6200FROSTY WHITE</v>
      </c>
      <c r="J6109" s="7">
        <f>COUNTIF(Paper_Reference[Duplicate Key],Paper_Reference[[#This Row],[Duplicate Key]])</f>
        <v>1</v>
      </c>
    </row>
    <row r="6110" spans="1:10">
      <c r="A6110" s="7">
        <v>2</v>
      </c>
      <c r="B6110" s="8" t="s">
        <v>2840</v>
      </c>
      <c r="C6110" s="8" t="s">
        <v>2354</v>
      </c>
      <c r="D6110" s="7">
        <v>1</v>
      </c>
      <c r="E6110" s="7">
        <v>10</v>
      </c>
      <c r="F6110" s="7">
        <v>1</v>
      </c>
      <c r="G6110" s="8" t="s">
        <v>2144</v>
      </c>
      <c r="H6110" s="8" t="s">
        <v>1242</v>
      </c>
      <c r="I6110" s="7" t="str">
        <f>_xlfn.CONCAT(Paper_Reference[[#This Row],[Lvl]:[Paper Description]])</f>
        <v>2XJ8R0959SD500MMS CAFETERIA 60 X 120110110000020-6200Premium Inkjet MPK 9653</v>
      </c>
      <c r="J6110" s="7">
        <f>COUNTIF(Paper_Reference[Duplicate Key],Paper_Reference[[#This Row],[Duplicate Key]])</f>
        <v>1</v>
      </c>
    </row>
    <row r="6111" spans="1:10">
      <c r="A6111" s="7">
        <v>2</v>
      </c>
      <c r="B6111" s="8" t="s">
        <v>2840</v>
      </c>
      <c r="C6111" s="8" t="s">
        <v>2354</v>
      </c>
      <c r="D6111" s="7">
        <v>1</v>
      </c>
      <c r="E6111" s="7">
        <v>10</v>
      </c>
      <c r="F6111" s="7">
        <v>2</v>
      </c>
      <c r="G6111" s="8" t="s">
        <v>5690</v>
      </c>
      <c r="H6111" s="8" t="s">
        <v>5691</v>
      </c>
      <c r="I6111" s="7" t="str">
        <f>_xlfn.CONCAT(Paper_Reference[[#This Row],[Lvl]:[Paper Description]])</f>
        <v>2XJ8R0959SD500MMS CAFETERIA 60 X 1201102100DS009-6200FROSTY WHITE</v>
      </c>
      <c r="J6111" s="7">
        <f>COUNTIF(Paper_Reference[Duplicate Key],Paper_Reference[[#This Row],[Duplicate Key]])</f>
        <v>1</v>
      </c>
    </row>
    <row r="6112" spans="1:10">
      <c r="A6112" s="7">
        <v>2</v>
      </c>
      <c r="B6112" s="8" t="s">
        <v>2841</v>
      </c>
      <c r="C6112" s="8" t="s">
        <v>2355</v>
      </c>
      <c r="D6112" s="7">
        <v>1</v>
      </c>
      <c r="E6112" s="7">
        <v>10</v>
      </c>
      <c r="F6112" s="7">
        <v>1</v>
      </c>
      <c r="G6112" s="8" t="s">
        <v>2144</v>
      </c>
      <c r="H6112" s="8" t="s">
        <v>1242</v>
      </c>
      <c r="I6112" s="7" t="str">
        <f>_xlfn.CONCAT(Paper_Reference[[#This Row],[Lvl]:[Paper Description]])</f>
        <v>2XJ8R0963SD580MMS TIMELINE 60 X 96110110000020-6200Premium Inkjet MPK 9653</v>
      </c>
      <c r="J6112" s="7">
        <f>COUNTIF(Paper_Reference[Duplicate Key],Paper_Reference[[#This Row],[Duplicate Key]])</f>
        <v>1</v>
      </c>
    </row>
    <row r="6113" spans="1:10">
      <c r="A6113" s="7">
        <v>2</v>
      </c>
      <c r="B6113" s="8" t="s">
        <v>2841</v>
      </c>
      <c r="C6113" s="8" t="s">
        <v>2355</v>
      </c>
      <c r="D6113" s="7">
        <v>1</v>
      </c>
      <c r="E6113" s="7">
        <v>10</v>
      </c>
      <c r="F6113" s="7">
        <v>2</v>
      </c>
      <c r="G6113" s="8" t="s">
        <v>5690</v>
      </c>
      <c r="H6113" s="8" t="s">
        <v>5691</v>
      </c>
      <c r="I6113" s="7" t="str">
        <f>_xlfn.CONCAT(Paper_Reference[[#This Row],[Lvl]:[Paper Description]])</f>
        <v>2XJ8R0963SD580MMS TIMELINE 60 X 961102100DS009-6200FROSTY WHITE</v>
      </c>
      <c r="J6113" s="7">
        <f>COUNTIF(Paper_Reference[Duplicate Key],Paper_Reference[[#This Row],[Duplicate Key]])</f>
        <v>1</v>
      </c>
    </row>
    <row r="6114" spans="1:10">
      <c r="A6114" s="7">
        <v>2</v>
      </c>
      <c r="B6114" s="8" t="s">
        <v>2069</v>
      </c>
      <c r="C6114" s="8" t="s">
        <v>1588</v>
      </c>
      <c r="D6114" s="7">
        <v>1</v>
      </c>
      <c r="E6114" s="7">
        <v>10</v>
      </c>
      <c r="F6114" s="7">
        <v>1</v>
      </c>
      <c r="G6114" s="8" t="s">
        <v>1241</v>
      </c>
      <c r="H6114" s="8" t="s">
        <v>1242</v>
      </c>
      <c r="I6114" s="7" t="str">
        <f>_xlfn.CONCAT(Paper_Reference[[#This Row],[Lvl]:[Paper Description]])</f>
        <v>2XJ8R0965SD480ORANGE HS FIRST FLOOR 48 X 96110110000020-5000Premium Inkjet MPK 9653</v>
      </c>
      <c r="J6114" s="7">
        <f>COUNTIF(Paper_Reference[Duplicate Key],Paper_Reference[[#This Row],[Duplicate Key]])</f>
        <v>1</v>
      </c>
    </row>
    <row r="6115" spans="1:10">
      <c r="A6115" s="7">
        <v>2</v>
      </c>
      <c r="B6115" s="8" t="s">
        <v>2069</v>
      </c>
      <c r="C6115" s="8" t="s">
        <v>1588</v>
      </c>
      <c r="D6115" s="7">
        <v>1</v>
      </c>
      <c r="E6115" s="7">
        <v>10</v>
      </c>
      <c r="F6115" s="7">
        <v>2</v>
      </c>
      <c r="G6115" s="8" t="s">
        <v>6710</v>
      </c>
      <c r="H6115" s="8" t="s">
        <v>5691</v>
      </c>
      <c r="I6115" s="7" t="str">
        <f>_xlfn.CONCAT(Paper_Reference[[#This Row],[Lvl]:[Paper Description]])</f>
        <v>2XJ8R0965SD480ORANGE HS FIRST FLOOR 48 X 961102100DS009-5000FROSTY WHITE</v>
      </c>
      <c r="J6115" s="7">
        <f>COUNTIF(Paper_Reference[Duplicate Key],Paper_Reference[[#This Row],[Duplicate Key]])</f>
        <v>1</v>
      </c>
    </row>
    <row r="6116" spans="1:10">
      <c r="A6116" s="7">
        <v>2</v>
      </c>
      <c r="B6116" s="8" t="s">
        <v>2842</v>
      </c>
      <c r="C6116" s="8" t="s">
        <v>2356</v>
      </c>
      <c r="D6116" s="7">
        <v>1</v>
      </c>
      <c r="E6116" s="7">
        <v>10</v>
      </c>
      <c r="F6116" s="7">
        <v>1</v>
      </c>
      <c r="G6116" s="8" t="s">
        <v>2144</v>
      </c>
      <c r="H6116" s="8" t="s">
        <v>1242</v>
      </c>
      <c r="I6116" s="7" t="str">
        <f>_xlfn.CONCAT(Paper_Reference[[#This Row],[Lvl]:[Paper Description]])</f>
        <v>2XJ8R0966SD580ORANGE HS SECOND FLOOR 1 60 X110110000020-6200Premium Inkjet MPK 9653</v>
      </c>
      <c r="J6116" s="7">
        <f>COUNTIF(Paper_Reference[Duplicate Key],Paper_Reference[[#This Row],[Duplicate Key]])</f>
        <v>1</v>
      </c>
    </row>
    <row r="6117" spans="1:10">
      <c r="A6117" s="7">
        <v>2</v>
      </c>
      <c r="B6117" s="8" t="s">
        <v>2842</v>
      </c>
      <c r="C6117" s="8" t="s">
        <v>2356</v>
      </c>
      <c r="D6117" s="7">
        <v>1</v>
      </c>
      <c r="E6117" s="7">
        <v>10</v>
      </c>
      <c r="F6117" s="7">
        <v>2</v>
      </c>
      <c r="G6117" s="8" t="s">
        <v>5690</v>
      </c>
      <c r="H6117" s="8" t="s">
        <v>5691</v>
      </c>
      <c r="I6117" s="7" t="str">
        <f>_xlfn.CONCAT(Paper_Reference[[#This Row],[Lvl]:[Paper Description]])</f>
        <v>2XJ8R0966SD580ORANGE HS SECOND FLOOR 1 60 X1102100DS009-6200FROSTY WHITE</v>
      </c>
      <c r="J6117" s="7">
        <f>COUNTIF(Paper_Reference[Duplicate Key],Paper_Reference[[#This Row],[Duplicate Key]])</f>
        <v>1</v>
      </c>
    </row>
    <row r="6118" spans="1:10">
      <c r="A6118" s="7">
        <v>2</v>
      </c>
      <c r="B6118" s="8" t="s">
        <v>2843</v>
      </c>
      <c r="C6118" s="8" t="s">
        <v>2357</v>
      </c>
      <c r="D6118" s="7">
        <v>1</v>
      </c>
      <c r="E6118" s="7">
        <v>10</v>
      </c>
      <c r="F6118" s="7">
        <v>1</v>
      </c>
      <c r="G6118" s="8" t="s">
        <v>2144</v>
      </c>
      <c r="H6118" s="8" t="s">
        <v>1242</v>
      </c>
      <c r="I6118" s="7" t="str">
        <f>_xlfn.CONCAT(Paper_Reference[[#This Row],[Lvl]:[Paper Description]])</f>
        <v>2XJ8R0967SD580ORANGE HS SECOND FLOOR 2 60 X110110000020-6200Premium Inkjet MPK 9653</v>
      </c>
      <c r="J6118" s="7">
        <f>COUNTIF(Paper_Reference[Duplicate Key],Paper_Reference[[#This Row],[Duplicate Key]])</f>
        <v>1</v>
      </c>
    </row>
    <row r="6119" spans="1:10">
      <c r="A6119" s="7">
        <v>2</v>
      </c>
      <c r="B6119" s="8" t="s">
        <v>2843</v>
      </c>
      <c r="C6119" s="8" t="s">
        <v>2357</v>
      </c>
      <c r="D6119" s="7">
        <v>1</v>
      </c>
      <c r="E6119" s="7">
        <v>10</v>
      </c>
      <c r="F6119" s="7">
        <v>2</v>
      </c>
      <c r="G6119" s="8" t="s">
        <v>5690</v>
      </c>
      <c r="H6119" s="8" t="s">
        <v>5691</v>
      </c>
      <c r="I6119" s="7" t="str">
        <f>_xlfn.CONCAT(Paper_Reference[[#This Row],[Lvl]:[Paper Description]])</f>
        <v>2XJ8R0967SD580ORANGE HS SECOND FLOOR 2 60 X1102100DS009-6200FROSTY WHITE</v>
      </c>
      <c r="J6119" s="7">
        <f>COUNTIF(Paper_Reference[Duplicate Key],Paper_Reference[[#This Row],[Duplicate Key]])</f>
        <v>1</v>
      </c>
    </row>
    <row r="6120" spans="1:10">
      <c r="A6120" s="7">
        <v>2</v>
      </c>
      <c r="B6120" s="8" t="s">
        <v>2844</v>
      </c>
      <c r="C6120" s="8" t="s">
        <v>2358</v>
      </c>
      <c r="D6120" s="7">
        <v>1</v>
      </c>
      <c r="E6120" s="7">
        <v>10</v>
      </c>
      <c r="F6120" s="7">
        <v>1</v>
      </c>
      <c r="G6120" s="8" t="s">
        <v>2144</v>
      </c>
      <c r="H6120" s="8" t="s">
        <v>1242</v>
      </c>
      <c r="I6120" s="7" t="str">
        <f>_xlfn.CONCAT(Paper_Reference[[#This Row],[Lvl]:[Paper Description]])</f>
        <v>2XJ8R0969SD500FRL PENN STATE ELEV 48  60 X 1110110000020-6200Premium Inkjet MPK 9653</v>
      </c>
      <c r="J6120" s="7">
        <f>COUNTIF(Paper_Reference[Duplicate Key],Paper_Reference[[#This Row],[Duplicate Key]])</f>
        <v>1</v>
      </c>
    </row>
    <row r="6121" spans="1:10">
      <c r="A6121" s="7">
        <v>2</v>
      </c>
      <c r="B6121" s="8" t="s">
        <v>2844</v>
      </c>
      <c r="C6121" s="8" t="s">
        <v>2358</v>
      </c>
      <c r="D6121" s="7">
        <v>1</v>
      </c>
      <c r="E6121" s="7">
        <v>10</v>
      </c>
      <c r="F6121" s="7">
        <v>2</v>
      </c>
      <c r="G6121" s="8" t="s">
        <v>5690</v>
      </c>
      <c r="H6121" s="8" t="s">
        <v>5691</v>
      </c>
      <c r="I6121" s="7" t="str">
        <f>_xlfn.CONCAT(Paper_Reference[[#This Row],[Lvl]:[Paper Description]])</f>
        <v>2XJ8R0969SD500FRL PENN STATE ELEV 48  60 X 11102100DS009-6200FROSTY WHITE</v>
      </c>
      <c r="J6121" s="7">
        <f>COUNTIF(Paper_Reference[Duplicate Key],Paper_Reference[[#This Row],[Duplicate Key]])</f>
        <v>1</v>
      </c>
    </row>
    <row r="6122" spans="1:10">
      <c r="A6122" s="7">
        <v>2</v>
      </c>
      <c r="B6122" s="8" t="s">
        <v>2845</v>
      </c>
      <c r="C6122" s="8" t="s">
        <v>2359</v>
      </c>
      <c r="D6122" s="7">
        <v>1</v>
      </c>
      <c r="E6122" s="7">
        <v>10</v>
      </c>
      <c r="F6122" s="7">
        <v>1</v>
      </c>
      <c r="G6122" s="8" t="s">
        <v>2144</v>
      </c>
      <c r="H6122" s="8" t="s">
        <v>1242</v>
      </c>
      <c r="I6122" s="7" t="str">
        <f>_xlfn.CONCAT(Paper_Reference[[#This Row],[Lvl]:[Paper Description]])</f>
        <v>2XJ8R0970SD500FRL PENN STATE ELEV 50  60 X 1110110000020-6200Premium Inkjet MPK 9653</v>
      </c>
      <c r="J6122" s="7">
        <f>COUNTIF(Paper_Reference[Duplicate Key],Paper_Reference[[#This Row],[Duplicate Key]])</f>
        <v>1</v>
      </c>
    </row>
    <row r="6123" spans="1:10">
      <c r="A6123" s="7">
        <v>2</v>
      </c>
      <c r="B6123" s="8" t="s">
        <v>2845</v>
      </c>
      <c r="C6123" s="8" t="s">
        <v>2359</v>
      </c>
      <c r="D6123" s="7">
        <v>1</v>
      </c>
      <c r="E6123" s="7">
        <v>10</v>
      </c>
      <c r="F6123" s="7">
        <v>2</v>
      </c>
      <c r="G6123" s="8" t="s">
        <v>5690</v>
      </c>
      <c r="H6123" s="8" t="s">
        <v>5691</v>
      </c>
      <c r="I6123" s="7" t="str">
        <f>_xlfn.CONCAT(Paper_Reference[[#This Row],[Lvl]:[Paper Description]])</f>
        <v>2XJ8R0970SD500FRL PENN STATE ELEV 50  60 X 11102100DS009-6200FROSTY WHITE</v>
      </c>
      <c r="J6123" s="7">
        <f>COUNTIF(Paper_Reference[Duplicate Key],Paper_Reference[[#This Row],[Duplicate Key]])</f>
        <v>1</v>
      </c>
    </row>
    <row r="6124" spans="1:10">
      <c r="A6124" s="7">
        <v>2</v>
      </c>
      <c r="B6124" s="8" t="s">
        <v>2846</v>
      </c>
      <c r="C6124" s="8" t="s">
        <v>2360</v>
      </c>
      <c r="D6124" s="7">
        <v>1</v>
      </c>
      <c r="E6124" s="7">
        <v>10</v>
      </c>
      <c r="F6124" s="7">
        <v>1</v>
      </c>
      <c r="G6124" s="8" t="s">
        <v>2144</v>
      </c>
      <c r="H6124" s="8" t="s">
        <v>1242</v>
      </c>
      <c r="I6124" s="7" t="str">
        <f>_xlfn.CONCAT(Paper_Reference[[#This Row],[Lvl]:[Paper Description]])</f>
        <v>2XJ8R0971SD500KASIAN ERH CON ROOM  60 X 120110110000020-6200Premium Inkjet MPK 9653</v>
      </c>
      <c r="J6124" s="7">
        <f>COUNTIF(Paper_Reference[Duplicate Key],Paper_Reference[[#This Row],[Duplicate Key]])</f>
        <v>1</v>
      </c>
    </row>
    <row r="6125" spans="1:10">
      <c r="A6125" s="7">
        <v>2</v>
      </c>
      <c r="B6125" s="8" t="s">
        <v>2846</v>
      </c>
      <c r="C6125" s="8" t="s">
        <v>2360</v>
      </c>
      <c r="D6125" s="7">
        <v>1</v>
      </c>
      <c r="E6125" s="7">
        <v>10</v>
      </c>
      <c r="F6125" s="7">
        <v>2</v>
      </c>
      <c r="G6125" s="8" t="s">
        <v>5690</v>
      </c>
      <c r="H6125" s="8" t="s">
        <v>5691</v>
      </c>
      <c r="I6125" s="7" t="str">
        <f>_xlfn.CONCAT(Paper_Reference[[#This Row],[Lvl]:[Paper Description]])</f>
        <v>2XJ8R0971SD500KASIAN ERH CON ROOM  60 X 1201102100DS009-6200FROSTY WHITE</v>
      </c>
      <c r="J6125" s="7">
        <f>COUNTIF(Paper_Reference[Duplicate Key],Paper_Reference[[#This Row],[Duplicate Key]])</f>
        <v>1</v>
      </c>
    </row>
    <row r="6126" spans="1:10">
      <c r="A6126" s="7">
        <v>2</v>
      </c>
      <c r="B6126" s="8" t="s">
        <v>2070</v>
      </c>
      <c r="C6126" s="8" t="s">
        <v>1589</v>
      </c>
      <c r="D6126" s="7">
        <v>1</v>
      </c>
      <c r="E6126" s="7">
        <v>10</v>
      </c>
      <c r="F6126" s="7">
        <v>1</v>
      </c>
      <c r="G6126" s="8" t="s">
        <v>1241</v>
      </c>
      <c r="H6126" s="8" t="s">
        <v>1242</v>
      </c>
      <c r="I6126" s="7" t="str">
        <f>_xlfn.CONCAT(Paper_Reference[[#This Row],[Lvl]:[Paper Description]])</f>
        <v>2XJ8R0972SD480PORT ALBERNI WALL 48 X 96110110000020-5000Premium Inkjet MPK 9653</v>
      </c>
      <c r="J6126" s="7">
        <f>COUNTIF(Paper_Reference[Duplicate Key],Paper_Reference[[#This Row],[Duplicate Key]])</f>
        <v>1</v>
      </c>
    </row>
    <row r="6127" spans="1:10">
      <c r="A6127" s="7">
        <v>2</v>
      </c>
      <c r="B6127" s="8" t="s">
        <v>2070</v>
      </c>
      <c r="C6127" s="8" t="s">
        <v>1589</v>
      </c>
      <c r="D6127" s="7">
        <v>1</v>
      </c>
      <c r="E6127" s="7">
        <v>10</v>
      </c>
      <c r="F6127" s="7">
        <v>2</v>
      </c>
      <c r="G6127" s="8" t="s">
        <v>6710</v>
      </c>
      <c r="H6127" s="8" t="s">
        <v>5691</v>
      </c>
      <c r="I6127" s="7" t="str">
        <f>_xlfn.CONCAT(Paper_Reference[[#This Row],[Lvl]:[Paper Description]])</f>
        <v>2XJ8R0972SD480PORT ALBERNI WALL 48 X 961102100DS009-5000FROSTY WHITE</v>
      </c>
      <c r="J6127" s="7">
        <f>COUNTIF(Paper_Reference[Duplicate Key],Paper_Reference[[#This Row],[Duplicate Key]])</f>
        <v>1</v>
      </c>
    </row>
    <row r="6128" spans="1:10">
      <c r="A6128" s="7">
        <v>2</v>
      </c>
      <c r="B6128" s="8" t="s">
        <v>2071</v>
      </c>
      <c r="C6128" s="8" t="s">
        <v>1590</v>
      </c>
      <c r="D6128" s="7">
        <v>1</v>
      </c>
      <c r="E6128" s="7">
        <v>10</v>
      </c>
      <c r="F6128" s="7">
        <v>1</v>
      </c>
      <c r="G6128" s="8" t="s">
        <v>1241</v>
      </c>
      <c r="H6128" s="8" t="s">
        <v>1242</v>
      </c>
      <c r="I6128" s="7" t="str">
        <f>_xlfn.CONCAT(Paper_Reference[[#This Row],[Lvl]:[Paper Description]])</f>
        <v>2XJ8R0973SD480PASO VERDE B1-B8 TUM 48 X 96110110000020-5000Premium Inkjet MPK 9653</v>
      </c>
      <c r="J6128" s="7">
        <f>COUNTIF(Paper_Reference[Duplicate Key],Paper_Reference[[#This Row],[Duplicate Key]])</f>
        <v>1</v>
      </c>
    </row>
    <row r="6129" spans="1:10">
      <c r="A6129" s="7">
        <v>2</v>
      </c>
      <c r="B6129" s="8" t="s">
        <v>2071</v>
      </c>
      <c r="C6129" s="8" t="s">
        <v>1590</v>
      </c>
      <c r="D6129" s="7">
        <v>1</v>
      </c>
      <c r="E6129" s="7">
        <v>10</v>
      </c>
      <c r="F6129" s="7">
        <v>2</v>
      </c>
      <c r="G6129" s="8" t="s">
        <v>6710</v>
      </c>
      <c r="H6129" s="8" t="s">
        <v>5691</v>
      </c>
      <c r="I6129" s="7" t="str">
        <f>_xlfn.CONCAT(Paper_Reference[[#This Row],[Lvl]:[Paper Description]])</f>
        <v>2XJ8R0973SD480PASO VERDE B1-B8 TUM 48 X 961102100DS009-5000FROSTY WHITE</v>
      </c>
      <c r="J6129" s="7">
        <f>COUNTIF(Paper_Reference[Duplicate Key],Paper_Reference[[#This Row],[Duplicate Key]])</f>
        <v>1</v>
      </c>
    </row>
    <row r="6130" spans="1:10">
      <c r="A6130" s="7">
        <v>2</v>
      </c>
      <c r="B6130" s="8" t="s">
        <v>2072</v>
      </c>
      <c r="C6130" s="8" t="s">
        <v>1591</v>
      </c>
      <c r="D6130" s="7">
        <v>1</v>
      </c>
      <c r="E6130" s="7">
        <v>10</v>
      </c>
      <c r="F6130" s="7">
        <v>1</v>
      </c>
      <c r="G6130" s="8" t="s">
        <v>1241</v>
      </c>
      <c r="H6130" s="8" t="s">
        <v>1242</v>
      </c>
      <c r="I6130" s="7" t="str">
        <f>_xlfn.CONCAT(Paper_Reference[[#This Row],[Lvl]:[Paper Description]])</f>
        <v>2XJ8R0974SD480PASO VERDE C1-C8 ROM 48 X 96110110000020-5000Premium Inkjet MPK 9653</v>
      </c>
      <c r="J6130" s="7">
        <f>COUNTIF(Paper_Reference[Duplicate Key],Paper_Reference[[#This Row],[Duplicate Key]])</f>
        <v>1</v>
      </c>
    </row>
    <row r="6131" spans="1:10">
      <c r="A6131" s="7">
        <v>2</v>
      </c>
      <c r="B6131" s="8" t="s">
        <v>2072</v>
      </c>
      <c r="C6131" s="8" t="s">
        <v>1591</v>
      </c>
      <c r="D6131" s="7">
        <v>1</v>
      </c>
      <c r="E6131" s="7">
        <v>10</v>
      </c>
      <c r="F6131" s="7">
        <v>2</v>
      </c>
      <c r="G6131" s="8" t="s">
        <v>6710</v>
      </c>
      <c r="H6131" s="8" t="s">
        <v>5691</v>
      </c>
      <c r="I6131" s="7" t="str">
        <f>_xlfn.CONCAT(Paper_Reference[[#This Row],[Lvl]:[Paper Description]])</f>
        <v>2XJ8R0974SD480PASO VERDE C1-C8 ROM 48 X 961102100DS009-5000FROSTY WHITE</v>
      </c>
      <c r="J6131" s="7">
        <f>COUNTIF(Paper_Reference[Duplicate Key],Paper_Reference[[#This Row],[Duplicate Key]])</f>
        <v>1</v>
      </c>
    </row>
    <row r="6132" spans="1:10">
      <c r="A6132" s="7">
        <v>2</v>
      </c>
      <c r="B6132" s="8" t="s">
        <v>2073</v>
      </c>
      <c r="C6132" s="8" t="s">
        <v>1592</v>
      </c>
      <c r="D6132" s="7">
        <v>1</v>
      </c>
      <c r="E6132" s="7">
        <v>10</v>
      </c>
      <c r="F6132" s="7">
        <v>1</v>
      </c>
      <c r="G6132" s="8" t="s">
        <v>1241</v>
      </c>
      <c r="H6132" s="8" t="s">
        <v>1242</v>
      </c>
      <c r="I6132" s="7" t="str">
        <f>_xlfn.CONCAT(Paper_Reference[[#This Row],[Lvl]:[Paper Description]])</f>
        <v>2XJ8R0975SD480PASO VERDE D1-D8 GRAPES 48X96110110000020-5000Premium Inkjet MPK 9653</v>
      </c>
      <c r="J6132" s="7">
        <f>COUNTIF(Paper_Reference[Duplicate Key],Paper_Reference[[#This Row],[Duplicate Key]])</f>
        <v>1</v>
      </c>
    </row>
    <row r="6133" spans="1:10">
      <c r="A6133" s="7">
        <v>2</v>
      </c>
      <c r="B6133" s="8" t="s">
        <v>2073</v>
      </c>
      <c r="C6133" s="8" t="s">
        <v>1592</v>
      </c>
      <c r="D6133" s="7">
        <v>1</v>
      </c>
      <c r="E6133" s="7">
        <v>10</v>
      </c>
      <c r="F6133" s="7">
        <v>2</v>
      </c>
      <c r="G6133" s="8" t="s">
        <v>6710</v>
      </c>
      <c r="H6133" s="8" t="s">
        <v>5691</v>
      </c>
      <c r="I6133" s="7" t="str">
        <f>_xlfn.CONCAT(Paper_Reference[[#This Row],[Lvl]:[Paper Description]])</f>
        <v>2XJ8R0975SD480PASO VERDE D1-D8 GRAPES 48X961102100DS009-5000FROSTY WHITE</v>
      </c>
      <c r="J6133" s="7">
        <f>COUNTIF(Paper_Reference[Duplicate Key],Paper_Reference[[#This Row],[Duplicate Key]])</f>
        <v>1</v>
      </c>
    </row>
    <row r="6134" spans="1:10">
      <c r="A6134" s="7">
        <v>2</v>
      </c>
      <c r="B6134" s="8" t="s">
        <v>2074</v>
      </c>
      <c r="C6134" s="8" t="s">
        <v>1593</v>
      </c>
      <c r="D6134" s="7">
        <v>1</v>
      </c>
      <c r="E6134" s="7">
        <v>10</v>
      </c>
      <c r="F6134" s="7">
        <v>1</v>
      </c>
      <c r="G6134" s="8" t="s">
        <v>1241</v>
      </c>
      <c r="H6134" s="8" t="s">
        <v>1242</v>
      </c>
      <c r="I6134" s="7" t="str">
        <f>_xlfn.CONCAT(Paper_Reference[[#This Row],[Lvl]:[Paper Description]])</f>
        <v>2XJ8R0976SD480PASO VERDE E1-E8 WHEAT 48X96110110000020-5000Premium Inkjet MPK 9653</v>
      </c>
      <c r="J6134" s="7">
        <f>COUNTIF(Paper_Reference[Duplicate Key],Paper_Reference[[#This Row],[Duplicate Key]])</f>
        <v>1</v>
      </c>
    </row>
    <row r="6135" spans="1:10">
      <c r="A6135" s="7">
        <v>2</v>
      </c>
      <c r="B6135" s="8" t="s">
        <v>2074</v>
      </c>
      <c r="C6135" s="8" t="s">
        <v>1593</v>
      </c>
      <c r="D6135" s="7">
        <v>1</v>
      </c>
      <c r="E6135" s="7">
        <v>10</v>
      </c>
      <c r="F6135" s="7">
        <v>2</v>
      </c>
      <c r="G6135" s="8" t="s">
        <v>6710</v>
      </c>
      <c r="H6135" s="8" t="s">
        <v>5691</v>
      </c>
      <c r="I6135" s="7" t="str">
        <f>_xlfn.CONCAT(Paper_Reference[[#This Row],[Lvl]:[Paper Description]])</f>
        <v>2XJ8R0976SD480PASO VERDE E1-E8 WHEAT 48X961102100DS009-5000FROSTY WHITE</v>
      </c>
      <c r="J6135" s="7">
        <f>COUNTIF(Paper_Reference[Duplicate Key],Paper_Reference[[#This Row],[Duplicate Key]])</f>
        <v>1</v>
      </c>
    </row>
    <row r="6136" spans="1:10">
      <c r="A6136" s="7">
        <v>2</v>
      </c>
      <c r="B6136" s="8" t="s">
        <v>2075</v>
      </c>
      <c r="C6136" s="8" t="s">
        <v>1594</v>
      </c>
      <c r="D6136" s="7">
        <v>1</v>
      </c>
      <c r="E6136" s="7">
        <v>10</v>
      </c>
      <c r="F6136" s="7">
        <v>1</v>
      </c>
      <c r="G6136" s="8" t="s">
        <v>1241</v>
      </c>
      <c r="H6136" s="8" t="s">
        <v>1242</v>
      </c>
      <c r="I6136" s="7" t="str">
        <f>_xlfn.CONCAT(Paper_Reference[[#This Row],[Lvl]:[Paper Description]])</f>
        <v>2XJ8R0977SD400PASO VERDE KINDER 1-8 48 X 120110110000020-5000Premium Inkjet MPK 9653</v>
      </c>
      <c r="J6136" s="7">
        <f>COUNTIF(Paper_Reference[Duplicate Key],Paper_Reference[[#This Row],[Duplicate Key]])</f>
        <v>1</v>
      </c>
    </row>
    <row r="6137" spans="1:10">
      <c r="A6137" s="7">
        <v>2</v>
      </c>
      <c r="B6137" s="8" t="s">
        <v>2075</v>
      </c>
      <c r="C6137" s="8" t="s">
        <v>1594</v>
      </c>
      <c r="D6137" s="7">
        <v>1</v>
      </c>
      <c r="E6137" s="7">
        <v>10</v>
      </c>
      <c r="F6137" s="7">
        <v>2</v>
      </c>
      <c r="G6137" s="8" t="s">
        <v>6710</v>
      </c>
      <c r="H6137" s="8" t="s">
        <v>5691</v>
      </c>
      <c r="I6137" s="7" t="str">
        <f>_xlfn.CONCAT(Paper_Reference[[#This Row],[Lvl]:[Paper Description]])</f>
        <v>2XJ8R0977SD400PASO VERDE KINDER 1-8 48 X 1201102100DS009-5000FROSTY WHITE</v>
      </c>
      <c r="J6137" s="7">
        <f>COUNTIF(Paper_Reference[Duplicate Key],Paper_Reference[[#This Row],[Duplicate Key]])</f>
        <v>1</v>
      </c>
    </row>
    <row r="6138" spans="1:10">
      <c r="A6138" s="7">
        <v>2</v>
      </c>
      <c r="B6138" s="8" t="s">
        <v>2076</v>
      </c>
      <c r="C6138" s="8" t="s">
        <v>1595</v>
      </c>
      <c r="D6138" s="7">
        <v>1</v>
      </c>
      <c r="E6138" s="7">
        <v>10</v>
      </c>
      <c r="F6138" s="7">
        <v>1</v>
      </c>
      <c r="G6138" s="8" t="s">
        <v>1241</v>
      </c>
      <c r="H6138" s="8" t="s">
        <v>1242</v>
      </c>
      <c r="I6138" s="7" t="str">
        <f>_xlfn.CONCAT(Paper_Reference[[#This Row],[Lvl]:[Paper Description]])</f>
        <v>2XJ8R0978SD400SICK KIDS WARD 48 X 120110110000020-5000Premium Inkjet MPK 9653</v>
      </c>
      <c r="J6138" s="7">
        <f>COUNTIF(Paper_Reference[Duplicate Key],Paper_Reference[[#This Row],[Duplicate Key]])</f>
        <v>1</v>
      </c>
    </row>
    <row r="6139" spans="1:10">
      <c r="A6139" s="7">
        <v>2</v>
      </c>
      <c r="B6139" s="8" t="s">
        <v>2076</v>
      </c>
      <c r="C6139" s="8" t="s">
        <v>1595</v>
      </c>
      <c r="D6139" s="7">
        <v>1</v>
      </c>
      <c r="E6139" s="7">
        <v>10</v>
      </c>
      <c r="F6139" s="7">
        <v>2</v>
      </c>
      <c r="G6139" s="8" t="s">
        <v>6710</v>
      </c>
      <c r="H6139" s="8" t="s">
        <v>5691</v>
      </c>
      <c r="I6139" s="7" t="str">
        <f>_xlfn.CONCAT(Paper_Reference[[#This Row],[Lvl]:[Paper Description]])</f>
        <v>2XJ8R0978SD400SICK KIDS WARD 48 X 1201102100DS009-5000FROSTY WHITE</v>
      </c>
      <c r="J6139" s="7">
        <f>COUNTIF(Paper_Reference[Duplicate Key],Paper_Reference[[#This Row],[Duplicate Key]])</f>
        <v>1</v>
      </c>
    </row>
    <row r="6140" spans="1:10">
      <c r="A6140" s="7">
        <v>2</v>
      </c>
      <c r="B6140" s="8" t="s">
        <v>2847</v>
      </c>
      <c r="C6140" s="8" t="s">
        <v>2361</v>
      </c>
      <c r="D6140" s="7">
        <v>1</v>
      </c>
      <c r="E6140" s="7">
        <v>10</v>
      </c>
      <c r="F6140" s="7">
        <v>1</v>
      </c>
      <c r="G6140" s="8" t="s">
        <v>2144</v>
      </c>
      <c r="H6140" s="8" t="s">
        <v>1242</v>
      </c>
      <c r="I6140" s="7" t="str">
        <f>_xlfn.CONCAT(Paper_Reference[[#This Row],[Lvl]:[Paper Description]])</f>
        <v>2XJ8R0984SD500PENN STATE ELEV 46 60 X 120110110000020-6200Premium Inkjet MPK 9653</v>
      </c>
      <c r="J6140" s="7">
        <f>COUNTIF(Paper_Reference[Duplicate Key],Paper_Reference[[#This Row],[Duplicate Key]])</f>
        <v>1</v>
      </c>
    </row>
    <row r="6141" spans="1:10">
      <c r="A6141" s="7">
        <v>2</v>
      </c>
      <c r="B6141" s="8" t="s">
        <v>2847</v>
      </c>
      <c r="C6141" s="8" t="s">
        <v>2361</v>
      </c>
      <c r="D6141" s="7">
        <v>1</v>
      </c>
      <c r="E6141" s="7">
        <v>10</v>
      </c>
      <c r="F6141" s="7">
        <v>2</v>
      </c>
      <c r="G6141" s="8" t="s">
        <v>5690</v>
      </c>
      <c r="H6141" s="8" t="s">
        <v>5691</v>
      </c>
      <c r="I6141" s="7" t="str">
        <f>_xlfn.CONCAT(Paper_Reference[[#This Row],[Lvl]:[Paper Description]])</f>
        <v>2XJ8R0984SD500PENN STATE ELEV 46 60 X 1201102100DS009-6200FROSTY WHITE</v>
      </c>
      <c r="J6141" s="7">
        <f>COUNTIF(Paper_Reference[Duplicate Key],Paper_Reference[[#This Row],[Duplicate Key]])</f>
        <v>1</v>
      </c>
    </row>
    <row r="6142" spans="1:10">
      <c r="A6142" s="7">
        <v>2</v>
      </c>
      <c r="B6142" s="8" t="s">
        <v>2848</v>
      </c>
      <c r="C6142" s="8" t="s">
        <v>2362</v>
      </c>
      <c r="D6142" s="7">
        <v>1</v>
      </c>
      <c r="E6142" s="7">
        <v>10</v>
      </c>
      <c r="F6142" s="7">
        <v>1</v>
      </c>
      <c r="G6142" s="8" t="s">
        <v>2144</v>
      </c>
      <c r="H6142" s="8" t="s">
        <v>1242</v>
      </c>
      <c r="I6142" s="7" t="str">
        <f>_xlfn.CONCAT(Paper_Reference[[#This Row],[Lvl]:[Paper Description]])</f>
        <v>2XJ8R0985SD580SHERMAN WAY ELEVATOR 60 X 96110110000020-6200Premium Inkjet MPK 9653</v>
      </c>
      <c r="J6142" s="7">
        <f>COUNTIF(Paper_Reference[Duplicate Key],Paper_Reference[[#This Row],[Duplicate Key]])</f>
        <v>1</v>
      </c>
    </row>
    <row r="6143" spans="1:10">
      <c r="A6143" s="7">
        <v>2</v>
      </c>
      <c r="B6143" s="8" t="s">
        <v>2848</v>
      </c>
      <c r="C6143" s="8" t="s">
        <v>2362</v>
      </c>
      <c r="D6143" s="7">
        <v>1</v>
      </c>
      <c r="E6143" s="7">
        <v>10</v>
      </c>
      <c r="F6143" s="7">
        <v>2</v>
      </c>
      <c r="G6143" s="8" t="s">
        <v>5690</v>
      </c>
      <c r="H6143" s="8" t="s">
        <v>5691</v>
      </c>
      <c r="I6143" s="7" t="str">
        <f>_xlfn.CONCAT(Paper_Reference[[#This Row],[Lvl]:[Paper Description]])</f>
        <v>2XJ8R0985SD580SHERMAN WAY ELEVATOR 60 X 961102100DS009-6200FROSTY WHITE</v>
      </c>
      <c r="J6143" s="7">
        <f>COUNTIF(Paper_Reference[Duplicate Key],Paper_Reference[[#This Row],[Duplicate Key]])</f>
        <v>1</v>
      </c>
    </row>
    <row r="6144" spans="1:10">
      <c r="A6144" s="7">
        <v>2</v>
      </c>
      <c r="B6144" s="8" t="s">
        <v>2849</v>
      </c>
      <c r="C6144" s="8" t="s">
        <v>2363</v>
      </c>
      <c r="D6144" s="7">
        <v>1</v>
      </c>
      <c r="E6144" s="7">
        <v>10</v>
      </c>
      <c r="F6144" s="7">
        <v>1</v>
      </c>
      <c r="G6144" s="8" t="s">
        <v>2144</v>
      </c>
      <c r="H6144" s="8" t="s">
        <v>1242</v>
      </c>
      <c r="I6144" s="7" t="str">
        <f>_xlfn.CONCAT(Paper_Reference[[#This Row],[Lvl]:[Paper Description]])</f>
        <v>2XJ8R0986SD500CCHMC GL2-420 60 X 120110110000020-6200Premium Inkjet MPK 9653</v>
      </c>
      <c r="J6144" s="7">
        <f>COUNTIF(Paper_Reference[Duplicate Key],Paper_Reference[[#This Row],[Duplicate Key]])</f>
        <v>1</v>
      </c>
    </row>
    <row r="6145" spans="1:10">
      <c r="A6145" s="7">
        <v>2</v>
      </c>
      <c r="B6145" s="8" t="s">
        <v>2849</v>
      </c>
      <c r="C6145" s="8" t="s">
        <v>2363</v>
      </c>
      <c r="D6145" s="7">
        <v>1</v>
      </c>
      <c r="E6145" s="7">
        <v>10</v>
      </c>
      <c r="F6145" s="7">
        <v>2</v>
      </c>
      <c r="G6145" s="8" t="s">
        <v>5690</v>
      </c>
      <c r="H6145" s="8" t="s">
        <v>5691</v>
      </c>
      <c r="I6145" s="7" t="str">
        <f>_xlfn.CONCAT(Paper_Reference[[#This Row],[Lvl]:[Paper Description]])</f>
        <v>2XJ8R0986SD500CCHMC GL2-420 60 X 1201102100DS009-6200FROSTY WHITE</v>
      </c>
      <c r="J6145" s="7">
        <f>COUNTIF(Paper_Reference[Duplicate Key],Paper_Reference[[#This Row],[Duplicate Key]])</f>
        <v>1</v>
      </c>
    </row>
    <row r="6146" spans="1:10">
      <c r="A6146" s="7">
        <v>2</v>
      </c>
      <c r="B6146" s="8" t="s">
        <v>2850</v>
      </c>
      <c r="C6146" s="8" t="s">
        <v>2364</v>
      </c>
      <c r="D6146" s="7">
        <v>1</v>
      </c>
      <c r="E6146" s="7">
        <v>10</v>
      </c>
      <c r="F6146" s="7">
        <v>1</v>
      </c>
      <c r="G6146" s="8" t="s">
        <v>2144</v>
      </c>
      <c r="H6146" s="8" t="s">
        <v>1242</v>
      </c>
      <c r="I6146" s="7" t="str">
        <f>_xlfn.CONCAT(Paper_Reference[[#This Row],[Lvl]:[Paper Description]])</f>
        <v>2XJ8R0987SD500CCHMC GL2-422 60 X 120110110000020-6200Premium Inkjet MPK 9653</v>
      </c>
      <c r="J6146" s="7">
        <f>COUNTIF(Paper_Reference[Duplicate Key],Paper_Reference[[#This Row],[Duplicate Key]])</f>
        <v>1</v>
      </c>
    </row>
    <row r="6147" spans="1:10">
      <c r="A6147" s="7">
        <v>2</v>
      </c>
      <c r="B6147" s="8" t="s">
        <v>2850</v>
      </c>
      <c r="C6147" s="8" t="s">
        <v>2364</v>
      </c>
      <c r="D6147" s="7">
        <v>1</v>
      </c>
      <c r="E6147" s="7">
        <v>10</v>
      </c>
      <c r="F6147" s="7">
        <v>2</v>
      </c>
      <c r="G6147" s="8" t="s">
        <v>5690</v>
      </c>
      <c r="H6147" s="8" t="s">
        <v>5691</v>
      </c>
      <c r="I6147" s="7" t="str">
        <f>_xlfn.CONCAT(Paper_Reference[[#This Row],[Lvl]:[Paper Description]])</f>
        <v>2XJ8R0987SD500CCHMC GL2-422 60 X 1201102100DS009-6200FROSTY WHITE</v>
      </c>
      <c r="J6147" s="7">
        <f>COUNTIF(Paper_Reference[Duplicate Key],Paper_Reference[[#This Row],[Duplicate Key]])</f>
        <v>1</v>
      </c>
    </row>
    <row r="6148" spans="1:10">
      <c r="A6148" s="7">
        <v>2</v>
      </c>
      <c r="B6148" s="8" t="s">
        <v>2851</v>
      </c>
      <c r="C6148" s="8" t="s">
        <v>2365</v>
      </c>
      <c r="D6148" s="7">
        <v>1</v>
      </c>
      <c r="E6148" s="7">
        <v>10</v>
      </c>
      <c r="F6148" s="7">
        <v>1</v>
      </c>
      <c r="G6148" s="8" t="s">
        <v>2144</v>
      </c>
      <c r="H6148" s="8" t="s">
        <v>1242</v>
      </c>
      <c r="I6148" s="7" t="str">
        <f>_xlfn.CONCAT(Paper_Reference[[#This Row],[Lvl]:[Paper Description]])</f>
        <v>2XJ8R0988SD500CCHMC GL2-424 60 X 120110110000020-6200Premium Inkjet MPK 9653</v>
      </c>
      <c r="J6148" s="7">
        <f>COUNTIF(Paper_Reference[Duplicate Key],Paper_Reference[[#This Row],[Duplicate Key]])</f>
        <v>1</v>
      </c>
    </row>
    <row r="6149" spans="1:10">
      <c r="A6149" s="7">
        <v>2</v>
      </c>
      <c r="B6149" s="8" t="s">
        <v>2851</v>
      </c>
      <c r="C6149" s="8" t="s">
        <v>2365</v>
      </c>
      <c r="D6149" s="7">
        <v>1</v>
      </c>
      <c r="E6149" s="7">
        <v>10</v>
      </c>
      <c r="F6149" s="7">
        <v>2</v>
      </c>
      <c r="G6149" s="8" t="s">
        <v>5690</v>
      </c>
      <c r="H6149" s="8" t="s">
        <v>5691</v>
      </c>
      <c r="I6149" s="7" t="str">
        <f>_xlfn.CONCAT(Paper_Reference[[#This Row],[Lvl]:[Paper Description]])</f>
        <v>2XJ8R0988SD500CCHMC GL2-424 60 X 1201102100DS009-6200FROSTY WHITE</v>
      </c>
      <c r="J6149" s="7">
        <f>COUNTIF(Paper_Reference[Duplicate Key],Paper_Reference[[#This Row],[Duplicate Key]])</f>
        <v>1</v>
      </c>
    </row>
    <row r="6150" spans="1:10">
      <c r="A6150" s="7">
        <v>2</v>
      </c>
      <c r="B6150" s="8" t="s">
        <v>2852</v>
      </c>
      <c r="C6150" s="8" t="s">
        <v>2366</v>
      </c>
      <c r="D6150" s="7">
        <v>1</v>
      </c>
      <c r="E6150" s="7">
        <v>10</v>
      </c>
      <c r="F6150" s="7">
        <v>1</v>
      </c>
      <c r="G6150" s="8" t="s">
        <v>2144</v>
      </c>
      <c r="H6150" s="8" t="s">
        <v>1242</v>
      </c>
      <c r="I6150" s="7" t="str">
        <f>_xlfn.CONCAT(Paper_Reference[[#This Row],[Lvl]:[Paper Description]])</f>
        <v>2XJ8R0989SD500CCHMC GL2-426 60 X 120110110000020-6200Premium Inkjet MPK 9653</v>
      </c>
      <c r="J6150" s="7">
        <f>COUNTIF(Paper_Reference[Duplicate Key],Paper_Reference[[#This Row],[Duplicate Key]])</f>
        <v>1</v>
      </c>
    </row>
    <row r="6151" spans="1:10">
      <c r="A6151" s="7">
        <v>2</v>
      </c>
      <c r="B6151" s="8" t="s">
        <v>2852</v>
      </c>
      <c r="C6151" s="8" t="s">
        <v>2366</v>
      </c>
      <c r="D6151" s="7">
        <v>1</v>
      </c>
      <c r="E6151" s="7">
        <v>10</v>
      </c>
      <c r="F6151" s="7">
        <v>2</v>
      </c>
      <c r="G6151" s="8" t="s">
        <v>5690</v>
      </c>
      <c r="H6151" s="8" t="s">
        <v>5691</v>
      </c>
      <c r="I6151" s="7" t="str">
        <f>_xlfn.CONCAT(Paper_Reference[[#This Row],[Lvl]:[Paper Description]])</f>
        <v>2XJ8R0989SD500CCHMC GL2-426 60 X 1201102100DS009-6200FROSTY WHITE</v>
      </c>
      <c r="J6151" s="7">
        <f>COUNTIF(Paper_Reference[Duplicate Key],Paper_Reference[[#This Row],[Duplicate Key]])</f>
        <v>1</v>
      </c>
    </row>
    <row r="6152" spans="1:10">
      <c r="A6152" s="7">
        <v>2</v>
      </c>
      <c r="B6152" s="8" t="s">
        <v>2077</v>
      </c>
      <c r="C6152" s="8" t="s">
        <v>1596</v>
      </c>
      <c r="D6152" s="7">
        <v>1</v>
      </c>
      <c r="E6152" s="7">
        <v>10</v>
      </c>
      <c r="F6152" s="7">
        <v>1</v>
      </c>
      <c r="G6152" s="8" t="s">
        <v>1241</v>
      </c>
      <c r="H6152" s="8" t="s">
        <v>1242</v>
      </c>
      <c r="I6152" s="7" t="str">
        <f>_xlfn.CONCAT(Paper_Reference[[#This Row],[Lvl]:[Paper Description]])</f>
        <v>2XJ8R0990SD400CCHMC GL2-428 48 X 120110110000020-5000Premium Inkjet MPK 9653</v>
      </c>
      <c r="J6152" s="7">
        <f>COUNTIF(Paper_Reference[Duplicate Key],Paper_Reference[[#This Row],[Duplicate Key]])</f>
        <v>1</v>
      </c>
    </row>
    <row r="6153" spans="1:10">
      <c r="A6153" s="7">
        <v>2</v>
      </c>
      <c r="B6153" s="8" t="s">
        <v>2077</v>
      </c>
      <c r="C6153" s="8" t="s">
        <v>1596</v>
      </c>
      <c r="D6153" s="7">
        <v>1</v>
      </c>
      <c r="E6153" s="7">
        <v>10</v>
      </c>
      <c r="F6153" s="7">
        <v>2</v>
      </c>
      <c r="G6153" s="8" t="s">
        <v>6710</v>
      </c>
      <c r="H6153" s="8" t="s">
        <v>5691</v>
      </c>
      <c r="I6153" s="7" t="str">
        <f>_xlfn.CONCAT(Paper_Reference[[#This Row],[Lvl]:[Paper Description]])</f>
        <v>2XJ8R0990SD400CCHMC GL2-428 48 X 1201102100DS009-5000FROSTY WHITE</v>
      </c>
      <c r="J6153" s="7">
        <f>COUNTIF(Paper_Reference[Duplicate Key],Paper_Reference[[#This Row],[Duplicate Key]])</f>
        <v>1</v>
      </c>
    </row>
    <row r="6154" spans="1:10">
      <c r="A6154" s="7">
        <v>2</v>
      </c>
      <c r="B6154" s="8" t="s">
        <v>2853</v>
      </c>
      <c r="C6154" s="8" t="s">
        <v>2367</v>
      </c>
      <c r="D6154" s="7">
        <v>1</v>
      </c>
      <c r="E6154" s="7">
        <v>10</v>
      </c>
      <c r="F6154" s="7">
        <v>1</v>
      </c>
      <c r="G6154" s="8" t="s">
        <v>2144</v>
      </c>
      <c r="H6154" s="8" t="s">
        <v>1242</v>
      </c>
      <c r="I6154" s="7" t="str">
        <f>_xlfn.CONCAT(Paper_Reference[[#This Row],[Lvl]:[Paper Description]])</f>
        <v>2XJ8R0990SD500CCHMC GL2-428 60 X 120110110000020-6200Premium Inkjet MPK 9653</v>
      </c>
      <c r="J6154" s="7">
        <f>COUNTIF(Paper_Reference[Duplicate Key],Paper_Reference[[#This Row],[Duplicate Key]])</f>
        <v>1</v>
      </c>
    </row>
    <row r="6155" spans="1:10">
      <c r="A6155" s="7">
        <v>2</v>
      </c>
      <c r="B6155" s="8" t="s">
        <v>2853</v>
      </c>
      <c r="C6155" s="8" t="s">
        <v>2367</v>
      </c>
      <c r="D6155" s="7">
        <v>1</v>
      </c>
      <c r="E6155" s="7">
        <v>10</v>
      </c>
      <c r="F6155" s="7">
        <v>2</v>
      </c>
      <c r="G6155" s="8" t="s">
        <v>5690</v>
      </c>
      <c r="H6155" s="8" t="s">
        <v>5691</v>
      </c>
      <c r="I6155" s="7" t="str">
        <f>_xlfn.CONCAT(Paper_Reference[[#This Row],[Lvl]:[Paper Description]])</f>
        <v>2XJ8R0990SD500CCHMC GL2-428 60 X 1201102100DS009-6200FROSTY WHITE</v>
      </c>
      <c r="J6155" s="7">
        <f>COUNTIF(Paper_Reference[Duplicate Key],Paper_Reference[[#This Row],[Duplicate Key]])</f>
        <v>1</v>
      </c>
    </row>
    <row r="6156" spans="1:10">
      <c r="A6156" s="7">
        <v>2</v>
      </c>
      <c r="B6156" s="8" t="s">
        <v>2854</v>
      </c>
      <c r="C6156" s="8" t="s">
        <v>2368</v>
      </c>
      <c r="D6156" s="7">
        <v>1</v>
      </c>
      <c r="E6156" s="7">
        <v>10</v>
      </c>
      <c r="F6156" s="7">
        <v>1</v>
      </c>
      <c r="G6156" s="8" t="s">
        <v>2144</v>
      </c>
      <c r="H6156" s="8" t="s">
        <v>1242</v>
      </c>
      <c r="I6156" s="7" t="str">
        <f>_xlfn.CONCAT(Paper_Reference[[#This Row],[Lvl]:[Paper Description]])</f>
        <v>2XJ8R0991SD500CCHMC GL2-444 60 X 120110110000020-6200Premium Inkjet MPK 9653</v>
      </c>
      <c r="J6156" s="7">
        <f>COUNTIF(Paper_Reference[Duplicate Key],Paper_Reference[[#This Row],[Duplicate Key]])</f>
        <v>1</v>
      </c>
    </row>
    <row r="6157" spans="1:10">
      <c r="A6157" s="7">
        <v>2</v>
      </c>
      <c r="B6157" s="8" t="s">
        <v>2854</v>
      </c>
      <c r="C6157" s="8" t="s">
        <v>2368</v>
      </c>
      <c r="D6157" s="7">
        <v>1</v>
      </c>
      <c r="E6157" s="7">
        <v>10</v>
      </c>
      <c r="F6157" s="7">
        <v>2</v>
      </c>
      <c r="G6157" s="8" t="s">
        <v>5690</v>
      </c>
      <c r="H6157" s="8" t="s">
        <v>5691</v>
      </c>
      <c r="I6157" s="7" t="str">
        <f>_xlfn.CONCAT(Paper_Reference[[#This Row],[Lvl]:[Paper Description]])</f>
        <v>2XJ8R0991SD500CCHMC GL2-444 60 X 1201102100DS009-6200FROSTY WHITE</v>
      </c>
      <c r="J6157" s="7">
        <f>COUNTIF(Paper_Reference[Duplicate Key],Paper_Reference[[#This Row],[Duplicate Key]])</f>
        <v>1</v>
      </c>
    </row>
    <row r="6158" spans="1:10">
      <c r="A6158" s="7">
        <v>2</v>
      </c>
      <c r="B6158" s="8" t="s">
        <v>2855</v>
      </c>
      <c r="C6158" s="8" t="s">
        <v>2369</v>
      </c>
      <c r="D6158" s="7">
        <v>1</v>
      </c>
      <c r="E6158" s="7">
        <v>10</v>
      </c>
      <c r="F6158" s="7">
        <v>1</v>
      </c>
      <c r="G6158" s="8" t="s">
        <v>2144</v>
      </c>
      <c r="H6158" s="8" t="s">
        <v>1242</v>
      </c>
      <c r="I6158" s="7" t="str">
        <f>_xlfn.CONCAT(Paper_Reference[[#This Row],[Lvl]:[Paper Description]])</f>
        <v>2XJ8R0992SD500CCHMC GL2-460 60 X 120110110000020-6200Premium Inkjet MPK 9653</v>
      </c>
      <c r="J6158" s="7">
        <f>COUNTIF(Paper_Reference[Duplicate Key],Paper_Reference[[#This Row],[Duplicate Key]])</f>
        <v>1</v>
      </c>
    </row>
    <row r="6159" spans="1:10">
      <c r="A6159" s="7">
        <v>2</v>
      </c>
      <c r="B6159" s="8" t="s">
        <v>2855</v>
      </c>
      <c r="C6159" s="8" t="s">
        <v>2369</v>
      </c>
      <c r="D6159" s="7">
        <v>1</v>
      </c>
      <c r="E6159" s="7">
        <v>10</v>
      </c>
      <c r="F6159" s="7">
        <v>2</v>
      </c>
      <c r="G6159" s="8" t="s">
        <v>5690</v>
      </c>
      <c r="H6159" s="8" t="s">
        <v>5691</v>
      </c>
      <c r="I6159" s="7" t="str">
        <f>_xlfn.CONCAT(Paper_Reference[[#This Row],[Lvl]:[Paper Description]])</f>
        <v>2XJ8R0992SD500CCHMC GL2-460 60 X 1201102100DS009-6200FROSTY WHITE</v>
      </c>
      <c r="J6159" s="7">
        <f>COUNTIF(Paper_Reference[Duplicate Key],Paper_Reference[[#This Row],[Duplicate Key]])</f>
        <v>1</v>
      </c>
    </row>
    <row r="6160" spans="1:10">
      <c r="A6160" s="7">
        <v>2</v>
      </c>
      <c r="B6160" s="8" t="s">
        <v>2856</v>
      </c>
      <c r="C6160" s="8" t="s">
        <v>2370</v>
      </c>
      <c r="D6160" s="7">
        <v>1</v>
      </c>
      <c r="E6160" s="7">
        <v>10</v>
      </c>
      <c r="F6160" s="7">
        <v>1</v>
      </c>
      <c r="G6160" s="8" t="s">
        <v>2144</v>
      </c>
      <c r="H6160" s="8" t="s">
        <v>1242</v>
      </c>
      <c r="I6160" s="7" t="str">
        <f>_xlfn.CONCAT(Paper_Reference[[#This Row],[Lvl]:[Paper Description]])</f>
        <v>2XJ8R0993SD500CCHMC GL2-462 60 X 120110110000020-6200Premium Inkjet MPK 9653</v>
      </c>
      <c r="J6160" s="7">
        <f>COUNTIF(Paper_Reference[Duplicate Key],Paper_Reference[[#This Row],[Duplicate Key]])</f>
        <v>1</v>
      </c>
    </row>
    <row r="6161" spans="1:10">
      <c r="A6161" s="7">
        <v>2</v>
      </c>
      <c r="B6161" s="8" t="s">
        <v>2856</v>
      </c>
      <c r="C6161" s="8" t="s">
        <v>2370</v>
      </c>
      <c r="D6161" s="7">
        <v>1</v>
      </c>
      <c r="E6161" s="7">
        <v>10</v>
      </c>
      <c r="F6161" s="7">
        <v>2</v>
      </c>
      <c r="G6161" s="8" t="s">
        <v>5690</v>
      </c>
      <c r="H6161" s="8" t="s">
        <v>5691</v>
      </c>
      <c r="I6161" s="7" t="str">
        <f>_xlfn.CONCAT(Paper_Reference[[#This Row],[Lvl]:[Paper Description]])</f>
        <v>2XJ8R0993SD500CCHMC GL2-462 60 X 1201102100DS009-6200FROSTY WHITE</v>
      </c>
      <c r="J6161" s="7">
        <f>COUNTIF(Paper_Reference[Duplicate Key],Paper_Reference[[#This Row],[Duplicate Key]])</f>
        <v>1</v>
      </c>
    </row>
    <row r="6162" spans="1:10">
      <c r="A6162" s="7">
        <v>2</v>
      </c>
      <c r="B6162" s="8" t="s">
        <v>2857</v>
      </c>
      <c r="C6162" s="8" t="s">
        <v>2371</v>
      </c>
      <c r="D6162" s="7">
        <v>1</v>
      </c>
      <c r="E6162" s="7">
        <v>10</v>
      </c>
      <c r="F6162" s="7">
        <v>1</v>
      </c>
      <c r="G6162" s="8" t="s">
        <v>2144</v>
      </c>
      <c r="H6162" s="8" t="s">
        <v>1242</v>
      </c>
      <c r="I6162" s="7" t="str">
        <f>_xlfn.CONCAT(Paper_Reference[[#This Row],[Lvl]:[Paper Description]])</f>
        <v>2XJ8R0994SD500CCHMC GL2-464 60 X 120110110000020-6200Premium Inkjet MPK 9653</v>
      </c>
      <c r="J6162" s="7">
        <f>COUNTIF(Paper_Reference[Duplicate Key],Paper_Reference[[#This Row],[Duplicate Key]])</f>
        <v>1</v>
      </c>
    </row>
    <row r="6163" spans="1:10">
      <c r="A6163" s="7">
        <v>2</v>
      </c>
      <c r="B6163" s="8" t="s">
        <v>2857</v>
      </c>
      <c r="C6163" s="8" t="s">
        <v>2371</v>
      </c>
      <c r="D6163" s="7">
        <v>1</v>
      </c>
      <c r="E6163" s="7">
        <v>10</v>
      </c>
      <c r="F6163" s="7">
        <v>2</v>
      </c>
      <c r="G6163" s="8" t="s">
        <v>5690</v>
      </c>
      <c r="H6163" s="8" t="s">
        <v>5691</v>
      </c>
      <c r="I6163" s="7" t="str">
        <f>_xlfn.CONCAT(Paper_Reference[[#This Row],[Lvl]:[Paper Description]])</f>
        <v>2XJ8R0994SD500CCHMC GL2-464 60 X 1201102100DS009-6200FROSTY WHITE</v>
      </c>
      <c r="J6163" s="7">
        <f>COUNTIF(Paper_Reference[Duplicate Key],Paper_Reference[[#This Row],[Duplicate Key]])</f>
        <v>1</v>
      </c>
    </row>
    <row r="6164" spans="1:10">
      <c r="A6164" s="7">
        <v>2</v>
      </c>
      <c r="B6164" s="8" t="s">
        <v>2858</v>
      </c>
      <c r="C6164" s="8" t="s">
        <v>2372</v>
      </c>
      <c r="D6164" s="7">
        <v>1</v>
      </c>
      <c r="E6164" s="7">
        <v>10</v>
      </c>
      <c r="F6164" s="7">
        <v>1</v>
      </c>
      <c r="G6164" s="8" t="s">
        <v>2144</v>
      </c>
      <c r="H6164" s="8" t="s">
        <v>1242</v>
      </c>
      <c r="I6164" s="7" t="str">
        <f>_xlfn.CONCAT(Paper_Reference[[#This Row],[Lvl]:[Paper Description]])</f>
        <v>2XJ8R0995SD500CCHMC GL2-503 60 X 120110110000020-6200Premium Inkjet MPK 9653</v>
      </c>
      <c r="J6164" s="7">
        <f>COUNTIF(Paper_Reference[Duplicate Key],Paper_Reference[[#This Row],[Duplicate Key]])</f>
        <v>1</v>
      </c>
    </row>
    <row r="6165" spans="1:10">
      <c r="A6165" s="7">
        <v>2</v>
      </c>
      <c r="B6165" s="8" t="s">
        <v>2858</v>
      </c>
      <c r="C6165" s="8" t="s">
        <v>2372</v>
      </c>
      <c r="D6165" s="7">
        <v>1</v>
      </c>
      <c r="E6165" s="7">
        <v>10</v>
      </c>
      <c r="F6165" s="7">
        <v>2</v>
      </c>
      <c r="G6165" s="8" t="s">
        <v>5690</v>
      </c>
      <c r="H6165" s="8" t="s">
        <v>5691</v>
      </c>
      <c r="I6165" s="7" t="str">
        <f>_xlfn.CONCAT(Paper_Reference[[#This Row],[Lvl]:[Paper Description]])</f>
        <v>2XJ8R0995SD500CCHMC GL2-503 60 X 1201102100DS009-6200FROSTY WHITE</v>
      </c>
      <c r="J6165" s="7">
        <f>COUNTIF(Paper_Reference[Duplicate Key],Paper_Reference[[#This Row],[Duplicate Key]])</f>
        <v>1</v>
      </c>
    </row>
    <row r="6166" spans="1:10">
      <c r="A6166" s="7">
        <v>2</v>
      </c>
      <c r="B6166" s="8" t="s">
        <v>2859</v>
      </c>
      <c r="C6166" s="8" t="s">
        <v>2373</v>
      </c>
      <c r="D6166" s="7">
        <v>1</v>
      </c>
      <c r="E6166" s="7">
        <v>10</v>
      </c>
      <c r="F6166" s="7">
        <v>1</v>
      </c>
      <c r="G6166" s="8" t="s">
        <v>2144</v>
      </c>
      <c r="H6166" s="8" t="s">
        <v>1242</v>
      </c>
      <c r="I6166" s="7" t="str">
        <f>_xlfn.CONCAT(Paper_Reference[[#This Row],[Lvl]:[Paper Description]])</f>
        <v>2XJ8R0996SD500CCHMC GL2-512 60 X 120110110000020-6200Premium Inkjet MPK 9653</v>
      </c>
      <c r="J6166" s="7">
        <f>COUNTIF(Paper_Reference[Duplicate Key],Paper_Reference[[#This Row],[Duplicate Key]])</f>
        <v>1</v>
      </c>
    </row>
    <row r="6167" spans="1:10">
      <c r="A6167" s="7">
        <v>2</v>
      </c>
      <c r="B6167" s="8" t="s">
        <v>2859</v>
      </c>
      <c r="C6167" s="8" t="s">
        <v>2373</v>
      </c>
      <c r="D6167" s="7">
        <v>1</v>
      </c>
      <c r="E6167" s="7">
        <v>10</v>
      </c>
      <c r="F6167" s="7">
        <v>2</v>
      </c>
      <c r="G6167" s="8" t="s">
        <v>5690</v>
      </c>
      <c r="H6167" s="8" t="s">
        <v>5691</v>
      </c>
      <c r="I6167" s="7" t="str">
        <f>_xlfn.CONCAT(Paper_Reference[[#This Row],[Lvl]:[Paper Description]])</f>
        <v>2XJ8R0996SD500CCHMC GL2-512 60 X 1201102100DS009-6200FROSTY WHITE</v>
      </c>
      <c r="J6167" s="7">
        <f>COUNTIF(Paper_Reference[Duplicate Key],Paper_Reference[[#This Row],[Duplicate Key]])</f>
        <v>1</v>
      </c>
    </row>
    <row r="6168" spans="1:10">
      <c r="A6168" s="7">
        <v>2</v>
      </c>
      <c r="B6168" s="8" t="s">
        <v>2860</v>
      </c>
      <c r="C6168" s="8" t="s">
        <v>2374</v>
      </c>
      <c r="D6168" s="7">
        <v>1</v>
      </c>
      <c r="E6168" s="7">
        <v>10</v>
      </c>
      <c r="F6168" s="7">
        <v>1</v>
      </c>
      <c r="G6168" s="8" t="s">
        <v>2144</v>
      </c>
      <c r="H6168" s="8" t="s">
        <v>1242</v>
      </c>
      <c r="I6168" s="7" t="str">
        <f>_xlfn.CONCAT(Paper_Reference[[#This Row],[Lvl]:[Paper Description]])</f>
        <v>2XJ8R0997SD500CCHMC GL2-520 60 X 120110110000020-6200Premium Inkjet MPK 9653</v>
      </c>
      <c r="J6168" s="7">
        <f>COUNTIF(Paper_Reference[Duplicate Key],Paper_Reference[[#This Row],[Duplicate Key]])</f>
        <v>1</v>
      </c>
    </row>
    <row r="6169" spans="1:10">
      <c r="A6169" s="7">
        <v>2</v>
      </c>
      <c r="B6169" s="8" t="s">
        <v>2860</v>
      </c>
      <c r="C6169" s="8" t="s">
        <v>2374</v>
      </c>
      <c r="D6169" s="7">
        <v>1</v>
      </c>
      <c r="E6169" s="7">
        <v>10</v>
      </c>
      <c r="F6169" s="7">
        <v>2</v>
      </c>
      <c r="G6169" s="8" t="s">
        <v>5690</v>
      </c>
      <c r="H6169" s="8" t="s">
        <v>5691</v>
      </c>
      <c r="I6169" s="7" t="str">
        <f>_xlfn.CONCAT(Paper_Reference[[#This Row],[Lvl]:[Paper Description]])</f>
        <v>2XJ8R0997SD500CCHMC GL2-520 60 X 1201102100DS009-6200FROSTY WHITE</v>
      </c>
      <c r="J6169" s="7">
        <f>COUNTIF(Paper_Reference[Duplicate Key],Paper_Reference[[#This Row],[Duplicate Key]])</f>
        <v>1</v>
      </c>
    </row>
    <row r="6170" spans="1:10">
      <c r="A6170" s="7">
        <v>2</v>
      </c>
      <c r="B6170" s="8" t="s">
        <v>2861</v>
      </c>
      <c r="C6170" s="8" t="s">
        <v>2375</v>
      </c>
      <c r="D6170" s="7">
        <v>1</v>
      </c>
      <c r="E6170" s="7">
        <v>10</v>
      </c>
      <c r="F6170" s="7">
        <v>1</v>
      </c>
      <c r="G6170" s="8" t="s">
        <v>2144</v>
      </c>
      <c r="H6170" s="8" t="s">
        <v>1242</v>
      </c>
      <c r="I6170" s="7" t="str">
        <f>_xlfn.CONCAT(Paper_Reference[[#This Row],[Lvl]:[Paper Description]])</f>
        <v>2XJ8R0998SD500CCHMC GL2-540 60 X 120110110000020-6200Premium Inkjet MPK 9653</v>
      </c>
      <c r="J6170" s="7">
        <f>COUNTIF(Paper_Reference[Duplicate Key],Paper_Reference[[#This Row],[Duplicate Key]])</f>
        <v>1</v>
      </c>
    </row>
    <row r="6171" spans="1:10">
      <c r="A6171" s="7">
        <v>2</v>
      </c>
      <c r="B6171" s="8" t="s">
        <v>2861</v>
      </c>
      <c r="C6171" s="8" t="s">
        <v>2375</v>
      </c>
      <c r="D6171" s="7">
        <v>1</v>
      </c>
      <c r="E6171" s="7">
        <v>10</v>
      </c>
      <c r="F6171" s="7">
        <v>2</v>
      </c>
      <c r="G6171" s="8" t="s">
        <v>5690</v>
      </c>
      <c r="H6171" s="8" t="s">
        <v>5691</v>
      </c>
      <c r="I6171" s="7" t="str">
        <f>_xlfn.CONCAT(Paper_Reference[[#This Row],[Lvl]:[Paper Description]])</f>
        <v>2XJ8R0998SD500CCHMC GL2-540 60 X 1201102100DS009-6200FROSTY WHITE</v>
      </c>
      <c r="J6171" s="7">
        <f>COUNTIF(Paper_Reference[Duplicate Key],Paper_Reference[[#This Row],[Duplicate Key]])</f>
        <v>1</v>
      </c>
    </row>
    <row r="6172" spans="1:10">
      <c r="A6172" s="7">
        <v>2</v>
      </c>
      <c r="B6172" s="8" t="s">
        <v>2862</v>
      </c>
      <c r="C6172" s="8" t="s">
        <v>2376</v>
      </c>
      <c r="D6172" s="7">
        <v>1</v>
      </c>
      <c r="E6172" s="7">
        <v>10</v>
      </c>
      <c r="F6172" s="7">
        <v>1</v>
      </c>
      <c r="G6172" s="8" t="s">
        <v>2144</v>
      </c>
      <c r="H6172" s="8" t="s">
        <v>1242</v>
      </c>
      <c r="I6172" s="7" t="str">
        <f>_xlfn.CONCAT(Paper_Reference[[#This Row],[Lvl]:[Paper Description]])</f>
        <v>2XJ8R0999SD500CCHMC GL2-548 60 X 120110110000020-6200Premium Inkjet MPK 9653</v>
      </c>
      <c r="J6172" s="7">
        <f>COUNTIF(Paper_Reference[Duplicate Key],Paper_Reference[[#This Row],[Duplicate Key]])</f>
        <v>1</v>
      </c>
    </row>
    <row r="6173" spans="1:10">
      <c r="A6173" s="7">
        <v>2</v>
      </c>
      <c r="B6173" s="8" t="s">
        <v>2862</v>
      </c>
      <c r="C6173" s="8" t="s">
        <v>2376</v>
      </c>
      <c r="D6173" s="7">
        <v>1</v>
      </c>
      <c r="E6173" s="7">
        <v>10</v>
      </c>
      <c r="F6173" s="7">
        <v>2</v>
      </c>
      <c r="G6173" s="8" t="s">
        <v>5690</v>
      </c>
      <c r="H6173" s="8" t="s">
        <v>5691</v>
      </c>
      <c r="I6173" s="7" t="str">
        <f>_xlfn.CONCAT(Paper_Reference[[#This Row],[Lvl]:[Paper Description]])</f>
        <v>2XJ8R0999SD500CCHMC GL2-548 60 X 1201102100DS009-6200FROSTY WHITE</v>
      </c>
      <c r="J6173" s="7">
        <f>COUNTIF(Paper_Reference[Duplicate Key],Paper_Reference[[#This Row],[Duplicate Key]])</f>
        <v>1</v>
      </c>
    </row>
    <row r="6174" spans="1:10">
      <c r="A6174" s="7">
        <v>2</v>
      </c>
      <c r="B6174" s="8" t="s">
        <v>2863</v>
      </c>
      <c r="C6174" s="8" t="s">
        <v>2377</v>
      </c>
      <c r="D6174" s="7">
        <v>1</v>
      </c>
      <c r="E6174" s="7">
        <v>10</v>
      </c>
      <c r="F6174" s="7">
        <v>1</v>
      </c>
      <c r="G6174" s="8" t="s">
        <v>2144</v>
      </c>
      <c r="H6174" s="8" t="s">
        <v>1242</v>
      </c>
      <c r="I6174" s="7" t="str">
        <f>_xlfn.CONCAT(Paper_Reference[[#This Row],[Lvl]:[Paper Description]])</f>
        <v>2XJ8R1000SD500CCHMC WP4-25B 60 X 120110110000020-6200Premium Inkjet MPK 9653</v>
      </c>
      <c r="J6174" s="7">
        <f>COUNTIF(Paper_Reference[Duplicate Key],Paper_Reference[[#This Row],[Duplicate Key]])</f>
        <v>1</v>
      </c>
    </row>
    <row r="6175" spans="1:10">
      <c r="A6175" s="7">
        <v>2</v>
      </c>
      <c r="B6175" s="8" t="s">
        <v>2863</v>
      </c>
      <c r="C6175" s="8" t="s">
        <v>2377</v>
      </c>
      <c r="D6175" s="7">
        <v>1</v>
      </c>
      <c r="E6175" s="7">
        <v>10</v>
      </c>
      <c r="F6175" s="7">
        <v>2</v>
      </c>
      <c r="G6175" s="8" t="s">
        <v>5690</v>
      </c>
      <c r="H6175" s="8" t="s">
        <v>5691</v>
      </c>
      <c r="I6175" s="7" t="str">
        <f>_xlfn.CONCAT(Paper_Reference[[#This Row],[Lvl]:[Paper Description]])</f>
        <v>2XJ8R1000SD500CCHMC WP4-25B 60 X 1201102100DS009-6200FROSTY WHITE</v>
      </c>
      <c r="J6175" s="7">
        <f>COUNTIF(Paper_Reference[Duplicate Key],Paper_Reference[[#This Row],[Duplicate Key]])</f>
        <v>1</v>
      </c>
    </row>
    <row r="6176" spans="1:10">
      <c r="A6176" s="7">
        <v>2</v>
      </c>
      <c r="B6176" s="8" t="s">
        <v>2864</v>
      </c>
      <c r="C6176" s="8" t="s">
        <v>2145</v>
      </c>
      <c r="D6176" s="7">
        <v>1</v>
      </c>
      <c r="E6176" s="7">
        <v>10</v>
      </c>
      <c r="F6176" s="7">
        <v>1</v>
      </c>
      <c r="G6176" s="8" t="s">
        <v>2144</v>
      </c>
      <c r="H6176" s="8" t="s">
        <v>1242</v>
      </c>
      <c r="I6176" s="7" t="str">
        <f>_xlfn.CONCAT(Paper_Reference[[#This Row],[Lvl]:[Paper Description]])</f>
        <v>2XJ8R1001SD580CCHMC WP4-36A 60 X 96110110000020-6200Premium Inkjet MPK 9653</v>
      </c>
      <c r="J6176" s="7">
        <f>COUNTIF(Paper_Reference[Duplicate Key],Paper_Reference[[#This Row],[Duplicate Key]])</f>
        <v>1</v>
      </c>
    </row>
    <row r="6177" spans="1:10">
      <c r="A6177" s="7">
        <v>2</v>
      </c>
      <c r="B6177" s="8" t="s">
        <v>2864</v>
      </c>
      <c r="C6177" s="8" t="s">
        <v>2145</v>
      </c>
      <c r="D6177" s="7">
        <v>1</v>
      </c>
      <c r="E6177" s="7">
        <v>10</v>
      </c>
      <c r="F6177" s="7">
        <v>2</v>
      </c>
      <c r="G6177" s="8" t="s">
        <v>5690</v>
      </c>
      <c r="H6177" s="8" t="s">
        <v>5691</v>
      </c>
      <c r="I6177" s="7" t="str">
        <f>_xlfn.CONCAT(Paper_Reference[[#This Row],[Lvl]:[Paper Description]])</f>
        <v>2XJ8R1001SD580CCHMC WP4-36A 60 X 961102100DS009-6200FROSTY WHITE</v>
      </c>
      <c r="J6177" s="7">
        <f>COUNTIF(Paper_Reference[Duplicate Key],Paper_Reference[[#This Row],[Duplicate Key]])</f>
        <v>1</v>
      </c>
    </row>
    <row r="6178" spans="1:10">
      <c r="A6178" s="7">
        <v>2</v>
      </c>
      <c r="B6178" s="8" t="s">
        <v>2865</v>
      </c>
      <c r="C6178" s="8" t="s">
        <v>2378</v>
      </c>
      <c r="D6178" s="7">
        <v>1</v>
      </c>
      <c r="E6178" s="7">
        <v>10</v>
      </c>
      <c r="F6178" s="7">
        <v>1</v>
      </c>
      <c r="G6178" s="8" t="s">
        <v>2144</v>
      </c>
      <c r="H6178" s="8" t="s">
        <v>1242</v>
      </c>
      <c r="I6178" s="7" t="str">
        <f>_xlfn.CONCAT(Paper_Reference[[#This Row],[Lvl]:[Paper Description]])</f>
        <v>2XJ8R1002SD580CCHMC WP4-37 60 X 96110110000020-6200Premium Inkjet MPK 9653</v>
      </c>
      <c r="J6178" s="7">
        <f>COUNTIF(Paper_Reference[Duplicate Key],Paper_Reference[[#This Row],[Duplicate Key]])</f>
        <v>1</v>
      </c>
    </row>
    <row r="6179" spans="1:10">
      <c r="A6179" s="7">
        <v>2</v>
      </c>
      <c r="B6179" s="8" t="s">
        <v>2865</v>
      </c>
      <c r="C6179" s="8" t="s">
        <v>2378</v>
      </c>
      <c r="D6179" s="7">
        <v>1</v>
      </c>
      <c r="E6179" s="7">
        <v>10</v>
      </c>
      <c r="F6179" s="7">
        <v>2</v>
      </c>
      <c r="G6179" s="8" t="s">
        <v>5690</v>
      </c>
      <c r="H6179" s="8" t="s">
        <v>5691</v>
      </c>
      <c r="I6179" s="7" t="str">
        <f>_xlfn.CONCAT(Paper_Reference[[#This Row],[Lvl]:[Paper Description]])</f>
        <v>2XJ8R1002SD580CCHMC WP4-37 60 X 961102100DS009-6200FROSTY WHITE</v>
      </c>
      <c r="J6179" s="7">
        <f>COUNTIF(Paper_Reference[Duplicate Key],Paper_Reference[[#This Row],[Duplicate Key]])</f>
        <v>1</v>
      </c>
    </row>
    <row r="6180" spans="1:10">
      <c r="A6180" s="7">
        <v>2</v>
      </c>
      <c r="B6180" s="8" t="s">
        <v>2866</v>
      </c>
      <c r="C6180" s="8" t="s">
        <v>2379</v>
      </c>
      <c r="D6180" s="7">
        <v>1</v>
      </c>
      <c r="E6180" s="7">
        <v>10</v>
      </c>
      <c r="F6180" s="7">
        <v>1</v>
      </c>
      <c r="G6180" s="8" t="s">
        <v>2144</v>
      </c>
      <c r="H6180" s="8" t="s">
        <v>1242</v>
      </c>
      <c r="I6180" s="7" t="str">
        <f>_xlfn.CONCAT(Paper_Reference[[#This Row],[Lvl]:[Paper Description]])</f>
        <v>2XJ8R1003SD580COOLIDGE FRUIT TREE 60 X 96110110000020-6200Premium Inkjet MPK 9653</v>
      </c>
      <c r="J6180" s="7">
        <f>COUNTIF(Paper_Reference[Duplicate Key],Paper_Reference[[#This Row],[Duplicate Key]])</f>
        <v>1</v>
      </c>
    </row>
    <row r="6181" spans="1:10">
      <c r="A6181" s="7">
        <v>2</v>
      </c>
      <c r="B6181" s="8" t="s">
        <v>2866</v>
      </c>
      <c r="C6181" s="8" t="s">
        <v>2379</v>
      </c>
      <c r="D6181" s="7">
        <v>1</v>
      </c>
      <c r="E6181" s="7">
        <v>10</v>
      </c>
      <c r="F6181" s="7">
        <v>2</v>
      </c>
      <c r="G6181" s="8" t="s">
        <v>5690</v>
      </c>
      <c r="H6181" s="8" t="s">
        <v>5691</v>
      </c>
      <c r="I6181" s="7" t="str">
        <f>_xlfn.CONCAT(Paper_Reference[[#This Row],[Lvl]:[Paper Description]])</f>
        <v>2XJ8R1003SD580COOLIDGE FRUIT TREE 60 X 961102100DS009-6200FROSTY WHITE</v>
      </c>
      <c r="J6181" s="7">
        <f>COUNTIF(Paper_Reference[Duplicate Key],Paper_Reference[[#This Row],[Duplicate Key]])</f>
        <v>1</v>
      </c>
    </row>
    <row r="6182" spans="1:10">
      <c r="A6182" s="7">
        <v>2</v>
      </c>
      <c r="B6182" s="8" t="s">
        <v>2867</v>
      </c>
      <c r="C6182" s="8" t="s">
        <v>2380</v>
      </c>
      <c r="D6182" s="7">
        <v>1</v>
      </c>
      <c r="E6182" s="7">
        <v>10</v>
      </c>
      <c r="F6182" s="7">
        <v>1</v>
      </c>
      <c r="G6182" s="8" t="s">
        <v>2144</v>
      </c>
      <c r="H6182" s="8" t="s">
        <v>1242</v>
      </c>
      <c r="I6182" s="7" t="str">
        <f>_xlfn.CONCAT(Paper_Reference[[#This Row],[Lvl]:[Paper Description]])</f>
        <v>2XJ8R1006SD500DAYTON SHRINERS P 1-2-3 60 X 1110110000020-6200Premium Inkjet MPK 9653</v>
      </c>
      <c r="J6182" s="7">
        <f>COUNTIF(Paper_Reference[Duplicate Key],Paper_Reference[[#This Row],[Duplicate Key]])</f>
        <v>1</v>
      </c>
    </row>
    <row r="6183" spans="1:10">
      <c r="A6183" s="7">
        <v>2</v>
      </c>
      <c r="B6183" s="8" t="s">
        <v>2867</v>
      </c>
      <c r="C6183" s="8" t="s">
        <v>2380</v>
      </c>
      <c r="D6183" s="7">
        <v>1</v>
      </c>
      <c r="E6183" s="7">
        <v>10</v>
      </c>
      <c r="F6183" s="7">
        <v>2</v>
      </c>
      <c r="G6183" s="8" t="s">
        <v>5690</v>
      </c>
      <c r="H6183" s="8" t="s">
        <v>5691</v>
      </c>
      <c r="I6183" s="7" t="str">
        <f>_xlfn.CONCAT(Paper_Reference[[#This Row],[Lvl]:[Paper Description]])</f>
        <v>2XJ8R1006SD500DAYTON SHRINERS P 1-2-3 60 X 11102100DS009-6200FROSTY WHITE</v>
      </c>
      <c r="J6183" s="7">
        <f>COUNTIF(Paper_Reference[Duplicate Key],Paper_Reference[[#This Row],[Duplicate Key]])</f>
        <v>1</v>
      </c>
    </row>
    <row r="6184" spans="1:10">
      <c r="A6184" s="7">
        <v>2</v>
      </c>
      <c r="B6184" s="8" t="s">
        <v>2868</v>
      </c>
      <c r="C6184" s="8" t="s">
        <v>2381</v>
      </c>
      <c r="D6184" s="7">
        <v>1</v>
      </c>
      <c r="E6184" s="7">
        <v>10</v>
      </c>
      <c r="F6184" s="7">
        <v>1</v>
      </c>
      <c r="G6184" s="8" t="s">
        <v>2144</v>
      </c>
      <c r="H6184" s="8" t="s">
        <v>1242</v>
      </c>
      <c r="I6184" s="7" t="str">
        <f>_xlfn.CONCAT(Paper_Reference[[#This Row],[Lvl]:[Paper Description]])</f>
        <v>2XJ8R1007SD500DAYTON SHRINERS P 4-5-6 60 X 1110110000020-6200Premium Inkjet MPK 9653</v>
      </c>
      <c r="J6184" s="7">
        <f>COUNTIF(Paper_Reference[Duplicate Key],Paper_Reference[[#This Row],[Duplicate Key]])</f>
        <v>1</v>
      </c>
    </row>
    <row r="6185" spans="1:10">
      <c r="A6185" s="7">
        <v>2</v>
      </c>
      <c r="B6185" s="8" t="s">
        <v>2868</v>
      </c>
      <c r="C6185" s="8" t="s">
        <v>2381</v>
      </c>
      <c r="D6185" s="7">
        <v>1</v>
      </c>
      <c r="E6185" s="7">
        <v>10</v>
      </c>
      <c r="F6185" s="7">
        <v>2</v>
      </c>
      <c r="G6185" s="8" t="s">
        <v>5690</v>
      </c>
      <c r="H6185" s="8" t="s">
        <v>5691</v>
      </c>
      <c r="I6185" s="7" t="str">
        <f>_xlfn.CONCAT(Paper_Reference[[#This Row],[Lvl]:[Paper Description]])</f>
        <v>2XJ8R1007SD500DAYTON SHRINERS P 4-5-6 60 X 11102100DS009-6200FROSTY WHITE</v>
      </c>
      <c r="J6185" s="7">
        <f>COUNTIF(Paper_Reference[Duplicate Key],Paper_Reference[[#This Row],[Duplicate Key]])</f>
        <v>1</v>
      </c>
    </row>
    <row r="6186" spans="1:10">
      <c r="A6186" s="7">
        <v>2</v>
      </c>
      <c r="B6186" s="8" t="s">
        <v>2869</v>
      </c>
      <c r="C6186" s="8" t="s">
        <v>2382</v>
      </c>
      <c r="D6186" s="7">
        <v>1</v>
      </c>
      <c r="E6186" s="7">
        <v>10</v>
      </c>
      <c r="F6186" s="7">
        <v>1</v>
      </c>
      <c r="G6186" s="8" t="s">
        <v>2144</v>
      </c>
      <c r="H6186" s="8" t="s">
        <v>1242</v>
      </c>
      <c r="I6186" s="7" t="str">
        <f>_xlfn.CONCAT(Paper_Reference[[#This Row],[Lvl]:[Paper Description]])</f>
        <v>2XJ8R1008SD500DAYTON SHRINERS P 7-8 60 X 120110110000020-6200Premium Inkjet MPK 9653</v>
      </c>
      <c r="J6186" s="7">
        <f>COUNTIF(Paper_Reference[Duplicate Key],Paper_Reference[[#This Row],[Duplicate Key]])</f>
        <v>1</v>
      </c>
    </row>
    <row r="6187" spans="1:10">
      <c r="A6187" s="7">
        <v>2</v>
      </c>
      <c r="B6187" s="8" t="s">
        <v>2869</v>
      </c>
      <c r="C6187" s="8" t="s">
        <v>2382</v>
      </c>
      <c r="D6187" s="7">
        <v>1</v>
      </c>
      <c r="E6187" s="7">
        <v>10</v>
      </c>
      <c r="F6187" s="7">
        <v>2</v>
      </c>
      <c r="G6187" s="8" t="s">
        <v>5690</v>
      </c>
      <c r="H6187" s="8" t="s">
        <v>5691</v>
      </c>
      <c r="I6187" s="7" t="str">
        <f>_xlfn.CONCAT(Paper_Reference[[#This Row],[Lvl]:[Paper Description]])</f>
        <v>2XJ8R1008SD500DAYTON SHRINERS P 7-8 60 X 1201102100DS009-6200FROSTY WHITE</v>
      </c>
      <c r="J6187" s="7">
        <f>COUNTIF(Paper_Reference[Duplicate Key],Paper_Reference[[#This Row],[Duplicate Key]])</f>
        <v>1</v>
      </c>
    </row>
    <row r="6188" spans="1:10">
      <c r="A6188" s="7">
        <v>2</v>
      </c>
      <c r="B6188" s="8" t="s">
        <v>2870</v>
      </c>
      <c r="C6188" s="8" t="s">
        <v>2383</v>
      </c>
      <c r="D6188" s="7">
        <v>1</v>
      </c>
      <c r="E6188" s="7">
        <v>10</v>
      </c>
      <c r="F6188" s="7">
        <v>1</v>
      </c>
      <c r="G6188" s="8" t="s">
        <v>2144</v>
      </c>
      <c r="H6188" s="8" t="s">
        <v>1242</v>
      </c>
      <c r="I6188" s="7" t="str">
        <f>_xlfn.CONCAT(Paper_Reference[[#This Row],[Lvl]:[Paper Description]])</f>
        <v>2XJ8R1009SD500DAYTON SHRINERS P 9-10 60 X 12110110000020-6200Premium Inkjet MPK 9653</v>
      </c>
      <c r="J6188" s="7">
        <f>COUNTIF(Paper_Reference[Duplicate Key],Paper_Reference[[#This Row],[Duplicate Key]])</f>
        <v>1</v>
      </c>
    </row>
    <row r="6189" spans="1:10">
      <c r="A6189" s="7">
        <v>2</v>
      </c>
      <c r="B6189" s="8" t="s">
        <v>2870</v>
      </c>
      <c r="C6189" s="8" t="s">
        <v>2383</v>
      </c>
      <c r="D6189" s="7">
        <v>1</v>
      </c>
      <c r="E6189" s="7">
        <v>10</v>
      </c>
      <c r="F6189" s="7">
        <v>2</v>
      </c>
      <c r="G6189" s="8" t="s">
        <v>5690</v>
      </c>
      <c r="H6189" s="8" t="s">
        <v>5691</v>
      </c>
      <c r="I6189" s="7" t="str">
        <f>_xlfn.CONCAT(Paper_Reference[[#This Row],[Lvl]:[Paper Description]])</f>
        <v>2XJ8R1009SD500DAYTON SHRINERS P 9-10 60 X 121102100DS009-6200FROSTY WHITE</v>
      </c>
      <c r="J6189" s="7">
        <f>COUNTIF(Paper_Reference[Duplicate Key],Paper_Reference[[#This Row],[Duplicate Key]])</f>
        <v>1</v>
      </c>
    </row>
    <row r="6190" spans="1:10">
      <c r="A6190" s="7">
        <v>2</v>
      </c>
      <c r="B6190" s="8" t="s">
        <v>2871</v>
      </c>
      <c r="C6190" s="8" t="s">
        <v>2384</v>
      </c>
      <c r="D6190" s="7">
        <v>1</v>
      </c>
      <c r="E6190" s="7">
        <v>10</v>
      </c>
      <c r="F6190" s="7">
        <v>1</v>
      </c>
      <c r="G6190" s="8" t="s">
        <v>2144</v>
      </c>
      <c r="H6190" s="8" t="s">
        <v>1242</v>
      </c>
      <c r="I6190" s="7" t="str">
        <f>_xlfn.CONCAT(Paper_Reference[[#This Row],[Lvl]:[Paper Description]])</f>
        <v>2XJ8R1010SD500DAYTON SHRINERS P 11-12 60 X 1110110000020-6200Premium Inkjet MPK 9653</v>
      </c>
      <c r="J6190" s="7">
        <f>COUNTIF(Paper_Reference[Duplicate Key],Paper_Reference[[#This Row],[Duplicate Key]])</f>
        <v>1</v>
      </c>
    </row>
    <row r="6191" spans="1:10">
      <c r="A6191" s="7">
        <v>2</v>
      </c>
      <c r="B6191" s="8" t="s">
        <v>2871</v>
      </c>
      <c r="C6191" s="8" t="s">
        <v>2384</v>
      </c>
      <c r="D6191" s="7">
        <v>1</v>
      </c>
      <c r="E6191" s="7">
        <v>10</v>
      </c>
      <c r="F6191" s="7">
        <v>2</v>
      </c>
      <c r="G6191" s="8" t="s">
        <v>5690</v>
      </c>
      <c r="H6191" s="8" t="s">
        <v>5691</v>
      </c>
      <c r="I6191" s="7" t="str">
        <f>_xlfn.CONCAT(Paper_Reference[[#This Row],[Lvl]:[Paper Description]])</f>
        <v>2XJ8R1010SD500DAYTON SHRINERS P 11-12 60 X 11102100DS009-6200FROSTY WHITE</v>
      </c>
      <c r="J6191" s="7">
        <f>COUNTIF(Paper_Reference[Duplicate Key],Paper_Reference[[#This Row],[Duplicate Key]])</f>
        <v>1</v>
      </c>
    </row>
    <row r="6192" spans="1:10">
      <c r="A6192" s="7">
        <v>2</v>
      </c>
      <c r="B6192" s="8" t="s">
        <v>2872</v>
      </c>
      <c r="C6192" s="8" t="s">
        <v>2385</v>
      </c>
      <c r="D6192" s="7">
        <v>1</v>
      </c>
      <c r="E6192" s="7">
        <v>10</v>
      </c>
      <c r="F6192" s="7">
        <v>1</v>
      </c>
      <c r="G6192" s="8" t="s">
        <v>2144</v>
      </c>
      <c r="H6192" s="8" t="s">
        <v>1242</v>
      </c>
      <c r="I6192" s="7" t="str">
        <f>_xlfn.CONCAT(Paper_Reference[[#This Row],[Lvl]:[Paper Description]])</f>
        <v>2XJ8R1011SD500DAYTON SHRINERS P 13-18 60 X 1110110000020-6200Premium Inkjet MPK 9653</v>
      </c>
      <c r="J6192" s="7">
        <f>COUNTIF(Paper_Reference[Duplicate Key],Paper_Reference[[#This Row],[Duplicate Key]])</f>
        <v>1</v>
      </c>
    </row>
    <row r="6193" spans="1:10">
      <c r="A6193" s="7">
        <v>2</v>
      </c>
      <c r="B6193" s="8" t="s">
        <v>2872</v>
      </c>
      <c r="C6193" s="8" t="s">
        <v>2385</v>
      </c>
      <c r="D6193" s="7">
        <v>1</v>
      </c>
      <c r="E6193" s="7">
        <v>10</v>
      </c>
      <c r="F6193" s="7">
        <v>2</v>
      </c>
      <c r="G6193" s="8" t="s">
        <v>5690</v>
      </c>
      <c r="H6193" s="8" t="s">
        <v>5691</v>
      </c>
      <c r="I6193" s="7" t="str">
        <f>_xlfn.CONCAT(Paper_Reference[[#This Row],[Lvl]:[Paper Description]])</f>
        <v>2XJ8R1011SD500DAYTON SHRINERS P 13-18 60 X 11102100DS009-6200FROSTY WHITE</v>
      </c>
      <c r="J6193" s="7">
        <f>COUNTIF(Paper_Reference[Duplicate Key],Paper_Reference[[#This Row],[Duplicate Key]])</f>
        <v>1</v>
      </c>
    </row>
    <row r="6194" spans="1:10">
      <c r="A6194" s="7">
        <v>2</v>
      </c>
      <c r="B6194" s="8" t="s">
        <v>2873</v>
      </c>
      <c r="C6194" s="8" t="s">
        <v>2386</v>
      </c>
      <c r="D6194" s="7">
        <v>1</v>
      </c>
      <c r="E6194" s="7">
        <v>10</v>
      </c>
      <c r="F6194" s="7">
        <v>1</v>
      </c>
      <c r="G6194" s="8" t="s">
        <v>2144</v>
      </c>
      <c r="H6194" s="8" t="s">
        <v>1242</v>
      </c>
      <c r="I6194" s="7" t="str">
        <f>_xlfn.CONCAT(Paper_Reference[[#This Row],[Lvl]:[Paper Description]])</f>
        <v>2XJ8R1012SD500CCHMC GL2-114 60 X 120110110000020-6200Premium Inkjet MPK 9653</v>
      </c>
      <c r="J6194" s="7">
        <f>COUNTIF(Paper_Reference[Duplicate Key],Paper_Reference[[#This Row],[Duplicate Key]])</f>
        <v>1</v>
      </c>
    </row>
    <row r="6195" spans="1:10">
      <c r="A6195" s="7">
        <v>2</v>
      </c>
      <c r="B6195" s="8" t="s">
        <v>2873</v>
      </c>
      <c r="C6195" s="8" t="s">
        <v>2386</v>
      </c>
      <c r="D6195" s="7">
        <v>1</v>
      </c>
      <c r="E6195" s="7">
        <v>10</v>
      </c>
      <c r="F6195" s="7">
        <v>2</v>
      </c>
      <c r="G6195" s="8" t="s">
        <v>5690</v>
      </c>
      <c r="H6195" s="8" t="s">
        <v>5691</v>
      </c>
      <c r="I6195" s="7" t="str">
        <f>_xlfn.CONCAT(Paper_Reference[[#This Row],[Lvl]:[Paper Description]])</f>
        <v>2XJ8R1012SD500CCHMC GL2-114 60 X 1201102100DS009-6200FROSTY WHITE</v>
      </c>
      <c r="J6195" s="7">
        <f>COUNTIF(Paper_Reference[Duplicate Key],Paper_Reference[[#This Row],[Duplicate Key]])</f>
        <v>1</v>
      </c>
    </row>
    <row r="6196" spans="1:10">
      <c r="A6196" s="7">
        <v>2</v>
      </c>
      <c r="B6196" s="8" t="s">
        <v>2874</v>
      </c>
      <c r="C6196" s="8" t="s">
        <v>2387</v>
      </c>
      <c r="D6196" s="7">
        <v>1</v>
      </c>
      <c r="E6196" s="7">
        <v>10</v>
      </c>
      <c r="F6196" s="7">
        <v>1</v>
      </c>
      <c r="G6196" s="8" t="s">
        <v>2144</v>
      </c>
      <c r="H6196" s="8" t="s">
        <v>1242</v>
      </c>
      <c r="I6196" s="7" t="str">
        <f>_xlfn.CONCAT(Paper_Reference[[#This Row],[Lvl]:[Paper Description]])</f>
        <v>2XJ8R1013SD500CCHMC GL2-120 60 X 120110110000020-6200Premium Inkjet MPK 9653</v>
      </c>
      <c r="J6196" s="7">
        <f>COUNTIF(Paper_Reference[Duplicate Key],Paper_Reference[[#This Row],[Duplicate Key]])</f>
        <v>1</v>
      </c>
    </row>
    <row r="6197" spans="1:10">
      <c r="A6197" s="7">
        <v>2</v>
      </c>
      <c r="B6197" s="8" t="s">
        <v>2874</v>
      </c>
      <c r="C6197" s="8" t="s">
        <v>2387</v>
      </c>
      <c r="D6197" s="7">
        <v>1</v>
      </c>
      <c r="E6197" s="7">
        <v>10</v>
      </c>
      <c r="F6197" s="7">
        <v>2</v>
      </c>
      <c r="G6197" s="8" t="s">
        <v>5690</v>
      </c>
      <c r="H6197" s="8" t="s">
        <v>5691</v>
      </c>
      <c r="I6197" s="7" t="str">
        <f>_xlfn.CONCAT(Paper_Reference[[#This Row],[Lvl]:[Paper Description]])</f>
        <v>2XJ8R1013SD500CCHMC GL2-120 60 X 1201102100DS009-6200FROSTY WHITE</v>
      </c>
      <c r="J6197" s="7">
        <f>COUNTIF(Paper_Reference[Duplicate Key],Paper_Reference[[#This Row],[Duplicate Key]])</f>
        <v>1</v>
      </c>
    </row>
    <row r="6198" spans="1:10">
      <c r="A6198" s="7">
        <v>2</v>
      </c>
      <c r="B6198" s="8" t="s">
        <v>2875</v>
      </c>
      <c r="C6198" s="8" t="s">
        <v>2388</v>
      </c>
      <c r="D6198" s="7">
        <v>1</v>
      </c>
      <c r="E6198" s="7">
        <v>10</v>
      </c>
      <c r="F6198" s="7">
        <v>1</v>
      </c>
      <c r="G6198" s="8" t="s">
        <v>2144</v>
      </c>
      <c r="H6198" s="8" t="s">
        <v>1242</v>
      </c>
      <c r="I6198" s="7" t="str">
        <f>_xlfn.CONCAT(Paper_Reference[[#This Row],[Lvl]:[Paper Description]])</f>
        <v>2XJ8R1014SD500CCHMC GL2-126 60 X 120110110000020-6200Premium Inkjet MPK 9653</v>
      </c>
      <c r="J6198" s="7">
        <f>COUNTIF(Paper_Reference[Duplicate Key],Paper_Reference[[#This Row],[Duplicate Key]])</f>
        <v>1</v>
      </c>
    </row>
    <row r="6199" spans="1:10">
      <c r="A6199" s="7">
        <v>2</v>
      </c>
      <c r="B6199" s="8" t="s">
        <v>2875</v>
      </c>
      <c r="C6199" s="8" t="s">
        <v>2388</v>
      </c>
      <c r="D6199" s="7">
        <v>1</v>
      </c>
      <c r="E6199" s="7">
        <v>10</v>
      </c>
      <c r="F6199" s="7">
        <v>2</v>
      </c>
      <c r="G6199" s="8" t="s">
        <v>5690</v>
      </c>
      <c r="H6199" s="8" t="s">
        <v>5691</v>
      </c>
      <c r="I6199" s="7" t="str">
        <f>_xlfn.CONCAT(Paper_Reference[[#This Row],[Lvl]:[Paper Description]])</f>
        <v>2XJ8R1014SD500CCHMC GL2-126 60 X 1201102100DS009-6200FROSTY WHITE</v>
      </c>
      <c r="J6199" s="7">
        <f>COUNTIF(Paper_Reference[Duplicate Key],Paper_Reference[[#This Row],[Duplicate Key]])</f>
        <v>1</v>
      </c>
    </row>
    <row r="6200" spans="1:10">
      <c r="A6200" s="7">
        <v>2</v>
      </c>
      <c r="B6200" s="8" t="s">
        <v>2876</v>
      </c>
      <c r="C6200" s="8" t="s">
        <v>2389</v>
      </c>
      <c r="D6200" s="7">
        <v>1</v>
      </c>
      <c r="E6200" s="7">
        <v>10</v>
      </c>
      <c r="F6200" s="7">
        <v>1</v>
      </c>
      <c r="G6200" s="8" t="s">
        <v>2144</v>
      </c>
      <c r="H6200" s="8" t="s">
        <v>1242</v>
      </c>
      <c r="I6200" s="7" t="str">
        <f>_xlfn.CONCAT(Paper_Reference[[#This Row],[Lvl]:[Paper Description]])</f>
        <v>2XJ8R1015SD500CCHMC GL2-201 60 X 120110110000020-6200Premium Inkjet MPK 9653</v>
      </c>
      <c r="J6200" s="7">
        <f>COUNTIF(Paper_Reference[Duplicate Key],Paper_Reference[[#This Row],[Duplicate Key]])</f>
        <v>1</v>
      </c>
    </row>
    <row r="6201" spans="1:10">
      <c r="A6201" s="7">
        <v>2</v>
      </c>
      <c r="B6201" s="8" t="s">
        <v>2876</v>
      </c>
      <c r="C6201" s="8" t="s">
        <v>2389</v>
      </c>
      <c r="D6201" s="7">
        <v>1</v>
      </c>
      <c r="E6201" s="7">
        <v>10</v>
      </c>
      <c r="F6201" s="7">
        <v>2</v>
      </c>
      <c r="G6201" s="8" t="s">
        <v>5690</v>
      </c>
      <c r="H6201" s="8" t="s">
        <v>5691</v>
      </c>
      <c r="I6201" s="7" t="str">
        <f>_xlfn.CONCAT(Paper_Reference[[#This Row],[Lvl]:[Paper Description]])</f>
        <v>2XJ8R1015SD500CCHMC GL2-201 60 X 1201102100DS009-6200FROSTY WHITE</v>
      </c>
      <c r="J6201" s="7">
        <f>COUNTIF(Paper_Reference[Duplicate Key],Paper_Reference[[#This Row],[Duplicate Key]])</f>
        <v>1</v>
      </c>
    </row>
    <row r="6202" spans="1:10">
      <c r="A6202" s="7">
        <v>2</v>
      </c>
      <c r="B6202" s="8" t="s">
        <v>2877</v>
      </c>
      <c r="C6202" s="8" t="s">
        <v>2390</v>
      </c>
      <c r="D6202" s="7">
        <v>1</v>
      </c>
      <c r="E6202" s="7">
        <v>10</v>
      </c>
      <c r="F6202" s="7">
        <v>1</v>
      </c>
      <c r="G6202" s="8" t="s">
        <v>2144</v>
      </c>
      <c r="H6202" s="8" t="s">
        <v>1242</v>
      </c>
      <c r="I6202" s="7" t="str">
        <f>_xlfn.CONCAT(Paper_Reference[[#This Row],[Lvl]:[Paper Description]])</f>
        <v>2XJ8R1015SD580CCHMC GL2-201 60 X 96110110000020-6200Premium Inkjet MPK 9653</v>
      </c>
      <c r="J6202" s="7">
        <f>COUNTIF(Paper_Reference[Duplicate Key],Paper_Reference[[#This Row],[Duplicate Key]])</f>
        <v>1</v>
      </c>
    </row>
    <row r="6203" spans="1:10">
      <c r="A6203" s="7">
        <v>2</v>
      </c>
      <c r="B6203" s="8" t="s">
        <v>2877</v>
      </c>
      <c r="C6203" s="8" t="s">
        <v>2390</v>
      </c>
      <c r="D6203" s="7">
        <v>1</v>
      </c>
      <c r="E6203" s="7">
        <v>10</v>
      </c>
      <c r="F6203" s="7">
        <v>2</v>
      </c>
      <c r="G6203" s="8" t="s">
        <v>5690</v>
      </c>
      <c r="H6203" s="8" t="s">
        <v>5691</v>
      </c>
      <c r="I6203" s="7" t="str">
        <f>_xlfn.CONCAT(Paper_Reference[[#This Row],[Lvl]:[Paper Description]])</f>
        <v>2XJ8R1015SD580CCHMC GL2-201 60 X 961102100DS009-6200FROSTY WHITE</v>
      </c>
      <c r="J6203" s="7">
        <f>COUNTIF(Paper_Reference[Duplicate Key],Paper_Reference[[#This Row],[Duplicate Key]])</f>
        <v>1</v>
      </c>
    </row>
    <row r="6204" spans="1:10">
      <c r="A6204" s="7">
        <v>2</v>
      </c>
      <c r="B6204" s="8" t="s">
        <v>2878</v>
      </c>
      <c r="C6204" s="8" t="s">
        <v>2391</v>
      </c>
      <c r="D6204" s="7">
        <v>1</v>
      </c>
      <c r="E6204" s="7">
        <v>10</v>
      </c>
      <c r="F6204" s="7">
        <v>1</v>
      </c>
      <c r="G6204" s="8" t="s">
        <v>2144</v>
      </c>
      <c r="H6204" s="8" t="s">
        <v>1242</v>
      </c>
      <c r="I6204" s="7" t="str">
        <f>_xlfn.CONCAT(Paper_Reference[[#This Row],[Lvl]:[Paper Description]])</f>
        <v>2XJ8R1016SD500CCHMC GL2-202 60 X 120110110000020-6200Premium Inkjet MPK 9653</v>
      </c>
      <c r="J6204" s="7">
        <f>COUNTIF(Paper_Reference[Duplicate Key],Paper_Reference[[#This Row],[Duplicate Key]])</f>
        <v>1</v>
      </c>
    </row>
    <row r="6205" spans="1:10">
      <c r="A6205" s="7">
        <v>2</v>
      </c>
      <c r="B6205" s="8" t="s">
        <v>2878</v>
      </c>
      <c r="C6205" s="8" t="s">
        <v>2391</v>
      </c>
      <c r="D6205" s="7">
        <v>1</v>
      </c>
      <c r="E6205" s="7">
        <v>10</v>
      </c>
      <c r="F6205" s="7">
        <v>2</v>
      </c>
      <c r="G6205" s="8" t="s">
        <v>5690</v>
      </c>
      <c r="H6205" s="8" t="s">
        <v>5691</v>
      </c>
      <c r="I6205" s="7" t="str">
        <f>_xlfn.CONCAT(Paper_Reference[[#This Row],[Lvl]:[Paper Description]])</f>
        <v>2XJ8R1016SD500CCHMC GL2-202 60 X 1201102100DS009-6200FROSTY WHITE</v>
      </c>
      <c r="J6205" s="7">
        <f>COUNTIF(Paper_Reference[Duplicate Key],Paper_Reference[[#This Row],[Duplicate Key]])</f>
        <v>1</v>
      </c>
    </row>
    <row r="6206" spans="1:10">
      <c r="A6206" s="7">
        <v>2</v>
      </c>
      <c r="B6206" s="8" t="s">
        <v>2879</v>
      </c>
      <c r="C6206" s="8" t="s">
        <v>2392</v>
      </c>
      <c r="D6206" s="7">
        <v>1</v>
      </c>
      <c r="E6206" s="7">
        <v>10</v>
      </c>
      <c r="F6206" s="7">
        <v>1</v>
      </c>
      <c r="G6206" s="8" t="s">
        <v>2144</v>
      </c>
      <c r="H6206" s="8" t="s">
        <v>1242</v>
      </c>
      <c r="I6206" s="7" t="str">
        <f>_xlfn.CONCAT(Paper_Reference[[#This Row],[Lvl]:[Paper Description]])</f>
        <v>2XJ8R1017SD500CCHMC GL2-210 60 X 120110110000020-6200Premium Inkjet MPK 9653</v>
      </c>
      <c r="J6206" s="7">
        <f>COUNTIF(Paper_Reference[Duplicate Key],Paper_Reference[[#This Row],[Duplicate Key]])</f>
        <v>1</v>
      </c>
    </row>
    <row r="6207" spans="1:10">
      <c r="A6207" s="7">
        <v>2</v>
      </c>
      <c r="B6207" s="8" t="s">
        <v>2879</v>
      </c>
      <c r="C6207" s="8" t="s">
        <v>2392</v>
      </c>
      <c r="D6207" s="7">
        <v>1</v>
      </c>
      <c r="E6207" s="7">
        <v>10</v>
      </c>
      <c r="F6207" s="7">
        <v>2</v>
      </c>
      <c r="G6207" s="8" t="s">
        <v>5690</v>
      </c>
      <c r="H6207" s="8" t="s">
        <v>5691</v>
      </c>
      <c r="I6207" s="7" t="str">
        <f>_xlfn.CONCAT(Paper_Reference[[#This Row],[Lvl]:[Paper Description]])</f>
        <v>2XJ8R1017SD500CCHMC GL2-210 60 X 1201102100DS009-6200FROSTY WHITE</v>
      </c>
      <c r="J6207" s="7">
        <f>COUNTIF(Paper_Reference[Duplicate Key],Paper_Reference[[#This Row],[Duplicate Key]])</f>
        <v>1</v>
      </c>
    </row>
    <row r="6208" spans="1:10">
      <c r="A6208" s="7">
        <v>2</v>
      </c>
      <c r="B6208" s="8" t="s">
        <v>2880</v>
      </c>
      <c r="C6208" s="8" t="s">
        <v>2393</v>
      </c>
      <c r="D6208" s="7">
        <v>1</v>
      </c>
      <c r="E6208" s="7">
        <v>10</v>
      </c>
      <c r="F6208" s="7">
        <v>1</v>
      </c>
      <c r="G6208" s="8" t="s">
        <v>2144</v>
      </c>
      <c r="H6208" s="8" t="s">
        <v>1242</v>
      </c>
      <c r="I6208" s="7" t="str">
        <f>_xlfn.CONCAT(Paper_Reference[[#This Row],[Lvl]:[Paper Description]])</f>
        <v>2XJ8R1018SD500CCHMC GL2-214 60 X 120110110000020-6200Premium Inkjet MPK 9653</v>
      </c>
      <c r="J6208" s="7">
        <f>COUNTIF(Paper_Reference[Duplicate Key],Paper_Reference[[#This Row],[Duplicate Key]])</f>
        <v>1</v>
      </c>
    </row>
    <row r="6209" spans="1:10">
      <c r="A6209" s="7">
        <v>2</v>
      </c>
      <c r="B6209" s="8" t="s">
        <v>2880</v>
      </c>
      <c r="C6209" s="8" t="s">
        <v>2393</v>
      </c>
      <c r="D6209" s="7">
        <v>1</v>
      </c>
      <c r="E6209" s="7">
        <v>10</v>
      </c>
      <c r="F6209" s="7">
        <v>2</v>
      </c>
      <c r="G6209" s="8" t="s">
        <v>5690</v>
      </c>
      <c r="H6209" s="8" t="s">
        <v>5691</v>
      </c>
      <c r="I6209" s="7" t="str">
        <f>_xlfn.CONCAT(Paper_Reference[[#This Row],[Lvl]:[Paper Description]])</f>
        <v>2XJ8R1018SD500CCHMC GL2-214 60 X 1201102100DS009-6200FROSTY WHITE</v>
      </c>
      <c r="J6209" s="7">
        <f>COUNTIF(Paper_Reference[Duplicate Key],Paper_Reference[[#This Row],[Duplicate Key]])</f>
        <v>1</v>
      </c>
    </row>
    <row r="6210" spans="1:10">
      <c r="A6210" s="7">
        <v>2</v>
      </c>
      <c r="B6210" s="8" t="s">
        <v>2881</v>
      </c>
      <c r="C6210" s="8" t="s">
        <v>2394</v>
      </c>
      <c r="D6210" s="7">
        <v>1</v>
      </c>
      <c r="E6210" s="7">
        <v>10</v>
      </c>
      <c r="F6210" s="7">
        <v>1</v>
      </c>
      <c r="G6210" s="8" t="s">
        <v>2144</v>
      </c>
      <c r="H6210" s="8" t="s">
        <v>1242</v>
      </c>
      <c r="I6210" s="7" t="str">
        <f>_xlfn.CONCAT(Paper_Reference[[#This Row],[Lvl]:[Paper Description]])</f>
        <v>2XJ8R1019SD500CCHMC GL2-218 60 X 120110110000020-6200Premium Inkjet MPK 9653</v>
      </c>
      <c r="J6210" s="7">
        <f>COUNTIF(Paper_Reference[Duplicate Key],Paper_Reference[[#This Row],[Duplicate Key]])</f>
        <v>1</v>
      </c>
    </row>
    <row r="6211" spans="1:10">
      <c r="A6211" s="7">
        <v>2</v>
      </c>
      <c r="B6211" s="8" t="s">
        <v>2881</v>
      </c>
      <c r="C6211" s="8" t="s">
        <v>2394</v>
      </c>
      <c r="D6211" s="7">
        <v>1</v>
      </c>
      <c r="E6211" s="7">
        <v>10</v>
      </c>
      <c r="F6211" s="7">
        <v>2</v>
      </c>
      <c r="G6211" s="8" t="s">
        <v>5690</v>
      </c>
      <c r="H6211" s="8" t="s">
        <v>5691</v>
      </c>
      <c r="I6211" s="7" t="str">
        <f>_xlfn.CONCAT(Paper_Reference[[#This Row],[Lvl]:[Paper Description]])</f>
        <v>2XJ8R1019SD500CCHMC GL2-218 60 X 1201102100DS009-6200FROSTY WHITE</v>
      </c>
      <c r="J6211" s="7">
        <f>COUNTIF(Paper_Reference[Duplicate Key],Paper_Reference[[#This Row],[Duplicate Key]])</f>
        <v>1</v>
      </c>
    </row>
    <row r="6212" spans="1:10">
      <c r="A6212" s="7">
        <v>2</v>
      </c>
      <c r="B6212" s="8" t="s">
        <v>2882</v>
      </c>
      <c r="C6212" s="8" t="s">
        <v>2395</v>
      </c>
      <c r="D6212" s="7">
        <v>1</v>
      </c>
      <c r="E6212" s="7">
        <v>10</v>
      </c>
      <c r="F6212" s="7">
        <v>1</v>
      </c>
      <c r="G6212" s="8" t="s">
        <v>2144</v>
      </c>
      <c r="H6212" s="8" t="s">
        <v>1242</v>
      </c>
      <c r="I6212" s="7" t="str">
        <f>_xlfn.CONCAT(Paper_Reference[[#This Row],[Lvl]:[Paper Description]])</f>
        <v>2XJ8R1020SD500CCHMC GL2-222 60 X 120110110000020-6200Premium Inkjet MPK 9653</v>
      </c>
      <c r="J6212" s="7">
        <f>COUNTIF(Paper_Reference[Duplicate Key],Paper_Reference[[#This Row],[Duplicate Key]])</f>
        <v>1</v>
      </c>
    </row>
    <row r="6213" spans="1:10">
      <c r="A6213" s="7">
        <v>2</v>
      </c>
      <c r="B6213" s="8" t="s">
        <v>2882</v>
      </c>
      <c r="C6213" s="8" t="s">
        <v>2395</v>
      </c>
      <c r="D6213" s="7">
        <v>1</v>
      </c>
      <c r="E6213" s="7">
        <v>10</v>
      </c>
      <c r="F6213" s="7">
        <v>2</v>
      </c>
      <c r="G6213" s="8" t="s">
        <v>5690</v>
      </c>
      <c r="H6213" s="8" t="s">
        <v>5691</v>
      </c>
      <c r="I6213" s="7" t="str">
        <f>_xlfn.CONCAT(Paper_Reference[[#This Row],[Lvl]:[Paper Description]])</f>
        <v>2XJ8R1020SD500CCHMC GL2-222 60 X 1201102100DS009-6200FROSTY WHITE</v>
      </c>
      <c r="J6213" s="7">
        <f>COUNTIF(Paper_Reference[Duplicate Key],Paper_Reference[[#This Row],[Duplicate Key]])</f>
        <v>1</v>
      </c>
    </row>
    <row r="6214" spans="1:10">
      <c r="A6214" s="7">
        <v>2</v>
      </c>
      <c r="B6214" s="8" t="s">
        <v>2883</v>
      </c>
      <c r="C6214" s="8" t="s">
        <v>2396</v>
      </c>
      <c r="D6214" s="7">
        <v>1</v>
      </c>
      <c r="E6214" s="7">
        <v>10</v>
      </c>
      <c r="F6214" s="7">
        <v>1</v>
      </c>
      <c r="G6214" s="8" t="s">
        <v>2144</v>
      </c>
      <c r="H6214" s="8" t="s">
        <v>1242</v>
      </c>
      <c r="I6214" s="7" t="str">
        <f>_xlfn.CONCAT(Paper_Reference[[#This Row],[Lvl]:[Paper Description]])</f>
        <v>2XJ8R1021SD500CCHMC GL2-224 60 X 120110110000020-6200Premium Inkjet MPK 9653</v>
      </c>
      <c r="J6214" s="7">
        <f>COUNTIF(Paper_Reference[Duplicate Key],Paper_Reference[[#This Row],[Duplicate Key]])</f>
        <v>1</v>
      </c>
    </row>
    <row r="6215" spans="1:10">
      <c r="A6215" s="7">
        <v>2</v>
      </c>
      <c r="B6215" s="8" t="s">
        <v>2883</v>
      </c>
      <c r="C6215" s="8" t="s">
        <v>2396</v>
      </c>
      <c r="D6215" s="7">
        <v>1</v>
      </c>
      <c r="E6215" s="7">
        <v>10</v>
      </c>
      <c r="F6215" s="7">
        <v>2</v>
      </c>
      <c r="G6215" s="8" t="s">
        <v>5690</v>
      </c>
      <c r="H6215" s="8" t="s">
        <v>5691</v>
      </c>
      <c r="I6215" s="7" t="str">
        <f>_xlfn.CONCAT(Paper_Reference[[#This Row],[Lvl]:[Paper Description]])</f>
        <v>2XJ8R1021SD500CCHMC GL2-224 60 X 1201102100DS009-6200FROSTY WHITE</v>
      </c>
      <c r="J6215" s="7">
        <f>COUNTIF(Paper_Reference[Duplicate Key],Paper_Reference[[#This Row],[Duplicate Key]])</f>
        <v>1</v>
      </c>
    </row>
    <row r="6216" spans="1:10">
      <c r="A6216" s="7">
        <v>2</v>
      </c>
      <c r="B6216" s="8" t="s">
        <v>2884</v>
      </c>
      <c r="C6216" s="8" t="s">
        <v>2397</v>
      </c>
      <c r="D6216" s="7">
        <v>1</v>
      </c>
      <c r="E6216" s="7">
        <v>10</v>
      </c>
      <c r="F6216" s="7">
        <v>1</v>
      </c>
      <c r="G6216" s="8" t="s">
        <v>2144</v>
      </c>
      <c r="H6216" s="8" t="s">
        <v>1242</v>
      </c>
      <c r="I6216" s="7" t="str">
        <f>_xlfn.CONCAT(Paper_Reference[[#This Row],[Lvl]:[Paper Description]])</f>
        <v>2XJ8R1022SD500CCHMC GL2-230 60 X 120110110000020-6200Premium Inkjet MPK 9653</v>
      </c>
      <c r="J6216" s="7">
        <f>COUNTIF(Paper_Reference[Duplicate Key],Paper_Reference[[#This Row],[Duplicate Key]])</f>
        <v>1</v>
      </c>
    </row>
    <row r="6217" spans="1:10">
      <c r="A6217" s="7">
        <v>2</v>
      </c>
      <c r="B6217" s="8" t="s">
        <v>2884</v>
      </c>
      <c r="C6217" s="8" t="s">
        <v>2397</v>
      </c>
      <c r="D6217" s="7">
        <v>1</v>
      </c>
      <c r="E6217" s="7">
        <v>10</v>
      </c>
      <c r="F6217" s="7">
        <v>2</v>
      </c>
      <c r="G6217" s="8" t="s">
        <v>5690</v>
      </c>
      <c r="H6217" s="8" t="s">
        <v>5691</v>
      </c>
      <c r="I6217" s="7" t="str">
        <f>_xlfn.CONCAT(Paper_Reference[[#This Row],[Lvl]:[Paper Description]])</f>
        <v>2XJ8R1022SD500CCHMC GL2-230 60 X 1201102100DS009-6200FROSTY WHITE</v>
      </c>
      <c r="J6217" s="7">
        <f>COUNTIF(Paper_Reference[Duplicate Key],Paper_Reference[[#This Row],[Duplicate Key]])</f>
        <v>1</v>
      </c>
    </row>
    <row r="6218" spans="1:10">
      <c r="A6218" s="7">
        <v>2</v>
      </c>
      <c r="B6218" s="8" t="s">
        <v>2885</v>
      </c>
      <c r="C6218" s="8" t="s">
        <v>2398</v>
      </c>
      <c r="D6218" s="7">
        <v>1</v>
      </c>
      <c r="E6218" s="7">
        <v>10</v>
      </c>
      <c r="F6218" s="7">
        <v>1</v>
      </c>
      <c r="G6218" s="8" t="s">
        <v>2144</v>
      </c>
      <c r="H6218" s="8" t="s">
        <v>1242</v>
      </c>
      <c r="I6218" s="7" t="str">
        <f>_xlfn.CONCAT(Paper_Reference[[#This Row],[Lvl]:[Paper Description]])</f>
        <v>2XJ8R1023SD500CCHMC GL2-260 60 X 120110110000020-6200Premium Inkjet MPK 9653</v>
      </c>
      <c r="J6218" s="7">
        <f>COUNTIF(Paper_Reference[Duplicate Key],Paper_Reference[[#This Row],[Duplicate Key]])</f>
        <v>1</v>
      </c>
    </row>
    <row r="6219" spans="1:10">
      <c r="A6219" s="7">
        <v>2</v>
      </c>
      <c r="B6219" s="8" t="s">
        <v>2885</v>
      </c>
      <c r="C6219" s="8" t="s">
        <v>2398</v>
      </c>
      <c r="D6219" s="7">
        <v>1</v>
      </c>
      <c r="E6219" s="7">
        <v>10</v>
      </c>
      <c r="F6219" s="7">
        <v>2</v>
      </c>
      <c r="G6219" s="8" t="s">
        <v>5690</v>
      </c>
      <c r="H6219" s="8" t="s">
        <v>5691</v>
      </c>
      <c r="I6219" s="7" t="str">
        <f>_xlfn.CONCAT(Paper_Reference[[#This Row],[Lvl]:[Paper Description]])</f>
        <v>2XJ8R1023SD500CCHMC GL2-260 60 X 1201102100DS009-6200FROSTY WHITE</v>
      </c>
      <c r="J6219" s="7">
        <f>COUNTIF(Paper_Reference[Duplicate Key],Paper_Reference[[#This Row],[Duplicate Key]])</f>
        <v>1</v>
      </c>
    </row>
    <row r="6220" spans="1:10">
      <c r="A6220" s="7">
        <v>2</v>
      </c>
      <c r="B6220" s="8" t="s">
        <v>2886</v>
      </c>
      <c r="C6220" s="8" t="s">
        <v>2399</v>
      </c>
      <c r="D6220" s="7">
        <v>1</v>
      </c>
      <c r="E6220" s="7">
        <v>10</v>
      </c>
      <c r="F6220" s="7">
        <v>1</v>
      </c>
      <c r="G6220" s="8" t="s">
        <v>2144</v>
      </c>
      <c r="H6220" s="8" t="s">
        <v>1242</v>
      </c>
      <c r="I6220" s="7" t="str">
        <f>_xlfn.CONCAT(Paper_Reference[[#This Row],[Lvl]:[Paper Description]])</f>
        <v>2XJ8R1024SD500CCHMC GL2-264 60 X 120110110000020-6200Premium Inkjet MPK 9653</v>
      </c>
      <c r="J6220" s="7">
        <f>COUNTIF(Paper_Reference[Duplicate Key],Paper_Reference[[#This Row],[Duplicate Key]])</f>
        <v>1</v>
      </c>
    </row>
    <row r="6221" spans="1:10">
      <c r="A6221" s="7">
        <v>2</v>
      </c>
      <c r="B6221" s="8" t="s">
        <v>2886</v>
      </c>
      <c r="C6221" s="8" t="s">
        <v>2399</v>
      </c>
      <c r="D6221" s="7">
        <v>1</v>
      </c>
      <c r="E6221" s="7">
        <v>10</v>
      </c>
      <c r="F6221" s="7">
        <v>2</v>
      </c>
      <c r="G6221" s="8" t="s">
        <v>5690</v>
      </c>
      <c r="H6221" s="8" t="s">
        <v>5691</v>
      </c>
      <c r="I6221" s="7" t="str">
        <f>_xlfn.CONCAT(Paper_Reference[[#This Row],[Lvl]:[Paper Description]])</f>
        <v>2XJ8R1024SD500CCHMC GL2-264 60 X 1201102100DS009-6200FROSTY WHITE</v>
      </c>
      <c r="J6221" s="7">
        <f>COUNTIF(Paper_Reference[Duplicate Key],Paper_Reference[[#This Row],[Duplicate Key]])</f>
        <v>1</v>
      </c>
    </row>
    <row r="6222" spans="1:10">
      <c r="A6222" s="7">
        <v>2</v>
      </c>
      <c r="B6222" s="8" t="s">
        <v>2887</v>
      </c>
      <c r="C6222" s="8" t="s">
        <v>2400</v>
      </c>
      <c r="D6222" s="7">
        <v>1</v>
      </c>
      <c r="E6222" s="7">
        <v>10</v>
      </c>
      <c r="F6222" s="7">
        <v>1</v>
      </c>
      <c r="G6222" s="8" t="s">
        <v>2144</v>
      </c>
      <c r="H6222" s="8" t="s">
        <v>1242</v>
      </c>
      <c r="I6222" s="7" t="str">
        <f>_xlfn.CONCAT(Paper_Reference[[#This Row],[Lvl]:[Paper Description]])</f>
        <v>2XJ8R1025SD500CCHMC GL2-306 60 X 120110110000020-6200Premium Inkjet MPK 9653</v>
      </c>
      <c r="J6222" s="7">
        <f>COUNTIF(Paper_Reference[Duplicate Key],Paper_Reference[[#This Row],[Duplicate Key]])</f>
        <v>1</v>
      </c>
    </row>
    <row r="6223" spans="1:10">
      <c r="A6223" s="7">
        <v>2</v>
      </c>
      <c r="B6223" s="8" t="s">
        <v>2887</v>
      </c>
      <c r="C6223" s="8" t="s">
        <v>2400</v>
      </c>
      <c r="D6223" s="7">
        <v>1</v>
      </c>
      <c r="E6223" s="7">
        <v>10</v>
      </c>
      <c r="F6223" s="7">
        <v>2</v>
      </c>
      <c r="G6223" s="8" t="s">
        <v>5690</v>
      </c>
      <c r="H6223" s="8" t="s">
        <v>5691</v>
      </c>
      <c r="I6223" s="7" t="str">
        <f>_xlfn.CONCAT(Paper_Reference[[#This Row],[Lvl]:[Paper Description]])</f>
        <v>2XJ8R1025SD500CCHMC GL2-306 60 X 1201102100DS009-6200FROSTY WHITE</v>
      </c>
      <c r="J6223" s="7">
        <f>COUNTIF(Paper_Reference[Duplicate Key],Paper_Reference[[#This Row],[Duplicate Key]])</f>
        <v>1</v>
      </c>
    </row>
    <row r="6224" spans="1:10">
      <c r="A6224" s="7">
        <v>2</v>
      </c>
      <c r="B6224" s="8" t="s">
        <v>2888</v>
      </c>
      <c r="C6224" s="8" t="s">
        <v>2401</v>
      </c>
      <c r="D6224" s="7">
        <v>1</v>
      </c>
      <c r="E6224" s="7">
        <v>10</v>
      </c>
      <c r="F6224" s="7">
        <v>1</v>
      </c>
      <c r="G6224" s="8" t="s">
        <v>2144</v>
      </c>
      <c r="H6224" s="8" t="s">
        <v>1242</v>
      </c>
      <c r="I6224" s="7" t="str">
        <f>_xlfn.CONCAT(Paper_Reference[[#This Row],[Lvl]:[Paper Description]])</f>
        <v>2XJ8R1026SD500CCHMC GL2-808 60 X 120110110000020-6200Premium Inkjet MPK 9653</v>
      </c>
      <c r="J6224" s="7">
        <f>COUNTIF(Paper_Reference[Duplicate Key],Paper_Reference[[#This Row],[Duplicate Key]])</f>
        <v>1</v>
      </c>
    </row>
    <row r="6225" spans="1:10">
      <c r="A6225" s="7">
        <v>2</v>
      </c>
      <c r="B6225" s="8" t="s">
        <v>2888</v>
      </c>
      <c r="C6225" s="8" t="s">
        <v>2401</v>
      </c>
      <c r="D6225" s="7">
        <v>1</v>
      </c>
      <c r="E6225" s="7">
        <v>10</v>
      </c>
      <c r="F6225" s="7">
        <v>2</v>
      </c>
      <c r="G6225" s="8" t="s">
        <v>5690</v>
      </c>
      <c r="H6225" s="8" t="s">
        <v>5691</v>
      </c>
      <c r="I6225" s="7" t="str">
        <f>_xlfn.CONCAT(Paper_Reference[[#This Row],[Lvl]:[Paper Description]])</f>
        <v>2XJ8R1026SD500CCHMC GL2-808 60 X 1201102100DS009-6200FROSTY WHITE</v>
      </c>
      <c r="J6225" s="7">
        <f>COUNTIF(Paper_Reference[Duplicate Key],Paper_Reference[[#This Row],[Duplicate Key]])</f>
        <v>1</v>
      </c>
    </row>
    <row r="6226" spans="1:10">
      <c r="A6226" s="7">
        <v>2</v>
      </c>
      <c r="B6226" s="8" t="s">
        <v>2889</v>
      </c>
      <c r="C6226" s="8" t="s">
        <v>2402</v>
      </c>
      <c r="D6226" s="7">
        <v>1</v>
      </c>
      <c r="E6226" s="7">
        <v>10</v>
      </c>
      <c r="F6226" s="7">
        <v>1</v>
      </c>
      <c r="G6226" s="8" t="s">
        <v>2144</v>
      </c>
      <c r="H6226" s="8" t="s">
        <v>1242</v>
      </c>
      <c r="I6226" s="7" t="str">
        <f>_xlfn.CONCAT(Paper_Reference[[#This Row],[Lvl]:[Paper Description]])</f>
        <v>2XJ8R1026SD580CCHMC GL2-808 60 X 96110110000020-6200Premium Inkjet MPK 9653</v>
      </c>
      <c r="J6226" s="7">
        <f>COUNTIF(Paper_Reference[Duplicate Key],Paper_Reference[[#This Row],[Duplicate Key]])</f>
        <v>1</v>
      </c>
    </row>
    <row r="6227" spans="1:10">
      <c r="A6227" s="7">
        <v>2</v>
      </c>
      <c r="B6227" s="8" t="s">
        <v>2889</v>
      </c>
      <c r="C6227" s="8" t="s">
        <v>2402</v>
      </c>
      <c r="D6227" s="7">
        <v>1</v>
      </c>
      <c r="E6227" s="7">
        <v>10</v>
      </c>
      <c r="F6227" s="7">
        <v>2</v>
      </c>
      <c r="G6227" s="8" t="s">
        <v>5690</v>
      </c>
      <c r="H6227" s="8" t="s">
        <v>5691</v>
      </c>
      <c r="I6227" s="7" t="str">
        <f>_xlfn.CONCAT(Paper_Reference[[#This Row],[Lvl]:[Paper Description]])</f>
        <v>2XJ8R1026SD580CCHMC GL2-808 60 X 961102100DS009-6200FROSTY WHITE</v>
      </c>
      <c r="J6227" s="7">
        <f>COUNTIF(Paper_Reference[Duplicate Key],Paper_Reference[[#This Row],[Duplicate Key]])</f>
        <v>1</v>
      </c>
    </row>
    <row r="6228" spans="1:10">
      <c r="A6228" s="7">
        <v>2</v>
      </c>
      <c r="B6228" s="8" t="s">
        <v>2890</v>
      </c>
      <c r="C6228" s="8" t="s">
        <v>2403</v>
      </c>
      <c r="D6228" s="7">
        <v>1</v>
      </c>
      <c r="E6228" s="7">
        <v>10</v>
      </c>
      <c r="F6228" s="7">
        <v>1</v>
      </c>
      <c r="G6228" s="8" t="s">
        <v>2144</v>
      </c>
      <c r="H6228" s="8" t="s">
        <v>1242</v>
      </c>
      <c r="I6228" s="7" t="str">
        <f>_xlfn.CONCAT(Paper_Reference[[#This Row],[Lvl]:[Paper Description]])</f>
        <v>2XJ8R1027SD500CCHMC GL2-810 60 X 120110110000020-6200Premium Inkjet MPK 9653</v>
      </c>
      <c r="J6228" s="7">
        <f>COUNTIF(Paper_Reference[Duplicate Key],Paper_Reference[[#This Row],[Duplicate Key]])</f>
        <v>1</v>
      </c>
    </row>
    <row r="6229" spans="1:10">
      <c r="A6229" s="7">
        <v>2</v>
      </c>
      <c r="B6229" s="8" t="s">
        <v>2890</v>
      </c>
      <c r="C6229" s="8" t="s">
        <v>2403</v>
      </c>
      <c r="D6229" s="7">
        <v>1</v>
      </c>
      <c r="E6229" s="7">
        <v>10</v>
      </c>
      <c r="F6229" s="7">
        <v>2</v>
      </c>
      <c r="G6229" s="8" t="s">
        <v>5690</v>
      </c>
      <c r="H6229" s="8" t="s">
        <v>5691</v>
      </c>
      <c r="I6229" s="7" t="str">
        <f>_xlfn.CONCAT(Paper_Reference[[#This Row],[Lvl]:[Paper Description]])</f>
        <v>2XJ8R1027SD500CCHMC GL2-810 60 X 1201102100DS009-6200FROSTY WHITE</v>
      </c>
      <c r="J6229" s="7">
        <f>COUNTIF(Paper_Reference[Duplicate Key],Paper_Reference[[#This Row],[Duplicate Key]])</f>
        <v>1</v>
      </c>
    </row>
    <row r="6230" spans="1:10">
      <c r="A6230" s="7">
        <v>2</v>
      </c>
      <c r="B6230" s="8" t="s">
        <v>2891</v>
      </c>
      <c r="C6230" s="8" t="s">
        <v>2404</v>
      </c>
      <c r="D6230" s="7">
        <v>1</v>
      </c>
      <c r="E6230" s="7">
        <v>10</v>
      </c>
      <c r="F6230" s="7">
        <v>1</v>
      </c>
      <c r="G6230" s="8" t="s">
        <v>2144</v>
      </c>
      <c r="H6230" s="8" t="s">
        <v>1242</v>
      </c>
      <c r="I6230" s="7" t="str">
        <f>_xlfn.CONCAT(Paper_Reference[[#This Row],[Lvl]:[Paper Description]])</f>
        <v>2XJ8R1027SD580CCHMC GL2-810 60 X 96110110000020-6200Premium Inkjet MPK 9653</v>
      </c>
      <c r="J6230" s="7">
        <f>COUNTIF(Paper_Reference[Duplicate Key],Paper_Reference[[#This Row],[Duplicate Key]])</f>
        <v>1</v>
      </c>
    </row>
    <row r="6231" spans="1:10">
      <c r="A6231" s="7">
        <v>2</v>
      </c>
      <c r="B6231" s="8" t="s">
        <v>2891</v>
      </c>
      <c r="C6231" s="8" t="s">
        <v>2404</v>
      </c>
      <c r="D6231" s="7">
        <v>1</v>
      </c>
      <c r="E6231" s="7">
        <v>10</v>
      </c>
      <c r="F6231" s="7">
        <v>2</v>
      </c>
      <c r="G6231" s="8" t="s">
        <v>5690</v>
      </c>
      <c r="H6231" s="8" t="s">
        <v>5691</v>
      </c>
      <c r="I6231" s="7" t="str">
        <f>_xlfn.CONCAT(Paper_Reference[[#This Row],[Lvl]:[Paper Description]])</f>
        <v>2XJ8R1027SD580CCHMC GL2-810 60 X 961102100DS009-6200FROSTY WHITE</v>
      </c>
      <c r="J6231" s="7">
        <f>COUNTIF(Paper_Reference[Duplicate Key],Paper_Reference[[#This Row],[Duplicate Key]])</f>
        <v>1</v>
      </c>
    </row>
    <row r="6232" spans="1:10">
      <c r="A6232" s="7">
        <v>2</v>
      </c>
      <c r="B6232" s="8" t="s">
        <v>2892</v>
      </c>
      <c r="C6232" s="8" t="s">
        <v>2405</v>
      </c>
      <c r="D6232" s="7">
        <v>1</v>
      </c>
      <c r="E6232" s="7">
        <v>10</v>
      </c>
      <c r="F6232" s="7">
        <v>1</v>
      </c>
      <c r="G6232" s="8" t="s">
        <v>2144</v>
      </c>
      <c r="H6232" s="8" t="s">
        <v>1242</v>
      </c>
      <c r="I6232" s="7" t="str">
        <f>_xlfn.CONCAT(Paper_Reference[[#This Row],[Lvl]:[Paper Description]])</f>
        <v>2XJ8R1028SD500CCHMC GL2-814 60 X 120110110000020-6200Premium Inkjet MPK 9653</v>
      </c>
      <c r="J6232" s="7">
        <f>COUNTIF(Paper_Reference[Duplicate Key],Paper_Reference[[#This Row],[Duplicate Key]])</f>
        <v>1</v>
      </c>
    </row>
    <row r="6233" spans="1:10">
      <c r="A6233" s="7">
        <v>2</v>
      </c>
      <c r="B6233" s="8" t="s">
        <v>2892</v>
      </c>
      <c r="C6233" s="8" t="s">
        <v>2405</v>
      </c>
      <c r="D6233" s="7">
        <v>1</v>
      </c>
      <c r="E6233" s="7">
        <v>10</v>
      </c>
      <c r="F6233" s="7">
        <v>2</v>
      </c>
      <c r="G6233" s="8" t="s">
        <v>5690</v>
      </c>
      <c r="H6233" s="8" t="s">
        <v>5691</v>
      </c>
      <c r="I6233" s="7" t="str">
        <f>_xlfn.CONCAT(Paper_Reference[[#This Row],[Lvl]:[Paper Description]])</f>
        <v>2XJ8R1028SD500CCHMC GL2-814 60 X 1201102100DS009-6200FROSTY WHITE</v>
      </c>
      <c r="J6233" s="7">
        <f>COUNTIF(Paper_Reference[Duplicate Key],Paper_Reference[[#This Row],[Duplicate Key]])</f>
        <v>1</v>
      </c>
    </row>
    <row r="6234" spans="1:10">
      <c r="A6234" s="7">
        <v>2</v>
      </c>
      <c r="B6234" s="8" t="s">
        <v>2893</v>
      </c>
      <c r="C6234" s="8" t="s">
        <v>2406</v>
      </c>
      <c r="D6234" s="7">
        <v>1</v>
      </c>
      <c r="E6234" s="7">
        <v>10</v>
      </c>
      <c r="F6234" s="7">
        <v>1</v>
      </c>
      <c r="G6234" s="8" t="s">
        <v>2144</v>
      </c>
      <c r="H6234" s="8" t="s">
        <v>1242</v>
      </c>
      <c r="I6234" s="7" t="str">
        <f>_xlfn.CONCAT(Paper_Reference[[#This Row],[Lvl]:[Paper Description]])</f>
        <v>2XJ8R1028SD580CCHMC GL2-814 60 X 96110110000020-6200Premium Inkjet MPK 9653</v>
      </c>
      <c r="J6234" s="7">
        <f>COUNTIF(Paper_Reference[Duplicate Key],Paper_Reference[[#This Row],[Duplicate Key]])</f>
        <v>1</v>
      </c>
    </row>
    <row r="6235" spans="1:10">
      <c r="A6235" s="7">
        <v>2</v>
      </c>
      <c r="B6235" s="8" t="s">
        <v>2893</v>
      </c>
      <c r="C6235" s="8" t="s">
        <v>2406</v>
      </c>
      <c r="D6235" s="7">
        <v>1</v>
      </c>
      <c r="E6235" s="7">
        <v>10</v>
      </c>
      <c r="F6235" s="7">
        <v>2</v>
      </c>
      <c r="G6235" s="8" t="s">
        <v>5690</v>
      </c>
      <c r="H6235" s="8" t="s">
        <v>5691</v>
      </c>
      <c r="I6235" s="7" t="str">
        <f>_xlfn.CONCAT(Paper_Reference[[#This Row],[Lvl]:[Paper Description]])</f>
        <v>2XJ8R1028SD580CCHMC GL2-814 60 X 961102100DS009-6200FROSTY WHITE</v>
      </c>
      <c r="J6235" s="7">
        <f>COUNTIF(Paper_Reference[Duplicate Key],Paper_Reference[[#This Row],[Duplicate Key]])</f>
        <v>1</v>
      </c>
    </row>
    <row r="6236" spans="1:10">
      <c r="A6236" s="7">
        <v>2</v>
      </c>
      <c r="B6236" s="8" t="s">
        <v>2894</v>
      </c>
      <c r="C6236" s="8" t="s">
        <v>2407</v>
      </c>
      <c r="D6236" s="7">
        <v>1</v>
      </c>
      <c r="E6236" s="7">
        <v>10</v>
      </c>
      <c r="F6236" s="7">
        <v>1</v>
      </c>
      <c r="G6236" s="8" t="s">
        <v>2144</v>
      </c>
      <c r="H6236" s="8" t="s">
        <v>1242</v>
      </c>
      <c r="I6236" s="7" t="str">
        <f>_xlfn.CONCAT(Paper_Reference[[#This Row],[Lvl]:[Paper Description]])</f>
        <v>2XJ8R1029SD500CCHMC GL2-304 60 X 120110110000020-6200Premium Inkjet MPK 9653</v>
      </c>
      <c r="J6236" s="7">
        <f>COUNTIF(Paper_Reference[Duplicate Key],Paper_Reference[[#This Row],[Duplicate Key]])</f>
        <v>1</v>
      </c>
    </row>
    <row r="6237" spans="1:10">
      <c r="A6237" s="7">
        <v>2</v>
      </c>
      <c r="B6237" s="8" t="s">
        <v>2894</v>
      </c>
      <c r="C6237" s="8" t="s">
        <v>2407</v>
      </c>
      <c r="D6237" s="7">
        <v>1</v>
      </c>
      <c r="E6237" s="7">
        <v>10</v>
      </c>
      <c r="F6237" s="7">
        <v>2</v>
      </c>
      <c r="G6237" s="8" t="s">
        <v>5690</v>
      </c>
      <c r="H6237" s="8" t="s">
        <v>5691</v>
      </c>
      <c r="I6237" s="7" t="str">
        <f>_xlfn.CONCAT(Paper_Reference[[#This Row],[Lvl]:[Paper Description]])</f>
        <v>2XJ8R1029SD500CCHMC GL2-304 60 X 1201102100DS009-6200FROSTY WHITE</v>
      </c>
      <c r="J6237" s="7">
        <f>COUNTIF(Paper_Reference[Duplicate Key],Paper_Reference[[#This Row],[Duplicate Key]])</f>
        <v>1</v>
      </c>
    </row>
    <row r="6238" spans="1:10">
      <c r="A6238" s="7">
        <v>2</v>
      </c>
      <c r="B6238" s="8" t="s">
        <v>2895</v>
      </c>
      <c r="C6238" s="8" t="s">
        <v>2408</v>
      </c>
      <c r="D6238" s="7">
        <v>1</v>
      </c>
      <c r="E6238" s="7">
        <v>10</v>
      </c>
      <c r="F6238" s="7">
        <v>1</v>
      </c>
      <c r="G6238" s="8" t="s">
        <v>2144</v>
      </c>
      <c r="H6238" s="8" t="s">
        <v>1242</v>
      </c>
      <c r="I6238" s="7" t="str">
        <f>_xlfn.CONCAT(Paper_Reference[[#This Row],[Lvl]:[Paper Description]])</f>
        <v>2XJ8R1029SD580CCHMC GL2-304 60 X 96110110000020-6200Premium Inkjet MPK 9653</v>
      </c>
      <c r="J6238" s="7">
        <f>COUNTIF(Paper_Reference[Duplicate Key],Paper_Reference[[#This Row],[Duplicate Key]])</f>
        <v>1</v>
      </c>
    </row>
    <row r="6239" spans="1:10">
      <c r="A6239" s="7">
        <v>2</v>
      </c>
      <c r="B6239" s="8" t="s">
        <v>2895</v>
      </c>
      <c r="C6239" s="8" t="s">
        <v>2408</v>
      </c>
      <c r="D6239" s="7">
        <v>1</v>
      </c>
      <c r="E6239" s="7">
        <v>10</v>
      </c>
      <c r="F6239" s="7">
        <v>2</v>
      </c>
      <c r="G6239" s="8" t="s">
        <v>5690</v>
      </c>
      <c r="H6239" s="8" t="s">
        <v>5691</v>
      </c>
      <c r="I6239" s="7" t="str">
        <f>_xlfn.CONCAT(Paper_Reference[[#This Row],[Lvl]:[Paper Description]])</f>
        <v>2XJ8R1029SD580CCHMC GL2-304 60 X 961102100DS009-6200FROSTY WHITE</v>
      </c>
      <c r="J6239" s="7">
        <f>COUNTIF(Paper_Reference[Duplicate Key],Paper_Reference[[#This Row],[Duplicate Key]])</f>
        <v>1</v>
      </c>
    </row>
    <row r="6240" spans="1:10">
      <c r="A6240" s="7">
        <v>2</v>
      </c>
      <c r="B6240" s="8" t="s">
        <v>2078</v>
      </c>
      <c r="C6240" s="8" t="s">
        <v>1597</v>
      </c>
      <c r="D6240" s="7">
        <v>1</v>
      </c>
      <c r="E6240" s="7">
        <v>10</v>
      </c>
      <c r="F6240" s="7">
        <v>1</v>
      </c>
      <c r="G6240" s="8" t="s">
        <v>1241</v>
      </c>
      <c r="H6240" s="8" t="s">
        <v>1242</v>
      </c>
      <c r="I6240" s="7" t="str">
        <f>_xlfn.CONCAT(Paper_Reference[[#This Row],[Lvl]:[Paper Description]])</f>
        <v>2XJ8R1030SD480BAD PART   DO NOT USE110110000020-5000Premium Inkjet MPK 9653</v>
      </c>
      <c r="J6240" s="7">
        <f>COUNTIF(Paper_Reference[Duplicate Key],Paper_Reference[[#This Row],[Duplicate Key]])</f>
        <v>1</v>
      </c>
    </row>
    <row r="6241" spans="1:10">
      <c r="A6241" s="7">
        <v>2</v>
      </c>
      <c r="B6241" s="8" t="s">
        <v>2078</v>
      </c>
      <c r="C6241" s="8" t="s">
        <v>1597</v>
      </c>
      <c r="D6241" s="7">
        <v>1</v>
      </c>
      <c r="E6241" s="7">
        <v>10</v>
      </c>
      <c r="F6241" s="7">
        <v>2</v>
      </c>
      <c r="G6241" s="8" t="s">
        <v>6710</v>
      </c>
      <c r="H6241" s="8" t="s">
        <v>5691</v>
      </c>
      <c r="I6241" s="7" t="str">
        <f>_xlfn.CONCAT(Paper_Reference[[#This Row],[Lvl]:[Paper Description]])</f>
        <v>2XJ8R1030SD480BAD PART   DO NOT USE1102100DS009-5000FROSTY WHITE</v>
      </c>
      <c r="J6241" s="7">
        <f>COUNTIF(Paper_Reference[Duplicate Key],Paper_Reference[[#This Row],[Duplicate Key]])</f>
        <v>1</v>
      </c>
    </row>
    <row r="6242" spans="1:10">
      <c r="A6242" s="7">
        <v>2</v>
      </c>
      <c r="B6242" s="8" t="s">
        <v>2896</v>
      </c>
      <c r="C6242" s="8" t="s">
        <v>2409</v>
      </c>
      <c r="D6242" s="7">
        <v>1</v>
      </c>
      <c r="E6242" s="7">
        <v>10</v>
      </c>
      <c r="F6242" s="7">
        <v>1</v>
      </c>
      <c r="G6242" s="8" t="s">
        <v>2144</v>
      </c>
      <c r="H6242" s="8" t="s">
        <v>1242</v>
      </c>
      <c r="I6242" s="7" t="str">
        <f>_xlfn.CONCAT(Paper_Reference[[#This Row],[Lvl]:[Paper Description]])</f>
        <v>2XJ8R1030SD500CCHMC GL2-270E 60 X 120110110000020-6200Premium Inkjet MPK 9653</v>
      </c>
      <c r="J6242" s="7">
        <f>COUNTIF(Paper_Reference[Duplicate Key],Paper_Reference[[#This Row],[Duplicate Key]])</f>
        <v>1</v>
      </c>
    </row>
    <row r="6243" spans="1:10">
      <c r="A6243" s="7">
        <v>2</v>
      </c>
      <c r="B6243" s="8" t="s">
        <v>2896</v>
      </c>
      <c r="C6243" s="8" t="s">
        <v>2409</v>
      </c>
      <c r="D6243" s="7">
        <v>1</v>
      </c>
      <c r="E6243" s="7">
        <v>10</v>
      </c>
      <c r="F6243" s="7">
        <v>2</v>
      </c>
      <c r="G6243" s="8" t="s">
        <v>5690</v>
      </c>
      <c r="H6243" s="8" t="s">
        <v>5691</v>
      </c>
      <c r="I6243" s="7" t="str">
        <f>_xlfn.CONCAT(Paper_Reference[[#This Row],[Lvl]:[Paper Description]])</f>
        <v>2XJ8R1030SD500CCHMC GL2-270E 60 X 1201102100DS009-6200FROSTY WHITE</v>
      </c>
      <c r="J6243" s="7">
        <f>COUNTIF(Paper_Reference[Duplicate Key],Paper_Reference[[#This Row],[Duplicate Key]])</f>
        <v>1</v>
      </c>
    </row>
    <row r="6244" spans="1:10">
      <c r="A6244" s="7">
        <v>2</v>
      </c>
      <c r="B6244" s="8" t="s">
        <v>2897</v>
      </c>
      <c r="C6244" s="8" t="s">
        <v>2410</v>
      </c>
      <c r="D6244" s="7">
        <v>1</v>
      </c>
      <c r="E6244" s="7">
        <v>10</v>
      </c>
      <c r="F6244" s="7">
        <v>1</v>
      </c>
      <c r="G6244" s="8" t="s">
        <v>2144</v>
      </c>
      <c r="H6244" s="8" t="s">
        <v>1242</v>
      </c>
      <c r="I6244" s="7" t="str">
        <f>_xlfn.CONCAT(Paper_Reference[[#This Row],[Lvl]:[Paper Description]])</f>
        <v>2XJ8R1031SD500CCHMC GL2-270N 60 X 120110110000020-6200Premium Inkjet MPK 9653</v>
      </c>
      <c r="J6244" s="7">
        <f>COUNTIF(Paper_Reference[Duplicate Key],Paper_Reference[[#This Row],[Duplicate Key]])</f>
        <v>1</v>
      </c>
    </row>
    <row r="6245" spans="1:10">
      <c r="A6245" s="7">
        <v>2</v>
      </c>
      <c r="B6245" s="8" t="s">
        <v>2897</v>
      </c>
      <c r="C6245" s="8" t="s">
        <v>2410</v>
      </c>
      <c r="D6245" s="7">
        <v>1</v>
      </c>
      <c r="E6245" s="7">
        <v>10</v>
      </c>
      <c r="F6245" s="7">
        <v>2</v>
      </c>
      <c r="G6245" s="8" t="s">
        <v>5690</v>
      </c>
      <c r="H6245" s="8" t="s">
        <v>5691</v>
      </c>
      <c r="I6245" s="7" t="str">
        <f>_xlfn.CONCAT(Paper_Reference[[#This Row],[Lvl]:[Paper Description]])</f>
        <v>2XJ8R1031SD500CCHMC GL2-270N 60 X 1201102100DS009-6200FROSTY WHITE</v>
      </c>
      <c r="J6245" s="7">
        <f>COUNTIF(Paper_Reference[Duplicate Key],Paper_Reference[[#This Row],[Duplicate Key]])</f>
        <v>1</v>
      </c>
    </row>
    <row r="6246" spans="1:10">
      <c r="A6246" s="7">
        <v>2</v>
      </c>
      <c r="B6246" s="8" t="s">
        <v>2898</v>
      </c>
      <c r="C6246" s="8" t="s">
        <v>2411</v>
      </c>
      <c r="D6246" s="7">
        <v>1</v>
      </c>
      <c r="E6246" s="7">
        <v>10</v>
      </c>
      <c r="F6246" s="7">
        <v>1</v>
      </c>
      <c r="G6246" s="8" t="s">
        <v>2144</v>
      </c>
      <c r="H6246" s="8" t="s">
        <v>1242</v>
      </c>
      <c r="I6246" s="7" t="str">
        <f>_xlfn.CONCAT(Paper_Reference[[#This Row],[Lvl]:[Paper Description]])</f>
        <v>2XJ8R1032SD500CCHMC GL2-270S 60 X 120110110000020-6200Premium Inkjet MPK 9653</v>
      </c>
      <c r="J6246" s="7">
        <f>COUNTIF(Paper_Reference[Duplicate Key],Paper_Reference[[#This Row],[Duplicate Key]])</f>
        <v>1</v>
      </c>
    </row>
    <row r="6247" spans="1:10">
      <c r="A6247" s="7">
        <v>2</v>
      </c>
      <c r="B6247" s="8" t="s">
        <v>2898</v>
      </c>
      <c r="C6247" s="8" t="s">
        <v>2411</v>
      </c>
      <c r="D6247" s="7">
        <v>1</v>
      </c>
      <c r="E6247" s="7">
        <v>10</v>
      </c>
      <c r="F6247" s="7">
        <v>2</v>
      </c>
      <c r="G6247" s="8" t="s">
        <v>5690</v>
      </c>
      <c r="H6247" s="8" t="s">
        <v>5691</v>
      </c>
      <c r="I6247" s="7" t="str">
        <f>_xlfn.CONCAT(Paper_Reference[[#This Row],[Lvl]:[Paper Description]])</f>
        <v>2XJ8R1032SD500CCHMC GL2-270S 60 X 1201102100DS009-6200FROSTY WHITE</v>
      </c>
      <c r="J6247" s="7">
        <f>COUNTIF(Paper_Reference[Duplicate Key],Paper_Reference[[#This Row],[Duplicate Key]])</f>
        <v>1</v>
      </c>
    </row>
    <row r="6248" spans="1:10">
      <c r="A6248" s="7">
        <v>2</v>
      </c>
      <c r="B6248" s="8" t="s">
        <v>2899</v>
      </c>
      <c r="C6248" s="8" t="s">
        <v>2400</v>
      </c>
      <c r="D6248" s="7">
        <v>1</v>
      </c>
      <c r="E6248" s="7">
        <v>10</v>
      </c>
      <c r="F6248" s="7">
        <v>1</v>
      </c>
      <c r="G6248" s="8" t="s">
        <v>2144</v>
      </c>
      <c r="H6248" s="8" t="s">
        <v>1242</v>
      </c>
      <c r="I6248" s="7" t="str">
        <f>_xlfn.CONCAT(Paper_Reference[[#This Row],[Lvl]:[Paper Description]])</f>
        <v>2XJ8R1033SD500CCHMC GL2-306 60 X 120110110000020-6200Premium Inkjet MPK 9653</v>
      </c>
      <c r="J6248" s="7">
        <f>COUNTIF(Paper_Reference[Duplicate Key],Paper_Reference[[#This Row],[Duplicate Key]])</f>
        <v>1</v>
      </c>
    </row>
    <row r="6249" spans="1:10">
      <c r="A6249" s="7">
        <v>2</v>
      </c>
      <c r="B6249" s="8" t="s">
        <v>2899</v>
      </c>
      <c r="C6249" s="8" t="s">
        <v>2400</v>
      </c>
      <c r="D6249" s="7">
        <v>1</v>
      </c>
      <c r="E6249" s="7">
        <v>10</v>
      </c>
      <c r="F6249" s="7">
        <v>2</v>
      </c>
      <c r="G6249" s="8" t="s">
        <v>5690</v>
      </c>
      <c r="H6249" s="8" t="s">
        <v>5691</v>
      </c>
      <c r="I6249" s="7" t="str">
        <f>_xlfn.CONCAT(Paper_Reference[[#This Row],[Lvl]:[Paper Description]])</f>
        <v>2XJ8R1033SD500CCHMC GL2-306 60 X 1201102100DS009-6200FROSTY WHITE</v>
      </c>
      <c r="J6249" s="7">
        <f>COUNTIF(Paper_Reference[Duplicate Key],Paper_Reference[[#This Row],[Duplicate Key]])</f>
        <v>1</v>
      </c>
    </row>
    <row r="6250" spans="1:10">
      <c r="A6250" s="7">
        <v>2</v>
      </c>
      <c r="B6250" s="8" t="s">
        <v>2900</v>
      </c>
      <c r="C6250" s="8" t="s">
        <v>2412</v>
      </c>
      <c r="D6250" s="7">
        <v>1</v>
      </c>
      <c r="E6250" s="7">
        <v>10</v>
      </c>
      <c r="F6250" s="7">
        <v>1</v>
      </c>
      <c r="G6250" s="8" t="s">
        <v>2144</v>
      </c>
      <c r="H6250" s="8" t="s">
        <v>1242</v>
      </c>
      <c r="I6250" s="7" t="str">
        <f>_xlfn.CONCAT(Paper_Reference[[#This Row],[Lvl]:[Paper Description]])</f>
        <v>2XJ8R1034SD500CCHMC GL2-314 60 X 120110110000020-6200Premium Inkjet MPK 9653</v>
      </c>
      <c r="J6250" s="7">
        <f>COUNTIF(Paper_Reference[Duplicate Key],Paper_Reference[[#This Row],[Duplicate Key]])</f>
        <v>1</v>
      </c>
    </row>
    <row r="6251" spans="1:10">
      <c r="A6251" s="7">
        <v>2</v>
      </c>
      <c r="B6251" s="8" t="s">
        <v>2900</v>
      </c>
      <c r="C6251" s="8" t="s">
        <v>2412</v>
      </c>
      <c r="D6251" s="7">
        <v>1</v>
      </c>
      <c r="E6251" s="7">
        <v>10</v>
      </c>
      <c r="F6251" s="7">
        <v>2</v>
      </c>
      <c r="G6251" s="8" t="s">
        <v>5690</v>
      </c>
      <c r="H6251" s="8" t="s">
        <v>5691</v>
      </c>
      <c r="I6251" s="7" t="str">
        <f>_xlfn.CONCAT(Paper_Reference[[#This Row],[Lvl]:[Paper Description]])</f>
        <v>2XJ8R1034SD500CCHMC GL2-314 60 X 1201102100DS009-6200FROSTY WHITE</v>
      </c>
      <c r="J6251" s="7">
        <f>COUNTIF(Paper_Reference[Duplicate Key],Paper_Reference[[#This Row],[Duplicate Key]])</f>
        <v>1</v>
      </c>
    </row>
    <row r="6252" spans="1:10">
      <c r="A6252" s="7">
        <v>2</v>
      </c>
      <c r="B6252" s="8" t="s">
        <v>2901</v>
      </c>
      <c r="C6252" s="8" t="s">
        <v>2413</v>
      </c>
      <c r="D6252" s="7">
        <v>1</v>
      </c>
      <c r="E6252" s="7">
        <v>10</v>
      </c>
      <c r="F6252" s="7">
        <v>1</v>
      </c>
      <c r="G6252" s="8" t="s">
        <v>2144</v>
      </c>
      <c r="H6252" s="8" t="s">
        <v>1242</v>
      </c>
      <c r="I6252" s="7" t="str">
        <f>_xlfn.CONCAT(Paper_Reference[[#This Row],[Lvl]:[Paper Description]])</f>
        <v>2XJ8R1035SD500CCHMC GL2-330 60 X 120110110000020-6200Premium Inkjet MPK 9653</v>
      </c>
      <c r="J6252" s="7">
        <f>COUNTIF(Paper_Reference[Duplicate Key],Paper_Reference[[#This Row],[Duplicate Key]])</f>
        <v>1</v>
      </c>
    </row>
    <row r="6253" spans="1:10">
      <c r="A6253" s="7">
        <v>2</v>
      </c>
      <c r="B6253" s="8" t="s">
        <v>2901</v>
      </c>
      <c r="C6253" s="8" t="s">
        <v>2413</v>
      </c>
      <c r="D6253" s="7">
        <v>1</v>
      </c>
      <c r="E6253" s="7">
        <v>10</v>
      </c>
      <c r="F6253" s="7">
        <v>2</v>
      </c>
      <c r="G6253" s="8" t="s">
        <v>5690</v>
      </c>
      <c r="H6253" s="8" t="s">
        <v>5691</v>
      </c>
      <c r="I6253" s="7" t="str">
        <f>_xlfn.CONCAT(Paper_Reference[[#This Row],[Lvl]:[Paper Description]])</f>
        <v>2XJ8R1035SD500CCHMC GL2-330 60 X 1201102100DS009-6200FROSTY WHITE</v>
      </c>
      <c r="J6253" s="7">
        <f>COUNTIF(Paper_Reference[Duplicate Key],Paper_Reference[[#This Row],[Duplicate Key]])</f>
        <v>1</v>
      </c>
    </row>
    <row r="6254" spans="1:10">
      <c r="A6254" s="7">
        <v>2</v>
      </c>
      <c r="B6254" s="8" t="s">
        <v>2902</v>
      </c>
      <c r="C6254" s="8" t="s">
        <v>2414</v>
      </c>
      <c r="D6254" s="7">
        <v>1</v>
      </c>
      <c r="E6254" s="7">
        <v>10</v>
      </c>
      <c r="F6254" s="7">
        <v>1</v>
      </c>
      <c r="G6254" s="8" t="s">
        <v>2144</v>
      </c>
      <c r="H6254" s="8" t="s">
        <v>1242</v>
      </c>
      <c r="I6254" s="7" t="str">
        <f>_xlfn.CONCAT(Paper_Reference[[#This Row],[Lvl]:[Paper Description]])</f>
        <v>2XJ8R1036SD500CCHMC GL2-334 60 X 120110110000020-6200Premium Inkjet MPK 9653</v>
      </c>
      <c r="J6254" s="7">
        <f>COUNTIF(Paper_Reference[Duplicate Key],Paper_Reference[[#This Row],[Duplicate Key]])</f>
        <v>1</v>
      </c>
    </row>
    <row r="6255" spans="1:10">
      <c r="A6255" s="7">
        <v>2</v>
      </c>
      <c r="B6255" s="8" t="s">
        <v>2902</v>
      </c>
      <c r="C6255" s="8" t="s">
        <v>2414</v>
      </c>
      <c r="D6255" s="7">
        <v>1</v>
      </c>
      <c r="E6255" s="7">
        <v>10</v>
      </c>
      <c r="F6255" s="7">
        <v>2</v>
      </c>
      <c r="G6255" s="8" t="s">
        <v>5690</v>
      </c>
      <c r="H6255" s="8" t="s">
        <v>5691</v>
      </c>
      <c r="I6255" s="7" t="str">
        <f>_xlfn.CONCAT(Paper_Reference[[#This Row],[Lvl]:[Paper Description]])</f>
        <v>2XJ8R1036SD500CCHMC GL2-334 60 X 1201102100DS009-6200FROSTY WHITE</v>
      </c>
      <c r="J6255" s="7">
        <f>COUNTIF(Paper_Reference[Duplicate Key],Paper_Reference[[#This Row],[Duplicate Key]])</f>
        <v>1</v>
      </c>
    </row>
    <row r="6256" spans="1:10">
      <c r="A6256" s="7">
        <v>2</v>
      </c>
      <c r="B6256" s="8" t="s">
        <v>2903</v>
      </c>
      <c r="C6256" s="8" t="s">
        <v>2415</v>
      </c>
      <c r="D6256" s="7">
        <v>1</v>
      </c>
      <c r="E6256" s="7">
        <v>10</v>
      </c>
      <c r="F6256" s="7">
        <v>1</v>
      </c>
      <c r="G6256" s="8" t="s">
        <v>2144</v>
      </c>
      <c r="H6256" s="8" t="s">
        <v>1242</v>
      </c>
      <c r="I6256" s="7" t="str">
        <f>_xlfn.CONCAT(Paper_Reference[[#This Row],[Lvl]:[Paper Description]])</f>
        <v>2XJ8R1037SD500CCHMC GL2-340 60 X 120110110000020-6200Premium Inkjet MPK 9653</v>
      </c>
      <c r="J6256" s="7">
        <f>COUNTIF(Paper_Reference[Duplicate Key],Paper_Reference[[#This Row],[Duplicate Key]])</f>
        <v>1</v>
      </c>
    </row>
    <row r="6257" spans="1:10">
      <c r="A6257" s="7">
        <v>2</v>
      </c>
      <c r="B6257" s="8" t="s">
        <v>2903</v>
      </c>
      <c r="C6257" s="8" t="s">
        <v>2415</v>
      </c>
      <c r="D6257" s="7">
        <v>1</v>
      </c>
      <c r="E6257" s="7">
        <v>10</v>
      </c>
      <c r="F6257" s="7">
        <v>2</v>
      </c>
      <c r="G6257" s="8" t="s">
        <v>5690</v>
      </c>
      <c r="H6257" s="8" t="s">
        <v>5691</v>
      </c>
      <c r="I6257" s="7" t="str">
        <f>_xlfn.CONCAT(Paper_Reference[[#This Row],[Lvl]:[Paper Description]])</f>
        <v>2XJ8R1037SD500CCHMC GL2-340 60 X 1201102100DS009-6200FROSTY WHITE</v>
      </c>
      <c r="J6257" s="7">
        <f>COUNTIF(Paper_Reference[Duplicate Key],Paper_Reference[[#This Row],[Duplicate Key]])</f>
        <v>1</v>
      </c>
    </row>
    <row r="6258" spans="1:10">
      <c r="A6258" s="7">
        <v>2</v>
      </c>
      <c r="B6258" s="8" t="s">
        <v>2904</v>
      </c>
      <c r="C6258" s="8" t="s">
        <v>2416</v>
      </c>
      <c r="D6258" s="7">
        <v>1</v>
      </c>
      <c r="E6258" s="7">
        <v>10</v>
      </c>
      <c r="F6258" s="7">
        <v>1</v>
      </c>
      <c r="G6258" s="8" t="s">
        <v>2144</v>
      </c>
      <c r="H6258" s="8" t="s">
        <v>1242</v>
      </c>
      <c r="I6258" s="7" t="str">
        <f>_xlfn.CONCAT(Paper_Reference[[#This Row],[Lvl]:[Paper Description]])</f>
        <v>2XJ8R1038SD500CCHMC GL2-344 60 X 120110110000020-6200Premium Inkjet MPK 9653</v>
      </c>
      <c r="J6258" s="7">
        <f>COUNTIF(Paper_Reference[Duplicate Key],Paper_Reference[[#This Row],[Duplicate Key]])</f>
        <v>1</v>
      </c>
    </row>
    <row r="6259" spans="1:10">
      <c r="A6259" s="7">
        <v>2</v>
      </c>
      <c r="B6259" s="8" t="s">
        <v>2904</v>
      </c>
      <c r="C6259" s="8" t="s">
        <v>2416</v>
      </c>
      <c r="D6259" s="7">
        <v>1</v>
      </c>
      <c r="E6259" s="7">
        <v>10</v>
      </c>
      <c r="F6259" s="7">
        <v>2</v>
      </c>
      <c r="G6259" s="8" t="s">
        <v>5690</v>
      </c>
      <c r="H6259" s="8" t="s">
        <v>5691</v>
      </c>
      <c r="I6259" s="7" t="str">
        <f>_xlfn.CONCAT(Paper_Reference[[#This Row],[Lvl]:[Paper Description]])</f>
        <v>2XJ8R1038SD500CCHMC GL2-344 60 X 1201102100DS009-6200FROSTY WHITE</v>
      </c>
      <c r="J6259" s="7">
        <f>COUNTIF(Paper_Reference[Duplicate Key],Paper_Reference[[#This Row],[Duplicate Key]])</f>
        <v>1</v>
      </c>
    </row>
    <row r="6260" spans="1:10">
      <c r="A6260" s="7">
        <v>2</v>
      </c>
      <c r="B6260" s="8" t="s">
        <v>2905</v>
      </c>
      <c r="C6260" s="8" t="s">
        <v>2417</v>
      </c>
      <c r="D6260" s="7">
        <v>1</v>
      </c>
      <c r="E6260" s="7">
        <v>10</v>
      </c>
      <c r="F6260" s="7">
        <v>1</v>
      </c>
      <c r="G6260" s="8" t="s">
        <v>2144</v>
      </c>
      <c r="H6260" s="8" t="s">
        <v>1242</v>
      </c>
      <c r="I6260" s="7" t="str">
        <f>_xlfn.CONCAT(Paper_Reference[[#This Row],[Lvl]:[Paper Description]])</f>
        <v>2XJ8R1039SD500CCHMC GL2-356 60 X 120110110000020-6200Premium Inkjet MPK 9653</v>
      </c>
      <c r="J6260" s="7">
        <f>COUNTIF(Paper_Reference[Duplicate Key],Paper_Reference[[#This Row],[Duplicate Key]])</f>
        <v>1</v>
      </c>
    </row>
    <row r="6261" spans="1:10">
      <c r="A6261" s="7">
        <v>2</v>
      </c>
      <c r="B6261" s="8" t="s">
        <v>2905</v>
      </c>
      <c r="C6261" s="8" t="s">
        <v>2417</v>
      </c>
      <c r="D6261" s="7">
        <v>1</v>
      </c>
      <c r="E6261" s="7">
        <v>10</v>
      </c>
      <c r="F6261" s="7">
        <v>2</v>
      </c>
      <c r="G6261" s="8" t="s">
        <v>5690</v>
      </c>
      <c r="H6261" s="8" t="s">
        <v>5691</v>
      </c>
      <c r="I6261" s="7" t="str">
        <f>_xlfn.CONCAT(Paper_Reference[[#This Row],[Lvl]:[Paper Description]])</f>
        <v>2XJ8R1039SD500CCHMC GL2-356 60 X 1201102100DS009-6200FROSTY WHITE</v>
      </c>
      <c r="J6261" s="7">
        <f>COUNTIF(Paper_Reference[Duplicate Key],Paper_Reference[[#This Row],[Duplicate Key]])</f>
        <v>1</v>
      </c>
    </row>
    <row r="6262" spans="1:10">
      <c r="A6262" s="7">
        <v>2</v>
      </c>
      <c r="B6262" s="8" t="s">
        <v>2906</v>
      </c>
      <c r="C6262" s="8" t="s">
        <v>2418</v>
      </c>
      <c r="D6262" s="7">
        <v>1</v>
      </c>
      <c r="E6262" s="7">
        <v>10</v>
      </c>
      <c r="F6262" s="7">
        <v>1</v>
      </c>
      <c r="G6262" s="8" t="s">
        <v>2144</v>
      </c>
      <c r="H6262" s="8" t="s">
        <v>1242</v>
      </c>
      <c r="I6262" s="7" t="str">
        <f>_xlfn.CONCAT(Paper_Reference[[#This Row],[Lvl]:[Paper Description]])</f>
        <v>2XJ8R1040SD500CCHMC GL2-372 60 X 120110110000020-6200Premium Inkjet MPK 9653</v>
      </c>
      <c r="J6262" s="7">
        <f>COUNTIF(Paper_Reference[Duplicate Key],Paper_Reference[[#This Row],[Duplicate Key]])</f>
        <v>1</v>
      </c>
    </row>
    <row r="6263" spans="1:10">
      <c r="A6263" s="7">
        <v>2</v>
      </c>
      <c r="B6263" s="8" t="s">
        <v>2906</v>
      </c>
      <c r="C6263" s="8" t="s">
        <v>2418</v>
      </c>
      <c r="D6263" s="7">
        <v>1</v>
      </c>
      <c r="E6263" s="7">
        <v>10</v>
      </c>
      <c r="F6263" s="7">
        <v>2</v>
      </c>
      <c r="G6263" s="8" t="s">
        <v>5690</v>
      </c>
      <c r="H6263" s="8" t="s">
        <v>5691</v>
      </c>
      <c r="I6263" s="7" t="str">
        <f>_xlfn.CONCAT(Paper_Reference[[#This Row],[Lvl]:[Paper Description]])</f>
        <v>2XJ8R1040SD500CCHMC GL2-372 60 X 1201102100DS009-6200FROSTY WHITE</v>
      </c>
      <c r="J6263" s="7">
        <f>COUNTIF(Paper_Reference[Duplicate Key],Paper_Reference[[#This Row],[Duplicate Key]])</f>
        <v>1</v>
      </c>
    </row>
    <row r="6264" spans="1:10">
      <c r="A6264" s="7">
        <v>2</v>
      </c>
      <c r="B6264" s="8" t="s">
        <v>2907</v>
      </c>
      <c r="C6264" s="8" t="s">
        <v>2419</v>
      </c>
      <c r="D6264" s="7">
        <v>1</v>
      </c>
      <c r="E6264" s="7">
        <v>10</v>
      </c>
      <c r="F6264" s="7">
        <v>1</v>
      </c>
      <c r="G6264" s="8" t="s">
        <v>2144</v>
      </c>
      <c r="H6264" s="8" t="s">
        <v>1242</v>
      </c>
      <c r="I6264" s="7" t="str">
        <f>_xlfn.CONCAT(Paper_Reference[[#This Row],[Lvl]:[Paper Description]])</f>
        <v>2XJ8R1041SD500CCHMC GL2-386 60 X 120110110000020-6200Premium Inkjet MPK 9653</v>
      </c>
      <c r="J6264" s="7">
        <f>COUNTIF(Paper_Reference[Duplicate Key],Paper_Reference[[#This Row],[Duplicate Key]])</f>
        <v>1</v>
      </c>
    </row>
    <row r="6265" spans="1:10">
      <c r="A6265" s="7">
        <v>2</v>
      </c>
      <c r="B6265" s="8" t="s">
        <v>2907</v>
      </c>
      <c r="C6265" s="8" t="s">
        <v>2419</v>
      </c>
      <c r="D6265" s="7">
        <v>1</v>
      </c>
      <c r="E6265" s="7">
        <v>10</v>
      </c>
      <c r="F6265" s="7">
        <v>2</v>
      </c>
      <c r="G6265" s="8" t="s">
        <v>5690</v>
      </c>
      <c r="H6265" s="8" t="s">
        <v>5691</v>
      </c>
      <c r="I6265" s="7" t="str">
        <f>_xlfn.CONCAT(Paper_Reference[[#This Row],[Lvl]:[Paper Description]])</f>
        <v>2XJ8R1041SD500CCHMC GL2-386 60 X 1201102100DS009-6200FROSTY WHITE</v>
      </c>
      <c r="J6265" s="7">
        <f>COUNTIF(Paper_Reference[Duplicate Key],Paper_Reference[[#This Row],[Duplicate Key]])</f>
        <v>1</v>
      </c>
    </row>
    <row r="6266" spans="1:10">
      <c r="A6266" s="7">
        <v>2</v>
      </c>
      <c r="B6266" s="8" t="s">
        <v>2079</v>
      </c>
      <c r="C6266" s="8" t="s">
        <v>1598</v>
      </c>
      <c r="D6266" s="7">
        <v>1</v>
      </c>
      <c r="E6266" s="7">
        <v>10</v>
      </c>
      <c r="F6266" s="7">
        <v>1</v>
      </c>
      <c r="G6266" s="8" t="s">
        <v>1241</v>
      </c>
      <c r="H6266" s="8" t="s">
        <v>1242</v>
      </c>
      <c r="I6266" s="7" t="str">
        <f>_xlfn.CONCAT(Paper_Reference[[#This Row],[Lvl]:[Paper Description]])</f>
        <v>2XJ8R1045SD480JURAVINSKI TEW FALLS WALL 48X9110110000020-5000Premium Inkjet MPK 9653</v>
      </c>
      <c r="J6266" s="7">
        <f>COUNTIF(Paper_Reference[Duplicate Key],Paper_Reference[[#This Row],[Duplicate Key]])</f>
        <v>1</v>
      </c>
    </row>
    <row r="6267" spans="1:10">
      <c r="A6267" s="7">
        <v>2</v>
      </c>
      <c r="B6267" s="8" t="s">
        <v>2079</v>
      </c>
      <c r="C6267" s="8" t="s">
        <v>1598</v>
      </c>
      <c r="D6267" s="7">
        <v>1</v>
      </c>
      <c r="E6267" s="7">
        <v>10</v>
      </c>
      <c r="F6267" s="7">
        <v>2</v>
      </c>
      <c r="G6267" s="8" t="s">
        <v>6710</v>
      </c>
      <c r="H6267" s="8" t="s">
        <v>5691</v>
      </c>
      <c r="I6267" s="7" t="str">
        <f>_xlfn.CONCAT(Paper_Reference[[#This Row],[Lvl]:[Paper Description]])</f>
        <v>2XJ8R1045SD480JURAVINSKI TEW FALLS WALL 48X91102100DS009-5000FROSTY WHITE</v>
      </c>
      <c r="J6267" s="7">
        <f>COUNTIF(Paper_Reference[Duplicate Key],Paper_Reference[[#This Row],[Duplicate Key]])</f>
        <v>1</v>
      </c>
    </row>
    <row r="6268" spans="1:10">
      <c r="A6268" s="7">
        <v>2</v>
      </c>
      <c r="B6268" s="8" t="s">
        <v>2908</v>
      </c>
      <c r="C6268" s="8" t="s">
        <v>2420</v>
      </c>
      <c r="D6268" s="7">
        <v>1</v>
      </c>
      <c r="E6268" s="7">
        <v>10</v>
      </c>
      <c r="F6268" s="7">
        <v>1</v>
      </c>
      <c r="G6268" s="8" t="s">
        <v>2144</v>
      </c>
      <c r="H6268" s="8" t="s">
        <v>1242</v>
      </c>
      <c r="I6268" s="7" t="str">
        <f>_xlfn.CONCAT(Paper_Reference[[#This Row],[Lvl]:[Paper Description]])</f>
        <v>2XJ8R1051SD580FRL GENERIC SAMPLE 60 X 96110110000020-6200Premium Inkjet MPK 9653</v>
      </c>
      <c r="J6268" s="7">
        <f>COUNTIF(Paper_Reference[Duplicate Key],Paper_Reference[[#This Row],[Duplicate Key]])</f>
        <v>1</v>
      </c>
    </row>
    <row r="6269" spans="1:10">
      <c r="A6269" s="7">
        <v>2</v>
      </c>
      <c r="B6269" s="8" t="s">
        <v>2908</v>
      </c>
      <c r="C6269" s="8" t="s">
        <v>2420</v>
      </c>
      <c r="D6269" s="7">
        <v>1</v>
      </c>
      <c r="E6269" s="7">
        <v>10</v>
      </c>
      <c r="F6269" s="7">
        <v>2</v>
      </c>
      <c r="G6269" s="8" t="s">
        <v>5690</v>
      </c>
      <c r="H6269" s="8" t="s">
        <v>5691</v>
      </c>
      <c r="I6269" s="7" t="str">
        <f>_xlfn.CONCAT(Paper_Reference[[#This Row],[Lvl]:[Paper Description]])</f>
        <v>2XJ8R1051SD580FRL GENERIC SAMPLE 60 X 961102100DS009-6200FROSTY WHITE</v>
      </c>
      <c r="J6269" s="7">
        <f>COUNTIF(Paper_Reference[Duplicate Key],Paper_Reference[[#This Row],[Duplicate Key]])</f>
        <v>1</v>
      </c>
    </row>
    <row r="6270" spans="1:10">
      <c r="A6270" s="7">
        <v>2</v>
      </c>
      <c r="B6270" s="8" t="s">
        <v>2080</v>
      </c>
      <c r="C6270" s="8" t="s">
        <v>1599</v>
      </c>
      <c r="D6270" s="7">
        <v>1</v>
      </c>
      <c r="E6270" s="7">
        <v>10</v>
      </c>
      <c r="F6270" s="7">
        <v>1</v>
      </c>
      <c r="G6270" s="8" t="s">
        <v>1241</v>
      </c>
      <c r="H6270" s="8" t="s">
        <v>1242</v>
      </c>
      <c r="I6270" s="7" t="str">
        <f>_xlfn.CONCAT(Paper_Reference[[#This Row],[Lvl]:[Paper Description]])</f>
        <v>2XJ8R1052SD400BERLIN ELEMENTARY 48 X 120110110000020-5000Premium Inkjet MPK 9653</v>
      </c>
      <c r="J6270" s="7">
        <f>COUNTIF(Paper_Reference[Duplicate Key],Paper_Reference[[#This Row],[Duplicate Key]])</f>
        <v>1</v>
      </c>
    </row>
    <row r="6271" spans="1:10">
      <c r="A6271" s="7">
        <v>2</v>
      </c>
      <c r="B6271" s="8" t="s">
        <v>2080</v>
      </c>
      <c r="C6271" s="8" t="s">
        <v>1599</v>
      </c>
      <c r="D6271" s="7">
        <v>1</v>
      </c>
      <c r="E6271" s="7">
        <v>10</v>
      </c>
      <c r="F6271" s="7">
        <v>2</v>
      </c>
      <c r="G6271" s="8" t="s">
        <v>6710</v>
      </c>
      <c r="H6271" s="8" t="s">
        <v>5691</v>
      </c>
      <c r="I6271" s="7" t="str">
        <f>_xlfn.CONCAT(Paper_Reference[[#This Row],[Lvl]:[Paper Description]])</f>
        <v>2XJ8R1052SD400BERLIN ELEMENTARY 48 X 1201102100DS009-5000FROSTY WHITE</v>
      </c>
      <c r="J6271" s="7">
        <f>COUNTIF(Paper_Reference[Duplicate Key],Paper_Reference[[#This Row],[Duplicate Key]])</f>
        <v>1</v>
      </c>
    </row>
    <row r="6272" spans="1:10">
      <c r="A6272" s="7">
        <v>2</v>
      </c>
      <c r="B6272" s="8" t="s">
        <v>2909</v>
      </c>
      <c r="C6272" s="8" t="s">
        <v>2421</v>
      </c>
      <c r="D6272" s="7">
        <v>1</v>
      </c>
      <c r="E6272" s="7">
        <v>10</v>
      </c>
      <c r="F6272" s="7">
        <v>1</v>
      </c>
      <c r="G6272" s="8" t="s">
        <v>2144</v>
      </c>
      <c r="H6272" s="8" t="s">
        <v>1242</v>
      </c>
      <c r="I6272" s="7" t="str">
        <f>_xlfn.CONCAT(Paper_Reference[[#This Row],[Lvl]:[Paper Description]])</f>
        <v>2XJ8R1053SD580UHN LARGE BLANKS 60 X 96110110000020-6200Premium Inkjet MPK 9653</v>
      </c>
      <c r="J6272" s="7">
        <f>COUNTIF(Paper_Reference[Duplicate Key],Paper_Reference[[#This Row],[Duplicate Key]])</f>
        <v>1</v>
      </c>
    </row>
    <row r="6273" spans="1:10">
      <c r="A6273" s="7">
        <v>2</v>
      </c>
      <c r="B6273" s="8" t="s">
        <v>2909</v>
      </c>
      <c r="C6273" s="8" t="s">
        <v>2421</v>
      </c>
      <c r="D6273" s="7">
        <v>1</v>
      </c>
      <c r="E6273" s="7">
        <v>10</v>
      </c>
      <c r="F6273" s="7">
        <v>2</v>
      </c>
      <c r="G6273" s="8" t="s">
        <v>5690</v>
      </c>
      <c r="H6273" s="8" t="s">
        <v>5691</v>
      </c>
      <c r="I6273" s="7" t="str">
        <f>_xlfn.CONCAT(Paper_Reference[[#This Row],[Lvl]:[Paper Description]])</f>
        <v>2XJ8R1053SD580UHN LARGE BLANKS 60 X 961102100DS009-6200FROSTY WHITE</v>
      </c>
      <c r="J6273" s="7">
        <f>COUNTIF(Paper_Reference[Duplicate Key],Paper_Reference[[#This Row],[Duplicate Key]])</f>
        <v>1</v>
      </c>
    </row>
    <row r="6274" spans="1:10">
      <c r="A6274" s="7">
        <v>2</v>
      </c>
      <c r="B6274" s="8" t="s">
        <v>2910</v>
      </c>
      <c r="C6274" s="8" t="s">
        <v>2422</v>
      </c>
      <c r="D6274" s="7">
        <v>1</v>
      </c>
      <c r="E6274" s="7">
        <v>10</v>
      </c>
      <c r="F6274" s="7">
        <v>1</v>
      </c>
      <c r="G6274" s="8" t="s">
        <v>2144</v>
      </c>
      <c r="H6274" s="8" t="s">
        <v>1242</v>
      </c>
      <c r="I6274" s="7" t="str">
        <f>_xlfn.CONCAT(Paper_Reference[[#This Row],[Lvl]:[Paper Description]])</f>
        <v>2XJ8R1054SD580UHN REGISTRATION LG PAN 60 X 9110110000020-6200Premium Inkjet MPK 9653</v>
      </c>
      <c r="J6274" s="7">
        <f>COUNTIF(Paper_Reference[Duplicate Key],Paper_Reference[[#This Row],[Duplicate Key]])</f>
        <v>1</v>
      </c>
    </row>
    <row r="6275" spans="1:10">
      <c r="A6275" s="7">
        <v>2</v>
      </c>
      <c r="B6275" s="8" t="s">
        <v>2910</v>
      </c>
      <c r="C6275" s="8" t="s">
        <v>2422</v>
      </c>
      <c r="D6275" s="7">
        <v>1</v>
      </c>
      <c r="E6275" s="7">
        <v>10</v>
      </c>
      <c r="F6275" s="7">
        <v>2</v>
      </c>
      <c r="G6275" s="8" t="s">
        <v>5690</v>
      </c>
      <c r="H6275" s="8" t="s">
        <v>5691</v>
      </c>
      <c r="I6275" s="7" t="str">
        <f>_xlfn.CONCAT(Paper_Reference[[#This Row],[Lvl]:[Paper Description]])</f>
        <v>2XJ8R1054SD580UHN REGISTRATION LG PAN 60 X 91102100DS009-6200FROSTY WHITE</v>
      </c>
      <c r="J6275" s="7">
        <f>COUNTIF(Paper_Reference[Duplicate Key],Paper_Reference[[#This Row],[Duplicate Key]])</f>
        <v>1</v>
      </c>
    </row>
    <row r="6276" spans="1:10">
      <c r="A6276" s="7">
        <v>2</v>
      </c>
      <c r="B6276" s="8" t="s">
        <v>2081</v>
      </c>
      <c r="C6276" s="8" t="s">
        <v>1600</v>
      </c>
      <c r="D6276" s="7">
        <v>1</v>
      </c>
      <c r="E6276" s="7">
        <v>10</v>
      </c>
      <c r="F6276" s="7">
        <v>1</v>
      </c>
      <c r="G6276" s="8" t="s">
        <v>1241</v>
      </c>
      <c r="H6276" s="8" t="s">
        <v>1242</v>
      </c>
      <c r="I6276" s="7" t="str">
        <f>_xlfn.CONCAT(Paper_Reference[[#This Row],[Lvl]:[Paper Description]])</f>
        <v>2XJ8R1055SD480UHN BLOOD DRAW PANELS 48 X 96110110000020-5000Premium Inkjet MPK 9653</v>
      </c>
      <c r="J6276" s="7">
        <f>COUNTIF(Paper_Reference[Duplicate Key],Paper_Reference[[#This Row],[Duplicate Key]])</f>
        <v>1</v>
      </c>
    </row>
    <row r="6277" spans="1:10">
      <c r="A6277" s="7">
        <v>2</v>
      </c>
      <c r="B6277" s="8" t="s">
        <v>2081</v>
      </c>
      <c r="C6277" s="8" t="s">
        <v>1600</v>
      </c>
      <c r="D6277" s="7">
        <v>1</v>
      </c>
      <c r="E6277" s="7">
        <v>10</v>
      </c>
      <c r="F6277" s="7">
        <v>2</v>
      </c>
      <c r="G6277" s="8" t="s">
        <v>6710</v>
      </c>
      <c r="H6277" s="8" t="s">
        <v>5691</v>
      </c>
      <c r="I6277" s="7" t="str">
        <f>_xlfn.CONCAT(Paper_Reference[[#This Row],[Lvl]:[Paper Description]])</f>
        <v>2XJ8R1055SD480UHN BLOOD DRAW PANELS 48 X 961102100DS009-5000FROSTY WHITE</v>
      </c>
      <c r="J6277" s="7">
        <f>COUNTIF(Paper_Reference[Duplicate Key],Paper_Reference[[#This Row],[Duplicate Key]])</f>
        <v>1</v>
      </c>
    </row>
    <row r="6278" spans="1:10">
      <c r="A6278" s="7">
        <v>2</v>
      </c>
      <c r="B6278" s="8" t="s">
        <v>2082</v>
      </c>
      <c r="C6278" s="8" t="s">
        <v>1601</v>
      </c>
      <c r="D6278" s="7">
        <v>1</v>
      </c>
      <c r="E6278" s="7">
        <v>10</v>
      </c>
      <c r="F6278" s="7">
        <v>1</v>
      </c>
      <c r="G6278" s="8" t="s">
        <v>1241</v>
      </c>
      <c r="H6278" s="8" t="s">
        <v>1242</v>
      </c>
      <c r="I6278" s="7" t="str">
        <f>_xlfn.CONCAT(Paper_Reference[[#This Row],[Lvl]:[Paper Description]])</f>
        <v>2XJ8R1056SD480UHN SMALL BLANKS 48 X 96110110000020-5000Premium Inkjet MPK 9653</v>
      </c>
      <c r="J6278" s="7">
        <f>COUNTIF(Paper_Reference[Duplicate Key],Paper_Reference[[#This Row],[Duplicate Key]])</f>
        <v>1</v>
      </c>
    </row>
    <row r="6279" spans="1:10">
      <c r="A6279" s="7">
        <v>2</v>
      </c>
      <c r="B6279" s="8" t="s">
        <v>2082</v>
      </c>
      <c r="C6279" s="8" t="s">
        <v>1601</v>
      </c>
      <c r="D6279" s="7">
        <v>1</v>
      </c>
      <c r="E6279" s="7">
        <v>10</v>
      </c>
      <c r="F6279" s="7">
        <v>2</v>
      </c>
      <c r="G6279" s="8" t="s">
        <v>6710</v>
      </c>
      <c r="H6279" s="8" t="s">
        <v>5691</v>
      </c>
      <c r="I6279" s="7" t="str">
        <f>_xlfn.CONCAT(Paper_Reference[[#This Row],[Lvl]:[Paper Description]])</f>
        <v>2XJ8R1056SD480UHN SMALL BLANKS 48 X 961102100DS009-5000FROSTY WHITE</v>
      </c>
      <c r="J6279" s="7">
        <f>COUNTIF(Paper_Reference[Duplicate Key],Paper_Reference[[#This Row],[Duplicate Key]])</f>
        <v>1</v>
      </c>
    </row>
    <row r="6280" spans="1:10">
      <c r="A6280" s="7">
        <v>2</v>
      </c>
      <c r="B6280" s="8" t="s">
        <v>2083</v>
      </c>
      <c r="C6280" s="8" t="s">
        <v>1602</v>
      </c>
      <c r="D6280" s="7">
        <v>1</v>
      </c>
      <c r="E6280" s="7">
        <v>10</v>
      </c>
      <c r="F6280" s="7">
        <v>1</v>
      </c>
      <c r="G6280" s="8" t="s">
        <v>1241</v>
      </c>
      <c r="H6280" s="8" t="s">
        <v>1242</v>
      </c>
      <c r="I6280" s="7" t="str">
        <f>_xlfn.CONCAT(Paper_Reference[[#This Row],[Lvl]:[Paper Description]])</f>
        <v>2XJ8R1057SD480UHN REGISTRATION SM PAN 48 X 9110110000020-5000Premium Inkjet MPK 9653</v>
      </c>
      <c r="J6280" s="7">
        <f>COUNTIF(Paper_Reference[Duplicate Key],Paper_Reference[[#This Row],[Duplicate Key]])</f>
        <v>1</v>
      </c>
    </row>
    <row r="6281" spans="1:10">
      <c r="A6281" s="7">
        <v>2</v>
      </c>
      <c r="B6281" s="8" t="s">
        <v>2083</v>
      </c>
      <c r="C6281" s="8" t="s">
        <v>1602</v>
      </c>
      <c r="D6281" s="7">
        <v>1</v>
      </c>
      <c r="E6281" s="7">
        <v>10</v>
      </c>
      <c r="F6281" s="7">
        <v>2</v>
      </c>
      <c r="G6281" s="8" t="s">
        <v>6710</v>
      </c>
      <c r="H6281" s="8" t="s">
        <v>5691</v>
      </c>
      <c r="I6281" s="7" t="str">
        <f>_xlfn.CONCAT(Paper_Reference[[#This Row],[Lvl]:[Paper Description]])</f>
        <v>2XJ8R1057SD480UHN REGISTRATION SM PAN 48 X 91102100DS009-5000FROSTY WHITE</v>
      </c>
      <c r="J6281" s="7">
        <f>COUNTIF(Paper_Reference[Duplicate Key],Paper_Reference[[#This Row],[Duplicate Key]])</f>
        <v>1</v>
      </c>
    </row>
    <row r="6282" spans="1:10">
      <c r="A6282" s="7">
        <v>2</v>
      </c>
      <c r="B6282" s="8" t="s">
        <v>2911</v>
      </c>
      <c r="C6282" s="8" t="s">
        <v>2363</v>
      </c>
      <c r="D6282" s="7">
        <v>1</v>
      </c>
      <c r="E6282" s="7">
        <v>10</v>
      </c>
      <c r="F6282" s="7">
        <v>1</v>
      </c>
      <c r="G6282" s="8" t="s">
        <v>2144</v>
      </c>
      <c r="H6282" s="8" t="s">
        <v>1242</v>
      </c>
      <c r="I6282" s="7" t="str">
        <f>_xlfn.CONCAT(Paper_Reference[[#This Row],[Lvl]:[Paper Description]])</f>
        <v>2XJ8R1058SD500CCHMC GL2-420 60 X 120110110000020-6200Premium Inkjet MPK 9653</v>
      </c>
      <c r="J6282" s="7">
        <f>COUNTIF(Paper_Reference[Duplicate Key],Paper_Reference[[#This Row],[Duplicate Key]])</f>
        <v>1</v>
      </c>
    </row>
    <row r="6283" spans="1:10">
      <c r="A6283" s="7">
        <v>2</v>
      </c>
      <c r="B6283" s="8" t="s">
        <v>2911</v>
      </c>
      <c r="C6283" s="8" t="s">
        <v>2363</v>
      </c>
      <c r="D6283" s="7">
        <v>1</v>
      </c>
      <c r="E6283" s="7">
        <v>10</v>
      </c>
      <c r="F6283" s="7">
        <v>2</v>
      </c>
      <c r="G6283" s="8" t="s">
        <v>5690</v>
      </c>
      <c r="H6283" s="8" t="s">
        <v>5691</v>
      </c>
      <c r="I6283" s="7" t="str">
        <f>_xlfn.CONCAT(Paper_Reference[[#This Row],[Lvl]:[Paper Description]])</f>
        <v>2XJ8R1058SD500CCHMC GL2-420 60 X 1201102100DS009-6200FROSTY WHITE</v>
      </c>
      <c r="J6283" s="7">
        <f>COUNTIF(Paper_Reference[Duplicate Key],Paper_Reference[[#This Row],[Duplicate Key]])</f>
        <v>1</v>
      </c>
    </row>
    <row r="6284" spans="1:10">
      <c r="A6284" s="7">
        <v>2</v>
      </c>
      <c r="B6284" s="8" t="s">
        <v>2912</v>
      </c>
      <c r="C6284" s="8" t="s">
        <v>2366</v>
      </c>
      <c r="D6284" s="7">
        <v>1</v>
      </c>
      <c r="E6284" s="7">
        <v>10</v>
      </c>
      <c r="F6284" s="7">
        <v>1</v>
      </c>
      <c r="G6284" s="8" t="s">
        <v>2144</v>
      </c>
      <c r="H6284" s="8" t="s">
        <v>1242</v>
      </c>
      <c r="I6284" s="7" t="str">
        <f>_xlfn.CONCAT(Paper_Reference[[#This Row],[Lvl]:[Paper Description]])</f>
        <v>2XJ8R1059SD500CCHMC GL2-426 60 X 120110110000020-6200Premium Inkjet MPK 9653</v>
      </c>
      <c r="J6284" s="7">
        <f>COUNTIF(Paper_Reference[Duplicate Key],Paper_Reference[[#This Row],[Duplicate Key]])</f>
        <v>1</v>
      </c>
    </row>
    <row r="6285" spans="1:10">
      <c r="A6285" s="7">
        <v>2</v>
      </c>
      <c r="B6285" s="8" t="s">
        <v>2912</v>
      </c>
      <c r="C6285" s="8" t="s">
        <v>2366</v>
      </c>
      <c r="D6285" s="7">
        <v>1</v>
      </c>
      <c r="E6285" s="7">
        <v>10</v>
      </c>
      <c r="F6285" s="7">
        <v>2</v>
      </c>
      <c r="G6285" s="8" t="s">
        <v>5690</v>
      </c>
      <c r="H6285" s="8" t="s">
        <v>5691</v>
      </c>
      <c r="I6285" s="7" t="str">
        <f>_xlfn.CONCAT(Paper_Reference[[#This Row],[Lvl]:[Paper Description]])</f>
        <v>2XJ8R1059SD500CCHMC GL2-426 60 X 1201102100DS009-6200FROSTY WHITE</v>
      </c>
      <c r="J6285" s="7">
        <f>COUNTIF(Paper_Reference[Duplicate Key],Paper_Reference[[#This Row],[Duplicate Key]])</f>
        <v>1</v>
      </c>
    </row>
    <row r="6286" spans="1:10">
      <c r="A6286" s="7">
        <v>2</v>
      </c>
      <c r="B6286" s="8" t="s">
        <v>2913</v>
      </c>
      <c r="C6286" s="8" t="s">
        <v>2423</v>
      </c>
      <c r="D6286" s="7">
        <v>1</v>
      </c>
      <c r="E6286" s="7">
        <v>10</v>
      </c>
      <c r="F6286" s="7">
        <v>1</v>
      </c>
      <c r="G6286" s="8" t="s">
        <v>2144</v>
      </c>
      <c r="H6286" s="8" t="s">
        <v>1242</v>
      </c>
      <c r="I6286" s="7" t="str">
        <f>_xlfn.CONCAT(Paper_Reference[[#This Row],[Lvl]:[Paper Description]])</f>
        <v>2XJ8R1060SD500CCHMC WP4-16A 60 X 120110110000020-6200Premium Inkjet MPK 9653</v>
      </c>
      <c r="J6286" s="7">
        <f>COUNTIF(Paper_Reference[Duplicate Key],Paper_Reference[[#This Row],[Duplicate Key]])</f>
        <v>1</v>
      </c>
    </row>
    <row r="6287" spans="1:10">
      <c r="A6287" s="7">
        <v>2</v>
      </c>
      <c r="B6287" s="8" t="s">
        <v>2913</v>
      </c>
      <c r="C6287" s="8" t="s">
        <v>2423</v>
      </c>
      <c r="D6287" s="7">
        <v>1</v>
      </c>
      <c r="E6287" s="7">
        <v>10</v>
      </c>
      <c r="F6287" s="7">
        <v>2</v>
      </c>
      <c r="G6287" s="8" t="s">
        <v>5690</v>
      </c>
      <c r="H6287" s="8" t="s">
        <v>5691</v>
      </c>
      <c r="I6287" s="7" t="str">
        <f>_xlfn.CONCAT(Paper_Reference[[#This Row],[Lvl]:[Paper Description]])</f>
        <v>2XJ8R1060SD500CCHMC WP4-16A 60 X 1201102100DS009-6200FROSTY WHITE</v>
      </c>
      <c r="J6287" s="7">
        <f>COUNTIF(Paper_Reference[Duplicate Key],Paper_Reference[[#This Row],[Duplicate Key]])</f>
        <v>1</v>
      </c>
    </row>
    <row r="6288" spans="1:10">
      <c r="A6288" s="7">
        <v>2</v>
      </c>
      <c r="B6288" s="8" t="s">
        <v>2914</v>
      </c>
      <c r="C6288" s="8" t="s">
        <v>2424</v>
      </c>
      <c r="D6288" s="7">
        <v>1</v>
      </c>
      <c r="E6288" s="7">
        <v>10</v>
      </c>
      <c r="F6288" s="7">
        <v>1</v>
      </c>
      <c r="G6288" s="8" t="s">
        <v>2144</v>
      </c>
      <c r="H6288" s="8" t="s">
        <v>1242</v>
      </c>
      <c r="I6288" s="7" t="str">
        <f>_xlfn.CONCAT(Paper_Reference[[#This Row],[Lvl]:[Paper Description]])</f>
        <v>2XJ8R1061SD500CCHMC WP4-16B 60 X 120110110000020-6200Premium Inkjet MPK 9653</v>
      </c>
      <c r="J6288" s="7">
        <f>COUNTIF(Paper_Reference[Duplicate Key],Paper_Reference[[#This Row],[Duplicate Key]])</f>
        <v>1</v>
      </c>
    </row>
    <row r="6289" spans="1:10">
      <c r="A6289" s="7">
        <v>2</v>
      </c>
      <c r="B6289" s="8" t="s">
        <v>2914</v>
      </c>
      <c r="C6289" s="8" t="s">
        <v>2424</v>
      </c>
      <c r="D6289" s="7">
        <v>1</v>
      </c>
      <c r="E6289" s="7">
        <v>10</v>
      </c>
      <c r="F6289" s="7">
        <v>2</v>
      </c>
      <c r="G6289" s="8" t="s">
        <v>5690</v>
      </c>
      <c r="H6289" s="8" t="s">
        <v>5691</v>
      </c>
      <c r="I6289" s="7" t="str">
        <f>_xlfn.CONCAT(Paper_Reference[[#This Row],[Lvl]:[Paper Description]])</f>
        <v>2XJ8R1061SD500CCHMC WP4-16B 60 X 1201102100DS009-6200FROSTY WHITE</v>
      </c>
      <c r="J6289" s="7">
        <f>COUNTIF(Paper_Reference[Duplicate Key],Paper_Reference[[#This Row],[Duplicate Key]])</f>
        <v>1</v>
      </c>
    </row>
    <row r="6290" spans="1:10">
      <c r="A6290" s="7">
        <v>2</v>
      </c>
      <c r="B6290" s="8" t="s">
        <v>2915</v>
      </c>
      <c r="C6290" s="8" t="s">
        <v>2425</v>
      </c>
      <c r="D6290" s="7">
        <v>1</v>
      </c>
      <c r="E6290" s="7">
        <v>10</v>
      </c>
      <c r="F6290" s="7">
        <v>1</v>
      </c>
      <c r="G6290" s="8" t="s">
        <v>2144</v>
      </c>
      <c r="H6290" s="8" t="s">
        <v>1242</v>
      </c>
      <c r="I6290" s="7" t="str">
        <f>_xlfn.CONCAT(Paper_Reference[[#This Row],[Lvl]:[Paper Description]])</f>
        <v>2XJ8R1062SD500CCHMC WP4-16C 60 X 120110110000020-6200Premium Inkjet MPK 9653</v>
      </c>
      <c r="J6290" s="7">
        <f>COUNTIF(Paper_Reference[Duplicate Key],Paper_Reference[[#This Row],[Duplicate Key]])</f>
        <v>1</v>
      </c>
    </row>
    <row r="6291" spans="1:10">
      <c r="A6291" s="7">
        <v>2</v>
      </c>
      <c r="B6291" s="8" t="s">
        <v>2915</v>
      </c>
      <c r="C6291" s="8" t="s">
        <v>2425</v>
      </c>
      <c r="D6291" s="7">
        <v>1</v>
      </c>
      <c r="E6291" s="7">
        <v>10</v>
      </c>
      <c r="F6291" s="7">
        <v>2</v>
      </c>
      <c r="G6291" s="8" t="s">
        <v>5690</v>
      </c>
      <c r="H6291" s="8" t="s">
        <v>5691</v>
      </c>
      <c r="I6291" s="7" t="str">
        <f>_xlfn.CONCAT(Paper_Reference[[#This Row],[Lvl]:[Paper Description]])</f>
        <v>2XJ8R1062SD500CCHMC WP4-16C 60 X 1201102100DS009-6200FROSTY WHITE</v>
      </c>
      <c r="J6291" s="7">
        <f>COUNTIF(Paper_Reference[Duplicate Key],Paper_Reference[[#This Row],[Duplicate Key]])</f>
        <v>1</v>
      </c>
    </row>
    <row r="6292" spans="1:10">
      <c r="A6292" s="7">
        <v>2</v>
      </c>
      <c r="B6292" s="8" t="s">
        <v>2916</v>
      </c>
      <c r="C6292" s="8" t="s">
        <v>2426</v>
      </c>
      <c r="D6292" s="7">
        <v>1</v>
      </c>
      <c r="E6292" s="7">
        <v>10</v>
      </c>
      <c r="F6292" s="7">
        <v>1</v>
      </c>
      <c r="G6292" s="8" t="s">
        <v>2144</v>
      </c>
      <c r="H6292" s="8" t="s">
        <v>1242</v>
      </c>
      <c r="I6292" s="7" t="str">
        <f>_xlfn.CONCAT(Paper_Reference[[#This Row],[Lvl]:[Paper Description]])</f>
        <v>2XJ8R1063SD500CCHMC WP4-16D 60 X 120110110000020-6200Premium Inkjet MPK 9653</v>
      </c>
      <c r="J6292" s="7">
        <f>COUNTIF(Paper_Reference[Duplicate Key],Paper_Reference[[#This Row],[Duplicate Key]])</f>
        <v>1</v>
      </c>
    </row>
    <row r="6293" spans="1:10">
      <c r="A6293" s="7">
        <v>2</v>
      </c>
      <c r="B6293" s="8" t="s">
        <v>2916</v>
      </c>
      <c r="C6293" s="8" t="s">
        <v>2426</v>
      </c>
      <c r="D6293" s="7">
        <v>1</v>
      </c>
      <c r="E6293" s="7">
        <v>10</v>
      </c>
      <c r="F6293" s="7">
        <v>2</v>
      </c>
      <c r="G6293" s="8" t="s">
        <v>5690</v>
      </c>
      <c r="H6293" s="8" t="s">
        <v>5691</v>
      </c>
      <c r="I6293" s="7" t="str">
        <f>_xlfn.CONCAT(Paper_Reference[[#This Row],[Lvl]:[Paper Description]])</f>
        <v>2XJ8R1063SD500CCHMC WP4-16D 60 X 1201102100DS009-6200FROSTY WHITE</v>
      </c>
      <c r="J6293" s="7">
        <f>COUNTIF(Paper_Reference[Duplicate Key],Paper_Reference[[#This Row],[Duplicate Key]])</f>
        <v>1</v>
      </c>
    </row>
    <row r="6294" spans="1:10">
      <c r="A6294" s="7">
        <v>2</v>
      </c>
      <c r="B6294" s="8" t="s">
        <v>2917</v>
      </c>
      <c r="C6294" s="8" t="s">
        <v>2427</v>
      </c>
      <c r="D6294" s="7">
        <v>1</v>
      </c>
      <c r="E6294" s="7">
        <v>10</v>
      </c>
      <c r="F6294" s="7">
        <v>1</v>
      </c>
      <c r="G6294" s="8" t="s">
        <v>2144</v>
      </c>
      <c r="H6294" s="8" t="s">
        <v>1242</v>
      </c>
      <c r="I6294" s="7" t="str">
        <f>_xlfn.CONCAT(Paper_Reference[[#This Row],[Lvl]:[Paper Description]])</f>
        <v>2XJ8R1064SD500CCHMC WP4-16E 60 X 120110110000020-6200Premium Inkjet MPK 9653</v>
      </c>
      <c r="J6294" s="7">
        <f>COUNTIF(Paper_Reference[Duplicate Key],Paper_Reference[[#This Row],[Duplicate Key]])</f>
        <v>1</v>
      </c>
    </row>
    <row r="6295" spans="1:10">
      <c r="A6295" s="7">
        <v>2</v>
      </c>
      <c r="B6295" s="8" t="s">
        <v>2917</v>
      </c>
      <c r="C6295" s="8" t="s">
        <v>2427</v>
      </c>
      <c r="D6295" s="7">
        <v>1</v>
      </c>
      <c r="E6295" s="7">
        <v>10</v>
      </c>
      <c r="F6295" s="7">
        <v>2</v>
      </c>
      <c r="G6295" s="8" t="s">
        <v>5690</v>
      </c>
      <c r="H6295" s="8" t="s">
        <v>5691</v>
      </c>
      <c r="I6295" s="7" t="str">
        <f>_xlfn.CONCAT(Paper_Reference[[#This Row],[Lvl]:[Paper Description]])</f>
        <v>2XJ8R1064SD500CCHMC WP4-16E 60 X 1201102100DS009-6200FROSTY WHITE</v>
      </c>
      <c r="J6295" s="7">
        <f>COUNTIF(Paper_Reference[Duplicate Key],Paper_Reference[[#This Row],[Duplicate Key]])</f>
        <v>1</v>
      </c>
    </row>
    <row r="6296" spans="1:10">
      <c r="A6296" s="7">
        <v>2</v>
      </c>
      <c r="B6296" s="8" t="s">
        <v>2918</v>
      </c>
      <c r="C6296" s="8" t="s">
        <v>2428</v>
      </c>
      <c r="D6296" s="7">
        <v>1</v>
      </c>
      <c r="E6296" s="7">
        <v>10</v>
      </c>
      <c r="F6296" s="7">
        <v>1</v>
      </c>
      <c r="G6296" s="8" t="s">
        <v>2144</v>
      </c>
      <c r="H6296" s="8" t="s">
        <v>1242</v>
      </c>
      <c r="I6296" s="7" t="str">
        <f>_xlfn.CONCAT(Paper_Reference[[#This Row],[Lvl]:[Paper Description]])</f>
        <v>2XJ8R1065SD500CCHMC WP4-16F 60 X 120110110000020-6200Premium Inkjet MPK 9653</v>
      </c>
      <c r="J6296" s="7">
        <f>COUNTIF(Paper_Reference[Duplicate Key],Paper_Reference[[#This Row],[Duplicate Key]])</f>
        <v>1</v>
      </c>
    </row>
    <row r="6297" spans="1:10">
      <c r="A6297" s="7">
        <v>2</v>
      </c>
      <c r="B6297" s="8" t="s">
        <v>2918</v>
      </c>
      <c r="C6297" s="8" t="s">
        <v>2428</v>
      </c>
      <c r="D6297" s="7">
        <v>1</v>
      </c>
      <c r="E6297" s="7">
        <v>10</v>
      </c>
      <c r="F6297" s="7">
        <v>2</v>
      </c>
      <c r="G6297" s="8" t="s">
        <v>5690</v>
      </c>
      <c r="H6297" s="8" t="s">
        <v>5691</v>
      </c>
      <c r="I6297" s="7" t="str">
        <f>_xlfn.CONCAT(Paper_Reference[[#This Row],[Lvl]:[Paper Description]])</f>
        <v>2XJ8R1065SD500CCHMC WP4-16F 60 X 1201102100DS009-6200FROSTY WHITE</v>
      </c>
      <c r="J6297" s="7">
        <f>COUNTIF(Paper_Reference[Duplicate Key],Paper_Reference[[#This Row],[Duplicate Key]])</f>
        <v>1</v>
      </c>
    </row>
    <row r="6298" spans="1:10">
      <c r="A6298" s="7">
        <v>2</v>
      </c>
      <c r="B6298" s="8" t="s">
        <v>2919</v>
      </c>
      <c r="C6298" s="8" t="s">
        <v>2429</v>
      </c>
      <c r="D6298" s="7">
        <v>1</v>
      </c>
      <c r="E6298" s="7">
        <v>10</v>
      </c>
      <c r="F6298" s="7">
        <v>1</v>
      </c>
      <c r="G6298" s="8" t="s">
        <v>2144</v>
      </c>
      <c r="H6298" s="8" t="s">
        <v>1242</v>
      </c>
      <c r="I6298" s="7" t="str">
        <f>_xlfn.CONCAT(Paper_Reference[[#This Row],[Lvl]:[Paper Description]])</f>
        <v>2XJ8R1066SD500CCHMC WP4-16G 60 X 120110110000020-6200Premium Inkjet MPK 9653</v>
      </c>
      <c r="J6298" s="7">
        <f>COUNTIF(Paper_Reference[Duplicate Key],Paper_Reference[[#This Row],[Duplicate Key]])</f>
        <v>1</v>
      </c>
    </row>
    <row r="6299" spans="1:10">
      <c r="A6299" s="7">
        <v>2</v>
      </c>
      <c r="B6299" s="8" t="s">
        <v>2919</v>
      </c>
      <c r="C6299" s="8" t="s">
        <v>2429</v>
      </c>
      <c r="D6299" s="7">
        <v>1</v>
      </c>
      <c r="E6299" s="7">
        <v>10</v>
      </c>
      <c r="F6299" s="7">
        <v>2</v>
      </c>
      <c r="G6299" s="8" t="s">
        <v>5690</v>
      </c>
      <c r="H6299" s="8" t="s">
        <v>5691</v>
      </c>
      <c r="I6299" s="7" t="str">
        <f>_xlfn.CONCAT(Paper_Reference[[#This Row],[Lvl]:[Paper Description]])</f>
        <v>2XJ8R1066SD500CCHMC WP4-16G 60 X 1201102100DS009-6200FROSTY WHITE</v>
      </c>
      <c r="J6299" s="7">
        <f>COUNTIF(Paper_Reference[Duplicate Key],Paper_Reference[[#This Row],[Duplicate Key]])</f>
        <v>1</v>
      </c>
    </row>
    <row r="6300" spans="1:10">
      <c r="A6300" s="7">
        <v>2</v>
      </c>
      <c r="B6300" s="8" t="s">
        <v>2920</v>
      </c>
      <c r="C6300" s="8" t="s">
        <v>2430</v>
      </c>
      <c r="D6300" s="7">
        <v>1</v>
      </c>
      <c r="E6300" s="7">
        <v>10</v>
      </c>
      <c r="F6300" s="7">
        <v>1</v>
      </c>
      <c r="G6300" s="8" t="s">
        <v>2144</v>
      </c>
      <c r="H6300" s="8" t="s">
        <v>1242</v>
      </c>
      <c r="I6300" s="7" t="str">
        <f>_xlfn.CONCAT(Paper_Reference[[#This Row],[Lvl]:[Paper Description]])</f>
        <v>2XJ8R1067SD500CCHMC WP4-16H 60 X 120110110000020-6200Premium Inkjet MPK 9653</v>
      </c>
      <c r="J6300" s="7">
        <f>COUNTIF(Paper_Reference[Duplicate Key],Paper_Reference[[#This Row],[Duplicate Key]])</f>
        <v>1</v>
      </c>
    </row>
    <row r="6301" spans="1:10">
      <c r="A6301" s="7">
        <v>2</v>
      </c>
      <c r="B6301" s="8" t="s">
        <v>2920</v>
      </c>
      <c r="C6301" s="8" t="s">
        <v>2430</v>
      </c>
      <c r="D6301" s="7">
        <v>1</v>
      </c>
      <c r="E6301" s="7">
        <v>10</v>
      </c>
      <c r="F6301" s="7">
        <v>2</v>
      </c>
      <c r="G6301" s="8" t="s">
        <v>5690</v>
      </c>
      <c r="H6301" s="8" t="s">
        <v>5691</v>
      </c>
      <c r="I6301" s="7" t="str">
        <f>_xlfn.CONCAT(Paper_Reference[[#This Row],[Lvl]:[Paper Description]])</f>
        <v>2XJ8R1067SD500CCHMC WP4-16H 60 X 1201102100DS009-6200FROSTY WHITE</v>
      </c>
      <c r="J6301" s="7">
        <f>COUNTIF(Paper_Reference[Duplicate Key],Paper_Reference[[#This Row],[Duplicate Key]])</f>
        <v>1</v>
      </c>
    </row>
    <row r="6302" spans="1:10">
      <c r="A6302" s="7">
        <v>2</v>
      </c>
      <c r="B6302" s="8" t="s">
        <v>2921</v>
      </c>
      <c r="C6302" s="8" t="s">
        <v>2431</v>
      </c>
      <c r="D6302" s="7">
        <v>1</v>
      </c>
      <c r="E6302" s="7">
        <v>10</v>
      </c>
      <c r="F6302" s="7">
        <v>1</v>
      </c>
      <c r="G6302" s="8" t="s">
        <v>2144</v>
      </c>
      <c r="H6302" s="8" t="s">
        <v>1242</v>
      </c>
      <c r="I6302" s="7" t="str">
        <f>_xlfn.CONCAT(Paper_Reference[[#This Row],[Lvl]:[Paper Description]])</f>
        <v>2XJ8R1068SD500CCHMC WP4-16J 60 X 120110110000020-6200Premium Inkjet MPK 9653</v>
      </c>
      <c r="J6302" s="7">
        <f>COUNTIF(Paper_Reference[Duplicate Key],Paper_Reference[[#This Row],[Duplicate Key]])</f>
        <v>1</v>
      </c>
    </row>
    <row r="6303" spans="1:10">
      <c r="A6303" s="7">
        <v>2</v>
      </c>
      <c r="B6303" s="8" t="s">
        <v>2921</v>
      </c>
      <c r="C6303" s="8" t="s">
        <v>2431</v>
      </c>
      <c r="D6303" s="7">
        <v>1</v>
      </c>
      <c r="E6303" s="7">
        <v>10</v>
      </c>
      <c r="F6303" s="7">
        <v>2</v>
      </c>
      <c r="G6303" s="8" t="s">
        <v>5690</v>
      </c>
      <c r="H6303" s="8" t="s">
        <v>5691</v>
      </c>
      <c r="I6303" s="7" t="str">
        <f>_xlfn.CONCAT(Paper_Reference[[#This Row],[Lvl]:[Paper Description]])</f>
        <v>2XJ8R1068SD500CCHMC WP4-16J 60 X 1201102100DS009-6200FROSTY WHITE</v>
      </c>
      <c r="J6303" s="7">
        <f>COUNTIF(Paper_Reference[Duplicate Key],Paper_Reference[[#This Row],[Duplicate Key]])</f>
        <v>1</v>
      </c>
    </row>
    <row r="6304" spans="1:10">
      <c r="A6304" s="7">
        <v>2</v>
      </c>
      <c r="B6304" s="8" t="s">
        <v>2922</v>
      </c>
      <c r="C6304" s="8" t="s">
        <v>2432</v>
      </c>
      <c r="D6304" s="7">
        <v>1</v>
      </c>
      <c r="E6304" s="7">
        <v>10</v>
      </c>
      <c r="F6304" s="7">
        <v>1</v>
      </c>
      <c r="G6304" s="8" t="s">
        <v>2144</v>
      </c>
      <c r="H6304" s="8" t="s">
        <v>1242</v>
      </c>
      <c r="I6304" s="7" t="str">
        <f>_xlfn.CONCAT(Paper_Reference[[#This Row],[Lvl]:[Paper Description]])</f>
        <v>2XJ8R1069SD500CCHMC WP4-37 60 X 120110110000020-6200Premium Inkjet MPK 9653</v>
      </c>
      <c r="J6304" s="7">
        <f>COUNTIF(Paper_Reference[Duplicate Key],Paper_Reference[[#This Row],[Duplicate Key]])</f>
        <v>1</v>
      </c>
    </row>
    <row r="6305" spans="1:10">
      <c r="A6305" s="7">
        <v>2</v>
      </c>
      <c r="B6305" s="8" t="s">
        <v>2922</v>
      </c>
      <c r="C6305" s="8" t="s">
        <v>2432</v>
      </c>
      <c r="D6305" s="7">
        <v>1</v>
      </c>
      <c r="E6305" s="7">
        <v>10</v>
      </c>
      <c r="F6305" s="7">
        <v>2</v>
      </c>
      <c r="G6305" s="8" t="s">
        <v>5690</v>
      </c>
      <c r="H6305" s="8" t="s">
        <v>5691</v>
      </c>
      <c r="I6305" s="7" t="str">
        <f>_xlfn.CONCAT(Paper_Reference[[#This Row],[Lvl]:[Paper Description]])</f>
        <v>2XJ8R1069SD500CCHMC WP4-37 60 X 1201102100DS009-6200FROSTY WHITE</v>
      </c>
      <c r="J6305" s="7">
        <f>COUNTIF(Paper_Reference[Duplicate Key],Paper_Reference[[#This Row],[Duplicate Key]])</f>
        <v>1</v>
      </c>
    </row>
    <row r="6306" spans="1:10">
      <c r="A6306" s="7">
        <v>2</v>
      </c>
      <c r="B6306" s="8" t="s">
        <v>2923</v>
      </c>
      <c r="C6306" s="8" t="s">
        <v>2433</v>
      </c>
      <c r="D6306" s="7">
        <v>1</v>
      </c>
      <c r="E6306" s="7">
        <v>10</v>
      </c>
      <c r="F6306" s="7">
        <v>1</v>
      </c>
      <c r="G6306" s="8" t="s">
        <v>2144</v>
      </c>
      <c r="H6306" s="8" t="s">
        <v>1242</v>
      </c>
      <c r="I6306" s="7" t="str">
        <f>_xlfn.CONCAT(Paper_Reference[[#This Row],[Lvl]:[Paper Description]])</f>
        <v>2XJ8R1070SD500CCHMC WP4-38 60 X 120110110000020-6200Premium Inkjet MPK 9653</v>
      </c>
      <c r="J6306" s="7">
        <f>COUNTIF(Paper_Reference[Duplicate Key],Paper_Reference[[#This Row],[Duplicate Key]])</f>
        <v>1</v>
      </c>
    </row>
    <row r="6307" spans="1:10">
      <c r="A6307" s="7">
        <v>2</v>
      </c>
      <c r="B6307" s="8" t="s">
        <v>2923</v>
      </c>
      <c r="C6307" s="8" t="s">
        <v>2433</v>
      </c>
      <c r="D6307" s="7">
        <v>1</v>
      </c>
      <c r="E6307" s="7">
        <v>10</v>
      </c>
      <c r="F6307" s="7">
        <v>2</v>
      </c>
      <c r="G6307" s="8" t="s">
        <v>5690</v>
      </c>
      <c r="H6307" s="8" t="s">
        <v>5691</v>
      </c>
      <c r="I6307" s="7" t="str">
        <f>_xlfn.CONCAT(Paper_Reference[[#This Row],[Lvl]:[Paper Description]])</f>
        <v>2XJ8R1070SD500CCHMC WP4-38 60 X 1201102100DS009-6200FROSTY WHITE</v>
      </c>
      <c r="J6307" s="7">
        <f>COUNTIF(Paper_Reference[Duplicate Key],Paper_Reference[[#This Row],[Duplicate Key]])</f>
        <v>1</v>
      </c>
    </row>
    <row r="6308" spans="1:10">
      <c r="A6308" s="7">
        <v>2</v>
      </c>
      <c r="B6308" s="8" t="s">
        <v>2924</v>
      </c>
      <c r="C6308" s="8" t="s">
        <v>2434</v>
      </c>
      <c r="D6308" s="7">
        <v>1</v>
      </c>
      <c r="E6308" s="7">
        <v>10</v>
      </c>
      <c r="F6308" s="7">
        <v>1</v>
      </c>
      <c r="G6308" s="8" t="s">
        <v>2144</v>
      </c>
      <c r="H6308" s="8" t="s">
        <v>1242</v>
      </c>
      <c r="I6308" s="7" t="str">
        <f>_xlfn.CONCAT(Paper_Reference[[#This Row],[Lvl]:[Paper Description]])</f>
        <v>2XJ8R1071SD500CCHMC WP4-41 60 X 120110110000020-6200Premium Inkjet MPK 9653</v>
      </c>
      <c r="J6308" s="7">
        <f>COUNTIF(Paper_Reference[Duplicate Key],Paper_Reference[[#This Row],[Duplicate Key]])</f>
        <v>1</v>
      </c>
    </row>
    <row r="6309" spans="1:10">
      <c r="A6309" s="7">
        <v>2</v>
      </c>
      <c r="B6309" s="8" t="s">
        <v>2924</v>
      </c>
      <c r="C6309" s="8" t="s">
        <v>2434</v>
      </c>
      <c r="D6309" s="7">
        <v>1</v>
      </c>
      <c r="E6309" s="7">
        <v>10</v>
      </c>
      <c r="F6309" s="7">
        <v>2</v>
      </c>
      <c r="G6309" s="8" t="s">
        <v>5690</v>
      </c>
      <c r="H6309" s="8" t="s">
        <v>5691</v>
      </c>
      <c r="I6309" s="7" t="str">
        <f>_xlfn.CONCAT(Paper_Reference[[#This Row],[Lvl]:[Paper Description]])</f>
        <v>2XJ8R1071SD500CCHMC WP4-41 60 X 1201102100DS009-6200FROSTY WHITE</v>
      </c>
      <c r="J6309" s="7">
        <f>COUNTIF(Paper_Reference[Duplicate Key],Paper_Reference[[#This Row],[Duplicate Key]])</f>
        <v>1</v>
      </c>
    </row>
    <row r="6310" spans="1:10">
      <c r="A6310" s="7">
        <v>2</v>
      </c>
      <c r="B6310" s="8" t="s">
        <v>2925</v>
      </c>
      <c r="C6310" s="8" t="s">
        <v>2435</v>
      </c>
      <c r="D6310" s="7">
        <v>1</v>
      </c>
      <c r="E6310" s="7">
        <v>10</v>
      </c>
      <c r="F6310" s="7">
        <v>1</v>
      </c>
      <c r="G6310" s="8" t="s">
        <v>2144</v>
      </c>
      <c r="H6310" s="8" t="s">
        <v>1242</v>
      </c>
      <c r="I6310" s="7" t="str">
        <f>_xlfn.CONCAT(Paper_Reference[[#This Row],[Lvl]:[Paper Description]])</f>
        <v>2XJ8R1072SD500CANYON SPRINGS HS 60 X 120110110000020-6200Premium Inkjet MPK 9653</v>
      </c>
      <c r="J6310" s="7">
        <f>COUNTIF(Paper_Reference[Duplicate Key],Paper_Reference[[#This Row],[Duplicate Key]])</f>
        <v>1</v>
      </c>
    </row>
    <row r="6311" spans="1:10">
      <c r="A6311" s="7">
        <v>2</v>
      </c>
      <c r="B6311" s="8" t="s">
        <v>2925</v>
      </c>
      <c r="C6311" s="8" t="s">
        <v>2435</v>
      </c>
      <c r="D6311" s="7">
        <v>1</v>
      </c>
      <c r="E6311" s="7">
        <v>10</v>
      </c>
      <c r="F6311" s="7">
        <v>2</v>
      </c>
      <c r="G6311" s="8" t="s">
        <v>5690</v>
      </c>
      <c r="H6311" s="8" t="s">
        <v>5691</v>
      </c>
      <c r="I6311" s="7" t="str">
        <f>_xlfn.CONCAT(Paper_Reference[[#This Row],[Lvl]:[Paper Description]])</f>
        <v>2XJ8R1072SD500CANYON SPRINGS HS 60 X 1201102100DS009-6200FROSTY WHITE</v>
      </c>
      <c r="J6311" s="7">
        <f>COUNTIF(Paper_Reference[Duplicate Key],Paper_Reference[[#This Row],[Duplicate Key]])</f>
        <v>1</v>
      </c>
    </row>
    <row r="6312" spans="1:10">
      <c r="A6312" s="7">
        <v>2</v>
      </c>
      <c r="B6312" s="8" t="s">
        <v>2926</v>
      </c>
      <c r="C6312" s="8" t="s">
        <v>2436</v>
      </c>
      <c r="D6312" s="7">
        <v>1</v>
      </c>
      <c r="E6312" s="7">
        <v>10</v>
      </c>
      <c r="F6312" s="7">
        <v>1</v>
      </c>
      <c r="G6312" s="8" t="s">
        <v>2144</v>
      </c>
      <c r="H6312" s="8" t="s">
        <v>1242</v>
      </c>
      <c r="I6312" s="7" t="str">
        <f>_xlfn.CONCAT(Paper_Reference[[#This Row],[Lvl]:[Paper Description]])</f>
        <v>2XJ8R1074SD500CCHMC GL2-230 REVISED 60 X 120110110000020-6200Premium Inkjet MPK 9653</v>
      </c>
      <c r="J6312" s="7">
        <f>COUNTIF(Paper_Reference[Duplicate Key],Paper_Reference[[#This Row],[Duplicate Key]])</f>
        <v>1</v>
      </c>
    </row>
    <row r="6313" spans="1:10">
      <c r="A6313" s="7">
        <v>2</v>
      </c>
      <c r="B6313" s="8" t="s">
        <v>2926</v>
      </c>
      <c r="C6313" s="8" t="s">
        <v>2436</v>
      </c>
      <c r="D6313" s="7">
        <v>1</v>
      </c>
      <c r="E6313" s="7">
        <v>10</v>
      </c>
      <c r="F6313" s="7">
        <v>2</v>
      </c>
      <c r="G6313" s="8" t="s">
        <v>5690</v>
      </c>
      <c r="H6313" s="8" t="s">
        <v>5691</v>
      </c>
      <c r="I6313" s="7" t="str">
        <f>_xlfn.CONCAT(Paper_Reference[[#This Row],[Lvl]:[Paper Description]])</f>
        <v>2XJ8R1074SD500CCHMC GL2-230 REVISED 60 X 1201102100DS009-6200FROSTY WHITE</v>
      </c>
      <c r="J6313" s="7">
        <f>COUNTIF(Paper_Reference[Duplicate Key],Paper_Reference[[#This Row],[Duplicate Key]])</f>
        <v>1</v>
      </c>
    </row>
    <row r="6314" spans="1:10">
      <c r="A6314" s="7">
        <v>2</v>
      </c>
      <c r="B6314" s="8" t="s">
        <v>2927</v>
      </c>
      <c r="C6314" s="8" t="s">
        <v>2437</v>
      </c>
      <c r="D6314" s="7">
        <v>1</v>
      </c>
      <c r="E6314" s="7">
        <v>10</v>
      </c>
      <c r="F6314" s="7">
        <v>1</v>
      </c>
      <c r="G6314" s="8" t="s">
        <v>2144</v>
      </c>
      <c r="H6314" s="8" t="s">
        <v>1242</v>
      </c>
      <c r="I6314" s="7" t="str">
        <f>_xlfn.CONCAT(Paper_Reference[[#This Row],[Lvl]:[Paper Description]])</f>
        <v>2XJ8R1075SD500CCHMC COR G3 060 NORTH 60 X 12110110000020-6200Premium Inkjet MPK 9653</v>
      </c>
      <c r="J6314" s="7">
        <f>COUNTIF(Paper_Reference[Duplicate Key],Paper_Reference[[#This Row],[Duplicate Key]])</f>
        <v>1</v>
      </c>
    </row>
    <row r="6315" spans="1:10">
      <c r="A6315" s="7">
        <v>2</v>
      </c>
      <c r="B6315" s="8" t="s">
        <v>2927</v>
      </c>
      <c r="C6315" s="8" t="s">
        <v>2437</v>
      </c>
      <c r="D6315" s="7">
        <v>1</v>
      </c>
      <c r="E6315" s="7">
        <v>10</v>
      </c>
      <c r="F6315" s="7">
        <v>2</v>
      </c>
      <c r="G6315" s="8" t="s">
        <v>5690</v>
      </c>
      <c r="H6315" s="8" t="s">
        <v>5691</v>
      </c>
      <c r="I6315" s="7" t="str">
        <f>_xlfn.CONCAT(Paper_Reference[[#This Row],[Lvl]:[Paper Description]])</f>
        <v>2XJ8R1075SD500CCHMC COR G3 060 NORTH 60 X 121102100DS009-6200FROSTY WHITE</v>
      </c>
      <c r="J6315" s="7">
        <f>COUNTIF(Paper_Reference[Duplicate Key],Paper_Reference[[#This Row],[Duplicate Key]])</f>
        <v>1</v>
      </c>
    </row>
    <row r="6316" spans="1:10">
      <c r="A6316" s="7">
        <v>2</v>
      </c>
      <c r="B6316" s="8" t="s">
        <v>2928</v>
      </c>
      <c r="C6316" s="8" t="s">
        <v>2438</v>
      </c>
      <c r="D6316" s="7">
        <v>1</v>
      </c>
      <c r="E6316" s="7">
        <v>10</v>
      </c>
      <c r="F6316" s="7">
        <v>1</v>
      </c>
      <c r="G6316" s="8" t="s">
        <v>2144</v>
      </c>
      <c r="H6316" s="8" t="s">
        <v>1242</v>
      </c>
      <c r="I6316" s="7" t="str">
        <f>_xlfn.CONCAT(Paper_Reference[[#This Row],[Lvl]:[Paper Description]])</f>
        <v>2XJ8R1076SD500CCHMC COR G4 060 NORTH 60 X 12110110000020-6200Premium Inkjet MPK 9653</v>
      </c>
      <c r="J6316" s="7">
        <f>COUNTIF(Paper_Reference[Duplicate Key],Paper_Reference[[#This Row],[Duplicate Key]])</f>
        <v>1</v>
      </c>
    </row>
    <row r="6317" spans="1:10">
      <c r="A6317" s="7">
        <v>2</v>
      </c>
      <c r="B6317" s="8" t="s">
        <v>2928</v>
      </c>
      <c r="C6317" s="8" t="s">
        <v>2438</v>
      </c>
      <c r="D6317" s="7">
        <v>1</v>
      </c>
      <c r="E6317" s="7">
        <v>10</v>
      </c>
      <c r="F6317" s="7">
        <v>2</v>
      </c>
      <c r="G6317" s="8" t="s">
        <v>5690</v>
      </c>
      <c r="H6317" s="8" t="s">
        <v>5691</v>
      </c>
      <c r="I6317" s="7" t="str">
        <f>_xlfn.CONCAT(Paper_Reference[[#This Row],[Lvl]:[Paper Description]])</f>
        <v>2XJ8R1076SD500CCHMC COR G4 060 NORTH 60 X 121102100DS009-6200FROSTY WHITE</v>
      </c>
      <c r="J6317" s="7">
        <f>COUNTIF(Paper_Reference[Duplicate Key],Paper_Reference[[#This Row],[Duplicate Key]])</f>
        <v>1</v>
      </c>
    </row>
    <row r="6318" spans="1:10">
      <c r="A6318" s="7">
        <v>2</v>
      </c>
      <c r="B6318" s="8" t="s">
        <v>2929</v>
      </c>
      <c r="C6318" s="8" t="s">
        <v>2439</v>
      </c>
      <c r="D6318" s="7">
        <v>1</v>
      </c>
      <c r="E6318" s="7">
        <v>10</v>
      </c>
      <c r="F6318" s="7">
        <v>1</v>
      </c>
      <c r="G6318" s="8" t="s">
        <v>2144</v>
      </c>
      <c r="H6318" s="8" t="s">
        <v>1242</v>
      </c>
      <c r="I6318" s="7" t="str">
        <f>_xlfn.CONCAT(Paper_Reference[[#This Row],[Lvl]:[Paper Description]])</f>
        <v>2XJ8R1077SD500CCHMC G3 060 NORTH 01 60 X 120110110000020-6200Premium Inkjet MPK 9653</v>
      </c>
      <c r="J6318" s="7">
        <f>COUNTIF(Paper_Reference[Duplicate Key],Paper_Reference[[#This Row],[Duplicate Key]])</f>
        <v>1</v>
      </c>
    </row>
    <row r="6319" spans="1:10">
      <c r="A6319" s="7">
        <v>2</v>
      </c>
      <c r="B6319" s="8" t="s">
        <v>2929</v>
      </c>
      <c r="C6319" s="8" t="s">
        <v>2439</v>
      </c>
      <c r="D6319" s="7">
        <v>1</v>
      </c>
      <c r="E6319" s="7">
        <v>10</v>
      </c>
      <c r="F6319" s="7">
        <v>2</v>
      </c>
      <c r="G6319" s="8" t="s">
        <v>5690</v>
      </c>
      <c r="H6319" s="8" t="s">
        <v>5691</v>
      </c>
      <c r="I6319" s="7" t="str">
        <f>_xlfn.CONCAT(Paper_Reference[[#This Row],[Lvl]:[Paper Description]])</f>
        <v>2XJ8R1077SD500CCHMC G3 060 NORTH 01 60 X 1201102100DS009-6200FROSTY WHITE</v>
      </c>
      <c r="J6319" s="7">
        <f>COUNTIF(Paper_Reference[Duplicate Key],Paper_Reference[[#This Row],[Duplicate Key]])</f>
        <v>1</v>
      </c>
    </row>
    <row r="6320" spans="1:10">
      <c r="A6320" s="7">
        <v>2</v>
      </c>
      <c r="B6320" s="8" t="s">
        <v>2930</v>
      </c>
      <c r="C6320" s="8" t="s">
        <v>2440</v>
      </c>
      <c r="D6320" s="7">
        <v>1</v>
      </c>
      <c r="E6320" s="7">
        <v>10</v>
      </c>
      <c r="F6320" s="7">
        <v>1</v>
      </c>
      <c r="G6320" s="8" t="s">
        <v>2144</v>
      </c>
      <c r="H6320" s="8" t="s">
        <v>1242</v>
      </c>
      <c r="I6320" s="7" t="str">
        <f>_xlfn.CONCAT(Paper_Reference[[#This Row],[Lvl]:[Paper Description]])</f>
        <v>2XJ8R1078SD500CCHMC G3 060 NORTH 02 60 X 120110110000020-6200Premium Inkjet MPK 9653</v>
      </c>
      <c r="J6320" s="7">
        <f>COUNTIF(Paper_Reference[Duplicate Key],Paper_Reference[[#This Row],[Duplicate Key]])</f>
        <v>1</v>
      </c>
    </row>
    <row r="6321" spans="1:10">
      <c r="A6321" s="7">
        <v>2</v>
      </c>
      <c r="B6321" s="8" t="s">
        <v>2930</v>
      </c>
      <c r="C6321" s="8" t="s">
        <v>2440</v>
      </c>
      <c r="D6321" s="7">
        <v>1</v>
      </c>
      <c r="E6321" s="7">
        <v>10</v>
      </c>
      <c r="F6321" s="7">
        <v>2</v>
      </c>
      <c r="G6321" s="8" t="s">
        <v>5690</v>
      </c>
      <c r="H6321" s="8" t="s">
        <v>5691</v>
      </c>
      <c r="I6321" s="7" t="str">
        <f>_xlfn.CONCAT(Paper_Reference[[#This Row],[Lvl]:[Paper Description]])</f>
        <v>2XJ8R1078SD500CCHMC G3 060 NORTH 02 60 X 1201102100DS009-6200FROSTY WHITE</v>
      </c>
      <c r="J6321" s="7">
        <f>COUNTIF(Paper_Reference[Duplicate Key],Paper_Reference[[#This Row],[Duplicate Key]])</f>
        <v>1</v>
      </c>
    </row>
    <row r="6322" spans="1:10">
      <c r="A6322" s="7">
        <v>2</v>
      </c>
      <c r="B6322" s="8" t="s">
        <v>2931</v>
      </c>
      <c r="C6322" s="8" t="s">
        <v>2441</v>
      </c>
      <c r="D6322" s="7">
        <v>1</v>
      </c>
      <c r="E6322" s="7">
        <v>10</v>
      </c>
      <c r="F6322" s="7">
        <v>1</v>
      </c>
      <c r="G6322" s="8" t="s">
        <v>2144</v>
      </c>
      <c r="H6322" s="8" t="s">
        <v>1242</v>
      </c>
      <c r="I6322" s="7" t="str">
        <f>_xlfn.CONCAT(Paper_Reference[[#This Row],[Lvl]:[Paper Description]])</f>
        <v>2XJ8R1079SD500CCHMC G3 060 WEST 60 X 120110110000020-6200Premium Inkjet MPK 9653</v>
      </c>
      <c r="J6322" s="7">
        <f>COUNTIF(Paper_Reference[Duplicate Key],Paper_Reference[[#This Row],[Duplicate Key]])</f>
        <v>1</v>
      </c>
    </row>
    <row r="6323" spans="1:10">
      <c r="A6323" s="7">
        <v>2</v>
      </c>
      <c r="B6323" s="8" t="s">
        <v>2931</v>
      </c>
      <c r="C6323" s="8" t="s">
        <v>2441</v>
      </c>
      <c r="D6323" s="7">
        <v>1</v>
      </c>
      <c r="E6323" s="7">
        <v>10</v>
      </c>
      <c r="F6323" s="7">
        <v>2</v>
      </c>
      <c r="G6323" s="8" t="s">
        <v>5690</v>
      </c>
      <c r="H6323" s="8" t="s">
        <v>5691</v>
      </c>
      <c r="I6323" s="7" t="str">
        <f>_xlfn.CONCAT(Paper_Reference[[#This Row],[Lvl]:[Paper Description]])</f>
        <v>2XJ8R1079SD500CCHMC G3 060 WEST 60 X 1201102100DS009-6200FROSTY WHITE</v>
      </c>
      <c r="J6323" s="7">
        <f>COUNTIF(Paper_Reference[Duplicate Key],Paper_Reference[[#This Row],[Duplicate Key]])</f>
        <v>1</v>
      </c>
    </row>
    <row r="6324" spans="1:10">
      <c r="A6324" s="7">
        <v>2</v>
      </c>
      <c r="B6324" s="8" t="s">
        <v>2932</v>
      </c>
      <c r="C6324" s="8" t="s">
        <v>2442</v>
      </c>
      <c r="D6324" s="7">
        <v>1</v>
      </c>
      <c r="E6324" s="7">
        <v>10</v>
      </c>
      <c r="F6324" s="7">
        <v>1</v>
      </c>
      <c r="G6324" s="8" t="s">
        <v>2144</v>
      </c>
      <c r="H6324" s="8" t="s">
        <v>1242</v>
      </c>
      <c r="I6324" s="7" t="str">
        <f>_xlfn.CONCAT(Paper_Reference[[#This Row],[Lvl]:[Paper Description]])</f>
        <v>2XJ8R1080SD500CCHMC G3 060D NORTH 60 X 120110110000020-6200Premium Inkjet MPK 9653</v>
      </c>
      <c r="J6324" s="7">
        <f>COUNTIF(Paper_Reference[Duplicate Key],Paper_Reference[[#This Row],[Duplicate Key]])</f>
        <v>1</v>
      </c>
    </row>
    <row r="6325" spans="1:10">
      <c r="A6325" s="7">
        <v>2</v>
      </c>
      <c r="B6325" s="8" t="s">
        <v>2932</v>
      </c>
      <c r="C6325" s="8" t="s">
        <v>2442</v>
      </c>
      <c r="D6325" s="7">
        <v>1</v>
      </c>
      <c r="E6325" s="7">
        <v>10</v>
      </c>
      <c r="F6325" s="7">
        <v>2</v>
      </c>
      <c r="G6325" s="8" t="s">
        <v>5690</v>
      </c>
      <c r="H6325" s="8" t="s">
        <v>5691</v>
      </c>
      <c r="I6325" s="7" t="str">
        <f>_xlfn.CONCAT(Paper_Reference[[#This Row],[Lvl]:[Paper Description]])</f>
        <v>2XJ8R1080SD500CCHMC G3 060D NORTH 60 X 1201102100DS009-6200FROSTY WHITE</v>
      </c>
      <c r="J6325" s="7">
        <f>COUNTIF(Paper_Reference[Duplicate Key],Paper_Reference[[#This Row],[Duplicate Key]])</f>
        <v>1</v>
      </c>
    </row>
    <row r="6326" spans="1:10">
      <c r="A6326" s="7">
        <v>2</v>
      </c>
      <c r="B6326" s="8" t="s">
        <v>2933</v>
      </c>
      <c r="C6326" s="8" t="s">
        <v>2443</v>
      </c>
      <c r="D6326" s="7">
        <v>1</v>
      </c>
      <c r="E6326" s="7">
        <v>10</v>
      </c>
      <c r="F6326" s="7">
        <v>1</v>
      </c>
      <c r="G6326" s="8" t="s">
        <v>2144</v>
      </c>
      <c r="H6326" s="8" t="s">
        <v>1242</v>
      </c>
      <c r="I6326" s="7" t="str">
        <f>_xlfn.CONCAT(Paper_Reference[[#This Row],[Lvl]:[Paper Description]])</f>
        <v>2XJ8R1081SD500CCHMC G4 056 NORTH 01 60 X 120110110000020-6200Premium Inkjet MPK 9653</v>
      </c>
      <c r="J6326" s="7">
        <f>COUNTIF(Paper_Reference[Duplicate Key],Paper_Reference[[#This Row],[Duplicate Key]])</f>
        <v>1</v>
      </c>
    </row>
    <row r="6327" spans="1:10">
      <c r="A6327" s="7">
        <v>2</v>
      </c>
      <c r="B6327" s="8" t="s">
        <v>2933</v>
      </c>
      <c r="C6327" s="8" t="s">
        <v>2443</v>
      </c>
      <c r="D6327" s="7">
        <v>1</v>
      </c>
      <c r="E6327" s="7">
        <v>10</v>
      </c>
      <c r="F6327" s="7">
        <v>2</v>
      </c>
      <c r="G6327" s="8" t="s">
        <v>5690</v>
      </c>
      <c r="H6327" s="8" t="s">
        <v>5691</v>
      </c>
      <c r="I6327" s="7" t="str">
        <f>_xlfn.CONCAT(Paper_Reference[[#This Row],[Lvl]:[Paper Description]])</f>
        <v>2XJ8R1081SD500CCHMC G4 056 NORTH 01 60 X 1201102100DS009-6200FROSTY WHITE</v>
      </c>
      <c r="J6327" s="7">
        <f>COUNTIF(Paper_Reference[Duplicate Key],Paper_Reference[[#This Row],[Duplicate Key]])</f>
        <v>1</v>
      </c>
    </row>
    <row r="6328" spans="1:10">
      <c r="A6328" s="7">
        <v>2</v>
      </c>
      <c r="B6328" s="8" t="s">
        <v>2934</v>
      </c>
      <c r="C6328" s="8" t="s">
        <v>2444</v>
      </c>
      <c r="D6328" s="7">
        <v>1</v>
      </c>
      <c r="E6328" s="7">
        <v>10</v>
      </c>
      <c r="F6328" s="7">
        <v>1</v>
      </c>
      <c r="G6328" s="8" t="s">
        <v>2144</v>
      </c>
      <c r="H6328" s="8" t="s">
        <v>1242</v>
      </c>
      <c r="I6328" s="7" t="str">
        <f>_xlfn.CONCAT(Paper_Reference[[#This Row],[Lvl]:[Paper Description]])</f>
        <v>2XJ8R1082SD500CCHMC G4 060 EAST 60 X 120110110000020-6200Premium Inkjet MPK 9653</v>
      </c>
      <c r="J6328" s="7">
        <f>COUNTIF(Paper_Reference[Duplicate Key],Paper_Reference[[#This Row],[Duplicate Key]])</f>
        <v>1</v>
      </c>
    </row>
    <row r="6329" spans="1:10">
      <c r="A6329" s="7">
        <v>2</v>
      </c>
      <c r="B6329" s="8" t="s">
        <v>2934</v>
      </c>
      <c r="C6329" s="8" t="s">
        <v>2444</v>
      </c>
      <c r="D6329" s="7">
        <v>1</v>
      </c>
      <c r="E6329" s="7">
        <v>10</v>
      </c>
      <c r="F6329" s="7">
        <v>2</v>
      </c>
      <c r="G6329" s="8" t="s">
        <v>5690</v>
      </c>
      <c r="H6329" s="8" t="s">
        <v>5691</v>
      </c>
      <c r="I6329" s="7" t="str">
        <f>_xlfn.CONCAT(Paper_Reference[[#This Row],[Lvl]:[Paper Description]])</f>
        <v>2XJ8R1082SD500CCHMC G4 060 EAST 60 X 1201102100DS009-6200FROSTY WHITE</v>
      </c>
      <c r="J6329" s="7">
        <f>COUNTIF(Paper_Reference[Duplicate Key],Paper_Reference[[#This Row],[Duplicate Key]])</f>
        <v>1</v>
      </c>
    </row>
    <row r="6330" spans="1:10">
      <c r="A6330" s="7">
        <v>2</v>
      </c>
      <c r="B6330" s="8" t="s">
        <v>2935</v>
      </c>
      <c r="C6330" s="8" t="s">
        <v>2445</v>
      </c>
      <c r="D6330" s="7">
        <v>1</v>
      </c>
      <c r="E6330" s="7">
        <v>10</v>
      </c>
      <c r="F6330" s="7">
        <v>1</v>
      </c>
      <c r="G6330" s="8" t="s">
        <v>2144</v>
      </c>
      <c r="H6330" s="8" t="s">
        <v>1242</v>
      </c>
      <c r="I6330" s="7" t="str">
        <f>_xlfn.CONCAT(Paper_Reference[[#This Row],[Lvl]:[Paper Description]])</f>
        <v>2XJ8R1083SD500CCHMC G4 060 NORTH 02 60 X 120110110000020-6200Premium Inkjet MPK 9653</v>
      </c>
      <c r="J6330" s="7">
        <f>COUNTIF(Paper_Reference[Duplicate Key],Paper_Reference[[#This Row],[Duplicate Key]])</f>
        <v>1</v>
      </c>
    </row>
    <row r="6331" spans="1:10">
      <c r="A6331" s="7">
        <v>2</v>
      </c>
      <c r="B6331" s="8" t="s">
        <v>2935</v>
      </c>
      <c r="C6331" s="8" t="s">
        <v>2445</v>
      </c>
      <c r="D6331" s="7">
        <v>1</v>
      </c>
      <c r="E6331" s="7">
        <v>10</v>
      </c>
      <c r="F6331" s="7">
        <v>2</v>
      </c>
      <c r="G6331" s="8" t="s">
        <v>5690</v>
      </c>
      <c r="H6331" s="8" t="s">
        <v>5691</v>
      </c>
      <c r="I6331" s="7" t="str">
        <f>_xlfn.CONCAT(Paper_Reference[[#This Row],[Lvl]:[Paper Description]])</f>
        <v>2XJ8R1083SD500CCHMC G4 060 NORTH 02 60 X 1201102100DS009-6200FROSTY WHITE</v>
      </c>
      <c r="J6331" s="7">
        <f>COUNTIF(Paper_Reference[Duplicate Key],Paper_Reference[[#This Row],[Duplicate Key]])</f>
        <v>1</v>
      </c>
    </row>
    <row r="6332" spans="1:10">
      <c r="A6332" s="7">
        <v>2</v>
      </c>
      <c r="B6332" s="8" t="s">
        <v>2936</v>
      </c>
      <c r="C6332" s="8" t="s">
        <v>2446</v>
      </c>
      <c r="D6332" s="7">
        <v>1</v>
      </c>
      <c r="E6332" s="7">
        <v>10</v>
      </c>
      <c r="F6332" s="7">
        <v>1</v>
      </c>
      <c r="G6332" s="8" t="s">
        <v>2144</v>
      </c>
      <c r="H6332" s="8" t="s">
        <v>1242</v>
      </c>
      <c r="I6332" s="7" t="str">
        <f>_xlfn.CONCAT(Paper_Reference[[#This Row],[Lvl]:[Paper Description]])</f>
        <v>2XJ8R1084SD500CCHMC G4 060D NORTH 60 X 120110110000020-6200Premium Inkjet MPK 9653</v>
      </c>
      <c r="J6332" s="7">
        <f>COUNTIF(Paper_Reference[Duplicate Key],Paper_Reference[[#This Row],[Duplicate Key]])</f>
        <v>1</v>
      </c>
    </row>
    <row r="6333" spans="1:10">
      <c r="A6333" s="7">
        <v>2</v>
      </c>
      <c r="B6333" s="8" t="s">
        <v>2936</v>
      </c>
      <c r="C6333" s="8" t="s">
        <v>2446</v>
      </c>
      <c r="D6333" s="7">
        <v>1</v>
      </c>
      <c r="E6333" s="7">
        <v>10</v>
      </c>
      <c r="F6333" s="7">
        <v>2</v>
      </c>
      <c r="G6333" s="8" t="s">
        <v>5690</v>
      </c>
      <c r="H6333" s="8" t="s">
        <v>5691</v>
      </c>
      <c r="I6333" s="7" t="str">
        <f>_xlfn.CONCAT(Paper_Reference[[#This Row],[Lvl]:[Paper Description]])</f>
        <v>2XJ8R1084SD500CCHMC G4 060D NORTH 60 X 1201102100DS009-6200FROSTY WHITE</v>
      </c>
      <c r="J6333" s="7">
        <f>COUNTIF(Paper_Reference[Duplicate Key],Paper_Reference[[#This Row],[Duplicate Key]])</f>
        <v>1</v>
      </c>
    </row>
    <row r="6334" spans="1:10">
      <c r="A6334" s="7">
        <v>2</v>
      </c>
      <c r="B6334" s="8" t="s">
        <v>2937</v>
      </c>
      <c r="C6334" s="8" t="s">
        <v>2447</v>
      </c>
      <c r="D6334" s="7">
        <v>1</v>
      </c>
      <c r="E6334" s="7">
        <v>10</v>
      </c>
      <c r="F6334" s="7">
        <v>1</v>
      </c>
      <c r="G6334" s="8" t="s">
        <v>2144</v>
      </c>
      <c r="H6334" s="8" t="s">
        <v>1242</v>
      </c>
      <c r="I6334" s="7" t="str">
        <f>_xlfn.CONCAT(Paper_Reference[[#This Row],[Lvl]:[Paper Description]])</f>
        <v>2XJ8R1085SD500SCH F B PUBLIC ELEV 60 X 120110110000020-6200Premium Inkjet MPK 9653</v>
      </c>
      <c r="J6334" s="7">
        <f>COUNTIF(Paper_Reference[Duplicate Key],Paper_Reference[[#This Row],[Duplicate Key]])</f>
        <v>1</v>
      </c>
    </row>
    <row r="6335" spans="1:10">
      <c r="A6335" s="7">
        <v>2</v>
      </c>
      <c r="B6335" s="8" t="s">
        <v>2937</v>
      </c>
      <c r="C6335" s="8" t="s">
        <v>2447</v>
      </c>
      <c r="D6335" s="7">
        <v>1</v>
      </c>
      <c r="E6335" s="7">
        <v>10</v>
      </c>
      <c r="F6335" s="7">
        <v>2</v>
      </c>
      <c r="G6335" s="8" t="s">
        <v>5690</v>
      </c>
      <c r="H6335" s="8" t="s">
        <v>5691</v>
      </c>
      <c r="I6335" s="7" t="str">
        <f>_xlfn.CONCAT(Paper_Reference[[#This Row],[Lvl]:[Paper Description]])</f>
        <v>2XJ8R1085SD500SCH F B PUBLIC ELEV 60 X 1201102100DS009-6200FROSTY WHITE</v>
      </c>
      <c r="J6335" s="7">
        <f>COUNTIF(Paper_Reference[Duplicate Key],Paper_Reference[[#This Row],[Duplicate Key]])</f>
        <v>1</v>
      </c>
    </row>
    <row r="6336" spans="1:10">
      <c r="A6336" s="7">
        <v>2</v>
      </c>
      <c r="B6336" s="8" t="s">
        <v>2938</v>
      </c>
      <c r="C6336" s="8" t="s">
        <v>2448</v>
      </c>
      <c r="D6336" s="7">
        <v>1</v>
      </c>
      <c r="E6336" s="7">
        <v>10</v>
      </c>
      <c r="F6336" s="7">
        <v>1</v>
      </c>
      <c r="G6336" s="8" t="s">
        <v>2144</v>
      </c>
      <c r="H6336" s="8" t="s">
        <v>1242</v>
      </c>
      <c r="I6336" s="7" t="str">
        <f>_xlfn.CONCAT(Paper_Reference[[#This Row],[Lvl]:[Paper Description]])</f>
        <v>2XJ8R1086SD580CANMORE BARNBOARD 60 X 96110110000020-6200Premium Inkjet MPK 9653</v>
      </c>
      <c r="J6336" s="7">
        <f>COUNTIF(Paper_Reference[Duplicate Key],Paper_Reference[[#This Row],[Duplicate Key]])</f>
        <v>1</v>
      </c>
    </row>
    <row r="6337" spans="1:10">
      <c r="A6337" s="7">
        <v>2</v>
      </c>
      <c r="B6337" s="8" t="s">
        <v>2938</v>
      </c>
      <c r="C6337" s="8" t="s">
        <v>2448</v>
      </c>
      <c r="D6337" s="7">
        <v>1</v>
      </c>
      <c r="E6337" s="7">
        <v>10</v>
      </c>
      <c r="F6337" s="7">
        <v>2</v>
      </c>
      <c r="G6337" s="8" t="s">
        <v>5690</v>
      </c>
      <c r="H6337" s="8" t="s">
        <v>5691</v>
      </c>
      <c r="I6337" s="7" t="str">
        <f>_xlfn.CONCAT(Paper_Reference[[#This Row],[Lvl]:[Paper Description]])</f>
        <v>2XJ8R1086SD580CANMORE BARNBOARD 60 X 961102100DS009-6200FROSTY WHITE</v>
      </c>
      <c r="J6337" s="7">
        <f>COUNTIF(Paper_Reference[Duplicate Key],Paper_Reference[[#This Row],[Duplicate Key]])</f>
        <v>1</v>
      </c>
    </row>
    <row r="6338" spans="1:10">
      <c r="A6338" s="7">
        <v>2</v>
      </c>
      <c r="B6338" s="8" t="s">
        <v>2939</v>
      </c>
      <c r="C6338" s="8" t="s">
        <v>2449</v>
      </c>
      <c r="D6338" s="7">
        <v>1</v>
      </c>
      <c r="E6338" s="7">
        <v>10</v>
      </c>
      <c r="F6338" s="7">
        <v>1</v>
      </c>
      <c r="G6338" s="8" t="s">
        <v>2144</v>
      </c>
      <c r="H6338" s="8" t="s">
        <v>1242</v>
      </c>
      <c r="I6338" s="7" t="str">
        <f>_xlfn.CONCAT(Paper_Reference[[#This Row],[Lvl]:[Paper Description]])</f>
        <v>2XJ8R1087SD500SCH F B PARKING ELEV 60 X 120110110000020-6200Premium Inkjet MPK 9653</v>
      </c>
      <c r="J6338" s="7">
        <f>COUNTIF(Paper_Reference[Duplicate Key],Paper_Reference[[#This Row],[Duplicate Key]])</f>
        <v>1</v>
      </c>
    </row>
    <row r="6339" spans="1:10">
      <c r="A6339" s="7">
        <v>2</v>
      </c>
      <c r="B6339" s="8" t="s">
        <v>2939</v>
      </c>
      <c r="C6339" s="8" t="s">
        <v>2449</v>
      </c>
      <c r="D6339" s="7">
        <v>1</v>
      </c>
      <c r="E6339" s="7">
        <v>10</v>
      </c>
      <c r="F6339" s="7">
        <v>2</v>
      </c>
      <c r="G6339" s="8" t="s">
        <v>5690</v>
      </c>
      <c r="H6339" s="8" t="s">
        <v>5691</v>
      </c>
      <c r="I6339" s="7" t="str">
        <f>_xlfn.CONCAT(Paper_Reference[[#This Row],[Lvl]:[Paper Description]])</f>
        <v>2XJ8R1087SD500SCH F B PARKING ELEV 60 X 1201102100DS009-6200FROSTY WHITE</v>
      </c>
      <c r="J6339" s="7">
        <f>COUNTIF(Paper_Reference[Duplicate Key],Paper_Reference[[#This Row],[Duplicate Key]])</f>
        <v>1</v>
      </c>
    </row>
    <row r="6340" spans="1:10">
      <c r="A6340" s="7">
        <v>2</v>
      </c>
      <c r="B6340" s="8" t="s">
        <v>2940</v>
      </c>
      <c r="C6340" s="8" t="s">
        <v>2450</v>
      </c>
      <c r="D6340" s="7">
        <v>1</v>
      </c>
      <c r="E6340" s="7">
        <v>10</v>
      </c>
      <c r="F6340" s="7">
        <v>1</v>
      </c>
      <c r="G6340" s="8" t="s">
        <v>2144</v>
      </c>
      <c r="H6340" s="8" t="s">
        <v>1242</v>
      </c>
      <c r="I6340" s="7" t="str">
        <f>_xlfn.CONCAT(Paper_Reference[[#This Row],[Lvl]:[Paper Description]])</f>
        <v>2XJ8R1088SD580SCH F B NON PUB ELEV 60 X 96110110000020-6200Premium Inkjet MPK 9653</v>
      </c>
      <c r="J6340" s="7">
        <f>COUNTIF(Paper_Reference[Duplicate Key],Paper_Reference[[#This Row],[Duplicate Key]])</f>
        <v>1</v>
      </c>
    </row>
    <row r="6341" spans="1:10">
      <c r="A6341" s="7">
        <v>2</v>
      </c>
      <c r="B6341" s="8" t="s">
        <v>2940</v>
      </c>
      <c r="C6341" s="8" t="s">
        <v>2450</v>
      </c>
      <c r="D6341" s="7">
        <v>1</v>
      </c>
      <c r="E6341" s="7">
        <v>10</v>
      </c>
      <c r="F6341" s="7">
        <v>2</v>
      </c>
      <c r="G6341" s="8" t="s">
        <v>5690</v>
      </c>
      <c r="H6341" s="8" t="s">
        <v>5691</v>
      </c>
      <c r="I6341" s="7" t="str">
        <f>_xlfn.CONCAT(Paper_Reference[[#This Row],[Lvl]:[Paper Description]])</f>
        <v>2XJ8R1088SD580SCH F B NON PUB ELEV 60 X 961102100DS009-6200FROSTY WHITE</v>
      </c>
      <c r="J6341" s="7">
        <f>COUNTIF(Paper_Reference[Duplicate Key],Paper_Reference[[#This Row],[Duplicate Key]])</f>
        <v>1</v>
      </c>
    </row>
    <row r="6342" spans="1:10">
      <c r="A6342" s="7">
        <v>2</v>
      </c>
      <c r="B6342" s="8" t="s">
        <v>2084</v>
      </c>
      <c r="C6342" s="8" t="s">
        <v>1603</v>
      </c>
      <c r="D6342" s="7">
        <v>1</v>
      </c>
      <c r="E6342" s="7">
        <v>10</v>
      </c>
      <c r="F6342" s="7">
        <v>1</v>
      </c>
      <c r="G6342" s="8" t="s">
        <v>1241</v>
      </c>
      <c r="H6342" s="8" t="s">
        <v>1242</v>
      </c>
      <c r="I6342" s="7" t="str">
        <f>_xlfn.CONCAT(Paper_Reference[[#This Row],[Lvl]:[Paper Description]])</f>
        <v>2XJ8R1090SD480HARDER ELEM 48 X 96110110000020-5000Premium Inkjet MPK 9653</v>
      </c>
      <c r="J6342" s="7">
        <f>COUNTIF(Paper_Reference[Duplicate Key],Paper_Reference[[#This Row],[Duplicate Key]])</f>
        <v>1</v>
      </c>
    </row>
    <row r="6343" spans="1:10">
      <c r="A6343" s="7">
        <v>2</v>
      </c>
      <c r="B6343" s="8" t="s">
        <v>2084</v>
      </c>
      <c r="C6343" s="8" t="s">
        <v>1603</v>
      </c>
      <c r="D6343" s="7">
        <v>1</v>
      </c>
      <c r="E6343" s="7">
        <v>10</v>
      </c>
      <c r="F6343" s="7">
        <v>2</v>
      </c>
      <c r="G6343" s="8" t="s">
        <v>6710</v>
      </c>
      <c r="H6343" s="8" t="s">
        <v>5691</v>
      </c>
      <c r="I6343" s="7" t="str">
        <f>_xlfn.CONCAT(Paper_Reference[[#This Row],[Lvl]:[Paper Description]])</f>
        <v>2XJ8R1090SD480HARDER ELEM 48 X 961102100DS009-5000FROSTY WHITE</v>
      </c>
      <c r="J6343" s="7">
        <f>COUNTIF(Paper_Reference[Duplicate Key],Paper_Reference[[#This Row],[Duplicate Key]])</f>
        <v>1</v>
      </c>
    </row>
    <row r="6344" spans="1:10">
      <c r="A6344" s="7">
        <v>2</v>
      </c>
      <c r="B6344" s="8" t="s">
        <v>2085</v>
      </c>
      <c r="C6344" s="8" t="s">
        <v>1604</v>
      </c>
      <c r="D6344" s="7">
        <v>1</v>
      </c>
      <c r="E6344" s="7">
        <v>10</v>
      </c>
      <c r="F6344" s="7">
        <v>1</v>
      </c>
      <c r="G6344" s="8" t="s">
        <v>1241</v>
      </c>
      <c r="H6344" s="8" t="s">
        <v>1242</v>
      </c>
      <c r="I6344" s="7" t="str">
        <f>_xlfn.CONCAT(Paper_Reference[[#This Row],[Lvl]:[Paper Description]])</f>
        <v>2XJ8R1092SD400CANMORE STONE/WOOD 48 X 120110110000020-5000Premium Inkjet MPK 9653</v>
      </c>
      <c r="J6344" s="7">
        <f>COUNTIF(Paper_Reference[Duplicate Key],Paper_Reference[[#This Row],[Duplicate Key]])</f>
        <v>1</v>
      </c>
    </row>
    <row r="6345" spans="1:10">
      <c r="A6345" s="7">
        <v>2</v>
      </c>
      <c r="B6345" s="8" t="s">
        <v>2085</v>
      </c>
      <c r="C6345" s="8" t="s">
        <v>1604</v>
      </c>
      <c r="D6345" s="7">
        <v>1</v>
      </c>
      <c r="E6345" s="7">
        <v>10</v>
      </c>
      <c r="F6345" s="7">
        <v>2</v>
      </c>
      <c r="G6345" s="8" t="s">
        <v>6710</v>
      </c>
      <c r="H6345" s="8" t="s">
        <v>5691</v>
      </c>
      <c r="I6345" s="7" t="str">
        <f>_xlfn.CONCAT(Paper_Reference[[#This Row],[Lvl]:[Paper Description]])</f>
        <v>2XJ8R1092SD400CANMORE STONE/WOOD 48 X 1201102100DS009-5000FROSTY WHITE</v>
      </c>
      <c r="J6345" s="7">
        <f>COUNTIF(Paper_Reference[Duplicate Key],Paper_Reference[[#This Row],[Duplicate Key]])</f>
        <v>1</v>
      </c>
    </row>
    <row r="6346" spans="1:10">
      <c r="A6346" s="7">
        <v>2</v>
      </c>
      <c r="B6346" s="8" t="s">
        <v>2086</v>
      </c>
      <c r="C6346" s="8" t="s">
        <v>1605</v>
      </c>
      <c r="D6346" s="7">
        <v>1</v>
      </c>
      <c r="E6346" s="7">
        <v>10</v>
      </c>
      <c r="F6346" s="7">
        <v>1</v>
      </c>
      <c r="G6346" s="8" t="s">
        <v>1241</v>
      </c>
      <c r="H6346" s="8" t="s">
        <v>1242</v>
      </c>
      <c r="I6346" s="7" t="str">
        <f>_xlfn.CONCAT(Paper_Reference[[#This Row],[Lvl]:[Paper Description]])</f>
        <v>2XJ8R1093SD480WATERTON WALL 48 X 96110110000020-5000Premium Inkjet MPK 9653</v>
      </c>
      <c r="J6346" s="7">
        <f>COUNTIF(Paper_Reference[Duplicate Key],Paper_Reference[[#This Row],[Duplicate Key]])</f>
        <v>1</v>
      </c>
    </row>
    <row r="6347" spans="1:10">
      <c r="A6347" s="7">
        <v>2</v>
      </c>
      <c r="B6347" s="8" t="s">
        <v>2086</v>
      </c>
      <c r="C6347" s="8" t="s">
        <v>1605</v>
      </c>
      <c r="D6347" s="7">
        <v>1</v>
      </c>
      <c r="E6347" s="7">
        <v>10</v>
      </c>
      <c r="F6347" s="7">
        <v>2</v>
      </c>
      <c r="G6347" s="8" t="s">
        <v>6710</v>
      </c>
      <c r="H6347" s="8" t="s">
        <v>5691</v>
      </c>
      <c r="I6347" s="7" t="str">
        <f>_xlfn.CONCAT(Paper_Reference[[#This Row],[Lvl]:[Paper Description]])</f>
        <v>2XJ8R1093SD480WATERTON WALL 48 X 961102100DS009-5000FROSTY WHITE</v>
      </c>
      <c r="J6347" s="7">
        <f>COUNTIF(Paper_Reference[Duplicate Key],Paper_Reference[[#This Row],[Duplicate Key]])</f>
        <v>1</v>
      </c>
    </row>
    <row r="6348" spans="1:10">
      <c r="A6348" s="7">
        <v>2</v>
      </c>
      <c r="B6348" s="8" t="s">
        <v>2087</v>
      </c>
      <c r="C6348" s="8" t="s">
        <v>1606</v>
      </c>
      <c r="D6348" s="7">
        <v>1</v>
      </c>
      <c r="E6348" s="7">
        <v>10</v>
      </c>
      <c r="F6348" s="7">
        <v>1</v>
      </c>
      <c r="G6348" s="8" t="s">
        <v>1241</v>
      </c>
      <c r="H6348" s="8" t="s">
        <v>1242</v>
      </c>
      <c r="I6348" s="7" t="str">
        <f>_xlfn.CONCAT(Paper_Reference[[#This Row],[Lvl]:[Paper Description]])</f>
        <v>2XJ8R1096SD480EAST AVE SCHOOL LOBBY 48 X 96110110000020-5000Premium Inkjet MPK 9653</v>
      </c>
      <c r="J6348" s="7">
        <f>COUNTIF(Paper_Reference[Duplicate Key],Paper_Reference[[#This Row],[Duplicate Key]])</f>
        <v>1</v>
      </c>
    </row>
    <row r="6349" spans="1:10">
      <c r="A6349" s="7">
        <v>2</v>
      </c>
      <c r="B6349" s="8" t="s">
        <v>2087</v>
      </c>
      <c r="C6349" s="8" t="s">
        <v>1606</v>
      </c>
      <c r="D6349" s="7">
        <v>1</v>
      </c>
      <c r="E6349" s="7">
        <v>10</v>
      </c>
      <c r="F6349" s="7">
        <v>2</v>
      </c>
      <c r="G6349" s="8" t="s">
        <v>6710</v>
      </c>
      <c r="H6349" s="8" t="s">
        <v>5691</v>
      </c>
      <c r="I6349" s="7" t="str">
        <f>_xlfn.CONCAT(Paper_Reference[[#This Row],[Lvl]:[Paper Description]])</f>
        <v>2XJ8R1096SD480EAST AVE SCHOOL LOBBY 48 X 961102100DS009-5000FROSTY WHITE</v>
      </c>
      <c r="J6349" s="7">
        <f>COUNTIF(Paper_Reference[Duplicate Key],Paper_Reference[[#This Row],[Duplicate Key]])</f>
        <v>1</v>
      </c>
    </row>
    <row r="6350" spans="1:10">
      <c r="A6350" s="7">
        <v>2</v>
      </c>
      <c r="B6350" s="8" t="s">
        <v>2088</v>
      </c>
      <c r="C6350" s="8" t="s">
        <v>1607</v>
      </c>
      <c r="D6350" s="7">
        <v>1</v>
      </c>
      <c r="E6350" s="7">
        <v>10</v>
      </c>
      <c r="F6350" s="7">
        <v>1</v>
      </c>
      <c r="G6350" s="8" t="s">
        <v>1241</v>
      </c>
      <c r="H6350" s="8" t="s">
        <v>1242</v>
      </c>
      <c r="I6350" s="7" t="str">
        <f>_xlfn.CONCAT(Paper_Reference[[#This Row],[Lvl]:[Paper Description]])</f>
        <v>2XJ8R1097SD480JURAVINSKI WEBSTER FALLS 48X96110110000020-5000Premium Inkjet MPK 9653</v>
      </c>
      <c r="J6350" s="7">
        <f>COUNTIF(Paper_Reference[Duplicate Key],Paper_Reference[[#This Row],[Duplicate Key]])</f>
        <v>1</v>
      </c>
    </row>
    <row r="6351" spans="1:10">
      <c r="A6351" s="7">
        <v>2</v>
      </c>
      <c r="B6351" s="8" t="s">
        <v>2088</v>
      </c>
      <c r="C6351" s="8" t="s">
        <v>1607</v>
      </c>
      <c r="D6351" s="7">
        <v>1</v>
      </c>
      <c r="E6351" s="7">
        <v>10</v>
      </c>
      <c r="F6351" s="7">
        <v>2</v>
      </c>
      <c r="G6351" s="8" t="s">
        <v>6710</v>
      </c>
      <c r="H6351" s="8" t="s">
        <v>5691</v>
      </c>
      <c r="I6351" s="7" t="str">
        <f>_xlfn.CONCAT(Paper_Reference[[#This Row],[Lvl]:[Paper Description]])</f>
        <v>2XJ8R1097SD480JURAVINSKI WEBSTER FALLS 48X961102100DS009-5000FROSTY WHITE</v>
      </c>
      <c r="J6351" s="7">
        <f>COUNTIF(Paper_Reference[Duplicate Key],Paper_Reference[[#This Row],[Duplicate Key]])</f>
        <v>1</v>
      </c>
    </row>
    <row r="6352" spans="1:10">
      <c r="A6352" s="7">
        <v>2</v>
      </c>
      <c r="B6352" s="8" t="s">
        <v>2089</v>
      </c>
      <c r="C6352" s="8" t="s">
        <v>1608</v>
      </c>
      <c r="D6352" s="7">
        <v>1</v>
      </c>
      <c r="E6352" s="7">
        <v>10</v>
      </c>
      <c r="F6352" s="7">
        <v>1</v>
      </c>
      <c r="G6352" s="8" t="s">
        <v>1241</v>
      </c>
      <c r="H6352" s="8" t="s">
        <v>1242</v>
      </c>
      <c r="I6352" s="7" t="str">
        <f>_xlfn.CONCAT(Paper_Reference[[#This Row],[Lvl]:[Paper Description]])</f>
        <v>2XJ8R1098SD480JURAVINSKI ALBION FALLS 48X96110110000020-5000Premium Inkjet MPK 9653</v>
      </c>
      <c r="J6352" s="7">
        <f>COUNTIF(Paper_Reference[Duplicate Key],Paper_Reference[[#This Row],[Duplicate Key]])</f>
        <v>1</v>
      </c>
    </row>
    <row r="6353" spans="1:10">
      <c r="A6353" s="7">
        <v>2</v>
      </c>
      <c r="B6353" s="8" t="s">
        <v>2089</v>
      </c>
      <c r="C6353" s="8" t="s">
        <v>1608</v>
      </c>
      <c r="D6353" s="7">
        <v>1</v>
      </c>
      <c r="E6353" s="7">
        <v>10</v>
      </c>
      <c r="F6353" s="7">
        <v>2</v>
      </c>
      <c r="G6353" s="8" t="s">
        <v>6710</v>
      </c>
      <c r="H6353" s="8" t="s">
        <v>5691</v>
      </c>
      <c r="I6353" s="7" t="str">
        <f>_xlfn.CONCAT(Paper_Reference[[#This Row],[Lvl]:[Paper Description]])</f>
        <v>2XJ8R1098SD480JURAVINSKI ALBION FALLS 48X961102100DS009-5000FROSTY WHITE</v>
      </c>
      <c r="J6353" s="7">
        <f>COUNTIF(Paper_Reference[Duplicate Key],Paper_Reference[[#This Row],[Duplicate Key]])</f>
        <v>1</v>
      </c>
    </row>
    <row r="6354" spans="1:10">
      <c r="A6354" s="7">
        <v>2</v>
      </c>
      <c r="B6354" s="8" t="s">
        <v>2090</v>
      </c>
      <c r="C6354" s="8" t="s">
        <v>1609</v>
      </c>
      <c r="D6354" s="7">
        <v>1</v>
      </c>
      <c r="E6354" s="7">
        <v>10</v>
      </c>
      <c r="F6354" s="7">
        <v>1</v>
      </c>
      <c r="G6354" s="8" t="s">
        <v>1241</v>
      </c>
      <c r="H6354" s="8" t="s">
        <v>1242</v>
      </c>
      <c r="I6354" s="7" t="str">
        <f>_xlfn.CONCAT(Paper_Reference[[#This Row],[Lvl]:[Paper Description]])</f>
        <v>2XJ8R1100SD300CANMORE 139 ORNG SPCL 36 X 120110110000020-5000Premium Inkjet MPK 9653</v>
      </c>
      <c r="J6354" s="7">
        <f>COUNTIF(Paper_Reference[Duplicate Key],Paper_Reference[[#This Row],[Duplicate Key]])</f>
        <v>1</v>
      </c>
    </row>
    <row r="6355" spans="1:10">
      <c r="A6355" s="7">
        <v>2</v>
      </c>
      <c r="B6355" s="8" t="s">
        <v>2090</v>
      </c>
      <c r="C6355" s="8" t="s">
        <v>1609</v>
      </c>
      <c r="D6355" s="7">
        <v>1</v>
      </c>
      <c r="E6355" s="7">
        <v>10</v>
      </c>
      <c r="F6355" s="7">
        <v>2</v>
      </c>
      <c r="G6355" s="8" t="s">
        <v>6710</v>
      </c>
      <c r="H6355" s="8" t="s">
        <v>5691</v>
      </c>
      <c r="I6355" s="7" t="str">
        <f>_xlfn.CONCAT(Paper_Reference[[#This Row],[Lvl]:[Paper Description]])</f>
        <v>2XJ8R1100SD300CANMORE 139 ORNG SPCL 36 X 1201102100DS009-5000FROSTY WHITE</v>
      </c>
      <c r="J6355" s="7">
        <f>COUNTIF(Paper_Reference[Duplicate Key],Paper_Reference[[#This Row],[Duplicate Key]])</f>
        <v>1</v>
      </c>
    </row>
    <row r="6356" spans="1:10">
      <c r="A6356" s="7">
        <v>2</v>
      </c>
      <c r="B6356" s="8" t="s">
        <v>2091</v>
      </c>
      <c r="C6356" s="8" t="s">
        <v>1610</v>
      </c>
      <c r="D6356" s="7">
        <v>1</v>
      </c>
      <c r="E6356" s="7">
        <v>10</v>
      </c>
      <c r="F6356" s="7">
        <v>1</v>
      </c>
      <c r="G6356" s="8" t="s">
        <v>1241</v>
      </c>
      <c r="H6356" s="8" t="s">
        <v>1242</v>
      </c>
      <c r="I6356" s="7" t="str">
        <f>_xlfn.CONCAT(Paper_Reference[[#This Row],[Lvl]:[Paper Description]])</f>
        <v>2XJ8R1101SD300CANMORE 139 ORANGE 36 X 120110110000020-5000Premium Inkjet MPK 9653</v>
      </c>
      <c r="J6356" s="7">
        <f>COUNTIF(Paper_Reference[Duplicate Key],Paper_Reference[[#This Row],[Duplicate Key]])</f>
        <v>1</v>
      </c>
    </row>
    <row r="6357" spans="1:10">
      <c r="A6357" s="7">
        <v>2</v>
      </c>
      <c r="B6357" s="8" t="s">
        <v>2091</v>
      </c>
      <c r="C6357" s="8" t="s">
        <v>1610</v>
      </c>
      <c r="D6357" s="7">
        <v>1</v>
      </c>
      <c r="E6357" s="7">
        <v>10</v>
      </c>
      <c r="F6357" s="7">
        <v>2</v>
      </c>
      <c r="G6357" s="8" t="s">
        <v>6710</v>
      </c>
      <c r="H6357" s="8" t="s">
        <v>5691</v>
      </c>
      <c r="I6357" s="7" t="str">
        <f>_xlfn.CONCAT(Paper_Reference[[#This Row],[Lvl]:[Paper Description]])</f>
        <v>2XJ8R1101SD300CANMORE 139 ORANGE 36 X 1201102100DS009-5000FROSTY WHITE</v>
      </c>
      <c r="J6357" s="7">
        <f>COUNTIF(Paper_Reference[Duplicate Key],Paper_Reference[[#This Row],[Duplicate Key]])</f>
        <v>1</v>
      </c>
    </row>
    <row r="6358" spans="1:10">
      <c r="A6358" s="7">
        <v>2</v>
      </c>
      <c r="B6358" s="8" t="s">
        <v>2092</v>
      </c>
      <c r="C6358" s="8" t="s">
        <v>1611</v>
      </c>
      <c r="D6358" s="7">
        <v>1</v>
      </c>
      <c r="E6358" s="7">
        <v>10</v>
      </c>
      <c r="F6358" s="7">
        <v>1</v>
      </c>
      <c r="G6358" s="8" t="s">
        <v>1241</v>
      </c>
      <c r="H6358" s="8" t="s">
        <v>1242</v>
      </c>
      <c r="I6358" s="7" t="str">
        <f>_xlfn.CONCAT(Paper_Reference[[#This Row],[Lvl]:[Paper Description]])</f>
        <v>2XJ8R1102SD300CANMORE 391 LT GREEN 36 X 120110110000020-5000Premium Inkjet MPK 9653</v>
      </c>
      <c r="J6358" s="7">
        <f>COUNTIF(Paper_Reference[Duplicate Key],Paper_Reference[[#This Row],[Duplicate Key]])</f>
        <v>1</v>
      </c>
    </row>
    <row r="6359" spans="1:10">
      <c r="A6359" s="7">
        <v>2</v>
      </c>
      <c r="B6359" s="8" t="s">
        <v>2092</v>
      </c>
      <c r="C6359" s="8" t="s">
        <v>1611</v>
      </c>
      <c r="D6359" s="7">
        <v>1</v>
      </c>
      <c r="E6359" s="7">
        <v>10</v>
      </c>
      <c r="F6359" s="7">
        <v>2</v>
      </c>
      <c r="G6359" s="8" t="s">
        <v>6710</v>
      </c>
      <c r="H6359" s="8" t="s">
        <v>5691</v>
      </c>
      <c r="I6359" s="7" t="str">
        <f>_xlfn.CONCAT(Paper_Reference[[#This Row],[Lvl]:[Paper Description]])</f>
        <v>2XJ8R1102SD300CANMORE 391 LT GREEN 36 X 1201102100DS009-5000FROSTY WHITE</v>
      </c>
      <c r="J6359" s="7">
        <f>COUNTIF(Paper_Reference[Duplicate Key],Paper_Reference[[#This Row],[Duplicate Key]])</f>
        <v>1</v>
      </c>
    </row>
    <row r="6360" spans="1:10">
      <c r="A6360" s="7">
        <v>2</v>
      </c>
      <c r="B6360" s="8" t="s">
        <v>2093</v>
      </c>
      <c r="C6360" s="8" t="s">
        <v>1612</v>
      </c>
      <c r="D6360" s="7">
        <v>1</v>
      </c>
      <c r="E6360" s="7">
        <v>10</v>
      </c>
      <c r="F6360" s="7">
        <v>1</v>
      </c>
      <c r="G6360" s="8" t="s">
        <v>1241</v>
      </c>
      <c r="H6360" s="8" t="s">
        <v>1242</v>
      </c>
      <c r="I6360" s="7" t="str">
        <f>_xlfn.CONCAT(Paper_Reference[[#This Row],[Lvl]:[Paper Description]])</f>
        <v>2XJ8R1103SD300CANMORE 1605 DK ORANGE 36X120110110000020-5000Premium Inkjet MPK 9653</v>
      </c>
      <c r="J6360" s="7">
        <f>COUNTIF(Paper_Reference[Duplicate Key],Paper_Reference[[#This Row],[Duplicate Key]])</f>
        <v>1</v>
      </c>
    </row>
    <row r="6361" spans="1:10">
      <c r="A6361" s="7">
        <v>2</v>
      </c>
      <c r="B6361" s="8" t="s">
        <v>2093</v>
      </c>
      <c r="C6361" s="8" t="s">
        <v>1612</v>
      </c>
      <c r="D6361" s="7">
        <v>1</v>
      </c>
      <c r="E6361" s="7">
        <v>10</v>
      </c>
      <c r="F6361" s="7">
        <v>2</v>
      </c>
      <c r="G6361" s="8" t="s">
        <v>6710</v>
      </c>
      <c r="H6361" s="8" t="s">
        <v>5691</v>
      </c>
      <c r="I6361" s="7" t="str">
        <f>_xlfn.CONCAT(Paper_Reference[[#This Row],[Lvl]:[Paper Description]])</f>
        <v>2XJ8R1103SD300CANMORE 1605 DK ORANGE 36X1201102100DS009-5000FROSTY WHITE</v>
      </c>
      <c r="J6361" s="7">
        <f>COUNTIF(Paper_Reference[Duplicate Key],Paper_Reference[[#This Row],[Duplicate Key]])</f>
        <v>1</v>
      </c>
    </row>
    <row r="6362" spans="1:10">
      <c r="A6362" s="7">
        <v>2</v>
      </c>
      <c r="B6362" s="8" t="s">
        <v>2094</v>
      </c>
      <c r="C6362" s="8" t="s">
        <v>1613</v>
      </c>
      <c r="D6362" s="7">
        <v>1</v>
      </c>
      <c r="E6362" s="7">
        <v>10</v>
      </c>
      <c r="F6362" s="7">
        <v>1</v>
      </c>
      <c r="G6362" s="8" t="s">
        <v>1241</v>
      </c>
      <c r="H6362" s="8" t="s">
        <v>1242</v>
      </c>
      <c r="I6362" s="7" t="str">
        <f>_xlfn.CONCAT(Paper_Reference[[#This Row],[Lvl]:[Paper Description]])</f>
        <v>2XJ8R1104SD300CANMORE 5763 DK GREEN 36 X 120110110000020-5000Premium Inkjet MPK 9653</v>
      </c>
      <c r="J6362" s="7">
        <f>COUNTIF(Paper_Reference[Duplicate Key],Paper_Reference[[#This Row],[Duplicate Key]])</f>
        <v>1</v>
      </c>
    </row>
    <row r="6363" spans="1:10">
      <c r="A6363" s="7">
        <v>2</v>
      </c>
      <c r="B6363" s="8" t="s">
        <v>2094</v>
      </c>
      <c r="C6363" s="8" t="s">
        <v>1613</v>
      </c>
      <c r="D6363" s="7">
        <v>1</v>
      </c>
      <c r="E6363" s="7">
        <v>10</v>
      </c>
      <c r="F6363" s="7">
        <v>2</v>
      </c>
      <c r="G6363" s="8" t="s">
        <v>6710</v>
      </c>
      <c r="H6363" s="8" t="s">
        <v>5691</v>
      </c>
      <c r="I6363" s="7" t="str">
        <f>_xlfn.CONCAT(Paper_Reference[[#This Row],[Lvl]:[Paper Description]])</f>
        <v>2XJ8R1104SD300CANMORE 5763 DK GREEN 36 X 1201102100DS009-5000FROSTY WHITE</v>
      </c>
      <c r="J6363" s="7">
        <f>COUNTIF(Paper_Reference[Duplicate Key],Paper_Reference[[#This Row],[Duplicate Key]])</f>
        <v>1</v>
      </c>
    </row>
    <row r="6364" spans="1:10">
      <c r="A6364" s="7">
        <v>2</v>
      </c>
      <c r="B6364" s="8" t="s">
        <v>2941</v>
      </c>
      <c r="C6364" s="8" t="s">
        <v>2451</v>
      </c>
      <c r="D6364" s="7">
        <v>1</v>
      </c>
      <c r="E6364" s="7">
        <v>10</v>
      </c>
      <c r="F6364" s="7">
        <v>1</v>
      </c>
      <c r="G6364" s="8" t="s">
        <v>2144</v>
      </c>
      <c r="H6364" s="8" t="s">
        <v>1242</v>
      </c>
      <c r="I6364" s="7" t="str">
        <f>_xlfn.CONCAT(Paper_Reference[[#This Row],[Lvl]:[Paper Description]])</f>
        <v>2XJ8R1105SD580CANMORE MOUNTAIN 60 X 96110110000020-6200Premium Inkjet MPK 9653</v>
      </c>
      <c r="J6364" s="7">
        <f>COUNTIF(Paper_Reference[Duplicate Key],Paper_Reference[[#This Row],[Duplicate Key]])</f>
        <v>1</v>
      </c>
    </row>
    <row r="6365" spans="1:10">
      <c r="A6365" s="7">
        <v>2</v>
      </c>
      <c r="B6365" s="8" t="s">
        <v>2941</v>
      </c>
      <c r="C6365" s="8" t="s">
        <v>2451</v>
      </c>
      <c r="D6365" s="7">
        <v>1</v>
      </c>
      <c r="E6365" s="7">
        <v>10</v>
      </c>
      <c r="F6365" s="7">
        <v>2</v>
      </c>
      <c r="G6365" s="8" t="s">
        <v>5690</v>
      </c>
      <c r="H6365" s="8" t="s">
        <v>5691</v>
      </c>
      <c r="I6365" s="7" t="str">
        <f>_xlfn.CONCAT(Paper_Reference[[#This Row],[Lvl]:[Paper Description]])</f>
        <v>2XJ8R1105SD580CANMORE MOUNTAIN 60 X 961102100DS009-6200FROSTY WHITE</v>
      </c>
      <c r="J6365" s="7">
        <f>COUNTIF(Paper_Reference[Duplicate Key],Paper_Reference[[#This Row],[Duplicate Key]])</f>
        <v>1</v>
      </c>
    </row>
    <row r="6366" spans="1:10">
      <c r="A6366" s="7">
        <v>2</v>
      </c>
      <c r="B6366" s="8" t="s">
        <v>2942</v>
      </c>
      <c r="C6366" s="8" t="s">
        <v>2452</v>
      </c>
      <c r="D6366" s="7">
        <v>1</v>
      </c>
      <c r="E6366" s="7">
        <v>10</v>
      </c>
      <c r="F6366" s="7">
        <v>1</v>
      </c>
      <c r="G6366" s="8" t="s">
        <v>2144</v>
      </c>
      <c r="H6366" s="8" t="s">
        <v>1242</v>
      </c>
      <c r="I6366" s="7" t="str">
        <f>_xlfn.CONCAT(Paper_Reference[[#This Row],[Lvl]:[Paper Description]])</f>
        <v>2XJ8R1107SD500KENWOOD GC WEST WALL 60X120110110000020-6200Premium Inkjet MPK 9653</v>
      </c>
      <c r="J6366" s="7">
        <f>COUNTIF(Paper_Reference[Duplicate Key],Paper_Reference[[#This Row],[Duplicate Key]])</f>
        <v>1</v>
      </c>
    </row>
    <row r="6367" spans="1:10">
      <c r="A6367" s="7">
        <v>2</v>
      </c>
      <c r="B6367" s="8" t="s">
        <v>2942</v>
      </c>
      <c r="C6367" s="8" t="s">
        <v>2452</v>
      </c>
      <c r="D6367" s="7">
        <v>1</v>
      </c>
      <c r="E6367" s="7">
        <v>10</v>
      </c>
      <c r="F6367" s="7">
        <v>2</v>
      </c>
      <c r="G6367" s="8" t="s">
        <v>5690</v>
      </c>
      <c r="H6367" s="8" t="s">
        <v>5691</v>
      </c>
      <c r="I6367" s="7" t="str">
        <f>_xlfn.CONCAT(Paper_Reference[[#This Row],[Lvl]:[Paper Description]])</f>
        <v>2XJ8R1107SD500KENWOOD GC WEST WALL 60X1201102100DS009-6200FROSTY WHITE</v>
      </c>
      <c r="J6367" s="7">
        <f>COUNTIF(Paper_Reference[Duplicate Key],Paper_Reference[[#This Row],[Duplicate Key]])</f>
        <v>1</v>
      </c>
    </row>
    <row r="6368" spans="1:10">
      <c r="A6368" s="7">
        <v>2</v>
      </c>
      <c r="B6368" s="8" t="s">
        <v>2943</v>
      </c>
      <c r="C6368" s="8" t="s">
        <v>2453</v>
      </c>
      <c r="D6368" s="7">
        <v>1</v>
      </c>
      <c r="E6368" s="7">
        <v>10</v>
      </c>
      <c r="F6368" s="7">
        <v>1</v>
      </c>
      <c r="G6368" s="8" t="s">
        <v>2144</v>
      </c>
      <c r="H6368" s="8" t="s">
        <v>1242</v>
      </c>
      <c r="I6368" s="7" t="str">
        <f>_xlfn.CONCAT(Paper_Reference[[#This Row],[Lvl]:[Paper Description]])</f>
        <v>2XJ8R1108SD500FRL SCH RIVER B L7G 60 X 120110110000020-6200Premium Inkjet MPK 9653</v>
      </c>
      <c r="J6368" s="7">
        <f>COUNTIF(Paper_Reference[Duplicate Key],Paper_Reference[[#This Row],[Duplicate Key]])</f>
        <v>1</v>
      </c>
    </row>
    <row r="6369" spans="1:10">
      <c r="A6369" s="7">
        <v>2</v>
      </c>
      <c r="B6369" s="8" t="s">
        <v>2943</v>
      </c>
      <c r="C6369" s="8" t="s">
        <v>2453</v>
      </c>
      <c r="D6369" s="7">
        <v>1</v>
      </c>
      <c r="E6369" s="7">
        <v>10</v>
      </c>
      <c r="F6369" s="7">
        <v>2</v>
      </c>
      <c r="G6369" s="8" t="s">
        <v>5690</v>
      </c>
      <c r="H6369" s="8" t="s">
        <v>5691</v>
      </c>
      <c r="I6369" s="7" t="str">
        <f>_xlfn.CONCAT(Paper_Reference[[#This Row],[Lvl]:[Paper Description]])</f>
        <v>2XJ8R1108SD500FRL SCH RIVER B L7G 60 X 1201102100DS009-6200FROSTY WHITE</v>
      </c>
      <c r="J6369" s="7">
        <f>COUNTIF(Paper_Reference[Duplicate Key],Paper_Reference[[#This Row],[Duplicate Key]])</f>
        <v>1</v>
      </c>
    </row>
    <row r="6370" spans="1:10">
      <c r="A6370" s="7">
        <v>2</v>
      </c>
      <c r="B6370" s="8" t="s">
        <v>2944</v>
      </c>
      <c r="C6370" s="8" t="s">
        <v>2454</v>
      </c>
      <c r="D6370" s="7">
        <v>1</v>
      </c>
      <c r="E6370" s="7">
        <v>10</v>
      </c>
      <c r="F6370" s="7">
        <v>1</v>
      </c>
      <c r="G6370" s="8" t="s">
        <v>2144</v>
      </c>
      <c r="H6370" s="8" t="s">
        <v>1242</v>
      </c>
      <c r="I6370" s="7" t="str">
        <f>_xlfn.CONCAT(Paper_Reference[[#This Row],[Lvl]:[Paper Description]])</f>
        <v>2XJ8R1109SD580MICHELL K87 WALL 60 X 96110110000020-6200Premium Inkjet MPK 9653</v>
      </c>
      <c r="J6370" s="7">
        <f>COUNTIF(Paper_Reference[Duplicate Key],Paper_Reference[[#This Row],[Duplicate Key]])</f>
        <v>1</v>
      </c>
    </row>
    <row r="6371" spans="1:10">
      <c r="A6371" s="7">
        <v>2</v>
      </c>
      <c r="B6371" s="8" t="s">
        <v>2944</v>
      </c>
      <c r="C6371" s="8" t="s">
        <v>2454</v>
      </c>
      <c r="D6371" s="7">
        <v>1</v>
      </c>
      <c r="E6371" s="7">
        <v>10</v>
      </c>
      <c r="F6371" s="7">
        <v>2</v>
      </c>
      <c r="G6371" s="8" t="s">
        <v>5690</v>
      </c>
      <c r="H6371" s="8" t="s">
        <v>5691</v>
      </c>
      <c r="I6371" s="7" t="str">
        <f>_xlfn.CONCAT(Paper_Reference[[#This Row],[Lvl]:[Paper Description]])</f>
        <v>2XJ8R1109SD580MICHELL K87 WALL 60 X 961102100DS009-6200FROSTY WHITE</v>
      </c>
      <c r="J6371" s="7">
        <f>COUNTIF(Paper_Reference[Duplicate Key],Paper_Reference[[#This Row],[Duplicate Key]])</f>
        <v>1</v>
      </c>
    </row>
    <row r="6372" spans="1:10">
      <c r="A6372" s="7">
        <v>2</v>
      </c>
      <c r="B6372" s="8" t="s">
        <v>2945</v>
      </c>
      <c r="C6372" s="8" t="s">
        <v>2455</v>
      </c>
      <c r="D6372" s="7">
        <v>1</v>
      </c>
      <c r="E6372" s="7">
        <v>10</v>
      </c>
      <c r="F6372" s="7">
        <v>1</v>
      </c>
      <c r="G6372" s="8" t="s">
        <v>2144</v>
      </c>
      <c r="H6372" s="8" t="s">
        <v>1242</v>
      </c>
      <c r="I6372" s="7" t="str">
        <f>_xlfn.CONCAT(Paper_Reference[[#This Row],[Lvl]:[Paper Description]])</f>
        <v>2XJ8R1111SD500FRL SCH FOREST B L7G 60 X 120110110000020-6200Premium Inkjet MPK 9653</v>
      </c>
      <c r="J6372" s="7">
        <f>COUNTIF(Paper_Reference[Duplicate Key],Paper_Reference[[#This Row],[Duplicate Key]])</f>
        <v>1</v>
      </c>
    </row>
    <row r="6373" spans="1:10">
      <c r="A6373" s="7">
        <v>2</v>
      </c>
      <c r="B6373" s="8" t="s">
        <v>2945</v>
      </c>
      <c r="C6373" s="8" t="s">
        <v>2455</v>
      </c>
      <c r="D6373" s="7">
        <v>1</v>
      </c>
      <c r="E6373" s="7">
        <v>10</v>
      </c>
      <c r="F6373" s="7">
        <v>2</v>
      </c>
      <c r="G6373" s="8" t="s">
        <v>5690</v>
      </c>
      <c r="H6373" s="8" t="s">
        <v>5691</v>
      </c>
      <c r="I6373" s="7" t="str">
        <f>_xlfn.CONCAT(Paper_Reference[[#This Row],[Lvl]:[Paper Description]])</f>
        <v>2XJ8R1111SD500FRL SCH FOREST B L7G 60 X 1201102100DS009-6200FROSTY WHITE</v>
      </c>
      <c r="J6373" s="7">
        <f>COUNTIF(Paper_Reference[Duplicate Key],Paper_Reference[[#This Row],[Duplicate Key]])</f>
        <v>1</v>
      </c>
    </row>
    <row r="6374" spans="1:10">
      <c r="A6374" s="7">
        <v>2</v>
      </c>
      <c r="B6374" s="8" t="s">
        <v>2095</v>
      </c>
      <c r="C6374" s="8" t="s">
        <v>1614</v>
      </c>
      <c r="D6374" s="7">
        <v>1</v>
      </c>
      <c r="E6374" s="7">
        <v>10</v>
      </c>
      <c r="F6374" s="7">
        <v>1</v>
      </c>
      <c r="G6374" s="8" t="s">
        <v>1241</v>
      </c>
      <c r="H6374" s="8" t="s">
        <v>1242</v>
      </c>
      <c r="I6374" s="7" t="str">
        <f>_xlfn.CONCAT(Paper_Reference[[#This Row],[Lvl]:[Paper Description]])</f>
        <v>2XJ8R1112SD480SCH RIVER B L7G ELEV LOB 48X96110110000020-5000Premium Inkjet MPK 9653</v>
      </c>
      <c r="J6374" s="7">
        <f>COUNTIF(Paper_Reference[Duplicate Key],Paper_Reference[[#This Row],[Duplicate Key]])</f>
        <v>1</v>
      </c>
    </row>
    <row r="6375" spans="1:10">
      <c r="A6375" s="7">
        <v>2</v>
      </c>
      <c r="B6375" s="8" t="s">
        <v>2095</v>
      </c>
      <c r="C6375" s="8" t="s">
        <v>1614</v>
      </c>
      <c r="D6375" s="7">
        <v>1</v>
      </c>
      <c r="E6375" s="7">
        <v>10</v>
      </c>
      <c r="F6375" s="7">
        <v>2</v>
      </c>
      <c r="G6375" s="8" t="s">
        <v>6710</v>
      </c>
      <c r="H6375" s="8" t="s">
        <v>5691</v>
      </c>
      <c r="I6375" s="7" t="str">
        <f>_xlfn.CONCAT(Paper_Reference[[#This Row],[Lvl]:[Paper Description]])</f>
        <v>2XJ8R1112SD480SCH RIVER B L7G ELEV LOB 48X961102100DS009-5000FROSTY WHITE</v>
      </c>
      <c r="J6375" s="7">
        <f>COUNTIF(Paper_Reference[Duplicate Key],Paper_Reference[[#This Row],[Duplicate Key]])</f>
        <v>1</v>
      </c>
    </row>
    <row r="6376" spans="1:10">
      <c r="A6376" s="7">
        <v>2</v>
      </c>
      <c r="B6376" s="8" t="s">
        <v>2946</v>
      </c>
      <c r="C6376" s="8" t="s">
        <v>2456</v>
      </c>
      <c r="D6376" s="7">
        <v>1</v>
      </c>
      <c r="E6376" s="7">
        <v>10</v>
      </c>
      <c r="F6376" s="7">
        <v>1</v>
      </c>
      <c r="G6376" s="8" t="s">
        <v>2144</v>
      </c>
      <c r="H6376" s="8" t="s">
        <v>1242</v>
      </c>
      <c r="I6376" s="7" t="str">
        <f>_xlfn.CONCAT(Paper_Reference[[#This Row],[Lvl]:[Paper Description]])</f>
        <v>2XJ8R1113SD580ARDEN MID SCHOOL DOOR 60 X 96110110000020-6200Premium Inkjet MPK 9653</v>
      </c>
      <c r="J6376" s="7">
        <f>COUNTIF(Paper_Reference[Duplicate Key],Paper_Reference[[#This Row],[Duplicate Key]])</f>
        <v>1</v>
      </c>
    </row>
    <row r="6377" spans="1:10">
      <c r="A6377" s="7">
        <v>2</v>
      </c>
      <c r="B6377" s="8" t="s">
        <v>2946</v>
      </c>
      <c r="C6377" s="8" t="s">
        <v>2456</v>
      </c>
      <c r="D6377" s="7">
        <v>1</v>
      </c>
      <c r="E6377" s="7">
        <v>10</v>
      </c>
      <c r="F6377" s="7">
        <v>2</v>
      </c>
      <c r="G6377" s="8" t="s">
        <v>5690</v>
      </c>
      <c r="H6377" s="8" t="s">
        <v>5691</v>
      </c>
      <c r="I6377" s="7" t="str">
        <f>_xlfn.CONCAT(Paper_Reference[[#This Row],[Lvl]:[Paper Description]])</f>
        <v>2XJ8R1113SD580ARDEN MID SCHOOL DOOR 60 X 961102100DS009-6200FROSTY WHITE</v>
      </c>
      <c r="J6377" s="7">
        <f>COUNTIF(Paper_Reference[Duplicate Key],Paper_Reference[[#This Row],[Duplicate Key]])</f>
        <v>1</v>
      </c>
    </row>
    <row r="6378" spans="1:10">
      <c r="A6378" s="7">
        <v>2</v>
      </c>
      <c r="B6378" s="8" t="s">
        <v>2947</v>
      </c>
      <c r="C6378" s="8" t="s">
        <v>2457</v>
      </c>
      <c r="D6378" s="7">
        <v>1</v>
      </c>
      <c r="E6378" s="7">
        <v>10</v>
      </c>
      <c r="F6378" s="7">
        <v>1</v>
      </c>
      <c r="G6378" s="8" t="s">
        <v>2144</v>
      </c>
      <c r="H6378" s="8" t="s">
        <v>1242</v>
      </c>
      <c r="I6378" s="7" t="str">
        <f>_xlfn.CONCAT(Paper_Reference[[#This Row],[Lvl]:[Paper Description]])</f>
        <v>2XJ8R1114SD500FRL CCHM GL2 350 WP4-23 60X120110110000020-6200Premium Inkjet MPK 9653</v>
      </c>
      <c r="J6378" s="7">
        <f>COUNTIF(Paper_Reference[Duplicate Key],Paper_Reference[[#This Row],[Duplicate Key]])</f>
        <v>1</v>
      </c>
    </row>
    <row r="6379" spans="1:10">
      <c r="A6379" s="7">
        <v>2</v>
      </c>
      <c r="B6379" s="8" t="s">
        <v>2947</v>
      </c>
      <c r="C6379" s="8" t="s">
        <v>2457</v>
      </c>
      <c r="D6379" s="7">
        <v>1</v>
      </c>
      <c r="E6379" s="7">
        <v>10</v>
      </c>
      <c r="F6379" s="7">
        <v>2</v>
      </c>
      <c r="G6379" s="8" t="s">
        <v>5690</v>
      </c>
      <c r="H6379" s="8" t="s">
        <v>5691</v>
      </c>
      <c r="I6379" s="7" t="str">
        <f>_xlfn.CONCAT(Paper_Reference[[#This Row],[Lvl]:[Paper Description]])</f>
        <v>2XJ8R1114SD500FRL CCHM GL2 350 WP4-23 60X1201102100DS009-6200FROSTY WHITE</v>
      </c>
      <c r="J6379" s="7">
        <f>COUNTIF(Paper_Reference[Duplicate Key],Paper_Reference[[#This Row],[Duplicate Key]])</f>
        <v>1</v>
      </c>
    </row>
    <row r="6380" spans="1:10">
      <c r="A6380" s="7">
        <v>2</v>
      </c>
      <c r="B6380" s="8" t="s">
        <v>2948</v>
      </c>
      <c r="C6380" s="8" t="s">
        <v>2458</v>
      </c>
      <c r="D6380" s="7">
        <v>1</v>
      </c>
      <c r="E6380" s="7">
        <v>10</v>
      </c>
      <c r="F6380" s="7">
        <v>1</v>
      </c>
      <c r="G6380" s="8" t="s">
        <v>2144</v>
      </c>
      <c r="H6380" s="8" t="s">
        <v>1242</v>
      </c>
      <c r="I6380" s="7" t="str">
        <f>_xlfn.CONCAT(Paper_Reference[[#This Row],[Lvl]:[Paper Description]])</f>
        <v>2XJ8R1115SD500FRL CCHM GL2 442 WP4-25 60X120110110000020-6200Premium Inkjet MPK 9653</v>
      </c>
      <c r="J6380" s="7">
        <f>COUNTIF(Paper_Reference[Duplicate Key],Paper_Reference[[#This Row],[Duplicate Key]])</f>
        <v>1</v>
      </c>
    </row>
    <row r="6381" spans="1:10">
      <c r="A6381" s="7">
        <v>2</v>
      </c>
      <c r="B6381" s="8" t="s">
        <v>2948</v>
      </c>
      <c r="C6381" s="8" t="s">
        <v>2458</v>
      </c>
      <c r="D6381" s="7">
        <v>1</v>
      </c>
      <c r="E6381" s="7">
        <v>10</v>
      </c>
      <c r="F6381" s="7">
        <v>2</v>
      </c>
      <c r="G6381" s="8" t="s">
        <v>5690</v>
      </c>
      <c r="H6381" s="8" t="s">
        <v>5691</v>
      </c>
      <c r="I6381" s="7" t="str">
        <f>_xlfn.CONCAT(Paper_Reference[[#This Row],[Lvl]:[Paper Description]])</f>
        <v>2XJ8R1115SD500FRL CCHM GL2 442 WP4-25 60X1201102100DS009-6200FROSTY WHITE</v>
      </c>
      <c r="J6381" s="7">
        <f>COUNTIF(Paper_Reference[Duplicate Key],Paper_Reference[[#This Row],[Duplicate Key]])</f>
        <v>1</v>
      </c>
    </row>
    <row r="6382" spans="1:10">
      <c r="A6382" s="7">
        <v>2</v>
      </c>
      <c r="B6382" s="8" t="s">
        <v>2949</v>
      </c>
      <c r="C6382" s="8" t="s">
        <v>2459</v>
      </c>
      <c r="D6382" s="7">
        <v>1</v>
      </c>
      <c r="E6382" s="7">
        <v>10</v>
      </c>
      <c r="F6382" s="7">
        <v>1</v>
      </c>
      <c r="G6382" s="8" t="s">
        <v>2144</v>
      </c>
      <c r="H6382" s="8" t="s">
        <v>1242</v>
      </c>
      <c r="I6382" s="7" t="str">
        <f>_xlfn.CONCAT(Paper_Reference[[#This Row],[Lvl]:[Paper Description]])</f>
        <v>2XJ8R1116SD500FRL CCHM GL2 440 WP4-25 60X120110110000020-6200Premium Inkjet MPK 9653</v>
      </c>
      <c r="J6382" s="7">
        <f>COUNTIF(Paper_Reference[Duplicate Key],Paper_Reference[[#This Row],[Duplicate Key]])</f>
        <v>1</v>
      </c>
    </row>
    <row r="6383" spans="1:10">
      <c r="A6383" s="7">
        <v>2</v>
      </c>
      <c r="B6383" s="8" t="s">
        <v>2949</v>
      </c>
      <c r="C6383" s="8" t="s">
        <v>2459</v>
      </c>
      <c r="D6383" s="7">
        <v>1</v>
      </c>
      <c r="E6383" s="7">
        <v>10</v>
      </c>
      <c r="F6383" s="7">
        <v>2</v>
      </c>
      <c r="G6383" s="8" t="s">
        <v>5690</v>
      </c>
      <c r="H6383" s="8" t="s">
        <v>5691</v>
      </c>
      <c r="I6383" s="7" t="str">
        <f>_xlfn.CONCAT(Paper_Reference[[#This Row],[Lvl]:[Paper Description]])</f>
        <v>2XJ8R1116SD500FRL CCHM GL2 440 WP4-25 60X1201102100DS009-6200FROSTY WHITE</v>
      </c>
      <c r="J6383" s="7">
        <f>COUNTIF(Paper_Reference[Duplicate Key],Paper_Reference[[#This Row],[Duplicate Key]])</f>
        <v>1</v>
      </c>
    </row>
    <row r="6384" spans="1:10">
      <c r="A6384" s="7">
        <v>2</v>
      </c>
      <c r="B6384" s="8" t="s">
        <v>2950</v>
      </c>
      <c r="C6384" s="8" t="s">
        <v>2460</v>
      </c>
      <c r="D6384" s="7">
        <v>1</v>
      </c>
      <c r="E6384" s="7">
        <v>10</v>
      </c>
      <c r="F6384" s="7">
        <v>1</v>
      </c>
      <c r="G6384" s="8" t="s">
        <v>2144</v>
      </c>
      <c r="H6384" s="8" t="s">
        <v>1242</v>
      </c>
      <c r="I6384" s="7" t="str">
        <f>_xlfn.CONCAT(Paper_Reference[[#This Row],[Lvl]:[Paper Description]])</f>
        <v>2XJ8R1117SD500FRL SCH RIVER B L3G PUB 60X120110110000020-6200Premium Inkjet MPK 9653</v>
      </c>
      <c r="J6384" s="7">
        <f>COUNTIF(Paper_Reference[Duplicate Key],Paper_Reference[[#This Row],[Duplicate Key]])</f>
        <v>1</v>
      </c>
    </row>
    <row r="6385" spans="1:10">
      <c r="A6385" s="7">
        <v>2</v>
      </c>
      <c r="B6385" s="8" t="s">
        <v>2950</v>
      </c>
      <c r="C6385" s="8" t="s">
        <v>2460</v>
      </c>
      <c r="D6385" s="7">
        <v>1</v>
      </c>
      <c r="E6385" s="7">
        <v>10</v>
      </c>
      <c r="F6385" s="7">
        <v>2</v>
      </c>
      <c r="G6385" s="8" t="s">
        <v>5690</v>
      </c>
      <c r="H6385" s="8" t="s">
        <v>5691</v>
      </c>
      <c r="I6385" s="7" t="str">
        <f>_xlfn.CONCAT(Paper_Reference[[#This Row],[Lvl]:[Paper Description]])</f>
        <v>2XJ8R1117SD500FRL SCH RIVER B L3G PUB 60X1201102100DS009-6200FROSTY WHITE</v>
      </c>
      <c r="J6385" s="7">
        <f>COUNTIF(Paper_Reference[Duplicate Key],Paper_Reference[[#This Row],[Duplicate Key]])</f>
        <v>1</v>
      </c>
    </row>
    <row r="6386" spans="1:10">
      <c r="A6386" s="7">
        <v>2</v>
      </c>
      <c r="B6386" s="8" t="s">
        <v>2951</v>
      </c>
      <c r="C6386" s="8" t="s">
        <v>2461</v>
      </c>
      <c r="D6386" s="7">
        <v>1</v>
      </c>
      <c r="E6386" s="7">
        <v>10</v>
      </c>
      <c r="F6386" s="7">
        <v>1</v>
      </c>
      <c r="G6386" s="8" t="s">
        <v>2144</v>
      </c>
      <c r="H6386" s="8" t="s">
        <v>1242</v>
      </c>
      <c r="I6386" s="7" t="str">
        <f>_xlfn.CONCAT(Paper_Reference[[#This Row],[Lvl]:[Paper Description]])</f>
        <v>2XJ8R1118SD500CCHMC STAIRWAY 01 60 X 120110110000020-6200Premium Inkjet MPK 9653</v>
      </c>
      <c r="J6386" s="7">
        <f>COUNTIF(Paper_Reference[Duplicate Key],Paper_Reference[[#This Row],[Duplicate Key]])</f>
        <v>1</v>
      </c>
    </row>
    <row r="6387" spans="1:10">
      <c r="A6387" s="7">
        <v>2</v>
      </c>
      <c r="B6387" s="8" t="s">
        <v>2951</v>
      </c>
      <c r="C6387" s="8" t="s">
        <v>2461</v>
      </c>
      <c r="D6387" s="7">
        <v>1</v>
      </c>
      <c r="E6387" s="7">
        <v>10</v>
      </c>
      <c r="F6387" s="7">
        <v>2</v>
      </c>
      <c r="G6387" s="8" t="s">
        <v>5690</v>
      </c>
      <c r="H6387" s="8" t="s">
        <v>5691</v>
      </c>
      <c r="I6387" s="7" t="str">
        <f>_xlfn.CONCAT(Paper_Reference[[#This Row],[Lvl]:[Paper Description]])</f>
        <v>2XJ8R1118SD500CCHMC STAIRWAY 01 60 X 1201102100DS009-6200FROSTY WHITE</v>
      </c>
      <c r="J6387" s="7">
        <f>COUNTIF(Paper_Reference[Duplicate Key],Paper_Reference[[#This Row],[Duplicate Key]])</f>
        <v>1</v>
      </c>
    </row>
    <row r="6388" spans="1:10">
      <c r="A6388" s="7">
        <v>2</v>
      </c>
      <c r="B6388" s="8" t="s">
        <v>2952</v>
      </c>
      <c r="C6388" s="8" t="s">
        <v>2462</v>
      </c>
      <c r="D6388" s="7">
        <v>1</v>
      </c>
      <c r="E6388" s="7">
        <v>10</v>
      </c>
      <c r="F6388" s="7">
        <v>1</v>
      </c>
      <c r="G6388" s="8" t="s">
        <v>2144</v>
      </c>
      <c r="H6388" s="8" t="s">
        <v>1242</v>
      </c>
      <c r="I6388" s="7" t="str">
        <f>_xlfn.CONCAT(Paper_Reference[[#This Row],[Lvl]:[Paper Description]])</f>
        <v>2XJ8R1119SD500CCHMC STAIRWAY 02 60 X 120110110000020-6200Premium Inkjet MPK 9653</v>
      </c>
      <c r="J6388" s="7">
        <f>COUNTIF(Paper_Reference[Duplicate Key],Paper_Reference[[#This Row],[Duplicate Key]])</f>
        <v>1</v>
      </c>
    </row>
    <row r="6389" spans="1:10">
      <c r="A6389" s="7">
        <v>2</v>
      </c>
      <c r="B6389" s="8" t="s">
        <v>2952</v>
      </c>
      <c r="C6389" s="8" t="s">
        <v>2462</v>
      </c>
      <c r="D6389" s="7">
        <v>1</v>
      </c>
      <c r="E6389" s="7">
        <v>10</v>
      </c>
      <c r="F6389" s="7">
        <v>2</v>
      </c>
      <c r="G6389" s="8" t="s">
        <v>5690</v>
      </c>
      <c r="H6389" s="8" t="s">
        <v>5691</v>
      </c>
      <c r="I6389" s="7" t="str">
        <f>_xlfn.CONCAT(Paper_Reference[[#This Row],[Lvl]:[Paper Description]])</f>
        <v>2XJ8R1119SD500CCHMC STAIRWAY 02 60 X 1201102100DS009-6200FROSTY WHITE</v>
      </c>
      <c r="J6389" s="7">
        <f>COUNTIF(Paper_Reference[Duplicate Key],Paper_Reference[[#This Row],[Duplicate Key]])</f>
        <v>1</v>
      </c>
    </row>
    <row r="6390" spans="1:10">
      <c r="A6390" s="7">
        <v>2</v>
      </c>
      <c r="B6390" s="8" t="s">
        <v>2953</v>
      </c>
      <c r="C6390" s="8" t="s">
        <v>2463</v>
      </c>
      <c r="D6390" s="7">
        <v>1</v>
      </c>
      <c r="E6390" s="7">
        <v>10</v>
      </c>
      <c r="F6390" s="7">
        <v>1</v>
      </c>
      <c r="G6390" s="8" t="s">
        <v>2144</v>
      </c>
      <c r="H6390" s="8" t="s">
        <v>1242</v>
      </c>
      <c r="I6390" s="7" t="str">
        <f>_xlfn.CONCAT(Paper_Reference[[#This Row],[Lvl]:[Paper Description]])</f>
        <v>2XJ8R1120SD500CCHMC STAIRWAY 03 60 X 120110110000020-6200Premium Inkjet MPK 9653</v>
      </c>
      <c r="J6390" s="7">
        <f>COUNTIF(Paper_Reference[Duplicate Key],Paper_Reference[[#This Row],[Duplicate Key]])</f>
        <v>1</v>
      </c>
    </row>
    <row r="6391" spans="1:10">
      <c r="A6391" s="7">
        <v>2</v>
      </c>
      <c r="B6391" s="8" t="s">
        <v>2953</v>
      </c>
      <c r="C6391" s="8" t="s">
        <v>2463</v>
      </c>
      <c r="D6391" s="7">
        <v>1</v>
      </c>
      <c r="E6391" s="7">
        <v>10</v>
      </c>
      <c r="F6391" s="7">
        <v>2</v>
      </c>
      <c r="G6391" s="8" t="s">
        <v>5690</v>
      </c>
      <c r="H6391" s="8" t="s">
        <v>5691</v>
      </c>
      <c r="I6391" s="7" t="str">
        <f>_xlfn.CONCAT(Paper_Reference[[#This Row],[Lvl]:[Paper Description]])</f>
        <v>2XJ8R1120SD500CCHMC STAIRWAY 03 60 X 1201102100DS009-6200FROSTY WHITE</v>
      </c>
      <c r="J6391" s="7">
        <f>COUNTIF(Paper_Reference[Duplicate Key],Paper_Reference[[#This Row],[Duplicate Key]])</f>
        <v>1</v>
      </c>
    </row>
    <row r="6392" spans="1:10">
      <c r="A6392" s="7">
        <v>2</v>
      </c>
      <c r="B6392" s="8" t="s">
        <v>2954</v>
      </c>
      <c r="C6392" s="8" t="s">
        <v>2464</v>
      </c>
      <c r="D6392" s="7">
        <v>1</v>
      </c>
      <c r="E6392" s="7">
        <v>10</v>
      </c>
      <c r="F6392" s="7">
        <v>1</v>
      </c>
      <c r="G6392" s="8" t="s">
        <v>2144</v>
      </c>
      <c r="H6392" s="8" t="s">
        <v>1242</v>
      </c>
      <c r="I6392" s="7" t="str">
        <f>_xlfn.CONCAT(Paper_Reference[[#This Row],[Lvl]:[Paper Description]])</f>
        <v>2XJ8R1121SD580CCHMC STAIRWAY 04 60 X 96110110000020-6200Premium Inkjet MPK 9653</v>
      </c>
      <c r="J6392" s="7">
        <f>COUNTIF(Paper_Reference[Duplicate Key],Paper_Reference[[#This Row],[Duplicate Key]])</f>
        <v>1</v>
      </c>
    </row>
    <row r="6393" spans="1:10">
      <c r="A6393" s="7">
        <v>2</v>
      </c>
      <c r="B6393" s="8" t="s">
        <v>2954</v>
      </c>
      <c r="C6393" s="8" t="s">
        <v>2464</v>
      </c>
      <c r="D6393" s="7">
        <v>1</v>
      </c>
      <c r="E6393" s="7">
        <v>10</v>
      </c>
      <c r="F6393" s="7">
        <v>2</v>
      </c>
      <c r="G6393" s="8" t="s">
        <v>5690</v>
      </c>
      <c r="H6393" s="8" t="s">
        <v>5691</v>
      </c>
      <c r="I6393" s="7" t="str">
        <f>_xlfn.CONCAT(Paper_Reference[[#This Row],[Lvl]:[Paper Description]])</f>
        <v>2XJ8R1121SD580CCHMC STAIRWAY 04 60 X 961102100DS009-6200FROSTY WHITE</v>
      </c>
      <c r="J6393" s="7">
        <f>COUNTIF(Paper_Reference[Duplicate Key],Paper_Reference[[#This Row],[Duplicate Key]])</f>
        <v>1</v>
      </c>
    </row>
    <row r="6394" spans="1:10">
      <c r="A6394" s="7">
        <v>2</v>
      </c>
      <c r="B6394" s="8" t="s">
        <v>2096</v>
      </c>
      <c r="C6394" s="8" t="s">
        <v>1615</v>
      </c>
      <c r="D6394" s="7">
        <v>1</v>
      </c>
      <c r="E6394" s="7">
        <v>10</v>
      </c>
      <c r="F6394" s="7">
        <v>1</v>
      </c>
      <c r="G6394" s="8" t="s">
        <v>1241</v>
      </c>
      <c r="H6394" s="8" t="s">
        <v>1242</v>
      </c>
      <c r="I6394" s="7" t="str">
        <f>_xlfn.CONCAT(Paper_Reference[[#This Row],[Lvl]:[Paper Description]])</f>
        <v>2XJ8R1122SD400CCHMC WP4 16C 48 X 120110110000020-5000Premium Inkjet MPK 9653</v>
      </c>
      <c r="J6394" s="7">
        <f>COUNTIF(Paper_Reference[Duplicate Key],Paper_Reference[[#This Row],[Duplicate Key]])</f>
        <v>1</v>
      </c>
    </row>
    <row r="6395" spans="1:10">
      <c r="A6395" s="7">
        <v>2</v>
      </c>
      <c r="B6395" s="8" t="s">
        <v>2096</v>
      </c>
      <c r="C6395" s="8" t="s">
        <v>1615</v>
      </c>
      <c r="D6395" s="7">
        <v>1</v>
      </c>
      <c r="E6395" s="7">
        <v>10</v>
      </c>
      <c r="F6395" s="7">
        <v>2</v>
      </c>
      <c r="G6395" s="8" t="s">
        <v>6710</v>
      </c>
      <c r="H6395" s="8" t="s">
        <v>5691</v>
      </c>
      <c r="I6395" s="7" t="str">
        <f>_xlfn.CONCAT(Paper_Reference[[#This Row],[Lvl]:[Paper Description]])</f>
        <v>2XJ8R1122SD400CCHMC WP4 16C 48 X 1201102100DS009-5000FROSTY WHITE</v>
      </c>
      <c r="J6395" s="7">
        <f>COUNTIF(Paper_Reference[Duplicate Key],Paper_Reference[[#This Row],[Duplicate Key]])</f>
        <v>1</v>
      </c>
    </row>
    <row r="6396" spans="1:10">
      <c r="A6396" s="7">
        <v>2</v>
      </c>
      <c r="B6396" s="8" t="s">
        <v>2955</v>
      </c>
      <c r="C6396" s="8" t="s">
        <v>2465</v>
      </c>
      <c r="D6396" s="7">
        <v>1</v>
      </c>
      <c r="E6396" s="7">
        <v>10</v>
      </c>
      <c r="F6396" s="7">
        <v>1</v>
      </c>
      <c r="G6396" s="8" t="s">
        <v>2144</v>
      </c>
      <c r="H6396" s="8" t="s">
        <v>1242</v>
      </c>
      <c r="I6396" s="7" t="str">
        <f>_xlfn.CONCAT(Paper_Reference[[#This Row],[Lvl]:[Paper Description]])</f>
        <v>2XJ8R1123SD500CCHMC WP4-3 LV 1 GREEN 60X120110110000020-6200Premium Inkjet MPK 9653</v>
      </c>
      <c r="J6396" s="7">
        <f>COUNTIF(Paper_Reference[Duplicate Key],Paper_Reference[[#This Row],[Duplicate Key]])</f>
        <v>1</v>
      </c>
    </row>
    <row r="6397" spans="1:10">
      <c r="A6397" s="7">
        <v>2</v>
      </c>
      <c r="B6397" s="8" t="s">
        <v>2955</v>
      </c>
      <c r="C6397" s="8" t="s">
        <v>2465</v>
      </c>
      <c r="D6397" s="7">
        <v>1</v>
      </c>
      <c r="E6397" s="7">
        <v>10</v>
      </c>
      <c r="F6397" s="7">
        <v>2</v>
      </c>
      <c r="G6397" s="8" t="s">
        <v>5690</v>
      </c>
      <c r="H6397" s="8" t="s">
        <v>5691</v>
      </c>
      <c r="I6397" s="7" t="str">
        <f>_xlfn.CONCAT(Paper_Reference[[#This Row],[Lvl]:[Paper Description]])</f>
        <v>2XJ8R1123SD500CCHMC WP4-3 LV 1 GREEN 60X1201102100DS009-6200FROSTY WHITE</v>
      </c>
      <c r="J6397" s="7">
        <f>COUNTIF(Paper_Reference[Duplicate Key],Paper_Reference[[#This Row],[Duplicate Key]])</f>
        <v>1</v>
      </c>
    </row>
    <row r="6398" spans="1:10">
      <c r="A6398" s="7">
        <v>2</v>
      </c>
      <c r="B6398" s="8" t="s">
        <v>2956</v>
      </c>
      <c r="C6398" s="8" t="s">
        <v>2466</v>
      </c>
      <c r="D6398" s="7">
        <v>1</v>
      </c>
      <c r="E6398" s="7">
        <v>10</v>
      </c>
      <c r="F6398" s="7">
        <v>1</v>
      </c>
      <c r="G6398" s="8" t="s">
        <v>2144</v>
      </c>
      <c r="H6398" s="8" t="s">
        <v>1242</v>
      </c>
      <c r="I6398" s="7" t="str">
        <f>_xlfn.CONCAT(Paper_Reference[[#This Row],[Lvl]:[Paper Description]])</f>
        <v>2XJ8R1124SD500CCHMC WP4-3A LV 4 GREEN 60X120110110000020-6200Premium Inkjet MPK 9653</v>
      </c>
      <c r="J6398" s="7">
        <f>COUNTIF(Paper_Reference[Duplicate Key],Paper_Reference[[#This Row],[Duplicate Key]])</f>
        <v>1</v>
      </c>
    </row>
    <row r="6399" spans="1:10">
      <c r="A6399" s="7">
        <v>2</v>
      </c>
      <c r="B6399" s="8" t="s">
        <v>2956</v>
      </c>
      <c r="C6399" s="8" t="s">
        <v>2466</v>
      </c>
      <c r="D6399" s="7">
        <v>1</v>
      </c>
      <c r="E6399" s="7">
        <v>10</v>
      </c>
      <c r="F6399" s="7">
        <v>2</v>
      </c>
      <c r="G6399" s="8" t="s">
        <v>5690</v>
      </c>
      <c r="H6399" s="8" t="s">
        <v>5691</v>
      </c>
      <c r="I6399" s="7" t="str">
        <f>_xlfn.CONCAT(Paper_Reference[[#This Row],[Lvl]:[Paper Description]])</f>
        <v>2XJ8R1124SD500CCHMC WP4-3A LV 4 GREEN 60X1201102100DS009-6200FROSTY WHITE</v>
      </c>
      <c r="J6399" s="7">
        <f>COUNTIF(Paper_Reference[Duplicate Key],Paper_Reference[[#This Row],[Duplicate Key]])</f>
        <v>1</v>
      </c>
    </row>
    <row r="6400" spans="1:10">
      <c r="A6400" s="7">
        <v>2</v>
      </c>
      <c r="B6400" s="8" t="s">
        <v>2957</v>
      </c>
      <c r="C6400" s="8" t="s">
        <v>2467</v>
      </c>
      <c r="D6400" s="7">
        <v>1</v>
      </c>
      <c r="E6400" s="7">
        <v>10</v>
      </c>
      <c r="F6400" s="7">
        <v>1</v>
      </c>
      <c r="G6400" s="8" t="s">
        <v>2144</v>
      </c>
      <c r="H6400" s="8" t="s">
        <v>1242</v>
      </c>
      <c r="I6400" s="7" t="str">
        <f>_xlfn.CONCAT(Paper_Reference[[#This Row],[Lvl]:[Paper Description]])</f>
        <v>2XJ8R1125SD500CCHMC WP4-3B LV 6 GREEN 60X120110110000020-6200Premium Inkjet MPK 9653</v>
      </c>
      <c r="J6400" s="7">
        <f>COUNTIF(Paper_Reference[Duplicate Key],Paper_Reference[[#This Row],[Duplicate Key]])</f>
        <v>1</v>
      </c>
    </row>
    <row r="6401" spans="1:10">
      <c r="A6401" s="7">
        <v>2</v>
      </c>
      <c r="B6401" s="8" t="s">
        <v>2957</v>
      </c>
      <c r="C6401" s="8" t="s">
        <v>2467</v>
      </c>
      <c r="D6401" s="7">
        <v>1</v>
      </c>
      <c r="E6401" s="7">
        <v>10</v>
      </c>
      <c r="F6401" s="7">
        <v>2</v>
      </c>
      <c r="G6401" s="8" t="s">
        <v>5690</v>
      </c>
      <c r="H6401" s="8" t="s">
        <v>5691</v>
      </c>
      <c r="I6401" s="7" t="str">
        <f>_xlfn.CONCAT(Paper_Reference[[#This Row],[Lvl]:[Paper Description]])</f>
        <v>2XJ8R1125SD500CCHMC WP4-3B LV 6 GREEN 60X1201102100DS009-6200FROSTY WHITE</v>
      </c>
      <c r="J6401" s="7">
        <f>COUNTIF(Paper_Reference[Duplicate Key],Paper_Reference[[#This Row],[Duplicate Key]])</f>
        <v>1</v>
      </c>
    </row>
    <row r="6402" spans="1:10">
      <c r="A6402" s="7">
        <v>2</v>
      </c>
      <c r="B6402" s="8" t="s">
        <v>2958</v>
      </c>
      <c r="C6402" s="8" t="s">
        <v>2468</v>
      </c>
      <c r="D6402" s="7">
        <v>1</v>
      </c>
      <c r="E6402" s="7">
        <v>10</v>
      </c>
      <c r="F6402" s="7">
        <v>1</v>
      </c>
      <c r="G6402" s="8" t="s">
        <v>2144</v>
      </c>
      <c r="H6402" s="8" t="s">
        <v>1242</v>
      </c>
      <c r="I6402" s="7" t="str">
        <f>_xlfn.CONCAT(Paper_Reference[[#This Row],[Lvl]:[Paper Description]])</f>
        <v>2XJ8R1126SD500CCHMC WP4-4 LV 3 ORANGE 60X120110110000020-6200Premium Inkjet MPK 9653</v>
      </c>
      <c r="J6402" s="7">
        <f>COUNTIF(Paper_Reference[Duplicate Key],Paper_Reference[[#This Row],[Duplicate Key]])</f>
        <v>1</v>
      </c>
    </row>
    <row r="6403" spans="1:10">
      <c r="A6403" s="7">
        <v>2</v>
      </c>
      <c r="B6403" s="8" t="s">
        <v>2958</v>
      </c>
      <c r="C6403" s="8" t="s">
        <v>2468</v>
      </c>
      <c r="D6403" s="7">
        <v>1</v>
      </c>
      <c r="E6403" s="7">
        <v>10</v>
      </c>
      <c r="F6403" s="7">
        <v>2</v>
      </c>
      <c r="G6403" s="8" t="s">
        <v>5690</v>
      </c>
      <c r="H6403" s="8" t="s">
        <v>5691</v>
      </c>
      <c r="I6403" s="7" t="str">
        <f>_xlfn.CONCAT(Paper_Reference[[#This Row],[Lvl]:[Paper Description]])</f>
        <v>2XJ8R1126SD500CCHMC WP4-4 LV 3 ORANGE 60X1201102100DS009-6200FROSTY WHITE</v>
      </c>
      <c r="J6403" s="7">
        <f>COUNTIF(Paper_Reference[Duplicate Key],Paper_Reference[[#This Row],[Duplicate Key]])</f>
        <v>1</v>
      </c>
    </row>
    <row r="6404" spans="1:10">
      <c r="A6404" s="7">
        <v>2</v>
      </c>
      <c r="B6404" s="8" t="s">
        <v>2959</v>
      </c>
      <c r="C6404" s="8" t="s">
        <v>2469</v>
      </c>
      <c r="D6404" s="7">
        <v>1</v>
      </c>
      <c r="E6404" s="7">
        <v>10</v>
      </c>
      <c r="F6404" s="7">
        <v>1</v>
      </c>
      <c r="G6404" s="8" t="s">
        <v>2144</v>
      </c>
      <c r="H6404" s="8" t="s">
        <v>1242</v>
      </c>
      <c r="I6404" s="7" t="str">
        <f>_xlfn.CONCAT(Paper_Reference[[#This Row],[Lvl]:[Paper Description]])</f>
        <v>2XJ8R1127SD500CCHMC WP4-4A LV 4 ORNG 60X120110110000020-6200Premium Inkjet MPK 9653</v>
      </c>
      <c r="J6404" s="7">
        <f>COUNTIF(Paper_Reference[Duplicate Key],Paper_Reference[[#This Row],[Duplicate Key]])</f>
        <v>1</v>
      </c>
    </row>
    <row r="6405" spans="1:10">
      <c r="A6405" s="7">
        <v>2</v>
      </c>
      <c r="B6405" s="8" t="s">
        <v>2959</v>
      </c>
      <c r="C6405" s="8" t="s">
        <v>2469</v>
      </c>
      <c r="D6405" s="7">
        <v>1</v>
      </c>
      <c r="E6405" s="7">
        <v>10</v>
      </c>
      <c r="F6405" s="7">
        <v>2</v>
      </c>
      <c r="G6405" s="8" t="s">
        <v>5690</v>
      </c>
      <c r="H6405" s="8" t="s">
        <v>5691</v>
      </c>
      <c r="I6405" s="7" t="str">
        <f>_xlfn.CONCAT(Paper_Reference[[#This Row],[Lvl]:[Paper Description]])</f>
        <v>2XJ8R1127SD500CCHMC WP4-4A LV 4 ORNG 60X1201102100DS009-6200FROSTY WHITE</v>
      </c>
      <c r="J6405" s="7">
        <f>COUNTIF(Paper_Reference[Duplicate Key],Paper_Reference[[#This Row],[Duplicate Key]])</f>
        <v>1</v>
      </c>
    </row>
    <row r="6406" spans="1:10">
      <c r="A6406" s="7">
        <v>2</v>
      </c>
      <c r="B6406" s="8" t="s">
        <v>2960</v>
      </c>
      <c r="C6406" s="8" t="s">
        <v>2470</v>
      </c>
      <c r="D6406" s="7">
        <v>1</v>
      </c>
      <c r="E6406" s="7">
        <v>10</v>
      </c>
      <c r="F6406" s="7">
        <v>1</v>
      </c>
      <c r="G6406" s="8" t="s">
        <v>2144</v>
      </c>
      <c r="H6406" s="8" t="s">
        <v>1242</v>
      </c>
      <c r="I6406" s="7" t="str">
        <f>_xlfn.CONCAT(Paper_Reference[[#This Row],[Lvl]:[Paper Description]])</f>
        <v>2XJ8R1128SD500CCHMC WP4-4B LV 5 ORNG 60X120110110000020-6200Premium Inkjet MPK 9653</v>
      </c>
      <c r="J6406" s="7">
        <f>COUNTIF(Paper_Reference[Duplicate Key],Paper_Reference[[#This Row],[Duplicate Key]])</f>
        <v>1</v>
      </c>
    </row>
    <row r="6407" spans="1:10">
      <c r="A6407" s="7">
        <v>2</v>
      </c>
      <c r="B6407" s="8" t="s">
        <v>2960</v>
      </c>
      <c r="C6407" s="8" t="s">
        <v>2470</v>
      </c>
      <c r="D6407" s="7">
        <v>1</v>
      </c>
      <c r="E6407" s="7">
        <v>10</v>
      </c>
      <c r="F6407" s="7">
        <v>2</v>
      </c>
      <c r="G6407" s="8" t="s">
        <v>5690</v>
      </c>
      <c r="H6407" s="8" t="s">
        <v>5691</v>
      </c>
      <c r="I6407" s="7" t="str">
        <f>_xlfn.CONCAT(Paper_Reference[[#This Row],[Lvl]:[Paper Description]])</f>
        <v>2XJ8R1128SD500CCHMC WP4-4B LV 5 ORNG 60X1201102100DS009-6200FROSTY WHITE</v>
      </c>
      <c r="J6407" s="7">
        <f>COUNTIF(Paper_Reference[Duplicate Key],Paper_Reference[[#This Row],[Duplicate Key]])</f>
        <v>1</v>
      </c>
    </row>
    <row r="6408" spans="1:10">
      <c r="A6408" s="7">
        <v>2</v>
      </c>
      <c r="B6408" s="8" t="s">
        <v>2961</v>
      </c>
      <c r="C6408" s="8" t="s">
        <v>2471</v>
      </c>
      <c r="D6408" s="7">
        <v>1</v>
      </c>
      <c r="E6408" s="7">
        <v>10</v>
      </c>
      <c r="F6408" s="7">
        <v>1</v>
      </c>
      <c r="G6408" s="8" t="s">
        <v>2144</v>
      </c>
      <c r="H6408" s="8" t="s">
        <v>1242</v>
      </c>
      <c r="I6408" s="7" t="str">
        <f>_xlfn.CONCAT(Paper_Reference[[#This Row],[Lvl]:[Paper Description]])</f>
        <v>2XJ8R1129SD500CCHMC WP4-5 LV 3 PURPLE 60X120110110000020-6200Premium Inkjet MPK 9653</v>
      </c>
      <c r="J6408" s="7">
        <f>COUNTIF(Paper_Reference[Duplicate Key],Paper_Reference[[#This Row],[Duplicate Key]])</f>
        <v>1</v>
      </c>
    </row>
    <row r="6409" spans="1:10">
      <c r="A6409" s="7">
        <v>2</v>
      </c>
      <c r="B6409" s="8" t="s">
        <v>2961</v>
      </c>
      <c r="C6409" s="8" t="s">
        <v>2471</v>
      </c>
      <c r="D6409" s="7">
        <v>1</v>
      </c>
      <c r="E6409" s="7">
        <v>10</v>
      </c>
      <c r="F6409" s="7">
        <v>2</v>
      </c>
      <c r="G6409" s="8" t="s">
        <v>5690</v>
      </c>
      <c r="H6409" s="8" t="s">
        <v>5691</v>
      </c>
      <c r="I6409" s="7" t="str">
        <f>_xlfn.CONCAT(Paper_Reference[[#This Row],[Lvl]:[Paper Description]])</f>
        <v>2XJ8R1129SD500CCHMC WP4-5 LV 3 PURPLE 60X1201102100DS009-6200FROSTY WHITE</v>
      </c>
      <c r="J6409" s="7">
        <f>COUNTIF(Paper_Reference[Duplicate Key],Paper_Reference[[#This Row],[Duplicate Key]])</f>
        <v>1</v>
      </c>
    </row>
    <row r="6410" spans="1:10">
      <c r="A6410" s="7">
        <v>2</v>
      </c>
      <c r="B6410" s="8" t="s">
        <v>2962</v>
      </c>
      <c r="C6410" s="8" t="s">
        <v>2472</v>
      </c>
      <c r="D6410" s="7">
        <v>1</v>
      </c>
      <c r="E6410" s="7">
        <v>10</v>
      </c>
      <c r="F6410" s="7">
        <v>1</v>
      </c>
      <c r="G6410" s="8" t="s">
        <v>2144</v>
      </c>
      <c r="H6410" s="8" t="s">
        <v>1242</v>
      </c>
      <c r="I6410" s="7" t="str">
        <f>_xlfn.CONCAT(Paper_Reference[[#This Row],[Lvl]:[Paper Description]])</f>
        <v>2XJ8R1130SD500CCHMC WP4-5A LV 5 PURP 60X120110110000020-6200Premium Inkjet MPK 9653</v>
      </c>
      <c r="J6410" s="7">
        <f>COUNTIF(Paper_Reference[Duplicate Key],Paper_Reference[[#This Row],[Duplicate Key]])</f>
        <v>1</v>
      </c>
    </row>
    <row r="6411" spans="1:10">
      <c r="A6411" s="7">
        <v>2</v>
      </c>
      <c r="B6411" s="8" t="s">
        <v>2962</v>
      </c>
      <c r="C6411" s="8" t="s">
        <v>2472</v>
      </c>
      <c r="D6411" s="7">
        <v>1</v>
      </c>
      <c r="E6411" s="7">
        <v>10</v>
      </c>
      <c r="F6411" s="7">
        <v>2</v>
      </c>
      <c r="G6411" s="8" t="s">
        <v>5690</v>
      </c>
      <c r="H6411" s="8" t="s">
        <v>5691</v>
      </c>
      <c r="I6411" s="7" t="str">
        <f>_xlfn.CONCAT(Paper_Reference[[#This Row],[Lvl]:[Paper Description]])</f>
        <v>2XJ8R1130SD500CCHMC WP4-5A LV 5 PURP 60X1201102100DS009-6200FROSTY WHITE</v>
      </c>
      <c r="J6411" s="7">
        <f>COUNTIF(Paper_Reference[Duplicate Key],Paper_Reference[[#This Row],[Duplicate Key]])</f>
        <v>1</v>
      </c>
    </row>
    <row r="6412" spans="1:10">
      <c r="A6412" s="7">
        <v>2</v>
      </c>
      <c r="B6412" s="8" t="s">
        <v>2963</v>
      </c>
      <c r="C6412" s="8" t="s">
        <v>2473</v>
      </c>
      <c r="D6412" s="7">
        <v>1</v>
      </c>
      <c r="E6412" s="7">
        <v>10</v>
      </c>
      <c r="F6412" s="7">
        <v>1</v>
      </c>
      <c r="G6412" s="8" t="s">
        <v>2144</v>
      </c>
      <c r="H6412" s="8" t="s">
        <v>1242</v>
      </c>
      <c r="I6412" s="7" t="str">
        <f>_xlfn.CONCAT(Paper_Reference[[#This Row],[Lvl]:[Paper Description]])</f>
        <v>2XJ8R1131SD500CCHMC WP4-6 LV 4 PINK 60 X 120110110000020-6200Premium Inkjet MPK 9653</v>
      </c>
      <c r="J6412" s="7">
        <f>COUNTIF(Paper_Reference[Duplicate Key],Paper_Reference[[#This Row],[Duplicate Key]])</f>
        <v>1</v>
      </c>
    </row>
    <row r="6413" spans="1:10">
      <c r="A6413" s="7">
        <v>2</v>
      </c>
      <c r="B6413" s="8" t="s">
        <v>2963</v>
      </c>
      <c r="C6413" s="8" t="s">
        <v>2473</v>
      </c>
      <c r="D6413" s="7">
        <v>1</v>
      </c>
      <c r="E6413" s="7">
        <v>10</v>
      </c>
      <c r="F6413" s="7">
        <v>2</v>
      </c>
      <c r="G6413" s="8" t="s">
        <v>5690</v>
      </c>
      <c r="H6413" s="8" t="s">
        <v>5691</v>
      </c>
      <c r="I6413" s="7" t="str">
        <f>_xlfn.CONCAT(Paper_Reference[[#This Row],[Lvl]:[Paper Description]])</f>
        <v>2XJ8R1131SD500CCHMC WP4-6 LV 4 PINK 60 X 1201102100DS009-6200FROSTY WHITE</v>
      </c>
      <c r="J6413" s="7">
        <f>COUNTIF(Paper_Reference[Duplicate Key],Paper_Reference[[#This Row],[Duplicate Key]])</f>
        <v>1</v>
      </c>
    </row>
    <row r="6414" spans="1:10">
      <c r="A6414" s="7">
        <v>2</v>
      </c>
      <c r="B6414" s="8" t="s">
        <v>2964</v>
      </c>
      <c r="C6414" s="8" t="s">
        <v>2474</v>
      </c>
      <c r="D6414" s="7">
        <v>1</v>
      </c>
      <c r="E6414" s="7">
        <v>10</v>
      </c>
      <c r="F6414" s="7">
        <v>1</v>
      </c>
      <c r="G6414" s="8" t="s">
        <v>2144</v>
      </c>
      <c r="H6414" s="8" t="s">
        <v>1242</v>
      </c>
      <c r="I6414" s="7" t="str">
        <f>_xlfn.CONCAT(Paper_Reference[[#This Row],[Lvl]:[Paper Description]])</f>
        <v>2XJ8R1132SD500CCHMC WP4-6A LV 6 PINK 60X120110110000020-6200Premium Inkjet MPK 9653</v>
      </c>
      <c r="J6414" s="7">
        <f>COUNTIF(Paper_Reference[Duplicate Key],Paper_Reference[[#This Row],[Duplicate Key]])</f>
        <v>1</v>
      </c>
    </row>
    <row r="6415" spans="1:10">
      <c r="A6415" s="7">
        <v>2</v>
      </c>
      <c r="B6415" s="8" t="s">
        <v>2964</v>
      </c>
      <c r="C6415" s="8" t="s">
        <v>2474</v>
      </c>
      <c r="D6415" s="7">
        <v>1</v>
      </c>
      <c r="E6415" s="7">
        <v>10</v>
      </c>
      <c r="F6415" s="7">
        <v>2</v>
      </c>
      <c r="G6415" s="8" t="s">
        <v>5690</v>
      </c>
      <c r="H6415" s="8" t="s">
        <v>5691</v>
      </c>
      <c r="I6415" s="7" t="str">
        <f>_xlfn.CONCAT(Paper_Reference[[#This Row],[Lvl]:[Paper Description]])</f>
        <v>2XJ8R1132SD500CCHMC WP4-6A LV 6 PINK 60X1201102100DS009-6200FROSTY WHITE</v>
      </c>
      <c r="J6415" s="7">
        <f>COUNTIF(Paper_Reference[Duplicate Key],Paper_Reference[[#This Row],[Duplicate Key]])</f>
        <v>1</v>
      </c>
    </row>
    <row r="6416" spans="1:10">
      <c r="A6416" s="7">
        <v>2</v>
      </c>
      <c r="B6416" s="8" t="s">
        <v>2965</v>
      </c>
      <c r="C6416" s="8" t="s">
        <v>2475</v>
      </c>
      <c r="D6416" s="7">
        <v>1</v>
      </c>
      <c r="E6416" s="7">
        <v>10</v>
      </c>
      <c r="F6416" s="7">
        <v>1</v>
      </c>
      <c r="G6416" s="8" t="s">
        <v>2144</v>
      </c>
      <c r="H6416" s="8" t="s">
        <v>1242</v>
      </c>
      <c r="I6416" s="7" t="str">
        <f>_xlfn.CONCAT(Paper_Reference[[#This Row],[Lvl]:[Paper Description]])</f>
        <v>2XJ8R1133SD500CCHMC WP4-6B LV 1 PINK 60X120110110000020-6200Premium Inkjet MPK 9653</v>
      </c>
      <c r="J6416" s="7">
        <f>COUNTIF(Paper_Reference[Duplicate Key],Paper_Reference[[#This Row],[Duplicate Key]])</f>
        <v>1</v>
      </c>
    </row>
    <row r="6417" spans="1:10">
      <c r="A6417" s="7">
        <v>2</v>
      </c>
      <c r="B6417" s="8" t="s">
        <v>2965</v>
      </c>
      <c r="C6417" s="8" t="s">
        <v>2475</v>
      </c>
      <c r="D6417" s="7">
        <v>1</v>
      </c>
      <c r="E6417" s="7">
        <v>10</v>
      </c>
      <c r="F6417" s="7">
        <v>2</v>
      </c>
      <c r="G6417" s="8" t="s">
        <v>5690</v>
      </c>
      <c r="H6417" s="8" t="s">
        <v>5691</v>
      </c>
      <c r="I6417" s="7" t="str">
        <f>_xlfn.CONCAT(Paper_Reference[[#This Row],[Lvl]:[Paper Description]])</f>
        <v>2XJ8R1133SD500CCHMC WP4-6B LV 1 PINK 60X1201102100DS009-6200FROSTY WHITE</v>
      </c>
      <c r="J6417" s="7">
        <f>COUNTIF(Paper_Reference[Duplicate Key],Paper_Reference[[#This Row],[Duplicate Key]])</f>
        <v>1</v>
      </c>
    </row>
    <row r="6418" spans="1:10">
      <c r="A6418" s="7">
        <v>2</v>
      </c>
      <c r="B6418" s="8" t="s">
        <v>2097</v>
      </c>
      <c r="C6418" s="8" t="s">
        <v>1616</v>
      </c>
      <c r="D6418" s="7">
        <v>1</v>
      </c>
      <c r="E6418" s="7">
        <v>10</v>
      </c>
      <c r="F6418" s="7">
        <v>1</v>
      </c>
      <c r="G6418" s="8" t="s">
        <v>1241</v>
      </c>
      <c r="H6418" s="8" t="s">
        <v>1242</v>
      </c>
      <c r="I6418" s="7" t="str">
        <f>_xlfn.CONCAT(Paper_Reference[[#This Row],[Lvl]:[Paper Description]])</f>
        <v>2XJ8R1134SD480ADEX MENS RESTROOM 48 X 96110110000020-5000Premium Inkjet MPK 9653</v>
      </c>
      <c r="J6418" s="7">
        <f>COUNTIF(Paper_Reference[Duplicate Key],Paper_Reference[[#This Row],[Duplicate Key]])</f>
        <v>1</v>
      </c>
    </row>
    <row r="6419" spans="1:10">
      <c r="A6419" s="7">
        <v>2</v>
      </c>
      <c r="B6419" s="8" t="s">
        <v>2097</v>
      </c>
      <c r="C6419" s="8" t="s">
        <v>1616</v>
      </c>
      <c r="D6419" s="7">
        <v>1</v>
      </c>
      <c r="E6419" s="7">
        <v>10</v>
      </c>
      <c r="F6419" s="7">
        <v>2</v>
      </c>
      <c r="G6419" s="8" t="s">
        <v>6710</v>
      </c>
      <c r="H6419" s="8" t="s">
        <v>5691</v>
      </c>
      <c r="I6419" s="7" t="str">
        <f>_xlfn.CONCAT(Paper_Reference[[#This Row],[Lvl]:[Paper Description]])</f>
        <v>2XJ8R1134SD480ADEX MENS RESTROOM 48 X 961102100DS009-5000FROSTY WHITE</v>
      </c>
      <c r="J6419" s="7">
        <f>COUNTIF(Paper_Reference[Duplicate Key],Paper_Reference[[#This Row],[Duplicate Key]])</f>
        <v>1</v>
      </c>
    </row>
    <row r="6420" spans="1:10">
      <c r="A6420" s="7">
        <v>2</v>
      </c>
      <c r="B6420" s="8" t="s">
        <v>2966</v>
      </c>
      <c r="C6420" s="8" t="s">
        <v>2476</v>
      </c>
      <c r="D6420" s="7">
        <v>1</v>
      </c>
      <c r="E6420" s="7">
        <v>10</v>
      </c>
      <c r="F6420" s="7">
        <v>1</v>
      </c>
      <c r="G6420" s="8" t="s">
        <v>2144</v>
      </c>
      <c r="H6420" s="8" t="s">
        <v>1242</v>
      </c>
      <c r="I6420" s="7" t="str">
        <f>_xlfn.CONCAT(Paper_Reference[[#This Row],[Lvl]:[Paper Description]])</f>
        <v>2XJ8R1135SD580CCHMC GL2-808 REV 60 X 96110110000020-6200Premium Inkjet MPK 9653</v>
      </c>
      <c r="J6420" s="7">
        <f>COUNTIF(Paper_Reference[Duplicate Key],Paper_Reference[[#This Row],[Duplicate Key]])</f>
        <v>1</v>
      </c>
    </row>
    <row r="6421" spans="1:10">
      <c r="A6421" s="7">
        <v>2</v>
      </c>
      <c r="B6421" s="8" t="s">
        <v>2966</v>
      </c>
      <c r="C6421" s="8" t="s">
        <v>2476</v>
      </c>
      <c r="D6421" s="7">
        <v>1</v>
      </c>
      <c r="E6421" s="7">
        <v>10</v>
      </c>
      <c r="F6421" s="7">
        <v>2</v>
      </c>
      <c r="G6421" s="8" t="s">
        <v>5690</v>
      </c>
      <c r="H6421" s="8" t="s">
        <v>5691</v>
      </c>
      <c r="I6421" s="7" t="str">
        <f>_xlfn.CONCAT(Paper_Reference[[#This Row],[Lvl]:[Paper Description]])</f>
        <v>2XJ8R1135SD580CCHMC GL2-808 REV 60 X 961102100DS009-6200FROSTY WHITE</v>
      </c>
      <c r="J6421" s="7">
        <f>COUNTIF(Paper_Reference[Duplicate Key],Paper_Reference[[#This Row],[Duplicate Key]])</f>
        <v>1</v>
      </c>
    </row>
    <row r="6422" spans="1:10">
      <c r="A6422" s="7">
        <v>2</v>
      </c>
      <c r="B6422" s="8" t="s">
        <v>2967</v>
      </c>
      <c r="C6422" s="8" t="s">
        <v>2440</v>
      </c>
      <c r="D6422" s="7">
        <v>1</v>
      </c>
      <c r="E6422" s="7">
        <v>10</v>
      </c>
      <c r="F6422" s="7">
        <v>1</v>
      </c>
      <c r="G6422" s="8" t="s">
        <v>2144</v>
      </c>
      <c r="H6422" s="8" t="s">
        <v>1242</v>
      </c>
      <c r="I6422" s="7" t="str">
        <f>_xlfn.CONCAT(Paper_Reference[[#This Row],[Lvl]:[Paper Description]])</f>
        <v>2XJ8R1136SD500CCHMC G3 060 NORTH 02 60 X 120110110000020-6200Premium Inkjet MPK 9653</v>
      </c>
      <c r="J6422" s="7">
        <f>COUNTIF(Paper_Reference[Duplicate Key],Paper_Reference[[#This Row],[Duplicate Key]])</f>
        <v>1</v>
      </c>
    </row>
    <row r="6423" spans="1:10">
      <c r="A6423" s="7">
        <v>2</v>
      </c>
      <c r="B6423" s="8" t="s">
        <v>2967</v>
      </c>
      <c r="C6423" s="8" t="s">
        <v>2440</v>
      </c>
      <c r="D6423" s="7">
        <v>1</v>
      </c>
      <c r="E6423" s="7">
        <v>10</v>
      </c>
      <c r="F6423" s="7">
        <v>2</v>
      </c>
      <c r="G6423" s="8" t="s">
        <v>5690</v>
      </c>
      <c r="H6423" s="8" t="s">
        <v>5691</v>
      </c>
      <c r="I6423" s="7" t="str">
        <f>_xlfn.CONCAT(Paper_Reference[[#This Row],[Lvl]:[Paper Description]])</f>
        <v>2XJ8R1136SD500CCHMC G3 060 NORTH 02 60 X 1201102100DS009-6200FROSTY WHITE</v>
      </c>
      <c r="J6423" s="7">
        <f>COUNTIF(Paper_Reference[Duplicate Key],Paper_Reference[[#This Row],[Duplicate Key]])</f>
        <v>1</v>
      </c>
    </row>
    <row r="6424" spans="1:10">
      <c r="A6424" s="7">
        <v>2</v>
      </c>
      <c r="B6424" s="8" t="s">
        <v>2968</v>
      </c>
      <c r="C6424" s="8" t="s">
        <v>2477</v>
      </c>
      <c r="D6424" s="7">
        <v>1</v>
      </c>
      <c r="E6424" s="7">
        <v>10</v>
      </c>
      <c r="F6424" s="7">
        <v>1</v>
      </c>
      <c r="G6424" s="8" t="s">
        <v>2144</v>
      </c>
      <c r="H6424" s="8" t="s">
        <v>1242</v>
      </c>
      <c r="I6424" s="7" t="str">
        <f>_xlfn.CONCAT(Paper_Reference[[#This Row],[Lvl]:[Paper Description]])</f>
        <v>2XJ8R1137SD500FRL SCH FOREST B LL1A E/L 60X1110110000020-6200Premium Inkjet MPK 9653</v>
      </c>
      <c r="J6424" s="7">
        <f>COUNTIF(Paper_Reference[Duplicate Key],Paper_Reference[[#This Row],[Duplicate Key]])</f>
        <v>1</v>
      </c>
    </row>
    <row r="6425" spans="1:10">
      <c r="A6425" s="7">
        <v>2</v>
      </c>
      <c r="B6425" s="8" t="s">
        <v>2968</v>
      </c>
      <c r="C6425" s="8" t="s">
        <v>2477</v>
      </c>
      <c r="D6425" s="7">
        <v>1</v>
      </c>
      <c r="E6425" s="7">
        <v>10</v>
      </c>
      <c r="F6425" s="7">
        <v>2</v>
      </c>
      <c r="G6425" s="8" t="s">
        <v>5690</v>
      </c>
      <c r="H6425" s="8" t="s">
        <v>5691</v>
      </c>
      <c r="I6425" s="7" t="str">
        <f>_xlfn.CONCAT(Paper_Reference[[#This Row],[Lvl]:[Paper Description]])</f>
        <v>2XJ8R1137SD500FRL SCH FOREST B LL1A E/L 60X11102100DS009-6200FROSTY WHITE</v>
      </c>
      <c r="J6425" s="7">
        <f>COUNTIF(Paper_Reference[Duplicate Key],Paper_Reference[[#This Row],[Duplicate Key]])</f>
        <v>1</v>
      </c>
    </row>
    <row r="6426" spans="1:10">
      <c r="A6426" s="7">
        <v>2</v>
      </c>
      <c r="B6426" s="8" t="s">
        <v>2969</v>
      </c>
      <c r="C6426" s="8" t="s">
        <v>2478</v>
      </c>
      <c r="D6426" s="7">
        <v>1</v>
      </c>
      <c r="E6426" s="7">
        <v>10</v>
      </c>
      <c r="F6426" s="7">
        <v>1</v>
      </c>
      <c r="G6426" s="8" t="s">
        <v>2144</v>
      </c>
      <c r="H6426" s="8" t="s">
        <v>1242</v>
      </c>
      <c r="I6426" s="7" t="str">
        <f>_xlfn.CONCAT(Paper_Reference[[#This Row],[Lvl]:[Paper Description]])</f>
        <v>2XJ8R1138SD500SCH FOREST B L1A PUB E/L60X120110110000020-6200Premium Inkjet MPK 9653</v>
      </c>
      <c r="J6426" s="7">
        <f>COUNTIF(Paper_Reference[Duplicate Key],Paper_Reference[[#This Row],[Duplicate Key]])</f>
        <v>1</v>
      </c>
    </row>
    <row r="6427" spans="1:10">
      <c r="A6427" s="7">
        <v>2</v>
      </c>
      <c r="B6427" s="8" t="s">
        <v>2969</v>
      </c>
      <c r="C6427" s="8" t="s">
        <v>2478</v>
      </c>
      <c r="D6427" s="7">
        <v>1</v>
      </c>
      <c r="E6427" s="7">
        <v>10</v>
      </c>
      <c r="F6427" s="7">
        <v>2</v>
      </c>
      <c r="G6427" s="8" t="s">
        <v>5690</v>
      </c>
      <c r="H6427" s="8" t="s">
        <v>5691</v>
      </c>
      <c r="I6427" s="7" t="str">
        <f>_xlfn.CONCAT(Paper_Reference[[#This Row],[Lvl]:[Paper Description]])</f>
        <v>2XJ8R1138SD500SCH FOREST B L1A PUB E/L60X1201102100DS009-6200FROSTY WHITE</v>
      </c>
      <c r="J6427" s="7">
        <f>COUNTIF(Paper_Reference[Duplicate Key],Paper_Reference[[#This Row],[Duplicate Key]])</f>
        <v>1</v>
      </c>
    </row>
    <row r="6428" spans="1:10">
      <c r="A6428" s="7">
        <v>2</v>
      </c>
      <c r="B6428" s="8" t="s">
        <v>2970</v>
      </c>
      <c r="C6428" s="8" t="s">
        <v>2479</v>
      </c>
      <c r="D6428" s="7">
        <v>1</v>
      </c>
      <c r="E6428" s="7">
        <v>10</v>
      </c>
      <c r="F6428" s="7">
        <v>1</v>
      </c>
      <c r="G6428" s="8" t="s">
        <v>2144</v>
      </c>
      <c r="H6428" s="8" t="s">
        <v>1242</v>
      </c>
      <c r="I6428" s="7" t="str">
        <f>_xlfn.CONCAT(Paper_Reference[[#This Row],[Lvl]:[Paper Description]])</f>
        <v>2XJ8R1140SD500SCH RIVER B L3G TRANS 60 X 120110110000020-6200Premium Inkjet MPK 9653</v>
      </c>
      <c r="J6428" s="7">
        <f>COUNTIF(Paper_Reference[Duplicate Key],Paper_Reference[[#This Row],[Duplicate Key]])</f>
        <v>1</v>
      </c>
    </row>
    <row r="6429" spans="1:10">
      <c r="A6429" s="7">
        <v>2</v>
      </c>
      <c r="B6429" s="8" t="s">
        <v>2970</v>
      </c>
      <c r="C6429" s="8" t="s">
        <v>2479</v>
      </c>
      <c r="D6429" s="7">
        <v>1</v>
      </c>
      <c r="E6429" s="7">
        <v>10</v>
      </c>
      <c r="F6429" s="7">
        <v>2</v>
      </c>
      <c r="G6429" s="8" t="s">
        <v>5690</v>
      </c>
      <c r="H6429" s="8" t="s">
        <v>5691</v>
      </c>
      <c r="I6429" s="7" t="str">
        <f>_xlfn.CONCAT(Paper_Reference[[#This Row],[Lvl]:[Paper Description]])</f>
        <v>2XJ8R1140SD500SCH RIVER B L3G TRANS 60 X 1201102100DS009-6200FROSTY WHITE</v>
      </c>
      <c r="J6429" s="7">
        <f>COUNTIF(Paper_Reference[Duplicate Key],Paper_Reference[[#This Row],[Duplicate Key]])</f>
        <v>1</v>
      </c>
    </row>
    <row r="6430" spans="1:10">
      <c r="A6430" s="7">
        <v>2</v>
      </c>
      <c r="B6430" s="8" t="s">
        <v>2098</v>
      </c>
      <c r="C6430" s="8" t="s">
        <v>1617</v>
      </c>
      <c r="D6430" s="7">
        <v>1</v>
      </c>
      <c r="E6430" s="7">
        <v>10</v>
      </c>
      <c r="F6430" s="7">
        <v>1</v>
      </c>
      <c r="G6430" s="8" t="s">
        <v>1241</v>
      </c>
      <c r="H6430" s="8" t="s">
        <v>1242</v>
      </c>
      <c r="I6430" s="7" t="str">
        <f>_xlfn.CONCAT(Paper_Reference[[#This Row],[Lvl]:[Paper Description]])</f>
        <v>2XJ8R1141SD400WILLIAMSVILLE HS SO PAN 1 48X1110110000020-5000Premium Inkjet MPK 9653</v>
      </c>
      <c r="J6430" s="7">
        <f>COUNTIF(Paper_Reference[Duplicate Key],Paper_Reference[[#This Row],[Duplicate Key]])</f>
        <v>1</v>
      </c>
    </row>
    <row r="6431" spans="1:10">
      <c r="A6431" s="7">
        <v>2</v>
      </c>
      <c r="B6431" s="8" t="s">
        <v>2098</v>
      </c>
      <c r="C6431" s="8" t="s">
        <v>1617</v>
      </c>
      <c r="D6431" s="7">
        <v>1</v>
      </c>
      <c r="E6431" s="7">
        <v>10</v>
      </c>
      <c r="F6431" s="7">
        <v>2</v>
      </c>
      <c r="G6431" s="8" t="s">
        <v>6710</v>
      </c>
      <c r="H6431" s="8" t="s">
        <v>5691</v>
      </c>
      <c r="I6431" s="7" t="str">
        <f>_xlfn.CONCAT(Paper_Reference[[#This Row],[Lvl]:[Paper Description]])</f>
        <v>2XJ8R1141SD400WILLIAMSVILLE HS SO PAN 1 48X11102100DS009-5000FROSTY WHITE</v>
      </c>
      <c r="J6431" s="7">
        <f>COUNTIF(Paper_Reference[Duplicate Key],Paper_Reference[[#This Row],[Duplicate Key]])</f>
        <v>1</v>
      </c>
    </row>
    <row r="6432" spans="1:10">
      <c r="A6432" s="7">
        <v>2</v>
      </c>
      <c r="B6432" s="8" t="s">
        <v>2099</v>
      </c>
      <c r="C6432" s="8" t="s">
        <v>1618</v>
      </c>
      <c r="D6432" s="7">
        <v>1</v>
      </c>
      <c r="E6432" s="7">
        <v>10</v>
      </c>
      <c r="F6432" s="7">
        <v>1</v>
      </c>
      <c r="G6432" s="8" t="s">
        <v>1241</v>
      </c>
      <c r="H6432" s="8" t="s">
        <v>1242</v>
      </c>
      <c r="I6432" s="7" t="str">
        <f>_xlfn.CONCAT(Paper_Reference[[#This Row],[Lvl]:[Paper Description]])</f>
        <v>2XJ8R1142SD480WILLIAMSVILLE HS SO PAN 2 48X9110110000020-5000Premium Inkjet MPK 9653</v>
      </c>
      <c r="J6432" s="7">
        <f>COUNTIF(Paper_Reference[Duplicate Key],Paper_Reference[[#This Row],[Duplicate Key]])</f>
        <v>1</v>
      </c>
    </row>
    <row r="6433" spans="1:10">
      <c r="A6433" s="7">
        <v>2</v>
      </c>
      <c r="B6433" s="8" t="s">
        <v>2099</v>
      </c>
      <c r="C6433" s="8" t="s">
        <v>1618</v>
      </c>
      <c r="D6433" s="7">
        <v>1</v>
      </c>
      <c r="E6433" s="7">
        <v>10</v>
      </c>
      <c r="F6433" s="7">
        <v>2</v>
      </c>
      <c r="G6433" s="8" t="s">
        <v>6710</v>
      </c>
      <c r="H6433" s="8" t="s">
        <v>5691</v>
      </c>
      <c r="I6433" s="7" t="str">
        <f>_xlfn.CONCAT(Paper_Reference[[#This Row],[Lvl]:[Paper Description]])</f>
        <v>2XJ8R1142SD480WILLIAMSVILLE HS SO PAN 2 48X91102100DS009-5000FROSTY WHITE</v>
      </c>
      <c r="J6433" s="7">
        <f>COUNTIF(Paper_Reference[Duplicate Key],Paper_Reference[[#This Row],[Duplicate Key]])</f>
        <v>1</v>
      </c>
    </row>
    <row r="6434" spans="1:10">
      <c r="A6434" s="7">
        <v>2</v>
      </c>
      <c r="B6434" s="8" t="s">
        <v>2100</v>
      </c>
      <c r="C6434" s="8" t="s">
        <v>1619</v>
      </c>
      <c r="D6434" s="7">
        <v>1</v>
      </c>
      <c r="E6434" s="7">
        <v>10</v>
      </c>
      <c r="F6434" s="7">
        <v>1</v>
      </c>
      <c r="G6434" s="8" t="s">
        <v>1241</v>
      </c>
      <c r="H6434" s="8" t="s">
        <v>1242</v>
      </c>
      <c r="I6434" s="7" t="str">
        <f>_xlfn.CONCAT(Paper_Reference[[#This Row],[Lvl]:[Paper Description]])</f>
        <v>2XJ8R1143SD400WILLIAMSVILLE HS EAST 48 X 120110110000020-5000Premium Inkjet MPK 9653</v>
      </c>
      <c r="J6434" s="7">
        <f>COUNTIF(Paper_Reference[Duplicate Key],Paper_Reference[[#This Row],[Duplicate Key]])</f>
        <v>1</v>
      </c>
    </row>
    <row r="6435" spans="1:10">
      <c r="A6435" s="7">
        <v>2</v>
      </c>
      <c r="B6435" s="8" t="s">
        <v>2100</v>
      </c>
      <c r="C6435" s="8" t="s">
        <v>1619</v>
      </c>
      <c r="D6435" s="7">
        <v>1</v>
      </c>
      <c r="E6435" s="7">
        <v>10</v>
      </c>
      <c r="F6435" s="7">
        <v>2</v>
      </c>
      <c r="G6435" s="8" t="s">
        <v>6710</v>
      </c>
      <c r="H6435" s="8" t="s">
        <v>5691</v>
      </c>
      <c r="I6435" s="7" t="str">
        <f>_xlfn.CONCAT(Paper_Reference[[#This Row],[Lvl]:[Paper Description]])</f>
        <v>2XJ8R1143SD400WILLIAMSVILLE HS EAST 48 X 1201102100DS009-5000FROSTY WHITE</v>
      </c>
      <c r="J6435" s="7">
        <f>COUNTIF(Paper_Reference[Duplicate Key],Paper_Reference[[#This Row],[Duplicate Key]])</f>
        <v>1</v>
      </c>
    </row>
    <row r="6436" spans="1:10">
      <c r="A6436" s="7">
        <v>2</v>
      </c>
      <c r="B6436" s="8" t="s">
        <v>2101</v>
      </c>
      <c r="C6436" s="8" t="s">
        <v>1620</v>
      </c>
      <c r="D6436" s="7">
        <v>1</v>
      </c>
      <c r="E6436" s="7">
        <v>10</v>
      </c>
      <c r="F6436" s="7">
        <v>1</v>
      </c>
      <c r="G6436" s="8" t="s">
        <v>1241</v>
      </c>
      <c r="H6436" s="8" t="s">
        <v>1242</v>
      </c>
      <c r="I6436" s="7" t="str">
        <f>_xlfn.CONCAT(Paper_Reference[[#This Row],[Lvl]:[Paper Description]])</f>
        <v>2XJ8R1144SD480WILLIAMSVILLE HS NORTH 48X96110110000020-5000Premium Inkjet MPK 9653</v>
      </c>
      <c r="J6436" s="7">
        <f>COUNTIF(Paper_Reference[Duplicate Key],Paper_Reference[[#This Row],[Duplicate Key]])</f>
        <v>1</v>
      </c>
    </row>
    <row r="6437" spans="1:10">
      <c r="A6437" s="7">
        <v>2</v>
      </c>
      <c r="B6437" s="8" t="s">
        <v>2101</v>
      </c>
      <c r="C6437" s="8" t="s">
        <v>1620</v>
      </c>
      <c r="D6437" s="7">
        <v>1</v>
      </c>
      <c r="E6437" s="7">
        <v>10</v>
      </c>
      <c r="F6437" s="7">
        <v>2</v>
      </c>
      <c r="G6437" s="8" t="s">
        <v>6710</v>
      </c>
      <c r="H6437" s="8" t="s">
        <v>5691</v>
      </c>
      <c r="I6437" s="7" t="str">
        <f>_xlfn.CONCAT(Paper_Reference[[#This Row],[Lvl]:[Paper Description]])</f>
        <v>2XJ8R1144SD480WILLIAMSVILLE HS NORTH 48X961102100DS009-5000FROSTY WHITE</v>
      </c>
      <c r="J6437" s="7">
        <f>COUNTIF(Paper_Reference[Duplicate Key],Paper_Reference[[#This Row],[Duplicate Key]])</f>
        <v>1</v>
      </c>
    </row>
    <row r="6438" spans="1:10">
      <c r="A6438" s="7">
        <v>2</v>
      </c>
      <c r="B6438" s="8" t="s">
        <v>2102</v>
      </c>
      <c r="C6438" s="8" t="s">
        <v>1621</v>
      </c>
      <c r="D6438" s="7">
        <v>1</v>
      </c>
      <c r="E6438" s="7">
        <v>10</v>
      </c>
      <c r="F6438" s="7">
        <v>1</v>
      </c>
      <c r="G6438" s="8" t="s">
        <v>1241</v>
      </c>
      <c r="H6438" s="8" t="s">
        <v>1242</v>
      </c>
      <c r="I6438" s="7" t="str">
        <f>_xlfn.CONCAT(Paper_Reference[[#This Row],[Lvl]:[Paper Description]])</f>
        <v>2XJ8R1146SD400SCH FOREST B L1B PUB CIR 48X12110110000020-5000Premium Inkjet MPK 9653</v>
      </c>
      <c r="J6438" s="7">
        <f>COUNTIF(Paper_Reference[Duplicate Key],Paper_Reference[[#This Row],[Duplicate Key]])</f>
        <v>1</v>
      </c>
    </row>
    <row r="6439" spans="1:10">
      <c r="A6439" s="7">
        <v>2</v>
      </c>
      <c r="B6439" s="8" t="s">
        <v>2102</v>
      </c>
      <c r="C6439" s="8" t="s">
        <v>1621</v>
      </c>
      <c r="D6439" s="7">
        <v>1</v>
      </c>
      <c r="E6439" s="7">
        <v>10</v>
      </c>
      <c r="F6439" s="7">
        <v>2</v>
      </c>
      <c r="G6439" s="8" t="s">
        <v>6710</v>
      </c>
      <c r="H6439" s="8" t="s">
        <v>5691</v>
      </c>
      <c r="I6439" s="7" t="str">
        <f>_xlfn.CONCAT(Paper_Reference[[#This Row],[Lvl]:[Paper Description]])</f>
        <v>2XJ8R1146SD400SCH FOREST B L1B PUB CIR 48X121102100DS009-5000FROSTY WHITE</v>
      </c>
      <c r="J6439" s="7">
        <f>COUNTIF(Paper_Reference[Duplicate Key],Paper_Reference[[#This Row],[Duplicate Key]])</f>
        <v>1</v>
      </c>
    </row>
    <row r="6440" spans="1:10">
      <c r="A6440" s="7">
        <v>2</v>
      </c>
      <c r="B6440" s="8" t="s">
        <v>2971</v>
      </c>
      <c r="C6440" s="8" t="s">
        <v>2480</v>
      </c>
      <c r="D6440" s="7">
        <v>1</v>
      </c>
      <c r="E6440" s="7">
        <v>10</v>
      </c>
      <c r="F6440" s="7">
        <v>1</v>
      </c>
      <c r="G6440" s="8" t="s">
        <v>2144</v>
      </c>
      <c r="H6440" s="8" t="s">
        <v>1242</v>
      </c>
      <c r="I6440" s="7" t="str">
        <f>_xlfn.CONCAT(Paper_Reference[[#This Row],[Lvl]:[Paper Description]])</f>
        <v>2XJ8R1147SD500SCH FOREST B L1D ED TRAN 60X12110110000020-6200Premium Inkjet MPK 9653</v>
      </c>
      <c r="J6440" s="7">
        <f>COUNTIF(Paper_Reference[Duplicate Key],Paper_Reference[[#This Row],[Duplicate Key]])</f>
        <v>1</v>
      </c>
    </row>
    <row r="6441" spans="1:10">
      <c r="A6441" s="7">
        <v>2</v>
      </c>
      <c r="B6441" s="8" t="s">
        <v>2971</v>
      </c>
      <c r="C6441" s="8" t="s">
        <v>2480</v>
      </c>
      <c r="D6441" s="7">
        <v>1</v>
      </c>
      <c r="E6441" s="7">
        <v>10</v>
      </c>
      <c r="F6441" s="7">
        <v>2</v>
      </c>
      <c r="G6441" s="8" t="s">
        <v>5690</v>
      </c>
      <c r="H6441" s="8" t="s">
        <v>5691</v>
      </c>
      <c r="I6441" s="7" t="str">
        <f>_xlfn.CONCAT(Paper_Reference[[#This Row],[Lvl]:[Paper Description]])</f>
        <v>2XJ8R1147SD500SCH FOREST B L1D ED TRAN 60X121102100DS009-6200FROSTY WHITE</v>
      </c>
      <c r="J6441" s="7">
        <f>COUNTIF(Paper_Reference[Duplicate Key],Paper_Reference[[#This Row],[Duplicate Key]])</f>
        <v>1</v>
      </c>
    </row>
    <row r="6442" spans="1:10">
      <c r="A6442" s="7">
        <v>2</v>
      </c>
      <c r="B6442" s="8" t="s">
        <v>2972</v>
      </c>
      <c r="C6442" s="8" t="s">
        <v>2481</v>
      </c>
      <c r="D6442" s="7">
        <v>1</v>
      </c>
      <c r="E6442" s="7">
        <v>10</v>
      </c>
      <c r="F6442" s="7">
        <v>1</v>
      </c>
      <c r="G6442" s="8" t="s">
        <v>2144</v>
      </c>
      <c r="H6442" s="8" t="s">
        <v>1242</v>
      </c>
      <c r="I6442" s="7" t="str">
        <f>_xlfn.CONCAT(Paper_Reference[[#This Row],[Lvl]:[Paper Description]])</f>
        <v>2XJ8R1148SD500ARDEN MS PANTHER WALL 60X120110110000020-6200Premium Inkjet MPK 9653</v>
      </c>
      <c r="J6442" s="7">
        <f>COUNTIF(Paper_Reference[Duplicate Key],Paper_Reference[[#This Row],[Duplicate Key]])</f>
        <v>1</v>
      </c>
    </row>
    <row r="6443" spans="1:10">
      <c r="A6443" s="7">
        <v>2</v>
      </c>
      <c r="B6443" s="8" t="s">
        <v>2972</v>
      </c>
      <c r="C6443" s="8" t="s">
        <v>2481</v>
      </c>
      <c r="D6443" s="7">
        <v>1</v>
      </c>
      <c r="E6443" s="7">
        <v>10</v>
      </c>
      <c r="F6443" s="7">
        <v>2</v>
      </c>
      <c r="G6443" s="8" t="s">
        <v>5690</v>
      </c>
      <c r="H6443" s="8" t="s">
        <v>5691</v>
      </c>
      <c r="I6443" s="7" t="str">
        <f>_xlfn.CONCAT(Paper_Reference[[#This Row],[Lvl]:[Paper Description]])</f>
        <v>2XJ8R1148SD500ARDEN MS PANTHER WALL 60X1201102100DS009-6200FROSTY WHITE</v>
      </c>
      <c r="J6443" s="7">
        <f>COUNTIF(Paper_Reference[Duplicate Key],Paper_Reference[[#This Row],[Duplicate Key]])</f>
        <v>1</v>
      </c>
    </row>
    <row r="6444" spans="1:10">
      <c r="A6444" s="7">
        <v>2</v>
      </c>
      <c r="B6444" s="8" t="s">
        <v>2973</v>
      </c>
      <c r="C6444" s="8" t="s">
        <v>2482</v>
      </c>
      <c r="D6444" s="7">
        <v>1</v>
      </c>
      <c r="E6444" s="7">
        <v>10</v>
      </c>
      <c r="F6444" s="7">
        <v>1</v>
      </c>
      <c r="G6444" s="8" t="s">
        <v>2144</v>
      </c>
      <c r="H6444" s="8" t="s">
        <v>1242</v>
      </c>
      <c r="I6444" s="7" t="str">
        <f>_xlfn.CONCAT(Paper_Reference[[#This Row],[Lvl]:[Paper Description]])</f>
        <v>2XJ8R1149SD500CCHMC COR G4 060 NORTH 60X120110110000020-6200Premium Inkjet MPK 9653</v>
      </c>
      <c r="J6444" s="7">
        <f>COUNTIF(Paper_Reference[Duplicate Key],Paper_Reference[[#This Row],[Duplicate Key]])</f>
        <v>1</v>
      </c>
    </row>
    <row r="6445" spans="1:10">
      <c r="A6445" s="7">
        <v>2</v>
      </c>
      <c r="B6445" s="8" t="s">
        <v>2973</v>
      </c>
      <c r="C6445" s="8" t="s">
        <v>2482</v>
      </c>
      <c r="D6445" s="7">
        <v>1</v>
      </c>
      <c r="E6445" s="7">
        <v>10</v>
      </c>
      <c r="F6445" s="7">
        <v>2</v>
      </c>
      <c r="G6445" s="8" t="s">
        <v>5690</v>
      </c>
      <c r="H6445" s="8" t="s">
        <v>5691</v>
      </c>
      <c r="I6445" s="7" t="str">
        <f>_xlfn.CONCAT(Paper_Reference[[#This Row],[Lvl]:[Paper Description]])</f>
        <v>2XJ8R1149SD500CCHMC COR G4 060 NORTH 60X1201102100DS009-6200FROSTY WHITE</v>
      </c>
      <c r="J6445" s="7">
        <f>COUNTIF(Paper_Reference[Duplicate Key],Paper_Reference[[#This Row],[Duplicate Key]])</f>
        <v>1</v>
      </c>
    </row>
    <row r="6446" spans="1:10">
      <c r="A6446" s="7">
        <v>2</v>
      </c>
      <c r="B6446" s="8" t="s">
        <v>2974</v>
      </c>
      <c r="C6446" s="8" t="s">
        <v>2483</v>
      </c>
      <c r="D6446" s="7">
        <v>1</v>
      </c>
      <c r="E6446" s="7">
        <v>10</v>
      </c>
      <c r="F6446" s="7">
        <v>1</v>
      </c>
      <c r="G6446" s="8" t="s">
        <v>2144</v>
      </c>
      <c r="H6446" s="8" t="s">
        <v>1242</v>
      </c>
      <c r="I6446" s="7" t="str">
        <f>_xlfn.CONCAT(Paper_Reference[[#This Row],[Lvl]:[Paper Description]])</f>
        <v>2XJ8R1150SD500CCHMC G1 050 EAST 60 X 120110110000020-6200Premium Inkjet MPK 9653</v>
      </c>
      <c r="J6446" s="7">
        <f>COUNTIF(Paper_Reference[Duplicate Key],Paper_Reference[[#This Row],[Duplicate Key]])</f>
        <v>1</v>
      </c>
    </row>
    <row r="6447" spans="1:10">
      <c r="A6447" s="7">
        <v>2</v>
      </c>
      <c r="B6447" s="8" t="s">
        <v>2974</v>
      </c>
      <c r="C6447" s="8" t="s">
        <v>2483</v>
      </c>
      <c r="D6447" s="7">
        <v>1</v>
      </c>
      <c r="E6447" s="7">
        <v>10</v>
      </c>
      <c r="F6447" s="7">
        <v>2</v>
      </c>
      <c r="G6447" s="8" t="s">
        <v>5690</v>
      </c>
      <c r="H6447" s="8" t="s">
        <v>5691</v>
      </c>
      <c r="I6447" s="7" t="str">
        <f>_xlfn.CONCAT(Paper_Reference[[#This Row],[Lvl]:[Paper Description]])</f>
        <v>2XJ8R1150SD500CCHMC G1 050 EAST 60 X 1201102100DS009-6200FROSTY WHITE</v>
      </c>
      <c r="J6447" s="7">
        <f>COUNTIF(Paper_Reference[Duplicate Key],Paper_Reference[[#This Row],[Duplicate Key]])</f>
        <v>1</v>
      </c>
    </row>
    <row r="6448" spans="1:10">
      <c r="A6448" s="7">
        <v>2</v>
      </c>
      <c r="B6448" s="8" t="s">
        <v>2975</v>
      </c>
      <c r="C6448" s="8" t="s">
        <v>2484</v>
      </c>
      <c r="D6448" s="7">
        <v>1</v>
      </c>
      <c r="E6448" s="7">
        <v>10</v>
      </c>
      <c r="F6448" s="7">
        <v>1</v>
      </c>
      <c r="G6448" s="8" t="s">
        <v>2144</v>
      </c>
      <c r="H6448" s="8" t="s">
        <v>1242</v>
      </c>
      <c r="I6448" s="7" t="str">
        <f>_xlfn.CONCAT(Paper_Reference[[#This Row],[Lvl]:[Paper Description]])</f>
        <v>2XJ8R1151SD500CCHMC G3 050 EAST 60 X 120110110000020-6200Premium Inkjet MPK 9653</v>
      </c>
      <c r="J6448" s="7">
        <f>COUNTIF(Paper_Reference[Duplicate Key],Paper_Reference[[#This Row],[Duplicate Key]])</f>
        <v>1</v>
      </c>
    </row>
    <row r="6449" spans="1:10">
      <c r="A6449" s="7">
        <v>2</v>
      </c>
      <c r="B6449" s="8" t="s">
        <v>2975</v>
      </c>
      <c r="C6449" s="8" t="s">
        <v>2484</v>
      </c>
      <c r="D6449" s="7">
        <v>1</v>
      </c>
      <c r="E6449" s="7">
        <v>10</v>
      </c>
      <c r="F6449" s="7">
        <v>2</v>
      </c>
      <c r="G6449" s="8" t="s">
        <v>5690</v>
      </c>
      <c r="H6449" s="8" t="s">
        <v>5691</v>
      </c>
      <c r="I6449" s="7" t="str">
        <f>_xlfn.CONCAT(Paper_Reference[[#This Row],[Lvl]:[Paper Description]])</f>
        <v>2XJ8R1151SD500CCHMC G3 050 EAST 60 X 1201102100DS009-6200FROSTY WHITE</v>
      </c>
      <c r="J6449" s="7">
        <f>COUNTIF(Paper_Reference[Duplicate Key],Paper_Reference[[#This Row],[Duplicate Key]])</f>
        <v>1</v>
      </c>
    </row>
    <row r="6450" spans="1:10">
      <c r="A6450" s="7">
        <v>2</v>
      </c>
      <c r="B6450" s="8" t="s">
        <v>2976</v>
      </c>
      <c r="C6450" s="8" t="s">
        <v>2485</v>
      </c>
      <c r="D6450" s="7">
        <v>1</v>
      </c>
      <c r="E6450" s="7">
        <v>10</v>
      </c>
      <c r="F6450" s="7">
        <v>1</v>
      </c>
      <c r="G6450" s="8" t="s">
        <v>2144</v>
      </c>
      <c r="H6450" s="8" t="s">
        <v>1242</v>
      </c>
      <c r="I6450" s="7" t="str">
        <f>_xlfn.CONCAT(Paper_Reference[[#This Row],[Lvl]:[Paper Description]])</f>
        <v>2XJ8R1152SD500CCHMC G4 050 EAST 60 X 120110110000020-6200Premium Inkjet MPK 9653</v>
      </c>
      <c r="J6450" s="7">
        <f>COUNTIF(Paper_Reference[Duplicate Key],Paper_Reference[[#This Row],[Duplicate Key]])</f>
        <v>1</v>
      </c>
    </row>
    <row r="6451" spans="1:10">
      <c r="A6451" s="7">
        <v>2</v>
      </c>
      <c r="B6451" s="8" t="s">
        <v>2976</v>
      </c>
      <c r="C6451" s="8" t="s">
        <v>2485</v>
      </c>
      <c r="D6451" s="7">
        <v>1</v>
      </c>
      <c r="E6451" s="7">
        <v>10</v>
      </c>
      <c r="F6451" s="7">
        <v>2</v>
      </c>
      <c r="G6451" s="8" t="s">
        <v>5690</v>
      </c>
      <c r="H6451" s="8" t="s">
        <v>5691</v>
      </c>
      <c r="I6451" s="7" t="str">
        <f>_xlfn.CONCAT(Paper_Reference[[#This Row],[Lvl]:[Paper Description]])</f>
        <v>2XJ8R1152SD500CCHMC G4 050 EAST 60 X 1201102100DS009-6200FROSTY WHITE</v>
      </c>
      <c r="J6451" s="7">
        <f>COUNTIF(Paper_Reference[Duplicate Key],Paper_Reference[[#This Row],[Duplicate Key]])</f>
        <v>1</v>
      </c>
    </row>
    <row r="6452" spans="1:10">
      <c r="A6452" s="7">
        <v>2</v>
      </c>
      <c r="B6452" s="8" t="s">
        <v>2977</v>
      </c>
      <c r="C6452" s="8" t="s">
        <v>2486</v>
      </c>
      <c r="D6452" s="7">
        <v>1</v>
      </c>
      <c r="E6452" s="7">
        <v>10</v>
      </c>
      <c r="F6452" s="7">
        <v>1</v>
      </c>
      <c r="G6452" s="8" t="s">
        <v>2144</v>
      </c>
      <c r="H6452" s="8" t="s">
        <v>1242</v>
      </c>
      <c r="I6452" s="7" t="str">
        <f>_xlfn.CONCAT(Paper_Reference[[#This Row],[Lvl]:[Paper Description]])</f>
        <v>2XJ8R1153SD500CCHMC G5 050 EAST 60 X 120110110000020-6200Premium Inkjet MPK 9653</v>
      </c>
      <c r="J6452" s="7">
        <f>COUNTIF(Paper_Reference[Duplicate Key],Paper_Reference[[#This Row],[Duplicate Key]])</f>
        <v>1</v>
      </c>
    </row>
    <row r="6453" spans="1:10">
      <c r="A6453" s="7">
        <v>2</v>
      </c>
      <c r="B6453" s="8" t="s">
        <v>2977</v>
      </c>
      <c r="C6453" s="8" t="s">
        <v>2486</v>
      </c>
      <c r="D6453" s="7">
        <v>1</v>
      </c>
      <c r="E6453" s="7">
        <v>10</v>
      </c>
      <c r="F6453" s="7">
        <v>2</v>
      </c>
      <c r="G6453" s="8" t="s">
        <v>5690</v>
      </c>
      <c r="H6453" s="8" t="s">
        <v>5691</v>
      </c>
      <c r="I6453" s="7" t="str">
        <f>_xlfn.CONCAT(Paper_Reference[[#This Row],[Lvl]:[Paper Description]])</f>
        <v>2XJ8R1153SD500CCHMC G5 050 EAST 60 X 1201102100DS009-6200FROSTY WHITE</v>
      </c>
      <c r="J6453" s="7">
        <f>COUNTIF(Paper_Reference[Duplicate Key],Paper_Reference[[#This Row],[Duplicate Key]])</f>
        <v>1</v>
      </c>
    </row>
    <row r="6454" spans="1:10">
      <c r="A6454" s="7">
        <v>2</v>
      </c>
      <c r="B6454" s="8" t="s">
        <v>2978</v>
      </c>
      <c r="C6454" s="8" t="s">
        <v>2487</v>
      </c>
      <c r="D6454" s="7">
        <v>1</v>
      </c>
      <c r="E6454" s="7">
        <v>10</v>
      </c>
      <c r="F6454" s="7">
        <v>1</v>
      </c>
      <c r="G6454" s="8" t="s">
        <v>2144</v>
      </c>
      <c r="H6454" s="8" t="s">
        <v>1242</v>
      </c>
      <c r="I6454" s="7" t="str">
        <f>_xlfn.CONCAT(Paper_Reference[[#This Row],[Lvl]:[Paper Description]])</f>
        <v>2XJ8R1154SD500CCHMC G6 050 EAST 60 X 120110110000020-6200Premium Inkjet MPK 9653</v>
      </c>
      <c r="J6454" s="7">
        <f>COUNTIF(Paper_Reference[Duplicate Key],Paper_Reference[[#This Row],[Duplicate Key]])</f>
        <v>1</v>
      </c>
    </row>
    <row r="6455" spans="1:10">
      <c r="A6455" s="7">
        <v>2</v>
      </c>
      <c r="B6455" s="8" t="s">
        <v>2978</v>
      </c>
      <c r="C6455" s="8" t="s">
        <v>2487</v>
      </c>
      <c r="D6455" s="7">
        <v>1</v>
      </c>
      <c r="E6455" s="7">
        <v>10</v>
      </c>
      <c r="F6455" s="7">
        <v>2</v>
      </c>
      <c r="G6455" s="8" t="s">
        <v>5690</v>
      </c>
      <c r="H6455" s="8" t="s">
        <v>5691</v>
      </c>
      <c r="I6455" s="7" t="str">
        <f>_xlfn.CONCAT(Paper_Reference[[#This Row],[Lvl]:[Paper Description]])</f>
        <v>2XJ8R1154SD500CCHMC G6 050 EAST 60 X 1201102100DS009-6200FROSTY WHITE</v>
      </c>
      <c r="J6455" s="7">
        <f>COUNTIF(Paper_Reference[Duplicate Key],Paper_Reference[[#This Row],[Duplicate Key]])</f>
        <v>1</v>
      </c>
    </row>
    <row r="6456" spans="1:10">
      <c r="A6456" s="7">
        <v>2</v>
      </c>
      <c r="B6456" s="8" t="s">
        <v>2979</v>
      </c>
      <c r="C6456" s="8" t="s">
        <v>2488</v>
      </c>
      <c r="D6456" s="7">
        <v>1</v>
      </c>
      <c r="E6456" s="7">
        <v>10</v>
      </c>
      <c r="F6456" s="7">
        <v>1</v>
      </c>
      <c r="G6456" s="8" t="s">
        <v>2144</v>
      </c>
      <c r="H6456" s="8" t="s">
        <v>1242</v>
      </c>
      <c r="I6456" s="7" t="str">
        <f>_xlfn.CONCAT(Paper_Reference[[#This Row],[Lvl]:[Paper Description]])</f>
        <v>2XJ8R1155SD500CCHMC GL2 050 EAST 60 X 120110110000020-6200Premium Inkjet MPK 9653</v>
      </c>
      <c r="J6456" s="7">
        <f>COUNTIF(Paper_Reference[Duplicate Key],Paper_Reference[[#This Row],[Duplicate Key]])</f>
        <v>1</v>
      </c>
    </row>
    <row r="6457" spans="1:10">
      <c r="A6457" s="7">
        <v>2</v>
      </c>
      <c r="B6457" s="8" t="s">
        <v>2979</v>
      </c>
      <c r="C6457" s="8" t="s">
        <v>2488</v>
      </c>
      <c r="D6457" s="7">
        <v>1</v>
      </c>
      <c r="E6457" s="7">
        <v>10</v>
      </c>
      <c r="F6457" s="7">
        <v>2</v>
      </c>
      <c r="G6457" s="8" t="s">
        <v>5690</v>
      </c>
      <c r="H6457" s="8" t="s">
        <v>5691</v>
      </c>
      <c r="I6457" s="7" t="str">
        <f>_xlfn.CONCAT(Paper_Reference[[#This Row],[Lvl]:[Paper Description]])</f>
        <v>2XJ8R1155SD500CCHMC GL2 050 EAST 60 X 1201102100DS009-6200FROSTY WHITE</v>
      </c>
      <c r="J6457" s="7">
        <f>COUNTIF(Paper_Reference[Duplicate Key],Paper_Reference[[#This Row],[Duplicate Key]])</f>
        <v>1</v>
      </c>
    </row>
    <row r="6458" spans="1:10">
      <c r="A6458" s="7">
        <v>2</v>
      </c>
      <c r="B6458" s="8" t="s">
        <v>2980</v>
      </c>
      <c r="C6458" s="8" t="s">
        <v>2489</v>
      </c>
      <c r="D6458" s="7">
        <v>1</v>
      </c>
      <c r="E6458" s="7">
        <v>10</v>
      </c>
      <c r="F6458" s="7">
        <v>1</v>
      </c>
      <c r="G6458" s="8" t="s">
        <v>2144</v>
      </c>
      <c r="H6458" s="8" t="s">
        <v>1242</v>
      </c>
      <c r="I6458" s="7" t="str">
        <f>_xlfn.CONCAT(Paper_Reference[[#This Row],[Lvl]:[Paper Description]])</f>
        <v>2XJ8R1156SD500CCHMC GL2 642 WP4-32 60 X 120110110000020-6200Premium Inkjet MPK 9653</v>
      </c>
      <c r="J6458" s="7">
        <f>COUNTIF(Paper_Reference[Duplicate Key],Paper_Reference[[#This Row],[Duplicate Key]])</f>
        <v>1</v>
      </c>
    </row>
    <row r="6459" spans="1:10">
      <c r="A6459" s="7">
        <v>2</v>
      </c>
      <c r="B6459" s="8" t="s">
        <v>2980</v>
      </c>
      <c r="C6459" s="8" t="s">
        <v>2489</v>
      </c>
      <c r="D6459" s="7">
        <v>1</v>
      </c>
      <c r="E6459" s="7">
        <v>10</v>
      </c>
      <c r="F6459" s="7">
        <v>2</v>
      </c>
      <c r="G6459" s="8" t="s">
        <v>5690</v>
      </c>
      <c r="H6459" s="8" t="s">
        <v>5691</v>
      </c>
      <c r="I6459" s="7" t="str">
        <f>_xlfn.CONCAT(Paper_Reference[[#This Row],[Lvl]:[Paper Description]])</f>
        <v>2XJ8R1156SD500CCHMC GL2 642 WP4-32 60 X 1201102100DS009-6200FROSTY WHITE</v>
      </c>
      <c r="J6459" s="7">
        <f>COUNTIF(Paper_Reference[Duplicate Key],Paper_Reference[[#This Row],[Duplicate Key]])</f>
        <v>1</v>
      </c>
    </row>
    <row r="6460" spans="1:10">
      <c r="A6460" s="7">
        <v>2</v>
      </c>
      <c r="B6460" s="8" t="s">
        <v>2981</v>
      </c>
      <c r="C6460" s="8" t="s">
        <v>2490</v>
      </c>
      <c r="D6460" s="7">
        <v>1</v>
      </c>
      <c r="E6460" s="7">
        <v>10</v>
      </c>
      <c r="F6460" s="7">
        <v>1</v>
      </c>
      <c r="G6460" s="8" t="s">
        <v>2144</v>
      </c>
      <c r="H6460" s="8" t="s">
        <v>1242</v>
      </c>
      <c r="I6460" s="7" t="str">
        <f>_xlfn.CONCAT(Paper_Reference[[#This Row],[Lvl]:[Paper Description]])</f>
        <v>2XJ8R1157SD500SCH FOR B L3A PUB ELEV 60X120110110000020-6200Premium Inkjet MPK 9653</v>
      </c>
      <c r="J6460" s="7">
        <f>COUNTIF(Paper_Reference[Duplicate Key],Paper_Reference[[#This Row],[Duplicate Key]])</f>
        <v>1</v>
      </c>
    </row>
    <row r="6461" spans="1:10">
      <c r="A6461" s="7">
        <v>2</v>
      </c>
      <c r="B6461" s="8" t="s">
        <v>2981</v>
      </c>
      <c r="C6461" s="8" t="s">
        <v>2490</v>
      </c>
      <c r="D6461" s="7">
        <v>1</v>
      </c>
      <c r="E6461" s="7">
        <v>10</v>
      </c>
      <c r="F6461" s="7">
        <v>2</v>
      </c>
      <c r="G6461" s="8" t="s">
        <v>5690</v>
      </c>
      <c r="H6461" s="8" t="s">
        <v>5691</v>
      </c>
      <c r="I6461" s="7" t="str">
        <f>_xlfn.CONCAT(Paper_Reference[[#This Row],[Lvl]:[Paper Description]])</f>
        <v>2XJ8R1157SD500SCH FOR B L3A PUB ELEV 60X1201102100DS009-6200FROSTY WHITE</v>
      </c>
      <c r="J6461" s="7">
        <f>COUNTIF(Paper_Reference[Duplicate Key],Paper_Reference[[#This Row],[Duplicate Key]])</f>
        <v>1</v>
      </c>
    </row>
    <row r="6462" spans="1:10">
      <c r="A6462" s="7">
        <v>2</v>
      </c>
      <c r="B6462" s="8" t="s">
        <v>2982</v>
      </c>
      <c r="C6462" s="8" t="s">
        <v>2491</v>
      </c>
      <c r="D6462" s="7">
        <v>1</v>
      </c>
      <c r="E6462" s="7">
        <v>10</v>
      </c>
      <c r="F6462" s="7">
        <v>1</v>
      </c>
      <c r="G6462" s="8" t="s">
        <v>2144</v>
      </c>
      <c r="H6462" s="8" t="s">
        <v>1242</v>
      </c>
      <c r="I6462" s="7" t="str">
        <f>_xlfn.CONCAT(Paper_Reference[[#This Row],[Lvl]:[Paper Description]])</f>
        <v>2XJ8R1158SD500UCFP-RCH-FOREST WALL 60 X 120110110000020-6200Premium Inkjet MPK 9653</v>
      </c>
      <c r="J6462" s="7">
        <f>COUNTIF(Paper_Reference[Duplicate Key],Paper_Reference[[#This Row],[Duplicate Key]])</f>
        <v>1</v>
      </c>
    </row>
    <row r="6463" spans="1:10">
      <c r="A6463" s="7">
        <v>2</v>
      </c>
      <c r="B6463" s="8" t="s">
        <v>2982</v>
      </c>
      <c r="C6463" s="8" t="s">
        <v>2491</v>
      </c>
      <c r="D6463" s="7">
        <v>1</v>
      </c>
      <c r="E6463" s="7">
        <v>10</v>
      </c>
      <c r="F6463" s="7">
        <v>2</v>
      </c>
      <c r="G6463" s="8" t="s">
        <v>5690</v>
      </c>
      <c r="H6463" s="8" t="s">
        <v>5691</v>
      </c>
      <c r="I6463" s="7" t="str">
        <f>_xlfn.CONCAT(Paper_Reference[[#This Row],[Lvl]:[Paper Description]])</f>
        <v>2XJ8R1158SD500UCFP-RCH-FOREST WALL 60 X 1201102100DS009-6200FROSTY WHITE</v>
      </c>
      <c r="J6463" s="7">
        <f>COUNTIF(Paper_Reference[Duplicate Key],Paper_Reference[[#This Row],[Duplicate Key]])</f>
        <v>1</v>
      </c>
    </row>
    <row r="6464" spans="1:10">
      <c r="A6464" s="7">
        <v>2</v>
      </c>
      <c r="B6464" s="8" t="s">
        <v>2983</v>
      </c>
      <c r="C6464" s="8" t="s">
        <v>2492</v>
      </c>
      <c r="D6464" s="7">
        <v>1</v>
      </c>
      <c r="E6464" s="7">
        <v>10</v>
      </c>
      <c r="F6464" s="7">
        <v>1</v>
      </c>
      <c r="G6464" s="8" t="s">
        <v>2144</v>
      </c>
      <c r="H6464" s="8" t="s">
        <v>1242</v>
      </c>
      <c r="I6464" s="7" t="str">
        <f>_xlfn.CONCAT(Paper_Reference[[#This Row],[Lvl]:[Paper Description]])</f>
        <v>2XJ8R1160SD500CCHMC G3 060 E3 60 X 120110110000020-6200Premium Inkjet MPK 9653</v>
      </c>
      <c r="J6464" s="7">
        <f>COUNTIF(Paper_Reference[Duplicate Key],Paper_Reference[[#This Row],[Duplicate Key]])</f>
        <v>1</v>
      </c>
    </row>
    <row r="6465" spans="1:10">
      <c r="A6465" s="7">
        <v>2</v>
      </c>
      <c r="B6465" s="8" t="s">
        <v>2983</v>
      </c>
      <c r="C6465" s="8" t="s">
        <v>2492</v>
      </c>
      <c r="D6465" s="7">
        <v>1</v>
      </c>
      <c r="E6465" s="7">
        <v>10</v>
      </c>
      <c r="F6465" s="7">
        <v>2</v>
      </c>
      <c r="G6465" s="8" t="s">
        <v>5690</v>
      </c>
      <c r="H6465" s="8" t="s">
        <v>5691</v>
      </c>
      <c r="I6465" s="7" t="str">
        <f>_xlfn.CONCAT(Paper_Reference[[#This Row],[Lvl]:[Paper Description]])</f>
        <v>2XJ8R1160SD500CCHMC G3 060 E3 60 X 1201102100DS009-6200FROSTY WHITE</v>
      </c>
      <c r="J6465" s="7">
        <f>COUNTIF(Paper_Reference[Duplicate Key],Paper_Reference[[#This Row],[Duplicate Key]])</f>
        <v>1</v>
      </c>
    </row>
    <row r="6466" spans="1:10">
      <c r="A6466" s="7">
        <v>2</v>
      </c>
      <c r="B6466" s="8" t="s">
        <v>2984</v>
      </c>
      <c r="C6466" s="8" t="s">
        <v>2493</v>
      </c>
      <c r="D6466" s="7">
        <v>1</v>
      </c>
      <c r="E6466" s="7">
        <v>10</v>
      </c>
      <c r="F6466" s="7">
        <v>1</v>
      </c>
      <c r="G6466" s="8" t="s">
        <v>2144</v>
      </c>
      <c r="H6466" s="8" t="s">
        <v>1242</v>
      </c>
      <c r="I6466" s="7" t="str">
        <f>_xlfn.CONCAT(Paper_Reference[[#This Row],[Lvl]:[Paper Description]])</f>
        <v>2XJ8R1161SD500CCHMC G3 060 E3 WP419E 60X120110110000020-6200Premium Inkjet MPK 9653</v>
      </c>
      <c r="J6466" s="7">
        <f>COUNTIF(Paper_Reference[Duplicate Key],Paper_Reference[[#This Row],[Duplicate Key]])</f>
        <v>1</v>
      </c>
    </row>
    <row r="6467" spans="1:10">
      <c r="A6467" s="7">
        <v>2</v>
      </c>
      <c r="B6467" s="8" t="s">
        <v>2984</v>
      </c>
      <c r="C6467" s="8" t="s">
        <v>2493</v>
      </c>
      <c r="D6467" s="7">
        <v>1</v>
      </c>
      <c r="E6467" s="7">
        <v>10</v>
      </c>
      <c r="F6467" s="7">
        <v>2</v>
      </c>
      <c r="G6467" s="8" t="s">
        <v>5690</v>
      </c>
      <c r="H6467" s="8" t="s">
        <v>5691</v>
      </c>
      <c r="I6467" s="7" t="str">
        <f>_xlfn.CONCAT(Paper_Reference[[#This Row],[Lvl]:[Paper Description]])</f>
        <v>2XJ8R1161SD500CCHMC G3 060 E3 WP419E 60X1201102100DS009-6200FROSTY WHITE</v>
      </c>
      <c r="J6467" s="7">
        <f>COUNTIF(Paper_Reference[Duplicate Key],Paper_Reference[[#This Row],[Duplicate Key]])</f>
        <v>1</v>
      </c>
    </row>
    <row r="6468" spans="1:10">
      <c r="A6468" s="7">
        <v>2</v>
      </c>
      <c r="B6468" s="8" t="s">
        <v>2985</v>
      </c>
      <c r="C6468" s="8" t="s">
        <v>2494</v>
      </c>
      <c r="D6468" s="7">
        <v>1</v>
      </c>
      <c r="E6468" s="7">
        <v>10</v>
      </c>
      <c r="F6468" s="7">
        <v>1</v>
      </c>
      <c r="G6468" s="8" t="s">
        <v>2144</v>
      </c>
      <c r="H6468" s="8" t="s">
        <v>1242</v>
      </c>
      <c r="I6468" s="7" t="str">
        <f>_xlfn.CONCAT(Paper_Reference[[#This Row],[Lvl]:[Paper Description]])</f>
        <v>2XJ8R1162SD500CCHMC G5 060 DN WP419D 60X120110110000020-6200Premium Inkjet MPK 9653</v>
      </c>
      <c r="J6468" s="7">
        <f>COUNTIF(Paper_Reference[Duplicate Key],Paper_Reference[[#This Row],[Duplicate Key]])</f>
        <v>1</v>
      </c>
    </row>
    <row r="6469" spans="1:10">
      <c r="A6469" s="7">
        <v>2</v>
      </c>
      <c r="B6469" s="8" t="s">
        <v>2985</v>
      </c>
      <c r="C6469" s="8" t="s">
        <v>2494</v>
      </c>
      <c r="D6469" s="7">
        <v>1</v>
      </c>
      <c r="E6469" s="7">
        <v>10</v>
      </c>
      <c r="F6469" s="7">
        <v>2</v>
      </c>
      <c r="G6469" s="8" t="s">
        <v>5690</v>
      </c>
      <c r="H6469" s="8" t="s">
        <v>5691</v>
      </c>
      <c r="I6469" s="7" t="str">
        <f>_xlfn.CONCAT(Paper_Reference[[#This Row],[Lvl]:[Paper Description]])</f>
        <v>2XJ8R1162SD500CCHMC G5 060 DN WP419D 60X1201102100DS009-6200FROSTY WHITE</v>
      </c>
      <c r="J6469" s="7">
        <f>COUNTIF(Paper_Reference[Duplicate Key],Paper_Reference[[#This Row],[Duplicate Key]])</f>
        <v>1</v>
      </c>
    </row>
    <row r="6470" spans="1:10">
      <c r="A6470" s="7">
        <v>2</v>
      </c>
      <c r="B6470" s="8" t="s">
        <v>2986</v>
      </c>
      <c r="C6470" s="8" t="s">
        <v>2495</v>
      </c>
      <c r="D6470" s="7">
        <v>1</v>
      </c>
      <c r="E6470" s="7">
        <v>10</v>
      </c>
      <c r="F6470" s="7">
        <v>1</v>
      </c>
      <c r="G6470" s="8" t="s">
        <v>2144</v>
      </c>
      <c r="H6470" s="8" t="s">
        <v>1242</v>
      </c>
      <c r="I6470" s="7" t="str">
        <f>_xlfn.CONCAT(Paper_Reference[[#This Row],[Lvl]:[Paper Description]])</f>
        <v>2XJ8R1163SD500CCHMC G5 060 N1 WP419B 60X120110110000020-6200Premium Inkjet MPK 9653</v>
      </c>
      <c r="J6470" s="7">
        <f>COUNTIF(Paper_Reference[Duplicate Key],Paper_Reference[[#This Row],[Duplicate Key]])</f>
        <v>1</v>
      </c>
    </row>
    <row r="6471" spans="1:10">
      <c r="A6471" s="7">
        <v>2</v>
      </c>
      <c r="B6471" s="8" t="s">
        <v>2986</v>
      </c>
      <c r="C6471" s="8" t="s">
        <v>2495</v>
      </c>
      <c r="D6471" s="7">
        <v>1</v>
      </c>
      <c r="E6471" s="7">
        <v>10</v>
      </c>
      <c r="F6471" s="7">
        <v>2</v>
      </c>
      <c r="G6471" s="8" t="s">
        <v>5690</v>
      </c>
      <c r="H6471" s="8" t="s">
        <v>5691</v>
      </c>
      <c r="I6471" s="7" t="str">
        <f>_xlfn.CONCAT(Paper_Reference[[#This Row],[Lvl]:[Paper Description]])</f>
        <v>2XJ8R1163SD500CCHMC G5 060 N1 WP419B 60X1201102100DS009-6200FROSTY WHITE</v>
      </c>
      <c r="J6471" s="7">
        <f>COUNTIF(Paper_Reference[Duplicate Key],Paper_Reference[[#This Row],[Duplicate Key]])</f>
        <v>1</v>
      </c>
    </row>
    <row r="6472" spans="1:10">
      <c r="A6472" s="7">
        <v>2</v>
      </c>
      <c r="B6472" s="8" t="s">
        <v>2987</v>
      </c>
      <c r="C6472" s="8" t="s">
        <v>2496</v>
      </c>
      <c r="D6472" s="7">
        <v>1</v>
      </c>
      <c r="E6472" s="7">
        <v>10</v>
      </c>
      <c r="F6472" s="7">
        <v>1</v>
      </c>
      <c r="G6472" s="8" t="s">
        <v>2144</v>
      </c>
      <c r="H6472" s="8" t="s">
        <v>1242</v>
      </c>
      <c r="I6472" s="7" t="str">
        <f>_xlfn.CONCAT(Paper_Reference[[#This Row],[Lvl]:[Paper Description]])</f>
        <v>2XJ8R1164SD500CCHMC G5 060 N1 WP419C 60X120110110000020-6200Premium Inkjet MPK 9653</v>
      </c>
      <c r="J6472" s="7">
        <f>COUNTIF(Paper_Reference[Duplicate Key],Paper_Reference[[#This Row],[Duplicate Key]])</f>
        <v>1</v>
      </c>
    </row>
    <row r="6473" spans="1:10">
      <c r="A6473" s="7">
        <v>2</v>
      </c>
      <c r="B6473" s="8" t="s">
        <v>2987</v>
      </c>
      <c r="C6473" s="8" t="s">
        <v>2496</v>
      </c>
      <c r="D6473" s="7">
        <v>1</v>
      </c>
      <c r="E6473" s="7">
        <v>10</v>
      </c>
      <c r="F6473" s="7">
        <v>2</v>
      </c>
      <c r="G6473" s="8" t="s">
        <v>5690</v>
      </c>
      <c r="H6473" s="8" t="s">
        <v>5691</v>
      </c>
      <c r="I6473" s="7" t="str">
        <f>_xlfn.CONCAT(Paper_Reference[[#This Row],[Lvl]:[Paper Description]])</f>
        <v>2XJ8R1164SD500CCHMC G5 060 N1 WP419C 60X1201102100DS009-6200FROSTY WHITE</v>
      </c>
      <c r="J6473" s="7">
        <f>COUNTIF(Paper_Reference[Duplicate Key],Paper_Reference[[#This Row],[Duplicate Key]])</f>
        <v>1</v>
      </c>
    </row>
    <row r="6474" spans="1:10">
      <c r="A6474" s="7">
        <v>2</v>
      </c>
      <c r="B6474" s="8" t="s">
        <v>2988</v>
      </c>
      <c r="C6474" s="8" t="s">
        <v>2497</v>
      </c>
      <c r="D6474" s="7">
        <v>1</v>
      </c>
      <c r="E6474" s="7">
        <v>10</v>
      </c>
      <c r="F6474" s="7">
        <v>1</v>
      </c>
      <c r="G6474" s="8" t="s">
        <v>2144</v>
      </c>
      <c r="H6474" s="8" t="s">
        <v>1242</v>
      </c>
      <c r="I6474" s="7" t="str">
        <f>_xlfn.CONCAT(Paper_Reference[[#This Row],[Lvl]:[Paper Description]])</f>
        <v>2XJ8R1165SD500CCHMC G5 060 N2 WP419A 60X120110110000020-6200Premium Inkjet MPK 9653</v>
      </c>
      <c r="J6474" s="7">
        <f>COUNTIF(Paper_Reference[Duplicate Key],Paper_Reference[[#This Row],[Duplicate Key]])</f>
        <v>1</v>
      </c>
    </row>
    <row r="6475" spans="1:10">
      <c r="A6475" s="7">
        <v>2</v>
      </c>
      <c r="B6475" s="8" t="s">
        <v>2988</v>
      </c>
      <c r="C6475" s="8" t="s">
        <v>2497</v>
      </c>
      <c r="D6475" s="7">
        <v>1</v>
      </c>
      <c r="E6475" s="7">
        <v>10</v>
      </c>
      <c r="F6475" s="7">
        <v>2</v>
      </c>
      <c r="G6475" s="8" t="s">
        <v>5690</v>
      </c>
      <c r="H6475" s="8" t="s">
        <v>5691</v>
      </c>
      <c r="I6475" s="7" t="str">
        <f>_xlfn.CONCAT(Paper_Reference[[#This Row],[Lvl]:[Paper Description]])</f>
        <v>2XJ8R1165SD500CCHMC G5 060 N2 WP419A 60X1201102100DS009-6200FROSTY WHITE</v>
      </c>
      <c r="J6475" s="7">
        <f>COUNTIF(Paper_Reference[Duplicate Key],Paper_Reference[[#This Row],[Duplicate Key]])</f>
        <v>1</v>
      </c>
    </row>
    <row r="6476" spans="1:10">
      <c r="A6476" s="7">
        <v>2</v>
      </c>
      <c r="B6476" s="8" t="s">
        <v>2989</v>
      </c>
      <c r="C6476" s="8" t="s">
        <v>2498</v>
      </c>
      <c r="D6476" s="7">
        <v>1</v>
      </c>
      <c r="E6476" s="7">
        <v>10</v>
      </c>
      <c r="F6476" s="7">
        <v>1</v>
      </c>
      <c r="G6476" s="8" t="s">
        <v>2144</v>
      </c>
      <c r="H6476" s="8" t="s">
        <v>1242</v>
      </c>
      <c r="I6476" s="7" t="str">
        <f>_xlfn.CONCAT(Paper_Reference[[#This Row],[Lvl]:[Paper Description]])</f>
        <v>2XJ8R1166SD500CCHMC G5 060 W WP419F 60X120110110000020-6200Premium Inkjet MPK 9653</v>
      </c>
      <c r="J6476" s="7">
        <f>COUNTIF(Paper_Reference[Duplicate Key],Paper_Reference[[#This Row],[Duplicate Key]])</f>
        <v>1</v>
      </c>
    </row>
    <row r="6477" spans="1:10">
      <c r="A6477" s="7">
        <v>2</v>
      </c>
      <c r="B6477" s="8" t="s">
        <v>2989</v>
      </c>
      <c r="C6477" s="8" t="s">
        <v>2498</v>
      </c>
      <c r="D6477" s="7">
        <v>1</v>
      </c>
      <c r="E6477" s="7">
        <v>10</v>
      </c>
      <c r="F6477" s="7">
        <v>2</v>
      </c>
      <c r="G6477" s="8" t="s">
        <v>5690</v>
      </c>
      <c r="H6477" s="8" t="s">
        <v>5691</v>
      </c>
      <c r="I6477" s="7" t="str">
        <f>_xlfn.CONCAT(Paper_Reference[[#This Row],[Lvl]:[Paper Description]])</f>
        <v>2XJ8R1166SD500CCHMC G5 060 W WP419F 60X1201102100DS009-6200FROSTY WHITE</v>
      </c>
      <c r="J6477" s="7">
        <f>COUNTIF(Paper_Reference[Duplicate Key],Paper_Reference[[#This Row],[Duplicate Key]])</f>
        <v>1</v>
      </c>
    </row>
    <row r="6478" spans="1:10">
      <c r="A6478" s="7">
        <v>2</v>
      </c>
      <c r="B6478" s="8" t="s">
        <v>2990</v>
      </c>
      <c r="C6478" s="8" t="s">
        <v>2499</v>
      </c>
      <c r="D6478" s="7">
        <v>1</v>
      </c>
      <c r="E6478" s="7">
        <v>10</v>
      </c>
      <c r="F6478" s="7">
        <v>1</v>
      </c>
      <c r="G6478" s="8" t="s">
        <v>2144</v>
      </c>
      <c r="H6478" s="8" t="s">
        <v>1242</v>
      </c>
      <c r="I6478" s="7" t="str">
        <f>_xlfn.CONCAT(Paper_Reference[[#This Row],[Lvl]:[Paper Description]])</f>
        <v>2XJ8R1167SD500CCHMC G6 060 DN 60 X 120110110000020-6200Premium Inkjet MPK 9653</v>
      </c>
      <c r="J6478" s="7">
        <f>COUNTIF(Paper_Reference[Duplicate Key],Paper_Reference[[#This Row],[Duplicate Key]])</f>
        <v>1</v>
      </c>
    </row>
    <row r="6479" spans="1:10">
      <c r="A6479" s="7">
        <v>2</v>
      </c>
      <c r="B6479" s="8" t="s">
        <v>2990</v>
      </c>
      <c r="C6479" s="8" t="s">
        <v>2499</v>
      </c>
      <c r="D6479" s="7">
        <v>1</v>
      </c>
      <c r="E6479" s="7">
        <v>10</v>
      </c>
      <c r="F6479" s="7">
        <v>2</v>
      </c>
      <c r="G6479" s="8" t="s">
        <v>5690</v>
      </c>
      <c r="H6479" s="8" t="s">
        <v>5691</v>
      </c>
      <c r="I6479" s="7" t="str">
        <f>_xlfn.CONCAT(Paper_Reference[[#This Row],[Lvl]:[Paper Description]])</f>
        <v>2XJ8R1167SD500CCHMC G6 060 DN 60 X 1201102100DS009-6200FROSTY WHITE</v>
      </c>
      <c r="J6479" s="7">
        <f>COUNTIF(Paper_Reference[Duplicate Key],Paper_Reference[[#This Row],[Duplicate Key]])</f>
        <v>1</v>
      </c>
    </row>
    <row r="6480" spans="1:10">
      <c r="A6480" s="7">
        <v>2</v>
      </c>
      <c r="B6480" s="8" t="s">
        <v>2991</v>
      </c>
      <c r="C6480" s="8" t="s">
        <v>2500</v>
      </c>
      <c r="D6480" s="7">
        <v>1</v>
      </c>
      <c r="E6480" s="7">
        <v>10</v>
      </c>
      <c r="F6480" s="7">
        <v>1</v>
      </c>
      <c r="G6480" s="8" t="s">
        <v>2144</v>
      </c>
      <c r="H6480" s="8" t="s">
        <v>1242</v>
      </c>
      <c r="I6480" s="7" t="str">
        <f>_xlfn.CONCAT(Paper_Reference[[#This Row],[Lvl]:[Paper Description]])</f>
        <v>2XJ8R1168SD500CCHMC G6 060 N1 60 X 120110110000020-6200Premium Inkjet MPK 9653</v>
      </c>
      <c r="J6480" s="7">
        <f>COUNTIF(Paper_Reference[Duplicate Key],Paper_Reference[[#This Row],[Duplicate Key]])</f>
        <v>1</v>
      </c>
    </row>
    <row r="6481" spans="1:10">
      <c r="A6481" s="7">
        <v>2</v>
      </c>
      <c r="B6481" s="8" t="s">
        <v>2991</v>
      </c>
      <c r="C6481" s="8" t="s">
        <v>2500</v>
      </c>
      <c r="D6481" s="7">
        <v>1</v>
      </c>
      <c r="E6481" s="7">
        <v>10</v>
      </c>
      <c r="F6481" s="7">
        <v>2</v>
      </c>
      <c r="G6481" s="8" t="s">
        <v>5690</v>
      </c>
      <c r="H6481" s="8" t="s">
        <v>5691</v>
      </c>
      <c r="I6481" s="7" t="str">
        <f>_xlfn.CONCAT(Paper_Reference[[#This Row],[Lvl]:[Paper Description]])</f>
        <v>2XJ8R1168SD500CCHMC G6 060 N1 60 X 1201102100DS009-6200FROSTY WHITE</v>
      </c>
      <c r="J6481" s="7">
        <f>COUNTIF(Paper_Reference[Duplicate Key],Paper_Reference[[#This Row],[Duplicate Key]])</f>
        <v>1</v>
      </c>
    </row>
    <row r="6482" spans="1:10">
      <c r="A6482" s="7">
        <v>2</v>
      </c>
      <c r="B6482" s="8" t="s">
        <v>2992</v>
      </c>
      <c r="C6482" s="8" t="s">
        <v>2501</v>
      </c>
      <c r="D6482" s="7">
        <v>1</v>
      </c>
      <c r="E6482" s="7">
        <v>10</v>
      </c>
      <c r="F6482" s="7">
        <v>1</v>
      </c>
      <c r="G6482" s="8" t="s">
        <v>2144</v>
      </c>
      <c r="H6482" s="8" t="s">
        <v>1242</v>
      </c>
      <c r="I6482" s="7" t="str">
        <f>_xlfn.CONCAT(Paper_Reference[[#This Row],[Lvl]:[Paper Description]])</f>
        <v>2XJ8R1169SD500CCHMC G6 060 N1 WP420C 60X120110110000020-6200Premium Inkjet MPK 9653</v>
      </c>
      <c r="J6482" s="7">
        <f>COUNTIF(Paper_Reference[Duplicate Key],Paper_Reference[[#This Row],[Duplicate Key]])</f>
        <v>1</v>
      </c>
    </row>
    <row r="6483" spans="1:10">
      <c r="A6483" s="7">
        <v>2</v>
      </c>
      <c r="B6483" s="8" t="s">
        <v>2992</v>
      </c>
      <c r="C6483" s="8" t="s">
        <v>2501</v>
      </c>
      <c r="D6483" s="7">
        <v>1</v>
      </c>
      <c r="E6483" s="7">
        <v>10</v>
      </c>
      <c r="F6483" s="7">
        <v>2</v>
      </c>
      <c r="G6483" s="8" t="s">
        <v>5690</v>
      </c>
      <c r="H6483" s="8" t="s">
        <v>5691</v>
      </c>
      <c r="I6483" s="7" t="str">
        <f>_xlfn.CONCAT(Paper_Reference[[#This Row],[Lvl]:[Paper Description]])</f>
        <v>2XJ8R1169SD500CCHMC G6 060 N1 WP420C 60X1201102100DS009-6200FROSTY WHITE</v>
      </c>
      <c r="J6483" s="7">
        <f>COUNTIF(Paper_Reference[Duplicate Key],Paper_Reference[[#This Row],[Duplicate Key]])</f>
        <v>1</v>
      </c>
    </row>
    <row r="6484" spans="1:10">
      <c r="A6484" s="7">
        <v>2</v>
      </c>
      <c r="B6484" s="8" t="s">
        <v>2993</v>
      </c>
      <c r="C6484" s="8" t="s">
        <v>2502</v>
      </c>
      <c r="D6484" s="7">
        <v>1</v>
      </c>
      <c r="E6484" s="7">
        <v>10</v>
      </c>
      <c r="F6484" s="7">
        <v>1</v>
      </c>
      <c r="G6484" s="8" t="s">
        <v>2144</v>
      </c>
      <c r="H6484" s="8" t="s">
        <v>1242</v>
      </c>
      <c r="I6484" s="7" t="str">
        <f>_xlfn.CONCAT(Paper_Reference[[#This Row],[Lvl]:[Paper Description]])</f>
        <v>2XJ8R1170SD500CCHMC G6 060 N2 60 X 120110110000020-6200Premium Inkjet MPK 9653</v>
      </c>
      <c r="J6484" s="7">
        <f>COUNTIF(Paper_Reference[Duplicate Key],Paper_Reference[[#This Row],[Duplicate Key]])</f>
        <v>1</v>
      </c>
    </row>
    <row r="6485" spans="1:10">
      <c r="A6485" s="7">
        <v>2</v>
      </c>
      <c r="B6485" s="8" t="s">
        <v>2993</v>
      </c>
      <c r="C6485" s="8" t="s">
        <v>2502</v>
      </c>
      <c r="D6485" s="7">
        <v>1</v>
      </c>
      <c r="E6485" s="7">
        <v>10</v>
      </c>
      <c r="F6485" s="7">
        <v>2</v>
      </c>
      <c r="G6485" s="8" t="s">
        <v>5690</v>
      </c>
      <c r="H6485" s="8" t="s">
        <v>5691</v>
      </c>
      <c r="I6485" s="7" t="str">
        <f>_xlfn.CONCAT(Paper_Reference[[#This Row],[Lvl]:[Paper Description]])</f>
        <v>2XJ8R1170SD500CCHMC G6 060 N2 60 X 1201102100DS009-6200FROSTY WHITE</v>
      </c>
      <c r="J6485" s="7">
        <f>COUNTIF(Paper_Reference[Duplicate Key],Paper_Reference[[#This Row],[Duplicate Key]])</f>
        <v>1</v>
      </c>
    </row>
    <row r="6486" spans="1:10">
      <c r="A6486" s="7">
        <v>2</v>
      </c>
      <c r="B6486" s="8" t="s">
        <v>2994</v>
      </c>
      <c r="C6486" s="8" t="s">
        <v>2503</v>
      </c>
      <c r="D6486" s="7">
        <v>1</v>
      </c>
      <c r="E6486" s="7">
        <v>10</v>
      </c>
      <c r="F6486" s="7">
        <v>1</v>
      </c>
      <c r="G6486" s="8" t="s">
        <v>2144</v>
      </c>
      <c r="H6486" s="8" t="s">
        <v>1242</v>
      </c>
      <c r="I6486" s="7" t="str">
        <f>_xlfn.CONCAT(Paper_Reference[[#This Row],[Lvl]:[Paper Description]])</f>
        <v>2XJ8R1171SD500CCHMC G6 060 W WP420F 60 X 120110110000020-6200Premium Inkjet MPK 9653</v>
      </c>
      <c r="J6486" s="7">
        <f>COUNTIF(Paper_Reference[Duplicate Key],Paper_Reference[[#This Row],[Duplicate Key]])</f>
        <v>1</v>
      </c>
    </row>
    <row r="6487" spans="1:10">
      <c r="A6487" s="7">
        <v>2</v>
      </c>
      <c r="B6487" s="8" t="s">
        <v>2994</v>
      </c>
      <c r="C6487" s="8" t="s">
        <v>2503</v>
      </c>
      <c r="D6487" s="7">
        <v>1</v>
      </c>
      <c r="E6487" s="7">
        <v>10</v>
      </c>
      <c r="F6487" s="7">
        <v>2</v>
      </c>
      <c r="G6487" s="8" t="s">
        <v>5690</v>
      </c>
      <c r="H6487" s="8" t="s">
        <v>5691</v>
      </c>
      <c r="I6487" s="7" t="str">
        <f>_xlfn.CONCAT(Paper_Reference[[#This Row],[Lvl]:[Paper Description]])</f>
        <v>2XJ8R1171SD500CCHMC G6 060 W WP420F 60 X 1201102100DS009-6200FROSTY WHITE</v>
      </c>
      <c r="J6487" s="7">
        <f>COUNTIF(Paper_Reference[Duplicate Key],Paper_Reference[[#This Row],[Duplicate Key]])</f>
        <v>1</v>
      </c>
    </row>
    <row r="6488" spans="1:10">
      <c r="A6488" s="7">
        <v>2</v>
      </c>
      <c r="B6488" s="8" t="s">
        <v>2995</v>
      </c>
      <c r="C6488" s="8" t="s">
        <v>2504</v>
      </c>
      <c r="D6488" s="7">
        <v>1</v>
      </c>
      <c r="E6488" s="7">
        <v>10</v>
      </c>
      <c r="F6488" s="7">
        <v>1</v>
      </c>
      <c r="G6488" s="8" t="s">
        <v>2144</v>
      </c>
      <c r="H6488" s="8" t="s">
        <v>1242</v>
      </c>
      <c r="I6488" s="7" t="str">
        <f>_xlfn.CONCAT(Paper_Reference[[#This Row],[Lvl]:[Paper Description]])</f>
        <v>2XJ8R1172SD500CCHMC G6 312 WP434 60 X 120110110000020-6200Premium Inkjet MPK 9653</v>
      </c>
      <c r="J6488" s="7">
        <f>COUNTIF(Paper_Reference[Duplicate Key],Paper_Reference[[#This Row],[Duplicate Key]])</f>
        <v>1</v>
      </c>
    </row>
    <row r="6489" spans="1:10">
      <c r="A6489" s="7">
        <v>2</v>
      </c>
      <c r="B6489" s="8" t="s">
        <v>2995</v>
      </c>
      <c r="C6489" s="8" t="s">
        <v>2504</v>
      </c>
      <c r="D6489" s="7">
        <v>1</v>
      </c>
      <c r="E6489" s="7">
        <v>10</v>
      </c>
      <c r="F6489" s="7">
        <v>2</v>
      </c>
      <c r="G6489" s="8" t="s">
        <v>5690</v>
      </c>
      <c r="H6489" s="8" t="s">
        <v>5691</v>
      </c>
      <c r="I6489" s="7" t="str">
        <f>_xlfn.CONCAT(Paper_Reference[[#This Row],[Lvl]:[Paper Description]])</f>
        <v>2XJ8R1172SD500CCHMC G6 312 WP434 60 X 1201102100DS009-6200FROSTY WHITE</v>
      </c>
      <c r="J6489" s="7">
        <f>COUNTIF(Paper_Reference[Duplicate Key],Paper_Reference[[#This Row],[Duplicate Key]])</f>
        <v>1</v>
      </c>
    </row>
    <row r="6490" spans="1:10">
      <c r="A6490" s="7">
        <v>2</v>
      </c>
      <c r="B6490" s="8" t="s">
        <v>2996</v>
      </c>
      <c r="C6490" s="8" t="s">
        <v>2505</v>
      </c>
      <c r="D6490" s="7">
        <v>1</v>
      </c>
      <c r="E6490" s="7">
        <v>10</v>
      </c>
      <c r="F6490" s="7">
        <v>1</v>
      </c>
      <c r="G6490" s="8" t="s">
        <v>2144</v>
      </c>
      <c r="H6490" s="8" t="s">
        <v>1242</v>
      </c>
      <c r="I6490" s="7" t="str">
        <f>_xlfn.CONCAT(Paper_Reference[[#This Row],[Lvl]:[Paper Description]])</f>
        <v>2XJ8R1173SD500CCHMC G6 316 WP434 60 X 120110110000020-6200Premium Inkjet MPK 9653</v>
      </c>
      <c r="J6490" s="7">
        <f>COUNTIF(Paper_Reference[Duplicate Key],Paper_Reference[[#This Row],[Duplicate Key]])</f>
        <v>1</v>
      </c>
    </row>
    <row r="6491" spans="1:10">
      <c r="A6491" s="7">
        <v>2</v>
      </c>
      <c r="B6491" s="8" t="s">
        <v>2996</v>
      </c>
      <c r="C6491" s="8" t="s">
        <v>2505</v>
      </c>
      <c r="D6491" s="7">
        <v>1</v>
      </c>
      <c r="E6491" s="7">
        <v>10</v>
      </c>
      <c r="F6491" s="7">
        <v>2</v>
      </c>
      <c r="G6491" s="8" t="s">
        <v>5690</v>
      </c>
      <c r="H6491" s="8" t="s">
        <v>5691</v>
      </c>
      <c r="I6491" s="7" t="str">
        <f>_xlfn.CONCAT(Paper_Reference[[#This Row],[Lvl]:[Paper Description]])</f>
        <v>2XJ8R1173SD500CCHMC G6 316 WP434 60 X 1201102100DS009-6200FROSTY WHITE</v>
      </c>
      <c r="J6491" s="7">
        <f>COUNTIF(Paper_Reference[Duplicate Key],Paper_Reference[[#This Row],[Duplicate Key]])</f>
        <v>1</v>
      </c>
    </row>
    <row r="6492" spans="1:10">
      <c r="A6492" s="7">
        <v>2</v>
      </c>
      <c r="B6492" s="8" t="s">
        <v>2997</v>
      </c>
      <c r="C6492" s="8" t="s">
        <v>2506</v>
      </c>
      <c r="D6492" s="7">
        <v>1</v>
      </c>
      <c r="E6492" s="7">
        <v>10</v>
      </c>
      <c r="F6492" s="7">
        <v>1</v>
      </c>
      <c r="G6492" s="8" t="s">
        <v>2144</v>
      </c>
      <c r="H6492" s="8" t="s">
        <v>1242</v>
      </c>
      <c r="I6492" s="7" t="str">
        <f>_xlfn.CONCAT(Paper_Reference[[#This Row],[Lvl]:[Paper Description]])</f>
        <v>2XJ8R1174SD500CCHMC G6 318 WP434 60 X 120110110000020-6200Premium Inkjet MPK 9653</v>
      </c>
      <c r="J6492" s="7">
        <f>COUNTIF(Paper_Reference[Duplicate Key],Paper_Reference[[#This Row],[Duplicate Key]])</f>
        <v>1</v>
      </c>
    </row>
    <row r="6493" spans="1:10">
      <c r="A6493" s="7">
        <v>2</v>
      </c>
      <c r="B6493" s="8" t="s">
        <v>2997</v>
      </c>
      <c r="C6493" s="8" t="s">
        <v>2506</v>
      </c>
      <c r="D6493" s="7">
        <v>1</v>
      </c>
      <c r="E6493" s="7">
        <v>10</v>
      </c>
      <c r="F6493" s="7">
        <v>2</v>
      </c>
      <c r="G6493" s="8" t="s">
        <v>5690</v>
      </c>
      <c r="H6493" s="8" t="s">
        <v>5691</v>
      </c>
      <c r="I6493" s="7" t="str">
        <f>_xlfn.CONCAT(Paper_Reference[[#This Row],[Lvl]:[Paper Description]])</f>
        <v>2XJ8R1174SD500CCHMC G6 318 WP434 60 X 1201102100DS009-6200FROSTY WHITE</v>
      </c>
      <c r="J6493" s="7">
        <f>COUNTIF(Paper_Reference[Duplicate Key],Paper_Reference[[#This Row],[Duplicate Key]])</f>
        <v>1</v>
      </c>
    </row>
    <row r="6494" spans="1:10">
      <c r="A6494" s="7">
        <v>2</v>
      </c>
      <c r="B6494" s="8" t="s">
        <v>2998</v>
      </c>
      <c r="C6494" s="8" t="s">
        <v>2507</v>
      </c>
      <c r="D6494" s="7">
        <v>1</v>
      </c>
      <c r="E6494" s="7">
        <v>10</v>
      </c>
      <c r="F6494" s="7">
        <v>1</v>
      </c>
      <c r="G6494" s="8" t="s">
        <v>2144</v>
      </c>
      <c r="H6494" s="8" t="s">
        <v>1242</v>
      </c>
      <c r="I6494" s="7" t="str">
        <f>_xlfn.CONCAT(Paper_Reference[[#This Row],[Lvl]:[Paper Description]])</f>
        <v>2XJ8R1175SD500CCHMC WP4-34 60 X 120110110000020-6200Premium Inkjet MPK 9653</v>
      </c>
      <c r="J6494" s="7">
        <f>COUNTIF(Paper_Reference[Duplicate Key],Paper_Reference[[#This Row],[Duplicate Key]])</f>
        <v>1</v>
      </c>
    </row>
    <row r="6495" spans="1:10">
      <c r="A6495" s="7">
        <v>2</v>
      </c>
      <c r="B6495" s="8" t="s">
        <v>2998</v>
      </c>
      <c r="C6495" s="8" t="s">
        <v>2507</v>
      </c>
      <c r="D6495" s="7">
        <v>1</v>
      </c>
      <c r="E6495" s="7">
        <v>10</v>
      </c>
      <c r="F6495" s="7">
        <v>2</v>
      </c>
      <c r="G6495" s="8" t="s">
        <v>5690</v>
      </c>
      <c r="H6495" s="8" t="s">
        <v>5691</v>
      </c>
      <c r="I6495" s="7" t="str">
        <f>_xlfn.CONCAT(Paper_Reference[[#This Row],[Lvl]:[Paper Description]])</f>
        <v>2XJ8R1175SD500CCHMC WP4-34 60 X 1201102100DS009-6200FROSTY WHITE</v>
      </c>
      <c r="J6495" s="7">
        <f>COUNTIF(Paper_Reference[Duplicate Key],Paper_Reference[[#This Row],[Duplicate Key]])</f>
        <v>1</v>
      </c>
    </row>
    <row r="6496" spans="1:10">
      <c r="A6496" s="7">
        <v>2</v>
      </c>
      <c r="B6496" s="8" t="s">
        <v>6708</v>
      </c>
      <c r="C6496" s="8" t="s">
        <v>6150</v>
      </c>
      <c r="D6496" s="7">
        <v>1</v>
      </c>
      <c r="E6496" s="7">
        <v>10</v>
      </c>
      <c r="F6496" s="7">
        <v>2</v>
      </c>
      <c r="G6496" s="8" t="s">
        <v>5690</v>
      </c>
      <c r="H6496" s="8" t="s">
        <v>5691</v>
      </c>
      <c r="I6496" s="7" t="str">
        <f>_xlfn.CONCAT(Paper_Reference[[#This Row],[Lvl]:[Paper Description]])</f>
        <v>2XJ8R1182SD500FRL SCH LEVEL 8 REPLACE 60X1201102100DS009-6200FROSTY WHITE</v>
      </c>
      <c r="J6496" s="7">
        <f>COUNTIF(Paper_Reference[Duplicate Key],Paper_Reference[[#This Row],[Duplicate Key]])</f>
        <v>1</v>
      </c>
    </row>
    <row r="6497" spans="1:10">
      <c r="A6497" s="7">
        <v>2</v>
      </c>
      <c r="B6497" s="8" t="s">
        <v>2999</v>
      </c>
      <c r="C6497" s="8" t="s">
        <v>2508</v>
      </c>
      <c r="D6497" s="7">
        <v>1</v>
      </c>
      <c r="E6497" s="7">
        <v>10</v>
      </c>
      <c r="F6497" s="7">
        <v>1</v>
      </c>
      <c r="G6497" s="8" t="s">
        <v>2144</v>
      </c>
      <c r="H6497" s="8" t="s">
        <v>1242</v>
      </c>
      <c r="I6497" s="7" t="str">
        <f>_xlfn.CONCAT(Paper_Reference[[#This Row],[Lvl]:[Paper Description]])</f>
        <v>2XJ8R1184SD580TSD PK8 CIRCULATION W 60 X 96110110000020-6200Premium Inkjet MPK 9653</v>
      </c>
      <c r="J6497" s="7">
        <f>COUNTIF(Paper_Reference[Duplicate Key],Paper_Reference[[#This Row],[Duplicate Key]])</f>
        <v>1</v>
      </c>
    </row>
    <row r="6498" spans="1:10">
      <c r="A6498" s="7">
        <v>2</v>
      </c>
      <c r="B6498" s="8" t="s">
        <v>2999</v>
      </c>
      <c r="C6498" s="8" t="s">
        <v>2508</v>
      </c>
      <c r="D6498" s="7">
        <v>1</v>
      </c>
      <c r="E6498" s="7">
        <v>10</v>
      </c>
      <c r="F6498" s="7">
        <v>2</v>
      </c>
      <c r="G6498" s="8" t="s">
        <v>5690</v>
      </c>
      <c r="H6498" s="8" t="s">
        <v>5691</v>
      </c>
      <c r="I6498" s="7" t="str">
        <f>_xlfn.CONCAT(Paper_Reference[[#This Row],[Lvl]:[Paper Description]])</f>
        <v>2XJ8R1184SD580TSD PK8 CIRCULATION W 60 X 961102100DS009-6200FROSTY WHITE</v>
      </c>
      <c r="J6498" s="7">
        <f>COUNTIF(Paper_Reference[Duplicate Key],Paper_Reference[[#This Row],[Duplicate Key]])</f>
        <v>1</v>
      </c>
    </row>
    <row r="6499" spans="1:10">
      <c r="A6499" s="7">
        <v>2</v>
      </c>
      <c r="B6499" s="8" t="s">
        <v>3000</v>
      </c>
      <c r="C6499" s="8" t="s">
        <v>2509</v>
      </c>
      <c r="D6499" s="7">
        <v>1</v>
      </c>
      <c r="E6499" s="7">
        <v>10</v>
      </c>
      <c r="F6499" s="7">
        <v>1</v>
      </c>
      <c r="G6499" s="8" t="s">
        <v>2144</v>
      </c>
      <c r="H6499" s="8" t="s">
        <v>1242</v>
      </c>
      <c r="I6499" s="7" t="str">
        <f>_xlfn.CONCAT(Paper_Reference[[#This Row],[Lvl]:[Paper Description]])</f>
        <v>2XJ8R1185SD500TSD PK8 ENTRY WAY 60 X 120110110000020-6200Premium Inkjet MPK 9653</v>
      </c>
      <c r="J6499" s="7">
        <f>COUNTIF(Paper_Reference[Duplicate Key],Paper_Reference[[#This Row],[Duplicate Key]])</f>
        <v>1</v>
      </c>
    </row>
    <row r="6500" spans="1:10">
      <c r="A6500" s="7">
        <v>2</v>
      </c>
      <c r="B6500" s="8" t="s">
        <v>3000</v>
      </c>
      <c r="C6500" s="8" t="s">
        <v>2509</v>
      </c>
      <c r="D6500" s="7">
        <v>1</v>
      </c>
      <c r="E6500" s="7">
        <v>10</v>
      </c>
      <c r="F6500" s="7">
        <v>2</v>
      </c>
      <c r="G6500" s="8" t="s">
        <v>5690</v>
      </c>
      <c r="H6500" s="8" t="s">
        <v>5691</v>
      </c>
      <c r="I6500" s="7" t="str">
        <f>_xlfn.CONCAT(Paper_Reference[[#This Row],[Lvl]:[Paper Description]])</f>
        <v>2XJ8R1185SD500TSD PK8 ENTRY WAY 60 X 1201102100DS009-6200FROSTY WHITE</v>
      </c>
      <c r="J6500" s="7">
        <f>COUNTIF(Paper_Reference[Duplicate Key],Paper_Reference[[#This Row],[Duplicate Key]])</f>
        <v>1</v>
      </c>
    </row>
    <row r="6501" spans="1:10">
      <c r="A6501" s="7">
        <v>2</v>
      </c>
      <c r="B6501" s="8" t="s">
        <v>3001</v>
      </c>
      <c r="C6501" s="8" t="s">
        <v>2510</v>
      </c>
      <c r="D6501" s="7">
        <v>1</v>
      </c>
      <c r="E6501" s="7">
        <v>10</v>
      </c>
      <c r="F6501" s="7">
        <v>1</v>
      </c>
      <c r="G6501" s="8" t="s">
        <v>2144</v>
      </c>
      <c r="H6501" s="8" t="s">
        <v>1242</v>
      </c>
      <c r="I6501" s="7" t="str">
        <f>_xlfn.CONCAT(Paper_Reference[[#This Row],[Lvl]:[Paper Description]])</f>
        <v>2XJ8R1186SD500TSD PK8 OSPREY WING 60 X 120110110000020-6200Premium Inkjet MPK 9653</v>
      </c>
      <c r="J6501" s="7">
        <f>COUNTIF(Paper_Reference[Duplicate Key],Paper_Reference[[#This Row],[Duplicate Key]])</f>
        <v>1</v>
      </c>
    </row>
    <row r="6502" spans="1:10">
      <c r="A6502" s="7">
        <v>2</v>
      </c>
      <c r="B6502" s="8" t="s">
        <v>3001</v>
      </c>
      <c r="C6502" s="8" t="s">
        <v>2510</v>
      </c>
      <c r="D6502" s="7">
        <v>1</v>
      </c>
      <c r="E6502" s="7">
        <v>10</v>
      </c>
      <c r="F6502" s="7">
        <v>2</v>
      </c>
      <c r="G6502" s="8" t="s">
        <v>5690</v>
      </c>
      <c r="H6502" s="8" t="s">
        <v>5691</v>
      </c>
      <c r="I6502" s="7" t="str">
        <f>_xlfn.CONCAT(Paper_Reference[[#This Row],[Lvl]:[Paper Description]])</f>
        <v>2XJ8R1186SD500TSD PK8 OSPREY WING 60 X 1201102100DS009-6200FROSTY WHITE</v>
      </c>
      <c r="J6502" s="7">
        <f>COUNTIF(Paper_Reference[Duplicate Key],Paper_Reference[[#This Row],[Duplicate Key]])</f>
        <v>1</v>
      </c>
    </row>
    <row r="6503" spans="1:10">
      <c r="A6503" s="7">
        <v>2</v>
      </c>
      <c r="B6503" s="8" t="s">
        <v>3002</v>
      </c>
      <c r="C6503" s="8" t="s">
        <v>2511</v>
      </c>
      <c r="D6503" s="7">
        <v>1</v>
      </c>
      <c r="E6503" s="7">
        <v>10</v>
      </c>
      <c r="F6503" s="7">
        <v>1</v>
      </c>
      <c r="G6503" s="8" t="s">
        <v>2144</v>
      </c>
      <c r="H6503" s="8" t="s">
        <v>1242</v>
      </c>
      <c r="I6503" s="7" t="str">
        <f>_xlfn.CONCAT(Paper_Reference[[#This Row],[Lvl]:[Paper Description]])</f>
        <v>2XJ8R1187SD500TSD PK8 FALCON WING 60 X 120110110000020-6200Premium Inkjet MPK 9653</v>
      </c>
      <c r="J6503" s="7">
        <f>COUNTIF(Paper_Reference[Duplicate Key],Paper_Reference[[#This Row],[Duplicate Key]])</f>
        <v>1</v>
      </c>
    </row>
    <row r="6504" spans="1:10">
      <c r="A6504" s="7">
        <v>2</v>
      </c>
      <c r="B6504" s="8" t="s">
        <v>3002</v>
      </c>
      <c r="C6504" s="8" t="s">
        <v>2511</v>
      </c>
      <c r="D6504" s="7">
        <v>1</v>
      </c>
      <c r="E6504" s="7">
        <v>10</v>
      </c>
      <c r="F6504" s="7">
        <v>2</v>
      </c>
      <c r="G6504" s="8" t="s">
        <v>5690</v>
      </c>
      <c r="H6504" s="8" t="s">
        <v>5691</v>
      </c>
      <c r="I6504" s="7" t="str">
        <f>_xlfn.CONCAT(Paper_Reference[[#This Row],[Lvl]:[Paper Description]])</f>
        <v>2XJ8R1187SD500TSD PK8 FALCON WING 60 X 1201102100DS009-6200FROSTY WHITE</v>
      </c>
      <c r="J6504" s="7">
        <f>COUNTIF(Paper_Reference[Duplicate Key],Paper_Reference[[#This Row],[Duplicate Key]])</f>
        <v>1</v>
      </c>
    </row>
    <row r="6505" spans="1:10">
      <c r="A6505" s="7">
        <v>2</v>
      </c>
      <c r="B6505" s="8" t="s">
        <v>3003</v>
      </c>
      <c r="C6505" s="8" t="s">
        <v>2512</v>
      </c>
      <c r="D6505" s="7">
        <v>1</v>
      </c>
      <c r="E6505" s="7">
        <v>10</v>
      </c>
      <c r="F6505" s="7">
        <v>1</v>
      </c>
      <c r="G6505" s="8" t="s">
        <v>2144</v>
      </c>
      <c r="H6505" s="8" t="s">
        <v>1242</v>
      </c>
      <c r="I6505" s="7" t="str">
        <f>_xlfn.CONCAT(Paper_Reference[[#This Row],[Lvl]:[Paper Description]])</f>
        <v>2XJ8R1188SD500TSD PK8 OWL WING 60 X 120110110000020-6200Premium Inkjet MPK 9653</v>
      </c>
      <c r="J6505" s="7">
        <f>COUNTIF(Paper_Reference[Duplicate Key],Paper_Reference[[#This Row],[Duplicate Key]])</f>
        <v>1</v>
      </c>
    </row>
    <row r="6506" spans="1:10">
      <c r="A6506" s="7">
        <v>2</v>
      </c>
      <c r="B6506" s="8" t="s">
        <v>3003</v>
      </c>
      <c r="C6506" s="8" t="s">
        <v>2512</v>
      </c>
      <c r="D6506" s="7">
        <v>1</v>
      </c>
      <c r="E6506" s="7">
        <v>10</v>
      </c>
      <c r="F6506" s="7">
        <v>2</v>
      </c>
      <c r="G6506" s="8" t="s">
        <v>5690</v>
      </c>
      <c r="H6506" s="8" t="s">
        <v>5691</v>
      </c>
      <c r="I6506" s="7" t="str">
        <f>_xlfn.CONCAT(Paper_Reference[[#This Row],[Lvl]:[Paper Description]])</f>
        <v>2XJ8R1188SD500TSD PK8 OWL WING 60 X 1201102100DS009-6200FROSTY WHITE</v>
      </c>
      <c r="J6506" s="7">
        <f>COUNTIF(Paper_Reference[Duplicate Key],Paper_Reference[[#This Row],[Duplicate Key]])</f>
        <v>1</v>
      </c>
    </row>
    <row r="6507" spans="1:10">
      <c r="A6507" s="7">
        <v>2</v>
      </c>
      <c r="B6507" s="8" t="s">
        <v>3004</v>
      </c>
      <c r="C6507" s="8" t="s">
        <v>2513</v>
      </c>
      <c r="D6507" s="7">
        <v>1</v>
      </c>
      <c r="E6507" s="7">
        <v>10</v>
      </c>
      <c r="F6507" s="7">
        <v>1</v>
      </c>
      <c r="G6507" s="8" t="s">
        <v>2144</v>
      </c>
      <c r="H6507" s="8" t="s">
        <v>1242</v>
      </c>
      <c r="I6507" s="7" t="str">
        <f>_xlfn.CONCAT(Paper_Reference[[#This Row],[Lvl]:[Paper Description]])</f>
        <v>2XJ8R1189SD500TSD PK8 HAWK-EAGLE WING 60X120110110000020-6200Premium Inkjet MPK 9653</v>
      </c>
      <c r="J6507" s="7">
        <f>COUNTIF(Paper_Reference[Duplicate Key],Paper_Reference[[#This Row],[Duplicate Key]])</f>
        <v>1</v>
      </c>
    </row>
    <row r="6508" spans="1:10">
      <c r="A6508" s="7">
        <v>2</v>
      </c>
      <c r="B6508" s="8" t="s">
        <v>3004</v>
      </c>
      <c r="C6508" s="8" t="s">
        <v>2513</v>
      </c>
      <c r="D6508" s="7">
        <v>1</v>
      </c>
      <c r="E6508" s="7">
        <v>10</v>
      </c>
      <c r="F6508" s="7">
        <v>2</v>
      </c>
      <c r="G6508" s="8" t="s">
        <v>5690</v>
      </c>
      <c r="H6508" s="8" t="s">
        <v>5691</v>
      </c>
      <c r="I6508" s="7" t="str">
        <f>_xlfn.CONCAT(Paper_Reference[[#This Row],[Lvl]:[Paper Description]])</f>
        <v>2XJ8R1189SD500TSD PK8 HAWK-EAGLE WING 60X1201102100DS009-6200FROSTY WHITE</v>
      </c>
      <c r="J6508" s="7">
        <f>COUNTIF(Paper_Reference[Duplicate Key],Paper_Reference[[#This Row],[Duplicate Key]])</f>
        <v>1</v>
      </c>
    </row>
    <row r="6509" spans="1:10">
      <c r="A6509" s="7">
        <v>2</v>
      </c>
      <c r="B6509" s="8" t="s">
        <v>3005</v>
      </c>
      <c r="C6509" s="8" t="s">
        <v>2514</v>
      </c>
      <c r="D6509" s="7">
        <v>1</v>
      </c>
      <c r="E6509" s="7">
        <v>10</v>
      </c>
      <c r="F6509" s="7">
        <v>1</v>
      </c>
      <c r="G6509" s="8" t="s">
        <v>2144</v>
      </c>
      <c r="H6509" s="8" t="s">
        <v>1242</v>
      </c>
      <c r="I6509" s="7" t="str">
        <f>_xlfn.CONCAT(Paper_Reference[[#This Row],[Lvl]:[Paper Description]])</f>
        <v>2XJ8R1190SD500TSD PK8 CIRCULATION N 60 X 120110110000020-6200Premium Inkjet MPK 9653</v>
      </c>
      <c r="J6509" s="7">
        <f>COUNTIF(Paper_Reference[Duplicate Key],Paper_Reference[[#This Row],[Duplicate Key]])</f>
        <v>1</v>
      </c>
    </row>
    <row r="6510" spans="1:10">
      <c r="A6510" s="7">
        <v>2</v>
      </c>
      <c r="B6510" s="8" t="s">
        <v>3005</v>
      </c>
      <c r="C6510" s="8" t="s">
        <v>2514</v>
      </c>
      <c r="D6510" s="7">
        <v>1</v>
      </c>
      <c r="E6510" s="7">
        <v>10</v>
      </c>
      <c r="F6510" s="7">
        <v>2</v>
      </c>
      <c r="G6510" s="8" t="s">
        <v>5690</v>
      </c>
      <c r="H6510" s="8" t="s">
        <v>5691</v>
      </c>
      <c r="I6510" s="7" t="str">
        <f>_xlfn.CONCAT(Paper_Reference[[#This Row],[Lvl]:[Paper Description]])</f>
        <v>2XJ8R1190SD500TSD PK8 CIRCULATION N 60 X 1201102100DS009-6200FROSTY WHITE</v>
      </c>
      <c r="J6510" s="7">
        <f>COUNTIF(Paper_Reference[Duplicate Key],Paper_Reference[[#This Row],[Duplicate Key]])</f>
        <v>1</v>
      </c>
    </row>
    <row r="6511" spans="1:10">
      <c r="A6511" s="7">
        <v>2</v>
      </c>
      <c r="B6511" s="8" t="s">
        <v>3006</v>
      </c>
      <c r="C6511" s="8" t="s">
        <v>2515</v>
      </c>
      <c r="D6511" s="7">
        <v>1</v>
      </c>
      <c r="E6511" s="7">
        <v>10</v>
      </c>
      <c r="F6511" s="7">
        <v>1</v>
      </c>
      <c r="G6511" s="8" t="s">
        <v>2144</v>
      </c>
      <c r="H6511" s="8" t="s">
        <v>1242</v>
      </c>
      <c r="I6511" s="7" t="str">
        <f>_xlfn.CONCAT(Paper_Reference[[#This Row],[Lvl]:[Paper Description]])</f>
        <v>2XJ8R1191SD500TSD PK8 LEARNING STAIR 60 X 12110110000020-6200Premium Inkjet MPK 9653</v>
      </c>
      <c r="J6511" s="7">
        <f>COUNTIF(Paper_Reference[Duplicate Key],Paper_Reference[[#This Row],[Duplicate Key]])</f>
        <v>1</v>
      </c>
    </row>
    <row r="6512" spans="1:10">
      <c r="A6512" s="7">
        <v>2</v>
      </c>
      <c r="B6512" s="8" t="s">
        <v>3006</v>
      </c>
      <c r="C6512" s="8" t="s">
        <v>2515</v>
      </c>
      <c r="D6512" s="7">
        <v>1</v>
      </c>
      <c r="E6512" s="7">
        <v>10</v>
      </c>
      <c r="F6512" s="7">
        <v>2</v>
      </c>
      <c r="G6512" s="8" t="s">
        <v>5690</v>
      </c>
      <c r="H6512" s="8" t="s">
        <v>5691</v>
      </c>
      <c r="I6512" s="7" t="str">
        <f>_xlfn.CONCAT(Paper_Reference[[#This Row],[Lvl]:[Paper Description]])</f>
        <v>2XJ8R1191SD500TSD PK8 LEARNING STAIR 60 X 121102100DS009-6200FROSTY WHITE</v>
      </c>
      <c r="J6512" s="7">
        <f>COUNTIF(Paper_Reference[Duplicate Key],Paper_Reference[[#This Row],[Duplicate Key]])</f>
        <v>1</v>
      </c>
    </row>
    <row r="6513" spans="1:10">
      <c r="A6513" s="7">
        <v>2</v>
      </c>
      <c r="B6513" s="8" t="s">
        <v>3007</v>
      </c>
      <c r="C6513" s="8" t="s">
        <v>2516</v>
      </c>
      <c r="D6513" s="7">
        <v>1</v>
      </c>
      <c r="E6513" s="7">
        <v>10</v>
      </c>
      <c r="F6513" s="7">
        <v>1</v>
      </c>
      <c r="G6513" s="8" t="s">
        <v>2144</v>
      </c>
      <c r="H6513" s="8" t="s">
        <v>1242</v>
      </c>
      <c r="I6513" s="7" t="str">
        <f>_xlfn.CONCAT(Paper_Reference[[#This Row],[Lvl]:[Paper Description]])</f>
        <v>2XJ8R1192SD500CCHMC WP4-1A 60 X 120110110000020-6200Premium Inkjet MPK 9653</v>
      </c>
      <c r="J6513" s="7">
        <f>COUNTIF(Paper_Reference[Duplicate Key],Paper_Reference[[#This Row],[Duplicate Key]])</f>
        <v>1</v>
      </c>
    </row>
    <row r="6514" spans="1:10">
      <c r="A6514" s="7">
        <v>2</v>
      </c>
      <c r="B6514" s="8" t="s">
        <v>3007</v>
      </c>
      <c r="C6514" s="8" t="s">
        <v>2516</v>
      </c>
      <c r="D6514" s="7">
        <v>1</v>
      </c>
      <c r="E6514" s="7">
        <v>10</v>
      </c>
      <c r="F6514" s="7">
        <v>2</v>
      </c>
      <c r="G6514" s="8" t="s">
        <v>5690</v>
      </c>
      <c r="H6514" s="8" t="s">
        <v>5691</v>
      </c>
      <c r="I6514" s="7" t="str">
        <f>_xlfn.CONCAT(Paper_Reference[[#This Row],[Lvl]:[Paper Description]])</f>
        <v>2XJ8R1192SD500CCHMC WP4-1A 60 X 1201102100DS009-6200FROSTY WHITE</v>
      </c>
      <c r="J6514" s="7">
        <f>COUNTIF(Paper_Reference[Duplicate Key],Paper_Reference[[#This Row],[Duplicate Key]])</f>
        <v>1</v>
      </c>
    </row>
    <row r="6515" spans="1:10">
      <c r="A6515" s="7">
        <v>2</v>
      </c>
      <c r="B6515" s="8" t="s">
        <v>3008</v>
      </c>
      <c r="C6515" s="8" t="s">
        <v>2517</v>
      </c>
      <c r="D6515" s="7">
        <v>1</v>
      </c>
      <c r="E6515" s="7">
        <v>10</v>
      </c>
      <c r="F6515" s="7">
        <v>1</v>
      </c>
      <c r="G6515" s="8" t="s">
        <v>2144</v>
      </c>
      <c r="H6515" s="8" t="s">
        <v>1242</v>
      </c>
      <c r="I6515" s="7" t="str">
        <f>_xlfn.CONCAT(Paper_Reference[[#This Row],[Lvl]:[Paper Description]])</f>
        <v>2XJ8R1193SD500CCHMC WP4-1B 60 X 120110110000020-6200Premium Inkjet MPK 9653</v>
      </c>
      <c r="J6515" s="7">
        <f>COUNTIF(Paper_Reference[Duplicate Key],Paper_Reference[[#This Row],[Duplicate Key]])</f>
        <v>1</v>
      </c>
    </row>
    <row r="6516" spans="1:10">
      <c r="A6516" s="7">
        <v>2</v>
      </c>
      <c r="B6516" s="8" t="s">
        <v>3008</v>
      </c>
      <c r="C6516" s="8" t="s">
        <v>2517</v>
      </c>
      <c r="D6516" s="7">
        <v>1</v>
      </c>
      <c r="E6516" s="7">
        <v>10</v>
      </c>
      <c r="F6516" s="7">
        <v>2</v>
      </c>
      <c r="G6516" s="8" t="s">
        <v>5690</v>
      </c>
      <c r="H6516" s="8" t="s">
        <v>5691</v>
      </c>
      <c r="I6516" s="7" t="str">
        <f>_xlfn.CONCAT(Paper_Reference[[#This Row],[Lvl]:[Paper Description]])</f>
        <v>2XJ8R1193SD500CCHMC WP4-1B 60 X 1201102100DS009-6200FROSTY WHITE</v>
      </c>
      <c r="J6516" s="7">
        <f>COUNTIF(Paper_Reference[Duplicate Key],Paper_Reference[[#This Row],[Duplicate Key]])</f>
        <v>1</v>
      </c>
    </row>
    <row r="6517" spans="1:10">
      <c r="A6517" s="7">
        <v>2</v>
      </c>
      <c r="B6517" s="8" t="s">
        <v>3009</v>
      </c>
      <c r="C6517" s="8" t="s">
        <v>2518</v>
      </c>
      <c r="D6517" s="7">
        <v>1</v>
      </c>
      <c r="E6517" s="7">
        <v>10</v>
      </c>
      <c r="F6517" s="7">
        <v>1</v>
      </c>
      <c r="G6517" s="8" t="s">
        <v>2144</v>
      </c>
      <c r="H6517" s="8" t="s">
        <v>1242</v>
      </c>
      <c r="I6517" s="7" t="str">
        <f>_xlfn.CONCAT(Paper_Reference[[#This Row],[Lvl]:[Paper Description]])</f>
        <v>2XJ8R1194SD500CCHMC WP4-1C 60 X 120110110000020-6200Premium Inkjet MPK 9653</v>
      </c>
      <c r="J6517" s="7">
        <f>COUNTIF(Paper_Reference[Duplicate Key],Paper_Reference[[#This Row],[Duplicate Key]])</f>
        <v>1</v>
      </c>
    </row>
    <row r="6518" spans="1:10">
      <c r="A6518" s="7">
        <v>2</v>
      </c>
      <c r="B6518" s="8" t="s">
        <v>3009</v>
      </c>
      <c r="C6518" s="8" t="s">
        <v>2518</v>
      </c>
      <c r="D6518" s="7">
        <v>1</v>
      </c>
      <c r="E6518" s="7">
        <v>10</v>
      </c>
      <c r="F6518" s="7">
        <v>2</v>
      </c>
      <c r="G6518" s="8" t="s">
        <v>5690</v>
      </c>
      <c r="H6518" s="8" t="s">
        <v>5691</v>
      </c>
      <c r="I6518" s="7" t="str">
        <f>_xlfn.CONCAT(Paper_Reference[[#This Row],[Lvl]:[Paper Description]])</f>
        <v>2XJ8R1194SD500CCHMC WP4-1C 60 X 1201102100DS009-6200FROSTY WHITE</v>
      </c>
      <c r="J6518" s="7">
        <f>COUNTIF(Paper_Reference[Duplicate Key],Paper_Reference[[#This Row],[Duplicate Key]])</f>
        <v>1</v>
      </c>
    </row>
    <row r="6519" spans="1:10">
      <c r="A6519" s="7">
        <v>2</v>
      </c>
      <c r="B6519" s="8" t="s">
        <v>3010</v>
      </c>
      <c r="C6519" s="8" t="s">
        <v>2519</v>
      </c>
      <c r="D6519" s="7">
        <v>1</v>
      </c>
      <c r="E6519" s="7">
        <v>10</v>
      </c>
      <c r="F6519" s="7">
        <v>1</v>
      </c>
      <c r="G6519" s="8" t="s">
        <v>2144</v>
      </c>
      <c r="H6519" s="8" t="s">
        <v>1242</v>
      </c>
      <c r="I6519" s="7" t="str">
        <f>_xlfn.CONCAT(Paper_Reference[[#This Row],[Lvl]:[Paper Description]])</f>
        <v>2XJ8R1195SD500CCHMC WP4-2A2B 60 X 120110110000020-6200Premium Inkjet MPK 9653</v>
      </c>
      <c r="J6519" s="7">
        <f>COUNTIF(Paper_Reference[Duplicate Key],Paper_Reference[[#This Row],[Duplicate Key]])</f>
        <v>1</v>
      </c>
    </row>
    <row r="6520" spans="1:10">
      <c r="A6520" s="7">
        <v>2</v>
      </c>
      <c r="B6520" s="8" t="s">
        <v>3010</v>
      </c>
      <c r="C6520" s="8" t="s">
        <v>2519</v>
      </c>
      <c r="D6520" s="7">
        <v>1</v>
      </c>
      <c r="E6520" s="7">
        <v>10</v>
      </c>
      <c r="F6520" s="7">
        <v>2</v>
      </c>
      <c r="G6520" s="8" t="s">
        <v>5690</v>
      </c>
      <c r="H6520" s="8" t="s">
        <v>5691</v>
      </c>
      <c r="I6520" s="7" t="str">
        <f>_xlfn.CONCAT(Paper_Reference[[#This Row],[Lvl]:[Paper Description]])</f>
        <v>2XJ8R1195SD500CCHMC WP4-2A2B 60 X 1201102100DS009-6200FROSTY WHITE</v>
      </c>
      <c r="J6520" s="7">
        <f>COUNTIF(Paper_Reference[Duplicate Key],Paper_Reference[[#This Row],[Duplicate Key]])</f>
        <v>1</v>
      </c>
    </row>
    <row r="6521" spans="1:10">
      <c r="A6521" s="7">
        <v>2</v>
      </c>
      <c r="B6521" s="8" t="s">
        <v>3011</v>
      </c>
      <c r="C6521" s="8" t="s">
        <v>2520</v>
      </c>
      <c r="D6521" s="7">
        <v>1</v>
      </c>
      <c r="E6521" s="7">
        <v>10</v>
      </c>
      <c r="F6521" s="7">
        <v>1</v>
      </c>
      <c r="G6521" s="8" t="s">
        <v>2144</v>
      </c>
      <c r="H6521" s="8" t="s">
        <v>1242</v>
      </c>
      <c r="I6521" s="7" t="str">
        <f>_xlfn.CONCAT(Paper_Reference[[#This Row],[Lvl]:[Paper Description]])</f>
        <v>2XJ8R1196SD500CCHMC WP4-31 60 X 120110110000020-6200Premium Inkjet MPK 9653</v>
      </c>
      <c r="J6521" s="7">
        <f>COUNTIF(Paper_Reference[Duplicate Key],Paper_Reference[[#This Row],[Duplicate Key]])</f>
        <v>1</v>
      </c>
    </row>
    <row r="6522" spans="1:10">
      <c r="A6522" s="7">
        <v>2</v>
      </c>
      <c r="B6522" s="8" t="s">
        <v>3011</v>
      </c>
      <c r="C6522" s="8" t="s">
        <v>2520</v>
      </c>
      <c r="D6522" s="7">
        <v>1</v>
      </c>
      <c r="E6522" s="7">
        <v>10</v>
      </c>
      <c r="F6522" s="7">
        <v>2</v>
      </c>
      <c r="G6522" s="8" t="s">
        <v>5690</v>
      </c>
      <c r="H6522" s="8" t="s">
        <v>5691</v>
      </c>
      <c r="I6522" s="7" t="str">
        <f>_xlfn.CONCAT(Paper_Reference[[#This Row],[Lvl]:[Paper Description]])</f>
        <v>2XJ8R1196SD500CCHMC WP4-31 60 X 1201102100DS009-6200FROSTY WHITE</v>
      </c>
      <c r="J6522" s="7">
        <f>COUNTIF(Paper_Reference[Duplicate Key],Paper_Reference[[#This Row],[Duplicate Key]])</f>
        <v>1</v>
      </c>
    </row>
    <row r="6523" spans="1:10">
      <c r="A6523" s="7">
        <v>2</v>
      </c>
      <c r="B6523" s="8" t="s">
        <v>3012</v>
      </c>
      <c r="C6523" s="8" t="s">
        <v>2521</v>
      </c>
      <c r="D6523" s="7">
        <v>1</v>
      </c>
      <c r="E6523" s="7">
        <v>10</v>
      </c>
      <c r="F6523" s="7">
        <v>1</v>
      </c>
      <c r="G6523" s="8" t="s">
        <v>2144</v>
      </c>
      <c r="H6523" s="8" t="s">
        <v>1242</v>
      </c>
      <c r="I6523" s="7" t="str">
        <f>_xlfn.CONCAT(Paper_Reference[[#This Row],[Lvl]:[Paper Description]])</f>
        <v>2XJ8R1197SD500CCHMC WP4-35A 60 X 120110110000020-6200Premium Inkjet MPK 9653</v>
      </c>
      <c r="J6523" s="7">
        <f>COUNTIF(Paper_Reference[Duplicate Key],Paper_Reference[[#This Row],[Duplicate Key]])</f>
        <v>1</v>
      </c>
    </row>
    <row r="6524" spans="1:10">
      <c r="A6524" s="7">
        <v>2</v>
      </c>
      <c r="B6524" s="8" t="s">
        <v>3012</v>
      </c>
      <c r="C6524" s="8" t="s">
        <v>2521</v>
      </c>
      <c r="D6524" s="7">
        <v>1</v>
      </c>
      <c r="E6524" s="7">
        <v>10</v>
      </c>
      <c r="F6524" s="7">
        <v>2</v>
      </c>
      <c r="G6524" s="8" t="s">
        <v>5690</v>
      </c>
      <c r="H6524" s="8" t="s">
        <v>5691</v>
      </c>
      <c r="I6524" s="7" t="str">
        <f>_xlfn.CONCAT(Paper_Reference[[#This Row],[Lvl]:[Paper Description]])</f>
        <v>2XJ8R1197SD500CCHMC WP4-35A 60 X 1201102100DS009-6200FROSTY WHITE</v>
      </c>
      <c r="J6524" s="7">
        <f>COUNTIF(Paper_Reference[Duplicate Key],Paper_Reference[[#This Row],[Duplicate Key]])</f>
        <v>1</v>
      </c>
    </row>
    <row r="6525" spans="1:10">
      <c r="A6525" s="7">
        <v>2</v>
      </c>
      <c r="B6525" s="8" t="s">
        <v>3013</v>
      </c>
      <c r="C6525" s="8" t="s">
        <v>2522</v>
      </c>
      <c r="D6525" s="7">
        <v>1</v>
      </c>
      <c r="E6525" s="7">
        <v>10</v>
      </c>
      <c r="F6525" s="7">
        <v>1</v>
      </c>
      <c r="G6525" s="8" t="s">
        <v>2144</v>
      </c>
      <c r="H6525" s="8" t="s">
        <v>1242</v>
      </c>
      <c r="I6525" s="7" t="str">
        <f>_xlfn.CONCAT(Paper_Reference[[#This Row],[Lvl]:[Paper Description]])</f>
        <v>2XJ8R1198SD500CCHMC WP4-35B 60 X 120110110000020-6200Premium Inkjet MPK 9653</v>
      </c>
      <c r="J6525" s="7">
        <f>COUNTIF(Paper_Reference[Duplicate Key],Paper_Reference[[#This Row],[Duplicate Key]])</f>
        <v>1</v>
      </c>
    </row>
    <row r="6526" spans="1:10">
      <c r="A6526" s="7">
        <v>2</v>
      </c>
      <c r="B6526" s="8" t="s">
        <v>3013</v>
      </c>
      <c r="C6526" s="8" t="s">
        <v>2522</v>
      </c>
      <c r="D6526" s="7">
        <v>1</v>
      </c>
      <c r="E6526" s="7">
        <v>10</v>
      </c>
      <c r="F6526" s="7">
        <v>2</v>
      </c>
      <c r="G6526" s="8" t="s">
        <v>5690</v>
      </c>
      <c r="H6526" s="8" t="s">
        <v>5691</v>
      </c>
      <c r="I6526" s="7" t="str">
        <f>_xlfn.CONCAT(Paper_Reference[[#This Row],[Lvl]:[Paper Description]])</f>
        <v>2XJ8R1198SD500CCHMC WP4-35B 60 X 1201102100DS009-6200FROSTY WHITE</v>
      </c>
      <c r="J6526" s="7">
        <f>COUNTIF(Paper_Reference[Duplicate Key],Paper_Reference[[#This Row],[Duplicate Key]])</f>
        <v>1</v>
      </c>
    </row>
    <row r="6527" spans="1:10">
      <c r="A6527" s="7">
        <v>2</v>
      </c>
      <c r="B6527" s="8" t="s">
        <v>3014</v>
      </c>
      <c r="C6527" s="8" t="s">
        <v>2523</v>
      </c>
      <c r="D6527" s="7">
        <v>1</v>
      </c>
      <c r="E6527" s="7">
        <v>10</v>
      </c>
      <c r="F6527" s="7">
        <v>1</v>
      </c>
      <c r="G6527" s="8" t="s">
        <v>2144</v>
      </c>
      <c r="H6527" s="8" t="s">
        <v>1242</v>
      </c>
      <c r="I6527" s="7" t="str">
        <f>_xlfn.CONCAT(Paper_Reference[[#This Row],[Lvl]:[Paper Description]])</f>
        <v>2XJ8R1199SD580CBPAMES MEDIA CENTER 60 X 96110110000020-6200Premium Inkjet MPK 9653</v>
      </c>
      <c r="J6527" s="7">
        <f>COUNTIF(Paper_Reference[Duplicate Key],Paper_Reference[[#This Row],[Duplicate Key]])</f>
        <v>1</v>
      </c>
    </row>
    <row r="6528" spans="1:10">
      <c r="A6528" s="7">
        <v>2</v>
      </c>
      <c r="B6528" s="8" t="s">
        <v>3014</v>
      </c>
      <c r="C6528" s="8" t="s">
        <v>2523</v>
      </c>
      <c r="D6528" s="7">
        <v>1</v>
      </c>
      <c r="E6528" s="7">
        <v>10</v>
      </c>
      <c r="F6528" s="7">
        <v>2</v>
      </c>
      <c r="G6528" s="8" t="s">
        <v>5690</v>
      </c>
      <c r="H6528" s="8" t="s">
        <v>5691</v>
      </c>
      <c r="I6528" s="7" t="str">
        <f>_xlfn.CONCAT(Paper_Reference[[#This Row],[Lvl]:[Paper Description]])</f>
        <v>2XJ8R1199SD580CBPAMES MEDIA CENTER 60 X 961102100DS009-6200FROSTY WHITE</v>
      </c>
      <c r="J6528" s="7">
        <f>COUNTIF(Paper_Reference[Duplicate Key],Paper_Reference[[#This Row],[Duplicate Key]])</f>
        <v>1</v>
      </c>
    </row>
    <row r="6529" spans="1:10">
      <c r="A6529" s="7">
        <v>2</v>
      </c>
      <c r="B6529" s="8" t="s">
        <v>3015</v>
      </c>
      <c r="C6529" s="8" t="s">
        <v>2524</v>
      </c>
      <c r="D6529" s="7">
        <v>1</v>
      </c>
      <c r="E6529" s="7">
        <v>10</v>
      </c>
      <c r="F6529" s="7">
        <v>1</v>
      </c>
      <c r="G6529" s="8" t="s">
        <v>2144</v>
      </c>
      <c r="H6529" s="8" t="s">
        <v>1242</v>
      </c>
      <c r="I6529" s="7" t="str">
        <f>_xlfn.CONCAT(Paper_Reference[[#This Row],[Lvl]:[Paper Description]])</f>
        <v>2XJ8R1204SD500CCHMC G4-050 EAST-03 REV 60X12110110000020-6200Premium Inkjet MPK 9653</v>
      </c>
      <c r="J6529" s="7">
        <f>COUNTIF(Paper_Reference[Duplicate Key],Paper_Reference[[#This Row],[Duplicate Key]])</f>
        <v>1</v>
      </c>
    </row>
    <row r="6530" spans="1:10">
      <c r="A6530" s="7">
        <v>2</v>
      </c>
      <c r="B6530" s="8" t="s">
        <v>3015</v>
      </c>
      <c r="C6530" s="8" t="s">
        <v>2524</v>
      </c>
      <c r="D6530" s="7">
        <v>1</v>
      </c>
      <c r="E6530" s="7">
        <v>10</v>
      </c>
      <c r="F6530" s="7">
        <v>2</v>
      </c>
      <c r="G6530" s="8" t="s">
        <v>5690</v>
      </c>
      <c r="H6530" s="8" t="s">
        <v>5691</v>
      </c>
      <c r="I6530" s="7" t="str">
        <f>_xlfn.CONCAT(Paper_Reference[[#This Row],[Lvl]:[Paper Description]])</f>
        <v>2XJ8R1204SD500CCHMC G4-050 EAST-03 REV 60X121102100DS009-6200FROSTY WHITE</v>
      </c>
      <c r="J6530" s="7">
        <f>COUNTIF(Paper_Reference[Duplicate Key],Paper_Reference[[#This Row],[Duplicate Key]])</f>
        <v>1</v>
      </c>
    </row>
    <row r="6531" spans="1:10">
      <c r="A6531" s="7">
        <v>2</v>
      </c>
      <c r="B6531" s="8" t="s">
        <v>3016</v>
      </c>
      <c r="C6531" s="8" t="s">
        <v>2525</v>
      </c>
      <c r="D6531" s="7">
        <v>1</v>
      </c>
      <c r="E6531" s="7">
        <v>10</v>
      </c>
      <c r="F6531" s="7">
        <v>1</v>
      </c>
      <c r="G6531" s="8" t="s">
        <v>2144</v>
      </c>
      <c r="H6531" s="8" t="s">
        <v>1242</v>
      </c>
      <c r="I6531" s="7" t="str">
        <f>_xlfn.CONCAT(Paper_Reference[[#This Row],[Lvl]:[Paper Description]])</f>
        <v>2XJ8R1213SD500SCH FOREST B L7A 60 X 120110110000020-6200Premium Inkjet MPK 9653</v>
      </c>
      <c r="J6531" s="7">
        <f>COUNTIF(Paper_Reference[Duplicate Key],Paper_Reference[[#This Row],[Duplicate Key]])</f>
        <v>1</v>
      </c>
    </row>
    <row r="6532" spans="1:10">
      <c r="A6532" s="7">
        <v>2</v>
      </c>
      <c r="B6532" s="8" t="s">
        <v>3016</v>
      </c>
      <c r="C6532" s="8" t="s">
        <v>2525</v>
      </c>
      <c r="D6532" s="7">
        <v>1</v>
      </c>
      <c r="E6532" s="7">
        <v>10</v>
      </c>
      <c r="F6532" s="7">
        <v>2</v>
      </c>
      <c r="G6532" s="8" t="s">
        <v>5690</v>
      </c>
      <c r="H6532" s="8" t="s">
        <v>5691</v>
      </c>
      <c r="I6532" s="7" t="str">
        <f>_xlfn.CONCAT(Paper_Reference[[#This Row],[Lvl]:[Paper Description]])</f>
        <v>2XJ8R1213SD500SCH FOREST B L7A 60 X 1201102100DS009-6200FROSTY WHITE</v>
      </c>
      <c r="J6532" s="7">
        <f>COUNTIF(Paper_Reference[Duplicate Key],Paper_Reference[[#This Row],[Duplicate Key]])</f>
        <v>1</v>
      </c>
    </row>
    <row r="6533" spans="1:10">
      <c r="A6533" s="7">
        <v>2</v>
      </c>
      <c r="B6533" s="8" t="s">
        <v>3017</v>
      </c>
      <c r="C6533" s="8" t="s">
        <v>2526</v>
      </c>
      <c r="D6533" s="7">
        <v>1</v>
      </c>
      <c r="E6533" s="7">
        <v>10</v>
      </c>
      <c r="F6533" s="7">
        <v>1</v>
      </c>
      <c r="G6533" s="8" t="s">
        <v>2144</v>
      </c>
      <c r="H6533" s="8" t="s">
        <v>1242</v>
      </c>
      <c r="I6533" s="7" t="str">
        <f>_xlfn.CONCAT(Paper_Reference[[#This Row],[Lvl]:[Paper Description]])</f>
        <v>2XJ8R1218SD500FAIRFIELD CULINARY ARTS 60X120110110000020-6200Premium Inkjet MPK 9653</v>
      </c>
      <c r="J6533" s="7">
        <f>COUNTIF(Paper_Reference[Duplicate Key],Paper_Reference[[#This Row],[Duplicate Key]])</f>
        <v>1</v>
      </c>
    </row>
    <row r="6534" spans="1:10">
      <c r="A6534" s="7">
        <v>2</v>
      </c>
      <c r="B6534" s="8" t="s">
        <v>3017</v>
      </c>
      <c r="C6534" s="8" t="s">
        <v>2526</v>
      </c>
      <c r="D6534" s="7">
        <v>1</v>
      </c>
      <c r="E6534" s="7">
        <v>10</v>
      </c>
      <c r="F6534" s="7">
        <v>2</v>
      </c>
      <c r="G6534" s="8" t="s">
        <v>5690</v>
      </c>
      <c r="H6534" s="8" t="s">
        <v>5691</v>
      </c>
      <c r="I6534" s="7" t="str">
        <f>_xlfn.CONCAT(Paper_Reference[[#This Row],[Lvl]:[Paper Description]])</f>
        <v>2XJ8R1218SD500FAIRFIELD CULINARY ARTS 60X1201102100DS009-6200FROSTY WHITE</v>
      </c>
      <c r="J6534" s="7">
        <f>COUNTIF(Paper_Reference[Duplicate Key],Paper_Reference[[#This Row],[Duplicate Key]])</f>
        <v>1</v>
      </c>
    </row>
    <row r="6535" spans="1:10">
      <c r="A6535" s="7">
        <v>2</v>
      </c>
      <c r="B6535" s="8" t="s">
        <v>3018</v>
      </c>
      <c r="C6535" s="8" t="s">
        <v>2527</v>
      </c>
      <c r="D6535" s="7">
        <v>1</v>
      </c>
      <c r="E6535" s="7">
        <v>10</v>
      </c>
      <c r="F6535" s="7">
        <v>1</v>
      </c>
      <c r="G6535" s="8" t="s">
        <v>2144</v>
      </c>
      <c r="H6535" s="8" t="s">
        <v>1242</v>
      </c>
      <c r="I6535" s="7" t="str">
        <f>_xlfn.CONCAT(Paper_Reference[[#This Row],[Lvl]:[Paper Description]])</f>
        <v>2XJ8R1225SD500TSD PK8 WING TYPE 60 X 120110110000020-6200Premium Inkjet MPK 9653</v>
      </c>
      <c r="J6535" s="7">
        <f>COUNTIF(Paper_Reference[Duplicate Key],Paper_Reference[[#This Row],[Duplicate Key]])</f>
        <v>1</v>
      </c>
    </row>
    <row r="6536" spans="1:10">
      <c r="A6536" s="7">
        <v>2</v>
      </c>
      <c r="B6536" s="8" t="s">
        <v>3018</v>
      </c>
      <c r="C6536" s="8" t="s">
        <v>2527</v>
      </c>
      <c r="D6536" s="7">
        <v>1</v>
      </c>
      <c r="E6536" s="7">
        <v>10</v>
      </c>
      <c r="F6536" s="7">
        <v>2</v>
      </c>
      <c r="G6536" s="8" t="s">
        <v>5690</v>
      </c>
      <c r="H6536" s="8" t="s">
        <v>5691</v>
      </c>
      <c r="I6536" s="7" t="str">
        <f>_xlfn.CONCAT(Paper_Reference[[#This Row],[Lvl]:[Paper Description]])</f>
        <v>2XJ8R1225SD500TSD PK8 WING TYPE 60 X 1201102100DS009-6200FROSTY WHITE</v>
      </c>
      <c r="J6536" s="7">
        <f>COUNTIF(Paper_Reference[Duplicate Key],Paper_Reference[[#This Row],[Duplicate Key]])</f>
        <v>1</v>
      </c>
    </row>
    <row r="6537" spans="1:10">
      <c r="A6537" s="7">
        <v>2</v>
      </c>
      <c r="B6537" s="8" t="s">
        <v>3019</v>
      </c>
      <c r="C6537" s="8" t="s">
        <v>2528</v>
      </c>
      <c r="D6537" s="7">
        <v>1</v>
      </c>
      <c r="E6537" s="7">
        <v>10</v>
      </c>
      <c r="F6537" s="7">
        <v>1</v>
      </c>
      <c r="G6537" s="8" t="s">
        <v>2144</v>
      </c>
      <c r="H6537" s="8" t="s">
        <v>1242</v>
      </c>
      <c r="I6537" s="7" t="str">
        <f>_xlfn.CONCAT(Paper_Reference[[#This Row],[Lvl]:[Paper Description]])</f>
        <v>2XJ8R1226SD500SCH FOREST B L8A TRANS 60X120110110000020-6200Premium Inkjet MPK 9653</v>
      </c>
      <c r="J6537" s="7">
        <f>COUNTIF(Paper_Reference[Duplicate Key],Paper_Reference[[#This Row],[Duplicate Key]])</f>
        <v>1</v>
      </c>
    </row>
    <row r="6538" spans="1:10">
      <c r="A6538" s="7">
        <v>2</v>
      </c>
      <c r="B6538" s="8" t="s">
        <v>3019</v>
      </c>
      <c r="C6538" s="8" t="s">
        <v>2528</v>
      </c>
      <c r="D6538" s="7">
        <v>1</v>
      </c>
      <c r="E6538" s="7">
        <v>10</v>
      </c>
      <c r="F6538" s="7">
        <v>2</v>
      </c>
      <c r="G6538" s="8" t="s">
        <v>5690</v>
      </c>
      <c r="H6538" s="8" t="s">
        <v>5691</v>
      </c>
      <c r="I6538" s="7" t="str">
        <f>_xlfn.CONCAT(Paper_Reference[[#This Row],[Lvl]:[Paper Description]])</f>
        <v>2XJ8R1226SD500SCH FOREST B L8A TRANS 60X1201102100DS009-6200FROSTY WHITE</v>
      </c>
      <c r="J6538" s="7">
        <f>COUNTIF(Paper_Reference[Duplicate Key],Paper_Reference[[#This Row],[Duplicate Key]])</f>
        <v>1</v>
      </c>
    </row>
    <row r="6539" spans="1:10">
      <c r="A6539" s="7">
        <v>2</v>
      </c>
      <c r="B6539" s="8" t="s">
        <v>2103</v>
      </c>
      <c r="C6539" s="8" t="s">
        <v>1622</v>
      </c>
      <c r="D6539" s="7">
        <v>1</v>
      </c>
      <c r="E6539" s="7">
        <v>10</v>
      </c>
      <c r="F6539" s="7">
        <v>1</v>
      </c>
      <c r="G6539" s="8" t="s">
        <v>1241</v>
      </c>
      <c r="H6539" s="8" t="s">
        <v>1242</v>
      </c>
      <c r="I6539" s="7" t="str">
        <f>_xlfn.CONCAT(Paper_Reference[[#This Row],[Lvl]:[Paper Description]])</f>
        <v>2XJ8R1227SD400BAYSTATE QUEENS WIL #4 48X120110110000020-5000Premium Inkjet MPK 9653</v>
      </c>
      <c r="J6539" s="7">
        <f>COUNTIF(Paper_Reference[Duplicate Key],Paper_Reference[[#This Row],[Duplicate Key]])</f>
        <v>1</v>
      </c>
    </row>
    <row r="6540" spans="1:10">
      <c r="A6540" s="7">
        <v>2</v>
      </c>
      <c r="B6540" s="8" t="s">
        <v>2103</v>
      </c>
      <c r="C6540" s="8" t="s">
        <v>1622</v>
      </c>
      <c r="D6540" s="7">
        <v>1</v>
      </c>
      <c r="E6540" s="7">
        <v>10</v>
      </c>
      <c r="F6540" s="7">
        <v>2</v>
      </c>
      <c r="G6540" s="8" t="s">
        <v>6710</v>
      </c>
      <c r="H6540" s="8" t="s">
        <v>5691</v>
      </c>
      <c r="I6540" s="7" t="str">
        <f>_xlfn.CONCAT(Paper_Reference[[#This Row],[Lvl]:[Paper Description]])</f>
        <v>2XJ8R1227SD400BAYSTATE QUEENS WIL #4 48X1201102100DS009-5000FROSTY WHITE</v>
      </c>
      <c r="J6540" s="7">
        <f>COUNTIF(Paper_Reference[Duplicate Key],Paper_Reference[[#This Row],[Duplicate Key]])</f>
        <v>1</v>
      </c>
    </row>
    <row r="6541" spans="1:10">
      <c r="A6541" s="7">
        <v>2</v>
      </c>
      <c r="B6541" s="8" t="s">
        <v>2104</v>
      </c>
      <c r="C6541" s="8" t="s">
        <v>1623</v>
      </c>
      <c r="D6541" s="7">
        <v>1</v>
      </c>
      <c r="E6541" s="7">
        <v>10</v>
      </c>
      <c r="F6541" s="7">
        <v>1</v>
      </c>
      <c r="G6541" s="8" t="s">
        <v>1241</v>
      </c>
      <c r="H6541" s="8" t="s">
        <v>1242</v>
      </c>
      <c r="I6541" s="7" t="str">
        <f>_xlfn.CONCAT(Paper_Reference[[#This Row],[Lvl]:[Paper Description]])</f>
        <v>2XJ8R1227SD480BAYSTATE QUEENS WIL #4 48X96110110000020-5000Premium Inkjet MPK 9653</v>
      </c>
      <c r="J6541" s="7">
        <f>COUNTIF(Paper_Reference[Duplicate Key],Paper_Reference[[#This Row],[Duplicate Key]])</f>
        <v>1</v>
      </c>
    </row>
    <row r="6542" spans="1:10">
      <c r="A6542" s="7">
        <v>2</v>
      </c>
      <c r="B6542" s="8" t="s">
        <v>2104</v>
      </c>
      <c r="C6542" s="8" t="s">
        <v>1623</v>
      </c>
      <c r="D6542" s="7">
        <v>1</v>
      </c>
      <c r="E6542" s="7">
        <v>10</v>
      </c>
      <c r="F6542" s="7">
        <v>2</v>
      </c>
      <c r="G6542" s="8" t="s">
        <v>6710</v>
      </c>
      <c r="H6542" s="8" t="s">
        <v>5691</v>
      </c>
      <c r="I6542" s="7" t="str">
        <f>_xlfn.CONCAT(Paper_Reference[[#This Row],[Lvl]:[Paper Description]])</f>
        <v>2XJ8R1227SD480BAYSTATE QUEENS WIL #4 48X961102100DS009-5000FROSTY WHITE</v>
      </c>
      <c r="J6542" s="7">
        <f>COUNTIF(Paper_Reference[Duplicate Key],Paper_Reference[[#This Row],[Duplicate Key]])</f>
        <v>1</v>
      </c>
    </row>
    <row r="6543" spans="1:10">
      <c r="A6543" s="7">
        <v>2</v>
      </c>
      <c r="B6543" s="8" t="s">
        <v>3020</v>
      </c>
      <c r="C6543" s="8" t="s">
        <v>2529</v>
      </c>
      <c r="D6543" s="7">
        <v>1</v>
      </c>
      <c r="E6543" s="7">
        <v>10</v>
      </c>
      <c r="F6543" s="7">
        <v>1</v>
      </c>
      <c r="G6543" s="8" t="s">
        <v>2144</v>
      </c>
      <c r="H6543" s="8" t="s">
        <v>1242</v>
      </c>
      <c r="I6543" s="7" t="str">
        <f>_xlfn.CONCAT(Paper_Reference[[#This Row],[Lvl]:[Paper Description]])</f>
        <v>2XJ8R1227SD500BAYSTATE QUEENS WIL #4 60X120110110000020-6200Premium Inkjet MPK 9653</v>
      </c>
      <c r="J6543" s="7">
        <f>COUNTIF(Paper_Reference[Duplicate Key],Paper_Reference[[#This Row],[Duplicate Key]])</f>
        <v>1</v>
      </c>
    </row>
    <row r="6544" spans="1:10">
      <c r="A6544" s="7">
        <v>2</v>
      </c>
      <c r="B6544" s="8" t="s">
        <v>3020</v>
      </c>
      <c r="C6544" s="8" t="s">
        <v>2529</v>
      </c>
      <c r="D6544" s="7">
        <v>1</v>
      </c>
      <c r="E6544" s="7">
        <v>10</v>
      </c>
      <c r="F6544" s="7">
        <v>2</v>
      </c>
      <c r="G6544" s="8" t="s">
        <v>5690</v>
      </c>
      <c r="H6544" s="8" t="s">
        <v>5691</v>
      </c>
      <c r="I6544" s="7" t="str">
        <f>_xlfn.CONCAT(Paper_Reference[[#This Row],[Lvl]:[Paper Description]])</f>
        <v>2XJ8R1227SD500BAYSTATE QUEENS WIL #4 60X1201102100DS009-6200FROSTY WHITE</v>
      </c>
      <c r="J6544" s="7">
        <f>COUNTIF(Paper_Reference[Duplicate Key],Paper_Reference[[#This Row],[Duplicate Key]])</f>
        <v>1</v>
      </c>
    </row>
    <row r="6545" spans="1:10">
      <c r="A6545" s="7">
        <v>2</v>
      </c>
      <c r="B6545" s="8" t="s">
        <v>3021</v>
      </c>
      <c r="C6545" s="8" t="s">
        <v>2530</v>
      </c>
      <c r="D6545" s="7">
        <v>1</v>
      </c>
      <c r="E6545" s="7">
        <v>10</v>
      </c>
      <c r="F6545" s="7">
        <v>1</v>
      </c>
      <c r="G6545" s="8" t="s">
        <v>2144</v>
      </c>
      <c r="H6545" s="8" t="s">
        <v>1242</v>
      </c>
      <c r="I6545" s="7" t="str">
        <f>_xlfn.CONCAT(Paper_Reference[[#This Row],[Lvl]:[Paper Description]])</f>
        <v>2XJ8R1227SD580BAYSTATE QUEENS WIL #4 60X96110110000020-6200Premium Inkjet MPK 9653</v>
      </c>
      <c r="J6545" s="7">
        <f>COUNTIF(Paper_Reference[Duplicate Key],Paper_Reference[[#This Row],[Duplicate Key]])</f>
        <v>1</v>
      </c>
    </row>
    <row r="6546" spans="1:10">
      <c r="A6546" s="7">
        <v>2</v>
      </c>
      <c r="B6546" s="8" t="s">
        <v>3021</v>
      </c>
      <c r="C6546" s="8" t="s">
        <v>2530</v>
      </c>
      <c r="D6546" s="7">
        <v>1</v>
      </c>
      <c r="E6546" s="7">
        <v>10</v>
      </c>
      <c r="F6546" s="7">
        <v>2</v>
      </c>
      <c r="G6546" s="8" t="s">
        <v>5690</v>
      </c>
      <c r="H6546" s="8" t="s">
        <v>5691</v>
      </c>
      <c r="I6546" s="7" t="str">
        <f>_xlfn.CONCAT(Paper_Reference[[#This Row],[Lvl]:[Paper Description]])</f>
        <v>2XJ8R1227SD580BAYSTATE QUEENS WIL #4 60X961102100DS009-6200FROSTY WHITE</v>
      </c>
      <c r="J6546" s="7">
        <f>COUNTIF(Paper_Reference[Duplicate Key],Paper_Reference[[#This Row],[Duplicate Key]])</f>
        <v>1</v>
      </c>
    </row>
    <row r="6547" spans="1:10">
      <c r="A6547" s="7">
        <v>2</v>
      </c>
      <c r="B6547" s="8" t="s">
        <v>3022</v>
      </c>
      <c r="C6547" s="8" t="s">
        <v>2531</v>
      </c>
      <c r="D6547" s="7">
        <v>1</v>
      </c>
      <c r="E6547" s="7">
        <v>10</v>
      </c>
      <c r="F6547" s="7">
        <v>1</v>
      </c>
      <c r="G6547" s="8" t="s">
        <v>2144</v>
      </c>
      <c r="H6547" s="8" t="s">
        <v>1242</v>
      </c>
      <c r="I6547" s="7" t="str">
        <f>_xlfn.CONCAT(Paper_Reference[[#This Row],[Lvl]:[Paper Description]])</f>
        <v>2XJ8R1230SD580DEL CAMPO STAIR 1 60 X 96110110000020-6200Premium Inkjet MPK 9653</v>
      </c>
      <c r="J6547" s="7">
        <f>COUNTIF(Paper_Reference[Duplicate Key],Paper_Reference[[#This Row],[Duplicate Key]])</f>
        <v>1</v>
      </c>
    </row>
    <row r="6548" spans="1:10">
      <c r="A6548" s="7">
        <v>2</v>
      </c>
      <c r="B6548" s="8" t="s">
        <v>3022</v>
      </c>
      <c r="C6548" s="8" t="s">
        <v>2531</v>
      </c>
      <c r="D6548" s="7">
        <v>1</v>
      </c>
      <c r="E6548" s="7">
        <v>10</v>
      </c>
      <c r="F6548" s="7">
        <v>2</v>
      </c>
      <c r="G6548" s="8" t="s">
        <v>5690</v>
      </c>
      <c r="H6548" s="8" t="s">
        <v>5691</v>
      </c>
      <c r="I6548" s="7" t="str">
        <f>_xlfn.CONCAT(Paper_Reference[[#This Row],[Lvl]:[Paper Description]])</f>
        <v>2XJ8R1230SD580DEL CAMPO STAIR 1 60 X 961102100DS009-6200FROSTY WHITE</v>
      </c>
      <c r="J6548" s="7">
        <f>COUNTIF(Paper_Reference[Duplicate Key],Paper_Reference[[#This Row],[Duplicate Key]])</f>
        <v>1</v>
      </c>
    </row>
    <row r="6549" spans="1:10">
      <c r="A6549" s="7">
        <v>2</v>
      </c>
      <c r="B6549" s="8" t="s">
        <v>3023</v>
      </c>
      <c r="C6549" s="8" t="s">
        <v>2532</v>
      </c>
      <c r="D6549" s="7">
        <v>1</v>
      </c>
      <c r="E6549" s="7">
        <v>10</v>
      </c>
      <c r="F6549" s="7">
        <v>1</v>
      </c>
      <c r="G6549" s="8" t="s">
        <v>2144</v>
      </c>
      <c r="H6549" s="8" t="s">
        <v>1242</v>
      </c>
      <c r="I6549" s="7" t="str">
        <f>_xlfn.CONCAT(Paper_Reference[[#This Row],[Lvl]:[Paper Description]])</f>
        <v>2XJ8R1231SD500DEL CAMPO STAIR 3 60 X 120110110000020-6200Premium Inkjet MPK 9653</v>
      </c>
      <c r="J6549" s="7">
        <f>COUNTIF(Paper_Reference[Duplicate Key],Paper_Reference[[#This Row],[Duplicate Key]])</f>
        <v>1</v>
      </c>
    </row>
    <row r="6550" spans="1:10">
      <c r="A6550" s="7">
        <v>2</v>
      </c>
      <c r="B6550" s="8" t="s">
        <v>3023</v>
      </c>
      <c r="C6550" s="8" t="s">
        <v>2532</v>
      </c>
      <c r="D6550" s="7">
        <v>1</v>
      </c>
      <c r="E6550" s="7">
        <v>10</v>
      </c>
      <c r="F6550" s="7">
        <v>2</v>
      </c>
      <c r="G6550" s="8" t="s">
        <v>5690</v>
      </c>
      <c r="H6550" s="8" t="s">
        <v>5691</v>
      </c>
      <c r="I6550" s="7" t="str">
        <f>_xlfn.CONCAT(Paper_Reference[[#This Row],[Lvl]:[Paper Description]])</f>
        <v>2XJ8R1231SD500DEL CAMPO STAIR 3 60 X 1201102100DS009-6200FROSTY WHITE</v>
      </c>
      <c r="J6550" s="7">
        <f>COUNTIF(Paper_Reference[Duplicate Key],Paper_Reference[[#This Row],[Duplicate Key]])</f>
        <v>1</v>
      </c>
    </row>
    <row r="6551" spans="1:10">
      <c r="A6551" s="7">
        <v>2</v>
      </c>
      <c r="B6551" s="8" t="s">
        <v>2105</v>
      </c>
      <c r="C6551" s="8" t="s">
        <v>1624</v>
      </c>
      <c r="D6551" s="7">
        <v>1</v>
      </c>
      <c r="E6551" s="7">
        <v>10</v>
      </c>
      <c r="F6551" s="7">
        <v>1</v>
      </c>
      <c r="G6551" s="8" t="s">
        <v>1241</v>
      </c>
      <c r="H6551" s="8" t="s">
        <v>1242</v>
      </c>
      <c r="I6551" s="7" t="str">
        <f>_xlfn.CONCAT(Paper_Reference[[#This Row],[Lvl]:[Paper Description]])</f>
        <v>2XJ8R1235SD480JURAVINSKI WEB FALLS 48 X 96110110000020-5000Premium Inkjet MPK 9653</v>
      </c>
      <c r="J6551" s="7">
        <f>COUNTIF(Paper_Reference[Duplicate Key],Paper_Reference[[#This Row],[Duplicate Key]])</f>
        <v>1</v>
      </c>
    </row>
    <row r="6552" spans="1:10">
      <c r="A6552" s="7">
        <v>2</v>
      </c>
      <c r="B6552" s="8" t="s">
        <v>2105</v>
      </c>
      <c r="C6552" s="8" t="s">
        <v>1624</v>
      </c>
      <c r="D6552" s="7">
        <v>1</v>
      </c>
      <c r="E6552" s="7">
        <v>10</v>
      </c>
      <c r="F6552" s="7">
        <v>2</v>
      </c>
      <c r="G6552" s="8" t="s">
        <v>6710</v>
      </c>
      <c r="H6552" s="8" t="s">
        <v>5691</v>
      </c>
      <c r="I6552" s="7" t="str">
        <f>_xlfn.CONCAT(Paper_Reference[[#This Row],[Lvl]:[Paper Description]])</f>
        <v>2XJ8R1235SD480JURAVINSKI WEB FALLS 48 X 961102100DS009-5000FROSTY WHITE</v>
      </c>
      <c r="J6552" s="7">
        <f>COUNTIF(Paper_Reference[Duplicate Key],Paper_Reference[[#This Row],[Duplicate Key]])</f>
        <v>1</v>
      </c>
    </row>
    <row r="6553" spans="1:10">
      <c r="A6553" s="7">
        <v>2</v>
      </c>
      <c r="B6553" s="8" t="s">
        <v>2106</v>
      </c>
      <c r="C6553" s="8" t="s">
        <v>1625</v>
      </c>
      <c r="D6553" s="7">
        <v>1</v>
      </c>
      <c r="E6553" s="7">
        <v>10</v>
      </c>
      <c r="F6553" s="7">
        <v>1</v>
      </c>
      <c r="G6553" s="8" t="s">
        <v>1241</v>
      </c>
      <c r="H6553" s="8" t="s">
        <v>1242</v>
      </c>
      <c r="I6553" s="7" t="str">
        <f>_xlfn.CONCAT(Paper_Reference[[#This Row],[Lvl]:[Paper Description]])</f>
        <v>2XJ8R1236SD480JURAVINSKI TEWS FALLS 48 X 96110110000020-5000Premium Inkjet MPK 9653</v>
      </c>
      <c r="J6553" s="7">
        <f>COUNTIF(Paper_Reference[Duplicate Key],Paper_Reference[[#This Row],[Duplicate Key]])</f>
        <v>1</v>
      </c>
    </row>
    <row r="6554" spans="1:10">
      <c r="A6554" s="7">
        <v>2</v>
      </c>
      <c r="B6554" s="8" t="s">
        <v>2106</v>
      </c>
      <c r="C6554" s="8" t="s">
        <v>1625</v>
      </c>
      <c r="D6554" s="7">
        <v>1</v>
      </c>
      <c r="E6554" s="7">
        <v>10</v>
      </c>
      <c r="F6554" s="7">
        <v>2</v>
      </c>
      <c r="G6554" s="8" t="s">
        <v>6710</v>
      </c>
      <c r="H6554" s="8" t="s">
        <v>5691</v>
      </c>
      <c r="I6554" s="7" t="str">
        <f>_xlfn.CONCAT(Paper_Reference[[#This Row],[Lvl]:[Paper Description]])</f>
        <v>2XJ8R1236SD480JURAVINSKI TEWS FALLS 48 X 961102100DS009-5000FROSTY WHITE</v>
      </c>
      <c r="J6554" s="7">
        <f>COUNTIF(Paper_Reference[Duplicate Key],Paper_Reference[[#This Row],[Duplicate Key]])</f>
        <v>1</v>
      </c>
    </row>
    <row r="6555" spans="1:10">
      <c r="A6555" s="7">
        <v>2</v>
      </c>
      <c r="B6555" s="8" t="s">
        <v>2107</v>
      </c>
      <c r="C6555" s="8" t="s">
        <v>1626</v>
      </c>
      <c r="D6555" s="7">
        <v>1</v>
      </c>
      <c r="E6555" s="7">
        <v>10</v>
      </c>
      <c r="F6555" s="7">
        <v>1</v>
      </c>
      <c r="G6555" s="8" t="s">
        <v>1241</v>
      </c>
      <c r="H6555" s="8" t="s">
        <v>1242</v>
      </c>
      <c r="I6555" s="7" t="str">
        <f>_xlfn.CONCAT(Paper_Reference[[#This Row],[Lvl]:[Paper Description]])</f>
        <v>2XJ8R1242SD480EAST AVE SCHOOL FOYER 48 X 96110110000020-5000Premium Inkjet MPK 9653</v>
      </c>
      <c r="J6555" s="7">
        <f>COUNTIF(Paper_Reference[Duplicate Key],Paper_Reference[[#This Row],[Duplicate Key]])</f>
        <v>1</v>
      </c>
    </row>
    <row r="6556" spans="1:10">
      <c r="A6556" s="7">
        <v>2</v>
      </c>
      <c r="B6556" s="8" t="s">
        <v>2107</v>
      </c>
      <c r="C6556" s="8" t="s">
        <v>1626</v>
      </c>
      <c r="D6556" s="7">
        <v>1</v>
      </c>
      <c r="E6556" s="7">
        <v>10</v>
      </c>
      <c r="F6556" s="7">
        <v>2</v>
      </c>
      <c r="G6556" s="8" t="s">
        <v>6710</v>
      </c>
      <c r="H6556" s="8" t="s">
        <v>5691</v>
      </c>
      <c r="I6556" s="7" t="str">
        <f>_xlfn.CONCAT(Paper_Reference[[#This Row],[Lvl]:[Paper Description]])</f>
        <v>2XJ8R1242SD480EAST AVE SCHOOL FOYER 48 X 961102100DS009-5000FROSTY WHITE</v>
      </c>
      <c r="J6556" s="7">
        <f>COUNTIF(Paper_Reference[Duplicate Key],Paper_Reference[[#This Row],[Duplicate Key]])</f>
        <v>1</v>
      </c>
    </row>
    <row r="6557" spans="1:10">
      <c r="A6557" s="7">
        <v>2</v>
      </c>
      <c r="B6557" s="8" t="s">
        <v>2108</v>
      </c>
      <c r="C6557" s="8" t="s">
        <v>1627</v>
      </c>
      <c r="D6557" s="7">
        <v>1</v>
      </c>
      <c r="E6557" s="7">
        <v>10</v>
      </c>
      <c r="F6557" s="7">
        <v>1</v>
      </c>
      <c r="G6557" s="8" t="s">
        <v>1241</v>
      </c>
      <c r="H6557" s="8" t="s">
        <v>1242</v>
      </c>
      <c r="I6557" s="7" t="str">
        <f>_xlfn.CONCAT(Paper_Reference[[#This Row],[Lvl]:[Paper Description]])</f>
        <v>2XJ8R1246SD480ND HOS PR T-2316 48 X 96110110000020-5000Premium Inkjet MPK 9653</v>
      </c>
      <c r="J6557" s="7">
        <f>COUNTIF(Paper_Reference[Duplicate Key],Paper_Reference[[#This Row],[Duplicate Key]])</f>
        <v>1</v>
      </c>
    </row>
    <row r="6558" spans="1:10">
      <c r="A6558" s="7">
        <v>2</v>
      </c>
      <c r="B6558" s="8" t="s">
        <v>2108</v>
      </c>
      <c r="C6558" s="8" t="s">
        <v>1627</v>
      </c>
      <c r="D6558" s="7">
        <v>1</v>
      </c>
      <c r="E6558" s="7">
        <v>10</v>
      </c>
      <c r="F6558" s="7">
        <v>2</v>
      </c>
      <c r="G6558" s="8" t="s">
        <v>6710</v>
      </c>
      <c r="H6558" s="8" t="s">
        <v>5691</v>
      </c>
      <c r="I6558" s="7" t="str">
        <f>_xlfn.CONCAT(Paper_Reference[[#This Row],[Lvl]:[Paper Description]])</f>
        <v>2XJ8R1246SD480ND HOS PR T-2316 48 X 961102100DS009-5000FROSTY WHITE</v>
      </c>
      <c r="J6558" s="7">
        <f>COUNTIF(Paper_Reference[Duplicate Key],Paper_Reference[[#This Row],[Duplicate Key]])</f>
        <v>1</v>
      </c>
    </row>
    <row r="6559" spans="1:10">
      <c r="A6559" s="7">
        <v>2</v>
      </c>
      <c r="B6559" s="8" t="s">
        <v>3024</v>
      </c>
      <c r="C6559" s="8" t="s">
        <v>2533</v>
      </c>
      <c r="D6559" s="7">
        <v>1</v>
      </c>
      <c r="E6559" s="7">
        <v>10</v>
      </c>
      <c r="F6559" s="7">
        <v>1</v>
      </c>
      <c r="G6559" s="8" t="s">
        <v>2144</v>
      </c>
      <c r="H6559" s="8" t="s">
        <v>1242</v>
      </c>
      <c r="I6559" s="7" t="str">
        <f>_xlfn.CONCAT(Paper_Reference[[#This Row],[Lvl]:[Paper Description]])</f>
        <v>2XJ8R1248SD500SICK KIDS WARD 7A-C 60 X 120110110000020-6200Premium Inkjet MPK 9653</v>
      </c>
      <c r="J6559" s="7">
        <f>COUNTIF(Paper_Reference[Duplicate Key],Paper_Reference[[#This Row],[Duplicate Key]])</f>
        <v>1</v>
      </c>
    </row>
    <row r="6560" spans="1:10">
      <c r="A6560" s="7">
        <v>2</v>
      </c>
      <c r="B6560" s="8" t="s">
        <v>3024</v>
      </c>
      <c r="C6560" s="8" t="s">
        <v>2533</v>
      </c>
      <c r="D6560" s="7">
        <v>1</v>
      </c>
      <c r="E6560" s="7">
        <v>10</v>
      </c>
      <c r="F6560" s="7">
        <v>2</v>
      </c>
      <c r="G6560" s="8" t="s">
        <v>5690</v>
      </c>
      <c r="H6560" s="8" t="s">
        <v>5691</v>
      </c>
      <c r="I6560" s="7" t="str">
        <f>_xlfn.CONCAT(Paper_Reference[[#This Row],[Lvl]:[Paper Description]])</f>
        <v>2XJ8R1248SD500SICK KIDS WARD 7A-C 60 X 1201102100DS009-6200FROSTY WHITE</v>
      </c>
      <c r="J6560" s="7">
        <f>COUNTIF(Paper_Reference[Duplicate Key],Paper_Reference[[#This Row],[Duplicate Key]])</f>
        <v>1</v>
      </c>
    </row>
    <row r="6561" spans="1:10">
      <c r="A6561" s="7">
        <v>2</v>
      </c>
      <c r="B6561" s="8" t="s">
        <v>2109</v>
      </c>
      <c r="C6561" s="8" t="s">
        <v>1628</v>
      </c>
      <c r="D6561" s="7">
        <v>1</v>
      </c>
      <c r="E6561" s="7">
        <v>10</v>
      </c>
      <c r="F6561" s="7">
        <v>1</v>
      </c>
      <c r="G6561" s="8" t="s">
        <v>1241</v>
      </c>
      <c r="H6561" s="8" t="s">
        <v>1242</v>
      </c>
      <c r="I6561" s="7" t="str">
        <f>_xlfn.CONCAT(Paper_Reference[[#This Row],[Lvl]:[Paper Description]])</f>
        <v>2XJ8R1249SD400SICK KIDS WARD 7A - D-F-G 48X1110110000020-5000Premium Inkjet MPK 9653</v>
      </c>
      <c r="J6561" s="7">
        <f>COUNTIF(Paper_Reference[Duplicate Key],Paper_Reference[[#This Row],[Duplicate Key]])</f>
        <v>1</v>
      </c>
    </row>
    <row r="6562" spans="1:10">
      <c r="A6562" s="7">
        <v>2</v>
      </c>
      <c r="B6562" s="8" t="s">
        <v>2109</v>
      </c>
      <c r="C6562" s="8" t="s">
        <v>1628</v>
      </c>
      <c r="D6562" s="7">
        <v>1</v>
      </c>
      <c r="E6562" s="7">
        <v>10</v>
      </c>
      <c r="F6562" s="7">
        <v>2</v>
      </c>
      <c r="G6562" s="8" t="s">
        <v>6710</v>
      </c>
      <c r="H6562" s="8" t="s">
        <v>5691</v>
      </c>
      <c r="I6562" s="7" t="str">
        <f>_xlfn.CONCAT(Paper_Reference[[#This Row],[Lvl]:[Paper Description]])</f>
        <v>2XJ8R1249SD400SICK KIDS WARD 7A - D-F-G 48X11102100DS009-5000FROSTY WHITE</v>
      </c>
      <c r="J6562" s="7">
        <f>COUNTIF(Paper_Reference[Duplicate Key],Paper_Reference[[#This Row],[Duplicate Key]])</f>
        <v>1</v>
      </c>
    </row>
    <row r="6563" spans="1:10">
      <c r="A6563" s="7">
        <v>2</v>
      </c>
      <c r="B6563" s="8" t="s">
        <v>3025</v>
      </c>
      <c r="C6563" s="8" t="s">
        <v>2534</v>
      </c>
      <c r="D6563" s="7">
        <v>1</v>
      </c>
      <c r="E6563" s="7">
        <v>10</v>
      </c>
      <c r="F6563" s="7">
        <v>1</v>
      </c>
      <c r="G6563" s="8" t="s">
        <v>2144</v>
      </c>
      <c r="H6563" s="8" t="s">
        <v>1242</v>
      </c>
      <c r="I6563" s="7" t="str">
        <f>_xlfn.CONCAT(Paper_Reference[[#This Row],[Lvl]:[Paper Description]])</f>
        <v>2XJ8R1251SD500MS L6 ONCOL EAST 60 X 120110110000020-6200Premium Inkjet MPK 9653</v>
      </c>
      <c r="J6563" s="7">
        <f>COUNTIF(Paper_Reference[Duplicate Key],Paper_Reference[[#This Row],[Duplicate Key]])</f>
        <v>1</v>
      </c>
    </row>
    <row r="6564" spans="1:10">
      <c r="A6564" s="7">
        <v>2</v>
      </c>
      <c r="B6564" s="8" t="s">
        <v>3025</v>
      </c>
      <c r="C6564" s="8" t="s">
        <v>2534</v>
      </c>
      <c r="D6564" s="7">
        <v>1</v>
      </c>
      <c r="E6564" s="7">
        <v>10</v>
      </c>
      <c r="F6564" s="7">
        <v>2</v>
      </c>
      <c r="G6564" s="8" t="s">
        <v>5690</v>
      </c>
      <c r="H6564" s="8" t="s">
        <v>5691</v>
      </c>
      <c r="I6564" s="7" t="str">
        <f>_xlfn.CONCAT(Paper_Reference[[#This Row],[Lvl]:[Paper Description]])</f>
        <v>2XJ8R1251SD500MS L6 ONCOL EAST 60 X 1201102100DS009-6200FROSTY WHITE</v>
      </c>
      <c r="J6564" s="7">
        <f>COUNTIF(Paper_Reference[Duplicate Key],Paper_Reference[[#This Row],[Duplicate Key]])</f>
        <v>1</v>
      </c>
    </row>
    <row r="6565" spans="1:10">
      <c r="A6565" s="7">
        <v>2</v>
      </c>
      <c r="B6565" s="8" t="s">
        <v>3026</v>
      </c>
      <c r="C6565" s="8" t="s">
        <v>2535</v>
      </c>
      <c r="D6565" s="7">
        <v>1</v>
      </c>
      <c r="E6565" s="7">
        <v>10</v>
      </c>
      <c r="F6565" s="7">
        <v>1</v>
      </c>
      <c r="G6565" s="8" t="s">
        <v>2144</v>
      </c>
      <c r="H6565" s="8" t="s">
        <v>1242</v>
      </c>
      <c r="I6565" s="7" t="str">
        <f>_xlfn.CONCAT(Paper_Reference[[#This Row],[Lvl]:[Paper Description]])</f>
        <v>2XJ8R1252SD500MS L6 ONCOL WEST 60 X 120110110000020-6200Premium Inkjet MPK 9653</v>
      </c>
      <c r="J6565" s="7">
        <f>COUNTIF(Paper_Reference[Duplicate Key],Paper_Reference[[#This Row],[Duplicate Key]])</f>
        <v>1</v>
      </c>
    </row>
    <row r="6566" spans="1:10">
      <c r="A6566" s="7">
        <v>2</v>
      </c>
      <c r="B6566" s="8" t="s">
        <v>3026</v>
      </c>
      <c r="C6566" s="8" t="s">
        <v>2535</v>
      </c>
      <c r="D6566" s="7">
        <v>1</v>
      </c>
      <c r="E6566" s="7">
        <v>10</v>
      </c>
      <c r="F6566" s="7">
        <v>2</v>
      </c>
      <c r="G6566" s="8" t="s">
        <v>5690</v>
      </c>
      <c r="H6566" s="8" t="s">
        <v>5691</v>
      </c>
      <c r="I6566" s="7" t="str">
        <f>_xlfn.CONCAT(Paper_Reference[[#This Row],[Lvl]:[Paper Description]])</f>
        <v>2XJ8R1252SD500MS L6 ONCOL WEST 60 X 1201102100DS009-6200FROSTY WHITE</v>
      </c>
      <c r="J6566" s="7">
        <f>COUNTIF(Paper_Reference[Duplicate Key],Paper_Reference[[#This Row],[Duplicate Key]])</f>
        <v>1</v>
      </c>
    </row>
    <row r="6567" spans="1:10">
      <c r="A6567" s="7">
        <v>2</v>
      </c>
      <c r="B6567" s="8" t="s">
        <v>3027</v>
      </c>
      <c r="C6567" s="8" t="s">
        <v>2536</v>
      </c>
      <c r="D6567" s="7">
        <v>1</v>
      </c>
      <c r="E6567" s="7">
        <v>10</v>
      </c>
      <c r="F6567" s="7">
        <v>1</v>
      </c>
      <c r="G6567" s="8" t="s">
        <v>2144</v>
      </c>
      <c r="H6567" s="8" t="s">
        <v>1242</v>
      </c>
      <c r="I6567" s="7" t="str">
        <f>_xlfn.CONCAT(Paper_Reference[[#This Row],[Lvl]:[Paper Description]])</f>
        <v>2XJ8R1253SD580MS L6 ONCOL SOUTH 60 X 96110110000020-6200Premium Inkjet MPK 9653</v>
      </c>
      <c r="J6567" s="7">
        <f>COUNTIF(Paper_Reference[Duplicate Key],Paper_Reference[[#This Row],[Duplicate Key]])</f>
        <v>1</v>
      </c>
    </row>
    <row r="6568" spans="1:10">
      <c r="A6568" s="7">
        <v>2</v>
      </c>
      <c r="B6568" s="8" t="s">
        <v>3027</v>
      </c>
      <c r="C6568" s="8" t="s">
        <v>2536</v>
      </c>
      <c r="D6568" s="7">
        <v>1</v>
      </c>
      <c r="E6568" s="7">
        <v>10</v>
      </c>
      <c r="F6568" s="7">
        <v>2</v>
      </c>
      <c r="G6568" s="8" t="s">
        <v>5690</v>
      </c>
      <c r="H6568" s="8" t="s">
        <v>5691</v>
      </c>
      <c r="I6568" s="7" t="str">
        <f>_xlfn.CONCAT(Paper_Reference[[#This Row],[Lvl]:[Paper Description]])</f>
        <v>2XJ8R1253SD580MS L6 ONCOL SOUTH 60 X 961102100DS009-6200FROSTY WHITE</v>
      </c>
      <c r="J6568" s="7">
        <f>COUNTIF(Paper_Reference[Duplicate Key],Paper_Reference[[#This Row],[Duplicate Key]])</f>
        <v>1</v>
      </c>
    </row>
    <row r="6569" spans="1:10">
      <c r="A6569" s="7">
        <v>2</v>
      </c>
      <c r="B6569" s="8" t="s">
        <v>3028</v>
      </c>
      <c r="C6569" s="8" t="s">
        <v>2537</v>
      </c>
      <c r="D6569" s="7">
        <v>1</v>
      </c>
      <c r="E6569" s="7">
        <v>10</v>
      </c>
      <c r="F6569" s="7">
        <v>1</v>
      </c>
      <c r="G6569" s="8" t="s">
        <v>2144</v>
      </c>
      <c r="H6569" s="8" t="s">
        <v>1242</v>
      </c>
      <c r="I6569" s="7" t="str">
        <f>_xlfn.CONCAT(Paper_Reference[[#This Row],[Lvl]:[Paper Description]])</f>
        <v>2XJ8R1254SD500RADYS CH KITE 60 X 120110110000020-6200Premium Inkjet MPK 9653</v>
      </c>
      <c r="J6569" s="7">
        <f>COUNTIF(Paper_Reference[Duplicate Key],Paper_Reference[[#This Row],[Duplicate Key]])</f>
        <v>1</v>
      </c>
    </row>
    <row r="6570" spans="1:10">
      <c r="A6570" s="7">
        <v>2</v>
      </c>
      <c r="B6570" s="8" t="s">
        <v>3028</v>
      </c>
      <c r="C6570" s="8" t="s">
        <v>2537</v>
      </c>
      <c r="D6570" s="7">
        <v>1</v>
      </c>
      <c r="E6570" s="7">
        <v>10</v>
      </c>
      <c r="F6570" s="7">
        <v>2</v>
      </c>
      <c r="G6570" s="8" t="s">
        <v>5690</v>
      </c>
      <c r="H6570" s="8" t="s">
        <v>5691</v>
      </c>
      <c r="I6570" s="7" t="str">
        <f>_xlfn.CONCAT(Paper_Reference[[#This Row],[Lvl]:[Paper Description]])</f>
        <v>2XJ8R1254SD500RADYS CH KITE 60 X 1201102100DS009-6200FROSTY WHITE</v>
      </c>
      <c r="J6570" s="7">
        <f>COUNTIF(Paper_Reference[Duplicate Key],Paper_Reference[[#This Row],[Duplicate Key]])</f>
        <v>1</v>
      </c>
    </row>
    <row r="6571" spans="1:10">
      <c r="A6571" s="7">
        <v>2</v>
      </c>
      <c r="B6571" s="8" t="s">
        <v>2110</v>
      </c>
      <c r="C6571" s="8" t="s">
        <v>1629</v>
      </c>
      <c r="D6571" s="7">
        <v>1</v>
      </c>
      <c r="E6571" s="7">
        <v>10</v>
      </c>
      <c r="F6571" s="7">
        <v>1</v>
      </c>
      <c r="G6571" s="8" t="s">
        <v>1241</v>
      </c>
      <c r="H6571" s="8" t="s">
        <v>1242</v>
      </c>
      <c r="I6571" s="7" t="str">
        <f>_xlfn.CONCAT(Paper_Reference[[#This Row],[Lvl]:[Paper Description]])</f>
        <v>2XJ8R1258SD300MT SAC TROPHY CASE 36 X 120110110000020-5000Premium Inkjet MPK 9653</v>
      </c>
      <c r="J6571" s="7">
        <f>COUNTIF(Paper_Reference[Duplicate Key],Paper_Reference[[#This Row],[Duplicate Key]])</f>
        <v>1</v>
      </c>
    </row>
    <row r="6572" spans="1:10">
      <c r="A6572" s="7">
        <v>2</v>
      </c>
      <c r="B6572" s="8" t="s">
        <v>2110</v>
      </c>
      <c r="C6572" s="8" t="s">
        <v>1629</v>
      </c>
      <c r="D6572" s="7">
        <v>1</v>
      </c>
      <c r="E6572" s="7">
        <v>10</v>
      </c>
      <c r="F6572" s="7">
        <v>2</v>
      </c>
      <c r="G6572" s="8" t="s">
        <v>6710</v>
      </c>
      <c r="H6572" s="8" t="s">
        <v>5691</v>
      </c>
      <c r="I6572" s="7" t="str">
        <f>_xlfn.CONCAT(Paper_Reference[[#This Row],[Lvl]:[Paper Description]])</f>
        <v>2XJ8R1258SD300MT SAC TROPHY CASE 36 X 1201102100DS009-5000FROSTY WHITE</v>
      </c>
      <c r="J6572" s="7">
        <f>COUNTIF(Paper_Reference[Duplicate Key],Paper_Reference[[#This Row],[Duplicate Key]])</f>
        <v>1</v>
      </c>
    </row>
    <row r="6573" spans="1:10">
      <c r="A6573" s="7">
        <v>2</v>
      </c>
      <c r="B6573" s="8" t="s">
        <v>2111</v>
      </c>
      <c r="C6573" s="8" t="s">
        <v>1630</v>
      </c>
      <c r="D6573" s="7">
        <v>1</v>
      </c>
      <c r="E6573" s="7">
        <v>10</v>
      </c>
      <c r="F6573" s="7">
        <v>1</v>
      </c>
      <c r="G6573" s="8" t="s">
        <v>1241</v>
      </c>
      <c r="H6573" s="8" t="s">
        <v>1242</v>
      </c>
      <c r="I6573" s="7" t="str">
        <f>_xlfn.CONCAT(Paper_Reference[[#This Row],[Lvl]:[Paper Description]])</f>
        <v>2XJ8R1259SD480MT SAC HERITAGE HALL B SEC 48X110110000020-5000Premium Inkjet MPK 9653</v>
      </c>
      <c r="J6573" s="7">
        <f>COUNTIF(Paper_Reference[Duplicate Key],Paper_Reference[[#This Row],[Duplicate Key]])</f>
        <v>1</v>
      </c>
    </row>
    <row r="6574" spans="1:10">
      <c r="A6574" s="7">
        <v>2</v>
      </c>
      <c r="B6574" s="8" t="s">
        <v>2111</v>
      </c>
      <c r="C6574" s="8" t="s">
        <v>1630</v>
      </c>
      <c r="D6574" s="7">
        <v>1</v>
      </c>
      <c r="E6574" s="7">
        <v>10</v>
      </c>
      <c r="F6574" s="7">
        <v>2</v>
      </c>
      <c r="G6574" s="8" t="s">
        <v>6710</v>
      </c>
      <c r="H6574" s="8" t="s">
        <v>5691</v>
      </c>
      <c r="I6574" s="7" t="str">
        <f>_xlfn.CONCAT(Paper_Reference[[#This Row],[Lvl]:[Paper Description]])</f>
        <v>2XJ8R1259SD480MT SAC HERITAGE HALL B SEC 48X1102100DS009-5000FROSTY WHITE</v>
      </c>
      <c r="J6574" s="7">
        <f>COUNTIF(Paper_Reference[Duplicate Key],Paper_Reference[[#This Row],[Duplicate Key]])</f>
        <v>1</v>
      </c>
    </row>
    <row r="6575" spans="1:10">
      <c r="A6575" s="7">
        <v>2</v>
      </c>
      <c r="B6575" s="8" t="s">
        <v>2112</v>
      </c>
      <c r="C6575" s="8" t="s">
        <v>1631</v>
      </c>
      <c r="D6575" s="7">
        <v>1</v>
      </c>
      <c r="E6575" s="7">
        <v>10</v>
      </c>
      <c r="F6575" s="7">
        <v>1</v>
      </c>
      <c r="G6575" s="8" t="s">
        <v>1241</v>
      </c>
      <c r="H6575" s="8" t="s">
        <v>1242</v>
      </c>
      <c r="I6575" s="7" t="str">
        <f>_xlfn.CONCAT(Paper_Reference[[#This Row],[Lvl]:[Paper Description]])</f>
        <v>2XJ8R1260SD400NT SAC LOW WALLS 48 X 120110110000020-5000Premium Inkjet MPK 9653</v>
      </c>
      <c r="J6575" s="7">
        <f>COUNTIF(Paper_Reference[Duplicate Key],Paper_Reference[[#This Row],[Duplicate Key]])</f>
        <v>1</v>
      </c>
    </row>
    <row r="6576" spans="1:10">
      <c r="A6576" s="7">
        <v>2</v>
      </c>
      <c r="B6576" s="8" t="s">
        <v>2112</v>
      </c>
      <c r="C6576" s="8" t="s">
        <v>1631</v>
      </c>
      <c r="D6576" s="7">
        <v>1</v>
      </c>
      <c r="E6576" s="7">
        <v>10</v>
      </c>
      <c r="F6576" s="7">
        <v>2</v>
      </c>
      <c r="G6576" s="8" t="s">
        <v>6710</v>
      </c>
      <c r="H6576" s="8" t="s">
        <v>5691</v>
      </c>
      <c r="I6576" s="7" t="str">
        <f>_xlfn.CONCAT(Paper_Reference[[#This Row],[Lvl]:[Paper Description]])</f>
        <v>2XJ8R1260SD400NT SAC LOW WALLS 48 X 1201102100DS009-5000FROSTY WHITE</v>
      </c>
      <c r="J6576" s="7">
        <f>COUNTIF(Paper_Reference[Duplicate Key],Paper_Reference[[#This Row],[Duplicate Key]])</f>
        <v>1</v>
      </c>
    </row>
    <row r="6577" spans="1:10">
      <c r="A6577" s="7">
        <v>2</v>
      </c>
      <c r="B6577" s="8" t="s">
        <v>3029</v>
      </c>
      <c r="C6577" s="8" t="s">
        <v>2538</v>
      </c>
      <c r="D6577" s="7">
        <v>1</v>
      </c>
      <c r="E6577" s="7">
        <v>10</v>
      </c>
      <c r="F6577" s="7">
        <v>1</v>
      </c>
      <c r="G6577" s="8" t="s">
        <v>2144</v>
      </c>
      <c r="H6577" s="8" t="s">
        <v>1242</v>
      </c>
      <c r="I6577" s="7" t="str">
        <f>_xlfn.CONCAT(Paper_Reference[[#This Row],[Lvl]:[Paper Description]])</f>
        <v>2XJ8R1260SD500MT SAC LOW WALLS 60 X 120110110000020-6200Premium Inkjet MPK 9653</v>
      </c>
      <c r="J6577" s="7">
        <f>COUNTIF(Paper_Reference[Duplicate Key],Paper_Reference[[#This Row],[Duplicate Key]])</f>
        <v>1</v>
      </c>
    </row>
    <row r="6578" spans="1:10">
      <c r="A6578" s="7">
        <v>2</v>
      </c>
      <c r="B6578" s="8" t="s">
        <v>3029</v>
      </c>
      <c r="C6578" s="8" t="s">
        <v>2538</v>
      </c>
      <c r="D6578" s="7">
        <v>1</v>
      </c>
      <c r="E6578" s="7">
        <v>10</v>
      </c>
      <c r="F6578" s="7">
        <v>2</v>
      </c>
      <c r="G6578" s="8" t="s">
        <v>5690</v>
      </c>
      <c r="H6578" s="8" t="s">
        <v>5691</v>
      </c>
      <c r="I6578" s="7" t="str">
        <f>_xlfn.CONCAT(Paper_Reference[[#This Row],[Lvl]:[Paper Description]])</f>
        <v>2XJ8R1260SD500MT SAC LOW WALLS 60 X 1201102100DS009-6200FROSTY WHITE</v>
      </c>
      <c r="J6578" s="7">
        <f>COUNTIF(Paper_Reference[Duplicate Key],Paper_Reference[[#This Row],[Duplicate Key]])</f>
        <v>1</v>
      </c>
    </row>
    <row r="6579" spans="1:10">
      <c r="A6579" s="7">
        <v>2</v>
      </c>
      <c r="B6579" s="8" t="s">
        <v>2113</v>
      </c>
      <c r="C6579" s="8" t="s">
        <v>1632</v>
      </c>
      <c r="D6579" s="7">
        <v>1</v>
      </c>
      <c r="E6579" s="7">
        <v>10</v>
      </c>
      <c r="F6579" s="7">
        <v>1</v>
      </c>
      <c r="G6579" s="8" t="s">
        <v>1241</v>
      </c>
      <c r="H6579" s="8" t="s">
        <v>1242</v>
      </c>
      <c r="I6579" s="7" t="str">
        <f>_xlfn.CONCAT(Paper_Reference[[#This Row],[Lvl]:[Paper Description]])</f>
        <v>2XJ8R1261SD400NT SAC HERITAGE HALL E SEC 48X110110000020-5000Premium Inkjet MPK 9653</v>
      </c>
      <c r="J6579" s="7">
        <f>COUNTIF(Paper_Reference[Duplicate Key],Paper_Reference[[#This Row],[Duplicate Key]])</f>
        <v>1</v>
      </c>
    </row>
    <row r="6580" spans="1:10">
      <c r="A6580" s="7">
        <v>2</v>
      </c>
      <c r="B6580" s="8" t="s">
        <v>2113</v>
      </c>
      <c r="C6580" s="8" t="s">
        <v>1632</v>
      </c>
      <c r="D6580" s="7">
        <v>1</v>
      </c>
      <c r="E6580" s="7">
        <v>10</v>
      </c>
      <c r="F6580" s="7">
        <v>2</v>
      </c>
      <c r="G6580" s="8" t="s">
        <v>6710</v>
      </c>
      <c r="H6580" s="8" t="s">
        <v>5691</v>
      </c>
      <c r="I6580" s="7" t="str">
        <f>_xlfn.CONCAT(Paper_Reference[[#This Row],[Lvl]:[Paper Description]])</f>
        <v>2XJ8R1261SD400NT SAC HERITAGE HALL E SEC 48X1102100DS009-5000FROSTY WHITE</v>
      </c>
      <c r="J6580" s="7">
        <f>COUNTIF(Paper_Reference[Duplicate Key],Paper_Reference[[#This Row],[Duplicate Key]])</f>
        <v>1</v>
      </c>
    </row>
    <row r="6581" spans="1:10">
      <c r="A6581" s="7">
        <v>2</v>
      </c>
      <c r="B6581" s="8" t="s">
        <v>2114</v>
      </c>
      <c r="C6581" s="8" t="s">
        <v>1633</v>
      </c>
      <c r="D6581" s="7">
        <v>1</v>
      </c>
      <c r="E6581" s="7">
        <v>10</v>
      </c>
      <c r="F6581" s="7">
        <v>1</v>
      </c>
      <c r="G6581" s="8" t="s">
        <v>1241</v>
      </c>
      <c r="H6581" s="8" t="s">
        <v>1242</v>
      </c>
      <c r="I6581" s="7" t="str">
        <f>_xlfn.CONCAT(Paper_Reference[[#This Row],[Lvl]:[Paper Description]])</f>
        <v>2XJ8R1262SD480BAYSTATE PEDIATRIC WALL 48 X 9110110000020-5000Premium Inkjet MPK 9653</v>
      </c>
      <c r="J6581" s="7">
        <f>COUNTIF(Paper_Reference[Duplicate Key],Paper_Reference[[#This Row],[Duplicate Key]])</f>
        <v>1</v>
      </c>
    </row>
    <row r="6582" spans="1:10">
      <c r="A6582" s="7">
        <v>2</v>
      </c>
      <c r="B6582" s="8" t="s">
        <v>2114</v>
      </c>
      <c r="C6582" s="8" t="s">
        <v>1633</v>
      </c>
      <c r="D6582" s="7">
        <v>1</v>
      </c>
      <c r="E6582" s="7">
        <v>10</v>
      </c>
      <c r="F6582" s="7">
        <v>2</v>
      </c>
      <c r="G6582" s="8" t="s">
        <v>6710</v>
      </c>
      <c r="H6582" s="8" t="s">
        <v>5691</v>
      </c>
      <c r="I6582" s="7" t="str">
        <f>_xlfn.CONCAT(Paper_Reference[[#This Row],[Lvl]:[Paper Description]])</f>
        <v>2XJ8R1262SD480BAYSTATE PEDIATRIC WALL 48 X 91102100DS009-5000FROSTY WHITE</v>
      </c>
      <c r="J6582" s="7">
        <f>COUNTIF(Paper_Reference[Duplicate Key],Paper_Reference[[#This Row],[Duplicate Key]])</f>
        <v>1</v>
      </c>
    </row>
    <row r="6583" spans="1:10">
      <c r="A6583" s="7">
        <v>2</v>
      </c>
      <c r="B6583" s="8" t="s">
        <v>3030</v>
      </c>
      <c r="C6583" s="8" t="s">
        <v>2539</v>
      </c>
      <c r="D6583" s="7">
        <v>1</v>
      </c>
      <c r="E6583" s="7">
        <v>10</v>
      </c>
      <c r="F6583" s="7">
        <v>1</v>
      </c>
      <c r="G6583" s="8" t="s">
        <v>2144</v>
      </c>
      <c r="H6583" s="8" t="s">
        <v>1242</v>
      </c>
      <c r="I6583" s="7" t="str">
        <f>_xlfn.CONCAT(Paper_Reference[[#This Row],[Lvl]:[Paper Description]])</f>
        <v>2XJ8R1266SD580SHEPLEY BULLFINCH HEAD 60 X 96110110000020-6200Premium Inkjet MPK 9653</v>
      </c>
      <c r="J6583" s="7">
        <f>COUNTIF(Paper_Reference[Duplicate Key],Paper_Reference[[#This Row],[Duplicate Key]])</f>
        <v>1</v>
      </c>
    </row>
    <row r="6584" spans="1:10">
      <c r="A6584" s="7">
        <v>2</v>
      </c>
      <c r="B6584" s="8" t="s">
        <v>3030</v>
      </c>
      <c r="C6584" s="8" t="s">
        <v>2539</v>
      </c>
      <c r="D6584" s="7">
        <v>1</v>
      </c>
      <c r="E6584" s="7">
        <v>10</v>
      </c>
      <c r="F6584" s="7">
        <v>2</v>
      </c>
      <c r="G6584" s="8" t="s">
        <v>5690</v>
      </c>
      <c r="H6584" s="8" t="s">
        <v>5691</v>
      </c>
      <c r="I6584" s="7" t="str">
        <f>_xlfn.CONCAT(Paper_Reference[[#This Row],[Lvl]:[Paper Description]])</f>
        <v>2XJ8R1266SD580SHEPLEY BULLFINCH HEAD 60 X 961102100DS009-6200FROSTY WHITE</v>
      </c>
      <c r="J6584" s="7">
        <f>COUNTIF(Paper_Reference[Duplicate Key],Paper_Reference[[#This Row],[Duplicate Key]])</f>
        <v>1</v>
      </c>
    </row>
    <row r="6585" spans="1:10">
      <c r="A6585" s="7">
        <v>2</v>
      </c>
      <c r="B6585" s="8" t="s">
        <v>3031</v>
      </c>
      <c r="C6585" s="8" t="s">
        <v>2540</v>
      </c>
      <c r="D6585" s="7">
        <v>1</v>
      </c>
      <c r="E6585" s="7">
        <v>10</v>
      </c>
      <c r="F6585" s="7">
        <v>1</v>
      </c>
      <c r="G6585" s="8" t="s">
        <v>2144</v>
      </c>
      <c r="H6585" s="8" t="s">
        <v>1242</v>
      </c>
      <c r="I6585" s="7" t="str">
        <f>_xlfn.CONCAT(Paper_Reference[[#This Row],[Lvl]:[Paper Description]])</f>
        <v>2XJ8R1267SD580NORTH STAR TDHLTH 60 X 96110110000020-6200Premium Inkjet MPK 9653</v>
      </c>
      <c r="J6585" s="7">
        <f>COUNTIF(Paper_Reference[Duplicate Key],Paper_Reference[[#This Row],[Duplicate Key]])</f>
        <v>1</v>
      </c>
    </row>
    <row r="6586" spans="1:10">
      <c r="A6586" s="7">
        <v>2</v>
      </c>
      <c r="B6586" s="8" t="s">
        <v>3031</v>
      </c>
      <c r="C6586" s="8" t="s">
        <v>2540</v>
      </c>
      <c r="D6586" s="7">
        <v>1</v>
      </c>
      <c r="E6586" s="7">
        <v>10</v>
      </c>
      <c r="F6586" s="7">
        <v>2</v>
      </c>
      <c r="G6586" s="8" t="s">
        <v>5690</v>
      </c>
      <c r="H6586" s="8" t="s">
        <v>5691</v>
      </c>
      <c r="I6586" s="7" t="str">
        <f>_xlfn.CONCAT(Paper_Reference[[#This Row],[Lvl]:[Paper Description]])</f>
        <v>2XJ8R1267SD580NORTH STAR TDHLTH 60 X 961102100DS009-6200FROSTY WHITE</v>
      </c>
      <c r="J6586" s="7">
        <f>COUNTIF(Paper_Reference[Duplicate Key],Paper_Reference[[#This Row],[Duplicate Key]])</f>
        <v>1</v>
      </c>
    </row>
    <row r="6587" spans="1:10">
      <c r="A6587" s="7">
        <v>2</v>
      </c>
      <c r="B6587" s="8" t="s">
        <v>2115</v>
      </c>
      <c r="C6587" s="8" t="s">
        <v>1634</v>
      </c>
      <c r="D6587" s="7">
        <v>1</v>
      </c>
      <c r="E6587" s="7">
        <v>10</v>
      </c>
      <c r="F6587" s="7">
        <v>1</v>
      </c>
      <c r="G6587" s="8" t="s">
        <v>1241</v>
      </c>
      <c r="H6587" s="8" t="s">
        <v>1242</v>
      </c>
      <c r="I6587" s="7" t="str">
        <f>_xlfn.CONCAT(Paper_Reference[[#This Row],[Lvl]:[Paper Description]])</f>
        <v>2XJ8R1271SD480FLORIN HS - LEFT WALL 48 X 96110110000020-5000Premium Inkjet MPK 9653</v>
      </c>
      <c r="J6587" s="7">
        <f>COUNTIF(Paper_Reference[Duplicate Key],Paper_Reference[[#This Row],[Duplicate Key]])</f>
        <v>1</v>
      </c>
    </row>
    <row r="6588" spans="1:10">
      <c r="A6588" s="7">
        <v>2</v>
      </c>
      <c r="B6588" s="8" t="s">
        <v>2115</v>
      </c>
      <c r="C6588" s="8" t="s">
        <v>1634</v>
      </c>
      <c r="D6588" s="7">
        <v>1</v>
      </c>
      <c r="E6588" s="7">
        <v>10</v>
      </c>
      <c r="F6588" s="7">
        <v>2</v>
      </c>
      <c r="G6588" s="8" t="s">
        <v>6710</v>
      </c>
      <c r="H6588" s="8" t="s">
        <v>5691</v>
      </c>
      <c r="I6588" s="7" t="str">
        <f>_xlfn.CONCAT(Paper_Reference[[#This Row],[Lvl]:[Paper Description]])</f>
        <v>2XJ8R1271SD480FLORIN HS - LEFT WALL 48 X 961102100DS009-5000FROSTY WHITE</v>
      </c>
      <c r="J6588" s="7">
        <f>COUNTIF(Paper_Reference[Duplicate Key],Paper_Reference[[#This Row],[Duplicate Key]])</f>
        <v>1</v>
      </c>
    </row>
    <row r="6589" spans="1:10">
      <c r="A6589" s="7">
        <v>2</v>
      </c>
      <c r="B6589" s="8" t="s">
        <v>2116</v>
      </c>
      <c r="C6589" s="8" t="s">
        <v>1635</v>
      </c>
      <c r="D6589" s="7">
        <v>1</v>
      </c>
      <c r="E6589" s="7">
        <v>10</v>
      </c>
      <c r="F6589" s="7">
        <v>1</v>
      </c>
      <c r="G6589" s="8" t="s">
        <v>1241</v>
      </c>
      <c r="H6589" s="8" t="s">
        <v>1242</v>
      </c>
      <c r="I6589" s="7" t="str">
        <f>_xlfn.CONCAT(Paper_Reference[[#This Row],[Lvl]:[Paper Description]])</f>
        <v>2XJ8R1272SD480FLORIN HS - RIGHT WALL 48 X 96110110000020-5000Premium Inkjet MPK 9653</v>
      </c>
      <c r="J6589" s="7">
        <f>COUNTIF(Paper_Reference[Duplicate Key],Paper_Reference[[#This Row],[Duplicate Key]])</f>
        <v>1</v>
      </c>
    </row>
    <row r="6590" spans="1:10">
      <c r="A6590" s="7">
        <v>2</v>
      </c>
      <c r="B6590" s="8" t="s">
        <v>2116</v>
      </c>
      <c r="C6590" s="8" t="s">
        <v>1635</v>
      </c>
      <c r="D6590" s="7">
        <v>1</v>
      </c>
      <c r="E6590" s="7">
        <v>10</v>
      </c>
      <c r="F6590" s="7">
        <v>2</v>
      </c>
      <c r="G6590" s="8" t="s">
        <v>6710</v>
      </c>
      <c r="H6590" s="8" t="s">
        <v>5691</v>
      </c>
      <c r="I6590" s="7" t="str">
        <f>_xlfn.CONCAT(Paper_Reference[[#This Row],[Lvl]:[Paper Description]])</f>
        <v>2XJ8R1272SD480FLORIN HS - RIGHT WALL 48 X 961102100DS009-5000FROSTY WHITE</v>
      </c>
      <c r="J6590" s="7">
        <f>COUNTIF(Paper_Reference[Duplicate Key],Paper_Reference[[#This Row],[Duplicate Key]])</f>
        <v>1</v>
      </c>
    </row>
    <row r="6591" spans="1:10">
      <c r="A6591" s="7">
        <v>2</v>
      </c>
      <c r="B6591" s="8" t="s">
        <v>3032</v>
      </c>
      <c r="C6591" s="8" t="s">
        <v>2541</v>
      </c>
      <c r="D6591" s="7">
        <v>1</v>
      </c>
      <c r="E6591" s="7">
        <v>10</v>
      </c>
      <c r="F6591" s="7">
        <v>1</v>
      </c>
      <c r="G6591" s="8" t="s">
        <v>2144</v>
      </c>
      <c r="H6591" s="8" t="s">
        <v>1242</v>
      </c>
      <c r="I6591" s="7" t="str">
        <f>_xlfn.CONCAT(Paper_Reference[[#This Row],[Lvl]:[Paper Description]])</f>
        <v>2XJ8R1273SD500FT MCKAY GTHR 102-1 60 X 120110110000020-6200Premium Inkjet MPK 9653</v>
      </c>
      <c r="J6591" s="7">
        <f>COUNTIF(Paper_Reference[Duplicate Key],Paper_Reference[[#This Row],[Duplicate Key]])</f>
        <v>1</v>
      </c>
    </row>
    <row r="6592" spans="1:10">
      <c r="A6592" s="7">
        <v>2</v>
      </c>
      <c r="B6592" s="8" t="s">
        <v>3032</v>
      </c>
      <c r="C6592" s="8" t="s">
        <v>2541</v>
      </c>
      <c r="D6592" s="7">
        <v>1</v>
      </c>
      <c r="E6592" s="7">
        <v>10</v>
      </c>
      <c r="F6592" s="7">
        <v>2</v>
      </c>
      <c r="G6592" s="8" t="s">
        <v>5690</v>
      </c>
      <c r="H6592" s="8" t="s">
        <v>5691</v>
      </c>
      <c r="I6592" s="7" t="str">
        <f>_xlfn.CONCAT(Paper_Reference[[#This Row],[Lvl]:[Paper Description]])</f>
        <v>2XJ8R1273SD500FT MCKAY GTHR 102-1 60 X 1201102100DS009-6200FROSTY WHITE</v>
      </c>
      <c r="J6592" s="7">
        <f>COUNTIF(Paper_Reference[Duplicate Key],Paper_Reference[[#This Row],[Duplicate Key]])</f>
        <v>1</v>
      </c>
    </row>
    <row r="6593" spans="1:10">
      <c r="A6593" s="7">
        <v>2</v>
      </c>
      <c r="B6593" s="8" t="s">
        <v>2117</v>
      </c>
      <c r="C6593" s="8" t="s">
        <v>1636</v>
      </c>
      <c r="D6593" s="7">
        <v>1</v>
      </c>
      <c r="E6593" s="7">
        <v>10</v>
      </c>
      <c r="F6593" s="7">
        <v>1</v>
      </c>
      <c r="G6593" s="8" t="s">
        <v>1241</v>
      </c>
      <c r="H6593" s="8" t="s">
        <v>1242</v>
      </c>
      <c r="I6593" s="7" t="str">
        <f>_xlfn.CONCAT(Paper_Reference[[#This Row],[Lvl]:[Paper Description]])</f>
        <v>2XJ8R1274SD400FT MCKAY GTHR 102-10 48 X 120110110000020-5000Premium Inkjet MPK 9653</v>
      </c>
      <c r="J6593" s="7">
        <f>COUNTIF(Paper_Reference[Duplicate Key],Paper_Reference[[#This Row],[Duplicate Key]])</f>
        <v>1</v>
      </c>
    </row>
    <row r="6594" spans="1:10">
      <c r="A6594" s="7">
        <v>2</v>
      </c>
      <c r="B6594" s="8" t="s">
        <v>2117</v>
      </c>
      <c r="C6594" s="8" t="s">
        <v>1636</v>
      </c>
      <c r="D6594" s="7">
        <v>1</v>
      </c>
      <c r="E6594" s="7">
        <v>10</v>
      </c>
      <c r="F6594" s="7">
        <v>2</v>
      </c>
      <c r="G6594" s="8" t="s">
        <v>6710</v>
      </c>
      <c r="H6594" s="8" t="s">
        <v>5691</v>
      </c>
      <c r="I6594" s="7" t="str">
        <f>_xlfn.CONCAT(Paper_Reference[[#This Row],[Lvl]:[Paper Description]])</f>
        <v>2XJ8R1274SD400FT MCKAY GTHR 102-10 48 X 1201102100DS009-5000FROSTY WHITE</v>
      </c>
      <c r="J6594" s="7">
        <f>COUNTIF(Paper_Reference[Duplicate Key],Paper_Reference[[#This Row],[Duplicate Key]])</f>
        <v>1</v>
      </c>
    </row>
    <row r="6595" spans="1:10">
      <c r="A6595" s="7">
        <v>2</v>
      </c>
      <c r="B6595" s="8" t="s">
        <v>2118</v>
      </c>
      <c r="C6595" s="8" t="s">
        <v>1637</v>
      </c>
      <c r="D6595" s="7">
        <v>1</v>
      </c>
      <c r="E6595" s="7">
        <v>10</v>
      </c>
      <c r="F6595" s="7">
        <v>1</v>
      </c>
      <c r="G6595" s="8" t="s">
        <v>1241</v>
      </c>
      <c r="H6595" s="8" t="s">
        <v>1242</v>
      </c>
      <c r="I6595" s="7" t="str">
        <f>_xlfn.CONCAT(Paper_Reference[[#This Row],[Lvl]:[Paper Description]])</f>
        <v>2XJ8R1275SD400FT MCKAY GTHR 102-11 48 X 120110110000020-5000Premium Inkjet MPK 9653</v>
      </c>
      <c r="J6595" s="7">
        <f>COUNTIF(Paper_Reference[Duplicate Key],Paper_Reference[[#This Row],[Duplicate Key]])</f>
        <v>1</v>
      </c>
    </row>
    <row r="6596" spans="1:10">
      <c r="A6596" s="7">
        <v>2</v>
      </c>
      <c r="B6596" s="8" t="s">
        <v>2118</v>
      </c>
      <c r="C6596" s="8" t="s">
        <v>1637</v>
      </c>
      <c r="D6596" s="7">
        <v>1</v>
      </c>
      <c r="E6596" s="7">
        <v>10</v>
      </c>
      <c r="F6596" s="7">
        <v>2</v>
      </c>
      <c r="G6596" s="8" t="s">
        <v>6710</v>
      </c>
      <c r="H6596" s="8" t="s">
        <v>5691</v>
      </c>
      <c r="I6596" s="7" t="str">
        <f>_xlfn.CONCAT(Paper_Reference[[#This Row],[Lvl]:[Paper Description]])</f>
        <v>2XJ8R1275SD400FT MCKAY GTHR 102-11 48 X 1201102100DS009-5000FROSTY WHITE</v>
      </c>
      <c r="J6596" s="7">
        <f>COUNTIF(Paper_Reference[Duplicate Key],Paper_Reference[[#This Row],[Duplicate Key]])</f>
        <v>1</v>
      </c>
    </row>
    <row r="6597" spans="1:10">
      <c r="A6597" s="7">
        <v>2</v>
      </c>
      <c r="B6597" s="8" t="s">
        <v>2119</v>
      </c>
      <c r="C6597" s="8" t="s">
        <v>1638</v>
      </c>
      <c r="D6597" s="7">
        <v>1</v>
      </c>
      <c r="E6597" s="7">
        <v>10</v>
      </c>
      <c r="F6597" s="7">
        <v>1</v>
      </c>
      <c r="G6597" s="8" t="s">
        <v>1241</v>
      </c>
      <c r="H6597" s="8" t="s">
        <v>1242</v>
      </c>
      <c r="I6597" s="7" t="str">
        <f>_xlfn.CONCAT(Paper_Reference[[#This Row],[Lvl]:[Paper Description]])</f>
        <v>2XJ8R1276SD400FT MCKAY GTHR 141-4 48 X 120110110000020-5000Premium Inkjet MPK 9653</v>
      </c>
      <c r="J6597" s="7">
        <f>COUNTIF(Paper_Reference[Duplicate Key],Paper_Reference[[#This Row],[Duplicate Key]])</f>
        <v>1</v>
      </c>
    </row>
    <row r="6598" spans="1:10">
      <c r="A6598" s="7">
        <v>2</v>
      </c>
      <c r="B6598" s="8" t="s">
        <v>2119</v>
      </c>
      <c r="C6598" s="8" t="s">
        <v>1638</v>
      </c>
      <c r="D6598" s="7">
        <v>1</v>
      </c>
      <c r="E6598" s="7">
        <v>10</v>
      </c>
      <c r="F6598" s="7">
        <v>2</v>
      </c>
      <c r="G6598" s="8" t="s">
        <v>6710</v>
      </c>
      <c r="H6598" s="8" t="s">
        <v>5691</v>
      </c>
      <c r="I6598" s="7" t="str">
        <f>_xlfn.CONCAT(Paper_Reference[[#This Row],[Lvl]:[Paper Description]])</f>
        <v>2XJ8R1276SD400FT MCKAY GTHR 141-4 48 X 1201102100DS009-5000FROSTY WHITE</v>
      </c>
      <c r="J6598" s="7">
        <f>COUNTIF(Paper_Reference[Duplicate Key],Paper_Reference[[#This Row],[Duplicate Key]])</f>
        <v>1</v>
      </c>
    </row>
    <row r="6599" spans="1:10">
      <c r="A6599" s="7">
        <v>2</v>
      </c>
      <c r="B6599" s="8" t="s">
        <v>2120</v>
      </c>
      <c r="C6599" s="8" t="s">
        <v>1639</v>
      </c>
      <c r="D6599" s="7">
        <v>1</v>
      </c>
      <c r="E6599" s="7">
        <v>10</v>
      </c>
      <c r="F6599" s="7">
        <v>1</v>
      </c>
      <c r="G6599" s="8" t="s">
        <v>1241</v>
      </c>
      <c r="H6599" s="8" t="s">
        <v>1242</v>
      </c>
      <c r="I6599" s="7" t="str">
        <f>_xlfn.CONCAT(Paper_Reference[[#This Row],[Lvl]:[Paper Description]])</f>
        <v>2XJ8R1277SD400FT MCKAY GTHR 160-70 48 X 120110110000020-5000Premium Inkjet MPK 9653</v>
      </c>
      <c r="J6599" s="7">
        <f>COUNTIF(Paper_Reference[Duplicate Key],Paper_Reference[[#This Row],[Duplicate Key]])</f>
        <v>1</v>
      </c>
    </row>
    <row r="6600" spans="1:10">
      <c r="A6600" s="7">
        <v>2</v>
      </c>
      <c r="B6600" s="8" t="s">
        <v>2120</v>
      </c>
      <c r="C6600" s="8" t="s">
        <v>1639</v>
      </c>
      <c r="D6600" s="7">
        <v>1</v>
      </c>
      <c r="E6600" s="7">
        <v>10</v>
      </c>
      <c r="F6600" s="7">
        <v>2</v>
      </c>
      <c r="G6600" s="8" t="s">
        <v>6710</v>
      </c>
      <c r="H6600" s="8" t="s">
        <v>5691</v>
      </c>
      <c r="I6600" s="7" t="str">
        <f>_xlfn.CONCAT(Paper_Reference[[#This Row],[Lvl]:[Paper Description]])</f>
        <v>2XJ8R1277SD400FT MCKAY GTHR 160-70 48 X 1201102100DS009-5000FROSTY WHITE</v>
      </c>
      <c r="J6600" s="7">
        <f>COUNTIF(Paper_Reference[Duplicate Key],Paper_Reference[[#This Row],[Duplicate Key]])</f>
        <v>1</v>
      </c>
    </row>
    <row r="6601" spans="1:10">
      <c r="A6601" s="7">
        <v>2</v>
      </c>
      <c r="B6601" s="8" t="s">
        <v>2121</v>
      </c>
      <c r="C6601" s="8" t="s">
        <v>1640</v>
      </c>
      <c r="D6601" s="7">
        <v>1</v>
      </c>
      <c r="E6601" s="7">
        <v>10</v>
      </c>
      <c r="F6601" s="7">
        <v>1</v>
      </c>
      <c r="G6601" s="8" t="s">
        <v>1241</v>
      </c>
      <c r="H6601" s="8" t="s">
        <v>1242</v>
      </c>
      <c r="I6601" s="7" t="str">
        <f>_xlfn.CONCAT(Paper_Reference[[#This Row],[Lvl]:[Paper Description]])</f>
        <v>2XJ8R1278SD400FT MCKAY CORODR 146-5 48 X 120110110000020-5000Premium Inkjet MPK 9653</v>
      </c>
      <c r="J6601" s="7">
        <f>COUNTIF(Paper_Reference[Duplicate Key],Paper_Reference[[#This Row],[Duplicate Key]])</f>
        <v>1</v>
      </c>
    </row>
    <row r="6602" spans="1:10">
      <c r="A6602" s="7">
        <v>2</v>
      </c>
      <c r="B6602" s="8" t="s">
        <v>2121</v>
      </c>
      <c r="C6602" s="8" t="s">
        <v>1640</v>
      </c>
      <c r="D6602" s="7">
        <v>1</v>
      </c>
      <c r="E6602" s="7">
        <v>10</v>
      </c>
      <c r="F6602" s="7">
        <v>2</v>
      </c>
      <c r="G6602" s="8" t="s">
        <v>6710</v>
      </c>
      <c r="H6602" s="8" t="s">
        <v>5691</v>
      </c>
      <c r="I6602" s="7" t="str">
        <f>_xlfn.CONCAT(Paper_Reference[[#This Row],[Lvl]:[Paper Description]])</f>
        <v>2XJ8R1278SD400FT MCKAY CORODR 146-5 48 X 1201102100DS009-5000FROSTY WHITE</v>
      </c>
      <c r="J6602" s="7">
        <f>COUNTIF(Paper_Reference[Duplicate Key],Paper_Reference[[#This Row],[Duplicate Key]])</f>
        <v>1</v>
      </c>
    </row>
    <row r="6603" spans="1:10">
      <c r="A6603" s="7">
        <v>2</v>
      </c>
      <c r="B6603" s="8" t="s">
        <v>2122</v>
      </c>
      <c r="C6603" s="8" t="s">
        <v>1641</v>
      </c>
      <c r="D6603" s="7">
        <v>1</v>
      </c>
      <c r="E6603" s="7">
        <v>10</v>
      </c>
      <c r="F6603" s="7">
        <v>1</v>
      </c>
      <c r="G6603" s="8" t="s">
        <v>1241</v>
      </c>
      <c r="H6603" s="8" t="s">
        <v>1242</v>
      </c>
      <c r="I6603" s="7" t="str">
        <f>_xlfn.CONCAT(Paper_Reference[[#This Row],[Lvl]:[Paper Description]])</f>
        <v>2XJ8R1279SD400FT MCKAY CORODR 146-6 48 X 120110110000020-5000Premium Inkjet MPK 9653</v>
      </c>
      <c r="J6603" s="7">
        <f>COUNTIF(Paper_Reference[Duplicate Key],Paper_Reference[[#This Row],[Duplicate Key]])</f>
        <v>1</v>
      </c>
    </row>
    <row r="6604" spans="1:10">
      <c r="A6604" s="7">
        <v>2</v>
      </c>
      <c r="B6604" s="8" t="s">
        <v>2122</v>
      </c>
      <c r="C6604" s="8" t="s">
        <v>1641</v>
      </c>
      <c r="D6604" s="7">
        <v>1</v>
      </c>
      <c r="E6604" s="7">
        <v>10</v>
      </c>
      <c r="F6604" s="7">
        <v>2</v>
      </c>
      <c r="G6604" s="8" t="s">
        <v>6710</v>
      </c>
      <c r="H6604" s="8" t="s">
        <v>5691</v>
      </c>
      <c r="I6604" s="7" t="str">
        <f>_xlfn.CONCAT(Paper_Reference[[#This Row],[Lvl]:[Paper Description]])</f>
        <v>2XJ8R1279SD400FT MCKAY CORODR 146-6 48 X 1201102100DS009-5000FROSTY WHITE</v>
      </c>
      <c r="J6604" s="7">
        <f>COUNTIF(Paper_Reference[Duplicate Key],Paper_Reference[[#This Row],[Duplicate Key]])</f>
        <v>1</v>
      </c>
    </row>
    <row r="6605" spans="1:10">
      <c r="A6605" s="7">
        <v>2</v>
      </c>
      <c r="B6605" s="8" t="s">
        <v>2123</v>
      </c>
      <c r="C6605" s="8" t="s">
        <v>1642</v>
      </c>
      <c r="D6605" s="7">
        <v>1</v>
      </c>
      <c r="E6605" s="7">
        <v>10</v>
      </c>
      <c r="F6605" s="7">
        <v>1</v>
      </c>
      <c r="G6605" s="8" t="s">
        <v>1241</v>
      </c>
      <c r="H6605" s="8" t="s">
        <v>1242</v>
      </c>
      <c r="I6605" s="7" t="str">
        <f>_xlfn.CONCAT(Paper_Reference[[#This Row],[Lvl]:[Paper Description]])</f>
        <v>2XJ8R1280SD400FT MCKAY CORODR 163-8 48 X 120110110000020-5000Premium Inkjet MPK 9653</v>
      </c>
      <c r="J6605" s="7">
        <f>COUNTIF(Paper_Reference[Duplicate Key],Paper_Reference[[#This Row],[Duplicate Key]])</f>
        <v>1</v>
      </c>
    </row>
    <row r="6606" spans="1:10">
      <c r="A6606" s="7">
        <v>2</v>
      </c>
      <c r="B6606" s="8" t="s">
        <v>2123</v>
      </c>
      <c r="C6606" s="8" t="s">
        <v>1642</v>
      </c>
      <c r="D6606" s="7">
        <v>1</v>
      </c>
      <c r="E6606" s="7">
        <v>10</v>
      </c>
      <c r="F6606" s="7">
        <v>2</v>
      </c>
      <c r="G6606" s="8" t="s">
        <v>6710</v>
      </c>
      <c r="H6606" s="8" t="s">
        <v>5691</v>
      </c>
      <c r="I6606" s="7" t="str">
        <f>_xlfn.CONCAT(Paper_Reference[[#This Row],[Lvl]:[Paper Description]])</f>
        <v>2XJ8R1280SD400FT MCKAY CORODR 163-8 48 X 1201102100DS009-5000FROSTY WHITE</v>
      </c>
      <c r="J6606" s="7">
        <f>COUNTIF(Paper_Reference[Duplicate Key],Paper_Reference[[#This Row],[Duplicate Key]])</f>
        <v>1</v>
      </c>
    </row>
    <row r="6607" spans="1:10">
      <c r="A6607" s="7">
        <v>2</v>
      </c>
      <c r="B6607" s="8" t="s">
        <v>2124</v>
      </c>
      <c r="C6607" s="8" t="s">
        <v>1643</v>
      </c>
      <c r="D6607" s="7">
        <v>1</v>
      </c>
      <c r="E6607" s="7">
        <v>10</v>
      </c>
      <c r="F6607" s="7">
        <v>1</v>
      </c>
      <c r="G6607" s="8" t="s">
        <v>1241</v>
      </c>
      <c r="H6607" s="8" t="s">
        <v>1242</v>
      </c>
      <c r="I6607" s="7" t="str">
        <f>_xlfn.CONCAT(Paper_Reference[[#This Row],[Lvl]:[Paper Description]])</f>
        <v>2XJ8R1281SD400FT MCKAY CORODR 163-9 48 X 120110110000020-5000Premium Inkjet MPK 9653</v>
      </c>
      <c r="J6607" s="7">
        <f>COUNTIF(Paper_Reference[Duplicate Key],Paper_Reference[[#This Row],[Duplicate Key]])</f>
        <v>1</v>
      </c>
    </row>
    <row r="6608" spans="1:10">
      <c r="A6608" s="7">
        <v>2</v>
      </c>
      <c r="B6608" s="8" t="s">
        <v>2124</v>
      </c>
      <c r="C6608" s="8" t="s">
        <v>1643</v>
      </c>
      <c r="D6608" s="7">
        <v>1</v>
      </c>
      <c r="E6608" s="7">
        <v>10</v>
      </c>
      <c r="F6608" s="7">
        <v>2</v>
      </c>
      <c r="G6608" s="8" t="s">
        <v>6710</v>
      </c>
      <c r="H6608" s="8" t="s">
        <v>5691</v>
      </c>
      <c r="I6608" s="7" t="str">
        <f>_xlfn.CONCAT(Paper_Reference[[#This Row],[Lvl]:[Paper Description]])</f>
        <v>2XJ8R1281SD400FT MCKAY CORODR 163-9 48 X 1201102100DS009-5000FROSTY WHITE</v>
      </c>
      <c r="J6608" s="7">
        <f>COUNTIF(Paper_Reference[Duplicate Key],Paper_Reference[[#This Row],[Duplicate Key]])</f>
        <v>1</v>
      </c>
    </row>
    <row r="6609" spans="1:10">
      <c r="A6609" s="7">
        <v>2</v>
      </c>
      <c r="B6609" s="8" t="s">
        <v>6709</v>
      </c>
      <c r="C6609" s="8" t="s">
        <v>6151</v>
      </c>
      <c r="D6609" s="7">
        <v>1</v>
      </c>
      <c r="E6609" s="7">
        <v>10</v>
      </c>
      <c r="F6609" s="7">
        <v>2</v>
      </c>
      <c r="G6609" s="8" t="s">
        <v>5690</v>
      </c>
      <c r="H6609" s="8" t="s">
        <v>5691</v>
      </c>
      <c r="I6609" s="7" t="str">
        <f>_xlfn.CONCAT(Paper_Reference[[#This Row],[Lvl]:[Paper Description]])</f>
        <v>2XJ8R1284SD500FRL HAMEL 60 X 1201102100DS009-6200FROSTY WHITE</v>
      </c>
      <c r="J6609" s="7">
        <f>COUNTIF(Paper_Reference[Duplicate Key],Paper_Reference[[#This Row],[Duplicate Key]])</f>
        <v>1</v>
      </c>
    </row>
    <row r="6610" spans="1:10">
      <c r="A6610" s="7">
        <v>2</v>
      </c>
      <c r="B6610" s="8" t="s">
        <v>2125</v>
      </c>
      <c r="C6610" s="8" t="s">
        <v>1644</v>
      </c>
      <c r="D6610" s="7">
        <v>1</v>
      </c>
      <c r="E6610" s="7">
        <v>10</v>
      </c>
      <c r="F6610" s="7">
        <v>1</v>
      </c>
      <c r="G6610" s="8" t="s">
        <v>1241</v>
      </c>
      <c r="H6610" s="8" t="s">
        <v>1242</v>
      </c>
      <c r="I6610" s="7" t="str">
        <f>_xlfn.CONCAT(Paper_Reference[[#This Row],[Lvl]:[Paper Description]])</f>
        <v>2XJ8R1285SD400BETH ISRAEL LGL-SD-502G 48X120110110000020-5000Premium Inkjet MPK 9653</v>
      </c>
      <c r="J6610" s="7">
        <f>COUNTIF(Paper_Reference[Duplicate Key],Paper_Reference[[#This Row],[Duplicate Key]])</f>
        <v>1</v>
      </c>
    </row>
    <row r="6611" spans="1:10">
      <c r="A6611" s="7">
        <v>2</v>
      </c>
      <c r="B6611" s="8" t="s">
        <v>2125</v>
      </c>
      <c r="C6611" s="8" t="s">
        <v>1644</v>
      </c>
      <c r="D6611" s="7">
        <v>1</v>
      </c>
      <c r="E6611" s="7">
        <v>10</v>
      </c>
      <c r="F6611" s="7">
        <v>2</v>
      </c>
      <c r="G6611" s="8" t="s">
        <v>6710</v>
      </c>
      <c r="H6611" s="8" t="s">
        <v>5691</v>
      </c>
      <c r="I6611" s="7" t="str">
        <f>_xlfn.CONCAT(Paper_Reference[[#This Row],[Lvl]:[Paper Description]])</f>
        <v>2XJ8R1285SD400BETH ISRAEL LGL-SD-502G 48X1201102100DS009-5000FROSTY WHITE</v>
      </c>
      <c r="J6611" s="7">
        <f>COUNTIF(Paper_Reference[Duplicate Key],Paper_Reference[[#This Row],[Duplicate Key]])</f>
        <v>1</v>
      </c>
    </row>
    <row r="6612" spans="1:10">
      <c r="A6612" s="7">
        <v>2</v>
      </c>
      <c r="B6612" s="8" t="s">
        <v>3033</v>
      </c>
      <c r="C6612" s="8" t="s">
        <v>2542</v>
      </c>
      <c r="D6612" s="7">
        <v>1</v>
      </c>
      <c r="E6612" s="7">
        <v>10</v>
      </c>
      <c r="F6612" s="7">
        <v>1</v>
      </c>
      <c r="G6612" s="8" t="s">
        <v>2144</v>
      </c>
      <c r="H6612" s="8" t="s">
        <v>1242</v>
      </c>
      <c r="I6612" s="7" t="str">
        <f>_xlfn.CONCAT(Paper_Reference[[#This Row],[Lvl]:[Paper Description]])</f>
        <v>2XJ8R1286SD500BETH ISRAEL LGL-SD-501A 60X120110110000020-6200Premium Inkjet MPK 9653</v>
      </c>
      <c r="J6612" s="7">
        <f>COUNTIF(Paper_Reference[Duplicate Key],Paper_Reference[[#This Row],[Duplicate Key]])</f>
        <v>1</v>
      </c>
    </row>
    <row r="6613" spans="1:10">
      <c r="A6613" s="7">
        <v>2</v>
      </c>
      <c r="B6613" s="8" t="s">
        <v>3033</v>
      </c>
      <c r="C6613" s="8" t="s">
        <v>2542</v>
      </c>
      <c r="D6613" s="7">
        <v>1</v>
      </c>
      <c r="E6613" s="7">
        <v>10</v>
      </c>
      <c r="F6613" s="7">
        <v>2</v>
      </c>
      <c r="G6613" s="8" t="s">
        <v>5690</v>
      </c>
      <c r="H6613" s="8" t="s">
        <v>5691</v>
      </c>
      <c r="I6613" s="7" t="str">
        <f>_xlfn.CONCAT(Paper_Reference[[#This Row],[Lvl]:[Paper Description]])</f>
        <v>2XJ8R1286SD500BETH ISRAEL LGL-SD-501A 60X1201102100DS009-6200FROSTY WHITE</v>
      </c>
      <c r="J6613" s="7">
        <f>COUNTIF(Paper_Reference[Duplicate Key],Paper_Reference[[#This Row],[Duplicate Key]])</f>
        <v>1</v>
      </c>
    </row>
    <row r="6614" spans="1:10">
      <c r="A6614" s="7">
        <v>2</v>
      </c>
      <c r="B6614" s="8" t="s">
        <v>3034</v>
      </c>
      <c r="C6614" s="8" t="s">
        <v>2543</v>
      </c>
      <c r="D6614" s="7">
        <v>1</v>
      </c>
      <c r="E6614" s="7">
        <v>10</v>
      </c>
      <c r="F6614" s="7">
        <v>1</v>
      </c>
      <c r="G6614" s="8" t="s">
        <v>2144</v>
      </c>
      <c r="H6614" s="8" t="s">
        <v>1242</v>
      </c>
      <c r="I6614" s="7" t="str">
        <f>_xlfn.CONCAT(Paper_Reference[[#This Row],[Lvl]:[Paper Description]])</f>
        <v>2XJ8R1287SD500BETH ISRAEL LGL-SD-502C 60X120110110000020-6200Premium Inkjet MPK 9653</v>
      </c>
      <c r="J6614" s="7">
        <f>COUNTIF(Paper_Reference[Duplicate Key],Paper_Reference[[#This Row],[Duplicate Key]])</f>
        <v>1</v>
      </c>
    </row>
    <row r="6615" spans="1:10">
      <c r="A6615" s="7">
        <v>2</v>
      </c>
      <c r="B6615" s="8" t="s">
        <v>3034</v>
      </c>
      <c r="C6615" s="8" t="s">
        <v>2543</v>
      </c>
      <c r="D6615" s="7">
        <v>1</v>
      </c>
      <c r="E6615" s="7">
        <v>10</v>
      </c>
      <c r="F6615" s="7">
        <v>2</v>
      </c>
      <c r="G6615" s="8" t="s">
        <v>5690</v>
      </c>
      <c r="H6615" s="8" t="s">
        <v>5691</v>
      </c>
      <c r="I6615" s="7" t="str">
        <f>_xlfn.CONCAT(Paper_Reference[[#This Row],[Lvl]:[Paper Description]])</f>
        <v>2XJ8R1287SD500BETH ISRAEL LGL-SD-502C 60X1201102100DS009-6200FROSTY WHITE</v>
      </c>
      <c r="J6615" s="7">
        <f>COUNTIF(Paper_Reference[Duplicate Key],Paper_Reference[[#This Row],[Duplicate Key]])</f>
        <v>1</v>
      </c>
    </row>
    <row r="6616" spans="1:10">
      <c r="A6616" s="7">
        <v>2</v>
      </c>
      <c r="B6616" s="8" t="s">
        <v>3035</v>
      </c>
      <c r="C6616" s="8" t="s">
        <v>2544</v>
      </c>
      <c r="D6616" s="7">
        <v>1</v>
      </c>
      <c r="E6616" s="7">
        <v>10</v>
      </c>
      <c r="F6616" s="7">
        <v>1</v>
      </c>
      <c r="G6616" s="8" t="s">
        <v>2144</v>
      </c>
      <c r="H6616" s="8" t="s">
        <v>1242</v>
      </c>
      <c r="I6616" s="7" t="str">
        <f>_xlfn.CONCAT(Paper_Reference[[#This Row],[Lvl]:[Paper Description]])</f>
        <v>2XJ8R1288SD500BETH ISRAEL LGL-SD-503B 60X120110110000020-6200Premium Inkjet MPK 9653</v>
      </c>
      <c r="J6616" s="7">
        <f>COUNTIF(Paper_Reference[Duplicate Key],Paper_Reference[[#This Row],[Duplicate Key]])</f>
        <v>1</v>
      </c>
    </row>
    <row r="6617" spans="1:10">
      <c r="A6617" s="7">
        <v>2</v>
      </c>
      <c r="B6617" s="8" t="s">
        <v>3035</v>
      </c>
      <c r="C6617" s="8" t="s">
        <v>2544</v>
      </c>
      <c r="D6617" s="7">
        <v>1</v>
      </c>
      <c r="E6617" s="7">
        <v>10</v>
      </c>
      <c r="F6617" s="7">
        <v>2</v>
      </c>
      <c r="G6617" s="8" t="s">
        <v>5690</v>
      </c>
      <c r="H6617" s="8" t="s">
        <v>5691</v>
      </c>
      <c r="I6617" s="7" t="str">
        <f>_xlfn.CONCAT(Paper_Reference[[#This Row],[Lvl]:[Paper Description]])</f>
        <v>2XJ8R1288SD500BETH ISRAEL LGL-SD-503B 60X1201102100DS009-6200FROSTY WHITE</v>
      </c>
      <c r="J6617" s="7">
        <f>COUNTIF(Paper_Reference[Duplicate Key],Paper_Reference[[#This Row],[Duplicate Key]])</f>
        <v>1</v>
      </c>
    </row>
    <row r="6618" spans="1:10">
      <c r="A6618" s="7">
        <v>2</v>
      </c>
      <c r="B6618" s="8" t="s">
        <v>3036</v>
      </c>
      <c r="C6618" s="8" t="s">
        <v>2545</v>
      </c>
      <c r="D6618" s="7">
        <v>1</v>
      </c>
      <c r="E6618" s="7">
        <v>10</v>
      </c>
      <c r="F6618" s="7">
        <v>1</v>
      </c>
      <c r="G6618" s="8" t="s">
        <v>2144</v>
      </c>
      <c r="H6618" s="8" t="s">
        <v>1242</v>
      </c>
      <c r="I6618" s="7" t="str">
        <f>_xlfn.CONCAT(Paper_Reference[[#This Row],[Lvl]:[Paper Description]])</f>
        <v>2XJ8R1289SD500BETH ISRAEL LGL-SD-503D 60X120110110000020-6200Premium Inkjet MPK 9653</v>
      </c>
      <c r="J6618" s="7">
        <f>COUNTIF(Paper_Reference[Duplicate Key],Paper_Reference[[#This Row],[Duplicate Key]])</f>
        <v>1</v>
      </c>
    </row>
    <row r="6619" spans="1:10">
      <c r="A6619" s="7">
        <v>2</v>
      </c>
      <c r="B6619" s="8" t="s">
        <v>3036</v>
      </c>
      <c r="C6619" s="8" t="s">
        <v>2545</v>
      </c>
      <c r="D6619" s="7">
        <v>1</v>
      </c>
      <c r="E6619" s="7">
        <v>10</v>
      </c>
      <c r="F6619" s="7">
        <v>2</v>
      </c>
      <c r="G6619" s="8" t="s">
        <v>5690</v>
      </c>
      <c r="H6619" s="8" t="s">
        <v>5691</v>
      </c>
      <c r="I6619" s="7" t="str">
        <f>_xlfn.CONCAT(Paper_Reference[[#This Row],[Lvl]:[Paper Description]])</f>
        <v>2XJ8R1289SD500BETH ISRAEL LGL-SD-503D 60X1201102100DS009-6200FROSTY WHITE</v>
      </c>
      <c r="J6619" s="7">
        <f>COUNTIF(Paper_Reference[Duplicate Key],Paper_Reference[[#This Row],[Duplicate Key]])</f>
        <v>1</v>
      </c>
    </row>
    <row r="6620" spans="1:10">
      <c r="A6620" s="7">
        <v>2</v>
      </c>
      <c r="B6620" s="8" t="s">
        <v>3037</v>
      </c>
      <c r="C6620" s="8" t="s">
        <v>2546</v>
      </c>
      <c r="D6620" s="7">
        <v>1</v>
      </c>
      <c r="E6620" s="7">
        <v>10</v>
      </c>
      <c r="F6620" s="7">
        <v>1</v>
      </c>
      <c r="G6620" s="8" t="s">
        <v>2144</v>
      </c>
      <c r="H6620" s="8" t="s">
        <v>1242</v>
      </c>
      <c r="I6620" s="7" t="str">
        <f>_xlfn.CONCAT(Paper_Reference[[#This Row],[Lvl]:[Paper Description]])</f>
        <v>2XJ8R1290SD500BETH ISRAEL LGL-SD-504B 60X120110110000020-6200Premium Inkjet MPK 9653</v>
      </c>
      <c r="J6620" s="7">
        <f>COUNTIF(Paper_Reference[Duplicate Key],Paper_Reference[[#This Row],[Duplicate Key]])</f>
        <v>1</v>
      </c>
    </row>
    <row r="6621" spans="1:10">
      <c r="A6621" s="7">
        <v>2</v>
      </c>
      <c r="B6621" s="8" t="s">
        <v>3037</v>
      </c>
      <c r="C6621" s="8" t="s">
        <v>2546</v>
      </c>
      <c r="D6621" s="7">
        <v>1</v>
      </c>
      <c r="E6621" s="7">
        <v>10</v>
      </c>
      <c r="F6621" s="7">
        <v>2</v>
      </c>
      <c r="G6621" s="8" t="s">
        <v>5690</v>
      </c>
      <c r="H6621" s="8" t="s">
        <v>5691</v>
      </c>
      <c r="I6621" s="7" t="str">
        <f>_xlfn.CONCAT(Paper_Reference[[#This Row],[Lvl]:[Paper Description]])</f>
        <v>2XJ8R1290SD500BETH ISRAEL LGL-SD-504B 60X1201102100DS009-6200FROSTY WHITE</v>
      </c>
      <c r="J6621" s="7">
        <f>COUNTIF(Paper_Reference[Duplicate Key],Paper_Reference[[#This Row],[Duplicate Key]])</f>
        <v>1</v>
      </c>
    </row>
    <row r="6622" spans="1:10">
      <c r="A6622" s="7">
        <v>2</v>
      </c>
      <c r="B6622" s="8" t="s">
        <v>3038</v>
      </c>
      <c r="C6622" s="8" t="s">
        <v>2547</v>
      </c>
      <c r="D6622" s="7">
        <v>1</v>
      </c>
      <c r="E6622" s="7">
        <v>10</v>
      </c>
      <c r="F6622" s="7">
        <v>1</v>
      </c>
      <c r="G6622" s="8" t="s">
        <v>2144</v>
      </c>
      <c r="H6622" s="8" t="s">
        <v>1242</v>
      </c>
      <c r="I6622" s="7" t="str">
        <f>_xlfn.CONCAT(Paper_Reference[[#This Row],[Lvl]:[Paper Description]])</f>
        <v>2XJ8R1291SD500BETH ISRAEL LGL-SD-504D 60X120110110000020-6200Premium Inkjet MPK 9653</v>
      </c>
      <c r="J6622" s="7">
        <f>COUNTIF(Paper_Reference[Duplicate Key],Paper_Reference[[#This Row],[Duplicate Key]])</f>
        <v>1</v>
      </c>
    </row>
    <row r="6623" spans="1:10">
      <c r="A6623" s="7">
        <v>2</v>
      </c>
      <c r="B6623" s="8" t="s">
        <v>3038</v>
      </c>
      <c r="C6623" s="8" t="s">
        <v>2547</v>
      </c>
      <c r="D6623" s="7">
        <v>1</v>
      </c>
      <c r="E6623" s="7">
        <v>10</v>
      </c>
      <c r="F6623" s="7">
        <v>2</v>
      </c>
      <c r="G6623" s="8" t="s">
        <v>5690</v>
      </c>
      <c r="H6623" s="8" t="s">
        <v>5691</v>
      </c>
      <c r="I6623" s="7" t="str">
        <f>_xlfn.CONCAT(Paper_Reference[[#This Row],[Lvl]:[Paper Description]])</f>
        <v>2XJ8R1291SD500BETH ISRAEL LGL-SD-504D 60X1201102100DS009-6200FROSTY WHITE</v>
      </c>
      <c r="J6623" s="7">
        <f>COUNTIF(Paper_Reference[Duplicate Key],Paper_Reference[[#This Row],[Duplicate Key]])</f>
        <v>1</v>
      </c>
    </row>
    <row r="6624" spans="1:10">
      <c r="A6624" s="7">
        <v>2</v>
      </c>
      <c r="B6624" s="8" t="s">
        <v>3039</v>
      </c>
      <c r="C6624" s="8" t="s">
        <v>2548</v>
      </c>
      <c r="D6624" s="7">
        <v>1</v>
      </c>
      <c r="E6624" s="7">
        <v>10</v>
      </c>
      <c r="F6624" s="7">
        <v>1</v>
      </c>
      <c r="G6624" s="8" t="s">
        <v>2144</v>
      </c>
      <c r="H6624" s="8" t="s">
        <v>1242</v>
      </c>
      <c r="I6624" s="7" t="str">
        <f>_xlfn.CONCAT(Paper_Reference[[#This Row],[Lvl]:[Paper Description]])</f>
        <v>2XJ8R1292SD500BETH ISRAEL LGL-SD-505B 60X120110110000020-6200Premium Inkjet MPK 9653</v>
      </c>
      <c r="J6624" s="7">
        <f>COUNTIF(Paper_Reference[Duplicate Key],Paper_Reference[[#This Row],[Duplicate Key]])</f>
        <v>1</v>
      </c>
    </row>
    <row r="6625" spans="1:10">
      <c r="A6625" s="7">
        <v>2</v>
      </c>
      <c r="B6625" s="8" t="s">
        <v>3039</v>
      </c>
      <c r="C6625" s="8" t="s">
        <v>2548</v>
      </c>
      <c r="D6625" s="7">
        <v>1</v>
      </c>
      <c r="E6625" s="7">
        <v>10</v>
      </c>
      <c r="F6625" s="7">
        <v>2</v>
      </c>
      <c r="G6625" s="8" t="s">
        <v>5690</v>
      </c>
      <c r="H6625" s="8" t="s">
        <v>5691</v>
      </c>
      <c r="I6625" s="7" t="str">
        <f>_xlfn.CONCAT(Paper_Reference[[#This Row],[Lvl]:[Paper Description]])</f>
        <v>2XJ8R1292SD500BETH ISRAEL LGL-SD-505B 60X1201102100DS009-6200FROSTY WHITE</v>
      </c>
      <c r="J6625" s="7">
        <f>COUNTIF(Paper_Reference[Duplicate Key],Paper_Reference[[#This Row],[Duplicate Key]])</f>
        <v>1</v>
      </c>
    </row>
    <row r="6626" spans="1:10">
      <c r="A6626" s="7">
        <v>2</v>
      </c>
      <c r="B6626" s="8" t="s">
        <v>3040</v>
      </c>
      <c r="C6626" s="8" t="s">
        <v>2549</v>
      </c>
      <c r="D6626" s="7">
        <v>1</v>
      </c>
      <c r="E6626" s="7">
        <v>10</v>
      </c>
      <c r="F6626" s="7">
        <v>1</v>
      </c>
      <c r="G6626" s="8" t="s">
        <v>2144</v>
      </c>
      <c r="H6626" s="8" t="s">
        <v>1242</v>
      </c>
      <c r="I6626" s="7" t="str">
        <f>_xlfn.CONCAT(Paper_Reference[[#This Row],[Lvl]:[Paper Description]])</f>
        <v>2XJ8R1293SD500BETH ISRAEL LGL-SD-505D 60X120110110000020-6200Premium Inkjet MPK 9653</v>
      </c>
      <c r="J6626" s="7">
        <f>COUNTIF(Paper_Reference[Duplicate Key],Paper_Reference[[#This Row],[Duplicate Key]])</f>
        <v>1</v>
      </c>
    </row>
    <row r="6627" spans="1:10">
      <c r="A6627" s="7">
        <v>2</v>
      </c>
      <c r="B6627" s="8" t="s">
        <v>3040</v>
      </c>
      <c r="C6627" s="8" t="s">
        <v>2549</v>
      </c>
      <c r="D6627" s="7">
        <v>1</v>
      </c>
      <c r="E6627" s="7">
        <v>10</v>
      </c>
      <c r="F6627" s="7">
        <v>2</v>
      </c>
      <c r="G6627" s="8" t="s">
        <v>5690</v>
      </c>
      <c r="H6627" s="8" t="s">
        <v>5691</v>
      </c>
      <c r="I6627" s="7" t="str">
        <f>_xlfn.CONCAT(Paper_Reference[[#This Row],[Lvl]:[Paper Description]])</f>
        <v>2XJ8R1293SD500BETH ISRAEL LGL-SD-505D 60X1201102100DS009-6200FROSTY WHITE</v>
      </c>
      <c r="J6627" s="7">
        <f>COUNTIF(Paper_Reference[Duplicate Key],Paper_Reference[[#This Row],[Duplicate Key]])</f>
        <v>1</v>
      </c>
    </row>
    <row r="6628" spans="1:10">
      <c r="A6628" s="7">
        <v>2</v>
      </c>
      <c r="B6628" s="8" t="s">
        <v>3041</v>
      </c>
      <c r="C6628" s="8" t="s">
        <v>2550</v>
      </c>
      <c r="D6628" s="7">
        <v>1</v>
      </c>
      <c r="E6628" s="7">
        <v>10</v>
      </c>
      <c r="F6628" s="7">
        <v>1</v>
      </c>
      <c r="G6628" s="8" t="s">
        <v>2144</v>
      </c>
      <c r="H6628" s="8" t="s">
        <v>1242</v>
      </c>
      <c r="I6628" s="7" t="str">
        <f>_xlfn.CONCAT(Paper_Reference[[#This Row],[Lvl]:[Paper Description]])</f>
        <v>2XJ8R1294SD500BETH ISRAEL LGL-SD-506B 60X120110110000020-6200Premium Inkjet MPK 9653</v>
      </c>
      <c r="J6628" s="7">
        <f>COUNTIF(Paper_Reference[Duplicate Key],Paper_Reference[[#This Row],[Duplicate Key]])</f>
        <v>1</v>
      </c>
    </row>
    <row r="6629" spans="1:10">
      <c r="A6629" s="7">
        <v>2</v>
      </c>
      <c r="B6629" s="8" t="s">
        <v>3041</v>
      </c>
      <c r="C6629" s="8" t="s">
        <v>2550</v>
      </c>
      <c r="D6629" s="7">
        <v>1</v>
      </c>
      <c r="E6629" s="7">
        <v>10</v>
      </c>
      <c r="F6629" s="7">
        <v>2</v>
      </c>
      <c r="G6629" s="8" t="s">
        <v>5690</v>
      </c>
      <c r="H6629" s="8" t="s">
        <v>5691</v>
      </c>
      <c r="I6629" s="7" t="str">
        <f>_xlfn.CONCAT(Paper_Reference[[#This Row],[Lvl]:[Paper Description]])</f>
        <v>2XJ8R1294SD500BETH ISRAEL LGL-SD-506B 60X1201102100DS009-6200FROSTY WHITE</v>
      </c>
      <c r="J6629" s="7">
        <f>COUNTIF(Paper_Reference[Duplicate Key],Paper_Reference[[#This Row],[Duplicate Key]])</f>
        <v>1</v>
      </c>
    </row>
    <row r="6630" spans="1:10">
      <c r="A6630" s="7">
        <v>2</v>
      </c>
      <c r="B6630" s="8" t="s">
        <v>3042</v>
      </c>
      <c r="C6630" s="8" t="s">
        <v>2551</v>
      </c>
      <c r="D6630" s="7">
        <v>1</v>
      </c>
      <c r="E6630" s="7">
        <v>10</v>
      </c>
      <c r="F6630" s="7">
        <v>1</v>
      </c>
      <c r="G6630" s="8" t="s">
        <v>2144</v>
      </c>
      <c r="H6630" s="8" t="s">
        <v>1242</v>
      </c>
      <c r="I6630" s="7" t="str">
        <f>_xlfn.CONCAT(Paper_Reference[[#This Row],[Lvl]:[Paper Description]])</f>
        <v>2XJ8R1295SD500BETH ISRAEL LGL-SD-506D 60X120110110000020-6200Premium Inkjet MPK 9653</v>
      </c>
      <c r="J6630" s="7">
        <f>COUNTIF(Paper_Reference[Duplicate Key],Paper_Reference[[#This Row],[Duplicate Key]])</f>
        <v>1</v>
      </c>
    </row>
    <row r="6631" spans="1:10">
      <c r="A6631" s="7">
        <v>2</v>
      </c>
      <c r="B6631" s="8" t="s">
        <v>3042</v>
      </c>
      <c r="C6631" s="8" t="s">
        <v>2551</v>
      </c>
      <c r="D6631" s="7">
        <v>1</v>
      </c>
      <c r="E6631" s="7">
        <v>10</v>
      </c>
      <c r="F6631" s="7">
        <v>2</v>
      </c>
      <c r="G6631" s="8" t="s">
        <v>5690</v>
      </c>
      <c r="H6631" s="8" t="s">
        <v>5691</v>
      </c>
      <c r="I6631" s="7" t="str">
        <f>_xlfn.CONCAT(Paper_Reference[[#This Row],[Lvl]:[Paper Description]])</f>
        <v>2XJ8R1295SD500BETH ISRAEL LGL-SD-506D 60X1201102100DS009-6200FROSTY WHITE</v>
      </c>
      <c r="J6631" s="7">
        <f>COUNTIF(Paper_Reference[Duplicate Key],Paper_Reference[[#This Row],[Duplicate Key]])</f>
        <v>1</v>
      </c>
    </row>
    <row r="6632" spans="1:10">
      <c r="A6632" s="7">
        <v>2</v>
      </c>
      <c r="B6632" s="8" t="s">
        <v>3043</v>
      </c>
      <c r="C6632" s="8" t="s">
        <v>2552</v>
      </c>
      <c r="D6632" s="7">
        <v>1</v>
      </c>
      <c r="E6632" s="7">
        <v>10</v>
      </c>
      <c r="F6632" s="7">
        <v>1</v>
      </c>
      <c r="G6632" s="8" t="s">
        <v>2144</v>
      </c>
      <c r="H6632" s="8" t="s">
        <v>1242</v>
      </c>
      <c r="I6632" s="7" t="str">
        <f>_xlfn.CONCAT(Paper_Reference[[#This Row],[Lvl]:[Paper Description]])</f>
        <v>2XJ8R1296SD500BETH ISRAEL LGL-SD-507B 60X120110110000020-6200Premium Inkjet MPK 9653</v>
      </c>
      <c r="J6632" s="7">
        <f>COUNTIF(Paper_Reference[Duplicate Key],Paper_Reference[[#This Row],[Duplicate Key]])</f>
        <v>1</v>
      </c>
    </row>
    <row r="6633" spans="1:10">
      <c r="A6633" s="7">
        <v>2</v>
      </c>
      <c r="B6633" s="8" t="s">
        <v>3043</v>
      </c>
      <c r="C6633" s="8" t="s">
        <v>2552</v>
      </c>
      <c r="D6633" s="7">
        <v>1</v>
      </c>
      <c r="E6633" s="7">
        <v>10</v>
      </c>
      <c r="F6633" s="7">
        <v>2</v>
      </c>
      <c r="G6633" s="8" t="s">
        <v>5690</v>
      </c>
      <c r="H6633" s="8" t="s">
        <v>5691</v>
      </c>
      <c r="I6633" s="7" t="str">
        <f>_xlfn.CONCAT(Paper_Reference[[#This Row],[Lvl]:[Paper Description]])</f>
        <v>2XJ8R1296SD500BETH ISRAEL LGL-SD-507B 60X1201102100DS009-6200FROSTY WHITE</v>
      </c>
      <c r="J6633" s="7">
        <f>COUNTIF(Paper_Reference[Duplicate Key],Paper_Reference[[#This Row],[Duplicate Key]])</f>
        <v>1</v>
      </c>
    </row>
    <row r="6634" spans="1:10">
      <c r="A6634" s="7">
        <v>2</v>
      </c>
      <c r="B6634" s="8" t="s">
        <v>3044</v>
      </c>
      <c r="C6634" s="8" t="s">
        <v>2553</v>
      </c>
      <c r="D6634" s="7">
        <v>1</v>
      </c>
      <c r="E6634" s="7">
        <v>10</v>
      </c>
      <c r="F6634" s="7">
        <v>1</v>
      </c>
      <c r="G6634" s="8" t="s">
        <v>2144</v>
      </c>
      <c r="H6634" s="8" t="s">
        <v>1242</v>
      </c>
      <c r="I6634" s="7" t="str">
        <f>_xlfn.CONCAT(Paper_Reference[[#This Row],[Lvl]:[Paper Description]])</f>
        <v>2XJ8R1297SD500BETH ISRAEL LGL-SD-507D 60X120110110000020-6200Premium Inkjet MPK 9653</v>
      </c>
      <c r="J6634" s="7">
        <f>COUNTIF(Paper_Reference[Duplicate Key],Paper_Reference[[#This Row],[Duplicate Key]])</f>
        <v>1</v>
      </c>
    </row>
    <row r="6635" spans="1:10">
      <c r="A6635" s="7">
        <v>2</v>
      </c>
      <c r="B6635" s="8" t="s">
        <v>3044</v>
      </c>
      <c r="C6635" s="8" t="s">
        <v>2553</v>
      </c>
      <c r="D6635" s="7">
        <v>1</v>
      </c>
      <c r="E6635" s="7">
        <v>10</v>
      </c>
      <c r="F6635" s="7">
        <v>2</v>
      </c>
      <c r="G6635" s="8" t="s">
        <v>5690</v>
      </c>
      <c r="H6635" s="8" t="s">
        <v>5691</v>
      </c>
      <c r="I6635" s="7" t="str">
        <f>_xlfn.CONCAT(Paper_Reference[[#This Row],[Lvl]:[Paper Description]])</f>
        <v>2XJ8R1297SD500BETH ISRAEL LGL-SD-507D 60X1201102100DS009-6200FROSTY WHITE</v>
      </c>
      <c r="J6635" s="7">
        <f>COUNTIF(Paper_Reference[Duplicate Key],Paper_Reference[[#This Row],[Duplicate Key]])</f>
        <v>1</v>
      </c>
    </row>
    <row r="6636" spans="1:10">
      <c r="A6636" s="7">
        <v>2</v>
      </c>
      <c r="B6636" s="8" t="s">
        <v>2126</v>
      </c>
      <c r="C6636" s="8" t="s">
        <v>1645</v>
      </c>
      <c r="D6636" s="7">
        <v>1</v>
      </c>
      <c r="E6636" s="7">
        <v>10</v>
      </c>
      <c r="F6636" s="7">
        <v>1</v>
      </c>
      <c r="G6636" s="8" t="s">
        <v>1241</v>
      </c>
      <c r="H6636" s="8" t="s">
        <v>1242</v>
      </c>
      <c r="I6636" s="7" t="str">
        <f>_xlfn.CONCAT(Paper_Reference[[#This Row],[Lvl]:[Paper Description]])</f>
        <v>2XJ8R1299SD480ND HOS CHAMBRE T2028 48 X 96110110000020-5000Premium Inkjet MPK 9653</v>
      </c>
      <c r="J6636" s="7">
        <f>COUNTIF(Paper_Reference[Duplicate Key],Paper_Reference[[#This Row],[Duplicate Key]])</f>
        <v>1</v>
      </c>
    </row>
    <row r="6637" spans="1:10">
      <c r="A6637" s="7">
        <v>2</v>
      </c>
      <c r="B6637" s="8" t="s">
        <v>2126</v>
      </c>
      <c r="C6637" s="8" t="s">
        <v>1645</v>
      </c>
      <c r="D6637" s="7">
        <v>1</v>
      </c>
      <c r="E6637" s="7">
        <v>10</v>
      </c>
      <c r="F6637" s="7">
        <v>2</v>
      </c>
      <c r="G6637" s="8" t="s">
        <v>6710</v>
      </c>
      <c r="H6637" s="8" t="s">
        <v>5691</v>
      </c>
      <c r="I6637" s="7" t="str">
        <f>_xlfn.CONCAT(Paper_Reference[[#This Row],[Lvl]:[Paper Description]])</f>
        <v>2XJ8R1299SD480ND HOS CHAMBRE T2028 48 X 961102100DS009-5000FROSTY WHITE</v>
      </c>
      <c r="J6637" s="7">
        <f>COUNTIF(Paper_Reference[Duplicate Key],Paper_Reference[[#This Row],[Duplicate Key]])</f>
        <v>1</v>
      </c>
    </row>
    <row r="6638" spans="1:10">
      <c r="A6638" s="7">
        <v>2</v>
      </c>
      <c r="B6638" s="8" t="s">
        <v>3045</v>
      </c>
      <c r="C6638" s="8" t="s">
        <v>2554</v>
      </c>
      <c r="D6638" s="7">
        <v>1</v>
      </c>
      <c r="E6638" s="7">
        <v>10</v>
      </c>
      <c r="F6638" s="7">
        <v>1</v>
      </c>
      <c r="G6638" s="8" t="s">
        <v>2144</v>
      </c>
      <c r="H6638" s="8" t="s">
        <v>1242</v>
      </c>
      <c r="I6638" s="7" t="str">
        <f>_xlfn.CONCAT(Paper_Reference[[#This Row],[Lvl]:[Paper Description]])</f>
        <v>2XJ8R1300SD580ND HOS CHAMBRE T2029 60 X 96110110000020-6200Premium Inkjet MPK 9653</v>
      </c>
      <c r="J6638" s="7">
        <f>COUNTIF(Paper_Reference[Duplicate Key],Paper_Reference[[#This Row],[Duplicate Key]])</f>
        <v>1</v>
      </c>
    </row>
    <row r="6639" spans="1:10">
      <c r="A6639" s="7">
        <v>2</v>
      </c>
      <c r="B6639" s="8" t="s">
        <v>3045</v>
      </c>
      <c r="C6639" s="8" t="s">
        <v>2554</v>
      </c>
      <c r="D6639" s="7">
        <v>1</v>
      </c>
      <c r="E6639" s="7">
        <v>10</v>
      </c>
      <c r="F6639" s="7">
        <v>2</v>
      </c>
      <c r="G6639" s="8" t="s">
        <v>5690</v>
      </c>
      <c r="H6639" s="8" t="s">
        <v>5691</v>
      </c>
      <c r="I6639" s="7" t="str">
        <f>_xlfn.CONCAT(Paper_Reference[[#This Row],[Lvl]:[Paper Description]])</f>
        <v>2XJ8R1300SD580ND HOS CHAMBRE T2029 60 X 961102100DS009-6200FROSTY WHITE</v>
      </c>
      <c r="J6639" s="7">
        <f>COUNTIF(Paper_Reference[Duplicate Key],Paper_Reference[[#This Row],[Duplicate Key]])</f>
        <v>1</v>
      </c>
    </row>
    <row r="6640" spans="1:10">
      <c r="A6640" s="7">
        <v>2</v>
      </c>
      <c r="B6640" s="8" t="s">
        <v>3046</v>
      </c>
      <c r="C6640" s="8" t="s">
        <v>2555</v>
      </c>
      <c r="D6640" s="7">
        <v>1</v>
      </c>
      <c r="E6640" s="7">
        <v>10</v>
      </c>
      <c r="F6640" s="7">
        <v>1</v>
      </c>
      <c r="G6640" s="8" t="s">
        <v>2144</v>
      </c>
      <c r="H6640" s="8" t="s">
        <v>1242</v>
      </c>
      <c r="I6640" s="7" t="str">
        <f>_xlfn.CONCAT(Paper_Reference[[#This Row],[Lvl]:[Paper Description]])</f>
        <v>2XJ8R1301SD580ND HOS CHAMBRE T2030 60 X 96110110000020-6200Premium Inkjet MPK 9653</v>
      </c>
      <c r="J6640" s="7">
        <f>COUNTIF(Paper_Reference[Duplicate Key],Paper_Reference[[#This Row],[Duplicate Key]])</f>
        <v>1</v>
      </c>
    </row>
    <row r="6641" spans="1:10">
      <c r="A6641" s="7">
        <v>2</v>
      </c>
      <c r="B6641" s="8" t="s">
        <v>3046</v>
      </c>
      <c r="C6641" s="8" t="s">
        <v>2555</v>
      </c>
      <c r="D6641" s="7">
        <v>1</v>
      </c>
      <c r="E6641" s="7">
        <v>10</v>
      </c>
      <c r="F6641" s="7">
        <v>2</v>
      </c>
      <c r="G6641" s="8" t="s">
        <v>5690</v>
      </c>
      <c r="H6641" s="8" t="s">
        <v>5691</v>
      </c>
      <c r="I6641" s="7" t="str">
        <f>_xlfn.CONCAT(Paper_Reference[[#This Row],[Lvl]:[Paper Description]])</f>
        <v>2XJ8R1301SD580ND HOS CHAMBRE T2030 60 X 961102100DS009-6200FROSTY WHITE</v>
      </c>
      <c r="J6641" s="7">
        <f>COUNTIF(Paper_Reference[Duplicate Key],Paper_Reference[[#This Row],[Duplicate Key]])</f>
        <v>1</v>
      </c>
    </row>
    <row r="6642" spans="1:10">
      <c r="A6642" s="7">
        <v>2</v>
      </c>
      <c r="B6642" s="8" t="s">
        <v>3047</v>
      </c>
      <c r="C6642" s="8" t="s">
        <v>2556</v>
      </c>
      <c r="D6642" s="7">
        <v>1</v>
      </c>
      <c r="E6642" s="7">
        <v>10</v>
      </c>
      <c r="F6642" s="7">
        <v>1</v>
      </c>
      <c r="G6642" s="8" t="s">
        <v>2144</v>
      </c>
      <c r="H6642" s="8" t="s">
        <v>1242</v>
      </c>
      <c r="I6642" s="7" t="str">
        <f>_xlfn.CONCAT(Paper_Reference[[#This Row],[Lvl]:[Paper Description]])</f>
        <v>2XJ8R1302SD580ND HOS CHAMBRE T2031 60 X 96110110000020-6200Premium Inkjet MPK 9653</v>
      </c>
      <c r="J6642" s="7">
        <f>COUNTIF(Paper_Reference[Duplicate Key],Paper_Reference[[#This Row],[Duplicate Key]])</f>
        <v>1</v>
      </c>
    </row>
    <row r="6643" spans="1:10">
      <c r="A6643" s="7">
        <v>2</v>
      </c>
      <c r="B6643" s="8" t="s">
        <v>3047</v>
      </c>
      <c r="C6643" s="8" t="s">
        <v>2556</v>
      </c>
      <c r="D6643" s="7">
        <v>1</v>
      </c>
      <c r="E6643" s="7">
        <v>10</v>
      </c>
      <c r="F6643" s="7">
        <v>2</v>
      </c>
      <c r="G6643" s="8" t="s">
        <v>5690</v>
      </c>
      <c r="H6643" s="8" t="s">
        <v>5691</v>
      </c>
      <c r="I6643" s="7" t="str">
        <f>_xlfn.CONCAT(Paper_Reference[[#This Row],[Lvl]:[Paper Description]])</f>
        <v>2XJ8R1302SD580ND HOS CHAMBRE T2031 60 X 961102100DS009-6200FROSTY WHITE</v>
      </c>
      <c r="J6643" s="7">
        <f>COUNTIF(Paper_Reference[Duplicate Key],Paper_Reference[[#This Row],[Duplicate Key]])</f>
        <v>1</v>
      </c>
    </row>
    <row r="6644" spans="1:10">
      <c r="A6644" s="7">
        <v>2</v>
      </c>
      <c r="B6644" s="8" t="s">
        <v>3048</v>
      </c>
      <c r="C6644" s="8" t="s">
        <v>2557</v>
      </c>
      <c r="D6644" s="7">
        <v>1</v>
      </c>
      <c r="E6644" s="7">
        <v>10</v>
      </c>
      <c r="F6644" s="7">
        <v>1</v>
      </c>
      <c r="G6644" s="8" t="s">
        <v>2144</v>
      </c>
      <c r="H6644" s="8" t="s">
        <v>1242</v>
      </c>
      <c r="I6644" s="7" t="str">
        <f>_xlfn.CONCAT(Paper_Reference[[#This Row],[Lvl]:[Paper Description]])</f>
        <v>2XJ8R1303SD580ND HOS CHAMBRE T2033 60 X 96110110000020-6200Premium Inkjet MPK 9653</v>
      </c>
      <c r="J6644" s="7">
        <f>COUNTIF(Paper_Reference[Duplicate Key],Paper_Reference[[#This Row],[Duplicate Key]])</f>
        <v>1</v>
      </c>
    </row>
    <row r="6645" spans="1:10">
      <c r="A6645" s="7">
        <v>2</v>
      </c>
      <c r="B6645" s="8" t="s">
        <v>3048</v>
      </c>
      <c r="C6645" s="8" t="s">
        <v>2557</v>
      </c>
      <c r="D6645" s="7">
        <v>1</v>
      </c>
      <c r="E6645" s="7">
        <v>10</v>
      </c>
      <c r="F6645" s="7">
        <v>2</v>
      </c>
      <c r="G6645" s="8" t="s">
        <v>5690</v>
      </c>
      <c r="H6645" s="8" t="s">
        <v>5691</v>
      </c>
      <c r="I6645" s="7" t="str">
        <f>_xlfn.CONCAT(Paper_Reference[[#This Row],[Lvl]:[Paper Description]])</f>
        <v>2XJ8R1303SD580ND HOS CHAMBRE T2033 60 X 961102100DS009-6200FROSTY WHITE</v>
      </c>
      <c r="J6645" s="7">
        <f>COUNTIF(Paper_Reference[Duplicate Key],Paper_Reference[[#This Row],[Duplicate Key]])</f>
        <v>1</v>
      </c>
    </row>
    <row r="6646" spans="1:10">
      <c r="A6646" s="7">
        <v>2</v>
      </c>
      <c r="B6646" s="8" t="s">
        <v>3049</v>
      </c>
      <c r="C6646" s="8" t="s">
        <v>2558</v>
      </c>
      <c r="D6646" s="7">
        <v>1</v>
      </c>
      <c r="E6646" s="7">
        <v>10</v>
      </c>
      <c r="F6646" s="7">
        <v>1</v>
      </c>
      <c r="G6646" s="8" t="s">
        <v>2144</v>
      </c>
      <c r="H6646" s="8" t="s">
        <v>1242</v>
      </c>
      <c r="I6646" s="7" t="str">
        <f>_xlfn.CONCAT(Paper_Reference[[#This Row],[Lvl]:[Paper Description]])</f>
        <v>2XJ8R1304SD580ND HOS CHAMBRE T2035 60 X 96110110000020-6200Premium Inkjet MPK 9653</v>
      </c>
      <c r="J6646" s="7">
        <f>COUNTIF(Paper_Reference[Duplicate Key],Paper_Reference[[#This Row],[Duplicate Key]])</f>
        <v>1</v>
      </c>
    </row>
    <row r="6647" spans="1:10">
      <c r="A6647" s="7">
        <v>2</v>
      </c>
      <c r="B6647" s="8" t="s">
        <v>3049</v>
      </c>
      <c r="C6647" s="8" t="s">
        <v>2558</v>
      </c>
      <c r="D6647" s="7">
        <v>1</v>
      </c>
      <c r="E6647" s="7">
        <v>10</v>
      </c>
      <c r="F6647" s="7">
        <v>2</v>
      </c>
      <c r="G6647" s="8" t="s">
        <v>5690</v>
      </c>
      <c r="H6647" s="8" t="s">
        <v>5691</v>
      </c>
      <c r="I6647" s="7" t="str">
        <f>_xlfn.CONCAT(Paper_Reference[[#This Row],[Lvl]:[Paper Description]])</f>
        <v>2XJ8R1304SD580ND HOS CHAMBRE T2035 60 X 961102100DS009-6200FROSTY WHITE</v>
      </c>
      <c r="J6647" s="7">
        <f>COUNTIF(Paper_Reference[Duplicate Key],Paper_Reference[[#This Row],[Duplicate Key]])</f>
        <v>1</v>
      </c>
    </row>
    <row r="6648" spans="1:10">
      <c r="A6648" s="7">
        <v>2</v>
      </c>
      <c r="B6648" s="8" t="s">
        <v>3050</v>
      </c>
      <c r="C6648" s="8" t="s">
        <v>2559</v>
      </c>
      <c r="D6648" s="7">
        <v>1</v>
      </c>
      <c r="E6648" s="7">
        <v>10</v>
      </c>
      <c r="F6648" s="7">
        <v>1</v>
      </c>
      <c r="G6648" s="8" t="s">
        <v>2144</v>
      </c>
      <c r="H6648" s="8" t="s">
        <v>1242</v>
      </c>
      <c r="I6648" s="7" t="str">
        <f>_xlfn.CONCAT(Paper_Reference[[#This Row],[Lvl]:[Paper Description]])</f>
        <v>2XJ8R1305SD580ND HOS CHAMBRE T2304 60 X 96110110000020-6200Premium Inkjet MPK 9653</v>
      </c>
      <c r="J6648" s="7">
        <f>COUNTIF(Paper_Reference[Duplicate Key],Paper_Reference[[#This Row],[Duplicate Key]])</f>
        <v>1</v>
      </c>
    </row>
    <row r="6649" spans="1:10">
      <c r="A6649" s="7">
        <v>2</v>
      </c>
      <c r="B6649" s="8" t="s">
        <v>3050</v>
      </c>
      <c r="C6649" s="8" t="s">
        <v>2559</v>
      </c>
      <c r="D6649" s="7">
        <v>1</v>
      </c>
      <c r="E6649" s="7">
        <v>10</v>
      </c>
      <c r="F6649" s="7">
        <v>2</v>
      </c>
      <c r="G6649" s="8" t="s">
        <v>5690</v>
      </c>
      <c r="H6649" s="8" t="s">
        <v>5691</v>
      </c>
      <c r="I6649" s="7" t="str">
        <f>_xlfn.CONCAT(Paper_Reference[[#This Row],[Lvl]:[Paper Description]])</f>
        <v>2XJ8R1305SD580ND HOS CHAMBRE T2304 60 X 961102100DS009-6200FROSTY WHITE</v>
      </c>
      <c r="J6649" s="7">
        <f>COUNTIF(Paper_Reference[Duplicate Key],Paper_Reference[[#This Row],[Duplicate Key]])</f>
        <v>1</v>
      </c>
    </row>
    <row r="6650" spans="1:10">
      <c r="A6650" s="7">
        <v>2</v>
      </c>
      <c r="B6650" s="8" t="s">
        <v>3051</v>
      </c>
      <c r="C6650" s="8" t="s">
        <v>2560</v>
      </c>
      <c r="D6650" s="7">
        <v>1</v>
      </c>
      <c r="E6650" s="7">
        <v>10</v>
      </c>
      <c r="F6650" s="7">
        <v>1</v>
      </c>
      <c r="G6650" s="8" t="s">
        <v>2144</v>
      </c>
      <c r="H6650" s="8" t="s">
        <v>1242</v>
      </c>
      <c r="I6650" s="7" t="str">
        <f>_xlfn.CONCAT(Paper_Reference[[#This Row],[Lvl]:[Paper Description]])</f>
        <v>2XJ8R1306SD580ND HOS CHAMBRE T2306 60 X 96110110000020-6200Premium Inkjet MPK 9653</v>
      </c>
      <c r="J6650" s="7">
        <f>COUNTIF(Paper_Reference[Duplicate Key],Paper_Reference[[#This Row],[Duplicate Key]])</f>
        <v>1</v>
      </c>
    </row>
    <row r="6651" spans="1:10">
      <c r="A6651" s="7">
        <v>2</v>
      </c>
      <c r="B6651" s="8" t="s">
        <v>3051</v>
      </c>
      <c r="C6651" s="8" t="s">
        <v>2560</v>
      </c>
      <c r="D6651" s="7">
        <v>1</v>
      </c>
      <c r="E6651" s="7">
        <v>10</v>
      </c>
      <c r="F6651" s="7">
        <v>2</v>
      </c>
      <c r="G6651" s="8" t="s">
        <v>5690</v>
      </c>
      <c r="H6651" s="8" t="s">
        <v>5691</v>
      </c>
      <c r="I6651" s="7" t="str">
        <f>_xlfn.CONCAT(Paper_Reference[[#This Row],[Lvl]:[Paper Description]])</f>
        <v>2XJ8R1306SD580ND HOS CHAMBRE T2306 60 X 961102100DS009-6200FROSTY WHITE</v>
      </c>
      <c r="J6651" s="7">
        <f>COUNTIF(Paper_Reference[Duplicate Key],Paper_Reference[[#This Row],[Duplicate Key]])</f>
        <v>1</v>
      </c>
    </row>
    <row r="6652" spans="1:10">
      <c r="A6652" s="7">
        <v>2</v>
      </c>
      <c r="B6652" s="8" t="s">
        <v>2127</v>
      </c>
      <c r="C6652" s="8" t="s">
        <v>1646</v>
      </c>
      <c r="D6652" s="7">
        <v>1</v>
      </c>
      <c r="E6652" s="7">
        <v>10</v>
      </c>
      <c r="F6652" s="7">
        <v>1</v>
      </c>
      <c r="G6652" s="8" t="s">
        <v>1241</v>
      </c>
      <c r="H6652" s="8" t="s">
        <v>1242</v>
      </c>
      <c r="I6652" s="7" t="str">
        <f>_xlfn.CONCAT(Paper_Reference[[#This Row],[Lvl]:[Paper Description]])</f>
        <v>2XJ8R1307SD480ND HOS CHAMBRE T2308 48 X 96110110000020-5000Premium Inkjet MPK 9653</v>
      </c>
      <c r="J6652" s="7">
        <f>COUNTIF(Paper_Reference[Duplicate Key],Paper_Reference[[#This Row],[Duplicate Key]])</f>
        <v>1</v>
      </c>
    </row>
    <row r="6653" spans="1:10">
      <c r="A6653" s="7">
        <v>2</v>
      </c>
      <c r="B6653" s="8" t="s">
        <v>2127</v>
      </c>
      <c r="C6653" s="8" t="s">
        <v>1646</v>
      </c>
      <c r="D6653" s="7">
        <v>1</v>
      </c>
      <c r="E6653" s="7">
        <v>10</v>
      </c>
      <c r="F6653" s="7">
        <v>2</v>
      </c>
      <c r="G6653" s="8" t="s">
        <v>6710</v>
      </c>
      <c r="H6653" s="8" t="s">
        <v>5691</v>
      </c>
      <c r="I6653" s="7" t="str">
        <f>_xlfn.CONCAT(Paper_Reference[[#This Row],[Lvl]:[Paper Description]])</f>
        <v>2XJ8R1307SD480ND HOS CHAMBRE T2308 48 X 961102100DS009-5000FROSTY WHITE</v>
      </c>
      <c r="J6653" s="7">
        <f>COUNTIF(Paper_Reference[Duplicate Key],Paper_Reference[[#This Row],[Duplicate Key]])</f>
        <v>1</v>
      </c>
    </row>
    <row r="6654" spans="1:10">
      <c r="A6654" s="7">
        <v>2</v>
      </c>
      <c r="B6654" s="8" t="s">
        <v>3052</v>
      </c>
      <c r="C6654" s="8" t="s">
        <v>2561</v>
      </c>
      <c r="D6654" s="7">
        <v>1</v>
      </c>
      <c r="E6654" s="7">
        <v>10</v>
      </c>
      <c r="F6654" s="7">
        <v>1</v>
      </c>
      <c r="G6654" s="8" t="s">
        <v>2144</v>
      </c>
      <c r="H6654" s="8" t="s">
        <v>1242</v>
      </c>
      <c r="I6654" s="7" t="str">
        <f>_xlfn.CONCAT(Paper_Reference[[#This Row],[Lvl]:[Paper Description]])</f>
        <v>2XJ8R1308SD580ND HOS CHAMBRE T2310 60 X 96110110000020-6200Premium Inkjet MPK 9653</v>
      </c>
      <c r="J6654" s="7">
        <f>COUNTIF(Paper_Reference[Duplicate Key],Paper_Reference[[#This Row],[Duplicate Key]])</f>
        <v>1</v>
      </c>
    </row>
    <row r="6655" spans="1:10">
      <c r="A6655" s="7">
        <v>2</v>
      </c>
      <c r="B6655" s="8" t="s">
        <v>3052</v>
      </c>
      <c r="C6655" s="8" t="s">
        <v>2561</v>
      </c>
      <c r="D6655" s="7">
        <v>1</v>
      </c>
      <c r="E6655" s="7">
        <v>10</v>
      </c>
      <c r="F6655" s="7">
        <v>2</v>
      </c>
      <c r="G6655" s="8" t="s">
        <v>5690</v>
      </c>
      <c r="H6655" s="8" t="s">
        <v>5691</v>
      </c>
      <c r="I6655" s="7" t="str">
        <f>_xlfn.CONCAT(Paper_Reference[[#This Row],[Lvl]:[Paper Description]])</f>
        <v>2XJ8R1308SD580ND HOS CHAMBRE T2310 60 X 961102100DS009-6200FROSTY WHITE</v>
      </c>
      <c r="J6655" s="7">
        <f>COUNTIF(Paper_Reference[Duplicate Key],Paper_Reference[[#This Row],[Duplicate Key]])</f>
        <v>1</v>
      </c>
    </row>
    <row r="6656" spans="1:10">
      <c r="A6656" s="7">
        <v>2</v>
      </c>
      <c r="B6656" s="8" t="s">
        <v>3053</v>
      </c>
      <c r="C6656" s="8" t="s">
        <v>2562</v>
      </c>
      <c r="D6656" s="7">
        <v>1</v>
      </c>
      <c r="E6656" s="7">
        <v>10</v>
      </c>
      <c r="F6656" s="7">
        <v>1</v>
      </c>
      <c r="G6656" s="8" t="s">
        <v>2144</v>
      </c>
      <c r="H6656" s="8" t="s">
        <v>1242</v>
      </c>
      <c r="I6656" s="7" t="str">
        <f>_xlfn.CONCAT(Paper_Reference[[#This Row],[Lvl]:[Paper Description]])</f>
        <v>2XJ8R1309SD580ND HOS CHAMBRE T2312 60 X 96110110000020-6200Premium Inkjet MPK 9653</v>
      </c>
      <c r="J6656" s="7">
        <f>COUNTIF(Paper_Reference[Duplicate Key],Paper_Reference[[#This Row],[Duplicate Key]])</f>
        <v>1</v>
      </c>
    </row>
    <row r="6657" spans="1:10">
      <c r="A6657" s="7">
        <v>2</v>
      </c>
      <c r="B6657" s="8" t="s">
        <v>3053</v>
      </c>
      <c r="C6657" s="8" t="s">
        <v>2562</v>
      </c>
      <c r="D6657" s="7">
        <v>1</v>
      </c>
      <c r="E6657" s="7">
        <v>10</v>
      </c>
      <c r="F6657" s="7">
        <v>2</v>
      </c>
      <c r="G6657" s="8" t="s">
        <v>5690</v>
      </c>
      <c r="H6657" s="8" t="s">
        <v>5691</v>
      </c>
      <c r="I6657" s="7" t="str">
        <f>_xlfn.CONCAT(Paper_Reference[[#This Row],[Lvl]:[Paper Description]])</f>
        <v>2XJ8R1309SD580ND HOS CHAMBRE T2312 60 X 961102100DS009-6200FROSTY WHITE</v>
      </c>
      <c r="J6657" s="7">
        <f>COUNTIF(Paper_Reference[Duplicate Key],Paper_Reference[[#This Row],[Duplicate Key]])</f>
        <v>1</v>
      </c>
    </row>
    <row r="6658" spans="1:10">
      <c r="A6658" s="7">
        <v>2</v>
      </c>
      <c r="B6658" s="8" t="s">
        <v>3054</v>
      </c>
      <c r="C6658" s="8" t="s">
        <v>2563</v>
      </c>
      <c r="D6658" s="7">
        <v>1</v>
      </c>
      <c r="E6658" s="7">
        <v>10</v>
      </c>
      <c r="F6658" s="7">
        <v>1</v>
      </c>
      <c r="G6658" s="8" t="s">
        <v>2144</v>
      </c>
      <c r="H6658" s="8" t="s">
        <v>1242</v>
      </c>
      <c r="I6658" s="7" t="str">
        <f>_xlfn.CONCAT(Paper_Reference[[#This Row],[Lvl]:[Paper Description]])</f>
        <v>2XJ8R1310SD580ND HOS CHAMBRE T2314 60 X 96110110000020-6200Premium Inkjet MPK 9653</v>
      </c>
      <c r="J6658" s="7">
        <f>COUNTIF(Paper_Reference[Duplicate Key],Paper_Reference[[#This Row],[Duplicate Key]])</f>
        <v>1</v>
      </c>
    </row>
    <row r="6659" spans="1:10">
      <c r="A6659" s="7">
        <v>2</v>
      </c>
      <c r="B6659" s="8" t="s">
        <v>3054</v>
      </c>
      <c r="C6659" s="8" t="s">
        <v>2563</v>
      </c>
      <c r="D6659" s="7">
        <v>1</v>
      </c>
      <c r="E6659" s="7">
        <v>10</v>
      </c>
      <c r="F6659" s="7">
        <v>2</v>
      </c>
      <c r="G6659" s="8" t="s">
        <v>5690</v>
      </c>
      <c r="H6659" s="8" t="s">
        <v>5691</v>
      </c>
      <c r="I6659" s="7" t="str">
        <f>_xlfn.CONCAT(Paper_Reference[[#This Row],[Lvl]:[Paper Description]])</f>
        <v>2XJ8R1310SD580ND HOS CHAMBRE T2314 60 X 961102100DS009-6200FROSTY WHITE</v>
      </c>
      <c r="J6659" s="7">
        <f>COUNTIF(Paper_Reference[Duplicate Key],Paper_Reference[[#This Row],[Duplicate Key]])</f>
        <v>1</v>
      </c>
    </row>
    <row r="6660" spans="1:10">
      <c r="A6660" s="7">
        <v>2</v>
      </c>
      <c r="B6660" s="8" t="s">
        <v>2128</v>
      </c>
      <c r="C6660" s="8" t="s">
        <v>1647</v>
      </c>
      <c r="D6660" s="7">
        <v>1</v>
      </c>
      <c r="E6660" s="7">
        <v>10</v>
      </c>
      <c r="F6660" s="7">
        <v>1</v>
      </c>
      <c r="G6660" s="8" t="s">
        <v>1241</v>
      </c>
      <c r="H6660" s="8" t="s">
        <v>1242</v>
      </c>
      <c r="I6660" s="7" t="str">
        <f>_xlfn.CONCAT(Paper_Reference[[#This Row],[Lvl]:[Paper Description]])</f>
        <v>2XJ8R1311SD480ND HOS CHAMBRE T2318 48 X 96110110000020-5000Premium Inkjet MPK 9653</v>
      </c>
      <c r="J6660" s="7">
        <f>COUNTIF(Paper_Reference[Duplicate Key],Paper_Reference[[#This Row],[Duplicate Key]])</f>
        <v>1</v>
      </c>
    </row>
    <row r="6661" spans="1:10">
      <c r="A6661" s="7">
        <v>2</v>
      </c>
      <c r="B6661" s="8" t="s">
        <v>2128</v>
      </c>
      <c r="C6661" s="8" t="s">
        <v>1647</v>
      </c>
      <c r="D6661" s="7">
        <v>1</v>
      </c>
      <c r="E6661" s="7">
        <v>10</v>
      </c>
      <c r="F6661" s="7">
        <v>2</v>
      </c>
      <c r="G6661" s="8" t="s">
        <v>6710</v>
      </c>
      <c r="H6661" s="8" t="s">
        <v>5691</v>
      </c>
      <c r="I6661" s="7" t="str">
        <f>_xlfn.CONCAT(Paper_Reference[[#This Row],[Lvl]:[Paper Description]])</f>
        <v>2XJ8R1311SD480ND HOS CHAMBRE T2318 48 X 961102100DS009-5000FROSTY WHITE</v>
      </c>
      <c r="J6661" s="7">
        <f>COUNTIF(Paper_Reference[Duplicate Key],Paper_Reference[[#This Row],[Duplicate Key]])</f>
        <v>1</v>
      </c>
    </row>
    <row r="6662" spans="1:10">
      <c r="A6662" s="7">
        <v>2</v>
      </c>
      <c r="B6662" s="8" t="s">
        <v>2129</v>
      </c>
      <c r="C6662" s="8" t="s">
        <v>1648</v>
      </c>
      <c r="D6662" s="7">
        <v>1</v>
      </c>
      <c r="E6662" s="7">
        <v>10</v>
      </c>
      <c r="F6662" s="7">
        <v>1</v>
      </c>
      <c r="G6662" s="8" t="s">
        <v>1241</v>
      </c>
      <c r="H6662" s="8" t="s">
        <v>1242</v>
      </c>
      <c r="I6662" s="7" t="str">
        <f>_xlfn.CONCAT(Paper_Reference[[#This Row],[Lvl]:[Paper Description]])</f>
        <v>2XJ8R1312SD480ND HOS CHAMBRE T2320 48 X 96110110000020-5000Premium Inkjet MPK 9653</v>
      </c>
      <c r="J6662" s="7">
        <f>COUNTIF(Paper_Reference[Duplicate Key],Paper_Reference[[#This Row],[Duplicate Key]])</f>
        <v>1</v>
      </c>
    </row>
    <row r="6663" spans="1:10">
      <c r="A6663" s="7">
        <v>2</v>
      </c>
      <c r="B6663" s="8" t="s">
        <v>2129</v>
      </c>
      <c r="C6663" s="8" t="s">
        <v>1648</v>
      </c>
      <c r="D6663" s="7">
        <v>1</v>
      </c>
      <c r="E6663" s="7">
        <v>10</v>
      </c>
      <c r="F6663" s="7">
        <v>2</v>
      </c>
      <c r="G6663" s="8" t="s">
        <v>6710</v>
      </c>
      <c r="H6663" s="8" t="s">
        <v>5691</v>
      </c>
      <c r="I6663" s="7" t="str">
        <f>_xlfn.CONCAT(Paper_Reference[[#This Row],[Lvl]:[Paper Description]])</f>
        <v>2XJ8R1312SD480ND HOS CHAMBRE T2320 48 X 961102100DS009-5000FROSTY WHITE</v>
      </c>
      <c r="J6663" s="7">
        <f>COUNTIF(Paper_Reference[Duplicate Key],Paper_Reference[[#This Row],[Duplicate Key]])</f>
        <v>1</v>
      </c>
    </row>
    <row r="6664" spans="1:10">
      <c r="A6664" s="7">
        <v>2</v>
      </c>
      <c r="B6664" s="8" t="s">
        <v>3055</v>
      </c>
      <c r="C6664" s="8" t="s">
        <v>2564</v>
      </c>
      <c r="D6664" s="7">
        <v>1</v>
      </c>
      <c r="E6664" s="7">
        <v>10</v>
      </c>
      <c r="F6664" s="7">
        <v>1</v>
      </c>
      <c r="G6664" s="8" t="s">
        <v>2144</v>
      </c>
      <c r="H6664" s="8" t="s">
        <v>1242</v>
      </c>
      <c r="I6664" s="7" t="str">
        <f>_xlfn.CONCAT(Paper_Reference[[#This Row],[Lvl]:[Paper Description]])</f>
        <v>2XJ8R1313SD580ND HOS CHAMBRE T2322 60 X 96110110000020-6200Premium Inkjet MPK 9653</v>
      </c>
      <c r="J6664" s="7">
        <f>COUNTIF(Paper_Reference[Duplicate Key],Paper_Reference[[#This Row],[Duplicate Key]])</f>
        <v>1</v>
      </c>
    </row>
    <row r="6665" spans="1:10">
      <c r="A6665" s="7">
        <v>2</v>
      </c>
      <c r="B6665" s="8" t="s">
        <v>3055</v>
      </c>
      <c r="C6665" s="8" t="s">
        <v>2564</v>
      </c>
      <c r="D6665" s="7">
        <v>1</v>
      </c>
      <c r="E6665" s="7">
        <v>10</v>
      </c>
      <c r="F6665" s="7">
        <v>2</v>
      </c>
      <c r="G6665" s="8" t="s">
        <v>5690</v>
      </c>
      <c r="H6665" s="8" t="s">
        <v>5691</v>
      </c>
      <c r="I6665" s="7" t="str">
        <f>_xlfn.CONCAT(Paper_Reference[[#This Row],[Lvl]:[Paper Description]])</f>
        <v>2XJ8R1313SD580ND HOS CHAMBRE T2322 60 X 961102100DS009-6200FROSTY WHITE</v>
      </c>
      <c r="J6665" s="7">
        <f>COUNTIF(Paper_Reference[Duplicate Key],Paper_Reference[[#This Row],[Duplicate Key]])</f>
        <v>1</v>
      </c>
    </row>
    <row r="6666" spans="1:10">
      <c r="A6666" s="7">
        <v>2</v>
      </c>
      <c r="B6666" s="8" t="s">
        <v>3056</v>
      </c>
      <c r="C6666" s="8" t="s">
        <v>2565</v>
      </c>
      <c r="D6666" s="7">
        <v>1</v>
      </c>
      <c r="E6666" s="7">
        <v>10</v>
      </c>
      <c r="F6666" s="7">
        <v>1</v>
      </c>
      <c r="G6666" s="8" t="s">
        <v>2144</v>
      </c>
      <c r="H6666" s="8" t="s">
        <v>1242</v>
      </c>
      <c r="I6666" s="7" t="str">
        <f>_xlfn.CONCAT(Paper_Reference[[#This Row],[Lvl]:[Paper Description]])</f>
        <v>2XJ8R1322SD580ND HOS CORRIDOR-1 60 X 96110110000020-6200Premium Inkjet MPK 9653</v>
      </c>
      <c r="J6666" s="7">
        <f>COUNTIF(Paper_Reference[Duplicate Key],Paper_Reference[[#This Row],[Duplicate Key]])</f>
        <v>1</v>
      </c>
    </row>
    <row r="6667" spans="1:10">
      <c r="A6667" s="7">
        <v>2</v>
      </c>
      <c r="B6667" s="8" t="s">
        <v>3056</v>
      </c>
      <c r="C6667" s="8" t="s">
        <v>2565</v>
      </c>
      <c r="D6667" s="7">
        <v>1</v>
      </c>
      <c r="E6667" s="7">
        <v>10</v>
      </c>
      <c r="F6667" s="7">
        <v>2</v>
      </c>
      <c r="G6667" s="8" t="s">
        <v>5690</v>
      </c>
      <c r="H6667" s="8" t="s">
        <v>5691</v>
      </c>
      <c r="I6667" s="7" t="str">
        <f>_xlfn.CONCAT(Paper_Reference[[#This Row],[Lvl]:[Paper Description]])</f>
        <v>2XJ8R1322SD580ND HOS CORRIDOR-1 60 X 961102100DS009-6200FROSTY WHITE</v>
      </c>
      <c r="J6667" s="7">
        <f>COUNTIF(Paper_Reference[Duplicate Key],Paper_Reference[[#This Row],[Duplicate Key]])</f>
        <v>1</v>
      </c>
    </row>
    <row r="6668" spans="1:10">
      <c r="A6668" s="7">
        <v>2</v>
      </c>
      <c r="B6668" s="8" t="s">
        <v>3057</v>
      </c>
      <c r="C6668" s="8" t="s">
        <v>2566</v>
      </c>
      <c r="D6668" s="7">
        <v>1</v>
      </c>
      <c r="E6668" s="7">
        <v>10</v>
      </c>
      <c r="F6668" s="7">
        <v>1</v>
      </c>
      <c r="G6668" s="8" t="s">
        <v>2144</v>
      </c>
      <c r="H6668" s="8" t="s">
        <v>1242</v>
      </c>
      <c r="I6668" s="7" t="str">
        <f>_xlfn.CONCAT(Paper_Reference[[#This Row],[Lvl]:[Paper Description]])</f>
        <v>2XJ8R1323SD580ND HOS CORRIDOR-2 60 X 96110110000020-6200Premium Inkjet MPK 9653</v>
      </c>
      <c r="J6668" s="7">
        <f>COUNTIF(Paper_Reference[Duplicate Key],Paper_Reference[[#This Row],[Duplicate Key]])</f>
        <v>1</v>
      </c>
    </row>
    <row r="6669" spans="1:10">
      <c r="A6669" s="7">
        <v>2</v>
      </c>
      <c r="B6669" s="8" t="s">
        <v>3057</v>
      </c>
      <c r="C6669" s="8" t="s">
        <v>2566</v>
      </c>
      <c r="D6669" s="7">
        <v>1</v>
      </c>
      <c r="E6669" s="7">
        <v>10</v>
      </c>
      <c r="F6669" s="7">
        <v>2</v>
      </c>
      <c r="G6669" s="8" t="s">
        <v>5690</v>
      </c>
      <c r="H6669" s="8" t="s">
        <v>5691</v>
      </c>
      <c r="I6669" s="7" t="str">
        <f>_xlfn.CONCAT(Paper_Reference[[#This Row],[Lvl]:[Paper Description]])</f>
        <v>2XJ8R1323SD580ND HOS CORRIDOR-2 60 X 961102100DS009-6200FROSTY WHITE</v>
      </c>
      <c r="J6669" s="7">
        <f>COUNTIF(Paper_Reference[Duplicate Key],Paper_Reference[[#This Row],[Duplicate Key]])</f>
        <v>1</v>
      </c>
    </row>
    <row r="6670" spans="1:10">
      <c r="A6670" s="7">
        <v>2</v>
      </c>
      <c r="B6670" s="8" t="s">
        <v>3058</v>
      </c>
      <c r="C6670" s="8" t="s">
        <v>2567</v>
      </c>
      <c r="D6670" s="7">
        <v>1</v>
      </c>
      <c r="E6670" s="7">
        <v>10</v>
      </c>
      <c r="F6670" s="7">
        <v>1</v>
      </c>
      <c r="G6670" s="8" t="s">
        <v>2144</v>
      </c>
      <c r="H6670" s="8" t="s">
        <v>1242</v>
      </c>
      <c r="I6670" s="7" t="str">
        <f>_xlfn.CONCAT(Paper_Reference[[#This Row],[Lvl]:[Paper Description]])</f>
        <v>2XJ8R1324SD580ND HOS CORRIDOR-3 60 X 96110110000020-6200Premium Inkjet MPK 9653</v>
      </c>
      <c r="J6670" s="7">
        <f>COUNTIF(Paper_Reference[Duplicate Key],Paper_Reference[[#This Row],[Duplicate Key]])</f>
        <v>1</v>
      </c>
    </row>
    <row r="6671" spans="1:10">
      <c r="A6671" s="7">
        <v>2</v>
      </c>
      <c r="B6671" s="8" t="s">
        <v>3058</v>
      </c>
      <c r="C6671" s="8" t="s">
        <v>2567</v>
      </c>
      <c r="D6671" s="7">
        <v>1</v>
      </c>
      <c r="E6671" s="7">
        <v>10</v>
      </c>
      <c r="F6671" s="7">
        <v>2</v>
      </c>
      <c r="G6671" s="8" t="s">
        <v>5690</v>
      </c>
      <c r="H6671" s="8" t="s">
        <v>5691</v>
      </c>
      <c r="I6671" s="7" t="str">
        <f>_xlfn.CONCAT(Paper_Reference[[#This Row],[Lvl]:[Paper Description]])</f>
        <v>2XJ8R1324SD580ND HOS CORRIDOR-3 60 X 961102100DS009-6200FROSTY WHITE</v>
      </c>
      <c r="J6671" s="7">
        <f>COUNTIF(Paper_Reference[Duplicate Key],Paper_Reference[[#This Row],[Duplicate Key]])</f>
        <v>1</v>
      </c>
    </row>
    <row r="6672" spans="1:10">
      <c r="A6672" s="7">
        <v>2</v>
      </c>
      <c r="B6672" s="8" t="s">
        <v>3059</v>
      </c>
      <c r="C6672" s="8" t="s">
        <v>2568</v>
      </c>
      <c r="D6672" s="7">
        <v>1</v>
      </c>
      <c r="E6672" s="7">
        <v>10</v>
      </c>
      <c r="F6672" s="7">
        <v>1</v>
      </c>
      <c r="G6672" s="8" t="s">
        <v>2144</v>
      </c>
      <c r="H6672" s="8" t="s">
        <v>1242</v>
      </c>
      <c r="I6672" s="7" t="str">
        <f>_xlfn.CONCAT(Paper_Reference[[#This Row],[Lvl]:[Paper Description]])</f>
        <v>2XJ8R1328SD580CAN SPRINGS HS WC2-B 60 X 96110110000020-6200Premium Inkjet MPK 9653</v>
      </c>
      <c r="J6672" s="7">
        <f>COUNTIF(Paper_Reference[Duplicate Key],Paper_Reference[[#This Row],[Duplicate Key]])</f>
        <v>1</v>
      </c>
    </row>
    <row r="6673" spans="1:10">
      <c r="A6673" s="7">
        <v>2</v>
      </c>
      <c r="B6673" s="8" t="s">
        <v>3059</v>
      </c>
      <c r="C6673" s="8" t="s">
        <v>2568</v>
      </c>
      <c r="D6673" s="7">
        <v>1</v>
      </c>
      <c r="E6673" s="7">
        <v>10</v>
      </c>
      <c r="F6673" s="7">
        <v>2</v>
      </c>
      <c r="G6673" s="8" t="s">
        <v>5690</v>
      </c>
      <c r="H6673" s="8" t="s">
        <v>5691</v>
      </c>
      <c r="I6673" s="7" t="str">
        <f>_xlfn.CONCAT(Paper_Reference[[#This Row],[Lvl]:[Paper Description]])</f>
        <v>2XJ8R1328SD580CAN SPRINGS HS WC2-B 60 X 961102100DS009-6200FROSTY WHITE</v>
      </c>
      <c r="J6673" s="7">
        <f>COUNTIF(Paper_Reference[Duplicate Key],Paper_Reference[[#This Row],[Duplicate Key]])</f>
        <v>1</v>
      </c>
    </row>
    <row r="6674" spans="1:10">
      <c r="A6674" s="7">
        <v>2</v>
      </c>
      <c r="B6674" s="8" t="s">
        <v>2130</v>
      </c>
      <c r="C6674" s="8" t="s">
        <v>1649</v>
      </c>
      <c r="D6674" s="7">
        <v>1</v>
      </c>
      <c r="E6674" s="7">
        <v>10</v>
      </c>
      <c r="F6674" s="7">
        <v>1</v>
      </c>
      <c r="G6674" s="8" t="s">
        <v>1241</v>
      </c>
      <c r="H6674" s="8" t="s">
        <v>1242</v>
      </c>
      <c r="I6674" s="7" t="str">
        <f>_xlfn.CONCAT(Paper_Reference[[#This Row],[Lvl]:[Paper Description]])</f>
        <v>2XJ8R1329SD480CAN SPRINGS HS WC2-A 48 X 96110110000020-5000Premium Inkjet MPK 9653</v>
      </c>
      <c r="J6674" s="7">
        <f>COUNTIF(Paper_Reference[Duplicate Key],Paper_Reference[[#This Row],[Duplicate Key]])</f>
        <v>1</v>
      </c>
    </row>
    <row r="6675" spans="1:10">
      <c r="A6675" s="7">
        <v>2</v>
      </c>
      <c r="B6675" s="8" t="s">
        <v>2130</v>
      </c>
      <c r="C6675" s="8" t="s">
        <v>1649</v>
      </c>
      <c r="D6675" s="7">
        <v>1</v>
      </c>
      <c r="E6675" s="7">
        <v>10</v>
      </c>
      <c r="F6675" s="7">
        <v>2</v>
      </c>
      <c r="G6675" s="8" t="s">
        <v>6710</v>
      </c>
      <c r="H6675" s="8" t="s">
        <v>5691</v>
      </c>
      <c r="I6675" s="7" t="str">
        <f>_xlfn.CONCAT(Paper_Reference[[#This Row],[Lvl]:[Paper Description]])</f>
        <v>2XJ8R1329SD480CAN SPRINGS HS WC2-A 48 X 961102100DS009-5000FROSTY WHITE</v>
      </c>
      <c r="J6675" s="7">
        <f>COUNTIF(Paper_Reference[Duplicate Key],Paper_Reference[[#This Row],[Duplicate Key]])</f>
        <v>1</v>
      </c>
    </row>
    <row r="6676" spans="1:10">
      <c r="A6676" s="7">
        <v>2</v>
      </c>
      <c r="B6676" s="8" t="s">
        <v>3060</v>
      </c>
      <c r="C6676" s="8" t="s">
        <v>2569</v>
      </c>
      <c r="D6676" s="7">
        <v>1</v>
      </c>
      <c r="E6676" s="7">
        <v>10</v>
      </c>
      <c r="F6676" s="7">
        <v>1</v>
      </c>
      <c r="G6676" s="8" t="s">
        <v>2144</v>
      </c>
      <c r="H6676" s="8" t="s">
        <v>1242</v>
      </c>
      <c r="I6676" s="7" t="str">
        <f>_xlfn.CONCAT(Paper_Reference[[#This Row],[Lvl]:[Paper Description]])</f>
        <v>2XJ8R1330SD500CAN SPRINGS HS WC2-F 60 X 120110110000020-6200Premium Inkjet MPK 9653</v>
      </c>
      <c r="J6676" s="7">
        <f>COUNTIF(Paper_Reference[Duplicate Key],Paper_Reference[[#This Row],[Duplicate Key]])</f>
        <v>1</v>
      </c>
    </row>
    <row r="6677" spans="1:10">
      <c r="A6677" s="7">
        <v>2</v>
      </c>
      <c r="B6677" s="8" t="s">
        <v>3060</v>
      </c>
      <c r="C6677" s="8" t="s">
        <v>2569</v>
      </c>
      <c r="D6677" s="7">
        <v>1</v>
      </c>
      <c r="E6677" s="7">
        <v>10</v>
      </c>
      <c r="F6677" s="7">
        <v>2</v>
      </c>
      <c r="G6677" s="8" t="s">
        <v>5690</v>
      </c>
      <c r="H6677" s="8" t="s">
        <v>5691</v>
      </c>
      <c r="I6677" s="7" t="str">
        <f>_xlfn.CONCAT(Paper_Reference[[#This Row],[Lvl]:[Paper Description]])</f>
        <v>2XJ8R1330SD500CAN SPRINGS HS WC2-F 60 X 1201102100DS009-6200FROSTY WHITE</v>
      </c>
      <c r="J6677" s="7">
        <f>COUNTIF(Paper_Reference[Duplicate Key],Paper_Reference[[#This Row],[Duplicate Key]])</f>
        <v>1</v>
      </c>
    </row>
    <row r="6678" spans="1:10">
      <c r="A6678" s="7">
        <v>2</v>
      </c>
      <c r="B6678" s="8" t="s">
        <v>3061</v>
      </c>
      <c r="C6678" s="8" t="s">
        <v>2570</v>
      </c>
      <c r="D6678" s="7">
        <v>1</v>
      </c>
      <c r="E6678" s="7">
        <v>10</v>
      </c>
      <c r="F6678" s="7">
        <v>1</v>
      </c>
      <c r="G6678" s="8" t="s">
        <v>2144</v>
      </c>
      <c r="H6678" s="8" t="s">
        <v>1242</v>
      </c>
      <c r="I6678" s="7" t="str">
        <f>_xlfn.CONCAT(Paper_Reference[[#This Row],[Lvl]:[Paper Description]])</f>
        <v>2XJ8R1331SD500CAN SPRINGS HS WC3-D 60 X 120110110000020-6200Premium Inkjet MPK 9653</v>
      </c>
      <c r="J6678" s="7">
        <f>COUNTIF(Paper_Reference[Duplicate Key],Paper_Reference[[#This Row],[Duplicate Key]])</f>
        <v>1</v>
      </c>
    </row>
    <row r="6679" spans="1:10">
      <c r="A6679" s="7">
        <v>2</v>
      </c>
      <c r="B6679" s="8" t="s">
        <v>3061</v>
      </c>
      <c r="C6679" s="8" t="s">
        <v>2570</v>
      </c>
      <c r="D6679" s="7">
        <v>1</v>
      </c>
      <c r="E6679" s="7">
        <v>10</v>
      </c>
      <c r="F6679" s="7">
        <v>2</v>
      </c>
      <c r="G6679" s="8" t="s">
        <v>5690</v>
      </c>
      <c r="H6679" s="8" t="s">
        <v>5691</v>
      </c>
      <c r="I6679" s="7" t="str">
        <f>_xlfn.CONCAT(Paper_Reference[[#This Row],[Lvl]:[Paper Description]])</f>
        <v>2XJ8R1331SD500CAN SPRINGS HS WC3-D 60 X 1201102100DS009-6200FROSTY WHITE</v>
      </c>
      <c r="J6679" s="7">
        <f>COUNTIF(Paper_Reference[Duplicate Key],Paper_Reference[[#This Row],[Duplicate Key]])</f>
        <v>1</v>
      </c>
    </row>
    <row r="6680" spans="1:10">
      <c r="A6680" s="7">
        <v>2</v>
      </c>
      <c r="B6680" s="8" t="s">
        <v>3062</v>
      </c>
      <c r="C6680" s="8" t="s">
        <v>2571</v>
      </c>
      <c r="D6680" s="7">
        <v>1</v>
      </c>
      <c r="E6680" s="7">
        <v>10</v>
      </c>
      <c r="F6680" s="7">
        <v>1</v>
      </c>
      <c r="G6680" s="8" t="s">
        <v>2144</v>
      </c>
      <c r="H6680" s="8" t="s">
        <v>1242</v>
      </c>
      <c r="I6680" s="7" t="str">
        <f>_xlfn.CONCAT(Paper_Reference[[#This Row],[Lvl]:[Paper Description]])</f>
        <v>2XJ8R1332SD500CAN SPRINGS HS WC3-C 60 X 120110110000020-6200Premium Inkjet MPK 9653</v>
      </c>
      <c r="J6680" s="7">
        <f>COUNTIF(Paper_Reference[Duplicate Key],Paper_Reference[[#This Row],[Duplicate Key]])</f>
        <v>1</v>
      </c>
    </row>
    <row r="6681" spans="1:10">
      <c r="A6681" s="7">
        <v>2</v>
      </c>
      <c r="B6681" s="8" t="s">
        <v>3062</v>
      </c>
      <c r="C6681" s="8" t="s">
        <v>2571</v>
      </c>
      <c r="D6681" s="7">
        <v>1</v>
      </c>
      <c r="E6681" s="7">
        <v>10</v>
      </c>
      <c r="F6681" s="7">
        <v>2</v>
      </c>
      <c r="G6681" s="8" t="s">
        <v>5690</v>
      </c>
      <c r="H6681" s="8" t="s">
        <v>5691</v>
      </c>
      <c r="I6681" s="7" t="str">
        <f>_xlfn.CONCAT(Paper_Reference[[#This Row],[Lvl]:[Paper Description]])</f>
        <v>2XJ8R1332SD500CAN SPRINGS HS WC3-C 60 X 1201102100DS009-6200FROSTY WHITE</v>
      </c>
      <c r="J6681" s="7">
        <f>COUNTIF(Paper_Reference[Duplicate Key],Paper_Reference[[#This Row],[Duplicate Key]])</f>
        <v>1</v>
      </c>
    </row>
    <row r="6682" spans="1:10">
      <c r="A6682" s="7">
        <v>2</v>
      </c>
      <c r="B6682" s="8" t="s">
        <v>3063</v>
      </c>
      <c r="C6682" s="8" t="s">
        <v>2572</v>
      </c>
      <c r="D6682" s="7">
        <v>1</v>
      </c>
      <c r="E6682" s="7">
        <v>10</v>
      </c>
      <c r="F6682" s="7">
        <v>1</v>
      </c>
      <c r="G6682" s="8" t="s">
        <v>2144</v>
      </c>
      <c r="H6682" s="8" t="s">
        <v>1242</v>
      </c>
      <c r="I6682" s="7" t="str">
        <f>_xlfn.CONCAT(Paper_Reference[[#This Row],[Lvl]:[Paper Description]])</f>
        <v>2XJ8R1333SD500CAN SPRINGS HS WC3-A 60 X 120110110000020-6200Premium Inkjet MPK 9653</v>
      </c>
      <c r="J6682" s="7">
        <f>COUNTIF(Paper_Reference[Duplicate Key],Paper_Reference[[#This Row],[Duplicate Key]])</f>
        <v>1</v>
      </c>
    </row>
    <row r="6683" spans="1:10">
      <c r="A6683" s="7">
        <v>2</v>
      </c>
      <c r="B6683" s="8" t="s">
        <v>3063</v>
      </c>
      <c r="C6683" s="8" t="s">
        <v>2572</v>
      </c>
      <c r="D6683" s="7">
        <v>1</v>
      </c>
      <c r="E6683" s="7">
        <v>10</v>
      </c>
      <c r="F6683" s="7">
        <v>2</v>
      </c>
      <c r="G6683" s="8" t="s">
        <v>5690</v>
      </c>
      <c r="H6683" s="8" t="s">
        <v>5691</v>
      </c>
      <c r="I6683" s="7" t="str">
        <f>_xlfn.CONCAT(Paper_Reference[[#This Row],[Lvl]:[Paper Description]])</f>
        <v>2XJ8R1333SD500CAN SPRINGS HS WC3-A 60 X 1201102100DS009-6200FROSTY WHITE</v>
      </c>
      <c r="J6683" s="7">
        <f>COUNTIF(Paper_Reference[Duplicate Key],Paper_Reference[[#This Row],[Duplicate Key]])</f>
        <v>1</v>
      </c>
    </row>
    <row r="6684" spans="1:10">
      <c r="A6684" s="7">
        <v>2</v>
      </c>
      <c r="B6684" s="8" t="s">
        <v>2131</v>
      </c>
      <c r="C6684" s="8" t="s">
        <v>1650</v>
      </c>
      <c r="D6684" s="7">
        <v>1</v>
      </c>
      <c r="E6684" s="7">
        <v>10</v>
      </c>
      <c r="F6684" s="7">
        <v>1</v>
      </c>
      <c r="G6684" s="8" t="s">
        <v>1241</v>
      </c>
      <c r="H6684" s="8" t="s">
        <v>1242</v>
      </c>
      <c r="I6684" s="7" t="str">
        <f>_xlfn.CONCAT(Paper_Reference[[#This Row],[Lvl]:[Paper Description]])</f>
        <v>2XJ8R1334SD400CAN SPRINGS HS WC2-E 48 X 120110110000020-5000Premium Inkjet MPK 9653</v>
      </c>
      <c r="J6684" s="7">
        <f>COUNTIF(Paper_Reference[Duplicate Key],Paper_Reference[[#This Row],[Duplicate Key]])</f>
        <v>1</v>
      </c>
    </row>
    <row r="6685" spans="1:10">
      <c r="A6685" s="7">
        <v>2</v>
      </c>
      <c r="B6685" s="8" t="s">
        <v>2131</v>
      </c>
      <c r="C6685" s="8" t="s">
        <v>1650</v>
      </c>
      <c r="D6685" s="7">
        <v>1</v>
      </c>
      <c r="E6685" s="7">
        <v>10</v>
      </c>
      <c r="F6685" s="7">
        <v>2</v>
      </c>
      <c r="G6685" s="8" t="s">
        <v>6710</v>
      </c>
      <c r="H6685" s="8" t="s">
        <v>5691</v>
      </c>
      <c r="I6685" s="7" t="str">
        <f>_xlfn.CONCAT(Paper_Reference[[#This Row],[Lvl]:[Paper Description]])</f>
        <v>2XJ8R1334SD400CAN SPRINGS HS WC2-E 48 X 1201102100DS009-5000FROSTY WHITE</v>
      </c>
      <c r="J6685" s="7">
        <f>COUNTIF(Paper_Reference[Duplicate Key],Paper_Reference[[#This Row],[Duplicate Key]])</f>
        <v>1</v>
      </c>
    </row>
    <row r="6686" spans="1:10">
      <c r="A6686" s="7">
        <v>2</v>
      </c>
      <c r="B6686" s="8" t="s">
        <v>3064</v>
      </c>
      <c r="C6686" s="8" t="s">
        <v>2573</v>
      </c>
      <c r="D6686" s="7">
        <v>1</v>
      </c>
      <c r="E6686" s="7">
        <v>10</v>
      </c>
      <c r="F6686" s="7">
        <v>1</v>
      </c>
      <c r="G6686" s="8" t="s">
        <v>2144</v>
      </c>
      <c r="H6686" s="8" t="s">
        <v>1242</v>
      </c>
      <c r="I6686" s="7" t="str">
        <f>_xlfn.CONCAT(Paper_Reference[[#This Row],[Lvl]:[Paper Description]])</f>
        <v>2XJ8R1335SD500CAN SPRINGS HS WC3-B 60 X 120110110000020-6200Premium Inkjet MPK 9653</v>
      </c>
      <c r="J6686" s="7">
        <f>COUNTIF(Paper_Reference[Duplicate Key],Paper_Reference[[#This Row],[Duplicate Key]])</f>
        <v>1</v>
      </c>
    </row>
    <row r="6687" spans="1:10">
      <c r="A6687" s="7">
        <v>2</v>
      </c>
      <c r="B6687" s="8" t="s">
        <v>3064</v>
      </c>
      <c r="C6687" s="8" t="s">
        <v>2573</v>
      </c>
      <c r="D6687" s="7">
        <v>1</v>
      </c>
      <c r="E6687" s="7">
        <v>10</v>
      </c>
      <c r="F6687" s="7">
        <v>2</v>
      </c>
      <c r="G6687" s="8" t="s">
        <v>5690</v>
      </c>
      <c r="H6687" s="8" t="s">
        <v>5691</v>
      </c>
      <c r="I6687" s="7" t="str">
        <f>_xlfn.CONCAT(Paper_Reference[[#This Row],[Lvl]:[Paper Description]])</f>
        <v>2XJ8R1335SD500CAN SPRINGS HS WC3-B 60 X 1201102100DS009-6200FROSTY WHITE</v>
      </c>
      <c r="J6687" s="7">
        <f>COUNTIF(Paper_Reference[Duplicate Key],Paper_Reference[[#This Row],[Duplicate Key]])</f>
        <v>1</v>
      </c>
    </row>
    <row r="6688" spans="1:10">
      <c r="A6688" s="7">
        <v>2</v>
      </c>
      <c r="B6688" s="8" t="s">
        <v>2132</v>
      </c>
      <c r="C6688" s="8" t="s">
        <v>1651</v>
      </c>
      <c r="D6688" s="7">
        <v>1</v>
      </c>
      <c r="E6688" s="7">
        <v>10</v>
      </c>
      <c r="F6688" s="7">
        <v>1</v>
      </c>
      <c r="G6688" s="8" t="s">
        <v>1241</v>
      </c>
      <c r="H6688" s="8" t="s">
        <v>1242</v>
      </c>
      <c r="I6688" s="7" t="str">
        <f>_xlfn.CONCAT(Paper_Reference[[#This Row],[Lvl]:[Paper Description]])</f>
        <v>2XJ8R1336SD480CAN SPRINGS HS WC2-C 48 X 96110110000020-5000Premium Inkjet MPK 9653</v>
      </c>
      <c r="J6688" s="7">
        <f>COUNTIF(Paper_Reference[Duplicate Key],Paper_Reference[[#This Row],[Duplicate Key]])</f>
        <v>1</v>
      </c>
    </row>
    <row r="6689" spans="1:10">
      <c r="A6689" s="7">
        <v>2</v>
      </c>
      <c r="B6689" s="8" t="s">
        <v>2132</v>
      </c>
      <c r="C6689" s="8" t="s">
        <v>1651</v>
      </c>
      <c r="D6689" s="7">
        <v>1</v>
      </c>
      <c r="E6689" s="7">
        <v>10</v>
      </c>
      <c r="F6689" s="7">
        <v>2</v>
      </c>
      <c r="G6689" s="8" t="s">
        <v>6710</v>
      </c>
      <c r="H6689" s="8" t="s">
        <v>5691</v>
      </c>
      <c r="I6689" s="7" t="str">
        <f>_xlfn.CONCAT(Paper_Reference[[#This Row],[Lvl]:[Paper Description]])</f>
        <v>2XJ8R1336SD480CAN SPRINGS HS WC2-C 48 X 961102100DS009-5000FROSTY WHITE</v>
      </c>
      <c r="J6689" s="7">
        <f>COUNTIF(Paper_Reference[Duplicate Key],Paper_Reference[[#This Row],[Duplicate Key]])</f>
        <v>1</v>
      </c>
    </row>
    <row r="6690" spans="1:10">
      <c r="A6690" s="7">
        <v>2</v>
      </c>
      <c r="B6690" s="8" t="s">
        <v>3065</v>
      </c>
      <c r="C6690" s="8" t="s">
        <v>2574</v>
      </c>
      <c r="D6690" s="7">
        <v>1</v>
      </c>
      <c r="E6690" s="7">
        <v>10</v>
      </c>
      <c r="F6690" s="7">
        <v>1</v>
      </c>
      <c r="G6690" s="8" t="s">
        <v>2144</v>
      </c>
      <c r="H6690" s="8" t="s">
        <v>1242</v>
      </c>
      <c r="I6690" s="7" t="str">
        <f>_xlfn.CONCAT(Paper_Reference[[#This Row],[Lvl]:[Paper Description]])</f>
        <v>2XJ8R1337SD500CAN SPRINGS HS WC3-H 60 X 120110110000020-6200Premium Inkjet MPK 9653</v>
      </c>
      <c r="J6690" s="7">
        <f>COUNTIF(Paper_Reference[Duplicate Key],Paper_Reference[[#This Row],[Duplicate Key]])</f>
        <v>1</v>
      </c>
    </row>
    <row r="6691" spans="1:10">
      <c r="A6691" s="7">
        <v>2</v>
      </c>
      <c r="B6691" s="8" t="s">
        <v>3065</v>
      </c>
      <c r="C6691" s="8" t="s">
        <v>2574</v>
      </c>
      <c r="D6691" s="7">
        <v>1</v>
      </c>
      <c r="E6691" s="7">
        <v>10</v>
      </c>
      <c r="F6691" s="7">
        <v>2</v>
      </c>
      <c r="G6691" s="8" t="s">
        <v>5690</v>
      </c>
      <c r="H6691" s="8" t="s">
        <v>5691</v>
      </c>
      <c r="I6691" s="7" t="str">
        <f>_xlfn.CONCAT(Paper_Reference[[#This Row],[Lvl]:[Paper Description]])</f>
        <v>2XJ8R1337SD500CAN SPRINGS HS WC3-H 60 X 1201102100DS009-6200FROSTY WHITE</v>
      </c>
      <c r="J6691" s="7">
        <f>COUNTIF(Paper_Reference[Duplicate Key],Paper_Reference[[#This Row],[Duplicate Key]])</f>
        <v>1</v>
      </c>
    </row>
    <row r="6692" spans="1:10">
      <c r="A6692" s="7">
        <v>2</v>
      </c>
      <c r="B6692" s="8" t="s">
        <v>3066</v>
      </c>
      <c r="C6692" s="8" t="s">
        <v>2575</v>
      </c>
      <c r="D6692" s="7">
        <v>1</v>
      </c>
      <c r="E6692" s="7">
        <v>10</v>
      </c>
      <c r="F6692" s="7">
        <v>1</v>
      </c>
      <c r="G6692" s="8" t="s">
        <v>2144</v>
      </c>
      <c r="H6692" s="8" t="s">
        <v>1242</v>
      </c>
      <c r="I6692" s="7" t="str">
        <f>_xlfn.CONCAT(Paper_Reference[[#This Row],[Lvl]:[Paper Description]])</f>
        <v>2XJ8R1338SD500CAN SPRINGS HS WC3-G 60 X 120110110000020-6200Premium Inkjet MPK 9653</v>
      </c>
      <c r="J6692" s="7">
        <f>COUNTIF(Paper_Reference[Duplicate Key],Paper_Reference[[#This Row],[Duplicate Key]])</f>
        <v>1</v>
      </c>
    </row>
    <row r="6693" spans="1:10">
      <c r="A6693" s="7">
        <v>2</v>
      </c>
      <c r="B6693" s="8" t="s">
        <v>3066</v>
      </c>
      <c r="C6693" s="8" t="s">
        <v>2575</v>
      </c>
      <c r="D6693" s="7">
        <v>1</v>
      </c>
      <c r="E6693" s="7">
        <v>10</v>
      </c>
      <c r="F6693" s="7">
        <v>2</v>
      </c>
      <c r="G6693" s="8" t="s">
        <v>5690</v>
      </c>
      <c r="H6693" s="8" t="s">
        <v>5691</v>
      </c>
      <c r="I6693" s="7" t="str">
        <f>_xlfn.CONCAT(Paper_Reference[[#This Row],[Lvl]:[Paper Description]])</f>
        <v>2XJ8R1338SD500CAN SPRINGS HS WC3-G 60 X 1201102100DS009-6200FROSTY WHITE</v>
      </c>
      <c r="J6693" s="7">
        <f>COUNTIF(Paper_Reference[Duplicate Key],Paper_Reference[[#This Row],[Duplicate Key]])</f>
        <v>1</v>
      </c>
    </row>
    <row r="6694" spans="1:10">
      <c r="A6694" s="7">
        <v>2</v>
      </c>
      <c r="B6694" s="8" t="s">
        <v>3067</v>
      </c>
      <c r="C6694" s="8" t="s">
        <v>2576</v>
      </c>
      <c r="D6694" s="7">
        <v>1</v>
      </c>
      <c r="E6694" s="7">
        <v>10</v>
      </c>
      <c r="F6694" s="7">
        <v>1</v>
      </c>
      <c r="G6694" s="8" t="s">
        <v>2144</v>
      </c>
      <c r="H6694" s="8" t="s">
        <v>1242</v>
      </c>
      <c r="I6694" s="7" t="str">
        <f>_xlfn.CONCAT(Paper_Reference[[#This Row],[Lvl]:[Paper Description]])</f>
        <v>2XJ8R1339SD500CAN SPRINGS HS WC3-F 60 X 120110110000020-6200Premium Inkjet MPK 9653</v>
      </c>
      <c r="J6694" s="7">
        <f>COUNTIF(Paper_Reference[Duplicate Key],Paper_Reference[[#This Row],[Duplicate Key]])</f>
        <v>1</v>
      </c>
    </row>
    <row r="6695" spans="1:10">
      <c r="A6695" s="7">
        <v>2</v>
      </c>
      <c r="B6695" s="8" t="s">
        <v>3067</v>
      </c>
      <c r="C6695" s="8" t="s">
        <v>2576</v>
      </c>
      <c r="D6695" s="7">
        <v>1</v>
      </c>
      <c r="E6695" s="7">
        <v>10</v>
      </c>
      <c r="F6695" s="7">
        <v>2</v>
      </c>
      <c r="G6695" s="8" t="s">
        <v>5690</v>
      </c>
      <c r="H6695" s="8" t="s">
        <v>5691</v>
      </c>
      <c r="I6695" s="7" t="str">
        <f>_xlfn.CONCAT(Paper_Reference[[#This Row],[Lvl]:[Paper Description]])</f>
        <v>2XJ8R1339SD500CAN SPRINGS HS WC3-F 60 X 1201102100DS009-6200FROSTY WHITE</v>
      </c>
      <c r="J6695" s="7">
        <f>COUNTIF(Paper_Reference[Duplicate Key],Paper_Reference[[#This Row],[Duplicate Key]])</f>
        <v>1</v>
      </c>
    </row>
    <row r="6696" spans="1:10">
      <c r="A6696" s="7">
        <v>2</v>
      </c>
      <c r="B6696" s="8" t="s">
        <v>3068</v>
      </c>
      <c r="C6696" s="8" t="s">
        <v>2577</v>
      </c>
      <c r="D6696" s="7">
        <v>1</v>
      </c>
      <c r="E6696" s="7">
        <v>10</v>
      </c>
      <c r="F6696" s="7">
        <v>1</v>
      </c>
      <c r="G6696" s="8" t="s">
        <v>2144</v>
      </c>
      <c r="H6696" s="8" t="s">
        <v>1242</v>
      </c>
      <c r="I6696" s="7" t="str">
        <f>_xlfn.CONCAT(Paper_Reference[[#This Row],[Lvl]:[Paper Description]])</f>
        <v>2XJ8R1340SD580CAN SPRINGS HS WC2-G 60 X 96110110000020-6200Premium Inkjet MPK 9653</v>
      </c>
      <c r="J6696" s="7">
        <f>COUNTIF(Paper_Reference[Duplicate Key],Paper_Reference[[#This Row],[Duplicate Key]])</f>
        <v>1</v>
      </c>
    </row>
    <row r="6697" spans="1:10">
      <c r="A6697" s="7">
        <v>2</v>
      </c>
      <c r="B6697" s="8" t="s">
        <v>3068</v>
      </c>
      <c r="C6697" s="8" t="s">
        <v>2577</v>
      </c>
      <c r="D6697" s="7">
        <v>1</v>
      </c>
      <c r="E6697" s="7">
        <v>10</v>
      </c>
      <c r="F6697" s="7">
        <v>2</v>
      </c>
      <c r="G6697" s="8" t="s">
        <v>5690</v>
      </c>
      <c r="H6697" s="8" t="s">
        <v>5691</v>
      </c>
      <c r="I6697" s="7" t="str">
        <f>_xlfn.CONCAT(Paper_Reference[[#This Row],[Lvl]:[Paper Description]])</f>
        <v>2XJ8R1340SD580CAN SPRINGS HS WC2-G 60 X 961102100DS009-6200FROSTY WHITE</v>
      </c>
      <c r="J6697" s="7">
        <f>COUNTIF(Paper_Reference[Duplicate Key],Paper_Reference[[#This Row],[Duplicate Key]])</f>
        <v>1</v>
      </c>
    </row>
    <row r="6698" spans="1:10">
      <c r="A6698" s="7">
        <v>2</v>
      </c>
      <c r="B6698" s="8" t="s">
        <v>2133</v>
      </c>
      <c r="C6698" s="8" t="s">
        <v>1652</v>
      </c>
      <c r="D6698" s="7">
        <v>1</v>
      </c>
      <c r="E6698" s="7">
        <v>10</v>
      </c>
      <c r="F6698" s="7">
        <v>1</v>
      </c>
      <c r="G6698" s="8" t="s">
        <v>1241</v>
      </c>
      <c r="H6698" s="8" t="s">
        <v>1242</v>
      </c>
      <c r="I6698" s="7" t="str">
        <f>_xlfn.CONCAT(Paper_Reference[[#This Row],[Lvl]:[Paper Description]])</f>
        <v>2XJ8R1341SD480CAN SPRINGS HS WC2-H 48 X 96110110000020-5000Premium Inkjet MPK 9653</v>
      </c>
      <c r="J6698" s="7">
        <f>COUNTIF(Paper_Reference[Duplicate Key],Paper_Reference[[#This Row],[Duplicate Key]])</f>
        <v>1</v>
      </c>
    </row>
    <row r="6699" spans="1:10">
      <c r="A6699" s="7">
        <v>2</v>
      </c>
      <c r="B6699" s="8" t="s">
        <v>2133</v>
      </c>
      <c r="C6699" s="8" t="s">
        <v>1652</v>
      </c>
      <c r="D6699" s="7">
        <v>1</v>
      </c>
      <c r="E6699" s="7">
        <v>10</v>
      </c>
      <c r="F6699" s="7">
        <v>2</v>
      </c>
      <c r="G6699" s="8" t="s">
        <v>6710</v>
      </c>
      <c r="H6699" s="8" t="s">
        <v>5691</v>
      </c>
      <c r="I6699" s="7" t="str">
        <f>_xlfn.CONCAT(Paper_Reference[[#This Row],[Lvl]:[Paper Description]])</f>
        <v>2XJ8R1341SD480CAN SPRINGS HS WC2-H 48 X 961102100DS009-5000FROSTY WHITE</v>
      </c>
      <c r="J6699" s="7">
        <f>COUNTIF(Paper_Reference[Duplicate Key],Paper_Reference[[#This Row],[Duplicate Key]])</f>
        <v>1</v>
      </c>
    </row>
    <row r="6700" spans="1:10">
      <c r="A6700" s="7">
        <v>2</v>
      </c>
      <c r="B6700" s="8" t="s">
        <v>2134</v>
      </c>
      <c r="C6700" s="8" t="s">
        <v>1653</v>
      </c>
      <c r="D6700" s="7">
        <v>1</v>
      </c>
      <c r="E6700" s="7">
        <v>10</v>
      </c>
      <c r="F6700" s="7">
        <v>1</v>
      </c>
      <c r="G6700" s="8" t="s">
        <v>1241</v>
      </c>
      <c r="H6700" s="8" t="s">
        <v>1242</v>
      </c>
      <c r="I6700" s="7" t="str">
        <f>_xlfn.CONCAT(Paper_Reference[[#This Row],[Lvl]:[Paper Description]])</f>
        <v>2XJ8R1342SD400CAN SPRINGS HS WC2-D 48 X 120110110000020-5000Premium Inkjet MPK 9653</v>
      </c>
      <c r="J6700" s="7">
        <f>COUNTIF(Paper_Reference[Duplicate Key],Paper_Reference[[#This Row],[Duplicate Key]])</f>
        <v>1</v>
      </c>
    </row>
    <row r="6701" spans="1:10">
      <c r="A6701" s="7">
        <v>2</v>
      </c>
      <c r="B6701" s="8" t="s">
        <v>2134</v>
      </c>
      <c r="C6701" s="8" t="s">
        <v>1653</v>
      </c>
      <c r="D6701" s="7">
        <v>1</v>
      </c>
      <c r="E6701" s="7">
        <v>10</v>
      </c>
      <c r="F6701" s="7">
        <v>2</v>
      </c>
      <c r="G6701" s="8" t="s">
        <v>6710</v>
      </c>
      <c r="H6701" s="8" t="s">
        <v>5691</v>
      </c>
      <c r="I6701" s="7" t="str">
        <f>_xlfn.CONCAT(Paper_Reference[[#This Row],[Lvl]:[Paper Description]])</f>
        <v>2XJ8R1342SD400CAN SPRINGS HS WC2-D 48 X 1201102100DS009-5000FROSTY WHITE</v>
      </c>
      <c r="J6701" s="7">
        <f>COUNTIF(Paper_Reference[Duplicate Key],Paper_Reference[[#This Row],[Duplicate Key]])</f>
        <v>1</v>
      </c>
    </row>
    <row r="6702" spans="1:10">
      <c r="A6702" s="7">
        <v>2</v>
      </c>
      <c r="B6702" s="8" t="s">
        <v>3069</v>
      </c>
      <c r="C6702" s="8" t="s">
        <v>2578</v>
      </c>
      <c r="D6702" s="7">
        <v>1</v>
      </c>
      <c r="E6702" s="7">
        <v>10</v>
      </c>
      <c r="F6702" s="7">
        <v>1</v>
      </c>
      <c r="G6702" s="8" t="s">
        <v>2144</v>
      </c>
      <c r="H6702" s="8" t="s">
        <v>1242</v>
      </c>
      <c r="I6702" s="7" t="str">
        <f>_xlfn.CONCAT(Paper_Reference[[#This Row],[Lvl]:[Paper Description]])</f>
        <v>2XJ8R1343SD500CAN SPRINGS HS WC3-E 60 X 120110110000020-6200Premium Inkjet MPK 9653</v>
      </c>
      <c r="J6702" s="7">
        <f>COUNTIF(Paper_Reference[Duplicate Key],Paper_Reference[[#This Row],[Duplicate Key]])</f>
        <v>1</v>
      </c>
    </row>
    <row r="6703" spans="1:10">
      <c r="A6703" s="7">
        <v>2</v>
      </c>
      <c r="B6703" s="8" t="s">
        <v>3069</v>
      </c>
      <c r="C6703" s="8" t="s">
        <v>2578</v>
      </c>
      <c r="D6703" s="7">
        <v>1</v>
      </c>
      <c r="E6703" s="7">
        <v>10</v>
      </c>
      <c r="F6703" s="7">
        <v>2</v>
      </c>
      <c r="G6703" s="8" t="s">
        <v>5690</v>
      </c>
      <c r="H6703" s="8" t="s">
        <v>5691</v>
      </c>
      <c r="I6703" s="7" t="str">
        <f>_xlfn.CONCAT(Paper_Reference[[#This Row],[Lvl]:[Paper Description]])</f>
        <v>2XJ8R1343SD500CAN SPRINGS HS WC3-E 60 X 1201102100DS009-6200FROSTY WHITE</v>
      </c>
      <c r="J6703" s="7">
        <f>COUNTIF(Paper_Reference[Duplicate Key],Paper_Reference[[#This Row],[Duplicate Key]])</f>
        <v>1</v>
      </c>
    </row>
    <row r="6704" spans="1:10">
      <c r="A6704" s="7">
        <v>2</v>
      </c>
      <c r="B6704" s="8" t="s">
        <v>3070</v>
      </c>
      <c r="C6704" s="8" t="s">
        <v>2579</v>
      </c>
      <c r="D6704" s="7">
        <v>1</v>
      </c>
      <c r="E6704" s="7">
        <v>10</v>
      </c>
      <c r="F6704" s="7">
        <v>1</v>
      </c>
      <c r="G6704" s="8" t="s">
        <v>2144</v>
      </c>
      <c r="H6704" s="8" t="s">
        <v>1242</v>
      </c>
      <c r="I6704" s="7" t="str">
        <f>_xlfn.CONCAT(Paper_Reference[[#This Row],[Lvl]:[Paper Description]])</f>
        <v>2XJ8R1345SD500EGUSD MIWOK WELCOME 60X120110110000020-6200Premium Inkjet MPK 9653</v>
      </c>
      <c r="J6704" s="7">
        <f>COUNTIF(Paper_Reference[Duplicate Key],Paper_Reference[[#This Row],[Duplicate Key]])</f>
        <v>1</v>
      </c>
    </row>
    <row r="6705" spans="1:10">
      <c r="A6705" s="7">
        <v>2</v>
      </c>
      <c r="B6705" s="8" t="s">
        <v>3070</v>
      </c>
      <c r="C6705" s="8" t="s">
        <v>2579</v>
      </c>
      <c r="D6705" s="7">
        <v>1</v>
      </c>
      <c r="E6705" s="7">
        <v>10</v>
      </c>
      <c r="F6705" s="7">
        <v>2</v>
      </c>
      <c r="G6705" s="8" t="s">
        <v>5690</v>
      </c>
      <c r="H6705" s="8" t="s">
        <v>5691</v>
      </c>
      <c r="I6705" s="7" t="str">
        <f>_xlfn.CONCAT(Paper_Reference[[#This Row],[Lvl]:[Paper Description]])</f>
        <v>2XJ8R1345SD500EGUSD MIWOK WELCOME 60X1201102100DS009-6200FROSTY WHITE</v>
      </c>
      <c r="J6705" s="7">
        <f>COUNTIF(Paper_Reference[Duplicate Key],Paper_Reference[[#This Row],[Duplicate Key]])</f>
        <v>1</v>
      </c>
    </row>
    <row r="6706" spans="1:10">
      <c r="A6706" s="7">
        <v>2</v>
      </c>
      <c r="B6706" s="8" t="s">
        <v>3071</v>
      </c>
      <c r="C6706" s="8" t="s">
        <v>2580</v>
      </c>
      <c r="D6706" s="7">
        <v>1</v>
      </c>
      <c r="E6706" s="7">
        <v>10</v>
      </c>
      <c r="F6706" s="7">
        <v>1</v>
      </c>
      <c r="G6706" s="8" t="s">
        <v>2144</v>
      </c>
      <c r="H6706" s="8" t="s">
        <v>1242</v>
      </c>
      <c r="I6706" s="7" t="str">
        <f>_xlfn.CONCAT(Paper_Reference[[#This Row],[Lvl]:[Paper Description]])</f>
        <v>2XJ8R1346SD500EGUSD MIWOK B1 CANOPY 60X120110110000020-6200Premium Inkjet MPK 9653</v>
      </c>
      <c r="J6706" s="7">
        <f>COUNTIF(Paper_Reference[Duplicate Key],Paper_Reference[[#This Row],[Duplicate Key]])</f>
        <v>1</v>
      </c>
    </row>
    <row r="6707" spans="1:10">
      <c r="A6707" s="7">
        <v>2</v>
      </c>
      <c r="B6707" s="8" t="s">
        <v>3071</v>
      </c>
      <c r="C6707" s="8" t="s">
        <v>2580</v>
      </c>
      <c r="D6707" s="7">
        <v>1</v>
      </c>
      <c r="E6707" s="7">
        <v>10</v>
      </c>
      <c r="F6707" s="7">
        <v>2</v>
      </c>
      <c r="G6707" s="8" t="s">
        <v>5690</v>
      </c>
      <c r="H6707" s="8" t="s">
        <v>5691</v>
      </c>
      <c r="I6707" s="7" t="str">
        <f>_xlfn.CONCAT(Paper_Reference[[#This Row],[Lvl]:[Paper Description]])</f>
        <v>2XJ8R1346SD500EGUSD MIWOK B1 CANOPY 60X1201102100DS009-6200FROSTY WHITE</v>
      </c>
      <c r="J6707" s="7">
        <f>COUNTIF(Paper_Reference[Duplicate Key],Paper_Reference[[#This Row],[Duplicate Key]])</f>
        <v>1</v>
      </c>
    </row>
    <row r="6708" spans="1:10">
      <c r="A6708" s="7">
        <v>2</v>
      </c>
      <c r="B6708" s="8" t="s">
        <v>3072</v>
      </c>
      <c r="C6708" s="8" t="s">
        <v>2581</v>
      </c>
      <c r="D6708" s="7">
        <v>1</v>
      </c>
      <c r="E6708" s="7">
        <v>10</v>
      </c>
      <c r="F6708" s="7">
        <v>1</v>
      </c>
      <c r="G6708" s="8" t="s">
        <v>2144</v>
      </c>
      <c r="H6708" s="8" t="s">
        <v>1242</v>
      </c>
      <c r="I6708" s="7" t="str">
        <f>_xlfn.CONCAT(Paper_Reference[[#This Row],[Lvl]:[Paper Description]])</f>
        <v>2XJ8R1347SD500EGUSD MIWOK B2 BIRDS 60X120110110000020-6200Premium Inkjet MPK 9653</v>
      </c>
      <c r="J6708" s="7">
        <f>COUNTIF(Paper_Reference[Duplicate Key],Paper_Reference[[#This Row],[Duplicate Key]])</f>
        <v>1</v>
      </c>
    </row>
    <row r="6709" spans="1:10">
      <c r="A6709" s="7">
        <v>2</v>
      </c>
      <c r="B6709" s="8" t="s">
        <v>3072</v>
      </c>
      <c r="C6709" s="8" t="s">
        <v>2581</v>
      </c>
      <c r="D6709" s="7">
        <v>1</v>
      </c>
      <c r="E6709" s="7">
        <v>10</v>
      </c>
      <c r="F6709" s="7">
        <v>2</v>
      </c>
      <c r="G6709" s="8" t="s">
        <v>5690</v>
      </c>
      <c r="H6709" s="8" t="s">
        <v>5691</v>
      </c>
      <c r="I6709" s="7" t="str">
        <f>_xlfn.CONCAT(Paper_Reference[[#This Row],[Lvl]:[Paper Description]])</f>
        <v>2XJ8R1347SD500EGUSD MIWOK B2 BIRDS 60X1201102100DS009-6200FROSTY WHITE</v>
      </c>
      <c r="J6709" s="7">
        <f>COUNTIF(Paper_Reference[Duplicate Key],Paper_Reference[[#This Row],[Duplicate Key]])</f>
        <v>1</v>
      </c>
    </row>
    <row r="6710" spans="1:10">
      <c r="A6710" s="7">
        <v>2</v>
      </c>
      <c r="B6710" s="8" t="s">
        <v>3073</v>
      </c>
      <c r="C6710" s="8" t="s">
        <v>2582</v>
      </c>
      <c r="D6710" s="7">
        <v>1</v>
      </c>
      <c r="E6710" s="7">
        <v>10</v>
      </c>
      <c r="F6710" s="7">
        <v>1</v>
      </c>
      <c r="G6710" s="8" t="s">
        <v>2144</v>
      </c>
      <c r="H6710" s="8" t="s">
        <v>1242</v>
      </c>
      <c r="I6710" s="7" t="str">
        <f>_xlfn.CONCAT(Paper_Reference[[#This Row],[Lvl]:[Paper Description]])</f>
        <v>2XJ8R1348SD500EGUSD MIWOK C1 PLANTS 60X120110110000020-6200Premium Inkjet MPK 9653</v>
      </c>
      <c r="J6710" s="7">
        <f>COUNTIF(Paper_Reference[Duplicate Key],Paper_Reference[[#This Row],[Duplicate Key]])</f>
        <v>1</v>
      </c>
    </row>
    <row r="6711" spans="1:10">
      <c r="A6711" s="7">
        <v>2</v>
      </c>
      <c r="B6711" s="8" t="s">
        <v>3073</v>
      </c>
      <c r="C6711" s="8" t="s">
        <v>2582</v>
      </c>
      <c r="D6711" s="7">
        <v>1</v>
      </c>
      <c r="E6711" s="7">
        <v>10</v>
      </c>
      <c r="F6711" s="7">
        <v>2</v>
      </c>
      <c r="G6711" s="8" t="s">
        <v>5690</v>
      </c>
      <c r="H6711" s="8" t="s">
        <v>5691</v>
      </c>
      <c r="I6711" s="7" t="str">
        <f>_xlfn.CONCAT(Paper_Reference[[#This Row],[Lvl]:[Paper Description]])</f>
        <v>2XJ8R1348SD500EGUSD MIWOK C1 PLANTS 60X1201102100DS009-6200FROSTY WHITE</v>
      </c>
      <c r="J6711" s="7">
        <f>COUNTIF(Paper_Reference[Duplicate Key],Paper_Reference[[#This Row],[Duplicate Key]])</f>
        <v>1</v>
      </c>
    </row>
    <row r="6712" spans="1:10">
      <c r="A6712" s="7">
        <v>2</v>
      </c>
      <c r="B6712" s="8" t="s">
        <v>3074</v>
      </c>
      <c r="C6712" s="8" t="s">
        <v>2583</v>
      </c>
      <c r="D6712" s="7">
        <v>1</v>
      </c>
      <c r="E6712" s="7">
        <v>10</v>
      </c>
      <c r="F6712" s="7">
        <v>1</v>
      </c>
      <c r="G6712" s="8" t="s">
        <v>2144</v>
      </c>
      <c r="H6712" s="8" t="s">
        <v>1242</v>
      </c>
      <c r="I6712" s="7" t="str">
        <f>_xlfn.CONCAT(Paper_Reference[[#This Row],[Lvl]:[Paper Description]])</f>
        <v>2XJ8R1349SD500EGUSD MIWOK C2 PLANTS 60X120110110000020-6200Premium Inkjet MPK 9653</v>
      </c>
      <c r="J6712" s="7">
        <f>COUNTIF(Paper_Reference[Duplicate Key],Paper_Reference[[#This Row],[Duplicate Key]])</f>
        <v>1</v>
      </c>
    </row>
    <row r="6713" spans="1:10">
      <c r="A6713" s="7">
        <v>2</v>
      </c>
      <c r="B6713" s="8" t="s">
        <v>3074</v>
      </c>
      <c r="C6713" s="8" t="s">
        <v>2583</v>
      </c>
      <c r="D6713" s="7">
        <v>1</v>
      </c>
      <c r="E6713" s="7">
        <v>10</v>
      </c>
      <c r="F6713" s="7">
        <v>2</v>
      </c>
      <c r="G6713" s="8" t="s">
        <v>5690</v>
      </c>
      <c r="H6713" s="8" t="s">
        <v>5691</v>
      </c>
      <c r="I6713" s="7" t="str">
        <f>_xlfn.CONCAT(Paper_Reference[[#This Row],[Lvl]:[Paper Description]])</f>
        <v>2XJ8R1349SD500EGUSD MIWOK C2 PLANTS 60X1201102100DS009-6200FROSTY WHITE</v>
      </c>
      <c r="J6713" s="7">
        <f>COUNTIF(Paper_Reference[Duplicate Key],Paper_Reference[[#This Row],[Duplicate Key]])</f>
        <v>1</v>
      </c>
    </row>
    <row r="6714" spans="1:10">
      <c r="A6714" s="7">
        <v>2</v>
      </c>
      <c r="B6714" s="8" t="s">
        <v>3075</v>
      </c>
      <c r="C6714" s="8" t="s">
        <v>2584</v>
      </c>
      <c r="D6714" s="7">
        <v>1</v>
      </c>
      <c r="E6714" s="7">
        <v>10</v>
      </c>
      <c r="F6714" s="7">
        <v>1</v>
      </c>
      <c r="G6714" s="8" t="s">
        <v>2144</v>
      </c>
      <c r="H6714" s="8" t="s">
        <v>1242</v>
      </c>
      <c r="I6714" s="7" t="str">
        <f>_xlfn.CONCAT(Paper_Reference[[#This Row],[Lvl]:[Paper Description]])</f>
        <v>2XJ8R1350SD500EGUSD MIWOK D1 ANI 2 60X120110110000020-6200Premium Inkjet MPK 9653</v>
      </c>
      <c r="J6714" s="7">
        <f>COUNTIF(Paper_Reference[Duplicate Key],Paper_Reference[[#This Row],[Duplicate Key]])</f>
        <v>1</v>
      </c>
    </row>
    <row r="6715" spans="1:10">
      <c r="A6715" s="7">
        <v>2</v>
      </c>
      <c r="B6715" s="8" t="s">
        <v>3075</v>
      </c>
      <c r="C6715" s="8" t="s">
        <v>2584</v>
      </c>
      <c r="D6715" s="7">
        <v>1</v>
      </c>
      <c r="E6715" s="7">
        <v>10</v>
      </c>
      <c r="F6715" s="7">
        <v>2</v>
      </c>
      <c r="G6715" s="8" t="s">
        <v>5690</v>
      </c>
      <c r="H6715" s="8" t="s">
        <v>5691</v>
      </c>
      <c r="I6715" s="7" t="str">
        <f>_xlfn.CONCAT(Paper_Reference[[#This Row],[Lvl]:[Paper Description]])</f>
        <v>2XJ8R1350SD500EGUSD MIWOK D1 ANI 2 60X1201102100DS009-6200FROSTY WHITE</v>
      </c>
      <c r="J6715" s="7">
        <f>COUNTIF(Paper_Reference[Duplicate Key],Paper_Reference[[#This Row],[Duplicate Key]])</f>
        <v>1</v>
      </c>
    </row>
    <row r="6716" spans="1:10">
      <c r="A6716" s="7">
        <v>2</v>
      </c>
      <c r="B6716" s="8" t="s">
        <v>3076</v>
      </c>
      <c r="C6716" s="8" t="s">
        <v>2585</v>
      </c>
      <c r="D6716" s="7">
        <v>1</v>
      </c>
      <c r="E6716" s="7">
        <v>10</v>
      </c>
      <c r="F6716" s="7">
        <v>1</v>
      </c>
      <c r="G6716" s="8" t="s">
        <v>2144</v>
      </c>
      <c r="H6716" s="8" t="s">
        <v>1242</v>
      </c>
      <c r="I6716" s="7" t="str">
        <f>_xlfn.CONCAT(Paper_Reference[[#This Row],[Lvl]:[Paper Description]])</f>
        <v>2XJ8R1351SD500EGUSD MIWOK D1 ANI 60X120110110000020-6200Premium Inkjet MPK 9653</v>
      </c>
      <c r="J6716" s="7">
        <f>COUNTIF(Paper_Reference[Duplicate Key],Paper_Reference[[#This Row],[Duplicate Key]])</f>
        <v>1</v>
      </c>
    </row>
    <row r="6717" spans="1:10">
      <c r="A6717" s="7">
        <v>2</v>
      </c>
      <c r="B6717" s="8" t="s">
        <v>3076</v>
      </c>
      <c r="C6717" s="8" t="s">
        <v>2585</v>
      </c>
      <c r="D6717" s="7">
        <v>1</v>
      </c>
      <c r="E6717" s="7">
        <v>10</v>
      </c>
      <c r="F6717" s="7">
        <v>2</v>
      </c>
      <c r="G6717" s="8" t="s">
        <v>5690</v>
      </c>
      <c r="H6717" s="8" t="s">
        <v>5691</v>
      </c>
      <c r="I6717" s="7" t="str">
        <f>_xlfn.CONCAT(Paper_Reference[[#This Row],[Lvl]:[Paper Description]])</f>
        <v>2XJ8R1351SD500EGUSD MIWOK D1 ANI 60X1201102100DS009-6200FROSTY WHITE</v>
      </c>
      <c r="J6717" s="7">
        <f>COUNTIF(Paper_Reference[Duplicate Key],Paper_Reference[[#This Row],[Duplicate Key]])</f>
        <v>1</v>
      </c>
    </row>
    <row r="6718" spans="1:10">
      <c r="A6718" s="7">
        <v>2</v>
      </c>
      <c r="B6718" s="8" t="s">
        <v>3077</v>
      </c>
      <c r="C6718" s="8" t="s">
        <v>2586</v>
      </c>
      <c r="D6718" s="7">
        <v>1</v>
      </c>
      <c r="E6718" s="7">
        <v>10</v>
      </c>
      <c r="F6718" s="7">
        <v>1</v>
      </c>
      <c r="G6718" s="8" t="s">
        <v>2144</v>
      </c>
      <c r="H6718" s="8" t="s">
        <v>1242</v>
      </c>
      <c r="I6718" s="7" t="str">
        <f>_xlfn.CONCAT(Paper_Reference[[#This Row],[Lvl]:[Paper Description]])</f>
        <v>2XJ8R1353SD500NATOMAS RIVER WALL 60 X 120110110000020-6200Premium Inkjet MPK 9653</v>
      </c>
      <c r="J6718" s="7">
        <f>COUNTIF(Paper_Reference[Duplicate Key],Paper_Reference[[#This Row],[Duplicate Key]])</f>
        <v>1</v>
      </c>
    </row>
    <row r="6719" spans="1:10">
      <c r="A6719" s="7">
        <v>2</v>
      </c>
      <c r="B6719" s="8" t="s">
        <v>3077</v>
      </c>
      <c r="C6719" s="8" t="s">
        <v>2586</v>
      </c>
      <c r="D6719" s="7">
        <v>1</v>
      </c>
      <c r="E6719" s="7">
        <v>10</v>
      </c>
      <c r="F6719" s="7">
        <v>2</v>
      </c>
      <c r="G6719" s="8" t="s">
        <v>5690</v>
      </c>
      <c r="H6719" s="8" t="s">
        <v>5691</v>
      </c>
      <c r="I6719" s="7" t="str">
        <f>_xlfn.CONCAT(Paper_Reference[[#This Row],[Lvl]:[Paper Description]])</f>
        <v>2XJ8R1353SD500NATOMAS RIVER WALL 60 X 1201102100DS009-6200FROSTY WHITE</v>
      </c>
      <c r="J6719" s="7">
        <f>COUNTIF(Paper_Reference[Duplicate Key],Paper_Reference[[#This Row],[Duplicate Key]])</f>
        <v>1</v>
      </c>
    </row>
    <row r="6720" spans="1:10">
      <c r="A6720" s="7">
        <v>2</v>
      </c>
      <c r="B6720" s="8" t="s">
        <v>2135</v>
      </c>
      <c r="C6720" s="8" t="s">
        <v>1654</v>
      </c>
      <c r="D6720" s="7">
        <v>1</v>
      </c>
      <c r="E6720" s="7">
        <v>10</v>
      </c>
      <c r="F6720" s="7">
        <v>1</v>
      </c>
      <c r="G6720" s="8" t="s">
        <v>1241</v>
      </c>
      <c r="H6720" s="8" t="s">
        <v>1242</v>
      </c>
      <c r="I6720" s="7" t="str">
        <f>_xlfn.CONCAT(Paper_Reference[[#This Row],[Lvl]:[Paper Description]])</f>
        <v>2XJ8R1366SD480NORTH STAR TDHLTH GP1 48 X 96110110000020-5000Premium Inkjet MPK 9653</v>
      </c>
      <c r="J6720" s="7">
        <f>COUNTIF(Paper_Reference[Duplicate Key],Paper_Reference[[#This Row],[Duplicate Key]])</f>
        <v>1</v>
      </c>
    </row>
    <row r="6721" spans="1:10">
      <c r="A6721" s="7">
        <v>2</v>
      </c>
      <c r="B6721" s="8" t="s">
        <v>2135</v>
      </c>
      <c r="C6721" s="8" t="s">
        <v>1654</v>
      </c>
      <c r="D6721" s="7">
        <v>1</v>
      </c>
      <c r="E6721" s="7">
        <v>10</v>
      </c>
      <c r="F6721" s="7">
        <v>2</v>
      </c>
      <c r="G6721" s="8" t="s">
        <v>6710</v>
      </c>
      <c r="H6721" s="8" t="s">
        <v>5691</v>
      </c>
      <c r="I6721" s="7" t="str">
        <f>_xlfn.CONCAT(Paper_Reference[[#This Row],[Lvl]:[Paper Description]])</f>
        <v>2XJ8R1366SD480NORTH STAR TDHLTH GP1 48 X 961102100DS009-5000FROSTY WHITE</v>
      </c>
      <c r="J6721" s="7">
        <f>COUNTIF(Paper_Reference[Duplicate Key],Paper_Reference[[#This Row],[Duplicate Key]])</f>
        <v>1</v>
      </c>
    </row>
    <row r="6722" spans="1:10">
      <c r="A6722" s="7">
        <v>2</v>
      </c>
      <c r="B6722" s="8" t="s">
        <v>2136</v>
      </c>
      <c r="C6722" s="8" t="s">
        <v>1655</v>
      </c>
      <c r="D6722" s="7">
        <v>1</v>
      </c>
      <c r="E6722" s="7">
        <v>10</v>
      </c>
      <c r="F6722" s="7">
        <v>1</v>
      </c>
      <c r="G6722" s="8" t="s">
        <v>1241</v>
      </c>
      <c r="H6722" s="8" t="s">
        <v>1242</v>
      </c>
      <c r="I6722" s="7" t="str">
        <f>_xlfn.CONCAT(Paper_Reference[[#This Row],[Lvl]:[Paper Description]])</f>
        <v>2XJ8R1367SD400DOVER HILL ELEMENTARY 48 X 120110110000020-5000Premium Inkjet MPK 9653</v>
      </c>
      <c r="J6722" s="7">
        <f>COUNTIF(Paper_Reference[Duplicate Key],Paper_Reference[[#This Row],[Duplicate Key]])</f>
        <v>1</v>
      </c>
    </row>
    <row r="6723" spans="1:10">
      <c r="A6723" s="7">
        <v>2</v>
      </c>
      <c r="B6723" s="8" t="s">
        <v>2136</v>
      </c>
      <c r="C6723" s="8" t="s">
        <v>1655</v>
      </c>
      <c r="D6723" s="7">
        <v>1</v>
      </c>
      <c r="E6723" s="7">
        <v>10</v>
      </c>
      <c r="F6723" s="7">
        <v>2</v>
      </c>
      <c r="G6723" s="8" t="s">
        <v>6710</v>
      </c>
      <c r="H6723" s="8" t="s">
        <v>5691</v>
      </c>
      <c r="I6723" s="7" t="str">
        <f>_xlfn.CONCAT(Paper_Reference[[#This Row],[Lvl]:[Paper Description]])</f>
        <v>2XJ8R1367SD400DOVER HILL ELEMENTARY 48 X 1201102100DS009-5000FROSTY WHITE</v>
      </c>
      <c r="J6723" s="7">
        <f>COUNTIF(Paper_Reference[Duplicate Key],Paper_Reference[[#This Row],[Duplicate Key]])</f>
        <v>1</v>
      </c>
    </row>
    <row r="6724" spans="1:10">
      <c r="A6724" s="7">
        <v>2</v>
      </c>
      <c r="B6724" s="8" t="s">
        <v>8299</v>
      </c>
      <c r="C6724" s="8" t="s">
        <v>7359</v>
      </c>
      <c r="D6724" s="7">
        <v>1</v>
      </c>
      <c r="E6724" s="7">
        <v>10</v>
      </c>
      <c r="F6724" s="7">
        <v>2</v>
      </c>
      <c r="G6724" s="8" t="s">
        <v>6710</v>
      </c>
      <c r="H6724" s="8" t="s">
        <v>5691</v>
      </c>
      <c r="I6724" s="7" t="str">
        <f>_xlfn.CONCAT(Paper_Reference[[#This Row],[Lvl]:[Paper Description]])</f>
        <v>2XJ8R1374SD480FERRUCI MS L2 STAIRWALL 48 X 91102100DS009-5000FROSTY WHITE</v>
      </c>
      <c r="J6724" s="7">
        <f>COUNTIF(Paper_Reference[Duplicate Key],Paper_Reference[[#This Row],[Duplicate Key]])</f>
        <v>1</v>
      </c>
    </row>
    <row r="6725" spans="1:10">
      <c r="A6725" s="7">
        <v>2</v>
      </c>
      <c r="B6725" s="8" t="s">
        <v>8300</v>
      </c>
      <c r="C6725" s="8" t="s">
        <v>7360</v>
      </c>
      <c r="D6725" s="7">
        <v>1</v>
      </c>
      <c r="E6725" s="7">
        <v>10</v>
      </c>
      <c r="F6725" s="7">
        <v>2</v>
      </c>
      <c r="G6725" s="8" t="s">
        <v>6710</v>
      </c>
      <c r="H6725" s="8" t="s">
        <v>5691</v>
      </c>
      <c r="I6725" s="7" t="str">
        <f>_xlfn.CONCAT(Paper_Reference[[#This Row],[Lvl]:[Paper Description]])</f>
        <v>2XJ8R1375SD400FERRUCI MS L1 GYM ENT 48 X 1201102100DS009-5000FROSTY WHITE</v>
      </c>
      <c r="J6725" s="7">
        <f>COUNTIF(Paper_Reference[Duplicate Key],Paper_Reference[[#This Row],[Duplicate Key]])</f>
        <v>1</v>
      </c>
    </row>
    <row r="6726" spans="1:10">
      <c r="A6726" s="7">
        <v>2</v>
      </c>
      <c r="B6726" s="8" t="s">
        <v>2137</v>
      </c>
      <c r="C6726" s="8" t="s">
        <v>1656</v>
      </c>
      <c r="D6726" s="7">
        <v>1</v>
      </c>
      <c r="E6726" s="7">
        <v>10</v>
      </c>
      <c r="F6726" s="7">
        <v>1</v>
      </c>
      <c r="G6726" s="8" t="s">
        <v>1241</v>
      </c>
      <c r="H6726" s="8" t="s">
        <v>1242</v>
      </c>
      <c r="I6726" s="7" t="str">
        <f>_xlfn.CONCAT(Paper_Reference[[#This Row],[Lvl]:[Paper Description]])</f>
        <v>2XJ8R1376SD480FERRUCI MS L3 COUGAR 48 X 96110110000020-5000Premium Inkjet MPK 9653</v>
      </c>
      <c r="J6726" s="7">
        <f>COUNTIF(Paper_Reference[Duplicate Key],Paper_Reference[[#This Row],[Duplicate Key]])</f>
        <v>1</v>
      </c>
    </row>
    <row r="6727" spans="1:10">
      <c r="A6727" s="7">
        <v>2</v>
      </c>
      <c r="B6727" s="8" t="s">
        <v>2137</v>
      </c>
      <c r="C6727" s="8" t="s">
        <v>1656</v>
      </c>
      <c r="D6727" s="7">
        <v>1</v>
      </c>
      <c r="E6727" s="7">
        <v>10</v>
      </c>
      <c r="F6727" s="7">
        <v>2</v>
      </c>
      <c r="G6727" s="8" t="s">
        <v>6710</v>
      </c>
      <c r="H6727" s="8" t="s">
        <v>5691</v>
      </c>
      <c r="I6727" s="7" t="str">
        <f>_xlfn.CONCAT(Paper_Reference[[#This Row],[Lvl]:[Paper Description]])</f>
        <v>2XJ8R1376SD480FERRUCI MS L3 COUGAR 48 X 961102100DS009-5000FROSTY WHITE</v>
      </c>
      <c r="J6727" s="7">
        <f>COUNTIF(Paper_Reference[Duplicate Key],Paper_Reference[[#This Row],[Duplicate Key]])</f>
        <v>1</v>
      </c>
    </row>
    <row r="6728" spans="1:10">
      <c r="A6728" s="7">
        <v>2</v>
      </c>
      <c r="B6728" s="8" t="s">
        <v>8301</v>
      </c>
      <c r="C6728" s="8" t="s">
        <v>7361</v>
      </c>
      <c r="D6728" s="7">
        <v>1</v>
      </c>
      <c r="E6728" s="7">
        <v>10</v>
      </c>
      <c r="F6728" s="7">
        <v>2</v>
      </c>
      <c r="G6728" s="8" t="s">
        <v>6710</v>
      </c>
      <c r="H6728" s="8" t="s">
        <v>5691</v>
      </c>
      <c r="I6728" s="7" t="str">
        <f>_xlfn.CONCAT(Paper_Reference[[#This Row],[Lvl]:[Paper Description]])</f>
        <v>2XJ8R1377SD400FERRUCI MS L2 UPPER 48 X 1201102100DS009-5000FROSTY WHITE</v>
      </c>
      <c r="J6728" s="7">
        <f>COUNTIF(Paper_Reference[Duplicate Key],Paper_Reference[[#This Row],[Duplicate Key]])</f>
        <v>1</v>
      </c>
    </row>
    <row r="6729" spans="1:10">
      <c r="A6729" s="7">
        <v>2</v>
      </c>
      <c r="B6729" s="8" t="s">
        <v>3078</v>
      </c>
      <c r="C6729" s="8" t="s">
        <v>2587</v>
      </c>
      <c r="D6729" s="7">
        <v>1</v>
      </c>
      <c r="E6729" s="7">
        <v>10</v>
      </c>
      <c r="F6729" s="7">
        <v>1</v>
      </c>
      <c r="G6729" s="8" t="s">
        <v>2144</v>
      </c>
      <c r="H6729" s="8" t="s">
        <v>1242</v>
      </c>
      <c r="I6729" s="7" t="str">
        <f>_xlfn.CONCAT(Paper_Reference[[#This Row],[Lvl]:[Paper Description]])</f>
        <v>2XJ8R1378SD500CORRIDOR PODS A-B-C 60 X 120110110000020-6200Premium Inkjet MPK 9653</v>
      </c>
      <c r="J6729" s="7">
        <f>COUNTIF(Paper_Reference[Duplicate Key],Paper_Reference[[#This Row],[Duplicate Key]])</f>
        <v>1</v>
      </c>
    </row>
    <row r="6730" spans="1:10">
      <c r="A6730" s="7">
        <v>2</v>
      </c>
      <c r="B6730" s="8" t="s">
        <v>3078</v>
      </c>
      <c r="C6730" s="8" t="s">
        <v>2587</v>
      </c>
      <c r="D6730" s="7">
        <v>1</v>
      </c>
      <c r="E6730" s="7">
        <v>10</v>
      </c>
      <c r="F6730" s="7">
        <v>2</v>
      </c>
      <c r="G6730" s="8" t="s">
        <v>5690</v>
      </c>
      <c r="H6730" s="8" t="s">
        <v>5691</v>
      </c>
      <c r="I6730" s="7" t="str">
        <f>_xlfn.CONCAT(Paper_Reference[[#This Row],[Lvl]:[Paper Description]])</f>
        <v>2XJ8R1378SD500CORRIDOR PODS A-B-C 60 X 1201102100DS009-6200FROSTY WHITE</v>
      </c>
      <c r="J6730" s="7">
        <f>COUNTIF(Paper_Reference[Duplicate Key],Paper_Reference[[#This Row],[Duplicate Key]])</f>
        <v>1</v>
      </c>
    </row>
    <row r="6731" spans="1:10">
      <c r="A6731" s="7">
        <v>2</v>
      </c>
      <c r="B6731" s="8" t="s">
        <v>3079</v>
      </c>
      <c r="C6731" s="8" t="s">
        <v>2588</v>
      </c>
      <c r="D6731" s="7">
        <v>1</v>
      </c>
      <c r="E6731" s="7">
        <v>10</v>
      </c>
      <c r="F6731" s="7">
        <v>1</v>
      </c>
      <c r="G6731" s="8" t="s">
        <v>2144</v>
      </c>
      <c r="H6731" s="8" t="s">
        <v>1242</v>
      </c>
      <c r="I6731" s="7" t="str">
        <f>_xlfn.CONCAT(Paper_Reference[[#This Row],[Lvl]:[Paper Description]])</f>
        <v>2XJ8R1379SD500CORRIDOR 5-F4-02 60 X 120110110000020-6200Premium Inkjet MPK 9653</v>
      </c>
      <c r="J6731" s="7">
        <f>COUNTIF(Paper_Reference[Duplicate Key],Paper_Reference[[#This Row],[Duplicate Key]])</f>
        <v>1</v>
      </c>
    </row>
    <row r="6732" spans="1:10">
      <c r="A6732" s="7">
        <v>2</v>
      </c>
      <c r="B6732" s="8" t="s">
        <v>3079</v>
      </c>
      <c r="C6732" s="8" t="s">
        <v>2588</v>
      </c>
      <c r="D6732" s="7">
        <v>1</v>
      </c>
      <c r="E6732" s="7">
        <v>10</v>
      </c>
      <c r="F6732" s="7">
        <v>2</v>
      </c>
      <c r="G6732" s="8" t="s">
        <v>5690</v>
      </c>
      <c r="H6732" s="8" t="s">
        <v>5691</v>
      </c>
      <c r="I6732" s="7" t="str">
        <f>_xlfn.CONCAT(Paper_Reference[[#This Row],[Lvl]:[Paper Description]])</f>
        <v>2XJ8R1379SD500CORRIDOR 5-F4-02 60 X 1201102100DS009-6200FROSTY WHITE</v>
      </c>
      <c r="J6732" s="7">
        <f>COUNTIF(Paper_Reference[Duplicate Key],Paper_Reference[[#This Row],[Duplicate Key]])</f>
        <v>1</v>
      </c>
    </row>
    <row r="6733" spans="1:10">
      <c r="A6733" s="7">
        <v>2</v>
      </c>
      <c r="B6733" s="8" t="s">
        <v>3080</v>
      </c>
      <c r="C6733" s="8" t="s">
        <v>2589</v>
      </c>
      <c r="D6733" s="7">
        <v>1</v>
      </c>
      <c r="E6733" s="7">
        <v>10</v>
      </c>
      <c r="F6733" s="7">
        <v>1</v>
      </c>
      <c r="G6733" s="8" t="s">
        <v>2144</v>
      </c>
      <c r="H6733" s="8" t="s">
        <v>1242</v>
      </c>
      <c r="I6733" s="7" t="str">
        <f>_xlfn.CONCAT(Paper_Reference[[#This Row],[Lvl]:[Paper Description]])</f>
        <v>2XJ8R1380SD500CORRIDOR 5-C3-07 60 X 120110110000020-6200Premium Inkjet MPK 9653</v>
      </c>
      <c r="J6733" s="7">
        <f>COUNTIF(Paper_Reference[Duplicate Key],Paper_Reference[[#This Row],[Duplicate Key]])</f>
        <v>1</v>
      </c>
    </row>
    <row r="6734" spans="1:10">
      <c r="A6734" s="7">
        <v>2</v>
      </c>
      <c r="B6734" s="8" t="s">
        <v>3080</v>
      </c>
      <c r="C6734" s="8" t="s">
        <v>2589</v>
      </c>
      <c r="D6734" s="7">
        <v>1</v>
      </c>
      <c r="E6734" s="7">
        <v>10</v>
      </c>
      <c r="F6734" s="7">
        <v>2</v>
      </c>
      <c r="G6734" s="8" t="s">
        <v>5690</v>
      </c>
      <c r="H6734" s="8" t="s">
        <v>5691</v>
      </c>
      <c r="I6734" s="7" t="str">
        <f>_xlfn.CONCAT(Paper_Reference[[#This Row],[Lvl]:[Paper Description]])</f>
        <v>2XJ8R1380SD500CORRIDOR 5-C3-07 60 X 1201102100DS009-6200FROSTY WHITE</v>
      </c>
      <c r="J6734" s="7">
        <f>COUNTIF(Paper_Reference[Duplicate Key],Paper_Reference[[#This Row],[Duplicate Key]])</f>
        <v>1</v>
      </c>
    </row>
    <row r="6735" spans="1:10">
      <c r="A6735" s="7">
        <v>2</v>
      </c>
      <c r="B6735" s="8" t="s">
        <v>3081</v>
      </c>
      <c r="C6735" s="8" t="s">
        <v>2590</v>
      </c>
      <c r="D6735" s="7">
        <v>1</v>
      </c>
      <c r="E6735" s="7">
        <v>10</v>
      </c>
      <c r="F6735" s="7">
        <v>1</v>
      </c>
      <c r="G6735" s="8" t="s">
        <v>2144</v>
      </c>
      <c r="H6735" s="8" t="s">
        <v>1242</v>
      </c>
      <c r="I6735" s="7" t="str">
        <f>_xlfn.CONCAT(Paper_Reference[[#This Row],[Lvl]:[Paper Description]])</f>
        <v>2XJ8R1381SD500STRETCHER 3-E4-02 60 X 120110110000020-6200Premium Inkjet MPK 9653</v>
      </c>
      <c r="J6735" s="7">
        <f>COUNTIF(Paper_Reference[Duplicate Key],Paper_Reference[[#This Row],[Duplicate Key]])</f>
        <v>1</v>
      </c>
    </row>
    <row r="6736" spans="1:10">
      <c r="A6736" s="7">
        <v>2</v>
      </c>
      <c r="B6736" s="8" t="s">
        <v>3081</v>
      </c>
      <c r="C6736" s="8" t="s">
        <v>2590</v>
      </c>
      <c r="D6736" s="7">
        <v>1</v>
      </c>
      <c r="E6736" s="7">
        <v>10</v>
      </c>
      <c r="F6736" s="7">
        <v>2</v>
      </c>
      <c r="G6736" s="8" t="s">
        <v>5690</v>
      </c>
      <c r="H6736" s="8" t="s">
        <v>5691</v>
      </c>
      <c r="I6736" s="7" t="str">
        <f>_xlfn.CONCAT(Paper_Reference[[#This Row],[Lvl]:[Paper Description]])</f>
        <v>2XJ8R1381SD500STRETCHER 3-E4-02 60 X 1201102100DS009-6200FROSTY WHITE</v>
      </c>
      <c r="J6736" s="7">
        <f>COUNTIF(Paper_Reference[Duplicate Key],Paper_Reference[[#This Row],[Duplicate Key]])</f>
        <v>1</v>
      </c>
    </row>
    <row r="6737" spans="1:10">
      <c r="A6737" s="7">
        <v>2</v>
      </c>
      <c r="B6737" s="8" t="s">
        <v>3082</v>
      </c>
      <c r="C6737" s="8" t="s">
        <v>2591</v>
      </c>
      <c r="D6737" s="7">
        <v>1</v>
      </c>
      <c r="E6737" s="7">
        <v>10</v>
      </c>
      <c r="F6737" s="7">
        <v>1</v>
      </c>
      <c r="G6737" s="8" t="s">
        <v>2144</v>
      </c>
      <c r="H6737" s="8" t="s">
        <v>1242</v>
      </c>
      <c r="I6737" s="7" t="str">
        <f>_xlfn.CONCAT(Paper_Reference[[#This Row],[Lvl]:[Paper Description]])</f>
        <v>2XJ8R1382SD500CORRIDOR 3-B2-02 60 X 120110110000020-6200Premium Inkjet MPK 9653</v>
      </c>
      <c r="J6737" s="7">
        <f>COUNTIF(Paper_Reference[Duplicate Key],Paper_Reference[[#This Row],[Duplicate Key]])</f>
        <v>1</v>
      </c>
    </row>
    <row r="6738" spans="1:10">
      <c r="A6738" s="7">
        <v>2</v>
      </c>
      <c r="B6738" s="8" t="s">
        <v>3082</v>
      </c>
      <c r="C6738" s="8" t="s">
        <v>2591</v>
      </c>
      <c r="D6738" s="7">
        <v>1</v>
      </c>
      <c r="E6738" s="7">
        <v>10</v>
      </c>
      <c r="F6738" s="7">
        <v>2</v>
      </c>
      <c r="G6738" s="8" t="s">
        <v>5690</v>
      </c>
      <c r="H6738" s="8" t="s">
        <v>5691</v>
      </c>
      <c r="I6738" s="7" t="str">
        <f>_xlfn.CONCAT(Paper_Reference[[#This Row],[Lvl]:[Paper Description]])</f>
        <v>2XJ8R1382SD500CORRIDOR 3-B2-02 60 X 1201102100DS009-6200FROSTY WHITE</v>
      </c>
      <c r="J6738" s="7">
        <f>COUNTIF(Paper_Reference[Duplicate Key],Paper_Reference[[#This Row],[Duplicate Key]])</f>
        <v>1</v>
      </c>
    </row>
    <row r="6739" spans="1:10">
      <c r="A6739" s="7">
        <v>2</v>
      </c>
      <c r="B6739" s="8" t="s">
        <v>3083</v>
      </c>
      <c r="C6739" s="8" t="s">
        <v>2592</v>
      </c>
      <c r="D6739" s="7">
        <v>1</v>
      </c>
      <c r="E6739" s="7">
        <v>10</v>
      </c>
      <c r="F6739" s="7">
        <v>1</v>
      </c>
      <c r="G6739" s="8" t="s">
        <v>2144</v>
      </c>
      <c r="H6739" s="8" t="s">
        <v>1242</v>
      </c>
      <c r="I6739" s="7" t="str">
        <f>_xlfn.CONCAT(Paper_Reference[[#This Row],[Lvl]:[Paper Description]])</f>
        <v>2XJ8R1383SD500SUB-WAITING 3-B4-02 60 X 120110110000020-6200Premium Inkjet MPK 9653</v>
      </c>
      <c r="J6739" s="7">
        <f>COUNTIF(Paper_Reference[Duplicate Key],Paper_Reference[[#This Row],[Duplicate Key]])</f>
        <v>1</v>
      </c>
    </row>
    <row r="6740" spans="1:10">
      <c r="A6740" s="7">
        <v>2</v>
      </c>
      <c r="B6740" s="8" t="s">
        <v>3083</v>
      </c>
      <c r="C6740" s="8" t="s">
        <v>2592</v>
      </c>
      <c r="D6740" s="7">
        <v>1</v>
      </c>
      <c r="E6740" s="7">
        <v>10</v>
      </c>
      <c r="F6740" s="7">
        <v>2</v>
      </c>
      <c r="G6740" s="8" t="s">
        <v>5690</v>
      </c>
      <c r="H6740" s="8" t="s">
        <v>5691</v>
      </c>
      <c r="I6740" s="7" t="str">
        <f>_xlfn.CONCAT(Paper_Reference[[#This Row],[Lvl]:[Paper Description]])</f>
        <v>2XJ8R1383SD500SUB-WAITING 3-B4-02 60 X 1201102100DS009-6200FROSTY WHITE</v>
      </c>
      <c r="J6740" s="7">
        <f>COUNTIF(Paper_Reference[Duplicate Key],Paper_Reference[[#This Row],[Duplicate Key]])</f>
        <v>1</v>
      </c>
    </row>
    <row r="6741" spans="1:10">
      <c r="A6741" s="7">
        <v>2</v>
      </c>
      <c r="B6741" s="8" t="s">
        <v>3084</v>
      </c>
      <c r="C6741" s="8" t="s">
        <v>2593</v>
      </c>
      <c r="D6741" s="7">
        <v>1</v>
      </c>
      <c r="E6741" s="7">
        <v>10</v>
      </c>
      <c r="F6741" s="7">
        <v>1</v>
      </c>
      <c r="G6741" s="8" t="s">
        <v>2144</v>
      </c>
      <c r="H6741" s="8" t="s">
        <v>1242</v>
      </c>
      <c r="I6741" s="7" t="str">
        <f>_xlfn.CONCAT(Paper_Reference[[#This Row],[Lvl]:[Paper Description]])</f>
        <v>2XJ8R1384SD500SUB-WAITING 3-C2-07 60 X 120110110000020-6200Premium Inkjet MPK 9653</v>
      </c>
      <c r="J6741" s="7">
        <f>COUNTIF(Paper_Reference[Duplicate Key],Paper_Reference[[#This Row],[Duplicate Key]])</f>
        <v>1</v>
      </c>
    </row>
    <row r="6742" spans="1:10">
      <c r="A6742" s="7">
        <v>2</v>
      </c>
      <c r="B6742" s="8" t="s">
        <v>3084</v>
      </c>
      <c r="C6742" s="8" t="s">
        <v>2593</v>
      </c>
      <c r="D6742" s="7">
        <v>1</v>
      </c>
      <c r="E6742" s="7">
        <v>10</v>
      </c>
      <c r="F6742" s="7">
        <v>2</v>
      </c>
      <c r="G6742" s="8" t="s">
        <v>5690</v>
      </c>
      <c r="H6742" s="8" t="s">
        <v>5691</v>
      </c>
      <c r="I6742" s="7" t="str">
        <f>_xlfn.CONCAT(Paper_Reference[[#This Row],[Lvl]:[Paper Description]])</f>
        <v>2XJ8R1384SD500SUB-WAITING 3-C2-07 60 X 1201102100DS009-6200FROSTY WHITE</v>
      </c>
      <c r="J6742" s="7">
        <f>COUNTIF(Paper_Reference[Duplicate Key],Paper_Reference[[#This Row],[Duplicate Key]])</f>
        <v>1</v>
      </c>
    </row>
    <row r="6743" spans="1:10">
      <c r="A6743" s="7">
        <v>2</v>
      </c>
      <c r="B6743" s="8" t="s">
        <v>2138</v>
      </c>
      <c r="C6743" s="8" t="s">
        <v>1657</v>
      </c>
      <c r="D6743" s="7">
        <v>1</v>
      </c>
      <c r="E6743" s="7">
        <v>10</v>
      </c>
      <c r="F6743" s="7">
        <v>1</v>
      </c>
      <c r="G6743" s="8" t="s">
        <v>1241</v>
      </c>
      <c r="H6743" s="8" t="s">
        <v>1242</v>
      </c>
      <c r="I6743" s="7" t="str">
        <f>_xlfn.CONCAT(Paper_Reference[[#This Row],[Lvl]:[Paper Description]])</f>
        <v>2XJ8R1409SD480BEHAVIORAL VESTIBULE 48 X 96110110000020-5000Premium Inkjet MPK 9653</v>
      </c>
      <c r="J6743" s="7">
        <f>COUNTIF(Paper_Reference[Duplicate Key],Paper_Reference[[#This Row],[Duplicate Key]])</f>
        <v>1</v>
      </c>
    </row>
    <row r="6744" spans="1:10">
      <c r="A6744" s="7">
        <v>2</v>
      </c>
      <c r="B6744" s="8" t="s">
        <v>2138</v>
      </c>
      <c r="C6744" s="8" t="s">
        <v>1657</v>
      </c>
      <c r="D6744" s="7">
        <v>1</v>
      </c>
      <c r="E6744" s="7">
        <v>10</v>
      </c>
      <c r="F6744" s="7">
        <v>2</v>
      </c>
      <c r="G6744" s="8" t="s">
        <v>6710</v>
      </c>
      <c r="H6744" s="8" t="s">
        <v>5691</v>
      </c>
      <c r="I6744" s="7" t="str">
        <f>_xlfn.CONCAT(Paper_Reference[[#This Row],[Lvl]:[Paper Description]])</f>
        <v>2XJ8R1409SD480BEHAVIORAL VESTIBULE 48 X 961102100DS009-5000FROSTY WHITE</v>
      </c>
      <c r="J6744" s="7">
        <f>COUNTIF(Paper_Reference[Duplicate Key],Paper_Reference[[#This Row],[Duplicate Key]])</f>
        <v>1</v>
      </c>
    </row>
    <row r="6745" spans="1:10">
      <c r="A6745" s="7">
        <v>2</v>
      </c>
      <c r="B6745" s="8" t="s">
        <v>3085</v>
      </c>
      <c r="C6745" s="8" t="s">
        <v>2594</v>
      </c>
      <c r="D6745" s="7">
        <v>1</v>
      </c>
      <c r="E6745" s="7">
        <v>10</v>
      </c>
      <c r="F6745" s="7">
        <v>1</v>
      </c>
      <c r="G6745" s="8" t="s">
        <v>2144</v>
      </c>
      <c r="H6745" s="8" t="s">
        <v>1242</v>
      </c>
      <c r="I6745" s="7" t="str">
        <f>_xlfn.CONCAT(Paper_Reference[[#This Row],[Lvl]:[Paper Description]])</f>
        <v>2XJ8R1410SD580BEHAVIORAL SURFBOARDS 60 X 96110110000020-6200Premium Inkjet MPK 9653</v>
      </c>
      <c r="J6745" s="7">
        <f>COUNTIF(Paper_Reference[Duplicate Key],Paper_Reference[[#This Row],[Duplicate Key]])</f>
        <v>1</v>
      </c>
    </row>
    <row r="6746" spans="1:10">
      <c r="A6746" s="7">
        <v>2</v>
      </c>
      <c r="B6746" s="8" t="s">
        <v>3085</v>
      </c>
      <c r="C6746" s="8" t="s">
        <v>2594</v>
      </c>
      <c r="D6746" s="7">
        <v>1</v>
      </c>
      <c r="E6746" s="7">
        <v>10</v>
      </c>
      <c r="F6746" s="7">
        <v>2</v>
      </c>
      <c r="G6746" s="8" t="s">
        <v>5690</v>
      </c>
      <c r="H6746" s="8" t="s">
        <v>5691</v>
      </c>
      <c r="I6746" s="7" t="str">
        <f>_xlfn.CONCAT(Paper_Reference[[#This Row],[Lvl]:[Paper Description]])</f>
        <v>2XJ8R1410SD580BEHAVIORAL SURFBOARDS 60 X 961102100DS009-6200FROSTY WHITE</v>
      </c>
      <c r="J6746" s="7">
        <f>COUNTIF(Paper_Reference[Duplicate Key],Paper_Reference[[#This Row],[Duplicate Key]])</f>
        <v>1</v>
      </c>
    </row>
    <row r="6747" spans="1:10">
      <c r="A6747" s="7">
        <v>2</v>
      </c>
      <c r="B6747" s="8" t="s">
        <v>2139</v>
      </c>
      <c r="C6747" s="8" t="s">
        <v>1658</v>
      </c>
      <c r="D6747" s="7">
        <v>1</v>
      </c>
      <c r="E6747" s="7">
        <v>10</v>
      </c>
      <c r="F6747" s="7">
        <v>1</v>
      </c>
      <c r="G6747" s="8" t="s">
        <v>1241</v>
      </c>
      <c r="H6747" s="8" t="s">
        <v>1242</v>
      </c>
      <c r="I6747" s="7" t="str">
        <f>_xlfn.CONCAT(Paper_Reference[[#This Row],[Lvl]:[Paper Description]])</f>
        <v>2XJ8R1411SD480BEHAVIORAL CHILDS UNIT 48 X 96110110000020-5000Premium Inkjet MPK 9653</v>
      </c>
      <c r="J6747" s="7">
        <f>COUNTIF(Paper_Reference[Duplicate Key],Paper_Reference[[#This Row],[Duplicate Key]])</f>
        <v>1</v>
      </c>
    </row>
    <row r="6748" spans="1:10">
      <c r="A6748" s="7">
        <v>2</v>
      </c>
      <c r="B6748" s="8" t="s">
        <v>2139</v>
      </c>
      <c r="C6748" s="8" t="s">
        <v>1658</v>
      </c>
      <c r="D6748" s="7">
        <v>1</v>
      </c>
      <c r="E6748" s="7">
        <v>10</v>
      </c>
      <c r="F6748" s="7">
        <v>2</v>
      </c>
      <c r="G6748" s="8" t="s">
        <v>6710</v>
      </c>
      <c r="H6748" s="8" t="s">
        <v>5691</v>
      </c>
      <c r="I6748" s="7" t="str">
        <f>_xlfn.CONCAT(Paper_Reference[[#This Row],[Lvl]:[Paper Description]])</f>
        <v>2XJ8R1411SD480BEHAVIORAL CHILDS UNIT 48 X 961102100DS009-5000FROSTY WHITE</v>
      </c>
      <c r="J6748" s="7">
        <f>COUNTIF(Paper_Reference[Duplicate Key],Paper_Reference[[#This Row],[Duplicate Key]])</f>
        <v>1</v>
      </c>
    </row>
    <row r="6749" spans="1:10">
      <c r="A6749" s="7">
        <v>2</v>
      </c>
      <c r="B6749" s="8" t="s">
        <v>2140</v>
      </c>
      <c r="C6749" s="8" t="s">
        <v>1659</v>
      </c>
      <c r="D6749" s="7">
        <v>1</v>
      </c>
      <c r="E6749" s="7">
        <v>10</v>
      </c>
      <c r="F6749" s="7">
        <v>1</v>
      </c>
      <c r="G6749" s="8" t="s">
        <v>1241</v>
      </c>
      <c r="H6749" s="8" t="s">
        <v>1242</v>
      </c>
      <c r="I6749" s="7" t="str">
        <f>_xlfn.CONCAT(Paper_Reference[[#This Row],[Lvl]:[Paper Description]])</f>
        <v>2XJ8R1412SD480BEHAVIORAL PRAIRIE GRASS 48 X110110000020-5000Premium Inkjet MPK 9653</v>
      </c>
      <c r="J6749" s="7">
        <f>COUNTIF(Paper_Reference[Duplicate Key],Paper_Reference[[#This Row],[Duplicate Key]])</f>
        <v>1</v>
      </c>
    </row>
    <row r="6750" spans="1:10">
      <c r="A6750" s="7">
        <v>2</v>
      </c>
      <c r="B6750" s="8" t="s">
        <v>2140</v>
      </c>
      <c r="C6750" s="8" t="s">
        <v>1659</v>
      </c>
      <c r="D6750" s="7">
        <v>1</v>
      </c>
      <c r="E6750" s="7">
        <v>10</v>
      </c>
      <c r="F6750" s="7">
        <v>2</v>
      </c>
      <c r="G6750" s="8" t="s">
        <v>6710</v>
      </c>
      <c r="H6750" s="8" t="s">
        <v>5691</v>
      </c>
      <c r="I6750" s="7" t="str">
        <f>_xlfn.CONCAT(Paper_Reference[[#This Row],[Lvl]:[Paper Description]])</f>
        <v>2XJ8R1412SD480BEHAVIORAL PRAIRIE GRASS 48 X1102100DS009-5000FROSTY WHITE</v>
      </c>
      <c r="J6750" s="7">
        <f>COUNTIF(Paper_Reference[Duplicate Key],Paper_Reference[[#This Row],[Duplicate Key]])</f>
        <v>1</v>
      </c>
    </row>
    <row r="6751" spans="1:10">
      <c r="A6751" s="7">
        <v>2</v>
      </c>
      <c r="B6751" s="8" t="s">
        <v>2141</v>
      </c>
      <c r="C6751" s="8" t="s">
        <v>1660</v>
      </c>
      <c r="D6751" s="7">
        <v>1</v>
      </c>
      <c r="E6751" s="7">
        <v>10</v>
      </c>
      <c r="F6751" s="7">
        <v>1</v>
      </c>
      <c r="G6751" s="8" t="s">
        <v>1241</v>
      </c>
      <c r="H6751" s="8" t="s">
        <v>1242</v>
      </c>
      <c r="I6751" s="7" t="str">
        <f>_xlfn.CONCAT(Paper_Reference[[#This Row],[Lvl]:[Paper Description]])</f>
        <v>2XJ8R1413SD480BEHAVIORAL PG SW 48 X 96110110000020-5000Premium Inkjet MPK 9653</v>
      </c>
      <c r="J6751" s="7">
        <f>COUNTIF(Paper_Reference[Duplicate Key],Paper_Reference[[#This Row],[Duplicate Key]])</f>
        <v>1</v>
      </c>
    </row>
    <row r="6752" spans="1:10">
      <c r="A6752" s="7">
        <v>2</v>
      </c>
      <c r="B6752" s="8" t="s">
        <v>2141</v>
      </c>
      <c r="C6752" s="8" t="s">
        <v>1660</v>
      </c>
      <c r="D6752" s="7">
        <v>1</v>
      </c>
      <c r="E6752" s="7">
        <v>10</v>
      </c>
      <c r="F6752" s="7">
        <v>2</v>
      </c>
      <c r="G6752" s="8" t="s">
        <v>6710</v>
      </c>
      <c r="H6752" s="8" t="s">
        <v>5691</v>
      </c>
      <c r="I6752" s="7" t="str">
        <f>_xlfn.CONCAT(Paper_Reference[[#This Row],[Lvl]:[Paper Description]])</f>
        <v>2XJ8R1413SD480BEHAVIORAL PG SW 48 X 961102100DS009-5000FROSTY WHITE</v>
      </c>
      <c r="J6752" s="7">
        <f>COUNTIF(Paper_Reference[Duplicate Key],Paper_Reference[[#This Row],[Duplicate Key]])</f>
        <v>1</v>
      </c>
    </row>
    <row r="6753" spans="1:10">
      <c r="A6753" s="7">
        <v>2</v>
      </c>
      <c r="B6753" s="8" t="s">
        <v>2142</v>
      </c>
      <c r="C6753" s="8" t="s">
        <v>1661</v>
      </c>
      <c r="D6753" s="7">
        <v>1</v>
      </c>
      <c r="E6753" s="7">
        <v>10</v>
      </c>
      <c r="F6753" s="7">
        <v>1</v>
      </c>
      <c r="G6753" s="8" t="s">
        <v>1241</v>
      </c>
      <c r="H6753" s="8" t="s">
        <v>1242</v>
      </c>
      <c r="I6753" s="7" t="str">
        <f>_xlfn.CONCAT(Paper_Reference[[#This Row],[Lvl]:[Paper Description]])</f>
        <v>2XJ8R1426SD480NOTRE DAME UFN 48 X 96110110000020-5000Premium Inkjet MPK 9653</v>
      </c>
      <c r="J6753" s="7">
        <f>COUNTIF(Paper_Reference[Duplicate Key],Paper_Reference[[#This Row],[Duplicate Key]])</f>
        <v>1</v>
      </c>
    </row>
    <row r="6754" spans="1:10">
      <c r="A6754" s="7">
        <v>2</v>
      </c>
      <c r="B6754" s="8" t="s">
        <v>2142</v>
      </c>
      <c r="C6754" s="8" t="s">
        <v>1661</v>
      </c>
      <c r="D6754" s="7">
        <v>1</v>
      </c>
      <c r="E6754" s="7">
        <v>10</v>
      </c>
      <c r="F6754" s="7">
        <v>2</v>
      </c>
      <c r="G6754" s="8" t="s">
        <v>6710</v>
      </c>
      <c r="H6754" s="8" t="s">
        <v>5691</v>
      </c>
      <c r="I6754" s="7" t="str">
        <f>_xlfn.CONCAT(Paper_Reference[[#This Row],[Lvl]:[Paper Description]])</f>
        <v>2XJ8R1426SD480NOTRE DAME UFN 48 X 961102100DS009-5000FROSTY WHITE</v>
      </c>
      <c r="J6754" s="7">
        <f>COUNTIF(Paper_Reference[Duplicate Key],Paper_Reference[[#This Row],[Duplicate Key]])</f>
        <v>1</v>
      </c>
    </row>
    <row r="6755" spans="1:10">
      <c r="A6755" s="7">
        <v>2</v>
      </c>
      <c r="B6755" s="8" t="s">
        <v>2143</v>
      </c>
      <c r="C6755" s="8" t="s">
        <v>1662</v>
      </c>
      <c r="D6755" s="7">
        <v>1</v>
      </c>
      <c r="E6755" s="7">
        <v>10</v>
      </c>
      <c r="F6755" s="7">
        <v>1</v>
      </c>
      <c r="G6755" s="8" t="s">
        <v>1241</v>
      </c>
      <c r="H6755" s="8" t="s">
        <v>1242</v>
      </c>
      <c r="I6755" s="7" t="str">
        <f>_xlfn.CONCAT(Paper_Reference[[#This Row],[Lvl]:[Paper Description]])</f>
        <v>2XJ8R1429SD400ELK GROVE HS 48 X 120110110000020-5000Premium Inkjet MPK 9653</v>
      </c>
      <c r="J6755" s="7">
        <f>COUNTIF(Paper_Reference[Duplicate Key],Paper_Reference[[#This Row],[Duplicate Key]])</f>
        <v>1</v>
      </c>
    </row>
    <row r="6756" spans="1:10">
      <c r="A6756" s="7">
        <v>2</v>
      </c>
      <c r="B6756" s="8" t="s">
        <v>2143</v>
      </c>
      <c r="C6756" s="8" t="s">
        <v>1662</v>
      </c>
      <c r="D6756" s="7">
        <v>1</v>
      </c>
      <c r="E6756" s="7">
        <v>10</v>
      </c>
      <c r="F6756" s="7">
        <v>2</v>
      </c>
      <c r="G6756" s="8" t="s">
        <v>6710</v>
      </c>
      <c r="H6756" s="8" t="s">
        <v>5691</v>
      </c>
      <c r="I6756" s="7" t="str">
        <f>_xlfn.CONCAT(Paper_Reference[[#This Row],[Lvl]:[Paper Description]])</f>
        <v>2XJ8R1429SD400ELK GROVE HS 48 X 1201102100DS009-5000FROSTY WHITE</v>
      </c>
      <c r="J6756" s="7">
        <f>COUNTIF(Paper_Reference[Duplicate Key],Paper_Reference[[#This Row],[Duplicate Key]])</f>
        <v>1</v>
      </c>
    </row>
    <row r="6757" spans="1:10">
      <c r="A6757" s="7">
        <v>2</v>
      </c>
      <c r="B6757" s="8" t="s">
        <v>6711</v>
      </c>
      <c r="C6757" s="8" t="s">
        <v>6152</v>
      </c>
      <c r="D6757" s="7">
        <v>1</v>
      </c>
      <c r="E6757" s="7">
        <v>10</v>
      </c>
      <c r="F6757" s="7">
        <v>2</v>
      </c>
      <c r="G6757" s="8" t="s">
        <v>5690</v>
      </c>
      <c r="H6757" s="8" t="s">
        <v>5691</v>
      </c>
      <c r="I6757" s="7" t="str">
        <f>_xlfn.CONCAT(Paper_Reference[[#This Row],[Lvl]:[Paper Description]])</f>
        <v>2XJDRD001NNYRFRL R0209/R0210 FRUIT 60 X 961102100DS009-6200FROSTY WHITE</v>
      </c>
      <c r="J6757" s="7">
        <f>COUNTIF(Paper_Reference[Duplicate Key],Paper_Reference[[#This Row],[Duplicate Key]])</f>
        <v>1</v>
      </c>
    </row>
    <row r="6758" spans="1:10">
      <c r="A6758" s="7">
        <v>2</v>
      </c>
      <c r="B6758" s="8" t="s">
        <v>6712</v>
      </c>
      <c r="C6758" s="8" t="s">
        <v>6153</v>
      </c>
      <c r="D6758" s="7">
        <v>1</v>
      </c>
      <c r="E6758" s="7">
        <v>10</v>
      </c>
      <c r="F6758" s="7">
        <v>2</v>
      </c>
      <c r="G6758" s="8" t="s">
        <v>5690</v>
      </c>
      <c r="H6758" s="8" t="s">
        <v>5691</v>
      </c>
      <c r="I6758" s="7" t="str">
        <f>_xlfn.CONCAT(Paper_Reference[[#This Row],[Lvl]:[Paper Description]])</f>
        <v>2XJDRD001NPFQFRL R0209/R0210 FRUIT 60 X 1201102100DS009-6200FROSTY WHITE</v>
      </c>
      <c r="J6758" s="7">
        <f>COUNTIF(Paper_Reference[Duplicate Key],Paper_Reference[[#This Row],[Duplicate Key]])</f>
        <v>1</v>
      </c>
    </row>
    <row r="6759" spans="1:10">
      <c r="A6759" s="7">
        <v>3</v>
      </c>
      <c r="B6759" s="8" t="s">
        <v>581</v>
      </c>
      <c r="C6759" s="8" t="s">
        <v>352</v>
      </c>
      <c r="D6759" s="7">
        <v>1</v>
      </c>
      <c r="E6759" s="7">
        <v>91</v>
      </c>
      <c r="F6759" s="7">
        <v>1</v>
      </c>
      <c r="G6759" s="8" t="s">
        <v>218</v>
      </c>
      <c r="H6759" s="8" t="s">
        <v>426</v>
      </c>
      <c r="I6759" s="7" t="str">
        <f>_xlfn.CONCAT(Paper_Reference[[#This Row],[Lvl]:[Paper Description]])</f>
        <v>3YAKUTSKUVAPK1YAKUTSK TEX LANE PACK1911100WM311-4300IQ MAPLE LANE LH</v>
      </c>
      <c r="J6759" s="7">
        <f>COUNTIF(Paper_Reference[Duplicate Key],Paper_Reference[[#This Row],[Duplicate Key]])</f>
        <v>1</v>
      </c>
    </row>
    <row r="6760" spans="1:10">
      <c r="A6760" s="7">
        <v>3</v>
      </c>
      <c r="B6760" s="8" t="s">
        <v>581</v>
      </c>
      <c r="C6760" s="8" t="s">
        <v>352</v>
      </c>
      <c r="D6760" s="7">
        <v>1</v>
      </c>
      <c r="E6760" s="7">
        <v>91</v>
      </c>
      <c r="F6760" s="7">
        <v>1</v>
      </c>
      <c r="G6760" s="8" t="s">
        <v>219</v>
      </c>
      <c r="H6760" s="8" t="s">
        <v>427</v>
      </c>
      <c r="I6760" s="7" t="str">
        <f>_xlfn.CONCAT(Paper_Reference[[#This Row],[Lvl]:[Paper Description]])</f>
        <v>3YAKUTSKUVAPK1YAKUTSK TEX LANE PACK1911100WM321-4300IQ MAPLE LANE RH</v>
      </c>
      <c r="J6760" s="7">
        <f>COUNTIF(Paper_Reference[Duplicate Key],Paper_Reference[[#This Row],[Duplicate Key]])</f>
        <v>1</v>
      </c>
    </row>
    <row r="6761" spans="1:10">
      <c r="A6761" s="7">
        <v>4</v>
      </c>
      <c r="B6761" s="8" t="s">
        <v>581</v>
      </c>
      <c r="C6761" s="8" t="s">
        <v>352</v>
      </c>
      <c r="D6761" s="7">
        <v>1</v>
      </c>
      <c r="E6761" s="7">
        <v>91</v>
      </c>
      <c r="F6761" s="7">
        <v>1</v>
      </c>
      <c r="G6761" s="8" t="s">
        <v>217</v>
      </c>
      <c r="H6761" s="8" t="s">
        <v>3229</v>
      </c>
      <c r="I6761" s="7" t="str">
        <f>_xlfn.CONCAT(Paper_Reference[[#This Row],[Lvl]:[Paper Description]])</f>
        <v>4YAKUTSKUVAPK1YAKUTSK TEX LANE PACK1911100WM301-6200IQ MAPLE LANE (C) 60 X 144</v>
      </c>
      <c r="J6761" s="7">
        <f>COUNTIF(Paper_Reference[Duplicate Key],Paper_Reference[[#This Row],[Duplicate Key]])</f>
        <v>1</v>
      </c>
    </row>
    <row r="6762" spans="1:10">
      <c r="A6762" s="7">
        <v>4</v>
      </c>
      <c r="B6762" s="8" t="s">
        <v>581</v>
      </c>
      <c r="C6762" s="8" t="s">
        <v>352</v>
      </c>
      <c r="D6762" s="7">
        <v>1</v>
      </c>
      <c r="E6762" s="7">
        <v>91</v>
      </c>
      <c r="F6762" s="7">
        <v>1</v>
      </c>
      <c r="G6762" s="8" t="s">
        <v>217</v>
      </c>
      <c r="H6762" s="8" t="s">
        <v>425</v>
      </c>
      <c r="I6762" s="7" t="str">
        <f>_xlfn.CONCAT(Paper_Reference[[#This Row],[Lvl]:[Paper Description]])</f>
        <v>4YAKUTSKUVAPK1YAKUTSK TEX LANE PACK1911100WM301-6200IQ MAPLE LANE (CENTER)</v>
      </c>
      <c r="J6762" s="7">
        <f>COUNTIF(Paper_Reference[Duplicate Key],Paper_Reference[[#This Row],[Duplicate Key]])</f>
        <v>1</v>
      </c>
    </row>
    <row r="6763" spans="1:10">
      <c r="A6763" s="7">
        <v>4</v>
      </c>
      <c r="B6763" s="8" t="s">
        <v>581</v>
      </c>
      <c r="C6763" s="8" t="s">
        <v>352</v>
      </c>
      <c r="D6763" s="7">
        <v>1</v>
      </c>
      <c r="E6763" s="7">
        <v>91</v>
      </c>
      <c r="F6763" s="7">
        <v>1</v>
      </c>
      <c r="G6763" s="8" t="s">
        <v>218</v>
      </c>
      <c r="H6763" s="8" t="s">
        <v>426</v>
      </c>
      <c r="I6763" s="7" t="str">
        <f>_xlfn.CONCAT(Paper_Reference[[#This Row],[Lvl]:[Paper Description]])</f>
        <v>4YAKUTSKUVAPK1YAKUTSK TEX LANE PACK1911100WM311-4300IQ MAPLE LANE LH</v>
      </c>
      <c r="J6763" s="7">
        <f>COUNTIF(Paper_Reference[Duplicate Key],Paper_Reference[[#This Row],[Duplicate Key]])</f>
        <v>1</v>
      </c>
    </row>
    <row r="6764" spans="1:10">
      <c r="A6764" s="7">
        <v>4</v>
      </c>
      <c r="B6764" s="8" t="s">
        <v>581</v>
      </c>
      <c r="C6764" s="8" t="s">
        <v>352</v>
      </c>
      <c r="D6764" s="7">
        <v>1</v>
      </c>
      <c r="E6764" s="7">
        <v>91</v>
      </c>
      <c r="F6764" s="7">
        <v>1</v>
      </c>
      <c r="G6764" s="8" t="s">
        <v>219</v>
      </c>
      <c r="H6764" s="8" t="s">
        <v>427</v>
      </c>
      <c r="I6764" s="7" t="str">
        <f>_xlfn.CONCAT(Paper_Reference[[#This Row],[Lvl]:[Paper Description]])</f>
        <v>4YAKUTSKUVAPK1YAKUTSK TEX LANE PACK1911100WM321-4300IQ MAPLE LANE RH</v>
      </c>
      <c r="J6764" s="7">
        <f>COUNTIF(Paper_Reference[Duplicate Key],Paper_Reference[[#This Row],[Duplicate Key]])</f>
        <v>1</v>
      </c>
    </row>
  </sheetData>
  <phoneticPr fontId="5" type="noConversion"/>
  <conditionalFormatting sqref="I1:I1048576">
    <cfRule type="duplicateValues" dxfId="0" priority="1"/>
  </conditionalFormatting>
  <pageMargins left="0.7" right="0.7" top="0.75" bottom="0.75" header="0.3" footer="0.3"/>
  <pageSetup orientation="portrait" copies="2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7518-8EF0-497A-B26D-86CDED317132}">
  <sheetPr codeName="Sheet2">
    <tabColor theme="4" tint="-0.249977111117893"/>
  </sheetPr>
  <dimension ref="A1:J81"/>
  <sheetViews>
    <sheetView workbookViewId="0">
      <pane ySplit="2" topLeftCell="A39" activePane="bottomLeft" state="frozen"/>
      <selection activeCell="G77" sqref="A3:G77"/>
      <selection pane="bottomLeft" activeCell="A3" sqref="A3:G67"/>
    </sheetView>
  </sheetViews>
  <sheetFormatPr defaultRowHeight="12.75"/>
  <cols>
    <col min="1" max="1" width="12" bestFit="1" customWidth="1"/>
    <col min="2" max="2" width="18.5703125" bestFit="1" customWidth="1"/>
    <col min="3" max="3" width="34.5703125" bestFit="1" customWidth="1"/>
    <col min="4" max="4" width="13.28515625" bestFit="1" customWidth="1"/>
    <col min="5" max="5" width="8.7109375" bestFit="1" customWidth="1"/>
    <col min="6" max="6" width="11.42578125" bestFit="1" customWidth="1"/>
    <col min="7" max="7" width="15.140625" bestFit="1" customWidth="1"/>
    <col min="8" max="8" width="7.42578125" bestFit="1" customWidth="1"/>
    <col min="9" max="9" width="29" bestFit="1" customWidth="1"/>
    <col min="10" max="10" width="4.85546875" bestFit="1" customWidth="1"/>
    <col min="11" max="256" width="10.28515625" customWidth="1"/>
    <col min="257" max="257" width="13.42578125" customWidth="1"/>
    <col min="258" max="258" width="24.28515625" customWidth="1"/>
    <col min="259" max="259" width="40.42578125" customWidth="1"/>
    <col min="260" max="260" width="24.28515625" customWidth="1"/>
    <col min="261" max="261" width="41.85546875" customWidth="1"/>
    <col min="262" max="262" width="33.7109375" customWidth="1"/>
    <col min="263" max="263" width="18.85546875" customWidth="1"/>
    <col min="264" max="512" width="10.28515625" customWidth="1"/>
    <col min="513" max="513" width="13.42578125" customWidth="1"/>
    <col min="514" max="514" width="24.28515625" customWidth="1"/>
    <col min="515" max="515" width="40.42578125" customWidth="1"/>
    <col min="516" max="516" width="24.28515625" customWidth="1"/>
    <col min="517" max="517" width="41.85546875" customWidth="1"/>
    <col min="518" max="518" width="33.7109375" customWidth="1"/>
    <col min="519" max="519" width="18.85546875" customWidth="1"/>
    <col min="520" max="768" width="10.28515625" customWidth="1"/>
    <col min="769" max="769" width="13.42578125" customWidth="1"/>
    <col min="770" max="770" width="24.28515625" customWidth="1"/>
    <col min="771" max="771" width="40.42578125" customWidth="1"/>
    <col min="772" max="772" width="24.28515625" customWidth="1"/>
    <col min="773" max="773" width="41.85546875" customWidth="1"/>
    <col min="774" max="774" width="33.7109375" customWidth="1"/>
    <col min="775" max="775" width="18.85546875" customWidth="1"/>
    <col min="776" max="1024" width="10.28515625" customWidth="1"/>
    <col min="1025" max="1025" width="13.42578125" customWidth="1"/>
    <col min="1026" max="1026" width="24.28515625" customWidth="1"/>
    <col min="1027" max="1027" width="40.42578125" customWidth="1"/>
    <col min="1028" max="1028" width="24.28515625" customWidth="1"/>
    <col min="1029" max="1029" width="41.85546875" customWidth="1"/>
    <col min="1030" max="1030" width="33.7109375" customWidth="1"/>
    <col min="1031" max="1031" width="18.85546875" customWidth="1"/>
    <col min="1032" max="1280" width="10.28515625" customWidth="1"/>
    <col min="1281" max="1281" width="13.42578125" customWidth="1"/>
    <col min="1282" max="1282" width="24.28515625" customWidth="1"/>
    <col min="1283" max="1283" width="40.42578125" customWidth="1"/>
    <col min="1284" max="1284" width="24.28515625" customWidth="1"/>
    <col min="1285" max="1285" width="41.85546875" customWidth="1"/>
    <col min="1286" max="1286" width="33.7109375" customWidth="1"/>
    <col min="1287" max="1287" width="18.85546875" customWidth="1"/>
    <col min="1288" max="1536" width="10.28515625" customWidth="1"/>
    <col min="1537" max="1537" width="13.42578125" customWidth="1"/>
    <col min="1538" max="1538" width="24.28515625" customWidth="1"/>
    <col min="1539" max="1539" width="40.42578125" customWidth="1"/>
    <col min="1540" max="1540" width="24.28515625" customWidth="1"/>
    <col min="1541" max="1541" width="41.85546875" customWidth="1"/>
    <col min="1542" max="1542" width="33.7109375" customWidth="1"/>
    <col min="1543" max="1543" width="18.85546875" customWidth="1"/>
    <col min="1544" max="1792" width="10.28515625" customWidth="1"/>
    <col min="1793" max="1793" width="13.42578125" customWidth="1"/>
    <col min="1794" max="1794" width="24.28515625" customWidth="1"/>
    <col min="1795" max="1795" width="40.42578125" customWidth="1"/>
    <col min="1796" max="1796" width="24.28515625" customWidth="1"/>
    <col min="1797" max="1797" width="41.85546875" customWidth="1"/>
    <col min="1798" max="1798" width="33.7109375" customWidth="1"/>
    <col min="1799" max="1799" width="18.85546875" customWidth="1"/>
    <col min="1800" max="2048" width="10.28515625" customWidth="1"/>
    <col min="2049" max="2049" width="13.42578125" customWidth="1"/>
    <col min="2050" max="2050" width="24.28515625" customWidth="1"/>
    <col min="2051" max="2051" width="40.42578125" customWidth="1"/>
    <col min="2052" max="2052" width="24.28515625" customWidth="1"/>
    <col min="2053" max="2053" width="41.85546875" customWidth="1"/>
    <col min="2054" max="2054" width="33.7109375" customWidth="1"/>
    <col min="2055" max="2055" width="18.85546875" customWidth="1"/>
    <col min="2056" max="2304" width="10.28515625" customWidth="1"/>
    <col min="2305" max="2305" width="13.42578125" customWidth="1"/>
    <col min="2306" max="2306" width="24.28515625" customWidth="1"/>
    <col min="2307" max="2307" width="40.42578125" customWidth="1"/>
    <col min="2308" max="2308" width="24.28515625" customWidth="1"/>
    <col min="2309" max="2309" width="41.85546875" customWidth="1"/>
    <col min="2310" max="2310" width="33.7109375" customWidth="1"/>
    <col min="2311" max="2311" width="18.85546875" customWidth="1"/>
    <col min="2312" max="2560" width="10.28515625" customWidth="1"/>
    <col min="2561" max="2561" width="13.42578125" customWidth="1"/>
    <col min="2562" max="2562" width="24.28515625" customWidth="1"/>
    <col min="2563" max="2563" width="40.42578125" customWidth="1"/>
    <col min="2564" max="2564" width="24.28515625" customWidth="1"/>
    <col min="2565" max="2565" width="41.85546875" customWidth="1"/>
    <col min="2566" max="2566" width="33.7109375" customWidth="1"/>
    <col min="2567" max="2567" width="18.85546875" customWidth="1"/>
    <col min="2568" max="2816" width="10.28515625" customWidth="1"/>
    <col min="2817" max="2817" width="13.42578125" customWidth="1"/>
    <col min="2818" max="2818" width="24.28515625" customWidth="1"/>
    <col min="2819" max="2819" width="40.42578125" customWidth="1"/>
    <col min="2820" max="2820" width="24.28515625" customWidth="1"/>
    <col min="2821" max="2821" width="41.85546875" customWidth="1"/>
    <col min="2822" max="2822" width="33.7109375" customWidth="1"/>
    <col min="2823" max="2823" width="18.85546875" customWidth="1"/>
    <col min="2824" max="3072" width="10.28515625" customWidth="1"/>
    <col min="3073" max="3073" width="13.42578125" customWidth="1"/>
    <col min="3074" max="3074" width="24.28515625" customWidth="1"/>
    <col min="3075" max="3075" width="40.42578125" customWidth="1"/>
    <col min="3076" max="3076" width="24.28515625" customWidth="1"/>
    <col min="3077" max="3077" width="41.85546875" customWidth="1"/>
    <col min="3078" max="3078" width="33.7109375" customWidth="1"/>
    <col min="3079" max="3079" width="18.85546875" customWidth="1"/>
    <col min="3080" max="3328" width="10.28515625" customWidth="1"/>
    <col min="3329" max="3329" width="13.42578125" customWidth="1"/>
    <col min="3330" max="3330" width="24.28515625" customWidth="1"/>
    <col min="3331" max="3331" width="40.42578125" customWidth="1"/>
    <col min="3332" max="3332" width="24.28515625" customWidth="1"/>
    <col min="3333" max="3333" width="41.85546875" customWidth="1"/>
    <col min="3334" max="3334" width="33.7109375" customWidth="1"/>
    <col min="3335" max="3335" width="18.85546875" customWidth="1"/>
    <col min="3336" max="3584" width="10.28515625" customWidth="1"/>
    <col min="3585" max="3585" width="13.42578125" customWidth="1"/>
    <col min="3586" max="3586" width="24.28515625" customWidth="1"/>
    <col min="3587" max="3587" width="40.42578125" customWidth="1"/>
    <col min="3588" max="3588" width="24.28515625" customWidth="1"/>
    <col min="3589" max="3589" width="41.85546875" customWidth="1"/>
    <col min="3590" max="3590" width="33.7109375" customWidth="1"/>
    <col min="3591" max="3591" width="18.85546875" customWidth="1"/>
    <col min="3592" max="3840" width="10.28515625" customWidth="1"/>
    <col min="3841" max="3841" width="13.42578125" customWidth="1"/>
    <col min="3842" max="3842" width="24.28515625" customWidth="1"/>
    <col min="3843" max="3843" width="40.42578125" customWidth="1"/>
    <col min="3844" max="3844" width="24.28515625" customWidth="1"/>
    <col min="3845" max="3845" width="41.85546875" customWidth="1"/>
    <col min="3846" max="3846" width="33.7109375" customWidth="1"/>
    <col min="3847" max="3847" width="18.85546875" customWidth="1"/>
    <col min="3848" max="4096" width="10.28515625" customWidth="1"/>
    <col min="4097" max="4097" width="13.42578125" customWidth="1"/>
    <col min="4098" max="4098" width="24.28515625" customWidth="1"/>
    <col min="4099" max="4099" width="40.42578125" customWidth="1"/>
    <col min="4100" max="4100" width="24.28515625" customWidth="1"/>
    <col min="4101" max="4101" width="41.85546875" customWidth="1"/>
    <col min="4102" max="4102" width="33.7109375" customWidth="1"/>
    <col min="4103" max="4103" width="18.85546875" customWidth="1"/>
    <col min="4104" max="4352" width="10.28515625" customWidth="1"/>
    <col min="4353" max="4353" width="13.42578125" customWidth="1"/>
    <col min="4354" max="4354" width="24.28515625" customWidth="1"/>
    <col min="4355" max="4355" width="40.42578125" customWidth="1"/>
    <col min="4356" max="4356" width="24.28515625" customWidth="1"/>
    <col min="4357" max="4357" width="41.85546875" customWidth="1"/>
    <col min="4358" max="4358" width="33.7109375" customWidth="1"/>
    <col min="4359" max="4359" width="18.85546875" customWidth="1"/>
    <col min="4360" max="4608" width="10.28515625" customWidth="1"/>
    <col min="4609" max="4609" width="13.42578125" customWidth="1"/>
    <col min="4610" max="4610" width="24.28515625" customWidth="1"/>
    <col min="4611" max="4611" width="40.42578125" customWidth="1"/>
    <col min="4612" max="4612" width="24.28515625" customWidth="1"/>
    <col min="4613" max="4613" width="41.85546875" customWidth="1"/>
    <col min="4614" max="4614" width="33.7109375" customWidth="1"/>
    <col min="4615" max="4615" width="18.85546875" customWidth="1"/>
    <col min="4616" max="4864" width="10.28515625" customWidth="1"/>
    <col min="4865" max="4865" width="13.42578125" customWidth="1"/>
    <col min="4866" max="4866" width="24.28515625" customWidth="1"/>
    <col min="4867" max="4867" width="40.42578125" customWidth="1"/>
    <col min="4868" max="4868" width="24.28515625" customWidth="1"/>
    <col min="4869" max="4869" width="41.85546875" customWidth="1"/>
    <col min="4870" max="4870" width="33.7109375" customWidth="1"/>
    <col min="4871" max="4871" width="18.85546875" customWidth="1"/>
    <col min="4872" max="5120" width="10.28515625" customWidth="1"/>
    <col min="5121" max="5121" width="13.42578125" customWidth="1"/>
    <col min="5122" max="5122" width="24.28515625" customWidth="1"/>
    <col min="5123" max="5123" width="40.42578125" customWidth="1"/>
    <col min="5124" max="5124" width="24.28515625" customWidth="1"/>
    <col min="5125" max="5125" width="41.85546875" customWidth="1"/>
    <col min="5126" max="5126" width="33.7109375" customWidth="1"/>
    <col min="5127" max="5127" width="18.85546875" customWidth="1"/>
    <col min="5128" max="5376" width="10.28515625" customWidth="1"/>
    <col min="5377" max="5377" width="13.42578125" customWidth="1"/>
    <col min="5378" max="5378" width="24.28515625" customWidth="1"/>
    <col min="5379" max="5379" width="40.42578125" customWidth="1"/>
    <col min="5380" max="5380" width="24.28515625" customWidth="1"/>
    <col min="5381" max="5381" width="41.85546875" customWidth="1"/>
    <col min="5382" max="5382" width="33.7109375" customWidth="1"/>
    <col min="5383" max="5383" width="18.85546875" customWidth="1"/>
    <col min="5384" max="5632" width="10.28515625" customWidth="1"/>
    <col min="5633" max="5633" width="13.42578125" customWidth="1"/>
    <col min="5634" max="5634" width="24.28515625" customWidth="1"/>
    <col min="5635" max="5635" width="40.42578125" customWidth="1"/>
    <col min="5636" max="5636" width="24.28515625" customWidth="1"/>
    <col min="5637" max="5637" width="41.85546875" customWidth="1"/>
    <col min="5638" max="5638" width="33.7109375" customWidth="1"/>
    <col min="5639" max="5639" width="18.85546875" customWidth="1"/>
    <col min="5640" max="5888" width="10.28515625" customWidth="1"/>
    <col min="5889" max="5889" width="13.42578125" customWidth="1"/>
    <col min="5890" max="5890" width="24.28515625" customWidth="1"/>
    <col min="5891" max="5891" width="40.42578125" customWidth="1"/>
    <col min="5892" max="5892" width="24.28515625" customWidth="1"/>
    <col min="5893" max="5893" width="41.85546875" customWidth="1"/>
    <col min="5894" max="5894" width="33.7109375" customWidth="1"/>
    <col min="5895" max="5895" width="18.85546875" customWidth="1"/>
    <col min="5896" max="6144" width="10.28515625" customWidth="1"/>
    <col min="6145" max="6145" width="13.42578125" customWidth="1"/>
    <col min="6146" max="6146" width="24.28515625" customWidth="1"/>
    <col min="6147" max="6147" width="40.42578125" customWidth="1"/>
    <col min="6148" max="6148" width="24.28515625" customWidth="1"/>
    <col min="6149" max="6149" width="41.85546875" customWidth="1"/>
    <col min="6150" max="6150" width="33.7109375" customWidth="1"/>
    <col min="6151" max="6151" width="18.85546875" customWidth="1"/>
    <col min="6152" max="6400" width="10.28515625" customWidth="1"/>
    <col min="6401" max="6401" width="13.42578125" customWidth="1"/>
    <col min="6402" max="6402" width="24.28515625" customWidth="1"/>
    <col min="6403" max="6403" width="40.42578125" customWidth="1"/>
    <col min="6404" max="6404" width="24.28515625" customWidth="1"/>
    <col min="6405" max="6405" width="41.85546875" customWidth="1"/>
    <col min="6406" max="6406" width="33.7109375" customWidth="1"/>
    <col min="6407" max="6407" width="18.85546875" customWidth="1"/>
    <col min="6408" max="6656" width="10.28515625" customWidth="1"/>
    <col min="6657" max="6657" width="13.42578125" customWidth="1"/>
    <col min="6658" max="6658" width="24.28515625" customWidth="1"/>
    <col min="6659" max="6659" width="40.42578125" customWidth="1"/>
    <col min="6660" max="6660" width="24.28515625" customWidth="1"/>
    <col min="6661" max="6661" width="41.85546875" customWidth="1"/>
    <col min="6662" max="6662" width="33.7109375" customWidth="1"/>
    <col min="6663" max="6663" width="18.85546875" customWidth="1"/>
    <col min="6664" max="6912" width="10.28515625" customWidth="1"/>
    <col min="6913" max="6913" width="13.42578125" customWidth="1"/>
    <col min="6914" max="6914" width="24.28515625" customWidth="1"/>
    <col min="6915" max="6915" width="40.42578125" customWidth="1"/>
    <col min="6916" max="6916" width="24.28515625" customWidth="1"/>
    <col min="6917" max="6917" width="41.85546875" customWidth="1"/>
    <col min="6918" max="6918" width="33.7109375" customWidth="1"/>
    <col min="6919" max="6919" width="18.85546875" customWidth="1"/>
    <col min="6920" max="7168" width="10.28515625" customWidth="1"/>
    <col min="7169" max="7169" width="13.42578125" customWidth="1"/>
    <col min="7170" max="7170" width="24.28515625" customWidth="1"/>
    <col min="7171" max="7171" width="40.42578125" customWidth="1"/>
    <col min="7172" max="7172" width="24.28515625" customWidth="1"/>
    <col min="7173" max="7173" width="41.85546875" customWidth="1"/>
    <col min="7174" max="7174" width="33.7109375" customWidth="1"/>
    <col min="7175" max="7175" width="18.85546875" customWidth="1"/>
    <col min="7176" max="7424" width="10.28515625" customWidth="1"/>
    <col min="7425" max="7425" width="13.42578125" customWidth="1"/>
    <col min="7426" max="7426" width="24.28515625" customWidth="1"/>
    <col min="7427" max="7427" width="40.42578125" customWidth="1"/>
    <col min="7428" max="7428" width="24.28515625" customWidth="1"/>
    <col min="7429" max="7429" width="41.85546875" customWidth="1"/>
    <col min="7430" max="7430" width="33.7109375" customWidth="1"/>
    <col min="7431" max="7431" width="18.85546875" customWidth="1"/>
    <col min="7432" max="7680" width="10.28515625" customWidth="1"/>
    <col min="7681" max="7681" width="13.42578125" customWidth="1"/>
    <col min="7682" max="7682" width="24.28515625" customWidth="1"/>
    <col min="7683" max="7683" width="40.42578125" customWidth="1"/>
    <col min="7684" max="7684" width="24.28515625" customWidth="1"/>
    <col min="7685" max="7685" width="41.85546875" customWidth="1"/>
    <col min="7686" max="7686" width="33.7109375" customWidth="1"/>
    <col min="7687" max="7687" width="18.85546875" customWidth="1"/>
    <col min="7688" max="7936" width="10.28515625" customWidth="1"/>
    <col min="7937" max="7937" width="13.42578125" customWidth="1"/>
    <col min="7938" max="7938" width="24.28515625" customWidth="1"/>
    <col min="7939" max="7939" width="40.42578125" customWidth="1"/>
    <col min="7940" max="7940" width="24.28515625" customWidth="1"/>
    <col min="7941" max="7941" width="41.85546875" customWidth="1"/>
    <col min="7942" max="7942" width="33.7109375" customWidth="1"/>
    <col min="7943" max="7943" width="18.85546875" customWidth="1"/>
    <col min="7944" max="8192" width="10.28515625" customWidth="1"/>
    <col min="8193" max="8193" width="13.42578125" customWidth="1"/>
    <col min="8194" max="8194" width="24.28515625" customWidth="1"/>
    <col min="8195" max="8195" width="40.42578125" customWidth="1"/>
    <col min="8196" max="8196" width="24.28515625" customWidth="1"/>
    <col min="8197" max="8197" width="41.85546875" customWidth="1"/>
    <col min="8198" max="8198" width="33.7109375" customWidth="1"/>
    <col min="8199" max="8199" width="18.85546875" customWidth="1"/>
    <col min="8200" max="8448" width="10.28515625" customWidth="1"/>
    <col min="8449" max="8449" width="13.42578125" customWidth="1"/>
    <col min="8450" max="8450" width="24.28515625" customWidth="1"/>
    <col min="8451" max="8451" width="40.42578125" customWidth="1"/>
    <col min="8452" max="8452" width="24.28515625" customWidth="1"/>
    <col min="8453" max="8453" width="41.85546875" customWidth="1"/>
    <col min="8454" max="8454" width="33.7109375" customWidth="1"/>
    <col min="8455" max="8455" width="18.85546875" customWidth="1"/>
    <col min="8456" max="8704" width="10.28515625" customWidth="1"/>
    <col min="8705" max="8705" width="13.42578125" customWidth="1"/>
    <col min="8706" max="8706" width="24.28515625" customWidth="1"/>
    <col min="8707" max="8707" width="40.42578125" customWidth="1"/>
    <col min="8708" max="8708" width="24.28515625" customWidth="1"/>
    <col min="8709" max="8709" width="41.85546875" customWidth="1"/>
    <col min="8710" max="8710" width="33.7109375" customWidth="1"/>
    <col min="8711" max="8711" width="18.85546875" customWidth="1"/>
    <col min="8712" max="8960" width="10.28515625" customWidth="1"/>
    <col min="8961" max="8961" width="13.42578125" customWidth="1"/>
    <col min="8962" max="8962" width="24.28515625" customWidth="1"/>
    <col min="8963" max="8963" width="40.42578125" customWidth="1"/>
    <col min="8964" max="8964" width="24.28515625" customWidth="1"/>
    <col min="8965" max="8965" width="41.85546875" customWidth="1"/>
    <col min="8966" max="8966" width="33.7109375" customWidth="1"/>
    <col min="8967" max="8967" width="18.85546875" customWidth="1"/>
    <col min="8968" max="9216" width="10.28515625" customWidth="1"/>
    <col min="9217" max="9217" width="13.42578125" customWidth="1"/>
    <col min="9218" max="9218" width="24.28515625" customWidth="1"/>
    <col min="9219" max="9219" width="40.42578125" customWidth="1"/>
    <col min="9220" max="9220" width="24.28515625" customWidth="1"/>
    <col min="9221" max="9221" width="41.85546875" customWidth="1"/>
    <col min="9222" max="9222" width="33.7109375" customWidth="1"/>
    <col min="9223" max="9223" width="18.85546875" customWidth="1"/>
    <col min="9224" max="9472" width="10.28515625" customWidth="1"/>
    <col min="9473" max="9473" width="13.42578125" customWidth="1"/>
    <col min="9474" max="9474" width="24.28515625" customWidth="1"/>
    <col min="9475" max="9475" width="40.42578125" customWidth="1"/>
    <col min="9476" max="9476" width="24.28515625" customWidth="1"/>
    <col min="9477" max="9477" width="41.85546875" customWidth="1"/>
    <col min="9478" max="9478" width="33.7109375" customWidth="1"/>
    <col min="9479" max="9479" width="18.85546875" customWidth="1"/>
    <col min="9480" max="9728" width="10.28515625" customWidth="1"/>
    <col min="9729" max="9729" width="13.42578125" customWidth="1"/>
    <col min="9730" max="9730" width="24.28515625" customWidth="1"/>
    <col min="9731" max="9731" width="40.42578125" customWidth="1"/>
    <col min="9732" max="9732" width="24.28515625" customWidth="1"/>
    <col min="9733" max="9733" width="41.85546875" customWidth="1"/>
    <col min="9734" max="9734" width="33.7109375" customWidth="1"/>
    <col min="9735" max="9735" width="18.85546875" customWidth="1"/>
    <col min="9736" max="9984" width="10.28515625" customWidth="1"/>
    <col min="9985" max="9985" width="13.42578125" customWidth="1"/>
    <col min="9986" max="9986" width="24.28515625" customWidth="1"/>
    <col min="9987" max="9987" width="40.42578125" customWidth="1"/>
    <col min="9988" max="9988" width="24.28515625" customWidth="1"/>
    <col min="9989" max="9989" width="41.85546875" customWidth="1"/>
    <col min="9990" max="9990" width="33.7109375" customWidth="1"/>
    <col min="9991" max="9991" width="18.85546875" customWidth="1"/>
    <col min="9992" max="10240" width="10.28515625" customWidth="1"/>
    <col min="10241" max="10241" width="13.42578125" customWidth="1"/>
    <col min="10242" max="10242" width="24.28515625" customWidth="1"/>
    <col min="10243" max="10243" width="40.42578125" customWidth="1"/>
    <col min="10244" max="10244" width="24.28515625" customWidth="1"/>
    <col min="10245" max="10245" width="41.85546875" customWidth="1"/>
    <col min="10246" max="10246" width="33.7109375" customWidth="1"/>
    <col min="10247" max="10247" width="18.85546875" customWidth="1"/>
    <col min="10248" max="10496" width="10.28515625" customWidth="1"/>
    <col min="10497" max="10497" width="13.42578125" customWidth="1"/>
    <col min="10498" max="10498" width="24.28515625" customWidth="1"/>
    <col min="10499" max="10499" width="40.42578125" customWidth="1"/>
    <col min="10500" max="10500" width="24.28515625" customWidth="1"/>
    <col min="10501" max="10501" width="41.85546875" customWidth="1"/>
    <col min="10502" max="10502" width="33.7109375" customWidth="1"/>
    <col min="10503" max="10503" width="18.85546875" customWidth="1"/>
    <col min="10504" max="10752" width="10.28515625" customWidth="1"/>
    <col min="10753" max="10753" width="13.42578125" customWidth="1"/>
    <col min="10754" max="10754" width="24.28515625" customWidth="1"/>
    <col min="10755" max="10755" width="40.42578125" customWidth="1"/>
    <col min="10756" max="10756" width="24.28515625" customWidth="1"/>
    <col min="10757" max="10757" width="41.85546875" customWidth="1"/>
    <col min="10758" max="10758" width="33.7109375" customWidth="1"/>
    <col min="10759" max="10759" width="18.85546875" customWidth="1"/>
    <col min="10760" max="11008" width="10.28515625" customWidth="1"/>
    <col min="11009" max="11009" width="13.42578125" customWidth="1"/>
    <col min="11010" max="11010" width="24.28515625" customWidth="1"/>
    <col min="11011" max="11011" width="40.42578125" customWidth="1"/>
    <col min="11012" max="11012" width="24.28515625" customWidth="1"/>
    <col min="11013" max="11013" width="41.85546875" customWidth="1"/>
    <col min="11014" max="11014" width="33.7109375" customWidth="1"/>
    <col min="11015" max="11015" width="18.85546875" customWidth="1"/>
    <col min="11016" max="11264" width="10.28515625" customWidth="1"/>
    <col min="11265" max="11265" width="13.42578125" customWidth="1"/>
    <col min="11266" max="11266" width="24.28515625" customWidth="1"/>
    <col min="11267" max="11267" width="40.42578125" customWidth="1"/>
    <col min="11268" max="11268" width="24.28515625" customWidth="1"/>
    <col min="11269" max="11269" width="41.85546875" customWidth="1"/>
    <col min="11270" max="11270" width="33.7109375" customWidth="1"/>
    <col min="11271" max="11271" width="18.85546875" customWidth="1"/>
    <col min="11272" max="11520" width="10.28515625" customWidth="1"/>
    <col min="11521" max="11521" width="13.42578125" customWidth="1"/>
    <col min="11522" max="11522" width="24.28515625" customWidth="1"/>
    <col min="11523" max="11523" width="40.42578125" customWidth="1"/>
    <col min="11524" max="11524" width="24.28515625" customWidth="1"/>
    <col min="11525" max="11525" width="41.85546875" customWidth="1"/>
    <col min="11526" max="11526" width="33.7109375" customWidth="1"/>
    <col min="11527" max="11527" width="18.85546875" customWidth="1"/>
    <col min="11528" max="11776" width="10.28515625" customWidth="1"/>
    <col min="11777" max="11777" width="13.42578125" customWidth="1"/>
    <col min="11778" max="11778" width="24.28515625" customWidth="1"/>
    <col min="11779" max="11779" width="40.42578125" customWidth="1"/>
    <col min="11780" max="11780" width="24.28515625" customWidth="1"/>
    <col min="11781" max="11781" width="41.85546875" customWidth="1"/>
    <col min="11782" max="11782" width="33.7109375" customWidth="1"/>
    <col min="11783" max="11783" width="18.85546875" customWidth="1"/>
    <col min="11784" max="12032" width="10.28515625" customWidth="1"/>
    <col min="12033" max="12033" width="13.42578125" customWidth="1"/>
    <col min="12034" max="12034" width="24.28515625" customWidth="1"/>
    <col min="12035" max="12035" width="40.42578125" customWidth="1"/>
    <col min="12036" max="12036" width="24.28515625" customWidth="1"/>
    <col min="12037" max="12037" width="41.85546875" customWidth="1"/>
    <col min="12038" max="12038" width="33.7109375" customWidth="1"/>
    <col min="12039" max="12039" width="18.85546875" customWidth="1"/>
    <col min="12040" max="12288" width="10.28515625" customWidth="1"/>
    <col min="12289" max="12289" width="13.42578125" customWidth="1"/>
    <col min="12290" max="12290" width="24.28515625" customWidth="1"/>
    <col min="12291" max="12291" width="40.42578125" customWidth="1"/>
    <col min="12292" max="12292" width="24.28515625" customWidth="1"/>
    <col min="12293" max="12293" width="41.85546875" customWidth="1"/>
    <col min="12294" max="12294" width="33.7109375" customWidth="1"/>
    <col min="12295" max="12295" width="18.85546875" customWidth="1"/>
    <col min="12296" max="12544" width="10.28515625" customWidth="1"/>
    <col min="12545" max="12545" width="13.42578125" customWidth="1"/>
    <col min="12546" max="12546" width="24.28515625" customWidth="1"/>
    <col min="12547" max="12547" width="40.42578125" customWidth="1"/>
    <col min="12548" max="12548" width="24.28515625" customWidth="1"/>
    <col min="12549" max="12549" width="41.85546875" customWidth="1"/>
    <col min="12550" max="12550" width="33.7109375" customWidth="1"/>
    <col min="12551" max="12551" width="18.85546875" customWidth="1"/>
    <col min="12552" max="12800" width="10.28515625" customWidth="1"/>
    <col min="12801" max="12801" width="13.42578125" customWidth="1"/>
    <col min="12802" max="12802" width="24.28515625" customWidth="1"/>
    <col min="12803" max="12803" width="40.42578125" customWidth="1"/>
    <col min="12804" max="12804" width="24.28515625" customWidth="1"/>
    <col min="12805" max="12805" width="41.85546875" customWidth="1"/>
    <col min="12806" max="12806" width="33.7109375" customWidth="1"/>
    <col min="12807" max="12807" width="18.85546875" customWidth="1"/>
    <col min="12808" max="13056" width="10.28515625" customWidth="1"/>
    <col min="13057" max="13057" width="13.42578125" customWidth="1"/>
    <col min="13058" max="13058" width="24.28515625" customWidth="1"/>
    <col min="13059" max="13059" width="40.42578125" customWidth="1"/>
    <col min="13060" max="13060" width="24.28515625" customWidth="1"/>
    <col min="13061" max="13061" width="41.85546875" customWidth="1"/>
    <col min="13062" max="13062" width="33.7109375" customWidth="1"/>
    <col min="13063" max="13063" width="18.85546875" customWidth="1"/>
    <col min="13064" max="13312" width="10.28515625" customWidth="1"/>
    <col min="13313" max="13313" width="13.42578125" customWidth="1"/>
    <col min="13314" max="13314" width="24.28515625" customWidth="1"/>
    <col min="13315" max="13315" width="40.42578125" customWidth="1"/>
    <col min="13316" max="13316" width="24.28515625" customWidth="1"/>
    <col min="13317" max="13317" width="41.85546875" customWidth="1"/>
    <col min="13318" max="13318" width="33.7109375" customWidth="1"/>
    <col min="13319" max="13319" width="18.85546875" customWidth="1"/>
    <col min="13320" max="13568" width="10.28515625" customWidth="1"/>
    <col min="13569" max="13569" width="13.42578125" customWidth="1"/>
    <col min="13570" max="13570" width="24.28515625" customWidth="1"/>
    <col min="13571" max="13571" width="40.42578125" customWidth="1"/>
    <col min="13572" max="13572" width="24.28515625" customWidth="1"/>
    <col min="13573" max="13573" width="41.85546875" customWidth="1"/>
    <col min="13574" max="13574" width="33.7109375" customWidth="1"/>
    <col min="13575" max="13575" width="18.85546875" customWidth="1"/>
    <col min="13576" max="13824" width="10.28515625" customWidth="1"/>
    <col min="13825" max="13825" width="13.42578125" customWidth="1"/>
    <col min="13826" max="13826" width="24.28515625" customWidth="1"/>
    <col min="13827" max="13827" width="40.42578125" customWidth="1"/>
    <col min="13828" max="13828" width="24.28515625" customWidth="1"/>
    <col min="13829" max="13829" width="41.85546875" customWidth="1"/>
    <col min="13830" max="13830" width="33.7109375" customWidth="1"/>
    <col min="13831" max="13831" width="18.85546875" customWidth="1"/>
    <col min="13832" max="14080" width="10.28515625" customWidth="1"/>
    <col min="14081" max="14081" width="13.42578125" customWidth="1"/>
    <col min="14082" max="14082" width="24.28515625" customWidth="1"/>
    <col min="14083" max="14083" width="40.42578125" customWidth="1"/>
    <col min="14084" max="14084" width="24.28515625" customWidth="1"/>
    <col min="14085" max="14085" width="41.85546875" customWidth="1"/>
    <col min="14086" max="14086" width="33.7109375" customWidth="1"/>
    <col min="14087" max="14087" width="18.85546875" customWidth="1"/>
    <col min="14088" max="14336" width="10.28515625" customWidth="1"/>
    <col min="14337" max="14337" width="13.42578125" customWidth="1"/>
    <col min="14338" max="14338" width="24.28515625" customWidth="1"/>
    <col min="14339" max="14339" width="40.42578125" customWidth="1"/>
    <col min="14340" max="14340" width="24.28515625" customWidth="1"/>
    <col min="14341" max="14341" width="41.85546875" customWidth="1"/>
    <col min="14342" max="14342" width="33.7109375" customWidth="1"/>
    <col min="14343" max="14343" width="18.85546875" customWidth="1"/>
    <col min="14344" max="14592" width="10.28515625" customWidth="1"/>
    <col min="14593" max="14593" width="13.42578125" customWidth="1"/>
    <col min="14594" max="14594" width="24.28515625" customWidth="1"/>
    <col min="14595" max="14595" width="40.42578125" customWidth="1"/>
    <col min="14596" max="14596" width="24.28515625" customWidth="1"/>
    <col min="14597" max="14597" width="41.85546875" customWidth="1"/>
    <col min="14598" max="14598" width="33.7109375" customWidth="1"/>
    <col min="14599" max="14599" width="18.85546875" customWidth="1"/>
    <col min="14600" max="14848" width="10.28515625" customWidth="1"/>
    <col min="14849" max="14849" width="13.42578125" customWidth="1"/>
    <col min="14850" max="14850" width="24.28515625" customWidth="1"/>
    <col min="14851" max="14851" width="40.42578125" customWidth="1"/>
    <col min="14852" max="14852" width="24.28515625" customWidth="1"/>
    <col min="14853" max="14853" width="41.85546875" customWidth="1"/>
    <col min="14854" max="14854" width="33.7109375" customWidth="1"/>
    <col min="14855" max="14855" width="18.85546875" customWidth="1"/>
    <col min="14856" max="15104" width="10.28515625" customWidth="1"/>
    <col min="15105" max="15105" width="13.42578125" customWidth="1"/>
    <col min="15106" max="15106" width="24.28515625" customWidth="1"/>
    <col min="15107" max="15107" width="40.42578125" customWidth="1"/>
    <col min="15108" max="15108" width="24.28515625" customWidth="1"/>
    <col min="15109" max="15109" width="41.85546875" customWidth="1"/>
    <col min="15110" max="15110" width="33.7109375" customWidth="1"/>
    <col min="15111" max="15111" width="18.85546875" customWidth="1"/>
    <col min="15112" max="15360" width="10.28515625" customWidth="1"/>
    <col min="15361" max="15361" width="13.42578125" customWidth="1"/>
    <col min="15362" max="15362" width="24.28515625" customWidth="1"/>
    <col min="15363" max="15363" width="40.42578125" customWidth="1"/>
    <col min="15364" max="15364" width="24.28515625" customWidth="1"/>
    <col min="15365" max="15365" width="41.85546875" customWidth="1"/>
    <col min="15366" max="15366" width="33.7109375" customWidth="1"/>
    <col min="15367" max="15367" width="18.85546875" customWidth="1"/>
    <col min="15368" max="15616" width="10.28515625" customWidth="1"/>
    <col min="15617" max="15617" width="13.42578125" customWidth="1"/>
    <col min="15618" max="15618" width="24.28515625" customWidth="1"/>
    <col min="15619" max="15619" width="40.42578125" customWidth="1"/>
    <col min="15620" max="15620" width="24.28515625" customWidth="1"/>
    <col min="15621" max="15621" width="41.85546875" customWidth="1"/>
    <col min="15622" max="15622" width="33.7109375" customWidth="1"/>
    <col min="15623" max="15623" width="18.85546875" customWidth="1"/>
    <col min="15624" max="15872" width="10.28515625" customWidth="1"/>
    <col min="15873" max="15873" width="13.42578125" customWidth="1"/>
    <col min="15874" max="15874" width="24.28515625" customWidth="1"/>
    <col min="15875" max="15875" width="40.42578125" customWidth="1"/>
    <col min="15876" max="15876" width="24.28515625" customWidth="1"/>
    <col min="15877" max="15877" width="41.85546875" customWidth="1"/>
    <col min="15878" max="15878" width="33.7109375" customWidth="1"/>
    <col min="15879" max="15879" width="18.85546875" customWidth="1"/>
    <col min="15880" max="16128" width="10.28515625" customWidth="1"/>
    <col min="16129" max="16129" width="13.42578125" customWidth="1"/>
    <col min="16130" max="16130" width="24.28515625" customWidth="1"/>
    <col min="16131" max="16131" width="40.42578125" customWidth="1"/>
    <col min="16132" max="16132" width="24.28515625" customWidth="1"/>
    <col min="16133" max="16133" width="41.85546875" customWidth="1"/>
    <col min="16134" max="16134" width="33.7109375" customWidth="1"/>
    <col min="16135" max="16135" width="18.85546875" customWidth="1"/>
    <col min="16136" max="16384" width="10.28515625" customWidth="1"/>
  </cols>
  <sheetData>
    <row r="1" spans="1:10" ht="14.25" thickTop="1" thickBot="1">
      <c r="A1" s="29" t="s">
        <v>971</v>
      </c>
      <c r="B1" s="28" t="s">
        <v>8717</v>
      </c>
    </row>
    <row r="2" spans="1:10" ht="14.25" thickTop="1" thickBot="1">
      <c r="A2" s="29" t="s">
        <v>0</v>
      </c>
      <c r="B2" s="29" t="s">
        <v>1</v>
      </c>
      <c r="C2" s="29" t="s">
        <v>2</v>
      </c>
      <c r="D2" s="29" t="s">
        <v>3</v>
      </c>
      <c r="E2" s="29" t="s">
        <v>4</v>
      </c>
      <c r="F2" s="29" t="s">
        <v>5</v>
      </c>
      <c r="G2" s="29" t="s">
        <v>6</v>
      </c>
    </row>
    <row r="3" spans="1:10" ht="13.5" thickTop="1">
      <c r="A3" s="1" t="s">
        <v>7</v>
      </c>
      <c r="B3" s="1" t="s">
        <v>8</v>
      </c>
      <c r="C3" s="1" t="s">
        <v>9</v>
      </c>
      <c r="D3" s="1" t="s">
        <v>10</v>
      </c>
      <c r="E3" s="2">
        <v>160</v>
      </c>
      <c r="F3" s="1" t="s">
        <v>11</v>
      </c>
      <c r="G3" s="3">
        <v>44874</v>
      </c>
      <c r="H3" t="str">
        <f>IF(ISERROR(MATCH(I3,AMF!I:I,0)),"Missing","")</f>
        <v>Missing</v>
      </c>
      <c r="I3" t="str">
        <f>_xlfn.CONCAT(A3:B3)</f>
        <v>SOA0275443JDOR1219SDB62</v>
      </c>
      <c r="J3" t="s">
        <v>953</v>
      </c>
    </row>
    <row r="4" spans="1:10">
      <c r="A4" s="1" t="s">
        <v>12</v>
      </c>
      <c r="B4" s="1" t="s">
        <v>8</v>
      </c>
      <c r="C4" s="1" t="s">
        <v>9</v>
      </c>
      <c r="D4" s="1" t="s">
        <v>10</v>
      </c>
      <c r="E4" s="2">
        <v>160</v>
      </c>
      <c r="F4" s="1" t="s">
        <v>13</v>
      </c>
      <c r="G4" s="3">
        <v>44876</v>
      </c>
      <c r="H4" t="str">
        <f>IF(ISERROR(MATCH(I4,AMF!I:I,0)),"Missing","")</f>
        <v>Missing</v>
      </c>
      <c r="I4" t="str">
        <f t="shared" ref="I4:I67" si="0">_xlfn.CONCAT(A4:B4)</f>
        <v>SOA0275444JDOR1219SDB62</v>
      </c>
      <c r="J4" t="s">
        <v>953</v>
      </c>
    </row>
    <row r="5" spans="1:10">
      <c r="A5" s="1" t="s">
        <v>16</v>
      </c>
      <c r="B5" s="1" t="s">
        <v>17</v>
      </c>
      <c r="C5" s="1" t="s">
        <v>18</v>
      </c>
      <c r="D5" s="1" t="s">
        <v>19</v>
      </c>
      <c r="E5" s="2">
        <v>18</v>
      </c>
      <c r="F5" s="1" t="s">
        <v>20</v>
      </c>
      <c r="G5" s="3">
        <v>44950</v>
      </c>
      <c r="H5" t="str">
        <f>IF(ISERROR(MATCH(I5,AMF!I:I,0)),"Missing","")</f>
        <v>Missing</v>
      </c>
      <c r="I5" t="str">
        <f t="shared" si="0"/>
        <v>SOA0275448G22WM991PM41</v>
      </c>
      <c r="J5" t="s">
        <v>953</v>
      </c>
    </row>
    <row r="6" spans="1:10">
      <c r="A6" s="1" t="s">
        <v>8718</v>
      </c>
      <c r="B6" s="1" t="s">
        <v>8719</v>
      </c>
      <c r="C6" s="1" t="s">
        <v>8720</v>
      </c>
      <c r="D6" s="1" t="s">
        <v>8721</v>
      </c>
      <c r="E6" s="2">
        <v>8</v>
      </c>
      <c r="F6" s="1" t="s">
        <v>8722</v>
      </c>
      <c r="G6" s="3">
        <v>44957</v>
      </c>
      <c r="H6" t="str">
        <f>IF(ISERROR(MATCH(I6,AMF!I:I,0)),"Missing","")</f>
        <v>Missing</v>
      </c>
      <c r="I6" t="str">
        <f t="shared" si="0"/>
        <v>SOA0275608J24IHEADPM40</v>
      </c>
      <c r="J6" t="s">
        <v>953</v>
      </c>
    </row>
    <row r="7" spans="1:10">
      <c r="A7" s="1" t="s">
        <v>21</v>
      </c>
      <c r="B7" s="1" t="s">
        <v>22</v>
      </c>
      <c r="C7" s="1" t="s">
        <v>18</v>
      </c>
      <c r="D7" s="1" t="s">
        <v>23</v>
      </c>
      <c r="E7" s="2">
        <v>18</v>
      </c>
      <c r="F7" s="1" t="s">
        <v>24</v>
      </c>
      <c r="G7" s="3">
        <v>44943</v>
      </c>
      <c r="H7" t="str">
        <f>IF(ISERROR(MATCH(I7,AMF!I:I,0)),"Missing","")</f>
        <v>Missing</v>
      </c>
      <c r="I7" t="str">
        <f t="shared" si="0"/>
        <v>SOA0275373G24WM991PM41</v>
      </c>
      <c r="J7" t="s">
        <v>953</v>
      </c>
    </row>
    <row r="8" spans="1:10">
      <c r="A8" s="1" t="s">
        <v>25</v>
      </c>
      <c r="B8" s="1" t="s">
        <v>26</v>
      </c>
      <c r="C8" s="1" t="s">
        <v>27</v>
      </c>
      <c r="D8" s="1" t="s">
        <v>28</v>
      </c>
      <c r="E8" s="2">
        <v>3</v>
      </c>
      <c r="F8" s="1" t="s">
        <v>20</v>
      </c>
      <c r="G8" s="3">
        <v>44953</v>
      </c>
      <c r="H8" t="str">
        <f>IF(ISERROR(MATCH(I8,AMF!I:I,0)),"Missing","")</f>
        <v>Missing</v>
      </c>
      <c r="I8" t="str">
        <f t="shared" si="0"/>
        <v>SOA0275446J24ICHARPM41</v>
      </c>
      <c r="J8" t="s">
        <v>953</v>
      </c>
    </row>
    <row r="9" spans="1:10">
      <c r="A9" s="1" t="s">
        <v>29</v>
      </c>
      <c r="B9" s="1" t="s">
        <v>26</v>
      </c>
      <c r="C9" s="1" t="s">
        <v>27</v>
      </c>
      <c r="D9" s="1" t="s">
        <v>28</v>
      </c>
      <c r="E9" s="2">
        <v>3</v>
      </c>
      <c r="F9" s="1" t="s">
        <v>30</v>
      </c>
      <c r="G9" s="3">
        <v>44964</v>
      </c>
      <c r="H9" t="str">
        <f>IF(ISERROR(MATCH(I9,AMF!I:I,0)),"Missing","")</f>
        <v>Missing</v>
      </c>
      <c r="I9" t="str">
        <f t="shared" si="0"/>
        <v>SOA0275431J24ICHARPM41</v>
      </c>
      <c r="J9" t="s">
        <v>953</v>
      </c>
    </row>
    <row r="10" spans="1:10">
      <c r="A10" s="1" t="s">
        <v>25</v>
      </c>
      <c r="B10" s="1" t="s">
        <v>31</v>
      </c>
      <c r="C10" s="1" t="s">
        <v>32</v>
      </c>
      <c r="D10" s="1" t="s">
        <v>33</v>
      </c>
      <c r="E10" s="2">
        <v>3</v>
      </c>
      <c r="F10" s="1" t="s">
        <v>20</v>
      </c>
      <c r="G10" s="3">
        <v>44953</v>
      </c>
      <c r="H10" t="str">
        <f>IF(ISERROR(MATCH(I10,AMF!I:I,0)),"Missing","")</f>
        <v>Missing</v>
      </c>
      <c r="I10" t="str">
        <f t="shared" si="0"/>
        <v>SOA0275446J25IRAPPAM58</v>
      </c>
      <c r="J10" t="s">
        <v>953</v>
      </c>
    </row>
    <row r="11" spans="1:10">
      <c r="A11" s="1" t="s">
        <v>8718</v>
      </c>
      <c r="B11" s="1" t="s">
        <v>31</v>
      </c>
      <c r="C11" s="1" t="s">
        <v>32</v>
      </c>
      <c r="D11" s="1" t="s">
        <v>33</v>
      </c>
      <c r="E11" s="2">
        <v>2</v>
      </c>
      <c r="F11" s="1" t="s">
        <v>8722</v>
      </c>
      <c r="G11" s="3">
        <v>44957</v>
      </c>
      <c r="H11" t="str">
        <f>IF(ISERROR(MATCH(I11,AMF!I:I,0)),"Missing","")</f>
        <v>Missing</v>
      </c>
      <c r="I11" t="str">
        <f t="shared" si="0"/>
        <v>SOA0275608J25IRAPPAM58</v>
      </c>
      <c r="J11" t="s">
        <v>953</v>
      </c>
    </row>
    <row r="12" spans="1:10">
      <c r="A12" s="1" t="s">
        <v>25</v>
      </c>
      <c r="B12" s="1" t="s">
        <v>34</v>
      </c>
      <c r="C12" s="1" t="s">
        <v>35</v>
      </c>
      <c r="D12" s="1" t="s">
        <v>36</v>
      </c>
      <c r="E12" s="2">
        <v>2</v>
      </c>
      <c r="F12" s="1" t="s">
        <v>20</v>
      </c>
      <c r="G12" s="3">
        <v>44953</v>
      </c>
      <c r="H12" t="str">
        <f>IF(ISERROR(MATCH(I12,AMF!I:I,0)),"Missing","")</f>
        <v>Missing</v>
      </c>
      <c r="I12" t="str">
        <f t="shared" si="0"/>
        <v>SOA0275446J25ILAPPAM51</v>
      </c>
      <c r="J12" t="s">
        <v>953</v>
      </c>
    </row>
    <row r="13" spans="1:10">
      <c r="A13" s="1" t="s">
        <v>8723</v>
      </c>
      <c r="B13" s="1" t="s">
        <v>34</v>
      </c>
      <c r="C13" s="1" t="s">
        <v>35</v>
      </c>
      <c r="D13" s="1" t="s">
        <v>36</v>
      </c>
      <c r="E13" s="2">
        <v>2</v>
      </c>
      <c r="F13" s="1" t="s">
        <v>8724</v>
      </c>
      <c r="G13" s="3">
        <v>44992</v>
      </c>
      <c r="H13" t="str">
        <f>IF(ISERROR(MATCH(I13,AMF!I:I,0)),"Missing","")</f>
        <v>Missing</v>
      </c>
      <c r="I13" t="str">
        <f t="shared" si="0"/>
        <v>SOA0275643J25ILAPPAM51</v>
      </c>
      <c r="J13" t="s">
        <v>953</v>
      </c>
    </row>
    <row r="14" spans="1:10">
      <c r="A14" s="1" t="s">
        <v>29</v>
      </c>
      <c r="B14" s="1" t="s">
        <v>37</v>
      </c>
      <c r="C14" s="1" t="s">
        <v>38</v>
      </c>
      <c r="D14" s="1" t="s">
        <v>39</v>
      </c>
      <c r="E14" s="2">
        <v>3</v>
      </c>
      <c r="F14" s="1" t="s">
        <v>30</v>
      </c>
      <c r="G14" s="3">
        <v>44964</v>
      </c>
      <c r="H14" t="str">
        <f>IF(ISERROR(MATCH(I14,AMF!I:I,0)),"Missing","")</f>
        <v>Missing</v>
      </c>
      <c r="I14" t="str">
        <f t="shared" si="0"/>
        <v>SOA0275431J25IRFOUQM56</v>
      </c>
      <c r="J14" t="s">
        <v>953</v>
      </c>
    </row>
    <row r="15" spans="1:10">
      <c r="A15" s="1" t="s">
        <v>25</v>
      </c>
      <c r="B15" s="1" t="s">
        <v>40</v>
      </c>
      <c r="C15" s="1" t="s">
        <v>41</v>
      </c>
      <c r="D15" s="1" t="s">
        <v>42</v>
      </c>
      <c r="E15" s="2">
        <v>4</v>
      </c>
      <c r="F15" s="1" t="s">
        <v>20</v>
      </c>
      <c r="G15" s="3">
        <v>44953</v>
      </c>
      <c r="H15" t="str">
        <f>IF(ISERROR(MATCH(I15,AMF!I:I,0)),"Missing","")</f>
        <v>Missing</v>
      </c>
      <c r="I15" t="str">
        <f t="shared" si="0"/>
        <v>SOA0275446J25ILFOUQM57</v>
      </c>
      <c r="J15" t="s">
        <v>953</v>
      </c>
    </row>
    <row r="16" spans="1:10">
      <c r="A16" s="1" t="s">
        <v>29</v>
      </c>
      <c r="B16" s="1" t="s">
        <v>40</v>
      </c>
      <c r="C16" s="1" t="s">
        <v>41</v>
      </c>
      <c r="D16" s="1" t="s">
        <v>42</v>
      </c>
      <c r="E16" s="2">
        <v>6</v>
      </c>
      <c r="F16" s="1" t="s">
        <v>30</v>
      </c>
      <c r="G16" s="3">
        <v>44964</v>
      </c>
      <c r="H16" t="str">
        <f>IF(ISERROR(MATCH(I16,AMF!I:I,0)),"Missing","")</f>
        <v>Missing</v>
      </c>
      <c r="I16" t="str">
        <f t="shared" si="0"/>
        <v>SOA0275431J25ILFOUQM57</v>
      </c>
      <c r="J16" t="s">
        <v>953</v>
      </c>
    </row>
    <row r="17" spans="1:10">
      <c r="A17" s="1" t="s">
        <v>29</v>
      </c>
      <c r="B17" s="1" t="s">
        <v>43</v>
      </c>
      <c r="C17" s="1" t="s">
        <v>44</v>
      </c>
      <c r="D17" s="1" t="s">
        <v>45</v>
      </c>
      <c r="E17" s="2">
        <v>36</v>
      </c>
      <c r="F17" s="1" t="s">
        <v>30</v>
      </c>
      <c r="G17" s="3">
        <v>44964</v>
      </c>
      <c r="H17" t="str">
        <f>IF(ISERROR(MATCH(I17,AMF!I:I,0)),"Missing","")</f>
        <v>Missing</v>
      </c>
      <c r="I17" t="str">
        <f t="shared" si="0"/>
        <v>SOA0275431G25WM111AM23</v>
      </c>
      <c r="J17" t="s">
        <v>953</v>
      </c>
    </row>
    <row r="18" spans="1:10">
      <c r="A18" s="1" t="s">
        <v>8718</v>
      </c>
      <c r="B18" s="1" t="s">
        <v>51</v>
      </c>
      <c r="C18" s="1" t="s">
        <v>52</v>
      </c>
      <c r="D18" s="1" t="s">
        <v>53</v>
      </c>
      <c r="E18" s="2">
        <v>4</v>
      </c>
      <c r="F18" s="1" t="s">
        <v>8722</v>
      </c>
      <c r="G18" s="3">
        <v>44957</v>
      </c>
      <c r="H18" t="str">
        <f>IF(ISERROR(MATCH(I18,AMF!I:I,0)),"Missing","")</f>
        <v>Missing</v>
      </c>
      <c r="I18" t="str">
        <f t="shared" si="0"/>
        <v>SOA0275608G44WM311PM61</v>
      </c>
      <c r="J18" t="s">
        <v>953</v>
      </c>
    </row>
    <row r="19" spans="1:10">
      <c r="A19" s="1" t="s">
        <v>50</v>
      </c>
      <c r="B19" s="1" t="s">
        <v>51</v>
      </c>
      <c r="C19" s="1" t="s">
        <v>52</v>
      </c>
      <c r="D19" s="1" t="s">
        <v>53</v>
      </c>
      <c r="E19" s="2">
        <v>4</v>
      </c>
      <c r="F19" s="1" t="s">
        <v>30</v>
      </c>
      <c r="G19" s="3">
        <v>44967</v>
      </c>
      <c r="H19" t="str">
        <f>IF(ISERROR(MATCH(I19,AMF!I:I,0)),"Missing","")</f>
        <v>Missing</v>
      </c>
      <c r="I19" t="str">
        <f t="shared" si="0"/>
        <v>SOA0275434G44WM311PM61</v>
      </c>
      <c r="J19" t="s">
        <v>953</v>
      </c>
    </row>
    <row r="20" spans="1:10">
      <c r="A20" s="1" t="s">
        <v>8718</v>
      </c>
      <c r="B20" s="1" t="s">
        <v>8725</v>
      </c>
      <c r="C20" s="1" t="s">
        <v>8726</v>
      </c>
      <c r="D20" s="1" t="s">
        <v>8727</v>
      </c>
      <c r="E20" s="2">
        <v>12</v>
      </c>
      <c r="F20" s="1" t="s">
        <v>8722</v>
      </c>
      <c r="G20" s="3">
        <v>44957</v>
      </c>
      <c r="H20" t="str">
        <f>IF(ISERROR(MATCH(I20,AMF!I:I,0)),"Missing","")</f>
        <v>Missing</v>
      </c>
      <c r="I20" t="str">
        <f t="shared" si="0"/>
        <v>SOA0275608G44WM321PM61</v>
      </c>
      <c r="J20" t="s">
        <v>953</v>
      </c>
    </row>
    <row r="21" spans="1:10">
      <c r="A21" s="1" t="s">
        <v>50</v>
      </c>
      <c r="B21" s="1" t="s">
        <v>54</v>
      </c>
      <c r="C21" s="1" t="s">
        <v>55</v>
      </c>
      <c r="D21" s="1" t="s">
        <v>56</v>
      </c>
      <c r="E21" s="2">
        <v>2</v>
      </c>
      <c r="F21" s="1" t="s">
        <v>30</v>
      </c>
      <c r="G21" s="3">
        <v>44967</v>
      </c>
      <c r="H21" t="str">
        <f>IF(ISERROR(MATCH(I21,AMF!I:I,0)),"Missing","")</f>
        <v>Missing</v>
      </c>
      <c r="I21" t="str">
        <f t="shared" si="0"/>
        <v>SOA0275434G44WM311PM37</v>
      </c>
      <c r="J21" t="s">
        <v>953</v>
      </c>
    </row>
    <row r="22" spans="1:10">
      <c r="A22" s="1" t="s">
        <v>57</v>
      </c>
      <c r="B22" s="1" t="s">
        <v>58</v>
      </c>
      <c r="C22" s="1" t="s">
        <v>59</v>
      </c>
      <c r="D22" s="1" t="s">
        <v>60</v>
      </c>
      <c r="E22" s="2">
        <v>4</v>
      </c>
      <c r="F22" s="1" t="s">
        <v>61</v>
      </c>
      <c r="G22" s="3">
        <v>44939</v>
      </c>
      <c r="H22" t="str">
        <f>IF(ISERROR(MATCH(I22,AMF!I:I,0)),"Missing","")</f>
        <v>Missing</v>
      </c>
      <c r="I22" t="str">
        <f t="shared" si="0"/>
        <v>SOA0275215J46I8891AM31</v>
      </c>
      <c r="J22" t="s">
        <v>953</v>
      </c>
    </row>
    <row r="23" spans="1:10">
      <c r="A23" s="1" t="s">
        <v>57</v>
      </c>
      <c r="B23" s="1" t="s">
        <v>62</v>
      </c>
      <c r="C23" s="1" t="s">
        <v>63</v>
      </c>
      <c r="D23" s="1" t="s">
        <v>64</v>
      </c>
      <c r="E23" s="2">
        <v>2</v>
      </c>
      <c r="F23" s="1" t="s">
        <v>61</v>
      </c>
      <c r="G23" s="3">
        <v>44939</v>
      </c>
      <c r="H23" t="str">
        <f>IF(ISERROR(MATCH(I23,AMF!I:I,0)),"Missing","")</f>
        <v>Missing</v>
      </c>
      <c r="I23" t="str">
        <f t="shared" si="0"/>
        <v>SOA0275215J46I8890AM30</v>
      </c>
      <c r="J23" t="s">
        <v>953</v>
      </c>
    </row>
    <row r="24" spans="1:10">
      <c r="A24" s="1" t="s">
        <v>8728</v>
      </c>
      <c r="B24" s="1" t="s">
        <v>506</v>
      </c>
      <c r="C24" s="1" t="s">
        <v>279</v>
      </c>
      <c r="D24" s="1" t="s">
        <v>8729</v>
      </c>
      <c r="E24" s="2">
        <v>18</v>
      </c>
      <c r="F24" s="1" t="s">
        <v>8724</v>
      </c>
      <c r="G24" s="3">
        <v>44995</v>
      </c>
      <c r="H24" t="str">
        <f>IF(ISERROR(MATCH(I24,AMF!I:I,0)),"Missing","")</f>
        <v>Missing</v>
      </c>
      <c r="I24" t="str">
        <f t="shared" si="0"/>
        <v>SOA0275644G46WM301AM39</v>
      </c>
      <c r="J24" t="s">
        <v>953</v>
      </c>
    </row>
    <row r="25" spans="1:10">
      <c r="A25" s="1" t="s">
        <v>8730</v>
      </c>
      <c r="B25" s="1" t="s">
        <v>515</v>
      </c>
      <c r="C25" s="1" t="s">
        <v>288</v>
      </c>
      <c r="D25" s="1" t="s">
        <v>8731</v>
      </c>
      <c r="E25" s="2">
        <v>6</v>
      </c>
      <c r="F25" s="1" t="s">
        <v>8732</v>
      </c>
      <c r="G25" s="3">
        <v>44985</v>
      </c>
      <c r="H25" t="str">
        <f>IF(ISERROR(MATCH(I25,AMF!I:I,0)),"Missing","")</f>
        <v>Missing</v>
      </c>
      <c r="I25" t="str">
        <f t="shared" si="0"/>
        <v>SOA0275616G59WM301AM38</v>
      </c>
      <c r="J25" t="s">
        <v>953</v>
      </c>
    </row>
    <row r="26" spans="1:10">
      <c r="A26" s="1" t="s">
        <v>8728</v>
      </c>
      <c r="B26" s="1" t="s">
        <v>515</v>
      </c>
      <c r="C26" s="1" t="s">
        <v>288</v>
      </c>
      <c r="D26" s="1" t="s">
        <v>8731</v>
      </c>
      <c r="E26" s="2">
        <v>2</v>
      </c>
      <c r="F26" s="1" t="s">
        <v>8724</v>
      </c>
      <c r="G26" s="3">
        <v>44995</v>
      </c>
      <c r="H26" t="str">
        <f>IF(ISERROR(MATCH(I26,AMF!I:I,0)),"Missing","")</f>
        <v>Missing</v>
      </c>
      <c r="I26" t="str">
        <f t="shared" si="0"/>
        <v>SOA0275644G59WM301AM38</v>
      </c>
      <c r="J26" t="s">
        <v>953</v>
      </c>
    </row>
    <row r="27" spans="1:10">
      <c r="A27" s="1" t="s">
        <v>16</v>
      </c>
      <c r="B27" s="1" t="s">
        <v>65</v>
      </c>
      <c r="C27" s="1" t="s">
        <v>66</v>
      </c>
      <c r="D27" s="1" t="s">
        <v>67</v>
      </c>
      <c r="E27" s="2">
        <v>36</v>
      </c>
      <c r="F27" s="1" t="s">
        <v>20</v>
      </c>
      <c r="G27" s="3">
        <v>44950</v>
      </c>
      <c r="H27" t="str">
        <f>IF(ISERROR(MATCH(I27,AMF!I:I,0)),"Missing","")</f>
        <v>Missing</v>
      </c>
      <c r="I27" t="str">
        <f t="shared" si="0"/>
        <v>SOA0275448G46WM301AM38</v>
      </c>
      <c r="J27" t="s">
        <v>953</v>
      </c>
    </row>
    <row r="28" spans="1:10">
      <c r="A28" s="1" t="s">
        <v>8733</v>
      </c>
      <c r="B28" s="1" t="s">
        <v>65</v>
      </c>
      <c r="C28" s="1" t="s">
        <v>66</v>
      </c>
      <c r="D28" s="1" t="s">
        <v>67</v>
      </c>
      <c r="E28" s="2">
        <v>36</v>
      </c>
      <c r="F28" s="1" t="s">
        <v>8722</v>
      </c>
      <c r="G28" s="3">
        <v>44981</v>
      </c>
      <c r="H28" t="str">
        <f>IF(ISERROR(MATCH(I28,AMF!I:I,0)),"Missing","")</f>
        <v>Missing</v>
      </c>
      <c r="I28" t="str">
        <f t="shared" si="0"/>
        <v>SOA0275606G46WM301AM38</v>
      </c>
      <c r="J28" t="s">
        <v>953</v>
      </c>
    </row>
    <row r="29" spans="1:10">
      <c r="A29" s="1" t="s">
        <v>8734</v>
      </c>
      <c r="B29" s="1" t="s">
        <v>65</v>
      </c>
      <c r="C29" s="1" t="s">
        <v>66</v>
      </c>
      <c r="D29" s="1" t="s">
        <v>67</v>
      </c>
      <c r="E29" s="2">
        <v>36</v>
      </c>
      <c r="F29" s="1" t="s">
        <v>8735</v>
      </c>
      <c r="G29" s="3">
        <v>44988</v>
      </c>
      <c r="H29" t="str">
        <f>IF(ISERROR(MATCH(I29,AMF!I:I,0)),"Missing","")</f>
        <v>Missing</v>
      </c>
      <c r="I29" t="str">
        <f t="shared" si="0"/>
        <v>SOA0275601G46WM301AM38</v>
      </c>
      <c r="J29" t="s">
        <v>953</v>
      </c>
    </row>
    <row r="30" spans="1:10">
      <c r="A30" s="1" t="s">
        <v>8736</v>
      </c>
      <c r="B30" s="1" t="s">
        <v>65</v>
      </c>
      <c r="C30" s="1" t="s">
        <v>66</v>
      </c>
      <c r="D30" s="1" t="s">
        <v>67</v>
      </c>
      <c r="E30" s="2">
        <v>36</v>
      </c>
      <c r="F30" s="1" t="s">
        <v>8724</v>
      </c>
      <c r="G30" s="3">
        <v>45002</v>
      </c>
      <c r="H30" t="str">
        <f>IF(ISERROR(MATCH(I30,AMF!I:I,0)),"Missing","")</f>
        <v>Missing</v>
      </c>
      <c r="I30" t="str">
        <f t="shared" si="0"/>
        <v>SOA0275645G46WM301AM38</v>
      </c>
      <c r="J30" t="s">
        <v>953</v>
      </c>
    </row>
    <row r="31" spans="1:10">
      <c r="A31" s="1" t="s">
        <v>57</v>
      </c>
      <c r="B31" s="1" t="s">
        <v>68</v>
      </c>
      <c r="C31" s="1" t="s">
        <v>69</v>
      </c>
      <c r="D31" s="1" t="s">
        <v>70</v>
      </c>
      <c r="E31" s="2">
        <v>18</v>
      </c>
      <c r="F31" s="1" t="s">
        <v>61</v>
      </c>
      <c r="G31" s="3">
        <v>44939</v>
      </c>
      <c r="H31" t="str">
        <f>IF(ISERROR(MATCH(I31,AMF!I:I,0)),"Missing","")</f>
        <v>Missing</v>
      </c>
      <c r="I31" t="str">
        <f t="shared" si="0"/>
        <v>SOA0275215G46WM311ASWG</v>
      </c>
      <c r="J31" t="s">
        <v>953</v>
      </c>
    </row>
    <row r="32" spans="1:10">
      <c r="A32" s="1" t="s">
        <v>8734</v>
      </c>
      <c r="B32" s="1" t="s">
        <v>68</v>
      </c>
      <c r="C32" s="1" t="s">
        <v>69</v>
      </c>
      <c r="D32" s="1" t="s">
        <v>70</v>
      </c>
      <c r="E32" s="2">
        <v>18</v>
      </c>
      <c r="F32" s="1" t="s">
        <v>8735</v>
      </c>
      <c r="G32" s="3">
        <v>44988</v>
      </c>
      <c r="H32" t="str">
        <f>IF(ISERROR(MATCH(I32,AMF!I:I,0)),"Missing","")</f>
        <v>Missing</v>
      </c>
      <c r="I32" t="str">
        <f t="shared" si="0"/>
        <v>SOA0275601G46WM311ASWG</v>
      </c>
      <c r="J32" t="s">
        <v>953</v>
      </c>
    </row>
    <row r="33" spans="1:10">
      <c r="A33" s="1" t="s">
        <v>8737</v>
      </c>
      <c r="B33" s="1" t="s">
        <v>72</v>
      </c>
      <c r="C33" s="1" t="s">
        <v>73</v>
      </c>
      <c r="D33" s="1" t="s">
        <v>74</v>
      </c>
      <c r="E33" s="2">
        <v>4</v>
      </c>
      <c r="F33" s="1" t="s">
        <v>8738</v>
      </c>
      <c r="G33" s="3">
        <v>44988</v>
      </c>
      <c r="H33" t="str">
        <f>IF(ISERROR(MATCH(I33,AMF!I:I,0)),"Missing","")</f>
        <v>Missing</v>
      </c>
      <c r="I33" t="str">
        <f t="shared" si="0"/>
        <v>SOA0275680J56I9361PM85</v>
      </c>
      <c r="J33" t="s">
        <v>953</v>
      </c>
    </row>
    <row r="34" spans="1:10">
      <c r="A34" s="1" t="s">
        <v>8737</v>
      </c>
      <c r="B34" s="1" t="s">
        <v>75</v>
      </c>
      <c r="C34" s="1" t="s">
        <v>76</v>
      </c>
      <c r="D34" s="1" t="s">
        <v>77</v>
      </c>
      <c r="E34" s="2">
        <v>4</v>
      </c>
      <c r="F34" s="1" t="s">
        <v>8738</v>
      </c>
      <c r="G34" s="3">
        <v>44988</v>
      </c>
      <c r="H34" t="str">
        <f>IF(ISERROR(MATCH(I34,AMF!I:I,0)),"Missing","")</f>
        <v>Missing</v>
      </c>
      <c r="I34" t="str">
        <f t="shared" si="0"/>
        <v>SOA0275680J56I9360PM85</v>
      </c>
      <c r="J34" t="s">
        <v>953</v>
      </c>
    </row>
    <row r="35" spans="1:10">
      <c r="A35" s="1" t="s">
        <v>78</v>
      </c>
      <c r="B35" s="1" t="s">
        <v>79</v>
      </c>
      <c r="C35" s="1" t="s">
        <v>80</v>
      </c>
      <c r="D35" s="1" t="s">
        <v>81</v>
      </c>
      <c r="E35" s="2">
        <v>4</v>
      </c>
      <c r="F35" s="1" t="s">
        <v>82</v>
      </c>
      <c r="G35" s="3">
        <v>44908</v>
      </c>
      <c r="H35" t="str">
        <f>IF(ISERROR(MATCH(I35,AMF!I:I,0)),"Missing","")</f>
        <v>Missing</v>
      </c>
      <c r="I35" t="str">
        <f t="shared" si="0"/>
        <v>SOA0275501J44B0105PM35</v>
      </c>
      <c r="J35" t="s">
        <v>953</v>
      </c>
    </row>
    <row r="36" spans="1:10">
      <c r="A36" s="1" t="s">
        <v>83</v>
      </c>
      <c r="B36" s="1" t="s">
        <v>84</v>
      </c>
      <c r="C36" s="1" t="s">
        <v>85</v>
      </c>
      <c r="D36" s="1" t="s">
        <v>86</v>
      </c>
      <c r="E36" s="2">
        <v>1</v>
      </c>
      <c r="F36" s="1" t="s">
        <v>87</v>
      </c>
      <c r="G36" s="3">
        <v>44967</v>
      </c>
      <c r="H36" t="str">
        <f>IF(ISERROR(MATCH(I36,AMF!I:I,0)),"Missing","")</f>
        <v>Missing</v>
      </c>
      <c r="I36" t="str">
        <f t="shared" si="0"/>
        <v>SOA0275445J44I9294AM31</v>
      </c>
      <c r="J36" t="s">
        <v>953</v>
      </c>
    </row>
    <row r="37" spans="1:10">
      <c r="A37" s="1" t="s">
        <v>88</v>
      </c>
      <c r="B37" s="1" t="s">
        <v>94</v>
      </c>
      <c r="C37" s="1" t="s">
        <v>95</v>
      </c>
      <c r="D37" s="1" t="s">
        <v>96</v>
      </c>
      <c r="E37" s="2">
        <v>4</v>
      </c>
      <c r="F37" s="1" t="s">
        <v>91</v>
      </c>
      <c r="G37" s="3">
        <v>44838</v>
      </c>
      <c r="H37" t="str">
        <f>IF(ISERROR(MATCH(I37,AMF!I:I,0)),"Missing","")</f>
        <v>Missing</v>
      </c>
      <c r="I37" t="str">
        <f t="shared" si="0"/>
        <v>SOA0274765J44B0108QM32</v>
      </c>
      <c r="J37" t="s">
        <v>953</v>
      </c>
    </row>
    <row r="38" spans="1:10">
      <c r="A38" s="1" t="s">
        <v>99</v>
      </c>
      <c r="B38" s="1" t="s">
        <v>100</v>
      </c>
      <c r="C38" s="1" t="s">
        <v>101</v>
      </c>
      <c r="D38" s="1" t="s">
        <v>102</v>
      </c>
      <c r="E38" s="2">
        <v>18</v>
      </c>
      <c r="F38" s="1" t="s">
        <v>20</v>
      </c>
      <c r="G38" s="3">
        <v>44922</v>
      </c>
      <c r="H38" t="str">
        <f>IF(ISERROR(MATCH(I38,AMF!I:I,0)),"Missing","")</f>
        <v>Missing</v>
      </c>
      <c r="I38" t="str">
        <f t="shared" si="0"/>
        <v>SOA0275447G44KM009AM38</v>
      </c>
      <c r="J38" t="s">
        <v>953</v>
      </c>
    </row>
    <row r="39" spans="1:10">
      <c r="A39" s="1" t="s">
        <v>107</v>
      </c>
      <c r="B39" s="1" t="s">
        <v>108</v>
      </c>
      <c r="C39" s="1" t="s">
        <v>109</v>
      </c>
      <c r="D39" s="1" t="s">
        <v>110</v>
      </c>
      <c r="E39" s="2">
        <v>3</v>
      </c>
      <c r="F39" s="1" t="s">
        <v>111</v>
      </c>
      <c r="G39" s="3">
        <v>44904</v>
      </c>
      <c r="H39" t="str">
        <f>IF(ISERROR(MATCH(I39,AMF!I:I,0)),"Missing","")</f>
        <v>Missing</v>
      </c>
      <c r="I39" t="str">
        <f t="shared" si="0"/>
        <v>SOA0275119J44RB882AM38</v>
      </c>
      <c r="J39" t="s">
        <v>953</v>
      </c>
    </row>
    <row r="40" spans="1:10">
      <c r="A40" s="1" t="s">
        <v>112</v>
      </c>
      <c r="B40" s="1" t="s">
        <v>113</v>
      </c>
      <c r="C40" s="1" t="s">
        <v>114</v>
      </c>
      <c r="D40" s="1" t="s">
        <v>115</v>
      </c>
      <c r="E40" s="2">
        <v>3</v>
      </c>
      <c r="F40" s="1" t="s">
        <v>116</v>
      </c>
      <c r="G40" s="3">
        <v>44922</v>
      </c>
      <c r="H40" t="str">
        <f>IF(ISERROR(MATCH(I40,AMF!I:I,0)),"Missing","")</f>
        <v>Missing</v>
      </c>
      <c r="I40" t="str">
        <f t="shared" si="0"/>
        <v>SOA0275243J44RB905AM38</v>
      </c>
      <c r="J40" t="s">
        <v>953</v>
      </c>
    </row>
    <row r="41" spans="1:10">
      <c r="A41" s="1" t="s">
        <v>117</v>
      </c>
      <c r="B41" s="1" t="s">
        <v>118</v>
      </c>
      <c r="C41" s="1" t="s">
        <v>119</v>
      </c>
      <c r="D41" s="1" t="s">
        <v>120</v>
      </c>
      <c r="E41" s="2">
        <v>3</v>
      </c>
      <c r="F41" s="1" t="s">
        <v>121</v>
      </c>
      <c r="G41" s="3">
        <v>44974</v>
      </c>
      <c r="H41" t="str">
        <f>IF(ISERROR(MATCH(I41,AMF!I:I,0)),"Missing","")</f>
        <v>Missing</v>
      </c>
      <c r="I41" t="str">
        <f t="shared" si="0"/>
        <v>SOA0275549J44B0025AM38</v>
      </c>
      <c r="J41" t="s">
        <v>953</v>
      </c>
    </row>
    <row r="42" spans="1:10">
      <c r="A42" s="1" t="s">
        <v>8733</v>
      </c>
      <c r="B42" s="1" t="s">
        <v>8577</v>
      </c>
      <c r="C42" s="1" t="s">
        <v>8367</v>
      </c>
      <c r="D42" s="1" t="s">
        <v>8739</v>
      </c>
      <c r="E42" s="2">
        <v>18</v>
      </c>
      <c r="F42" s="1" t="s">
        <v>8722</v>
      </c>
      <c r="G42" s="3">
        <v>44981</v>
      </c>
      <c r="H42" t="str">
        <f>IF(ISERROR(MATCH(I42,AMF!I:I,0)),"Missing","")</f>
        <v>Missing</v>
      </c>
      <c r="I42" t="str">
        <f t="shared" si="0"/>
        <v>SOA0275606J44B0013AM38</v>
      </c>
      <c r="J42" t="s">
        <v>953</v>
      </c>
    </row>
    <row r="43" spans="1:10">
      <c r="A43" s="1" t="s">
        <v>8734</v>
      </c>
      <c r="B43" s="1" t="s">
        <v>8577</v>
      </c>
      <c r="C43" s="1" t="s">
        <v>8367</v>
      </c>
      <c r="D43" s="1" t="s">
        <v>8739</v>
      </c>
      <c r="E43" s="2">
        <v>18</v>
      </c>
      <c r="F43" s="1" t="s">
        <v>8735</v>
      </c>
      <c r="G43" s="3">
        <v>44988</v>
      </c>
      <c r="H43" t="str">
        <f>IF(ISERROR(MATCH(I43,AMF!I:I,0)),"Missing","")</f>
        <v>Missing</v>
      </c>
      <c r="I43" t="str">
        <f t="shared" si="0"/>
        <v>SOA0275601J44B0013AM38</v>
      </c>
      <c r="J43" t="s">
        <v>953</v>
      </c>
    </row>
    <row r="44" spans="1:10">
      <c r="A44" s="1" t="s">
        <v>122</v>
      </c>
      <c r="B44" s="1" t="s">
        <v>123</v>
      </c>
      <c r="C44" s="1" t="s">
        <v>124</v>
      </c>
      <c r="D44" s="1" t="s">
        <v>125</v>
      </c>
      <c r="E44" s="2">
        <v>4</v>
      </c>
      <c r="F44" s="1" t="s">
        <v>126</v>
      </c>
      <c r="G44" s="3">
        <v>44943</v>
      </c>
      <c r="H44" t="str">
        <f>IF(ISERROR(MATCH(I44,AMF!I:I,0)),"Missing","")</f>
        <v>Missing</v>
      </c>
      <c r="I44" t="str">
        <f t="shared" si="0"/>
        <v>SOA0275449J44B0228AM38</v>
      </c>
      <c r="J44" t="s">
        <v>953</v>
      </c>
    </row>
    <row r="45" spans="1:10">
      <c r="A45" s="1" t="s">
        <v>8740</v>
      </c>
      <c r="B45" s="1" t="s">
        <v>8741</v>
      </c>
      <c r="C45" s="1" t="s">
        <v>8742</v>
      </c>
      <c r="D45" s="1" t="s">
        <v>8743</v>
      </c>
      <c r="E45" s="2">
        <v>3</v>
      </c>
      <c r="F45" s="1" t="s">
        <v>8744</v>
      </c>
      <c r="G45" s="3">
        <v>44967</v>
      </c>
      <c r="H45" t="str">
        <f>IF(ISERROR(MATCH(I45,AMF!I:I,0)),"Missing","")</f>
        <v>Missing</v>
      </c>
      <c r="I45" t="str">
        <f t="shared" si="0"/>
        <v>SOA0275648J44B0235AM38</v>
      </c>
      <c r="J45" t="s">
        <v>953</v>
      </c>
    </row>
    <row r="46" spans="1:10">
      <c r="A46" s="1" t="s">
        <v>8718</v>
      </c>
      <c r="B46" s="1" t="s">
        <v>998</v>
      </c>
      <c r="C46" s="1" t="s">
        <v>993</v>
      </c>
      <c r="D46" s="1" t="s">
        <v>8745</v>
      </c>
      <c r="E46" s="2">
        <v>8</v>
      </c>
      <c r="F46" s="1" t="s">
        <v>8722</v>
      </c>
      <c r="G46" s="3">
        <v>44957</v>
      </c>
      <c r="H46" t="str">
        <f>IF(ISERROR(MATCH(I46,AMF!I:I,0)),"Missing","")</f>
        <v>Missing</v>
      </c>
      <c r="I46" t="str">
        <f t="shared" si="0"/>
        <v>SOA0275608G44KM009ASWG</v>
      </c>
      <c r="J46" t="s">
        <v>953</v>
      </c>
    </row>
    <row r="47" spans="1:10">
      <c r="A47" s="1" t="s">
        <v>135</v>
      </c>
      <c r="B47" s="1" t="s">
        <v>136</v>
      </c>
      <c r="C47" s="1" t="s">
        <v>137</v>
      </c>
      <c r="D47" s="1" t="s">
        <v>138</v>
      </c>
      <c r="E47" s="2">
        <v>2</v>
      </c>
      <c r="F47" s="1" t="s">
        <v>139</v>
      </c>
      <c r="G47" s="3">
        <v>44974</v>
      </c>
      <c r="H47" t="str">
        <f>IF(ISERROR(MATCH(I47,AMF!I:I,0)),"Missing","")</f>
        <v>Missing</v>
      </c>
      <c r="I47" t="str">
        <f t="shared" si="0"/>
        <v>SOA0275502J24B0243PM41</v>
      </c>
      <c r="J47" t="s">
        <v>953</v>
      </c>
    </row>
    <row r="48" spans="1:10">
      <c r="A48" s="1" t="s">
        <v>140</v>
      </c>
      <c r="B48" s="1" t="s">
        <v>141</v>
      </c>
      <c r="C48" s="1" t="s">
        <v>142</v>
      </c>
      <c r="D48" s="1" t="s">
        <v>143</v>
      </c>
      <c r="E48" s="2">
        <v>2</v>
      </c>
      <c r="F48" s="1" t="s">
        <v>144</v>
      </c>
      <c r="G48" s="3">
        <v>44915</v>
      </c>
      <c r="H48" t="str">
        <f>IF(ISERROR(MATCH(I48,AMF!I:I,0)),"Missing","")</f>
        <v>Missing</v>
      </c>
      <c r="I48" t="str">
        <f t="shared" si="0"/>
        <v>SOA0275450J24YB110AM23</v>
      </c>
      <c r="J48" t="s">
        <v>953</v>
      </c>
    </row>
    <row r="49" spans="1:10">
      <c r="A49" s="1" t="s">
        <v>140</v>
      </c>
      <c r="B49" s="1" t="s">
        <v>145</v>
      </c>
      <c r="C49" s="1" t="s">
        <v>146</v>
      </c>
      <c r="D49" s="1" t="s">
        <v>147</v>
      </c>
      <c r="E49" s="2">
        <v>2</v>
      </c>
      <c r="F49" s="1" t="s">
        <v>144</v>
      </c>
      <c r="G49" s="3">
        <v>44915</v>
      </c>
      <c r="H49" t="str">
        <f>IF(ISERROR(MATCH(I49,AMF!I:I,0)),"Missing","")</f>
        <v>Missing</v>
      </c>
      <c r="I49" t="str">
        <f t="shared" si="0"/>
        <v>SOA0275450J24YB111AB12</v>
      </c>
      <c r="J49" t="s">
        <v>953</v>
      </c>
    </row>
    <row r="50" spans="1:10">
      <c r="A50" s="1" t="s">
        <v>150</v>
      </c>
      <c r="B50" s="1" t="s">
        <v>151</v>
      </c>
      <c r="C50" s="1" t="s">
        <v>152</v>
      </c>
      <c r="D50" s="1" t="s">
        <v>153</v>
      </c>
      <c r="E50" s="2">
        <v>16</v>
      </c>
      <c r="F50" s="1" t="s">
        <v>61</v>
      </c>
      <c r="G50" s="3">
        <v>44911</v>
      </c>
      <c r="H50" t="str">
        <f>IF(ISERROR(MATCH(I50,AMF!I:I,0)),"Missing","")</f>
        <v>Missing</v>
      </c>
      <c r="I50" t="str">
        <f t="shared" si="0"/>
        <v>SOA0275217SYN3GLOWAPK12</v>
      </c>
      <c r="J50" t="s">
        <v>953</v>
      </c>
    </row>
    <row r="51" spans="1:10">
      <c r="A51" s="1" t="s">
        <v>21</v>
      </c>
      <c r="B51" s="1" t="s">
        <v>151</v>
      </c>
      <c r="C51" s="1" t="s">
        <v>152</v>
      </c>
      <c r="D51" s="1" t="s">
        <v>153</v>
      </c>
      <c r="E51" s="2">
        <v>18</v>
      </c>
      <c r="F51" s="1" t="s">
        <v>24</v>
      </c>
      <c r="G51" s="3">
        <v>44952</v>
      </c>
      <c r="H51" t="str">
        <f>IF(ISERROR(MATCH(I51,AMF!I:I,0)),"Missing","")</f>
        <v>Missing</v>
      </c>
      <c r="I51" t="str">
        <f t="shared" si="0"/>
        <v>SOA0275373SYN3GLOWAPK12</v>
      </c>
      <c r="J51" t="s">
        <v>953</v>
      </c>
    </row>
    <row r="52" spans="1:10">
      <c r="A52" s="1" t="s">
        <v>154</v>
      </c>
      <c r="B52" s="1" t="s">
        <v>151</v>
      </c>
      <c r="C52" s="1" t="s">
        <v>152</v>
      </c>
      <c r="D52" s="1" t="s">
        <v>153</v>
      </c>
      <c r="E52" s="2">
        <v>18</v>
      </c>
      <c r="F52" s="1" t="s">
        <v>24</v>
      </c>
      <c r="G52" s="3">
        <v>44960</v>
      </c>
      <c r="H52" t="str">
        <f>IF(ISERROR(MATCH(I52,AMF!I:I,0)),"Missing","")</f>
        <v>Missing</v>
      </c>
      <c r="I52" t="str">
        <f t="shared" si="0"/>
        <v>SOA0275374SYN3GLOWAPK12</v>
      </c>
      <c r="J52" t="s">
        <v>953</v>
      </c>
    </row>
    <row r="53" spans="1:10">
      <c r="A53" s="1" t="s">
        <v>25</v>
      </c>
      <c r="B53" s="1" t="s">
        <v>151</v>
      </c>
      <c r="C53" s="1" t="s">
        <v>152</v>
      </c>
      <c r="D53" s="1" t="s">
        <v>153</v>
      </c>
      <c r="E53" s="2">
        <v>18</v>
      </c>
      <c r="F53" s="1" t="s">
        <v>20</v>
      </c>
      <c r="G53" s="3">
        <v>44978</v>
      </c>
      <c r="H53" t="str">
        <f>IF(ISERROR(MATCH(I53,AMF!I:I,0)),"Missing","")</f>
        <v>Missing</v>
      </c>
      <c r="I53" t="str">
        <f t="shared" si="0"/>
        <v>SOA0275446SYN3GLOWAPK12</v>
      </c>
      <c r="J53" t="s">
        <v>953</v>
      </c>
    </row>
    <row r="54" spans="1:10">
      <c r="A54" s="1" t="s">
        <v>155</v>
      </c>
      <c r="B54" s="1" t="s">
        <v>151</v>
      </c>
      <c r="C54" s="1" t="s">
        <v>152</v>
      </c>
      <c r="D54" s="1" t="s">
        <v>153</v>
      </c>
      <c r="E54" s="2">
        <v>18</v>
      </c>
      <c r="F54" s="1" t="s">
        <v>24</v>
      </c>
      <c r="G54" s="3">
        <v>44995</v>
      </c>
      <c r="H54" t="str">
        <f>IF(ISERROR(MATCH(I54,AMF!I:I,0)),"Missing","")</f>
        <v>Missing</v>
      </c>
      <c r="I54" t="str">
        <f t="shared" si="0"/>
        <v>SOA0275375SYN3GLOWAPK12</v>
      </c>
      <c r="J54" t="s">
        <v>953</v>
      </c>
    </row>
    <row r="55" spans="1:10">
      <c r="A55" s="1" t="s">
        <v>156</v>
      </c>
      <c r="B55" s="1" t="s">
        <v>151</v>
      </c>
      <c r="C55" s="1" t="s">
        <v>152</v>
      </c>
      <c r="D55" s="1" t="s">
        <v>153</v>
      </c>
      <c r="E55" s="2">
        <v>18</v>
      </c>
      <c r="F55" s="1" t="s">
        <v>30</v>
      </c>
      <c r="G55" s="3">
        <v>45016</v>
      </c>
      <c r="H55" t="str">
        <f>IF(ISERROR(MATCH(I55,AMF!I:I,0)),"Missing","")</f>
        <v>Missing</v>
      </c>
      <c r="I55" t="str">
        <f t="shared" si="0"/>
        <v>SOA0275435SYN3GLOWAPK12</v>
      </c>
      <c r="J55" t="s">
        <v>953</v>
      </c>
    </row>
    <row r="56" spans="1:10">
      <c r="A56" s="1" t="s">
        <v>156</v>
      </c>
      <c r="B56" s="1" t="s">
        <v>157</v>
      </c>
      <c r="C56" s="1" t="s">
        <v>158</v>
      </c>
      <c r="D56" s="1" t="s">
        <v>159</v>
      </c>
      <c r="E56" s="2">
        <v>3</v>
      </c>
      <c r="F56" s="1" t="s">
        <v>30</v>
      </c>
      <c r="G56" s="3">
        <v>44971</v>
      </c>
      <c r="H56" t="str">
        <f>IF(ISERROR(MATCH(I56,AMF!I:I,0)),"Missing","")</f>
        <v>Missing</v>
      </c>
      <c r="I56" t="str">
        <f t="shared" si="0"/>
        <v>SOA0275435SYN3GLOWAPK23</v>
      </c>
      <c r="J56" t="s">
        <v>953</v>
      </c>
    </row>
    <row r="57" spans="1:10">
      <c r="A57" s="1" t="s">
        <v>8730</v>
      </c>
      <c r="B57" s="1" t="s">
        <v>157</v>
      </c>
      <c r="C57" s="1" t="s">
        <v>158</v>
      </c>
      <c r="D57" s="1" t="s">
        <v>159</v>
      </c>
      <c r="E57" s="2">
        <v>2</v>
      </c>
      <c r="F57" s="1" t="s">
        <v>8732</v>
      </c>
      <c r="G57" s="3">
        <v>44985</v>
      </c>
      <c r="H57" t="str">
        <f>IF(ISERROR(MATCH(I57,AMF!I:I,0)),"Missing","")</f>
        <v>Missing</v>
      </c>
      <c r="I57" t="str">
        <f t="shared" si="0"/>
        <v>SOA0275616SYN3GLOWAPK23</v>
      </c>
      <c r="J57" t="s">
        <v>953</v>
      </c>
    </row>
    <row r="58" spans="1:10">
      <c r="A58" s="1" t="s">
        <v>103</v>
      </c>
      <c r="B58" s="1" t="s">
        <v>162</v>
      </c>
      <c r="C58" s="1" t="s">
        <v>163</v>
      </c>
      <c r="D58" s="1" t="s">
        <v>164</v>
      </c>
      <c r="E58" s="2">
        <v>4</v>
      </c>
      <c r="F58" s="1" t="s">
        <v>106</v>
      </c>
      <c r="G58" s="3">
        <v>44869</v>
      </c>
      <c r="H58" t="str">
        <f>IF(ISERROR(MATCH(I58,AMF!I:I,0)),"Missing","")</f>
        <v>Missing</v>
      </c>
      <c r="I58" t="str">
        <f t="shared" si="0"/>
        <v>SOA0274912DBLKGOLDAPPK1</v>
      </c>
      <c r="J58" t="s">
        <v>953</v>
      </c>
    </row>
    <row r="59" spans="1:10">
      <c r="A59" s="1" t="s">
        <v>117</v>
      </c>
      <c r="B59" s="1" t="s">
        <v>165</v>
      </c>
      <c r="C59" s="1" t="s">
        <v>166</v>
      </c>
      <c r="D59" s="1" t="s">
        <v>167</v>
      </c>
      <c r="E59" s="2">
        <v>1</v>
      </c>
      <c r="F59" s="1" t="s">
        <v>121</v>
      </c>
      <c r="G59" s="3">
        <v>44974</v>
      </c>
      <c r="H59" t="str">
        <f>IF(ISERROR(MATCH(I59,AMF!I:I,0)),"Missing","")</f>
        <v>Missing</v>
      </c>
      <c r="I59" t="str">
        <f t="shared" si="0"/>
        <v>SOA0275549DIGWF131APPK4</v>
      </c>
      <c r="J59" t="s">
        <v>953</v>
      </c>
    </row>
    <row r="60" spans="1:10">
      <c r="A60" s="1" t="s">
        <v>129</v>
      </c>
      <c r="B60" s="1" t="s">
        <v>168</v>
      </c>
      <c r="C60" s="1" t="s">
        <v>169</v>
      </c>
      <c r="D60" s="1" t="s">
        <v>170</v>
      </c>
      <c r="E60" s="2">
        <v>3</v>
      </c>
      <c r="F60" s="1" t="s">
        <v>130</v>
      </c>
      <c r="G60" s="3">
        <v>44841</v>
      </c>
      <c r="H60" t="str">
        <f>IF(ISERROR(MATCH(I60,AMF!I:I,0)),"Missing","")</f>
        <v>Missing</v>
      </c>
      <c r="I60" t="str">
        <f t="shared" si="0"/>
        <v>SOA0274784DDIGKM009APK1</v>
      </c>
      <c r="J60" t="s">
        <v>953</v>
      </c>
    </row>
    <row r="61" spans="1:10">
      <c r="A61" s="1" t="s">
        <v>171</v>
      </c>
      <c r="B61" s="1" t="s">
        <v>172</v>
      </c>
      <c r="C61" s="1" t="s">
        <v>173</v>
      </c>
      <c r="D61" s="1" t="s">
        <v>174</v>
      </c>
      <c r="E61" s="2">
        <v>4</v>
      </c>
      <c r="F61" s="1" t="s">
        <v>71</v>
      </c>
      <c r="G61" s="3">
        <v>44887</v>
      </c>
      <c r="H61" t="str">
        <f>IF(ISERROR(MATCH(I61,AMF!I:I,0)),"Missing","")</f>
        <v>Missing</v>
      </c>
      <c r="I61" t="str">
        <f t="shared" si="0"/>
        <v>SOA0275106DIGSW813APPK1</v>
      </c>
      <c r="J61" t="s">
        <v>953</v>
      </c>
    </row>
    <row r="62" spans="1:10">
      <c r="A62" s="1" t="s">
        <v>122</v>
      </c>
      <c r="B62" s="1" t="s">
        <v>175</v>
      </c>
      <c r="C62" s="1" t="s">
        <v>176</v>
      </c>
      <c r="D62" s="1" t="s">
        <v>177</v>
      </c>
      <c r="E62" s="2">
        <v>1</v>
      </c>
      <c r="F62" s="1" t="s">
        <v>126</v>
      </c>
      <c r="G62" s="3">
        <v>44943</v>
      </c>
      <c r="H62" t="str">
        <f>IF(ISERROR(MATCH(I62,AMF!I:I,0)),"Missing","")</f>
        <v>Missing</v>
      </c>
      <c r="I62" t="str">
        <f t="shared" si="0"/>
        <v>SOA0275449DIGWO140APK1</v>
      </c>
      <c r="J62" t="s">
        <v>953</v>
      </c>
    </row>
    <row r="63" spans="1:10">
      <c r="A63" s="1" t="s">
        <v>8740</v>
      </c>
      <c r="B63" s="1" t="s">
        <v>8746</v>
      </c>
      <c r="C63" s="1" t="s">
        <v>8747</v>
      </c>
      <c r="D63" s="1" t="s">
        <v>8748</v>
      </c>
      <c r="E63" s="2">
        <v>1</v>
      </c>
      <c r="F63" s="1" t="s">
        <v>8744</v>
      </c>
      <c r="G63" s="3">
        <v>44967</v>
      </c>
      <c r="H63" t="str">
        <f>IF(ISERROR(MATCH(I63,AMF!I:I,0)),"Missing","")</f>
        <v>Missing</v>
      </c>
      <c r="I63" t="str">
        <f t="shared" si="0"/>
        <v>SOA0275648DIGWX075APK1</v>
      </c>
      <c r="J63" t="s">
        <v>953</v>
      </c>
    </row>
    <row r="64" spans="1:10">
      <c r="A64" s="1" t="s">
        <v>50</v>
      </c>
      <c r="B64" s="1" t="s">
        <v>180</v>
      </c>
      <c r="C64" s="1" t="s">
        <v>181</v>
      </c>
      <c r="D64" s="1" t="s">
        <v>182</v>
      </c>
      <c r="E64" s="2">
        <v>1</v>
      </c>
      <c r="F64" s="1" t="s">
        <v>30</v>
      </c>
      <c r="G64" s="3">
        <v>44967</v>
      </c>
      <c r="H64" t="str">
        <f>IF(ISERROR(MATCH(I64,AMF!I:I,0)),"Missing","")</f>
        <v>Missing</v>
      </c>
      <c r="I64" t="str">
        <f t="shared" si="0"/>
        <v>SOA0275434DDIGKM009APK2</v>
      </c>
      <c r="J64" t="s">
        <v>953</v>
      </c>
    </row>
    <row r="65" spans="1:10">
      <c r="A65" s="1" t="s">
        <v>8749</v>
      </c>
      <c r="B65" s="1" t="s">
        <v>8750</v>
      </c>
      <c r="C65" s="1" t="s">
        <v>8751</v>
      </c>
      <c r="D65" s="1" t="s">
        <v>8752</v>
      </c>
      <c r="E65" s="2">
        <v>1</v>
      </c>
      <c r="F65" s="1" t="s">
        <v>8753</v>
      </c>
      <c r="G65" s="3">
        <v>44967</v>
      </c>
      <c r="H65" t="str">
        <f>IF(ISERROR(MATCH(I65,AMF!I:I,0)),"Missing","")</f>
        <v>Missing</v>
      </c>
      <c r="I65" t="str">
        <f t="shared" si="0"/>
        <v>SOA0275675DDIGKM009APK3</v>
      </c>
      <c r="J65" t="s">
        <v>953</v>
      </c>
    </row>
    <row r="66" spans="1:10">
      <c r="A66" s="1" t="s">
        <v>112</v>
      </c>
      <c r="B66" s="1" t="s">
        <v>185</v>
      </c>
      <c r="C66" s="1" t="s">
        <v>186</v>
      </c>
      <c r="D66" s="1" t="s">
        <v>187</v>
      </c>
      <c r="E66" s="2">
        <v>1</v>
      </c>
      <c r="F66" s="1" t="s">
        <v>116</v>
      </c>
      <c r="G66" s="3">
        <v>44922</v>
      </c>
      <c r="H66" t="str">
        <f>IF(ISERROR(MATCH(I66,AMF!I:I,0)),"Missing","")</f>
        <v>Missing</v>
      </c>
      <c r="I66" t="str">
        <f t="shared" si="0"/>
        <v>SOA0275243DIGWW960APPK3</v>
      </c>
      <c r="J66" t="s">
        <v>953</v>
      </c>
    </row>
    <row r="67" spans="1:10">
      <c r="A67" s="1" t="s">
        <v>140</v>
      </c>
      <c r="B67" s="1" t="s">
        <v>196</v>
      </c>
      <c r="C67" s="1" t="s">
        <v>197</v>
      </c>
      <c r="D67" s="1" t="s">
        <v>198</v>
      </c>
      <c r="E67" s="2">
        <v>1</v>
      </c>
      <c r="F67" s="1" t="s">
        <v>144</v>
      </c>
      <c r="G67" s="3">
        <v>44915</v>
      </c>
      <c r="H67" t="str">
        <f>IF(ISERROR(MATCH(I67,AMF!I:I,0)),"Missing","")</f>
        <v>Missing</v>
      </c>
      <c r="I67" t="str">
        <f t="shared" si="0"/>
        <v>SOA0275450DIGWF131APPK7</v>
      </c>
      <c r="J67" t="s">
        <v>953</v>
      </c>
    </row>
    <row r="68" spans="1:10">
      <c r="A68" s="1"/>
      <c r="B68" s="1"/>
      <c r="C68" s="1"/>
      <c r="D68" s="1"/>
      <c r="E68" s="2"/>
      <c r="F68" s="1"/>
      <c r="G68" s="3"/>
    </row>
    <row r="69" spans="1:10">
      <c r="A69" s="1"/>
      <c r="B69" s="1"/>
      <c r="C69" s="1"/>
      <c r="D69" s="1"/>
      <c r="E69" s="2"/>
      <c r="F69" s="1"/>
      <c r="G69" s="3"/>
    </row>
    <row r="70" spans="1:10">
      <c r="A70" s="1"/>
      <c r="B70" s="1"/>
      <c r="C70" s="1"/>
      <c r="D70" s="1"/>
      <c r="E70" s="2"/>
      <c r="F70" s="1"/>
      <c r="G70" s="3"/>
    </row>
    <row r="71" spans="1:10">
      <c r="A71" s="1"/>
      <c r="B71" s="1"/>
      <c r="C71" s="1"/>
      <c r="D71" s="1"/>
      <c r="E71" s="2"/>
      <c r="F71" s="1"/>
      <c r="G71" s="3"/>
    </row>
    <row r="72" spans="1:10">
      <c r="A72" s="1"/>
      <c r="B72" s="1"/>
      <c r="C72" s="1"/>
      <c r="D72" s="1"/>
      <c r="E72" s="2"/>
      <c r="F72" s="1"/>
      <c r="G72" s="3"/>
    </row>
    <row r="73" spans="1:10">
      <c r="A73" s="1"/>
      <c r="B73" s="1"/>
      <c r="C73" s="1"/>
      <c r="D73" s="1"/>
      <c r="E73" s="2"/>
      <c r="F73" s="1"/>
      <c r="G73" s="3"/>
    </row>
    <row r="74" spans="1:10">
      <c r="A74" s="1"/>
      <c r="B74" s="1"/>
      <c r="C74" s="1"/>
      <c r="D74" s="1"/>
      <c r="E74" s="2"/>
      <c r="F74" s="1"/>
      <c r="G74" s="3"/>
    </row>
    <row r="75" spans="1:10">
      <c r="A75" s="1"/>
      <c r="B75" s="1"/>
      <c r="C75" s="1"/>
      <c r="D75" s="1"/>
      <c r="E75" s="2"/>
      <c r="F75" s="1"/>
      <c r="G75" s="3"/>
    </row>
    <row r="76" spans="1:10">
      <c r="A76" s="1"/>
      <c r="B76" s="1"/>
      <c r="C76" s="1"/>
      <c r="D76" s="1"/>
      <c r="E76" s="2"/>
      <c r="F76" s="1"/>
      <c r="G76" s="3"/>
    </row>
    <row r="77" spans="1:10">
      <c r="A77" s="1"/>
      <c r="B77" s="1"/>
      <c r="C77" s="1"/>
      <c r="D77" s="1"/>
      <c r="E77" s="2"/>
      <c r="F77" s="1"/>
      <c r="G77" s="3"/>
    </row>
    <row r="78" spans="1:10">
      <c r="A78" s="1"/>
      <c r="B78" s="1"/>
      <c r="C78" s="1"/>
      <c r="D78" s="1"/>
      <c r="E78" s="2"/>
      <c r="F78" s="1"/>
      <c r="G78" s="3"/>
    </row>
    <row r="79" spans="1:10">
      <c r="A79" s="1"/>
      <c r="B79" s="1"/>
      <c r="C79" s="1"/>
      <c r="D79" s="1"/>
      <c r="E79" s="2"/>
      <c r="F79" s="1"/>
      <c r="G79" s="3"/>
    </row>
    <row r="80" spans="1:10">
      <c r="A80" s="1"/>
      <c r="B80" s="1"/>
      <c r="C80" s="1"/>
      <c r="D80" s="1"/>
      <c r="E80" s="2"/>
      <c r="F80" s="1"/>
      <c r="G80" s="3"/>
    </row>
    <row r="81" spans="1:7">
      <c r="A81" s="1"/>
      <c r="B81" s="1"/>
      <c r="C81" s="1"/>
      <c r="D81" s="1"/>
      <c r="E81" s="2"/>
      <c r="F81" s="1"/>
      <c r="G81" s="3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048-9718-4DD2-A884-5EA8210E0614}">
  <sheetPr codeName="Sheet3">
    <tabColor theme="4" tint="-0.249977111117893"/>
  </sheetPr>
  <dimension ref="A1:J100"/>
  <sheetViews>
    <sheetView workbookViewId="0">
      <pane ySplit="2" topLeftCell="A58" activePane="bottomLeft" state="frozen"/>
      <selection activeCell="G77" sqref="A3:G77"/>
      <selection pane="bottomLeft" activeCell="A3" sqref="A3:G100"/>
    </sheetView>
  </sheetViews>
  <sheetFormatPr defaultRowHeight="12.75"/>
  <cols>
    <col min="1" max="1" width="13.42578125" customWidth="1"/>
    <col min="2" max="2" width="24.28515625" customWidth="1"/>
    <col min="3" max="3" width="40.42578125" customWidth="1"/>
    <col min="4" max="4" width="24.28515625" customWidth="1"/>
    <col min="5" max="5" width="41.85546875" customWidth="1"/>
    <col min="6" max="6" width="33.7109375" customWidth="1"/>
    <col min="7" max="7" width="18.85546875" customWidth="1"/>
    <col min="8" max="8" width="7.42578125" bestFit="1" customWidth="1"/>
    <col min="9" max="9" width="31.7109375" bestFit="1" customWidth="1"/>
    <col min="10" max="10" width="5" bestFit="1" customWidth="1"/>
    <col min="11" max="256" width="10.28515625" customWidth="1"/>
    <col min="257" max="257" width="13.42578125" customWidth="1"/>
    <col min="258" max="258" width="24.28515625" customWidth="1"/>
    <col min="259" max="259" width="40.42578125" customWidth="1"/>
    <col min="260" max="260" width="24.28515625" customWidth="1"/>
    <col min="261" max="261" width="41.85546875" customWidth="1"/>
    <col min="262" max="262" width="33.7109375" customWidth="1"/>
    <col min="263" max="263" width="18.85546875" customWidth="1"/>
    <col min="264" max="512" width="10.28515625" customWidth="1"/>
    <col min="513" max="513" width="13.42578125" customWidth="1"/>
    <col min="514" max="514" width="24.28515625" customWidth="1"/>
    <col min="515" max="515" width="40.42578125" customWidth="1"/>
    <col min="516" max="516" width="24.28515625" customWidth="1"/>
    <col min="517" max="517" width="41.85546875" customWidth="1"/>
    <col min="518" max="518" width="33.7109375" customWidth="1"/>
    <col min="519" max="519" width="18.85546875" customWidth="1"/>
    <col min="520" max="768" width="10.28515625" customWidth="1"/>
    <col min="769" max="769" width="13.42578125" customWidth="1"/>
    <col min="770" max="770" width="24.28515625" customWidth="1"/>
    <col min="771" max="771" width="40.42578125" customWidth="1"/>
    <col min="772" max="772" width="24.28515625" customWidth="1"/>
    <col min="773" max="773" width="41.85546875" customWidth="1"/>
    <col min="774" max="774" width="33.7109375" customWidth="1"/>
    <col min="775" max="775" width="18.85546875" customWidth="1"/>
    <col min="776" max="1024" width="10.28515625" customWidth="1"/>
    <col min="1025" max="1025" width="13.42578125" customWidth="1"/>
    <col min="1026" max="1026" width="24.28515625" customWidth="1"/>
    <col min="1027" max="1027" width="40.42578125" customWidth="1"/>
    <col min="1028" max="1028" width="24.28515625" customWidth="1"/>
    <col min="1029" max="1029" width="41.85546875" customWidth="1"/>
    <col min="1030" max="1030" width="33.7109375" customWidth="1"/>
    <col min="1031" max="1031" width="18.85546875" customWidth="1"/>
    <col min="1032" max="1280" width="10.28515625" customWidth="1"/>
    <col min="1281" max="1281" width="13.42578125" customWidth="1"/>
    <col min="1282" max="1282" width="24.28515625" customWidth="1"/>
    <col min="1283" max="1283" width="40.42578125" customWidth="1"/>
    <col min="1284" max="1284" width="24.28515625" customWidth="1"/>
    <col min="1285" max="1285" width="41.85546875" customWidth="1"/>
    <col min="1286" max="1286" width="33.7109375" customWidth="1"/>
    <col min="1287" max="1287" width="18.85546875" customWidth="1"/>
    <col min="1288" max="1536" width="10.28515625" customWidth="1"/>
    <col min="1537" max="1537" width="13.42578125" customWidth="1"/>
    <col min="1538" max="1538" width="24.28515625" customWidth="1"/>
    <col min="1539" max="1539" width="40.42578125" customWidth="1"/>
    <col min="1540" max="1540" width="24.28515625" customWidth="1"/>
    <col min="1541" max="1541" width="41.85546875" customWidth="1"/>
    <col min="1542" max="1542" width="33.7109375" customWidth="1"/>
    <col min="1543" max="1543" width="18.85546875" customWidth="1"/>
    <col min="1544" max="1792" width="10.28515625" customWidth="1"/>
    <col min="1793" max="1793" width="13.42578125" customWidth="1"/>
    <col min="1794" max="1794" width="24.28515625" customWidth="1"/>
    <col min="1795" max="1795" width="40.42578125" customWidth="1"/>
    <col min="1796" max="1796" width="24.28515625" customWidth="1"/>
    <col min="1797" max="1797" width="41.85546875" customWidth="1"/>
    <col min="1798" max="1798" width="33.7109375" customWidth="1"/>
    <col min="1799" max="1799" width="18.85546875" customWidth="1"/>
    <col min="1800" max="2048" width="10.28515625" customWidth="1"/>
    <col min="2049" max="2049" width="13.42578125" customWidth="1"/>
    <col min="2050" max="2050" width="24.28515625" customWidth="1"/>
    <col min="2051" max="2051" width="40.42578125" customWidth="1"/>
    <col min="2052" max="2052" width="24.28515625" customWidth="1"/>
    <col min="2053" max="2053" width="41.85546875" customWidth="1"/>
    <col min="2054" max="2054" width="33.7109375" customWidth="1"/>
    <col min="2055" max="2055" width="18.85546875" customWidth="1"/>
    <col min="2056" max="2304" width="10.28515625" customWidth="1"/>
    <col min="2305" max="2305" width="13.42578125" customWidth="1"/>
    <col min="2306" max="2306" width="24.28515625" customWidth="1"/>
    <col min="2307" max="2307" width="40.42578125" customWidth="1"/>
    <col min="2308" max="2308" width="24.28515625" customWidth="1"/>
    <col min="2309" max="2309" width="41.85546875" customWidth="1"/>
    <col min="2310" max="2310" width="33.7109375" customWidth="1"/>
    <col min="2311" max="2311" width="18.85546875" customWidth="1"/>
    <col min="2312" max="2560" width="10.28515625" customWidth="1"/>
    <col min="2561" max="2561" width="13.42578125" customWidth="1"/>
    <col min="2562" max="2562" width="24.28515625" customWidth="1"/>
    <col min="2563" max="2563" width="40.42578125" customWidth="1"/>
    <col min="2564" max="2564" width="24.28515625" customWidth="1"/>
    <col min="2565" max="2565" width="41.85546875" customWidth="1"/>
    <col min="2566" max="2566" width="33.7109375" customWidth="1"/>
    <col min="2567" max="2567" width="18.85546875" customWidth="1"/>
    <col min="2568" max="2816" width="10.28515625" customWidth="1"/>
    <col min="2817" max="2817" width="13.42578125" customWidth="1"/>
    <col min="2818" max="2818" width="24.28515625" customWidth="1"/>
    <col min="2819" max="2819" width="40.42578125" customWidth="1"/>
    <col min="2820" max="2820" width="24.28515625" customWidth="1"/>
    <col min="2821" max="2821" width="41.85546875" customWidth="1"/>
    <col min="2822" max="2822" width="33.7109375" customWidth="1"/>
    <col min="2823" max="2823" width="18.85546875" customWidth="1"/>
    <col min="2824" max="3072" width="10.28515625" customWidth="1"/>
    <col min="3073" max="3073" width="13.42578125" customWidth="1"/>
    <col min="3074" max="3074" width="24.28515625" customWidth="1"/>
    <col min="3075" max="3075" width="40.42578125" customWidth="1"/>
    <col min="3076" max="3076" width="24.28515625" customWidth="1"/>
    <col min="3077" max="3077" width="41.85546875" customWidth="1"/>
    <col min="3078" max="3078" width="33.7109375" customWidth="1"/>
    <col min="3079" max="3079" width="18.85546875" customWidth="1"/>
    <col min="3080" max="3328" width="10.28515625" customWidth="1"/>
    <col min="3329" max="3329" width="13.42578125" customWidth="1"/>
    <col min="3330" max="3330" width="24.28515625" customWidth="1"/>
    <col min="3331" max="3331" width="40.42578125" customWidth="1"/>
    <col min="3332" max="3332" width="24.28515625" customWidth="1"/>
    <col min="3333" max="3333" width="41.85546875" customWidth="1"/>
    <col min="3334" max="3334" width="33.7109375" customWidth="1"/>
    <col min="3335" max="3335" width="18.85546875" customWidth="1"/>
    <col min="3336" max="3584" width="10.28515625" customWidth="1"/>
    <col min="3585" max="3585" width="13.42578125" customWidth="1"/>
    <col min="3586" max="3586" width="24.28515625" customWidth="1"/>
    <col min="3587" max="3587" width="40.42578125" customWidth="1"/>
    <col min="3588" max="3588" width="24.28515625" customWidth="1"/>
    <col min="3589" max="3589" width="41.85546875" customWidth="1"/>
    <col min="3590" max="3590" width="33.7109375" customWidth="1"/>
    <col min="3591" max="3591" width="18.85546875" customWidth="1"/>
    <col min="3592" max="3840" width="10.28515625" customWidth="1"/>
    <col min="3841" max="3841" width="13.42578125" customWidth="1"/>
    <col min="3842" max="3842" width="24.28515625" customWidth="1"/>
    <col min="3843" max="3843" width="40.42578125" customWidth="1"/>
    <col min="3844" max="3844" width="24.28515625" customWidth="1"/>
    <col min="3845" max="3845" width="41.85546875" customWidth="1"/>
    <col min="3846" max="3846" width="33.7109375" customWidth="1"/>
    <col min="3847" max="3847" width="18.85546875" customWidth="1"/>
    <col min="3848" max="4096" width="10.28515625" customWidth="1"/>
    <col min="4097" max="4097" width="13.42578125" customWidth="1"/>
    <col min="4098" max="4098" width="24.28515625" customWidth="1"/>
    <col min="4099" max="4099" width="40.42578125" customWidth="1"/>
    <col min="4100" max="4100" width="24.28515625" customWidth="1"/>
    <col min="4101" max="4101" width="41.85546875" customWidth="1"/>
    <col min="4102" max="4102" width="33.7109375" customWidth="1"/>
    <col min="4103" max="4103" width="18.85546875" customWidth="1"/>
    <col min="4104" max="4352" width="10.28515625" customWidth="1"/>
    <col min="4353" max="4353" width="13.42578125" customWidth="1"/>
    <col min="4354" max="4354" width="24.28515625" customWidth="1"/>
    <col min="4355" max="4355" width="40.42578125" customWidth="1"/>
    <col min="4356" max="4356" width="24.28515625" customWidth="1"/>
    <col min="4357" max="4357" width="41.85546875" customWidth="1"/>
    <col min="4358" max="4358" width="33.7109375" customWidth="1"/>
    <col min="4359" max="4359" width="18.85546875" customWidth="1"/>
    <col min="4360" max="4608" width="10.28515625" customWidth="1"/>
    <col min="4609" max="4609" width="13.42578125" customWidth="1"/>
    <col min="4610" max="4610" width="24.28515625" customWidth="1"/>
    <col min="4611" max="4611" width="40.42578125" customWidth="1"/>
    <col min="4612" max="4612" width="24.28515625" customWidth="1"/>
    <col min="4613" max="4613" width="41.85546875" customWidth="1"/>
    <col min="4614" max="4614" width="33.7109375" customWidth="1"/>
    <col min="4615" max="4615" width="18.85546875" customWidth="1"/>
    <col min="4616" max="4864" width="10.28515625" customWidth="1"/>
    <col min="4865" max="4865" width="13.42578125" customWidth="1"/>
    <col min="4866" max="4866" width="24.28515625" customWidth="1"/>
    <col min="4867" max="4867" width="40.42578125" customWidth="1"/>
    <col min="4868" max="4868" width="24.28515625" customWidth="1"/>
    <col min="4869" max="4869" width="41.85546875" customWidth="1"/>
    <col min="4870" max="4870" width="33.7109375" customWidth="1"/>
    <col min="4871" max="4871" width="18.85546875" customWidth="1"/>
    <col min="4872" max="5120" width="10.28515625" customWidth="1"/>
    <col min="5121" max="5121" width="13.42578125" customWidth="1"/>
    <col min="5122" max="5122" width="24.28515625" customWidth="1"/>
    <col min="5123" max="5123" width="40.42578125" customWidth="1"/>
    <col min="5124" max="5124" width="24.28515625" customWidth="1"/>
    <col min="5125" max="5125" width="41.85546875" customWidth="1"/>
    <col min="5126" max="5126" width="33.7109375" customWidth="1"/>
    <col min="5127" max="5127" width="18.85546875" customWidth="1"/>
    <col min="5128" max="5376" width="10.28515625" customWidth="1"/>
    <col min="5377" max="5377" width="13.42578125" customWidth="1"/>
    <col min="5378" max="5378" width="24.28515625" customWidth="1"/>
    <col min="5379" max="5379" width="40.42578125" customWidth="1"/>
    <col min="5380" max="5380" width="24.28515625" customWidth="1"/>
    <col min="5381" max="5381" width="41.85546875" customWidth="1"/>
    <col min="5382" max="5382" width="33.7109375" customWidth="1"/>
    <col min="5383" max="5383" width="18.85546875" customWidth="1"/>
    <col min="5384" max="5632" width="10.28515625" customWidth="1"/>
    <col min="5633" max="5633" width="13.42578125" customWidth="1"/>
    <col min="5634" max="5634" width="24.28515625" customWidth="1"/>
    <col min="5635" max="5635" width="40.42578125" customWidth="1"/>
    <col min="5636" max="5636" width="24.28515625" customWidth="1"/>
    <col min="5637" max="5637" width="41.85546875" customWidth="1"/>
    <col min="5638" max="5638" width="33.7109375" customWidth="1"/>
    <col min="5639" max="5639" width="18.85546875" customWidth="1"/>
    <col min="5640" max="5888" width="10.28515625" customWidth="1"/>
    <col min="5889" max="5889" width="13.42578125" customWidth="1"/>
    <col min="5890" max="5890" width="24.28515625" customWidth="1"/>
    <col min="5891" max="5891" width="40.42578125" customWidth="1"/>
    <col min="5892" max="5892" width="24.28515625" customWidth="1"/>
    <col min="5893" max="5893" width="41.85546875" customWidth="1"/>
    <col min="5894" max="5894" width="33.7109375" customWidth="1"/>
    <col min="5895" max="5895" width="18.85546875" customWidth="1"/>
    <col min="5896" max="6144" width="10.28515625" customWidth="1"/>
    <col min="6145" max="6145" width="13.42578125" customWidth="1"/>
    <col min="6146" max="6146" width="24.28515625" customWidth="1"/>
    <col min="6147" max="6147" width="40.42578125" customWidth="1"/>
    <col min="6148" max="6148" width="24.28515625" customWidth="1"/>
    <col min="6149" max="6149" width="41.85546875" customWidth="1"/>
    <col min="6150" max="6150" width="33.7109375" customWidth="1"/>
    <col min="6151" max="6151" width="18.85546875" customWidth="1"/>
    <col min="6152" max="6400" width="10.28515625" customWidth="1"/>
    <col min="6401" max="6401" width="13.42578125" customWidth="1"/>
    <col min="6402" max="6402" width="24.28515625" customWidth="1"/>
    <col min="6403" max="6403" width="40.42578125" customWidth="1"/>
    <col min="6404" max="6404" width="24.28515625" customWidth="1"/>
    <col min="6405" max="6405" width="41.85546875" customWidth="1"/>
    <col min="6406" max="6406" width="33.7109375" customWidth="1"/>
    <col min="6407" max="6407" width="18.85546875" customWidth="1"/>
    <col min="6408" max="6656" width="10.28515625" customWidth="1"/>
    <col min="6657" max="6657" width="13.42578125" customWidth="1"/>
    <col min="6658" max="6658" width="24.28515625" customWidth="1"/>
    <col min="6659" max="6659" width="40.42578125" customWidth="1"/>
    <col min="6660" max="6660" width="24.28515625" customWidth="1"/>
    <col min="6661" max="6661" width="41.85546875" customWidth="1"/>
    <col min="6662" max="6662" width="33.7109375" customWidth="1"/>
    <col min="6663" max="6663" width="18.85546875" customWidth="1"/>
    <col min="6664" max="6912" width="10.28515625" customWidth="1"/>
    <col min="6913" max="6913" width="13.42578125" customWidth="1"/>
    <col min="6914" max="6914" width="24.28515625" customWidth="1"/>
    <col min="6915" max="6915" width="40.42578125" customWidth="1"/>
    <col min="6916" max="6916" width="24.28515625" customWidth="1"/>
    <col min="6917" max="6917" width="41.85546875" customWidth="1"/>
    <col min="6918" max="6918" width="33.7109375" customWidth="1"/>
    <col min="6919" max="6919" width="18.85546875" customWidth="1"/>
    <col min="6920" max="7168" width="10.28515625" customWidth="1"/>
    <col min="7169" max="7169" width="13.42578125" customWidth="1"/>
    <col min="7170" max="7170" width="24.28515625" customWidth="1"/>
    <col min="7171" max="7171" width="40.42578125" customWidth="1"/>
    <col min="7172" max="7172" width="24.28515625" customWidth="1"/>
    <col min="7173" max="7173" width="41.85546875" customWidth="1"/>
    <col min="7174" max="7174" width="33.7109375" customWidth="1"/>
    <col min="7175" max="7175" width="18.85546875" customWidth="1"/>
    <col min="7176" max="7424" width="10.28515625" customWidth="1"/>
    <col min="7425" max="7425" width="13.42578125" customWidth="1"/>
    <col min="7426" max="7426" width="24.28515625" customWidth="1"/>
    <col min="7427" max="7427" width="40.42578125" customWidth="1"/>
    <col min="7428" max="7428" width="24.28515625" customWidth="1"/>
    <col min="7429" max="7429" width="41.85546875" customWidth="1"/>
    <col min="7430" max="7430" width="33.7109375" customWidth="1"/>
    <col min="7431" max="7431" width="18.85546875" customWidth="1"/>
    <col min="7432" max="7680" width="10.28515625" customWidth="1"/>
    <col min="7681" max="7681" width="13.42578125" customWidth="1"/>
    <col min="7682" max="7682" width="24.28515625" customWidth="1"/>
    <col min="7683" max="7683" width="40.42578125" customWidth="1"/>
    <col min="7684" max="7684" width="24.28515625" customWidth="1"/>
    <col min="7685" max="7685" width="41.85546875" customWidth="1"/>
    <col min="7686" max="7686" width="33.7109375" customWidth="1"/>
    <col min="7687" max="7687" width="18.85546875" customWidth="1"/>
    <col min="7688" max="7936" width="10.28515625" customWidth="1"/>
    <col min="7937" max="7937" width="13.42578125" customWidth="1"/>
    <col min="7938" max="7938" width="24.28515625" customWidth="1"/>
    <col min="7939" max="7939" width="40.42578125" customWidth="1"/>
    <col min="7940" max="7940" width="24.28515625" customWidth="1"/>
    <col min="7941" max="7941" width="41.85546875" customWidth="1"/>
    <col min="7942" max="7942" width="33.7109375" customWidth="1"/>
    <col min="7943" max="7943" width="18.85546875" customWidth="1"/>
    <col min="7944" max="8192" width="10.28515625" customWidth="1"/>
    <col min="8193" max="8193" width="13.42578125" customWidth="1"/>
    <col min="8194" max="8194" width="24.28515625" customWidth="1"/>
    <col min="8195" max="8195" width="40.42578125" customWidth="1"/>
    <col min="8196" max="8196" width="24.28515625" customWidth="1"/>
    <col min="8197" max="8197" width="41.85546875" customWidth="1"/>
    <col min="8198" max="8198" width="33.7109375" customWidth="1"/>
    <col min="8199" max="8199" width="18.85546875" customWidth="1"/>
    <col min="8200" max="8448" width="10.28515625" customWidth="1"/>
    <col min="8449" max="8449" width="13.42578125" customWidth="1"/>
    <col min="8450" max="8450" width="24.28515625" customWidth="1"/>
    <col min="8451" max="8451" width="40.42578125" customWidth="1"/>
    <col min="8452" max="8452" width="24.28515625" customWidth="1"/>
    <col min="8453" max="8453" width="41.85546875" customWidth="1"/>
    <col min="8454" max="8454" width="33.7109375" customWidth="1"/>
    <col min="8455" max="8455" width="18.85546875" customWidth="1"/>
    <col min="8456" max="8704" width="10.28515625" customWidth="1"/>
    <col min="8705" max="8705" width="13.42578125" customWidth="1"/>
    <col min="8706" max="8706" width="24.28515625" customWidth="1"/>
    <col min="8707" max="8707" width="40.42578125" customWidth="1"/>
    <col min="8708" max="8708" width="24.28515625" customWidth="1"/>
    <col min="8709" max="8709" width="41.85546875" customWidth="1"/>
    <col min="8710" max="8710" width="33.7109375" customWidth="1"/>
    <col min="8711" max="8711" width="18.85546875" customWidth="1"/>
    <col min="8712" max="8960" width="10.28515625" customWidth="1"/>
    <col min="8961" max="8961" width="13.42578125" customWidth="1"/>
    <col min="8962" max="8962" width="24.28515625" customWidth="1"/>
    <col min="8963" max="8963" width="40.42578125" customWidth="1"/>
    <col min="8964" max="8964" width="24.28515625" customWidth="1"/>
    <col min="8965" max="8965" width="41.85546875" customWidth="1"/>
    <col min="8966" max="8966" width="33.7109375" customWidth="1"/>
    <col min="8967" max="8967" width="18.85546875" customWidth="1"/>
    <col min="8968" max="9216" width="10.28515625" customWidth="1"/>
    <col min="9217" max="9217" width="13.42578125" customWidth="1"/>
    <col min="9218" max="9218" width="24.28515625" customWidth="1"/>
    <col min="9219" max="9219" width="40.42578125" customWidth="1"/>
    <col min="9220" max="9220" width="24.28515625" customWidth="1"/>
    <col min="9221" max="9221" width="41.85546875" customWidth="1"/>
    <col min="9222" max="9222" width="33.7109375" customWidth="1"/>
    <col min="9223" max="9223" width="18.85546875" customWidth="1"/>
    <col min="9224" max="9472" width="10.28515625" customWidth="1"/>
    <col min="9473" max="9473" width="13.42578125" customWidth="1"/>
    <col min="9474" max="9474" width="24.28515625" customWidth="1"/>
    <col min="9475" max="9475" width="40.42578125" customWidth="1"/>
    <col min="9476" max="9476" width="24.28515625" customWidth="1"/>
    <col min="9477" max="9477" width="41.85546875" customWidth="1"/>
    <col min="9478" max="9478" width="33.7109375" customWidth="1"/>
    <col min="9479" max="9479" width="18.85546875" customWidth="1"/>
    <col min="9480" max="9728" width="10.28515625" customWidth="1"/>
    <col min="9729" max="9729" width="13.42578125" customWidth="1"/>
    <col min="9730" max="9730" width="24.28515625" customWidth="1"/>
    <col min="9731" max="9731" width="40.42578125" customWidth="1"/>
    <col min="9732" max="9732" width="24.28515625" customWidth="1"/>
    <col min="9733" max="9733" width="41.85546875" customWidth="1"/>
    <col min="9734" max="9734" width="33.7109375" customWidth="1"/>
    <col min="9735" max="9735" width="18.85546875" customWidth="1"/>
    <col min="9736" max="9984" width="10.28515625" customWidth="1"/>
    <col min="9985" max="9985" width="13.42578125" customWidth="1"/>
    <col min="9986" max="9986" width="24.28515625" customWidth="1"/>
    <col min="9987" max="9987" width="40.42578125" customWidth="1"/>
    <col min="9988" max="9988" width="24.28515625" customWidth="1"/>
    <col min="9989" max="9989" width="41.85546875" customWidth="1"/>
    <col min="9990" max="9990" width="33.7109375" customWidth="1"/>
    <col min="9991" max="9991" width="18.85546875" customWidth="1"/>
    <col min="9992" max="10240" width="10.28515625" customWidth="1"/>
    <col min="10241" max="10241" width="13.42578125" customWidth="1"/>
    <col min="10242" max="10242" width="24.28515625" customWidth="1"/>
    <col min="10243" max="10243" width="40.42578125" customWidth="1"/>
    <col min="10244" max="10244" width="24.28515625" customWidth="1"/>
    <col min="10245" max="10245" width="41.85546875" customWidth="1"/>
    <col min="10246" max="10246" width="33.7109375" customWidth="1"/>
    <col min="10247" max="10247" width="18.85546875" customWidth="1"/>
    <col min="10248" max="10496" width="10.28515625" customWidth="1"/>
    <col min="10497" max="10497" width="13.42578125" customWidth="1"/>
    <col min="10498" max="10498" width="24.28515625" customWidth="1"/>
    <col min="10499" max="10499" width="40.42578125" customWidth="1"/>
    <col min="10500" max="10500" width="24.28515625" customWidth="1"/>
    <col min="10501" max="10501" width="41.85546875" customWidth="1"/>
    <col min="10502" max="10502" width="33.7109375" customWidth="1"/>
    <col min="10503" max="10503" width="18.85546875" customWidth="1"/>
    <col min="10504" max="10752" width="10.28515625" customWidth="1"/>
    <col min="10753" max="10753" width="13.42578125" customWidth="1"/>
    <col min="10754" max="10754" width="24.28515625" customWidth="1"/>
    <col min="10755" max="10755" width="40.42578125" customWidth="1"/>
    <col min="10756" max="10756" width="24.28515625" customWidth="1"/>
    <col min="10757" max="10757" width="41.85546875" customWidth="1"/>
    <col min="10758" max="10758" width="33.7109375" customWidth="1"/>
    <col min="10759" max="10759" width="18.85546875" customWidth="1"/>
    <col min="10760" max="11008" width="10.28515625" customWidth="1"/>
    <col min="11009" max="11009" width="13.42578125" customWidth="1"/>
    <col min="11010" max="11010" width="24.28515625" customWidth="1"/>
    <col min="11011" max="11011" width="40.42578125" customWidth="1"/>
    <col min="11012" max="11012" width="24.28515625" customWidth="1"/>
    <col min="11013" max="11013" width="41.85546875" customWidth="1"/>
    <col min="11014" max="11014" width="33.7109375" customWidth="1"/>
    <col min="11015" max="11015" width="18.85546875" customWidth="1"/>
    <col min="11016" max="11264" width="10.28515625" customWidth="1"/>
    <col min="11265" max="11265" width="13.42578125" customWidth="1"/>
    <col min="11266" max="11266" width="24.28515625" customWidth="1"/>
    <col min="11267" max="11267" width="40.42578125" customWidth="1"/>
    <col min="11268" max="11268" width="24.28515625" customWidth="1"/>
    <col min="11269" max="11269" width="41.85546875" customWidth="1"/>
    <col min="11270" max="11270" width="33.7109375" customWidth="1"/>
    <col min="11271" max="11271" width="18.85546875" customWidth="1"/>
    <col min="11272" max="11520" width="10.28515625" customWidth="1"/>
    <col min="11521" max="11521" width="13.42578125" customWidth="1"/>
    <col min="11522" max="11522" width="24.28515625" customWidth="1"/>
    <col min="11523" max="11523" width="40.42578125" customWidth="1"/>
    <col min="11524" max="11524" width="24.28515625" customWidth="1"/>
    <col min="11525" max="11525" width="41.85546875" customWidth="1"/>
    <col min="11526" max="11526" width="33.7109375" customWidth="1"/>
    <col min="11527" max="11527" width="18.85546875" customWidth="1"/>
    <col min="11528" max="11776" width="10.28515625" customWidth="1"/>
    <col min="11777" max="11777" width="13.42578125" customWidth="1"/>
    <col min="11778" max="11778" width="24.28515625" customWidth="1"/>
    <col min="11779" max="11779" width="40.42578125" customWidth="1"/>
    <col min="11780" max="11780" width="24.28515625" customWidth="1"/>
    <col min="11781" max="11781" width="41.85546875" customWidth="1"/>
    <col min="11782" max="11782" width="33.7109375" customWidth="1"/>
    <col min="11783" max="11783" width="18.85546875" customWidth="1"/>
    <col min="11784" max="12032" width="10.28515625" customWidth="1"/>
    <col min="12033" max="12033" width="13.42578125" customWidth="1"/>
    <col min="12034" max="12034" width="24.28515625" customWidth="1"/>
    <col min="12035" max="12035" width="40.42578125" customWidth="1"/>
    <col min="12036" max="12036" width="24.28515625" customWidth="1"/>
    <col min="12037" max="12037" width="41.85546875" customWidth="1"/>
    <col min="12038" max="12038" width="33.7109375" customWidth="1"/>
    <col min="12039" max="12039" width="18.85546875" customWidth="1"/>
    <col min="12040" max="12288" width="10.28515625" customWidth="1"/>
    <col min="12289" max="12289" width="13.42578125" customWidth="1"/>
    <col min="12290" max="12290" width="24.28515625" customWidth="1"/>
    <col min="12291" max="12291" width="40.42578125" customWidth="1"/>
    <col min="12292" max="12292" width="24.28515625" customWidth="1"/>
    <col min="12293" max="12293" width="41.85546875" customWidth="1"/>
    <col min="12294" max="12294" width="33.7109375" customWidth="1"/>
    <col min="12295" max="12295" width="18.85546875" customWidth="1"/>
    <col min="12296" max="12544" width="10.28515625" customWidth="1"/>
    <col min="12545" max="12545" width="13.42578125" customWidth="1"/>
    <col min="12546" max="12546" width="24.28515625" customWidth="1"/>
    <col min="12547" max="12547" width="40.42578125" customWidth="1"/>
    <col min="12548" max="12548" width="24.28515625" customWidth="1"/>
    <col min="12549" max="12549" width="41.85546875" customWidth="1"/>
    <col min="12550" max="12550" width="33.7109375" customWidth="1"/>
    <col min="12551" max="12551" width="18.85546875" customWidth="1"/>
    <col min="12552" max="12800" width="10.28515625" customWidth="1"/>
    <col min="12801" max="12801" width="13.42578125" customWidth="1"/>
    <col min="12802" max="12802" width="24.28515625" customWidth="1"/>
    <col min="12803" max="12803" width="40.42578125" customWidth="1"/>
    <col min="12804" max="12804" width="24.28515625" customWidth="1"/>
    <col min="12805" max="12805" width="41.85546875" customWidth="1"/>
    <col min="12806" max="12806" width="33.7109375" customWidth="1"/>
    <col min="12807" max="12807" width="18.85546875" customWidth="1"/>
    <col min="12808" max="13056" width="10.28515625" customWidth="1"/>
    <col min="13057" max="13057" width="13.42578125" customWidth="1"/>
    <col min="13058" max="13058" width="24.28515625" customWidth="1"/>
    <col min="13059" max="13059" width="40.42578125" customWidth="1"/>
    <col min="13060" max="13060" width="24.28515625" customWidth="1"/>
    <col min="13061" max="13061" width="41.85546875" customWidth="1"/>
    <col min="13062" max="13062" width="33.7109375" customWidth="1"/>
    <col min="13063" max="13063" width="18.85546875" customWidth="1"/>
    <col min="13064" max="13312" width="10.28515625" customWidth="1"/>
    <col min="13313" max="13313" width="13.42578125" customWidth="1"/>
    <col min="13314" max="13314" width="24.28515625" customWidth="1"/>
    <col min="13315" max="13315" width="40.42578125" customWidth="1"/>
    <col min="13316" max="13316" width="24.28515625" customWidth="1"/>
    <col min="13317" max="13317" width="41.85546875" customWidth="1"/>
    <col min="13318" max="13318" width="33.7109375" customWidth="1"/>
    <col min="13319" max="13319" width="18.85546875" customWidth="1"/>
    <col min="13320" max="13568" width="10.28515625" customWidth="1"/>
    <col min="13569" max="13569" width="13.42578125" customWidth="1"/>
    <col min="13570" max="13570" width="24.28515625" customWidth="1"/>
    <col min="13571" max="13571" width="40.42578125" customWidth="1"/>
    <col min="13572" max="13572" width="24.28515625" customWidth="1"/>
    <col min="13573" max="13573" width="41.85546875" customWidth="1"/>
    <col min="13574" max="13574" width="33.7109375" customWidth="1"/>
    <col min="13575" max="13575" width="18.85546875" customWidth="1"/>
    <col min="13576" max="13824" width="10.28515625" customWidth="1"/>
    <col min="13825" max="13825" width="13.42578125" customWidth="1"/>
    <col min="13826" max="13826" width="24.28515625" customWidth="1"/>
    <col min="13827" max="13827" width="40.42578125" customWidth="1"/>
    <col min="13828" max="13828" width="24.28515625" customWidth="1"/>
    <col min="13829" max="13829" width="41.85546875" customWidth="1"/>
    <col min="13830" max="13830" width="33.7109375" customWidth="1"/>
    <col min="13831" max="13831" width="18.85546875" customWidth="1"/>
    <col min="13832" max="14080" width="10.28515625" customWidth="1"/>
    <col min="14081" max="14081" width="13.42578125" customWidth="1"/>
    <col min="14082" max="14082" width="24.28515625" customWidth="1"/>
    <col min="14083" max="14083" width="40.42578125" customWidth="1"/>
    <col min="14084" max="14084" width="24.28515625" customWidth="1"/>
    <col min="14085" max="14085" width="41.85546875" customWidth="1"/>
    <col min="14086" max="14086" width="33.7109375" customWidth="1"/>
    <col min="14087" max="14087" width="18.85546875" customWidth="1"/>
    <col min="14088" max="14336" width="10.28515625" customWidth="1"/>
    <col min="14337" max="14337" width="13.42578125" customWidth="1"/>
    <col min="14338" max="14338" width="24.28515625" customWidth="1"/>
    <col min="14339" max="14339" width="40.42578125" customWidth="1"/>
    <col min="14340" max="14340" width="24.28515625" customWidth="1"/>
    <col min="14341" max="14341" width="41.85546875" customWidth="1"/>
    <col min="14342" max="14342" width="33.7109375" customWidth="1"/>
    <col min="14343" max="14343" width="18.85546875" customWidth="1"/>
    <col min="14344" max="14592" width="10.28515625" customWidth="1"/>
    <col min="14593" max="14593" width="13.42578125" customWidth="1"/>
    <col min="14594" max="14594" width="24.28515625" customWidth="1"/>
    <col min="14595" max="14595" width="40.42578125" customWidth="1"/>
    <col min="14596" max="14596" width="24.28515625" customWidth="1"/>
    <col min="14597" max="14597" width="41.85546875" customWidth="1"/>
    <col min="14598" max="14598" width="33.7109375" customWidth="1"/>
    <col min="14599" max="14599" width="18.85546875" customWidth="1"/>
    <col min="14600" max="14848" width="10.28515625" customWidth="1"/>
    <col min="14849" max="14849" width="13.42578125" customWidth="1"/>
    <col min="14850" max="14850" width="24.28515625" customWidth="1"/>
    <col min="14851" max="14851" width="40.42578125" customWidth="1"/>
    <col min="14852" max="14852" width="24.28515625" customWidth="1"/>
    <col min="14853" max="14853" width="41.85546875" customWidth="1"/>
    <col min="14854" max="14854" width="33.7109375" customWidth="1"/>
    <col min="14855" max="14855" width="18.85546875" customWidth="1"/>
    <col min="14856" max="15104" width="10.28515625" customWidth="1"/>
    <col min="15105" max="15105" width="13.42578125" customWidth="1"/>
    <col min="15106" max="15106" width="24.28515625" customWidth="1"/>
    <col min="15107" max="15107" width="40.42578125" customWidth="1"/>
    <col min="15108" max="15108" width="24.28515625" customWidth="1"/>
    <col min="15109" max="15109" width="41.85546875" customWidth="1"/>
    <col min="15110" max="15110" width="33.7109375" customWidth="1"/>
    <col min="15111" max="15111" width="18.85546875" customWidth="1"/>
    <col min="15112" max="15360" width="10.28515625" customWidth="1"/>
    <col min="15361" max="15361" width="13.42578125" customWidth="1"/>
    <col min="15362" max="15362" width="24.28515625" customWidth="1"/>
    <col min="15363" max="15363" width="40.42578125" customWidth="1"/>
    <col min="15364" max="15364" width="24.28515625" customWidth="1"/>
    <col min="15365" max="15365" width="41.85546875" customWidth="1"/>
    <col min="15366" max="15366" width="33.7109375" customWidth="1"/>
    <col min="15367" max="15367" width="18.85546875" customWidth="1"/>
    <col min="15368" max="15616" width="10.28515625" customWidth="1"/>
    <col min="15617" max="15617" width="13.42578125" customWidth="1"/>
    <col min="15618" max="15618" width="24.28515625" customWidth="1"/>
    <col min="15619" max="15619" width="40.42578125" customWidth="1"/>
    <col min="15620" max="15620" width="24.28515625" customWidth="1"/>
    <col min="15621" max="15621" width="41.85546875" customWidth="1"/>
    <col min="15622" max="15622" width="33.7109375" customWidth="1"/>
    <col min="15623" max="15623" width="18.85546875" customWidth="1"/>
    <col min="15624" max="15872" width="10.28515625" customWidth="1"/>
    <col min="15873" max="15873" width="13.42578125" customWidth="1"/>
    <col min="15874" max="15874" width="24.28515625" customWidth="1"/>
    <col min="15875" max="15875" width="40.42578125" customWidth="1"/>
    <col min="15876" max="15876" width="24.28515625" customWidth="1"/>
    <col min="15877" max="15877" width="41.85546875" customWidth="1"/>
    <col min="15878" max="15878" width="33.7109375" customWidth="1"/>
    <col min="15879" max="15879" width="18.85546875" customWidth="1"/>
    <col min="15880" max="16128" width="10.28515625" customWidth="1"/>
    <col min="16129" max="16129" width="13.42578125" customWidth="1"/>
    <col min="16130" max="16130" width="24.28515625" customWidth="1"/>
    <col min="16131" max="16131" width="40.42578125" customWidth="1"/>
    <col min="16132" max="16132" width="24.28515625" customWidth="1"/>
    <col min="16133" max="16133" width="41.85546875" customWidth="1"/>
    <col min="16134" max="16134" width="33.7109375" customWidth="1"/>
    <col min="16135" max="16135" width="18.85546875" customWidth="1"/>
    <col min="16136" max="16384" width="10.28515625" customWidth="1"/>
  </cols>
  <sheetData>
    <row r="1" spans="1:10" ht="14.25" thickTop="1" thickBot="1">
      <c r="A1" s="29" t="s">
        <v>800</v>
      </c>
      <c r="B1" s="28" t="s">
        <v>8681</v>
      </c>
    </row>
    <row r="2" spans="1:10" ht="14.25" thickTop="1" thickBot="1">
      <c r="A2" s="29" t="s">
        <v>0</v>
      </c>
      <c r="B2" s="29" t="s">
        <v>1</v>
      </c>
      <c r="C2" s="29" t="s">
        <v>2</v>
      </c>
      <c r="D2" s="29" t="s">
        <v>3</v>
      </c>
      <c r="E2" s="29" t="s">
        <v>4</v>
      </c>
      <c r="F2" s="29" t="s">
        <v>5</v>
      </c>
      <c r="G2" s="29" t="s">
        <v>6</v>
      </c>
    </row>
    <row r="3" spans="1:10" ht="13.5" thickTop="1">
      <c r="A3" s="1" t="s">
        <v>826</v>
      </c>
      <c r="B3" s="1" t="s">
        <v>827</v>
      </c>
      <c r="C3" s="1" t="s">
        <v>828</v>
      </c>
      <c r="D3" s="1" t="s">
        <v>829</v>
      </c>
      <c r="E3" s="2">
        <v>3</v>
      </c>
      <c r="F3" s="1" t="s">
        <v>830</v>
      </c>
      <c r="G3" s="3">
        <v>44893</v>
      </c>
      <c r="H3" t="str">
        <f>IF(ISERROR(MATCH(I3,Brun!I:I,0)),"Missing","")</f>
        <v>Missing</v>
      </c>
      <c r="I3" t="str">
        <f>_xlfn.CONCAT(A3:B3)</f>
        <v>SOA0274840J75IQU56NPFU</v>
      </c>
      <c r="J3" t="s">
        <v>952</v>
      </c>
    </row>
    <row r="4" spans="1:10">
      <c r="A4" s="1" t="s">
        <v>831</v>
      </c>
      <c r="B4" s="1" t="s">
        <v>832</v>
      </c>
      <c r="C4" s="1" t="s">
        <v>833</v>
      </c>
      <c r="D4" s="1" t="s">
        <v>834</v>
      </c>
      <c r="E4" s="2">
        <v>5</v>
      </c>
      <c r="F4" s="1" t="s">
        <v>835</v>
      </c>
      <c r="G4" s="3">
        <v>44893</v>
      </c>
      <c r="H4" t="str">
        <f>IF(ISERROR(MATCH(I4,Brun!I:I,0)),"Missing","")</f>
        <v>Missing</v>
      </c>
      <c r="I4" t="str">
        <f t="shared" ref="I4:I67" si="0">_xlfn.CONCAT(A4:B4)</f>
        <v>SOA0274929QUBBLACKPPK8</v>
      </c>
      <c r="J4" t="s">
        <v>952</v>
      </c>
    </row>
    <row r="5" spans="1:10">
      <c r="A5" s="1" t="s">
        <v>836</v>
      </c>
      <c r="B5" s="1" t="s">
        <v>832</v>
      </c>
      <c r="C5" s="1" t="s">
        <v>833</v>
      </c>
      <c r="D5" s="1" t="s">
        <v>834</v>
      </c>
      <c r="E5" s="2">
        <v>1</v>
      </c>
      <c r="F5" s="1" t="s">
        <v>837</v>
      </c>
      <c r="G5" s="3">
        <v>44893</v>
      </c>
      <c r="H5" t="str">
        <f>IF(ISERROR(MATCH(I5,Brun!I:I,0)),"Missing","")</f>
        <v>Missing</v>
      </c>
      <c r="I5" t="str">
        <f t="shared" si="0"/>
        <v>SOA0275135QUBBLACKPPK8</v>
      </c>
      <c r="J5" t="s">
        <v>952</v>
      </c>
    </row>
    <row r="6" spans="1:10">
      <c r="A6" s="1" t="s">
        <v>836</v>
      </c>
      <c r="B6" s="1" t="s">
        <v>838</v>
      </c>
      <c r="C6" s="1" t="s">
        <v>839</v>
      </c>
      <c r="D6" s="1" t="s">
        <v>840</v>
      </c>
      <c r="E6" s="2">
        <v>3</v>
      </c>
      <c r="F6" s="1" t="s">
        <v>837</v>
      </c>
      <c r="G6" s="3">
        <v>44893</v>
      </c>
      <c r="H6" t="str">
        <f>IF(ISERROR(MATCH(I6,Brun!I:I,0)),"Missing","")</f>
        <v>Missing</v>
      </c>
      <c r="I6" t="str">
        <f t="shared" si="0"/>
        <v>SOA0275135J75IQU82NPFU</v>
      </c>
      <c r="J6" t="s">
        <v>952</v>
      </c>
    </row>
    <row r="7" spans="1:10">
      <c r="A7" s="1" t="s">
        <v>843</v>
      </c>
      <c r="B7" s="1" t="s">
        <v>430</v>
      </c>
      <c r="C7" s="1" t="s">
        <v>847</v>
      </c>
      <c r="D7" s="1" t="s">
        <v>848</v>
      </c>
      <c r="E7" s="2">
        <v>40</v>
      </c>
      <c r="F7" s="1" t="s">
        <v>846</v>
      </c>
      <c r="G7" s="3">
        <v>44893</v>
      </c>
      <c r="H7" t="str">
        <f>IF(ISERROR(MATCH(I7,Brun!I:I,0)),"Missing","")</f>
        <v>Missing</v>
      </c>
      <c r="I7" t="str">
        <f t="shared" si="0"/>
        <v>SOA0275333NG62HA0013PTYBF0</v>
      </c>
      <c r="J7" t="s">
        <v>952</v>
      </c>
    </row>
    <row r="8" spans="1:10">
      <c r="A8" s="1" t="s">
        <v>849</v>
      </c>
      <c r="B8" s="1" t="s">
        <v>832</v>
      </c>
      <c r="C8" s="1" t="s">
        <v>833</v>
      </c>
      <c r="D8" s="1" t="s">
        <v>834</v>
      </c>
      <c r="E8" s="2">
        <v>1</v>
      </c>
      <c r="F8" s="1" t="s">
        <v>850</v>
      </c>
      <c r="G8" s="3">
        <v>44900</v>
      </c>
      <c r="H8" t="str">
        <f>IF(ISERROR(MATCH(I8,Brun!I:I,0)),"Missing","")</f>
        <v>Missing</v>
      </c>
      <c r="I8" t="str">
        <f t="shared" si="0"/>
        <v>SOA0274846QUBBLACKPPK8</v>
      </c>
      <c r="J8" t="s">
        <v>952</v>
      </c>
    </row>
    <row r="9" spans="1:10">
      <c r="A9" s="1" t="s">
        <v>849</v>
      </c>
      <c r="B9" s="1" t="s">
        <v>838</v>
      </c>
      <c r="C9" s="1" t="s">
        <v>839</v>
      </c>
      <c r="D9" s="1" t="s">
        <v>840</v>
      </c>
      <c r="E9" s="2">
        <v>4</v>
      </c>
      <c r="F9" s="1" t="s">
        <v>850</v>
      </c>
      <c r="G9" s="3">
        <v>44900</v>
      </c>
      <c r="H9" t="str">
        <f>IF(ISERROR(MATCH(I9,Brun!I:I,0)),"Missing","")</f>
        <v>Missing</v>
      </c>
      <c r="I9" t="str">
        <f t="shared" si="0"/>
        <v>SOA0274846J75IQU82NPFU</v>
      </c>
      <c r="J9" t="s">
        <v>952</v>
      </c>
    </row>
    <row r="10" spans="1:10">
      <c r="A10" s="1" t="s">
        <v>849</v>
      </c>
      <c r="B10" s="1" t="s">
        <v>851</v>
      </c>
      <c r="C10" s="1" t="s">
        <v>852</v>
      </c>
      <c r="D10" s="1" t="s">
        <v>853</v>
      </c>
      <c r="E10" s="2">
        <v>1</v>
      </c>
      <c r="F10" s="1" t="s">
        <v>850</v>
      </c>
      <c r="G10" s="3">
        <v>44900</v>
      </c>
      <c r="H10" t="str">
        <f>IF(ISERROR(MATCH(I10,Brun!I:I,0)),"Missing","")</f>
        <v>Missing</v>
      </c>
      <c r="I10" t="str">
        <f t="shared" si="0"/>
        <v>SOA0274846QUBBLACKPPK9</v>
      </c>
      <c r="J10" t="s">
        <v>952</v>
      </c>
    </row>
    <row r="11" spans="1:10">
      <c r="A11" s="1" t="s">
        <v>854</v>
      </c>
      <c r="B11" s="1" t="s">
        <v>838</v>
      </c>
      <c r="C11" s="1" t="s">
        <v>839</v>
      </c>
      <c r="D11" s="1" t="s">
        <v>840</v>
      </c>
      <c r="E11" s="2">
        <v>1</v>
      </c>
      <c r="F11" s="1" t="s">
        <v>855</v>
      </c>
      <c r="G11" s="3">
        <v>44900</v>
      </c>
      <c r="H11" t="str">
        <f>IF(ISERROR(MATCH(I11,Brun!I:I,0)),"Missing","")</f>
        <v>Missing</v>
      </c>
      <c r="I11" t="str">
        <f t="shared" si="0"/>
        <v>SOA0275197J75IQU82NPFU</v>
      </c>
      <c r="J11" t="s">
        <v>952</v>
      </c>
    </row>
    <row r="12" spans="1:10">
      <c r="A12" s="1" t="s">
        <v>856</v>
      </c>
      <c r="B12" s="1" t="s">
        <v>447</v>
      </c>
      <c r="C12" s="1" t="s">
        <v>857</v>
      </c>
      <c r="D12" s="1" t="s">
        <v>858</v>
      </c>
      <c r="E12" s="2">
        <v>9</v>
      </c>
      <c r="F12" s="1" t="s">
        <v>859</v>
      </c>
      <c r="G12" s="3">
        <v>44900</v>
      </c>
      <c r="H12" t="str">
        <f>IF(ISERROR(MATCH(I12,Brun!I:I,0)),"Missing","")</f>
        <v>Missing</v>
      </c>
      <c r="I12" t="str">
        <f t="shared" si="0"/>
        <v>SOA0275277NG78HA0014SBYBF0</v>
      </c>
      <c r="J12" t="s">
        <v>952</v>
      </c>
    </row>
    <row r="13" spans="1:10">
      <c r="A13" s="1" t="s">
        <v>856</v>
      </c>
      <c r="B13" s="1" t="s">
        <v>438</v>
      </c>
      <c r="C13" s="1" t="s">
        <v>860</v>
      </c>
      <c r="D13" s="1" t="s">
        <v>861</v>
      </c>
      <c r="E13" s="2">
        <v>15</v>
      </c>
      <c r="F13" s="1" t="s">
        <v>859</v>
      </c>
      <c r="G13" s="3">
        <v>44900</v>
      </c>
      <c r="H13" t="str">
        <f>IF(ISERROR(MATCH(I13,Brun!I:I,0)),"Missing","")</f>
        <v>Missing</v>
      </c>
      <c r="I13" t="str">
        <f t="shared" si="0"/>
        <v>SOA0275277NG78HA0013SBYBF0</v>
      </c>
      <c r="J13" t="s">
        <v>952</v>
      </c>
    </row>
    <row r="14" spans="1:10">
      <c r="A14" s="1" t="s">
        <v>856</v>
      </c>
      <c r="B14" s="1" t="s">
        <v>727</v>
      </c>
      <c r="C14" s="1" t="s">
        <v>669</v>
      </c>
      <c r="D14" s="1" t="s">
        <v>862</v>
      </c>
      <c r="E14" s="2">
        <v>20</v>
      </c>
      <c r="F14" s="1" t="s">
        <v>859</v>
      </c>
      <c r="G14" s="3">
        <v>44900</v>
      </c>
      <c r="H14" t="str">
        <f>IF(ISERROR(MATCH(I14,Brun!I:I,0)),"Missing","")</f>
        <v>Missing</v>
      </c>
      <c r="I14" t="str">
        <f t="shared" si="0"/>
        <v>SOA0275277NG62HA0122BPVYM0</v>
      </c>
      <c r="J14" t="s">
        <v>952</v>
      </c>
    </row>
    <row r="15" spans="1:10">
      <c r="A15" s="1" t="s">
        <v>865</v>
      </c>
      <c r="B15" s="1" t="s">
        <v>430</v>
      </c>
      <c r="C15" s="1" t="s">
        <v>847</v>
      </c>
      <c r="D15" s="1" t="s">
        <v>848</v>
      </c>
      <c r="E15" s="2">
        <v>20</v>
      </c>
      <c r="F15" s="1" t="s">
        <v>866</v>
      </c>
      <c r="G15" s="3">
        <v>44907</v>
      </c>
      <c r="H15" t="str">
        <f>IF(ISERROR(MATCH(I15,Brun!I:I,0)),"Missing","")</f>
        <v>Missing</v>
      </c>
      <c r="I15" t="str">
        <f t="shared" si="0"/>
        <v>SOA0275035NG62HA0013PTYBF0</v>
      </c>
      <c r="J15" t="s">
        <v>952</v>
      </c>
    </row>
    <row r="16" spans="1:10">
      <c r="A16" s="1" t="s">
        <v>865</v>
      </c>
      <c r="B16" s="1" t="s">
        <v>434</v>
      </c>
      <c r="C16" s="1" t="s">
        <v>822</v>
      </c>
      <c r="D16" s="1" t="s">
        <v>823</v>
      </c>
      <c r="E16" s="2">
        <v>20</v>
      </c>
      <c r="F16" s="1" t="s">
        <v>866</v>
      </c>
      <c r="G16" s="3">
        <v>44907</v>
      </c>
      <c r="H16" t="str">
        <f>IF(ISERROR(MATCH(I16,Brun!I:I,0)),"Missing","")</f>
        <v>Missing</v>
      </c>
      <c r="I16" t="str">
        <f t="shared" si="0"/>
        <v>SOA0275035NG62HA0067PTYBF0</v>
      </c>
      <c r="J16" t="s">
        <v>952</v>
      </c>
    </row>
    <row r="17" spans="1:10">
      <c r="A17" s="1" t="s">
        <v>867</v>
      </c>
      <c r="B17" s="1" t="s">
        <v>445</v>
      </c>
      <c r="C17" s="1" t="s">
        <v>857</v>
      </c>
      <c r="D17" s="1" t="s">
        <v>868</v>
      </c>
      <c r="E17" s="2">
        <v>20</v>
      </c>
      <c r="F17" s="1" t="s">
        <v>869</v>
      </c>
      <c r="G17" s="3">
        <v>44907</v>
      </c>
      <c r="H17" t="str">
        <f>IF(ISERROR(MATCH(I17,Brun!I:I,0)),"Missing","")</f>
        <v>Missing</v>
      </c>
      <c r="I17" t="str">
        <f t="shared" si="0"/>
        <v>SOA0275407NG63HA0014PTYBF0</v>
      </c>
      <c r="J17" t="s">
        <v>952</v>
      </c>
    </row>
    <row r="18" spans="1:10">
      <c r="A18" s="1" t="s">
        <v>867</v>
      </c>
      <c r="B18" s="1" t="s">
        <v>435</v>
      </c>
      <c r="C18" s="1" t="s">
        <v>860</v>
      </c>
      <c r="D18" s="1" t="s">
        <v>870</v>
      </c>
      <c r="E18" s="2">
        <v>20</v>
      </c>
      <c r="F18" s="1" t="s">
        <v>869</v>
      </c>
      <c r="G18" s="3">
        <v>44907</v>
      </c>
      <c r="H18" t="str">
        <f>IF(ISERROR(MATCH(I18,Brun!I:I,0)),"Missing","")</f>
        <v>Missing</v>
      </c>
      <c r="I18" t="str">
        <f t="shared" si="0"/>
        <v>SOA0275407NG63HA0013PTYBF0</v>
      </c>
      <c r="J18" t="s">
        <v>952</v>
      </c>
    </row>
    <row r="19" spans="1:10">
      <c r="A19" s="1" t="s">
        <v>875</v>
      </c>
      <c r="B19" s="1" t="s">
        <v>801</v>
      </c>
      <c r="C19" s="1" t="s">
        <v>802</v>
      </c>
      <c r="D19" s="1" t="s">
        <v>803</v>
      </c>
      <c r="E19" s="2">
        <v>40</v>
      </c>
      <c r="F19" s="1" t="s">
        <v>876</v>
      </c>
      <c r="G19" s="3">
        <v>44929</v>
      </c>
      <c r="H19" t="str">
        <f>IF(ISERROR(MATCH(I19,Brun!I:I,0)),"Missing","")</f>
        <v>Missing</v>
      </c>
      <c r="I19" t="str">
        <f t="shared" si="0"/>
        <v>SOA0275255NG63H31939BPVYM0</v>
      </c>
      <c r="J19" t="s">
        <v>952</v>
      </c>
    </row>
    <row r="20" spans="1:10">
      <c r="A20" s="1" t="s">
        <v>875</v>
      </c>
      <c r="B20" s="1" t="s">
        <v>804</v>
      </c>
      <c r="C20" s="1" t="s">
        <v>805</v>
      </c>
      <c r="D20" s="1" t="s">
        <v>806</v>
      </c>
      <c r="E20" s="2">
        <v>20</v>
      </c>
      <c r="F20" s="1" t="s">
        <v>876</v>
      </c>
      <c r="G20" s="3">
        <v>44929</v>
      </c>
      <c r="H20" t="str">
        <f>IF(ISERROR(MATCH(I20,Brun!I:I,0)),"Missing","")</f>
        <v>Missing</v>
      </c>
      <c r="I20" t="str">
        <f t="shared" si="0"/>
        <v>SOA0275255NG63H31951BPVYM0</v>
      </c>
      <c r="J20" t="s">
        <v>952</v>
      </c>
    </row>
    <row r="21" spans="1:10">
      <c r="A21" s="1" t="s">
        <v>875</v>
      </c>
      <c r="B21" s="1" t="s">
        <v>807</v>
      </c>
      <c r="C21" s="1" t="s">
        <v>808</v>
      </c>
      <c r="D21" s="1" t="s">
        <v>809</v>
      </c>
      <c r="E21" s="2">
        <v>80</v>
      </c>
      <c r="F21" s="1" t="s">
        <v>876</v>
      </c>
      <c r="G21" s="3">
        <v>44929</v>
      </c>
      <c r="H21" t="str">
        <f>IF(ISERROR(MATCH(I21,Brun!I:I,0)),"Missing","")</f>
        <v>Missing</v>
      </c>
      <c r="I21" t="str">
        <f t="shared" si="0"/>
        <v>SOA0275255NG63H31937BPVYM0</v>
      </c>
      <c r="J21" t="s">
        <v>952</v>
      </c>
    </row>
    <row r="22" spans="1:10">
      <c r="A22" s="1" t="s">
        <v>875</v>
      </c>
      <c r="B22" s="1" t="s">
        <v>877</v>
      </c>
      <c r="C22" s="1" t="s">
        <v>878</v>
      </c>
      <c r="D22" s="1" t="s">
        <v>879</v>
      </c>
      <c r="E22" s="2">
        <v>20</v>
      </c>
      <c r="F22" s="1" t="s">
        <v>876</v>
      </c>
      <c r="G22" s="3">
        <v>44929</v>
      </c>
      <c r="H22" t="str">
        <f>IF(ISERROR(MATCH(I22,Brun!I:I,0)),"Missing","")</f>
        <v>Missing</v>
      </c>
      <c r="I22" t="str">
        <f t="shared" si="0"/>
        <v>SOA0275255NG63H31944PTYBF0</v>
      </c>
      <c r="J22" t="s">
        <v>952</v>
      </c>
    </row>
    <row r="23" spans="1:10">
      <c r="A23" s="1" t="s">
        <v>875</v>
      </c>
      <c r="B23" s="1" t="s">
        <v>810</v>
      </c>
      <c r="C23" s="1" t="s">
        <v>811</v>
      </c>
      <c r="D23" s="1" t="s">
        <v>812</v>
      </c>
      <c r="E23" s="2">
        <v>20</v>
      </c>
      <c r="F23" s="1" t="s">
        <v>876</v>
      </c>
      <c r="G23" s="3">
        <v>44929</v>
      </c>
      <c r="H23" t="str">
        <f>IF(ISERROR(MATCH(I23,Brun!I:I,0)),"Missing","")</f>
        <v>Missing</v>
      </c>
      <c r="I23" t="str">
        <f t="shared" si="0"/>
        <v>SOA0275255NG63H31942PTYBF0</v>
      </c>
      <c r="J23" t="s">
        <v>952</v>
      </c>
    </row>
    <row r="24" spans="1:10">
      <c r="A24" s="1" t="s">
        <v>875</v>
      </c>
      <c r="B24" s="1" t="s">
        <v>880</v>
      </c>
      <c r="C24" s="1" t="s">
        <v>881</v>
      </c>
      <c r="D24" s="1" t="s">
        <v>882</v>
      </c>
      <c r="E24" s="2">
        <v>20</v>
      </c>
      <c r="F24" s="1" t="s">
        <v>876</v>
      </c>
      <c r="G24" s="3">
        <v>44929</v>
      </c>
      <c r="H24" t="str">
        <f>IF(ISERROR(MATCH(I24,Brun!I:I,0)),"Missing","")</f>
        <v>Missing</v>
      </c>
      <c r="I24" t="str">
        <f t="shared" si="0"/>
        <v>SOA0275255NG63H31940PTYBF0</v>
      </c>
      <c r="J24" t="s">
        <v>952</v>
      </c>
    </row>
    <row r="25" spans="1:10">
      <c r="A25" s="1" t="s">
        <v>875</v>
      </c>
      <c r="B25" s="1" t="s">
        <v>883</v>
      </c>
      <c r="C25" s="1" t="s">
        <v>884</v>
      </c>
      <c r="D25" s="1" t="s">
        <v>885</v>
      </c>
      <c r="E25" s="2">
        <v>20</v>
      </c>
      <c r="F25" s="1" t="s">
        <v>876</v>
      </c>
      <c r="G25" s="3">
        <v>44929</v>
      </c>
      <c r="H25" t="str">
        <f>IF(ISERROR(MATCH(I25,Brun!I:I,0)),"Missing","")</f>
        <v>Missing</v>
      </c>
      <c r="I25" t="str">
        <f t="shared" si="0"/>
        <v>SOA0275255NG63H31941PTYBF0</v>
      </c>
      <c r="J25" t="s">
        <v>952</v>
      </c>
    </row>
    <row r="26" spans="1:10">
      <c r="A26" s="1" t="s">
        <v>886</v>
      </c>
      <c r="B26" s="1" t="s">
        <v>724</v>
      </c>
      <c r="C26" s="1" t="s">
        <v>666</v>
      </c>
      <c r="D26" s="1" t="s">
        <v>887</v>
      </c>
      <c r="E26" s="2">
        <v>20</v>
      </c>
      <c r="F26" s="1" t="s">
        <v>888</v>
      </c>
      <c r="G26" s="3">
        <v>44929</v>
      </c>
      <c r="H26" t="str">
        <f>IF(ISERROR(MATCH(I26,Brun!I:I,0)),"Missing","")</f>
        <v>Missing</v>
      </c>
      <c r="I26" t="str">
        <f t="shared" si="0"/>
        <v>SOA0275421NG62HA0034BPVYM0</v>
      </c>
      <c r="J26" t="s">
        <v>952</v>
      </c>
    </row>
    <row r="27" spans="1:10">
      <c r="A27" s="1" t="s">
        <v>886</v>
      </c>
      <c r="B27" s="1" t="s">
        <v>727</v>
      </c>
      <c r="C27" s="1" t="s">
        <v>669</v>
      </c>
      <c r="D27" s="1" t="s">
        <v>862</v>
      </c>
      <c r="E27" s="2">
        <v>20</v>
      </c>
      <c r="F27" s="1" t="s">
        <v>888</v>
      </c>
      <c r="G27" s="3">
        <v>44929</v>
      </c>
      <c r="H27" t="str">
        <f>IF(ISERROR(MATCH(I27,Brun!I:I,0)),"Missing","")</f>
        <v>Missing</v>
      </c>
      <c r="I27" t="str">
        <f t="shared" si="0"/>
        <v>SOA0275421NG62HA0122BPVYM0</v>
      </c>
      <c r="J27" t="s">
        <v>952</v>
      </c>
    </row>
    <row r="28" spans="1:10">
      <c r="A28" s="1" t="s">
        <v>886</v>
      </c>
      <c r="B28" s="1" t="s">
        <v>716</v>
      </c>
      <c r="C28" s="1" t="s">
        <v>863</v>
      </c>
      <c r="D28" s="1" t="s">
        <v>864</v>
      </c>
      <c r="E28" s="2">
        <v>80</v>
      </c>
      <c r="F28" s="1" t="s">
        <v>888</v>
      </c>
      <c r="G28" s="3">
        <v>44929</v>
      </c>
      <c r="H28" t="str">
        <f>IF(ISERROR(MATCH(I28,Brun!I:I,0)),"Missing","")</f>
        <v>Missing</v>
      </c>
      <c r="I28" t="str">
        <f t="shared" si="0"/>
        <v>SOA0275421NG62HA0010BPVYM0</v>
      </c>
      <c r="J28" t="s">
        <v>952</v>
      </c>
    </row>
    <row r="29" spans="1:10">
      <c r="A29" s="1" t="s">
        <v>886</v>
      </c>
      <c r="B29" s="1" t="s">
        <v>729</v>
      </c>
      <c r="C29" s="1" t="s">
        <v>671</v>
      </c>
      <c r="D29" s="1" t="s">
        <v>889</v>
      </c>
      <c r="E29" s="2">
        <v>20</v>
      </c>
      <c r="F29" s="1" t="s">
        <v>888</v>
      </c>
      <c r="G29" s="3">
        <v>44929</v>
      </c>
      <c r="H29" t="str">
        <f>IF(ISERROR(MATCH(I29,Brun!I:I,0)),"Missing","")</f>
        <v>Missing</v>
      </c>
      <c r="I29" t="str">
        <f t="shared" si="0"/>
        <v>SOA0275421NG62HA0123BPVYM0</v>
      </c>
      <c r="J29" t="s">
        <v>952</v>
      </c>
    </row>
    <row r="30" spans="1:10">
      <c r="A30" s="1" t="s">
        <v>8682</v>
      </c>
      <c r="B30" s="1" t="s">
        <v>732</v>
      </c>
      <c r="C30" s="1" t="s">
        <v>673</v>
      </c>
      <c r="D30" s="1" t="s">
        <v>821</v>
      </c>
      <c r="E30" s="2">
        <v>20</v>
      </c>
      <c r="F30" s="1" t="s">
        <v>8683</v>
      </c>
      <c r="G30" s="3">
        <v>44929</v>
      </c>
      <c r="H30" t="str">
        <f>IF(ISERROR(MATCH(I30,Brun!I:I,0)),"Missing","")</f>
        <v>Missing</v>
      </c>
      <c r="I30" t="str">
        <f t="shared" si="0"/>
        <v>SOA0275636NG62HA0231BPVYM0</v>
      </c>
      <c r="J30" t="s">
        <v>952</v>
      </c>
    </row>
    <row r="31" spans="1:10">
      <c r="A31" s="1" t="s">
        <v>890</v>
      </c>
      <c r="B31" s="1" t="s">
        <v>891</v>
      </c>
      <c r="C31" s="1" t="s">
        <v>892</v>
      </c>
      <c r="D31" s="1" t="s">
        <v>893</v>
      </c>
      <c r="E31" s="2">
        <v>16</v>
      </c>
      <c r="F31" s="1" t="s">
        <v>894</v>
      </c>
      <c r="G31" s="3">
        <v>44935</v>
      </c>
      <c r="H31" t="str">
        <f>IF(ISERROR(MATCH(I31,Brun!I:I,0)),"Missing","")</f>
        <v>Missing</v>
      </c>
      <c r="I31" t="str">
        <f t="shared" si="0"/>
        <v>SOA0275408J75RB341UQ68</v>
      </c>
      <c r="J31" t="s">
        <v>952</v>
      </c>
    </row>
    <row r="32" spans="1:10">
      <c r="A32" s="1" t="s">
        <v>890</v>
      </c>
      <c r="B32" s="1" t="s">
        <v>895</v>
      </c>
      <c r="C32" s="1" t="s">
        <v>896</v>
      </c>
      <c r="D32" s="1" t="s">
        <v>897</v>
      </c>
      <c r="E32" s="2">
        <v>3</v>
      </c>
      <c r="F32" s="1" t="s">
        <v>894</v>
      </c>
      <c r="G32" s="3">
        <v>44935</v>
      </c>
      <c r="H32" t="str">
        <f>IF(ISERROR(MATCH(I32,Brun!I:I,0)),"Missing","")</f>
        <v>Missing</v>
      </c>
      <c r="I32" t="str">
        <f t="shared" si="0"/>
        <v>SOA0275408QUBDIGHWYPPK4</v>
      </c>
      <c r="J32" t="s">
        <v>952</v>
      </c>
    </row>
    <row r="33" spans="1:10">
      <c r="A33" s="1" t="s">
        <v>890</v>
      </c>
      <c r="B33" s="1" t="s">
        <v>818</v>
      </c>
      <c r="C33" s="1" t="s">
        <v>819</v>
      </c>
      <c r="D33" s="1" t="s">
        <v>820</v>
      </c>
      <c r="E33" s="2">
        <v>4</v>
      </c>
      <c r="F33" s="1" t="s">
        <v>894</v>
      </c>
      <c r="G33" s="3">
        <v>44935</v>
      </c>
      <c r="H33" t="str">
        <f>IF(ISERROR(MATCH(I33,Brun!I:I,0)),"Missing","")</f>
        <v>Missing</v>
      </c>
      <c r="I33" t="str">
        <f t="shared" si="0"/>
        <v>SOA0275408QUBUVWGSPPK4</v>
      </c>
      <c r="J33" t="s">
        <v>952</v>
      </c>
    </row>
    <row r="34" spans="1:10">
      <c r="A34" s="1" t="s">
        <v>900</v>
      </c>
      <c r="B34" s="1" t="s">
        <v>445</v>
      </c>
      <c r="C34" s="1" t="s">
        <v>857</v>
      </c>
      <c r="D34" s="1" t="s">
        <v>868</v>
      </c>
      <c r="E34" s="2">
        <v>20</v>
      </c>
      <c r="F34" s="1" t="s">
        <v>901</v>
      </c>
      <c r="G34" s="3">
        <v>44935</v>
      </c>
      <c r="H34" t="str">
        <f>IF(ISERROR(MATCH(I34,Brun!I:I,0)),"Missing","")</f>
        <v>Missing</v>
      </c>
      <c r="I34" t="str">
        <f t="shared" si="0"/>
        <v>SOA0275422NG63HA0014PTYBF0</v>
      </c>
      <c r="J34" t="s">
        <v>952</v>
      </c>
    </row>
    <row r="35" spans="1:10">
      <c r="A35" s="1" t="s">
        <v>900</v>
      </c>
      <c r="B35" s="1" t="s">
        <v>435</v>
      </c>
      <c r="C35" s="1" t="s">
        <v>860</v>
      </c>
      <c r="D35" s="1" t="s">
        <v>870</v>
      </c>
      <c r="E35" s="2">
        <v>20</v>
      </c>
      <c r="F35" s="1" t="s">
        <v>901</v>
      </c>
      <c r="G35" s="3">
        <v>44935</v>
      </c>
      <c r="H35" t="str">
        <f>IF(ISERROR(MATCH(I35,Brun!I:I,0)),"Missing","")</f>
        <v>Missing</v>
      </c>
      <c r="I35" t="str">
        <f t="shared" si="0"/>
        <v>SOA0275422NG63HA0013PTYBF0</v>
      </c>
      <c r="J35" t="s">
        <v>952</v>
      </c>
    </row>
    <row r="36" spans="1:10">
      <c r="A36" s="1" t="s">
        <v>900</v>
      </c>
      <c r="B36" s="1" t="s">
        <v>437</v>
      </c>
      <c r="C36" s="1" t="s">
        <v>902</v>
      </c>
      <c r="D36" s="1" t="s">
        <v>903</v>
      </c>
      <c r="E36" s="2">
        <v>20</v>
      </c>
      <c r="F36" s="1" t="s">
        <v>901</v>
      </c>
      <c r="G36" s="3">
        <v>44935</v>
      </c>
      <c r="H36" t="str">
        <f>IF(ISERROR(MATCH(I36,Brun!I:I,0)),"Missing","")</f>
        <v>Missing</v>
      </c>
      <c r="I36" t="str">
        <f t="shared" si="0"/>
        <v>SOA0275422NG63HA0067PTYBF0</v>
      </c>
      <c r="J36" t="s">
        <v>952</v>
      </c>
    </row>
    <row r="37" spans="1:10">
      <c r="A37" s="1" t="s">
        <v>900</v>
      </c>
      <c r="B37" s="1" t="s">
        <v>446</v>
      </c>
      <c r="C37" s="1" t="s">
        <v>871</v>
      </c>
      <c r="D37" s="1" t="s">
        <v>872</v>
      </c>
      <c r="E37" s="2">
        <v>20</v>
      </c>
      <c r="F37" s="1" t="s">
        <v>901</v>
      </c>
      <c r="G37" s="3">
        <v>44935</v>
      </c>
      <c r="H37" t="str">
        <f>IF(ISERROR(MATCH(I37,Brun!I:I,0)),"Missing","")</f>
        <v>Missing</v>
      </c>
      <c r="I37" t="str">
        <f t="shared" si="0"/>
        <v>SOA0275422NG63HA0016PTYBF0</v>
      </c>
      <c r="J37" t="s">
        <v>952</v>
      </c>
    </row>
    <row r="38" spans="1:10">
      <c r="A38" s="1" t="s">
        <v>900</v>
      </c>
      <c r="B38" s="1" t="s">
        <v>436</v>
      </c>
      <c r="C38" s="1" t="s">
        <v>873</v>
      </c>
      <c r="D38" s="1" t="s">
        <v>874</v>
      </c>
      <c r="E38" s="2">
        <v>20</v>
      </c>
      <c r="F38" s="1" t="s">
        <v>901</v>
      </c>
      <c r="G38" s="3">
        <v>44935</v>
      </c>
      <c r="H38" t="str">
        <f>IF(ISERROR(MATCH(I38,Brun!I:I,0)),"Missing","")</f>
        <v>Missing</v>
      </c>
      <c r="I38" t="str">
        <f t="shared" si="0"/>
        <v>SOA0275422NG63HA0015PTYBF0</v>
      </c>
      <c r="J38" t="s">
        <v>952</v>
      </c>
    </row>
    <row r="39" spans="1:10">
      <c r="A39" s="1" t="s">
        <v>904</v>
      </c>
      <c r="B39" s="1" t="s">
        <v>794</v>
      </c>
      <c r="C39" s="1" t="s">
        <v>712</v>
      </c>
      <c r="D39" s="1" t="s">
        <v>905</v>
      </c>
      <c r="E39" s="2">
        <v>10</v>
      </c>
      <c r="F39" s="1" t="s">
        <v>906</v>
      </c>
      <c r="G39" s="3">
        <v>44935</v>
      </c>
      <c r="H39" t="str">
        <f>IF(ISERROR(MATCH(I39,Brun!I:I,0)),"Missing","")</f>
        <v>Missing</v>
      </c>
      <c r="I39" t="str">
        <f t="shared" si="0"/>
        <v>SOA0275559NG79HA0135SBVYM0</v>
      </c>
      <c r="J39" t="s">
        <v>952</v>
      </c>
    </row>
    <row r="40" spans="1:10">
      <c r="A40" s="1" t="s">
        <v>907</v>
      </c>
      <c r="B40" s="1" t="s">
        <v>908</v>
      </c>
      <c r="C40" s="1" t="s">
        <v>909</v>
      </c>
      <c r="D40" s="1" t="s">
        <v>910</v>
      </c>
      <c r="E40" s="2">
        <v>2</v>
      </c>
      <c r="F40" s="1" t="s">
        <v>911</v>
      </c>
      <c r="G40" s="3">
        <v>44942</v>
      </c>
      <c r="H40" t="str">
        <f>IF(ISERROR(MATCH(I40,Brun!I:I,0)),"Missing","")</f>
        <v>Missing</v>
      </c>
      <c r="I40" t="str">
        <f t="shared" si="0"/>
        <v>SOA0275351J76IQU22NQ38</v>
      </c>
      <c r="J40" t="s">
        <v>952</v>
      </c>
    </row>
    <row r="41" spans="1:10">
      <c r="A41" s="1" t="s">
        <v>907</v>
      </c>
      <c r="B41" s="1" t="s">
        <v>912</v>
      </c>
      <c r="C41" s="1" t="s">
        <v>913</v>
      </c>
      <c r="D41" s="1" t="s">
        <v>914</v>
      </c>
      <c r="E41" s="2">
        <v>2</v>
      </c>
      <c r="F41" s="1" t="s">
        <v>911</v>
      </c>
      <c r="G41" s="3">
        <v>44942</v>
      </c>
      <c r="H41" t="str">
        <f>IF(ISERROR(MATCH(I41,Brun!I:I,0)),"Missing","")</f>
        <v>Missing</v>
      </c>
      <c r="I41" t="str">
        <f t="shared" si="0"/>
        <v>SOA0275351J76IQU23NQ39</v>
      </c>
      <c r="J41" t="s">
        <v>952</v>
      </c>
    </row>
    <row r="42" spans="1:10">
      <c r="A42" s="1" t="s">
        <v>915</v>
      </c>
      <c r="B42" s="1" t="s">
        <v>721</v>
      </c>
      <c r="C42" s="1" t="s">
        <v>663</v>
      </c>
      <c r="D42" s="1" t="s">
        <v>916</v>
      </c>
      <c r="E42" s="2">
        <v>60</v>
      </c>
      <c r="F42" s="1" t="s">
        <v>917</v>
      </c>
      <c r="G42" s="3">
        <v>44942</v>
      </c>
      <c r="H42" t="str">
        <f>IF(ISERROR(MATCH(I42,Brun!I:I,0)),"Missing","")</f>
        <v>Missing</v>
      </c>
      <c r="I42" t="str">
        <f t="shared" si="0"/>
        <v>SOA0275423NG62HA0012BPVYM0</v>
      </c>
      <c r="J42" t="s">
        <v>952</v>
      </c>
    </row>
    <row r="43" spans="1:10">
      <c r="A43" s="1" t="s">
        <v>915</v>
      </c>
      <c r="B43" s="1" t="s">
        <v>732</v>
      </c>
      <c r="C43" s="1" t="s">
        <v>673</v>
      </c>
      <c r="D43" s="1" t="s">
        <v>821</v>
      </c>
      <c r="E43" s="2">
        <v>20</v>
      </c>
      <c r="F43" s="1" t="s">
        <v>917</v>
      </c>
      <c r="G43" s="3">
        <v>44942</v>
      </c>
      <c r="H43" t="str">
        <f>IF(ISERROR(MATCH(I43,Brun!I:I,0)),"Missing","")</f>
        <v>Missing</v>
      </c>
      <c r="I43" t="str">
        <f t="shared" si="0"/>
        <v>SOA0275423NG62HA0231BPVYM0</v>
      </c>
      <c r="J43" t="s">
        <v>952</v>
      </c>
    </row>
    <row r="44" spans="1:10">
      <c r="A44" s="1" t="s">
        <v>915</v>
      </c>
      <c r="B44" s="1" t="s">
        <v>727</v>
      </c>
      <c r="C44" s="1" t="s">
        <v>669</v>
      </c>
      <c r="D44" s="1" t="s">
        <v>862</v>
      </c>
      <c r="E44" s="2">
        <v>20</v>
      </c>
      <c r="F44" s="1" t="s">
        <v>917</v>
      </c>
      <c r="G44" s="3">
        <v>44942</v>
      </c>
      <c r="H44" t="str">
        <f>IF(ISERROR(MATCH(I44,Brun!I:I,0)),"Missing","")</f>
        <v>Missing</v>
      </c>
      <c r="I44" t="str">
        <f t="shared" si="0"/>
        <v>SOA0275423NG62HA0122BPVYM0</v>
      </c>
      <c r="J44" t="s">
        <v>952</v>
      </c>
    </row>
    <row r="45" spans="1:10">
      <c r="A45" s="1" t="s">
        <v>915</v>
      </c>
      <c r="B45" s="1" t="s">
        <v>716</v>
      </c>
      <c r="C45" s="1" t="s">
        <v>863</v>
      </c>
      <c r="D45" s="1" t="s">
        <v>864</v>
      </c>
      <c r="E45" s="2">
        <v>100</v>
      </c>
      <c r="F45" s="1" t="s">
        <v>917</v>
      </c>
      <c r="G45" s="3">
        <v>44942</v>
      </c>
      <c r="H45" t="str">
        <f>IF(ISERROR(MATCH(I45,Brun!I:I,0)),"Missing","")</f>
        <v>Missing</v>
      </c>
      <c r="I45" t="str">
        <f t="shared" si="0"/>
        <v>SOA0275423NG62HA0010BPVYM0</v>
      </c>
      <c r="J45" t="s">
        <v>952</v>
      </c>
    </row>
    <row r="46" spans="1:10">
      <c r="A46" s="1" t="s">
        <v>918</v>
      </c>
      <c r="B46" s="1" t="s">
        <v>443</v>
      </c>
      <c r="C46" s="1" t="s">
        <v>844</v>
      </c>
      <c r="D46" s="1" t="s">
        <v>845</v>
      </c>
      <c r="E46" s="2">
        <v>40</v>
      </c>
      <c r="F46" s="1" t="s">
        <v>919</v>
      </c>
      <c r="G46" s="3">
        <v>44942</v>
      </c>
      <c r="H46" t="str">
        <f>IF(ISERROR(MATCH(I46,Brun!I:I,0)),"Missing","")</f>
        <v>Missing</v>
      </c>
      <c r="I46" t="str">
        <f t="shared" si="0"/>
        <v>SOA0275424NG62HA0014PTYBF0</v>
      </c>
      <c r="J46" t="s">
        <v>952</v>
      </c>
    </row>
    <row r="47" spans="1:10">
      <c r="A47" s="1" t="s">
        <v>918</v>
      </c>
      <c r="B47" s="1" t="s">
        <v>430</v>
      </c>
      <c r="C47" s="1" t="s">
        <v>847</v>
      </c>
      <c r="D47" s="1" t="s">
        <v>848</v>
      </c>
      <c r="E47" s="2">
        <v>40</v>
      </c>
      <c r="F47" s="1" t="s">
        <v>919</v>
      </c>
      <c r="G47" s="3">
        <v>44942</v>
      </c>
      <c r="H47" t="str">
        <f>IF(ISERROR(MATCH(I47,Brun!I:I,0)),"Missing","")</f>
        <v>Missing</v>
      </c>
      <c r="I47" t="str">
        <f t="shared" si="0"/>
        <v>SOA0275424NG62HA0013PTYBF0</v>
      </c>
      <c r="J47" t="s">
        <v>952</v>
      </c>
    </row>
    <row r="48" spans="1:10">
      <c r="A48" s="1" t="s">
        <v>918</v>
      </c>
      <c r="B48" s="1" t="s">
        <v>434</v>
      </c>
      <c r="C48" s="1" t="s">
        <v>822</v>
      </c>
      <c r="D48" s="1" t="s">
        <v>823</v>
      </c>
      <c r="E48" s="2">
        <v>20</v>
      </c>
      <c r="F48" s="1" t="s">
        <v>919</v>
      </c>
      <c r="G48" s="3">
        <v>44942</v>
      </c>
      <c r="H48" t="str">
        <f>IF(ISERROR(MATCH(I48,Brun!I:I,0)),"Missing","")</f>
        <v>Missing</v>
      </c>
      <c r="I48" t="str">
        <f t="shared" si="0"/>
        <v>SOA0275424NG62HA0067PTYBF0</v>
      </c>
      <c r="J48" t="s">
        <v>952</v>
      </c>
    </row>
    <row r="49" spans="1:10">
      <c r="A49" s="1" t="s">
        <v>918</v>
      </c>
      <c r="B49" s="1" t="s">
        <v>444</v>
      </c>
      <c r="C49" s="1" t="s">
        <v>920</v>
      </c>
      <c r="D49" s="1" t="s">
        <v>921</v>
      </c>
      <c r="E49" s="2">
        <v>20</v>
      </c>
      <c r="F49" s="1" t="s">
        <v>919</v>
      </c>
      <c r="G49" s="3">
        <v>44942</v>
      </c>
      <c r="H49" t="str">
        <f>IF(ISERROR(MATCH(I49,Brun!I:I,0)),"Missing","")</f>
        <v>Missing</v>
      </c>
      <c r="I49" t="str">
        <f t="shared" si="0"/>
        <v>SOA0275424NG62HA0016PTYBF0</v>
      </c>
      <c r="J49" t="s">
        <v>952</v>
      </c>
    </row>
    <row r="50" spans="1:10">
      <c r="A50" s="1" t="s">
        <v>918</v>
      </c>
      <c r="B50" s="1" t="s">
        <v>433</v>
      </c>
      <c r="C50" s="1" t="s">
        <v>824</v>
      </c>
      <c r="D50" s="1" t="s">
        <v>825</v>
      </c>
      <c r="E50" s="2">
        <v>20</v>
      </c>
      <c r="F50" s="1" t="s">
        <v>919</v>
      </c>
      <c r="G50" s="3">
        <v>44942</v>
      </c>
      <c r="H50" t="str">
        <f>IF(ISERROR(MATCH(I50,Brun!I:I,0)),"Missing","")</f>
        <v>Missing</v>
      </c>
      <c r="I50" t="str">
        <f t="shared" si="0"/>
        <v>SOA0275424NG62HA0015PTYBF0</v>
      </c>
      <c r="J50" t="s">
        <v>952</v>
      </c>
    </row>
    <row r="51" spans="1:10">
      <c r="A51" s="1" t="s">
        <v>8684</v>
      </c>
      <c r="B51" s="1" t="s">
        <v>727</v>
      </c>
      <c r="C51" s="1" t="s">
        <v>669</v>
      </c>
      <c r="D51" s="1" t="s">
        <v>862</v>
      </c>
      <c r="E51" s="2">
        <v>20</v>
      </c>
      <c r="F51" s="1" t="s">
        <v>8685</v>
      </c>
      <c r="G51" s="3">
        <v>44942</v>
      </c>
      <c r="H51" t="str">
        <f>IF(ISERROR(MATCH(I51,Brun!I:I,0)),"Missing","")</f>
        <v>Missing</v>
      </c>
      <c r="I51" t="str">
        <f t="shared" si="0"/>
        <v>SOA0275611NG62HA0122BPVYM0</v>
      </c>
      <c r="J51" t="s">
        <v>952</v>
      </c>
    </row>
    <row r="52" spans="1:10">
      <c r="A52" s="1" t="s">
        <v>8684</v>
      </c>
      <c r="B52" s="1" t="s">
        <v>716</v>
      </c>
      <c r="C52" s="1" t="s">
        <v>863</v>
      </c>
      <c r="D52" s="1" t="s">
        <v>864</v>
      </c>
      <c r="E52" s="2">
        <v>40</v>
      </c>
      <c r="F52" s="1" t="s">
        <v>8685</v>
      </c>
      <c r="G52" s="3">
        <v>44942</v>
      </c>
      <c r="H52" t="str">
        <f>IF(ISERROR(MATCH(I52,Brun!I:I,0)),"Missing","")</f>
        <v>Missing</v>
      </c>
      <c r="I52" t="str">
        <f t="shared" si="0"/>
        <v>SOA0275611NG62HA0010BPVYM0</v>
      </c>
      <c r="J52" t="s">
        <v>952</v>
      </c>
    </row>
    <row r="53" spans="1:10">
      <c r="A53" s="1" t="s">
        <v>922</v>
      </c>
      <c r="B53" s="1" t="s">
        <v>838</v>
      </c>
      <c r="C53" s="1" t="s">
        <v>839</v>
      </c>
      <c r="D53" s="1" t="s">
        <v>840</v>
      </c>
      <c r="E53" s="2">
        <v>14</v>
      </c>
      <c r="F53" s="1" t="s">
        <v>923</v>
      </c>
      <c r="G53" s="3">
        <v>44949</v>
      </c>
      <c r="H53" t="str">
        <f>IF(ISERROR(MATCH(I53,Brun!I:I,0)),"Missing","")</f>
        <v>Missing</v>
      </c>
      <c r="I53" t="str">
        <f t="shared" si="0"/>
        <v>SOA0275528J75IQU82NPFU</v>
      </c>
      <c r="J53" t="s">
        <v>952</v>
      </c>
    </row>
    <row r="54" spans="1:10">
      <c r="A54" s="1" t="s">
        <v>922</v>
      </c>
      <c r="B54" s="1" t="s">
        <v>924</v>
      </c>
      <c r="C54" s="1" t="s">
        <v>925</v>
      </c>
      <c r="D54" s="1" t="s">
        <v>926</v>
      </c>
      <c r="E54" s="2">
        <v>4</v>
      </c>
      <c r="F54" s="1" t="s">
        <v>923</v>
      </c>
      <c r="G54" s="3">
        <v>44949</v>
      </c>
      <c r="H54" t="str">
        <f>IF(ISERROR(MATCH(I54,Brun!I:I,0)),"Missing","")</f>
        <v>Missing</v>
      </c>
      <c r="I54" t="str">
        <f t="shared" si="0"/>
        <v>SOA0275528QUBBLACKPK11</v>
      </c>
      <c r="J54" t="s">
        <v>952</v>
      </c>
    </row>
    <row r="55" spans="1:10">
      <c r="A55" s="1" t="s">
        <v>922</v>
      </c>
      <c r="B55" s="1" t="s">
        <v>927</v>
      </c>
      <c r="C55" s="1" t="s">
        <v>928</v>
      </c>
      <c r="D55" s="1" t="s">
        <v>929</v>
      </c>
      <c r="E55" s="2">
        <v>1</v>
      </c>
      <c r="F55" s="1" t="s">
        <v>923</v>
      </c>
      <c r="G55" s="3">
        <v>44949</v>
      </c>
      <c r="H55" t="str">
        <f>IF(ISERROR(MATCH(I55,Brun!I:I,0)),"Missing","")</f>
        <v>Missing</v>
      </c>
      <c r="I55" t="str">
        <f t="shared" si="0"/>
        <v>SOA0275528QUBBLACKPK12</v>
      </c>
      <c r="J55" t="s">
        <v>952</v>
      </c>
    </row>
    <row r="56" spans="1:10">
      <c r="A56" s="1" t="s">
        <v>922</v>
      </c>
      <c r="B56" s="1" t="s">
        <v>930</v>
      </c>
      <c r="C56" s="1" t="s">
        <v>931</v>
      </c>
      <c r="D56" s="1" t="s">
        <v>932</v>
      </c>
      <c r="E56" s="2">
        <v>1</v>
      </c>
      <c r="F56" s="1" t="s">
        <v>923</v>
      </c>
      <c r="G56" s="3">
        <v>44949</v>
      </c>
      <c r="H56" t="str">
        <f>IF(ISERROR(MATCH(I56,Brun!I:I,0)),"Missing","")</f>
        <v>Missing</v>
      </c>
      <c r="I56" t="str">
        <f t="shared" si="0"/>
        <v>SOA0275528QUBBLACKPK13</v>
      </c>
      <c r="J56" t="s">
        <v>952</v>
      </c>
    </row>
    <row r="57" spans="1:10">
      <c r="A57" s="1" t="s">
        <v>933</v>
      </c>
      <c r="B57" s="1" t="s">
        <v>434</v>
      </c>
      <c r="C57" s="1" t="s">
        <v>822</v>
      </c>
      <c r="D57" s="1" t="s">
        <v>823</v>
      </c>
      <c r="E57" s="2">
        <v>20</v>
      </c>
      <c r="F57" s="1" t="s">
        <v>934</v>
      </c>
      <c r="G57" s="3">
        <v>44949</v>
      </c>
      <c r="H57" t="str">
        <f>IF(ISERROR(MATCH(I57,Brun!I:I,0)),"Missing","")</f>
        <v>Missing</v>
      </c>
      <c r="I57" t="str">
        <f t="shared" si="0"/>
        <v>SOA0275545NG62HA0067PTYBF0</v>
      </c>
      <c r="J57" t="s">
        <v>952</v>
      </c>
    </row>
    <row r="58" spans="1:10">
      <c r="A58" s="1" t="s">
        <v>933</v>
      </c>
      <c r="B58" s="1" t="s">
        <v>721</v>
      </c>
      <c r="C58" s="1" t="s">
        <v>663</v>
      </c>
      <c r="D58" s="1" t="s">
        <v>916</v>
      </c>
      <c r="E58" s="2">
        <v>20</v>
      </c>
      <c r="F58" s="1" t="s">
        <v>934</v>
      </c>
      <c r="G58" s="3">
        <v>44949</v>
      </c>
      <c r="H58" t="str">
        <f>IF(ISERROR(MATCH(I58,Brun!I:I,0)),"Missing","")</f>
        <v>Missing</v>
      </c>
      <c r="I58" t="str">
        <f t="shared" si="0"/>
        <v>SOA0275545NG62HA0012BPVYM0</v>
      </c>
      <c r="J58" t="s">
        <v>952</v>
      </c>
    </row>
    <row r="59" spans="1:10">
      <c r="A59" s="1" t="s">
        <v>933</v>
      </c>
      <c r="B59" s="1" t="s">
        <v>732</v>
      </c>
      <c r="C59" s="1" t="s">
        <v>673</v>
      </c>
      <c r="D59" s="1" t="s">
        <v>821</v>
      </c>
      <c r="E59" s="2">
        <v>40</v>
      </c>
      <c r="F59" s="1" t="s">
        <v>934</v>
      </c>
      <c r="G59" s="3">
        <v>44949</v>
      </c>
      <c r="H59" t="str">
        <f>IF(ISERROR(MATCH(I59,Brun!I:I,0)),"Missing","")</f>
        <v>Missing</v>
      </c>
      <c r="I59" t="str">
        <f t="shared" si="0"/>
        <v>SOA0275545NG62HA0231BPVYM0</v>
      </c>
      <c r="J59" t="s">
        <v>952</v>
      </c>
    </row>
    <row r="60" spans="1:10">
      <c r="A60" s="1" t="s">
        <v>933</v>
      </c>
      <c r="B60" s="1" t="s">
        <v>727</v>
      </c>
      <c r="C60" s="1" t="s">
        <v>669</v>
      </c>
      <c r="D60" s="1" t="s">
        <v>862</v>
      </c>
      <c r="E60" s="2">
        <v>40</v>
      </c>
      <c r="F60" s="1" t="s">
        <v>934</v>
      </c>
      <c r="G60" s="3">
        <v>44949</v>
      </c>
      <c r="H60" t="str">
        <f>IF(ISERROR(MATCH(I60,Brun!I:I,0)),"Missing","")</f>
        <v>Missing</v>
      </c>
      <c r="I60" t="str">
        <f t="shared" si="0"/>
        <v>SOA0275545NG62HA0122BPVYM0</v>
      </c>
      <c r="J60" t="s">
        <v>952</v>
      </c>
    </row>
    <row r="61" spans="1:10">
      <c r="A61" s="1" t="s">
        <v>933</v>
      </c>
      <c r="B61" s="1" t="s">
        <v>716</v>
      </c>
      <c r="C61" s="1" t="s">
        <v>863</v>
      </c>
      <c r="D61" s="1" t="s">
        <v>864</v>
      </c>
      <c r="E61" s="2">
        <v>100</v>
      </c>
      <c r="F61" s="1" t="s">
        <v>934</v>
      </c>
      <c r="G61" s="3">
        <v>44949</v>
      </c>
      <c r="H61" t="str">
        <f>IF(ISERROR(MATCH(I61,Brun!I:I,0)),"Missing","")</f>
        <v>Missing</v>
      </c>
      <c r="I61" t="str">
        <f t="shared" si="0"/>
        <v>SOA0275545NG62HA0010BPVYM0</v>
      </c>
      <c r="J61" t="s">
        <v>952</v>
      </c>
    </row>
    <row r="62" spans="1:10">
      <c r="A62" s="1" t="s">
        <v>935</v>
      </c>
      <c r="B62" s="1" t="s">
        <v>445</v>
      </c>
      <c r="C62" s="1" t="s">
        <v>857</v>
      </c>
      <c r="D62" s="1" t="s">
        <v>868</v>
      </c>
      <c r="E62" s="2">
        <v>20</v>
      </c>
      <c r="F62" s="1" t="s">
        <v>936</v>
      </c>
      <c r="G62" s="3">
        <v>44949</v>
      </c>
      <c r="H62" t="str">
        <f>IF(ISERROR(MATCH(I62,Brun!I:I,0)),"Missing","")</f>
        <v>Missing</v>
      </c>
      <c r="I62" t="str">
        <f t="shared" si="0"/>
        <v>SOA0275562NG63HA0014PTYBF0</v>
      </c>
      <c r="J62" t="s">
        <v>952</v>
      </c>
    </row>
    <row r="63" spans="1:10">
      <c r="A63" s="1" t="s">
        <v>935</v>
      </c>
      <c r="B63" s="1" t="s">
        <v>435</v>
      </c>
      <c r="C63" s="1" t="s">
        <v>860</v>
      </c>
      <c r="D63" s="1" t="s">
        <v>870</v>
      </c>
      <c r="E63" s="2">
        <v>20</v>
      </c>
      <c r="F63" s="1" t="s">
        <v>936</v>
      </c>
      <c r="G63" s="3">
        <v>44949</v>
      </c>
      <c r="H63" t="str">
        <f>IF(ISERROR(MATCH(I63,Brun!I:I,0)),"Missing","")</f>
        <v>Missing</v>
      </c>
      <c r="I63" t="str">
        <f t="shared" si="0"/>
        <v>SOA0275562NG63HA0013PTYBF0</v>
      </c>
      <c r="J63" t="s">
        <v>952</v>
      </c>
    </row>
    <row r="64" spans="1:10">
      <c r="A64" s="1" t="s">
        <v>937</v>
      </c>
      <c r="B64" s="1" t="s">
        <v>938</v>
      </c>
      <c r="C64" s="1" t="s">
        <v>939</v>
      </c>
      <c r="D64" s="1" t="s">
        <v>940</v>
      </c>
      <c r="E64" s="2">
        <v>20</v>
      </c>
      <c r="F64" s="1" t="s">
        <v>941</v>
      </c>
      <c r="G64" s="3">
        <v>44949</v>
      </c>
      <c r="H64" t="str">
        <f>IF(ISERROR(MATCH(I64,Brun!I:I,0)),"Missing","")</f>
        <v>Missing</v>
      </c>
      <c r="I64" t="str">
        <f t="shared" si="0"/>
        <v>SOA0275563NJ07HA0009BP4200</v>
      </c>
      <c r="J64" t="s">
        <v>952</v>
      </c>
    </row>
    <row r="65" spans="1:10">
      <c r="A65" s="1" t="s">
        <v>942</v>
      </c>
      <c r="B65" s="1" t="s">
        <v>943</v>
      </c>
      <c r="C65" s="1" t="s">
        <v>944</v>
      </c>
      <c r="D65" s="1" t="s">
        <v>945</v>
      </c>
      <c r="E65" s="2">
        <v>3</v>
      </c>
      <c r="F65" s="1" t="s">
        <v>946</v>
      </c>
      <c r="G65" s="3">
        <v>44956</v>
      </c>
      <c r="H65" t="str">
        <f>IF(ISERROR(MATCH(I65,Brun!I:I,0)),"Missing","")</f>
        <v>Missing</v>
      </c>
      <c r="I65" t="str">
        <f t="shared" si="0"/>
        <v>SOA0275455J75IQU48NPFU</v>
      </c>
      <c r="J65" t="s">
        <v>952</v>
      </c>
    </row>
    <row r="66" spans="1:10">
      <c r="A66" s="1" t="s">
        <v>942</v>
      </c>
      <c r="B66" s="1" t="s">
        <v>947</v>
      </c>
      <c r="C66" s="1" t="s">
        <v>948</v>
      </c>
      <c r="D66" s="1" t="s">
        <v>949</v>
      </c>
      <c r="E66" s="2">
        <v>1</v>
      </c>
      <c r="F66" s="1" t="s">
        <v>946</v>
      </c>
      <c r="G66" s="3">
        <v>44956</v>
      </c>
      <c r="H66" t="str">
        <f>IF(ISERROR(MATCH(I66,Brun!I:I,0)),"Missing","")</f>
        <v>Missing</v>
      </c>
      <c r="I66" t="str">
        <f t="shared" si="0"/>
        <v>SOA0275455QUBWW971PPK8</v>
      </c>
      <c r="J66" t="s">
        <v>952</v>
      </c>
    </row>
    <row r="67" spans="1:10">
      <c r="A67" s="1" t="s">
        <v>950</v>
      </c>
      <c r="B67" s="1" t="s">
        <v>443</v>
      </c>
      <c r="C67" s="1" t="s">
        <v>844</v>
      </c>
      <c r="D67" s="1" t="s">
        <v>845</v>
      </c>
      <c r="E67" s="2">
        <v>40</v>
      </c>
      <c r="F67" s="1" t="s">
        <v>951</v>
      </c>
      <c r="G67" s="3">
        <v>44956</v>
      </c>
      <c r="H67" t="str">
        <f>IF(ISERROR(MATCH(I67,Brun!I:I,0)),"Missing","")</f>
        <v>Missing</v>
      </c>
      <c r="I67" t="str">
        <f t="shared" si="0"/>
        <v>SOA0275565NG62HA0014PTYBF0</v>
      </c>
      <c r="J67" t="s">
        <v>952</v>
      </c>
    </row>
    <row r="68" spans="1:10">
      <c r="A68" s="1" t="s">
        <v>950</v>
      </c>
      <c r="B68" s="1" t="s">
        <v>430</v>
      </c>
      <c r="C68" s="1" t="s">
        <v>847</v>
      </c>
      <c r="D68" s="1" t="s">
        <v>848</v>
      </c>
      <c r="E68" s="2">
        <v>40</v>
      </c>
      <c r="F68" s="1" t="s">
        <v>951</v>
      </c>
      <c r="G68" s="3">
        <v>44956</v>
      </c>
      <c r="H68" t="str">
        <f>IF(ISERROR(MATCH(I68,Brun!I:I,0)),"Missing","")</f>
        <v>Missing</v>
      </c>
      <c r="I68" t="str">
        <f t="shared" ref="I68:I93" si="1">_xlfn.CONCAT(A68:B68)</f>
        <v>SOA0275565NG62HA0013PTYBF0</v>
      </c>
      <c r="J68" t="s">
        <v>952</v>
      </c>
    </row>
    <row r="69" spans="1:10">
      <c r="A69" s="1" t="s">
        <v>950</v>
      </c>
      <c r="B69" s="1" t="s">
        <v>434</v>
      </c>
      <c r="C69" s="1" t="s">
        <v>822</v>
      </c>
      <c r="D69" s="1" t="s">
        <v>823</v>
      </c>
      <c r="E69" s="2">
        <v>40</v>
      </c>
      <c r="F69" s="1" t="s">
        <v>951</v>
      </c>
      <c r="G69" s="3">
        <v>44956</v>
      </c>
      <c r="H69" t="str">
        <f>IF(ISERROR(MATCH(I69,Brun!I:I,0)),"Missing","")</f>
        <v>Missing</v>
      </c>
      <c r="I69" t="str">
        <f t="shared" si="1"/>
        <v>SOA0275565NG62HA0067PTYBF0</v>
      </c>
      <c r="J69" t="s">
        <v>952</v>
      </c>
    </row>
    <row r="70" spans="1:10">
      <c r="A70" s="1" t="s">
        <v>950</v>
      </c>
      <c r="B70" s="1" t="s">
        <v>444</v>
      </c>
      <c r="C70" s="1" t="s">
        <v>920</v>
      </c>
      <c r="D70" s="1" t="s">
        <v>921</v>
      </c>
      <c r="E70" s="2">
        <v>20</v>
      </c>
      <c r="F70" s="1" t="s">
        <v>951</v>
      </c>
      <c r="G70" s="3">
        <v>44956</v>
      </c>
      <c r="H70" t="str">
        <f>IF(ISERROR(MATCH(I70,Brun!I:I,0)),"Missing","")</f>
        <v>Missing</v>
      </c>
      <c r="I70" t="str">
        <f t="shared" si="1"/>
        <v>SOA0275565NG62HA0016PTYBF0</v>
      </c>
      <c r="J70" t="s">
        <v>952</v>
      </c>
    </row>
    <row r="71" spans="1:10">
      <c r="A71" s="1" t="s">
        <v>950</v>
      </c>
      <c r="B71" s="1" t="s">
        <v>433</v>
      </c>
      <c r="C71" s="1" t="s">
        <v>824</v>
      </c>
      <c r="D71" s="1" t="s">
        <v>825</v>
      </c>
      <c r="E71" s="2">
        <v>20</v>
      </c>
      <c r="F71" s="1" t="s">
        <v>951</v>
      </c>
      <c r="G71" s="3">
        <v>44956</v>
      </c>
      <c r="H71" t="str">
        <f>IF(ISERROR(MATCH(I71,Brun!I:I,0)),"Missing","")</f>
        <v>Missing</v>
      </c>
      <c r="I71" t="str">
        <f t="shared" si="1"/>
        <v>SOA0275565NG62HA0015PTYBF0</v>
      </c>
      <c r="J71" t="s">
        <v>952</v>
      </c>
    </row>
    <row r="72" spans="1:10">
      <c r="A72" s="1" t="s">
        <v>950</v>
      </c>
      <c r="B72" s="1" t="s">
        <v>721</v>
      </c>
      <c r="C72" s="1" t="s">
        <v>663</v>
      </c>
      <c r="D72" s="1" t="s">
        <v>916</v>
      </c>
      <c r="E72" s="2">
        <v>40</v>
      </c>
      <c r="F72" s="1" t="s">
        <v>951</v>
      </c>
      <c r="G72" s="3">
        <v>44956</v>
      </c>
      <c r="H72" t="str">
        <f>IF(ISERROR(MATCH(I72,Brun!I:I,0)),"Missing","")</f>
        <v>Missing</v>
      </c>
      <c r="I72" t="str">
        <f t="shared" si="1"/>
        <v>SOA0275565NG62HA0012BPVYM0</v>
      </c>
      <c r="J72" t="s">
        <v>952</v>
      </c>
    </row>
    <row r="73" spans="1:10">
      <c r="A73" s="1" t="s">
        <v>950</v>
      </c>
      <c r="B73" s="1" t="s">
        <v>732</v>
      </c>
      <c r="C73" s="1" t="s">
        <v>673</v>
      </c>
      <c r="D73" s="1" t="s">
        <v>821</v>
      </c>
      <c r="E73" s="2">
        <v>20</v>
      </c>
      <c r="F73" s="1" t="s">
        <v>951</v>
      </c>
      <c r="G73" s="3">
        <v>44956</v>
      </c>
      <c r="H73" t="str">
        <f>IF(ISERROR(MATCH(I73,Brun!I:I,0)),"Missing","")</f>
        <v>Missing</v>
      </c>
      <c r="I73" t="str">
        <f t="shared" si="1"/>
        <v>SOA0275565NG62HA0231BPVYM0</v>
      </c>
      <c r="J73" t="s">
        <v>952</v>
      </c>
    </row>
    <row r="74" spans="1:10">
      <c r="A74" s="1" t="s">
        <v>950</v>
      </c>
      <c r="B74" s="1" t="s">
        <v>727</v>
      </c>
      <c r="C74" s="1" t="s">
        <v>669</v>
      </c>
      <c r="D74" s="1" t="s">
        <v>862</v>
      </c>
      <c r="E74" s="2">
        <v>20</v>
      </c>
      <c r="F74" s="1" t="s">
        <v>951</v>
      </c>
      <c r="G74" s="3">
        <v>44956</v>
      </c>
      <c r="H74" t="str">
        <f>IF(ISERROR(MATCH(I74,Brun!I:I,0)),"Missing","")</f>
        <v>Missing</v>
      </c>
      <c r="I74" t="str">
        <f t="shared" si="1"/>
        <v>SOA0275565NG62HA0122BPVYM0</v>
      </c>
      <c r="J74" t="s">
        <v>952</v>
      </c>
    </row>
    <row r="75" spans="1:10">
      <c r="A75" s="1" t="s">
        <v>950</v>
      </c>
      <c r="B75" s="1" t="s">
        <v>716</v>
      </c>
      <c r="C75" s="1" t="s">
        <v>863</v>
      </c>
      <c r="D75" s="1" t="s">
        <v>864</v>
      </c>
      <c r="E75" s="2">
        <v>140</v>
      </c>
      <c r="F75" s="1" t="s">
        <v>951</v>
      </c>
      <c r="G75" s="3">
        <v>44956</v>
      </c>
      <c r="H75" t="str">
        <f>IF(ISERROR(MATCH(I75,Brun!I:I,0)),"Missing","")</f>
        <v>Missing</v>
      </c>
      <c r="I75" t="str">
        <f t="shared" si="1"/>
        <v>SOA0275565NG62HA0010BPVYM0</v>
      </c>
      <c r="J75" t="s">
        <v>952</v>
      </c>
    </row>
    <row r="76" spans="1:10">
      <c r="A76" s="1" t="s">
        <v>8686</v>
      </c>
      <c r="B76" s="1" t="s">
        <v>721</v>
      </c>
      <c r="C76" s="1" t="s">
        <v>663</v>
      </c>
      <c r="D76" s="1" t="s">
        <v>916</v>
      </c>
      <c r="E76" s="2">
        <v>60</v>
      </c>
      <c r="F76" s="1" t="s">
        <v>8687</v>
      </c>
      <c r="G76" s="3">
        <v>44963</v>
      </c>
      <c r="H76" t="str">
        <f>IF(ISERROR(MATCH(I76,Brun!I:I,0)),"Missing","")</f>
        <v>Missing</v>
      </c>
      <c r="I76" t="str">
        <f t="shared" si="1"/>
        <v>SOA0275612NG62HA0012BPVYM0</v>
      </c>
      <c r="J76" t="s">
        <v>952</v>
      </c>
    </row>
    <row r="77" spans="1:10">
      <c r="A77" s="1" t="s">
        <v>8686</v>
      </c>
      <c r="B77" s="1" t="s">
        <v>727</v>
      </c>
      <c r="C77" s="1" t="s">
        <v>669</v>
      </c>
      <c r="D77" s="1" t="s">
        <v>862</v>
      </c>
      <c r="E77" s="2">
        <v>20</v>
      </c>
      <c r="F77" s="1" t="s">
        <v>8687</v>
      </c>
      <c r="G77" s="3">
        <v>44963</v>
      </c>
      <c r="H77" t="str">
        <f>IF(ISERROR(MATCH(I77,Brun!I:I,0)),"Missing","")</f>
        <v>Missing</v>
      </c>
      <c r="I77" t="str">
        <f t="shared" si="1"/>
        <v>SOA0275612NG62HA0122BPVYM0</v>
      </c>
      <c r="J77" t="s">
        <v>952</v>
      </c>
    </row>
    <row r="78" spans="1:10">
      <c r="A78" s="1" t="s">
        <v>8686</v>
      </c>
      <c r="B78" s="1" t="s">
        <v>716</v>
      </c>
      <c r="C78" s="1" t="s">
        <v>863</v>
      </c>
      <c r="D78" s="1" t="s">
        <v>864</v>
      </c>
      <c r="E78" s="2">
        <v>160</v>
      </c>
      <c r="F78" s="1" t="s">
        <v>8687</v>
      </c>
      <c r="G78" s="3">
        <v>44963</v>
      </c>
      <c r="H78" t="str">
        <f>IF(ISERROR(MATCH(I78,Brun!I:I,0)),"Missing","")</f>
        <v>Missing</v>
      </c>
      <c r="I78" t="str">
        <f t="shared" si="1"/>
        <v>SOA0275612NG62HA0010BPVYM0</v>
      </c>
      <c r="J78" t="s">
        <v>952</v>
      </c>
    </row>
    <row r="79" spans="1:10">
      <c r="A79" s="1" t="s">
        <v>8688</v>
      </c>
      <c r="B79" s="1" t="s">
        <v>943</v>
      </c>
      <c r="C79" s="1" t="s">
        <v>944</v>
      </c>
      <c r="D79" s="1" t="s">
        <v>945</v>
      </c>
      <c r="E79" s="2">
        <v>12</v>
      </c>
      <c r="F79" s="1" t="s">
        <v>8689</v>
      </c>
      <c r="G79" s="3">
        <v>44963</v>
      </c>
      <c r="H79" t="str">
        <f>IF(ISERROR(MATCH(I79,Brun!I:I,0)),"Missing","")</f>
        <v>Missing</v>
      </c>
      <c r="I79" t="str">
        <f t="shared" si="1"/>
        <v>SOA0275623J75IQU48NPFU</v>
      </c>
      <c r="J79" t="s">
        <v>952</v>
      </c>
    </row>
    <row r="80" spans="1:10">
      <c r="A80" s="1" t="s">
        <v>8688</v>
      </c>
      <c r="B80" s="1" t="s">
        <v>5660</v>
      </c>
      <c r="C80" s="1" t="s">
        <v>5461</v>
      </c>
      <c r="D80" s="1" t="s">
        <v>8690</v>
      </c>
      <c r="E80" s="2">
        <v>4</v>
      </c>
      <c r="F80" s="1" t="s">
        <v>8689</v>
      </c>
      <c r="G80" s="3">
        <v>44963</v>
      </c>
      <c r="H80" t="str">
        <f>IF(ISERROR(MATCH(I80,Brun!I:I,0)),"Missing","")</f>
        <v>Missing</v>
      </c>
      <c r="I80" t="str">
        <f t="shared" si="1"/>
        <v>SOA0275623QUBWW971PK11</v>
      </c>
      <c r="J80" t="s">
        <v>952</v>
      </c>
    </row>
    <row r="81" spans="1:10">
      <c r="A81" s="1" t="s">
        <v>8691</v>
      </c>
      <c r="B81" s="1" t="s">
        <v>8692</v>
      </c>
      <c r="C81" s="1" t="s">
        <v>8693</v>
      </c>
      <c r="D81" s="1" t="s">
        <v>8694</v>
      </c>
      <c r="E81" s="2">
        <v>11</v>
      </c>
      <c r="F81" s="1" t="s">
        <v>8695</v>
      </c>
      <c r="G81" s="3">
        <v>44963</v>
      </c>
      <c r="H81" t="str">
        <f>IF(ISERROR(MATCH(I81,Brun!I:I,0)),"Missing","")</f>
        <v>Missing</v>
      </c>
      <c r="I81" t="str">
        <f t="shared" si="1"/>
        <v>SOA0275652QUBDPWALSBPK1</v>
      </c>
      <c r="J81" t="s">
        <v>952</v>
      </c>
    </row>
    <row r="82" spans="1:10">
      <c r="A82" s="1" t="s">
        <v>8696</v>
      </c>
      <c r="B82" s="1" t="s">
        <v>8692</v>
      </c>
      <c r="C82" s="1" t="s">
        <v>8693</v>
      </c>
      <c r="D82" s="1" t="s">
        <v>8694</v>
      </c>
      <c r="E82" s="2">
        <v>2</v>
      </c>
      <c r="F82" s="1" t="s">
        <v>8697</v>
      </c>
      <c r="G82" s="3">
        <v>44963</v>
      </c>
      <c r="H82" t="str">
        <f>IF(ISERROR(MATCH(I82,Brun!I:I,0)),"Missing","")</f>
        <v>Missing</v>
      </c>
      <c r="I82" t="str">
        <f t="shared" si="1"/>
        <v>SOA0275653QUBDPWALSBPK1</v>
      </c>
      <c r="J82" t="s">
        <v>952</v>
      </c>
    </row>
    <row r="83" spans="1:10">
      <c r="A83" s="1" t="s">
        <v>8698</v>
      </c>
      <c r="B83" s="1" t="s">
        <v>943</v>
      </c>
      <c r="C83" s="1" t="s">
        <v>944</v>
      </c>
      <c r="D83" s="1" t="s">
        <v>945</v>
      </c>
      <c r="E83" s="2">
        <v>3</v>
      </c>
      <c r="F83" s="1" t="s">
        <v>8699</v>
      </c>
      <c r="G83" s="3">
        <v>44963</v>
      </c>
      <c r="H83" t="str">
        <f>IF(ISERROR(MATCH(I83,Brun!I:I,0)),"Missing","")</f>
        <v>Missing</v>
      </c>
      <c r="I83" t="str">
        <f t="shared" si="1"/>
        <v>SOA0275681J75IQU48NPFU</v>
      </c>
      <c r="J83" t="s">
        <v>952</v>
      </c>
    </row>
    <row r="84" spans="1:10">
      <c r="A84" s="1" t="s">
        <v>8698</v>
      </c>
      <c r="B84" s="1" t="s">
        <v>5660</v>
      </c>
      <c r="C84" s="1" t="s">
        <v>5461</v>
      </c>
      <c r="D84" s="1" t="s">
        <v>8690</v>
      </c>
      <c r="E84" s="2">
        <v>2</v>
      </c>
      <c r="F84" s="1" t="s">
        <v>8699</v>
      </c>
      <c r="G84" s="3">
        <v>44963</v>
      </c>
      <c r="H84" t="str">
        <f>IF(ISERROR(MATCH(I84,Brun!I:I,0)),"Missing","")</f>
        <v>Missing</v>
      </c>
      <c r="I84" t="str">
        <f t="shared" si="1"/>
        <v>SOA0275681QUBWW971PK11</v>
      </c>
      <c r="J84" t="s">
        <v>952</v>
      </c>
    </row>
    <row r="85" spans="1:10">
      <c r="A85" s="1" t="s">
        <v>8700</v>
      </c>
      <c r="B85" s="1" t="s">
        <v>732</v>
      </c>
      <c r="C85" s="1" t="s">
        <v>673</v>
      </c>
      <c r="D85" s="1" t="s">
        <v>821</v>
      </c>
      <c r="E85" s="2">
        <v>60</v>
      </c>
      <c r="F85" s="1" t="s">
        <v>8701</v>
      </c>
      <c r="G85" s="3">
        <v>44970</v>
      </c>
      <c r="H85" t="str">
        <f>IF(ISERROR(MATCH(I85,Brun!I:I,0)),"Missing","")</f>
        <v>Missing</v>
      </c>
      <c r="I85" t="str">
        <f t="shared" si="1"/>
        <v>SOA0275637NG62HA0231BPVYM0</v>
      </c>
      <c r="J85" t="s">
        <v>952</v>
      </c>
    </row>
    <row r="86" spans="1:10">
      <c r="A86" s="1" t="s">
        <v>8702</v>
      </c>
      <c r="B86" s="1" t="s">
        <v>443</v>
      </c>
      <c r="C86" s="1" t="s">
        <v>844</v>
      </c>
      <c r="D86" s="1" t="s">
        <v>845</v>
      </c>
      <c r="E86" s="2">
        <v>40</v>
      </c>
      <c r="F86" s="1" t="s">
        <v>8703</v>
      </c>
      <c r="G86" s="3">
        <v>44970</v>
      </c>
      <c r="H86" t="str">
        <f>IF(ISERROR(MATCH(I86,Brun!I:I,0)),"Missing","")</f>
        <v>Missing</v>
      </c>
      <c r="I86" t="str">
        <f t="shared" si="1"/>
        <v>SOA0275654NG62HA0014PTYBF0</v>
      </c>
      <c r="J86" t="s">
        <v>952</v>
      </c>
    </row>
    <row r="87" spans="1:10">
      <c r="A87" s="1" t="s">
        <v>8702</v>
      </c>
      <c r="B87" s="1" t="s">
        <v>430</v>
      </c>
      <c r="C87" s="1" t="s">
        <v>847</v>
      </c>
      <c r="D87" s="1" t="s">
        <v>848</v>
      </c>
      <c r="E87" s="2">
        <v>40</v>
      </c>
      <c r="F87" s="1" t="s">
        <v>8703</v>
      </c>
      <c r="G87" s="3">
        <v>44970</v>
      </c>
      <c r="H87" t="str">
        <f>IF(ISERROR(MATCH(I87,Brun!I:I,0)),"Missing","")</f>
        <v>Missing</v>
      </c>
      <c r="I87" t="str">
        <f t="shared" si="1"/>
        <v>SOA0275654NG62HA0013PTYBF0</v>
      </c>
      <c r="J87" t="s">
        <v>952</v>
      </c>
    </row>
    <row r="88" spans="1:10">
      <c r="A88" s="1" t="s">
        <v>8702</v>
      </c>
      <c r="B88" s="1" t="s">
        <v>434</v>
      </c>
      <c r="C88" s="1" t="s">
        <v>822</v>
      </c>
      <c r="D88" s="1" t="s">
        <v>823</v>
      </c>
      <c r="E88" s="2">
        <v>20</v>
      </c>
      <c r="F88" s="1" t="s">
        <v>8703</v>
      </c>
      <c r="G88" s="3">
        <v>44970</v>
      </c>
      <c r="H88" t="str">
        <f>IF(ISERROR(MATCH(I88,Brun!I:I,0)),"Missing","")</f>
        <v>Missing</v>
      </c>
      <c r="I88" t="str">
        <f t="shared" si="1"/>
        <v>SOA0275654NG62HA0067PTYBF0</v>
      </c>
      <c r="J88" t="s">
        <v>952</v>
      </c>
    </row>
    <row r="89" spans="1:10">
      <c r="A89" s="1" t="s">
        <v>8702</v>
      </c>
      <c r="B89" s="1" t="s">
        <v>444</v>
      </c>
      <c r="C89" s="1" t="s">
        <v>920</v>
      </c>
      <c r="D89" s="1" t="s">
        <v>921</v>
      </c>
      <c r="E89" s="2">
        <v>20</v>
      </c>
      <c r="F89" s="1" t="s">
        <v>8703</v>
      </c>
      <c r="G89" s="3">
        <v>44970</v>
      </c>
      <c r="H89" t="str">
        <f>IF(ISERROR(MATCH(I89,Brun!I:I,0)),"Missing","")</f>
        <v>Missing</v>
      </c>
      <c r="I89" t="str">
        <f t="shared" si="1"/>
        <v>SOA0275654NG62HA0016PTYBF0</v>
      </c>
      <c r="J89" t="s">
        <v>952</v>
      </c>
    </row>
    <row r="90" spans="1:10">
      <c r="A90" s="1" t="s">
        <v>8702</v>
      </c>
      <c r="B90" s="1" t="s">
        <v>433</v>
      </c>
      <c r="C90" s="1" t="s">
        <v>824</v>
      </c>
      <c r="D90" s="1" t="s">
        <v>825</v>
      </c>
      <c r="E90" s="2">
        <v>20</v>
      </c>
      <c r="F90" s="1" t="s">
        <v>8703</v>
      </c>
      <c r="G90" s="3">
        <v>44970</v>
      </c>
      <c r="H90" t="str">
        <f>IF(ISERROR(MATCH(I90,Brun!I:I,0)),"Missing","")</f>
        <v>Missing</v>
      </c>
      <c r="I90" t="str">
        <f t="shared" si="1"/>
        <v>SOA0275654NG62HA0015PTYBF0</v>
      </c>
      <c r="J90" t="s">
        <v>952</v>
      </c>
    </row>
    <row r="91" spans="1:10">
      <c r="A91" s="1" t="s">
        <v>8702</v>
      </c>
      <c r="B91" s="1" t="s">
        <v>721</v>
      </c>
      <c r="C91" s="1" t="s">
        <v>663</v>
      </c>
      <c r="D91" s="1" t="s">
        <v>916</v>
      </c>
      <c r="E91" s="2">
        <v>40</v>
      </c>
      <c r="F91" s="1" t="s">
        <v>8703</v>
      </c>
      <c r="G91" s="3">
        <v>44970</v>
      </c>
      <c r="H91" t="str">
        <f>IF(ISERROR(MATCH(I91,Brun!I:I,0)),"Missing","")</f>
        <v>Missing</v>
      </c>
      <c r="I91" t="str">
        <f t="shared" si="1"/>
        <v>SOA0275654NG62HA0012BPVYM0</v>
      </c>
      <c r="J91" t="s">
        <v>952</v>
      </c>
    </row>
    <row r="92" spans="1:10">
      <c r="A92" s="1" t="s">
        <v>8702</v>
      </c>
      <c r="B92" s="1" t="s">
        <v>727</v>
      </c>
      <c r="C92" s="1" t="s">
        <v>669</v>
      </c>
      <c r="D92" s="1" t="s">
        <v>862</v>
      </c>
      <c r="E92" s="2">
        <v>40</v>
      </c>
      <c r="F92" s="1" t="s">
        <v>8703</v>
      </c>
      <c r="G92" s="3">
        <v>44970</v>
      </c>
      <c r="H92" t="str">
        <f>IF(ISERROR(MATCH(I92,Brun!I:I,0)),"Missing","")</f>
        <v>Missing</v>
      </c>
      <c r="I92" t="str">
        <f t="shared" si="1"/>
        <v>SOA0275654NG62HA0122BPVYM0</v>
      </c>
      <c r="J92" t="s">
        <v>952</v>
      </c>
    </row>
    <row r="93" spans="1:10">
      <c r="A93" s="1" t="s">
        <v>8702</v>
      </c>
      <c r="B93" s="1" t="s">
        <v>716</v>
      </c>
      <c r="C93" s="1" t="s">
        <v>863</v>
      </c>
      <c r="D93" s="1" t="s">
        <v>864</v>
      </c>
      <c r="E93" s="2">
        <v>100</v>
      </c>
      <c r="F93" s="1" t="s">
        <v>8703</v>
      </c>
      <c r="G93" s="3">
        <v>44970</v>
      </c>
      <c r="H93" t="str">
        <f>IF(ISERROR(MATCH(I93,Brun!I:I,0)),"Missing","")</f>
        <v>Missing</v>
      </c>
      <c r="I93" t="str">
        <f t="shared" si="1"/>
        <v>SOA0275654NG62HA0010BPVYM0</v>
      </c>
      <c r="J93" t="s">
        <v>952</v>
      </c>
    </row>
    <row r="94" spans="1:10">
      <c r="A94" s="1" t="s">
        <v>8704</v>
      </c>
      <c r="B94" s="1" t="s">
        <v>434</v>
      </c>
      <c r="C94" s="1" t="s">
        <v>822</v>
      </c>
      <c r="D94" s="1" t="s">
        <v>823</v>
      </c>
      <c r="E94" s="2">
        <v>20</v>
      </c>
      <c r="F94" s="1" t="s">
        <v>8705</v>
      </c>
      <c r="G94" s="3">
        <v>44978</v>
      </c>
      <c r="H94" t="str">
        <f>IF(ISERROR(MATCH(I94,Brun!I:I,0)),"Missing","")</f>
        <v>Missing</v>
      </c>
      <c r="I94" t="str">
        <f t="shared" ref="I94:I100" si="2">_xlfn.CONCAT(A94:B94)</f>
        <v>SOA0275655NG62HA0067PTYBF0</v>
      </c>
      <c r="J94" t="s">
        <v>952</v>
      </c>
    </row>
    <row r="95" spans="1:10">
      <c r="A95" s="1" t="s">
        <v>8704</v>
      </c>
      <c r="B95" s="1" t="s">
        <v>716</v>
      </c>
      <c r="C95" s="1" t="s">
        <v>863</v>
      </c>
      <c r="D95" s="1" t="s">
        <v>864</v>
      </c>
      <c r="E95" s="2">
        <v>100</v>
      </c>
      <c r="F95" s="1" t="s">
        <v>8705</v>
      </c>
      <c r="G95" s="3">
        <v>44978</v>
      </c>
      <c r="H95" t="str">
        <f>IF(ISERROR(MATCH(I95,Brun!I:I,0)),"Missing","")</f>
        <v>Missing</v>
      </c>
      <c r="I95" t="str">
        <f t="shared" si="2"/>
        <v>SOA0275655NG62HA0010BPVYM0</v>
      </c>
      <c r="J95" t="s">
        <v>952</v>
      </c>
    </row>
    <row r="96" spans="1:10">
      <c r="A96" s="1" t="s">
        <v>8706</v>
      </c>
      <c r="B96" s="1" t="s">
        <v>785</v>
      </c>
      <c r="C96" s="1" t="s">
        <v>690</v>
      </c>
      <c r="D96" s="1" t="s">
        <v>8707</v>
      </c>
      <c r="E96" s="2">
        <v>30</v>
      </c>
      <c r="F96" s="1" t="s">
        <v>8708</v>
      </c>
      <c r="G96" s="3">
        <v>44978</v>
      </c>
      <c r="H96" t="str">
        <f>IF(ISERROR(MATCH(I96,Brun!I:I,0)),"Missing","")</f>
        <v>Missing</v>
      </c>
      <c r="I96" t="str">
        <f t="shared" si="2"/>
        <v>SOA0275664NG79HA0034SBVYM0</v>
      </c>
      <c r="J96" t="s">
        <v>952</v>
      </c>
    </row>
    <row r="97" spans="1:10">
      <c r="A97" s="1" t="s">
        <v>8709</v>
      </c>
      <c r="B97" s="1" t="s">
        <v>827</v>
      </c>
      <c r="C97" s="1" t="s">
        <v>828</v>
      </c>
      <c r="D97" s="1" t="s">
        <v>829</v>
      </c>
      <c r="E97" s="2">
        <v>3</v>
      </c>
      <c r="F97" s="1" t="s">
        <v>8710</v>
      </c>
      <c r="G97" s="3">
        <v>44978</v>
      </c>
      <c r="H97" t="str">
        <f>IF(ISERROR(MATCH(I97,Brun!I:I,0)),"Missing","")</f>
        <v>Missing</v>
      </c>
      <c r="I97" t="str">
        <f t="shared" si="2"/>
        <v>SOA0275665J75IQU56NPFU</v>
      </c>
      <c r="J97" t="s">
        <v>952</v>
      </c>
    </row>
    <row r="98" spans="1:10">
      <c r="A98" s="1" t="s">
        <v>8709</v>
      </c>
      <c r="B98" s="1" t="s">
        <v>8711</v>
      </c>
      <c r="C98" s="1" t="s">
        <v>8712</v>
      </c>
      <c r="D98" s="1" t="s">
        <v>8713</v>
      </c>
      <c r="E98" s="2">
        <v>6</v>
      </c>
      <c r="F98" s="1" t="s">
        <v>8710</v>
      </c>
      <c r="G98" s="3">
        <v>44978</v>
      </c>
      <c r="H98" t="str">
        <f>IF(ISERROR(MATCH(I98,Brun!I:I,0)),"Missing","")</f>
        <v>Missing</v>
      </c>
      <c r="I98" t="str">
        <f t="shared" si="2"/>
        <v>SOA0275665QUBPFA39PPK2</v>
      </c>
      <c r="J98" t="s">
        <v>952</v>
      </c>
    </row>
    <row r="99" spans="1:10">
      <c r="A99" s="1" t="s">
        <v>8714</v>
      </c>
      <c r="B99" s="1" t="s">
        <v>813</v>
      </c>
      <c r="C99" s="1" t="s">
        <v>814</v>
      </c>
      <c r="D99" s="1" t="s">
        <v>815</v>
      </c>
      <c r="E99" s="2">
        <v>3</v>
      </c>
      <c r="F99" s="1" t="s">
        <v>8715</v>
      </c>
      <c r="G99" s="3">
        <v>44978</v>
      </c>
      <c r="H99" t="str">
        <f>IF(ISERROR(MATCH(I99,Brun!I:I,0)),"Missing","")</f>
        <v>Missing</v>
      </c>
      <c r="I99" t="str">
        <f t="shared" si="2"/>
        <v>SOA0275682J75IQU64NPFU</v>
      </c>
      <c r="J99" t="s">
        <v>952</v>
      </c>
    </row>
    <row r="100" spans="1:10">
      <c r="A100" s="1" t="s">
        <v>8714</v>
      </c>
      <c r="B100" s="1" t="s">
        <v>4357</v>
      </c>
      <c r="C100" s="1" t="s">
        <v>4199</v>
      </c>
      <c r="D100" s="1" t="s">
        <v>8716</v>
      </c>
      <c r="E100" s="2">
        <v>2</v>
      </c>
      <c r="F100" s="1" t="s">
        <v>8715</v>
      </c>
      <c r="G100" s="3">
        <v>44978</v>
      </c>
      <c r="H100" t="str">
        <f>IF(ISERROR(MATCH(I100,Brun!I:I,0)),"Missing","")</f>
        <v>Missing</v>
      </c>
      <c r="I100" t="str">
        <f t="shared" si="2"/>
        <v>SOA0275682QUBWC013PPK3</v>
      </c>
      <c r="J100" t="s">
        <v>952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933F0-E867-4152-980D-3A3563E041E2}">
  <sheetPr codeName="Sheet17">
    <tabColor theme="8" tint="0.39997558519241921"/>
  </sheetPr>
  <dimension ref="A1:K500"/>
  <sheetViews>
    <sheetView workbookViewId="0"/>
  </sheetViews>
  <sheetFormatPr defaultColWidth="6.42578125" defaultRowHeight="12.75"/>
  <cols>
    <col min="1" max="1" width="7.42578125" customWidth="1"/>
    <col min="2" max="2" width="53.5703125" customWidth="1"/>
    <col min="3" max="3" width="37.85546875" customWidth="1"/>
    <col min="4" max="5" width="6.7109375" customWidth="1"/>
    <col min="6" max="6" width="9.7109375" customWidth="1"/>
  </cols>
  <sheetData>
    <row r="1" spans="1:11">
      <c r="A1" s="4"/>
      <c r="B1" s="26"/>
      <c r="C1" s="4"/>
      <c r="D1" s="4"/>
      <c r="E1" s="27"/>
      <c r="F1" s="27"/>
      <c r="G1" s="4"/>
      <c r="H1" s="4"/>
      <c r="I1" s="6"/>
      <c r="J1" s="4"/>
      <c r="K1" s="4"/>
    </row>
    <row r="2" spans="1:11">
      <c r="A2" s="4"/>
      <c r="B2" s="26"/>
      <c r="C2" s="4"/>
      <c r="D2" s="4"/>
      <c r="E2" s="27"/>
      <c r="F2" s="27"/>
      <c r="G2" s="4"/>
      <c r="H2" s="4"/>
      <c r="I2" s="6"/>
      <c r="J2" s="4"/>
      <c r="K2" s="4"/>
    </row>
    <row r="3" spans="1:11">
      <c r="A3" s="4"/>
      <c r="B3" s="26"/>
      <c r="C3" s="4"/>
      <c r="D3" s="4"/>
      <c r="E3" s="27"/>
      <c r="F3" s="27"/>
      <c r="G3" s="4"/>
      <c r="H3" s="4"/>
      <c r="I3" s="6"/>
      <c r="J3" s="4"/>
      <c r="K3" s="4"/>
    </row>
    <row r="4" spans="1:11">
      <c r="A4" s="4"/>
      <c r="B4" s="26"/>
      <c r="C4" s="4"/>
      <c r="D4" s="4"/>
      <c r="E4" s="27"/>
      <c r="F4" s="27"/>
      <c r="G4" s="4"/>
      <c r="H4" s="4"/>
      <c r="I4" s="6"/>
      <c r="J4" s="4"/>
      <c r="K4" s="4"/>
    </row>
    <row r="5" spans="1:11">
      <c r="A5" s="4"/>
      <c r="B5" s="26"/>
      <c r="C5" s="4"/>
      <c r="D5" s="4"/>
      <c r="E5" s="27"/>
      <c r="F5" s="27"/>
      <c r="G5" s="4"/>
      <c r="H5" s="4"/>
      <c r="I5" s="6"/>
      <c r="J5" s="4"/>
      <c r="K5" s="4"/>
    </row>
    <row r="6" spans="1:11">
      <c r="A6" s="4"/>
      <c r="B6" s="26"/>
      <c r="C6" s="4"/>
      <c r="D6" s="4"/>
      <c r="E6" s="27"/>
      <c r="F6" s="27"/>
      <c r="G6" s="4"/>
      <c r="H6" s="4"/>
      <c r="I6" s="6"/>
      <c r="J6" s="4"/>
      <c r="K6" s="4"/>
    </row>
    <row r="7" spans="1:11">
      <c r="A7" s="4"/>
      <c r="B7" s="26"/>
      <c r="C7" s="4"/>
      <c r="D7" s="4"/>
      <c r="E7" s="27"/>
      <c r="F7" s="27"/>
      <c r="G7" s="4"/>
      <c r="H7" s="4"/>
      <c r="I7" s="6"/>
      <c r="J7" s="4"/>
      <c r="K7" s="4"/>
    </row>
    <row r="8" spans="1:11">
      <c r="A8" s="4"/>
      <c r="B8" s="26"/>
      <c r="C8" s="4"/>
      <c r="D8" s="4"/>
      <c r="E8" s="27"/>
      <c r="F8" s="27"/>
      <c r="G8" s="4"/>
      <c r="H8" s="4"/>
      <c r="I8" s="6"/>
      <c r="J8" s="4"/>
      <c r="K8" s="4"/>
    </row>
    <row r="9" spans="1:11">
      <c r="A9" s="4"/>
      <c r="B9" s="26"/>
      <c r="C9" s="4"/>
      <c r="D9" s="4"/>
      <c r="E9" s="27"/>
      <c r="F9" s="27"/>
      <c r="G9" s="4"/>
      <c r="H9" s="4"/>
      <c r="I9" s="6"/>
      <c r="J9" s="4"/>
      <c r="K9" s="4"/>
    </row>
    <row r="10" spans="1:11">
      <c r="A10" s="4"/>
      <c r="B10" s="26"/>
      <c r="C10" s="4"/>
      <c r="D10" s="4"/>
      <c r="E10" s="27"/>
      <c r="F10" s="27"/>
      <c r="G10" s="4"/>
      <c r="H10" s="4"/>
      <c r="I10" s="6"/>
      <c r="J10" s="4"/>
      <c r="K10" s="4"/>
    </row>
    <row r="11" spans="1:11">
      <c r="A11" s="4"/>
      <c r="B11" s="26"/>
      <c r="C11" s="4"/>
      <c r="D11" s="4"/>
      <c r="E11" s="27"/>
      <c r="F11" s="27"/>
      <c r="G11" s="4"/>
      <c r="H11" s="4"/>
      <c r="I11" s="6"/>
      <c r="J11" s="4"/>
      <c r="K11" s="4"/>
    </row>
    <row r="12" spans="1:11">
      <c r="A12" s="4"/>
      <c r="B12" s="26"/>
      <c r="C12" s="4"/>
      <c r="D12" s="4"/>
      <c r="E12" s="27"/>
      <c r="F12" s="27"/>
      <c r="G12" s="4"/>
      <c r="H12" s="4"/>
      <c r="I12" s="6"/>
      <c r="J12" s="4"/>
      <c r="K12" s="4"/>
    </row>
    <row r="13" spans="1:11">
      <c r="A13" s="4"/>
      <c r="B13" s="26"/>
      <c r="C13" s="4"/>
      <c r="D13" s="4"/>
      <c r="E13" s="27"/>
      <c r="F13" s="27"/>
      <c r="G13" s="4"/>
      <c r="H13" s="4"/>
      <c r="I13" s="6"/>
      <c r="J13" s="4"/>
      <c r="K13" s="4"/>
    </row>
    <row r="14" spans="1:11">
      <c r="A14" s="4"/>
      <c r="B14" s="26"/>
      <c r="C14" s="4"/>
      <c r="D14" s="4"/>
      <c r="E14" s="27"/>
      <c r="F14" s="27"/>
      <c r="G14" s="4"/>
      <c r="H14" s="4"/>
      <c r="I14" s="6"/>
      <c r="J14" s="4"/>
      <c r="K14" s="4"/>
    </row>
    <row r="15" spans="1:11">
      <c r="A15" s="4"/>
      <c r="B15" s="26"/>
      <c r="C15" s="4"/>
      <c r="D15" s="4"/>
      <c r="E15" s="27"/>
      <c r="F15" s="27"/>
      <c r="G15" s="4"/>
      <c r="H15" s="4"/>
      <c r="I15" s="6"/>
      <c r="J15" s="4"/>
      <c r="K15" s="4"/>
    </row>
    <row r="16" spans="1:11">
      <c r="A16" s="4"/>
      <c r="B16" s="26"/>
      <c r="C16" s="4"/>
      <c r="D16" s="4"/>
      <c r="E16" s="27"/>
      <c r="F16" s="27"/>
      <c r="G16" s="4"/>
      <c r="H16" s="4"/>
      <c r="I16" s="6"/>
      <c r="J16" s="4"/>
      <c r="K16" s="4"/>
    </row>
    <row r="17" spans="1:11">
      <c r="A17" s="4"/>
      <c r="B17" s="26"/>
      <c r="C17" s="4"/>
      <c r="D17" s="4"/>
      <c r="E17" s="27"/>
      <c r="F17" s="27"/>
      <c r="G17" s="4"/>
      <c r="H17" s="4"/>
      <c r="I17" s="6"/>
      <c r="J17" s="4"/>
      <c r="K17" s="4"/>
    </row>
    <row r="18" spans="1:11">
      <c r="A18" s="4"/>
      <c r="B18" s="26"/>
      <c r="C18" s="4"/>
      <c r="D18" s="4"/>
      <c r="E18" s="27"/>
      <c r="F18" s="27"/>
      <c r="G18" s="4"/>
      <c r="H18" s="4"/>
      <c r="I18" s="6"/>
      <c r="J18" s="4"/>
      <c r="K18" s="4"/>
    </row>
    <row r="19" spans="1:11">
      <c r="A19" s="4"/>
      <c r="B19" s="26"/>
      <c r="C19" s="4"/>
      <c r="D19" s="4"/>
      <c r="E19" s="27"/>
      <c r="F19" s="27"/>
      <c r="G19" s="4"/>
      <c r="H19" s="4"/>
      <c r="I19" s="6"/>
      <c r="J19" s="4"/>
      <c r="K19" s="4"/>
    </row>
    <row r="20" spans="1:11">
      <c r="A20" s="4"/>
      <c r="B20" s="26"/>
      <c r="C20" s="4"/>
      <c r="D20" s="4"/>
      <c r="E20" s="27"/>
      <c r="F20" s="27"/>
      <c r="G20" s="4"/>
      <c r="H20" s="4"/>
      <c r="I20" s="6"/>
      <c r="J20" s="4"/>
      <c r="K20" s="4"/>
    </row>
    <row r="21" spans="1:11">
      <c r="A21" s="4"/>
      <c r="B21" s="26"/>
      <c r="C21" s="4"/>
      <c r="D21" s="4"/>
      <c r="E21" s="27"/>
      <c r="F21" s="27"/>
      <c r="G21" s="4"/>
      <c r="H21" s="4"/>
      <c r="I21" s="6"/>
      <c r="J21" s="4"/>
      <c r="K21" s="4"/>
    </row>
    <row r="22" spans="1:11">
      <c r="A22" s="4"/>
      <c r="B22" s="26"/>
      <c r="C22" s="4"/>
      <c r="D22" s="4"/>
      <c r="E22" s="27"/>
      <c r="F22" s="27"/>
      <c r="G22" s="4"/>
      <c r="H22" s="4"/>
      <c r="I22" s="6"/>
      <c r="J22" s="4"/>
      <c r="K22" s="4"/>
    </row>
    <row r="23" spans="1:11">
      <c r="A23" s="4"/>
      <c r="B23" s="26"/>
      <c r="C23" s="4"/>
      <c r="D23" s="4"/>
      <c r="E23" s="27"/>
      <c r="F23" s="27"/>
      <c r="G23" s="4"/>
      <c r="H23" s="4"/>
      <c r="I23" s="6"/>
      <c r="J23" s="4"/>
      <c r="K23" s="4"/>
    </row>
    <row r="24" spans="1:11">
      <c r="A24" s="4"/>
      <c r="B24" s="26"/>
      <c r="C24" s="4"/>
      <c r="D24" s="4"/>
      <c r="E24" s="27"/>
      <c r="F24" s="27"/>
      <c r="G24" s="4"/>
      <c r="H24" s="4"/>
      <c r="I24" s="6"/>
      <c r="J24" s="4"/>
      <c r="K24" s="4"/>
    </row>
    <row r="25" spans="1:11">
      <c r="A25" s="4"/>
      <c r="B25" s="26"/>
      <c r="C25" s="4"/>
      <c r="D25" s="4"/>
      <c r="E25" s="27"/>
      <c r="F25" s="27"/>
      <c r="G25" s="4"/>
      <c r="H25" s="4"/>
      <c r="I25" s="6"/>
      <c r="J25" s="4"/>
      <c r="K25" s="4"/>
    </row>
    <row r="26" spans="1:11">
      <c r="A26" s="4"/>
      <c r="B26" s="26"/>
      <c r="C26" s="4"/>
      <c r="D26" s="4"/>
      <c r="E26" s="27"/>
      <c r="F26" s="27"/>
      <c r="G26" s="4"/>
      <c r="H26" s="4"/>
      <c r="I26" s="6"/>
      <c r="J26" s="4"/>
      <c r="K26" s="4"/>
    </row>
    <row r="27" spans="1:11">
      <c r="A27" s="4"/>
      <c r="B27" s="26"/>
      <c r="C27" s="4"/>
      <c r="D27" s="4"/>
      <c r="E27" s="27"/>
      <c r="F27" s="27"/>
      <c r="G27" s="4"/>
      <c r="H27" s="4"/>
      <c r="I27" s="6"/>
      <c r="J27" s="4"/>
      <c r="K27" s="4"/>
    </row>
    <row r="28" spans="1:11">
      <c r="A28" s="4"/>
      <c r="B28" s="26"/>
      <c r="C28" s="4"/>
      <c r="D28" s="4"/>
      <c r="E28" s="27"/>
      <c r="F28" s="27"/>
      <c r="G28" s="4"/>
      <c r="H28" s="4"/>
      <c r="I28" s="6"/>
      <c r="J28" s="4"/>
      <c r="K28" s="4"/>
    </row>
    <row r="29" spans="1:11">
      <c r="A29" s="4"/>
      <c r="B29" s="26"/>
      <c r="C29" s="4"/>
      <c r="D29" s="4"/>
      <c r="E29" s="27"/>
      <c r="F29" s="27"/>
      <c r="G29" s="4"/>
      <c r="H29" s="4"/>
      <c r="I29" s="6"/>
      <c r="J29" s="4"/>
      <c r="K29" s="4"/>
    </row>
    <row r="30" spans="1:11">
      <c r="A30" s="4"/>
      <c r="B30" s="26"/>
      <c r="C30" s="4"/>
      <c r="D30" s="4"/>
      <c r="E30" s="27"/>
      <c r="F30" s="27"/>
      <c r="G30" s="4"/>
      <c r="H30" s="4"/>
      <c r="I30" s="6"/>
      <c r="J30" s="4"/>
      <c r="K30" s="4"/>
    </row>
    <row r="31" spans="1:11">
      <c r="A31" s="4"/>
      <c r="B31" s="26"/>
      <c r="C31" s="4"/>
      <c r="D31" s="4"/>
      <c r="E31" s="27"/>
      <c r="F31" s="27"/>
      <c r="G31" s="4"/>
      <c r="H31" s="4"/>
      <c r="I31" s="6"/>
      <c r="J31" s="4"/>
      <c r="K31" s="4"/>
    </row>
    <row r="32" spans="1:11">
      <c r="A32" s="4"/>
      <c r="B32" s="26"/>
      <c r="C32" s="4"/>
      <c r="D32" s="4"/>
      <c r="E32" s="27"/>
      <c r="F32" s="27"/>
      <c r="G32" s="4"/>
      <c r="H32" s="4"/>
      <c r="I32" s="6"/>
      <c r="J32" s="4"/>
      <c r="K32" s="4"/>
    </row>
    <row r="33" spans="1:6">
      <c r="A33" s="4"/>
      <c r="B33" s="5"/>
      <c r="C33" s="4"/>
      <c r="D33" s="4"/>
      <c r="E33" s="4"/>
      <c r="F33" s="6"/>
    </row>
    <row r="34" spans="1:6">
      <c r="A34" s="4"/>
      <c r="B34" s="5"/>
      <c r="C34" s="4"/>
      <c r="D34" s="4"/>
      <c r="E34" s="4"/>
      <c r="F34" s="6"/>
    </row>
    <row r="35" spans="1:6">
      <c r="A35" s="4"/>
      <c r="B35" s="5"/>
      <c r="C35" s="4"/>
      <c r="D35" s="4"/>
      <c r="E35" s="4"/>
      <c r="F35" s="6"/>
    </row>
    <row r="36" spans="1:6">
      <c r="A36" s="4"/>
      <c r="B36" s="5"/>
      <c r="C36" s="4"/>
      <c r="D36" s="4"/>
      <c r="E36" s="4"/>
      <c r="F36" s="6"/>
    </row>
    <row r="37" spans="1:6">
      <c r="A37" s="4"/>
      <c r="B37" s="5"/>
      <c r="C37" s="4"/>
      <c r="D37" s="4"/>
      <c r="E37" s="4"/>
      <c r="F37" s="6"/>
    </row>
    <row r="38" spans="1:6">
      <c r="A38" s="4"/>
      <c r="B38" s="5"/>
      <c r="C38" s="4"/>
      <c r="D38" s="4"/>
      <c r="E38" s="4"/>
      <c r="F38" s="6"/>
    </row>
    <row r="39" spans="1:6">
      <c r="A39" s="4"/>
      <c r="B39" s="5"/>
      <c r="C39" s="4"/>
      <c r="D39" s="4"/>
      <c r="E39" s="4"/>
      <c r="F39" s="6"/>
    </row>
    <row r="40" spans="1:6">
      <c r="A40" s="4"/>
      <c r="B40" s="5"/>
      <c r="C40" s="4"/>
      <c r="D40" s="4"/>
      <c r="E40" s="4"/>
      <c r="F40" s="6"/>
    </row>
    <row r="41" spans="1:6">
      <c r="A41" s="4"/>
      <c r="B41" s="5"/>
      <c r="C41" s="4"/>
      <c r="D41" s="4"/>
      <c r="E41" s="4"/>
      <c r="F41" s="6"/>
    </row>
    <row r="42" spans="1:6">
      <c r="A42" s="4"/>
      <c r="B42" s="5"/>
      <c r="C42" s="4"/>
      <c r="D42" s="4"/>
      <c r="E42" s="4"/>
      <c r="F42" s="6"/>
    </row>
    <row r="43" spans="1:6">
      <c r="A43" s="4"/>
      <c r="B43" s="5"/>
      <c r="C43" s="4"/>
      <c r="D43" s="4"/>
      <c r="E43" s="4"/>
      <c r="F43" s="6"/>
    </row>
    <row r="44" spans="1:6">
      <c r="A44" s="4"/>
      <c r="B44" s="5"/>
      <c r="C44" s="4"/>
      <c r="D44" s="4"/>
      <c r="E44" s="4"/>
      <c r="F44" s="6"/>
    </row>
    <row r="45" spans="1:6">
      <c r="A45" s="4"/>
      <c r="B45" s="5"/>
      <c r="C45" s="4"/>
      <c r="D45" s="4"/>
      <c r="E45" s="4"/>
      <c r="F45" s="6"/>
    </row>
    <row r="46" spans="1:6">
      <c r="A46" s="4"/>
      <c r="B46" s="5"/>
      <c r="C46" s="4"/>
      <c r="D46" s="4"/>
      <c r="E46" s="4"/>
      <c r="F46" s="6"/>
    </row>
    <row r="47" spans="1:6">
      <c r="A47" s="4"/>
      <c r="B47" s="5"/>
      <c r="C47" s="4"/>
      <c r="D47" s="4"/>
      <c r="E47" s="4"/>
      <c r="F47" s="6"/>
    </row>
    <row r="48" spans="1:6">
      <c r="A48" s="4"/>
      <c r="B48" s="5"/>
      <c r="C48" s="4"/>
      <c r="D48" s="4"/>
      <c r="E48" s="4"/>
      <c r="F48" s="6"/>
    </row>
    <row r="49" spans="1:6">
      <c r="A49" s="4"/>
      <c r="B49" s="5"/>
      <c r="C49" s="4"/>
      <c r="D49" s="4"/>
      <c r="E49" s="4"/>
      <c r="F49" s="6"/>
    </row>
    <row r="50" spans="1:6">
      <c r="A50" s="4"/>
      <c r="B50" s="5"/>
      <c r="C50" s="4"/>
      <c r="D50" s="4"/>
      <c r="E50" s="4"/>
      <c r="F50" s="6"/>
    </row>
    <row r="51" spans="1:6">
      <c r="A51" s="4"/>
      <c r="B51" s="5"/>
      <c r="C51" s="4"/>
      <c r="D51" s="4"/>
      <c r="E51" s="4"/>
      <c r="F51" s="6"/>
    </row>
    <row r="52" spans="1:6">
      <c r="A52" s="4"/>
      <c r="B52" s="5"/>
      <c r="C52" s="4"/>
      <c r="D52" s="4"/>
      <c r="E52" s="4"/>
      <c r="F52" s="6"/>
    </row>
    <row r="53" spans="1:6">
      <c r="A53" s="4"/>
      <c r="B53" s="5"/>
      <c r="C53" s="4"/>
      <c r="D53" s="4"/>
      <c r="E53" s="4"/>
      <c r="F53" s="6"/>
    </row>
    <row r="54" spans="1:6">
      <c r="A54" s="4"/>
      <c r="B54" s="5"/>
      <c r="C54" s="4"/>
      <c r="D54" s="4"/>
      <c r="E54" s="4"/>
      <c r="F54" s="6"/>
    </row>
    <row r="55" spans="1:6">
      <c r="A55" s="4"/>
      <c r="B55" s="5"/>
      <c r="C55" s="4"/>
      <c r="D55" s="4"/>
      <c r="E55" s="4"/>
      <c r="F55" s="6"/>
    </row>
    <row r="56" spans="1:6">
      <c r="A56" s="4"/>
      <c r="B56" s="5"/>
      <c r="C56" s="4"/>
      <c r="D56" s="4"/>
      <c r="E56" s="4"/>
      <c r="F56" s="6"/>
    </row>
    <row r="57" spans="1:6">
      <c r="A57" s="4"/>
      <c r="B57" s="5"/>
      <c r="C57" s="4"/>
      <c r="D57" s="4"/>
      <c r="E57" s="4"/>
      <c r="F57" s="6"/>
    </row>
    <row r="58" spans="1:6">
      <c r="A58" s="4"/>
      <c r="B58" s="5"/>
      <c r="C58" s="4"/>
      <c r="D58" s="4"/>
      <c r="E58" s="4"/>
      <c r="F58" s="6"/>
    </row>
    <row r="59" spans="1:6">
      <c r="A59" s="4"/>
      <c r="B59" s="5"/>
      <c r="C59" s="4"/>
      <c r="D59" s="4"/>
      <c r="E59" s="4"/>
      <c r="F59" s="6"/>
    </row>
    <row r="60" spans="1:6">
      <c r="A60" s="4"/>
      <c r="B60" s="5"/>
      <c r="C60" s="4"/>
      <c r="D60" s="4"/>
      <c r="E60" s="4"/>
      <c r="F60" s="6"/>
    </row>
    <row r="61" spans="1:6">
      <c r="A61" s="4"/>
      <c r="B61" s="5"/>
      <c r="C61" s="4"/>
      <c r="D61" s="4"/>
      <c r="E61" s="4"/>
      <c r="F61" s="6"/>
    </row>
    <row r="62" spans="1:6">
      <c r="A62" s="4"/>
      <c r="B62" s="5"/>
      <c r="C62" s="4"/>
      <c r="D62" s="4"/>
      <c r="E62" s="4"/>
      <c r="F62" s="6"/>
    </row>
    <row r="63" spans="1:6">
      <c r="A63" s="4"/>
      <c r="B63" s="5"/>
      <c r="C63" s="4"/>
      <c r="D63" s="4"/>
      <c r="E63" s="4"/>
      <c r="F63" s="6"/>
    </row>
    <row r="64" spans="1:6">
      <c r="A64" s="4"/>
      <c r="B64" s="5"/>
      <c r="C64" s="4"/>
      <c r="D64" s="4"/>
      <c r="E64" s="4"/>
      <c r="F64" s="6"/>
    </row>
    <row r="65" spans="1:6">
      <c r="A65" s="4"/>
      <c r="B65" s="5"/>
      <c r="C65" s="4"/>
      <c r="D65" s="4"/>
      <c r="E65" s="4"/>
      <c r="F65" s="6"/>
    </row>
    <row r="66" spans="1:6">
      <c r="A66" s="4"/>
      <c r="B66" s="5"/>
      <c r="C66" s="4"/>
      <c r="D66" s="4"/>
      <c r="E66" s="4"/>
      <c r="F66" s="6"/>
    </row>
    <row r="67" spans="1:6">
      <c r="A67" s="4"/>
      <c r="B67" s="5"/>
      <c r="C67" s="4"/>
      <c r="D67" s="4"/>
      <c r="E67" s="4"/>
      <c r="F67" s="6"/>
    </row>
    <row r="68" spans="1:6">
      <c r="A68" s="4"/>
      <c r="B68" s="5"/>
      <c r="C68" s="4"/>
      <c r="D68" s="4"/>
      <c r="E68" s="4"/>
      <c r="F68" s="6"/>
    </row>
    <row r="69" spans="1:6">
      <c r="A69" s="4"/>
      <c r="B69" s="5"/>
      <c r="C69" s="4"/>
      <c r="D69" s="4"/>
      <c r="E69" s="4"/>
      <c r="F69" s="6"/>
    </row>
    <row r="70" spans="1:6">
      <c r="A70" s="4"/>
      <c r="B70" s="5"/>
      <c r="C70" s="4"/>
      <c r="D70" s="4"/>
      <c r="E70" s="4"/>
      <c r="F70" s="6"/>
    </row>
    <row r="71" spans="1:6">
      <c r="A71" s="4"/>
      <c r="B71" s="5"/>
      <c r="C71" s="4"/>
      <c r="D71" s="4"/>
      <c r="E71" s="4"/>
      <c r="F71" s="6"/>
    </row>
    <row r="72" spans="1:6">
      <c r="A72" s="4"/>
      <c r="B72" s="5"/>
      <c r="C72" s="4"/>
      <c r="D72" s="4"/>
      <c r="E72" s="4"/>
      <c r="F72" s="6"/>
    </row>
    <row r="73" spans="1:6">
      <c r="A73" s="4"/>
      <c r="B73" s="5"/>
      <c r="C73" s="4"/>
      <c r="D73" s="4"/>
      <c r="E73" s="4"/>
      <c r="F73" s="6"/>
    </row>
    <row r="74" spans="1:6">
      <c r="A74" s="4"/>
      <c r="B74" s="5"/>
      <c r="C74" s="4"/>
      <c r="D74" s="4"/>
      <c r="E74" s="4"/>
      <c r="F74" s="6"/>
    </row>
    <row r="75" spans="1:6">
      <c r="A75" s="4"/>
      <c r="B75" s="5"/>
      <c r="C75" s="4"/>
      <c r="D75" s="4"/>
      <c r="E75" s="4"/>
      <c r="F75" s="6"/>
    </row>
    <row r="76" spans="1:6">
      <c r="A76" s="4"/>
      <c r="B76" s="5"/>
      <c r="C76" s="4"/>
      <c r="D76" s="4"/>
      <c r="E76" s="4"/>
      <c r="F76" s="6"/>
    </row>
    <row r="77" spans="1:6">
      <c r="A77" s="4"/>
      <c r="B77" s="5"/>
      <c r="C77" s="4"/>
      <c r="D77" s="4"/>
      <c r="E77" s="4"/>
      <c r="F77" s="6"/>
    </row>
    <row r="78" spans="1:6">
      <c r="A78" s="4"/>
      <c r="B78" s="5"/>
      <c r="C78" s="4"/>
      <c r="D78" s="4"/>
      <c r="E78" s="4"/>
      <c r="F78" s="6"/>
    </row>
    <row r="79" spans="1:6">
      <c r="A79" s="4"/>
      <c r="B79" s="5"/>
      <c r="C79" s="4"/>
      <c r="D79" s="4"/>
      <c r="E79" s="4"/>
      <c r="F79" s="6"/>
    </row>
    <row r="80" spans="1:6">
      <c r="A80" s="4"/>
      <c r="B80" s="5"/>
      <c r="C80" s="4"/>
      <c r="D80" s="4"/>
      <c r="E80" s="4"/>
      <c r="F80" s="6"/>
    </row>
    <row r="81" spans="1:6">
      <c r="A81" s="4"/>
      <c r="B81" s="5"/>
      <c r="C81" s="4"/>
      <c r="D81" s="4"/>
      <c r="E81" s="4"/>
      <c r="F81" s="6"/>
    </row>
    <row r="82" spans="1:6">
      <c r="A82" s="4"/>
      <c r="B82" s="5"/>
      <c r="C82" s="4"/>
      <c r="D82" s="4"/>
      <c r="E82" s="4"/>
      <c r="F82" s="6"/>
    </row>
    <row r="83" spans="1:6">
      <c r="A83" s="4"/>
      <c r="B83" s="5"/>
      <c r="C83" s="4"/>
      <c r="D83" s="4"/>
      <c r="E83" s="4"/>
      <c r="F83" s="6"/>
    </row>
    <row r="84" spans="1:6">
      <c r="A84" s="4"/>
      <c r="B84" s="5"/>
      <c r="C84" s="4"/>
      <c r="D84" s="4"/>
      <c r="E84" s="4"/>
      <c r="F84" s="6"/>
    </row>
    <row r="85" spans="1:6">
      <c r="A85" s="4"/>
      <c r="B85" s="5"/>
      <c r="C85" s="4"/>
      <c r="D85" s="4"/>
      <c r="E85" s="4"/>
      <c r="F85" s="6"/>
    </row>
    <row r="86" spans="1:6">
      <c r="A86" s="4"/>
      <c r="B86" s="5"/>
      <c r="C86" s="4"/>
      <c r="D86" s="4"/>
      <c r="E86" s="4"/>
      <c r="F86" s="6"/>
    </row>
    <row r="87" spans="1:6">
      <c r="A87" s="4"/>
      <c r="B87" s="5"/>
      <c r="C87" s="4"/>
      <c r="D87" s="4"/>
      <c r="E87" s="4"/>
      <c r="F87" s="6"/>
    </row>
    <row r="88" spans="1:6">
      <c r="A88" s="4"/>
      <c r="B88" s="5"/>
      <c r="C88" s="4"/>
      <c r="D88" s="4"/>
      <c r="E88" s="4"/>
      <c r="F88" s="6"/>
    </row>
    <row r="89" spans="1:6">
      <c r="A89" s="4"/>
      <c r="B89" s="5"/>
      <c r="C89" s="4"/>
      <c r="D89" s="4"/>
      <c r="E89" s="4"/>
      <c r="F89" s="6"/>
    </row>
    <row r="90" spans="1:6">
      <c r="A90" s="4"/>
      <c r="B90" s="5"/>
      <c r="C90" s="4"/>
      <c r="D90" s="4"/>
      <c r="E90" s="4"/>
      <c r="F90" s="6"/>
    </row>
    <row r="91" spans="1:6">
      <c r="A91" s="4"/>
      <c r="B91" s="5"/>
      <c r="C91" s="4"/>
      <c r="D91" s="4"/>
      <c r="E91" s="4"/>
      <c r="F91" s="6"/>
    </row>
    <row r="92" spans="1:6">
      <c r="A92" s="4"/>
      <c r="B92" s="5"/>
      <c r="C92" s="4"/>
      <c r="D92" s="4"/>
      <c r="E92" s="4"/>
      <c r="F92" s="6"/>
    </row>
    <row r="93" spans="1:6">
      <c r="A93" s="4"/>
      <c r="B93" s="5"/>
      <c r="C93" s="4"/>
      <c r="D93" s="4"/>
      <c r="E93" s="4"/>
      <c r="F93" s="6"/>
    </row>
    <row r="94" spans="1:6">
      <c r="A94" s="4"/>
      <c r="B94" s="5"/>
      <c r="C94" s="4"/>
      <c r="D94" s="4"/>
      <c r="E94" s="4"/>
      <c r="F94" s="6"/>
    </row>
    <row r="95" spans="1:6">
      <c r="A95" s="4"/>
      <c r="B95" s="5"/>
      <c r="C95" s="4"/>
      <c r="D95" s="4"/>
      <c r="E95" s="4"/>
      <c r="F95" s="6"/>
    </row>
    <row r="96" spans="1:6">
      <c r="A96" s="4"/>
      <c r="B96" s="5"/>
      <c r="C96" s="4"/>
      <c r="D96" s="4"/>
      <c r="E96" s="4"/>
      <c r="F96" s="6"/>
    </row>
    <row r="97" spans="1:6">
      <c r="A97" s="4"/>
      <c r="B97" s="5"/>
      <c r="C97" s="4"/>
      <c r="D97" s="4"/>
      <c r="E97" s="4"/>
      <c r="F97" s="6"/>
    </row>
    <row r="98" spans="1:6">
      <c r="A98" s="4"/>
      <c r="B98" s="5"/>
      <c r="C98" s="4"/>
      <c r="D98" s="4"/>
      <c r="E98" s="4"/>
      <c r="F98" s="6"/>
    </row>
    <row r="99" spans="1:6">
      <c r="A99" s="4"/>
      <c r="B99" s="5"/>
      <c r="C99" s="4"/>
      <c r="D99" s="4"/>
      <c r="E99" s="4"/>
      <c r="F99" s="6"/>
    </row>
    <row r="100" spans="1:6">
      <c r="A100" s="4"/>
      <c r="B100" s="5"/>
      <c r="C100" s="4"/>
      <c r="D100" s="4"/>
      <c r="E100" s="4"/>
      <c r="F100" s="6"/>
    </row>
    <row r="101" spans="1:6">
      <c r="A101" s="4"/>
      <c r="B101" s="5"/>
      <c r="C101" s="4"/>
      <c r="D101" s="4"/>
      <c r="E101" s="4"/>
      <c r="F101" s="6"/>
    </row>
    <row r="102" spans="1:6">
      <c r="A102" s="4"/>
      <c r="B102" s="5"/>
      <c r="C102" s="4"/>
      <c r="D102" s="4"/>
      <c r="E102" s="4"/>
      <c r="F102" s="6"/>
    </row>
    <row r="103" spans="1:6">
      <c r="A103" s="4"/>
      <c r="B103" s="5"/>
      <c r="C103" s="4"/>
      <c r="D103" s="4"/>
      <c r="E103" s="4"/>
      <c r="F103" s="6"/>
    </row>
    <row r="104" spans="1:6">
      <c r="A104" s="4"/>
      <c r="B104" s="5"/>
      <c r="C104" s="4"/>
      <c r="D104" s="4"/>
      <c r="E104" s="4"/>
      <c r="F104" s="6"/>
    </row>
    <row r="105" spans="1:6">
      <c r="A105" s="4"/>
      <c r="B105" s="5"/>
      <c r="C105" s="4"/>
      <c r="D105" s="4"/>
      <c r="E105" s="4"/>
      <c r="F105" s="6"/>
    </row>
    <row r="106" spans="1:6">
      <c r="A106" s="4"/>
      <c r="B106" s="5"/>
      <c r="C106" s="4"/>
      <c r="D106" s="4"/>
      <c r="E106" s="4"/>
      <c r="F106" s="6"/>
    </row>
    <row r="107" spans="1:6">
      <c r="A107" s="4"/>
      <c r="B107" s="5"/>
      <c r="C107" s="4"/>
      <c r="D107" s="4"/>
      <c r="E107" s="4"/>
      <c r="F107" s="6"/>
    </row>
    <row r="108" spans="1:6">
      <c r="A108" s="4"/>
      <c r="B108" s="5"/>
      <c r="C108" s="4"/>
      <c r="D108" s="4"/>
      <c r="E108" s="4"/>
      <c r="F108" s="6"/>
    </row>
    <row r="109" spans="1:6">
      <c r="A109" s="4"/>
      <c r="B109" s="5"/>
      <c r="C109" s="4"/>
      <c r="D109" s="4"/>
      <c r="E109" s="4"/>
      <c r="F109" s="6"/>
    </row>
    <row r="110" spans="1:6">
      <c r="A110" s="4"/>
      <c r="B110" s="5"/>
      <c r="C110" s="4"/>
      <c r="D110" s="4"/>
      <c r="E110" s="4"/>
      <c r="F110" s="6"/>
    </row>
    <row r="111" spans="1:6">
      <c r="A111" s="4"/>
      <c r="B111" s="5"/>
      <c r="C111" s="4"/>
      <c r="D111" s="4"/>
      <c r="E111" s="4"/>
      <c r="F111" s="6"/>
    </row>
    <row r="112" spans="1:6">
      <c r="A112" s="4"/>
      <c r="B112" s="5"/>
      <c r="C112" s="4"/>
      <c r="D112" s="4"/>
      <c r="E112" s="4"/>
      <c r="F112" s="6"/>
    </row>
    <row r="113" spans="1:6">
      <c r="A113" s="4"/>
      <c r="B113" s="5"/>
      <c r="C113" s="4"/>
      <c r="D113" s="4"/>
      <c r="E113" s="4"/>
      <c r="F113" s="6"/>
    </row>
    <row r="114" spans="1:6">
      <c r="A114" s="4"/>
      <c r="B114" s="5"/>
      <c r="C114" s="4"/>
      <c r="D114" s="4"/>
      <c r="E114" s="4"/>
      <c r="F114" s="6"/>
    </row>
    <row r="115" spans="1:6">
      <c r="A115" s="4"/>
      <c r="B115" s="5"/>
      <c r="C115" s="4"/>
      <c r="D115" s="4"/>
      <c r="E115" s="4"/>
      <c r="F115" s="6"/>
    </row>
    <row r="116" spans="1:6">
      <c r="A116" s="4"/>
      <c r="B116" s="5"/>
      <c r="C116" s="4"/>
      <c r="D116" s="4"/>
      <c r="E116" s="4"/>
      <c r="F116" s="6"/>
    </row>
    <row r="117" spans="1:6">
      <c r="A117" s="4"/>
      <c r="B117" s="5"/>
      <c r="C117" s="4"/>
      <c r="D117" s="4"/>
      <c r="E117" s="4"/>
      <c r="F117" s="6"/>
    </row>
    <row r="118" spans="1:6">
      <c r="A118" s="4"/>
      <c r="B118" s="5"/>
      <c r="C118" s="4"/>
      <c r="D118" s="4"/>
      <c r="E118" s="4"/>
      <c r="F118" s="6"/>
    </row>
    <row r="119" spans="1:6">
      <c r="A119" s="4"/>
      <c r="B119" s="5"/>
      <c r="C119" s="4"/>
      <c r="D119" s="4"/>
      <c r="E119" s="4"/>
      <c r="F119" s="6"/>
    </row>
    <row r="120" spans="1:6">
      <c r="A120" s="4"/>
      <c r="B120" s="5"/>
      <c r="C120" s="4"/>
      <c r="D120" s="4"/>
      <c r="E120" s="4"/>
      <c r="F120" s="6"/>
    </row>
    <row r="121" spans="1:6">
      <c r="A121" s="4"/>
      <c r="B121" s="5"/>
      <c r="C121" s="4"/>
      <c r="D121" s="4"/>
      <c r="E121" s="4"/>
      <c r="F121" s="6"/>
    </row>
    <row r="122" spans="1:6">
      <c r="A122" s="4"/>
      <c r="B122" s="5"/>
      <c r="C122" s="4"/>
      <c r="D122" s="4"/>
      <c r="E122" s="4"/>
      <c r="F122" s="6"/>
    </row>
    <row r="123" spans="1:6">
      <c r="A123" s="4"/>
      <c r="B123" s="5"/>
      <c r="C123" s="4"/>
      <c r="D123" s="4"/>
      <c r="E123" s="4"/>
      <c r="F123" s="6"/>
    </row>
    <row r="124" spans="1:6">
      <c r="A124" s="4"/>
      <c r="B124" s="5"/>
      <c r="C124" s="4"/>
      <c r="D124" s="4"/>
      <c r="E124" s="4"/>
      <c r="F124" s="6"/>
    </row>
    <row r="125" spans="1:6">
      <c r="A125" s="4"/>
      <c r="B125" s="5"/>
      <c r="C125" s="4"/>
      <c r="D125" s="4"/>
      <c r="E125" s="4"/>
      <c r="F125" s="6"/>
    </row>
    <row r="126" spans="1:6">
      <c r="A126" s="4"/>
      <c r="B126" s="5"/>
      <c r="C126" s="4"/>
      <c r="D126" s="4"/>
      <c r="E126" s="4"/>
      <c r="F126" s="6"/>
    </row>
    <row r="127" spans="1:6">
      <c r="A127" s="4"/>
      <c r="B127" s="5"/>
      <c r="C127" s="4"/>
      <c r="D127" s="4"/>
      <c r="E127" s="4"/>
      <c r="F127" s="6"/>
    </row>
    <row r="128" spans="1:6">
      <c r="A128" s="4"/>
      <c r="B128" s="5"/>
      <c r="C128" s="4"/>
      <c r="D128" s="4"/>
      <c r="E128" s="4"/>
      <c r="F128" s="6"/>
    </row>
    <row r="129" spans="1:6">
      <c r="A129" s="4"/>
      <c r="B129" s="5"/>
      <c r="C129" s="4"/>
      <c r="D129" s="4"/>
      <c r="E129" s="4"/>
      <c r="F129" s="6"/>
    </row>
    <row r="130" spans="1:6">
      <c r="A130" s="4"/>
      <c r="B130" s="5"/>
      <c r="C130" s="4"/>
      <c r="D130" s="4"/>
      <c r="E130" s="4"/>
      <c r="F130" s="6"/>
    </row>
    <row r="131" spans="1:6">
      <c r="A131" s="4"/>
      <c r="B131" s="5"/>
      <c r="C131" s="4"/>
      <c r="D131" s="4"/>
      <c r="E131" s="4"/>
      <c r="F131" s="6"/>
    </row>
    <row r="132" spans="1:6">
      <c r="A132" s="4"/>
      <c r="B132" s="5"/>
      <c r="C132" s="4"/>
      <c r="D132" s="4"/>
      <c r="E132" s="4"/>
      <c r="F132" s="6"/>
    </row>
    <row r="133" spans="1:6">
      <c r="A133" s="4"/>
      <c r="B133" s="5"/>
      <c r="C133" s="4"/>
      <c r="D133" s="4"/>
      <c r="E133" s="4"/>
      <c r="F133" s="6"/>
    </row>
    <row r="134" spans="1:6">
      <c r="A134" s="4"/>
      <c r="B134" s="5"/>
      <c r="C134" s="4"/>
      <c r="D134" s="4"/>
      <c r="E134" s="4"/>
      <c r="F134" s="6"/>
    </row>
    <row r="135" spans="1:6">
      <c r="A135" s="4"/>
      <c r="B135" s="5"/>
      <c r="C135" s="4"/>
      <c r="D135" s="4"/>
      <c r="E135" s="4"/>
      <c r="F135" s="6"/>
    </row>
    <row r="136" spans="1:6">
      <c r="A136" s="4"/>
      <c r="B136" s="5"/>
      <c r="C136" s="4"/>
      <c r="D136" s="4"/>
      <c r="E136" s="4"/>
      <c r="F136" s="6"/>
    </row>
    <row r="137" spans="1:6">
      <c r="A137" s="4"/>
      <c r="B137" s="5"/>
      <c r="C137" s="4"/>
      <c r="D137" s="4"/>
      <c r="E137" s="4"/>
      <c r="F137" s="6"/>
    </row>
    <row r="138" spans="1:6">
      <c r="A138" s="4"/>
      <c r="B138" s="5"/>
      <c r="C138" s="4"/>
      <c r="D138" s="4"/>
      <c r="E138" s="4"/>
      <c r="F138" s="6"/>
    </row>
    <row r="139" spans="1:6">
      <c r="A139" s="4"/>
      <c r="B139" s="5"/>
      <c r="C139" s="4"/>
      <c r="D139" s="4"/>
      <c r="E139" s="4"/>
      <c r="F139" s="6"/>
    </row>
    <row r="140" spans="1:6">
      <c r="A140" s="4"/>
      <c r="B140" s="5"/>
      <c r="C140" s="4"/>
      <c r="D140" s="4"/>
      <c r="E140" s="4"/>
      <c r="F140" s="6"/>
    </row>
    <row r="141" spans="1:6">
      <c r="A141" s="4"/>
      <c r="B141" s="5"/>
      <c r="C141" s="4"/>
      <c r="D141" s="4"/>
      <c r="E141" s="4"/>
      <c r="F141" s="6"/>
    </row>
    <row r="142" spans="1:6">
      <c r="A142" s="4"/>
      <c r="B142" s="5"/>
      <c r="C142" s="4"/>
      <c r="D142" s="4"/>
      <c r="E142" s="4"/>
      <c r="F142" s="6"/>
    </row>
    <row r="143" spans="1:6">
      <c r="A143" s="4"/>
      <c r="B143" s="5"/>
      <c r="C143" s="4"/>
      <c r="D143" s="4"/>
      <c r="E143" s="4"/>
      <c r="F143" s="6"/>
    </row>
    <row r="144" spans="1:6">
      <c r="A144" s="4"/>
      <c r="B144" s="5"/>
      <c r="C144" s="4"/>
      <c r="D144" s="4"/>
      <c r="E144" s="4"/>
      <c r="F144" s="6"/>
    </row>
    <row r="145" spans="1:6">
      <c r="A145" s="4"/>
      <c r="B145" s="5"/>
      <c r="C145" s="4"/>
      <c r="D145" s="4"/>
      <c r="E145" s="4"/>
      <c r="F145" s="6"/>
    </row>
    <row r="146" spans="1:6">
      <c r="A146" s="4"/>
      <c r="B146" s="5"/>
      <c r="C146" s="4"/>
      <c r="D146" s="4"/>
      <c r="E146" s="4"/>
      <c r="F146" s="6"/>
    </row>
    <row r="147" spans="1:6">
      <c r="A147" s="4"/>
      <c r="B147" s="5"/>
      <c r="C147" s="4"/>
      <c r="D147" s="4"/>
      <c r="E147" s="4"/>
      <c r="F147" s="6"/>
    </row>
    <row r="148" spans="1:6">
      <c r="A148" s="4"/>
      <c r="B148" s="5"/>
      <c r="C148" s="4"/>
      <c r="D148" s="4"/>
      <c r="E148" s="4"/>
      <c r="F148" s="6"/>
    </row>
    <row r="149" spans="1:6">
      <c r="A149" s="4"/>
      <c r="B149" s="5"/>
      <c r="C149" s="4"/>
      <c r="D149" s="4"/>
      <c r="E149" s="4"/>
      <c r="F149" s="6"/>
    </row>
    <row r="150" spans="1:6">
      <c r="A150" s="4"/>
      <c r="B150" s="5"/>
      <c r="C150" s="4"/>
      <c r="D150" s="4"/>
      <c r="E150" s="4"/>
      <c r="F150" s="6"/>
    </row>
    <row r="151" spans="1:6">
      <c r="A151" s="4"/>
      <c r="B151" s="5"/>
      <c r="C151" s="4"/>
      <c r="D151" s="4"/>
      <c r="E151" s="4"/>
      <c r="F151" s="6"/>
    </row>
    <row r="152" spans="1:6">
      <c r="A152" s="4"/>
      <c r="B152" s="5"/>
      <c r="C152" s="4"/>
      <c r="D152" s="4"/>
      <c r="E152" s="4"/>
      <c r="F152" s="6"/>
    </row>
    <row r="153" spans="1:6">
      <c r="A153" s="4"/>
      <c r="B153" s="5"/>
      <c r="C153" s="4"/>
      <c r="D153" s="4"/>
      <c r="E153" s="4"/>
      <c r="F153" s="6"/>
    </row>
    <row r="154" spans="1:6">
      <c r="A154" s="4"/>
      <c r="B154" s="5"/>
      <c r="C154" s="4"/>
      <c r="D154" s="4"/>
      <c r="E154" s="4"/>
      <c r="F154" s="6"/>
    </row>
    <row r="155" spans="1:6">
      <c r="A155" s="4"/>
      <c r="B155" s="5"/>
      <c r="C155" s="4"/>
      <c r="D155" s="4"/>
      <c r="E155" s="4"/>
      <c r="F155" s="6"/>
    </row>
    <row r="156" spans="1:6">
      <c r="A156" s="4"/>
      <c r="B156" s="5"/>
      <c r="C156" s="4"/>
      <c r="D156" s="4"/>
      <c r="E156" s="4"/>
      <c r="F156" s="6"/>
    </row>
    <row r="157" spans="1:6">
      <c r="A157" s="4"/>
      <c r="B157" s="5"/>
      <c r="C157" s="4"/>
      <c r="D157" s="4"/>
      <c r="E157" s="4"/>
      <c r="F157" s="6"/>
    </row>
    <row r="158" spans="1:6">
      <c r="A158" s="4"/>
      <c r="B158" s="5"/>
      <c r="C158" s="4"/>
      <c r="D158" s="4"/>
      <c r="E158" s="4"/>
      <c r="F158" s="6"/>
    </row>
    <row r="159" spans="1:6">
      <c r="A159" s="4"/>
      <c r="B159" s="5"/>
      <c r="C159" s="4"/>
      <c r="D159" s="4"/>
      <c r="E159" s="4"/>
      <c r="F159" s="6"/>
    </row>
    <row r="160" spans="1:6">
      <c r="A160" s="4"/>
      <c r="B160" s="5"/>
      <c r="C160" s="4"/>
      <c r="D160" s="4"/>
      <c r="E160" s="4"/>
      <c r="F160" s="6"/>
    </row>
    <row r="161" spans="1:6">
      <c r="A161" s="4"/>
      <c r="B161" s="5"/>
      <c r="C161" s="4"/>
      <c r="D161" s="4"/>
      <c r="E161" s="4"/>
      <c r="F161" s="6"/>
    </row>
    <row r="162" spans="1:6">
      <c r="A162" s="4"/>
      <c r="B162" s="5"/>
      <c r="C162" s="4"/>
      <c r="D162" s="4"/>
      <c r="E162" s="4"/>
      <c r="F162" s="6"/>
    </row>
    <row r="163" spans="1:6">
      <c r="A163" s="4"/>
      <c r="B163" s="5"/>
      <c r="C163" s="4"/>
      <c r="D163" s="4"/>
      <c r="E163" s="4"/>
      <c r="F163" s="6"/>
    </row>
    <row r="164" spans="1:6">
      <c r="A164" s="4"/>
      <c r="B164" s="5"/>
      <c r="C164" s="4"/>
      <c r="D164" s="4"/>
      <c r="E164" s="4"/>
      <c r="F164" s="6"/>
    </row>
    <row r="165" spans="1:6">
      <c r="A165" s="4"/>
      <c r="B165" s="5"/>
      <c r="C165" s="4"/>
      <c r="D165" s="4"/>
      <c r="E165" s="4"/>
      <c r="F165" s="6"/>
    </row>
    <row r="166" spans="1:6">
      <c r="A166" s="4"/>
      <c r="B166" s="5"/>
      <c r="C166" s="4"/>
      <c r="D166" s="4"/>
      <c r="E166" s="4"/>
      <c r="F166" s="6"/>
    </row>
    <row r="167" spans="1:6">
      <c r="A167" s="4"/>
      <c r="B167" s="5"/>
      <c r="C167" s="4"/>
      <c r="D167" s="4"/>
      <c r="E167" s="4"/>
      <c r="F167" s="6"/>
    </row>
    <row r="168" spans="1:6">
      <c r="A168" s="4"/>
      <c r="B168" s="5"/>
      <c r="C168" s="4"/>
      <c r="D168" s="4"/>
      <c r="E168" s="4"/>
      <c r="F168" s="6"/>
    </row>
    <row r="169" spans="1:6">
      <c r="A169" s="4"/>
      <c r="B169" s="5"/>
      <c r="C169" s="4"/>
      <c r="D169" s="4"/>
      <c r="E169" s="4"/>
      <c r="F169" s="6"/>
    </row>
    <row r="170" spans="1:6">
      <c r="A170" s="4"/>
      <c r="B170" s="5"/>
      <c r="C170" s="4"/>
      <c r="D170" s="4"/>
      <c r="E170" s="4"/>
      <c r="F170" s="6"/>
    </row>
    <row r="171" spans="1:6">
      <c r="A171" s="4"/>
      <c r="B171" s="5"/>
      <c r="C171" s="4"/>
      <c r="D171" s="4"/>
      <c r="E171" s="4"/>
      <c r="F171" s="6"/>
    </row>
    <row r="172" spans="1:6">
      <c r="A172" s="4"/>
      <c r="B172" s="5"/>
      <c r="C172" s="4"/>
      <c r="D172" s="4"/>
      <c r="E172" s="4"/>
      <c r="F172" s="6"/>
    </row>
    <row r="173" spans="1:6">
      <c r="A173" s="4"/>
      <c r="B173" s="5"/>
      <c r="C173" s="4"/>
      <c r="D173" s="4"/>
      <c r="E173" s="4"/>
      <c r="F173" s="6"/>
    </row>
    <row r="174" spans="1:6">
      <c r="A174" s="4"/>
      <c r="B174" s="5"/>
      <c r="C174" s="4"/>
      <c r="D174" s="4"/>
      <c r="E174" s="4"/>
      <c r="F174" s="6"/>
    </row>
    <row r="175" spans="1:6">
      <c r="A175" s="4"/>
      <c r="B175" s="5"/>
      <c r="C175" s="4"/>
      <c r="D175" s="4"/>
      <c r="E175" s="4"/>
      <c r="F175" s="6"/>
    </row>
    <row r="176" spans="1:6">
      <c r="A176" s="4"/>
      <c r="B176" s="5"/>
      <c r="C176" s="4"/>
      <c r="D176" s="4"/>
      <c r="E176" s="4"/>
      <c r="F176" s="6"/>
    </row>
    <row r="177" spans="1:6">
      <c r="A177" s="4"/>
      <c r="B177" s="5"/>
      <c r="C177" s="4"/>
      <c r="D177" s="4"/>
      <c r="E177" s="4"/>
      <c r="F177" s="6"/>
    </row>
    <row r="178" spans="1:6">
      <c r="A178" s="4"/>
      <c r="B178" s="5"/>
      <c r="C178" s="4"/>
      <c r="D178" s="4"/>
      <c r="E178" s="4"/>
      <c r="F178" s="6"/>
    </row>
    <row r="179" spans="1:6">
      <c r="A179" s="4"/>
      <c r="B179" s="5"/>
      <c r="C179" s="4"/>
      <c r="D179" s="4"/>
      <c r="E179" s="4"/>
      <c r="F179" s="6"/>
    </row>
    <row r="180" spans="1:6">
      <c r="A180" s="4"/>
      <c r="B180" s="5"/>
      <c r="C180" s="4"/>
      <c r="D180" s="4"/>
      <c r="E180" s="4"/>
      <c r="F180" s="6"/>
    </row>
    <row r="181" spans="1:6">
      <c r="A181" s="4"/>
      <c r="B181" s="5"/>
      <c r="C181" s="4"/>
      <c r="D181" s="4"/>
      <c r="E181" s="4"/>
      <c r="F181" s="6"/>
    </row>
    <row r="182" spans="1:6">
      <c r="A182" s="4"/>
      <c r="B182" s="5"/>
      <c r="C182" s="4"/>
      <c r="D182" s="4"/>
      <c r="E182" s="4"/>
      <c r="F182" s="6"/>
    </row>
    <row r="183" spans="1:6">
      <c r="A183" s="4"/>
      <c r="B183" s="5"/>
      <c r="C183" s="4"/>
      <c r="D183" s="4"/>
      <c r="E183" s="4"/>
      <c r="F183" s="6"/>
    </row>
    <row r="184" spans="1:6">
      <c r="A184" s="4"/>
      <c r="B184" s="5"/>
      <c r="C184" s="4"/>
      <c r="D184" s="4"/>
      <c r="E184" s="4"/>
      <c r="F184" s="6"/>
    </row>
    <row r="185" spans="1:6">
      <c r="A185" s="4"/>
      <c r="B185" s="5"/>
      <c r="C185" s="4"/>
      <c r="D185" s="4"/>
      <c r="E185" s="4"/>
      <c r="F185" s="6"/>
    </row>
    <row r="186" spans="1:6">
      <c r="A186" s="4"/>
      <c r="B186" s="5"/>
      <c r="C186" s="4"/>
      <c r="D186" s="4"/>
      <c r="E186" s="4"/>
      <c r="F186" s="6"/>
    </row>
    <row r="187" spans="1:6">
      <c r="A187" s="4"/>
      <c r="B187" s="5"/>
      <c r="C187" s="4"/>
      <c r="D187" s="4"/>
      <c r="E187" s="4"/>
      <c r="F187" s="6"/>
    </row>
    <row r="188" spans="1:6">
      <c r="A188" s="4"/>
      <c r="B188" s="5"/>
      <c r="C188" s="4"/>
      <c r="D188" s="4"/>
      <c r="E188" s="4"/>
      <c r="F188" s="6"/>
    </row>
    <row r="189" spans="1:6">
      <c r="A189" s="4"/>
      <c r="B189" s="5"/>
      <c r="C189" s="4"/>
      <c r="D189" s="4"/>
      <c r="E189" s="4"/>
      <c r="F189" s="6"/>
    </row>
    <row r="190" spans="1:6">
      <c r="A190" s="4"/>
      <c r="B190" s="5"/>
      <c r="C190" s="4"/>
      <c r="D190" s="4"/>
      <c r="E190" s="4"/>
      <c r="F190" s="6"/>
    </row>
    <row r="191" spans="1:6">
      <c r="A191" s="4"/>
      <c r="B191" s="5"/>
      <c r="C191" s="4"/>
      <c r="D191" s="4"/>
      <c r="E191" s="4"/>
      <c r="F191" s="6"/>
    </row>
    <row r="192" spans="1:6">
      <c r="A192" s="4"/>
      <c r="B192" s="5"/>
      <c r="C192" s="4"/>
      <c r="D192" s="4"/>
      <c r="E192" s="4"/>
      <c r="F192" s="6"/>
    </row>
    <row r="193" spans="1:6">
      <c r="A193" s="4"/>
      <c r="B193" s="5"/>
      <c r="C193" s="4"/>
      <c r="D193" s="4"/>
      <c r="E193" s="4"/>
      <c r="F193" s="6"/>
    </row>
    <row r="194" spans="1:6">
      <c r="A194" s="4"/>
      <c r="B194" s="5"/>
      <c r="C194" s="4"/>
      <c r="D194" s="4"/>
      <c r="E194" s="4"/>
      <c r="F194" s="6"/>
    </row>
    <row r="195" spans="1:6">
      <c r="A195" s="4"/>
      <c r="B195" s="5"/>
      <c r="C195" s="4"/>
      <c r="D195" s="4"/>
      <c r="E195" s="4"/>
      <c r="F195" s="6"/>
    </row>
    <row r="196" spans="1:6">
      <c r="A196" s="4"/>
      <c r="B196" s="5"/>
      <c r="C196" s="4"/>
      <c r="D196" s="4"/>
      <c r="E196" s="4"/>
      <c r="F196" s="6"/>
    </row>
    <row r="197" spans="1:6">
      <c r="A197" s="4"/>
      <c r="B197" s="5"/>
      <c r="C197" s="4"/>
      <c r="D197" s="4"/>
      <c r="E197" s="4"/>
      <c r="F197" s="6"/>
    </row>
    <row r="198" spans="1:6">
      <c r="A198" s="4"/>
      <c r="B198" s="5"/>
      <c r="C198" s="4"/>
      <c r="D198" s="4"/>
      <c r="E198" s="4"/>
      <c r="F198" s="6"/>
    </row>
    <row r="199" spans="1:6">
      <c r="A199" s="4"/>
      <c r="B199" s="5"/>
      <c r="C199" s="4"/>
      <c r="D199" s="4"/>
      <c r="E199" s="4"/>
      <c r="F199" s="6"/>
    </row>
    <row r="200" spans="1:6">
      <c r="A200" s="4"/>
      <c r="B200" s="5"/>
      <c r="C200" s="4"/>
      <c r="D200" s="4"/>
      <c r="E200" s="4"/>
      <c r="F200" s="6"/>
    </row>
    <row r="201" spans="1:6">
      <c r="A201" s="4"/>
      <c r="B201" s="5"/>
      <c r="C201" s="4"/>
      <c r="D201" s="4"/>
      <c r="E201" s="4"/>
      <c r="F201" s="6"/>
    </row>
    <row r="202" spans="1:6">
      <c r="A202" s="4"/>
      <c r="B202" s="5"/>
      <c r="C202" s="4"/>
      <c r="D202" s="4"/>
      <c r="E202" s="4"/>
      <c r="F202" s="6"/>
    </row>
    <row r="203" spans="1:6">
      <c r="A203" s="4"/>
      <c r="B203" s="5"/>
      <c r="C203" s="4"/>
      <c r="D203" s="4"/>
      <c r="E203" s="4"/>
      <c r="F203" s="6"/>
    </row>
    <row r="204" spans="1:6">
      <c r="A204" s="4"/>
      <c r="B204" s="5"/>
      <c r="C204" s="4"/>
      <c r="D204" s="4"/>
      <c r="E204" s="4"/>
      <c r="F204" s="6"/>
    </row>
    <row r="205" spans="1:6">
      <c r="A205" s="4"/>
      <c r="B205" s="5"/>
      <c r="C205" s="4"/>
      <c r="D205" s="4"/>
      <c r="E205" s="4"/>
      <c r="F205" s="6"/>
    </row>
    <row r="206" spans="1:6">
      <c r="A206" s="4"/>
      <c r="B206" s="5"/>
      <c r="C206" s="4"/>
      <c r="D206" s="4"/>
      <c r="E206" s="4"/>
      <c r="F206" s="6"/>
    </row>
    <row r="207" spans="1:6">
      <c r="A207" s="4"/>
      <c r="B207" s="5"/>
      <c r="C207" s="4"/>
      <c r="D207" s="4"/>
      <c r="E207" s="4"/>
      <c r="F207" s="6"/>
    </row>
    <row r="208" spans="1:6">
      <c r="A208" s="4"/>
      <c r="B208" s="5"/>
      <c r="C208" s="4"/>
      <c r="D208" s="4"/>
      <c r="E208" s="4"/>
      <c r="F208" s="6"/>
    </row>
    <row r="209" spans="1:6">
      <c r="A209" s="4"/>
      <c r="B209" s="5"/>
      <c r="C209" s="4"/>
      <c r="D209" s="4"/>
      <c r="E209" s="4"/>
      <c r="F209" s="6"/>
    </row>
    <row r="210" spans="1:6">
      <c r="A210" s="4"/>
      <c r="B210" s="5"/>
      <c r="C210" s="4"/>
      <c r="D210" s="4"/>
      <c r="E210" s="4"/>
      <c r="F210" s="6"/>
    </row>
    <row r="211" spans="1:6">
      <c r="A211" s="4"/>
      <c r="B211" s="5"/>
      <c r="C211" s="4"/>
      <c r="D211" s="4"/>
      <c r="E211" s="4"/>
      <c r="F211" s="6"/>
    </row>
    <row r="212" spans="1:6">
      <c r="A212" s="4"/>
      <c r="B212" s="5"/>
      <c r="C212" s="4"/>
      <c r="D212" s="4"/>
      <c r="E212" s="4"/>
      <c r="F212" s="6"/>
    </row>
    <row r="213" spans="1:6">
      <c r="A213" s="4"/>
      <c r="B213" s="5"/>
      <c r="C213" s="4"/>
      <c r="D213" s="4"/>
      <c r="E213" s="4"/>
      <c r="F213" s="6"/>
    </row>
    <row r="214" spans="1:6">
      <c r="A214" s="4"/>
      <c r="B214" s="5"/>
      <c r="C214" s="4"/>
      <c r="D214" s="4"/>
      <c r="E214" s="4"/>
      <c r="F214" s="6"/>
    </row>
    <row r="215" spans="1:6">
      <c r="A215" s="4"/>
      <c r="B215" s="5"/>
      <c r="C215" s="4"/>
      <c r="D215" s="4"/>
      <c r="E215" s="4"/>
      <c r="F215" s="6"/>
    </row>
    <row r="216" spans="1:6">
      <c r="A216" s="4"/>
      <c r="B216" s="5"/>
      <c r="C216" s="4"/>
      <c r="D216" s="4"/>
      <c r="E216" s="4"/>
      <c r="F216" s="6"/>
    </row>
    <row r="217" spans="1:6">
      <c r="A217" s="4"/>
      <c r="B217" s="5"/>
      <c r="C217" s="4"/>
      <c r="D217" s="4"/>
      <c r="E217" s="4"/>
      <c r="F217" s="6"/>
    </row>
    <row r="218" spans="1:6">
      <c r="A218" s="4"/>
      <c r="B218" s="5"/>
      <c r="C218" s="4"/>
      <c r="D218" s="4"/>
      <c r="E218" s="4"/>
      <c r="F218" s="6"/>
    </row>
    <row r="219" spans="1:6">
      <c r="A219" s="4"/>
      <c r="B219" s="5"/>
      <c r="C219" s="4"/>
      <c r="D219" s="4"/>
      <c r="E219" s="4"/>
      <c r="F219" s="6"/>
    </row>
    <row r="220" spans="1:6">
      <c r="A220" s="4"/>
      <c r="B220" s="5"/>
      <c r="C220" s="4"/>
      <c r="D220" s="4"/>
      <c r="E220" s="4"/>
      <c r="F220" s="6"/>
    </row>
    <row r="221" spans="1:6">
      <c r="A221" s="4"/>
      <c r="B221" s="5"/>
      <c r="C221" s="4"/>
      <c r="D221" s="4"/>
      <c r="E221" s="4"/>
      <c r="F221" s="6"/>
    </row>
    <row r="222" spans="1:6">
      <c r="A222" s="4"/>
      <c r="B222" s="5"/>
      <c r="C222" s="4"/>
      <c r="D222" s="4"/>
      <c r="E222" s="4"/>
      <c r="F222" s="6"/>
    </row>
    <row r="223" spans="1:6">
      <c r="A223" s="4"/>
      <c r="B223" s="5"/>
      <c r="C223" s="4"/>
      <c r="D223" s="4"/>
      <c r="E223" s="4"/>
      <c r="F223" s="6"/>
    </row>
    <row r="224" spans="1:6">
      <c r="A224" s="4"/>
      <c r="B224" s="5"/>
      <c r="C224" s="4"/>
      <c r="D224" s="4"/>
      <c r="E224" s="4"/>
      <c r="F224" s="6"/>
    </row>
    <row r="225" spans="1:6">
      <c r="A225" s="4"/>
      <c r="B225" s="5"/>
      <c r="C225" s="4"/>
      <c r="D225" s="4"/>
      <c r="E225" s="4"/>
      <c r="F225" s="6"/>
    </row>
    <row r="226" spans="1:6">
      <c r="A226" s="4"/>
      <c r="B226" s="5"/>
      <c r="C226" s="4"/>
      <c r="D226" s="4"/>
      <c r="E226" s="4"/>
      <c r="F226" s="6"/>
    </row>
    <row r="227" spans="1:6">
      <c r="A227" s="4"/>
      <c r="B227" s="5"/>
      <c r="C227" s="4"/>
      <c r="D227" s="4"/>
      <c r="E227" s="4"/>
      <c r="F227" s="6"/>
    </row>
    <row r="228" spans="1:6">
      <c r="A228" s="4"/>
      <c r="B228" s="5"/>
      <c r="C228" s="4"/>
      <c r="D228" s="4"/>
      <c r="E228" s="4"/>
      <c r="F228" s="6"/>
    </row>
    <row r="229" spans="1:6">
      <c r="A229" s="4"/>
      <c r="B229" s="5"/>
      <c r="C229" s="4"/>
      <c r="D229" s="4"/>
      <c r="E229" s="4"/>
      <c r="F229" s="6"/>
    </row>
    <row r="230" spans="1:6">
      <c r="A230" s="4"/>
      <c r="B230" s="5"/>
      <c r="C230" s="4"/>
      <c r="D230" s="4"/>
      <c r="E230" s="4"/>
      <c r="F230" s="6"/>
    </row>
    <row r="231" spans="1:6">
      <c r="A231" s="4"/>
      <c r="B231" s="5"/>
      <c r="C231" s="4"/>
      <c r="D231" s="4"/>
      <c r="E231" s="4"/>
      <c r="F231" s="6"/>
    </row>
    <row r="232" spans="1:6">
      <c r="A232" s="4"/>
      <c r="B232" s="5"/>
      <c r="C232" s="4"/>
      <c r="D232" s="4"/>
      <c r="E232" s="4"/>
      <c r="F232" s="6"/>
    </row>
    <row r="233" spans="1:6">
      <c r="A233" s="4"/>
      <c r="B233" s="5"/>
      <c r="C233" s="4"/>
      <c r="D233" s="4"/>
      <c r="E233" s="4"/>
      <c r="F233" s="6"/>
    </row>
    <row r="234" spans="1:6">
      <c r="A234" s="4"/>
      <c r="B234" s="5"/>
      <c r="C234" s="4"/>
      <c r="D234" s="4"/>
      <c r="E234" s="4"/>
      <c r="F234" s="6"/>
    </row>
    <row r="235" spans="1:6">
      <c r="A235" s="4"/>
      <c r="B235" s="5"/>
      <c r="C235" s="4"/>
      <c r="D235" s="4"/>
      <c r="E235" s="4"/>
      <c r="F235" s="6"/>
    </row>
    <row r="236" spans="1:6">
      <c r="A236" s="4"/>
      <c r="B236" s="5"/>
      <c r="C236" s="4"/>
      <c r="D236" s="4"/>
      <c r="E236" s="4"/>
      <c r="F236" s="6"/>
    </row>
    <row r="237" spans="1:6">
      <c r="A237" s="4"/>
      <c r="B237" s="5"/>
      <c r="C237" s="4"/>
      <c r="D237" s="4"/>
      <c r="E237" s="4"/>
      <c r="F237" s="6"/>
    </row>
    <row r="238" spans="1:6">
      <c r="A238" s="4"/>
      <c r="B238" s="5"/>
      <c r="C238" s="4"/>
      <c r="D238" s="4"/>
      <c r="E238" s="4"/>
      <c r="F238" s="6"/>
    </row>
    <row r="239" spans="1:6">
      <c r="A239" s="4"/>
      <c r="B239" s="5"/>
      <c r="C239" s="4"/>
      <c r="D239" s="4"/>
      <c r="E239" s="4"/>
      <c r="F239" s="6"/>
    </row>
    <row r="240" spans="1:6">
      <c r="A240" s="4"/>
      <c r="B240" s="5"/>
      <c r="C240" s="4"/>
      <c r="D240" s="4"/>
      <c r="E240" s="4"/>
      <c r="F240" s="6"/>
    </row>
    <row r="241" spans="1:6">
      <c r="A241" s="4"/>
      <c r="B241" s="5"/>
      <c r="C241" s="4"/>
      <c r="D241" s="4"/>
      <c r="E241" s="4"/>
      <c r="F241" s="6"/>
    </row>
    <row r="242" spans="1:6">
      <c r="A242" s="4"/>
      <c r="B242" s="5"/>
      <c r="C242" s="4"/>
      <c r="D242" s="4"/>
      <c r="E242" s="4"/>
      <c r="F242" s="6"/>
    </row>
    <row r="243" spans="1:6">
      <c r="A243" s="4"/>
      <c r="B243" s="5"/>
      <c r="C243" s="4"/>
      <c r="D243" s="4"/>
      <c r="E243" s="4"/>
      <c r="F243" s="6"/>
    </row>
    <row r="244" spans="1:6">
      <c r="A244" s="4"/>
      <c r="B244" s="5"/>
      <c r="C244" s="4"/>
      <c r="D244" s="4"/>
      <c r="E244" s="4"/>
      <c r="F244" s="6"/>
    </row>
    <row r="245" spans="1:6">
      <c r="A245" s="4"/>
      <c r="B245" s="5"/>
      <c r="C245" s="4"/>
      <c r="D245" s="4"/>
      <c r="E245" s="4"/>
      <c r="F245" s="6"/>
    </row>
    <row r="246" spans="1:6">
      <c r="A246" s="4"/>
      <c r="B246" s="5"/>
      <c r="C246" s="4"/>
      <c r="D246" s="4"/>
      <c r="E246" s="4"/>
      <c r="F246" s="6"/>
    </row>
    <row r="247" spans="1:6">
      <c r="A247" s="4"/>
      <c r="B247" s="5"/>
      <c r="C247" s="4"/>
      <c r="D247" s="4"/>
      <c r="E247" s="4"/>
      <c r="F247" s="6"/>
    </row>
    <row r="248" spans="1:6">
      <c r="A248" s="4"/>
      <c r="B248" s="5"/>
      <c r="C248" s="4"/>
      <c r="D248" s="4"/>
      <c r="E248" s="4"/>
      <c r="F248" s="6"/>
    </row>
    <row r="249" spans="1:6">
      <c r="A249" s="4"/>
      <c r="B249" s="5"/>
      <c r="C249" s="4"/>
      <c r="D249" s="4"/>
      <c r="E249" s="4"/>
      <c r="F249" s="6"/>
    </row>
    <row r="250" spans="1:6">
      <c r="A250" s="4"/>
      <c r="B250" s="5"/>
      <c r="C250" s="4"/>
      <c r="D250" s="4"/>
      <c r="E250" s="4"/>
      <c r="F250" s="6"/>
    </row>
    <row r="251" spans="1:6">
      <c r="A251" s="4"/>
      <c r="B251" s="5"/>
      <c r="C251" s="4"/>
      <c r="D251" s="4"/>
      <c r="E251" s="4"/>
      <c r="F251" s="6"/>
    </row>
    <row r="252" spans="1:6">
      <c r="A252" s="4"/>
      <c r="B252" s="5"/>
      <c r="C252" s="4"/>
      <c r="D252" s="4"/>
      <c r="E252" s="4"/>
      <c r="F252" s="6"/>
    </row>
    <row r="253" spans="1:6">
      <c r="A253" s="4"/>
      <c r="B253" s="5"/>
      <c r="C253" s="4"/>
      <c r="D253" s="4"/>
      <c r="E253" s="4"/>
      <c r="F253" s="6"/>
    </row>
    <row r="254" spans="1:6">
      <c r="A254" s="4"/>
      <c r="B254" s="5"/>
      <c r="C254" s="4"/>
      <c r="D254" s="4"/>
      <c r="E254" s="4"/>
      <c r="F254" s="6"/>
    </row>
    <row r="255" spans="1:6">
      <c r="A255" s="4"/>
      <c r="B255" s="5"/>
      <c r="C255" s="4"/>
      <c r="D255" s="4"/>
      <c r="E255" s="4"/>
      <c r="F255" s="6"/>
    </row>
    <row r="256" spans="1:6">
      <c r="A256" s="4"/>
      <c r="B256" s="5"/>
      <c r="C256" s="4"/>
      <c r="D256" s="4"/>
      <c r="E256" s="4"/>
      <c r="F256" s="6"/>
    </row>
    <row r="257" spans="1:6">
      <c r="A257" s="4"/>
      <c r="B257" s="5"/>
      <c r="C257" s="4"/>
      <c r="D257" s="4"/>
      <c r="E257" s="4"/>
      <c r="F257" s="6"/>
    </row>
    <row r="258" spans="1:6">
      <c r="A258" s="4"/>
      <c r="B258" s="5"/>
      <c r="C258" s="4"/>
      <c r="D258" s="4"/>
      <c r="E258" s="4"/>
      <c r="F258" s="6"/>
    </row>
    <row r="259" spans="1:6">
      <c r="A259" s="4"/>
      <c r="B259" s="5"/>
      <c r="C259" s="4"/>
      <c r="D259" s="4"/>
      <c r="E259" s="4"/>
      <c r="F259" s="6"/>
    </row>
    <row r="260" spans="1:6">
      <c r="A260" s="4"/>
      <c r="B260" s="5"/>
      <c r="C260" s="4"/>
      <c r="D260" s="4"/>
      <c r="E260" s="4"/>
      <c r="F260" s="6"/>
    </row>
    <row r="261" spans="1:6">
      <c r="A261" s="4"/>
      <c r="B261" s="5"/>
      <c r="C261" s="4"/>
      <c r="D261" s="4"/>
      <c r="E261" s="4"/>
      <c r="F261" s="6"/>
    </row>
    <row r="262" spans="1:6">
      <c r="A262" s="4"/>
      <c r="B262" s="5"/>
      <c r="C262" s="4"/>
      <c r="D262" s="4"/>
      <c r="E262" s="4"/>
      <c r="F262" s="6"/>
    </row>
    <row r="263" spans="1:6">
      <c r="A263" s="4"/>
      <c r="B263" s="5"/>
      <c r="C263" s="4"/>
      <c r="D263" s="4"/>
      <c r="E263" s="4"/>
      <c r="F263" s="6"/>
    </row>
    <row r="264" spans="1:6">
      <c r="A264" s="4"/>
      <c r="B264" s="5"/>
      <c r="C264" s="4"/>
      <c r="D264" s="4"/>
      <c r="E264" s="4"/>
      <c r="F264" s="6"/>
    </row>
    <row r="265" spans="1:6">
      <c r="A265" s="4"/>
      <c r="B265" s="5"/>
      <c r="C265" s="4"/>
      <c r="D265" s="4"/>
      <c r="E265" s="4"/>
      <c r="F265" s="6"/>
    </row>
    <row r="266" spans="1:6">
      <c r="A266" s="4"/>
      <c r="B266" s="5"/>
      <c r="C266" s="4"/>
      <c r="D266" s="4"/>
      <c r="E266" s="4"/>
      <c r="F266" s="6"/>
    </row>
    <row r="267" spans="1:6">
      <c r="A267" s="4"/>
      <c r="B267" s="5"/>
      <c r="C267" s="4"/>
      <c r="D267" s="4"/>
      <c r="E267" s="4"/>
      <c r="F267" s="6"/>
    </row>
    <row r="268" spans="1:6">
      <c r="A268" s="4"/>
      <c r="B268" s="5"/>
      <c r="C268" s="4"/>
      <c r="D268" s="4"/>
      <c r="E268" s="4"/>
      <c r="F268" s="6"/>
    </row>
    <row r="269" spans="1:6">
      <c r="A269" s="4"/>
      <c r="B269" s="5"/>
      <c r="C269" s="4"/>
      <c r="D269" s="4"/>
      <c r="E269" s="4"/>
      <c r="F269" s="6"/>
    </row>
    <row r="270" spans="1:6">
      <c r="A270" s="4"/>
      <c r="B270" s="5"/>
      <c r="C270" s="4"/>
      <c r="D270" s="4"/>
      <c r="E270" s="4"/>
      <c r="F270" s="6"/>
    </row>
    <row r="271" spans="1:6">
      <c r="A271" s="4"/>
      <c r="B271" s="5"/>
      <c r="C271" s="4"/>
      <c r="D271" s="4"/>
      <c r="E271" s="4"/>
      <c r="F271" s="6"/>
    </row>
    <row r="272" spans="1:6">
      <c r="A272" s="4"/>
      <c r="B272" s="5"/>
      <c r="C272" s="4"/>
      <c r="D272" s="4"/>
      <c r="E272" s="4"/>
      <c r="F272" s="6"/>
    </row>
    <row r="273" spans="1:6">
      <c r="A273" s="4"/>
      <c r="B273" s="5"/>
      <c r="C273" s="4"/>
      <c r="D273" s="4"/>
      <c r="E273" s="4"/>
      <c r="F273" s="6"/>
    </row>
    <row r="274" spans="1:6">
      <c r="A274" s="4"/>
      <c r="B274" s="5"/>
      <c r="C274" s="4"/>
      <c r="D274" s="4"/>
      <c r="E274" s="4"/>
      <c r="F274" s="6"/>
    </row>
    <row r="275" spans="1:6">
      <c r="A275" s="4"/>
      <c r="B275" s="5"/>
      <c r="C275" s="4"/>
      <c r="D275" s="4"/>
      <c r="E275" s="4"/>
      <c r="F275" s="6"/>
    </row>
    <row r="276" spans="1:6">
      <c r="A276" s="4"/>
      <c r="B276" s="5"/>
      <c r="C276" s="4"/>
      <c r="D276" s="4"/>
      <c r="E276" s="4"/>
      <c r="F276" s="6"/>
    </row>
    <row r="277" spans="1:6">
      <c r="A277" s="4"/>
      <c r="B277" s="5"/>
      <c r="C277" s="4"/>
      <c r="D277" s="4"/>
      <c r="E277" s="4"/>
      <c r="F277" s="6"/>
    </row>
    <row r="278" spans="1:6">
      <c r="A278" s="4"/>
      <c r="B278" s="5"/>
      <c r="C278" s="4"/>
      <c r="D278" s="4"/>
      <c r="E278" s="4"/>
      <c r="F278" s="6"/>
    </row>
    <row r="279" spans="1:6">
      <c r="A279" s="4"/>
      <c r="B279" s="5"/>
      <c r="C279" s="4"/>
      <c r="D279" s="4"/>
      <c r="E279" s="4"/>
      <c r="F279" s="6"/>
    </row>
    <row r="280" spans="1:6">
      <c r="A280" s="4"/>
      <c r="B280" s="5"/>
      <c r="C280" s="4"/>
      <c r="D280" s="4"/>
      <c r="E280" s="4"/>
      <c r="F280" s="6"/>
    </row>
    <row r="281" spans="1:6">
      <c r="A281" s="4"/>
      <c r="B281" s="5"/>
      <c r="C281" s="4"/>
      <c r="D281" s="4"/>
      <c r="E281" s="4"/>
      <c r="F281" s="6"/>
    </row>
    <row r="282" spans="1:6">
      <c r="A282" s="4"/>
      <c r="B282" s="5"/>
      <c r="C282" s="4"/>
      <c r="D282" s="4"/>
      <c r="E282" s="4"/>
      <c r="F282" s="6"/>
    </row>
    <row r="283" spans="1:6">
      <c r="A283" s="4"/>
      <c r="B283" s="5"/>
      <c r="C283" s="4"/>
      <c r="D283" s="4"/>
      <c r="E283" s="4"/>
      <c r="F283" s="6"/>
    </row>
    <row r="284" spans="1:6">
      <c r="A284" s="4"/>
      <c r="B284" s="5"/>
      <c r="C284" s="4"/>
      <c r="D284" s="4"/>
      <c r="E284" s="4"/>
      <c r="F284" s="6"/>
    </row>
    <row r="285" spans="1:6">
      <c r="A285" s="4"/>
      <c r="B285" s="5"/>
      <c r="C285" s="4"/>
      <c r="D285" s="4"/>
      <c r="E285" s="4"/>
      <c r="F285" s="6"/>
    </row>
    <row r="286" spans="1:6">
      <c r="A286" s="4"/>
      <c r="B286" s="5"/>
      <c r="C286" s="4"/>
      <c r="D286" s="4"/>
      <c r="E286" s="4"/>
      <c r="F286" s="6"/>
    </row>
    <row r="287" spans="1:6">
      <c r="A287" s="4"/>
      <c r="B287" s="5"/>
      <c r="C287" s="4"/>
      <c r="D287" s="4"/>
      <c r="E287" s="4"/>
      <c r="F287" s="6"/>
    </row>
    <row r="288" spans="1:6">
      <c r="A288" s="4"/>
      <c r="B288" s="5"/>
      <c r="C288" s="4"/>
      <c r="D288" s="4"/>
      <c r="E288" s="4"/>
      <c r="F288" s="6"/>
    </row>
    <row r="289" spans="1:6">
      <c r="A289" s="4"/>
      <c r="B289" s="5"/>
      <c r="C289" s="4"/>
      <c r="D289" s="4"/>
      <c r="E289" s="4"/>
      <c r="F289" s="6"/>
    </row>
    <row r="290" spans="1:6">
      <c r="A290" s="4"/>
      <c r="B290" s="5"/>
      <c r="C290" s="4"/>
      <c r="D290" s="4"/>
      <c r="E290" s="4"/>
      <c r="F290" s="6"/>
    </row>
    <row r="291" spans="1:6">
      <c r="A291" s="4"/>
      <c r="B291" s="5"/>
      <c r="C291" s="4"/>
      <c r="D291" s="4"/>
      <c r="E291" s="4"/>
      <c r="F291" s="6"/>
    </row>
    <row r="292" spans="1:6">
      <c r="A292" s="4"/>
      <c r="B292" s="5"/>
      <c r="C292" s="4"/>
      <c r="D292" s="4"/>
      <c r="E292" s="4"/>
      <c r="F292" s="6"/>
    </row>
    <row r="293" spans="1:6">
      <c r="A293" s="4"/>
      <c r="B293" s="5"/>
      <c r="C293" s="4"/>
      <c r="D293" s="4"/>
      <c r="E293" s="4"/>
      <c r="F293" s="6"/>
    </row>
    <row r="294" spans="1:6">
      <c r="A294" s="4"/>
      <c r="B294" s="5"/>
      <c r="C294" s="4"/>
      <c r="D294" s="4"/>
      <c r="E294" s="4"/>
      <c r="F294" s="6"/>
    </row>
    <row r="295" spans="1:6">
      <c r="A295" s="4"/>
      <c r="B295" s="5"/>
      <c r="C295" s="4"/>
      <c r="D295" s="4"/>
      <c r="E295" s="4"/>
      <c r="F295" s="6"/>
    </row>
    <row r="296" spans="1:6">
      <c r="A296" s="4"/>
      <c r="B296" s="5"/>
      <c r="C296" s="4"/>
      <c r="D296" s="4"/>
      <c r="E296" s="4"/>
      <c r="F296" s="6"/>
    </row>
    <row r="297" spans="1:6">
      <c r="A297" s="4"/>
      <c r="B297" s="5"/>
      <c r="C297" s="4"/>
      <c r="D297" s="4"/>
      <c r="E297" s="4"/>
      <c r="F297" s="6"/>
    </row>
    <row r="298" spans="1:6">
      <c r="A298" s="4"/>
      <c r="B298" s="5"/>
      <c r="C298" s="4"/>
      <c r="D298" s="4"/>
      <c r="E298" s="4"/>
      <c r="F298" s="6"/>
    </row>
    <row r="299" spans="1:6">
      <c r="A299" s="4"/>
      <c r="B299" s="5"/>
      <c r="C299" s="4"/>
      <c r="D299" s="4"/>
      <c r="E299" s="4"/>
      <c r="F299" s="6"/>
    </row>
    <row r="300" spans="1:6">
      <c r="A300" s="4"/>
      <c r="B300" s="5"/>
      <c r="C300" s="4"/>
      <c r="D300" s="4"/>
      <c r="E300" s="4"/>
      <c r="F300" s="6"/>
    </row>
    <row r="301" spans="1:6">
      <c r="A301" s="4"/>
      <c r="B301" s="5"/>
      <c r="C301" s="4"/>
      <c r="D301" s="4"/>
      <c r="E301" s="4"/>
      <c r="F301" s="6"/>
    </row>
    <row r="302" spans="1:6">
      <c r="A302" s="4"/>
      <c r="B302" s="5"/>
      <c r="C302" s="4"/>
      <c r="D302" s="4"/>
      <c r="E302" s="4"/>
      <c r="F302" s="6"/>
    </row>
    <row r="303" spans="1:6">
      <c r="A303" s="4"/>
      <c r="B303" s="5"/>
      <c r="C303" s="4"/>
      <c r="D303" s="4"/>
      <c r="E303" s="4"/>
      <c r="F303" s="6"/>
    </row>
    <row r="304" spans="1:6">
      <c r="A304" s="4"/>
      <c r="B304" s="5"/>
      <c r="C304" s="4"/>
      <c r="D304" s="4"/>
      <c r="E304" s="4"/>
      <c r="F304" s="6"/>
    </row>
    <row r="305" spans="1:6">
      <c r="A305" s="4"/>
      <c r="B305" s="5"/>
      <c r="C305" s="4"/>
      <c r="D305" s="4"/>
      <c r="E305" s="4"/>
      <c r="F305" s="6"/>
    </row>
    <row r="306" spans="1:6">
      <c r="A306" s="4"/>
      <c r="B306" s="5"/>
      <c r="C306" s="4"/>
      <c r="D306" s="4"/>
      <c r="E306" s="4"/>
      <c r="F306" s="6"/>
    </row>
    <row r="307" spans="1:6">
      <c r="A307" s="4"/>
      <c r="B307" s="5"/>
      <c r="C307" s="4"/>
      <c r="D307" s="4"/>
      <c r="E307" s="4"/>
      <c r="F307" s="6"/>
    </row>
    <row r="308" spans="1:6">
      <c r="A308" s="4"/>
      <c r="B308" s="5"/>
      <c r="C308" s="4"/>
      <c r="D308" s="4"/>
      <c r="E308" s="4"/>
      <c r="F308" s="6"/>
    </row>
    <row r="309" spans="1:6">
      <c r="A309" s="4"/>
      <c r="B309" s="5"/>
      <c r="C309" s="4"/>
      <c r="D309" s="4"/>
      <c r="E309" s="4"/>
      <c r="F309" s="6"/>
    </row>
    <row r="310" spans="1:6">
      <c r="A310" s="4"/>
      <c r="B310" s="5"/>
      <c r="C310" s="4"/>
      <c r="D310" s="4"/>
      <c r="E310" s="4"/>
      <c r="F310" s="6"/>
    </row>
    <row r="311" spans="1:6">
      <c r="A311" s="4"/>
      <c r="B311" s="5"/>
      <c r="C311" s="4"/>
      <c r="D311" s="4"/>
      <c r="E311" s="4"/>
      <c r="F311" s="6"/>
    </row>
    <row r="312" spans="1:6">
      <c r="A312" s="4"/>
      <c r="B312" s="5"/>
      <c r="C312" s="4"/>
      <c r="D312" s="4"/>
      <c r="E312" s="4"/>
      <c r="F312" s="6"/>
    </row>
    <row r="313" spans="1:6">
      <c r="A313" s="4"/>
      <c r="B313" s="5"/>
      <c r="C313" s="4"/>
      <c r="D313" s="4"/>
      <c r="E313" s="4"/>
      <c r="F313" s="6"/>
    </row>
    <row r="314" spans="1:6">
      <c r="A314" s="4"/>
      <c r="B314" s="5"/>
      <c r="C314" s="4"/>
      <c r="D314" s="4"/>
      <c r="E314" s="4"/>
      <c r="F314" s="6"/>
    </row>
    <row r="315" spans="1:6">
      <c r="A315" s="4"/>
      <c r="B315" s="5"/>
      <c r="C315" s="4"/>
      <c r="D315" s="4"/>
      <c r="E315" s="4"/>
      <c r="F315" s="6"/>
    </row>
    <row r="316" spans="1:6">
      <c r="A316" s="4"/>
      <c r="B316" s="5"/>
      <c r="C316" s="4"/>
      <c r="D316" s="4"/>
      <c r="E316" s="4"/>
      <c r="F316" s="6"/>
    </row>
    <row r="317" spans="1:6">
      <c r="A317" s="4"/>
      <c r="B317" s="5"/>
      <c r="C317" s="4"/>
      <c r="D317" s="4"/>
      <c r="E317" s="4"/>
      <c r="F317" s="6"/>
    </row>
    <row r="318" spans="1:6">
      <c r="A318" s="4"/>
      <c r="B318" s="5"/>
      <c r="C318" s="4"/>
      <c r="D318" s="4"/>
      <c r="E318" s="4"/>
      <c r="F318" s="6"/>
    </row>
    <row r="319" spans="1:6">
      <c r="A319" s="4"/>
      <c r="B319" s="5"/>
      <c r="C319" s="4"/>
      <c r="D319" s="4"/>
      <c r="E319" s="4"/>
      <c r="F319" s="6"/>
    </row>
    <row r="320" spans="1:6">
      <c r="A320" s="4"/>
      <c r="B320" s="5"/>
      <c r="C320" s="4"/>
      <c r="D320" s="4"/>
      <c r="E320" s="4"/>
      <c r="F320" s="6"/>
    </row>
    <row r="321" spans="1:6">
      <c r="A321" s="4"/>
      <c r="B321" s="5"/>
      <c r="C321" s="4"/>
      <c r="D321" s="4"/>
      <c r="E321" s="4"/>
      <c r="F321" s="6"/>
    </row>
    <row r="322" spans="1:6">
      <c r="A322" s="4"/>
      <c r="B322" s="5"/>
      <c r="C322" s="4"/>
      <c r="D322" s="4"/>
      <c r="E322" s="4"/>
      <c r="F322" s="6"/>
    </row>
    <row r="323" spans="1:6">
      <c r="A323" s="4"/>
      <c r="B323" s="5"/>
      <c r="C323" s="4"/>
      <c r="D323" s="4"/>
      <c r="E323" s="4"/>
      <c r="F323" s="6"/>
    </row>
    <row r="324" spans="1:6">
      <c r="A324" s="4"/>
      <c r="B324" s="5"/>
      <c r="C324" s="4"/>
      <c r="D324" s="4"/>
      <c r="E324" s="4"/>
      <c r="F324" s="6"/>
    </row>
    <row r="325" spans="1:6">
      <c r="A325" s="4"/>
      <c r="B325" s="5"/>
      <c r="C325" s="4"/>
      <c r="D325" s="4"/>
      <c r="E325" s="4"/>
      <c r="F325" s="6"/>
    </row>
    <row r="326" spans="1:6">
      <c r="A326" s="4"/>
      <c r="B326" s="5"/>
      <c r="C326" s="4"/>
      <c r="D326" s="4"/>
      <c r="E326" s="4"/>
      <c r="F326" s="6"/>
    </row>
    <row r="327" spans="1:6">
      <c r="A327" s="4"/>
      <c r="B327" s="5"/>
      <c r="C327" s="4"/>
      <c r="D327" s="4"/>
      <c r="E327" s="4"/>
      <c r="F327" s="6"/>
    </row>
    <row r="328" spans="1:6">
      <c r="A328" s="4"/>
      <c r="B328" s="5"/>
      <c r="C328" s="4"/>
      <c r="D328" s="4"/>
      <c r="E328" s="4"/>
      <c r="F328" s="6"/>
    </row>
    <row r="329" spans="1:6">
      <c r="A329" s="4"/>
      <c r="B329" s="5"/>
      <c r="C329" s="4"/>
      <c r="D329" s="4"/>
      <c r="E329" s="4"/>
      <c r="F329" s="6"/>
    </row>
    <row r="330" spans="1:6">
      <c r="A330" s="4"/>
      <c r="B330" s="5"/>
      <c r="C330" s="4"/>
      <c r="D330" s="4"/>
      <c r="E330" s="4"/>
      <c r="F330" s="6"/>
    </row>
    <row r="331" spans="1:6">
      <c r="A331" s="4"/>
      <c r="B331" s="5"/>
      <c r="C331" s="4"/>
      <c r="D331" s="4"/>
      <c r="E331" s="4"/>
      <c r="F331" s="6"/>
    </row>
    <row r="332" spans="1:6">
      <c r="A332" s="4"/>
      <c r="B332" s="5"/>
      <c r="C332" s="4"/>
      <c r="D332" s="4"/>
      <c r="E332" s="4"/>
      <c r="F332" s="6"/>
    </row>
    <row r="333" spans="1:6">
      <c r="A333" s="4"/>
      <c r="B333" s="5"/>
      <c r="C333" s="4"/>
      <c r="D333" s="4"/>
      <c r="E333" s="4"/>
      <c r="F333" s="6"/>
    </row>
    <row r="334" spans="1:6">
      <c r="A334" s="4"/>
      <c r="B334" s="5"/>
      <c r="C334" s="4"/>
      <c r="D334" s="4"/>
      <c r="E334" s="4"/>
      <c r="F334" s="6"/>
    </row>
    <row r="335" spans="1:6">
      <c r="A335" s="4"/>
      <c r="B335" s="5"/>
      <c r="C335" s="4"/>
      <c r="D335" s="4"/>
      <c r="E335" s="4"/>
      <c r="F335" s="6"/>
    </row>
    <row r="336" spans="1:6">
      <c r="A336" s="4"/>
      <c r="B336" s="5"/>
      <c r="C336" s="4"/>
      <c r="D336" s="4"/>
      <c r="E336" s="4"/>
      <c r="F336" s="6"/>
    </row>
    <row r="337" spans="1:6">
      <c r="A337" s="4"/>
      <c r="B337" s="5"/>
      <c r="C337" s="4"/>
      <c r="D337" s="4"/>
      <c r="E337" s="4"/>
      <c r="F337" s="6"/>
    </row>
    <row r="338" spans="1:6">
      <c r="A338" s="4"/>
      <c r="B338" s="5"/>
      <c r="C338" s="4"/>
      <c r="D338" s="4"/>
      <c r="E338" s="4"/>
      <c r="F338" s="6"/>
    </row>
    <row r="339" spans="1:6">
      <c r="A339" s="4"/>
      <c r="B339" s="5"/>
      <c r="C339" s="4"/>
      <c r="D339" s="4"/>
      <c r="E339" s="4"/>
      <c r="F339" s="6"/>
    </row>
    <row r="340" spans="1:6">
      <c r="A340" s="4"/>
      <c r="B340" s="5"/>
      <c r="C340" s="4"/>
      <c r="D340" s="4"/>
      <c r="E340" s="4"/>
      <c r="F340" s="6"/>
    </row>
    <row r="341" spans="1:6">
      <c r="A341" s="4"/>
      <c r="B341" s="5"/>
      <c r="C341" s="4"/>
      <c r="D341" s="4"/>
      <c r="E341" s="4"/>
      <c r="F341" s="6"/>
    </row>
    <row r="342" spans="1:6">
      <c r="A342" s="4"/>
      <c r="B342" s="5"/>
      <c r="C342" s="4"/>
      <c r="D342" s="4"/>
      <c r="E342" s="4"/>
      <c r="F342" s="6"/>
    </row>
    <row r="343" spans="1:6">
      <c r="A343" s="4"/>
      <c r="B343" s="5"/>
      <c r="C343" s="4"/>
      <c r="D343" s="4"/>
      <c r="E343" s="4"/>
      <c r="F343" s="6"/>
    </row>
    <row r="344" spans="1:6">
      <c r="A344" s="4"/>
      <c r="B344" s="5"/>
      <c r="C344" s="4"/>
      <c r="D344" s="4"/>
      <c r="E344" s="4"/>
      <c r="F344" s="6"/>
    </row>
    <row r="345" spans="1:6">
      <c r="A345" s="4"/>
      <c r="B345" s="5"/>
      <c r="C345" s="4"/>
      <c r="D345" s="4"/>
      <c r="E345" s="4"/>
      <c r="F345" s="6"/>
    </row>
    <row r="346" spans="1:6">
      <c r="A346" s="4"/>
      <c r="B346" s="5"/>
      <c r="C346" s="4"/>
      <c r="D346" s="4"/>
      <c r="E346" s="4"/>
      <c r="F346" s="6"/>
    </row>
    <row r="347" spans="1:6">
      <c r="A347" s="4"/>
      <c r="B347" s="5"/>
      <c r="C347" s="4"/>
      <c r="D347" s="4"/>
      <c r="E347" s="4"/>
      <c r="F347" s="6"/>
    </row>
    <row r="348" spans="1:6">
      <c r="A348" s="4"/>
      <c r="B348" s="5"/>
      <c r="C348" s="4"/>
      <c r="D348" s="4"/>
      <c r="E348" s="4"/>
      <c r="F348" s="6"/>
    </row>
    <row r="349" spans="1:6">
      <c r="A349" s="4"/>
      <c r="B349" s="5"/>
      <c r="C349" s="4"/>
      <c r="D349" s="4"/>
      <c r="E349" s="4"/>
      <c r="F349" s="6"/>
    </row>
    <row r="350" spans="1:6">
      <c r="A350" s="4"/>
      <c r="B350" s="5"/>
      <c r="C350" s="4"/>
      <c r="D350" s="4"/>
      <c r="E350" s="4"/>
      <c r="F350" s="6"/>
    </row>
    <row r="351" spans="1:6">
      <c r="A351" s="4"/>
      <c r="B351" s="5"/>
      <c r="C351" s="4"/>
      <c r="D351" s="4"/>
      <c r="E351" s="4"/>
      <c r="F351" s="6"/>
    </row>
    <row r="352" spans="1:6">
      <c r="A352" s="4"/>
      <c r="B352" s="5"/>
      <c r="C352" s="4"/>
      <c r="D352" s="4"/>
      <c r="E352" s="4"/>
      <c r="F352" s="6"/>
    </row>
    <row r="353" spans="1:6">
      <c r="A353" s="4"/>
      <c r="B353" s="5"/>
      <c r="C353" s="4"/>
      <c r="D353" s="4"/>
      <c r="E353" s="4"/>
      <c r="F353" s="6"/>
    </row>
    <row r="354" spans="1:6">
      <c r="A354" s="4"/>
      <c r="B354" s="5"/>
      <c r="C354" s="4"/>
      <c r="D354" s="4"/>
      <c r="E354" s="4"/>
      <c r="F354" s="6"/>
    </row>
    <row r="355" spans="1:6">
      <c r="A355" s="4"/>
      <c r="B355" s="5"/>
      <c r="C355" s="4"/>
      <c r="D355" s="4"/>
      <c r="E355" s="4"/>
      <c r="F355" s="6"/>
    </row>
    <row r="356" spans="1:6">
      <c r="A356" s="4"/>
      <c r="B356" s="5"/>
      <c r="C356" s="4"/>
      <c r="D356" s="4"/>
      <c r="E356" s="4"/>
      <c r="F356" s="6"/>
    </row>
    <row r="357" spans="1:6">
      <c r="A357" s="4"/>
      <c r="B357" s="5"/>
      <c r="C357" s="4"/>
      <c r="D357" s="4"/>
      <c r="E357" s="4"/>
      <c r="F357" s="6"/>
    </row>
    <row r="358" spans="1:6">
      <c r="A358" s="4"/>
      <c r="B358" s="5"/>
      <c r="C358" s="4"/>
      <c r="D358" s="4"/>
      <c r="E358" s="4"/>
      <c r="F358" s="6"/>
    </row>
    <row r="359" spans="1:6">
      <c r="A359" s="4"/>
      <c r="B359" s="5"/>
      <c r="C359" s="4"/>
      <c r="D359" s="4"/>
      <c r="E359" s="4"/>
      <c r="F359" s="6"/>
    </row>
    <row r="360" spans="1:6">
      <c r="A360" s="4"/>
      <c r="B360" s="5"/>
      <c r="C360" s="4"/>
      <c r="D360" s="4"/>
      <c r="E360" s="4"/>
      <c r="F360" s="6"/>
    </row>
    <row r="361" spans="1:6">
      <c r="A361" s="4"/>
      <c r="B361" s="5"/>
      <c r="C361" s="4"/>
      <c r="D361" s="4"/>
      <c r="E361" s="4"/>
      <c r="F361" s="6"/>
    </row>
    <row r="362" spans="1:6">
      <c r="A362" s="4"/>
      <c r="B362" s="5"/>
      <c r="C362" s="4"/>
      <c r="D362" s="4"/>
      <c r="E362" s="4"/>
      <c r="F362" s="6"/>
    </row>
    <row r="363" spans="1:6">
      <c r="A363" s="4"/>
      <c r="B363" s="5"/>
      <c r="C363" s="4"/>
      <c r="D363" s="4"/>
      <c r="E363" s="4"/>
      <c r="F363" s="6"/>
    </row>
    <row r="364" spans="1:6">
      <c r="A364" s="4"/>
      <c r="B364" s="5"/>
      <c r="C364" s="4"/>
      <c r="D364" s="4"/>
      <c r="E364" s="4"/>
      <c r="F364" s="6"/>
    </row>
    <row r="365" spans="1:6">
      <c r="A365" s="4"/>
      <c r="B365" s="5"/>
      <c r="C365" s="4"/>
      <c r="D365" s="4"/>
      <c r="E365" s="4"/>
      <c r="F365" s="6"/>
    </row>
    <row r="366" spans="1:6">
      <c r="A366" s="4"/>
      <c r="B366" s="5"/>
      <c r="C366" s="4"/>
      <c r="D366" s="4"/>
      <c r="E366" s="4"/>
      <c r="F366" s="6"/>
    </row>
    <row r="367" spans="1:6">
      <c r="A367" s="4"/>
      <c r="B367" s="5"/>
      <c r="C367" s="4"/>
      <c r="D367" s="4"/>
      <c r="E367" s="4"/>
      <c r="F367" s="6"/>
    </row>
    <row r="368" spans="1:6">
      <c r="A368" s="4"/>
      <c r="B368" s="5"/>
      <c r="C368" s="4"/>
      <c r="D368" s="4"/>
      <c r="E368" s="4"/>
      <c r="F368" s="6"/>
    </row>
    <row r="369" spans="1:6">
      <c r="A369" s="4"/>
      <c r="B369" s="5"/>
      <c r="C369" s="4"/>
      <c r="D369" s="4"/>
      <c r="E369" s="4"/>
      <c r="F369" s="6"/>
    </row>
    <row r="370" spans="1:6">
      <c r="A370" s="4"/>
      <c r="B370" s="5"/>
      <c r="C370" s="4"/>
      <c r="D370" s="4"/>
      <c r="E370" s="4"/>
      <c r="F370" s="6"/>
    </row>
    <row r="371" spans="1:6">
      <c r="A371" s="4"/>
      <c r="B371" s="5"/>
      <c r="C371" s="4"/>
      <c r="D371" s="4"/>
      <c r="E371" s="4"/>
      <c r="F371" s="6"/>
    </row>
    <row r="372" spans="1:6">
      <c r="A372" s="4"/>
      <c r="B372" s="5"/>
      <c r="C372" s="4"/>
      <c r="D372" s="4"/>
      <c r="E372" s="4"/>
      <c r="F372" s="6"/>
    </row>
    <row r="373" spans="1:6">
      <c r="A373" s="4"/>
      <c r="B373" s="5"/>
      <c r="C373" s="4"/>
      <c r="D373" s="4"/>
      <c r="E373" s="4"/>
      <c r="F373" s="6"/>
    </row>
    <row r="374" spans="1:6">
      <c r="A374" s="4"/>
      <c r="B374" s="5"/>
      <c r="C374" s="4"/>
      <c r="D374" s="4"/>
      <c r="E374" s="4"/>
      <c r="F374" s="6"/>
    </row>
    <row r="375" spans="1:6">
      <c r="A375" s="4"/>
      <c r="B375" s="5"/>
      <c r="C375" s="4"/>
      <c r="D375" s="4"/>
      <c r="E375" s="4"/>
      <c r="F375" s="6"/>
    </row>
    <row r="376" spans="1:6">
      <c r="A376" s="4"/>
      <c r="B376" s="5"/>
      <c r="C376" s="4"/>
      <c r="D376" s="4"/>
      <c r="E376" s="4"/>
      <c r="F376" s="6"/>
    </row>
    <row r="377" spans="1:6">
      <c r="A377" s="4"/>
      <c r="B377" s="5"/>
      <c r="C377" s="4"/>
      <c r="D377" s="4"/>
      <c r="E377" s="4"/>
      <c r="F377" s="6"/>
    </row>
    <row r="378" spans="1:6">
      <c r="A378" s="4"/>
      <c r="B378" s="5"/>
      <c r="C378" s="4"/>
      <c r="D378" s="4"/>
      <c r="E378" s="4"/>
      <c r="F378" s="6"/>
    </row>
    <row r="379" spans="1:6">
      <c r="A379" s="4"/>
      <c r="B379" s="5"/>
      <c r="C379" s="4"/>
      <c r="D379" s="4"/>
      <c r="E379" s="4"/>
      <c r="F379" s="6"/>
    </row>
    <row r="380" spans="1:6">
      <c r="A380" s="4"/>
      <c r="B380" s="5"/>
      <c r="C380" s="4"/>
      <c r="D380" s="4"/>
      <c r="E380" s="4"/>
      <c r="F380" s="6"/>
    </row>
    <row r="381" spans="1:6">
      <c r="A381" s="4"/>
      <c r="B381" s="5"/>
      <c r="C381" s="4"/>
      <c r="D381" s="4"/>
      <c r="E381" s="4"/>
      <c r="F381" s="6"/>
    </row>
    <row r="382" spans="1:6">
      <c r="A382" s="4"/>
      <c r="B382" s="5"/>
      <c r="C382" s="4"/>
      <c r="D382" s="4"/>
      <c r="E382" s="4"/>
      <c r="F382" s="6"/>
    </row>
    <row r="383" spans="1:6">
      <c r="A383" s="4"/>
      <c r="B383" s="5"/>
      <c r="C383" s="4"/>
      <c r="D383" s="4"/>
      <c r="E383" s="4"/>
      <c r="F383" s="6"/>
    </row>
    <row r="384" spans="1:6">
      <c r="A384" s="4"/>
      <c r="B384" s="5"/>
      <c r="C384" s="4"/>
      <c r="D384" s="4"/>
      <c r="E384" s="4"/>
      <c r="F384" s="6"/>
    </row>
    <row r="385" spans="1:6">
      <c r="A385" s="4"/>
      <c r="B385" s="5"/>
      <c r="C385" s="4"/>
      <c r="D385" s="4"/>
      <c r="E385" s="4"/>
      <c r="F385" s="6"/>
    </row>
    <row r="386" spans="1:6">
      <c r="A386" s="4"/>
      <c r="B386" s="5"/>
      <c r="C386" s="4"/>
      <c r="D386" s="4"/>
      <c r="E386" s="4"/>
      <c r="F386" s="6"/>
    </row>
    <row r="387" spans="1:6">
      <c r="A387" s="4"/>
      <c r="B387" s="5"/>
      <c r="C387" s="4"/>
      <c r="D387" s="4"/>
      <c r="E387" s="4"/>
      <c r="F387" s="6"/>
    </row>
    <row r="388" spans="1:6">
      <c r="A388" s="4"/>
      <c r="B388" s="5"/>
      <c r="C388" s="4"/>
      <c r="D388" s="4"/>
      <c r="E388" s="4"/>
      <c r="F388" s="6"/>
    </row>
    <row r="389" spans="1:6">
      <c r="A389" s="4"/>
      <c r="B389" s="5"/>
      <c r="C389" s="4"/>
      <c r="D389" s="4"/>
      <c r="E389" s="4"/>
      <c r="F389" s="6"/>
    </row>
    <row r="390" spans="1:6">
      <c r="A390" s="4"/>
      <c r="B390" s="5"/>
      <c r="C390" s="4"/>
      <c r="D390" s="4"/>
      <c r="E390" s="4"/>
      <c r="F390" s="6"/>
    </row>
    <row r="391" spans="1:6">
      <c r="A391" s="4"/>
      <c r="B391" s="5"/>
      <c r="C391" s="4"/>
      <c r="D391" s="4"/>
      <c r="E391" s="4"/>
      <c r="F391" s="6"/>
    </row>
    <row r="392" spans="1:6">
      <c r="A392" s="4"/>
      <c r="B392" s="5"/>
      <c r="C392" s="4"/>
      <c r="D392" s="4"/>
      <c r="E392" s="4"/>
      <c r="F392" s="6"/>
    </row>
    <row r="393" spans="1:6">
      <c r="A393" s="4"/>
      <c r="B393" s="5"/>
      <c r="C393" s="4"/>
      <c r="D393" s="4"/>
      <c r="E393" s="4"/>
      <c r="F393" s="6"/>
    </row>
    <row r="394" spans="1:6">
      <c r="A394" s="4"/>
      <c r="B394" s="5"/>
      <c r="C394" s="4"/>
      <c r="D394" s="4"/>
      <c r="E394" s="4"/>
      <c r="F394" s="6"/>
    </row>
    <row r="395" spans="1:6">
      <c r="A395" s="4"/>
      <c r="B395" s="5"/>
      <c r="C395" s="4"/>
      <c r="D395" s="4"/>
      <c r="E395" s="4"/>
      <c r="F395" s="6"/>
    </row>
    <row r="396" spans="1:6">
      <c r="A396" s="4"/>
      <c r="B396" s="5"/>
      <c r="C396" s="4"/>
      <c r="D396" s="4"/>
      <c r="E396" s="4"/>
      <c r="F396" s="6"/>
    </row>
    <row r="397" spans="1:6">
      <c r="A397" s="4"/>
      <c r="B397" s="5"/>
      <c r="C397" s="4"/>
      <c r="D397" s="4"/>
      <c r="E397" s="4"/>
      <c r="F397" s="6"/>
    </row>
    <row r="398" spans="1:6">
      <c r="A398" s="4"/>
      <c r="B398" s="5"/>
      <c r="C398" s="4"/>
      <c r="D398" s="4"/>
      <c r="E398" s="4"/>
      <c r="F398" s="6"/>
    </row>
    <row r="399" spans="1:6">
      <c r="A399" s="4"/>
      <c r="B399" s="5"/>
      <c r="C399" s="4"/>
      <c r="D399" s="4"/>
      <c r="E399" s="4"/>
      <c r="F399" s="6"/>
    </row>
    <row r="400" spans="1:6">
      <c r="A400" s="4"/>
      <c r="B400" s="5"/>
      <c r="C400" s="4"/>
      <c r="D400" s="4"/>
      <c r="E400" s="4"/>
      <c r="F400" s="6"/>
    </row>
    <row r="401" spans="1:6">
      <c r="A401" s="4"/>
      <c r="B401" s="5"/>
      <c r="C401" s="4"/>
      <c r="D401" s="4"/>
      <c r="E401" s="4"/>
      <c r="F401" s="6"/>
    </row>
    <row r="402" spans="1:6">
      <c r="A402" s="4"/>
      <c r="B402" s="5"/>
      <c r="C402" s="4"/>
      <c r="D402" s="4"/>
      <c r="E402" s="4"/>
      <c r="F402" s="6"/>
    </row>
    <row r="403" spans="1:6">
      <c r="A403" s="4"/>
      <c r="B403" s="5"/>
      <c r="C403" s="4"/>
      <c r="D403" s="4"/>
      <c r="E403" s="4"/>
      <c r="F403" s="6"/>
    </row>
    <row r="404" spans="1:6">
      <c r="A404" s="4"/>
      <c r="B404" s="5"/>
      <c r="C404" s="4"/>
      <c r="D404" s="4"/>
      <c r="E404" s="4"/>
      <c r="F404" s="6"/>
    </row>
    <row r="405" spans="1:6">
      <c r="A405" s="4"/>
      <c r="B405" s="5"/>
      <c r="C405" s="4"/>
      <c r="D405" s="4"/>
      <c r="E405" s="4"/>
      <c r="F405" s="6"/>
    </row>
    <row r="406" spans="1:6">
      <c r="A406" s="4"/>
      <c r="B406" s="5"/>
      <c r="C406" s="4"/>
      <c r="D406" s="4"/>
      <c r="E406" s="4"/>
      <c r="F406" s="6"/>
    </row>
    <row r="407" spans="1:6">
      <c r="A407" s="4"/>
      <c r="B407" s="5"/>
      <c r="C407" s="4"/>
      <c r="D407" s="4"/>
      <c r="E407" s="4"/>
      <c r="F407" s="6"/>
    </row>
    <row r="408" spans="1:6">
      <c r="A408" s="4"/>
      <c r="B408" s="5"/>
      <c r="C408" s="4"/>
      <c r="D408" s="4"/>
      <c r="E408" s="4"/>
      <c r="F408" s="6"/>
    </row>
    <row r="409" spans="1:6">
      <c r="A409" s="4"/>
      <c r="B409" s="5"/>
      <c r="C409" s="4"/>
      <c r="D409" s="4"/>
      <c r="E409" s="4"/>
      <c r="F409" s="6"/>
    </row>
    <row r="410" spans="1:6">
      <c r="A410" s="4"/>
      <c r="B410" s="5"/>
      <c r="C410" s="4"/>
      <c r="D410" s="4"/>
      <c r="E410" s="4"/>
      <c r="F410" s="6"/>
    </row>
    <row r="411" spans="1:6">
      <c r="A411" s="4"/>
      <c r="B411" s="5"/>
      <c r="C411" s="4"/>
      <c r="D411" s="4"/>
      <c r="E411" s="4"/>
      <c r="F411" s="6"/>
    </row>
    <row r="412" spans="1:6">
      <c r="A412" s="4"/>
      <c r="B412" s="5"/>
      <c r="C412" s="4"/>
      <c r="D412" s="4"/>
      <c r="E412" s="4"/>
      <c r="F412" s="6"/>
    </row>
    <row r="413" spans="1:6">
      <c r="A413" s="4"/>
      <c r="B413" s="5"/>
      <c r="C413" s="4"/>
      <c r="D413" s="4"/>
      <c r="E413" s="4"/>
      <c r="F413" s="6"/>
    </row>
    <row r="414" spans="1:6">
      <c r="A414" s="4"/>
      <c r="B414" s="5"/>
      <c r="C414" s="4"/>
      <c r="D414" s="4"/>
      <c r="E414" s="4"/>
      <c r="F414" s="6"/>
    </row>
    <row r="415" spans="1:6">
      <c r="A415" s="4"/>
      <c r="B415" s="5"/>
      <c r="C415" s="4"/>
      <c r="D415" s="4"/>
      <c r="E415" s="4"/>
      <c r="F415" s="6"/>
    </row>
    <row r="416" spans="1:6">
      <c r="A416" s="4"/>
      <c r="B416" s="5"/>
      <c r="C416" s="4"/>
      <c r="D416" s="4"/>
      <c r="E416" s="4"/>
      <c r="F416" s="6"/>
    </row>
    <row r="417" spans="1:6">
      <c r="A417" s="4"/>
      <c r="B417" s="5"/>
      <c r="C417" s="4"/>
      <c r="D417" s="4"/>
      <c r="E417" s="4"/>
      <c r="F417" s="6"/>
    </row>
    <row r="418" spans="1:6">
      <c r="A418" s="4"/>
      <c r="B418" s="5"/>
      <c r="C418" s="4"/>
      <c r="D418" s="4"/>
      <c r="E418" s="4"/>
      <c r="F418" s="6"/>
    </row>
    <row r="419" spans="1:6">
      <c r="A419" s="4"/>
      <c r="B419" s="5"/>
      <c r="C419" s="4"/>
      <c r="D419" s="4"/>
      <c r="E419" s="4"/>
      <c r="F419" s="6"/>
    </row>
    <row r="420" spans="1:6">
      <c r="A420" s="4"/>
      <c r="B420" s="5"/>
      <c r="C420" s="4"/>
      <c r="D420" s="4"/>
      <c r="E420" s="4"/>
      <c r="F420" s="6"/>
    </row>
    <row r="421" spans="1:6">
      <c r="A421" s="4"/>
      <c r="B421" s="5"/>
      <c r="C421" s="4"/>
      <c r="D421" s="4"/>
      <c r="E421" s="4"/>
      <c r="F421" s="6"/>
    </row>
    <row r="422" spans="1:6">
      <c r="A422" s="4"/>
      <c r="B422" s="5"/>
      <c r="C422" s="4"/>
      <c r="D422" s="4"/>
      <c r="E422" s="4"/>
      <c r="F422" s="6"/>
    </row>
    <row r="423" spans="1:6">
      <c r="A423" s="4"/>
      <c r="B423" s="5"/>
      <c r="C423" s="4"/>
      <c r="D423" s="4"/>
      <c r="E423" s="4"/>
      <c r="F423" s="6"/>
    </row>
    <row r="424" spans="1:6">
      <c r="A424" s="4"/>
      <c r="B424" s="5"/>
      <c r="C424" s="4"/>
      <c r="D424" s="4"/>
      <c r="E424" s="4"/>
      <c r="F424" s="6"/>
    </row>
    <row r="425" spans="1:6">
      <c r="A425" s="4"/>
      <c r="B425" s="5"/>
      <c r="C425" s="4"/>
      <c r="D425" s="4"/>
      <c r="E425" s="4"/>
      <c r="F425" s="6"/>
    </row>
    <row r="426" spans="1:6">
      <c r="A426" s="4"/>
      <c r="B426" s="5"/>
      <c r="C426" s="4"/>
      <c r="D426" s="4"/>
      <c r="E426" s="4"/>
      <c r="F426" s="6"/>
    </row>
    <row r="427" spans="1:6">
      <c r="A427" s="4"/>
      <c r="B427" s="5"/>
      <c r="C427" s="4"/>
      <c r="D427" s="4"/>
      <c r="E427" s="4"/>
      <c r="F427" s="6"/>
    </row>
    <row r="428" spans="1:6">
      <c r="A428" s="4"/>
      <c r="B428" s="5"/>
      <c r="C428" s="4"/>
      <c r="D428" s="4"/>
      <c r="E428" s="4"/>
      <c r="F428" s="6"/>
    </row>
    <row r="429" spans="1:6">
      <c r="A429" s="4"/>
      <c r="B429" s="5"/>
      <c r="C429" s="4"/>
      <c r="D429" s="4"/>
      <c r="E429" s="4"/>
      <c r="F429" s="6"/>
    </row>
    <row r="430" spans="1:6">
      <c r="A430" s="4"/>
      <c r="B430" s="5"/>
      <c r="C430" s="4"/>
      <c r="D430" s="4"/>
      <c r="E430" s="4"/>
      <c r="F430" s="6"/>
    </row>
    <row r="431" spans="1:6">
      <c r="A431" s="4"/>
      <c r="B431" s="5"/>
      <c r="C431" s="4"/>
      <c r="D431" s="4"/>
      <c r="E431" s="4"/>
      <c r="F431" s="6"/>
    </row>
    <row r="432" spans="1:6">
      <c r="A432" s="4"/>
      <c r="B432" s="5"/>
      <c r="C432" s="4"/>
      <c r="D432" s="4"/>
      <c r="E432" s="4"/>
      <c r="F432" s="6"/>
    </row>
    <row r="433" spans="1:6">
      <c r="A433" s="4"/>
      <c r="B433" s="5"/>
      <c r="C433" s="4"/>
      <c r="D433" s="4"/>
      <c r="E433" s="4"/>
      <c r="F433" s="6"/>
    </row>
    <row r="434" spans="1:6">
      <c r="A434" s="4"/>
      <c r="B434" s="5"/>
      <c r="C434" s="4"/>
      <c r="D434" s="4"/>
      <c r="E434" s="4"/>
      <c r="F434" s="6"/>
    </row>
    <row r="435" spans="1:6">
      <c r="A435" s="4"/>
      <c r="B435" s="5"/>
      <c r="C435" s="4"/>
      <c r="D435" s="4"/>
      <c r="E435" s="4"/>
      <c r="F435" s="6"/>
    </row>
    <row r="436" spans="1:6">
      <c r="A436" s="4"/>
      <c r="B436" s="5"/>
      <c r="C436" s="4"/>
      <c r="D436" s="4"/>
      <c r="E436" s="4"/>
      <c r="F436" s="6"/>
    </row>
    <row r="437" spans="1:6">
      <c r="A437" s="4"/>
      <c r="B437" s="5"/>
      <c r="C437" s="4"/>
      <c r="D437" s="4"/>
      <c r="E437" s="4"/>
      <c r="F437" s="6"/>
    </row>
    <row r="438" spans="1:6">
      <c r="A438" s="4"/>
      <c r="B438" s="5"/>
      <c r="C438" s="4"/>
      <c r="D438" s="4"/>
      <c r="E438" s="4"/>
      <c r="F438" s="6"/>
    </row>
    <row r="439" spans="1:6">
      <c r="A439" s="4"/>
      <c r="B439" s="5"/>
      <c r="C439" s="4"/>
      <c r="D439" s="4"/>
      <c r="E439" s="4"/>
      <c r="F439" s="6"/>
    </row>
    <row r="440" spans="1:6">
      <c r="A440" s="4"/>
      <c r="B440" s="5"/>
      <c r="C440" s="4"/>
      <c r="D440" s="4"/>
      <c r="E440" s="4"/>
      <c r="F440" s="6"/>
    </row>
    <row r="441" spans="1:6">
      <c r="A441" s="4"/>
      <c r="B441" s="5"/>
      <c r="C441" s="4"/>
      <c r="D441" s="4"/>
      <c r="E441" s="4"/>
      <c r="F441" s="6"/>
    </row>
    <row r="442" spans="1:6">
      <c r="A442" s="4"/>
      <c r="B442" s="5"/>
      <c r="C442" s="4"/>
      <c r="D442" s="4"/>
      <c r="E442" s="4"/>
      <c r="F442" s="6"/>
    </row>
    <row r="443" spans="1:6">
      <c r="A443" s="4"/>
      <c r="B443" s="5"/>
      <c r="C443" s="4"/>
      <c r="D443" s="4"/>
      <c r="E443" s="4"/>
      <c r="F443" s="6"/>
    </row>
    <row r="444" spans="1:6">
      <c r="A444" s="4"/>
      <c r="B444" s="5"/>
      <c r="C444" s="4"/>
      <c r="D444" s="4"/>
      <c r="E444" s="4"/>
      <c r="F444" s="6"/>
    </row>
    <row r="445" spans="1:6">
      <c r="A445" s="4"/>
      <c r="B445" s="5"/>
      <c r="C445" s="4"/>
      <c r="D445" s="4"/>
      <c r="E445" s="4"/>
      <c r="F445" s="6"/>
    </row>
    <row r="446" spans="1:6">
      <c r="A446" s="4"/>
      <c r="B446" s="5"/>
      <c r="C446" s="4"/>
      <c r="D446" s="4"/>
      <c r="E446" s="4"/>
      <c r="F446" s="6"/>
    </row>
    <row r="447" spans="1:6">
      <c r="A447" s="4"/>
      <c r="B447" s="5"/>
      <c r="C447" s="4"/>
      <c r="D447" s="4"/>
      <c r="E447" s="4"/>
      <c r="F447" s="6"/>
    </row>
    <row r="448" spans="1:6">
      <c r="A448" s="4"/>
      <c r="B448" s="5"/>
      <c r="C448" s="4"/>
      <c r="D448" s="4"/>
      <c r="E448" s="4"/>
      <c r="F448" s="6"/>
    </row>
    <row r="449" spans="1:6">
      <c r="A449" s="4"/>
      <c r="B449" s="5"/>
      <c r="C449" s="4"/>
      <c r="D449" s="4"/>
      <c r="E449" s="4"/>
      <c r="F449" s="6"/>
    </row>
    <row r="450" spans="1:6">
      <c r="A450" s="4"/>
      <c r="B450" s="5"/>
      <c r="C450" s="4"/>
      <c r="D450" s="4"/>
      <c r="E450" s="4"/>
      <c r="F450" s="6"/>
    </row>
    <row r="451" spans="1:6">
      <c r="A451" s="4"/>
      <c r="B451" s="5"/>
      <c r="C451" s="4"/>
      <c r="D451" s="4"/>
      <c r="E451" s="4"/>
      <c r="F451" s="6"/>
    </row>
    <row r="452" spans="1:6">
      <c r="A452" s="4"/>
      <c r="B452" s="5"/>
      <c r="C452" s="4"/>
      <c r="D452" s="4"/>
      <c r="E452" s="4"/>
      <c r="F452" s="6"/>
    </row>
    <row r="453" spans="1:6">
      <c r="A453" s="4"/>
      <c r="B453" s="5"/>
      <c r="C453" s="4"/>
      <c r="D453" s="4"/>
      <c r="E453" s="4"/>
      <c r="F453" s="6"/>
    </row>
    <row r="454" spans="1:6">
      <c r="A454" s="4"/>
      <c r="B454" s="5"/>
      <c r="C454" s="4"/>
      <c r="D454" s="4"/>
      <c r="E454" s="4"/>
      <c r="F454" s="6"/>
    </row>
    <row r="455" spans="1:6">
      <c r="A455" s="4"/>
      <c r="B455" s="5"/>
      <c r="C455" s="4"/>
      <c r="D455" s="4"/>
      <c r="E455" s="4"/>
      <c r="F455" s="6"/>
    </row>
    <row r="456" spans="1:6">
      <c r="A456" s="4"/>
      <c r="B456" s="5"/>
      <c r="C456" s="4"/>
      <c r="D456" s="4"/>
      <c r="E456" s="4"/>
      <c r="F456" s="6"/>
    </row>
    <row r="457" spans="1:6">
      <c r="A457" s="4"/>
      <c r="B457" s="5"/>
      <c r="C457" s="4"/>
      <c r="D457" s="4"/>
      <c r="E457" s="4"/>
      <c r="F457" s="6"/>
    </row>
    <row r="458" spans="1:6">
      <c r="A458" s="4"/>
      <c r="B458" s="5"/>
      <c r="C458" s="4"/>
      <c r="D458" s="4"/>
      <c r="E458" s="4"/>
      <c r="F458" s="6"/>
    </row>
    <row r="459" spans="1:6">
      <c r="A459" s="4"/>
      <c r="B459" s="5"/>
      <c r="C459" s="4"/>
      <c r="D459" s="4"/>
      <c r="E459" s="4"/>
      <c r="F459" s="6"/>
    </row>
    <row r="460" spans="1:6">
      <c r="A460" s="4"/>
      <c r="B460" s="5"/>
      <c r="C460" s="4"/>
      <c r="D460" s="4"/>
      <c r="E460" s="4"/>
      <c r="F460" s="6"/>
    </row>
    <row r="461" spans="1:6">
      <c r="A461" s="4"/>
      <c r="B461" s="5"/>
      <c r="C461" s="4"/>
      <c r="D461" s="4"/>
      <c r="E461" s="4"/>
      <c r="F461" s="6"/>
    </row>
    <row r="462" spans="1:6">
      <c r="A462" s="4"/>
      <c r="B462" s="5"/>
      <c r="C462" s="4"/>
      <c r="D462" s="4"/>
      <c r="E462" s="4"/>
      <c r="F462" s="6"/>
    </row>
    <row r="463" spans="1:6">
      <c r="A463" s="4"/>
      <c r="B463" s="5"/>
      <c r="C463" s="4"/>
      <c r="D463" s="4"/>
      <c r="E463" s="4"/>
      <c r="F463" s="6"/>
    </row>
    <row r="464" spans="1:6">
      <c r="A464" s="4"/>
      <c r="B464" s="5"/>
      <c r="C464" s="4"/>
      <c r="D464" s="4"/>
      <c r="E464" s="4"/>
      <c r="F464" s="6"/>
    </row>
    <row r="465" spans="1:6">
      <c r="A465" s="4"/>
      <c r="B465" s="5"/>
      <c r="C465" s="4"/>
      <c r="D465" s="4"/>
      <c r="E465" s="4"/>
      <c r="F465" s="6"/>
    </row>
    <row r="466" spans="1:6">
      <c r="A466" s="4"/>
      <c r="B466" s="5"/>
      <c r="C466" s="4"/>
      <c r="D466" s="4"/>
      <c r="E466" s="4"/>
      <c r="F466" s="6"/>
    </row>
    <row r="467" spans="1:6">
      <c r="A467" s="4"/>
      <c r="B467" s="5"/>
      <c r="C467" s="4"/>
      <c r="D467" s="4"/>
      <c r="E467" s="4"/>
      <c r="F467" s="6"/>
    </row>
    <row r="468" spans="1:6">
      <c r="A468" s="4"/>
      <c r="B468" s="5"/>
      <c r="C468" s="4"/>
      <c r="D468" s="4"/>
      <c r="E468" s="4"/>
      <c r="F468" s="6"/>
    </row>
    <row r="469" spans="1:6">
      <c r="A469" s="4"/>
      <c r="B469" s="5"/>
      <c r="C469" s="4"/>
      <c r="D469" s="4"/>
      <c r="E469" s="4"/>
      <c r="F469" s="6"/>
    </row>
    <row r="470" spans="1:6">
      <c r="A470" s="4"/>
      <c r="B470" s="5"/>
      <c r="C470" s="4"/>
      <c r="D470" s="4"/>
      <c r="E470" s="4"/>
      <c r="F470" s="6"/>
    </row>
    <row r="471" spans="1:6">
      <c r="A471" s="4"/>
      <c r="B471" s="5"/>
      <c r="C471" s="4"/>
      <c r="D471" s="4"/>
      <c r="E471" s="4"/>
      <c r="F471" s="6"/>
    </row>
    <row r="472" spans="1:6">
      <c r="A472" s="4"/>
      <c r="B472" s="5"/>
      <c r="C472" s="4"/>
      <c r="D472" s="4"/>
      <c r="E472" s="4"/>
      <c r="F472" s="6"/>
    </row>
    <row r="473" spans="1:6">
      <c r="A473" s="4"/>
      <c r="B473" s="5"/>
      <c r="C473" s="4"/>
      <c r="D473" s="4"/>
      <c r="E473" s="4"/>
      <c r="F473" s="6"/>
    </row>
    <row r="474" spans="1:6">
      <c r="A474" s="4"/>
      <c r="B474" s="5"/>
      <c r="C474" s="4"/>
      <c r="D474" s="4"/>
      <c r="E474" s="4"/>
      <c r="F474" s="6"/>
    </row>
    <row r="475" spans="1:6">
      <c r="A475" s="4"/>
      <c r="B475" s="5"/>
      <c r="C475" s="4"/>
      <c r="D475" s="4"/>
      <c r="E475" s="4"/>
      <c r="F475" s="6"/>
    </row>
    <row r="476" spans="1:6">
      <c r="A476" s="4"/>
      <c r="B476" s="5"/>
      <c r="C476" s="4"/>
      <c r="D476" s="4"/>
      <c r="E476" s="4"/>
      <c r="F476" s="6"/>
    </row>
    <row r="477" spans="1:6">
      <c r="A477" s="4"/>
      <c r="B477" s="5"/>
      <c r="C477" s="4"/>
      <c r="D477" s="4"/>
      <c r="E477" s="4"/>
      <c r="F477" s="6"/>
    </row>
    <row r="478" spans="1:6">
      <c r="A478" s="4"/>
      <c r="B478" s="5"/>
      <c r="C478" s="4"/>
      <c r="D478" s="4"/>
      <c r="E478" s="4"/>
      <c r="F478" s="6"/>
    </row>
    <row r="479" spans="1:6">
      <c r="A479" s="4"/>
      <c r="B479" s="5"/>
      <c r="C479" s="4"/>
      <c r="D479" s="4"/>
      <c r="E479" s="4"/>
      <c r="F479" s="6"/>
    </row>
    <row r="480" spans="1:6">
      <c r="A480" s="4"/>
      <c r="B480" s="5"/>
      <c r="C480" s="4"/>
      <c r="D480" s="4"/>
      <c r="E480" s="4"/>
      <c r="F480" s="6"/>
    </row>
    <row r="481" spans="1:6">
      <c r="A481" s="4"/>
      <c r="B481" s="5"/>
      <c r="C481" s="4"/>
      <c r="D481" s="4"/>
      <c r="E481" s="4"/>
      <c r="F481" s="6"/>
    </row>
    <row r="482" spans="1:6">
      <c r="A482" s="4"/>
      <c r="B482" s="5"/>
      <c r="C482" s="4"/>
      <c r="D482" s="4"/>
      <c r="E482" s="4"/>
      <c r="F482" s="6"/>
    </row>
    <row r="483" spans="1:6">
      <c r="A483" s="4"/>
      <c r="B483" s="5"/>
      <c r="C483" s="4"/>
      <c r="D483" s="4"/>
      <c r="E483" s="4"/>
      <c r="F483" s="6"/>
    </row>
    <row r="484" spans="1:6">
      <c r="A484" s="4"/>
      <c r="B484" s="5"/>
      <c r="C484" s="4"/>
      <c r="D484" s="4"/>
      <c r="E484" s="4"/>
      <c r="F484" s="6"/>
    </row>
    <row r="485" spans="1:6">
      <c r="A485" s="4"/>
      <c r="B485" s="5"/>
      <c r="C485" s="4"/>
      <c r="D485" s="4"/>
      <c r="E485" s="4"/>
      <c r="F485" s="6"/>
    </row>
    <row r="486" spans="1:6">
      <c r="A486" s="4"/>
      <c r="B486" s="5"/>
      <c r="C486" s="4"/>
      <c r="D486" s="4"/>
      <c r="E486" s="4"/>
      <c r="F486" s="6"/>
    </row>
    <row r="487" spans="1:6">
      <c r="A487" s="4"/>
      <c r="B487" s="5"/>
      <c r="C487" s="4"/>
      <c r="D487" s="4"/>
      <c r="E487" s="4"/>
      <c r="F487" s="6"/>
    </row>
    <row r="488" spans="1:6">
      <c r="A488" s="4"/>
      <c r="B488" s="5"/>
      <c r="C488" s="4"/>
      <c r="D488" s="4"/>
      <c r="E488" s="4"/>
      <c r="F488" s="6"/>
    </row>
    <row r="489" spans="1:6">
      <c r="A489" s="4"/>
      <c r="B489" s="5"/>
      <c r="C489" s="4"/>
      <c r="D489" s="4"/>
      <c r="E489" s="4"/>
      <c r="F489" s="6"/>
    </row>
    <row r="490" spans="1:6">
      <c r="A490" s="4"/>
      <c r="B490" s="5"/>
      <c r="C490" s="4"/>
      <c r="D490" s="4"/>
      <c r="E490" s="4"/>
      <c r="F490" s="6"/>
    </row>
    <row r="491" spans="1:6">
      <c r="A491" s="4"/>
      <c r="B491" s="5"/>
      <c r="C491" s="4"/>
      <c r="D491" s="4"/>
      <c r="E491" s="4"/>
      <c r="F491" s="6"/>
    </row>
    <row r="492" spans="1:6">
      <c r="A492" s="4"/>
      <c r="B492" s="5"/>
      <c r="C492" s="4"/>
      <c r="D492" s="4"/>
      <c r="E492" s="4"/>
      <c r="F492" s="6"/>
    </row>
    <row r="493" spans="1:6">
      <c r="A493" s="4"/>
      <c r="B493" s="5"/>
      <c r="C493" s="4"/>
      <c r="D493" s="4"/>
      <c r="E493" s="4"/>
      <c r="F493" s="6"/>
    </row>
    <row r="494" spans="1:6">
      <c r="A494" s="4"/>
      <c r="B494" s="5"/>
      <c r="C494" s="4"/>
      <c r="D494" s="4"/>
      <c r="E494" s="4"/>
      <c r="F494" s="6"/>
    </row>
    <row r="495" spans="1:6">
      <c r="A495" s="4"/>
      <c r="B495" s="5"/>
      <c r="C495" s="4"/>
      <c r="D495" s="4"/>
      <c r="E495" s="4"/>
      <c r="F495" s="6"/>
    </row>
    <row r="496" spans="1:6">
      <c r="A496" s="4"/>
      <c r="B496" s="5"/>
      <c r="C496" s="4"/>
      <c r="D496" s="4"/>
      <c r="E496" s="4"/>
      <c r="F496" s="6"/>
    </row>
    <row r="497" spans="1:6">
      <c r="A497" s="4"/>
      <c r="B497" s="5"/>
      <c r="C497" s="4"/>
      <c r="D497" s="4"/>
      <c r="E497" s="4"/>
      <c r="F497" s="6"/>
    </row>
    <row r="498" spans="1:6">
      <c r="A498" s="4"/>
      <c r="B498" s="5"/>
      <c r="C498" s="4"/>
      <c r="D498" s="4"/>
      <c r="E498" s="4"/>
      <c r="F498" s="6"/>
    </row>
    <row r="499" spans="1:6">
      <c r="A499" s="4"/>
      <c r="B499" s="5"/>
      <c r="C499" s="4"/>
      <c r="D499" s="4"/>
      <c r="E499" s="4"/>
      <c r="F499" s="6"/>
    </row>
    <row r="500" spans="1:6">
      <c r="A500" s="4"/>
      <c r="B500" s="5"/>
      <c r="C500" s="4"/>
      <c r="D500" s="4"/>
      <c r="E500" s="4"/>
      <c r="F500" s="6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E857-FDC9-49CB-93D6-B2311B106D33}">
  <sheetPr codeName="Sheet19">
    <tabColor theme="8" tint="0.39997558519241921"/>
  </sheetPr>
  <dimension ref="A1:O1106"/>
  <sheetViews>
    <sheetView workbookViewId="0">
      <pane ySplit="1" topLeftCell="A650" activePane="bottomLeft" state="frozen"/>
      <selection pane="bottomLeft" activeCell="H6" sqref="H6:O676"/>
    </sheetView>
  </sheetViews>
  <sheetFormatPr defaultRowHeight="12.75"/>
  <cols>
    <col min="1" max="1" width="2.5703125" bestFit="1" customWidth="1"/>
    <col min="2" max="2" width="19.5703125" bestFit="1" customWidth="1"/>
    <col min="3" max="3" width="34.42578125" bestFit="1" customWidth="1"/>
    <col min="4" max="4" width="10.140625" bestFit="1" customWidth="1"/>
    <col min="5" max="5" width="7.5703125" bestFit="1" customWidth="1"/>
    <col min="6" max="6" width="8" customWidth="1"/>
    <col min="7" max="7" width="4" customWidth="1"/>
    <col min="8" max="8" width="2.5703125" bestFit="1" customWidth="1"/>
    <col min="9" max="9" width="17.28515625" bestFit="1" customWidth="1"/>
    <col min="10" max="10" width="34.42578125" bestFit="1" customWidth="1"/>
    <col min="11" max="11" width="10.140625" bestFit="1" customWidth="1"/>
    <col min="12" max="12" width="7.5703125" bestFit="1" customWidth="1"/>
    <col min="13" max="13" width="8" bestFit="1" customWidth="1"/>
    <col min="14" max="14" width="15.140625" bestFit="1" customWidth="1"/>
    <col min="15" max="15" width="42" customWidth="1"/>
  </cols>
  <sheetData>
    <row r="1" spans="1:15">
      <c r="B1" s="16" t="s">
        <v>9143</v>
      </c>
      <c r="C1" s="16" t="s">
        <v>9144</v>
      </c>
    </row>
    <row r="5" spans="1:15">
      <c r="A5" t="s">
        <v>418</v>
      </c>
      <c r="B5" t="s">
        <v>200</v>
      </c>
      <c r="C5" t="s">
        <v>201</v>
      </c>
      <c r="D5" t="s">
        <v>202</v>
      </c>
      <c r="E5" t="s">
        <v>419</v>
      </c>
      <c r="F5" t="s">
        <v>204</v>
      </c>
      <c r="H5" s="17" t="str">
        <f t="shared" ref="H5:M5" si="0">A5</f>
        <v>lvl</v>
      </c>
      <c r="I5" s="17" t="str">
        <f t="shared" si="0"/>
        <v>Item ID</v>
      </c>
      <c r="J5" s="18" t="str">
        <f t="shared" si="0"/>
        <v>Description</v>
      </c>
      <c r="K5" s="18" t="str">
        <f t="shared" si="0"/>
        <v>BOM Code</v>
      </c>
      <c r="L5" s="18" t="str">
        <f t="shared" si="0"/>
        <v>OP Seq</v>
      </c>
      <c r="M5" s="18" t="str">
        <f t="shared" si="0"/>
        <v>Quantity</v>
      </c>
      <c r="N5" s="18" t="s">
        <v>432</v>
      </c>
      <c r="O5" s="18" t="s">
        <v>431</v>
      </c>
    </row>
    <row r="6" spans="1:15" ht="38.25">
      <c r="A6" s="4">
        <v>4</v>
      </c>
      <c r="B6" s="5" t="s">
        <v>9145</v>
      </c>
      <c r="C6" s="4" t="s">
        <v>9146</v>
      </c>
      <c r="D6" s="4">
        <v>1</v>
      </c>
      <c r="E6" s="4">
        <v>91</v>
      </c>
      <c r="F6" s="6">
        <v>1</v>
      </c>
      <c r="H6">
        <f>A6</f>
        <v>4</v>
      </c>
      <c r="I6" t="str">
        <f>IFERROR(IF(SEARCH(" &lt;-",B6,1),LEFT(B6,SEARCH(" ",B6,1)-1),""),LEFT(B6,SEARCH("View",B6,1)-1))</f>
        <v>CBPFA39APPK1</v>
      </c>
      <c r="J6" s="6" t="str">
        <f>C6</f>
        <v>CHICAGO BLUES 2LP</v>
      </c>
      <c r="K6" s="6">
        <f>D6</f>
        <v>1</v>
      </c>
      <c r="L6" s="6">
        <f>E6</f>
        <v>91</v>
      </c>
      <c r="M6" s="6">
        <f>F6</f>
        <v>1</v>
      </c>
      <c r="N6" s="6" t="str">
        <f>TRIM($B$1)</f>
        <v>100PFA39-6200</v>
      </c>
      <c r="O6" s="6" t="str">
        <f>TRIM($C$1)</f>
        <v>SINGING THE CHICAGO BLUES</v>
      </c>
    </row>
    <row r="7" spans="1:15" ht="25.5">
      <c r="A7" s="4">
        <v>3</v>
      </c>
      <c r="B7" s="5" t="s">
        <v>9147</v>
      </c>
      <c r="C7" s="4" t="s">
        <v>9148</v>
      </c>
      <c r="D7" s="4">
        <v>1</v>
      </c>
      <c r="E7" s="4">
        <v>10</v>
      </c>
      <c r="F7" s="6">
        <v>1</v>
      </c>
      <c r="H7">
        <f t="shared" ref="H7:H13" si="1">A7</f>
        <v>3</v>
      </c>
      <c r="I7" t="str">
        <f t="shared" ref="I7:I70" si="2">IFERROR(IF(SEARCH(" &lt;-",B7,1),LEFT(B7,SEARCH(" ",B7,1)-1),""),LEFT(B7,SEARCH("View",B7,1)-1))</f>
        <v>J46I8944AM31</v>
      </c>
      <c r="J7" s="6" t="str">
        <f t="shared" ref="J7:J13" si="3">C7</f>
        <v>PFA39 TEX L APP 59.641 X 144</v>
      </c>
      <c r="K7" s="6">
        <f t="shared" ref="K7:K13" si="4">D7</f>
        <v>1</v>
      </c>
      <c r="L7" s="6">
        <f t="shared" ref="L7:L13" si="5">E7</f>
        <v>10</v>
      </c>
      <c r="M7" s="6">
        <f t="shared" ref="M7:M13" si="6">F7</f>
        <v>1</v>
      </c>
      <c r="N7" s="6" t="str">
        <f t="shared" ref="N7:N70" si="7">TRIM($B$1)</f>
        <v>100PFA39-6200</v>
      </c>
      <c r="O7" s="6" t="str">
        <f t="shared" ref="O7:O70" si="8">TRIM($C$1)</f>
        <v>SINGING THE CHICAGO BLUES</v>
      </c>
    </row>
    <row r="8" spans="1:15" ht="25.5">
      <c r="A8" s="4">
        <v>2</v>
      </c>
      <c r="B8" s="5" t="s">
        <v>9149</v>
      </c>
      <c r="C8" s="4" t="s">
        <v>9150</v>
      </c>
      <c r="D8" s="4">
        <v>1</v>
      </c>
      <c r="E8" s="4">
        <v>10</v>
      </c>
      <c r="F8" s="6">
        <v>1</v>
      </c>
      <c r="H8">
        <f t="shared" si="1"/>
        <v>2</v>
      </c>
      <c r="I8" t="str">
        <f t="shared" si="2"/>
        <v>200I8944-520</v>
      </c>
      <c r="J8" s="6" t="str">
        <f t="shared" si="3"/>
        <v>PFA39 LEFT APPR 60 X 144</v>
      </c>
      <c r="K8" s="6">
        <f t="shared" si="4"/>
        <v>1</v>
      </c>
      <c r="L8" s="6">
        <f t="shared" si="5"/>
        <v>10</v>
      </c>
      <c r="M8" s="6">
        <f t="shared" si="6"/>
        <v>1</v>
      </c>
      <c r="N8" s="6" t="str">
        <f t="shared" si="7"/>
        <v>100PFA39-6200</v>
      </c>
      <c r="O8" s="6" t="str">
        <f t="shared" si="8"/>
        <v>SINGING THE CHICAGO BLUES</v>
      </c>
    </row>
    <row r="9" spans="1:15" ht="38.25">
      <c r="A9" s="4">
        <v>1</v>
      </c>
      <c r="B9" s="5" t="s">
        <v>9151</v>
      </c>
      <c r="C9" s="4" t="s">
        <v>9152</v>
      </c>
      <c r="D9" s="4">
        <v>1</v>
      </c>
      <c r="E9" s="4">
        <v>10</v>
      </c>
      <c r="F9" s="6">
        <v>1.1133999999999999</v>
      </c>
      <c r="H9">
        <f t="shared" si="1"/>
        <v>1</v>
      </c>
      <c r="I9" t="str">
        <f t="shared" si="2"/>
        <v>200PFA39-5201</v>
      </c>
      <c r="J9" s="6" t="str">
        <f t="shared" si="3"/>
        <v>SING CHICAGO BLUES 60 X 144</v>
      </c>
      <c r="K9" s="6">
        <f t="shared" si="4"/>
        <v>1</v>
      </c>
      <c r="L9" s="6">
        <f t="shared" si="5"/>
        <v>10</v>
      </c>
      <c r="M9" s="6">
        <f t="shared" si="6"/>
        <v>1.1133999999999999</v>
      </c>
      <c r="N9" s="6" t="str">
        <f t="shared" si="7"/>
        <v>100PFA39-6200</v>
      </c>
      <c r="O9" s="6" t="str">
        <f t="shared" si="8"/>
        <v>SINGING THE CHICAGO BLUES</v>
      </c>
    </row>
    <row r="10" spans="1:15" ht="38.25">
      <c r="A10" s="4">
        <v>4</v>
      </c>
      <c r="B10" s="5" t="s">
        <v>9145</v>
      </c>
      <c r="C10" s="4" t="s">
        <v>9146</v>
      </c>
      <c r="D10" s="4">
        <v>1</v>
      </c>
      <c r="E10" s="4">
        <v>91</v>
      </c>
      <c r="F10" s="6">
        <v>1</v>
      </c>
      <c r="H10">
        <f t="shared" si="1"/>
        <v>4</v>
      </c>
      <c r="I10" t="str">
        <f t="shared" si="2"/>
        <v>CBPFA39APPK1</v>
      </c>
      <c r="J10" s="6" t="str">
        <f t="shared" si="3"/>
        <v>CHICAGO BLUES 2LP</v>
      </c>
      <c r="K10" s="6">
        <f t="shared" si="4"/>
        <v>1</v>
      </c>
      <c r="L10" s="6">
        <f t="shared" si="5"/>
        <v>91</v>
      </c>
      <c r="M10" s="6">
        <f t="shared" si="6"/>
        <v>1</v>
      </c>
      <c r="N10" s="6" t="str">
        <f t="shared" si="7"/>
        <v>100PFA39-6200</v>
      </c>
      <c r="O10" s="6" t="str">
        <f t="shared" si="8"/>
        <v>SINGING THE CHICAGO BLUES</v>
      </c>
    </row>
    <row r="11" spans="1:15" ht="25.5">
      <c r="A11" s="4">
        <v>3</v>
      </c>
      <c r="B11" s="5" t="s">
        <v>9153</v>
      </c>
      <c r="C11" s="4" t="s">
        <v>9154</v>
      </c>
      <c r="D11" s="4">
        <v>1</v>
      </c>
      <c r="E11" s="4">
        <v>10</v>
      </c>
      <c r="F11" s="6">
        <v>1</v>
      </c>
      <c r="H11">
        <f t="shared" si="1"/>
        <v>3</v>
      </c>
      <c r="I11" t="str">
        <f t="shared" si="2"/>
        <v>J46I8945AM30</v>
      </c>
      <c r="J11" s="6" t="str">
        <f t="shared" si="3"/>
        <v>PFA39 TEX R APP 59.641 X 144</v>
      </c>
      <c r="K11" s="6">
        <f t="shared" si="4"/>
        <v>1</v>
      </c>
      <c r="L11" s="6">
        <f t="shared" si="5"/>
        <v>10</v>
      </c>
      <c r="M11" s="6">
        <f t="shared" si="6"/>
        <v>1</v>
      </c>
      <c r="N11" s="6" t="str">
        <f t="shared" si="7"/>
        <v>100PFA39-6200</v>
      </c>
      <c r="O11" s="6" t="str">
        <f t="shared" si="8"/>
        <v>SINGING THE CHICAGO BLUES</v>
      </c>
    </row>
    <row r="12" spans="1:15" ht="25.5">
      <c r="A12" s="4">
        <v>2</v>
      </c>
      <c r="B12" s="5" t="s">
        <v>9155</v>
      </c>
      <c r="C12" s="4" t="s">
        <v>9156</v>
      </c>
      <c r="D12" s="4">
        <v>1</v>
      </c>
      <c r="E12" s="4">
        <v>10</v>
      </c>
      <c r="F12" s="6">
        <v>1</v>
      </c>
      <c r="H12">
        <f t="shared" si="1"/>
        <v>2</v>
      </c>
      <c r="I12" t="str">
        <f t="shared" si="2"/>
        <v>200I8945-520</v>
      </c>
      <c r="J12" s="6" t="str">
        <f t="shared" si="3"/>
        <v>PFA39 RIGHT APPR 60 X 144</v>
      </c>
      <c r="K12" s="6">
        <f t="shared" si="4"/>
        <v>1</v>
      </c>
      <c r="L12" s="6">
        <f t="shared" si="5"/>
        <v>10</v>
      </c>
      <c r="M12" s="6">
        <f t="shared" si="6"/>
        <v>1</v>
      </c>
      <c r="N12" s="6" t="str">
        <f t="shared" si="7"/>
        <v>100PFA39-6200</v>
      </c>
      <c r="O12" s="6" t="str">
        <f t="shared" si="8"/>
        <v>SINGING THE CHICAGO BLUES</v>
      </c>
    </row>
    <row r="13" spans="1:15" ht="38.25">
      <c r="A13" s="4">
        <v>1</v>
      </c>
      <c r="B13" s="5" t="s">
        <v>9151</v>
      </c>
      <c r="C13" s="4" t="s">
        <v>9152</v>
      </c>
      <c r="D13" s="4">
        <v>1</v>
      </c>
      <c r="E13" s="4">
        <v>10</v>
      </c>
      <c r="F13" s="6">
        <v>1.1133999999999999</v>
      </c>
      <c r="H13">
        <f t="shared" si="1"/>
        <v>1</v>
      </c>
      <c r="I13" t="str">
        <f t="shared" si="2"/>
        <v>200PFA39-5201</v>
      </c>
      <c r="J13" s="6" t="str">
        <f t="shared" si="3"/>
        <v>SING CHICAGO BLUES 60 X 144</v>
      </c>
      <c r="K13" s="6">
        <f t="shared" si="4"/>
        <v>1</v>
      </c>
      <c r="L13" s="6">
        <f t="shared" si="5"/>
        <v>10</v>
      </c>
      <c r="M13" s="6">
        <f t="shared" si="6"/>
        <v>1.1133999999999999</v>
      </c>
      <c r="N13" s="6" t="str">
        <f t="shared" si="7"/>
        <v>100PFA39-6200</v>
      </c>
      <c r="O13" s="6" t="str">
        <f t="shared" si="8"/>
        <v>SINGING THE CHICAGO BLUES</v>
      </c>
    </row>
    <row r="14" spans="1:15" ht="38.25">
      <c r="A14" s="4">
        <v>4</v>
      </c>
      <c r="B14" s="5" t="s">
        <v>9145</v>
      </c>
      <c r="C14" s="4" t="s">
        <v>9146</v>
      </c>
      <c r="D14" s="4">
        <v>1</v>
      </c>
      <c r="E14" s="4">
        <v>91</v>
      </c>
      <c r="F14" s="6">
        <v>1</v>
      </c>
      <c r="H14">
        <f t="shared" ref="H14:H32" si="9">A14</f>
        <v>4</v>
      </c>
      <c r="I14" t="str">
        <f t="shared" si="2"/>
        <v>CBPFA39APPK1</v>
      </c>
      <c r="J14" s="6" t="str">
        <f t="shared" ref="J14:J32" si="10">C14</f>
        <v>CHICAGO BLUES 2LP</v>
      </c>
      <c r="K14" s="6">
        <f t="shared" ref="K14:K32" si="11">D14</f>
        <v>1</v>
      </c>
      <c r="L14" s="6">
        <f t="shared" ref="L14:L32" si="12">E14</f>
        <v>91</v>
      </c>
      <c r="M14" s="6">
        <f t="shared" ref="M14:M32" si="13">F14</f>
        <v>1</v>
      </c>
      <c r="N14" s="6" t="str">
        <f t="shared" si="7"/>
        <v>100PFA39-6200</v>
      </c>
      <c r="O14" s="6" t="str">
        <f t="shared" si="8"/>
        <v>SINGING THE CHICAGO BLUES</v>
      </c>
    </row>
    <row r="15" spans="1:15" ht="25.5">
      <c r="A15" s="4">
        <v>3</v>
      </c>
      <c r="B15" s="5" t="s">
        <v>9157</v>
      </c>
      <c r="C15" s="4" t="s">
        <v>9158</v>
      </c>
      <c r="D15" s="4">
        <v>1</v>
      </c>
      <c r="E15" s="4">
        <v>10</v>
      </c>
      <c r="F15" s="6">
        <v>1</v>
      </c>
      <c r="H15">
        <f t="shared" si="9"/>
        <v>3</v>
      </c>
      <c r="I15" t="str">
        <f t="shared" si="2"/>
        <v>J46I8946QM33</v>
      </c>
      <c r="J15" s="6" t="str">
        <f t="shared" si="10"/>
        <v>PFA39 D/F L FOUL 59.641 X 144</v>
      </c>
      <c r="K15" s="6">
        <f t="shared" si="11"/>
        <v>1</v>
      </c>
      <c r="L15" s="6">
        <f t="shared" si="12"/>
        <v>10</v>
      </c>
      <c r="M15" s="6">
        <f t="shared" si="13"/>
        <v>1</v>
      </c>
      <c r="N15" s="6" t="str">
        <f t="shared" si="7"/>
        <v>100PFA39-6200</v>
      </c>
      <c r="O15" s="6" t="str">
        <f t="shared" si="8"/>
        <v>SINGING THE CHICAGO BLUES</v>
      </c>
    </row>
    <row r="16" spans="1:15" ht="25.5">
      <c r="A16" s="4">
        <v>2</v>
      </c>
      <c r="B16" s="5" t="s">
        <v>9159</v>
      </c>
      <c r="C16" s="4" t="s">
        <v>9160</v>
      </c>
      <c r="D16" s="4">
        <v>1</v>
      </c>
      <c r="E16" s="4">
        <v>10</v>
      </c>
      <c r="F16" s="6">
        <v>1</v>
      </c>
      <c r="H16">
        <f t="shared" si="9"/>
        <v>2</v>
      </c>
      <c r="I16" t="str">
        <f t="shared" si="2"/>
        <v>200I8946-520</v>
      </c>
      <c r="J16" s="6" t="str">
        <f t="shared" si="10"/>
        <v>PFA39 LEFT FOUL 60 X 144</v>
      </c>
      <c r="K16" s="6">
        <f t="shared" si="11"/>
        <v>1</v>
      </c>
      <c r="L16" s="6">
        <f t="shared" si="12"/>
        <v>10</v>
      </c>
      <c r="M16" s="6">
        <f t="shared" si="13"/>
        <v>1</v>
      </c>
      <c r="N16" s="6" t="str">
        <f t="shared" si="7"/>
        <v>100PFA39-6200</v>
      </c>
      <c r="O16" s="6" t="str">
        <f t="shared" si="8"/>
        <v>SINGING THE CHICAGO BLUES</v>
      </c>
    </row>
    <row r="17" spans="1:15" ht="38.25">
      <c r="A17" s="4">
        <v>1</v>
      </c>
      <c r="B17" s="5" t="s">
        <v>9151</v>
      </c>
      <c r="C17" s="4" t="s">
        <v>9152</v>
      </c>
      <c r="D17" s="4">
        <v>1</v>
      </c>
      <c r="E17" s="4">
        <v>10</v>
      </c>
      <c r="F17" s="6">
        <v>1.1133999999999999</v>
      </c>
      <c r="H17">
        <f t="shared" si="9"/>
        <v>1</v>
      </c>
      <c r="I17" t="str">
        <f t="shared" si="2"/>
        <v>200PFA39-5201</v>
      </c>
      <c r="J17" s="6" t="str">
        <f t="shared" si="10"/>
        <v>SING CHICAGO BLUES 60 X 144</v>
      </c>
      <c r="K17" s="6">
        <f t="shared" si="11"/>
        <v>1</v>
      </c>
      <c r="L17" s="6">
        <f t="shared" si="12"/>
        <v>10</v>
      </c>
      <c r="M17" s="6">
        <f t="shared" si="13"/>
        <v>1.1133999999999999</v>
      </c>
      <c r="N17" s="6" t="str">
        <f t="shared" si="7"/>
        <v>100PFA39-6200</v>
      </c>
      <c r="O17" s="6" t="str">
        <f t="shared" si="8"/>
        <v>SINGING THE CHICAGO BLUES</v>
      </c>
    </row>
    <row r="18" spans="1:15" ht="38.25">
      <c r="A18" s="4">
        <v>4</v>
      </c>
      <c r="B18" s="5" t="s">
        <v>9145</v>
      </c>
      <c r="C18" s="4" t="s">
        <v>9146</v>
      </c>
      <c r="D18" s="4">
        <v>1</v>
      </c>
      <c r="E18" s="4">
        <v>91</v>
      </c>
      <c r="F18" s="6">
        <v>1</v>
      </c>
      <c r="H18">
        <f t="shared" si="9"/>
        <v>4</v>
      </c>
      <c r="I18" t="str">
        <f t="shared" si="2"/>
        <v>CBPFA39APPK1</v>
      </c>
      <c r="J18" s="6" t="str">
        <f t="shared" si="10"/>
        <v>CHICAGO BLUES 2LP</v>
      </c>
      <c r="K18" s="6">
        <f t="shared" si="11"/>
        <v>1</v>
      </c>
      <c r="L18" s="6">
        <f t="shared" si="12"/>
        <v>91</v>
      </c>
      <c r="M18" s="6">
        <f t="shared" si="13"/>
        <v>1</v>
      </c>
      <c r="N18" s="6" t="str">
        <f t="shared" si="7"/>
        <v>100PFA39-6200</v>
      </c>
      <c r="O18" s="6" t="str">
        <f t="shared" si="8"/>
        <v>SINGING THE CHICAGO BLUES</v>
      </c>
    </row>
    <row r="19" spans="1:15" ht="25.5">
      <c r="A19" s="4">
        <v>3</v>
      </c>
      <c r="B19" s="5" t="s">
        <v>9161</v>
      </c>
      <c r="C19" s="4" t="s">
        <v>9162</v>
      </c>
      <c r="D19" s="4">
        <v>1</v>
      </c>
      <c r="E19" s="4">
        <v>10</v>
      </c>
      <c r="F19" s="6">
        <v>1</v>
      </c>
      <c r="H19">
        <f t="shared" si="9"/>
        <v>3</v>
      </c>
      <c r="I19" t="str">
        <f t="shared" si="2"/>
        <v>J46I8947QM32</v>
      </c>
      <c r="J19" s="6" t="str">
        <f t="shared" si="10"/>
        <v>PFA39 D/F R FOUL 59.641 X 144</v>
      </c>
      <c r="K19" s="6">
        <f t="shared" si="11"/>
        <v>1</v>
      </c>
      <c r="L19" s="6">
        <f t="shared" si="12"/>
        <v>10</v>
      </c>
      <c r="M19" s="6">
        <f t="shared" si="13"/>
        <v>1</v>
      </c>
      <c r="N19" s="6" t="str">
        <f t="shared" si="7"/>
        <v>100PFA39-6200</v>
      </c>
      <c r="O19" s="6" t="str">
        <f t="shared" si="8"/>
        <v>SINGING THE CHICAGO BLUES</v>
      </c>
    </row>
    <row r="20" spans="1:15" ht="25.5">
      <c r="A20" s="4">
        <v>2</v>
      </c>
      <c r="B20" s="5" t="s">
        <v>9163</v>
      </c>
      <c r="C20" s="4" t="s">
        <v>9164</v>
      </c>
      <c r="D20" s="4">
        <v>1</v>
      </c>
      <c r="E20" s="4">
        <v>10</v>
      </c>
      <c r="F20" s="6">
        <v>1</v>
      </c>
      <c r="H20">
        <f t="shared" si="9"/>
        <v>2</v>
      </c>
      <c r="I20" t="str">
        <f t="shared" si="2"/>
        <v>200I8947-520</v>
      </c>
      <c r="J20" s="6" t="str">
        <f t="shared" si="10"/>
        <v>PFA39 RIGHT FOUL 60 X 144</v>
      </c>
      <c r="K20" s="6">
        <f t="shared" si="11"/>
        <v>1</v>
      </c>
      <c r="L20" s="6">
        <f t="shared" si="12"/>
        <v>10</v>
      </c>
      <c r="M20" s="6">
        <f t="shared" si="13"/>
        <v>1</v>
      </c>
      <c r="N20" s="6" t="str">
        <f t="shared" si="7"/>
        <v>100PFA39-6200</v>
      </c>
      <c r="O20" s="6" t="str">
        <f t="shared" si="8"/>
        <v>SINGING THE CHICAGO BLUES</v>
      </c>
    </row>
    <row r="21" spans="1:15" ht="38.25">
      <c r="A21" s="4">
        <v>1</v>
      </c>
      <c r="B21" s="5" t="s">
        <v>9151</v>
      </c>
      <c r="C21" s="4" t="s">
        <v>9152</v>
      </c>
      <c r="D21" s="4">
        <v>1</v>
      </c>
      <c r="E21" s="4">
        <v>10</v>
      </c>
      <c r="F21" s="6">
        <v>1.1133999999999999</v>
      </c>
      <c r="H21">
        <f t="shared" si="9"/>
        <v>1</v>
      </c>
      <c r="I21" t="str">
        <f t="shared" si="2"/>
        <v>200PFA39-5201</v>
      </c>
      <c r="J21" s="6" t="str">
        <f t="shared" si="10"/>
        <v>SING CHICAGO BLUES 60 X 144</v>
      </c>
      <c r="K21" s="6">
        <f t="shared" si="11"/>
        <v>1</v>
      </c>
      <c r="L21" s="6">
        <f t="shared" si="12"/>
        <v>10</v>
      </c>
      <c r="M21" s="6">
        <f t="shared" si="13"/>
        <v>1.1133999999999999</v>
      </c>
      <c r="N21" s="6" t="str">
        <f t="shared" si="7"/>
        <v>100PFA39-6200</v>
      </c>
      <c r="O21" s="6" t="str">
        <f t="shared" si="8"/>
        <v>SINGING THE CHICAGO BLUES</v>
      </c>
    </row>
    <row r="22" spans="1:15" ht="38.25">
      <c r="A22" s="4">
        <v>4</v>
      </c>
      <c r="B22" s="5" t="s">
        <v>9145</v>
      </c>
      <c r="C22" s="4" t="s">
        <v>9146</v>
      </c>
      <c r="D22" s="4">
        <v>1</v>
      </c>
      <c r="E22" s="4">
        <v>91</v>
      </c>
      <c r="F22" s="6">
        <v>1</v>
      </c>
      <c r="H22">
        <f t="shared" si="9"/>
        <v>4</v>
      </c>
      <c r="I22" t="str">
        <f t="shared" si="2"/>
        <v>CBPFA39APPK1</v>
      </c>
      <c r="J22" s="6" t="str">
        <f t="shared" si="10"/>
        <v>CHICAGO BLUES 2LP</v>
      </c>
      <c r="K22" s="6">
        <f t="shared" si="11"/>
        <v>1</v>
      </c>
      <c r="L22" s="6">
        <f t="shared" si="12"/>
        <v>91</v>
      </c>
      <c r="M22" s="6">
        <f t="shared" si="13"/>
        <v>1</v>
      </c>
      <c r="N22" s="6" t="str">
        <f t="shared" si="7"/>
        <v>100PFA39-6200</v>
      </c>
      <c r="O22" s="6" t="str">
        <f t="shared" si="8"/>
        <v>SINGING THE CHICAGO BLUES</v>
      </c>
    </row>
    <row r="23" spans="1:15" ht="25.5">
      <c r="A23" s="4">
        <v>3</v>
      </c>
      <c r="B23" s="5" t="s">
        <v>9165</v>
      </c>
      <c r="C23" s="4" t="s">
        <v>9166</v>
      </c>
      <c r="D23" s="4">
        <v>1</v>
      </c>
      <c r="E23" s="4">
        <v>10</v>
      </c>
      <c r="F23" s="6">
        <v>1</v>
      </c>
      <c r="H23">
        <f t="shared" si="9"/>
        <v>3</v>
      </c>
      <c r="I23" t="str">
        <f t="shared" si="2"/>
        <v>J44I8949PM34</v>
      </c>
      <c r="J23" s="6" t="str">
        <f t="shared" si="10"/>
        <v>PFA39 R ARROW 41.875 X 144</v>
      </c>
      <c r="K23" s="6">
        <f t="shared" si="11"/>
        <v>1</v>
      </c>
      <c r="L23" s="6">
        <f t="shared" si="12"/>
        <v>10</v>
      </c>
      <c r="M23" s="6">
        <f t="shared" si="13"/>
        <v>1</v>
      </c>
      <c r="N23" s="6" t="str">
        <f t="shared" si="7"/>
        <v>100PFA39-6200</v>
      </c>
      <c r="O23" s="6" t="str">
        <f t="shared" si="8"/>
        <v>SINGING THE CHICAGO BLUES</v>
      </c>
    </row>
    <row r="24" spans="1:15" ht="25.5">
      <c r="A24" s="4">
        <v>2</v>
      </c>
      <c r="B24" s="5" t="s">
        <v>9167</v>
      </c>
      <c r="C24" s="4" t="s">
        <v>9168</v>
      </c>
      <c r="D24" s="4">
        <v>1</v>
      </c>
      <c r="E24" s="4">
        <v>10</v>
      </c>
      <c r="F24" s="6">
        <v>1</v>
      </c>
      <c r="H24">
        <f t="shared" si="9"/>
        <v>2</v>
      </c>
      <c r="I24" t="str">
        <f t="shared" si="2"/>
        <v>200I8949-120</v>
      </c>
      <c r="J24" s="6" t="str">
        <f t="shared" si="10"/>
        <v>PFA39 R  ARROW 43 X 145</v>
      </c>
      <c r="K24" s="6">
        <f t="shared" si="11"/>
        <v>1</v>
      </c>
      <c r="L24" s="6">
        <f t="shared" si="12"/>
        <v>10</v>
      </c>
      <c r="M24" s="6">
        <f t="shared" si="13"/>
        <v>1</v>
      </c>
      <c r="N24" s="6" t="str">
        <f t="shared" si="7"/>
        <v>100PFA39-6200</v>
      </c>
      <c r="O24" s="6" t="str">
        <f t="shared" si="8"/>
        <v>SINGING THE CHICAGO BLUES</v>
      </c>
    </row>
    <row r="25" spans="1:15" ht="38.25">
      <c r="A25" s="4">
        <v>1</v>
      </c>
      <c r="B25" s="5" t="s">
        <v>9169</v>
      </c>
      <c r="C25" s="4" t="s">
        <v>9170</v>
      </c>
      <c r="D25" s="4">
        <v>1</v>
      </c>
      <c r="E25" s="4">
        <v>10</v>
      </c>
      <c r="F25" s="6">
        <v>1.1133999999999999</v>
      </c>
      <c r="H25">
        <f t="shared" si="9"/>
        <v>1</v>
      </c>
      <c r="I25" t="str">
        <f t="shared" si="2"/>
        <v>200PFA39-12R1</v>
      </c>
      <c r="J25" s="6" t="str">
        <f t="shared" si="10"/>
        <v>SING CHICAGO BLUES (R) 43X145</v>
      </c>
      <c r="K25" s="6">
        <f t="shared" si="11"/>
        <v>1</v>
      </c>
      <c r="L25" s="6">
        <f t="shared" si="12"/>
        <v>10</v>
      </c>
      <c r="M25" s="6">
        <f t="shared" si="13"/>
        <v>1.1133999999999999</v>
      </c>
      <c r="N25" s="6" t="str">
        <f t="shared" si="7"/>
        <v>100PFA39-6200</v>
      </c>
      <c r="O25" s="6" t="str">
        <f t="shared" si="8"/>
        <v>SINGING THE CHICAGO BLUES</v>
      </c>
    </row>
    <row r="26" spans="1:15" ht="38.25">
      <c r="A26" s="4">
        <v>4</v>
      </c>
      <c r="B26" s="5" t="s">
        <v>9145</v>
      </c>
      <c r="C26" s="4" t="s">
        <v>9146</v>
      </c>
      <c r="D26" s="4">
        <v>1</v>
      </c>
      <c r="E26" s="4">
        <v>91</v>
      </c>
      <c r="F26" s="6">
        <v>3</v>
      </c>
      <c r="H26">
        <f t="shared" si="9"/>
        <v>4</v>
      </c>
      <c r="I26" t="str">
        <f t="shared" si="2"/>
        <v>CBPFA39APPK1</v>
      </c>
      <c r="J26" s="6" t="str">
        <f t="shared" si="10"/>
        <v>CHICAGO BLUES 2LP</v>
      </c>
      <c r="K26" s="6">
        <f t="shared" si="11"/>
        <v>1</v>
      </c>
      <c r="L26" s="6">
        <f t="shared" si="12"/>
        <v>91</v>
      </c>
      <c r="M26" s="6">
        <f t="shared" si="13"/>
        <v>3</v>
      </c>
      <c r="N26" s="6" t="str">
        <f t="shared" si="7"/>
        <v>100PFA39-6200</v>
      </c>
      <c r="O26" s="6" t="str">
        <f t="shared" si="8"/>
        <v>SINGING THE CHICAGO BLUES</v>
      </c>
    </row>
    <row r="27" spans="1:15" ht="25.5">
      <c r="A27" s="4">
        <v>3</v>
      </c>
      <c r="B27" s="5" t="s">
        <v>9171</v>
      </c>
      <c r="C27" s="4" t="s">
        <v>9172</v>
      </c>
      <c r="D27" s="4">
        <v>1</v>
      </c>
      <c r="E27" s="4">
        <v>10</v>
      </c>
      <c r="F27" s="6">
        <v>1</v>
      </c>
      <c r="H27">
        <f t="shared" si="9"/>
        <v>3</v>
      </c>
      <c r="I27" t="str">
        <f t="shared" si="2"/>
        <v>J44I8951PM61</v>
      </c>
      <c r="J27" s="6" t="str">
        <f t="shared" si="10"/>
        <v>PFA39 R COMMON  41.875 X 144</v>
      </c>
      <c r="K27" s="6">
        <f t="shared" si="11"/>
        <v>1</v>
      </c>
      <c r="L27" s="6">
        <f t="shared" si="12"/>
        <v>10</v>
      </c>
      <c r="M27" s="6">
        <f t="shared" si="13"/>
        <v>1</v>
      </c>
      <c r="N27" s="6" t="str">
        <f t="shared" si="7"/>
        <v>100PFA39-6200</v>
      </c>
      <c r="O27" s="6" t="str">
        <f t="shared" si="8"/>
        <v>SINGING THE CHICAGO BLUES</v>
      </c>
    </row>
    <row r="28" spans="1:15" ht="25.5">
      <c r="A28" s="4">
        <v>2</v>
      </c>
      <c r="B28" s="5" t="s">
        <v>9173</v>
      </c>
      <c r="C28" s="4" t="s">
        <v>9174</v>
      </c>
      <c r="D28" s="4">
        <v>1</v>
      </c>
      <c r="E28" s="4">
        <v>10</v>
      </c>
      <c r="F28" s="6">
        <v>1</v>
      </c>
      <c r="H28">
        <f t="shared" si="9"/>
        <v>2</v>
      </c>
      <c r="I28" t="str">
        <f t="shared" si="2"/>
        <v>200I8951-120</v>
      </c>
      <c r="J28" s="6" t="str">
        <f t="shared" si="10"/>
        <v>PFA39 R COMMON 43 X 145</v>
      </c>
      <c r="K28" s="6">
        <f t="shared" si="11"/>
        <v>1</v>
      </c>
      <c r="L28" s="6">
        <f t="shared" si="12"/>
        <v>10</v>
      </c>
      <c r="M28" s="6">
        <f t="shared" si="13"/>
        <v>1</v>
      </c>
      <c r="N28" s="6" t="str">
        <f t="shared" si="7"/>
        <v>100PFA39-6200</v>
      </c>
      <c r="O28" s="6" t="str">
        <f t="shared" si="8"/>
        <v>SINGING THE CHICAGO BLUES</v>
      </c>
    </row>
    <row r="29" spans="1:15" ht="38.25">
      <c r="A29" s="4">
        <v>1</v>
      </c>
      <c r="B29" s="5" t="s">
        <v>9169</v>
      </c>
      <c r="C29" s="4" t="s">
        <v>9170</v>
      </c>
      <c r="D29" s="4">
        <v>1</v>
      </c>
      <c r="E29" s="4">
        <v>10</v>
      </c>
      <c r="F29" s="6">
        <v>1.1133999999999999</v>
      </c>
      <c r="H29">
        <f t="shared" si="9"/>
        <v>1</v>
      </c>
      <c r="I29" t="str">
        <f t="shared" si="2"/>
        <v>200PFA39-12R1</v>
      </c>
      <c r="J29" s="6" t="str">
        <f t="shared" si="10"/>
        <v>SING CHICAGO BLUES (R) 43X145</v>
      </c>
      <c r="K29" s="6">
        <f t="shared" si="11"/>
        <v>1</v>
      </c>
      <c r="L29" s="6">
        <f t="shared" si="12"/>
        <v>10</v>
      </c>
      <c r="M29" s="6">
        <f t="shared" si="13"/>
        <v>1.1133999999999999</v>
      </c>
      <c r="N29" s="6" t="str">
        <f t="shared" si="7"/>
        <v>100PFA39-6200</v>
      </c>
      <c r="O29" s="6" t="str">
        <f t="shared" si="8"/>
        <v>SINGING THE CHICAGO BLUES</v>
      </c>
    </row>
    <row r="30" spans="1:15" ht="38.25">
      <c r="A30" s="4">
        <v>4</v>
      </c>
      <c r="B30" s="5" t="s">
        <v>9145</v>
      </c>
      <c r="C30" s="4" t="s">
        <v>9146</v>
      </c>
      <c r="D30" s="4">
        <v>1</v>
      </c>
      <c r="E30" s="4">
        <v>91</v>
      </c>
      <c r="F30" s="6">
        <v>1</v>
      </c>
      <c r="H30">
        <f t="shared" si="9"/>
        <v>4</v>
      </c>
      <c r="I30" t="str">
        <f t="shared" si="2"/>
        <v>CBPFA39APPK1</v>
      </c>
      <c r="J30" s="6" t="str">
        <f t="shared" si="10"/>
        <v>CHICAGO BLUES 2LP</v>
      </c>
      <c r="K30" s="6">
        <f t="shared" si="11"/>
        <v>1</v>
      </c>
      <c r="L30" s="6">
        <f t="shared" si="12"/>
        <v>91</v>
      </c>
      <c r="M30" s="6">
        <f t="shared" si="13"/>
        <v>1</v>
      </c>
      <c r="N30" s="6" t="str">
        <f t="shared" si="7"/>
        <v>100PFA39-6200</v>
      </c>
      <c r="O30" s="6" t="str">
        <f t="shared" si="8"/>
        <v>SINGING THE CHICAGO BLUES</v>
      </c>
    </row>
    <row r="31" spans="1:15" ht="25.5">
      <c r="A31" s="4">
        <v>3</v>
      </c>
      <c r="B31" s="5" t="s">
        <v>9175</v>
      </c>
      <c r="C31" s="4" t="s">
        <v>9176</v>
      </c>
      <c r="D31" s="4">
        <v>1</v>
      </c>
      <c r="E31" s="4">
        <v>10</v>
      </c>
      <c r="F31" s="6">
        <v>0.33329999999999999</v>
      </c>
      <c r="H31">
        <f t="shared" si="9"/>
        <v>3</v>
      </c>
      <c r="I31" t="str">
        <f t="shared" si="2"/>
        <v>J44I8953PM36</v>
      </c>
      <c r="J31" s="6" t="str">
        <f t="shared" si="10"/>
        <v>PFA39 R SHORT 41.87 5X 47.125</v>
      </c>
      <c r="K31" s="6">
        <f t="shared" si="11"/>
        <v>1</v>
      </c>
      <c r="L31" s="6">
        <f t="shared" si="12"/>
        <v>10</v>
      </c>
      <c r="M31" s="6">
        <f t="shared" si="13"/>
        <v>0.33329999999999999</v>
      </c>
      <c r="N31" s="6" t="str">
        <f t="shared" si="7"/>
        <v>100PFA39-6200</v>
      </c>
      <c r="O31" s="6" t="str">
        <f t="shared" si="8"/>
        <v>SINGING THE CHICAGO BLUES</v>
      </c>
    </row>
    <row r="32" spans="1:15" ht="25.5">
      <c r="A32" s="4">
        <v>2</v>
      </c>
      <c r="B32" s="5" t="s">
        <v>9173</v>
      </c>
      <c r="C32" s="4" t="s">
        <v>9174</v>
      </c>
      <c r="D32" s="4">
        <v>1</v>
      </c>
      <c r="E32" s="4">
        <v>10</v>
      </c>
      <c r="F32" s="6">
        <v>1</v>
      </c>
      <c r="H32">
        <f t="shared" si="9"/>
        <v>2</v>
      </c>
      <c r="I32" t="str">
        <f t="shared" si="2"/>
        <v>200I8951-120</v>
      </c>
      <c r="J32" s="6" t="str">
        <f t="shared" si="10"/>
        <v>PFA39 R COMMON 43 X 145</v>
      </c>
      <c r="K32" s="6">
        <f t="shared" si="11"/>
        <v>1</v>
      </c>
      <c r="L32" s="6">
        <f t="shared" si="12"/>
        <v>10</v>
      </c>
      <c r="M32" s="6">
        <f t="shared" si="13"/>
        <v>1</v>
      </c>
      <c r="N32" s="6" t="str">
        <f t="shared" si="7"/>
        <v>100PFA39-6200</v>
      </c>
      <c r="O32" s="6" t="str">
        <f t="shared" si="8"/>
        <v>SINGING THE CHICAGO BLUES</v>
      </c>
    </row>
    <row r="33" spans="1:15" ht="38.25">
      <c r="A33" s="4">
        <v>1</v>
      </c>
      <c r="B33" s="5" t="s">
        <v>9169</v>
      </c>
      <c r="C33" s="4" t="s">
        <v>9170</v>
      </c>
      <c r="D33" s="4">
        <v>1</v>
      </c>
      <c r="E33" s="4">
        <v>10</v>
      </c>
      <c r="F33" s="6">
        <v>1.1133999999999999</v>
      </c>
      <c r="H33">
        <f t="shared" ref="H33:H95" si="14">A33</f>
        <v>1</v>
      </c>
      <c r="I33" t="str">
        <f t="shared" si="2"/>
        <v>200PFA39-12R1</v>
      </c>
      <c r="J33" s="6" t="str">
        <f t="shared" ref="J33:J95" si="15">C33</f>
        <v>SING CHICAGO BLUES (R) 43X145</v>
      </c>
      <c r="K33" s="6">
        <f t="shared" ref="K33:K95" si="16">D33</f>
        <v>1</v>
      </c>
      <c r="L33" s="6">
        <f t="shared" ref="L33:L95" si="17">E33</f>
        <v>10</v>
      </c>
      <c r="M33" s="6">
        <f t="shared" ref="M33:M95" si="18">F33</f>
        <v>1.1133999999999999</v>
      </c>
      <c r="N33" s="6" t="str">
        <f t="shared" si="7"/>
        <v>100PFA39-6200</v>
      </c>
      <c r="O33" s="6" t="str">
        <f t="shared" si="8"/>
        <v>SINGING THE CHICAGO BLUES</v>
      </c>
    </row>
    <row r="34" spans="1:15" ht="38.25">
      <c r="A34" s="4">
        <v>4</v>
      </c>
      <c r="B34" s="5" t="s">
        <v>9145</v>
      </c>
      <c r="C34" s="4" t="s">
        <v>9146</v>
      </c>
      <c r="D34" s="4">
        <v>1</v>
      </c>
      <c r="E34" s="4">
        <v>91</v>
      </c>
      <c r="F34" s="6">
        <v>1</v>
      </c>
      <c r="H34">
        <f t="shared" si="14"/>
        <v>4</v>
      </c>
      <c r="I34" t="str">
        <f t="shared" si="2"/>
        <v>CBPFA39APPK1</v>
      </c>
      <c r="J34" s="6" t="str">
        <f t="shared" si="15"/>
        <v>CHICAGO BLUES 2LP</v>
      </c>
      <c r="K34" s="6">
        <f t="shared" si="16"/>
        <v>1</v>
      </c>
      <c r="L34" s="6">
        <f t="shared" si="17"/>
        <v>91</v>
      </c>
      <c r="M34" s="6">
        <f t="shared" si="18"/>
        <v>1</v>
      </c>
      <c r="N34" s="6" t="str">
        <f t="shared" si="7"/>
        <v>100PFA39-6200</v>
      </c>
      <c r="O34" s="6" t="str">
        <f t="shared" si="8"/>
        <v>SINGING THE CHICAGO BLUES</v>
      </c>
    </row>
    <row r="35" spans="1:15" ht="25.5">
      <c r="A35" s="4">
        <v>3</v>
      </c>
      <c r="B35" s="5" t="s">
        <v>9177</v>
      </c>
      <c r="C35" s="4" t="s">
        <v>9178</v>
      </c>
      <c r="D35" s="4">
        <v>1</v>
      </c>
      <c r="E35" s="4">
        <v>10</v>
      </c>
      <c r="F35" s="6">
        <v>1</v>
      </c>
      <c r="H35">
        <f t="shared" si="14"/>
        <v>3</v>
      </c>
      <c r="I35" t="str">
        <f t="shared" si="2"/>
        <v>J44I8948PM35</v>
      </c>
      <c r="J35" s="6" t="str">
        <f t="shared" si="15"/>
        <v>PFA39 L ARROW 41.875 X 144</v>
      </c>
      <c r="K35" s="6">
        <f t="shared" si="16"/>
        <v>1</v>
      </c>
      <c r="L35" s="6">
        <f t="shared" si="17"/>
        <v>10</v>
      </c>
      <c r="M35" s="6">
        <f t="shared" si="18"/>
        <v>1</v>
      </c>
      <c r="N35" s="6" t="str">
        <f t="shared" si="7"/>
        <v>100PFA39-6200</v>
      </c>
      <c r="O35" s="6" t="str">
        <f t="shared" si="8"/>
        <v>SINGING THE CHICAGO BLUES</v>
      </c>
    </row>
    <row r="36" spans="1:15" ht="25.5">
      <c r="A36" s="4">
        <v>2</v>
      </c>
      <c r="B36" s="5" t="s">
        <v>9179</v>
      </c>
      <c r="C36" s="4" t="s">
        <v>9180</v>
      </c>
      <c r="D36" s="4">
        <v>1</v>
      </c>
      <c r="E36" s="4">
        <v>10</v>
      </c>
      <c r="F36" s="6">
        <v>1</v>
      </c>
      <c r="H36">
        <f t="shared" si="14"/>
        <v>2</v>
      </c>
      <c r="I36" t="str">
        <f t="shared" si="2"/>
        <v>200I8948-120</v>
      </c>
      <c r="J36" s="6" t="str">
        <f t="shared" si="15"/>
        <v>PFA39 L  ARROW 43 X 145</v>
      </c>
      <c r="K36" s="6">
        <f t="shared" si="16"/>
        <v>1</v>
      </c>
      <c r="L36" s="6">
        <f t="shared" si="17"/>
        <v>10</v>
      </c>
      <c r="M36" s="6">
        <f t="shared" si="18"/>
        <v>1</v>
      </c>
      <c r="N36" s="6" t="str">
        <f t="shared" si="7"/>
        <v>100PFA39-6200</v>
      </c>
      <c r="O36" s="6" t="str">
        <f t="shared" si="8"/>
        <v>SINGING THE CHICAGO BLUES</v>
      </c>
    </row>
    <row r="37" spans="1:15" ht="38.25">
      <c r="A37" s="4">
        <v>1</v>
      </c>
      <c r="B37" s="5" t="s">
        <v>9181</v>
      </c>
      <c r="C37" s="4" t="s">
        <v>9182</v>
      </c>
      <c r="D37" s="4">
        <v>1</v>
      </c>
      <c r="E37" s="4">
        <v>10</v>
      </c>
      <c r="F37" s="6">
        <v>1.1133999999999999</v>
      </c>
      <c r="H37">
        <f t="shared" si="14"/>
        <v>1</v>
      </c>
      <c r="I37" t="str">
        <f t="shared" si="2"/>
        <v>200PFA39-12L1</v>
      </c>
      <c r="J37" s="6" t="str">
        <f t="shared" si="15"/>
        <v>SING CHICAGO BLUES (L) 43X145</v>
      </c>
      <c r="K37" s="6">
        <f t="shared" si="16"/>
        <v>1</v>
      </c>
      <c r="L37" s="6">
        <f t="shared" si="17"/>
        <v>10</v>
      </c>
      <c r="M37" s="6">
        <f t="shared" si="18"/>
        <v>1.1133999999999999</v>
      </c>
      <c r="N37" s="6" t="str">
        <f t="shared" si="7"/>
        <v>100PFA39-6200</v>
      </c>
      <c r="O37" s="6" t="str">
        <f t="shared" si="8"/>
        <v>SINGING THE CHICAGO BLUES</v>
      </c>
    </row>
    <row r="38" spans="1:15" ht="38.25">
      <c r="A38" s="4">
        <v>4</v>
      </c>
      <c r="B38" s="5" t="s">
        <v>9145</v>
      </c>
      <c r="C38" s="4" t="s">
        <v>9146</v>
      </c>
      <c r="D38" s="4">
        <v>1</v>
      </c>
      <c r="E38" s="4">
        <v>91</v>
      </c>
      <c r="F38" s="6">
        <v>3</v>
      </c>
      <c r="H38">
        <f t="shared" si="14"/>
        <v>4</v>
      </c>
      <c r="I38" t="str">
        <f t="shared" si="2"/>
        <v>CBPFA39APPK1</v>
      </c>
      <c r="J38" s="6" t="str">
        <f t="shared" si="15"/>
        <v>CHICAGO BLUES 2LP</v>
      </c>
      <c r="K38" s="6">
        <f t="shared" si="16"/>
        <v>1</v>
      </c>
      <c r="L38" s="6">
        <f t="shared" si="17"/>
        <v>91</v>
      </c>
      <c r="M38" s="6">
        <f t="shared" si="18"/>
        <v>3</v>
      </c>
      <c r="N38" s="6" t="str">
        <f t="shared" si="7"/>
        <v>100PFA39-6200</v>
      </c>
      <c r="O38" s="6" t="str">
        <f t="shared" si="8"/>
        <v>SINGING THE CHICAGO BLUES</v>
      </c>
    </row>
    <row r="39" spans="1:15" ht="25.5">
      <c r="A39" s="4">
        <v>3</v>
      </c>
      <c r="B39" s="5" t="s">
        <v>9183</v>
      </c>
      <c r="C39" s="4" t="s">
        <v>9184</v>
      </c>
      <c r="D39" s="4">
        <v>1</v>
      </c>
      <c r="E39" s="4">
        <v>10</v>
      </c>
      <c r="F39" s="6">
        <v>1</v>
      </c>
      <c r="H39">
        <f t="shared" si="14"/>
        <v>3</v>
      </c>
      <c r="I39" t="str">
        <f t="shared" si="2"/>
        <v>J44I8950PM61</v>
      </c>
      <c r="J39" s="6" t="str">
        <f t="shared" si="15"/>
        <v>PFA39 L COMMON  41.875 X 144</v>
      </c>
      <c r="K39" s="6">
        <f t="shared" si="16"/>
        <v>1</v>
      </c>
      <c r="L39" s="6">
        <f t="shared" si="17"/>
        <v>10</v>
      </c>
      <c r="M39" s="6">
        <f t="shared" si="18"/>
        <v>1</v>
      </c>
      <c r="N39" s="6" t="str">
        <f t="shared" si="7"/>
        <v>100PFA39-6200</v>
      </c>
      <c r="O39" s="6" t="str">
        <f t="shared" si="8"/>
        <v>SINGING THE CHICAGO BLUES</v>
      </c>
    </row>
    <row r="40" spans="1:15" ht="25.5">
      <c r="A40" s="4">
        <v>2</v>
      </c>
      <c r="B40" s="5" t="s">
        <v>9185</v>
      </c>
      <c r="C40" s="4" t="s">
        <v>9186</v>
      </c>
      <c r="D40" s="4">
        <v>1</v>
      </c>
      <c r="E40" s="4">
        <v>10</v>
      </c>
      <c r="F40" s="6">
        <v>1</v>
      </c>
      <c r="H40">
        <f t="shared" si="14"/>
        <v>2</v>
      </c>
      <c r="I40" t="str">
        <f t="shared" si="2"/>
        <v>200I8950-120</v>
      </c>
      <c r="J40" s="6" t="str">
        <f t="shared" si="15"/>
        <v>PFA39 L COMMON 43 X 145</v>
      </c>
      <c r="K40" s="6">
        <f t="shared" si="16"/>
        <v>1</v>
      </c>
      <c r="L40" s="6">
        <f t="shared" si="17"/>
        <v>10</v>
      </c>
      <c r="M40" s="6">
        <f t="shared" si="18"/>
        <v>1</v>
      </c>
      <c r="N40" s="6" t="str">
        <f t="shared" si="7"/>
        <v>100PFA39-6200</v>
      </c>
      <c r="O40" s="6" t="str">
        <f t="shared" si="8"/>
        <v>SINGING THE CHICAGO BLUES</v>
      </c>
    </row>
    <row r="41" spans="1:15" ht="38.25">
      <c r="A41" s="4">
        <v>1</v>
      </c>
      <c r="B41" s="5" t="s">
        <v>9181</v>
      </c>
      <c r="C41" s="4" t="s">
        <v>9182</v>
      </c>
      <c r="D41" s="4">
        <v>1</v>
      </c>
      <c r="E41" s="4">
        <v>10</v>
      </c>
      <c r="F41" s="6">
        <v>1.1133999999999999</v>
      </c>
      <c r="H41">
        <f t="shared" si="14"/>
        <v>1</v>
      </c>
      <c r="I41" t="str">
        <f t="shared" si="2"/>
        <v>200PFA39-12L1</v>
      </c>
      <c r="J41" s="6" t="str">
        <f t="shared" si="15"/>
        <v>SING CHICAGO BLUES (L) 43X145</v>
      </c>
      <c r="K41" s="6">
        <f t="shared" si="16"/>
        <v>1</v>
      </c>
      <c r="L41" s="6">
        <f t="shared" si="17"/>
        <v>10</v>
      </c>
      <c r="M41" s="6">
        <f t="shared" si="18"/>
        <v>1.1133999999999999</v>
      </c>
      <c r="N41" s="6" t="str">
        <f t="shared" si="7"/>
        <v>100PFA39-6200</v>
      </c>
      <c r="O41" s="6" t="str">
        <f t="shared" si="8"/>
        <v>SINGING THE CHICAGO BLUES</v>
      </c>
    </row>
    <row r="42" spans="1:15" ht="38.25">
      <c r="A42" s="4">
        <v>4</v>
      </c>
      <c r="B42" s="5" t="s">
        <v>9145</v>
      </c>
      <c r="C42" s="4" t="s">
        <v>9146</v>
      </c>
      <c r="D42" s="4">
        <v>1</v>
      </c>
      <c r="E42" s="4">
        <v>91</v>
      </c>
      <c r="F42" s="6">
        <v>1</v>
      </c>
      <c r="H42">
        <f t="shared" si="14"/>
        <v>4</v>
      </c>
      <c r="I42" t="str">
        <f t="shared" si="2"/>
        <v>CBPFA39APPK1</v>
      </c>
      <c r="J42" s="6" t="str">
        <f t="shared" si="15"/>
        <v>CHICAGO BLUES 2LP</v>
      </c>
      <c r="K42" s="6">
        <f t="shared" si="16"/>
        <v>1</v>
      </c>
      <c r="L42" s="6">
        <f t="shared" si="17"/>
        <v>91</v>
      </c>
      <c r="M42" s="6">
        <f t="shared" si="18"/>
        <v>1</v>
      </c>
      <c r="N42" s="6" t="str">
        <f t="shared" si="7"/>
        <v>100PFA39-6200</v>
      </c>
      <c r="O42" s="6" t="str">
        <f t="shared" si="8"/>
        <v>SINGING THE CHICAGO BLUES</v>
      </c>
    </row>
    <row r="43" spans="1:15" ht="25.5">
      <c r="A43" s="4">
        <v>3</v>
      </c>
      <c r="B43" s="5" t="s">
        <v>9187</v>
      </c>
      <c r="C43" s="4" t="s">
        <v>9188</v>
      </c>
      <c r="D43" s="4">
        <v>1</v>
      </c>
      <c r="E43" s="4">
        <v>10</v>
      </c>
      <c r="F43" s="6">
        <v>0.33329999999999999</v>
      </c>
      <c r="H43">
        <f t="shared" si="14"/>
        <v>3</v>
      </c>
      <c r="I43" t="str">
        <f t="shared" si="2"/>
        <v>J44I8952PM37</v>
      </c>
      <c r="J43" s="6" t="str">
        <f t="shared" si="15"/>
        <v>PFA39 L SHORT 41.875 X 47.125</v>
      </c>
      <c r="K43" s="6">
        <f t="shared" si="16"/>
        <v>1</v>
      </c>
      <c r="L43" s="6">
        <f t="shared" si="17"/>
        <v>10</v>
      </c>
      <c r="M43" s="6">
        <f t="shared" si="18"/>
        <v>0.33329999999999999</v>
      </c>
      <c r="N43" s="6" t="str">
        <f t="shared" si="7"/>
        <v>100PFA39-6200</v>
      </c>
      <c r="O43" s="6" t="str">
        <f t="shared" si="8"/>
        <v>SINGING THE CHICAGO BLUES</v>
      </c>
    </row>
    <row r="44" spans="1:15" ht="25.5">
      <c r="A44" s="4">
        <v>2</v>
      </c>
      <c r="B44" s="5" t="s">
        <v>9185</v>
      </c>
      <c r="C44" s="4" t="s">
        <v>9186</v>
      </c>
      <c r="D44" s="4">
        <v>1</v>
      </c>
      <c r="E44" s="4">
        <v>10</v>
      </c>
      <c r="F44" s="6">
        <v>1</v>
      </c>
      <c r="H44">
        <f t="shared" si="14"/>
        <v>2</v>
      </c>
      <c r="I44" t="str">
        <f t="shared" si="2"/>
        <v>200I8950-120</v>
      </c>
      <c r="J44" s="6" t="str">
        <f t="shared" si="15"/>
        <v>PFA39 L COMMON 43 X 145</v>
      </c>
      <c r="K44" s="6">
        <f t="shared" si="16"/>
        <v>1</v>
      </c>
      <c r="L44" s="6">
        <f t="shared" si="17"/>
        <v>10</v>
      </c>
      <c r="M44" s="6">
        <f t="shared" si="18"/>
        <v>1</v>
      </c>
      <c r="N44" s="6" t="str">
        <f t="shared" si="7"/>
        <v>100PFA39-6200</v>
      </c>
      <c r="O44" s="6" t="str">
        <f t="shared" si="8"/>
        <v>SINGING THE CHICAGO BLUES</v>
      </c>
    </row>
    <row r="45" spans="1:15" ht="38.25">
      <c r="A45" s="4">
        <v>1</v>
      </c>
      <c r="B45" s="5" t="s">
        <v>9181</v>
      </c>
      <c r="C45" s="4" t="s">
        <v>9182</v>
      </c>
      <c r="D45" s="4">
        <v>1</v>
      </c>
      <c r="E45" s="4">
        <v>10</v>
      </c>
      <c r="F45" s="6">
        <v>1.1133999999999999</v>
      </c>
      <c r="H45">
        <f t="shared" si="14"/>
        <v>1</v>
      </c>
      <c r="I45" t="str">
        <f t="shared" si="2"/>
        <v>200PFA39-12L1</v>
      </c>
      <c r="J45" s="6" t="str">
        <f t="shared" si="15"/>
        <v>SING CHICAGO BLUES (L) 43X145</v>
      </c>
      <c r="K45" s="6">
        <f t="shared" si="16"/>
        <v>1</v>
      </c>
      <c r="L45" s="6">
        <f t="shared" si="17"/>
        <v>10</v>
      </c>
      <c r="M45" s="6">
        <f t="shared" si="18"/>
        <v>1.1133999999999999</v>
      </c>
      <c r="N45" s="6" t="str">
        <f t="shared" si="7"/>
        <v>100PFA39-6200</v>
      </c>
      <c r="O45" s="6" t="str">
        <f t="shared" si="8"/>
        <v>SINGING THE CHICAGO BLUES</v>
      </c>
    </row>
    <row r="46" spans="1:15" ht="38.25">
      <c r="A46" s="4">
        <v>4</v>
      </c>
      <c r="B46" s="5" t="s">
        <v>9189</v>
      </c>
      <c r="C46" s="4" t="s">
        <v>9190</v>
      </c>
      <c r="D46" s="4">
        <v>1</v>
      </c>
      <c r="E46" s="4">
        <v>91</v>
      </c>
      <c r="F46" s="6">
        <v>1</v>
      </c>
      <c r="H46">
        <f t="shared" si="14"/>
        <v>4</v>
      </c>
      <c r="I46" t="str">
        <f t="shared" si="2"/>
        <v>CBPFA39APPK2</v>
      </c>
      <c r="J46" s="6" t="str">
        <f t="shared" si="15"/>
        <v>CHICAGO BLUES UV PRO 2LP</v>
      </c>
      <c r="K46" s="6">
        <f t="shared" si="16"/>
        <v>1</v>
      </c>
      <c r="L46" s="6">
        <f t="shared" si="17"/>
        <v>91</v>
      </c>
      <c r="M46" s="6">
        <f t="shared" si="18"/>
        <v>1</v>
      </c>
      <c r="N46" s="6" t="str">
        <f t="shared" si="7"/>
        <v>100PFA39-6200</v>
      </c>
      <c r="O46" s="6" t="str">
        <f t="shared" si="8"/>
        <v>SINGING THE CHICAGO BLUES</v>
      </c>
    </row>
    <row r="47" spans="1:15" ht="25.5">
      <c r="A47" s="4">
        <v>3</v>
      </c>
      <c r="B47" s="5" t="s">
        <v>9191</v>
      </c>
      <c r="C47" s="4" t="s">
        <v>9192</v>
      </c>
      <c r="D47" s="4">
        <v>1</v>
      </c>
      <c r="E47" s="4">
        <v>10</v>
      </c>
      <c r="F47" s="6">
        <v>1</v>
      </c>
      <c r="H47">
        <f t="shared" si="14"/>
        <v>3</v>
      </c>
      <c r="I47" t="str">
        <f t="shared" si="2"/>
        <v>J25I9152AM51</v>
      </c>
      <c r="J47" s="6" t="str">
        <f t="shared" si="15"/>
        <v>PFA39 UV PRO L APPR 59.5 X 144</v>
      </c>
      <c r="K47" s="6">
        <f t="shared" si="16"/>
        <v>1</v>
      </c>
      <c r="L47" s="6">
        <f t="shared" si="17"/>
        <v>10</v>
      </c>
      <c r="M47" s="6">
        <f t="shared" si="18"/>
        <v>1</v>
      </c>
      <c r="N47" s="6" t="str">
        <f t="shared" si="7"/>
        <v>100PFA39-6200</v>
      </c>
      <c r="O47" s="6" t="str">
        <f t="shared" si="8"/>
        <v>SINGING THE CHICAGO BLUES</v>
      </c>
    </row>
    <row r="48" spans="1:15" ht="25.5">
      <c r="A48" s="4">
        <v>2</v>
      </c>
      <c r="B48" s="5" t="s">
        <v>9193</v>
      </c>
      <c r="C48" s="4" t="s">
        <v>9194</v>
      </c>
      <c r="D48" s="4">
        <v>1</v>
      </c>
      <c r="E48" s="4">
        <v>10</v>
      </c>
      <c r="F48" s="6">
        <v>1</v>
      </c>
      <c r="H48">
        <f t="shared" si="14"/>
        <v>2</v>
      </c>
      <c r="I48" t="str">
        <f t="shared" si="2"/>
        <v>200I9152-520</v>
      </c>
      <c r="J48" s="6" t="str">
        <f t="shared" si="15"/>
        <v>PFA39 PRO UV L APPR 60 X 144</v>
      </c>
      <c r="K48" s="6">
        <f t="shared" si="16"/>
        <v>1</v>
      </c>
      <c r="L48" s="6">
        <f t="shared" si="17"/>
        <v>10</v>
      </c>
      <c r="M48" s="6">
        <f t="shared" si="18"/>
        <v>1</v>
      </c>
      <c r="N48" s="6" t="str">
        <f t="shared" si="7"/>
        <v>100PFA39-6200</v>
      </c>
      <c r="O48" s="6" t="str">
        <f t="shared" si="8"/>
        <v>SINGING THE CHICAGO BLUES</v>
      </c>
    </row>
    <row r="49" spans="1:15" ht="38.25">
      <c r="A49" s="4">
        <v>1</v>
      </c>
      <c r="B49" s="5" t="s">
        <v>9151</v>
      </c>
      <c r="C49" s="4" t="s">
        <v>9152</v>
      </c>
      <c r="D49" s="4">
        <v>1</v>
      </c>
      <c r="E49" s="4">
        <v>10</v>
      </c>
      <c r="F49" s="6">
        <v>1.1133999999999999</v>
      </c>
      <c r="H49">
        <f t="shared" si="14"/>
        <v>1</v>
      </c>
      <c r="I49" t="str">
        <f t="shared" si="2"/>
        <v>200PFA39-5201</v>
      </c>
      <c r="J49" s="6" t="str">
        <f t="shared" si="15"/>
        <v>SING CHICAGO BLUES 60 X 144</v>
      </c>
      <c r="K49" s="6">
        <f t="shared" si="16"/>
        <v>1</v>
      </c>
      <c r="L49" s="6">
        <f t="shared" si="17"/>
        <v>10</v>
      </c>
      <c r="M49" s="6">
        <f t="shared" si="18"/>
        <v>1.1133999999999999</v>
      </c>
      <c r="N49" s="6" t="str">
        <f t="shared" si="7"/>
        <v>100PFA39-6200</v>
      </c>
      <c r="O49" s="6" t="str">
        <f t="shared" si="8"/>
        <v>SINGING THE CHICAGO BLUES</v>
      </c>
    </row>
    <row r="50" spans="1:15" ht="38.25">
      <c r="A50" s="4">
        <v>4</v>
      </c>
      <c r="B50" s="5" t="s">
        <v>9189</v>
      </c>
      <c r="C50" s="4" t="s">
        <v>9190</v>
      </c>
      <c r="D50" s="4">
        <v>1</v>
      </c>
      <c r="E50" s="4">
        <v>91</v>
      </c>
      <c r="F50" s="6">
        <v>1</v>
      </c>
      <c r="H50">
        <f t="shared" si="14"/>
        <v>4</v>
      </c>
      <c r="I50" t="str">
        <f t="shared" si="2"/>
        <v>CBPFA39APPK2</v>
      </c>
      <c r="J50" s="6" t="str">
        <f t="shared" si="15"/>
        <v>CHICAGO BLUES UV PRO 2LP</v>
      </c>
      <c r="K50" s="6">
        <f t="shared" si="16"/>
        <v>1</v>
      </c>
      <c r="L50" s="6">
        <f t="shared" si="17"/>
        <v>91</v>
      </c>
      <c r="M50" s="6">
        <f t="shared" si="18"/>
        <v>1</v>
      </c>
      <c r="N50" s="6" t="str">
        <f t="shared" si="7"/>
        <v>100PFA39-6200</v>
      </c>
      <c r="O50" s="6" t="str">
        <f t="shared" si="8"/>
        <v>SINGING THE CHICAGO BLUES</v>
      </c>
    </row>
    <row r="51" spans="1:15" ht="25.5">
      <c r="A51" s="4">
        <v>3</v>
      </c>
      <c r="B51" s="5" t="s">
        <v>9195</v>
      </c>
      <c r="C51" s="4" t="s">
        <v>9196</v>
      </c>
      <c r="D51" s="4">
        <v>1</v>
      </c>
      <c r="E51" s="4">
        <v>10</v>
      </c>
      <c r="F51" s="6">
        <v>1</v>
      </c>
      <c r="H51">
        <f t="shared" si="14"/>
        <v>3</v>
      </c>
      <c r="I51" t="str">
        <f t="shared" si="2"/>
        <v>J25I9153AM58</v>
      </c>
      <c r="J51" s="6" t="str">
        <f t="shared" si="15"/>
        <v>PFA39 UV PRO R APPR 59.5 X 144</v>
      </c>
      <c r="K51" s="6">
        <f t="shared" si="16"/>
        <v>1</v>
      </c>
      <c r="L51" s="6">
        <f t="shared" si="17"/>
        <v>10</v>
      </c>
      <c r="M51" s="6">
        <f t="shared" si="18"/>
        <v>1</v>
      </c>
      <c r="N51" s="6" t="str">
        <f t="shared" si="7"/>
        <v>100PFA39-6200</v>
      </c>
      <c r="O51" s="6" t="str">
        <f t="shared" si="8"/>
        <v>SINGING THE CHICAGO BLUES</v>
      </c>
    </row>
    <row r="52" spans="1:15" ht="25.5">
      <c r="A52" s="4">
        <v>2</v>
      </c>
      <c r="B52" s="5" t="s">
        <v>9197</v>
      </c>
      <c r="C52" s="4" t="s">
        <v>9198</v>
      </c>
      <c r="D52" s="4">
        <v>1</v>
      </c>
      <c r="E52" s="4">
        <v>10</v>
      </c>
      <c r="F52" s="6">
        <v>1</v>
      </c>
      <c r="H52">
        <f t="shared" si="14"/>
        <v>2</v>
      </c>
      <c r="I52" t="str">
        <f t="shared" si="2"/>
        <v>200I9153-520</v>
      </c>
      <c r="J52" s="6" t="str">
        <f t="shared" si="15"/>
        <v>PFA39 PRO UV R APPR 60 X 144</v>
      </c>
      <c r="K52" s="6">
        <f t="shared" si="16"/>
        <v>1</v>
      </c>
      <c r="L52" s="6">
        <f t="shared" si="17"/>
        <v>10</v>
      </c>
      <c r="M52" s="6">
        <f t="shared" si="18"/>
        <v>1</v>
      </c>
      <c r="N52" s="6" t="str">
        <f t="shared" si="7"/>
        <v>100PFA39-6200</v>
      </c>
      <c r="O52" s="6" t="str">
        <f t="shared" si="8"/>
        <v>SINGING THE CHICAGO BLUES</v>
      </c>
    </row>
    <row r="53" spans="1:15" ht="38.25">
      <c r="A53" s="4">
        <v>1</v>
      </c>
      <c r="B53" s="5" t="s">
        <v>9151</v>
      </c>
      <c r="C53" s="4" t="s">
        <v>9152</v>
      </c>
      <c r="D53" s="4">
        <v>1</v>
      </c>
      <c r="E53" s="4">
        <v>10</v>
      </c>
      <c r="F53" s="6">
        <v>1.1133999999999999</v>
      </c>
      <c r="H53">
        <f t="shared" si="14"/>
        <v>1</v>
      </c>
      <c r="I53" t="str">
        <f t="shared" si="2"/>
        <v>200PFA39-5201</v>
      </c>
      <c r="J53" s="6" t="str">
        <f t="shared" si="15"/>
        <v>SING CHICAGO BLUES 60 X 144</v>
      </c>
      <c r="K53" s="6">
        <f t="shared" si="16"/>
        <v>1</v>
      </c>
      <c r="L53" s="6">
        <f t="shared" si="17"/>
        <v>10</v>
      </c>
      <c r="M53" s="6">
        <f t="shared" si="18"/>
        <v>1.1133999999999999</v>
      </c>
      <c r="N53" s="6" t="str">
        <f t="shared" si="7"/>
        <v>100PFA39-6200</v>
      </c>
      <c r="O53" s="6" t="str">
        <f t="shared" si="8"/>
        <v>SINGING THE CHICAGO BLUES</v>
      </c>
    </row>
    <row r="54" spans="1:15" ht="38.25">
      <c r="A54" s="4">
        <v>4</v>
      </c>
      <c r="B54" s="5" t="s">
        <v>9189</v>
      </c>
      <c r="C54" s="4" t="s">
        <v>9190</v>
      </c>
      <c r="D54" s="4">
        <v>1</v>
      </c>
      <c r="E54" s="4">
        <v>91</v>
      </c>
      <c r="F54" s="6">
        <v>1</v>
      </c>
      <c r="H54">
        <f t="shared" si="14"/>
        <v>4</v>
      </c>
      <c r="I54" t="str">
        <f t="shared" si="2"/>
        <v>CBPFA39APPK2</v>
      </c>
      <c r="J54" s="6" t="str">
        <f t="shared" si="15"/>
        <v>CHICAGO BLUES UV PRO 2LP</v>
      </c>
      <c r="K54" s="6">
        <f t="shared" si="16"/>
        <v>1</v>
      </c>
      <c r="L54" s="6">
        <f t="shared" si="17"/>
        <v>91</v>
      </c>
      <c r="M54" s="6">
        <f t="shared" si="18"/>
        <v>1</v>
      </c>
      <c r="N54" s="6" t="str">
        <f t="shared" si="7"/>
        <v>100PFA39-6200</v>
      </c>
      <c r="O54" s="6" t="str">
        <f t="shared" si="8"/>
        <v>SINGING THE CHICAGO BLUES</v>
      </c>
    </row>
    <row r="55" spans="1:15" ht="25.5">
      <c r="A55" s="4">
        <v>3</v>
      </c>
      <c r="B55" s="5" t="s">
        <v>9199</v>
      </c>
      <c r="C55" s="4" t="s">
        <v>9200</v>
      </c>
      <c r="D55" s="4">
        <v>1</v>
      </c>
      <c r="E55" s="4">
        <v>10</v>
      </c>
      <c r="F55" s="6">
        <v>1</v>
      </c>
      <c r="H55">
        <f t="shared" si="14"/>
        <v>3</v>
      </c>
      <c r="I55" t="str">
        <f t="shared" si="2"/>
        <v>J25I9154QM57</v>
      </c>
      <c r="J55" s="6" t="str">
        <f t="shared" si="15"/>
        <v>PFA39 UV PRO L FOUL 59.5X142.5</v>
      </c>
      <c r="K55" s="6">
        <f t="shared" si="16"/>
        <v>1</v>
      </c>
      <c r="L55" s="6">
        <f t="shared" si="17"/>
        <v>10</v>
      </c>
      <c r="M55" s="6">
        <f t="shared" si="18"/>
        <v>1</v>
      </c>
      <c r="N55" s="6" t="str">
        <f t="shared" si="7"/>
        <v>100PFA39-6200</v>
      </c>
      <c r="O55" s="6" t="str">
        <f t="shared" si="8"/>
        <v>SINGING THE CHICAGO BLUES</v>
      </c>
    </row>
    <row r="56" spans="1:15" ht="25.5">
      <c r="A56" s="4">
        <v>2</v>
      </c>
      <c r="B56" s="5" t="s">
        <v>9201</v>
      </c>
      <c r="C56" s="4" t="s">
        <v>9202</v>
      </c>
      <c r="D56" s="4">
        <v>1</v>
      </c>
      <c r="E56" s="4">
        <v>10</v>
      </c>
      <c r="F56" s="6">
        <v>1</v>
      </c>
      <c r="H56">
        <f t="shared" si="14"/>
        <v>2</v>
      </c>
      <c r="I56" t="str">
        <f t="shared" si="2"/>
        <v>200I9154-520</v>
      </c>
      <c r="J56" s="6" t="str">
        <f t="shared" si="15"/>
        <v>PFA39 PRO UV L FOUL 60 X 144</v>
      </c>
      <c r="K56" s="6">
        <f t="shared" si="16"/>
        <v>1</v>
      </c>
      <c r="L56" s="6">
        <f t="shared" si="17"/>
        <v>10</v>
      </c>
      <c r="M56" s="6">
        <f t="shared" si="18"/>
        <v>1</v>
      </c>
      <c r="N56" s="6" t="str">
        <f t="shared" si="7"/>
        <v>100PFA39-6200</v>
      </c>
      <c r="O56" s="6" t="str">
        <f t="shared" si="8"/>
        <v>SINGING THE CHICAGO BLUES</v>
      </c>
    </row>
    <row r="57" spans="1:15" ht="38.25">
      <c r="A57" s="4">
        <v>1</v>
      </c>
      <c r="B57" s="5" t="s">
        <v>9151</v>
      </c>
      <c r="C57" s="4" t="s">
        <v>9152</v>
      </c>
      <c r="D57" s="4">
        <v>1</v>
      </c>
      <c r="E57" s="4">
        <v>10</v>
      </c>
      <c r="F57" s="6">
        <v>1.1133999999999999</v>
      </c>
      <c r="H57">
        <f t="shared" si="14"/>
        <v>1</v>
      </c>
      <c r="I57" t="str">
        <f t="shared" si="2"/>
        <v>200PFA39-5201</v>
      </c>
      <c r="J57" s="6" t="str">
        <f t="shared" si="15"/>
        <v>SING CHICAGO BLUES 60 X 144</v>
      </c>
      <c r="K57" s="6">
        <f t="shared" si="16"/>
        <v>1</v>
      </c>
      <c r="L57" s="6">
        <f t="shared" si="17"/>
        <v>10</v>
      </c>
      <c r="M57" s="6">
        <f t="shared" si="18"/>
        <v>1.1133999999999999</v>
      </c>
      <c r="N57" s="6" t="str">
        <f t="shared" si="7"/>
        <v>100PFA39-6200</v>
      </c>
      <c r="O57" s="6" t="str">
        <f t="shared" si="8"/>
        <v>SINGING THE CHICAGO BLUES</v>
      </c>
    </row>
    <row r="58" spans="1:15" ht="38.25">
      <c r="A58" s="4">
        <v>4</v>
      </c>
      <c r="B58" s="5" t="s">
        <v>9189</v>
      </c>
      <c r="C58" s="4" t="s">
        <v>9190</v>
      </c>
      <c r="D58" s="4">
        <v>1</v>
      </c>
      <c r="E58" s="4">
        <v>91</v>
      </c>
      <c r="F58" s="6">
        <v>1</v>
      </c>
      <c r="H58">
        <f t="shared" si="14"/>
        <v>4</v>
      </c>
      <c r="I58" t="str">
        <f t="shared" si="2"/>
        <v>CBPFA39APPK2</v>
      </c>
      <c r="J58" s="6" t="str">
        <f t="shared" si="15"/>
        <v>CHICAGO BLUES UV PRO 2LP</v>
      </c>
      <c r="K58" s="6">
        <f t="shared" si="16"/>
        <v>1</v>
      </c>
      <c r="L58" s="6">
        <f t="shared" si="17"/>
        <v>91</v>
      </c>
      <c r="M58" s="6">
        <f t="shared" si="18"/>
        <v>1</v>
      </c>
      <c r="N58" s="6" t="str">
        <f t="shared" si="7"/>
        <v>100PFA39-6200</v>
      </c>
      <c r="O58" s="6" t="str">
        <f t="shared" si="8"/>
        <v>SINGING THE CHICAGO BLUES</v>
      </c>
    </row>
    <row r="59" spans="1:15" ht="25.5">
      <c r="A59" s="4">
        <v>3</v>
      </c>
      <c r="B59" s="5" t="s">
        <v>9203</v>
      </c>
      <c r="C59" s="4" t="s">
        <v>9204</v>
      </c>
      <c r="D59" s="4">
        <v>1</v>
      </c>
      <c r="E59" s="4">
        <v>10</v>
      </c>
      <c r="F59" s="6">
        <v>1</v>
      </c>
      <c r="H59">
        <f t="shared" si="14"/>
        <v>3</v>
      </c>
      <c r="I59" t="str">
        <f t="shared" si="2"/>
        <v>J25I9155QM56</v>
      </c>
      <c r="J59" s="6" t="str">
        <f t="shared" si="15"/>
        <v>PFA39 UV PRO R FOUL 59.5X142.5</v>
      </c>
      <c r="K59" s="6">
        <f t="shared" si="16"/>
        <v>1</v>
      </c>
      <c r="L59" s="6">
        <f t="shared" si="17"/>
        <v>10</v>
      </c>
      <c r="M59" s="6">
        <f t="shared" si="18"/>
        <v>1</v>
      </c>
      <c r="N59" s="6" t="str">
        <f t="shared" si="7"/>
        <v>100PFA39-6200</v>
      </c>
      <c r="O59" s="6" t="str">
        <f t="shared" si="8"/>
        <v>SINGING THE CHICAGO BLUES</v>
      </c>
    </row>
    <row r="60" spans="1:15" ht="25.5">
      <c r="A60" s="4">
        <v>2</v>
      </c>
      <c r="B60" s="5" t="s">
        <v>9205</v>
      </c>
      <c r="C60" s="4" t="s">
        <v>9206</v>
      </c>
      <c r="D60" s="4">
        <v>1</v>
      </c>
      <c r="E60" s="4">
        <v>10</v>
      </c>
      <c r="F60" s="6">
        <v>1</v>
      </c>
      <c r="H60">
        <f t="shared" si="14"/>
        <v>2</v>
      </c>
      <c r="I60" t="str">
        <f t="shared" si="2"/>
        <v>200I9155-520</v>
      </c>
      <c r="J60" s="6" t="str">
        <f t="shared" si="15"/>
        <v>PFA39 PRO UV R FOUL 60 X 144</v>
      </c>
      <c r="K60" s="6">
        <f t="shared" si="16"/>
        <v>1</v>
      </c>
      <c r="L60" s="6">
        <f t="shared" si="17"/>
        <v>10</v>
      </c>
      <c r="M60" s="6">
        <f t="shared" si="18"/>
        <v>1</v>
      </c>
      <c r="N60" s="6" t="str">
        <f t="shared" si="7"/>
        <v>100PFA39-6200</v>
      </c>
      <c r="O60" s="6" t="str">
        <f t="shared" si="8"/>
        <v>SINGING THE CHICAGO BLUES</v>
      </c>
    </row>
    <row r="61" spans="1:15" ht="38.25">
      <c r="A61" s="4">
        <v>1</v>
      </c>
      <c r="B61" s="5" t="s">
        <v>9151</v>
      </c>
      <c r="C61" s="4" t="s">
        <v>9152</v>
      </c>
      <c r="D61" s="4">
        <v>1</v>
      </c>
      <c r="E61" s="4">
        <v>10</v>
      </c>
      <c r="F61" s="6">
        <v>1.1133999999999999</v>
      </c>
      <c r="H61">
        <f t="shared" si="14"/>
        <v>1</v>
      </c>
      <c r="I61" t="str">
        <f t="shared" si="2"/>
        <v>200PFA39-5201</v>
      </c>
      <c r="J61" s="6" t="str">
        <f t="shared" si="15"/>
        <v>SING CHICAGO BLUES 60 X 144</v>
      </c>
      <c r="K61" s="6">
        <f t="shared" si="16"/>
        <v>1</v>
      </c>
      <c r="L61" s="6">
        <f t="shared" si="17"/>
        <v>10</v>
      </c>
      <c r="M61" s="6">
        <f t="shared" si="18"/>
        <v>1.1133999999999999</v>
      </c>
      <c r="N61" s="6" t="str">
        <f t="shared" si="7"/>
        <v>100PFA39-6200</v>
      </c>
      <c r="O61" s="6" t="str">
        <f t="shared" si="8"/>
        <v>SINGING THE CHICAGO BLUES</v>
      </c>
    </row>
    <row r="62" spans="1:15" ht="38.25">
      <c r="A62" s="4">
        <v>4</v>
      </c>
      <c r="B62" s="5" t="s">
        <v>9189</v>
      </c>
      <c r="C62" s="4" t="s">
        <v>9190</v>
      </c>
      <c r="D62" s="4">
        <v>1</v>
      </c>
      <c r="E62" s="4">
        <v>91</v>
      </c>
      <c r="F62" s="6">
        <v>1</v>
      </c>
      <c r="H62">
        <f t="shared" si="14"/>
        <v>4</v>
      </c>
      <c r="I62" t="str">
        <f t="shared" si="2"/>
        <v>CBPFA39APPK2</v>
      </c>
      <c r="J62" s="6" t="str">
        <f t="shared" si="15"/>
        <v>CHICAGO BLUES UV PRO 2LP</v>
      </c>
      <c r="K62" s="6">
        <f t="shared" si="16"/>
        <v>1</v>
      </c>
      <c r="L62" s="6">
        <f t="shared" si="17"/>
        <v>91</v>
      </c>
      <c r="M62" s="6">
        <f t="shared" si="18"/>
        <v>1</v>
      </c>
      <c r="N62" s="6" t="str">
        <f t="shared" si="7"/>
        <v>100PFA39-6200</v>
      </c>
      <c r="O62" s="6" t="str">
        <f t="shared" si="8"/>
        <v>SINGING THE CHICAGO BLUES</v>
      </c>
    </row>
    <row r="63" spans="1:15" ht="25.5">
      <c r="A63" s="4">
        <v>3</v>
      </c>
      <c r="B63" s="5" t="s">
        <v>9207</v>
      </c>
      <c r="C63" s="4" t="s">
        <v>9208</v>
      </c>
      <c r="D63" s="4">
        <v>1</v>
      </c>
      <c r="E63" s="4">
        <v>10</v>
      </c>
      <c r="F63" s="6">
        <v>1</v>
      </c>
      <c r="H63">
        <f t="shared" si="14"/>
        <v>3</v>
      </c>
      <c r="I63" t="str">
        <f t="shared" si="2"/>
        <v>J24I9157PM40</v>
      </c>
      <c r="J63" s="6" t="str">
        <f t="shared" si="15"/>
        <v>PFA39 UV PRO R HEAD 41.84X144</v>
      </c>
      <c r="K63" s="6">
        <f t="shared" si="16"/>
        <v>1</v>
      </c>
      <c r="L63" s="6">
        <f t="shared" si="17"/>
        <v>10</v>
      </c>
      <c r="M63" s="6">
        <f t="shared" si="18"/>
        <v>1</v>
      </c>
      <c r="N63" s="6" t="str">
        <f t="shared" si="7"/>
        <v>100PFA39-6200</v>
      </c>
      <c r="O63" s="6" t="str">
        <f t="shared" si="8"/>
        <v>SINGING THE CHICAGO BLUES</v>
      </c>
    </row>
    <row r="64" spans="1:15" ht="25.5">
      <c r="A64" s="4">
        <v>2</v>
      </c>
      <c r="B64" s="5" t="s">
        <v>9209</v>
      </c>
      <c r="C64" s="4" t="s">
        <v>9210</v>
      </c>
      <c r="D64" s="4">
        <v>1</v>
      </c>
      <c r="E64" s="4">
        <v>10</v>
      </c>
      <c r="F64" s="6">
        <v>1</v>
      </c>
      <c r="H64">
        <f t="shared" si="14"/>
        <v>2</v>
      </c>
      <c r="I64" t="str">
        <f t="shared" si="2"/>
        <v>200I9157-120</v>
      </c>
      <c r="J64" s="6" t="str">
        <f t="shared" si="15"/>
        <v>PFA39 PRO UV R HEAD 43 X 145</v>
      </c>
      <c r="K64" s="6">
        <f t="shared" si="16"/>
        <v>1</v>
      </c>
      <c r="L64" s="6">
        <f t="shared" si="17"/>
        <v>10</v>
      </c>
      <c r="M64" s="6">
        <f t="shared" si="18"/>
        <v>1</v>
      </c>
      <c r="N64" s="6" t="str">
        <f t="shared" si="7"/>
        <v>100PFA39-6200</v>
      </c>
      <c r="O64" s="6" t="str">
        <f t="shared" si="8"/>
        <v>SINGING THE CHICAGO BLUES</v>
      </c>
    </row>
    <row r="65" spans="1:15" ht="38.25">
      <c r="A65" s="4">
        <v>1</v>
      </c>
      <c r="B65" s="5" t="s">
        <v>9169</v>
      </c>
      <c r="C65" s="4" t="s">
        <v>9170</v>
      </c>
      <c r="D65" s="4">
        <v>1</v>
      </c>
      <c r="E65" s="4">
        <v>10</v>
      </c>
      <c r="F65" s="6">
        <v>1.1133999999999999</v>
      </c>
      <c r="H65">
        <f t="shared" si="14"/>
        <v>1</v>
      </c>
      <c r="I65" t="str">
        <f t="shared" si="2"/>
        <v>200PFA39-12R1</v>
      </c>
      <c r="J65" s="6" t="str">
        <f t="shared" si="15"/>
        <v>SING CHICAGO BLUES (R) 43X145</v>
      </c>
      <c r="K65" s="6">
        <f t="shared" si="16"/>
        <v>1</v>
      </c>
      <c r="L65" s="6">
        <f t="shared" si="17"/>
        <v>10</v>
      </c>
      <c r="M65" s="6">
        <f t="shared" si="18"/>
        <v>1.1133999999999999</v>
      </c>
      <c r="N65" s="6" t="str">
        <f t="shared" si="7"/>
        <v>100PFA39-6200</v>
      </c>
      <c r="O65" s="6" t="str">
        <f t="shared" si="8"/>
        <v>SINGING THE CHICAGO BLUES</v>
      </c>
    </row>
    <row r="66" spans="1:15" ht="38.25">
      <c r="A66" s="4">
        <v>4</v>
      </c>
      <c r="B66" s="5" t="s">
        <v>9189</v>
      </c>
      <c r="C66" s="4" t="s">
        <v>9190</v>
      </c>
      <c r="D66" s="4">
        <v>1</v>
      </c>
      <c r="E66" s="4">
        <v>91</v>
      </c>
      <c r="F66" s="6">
        <v>2</v>
      </c>
      <c r="H66">
        <f t="shared" si="14"/>
        <v>4</v>
      </c>
      <c r="I66" t="str">
        <f t="shared" si="2"/>
        <v>CBPFA39APPK2</v>
      </c>
      <c r="J66" s="6" t="str">
        <f t="shared" si="15"/>
        <v>CHICAGO BLUES UV PRO 2LP</v>
      </c>
      <c r="K66" s="6">
        <f t="shared" si="16"/>
        <v>1</v>
      </c>
      <c r="L66" s="6">
        <f t="shared" si="17"/>
        <v>91</v>
      </c>
      <c r="M66" s="6">
        <f t="shared" si="18"/>
        <v>2</v>
      </c>
      <c r="N66" s="6" t="str">
        <f t="shared" si="7"/>
        <v>100PFA39-6200</v>
      </c>
      <c r="O66" s="6" t="str">
        <f t="shared" si="8"/>
        <v>SINGING THE CHICAGO BLUES</v>
      </c>
    </row>
    <row r="67" spans="1:15" ht="25.5">
      <c r="A67" s="4">
        <v>3</v>
      </c>
      <c r="B67" s="5" t="s">
        <v>9211</v>
      </c>
      <c r="C67" s="4" t="s">
        <v>9212</v>
      </c>
      <c r="D67" s="4">
        <v>1</v>
      </c>
      <c r="E67" s="4">
        <v>10</v>
      </c>
      <c r="F67" s="6">
        <v>1</v>
      </c>
      <c r="H67">
        <f t="shared" si="14"/>
        <v>3</v>
      </c>
      <c r="I67" t="str">
        <f t="shared" si="2"/>
        <v>J24I9159PM41</v>
      </c>
      <c r="J67" s="6" t="str">
        <f t="shared" si="15"/>
        <v>PFA39 UV PRO R LANE 41.84X144</v>
      </c>
      <c r="K67" s="6">
        <f t="shared" si="16"/>
        <v>1</v>
      </c>
      <c r="L67" s="6">
        <f t="shared" si="17"/>
        <v>10</v>
      </c>
      <c r="M67" s="6">
        <f t="shared" si="18"/>
        <v>1</v>
      </c>
      <c r="N67" s="6" t="str">
        <f t="shared" si="7"/>
        <v>100PFA39-6200</v>
      </c>
      <c r="O67" s="6" t="str">
        <f t="shared" si="8"/>
        <v>SINGING THE CHICAGO BLUES</v>
      </c>
    </row>
    <row r="68" spans="1:15" ht="25.5">
      <c r="A68" s="4">
        <v>2</v>
      </c>
      <c r="B68" s="5" t="s">
        <v>9213</v>
      </c>
      <c r="C68" s="4" t="s">
        <v>9214</v>
      </c>
      <c r="D68" s="4">
        <v>1</v>
      </c>
      <c r="E68" s="4">
        <v>10</v>
      </c>
      <c r="F68" s="6">
        <v>1</v>
      </c>
      <c r="H68">
        <f t="shared" si="14"/>
        <v>2</v>
      </c>
      <c r="I68" t="str">
        <f t="shared" si="2"/>
        <v>200I9159-120</v>
      </c>
      <c r="J68" s="6" t="str">
        <f t="shared" si="15"/>
        <v>PFA39 PRO UV R LANE 43 X 145</v>
      </c>
      <c r="K68" s="6">
        <f t="shared" si="16"/>
        <v>1</v>
      </c>
      <c r="L68" s="6">
        <f t="shared" si="17"/>
        <v>10</v>
      </c>
      <c r="M68" s="6">
        <f t="shared" si="18"/>
        <v>1</v>
      </c>
      <c r="N68" s="6" t="str">
        <f t="shared" si="7"/>
        <v>100PFA39-6200</v>
      </c>
      <c r="O68" s="6" t="str">
        <f t="shared" si="8"/>
        <v>SINGING THE CHICAGO BLUES</v>
      </c>
    </row>
    <row r="69" spans="1:15" ht="38.25">
      <c r="A69" s="4">
        <v>1</v>
      </c>
      <c r="B69" s="5" t="s">
        <v>9169</v>
      </c>
      <c r="C69" s="4" t="s">
        <v>9170</v>
      </c>
      <c r="D69" s="4">
        <v>1</v>
      </c>
      <c r="E69" s="4">
        <v>10</v>
      </c>
      <c r="F69" s="6">
        <v>1.1133999999999999</v>
      </c>
      <c r="H69">
        <f t="shared" si="14"/>
        <v>1</v>
      </c>
      <c r="I69" t="str">
        <f t="shared" si="2"/>
        <v>200PFA39-12R1</v>
      </c>
      <c r="J69" s="6" t="str">
        <f t="shared" si="15"/>
        <v>SING CHICAGO BLUES (R) 43X145</v>
      </c>
      <c r="K69" s="6">
        <f t="shared" si="16"/>
        <v>1</v>
      </c>
      <c r="L69" s="6">
        <f t="shared" si="17"/>
        <v>10</v>
      </c>
      <c r="M69" s="6">
        <f t="shared" si="18"/>
        <v>1.1133999999999999</v>
      </c>
      <c r="N69" s="6" t="str">
        <f t="shared" si="7"/>
        <v>100PFA39-6200</v>
      </c>
      <c r="O69" s="6" t="str">
        <f t="shared" si="8"/>
        <v>SINGING THE CHICAGO BLUES</v>
      </c>
    </row>
    <row r="70" spans="1:15" ht="38.25">
      <c r="A70" s="4">
        <v>4</v>
      </c>
      <c r="B70" s="5" t="s">
        <v>9189</v>
      </c>
      <c r="C70" s="4" t="s">
        <v>9190</v>
      </c>
      <c r="D70" s="4">
        <v>1</v>
      </c>
      <c r="E70" s="4">
        <v>91</v>
      </c>
      <c r="F70" s="6">
        <v>1</v>
      </c>
      <c r="H70">
        <f t="shared" si="14"/>
        <v>4</v>
      </c>
      <c r="I70" t="str">
        <f t="shared" si="2"/>
        <v>CBPFA39APPK2</v>
      </c>
      <c r="J70" s="6" t="str">
        <f t="shared" si="15"/>
        <v>CHICAGO BLUES UV PRO 2LP</v>
      </c>
      <c r="K70" s="6">
        <f t="shared" si="16"/>
        <v>1</v>
      </c>
      <c r="L70" s="6">
        <f t="shared" si="17"/>
        <v>91</v>
      </c>
      <c r="M70" s="6">
        <f t="shared" si="18"/>
        <v>1</v>
      </c>
      <c r="N70" s="6" t="str">
        <f t="shared" si="7"/>
        <v>100PFA39-6200</v>
      </c>
      <c r="O70" s="6" t="str">
        <f t="shared" si="8"/>
        <v>SINGING THE CHICAGO BLUES</v>
      </c>
    </row>
    <row r="71" spans="1:15" ht="25.5">
      <c r="A71" s="4">
        <v>3</v>
      </c>
      <c r="B71" s="5" t="s">
        <v>9215</v>
      </c>
      <c r="C71" s="4" t="s">
        <v>9216</v>
      </c>
      <c r="D71" s="4">
        <v>1</v>
      </c>
      <c r="E71" s="4">
        <v>10</v>
      </c>
      <c r="F71" s="6">
        <v>0.33329999999999999</v>
      </c>
      <c r="H71">
        <f t="shared" si="14"/>
        <v>3</v>
      </c>
      <c r="I71" t="str">
        <f t="shared" ref="I71:I134" si="19">IFERROR(IF(SEARCH(" &lt;-",B71,1),LEFT(B71,SEARCH(" ",B71,1)-1),""),LEFT(B71,SEARCH("View",B71,1)-1))</f>
        <v>J24I9159PM42</v>
      </c>
      <c r="J71" s="6" t="str">
        <f t="shared" si="15"/>
        <v>PFA39 UV PRO R SHORT 41.84X47.</v>
      </c>
      <c r="K71" s="6">
        <f t="shared" si="16"/>
        <v>1</v>
      </c>
      <c r="L71" s="6">
        <f t="shared" si="17"/>
        <v>10</v>
      </c>
      <c r="M71" s="6">
        <f t="shared" si="18"/>
        <v>0.33329999999999999</v>
      </c>
      <c r="N71" s="6" t="str">
        <f t="shared" ref="N71:N134" si="20">TRIM($B$1)</f>
        <v>100PFA39-6200</v>
      </c>
      <c r="O71" s="6" t="str">
        <f t="shared" ref="O71:O134" si="21">TRIM($C$1)</f>
        <v>SINGING THE CHICAGO BLUES</v>
      </c>
    </row>
    <row r="72" spans="1:15" ht="25.5">
      <c r="A72" s="4">
        <v>2</v>
      </c>
      <c r="B72" s="5" t="s">
        <v>9213</v>
      </c>
      <c r="C72" s="4" t="s">
        <v>9214</v>
      </c>
      <c r="D72" s="4">
        <v>1</v>
      </c>
      <c r="E72" s="4">
        <v>10</v>
      </c>
      <c r="F72" s="6">
        <v>1</v>
      </c>
      <c r="H72">
        <f t="shared" si="14"/>
        <v>2</v>
      </c>
      <c r="I72" t="str">
        <f t="shared" si="19"/>
        <v>200I9159-120</v>
      </c>
      <c r="J72" s="6" t="str">
        <f t="shared" si="15"/>
        <v>PFA39 PRO UV R LANE 43 X 145</v>
      </c>
      <c r="K72" s="6">
        <f t="shared" si="16"/>
        <v>1</v>
      </c>
      <c r="L72" s="6">
        <f t="shared" si="17"/>
        <v>10</v>
      </c>
      <c r="M72" s="6">
        <f t="shared" si="18"/>
        <v>1</v>
      </c>
      <c r="N72" s="6" t="str">
        <f t="shared" si="20"/>
        <v>100PFA39-6200</v>
      </c>
      <c r="O72" s="6" t="str">
        <f t="shared" si="21"/>
        <v>SINGING THE CHICAGO BLUES</v>
      </c>
    </row>
    <row r="73" spans="1:15" ht="38.25">
      <c r="A73" s="4">
        <v>1</v>
      </c>
      <c r="B73" s="5" t="s">
        <v>9169</v>
      </c>
      <c r="C73" s="4" t="s">
        <v>9170</v>
      </c>
      <c r="D73" s="4">
        <v>1</v>
      </c>
      <c r="E73" s="4">
        <v>10</v>
      </c>
      <c r="F73" s="6">
        <v>1.1133999999999999</v>
      </c>
      <c r="H73">
        <f t="shared" si="14"/>
        <v>1</v>
      </c>
      <c r="I73" t="str">
        <f t="shared" si="19"/>
        <v>200PFA39-12R1</v>
      </c>
      <c r="J73" s="6" t="str">
        <f t="shared" si="15"/>
        <v>SING CHICAGO BLUES (R) 43X145</v>
      </c>
      <c r="K73" s="6">
        <f t="shared" si="16"/>
        <v>1</v>
      </c>
      <c r="L73" s="6">
        <f t="shared" si="17"/>
        <v>10</v>
      </c>
      <c r="M73" s="6">
        <f t="shared" si="18"/>
        <v>1.1133999999999999</v>
      </c>
      <c r="N73" s="6" t="str">
        <f t="shared" si="20"/>
        <v>100PFA39-6200</v>
      </c>
      <c r="O73" s="6" t="str">
        <f t="shared" si="21"/>
        <v>SINGING THE CHICAGO BLUES</v>
      </c>
    </row>
    <row r="74" spans="1:15" ht="38.25">
      <c r="A74" s="4">
        <v>4</v>
      </c>
      <c r="B74" s="5" t="s">
        <v>9189</v>
      </c>
      <c r="C74" s="4" t="s">
        <v>9190</v>
      </c>
      <c r="D74" s="4">
        <v>1</v>
      </c>
      <c r="E74" s="4">
        <v>91</v>
      </c>
      <c r="F74" s="6">
        <v>1</v>
      </c>
      <c r="H74">
        <f t="shared" si="14"/>
        <v>4</v>
      </c>
      <c r="I74" t="str">
        <f t="shared" si="19"/>
        <v>CBPFA39APPK2</v>
      </c>
      <c r="J74" s="6" t="str">
        <f t="shared" si="15"/>
        <v>CHICAGO BLUES UV PRO 2LP</v>
      </c>
      <c r="K74" s="6">
        <f t="shared" si="16"/>
        <v>1</v>
      </c>
      <c r="L74" s="6">
        <f t="shared" si="17"/>
        <v>91</v>
      </c>
      <c r="M74" s="6">
        <f t="shared" si="18"/>
        <v>1</v>
      </c>
      <c r="N74" s="6" t="str">
        <f t="shared" si="20"/>
        <v>100PFA39-6200</v>
      </c>
      <c r="O74" s="6" t="str">
        <f t="shared" si="21"/>
        <v>SINGING THE CHICAGO BLUES</v>
      </c>
    </row>
    <row r="75" spans="1:15" ht="25.5">
      <c r="A75" s="4">
        <v>3</v>
      </c>
      <c r="B75" s="5" t="s">
        <v>9217</v>
      </c>
      <c r="C75" s="4" t="s">
        <v>9218</v>
      </c>
      <c r="D75" s="4">
        <v>1</v>
      </c>
      <c r="E75" s="4">
        <v>10</v>
      </c>
      <c r="F75" s="6">
        <v>1</v>
      </c>
      <c r="H75">
        <f t="shared" si="14"/>
        <v>3</v>
      </c>
      <c r="I75" t="str">
        <f t="shared" si="19"/>
        <v>J24I9161PM41</v>
      </c>
      <c r="J75" s="6" t="str">
        <f t="shared" si="15"/>
        <v>PFA39 UV PRO R CHAR 41.875X144</v>
      </c>
      <c r="K75" s="6">
        <f t="shared" si="16"/>
        <v>1</v>
      </c>
      <c r="L75" s="6">
        <f t="shared" si="17"/>
        <v>10</v>
      </c>
      <c r="M75" s="6">
        <f t="shared" si="18"/>
        <v>1</v>
      </c>
      <c r="N75" s="6" t="str">
        <f t="shared" si="20"/>
        <v>100PFA39-6200</v>
      </c>
      <c r="O75" s="6" t="str">
        <f t="shared" si="21"/>
        <v>SINGING THE CHICAGO BLUES</v>
      </c>
    </row>
    <row r="76" spans="1:15" ht="25.5">
      <c r="A76" s="4">
        <v>2</v>
      </c>
      <c r="B76" s="5" t="s">
        <v>9219</v>
      </c>
      <c r="C76" s="4" t="s">
        <v>9220</v>
      </c>
      <c r="D76" s="4">
        <v>1</v>
      </c>
      <c r="E76" s="4">
        <v>10</v>
      </c>
      <c r="F76" s="6">
        <v>1</v>
      </c>
      <c r="H76">
        <f t="shared" si="14"/>
        <v>2</v>
      </c>
      <c r="I76" t="str">
        <f t="shared" si="19"/>
        <v>200I9161-120</v>
      </c>
      <c r="J76" s="6" t="str">
        <f t="shared" si="15"/>
        <v>PFA39 PRO UV R CHAR 43 X 145</v>
      </c>
      <c r="K76" s="6">
        <f t="shared" si="16"/>
        <v>1</v>
      </c>
      <c r="L76" s="6">
        <f t="shared" si="17"/>
        <v>10</v>
      </c>
      <c r="M76" s="6">
        <f t="shared" si="18"/>
        <v>1</v>
      </c>
      <c r="N76" s="6" t="str">
        <f t="shared" si="20"/>
        <v>100PFA39-6200</v>
      </c>
      <c r="O76" s="6" t="str">
        <f t="shared" si="21"/>
        <v>SINGING THE CHICAGO BLUES</v>
      </c>
    </row>
    <row r="77" spans="1:15" ht="38.25">
      <c r="A77" s="4">
        <v>1</v>
      </c>
      <c r="B77" s="5" t="s">
        <v>9169</v>
      </c>
      <c r="C77" s="4" t="s">
        <v>9170</v>
      </c>
      <c r="D77" s="4">
        <v>1</v>
      </c>
      <c r="E77" s="4">
        <v>10</v>
      </c>
      <c r="F77" s="6">
        <v>1.1133999999999999</v>
      </c>
      <c r="H77">
        <f t="shared" si="14"/>
        <v>1</v>
      </c>
      <c r="I77" t="str">
        <f t="shared" si="19"/>
        <v>200PFA39-12R1</v>
      </c>
      <c r="J77" s="6" t="str">
        <f t="shared" si="15"/>
        <v>SING CHICAGO BLUES (R) 43X145</v>
      </c>
      <c r="K77" s="6">
        <f t="shared" si="16"/>
        <v>1</v>
      </c>
      <c r="L77" s="6">
        <f t="shared" si="17"/>
        <v>10</v>
      </c>
      <c r="M77" s="6">
        <f t="shared" si="18"/>
        <v>1.1133999999999999</v>
      </c>
      <c r="N77" s="6" t="str">
        <f t="shared" si="20"/>
        <v>100PFA39-6200</v>
      </c>
      <c r="O77" s="6" t="str">
        <f t="shared" si="21"/>
        <v>SINGING THE CHICAGO BLUES</v>
      </c>
    </row>
    <row r="78" spans="1:15" ht="38.25">
      <c r="A78" s="4">
        <v>4</v>
      </c>
      <c r="B78" s="5" t="s">
        <v>9189</v>
      </c>
      <c r="C78" s="4" t="s">
        <v>9190</v>
      </c>
      <c r="D78" s="4">
        <v>1</v>
      </c>
      <c r="E78" s="4">
        <v>91</v>
      </c>
      <c r="F78" s="6">
        <v>1</v>
      </c>
      <c r="H78">
        <f t="shared" si="14"/>
        <v>4</v>
      </c>
      <c r="I78" t="str">
        <f t="shared" si="19"/>
        <v>CBPFA39APPK2</v>
      </c>
      <c r="J78" s="6" t="str">
        <f t="shared" si="15"/>
        <v>CHICAGO BLUES UV PRO 2LP</v>
      </c>
      <c r="K78" s="6">
        <f t="shared" si="16"/>
        <v>1</v>
      </c>
      <c r="L78" s="6">
        <f t="shared" si="17"/>
        <v>91</v>
      </c>
      <c r="M78" s="6">
        <f t="shared" si="18"/>
        <v>1</v>
      </c>
      <c r="N78" s="6" t="str">
        <f t="shared" si="20"/>
        <v>100PFA39-6200</v>
      </c>
      <c r="O78" s="6" t="str">
        <f t="shared" si="21"/>
        <v>SINGING THE CHICAGO BLUES</v>
      </c>
    </row>
    <row r="79" spans="1:15" ht="25.5">
      <c r="A79" s="4">
        <v>3</v>
      </c>
      <c r="B79" s="5" t="s">
        <v>9221</v>
      </c>
      <c r="C79" s="4" t="s">
        <v>9222</v>
      </c>
      <c r="D79" s="4">
        <v>1</v>
      </c>
      <c r="E79" s="4">
        <v>10</v>
      </c>
      <c r="F79" s="6">
        <v>1</v>
      </c>
      <c r="H79">
        <f t="shared" si="14"/>
        <v>3</v>
      </c>
      <c r="I79" t="str">
        <f t="shared" si="19"/>
        <v>J24I9156PM40</v>
      </c>
      <c r="J79" s="6" t="str">
        <f t="shared" si="15"/>
        <v>PFA39 UV PRO L HEAD 41.84X144</v>
      </c>
      <c r="K79" s="6">
        <f t="shared" si="16"/>
        <v>1</v>
      </c>
      <c r="L79" s="6">
        <f t="shared" si="17"/>
        <v>10</v>
      </c>
      <c r="M79" s="6">
        <f t="shared" si="18"/>
        <v>1</v>
      </c>
      <c r="N79" s="6" t="str">
        <f t="shared" si="20"/>
        <v>100PFA39-6200</v>
      </c>
      <c r="O79" s="6" t="str">
        <f t="shared" si="21"/>
        <v>SINGING THE CHICAGO BLUES</v>
      </c>
    </row>
    <row r="80" spans="1:15" ht="25.5">
      <c r="A80" s="4">
        <v>2</v>
      </c>
      <c r="B80" s="5" t="s">
        <v>9223</v>
      </c>
      <c r="C80" s="4" t="s">
        <v>9224</v>
      </c>
      <c r="D80" s="4">
        <v>1</v>
      </c>
      <c r="E80" s="4">
        <v>10</v>
      </c>
      <c r="F80" s="6">
        <v>1</v>
      </c>
      <c r="H80">
        <f t="shared" si="14"/>
        <v>2</v>
      </c>
      <c r="I80" t="str">
        <f t="shared" si="19"/>
        <v>200I9156-120</v>
      </c>
      <c r="J80" s="6" t="str">
        <f t="shared" si="15"/>
        <v>PFA39 PRO UV L HEAD 43 X 145</v>
      </c>
      <c r="K80" s="6">
        <f t="shared" si="16"/>
        <v>1</v>
      </c>
      <c r="L80" s="6">
        <f t="shared" si="17"/>
        <v>10</v>
      </c>
      <c r="M80" s="6">
        <f t="shared" si="18"/>
        <v>1</v>
      </c>
      <c r="N80" s="6" t="str">
        <f t="shared" si="20"/>
        <v>100PFA39-6200</v>
      </c>
      <c r="O80" s="6" t="str">
        <f t="shared" si="21"/>
        <v>SINGING THE CHICAGO BLUES</v>
      </c>
    </row>
    <row r="81" spans="1:15" ht="38.25">
      <c r="A81" s="4">
        <v>1</v>
      </c>
      <c r="B81" s="5" t="s">
        <v>9181</v>
      </c>
      <c r="C81" s="4" t="s">
        <v>9182</v>
      </c>
      <c r="D81" s="4">
        <v>1</v>
      </c>
      <c r="E81" s="4">
        <v>10</v>
      </c>
      <c r="F81" s="6">
        <v>1.1133999999999999</v>
      </c>
      <c r="H81">
        <f t="shared" si="14"/>
        <v>1</v>
      </c>
      <c r="I81" t="str">
        <f t="shared" si="19"/>
        <v>200PFA39-12L1</v>
      </c>
      <c r="J81" s="6" t="str">
        <f t="shared" si="15"/>
        <v>SING CHICAGO BLUES (L) 43X145</v>
      </c>
      <c r="K81" s="6">
        <f t="shared" si="16"/>
        <v>1</v>
      </c>
      <c r="L81" s="6">
        <f t="shared" si="17"/>
        <v>10</v>
      </c>
      <c r="M81" s="6">
        <f t="shared" si="18"/>
        <v>1.1133999999999999</v>
      </c>
      <c r="N81" s="6" t="str">
        <f t="shared" si="20"/>
        <v>100PFA39-6200</v>
      </c>
      <c r="O81" s="6" t="str">
        <f t="shared" si="21"/>
        <v>SINGING THE CHICAGO BLUES</v>
      </c>
    </row>
    <row r="82" spans="1:15" ht="38.25">
      <c r="A82" s="4">
        <v>4</v>
      </c>
      <c r="B82" s="5" t="s">
        <v>9189</v>
      </c>
      <c r="C82" s="4" t="s">
        <v>9190</v>
      </c>
      <c r="D82" s="4">
        <v>1</v>
      </c>
      <c r="E82" s="4">
        <v>91</v>
      </c>
      <c r="F82" s="6">
        <v>2</v>
      </c>
      <c r="H82">
        <f t="shared" si="14"/>
        <v>4</v>
      </c>
      <c r="I82" t="str">
        <f t="shared" si="19"/>
        <v>CBPFA39APPK2</v>
      </c>
      <c r="J82" s="6" t="str">
        <f t="shared" si="15"/>
        <v>CHICAGO BLUES UV PRO 2LP</v>
      </c>
      <c r="K82" s="6">
        <f t="shared" si="16"/>
        <v>1</v>
      </c>
      <c r="L82" s="6">
        <f t="shared" si="17"/>
        <v>91</v>
      </c>
      <c r="M82" s="6">
        <f t="shared" si="18"/>
        <v>2</v>
      </c>
      <c r="N82" s="6" t="str">
        <f t="shared" si="20"/>
        <v>100PFA39-6200</v>
      </c>
      <c r="O82" s="6" t="str">
        <f t="shared" si="21"/>
        <v>SINGING THE CHICAGO BLUES</v>
      </c>
    </row>
    <row r="83" spans="1:15" ht="25.5">
      <c r="A83" s="4">
        <v>3</v>
      </c>
      <c r="B83" s="5" t="s">
        <v>9225</v>
      </c>
      <c r="C83" s="4" t="s">
        <v>9226</v>
      </c>
      <c r="D83" s="4">
        <v>1</v>
      </c>
      <c r="E83" s="4">
        <v>10</v>
      </c>
      <c r="F83" s="6">
        <v>1</v>
      </c>
      <c r="H83">
        <f t="shared" si="14"/>
        <v>3</v>
      </c>
      <c r="I83" t="str">
        <f t="shared" si="19"/>
        <v>J24I9158PM41</v>
      </c>
      <c r="J83" s="6" t="str">
        <f t="shared" si="15"/>
        <v>PFA39 UV PRO L LANE 41.84X144</v>
      </c>
      <c r="K83" s="6">
        <f t="shared" si="16"/>
        <v>1</v>
      </c>
      <c r="L83" s="6">
        <f t="shared" si="17"/>
        <v>10</v>
      </c>
      <c r="M83" s="6">
        <f t="shared" si="18"/>
        <v>1</v>
      </c>
      <c r="N83" s="6" t="str">
        <f t="shared" si="20"/>
        <v>100PFA39-6200</v>
      </c>
      <c r="O83" s="6" t="str">
        <f t="shared" si="21"/>
        <v>SINGING THE CHICAGO BLUES</v>
      </c>
    </row>
    <row r="84" spans="1:15" ht="25.5">
      <c r="A84" s="4">
        <v>2</v>
      </c>
      <c r="B84" s="5" t="s">
        <v>9227</v>
      </c>
      <c r="C84" s="4" t="s">
        <v>9228</v>
      </c>
      <c r="D84" s="4">
        <v>1</v>
      </c>
      <c r="E84" s="4">
        <v>10</v>
      </c>
      <c r="F84" s="6">
        <v>1</v>
      </c>
      <c r="H84">
        <f t="shared" si="14"/>
        <v>2</v>
      </c>
      <c r="I84" t="str">
        <f t="shared" si="19"/>
        <v>200I9158-120</v>
      </c>
      <c r="J84" s="6" t="str">
        <f t="shared" si="15"/>
        <v>PFA39 PRO UV L LANE 43 X 145</v>
      </c>
      <c r="K84" s="6">
        <f t="shared" si="16"/>
        <v>1</v>
      </c>
      <c r="L84" s="6">
        <f t="shared" si="17"/>
        <v>10</v>
      </c>
      <c r="M84" s="6">
        <f t="shared" si="18"/>
        <v>1</v>
      </c>
      <c r="N84" s="6" t="str">
        <f t="shared" si="20"/>
        <v>100PFA39-6200</v>
      </c>
      <c r="O84" s="6" t="str">
        <f t="shared" si="21"/>
        <v>SINGING THE CHICAGO BLUES</v>
      </c>
    </row>
    <row r="85" spans="1:15" ht="38.25">
      <c r="A85" s="4">
        <v>1</v>
      </c>
      <c r="B85" s="5" t="s">
        <v>9181</v>
      </c>
      <c r="C85" s="4" t="s">
        <v>9182</v>
      </c>
      <c r="D85" s="4">
        <v>1</v>
      </c>
      <c r="E85" s="4">
        <v>10</v>
      </c>
      <c r="F85" s="6">
        <v>1.1133999999999999</v>
      </c>
      <c r="H85">
        <f t="shared" si="14"/>
        <v>1</v>
      </c>
      <c r="I85" t="str">
        <f t="shared" si="19"/>
        <v>200PFA39-12L1</v>
      </c>
      <c r="J85" s="6" t="str">
        <f t="shared" si="15"/>
        <v>SING CHICAGO BLUES (L) 43X145</v>
      </c>
      <c r="K85" s="6">
        <f t="shared" si="16"/>
        <v>1</v>
      </c>
      <c r="L85" s="6">
        <f t="shared" si="17"/>
        <v>10</v>
      </c>
      <c r="M85" s="6">
        <f t="shared" si="18"/>
        <v>1.1133999999999999</v>
      </c>
      <c r="N85" s="6" t="str">
        <f t="shared" si="20"/>
        <v>100PFA39-6200</v>
      </c>
      <c r="O85" s="6" t="str">
        <f t="shared" si="21"/>
        <v>SINGING THE CHICAGO BLUES</v>
      </c>
    </row>
    <row r="86" spans="1:15" ht="38.25">
      <c r="A86" s="4">
        <v>4</v>
      </c>
      <c r="B86" s="5" t="s">
        <v>9189</v>
      </c>
      <c r="C86" s="4" t="s">
        <v>9190</v>
      </c>
      <c r="D86" s="4">
        <v>1</v>
      </c>
      <c r="E86" s="4">
        <v>91</v>
      </c>
      <c r="F86" s="6">
        <v>1</v>
      </c>
      <c r="H86">
        <f t="shared" si="14"/>
        <v>4</v>
      </c>
      <c r="I86" t="str">
        <f t="shared" si="19"/>
        <v>CBPFA39APPK2</v>
      </c>
      <c r="J86" s="6" t="str">
        <f t="shared" si="15"/>
        <v>CHICAGO BLUES UV PRO 2LP</v>
      </c>
      <c r="K86" s="6">
        <f t="shared" si="16"/>
        <v>1</v>
      </c>
      <c r="L86" s="6">
        <f t="shared" si="17"/>
        <v>91</v>
      </c>
      <c r="M86" s="6">
        <f t="shared" si="18"/>
        <v>1</v>
      </c>
      <c r="N86" s="6" t="str">
        <f t="shared" si="20"/>
        <v>100PFA39-6200</v>
      </c>
      <c r="O86" s="6" t="str">
        <f t="shared" si="21"/>
        <v>SINGING THE CHICAGO BLUES</v>
      </c>
    </row>
    <row r="87" spans="1:15" ht="25.5">
      <c r="A87" s="4">
        <v>3</v>
      </c>
      <c r="B87" s="5" t="s">
        <v>9229</v>
      </c>
      <c r="C87" s="4" t="s">
        <v>9230</v>
      </c>
      <c r="D87" s="4">
        <v>1</v>
      </c>
      <c r="E87" s="4">
        <v>10</v>
      </c>
      <c r="F87" s="6">
        <v>0.33329999999999999</v>
      </c>
      <c r="H87">
        <f t="shared" si="14"/>
        <v>3</v>
      </c>
      <c r="I87" t="str">
        <f t="shared" si="19"/>
        <v>J24I9158PM42</v>
      </c>
      <c r="J87" s="6" t="str">
        <f t="shared" si="15"/>
        <v>PFA39 UV PRO L SHORT 41.84X47.</v>
      </c>
      <c r="K87" s="6">
        <f t="shared" si="16"/>
        <v>1</v>
      </c>
      <c r="L87" s="6">
        <f t="shared" si="17"/>
        <v>10</v>
      </c>
      <c r="M87" s="6">
        <f t="shared" si="18"/>
        <v>0.33329999999999999</v>
      </c>
      <c r="N87" s="6" t="str">
        <f t="shared" si="20"/>
        <v>100PFA39-6200</v>
      </c>
      <c r="O87" s="6" t="str">
        <f t="shared" si="21"/>
        <v>SINGING THE CHICAGO BLUES</v>
      </c>
    </row>
    <row r="88" spans="1:15" ht="25.5">
      <c r="A88" s="4">
        <v>2</v>
      </c>
      <c r="B88" s="5" t="s">
        <v>9227</v>
      </c>
      <c r="C88" s="4" t="s">
        <v>9228</v>
      </c>
      <c r="D88" s="4">
        <v>1</v>
      </c>
      <c r="E88" s="4">
        <v>10</v>
      </c>
      <c r="F88" s="6">
        <v>1</v>
      </c>
      <c r="H88">
        <f t="shared" si="14"/>
        <v>2</v>
      </c>
      <c r="I88" t="str">
        <f t="shared" si="19"/>
        <v>200I9158-120</v>
      </c>
      <c r="J88" s="6" t="str">
        <f t="shared" si="15"/>
        <v>PFA39 PRO UV L LANE 43 X 145</v>
      </c>
      <c r="K88" s="6">
        <f t="shared" si="16"/>
        <v>1</v>
      </c>
      <c r="L88" s="6">
        <f t="shared" si="17"/>
        <v>10</v>
      </c>
      <c r="M88" s="6">
        <f t="shared" si="18"/>
        <v>1</v>
      </c>
      <c r="N88" s="6" t="str">
        <f t="shared" si="20"/>
        <v>100PFA39-6200</v>
      </c>
      <c r="O88" s="6" t="str">
        <f t="shared" si="21"/>
        <v>SINGING THE CHICAGO BLUES</v>
      </c>
    </row>
    <row r="89" spans="1:15" ht="38.25">
      <c r="A89" s="4">
        <v>1</v>
      </c>
      <c r="B89" s="5" t="s">
        <v>9181</v>
      </c>
      <c r="C89" s="4" t="s">
        <v>9182</v>
      </c>
      <c r="D89" s="4">
        <v>1</v>
      </c>
      <c r="E89" s="4">
        <v>10</v>
      </c>
      <c r="F89" s="6">
        <v>1.1133999999999999</v>
      </c>
      <c r="H89">
        <f t="shared" si="14"/>
        <v>1</v>
      </c>
      <c r="I89" t="str">
        <f t="shared" si="19"/>
        <v>200PFA39-12L1</v>
      </c>
      <c r="J89" s="6" t="str">
        <f t="shared" si="15"/>
        <v>SING CHICAGO BLUES (L) 43X145</v>
      </c>
      <c r="K89" s="6">
        <f t="shared" si="16"/>
        <v>1</v>
      </c>
      <c r="L89" s="6">
        <f t="shared" si="17"/>
        <v>10</v>
      </c>
      <c r="M89" s="6">
        <f t="shared" si="18"/>
        <v>1.1133999999999999</v>
      </c>
      <c r="N89" s="6" t="str">
        <f t="shared" si="20"/>
        <v>100PFA39-6200</v>
      </c>
      <c r="O89" s="6" t="str">
        <f t="shared" si="21"/>
        <v>SINGING THE CHICAGO BLUES</v>
      </c>
    </row>
    <row r="90" spans="1:15" ht="38.25">
      <c r="A90" s="4">
        <v>4</v>
      </c>
      <c r="B90" s="5" t="s">
        <v>9189</v>
      </c>
      <c r="C90" s="4" t="s">
        <v>9190</v>
      </c>
      <c r="D90" s="4">
        <v>1</v>
      </c>
      <c r="E90" s="4">
        <v>91</v>
      </c>
      <c r="F90" s="6">
        <v>1</v>
      </c>
      <c r="H90">
        <f t="shared" si="14"/>
        <v>4</v>
      </c>
      <c r="I90" t="str">
        <f t="shared" si="19"/>
        <v>CBPFA39APPK2</v>
      </c>
      <c r="J90" s="6" t="str">
        <f t="shared" si="15"/>
        <v>CHICAGO BLUES UV PRO 2LP</v>
      </c>
      <c r="K90" s="6">
        <f t="shared" si="16"/>
        <v>1</v>
      </c>
      <c r="L90" s="6">
        <f t="shared" si="17"/>
        <v>91</v>
      </c>
      <c r="M90" s="6">
        <f t="shared" si="18"/>
        <v>1</v>
      </c>
      <c r="N90" s="6" t="str">
        <f t="shared" si="20"/>
        <v>100PFA39-6200</v>
      </c>
      <c r="O90" s="6" t="str">
        <f t="shared" si="21"/>
        <v>SINGING THE CHICAGO BLUES</v>
      </c>
    </row>
    <row r="91" spans="1:15" ht="25.5">
      <c r="A91" s="4">
        <v>3</v>
      </c>
      <c r="B91" s="5" t="s">
        <v>9231</v>
      </c>
      <c r="C91" s="4" t="s">
        <v>9232</v>
      </c>
      <c r="D91" s="4">
        <v>1</v>
      </c>
      <c r="E91" s="4">
        <v>10</v>
      </c>
      <c r="F91" s="6">
        <v>1</v>
      </c>
      <c r="H91">
        <f t="shared" si="14"/>
        <v>3</v>
      </c>
      <c r="I91" t="str">
        <f t="shared" si="19"/>
        <v>J24I9160PM41</v>
      </c>
      <c r="J91" s="6" t="str">
        <f t="shared" si="15"/>
        <v>PFA39 UV PRO L CHAR 41.875X144</v>
      </c>
      <c r="K91" s="6">
        <f t="shared" si="16"/>
        <v>1</v>
      </c>
      <c r="L91" s="6">
        <f t="shared" si="17"/>
        <v>10</v>
      </c>
      <c r="M91" s="6">
        <f t="shared" si="18"/>
        <v>1</v>
      </c>
      <c r="N91" s="6" t="str">
        <f t="shared" si="20"/>
        <v>100PFA39-6200</v>
      </c>
      <c r="O91" s="6" t="str">
        <f t="shared" si="21"/>
        <v>SINGING THE CHICAGO BLUES</v>
      </c>
    </row>
    <row r="92" spans="1:15" ht="25.5">
      <c r="A92" s="4">
        <v>2</v>
      </c>
      <c r="B92" s="5" t="s">
        <v>9233</v>
      </c>
      <c r="C92" s="4" t="s">
        <v>9234</v>
      </c>
      <c r="D92" s="4">
        <v>1</v>
      </c>
      <c r="E92" s="4">
        <v>10</v>
      </c>
      <c r="F92" s="6">
        <v>1</v>
      </c>
      <c r="H92">
        <f t="shared" si="14"/>
        <v>2</v>
      </c>
      <c r="I92" t="str">
        <f t="shared" si="19"/>
        <v>200I9160-120</v>
      </c>
      <c r="J92" s="6" t="str">
        <f t="shared" si="15"/>
        <v>PFA39 PRO UV L CHAR 43 X 145</v>
      </c>
      <c r="K92" s="6">
        <f t="shared" si="16"/>
        <v>1</v>
      </c>
      <c r="L92" s="6">
        <f t="shared" si="17"/>
        <v>10</v>
      </c>
      <c r="M92" s="6">
        <f t="shared" si="18"/>
        <v>1</v>
      </c>
      <c r="N92" s="6" t="str">
        <f t="shared" si="20"/>
        <v>100PFA39-6200</v>
      </c>
      <c r="O92" s="6" t="str">
        <f t="shared" si="21"/>
        <v>SINGING THE CHICAGO BLUES</v>
      </c>
    </row>
    <row r="93" spans="1:15" ht="38.25">
      <c r="A93" s="4">
        <v>1</v>
      </c>
      <c r="B93" s="5" t="s">
        <v>9181</v>
      </c>
      <c r="C93" s="4" t="s">
        <v>9182</v>
      </c>
      <c r="D93" s="4">
        <v>1</v>
      </c>
      <c r="E93" s="4">
        <v>10</v>
      </c>
      <c r="F93" s="6">
        <v>1.1133999999999999</v>
      </c>
      <c r="H93">
        <f t="shared" si="14"/>
        <v>1</v>
      </c>
      <c r="I93" t="str">
        <f t="shared" si="19"/>
        <v>200PFA39-12L1</v>
      </c>
      <c r="J93" s="6" t="str">
        <f t="shared" si="15"/>
        <v>SING CHICAGO BLUES (L) 43X145</v>
      </c>
      <c r="K93" s="6">
        <f t="shared" si="16"/>
        <v>1</v>
      </c>
      <c r="L93" s="6">
        <f t="shared" si="17"/>
        <v>10</v>
      </c>
      <c r="M93" s="6">
        <f t="shared" si="18"/>
        <v>1.1133999999999999</v>
      </c>
      <c r="N93" s="6" t="str">
        <f t="shared" si="20"/>
        <v>100PFA39-6200</v>
      </c>
      <c r="O93" s="6" t="str">
        <f t="shared" si="21"/>
        <v>SINGING THE CHICAGO BLUES</v>
      </c>
    </row>
    <row r="94" spans="1:15" ht="38.25">
      <c r="A94" s="4">
        <v>4</v>
      </c>
      <c r="B94" s="5" t="s">
        <v>9235</v>
      </c>
      <c r="C94" s="4" t="s">
        <v>9146</v>
      </c>
      <c r="D94" s="4">
        <v>1</v>
      </c>
      <c r="E94" s="4">
        <v>91</v>
      </c>
      <c r="F94" s="6">
        <v>1</v>
      </c>
      <c r="H94">
        <f t="shared" si="14"/>
        <v>4</v>
      </c>
      <c r="I94" t="str">
        <f t="shared" si="19"/>
        <v>CBPFA39APPK3</v>
      </c>
      <c r="J94" s="6" t="str">
        <f t="shared" si="15"/>
        <v>CHICAGO BLUES 2LP</v>
      </c>
      <c r="K94" s="6">
        <f t="shared" si="16"/>
        <v>1</v>
      </c>
      <c r="L94" s="6">
        <f t="shared" si="17"/>
        <v>91</v>
      </c>
      <c r="M94" s="6">
        <f t="shared" si="18"/>
        <v>1</v>
      </c>
      <c r="N94" s="6" t="str">
        <f t="shared" si="20"/>
        <v>100PFA39-6200</v>
      </c>
      <c r="O94" s="6" t="str">
        <f t="shared" si="21"/>
        <v>SINGING THE CHICAGO BLUES</v>
      </c>
    </row>
    <row r="95" spans="1:15" ht="25.5">
      <c r="A95" s="4">
        <v>3</v>
      </c>
      <c r="B95" s="5" t="s">
        <v>9236</v>
      </c>
      <c r="C95" s="4" t="s">
        <v>9148</v>
      </c>
      <c r="D95" s="4">
        <v>1</v>
      </c>
      <c r="E95" s="4">
        <v>10</v>
      </c>
      <c r="F95" s="6">
        <v>1</v>
      </c>
      <c r="H95">
        <f t="shared" si="14"/>
        <v>3</v>
      </c>
      <c r="I95" t="str">
        <f t="shared" si="19"/>
        <v>J44I8944AM31</v>
      </c>
      <c r="J95" s="6" t="str">
        <f t="shared" si="15"/>
        <v>PFA39 TEX L APP 59.641 X 144</v>
      </c>
      <c r="K95" s="6">
        <f t="shared" si="16"/>
        <v>1</v>
      </c>
      <c r="L95" s="6">
        <f t="shared" si="17"/>
        <v>10</v>
      </c>
      <c r="M95" s="6">
        <f t="shared" si="18"/>
        <v>1</v>
      </c>
      <c r="N95" s="6" t="str">
        <f t="shared" si="20"/>
        <v>100PFA39-6200</v>
      </c>
      <c r="O95" s="6" t="str">
        <f t="shared" si="21"/>
        <v>SINGING THE CHICAGO BLUES</v>
      </c>
    </row>
    <row r="96" spans="1:15" ht="25.5">
      <c r="A96" s="4">
        <v>2</v>
      </c>
      <c r="B96" s="5" t="s">
        <v>9149</v>
      </c>
      <c r="C96" s="4" t="s">
        <v>9150</v>
      </c>
      <c r="D96" s="4">
        <v>1</v>
      </c>
      <c r="E96" s="4">
        <v>10</v>
      </c>
      <c r="F96" s="6">
        <v>1</v>
      </c>
      <c r="H96">
        <f t="shared" ref="H96:H159" si="22">A96</f>
        <v>2</v>
      </c>
      <c r="I96" t="str">
        <f t="shared" si="19"/>
        <v>200I8944-520</v>
      </c>
      <c r="J96" s="6" t="str">
        <f t="shared" ref="J96:J159" si="23">C96</f>
        <v>PFA39 LEFT APPR 60 X 144</v>
      </c>
      <c r="K96" s="6">
        <f t="shared" ref="K96:K159" si="24">D96</f>
        <v>1</v>
      </c>
      <c r="L96" s="6">
        <f t="shared" ref="L96:L159" si="25">E96</f>
        <v>10</v>
      </c>
      <c r="M96" s="6">
        <f t="shared" ref="M96:M159" si="26">F96</f>
        <v>1</v>
      </c>
      <c r="N96" s="6" t="str">
        <f t="shared" si="20"/>
        <v>100PFA39-6200</v>
      </c>
      <c r="O96" s="6" t="str">
        <f t="shared" si="21"/>
        <v>SINGING THE CHICAGO BLUES</v>
      </c>
    </row>
    <row r="97" spans="1:15" ht="38.25">
      <c r="A97" s="4">
        <v>1</v>
      </c>
      <c r="B97" s="5" t="s">
        <v>9151</v>
      </c>
      <c r="C97" s="4" t="s">
        <v>9152</v>
      </c>
      <c r="D97" s="4">
        <v>1</v>
      </c>
      <c r="E97" s="4">
        <v>10</v>
      </c>
      <c r="F97" s="6">
        <v>1.1133999999999999</v>
      </c>
      <c r="H97">
        <f t="shared" si="22"/>
        <v>1</v>
      </c>
      <c r="I97" t="str">
        <f t="shared" si="19"/>
        <v>200PFA39-5201</v>
      </c>
      <c r="J97" s="6" t="str">
        <f t="shared" si="23"/>
        <v>SING CHICAGO BLUES 60 X 144</v>
      </c>
      <c r="K97" s="6">
        <f t="shared" si="24"/>
        <v>1</v>
      </c>
      <c r="L97" s="6">
        <f t="shared" si="25"/>
        <v>10</v>
      </c>
      <c r="M97" s="6">
        <f t="shared" si="26"/>
        <v>1.1133999999999999</v>
      </c>
      <c r="N97" s="6" t="str">
        <f t="shared" si="20"/>
        <v>100PFA39-6200</v>
      </c>
      <c r="O97" s="6" t="str">
        <f t="shared" si="21"/>
        <v>SINGING THE CHICAGO BLUES</v>
      </c>
    </row>
    <row r="98" spans="1:15" ht="38.25">
      <c r="A98" s="4">
        <v>4</v>
      </c>
      <c r="B98" s="5" t="s">
        <v>9235</v>
      </c>
      <c r="C98" s="4" t="s">
        <v>9146</v>
      </c>
      <c r="D98" s="4">
        <v>1</v>
      </c>
      <c r="E98" s="4">
        <v>91</v>
      </c>
      <c r="F98" s="6">
        <v>1</v>
      </c>
      <c r="H98">
        <f t="shared" si="22"/>
        <v>4</v>
      </c>
      <c r="I98" t="str">
        <f t="shared" si="19"/>
        <v>CBPFA39APPK3</v>
      </c>
      <c r="J98" s="6" t="str">
        <f t="shared" si="23"/>
        <v>CHICAGO BLUES 2LP</v>
      </c>
      <c r="K98" s="6">
        <f t="shared" si="24"/>
        <v>1</v>
      </c>
      <c r="L98" s="6">
        <f t="shared" si="25"/>
        <v>91</v>
      </c>
      <c r="M98" s="6">
        <f t="shared" si="26"/>
        <v>1</v>
      </c>
      <c r="N98" s="6" t="str">
        <f t="shared" si="20"/>
        <v>100PFA39-6200</v>
      </c>
      <c r="O98" s="6" t="str">
        <f t="shared" si="21"/>
        <v>SINGING THE CHICAGO BLUES</v>
      </c>
    </row>
    <row r="99" spans="1:15" ht="25.5">
      <c r="A99" s="4">
        <v>3</v>
      </c>
      <c r="B99" s="5" t="s">
        <v>9237</v>
      </c>
      <c r="C99" s="4" t="s">
        <v>9154</v>
      </c>
      <c r="D99" s="4">
        <v>1</v>
      </c>
      <c r="E99" s="4">
        <v>10</v>
      </c>
      <c r="F99" s="6">
        <v>1</v>
      </c>
      <c r="H99">
        <f t="shared" si="22"/>
        <v>3</v>
      </c>
      <c r="I99" t="str">
        <f t="shared" si="19"/>
        <v>J44I8945AM30</v>
      </c>
      <c r="J99" s="6" t="str">
        <f t="shared" si="23"/>
        <v>PFA39 TEX R APP 59.641 X 144</v>
      </c>
      <c r="K99" s="6">
        <f t="shared" si="24"/>
        <v>1</v>
      </c>
      <c r="L99" s="6">
        <f t="shared" si="25"/>
        <v>10</v>
      </c>
      <c r="M99" s="6">
        <f t="shared" si="26"/>
        <v>1</v>
      </c>
      <c r="N99" s="6" t="str">
        <f t="shared" si="20"/>
        <v>100PFA39-6200</v>
      </c>
      <c r="O99" s="6" t="str">
        <f t="shared" si="21"/>
        <v>SINGING THE CHICAGO BLUES</v>
      </c>
    </row>
    <row r="100" spans="1:15" ht="25.5">
      <c r="A100" s="4">
        <v>2</v>
      </c>
      <c r="B100" s="5" t="s">
        <v>9155</v>
      </c>
      <c r="C100" s="4" t="s">
        <v>9156</v>
      </c>
      <c r="D100" s="4">
        <v>1</v>
      </c>
      <c r="E100" s="4">
        <v>10</v>
      </c>
      <c r="F100" s="6">
        <v>1</v>
      </c>
      <c r="H100">
        <f t="shared" si="22"/>
        <v>2</v>
      </c>
      <c r="I100" t="str">
        <f t="shared" si="19"/>
        <v>200I8945-520</v>
      </c>
      <c r="J100" s="6" t="str">
        <f t="shared" si="23"/>
        <v>PFA39 RIGHT APPR 60 X 144</v>
      </c>
      <c r="K100" s="6">
        <f t="shared" si="24"/>
        <v>1</v>
      </c>
      <c r="L100" s="6">
        <f t="shared" si="25"/>
        <v>10</v>
      </c>
      <c r="M100" s="6">
        <f t="shared" si="26"/>
        <v>1</v>
      </c>
      <c r="N100" s="6" t="str">
        <f t="shared" si="20"/>
        <v>100PFA39-6200</v>
      </c>
      <c r="O100" s="6" t="str">
        <f t="shared" si="21"/>
        <v>SINGING THE CHICAGO BLUES</v>
      </c>
    </row>
    <row r="101" spans="1:15" ht="38.25">
      <c r="A101" s="4">
        <v>1</v>
      </c>
      <c r="B101" s="5" t="s">
        <v>9151</v>
      </c>
      <c r="C101" s="4" t="s">
        <v>9152</v>
      </c>
      <c r="D101" s="4">
        <v>1</v>
      </c>
      <c r="E101" s="4">
        <v>10</v>
      </c>
      <c r="F101" s="6">
        <v>1.1133999999999999</v>
      </c>
      <c r="H101">
        <f t="shared" si="22"/>
        <v>1</v>
      </c>
      <c r="I101" t="str">
        <f t="shared" si="19"/>
        <v>200PFA39-5201</v>
      </c>
      <c r="J101" s="6" t="str">
        <f t="shared" si="23"/>
        <v>SING CHICAGO BLUES 60 X 144</v>
      </c>
      <c r="K101" s="6">
        <f t="shared" si="24"/>
        <v>1</v>
      </c>
      <c r="L101" s="6">
        <f t="shared" si="25"/>
        <v>10</v>
      </c>
      <c r="M101" s="6">
        <f t="shared" si="26"/>
        <v>1.1133999999999999</v>
      </c>
      <c r="N101" s="6" t="str">
        <f t="shared" si="20"/>
        <v>100PFA39-6200</v>
      </c>
      <c r="O101" s="6" t="str">
        <f t="shared" si="21"/>
        <v>SINGING THE CHICAGO BLUES</v>
      </c>
    </row>
    <row r="102" spans="1:15" ht="38.25">
      <c r="A102" s="4">
        <v>4</v>
      </c>
      <c r="B102" s="5" t="s">
        <v>9235</v>
      </c>
      <c r="C102" s="4" t="s">
        <v>9146</v>
      </c>
      <c r="D102" s="4">
        <v>1</v>
      </c>
      <c r="E102" s="4">
        <v>91</v>
      </c>
      <c r="F102" s="6">
        <v>1</v>
      </c>
      <c r="H102">
        <f t="shared" si="22"/>
        <v>4</v>
      </c>
      <c r="I102" t="str">
        <f t="shared" si="19"/>
        <v>CBPFA39APPK3</v>
      </c>
      <c r="J102" s="6" t="str">
        <f t="shared" si="23"/>
        <v>CHICAGO BLUES 2LP</v>
      </c>
      <c r="K102" s="6">
        <f t="shared" si="24"/>
        <v>1</v>
      </c>
      <c r="L102" s="6">
        <f t="shared" si="25"/>
        <v>91</v>
      </c>
      <c r="M102" s="6">
        <f t="shared" si="26"/>
        <v>1</v>
      </c>
      <c r="N102" s="6" t="str">
        <f t="shared" si="20"/>
        <v>100PFA39-6200</v>
      </c>
      <c r="O102" s="6" t="str">
        <f t="shared" si="21"/>
        <v>SINGING THE CHICAGO BLUES</v>
      </c>
    </row>
    <row r="103" spans="1:15" ht="25.5">
      <c r="A103" s="4">
        <v>3</v>
      </c>
      <c r="B103" s="5" t="s">
        <v>9238</v>
      </c>
      <c r="C103" s="4" t="s">
        <v>9158</v>
      </c>
      <c r="D103" s="4">
        <v>1</v>
      </c>
      <c r="E103" s="4">
        <v>10</v>
      </c>
      <c r="F103" s="6">
        <v>1</v>
      </c>
      <c r="H103">
        <f t="shared" si="22"/>
        <v>3</v>
      </c>
      <c r="I103" t="str">
        <f t="shared" si="19"/>
        <v>J44I8946QM33</v>
      </c>
      <c r="J103" s="6" t="str">
        <f t="shared" si="23"/>
        <v>PFA39 D/F L FOUL 59.641 X 144</v>
      </c>
      <c r="K103" s="6">
        <f t="shared" si="24"/>
        <v>1</v>
      </c>
      <c r="L103" s="6">
        <f t="shared" si="25"/>
        <v>10</v>
      </c>
      <c r="M103" s="6">
        <f t="shared" si="26"/>
        <v>1</v>
      </c>
      <c r="N103" s="6" t="str">
        <f t="shared" si="20"/>
        <v>100PFA39-6200</v>
      </c>
      <c r="O103" s="6" t="str">
        <f t="shared" si="21"/>
        <v>SINGING THE CHICAGO BLUES</v>
      </c>
    </row>
    <row r="104" spans="1:15" ht="25.5">
      <c r="A104" s="4">
        <v>2</v>
      </c>
      <c r="B104" s="5" t="s">
        <v>9159</v>
      </c>
      <c r="C104" s="4" t="s">
        <v>9160</v>
      </c>
      <c r="D104" s="4">
        <v>1</v>
      </c>
      <c r="E104" s="4">
        <v>10</v>
      </c>
      <c r="F104" s="6">
        <v>1</v>
      </c>
      <c r="H104">
        <f t="shared" si="22"/>
        <v>2</v>
      </c>
      <c r="I104" t="str">
        <f t="shared" si="19"/>
        <v>200I8946-520</v>
      </c>
      <c r="J104" s="6" t="str">
        <f t="shared" si="23"/>
        <v>PFA39 LEFT FOUL 60 X 144</v>
      </c>
      <c r="K104" s="6">
        <f t="shared" si="24"/>
        <v>1</v>
      </c>
      <c r="L104" s="6">
        <f t="shared" si="25"/>
        <v>10</v>
      </c>
      <c r="M104" s="6">
        <f t="shared" si="26"/>
        <v>1</v>
      </c>
      <c r="N104" s="6" t="str">
        <f t="shared" si="20"/>
        <v>100PFA39-6200</v>
      </c>
      <c r="O104" s="6" t="str">
        <f t="shared" si="21"/>
        <v>SINGING THE CHICAGO BLUES</v>
      </c>
    </row>
    <row r="105" spans="1:15" ht="38.25">
      <c r="A105" s="4">
        <v>1</v>
      </c>
      <c r="B105" s="5" t="s">
        <v>9151</v>
      </c>
      <c r="C105" s="4" t="s">
        <v>9152</v>
      </c>
      <c r="D105" s="4">
        <v>1</v>
      </c>
      <c r="E105" s="4">
        <v>10</v>
      </c>
      <c r="F105" s="6">
        <v>1.1133999999999999</v>
      </c>
      <c r="H105">
        <f t="shared" si="22"/>
        <v>1</v>
      </c>
      <c r="I105" t="str">
        <f t="shared" si="19"/>
        <v>200PFA39-5201</v>
      </c>
      <c r="J105" s="6" t="str">
        <f t="shared" si="23"/>
        <v>SING CHICAGO BLUES 60 X 144</v>
      </c>
      <c r="K105" s="6">
        <f t="shared" si="24"/>
        <v>1</v>
      </c>
      <c r="L105" s="6">
        <f t="shared" si="25"/>
        <v>10</v>
      </c>
      <c r="M105" s="6">
        <f t="shared" si="26"/>
        <v>1.1133999999999999</v>
      </c>
      <c r="N105" s="6" t="str">
        <f t="shared" si="20"/>
        <v>100PFA39-6200</v>
      </c>
      <c r="O105" s="6" t="str">
        <f t="shared" si="21"/>
        <v>SINGING THE CHICAGO BLUES</v>
      </c>
    </row>
    <row r="106" spans="1:15" ht="38.25">
      <c r="A106" s="4">
        <v>4</v>
      </c>
      <c r="B106" s="5" t="s">
        <v>9235</v>
      </c>
      <c r="C106" s="4" t="s">
        <v>9146</v>
      </c>
      <c r="D106" s="4">
        <v>1</v>
      </c>
      <c r="E106" s="4">
        <v>91</v>
      </c>
      <c r="F106" s="6">
        <v>1</v>
      </c>
      <c r="H106">
        <f t="shared" si="22"/>
        <v>4</v>
      </c>
      <c r="I106" t="str">
        <f t="shared" si="19"/>
        <v>CBPFA39APPK3</v>
      </c>
      <c r="J106" s="6" t="str">
        <f t="shared" si="23"/>
        <v>CHICAGO BLUES 2LP</v>
      </c>
      <c r="K106" s="6">
        <f t="shared" si="24"/>
        <v>1</v>
      </c>
      <c r="L106" s="6">
        <f t="shared" si="25"/>
        <v>91</v>
      </c>
      <c r="M106" s="6">
        <f t="shared" si="26"/>
        <v>1</v>
      </c>
      <c r="N106" s="6" t="str">
        <f t="shared" si="20"/>
        <v>100PFA39-6200</v>
      </c>
      <c r="O106" s="6" t="str">
        <f t="shared" si="21"/>
        <v>SINGING THE CHICAGO BLUES</v>
      </c>
    </row>
    <row r="107" spans="1:15" ht="25.5">
      <c r="A107" s="4">
        <v>3</v>
      </c>
      <c r="B107" s="5" t="s">
        <v>9239</v>
      </c>
      <c r="C107" s="4" t="s">
        <v>9162</v>
      </c>
      <c r="D107" s="4">
        <v>1</v>
      </c>
      <c r="E107" s="4">
        <v>10</v>
      </c>
      <c r="F107" s="6">
        <v>1</v>
      </c>
      <c r="H107">
        <f t="shared" si="22"/>
        <v>3</v>
      </c>
      <c r="I107" t="str">
        <f t="shared" si="19"/>
        <v>J44I8947QM32</v>
      </c>
      <c r="J107" s="6" t="str">
        <f t="shared" si="23"/>
        <v>PFA39 D/F R FOUL 59.641 X 144</v>
      </c>
      <c r="K107" s="6">
        <f t="shared" si="24"/>
        <v>1</v>
      </c>
      <c r="L107" s="6">
        <f t="shared" si="25"/>
        <v>10</v>
      </c>
      <c r="M107" s="6">
        <f t="shared" si="26"/>
        <v>1</v>
      </c>
      <c r="N107" s="6" t="str">
        <f t="shared" si="20"/>
        <v>100PFA39-6200</v>
      </c>
      <c r="O107" s="6" t="str">
        <f t="shared" si="21"/>
        <v>SINGING THE CHICAGO BLUES</v>
      </c>
    </row>
    <row r="108" spans="1:15" ht="25.5">
      <c r="A108" s="4">
        <v>2</v>
      </c>
      <c r="B108" s="5" t="s">
        <v>9163</v>
      </c>
      <c r="C108" s="4" t="s">
        <v>9164</v>
      </c>
      <c r="D108" s="4">
        <v>1</v>
      </c>
      <c r="E108" s="4">
        <v>10</v>
      </c>
      <c r="F108" s="6">
        <v>1</v>
      </c>
      <c r="H108">
        <f t="shared" si="22"/>
        <v>2</v>
      </c>
      <c r="I108" t="str">
        <f t="shared" si="19"/>
        <v>200I8947-520</v>
      </c>
      <c r="J108" s="6" t="str">
        <f t="shared" si="23"/>
        <v>PFA39 RIGHT FOUL 60 X 144</v>
      </c>
      <c r="K108" s="6">
        <f t="shared" si="24"/>
        <v>1</v>
      </c>
      <c r="L108" s="6">
        <f t="shared" si="25"/>
        <v>10</v>
      </c>
      <c r="M108" s="6">
        <f t="shared" si="26"/>
        <v>1</v>
      </c>
      <c r="N108" s="6" t="str">
        <f t="shared" si="20"/>
        <v>100PFA39-6200</v>
      </c>
      <c r="O108" s="6" t="str">
        <f t="shared" si="21"/>
        <v>SINGING THE CHICAGO BLUES</v>
      </c>
    </row>
    <row r="109" spans="1:15" ht="38.25">
      <c r="A109" s="4">
        <v>1</v>
      </c>
      <c r="B109" s="5" t="s">
        <v>9151</v>
      </c>
      <c r="C109" s="4" t="s">
        <v>9152</v>
      </c>
      <c r="D109" s="4">
        <v>1</v>
      </c>
      <c r="E109" s="4">
        <v>10</v>
      </c>
      <c r="F109" s="6">
        <v>1.1133999999999999</v>
      </c>
      <c r="H109">
        <f t="shared" si="22"/>
        <v>1</v>
      </c>
      <c r="I109" t="str">
        <f t="shared" si="19"/>
        <v>200PFA39-5201</v>
      </c>
      <c r="J109" s="6" t="str">
        <f t="shared" si="23"/>
        <v>SING CHICAGO BLUES 60 X 144</v>
      </c>
      <c r="K109" s="6">
        <f t="shared" si="24"/>
        <v>1</v>
      </c>
      <c r="L109" s="6">
        <f t="shared" si="25"/>
        <v>10</v>
      </c>
      <c r="M109" s="6">
        <f t="shared" si="26"/>
        <v>1.1133999999999999</v>
      </c>
      <c r="N109" s="6" t="str">
        <f t="shared" si="20"/>
        <v>100PFA39-6200</v>
      </c>
      <c r="O109" s="6" t="str">
        <f t="shared" si="21"/>
        <v>SINGING THE CHICAGO BLUES</v>
      </c>
    </row>
    <row r="110" spans="1:15" ht="38.25">
      <c r="A110" s="4">
        <v>4</v>
      </c>
      <c r="B110" s="5" t="s">
        <v>9235</v>
      </c>
      <c r="C110" s="4" t="s">
        <v>9146</v>
      </c>
      <c r="D110" s="4">
        <v>1</v>
      </c>
      <c r="E110" s="4">
        <v>91</v>
      </c>
      <c r="F110" s="6">
        <v>1</v>
      </c>
      <c r="H110">
        <f t="shared" si="22"/>
        <v>4</v>
      </c>
      <c r="I110" t="str">
        <f t="shared" si="19"/>
        <v>CBPFA39APPK3</v>
      </c>
      <c r="J110" s="6" t="str">
        <f t="shared" si="23"/>
        <v>CHICAGO BLUES 2LP</v>
      </c>
      <c r="K110" s="6">
        <f t="shared" si="24"/>
        <v>1</v>
      </c>
      <c r="L110" s="6">
        <f t="shared" si="25"/>
        <v>91</v>
      </c>
      <c r="M110" s="6">
        <f t="shared" si="26"/>
        <v>1</v>
      </c>
      <c r="N110" s="6" t="str">
        <f t="shared" si="20"/>
        <v>100PFA39-6200</v>
      </c>
      <c r="O110" s="6" t="str">
        <f t="shared" si="21"/>
        <v>SINGING THE CHICAGO BLUES</v>
      </c>
    </row>
    <row r="111" spans="1:15" ht="25.5">
      <c r="A111" s="4">
        <v>3</v>
      </c>
      <c r="B111" s="5" t="s">
        <v>9165</v>
      </c>
      <c r="C111" s="4" t="s">
        <v>9166</v>
      </c>
      <c r="D111" s="4">
        <v>1</v>
      </c>
      <c r="E111" s="4">
        <v>10</v>
      </c>
      <c r="F111" s="6">
        <v>1</v>
      </c>
      <c r="H111">
        <f t="shared" si="22"/>
        <v>3</v>
      </c>
      <c r="I111" t="str">
        <f t="shared" si="19"/>
        <v>J44I8949PM34</v>
      </c>
      <c r="J111" s="6" t="str">
        <f t="shared" si="23"/>
        <v>PFA39 R ARROW 41.875 X 144</v>
      </c>
      <c r="K111" s="6">
        <f t="shared" si="24"/>
        <v>1</v>
      </c>
      <c r="L111" s="6">
        <f t="shared" si="25"/>
        <v>10</v>
      </c>
      <c r="M111" s="6">
        <f t="shared" si="26"/>
        <v>1</v>
      </c>
      <c r="N111" s="6" t="str">
        <f t="shared" si="20"/>
        <v>100PFA39-6200</v>
      </c>
      <c r="O111" s="6" t="str">
        <f t="shared" si="21"/>
        <v>SINGING THE CHICAGO BLUES</v>
      </c>
    </row>
    <row r="112" spans="1:15" ht="25.5">
      <c r="A112" s="4">
        <v>2</v>
      </c>
      <c r="B112" s="5" t="s">
        <v>9167</v>
      </c>
      <c r="C112" s="4" t="s">
        <v>9168</v>
      </c>
      <c r="D112" s="4">
        <v>1</v>
      </c>
      <c r="E112" s="4">
        <v>10</v>
      </c>
      <c r="F112" s="6">
        <v>1</v>
      </c>
      <c r="H112">
        <f t="shared" si="22"/>
        <v>2</v>
      </c>
      <c r="I112" t="str">
        <f t="shared" si="19"/>
        <v>200I8949-120</v>
      </c>
      <c r="J112" s="6" t="str">
        <f t="shared" si="23"/>
        <v>PFA39 R  ARROW 43 X 145</v>
      </c>
      <c r="K112" s="6">
        <f t="shared" si="24"/>
        <v>1</v>
      </c>
      <c r="L112" s="6">
        <f t="shared" si="25"/>
        <v>10</v>
      </c>
      <c r="M112" s="6">
        <f t="shared" si="26"/>
        <v>1</v>
      </c>
      <c r="N112" s="6" t="str">
        <f t="shared" si="20"/>
        <v>100PFA39-6200</v>
      </c>
      <c r="O112" s="6" t="str">
        <f t="shared" si="21"/>
        <v>SINGING THE CHICAGO BLUES</v>
      </c>
    </row>
    <row r="113" spans="1:15" ht="38.25">
      <c r="A113" s="4">
        <v>1</v>
      </c>
      <c r="B113" s="5" t="s">
        <v>9169</v>
      </c>
      <c r="C113" s="4" t="s">
        <v>9170</v>
      </c>
      <c r="D113" s="4">
        <v>1</v>
      </c>
      <c r="E113" s="4">
        <v>10</v>
      </c>
      <c r="F113" s="6">
        <v>1.1133999999999999</v>
      </c>
      <c r="H113">
        <f t="shared" si="22"/>
        <v>1</v>
      </c>
      <c r="I113" t="str">
        <f t="shared" si="19"/>
        <v>200PFA39-12R1</v>
      </c>
      <c r="J113" s="6" t="str">
        <f t="shared" si="23"/>
        <v>SING CHICAGO BLUES (R) 43X145</v>
      </c>
      <c r="K113" s="6">
        <f t="shared" si="24"/>
        <v>1</v>
      </c>
      <c r="L113" s="6">
        <f t="shared" si="25"/>
        <v>10</v>
      </c>
      <c r="M113" s="6">
        <f t="shared" si="26"/>
        <v>1.1133999999999999</v>
      </c>
      <c r="N113" s="6" t="str">
        <f t="shared" si="20"/>
        <v>100PFA39-6200</v>
      </c>
      <c r="O113" s="6" t="str">
        <f t="shared" si="21"/>
        <v>SINGING THE CHICAGO BLUES</v>
      </c>
    </row>
    <row r="114" spans="1:15" ht="38.25">
      <c r="A114" s="4">
        <v>4</v>
      </c>
      <c r="B114" s="5" t="s">
        <v>9235</v>
      </c>
      <c r="C114" s="4" t="s">
        <v>9146</v>
      </c>
      <c r="D114" s="4">
        <v>1</v>
      </c>
      <c r="E114" s="4">
        <v>91</v>
      </c>
      <c r="F114" s="6">
        <v>3</v>
      </c>
      <c r="H114">
        <f t="shared" si="22"/>
        <v>4</v>
      </c>
      <c r="I114" t="str">
        <f t="shared" si="19"/>
        <v>CBPFA39APPK3</v>
      </c>
      <c r="J114" s="6" t="str">
        <f t="shared" si="23"/>
        <v>CHICAGO BLUES 2LP</v>
      </c>
      <c r="K114" s="6">
        <f t="shared" si="24"/>
        <v>1</v>
      </c>
      <c r="L114" s="6">
        <f t="shared" si="25"/>
        <v>91</v>
      </c>
      <c r="M114" s="6">
        <f t="shared" si="26"/>
        <v>3</v>
      </c>
      <c r="N114" s="6" t="str">
        <f t="shared" si="20"/>
        <v>100PFA39-6200</v>
      </c>
      <c r="O114" s="6" t="str">
        <f t="shared" si="21"/>
        <v>SINGING THE CHICAGO BLUES</v>
      </c>
    </row>
    <row r="115" spans="1:15" ht="25.5">
      <c r="A115" s="4">
        <v>3</v>
      </c>
      <c r="B115" s="5" t="s">
        <v>9171</v>
      </c>
      <c r="C115" s="4" t="s">
        <v>9172</v>
      </c>
      <c r="D115" s="4">
        <v>1</v>
      </c>
      <c r="E115" s="4">
        <v>10</v>
      </c>
      <c r="F115" s="6">
        <v>1</v>
      </c>
      <c r="H115">
        <f t="shared" si="22"/>
        <v>3</v>
      </c>
      <c r="I115" t="str">
        <f t="shared" si="19"/>
        <v>J44I8951PM61</v>
      </c>
      <c r="J115" s="6" t="str">
        <f t="shared" si="23"/>
        <v>PFA39 R COMMON  41.875 X 144</v>
      </c>
      <c r="K115" s="6">
        <f t="shared" si="24"/>
        <v>1</v>
      </c>
      <c r="L115" s="6">
        <f t="shared" si="25"/>
        <v>10</v>
      </c>
      <c r="M115" s="6">
        <f t="shared" si="26"/>
        <v>1</v>
      </c>
      <c r="N115" s="6" t="str">
        <f t="shared" si="20"/>
        <v>100PFA39-6200</v>
      </c>
      <c r="O115" s="6" t="str">
        <f t="shared" si="21"/>
        <v>SINGING THE CHICAGO BLUES</v>
      </c>
    </row>
    <row r="116" spans="1:15" ht="25.5">
      <c r="A116" s="4">
        <v>2</v>
      </c>
      <c r="B116" s="5" t="s">
        <v>9173</v>
      </c>
      <c r="C116" s="4" t="s">
        <v>9174</v>
      </c>
      <c r="D116" s="4">
        <v>1</v>
      </c>
      <c r="E116" s="4">
        <v>10</v>
      </c>
      <c r="F116" s="6">
        <v>1</v>
      </c>
      <c r="H116">
        <f t="shared" si="22"/>
        <v>2</v>
      </c>
      <c r="I116" t="str">
        <f t="shared" si="19"/>
        <v>200I8951-120</v>
      </c>
      <c r="J116" s="6" t="str">
        <f t="shared" si="23"/>
        <v>PFA39 R COMMON 43 X 145</v>
      </c>
      <c r="K116" s="6">
        <f t="shared" si="24"/>
        <v>1</v>
      </c>
      <c r="L116" s="6">
        <f t="shared" si="25"/>
        <v>10</v>
      </c>
      <c r="M116" s="6">
        <f t="shared" si="26"/>
        <v>1</v>
      </c>
      <c r="N116" s="6" t="str">
        <f t="shared" si="20"/>
        <v>100PFA39-6200</v>
      </c>
      <c r="O116" s="6" t="str">
        <f t="shared" si="21"/>
        <v>SINGING THE CHICAGO BLUES</v>
      </c>
    </row>
    <row r="117" spans="1:15" ht="38.25">
      <c r="A117" s="4">
        <v>1</v>
      </c>
      <c r="B117" s="5" t="s">
        <v>9169</v>
      </c>
      <c r="C117" s="4" t="s">
        <v>9170</v>
      </c>
      <c r="D117" s="4">
        <v>1</v>
      </c>
      <c r="E117" s="4">
        <v>10</v>
      </c>
      <c r="F117" s="6">
        <v>1.1133999999999999</v>
      </c>
      <c r="H117">
        <f t="shared" si="22"/>
        <v>1</v>
      </c>
      <c r="I117" t="str">
        <f t="shared" si="19"/>
        <v>200PFA39-12R1</v>
      </c>
      <c r="J117" s="6" t="str">
        <f t="shared" si="23"/>
        <v>SING CHICAGO BLUES (R) 43X145</v>
      </c>
      <c r="K117" s="6">
        <f t="shared" si="24"/>
        <v>1</v>
      </c>
      <c r="L117" s="6">
        <f t="shared" si="25"/>
        <v>10</v>
      </c>
      <c r="M117" s="6">
        <f t="shared" si="26"/>
        <v>1.1133999999999999</v>
      </c>
      <c r="N117" s="6" t="str">
        <f t="shared" si="20"/>
        <v>100PFA39-6200</v>
      </c>
      <c r="O117" s="6" t="str">
        <f t="shared" si="21"/>
        <v>SINGING THE CHICAGO BLUES</v>
      </c>
    </row>
    <row r="118" spans="1:15" ht="38.25">
      <c r="A118" s="4">
        <v>4</v>
      </c>
      <c r="B118" s="5" t="s">
        <v>9235</v>
      </c>
      <c r="C118" s="4" t="s">
        <v>9146</v>
      </c>
      <c r="D118" s="4">
        <v>1</v>
      </c>
      <c r="E118" s="4">
        <v>91</v>
      </c>
      <c r="F118" s="6">
        <v>1</v>
      </c>
      <c r="H118">
        <f t="shared" si="22"/>
        <v>4</v>
      </c>
      <c r="I118" t="str">
        <f t="shared" si="19"/>
        <v>CBPFA39APPK3</v>
      </c>
      <c r="J118" s="6" t="str">
        <f t="shared" si="23"/>
        <v>CHICAGO BLUES 2LP</v>
      </c>
      <c r="K118" s="6">
        <f t="shared" si="24"/>
        <v>1</v>
      </c>
      <c r="L118" s="6">
        <f t="shared" si="25"/>
        <v>91</v>
      </c>
      <c r="M118" s="6">
        <f t="shared" si="26"/>
        <v>1</v>
      </c>
      <c r="N118" s="6" t="str">
        <f t="shared" si="20"/>
        <v>100PFA39-6200</v>
      </c>
      <c r="O118" s="6" t="str">
        <f t="shared" si="21"/>
        <v>SINGING THE CHICAGO BLUES</v>
      </c>
    </row>
    <row r="119" spans="1:15" ht="25.5">
      <c r="A119" s="4">
        <v>3</v>
      </c>
      <c r="B119" s="5" t="s">
        <v>9175</v>
      </c>
      <c r="C119" s="4" t="s">
        <v>9176</v>
      </c>
      <c r="D119" s="4">
        <v>1</v>
      </c>
      <c r="E119" s="4">
        <v>10</v>
      </c>
      <c r="F119" s="6">
        <v>0.33329999999999999</v>
      </c>
      <c r="H119">
        <f t="shared" si="22"/>
        <v>3</v>
      </c>
      <c r="I119" t="str">
        <f t="shared" si="19"/>
        <v>J44I8953PM36</v>
      </c>
      <c r="J119" s="6" t="str">
        <f t="shared" si="23"/>
        <v>PFA39 R SHORT 41.87 5X 47.125</v>
      </c>
      <c r="K119" s="6">
        <f t="shared" si="24"/>
        <v>1</v>
      </c>
      <c r="L119" s="6">
        <f t="shared" si="25"/>
        <v>10</v>
      </c>
      <c r="M119" s="6">
        <f t="shared" si="26"/>
        <v>0.33329999999999999</v>
      </c>
      <c r="N119" s="6" t="str">
        <f t="shared" si="20"/>
        <v>100PFA39-6200</v>
      </c>
      <c r="O119" s="6" t="str">
        <f t="shared" si="21"/>
        <v>SINGING THE CHICAGO BLUES</v>
      </c>
    </row>
    <row r="120" spans="1:15" ht="25.5">
      <c r="A120" s="4">
        <v>2</v>
      </c>
      <c r="B120" s="5" t="s">
        <v>9173</v>
      </c>
      <c r="C120" s="4" t="s">
        <v>9174</v>
      </c>
      <c r="D120" s="4">
        <v>1</v>
      </c>
      <c r="E120" s="4">
        <v>10</v>
      </c>
      <c r="F120" s="6">
        <v>1</v>
      </c>
      <c r="H120">
        <f t="shared" si="22"/>
        <v>2</v>
      </c>
      <c r="I120" t="str">
        <f t="shared" si="19"/>
        <v>200I8951-120</v>
      </c>
      <c r="J120" s="6" t="str">
        <f t="shared" si="23"/>
        <v>PFA39 R COMMON 43 X 145</v>
      </c>
      <c r="K120" s="6">
        <f t="shared" si="24"/>
        <v>1</v>
      </c>
      <c r="L120" s="6">
        <f t="shared" si="25"/>
        <v>10</v>
      </c>
      <c r="M120" s="6">
        <f t="shared" si="26"/>
        <v>1</v>
      </c>
      <c r="N120" s="6" t="str">
        <f t="shared" si="20"/>
        <v>100PFA39-6200</v>
      </c>
      <c r="O120" s="6" t="str">
        <f t="shared" si="21"/>
        <v>SINGING THE CHICAGO BLUES</v>
      </c>
    </row>
    <row r="121" spans="1:15" ht="38.25">
      <c r="A121" s="4">
        <v>1</v>
      </c>
      <c r="B121" s="5" t="s">
        <v>9169</v>
      </c>
      <c r="C121" s="4" t="s">
        <v>9170</v>
      </c>
      <c r="D121" s="4">
        <v>1</v>
      </c>
      <c r="E121" s="4">
        <v>10</v>
      </c>
      <c r="F121" s="6">
        <v>1.1133999999999999</v>
      </c>
      <c r="H121">
        <f t="shared" si="22"/>
        <v>1</v>
      </c>
      <c r="I121" t="str">
        <f t="shared" si="19"/>
        <v>200PFA39-12R1</v>
      </c>
      <c r="J121" s="6" t="str">
        <f t="shared" si="23"/>
        <v>SING CHICAGO BLUES (R) 43X145</v>
      </c>
      <c r="K121" s="6">
        <f t="shared" si="24"/>
        <v>1</v>
      </c>
      <c r="L121" s="6">
        <f t="shared" si="25"/>
        <v>10</v>
      </c>
      <c r="M121" s="6">
        <f t="shared" si="26"/>
        <v>1.1133999999999999</v>
      </c>
      <c r="N121" s="6" t="str">
        <f t="shared" si="20"/>
        <v>100PFA39-6200</v>
      </c>
      <c r="O121" s="6" t="str">
        <f t="shared" si="21"/>
        <v>SINGING THE CHICAGO BLUES</v>
      </c>
    </row>
    <row r="122" spans="1:15" ht="38.25">
      <c r="A122" s="4">
        <v>4</v>
      </c>
      <c r="B122" s="5" t="s">
        <v>9235</v>
      </c>
      <c r="C122" s="4" t="s">
        <v>9146</v>
      </c>
      <c r="D122" s="4">
        <v>1</v>
      </c>
      <c r="E122" s="4">
        <v>91</v>
      </c>
      <c r="F122" s="6">
        <v>1</v>
      </c>
      <c r="H122">
        <f t="shared" si="22"/>
        <v>4</v>
      </c>
      <c r="I122" t="str">
        <f t="shared" si="19"/>
        <v>CBPFA39APPK3</v>
      </c>
      <c r="J122" s="6" t="str">
        <f t="shared" si="23"/>
        <v>CHICAGO BLUES 2LP</v>
      </c>
      <c r="K122" s="6">
        <f t="shared" si="24"/>
        <v>1</v>
      </c>
      <c r="L122" s="6">
        <f t="shared" si="25"/>
        <v>91</v>
      </c>
      <c r="M122" s="6">
        <f t="shared" si="26"/>
        <v>1</v>
      </c>
      <c r="N122" s="6" t="str">
        <f t="shared" si="20"/>
        <v>100PFA39-6200</v>
      </c>
      <c r="O122" s="6" t="str">
        <f t="shared" si="21"/>
        <v>SINGING THE CHICAGO BLUES</v>
      </c>
    </row>
    <row r="123" spans="1:15" ht="25.5">
      <c r="A123" s="4">
        <v>3</v>
      </c>
      <c r="B123" s="5" t="s">
        <v>9177</v>
      </c>
      <c r="C123" s="4" t="s">
        <v>9178</v>
      </c>
      <c r="D123" s="4">
        <v>1</v>
      </c>
      <c r="E123" s="4">
        <v>10</v>
      </c>
      <c r="F123" s="6">
        <v>1</v>
      </c>
      <c r="H123">
        <f t="shared" si="22"/>
        <v>3</v>
      </c>
      <c r="I123" t="str">
        <f t="shared" si="19"/>
        <v>J44I8948PM35</v>
      </c>
      <c r="J123" s="6" t="str">
        <f t="shared" si="23"/>
        <v>PFA39 L ARROW 41.875 X 144</v>
      </c>
      <c r="K123" s="6">
        <f t="shared" si="24"/>
        <v>1</v>
      </c>
      <c r="L123" s="6">
        <f t="shared" si="25"/>
        <v>10</v>
      </c>
      <c r="M123" s="6">
        <f t="shared" si="26"/>
        <v>1</v>
      </c>
      <c r="N123" s="6" t="str">
        <f t="shared" si="20"/>
        <v>100PFA39-6200</v>
      </c>
      <c r="O123" s="6" t="str">
        <f t="shared" si="21"/>
        <v>SINGING THE CHICAGO BLUES</v>
      </c>
    </row>
    <row r="124" spans="1:15" ht="25.5">
      <c r="A124" s="4">
        <v>2</v>
      </c>
      <c r="B124" s="5" t="s">
        <v>9179</v>
      </c>
      <c r="C124" s="4" t="s">
        <v>9180</v>
      </c>
      <c r="D124" s="4">
        <v>1</v>
      </c>
      <c r="E124" s="4">
        <v>10</v>
      </c>
      <c r="F124" s="6">
        <v>1</v>
      </c>
      <c r="H124">
        <f t="shared" si="22"/>
        <v>2</v>
      </c>
      <c r="I124" t="str">
        <f t="shared" si="19"/>
        <v>200I8948-120</v>
      </c>
      <c r="J124" s="6" t="str">
        <f t="shared" si="23"/>
        <v>PFA39 L  ARROW 43 X 145</v>
      </c>
      <c r="K124" s="6">
        <f t="shared" si="24"/>
        <v>1</v>
      </c>
      <c r="L124" s="6">
        <f t="shared" si="25"/>
        <v>10</v>
      </c>
      <c r="M124" s="6">
        <f t="shared" si="26"/>
        <v>1</v>
      </c>
      <c r="N124" s="6" t="str">
        <f t="shared" si="20"/>
        <v>100PFA39-6200</v>
      </c>
      <c r="O124" s="6" t="str">
        <f t="shared" si="21"/>
        <v>SINGING THE CHICAGO BLUES</v>
      </c>
    </row>
    <row r="125" spans="1:15" ht="38.25">
      <c r="A125" s="4">
        <v>1</v>
      </c>
      <c r="B125" s="5" t="s">
        <v>9181</v>
      </c>
      <c r="C125" s="4" t="s">
        <v>9182</v>
      </c>
      <c r="D125" s="4">
        <v>1</v>
      </c>
      <c r="E125" s="4">
        <v>10</v>
      </c>
      <c r="F125" s="6">
        <v>1.1133999999999999</v>
      </c>
      <c r="H125">
        <f t="shared" si="22"/>
        <v>1</v>
      </c>
      <c r="I125" t="str">
        <f t="shared" si="19"/>
        <v>200PFA39-12L1</v>
      </c>
      <c r="J125" s="6" t="str">
        <f t="shared" si="23"/>
        <v>SING CHICAGO BLUES (L) 43X145</v>
      </c>
      <c r="K125" s="6">
        <f t="shared" si="24"/>
        <v>1</v>
      </c>
      <c r="L125" s="6">
        <f t="shared" si="25"/>
        <v>10</v>
      </c>
      <c r="M125" s="6">
        <f t="shared" si="26"/>
        <v>1.1133999999999999</v>
      </c>
      <c r="N125" s="6" t="str">
        <f t="shared" si="20"/>
        <v>100PFA39-6200</v>
      </c>
      <c r="O125" s="6" t="str">
        <f t="shared" si="21"/>
        <v>SINGING THE CHICAGO BLUES</v>
      </c>
    </row>
    <row r="126" spans="1:15" ht="38.25">
      <c r="A126" s="4">
        <v>4</v>
      </c>
      <c r="B126" s="5" t="s">
        <v>9235</v>
      </c>
      <c r="C126" s="4" t="s">
        <v>9146</v>
      </c>
      <c r="D126" s="4">
        <v>1</v>
      </c>
      <c r="E126" s="4">
        <v>91</v>
      </c>
      <c r="F126" s="6">
        <v>3</v>
      </c>
      <c r="H126">
        <f t="shared" si="22"/>
        <v>4</v>
      </c>
      <c r="I126" t="str">
        <f t="shared" si="19"/>
        <v>CBPFA39APPK3</v>
      </c>
      <c r="J126" s="6" t="str">
        <f t="shared" si="23"/>
        <v>CHICAGO BLUES 2LP</v>
      </c>
      <c r="K126" s="6">
        <f t="shared" si="24"/>
        <v>1</v>
      </c>
      <c r="L126" s="6">
        <f t="shared" si="25"/>
        <v>91</v>
      </c>
      <c r="M126" s="6">
        <f t="shared" si="26"/>
        <v>3</v>
      </c>
      <c r="N126" s="6" t="str">
        <f t="shared" si="20"/>
        <v>100PFA39-6200</v>
      </c>
      <c r="O126" s="6" t="str">
        <f t="shared" si="21"/>
        <v>SINGING THE CHICAGO BLUES</v>
      </c>
    </row>
    <row r="127" spans="1:15" ht="25.5">
      <c r="A127" s="4">
        <v>3</v>
      </c>
      <c r="B127" s="5" t="s">
        <v>9183</v>
      </c>
      <c r="C127" s="4" t="s">
        <v>9184</v>
      </c>
      <c r="D127" s="4">
        <v>1</v>
      </c>
      <c r="E127" s="4">
        <v>10</v>
      </c>
      <c r="F127" s="6">
        <v>1</v>
      </c>
      <c r="H127">
        <f t="shared" si="22"/>
        <v>3</v>
      </c>
      <c r="I127" t="str">
        <f t="shared" si="19"/>
        <v>J44I8950PM61</v>
      </c>
      <c r="J127" s="6" t="str">
        <f t="shared" si="23"/>
        <v>PFA39 L COMMON  41.875 X 144</v>
      </c>
      <c r="K127" s="6">
        <f t="shared" si="24"/>
        <v>1</v>
      </c>
      <c r="L127" s="6">
        <f t="shared" si="25"/>
        <v>10</v>
      </c>
      <c r="M127" s="6">
        <f t="shared" si="26"/>
        <v>1</v>
      </c>
      <c r="N127" s="6" t="str">
        <f t="shared" si="20"/>
        <v>100PFA39-6200</v>
      </c>
      <c r="O127" s="6" t="str">
        <f t="shared" si="21"/>
        <v>SINGING THE CHICAGO BLUES</v>
      </c>
    </row>
    <row r="128" spans="1:15" ht="25.5">
      <c r="A128" s="4">
        <v>2</v>
      </c>
      <c r="B128" s="5" t="s">
        <v>9185</v>
      </c>
      <c r="C128" s="4" t="s">
        <v>9186</v>
      </c>
      <c r="D128" s="4">
        <v>1</v>
      </c>
      <c r="E128" s="4">
        <v>10</v>
      </c>
      <c r="F128" s="6">
        <v>1</v>
      </c>
      <c r="H128">
        <f t="shared" si="22"/>
        <v>2</v>
      </c>
      <c r="I128" t="str">
        <f t="shared" si="19"/>
        <v>200I8950-120</v>
      </c>
      <c r="J128" s="6" t="str">
        <f t="shared" si="23"/>
        <v>PFA39 L COMMON 43 X 145</v>
      </c>
      <c r="K128" s="6">
        <f t="shared" si="24"/>
        <v>1</v>
      </c>
      <c r="L128" s="6">
        <f t="shared" si="25"/>
        <v>10</v>
      </c>
      <c r="M128" s="6">
        <f t="shared" si="26"/>
        <v>1</v>
      </c>
      <c r="N128" s="6" t="str">
        <f t="shared" si="20"/>
        <v>100PFA39-6200</v>
      </c>
      <c r="O128" s="6" t="str">
        <f t="shared" si="21"/>
        <v>SINGING THE CHICAGO BLUES</v>
      </c>
    </row>
    <row r="129" spans="1:15" ht="38.25">
      <c r="A129" s="4">
        <v>1</v>
      </c>
      <c r="B129" s="5" t="s">
        <v>9181</v>
      </c>
      <c r="C129" s="4" t="s">
        <v>9182</v>
      </c>
      <c r="D129" s="4">
        <v>1</v>
      </c>
      <c r="E129" s="4">
        <v>10</v>
      </c>
      <c r="F129" s="6">
        <v>1.1133999999999999</v>
      </c>
      <c r="H129">
        <f t="shared" si="22"/>
        <v>1</v>
      </c>
      <c r="I129" t="str">
        <f t="shared" si="19"/>
        <v>200PFA39-12L1</v>
      </c>
      <c r="J129" s="6" t="str">
        <f t="shared" si="23"/>
        <v>SING CHICAGO BLUES (L) 43X145</v>
      </c>
      <c r="K129" s="6">
        <f t="shared" si="24"/>
        <v>1</v>
      </c>
      <c r="L129" s="6">
        <f t="shared" si="25"/>
        <v>10</v>
      </c>
      <c r="M129" s="6">
        <f t="shared" si="26"/>
        <v>1.1133999999999999</v>
      </c>
      <c r="N129" s="6" t="str">
        <f t="shared" si="20"/>
        <v>100PFA39-6200</v>
      </c>
      <c r="O129" s="6" t="str">
        <f t="shared" si="21"/>
        <v>SINGING THE CHICAGO BLUES</v>
      </c>
    </row>
    <row r="130" spans="1:15" ht="38.25">
      <c r="A130" s="4">
        <v>4</v>
      </c>
      <c r="B130" s="5" t="s">
        <v>9235</v>
      </c>
      <c r="C130" s="4" t="s">
        <v>9146</v>
      </c>
      <c r="D130" s="4">
        <v>1</v>
      </c>
      <c r="E130" s="4">
        <v>91</v>
      </c>
      <c r="F130" s="6">
        <v>1</v>
      </c>
      <c r="H130">
        <f t="shared" si="22"/>
        <v>4</v>
      </c>
      <c r="I130" t="str">
        <f t="shared" si="19"/>
        <v>CBPFA39APPK3</v>
      </c>
      <c r="J130" s="6" t="str">
        <f t="shared" si="23"/>
        <v>CHICAGO BLUES 2LP</v>
      </c>
      <c r="K130" s="6">
        <f t="shared" si="24"/>
        <v>1</v>
      </c>
      <c r="L130" s="6">
        <f t="shared" si="25"/>
        <v>91</v>
      </c>
      <c r="M130" s="6">
        <f t="shared" si="26"/>
        <v>1</v>
      </c>
      <c r="N130" s="6" t="str">
        <f t="shared" si="20"/>
        <v>100PFA39-6200</v>
      </c>
      <c r="O130" s="6" t="str">
        <f t="shared" si="21"/>
        <v>SINGING THE CHICAGO BLUES</v>
      </c>
    </row>
    <row r="131" spans="1:15" ht="25.5">
      <c r="A131" s="4">
        <v>3</v>
      </c>
      <c r="B131" s="5" t="s">
        <v>9187</v>
      </c>
      <c r="C131" s="4" t="s">
        <v>9188</v>
      </c>
      <c r="D131" s="4">
        <v>1</v>
      </c>
      <c r="E131" s="4">
        <v>10</v>
      </c>
      <c r="F131" s="6">
        <v>0.33329999999999999</v>
      </c>
      <c r="H131">
        <f t="shared" si="22"/>
        <v>3</v>
      </c>
      <c r="I131" t="str">
        <f t="shared" si="19"/>
        <v>J44I8952PM37</v>
      </c>
      <c r="J131" s="6" t="str">
        <f t="shared" si="23"/>
        <v>PFA39 L SHORT 41.875 X 47.125</v>
      </c>
      <c r="K131" s="6">
        <f t="shared" si="24"/>
        <v>1</v>
      </c>
      <c r="L131" s="6">
        <f t="shared" si="25"/>
        <v>10</v>
      </c>
      <c r="M131" s="6">
        <f t="shared" si="26"/>
        <v>0.33329999999999999</v>
      </c>
      <c r="N131" s="6" t="str">
        <f t="shared" si="20"/>
        <v>100PFA39-6200</v>
      </c>
      <c r="O131" s="6" t="str">
        <f t="shared" si="21"/>
        <v>SINGING THE CHICAGO BLUES</v>
      </c>
    </row>
    <row r="132" spans="1:15" ht="25.5">
      <c r="A132" s="4">
        <v>2</v>
      </c>
      <c r="B132" s="5" t="s">
        <v>9185</v>
      </c>
      <c r="C132" s="4" t="s">
        <v>9186</v>
      </c>
      <c r="D132" s="4">
        <v>1</v>
      </c>
      <c r="E132" s="4">
        <v>10</v>
      </c>
      <c r="F132" s="6">
        <v>1</v>
      </c>
      <c r="H132">
        <f t="shared" si="22"/>
        <v>2</v>
      </c>
      <c r="I132" t="str">
        <f t="shared" si="19"/>
        <v>200I8950-120</v>
      </c>
      <c r="J132" s="6" t="str">
        <f t="shared" si="23"/>
        <v>PFA39 L COMMON 43 X 145</v>
      </c>
      <c r="K132" s="6">
        <f t="shared" si="24"/>
        <v>1</v>
      </c>
      <c r="L132" s="6">
        <f t="shared" si="25"/>
        <v>10</v>
      </c>
      <c r="M132" s="6">
        <f t="shared" si="26"/>
        <v>1</v>
      </c>
      <c r="N132" s="6" t="str">
        <f t="shared" si="20"/>
        <v>100PFA39-6200</v>
      </c>
      <c r="O132" s="6" t="str">
        <f t="shared" si="21"/>
        <v>SINGING THE CHICAGO BLUES</v>
      </c>
    </row>
    <row r="133" spans="1:15" ht="38.25">
      <c r="A133" s="4">
        <v>1</v>
      </c>
      <c r="B133" s="5" t="s">
        <v>9181</v>
      </c>
      <c r="C133" s="4" t="s">
        <v>9182</v>
      </c>
      <c r="D133" s="4">
        <v>1</v>
      </c>
      <c r="E133" s="4">
        <v>10</v>
      </c>
      <c r="F133" s="6">
        <v>1.1133999999999999</v>
      </c>
      <c r="H133">
        <f t="shared" si="22"/>
        <v>1</v>
      </c>
      <c r="I133" t="str">
        <f t="shared" si="19"/>
        <v>200PFA39-12L1</v>
      </c>
      <c r="J133" s="6" t="str">
        <f t="shared" si="23"/>
        <v>SING CHICAGO BLUES (L) 43X145</v>
      </c>
      <c r="K133" s="6">
        <f t="shared" si="24"/>
        <v>1</v>
      </c>
      <c r="L133" s="6">
        <f t="shared" si="25"/>
        <v>10</v>
      </c>
      <c r="M133" s="6">
        <f t="shared" si="26"/>
        <v>1.1133999999999999</v>
      </c>
      <c r="N133" s="6" t="str">
        <f t="shared" si="20"/>
        <v>100PFA39-6200</v>
      </c>
      <c r="O133" s="6" t="str">
        <f t="shared" si="21"/>
        <v>SINGING THE CHICAGO BLUES</v>
      </c>
    </row>
    <row r="134" spans="1:15" ht="38.25">
      <c r="A134" s="4">
        <v>4</v>
      </c>
      <c r="B134" s="5" t="s">
        <v>9240</v>
      </c>
      <c r="C134" s="4" t="s">
        <v>9241</v>
      </c>
      <c r="D134" s="4">
        <v>1</v>
      </c>
      <c r="E134" s="4">
        <v>91</v>
      </c>
      <c r="F134" s="6">
        <v>1</v>
      </c>
      <c r="H134">
        <f t="shared" si="22"/>
        <v>4</v>
      </c>
      <c r="I134" t="str">
        <f t="shared" si="19"/>
        <v>CBPFA39APPK4</v>
      </c>
      <c r="J134" s="6" t="str">
        <f t="shared" si="23"/>
        <v>CHICAGO BLUES 2LP W/ BLK LINES</v>
      </c>
      <c r="K134" s="6">
        <f t="shared" si="24"/>
        <v>1</v>
      </c>
      <c r="L134" s="6">
        <f t="shared" si="25"/>
        <v>91</v>
      </c>
      <c r="M134" s="6">
        <f t="shared" si="26"/>
        <v>1</v>
      </c>
      <c r="N134" s="6" t="str">
        <f t="shared" si="20"/>
        <v>100PFA39-6200</v>
      </c>
      <c r="O134" s="6" t="str">
        <f t="shared" si="21"/>
        <v>SINGING THE CHICAGO BLUES</v>
      </c>
    </row>
    <row r="135" spans="1:15" ht="25.5">
      <c r="A135" s="4">
        <v>3</v>
      </c>
      <c r="B135" s="5" t="s">
        <v>9242</v>
      </c>
      <c r="C135" s="4" t="s">
        <v>9148</v>
      </c>
      <c r="D135" s="4">
        <v>1</v>
      </c>
      <c r="E135" s="4">
        <v>10</v>
      </c>
      <c r="F135" s="6">
        <v>1</v>
      </c>
      <c r="H135">
        <f t="shared" si="22"/>
        <v>3</v>
      </c>
      <c r="I135" t="str">
        <f t="shared" ref="I135:I198" si="27">IFERROR(IF(SEARCH(" &lt;-",B135,1),LEFT(B135,SEARCH(" ",B135,1)-1),""),LEFT(B135,SEARCH("View",B135,1)-1))</f>
        <v>J44I9415AM31</v>
      </c>
      <c r="J135" s="6" t="str">
        <f t="shared" si="23"/>
        <v>PFA39 TEX L APP 59.641 X 144</v>
      </c>
      <c r="K135" s="6">
        <f t="shared" si="24"/>
        <v>1</v>
      </c>
      <c r="L135" s="6">
        <f t="shared" si="25"/>
        <v>10</v>
      </c>
      <c r="M135" s="6">
        <f t="shared" si="26"/>
        <v>1</v>
      </c>
      <c r="N135" s="6" t="str">
        <f t="shared" ref="N135:N198" si="28">TRIM($B$1)</f>
        <v>100PFA39-6200</v>
      </c>
      <c r="O135" s="6" t="str">
        <f t="shared" ref="O135:O198" si="29">TRIM($C$1)</f>
        <v>SINGING THE CHICAGO BLUES</v>
      </c>
    </row>
    <row r="136" spans="1:15" ht="25.5">
      <c r="A136" s="4">
        <v>2</v>
      </c>
      <c r="B136" s="5" t="s">
        <v>9243</v>
      </c>
      <c r="C136" s="4" t="s">
        <v>9244</v>
      </c>
      <c r="D136" s="4">
        <v>1</v>
      </c>
      <c r="E136" s="4">
        <v>10</v>
      </c>
      <c r="F136" s="6">
        <v>1</v>
      </c>
      <c r="H136">
        <f t="shared" si="22"/>
        <v>2</v>
      </c>
      <c r="I136" t="str">
        <f t="shared" si="27"/>
        <v>200I9415-520</v>
      </c>
      <c r="J136" s="6" t="str">
        <f t="shared" si="23"/>
        <v>PFA39 TEX L APPROACH 60 X 144</v>
      </c>
      <c r="K136" s="6">
        <f t="shared" si="24"/>
        <v>1</v>
      </c>
      <c r="L136" s="6">
        <f t="shared" si="25"/>
        <v>10</v>
      </c>
      <c r="M136" s="6">
        <f t="shared" si="26"/>
        <v>1</v>
      </c>
      <c r="N136" s="6" t="str">
        <f t="shared" si="28"/>
        <v>100PFA39-6200</v>
      </c>
      <c r="O136" s="6" t="str">
        <f t="shared" si="29"/>
        <v>SINGING THE CHICAGO BLUES</v>
      </c>
    </row>
    <row r="137" spans="1:15" ht="38.25">
      <c r="A137" s="4">
        <v>1</v>
      </c>
      <c r="B137" s="5" t="s">
        <v>9151</v>
      </c>
      <c r="C137" s="4" t="s">
        <v>9152</v>
      </c>
      <c r="D137" s="4">
        <v>1</v>
      </c>
      <c r="E137" s="4">
        <v>10</v>
      </c>
      <c r="F137" s="6">
        <v>1.1133999999999999</v>
      </c>
      <c r="H137">
        <f t="shared" si="22"/>
        <v>1</v>
      </c>
      <c r="I137" t="str">
        <f t="shared" si="27"/>
        <v>200PFA39-5201</v>
      </c>
      <c r="J137" s="6" t="str">
        <f t="shared" si="23"/>
        <v>SING CHICAGO BLUES 60 X 144</v>
      </c>
      <c r="K137" s="6">
        <f t="shared" si="24"/>
        <v>1</v>
      </c>
      <c r="L137" s="6">
        <f t="shared" si="25"/>
        <v>10</v>
      </c>
      <c r="M137" s="6">
        <f t="shared" si="26"/>
        <v>1.1133999999999999</v>
      </c>
      <c r="N137" s="6" t="str">
        <f t="shared" si="28"/>
        <v>100PFA39-6200</v>
      </c>
      <c r="O137" s="6" t="str">
        <f t="shared" si="29"/>
        <v>SINGING THE CHICAGO BLUES</v>
      </c>
    </row>
    <row r="138" spans="1:15" ht="38.25">
      <c r="A138" s="4">
        <v>4</v>
      </c>
      <c r="B138" s="5" t="s">
        <v>9240</v>
      </c>
      <c r="C138" s="4" t="s">
        <v>9241</v>
      </c>
      <c r="D138" s="4">
        <v>1</v>
      </c>
      <c r="E138" s="4">
        <v>91</v>
      </c>
      <c r="F138" s="6">
        <v>1</v>
      </c>
      <c r="H138">
        <f t="shared" si="22"/>
        <v>4</v>
      </c>
      <c r="I138" t="str">
        <f t="shared" si="27"/>
        <v>CBPFA39APPK4</v>
      </c>
      <c r="J138" s="6" t="str">
        <f t="shared" si="23"/>
        <v>CHICAGO BLUES 2LP W/ BLK LINES</v>
      </c>
      <c r="K138" s="6">
        <f t="shared" si="24"/>
        <v>1</v>
      </c>
      <c r="L138" s="6">
        <f t="shared" si="25"/>
        <v>91</v>
      </c>
      <c r="M138" s="6">
        <f t="shared" si="26"/>
        <v>1</v>
      </c>
      <c r="N138" s="6" t="str">
        <f t="shared" si="28"/>
        <v>100PFA39-6200</v>
      </c>
      <c r="O138" s="6" t="str">
        <f t="shared" si="29"/>
        <v>SINGING THE CHICAGO BLUES</v>
      </c>
    </row>
    <row r="139" spans="1:15" ht="25.5">
      <c r="A139" s="4">
        <v>3</v>
      </c>
      <c r="B139" s="5" t="s">
        <v>9245</v>
      </c>
      <c r="C139" s="4" t="s">
        <v>9166</v>
      </c>
      <c r="D139" s="4">
        <v>1</v>
      </c>
      <c r="E139" s="4">
        <v>10</v>
      </c>
      <c r="F139" s="6">
        <v>1</v>
      </c>
      <c r="H139">
        <f t="shared" si="22"/>
        <v>3</v>
      </c>
      <c r="I139" t="str">
        <f t="shared" si="27"/>
        <v>J44I9420PM34</v>
      </c>
      <c r="J139" s="6" t="str">
        <f t="shared" si="23"/>
        <v>PFA39 R ARROW 41.875 X 144</v>
      </c>
      <c r="K139" s="6">
        <f t="shared" si="24"/>
        <v>1</v>
      </c>
      <c r="L139" s="6">
        <f t="shared" si="25"/>
        <v>10</v>
      </c>
      <c r="M139" s="6">
        <f t="shared" si="26"/>
        <v>1</v>
      </c>
      <c r="N139" s="6" t="str">
        <f t="shared" si="28"/>
        <v>100PFA39-6200</v>
      </c>
      <c r="O139" s="6" t="str">
        <f t="shared" si="29"/>
        <v>SINGING THE CHICAGO BLUES</v>
      </c>
    </row>
    <row r="140" spans="1:15" ht="25.5">
      <c r="A140" s="4">
        <v>2</v>
      </c>
      <c r="B140" s="5" t="s">
        <v>9246</v>
      </c>
      <c r="C140" s="4" t="s">
        <v>9247</v>
      </c>
      <c r="D140" s="4">
        <v>1</v>
      </c>
      <c r="E140" s="4">
        <v>10</v>
      </c>
      <c r="F140" s="6">
        <v>1</v>
      </c>
      <c r="H140">
        <f t="shared" si="22"/>
        <v>2</v>
      </c>
      <c r="I140" t="str">
        <f t="shared" si="27"/>
        <v>200I9420-120</v>
      </c>
      <c r="J140" s="6" t="str">
        <f t="shared" si="23"/>
        <v>PFA39 RIGHT  ARROW 43 X 145</v>
      </c>
      <c r="K140" s="6">
        <f t="shared" si="24"/>
        <v>1</v>
      </c>
      <c r="L140" s="6">
        <f t="shared" si="25"/>
        <v>10</v>
      </c>
      <c r="M140" s="6">
        <f t="shared" si="26"/>
        <v>1</v>
      </c>
      <c r="N140" s="6" t="str">
        <f t="shared" si="28"/>
        <v>100PFA39-6200</v>
      </c>
      <c r="O140" s="6" t="str">
        <f t="shared" si="29"/>
        <v>SINGING THE CHICAGO BLUES</v>
      </c>
    </row>
    <row r="141" spans="1:15" ht="38.25">
      <c r="A141" s="4">
        <v>1</v>
      </c>
      <c r="B141" s="5" t="s">
        <v>9169</v>
      </c>
      <c r="C141" s="4" t="s">
        <v>9170</v>
      </c>
      <c r="D141" s="4">
        <v>1</v>
      </c>
      <c r="E141" s="4">
        <v>10</v>
      </c>
      <c r="F141" s="6">
        <v>1.1133999999999999</v>
      </c>
      <c r="H141">
        <f t="shared" si="22"/>
        <v>1</v>
      </c>
      <c r="I141" t="str">
        <f t="shared" si="27"/>
        <v>200PFA39-12R1</v>
      </c>
      <c r="J141" s="6" t="str">
        <f t="shared" si="23"/>
        <v>SING CHICAGO BLUES (R) 43X145</v>
      </c>
      <c r="K141" s="6">
        <f t="shared" si="24"/>
        <v>1</v>
      </c>
      <c r="L141" s="6">
        <f t="shared" si="25"/>
        <v>10</v>
      </c>
      <c r="M141" s="6">
        <f t="shared" si="26"/>
        <v>1.1133999999999999</v>
      </c>
      <c r="N141" s="6" t="str">
        <f t="shared" si="28"/>
        <v>100PFA39-6200</v>
      </c>
      <c r="O141" s="6" t="str">
        <f t="shared" si="29"/>
        <v>SINGING THE CHICAGO BLUES</v>
      </c>
    </row>
    <row r="142" spans="1:15" ht="38.25">
      <c r="A142" s="4">
        <v>4</v>
      </c>
      <c r="B142" s="5" t="s">
        <v>9240</v>
      </c>
      <c r="C142" s="4" t="s">
        <v>9241</v>
      </c>
      <c r="D142" s="4">
        <v>1</v>
      </c>
      <c r="E142" s="4">
        <v>91</v>
      </c>
      <c r="F142" s="6">
        <v>3</v>
      </c>
      <c r="H142">
        <f t="shared" si="22"/>
        <v>4</v>
      </c>
      <c r="I142" t="str">
        <f t="shared" si="27"/>
        <v>CBPFA39APPK4</v>
      </c>
      <c r="J142" s="6" t="str">
        <f t="shared" si="23"/>
        <v>CHICAGO BLUES 2LP W/ BLK LINES</v>
      </c>
      <c r="K142" s="6">
        <f t="shared" si="24"/>
        <v>1</v>
      </c>
      <c r="L142" s="6">
        <f t="shared" si="25"/>
        <v>91</v>
      </c>
      <c r="M142" s="6">
        <f t="shared" si="26"/>
        <v>3</v>
      </c>
      <c r="N142" s="6" t="str">
        <f t="shared" si="28"/>
        <v>100PFA39-6200</v>
      </c>
      <c r="O142" s="6" t="str">
        <f t="shared" si="29"/>
        <v>SINGING THE CHICAGO BLUES</v>
      </c>
    </row>
    <row r="143" spans="1:15" ht="25.5">
      <c r="A143" s="4">
        <v>3</v>
      </c>
      <c r="B143" s="5" t="s">
        <v>9248</v>
      </c>
      <c r="C143" s="4" t="s">
        <v>9172</v>
      </c>
      <c r="D143" s="4">
        <v>1</v>
      </c>
      <c r="E143" s="4">
        <v>10</v>
      </c>
      <c r="F143" s="6">
        <v>1</v>
      </c>
      <c r="H143">
        <f t="shared" si="22"/>
        <v>3</v>
      </c>
      <c r="I143" t="str">
        <f t="shared" si="27"/>
        <v>J44I9422PM61</v>
      </c>
      <c r="J143" s="6" t="str">
        <f t="shared" si="23"/>
        <v>PFA39 R COMMON  41.875 X 144</v>
      </c>
      <c r="K143" s="6">
        <f t="shared" si="24"/>
        <v>1</v>
      </c>
      <c r="L143" s="6">
        <f t="shared" si="25"/>
        <v>10</v>
      </c>
      <c r="M143" s="6">
        <f t="shared" si="26"/>
        <v>1</v>
      </c>
      <c r="N143" s="6" t="str">
        <f t="shared" si="28"/>
        <v>100PFA39-6200</v>
      </c>
      <c r="O143" s="6" t="str">
        <f t="shared" si="29"/>
        <v>SINGING THE CHICAGO BLUES</v>
      </c>
    </row>
    <row r="144" spans="1:15" ht="25.5">
      <c r="A144" s="4">
        <v>2</v>
      </c>
      <c r="B144" s="5" t="s">
        <v>9249</v>
      </c>
      <c r="C144" s="4" t="s">
        <v>9250</v>
      </c>
      <c r="D144" s="4">
        <v>1</v>
      </c>
      <c r="E144" s="4">
        <v>10</v>
      </c>
      <c r="F144" s="6">
        <v>1</v>
      </c>
      <c r="H144">
        <f t="shared" si="22"/>
        <v>2</v>
      </c>
      <c r="I144" t="str">
        <f t="shared" si="27"/>
        <v>200I9422-120</v>
      </c>
      <c r="J144" s="6" t="str">
        <f t="shared" si="23"/>
        <v>PFA39 RIGHT COMMON 43 X 145</v>
      </c>
      <c r="K144" s="6">
        <f t="shared" si="24"/>
        <v>1</v>
      </c>
      <c r="L144" s="6">
        <f t="shared" si="25"/>
        <v>10</v>
      </c>
      <c r="M144" s="6">
        <f t="shared" si="26"/>
        <v>1</v>
      </c>
      <c r="N144" s="6" t="str">
        <f t="shared" si="28"/>
        <v>100PFA39-6200</v>
      </c>
      <c r="O144" s="6" t="str">
        <f t="shared" si="29"/>
        <v>SINGING THE CHICAGO BLUES</v>
      </c>
    </row>
    <row r="145" spans="1:15" ht="38.25">
      <c r="A145" s="4">
        <v>1</v>
      </c>
      <c r="B145" s="5" t="s">
        <v>9169</v>
      </c>
      <c r="C145" s="4" t="s">
        <v>9170</v>
      </c>
      <c r="D145" s="4">
        <v>1</v>
      </c>
      <c r="E145" s="4">
        <v>10</v>
      </c>
      <c r="F145" s="6">
        <v>1.1133999999999999</v>
      </c>
      <c r="H145">
        <f t="shared" si="22"/>
        <v>1</v>
      </c>
      <c r="I145" t="str">
        <f t="shared" si="27"/>
        <v>200PFA39-12R1</v>
      </c>
      <c r="J145" s="6" t="str">
        <f t="shared" si="23"/>
        <v>SING CHICAGO BLUES (R) 43X145</v>
      </c>
      <c r="K145" s="6">
        <f t="shared" si="24"/>
        <v>1</v>
      </c>
      <c r="L145" s="6">
        <f t="shared" si="25"/>
        <v>10</v>
      </c>
      <c r="M145" s="6">
        <f t="shared" si="26"/>
        <v>1.1133999999999999</v>
      </c>
      <c r="N145" s="6" t="str">
        <f t="shared" si="28"/>
        <v>100PFA39-6200</v>
      </c>
      <c r="O145" s="6" t="str">
        <f t="shared" si="29"/>
        <v>SINGING THE CHICAGO BLUES</v>
      </c>
    </row>
    <row r="146" spans="1:15" ht="38.25">
      <c r="A146" s="4">
        <v>4</v>
      </c>
      <c r="B146" s="5" t="s">
        <v>9240</v>
      </c>
      <c r="C146" s="4" t="s">
        <v>9241</v>
      </c>
      <c r="D146" s="4">
        <v>1</v>
      </c>
      <c r="E146" s="4">
        <v>91</v>
      </c>
      <c r="F146" s="6">
        <v>1</v>
      </c>
      <c r="H146">
        <f t="shared" si="22"/>
        <v>4</v>
      </c>
      <c r="I146" t="str">
        <f t="shared" si="27"/>
        <v>CBPFA39APPK4</v>
      </c>
      <c r="J146" s="6" t="str">
        <f t="shared" si="23"/>
        <v>CHICAGO BLUES 2LP W/ BLK LINES</v>
      </c>
      <c r="K146" s="6">
        <f t="shared" si="24"/>
        <v>1</v>
      </c>
      <c r="L146" s="6">
        <f t="shared" si="25"/>
        <v>91</v>
      </c>
      <c r="M146" s="6">
        <f t="shared" si="26"/>
        <v>1</v>
      </c>
      <c r="N146" s="6" t="str">
        <f t="shared" si="28"/>
        <v>100PFA39-6200</v>
      </c>
      <c r="O146" s="6" t="str">
        <f t="shared" si="29"/>
        <v>SINGING THE CHICAGO BLUES</v>
      </c>
    </row>
    <row r="147" spans="1:15" ht="25.5">
      <c r="A147" s="4">
        <v>3</v>
      </c>
      <c r="B147" s="5" t="s">
        <v>9251</v>
      </c>
      <c r="C147" s="4" t="s">
        <v>9176</v>
      </c>
      <c r="D147" s="4">
        <v>1</v>
      </c>
      <c r="E147" s="4">
        <v>10</v>
      </c>
      <c r="F147" s="6">
        <v>0.33329999999999999</v>
      </c>
      <c r="H147">
        <f t="shared" si="22"/>
        <v>3</v>
      </c>
      <c r="I147" t="str">
        <f t="shared" si="27"/>
        <v>J44I9424PM36</v>
      </c>
      <c r="J147" s="6" t="str">
        <f t="shared" si="23"/>
        <v>PFA39 R SHORT 41.87 5X 47.125</v>
      </c>
      <c r="K147" s="6">
        <f t="shared" si="24"/>
        <v>1</v>
      </c>
      <c r="L147" s="6">
        <f t="shared" si="25"/>
        <v>10</v>
      </c>
      <c r="M147" s="6">
        <f t="shared" si="26"/>
        <v>0.33329999999999999</v>
      </c>
      <c r="N147" s="6" t="str">
        <f t="shared" si="28"/>
        <v>100PFA39-6200</v>
      </c>
      <c r="O147" s="6" t="str">
        <f t="shared" si="29"/>
        <v>SINGING THE CHICAGO BLUES</v>
      </c>
    </row>
    <row r="148" spans="1:15" ht="25.5">
      <c r="A148" s="4">
        <v>2</v>
      </c>
      <c r="B148" s="5" t="s">
        <v>9249</v>
      </c>
      <c r="C148" s="4" t="s">
        <v>9250</v>
      </c>
      <c r="D148" s="4">
        <v>1</v>
      </c>
      <c r="E148" s="4">
        <v>10</v>
      </c>
      <c r="F148" s="6">
        <v>1</v>
      </c>
      <c r="H148">
        <f t="shared" si="22"/>
        <v>2</v>
      </c>
      <c r="I148" t="str">
        <f t="shared" si="27"/>
        <v>200I9422-120</v>
      </c>
      <c r="J148" s="6" t="str">
        <f t="shared" si="23"/>
        <v>PFA39 RIGHT COMMON 43 X 145</v>
      </c>
      <c r="K148" s="6">
        <f t="shared" si="24"/>
        <v>1</v>
      </c>
      <c r="L148" s="6">
        <f t="shared" si="25"/>
        <v>10</v>
      </c>
      <c r="M148" s="6">
        <f t="shared" si="26"/>
        <v>1</v>
      </c>
      <c r="N148" s="6" t="str">
        <f t="shared" si="28"/>
        <v>100PFA39-6200</v>
      </c>
      <c r="O148" s="6" t="str">
        <f t="shared" si="29"/>
        <v>SINGING THE CHICAGO BLUES</v>
      </c>
    </row>
    <row r="149" spans="1:15" ht="38.25">
      <c r="A149" s="4">
        <v>1</v>
      </c>
      <c r="B149" s="5" t="s">
        <v>9169</v>
      </c>
      <c r="C149" s="4" t="s">
        <v>9170</v>
      </c>
      <c r="D149" s="4">
        <v>1</v>
      </c>
      <c r="E149" s="4">
        <v>10</v>
      </c>
      <c r="F149" s="6">
        <v>1.1133999999999999</v>
      </c>
      <c r="H149">
        <f t="shared" si="22"/>
        <v>1</v>
      </c>
      <c r="I149" t="str">
        <f t="shared" si="27"/>
        <v>200PFA39-12R1</v>
      </c>
      <c r="J149" s="6" t="str">
        <f t="shared" si="23"/>
        <v>SING CHICAGO BLUES (R) 43X145</v>
      </c>
      <c r="K149" s="6">
        <f t="shared" si="24"/>
        <v>1</v>
      </c>
      <c r="L149" s="6">
        <f t="shared" si="25"/>
        <v>10</v>
      </c>
      <c r="M149" s="6">
        <f t="shared" si="26"/>
        <v>1.1133999999999999</v>
      </c>
      <c r="N149" s="6" t="str">
        <f t="shared" si="28"/>
        <v>100PFA39-6200</v>
      </c>
      <c r="O149" s="6" t="str">
        <f t="shared" si="29"/>
        <v>SINGING THE CHICAGO BLUES</v>
      </c>
    </row>
    <row r="150" spans="1:15" ht="38.25">
      <c r="A150" s="4">
        <v>4</v>
      </c>
      <c r="B150" s="5" t="s">
        <v>9240</v>
      </c>
      <c r="C150" s="4" t="s">
        <v>9241</v>
      </c>
      <c r="D150" s="4">
        <v>1</v>
      </c>
      <c r="E150" s="4">
        <v>91</v>
      </c>
      <c r="F150" s="6">
        <v>1</v>
      </c>
      <c r="H150">
        <f t="shared" si="22"/>
        <v>4</v>
      </c>
      <c r="I150" t="str">
        <f t="shared" si="27"/>
        <v>CBPFA39APPK4</v>
      </c>
      <c r="J150" s="6" t="str">
        <f t="shared" si="23"/>
        <v>CHICAGO BLUES 2LP W/ BLK LINES</v>
      </c>
      <c r="K150" s="6">
        <f t="shared" si="24"/>
        <v>1</v>
      </c>
      <c r="L150" s="6">
        <f t="shared" si="25"/>
        <v>91</v>
      </c>
      <c r="M150" s="6">
        <f t="shared" si="26"/>
        <v>1</v>
      </c>
      <c r="N150" s="6" t="str">
        <f t="shared" si="28"/>
        <v>100PFA39-6200</v>
      </c>
      <c r="O150" s="6" t="str">
        <f t="shared" si="29"/>
        <v>SINGING THE CHICAGO BLUES</v>
      </c>
    </row>
    <row r="151" spans="1:15" ht="25.5">
      <c r="A151" s="4">
        <v>3</v>
      </c>
      <c r="B151" s="5" t="s">
        <v>9252</v>
      </c>
      <c r="C151" s="4" t="s">
        <v>9154</v>
      </c>
      <c r="D151" s="4">
        <v>1</v>
      </c>
      <c r="E151" s="4">
        <v>10</v>
      </c>
      <c r="F151" s="6">
        <v>1</v>
      </c>
      <c r="H151">
        <f t="shared" si="22"/>
        <v>3</v>
      </c>
      <c r="I151" t="str">
        <f t="shared" si="27"/>
        <v>J44I9416AM30</v>
      </c>
      <c r="J151" s="6" t="str">
        <f t="shared" si="23"/>
        <v>PFA39 TEX R APP 59.641 X 144</v>
      </c>
      <c r="K151" s="6">
        <f t="shared" si="24"/>
        <v>1</v>
      </c>
      <c r="L151" s="6">
        <f t="shared" si="25"/>
        <v>10</v>
      </c>
      <c r="M151" s="6">
        <f t="shared" si="26"/>
        <v>1</v>
      </c>
      <c r="N151" s="6" t="str">
        <f t="shared" si="28"/>
        <v>100PFA39-6200</v>
      </c>
      <c r="O151" s="6" t="str">
        <f t="shared" si="29"/>
        <v>SINGING THE CHICAGO BLUES</v>
      </c>
    </row>
    <row r="152" spans="1:15" ht="25.5">
      <c r="A152" s="4">
        <v>2</v>
      </c>
      <c r="B152" s="5" t="s">
        <v>9253</v>
      </c>
      <c r="C152" s="4" t="s">
        <v>9254</v>
      </c>
      <c r="D152" s="4">
        <v>1</v>
      </c>
      <c r="E152" s="4">
        <v>10</v>
      </c>
      <c r="F152" s="6">
        <v>1</v>
      </c>
      <c r="H152">
        <f t="shared" si="22"/>
        <v>2</v>
      </c>
      <c r="I152" t="str">
        <f t="shared" si="27"/>
        <v>200I9416-520</v>
      </c>
      <c r="J152" s="6" t="str">
        <f t="shared" si="23"/>
        <v>PFA39 TEX R APPROACH 60 X 144</v>
      </c>
      <c r="K152" s="6">
        <f t="shared" si="24"/>
        <v>1</v>
      </c>
      <c r="L152" s="6">
        <f t="shared" si="25"/>
        <v>10</v>
      </c>
      <c r="M152" s="6">
        <f t="shared" si="26"/>
        <v>1</v>
      </c>
      <c r="N152" s="6" t="str">
        <f t="shared" si="28"/>
        <v>100PFA39-6200</v>
      </c>
      <c r="O152" s="6" t="str">
        <f t="shared" si="29"/>
        <v>SINGING THE CHICAGO BLUES</v>
      </c>
    </row>
    <row r="153" spans="1:15" ht="38.25">
      <c r="A153" s="4">
        <v>1</v>
      </c>
      <c r="B153" s="5" t="s">
        <v>9151</v>
      </c>
      <c r="C153" s="4" t="s">
        <v>9152</v>
      </c>
      <c r="D153" s="4">
        <v>1</v>
      </c>
      <c r="E153" s="4">
        <v>10</v>
      </c>
      <c r="F153" s="6">
        <v>1.1133999999999999</v>
      </c>
      <c r="H153">
        <f t="shared" si="22"/>
        <v>1</v>
      </c>
      <c r="I153" t="str">
        <f t="shared" si="27"/>
        <v>200PFA39-5201</v>
      </c>
      <c r="J153" s="6" t="str">
        <f t="shared" si="23"/>
        <v>SING CHICAGO BLUES 60 X 144</v>
      </c>
      <c r="K153" s="6">
        <f t="shared" si="24"/>
        <v>1</v>
      </c>
      <c r="L153" s="6">
        <f t="shared" si="25"/>
        <v>10</v>
      </c>
      <c r="M153" s="6">
        <f t="shared" si="26"/>
        <v>1.1133999999999999</v>
      </c>
      <c r="N153" s="6" t="str">
        <f t="shared" si="28"/>
        <v>100PFA39-6200</v>
      </c>
      <c r="O153" s="6" t="str">
        <f t="shared" si="29"/>
        <v>SINGING THE CHICAGO BLUES</v>
      </c>
    </row>
    <row r="154" spans="1:15" ht="38.25">
      <c r="A154" s="4">
        <v>4</v>
      </c>
      <c r="B154" s="5" t="s">
        <v>9240</v>
      </c>
      <c r="C154" s="4" t="s">
        <v>9241</v>
      </c>
      <c r="D154" s="4">
        <v>1</v>
      </c>
      <c r="E154" s="4">
        <v>91</v>
      </c>
      <c r="F154" s="6">
        <v>1</v>
      </c>
      <c r="H154">
        <f t="shared" si="22"/>
        <v>4</v>
      </c>
      <c r="I154" t="str">
        <f t="shared" si="27"/>
        <v>CBPFA39APPK4</v>
      </c>
      <c r="J154" s="6" t="str">
        <f t="shared" si="23"/>
        <v>CHICAGO BLUES 2LP W/ BLK LINES</v>
      </c>
      <c r="K154" s="6">
        <f t="shared" si="24"/>
        <v>1</v>
      </c>
      <c r="L154" s="6">
        <f t="shared" si="25"/>
        <v>91</v>
      </c>
      <c r="M154" s="6">
        <f t="shared" si="26"/>
        <v>1</v>
      </c>
      <c r="N154" s="6" t="str">
        <f t="shared" si="28"/>
        <v>100PFA39-6200</v>
      </c>
      <c r="O154" s="6" t="str">
        <f t="shared" si="29"/>
        <v>SINGING THE CHICAGO BLUES</v>
      </c>
    </row>
    <row r="155" spans="1:15" ht="25.5">
      <c r="A155" s="4">
        <v>3</v>
      </c>
      <c r="B155" s="5" t="s">
        <v>9255</v>
      </c>
      <c r="C155" s="4" t="s">
        <v>9158</v>
      </c>
      <c r="D155" s="4">
        <v>1</v>
      </c>
      <c r="E155" s="4">
        <v>10</v>
      </c>
      <c r="F155" s="6">
        <v>1</v>
      </c>
      <c r="H155">
        <f t="shared" si="22"/>
        <v>3</v>
      </c>
      <c r="I155" t="str">
        <f t="shared" si="27"/>
        <v>J44I9417QM33</v>
      </c>
      <c r="J155" s="6" t="str">
        <f t="shared" si="23"/>
        <v>PFA39 D/F L FOUL 59.641 X 144</v>
      </c>
      <c r="K155" s="6">
        <f t="shared" si="24"/>
        <v>1</v>
      </c>
      <c r="L155" s="6">
        <f t="shared" si="25"/>
        <v>10</v>
      </c>
      <c r="M155" s="6">
        <f t="shared" si="26"/>
        <v>1</v>
      </c>
      <c r="N155" s="6" t="str">
        <f t="shared" si="28"/>
        <v>100PFA39-6200</v>
      </c>
      <c r="O155" s="6" t="str">
        <f t="shared" si="29"/>
        <v>SINGING THE CHICAGO BLUES</v>
      </c>
    </row>
    <row r="156" spans="1:15" ht="25.5">
      <c r="A156" s="4">
        <v>2</v>
      </c>
      <c r="B156" s="5" t="s">
        <v>9256</v>
      </c>
      <c r="C156" s="4" t="s">
        <v>9257</v>
      </c>
      <c r="D156" s="4">
        <v>1</v>
      </c>
      <c r="E156" s="4">
        <v>10</v>
      </c>
      <c r="F156" s="6">
        <v>1</v>
      </c>
      <c r="H156">
        <f t="shared" si="22"/>
        <v>2</v>
      </c>
      <c r="I156" t="str">
        <f t="shared" si="27"/>
        <v>200I9417-520</v>
      </c>
      <c r="J156" s="6" t="str">
        <f t="shared" si="23"/>
        <v>PFA39 TEX LEFT FOUL 60 X 144</v>
      </c>
      <c r="K156" s="6">
        <f t="shared" si="24"/>
        <v>1</v>
      </c>
      <c r="L156" s="6">
        <f t="shared" si="25"/>
        <v>10</v>
      </c>
      <c r="M156" s="6">
        <f t="shared" si="26"/>
        <v>1</v>
      </c>
      <c r="N156" s="6" t="str">
        <f t="shared" si="28"/>
        <v>100PFA39-6200</v>
      </c>
      <c r="O156" s="6" t="str">
        <f t="shared" si="29"/>
        <v>SINGING THE CHICAGO BLUES</v>
      </c>
    </row>
    <row r="157" spans="1:15" ht="38.25">
      <c r="A157" s="4">
        <v>1</v>
      </c>
      <c r="B157" s="5" t="s">
        <v>9151</v>
      </c>
      <c r="C157" s="4" t="s">
        <v>9152</v>
      </c>
      <c r="D157" s="4">
        <v>1</v>
      </c>
      <c r="E157" s="4">
        <v>10</v>
      </c>
      <c r="F157" s="6">
        <v>1.1133999999999999</v>
      </c>
      <c r="H157">
        <f t="shared" si="22"/>
        <v>1</v>
      </c>
      <c r="I157" t="str">
        <f t="shared" si="27"/>
        <v>200PFA39-5201</v>
      </c>
      <c r="J157" s="6" t="str">
        <f t="shared" si="23"/>
        <v>SING CHICAGO BLUES 60 X 144</v>
      </c>
      <c r="K157" s="6">
        <f t="shared" si="24"/>
        <v>1</v>
      </c>
      <c r="L157" s="6">
        <f t="shared" si="25"/>
        <v>10</v>
      </c>
      <c r="M157" s="6">
        <f t="shared" si="26"/>
        <v>1.1133999999999999</v>
      </c>
      <c r="N157" s="6" t="str">
        <f t="shared" si="28"/>
        <v>100PFA39-6200</v>
      </c>
      <c r="O157" s="6" t="str">
        <f t="shared" si="29"/>
        <v>SINGING THE CHICAGO BLUES</v>
      </c>
    </row>
    <row r="158" spans="1:15" ht="38.25">
      <c r="A158" s="4">
        <v>4</v>
      </c>
      <c r="B158" s="5" t="s">
        <v>9240</v>
      </c>
      <c r="C158" s="4" t="s">
        <v>9241</v>
      </c>
      <c r="D158" s="4">
        <v>1</v>
      </c>
      <c r="E158" s="4">
        <v>91</v>
      </c>
      <c r="F158" s="6">
        <v>1</v>
      </c>
      <c r="H158">
        <f t="shared" si="22"/>
        <v>4</v>
      </c>
      <c r="I158" t="str">
        <f t="shared" si="27"/>
        <v>CBPFA39APPK4</v>
      </c>
      <c r="J158" s="6" t="str">
        <f t="shared" si="23"/>
        <v>CHICAGO BLUES 2LP W/ BLK LINES</v>
      </c>
      <c r="K158" s="6">
        <f t="shared" si="24"/>
        <v>1</v>
      </c>
      <c r="L158" s="6">
        <f t="shared" si="25"/>
        <v>91</v>
      </c>
      <c r="M158" s="6">
        <f t="shared" si="26"/>
        <v>1</v>
      </c>
      <c r="N158" s="6" t="str">
        <f t="shared" si="28"/>
        <v>100PFA39-6200</v>
      </c>
      <c r="O158" s="6" t="str">
        <f t="shared" si="29"/>
        <v>SINGING THE CHICAGO BLUES</v>
      </c>
    </row>
    <row r="159" spans="1:15" ht="25.5">
      <c r="A159" s="4">
        <v>3</v>
      </c>
      <c r="B159" s="5" t="s">
        <v>9258</v>
      </c>
      <c r="C159" s="4" t="s">
        <v>9162</v>
      </c>
      <c r="D159" s="4">
        <v>1</v>
      </c>
      <c r="E159" s="4">
        <v>10</v>
      </c>
      <c r="F159" s="6">
        <v>1</v>
      </c>
      <c r="H159">
        <f t="shared" si="22"/>
        <v>3</v>
      </c>
      <c r="I159" t="str">
        <f t="shared" si="27"/>
        <v>J44I9418QM32</v>
      </c>
      <c r="J159" s="6" t="str">
        <f t="shared" si="23"/>
        <v>PFA39 D/F R FOUL 59.641 X 144</v>
      </c>
      <c r="K159" s="6">
        <f t="shared" si="24"/>
        <v>1</v>
      </c>
      <c r="L159" s="6">
        <f t="shared" si="25"/>
        <v>10</v>
      </c>
      <c r="M159" s="6">
        <f t="shared" si="26"/>
        <v>1</v>
      </c>
      <c r="N159" s="6" t="str">
        <f t="shared" si="28"/>
        <v>100PFA39-6200</v>
      </c>
      <c r="O159" s="6" t="str">
        <f t="shared" si="29"/>
        <v>SINGING THE CHICAGO BLUES</v>
      </c>
    </row>
    <row r="160" spans="1:15" ht="25.5">
      <c r="A160" s="4">
        <v>2</v>
      </c>
      <c r="B160" s="5" t="s">
        <v>9259</v>
      </c>
      <c r="C160" s="4" t="s">
        <v>9260</v>
      </c>
      <c r="D160" s="4">
        <v>1</v>
      </c>
      <c r="E160" s="4">
        <v>10</v>
      </c>
      <c r="F160" s="6">
        <v>1</v>
      </c>
      <c r="H160">
        <f t="shared" ref="H160:H223" si="30">A160</f>
        <v>2</v>
      </c>
      <c r="I160" t="str">
        <f t="shared" si="27"/>
        <v>200I9418-520</v>
      </c>
      <c r="J160" s="6" t="str">
        <f t="shared" ref="J160:J223" si="31">C160</f>
        <v>PFA39 TEX RIGHT FOUL 60 X 144</v>
      </c>
      <c r="K160" s="6">
        <f t="shared" ref="K160:K223" si="32">D160</f>
        <v>1</v>
      </c>
      <c r="L160" s="6">
        <f t="shared" ref="L160:L223" si="33">E160</f>
        <v>10</v>
      </c>
      <c r="M160" s="6">
        <f t="shared" ref="M160:M223" si="34">F160</f>
        <v>1</v>
      </c>
      <c r="N160" s="6" t="str">
        <f t="shared" si="28"/>
        <v>100PFA39-6200</v>
      </c>
      <c r="O160" s="6" t="str">
        <f t="shared" si="29"/>
        <v>SINGING THE CHICAGO BLUES</v>
      </c>
    </row>
    <row r="161" spans="1:15" ht="38.25">
      <c r="A161" s="4">
        <v>1</v>
      </c>
      <c r="B161" s="5" t="s">
        <v>9151</v>
      </c>
      <c r="C161" s="4" t="s">
        <v>9152</v>
      </c>
      <c r="D161" s="4">
        <v>1</v>
      </c>
      <c r="E161" s="4">
        <v>10</v>
      </c>
      <c r="F161" s="6">
        <v>1.1133999999999999</v>
      </c>
      <c r="H161">
        <f t="shared" si="30"/>
        <v>1</v>
      </c>
      <c r="I161" t="str">
        <f t="shared" si="27"/>
        <v>200PFA39-5201</v>
      </c>
      <c r="J161" s="6" t="str">
        <f t="shared" si="31"/>
        <v>SING CHICAGO BLUES 60 X 144</v>
      </c>
      <c r="K161" s="6">
        <f t="shared" si="32"/>
        <v>1</v>
      </c>
      <c r="L161" s="6">
        <f t="shared" si="33"/>
        <v>10</v>
      </c>
      <c r="M161" s="6">
        <f t="shared" si="34"/>
        <v>1.1133999999999999</v>
      </c>
      <c r="N161" s="6" t="str">
        <f t="shared" si="28"/>
        <v>100PFA39-6200</v>
      </c>
      <c r="O161" s="6" t="str">
        <f t="shared" si="29"/>
        <v>SINGING THE CHICAGO BLUES</v>
      </c>
    </row>
    <row r="162" spans="1:15" ht="38.25">
      <c r="A162" s="4">
        <v>4</v>
      </c>
      <c r="B162" s="5" t="s">
        <v>9240</v>
      </c>
      <c r="C162" s="4" t="s">
        <v>9241</v>
      </c>
      <c r="D162" s="4">
        <v>1</v>
      </c>
      <c r="E162" s="4">
        <v>91</v>
      </c>
      <c r="F162" s="6">
        <v>1</v>
      </c>
      <c r="H162">
        <f t="shared" si="30"/>
        <v>4</v>
      </c>
      <c r="I162" t="str">
        <f t="shared" si="27"/>
        <v>CBPFA39APPK4</v>
      </c>
      <c r="J162" s="6" t="str">
        <f t="shared" si="31"/>
        <v>CHICAGO BLUES 2LP W/ BLK LINES</v>
      </c>
      <c r="K162" s="6">
        <f t="shared" si="32"/>
        <v>1</v>
      </c>
      <c r="L162" s="6">
        <f t="shared" si="33"/>
        <v>91</v>
      </c>
      <c r="M162" s="6">
        <f t="shared" si="34"/>
        <v>1</v>
      </c>
      <c r="N162" s="6" t="str">
        <f t="shared" si="28"/>
        <v>100PFA39-6200</v>
      </c>
      <c r="O162" s="6" t="str">
        <f t="shared" si="29"/>
        <v>SINGING THE CHICAGO BLUES</v>
      </c>
    </row>
    <row r="163" spans="1:15" ht="25.5">
      <c r="A163" s="4">
        <v>3</v>
      </c>
      <c r="B163" s="5" t="s">
        <v>9261</v>
      </c>
      <c r="C163" s="4" t="s">
        <v>9178</v>
      </c>
      <c r="D163" s="4">
        <v>1</v>
      </c>
      <c r="E163" s="4">
        <v>10</v>
      </c>
      <c r="F163" s="6">
        <v>1</v>
      </c>
      <c r="H163">
        <f t="shared" si="30"/>
        <v>3</v>
      </c>
      <c r="I163" t="str">
        <f t="shared" si="27"/>
        <v>J44I9419PM35</v>
      </c>
      <c r="J163" s="6" t="str">
        <f t="shared" si="31"/>
        <v>PFA39 L ARROW 41.875 X 144</v>
      </c>
      <c r="K163" s="6">
        <f t="shared" si="32"/>
        <v>1</v>
      </c>
      <c r="L163" s="6">
        <f t="shared" si="33"/>
        <v>10</v>
      </c>
      <c r="M163" s="6">
        <f t="shared" si="34"/>
        <v>1</v>
      </c>
      <c r="N163" s="6" t="str">
        <f t="shared" si="28"/>
        <v>100PFA39-6200</v>
      </c>
      <c r="O163" s="6" t="str">
        <f t="shared" si="29"/>
        <v>SINGING THE CHICAGO BLUES</v>
      </c>
    </row>
    <row r="164" spans="1:15" ht="25.5">
      <c r="A164" s="4">
        <v>2</v>
      </c>
      <c r="B164" s="5" t="s">
        <v>9262</v>
      </c>
      <c r="C164" s="4" t="s">
        <v>9263</v>
      </c>
      <c r="D164" s="4">
        <v>1</v>
      </c>
      <c r="E164" s="4">
        <v>10</v>
      </c>
      <c r="F164" s="6">
        <v>1</v>
      </c>
      <c r="H164">
        <f t="shared" si="30"/>
        <v>2</v>
      </c>
      <c r="I164" t="str">
        <f t="shared" si="27"/>
        <v>200I9419-120</v>
      </c>
      <c r="J164" s="6" t="str">
        <f t="shared" si="31"/>
        <v>PFA39 LEFT  ARROW 43 X 145</v>
      </c>
      <c r="K164" s="6">
        <f t="shared" si="32"/>
        <v>1</v>
      </c>
      <c r="L164" s="6">
        <f t="shared" si="33"/>
        <v>10</v>
      </c>
      <c r="M164" s="6">
        <f t="shared" si="34"/>
        <v>1</v>
      </c>
      <c r="N164" s="6" t="str">
        <f t="shared" si="28"/>
        <v>100PFA39-6200</v>
      </c>
      <c r="O164" s="6" t="str">
        <f t="shared" si="29"/>
        <v>SINGING THE CHICAGO BLUES</v>
      </c>
    </row>
    <row r="165" spans="1:15" ht="38.25">
      <c r="A165" s="4">
        <v>1</v>
      </c>
      <c r="B165" s="5" t="s">
        <v>9181</v>
      </c>
      <c r="C165" s="4" t="s">
        <v>9182</v>
      </c>
      <c r="D165" s="4">
        <v>1</v>
      </c>
      <c r="E165" s="4">
        <v>10</v>
      </c>
      <c r="F165" s="6">
        <v>1.1133999999999999</v>
      </c>
      <c r="H165">
        <f t="shared" si="30"/>
        <v>1</v>
      </c>
      <c r="I165" t="str">
        <f t="shared" si="27"/>
        <v>200PFA39-12L1</v>
      </c>
      <c r="J165" s="6" t="str">
        <f t="shared" si="31"/>
        <v>SING CHICAGO BLUES (L) 43X145</v>
      </c>
      <c r="K165" s="6">
        <f t="shared" si="32"/>
        <v>1</v>
      </c>
      <c r="L165" s="6">
        <f t="shared" si="33"/>
        <v>10</v>
      </c>
      <c r="M165" s="6">
        <f t="shared" si="34"/>
        <v>1.1133999999999999</v>
      </c>
      <c r="N165" s="6" t="str">
        <f t="shared" si="28"/>
        <v>100PFA39-6200</v>
      </c>
      <c r="O165" s="6" t="str">
        <f t="shared" si="29"/>
        <v>SINGING THE CHICAGO BLUES</v>
      </c>
    </row>
    <row r="166" spans="1:15" ht="38.25">
      <c r="A166" s="4">
        <v>4</v>
      </c>
      <c r="B166" s="5" t="s">
        <v>9240</v>
      </c>
      <c r="C166" s="4" t="s">
        <v>9241</v>
      </c>
      <c r="D166" s="4">
        <v>1</v>
      </c>
      <c r="E166" s="4">
        <v>91</v>
      </c>
      <c r="F166" s="6">
        <v>3</v>
      </c>
      <c r="H166">
        <f t="shared" si="30"/>
        <v>4</v>
      </c>
      <c r="I166" t="str">
        <f t="shared" si="27"/>
        <v>CBPFA39APPK4</v>
      </c>
      <c r="J166" s="6" t="str">
        <f t="shared" si="31"/>
        <v>CHICAGO BLUES 2LP W/ BLK LINES</v>
      </c>
      <c r="K166" s="6">
        <f t="shared" si="32"/>
        <v>1</v>
      </c>
      <c r="L166" s="6">
        <f t="shared" si="33"/>
        <v>91</v>
      </c>
      <c r="M166" s="6">
        <f t="shared" si="34"/>
        <v>3</v>
      </c>
      <c r="N166" s="6" t="str">
        <f t="shared" si="28"/>
        <v>100PFA39-6200</v>
      </c>
      <c r="O166" s="6" t="str">
        <f t="shared" si="29"/>
        <v>SINGING THE CHICAGO BLUES</v>
      </c>
    </row>
    <row r="167" spans="1:15" ht="25.5">
      <c r="A167" s="4">
        <v>3</v>
      </c>
      <c r="B167" s="5" t="s">
        <v>9264</v>
      </c>
      <c r="C167" s="4" t="s">
        <v>9184</v>
      </c>
      <c r="D167" s="4">
        <v>1</v>
      </c>
      <c r="E167" s="4">
        <v>10</v>
      </c>
      <c r="F167" s="6">
        <v>1</v>
      </c>
      <c r="H167">
        <f t="shared" si="30"/>
        <v>3</v>
      </c>
      <c r="I167" t="str">
        <f t="shared" si="27"/>
        <v>J44I9421PM61</v>
      </c>
      <c r="J167" s="6" t="str">
        <f t="shared" si="31"/>
        <v>PFA39 L COMMON  41.875 X 144</v>
      </c>
      <c r="K167" s="6">
        <f t="shared" si="32"/>
        <v>1</v>
      </c>
      <c r="L167" s="6">
        <f t="shared" si="33"/>
        <v>10</v>
      </c>
      <c r="M167" s="6">
        <f t="shared" si="34"/>
        <v>1</v>
      </c>
      <c r="N167" s="6" t="str">
        <f t="shared" si="28"/>
        <v>100PFA39-6200</v>
      </c>
      <c r="O167" s="6" t="str">
        <f t="shared" si="29"/>
        <v>SINGING THE CHICAGO BLUES</v>
      </c>
    </row>
    <row r="168" spans="1:15" ht="25.5">
      <c r="A168" s="4">
        <v>2</v>
      </c>
      <c r="B168" s="5" t="s">
        <v>9265</v>
      </c>
      <c r="C168" s="4" t="s">
        <v>9266</v>
      </c>
      <c r="D168" s="4">
        <v>1</v>
      </c>
      <c r="E168" s="4">
        <v>10</v>
      </c>
      <c r="F168" s="6">
        <v>1</v>
      </c>
      <c r="H168">
        <f t="shared" si="30"/>
        <v>2</v>
      </c>
      <c r="I168" t="str">
        <f t="shared" si="27"/>
        <v>200I9421-120</v>
      </c>
      <c r="J168" s="6" t="str">
        <f t="shared" si="31"/>
        <v>PFA39 LEFT COMMON 43 X 145</v>
      </c>
      <c r="K168" s="6">
        <f t="shared" si="32"/>
        <v>1</v>
      </c>
      <c r="L168" s="6">
        <f t="shared" si="33"/>
        <v>10</v>
      </c>
      <c r="M168" s="6">
        <f t="shared" si="34"/>
        <v>1</v>
      </c>
      <c r="N168" s="6" t="str">
        <f t="shared" si="28"/>
        <v>100PFA39-6200</v>
      </c>
      <c r="O168" s="6" t="str">
        <f t="shared" si="29"/>
        <v>SINGING THE CHICAGO BLUES</v>
      </c>
    </row>
    <row r="169" spans="1:15" ht="38.25">
      <c r="A169" s="4">
        <v>1</v>
      </c>
      <c r="B169" s="5" t="s">
        <v>9181</v>
      </c>
      <c r="C169" s="4" t="s">
        <v>9182</v>
      </c>
      <c r="D169" s="4">
        <v>1</v>
      </c>
      <c r="E169" s="4">
        <v>10</v>
      </c>
      <c r="F169" s="6">
        <v>1.1133999999999999</v>
      </c>
      <c r="H169">
        <f t="shared" si="30"/>
        <v>1</v>
      </c>
      <c r="I169" t="str">
        <f t="shared" si="27"/>
        <v>200PFA39-12L1</v>
      </c>
      <c r="J169" s="6" t="str">
        <f t="shared" si="31"/>
        <v>SING CHICAGO BLUES (L) 43X145</v>
      </c>
      <c r="K169" s="6">
        <f t="shared" si="32"/>
        <v>1</v>
      </c>
      <c r="L169" s="6">
        <f t="shared" si="33"/>
        <v>10</v>
      </c>
      <c r="M169" s="6">
        <f t="shared" si="34"/>
        <v>1.1133999999999999</v>
      </c>
      <c r="N169" s="6" t="str">
        <f t="shared" si="28"/>
        <v>100PFA39-6200</v>
      </c>
      <c r="O169" s="6" t="str">
        <f t="shared" si="29"/>
        <v>SINGING THE CHICAGO BLUES</v>
      </c>
    </row>
    <row r="170" spans="1:15" ht="38.25">
      <c r="A170" s="4">
        <v>4</v>
      </c>
      <c r="B170" s="5" t="s">
        <v>9240</v>
      </c>
      <c r="C170" s="4" t="s">
        <v>9241</v>
      </c>
      <c r="D170" s="4">
        <v>1</v>
      </c>
      <c r="E170" s="4">
        <v>91</v>
      </c>
      <c r="F170" s="6">
        <v>1</v>
      </c>
      <c r="H170">
        <f t="shared" si="30"/>
        <v>4</v>
      </c>
      <c r="I170" t="str">
        <f t="shared" si="27"/>
        <v>CBPFA39APPK4</v>
      </c>
      <c r="J170" s="6" t="str">
        <f t="shared" si="31"/>
        <v>CHICAGO BLUES 2LP W/ BLK LINES</v>
      </c>
      <c r="K170" s="6">
        <f t="shared" si="32"/>
        <v>1</v>
      </c>
      <c r="L170" s="6">
        <f t="shared" si="33"/>
        <v>91</v>
      </c>
      <c r="M170" s="6">
        <f t="shared" si="34"/>
        <v>1</v>
      </c>
      <c r="N170" s="6" t="str">
        <f t="shared" si="28"/>
        <v>100PFA39-6200</v>
      </c>
      <c r="O170" s="6" t="str">
        <f t="shared" si="29"/>
        <v>SINGING THE CHICAGO BLUES</v>
      </c>
    </row>
    <row r="171" spans="1:15" ht="25.5">
      <c r="A171" s="4">
        <v>3</v>
      </c>
      <c r="B171" s="5" t="s">
        <v>9267</v>
      </c>
      <c r="C171" s="4" t="s">
        <v>9188</v>
      </c>
      <c r="D171" s="4">
        <v>1</v>
      </c>
      <c r="E171" s="4">
        <v>10</v>
      </c>
      <c r="F171" s="6">
        <v>0.33329999999999999</v>
      </c>
      <c r="H171">
        <f t="shared" si="30"/>
        <v>3</v>
      </c>
      <c r="I171" t="str">
        <f t="shared" si="27"/>
        <v>J44I9423PM37</v>
      </c>
      <c r="J171" s="6" t="str">
        <f t="shared" si="31"/>
        <v>PFA39 L SHORT 41.875 X 47.125</v>
      </c>
      <c r="K171" s="6">
        <f t="shared" si="32"/>
        <v>1</v>
      </c>
      <c r="L171" s="6">
        <f t="shared" si="33"/>
        <v>10</v>
      </c>
      <c r="M171" s="6">
        <f t="shared" si="34"/>
        <v>0.33329999999999999</v>
      </c>
      <c r="N171" s="6" t="str">
        <f t="shared" si="28"/>
        <v>100PFA39-6200</v>
      </c>
      <c r="O171" s="6" t="str">
        <f t="shared" si="29"/>
        <v>SINGING THE CHICAGO BLUES</v>
      </c>
    </row>
    <row r="172" spans="1:15" ht="25.5">
      <c r="A172" s="4">
        <v>2</v>
      </c>
      <c r="B172" s="5" t="s">
        <v>9265</v>
      </c>
      <c r="C172" s="4" t="s">
        <v>9266</v>
      </c>
      <c r="D172" s="4">
        <v>1</v>
      </c>
      <c r="E172" s="4">
        <v>10</v>
      </c>
      <c r="F172" s="6">
        <v>1</v>
      </c>
      <c r="H172">
        <f t="shared" si="30"/>
        <v>2</v>
      </c>
      <c r="I172" t="str">
        <f t="shared" si="27"/>
        <v>200I9421-120</v>
      </c>
      <c r="J172" s="6" t="str">
        <f t="shared" si="31"/>
        <v>PFA39 LEFT COMMON 43 X 145</v>
      </c>
      <c r="K172" s="6">
        <f t="shared" si="32"/>
        <v>1</v>
      </c>
      <c r="L172" s="6">
        <f t="shared" si="33"/>
        <v>10</v>
      </c>
      <c r="M172" s="6">
        <f t="shared" si="34"/>
        <v>1</v>
      </c>
      <c r="N172" s="6" t="str">
        <f t="shared" si="28"/>
        <v>100PFA39-6200</v>
      </c>
      <c r="O172" s="6" t="str">
        <f t="shared" si="29"/>
        <v>SINGING THE CHICAGO BLUES</v>
      </c>
    </row>
    <row r="173" spans="1:15" ht="38.25">
      <c r="A173" s="4">
        <v>1</v>
      </c>
      <c r="B173" s="5" t="s">
        <v>9181</v>
      </c>
      <c r="C173" s="4" t="s">
        <v>9182</v>
      </c>
      <c r="D173" s="4">
        <v>1</v>
      </c>
      <c r="E173" s="4">
        <v>10</v>
      </c>
      <c r="F173" s="6">
        <v>1.1133999999999999</v>
      </c>
      <c r="H173">
        <f t="shared" si="30"/>
        <v>1</v>
      </c>
      <c r="I173" t="str">
        <f t="shared" si="27"/>
        <v>200PFA39-12L1</v>
      </c>
      <c r="J173" s="6" t="str">
        <f t="shared" si="31"/>
        <v>SING CHICAGO BLUES (L) 43X145</v>
      </c>
      <c r="K173" s="6">
        <f t="shared" si="32"/>
        <v>1</v>
      </c>
      <c r="L173" s="6">
        <f t="shared" si="33"/>
        <v>10</v>
      </c>
      <c r="M173" s="6">
        <f t="shared" si="34"/>
        <v>1.1133999999999999</v>
      </c>
      <c r="N173" s="6" t="str">
        <f t="shared" si="28"/>
        <v>100PFA39-6200</v>
      </c>
      <c r="O173" s="6" t="str">
        <f t="shared" si="29"/>
        <v>SINGING THE CHICAGO BLUES</v>
      </c>
    </row>
    <row r="174" spans="1:15" ht="38.25">
      <c r="A174" s="4">
        <v>4</v>
      </c>
      <c r="B174" s="5" t="s">
        <v>9268</v>
      </c>
      <c r="C174" s="4" t="s">
        <v>9190</v>
      </c>
      <c r="D174" s="4">
        <v>1</v>
      </c>
      <c r="E174" s="4">
        <v>91</v>
      </c>
      <c r="F174" s="6">
        <v>1</v>
      </c>
      <c r="H174">
        <f t="shared" si="30"/>
        <v>4</v>
      </c>
      <c r="I174" t="str">
        <f t="shared" si="27"/>
        <v>CBPFA39APPK5</v>
      </c>
      <c r="J174" s="6" t="str">
        <f t="shared" si="31"/>
        <v>CHICAGO BLUES UV PRO 2LP</v>
      </c>
      <c r="K174" s="6">
        <f t="shared" si="32"/>
        <v>1</v>
      </c>
      <c r="L174" s="6">
        <f t="shared" si="33"/>
        <v>91</v>
      </c>
      <c r="M174" s="6">
        <f t="shared" si="34"/>
        <v>1</v>
      </c>
      <c r="N174" s="6" t="str">
        <f t="shared" si="28"/>
        <v>100PFA39-6200</v>
      </c>
      <c r="O174" s="6" t="str">
        <f t="shared" si="29"/>
        <v>SINGING THE CHICAGO BLUES</v>
      </c>
    </row>
    <row r="175" spans="1:15" ht="25.5">
      <c r="A175" s="4">
        <v>3</v>
      </c>
      <c r="B175" s="5" t="s">
        <v>9269</v>
      </c>
      <c r="C175" s="4" t="s">
        <v>9192</v>
      </c>
      <c r="D175" s="4">
        <v>1</v>
      </c>
      <c r="E175" s="4">
        <v>10</v>
      </c>
      <c r="F175" s="6">
        <v>1</v>
      </c>
      <c r="H175">
        <f t="shared" si="30"/>
        <v>3</v>
      </c>
      <c r="I175" t="str">
        <f t="shared" si="27"/>
        <v>J24I9152AM51</v>
      </c>
      <c r="J175" s="6" t="str">
        <f t="shared" si="31"/>
        <v>PFA39 UV PRO L APPR 59.5 X 144</v>
      </c>
      <c r="K175" s="6">
        <f t="shared" si="32"/>
        <v>1</v>
      </c>
      <c r="L175" s="6">
        <f t="shared" si="33"/>
        <v>10</v>
      </c>
      <c r="M175" s="6">
        <f t="shared" si="34"/>
        <v>1</v>
      </c>
      <c r="N175" s="6" t="str">
        <f t="shared" si="28"/>
        <v>100PFA39-6200</v>
      </c>
      <c r="O175" s="6" t="str">
        <f t="shared" si="29"/>
        <v>SINGING THE CHICAGO BLUES</v>
      </c>
    </row>
    <row r="176" spans="1:15" ht="25.5">
      <c r="A176" s="4">
        <v>2</v>
      </c>
      <c r="B176" s="5" t="s">
        <v>9193</v>
      </c>
      <c r="C176" s="4" t="s">
        <v>9194</v>
      </c>
      <c r="D176" s="4">
        <v>1</v>
      </c>
      <c r="E176" s="4">
        <v>10</v>
      </c>
      <c r="F176" s="6">
        <v>1</v>
      </c>
      <c r="H176">
        <f t="shared" si="30"/>
        <v>2</v>
      </c>
      <c r="I176" t="str">
        <f t="shared" si="27"/>
        <v>200I9152-520</v>
      </c>
      <c r="J176" s="6" t="str">
        <f t="shared" si="31"/>
        <v>PFA39 PRO UV L APPR 60 X 144</v>
      </c>
      <c r="K176" s="6">
        <f t="shared" si="32"/>
        <v>1</v>
      </c>
      <c r="L176" s="6">
        <f t="shared" si="33"/>
        <v>10</v>
      </c>
      <c r="M176" s="6">
        <f t="shared" si="34"/>
        <v>1</v>
      </c>
      <c r="N176" s="6" t="str">
        <f t="shared" si="28"/>
        <v>100PFA39-6200</v>
      </c>
      <c r="O176" s="6" t="str">
        <f t="shared" si="29"/>
        <v>SINGING THE CHICAGO BLUES</v>
      </c>
    </row>
    <row r="177" spans="1:15" ht="38.25">
      <c r="A177" s="4">
        <v>1</v>
      </c>
      <c r="B177" s="5" t="s">
        <v>9151</v>
      </c>
      <c r="C177" s="4" t="s">
        <v>9152</v>
      </c>
      <c r="D177" s="4">
        <v>1</v>
      </c>
      <c r="E177" s="4">
        <v>10</v>
      </c>
      <c r="F177" s="6">
        <v>1.1133999999999999</v>
      </c>
      <c r="H177">
        <f t="shared" si="30"/>
        <v>1</v>
      </c>
      <c r="I177" t="str">
        <f t="shared" si="27"/>
        <v>200PFA39-5201</v>
      </c>
      <c r="J177" s="6" t="str">
        <f t="shared" si="31"/>
        <v>SING CHICAGO BLUES 60 X 144</v>
      </c>
      <c r="K177" s="6">
        <f t="shared" si="32"/>
        <v>1</v>
      </c>
      <c r="L177" s="6">
        <f t="shared" si="33"/>
        <v>10</v>
      </c>
      <c r="M177" s="6">
        <f t="shared" si="34"/>
        <v>1.1133999999999999</v>
      </c>
      <c r="N177" s="6" t="str">
        <f t="shared" si="28"/>
        <v>100PFA39-6200</v>
      </c>
      <c r="O177" s="6" t="str">
        <f t="shared" si="29"/>
        <v>SINGING THE CHICAGO BLUES</v>
      </c>
    </row>
    <row r="178" spans="1:15" ht="38.25">
      <c r="A178" s="4">
        <v>4</v>
      </c>
      <c r="B178" s="5" t="s">
        <v>9268</v>
      </c>
      <c r="C178" s="4" t="s">
        <v>9190</v>
      </c>
      <c r="D178" s="4">
        <v>1</v>
      </c>
      <c r="E178" s="4">
        <v>91</v>
      </c>
      <c r="F178" s="6">
        <v>1</v>
      </c>
      <c r="H178">
        <f t="shared" si="30"/>
        <v>4</v>
      </c>
      <c r="I178" t="str">
        <f t="shared" si="27"/>
        <v>CBPFA39APPK5</v>
      </c>
      <c r="J178" s="6" t="str">
        <f t="shared" si="31"/>
        <v>CHICAGO BLUES UV PRO 2LP</v>
      </c>
      <c r="K178" s="6">
        <f t="shared" si="32"/>
        <v>1</v>
      </c>
      <c r="L178" s="6">
        <f t="shared" si="33"/>
        <v>91</v>
      </c>
      <c r="M178" s="6">
        <f t="shared" si="34"/>
        <v>1</v>
      </c>
      <c r="N178" s="6" t="str">
        <f t="shared" si="28"/>
        <v>100PFA39-6200</v>
      </c>
      <c r="O178" s="6" t="str">
        <f t="shared" si="29"/>
        <v>SINGING THE CHICAGO BLUES</v>
      </c>
    </row>
    <row r="179" spans="1:15" ht="25.5">
      <c r="A179" s="4">
        <v>3</v>
      </c>
      <c r="B179" s="5" t="s">
        <v>9270</v>
      </c>
      <c r="C179" s="4" t="s">
        <v>9196</v>
      </c>
      <c r="D179" s="4">
        <v>1</v>
      </c>
      <c r="E179" s="4">
        <v>10</v>
      </c>
      <c r="F179" s="6">
        <v>1</v>
      </c>
      <c r="H179">
        <f t="shared" si="30"/>
        <v>3</v>
      </c>
      <c r="I179" t="str">
        <f t="shared" si="27"/>
        <v>J24I9153AM58</v>
      </c>
      <c r="J179" s="6" t="str">
        <f t="shared" si="31"/>
        <v>PFA39 UV PRO R APPR 59.5 X 144</v>
      </c>
      <c r="K179" s="6">
        <f t="shared" si="32"/>
        <v>1</v>
      </c>
      <c r="L179" s="6">
        <f t="shared" si="33"/>
        <v>10</v>
      </c>
      <c r="M179" s="6">
        <f t="shared" si="34"/>
        <v>1</v>
      </c>
      <c r="N179" s="6" t="str">
        <f t="shared" si="28"/>
        <v>100PFA39-6200</v>
      </c>
      <c r="O179" s="6" t="str">
        <f t="shared" si="29"/>
        <v>SINGING THE CHICAGO BLUES</v>
      </c>
    </row>
    <row r="180" spans="1:15" ht="25.5">
      <c r="A180" s="4">
        <v>2</v>
      </c>
      <c r="B180" s="5" t="s">
        <v>9197</v>
      </c>
      <c r="C180" s="4" t="s">
        <v>9198</v>
      </c>
      <c r="D180" s="4">
        <v>1</v>
      </c>
      <c r="E180" s="4">
        <v>10</v>
      </c>
      <c r="F180" s="6">
        <v>1</v>
      </c>
      <c r="H180">
        <f t="shared" si="30"/>
        <v>2</v>
      </c>
      <c r="I180" t="str">
        <f t="shared" si="27"/>
        <v>200I9153-520</v>
      </c>
      <c r="J180" s="6" t="str">
        <f t="shared" si="31"/>
        <v>PFA39 PRO UV R APPR 60 X 144</v>
      </c>
      <c r="K180" s="6">
        <f t="shared" si="32"/>
        <v>1</v>
      </c>
      <c r="L180" s="6">
        <f t="shared" si="33"/>
        <v>10</v>
      </c>
      <c r="M180" s="6">
        <f t="shared" si="34"/>
        <v>1</v>
      </c>
      <c r="N180" s="6" t="str">
        <f t="shared" si="28"/>
        <v>100PFA39-6200</v>
      </c>
      <c r="O180" s="6" t="str">
        <f t="shared" si="29"/>
        <v>SINGING THE CHICAGO BLUES</v>
      </c>
    </row>
    <row r="181" spans="1:15" ht="38.25">
      <c r="A181" s="4">
        <v>1</v>
      </c>
      <c r="B181" s="5" t="s">
        <v>9151</v>
      </c>
      <c r="C181" s="4" t="s">
        <v>9152</v>
      </c>
      <c r="D181" s="4">
        <v>1</v>
      </c>
      <c r="E181" s="4">
        <v>10</v>
      </c>
      <c r="F181" s="6">
        <v>1.1133999999999999</v>
      </c>
      <c r="H181">
        <f t="shared" si="30"/>
        <v>1</v>
      </c>
      <c r="I181" t="str">
        <f t="shared" si="27"/>
        <v>200PFA39-5201</v>
      </c>
      <c r="J181" s="6" t="str">
        <f t="shared" si="31"/>
        <v>SING CHICAGO BLUES 60 X 144</v>
      </c>
      <c r="K181" s="6">
        <f t="shared" si="32"/>
        <v>1</v>
      </c>
      <c r="L181" s="6">
        <f t="shared" si="33"/>
        <v>10</v>
      </c>
      <c r="M181" s="6">
        <f t="shared" si="34"/>
        <v>1.1133999999999999</v>
      </c>
      <c r="N181" s="6" t="str">
        <f t="shared" si="28"/>
        <v>100PFA39-6200</v>
      </c>
      <c r="O181" s="6" t="str">
        <f t="shared" si="29"/>
        <v>SINGING THE CHICAGO BLUES</v>
      </c>
    </row>
    <row r="182" spans="1:15" ht="38.25">
      <c r="A182" s="4">
        <v>4</v>
      </c>
      <c r="B182" s="5" t="s">
        <v>9268</v>
      </c>
      <c r="C182" s="4" t="s">
        <v>9190</v>
      </c>
      <c r="D182" s="4">
        <v>1</v>
      </c>
      <c r="E182" s="4">
        <v>91</v>
      </c>
      <c r="F182" s="6">
        <v>1</v>
      </c>
      <c r="H182">
        <f t="shared" si="30"/>
        <v>4</v>
      </c>
      <c r="I182" t="str">
        <f t="shared" si="27"/>
        <v>CBPFA39APPK5</v>
      </c>
      <c r="J182" s="6" t="str">
        <f t="shared" si="31"/>
        <v>CHICAGO BLUES UV PRO 2LP</v>
      </c>
      <c r="K182" s="6">
        <f t="shared" si="32"/>
        <v>1</v>
      </c>
      <c r="L182" s="6">
        <f t="shared" si="33"/>
        <v>91</v>
      </c>
      <c r="M182" s="6">
        <f t="shared" si="34"/>
        <v>1</v>
      </c>
      <c r="N182" s="6" t="str">
        <f t="shared" si="28"/>
        <v>100PFA39-6200</v>
      </c>
      <c r="O182" s="6" t="str">
        <f t="shared" si="29"/>
        <v>SINGING THE CHICAGO BLUES</v>
      </c>
    </row>
    <row r="183" spans="1:15" ht="25.5">
      <c r="A183" s="4">
        <v>3</v>
      </c>
      <c r="B183" s="5" t="s">
        <v>9271</v>
      </c>
      <c r="C183" s="4" t="s">
        <v>9200</v>
      </c>
      <c r="D183" s="4">
        <v>1</v>
      </c>
      <c r="E183" s="4">
        <v>10</v>
      </c>
      <c r="F183" s="6">
        <v>1</v>
      </c>
      <c r="H183">
        <f t="shared" si="30"/>
        <v>3</v>
      </c>
      <c r="I183" t="str">
        <f t="shared" si="27"/>
        <v>J24I9154QM57</v>
      </c>
      <c r="J183" s="6" t="str">
        <f t="shared" si="31"/>
        <v>PFA39 UV PRO L FOUL 59.5X142.5</v>
      </c>
      <c r="K183" s="6">
        <f t="shared" si="32"/>
        <v>1</v>
      </c>
      <c r="L183" s="6">
        <f t="shared" si="33"/>
        <v>10</v>
      </c>
      <c r="M183" s="6">
        <f t="shared" si="34"/>
        <v>1</v>
      </c>
      <c r="N183" s="6" t="str">
        <f t="shared" si="28"/>
        <v>100PFA39-6200</v>
      </c>
      <c r="O183" s="6" t="str">
        <f t="shared" si="29"/>
        <v>SINGING THE CHICAGO BLUES</v>
      </c>
    </row>
    <row r="184" spans="1:15" ht="25.5">
      <c r="A184" s="4">
        <v>2</v>
      </c>
      <c r="B184" s="5" t="s">
        <v>9201</v>
      </c>
      <c r="C184" s="4" t="s">
        <v>9202</v>
      </c>
      <c r="D184" s="4">
        <v>1</v>
      </c>
      <c r="E184" s="4">
        <v>10</v>
      </c>
      <c r="F184" s="6">
        <v>1</v>
      </c>
      <c r="H184">
        <f t="shared" si="30"/>
        <v>2</v>
      </c>
      <c r="I184" t="str">
        <f t="shared" si="27"/>
        <v>200I9154-520</v>
      </c>
      <c r="J184" s="6" t="str">
        <f t="shared" si="31"/>
        <v>PFA39 PRO UV L FOUL 60 X 144</v>
      </c>
      <c r="K184" s="6">
        <f t="shared" si="32"/>
        <v>1</v>
      </c>
      <c r="L184" s="6">
        <f t="shared" si="33"/>
        <v>10</v>
      </c>
      <c r="M184" s="6">
        <f t="shared" si="34"/>
        <v>1</v>
      </c>
      <c r="N184" s="6" t="str">
        <f t="shared" si="28"/>
        <v>100PFA39-6200</v>
      </c>
      <c r="O184" s="6" t="str">
        <f t="shared" si="29"/>
        <v>SINGING THE CHICAGO BLUES</v>
      </c>
    </row>
    <row r="185" spans="1:15" ht="38.25">
      <c r="A185" s="4">
        <v>1</v>
      </c>
      <c r="B185" s="5" t="s">
        <v>9151</v>
      </c>
      <c r="C185" s="4" t="s">
        <v>9152</v>
      </c>
      <c r="D185" s="4">
        <v>1</v>
      </c>
      <c r="E185" s="4">
        <v>10</v>
      </c>
      <c r="F185" s="6">
        <v>1.1133999999999999</v>
      </c>
      <c r="H185">
        <f t="shared" si="30"/>
        <v>1</v>
      </c>
      <c r="I185" t="str">
        <f t="shared" si="27"/>
        <v>200PFA39-5201</v>
      </c>
      <c r="J185" s="6" t="str">
        <f t="shared" si="31"/>
        <v>SING CHICAGO BLUES 60 X 144</v>
      </c>
      <c r="K185" s="6">
        <f t="shared" si="32"/>
        <v>1</v>
      </c>
      <c r="L185" s="6">
        <f t="shared" si="33"/>
        <v>10</v>
      </c>
      <c r="M185" s="6">
        <f t="shared" si="34"/>
        <v>1.1133999999999999</v>
      </c>
      <c r="N185" s="6" t="str">
        <f t="shared" si="28"/>
        <v>100PFA39-6200</v>
      </c>
      <c r="O185" s="6" t="str">
        <f t="shared" si="29"/>
        <v>SINGING THE CHICAGO BLUES</v>
      </c>
    </row>
    <row r="186" spans="1:15" ht="38.25">
      <c r="A186" s="4">
        <v>4</v>
      </c>
      <c r="B186" s="5" t="s">
        <v>9268</v>
      </c>
      <c r="C186" s="4" t="s">
        <v>9190</v>
      </c>
      <c r="D186" s="4">
        <v>1</v>
      </c>
      <c r="E186" s="4">
        <v>91</v>
      </c>
      <c r="F186" s="6">
        <v>1</v>
      </c>
      <c r="H186">
        <f t="shared" si="30"/>
        <v>4</v>
      </c>
      <c r="I186" t="str">
        <f t="shared" si="27"/>
        <v>CBPFA39APPK5</v>
      </c>
      <c r="J186" s="6" t="str">
        <f t="shared" si="31"/>
        <v>CHICAGO BLUES UV PRO 2LP</v>
      </c>
      <c r="K186" s="6">
        <f t="shared" si="32"/>
        <v>1</v>
      </c>
      <c r="L186" s="6">
        <f t="shared" si="33"/>
        <v>91</v>
      </c>
      <c r="M186" s="6">
        <f t="shared" si="34"/>
        <v>1</v>
      </c>
      <c r="N186" s="6" t="str">
        <f t="shared" si="28"/>
        <v>100PFA39-6200</v>
      </c>
      <c r="O186" s="6" t="str">
        <f t="shared" si="29"/>
        <v>SINGING THE CHICAGO BLUES</v>
      </c>
    </row>
    <row r="187" spans="1:15" ht="25.5">
      <c r="A187" s="4">
        <v>3</v>
      </c>
      <c r="B187" s="5" t="s">
        <v>9272</v>
      </c>
      <c r="C187" s="4" t="s">
        <v>9204</v>
      </c>
      <c r="D187" s="4">
        <v>1</v>
      </c>
      <c r="E187" s="4">
        <v>10</v>
      </c>
      <c r="F187" s="6">
        <v>1</v>
      </c>
      <c r="H187">
        <f t="shared" si="30"/>
        <v>3</v>
      </c>
      <c r="I187" t="str">
        <f t="shared" si="27"/>
        <v>J24I9155QM56</v>
      </c>
      <c r="J187" s="6" t="str">
        <f t="shared" si="31"/>
        <v>PFA39 UV PRO R FOUL 59.5X142.5</v>
      </c>
      <c r="K187" s="6">
        <f t="shared" si="32"/>
        <v>1</v>
      </c>
      <c r="L187" s="6">
        <f t="shared" si="33"/>
        <v>10</v>
      </c>
      <c r="M187" s="6">
        <f t="shared" si="34"/>
        <v>1</v>
      </c>
      <c r="N187" s="6" t="str">
        <f t="shared" si="28"/>
        <v>100PFA39-6200</v>
      </c>
      <c r="O187" s="6" t="str">
        <f t="shared" si="29"/>
        <v>SINGING THE CHICAGO BLUES</v>
      </c>
    </row>
    <row r="188" spans="1:15" ht="25.5">
      <c r="A188" s="4">
        <v>2</v>
      </c>
      <c r="B188" s="5" t="s">
        <v>9205</v>
      </c>
      <c r="C188" s="4" t="s">
        <v>9206</v>
      </c>
      <c r="D188" s="4">
        <v>1</v>
      </c>
      <c r="E188" s="4">
        <v>10</v>
      </c>
      <c r="F188" s="6">
        <v>1</v>
      </c>
      <c r="H188">
        <f t="shared" si="30"/>
        <v>2</v>
      </c>
      <c r="I188" t="str">
        <f t="shared" si="27"/>
        <v>200I9155-520</v>
      </c>
      <c r="J188" s="6" t="str">
        <f t="shared" si="31"/>
        <v>PFA39 PRO UV R FOUL 60 X 144</v>
      </c>
      <c r="K188" s="6">
        <f t="shared" si="32"/>
        <v>1</v>
      </c>
      <c r="L188" s="6">
        <f t="shared" si="33"/>
        <v>10</v>
      </c>
      <c r="M188" s="6">
        <f t="shared" si="34"/>
        <v>1</v>
      </c>
      <c r="N188" s="6" t="str">
        <f t="shared" si="28"/>
        <v>100PFA39-6200</v>
      </c>
      <c r="O188" s="6" t="str">
        <f t="shared" si="29"/>
        <v>SINGING THE CHICAGO BLUES</v>
      </c>
    </row>
    <row r="189" spans="1:15" ht="38.25">
      <c r="A189" s="4">
        <v>1</v>
      </c>
      <c r="B189" s="5" t="s">
        <v>9151</v>
      </c>
      <c r="C189" s="4" t="s">
        <v>9152</v>
      </c>
      <c r="D189" s="4">
        <v>1</v>
      </c>
      <c r="E189" s="4">
        <v>10</v>
      </c>
      <c r="F189" s="6">
        <v>1.1133999999999999</v>
      </c>
      <c r="H189">
        <f t="shared" si="30"/>
        <v>1</v>
      </c>
      <c r="I189" t="str">
        <f t="shared" si="27"/>
        <v>200PFA39-5201</v>
      </c>
      <c r="J189" s="6" t="str">
        <f t="shared" si="31"/>
        <v>SING CHICAGO BLUES 60 X 144</v>
      </c>
      <c r="K189" s="6">
        <f t="shared" si="32"/>
        <v>1</v>
      </c>
      <c r="L189" s="6">
        <f t="shared" si="33"/>
        <v>10</v>
      </c>
      <c r="M189" s="6">
        <f t="shared" si="34"/>
        <v>1.1133999999999999</v>
      </c>
      <c r="N189" s="6" t="str">
        <f t="shared" si="28"/>
        <v>100PFA39-6200</v>
      </c>
      <c r="O189" s="6" t="str">
        <f t="shared" si="29"/>
        <v>SINGING THE CHICAGO BLUES</v>
      </c>
    </row>
    <row r="190" spans="1:15" ht="38.25">
      <c r="A190" s="4">
        <v>4</v>
      </c>
      <c r="B190" s="5" t="s">
        <v>9268</v>
      </c>
      <c r="C190" s="4" t="s">
        <v>9190</v>
      </c>
      <c r="D190" s="4">
        <v>1</v>
      </c>
      <c r="E190" s="4">
        <v>91</v>
      </c>
      <c r="F190" s="6">
        <v>1</v>
      </c>
      <c r="H190">
        <f t="shared" si="30"/>
        <v>4</v>
      </c>
      <c r="I190" t="str">
        <f t="shared" si="27"/>
        <v>CBPFA39APPK5</v>
      </c>
      <c r="J190" s="6" t="str">
        <f t="shared" si="31"/>
        <v>CHICAGO BLUES UV PRO 2LP</v>
      </c>
      <c r="K190" s="6">
        <f t="shared" si="32"/>
        <v>1</v>
      </c>
      <c r="L190" s="6">
        <f t="shared" si="33"/>
        <v>91</v>
      </c>
      <c r="M190" s="6">
        <f t="shared" si="34"/>
        <v>1</v>
      </c>
      <c r="N190" s="6" t="str">
        <f t="shared" si="28"/>
        <v>100PFA39-6200</v>
      </c>
      <c r="O190" s="6" t="str">
        <f t="shared" si="29"/>
        <v>SINGING THE CHICAGO BLUES</v>
      </c>
    </row>
    <row r="191" spans="1:15" ht="25.5">
      <c r="A191" s="4">
        <v>3</v>
      </c>
      <c r="B191" s="5" t="s">
        <v>9207</v>
      </c>
      <c r="C191" s="4" t="s">
        <v>9208</v>
      </c>
      <c r="D191" s="4">
        <v>1</v>
      </c>
      <c r="E191" s="4">
        <v>10</v>
      </c>
      <c r="F191" s="6">
        <v>1</v>
      </c>
      <c r="H191">
        <f t="shared" si="30"/>
        <v>3</v>
      </c>
      <c r="I191" t="str">
        <f t="shared" si="27"/>
        <v>J24I9157PM40</v>
      </c>
      <c r="J191" s="6" t="str">
        <f t="shared" si="31"/>
        <v>PFA39 UV PRO R HEAD 41.84X144</v>
      </c>
      <c r="K191" s="6">
        <f t="shared" si="32"/>
        <v>1</v>
      </c>
      <c r="L191" s="6">
        <f t="shared" si="33"/>
        <v>10</v>
      </c>
      <c r="M191" s="6">
        <f t="shared" si="34"/>
        <v>1</v>
      </c>
      <c r="N191" s="6" t="str">
        <f t="shared" si="28"/>
        <v>100PFA39-6200</v>
      </c>
      <c r="O191" s="6" t="str">
        <f t="shared" si="29"/>
        <v>SINGING THE CHICAGO BLUES</v>
      </c>
    </row>
    <row r="192" spans="1:15" ht="25.5">
      <c r="A192" s="4">
        <v>2</v>
      </c>
      <c r="B192" s="5" t="s">
        <v>9209</v>
      </c>
      <c r="C192" s="4" t="s">
        <v>9210</v>
      </c>
      <c r="D192" s="4">
        <v>1</v>
      </c>
      <c r="E192" s="4">
        <v>10</v>
      </c>
      <c r="F192" s="6">
        <v>1</v>
      </c>
      <c r="H192">
        <f t="shared" si="30"/>
        <v>2</v>
      </c>
      <c r="I192" t="str">
        <f t="shared" si="27"/>
        <v>200I9157-120</v>
      </c>
      <c r="J192" s="6" t="str">
        <f t="shared" si="31"/>
        <v>PFA39 PRO UV R HEAD 43 X 145</v>
      </c>
      <c r="K192" s="6">
        <f t="shared" si="32"/>
        <v>1</v>
      </c>
      <c r="L192" s="6">
        <f t="shared" si="33"/>
        <v>10</v>
      </c>
      <c r="M192" s="6">
        <f t="shared" si="34"/>
        <v>1</v>
      </c>
      <c r="N192" s="6" t="str">
        <f t="shared" si="28"/>
        <v>100PFA39-6200</v>
      </c>
      <c r="O192" s="6" t="str">
        <f t="shared" si="29"/>
        <v>SINGING THE CHICAGO BLUES</v>
      </c>
    </row>
    <row r="193" spans="1:15" ht="38.25">
      <c r="A193" s="4">
        <v>1</v>
      </c>
      <c r="B193" s="5" t="s">
        <v>9169</v>
      </c>
      <c r="C193" s="4" t="s">
        <v>9170</v>
      </c>
      <c r="D193" s="4">
        <v>1</v>
      </c>
      <c r="E193" s="4">
        <v>10</v>
      </c>
      <c r="F193" s="6">
        <v>1.1133999999999999</v>
      </c>
      <c r="H193">
        <f t="shared" si="30"/>
        <v>1</v>
      </c>
      <c r="I193" t="str">
        <f t="shared" si="27"/>
        <v>200PFA39-12R1</v>
      </c>
      <c r="J193" s="6" t="str">
        <f t="shared" si="31"/>
        <v>SING CHICAGO BLUES (R) 43X145</v>
      </c>
      <c r="K193" s="6">
        <f t="shared" si="32"/>
        <v>1</v>
      </c>
      <c r="L193" s="6">
        <f t="shared" si="33"/>
        <v>10</v>
      </c>
      <c r="M193" s="6">
        <f t="shared" si="34"/>
        <v>1.1133999999999999</v>
      </c>
      <c r="N193" s="6" t="str">
        <f t="shared" si="28"/>
        <v>100PFA39-6200</v>
      </c>
      <c r="O193" s="6" t="str">
        <f t="shared" si="29"/>
        <v>SINGING THE CHICAGO BLUES</v>
      </c>
    </row>
    <row r="194" spans="1:15" ht="38.25">
      <c r="A194" s="4">
        <v>4</v>
      </c>
      <c r="B194" s="5" t="s">
        <v>9268</v>
      </c>
      <c r="C194" s="4" t="s">
        <v>9190</v>
      </c>
      <c r="D194" s="4">
        <v>1</v>
      </c>
      <c r="E194" s="4">
        <v>91</v>
      </c>
      <c r="F194" s="6">
        <v>2</v>
      </c>
      <c r="H194">
        <f t="shared" si="30"/>
        <v>4</v>
      </c>
      <c r="I194" t="str">
        <f t="shared" si="27"/>
        <v>CBPFA39APPK5</v>
      </c>
      <c r="J194" s="6" t="str">
        <f t="shared" si="31"/>
        <v>CHICAGO BLUES UV PRO 2LP</v>
      </c>
      <c r="K194" s="6">
        <f t="shared" si="32"/>
        <v>1</v>
      </c>
      <c r="L194" s="6">
        <f t="shared" si="33"/>
        <v>91</v>
      </c>
      <c r="M194" s="6">
        <f t="shared" si="34"/>
        <v>2</v>
      </c>
      <c r="N194" s="6" t="str">
        <f t="shared" si="28"/>
        <v>100PFA39-6200</v>
      </c>
      <c r="O194" s="6" t="str">
        <f t="shared" si="29"/>
        <v>SINGING THE CHICAGO BLUES</v>
      </c>
    </row>
    <row r="195" spans="1:15" ht="25.5">
      <c r="A195" s="4">
        <v>3</v>
      </c>
      <c r="B195" s="5" t="s">
        <v>9211</v>
      </c>
      <c r="C195" s="4" t="s">
        <v>9212</v>
      </c>
      <c r="D195" s="4">
        <v>1</v>
      </c>
      <c r="E195" s="4">
        <v>10</v>
      </c>
      <c r="F195" s="6">
        <v>1</v>
      </c>
      <c r="H195">
        <f t="shared" si="30"/>
        <v>3</v>
      </c>
      <c r="I195" t="str">
        <f t="shared" si="27"/>
        <v>J24I9159PM41</v>
      </c>
      <c r="J195" s="6" t="str">
        <f t="shared" si="31"/>
        <v>PFA39 UV PRO R LANE 41.84X144</v>
      </c>
      <c r="K195" s="6">
        <f t="shared" si="32"/>
        <v>1</v>
      </c>
      <c r="L195" s="6">
        <f t="shared" si="33"/>
        <v>10</v>
      </c>
      <c r="M195" s="6">
        <f t="shared" si="34"/>
        <v>1</v>
      </c>
      <c r="N195" s="6" t="str">
        <f t="shared" si="28"/>
        <v>100PFA39-6200</v>
      </c>
      <c r="O195" s="6" t="str">
        <f t="shared" si="29"/>
        <v>SINGING THE CHICAGO BLUES</v>
      </c>
    </row>
    <row r="196" spans="1:15" ht="25.5">
      <c r="A196" s="4">
        <v>2</v>
      </c>
      <c r="B196" s="5" t="s">
        <v>9213</v>
      </c>
      <c r="C196" s="4" t="s">
        <v>9214</v>
      </c>
      <c r="D196" s="4">
        <v>1</v>
      </c>
      <c r="E196" s="4">
        <v>10</v>
      </c>
      <c r="F196" s="6">
        <v>1</v>
      </c>
      <c r="H196">
        <f t="shared" si="30"/>
        <v>2</v>
      </c>
      <c r="I196" t="str">
        <f t="shared" si="27"/>
        <v>200I9159-120</v>
      </c>
      <c r="J196" s="6" t="str">
        <f t="shared" si="31"/>
        <v>PFA39 PRO UV R LANE 43 X 145</v>
      </c>
      <c r="K196" s="6">
        <f t="shared" si="32"/>
        <v>1</v>
      </c>
      <c r="L196" s="6">
        <f t="shared" si="33"/>
        <v>10</v>
      </c>
      <c r="M196" s="6">
        <f t="shared" si="34"/>
        <v>1</v>
      </c>
      <c r="N196" s="6" t="str">
        <f t="shared" si="28"/>
        <v>100PFA39-6200</v>
      </c>
      <c r="O196" s="6" t="str">
        <f t="shared" si="29"/>
        <v>SINGING THE CHICAGO BLUES</v>
      </c>
    </row>
    <row r="197" spans="1:15" ht="38.25">
      <c r="A197" s="4">
        <v>1</v>
      </c>
      <c r="B197" s="5" t="s">
        <v>9169</v>
      </c>
      <c r="C197" s="4" t="s">
        <v>9170</v>
      </c>
      <c r="D197" s="4">
        <v>1</v>
      </c>
      <c r="E197" s="4">
        <v>10</v>
      </c>
      <c r="F197" s="6">
        <v>1.1133999999999999</v>
      </c>
      <c r="H197">
        <f t="shared" si="30"/>
        <v>1</v>
      </c>
      <c r="I197" t="str">
        <f t="shared" si="27"/>
        <v>200PFA39-12R1</v>
      </c>
      <c r="J197" s="6" t="str">
        <f t="shared" si="31"/>
        <v>SING CHICAGO BLUES (R) 43X145</v>
      </c>
      <c r="K197" s="6">
        <f t="shared" si="32"/>
        <v>1</v>
      </c>
      <c r="L197" s="6">
        <f t="shared" si="33"/>
        <v>10</v>
      </c>
      <c r="M197" s="6">
        <f t="shared" si="34"/>
        <v>1.1133999999999999</v>
      </c>
      <c r="N197" s="6" t="str">
        <f t="shared" si="28"/>
        <v>100PFA39-6200</v>
      </c>
      <c r="O197" s="6" t="str">
        <f t="shared" si="29"/>
        <v>SINGING THE CHICAGO BLUES</v>
      </c>
    </row>
    <row r="198" spans="1:15" ht="38.25">
      <c r="A198" s="4">
        <v>4</v>
      </c>
      <c r="B198" s="5" t="s">
        <v>9268</v>
      </c>
      <c r="C198" s="4" t="s">
        <v>9190</v>
      </c>
      <c r="D198" s="4">
        <v>1</v>
      </c>
      <c r="E198" s="4">
        <v>91</v>
      </c>
      <c r="F198" s="6">
        <v>1</v>
      </c>
      <c r="H198">
        <f t="shared" si="30"/>
        <v>4</v>
      </c>
      <c r="I198" t="str">
        <f t="shared" si="27"/>
        <v>CBPFA39APPK5</v>
      </c>
      <c r="J198" s="6" t="str">
        <f t="shared" si="31"/>
        <v>CHICAGO BLUES UV PRO 2LP</v>
      </c>
      <c r="K198" s="6">
        <f t="shared" si="32"/>
        <v>1</v>
      </c>
      <c r="L198" s="6">
        <f t="shared" si="33"/>
        <v>91</v>
      </c>
      <c r="M198" s="6">
        <f t="shared" si="34"/>
        <v>1</v>
      </c>
      <c r="N198" s="6" t="str">
        <f t="shared" si="28"/>
        <v>100PFA39-6200</v>
      </c>
      <c r="O198" s="6" t="str">
        <f t="shared" si="29"/>
        <v>SINGING THE CHICAGO BLUES</v>
      </c>
    </row>
    <row r="199" spans="1:15" ht="25.5">
      <c r="A199" s="4">
        <v>3</v>
      </c>
      <c r="B199" s="5" t="s">
        <v>9215</v>
      </c>
      <c r="C199" s="4" t="s">
        <v>9216</v>
      </c>
      <c r="D199" s="4">
        <v>1</v>
      </c>
      <c r="E199" s="4">
        <v>10</v>
      </c>
      <c r="F199" s="6">
        <v>0.33329999999999999</v>
      </c>
      <c r="H199">
        <f t="shared" si="30"/>
        <v>3</v>
      </c>
      <c r="I199" t="str">
        <f t="shared" ref="I199:I262" si="35">IFERROR(IF(SEARCH(" &lt;-",B199,1),LEFT(B199,SEARCH(" ",B199,1)-1),""),LEFT(B199,SEARCH("View",B199,1)-1))</f>
        <v>J24I9159PM42</v>
      </c>
      <c r="J199" s="6" t="str">
        <f t="shared" si="31"/>
        <v>PFA39 UV PRO R SHORT 41.84X47.</v>
      </c>
      <c r="K199" s="6">
        <f t="shared" si="32"/>
        <v>1</v>
      </c>
      <c r="L199" s="6">
        <f t="shared" si="33"/>
        <v>10</v>
      </c>
      <c r="M199" s="6">
        <f t="shared" si="34"/>
        <v>0.33329999999999999</v>
      </c>
      <c r="N199" s="6" t="str">
        <f t="shared" ref="N199:N262" si="36">TRIM($B$1)</f>
        <v>100PFA39-6200</v>
      </c>
      <c r="O199" s="6" t="str">
        <f t="shared" ref="O199:O262" si="37">TRIM($C$1)</f>
        <v>SINGING THE CHICAGO BLUES</v>
      </c>
    </row>
    <row r="200" spans="1:15" ht="25.5">
      <c r="A200" s="4">
        <v>2</v>
      </c>
      <c r="B200" s="5" t="s">
        <v>9213</v>
      </c>
      <c r="C200" s="4" t="s">
        <v>9214</v>
      </c>
      <c r="D200" s="4">
        <v>1</v>
      </c>
      <c r="E200" s="4">
        <v>10</v>
      </c>
      <c r="F200" s="6">
        <v>1</v>
      </c>
      <c r="H200">
        <f t="shared" si="30"/>
        <v>2</v>
      </c>
      <c r="I200" t="str">
        <f t="shared" si="35"/>
        <v>200I9159-120</v>
      </c>
      <c r="J200" s="6" t="str">
        <f t="shared" si="31"/>
        <v>PFA39 PRO UV R LANE 43 X 145</v>
      </c>
      <c r="K200" s="6">
        <f t="shared" si="32"/>
        <v>1</v>
      </c>
      <c r="L200" s="6">
        <f t="shared" si="33"/>
        <v>10</v>
      </c>
      <c r="M200" s="6">
        <f t="shared" si="34"/>
        <v>1</v>
      </c>
      <c r="N200" s="6" t="str">
        <f t="shared" si="36"/>
        <v>100PFA39-6200</v>
      </c>
      <c r="O200" s="6" t="str">
        <f t="shared" si="37"/>
        <v>SINGING THE CHICAGO BLUES</v>
      </c>
    </row>
    <row r="201" spans="1:15" ht="38.25">
      <c r="A201" s="4">
        <v>1</v>
      </c>
      <c r="B201" s="5" t="s">
        <v>9169</v>
      </c>
      <c r="C201" s="4" t="s">
        <v>9170</v>
      </c>
      <c r="D201" s="4">
        <v>1</v>
      </c>
      <c r="E201" s="4">
        <v>10</v>
      </c>
      <c r="F201" s="6">
        <v>1.1133999999999999</v>
      </c>
      <c r="H201">
        <f t="shared" si="30"/>
        <v>1</v>
      </c>
      <c r="I201" t="str">
        <f t="shared" si="35"/>
        <v>200PFA39-12R1</v>
      </c>
      <c r="J201" s="6" t="str">
        <f t="shared" si="31"/>
        <v>SING CHICAGO BLUES (R) 43X145</v>
      </c>
      <c r="K201" s="6">
        <f t="shared" si="32"/>
        <v>1</v>
      </c>
      <c r="L201" s="6">
        <f t="shared" si="33"/>
        <v>10</v>
      </c>
      <c r="M201" s="6">
        <f t="shared" si="34"/>
        <v>1.1133999999999999</v>
      </c>
      <c r="N201" s="6" t="str">
        <f t="shared" si="36"/>
        <v>100PFA39-6200</v>
      </c>
      <c r="O201" s="6" t="str">
        <f t="shared" si="37"/>
        <v>SINGING THE CHICAGO BLUES</v>
      </c>
    </row>
    <row r="202" spans="1:15" ht="38.25">
      <c r="A202" s="4">
        <v>4</v>
      </c>
      <c r="B202" s="5" t="s">
        <v>9268</v>
      </c>
      <c r="C202" s="4" t="s">
        <v>9190</v>
      </c>
      <c r="D202" s="4">
        <v>1</v>
      </c>
      <c r="E202" s="4">
        <v>91</v>
      </c>
      <c r="F202" s="6">
        <v>1</v>
      </c>
      <c r="H202">
        <f t="shared" si="30"/>
        <v>4</v>
      </c>
      <c r="I202" t="str">
        <f t="shared" si="35"/>
        <v>CBPFA39APPK5</v>
      </c>
      <c r="J202" s="6" t="str">
        <f t="shared" si="31"/>
        <v>CHICAGO BLUES UV PRO 2LP</v>
      </c>
      <c r="K202" s="6">
        <f t="shared" si="32"/>
        <v>1</v>
      </c>
      <c r="L202" s="6">
        <f t="shared" si="33"/>
        <v>91</v>
      </c>
      <c r="M202" s="6">
        <f t="shared" si="34"/>
        <v>1</v>
      </c>
      <c r="N202" s="6" t="str">
        <f t="shared" si="36"/>
        <v>100PFA39-6200</v>
      </c>
      <c r="O202" s="6" t="str">
        <f t="shared" si="37"/>
        <v>SINGING THE CHICAGO BLUES</v>
      </c>
    </row>
    <row r="203" spans="1:15" ht="25.5">
      <c r="A203" s="4">
        <v>3</v>
      </c>
      <c r="B203" s="5" t="s">
        <v>9217</v>
      </c>
      <c r="C203" s="4" t="s">
        <v>9218</v>
      </c>
      <c r="D203" s="4">
        <v>1</v>
      </c>
      <c r="E203" s="4">
        <v>10</v>
      </c>
      <c r="F203" s="6">
        <v>1</v>
      </c>
      <c r="H203">
        <f t="shared" si="30"/>
        <v>3</v>
      </c>
      <c r="I203" t="str">
        <f t="shared" si="35"/>
        <v>J24I9161PM41</v>
      </c>
      <c r="J203" s="6" t="str">
        <f t="shared" si="31"/>
        <v>PFA39 UV PRO R CHAR 41.875X144</v>
      </c>
      <c r="K203" s="6">
        <f t="shared" si="32"/>
        <v>1</v>
      </c>
      <c r="L203" s="6">
        <f t="shared" si="33"/>
        <v>10</v>
      </c>
      <c r="M203" s="6">
        <f t="shared" si="34"/>
        <v>1</v>
      </c>
      <c r="N203" s="6" t="str">
        <f t="shared" si="36"/>
        <v>100PFA39-6200</v>
      </c>
      <c r="O203" s="6" t="str">
        <f t="shared" si="37"/>
        <v>SINGING THE CHICAGO BLUES</v>
      </c>
    </row>
    <row r="204" spans="1:15" ht="25.5">
      <c r="A204" s="4">
        <v>2</v>
      </c>
      <c r="B204" s="5" t="s">
        <v>9219</v>
      </c>
      <c r="C204" s="4" t="s">
        <v>9220</v>
      </c>
      <c r="D204" s="4">
        <v>1</v>
      </c>
      <c r="E204" s="4">
        <v>10</v>
      </c>
      <c r="F204" s="6">
        <v>1</v>
      </c>
      <c r="H204">
        <f t="shared" si="30"/>
        <v>2</v>
      </c>
      <c r="I204" t="str">
        <f t="shared" si="35"/>
        <v>200I9161-120</v>
      </c>
      <c r="J204" s="6" t="str">
        <f t="shared" si="31"/>
        <v>PFA39 PRO UV R CHAR 43 X 145</v>
      </c>
      <c r="K204" s="6">
        <f t="shared" si="32"/>
        <v>1</v>
      </c>
      <c r="L204" s="6">
        <f t="shared" si="33"/>
        <v>10</v>
      </c>
      <c r="M204" s="6">
        <f t="shared" si="34"/>
        <v>1</v>
      </c>
      <c r="N204" s="6" t="str">
        <f t="shared" si="36"/>
        <v>100PFA39-6200</v>
      </c>
      <c r="O204" s="6" t="str">
        <f t="shared" si="37"/>
        <v>SINGING THE CHICAGO BLUES</v>
      </c>
    </row>
    <row r="205" spans="1:15" ht="38.25">
      <c r="A205" s="4">
        <v>1</v>
      </c>
      <c r="B205" s="5" t="s">
        <v>9169</v>
      </c>
      <c r="C205" s="4" t="s">
        <v>9170</v>
      </c>
      <c r="D205" s="4">
        <v>1</v>
      </c>
      <c r="E205" s="4">
        <v>10</v>
      </c>
      <c r="F205" s="6">
        <v>1.1133999999999999</v>
      </c>
      <c r="H205">
        <f t="shared" si="30"/>
        <v>1</v>
      </c>
      <c r="I205" t="str">
        <f t="shared" si="35"/>
        <v>200PFA39-12R1</v>
      </c>
      <c r="J205" s="6" t="str">
        <f t="shared" si="31"/>
        <v>SING CHICAGO BLUES (R) 43X145</v>
      </c>
      <c r="K205" s="6">
        <f t="shared" si="32"/>
        <v>1</v>
      </c>
      <c r="L205" s="6">
        <f t="shared" si="33"/>
        <v>10</v>
      </c>
      <c r="M205" s="6">
        <f t="shared" si="34"/>
        <v>1.1133999999999999</v>
      </c>
      <c r="N205" s="6" t="str">
        <f t="shared" si="36"/>
        <v>100PFA39-6200</v>
      </c>
      <c r="O205" s="6" t="str">
        <f t="shared" si="37"/>
        <v>SINGING THE CHICAGO BLUES</v>
      </c>
    </row>
    <row r="206" spans="1:15" ht="38.25">
      <c r="A206" s="4">
        <v>4</v>
      </c>
      <c r="B206" s="5" t="s">
        <v>9268</v>
      </c>
      <c r="C206" s="4" t="s">
        <v>9190</v>
      </c>
      <c r="D206" s="4">
        <v>1</v>
      </c>
      <c r="E206" s="4">
        <v>91</v>
      </c>
      <c r="F206" s="6">
        <v>1</v>
      </c>
      <c r="H206">
        <f t="shared" si="30"/>
        <v>4</v>
      </c>
      <c r="I206" t="str">
        <f t="shared" si="35"/>
        <v>CBPFA39APPK5</v>
      </c>
      <c r="J206" s="6" t="str">
        <f t="shared" si="31"/>
        <v>CHICAGO BLUES UV PRO 2LP</v>
      </c>
      <c r="K206" s="6">
        <f t="shared" si="32"/>
        <v>1</v>
      </c>
      <c r="L206" s="6">
        <f t="shared" si="33"/>
        <v>91</v>
      </c>
      <c r="M206" s="6">
        <f t="shared" si="34"/>
        <v>1</v>
      </c>
      <c r="N206" s="6" t="str">
        <f t="shared" si="36"/>
        <v>100PFA39-6200</v>
      </c>
      <c r="O206" s="6" t="str">
        <f t="shared" si="37"/>
        <v>SINGING THE CHICAGO BLUES</v>
      </c>
    </row>
    <row r="207" spans="1:15" ht="25.5">
      <c r="A207" s="4">
        <v>3</v>
      </c>
      <c r="B207" s="5" t="s">
        <v>9221</v>
      </c>
      <c r="C207" s="4" t="s">
        <v>9222</v>
      </c>
      <c r="D207" s="4">
        <v>1</v>
      </c>
      <c r="E207" s="4">
        <v>10</v>
      </c>
      <c r="F207" s="6">
        <v>1</v>
      </c>
      <c r="H207">
        <f t="shared" si="30"/>
        <v>3</v>
      </c>
      <c r="I207" t="str">
        <f t="shared" si="35"/>
        <v>J24I9156PM40</v>
      </c>
      <c r="J207" s="6" t="str">
        <f t="shared" si="31"/>
        <v>PFA39 UV PRO L HEAD 41.84X144</v>
      </c>
      <c r="K207" s="6">
        <f t="shared" si="32"/>
        <v>1</v>
      </c>
      <c r="L207" s="6">
        <f t="shared" si="33"/>
        <v>10</v>
      </c>
      <c r="M207" s="6">
        <f t="shared" si="34"/>
        <v>1</v>
      </c>
      <c r="N207" s="6" t="str">
        <f t="shared" si="36"/>
        <v>100PFA39-6200</v>
      </c>
      <c r="O207" s="6" t="str">
        <f t="shared" si="37"/>
        <v>SINGING THE CHICAGO BLUES</v>
      </c>
    </row>
    <row r="208" spans="1:15" ht="25.5">
      <c r="A208" s="4">
        <v>2</v>
      </c>
      <c r="B208" s="5" t="s">
        <v>9223</v>
      </c>
      <c r="C208" s="4" t="s">
        <v>9224</v>
      </c>
      <c r="D208" s="4">
        <v>1</v>
      </c>
      <c r="E208" s="4">
        <v>10</v>
      </c>
      <c r="F208" s="6">
        <v>1</v>
      </c>
      <c r="H208">
        <f t="shared" si="30"/>
        <v>2</v>
      </c>
      <c r="I208" t="str">
        <f t="shared" si="35"/>
        <v>200I9156-120</v>
      </c>
      <c r="J208" s="6" t="str">
        <f t="shared" si="31"/>
        <v>PFA39 PRO UV L HEAD 43 X 145</v>
      </c>
      <c r="K208" s="6">
        <f t="shared" si="32"/>
        <v>1</v>
      </c>
      <c r="L208" s="6">
        <f t="shared" si="33"/>
        <v>10</v>
      </c>
      <c r="M208" s="6">
        <f t="shared" si="34"/>
        <v>1</v>
      </c>
      <c r="N208" s="6" t="str">
        <f t="shared" si="36"/>
        <v>100PFA39-6200</v>
      </c>
      <c r="O208" s="6" t="str">
        <f t="shared" si="37"/>
        <v>SINGING THE CHICAGO BLUES</v>
      </c>
    </row>
    <row r="209" spans="1:15" ht="38.25">
      <c r="A209" s="4">
        <v>1</v>
      </c>
      <c r="B209" s="5" t="s">
        <v>9181</v>
      </c>
      <c r="C209" s="4" t="s">
        <v>9182</v>
      </c>
      <c r="D209" s="4">
        <v>1</v>
      </c>
      <c r="E209" s="4">
        <v>10</v>
      </c>
      <c r="F209" s="6">
        <v>1.1133999999999999</v>
      </c>
      <c r="H209">
        <f t="shared" si="30"/>
        <v>1</v>
      </c>
      <c r="I209" t="str">
        <f t="shared" si="35"/>
        <v>200PFA39-12L1</v>
      </c>
      <c r="J209" s="6" t="str">
        <f t="shared" si="31"/>
        <v>SING CHICAGO BLUES (L) 43X145</v>
      </c>
      <c r="K209" s="6">
        <f t="shared" si="32"/>
        <v>1</v>
      </c>
      <c r="L209" s="6">
        <f t="shared" si="33"/>
        <v>10</v>
      </c>
      <c r="M209" s="6">
        <f t="shared" si="34"/>
        <v>1.1133999999999999</v>
      </c>
      <c r="N209" s="6" t="str">
        <f t="shared" si="36"/>
        <v>100PFA39-6200</v>
      </c>
      <c r="O209" s="6" t="str">
        <f t="shared" si="37"/>
        <v>SINGING THE CHICAGO BLUES</v>
      </c>
    </row>
    <row r="210" spans="1:15" ht="38.25">
      <c r="A210" s="4">
        <v>4</v>
      </c>
      <c r="B210" s="5" t="s">
        <v>9268</v>
      </c>
      <c r="C210" s="4" t="s">
        <v>9190</v>
      </c>
      <c r="D210" s="4">
        <v>1</v>
      </c>
      <c r="E210" s="4">
        <v>91</v>
      </c>
      <c r="F210" s="6">
        <v>2</v>
      </c>
      <c r="H210">
        <f t="shared" si="30"/>
        <v>4</v>
      </c>
      <c r="I210" t="str">
        <f t="shared" si="35"/>
        <v>CBPFA39APPK5</v>
      </c>
      <c r="J210" s="6" t="str">
        <f t="shared" si="31"/>
        <v>CHICAGO BLUES UV PRO 2LP</v>
      </c>
      <c r="K210" s="6">
        <f t="shared" si="32"/>
        <v>1</v>
      </c>
      <c r="L210" s="6">
        <f t="shared" si="33"/>
        <v>91</v>
      </c>
      <c r="M210" s="6">
        <f t="shared" si="34"/>
        <v>2</v>
      </c>
      <c r="N210" s="6" t="str">
        <f t="shared" si="36"/>
        <v>100PFA39-6200</v>
      </c>
      <c r="O210" s="6" t="str">
        <f t="shared" si="37"/>
        <v>SINGING THE CHICAGO BLUES</v>
      </c>
    </row>
    <row r="211" spans="1:15" ht="25.5">
      <c r="A211" s="4">
        <v>3</v>
      </c>
      <c r="B211" s="5" t="s">
        <v>9225</v>
      </c>
      <c r="C211" s="4" t="s">
        <v>9226</v>
      </c>
      <c r="D211" s="4">
        <v>1</v>
      </c>
      <c r="E211" s="4">
        <v>10</v>
      </c>
      <c r="F211" s="6">
        <v>1</v>
      </c>
      <c r="H211">
        <f t="shared" si="30"/>
        <v>3</v>
      </c>
      <c r="I211" t="str">
        <f t="shared" si="35"/>
        <v>J24I9158PM41</v>
      </c>
      <c r="J211" s="6" t="str">
        <f t="shared" si="31"/>
        <v>PFA39 UV PRO L LANE 41.84X144</v>
      </c>
      <c r="K211" s="6">
        <f t="shared" si="32"/>
        <v>1</v>
      </c>
      <c r="L211" s="6">
        <f t="shared" si="33"/>
        <v>10</v>
      </c>
      <c r="M211" s="6">
        <f t="shared" si="34"/>
        <v>1</v>
      </c>
      <c r="N211" s="6" t="str">
        <f t="shared" si="36"/>
        <v>100PFA39-6200</v>
      </c>
      <c r="O211" s="6" t="str">
        <f t="shared" si="37"/>
        <v>SINGING THE CHICAGO BLUES</v>
      </c>
    </row>
    <row r="212" spans="1:15" ht="25.5">
      <c r="A212" s="4">
        <v>2</v>
      </c>
      <c r="B212" s="5" t="s">
        <v>9227</v>
      </c>
      <c r="C212" s="4" t="s">
        <v>9228</v>
      </c>
      <c r="D212" s="4">
        <v>1</v>
      </c>
      <c r="E212" s="4">
        <v>10</v>
      </c>
      <c r="F212" s="6">
        <v>1</v>
      </c>
      <c r="H212">
        <f t="shared" si="30"/>
        <v>2</v>
      </c>
      <c r="I212" t="str">
        <f t="shared" si="35"/>
        <v>200I9158-120</v>
      </c>
      <c r="J212" s="6" t="str">
        <f t="shared" si="31"/>
        <v>PFA39 PRO UV L LANE 43 X 145</v>
      </c>
      <c r="K212" s="6">
        <f t="shared" si="32"/>
        <v>1</v>
      </c>
      <c r="L212" s="6">
        <f t="shared" si="33"/>
        <v>10</v>
      </c>
      <c r="M212" s="6">
        <f t="shared" si="34"/>
        <v>1</v>
      </c>
      <c r="N212" s="6" t="str">
        <f t="shared" si="36"/>
        <v>100PFA39-6200</v>
      </c>
      <c r="O212" s="6" t="str">
        <f t="shared" si="37"/>
        <v>SINGING THE CHICAGO BLUES</v>
      </c>
    </row>
    <row r="213" spans="1:15" ht="38.25">
      <c r="A213" s="4">
        <v>1</v>
      </c>
      <c r="B213" s="5" t="s">
        <v>9181</v>
      </c>
      <c r="C213" s="4" t="s">
        <v>9182</v>
      </c>
      <c r="D213" s="4">
        <v>1</v>
      </c>
      <c r="E213" s="4">
        <v>10</v>
      </c>
      <c r="F213" s="6">
        <v>1.1133999999999999</v>
      </c>
      <c r="H213">
        <f t="shared" si="30"/>
        <v>1</v>
      </c>
      <c r="I213" t="str">
        <f t="shared" si="35"/>
        <v>200PFA39-12L1</v>
      </c>
      <c r="J213" s="6" t="str">
        <f t="shared" si="31"/>
        <v>SING CHICAGO BLUES (L) 43X145</v>
      </c>
      <c r="K213" s="6">
        <f t="shared" si="32"/>
        <v>1</v>
      </c>
      <c r="L213" s="6">
        <f t="shared" si="33"/>
        <v>10</v>
      </c>
      <c r="M213" s="6">
        <f t="shared" si="34"/>
        <v>1.1133999999999999</v>
      </c>
      <c r="N213" s="6" t="str">
        <f t="shared" si="36"/>
        <v>100PFA39-6200</v>
      </c>
      <c r="O213" s="6" t="str">
        <f t="shared" si="37"/>
        <v>SINGING THE CHICAGO BLUES</v>
      </c>
    </row>
    <row r="214" spans="1:15" ht="38.25">
      <c r="A214" s="4">
        <v>4</v>
      </c>
      <c r="B214" s="5" t="s">
        <v>9268</v>
      </c>
      <c r="C214" s="4" t="s">
        <v>9190</v>
      </c>
      <c r="D214" s="4">
        <v>1</v>
      </c>
      <c r="E214" s="4">
        <v>91</v>
      </c>
      <c r="F214" s="6">
        <v>1</v>
      </c>
      <c r="H214">
        <f t="shared" si="30"/>
        <v>4</v>
      </c>
      <c r="I214" t="str">
        <f t="shared" si="35"/>
        <v>CBPFA39APPK5</v>
      </c>
      <c r="J214" s="6" t="str">
        <f t="shared" si="31"/>
        <v>CHICAGO BLUES UV PRO 2LP</v>
      </c>
      <c r="K214" s="6">
        <f t="shared" si="32"/>
        <v>1</v>
      </c>
      <c r="L214" s="6">
        <f t="shared" si="33"/>
        <v>91</v>
      </c>
      <c r="M214" s="6">
        <f t="shared" si="34"/>
        <v>1</v>
      </c>
      <c r="N214" s="6" t="str">
        <f t="shared" si="36"/>
        <v>100PFA39-6200</v>
      </c>
      <c r="O214" s="6" t="str">
        <f t="shared" si="37"/>
        <v>SINGING THE CHICAGO BLUES</v>
      </c>
    </row>
    <row r="215" spans="1:15" ht="25.5">
      <c r="A215" s="4">
        <v>3</v>
      </c>
      <c r="B215" s="5" t="s">
        <v>9229</v>
      </c>
      <c r="C215" s="4" t="s">
        <v>9230</v>
      </c>
      <c r="D215" s="4">
        <v>1</v>
      </c>
      <c r="E215" s="4">
        <v>10</v>
      </c>
      <c r="F215" s="6">
        <v>0.33329999999999999</v>
      </c>
      <c r="H215">
        <f t="shared" si="30"/>
        <v>3</v>
      </c>
      <c r="I215" t="str">
        <f t="shared" si="35"/>
        <v>J24I9158PM42</v>
      </c>
      <c r="J215" s="6" t="str">
        <f t="shared" si="31"/>
        <v>PFA39 UV PRO L SHORT 41.84X47.</v>
      </c>
      <c r="K215" s="6">
        <f t="shared" si="32"/>
        <v>1</v>
      </c>
      <c r="L215" s="6">
        <f t="shared" si="33"/>
        <v>10</v>
      </c>
      <c r="M215" s="6">
        <f t="shared" si="34"/>
        <v>0.33329999999999999</v>
      </c>
      <c r="N215" s="6" t="str">
        <f t="shared" si="36"/>
        <v>100PFA39-6200</v>
      </c>
      <c r="O215" s="6" t="str">
        <f t="shared" si="37"/>
        <v>SINGING THE CHICAGO BLUES</v>
      </c>
    </row>
    <row r="216" spans="1:15" ht="25.5">
      <c r="A216" s="4">
        <v>2</v>
      </c>
      <c r="B216" s="5" t="s">
        <v>9227</v>
      </c>
      <c r="C216" s="4" t="s">
        <v>9228</v>
      </c>
      <c r="D216" s="4">
        <v>1</v>
      </c>
      <c r="E216" s="4">
        <v>10</v>
      </c>
      <c r="F216" s="6">
        <v>1</v>
      </c>
      <c r="H216">
        <f t="shared" si="30"/>
        <v>2</v>
      </c>
      <c r="I216" t="str">
        <f t="shared" si="35"/>
        <v>200I9158-120</v>
      </c>
      <c r="J216" s="6" t="str">
        <f t="shared" si="31"/>
        <v>PFA39 PRO UV L LANE 43 X 145</v>
      </c>
      <c r="K216" s="6">
        <f t="shared" si="32"/>
        <v>1</v>
      </c>
      <c r="L216" s="6">
        <f t="shared" si="33"/>
        <v>10</v>
      </c>
      <c r="M216" s="6">
        <f t="shared" si="34"/>
        <v>1</v>
      </c>
      <c r="N216" s="6" t="str">
        <f t="shared" si="36"/>
        <v>100PFA39-6200</v>
      </c>
      <c r="O216" s="6" t="str">
        <f t="shared" si="37"/>
        <v>SINGING THE CHICAGO BLUES</v>
      </c>
    </row>
    <row r="217" spans="1:15" ht="38.25">
      <c r="A217" s="4">
        <v>1</v>
      </c>
      <c r="B217" s="5" t="s">
        <v>9181</v>
      </c>
      <c r="C217" s="4" t="s">
        <v>9182</v>
      </c>
      <c r="D217" s="4">
        <v>1</v>
      </c>
      <c r="E217" s="4">
        <v>10</v>
      </c>
      <c r="F217" s="6">
        <v>1.1133999999999999</v>
      </c>
      <c r="H217">
        <f t="shared" si="30"/>
        <v>1</v>
      </c>
      <c r="I217" t="str">
        <f t="shared" si="35"/>
        <v>200PFA39-12L1</v>
      </c>
      <c r="J217" s="6" t="str">
        <f t="shared" si="31"/>
        <v>SING CHICAGO BLUES (L) 43X145</v>
      </c>
      <c r="K217" s="6">
        <f t="shared" si="32"/>
        <v>1</v>
      </c>
      <c r="L217" s="6">
        <f t="shared" si="33"/>
        <v>10</v>
      </c>
      <c r="M217" s="6">
        <f t="shared" si="34"/>
        <v>1.1133999999999999</v>
      </c>
      <c r="N217" s="6" t="str">
        <f t="shared" si="36"/>
        <v>100PFA39-6200</v>
      </c>
      <c r="O217" s="6" t="str">
        <f t="shared" si="37"/>
        <v>SINGING THE CHICAGO BLUES</v>
      </c>
    </row>
    <row r="218" spans="1:15" ht="38.25">
      <c r="A218" s="4">
        <v>4</v>
      </c>
      <c r="B218" s="5" t="s">
        <v>9268</v>
      </c>
      <c r="C218" s="4" t="s">
        <v>9190</v>
      </c>
      <c r="D218" s="4">
        <v>1</v>
      </c>
      <c r="E218" s="4">
        <v>91</v>
      </c>
      <c r="F218" s="6">
        <v>1</v>
      </c>
      <c r="H218">
        <f t="shared" si="30"/>
        <v>4</v>
      </c>
      <c r="I218" t="str">
        <f t="shared" si="35"/>
        <v>CBPFA39APPK5</v>
      </c>
      <c r="J218" s="6" t="str">
        <f t="shared" si="31"/>
        <v>CHICAGO BLUES UV PRO 2LP</v>
      </c>
      <c r="K218" s="6">
        <f t="shared" si="32"/>
        <v>1</v>
      </c>
      <c r="L218" s="6">
        <f t="shared" si="33"/>
        <v>91</v>
      </c>
      <c r="M218" s="6">
        <f t="shared" si="34"/>
        <v>1</v>
      </c>
      <c r="N218" s="6" t="str">
        <f t="shared" si="36"/>
        <v>100PFA39-6200</v>
      </c>
      <c r="O218" s="6" t="str">
        <f t="shared" si="37"/>
        <v>SINGING THE CHICAGO BLUES</v>
      </c>
    </row>
    <row r="219" spans="1:15" ht="25.5">
      <c r="A219" s="4">
        <v>3</v>
      </c>
      <c r="B219" s="5" t="s">
        <v>9231</v>
      </c>
      <c r="C219" s="4" t="s">
        <v>9232</v>
      </c>
      <c r="D219" s="4">
        <v>1</v>
      </c>
      <c r="E219" s="4">
        <v>10</v>
      </c>
      <c r="F219" s="6">
        <v>1</v>
      </c>
      <c r="H219">
        <f t="shared" si="30"/>
        <v>3</v>
      </c>
      <c r="I219" t="str">
        <f t="shared" si="35"/>
        <v>J24I9160PM41</v>
      </c>
      <c r="J219" s="6" t="str">
        <f t="shared" si="31"/>
        <v>PFA39 UV PRO L CHAR 41.875X144</v>
      </c>
      <c r="K219" s="6">
        <f t="shared" si="32"/>
        <v>1</v>
      </c>
      <c r="L219" s="6">
        <f t="shared" si="33"/>
        <v>10</v>
      </c>
      <c r="M219" s="6">
        <f t="shared" si="34"/>
        <v>1</v>
      </c>
      <c r="N219" s="6" t="str">
        <f t="shared" si="36"/>
        <v>100PFA39-6200</v>
      </c>
      <c r="O219" s="6" t="str">
        <f t="shared" si="37"/>
        <v>SINGING THE CHICAGO BLUES</v>
      </c>
    </row>
    <row r="220" spans="1:15" ht="25.5">
      <c r="A220" s="4">
        <v>2</v>
      </c>
      <c r="B220" s="5" t="s">
        <v>9233</v>
      </c>
      <c r="C220" s="4" t="s">
        <v>9234</v>
      </c>
      <c r="D220" s="4">
        <v>1</v>
      </c>
      <c r="E220" s="4">
        <v>10</v>
      </c>
      <c r="F220" s="6">
        <v>1</v>
      </c>
      <c r="H220">
        <f t="shared" si="30"/>
        <v>2</v>
      </c>
      <c r="I220" t="str">
        <f t="shared" si="35"/>
        <v>200I9160-120</v>
      </c>
      <c r="J220" s="6" t="str">
        <f t="shared" si="31"/>
        <v>PFA39 PRO UV L CHAR 43 X 145</v>
      </c>
      <c r="K220" s="6">
        <f t="shared" si="32"/>
        <v>1</v>
      </c>
      <c r="L220" s="6">
        <f t="shared" si="33"/>
        <v>10</v>
      </c>
      <c r="M220" s="6">
        <f t="shared" si="34"/>
        <v>1</v>
      </c>
      <c r="N220" s="6" t="str">
        <f t="shared" si="36"/>
        <v>100PFA39-6200</v>
      </c>
      <c r="O220" s="6" t="str">
        <f t="shared" si="37"/>
        <v>SINGING THE CHICAGO BLUES</v>
      </c>
    </row>
    <row r="221" spans="1:15" ht="38.25">
      <c r="A221" s="4">
        <v>1</v>
      </c>
      <c r="B221" s="5" t="s">
        <v>9181</v>
      </c>
      <c r="C221" s="4" t="s">
        <v>9182</v>
      </c>
      <c r="D221" s="4">
        <v>1</v>
      </c>
      <c r="E221" s="4">
        <v>10</v>
      </c>
      <c r="F221" s="6">
        <v>1.1133999999999999</v>
      </c>
      <c r="H221">
        <f t="shared" si="30"/>
        <v>1</v>
      </c>
      <c r="I221" t="str">
        <f t="shared" si="35"/>
        <v>200PFA39-12L1</v>
      </c>
      <c r="J221" s="6" t="str">
        <f t="shared" si="31"/>
        <v>SING CHICAGO BLUES (L) 43X145</v>
      </c>
      <c r="K221" s="6">
        <f t="shared" si="32"/>
        <v>1</v>
      </c>
      <c r="L221" s="6">
        <f t="shared" si="33"/>
        <v>10</v>
      </c>
      <c r="M221" s="6">
        <f t="shared" si="34"/>
        <v>1.1133999999999999</v>
      </c>
      <c r="N221" s="6" t="str">
        <f t="shared" si="36"/>
        <v>100PFA39-6200</v>
      </c>
      <c r="O221" s="6" t="str">
        <f t="shared" si="37"/>
        <v>SINGING THE CHICAGO BLUES</v>
      </c>
    </row>
    <row r="222" spans="1:15" ht="38.25">
      <c r="A222" s="4">
        <v>4</v>
      </c>
      <c r="B222" s="5" t="s">
        <v>9273</v>
      </c>
      <c r="C222" s="4" t="s">
        <v>9274</v>
      </c>
      <c r="D222" s="4">
        <v>1</v>
      </c>
      <c r="E222" s="4">
        <v>91</v>
      </c>
      <c r="F222" s="6">
        <v>1</v>
      </c>
      <c r="H222">
        <f t="shared" si="30"/>
        <v>4</v>
      </c>
      <c r="I222" t="str">
        <f t="shared" si="35"/>
        <v>CBPFA39APPK6</v>
      </c>
      <c r="J222" s="6" t="str">
        <f t="shared" si="31"/>
        <v>CHICAGO BLUES LEFT LP</v>
      </c>
      <c r="K222" s="6">
        <f t="shared" si="32"/>
        <v>1</v>
      </c>
      <c r="L222" s="6">
        <f t="shared" si="33"/>
        <v>91</v>
      </c>
      <c r="M222" s="6">
        <f t="shared" si="34"/>
        <v>1</v>
      </c>
      <c r="N222" s="6" t="str">
        <f t="shared" si="36"/>
        <v>100PFA39-6200</v>
      </c>
      <c r="O222" s="6" t="str">
        <f t="shared" si="37"/>
        <v>SINGING THE CHICAGO BLUES</v>
      </c>
    </row>
    <row r="223" spans="1:15" ht="25.5">
      <c r="A223" s="4">
        <v>3</v>
      </c>
      <c r="B223" s="5" t="s">
        <v>9236</v>
      </c>
      <c r="C223" s="4" t="s">
        <v>9148</v>
      </c>
      <c r="D223" s="4">
        <v>1</v>
      </c>
      <c r="E223" s="4">
        <v>10</v>
      </c>
      <c r="F223" s="6">
        <v>1</v>
      </c>
      <c r="H223">
        <f t="shared" si="30"/>
        <v>3</v>
      </c>
      <c r="I223" t="str">
        <f t="shared" si="35"/>
        <v>J44I8944AM31</v>
      </c>
      <c r="J223" s="6" t="str">
        <f t="shared" si="31"/>
        <v>PFA39 TEX L APP 59.641 X 144</v>
      </c>
      <c r="K223" s="6">
        <f t="shared" si="32"/>
        <v>1</v>
      </c>
      <c r="L223" s="6">
        <f t="shared" si="33"/>
        <v>10</v>
      </c>
      <c r="M223" s="6">
        <f t="shared" si="34"/>
        <v>1</v>
      </c>
      <c r="N223" s="6" t="str">
        <f t="shared" si="36"/>
        <v>100PFA39-6200</v>
      </c>
      <c r="O223" s="6" t="str">
        <f t="shared" si="37"/>
        <v>SINGING THE CHICAGO BLUES</v>
      </c>
    </row>
    <row r="224" spans="1:15" ht="25.5">
      <c r="A224" s="4">
        <v>2</v>
      </c>
      <c r="B224" s="5" t="s">
        <v>9149</v>
      </c>
      <c r="C224" s="4" t="s">
        <v>9150</v>
      </c>
      <c r="D224" s="4">
        <v>1</v>
      </c>
      <c r="E224" s="4">
        <v>10</v>
      </c>
      <c r="F224" s="6">
        <v>1</v>
      </c>
      <c r="H224">
        <f t="shared" ref="H224:H287" si="38">A224</f>
        <v>2</v>
      </c>
      <c r="I224" t="str">
        <f t="shared" si="35"/>
        <v>200I8944-520</v>
      </c>
      <c r="J224" s="6" t="str">
        <f t="shared" ref="J224:J287" si="39">C224</f>
        <v>PFA39 LEFT APPR 60 X 144</v>
      </c>
      <c r="K224" s="6">
        <f t="shared" ref="K224:K287" si="40">D224</f>
        <v>1</v>
      </c>
      <c r="L224" s="6">
        <f t="shared" ref="L224:L287" si="41">E224</f>
        <v>10</v>
      </c>
      <c r="M224" s="6">
        <f t="shared" ref="M224:M287" si="42">F224</f>
        <v>1</v>
      </c>
      <c r="N224" s="6" t="str">
        <f t="shared" si="36"/>
        <v>100PFA39-6200</v>
      </c>
      <c r="O224" s="6" t="str">
        <f t="shared" si="37"/>
        <v>SINGING THE CHICAGO BLUES</v>
      </c>
    </row>
    <row r="225" spans="1:15" ht="38.25">
      <c r="A225" s="4">
        <v>1</v>
      </c>
      <c r="B225" s="5" t="s">
        <v>9151</v>
      </c>
      <c r="C225" s="4" t="s">
        <v>9152</v>
      </c>
      <c r="D225" s="4">
        <v>1</v>
      </c>
      <c r="E225" s="4">
        <v>10</v>
      </c>
      <c r="F225" s="6">
        <v>1.1133999999999999</v>
      </c>
      <c r="H225">
        <f t="shared" si="38"/>
        <v>1</v>
      </c>
      <c r="I225" t="str">
        <f t="shared" si="35"/>
        <v>200PFA39-5201</v>
      </c>
      <c r="J225" s="6" t="str">
        <f t="shared" si="39"/>
        <v>SING CHICAGO BLUES 60 X 144</v>
      </c>
      <c r="K225" s="6">
        <f t="shared" si="40"/>
        <v>1</v>
      </c>
      <c r="L225" s="6">
        <f t="shared" si="41"/>
        <v>10</v>
      </c>
      <c r="M225" s="6">
        <f t="shared" si="42"/>
        <v>1.1133999999999999</v>
      </c>
      <c r="N225" s="6" t="str">
        <f t="shared" si="36"/>
        <v>100PFA39-6200</v>
      </c>
      <c r="O225" s="6" t="str">
        <f t="shared" si="37"/>
        <v>SINGING THE CHICAGO BLUES</v>
      </c>
    </row>
    <row r="226" spans="1:15" ht="38.25">
      <c r="A226" s="4">
        <v>4</v>
      </c>
      <c r="B226" s="5" t="s">
        <v>9273</v>
      </c>
      <c r="C226" s="4" t="s">
        <v>9274</v>
      </c>
      <c r="D226" s="4">
        <v>1</v>
      </c>
      <c r="E226" s="4">
        <v>91</v>
      </c>
      <c r="F226" s="6">
        <v>1</v>
      </c>
      <c r="H226">
        <f t="shared" si="38"/>
        <v>4</v>
      </c>
      <c r="I226" t="str">
        <f t="shared" si="35"/>
        <v>CBPFA39APPK6</v>
      </c>
      <c r="J226" s="6" t="str">
        <f t="shared" si="39"/>
        <v>CHICAGO BLUES LEFT LP</v>
      </c>
      <c r="K226" s="6">
        <f t="shared" si="40"/>
        <v>1</v>
      </c>
      <c r="L226" s="6">
        <f t="shared" si="41"/>
        <v>91</v>
      </c>
      <c r="M226" s="6">
        <f t="shared" si="42"/>
        <v>1</v>
      </c>
      <c r="N226" s="6" t="str">
        <f t="shared" si="36"/>
        <v>100PFA39-6200</v>
      </c>
      <c r="O226" s="6" t="str">
        <f t="shared" si="37"/>
        <v>SINGING THE CHICAGO BLUES</v>
      </c>
    </row>
    <row r="227" spans="1:15" ht="25.5">
      <c r="A227" s="4">
        <v>3</v>
      </c>
      <c r="B227" s="5" t="s">
        <v>9238</v>
      </c>
      <c r="C227" s="4" t="s">
        <v>9158</v>
      </c>
      <c r="D227" s="4">
        <v>1</v>
      </c>
      <c r="E227" s="4">
        <v>10</v>
      </c>
      <c r="F227" s="6">
        <v>1</v>
      </c>
      <c r="H227">
        <f t="shared" si="38"/>
        <v>3</v>
      </c>
      <c r="I227" t="str">
        <f t="shared" si="35"/>
        <v>J44I8946QM33</v>
      </c>
      <c r="J227" s="6" t="str">
        <f t="shared" si="39"/>
        <v>PFA39 D/F L FOUL 59.641 X 144</v>
      </c>
      <c r="K227" s="6">
        <f t="shared" si="40"/>
        <v>1</v>
      </c>
      <c r="L227" s="6">
        <f t="shared" si="41"/>
        <v>10</v>
      </c>
      <c r="M227" s="6">
        <f t="shared" si="42"/>
        <v>1</v>
      </c>
      <c r="N227" s="6" t="str">
        <f t="shared" si="36"/>
        <v>100PFA39-6200</v>
      </c>
      <c r="O227" s="6" t="str">
        <f t="shared" si="37"/>
        <v>SINGING THE CHICAGO BLUES</v>
      </c>
    </row>
    <row r="228" spans="1:15" ht="25.5">
      <c r="A228" s="4">
        <v>2</v>
      </c>
      <c r="B228" s="5" t="s">
        <v>9159</v>
      </c>
      <c r="C228" s="4" t="s">
        <v>9160</v>
      </c>
      <c r="D228" s="4">
        <v>1</v>
      </c>
      <c r="E228" s="4">
        <v>10</v>
      </c>
      <c r="F228" s="6">
        <v>1</v>
      </c>
      <c r="H228">
        <f t="shared" si="38"/>
        <v>2</v>
      </c>
      <c r="I228" t="str">
        <f t="shared" si="35"/>
        <v>200I8946-520</v>
      </c>
      <c r="J228" s="6" t="str">
        <f t="shared" si="39"/>
        <v>PFA39 LEFT FOUL 60 X 144</v>
      </c>
      <c r="K228" s="6">
        <f t="shared" si="40"/>
        <v>1</v>
      </c>
      <c r="L228" s="6">
        <f t="shared" si="41"/>
        <v>10</v>
      </c>
      <c r="M228" s="6">
        <f t="shared" si="42"/>
        <v>1</v>
      </c>
      <c r="N228" s="6" t="str">
        <f t="shared" si="36"/>
        <v>100PFA39-6200</v>
      </c>
      <c r="O228" s="6" t="str">
        <f t="shared" si="37"/>
        <v>SINGING THE CHICAGO BLUES</v>
      </c>
    </row>
    <row r="229" spans="1:15" ht="38.25">
      <c r="A229" s="4">
        <v>1</v>
      </c>
      <c r="B229" s="5" t="s">
        <v>9151</v>
      </c>
      <c r="C229" s="4" t="s">
        <v>9152</v>
      </c>
      <c r="D229" s="4">
        <v>1</v>
      </c>
      <c r="E229" s="4">
        <v>10</v>
      </c>
      <c r="F229" s="6">
        <v>1.1133999999999999</v>
      </c>
      <c r="H229">
        <f t="shared" si="38"/>
        <v>1</v>
      </c>
      <c r="I229" t="str">
        <f t="shared" si="35"/>
        <v>200PFA39-5201</v>
      </c>
      <c r="J229" s="6" t="str">
        <f t="shared" si="39"/>
        <v>SING CHICAGO BLUES 60 X 144</v>
      </c>
      <c r="K229" s="6">
        <f t="shared" si="40"/>
        <v>1</v>
      </c>
      <c r="L229" s="6">
        <f t="shared" si="41"/>
        <v>10</v>
      </c>
      <c r="M229" s="6">
        <f t="shared" si="42"/>
        <v>1.1133999999999999</v>
      </c>
      <c r="N229" s="6" t="str">
        <f t="shared" si="36"/>
        <v>100PFA39-6200</v>
      </c>
      <c r="O229" s="6" t="str">
        <f t="shared" si="37"/>
        <v>SINGING THE CHICAGO BLUES</v>
      </c>
    </row>
    <row r="230" spans="1:15" ht="38.25">
      <c r="A230" s="4">
        <v>4</v>
      </c>
      <c r="B230" s="5" t="s">
        <v>9273</v>
      </c>
      <c r="C230" s="4" t="s">
        <v>9274</v>
      </c>
      <c r="D230" s="4">
        <v>1</v>
      </c>
      <c r="E230" s="4">
        <v>91</v>
      </c>
      <c r="F230" s="6">
        <v>1</v>
      </c>
      <c r="H230">
        <f t="shared" si="38"/>
        <v>4</v>
      </c>
      <c r="I230" t="str">
        <f t="shared" si="35"/>
        <v>CBPFA39APPK6</v>
      </c>
      <c r="J230" s="6" t="str">
        <f t="shared" si="39"/>
        <v>CHICAGO BLUES LEFT LP</v>
      </c>
      <c r="K230" s="6">
        <f t="shared" si="40"/>
        <v>1</v>
      </c>
      <c r="L230" s="6">
        <f t="shared" si="41"/>
        <v>91</v>
      </c>
      <c r="M230" s="6">
        <f t="shared" si="42"/>
        <v>1</v>
      </c>
      <c r="N230" s="6" t="str">
        <f t="shared" si="36"/>
        <v>100PFA39-6200</v>
      </c>
      <c r="O230" s="6" t="str">
        <f t="shared" si="37"/>
        <v>SINGING THE CHICAGO BLUES</v>
      </c>
    </row>
    <row r="231" spans="1:15" ht="25.5">
      <c r="A231" s="4">
        <v>3</v>
      </c>
      <c r="B231" s="5" t="s">
        <v>9177</v>
      </c>
      <c r="C231" s="4" t="s">
        <v>9178</v>
      </c>
      <c r="D231" s="4">
        <v>1</v>
      </c>
      <c r="E231" s="4">
        <v>10</v>
      </c>
      <c r="F231" s="6">
        <v>1</v>
      </c>
      <c r="H231">
        <f t="shared" si="38"/>
        <v>3</v>
      </c>
      <c r="I231" t="str">
        <f t="shared" si="35"/>
        <v>J44I8948PM35</v>
      </c>
      <c r="J231" s="6" t="str">
        <f t="shared" si="39"/>
        <v>PFA39 L ARROW 41.875 X 144</v>
      </c>
      <c r="K231" s="6">
        <f t="shared" si="40"/>
        <v>1</v>
      </c>
      <c r="L231" s="6">
        <f t="shared" si="41"/>
        <v>10</v>
      </c>
      <c r="M231" s="6">
        <f t="shared" si="42"/>
        <v>1</v>
      </c>
      <c r="N231" s="6" t="str">
        <f t="shared" si="36"/>
        <v>100PFA39-6200</v>
      </c>
      <c r="O231" s="6" t="str">
        <f t="shared" si="37"/>
        <v>SINGING THE CHICAGO BLUES</v>
      </c>
    </row>
    <row r="232" spans="1:15" ht="25.5">
      <c r="A232" s="4">
        <v>2</v>
      </c>
      <c r="B232" s="5" t="s">
        <v>9179</v>
      </c>
      <c r="C232" s="4" t="s">
        <v>9180</v>
      </c>
      <c r="D232" s="4">
        <v>1</v>
      </c>
      <c r="E232" s="4">
        <v>10</v>
      </c>
      <c r="F232" s="6">
        <v>1</v>
      </c>
      <c r="H232">
        <f t="shared" si="38"/>
        <v>2</v>
      </c>
      <c r="I232" t="str">
        <f t="shared" si="35"/>
        <v>200I8948-120</v>
      </c>
      <c r="J232" s="6" t="str">
        <f t="shared" si="39"/>
        <v>PFA39 L  ARROW 43 X 145</v>
      </c>
      <c r="K232" s="6">
        <f t="shared" si="40"/>
        <v>1</v>
      </c>
      <c r="L232" s="6">
        <f t="shared" si="41"/>
        <v>10</v>
      </c>
      <c r="M232" s="6">
        <f t="shared" si="42"/>
        <v>1</v>
      </c>
      <c r="N232" s="6" t="str">
        <f t="shared" si="36"/>
        <v>100PFA39-6200</v>
      </c>
      <c r="O232" s="6" t="str">
        <f t="shared" si="37"/>
        <v>SINGING THE CHICAGO BLUES</v>
      </c>
    </row>
    <row r="233" spans="1:15" ht="38.25">
      <c r="A233" s="4">
        <v>1</v>
      </c>
      <c r="B233" s="5" t="s">
        <v>9181</v>
      </c>
      <c r="C233" s="4" t="s">
        <v>9182</v>
      </c>
      <c r="D233" s="4">
        <v>1</v>
      </c>
      <c r="E233" s="4">
        <v>10</v>
      </c>
      <c r="F233" s="6">
        <v>1.1133999999999999</v>
      </c>
      <c r="H233">
        <f t="shared" si="38"/>
        <v>1</v>
      </c>
      <c r="I233" t="str">
        <f t="shared" si="35"/>
        <v>200PFA39-12L1</v>
      </c>
      <c r="J233" s="6" t="str">
        <f t="shared" si="39"/>
        <v>SING CHICAGO BLUES (L) 43X145</v>
      </c>
      <c r="K233" s="6">
        <f t="shared" si="40"/>
        <v>1</v>
      </c>
      <c r="L233" s="6">
        <f t="shared" si="41"/>
        <v>10</v>
      </c>
      <c r="M233" s="6">
        <f t="shared" si="42"/>
        <v>1.1133999999999999</v>
      </c>
      <c r="N233" s="6" t="str">
        <f t="shared" si="36"/>
        <v>100PFA39-6200</v>
      </c>
      <c r="O233" s="6" t="str">
        <f t="shared" si="37"/>
        <v>SINGING THE CHICAGO BLUES</v>
      </c>
    </row>
    <row r="234" spans="1:15" ht="38.25">
      <c r="A234" s="4">
        <v>4</v>
      </c>
      <c r="B234" s="5" t="s">
        <v>9273</v>
      </c>
      <c r="C234" s="4" t="s">
        <v>9274</v>
      </c>
      <c r="D234" s="4">
        <v>1</v>
      </c>
      <c r="E234" s="4">
        <v>91</v>
      </c>
      <c r="F234" s="6">
        <v>3</v>
      </c>
      <c r="H234">
        <f t="shared" si="38"/>
        <v>4</v>
      </c>
      <c r="I234" t="str">
        <f t="shared" si="35"/>
        <v>CBPFA39APPK6</v>
      </c>
      <c r="J234" s="6" t="str">
        <f t="shared" si="39"/>
        <v>CHICAGO BLUES LEFT LP</v>
      </c>
      <c r="K234" s="6">
        <f t="shared" si="40"/>
        <v>1</v>
      </c>
      <c r="L234" s="6">
        <f t="shared" si="41"/>
        <v>91</v>
      </c>
      <c r="M234" s="6">
        <f t="shared" si="42"/>
        <v>3</v>
      </c>
      <c r="N234" s="6" t="str">
        <f t="shared" si="36"/>
        <v>100PFA39-6200</v>
      </c>
      <c r="O234" s="6" t="str">
        <f t="shared" si="37"/>
        <v>SINGING THE CHICAGO BLUES</v>
      </c>
    </row>
    <row r="235" spans="1:15" ht="25.5">
      <c r="A235" s="4">
        <v>3</v>
      </c>
      <c r="B235" s="5" t="s">
        <v>9183</v>
      </c>
      <c r="C235" s="4" t="s">
        <v>9184</v>
      </c>
      <c r="D235" s="4">
        <v>1</v>
      </c>
      <c r="E235" s="4">
        <v>10</v>
      </c>
      <c r="F235" s="6">
        <v>1</v>
      </c>
      <c r="H235">
        <f t="shared" si="38"/>
        <v>3</v>
      </c>
      <c r="I235" t="str">
        <f t="shared" si="35"/>
        <v>J44I8950PM61</v>
      </c>
      <c r="J235" s="6" t="str">
        <f t="shared" si="39"/>
        <v>PFA39 L COMMON  41.875 X 144</v>
      </c>
      <c r="K235" s="6">
        <f t="shared" si="40"/>
        <v>1</v>
      </c>
      <c r="L235" s="6">
        <f t="shared" si="41"/>
        <v>10</v>
      </c>
      <c r="M235" s="6">
        <f t="shared" si="42"/>
        <v>1</v>
      </c>
      <c r="N235" s="6" t="str">
        <f t="shared" si="36"/>
        <v>100PFA39-6200</v>
      </c>
      <c r="O235" s="6" t="str">
        <f t="shared" si="37"/>
        <v>SINGING THE CHICAGO BLUES</v>
      </c>
    </row>
    <row r="236" spans="1:15" ht="25.5">
      <c r="A236" s="4">
        <v>2</v>
      </c>
      <c r="B236" s="5" t="s">
        <v>9185</v>
      </c>
      <c r="C236" s="4" t="s">
        <v>9186</v>
      </c>
      <c r="D236" s="4">
        <v>1</v>
      </c>
      <c r="E236" s="4">
        <v>10</v>
      </c>
      <c r="F236" s="6">
        <v>1</v>
      </c>
      <c r="H236">
        <f t="shared" si="38"/>
        <v>2</v>
      </c>
      <c r="I236" t="str">
        <f t="shared" si="35"/>
        <v>200I8950-120</v>
      </c>
      <c r="J236" s="6" t="str">
        <f t="shared" si="39"/>
        <v>PFA39 L COMMON 43 X 145</v>
      </c>
      <c r="K236" s="6">
        <f t="shared" si="40"/>
        <v>1</v>
      </c>
      <c r="L236" s="6">
        <f t="shared" si="41"/>
        <v>10</v>
      </c>
      <c r="M236" s="6">
        <f t="shared" si="42"/>
        <v>1</v>
      </c>
      <c r="N236" s="6" t="str">
        <f t="shared" si="36"/>
        <v>100PFA39-6200</v>
      </c>
      <c r="O236" s="6" t="str">
        <f t="shared" si="37"/>
        <v>SINGING THE CHICAGO BLUES</v>
      </c>
    </row>
    <row r="237" spans="1:15" ht="38.25">
      <c r="A237" s="4">
        <v>1</v>
      </c>
      <c r="B237" s="5" t="s">
        <v>9181</v>
      </c>
      <c r="C237" s="4" t="s">
        <v>9182</v>
      </c>
      <c r="D237" s="4">
        <v>1</v>
      </c>
      <c r="E237" s="4">
        <v>10</v>
      </c>
      <c r="F237" s="6">
        <v>1.1133999999999999</v>
      </c>
      <c r="H237">
        <f t="shared" si="38"/>
        <v>1</v>
      </c>
      <c r="I237" t="str">
        <f t="shared" si="35"/>
        <v>200PFA39-12L1</v>
      </c>
      <c r="J237" s="6" t="str">
        <f t="shared" si="39"/>
        <v>SING CHICAGO BLUES (L) 43X145</v>
      </c>
      <c r="K237" s="6">
        <f t="shared" si="40"/>
        <v>1</v>
      </c>
      <c r="L237" s="6">
        <f t="shared" si="41"/>
        <v>10</v>
      </c>
      <c r="M237" s="6">
        <f t="shared" si="42"/>
        <v>1.1133999999999999</v>
      </c>
      <c r="N237" s="6" t="str">
        <f t="shared" si="36"/>
        <v>100PFA39-6200</v>
      </c>
      <c r="O237" s="6" t="str">
        <f t="shared" si="37"/>
        <v>SINGING THE CHICAGO BLUES</v>
      </c>
    </row>
    <row r="238" spans="1:15" ht="38.25">
      <c r="A238" s="4">
        <v>4</v>
      </c>
      <c r="B238" s="5" t="s">
        <v>9273</v>
      </c>
      <c r="C238" s="4" t="s">
        <v>9274</v>
      </c>
      <c r="D238" s="4">
        <v>1</v>
      </c>
      <c r="E238" s="4">
        <v>91</v>
      </c>
      <c r="F238" s="6">
        <v>1</v>
      </c>
      <c r="H238">
        <f t="shared" si="38"/>
        <v>4</v>
      </c>
      <c r="I238" t="str">
        <f t="shared" si="35"/>
        <v>CBPFA39APPK6</v>
      </c>
      <c r="J238" s="6" t="str">
        <f t="shared" si="39"/>
        <v>CHICAGO BLUES LEFT LP</v>
      </c>
      <c r="K238" s="6">
        <f t="shared" si="40"/>
        <v>1</v>
      </c>
      <c r="L238" s="6">
        <f t="shared" si="41"/>
        <v>91</v>
      </c>
      <c r="M238" s="6">
        <f t="shared" si="42"/>
        <v>1</v>
      </c>
      <c r="N238" s="6" t="str">
        <f t="shared" si="36"/>
        <v>100PFA39-6200</v>
      </c>
      <c r="O238" s="6" t="str">
        <f t="shared" si="37"/>
        <v>SINGING THE CHICAGO BLUES</v>
      </c>
    </row>
    <row r="239" spans="1:15" ht="25.5">
      <c r="A239" s="4">
        <v>3</v>
      </c>
      <c r="B239" s="5" t="s">
        <v>9187</v>
      </c>
      <c r="C239" s="4" t="s">
        <v>9188</v>
      </c>
      <c r="D239" s="4">
        <v>1</v>
      </c>
      <c r="E239" s="4">
        <v>10</v>
      </c>
      <c r="F239" s="6">
        <v>0.33329999999999999</v>
      </c>
      <c r="H239">
        <f t="shared" si="38"/>
        <v>3</v>
      </c>
      <c r="I239" t="str">
        <f t="shared" si="35"/>
        <v>J44I8952PM37</v>
      </c>
      <c r="J239" s="6" t="str">
        <f t="shared" si="39"/>
        <v>PFA39 L SHORT 41.875 X 47.125</v>
      </c>
      <c r="K239" s="6">
        <f t="shared" si="40"/>
        <v>1</v>
      </c>
      <c r="L239" s="6">
        <f t="shared" si="41"/>
        <v>10</v>
      </c>
      <c r="M239" s="6">
        <f t="shared" si="42"/>
        <v>0.33329999999999999</v>
      </c>
      <c r="N239" s="6" t="str">
        <f t="shared" si="36"/>
        <v>100PFA39-6200</v>
      </c>
      <c r="O239" s="6" t="str">
        <f t="shared" si="37"/>
        <v>SINGING THE CHICAGO BLUES</v>
      </c>
    </row>
    <row r="240" spans="1:15" ht="25.5">
      <c r="A240" s="4">
        <v>2</v>
      </c>
      <c r="B240" s="5" t="s">
        <v>9185</v>
      </c>
      <c r="C240" s="4" t="s">
        <v>9186</v>
      </c>
      <c r="D240" s="4">
        <v>1</v>
      </c>
      <c r="E240" s="4">
        <v>10</v>
      </c>
      <c r="F240" s="6">
        <v>1</v>
      </c>
      <c r="H240">
        <f t="shared" si="38"/>
        <v>2</v>
      </c>
      <c r="I240" t="str">
        <f t="shared" si="35"/>
        <v>200I8950-120</v>
      </c>
      <c r="J240" s="6" t="str">
        <f t="shared" si="39"/>
        <v>PFA39 L COMMON 43 X 145</v>
      </c>
      <c r="K240" s="6">
        <f t="shared" si="40"/>
        <v>1</v>
      </c>
      <c r="L240" s="6">
        <f t="shared" si="41"/>
        <v>10</v>
      </c>
      <c r="M240" s="6">
        <f t="shared" si="42"/>
        <v>1</v>
      </c>
      <c r="N240" s="6" t="str">
        <f t="shared" si="36"/>
        <v>100PFA39-6200</v>
      </c>
      <c r="O240" s="6" t="str">
        <f t="shared" si="37"/>
        <v>SINGING THE CHICAGO BLUES</v>
      </c>
    </row>
    <row r="241" spans="1:15" ht="38.25">
      <c r="A241" s="4">
        <v>1</v>
      </c>
      <c r="B241" s="5" t="s">
        <v>9181</v>
      </c>
      <c r="C241" s="4" t="s">
        <v>9182</v>
      </c>
      <c r="D241" s="4">
        <v>1</v>
      </c>
      <c r="E241" s="4">
        <v>10</v>
      </c>
      <c r="F241" s="6">
        <v>1.1133999999999999</v>
      </c>
      <c r="H241">
        <f t="shared" si="38"/>
        <v>1</v>
      </c>
      <c r="I241" t="str">
        <f t="shared" si="35"/>
        <v>200PFA39-12L1</v>
      </c>
      <c r="J241" s="6" t="str">
        <f t="shared" si="39"/>
        <v>SING CHICAGO BLUES (L) 43X145</v>
      </c>
      <c r="K241" s="6">
        <f t="shared" si="40"/>
        <v>1</v>
      </c>
      <c r="L241" s="6">
        <f t="shared" si="41"/>
        <v>10</v>
      </c>
      <c r="M241" s="6">
        <f t="shared" si="42"/>
        <v>1.1133999999999999</v>
      </c>
      <c r="N241" s="6" t="str">
        <f t="shared" si="36"/>
        <v>100PFA39-6200</v>
      </c>
      <c r="O241" s="6" t="str">
        <f t="shared" si="37"/>
        <v>SINGING THE CHICAGO BLUES</v>
      </c>
    </row>
    <row r="242" spans="1:15" ht="38.25">
      <c r="A242" s="4">
        <v>4</v>
      </c>
      <c r="B242" s="5" t="s">
        <v>9275</v>
      </c>
      <c r="C242" s="4" t="s">
        <v>9276</v>
      </c>
      <c r="D242" s="4">
        <v>1</v>
      </c>
      <c r="E242" s="4">
        <v>91</v>
      </c>
      <c r="F242" s="6">
        <v>1</v>
      </c>
      <c r="H242">
        <f t="shared" si="38"/>
        <v>4</v>
      </c>
      <c r="I242" t="str">
        <f t="shared" si="35"/>
        <v>CBPFA39APPK7</v>
      </c>
      <c r="J242" s="6" t="str">
        <f t="shared" si="39"/>
        <v>CHICAGO BLUES NG 2LP</v>
      </c>
      <c r="K242" s="6">
        <f t="shared" si="40"/>
        <v>1</v>
      </c>
      <c r="L242" s="6">
        <f t="shared" si="41"/>
        <v>91</v>
      </c>
      <c r="M242" s="6">
        <f t="shared" si="42"/>
        <v>1</v>
      </c>
      <c r="N242" s="6" t="str">
        <f t="shared" si="36"/>
        <v>100PFA39-6200</v>
      </c>
      <c r="O242" s="6" t="str">
        <f t="shared" si="37"/>
        <v>SINGING THE CHICAGO BLUES</v>
      </c>
    </row>
    <row r="243" spans="1:15" ht="25.5">
      <c r="A243" s="4">
        <v>3</v>
      </c>
      <c r="B243" s="5" t="s">
        <v>9277</v>
      </c>
      <c r="C243" s="4" t="s">
        <v>9278</v>
      </c>
      <c r="D243" s="4">
        <v>1</v>
      </c>
      <c r="E243" s="4">
        <v>10</v>
      </c>
      <c r="F243" s="6">
        <v>1</v>
      </c>
      <c r="H243">
        <f t="shared" si="38"/>
        <v>3</v>
      </c>
      <c r="I243" t="str">
        <f t="shared" si="35"/>
        <v>J56I8944AM31</v>
      </c>
      <c r="J243" s="6" t="str">
        <f t="shared" si="39"/>
        <v>PFA39 NG TEX L APP 59.641X144</v>
      </c>
      <c r="K243" s="6">
        <f t="shared" si="40"/>
        <v>1</v>
      </c>
      <c r="L243" s="6">
        <f t="shared" si="41"/>
        <v>10</v>
      </c>
      <c r="M243" s="6">
        <f t="shared" si="42"/>
        <v>1</v>
      </c>
      <c r="N243" s="6" t="str">
        <f t="shared" si="36"/>
        <v>100PFA39-6200</v>
      </c>
      <c r="O243" s="6" t="str">
        <f t="shared" si="37"/>
        <v>SINGING THE CHICAGO BLUES</v>
      </c>
    </row>
    <row r="244" spans="1:15" ht="25.5">
      <c r="A244" s="4">
        <v>2</v>
      </c>
      <c r="B244" s="5" t="s">
        <v>9149</v>
      </c>
      <c r="C244" s="4" t="s">
        <v>9150</v>
      </c>
      <c r="D244" s="4">
        <v>1</v>
      </c>
      <c r="E244" s="4">
        <v>10</v>
      </c>
      <c r="F244" s="6">
        <v>1</v>
      </c>
      <c r="H244">
        <f t="shared" si="38"/>
        <v>2</v>
      </c>
      <c r="I244" t="str">
        <f t="shared" si="35"/>
        <v>200I8944-520</v>
      </c>
      <c r="J244" s="6" t="str">
        <f t="shared" si="39"/>
        <v>PFA39 LEFT APPR 60 X 144</v>
      </c>
      <c r="K244" s="6">
        <f t="shared" si="40"/>
        <v>1</v>
      </c>
      <c r="L244" s="6">
        <f t="shared" si="41"/>
        <v>10</v>
      </c>
      <c r="M244" s="6">
        <f t="shared" si="42"/>
        <v>1</v>
      </c>
      <c r="N244" s="6" t="str">
        <f t="shared" si="36"/>
        <v>100PFA39-6200</v>
      </c>
      <c r="O244" s="6" t="str">
        <f t="shared" si="37"/>
        <v>SINGING THE CHICAGO BLUES</v>
      </c>
    </row>
    <row r="245" spans="1:15" ht="38.25">
      <c r="A245" s="4">
        <v>1</v>
      </c>
      <c r="B245" s="5" t="s">
        <v>9151</v>
      </c>
      <c r="C245" s="4" t="s">
        <v>9152</v>
      </c>
      <c r="D245" s="4">
        <v>1</v>
      </c>
      <c r="E245" s="4">
        <v>10</v>
      </c>
      <c r="F245" s="6">
        <v>1.1133999999999999</v>
      </c>
      <c r="H245">
        <f t="shared" si="38"/>
        <v>1</v>
      </c>
      <c r="I245" t="str">
        <f t="shared" si="35"/>
        <v>200PFA39-5201</v>
      </c>
      <c r="J245" s="6" t="str">
        <f t="shared" si="39"/>
        <v>SING CHICAGO BLUES 60 X 144</v>
      </c>
      <c r="K245" s="6">
        <f t="shared" si="40"/>
        <v>1</v>
      </c>
      <c r="L245" s="6">
        <f t="shared" si="41"/>
        <v>10</v>
      </c>
      <c r="M245" s="6">
        <f t="shared" si="42"/>
        <v>1.1133999999999999</v>
      </c>
      <c r="N245" s="6" t="str">
        <f t="shared" si="36"/>
        <v>100PFA39-6200</v>
      </c>
      <c r="O245" s="6" t="str">
        <f t="shared" si="37"/>
        <v>SINGING THE CHICAGO BLUES</v>
      </c>
    </row>
    <row r="246" spans="1:15" ht="38.25">
      <c r="A246" s="4">
        <v>4</v>
      </c>
      <c r="B246" s="5" t="s">
        <v>9275</v>
      </c>
      <c r="C246" s="4" t="s">
        <v>9276</v>
      </c>
      <c r="D246" s="4">
        <v>1</v>
      </c>
      <c r="E246" s="4">
        <v>91</v>
      </c>
      <c r="F246" s="6">
        <v>1</v>
      </c>
      <c r="H246">
        <f t="shared" si="38"/>
        <v>4</v>
      </c>
      <c r="I246" t="str">
        <f t="shared" si="35"/>
        <v>CBPFA39APPK7</v>
      </c>
      <c r="J246" s="6" t="str">
        <f t="shared" si="39"/>
        <v>CHICAGO BLUES NG 2LP</v>
      </c>
      <c r="K246" s="6">
        <f t="shared" si="40"/>
        <v>1</v>
      </c>
      <c r="L246" s="6">
        <f t="shared" si="41"/>
        <v>91</v>
      </c>
      <c r="M246" s="6">
        <f t="shared" si="42"/>
        <v>1</v>
      </c>
      <c r="N246" s="6" t="str">
        <f t="shared" si="36"/>
        <v>100PFA39-6200</v>
      </c>
      <c r="O246" s="6" t="str">
        <f t="shared" si="37"/>
        <v>SINGING THE CHICAGO BLUES</v>
      </c>
    </row>
    <row r="247" spans="1:15" ht="25.5">
      <c r="A247" s="4">
        <v>3</v>
      </c>
      <c r="B247" s="5" t="s">
        <v>9279</v>
      </c>
      <c r="C247" s="4" t="s">
        <v>9280</v>
      </c>
      <c r="D247" s="4">
        <v>1</v>
      </c>
      <c r="E247" s="4">
        <v>10</v>
      </c>
      <c r="F247" s="6">
        <v>1</v>
      </c>
      <c r="H247">
        <f t="shared" si="38"/>
        <v>3</v>
      </c>
      <c r="I247" t="str">
        <f t="shared" si="35"/>
        <v>J56I8945AM30</v>
      </c>
      <c r="J247" s="6" t="str">
        <f t="shared" si="39"/>
        <v>PFA39 NG TEX R APP 59.641X144</v>
      </c>
      <c r="K247" s="6">
        <f t="shared" si="40"/>
        <v>1</v>
      </c>
      <c r="L247" s="6">
        <f t="shared" si="41"/>
        <v>10</v>
      </c>
      <c r="M247" s="6">
        <f t="shared" si="42"/>
        <v>1</v>
      </c>
      <c r="N247" s="6" t="str">
        <f t="shared" si="36"/>
        <v>100PFA39-6200</v>
      </c>
      <c r="O247" s="6" t="str">
        <f t="shared" si="37"/>
        <v>SINGING THE CHICAGO BLUES</v>
      </c>
    </row>
    <row r="248" spans="1:15" ht="25.5">
      <c r="A248" s="4">
        <v>2</v>
      </c>
      <c r="B248" s="5" t="s">
        <v>9155</v>
      </c>
      <c r="C248" s="4" t="s">
        <v>9156</v>
      </c>
      <c r="D248" s="4">
        <v>1</v>
      </c>
      <c r="E248" s="4">
        <v>10</v>
      </c>
      <c r="F248" s="6">
        <v>1</v>
      </c>
      <c r="H248">
        <f t="shared" si="38"/>
        <v>2</v>
      </c>
      <c r="I248" t="str">
        <f t="shared" si="35"/>
        <v>200I8945-520</v>
      </c>
      <c r="J248" s="6" t="str">
        <f t="shared" si="39"/>
        <v>PFA39 RIGHT APPR 60 X 144</v>
      </c>
      <c r="K248" s="6">
        <f t="shared" si="40"/>
        <v>1</v>
      </c>
      <c r="L248" s="6">
        <f t="shared" si="41"/>
        <v>10</v>
      </c>
      <c r="M248" s="6">
        <f t="shared" si="42"/>
        <v>1</v>
      </c>
      <c r="N248" s="6" t="str">
        <f t="shared" si="36"/>
        <v>100PFA39-6200</v>
      </c>
      <c r="O248" s="6" t="str">
        <f t="shared" si="37"/>
        <v>SINGING THE CHICAGO BLUES</v>
      </c>
    </row>
    <row r="249" spans="1:15" ht="38.25">
      <c r="A249" s="4">
        <v>1</v>
      </c>
      <c r="B249" s="5" t="s">
        <v>9151</v>
      </c>
      <c r="C249" s="4" t="s">
        <v>9152</v>
      </c>
      <c r="D249" s="4">
        <v>1</v>
      </c>
      <c r="E249" s="4">
        <v>10</v>
      </c>
      <c r="F249" s="6">
        <v>1.1133999999999999</v>
      </c>
      <c r="H249">
        <f t="shared" si="38"/>
        <v>1</v>
      </c>
      <c r="I249" t="str">
        <f t="shared" si="35"/>
        <v>200PFA39-5201</v>
      </c>
      <c r="J249" s="6" t="str">
        <f t="shared" si="39"/>
        <v>SING CHICAGO BLUES 60 X 144</v>
      </c>
      <c r="K249" s="6">
        <f t="shared" si="40"/>
        <v>1</v>
      </c>
      <c r="L249" s="6">
        <f t="shared" si="41"/>
        <v>10</v>
      </c>
      <c r="M249" s="6">
        <f t="shared" si="42"/>
        <v>1.1133999999999999</v>
      </c>
      <c r="N249" s="6" t="str">
        <f t="shared" si="36"/>
        <v>100PFA39-6200</v>
      </c>
      <c r="O249" s="6" t="str">
        <f t="shared" si="37"/>
        <v>SINGING THE CHICAGO BLUES</v>
      </c>
    </row>
    <row r="250" spans="1:15" ht="38.25">
      <c r="A250" s="4">
        <v>4</v>
      </c>
      <c r="B250" s="5" t="s">
        <v>9275</v>
      </c>
      <c r="C250" s="4" t="s">
        <v>9276</v>
      </c>
      <c r="D250" s="4">
        <v>1</v>
      </c>
      <c r="E250" s="4">
        <v>91</v>
      </c>
      <c r="F250" s="6">
        <v>1</v>
      </c>
      <c r="H250">
        <f t="shared" si="38"/>
        <v>4</v>
      </c>
      <c r="I250" t="str">
        <f t="shared" si="35"/>
        <v>CBPFA39APPK7</v>
      </c>
      <c r="J250" s="6" t="str">
        <f t="shared" si="39"/>
        <v>CHICAGO BLUES NG 2LP</v>
      </c>
      <c r="K250" s="6">
        <f t="shared" si="40"/>
        <v>1</v>
      </c>
      <c r="L250" s="6">
        <f t="shared" si="41"/>
        <v>91</v>
      </c>
      <c r="M250" s="6">
        <f t="shared" si="42"/>
        <v>1</v>
      </c>
      <c r="N250" s="6" t="str">
        <f t="shared" si="36"/>
        <v>100PFA39-6200</v>
      </c>
      <c r="O250" s="6" t="str">
        <f t="shared" si="37"/>
        <v>SINGING THE CHICAGO BLUES</v>
      </c>
    </row>
    <row r="251" spans="1:15" ht="25.5">
      <c r="A251" s="4">
        <v>3</v>
      </c>
      <c r="B251" s="5" t="s">
        <v>9281</v>
      </c>
      <c r="C251" s="4" t="s">
        <v>9282</v>
      </c>
      <c r="D251" s="4">
        <v>1</v>
      </c>
      <c r="E251" s="4">
        <v>10</v>
      </c>
      <c r="F251" s="6">
        <v>1</v>
      </c>
      <c r="H251">
        <f t="shared" si="38"/>
        <v>3</v>
      </c>
      <c r="I251" t="str">
        <f t="shared" si="35"/>
        <v>J56I8946QM33</v>
      </c>
      <c r="J251" s="6" t="str">
        <f t="shared" si="39"/>
        <v>PFA39 NG D/F L FOUL 59.641X144</v>
      </c>
      <c r="K251" s="6">
        <f t="shared" si="40"/>
        <v>1</v>
      </c>
      <c r="L251" s="6">
        <f t="shared" si="41"/>
        <v>10</v>
      </c>
      <c r="M251" s="6">
        <f t="shared" si="42"/>
        <v>1</v>
      </c>
      <c r="N251" s="6" t="str">
        <f t="shared" si="36"/>
        <v>100PFA39-6200</v>
      </c>
      <c r="O251" s="6" t="str">
        <f t="shared" si="37"/>
        <v>SINGING THE CHICAGO BLUES</v>
      </c>
    </row>
    <row r="252" spans="1:15" ht="25.5">
      <c r="A252" s="4">
        <v>2</v>
      </c>
      <c r="B252" s="5" t="s">
        <v>9159</v>
      </c>
      <c r="C252" s="4" t="s">
        <v>9160</v>
      </c>
      <c r="D252" s="4">
        <v>1</v>
      </c>
      <c r="E252" s="4">
        <v>10</v>
      </c>
      <c r="F252" s="6">
        <v>1</v>
      </c>
      <c r="H252">
        <f t="shared" si="38"/>
        <v>2</v>
      </c>
      <c r="I252" t="str">
        <f t="shared" si="35"/>
        <v>200I8946-520</v>
      </c>
      <c r="J252" s="6" t="str">
        <f t="shared" si="39"/>
        <v>PFA39 LEFT FOUL 60 X 144</v>
      </c>
      <c r="K252" s="6">
        <f t="shared" si="40"/>
        <v>1</v>
      </c>
      <c r="L252" s="6">
        <f t="shared" si="41"/>
        <v>10</v>
      </c>
      <c r="M252" s="6">
        <f t="shared" si="42"/>
        <v>1</v>
      </c>
      <c r="N252" s="6" t="str">
        <f t="shared" si="36"/>
        <v>100PFA39-6200</v>
      </c>
      <c r="O252" s="6" t="str">
        <f t="shared" si="37"/>
        <v>SINGING THE CHICAGO BLUES</v>
      </c>
    </row>
    <row r="253" spans="1:15" ht="38.25">
      <c r="A253" s="4">
        <v>1</v>
      </c>
      <c r="B253" s="5" t="s">
        <v>9151</v>
      </c>
      <c r="C253" s="4" t="s">
        <v>9152</v>
      </c>
      <c r="D253" s="4">
        <v>1</v>
      </c>
      <c r="E253" s="4">
        <v>10</v>
      </c>
      <c r="F253" s="6">
        <v>1.1133999999999999</v>
      </c>
      <c r="H253">
        <f t="shared" si="38"/>
        <v>1</v>
      </c>
      <c r="I253" t="str">
        <f t="shared" si="35"/>
        <v>200PFA39-5201</v>
      </c>
      <c r="J253" s="6" t="str">
        <f t="shared" si="39"/>
        <v>SING CHICAGO BLUES 60 X 144</v>
      </c>
      <c r="K253" s="6">
        <f t="shared" si="40"/>
        <v>1</v>
      </c>
      <c r="L253" s="6">
        <f t="shared" si="41"/>
        <v>10</v>
      </c>
      <c r="M253" s="6">
        <f t="shared" si="42"/>
        <v>1.1133999999999999</v>
      </c>
      <c r="N253" s="6" t="str">
        <f t="shared" si="36"/>
        <v>100PFA39-6200</v>
      </c>
      <c r="O253" s="6" t="str">
        <f t="shared" si="37"/>
        <v>SINGING THE CHICAGO BLUES</v>
      </c>
    </row>
    <row r="254" spans="1:15" ht="38.25">
      <c r="A254" s="4">
        <v>4</v>
      </c>
      <c r="B254" s="5" t="s">
        <v>9275</v>
      </c>
      <c r="C254" s="4" t="s">
        <v>9276</v>
      </c>
      <c r="D254" s="4">
        <v>1</v>
      </c>
      <c r="E254" s="4">
        <v>91</v>
      </c>
      <c r="F254" s="6">
        <v>1</v>
      </c>
      <c r="H254">
        <f t="shared" si="38"/>
        <v>4</v>
      </c>
      <c r="I254" t="str">
        <f t="shared" si="35"/>
        <v>CBPFA39APPK7</v>
      </c>
      <c r="J254" s="6" t="str">
        <f t="shared" si="39"/>
        <v>CHICAGO BLUES NG 2LP</v>
      </c>
      <c r="K254" s="6">
        <f t="shared" si="40"/>
        <v>1</v>
      </c>
      <c r="L254" s="6">
        <f t="shared" si="41"/>
        <v>91</v>
      </c>
      <c r="M254" s="6">
        <f t="shared" si="42"/>
        <v>1</v>
      </c>
      <c r="N254" s="6" t="str">
        <f t="shared" si="36"/>
        <v>100PFA39-6200</v>
      </c>
      <c r="O254" s="6" t="str">
        <f t="shared" si="37"/>
        <v>SINGING THE CHICAGO BLUES</v>
      </c>
    </row>
    <row r="255" spans="1:15" ht="25.5">
      <c r="A255" s="4">
        <v>3</v>
      </c>
      <c r="B255" s="5" t="s">
        <v>9283</v>
      </c>
      <c r="C255" s="4" t="s">
        <v>9284</v>
      </c>
      <c r="D255" s="4">
        <v>1</v>
      </c>
      <c r="E255" s="4">
        <v>10</v>
      </c>
      <c r="F255" s="6">
        <v>1</v>
      </c>
      <c r="H255">
        <f t="shared" si="38"/>
        <v>3</v>
      </c>
      <c r="I255" t="str">
        <f t="shared" si="35"/>
        <v>J56I8947QM32</v>
      </c>
      <c r="J255" s="6" t="str">
        <f t="shared" si="39"/>
        <v>PFA39 NG D/F R FOUL 59.641X144</v>
      </c>
      <c r="K255" s="6">
        <f t="shared" si="40"/>
        <v>1</v>
      </c>
      <c r="L255" s="6">
        <f t="shared" si="41"/>
        <v>10</v>
      </c>
      <c r="M255" s="6">
        <f t="shared" si="42"/>
        <v>1</v>
      </c>
      <c r="N255" s="6" t="str">
        <f t="shared" si="36"/>
        <v>100PFA39-6200</v>
      </c>
      <c r="O255" s="6" t="str">
        <f t="shared" si="37"/>
        <v>SINGING THE CHICAGO BLUES</v>
      </c>
    </row>
    <row r="256" spans="1:15" ht="25.5">
      <c r="A256" s="4">
        <v>2</v>
      </c>
      <c r="B256" s="5" t="s">
        <v>9163</v>
      </c>
      <c r="C256" s="4" t="s">
        <v>9164</v>
      </c>
      <c r="D256" s="4">
        <v>1</v>
      </c>
      <c r="E256" s="4">
        <v>10</v>
      </c>
      <c r="F256" s="6">
        <v>1</v>
      </c>
      <c r="H256">
        <f t="shared" si="38"/>
        <v>2</v>
      </c>
      <c r="I256" t="str">
        <f t="shared" si="35"/>
        <v>200I8947-520</v>
      </c>
      <c r="J256" s="6" t="str">
        <f t="shared" si="39"/>
        <v>PFA39 RIGHT FOUL 60 X 144</v>
      </c>
      <c r="K256" s="6">
        <f t="shared" si="40"/>
        <v>1</v>
      </c>
      <c r="L256" s="6">
        <f t="shared" si="41"/>
        <v>10</v>
      </c>
      <c r="M256" s="6">
        <f t="shared" si="42"/>
        <v>1</v>
      </c>
      <c r="N256" s="6" t="str">
        <f t="shared" si="36"/>
        <v>100PFA39-6200</v>
      </c>
      <c r="O256" s="6" t="str">
        <f t="shared" si="37"/>
        <v>SINGING THE CHICAGO BLUES</v>
      </c>
    </row>
    <row r="257" spans="1:15" ht="38.25">
      <c r="A257" s="4">
        <v>1</v>
      </c>
      <c r="B257" s="5" t="s">
        <v>9151</v>
      </c>
      <c r="C257" s="4" t="s">
        <v>9152</v>
      </c>
      <c r="D257" s="4">
        <v>1</v>
      </c>
      <c r="E257" s="4">
        <v>10</v>
      </c>
      <c r="F257" s="6">
        <v>1.1133999999999999</v>
      </c>
      <c r="H257">
        <f t="shared" si="38"/>
        <v>1</v>
      </c>
      <c r="I257" t="str">
        <f t="shared" si="35"/>
        <v>200PFA39-5201</v>
      </c>
      <c r="J257" s="6" t="str">
        <f t="shared" si="39"/>
        <v>SING CHICAGO BLUES 60 X 144</v>
      </c>
      <c r="K257" s="6">
        <f t="shared" si="40"/>
        <v>1</v>
      </c>
      <c r="L257" s="6">
        <f t="shared" si="41"/>
        <v>10</v>
      </c>
      <c r="M257" s="6">
        <f t="shared" si="42"/>
        <v>1.1133999999999999</v>
      </c>
      <c r="N257" s="6" t="str">
        <f t="shared" si="36"/>
        <v>100PFA39-6200</v>
      </c>
      <c r="O257" s="6" t="str">
        <f t="shared" si="37"/>
        <v>SINGING THE CHICAGO BLUES</v>
      </c>
    </row>
    <row r="258" spans="1:15" ht="38.25">
      <c r="A258" s="4">
        <v>4</v>
      </c>
      <c r="B258" s="5" t="s">
        <v>9275</v>
      </c>
      <c r="C258" s="4" t="s">
        <v>9276</v>
      </c>
      <c r="D258" s="4">
        <v>1</v>
      </c>
      <c r="E258" s="4">
        <v>91</v>
      </c>
      <c r="F258" s="6">
        <v>1</v>
      </c>
      <c r="H258">
        <f t="shared" si="38"/>
        <v>4</v>
      </c>
      <c r="I258" t="str">
        <f t="shared" si="35"/>
        <v>CBPFA39APPK7</v>
      </c>
      <c r="J258" s="6" t="str">
        <f t="shared" si="39"/>
        <v>CHICAGO BLUES NG 2LP</v>
      </c>
      <c r="K258" s="6">
        <f t="shared" si="40"/>
        <v>1</v>
      </c>
      <c r="L258" s="6">
        <f t="shared" si="41"/>
        <v>91</v>
      </c>
      <c r="M258" s="6">
        <f t="shared" si="42"/>
        <v>1</v>
      </c>
      <c r="N258" s="6" t="str">
        <f t="shared" si="36"/>
        <v>100PFA39-6200</v>
      </c>
      <c r="O258" s="6" t="str">
        <f t="shared" si="37"/>
        <v>SINGING THE CHICAGO BLUES</v>
      </c>
    </row>
    <row r="259" spans="1:15" ht="25.5">
      <c r="A259" s="4">
        <v>3</v>
      </c>
      <c r="B259" s="5" t="s">
        <v>9285</v>
      </c>
      <c r="C259" s="4" t="s">
        <v>9286</v>
      </c>
      <c r="D259" s="4">
        <v>1</v>
      </c>
      <c r="E259" s="4">
        <v>10</v>
      </c>
      <c r="F259" s="6">
        <v>1</v>
      </c>
      <c r="H259">
        <f t="shared" si="38"/>
        <v>3</v>
      </c>
      <c r="I259" t="str">
        <f t="shared" si="35"/>
        <v>J56I8949PM34</v>
      </c>
      <c r="J259" s="6" t="str">
        <f t="shared" si="39"/>
        <v>PFA39 NG R ARROW 41.875X144</v>
      </c>
      <c r="K259" s="6">
        <f t="shared" si="40"/>
        <v>1</v>
      </c>
      <c r="L259" s="6">
        <f t="shared" si="41"/>
        <v>10</v>
      </c>
      <c r="M259" s="6">
        <f t="shared" si="42"/>
        <v>1</v>
      </c>
      <c r="N259" s="6" t="str">
        <f t="shared" si="36"/>
        <v>100PFA39-6200</v>
      </c>
      <c r="O259" s="6" t="str">
        <f t="shared" si="37"/>
        <v>SINGING THE CHICAGO BLUES</v>
      </c>
    </row>
    <row r="260" spans="1:15" ht="25.5">
      <c r="A260" s="4">
        <v>2</v>
      </c>
      <c r="B260" s="5" t="s">
        <v>9167</v>
      </c>
      <c r="C260" s="4" t="s">
        <v>9168</v>
      </c>
      <c r="D260" s="4">
        <v>1</v>
      </c>
      <c r="E260" s="4">
        <v>10</v>
      </c>
      <c r="F260" s="6">
        <v>1</v>
      </c>
      <c r="H260">
        <f t="shared" si="38"/>
        <v>2</v>
      </c>
      <c r="I260" t="str">
        <f t="shared" si="35"/>
        <v>200I8949-120</v>
      </c>
      <c r="J260" s="6" t="str">
        <f t="shared" si="39"/>
        <v>PFA39 R  ARROW 43 X 145</v>
      </c>
      <c r="K260" s="6">
        <f t="shared" si="40"/>
        <v>1</v>
      </c>
      <c r="L260" s="6">
        <f t="shared" si="41"/>
        <v>10</v>
      </c>
      <c r="M260" s="6">
        <f t="shared" si="42"/>
        <v>1</v>
      </c>
      <c r="N260" s="6" t="str">
        <f t="shared" si="36"/>
        <v>100PFA39-6200</v>
      </c>
      <c r="O260" s="6" t="str">
        <f t="shared" si="37"/>
        <v>SINGING THE CHICAGO BLUES</v>
      </c>
    </row>
    <row r="261" spans="1:15" ht="38.25">
      <c r="A261" s="4">
        <v>1</v>
      </c>
      <c r="B261" s="5" t="s">
        <v>9169</v>
      </c>
      <c r="C261" s="4" t="s">
        <v>9170</v>
      </c>
      <c r="D261" s="4">
        <v>1</v>
      </c>
      <c r="E261" s="4">
        <v>10</v>
      </c>
      <c r="F261" s="6">
        <v>1.1133999999999999</v>
      </c>
      <c r="H261">
        <f t="shared" si="38"/>
        <v>1</v>
      </c>
      <c r="I261" t="str">
        <f t="shared" si="35"/>
        <v>200PFA39-12R1</v>
      </c>
      <c r="J261" s="6" t="str">
        <f t="shared" si="39"/>
        <v>SING CHICAGO BLUES (R) 43X145</v>
      </c>
      <c r="K261" s="6">
        <f t="shared" si="40"/>
        <v>1</v>
      </c>
      <c r="L261" s="6">
        <f t="shared" si="41"/>
        <v>10</v>
      </c>
      <c r="M261" s="6">
        <f t="shared" si="42"/>
        <v>1.1133999999999999</v>
      </c>
      <c r="N261" s="6" t="str">
        <f t="shared" si="36"/>
        <v>100PFA39-6200</v>
      </c>
      <c r="O261" s="6" t="str">
        <f t="shared" si="37"/>
        <v>SINGING THE CHICAGO BLUES</v>
      </c>
    </row>
    <row r="262" spans="1:15" ht="38.25">
      <c r="A262" s="4">
        <v>4</v>
      </c>
      <c r="B262" s="5" t="s">
        <v>9275</v>
      </c>
      <c r="C262" s="4" t="s">
        <v>9276</v>
      </c>
      <c r="D262" s="4">
        <v>1</v>
      </c>
      <c r="E262" s="4">
        <v>91</v>
      </c>
      <c r="F262" s="6">
        <v>3</v>
      </c>
      <c r="H262">
        <f t="shared" si="38"/>
        <v>4</v>
      </c>
      <c r="I262" t="str">
        <f t="shared" si="35"/>
        <v>CBPFA39APPK7</v>
      </c>
      <c r="J262" s="6" t="str">
        <f t="shared" si="39"/>
        <v>CHICAGO BLUES NG 2LP</v>
      </c>
      <c r="K262" s="6">
        <f t="shared" si="40"/>
        <v>1</v>
      </c>
      <c r="L262" s="6">
        <f t="shared" si="41"/>
        <v>91</v>
      </c>
      <c r="M262" s="6">
        <f t="shared" si="42"/>
        <v>3</v>
      </c>
      <c r="N262" s="6" t="str">
        <f t="shared" si="36"/>
        <v>100PFA39-6200</v>
      </c>
      <c r="O262" s="6" t="str">
        <f t="shared" si="37"/>
        <v>SINGING THE CHICAGO BLUES</v>
      </c>
    </row>
    <row r="263" spans="1:15" ht="25.5">
      <c r="A263" s="4">
        <v>3</v>
      </c>
      <c r="B263" s="5" t="s">
        <v>9287</v>
      </c>
      <c r="C263" s="4" t="s">
        <v>9288</v>
      </c>
      <c r="D263" s="4">
        <v>1</v>
      </c>
      <c r="E263" s="4">
        <v>10</v>
      </c>
      <c r="F263" s="6">
        <v>1</v>
      </c>
      <c r="H263">
        <f t="shared" si="38"/>
        <v>3</v>
      </c>
      <c r="I263" t="str">
        <f t="shared" ref="I263:I326" si="43">IFERROR(IF(SEARCH(" &lt;-",B263,1),LEFT(B263,SEARCH(" ",B263,1)-1),""),LEFT(B263,SEARCH("View",B263,1)-1))</f>
        <v>J56I8951PM61</v>
      </c>
      <c r="J263" s="6" t="str">
        <f t="shared" si="39"/>
        <v>PFA39 NG R COMMON  41.875X144</v>
      </c>
      <c r="K263" s="6">
        <f t="shared" si="40"/>
        <v>1</v>
      </c>
      <c r="L263" s="6">
        <f t="shared" si="41"/>
        <v>10</v>
      </c>
      <c r="M263" s="6">
        <f t="shared" si="42"/>
        <v>1</v>
      </c>
      <c r="N263" s="6" t="str">
        <f t="shared" ref="N263:N326" si="44">TRIM($B$1)</f>
        <v>100PFA39-6200</v>
      </c>
      <c r="O263" s="6" t="str">
        <f t="shared" ref="O263:O326" si="45">TRIM($C$1)</f>
        <v>SINGING THE CHICAGO BLUES</v>
      </c>
    </row>
    <row r="264" spans="1:15" ht="25.5">
      <c r="A264" s="4">
        <v>2</v>
      </c>
      <c r="B264" s="5" t="s">
        <v>9173</v>
      </c>
      <c r="C264" s="4" t="s">
        <v>9174</v>
      </c>
      <c r="D264" s="4">
        <v>1</v>
      </c>
      <c r="E264" s="4">
        <v>10</v>
      </c>
      <c r="F264" s="6">
        <v>1</v>
      </c>
      <c r="H264">
        <f t="shared" si="38"/>
        <v>2</v>
      </c>
      <c r="I264" t="str">
        <f t="shared" si="43"/>
        <v>200I8951-120</v>
      </c>
      <c r="J264" s="6" t="str">
        <f t="shared" si="39"/>
        <v>PFA39 R COMMON 43 X 145</v>
      </c>
      <c r="K264" s="6">
        <f t="shared" si="40"/>
        <v>1</v>
      </c>
      <c r="L264" s="6">
        <f t="shared" si="41"/>
        <v>10</v>
      </c>
      <c r="M264" s="6">
        <f t="shared" si="42"/>
        <v>1</v>
      </c>
      <c r="N264" s="6" t="str">
        <f t="shared" si="44"/>
        <v>100PFA39-6200</v>
      </c>
      <c r="O264" s="6" t="str">
        <f t="shared" si="45"/>
        <v>SINGING THE CHICAGO BLUES</v>
      </c>
    </row>
    <row r="265" spans="1:15" ht="38.25">
      <c r="A265" s="4">
        <v>1</v>
      </c>
      <c r="B265" s="5" t="s">
        <v>9169</v>
      </c>
      <c r="C265" s="4" t="s">
        <v>9170</v>
      </c>
      <c r="D265" s="4">
        <v>1</v>
      </c>
      <c r="E265" s="4">
        <v>10</v>
      </c>
      <c r="F265" s="6">
        <v>1.1133999999999999</v>
      </c>
      <c r="H265">
        <f t="shared" si="38"/>
        <v>1</v>
      </c>
      <c r="I265" t="str">
        <f t="shared" si="43"/>
        <v>200PFA39-12R1</v>
      </c>
      <c r="J265" s="6" t="str">
        <f t="shared" si="39"/>
        <v>SING CHICAGO BLUES (R) 43X145</v>
      </c>
      <c r="K265" s="6">
        <f t="shared" si="40"/>
        <v>1</v>
      </c>
      <c r="L265" s="6">
        <f t="shared" si="41"/>
        <v>10</v>
      </c>
      <c r="M265" s="6">
        <f t="shared" si="42"/>
        <v>1.1133999999999999</v>
      </c>
      <c r="N265" s="6" t="str">
        <f t="shared" si="44"/>
        <v>100PFA39-6200</v>
      </c>
      <c r="O265" s="6" t="str">
        <f t="shared" si="45"/>
        <v>SINGING THE CHICAGO BLUES</v>
      </c>
    </row>
    <row r="266" spans="1:15" ht="38.25">
      <c r="A266" s="4">
        <v>4</v>
      </c>
      <c r="B266" s="5" t="s">
        <v>9275</v>
      </c>
      <c r="C266" s="4" t="s">
        <v>9276</v>
      </c>
      <c r="D266" s="4">
        <v>1</v>
      </c>
      <c r="E266" s="4">
        <v>91</v>
      </c>
      <c r="F266" s="6">
        <v>1</v>
      </c>
      <c r="H266">
        <f t="shared" si="38"/>
        <v>4</v>
      </c>
      <c r="I266" t="str">
        <f t="shared" si="43"/>
        <v>CBPFA39APPK7</v>
      </c>
      <c r="J266" s="6" t="str">
        <f t="shared" si="39"/>
        <v>CHICAGO BLUES NG 2LP</v>
      </c>
      <c r="K266" s="6">
        <f t="shared" si="40"/>
        <v>1</v>
      </c>
      <c r="L266" s="6">
        <f t="shared" si="41"/>
        <v>91</v>
      </c>
      <c r="M266" s="6">
        <f t="shared" si="42"/>
        <v>1</v>
      </c>
      <c r="N266" s="6" t="str">
        <f t="shared" si="44"/>
        <v>100PFA39-6200</v>
      </c>
      <c r="O266" s="6" t="str">
        <f t="shared" si="45"/>
        <v>SINGING THE CHICAGO BLUES</v>
      </c>
    </row>
    <row r="267" spans="1:15" ht="25.5">
      <c r="A267" s="4">
        <v>3</v>
      </c>
      <c r="B267" s="5" t="s">
        <v>9289</v>
      </c>
      <c r="C267" s="4" t="s">
        <v>9290</v>
      </c>
      <c r="D267" s="4">
        <v>1</v>
      </c>
      <c r="E267" s="4">
        <v>10</v>
      </c>
      <c r="F267" s="6">
        <v>0.33329999999999999</v>
      </c>
      <c r="H267">
        <f t="shared" si="38"/>
        <v>3</v>
      </c>
      <c r="I267" t="str">
        <f t="shared" si="43"/>
        <v>J56I8953PM36</v>
      </c>
      <c r="J267" s="6" t="str">
        <f t="shared" si="39"/>
        <v>PFA39 NG R SHORT 41.87 5X47.12</v>
      </c>
      <c r="K267" s="6">
        <f t="shared" si="40"/>
        <v>1</v>
      </c>
      <c r="L267" s="6">
        <f t="shared" si="41"/>
        <v>10</v>
      </c>
      <c r="M267" s="6">
        <f t="shared" si="42"/>
        <v>0.33329999999999999</v>
      </c>
      <c r="N267" s="6" t="str">
        <f t="shared" si="44"/>
        <v>100PFA39-6200</v>
      </c>
      <c r="O267" s="6" t="str">
        <f t="shared" si="45"/>
        <v>SINGING THE CHICAGO BLUES</v>
      </c>
    </row>
    <row r="268" spans="1:15" ht="25.5">
      <c r="A268" s="4">
        <v>2</v>
      </c>
      <c r="B268" s="5" t="s">
        <v>9173</v>
      </c>
      <c r="C268" s="4" t="s">
        <v>9174</v>
      </c>
      <c r="D268" s="4">
        <v>1</v>
      </c>
      <c r="E268" s="4">
        <v>10</v>
      </c>
      <c r="F268" s="6">
        <v>1</v>
      </c>
      <c r="H268">
        <f t="shared" si="38"/>
        <v>2</v>
      </c>
      <c r="I268" t="str">
        <f t="shared" si="43"/>
        <v>200I8951-120</v>
      </c>
      <c r="J268" s="6" t="str">
        <f t="shared" si="39"/>
        <v>PFA39 R COMMON 43 X 145</v>
      </c>
      <c r="K268" s="6">
        <f t="shared" si="40"/>
        <v>1</v>
      </c>
      <c r="L268" s="6">
        <f t="shared" si="41"/>
        <v>10</v>
      </c>
      <c r="M268" s="6">
        <f t="shared" si="42"/>
        <v>1</v>
      </c>
      <c r="N268" s="6" t="str">
        <f t="shared" si="44"/>
        <v>100PFA39-6200</v>
      </c>
      <c r="O268" s="6" t="str">
        <f t="shared" si="45"/>
        <v>SINGING THE CHICAGO BLUES</v>
      </c>
    </row>
    <row r="269" spans="1:15" ht="38.25">
      <c r="A269" s="4">
        <v>1</v>
      </c>
      <c r="B269" s="5" t="s">
        <v>9169</v>
      </c>
      <c r="C269" s="4" t="s">
        <v>9170</v>
      </c>
      <c r="D269" s="4">
        <v>1</v>
      </c>
      <c r="E269" s="4">
        <v>10</v>
      </c>
      <c r="F269" s="6">
        <v>1.1133999999999999</v>
      </c>
      <c r="H269">
        <f t="shared" si="38"/>
        <v>1</v>
      </c>
      <c r="I269" t="str">
        <f t="shared" si="43"/>
        <v>200PFA39-12R1</v>
      </c>
      <c r="J269" s="6" t="str">
        <f t="shared" si="39"/>
        <v>SING CHICAGO BLUES (R) 43X145</v>
      </c>
      <c r="K269" s="6">
        <f t="shared" si="40"/>
        <v>1</v>
      </c>
      <c r="L269" s="6">
        <f t="shared" si="41"/>
        <v>10</v>
      </c>
      <c r="M269" s="6">
        <f t="shared" si="42"/>
        <v>1.1133999999999999</v>
      </c>
      <c r="N269" s="6" t="str">
        <f t="shared" si="44"/>
        <v>100PFA39-6200</v>
      </c>
      <c r="O269" s="6" t="str">
        <f t="shared" si="45"/>
        <v>SINGING THE CHICAGO BLUES</v>
      </c>
    </row>
    <row r="270" spans="1:15" ht="38.25">
      <c r="A270" s="4">
        <v>4</v>
      </c>
      <c r="B270" s="5" t="s">
        <v>9275</v>
      </c>
      <c r="C270" s="4" t="s">
        <v>9276</v>
      </c>
      <c r="D270" s="4">
        <v>1</v>
      </c>
      <c r="E270" s="4">
        <v>91</v>
      </c>
      <c r="F270" s="6">
        <v>1</v>
      </c>
      <c r="H270">
        <f t="shared" si="38"/>
        <v>4</v>
      </c>
      <c r="I270" t="str">
        <f t="shared" si="43"/>
        <v>CBPFA39APPK7</v>
      </c>
      <c r="J270" s="6" t="str">
        <f t="shared" si="39"/>
        <v>CHICAGO BLUES NG 2LP</v>
      </c>
      <c r="K270" s="6">
        <f t="shared" si="40"/>
        <v>1</v>
      </c>
      <c r="L270" s="6">
        <f t="shared" si="41"/>
        <v>91</v>
      </c>
      <c r="M270" s="6">
        <f t="shared" si="42"/>
        <v>1</v>
      </c>
      <c r="N270" s="6" t="str">
        <f t="shared" si="44"/>
        <v>100PFA39-6200</v>
      </c>
      <c r="O270" s="6" t="str">
        <f t="shared" si="45"/>
        <v>SINGING THE CHICAGO BLUES</v>
      </c>
    </row>
    <row r="271" spans="1:15" ht="25.5">
      <c r="A271" s="4">
        <v>3</v>
      </c>
      <c r="B271" s="5" t="s">
        <v>9291</v>
      </c>
      <c r="C271" s="4" t="s">
        <v>9292</v>
      </c>
      <c r="D271" s="4">
        <v>1</v>
      </c>
      <c r="E271" s="4">
        <v>10</v>
      </c>
      <c r="F271" s="6">
        <v>1</v>
      </c>
      <c r="H271">
        <f t="shared" si="38"/>
        <v>3</v>
      </c>
      <c r="I271" t="str">
        <f t="shared" si="43"/>
        <v>J56I8948PM35</v>
      </c>
      <c r="J271" s="6" t="str">
        <f t="shared" si="39"/>
        <v>PFA39 NG L ARROW 41.875X144</v>
      </c>
      <c r="K271" s="6">
        <f t="shared" si="40"/>
        <v>1</v>
      </c>
      <c r="L271" s="6">
        <f t="shared" si="41"/>
        <v>10</v>
      </c>
      <c r="M271" s="6">
        <f t="shared" si="42"/>
        <v>1</v>
      </c>
      <c r="N271" s="6" t="str">
        <f t="shared" si="44"/>
        <v>100PFA39-6200</v>
      </c>
      <c r="O271" s="6" t="str">
        <f t="shared" si="45"/>
        <v>SINGING THE CHICAGO BLUES</v>
      </c>
    </row>
    <row r="272" spans="1:15" ht="25.5">
      <c r="A272" s="4">
        <v>2</v>
      </c>
      <c r="B272" s="5" t="s">
        <v>9179</v>
      </c>
      <c r="C272" s="4" t="s">
        <v>9180</v>
      </c>
      <c r="D272" s="4">
        <v>1</v>
      </c>
      <c r="E272" s="4">
        <v>10</v>
      </c>
      <c r="F272" s="6">
        <v>1</v>
      </c>
      <c r="H272">
        <f t="shared" si="38"/>
        <v>2</v>
      </c>
      <c r="I272" t="str">
        <f t="shared" si="43"/>
        <v>200I8948-120</v>
      </c>
      <c r="J272" s="6" t="str">
        <f t="shared" si="39"/>
        <v>PFA39 L  ARROW 43 X 145</v>
      </c>
      <c r="K272" s="6">
        <f t="shared" si="40"/>
        <v>1</v>
      </c>
      <c r="L272" s="6">
        <f t="shared" si="41"/>
        <v>10</v>
      </c>
      <c r="M272" s="6">
        <f t="shared" si="42"/>
        <v>1</v>
      </c>
      <c r="N272" s="6" t="str">
        <f t="shared" si="44"/>
        <v>100PFA39-6200</v>
      </c>
      <c r="O272" s="6" t="str">
        <f t="shared" si="45"/>
        <v>SINGING THE CHICAGO BLUES</v>
      </c>
    </row>
    <row r="273" spans="1:15" ht="38.25">
      <c r="A273" s="4">
        <v>1</v>
      </c>
      <c r="B273" s="5" t="s">
        <v>9181</v>
      </c>
      <c r="C273" s="4" t="s">
        <v>9182</v>
      </c>
      <c r="D273" s="4">
        <v>1</v>
      </c>
      <c r="E273" s="4">
        <v>10</v>
      </c>
      <c r="F273" s="6">
        <v>1.1133999999999999</v>
      </c>
      <c r="H273">
        <f t="shared" si="38"/>
        <v>1</v>
      </c>
      <c r="I273" t="str">
        <f t="shared" si="43"/>
        <v>200PFA39-12L1</v>
      </c>
      <c r="J273" s="6" t="str">
        <f t="shared" si="39"/>
        <v>SING CHICAGO BLUES (L) 43X145</v>
      </c>
      <c r="K273" s="6">
        <f t="shared" si="40"/>
        <v>1</v>
      </c>
      <c r="L273" s="6">
        <f t="shared" si="41"/>
        <v>10</v>
      </c>
      <c r="M273" s="6">
        <f t="shared" si="42"/>
        <v>1.1133999999999999</v>
      </c>
      <c r="N273" s="6" t="str">
        <f t="shared" si="44"/>
        <v>100PFA39-6200</v>
      </c>
      <c r="O273" s="6" t="str">
        <f t="shared" si="45"/>
        <v>SINGING THE CHICAGO BLUES</v>
      </c>
    </row>
    <row r="274" spans="1:15" ht="38.25">
      <c r="A274" s="4">
        <v>4</v>
      </c>
      <c r="B274" s="5" t="s">
        <v>9275</v>
      </c>
      <c r="C274" s="4" t="s">
        <v>9276</v>
      </c>
      <c r="D274" s="4">
        <v>1</v>
      </c>
      <c r="E274" s="4">
        <v>91</v>
      </c>
      <c r="F274" s="6">
        <v>3</v>
      </c>
      <c r="H274">
        <f t="shared" si="38"/>
        <v>4</v>
      </c>
      <c r="I274" t="str">
        <f t="shared" si="43"/>
        <v>CBPFA39APPK7</v>
      </c>
      <c r="J274" s="6" t="str">
        <f t="shared" si="39"/>
        <v>CHICAGO BLUES NG 2LP</v>
      </c>
      <c r="K274" s="6">
        <f t="shared" si="40"/>
        <v>1</v>
      </c>
      <c r="L274" s="6">
        <f t="shared" si="41"/>
        <v>91</v>
      </c>
      <c r="M274" s="6">
        <f t="shared" si="42"/>
        <v>3</v>
      </c>
      <c r="N274" s="6" t="str">
        <f t="shared" si="44"/>
        <v>100PFA39-6200</v>
      </c>
      <c r="O274" s="6" t="str">
        <f t="shared" si="45"/>
        <v>SINGING THE CHICAGO BLUES</v>
      </c>
    </row>
    <row r="275" spans="1:15" ht="25.5">
      <c r="A275" s="4">
        <v>3</v>
      </c>
      <c r="B275" s="5" t="s">
        <v>9293</v>
      </c>
      <c r="C275" s="4" t="s">
        <v>9294</v>
      </c>
      <c r="D275" s="4">
        <v>1</v>
      </c>
      <c r="E275" s="4">
        <v>10</v>
      </c>
      <c r="F275" s="6">
        <v>1</v>
      </c>
      <c r="H275">
        <f t="shared" si="38"/>
        <v>3</v>
      </c>
      <c r="I275" t="str">
        <f t="shared" si="43"/>
        <v>J56I8950PM61</v>
      </c>
      <c r="J275" s="6" t="str">
        <f t="shared" si="39"/>
        <v>PFA39 NG L COMMON  41.875X144</v>
      </c>
      <c r="K275" s="6">
        <f t="shared" si="40"/>
        <v>1</v>
      </c>
      <c r="L275" s="6">
        <f t="shared" si="41"/>
        <v>10</v>
      </c>
      <c r="M275" s="6">
        <f t="shared" si="42"/>
        <v>1</v>
      </c>
      <c r="N275" s="6" t="str">
        <f t="shared" si="44"/>
        <v>100PFA39-6200</v>
      </c>
      <c r="O275" s="6" t="str">
        <f t="shared" si="45"/>
        <v>SINGING THE CHICAGO BLUES</v>
      </c>
    </row>
    <row r="276" spans="1:15" ht="25.5">
      <c r="A276" s="4">
        <v>2</v>
      </c>
      <c r="B276" s="5" t="s">
        <v>9185</v>
      </c>
      <c r="C276" s="4" t="s">
        <v>9186</v>
      </c>
      <c r="D276" s="4">
        <v>1</v>
      </c>
      <c r="E276" s="4">
        <v>10</v>
      </c>
      <c r="F276" s="6">
        <v>1</v>
      </c>
      <c r="H276">
        <f t="shared" si="38"/>
        <v>2</v>
      </c>
      <c r="I276" t="str">
        <f t="shared" si="43"/>
        <v>200I8950-120</v>
      </c>
      <c r="J276" s="6" t="str">
        <f t="shared" si="39"/>
        <v>PFA39 L COMMON 43 X 145</v>
      </c>
      <c r="K276" s="6">
        <f t="shared" si="40"/>
        <v>1</v>
      </c>
      <c r="L276" s="6">
        <f t="shared" si="41"/>
        <v>10</v>
      </c>
      <c r="M276" s="6">
        <f t="shared" si="42"/>
        <v>1</v>
      </c>
      <c r="N276" s="6" t="str">
        <f t="shared" si="44"/>
        <v>100PFA39-6200</v>
      </c>
      <c r="O276" s="6" t="str">
        <f t="shared" si="45"/>
        <v>SINGING THE CHICAGO BLUES</v>
      </c>
    </row>
    <row r="277" spans="1:15" ht="38.25">
      <c r="A277" s="4">
        <v>1</v>
      </c>
      <c r="B277" s="5" t="s">
        <v>9181</v>
      </c>
      <c r="C277" s="4" t="s">
        <v>9182</v>
      </c>
      <c r="D277" s="4">
        <v>1</v>
      </c>
      <c r="E277" s="4">
        <v>10</v>
      </c>
      <c r="F277" s="6">
        <v>1.1133999999999999</v>
      </c>
      <c r="H277">
        <f t="shared" si="38"/>
        <v>1</v>
      </c>
      <c r="I277" t="str">
        <f t="shared" si="43"/>
        <v>200PFA39-12L1</v>
      </c>
      <c r="J277" s="6" t="str">
        <f t="shared" si="39"/>
        <v>SING CHICAGO BLUES (L) 43X145</v>
      </c>
      <c r="K277" s="6">
        <f t="shared" si="40"/>
        <v>1</v>
      </c>
      <c r="L277" s="6">
        <f t="shared" si="41"/>
        <v>10</v>
      </c>
      <c r="M277" s="6">
        <f t="shared" si="42"/>
        <v>1.1133999999999999</v>
      </c>
      <c r="N277" s="6" t="str">
        <f t="shared" si="44"/>
        <v>100PFA39-6200</v>
      </c>
      <c r="O277" s="6" t="str">
        <f t="shared" si="45"/>
        <v>SINGING THE CHICAGO BLUES</v>
      </c>
    </row>
    <row r="278" spans="1:15" ht="38.25">
      <c r="A278" s="4">
        <v>4</v>
      </c>
      <c r="B278" s="5" t="s">
        <v>9275</v>
      </c>
      <c r="C278" s="4" t="s">
        <v>9276</v>
      </c>
      <c r="D278" s="4">
        <v>1</v>
      </c>
      <c r="E278" s="4">
        <v>91</v>
      </c>
      <c r="F278" s="6">
        <v>1</v>
      </c>
      <c r="H278">
        <f t="shared" si="38"/>
        <v>4</v>
      </c>
      <c r="I278" t="str">
        <f t="shared" si="43"/>
        <v>CBPFA39APPK7</v>
      </c>
      <c r="J278" s="6" t="str">
        <f t="shared" si="39"/>
        <v>CHICAGO BLUES NG 2LP</v>
      </c>
      <c r="K278" s="6">
        <f t="shared" si="40"/>
        <v>1</v>
      </c>
      <c r="L278" s="6">
        <f t="shared" si="41"/>
        <v>91</v>
      </c>
      <c r="M278" s="6">
        <f t="shared" si="42"/>
        <v>1</v>
      </c>
      <c r="N278" s="6" t="str">
        <f t="shared" si="44"/>
        <v>100PFA39-6200</v>
      </c>
      <c r="O278" s="6" t="str">
        <f t="shared" si="45"/>
        <v>SINGING THE CHICAGO BLUES</v>
      </c>
    </row>
    <row r="279" spans="1:15" ht="25.5">
      <c r="A279" s="4">
        <v>3</v>
      </c>
      <c r="B279" s="5" t="s">
        <v>9295</v>
      </c>
      <c r="C279" s="4" t="s">
        <v>9296</v>
      </c>
      <c r="D279" s="4">
        <v>1</v>
      </c>
      <c r="E279" s="4">
        <v>10</v>
      </c>
      <c r="F279" s="6">
        <v>0.33329999999999999</v>
      </c>
      <c r="H279">
        <f t="shared" si="38"/>
        <v>3</v>
      </c>
      <c r="I279" t="str">
        <f t="shared" si="43"/>
        <v>J56I8952PM37</v>
      </c>
      <c r="J279" s="6" t="str">
        <f t="shared" si="39"/>
        <v>PFA39 NG L SHORT 41.875X47.125</v>
      </c>
      <c r="K279" s="6">
        <f t="shared" si="40"/>
        <v>1</v>
      </c>
      <c r="L279" s="6">
        <f t="shared" si="41"/>
        <v>10</v>
      </c>
      <c r="M279" s="6">
        <f t="shared" si="42"/>
        <v>0.33329999999999999</v>
      </c>
      <c r="N279" s="6" t="str">
        <f t="shared" si="44"/>
        <v>100PFA39-6200</v>
      </c>
      <c r="O279" s="6" t="str">
        <f t="shared" si="45"/>
        <v>SINGING THE CHICAGO BLUES</v>
      </c>
    </row>
    <row r="280" spans="1:15" ht="25.5">
      <c r="A280" s="4">
        <v>2</v>
      </c>
      <c r="B280" s="5" t="s">
        <v>9185</v>
      </c>
      <c r="C280" s="4" t="s">
        <v>9186</v>
      </c>
      <c r="D280" s="4">
        <v>1</v>
      </c>
      <c r="E280" s="4">
        <v>10</v>
      </c>
      <c r="F280" s="6">
        <v>1</v>
      </c>
      <c r="H280">
        <f t="shared" si="38"/>
        <v>2</v>
      </c>
      <c r="I280" t="str">
        <f t="shared" si="43"/>
        <v>200I8950-120</v>
      </c>
      <c r="J280" s="6" t="str">
        <f t="shared" si="39"/>
        <v>PFA39 L COMMON 43 X 145</v>
      </c>
      <c r="K280" s="6">
        <f t="shared" si="40"/>
        <v>1</v>
      </c>
      <c r="L280" s="6">
        <f t="shared" si="41"/>
        <v>10</v>
      </c>
      <c r="M280" s="6">
        <f t="shared" si="42"/>
        <v>1</v>
      </c>
      <c r="N280" s="6" t="str">
        <f t="shared" si="44"/>
        <v>100PFA39-6200</v>
      </c>
      <c r="O280" s="6" t="str">
        <f t="shared" si="45"/>
        <v>SINGING THE CHICAGO BLUES</v>
      </c>
    </row>
    <row r="281" spans="1:15" ht="38.25">
      <c r="A281" s="4">
        <v>1</v>
      </c>
      <c r="B281" s="5" t="s">
        <v>9181</v>
      </c>
      <c r="C281" s="4" t="s">
        <v>9182</v>
      </c>
      <c r="D281" s="4">
        <v>1</v>
      </c>
      <c r="E281" s="4">
        <v>10</v>
      </c>
      <c r="F281" s="6">
        <v>1.1133999999999999</v>
      </c>
      <c r="H281">
        <f t="shared" si="38"/>
        <v>1</v>
      </c>
      <c r="I281" t="str">
        <f t="shared" si="43"/>
        <v>200PFA39-12L1</v>
      </c>
      <c r="J281" s="6" t="str">
        <f t="shared" si="39"/>
        <v>SING CHICAGO BLUES (L) 43X145</v>
      </c>
      <c r="K281" s="6">
        <f t="shared" si="40"/>
        <v>1</v>
      </c>
      <c r="L281" s="6">
        <f t="shared" si="41"/>
        <v>10</v>
      </c>
      <c r="M281" s="6">
        <f t="shared" si="42"/>
        <v>1.1133999999999999</v>
      </c>
      <c r="N281" s="6" t="str">
        <f t="shared" si="44"/>
        <v>100PFA39-6200</v>
      </c>
      <c r="O281" s="6" t="str">
        <f t="shared" si="45"/>
        <v>SINGING THE CHICAGO BLUES</v>
      </c>
    </row>
    <row r="282" spans="1:15" ht="25.5">
      <c r="A282" s="4">
        <v>2</v>
      </c>
      <c r="B282" s="5" t="s">
        <v>9297</v>
      </c>
      <c r="C282" s="4" t="s">
        <v>9298</v>
      </c>
      <c r="D282" s="4">
        <v>1</v>
      </c>
      <c r="E282" s="4">
        <v>10</v>
      </c>
      <c r="F282" s="6">
        <v>2</v>
      </c>
      <c r="H282">
        <f t="shared" si="38"/>
        <v>2</v>
      </c>
      <c r="I282" t="str">
        <f t="shared" si="43"/>
        <v>D69PFA39N500</v>
      </c>
      <c r="J282" s="6" t="str">
        <f t="shared" si="39"/>
        <v>SING CHICAGO BLUES 60 X 120</v>
      </c>
      <c r="K282" s="6">
        <f t="shared" si="40"/>
        <v>1</v>
      </c>
      <c r="L282" s="6">
        <f t="shared" si="41"/>
        <v>10</v>
      </c>
      <c r="M282" s="6">
        <f t="shared" si="42"/>
        <v>2</v>
      </c>
      <c r="N282" s="6" t="str">
        <f t="shared" si="44"/>
        <v>100PFA39-6200</v>
      </c>
      <c r="O282" s="6" t="str">
        <f t="shared" si="45"/>
        <v>SINGING THE CHICAGO BLUES</v>
      </c>
    </row>
    <row r="283" spans="1:15" ht="38.25">
      <c r="A283" s="4">
        <v>1</v>
      </c>
      <c r="B283" s="5" t="s">
        <v>9299</v>
      </c>
      <c r="C283" s="4" t="s">
        <v>9298</v>
      </c>
      <c r="D283" s="4">
        <v>1</v>
      </c>
      <c r="E283" s="4">
        <v>10</v>
      </c>
      <c r="F283" s="6">
        <v>0.93140000000000001</v>
      </c>
      <c r="H283">
        <f t="shared" si="38"/>
        <v>1</v>
      </c>
      <c r="I283" t="str">
        <f t="shared" si="43"/>
        <v>200PFA39-5001</v>
      </c>
      <c r="J283" s="6" t="str">
        <f t="shared" si="39"/>
        <v>SING CHICAGO BLUES 60 X 120</v>
      </c>
      <c r="K283" s="6">
        <f t="shared" si="40"/>
        <v>1</v>
      </c>
      <c r="L283" s="6">
        <f t="shared" si="41"/>
        <v>10</v>
      </c>
      <c r="M283" s="6">
        <f t="shared" si="42"/>
        <v>0.93140000000000001</v>
      </c>
      <c r="N283" s="6" t="str">
        <f t="shared" si="44"/>
        <v>100PFA39-6200</v>
      </c>
      <c r="O283" s="6" t="str">
        <f t="shared" si="45"/>
        <v>SINGING THE CHICAGO BLUES</v>
      </c>
    </row>
    <row r="284" spans="1:15" ht="25.5">
      <c r="A284" s="4">
        <v>2</v>
      </c>
      <c r="B284" s="5" t="s">
        <v>9300</v>
      </c>
      <c r="C284" s="4" t="s">
        <v>9152</v>
      </c>
      <c r="D284" s="4">
        <v>1</v>
      </c>
      <c r="E284" s="4">
        <v>10</v>
      </c>
      <c r="F284" s="6">
        <v>2</v>
      </c>
      <c r="H284">
        <f t="shared" si="38"/>
        <v>2</v>
      </c>
      <c r="I284" t="str">
        <f t="shared" si="43"/>
        <v>D69PFA39N520</v>
      </c>
      <c r="J284" s="6" t="str">
        <f t="shared" si="39"/>
        <v>SING CHICAGO BLUES 60 X 144</v>
      </c>
      <c r="K284" s="6">
        <f t="shared" si="40"/>
        <v>1</v>
      </c>
      <c r="L284" s="6">
        <f t="shared" si="41"/>
        <v>10</v>
      </c>
      <c r="M284" s="6">
        <f t="shared" si="42"/>
        <v>2</v>
      </c>
      <c r="N284" s="6" t="str">
        <f t="shared" si="44"/>
        <v>100PFA39-6200</v>
      </c>
      <c r="O284" s="6" t="str">
        <f t="shared" si="45"/>
        <v>SINGING THE CHICAGO BLUES</v>
      </c>
    </row>
    <row r="285" spans="1:15" ht="38.25">
      <c r="A285" s="4">
        <v>1</v>
      </c>
      <c r="B285" s="5" t="s">
        <v>9151</v>
      </c>
      <c r="C285" s="4" t="s">
        <v>9152</v>
      </c>
      <c r="D285" s="4">
        <v>1</v>
      </c>
      <c r="E285" s="4">
        <v>10</v>
      </c>
      <c r="F285" s="6">
        <v>1.1133999999999999</v>
      </c>
      <c r="H285">
        <f t="shared" si="38"/>
        <v>1</v>
      </c>
      <c r="I285" t="str">
        <f t="shared" si="43"/>
        <v>200PFA39-5201</v>
      </c>
      <c r="J285" s="6" t="str">
        <f t="shared" si="39"/>
        <v>SING CHICAGO BLUES 60 X 144</v>
      </c>
      <c r="K285" s="6">
        <f t="shared" si="40"/>
        <v>1</v>
      </c>
      <c r="L285" s="6">
        <f t="shared" si="41"/>
        <v>10</v>
      </c>
      <c r="M285" s="6">
        <f t="shared" si="42"/>
        <v>1.1133999999999999</v>
      </c>
      <c r="N285" s="6" t="str">
        <f t="shared" si="44"/>
        <v>100PFA39-6200</v>
      </c>
      <c r="O285" s="6" t="str">
        <f t="shared" si="45"/>
        <v>SINGING THE CHICAGO BLUES</v>
      </c>
    </row>
    <row r="286" spans="1:15" ht="38.25">
      <c r="A286" s="4">
        <v>2</v>
      </c>
      <c r="B286" s="5" t="s">
        <v>9301</v>
      </c>
      <c r="C286" s="4" t="s">
        <v>9302</v>
      </c>
      <c r="D286" s="4">
        <v>1</v>
      </c>
      <c r="E286" s="4">
        <v>10</v>
      </c>
      <c r="F286" s="6">
        <v>1</v>
      </c>
      <c r="H286">
        <f t="shared" si="38"/>
        <v>2</v>
      </c>
      <c r="I286" t="str">
        <f t="shared" si="43"/>
        <v>EF31PFA390T-5200</v>
      </c>
      <c r="J286" s="6" t="str">
        <f t="shared" si="39"/>
        <v>SING CHICAGO BLUES</v>
      </c>
      <c r="K286" s="6">
        <f t="shared" si="40"/>
        <v>1</v>
      </c>
      <c r="L286" s="6">
        <f t="shared" si="41"/>
        <v>10</v>
      </c>
      <c r="M286" s="6">
        <f t="shared" si="42"/>
        <v>1</v>
      </c>
      <c r="N286" s="6" t="str">
        <f t="shared" si="44"/>
        <v>100PFA39-6200</v>
      </c>
      <c r="O286" s="6" t="str">
        <f t="shared" si="45"/>
        <v>SINGING THE CHICAGO BLUES</v>
      </c>
    </row>
    <row r="287" spans="1:15" ht="38.25">
      <c r="A287" s="4">
        <v>1</v>
      </c>
      <c r="B287" s="5" t="s">
        <v>9151</v>
      </c>
      <c r="C287" s="4" t="s">
        <v>9152</v>
      </c>
      <c r="D287" s="4">
        <v>1</v>
      </c>
      <c r="E287" s="4">
        <v>10</v>
      </c>
      <c r="F287" s="6">
        <v>1.1133999999999999</v>
      </c>
      <c r="H287">
        <f t="shared" si="38"/>
        <v>1</v>
      </c>
      <c r="I287" t="str">
        <f t="shared" si="43"/>
        <v>200PFA39-5201</v>
      </c>
      <c r="J287" s="6" t="str">
        <f t="shared" si="39"/>
        <v>SING CHICAGO BLUES 60 X 144</v>
      </c>
      <c r="K287" s="6">
        <f t="shared" si="40"/>
        <v>1</v>
      </c>
      <c r="L287" s="6">
        <f t="shared" si="41"/>
        <v>10</v>
      </c>
      <c r="M287" s="6">
        <f t="shared" si="42"/>
        <v>1.1133999999999999</v>
      </c>
      <c r="N287" s="6" t="str">
        <f t="shared" si="44"/>
        <v>100PFA39-6200</v>
      </c>
      <c r="O287" s="6" t="str">
        <f t="shared" si="45"/>
        <v>SINGING THE CHICAGO BLUES</v>
      </c>
    </row>
    <row r="288" spans="1:15" ht="38.25">
      <c r="A288" s="4">
        <v>2</v>
      </c>
      <c r="B288" s="5" t="s">
        <v>9303</v>
      </c>
      <c r="C288" s="4" t="s">
        <v>9304</v>
      </c>
      <c r="D288" s="4">
        <v>1</v>
      </c>
      <c r="E288" s="4">
        <v>10</v>
      </c>
      <c r="F288" s="6">
        <v>1</v>
      </c>
      <c r="H288">
        <f t="shared" ref="H288:H351" si="46">A288</f>
        <v>2</v>
      </c>
      <c r="I288" t="str">
        <f t="shared" si="43"/>
        <v>F28PFA39GL5801</v>
      </c>
      <c r="J288" s="6" t="str">
        <f t="shared" ref="J288:J351" si="47">C288</f>
        <v>SING CHICAGO BLUES 60 X 96</v>
      </c>
      <c r="K288" s="6">
        <f t="shared" ref="K288:K351" si="48">D288</f>
        <v>1</v>
      </c>
      <c r="L288" s="6">
        <f t="shared" ref="L288:L351" si="49">E288</f>
        <v>10</v>
      </c>
      <c r="M288" s="6">
        <f t="shared" ref="M288:M351" si="50">F288</f>
        <v>1</v>
      </c>
      <c r="N288" s="6" t="str">
        <f t="shared" si="44"/>
        <v>100PFA39-6200</v>
      </c>
      <c r="O288" s="6" t="str">
        <f t="shared" si="45"/>
        <v>SINGING THE CHICAGO BLUES</v>
      </c>
    </row>
    <row r="289" spans="1:15" ht="38.25">
      <c r="A289" s="4">
        <v>1</v>
      </c>
      <c r="B289" s="5" t="s">
        <v>9151</v>
      </c>
      <c r="C289" s="4" t="s">
        <v>9152</v>
      </c>
      <c r="D289" s="4">
        <v>1</v>
      </c>
      <c r="E289" s="4">
        <v>10</v>
      </c>
      <c r="F289" s="6">
        <v>1.1133999999999999</v>
      </c>
      <c r="H289">
        <f t="shared" si="46"/>
        <v>1</v>
      </c>
      <c r="I289" t="str">
        <f t="shared" si="43"/>
        <v>200PFA39-5201</v>
      </c>
      <c r="J289" s="6" t="str">
        <f t="shared" si="47"/>
        <v>SING CHICAGO BLUES 60 X 144</v>
      </c>
      <c r="K289" s="6">
        <f t="shared" si="48"/>
        <v>1</v>
      </c>
      <c r="L289" s="6">
        <f t="shared" si="49"/>
        <v>10</v>
      </c>
      <c r="M289" s="6">
        <f t="shared" si="50"/>
        <v>1.1133999999999999</v>
      </c>
      <c r="N289" s="6" t="str">
        <f t="shared" si="44"/>
        <v>100PFA39-6200</v>
      </c>
      <c r="O289" s="6" t="str">
        <f t="shared" si="45"/>
        <v>SINGING THE CHICAGO BLUES</v>
      </c>
    </row>
    <row r="290" spans="1:15" ht="25.5">
      <c r="A290" s="4">
        <v>2</v>
      </c>
      <c r="B290" s="5" t="s">
        <v>9305</v>
      </c>
      <c r="C290" s="4" t="s">
        <v>9152</v>
      </c>
      <c r="D290" s="4">
        <v>1</v>
      </c>
      <c r="E290" s="4">
        <v>10</v>
      </c>
      <c r="F290" s="6">
        <v>1</v>
      </c>
      <c r="H290">
        <f t="shared" si="46"/>
        <v>2</v>
      </c>
      <c r="I290" t="str">
        <f t="shared" si="43"/>
        <v>F28PFA39J520</v>
      </c>
      <c r="J290" s="6" t="str">
        <f t="shared" si="47"/>
        <v>SING CHICAGO BLUES 60 X 144</v>
      </c>
      <c r="K290" s="6">
        <f t="shared" si="48"/>
        <v>1</v>
      </c>
      <c r="L290" s="6">
        <f t="shared" si="49"/>
        <v>10</v>
      </c>
      <c r="M290" s="6">
        <f t="shared" si="50"/>
        <v>1</v>
      </c>
      <c r="N290" s="6" t="str">
        <f t="shared" si="44"/>
        <v>100PFA39-6200</v>
      </c>
      <c r="O290" s="6" t="str">
        <f t="shared" si="45"/>
        <v>SINGING THE CHICAGO BLUES</v>
      </c>
    </row>
    <row r="291" spans="1:15" ht="38.25">
      <c r="A291" s="4">
        <v>1</v>
      </c>
      <c r="B291" s="5" t="s">
        <v>9151</v>
      </c>
      <c r="C291" s="4" t="s">
        <v>9152</v>
      </c>
      <c r="D291" s="4">
        <v>1</v>
      </c>
      <c r="E291" s="4">
        <v>10</v>
      </c>
      <c r="F291" s="6">
        <v>1.1133999999999999</v>
      </c>
      <c r="H291">
        <f t="shared" si="46"/>
        <v>1</v>
      </c>
      <c r="I291" t="str">
        <f t="shared" si="43"/>
        <v>200PFA39-5201</v>
      </c>
      <c r="J291" s="6" t="str">
        <f t="shared" si="47"/>
        <v>SING CHICAGO BLUES 60 X 144</v>
      </c>
      <c r="K291" s="6">
        <f t="shared" si="48"/>
        <v>1</v>
      </c>
      <c r="L291" s="6">
        <f t="shared" si="49"/>
        <v>10</v>
      </c>
      <c r="M291" s="6">
        <f t="shared" si="50"/>
        <v>1.1133999999999999</v>
      </c>
      <c r="N291" s="6" t="str">
        <f t="shared" si="44"/>
        <v>100PFA39-6200</v>
      </c>
      <c r="O291" s="6" t="str">
        <f t="shared" si="45"/>
        <v>SINGING THE CHICAGO BLUES</v>
      </c>
    </row>
    <row r="292" spans="1:15" ht="25.5">
      <c r="A292" s="4">
        <v>2</v>
      </c>
      <c r="B292" s="5" t="s">
        <v>9306</v>
      </c>
      <c r="C292" s="4" t="s">
        <v>9307</v>
      </c>
      <c r="D292" s="4">
        <v>1</v>
      </c>
      <c r="E292" s="4">
        <v>10</v>
      </c>
      <c r="F292" s="6">
        <v>0.5</v>
      </c>
      <c r="H292">
        <f t="shared" si="46"/>
        <v>2</v>
      </c>
      <c r="I292" t="str">
        <f t="shared" si="43"/>
        <v>F28PFA39N000</v>
      </c>
      <c r="J292" s="6" t="str">
        <f t="shared" si="47"/>
        <v>SING CHICAGO BLUES 30 X 120</v>
      </c>
      <c r="K292" s="6">
        <f t="shared" si="48"/>
        <v>1</v>
      </c>
      <c r="L292" s="6">
        <f t="shared" si="49"/>
        <v>10</v>
      </c>
      <c r="M292" s="6">
        <f t="shared" si="50"/>
        <v>0.5</v>
      </c>
      <c r="N292" s="6" t="str">
        <f t="shared" si="44"/>
        <v>100PFA39-6200</v>
      </c>
      <c r="O292" s="6" t="str">
        <f t="shared" si="45"/>
        <v>SINGING THE CHICAGO BLUES</v>
      </c>
    </row>
    <row r="293" spans="1:15" ht="38.25">
      <c r="A293" s="4">
        <v>1</v>
      </c>
      <c r="B293" s="5" t="s">
        <v>9299</v>
      </c>
      <c r="C293" s="4" t="s">
        <v>9298</v>
      </c>
      <c r="D293" s="4">
        <v>1</v>
      </c>
      <c r="E293" s="4">
        <v>10</v>
      </c>
      <c r="F293" s="6">
        <v>0.93140000000000001</v>
      </c>
      <c r="H293">
        <f t="shared" si="46"/>
        <v>1</v>
      </c>
      <c r="I293" t="str">
        <f t="shared" si="43"/>
        <v>200PFA39-5001</v>
      </c>
      <c r="J293" s="6" t="str">
        <f t="shared" si="47"/>
        <v>SING CHICAGO BLUES 60 X 120</v>
      </c>
      <c r="K293" s="6">
        <f t="shared" si="48"/>
        <v>1</v>
      </c>
      <c r="L293" s="6">
        <f t="shared" si="49"/>
        <v>10</v>
      </c>
      <c r="M293" s="6">
        <f t="shared" si="50"/>
        <v>0.93140000000000001</v>
      </c>
      <c r="N293" s="6" t="str">
        <f t="shared" si="44"/>
        <v>100PFA39-6200</v>
      </c>
      <c r="O293" s="6" t="str">
        <f t="shared" si="45"/>
        <v>SINGING THE CHICAGO BLUES</v>
      </c>
    </row>
    <row r="294" spans="1:15" ht="25.5">
      <c r="A294" s="4">
        <v>2</v>
      </c>
      <c r="B294" s="5" t="s">
        <v>9308</v>
      </c>
      <c r="C294" s="4" t="s">
        <v>9309</v>
      </c>
      <c r="D294" s="4">
        <v>1</v>
      </c>
      <c r="E294" s="4">
        <v>10</v>
      </c>
      <c r="F294" s="6">
        <v>0.5</v>
      </c>
      <c r="H294">
        <f t="shared" si="46"/>
        <v>2</v>
      </c>
      <c r="I294" t="str">
        <f t="shared" si="43"/>
        <v>F28PFA39N020</v>
      </c>
      <c r="J294" s="6" t="str">
        <f t="shared" si="47"/>
        <v>SING CHICAGO BLUES 30 X 144</v>
      </c>
      <c r="K294" s="6">
        <f t="shared" si="48"/>
        <v>1</v>
      </c>
      <c r="L294" s="6">
        <f t="shared" si="49"/>
        <v>10</v>
      </c>
      <c r="M294" s="6">
        <f t="shared" si="50"/>
        <v>0.5</v>
      </c>
      <c r="N294" s="6" t="str">
        <f t="shared" si="44"/>
        <v>100PFA39-6200</v>
      </c>
      <c r="O294" s="6" t="str">
        <f t="shared" si="45"/>
        <v>SINGING THE CHICAGO BLUES</v>
      </c>
    </row>
    <row r="295" spans="1:15" ht="38.25">
      <c r="A295" s="4">
        <v>1</v>
      </c>
      <c r="B295" s="5" t="s">
        <v>9151</v>
      </c>
      <c r="C295" s="4" t="s">
        <v>9152</v>
      </c>
      <c r="D295" s="4">
        <v>1</v>
      </c>
      <c r="E295" s="4">
        <v>10</v>
      </c>
      <c r="F295" s="6">
        <v>1.1133999999999999</v>
      </c>
      <c r="H295">
        <f t="shared" si="46"/>
        <v>1</v>
      </c>
      <c r="I295" t="str">
        <f t="shared" si="43"/>
        <v>200PFA39-5201</v>
      </c>
      <c r="J295" s="6" t="str">
        <f t="shared" si="47"/>
        <v>SING CHICAGO BLUES 60 X 144</v>
      </c>
      <c r="K295" s="6">
        <f t="shared" si="48"/>
        <v>1</v>
      </c>
      <c r="L295" s="6">
        <f t="shared" si="49"/>
        <v>10</v>
      </c>
      <c r="M295" s="6">
        <f t="shared" si="50"/>
        <v>1.1133999999999999</v>
      </c>
      <c r="N295" s="6" t="str">
        <f t="shared" si="44"/>
        <v>100PFA39-6200</v>
      </c>
      <c r="O295" s="6" t="str">
        <f t="shared" si="45"/>
        <v>SINGING THE CHICAGO BLUES</v>
      </c>
    </row>
    <row r="296" spans="1:15" ht="25.5">
      <c r="A296" s="4">
        <v>2</v>
      </c>
      <c r="B296" s="5" t="s">
        <v>9310</v>
      </c>
      <c r="C296" s="4" t="s">
        <v>9311</v>
      </c>
      <c r="D296" s="4">
        <v>1</v>
      </c>
      <c r="E296" s="4">
        <v>10</v>
      </c>
      <c r="F296" s="6">
        <v>0.5</v>
      </c>
      <c r="H296">
        <f t="shared" si="46"/>
        <v>2</v>
      </c>
      <c r="I296" t="str">
        <f t="shared" si="43"/>
        <v>F28PFA39N080</v>
      </c>
      <c r="J296" s="6" t="str">
        <f t="shared" si="47"/>
        <v>SING CHICAGO BLUES 30 X 96</v>
      </c>
      <c r="K296" s="6">
        <f t="shared" si="48"/>
        <v>1</v>
      </c>
      <c r="L296" s="6">
        <f t="shared" si="49"/>
        <v>10</v>
      </c>
      <c r="M296" s="6">
        <f t="shared" si="50"/>
        <v>0.5</v>
      </c>
      <c r="N296" s="6" t="str">
        <f t="shared" si="44"/>
        <v>100PFA39-6200</v>
      </c>
      <c r="O296" s="6" t="str">
        <f t="shared" si="45"/>
        <v>SINGING THE CHICAGO BLUES</v>
      </c>
    </row>
    <row r="297" spans="1:15" ht="38.25">
      <c r="A297" s="4">
        <v>1</v>
      </c>
      <c r="B297" s="5" t="s">
        <v>9312</v>
      </c>
      <c r="C297" s="4" t="s">
        <v>9304</v>
      </c>
      <c r="D297" s="4">
        <v>1</v>
      </c>
      <c r="E297" s="4">
        <v>10</v>
      </c>
      <c r="F297" s="6">
        <v>0.74950000000000006</v>
      </c>
      <c r="H297">
        <f t="shared" si="46"/>
        <v>1</v>
      </c>
      <c r="I297" t="str">
        <f t="shared" si="43"/>
        <v>200PFA39-5801</v>
      </c>
      <c r="J297" s="6" t="str">
        <f t="shared" si="47"/>
        <v>SING CHICAGO BLUES 60 X 96</v>
      </c>
      <c r="K297" s="6">
        <f t="shared" si="48"/>
        <v>1</v>
      </c>
      <c r="L297" s="6">
        <f t="shared" si="49"/>
        <v>10</v>
      </c>
      <c r="M297" s="6">
        <f t="shared" si="50"/>
        <v>0.74950000000000006</v>
      </c>
      <c r="N297" s="6" t="str">
        <f t="shared" si="44"/>
        <v>100PFA39-6200</v>
      </c>
      <c r="O297" s="6" t="str">
        <f t="shared" si="45"/>
        <v>SINGING THE CHICAGO BLUES</v>
      </c>
    </row>
    <row r="298" spans="1:15" ht="25.5">
      <c r="A298" s="4">
        <v>2</v>
      </c>
      <c r="B298" s="5" t="s">
        <v>9313</v>
      </c>
      <c r="C298" s="4" t="s">
        <v>9298</v>
      </c>
      <c r="D298" s="4">
        <v>1</v>
      </c>
      <c r="E298" s="4">
        <v>10</v>
      </c>
      <c r="F298" s="6">
        <v>1</v>
      </c>
      <c r="H298">
        <f t="shared" si="46"/>
        <v>2</v>
      </c>
      <c r="I298" t="str">
        <f t="shared" si="43"/>
        <v>F28PFA39N5003</v>
      </c>
      <c r="J298" s="6" t="str">
        <f t="shared" si="47"/>
        <v>SING CHICAGO BLUES 60 X 120</v>
      </c>
      <c r="K298" s="6">
        <f t="shared" si="48"/>
        <v>1</v>
      </c>
      <c r="L298" s="6">
        <f t="shared" si="49"/>
        <v>10</v>
      </c>
      <c r="M298" s="6">
        <f t="shared" si="50"/>
        <v>1</v>
      </c>
      <c r="N298" s="6" t="str">
        <f t="shared" si="44"/>
        <v>100PFA39-6200</v>
      </c>
      <c r="O298" s="6" t="str">
        <f t="shared" si="45"/>
        <v>SINGING THE CHICAGO BLUES</v>
      </c>
    </row>
    <row r="299" spans="1:15" ht="38.25">
      <c r="A299" s="4">
        <v>1</v>
      </c>
      <c r="B299" s="5" t="s">
        <v>9299</v>
      </c>
      <c r="C299" s="4" t="s">
        <v>9298</v>
      </c>
      <c r="D299" s="4">
        <v>1</v>
      </c>
      <c r="E299" s="4">
        <v>10</v>
      </c>
      <c r="F299" s="6">
        <v>0.93140000000000001</v>
      </c>
      <c r="H299">
        <f t="shared" si="46"/>
        <v>1</v>
      </c>
      <c r="I299" t="str">
        <f t="shared" si="43"/>
        <v>200PFA39-5001</v>
      </c>
      <c r="J299" s="6" t="str">
        <f t="shared" si="47"/>
        <v>SING CHICAGO BLUES 60 X 120</v>
      </c>
      <c r="K299" s="6">
        <f t="shared" si="48"/>
        <v>1</v>
      </c>
      <c r="L299" s="6">
        <f t="shared" si="49"/>
        <v>10</v>
      </c>
      <c r="M299" s="6">
        <f t="shared" si="50"/>
        <v>0.93140000000000001</v>
      </c>
      <c r="N299" s="6" t="str">
        <f t="shared" si="44"/>
        <v>100PFA39-6200</v>
      </c>
      <c r="O299" s="6" t="str">
        <f t="shared" si="45"/>
        <v>SINGING THE CHICAGO BLUES</v>
      </c>
    </row>
    <row r="300" spans="1:15" ht="25.5">
      <c r="A300" s="4">
        <v>2</v>
      </c>
      <c r="B300" s="5" t="s">
        <v>9314</v>
      </c>
      <c r="C300" s="4" t="s">
        <v>9298</v>
      </c>
      <c r="D300" s="4">
        <v>1</v>
      </c>
      <c r="E300" s="4">
        <v>10</v>
      </c>
      <c r="F300" s="6">
        <v>1</v>
      </c>
      <c r="H300">
        <f t="shared" si="46"/>
        <v>2</v>
      </c>
      <c r="I300" t="str">
        <f t="shared" si="43"/>
        <v>F28PFA39N500</v>
      </c>
      <c r="J300" s="6" t="str">
        <f t="shared" si="47"/>
        <v>SING CHICAGO BLUES 60 X 120</v>
      </c>
      <c r="K300" s="6">
        <f t="shared" si="48"/>
        <v>1</v>
      </c>
      <c r="L300" s="6">
        <f t="shared" si="49"/>
        <v>10</v>
      </c>
      <c r="M300" s="6">
        <f t="shared" si="50"/>
        <v>1</v>
      </c>
      <c r="N300" s="6" t="str">
        <f t="shared" si="44"/>
        <v>100PFA39-6200</v>
      </c>
      <c r="O300" s="6" t="str">
        <f t="shared" si="45"/>
        <v>SINGING THE CHICAGO BLUES</v>
      </c>
    </row>
    <row r="301" spans="1:15" ht="38.25">
      <c r="A301" s="4">
        <v>1</v>
      </c>
      <c r="B301" s="5" t="s">
        <v>9299</v>
      </c>
      <c r="C301" s="4" t="s">
        <v>9298</v>
      </c>
      <c r="D301" s="4">
        <v>1</v>
      </c>
      <c r="E301" s="4">
        <v>10</v>
      </c>
      <c r="F301" s="6">
        <v>0.93140000000000001</v>
      </c>
      <c r="H301">
        <f t="shared" si="46"/>
        <v>1</v>
      </c>
      <c r="I301" t="str">
        <f t="shared" si="43"/>
        <v>200PFA39-5001</v>
      </c>
      <c r="J301" s="6" t="str">
        <f t="shared" si="47"/>
        <v>SING CHICAGO BLUES 60 X 120</v>
      </c>
      <c r="K301" s="6">
        <f t="shared" si="48"/>
        <v>1</v>
      </c>
      <c r="L301" s="6">
        <f t="shared" si="49"/>
        <v>10</v>
      </c>
      <c r="M301" s="6">
        <f t="shared" si="50"/>
        <v>0.93140000000000001</v>
      </c>
      <c r="N301" s="6" t="str">
        <f t="shared" si="44"/>
        <v>100PFA39-6200</v>
      </c>
      <c r="O301" s="6" t="str">
        <f t="shared" si="45"/>
        <v>SINGING THE CHICAGO BLUES</v>
      </c>
    </row>
    <row r="302" spans="1:15" ht="25.5">
      <c r="A302" s="4">
        <v>2</v>
      </c>
      <c r="B302" s="5" t="s">
        <v>9315</v>
      </c>
      <c r="C302" s="4" t="s">
        <v>9152</v>
      </c>
      <c r="D302" s="4">
        <v>1</v>
      </c>
      <c r="E302" s="4">
        <v>10</v>
      </c>
      <c r="F302" s="6">
        <v>1</v>
      </c>
      <c r="H302">
        <f t="shared" si="46"/>
        <v>2</v>
      </c>
      <c r="I302" t="str">
        <f t="shared" si="43"/>
        <v>F28PFA39N520</v>
      </c>
      <c r="J302" s="6" t="str">
        <f t="shared" si="47"/>
        <v>SING CHICAGO BLUES 60 X 144</v>
      </c>
      <c r="K302" s="6">
        <f t="shared" si="48"/>
        <v>1</v>
      </c>
      <c r="L302" s="6">
        <f t="shared" si="49"/>
        <v>10</v>
      </c>
      <c r="M302" s="6">
        <f t="shared" si="50"/>
        <v>1</v>
      </c>
      <c r="N302" s="6" t="str">
        <f t="shared" si="44"/>
        <v>100PFA39-6200</v>
      </c>
      <c r="O302" s="6" t="str">
        <f t="shared" si="45"/>
        <v>SINGING THE CHICAGO BLUES</v>
      </c>
    </row>
    <row r="303" spans="1:15" ht="38.25">
      <c r="A303" s="4">
        <v>1</v>
      </c>
      <c r="B303" s="5" t="s">
        <v>9151</v>
      </c>
      <c r="C303" s="4" t="s">
        <v>9152</v>
      </c>
      <c r="D303" s="4">
        <v>1</v>
      </c>
      <c r="E303" s="4">
        <v>10</v>
      </c>
      <c r="F303" s="6">
        <v>1.1133999999999999</v>
      </c>
      <c r="H303">
        <f t="shared" si="46"/>
        <v>1</v>
      </c>
      <c r="I303" t="str">
        <f t="shared" si="43"/>
        <v>200PFA39-5201</v>
      </c>
      <c r="J303" s="6" t="str">
        <f t="shared" si="47"/>
        <v>SING CHICAGO BLUES 60 X 144</v>
      </c>
      <c r="K303" s="6">
        <f t="shared" si="48"/>
        <v>1</v>
      </c>
      <c r="L303" s="6">
        <f t="shared" si="49"/>
        <v>10</v>
      </c>
      <c r="M303" s="6">
        <f t="shared" si="50"/>
        <v>1.1133999999999999</v>
      </c>
      <c r="N303" s="6" t="str">
        <f t="shared" si="44"/>
        <v>100PFA39-6200</v>
      </c>
      <c r="O303" s="6" t="str">
        <f t="shared" si="45"/>
        <v>SINGING THE CHICAGO BLUES</v>
      </c>
    </row>
    <row r="304" spans="1:15" ht="25.5">
      <c r="A304" s="4">
        <v>2</v>
      </c>
      <c r="B304" s="5" t="s">
        <v>9316</v>
      </c>
      <c r="C304" s="4" t="s">
        <v>9304</v>
      </c>
      <c r="D304" s="4">
        <v>1</v>
      </c>
      <c r="E304" s="4">
        <v>10</v>
      </c>
      <c r="F304" s="6">
        <v>1</v>
      </c>
      <c r="H304">
        <f t="shared" si="46"/>
        <v>2</v>
      </c>
      <c r="I304" t="str">
        <f t="shared" si="43"/>
        <v>F28PFA39N580</v>
      </c>
      <c r="J304" s="6" t="str">
        <f t="shared" si="47"/>
        <v>SING CHICAGO BLUES 60 X 96</v>
      </c>
      <c r="K304" s="6">
        <f t="shared" si="48"/>
        <v>1</v>
      </c>
      <c r="L304" s="6">
        <f t="shared" si="49"/>
        <v>10</v>
      </c>
      <c r="M304" s="6">
        <f t="shared" si="50"/>
        <v>1</v>
      </c>
      <c r="N304" s="6" t="str">
        <f t="shared" si="44"/>
        <v>100PFA39-6200</v>
      </c>
      <c r="O304" s="6" t="str">
        <f t="shared" si="45"/>
        <v>SINGING THE CHICAGO BLUES</v>
      </c>
    </row>
    <row r="305" spans="1:15" ht="38.25">
      <c r="A305" s="4">
        <v>1</v>
      </c>
      <c r="B305" s="5" t="s">
        <v>9312</v>
      </c>
      <c r="C305" s="4" t="s">
        <v>9304</v>
      </c>
      <c r="D305" s="4">
        <v>1</v>
      </c>
      <c r="E305" s="4">
        <v>10</v>
      </c>
      <c r="F305" s="6">
        <v>0.74950000000000006</v>
      </c>
      <c r="H305">
        <f t="shared" si="46"/>
        <v>1</v>
      </c>
      <c r="I305" t="str">
        <f t="shared" si="43"/>
        <v>200PFA39-5801</v>
      </c>
      <c r="J305" s="6" t="str">
        <f t="shared" si="47"/>
        <v>SING CHICAGO BLUES 60 X 96</v>
      </c>
      <c r="K305" s="6">
        <f t="shared" si="48"/>
        <v>1</v>
      </c>
      <c r="L305" s="6">
        <f t="shared" si="49"/>
        <v>10</v>
      </c>
      <c r="M305" s="6">
        <f t="shared" si="50"/>
        <v>0.74950000000000006</v>
      </c>
      <c r="N305" s="6" t="str">
        <f t="shared" si="44"/>
        <v>100PFA39-6200</v>
      </c>
      <c r="O305" s="6" t="str">
        <f t="shared" si="45"/>
        <v>SINGING THE CHICAGO BLUES</v>
      </c>
    </row>
    <row r="306" spans="1:15" ht="38.25">
      <c r="A306" s="4">
        <v>2</v>
      </c>
      <c r="B306" s="5" t="s">
        <v>9317</v>
      </c>
      <c r="C306" s="4" t="s">
        <v>9309</v>
      </c>
      <c r="D306" s="4">
        <v>1</v>
      </c>
      <c r="E306" s="4">
        <v>10</v>
      </c>
      <c r="F306" s="6">
        <v>0.5</v>
      </c>
      <c r="H306">
        <f t="shared" si="46"/>
        <v>2</v>
      </c>
      <c r="I306" t="str">
        <f t="shared" si="43"/>
        <v>F28PFA39SD020</v>
      </c>
      <c r="J306" s="6" t="str">
        <f t="shared" si="47"/>
        <v>SING CHICAGO BLUES 30 X 144</v>
      </c>
      <c r="K306" s="6">
        <f t="shared" si="48"/>
        <v>1</v>
      </c>
      <c r="L306" s="6">
        <f t="shared" si="49"/>
        <v>10</v>
      </c>
      <c r="M306" s="6">
        <f t="shared" si="50"/>
        <v>0.5</v>
      </c>
      <c r="N306" s="6" t="str">
        <f t="shared" si="44"/>
        <v>100PFA39-6200</v>
      </c>
      <c r="O306" s="6" t="str">
        <f t="shared" si="45"/>
        <v>SINGING THE CHICAGO BLUES</v>
      </c>
    </row>
    <row r="307" spans="1:15" ht="38.25">
      <c r="A307" s="4">
        <v>1</v>
      </c>
      <c r="B307" s="5" t="s">
        <v>9151</v>
      </c>
      <c r="C307" s="4" t="s">
        <v>9152</v>
      </c>
      <c r="D307" s="4">
        <v>1</v>
      </c>
      <c r="E307" s="4">
        <v>10</v>
      </c>
      <c r="F307" s="6">
        <v>1.1133999999999999</v>
      </c>
      <c r="H307">
        <f t="shared" si="46"/>
        <v>1</v>
      </c>
      <c r="I307" t="str">
        <f t="shared" si="43"/>
        <v>200PFA39-5201</v>
      </c>
      <c r="J307" s="6" t="str">
        <f t="shared" si="47"/>
        <v>SING CHICAGO BLUES 60 X 144</v>
      </c>
      <c r="K307" s="6">
        <f t="shared" si="48"/>
        <v>1</v>
      </c>
      <c r="L307" s="6">
        <f t="shared" si="49"/>
        <v>10</v>
      </c>
      <c r="M307" s="6">
        <f t="shared" si="50"/>
        <v>1.1133999999999999</v>
      </c>
      <c r="N307" s="6" t="str">
        <f t="shared" si="44"/>
        <v>100PFA39-6200</v>
      </c>
      <c r="O307" s="6" t="str">
        <f t="shared" si="45"/>
        <v>SINGING THE CHICAGO BLUES</v>
      </c>
    </row>
    <row r="308" spans="1:15" ht="38.25">
      <c r="A308" s="4">
        <v>2</v>
      </c>
      <c r="B308" s="5" t="s">
        <v>9318</v>
      </c>
      <c r="C308" s="4" t="s">
        <v>9311</v>
      </c>
      <c r="D308" s="4">
        <v>1</v>
      </c>
      <c r="E308" s="4">
        <v>10</v>
      </c>
      <c r="F308" s="6">
        <v>0.5</v>
      </c>
      <c r="H308">
        <f t="shared" si="46"/>
        <v>2</v>
      </c>
      <c r="I308" t="str">
        <f t="shared" si="43"/>
        <v>F28PFA39SD080</v>
      </c>
      <c r="J308" s="6" t="str">
        <f t="shared" si="47"/>
        <v>SING CHICAGO BLUES 30 X 96</v>
      </c>
      <c r="K308" s="6">
        <f t="shared" si="48"/>
        <v>1</v>
      </c>
      <c r="L308" s="6">
        <f t="shared" si="49"/>
        <v>10</v>
      </c>
      <c r="M308" s="6">
        <f t="shared" si="50"/>
        <v>0.5</v>
      </c>
      <c r="N308" s="6" t="str">
        <f t="shared" si="44"/>
        <v>100PFA39-6200</v>
      </c>
      <c r="O308" s="6" t="str">
        <f t="shared" si="45"/>
        <v>SINGING THE CHICAGO BLUES</v>
      </c>
    </row>
    <row r="309" spans="1:15" ht="38.25">
      <c r="A309" s="4">
        <v>1</v>
      </c>
      <c r="B309" s="5" t="s">
        <v>9312</v>
      </c>
      <c r="C309" s="4" t="s">
        <v>9304</v>
      </c>
      <c r="D309" s="4">
        <v>1</v>
      </c>
      <c r="E309" s="4">
        <v>10</v>
      </c>
      <c r="F309" s="6">
        <v>0.74950000000000006</v>
      </c>
      <c r="H309">
        <f t="shared" si="46"/>
        <v>1</v>
      </c>
      <c r="I309" t="str">
        <f t="shared" si="43"/>
        <v>200PFA39-5801</v>
      </c>
      <c r="J309" s="6" t="str">
        <f t="shared" si="47"/>
        <v>SING CHICAGO BLUES 60 X 96</v>
      </c>
      <c r="K309" s="6">
        <f t="shared" si="48"/>
        <v>1</v>
      </c>
      <c r="L309" s="6">
        <f t="shared" si="49"/>
        <v>10</v>
      </c>
      <c r="M309" s="6">
        <f t="shared" si="50"/>
        <v>0.74950000000000006</v>
      </c>
      <c r="N309" s="6" t="str">
        <f t="shared" si="44"/>
        <v>100PFA39-6200</v>
      </c>
      <c r="O309" s="6" t="str">
        <f t="shared" si="45"/>
        <v>SINGING THE CHICAGO BLUES</v>
      </c>
    </row>
    <row r="310" spans="1:15" ht="38.25">
      <c r="A310" s="4">
        <v>2</v>
      </c>
      <c r="B310" s="5" t="s">
        <v>9319</v>
      </c>
      <c r="C310" s="4" t="s">
        <v>9298</v>
      </c>
      <c r="D310" s="4">
        <v>1</v>
      </c>
      <c r="E310" s="4">
        <v>10</v>
      </c>
      <c r="F310" s="6">
        <v>1</v>
      </c>
      <c r="H310">
        <f t="shared" si="46"/>
        <v>2</v>
      </c>
      <c r="I310" t="str">
        <f t="shared" si="43"/>
        <v>F28PFA39SD5003</v>
      </c>
      <c r="J310" s="6" t="str">
        <f t="shared" si="47"/>
        <v>SING CHICAGO BLUES 60 X 120</v>
      </c>
      <c r="K310" s="6">
        <f t="shared" si="48"/>
        <v>1</v>
      </c>
      <c r="L310" s="6">
        <f t="shared" si="49"/>
        <v>10</v>
      </c>
      <c r="M310" s="6">
        <f t="shared" si="50"/>
        <v>1</v>
      </c>
      <c r="N310" s="6" t="str">
        <f t="shared" si="44"/>
        <v>100PFA39-6200</v>
      </c>
      <c r="O310" s="6" t="str">
        <f t="shared" si="45"/>
        <v>SINGING THE CHICAGO BLUES</v>
      </c>
    </row>
    <row r="311" spans="1:15" ht="38.25">
      <c r="A311" s="4">
        <v>1</v>
      </c>
      <c r="B311" s="5" t="s">
        <v>9299</v>
      </c>
      <c r="C311" s="4" t="s">
        <v>9298</v>
      </c>
      <c r="D311" s="4">
        <v>1</v>
      </c>
      <c r="E311" s="4">
        <v>10</v>
      </c>
      <c r="F311" s="6">
        <v>0.93140000000000001</v>
      </c>
      <c r="H311">
        <f t="shared" si="46"/>
        <v>1</v>
      </c>
      <c r="I311" t="str">
        <f t="shared" si="43"/>
        <v>200PFA39-5001</v>
      </c>
      <c r="J311" s="6" t="str">
        <f t="shared" si="47"/>
        <v>SING CHICAGO BLUES 60 X 120</v>
      </c>
      <c r="K311" s="6">
        <f t="shared" si="48"/>
        <v>1</v>
      </c>
      <c r="L311" s="6">
        <f t="shared" si="49"/>
        <v>10</v>
      </c>
      <c r="M311" s="6">
        <f t="shared" si="50"/>
        <v>0.93140000000000001</v>
      </c>
      <c r="N311" s="6" t="str">
        <f t="shared" si="44"/>
        <v>100PFA39-6200</v>
      </c>
      <c r="O311" s="6" t="str">
        <f t="shared" si="45"/>
        <v>SINGING THE CHICAGO BLUES</v>
      </c>
    </row>
    <row r="312" spans="1:15">
      <c r="A312">
        <v>2</v>
      </c>
      <c r="B312" t="s">
        <v>9320</v>
      </c>
      <c r="C312" t="s">
        <v>9298</v>
      </c>
      <c r="D312">
        <v>1</v>
      </c>
      <c r="E312">
        <v>10</v>
      </c>
      <c r="F312">
        <v>1</v>
      </c>
      <c r="H312">
        <f t="shared" si="46"/>
        <v>2</v>
      </c>
      <c r="I312" t="str">
        <f t="shared" si="43"/>
        <v>F28PFA39SD500</v>
      </c>
      <c r="J312" s="6" t="str">
        <f t="shared" si="47"/>
        <v>SING CHICAGO BLUES 60 X 120</v>
      </c>
      <c r="K312" s="6">
        <f t="shared" si="48"/>
        <v>1</v>
      </c>
      <c r="L312" s="6">
        <f t="shared" si="49"/>
        <v>10</v>
      </c>
      <c r="M312" s="6">
        <f t="shared" si="50"/>
        <v>1</v>
      </c>
      <c r="N312" s="6" t="str">
        <f t="shared" si="44"/>
        <v>100PFA39-6200</v>
      </c>
      <c r="O312" s="6" t="str">
        <f t="shared" si="45"/>
        <v>SINGING THE CHICAGO BLUES</v>
      </c>
    </row>
    <row r="313" spans="1:15">
      <c r="A313">
        <v>1</v>
      </c>
      <c r="B313" t="s">
        <v>9299</v>
      </c>
      <c r="C313" t="s">
        <v>9298</v>
      </c>
      <c r="D313">
        <v>1</v>
      </c>
      <c r="E313">
        <v>10</v>
      </c>
      <c r="F313">
        <v>0.93140000000000001</v>
      </c>
      <c r="H313">
        <f t="shared" si="46"/>
        <v>1</v>
      </c>
      <c r="I313" t="str">
        <f t="shared" si="43"/>
        <v>200PFA39-5001</v>
      </c>
      <c r="J313" s="6" t="str">
        <f t="shared" si="47"/>
        <v>SING CHICAGO BLUES 60 X 120</v>
      </c>
      <c r="K313" s="6">
        <f t="shared" si="48"/>
        <v>1</v>
      </c>
      <c r="L313" s="6">
        <f t="shared" si="49"/>
        <v>10</v>
      </c>
      <c r="M313" s="6">
        <f t="shared" si="50"/>
        <v>0.93140000000000001</v>
      </c>
      <c r="N313" s="6" t="str">
        <f t="shared" si="44"/>
        <v>100PFA39-6200</v>
      </c>
      <c r="O313" s="6" t="str">
        <f t="shared" si="45"/>
        <v>SINGING THE CHICAGO BLUES</v>
      </c>
    </row>
    <row r="314" spans="1:15">
      <c r="A314">
        <v>2</v>
      </c>
      <c r="B314" t="s">
        <v>9321</v>
      </c>
      <c r="C314" t="s">
        <v>9152</v>
      </c>
      <c r="D314">
        <v>1</v>
      </c>
      <c r="E314">
        <v>10</v>
      </c>
      <c r="F314">
        <v>1</v>
      </c>
      <c r="H314">
        <f t="shared" si="46"/>
        <v>2</v>
      </c>
      <c r="I314" t="str">
        <f t="shared" si="43"/>
        <v>F28PFA39SD5201</v>
      </c>
      <c r="J314" s="6" t="str">
        <f t="shared" si="47"/>
        <v>SING CHICAGO BLUES 60 X 144</v>
      </c>
      <c r="K314" s="6">
        <f t="shared" si="48"/>
        <v>1</v>
      </c>
      <c r="L314" s="6">
        <f t="shared" si="49"/>
        <v>10</v>
      </c>
      <c r="M314" s="6">
        <f t="shared" si="50"/>
        <v>1</v>
      </c>
      <c r="N314" s="6" t="str">
        <f t="shared" si="44"/>
        <v>100PFA39-6200</v>
      </c>
      <c r="O314" s="6" t="str">
        <f t="shared" si="45"/>
        <v>SINGING THE CHICAGO BLUES</v>
      </c>
    </row>
    <row r="315" spans="1:15">
      <c r="A315">
        <v>1</v>
      </c>
      <c r="B315" t="s">
        <v>9151</v>
      </c>
      <c r="C315" t="s">
        <v>9152</v>
      </c>
      <c r="D315">
        <v>1</v>
      </c>
      <c r="E315">
        <v>10</v>
      </c>
      <c r="F315">
        <v>1.1133999999999999</v>
      </c>
      <c r="H315">
        <f t="shared" si="46"/>
        <v>1</v>
      </c>
      <c r="I315" t="str">
        <f t="shared" si="43"/>
        <v>200PFA39-5201</v>
      </c>
      <c r="J315" s="6" t="str">
        <f t="shared" si="47"/>
        <v>SING CHICAGO BLUES 60 X 144</v>
      </c>
      <c r="K315" s="6">
        <f t="shared" si="48"/>
        <v>1</v>
      </c>
      <c r="L315" s="6">
        <f t="shared" si="49"/>
        <v>10</v>
      </c>
      <c r="M315" s="6">
        <f t="shared" si="50"/>
        <v>1.1133999999999999</v>
      </c>
      <c r="N315" s="6" t="str">
        <f t="shared" si="44"/>
        <v>100PFA39-6200</v>
      </c>
      <c r="O315" s="6" t="str">
        <f t="shared" si="45"/>
        <v>SINGING THE CHICAGO BLUES</v>
      </c>
    </row>
    <row r="316" spans="1:15">
      <c r="A316">
        <v>2</v>
      </c>
      <c r="B316" t="s">
        <v>9322</v>
      </c>
      <c r="C316" t="s">
        <v>9152</v>
      </c>
      <c r="D316">
        <v>1</v>
      </c>
      <c r="E316">
        <v>10</v>
      </c>
      <c r="F316">
        <v>1</v>
      </c>
      <c r="H316">
        <f t="shared" si="46"/>
        <v>2</v>
      </c>
      <c r="I316" t="str">
        <f t="shared" si="43"/>
        <v>F28PFA39SD520</v>
      </c>
      <c r="J316" s="6" t="str">
        <f t="shared" si="47"/>
        <v>SING CHICAGO BLUES 60 X 144</v>
      </c>
      <c r="K316" s="6">
        <f t="shared" si="48"/>
        <v>1</v>
      </c>
      <c r="L316" s="6">
        <f t="shared" si="49"/>
        <v>10</v>
      </c>
      <c r="M316" s="6">
        <f t="shared" si="50"/>
        <v>1</v>
      </c>
      <c r="N316" s="6" t="str">
        <f t="shared" si="44"/>
        <v>100PFA39-6200</v>
      </c>
      <c r="O316" s="6" t="str">
        <f t="shared" si="45"/>
        <v>SINGING THE CHICAGO BLUES</v>
      </c>
    </row>
    <row r="317" spans="1:15">
      <c r="A317">
        <v>1</v>
      </c>
      <c r="B317" t="s">
        <v>9151</v>
      </c>
      <c r="C317" t="s">
        <v>9152</v>
      </c>
      <c r="D317">
        <v>1</v>
      </c>
      <c r="E317">
        <v>10</v>
      </c>
      <c r="F317">
        <v>1.1133999999999999</v>
      </c>
      <c r="H317">
        <f t="shared" si="46"/>
        <v>1</v>
      </c>
      <c r="I317" t="str">
        <f t="shared" si="43"/>
        <v>200PFA39-5201</v>
      </c>
      <c r="J317" s="6" t="str">
        <f t="shared" si="47"/>
        <v>SING CHICAGO BLUES 60 X 144</v>
      </c>
      <c r="K317" s="6">
        <f t="shared" si="48"/>
        <v>1</v>
      </c>
      <c r="L317" s="6">
        <f t="shared" si="49"/>
        <v>10</v>
      </c>
      <c r="M317" s="6">
        <f t="shared" si="50"/>
        <v>1.1133999999999999</v>
      </c>
      <c r="N317" s="6" t="str">
        <f t="shared" si="44"/>
        <v>100PFA39-6200</v>
      </c>
      <c r="O317" s="6" t="str">
        <f t="shared" si="45"/>
        <v>SINGING THE CHICAGO BLUES</v>
      </c>
    </row>
    <row r="318" spans="1:15">
      <c r="A318">
        <v>2</v>
      </c>
      <c r="B318" t="s">
        <v>9323</v>
      </c>
      <c r="C318" t="s">
        <v>9304</v>
      </c>
      <c r="D318">
        <v>1</v>
      </c>
      <c r="E318">
        <v>10</v>
      </c>
      <c r="F318">
        <v>1</v>
      </c>
      <c r="H318">
        <f t="shared" si="46"/>
        <v>2</v>
      </c>
      <c r="I318" t="str">
        <f t="shared" si="43"/>
        <v>F28PFA39SD580</v>
      </c>
      <c r="J318" s="6" t="str">
        <f t="shared" si="47"/>
        <v>SING CHICAGO BLUES 60 X 96</v>
      </c>
      <c r="K318" s="6">
        <f t="shared" si="48"/>
        <v>1</v>
      </c>
      <c r="L318" s="6">
        <f t="shared" si="49"/>
        <v>10</v>
      </c>
      <c r="M318" s="6">
        <f t="shared" si="50"/>
        <v>1</v>
      </c>
      <c r="N318" s="6" t="str">
        <f t="shared" si="44"/>
        <v>100PFA39-6200</v>
      </c>
      <c r="O318" s="6" t="str">
        <f t="shared" si="45"/>
        <v>SINGING THE CHICAGO BLUES</v>
      </c>
    </row>
    <row r="319" spans="1:15">
      <c r="A319">
        <v>1</v>
      </c>
      <c r="B319" t="s">
        <v>9312</v>
      </c>
      <c r="C319" t="s">
        <v>9304</v>
      </c>
      <c r="D319">
        <v>1</v>
      </c>
      <c r="E319">
        <v>10</v>
      </c>
      <c r="F319">
        <v>0.74950000000000006</v>
      </c>
      <c r="H319">
        <f t="shared" si="46"/>
        <v>1</v>
      </c>
      <c r="I319" t="str">
        <f t="shared" si="43"/>
        <v>200PFA39-5801</v>
      </c>
      <c r="J319" s="6" t="str">
        <f t="shared" si="47"/>
        <v>SING CHICAGO BLUES 60 X 96</v>
      </c>
      <c r="K319" s="6">
        <f t="shared" si="48"/>
        <v>1</v>
      </c>
      <c r="L319" s="6">
        <f t="shared" si="49"/>
        <v>10</v>
      </c>
      <c r="M319" s="6">
        <f t="shared" si="50"/>
        <v>0.74950000000000006</v>
      </c>
      <c r="N319" s="6" t="str">
        <f t="shared" si="44"/>
        <v>100PFA39-6200</v>
      </c>
      <c r="O319" s="6" t="str">
        <f t="shared" si="45"/>
        <v>SINGING THE CHICAGO BLUES</v>
      </c>
    </row>
    <row r="320" spans="1:15">
      <c r="A320">
        <v>2</v>
      </c>
      <c r="B320" t="s">
        <v>9324</v>
      </c>
      <c r="C320" t="s">
        <v>9309</v>
      </c>
      <c r="D320">
        <v>1</v>
      </c>
      <c r="E320">
        <v>10</v>
      </c>
      <c r="F320">
        <v>0.5</v>
      </c>
      <c r="H320">
        <f t="shared" si="46"/>
        <v>2</v>
      </c>
      <c r="I320" t="str">
        <f t="shared" si="43"/>
        <v>F39PFA39G020</v>
      </c>
      <c r="J320" s="6" t="str">
        <f t="shared" si="47"/>
        <v>SING CHICAGO BLUES 30 X 144</v>
      </c>
      <c r="K320" s="6">
        <f t="shared" si="48"/>
        <v>1</v>
      </c>
      <c r="L320" s="6">
        <f t="shared" si="49"/>
        <v>10</v>
      </c>
      <c r="M320" s="6">
        <f t="shared" si="50"/>
        <v>0.5</v>
      </c>
      <c r="N320" s="6" t="str">
        <f t="shared" si="44"/>
        <v>100PFA39-6200</v>
      </c>
      <c r="O320" s="6" t="str">
        <f t="shared" si="45"/>
        <v>SINGING THE CHICAGO BLUES</v>
      </c>
    </row>
    <row r="321" spans="1:15">
      <c r="A321">
        <v>1</v>
      </c>
      <c r="B321" t="s">
        <v>9151</v>
      </c>
      <c r="C321" t="s">
        <v>9152</v>
      </c>
      <c r="D321">
        <v>1</v>
      </c>
      <c r="E321">
        <v>10</v>
      </c>
      <c r="F321">
        <v>1.1133999999999999</v>
      </c>
      <c r="H321">
        <f t="shared" si="46"/>
        <v>1</v>
      </c>
      <c r="I321" t="str">
        <f t="shared" si="43"/>
        <v>200PFA39-5201</v>
      </c>
      <c r="J321" s="6" t="str">
        <f t="shared" si="47"/>
        <v>SING CHICAGO BLUES 60 X 144</v>
      </c>
      <c r="K321" s="6">
        <f t="shared" si="48"/>
        <v>1</v>
      </c>
      <c r="L321" s="6">
        <f t="shared" si="49"/>
        <v>10</v>
      </c>
      <c r="M321" s="6">
        <f t="shared" si="50"/>
        <v>1.1133999999999999</v>
      </c>
      <c r="N321" s="6" t="str">
        <f t="shared" si="44"/>
        <v>100PFA39-6200</v>
      </c>
      <c r="O321" s="6" t="str">
        <f t="shared" si="45"/>
        <v>SINGING THE CHICAGO BLUES</v>
      </c>
    </row>
    <row r="322" spans="1:15">
      <c r="A322">
        <v>2</v>
      </c>
      <c r="B322" t="s">
        <v>9325</v>
      </c>
      <c r="C322" t="s">
        <v>9311</v>
      </c>
      <c r="D322">
        <v>1</v>
      </c>
      <c r="E322">
        <v>10</v>
      </c>
      <c r="F322">
        <v>0.5</v>
      </c>
      <c r="H322">
        <f t="shared" si="46"/>
        <v>2</v>
      </c>
      <c r="I322" t="str">
        <f t="shared" si="43"/>
        <v>F39PFA39G080</v>
      </c>
      <c r="J322" s="6" t="str">
        <f t="shared" si="47"/>
        <v>SING CHICAGO BLUES 30 X 96</v>
      </c>
      <c r="K322" s="6">
        <f t="shared" si="48"/>
        <v>1</v>
      </c>
      <c r="L322" s="6">
        <f t="shared" si="49"/>
        <v>10</v>
      </c>
      <c r="M322" s="6">
        <f t="shared" si="50"/>
        <v>0.5</v>
      </c>
      <c r="N322" s="6" t="str">
        <f t="shared" si="44"/>
        <v>100PFA39-6200</v>
      </c>
      <c r="O322" s="6" t="str">
        <f t="shared" si="45"/>
        <v>SINGING THE CHICAGO BLUES</v>
      </c>
    </row>
    <row r="323" spans="1:15">
      <c r="A323">
        <v>1</v>
      </c>
      <c r="B323" t="s">
        <v>9312</v>
      </c>
      <c r="C323" t="s">
        <v>9304</v>
      </c>
      <c r="D323">
        <v>1</v>
      </c>
      <c r="E323">
        <v>10</v>
      </c>
      <c r="F323">
        <v>0.74950000000000006</v>
      </c>
      <c r="H323">
        <f t="shared" si="46"/>
        <v>1</v>
      </c>
      <c r="I323" t="str">
        <f t="shared" si="43"/>
        <v>200PFA39-5801</v>
      </c>
      <c r="J323" s="6" t="str">
        <f t="shared" si="47"/>
        <v>SING CHICAGO BLUES 60 X 96</v>
      </c>
      <c r="K323" s="6">
        <f t="shared" si="48"/>
        <v>1</v>
      </c>
      <c r="L323" s="6">
        <f t="shared" si="49"/>
        <v>10</v>
      </c>
      <c r="M323" s="6">
        <f t="shared" si="50"/>
        <v>0.74950000000000006</v>
      </c>
      <c r="N323" s="6" t="str">
        <f t="shared" si="44"/>
        <v>100PFA39-6200</v>
      </c>
      <c r="O323" s="6" t="str">
        <f t="shared" si="45"/>
        <v>SINGING THE CHICAGO BLUES</v>
      </c>
    </row>
    <row r="324" spans="1:15">
      <c r="A324">
        <v>2</v>
      </c>
      <c r="B324" t="s">
        <v>9326</v>
      </c>
      <c r="C324" t="s">
        <v>9152</v>
      </c>
      <c r="D324">
        <v>1</v>
      </c>
      <c r="E324">
        <v>10</v>
      </c>
      <c r="F324">
        <v>1</v>
      </c>
      <c r="H324">
        <f t="shared" si="46"/>
        <v>2</v>
      </c>
      <c r="I324" t="str">
        <f t="shared" si="43"/>
        <v>F39PFA39G520</v>
      </c>
      <c r="J324" s="6" t="str">
        <f t="shared" si="47"/>
        <v>SING CHICAGO BLUES 60 X 144</v>
      </c>
      <c r="K324" s="6">
        <f t="shared" si="48"/>
        <v>1</v>
      </c>
      <c r="L324" s="6">
        <f t="shared" si="49"/>
        <v>10</v>
      </c>
      <c r="M324" s="6">
        <f t="shared" si="50"/>
        <v>1</v>
      </c>
      <c r="N324" s="6" t="str">
        <f t="shared" si="44"/>
        <v>100PFA39-6200</v>
      </c>
      <c r="O324" s="6" t="str">
        <f t="shared" si="45"/>
        <v>SINGING THE CHICAGO BLUES</v>
      </c>
    </row>
    <row r="325" spans="1:15">
      <c r="A325">
        <v>1</v>
      </c>
      <c r="B325" t="s">
        <v>9151</v>
      </c>
      <c r="C325" t="s">
        <v>9152</v>
      </c>
      <c r="D325">
        <v>1</v>
      </c>
      <c r="E325">
        <v>10</v>
      </c>
      <c r="F325">
        <v>1.1133999999999999</v>
      </c>
      <c r="H325">
        <f t="shared" si="46"/>
        <v>1</v>
      </c>
      <c r="I325" t="str">
        <f t="shared" si="43"/>
        <v>200PFA39-5201</v>
      </c>
      <c r="J325" s="6" t="str">
        <f t="shared" si="47"/>
        <v>SING CHICAGO BLUES 60 X 144</v>
      </c>
      <c r="K325" s="6">
        <f t="shared" si="48"/>
        <v>1</v>
      </c>
      <c r="L325" s="6">
        <f t="shared" si="49"/>
        <v>10</v>
      </c>
      <c r="M325" s="6">
        <f t="shared" si="50"/>
        <v>1.1133999999999999</v>
      </c>
      <c r="N325" s="6" t="str">
        <f t="shared" si="44"/>
        <v>100PFA39-6200</v>
      </c>
      <c r="O325" s="6" t="str">
        <f t="shared" si="45"/>
        <v>SINGING THE CHICAGO BLUES</v>
      </c>
    </row>
    <row r="326" spans="1:15">
      <c r="A326">
        <v>2</v>
      </c>
      <c r="B326" t="s">
        <v>9327</v>
      </c>
      <c r="C326" t="s">
        <v>9304</v>
      </c>
      <c r="D326">
        <v>1</v>
      </c>
      <c r="E326">
        <v>10</v>
      </c>
      <c r="F326">
        <v>1</v>
      </c>
      <c r="H326">
        <f t="shared" si="46"/>
        <v>2</v>
      </c>
      <c r="I326" t="str">
        <f t="shared" si="43"/>
        <v>F39PFA39G580</v>
      </c>
      <c r="J326" s="6" t="str">
        <f t="shared" si="47"/>
        <v>SING CHICAGO BLUES 60 X 96</v>
      </c>
      <c r="K326" s="6">
        <f t="shared" si="48"/>
        <v>1</v>
      </c>
      <c r="L326" s="6">
        <f t="shared" si="49"/>
        <v>10</v>
      </c>
      <c r="M326" s="6">
        <f t="shared" si="50"/>
        <v>1</v>
      </c>
      <c r="N326" s="6" t="str">
        <f t="shared" si="44"/>
        <v>100PFA39-6200</v>
      </c>
      <c r="O326" s="6" t="str">
        <f t="shared" si="45"/>
        <v>SINGING THE CHICAGO BLUES</v>
      </c>
    </row>
    <row r="327" spans="1:15">
      <c r="A327">
        <v>1</v>
      </c>
      <c r="B327" t="s">
        <v>9312</v>
      </c>
      <c r="C327" t="s">
        <v>9304</v>
      </c>
      <c r="D327">
        <v>1</v>
      </c>
      <c r="E327">
        <v>10</v>
      </c>
      <c r="F327">
        <v>0.74950000000000006</v>
      </c>
      <c r="H327">
        <f t="shared" si="46"/>
        <v>1</v>
      </c>
      <c r="I327" t="str">
        <f t="shared" ref="I327:I390" si="51">IFERROR(IF(SEARCH(" &lt;-",B327,1),LEFT(B327,SEARCH(" ",B327,1)-1),""),LEFT(B327,SEARCH("View",B327,1)-1))</f>
        <v>200PFA39-5801</v>
      </c>
      <c r="J327" s="6" t="str">
        <f t="shared" si="47"/>
        <v>SING CHICAGO BLUES 60 X 96</v>
      </c>
      <c r="K327" s="6">
        <f t="shared" si="48"/>
        <v>1</v>
      </c>
      <c r="L327" s="6">
        <f t="shared" si="49"/>
        <v>10</v>
      </c>
      <c r="M327" s="6">
        <f t="shared" si="50"/>
        <v>0.74950000000000006</v>
      </c>
      <c r="N327" s="6" t="str">
        <f t="shared" ref="N327:N390" si="52">TRIM($B$1)</f>
        <v>100PFA39-6200</v>
      </c>
      <c r="O327" s="6" t="str">
        <f t="shared" ref="O327:O390" si="53">TRIM($C$1)</f>
        <v>SINGING THE CHICAGO BLUES</v>
      </c>
    </row>
    <row r="328" spans="1:15">
      <c r="A328">
        <v>2</v>
      </c>
      <c r="B328" t="s">
        <v>9328</v>
      </c>
      <c r="C328" t="s">
        <v>9307</v>
      </c>
      <c r="D328">
        <v>1</v>
      </c>
      <c r="E328">
        <v>10</v>
      </c>
      <c r="F328">
        <v>0.5</v>
      </c>
      <c r="H328">
        <f t="shared" si="46"/>
        <v>2</v>
      </c>
      <c r="I328" t="str">
        <f t="shared" si="51"/>
        <v>F39PFA39N000</v>
      </c>
      <c r="J328" s="6" t="str">
        <f t="shared" si="47"/>
        <v>SING CHICAGO BLUES 30 X 120</v>
      </c>
      <c r="K328" s="6">
        <f t="shared" si="48"/>
        <v>1</v>
      </c>
      <c r="L328" s="6">
        <f t="shared" si="49"/>
        <v>10</v>
      </c>
      <c r="M328" s="6">
        <f t="shared" si="50"/>
        <v>0.5</v>
      </c>
      <c r="N328" s="6" t="str">
        <f t="shared" si="52"/>
        <v>100PFA39-6200</v>
      </c>
      <c r="O328" s="6" t="str">
        <f t="shared" si="53"/>
        <v>SINGING THE CHICAGO BLUES</v>
      </c>
    </row>
    <row r="329" spans="1:15">
      <c r="A329">
        <v>1</v>
      </c>
      <c r="B329" t="s">
        <v>9299</v>
      </c>
      <c r="C329" t="s">
        <v>9298</v>
      </c>
      <c r="D329">
        <v>1</v>
      </c>
      <c r="E329">
        <v>10</v>
      </c>
      <c r="F329">
        <v>0.93140000000000001</v>
      </c>
      <c r="H329">
        <f t="shared" si="46"/>
        <v>1</v>
      </c>
      <c r="I329" t="str">
        <f t="shared" si="51"/>
        <v>200PFA39-5001</v>
      </c>
      <c r="J329" s="6" t="str">
        <f t="shared" si="47"/>
        <v>SING CHICAGO BLUES 60 X 120</v>
      </c>
      <c r="K329" s="6">
        <f t="shared" si="48"/>
        <v>1</v>
      </c>
      <c r="L329" s="6">
        <f t="shared" si="49"/>
        <v>10</v>
      </c>
      <c r="M329" s="6">
        <f t="shared" si="50"/>
        <v>0.93140000000000001</v>
      </c>
      <c r="N329" s="6" t="str">
        <f t="shared" si="52"/>
        <v>100PFA39-6200</v>
      </c>
      <c r="O329" s="6" t="str">
        <f t="shared" si="53"/>
        <v>SINGING THE CHICAGO BLUES</v>
      </c>
    </row>
    <row r="330" spans="1:15">
      <c r="A330">
        <v>2</v>
      </c>
      <c r="B330" t="s">
        <v>9329</v>
      </c>
      <c r="C330" t="s">
        <v>9309</v>
      </c>
      <c r="D330">
        <v>1</v>
      </c>
      <c r="E330">
        <v>10</v>
      </c>
      <c r="F330">
        <v>0.5</v>
      </c>
      <c r="H330">
        <f t="shared" si="46"/>
        <v>2</v>
      </c>
      <c r="I330" t="str">
        <f t="shared" si="51"/>
        <v>F39PFA39N020</v>
      </c>
      <c r="J330" s="6" t="str">
        <f t="shared" si="47"/>
        <v>SING CHICAGO BLUES 30 X 144</v>
      </c>
      <c r="K330" s="6">
        <f t="shared" si="48"/>
        <v>1</v>
      </c>
      <c r="L330" s="6">
        <f t="shared" si="49"/>
        <v>10</v>
      </c>
      <c r="M330" s="6">
        <f t="shared" si="50"/>
        <v>0.5</v>
      </c>
      <c r="N330" s="6" t="str">
        <f t="shared" si="52"/>
        <v>100PFA39-6200</v>
      </c>
      <c r="O330" s="6" t="str">
        <f t="shared" si="53"/>
        <v>SINGING THE CHICAGO BLUES</v>
      </c>
    </row>
    <row r="331" spans="1:15">
      <c r="A331">
        <v>1</v>
      </c>
      <c r="B331" t="s">
        <v>9151</v>
      </c>
      <c r="C331" t="s">
        <v>9152</v>
      </c>
      <c r="D331">
        <v>1</v>
      </c>
      <c r="E331">
        <v>10</v>
      </c>
      <c r="F331">
        <v>1.1133999999999999</v>
      </c>
      <c r="H331">
        <f t="shared" si="46"/>
        <v>1</v>
      </c>
      <c r="I331" t="str">
        <f t="shared" si="51"/>
        <v>200PFA39-5201</v>
      </c>
      <c r="J331" s="6" t="str">
        <f t="shared" si="47"/>
        <v>SING CHICAGO BLUES 60 X 144</v>
      </c>
      <c r="K331" s="6">
        <f t="shared" si="48"/>
        <v>1</v>
      </c>
      <c r="L331" s="6">
        <f t="shared" si="49"/>
        <v>10</v>
      </c>
      <c r="M331" s="6">
        <f t="shared" si="50"/>
        <v>1.1133999999999999</v>
      </c>
      <c r="N331" s="6" t="str">
        <f t="shared" si="52"/>
        <v>100PFA39-6200</v>
      </c>
      <c r="O331" s="6" t="str">
        <f t="shared" si="53"/>
        <v>SINGING THE CHICAGO BLUES</v>
      </c>
    </row>
    <row r="332" spans="1:15">
      <c r="A332">
        <v>2</v>
      </c>
      <c r="B332" t="s">
        <v>9330</v>
      </c>
      <c r="C332" t="s">
        <v>9311</v>
      </c>
      <c r="D332">
        <v>1</v>
      </c>
      <c r="E332">
        <v>10</v>
      </c>
      <c r="F332">
        <v>0.5</v>
      </c>
      <c r="H332">
        <f t="shared" si="46"/>
        <v>2</v>
      </c>
      <c r="I332" t="str">
        <f t="shared" si="51"/>
        <v>F39PFA39N080</v>
      </c>
      <c r="J332" s="6" t="str">
        <f t="shared" si="47"/>
        <v>SING CHICAGO BLUES 30 X 96</v>
      </c>
      <c r="K332" s="6">
        <f t="shared" si="48"/>
        <v>1</v>
      </c>
      <c r="L332" s="6">
        <f t="shared" si="49"/>
        <v>10</v>
      </c>
      <c r="M332" s="6">
        <f t="shared" si="50"/>
        <v>0.5</v>
      </c>
      <c r="N332" s="6" t="str">
        <f t="shared" si="52"/>
        <v>100PFA39-6200</v>
      </c>
      <c r="O332" s="6" t="str">
        <f t="shared" si="53"/>
        <v>SINGING THE CHICAGO BLUES</v>
      </c>
    </row>
    <row r="333" spans="1:15">
      <c r="A333">
        <v>1</v>
      </c>
      <c r="B333" t="s">
        <v>9312</v>
      </c>
      <c r="C333" t="s">
        <v>9304</v>
      </c>
      <c r="D333">
        <v>1</v>
      </c>
      <c r="E333">
        <v>10</v>
      </c>
      <c r="F333">
        <v>0.74950000000000006</v>
      </c>
      <c r="H333">
        <f t="shared" si="46"/>
        <v>1</v>
      </c>
      <c r="I333" t="str">
        <f t="shared" si="51"/>
        <v>200PFA39-5801</v>
      </c>
      <c r="J333" s="6" t="str">
        <f t="shared" si="47"/>
        <v>SING CHICAGO BLUES 60 X 96</v>
      </c>
      <c r="K333" s="6">
        <f t="shared" si="48"/>
        <v>1</v>
      </c>
      <c r="L333" s="6">
        <f t="shared" si="49"/>
        <v>10</v>
      </c>
      <c r="M333" s="6">
        <f t="shared" si="50"/>
        <v>0.74950000000000006</v>
      </c>
      <c r="N333" s="6" t="str">
        <f t="shared" si="52"/>
        <v>100PFA39-6200</v>
      </c>
      <c r="O333" s="6" t="str">
        <f t="shared" si="53"/>
        <v>SINGING THE CHICAGO BLUES</v>
      </c>
    </row>
    <row r="334" spans="1:15">
      <c r="A334">
        <v>2</v>
      </c>
      <c r="B334" t="s">
        <v>9331</v>
      </c>
      <c r="C334" t="s">
        <v>9298</v>
      </c>
      <c r="D334">
        <v>1</v>
      </c>
      <c r="E334">
        <v>10</v>
      </c>
      <c r="F334">
        <v>1</v>
      </c>
      <c r="H334">
        <f t="shared" si="46"/>
        <v>2</v>
      </c>
      <c r="I334" t="str">
        <f t="shared" si="51"/>
        <v>F39PFA39N5003</v>
      </c>
      <c r="J334" s="6" t="str">
        <f t="shared" si="47"/>
        <v>SING CHICAGO BLUES 60 X 120</v>
      </c>
      <c r="K334" s="6">
        <f t="shared" si="48"/>
        <v>1</v>
      </c>
      <c r="L334" s="6">
        <f t="shared" si="49"/>
        <v>10</v>
      </c>
      <c r="M334" s="6">
        <f t="shared" si="50"/>
        <v>1</v>
      </c>
      <c r="N334" s="6" t="str">
        <f t="shared" si="52"/>
        <v>100PFA39-6200</v>
      </c>
      <c r="O334" s="6" t="str">
        <f t="shared" si="53"/>
        <v>SINGING THE CHICAGO BLUES</v>
      </c>
    </row>
    <row r="335" spans="1:15">
      <c r="A335">
        <v>1</v>
      </c>
      <c r="B335" t="s">
        <v>9299</v>
      </c>
      <c r="C335" t="s">
        <v>9298</v>
      </c>
      <c r="D335">
        <v>1</v>
      </c>
      <c r="E335">
        <v>10</v>
      </c>
      <c r="F335">
        <v>0.93140000000000001</v>
      </c>
      <c r="H335">
        <f t="shared" si="46"/>
        <v>1</v>
      </c>
      <c r="I335" t="str">
        <f t="shared" si="51"/>
        <v>200PFA39-5001</v>
      </c>
      <c r="J335" s="6" t="str">
        <f t="shared" si="47"/>
        <v>SING CHICAGO BLUES 60 X 120</v>
      </c>
      <c r="K335" s="6">
        <f t="shared" si="48"/>
        <v>1</v>
      </c>
      <c r="L335" s="6">
        <f t="shared" si="49"/>
        <v>10</v>
      </c>
      <c r="M335" s="6">
        <f t="shared" si="50"/>
        <v>0.93140000000000001</v>
      </c>
      <c r="N335" s="6" t="str">
        <f t="shared" si="52"/>
        <v>100PFA39-6200</v>
      </c>
      <c r="O335" s="6" t="str">
        <f t="shared" si="53"/>
        <v>SINGING THE CHICAGO BLUES</v>
      </c>
    </row>
    <row r="336" spans="1:15">
      <c r="A336">
        <v>2</v>
      </c>
      <c r="B336" t="s">
        <v>9332</v>
      </c>
      <c r="C336" t="s">
        <v>9298</v>
      </c>
      <c r="D336">
        <v>1</v>
      </c>
      <c r="E336">
        <v>10</v>
      </c>
      <c r="F336">
        <v>1</v>
      </c>
      <c r="H336">
        <f t="shared" si="46"/>
        <v>2</v>
      </c>
      <c r="I336" t="str">
        <f t="shared" si="51"/>
        <v>F39PFA39N500</v>
      </c>
      <c r="J336" s="6" t="str">
        <f t="shared" si="47"/>
        <v>SING CHICAGO BLUES 60 X 120</v>
      </c>
      <c r="K336" s="6">
        <f t="shared" si="48"/>
        <v>1</v>
      </c>
      <c r="L336" s="6">
        <f t="shared" si="49"/>
        <v>10</v>
      </c>
      <c r="M336" s="6">
        <f t="shared" si="50"/>
        <v>1</v>
      </c>
      <c r="N336" s="6" t="str">
        <f t="shared" si="52"/>
        <v>100PFA39-6200</v>
      </c>
      <c r="O336" s="6" t="str">
        <f t="shared" si="53"/>
        <v>SINGING THE CHICAGO BLUES</v>
      </c>
    </row>
    <row r="337" spans="1:15">
      <c r="A337">
        <v>1</v>
      </c>
      <c r="B337" t="s">
        <v>9299</v>
      </c>
      <c r="C337" t="s">
        <v>9298</v>
      </c>
      <c r="D337">
        <v>1</v>
      </c>
      <c r="E337">
        <v>10</v>
      </c>
      <c r="F337">
        <v>0.93140000000000001</v>
      </c>
      <c r="H337">
        <f t="shared" si="46"/>
        <v>1</v>
      </c>
      <c r="I337" t="str">
        <f t="shared" si="51"/>
        <v>200PFA39-5001</v>
      </c>
      <c r="J337" s="6" t="str">
        <f t="shared" si="47"/>
        <v>SING CHICAGO BLUES 60 X 120</v>
      </c>
      <c r="K337" s="6">
        <f t="shared" si="48"/>
        <v>1</v>
      </c>
      <c r="L337" s="6">
        <f t="shared" si="49"/>
        <v>10</v>
      </c>
      <c r="M337" s="6">
        <f t="shared" si="50"/>
        <v>0.93140000000000001</v>
      </c>
      <c r="N337" s="6" t="str">
        <f t="shared" si="52"/>
        <v>100PFA39-6200</v>
      </c>
      <c r="O337" s="6" t="str">
        <f t="shared" si="53"/>
        <v>SINGING THE CHICAGO BLUES</v>
      </c>
    </row>
    <row r="338" spans="1:15">
      <c r="A338">
        <v>2</v>
      </c>
      <c r="B338" t="s">
        <v>9333</v>
      </c>
      <c r="C338" t="s">
        <v>9152</v>
      </c>
      <c r="D338">
        <v>1</v>
      </c>
      <c r="E338">
        <v>10</v>
      </c>
      <c r="F338">
        <v>1</v>
      </c>
      <c r="H338">
        <f t="shared" si="46"/>
        <v>2</v>
      </c>
      <c r="I338" t="str">
        <f t="shared" si="51"/>
        <v>F39PFA39N520</v>
      </c>
      <c r="J338" s="6" t="str">
        <f t="shared" si="47"/>
        <v>SING CHICAGO BLUES 60 X 144</v>
      </c>
      <c r="K338" s="6">
        <f t="shared" si="48"/>
        <v>1</v>
      </c>
      <c r="L338" s="6">
        <f t="shared" si="49"/>
        <v>10</v>
      </c>
      <c r="M338" s="6">
        <f t="shared" si="50"/>
        <v>1</v>
      </c>
      <c r="N338" s="6" t="str">
        <f t="shared" si="52"/>
        <v>100PFA39-6200</v>
      </c>
      <c r="O338" s="6" t="str">
        <f t="shared" si="53"/>
        <v>SINGING THE CHICAGO BLUES</v>
      </c>
    </row>
    <row r="339" spans="1:15">
      <c r="A339">
        <v>1</v>
      </c>
      <c r="B339" t="s">
        <v>9151</v>
      </c>
      <c r="C339" t="s">
        <v>9152</v>
      </c>
      <c r="D339">
        <v>1</v>
      </c>
      <c r="E339">
        <v>10</v>
      </c>
      <c r="F339">
        <v>1.1133999999999999</v>
      </c>
      <c r="H339">
        <f t="shared" si="46"/>
        <v>1</v>
      </c>
      <c r="I339" t="str">
        <f t="shared" si="51"/>
        <v>200PFA39-5201</v>
      </c>
      <c r="J339" s="6" t="str">
        <f t="shared" si="47"/>
        <v>SING CHICAGO BLUES 60 X 144</v>
      </c>
      <c r="K339" s="6">
        <f t="shared" si="48"/>
        <v>1</v>
      </c>
      <c r="L339" s="6">
        <f t="shared" si="49"/>
        <v>10</v>
      </c>
      <c r="M339" s="6">
        <f t="shared" si="50"/>
        <v>1.1133999999999999</v>
      </c>
      <c r="N339" s="6" t="str">
        <f t="shared" si="52"/>
        <v>100PFA39-6200</v>
      </c>
      <c r="O339" s="6" t="str">
        <f t="shared" si="53"/>
        <v>SINGING THE CHICAGO BLUES</v>
      </c>
    </row>
    <row r="340" spans="1:15">
      <c r="A340">
        <v>2</v>
      </c>
      <c r="B340" t="s">
        <v>9334</v>
      </c>
      <c r="C340" t="s">
        <v>9304</v>
      </c>
      <c r="D340">
        <v>1</v>
      </c>
      <c r="E340">
        <v>10</v>
      </c>
      <c r="F340">
        <v>1</v>
      </c>
      <c r="H340">
        <f t="shared" si="46"/>
        <v>2</v>
      </c>
      <c r="I340" t="str">
        <f t="shared" si="51"/>
        <v>F39PFA39N580</v>
      </c>
      <c r="J340" s="6" t="str">
        <f t="shared" si="47"/>
        <v>SING CHICAGO BLUES 60 X 96</v>
      </c>
      <c r="K340" s="6">
        <f t="shared" si="48"/>
        <v>1</v>
      </c>
      <c r="L340" s="6">
        <f t="shared" si="49"/>
        <v>10</v>
      </c>
      <c r="M340" s="6">
        <f t="shared" si="50"/>
        <v>1</v>
      </c>
      <c r="N340" s="6" t="str">
        <f t="shared" si="52"/>
        <v>100PFA39-6200</v>
      </c>
      <c r="O340" s="6" t="str">
        <f t="shared" si="53"/>
        <v>SINGING THE CHICAGO BLUES</v>
      </c>
    </row>
    <row r="341" spans="1:15">
      <c r="A341">
        <v>1</v>
      </c>
      <c r="B341" t="s">
        <v>9312</v>
      </c>
      <c r="C341" t="s">
        <v>9304</v>
      </c>
      <c r="D341">
        <v>1</v>
      </c>
      <c r="E341">
        <v>10</v>
      </c>
      <c r="F341">
        <v>0.74950000000000006</v>
      </c>
      <c r="H341">
        <f t="shared" si="46"/>
        <v>1</v>
      </c>
      <c r="I341" t="str">
        <f t="shared" si="51"/>
        <v>200PFA39-5801</v>
      </c>
      <c r="J341" s="6" t="str">
        <f t="shared" si="47"/>
        <v>SING CHICAGO BLUES 60 X 96</v>
      </c>
      <c r="K341" s="6">
        <f t="shared" si="48"/>
        <v>1</v>
      </c>
      <c r="L341" s="6">
        <f t="shared" si="49"/>
        <v>10</v>
      </c>
      <c r="M341" s="6">
        <f t="shared" si="50"/>
        <v>0.74950000000000006</v>
      </c>
      <c r="N341" s="6" t="str">
        <f t="shared" si="52"/>
        <v>100PFA39-6200</v>
      </c>
      <c r="O341" s="6" t="str">
        <f t="shared" si="53"/>
        <v>SINGING THE CHICAGO BLUES</v>
      </c>
    </row>
    <row r="342" spans="1:15">
      <c r="A342">
        <v>2</v>
      </c>
      <c r="B342" t="s">
        <v>9335</v>
      </c>
      <c r="C342" t="s">
        <v>9307</v>
      </c>
      <c r="D342">
        <v>1</v>
      </c>
      <c r="E342">
        <v>10</v>
      </c>
      <c r="F342">
        <v>0.5</v>
      </c>
      <c r="H342">
        <f t="shared" si="46"/>
        <v>2</v>
      </c>
      <c r="I342" t="str">
        <f t="shared" si="51"/>
        <v>F39PFA39SD000</v>
      </c>
      <c r="J342" s="6" t="str">
        <f t="shared" si="47"/>
        <v>SING CHICAGO BLUES 30 X 120</v>
      </c>
      <c r="K342" s="6">
        <f t="shared" si="48"/>
        <v>1</v>
      </c>
      <c r="L342" s="6">
        <f t="shared" si="49"/>
        <v>10</v>
      </c>
      <c r="M342" s="6">
        <f t="shared" si="50"/>
        <v>0.5</v>
      </c>
      <c r="N342" s="6" t="str">
        <f t="shared" si="52"/>
        <v>100PFA39-6200</v>
      </c>
      <c r="O342" s="6" t="str">
        <f t="shared" si="53"/>
        <v>SINGING THE CHICAGO BLUES</v>
      </c>
    </row>
    <row r="343" spans="1:15">
      <c r="A343">
        <v>1</v>
      </c>
      <c r="B343" t="s">
        <v>9299</v>
      </c>
      <c r="C343" t="s">
        <v>9298</v>
      </c>
      <c r="D343">
        <v>1</v>
      </c>
      <c r="E343">
        <v>10</v>
      </c>
      <c r="F343">
        <v>0.93140000000000001</v>
      </c>
      <c r="H343">
        <f t="shared" si="46"/>
        <v>1</v>
      </c>
      <c r="I343" t="str">
        <f t="shared" si="51"/>
        <v>200PFA39-5001</v>
      </c>
      <c r="J343" s="6" t="str">
        <f t="shared" si="47"/>
        <v>SING CHICAGO BLUES 60 X 120</v>
      </c>
      <c r="K343" s="6">
        <f t="shared" si="48"/>
        <v>1</v>
      </c>
      <c r="L343" s="6">
        <f t="shared" si="49"/>
        <v>10</v>
      </c>
      <c r="M343" s="6">
        <f t="shared" si="50"/>
        <v>0.93140000000000001</v>
      </c>
      <c r="N343" s="6" t="str">
        <f t="shared" si="52"/>
        <v>100PFA39-6200</v>
      </c>
      <c r="O343" s="6" t="str">
        <f t="shared" si="53"/>
        <v>SINGING THE CHICAGO BLUES</v>
      </c>
    </row>
    <row r="344" spans="1:15">
      <c r="A344">
        <v>2</v>
      </c>
      <c r="B344" t="s">
        <v>9336</v>
      </c>
      <c r="C344" t="s">
        <v>9309</v>
      </c>
      <c r="D344">
        <v>1</v>
      </c>
      <c r="E344">
        <v>10</v>
      </c>
      <c r="F344">
        <v>0.5</v>
      </c>
      <c r="H344">
        <f t="shared" si="46"/>
        <v>2</v>
      </c>
      <c r="I344" t="str">
        <f t="shared" si="51"/>
        <v>F39PFA39SD020</v>
      </c>
      <c r="J344" s="6" t="str">
        <f t="shared" si="47"/>
        <v>SING CHICAGO BLUES 30 X 144</v>
      </c>
      <c r="K344" s="6">
        <f t="shared" si="48"/>
        <v>1</v>
      </c>
      <c r="L344" s="6">
        <f t="shared" si="49"/>
        <v>10</v>
      </c>
      <c r="M344" s="6">
        <f t="shared" si="50"/>
        <v>0.5</v>
      </c>
      <c r="N344" s="6" t="str">
        <f t="shared" si="52"/>
        <v>100PFA39-6200</v>
      </c>
      <c r="O344" s="6" t="str">
        <f t="shared" si="53"/>
        <v>SINGING THE CHICAGO BLUES</v>
      </c>
    </row>
    <row r="345" spans="1:15">
      <c r="A345">
        <v>1</v>
      </c>
      <c r="B345" t="s">
        <v>9151</v>
      </c>
      <c r="C345" t="s">
        <v>9152</v>
      </c>
      <c r="D345">
        <v>1</v>
      </c>
      <c r="E345">
        <v>10</v>
      </c>
      <c r="F345">
        <v>1.1133999999999999</v>
      </c>
      <c r="H345">
        <f t="shared" si="46"/>
        <v>1</v>
      </c>
      <c r="I345" t="str">
        <f t="shared" si="51"/>
        <v>200PFA39-5201</v>
      </c>
      <c r="J345" s="6" t="str">
        <f t="shared" si="47"/>
        <v>SING CHICAGO BLUES 60 X 144</v>
      </c>
      <c r="K345" s="6">
        <f t="shared" si="48"/>
        <v>1</v>
      </c>
      <c r="L345" s="6">
        <f t="shared" si="49"/>
        <v>10</v>
      </c>
      <c r="M345" s="6">
        <f t="shared" si="50"/>
        <v>1.1133999999999999</v>
      </c>
      <c r="N345" s="6" t="str">
        <f t="shared" si="52"/>
        <v>100PFA39-6200</v>
      </c>
      <c r="O345" s="6" t="str">
        <f t="shared" si="53"/>
        <v>SINGING THE CHICAGO BLUES</v>
      </c>
    </row>
    <row r="346" spans="1:15">
      <c r="A346">
        <v>2</v>
      </c>
      <c r="B346" t="s">
        <v>9337</v>
      </c>
      <c r="C346" t="s">
        <v>9311</v>
      </c>
      <c r="D346">
        <v>1</v>
      </c>
      <c r="E346">
        <v>10</v>
      </c>
      <c r="F346">
        <v>0.5</v>
      </c>
      <c r="H346">
        <f t="shared" si="46"/>
        <v>2</v>
      </c>
      <c r="I346" t="str">
        <f t="shared" si="51"/>
        <v>F39PFA39SD080</v>
      </c>
      <c r="J346" s="6" t="str">
        <f t="shared" si="47"/>
        <v>SING CHICAGO BLUES 30 X 96</v>
      </c>
      <c r="K346" s="6">
        <f t="shared" si="48"/>
        <v>1</v>
      </c>
      <c r="L346" s="6">
        <f t="shared" si="49"/>
        <v>10</v>
      </c>
      <c r="M346" s="6">
        <f t="shared" si="50"/>
        <v>0.5</v>
      </c>
      <c r="N346" s="6" t="str">
        <f t="shared" si="52"/>
        <v>100PFA39-6200</v>
      </c>
      <c r="O346" s="6" t="str">
        <f t="shared" si="53"/>
        <v>SINGING THE CHICAGO BLUES</v>
      </c>
    </row>
    <row r="347" spans="1:15">
      <c r="A347">
        <v>1</v>
      </c>
      <c r="B347" t="s">
        <v>9312</v>
      </c>
      <c r="C347" t="s">
        <v>9304</v>
      </c>
      <c r="D347">
        <v>1</v>
      </c>
      <c r="E347">
        <v>10</v>
      </c>
      <c r="F347">
        <v>0.74950000000000006</v>
      </c>
      <c r="H347">
        <f t="shared" si="46"/>
        <v>1</v>
      </c>
      <c r="I347" t="str">
        <f t="shared" si="51"/>
        <v>200PFA39-5801</v>
      </c>
      <c r="J347" s="6" t="str">
        <f t="shared" si="47"/>
        <v>SING CHICAGO BLUES 60 X 96</v>
      </c>
      <c r="K347" s="6">
        <f t="shared" si="48"/>
        <v>1</v>
      </c>
      <c r="L347" s="6">
        <f t="shared" si="49"/>
        <v>10</v>
      </c>
      <c r="M347" s="6">
        <f t="shared" si="50"/>
        <v>0.74950000000000006</v>
      </c>
      <c r="N347" s="6" t="str">
        <f t="shared" si="52"/>
        <v>100PFA39-6200</v>
      </c>
      <c r="O347" s="6" t="str">
        <f t="shared" si="53"/>
        <v>SINGING THE CHICAGO BLUES</v>
      </c>
    </row>
    <row r="348" spans="1:15">
      <c r="A348">
        <v>2</v>
      </c>
      <c r="B348" t="s">
        <v>9338</v>
      </c>
      <c r="C348" t="s">
        <v>9298</v>
      </c>
      <c r="D348">
        <v>1</v>
      </c>
      <c r="E348">
        <v>10</v>
      </c>
      <c r="F348">
        <v>1</v>
      </c>
      <c r="H348">
        <f t="shared" si="46"/>
        <v>2</v>
      </c>
      <c r="I348" t="str">
        <f t="shared" si="51"/>
        <v>F39PFA39SD5003</v>
      </c>
      <c r="J348" s="6" t="str">
        <f t="shared" si="47"/>
        <v>SING CHICAGO BLUES 60 X 120</v>
      </c>
      <c r="K348" s="6">
        <f t="shared" si="48"/>
        <v>1</v>
      </c>
      <c r="L348" s="6">
        <f t="shared" si="49"/>
        <v>10</v>
      </c>
      <c r="M348" s="6">
        <f t="shared" si="50"/>
        <v>1</v>
      </c>
      <c r="N348" s="6" t="str">
        <f t="shared" si="52"/>
        <v>100PFA39-6200</v>
      </c>
      <c r="O348" s="6" t="str">
        <f t="shared" si="53"/>
        <v>SINGING THE CHICAGO BLUES</v>
      </c>
    </row>
    <row r="349" spans="1:15">
      <c r="A349">
        <v>1</v>
      </c>
      <c r="B349" t="s">
        <v>9299</v>
      </c>
      <c r="C349" t="s">
        <v>9298</v>
      </c>
      <c r="D349">
        <v>1</v>
      </c>
      <c r="E349">
        <v>10</v>
      </c>
      <c r="F349">
        <v>0.93140000000000001</v>
      </c>
      <c r="H349">
        <f t="shared" si="46"/>
        <v>1</v>
      </c>
      <c r="I349" t="str">
        <f t="shared" si="51"/>
        <v>200PFA39-5001</v>
      </c>
      <c r="J349" s="6" t="str">
        <f t="shared" si="47"/>
        <v>SING CHICAGO BLUES 60 X 120</v>
      </c>
      <c r="K349" s="6">
        <f t="shared" si="48"/>
        <v>1</v>
      </c>
      <c r="L349" s="6">
        <f t="shared" si="49"/>
        <v>10</v>
      </c>
      <c r="M349" s="6">
        <f t="shared" si="50"/>
        <v>0.93140000000000001</v>
      </c>
      <c r="N349" s="6" t="str">
        <f t="shared" si="52"/>
        <v>100PFA39-6200</v>
      </c>
      <c r="O349" s="6" t="str">
        <f t="shared" si="53"/>
        <v>SINGING THE CHICAGO BLUES</v>
      </c>
    </row>
    <row r="350" spans="1:15">
      <c r="A350">
        <v>2</v>
      </c>
      <c r="B350" t="s">
        <v>9339</v>
      </c>
      <c r="C350" t="s">
        <v>9298</v>
      </c>
      <c r="D350">
        <v>1</v>
      </c>
      <c r="E350">
        <v>10</v>
      </c>
      <c r="F350">
        <v>1</v>
      </c>
      <c r="H350">
        <f t="shared" si="46"/>
        <v>2</v>
      </c>
      <c r="I350" t="str">
        <f t="shared" si="51"/>
        <v>F39PFA39SD500</v>
      </c>
      <c r="J350" s="6" t="str">
        <f t="shared" si="47"/>
        <v>SING CHICAGO BLUES 60 X 120</v>
      </c>
      <c r="K350" s="6">
        <f t="shared" si="48"/>
        <v>1</v>
      </c>
      <c r="L350" s="6">
        <f t="shared" si="49"/>
        <v>10</v>
      </c>
      <c r="M350" s="6">
        <f t="shared" si="50"/>
        <v>1</v>
      </c>
      <c r="N350" s="6" t="str">
        <f t="shared" si="52"/>
        <v>100PFA39-6200</v>
      </c>
      <c r="O350" s="6" t="str">
        <f t="shared" si="53"/>
        <v>SINGING THE CHICAGO BLUES</v>
      </c>
    </row>
    <row r="351" spans="1:15">
      <c r="A351">
        <v>1</v>
      </c>
      <c r="B351" t="s">
        <v>9299</v>
      </c>
      <c r="C351" t="s">
        <v>9298</v>
      </c>
      <c r="D351">
        <v>1</v>
      </c>
      <c r="E351">
        <v>10</v>
      </c>
      <c r="F351">
        <v>0.93140000000000001</v>
      </c>
      <c r="H351">
        <f t="shared" si="46"/>
        <v>1</v>
      </c>
      <c r="I351" t="str">
        <f t="shared" si="51"/>
        <v>200PFA39-5001</v>
      </c>
      <c r="J351" s="6" t="str">
        <f t="shared" si="47"/>
        <v>SING CHICAGO BLUES 60 X 120</v>
      </c>
      <c r="K351" s="6">
        <f t="shared" si="48"/>
        <v>1</v>
      </c>
      <c r="L351" s="6">
        <f t="shared" si="49"/>
        <v>10</v>
      </c>
      <c r="M351" s="6">
        <f t="shared" si="50"/>
        <v>0.93140000000000001</v>
      </c>
      <c r="N351" s="6" t="str">
        <f t="shared" si="52"/>
        <v>100PFA39-6200</v>
      </c>
      <c r="O351" s="6" t="str">
        <f t="shared" si="53"/>
        <v>SINGING THE CHICAGO BLUES</v>
      </c>
    </row>
    <row r="352" spans="1:15">
      <c r="A352">
        <v>2</v>
      </c>
      <c r="B352" t="s">
        <v>9340</v>
      </c>
      <c r="C352" t="s">
        <v>9152</v>
      </c>
      <c r="D352">
        <v>1</v>
      </c>
      <c r="E352">
        <v>10</v>
      </c>
      <c r="F352">
        <v>1</v>
      </c>
      <c r="H352">
        <f t="shared" ref="H352:H415" si="54">A352</f>
        <v>2</v>
      </c>
      <c r="I352" t="str">
        <f t="shared" si="51"/>
        <v>F39PFA39SD520</v>
      </c>
      <c r="J352" s="6" t="str">
        <f t="shared" ref="J352:J415" si="55">C352</f>
        <v>SING CHICAGO BLUES 60 X 144</v>
      </c>
      <c r="K352" s="6">
        <f t="shared" ref="K352:K415" si="56">D352</f>
        <v>1</v>
      </c>
      <c r="L352" s="6">
        <f t="shared" ref="L352:L415" si="57">E352</f>
        <v>10</v>
      </c>
      <c r="M352" s="6">
        <f t="shared" ref="M352:M415" si="58">F352</f>
        <v>1</v>
      </c>
      <c r="N352" s="6" t="str">
        <f t="shared" si="52"/>
        <v>100PFA39-6200</v>
      </c>
      <c r="O352" s="6" t="str">
        <f t="shared" si="53"/>
        <v>SINGING THE CHICAGO BLUES</v>
      </c>
    </row>
    <row r="353" spans="1:15">
      <c r="A353">
        <v>1</v>
      </c>
      <c r="B353" t="s">
        <v>9151</v>
      </c>
      <c r="C353" t="s">
        <v>9152</v>
      </c>
      <c r="D353">
        <v>1</v>
      </c>
      <c r="E353">
        <v>10</v>
      </c>
      <c r="F353">
        <v>1.1133999999999999</v>
      </c>
      <c r="H353">
        <f t="shared" si="54"/>
        <v>1</v>
      </c>
      <c r="I353" t="str">
        <f t="shared" si="51"/>
        <v>200PFA39-5201</v>
      </c>
      <c r="J353" s="6" t="str">
        <f t="shared" si="55"/>
        <v>SING CHICAGO BLUES 60 X 144</v>
      </c>
      <c r="K353" s="6">
        <f t="shared" si="56"/>
        <v>1</v>
      </c>
      <c r="L353" s="6">
        <f t="shared" si="57"/>
        <v>10</v>
      </c>
      <c r="M353" s="6">
        <f t="shared" si="58"/>
        <v>1.1133999999999999</v>
      </c>
      <c r="N353" s="6" t="str">
        <f t="shared" si="52"/>
        <v>100PFA39-6200</v>
      </c>
      <c r="O353" s="6" t="str">
        <f t="shared" si="53"/>
        <v>SINGING THE CHICAGO BLUES</v>
      </c>
    </row>
    <row r="354" spans="1:15">
      <c r="A354">
        <v>2</v>
      </c>
      <c r="B354" t="s">
        <v>9341</v>
      </c>
      <c r="C354" t="s">
        <v>9304</v>
      </c>
      <c r="D354">
        <v>1</v>
      </c>
      <c r="E354">
        <v>10</v>
      </c>
      <c r="F354">
        <v>1</v>
      </c>
      <c r="H354">
        <f t="shared" si="54"/>
        <v>2</v>
      </c>
      <c r="I354" t="str">
        <f t="shared" si="51"/>
        <v>F39PFA39SD580</v>
      </c>
      <c r="J354" s="6" t="str">
        <f t="shared" si="55"/>
        <v>SING CHICAGO BLUES 60 X 96</v>
      </c>
      <c r="K354" s="6">
        <f t="shared" si="56"/>
        <v>1</v>
      </c>
      <c r="L354" s="6">
        <f t="shared" si="57"/>
        <v>10</v>
      </c>
      <c r="M354" s="6">
        <f t="shared" si="58"/>
        <v>1</v>
      </c>
      <c r="N354" s="6" t="str">
        <f t="shared" si="52"/>
        <v>100PFA39-6200</v>
      </c>
      <c r="O354" s="6" t="str">
        <f t="shared" si="53"/>
        <v>SINGING THE CHICAGO BLUES</v>
      </c>
    </row>
    <row r="355" spans="1:15">
      <c r="A355">
        <v>1</v>
      </c>
      <c r="B355" t="s">
        <v>9312</v>
      </c>
      <c r="C355" t="s">
        <v>9304</v>
      </c>
      <c r="D355">
        <v>1</v>
      </c>
      <c r="E355">
        <v>10</v>
      </c>
      <c r="F355">
        <v>0.74950000000000006</v>
      </c>
      <c r="H355">
        <f t="shared" si="54"/>
        <v>1</v>
      </c>
      <c r="I355" t="str">
        <f t="shared" si="51"/>
        <v>200PFA39-5801</v>
      </c>
      <c r="J355" s="6" t="str">
        <f t="shared" si="55"/>
        <v>SING CHICAGO BLUES 60 X 96</v>
      </c>
      <c r="K355" s="6">
        <f t="shared" si="56"/>
        <v>1</v>
      </c>
      <c r="L355" s="6">
        <f t="shared" si="57"/>
        <v>10</v>
      </c>
      <c r="M355" s="6">
        <f t="shared" si="58"/>
        <v>0.74950000000000006</v>
      </c>
      <c r="N355" s="6" t="str">
        <f t="shared" si="52"/>
        <v>100PFA39-6200</v>
      </c>
      <c r="O355" s="6" t="str">
        <f t="shared" si="53"/>
        <v>SINGING THE CHICAGO BLUES</v>
      </c>
    </row>
    <row r="356" spans="1:15">
      <c r="A356">
        <v>2</v>
      </c>
      <c r="B356" t="s">
        <v>9342</v>
      </c>
      <c r="C356" t="s">
        <v>9343</v>
      </c>
      <c r="D356">
        <v>1</v>
      </c>
      <c r="E356">
        <v>10</v>
      </c>
      <c r="F356">
        <v>1</v>
      </c>
      <c r="H356">
        <f t="shared" si="54"/>
        <v>2</v>
      </c>
      <c r="I356" t="str">
        <f t="shared" si="51"/>
        <v>FI3PFA40N580</v>
      </c>
      <c r="J356" s="6" t="str">
        <f t="shared" si="55"/>
        <v>SING CHICAGO BLUES H/W 60 X 96</v>
      </c>
      <c r="K356" s="6">
        <f t="shared" si="56"/>
        <v>1</v>
      </c>
      <c r="L356" s="6">
        <f t="shared" si="57"/>
        <v>10</v>
      </c>
      <c r="M356" s="6">
        <f t="shared" si="58"/>
        <v>1</v>
      </c>
      <c r="N356" s="6" t="str">
        <f t="shared" si="52"/>
        <v>100PFA39-6200</v>
      </c>
      <c r="O356" s="6" t="str">
        <f t="shared" si="53"/>
        <v>SINGING THE CHICAGO BLUES</v>
      </c>
    </row>
    <row r="357" spans="1:15">
      <c r="A357">
        <v>1</v>
      </c>
      <c r="B357" t="s">
        <v>9312</v>
      </c>
      <c r="C357" t="s">
        <v>9304</v>
      </c>
      <c r="D357">
        <v>1</v>
      </c>
      <c r="E357">
        <v>10</v>
      </c>
      <c r="F357">
        <v>0.74950000000000006</v>
      </c>
      <c r="H357">
        <f t="shared" si="54"/>
        <v>1</v>
      </c>
      <c r="I357" t="str">
        <f t="shared" si="51"/>
        <v>200PFA39-5801</v>
      </c>
      <c r="J357" s="6" t="str">
        <f t="shared" si="55"/>
        <v>SING CHICAGO BLUES 60 X 96</v>
      </c>
      <c r="K357" s="6">
        <f t="shared" si="56"/>
        <v>1</v>
      </c>
      <c r="L357" s="6">
        <f t="shared" si="57"/>
        <v>10</v>
      </c>
      <c r="M357" s="6">
        <f t="shared" si="58"/>
        <v>0.74950000000000006</v>
      </c>
      <c r="N357" s="6" t="str">
        <f t="shared" si="52"/>
        <v>100PFA39-6200</v>
      </c>
      <c r="O357" s="6" t="str">
        <f t="shared" si="53"/>
        <v>SINGING THE CHICAGO BLUES</v>
      </c>
    </row>
    <row r="358" spans="1:15">
      <c r="A358">
        <v>2</v>
      </c>
      <c r="B358" t="s">
        <v>9344</v>
      </c>
      <c r="C358" t="s">
        <v>9345</v>
      </c>
      <c r="D358">
        <v>1</v>
      </c>
      <c r="E358">
        <v>10</v>
      </c>
      <c r="F358">
        <v>1</v>
      </c>
      <c r="H358">
        <f t="shared" si="54"/>
        <v>2</v>
      </c>
      <c r="I358" t="str">
        <f t="shared" si="51"/>
        <v>G24PFA39AM23</v>
      </c>
      <c r="J358" s="6" t="str">
        <f t="shared" si="55"/>
        <v>PFA39 UV PRO NBR 14.15 X 144</v>
      </c>
      <c r="K358" s="6">
        <f t="shared" si="56"/>
        <v>1</v>
      </c>
      <c r="L358" s="6">
        <f t="shared" si="57"/>
        <v>10</v>
      </c>
      <c r="M358" s="6">
        <f t="shared" si="58"/>
        <v>1</v>
      </c>
      <c r="N358" s="6" t="str">
        <f t="shared" si="52"/>
        <v>100PFA39-6200</v>
      </c>
      <c r="O358" s="6" t="str">
        <f t="shared" si="53"/>
        <v>SINGING THE CHICAGO BLUES</v>
      </c>
    </row>
    <row r="359" spans="1:15">
      <c r="A359">
        <v>1</v>
      </c>
      <c r="B359" t="s">
        <v>9181</v>
      </c>
      <c r="C359" t="s">
        <v>9182</v>
      </c>
      <c r="D359">
        <v>1</v>
      </c>
      <c r="E359">
        <v>10</v>
      </c>
      <c r="F359">
        <v>1.1133999999999999</v>
      </c>
      <c r="H359">
        <f t="shared" si="54"/>
        <v>1</v>
      </c>
      <c r="I359" t="str">
        <f t="shared" si="51"/>
        <v>200PFA39-12L1</v>
      </c>
      <c r="J359" s="6" t="str">
        <f t="shared" si="55"/>
        <v>SING CHICAGO BLUES (L) 43X145</v>
      </c>
      <c r="K359" s="6">
        <f t="shared" si="56"/>
        <v>1</v>
      </c>
      <c r="L359" s="6">
        <f t="shared" si="57"/>
        <v>10</v>
      </c>
      <c r="M359" s="6">
        <f t="shared" si="58"/>
        <v>1.1133999999999999</v>
      </c>
      <c r="N359" s="6" t="str">
        <f t="shared" si="52"/>
        <v>100PFA39-6200</v>
      </c>
      <c r="O359" s="6" t="str">
        <f t="shared" si="53"/>
        <v>SINGING THE CHICAGO BLUES</v>
      </c>
    </row>
    <row r="360" spans="1:15">
      <c r="A360">
        <v>2</v>
      </c>
      <c r="B360" t="s">
        <v>9346</v>
      </c>
      <c r="C360" t="s">
        <v>9347</v>
      </c>
      <c r="D360">
        <v>1</v>
      </c>
      <c r="E360">
        <v>10</v>
      </c>
      <c r="F360">
        <v>1</v>
      </c>
      <c r="H360">
        <f t="shared" si="54"/>
        <v>2</v>
      </c>
      <c r="I360" t="str">
        <f t="shared" si="51"/>
        <v>G24PFA39AM24</v>
      </c>
      <c r="J360" s="6" t="str">
        <f t="shared" si="55"/>
        <v>PFA39 UV PRO WBR 15.25 X 144</v>
      </c>
      <c r="K360" s="6">
        <f t="shared" si="56"/>
        <v>1</v>
      </c>
      <c r="L360" s="6">
        <f t="shared" si="57"/>
        <v>10</v>
      </c>
      <c r="M360" s="6">
        <f t="shared" si="58"/>
        <v>1</v>
      </c>
      <c r="N360" s="6" t="str">
        <f t="shared" si="52"/>
        <v>100PFA39-6200</v>
      </c>
      <c r="O360" s="6" t="str">
        <f t="shared" si="53"/>
        <v>SINGING THE CHICAGO BLUES</v>
      </c>
    </row>
    <row r="361" spans="1:15">
      <c r="A361">
        <v>1</v>
      </c>
      <c r="B361" t="s">
        <v>9181</v>
      </c>
      <c r="C361" t="s">
        <v>9182</v>
      </c>
      <c r="D361">
        <v>1</v>
      </c>
      <c r="E361">
        <v>10</v>
      </c>
      <c r="F361">
        <v>1.1133999999999999</v>
      </c>
      <c r="H361">
        <f t="shared" si="54"/>
        <v>1</v>
      </c>
      <c r="I361" t="str">
        <f t="shared" si="51"/>
        <v>200PFA39-12L1</v>
      </c>
      <c r="J361" s="6" t="str">
        <f t="shared" si="55"/>
        <v>SING CHICAGO BLUES (L) 43X145</v>
      </c>
      <c r="K361" s="6">
        <f t="shared" si="56"/>
        <v>1</v>
      </c>
      <c r="L361" s="6">
        <f t="shared" si="57"/>
        <v>10</v>
      </c>
      <c r="M361" s="6">
        <f t="shared" si="58"/>
        <v>1.1133999999999999</v>
      </c>
      <c r="N361" s="6" t="str">
        <f t="shared" si="52"/>
        <v>100PFA39-6200</v>
      </c>
      <c r="O361" s="6" t="str">
        <f t="shared" si="53"/>
        <v>SINGING THE CHICAGO BLUES</v>
      </c>
    </row>
    <row r="362" spans="1:15">
      <c r="A362">
        <v>2</v>
      </c>
      <c r="B362" t="s">
        <v>9348</v>
      </c>
      <c r="C362" t="s">
        <v>9349</v>
      </c>
      <c r="D362">
        <v>1</v>
      </c>
      <c r="E362">
        <v>10</v>
      </c>
      <c r="F362">
        <v>2</v>
      </c>
      <c r="H362">
        <f t="shared" si="54"/>
        <v>2</v>
      </c>
      <c r="I362" t="str">
        <f t="shared" si="51"/>
        <v>G24PFA39ARAE</v>
      </c>
      <c r="J362" s="6" t="str">
        <f t="shared" si="55"/>
        <v>PFA39 UV PRO WW 42 1/2X145.25</v>
      </c>
      <c r="K362" s="6">
        <f t="shared" si="56"/>
        <v>1</v>
      </c>
      <c r="L362" s="6">
        <f t="shared" si="57"/>
        <v>10</v>
      </c>
      <c r="M362" s="6">
        <f t="shared" si="58"/>
        <v>2</v>
      </c>
      <c r="N362" s="6" t="str">
        <f t="shared" si="52"/>
        <v>100PFA39-6200</v>
      </c>
      <c r="O362" s="6" t="str">
        <f t="shared" si="53"/>
        <v>SINGING THE CHICAGO BLUES</v>
      </c>
    </row>
    <row r="363" spans="1:15">
      <c r="A363">
        <v>1</v>
      </c>
      <c r="B363" t="s">
        <v>9181</v>
      </c>
      <c r="C363" t="s">
        <v>9182</v>
      </c>
      <c r="D363">
        <v>1</v>
      </c>
      <c r="E363">
        <v>10</v>
      </c>
      <c r="F363">
        <v>1.1133999999999999</v>
      </c>
      <c r="H363">
        <f t="shared" si="54"/>
        <v>1</v>
      </c>
      <c r="I363" t="str">
        <f t="shared" si="51"/>
        <v>200PFA39-12L1</v>
      </c>
      <c r="J363" s="6" t="str">
        <f t="shared" si="55"/>
        <v>SING CHICAGO BLUES (L) 43X145</v>
      </c>
      <c r="K363" s="6">
        <f t="shared" si="56"/>
        <v>1</v>
      </c>
      <c r="L363" s="6">
        <f t="shared" si="57"/>
        <v>10</v>
      </c>
      <c r="M363" s="6">
        <f t="shared" si="58"/>
        <v>1.1133999999999999</v>
      </c>
      <c r="N363" s="6" t="str">
        <f t="shared" si="52"/>
        <v>100PFA39-6200</v>
      </c>
      <c r="O363" s="6" t="str">
        <f t="shared" si="53"/>
        <v>SINGING THE CHICAGO BLUES</v>
      </c>
    </row>
    <row r="364" spans="1:15">
      <c r="A364">
        <v>2</v>
      </c>
      <c r="B364" t="s">
        <v>9350</v>
      </c>
      <c r="C364" t="s">
        <v>9349</v>
      </c>
      <c r="D364">
        <v>1</v>
      </c>
      <c r="E364">
        <v>10</v>
      </c>
      <c r="F364">
        <v>2</v>
      </c>
      <c r="H364">
        <f t="shared" si="54"/>
        <v>2</v>
      </c>
      <c r="I364" t="str">
        <f t="shared" si="51"/>
        <v>G25PFA39ARAE</v>
      </c>
      <c r="J364" s="6" t="str">
        <f t="shared" si="55"/>
        <v>PFA39 UV PRO WW 42 1/2X145.25</v>
      </c>
      <c r="K364" s="6">
        <f t="shared" si="56"/>
        <v>1</v>
      </c>
      <c r="L364" s="6">
        <f t="shared" si="57"/>
        <v>10</v>
      </c>
      <c r="M364" s="6">
        <f t="shared" si="58"/>
        <v>2</v>
      </c>
      <c r="N364" s="6" t="str">
        <f t="shared" si="52"/>
        <v>100PFA39-6200</v>
      </c>
      <c r="O364" s="6" t="str">
        <f t="shared" si="53"/>
        <v>SINGING THE CHICAGO BLUES</v>
      </c>
    </row>
    <row r="365" spans="1:15">
      <c r="A365">
        <v>1</v>
      </c>
      <c r="B365" t="s">
        <v>9181</v>
      </c>
      <c r="C365" t="s">
        <v>9182</v>
      </c>
      <c r="D365">
        <v>1</v>
      </c>
      <c r="E365">
        <v>10</v>
      </c>
      <c r="F365">
        <v>1.1133999999999999</v>
      </c>
      <c r="H365">
        <f t="shared" si="54"/>
        <v>1</v>
      </c>
      <c r="I365" t="str">
        <f t="shared" si="51"/>
        <v>200PFA39-12L1</v>
      </c>
      <c r="J365" s="6" t="str">
        <f t="shared" si="55"/>
        <v>SING CHICAGO BLUES (L) 43X145</v>
      </c>
      <c r="K365" s="6">
        <f t="shared" si="56"/>
        <v>1</v>
      </c>
      <c r="L365" s="6">
        <f t="shared" si="57"/>
        <v>10</v>
      </c>
      <c r="M365" s="6">
        <f t="shared" si="58"/>
        <v>1.1133999999999999</v>
      </c>
      <c r="N365" s="6" t="str">
        <f t="shared" si="52"/>
        <v>100PFA39-6200</v>
      </c>
      <c r="O365" s="6" t="str">
        <f t="shared" si="53"/>
        <v>SINGING THE CHICAGO BLUES</v>
      </c>
    </row>
    <row r="366" spans="1:15">
      <c r="A366">
        <v>2</v>
      </c>
      <c r="B366" t="s">
        <v>9351</v>
      </c>
      <c r="C366" t="s">
        <v>9152</v>
      </c>
      <c r="D366">
        <v>1</v>
      </c>
      <c r="E366">
        <v>10</v>
      </c>
      <c r="F366">
        <v>1</v>
      </c>
      <c r="H366">
        <f t="shared" si="54"/>
        <v>2</v>
      </c>
      <c r="I366" t="str">
        <f t="shared" si="51"/>
        <v>G48PFA39CR520</v>
      </c>
      <c r="J366" s="6" t="str">
        <f t="shared" si="55"/>
        <v>SING CHICAGO BLUES 60 X 144</v>
      </c>
      <c r="K366" s="6">
        <f t="shared" si="56"/>
        <v>1</v>
      </c>
      <c r="L366" s="6">
        <f t="shared" si="57"/>
        <v>10</v>
      </c>
      <c r="M366" s="6">
        <f t="shared" si="58"/>
        <v>1</v>
      </c>
      <c r="N366" s="6" t="str">
        <f t="shared" si="52"/>
        <v>100PFA39-6200</v>
      </c>
      <c r="O366" s="6" t="str">
        <f t="shared" si="53"/>
        <v>SINGING THE CHICAGO BLUES</v>
      </c>
    </row>
    <row r="367" spans="1:15">
      <c r="A367">
        <v>1</v>
      </c>
      <c r="B367" t="s">
        <v>9151</v>
      </c>
      <c r="C367" t="s">
        <v>9152</v>
      </c>
      <c r="D367">
        <v>1</v>
      </c>
      <c r="E367">
        <v>10</v>
      </c>
      <c r="F367">
        <v>1.1133999999999999</v>
      </c>
      <c r="H367">
        <f t="shared" si="54"/>
        <v>1</v>
      </c>
      <c r="I367" t="str">
        <f t="shared" si="51"/>
        <v>200PFA39-5201</v>
      </c>
      <c r="J367" s="6" t="str">
        <f t="shared" si="55"/>
        <v>SING CHICAGO BLUES 60 X 144</v>
      </c>
      <c r="K367" s="6">
        <f t="shared" si="56"/>
        <v>1</v>
      </c>
      <c r="L367" s="6">
        <f t="shared" si="57"/>
        <v>10</v>
      </c>
      <c r="M367" s="6">
        <f t="shared" si="58"/>
        <v>1.1133999999999999</v>
      </c>
      <c r="N367" s="6" t="str">
        <f t="shared" si="52"/>
        <v>100PFA39-6200</v>
      </c>
      <c r="O367" s="6" t="str">
        <f t="shared" si="53"/>
        <v>SINGING THE CHICAGO BLUES</v>
      </c>
    </row>
    <row r="368" spans="1:15">
      <c r="A368">
        <v>2</v>
      </c>
      <c r="B368" t="s">
        <v>9352</v>
      </c>
      <c r="C368" t="s">
        <v>9152</v>
      </c>
      <c r="D368">
        <v>1</v>
      </c>
      <c r="E368">
        <v>10</v>
      </c>
      <c r="F368">
        <v>1</v>
      </c>
      <c r="H368">
        <f t="shared" si="54"/>
        <v>2</v>
      </c>
      <c r="I368" t="str">
        <f t="shared" si="51"/>
        <v>G48PFA39G5201</v>
      </c>
      <c r="J368" s="6" t="str">
        <f t="shared" si="55"/>
        <v>SING CHICAGO BLUES 60 X 144</v>
      </c>
      <c r="K368" s="6">
        <f t="shared" si="56"/>
        <v>1</v>
      </c>
      <c r="L368" s="6">
        <f t="shared" si="57"/>
        <v>10</v>
      </c>
      <c r="M368" s="6">
        <f t="shared" si="58"/>
        <v>1</v>
      </c>
      <c r="N368" s="6" t="str">
        <f t="shared" si="52"/>
        <v>100PFA39-6200</v>
      </c>
      <c r="O368" s="6" t="str">
        <f t="shared" si="53"/>
        <v>SINGING THE CHICAGO BLUES</v>
      </c>
    </row>
    <row r="369" spans="1:15">
      <c r="A369">
        <v>1</v>
      </c>
      <c r="B369" t="s">
        <v>9151</v>
      </c>
      <c r="C369" t="s">
        <v>9152</v>
      </c>
      <c r="D369">
        <v>1</v>
      </c>
      <c r="E369">
        <v>10</v>
      </c>
      <c r="F369">
        <v>1.1133999999999999</v>
      </c>
      <c r="H369">
        <f t="shared" si="54"/>
        <v>1</v>
      </c>
      <c r="I369" t="str">
        <f t="shared" si="51"/>
        <v>200PFA39-5201</v>
      </c>
      <c r="J369" s="6" t="str">
        <f t="shared" si="55"/>
        <v>SING CHICAGO BLUES 60 X 144</v>
      </c>
      <c r="K369" s="6">
        <f t="shared" si="56"/>
        <v>1</v>
      </c>
      <c r="L369" s="6">
        <f t="shared" si="57"/>
        <v>10</v>
      </c>
      <c r="M369" s="6">
        <f t="shared" si="58"/>
        <v>1.1133999999999999</v>
      </c>
      <c r="N369" s="6" t="str">
        <f t="shared" si="52"/>
        <v>100PFA39-6200</v>
      </c>
      <c r="O369" s="6" t="str">
        <f t="shared" si="53"/>
        <v>SINGING THE CHICAGO BLUES</v>
      </c>
    </row>
    <row r="370" spans="1:15">
      <c r="A370">
        <v>2</v>
      </c>
      <c r="B370" t="s">
        <v>9353</v>
      </c>
      <c r="C370" t="s">
        <v>9152</v>
      </c>
      <c r="D370">
        <v>1</v>
      </c>
      <c r="E370">
        <v>10</v>
      </c>
      <c r="F370">
        <v>1</v>
      </c>
      <c r="H370">
        <f t="shared" si="54"/>
        <v>2</v>
      </c>
      <c r="I370" t="str">
        <f t="shared" si="51"/>
        <v>G48PFA39GL5201</v>
      </c>
      <c r="J370" s="6" t="str">
        <f t="shared" si="55"/>
        <v>SING CHICAGO BLUES 60 X 144</v>
      </c>
      <c r="K370" s="6">
        <f t="shared" si="56"/>
        <v>1</v>
      </c>
      <c r="L370" s="6">
        <f t="shared" si="57"/>
        <v>10</v>
      </c>
      <c r="M370" s="6">
        <f t="shared" si="58"/>
        <v>1</v>
      </c>
      <c r="N370" s="6" t="str">
        <f t="shared" si="52"/>
        <v>100PFA39-6200</v>
      </c>
      <c r="O370" s="6" t="str">
        <f t="shared" si="53"/>
        <v>SINGING THE CHICAGO BLUES</v>
      </c>
    </row>
    <row r="371" spans="1:15">
      <c r="A371">
        <v>1</v>
      </c>
      <c r="B371" t="s">
        <v>9151</v>
      </c>
      <c r="C371" t="s">
        <v>9152</v>
      </c>
      <c r="D371">
        <v>1</v>
      </c>
      <c r="E371">
        <v>10</v>
      </c>
      <c r="F371">
        <v>1.1133999999999999</v>
      </c>
      <c r="H371">
        <f t="shared" si="54"/>
        <v>1</v>
      </c>
      <c r="I371" t="str">
        <f t="shared" si="51"/>
        <v>200PFA39-5201</v>
      </c>
      <c r="J371" s="6" t="str">
        <f t="shared" si="55"/>
        <v>SING CHICAGO BLUES 60 X 144</v>
      </c>
      <c r="K371" s="6">
        <f t="shared" si="56"/>
        <v>1</v>
      </c>
      <c r="L371" s="6">
        <f t="shared" si="57"/>
        <v>10</v>
      </c>
      <c r="M371" s="6">
        <f t="shared" si="58"/>
        <v>1.1133999999999999</v>
      </c>
      <c r="N371" s="6" t="str">
        <f t="shared" si="52"/>
        <v>100PFA39-6200</v>
      </c>
      <c r="O371" s="6" t="str">
        <f t="shared" si="53"/>
        <v>SINGING THE CHICAGO BLUES</v>
      </c>
    </row>
    <row r="372" spans="1:15">
      <c r="A372">
        <v>2</v>
      </c>
      <c r="B372" t="s">
        <v>9354</v>
      </c>
      <c r="C372" t="s">
        <v>9309</v>
      </c>
      <c r="D372">
        <v>1</v>
      </c>
      <c r="E372">
        <v>10</v>
      </c>
      <c r="F372">
        <v>0.5</v>
      </c>
      <c r="H372">
        <f t="shared" si="54"/>
        <v>2</v>
      </c>
      <c r="I372" t="str">
        <f t="shared" si="51"/>
        <v>G48PFA39J020</v>
      </c>
      <c r="J372" s="6" t="str">
        <f t="shared" si="55"/>
        <v>SING CHICAGO BLUES 30 X 144</v>
      </c>
      <c r="K372" s="6">
        <f t="shared" si="56"/>
        <v>1</v>
      </c>
      <c r="L372" s="6">
        <f t="shared" si="57"/>
        <v>10</v>
      </c>
      <c r="M372" s="6">
        <f t="shared" si="58"/>
        <v>0.5</v>
      </c>
      <c r="N372" s="6" t="str">
        <f t="shared" si="52"/>
        <v>100PFA39-6200</v>
      </c>
      <c r="O372" s="6" t="str">
        <f t="shared" si="53"/>
        <v>SINGING THE CHICAGO BLUES</v>
      </c>
    </row>
    <row r="373" spans="1:15">
      <c r="A373">
        <v>1</v>
      </c>
      <c r="B373" t="s">
        <v>9151</v>
      </c>
      <c r="C373" t="s">
        <v>9152</v>
      </c>
      <c r="D373">
        <v>1</v>
      </c>
      <c r="E373">
        <v>10</v>
      </c>
      <c r="F373">
        <v>1.1133999999999999</v>
      </c>
      <c r="H373">
        <f t="shared" si="54"/>
        <v>1</v>
      </c>
      <c r="I373" t="str">
        <f t="shared" si="51"/>
        <v>200PFA39-5201</v>
      </c>
      <c r="J373" s="6" t="str">
        <f t="shared" si="55"/>
        <v>SING CHICAGO BLUES 60 X 144</v>
      </c>
      <c r="K373" s="6">
        <f t="shared" si="56"/>
        <v>1</v>
      </c>
      <c r="L373" s="6">
        <f t="shared" si="57"/>
        <v>10</v>
      </c>
      <c r="M373" s="6">
        <f t="shared" si="58"/>
        <v>1.1133999999999999</v>
      </c>
      <c r="N373" s="6" t="str">
        <f t="shared" si="52"/>
        <v>100PFA39-6200</v>
      </c>
      <c r="O373" s="6" t="str">
        <f t="shared" si="53"/>
        <v>SINGING THE CHICAGO BLUES</v>
      </c>
    </row>
    <row r="374" spans="1:15">
      <c r="A374">
        <v>2</v>
      </c>
      <c r="B374" t="s">
        <v>9355</v>
      </c>
      <c r="C374" t="s">
        <v>9152</v>
      </c>
      <c r="D374">
        <v>1</v>
      </c>
      <c r="E374">
        <v>10</v>
      </c>
      <c r="F374">
        <v>1</v>
      </c>
      <c r="H374">
        <f t="shared" si="54"/>
        <v>2</v>
      </c>
      <c r="I374" t="str">
        <f t="shared" si="51"/>
        <v>G48PFA39J520</v>
      </c>
      <c r="J374" s="6" t="str">
        <f t="shared" si="55"/>
        <v>SING CHICAGO BLUES 60 X 144</v>
      </c>
      <c r="K374" s="6">
        <f t="shared" si="56"/>
        <v>1</v>
      </c>
      <c r="L374" s="6">
        <f t="shared" si="57"/>
        <v>10</v>
      </c>
      <c r="M374" s="6">
        <f t="shared" si="58"/>
        <v>1</v>
      </c>
      <c r="N374" s="6" t="str">
        <f t="shared" si="52"/>
        <v>100PFA39-6200</v>
      </c>
      <c r="O374" s="6" t="str">
        <f t="shared" si="53"/>
        <v>SINGING THE CHICAGO BLUES</v>
      </c>
    </row>
    <row r="375" spans="1:15">
      <c r="A375">
        <v>1</v>
      </c>
      <c r="B375" t="s">
        <v>9151</v>
      </c>
      <c r="C375" t="s">
        <v>9152</v>
      </c>
      <c r="D375">
        <v>1</v>
      </c>
      <c r="E375">
        <v>10</v>
      </c>
      <c r="F375">
        <v>1.1133999999999999</v>
      </c>
      <c r="H375">
        <f t="shared" si="54"/>
        <v>1</v>
      </c>
      <c r="I375" t="str">
        <f t="shared" si="51"/>
        <v>200PFA39-5201</v>
      </c>
      <c r="J375" s="6" t="str">
        <f t="shared" si="55"/>
        <v>SING CHICAGO BLUES 60 X 144</v>
      </c>
      <c r="K375" s="6">
        <f t="shared" si="56"/>
        <v>1</v>
      </c>
      <c r="L375" s="6">
        <f t="shared" si="57"/>
        <v>10</v>
      </c>
      <c r="M375" s="6">
        <f t="shared" si="58"/>
        <v>1.1133999999999999</v>
      </c>
      <c r="N375" s="6" t="str">
        <f t="shared" si="52"/>
        <v>100PFA39-6200</v>
      </c>
      <c r="O375" s="6" t="str">
        <f t="shared" si="53"/>
        <v>SINGING THE CHICAGO BLUES</v>
      </c>
    </row>
    <row r="376" spans="1:15">
      <c r="A376">
        <v>2</v>
      </c>
      <c r="B376" t="s">
        <v>9356</v>
      </c>
      <c r="C376" t="s">
        <v>9307</v>
      </c>
      <c r="D376">
        <v>1</v>
      </c>
      <c r="E376">
        <v>10</v>
      </c>
      <c r="F376">
        <v>0.5</v>
      </c>
      <c r="H376">
        <f t="shared" si="54"/>
        <v>2</v>
      </c>
      <c r="I376" t="str">
        <f t="shared" si="51"/>
        <v>G48PFA39N000</v>
      </c>
      <c r="J376" s="6" t="str">
        <f t="shared" si="55"/>
        <v>SING CHICAGO BLUES 30 X 120</v>
      </c>
      <c r="K376" s="6">
        <f t="shared" si="56"/>
        <v>1</v>
      </c>
      <c r="L376" s="6">
        <f t="shared" si="57"/>
        <v>10</v>
      </c>
      <c r="M376" s="6">
        <f t="shared" si="58"/>
        <v>0.5</v>
      </c>
      <c r="N376" s="6" t="str">
        <f t="shared" si="52"/>
        <v>100PFA39-6200</v>
      </c>
      <c r="O376" s="6" t="str">
        <f t="shared" si="53"/>
        <v>SINGING THE CHICAGO BLUES</v>
      </c>
    </row>
    <row r="377" spans="1:15">
      <c r="A377">
        <v>1</v>
      </c>
      <c r="B377" t="s">
        <v>9299</v>
      </c>
      <c r="C377" t="s">
        <v>9298</v>
      </c>
      <c r="D377">
        <v>1</v>
      </c>
      <c r="E377">
        <v>10</v>
      </c>
      <c r="F377">
        <v>0.93140000000000001</v>
      </c>
      <c r="H377">
        <f t="shared" si="54"/>
        <v>1</v>
      </c>
      <c r="I377" t="str">
        <f t="shared" si="51"/>
        <v>200PFA39-5001</v>
      </c>
      <c r="J377" s="6" t="str">
        <f t="shared" si="55"/>
        <v>SING CHICAGO BLUES 60 X 120</v>
      </c>
      <c r="K377" s="6">
        <f t="shared" si="56"/>
        <v>1</v>
      </c>
      <c r="L377" s="6">
        <f t="shared" si="57"/>
        <v>10</v>
      </c>
      <c r="M377" s="6">
        <f t="shared" si="58"/>
        <v>0.93140000000000001</v>
      </c>
      <c r="N377" s="6" t="str">
        <f t="shared" si="52"/>
        <v>100PFA39-6200</v>
      </c>
      <c r="O377" s="6" t="str">
        <f t="shared" si="53"/>
        <v>SINGING THE CHICAGO BLUES</v>
      </c>
    </row>
    <row r="378" spans="1:15">
      <c r="A378">
        <v>2</v>
      </c>
      <c r="B378" t="s">
        <v>9357</v>
      </c>
      <c r="C378" t="s">
        <v>9309</v>
      </c>
      <c r="D378">
        <v>1</v>
      </c>
      <c r="E378">
        <v>10</v>
      </c>
      <c r="F378">
        <v>0.5</v>
      </c>
      <c r="H378">
        <f t="shared" si="54"/>
        <v>2</v>
      </c>
      <c r="I378" t="str">
        <f t="shared" si="51"/>
        <v>G48PFA39N020</v>
      </c>
      <c r="J378" s="6" t="str">
        <f t="shared" si="55"/>
        <v>SING CHICAGO BLUES 30 X 144</v>
      </c>
      <c r="K378" s="6">
        <f t="shared" si="56"/>
        <v>1</v>
      </c>
      <c r="L378" s="6">
        <f t="shared" si="57"/>
        <v>10</v>
      </c>
      <c r="M378" s="6">
        <f t="shared" si="58"/>
        <v>0.5</v>
      </c>
      <c r="N378" s="6" t="str">
        <f t="shared" si="52"/>
        <v>100PFA39-6200</v>
      </c>
      <c r="O378" s="6" t="str">
        <f t="shared" si="53"/>
        <v>SINGING THE CHICAGO BLUES</v>
      </c>
    </row>
    <row r="379" spans="1:15">
      <c r="A379">
        <v>1</v>
      </c>
      <c r="B379" t="s">
        <v>9151</v>
      </c>
      <c r="C379" t="s">
        <v>9152</v>
      </c>
      <c r="D379">
        <v>1</v>
      </c>
      <c r="E379">
        <v>10</v>
      </c>
      <c r="F379">
        <v>1.1133999999999999</v>
      </c>
      <c r="H379">
        <f t="shared" si="54"/>
        <v>1</v>
      </c>
      <c r="I379" t="str">
        <f t="shared" si="51"/>
        <v>200PFA39-5201</v>
      </c>
      <c r="J379" s="6" t="str">
        <f t="shared" si="55"/>
        <v>SING CHICAGO BLUES 60 X 144</v>
      </c>
      <c r="K379" s="6">
        <f t="shared" si="56"/>
        <v>1</v>
      </c>
      <c r="L379" s="6">
        <f t="shared" si="57"/>
        <v>10</v>
      </c>
      <c r="M379" s="6">
        <f t="shared" si="58"/>
        <v>1.1133999999999999</v>
      </c>
      <c r="N379" s="6" t="str">
        <f t="shared" si="52"/>
        <v>100PFA39-6200</v>
      </c>
      <c r="O379" s="6" t="str">
        <f t="shared" si="53"/>
        <v>SINGING THE CHICAGO BLUES</v>
      </c>
    </row>
    <row r="380" spans="1:15">
      <c r="A380">
        <v>2</v>
      </c>
      <c r="B380" t="s">
        <v>9358</v>
      </c>
      <c r="C380" t="s">
        <v>9311</v>
      </c>
      <c r="D380">
        <v>1</v>
      </c>
      <c r="E380">
        <v>10</v>
      </c>
      <c r="F380">
        <v>0.5</v>
      </c>
      <c r="H380">
        <f t="shared" si="54"/>
        <v>2</v>
      </c>
      <c r="I380" t="str">
        <f t="shared" si="51"/>
        <v>G48PFA39N080</v>
      </c>
      <c r="J380" s="6" t="str">
        <f t="shared" si="55"/>
        <v>SING CHICAGO BLUES 30 X 96</v>
      </c>
      <c r="K380" s="6">
        <f t="shared" si="56"/>
        <v>1</v>
      </c>
      <c r="L380" s="6">
        <f t="shared" si="57"/>
        <v>10</v>
      </c>
      <c r="M380" s="6">
        <f t="shared" si="58"/>
        <v>0.5</v>
      </c>
      <c r="N380" s="6" t="str">
        <f t="shared" si="52"/>
        <v>100PFA39-6200</v>
      </c>
      <c r="O380" s="6" t="str">
        <f t="shared" si="53"/>
        <v>SINGING THE CHICAGO BLUES</v>
      </c>
    </row>
    <row r="381" spans="1:15">
      <c r="A381">
        <v>1</v>
      </c>
      <c r="B381" t="s">
        <v>9312</v>
      </c>
      <c r="C381" t="s">
        <v>9304</v>
      </c>
      <c r="D381">
        <v>1</v>
      </c>
      <c r="E381">
        <v>10</v>
      </c>
      <c r="F381">
        <v>0.74950000000000006</v>
      </c>
      <c r="H381">
        <f t="shared" si="54"/>
        <v>1</v>
      </c>
      <c r="I381" t="str">
        <f t="shared" si="51"/>
        <v>200PFA39-5801</v>
      </c>
      <c r="J381" s="6" t="str">
        <f t="shared" si="55"/>
        <v>SING CHICAGO BLUES 60 X 96</v>
      </c>
      <c r="K381" s="6">
        <f t="shared" si="56"/>
        <v>1</v>
      </c>
      <c r="L381" s="6">
        <f t="shared" si="57"/>
        <v>10</v>
      </c>
      <c r="M381" s="6">
        <f t="shared" si="58"/>
        <v>0.74950000000000006</v>
      </c>
      <c r="N381" s="6" t="str">
        <f t="shared" si="52"/>
        <v>100PFA39-6200</v>
      </c>
      <c r="O381" s="6" t="str">
        <f t="shared" si="53"/>
        <v>SINGING THE CHICAGO BLUES</v>
      </c>
    </row>
    <row r="382" spans="1:15">
      <c r="A382">
        <v>2</v>
      </c>
      <c r="B382" t="s">
        <v>9359</v>
      </c>
      <c r="C382" t="s">
        <v>9298</v>
      </c>
      <c r="D382">
        <v>1</v>
      </c>
      <c r="E382">
        <v>10</v>
      </c>
      <c r="F382">
        <v>1</v>
      </c>
      <c r="H382">
        <f t="shared" si="54"/>
        <v>2</v>
      </c>
      <c r="I382" t="str">
        <f t="shared" si="51"/>
        <v>G48PFA39N500</v>
      </c>
      <c r="J382" s="6" t="str">
        <f t="shared" si="55"/>
        <v>SING CHICAGO BLUES 60 X 120</v>
      </c>
      <c r="K382" s="6">
        <f t="shared" si="56"/>
        <v>1</v>
      </c>
      <c r="L382" s="6">
        <f t="shared" si="57"/>
        <v>10</v>
      </c>
      <c r="M382" s="6">
        <f t="shared" si="58"/>
        <v>1</v>
      </c>
      <c r="N382" s="6" t="str">
        <f t="shared" si="52"/>
        <v>100PFA39-6200</v>
      </c>
      <c r="O382" s="6" t="str">
        <f t="shared" si="53"/>
        <v>SINGING THE CHICAGO BLUES</v>
      </c>
    </row>
    <row r="383" spans="1:15">
      <c r="A383">
        <v>1</v>
      </c>
      <c r="B383" t="s">
        <v>9299</v>
      </c>
      <c r="C383" t="s">
        <v>9298</v>
      </c>
      <c r="D383">
        <v>1</v>
      </c>
      <c r="E383">
        <v>10</v>
      </c>
      <c r="F383">
        <v>0.93140000000000001</v>
      </c>
      <c r="H383">
        <f t="shared" si="54"/>
        <v>1</v>
      </c>
      <c r="I383" t="str">
        <f t="shared" si="51"/>
        <v>200PFA39-5001</v>
      </c>
      <c r="J383" s="6" t="str">
        <f t="shared" si="55"/>
        <v>SING CHICAGO BLUES 60 X 120</v>
      </c>
      <c r="K383" s="6">
        <f t="shared" si="56"/>
        <v>1</v>
      </c>
      <c r="L383" s="6">
        <f t="shared" si="57"/>
        <v>10</v>
      </c>
      <c r="M383" s="6">
        <f t="shared" si="58"/>
        <v>0.93140000000000001</v>
      </c>
      <c r="N383" s="6" t="str">
        <f t="shared" si="52"/>
        <v>100PFA39-6200</v>
      </c>
      <c r="O383" s="6" t="str">
        <f t="shared" si="53"/>
        <v>SINGING THE CHICAGO BLUES</v>
      </c>
    </row>
    <row r="384" spans="1:15">
      <c r="A384">
        <v>2</v>
      </c>
      <c r="B384" t="s">
        <v>9360</v>
      </c>
      <c r="C384" t="s">
        <v>9152</v>
      </c>
      <c r="D384">
        <v>1</v>
      </c>
      <c r="E384">
        <v>10</v>
      </c>
      <c r="F384">
        <v>1</v>
      </c>
      <c r="H384">
        <f t="shared" si="54"/>
        <v>2</v>
      </c>
      <c r="I384" t="str">
        <f t="shared" si="51"/>
        <v>G48PFA39N520</v>
      </c>
      <c r="J384" s="6" t="str">
        <f t="shared" si="55"/>
        <v>SING CHICAGO BLUES 60 X 144</v>
      </c>
      <c r="K384" s="6">
        <f t="shared" si="56"/>
        <v>1</v>
      </c>
      <c r="L384" s="6">
        <f t="shared" si="57"/>
        <v>10</v>
      </c>
      <c r="M384" s="6">
        <f t="shared" si="58"/>
        <v>1</v>
      </c>
      <c r="N384" s="6" t="str">
        <f t="shared" si="52"/>
        <v>100PFA39-6200</v>
      </c>
      <c r="O384" s="6" t="str">
        <f t="shared" si="53"/>
        <v>SINGING THE CHICAGO BLUES</v>
      </c>
    </row>
    <row r="385" spans="1:15">
      <c r="A385">
        <v>1</v>
      </c>
      <c r="B385" t="s">
        <v>9151</v>
      </c>
      <c r="C385" t="s">
        <v>9152</v>
      </c>
      <c r="D385">
        <v>1</v>
      </c>
      <c r="E385">
        <v>10</v>
      </c>
      <c r="F385">
        <v>1.1133999999999999</v>
      </c>
      <c r="H385">
        <f t="shared" si="54"/>
        <v>1</v>
      </c>
      <c r="I385" t="str">
        <f t="shared" si="51"/>
        <v>200PFA39-5201</v>
      </c>
      <c r="J385" s="6" t="str">
        <f t="shared" si="55"/>
        <v>SING CHICAGO BLUES 60 X 144</v>
      </c>
      <c r="K385" s="6">
        <f t="shared" si="56"/>
        <v>1</v>
      </c>
      <c r="L385" s="6">
        <f t="shared" si="57"/>
        <v>10</v>
      </c>
      <c r="M385" s="6">
        <f t="shared" si="58"/>
        <v>1.1133999999999999</v>
      </c>
      <c r="N385" s="6" t="str">
        <f t="shared" si="52"/>
        <v>100PFA39-6200</v>
      </c>
      <c r="O385" s="6" t="str">
        <f t="shared" si="53"/>
        <v>SINGING THE CHICAGO BLUES</v>
      </c>
    </row>
    <row r="386" spans="1:15">
      <c r="A386">
        <v>2</v>
      </c>
      <c r="B386" t="s">
        <v>9361</v>
      </c>
      <c r="C386" t="s">
        <v>9304</v>
      </c>
      <c r="D386">
        <v>1</v>
      </c>
      <c r="E386">
        <v>10</v>
      </c>
      <c r="F386">
        <v>1</v>
      </c>
      <c r="H386">
        <f t="shared" si="54"/>
        <v>2</v>
      </c>
      <c r="I386" t="str">
        <f t="shared" si="51"/>
        <v>G48PFA39N5801</v>
      </c>
      <c r="J386" s="6" t="str">
        <f t="shared" si="55"/>
        <v>SING CHICAGO BLUES 60 X 96</v>
      </c>
      <c r="K386" s="6">
        <f t="shared" si="56"/>
        <v>1</v>
      </c>
      <c r="L386" s="6">
        <f t="shared" si="57"/>
        <v>10</v>
      </c>
      <c r="M386" s="6">
        <f t="shared" si="58"/>
        <v>1</v>
      </c>
      <c r="N386" s="6" t="str">
        <f t="shared" si="52"/>
        <v>100PFA39-6200</v>
      </c>
      <c r="O386" s="6" t="str">
        <f t="shared" si="53"/>
        <v>SINGING THE CHICAGO BLUES</v>
      </c>
    </row>
    <row r="387" spans="1:15">
      <c r="A387">
        <v>1</v>
      </c>
      <c r="B387" t="s">
        <v>9312</v>
      </c>
      <c r="C387" t="s">
        <v>9304</v>
      </c>
      <c r="D387">
        <v>1</v>
      </c>
      <c r="E387">
        <v>10</v>
      </c>
      <c r="F387">
        <v>0.74950000000000006</v>
      </c>
      <c r="H387">
        <f t="shared" si="54"/>
        <v>1</v>
      </c>
      <c r="I387" t="str">
        <f t="shared" si="51"/>
        <v>200PFA39-5801</v>
      </c>
      <c r="J387" s="6" t="str">
        <f t="shared" si="55"/>
        <v>SING CHICAGO BLUES 60 X 96</v>
      </c>
      <c r="K387" s="6">
        <f t="shared" si="56"/>
        <v>1</v>
      </c>
      <c r="L387" s="6">
        <f t="shared" si="57"/>
        <v>10</v>
      </c>
      <c r="M387" s="6">
        <f t="shared" si="58"/>
        <v>0.74950000000000006</v>
      </c>
      <c r="N387" s="6" t="str">
        <f t="shared" si="52"/>
        <v>100PFA39-6200</v>
      </c>
      <c r="O387" s="6" t="str">
        <f t="shared" si="53"/>
        <v>SINGING THE CHICAGO BLUES</v>
      </c>
    </row>
    <row r="388" spans="1:15">
      <c r="A388">
        <v>2</v>
      </c>
      <c r="B388" t="s">
        <v>9362</v>
      </c>
      <c r="C388" t="s">
        <v>9304</v>
      </c>
      <c r="D388">
        <v>1</v>
      </c>
      <c r="E388">
        <v>10</v>
      </c>
      <c r="F388">
        <v>1</v>
      </c>
      <c r="H388">
        <f t="shared" si="54"/>
        <v>2</v>
      </c>
      <c r="I388" t="str">
        <f t="shared" si="51"/>
        <v>G48PFA39N580</v>
      </c>
      <c r="J388" s="6" t="str">
        <f t="shared" si="55"/>
        <v>SING CHICAGO BLUES 60 X 96</v>
      </c>
      <c r="K388" s="6">
        <f t="shared" si="56"/>
        <v>1</v>
      </c>
      <c r="L388" s="6">
        <f t="shared" si="57"/>
        <v>10</v>
      </c>
      <c r="M388" s="6">
        <f t="shared" si="58"/>
        <v>1</v>
      </c>
      <c r="N388" s="6" t="str">
        <f t="shared" si="52"/>
        <v>100PFA39-6200</v>
      </c>
      <c r="O388" s="6" t="str">
        <f t="shared" si="53"/>
        <v>SINGING THE CHICAGO BLUES</v>
      </c>
    </row>
    <row r="389" spans="1:15">
      <c r="A389">
        <v>1</v>
      </c>
      <c r="B389" t="s">
        <v>9312</v>
      </c>
      <c r="C389" t="s">
        <v>9304</v>
      </c>
      <c r="D389">
        <v>1</v>
      </c>
      <c r="E389">
        <v>10</v>
      </c>
      <c r="F389">
        <v>0.74950000000000006</v>
      </c>
      <c r="H389">
        <f t="shared" si="54"/>
        <v>1</v>
      </c>
      <c r="I389" t="str">
        <f t="shared" si="51"/>
        <v>200PFA39-5801</v>
      </c>
      <c r="J389" s="6" t="str">
        <f t="shared" si="55"/>
        <v>SING CHICAGO BLUES 60 X 96</v>
      </c>
      <c r="K389" s="6">
        <f t="shared" si="56"/>
        <v>1</v>
      </c>
      <c r="L389" s="6">
        <f t="shared" si="57"/>
        <v>10</v>
      </c>
      <c r="M389" s="6">
        <f t="shared" si="58"/>
        <v>0.74950000000000006</v>
      </c>
      <c r="N389" s="6" t="str">
        <f t="shared" si="52"/>
        <v>100PFA39-6200</v>
      </c>
      <c r="O389" s="6" t="str">
        <f t="shared" si="53"/>
        <v>SINGING THE CHICAGO BLUES</v>
      </c>
    </row>
    <row r="390" spans="1:15">
      <c r="A390">
        <v>2</v>
      </c>
      <c r="B390" t="s">
        <v>9363</v>
      </c>
      <c r="C390" t="s">
        <v>9309</v>
      </c>
      <c r="D390">
        <v>1</v>
      </c>
      <c r="E390">
        <v>10</v>
      </c>
      <c r="F390">
        <v>0.5</v>
      </c>
      <c r="H390">
        <f t="shared" si="54"/>
        <v>2</v>
      </c>
      <c r="I390" t="str">
        <f t="shared" si="51"/>
        <v>G48PFA39SD020</v>
      </c>
      <c r="J390" s="6" t="str">
        <f t="shared" si="55"/>
        <v>SING CHICAGO BLUES 30 X 144</v>
      </c>
      <c r="K390" s="6">
        <f t="shared" si="56"/>
        <v>1</v>
      </c>
      <c r="L390" s="6">
        <f t="shared" si="57"/>
        <v>10</v>
      </c>
      <c r="M390" s="6">
        <f t="shared" si="58"/>
        <v>0.5</v>
      </c>
      <c r="N390" s="6" t="str">
        <f t="shared" si="52"/>
        <v>100PFA39-6200</v>
      </c>
      <c r="O390" s="6" t="str">
        <f t="shared" si="53"/>
        <v>SINGING THE CHICAGO BLUES</v>
      </c>
    </row>
    <row r="391" spans="1:15">
      <c r="A391">
        <v>1</v>
      </c>
      <c r="B391" t="s">
        <v>9151</v>
      </c>
      <c r="C391" t="s">
        <v>9152</v>
      </c>
      <c r="D391">
        <v>1</v>
      </c>
      <c r="E391">
        <v>10</v>
      </c>
      <c r="F391">
        <v>1.1133999999999999</v>
      </c>
      <c r="H391">
        <f t="shared" si="54"/>
        <v>1</v>
      </c>
      <c r="I391" t="str">
        <f t="shared" ref="I391:I454" si="59">IFERROR(IF(SEARCH(" &lt;-",B391,1),LEFT(B391,SEARCH(" ",B391,1)-1),""),LEFT(B391,SEARCH("View",B391,1)-1))</f>
        <v>200PFA39-5201</v>
      </c>
      <c r="J391" s="6" t="str">
        <f t="shared" si="55"/>
        <v>SING CHICAGO BLUES 60 X 144</v>
      </c>
      <c r="K391" s="6">
        <f t="shared" si="56"/>
        <v>1</v>
      </c>
      <c r="L391" s="6">
        <f t="shared" si="57"/>
        <v>10</v>
      </c>
      <c r="M391" s="6">
        <f t="shared" si="58"/>
        <v>1.1133999999999999</v>
      </c>
      <c r="N391" s="6" t="str">
        <f t="shared" ref="N391:N454" si="60">TRIM($B$1)</f>
        <v>100PFA39-6200</v>
      </c>
      <c r="O391" s="6" t="str">
        <f t="shared" ref="O391:O454" si="61">TRIM($C$1)</f>
        <v>SINGING THE CHICAGO BLUES</v>
      </c>
    </row>
    <row r="392" spans="1:15">
      <c r="A392">
        <v>2</v>
      </c>
      <c r="B392" t="s">
        <v>9364</v>
      </c>
      <c r="C392" t="s">
        <v>9298</v>
      </c>
      <c r="D392">
        <v>1</v>
      </c>
      <c r="E392">
        <v>10</v>
      </c>
      <c r="F392">
        <v>1</v>
      </c>
      <c r="H392">
        <f t="shared" si="54"/>
        <v>2</v>
      </c>
      <c r="I392" t="str">
        <f t="shared" si="59"/>
        <v>G48PFA39SD500</v>
      </c>
      <c r="J392" s="6" t="str">
        <f t="shared" si="55"/>
        <v>SING CHICAGO BLUES 60 X 120</v>
      </c>
      <c r="K392" s="6">
        <f t="shared" si="56"/>
        <v>1</v>
      </c>
      <c r="L392" s="6">
        <f t="shared" si="57"/>
        <v>10</v>
      </c>
      <c r="M392" s="6">
        <f t="shared" si="58"/>
        <v>1</v>
      </c>
      <c r="N392" s="6" t="str">
        <f t="shared" si="60"/>
        <v>100PFA39-6200</v>
      </c>
      <c r="O392" s="6" t="str">
        <f t="shared" si="61"/>
        <v>SINGING THE CHICAGO BLUES</v>
      </c>
    </row>
    <row r="393" spans="1:15">
      <c r="A393">
        <v>1</v>
      </c>
      <c r="B393" t="s">
        <v>9299</v>
      </c>
      <c r="C393" t="s">
        <v>9298</v>
      </c>
      <c r="D393">
        <v>1</v>
      </c>
      <c r="E393">
        <v>10</v>
      </c>
      <c r="F393">
        <v>0.93140000000000001</v>
      </c>
      <c r="H393">
        <f t="shared" si="54"/>
        <v>1</v>
      </c>
      <c r="I393" t="str">
        <f t="shared" si="59"/>
        <v>200PFA39-5001</v>
      </c>
      <c r="J393" s="6" t="str">
        <f t="shared" si="55"/>
        <v>SING CHICAGO BLUES 60 X 120</v>
      </c>
      <c r="K393" s="6">
        <f t="shared" si="56"/>
        <v>1</v>
      </c>
      <c r="L393" s="6">
        <f t="shared" si="57"/>
        <v>10</v>
      </c>
      <c r="M393" s="6">
        <f t="shared" si="58"/>
        <v>0.93140000000000001</v>
      </c>
      <c r="N393" s="6" t="str">
        <f t="shared" si="60"/>
        <v>100PFA39-6200</v>
      </c>
      <c r="O393" s="6" t="str">
        <f t="shared" si="61"/>
        <v>SINGING THE CHICAGO BLUES</v>
      </c>
    </row>
    <row r="394" spans="1:15">
      <c r="A394">
        <v>2</v>
      </c>
      <c r="B394" t="s">
        <v>9365</v>
      </c>
      <c r="C394" t="s">
        <v>9152</v>
      </c>
      <c r="D394">
        <v>1</v>
      </c>
      <c r="E394">
        <v>10</v>
      </c>
      <c r="F394">
        <v>1</v>
      </c>
      <c r="H394">
        <f t="shared" si="54"/>
        <v>2</v>
      </c>
      <c r="I394" t="str">
        <f t="shared" si="59"/>
        <v>G48PFA39SD520</v>
      </c>
      <c r="J394" s="6" t="str">
        <f t="shared" si="55"/>
        <v>SING CHICAGO BLUES 60 X 144</v>
      </c>
      <c r="K394" s="6">
        <f t="shared" si="56"/>
        <v>1</v>
      </c>
      <c r="L394" s="6">
        <f t="shared" si="57"/>
        <v>10</v>
      </c>
      <c r="M394" s="6">
        <f t="shared" si="58"/>
        <v>1</v>
      </c>
      <c r="N394" s="6" t="str">
        <f t="shared" si="60"/>
        <v>100PFA39-6200</v>
      </c>
      <c r="O394" s="6" t="str">
        <f t="shared" si="61"/>
        <v>SINGING THE CHICAGO BLUES</v>
      </c>
    </row>
    <row r="395" spans="1:15">
      <c r="A395">
        <v>1</v>
      </c>
      <c r="B395" t="s">
        <v>9151</v>
      </c>
      <c r="C395" t="s">
        <v>9152</v>
      </c>
      <c r="D395">
        <v>1</v>
      </c>
      <c r="E395">
        <v>10</v>
      </c>
      <c r="F395">
        <v>1.1133999999999999</v>
      </c>
      <c r="H395">
        <f t="shared" si="54"/>
        <v>1</v>
      </c>
      <c r="I395" t="str">
        <f t="shared" si="59"/>
        <v>200PFA39-5201</v>
      </c>
      <c r="J395" s="6" t="str">
        <f t="shared" si="55"/>
        <v>SING CHICAGO BLUES 60 X 144</v>
      </c>
      <c r="K395" s="6">
        <f t="shared" si="56"/>
        <v>1</v>
      </c>
      <c r="L395" s="6">
        <f t="shared" si="57"/>
        <v>10</v>
      </c>
      <c r="M395" s="6">
        <f t="shared" si="58"/>
        <v>1.1133999999999999</v>
      </c>
      <c r="N395" s="6" t="str">
        <f t="shared" si="60"/>
        <v>100PFA39-6200</v>
      </c>
      <c r="O395" s="6" t="str">
        <f t="shared" si="61"/>
        <v>SINGING THE CHICAGO BLUES</v>
      </c>
    </row>
    <row r="396" spans="1:15">
      <c r="A396">
        <v>2</v>
      </c>
      <c r="B396" t="s">
        <v>9366</v>
      </c>
      <c r="C396" t="s">
        <v>9304</v>
      </c>
      <c r="D396">
        <v>1</v>
      </c>
      <c r="E396">
        <v>10</v>
      </c>
      <c r="F396">
        <v>1</v>
      </c>
      <c r="H396">
        <f t="shared" si="54"/>
        <v>2</v>
      </c>
      <c r="I396" t="str">
        <f t="shared" si="59"/>
        <v>G48PFA39SD580</v>
      </c>
      <c r="J396" s="6" t="str">
        <f t="shared" si="55"/>
        <v>SING CHICAGO BLUES 60 X 96</v>
      </c>
      <c r="K396" s="6">
        <f t="shared" si="56"/>
        <v>1</v>
      </c>
      <c r="L396" s="6">
        <f t="shared" si="57"/>
        <v>10</v>
      </c>
      <c r="M396" s="6">
        <f t="shared" si="58"/>
        <v>1</v>
      </c>
      <c r="N396" s="6" t="str">
        <f t="shared" si="60"/>
        <v>100PFA39-6200</v>
      </c>
      <c r="O396" s="6" t="str">
        <f t="shared" si="61"/>
        <v>SINGING THE CHICAGO BLUES</v>
      </c>
    </row>
    <row r="397" spans="1:15">
      <c r="A397">
        <v>1</v>
      </c>
      <c r="B397" t="s">
        <v>9312</v>
      </c>
      <c r="C397" t="s">
        <v>9304</v>
      </c>
      <c r="D397">
        <v>1</v>
      </c>
      <c r="E397">
        <v>10</v>
      </c>
      <c r="F397">
        <v>0.74950000000000006</v>
      </c>
      <c r="H397">
        <f t="shared" si="54"/>
        <v>1</v>
      </c>
      <c r="I397" t="str">
        <f t="shared" si="59"/>
        <v>200PFA39-5801</v>
      </c>
      <c r="J397" s="6" t="str">
        <f t="shared" si="55"/>
        <v>SING CHICAGO BLUES 60 X 96</v>
      </c>
      <c r="K397" s="6">
        <f t="shared" si="56"/>
        <v>1</v>
      </c>
      <c r="L397" s="6">
        <f t="shared" si="57"/>
        <v>10</v>
      </c>
      <c r="M397" s="6">
        <f t="shared" si="58"/>
        <v>0.74950000000000006</v>
      </c>
      <c r="N397" s="6" t="str">
        <f t="shared" si="60"/>
        <v>100PFA39-6200</v>
      </c>
      <c r="O397" s="6" t="str">
        <f t="shared" si="61"/>
        <v>SINGING THE CHICAGO BLUES</v>
      </c>
    </row>
    <row r="398" spans="1:15">
      <c r="A398">
        <v>3</v>
      </c>
      <c r="B398" t="s">
        <v>9367</v>
      </c>
      <c r="C398" t="s">
        <v>9230</v>
      </c>
      <c r="D398">
        <v>1</v>
      </c>
      <c r="E398">
        <v>10</v>
      </c>
      <c r="F398">
        <v>0.33329999999999999</v>
      </c>
      <c r="H398">
        <f t="shared" si="54"/>
        <v>3</v>
      </c>
      <c r="I398" t="str">
        <f t="shared" si="59"/>
        <v>J24I9162PM42</v>
      </c>
      <c r="J398" s="6" t="str">
        <f t="shared" si="55"/>
        <v>PFA39 UV PRO L SHORT 41.84X47.</v>
      </c>
      <c r="K398" s="6">
        <f t="shared" si="56"/>
        <v>1</v>
      </c>
      <c r="L398" s="6">
        <f t="shared" si="57"/>
        <v>10</v>
      </c>
      <c r="M398" s="6">
        <f t="shared" si="58"/>
        <v>0.33329999999999999</v>
      </c>
      <c r="N398" s="6" t="str">
        <f t="shared" si="60"/>
        <v>100PFA39-6200</v>
      </c>
      <c r="O398" s="6" t="str">
        <f t="shared" si="61"/>
        <v>SINGING THE CHICAGO BLUES</v>
      </c>
    </row>
    <row r="399" spans="1:15">
      <c r="A399">
        <v>2</v>
      </c>
      <c r="B399" t="s">
        <v>9368</v>
      </c>
      <c r="C399" t="s">
        <v>9369</v>
      </c>
      <c r="D399">
        <v>1</v>
      </c>
      <c r="E399">
        <v>10</v>
      </c>
      <c r="F399">
        <v>1</v>
      </c>
      <c r="H399">
        <f t="shared" si="54"/>
        <v>2</v>
      </c>
      <c r="I399" t="str">
        <f t="shared" si="59"/>
        <v>200I9162-120</v>
      </c>
      <c r="J399" s="6" t="str">
        <f t="shared" si="55"/>
        <v>PFA39 PRO UV L SHORT 43 X 145</v>
      </c>
      <c r="K399" s="6">
        <f t="shared" si="56"/>
        <v>1</v>
      </c>
      <c r="L399" s="6">
        <f t="shared" si="57"/>
        <v>10</v>
      </c>
      <c r="M399" s="6">
        <f t="shared" si="58"/>
        <v>1</v>
      </c>
      <c r="N399" s="6" t="str">
        <f t="shared" si="60"/>
        <v>100PFA39-6200</v>
      </c>
      <c r="O399" s="6" t="str">
        <f t="shared" si="61"/>
        <v>SINGING THE CHICAGO BLUES</v>
      </c>
    </row>
    <row r="400" spans="1:15">
      <c r="A400">
        <v>1</v>
      </c>
      <c r="B400" t="s">
        <v>9181</v>
      </c>
      <c r="C400" t="s">
        <v>9182</v>
      </c>
      <c r="D400">
        <v>1</v>
      </c>
      <c r="E400">
        <v>10</v>
      </c>
      <c r="F400">
        <v>1.1133999999999999</v>
      </c>
      <c r="H400">
        <f t="shared" si="54"/>
        <v>1</v>
      </c>
      <c r="I400" t="str">
        <f t="shared" si="59"/>
        <v>200PFA39-12L1</v>
      </c>
      <c r="J400" s="6" t="str">
        <f t="shared" si="55"/>
        <v>SING CHICAGO BLUES (L) 43X145</v>
      </c>
      <c r="K400" s="6">
        <f t="shared" si="56"/>
        <v>1</v>
      </c>
      <c r="L400" s="6">
        <f t="shared" si="57"/>
        <v>10</v>
      </c>
      <c r="M400" s="6">
        <f t="shared" si="58"/>
        <v>1.1133999999999999</v>
      </c>
      <c r="N400" s="6" t="str">
        <f t="shared" si="60"/>
        <v>100PFA39-6200</v>
      </c>
      <c r="O400" s="6" t="str">
        <f t="shared" si="61"/>
        <v>SINGING THE CHICAGO BLUES</v>
      </c>
    </row>
    <row r="401" spans="1:15">
      <c r="A401">
        <v>3</v>
      </c>
      <c r="B401" t="s">
        <v>9370</v>
      </c>
      <c r="C401" t="s">
        <v>9216</v>
      </c>
      <c r="D401">
        <v>1</v>
      </c>
      <c r="E401">
        <v>10</v>
      </c>
      <c r="F401">
        <v>0.33329999999999999</v>
      </c>
      <c r="H401">
        <f t="shared" si="54"/>
        <v>3</v>
      </c>
      <c r="I401" t="str">
        <f t="shared" si="59"/>
        <v>J24I9163PM42</v>
      </c>
      <c r="J401" s="6" t="str">
        <f t="shared" si="55"/>
        <v>PFA39 UV PRO R SHORT 41.84X47.</v>
      </c>
      <c r="K401" s="6">
        <f t="shared" si="56"/>
        <v>1</v>
      </c>
      <c r="L401" s="6">
        <f t="shared" si="57"/>
        <v>10</v>
      </c>
      <c r="M401" s="6">
        <f t="shared" si="58"/>
        <v>0.33329999999999999</v>
      </c>
      <c r="N401" s="6" t="str">
        <f t="shared" si="60"/>
        <v>100PFA39-6200</v>
      </c>
      <c r="O401" s="6" t="str">
        <f t="shared" si="61"/>
        <v>SINGING THE CHICAGO BLUES</v>
      </c>
    </row>
    <row r="402" spans="1:15">
      <c r="A402">
        <v>2</v>
      </c>
      <c r="B402" t="s">
        <v>9371</v>
      </c>
      <c r="C402" t="s">
        <v>9372</v>
      </c>
      <c r="D402">
        <v>1</v>
      </c>
      <c r="E402">
        <v>10</v>
      </c>
      <c r="F402">
        <v>1</v>
      </c>
      <c r="H402">
        <f t="shared" si="54"/>
        <v>2</v>
      </c>
      <c r="I402" t="str">
        <f t="shared" si="59"/>
        <v>200I9163-120</v>
      </c>
      <c r="J402" s="6" t="str">
        <f t="shared" si="55"/>
        <v>PFA39 PRO UV R SHORT 43 X 145</v>
      </c>
      <c r="K402" s="6">
        <f t="shared" si="56"/>
        <v>1</v>
      </c>
      <c r="L402" s="6">
        <f t="shared" si="57"/>
        <v>10</v>
      </c>
      <c r="M402" s="6">
        <f t="shared" si="58"/>
        <v>1</v>
      </c>
      <c r="N402" s="6" t="str">
        <f t="shared" si="60"/>
        <v>100PFA39-6200</v>
      </c>
      <c r="O402" s="6" t="str">
        <f t="shared" si="61"/>
        <v>SINGING THE CHICAGO BLUES</v>
      </c>
    </row>
    <row r="403" spans="1:15">
      <c r="A403">
        <v>1</v>
      </c>
      <c r="B403" t="s">
        <v>9169</v>
      </c>
      <c r="C403" t="s">
        <v>9170</v>
      </c>
      <c r="D403">
        <v>1</v>
      </c>
      <c r="E403">
        <v>10</v>
      </c>
      <c r="F403">
        <v>1.1133999999999999</v>
      </c>
      <c r="H403">
        <f t="shared" si="54"/>
        <v>1</v>
      </c>
      <c r="I403" t="str">
        <f t="shared" si="59"/>
        <v>200PFA39-12R1</v>
      </c>
      <c r="J403" s="6" t="str">
        <f t="shared" si="55"/>
        <v>SING CHICAGO BLUES (R) 43X145</v>
      </c>
      <c r="K403" s="6">
        <f t="shared" si="56"/>
        <v>1</v>
      </c>
      <c r="L403" s="6">
        <f t="shared" si="57"/>
        <v>10</v>
      </c>
      <c r="M403" s="6">
        <f t="shared" si="58"/>
        <v>1.1133999999999999</v>
      </c>
      <c r="N403" s="6" t="str">
        <f t="shared" si="60"/>
        <v>100PFA39-6200</v>
      </c>
      <c r="O403" s="6" t="str">
        <f t="shared" si="61"/>
        <v>SINGING THE CHICAGO BLUES</v>
      </c>
    </row>
    <row r="404" spans="1:15">
      <c r="A404">
        <v>3</v>
      </c>
      <c r="B404" t="s">
        <v>9373</v>
      </c>
      <c r="C404" t="s">
        <v>9374</v>
      </c>
      <c r="D404">
        <v>1</v>
      </c>
      <c r="E404">
        <v>10</v>
      </c>
      <c r="F404">
        <v>1</v>
      </c>
      <c r="H404">
        <f t="shared" si="54"/>
        <v>3</v>
      </c>
      <c r="I404" t="str">
        <f t="shared" si="59"/>
        <v>J24I9663QB57</v>
      </c>
      <c r="J404" s="6" t="str">
        <f t="shared" si="55"/>
        <v>PFA39 UV PRO L FO/ARR 59.5X142</v>
      </c>
      <c r="K404" s="6">
        <f t="shared" si="56"/>
        <v>1</v>
      </c>
      <c r="L404" s="6">
        <f t="shared" si="57"/>
        <v>10</v>
      </c>
      <c r="M404" s="6">
        <f t="shared" si="58"/>
        <v>1</v>
      </c>
      <c r="N404" s="6" t="str">
        <f t="shared" si="60"/>
        <v>100PFA39-6200</v>
      </c>
      <c r="O404" s="6" t="str">
        <f t="shared" si="61"/>
        <v>SINGING THE CHICAGO BLUES</v>
      </c>
    </row>
    <row r="405" spans="1:15">
      <c r="A405">
        <v>2</v>
      </c>
      <c r="B405" t="s">
        <v>9375</v>
      </c>
      <c r="C405" t="s">
        <v>9376</v>
      </c>
      <c r="D405">
        <v>1</v>
      </c>
      <c r="E405">
        <v>10</v>
      </c>
      <c r="F405">
        <v>1</v>
      </c>
      <c r="H405">
        <f t="shared" si="54"/>
        <v>2</v>
      </c>
      <c r="I405" t="str">
        <f t="shared" si="59"/>
        <v>200I9663-520</v>
      </c>
      <c r="J405" s="6" t="str">
        <f t="shared" si="55"/>
        <v>PFA39 PRO UV L FO/ARR  60 X 14</v>
      </c>
      <c r="K405" s="6">
        <f t="shared" si="56"/>
        <v>1</v>
      </c>
      <c r="L405" s="6">
        <f t="shared" si="57"/>
        <v>10</v>
      </c>
      <c r="M405" s="6">
        <f t="shared" si="58"/>
        <v>1</v>
      </c>
      <c r="N405" s="6" t="str">
        <f t="shared" si="60"/>
        <v>100PFA39-6200</v>
      </c>
      <c r="O405" s="6" t="str">
        <f t="shared" si="61"/>
        <v>SINGING THE CHICAGO BLUES</v>
      </c>
    </row>
    <row r="406" spans="1:15">
      <c r="A406">
        <v>1</v>
      </c>
      <c r="B406" t="s">
        <v>9151</v>
      </c>
      <c r="C406" t="s">
        <v>9152</v>
      </c>
      <c r="D406">
        <v>1</v>
      </c>
      <c r="E406">
        <v>10</v>
      </c>
      <c r="F406">
        <v>1.1133999999999999</v>
      </c>
      <c r="H406">
        <f t="shared" si="54"/>
        <v>1</v>
      </c>
      <c r="I406" t="str">
        <f t="shared" si="59"/>
        <v>200PFA39-5201</v>
      </c>
      <c r="J406" s="6" t="str">
        <f t="shared" si="55"/>
        <v>SING CHICAGO BLUES 60 X 144</v>
      </c>
      <c r="K406" s="6">
        <f t="shared" si="56"/>
        <v>1</v>
      </c>
      <c r="L406" s="6">
        <f t="shared" si="57"/>
        <v>10</v>
      </c>
      <c r="M406" s="6">
        <f t="shared" si="58"/>
        <v>1.1133999999999999</v>
      </c>
      <c r="N406" s="6" t="str">
        <f t="shared" si="60"/>
        <v>100PFA39-6200</v>
      </c>
      <c r="O406" s="6" t="str">
        <f t="shared" si="61"/>
        <v>SINGING THE CHICAGO BLUES</v>
      </c>
    </row>
    <row r="407" spans="1:15">
      <c r="A407">
        <v>3</v>
      </c>
      <c r="B407" t="s">
        <v>9377</v>
      </c>
      <c r="C407" t="s">
        <v>9378</v>
      </c>
      <c r="D407">
        <v>1</v>
      </c>
      <c r="E407">
        <v>10</v>
      </c>
      <c r="F407">
        <v>1</v>
      </c>
      <c r="H407">
        <f t="shared" si="54"/>
        <v>3</v>
      </c>
      <c r="I407" t="str">
        <f t="shared" si="59"/>
        <v>J24I9664QB56</v>
      </c>
      <c r="J407" s="6" t="str">
        <f t="shared" si="55"/>
        <v>PFA39 UV PRO R FO/ARR 59.5X142</v>
      </c>
      <c r="K407" s="6">
        <f t="shared" si="56"/>
        <v>1</v>
      </c>
      <c r="L407" s="6">
        <f t="shared" si="57"/>
        <v>10</v>
      </c>
      <c r="M407" s="6">
        <f t="shared" si="58"/>
        <v>1</v>
      </c>
      <c r="N407" s="6" t="str">
        <f t="shared" si="60"/>
        <v>100PFA39-6200</v>
      </c>
      <c r="O407" s="6" t="str">
        <f t="shared" si="61"/>
        <v>SINGING THE CHICAGO BLUES</v>
      </c>
    </row>
    <row r="408" spans="1:15">
      <c r="A408">
        <v>2</v>
      </c>
      <c r="B408" t="s">
        <v>9379</v>
      </c>
      <c r="C408" t="s">
        <v>9380</v>
      </c>
      <c r="D408">
        <v>1</v>
      </c>
      <c r="E408">
        <v>10</v>
      </c>
      <c r="F408">
        <v>1</v>
      </c>
      <c r="H408">
        <f t="shared" si="54"/>
        <v>2</v>
      </c>
      <c r="I408" t="str">
        <f t="shared" si="59"/>
        <v>200I9664-520</v>
      </c>
      <c r="J408" s="6" t="str">
        <f t="shared" si="55"/>
        <v>PFA39 PRO UV R FO/ARR 60 X 144</v>
      </c>
      <c r="K408" s="6">
        <f t="shared" si="56"/>
        <v>1</v>
      </c>
      <c r="L408" s="6">
        <f t="shared" si="57"/>
        <v>10</v>
      </c>
      <c r="M408" s="6">
        <f t="shared" si="58"/>
        <v>1</v>
      </c>
      <c r="N408" s="6" t="str">
        <f t="shared" si="60"/>
        <v>100PFA39-6200</v>
      </c>
      <c r="O408" s="6" t="str">
        <f t="shared" si="61"/>
        <v>SINGING THE CHICAGO BLUES</v>
      </c>
    </row>
    <row r="409" spans="1:15">
      <c r="A409">
        <v>1</v>
      </c>
      <c r="B409" t="s">
        <v>9151</v>
      </c>
      <c r="C409" t="s">
        <v>9152</v>
      </c>
      <c r="D409">
        <v>1</v>
      </c>
      <c r="E409">
        <v>10</v>
      </c>
      <c r="F409">
        <v>1.1133999999999999</v>
      </c>
      <c r="H409">
        <f t="shared" si="54"/>
        <v>1</v>
      </c>
      <c r="I409" t="str">
        <f t="shared" si="59"/>
        <v>200PFA39-5201</v>
      </c>
      <c r="J409" s="6" t="str">
        <f t="shared" si="55"/>
        <v>SING CHICAGO BLUES 60 X 144</v>
      </c>
      <c r="K409" s="6">
        <f t="shared" si="56"/>
        <v>1</v>
      </c>
      <c r="L409" s="6">
        <f t="shared" si="57"/>
        <v>10</v>
      </c>
      <c r="M409" s="6">
        <f t="shared" si="58"/>
        <v>1.1133999999999999</v>
      </c>
      <c r="N409" s="6" t="str">
        <f t="shared" si="60"/>
        <v>100PFA39-6200</v>
      </c>
      <c r="O409" s="6" t="str">
        <f t="shared" si="61"/>
        <v>SINGING THE CHICAGO BLUES</v>
      </c>
    </row>
    <row r="410" spans="1:15">
      <c r="A410">
        <v>3</v>
      </c>
      <c r="B410" t="s">
        <v>9381</v>
      </c>
      <c r="C410" t="s">
        <v>9382</v>
      </c>
      <c r="D410">
        <v>1</v>
      </c>
      <c r="E410">
        <v>10</v>
      </c>
      <c r="F410">
        <v>0.5</v>
      </c>
      <c r="H410">
        <f t="shared" si="54"/>
        <v>3</v>
      </c>
      <c r="I410" t="str">
        <f t="shared" si="59"/>
        <v>J44I8950AM38</v>
      </c>
      <c r="J410" s="6" t="str">
        <f t="shared" si="55"/>
        <v>PFA39 N BALL RET 13.87 X 144</v>
      </c>
      <c r="K410" s="6">
        <f t="shared" si="56"/>
        <v>1</v>
      </c>
      <c r="L410" s="6">
        <f t="shared" si="57"/>
        <v>10</v>
      </c>
      <c r="M410" s="6">
        <f t="shared" si="58"/>
        <v>0.5</v>
      </c>
      <c r="N410" s="6" t="str">
        <f t="shared" si="60"/>
        <v>100PFA39-6200</v>
      </c>
      <c r="O410" s="6" t="str">
        <f t="shared" si="61"/>
        <v>SINGING THE CHICAGO BLUES</v>
      </c>
    </row>
    <row r="411" spans="1:15">
      <c r="A411">
        <v>2</v>
      </c>
      <c r="B411" t="s">
        <v>9185</v>
      </c>
      <c r="C411" t="s">
        <v>9186</v>
      </c>
      <c r="D411">
        <v>1</v>
      </c>
      <c r="E411">
        <v>10</v>
      </c>
      <c r="F411">
        <v>1</v>
      </c>
      <c r="H411">
        <f t="shared" si="54"/>
        <v>2</v>
      </c>
      <c r="I411" t="str">
        <f t="shared" si="59"/>
        <v>200I8950-120</v>
      </c>
      <c r="J411" s="6" t="str">
        <f t="shared" si="55"/>
        <v>PFA39 L COMMON 43 X 145</v>
      </c>
      <c r="K411" s="6">
        <f t="shared" si="56"/>
        <v>1</v>
      </c>
      <c r="L411" s="6">
        <f t="shared" si="57"/>
        <v>10</v>
      </c>
      <c r="M411" s="6">
        <f t="shared" si="58"/>
        <v>1</v>
      </c>
      <c r="N411" s="6" t="str">
        <f t="shared" si="60"/>
        <v>100PFA39-6200</v>
      </c>
      <c r="O411" s="6" t="str">
        <f t="shared" si="61"/>
        <v>SINGING THE CHICAGO BLUES</v>
      </c>
    </row>
    <row r="412" spans="1:15">
      <c r="A412">
        <v>1</v>
      </c>
      <c r="B412" t="s">
        <v>9181</v>
      </c>
      <c r="C412" t="s">
        <v>9182</v>
      </c>
      <c r="D412">
        <v>1</v>
      </c>
      <c r="E412">
        <v>10</v>
      </c>
      <c r="F412">
        <v>1.1133999999999999</v>
      </c>
      <c r="H412">
        <f t="shared" si="54"/>
        <v>1</v>
      </c>
      <c r="I412" t="str">
        <f t="shared" si="59"/>
        <v>200PFA39-12L1</v>
      </c>
      <c r="J412" s="6" t="str">
        <f t="shared" si="55"/>
        <v>SING CHICAGO BLUES (L) 43X145</v>
      </c>
      <c r="K412" s="6">
        <f t="shared" si="56"/>
        <v>1</v>
      </c>
      <c r="L412" s="6">
        <f t="shared" si="57"/>
        <v>10</v>
      </c>
      <c r="M412" s="6">
        <f t="shared" si="58"/>
        <v>1.1133999999999999</v>
      </c>
      <c r="N412" s="6" t="str">
        <f t="shared" si="60"/>
        <v>100PFA39-6200</v>
      </c>
      <c r="O412" s="6" t="str">
        <f t="shared" si="61"/>
        <v>SINGING THE CHICAGO BLUES</v>
      </c>
    </row>
    <row r="413" spans="1:15">
      <c r="A413">
        <v>3</v>
      </c>
      <c r="B413" t="s">
        <v>9383</v>
      </c>
      <c r="C413" t="s">
        <v>9384</v>
      </c>
      <c r="D413">
        <v>1</v>
      </c>
      <c r="E413">
        <v>10</v>
      </c>
      <c r="F413">
        <v>0.5</v>
      </c>
      <c r="H413">
        <f t="shared" si="54"/>
        <v>3</v>
      </c>
      <c r="I413" t="str">
        <f t="shared" si="59"/>
        <v>J44I8950AM39</v>
      </c>
      <c r="J413" s="6" t="str">
        <f t="shared" si="55"/>
        <v>PFA39 W BALL RET 14.7 X 144</v>
      </c>
      <c r="K413" s="6">
        <f t="shared" si="56"/>
        <v>1</v>
      </c>
      <c r="L413" s="6">
        <f t="shared" si="57"/>
        <v>10</v>
      </c>
      <c r="M413" s="6">
        <f t="shared" si="58"/>
        <v>0.5</v>
      </c>
      <c r="N413" s="6" t="str">
        <f t="shared" si="60"/>
        <v>100PFA39-6200</v>
      </c>
      <c r="O413" s="6" t="str">
        <f t="shared" si="61"/>
        <v>SINGING THE CHICAGO BLUES</v>
      </c>
    </row>
    <row r="414" spans="1:15">
      <c r="A414">
        <v>2</v>
      </c>
      <c r="B414" t="s">
        <v>9185</v>
      </c>
      <c r="C414" t="s">
        <v>9186</v>
      </c>
      <c r="D414">
        <v>1</v>
      </c>
      <c r="E414">
        <v>10</v>
      </c>
      <c r="F414">
        <v>1</v>
      </c>
      <c r="H414">
        <f t="shared" si="54"/>
        <v>2</v>
      </c>
      <c r="I414" t="str">
        <f t="shared" si="59"/>
        <v>200I8950-120</v>
      </c>
      <c r="J414" s="6" t="str">
        <f t="shared" si="55"/>
        <v>PFA39 L COMMON 43 X 145</v>
      </c>
      <c r="K414" s="6">
        <f t="shared" si="56"/>
        <v>1</v>
      </c>
      <c r="L414" s="6">
        <f t="shared" si="57"/>
        <v>10</v>
      </c>
      <c r="M414" s="6">
        <f t="shared" si="58"/>
        <v>1</v>
      </c>
      <c r="N414" s="6" t="str">
        <f t="shared" si="60"/>
        <v>100PFA39-6200</v>
      </c>
      <c r="O414" s="6" t="str">
        <f t="shared" si="61"/>
        <v>SINGING THE CHICAGO BLUES</v>
      </c>
    </row>
    <row r="415" spans="1:15">
      <c r="A415">
        <v>1</v>
      </c>
      <c r="B415" t="s">
        <v>9181</v>
      </c>
      <c r="C415" t="s">
        <v>9182</v>
      </c>
      <c r="D415">
        <v>1</v>
      </c>
      <c r="E415">
        <v>10</v>
      </c>
      <c r="F415">
        <v>1.1133999999999999</v>
      </c>
      <c r="H415">
        <f t="shared" si="54"/>
        <v>1</v>
      </c>
      <c r="I415" t="str">
        <f t="shared" si="59"/>
        <v>200PFA39-12L1</v>
      </c>
      <c r="J415" s="6" t="str">
        <f t="shared" si="55"/>
        <v>SING CHICAGO BLUES (L) 43X145</v>
      </c>
      <c r="K415" s="6">
        <f t="shared" si="56"/>
        <v>1</v>
      </c>
      <c r="L415" s="6">
        <f t="shared" si="57"/>
        <v>10</v>
      </c>
      <c r="M415" s="6">
        <f t="shared" si="58"/>
        <v>1.1133999999999999</v>
      </c>
      <c r="N415" s="6" t="str">
        <f t="shared" si="60"/>
        <v>100PFA39-6200</v>
      </c>
      <c r="O415" s="6" t="str">
        <f t="shared" si="61"/>
        <v>SINGING THE CHICAGO BLUES</v>
      </c>
    </row>
    <row r="416" spans="1:15">
      <c r="A416">
        <v>3</v>
      </c>
      <c r="B416" t="s">
        <v>9385</v>
      </c>
      <c r="C416" t="s">
        <v>9386</v>
      </c>
      <c r="D416">
        <v>1</v>
      </c>
      <c r="E416">
        <v>10</v>
      </c>
      <c r="F416">
        <v>1</v>
      </c>
      <c r="H416">
        <f t="shared" ref="H416:H479" si="62">A416</f>
        <v>3</v>
      </c>
      <c r="I416" t="str">
        <f t="shared" si="59"/>
        <v>J44I8950ASWG</v>
      </c>
      <c r="J416" s="6" t="str">
        <f t="shared" ref="J416:J479" si="63">C416</f>
        <v>PFA39 W/WAY 42 7/8 X 145 1/4</v>
      </c>
      <c r="K416" s="6">
        <f t="shared" ref="K416:K479" si="64">D416</f>
        <v>1</v>
      </c>
      <c r="L416" s="6">
        <f t="shared" ref="L416:L479" si="65">E416</f>
        <v>10</v>
      </c>
      <c r="M416" s="6">
        <f t="shared" ref="M416:M479" si="66">F416</f>
        <v>1</v>
      </c>
      <c r="N416" s="6" t="str">
        <f t="shared" si="60"/>
        <v>100PFA39-6200</v>
      </c>
      <c r="O416" s="6" t="str">
        <f t="shared" si="61"/>
        <v>SINGING THE CHICAGO BLUES</v>
      </c>
    </row>
    <row r="417" spans="1:15">
      <c r="A417">
        <v>2</v>
      </c>
      <c r="B417" t="s">
        <v>9185</v>
      </c>
      <c r="C417" t="s">
        <v>9186</v>
      </c>
      <c r="D417">
        <v>1</v>
      </c>
      <c r="E417">
        <v>10</v>
      </c>
      <c r="F417">
        <v>1</v>
      </c>
      <c r="H417">
        <f t="shared" si="62"/>
        <v>2</v>
      </c>
      <c r="I417" t="str">
        <f t="shared" si="59"/>
        <v>200I8950-120</v>
      </c>
      <c r="J417" s="6" t="str">
        <f t="shared" si="63"/>
        <v>PFA39 L COMMON 43 X 145</v>
      </c>
      <c r="K417" s="6">
        <f t="shared" si="64"/>
        <v>1</v>
      </c>
      <c r="L417" s="6">
        <f t="shared" si="65"/>
        <v>10</v>
      </c>
      <c r="M417" s="6">
        <f t="shared" si="66"/>
        <v>1</v>
      </c>
      <c r="N417" s="6" t="str">
        <f t="shared" si="60"/>
        <v>100PFA39-6200</v>
      </c>
      <c r="O417" s="6" t="str">
        <f t="shared" si="61"/>
        <v>SINGING THE CHICAGO BLUES</v>
      </c>
    </row>
    <row r="418" spans="1:15">
      <c r="A418">
        <v>1</v>
      </c>
      <c r="B418" t="s">
        <v>9181</v>
      </c>
      <c r="C418" t="s">
        <v>9182</v>
      </c>
      <c r="D418">
        <v>1</v>
      </c>
      <c r="E418">
        <v>10</v>
      </c>
      <c r="F418">
        <v>1.1133999999999999</v>
      </c>
      <c r="H418">
        <f t="shared" si="62"/>
        <v>1</v>
      </c>
      <c r="I418" t="str">
        <f t="shared" si="59"/>
        <v>200PFA39-12L1</v>
      </c>
      <c r="J418" s="6" t="str">
        <f t="shared" si="63"/>
        <v>SING CHICAGO BLUES (L) 43X145</v>
      </c>
      <c r="K418" s="6">
        <f t="shared" si="64"/>
        <v>1</v>
      </c>
      <c r="L418" s="6">
        <f t="shared" si="65"/>
        <v>10</v>
      </c>
      <c r="M418" s="6">
        <f t="shared" si="66"/>
        <v>1.1133999999999999</v>
      </c>
      <c r="N418" s="6" t="str">
        <f t="shared" si="60"/>
        <v>100PFA39-6200</v>
      </c>
      <c r="O418" s="6" t="str">
        <f t="shared" si="61"/>
        <v>SINGING THE CHICAGO BLUES</v>
      </c>
    </row>
    <row r="419" spans="1:15">
      <c r="A419">
        <v>3</v>
      </c>
      <c r="B419" t="s">
        <v>9387</v>
      </c>
      <c r="C419" t="s">
        <v>9388</v>
      </c>
      <c r="D419">
        <v>1</v>
      </c>
      <c r="E419">
        <v>10</v>
      </c>
      <c r="F419">
        <v>0.5</v>
      </c>
      <c r="H419">
        <f t="shared" si="62"/>
        <v>3</v>
      </c>
      <c r="I419" t="str">
        <f t="shared" si="59"/>
        <v>J44I9421AM38</v>
      </c>
      <c r="J419" s="6" t="str">
        <f t="shared" si="63"/>
        <v>PFA39 NAR BALL RET 13.87 X 144</v>
      </c>
      <c r="K419" s="6">
        <f t="shared" si="64"/>
        <v>1</v>
      </c>
      <c r="L419" s="6">
        <f t="shared" si="65"/>
        <v>10</v>
      </c>
      <c r="M419" s="6">
        <f t="shared" si="66"/>
        <v>0.5</v>
      </c>
      <c r="N419" s="6" t="str">
        <f t="shared" si="60"/>
        <v>100PFA39-6200</v>
      </c>
      <c r="O419" s="6" t="str">
        <f t="shared" si="61"/>
        <v>SINGING THE CHICAGO BLUES</v>
      </c>
    </row>
    <row r="420" spans="1:15">
      <c r="A420">
        <v>2</v>
      </c>
      <c r="B420" t="s">
        <v>9265</v>
      </c>
      <c r="C420" t="s">
        <v>9266</v>
      </c>
      <c r="D420">
        <v>1</v>
      </c>
      <c r="E420">
        <v>10</v>
      </c>
      <c r="F420">
        <v>1</v>
      </c>
      <c r="H420">
        <f t="shared" si="62"/>
        <v>2</v>
      </c>
      <c r="I420" t="str">
        <f t="shared" si="59"/>
        <v>200I9421-120</v>
      </c>
      <c r="J420" s="6" t="str">
        <f t="shared" si="63"/>
        <v>PFA39 LEFT COMMON 43 X 145</v>
      </c>
      <c r="K420" s="6">
        <f t="shared" si="64"/>
        <v>1</v>
      </c>
      <c r="L420" s="6">
        <f t="shared" si="65"/>
        <v>10</v>
      </c>
      <c r="M420" s="6">
        <f t="shared" si="66"/>
        <v>1</v>
      </c>
      <c r="N420" s="6" t="str">
        <f t="shared" si="60"/>
        <v>100PFA39-6200</v>
      </c>
      <c r="O420" s="6" t="str">
        <f t="shared" si="61"/>
        <v>SINGING THE CHICAGO BLUES</v>
      </c>
    </row>
    <row r="421" spans="1:15">
      <c r="A421">
        <v>1</v>
      </c>
      <c r="B421" t="s">
        <v>9181</v>
      </c>
      <c r="C421" t="s">
        <v>9182</v>
      </c>
      <c r="D421">
        <v>1</v>
      </c>
      <c r="E421">
        <v>10</v>
      </c>
      <c r="F421">
        <v>1.1133999999999999</v>
      </c>
      <c r="H421">
        <f t="shared" si="62"/>
        <v>1</v>
      </c>
      <c r="I421" t="str">
        <f t="shared" si="59"/>
        <v>200PFA39-12L1</v>
      </c>
      <c r="J421" s="6" t="str">
        <f t="shared" si="63"/>
        <v>SING CHICAGO BLUES (L) 43X145</v>
      </c>
      <c r="K421" s="6">
        <f t="shared" si="64"/>
        <v>1</v>
      </c>
      <c r="L421" s="6">
        <f t="shared" si="65"/>
        <v>10</v>
      </c>
      <c r="M421" s="6">
        <f t="shared" si="66"/>
        <v>1.1133999999999999</v>
      </c>
      <c r="N421" s="6" t="str">
        <f t="shared" si="60"/>
        <v>100PFA39-6200</v>
      </c>
      <c r="O421" s="6" t="str">
        <f t="shared" si="61"/>
        <v>SINGING THE CHICAGO BLUES</v>
      </c>
    </row>
    <row r="422" spans="1:15">
      <c r="A422">
        <v>3</v>
      </c>
      <c r="B422" t="s">
        <v>9389</v>
      </c>
      <c r="C422" t="s">
        <v>9384</v>
      </c>
      <c r="D422">
        <v>1</v>
      </c>
      <c r="E422">
        <v>10</v>
      </c>
      <c r="F422">
        <v>0.5</v>
      </c>
      <c r="H422">
        <f t="shared" si="62"/>
        <v>3</v>
      </c>
      <c r="I422" t="str">
        <f t="shared" si="59"/>
        <v>J44I9421AM39</v>
      </c>
      <c r="J422" s="6" t="str">
        <f t="shared" si="63"/>
        <v>PFA39 W BALL RET 14.7 X 144</v>
      </c>
      <c r="K422" s="6">
        <f t="shared" si="64"/>
        <v>1</v>
      </c>
      <c r="L422" s="6">
        <f t="shared" si="65"/>
        <v>10</v>
      </c>
      <c r="M422" s="6">
        <f t="shared" si="66"/>
        <v>0.5</v>
      </c>
      <c r="N422" s="6" t="str">
        <f t="shared" si="60"/>
        <v>100PFA39-6200</v>
      </c>
      <c r="O422" s="6" t="str">
        <f t="shared" si="61"/>
        <v>SINGING THE CHICAGO BLUES</v>
      </c>
    </row>
    <row r="423" spans="1:15">
      <c r="A423">
        <v>2</v>
      </c>
      <c r="B423" t="s">
        <v>9265</v>
      </c>
      <c r="C423" t="s">
        <v>9266</v>
      </c>
      <c r="D423">
        <v>1</v>
      </c>
      <c r="E423">
        <v>10</v>
      </c>
      <c r="F423">
        <v>1</v>
      </c>
      <c r="H423">
        <f t="shared" si="62"/>
        <v>2</v>
      </c>
      <c r="I423" t="str">
        <f t="shared" si="59"/>
        <v>200I9421-120</v>
      </c>
      <c r="J423" s="6" t="str">
        <f t="shared" si="63"/>
        <v>PFA39 LEFT COMMON 43 X 145</v>
      </c>
      <c r="K423" s="6">
        <f t="shared" si="64"/>
        <v>1</v>
      </c>
      <c r="L423" s="6">
        <f t="shared" si="65"/>
        <v>10</v>
      </c>
      <c r="M423" s="6">
        <f t="shared" si="66"/>
        <v>1</v>
      </c>
      <c r="N423" s="6" t="str">
        <f t="shared" si="60"/>
        <v>100PFA39-6200</v>
      </c>
      <c r="O423" s="6" t="str">
        <f t="shared" si="61"/>
        <v>SINGING THE CHICAGO BLUES</v>
      </c>
    </row>
    <row r="424" spans="1:15">
      <c r="A424">
        <v>1</v>
      </c>
      <c r="B424" t="s">
        <v>9181</v>
      </c>
      <c r="C424" t="s">
        <v>9182</v>
      </c>
      <c r="D424">
        <v>1</v>
      </c>
      <c r="E424">
        <v>10</v>
      </c>
      <c r="F424">
        <v>1.1133999999999999</v>
      </c>
      <c r="H424">
        <f t="shared" si="62"/>
        <v>1</v>
      </c>
      <c r="I424" t="str">
        <f t="shared" si="59"/>
        <v>200PFA39-12L1</v>
      </c>
      <c r="J424" s="6" t="str">
        <f t="shared" si="63"/>
        <v>SING CHICAGO BLUES (L) 43X145</v>
      </c>
      <c r="K424" s="6">
        <f t="shared" si="64"/>
        <v>1</v>
      </c>
      <c r="L424" s="6">
        <f t="shared" si="65"/>
        <v>10</v>
      </c>
      <c r="M424" s="6">
        <f t="shared" si="66"/>
        <v>1.1133999999999999</v>
      </c>
      <c r="N424" s="6" t="str">
        <f t="shared" si="60"/>
        <v>100PFA39-6200</v>
      </c>
      <c r="O424" s="6" t="str">
        <f t="shared" si="61"/>
        <v>SINGING THE CHICAGO BLUES</v>
      </c>
    </row>
    <row r="425" spans="1:15">
      <c r="A425">
        <v>3</v>
      </c>
      <c r="B425" t="s">
        <v>9390</v>
      </c>
      <c r="C425" t="s">
        <v>9391</v>
      </c>
      <c r="D425">
        <v>1</v>
      </c>
      <c r="E425">
        <v>10</v>
      </c>
      <c r="F425">
        <v>1</v>
      </c>
      <c r="H425">
        <f t="shared" si="62"/>
        <v>3</v>
      </c>
      <c r="I425" t="str">
        <f t="shared" si="59"/>
        <v>J44I9421ASWG</v>
      </c>
      <c r="J425" s="6" t="str">
        <f t="shared" si="63"/>
        <v>PFA39 W/WAY FILL 42 7/8 X 145</v>
      </c>
      <c r="K425" s="6">
        <f t="shared" si="64"/>
        <v>1</v>
      </c>
      <c r="L425" s="6">
        <f t="shared" si="65"/>
        <v>10</v>
      </c>
      <c r="M425" s="6">
        <f t="shared" si="66"/>
        <v>1</v>
      </c>
      <c r="N425" s="6" t="str">
        <f t="shared" si="60"/>
        <v>100PFA39-6200</v>
      </c>
      <c r="O425" s="6" t="str">
        <f t="shared" si="61"/>
        <v>SINGING THE CHICAGO BLUES</v>
      </c>
    </row>
    <row r="426" spans="1:15">
      <c r="A426">
        <v>2</v>
      </c>
      <c r="B426" t="s">
        <v>9265</v>
      </c>
      <c r="C426" t="s">
        <v>9266</v>
      </c>
      <c r="D426">
        <v>1</v>
      </c>
      <c r="E426">
        <v>10</v>
      </c>
      <c r="F426">
        <v>1</v>
      </c>
      <c r="H426">
        <f t="shared" si="62"/>
        <v>2</v>
      </c>
      <c r="I426" t="str">
        <f t="shared" si="59"/>
        <v>200I9421-120</v>
      </c>
      <c r="J426" s="6" t="str">
        <f t="shared" si="63"/>
        <v>PFA39 LEFT COMMON 43 X 145</v>
      </c>
      <c r="K426" s="6">
        <f t="shared" si="64"/>
        <v>1</v>
      </c>
      <c r="L426" s="6">
        <f t="shared" si="65"/>
        <v>10</v>
      </c>
      <c r="M426" s="6">
        <f t="shared" si="66"/>
        <v>1</v>
      </c>
      <c r="N426" s="6" t="str">
        <f t="shared" si="60"/>
        <v>100PFA39-6200</v>
      </c>
      <c r="O426" s="6" t="str">
        <f t="shared" si="61"/>
        <v>SINGING THE CHICAGO BLUES</v>
      </c>
    </row>
    <row r="427" spans="1:15">
      <c r="A427">
        <v>1</v>
      </c>
      <c r="B427" t="s">
        <v>9181</v>
      </c>
      <c r="C427" t="s">
        <v>9182</v>
      </c>
      <c r="D427">
        <v>1</v>
      </c>
      <c r="E427">
        <v>10</v>
      </c>
      <c r="F427">
        <v>1.1133999999999999</v>
      </c>
      <c r="H427">
        <f t="shared" si="62"/>
        <v>1</v>
      </c>
      <c r="I427" t="str">
        <f t="shared" si="59"/>
        <v>200PFA39-12L1</v>
      </c>
      <c r="J427" s="6" t="str">
        <f t="shared" si="63"/>
        <v>SING CHICAGO BLUES (L) 43X145</v>
      </c>
      <c r="K427" s="6">
        <f t="shared" si="64"/>
        <v>1</v>
      </c>
      <c r="L427" s="6">
        <f t="shared" si="65"/>
        <v>10</v>
      </c>
      <c r="M427" s="6">
        <f t="shared" si="66"/>
        <v>1.1133999999999999</v>
      </c>
      <c r="N427" s="6" t="str">
        <f t="shared" si="60"/>
        <v>100PFA39-6200</v>
      </c>
      <c r="O427" s="6" t="str">
        <f t="shared" si="61"/>
        <v>SINGING THE CHICAGO BLUES</v>
      </c>
    </row>
    <row r="428" spans="1:15">
      <c r="A428">
        <v>3</v>
      </c>
      <c r="B428" t="s">
        <v>9392</v>
      </c>
      <c r="C428" t="s">
        <v>9382</v>
      </c>
      <c r="D428">
        <v>1</v>
      </c>
      <c r="E428">
        <v>10</v>
      </c>
      <c r="F428">
        <v>0.5</v>
      </c>
      <c r="H428">
        <f t="shared" si="62"/>
        <v>3</v>
      </c>
      <c r="I428" t="str">
        <f t="shared" si="59"/>
        <v>J46I8950AM38</v>
      </c>
      <c r="J428" s="6" t="str">
        <f t="shared" si="63"/>
        <v>PFA39 N BALL RET 13.87 X 144</v>
      </c>
      <c r="K428" s="6">
        <f t="shared" si="64"/>
        <v>1</v>
      </c>
      <c r="L428" s="6">
        <f t="shared" si="65"/>
        <v>10</v>
      </c>
      <c r="M428" s="6">
        <f t="shared" si="66"/>
        <v>0.5</v>
      </c>
      <c r="N428" s="6" t="str">
        <f t="shared" si="60"/>
        <v>100PFA39-6200</v>
      </c>
      <c r="O428" s="6" t="str">
        <f t="shared" si="61"/>
        <v>SINGING THE CHICAGO BLUES</v>
      </c>
    </row>
    <row r="429" spans="1:15">
      <c r="A429">
        <v>2</v>
      </c>
      <c r="B429" t="s">
        <v>9185</v>
      </c>
      <c r="C429" t="s">
        <v>9186</v>
      </c>
      <c r="D429">
        <v>1</v>
      </c>
      <c r="E429">
        <v>10</v>
      </c>
      <c r="F429">
        <v>1</v>
      </c>
      <c r="H429">
        <f t="shared" si="62"/>
        <v>2</v>
      </c>
      <c r="I429" t="str">
        <f t="shared" si="59"/>
        <v>200I8950-120</v>
      </c>
      <c r="J429" s="6" t="str">
        <f t="shared" si="63"/>
        <v>PFA39 L COMMON 43 X 145</v>
      </c>
      <c r="K429" s="6">
        <f t="shared" si="64"/>
        <v>1</v>
      </c>
      <c r="L429" s="6">
        <f t="shared" si="65"/>
        <v>10</v>
      </c>
      <c r="M429" s="6">
        <f t="shared" si="66"/>
        <v>1</v>
      </c>
      <c r="N429" s="6" t="str">
        <f t="shared" si="60"/>
        <v>100PFA39-6200</v>
      </c>
      <c r="O429" s="6" t="str">
        <f t="shared" si="61"/>
        <v>SINGING THE CHICAGO BLUES</v>
      </c>
    </row>
    <row r="430" spans="1:15">
      <c r="A430">
        <v>1</v>
      </c>
      <c r="B430" t="s">
        <v>9181</v>
      </c>
      <c r="C430" t="s">
        <v>9182</v>
      </c>
      <c r="D430">
        <v>1</v>
      </c>
      <c r="E430">
        <v>10</v>
      </c>
      <c r="F430">
        <v>1.1133999999999999</v>
      </c>
      <c r="H430">
        <f t="shared" si="62"/>
        <v>1</v>
      </c>
      <c r="I430" t="str">
        <f t="shared" si="59"/>
        <v>200PFA39-12L1</v>
      </c>
      <c r="J430" s="6" t="str">
        <f t="shared" si="63"/>
        <v>SING CHICAGO BLUES (L) 43X145</v>
      </c>
      <c r="K430" s="6">
        <f t="shared" si="64"/>
        <v>1</v>
      </c>
      <c r="L430" s="6">
        <f t="shared" si="65"/>
        <v>10</v>
      </c>
      <c r="M430" s="6">
        <f t="shared" si="66"/>
        <v>1.1133999999999999</v>
      </c>
      <c r="N430" s="6" t="str">
        <f t="shared" si="60"/>
        <v>100PFA39-6200</v>
      </c>
      <c r="O430" s="6" t="str">
        <f t="shared" si="61"/>
        <v>SINGING THE CHICAGO BLUES</v>
      </c>
    </row>
    <row r="431" spans="1:15">
      <c r="A431">
        <v>3</v>
      </c>
      <c r="B431" t="s">
        <v>9393</v>
      </c>
      <c r="C431" t="s">
        <v>9384</v>
      </c>
      <c r="D431">
        <v>1</v>
      </c>
      <c r="E431">
        <v>10</v>
      </c>
      <c r="F431">
        <v>0.5</v>
      </c>
      <c r="H431">
        <f t="shared" si="62"/>
        <v>3</v>
      </c>
      <c r="I431" t="str">
        <f t="shared" si="59"/>
        <v>J46I8950AM39</v>
      </c>
      <c r="J431" s="6" t="str">
        <f t="shared" si="63"/>
        <v>PFA39 W BALL RET 14.7 X 144</v>
      </c>
      <c r="K431" s="6">
        <f t="shared" si="64"/>
        <v>1</v>
      </c>
      <c r="L431" s="6">
        <f t="shared" si="65"/>
        <v>10</v>
      </c>
      <c r="M431" s="6">
        <f t="shared" si="66"/>
        <v>0.5</v>
      </c>
      <c r="N431" s="6" t="str">
        <f t="shared" si="60"/>
        <v>100PFA39-6200</v>
      </c>
      <c r="O431" s="6" t="str">
        <f t="shared" si="61"/>
        <v>SINGING THE CHICAGO BLUES</v>
      </c>
    </row>
    <row r="432" spans="1:15">
      <c r="A432">
        <v>2</v>
      </c>
      <c r="B432" t="s">
        <v>9185</v>
      </c>
      <c r="C432" t="s">
        <v>9186</v>
      </c>
      <c r="D432">
        <v>1</v>
      </c>
      <c r="E432">
        <v>10</v>
      </c>
      <c r="F432">
        <v>1</v>
      </c>
      <c r="H432">
        <f t="shared" si="62"/>
        <v>2</v>
      </c>
      <c r="I432" t="str">
        <f t="shared" si="59"/>
        <v>200I8950-120</v>
      </c>
      <c r="J432" s="6" t="str">
        <f t="shared" si="63"/>
        <v>PFA39 L COMMON 43 X 145</v>
      </c>
      <c r="K432" s="6">
        <f t="shared" si="64"/>
        <v>1</v>
      </c>
      <c r="L432" s="6">
        <f t="shared" si="65"/>
        <v>10</v>
      </c>
      <c r="M432" s="6">
        <f t="shared" si="66"/>
        <v>1</v>
      </c>
      <c r="N432" s="6" t="str">
        <f t="shared" si="60"/>
        <v>100PFA39-6200</v>
      </c>
      <c r="O432" s="6" t="str">
        <f t="shared" si="61"/>
        <v>SINGING THE CHICAGO BLUES</v>
      </c>
    </row>
    <row r="433" spans="1:15">
      <c r="A433">
        <v>1</v>
      </c>
      <c r="B433" t="s">
        <v>9181</v>
      </c>
      <c r="C433" t="s">
        <v>9182</v>
      </c>
      <c r="D433">
        <v>1</v>
      </c>
      <c r="E433">
        <v>10</v>
      </c>
      <c r="F433">
        <v>1.1133999999999999</v>
      </c>
      <c r="H433">
        <f t="shared" si="62"/>
        <v>1</v>
      </c>
      <c r="I433" t="str">
        <f t="shared" si="59"/>
        <v>200PFA39-12L1</v>
      </c>
      <c r="J433" s="6" t="str">
        <f t="shared" si="63"/>
        <v>SING CHICAGO BLUES (L) 43X145</v>
      </c>
      <c r="K433" s="6">
        <f t="shared" si="64"/>
        <v>1</v>
      </c>
      <c r="L433" s="6">
        <f t="shared" si="65"/>
        <v>10</v>
      </c>
      <c r="M433" s="6">
        <f t="shared" si="66"/>
        <v>1.1133999999999999</v>
      </c>
      <c r="N433" s="6" t="str">
        <f t="shared" si="60"/>
        <v>100PFA39-6200</v>
      </c>
      <c r="O433" s="6" t="str">
        <f t="shared" si="61"/>
        <v>SINGING THE CHICAGO BLUES</v>
      </c>
    </row>
    <row r="434" spans="1:15">
      <c r="A434">
        <v>3</v>
      </c>
      <c r="B434" t="s">
        <v>9394</v>
      </c>
      <c r="C434" t="s">
        <v>9386</v>
      </c>
      <c r="D434">
        <v>1</v>
      </c>
      <c r="E434">
        <v>10</v>
      </c>
      <c r="F434">
        <v>1</v>
      </c>
      <c r="H434">
        <f t="shared" si="62"/>
        <v>3</v>
      </c>
      <c r="I434" t="str">
        <f t="shared" si="59"/>
        <v>J46I8950ASWG</v>
      </c>
      <c r="J434" s="6" t="str">
        <f t="shared" si="63"/>
        <v>PFA39 W/WAY 42 7/8 X 145 1/4</v>
      </c>
      <c r="K434" s="6">
        <f t="shared" si="64"/>
        <v>1</v>
      </c>
      <c r="L434" s="6">
        <f t="shared" si="65"/>
        <v>10</v>
      </c>
      <c r="M434" s="6">
        <f t="shared" si="66"/>
        <v>1</v>
      </c>
      <c r="N434" s="6" t="str">
        <f t="shared" si="60"/>
        <v>100PFA39-6200</v>
      </c>
      <c r="O434" s="6" t="str">
        <f t="shared" si="61"/>
        <v>SINGING THE CHICAGO BLUES</v>
      </c>
    </row>
    <row r="435" spans="1:15">
      <c r="A435">
        <v>2</v>
      </c>
      <c r="B435" t="s">
        <v>9185</v>
      </c>
      <c r="C435" t="s">
        <v>9186</v>
      </c>
      <c r="D435">
        <v>1</v>
      </c>
      <c r="E435">
        <v>10</v>
      </c>
      <c r="F435">
        <v>1</v>
      </c>
      <c r="H435">
        <f t="shared" si="62"/>
        <v>2</v>
      </c>
      <c r="I435" t="str">
        <f t="shared" si="59"/>
        <v>200I8950-120</v>
      </c>
      <c r="J435" s="6" t="str">
        <f t="shared" si="63"/>
        <v>PFA39 L COMMON 43 X 145</v>
      </c>
      <c r="K435" s="6">
        <f t="shared" si="64"/>
        <v>1</v>
      </c>
      <c r="L435" s="6">
        <f t="shared" si="65"/>
        <v>10</v>
      </c>
      <c r="M435" s="6">
        <f t="shared" si="66"/>
        <v>1</v>
      </c>
      <c r="N435" s="6" t="str">
        <f t="shared" si="60"/>
        <v>100PFA39-6200</v>
      </c>
      <c r="O435" s="6" t="str">
        <f t="shared" si="61"/>
        <v>SINGING THE CHICAGO BLUES</v>
      </c>
    </row>
    <row r="436" spans="1:15">
      <c r="A436">
        <v>1</v>
      </c>
      <c r="B436" t="s">
        <v>9181</v>
      </c>
      <c r="C436" t="s">
        <v>9182</v>
      </c>
      <c r="D436">
        <v>1</v>
      </c>
      <c r="E436">
        <v>10</v>
      </c>
      <c r="F436">
        <v>1.1133999999999999</v>
      </c>
      <c r="H436">
        <f t="shared" si="62"/>
        <v>1</v>
      </c>
      <c r="I436" t="str">
        <f t="shared" si="59"/>
        <v>200PFA39-12L1</v>
      </c>
      <c r="J436" s="6" t="str">
        <f t="shared" si="63"/>
        <v>SING CHICAGO BLUES (L) 43X145</v>
      </c>
      <c r="K436" s="6">
        <f t="shared" si="64"/>
        <v>1</v>
      </c>
      <c r="L436" s="6">
        <f t="shared" si="65"/>
        <v>10</v>
      </c>
      <c r="M436" s="6">
        <f t="shared" si="66"/>
        <v>1.1133999999999999</v>
      </c>
      <c r="N436" s="6" t="str">
        <f t="shared" si="60"/>
        <v>100PFA39-6200</v>
      </c>
      <c r="O436" s="6" t="str">
        <f t="shared" si="61"/>
        <v>SINGING THE CHICAGO BLUES</v>
      </c>
    </row>
    <row r="437" spans="1:15">
      <c r="A437">
        <v>3</v>
      </c>
      <c r="B437" t="s">
        <v>9395</v>
      </c>
      <c r="C437" t="s">
        <v>9396</v>
      </c>
      <c r="D437">
        <v>1</v>
      </c>
      <c r="E437">
        <v>10</v>
      </c>
      <c r="F437">
        <v>0.5</v>
      </c>
      <c r="H437">
        <f t="shared" si="62"/>
        <v>3</v>
      </c>
      <c r="I437" t="str">
        <f t="shared" si="59"/>
        <v>J56I8950AM38</v>
      </c>
      <c r="J437" s="6" t="str">
        <f t="shared" si="63"/>
        <v>PFA39 NG N BALL RET 13.87X144</v>
      </c>
      <c r="K437" s="6">
        <f t="shared" si="64"/>
        <v>1</v>
      </c>
      <c r="L437" s="6">
        <f t="shared" si="65"/>
        <v>10</v>
      </c>
      <c r="M437" s="6">
        <f t="shared" si="66"/>
        <v>0.5</v>
      </c>
      <c r="N437" s="6" t="str">
        <f t="shared" si="60"/>
        <v>100PFA39-6200</v>
      </c>
      <c r="O437" s="6" t="str">
        <f t="shared" si="61"/>
        <v>SINGING THE CHICAGO BLUES</v>
      </c>
    </row>
    <row r="438" spans="1:15">
      <c r="A438">
        <v>2</v>
      </c>
      <c r="B438" t="s">
        <v>9185</v>
      </c>
      <c r="C438" t="s">
        <v>9186</v>
      </c>
      <c r="D438">
        <v>1</v>
      </c>
      <c r="E438">
        <v>10</v>
      </c>
      <c r="F438">
        <v>1</v>
      </c>
      <c r="H438">
        <f t="shared" si="62"/>
        <v>2</v>
      </c>
      <c r="I438" t="str">
        <f t="shared" si="59"/>
        <v>200I8950-120</v>
      </c>
      <c r="J438" s="6" t="str">
        <f t="shared" si="63"/>
        <v>PFA39 L COMMON 43 X 145</v>
      </c>
      <c r="K438" s="6">
        <f t="shared" si="64"/>
        <v>1</v>
      </c>
      <c r="L438" s="6">
        <f t="shared" si="65"/>
        <v>10</v>
      </c>
      <c r="M438" s="6">
        <f t="shared" si="66"/>
        <v>1</v>
      </c>
      <c r="N438" s="6" t="str">
        <f t="shared" si="60"/>
        <v>100PFA39-6200</v>
      </c>
      <c r="O438" s="6" t="str">
        <f t="shared" si="61"/>
        <v>SINGING THE CHICAGO BLUES</v>
      </c>
    </row>
    <row r="439" spans="1:15">
      <c r="A439">
        <v>1</v>
      </c>
      <c r="B439" t="s">
        <v>9181</v>
      </c>
      <c r="C439" t="s">
        <v>9182</v>
      </c>
      <c r="D439">
        <v>1</v>
      </c>
      <c r="E439">
        <v>10</v>
      </c>
      <c r="F439">
        <v>1.1133999999999999</v>
      </c>
      <c r="H439">
        <f t="shared" si="62"/>
        <v>1</v>
      </c>
      <c r="I439" t="str">
        <f t="shared" si="59"/>
        <v>200PFA39-12L1</v>
      </c>
      <c r="J439" s="6" t="str">
        <f t="shared" si="63"/>
        <v>SING CHICAGO BLUES (L) 43X145</v>
      </c>
      <c r="K439" s="6">
        <f t="shared" si="64"/>
        <v>1</v>
      </c>
      <c r="L439" s="6">
        <f t="shared" si="65"/>
        <v>10</v>
      </c>
      <c r="M439" s="6">
        <f t="shared" si="66"/>
        <v>1.1133999999999999</v>
      </c>
      <c r="N439" s="6" t="str">
        <f t="shared" si="60"/>
        <v>100PFA39-6200</v>
      </c>
      <c r="O439" s="6" t="str">
        <f t="shared" si="61"/>
        <v>SINGING THE CHICAGO BLUES</v>
      </c>
    </row>
    <row r="440" spans="1:15">
      <c r="A440">
        <v>3</v>
      </c>
      <c r="B440" t="s">
        <v>9397</v>
      </c>
      <c r="C440" t="s">
        <v>9398</v>
      </c>
      <c r="D440">
        <v>1</v>
      </c>
      <c r="E440">
        <v>10</v>
      </c>
      <c r="F440">
        <v>1</v>
      </c>
      <c r="H440">
        <f t="shared" si="62"/>
        <v>3</v>
      </c>
      <c r="I440" t="str">
        <f t="shared" si="59"/>
        <v>J56I8950ASWG</v>
      </c>
      <c r="J440" s="6" t="str">
        <f t="shared" si="63"/>
        <v>PFA39 NG W/WAY 42 7/8X145 1/4</v>
      </c>
      <c r="K440" s="6">
        <f t="shared" si="64"/>
        <v>1</v>
      </c>
      <c r="L440" s="6">
        <f t="shared" si="65"/>
        <v>10</v>
      </c>
      <c r="M440" s="6">
        <f t="shared" si="66"/>
        <v>1</v>
      </c>
      <c r="N440" s="6" t="str">
        <f t="shared" si="60"/>
        <v>100PFA39-6200</v>
      </c>
      <c r="O440" s="6" t="str">
        <f t="shared" si="61"/>
        <v>SINGING THE CHICAGO BLUES</v>
      </c>
    </row>
    <row r="441" spans="1:15">
      <c r="A441">
        <v>2</v>
      </c>
      <c r="B441" t="s">
        <v>9185</v>
      </c>
      <c r="C441" t="s">
        <v>9186</v>
      </c>
      <c r="D441">
        <v>1</v>
      </c>
      <c r="E441">
        <v>10</v>
      </c>
      <c r="F441">
        <v>1</v>
      </c>
      <c r="H441">
        <f t="shared" si="62"/>
        <v>2</v>
      </c>
      <c r="I441" t="str">
        <f t="shared" si="59"/>
        <v>200I8950-120</v>
      </c>
      <c r="J441" s="6" t="str">
        <f t="shared" si="63"/>
        <v>PFA39 L COMMON 43 X 145</v>
      </c>
      <c r="K441" s="6">
        <f t="shared" si="64"/>
        <v>1</v>
      </c>
      <c r="L441" s="6">
        <f t="shared" si="65"/>
        <v>10</v>
      </c>
      <c r="M441" s="6">
        <f t="shared" si="66"/>
        <v>1</v>
      </c>
      <c r="N441" s="6" t="str">
        <f t="shared" si="60"/>
        <v>100PFA39-6200</v>
      </c>
      <c r="O441" s="6" t="str">
        <f t="shared" si="61"/>
        <v>SINGING THE CHICAGO BLUES</v>
      </c>
    </row>
    <row r="442" spans="1:15">
      <c r="A442">
        <v>1</v>
      </c>
      <c r="B442" t="s">
        <v>9181</v>
      </c>
      <c r="C442" t="s">
        <v>9182</v>
      </c>
      <c r="D442">
        <v>1</v>
      </c>
      <c r="E442">
        <v>10</v>
      </c>
      <c r="F442">
        <v>1.1133999999999999</v>
      </c>
      <c r="H442">
        <f t="shared" si="62"/>
        <v>1</v>
      </c>
      <c r="I442" t="str">
        <f t="shared" si="59"/>
        <v>200PFA39-12L1</v>
      </c>
      <c r="J442" s="6" t="str">
        <f t="shared" si="63"/>
        <v>SING CHICAGO BLUES (L) 43X145</v>
      </c>
      <c r="K442" s="6">
        <f t="shared" si="64"/>
        <v>1</v>
      </c>
      <c r="L442" s="6">
        <f t="shared" si="65"/>
        <v>10</v>
      </c>
      <c r="M442" s="6">
        <f t="shared" si="66"/>
        <v>1.1133999999999999</v>
      </c>
      <c r="N442" s="6" t="str">
        <f t="shared" si="60"/>
        <v>100PFA39-6200</v>
      </c>
      <c r="O442" s="6" t="str">
        <f t="shared" si="61"/>
        <v>SINGING THE CHICAGO BLUES</v>
      </c>
    </row>
    <row r="443" spans="1:15">
      <c r="A443">
        <v>3</v>
      </c>
      <c r="B443" t="s">
        <v>9399</v>
      </c>
      <c r="C443" t="s">
        <v>828</v>
      </c>
      <c r="D443">
        <v>1</v>
      </c>
      <c r="E443">
        <v>10</v>
      </c>
      <c r="F443">
        <v>1</v>
      </c>
      <c r="H443">
        <f t="shared" si="62"/>
        <v>3</v>
      </c>
      <c r="I443" t="str">
        <f t="shared" si="59"/>
        <v>J75IQU56NPFU</v>
      </c>
      <c r="J443" s="6" t="str">
        <f t="shared" si="63"/>
        <v>Q PFA39 5 FT FILL PAN 60 X 144</v>
      </c>
      <c r="K443" s="6">
        <f t="shared" si="64"/>
        <v>1</v>
      </c>
      <c r="L443" s="6">
        <f t="shared" si="65"/>
        <v>10</v>
      </c>
      <c r="M443" s="6">
        <f t="shared" si="66"/>
        <v>1</v>
      </c>
      <c r="N443" s="6" t="str">
        <f t="shared" si="60"/>
        <v>100PFA39-6200</v>
      </c>
      <c r="O443" s="6" t="str">
        <f t="shared" si="61"/>
        <v>SINGING THE CHICAGO BLUES</v>
      </c>
    </row>
    <row r="444" spans="1:15">
      <c r="A444">
        <v>2</v>
      </c>
      <c r="B444" t="s">
        <v>9400</v>
      </c>
      <c r="C444" t="s">
        <v>9401</v>
      </c>
      <c r="D444">
        <v>1</v>
      </c>
      <c r="E444">
        <v>10</v>
      </c>
      <c r="F444">
        <v>1</v>
      </c>
      <c r="H444">
        <f t="shared" si="62"/>
        <v>2</v>
      </c>
      <c r="I444" t="str">
        <f t="shared" si="59"/>
        <v>200IQU56-520</v>
      </c>
      <c r="J444" s="6" t="str">
        <f t="shared" si="63"/>
        <v>Q PFA39 RETURN FILLER 60 X 144</v>
      </c>
      <c r="K444" s="6">
        <f t="shared" si="64"/>
        <v>1</v>
      </c>
      <c r="L444" s="6">
        <f t="shared" si="65"/>
        <v>10</v>
      </c>
      <c r="M444" s="6">
        <f t="shared" si="66"/>
        <v>1</v>
      </c>
      <c r="N444" s="6" t="str">
        <f t="shared" si="60"/>
        <v>100PFA39-6200</v>
      </c>
      <c r="O444" s="6" t="str">
        <f t="shared" si="61"/>
        <v>SINGING THE CHICAGO BLUES</v>
      </c>
    </row>
    <row r="445" spans="1:15">
      <c r="A445">
        <v>1</v>
      </c>
      <c r="B445" t="s">
        <v>9151</v>
      </c>
      <c r="C445" t="s">
        <v>9152</v>
      </c>
      <c r="D445">
        <v>1</v>
      </c>
      <c r="E445">
        <v>10</v>
      </c>
      <c r="F445">
        <v>1.1133999999999999</v>
      </c>
      <c r="H445">
        <f t="shared" si="62"/>
        <v>1</v>
      </c>
      <c r="I445" t="str">
        <f t="shared" si="59"/>
        <v>200PFA39-5201</v>
      </c>
      <c r="J445" s="6" t="str">
        <f t="shared" si="63"/>
        <v>SING CHICAGO BLUES 60 X 144</v>
      </c>
      <c r="K445" s="6">
        <f t="shared" si="64"/>
        <v>1</v>
      </c>
      <c r="L445" s="6">
        <f t="shared" si="65"/>
        <v>10</v>
      </c>
      <c r="M445" s="6">
        <f t="shared" si="66"/>
        <v>1.1133999999999999</v>
      </c>
      <c r="N445" s="6" t="str">
        <f t="shared" si="60"/>
        <v>100PFA39-6200</v>
      </c>
      <c r="O445" s="6" t="str">
        <f t="shared" si="61"/>
        <v>SINGING THE CHICAGO BLUES</v>
      </c>
    </row>
    <row r="446" spans="1:15">
      <c r="A446">
        <v>2</v>
      </c>
      <c r="B446" t="s">
        <v>9402</v>
      </c>
      <c r="C446" t="s">
        <v>9152</v>
      </c>
      <c r="D446">
        <v>1</v>
      </c>
      <c r="E446">
        <v>10</v>
      </c>
      <c r="F446">
        <v>1</v>
      </c>
      <c r="H446">
        <f t="shared" si="62"/>
        <v>2</v>
      </c>
      <c r="I446" t="str">
        <f t="shared" si="59"/>
        <v>NE30PFA390T-5200</v>
      </c>
      <c r="J446" s="6" t="str">
        <f t="shared" si="63"/>
        <v>SING CHICAGO BLUES 60 X 144</v>
      </c>
      <c r="K446" s="6">
        <f t="shared" si="64"/>
        <v>1</v>
      </c>
      <c r="L446" s="6">
        <f t="shared" si="65"/>
        <v>10</v>
      </c>
      <c r="M446" s="6">
        <f t="shared" si="66"/>
        <v>1</v>
      </c>
      <c r="N446" s="6" t="str">
        <f t="shared" si="60"/>
        <v>100PFA39-6200</v>
      </c>
      <c r="O446" s="6" t="str">
        <f t="shared" si="61"/>
        <v>SINGING THE CHICAGO BLUES</v>
      </c>
    </row>
    <row r="447" spans="1:15">
      <c r="A447">
        <v>1</v>
      </c>
      <c r="B447" t="s">
        <v>9151</v>
      </c>
      <c r="C447" t="s">
        <v>9152</v>
      </c>
      <c r="D447">
        <v>1</v>
      </c>
      <c r="E447">
        <v>10</v>
      </c>
      <c r="F447">
        <v>1.1133999999999999</v>
      </c>
      <c r="H447">
        <f t="shared" si="62"/>
        <v>1</v>
      </c>
      <c r="I447" t="str">
        <f t="shared" si="59"/>
        <v>200PFA39-5201</v>
      </c>
      <c r="J447" s="6" t="str">
        <f t="shared" si="63"/>
        <v>SING CHICAGO BLUES 60 X 144</v>
      </c>
      <c r="K447" s="6">
        <f t="shared" si="64"/>
        <v>1</v>
      </c>
      <c r="L447" s="6">
        <f t="shared" si="65"/>
        <v>10</v>
      </c>
      <c r="M447" s="6">
        <f t="shared" si="66"/>
        <v>1.1133999999999999</v>
      </c>
      <c r="N447" s="6" t="str">
        <f t="shared" si="60"/>
        <v>100PFA39-6200</v>
      </c>
      <c r="O447" s="6" t="str">
        <f t="shared" si="61"/>
        <v>SINGING THE CHICAGO BLUES</v>
      </c>
    </row>
    <row r="448" spans="1:15">
      <c r="A448">
        <v>1</v>
      </c>
      <c r="B448" t="s">
        <v>9403</v>
      </c>
      <c r="C448" t="s">
        <v>9404</v>
      </c>
      <c r="D448">
        <v>1</v>
      </c>
      <c r="E448">
        <v>10</v>
      </c>
      <c r="F448">
        <v>0.42449999999999999</v>
      </c>
      <c r="H448">
        <f t="shared" si="62"/>
        <v>1</v>
      </c>
      <c r="I448" t="str">
        <f t="shared" si="59"/>
        <v>QIRPFA39NRWZ0</v>
      </c>
      <c r="J448" s="6" t="str">
        <f t="shared" si="63"/>
        <v>SING CHICAGO BLUES 61 1/2 X 56</v>
      </c>
      <c r="K448" s="6">
        <f t="shared" si="64"/>
        <v>1</v>
      </c>
      <c r="L448" s="6">
        <f t="shared" si="65"/>
        <v>10</v>
      </c>
      <c r="M448" s="6">
        <f t="shared" si="66"/>
        <v>0.42449999999999999</v>
      </c>
      <c r="N448" s="6" t="str">
        <f t="shared" si="60"/>
        <v>100PFA39-6200</v>
      </c>
      <c r="O448" s="6" t="str">
        <f t="shared" si="61"/>
        <v>SINGING THE CHICAGO BLUES</v>
      </c>
    </row>
    <row r="449" spans="1:15">
      <c r="A449">
        <v>1</v>
      </c>
      <c r="B449" t="s">
        <v>9405</v>
      </c>
      <c r="C449" t="s">
        <v>9406</v>
      </c>
      <c r="D449">
        <v>1</v>
      </c>
      <c r="E449">
        <v>10</v>
      </c>
      <c r="F449">
        <v>1.6672</v>
      </c>
      <c r="H449">
        <f t="shared" si="62"/>
        <v>1</v>
      </c>
      <c r="I449" t="str">
        <f t="shared" si="59"/>
        <v>QIRPFA39NSPL0</v>
      </c>
      <c r="J449" s="6" t="str">
        <f t="shared" si="63"/>
        <v>SING CHICAGO BLUES 61 1/2X219</v>
      </c>
      <c r="K449" s="6">
        <f t="shared" si="64"/>
        <v>1</v>
      </c>
      <c r="L449" s="6">
        <f t="shared" si="65"/>
        <v>10</v>
      </c>
      <c r="M449" s="6">
        <f t="shared" si="66"/>
        <v>1.6672</v>
      </c>
      <c r="N449" s="6" t="str">
        <f t="shared" si="60"/>
        <v>100PFA39-6200</v>
      </c>
      <c r="O449" s="6" t="str">
        <f t="shared" si="61"/>
        <v>SINGING THE CHICAGO BLUES</v>
      </c>
    </row>
    <row r="450" spans="1:15">
      <c r="A450">
        <v>1</v>
      </c>
      <c r="B450" t="s">
        <v>9407</v>
      </c>
      <c r="C450" t="s">
        <v>9408</v>
      </c>
      <c r="D450">
        <v>1</v>
      </c>
      <c r="E450">
        <v>10</v>
      </c>
      <c r="F450">
        <v>1.482</v>
      </c>
      <c r="H450">
        <f t="shared" si="62"/>
        <v>1</v>
      </c>
      <c r="I450" t="str">
        <f t="shared" si="59"/>
        <v>QIRPFA39NTNL0</v>
      </c>
      <c r="J450" s="6" t="str">
        <f t="shared" si="63"/>
        <v>SINGING CHICAGO BLUES 61 1/2 X</v>
      </c>
      <c r="K450" s="6">
        <f t="shared" si="64"/>
        <v>1</v>
      </c>
      <c r="L450" s="6">
        <f t="shared" si="65"/>
        <v>10</v>
      </c>
      <c r="M450" s="6">
        <f t="shared" si="66"/>
        <v>1.482</v>
      </c>
      <c r="N450" s="6" t="str">
        <f t="shared" si="60"/>
        <v>100PFA39-6200</v>
      </c>
      <c r="O450" s="6" t="str">
        <f t="shared" si="61"/>
        <v>SINGING THE CHICAGO BLUES</v>
      </c>
    </row>
    <row r="451" spans="1:15">
      <c r="A451">
        <v>4</v>
      </c>
      <c r="B451" t="s">
        <v>9409</v>
      </c>
      <c r="C451" t="s">
        <v>8712</v>
      </c>
      <c r="D451">
        <v>1</v>
      </c>
      <c r="E451">
        <v>91</v>
      </c>
      <c r="F451">
        <v>1</v>
      </c>
      <c r="H451">
        <f t="shared" si="62"/>
        <v>4</v>
      </c>
      <c r="I451" t="str">
        <f t="shared" si="59"/>
        <v>QUBPFA39PPK1</v>
      </c>
      <c r="J451" s="6" t="str">
        <f t="shared" si="63"/>
        <v>Q PFA39 SING C/BLUES 2 LP</v>
      </c>
      <c r="K451" s="6">
        <f t="shared" si="64"/>
        <v>1</v>
      </c>
      <c r="L451" s="6">
        <f t="shared" si="65"/>
        <v>91</v>
      </c>
      <c r="M451" s="6">
        <f t="shared" si="66"/>
        <v>1</v>
      </c>
      <c r="N451" s="6" t="str">
        <f t="shared" si="60"/>
        <v>100PFA39-6200</v>
      </c>
      <c r="O451" s="6" t="str">
        <f t="shared" si="61"/>
        <v>SINGING THE CHICAGO BLUES</v>
      </c>
    </row>
    <row r="452" spans="1:15">
      <c r="A452">
        <v>3</v>
      </c>
      <c r="B452" t="s">
        <v>9410</v>
      </c>
      <c r="C452" t="s">
        <v>9411</v>
      </c>
      <c r="D452">
        <v>1</v>
      </c>
      <c r="E452">
        <v>10</v>
      </c>
      <c r="F452">
        <v>0.5</v>
      </c>
      <c r="H452">
        <f t="shared" si="62"/>
        <v>3</v>
      </c>
      <c r="I452" t="str">
        <f t="shared" si="59"/>
        <v>J75IQU49NQ36</v>
      </c>
      <c r="J452" s="6" t="str">
        <f t="shared" si="63"/>
        <v>Q PFA39 L S\APP 59.81X67.25</v>
      </c>
      <c r="K452" s="6">
        <f t="shared" si="64"/>
        <v>1</v>
      </c>
      <c r="L452" s="6">
        <f t="shared" si="65"/>
        <v>10</v>
      </c>
      <c r="M452" s="6">
        <f t="shared" si="66"/>
        <v>0.5</v>
      </c>
      <c r="N452" s="6" t="str">
        <f t="shared" si="60"/>
        <v>100PFA39-6200</v>
      </c>
      <c r="O452" s="6" t="str">
        <f t="shared" si="61"/>
        <v>SINGING THE CHICAGO BLUES</v>
      </c>
    </row>
    <row r="453" spans="1:15">
      <c r="A453">
        <v>2</v>
      </c>
      <c r="B453" t="s">
        <v>9412</v>
      </c>
      <c r="C453" t="s">
        <v>9413</v>
      </c>
      <c r="D453">
        <v>1</v>
      </c>
      <c r="E453">
        <v>10</v>
      </c>
      <c r="F453">
        <v>1</v>
      </c>
      <c r="H453">
        <f t="shared" si="62"/>
        <v>2</v>
      </c>
      <c r="I453" t="str">
        <f t="shared" si="59"/>
        <v>200IQU49-520</v>
      </c>
      <c r="J453" s="6" t="str">
        <f t="shared" si="63"/>
        <v>Q PFA39 L SHORT APPR 60 X 144</v>
      </c>
      <c r="K453" s="6">
        <f t="shared" si="64"/>
        <v>1</v>
      </c>
      <c r="L453" s="6">
        <f t="shared" si="65"/>
        <v>10</v>
      </c>
      <c r="M453" s="6">
        <f t="shared" si="66"/>
        <v>1</v>
      </c>
      <c r="N453" s="6" t="str">
        <f t="shared" si="60"/>
        <v>100PFA39-6200</v>
      </c>
      <c r="O453" s="6" t="str">
        <f t="shared" si="61"/>
        <v>SINGING THE CHICAGO BLUES</v>
      </c>
    </row>
    <row r="454" spans="1:15">
      <c r="A454">
        <v>1</v>
      </c>
      <c r="B454" t="s">
        <v>9151</v>
      </c>
      <c r="C454" t="s">
        <v>9152</v>
      </c>
      <c r="D454">
        <v>1</v>
      </c>
      <c r="E454">
        <v>10</v>
      </c>
      <c r="F454">
        <v>1.1133999999999999</v>
      </c>
      <c r="H454">
        <f t="shared" si="62"/>
        <v>1</v>
      </c>
      <c r="I454" t="str">
        <f t="shared" si="59"/>
        <v>200PFA39-5201</v>
      </c>
      <c r="J454" s="6" t="str">
        <f t="shared" si="63"/>
        <v>SING CHICAGO BLUES 60 X 144</v>
      </c>
      <c r="K454" s="6">
        <f t="shared" si="64"/>
        <v>1</v>
      </c>
      <c r="L454" s="6">
        <f t="shared" si="65"/>
        <v>10</v>
      </c>
      <c r="M454" s="6">
        <f t="shared" si="66"/>
        <v>1.1133999999999999</v>
      </c>
      <c r="N454" s="6" t="str">
        <f t="shared" si="60"/>
        <v>100PFA39-6200</v>
      </c>
      <c r="O454" s="6" t="str">
        <f t="shared" si="61"/>
        <v>SINGING THE CHICAGO BLUES</v>
      </c>
    </row>
    <row r="455" spans="1:15">
      <c r="A455">
        <v>4</v>
      </c>
      <c r="B455" t="s">
        <v>9409</v>
      </c>
      <c r="C455" t="s">
        <v>8712</v>
      </c>
      <c r="D455">
        <v>1</v>
      </c>
      <c r="E455">
        <v>91</v>
      </c>
      <c r="F455">
        <v>1</v>
      </c>
      <c r="H455">
        <f t="shared" si="62"/>
        <v>4</v>
      </c>
      <c r="I455" t="str">
        <f t="shared" ref="I455:I518" si="67">IFERROR(IF(SEARCH(" &lt;-",B455,1),LEFT(B455,SEARCH(" ",B455,1)-1),""),LEFT(B455,SEARCH("View",B455,1)-1))</f>
        <v>QUBPFA39PPK1</v>
      </c>
      <c r="J455" s="6" t="str">
        <f t="shared" si="63"/>
        <v>Q PFA39 SING C/BLUES 2 LP</v>
      </c>
      <c r="K455" s="6">
        <f t="shared" si="64"/>
        <v>1</v>
      </c>
      <c r="L455" s="6">
        <f t="shared" si="65"/>
        <v>91</v>
      </c>
      <c r="M455" s="6">
        <f t="shared" si="66"/>
        <v>1</v>
      </c>
      <c r="N455" s="6" t="str">
        <f t="shared" ref="N455:N518" si="68">TRIM($B$1)</f>
        <v>100PFA39-6200</v>
      </c>
      <c r="O455" s="6" t="str">
        <f t="shared" ref="O455:O518" si="69">TRIM($C$1)</f>
        <v>SINGING THE CHICAGO BLUES</v>
      </c>
    </row>
    <row r="456" spans="1:15">
      <c r="A456">
        <v>3</v>
      </c>
      <c r="B456" t="s">
        <v>9414</v>
      </c>
      <c r="C456" t="s">
        <v>9415</v>
      </c>
      <c r="D456">
        <v>1</v>
      </c>
      <c r="E456">
        <v>10</v>
      </c>
      <c r="F456">
        <v>0.5</v>
      </c>
      <c r="H456">
        <f t="shared" si="62"/>
        <v>3</v>
      </c>
      <c r="I456" t="str">
        <f t="shared" si="67"/>
        <v>J75IQU50NQ37</v>
      </c>
      <c r="J456" s="6" t="str">
        <f t="shared" si="63"/>
        <v>Q PFA39 R S\ APP 59.81X67.25</v>
      </c>
      <c r="K456" s="6">
        <f t="shared" si="64"/>
        <v>1</v>
      </c>
      <c r="L456" s="6">
        <f t="shared" si="65"/>
        <v>10</v>
      </c>
      <c r="M456" s="6">
        <f t="shared" si="66"/>
        <v>0.5</v>
      </c>
      <c r="N456" s="6" t="str">
        <f t="shared" si="68"/>
        <v>100PFA39-6200</v>
      </c>
      <c r="O456" s="6" t="str">
        <f t="shared" si="69"/>
        <v>SINGING THE CHICAGO BLUES</v>
      </c>
    </row>
    <row r="457" spans="1:15">
      <c r="A457">
        <v>2</v>
      </c>
      <c r="B457" t="s">
        <v>9416</v>
      </c>
      <c r="C457" t="s">
        <v>9417</v>
      </c>
      <c r="D457">
        <v>1</v>
      </c>
      <c r="E457">
        <v>10</v>
      </c>
      <c r="F457">
        <v>1</v>
      </c>
      <c r="H457">
        <f t="shared" si="62"/>
        <v>2</v>
      </c>
      <c r="I457" t="str">
        <f t="shared" si="67"/>
        <v>200IQU50-520</v>
      </c>
      <c r="J457" s="6" t="str">
        <f t="shared" si="63"/>
        <v>Q PFA39 R SHORT APPR 60 X 144</v>
      </c>
      <c r="K457" s="6">
        <f t="shared" si="64"/>
        <v>1</v>
      </c>
      <c r="L457" s="6">
        <f t="shared" si="65"/>
        <v>10</v>
      </c>
      <c r="M457" s="6">
        <f t="shared" si="66"/>
        <v>1</v>
      </c>
      <c r="N457" s="6" t="str">
        <f t="shared" si="68"/>
        <v>100PFA39-6200</v>
      </c>
      <c r="O457" s="6" t="str">
        <f t="shared" si="69"/>
        <v>SINGING THE CHICAGO BLUES</v>
      </c>
    </row>
    <row r="458" spans="1:15">
      <c r="A458">
        <v>1</v>
      </c>
      <c r="B458" t="s">
        <v>9151</v>
      </c>
      <c r="C458" t="s">
        <v>9152</v>
      </c>
      <c r="D458">
        <v>1</v>
      </c>
      <c r="E458">
        <v>10</v>
      </c>
      <c r="F458">
        <v>1.1133999999999999</v>
      </c>
      <c r="H458">
        <f t="shared" si="62"/>
        <v>1</v>
      </c>
      <c r="I458" t="str">
        <f t="shared" si="67"/>
        <v>200PFA39-5201</v>
      </c>
      <c r="J458" s="6" t="str">
        <f t="shared" si="63"/>
        <v>SING CHICAGO BLUES 60 X 144</v>
      </c>
      <c r="K458" s="6">
        <f t="shared" si="64"/>
        <v>1</v>
      </c>
      <c r="L458" s="6">
        <f t="shared" si="65"/>
        <v>10</v>
      </c>
      <c r="M458" s="6">
        <f t="shared" si="66"/>
        <v>1.1133999999999999</v>
      </c>
      <c r="N458" s="6" t="str">
        <f t="shared" si="68"/>
        <v>100PFA39-6200</v>
      </c>
      <c r="O458" s="6" t="str">
        <f t="shared" si="69"/>
        <v>SINGING THE CHICAGO BLUES</v>
      </c>
    </row>
    <row r="459" spans="1:15">
      <c r="A459">
        <v>4</v>
      </c>
      <c r="B459" t="s">
        <v>9409</v>
      </c>
      <c r="C459" t="s">
        <v>8712</v>
      </c>
      <c r="D459">
        <v>1</v>
      </c>
      <c r="E459">
        <v>91</v>
      </c>
      <c r="F459">
        <v>1</v>
      </c>
      <c r="H459">
        <f t="shared" si="62"/>
        <v>4</v>
      </c>
      <c r="I459" t="str">
        <f t="shared" si="67"/>
        <v>QUBPFA39PPK1</v>
      </c>
      <c r="J459" s="6" t="str">
        <f t="shared" si="63"/>
        <v>Q PFA39 SING C/BLUES 2 LP</v>
      </c>
      <c r="K459" s="6">
        <f t="shared" si="64"/>
        <v>1</v>
      </c>
      <c r="L459" s="6">
        <f t="shared" si="65"/>
        <v>91</v>
      </c>
      <c r="M459" s="6">
        <f t="shared" si="66"/>
        <v>1</v>
      </c>
      <c r="N459" s="6" t="str">
        <f t="shared" si="68"/>
        <v>100PFA39-6200</v>
      </c>
      <c r="O459" s="6" t="str">
        <f t="shared" si="69"/>
        <v>SINGING THE CHICAGO BLUES</v>
      </c>
    </row>
    <row r="460" spans="1:15">
      <c r="A460">
        <v>3</v>
      </c>
      <c r="B460" t="s">
        <v>9418</v>
      </c>
      <c r="C460" t="s">
        <v>9419</v>
      </c>
      <c r="D460">
        <v>1</v>
      </c>
      <c r="E460">
        <v>10</v>
      </c>
      <c r="F460">
        <v>1</v>
      </c>
      <c r="H460">
        <f t="shared" si="62"/>
        <v>3</v>
      </c>
      <c r="I460" t="str">
        <f t="shared" si="67"/>
        <v>J75IQU51NQ38</v>
      </c>
      <c r="J460" s="6" t="str">
        <f t="shared" si="63"/>
        <v>Q PFA39 L  APPR 59.81 X 144.00</v>
      </c>
      <c r="K460" s="6">
        <f t="shared" si="64"/>
        <v>1</v>
      </c>
      <c r="L460" s="6">
        <f t="shared" si="65"/>
        <v>10</v>
      </c>
      <c r="M460" s="6">
        <f t="shared" si="66"/>
        <v>1</v>
      </c>
      <c r="N460" s="6" t="str">
        <f t="shared" si="68"/>
        <v>100PFA39-6200</v>
      </c>
      <c r="O460" s="6" t="str">
        <f t="shared" si="69"/>
        <v>SINGING THE CHICAGO BLUES</v>
      </c>
    </row>
    <row r="461" spans="1:15">
      <c r="A461">
        <v>2</v>
      </c>
      <c r="B461" t="s">
        <v>9420</v>
      </c>
      <c r="C461" t="s">
        <v>9421</v>
      </c>
      <c r="D461">
        <v>1</v>
      </c>
      <c r="E461">
        <v>10</v>
      </c>
      <c r="F461">
        <v>1</v>
      </c>
      <c r="H461">
        <f t="shared" si="62"/>
        <v>2</v>
      </c>
      <c r="I461" t="str">
        <f t="shared" si="67"/>
        <v>200IQU51-520</v>
      </c>
      <c r="J461" s="6" t="str">
        <f t="shared" si="63"/>
        <v>Q PFA39 L LONG APPR 60 X 144</v>
      </c>
      <c r="K461" s="6">
        <f t="shared" si="64"/>
        <v>1</v>
      </c>
      <c r="L461" s="6">
        <f t="shared" si="65"/>
        <v>10</v>
      </c>
      <c r="M461" s="6">
        <f t="shared" si="66"/>
        <v>1</v>
      </c>
      <c r="N461" s="6" t="str">
        <f t="shared" si="68"/>
        <v>100PFA39-6200</v>
      </c>
      <c r="O461" s="6" t="str">
        <f t="shared" si="69"/>
        <v>SINGING THE CHICAGO BLUES</v>
      </c>
    </row>
    <row r="462" spans="1:15">
      <c r="A462">
        <v>1</v>
      </c>
      <c r="B462" t="s">
        <v>9151</v>
      </c>
      <c r="C462" t="s">
        <v>9152</v>
      </c>
      <c r="D462">
        <v>1</v>
      </c>
      <c r="E462">
        <v>10</v>
      </c>
      <c r="F462">
        <v>1.1133999999999999</v>
      </c>
      <c r="H462">
        <f t="shared" si="62"/>
        <v>1</v>
      </c>
      <c r="I462" t="str">
        <f t="shared" si="67"/>
        <v>200PFA39-5201</v>
      </c>
      <c r="J462" s="6" t="str">
        <f t="shared" si="63"/>
        <v>SING CHICAGO BLUES 60 X 144</v>
      </c>
      <c r="K462" s="6">
        <f t="shared" si="64"/>
        <v>1</v>
      </c>
      <c r="L462" s="6">
        <f t="shared" si="65"/>
        <v>10</v>
      </c>
      <c r="M462" s="6">
        <f t="shared" si="66"/>
        <v>1.1133999999999999</v>
      </c>
      <c r="N462" s="6" t="str">
        <f t="shared" si="68"/>
        <v>100PFA39-6200</v>
      </c>
      <c r="O462" s="6" t="str">
        <f t="shared" si="69"/>
        <v>SINGING THE CHICAGO BLUES</v>
      </c>
    </row>
    <row r="463" spans="1:15">
      <c r="A463">
        <v>4</v>
      </c>
      <c r="B463" t="s">
        <v>9409</v>
      </c>
      <c r="C463" t="s">
        <v>8712</v>
      </c>
      <c r="D463">
        <v>1</v>
      </c>
      <c r="E463">
        <v>91</v>
      </c>
      <c r="F463">
        <v>1</v>
      </c>
      <c r="H463">
        <f t="shared" si="62"/>
        <v>4</v>
      </c>
      <c r="I463" t="str">
        <f t="shared" si="67"/>
        <v>QUBPFA39PPK1</v>
      </c>
      <c r="J463" s="6" t="str">
        <f t="shared" si="63"/>
        <v>Q PFA39 SING C/BLUES 2 LP</v>
      </c>
      <c r="K463" s="6">
        <f t="shared" si="64"/>
        <v>1</v>
      </c>
      <c r="L463" s="6">
        <f t="shared" si="65"/>
        <v>91</v>
      </c>
      <c r="M463" s="6">
        <f t="shared" si="66"/>
        <v>1</v>
      </c>
      <c r="N463" s="6" t="str">
        <f t="shared" si="68"/>
        <v>100PFA39-6200</v>
      </c>
      <c r="O463" s="6" t="str">
        <f t="shared" si="69"/>
        <v>SINGING THE CHICAGO BLUES</v>
      </c>
    </row>
    <row r="464" spans="1:15">
      <c r="A464">
        <v>3</v>
      </c>
      <c r="B464" t="s">
        <v>9422</v>
      </c>
      <c r="C464" t="s">
        <v>9423</v>
      </c>
      <c r="D464">
        <v>1</v>
      </c>
      <c r="E464">
        <v>10</v>
      </c>
      <c r="F464">
        <v>1</v>
      </c>
      <c r="H464">
        <f t="shared" si="62"/>
        <v>3</v>
      </c>
      <c r="I464" t="str">
        <f t="shared" si="67"/>
        <v>J75IQU52NQ39</v>
      </c>
      <c r="J464" s="6" t="str">
        <f t="shared" si="63"/>
        <v>Q PFA39 R  APPR 59.81 X 144.00</v>
      </c>
      <c r="K464" s="6">
        <f t="shared" si="64"/>
        <v>1</v>
      </c>
      <c r="L464" s="6">
        <f t="shared" si="65"/>
        <v>10</v>
      </c>
      <c r="M464" s="6">
        <f t="shared" si="66"/>
        <v>1</v>
      </c>
      <c r="N464" s="6" t="str">
        <f t="shared" si="68"/>
        <v>100PFA39-6200</v>
      </c>
      <c r="O464" s="6" t="str">
        <f t="shared" si="69"/>
        <v>SINGING THE CHICAGO BLUES</v>
      </c>
    </row>
    <row r="465" spans="1:15">
      <c r="A465">
        <v>2</v>
      </c>
      <c r="B465" t="s">
        <v>9424</v>
      </c>
      <c r="C465" t="s">
        <v>9425</v>
      </c>
      <c r="D465">
        <v>1</v>
      </c>
      <c r="E465">
        <v>10</v>
      </c>
      <c r="F465">
        <v>1</v>
      </c>
      <c r="H465">
        <f t="shared" si="62"/>
        <v>2</v>
      </c>
      <c r="I465" t="str">
        <f t="shared" si="67"/>
        <v>200IQU52-520</v>
      </c>
      <c r="J465" s="6" t="str">
        <f t="shared" si="63"/>
        <v>Q PFA39 R LONG APPR 60 X 144</v>
      </c>
      <c r="K465" s="6">
        <f t="shared" si="64"/>
        <v>1</v>
      </c>
      <c r="L465" s="6">
        <f t="shared" si="65"/>
        <v>10</v>
      </c>
      <c r="M465" s="6">
        <f t="shared" si="66"/>
        <v>1</v>
      </c>
      <c r="N465" s="6" t="str">
        <f t="shared" si="68"/>
        <v>100PFA39-6200</v>
      </c>
      <c r="O465" s="6" t="str">
        <f t="shared" si="69"/>
        <v>SINGING THE CHICAGO BLUES</v>
      </c>
    </row>
    <row r="466" spans="1:15">
      <c r="A466">
        <v>1</v>
      </c>
      <c r="B466" t="s">
        <v>9151</v>
      </c>
      <c r="C466" t="s">
        <v>9152</v>
      </c>
      <c r="D466">
        <v>1</v>
      </c>
      <c r="E466">
        <v>10</v>
      </c>
      <c r="F466">
        <v>1.1133999999999999</v>
      </c>
      <c r="H466">
        <f t="shared" si="62"/>
        <v>1</v>
      </c>
      <c r="I466" t="str">
        <f t="shared" si="67"/>
        <v>200PFA39-5201</v>
      </c>
      <c r="J466" s="6" t="str">
        <f t="shared" si="63"/>
        <v>SING CHICAGO BLUES 60 X 144</v>
      </c>
      <c r="K466" s="6">
        <f t="shared" si="64"/>
        <v>1</v>
      </c>
      <c r="L466" s="6">
        <f t="shared" si="65"/>
        <v>10</v>
      </c>
      <c r="M466" s="6">
        <f t="shared" si="66"/>
        <v>1.1133999999999999</v>
      </c>
      <c r="N466" s="6" t="str">
        <f t="shared" si="68"/>
        <v>100PFA39-6200</v>
      </c>
      <c r="O466" s="6" t="str">
        <f t="shared" si="69"/>
        <v>SINGING THE CHICAGO BLUES</v>
      </c>
    </row>
    <row r="467" spans="1:15">
      <c r="A467">
        <v>4</v>
      </c>
      <c r="B467" t="s">
        <v>9409</v>
      </c>
      <c r="C467" t="s">
        <v>8712</v>
      </c>
      <c r="D467">
        <v>1</v>
      </c>
      <c r="E467">
        <v>91</v>
      </c>
      <c r="F467">
        <v>1</v>
      </c>
      <c r="H467">
        <f t="shared" si="62"/>
        <v>4</v>
      </c>
      <c r="I467" t="str">
        <f t="shared" si="67"/>
        <v>QUBPFA39PPK1</v>
      </c>
      <c r="J467" s="6" t="str">
        <f t="shared" si="63"/>
        <v>Q PFA39 SING C/BLUES 2 LP</v>
      </c>
      <c r="K467" s="6">
        <f t="shared" si="64"/>
        <v>1</v>
      </c>
      <c r="L467" s="6">
        <f t="shared" si="65"/>
        <v>91</v>
      </c>
      <c r="M467" s="6">
        <f t="shared" si="66"/>
        <v>1</v>
      </c>
      <c r="N467" s="6" t="str">
        <f t="shared" si="68"/>
        <v>100PFA39-6200</v>
      </c>
      <c r="O467" s="6" t="str">
        <f t="shared" si="69"/>
        <v>SINGING THE CHICAGO BLUES</v>
      </c>
    </row>
    <row r="468" spans="1:15">
      <c r="A468">
        <v>3</v>
      </c>
      <c r="B468" t="s">
        <v>9426</v>
      </c>
      <c r="C468" t="s">
        <v>9427</v>
      </c>
      <c r="D468">
        <v>1</v>
      </c>
      <c r="E468">
        <v>10</v>
      </c>
      <c r="F468">
        <v>0.33329999999999999</v>
      </c>
      <c r="H468">
        <f t="shared" si="62"/>
        <v>3</v>
      </c>
      <c r="I468" t="str">
        <f t="shared" si="67"/>
        <v>J75IQU56NQ26</v>
      </c>
      <c r="J468" s="6" t="str">
        <f t="shared" si="63"/>
        <v>Q PFA39 RET FILL LONG 15X144.0</v>
      </c>
      <c r="K468" s="6">
        <f t="shared" si="64"/>
        <v>1</v>
      </c>
      <c r="L468" s="6">
        <f t="shared" si="65"/>
        <v>10</v>
      </c>
      <c r="M468" s="6">
        <f t="shared" si="66"/>
        <v>0.33329999999999999</v>
      </c>
      <c r="N468" s="6" t="str">
        <f t="shared" si="68"/>
        <v>100PFA39-6200</v>
      </c>
      <c r="O468" s="6" t="str">
        <f t="shared" si="69"/>
        <v>SINGING THE CHICAGO BLUES</v>
      </c>
    </row>
    <row r="469" spans="1:15">
      <c r="A469">
        <v>2</v>
      </c>
      <c r="B469" t="s">
        <v>9400</v>
      </c>
      <c r="C469" t="s">
        <v>9401</v>
      </c>
      <c r="D469">
        <v>1</v>
      </c>
      <c r="E469">
        <v>10</v>
      </c>
      <c r="F469">
        <v>1</v>
      </c>
      <c r="H469">
        <f t="shared" si="62"/>
        <v>2</v>
      </c>
      <c r="I469" t="str">
        <f t="shared" si="67"/>
        <v>200IQU56-520</v>
      </c>
      <c r="J469" s="6" t="str">
        <f t="shared" si="63"/>
        <v>Q PFA39 RETURN FILLER 60 X 144</v>
      </c>
      <c r="K469" s="6">
        <f t="shared" si="64"/>
        <v>1</v>
      </c>
      <c r="L469" s="6">
        <f t="shared" si="65"/>
        <v>10</v>
      </c>
      <c r="M469" s="6">
        <f t="shared" si="66"/>
        <v>1</v>
      </c>
      <c r="N469" s="6" t="str">
        <f t="shared" si="68"/>
        <v>100PFA39-6200</v>
      </c>
      <c r="O469" s="6" t="str">
        <f t="shared" si="69"/>
        <v>SINGING THE CHICAGO BLUES</v>
      </c>
    </row>
    <row r="470" spans="1:15">
      <c r="A470">
        <v>1</v>
      </c>
      <c r="B470" t="s">
        <v>9151</v>
      </c>
      <c r="C470" t="s">
        <v>9152</v>
      </c>
      <c r="D470">
        <v>1</v>
      </c>
      <c r="E470">
        <v>10</v>
      </c>
      <c r="F470">
        <v>1.1133999999999999</v>
      </c>
      <c r="H470">
        <f t="shared" si="62"/>
        <v>1</v>
      </c>
      <c r="I470" t="str">
        <f t="shared" si="67"/>
        <v>200PFA39-5201</v>
      </c>
      <c r="J470" s="6" t="str">
        <f t="shared" si="63"/>
        <v>SING CHICAGO BLUES 60 X 144</v>
      </c>
      <c r="K470" s="6">
        <f t="shared" si="64"/>
        <v>1</v>
      </c>
      <c r="L470" s="6">
        <f t="shared" si="65"/>
        <v>10</v>
      </c>
      <c r="M470" s="6">
        <f t="shared" si="66"/>
        <v>1.1133999999999999</v>
      </c>
      <c r="N470" s="6" t="str">
        <f t="shared" si="68"/>
        <v>100PFA39-6200</v>
      </c>
      <c r="O470" s="6" t="str">
        <f t="shared" si="69"/>
        <v>SINGING THE CHICAGO BLUES</v>
      </c>
    </row>
    <row r="471" spans="1:15">
      <c r="A471">
        <v>4</v>
      </c>
      <c r="B471" t="s">
        <v>9409</v>
      </c>
      <c r="C471" t="s">
        <v>8712</v>
      </c>
      <c r="D471">
        <v>1</v>
      </c>
      <c r="E471">
        <v>91</v>
      </c>
      <c r="F471">
        <v>1</v>
      </c>
      <c r="H471">
        <f t="shared" si="62"/>
        <v>4</v>
      </c>
      <c r="I471" t="str">
        <f t="shared" si="67"/>
        <v>QUBPFA39PPK1</v>
      </c>
      <c r="J471" s="6" t="str">
        <f t="shared" si="63"/>
        <v>Q PFA39 SING C/BLUES 2 LP</v>
      </c>
      <c r="K471" s="6">
        <f t="shared" si="64"/>
        <v>1</v>
      </c>
      <c r="L471" s="6">
        <f t="shared" si="65"/>
        <v>91</v>
      </c>
      <c r="M471" s="6">
        <f t="shared" si="66"/>
        <v>1</v>
      </c>
      <c r="N471" s="6" t="str">
        <f t="shared" si="68"/>
        <v>100PFA39-6200</v>
      </c>
      <c r="O471" s="6" t="str">
        <f t="shared" si="69"/>
        <v>SINGING THE CHICAGO BLUES</v>
      </c>
    </row>
    <row r="472" spans="1:15">
      <c r="A472">
        <v>3</v>
      </c>
      <c r="B472" t="s">
        <v>9428</v>
      </c>
      <c r="C472" t="s">
        <v>9429</v>
      </c>
      <c r="D472">
        <v>1</v>
      </c>
      <c r="E472">
        <v>10</v>
      </c>
      <c r="F472">
        <v>0.16669999999999999</v>
      </c>
      <c r="H472">
        <f t="shared" si="62"/>
        <v>3</v>
      </c>
      <c r="I472" t="str">
        <f t="shared" si="67"/>
        <v>J75IQU56NQ27</v>
      </c>
      <c r="J472" s="6" t="str">
        <f t="shared" si="63"/>
        <v>Q PFA39 RET FILL SHORT 15 X 61</v>
      </c>
      <c r="K472" s="6">
        <f t="shared" si="64"/>
        <v>1</v>
      </c>
      <c r="L472" s="6">
        <f t="shared" si="65"/>
        <v>10</v>
      </c>
      <c r="M472" s="6">
        <f t="shared" si="66"/>
        <v>0.16669999999999999</v>
      </c>
      <c r="N472" s="6" t="str">
        <f t="shared" si="68"/>
        <v>100PFA39-6200</v>
      </c>
      <c r="O472" s="6" t="str">
        <f t="shared" si="69"/>
        <v>SINGING THE CHICAGO BLUES</v>
      </c>
    </row>
    <row r="473" spans="1:15">
      <c r="A473">
        <v>2</v>
      </c>
      <c r="B473" t="s">
        <v>9400</v>
      </c>
      <c r="C473" t="s">
        <v>9401</v>
      </c>
      <c r="D473">
        <v>1</v>
      </c>
      <c r="E473">
        <v>10</v>
      </c>
      <c r="F473">
        <v>1</v>
      </c>
      <c r="H473">
        <f t="shared" si="62"/>
        <v>2</v>
      </c>
      <c r="I473" t="str">
        <f t="shared" si="67"/>
        <v>200IQU56-520</v>
      </c>
      <c r="J473" s="6" t="str">
        <f t="shared" si="63"/>
        <v>Q PFA39 RETURN FILLER 60 X 144</v>
      </c>
      <c r="K473" s="6">
        <f t="shared" si="64"/>
        <v>1</v>
      </c>
      <c r="L473" s="6">
        <f t="shared" si="65"/>
        <v>10</v>
      </c>
      <c r="M473" s="6">
        <f t="shared" si="66"/>
        <v>1</v>
      </c>
      <c r="N473" s="6" t="str">
        <f t="shared" si="68"/>
        <v>100PFA39-6200</v>
      </c>
      <c r="O473" s="6" t="str">
        <f t="shared" si="69"/>
        <v>SINGING THE CHICAGO BLUES</v>
      </c>
    </row>
    <row r="474" spans="1:15">
      <c r="A474">
        <v>1</v>
      </c>
      <c r="B474" t="s">
        <v>9151</v>
      </c>
      <c r="C474" t="s">
        <v>9152</v>
      </c>
      <c r="D474">
        <v>1</v>
      </c>
      <c r="E474">
        <v>10</v>
      </c>
      <c r="F474">
        <v>1.1133999999999999</v>
      </c>
      <c r="H474">
        <f t="shared" si="62"/>
        <v>1</v>
      </c>
      <c r="I474" t="str">
        <f t="shared" si="67"/>
        <v>200PFA39-5201</v>
      </c>
      <c r="J474" s="6" t="str">
        <f t="shared" si="63"/>
        <v>SING CHICAGO BLUES 60 X 144</v>
      </c>
      <c r="K474" s="6">
        <f t="shared" si="64"/>
        <v>1</v>
      </c>
      <c r="L474" s="6">
        <f t="shared" si="65"/>
        <v>10</v>
      </c>
      <c r="M474" s="6">
        <f t="shared" si="66"/>
        <v>1.1133999999999999</v>
      </c>
      <c r="N474" s="6" t="str">
        <f t="shared" si="68"/>
        <v>100PFA39-6200</v>
      </c>
      <c r="O474" s="6" t="str">
        <f t="shared" si="69"/>
        <v>SINGING THE CHICAGO BLUES</v>
      </c>
    </row>
    <row r="475" spans="1:15">
      <c r="A475">
        <v>4</v>
      </c>
      <c r="B475" t="s">
        <v>9409</v>
      </c>
      <c r="C475" t="s">
        <v>8712</v>
      </c>
      <c r="D475">
        <v>1</v>
      </c>
      <c r="E475">
        <v>91</v>
      </c>
      <c r="F475">
        <v>2</v>
      </c>
      <c r="H475">
        <f t="shared" si="62"/>
        <v>4</v>
      </c>
      <c r="I475" t="str">
        <f t="shared" si="67"/>
        <v>QUBPFA39PPK1</v>
      </c>
      <c r="J475" s="6" t="str">
        <f t="shared" si="63"/>
        <v>Q PFA39 SING C/BLUES 2 LP</v>
      </c>
      <c r="K475" s="6">
        <f t="shared" si="64"/>
        <v>1</v>
      </c>
      <c r="L475" s="6">
        <f t="shared" si="65"/>
        <v>91</v>
      </c>
      <c r="M475" s="6">
        <f t="shared" si="66"/>
        <v>2</v>
      </c>
      <c r="N475" s="6" t="str">
        <f t="shared" si="68"/>
        <v>100PFA39-6200</v>
      </c>
      <c r="O475" s="6" t="str">
        <f t="shared" si="69"/>
        <v>SINGING THE CHICAGO BLUES</v>
      </c>
    </row>
    <row r="476" spans="1:15">
      <c r="A476">
        <v>3</v>
      </c>
      <c r="B476" t="s">
        <v>9430</v>
      </c>
      <c r="C476" t="s">
        <v>9431</v>
      </c>
      <c r="D476">
        <v>1</v>
      </c>
      <c r="E476">
        <v>10</v>
      </c>
      <c r="F476">
        <v>1</v>
      </c>
      <c r="H476">
        <f t="shared" si="62"/>
        <v>3</v>
      </c>
      <c r="I476" t="str">
        <f t="shared" si="67"/>
        <v>J75IQU53PQ24</v>
      </c>
      <c r="J476" s="6" t="str">
        <f t="shared" si="63"/>
        <v>Q PFA39 FOUL LINE 41.875 X 144</v>
      </c>
      <c r="K476" s="6">
        <f t="shared" si="64"/>
        <v>1</v>
      </c>
      <c r="L476" s="6">
        <f t="shared" si="65"/>
        <v>10</v>
      </c>
      <c r="M476" s="6">
        <f t="shared" si="66"/>
        <v>1</v>
      </c>
      <c r="N476" s="6" t="str">
        <f t="shared" si="68"/>
        <v>100PFA39-6200</v>
      </c>
      <c r="O476" s="6" t="str">
        <f t="shared" si="69"/>
        <v>SINGING THE CHICAGO BLUES</v>
      </c>
    </row>
    <row r="477" spans="1:15">
      <c r="A477">
        <v>2</v>
      </c>
      <c r="B477" t="s">
        <v>9432</v>
      </c>
      <c r="C477" t="s">
        <v>9433</v>
      </c>
      <c r="D477">
        <v>1</v>
      </c>
      <c r="E477">
        <v>10</v>
      </c>
      <c r="F477">
        <v>1</v>
      </c>
      <c r="H477">
        <f t="shared" si="62"/>
        <v>2</v>
      </c>
      <c r="I477" t="str">
        <f t="shared" si="67"/>
        <v>200IQU53-120</v>
      </c>
      <c r="J477" s="6" t="str">
        <f t="shared" si="63"/>
        <v>Q PFA39 FOUL LINE 43 X 145</v>
      </c>
      <c r="K477" s="6">
        <f t="shared" si="64"/>
        <v>1</v>
      </c>
      <c r="L477" s="6">
        <f t="shared" si="65"/>
        <v>10</v>
      </c>
      <c r="M477" s="6">
        <f t="shared" si="66"/>
        <v>1</v>
      </c>
      <c r="N477" s="6" t="str">
        <f t="shared" si="68"/>
        <v>100PFA39-6200</v>
      </c>
      <c r="O477" s="6" t="str">
        <f t="shared" si="69"/>
        <v>SINGING THE CHICAGO BLUES</v>
      </c>
    </row>
    <row r="478" spans="1:15">
      <c r="A478">
        <v>1</v>
      </c>
      <c r="B478" t="s">
        <v>9181</v>
      </c>
      <c r="C478" t="s">
        <v>9182</v>
      </c>
      <c r="D478">
        <v>1</v>
      </c>
      <c r="E478">
        <v>10</v>
      </c>
      <c r="F478">
        <v>1.1133999999999999</v>
      </c>
      <c r="H478">
        <f t="shared" si="62"/>
        <v>1</v>
      </c>
      <c r="I478" t="str">
        <f t="shared" si="67"/>
        <v>200PFA39-12L1</v>
      </c>
      <c r="J478" s="6" t="str">
        <f t="shared" si="63"/>
        <v>SING CHICAGO BLUES (L) 43X145</v>
      </c>
      <c r="K478" s="6">
        <f t="shared" si="64"/>
        <v>1</v>
      </c>
      <c r="L478" s="6">
        <f t="shared" si="65"/>
        <v>10</v>
      </c>
      <c r="M478" s="6">
        <f t="shared" si="66"/>
        <v>1.1133999999999999</v>
      </c>
      <c r="N478" s="6" t="str">
        <f t="shared" si="68"/>
        <v>100PFA39-6200</v>
      </c>
      <c r="O478" s="6" t="str">
        <f t="shared" si="69"/>
        <v>SINGING THE CHICAGO BLUES</v>
      </c>
    </row>
    <row r="479" spans="1:15">
      <c r="A479">
        <v>4</v>
      </c>
      <c r="B479" t="s">
        <v>9409</v>
      </c>
      <c r="C479" t="s">
        <v>8712</v>
      </c>
      <c r="D479">
        <v>1</v>
      </c>
      <c r="E479">
        <v>91</v>
      </c>
      <c r="F479">
        <v>2</v>
      </c>
      <c r="H479">
        <f t="shared" si="62"/>
        <v>4</v>
      </c>
      <c r="I479" t="str">
        <f t="shared" si="67"/>
        <v>QUBPFA39PPK1</v>
      </c>
      <c r="J479" s="6" t="str">
        <f t="shared" si="63"/>
        <v>Q PFA39 SING C/BLUES 2 LP</v>
      </c>
      <c r="K479" s="6">
        <f t="shared" si="64"/>
        <v>1</v>
      </c>
      <c r="L479" s="6">
        <f t="shared" si="65"/>
        <v>91</v>
      </c>
      <c r="M479" s="6">
        <f t="shared" si="66"/>
        <v>2</v>
      </c>
      <c r="N479" s="6" t="str">
        <f t="shared" si="68"/>
        <v>100PFA39-6200</v>
      </c>
      <c r="O479" s="6" t="str">
        <f t="shared" si="69"/>
        <v>SINGING THE CHICAGO BLUES</v>
      </c>
    </row>
    <row r="480" spans="1:15">
      <c r="A480">
        <v>3</v>
      </c>
      <c r="B480" t="s">
        <v>9434</v>
      </c>
      <c r="C480" t="s">
        <v>9435</v>
      </c>
      <c r="D480">
        <v>1</v>
      </c>
      <c r="E480">
        <v>10</v>
      </c>
      <c r="F480">
        <v>1</v>
      </c>
      <c r="H480">
        <f t="shared" ref="H480:H505" si="70">A480</f>
        <v>3</v>
      </c>
      <c r="I480" t="str">
        <f t="shared" si="67"/>
        <v>J75IQU54PQ25</v>
      </c>
      <c r="J480" s="6" t="str">
        <f t="shared" ref="J480:J505" si="71">C480</f>
        <v>Q PFA39 ARROW  41.875 X 144</v>
      </c>
      <c r="K480" s="6">
        <f t="shared" ref="K480:K505" si="72">D480</f>
        <v>1</v>
      </c>
      <c r="L480" s="6">
        <f t="shared" ref="L480:L505" si="73">E480</f>
        <v>10</v>
      </c>
      <c r="M480" s="6">
        <f t="shared" ref="M480:M505" si="74">F480</f>
        <v>1</v>
      </c>
      <c r="N480" s="6" t="str">
        <f t="shared" si="68"/>
        <v>100PFA39-6200</v>
      </c>
      <c r="O480" s="6" t="str">
        <f t="shared" si="69"/>
        <v>SINGING THE CHICAGO BLUES</v>
      </c>
    </row>
    <row r="481" spans="1:15">
      <c r="A481">
        <v>2</v>
      </c>
      <c r="B481" t="s">
        <v>9436</v>
      </c>
      <c r="C481" t="s">
        <v>9437</v>
      </c>
      <c r="D481">
        <v>1</v>
      </c>
      <c r="E481">
        <v>10</v>
      </c>
      <c r="F481">
        <v>1</v>
      </c>
      <c r="H481">
        <f t="shared" si="70"/>
        <v>2</v>
      </c>
      <c r="I481" t="str">
        <f t="shared" si="67"/>
        <v>200IQU54-120</v>
      </c>
      <c r="J481" s="6" t="str">
        <f t="shared" si="71"/>
        <v>Q PFA39 ARROW  43 X 145</v>
      </c>
      <c r="K481" s="6">
        <f t="shared" si="72"/>
        <v>1</v>
      </c>
      <c r="L481" s="6">
        <f t="shared" si="73"/>
        <v>10</v>
      </c>
      <c r="M481" s="6">
        <f t="shared" si="74"/>
        <v>1</v>
      </c>
      <c r="N481" s="6" t="str">
        <f t="shared" si="68"/>
        <v>100PFA39-6200</v>
      </c>
      <c r="O481" s="6" t="str">
        <f t="shared" si="69"/>
        <v>SINGING THE CHICAGO BLUES</v>
      </c>
    </row>
    <row r="482" spans="1:15">
      <c r="A482">
        <v>1</v>
      </c>
      <c r="B482" t="s">
        <v>9181</v>
      </c>
      <c r="C482" t="s">
        <v>9182</v>
      </c>
      <c r="D482">
        <v>1</v>
      </c>
      <c r="E482">
        <v>10</v>
      </c>
      <c r="F482">
        <v>1.1133999999999999</v>
      </c>
      <c r="H482">
        <f t="shared" si="70"/>
        <v>1</v>
      </c>
      <c r="I482" t="str">
        <f t="shared" si="67"/>
        <v>200PFA39-12L1</v>
      </c>
      <c r="J482" s="6" t="str">
        <f t="shared" si="71"/>
        <v>SING CHICAGO BLUES (L) 43X145</v>
      </c>
      <c r="K482" s="6">
        <f t="shared" si="72"/>
        <v>1</v>
      </c>
      <c r="L482" s="6">
        <f t="shared" si="73"/>
        <v>10</v>
      </c>
      <c r="M482" s="6">
        <f t="shared" si="74"/>
        <v>1.1133999999999999</v>
      </c>
      <c r="N482" s="6" t="str">
        <f t="shared" si="68"/>
        <v>100PFA39-6200</v>
      </c>
      <c r="O482" s="6" t="str">
        <f t="shared" si="69"/>
        <v>SINGING THE CHICAGO BLUES</v>
      </c>
    </row>
    <row r="483" spans="1:15">
      <c r="A483">
        <v>4</v>
      </c>
      <c r="B483" t="s">
        <v>9409</v>
      </c>
      <c r="C483" t="s">
        <v>8712</v>
      </c>
      <c r="D483">
        <v>1</v>
      </c>
      <c r="E483">
        <v>91</v>
      </c>
      <c r="F483">
        <v>6</v>
      </c>
      <c r="H483">
        <f t="shared" si="70"/>
        <v>4</v>
      </c>
      <c r="I483" t="str">
        <f t="shared" si="67"/>
        <v>QUBPFA39PPK1</v>
      </c>
      <c r="J483" s="6" t="str">
        <f t="shared" si="71"/>
        <v>Q PFA39 SING C/BLUES 2 LP</v>
      </c>
      <c r="K483" s="6">
        <f t="shared" si="72"/>
        <v>1</v>
      </c>
      <c r="L483" s="6">
        <f t="shared" si="73"/>
        <v>91</v>
      </c>
      <c r="M483" s="6">
        <f t="shared" si="74"/>
        <v>6</v>
      </c>
      <c r="N483" s="6" t="str">
        <f t="shared" si="68"/>
        <v>100PFA39-6200</v>
      </c>
      <c r="O483" s="6" t="str">
        <f t="shared" si="69"/>
        <v>SINGING THE CHICAGO BLUES</v>
      </c>
    </row>
    <row r="484" spans="1:15">
      <c r="A484">
        <v>3</v>
      </c>
      <c r="B484" t="s">
        <v>9438</v>
      </c>
      <c r="C484" t="s">
        <v>9439</v>
      </c>
      <c r="D484">
        <v>1</v>
      </c>
      <c r="E484">
        <v>10</v>
      </c>
      <c r="F484">
        <v>1</v>
      </c>
      <c r="H484">
        <f t="shared" si="70"/>
        <v>3</v>
      </c>
      <c r="I484" t="str">
        <f t="shared" si="67"/>
        <v>J75IQU55PQ25</v>
      </c>
      <c r="J484" s="6" t="str">
        <f t="shared" si="71"/>
        <v>Q PFA39 COMMON  41.875 X 144</v>
      </c>
      <c r="K484" s="6">
        <f t="shared" si="72"/>
        <v>1</v>
      </c>
      <c r="L484" s="6">
        <f t="shared" si="73"/>
        <v>10</v>
      </c>
      <c r="M484" s="6">
        <f t="shared" si="74"/>
        <v>1</v>
      </c>
      <c r="N484" s="6" t="str">
        <f t="shared" si="68"/>
        <v>100PFA39-6200</v>
      </c>
      <c r="O484" s="6" t="str">
        <f t="shared" si="69"/>
        <v>SINGING THE CHICAGO BLUES</v>
      </c>
    </row>
    <row r="485" spans="1:15">
      <c r="A485">
        <v>2</v>
      </c>
      <c r="B485" t="s">
        <v>9440</v>
      </c>
      <c r="C485" t="s">
        <v>9441</v>
      </c>
      <c r="D485">
        <v>1</v>
      </c>
      <c r="E485">
        <v>10</v>
      </c>
      <c r="F485">
        <v>1</v>
      </c>
      <c r="H485">
        <f t="shared" si="70"/>
        <v>2</v>
      </c>
      <c r="I485" t="str">
        <f t="shared" si="67"/>
        <v>200IQU55-120</v>
      </c>
      <c r="J485" s="6" t="str">
        <f t="shared" si="71"/>
        <v>Q PFA39 COMMON  43 X 145</v>
      </c>
      <c r="K485" s="6">
        <f t="shared" si="72"/>
        <v>1</v>
      </c>
      <c r="L485" s="6">
        <f t="shared" si="73"/>
        <v>10</v>
      </c>
      <c r="M485" s="6">
        <f t="shared" si="74"/>
        <v>1</v>
      </c>
      <c r="N485" s="6" t="str">
        <f t="shared" si="68"/>
        <v>100PFA39-6200</v>
      </c>
      <c r="O485" s="6" t="str">
        <f t="shared" si="69"/>
        <v>SINGING THE CHICAGO BLUES</v>
      </c>
    </row>
    <row r="486" spans="1:15">
      <c r="A486">
        <v>1</v>
      </c>
      <c r="B486" t="s">
        <v>9181</v>
      </c>
      <c r="C486" t="s">
        <v>9182</v>
      </c>
      <c r="D486">
        <v>1</v>
      </c>
      <c r="E486">
        <v>10</v>
      </c>
      <c r="F486">
        <v>1.1133999999999999</v>
      </c>
      <c r="H486">
        <f t="shared" si="70"/>
        <v>1</v>
      </c>
      <c r="I486" t="str">
        <f t="shared" si="67"/>
        <v>200PFA39-12L1</v>
      </c>
      <c r="J486" s="6" t="str">
        <f t="shared" si="71"/>
        <v>SING CHICAGO BLUES (L) 43X145</v>
      </c>
      <c r="K486" s="6">
        <f t="shared" si="72"/>
        <v>1</v>
      </c>
      <c r="L486" s="6">
        <f t="shared" si="73"/>
        <v>10</v>
      </c>
      <c r="M486" s="6">
        <f t="shared" si="74"/>
        <v>1.1133999999999999</v>
      </c>
      <c r="N486" s="6" t="str">
        <f t="shared" si="68"/>
        <v>100PFA39-6200</v>
      </c>
      <c r="O486" s="6" t="str">
        <f t="shared" si="69"/>
        <v>SINGING THE CHICAGO BLUES</v>
      </c>
    </row>
    <row r="487" spans="1:15">
      <c r="A487">
        <v>4</v>
      </c>
      <c r="B487" t="s">
        <v>9442</v>
      </c>
      <c r="C487" t="s">
        <v>8712</v>
      </c>
      <c r="D487">
        <v>1</v>
      </c>
      <c r="E487">
        <v>91</v>
      </c>
      <c r="F487">
        <v>1</v>
      </c>
      <c r="H487">
        <f t="shared" si="70"/>
        <v>4</v>
      </c>
      <c r="I487" t="str">
        <f t="shared" si="67"/>
        <v>QUBPFA39PPK2</v>
      </c>
      <c r="J487" s="6" t="str">
        <f t="shared" si="71"/>
        <v>Q PFA39 SING C/BLUES 2 LP</v>
      </c>
      <c r="K487" s="6">
        <f t="shared" si="72"/>
        <v>1</v>
      </c>
      <c r="L487" s="6">
        <f t="shared" si="73"/>
        <v>91</v>
      </c>
      <c r="M487" s="6">
        <f t="shared" si="74"/>
        <v>1</v>
      </c>
      <c r="N487" s="6" t="str">
        <f t="shared" si="68"/>
        <v>100PFA39-6200</v>
      </c>
      <c r="O487" s="6" t="str">
        <f t="shared" si="69"/>
        <v>SINGING THE CHICAGO BLUES</v>
      </c>
    </row>
    <row r="488" spans="1:15">
      <c r="A488">
        <v>3</v>
      </c>
      <c r="B488" t="s">
        <v>9443</v>
      </c>
      <c r="C488" t="s">
        <v>9429</v>
      </c>
      <c r="D488">
        <v>1</v>
      </c>
      <c r="E488">
        <v>10</v>
      </c>
      <c r="F488">
        <v>0.16669999999999999</v>
      </c>
      <c r="H488">
        <f t="shared" si="70"/>
        <v>3</v>
      </c>
      <c r="I488" t="str">
        <f t="shared" si="67"/>
        <v>J75IQU99NQ27</v>
      </c>
      <c r="J488" s="6" t="str">
        <f t="shared" si="71"/>
        <v>Q PFA39 RET FILL SHORT 15 X 61</v>
      </c>
      <c r="K488" s="6">
        <f t="shared" si="72"/>
        <v>1</v>
      </c>
      <c r="L488" s="6">
        <f t="shared" si="73"/>
        <v>10</v>
      </c>
      <c r="M488" s="6">
        <f t="shared" si="74"/>
        <v>0.16669999999999999</v>
      </c>
      <c r="N488" s="6" t="str">
        <f t="shared" si="68"/>
        <v>100PFA39-6200</v>
      </c>
      <c r="O488" s="6" t="str">
        <f t="shared" si="69"/>
        <v>SINGING THE CHICAGO BLUES</v>
      </c>
    </row>
    <row r="489" spans="1:15">
      <c r="A489">
        <v>2</v>
      </c>
      <c r="B489" t="s">
        <v>9444</v>
      </c>
      <c r="C489" t="s">
        <v>9401</v>
      </c>
      <c r="D489">
        <v>1</v>
      </c>
      <c r="E489">
        <v>10</v>
      </c>
      <c r="F489">
        <v>1</v>
      </c>
      <c r="H489">
        <f t="shared" si="70"/>
        <v>2</v>
      </c>
      <c r="I489" t="str">
        <f t="shared" si="67"/>
        <v>200IQU99-520</v>
      </c>
      <c r="J489" s="6" t="str">
        <f t="shared" si="71"/>
        <v>Q PFA39 RETURN FILLER 60 X 144</v>
      </c>
      <c r="K489" s="6">
        <f t="shared" si="72"/>
        <v>1</v>
      </c>
      <c r="L489" s="6">
        <f t="shared" si="73"/>
        <v>10</v>
      </c>
      <c r="M489" s="6">
        <f t="shared" si="74"/>
        <v>1</v>
      </c>
      <c r="N489" s="6" t="str">
        <f t="shared" si="68"/>
        <v>100PFA39-6200</v>
      </c>
      <c r="O489" s="6" t="str">
        <f t="shared" si="69"/>
        <v>SINGING THE CHICAGO BLUES</v>
      </c>
    </row>
    <row r="490" spans="1:15">
      <c r="A490">
        <v>1</v>
      </c>
      <c r="B490" t="s">
        <v>9151</v>
      </c>
      <c r="C490" t="s">
        <v>9152</v>
      </c>
      <c r="D490">
        <v>1</v>
      </c>
      <c r="E490">
        <v>10</v>
      </c>
      <c r="F490">
        <v>1.1133999999999999</v>
      </c>
      <c r="H490">
        <f t="shared" si="70"/>
        <v>1</v>
      </c>
      <c r="I490" t="str">
        <f t="shared" si="67"/>
        <v>200PFA39-5201</v>
      </c>
      <c r="J490" s="6" t="str">
        <f t="shared" si="71"/>
        <v>SING CHICAGO BLUES 60 X 144</v>
      </c>
      <c r="K490" s="6">
        <f t="shared" si="72"/>
        <v>1</v>
      </c>
      <c r="L490" s="6">
        <f t="shared" si="73"/>
        <v>10</v>
      </c>
      <c r="M490" s="6">
        <f t="shared" si="74"/>
        <v>1.1133999999999999</v>
      </c>
      <c r="N490" s="6" t="str">
        <f t="shared" si="68"/>
        <v>100PFA39-6200</v>
      </c>
      <c r="O490" s="6" t="str">
        <f t="shared" si="69"/>
        <v>SINGING THE CHICAGO BLUES</v>
      </c>
    </row>
    <row r="491" spans="1:15">
      <c r="A491">
        <v>4</v>
      </c>
      <c r="B491" t="s">
        <v>9442</v>
      </c>
      <c r="C491" t="s">
        <v>8712</v>
      </c>
      <c r="D491">
        <v>1</v>
      </c>
      <c r="E491">
        <v>91</v>
      </c>
      <c r="F491">
        <v>1</v>
      </c>
      <c r="H491">
        <f t="shared" si="70"/>
        <v>4</v>
      </c>
      <c r="I491" t="str">
        <f t="shared" si="67"/>
        <v>QUBPFA39PPK2</v>
      </c>
      <c r="J491" s="6" t="str">
        <f t="shared" si="71"/>
        <v>Q PFA39 SING C/BLUES 2 LP</v>
      </c>
      <c r="K491" s="6">
        <f t="shared" si="72"/>
        <v>1</v>
      </c>
      <c r="L491" s="6">
        <f t="shared" si="73"/>
        <v>91</v>
      </c>
      <c r="M491" s="6">
        <f t="shared" si="74"/>
        <v>1</v>
      </c>
      <c r="N491" s="6" t="str">
        <f t="shared" si="68"/>
        <v>100PFA39-6200</v>
      </c>
      <c r="O491" s="6" t="str">
        <f t="shared" si="69"/>
        <v>SINGING THE CHICAGO BLUES</v>
      </c>
    </row>
    <row r="492" spans="1:15">
      <c r="A492">
        <v>3</v>
      </c>
      <c r="B492" t="s">
        <v>9445</v>
      </c>
      <c r="C492" t="s">
        <v>9446</v>
      </c>
      <c r="D492">
        <v>1</v>
      </c>
      <c r="E492">
        <v>10</v>
      </c>
      <c r="F492">
        <v>0.5</v>
      </c>
      <c r="H492">
        <f t="shared" si="70"/>
        <v>3</v>
      </c>
      <c r="I492" t="str">
        <f t="shared" si="67"/>
        <v>J75IQU92NQ79</v>
      </c>
      <c r="J492" s="6" t="str">
        <f t="shared" si="71"/>
        <v>Q PFA39 L S\APP 59.81 X 67.25</v>
      </c>
      <c r="K492" s="6">
        <f t="shared" si="72"/>
        <v>1</v>
      </c>
      <c r="L492" s="6">
        <f t="shared" si="73"/>
        <v>10</v>
      </c>
      <c r="M492" s="6">
        <f t="shared" si="74"/>
        <v>0.5</v>
      </c>
      <c r="N492" s="6" t="str">
        <f t="shared" si="68"/>
        <v>100PFA39-6200</v>
      </c>
      <c r="O492" s="6" t="str">
        <f t="shared" si="69"/>
        <v>SINGING THE CHICAGO BLUES</v>
      </c>
    </row>
    <row r="493" spans="1:15">
      <c r="A493">
        <v>2</v>
      </c>
      <c r="B493" t="s">
        <v>9447</v>
      </c>
      <c r="C493" t="s">
        <v>9413</v>
      </c>
      <c r="D493">
        <v>1</v>
      </c>
      <c r="E493">
        <v>10</v>
      </c>
      <c r="F493">
        <v>1</v>
      </c>
      <c r="H493">
        <f t="shared" si="70"/>
        <v>2</v>
      </c>
      <c r="I493" t="str">
        <f t="shared" si="67"/>
        <v>200IQU92-520</v>
      </c>
      <c r="J493" s="6" t="str">
        <f t="shared" si="71"/>
        <v>Q PFA39 L SHORT APPR 60 X 144</v>
      </c>
      <c r="K493" s="6">
        <f t="shared" si="72"/>
        <v>1</v>
      </c>
      <c r="L493" s="6">
        <f t="shared" si="73"/>
        <v>10</v>
      </c>
      <c r="M493" s="6">
        <f t="shared" si="74"/>
        <v>1</v>
      </c>
      <c r="N493" s="6" t="str">
        <f t="shared" si="68"/>
        <v>100PFA39-6200</v>
      </c>
      <c r="O493" s="6" t="str">
        <f t="shared" si="69"/>
        <v>SINGING THE CHICAGO BLUES</v>
      </c>
    </row>
    <row r="494" spans="1:15">
      <c r="A494">
        <v>1</v>
      </c>
      <c r="B494" t="s">
        <v>9151</v>
      </c>
      <c r="C494" t="s">
        <v>9152</v>
      </c>
      <c r="D494">
        <v>1</v>
      </c>
      <c r="E494">
        <v>10</v>
      </c>
      <c r="F494">
        <v>1.1133999999999999</v>
      </c>
      <c r="H494">
        <f t="shared" si="70"/>
        <v>1</v>
      </c>
      <c r="I494" t="str">
        <f t="shared" si="67"/>
        <v>200PFA39-5201</v>
      </c>
      <c r="J494" s="6" t="str">
        <f t="shared" si="71"/>
        <v>SING CHICAGO BLUES 60 X 144</v>
      </c>
      <c r="K494" s="6">
        <f t="shared" si="72"/>
        <v>1</v>
      </c>
      <c r="L494" s="6">
        <f t="shared" si="73"/>
        <v>10</v>
      </c>
      <c r="M494" s="6">
        <f t="shared" si="74"/>
        <v>1.1133999999999999</v>
      </c>
      <c r="N494" s="6" t="str">
        <f t="shared" si="68"/>
        <v>100PFA39-6200</v>
      </c>
      <c r="O494" s="6" t="str">
        <f t="shared" si="69"/>
        <v>SINGING THE CHICAGO BLUES</v>
      </c>
    </row>
    <row r="495" spans="1:15">
      <c r="A495">
        <v>4</v>
      </c>
      <c r="B495" t="s">
        <v>9442</v>
      </c>
      <c r="C495" t="s">
        <v>8712</v>
      </c>
      <c r="D495">
        <v>1</v>
      </c>
      <c r="E495">
        <v>91</v>
      </c>
      <c r="F495">
        <v>1</v>
      </c>
      <c r="H495">
        <f t="shared" si="70"/>
        <v>4</v>
      </c>
      <c r="I495" t="str">
        <f t="shared" si="67"/>
        <v>QUBPFA39PPK2</v>
      </c>
      <c r="J495" s="6" t="str">
        <f t="shared" si="71"/>
        <v>Q PFA39 SING C/BLUES 2 LP</v>
      </c>
      <c r="K495" s="6">
        <f t="shared" si="72"/>
        <v>1</v>
      </c>
      <c r="L495" s="6">
        <f t="shared" si="73"/>
        <v>91</v>
      </c>
      <c r="M495" s="6">
        <f t="shared" si="74"/>
        <v>1</v>
      </c>
      <c r="N495" s="6" t="str">
        <f t="shared" si="68"/>
        <v>100PFA39-6200</v>
      </c>
      <c r="O495" s="6" t="str">
        <f t="shared" si="69"/>
        <v>SINGING THE CHICAGO BLUES</v>
      </c>
    </row>
    <row r="496" spans="1:15">
      <c r="A496">
        <v>3</v>
      </c>
      <c r="B496" t="s">
        <v>9448</v>
      </c>
      <c r="C496" t="s">
        <v>9449</v>
      </c>
      <c r="D496">
        <v>1</v>
      </c>
      <c r="E496">
        <v>10</v>
      </c>
      <c r="F496">
        <v>0.5</v>
      </c>
      <c r="H496">
        <f t="shared" si="70"/>
        <v>3</v>
      </c>
      <c r="I496" t="str">
        <f t="shared" si="67"/>
        <v>J75IQU93NQ80</v>
      </c>
      <c r="J496" s="6" t="str">
        <f t="shared" si="71"/>
        <v>Q PFA39 R S\ APP 59.81 X 67.25</v>
      </c>
      <c r="K496" s="6">
        <f t="shared" si="72"/>
        <v>1</v>
      </c>
      <c r="L496" s="6">
        <f t="shared" si="73"/>
        <v>10</v>
      </c>
      <c r="M496" s="6">
        <f t="shared" si="74"/>
        <v>0.5</v>
      </c>
      <c r="N496" s="6" t="str">
        <f t="shared" si="68"/>
        <v>100PFA39-6200</v>
      </c>
      <c r="O496" s="6" t="str">
        <f t="shared" si="69"/>
        <v>SINGING THE CHICAGO BLUES</v>
      </c>
    </row>
    <row r="497" spans="1:15">
      <c r="A497">
        <v>2</v>
      </c>
      <c r="B497" t="s">
        <v>9450</v>
      </c>
      <c r="C497" t="s">
        <v>9417</v>
      </c>
      <c r="D497">
        <v>1</v>
      </c>
      <c r="E497">
        <v>10</v>
      </c>
      <c r="F497">
        <v>1</v>
      </c>
      <c r="H497">
        <f t="shared" si="70"/>
        <v>2</v>
      </c>
      <c r="I497" t="str">
        <f t="shared" si="67"/>
        <v>200IQU93-520</v>
      </c>
      <c r="J497" s="6" t="str">
        <f t="shared" si="71"/>
        <v>Q PFA39 R SHORT APPR 60 X 144</v>
      </c>
      <c r="K497" s="6">
        <f t="shared" si="72"/>
        <v>1</v>
      </c>
      <c r="L497" s="6">
        <f t="shared" si="73"/>
        <v>10</v>
      </c>
      <c r="M497" s="6">
        <f t="shared" si="74"/>
        <v>1</v>
      </c>
      <c r="N497" s="6" t="str">
        <f t="shared" si="68"/>
        <v>100PFA39-6200</v>
      </c>
      <c r="O497" s="6" t="str">
        <f t="shared" si="69"/>
        <v>SINGING THE CHICAGO BLUES</v>
      </c>
    </row>
    <row r="498" spans="1:15">
      <c r="A498">
        <v>1</v>
      </c>
      <c r="B498" t="s">
        <v>9151</v>
      </c>
      <c r="C498" t="s">
        <v>9152</v>
      </c>
      <c r="D498">
        <v>1</v>
      </c>
      <c r="E498">
        <v>10</v>
      </c>
      <c r="F498">
        <v>1.1133999999999999</v>
      </c>
      <c r="H498">
        <f t="shared" si="70"/>
        <v>1</v>
      </c>
      <c r="I498" t="str">
        <f t="shared" si="67"/>
        <v>200PFA39-5201</v>
      </c>
      <c r="J498" s="6" t="str">
        <f t="shared" si="71"/>
        <v>SING CHICAGO BLUES 60 X 144</v>
      </c>
      <c r="K498" s="6">
        <f t="shared" si="72"/>
        <v>1</v>
      </c>
      <c r="L498" s="6">
        <f t="shared" si="73"/>
        <v>10</v>
      </c>
      <c r="M498" s="6">
        <f t="shared" si="74"/>
        <v>1.1133999999999999</v>
      </c>
      <c r="N498" s="6" t="str">
        <f t="shared" si="68"/>
        <v>100PFA39-6200</v>
      </c>
      <c r="O498" s="6" t="str">
        <f t="shared" si="69"/>
        <v>SINGING THE CHICAGO BLUES</v>
      </c>
    </row>
    <row r="499" spans="1:15">
      <c r="A499">
        <v>4</v>
      </c>
      <c r="B499" t="s">
        <v>9442</v>
      </c>
      <c r="C499" t="s">
        <v>8712</v>
      </c>
      <c r="D499">
        <v>1</v>
      </c>
      <c r="E499">
        <v>91</v>
      </c>
      <c r="F499">
        <v>1</v>
      </c>
      <c r="H499">
        <f t="shared" si="70"/>
        <v>4</v>
      </c>
      <c r="I499" t="str">
        <f t="shared" si="67"/>
        <v>QUBPFA39PPK2</v>
      </c>
      <c r="J499" s="6" t="str">
        <f t="shared" si="71"/>
        <v>Q PFA39 SING C/BLUES 2 LP</v>
      </c>
      <c r="K499" s="6">
        <f t="shared" si="72"/>
        <v>1</v>
      </c>
      <c r="L499" s="6">
        <f t="shared" si="73"/>
        <v>91</v>
      </c>
      <c r="M499" s="6">
        <f t="shared" si="74"/>
        <v>1</v>
      </c>
      <c r="N499" s="6" t="str">
        <f t="shared" si="68"/>
        <v>100PFA39-6200</v>
      </c>
      <c r="O499" s="6" t="str">
        <f t="shared" si="69"/>
        <v>SINGING THE CHICAGO BLUES</v>
      </c>
    </row>
    <row r="500" spans="1:15">
      <c r="A500">
        <v>3</v>
      </c>
      <c r="B500" t="s">
        <v>9451</v>
      </c>
      <c r="C500" t="s">
        <v>9419</v>
      </c>
      <c r="D500">
        <v>1</v>
      </c>
      <c r="E500">
        <v>10</v>
      </c>
      <c r="F500">
        <v>1</v>
      </c>
      <c r="H500">
        <f t="shared" si="70"/>
        <v>3</v>
      </c>
      <c r="I500" t="str">
        <f t="shared" si="67"/>
        <v>J75IQU94NQ81</v>
      </c>
      <c r="J500" s="6" t="str">
        <f t="shared" si="71"/>
        <v>Q PFA39 L  APPR 59.81 X 144.00</v>
      </c>
      <c r="K500" s="6">
        <f t="shared" si="72"/>
        <v>1</v>
      </c>
      <c r="L500" s="6">
        <f t="shared" si="73"/>
        <v>10</v>
      </c>
      <c r="M500" s="6">
        <f t="shared" si="74"/>
        <v>1</v>
      </c>
      <c r="N500" s="6" t="str">
        <f t="shared" si="68"/>
        <v>100PFA39-6200</v>
      </c>
      <c r="O500" s="6" t="str">
        <f t="shared" si="69"/>
        <v>SINGING THE CHICAGO BLUES</v>
      </c>
    </row>
    <row r="501" spans="1:15">
      <c r="A501">
        <v>2</v>
      </c>
      <c r="B501" t="s">
        <v>9452</v>
      </c>
      <c r="C501" t="s">
        <v>9421</v>
      </c>
      <c r="D501">
        <v>1</v>
      </c>
      <c r="E501">
        <v>10</v>
      </c>
      <c r="F501">
        <v>1</v>
      </c>
      <c r="H501">
        <f t="shared" si="70"/>
        <v>2</v>
      </c>
      <c r="I501" t="str">
        <f t="shared" si="67"/>
        <v>200IQU94-520</v>
      </c>
      <c r="J501" s="6" t="str">
        <f t="shared" si="71"/>
        <v>Q PFA39 L LONG APPR 60 X 144</v>
      </c>
      <c r="K501" s="6">
        <f t="shared" si="72"/>
        <v>1</v>
      </c>
      <c r="L501" s="6">
        <f t="shared" si="73"/>
        <v>10</v>
      </c>
      <c r="M501" s="6">
        <f t="shared" si="74"/>
        <v>1</v>
      </c>
      <c r="N501" s="6" t="str">
        <f t="shared" si="68"/>
        <v>100PFA39-6200</v>
      </c>
      <c r="O501" s="6" t="str">
        <f t="shared" si="69"/>
        <v>SINGING THE CHICAGO BLUES</v>
      </c>
    </row>
    <row r="502" spans="1:15">
      <c r="A502">
        <v>1</v>
      </c>
      <c r="B502" t="s">
        <v>9151</v>
      </c>
      <c r="C502" t="s">
        <v>9152</v>
      </c>
      <c r="D502">
        <v>1</v>
      </c>
      <c r="E502">
        <v>10</v>
      </c>
      <c r="F502">
        <v>1.1133999999999999</v>
      </c>
      <c r="H502">
        <f t="shared" si="70"/>
        <v>1</v>
      </c>
      <c r="I502" t="str">
        <f t="shared" si="67"/>
        <v>200PFA39-5201</v>
      </c>
      <c r="J502" s="6" t="str">
        <f t="shared" si="71"/>
        <v>SING CHICAGO BLUES 60 X 144</v>
      </c>
      <c r="K502" s="6">
        <f t="shared" si="72"/>
        <v>1</v>
      </c>
      <c r="L502" s="6">
        <f t="shared" si="73"/>
        <v>10</v>
      </c>
      <c r="M502" s="6">
        <f t="shared" si="74"/>
        <v>1.1133999999999999</v>
      </c>
      <c r="N502" s="6" t="str">
        <f t="shared" si="68"/>
        <v>100PFA39-6200</v>
      </c>
      <c r="O502" s="6" t="str">
        <f t="shared" si="69"/>
        <v>SINGING THE CHICAGO BLUES</v>
      </c>
    </row>
    <row r="503" spans="1:15">
      <c r="A503">
        <v>4</v>
      </c>
      <c r="B503" t="s">
        <v>9442</v>
      </c>
      <c r="C503" t="s">
        <v>8712</v>
      </c>
      <c r="D503">
        <v>1</v>
      </c>
      <c r="E503">
        <v>91</v>
      </c>
      <c r="F503">
        <v>1</v>
      </c>
      <c r="H503">
        <f t="shared" si="70"/>
        <v>4</v>
      </c>
      <c r="I503" t="str">
        <f t="shared" si="67"/>
        <v>QUBPFA39PPK2</v>
      </c>
      <c r="J503" s="6" t="str">
        <f t="shared" si="71"/>
        <v>Q PFA39 SING C/BLUES 2 LP</v>
      </c>
      <c r="K503" s="6">
        <f t="shared" si="72"/>
        <v>1</v>
      </c>
      <c r="L503" s="6">
        <f t="shared" si="73"/>
        <v>91</v>
      </c>
      <c r="M503" s="6">
        <f t="shared" si="74"/>
        <v>1</v>
      </c>
      <c r="N503" s="6" t="str">
        <f t="shared" si="68"/>
        <v>100PFA39-6200</v>
      </c>
      <c r="O503" s="6" t="str">
        <f t="shared" si="69"/>
        <v>SINGING THE CHICAGO BLUES</v>
      </c>
    </row>
    <row r="504" spans="1:15">
      <c r="A504">
        <v>3</v>
      </c>
      <c r="B504" t="s">
        <v>9453</v>
      </c>
      <c r="C504" t="s">
        <v>9423</v>
      </c>
      <c r="D504">
        <v>1</v>
      </c>
      <c r="E504">
        <v>10</v>
      </c>
      <c r="F504">
        <v>1</v>
      </c>
      <c r="H504">
        <f t="shared" si="70"/>
        <v>3</v>
      </c>
      <c r="I504" t="str">
        <f t="shared" si="67"/>
        <v>J75IQU95NQ82</v>
      </c>
      <c r="J504" s="6" t="str">
        <f t="shared" si="71"/>
        <v>Q PFA39 R  APPR 59.81 X 144.00</v>
      </c>
      <c r="K504" s="6">
        <f t="shared" si="72"/>
        <v>1</v>
      </c>
      <c r="L504" s="6">
        <f t="shared" si="73"/>
        <v>10</v>
      </c>
      <c r="M504" s="6">
        <f t="shared" si="74"/>
        <v>1</v>
      </c>
      <c r="N504" s="6" t="str">
        <f t="shared" si="68"/>
        <v>100PFA39-6200</v>
      </c>
      <c r="O504" s="6" t="str">
        <f t="shared" si="69"/>
        <v>SINGING THE CHICAGO BLUES</v>
      </c>
    </row>
    <row r="505" spans="1:15">
      <c r="A505">
        <v>2</v>
      </c>
      <c r="B505" t="s">
        <v>9454</v>
      </c>
      <c r="C505" t="s">
        <v>9425</v>
      </c>
      <c r="D505">
        <v>1</v>
      </c>
      <c r="E505">
        <v>10</v>
      </c>
      <c r="F505">
        <v>1</v>
      </c>
      <c r="H505">
        <f t="shared" si="70"/>
        <v>2</v>
      </c>
      <c r="I505" t="str">
        <f t="shared" si="67"/>
        <v>200IQU95-520</v>
      </c>
      <c r="J505" s="6" t="str">
        <f t="shared" si="71"/>
        <v>Q PFA39 R LONG APPR 60 X 144</v>
      </c>
      <c r="K505" s="6">
        <f t="shared" si="72"/>
        <v>1</v>
      </c>
      <c r="L505" s="6">
        <f t="shared" si="73"/>
        <v>10</v>
      </c>
      <c r="M505" s="6">
        <f t="shared" si="74"/>
        <v>1</v>
      </c>
      <c r="N505" s="6" t="str">
        <f t="shared" si="68"/>
        <v>100PFA39-6200</v>
      </c>
      <c r="O505" s="6" t="str">
        <f t="shared" si="69"/>
        <v>SINGING THE CHICAGO BLUES</v>
      </c>
    </row>
    <row r="506" spans="1:15">
      <c r="A506">
        <v>1</v>
      </c>
      <c r="B506" t="s">
        <v>9151</v>
      </c>
      <c r="C506" t="s">
        <v>9152</v>
      </c>
      <c r="D506">
        <v>1</v>
      </c>
      <c r="E506">
        <v>10</v>
      </c>
      <c r="F506">
        <v>1.1133999999999999</v>
      </c>
      <c r="H506">
        <f t="shared" ref="H506:H568" si="75">A506</f>
        <v>1</v>
      </c>
      <c r="I506" t="str">
        <f t="shared" si="67"/>
        <v>200PFA39-5201</v>
      </c>
      <c r="J506" s="6" t="str">
        <f t="shared" ref="J506:J568" si="76">C506</f>
        <v>SING CHICAGO BLUES 60 X 144</v>
      </c>
      <c r="K506" s="6">
        <f t="shared" ref="K506:K568" si="77">D506</f>
        <v>1</v>
      </c>
      <c r="L506" s="6">
        <f t="shared" ref="L506:L568" si="78">E506</f>
        <v>10</v>
      </c>
      <c r="M506" s="6">
        <f t="shared" ref="M506:M568" si="79">F506</f>
        <v>1.1133999999999999</v>
      </c>
      <c r="N506" s="6" t="str">
        <f t="shared" si="68"/>
        <v>100PFA39-6200</v>
      </c>
      <c r="O506" s="6" t="str">
        <f t="shared" si="69"/>
        <v>SINGING THE CHICAGO BLUES</v>
      </c>
    </row>
    <row r="507" spans="1:15">
      <c r="A507">
        <v>4</v>
      </c>
      <c r="B507" t="s">
        <v>9442</v>
      </c>
      <c r="C507" t="s">
        <v>8712</v>
      </c>
      <c r="D507">
        <v>1</v>
      </c>
      <c r="E507">
        <v>91</v>
      </c>
      <c r="F507">
        <v>1</v>
      </c>
      <c r="H507">
        <f t="shared" si="75"/>
        <v>4</v>
      </c>
      <c r="I507" t="str">
        <f t="shared" si="67"/>
        <v>QUBPFA39PPK2</v>
      </c>
      <c r="J507" s="6" t="str">
        <f t="shared" si="76"/>
        <v>Q PFA39 SING C/BLUES 2 LP</v>
      </c>
      <c r="K507" s="6">
        <f t="shared" si="77"/>
        <v>1</v>
      </c>
      <c r="L507" s="6">
        <f t="shared" si="78"/>
        <v>91</v>
      </c>
      <c r="M507" s="6">
        <f t="shared" si="79"/>
        <v>1</v>
      </c>
      <c r="N507" s="6" t="str">
        <f t="shared" si="68"/>
        <v>100PFA39-6200</v>
      </c>
      <c r="O507" s="6" t="str">
        <f t="shared" si="69"/>
        <v>SINGING THE CHICAGO BLUES</v>
      </c>
    </row>
    <row r="508" spans="1:15">
      <c r="A508">
        <v>3</v>
      </c>
      <c r="B508" t="s">
        <v>9455</v>
      </c>
      <c r="C508" t="s">
        <v>9427</v>
      </c>
      <c r="D508">
        <v>1</v>
      </c>
      <c r="E508">
        <v>10</v>
      </c>
      <c r="F508">
        <v>0.33329999999999999</v>
      </c>
      <c r="H508">
        <f t="shared" si="75"/>
        <v>3</v>
      </c>
      <c r="I508" t="str">
        <f t="shared" si="67"/>
        <v>J75IQU99NQ26</v>
      </c>
      <c r="J508" s="6" t="str">
        <f t="shared" si="76"/>
        <v>Q PFA39 RET FILL LONG 15X144.0</v>
      </c>
      <c r="K508" s="6">
        <f t="shared" si="77"/>
        <v>1</v>
      </c>
      <c r="L508" s="6">
        <f t="shared" si="78"/>
        <v>10</v>
      </c>
      <c r="M508" s="6">
        <f t="shared" si="79"/>
        <v>0.33329999999999999</v>
      </c>
      <c r="N508" s="6" t="str">
        <f t="shared" si="68"/>
        <v>100PFA39-6200</v>
      </c>
      <c r="O508" s="6" t="str">
        <f t="shared" si="69"/>
        <v>SINGING THE CHICAGO BLUES</v>
      </c>
    </row>
    <row r="509" spans="1:15">
      <c r="A509">
        <v>2</v>
      </c>
      <c r="B509" t="s">
        <v>9444</v>
      </c>
      <c r="C509" t="s">
        <v>9401</v>
      </c>
      <c r="D509">
        <v>1</v>
      </c>
      <c r="E509">
        <v>10</v>
      </c>
      <c r="F509">
        <v>1</v>
      </c>
      <c r="H509">
        <f t="shared" si="75"/>
        <v>2</v>
      </c>
      <c r="I509" t="str">
        <f t="shared" si="67"/>
        <v>200IQU99-520</v>
      </c>
      <c r="J509" s="6" t="str">
        <f t="shared" si="76"/>
        <v>Q PFA39 RETURN FILLER 60 X 144</v>
      </c>
      <c r="K509" s="6">
        <f t="shared" si="77"/>
        <v>1</v>
      </c>
      <c r="L509" s="6">
        <f t="shared" si="78"/>
        <v>10</v>
      </c>
      <c r="M509" s="6">
        <f t="shared" si="79"/>
        <v>1</v>
      </c>
      <c r="N509" s="6" t="str">
        <f t="shared" si="68"/>
        <v>100PFA39-6200</v>
      </c>
      <c r="O509" s="6" t="str">
        <f t="shared" si="69"/>
        <v>SINGING THE CHICAGO BLUES</v>
      </c>
    </row>
    <row r="510" spans="1:15">
      <c r="A510">
        <v>1</v>
      </c>
      <c r="B510" t="s">
        <v>9151</v>
      </c>
      <c r="C510" t="s">
        <v>9152</v>
      </c>
      <c r="D510">
        <v>1</v>
      </c>
      <c r="E510">
        <v>10</v>
      </c>
      <c r="F510">
        <v>1.1133999999999999</v>
      </c>
      <c r="H510">
        <f t="shared" si="75"/>
        <v>1</v>
      </c>
      <c r="I510" t="str">
        <f t="shared" si="67"/>
        <v>200PFA39-5201</v>
      </c>
      <c r="J510" s="6" t="str">
        <f t="shared" si="76"/>
        <v>SING CHICAGO BLUES 60 X 144</v>
      </c>
      <c r="K510" s="6">
        <f t="shared" si="77"/>
        <v>1</v>
      </c>
      <c r="L510" s="6">
        <f t="shared" si="78"/>
        <v>10</v>
      </c>
      <c r="M510" s="6">
        <f t="shared" si="79"/>
        <v>1.1133999999999999</v>
      </c>
      <c r="N510" s="6" t="str">
        <f t="shared" si="68"/>
        <v>100PFA39-6200</v>
      </c>
      <c r="O510" s="6" t="str">
        <f t="shared" si="69"/>
        <v>SINGING THE CHICAGO BLUES</v>
      </c>
    </row>
    <row r="511" spans="1:15">
      <c r="A511">
        <v>4</v>
      </c>
      <c r="B511" t="s">
        <v>9442</v>
      </c>
      <c r="C511" t="s">
        <v>8712</v>
      </c>
      <c r="D511">
        <v>1</v>
      </c>
      <c r="E511">
        <v>91</v>
      </c>
      <c r="F511">
        <v>2</v>
      </c>
      <c r="H511">
        <f t="shared" si="75"/>
        <v>4</v>
      </c>
      <c r="I511" t="str">
        <f t="shared" si="67"/>
        <v>QUBPFA39PPK2</v>
      </c>
      <c r="J511" s="6" t="str">
        <f t="shared" si="76"/>
        <v>Q PFA39 SING C/BLUES 2 LP</v>
      </c>
      <c r="K511" s="6">
        <f t="shared" si="77"/>
        <v>1</v>
      </c>
      <c r="L511" s="6">
        <f t="shared" si="78"/>
        <v>91</v>
      </c>
      <c r="M511" s="6">
        <f t="shared" si="79"/>
        <v>2</v>
      </c>
      <c r="N511" s="6" t="str">
        <f t="shared" si="68"/>
        <v>100PFA39-6200</v>
      </c>
      <c r="O511" s="6" t="str">
        <f t="shared" si="69"/>
        <v>SINGING THE CHICAGO BLUES</v>
      </c>
    </row>
    <row r="512" spans="1:15">
      <c r="A512">
        <v>3</v>
      </c>
      <c r="B512" t="s">
        <v>9456</v>
      </c>
      <c r="C512" t="s">
        <v>9431</v>
      </c>
      <c r="D512">
        <v>1</v>
      </c>
      <c r="E512">
        <v>10</v>
      </c>
      <c r="F512">
        <v>1</v>
      </c>
      <c r="H512">
        <f t="shared" si="75"/>
        <v>3</v>
      </c>
      <c r="I512" t="str">
        <f t="shared" si="67"/>
        <v>J75IQU96PQ83</v>
      </c>
      <c r="J512" s="6" t="str">
        <f t="shared" si="76"/>
        <v>Q PFA39 FOUL LINE 41.875 X 144</v>
      </c>
      <c r="K512" s="6">
        <f t="shared" si="77"/>
        <v>1</v>
      </c>
      <c r="L512" s="6">
        <f t="shared" si="78"/>
        <v>10</v>
      </c>
      <c r="M512" s="6">
        <f t="shared" si="79"/>
        <v>1</v>
      </c>
      <c r="N512" s="6" t="str">
        <f t="shared" si="68"/>
        <v>100PFA39-6200</v>
      </c>
      <c r="O512" s="6" t="str">
        <f t="shared" si="69"/>
        <v>SINGING THE CHICAGO BLUES</v>
      </c>
    </row>
    <row r="513" spans="1:15">
      <c r="A513">
        <v>2</v>
      </c>
      <c r="B513" t="s">
        <v>9457</v>
      </c>
      <c r="C513" t="s">
        <v>9433</v>
      </c>
      <c r="D513">
        <v>1</v>
      </c>
      <c r="E513">
        <v>10</v>
      </c>
      <c r="F513">
        <v>1</v>
      </c>
      <c r="H513">
        <f t="shared" si="75"/>
        <v>2</v>
      </c>
      <c r="I513" t="str">
        <f t="shared" si="67"/>
        <v>200IQU96-120</v>
      </c>
      <c r="J513" s="6" t="str">
        <f t="shared" si="76"/>
        <v>Q PFA39 FOUL LINE 43 X 145</v>
      </c>
      <c r="K513" s="6">
        <f t="shared" si="77"/>
        <v>1</v>
      </c>
      <c r="L513" s="6">
        <f t="shared" si="78"/>
        <v>10</v>
      </c>
      <c r="M513" s="6">
        <f t="shared" si="79"/>
        <v>1</v>
      </c>
      <c r="N513" s="6" t="str">
        <f t="shared" si="68"/>
        <v>100PFA39-6200</v>
      </c>
      <c r="O513" s="6" t="str">
        <f t="shared" si="69"/>
        <v>SINGING THE CHICAGO BLUES</v>
      </c>
    </row>
    <row r="514" spans="1:15">
      <c r="A514">
        <v>1</v>
      </c>
      <c r="B514" t="s">
        <v>9181</v>
      </c>
      <c r="C514" t="s">
        <v>9182</v>
      </c>
      <c r="D514">
        <v>1</v>
      </c>
      <c r="E514">
        <v>10</v>
      </c>
      <c r="F514">
        <v>1.1133999999999999</v>
      </c>
      <c r="H514">
        <f t="shared" si="75"/>
        <v>1</v>
      </c>
      <c r="I514" t="str">
        <f t="shared" si="67"/>
        <v>200PFA39-12L1</v>
      </c>
      <c r="J514" s="6" t="str">
        <f t="shared" si="76"/>
        <v>SING CHICAGO BLUES (L) 43X145</v>
      </c>
      <c r="K514" s="6">
        <f t="shared" si="77"/>
        <v>1</v>
      </c>
      <c r="L514" s="6">
        <f t="shared" si="78"/>
        <v>10</v>
      </c>
      <c r="M514" s="6">
        <f t="shared" si="79"/>
        <v>1.1133999999999999</v>
      </c>
      <c r="N514" s="6" t="str">
        <f t="shared" si="68"/>
        <v>100PFA39-6200</v>
      </c>
      <c r="O514" s="6" t="str">
        <f t="shared" si="69"/>
        <v>SINGING THE CHICAGO BLUES</v>
      </c>
    </row>
    <row r="515" spans="1:15">
      <c r="A515">
        <v>4</v>
      </c>
      <c r="B515" t="s">
        <v>9442</v>
      </c>
      <c r="C515" t="s">
        <v>8712</v>
      </c>
      <c r="D515">
        <v>1</v>
      </c>
      <c r="E515">
        <v>91</v>
      </c>
      <c r="F515">
        <v>2</v>
      </c>
      <c r="H515">
        <f t="shared" si="75"/>
        <v>4</v>
      </c>
      <c r="I515" t="str">
        <f t="shared" si="67"/>
        <v>QUBPFA39PPK2</v>
      </c>
      <c r="J515" s="6" t="str">
        <f t="shared" si="76"/>
        <v>Q PFA39 SING C/BLUES 2 LP</v>
      </c>
      <c r="K515" s="6">
        <f t="shared" si="77"/>
        <v>1</v>
      </c>
      <c r="L515" s="6">
        <f t="shared" si="78"/>
        <v>91</v>
      </c>
      <c r="M515" s="6">
        <f t="shared" si="79"/>
        <v>2</v>
      </c>
      <c r="N515" s="6" t="str">
        <f t="shared" si="68"/>
        <v>100PFA39-6200</v>
      </c>
      <c r="O515" s="6" t="str">
        <f t="shared" si="69"/>
        <v>SINGING THE CHICAGO BLUES</v>
      </c>
    </row>
    <row r="516" spans="1:15">
      <c r="A516">
        <v>3</v>
      </c>
      <c r="B516" t="s">
        <v>9458</v>
      </c>
      <c r="C516" t="s">
        <v>9459</v>
      </c>
      <c r="D516">
        <v>1</v>
      </c>
      <c r="E516">
        <v>10</v>
      </c>
      <c r="F516">
        <v>1</v>
      </c>
      <c r="H516">
        <f t="shared" si="75"/>
        <v>3</v>
      </c>
      <c r="I516" t="str">
        <f t="shared" si="67"/>
        <v>J75IQU97PQ25</v>
      </c>
      <c r="J516" s="6" t="str">
        <f t="shared" si="76"/>
        <v>Q PFA39 ARROW 41.875 X 144</v>
      </c>
      <c r="K516" s="6">
        <f t="shared" si="77"/>
        <v>1</v>
      </c>
      <c r="L516" s="6">
        <f t="shared" si="78"/>
        <v>10</v>
      </c>
      <c r="M516" s="6">
        <f t="shared" si="79"/>
        <v>1</v>
      </c>
      <c r="N516" s="6" t="str">
        <f t="shared" si="68"/>
        <v>100PFA39-6200</v>
      </c>
      <c r="O516" s="6" t="str">
        <f t="shared" si="69"/>
        <v>SINGING THE CHICAGO BLUES</v>
      </c>
    </row>
    <row r="517" spans="1:15">
      <c r="A517">
        <v>2</v>
      </c>
      <c r="B517" t="s">
        <v>9460</v>
      </c>
      <c r="C517" t="s">
        <v>9437</v>
      </c>
      <c r="D517">
        <v>1</v>
      </c>
      <c r="E517">
        <v>10</v>
      </c>
      <c r="F517">
        <v>1</v>
      </c>
      <c r="H517">
        <f t="shared" si="75"/>
        <v>2</v>
      </c>
      <c r="I517" t="str">
        <f t="shared" si="67"/>
        <v>200IQU97-120</v>
      </c>
      <c r="J517" s="6" t="str">
        <f t="shared" si="76"/>
        <v>Q PFA39 ARROW  43 X 145</v>
      </c>
      <c r="K517" s="6">
        <f t="shared" si="77"/>
        <v>1</v>
      </c>
      <c r="L517" s="6">
        <f t="shared" si="78"/>
        <v>10</v>
      </c>
      <c r="M517" s="6">
        <f t="shared" si="79"/>
        <v>1</v>
      </c>
      <c r="N517" s="6" t="str">
        <f t="shared" si="68"/>
        <v>100PFA39-6200</v>
      </c>
      <c r="O517" s="6" t="str">
        <f t="shared" si="69"/>
        <v>SINGING THE CHICAGO BLUES</v>
      </c>
    </row>
    <row r="518" spans="1:15">
      <c r="A518">
        <v>1</v>
      </c>
      <c r="B518" t="s">
        <v>9181</v>
      </c>
      <c r="C518" t="s">
        <v>9182</v>
      </c>
      <c r="D518">
        <v>1</v>
      </c>
      <c r="E518">
        <v>10</v>
      </c>
      <c r="F518">
        <v>1.1133999999999999</v>
      </c>
      <c r="H518">
        <f t="shared" si="75"/>
        <v>1</v>
      </c>
      <c r="I518" t="str">
        <f t="shared" si="67"/>
        <v>200PFA39-12L1</v>
      </c>
      <c r="J518" s="6" t="str">
        <f t="shared" si="76"/>
        <v>SING CHICAGO BLUES (L) 43X145</v>
      </c>
      <c r="K518" s="6">
        <f t="shared" si="77"/>
        <v>1</v>
      </c>
      <c r="L518" s="6">
        <f t="shared" si="78"/>
        <v>10</v>
      </c>
      <c r="M518" s="6">
        <f t="shared" si="79"/>
        <v>1.1133999999999999</v>
      </c>
      <c r="N518" s="6" t="str">
        <f t="shared" si="68"/>
        <v>100PFA39-6200</v>
      </c>
      <c r="O518" s="6" t="str">
        <f t="shared" si="69"/>
        <v>SINGING THE CHICAGO BLUES</v>
      </c>
    </row>
    <row r="519" spans="1:15">
      <c r="A519">
        <v>4</v>
      </c>
      <c r="B519" t="s">
        <v>9442</v>
      </c>
      <c r="C519" t="s">
        <v>8712</v>
      </c>
      <c r="D519">
        <v>1</v>
      </c>
      <c r="E519">
        <v>91</v>
      </c>
      <c r="F519">
        <v>6</v>
      </c>
      <c r="H519">
        <f t="shared" si="75"/>
        <v>4</v>
      </c>
      <c r="I519" t="str">
        <f t="shared" ref="I519:I582" si="80">IFERROR(IF(SEARCH(" &lt;-",B519,1),LEFT(B519,SEARCH(" ",B519,1)-1),""),LEFT(B519,SEARCH("View",B519,1)-1))</f>
        <v>QUBPFA39PPK2</v>
      </c>
      <c r="J519" s="6" t="str">
        <f t="shared" si="76"/>
        <v>Q PFA39 SING C/BLUES 2 LP</v>
      </c>
      <c r="K519" s="6">
        <f t="shared" si="77"/>
        <v>1</v>
      </c>
      <c r="L519" s="6">
        <f t="shared" si="78"/>
        <v>91</v>
      </c>
      <c r="M519" s="6">
        <f t="shared" si="79"/>
        <v>6</v>
      </c>
      <c r="N519" s="6" t="str">
        <f t="shared" ref="N519:N582" si="81">TRIM($B$1)</f>
        <v>100PFA39-6200</v>
      </c>
      <c r="O519" s="6" t="str">
        <f t="shared" ref="O519:O582" si="82">TRIM($C$1)</f>
        <v>SINGING THE CHICAGO BLUES</v>
      </c>
    </row>
    <row r="520" spans="1:15">
      <c r="A520">
        <v>3</v>
      </c>
      <c r="B520" t="s">
        <v>9461</v>
      </c>
      <c r="C520" t="s">
        <v>9439</v>
      </c>
      <c r="D520">
        <v>1</v>
      </c>
      <c r="E520">
        <v>10</v>
      </c>
      <c r="F520">
        <v>1</v>
      </c>
      <c r="H520">
        <f t="shared" si="75"/>
        <v>3</v>
      </c>
      <c r="I520" t="str">
        <f t="shared" si="80"/>
        <v>J75IQU98PQ25</v>
      </c>
      <c r="J520" s="6" t="str">
        <f t="shared" si="76"/>
        <v>Q PFA39 COMMON  41.875 X 144</v>
      </c>
      <c r="K520" s="6">
        <f t="shared" si="77"/>
        <v>1</v>
      </c>
      <c r="L520" s="6">
        <f t="shared" si="78"/>
        <v>10</v>
      </c>
      <c r="M520" s="6">
        <f t="shared" si="79"/>
        <v>1</v>
      </c>
      <c r="N520" s="6" t="str">
        <f t="shared" si="81"/>
        <v>100PFA39-6200</v>
      </c>
      <c r="O520" s="6" t="str">
        <f t="shared" si="82"/>
        <v>SINGING THE CHICAGO BLUES</v>
      </c>
    </row>
    <row r="521" spans="1:15">
      <c r="A521">
        <v>2</v>
      </c>
      <c r="B521" t="s">
        <v>9462</v>
      </c>
      <c r="C521" t="s">
        <v>9441</v>
      </c>
      <c r="D521">
        <v>1</v>
      </c>
      <c r="E521">
        <v>10</v>
      </c>
      <c r="F521">
        <v>1</v>
      </c>
      <c r="H521">
        <f t="shared" si="75"/>
        <v>2</v>
      </c>
      <c r="I521" t="str">
        <f t="shared" si="80"/>
        <v>200IQU98-120</v>
      </c>
      <c r="J521" s="6" t="str">
        <f t="shared" si="76"/>
        <v>Q PFA39 COMMON  43 X 145</v>
      </c>
      <c r="K521" s="6">
        <f t="shared" si="77"/>
        <v>1</v>
      </c>
      <c r="L521" s="6">
        <f t="shared" si="78"/>
        <v>10</v>
      </c>
      <c r="M521" s="6">
        <f t="shared" si="79"/>
        <v>1</v>
      </c>
      <c r="N521" s="6" t="str">
        <f t="shared" si="81"/>
        <v>100PFA39-6200</v>
      </c>
      <c r="O521" s="6" t="str">
        <f t="shared" si="82"/>
        <v>SINGING THE CHICAGO BLUES</v>
      </c>
    </row>
    <row r="522" spans="1:15">
      <c r="A522">
        <v>1</v>
      </c>
      <c r="B522" t="s">
        <v>9181</v>
      </c>
      <c r="C522" t="s">
        <v>9182</v>
      </c>
      <c r="D522">
        <v>1</v>
      </c>
      <c r="E522">
        <v>10</v>
      </c>
      <c r="F522">
        <v>1.1133999999999999</v>
      </c>
      <c r="H522">
        <f t="shared" si="75"/>
        <v>1</v>
      </c>
      <c r="I522" t="str">
        <f t="shared" si="80"/>
        <v>200PFA39-12L1</v>
      </c>
      <c r="J522" s="6" t="str">
        <f t="shared" si="76"/>
        <v>SING CHICAGO BLUES (L) 43X145</v>
      </c>
      <c r="K522" s="6">
        <f t="shared" si="77"/>
        <v>1</v>
      </c>
      <c r="L522" s="6">
        <f t="shared" si="78"/>
        <v>10</v>
      </c>
      <c r="M522" s="6">
        <f t="shared" si="79"/>
        <v>1.1133999999999999</v>
      </c>
      <c r="N522" s="6" t="str">
        <f t="shared" si="81"/>
        <v>100PFA39-6200</v>
      </c>
      <c r="O522" s="6" t="str">
        <f t="shared" si="82"/>
        <v>SINGING THE CHICAGO BLUES</v>
      </c>
    </row>
    <row r="523" spans="1:15">
      <c r="A523">
        <v>4</v>
      </c>
      <c r="B523" t="s">
        <v>9463</v>
      </c>
      <c r="C523" t="s">
        <v>9464</v>
      </c>
      <c r="D523">
        <v>1</v>
      </c>
      <c r="E523">
        <v>91</v>
      </c>
      <c r="F523">
        <v>1</v>
      </c>
      <c r="H523">
        <f t="shared" si="75"/>
        <v>4</v>
      </c>
      <c r="I523" t="str">
        <f t="shared" si="80"/>
        <v>QUBPFA39PPK3</v>
      </c>
      <c r="J523" s="6" t="str">
        <f t="shared" si="76"/>
        <v>Q PFA39 SING C/BLUES LEFT LP</v>
      </c>
      <c r="K523" s="6">
        <f t="shared" si="77"/>
        <v>1</v>
      </c>
      <c r="L523" s="6">
        <f t="shared" si="78"/>
        <v>91</v>
      </c>
      <c r="M523" s="6">
        <f t="shared" si="79"/>
        <v>1</v>
      </c>
      <c r="N523" s="6" t="str">
        <f t="shared" si="81"/>
        <v>100PFA39-6200</v>
      </c>
      <c r="O523" s="6" t="str">
        <f t="shared" si="82"/>
        <v>SINGING THE CHICAGO BLUES</v>
      </c>
    </row>
    <row r="524" spans="1:15">
      <c r="A524">
        <v>3</v>
      </c>
      <c r="B524" t="s">
        <v>9443</v>
      </c>
      <c r="C524" t="s">
        <v>9429</v>
      </c>
      <c r="D524">
        <v>1</v>
      </c>
      <c r="E524">
        <v>10</v>
      </c>
      <c r="F524">
        <v>0.16669999999999999</v>
      </c>
      <c r="H524">
        <f t="shared" si="75"/>
        <v>3</v>
      </c>
      <c r="I524" t="str">
        <f t="shared" si="80"/>
        <v>J75IQU99NQ27</v>
      </c>
      <c r="J524" s="6" t="str">
        <f t="shared" si="76"/>
        <v>Q PFA39 RET FILL SHORT 15 X 61</v>
      </c>
      <c r="K524" s="6">
        <f t="shared" si="77"/>
        <v>1</v>
      </c>
      <c r="L524" s="6">
        <f t="shared" si="78"/>
        <v>10</v>
      </c>
      <c r="M524" s="6">
        <f t="shared" si="79"/>
        <v>0.16669999999999999</v>
      </c>
      <c r="N524" s="6" t="str">
        <f t="shared" si="81"/>
        <v>100PFA39-6200</v>
      </c>
      <c r="O524" s="6" t="str">
        <f t="shared" si="82"/>
        <v>SINGING THE CHICAGO BLUES</v>
      </c>
    </row>
    <row r="525" spans="1:15">
      <c r="A525">
        <v>2</v>
      </c>
      <c r="B525" t="s">
        <v>9444</v>
      </c>
      <c r="C525" t="s">
        <v>9401</v>
      </c>
      <c r="D525">
        <v>1</v>
      </c>
      <c r="E525">
        <v>10</v>
      </c>
      <c r="F525">
        <v>1</v>
      </c>
      <c r="H525">
        <f t="shared" si="75"/>
        <v>2</v>
      </c>
      <c r="I525" t="str">
        <f t="shared" si="80"/>
        <v>200IQU99-520</v>
      </c>
      <c r="J525" s="6" t="str">
        <f t="shared" si="76"/>
        <v>Q PFA39 RETURN FILLER 60 X 144</v>
      </c>
      <c r="K525" s="6">
        <f t="shared" si="77"/>
        <v>1</v>
      </c>
      <c r="L525" s="6">
        <f t="shared" si="78"/>
        <v>10</v>
      </c>
      <c r="M525" s="6">
        <f t="shared" si="79"/>
        <v>1</v>
      </c>
      <c r="N525" s="6" t="str">
        <f t="shared" si="81"/>
        <v>100PFA39-6200</v>
      </c>
      <c r="O525" s="6" t="str">
        <f t="shared" si="82"/>
        <v>SINGING THE CHICAGO BLUES</v>
      </c>
    </row>
    <row r="526" spans="1:15">
      <c r="A526">
        <v>1</v>
      </c>
      <c r="B526" t="s">
        <v>9151</v>
      </c>
      <c r="C526" t="s">
        <v>9152</v>
      </c>
      <c r="D526">
        <v>1</v>
      </c>
      <c r="E526">
        <v>10</v>
      </c>
      <c r="F526">
        <v>1.1133999999999999</v>
      </c>
      <c r="H526">
        <f t="shared" si="75"/>
        <v>1</v>
      </c>
      <c r="I526" t="str">
        <f t="shared" si="80"/>
        <v>200PFA39-5201</v>
      </c>
      <c r="J526" s="6" t="str">
        <f t="shared" si="76"/>
        <v>SING CHICAGO BLUES 60 X 144</v>
      </c>
      <c r="K526" s="6">
        <f t="shared" si="77"/>
        <v>1</v>
      </c>
      <c r="L526" s="6">
        <f t="shared" si="78"/>
        <v>10</v>
      </c>
      <c r="M526" s="6">
        <f t="shared" si="79"/>
        <v>1.1133999999999999</v>
      </c>
      <c r="N526" s="6" t="str">
        <f t="shared" si="81"/>
        <v>100PFA39-6200</v>
      </c>
      <c r="O526" s="6" t="str">
        <f t="shared" si="82"/>
        <v>SINGING THE CHICAGO BLUES</v>
      </c>
    </row>
    <row r="527" spans="1:15">
      <c r="A527">
        <v>4</v>
      </c>
      <c r="B527" t="s">
        <v>9463</v>
      </c>
      <c r="C527" t="s">
        <v>9464</v>
      </c>
      <c r="D527">
        <v>1</v>
      </c>
      <c r="E527">
        <v>91</v>
      </c>
      <c r="F527">
        <v>1</v>
      </c>
      <c r="H527">
        <f t="shared" si="75"/>
        <v>4</v>
      </c>
      <c r="I527" t="str">
        <f t="shared" si="80"/>
        <v>QUBPFA39PPK3</v>
      </c>
      <c r="J527" s="6" t="str">
        <f t="shared" si="76"/>
        <v>Q PFA39 SING C/BLUES LEFT LP</v>
      </c>
      <c r="K527" s="6">
        <f t="shared" si="77"/>
        <v>1</v>
      </c>
      <c r="L527" s="6">
        <f t="shared" si="78"/>
        <v>91</v>
      </c>
      <c r="M527" s="6">
        <f t="shared" si="79"/>
        <v>1</v>
      </c>
      <c r="N527" s="6" t="str">
        <f t="shared" si="81"/>
        <v>100PFA39-6200</v>
      </c>
      <c r="O527" s="6" t="str">
        <f t="shared" si="82"/>
        <v>SINGING THE CHICAGO BLUES</v>
      </c>
    </row>
    <row r="528" spans="1:15">
      <c r="A528">
        <v>3</v>
      </c>
      <c r="B528" t="s">
        <v>9445</v>
      </c>
      <c r="C528" t="s">
        <v>9446</v>
      </c>
      <c r="D528">
        <v>1</v>
      </c>
      <c r="E528">
        <v>10</v>
      </c>
      <c r="F528">
        <v>0.5</v>
      </c>
      <c r="H528">
        <f t="shared" si="75"/>
        <v>3</v>
      </c>
      <c r="I528" t="str">
        <f t="shared" si="80"/>
        <v>J75IQU92NQ79</v>
      </c>
      <c r="J528" s="6" t="str">
        <f t="shared" si="76"/>
        <v>Q PFA39 L S\APP 59.81 X 67.25</v>
      </c>
      <c r="K528" s="6">
        <f t="shared" si="77"/>
        <v>1</v>
      </c>
      <c r="L528" s="6">
        <f t="shared" si="78"/>
        <v>10</v>
      </c>
      <c r="M528" s="6">
        <f t="shared" si="79"/>
        <v>0.5</v>
      </c>
      <c r="N528" s="6" t="str">
        <f t="shared" si="81"/>
        <v>100PFA39-6200</v>
      </c>
      <c r="O528" s="6" t="str">
        <f t="shared" si="82"/>
        <v>SINGING THE CHICAGO BLUES</v>
      </c>
    </row>
    <row r="529" spans="1:15">
      <c r="A529">
        <v>2</v>
      </c>
      <c r="B529" t="s">
        <v>9447</v>
      </c>
      <c r="C529" t="s">
        <v>9413</v>
      </c>
      <c r="D529">
        <v>1</v>
      </c>
      <c r="E529">
        <v>10</v>
      </c>
      <c r="F529">
        <v>1</v>
      </c>
      <c r="H529">
        <f t="shared" si="75"/>
        <v>2</v>
      </c>
      <c r="I529" t="str">
        <f t="shared" si="80"/>
        <v>200IQU92-520</v>
      </c>
      <c r="J529" s="6" t="str">
        <f t="shared" si="76"/>
        <v>Q PFA39 L SHORT APPR 60 X 144</v>
      </c>
      <c r="K529" s="6">
        <f t="shared" si="77"/>
        <v>1</v>
      </c>
      <c r="L529" s="6">
        <f t="shared" si="78"/>
        <v>10</v>
      </c>
      <c r="M529" s="6">
        <f t="shared" si="79"/>
        <v>1</v>
      </c>
      <c r="N529" s="6" t="str">
        <f t="shared" si="81"/>
        <v>100PFA39-6200</v>
      </c>
      <c r="O529" s="6" t="str">
        <f t="shared" si="82"/>
        <v>SINGING THE CHICAGO BLUES</v>
      </c>
    </row>
    <row r="530" spans="1:15">
      <c r="A530">
        <v>1</v>
      </c>
      <c r="B530" t="s">
        <v>9151</v>
      </c>
      <c r="C530" t="s">
        <v>9152</v>
      </c>
      <c r="D530">
        <v>1</v>
      </c>
      <c r="E530">
        <v>10</v>
      </c>
      <c r="F530">
        <v>1.1133999999999999</v>
      </c>
      <c r="H530">
        <f t="shared" si="75"/>
        <v>1</v>
      </c>
      <c r="I530" t="str">
        <f t="shared" si="80"/>
        <v>200PFA39-5201</v>
      </c>
      <c r="J530" s="6" t="str">
        <f t="shared" si="76"/>
        <v>SING CHICAGO BLUES 60 X 144</v>
      </c>
      <c r="K530" s="6">
        <f t="shared" si="77"/>
        <v>1</v>
      </c>
      <c r="L530" s="6">
        <f t="shared" si="78"/>
        <v>10</v>
      </c>
      <c r="M530" s="6">
        <f t="shared" si="79"/>
        <v>1.1133999999999999</v>
      </c>
      <c r="N530" s="6" t="str">
        <f t="shared" si="81"/>
        <v>100PFA39-6200</v>
      </c>
      <c r="O530" s="6" t="str">
        <f t="shared" si="82"/>
        <v>SINGING THE CHICAGO BLUES</v>
      </c>
    </row>
    <row r="531" spans="1:15">
      <c r="A531">
        <v>4</v>
      </c>
      <c r="B531" t="s">
        <v>9463</v>
      </c>
      <c r="C531" t="s">
        <v>9464</v>
      </c>
      <c r="D531">
        <v>1</v>
      </c>
      <c r="E531">
        <v>91</v>
      </c>
      <c r="F531">
        <v>1</v>
      </c>
      <c r="H531">
        <f t="shared" si="75"/>
        <v>4</v>
      </c>
      <c r="I531" t="str">
        <f t="shared" si="80"/>
        <v>QUBPFA39PPK3</v>
      </c>
      <c r="J531" s="6" t="str">
        <f t="shared" si="76"/>
        <v>Q PFA39 SING C/BLUES LEFT LP</v>
      </c>
      <c r="K531" s="6">
        <f t="shared" si="77"/>
        <v>1</v>
      </c>
      <c r="L531" s="6">
        <f t="shared" si="78"/>
        <v>91</v>
      </c>
      <c r="M531" s="6">
        <f t="shared" si="79"/>
        <v>1</v>
      </c>
      <c r="N531" s="6" t="str">
        <f t="shared" si="81"/>
        <v>100PFA39-6200</v>
      </c>
      <c r="O531" s="6" t="str">
        <f t="shared" si="82"/>
        <v>SINGING THE CHICAGO BLUES</v>
      </c>
    </row>
    <row r="532" spans="1:15">
      <c r="A532">
        <v>3</v>
      </c>
      <c r="B532" t="s">
        <v>9451</v>
      </c>
      <c r="C532" t="s">
        <v>9419</v>
      </c>
      <c r="D532">
        <v>1</v>
      </c>
      <c r="E532">
        <v>10</v>
      </c>
      <c r="F532">
        <v>1</v>
      </c>
      <c r="H532">
        <f t="shared" si="75"/>
        <v>3</v>
      </c>
      <c r="I532" t="str">
        <f t="shared" si="80"/>
        <v>J75IQU94NQ81</v>
      </c>
      <c r="J532" s="6" t="str">
        <f t="shared" si="76"/>
        <v>Q PFA39 L  APPR 59.81 X 144.00</v>
      </c>
      <c r="K532" s="6">
        <f t="shared" si="77"/>
        <v>1</v>
      </c>
      <c r="L532" s="6">
        <f t="shared" si="78"/>
        <v>10</v>
      </c>
      <c r="M532" s="6">
        <f t="shared" si="79"/>
        <v>1</v>
      </c>
      <c r="N532" s="6" t="str">
        <f t="shared" si="81"/>
        <v>100PFA39-6200</v>
      </c>
      <c r="O532" s="6" t="str">
        <f t="shared" si="82"/>
        <v>SINGING THE CHICAGO BLUES</v>
      </c>
    </row>
    <row r="533" spans="1:15">
      <c r="A533">
        <v>2</v>
      </c>
      <c r="B533" t="s">
        <v>9452</v>
      </c>
      <c r="C533" t="s">
        <v>9421</v>
      </c>
      <c r="D533">
        <v>1</v>
      </c>
      <c r="E533">
        <v>10</v>
      </c>
      <c r="F533">
        <v>1</v>
      </c>
      <c r="H533">
        <f t="shared" si="75"/>
        <v>2</v>
      </c>
      <c r="I533" t="str">
        <f t="shared" si="80"/>
        <v>200IQU94-520</v>
      </c>
      <c r="J533" s="6" t="str">
        <f t="shared" si="76"/>
        <v>Q PFA39 L LONG APPR 60 X 144</v>
      </c>
      <c r="K533" s="6">
        <f t="shared" si="77"/>
        <v>1</v>
      </c>
      <c r="L533" s="6">
        <f t="shared" si="78"/>
        <v>10</v>
      </c>
      <c r="M533" s="6">
        <f t="shared" si="79"/>
        <v>1</v>
      </c>
      <c r="N533" s="6" t="str">
        <f t="shared" si="81"/>
        <v>100PFA39-6200</v>
      </c>
      <c r="O533" s="6" t="str">
        <f t="shared" si="82"/>
        <v>SINGING THE CHICAGO BLUES</v>
      </c>
    </row>
    <row r="534" spans="1:15">
      <c r="A534">
        <v>1</v>
      </c>
      <c r="B534" t="s">
        <v>9151</v>
      </c>
      <c r="C534" t="s">
        <v>9152</v>
      </c>
      <c r="D534">
        <v>1</v>
      </c>
      <c r="E534">
        <v>10</v>
      </c>
      <c r="F534">
        <v>1.1133999999999999</v>
      </c>
      <c r="H534">
        <f t="shared" si="75"/>
        <v>1</v>
      </c>
      <c r="I534" t="str">
        <f t="shared" si="80"/>
        <v>200PFA39-5201</v>
      </c>
      <c r="J534" s="6" t="str">
        <f t="shared" si="76"/>
        <v>SING CHICAGO BLUES 60 X 144</v>
      </c>
      <c r="K534" s="6">
        <f t="shared" si="77"/>
        <v>1</v>
      </c>
      <c r="L534" s="6">
        <f t="shared" si="78"/>
        <v>10</v>
      </c>
      <c r="M534" s="6">
        <f t="shared" si="79"/>
        <v>1.1133999999999999</v>
      </c>
      <c r="N534" s="6" t="str">
        <f t="shared" si="81"/>
        <v>100PFA39-6200</v>
      </c>
      <c r="O534" s="6" t="str">
        <f t="shared" si="82"/>
        <v>SINGING THE CHICAGO BLUES</v>
      </c>
    </row>
    <row r="535" spans="1:15">
      <c r="A535">
        <v>4</v>
      </c>
      <c r="B535" t="s">
        <v>9463</v>
      </c>
      <c r="C535" t="s">
        <v>9464</v>
      </c>
      <c r="D535">
        <v>1</v>
      </c>
      <c r="E535">
        <v>91</v>
      </c>
      <c r="F535">
        <v>1</v>
      </c>
      <c r="H535">
        <f t="shared" si="75"/>
        <v>4</v>
      </c>
      <c r="I535" t="str">
        <f t="shared" si="80"/>
        <v>QUBPFA39PPK3</v>
      </c>
      <c r="J535" s="6" t="str">
        <f t="shared" si="76"/>
        <v>Q PFA39 SING C/BLUES LEFT LP</v>
      </c>
      <c r="K535" s="6">
        <f t="shared" si="77"/>
        <v>1</v>
      </c>
      <c r="L535" s="6">
        <f t="shared" si="78"/>
        <v>91</v>
      </c>
      <c r="M535" s="6">
        <f t="shared" si="79"/>
        <v>1</v>
      </c>
      <c r="N535" s="6" t="str">
        <f t="shared" si="81"/>
        <v>100PFA39-6200</v>
      </c>
      <c r="O535" s="6" t="str">
        <f t="shared" si="82"/>
        <v>SINGING THE CHICAGO BLUES</v>
      </c>
    </row>
    <row r="536" spans="1:15">
      <c r="A536">
        <v>3</v>
      </c>
      <c r="B536" t="s">
        <v>9455</v>
      </c>
      <c r="C536" t="s">
        <v>9427</v>
      </c>
      <c r="D536">
        <v>1</v>
      </c>
      <c r="E536">
        <v>10</v>
      </c>
      <c r="F536">
        <v>0.33329999999999999</v>
      </c>
      <c r="H536">
        <f t="shared" si="75"/>
        <v>3</v>
      </c>
      <c r="I536" t="str">
        <f t="shared" si="80"/>
        <v>J75IQU99NQ26</v>
      </c>
      <c r="J536" s="6" t="str">
        <f t="shared" si="76"/>
        <v>Q PFA39 RET FILL LONG 15X144.0</v>
      </c>
      <c r="K536" s="6">
        <f t="shared" si="77"/>
        <v>1</v>
      </c>
      <c r="L536" s="6">
        <f t="shared" si="78"/>
        <v>10</v>
      </c>
      <c r="M536" s="6">
        <f t="shared" si="79"/>
        <v>0.33329999999999999</v>
      </c>
      <c r="N536" s="6" t="str">
        <f t="shared" si="81"/>
        <v>100PFA39-6200</v>
      </c>
      <c r="O536" s="6" t="str">
        <f t="shared" si="82"/>
        <v>SINGING THE CHICAGO BLUES</v>
      </c>
    </row>
    <row r="537" spans="1:15">
      <c r="A537">
        <v>2</v>
      </c>
      <c r="B537" t="s">
        <v>9444</v>
      </c>
      <c r="C537" t="s">
        <v>9401</v>
      </c>
      <c r="D537">
        <v>1</v>
      </c>
      <c r="E537">
        <v>10</v>
      </c>
      <c r="F537">
        <v>1</v>
      </c>
      <c r="H537">
        <f t="shared" si="75"/>
        <v>2</v>
      </c>
      <c r="I537" t="str">
        <f t="shared" si="80"/>
        <v>200IQU99-520</v>
      </c>
      <c r="J537" s="6" t="str">
        <f t="shared" si="76"/>
        <v>Q PFA39 RETURN FILLER 60 X 144</v>
      </c>
      <c r="K537" s="6">
        <f t="shared" si="77"/>
        <v>1</v>
      </c>
      <c r="L537" s="6">
        <f t="shared" si="78"/>
        <v>10</v>
      </c>
      <c r="M537" s="6">
        <f t="shared" si="79"/>
        <v>1</v>
      </c>
      <c r="N537" s="6" t="str">
        <f t="shared" si="81"/>
        <v>100PFA39-6200</v>
      </c>
      <c r="O537" s="6" t="str">
        <f t="shared" si="82"/>
        <v>SINGING THE CHICAGO BLUES</v>
      </c>
    </row>
    <row r="538" spans="1:15">
      <c r="A538">
        <v>1</v>
      </c>
      <c r="B538" t="s">
        <v>9151</v>
      </c>
      <c r="C538" t="s">
        <v>9152</v>
      </c>
      <c r="D538">
        <v>1</v>
      </c>
      <c r="E538">
        <v>10</v>
      </c>
      <c r="F538">
        <v>1.1133999999999999</v>
      </c>
      <c r="H538">
        <f t="shared" si="75"/>
        <v>1</v>
      </c>
      <c r="I538" t="str">
        <f t="shared" si="80"/>
        <v>200PFA39-5201</v>
      </c>
      <c r="J538" s="6" t="str">
        <f t="shared" si="76"/>
        <v>SING CHICAGO BLUES 60 X 144</v>
      </c>
      <c r="K538" s="6">
        <f t="shared" si="77"/>
        <v>1</v>
      </c>
      <c r="L538" s="6">
        <f t="shared" si="78"/>
        <v>10</v>
      </c>
      <c r="M538" s="6">
        <f t="shared" si="79"/>
        <v>1.1133999999999999</v>
      </c>
      <c r="N538" s="6" t="str">
        <f t="shared" si="81"/>
        <v>100PFA39-6200</v>
      </c>
      <c r="O538" s="6" t="str">
        <f t="shared" si="82"/>
        <v>SINGING THE CHICAGO BLUES</v>
      </c>
    </row>
    <row r="539" spans="1:15">
      <c r="A539">
        <v>4</v>
      </c>
      <c r="B539" t="s">
        <v>9463</v>
      </c>
      <c r="C539" t="s">
        <v>9464</v>
      </c>
      <c r="D539">
        <v>1</v>
      </c>
      <c r="E539">
        <v>91</v>
      </c>
      <c r="F539">
        <v>1</v>
      </c>
      <c r="H539">
        <f t="shared" si="75"/>
        <v>4</v>
      </c>
      <c r="I539" t="str">
        <f t="shared" si="80"/>
        <v>QUBPFA39PPK3</v>
      </c>
      <c r="J539" s="6" t="str">
        <f t="shared" si="76"/>
        <v>Q PFA39 SING C/BLUES LEFT LP</v>
      </c>
      <c r="K539" s="6">
        <f t="shared" si="77"/>
        <v>1</v>
      </c>
      <c r="L539" s="6">
        <f t="shared" si="78"/>
        <v>91</v>
      </c>
      <c r="M539" s="6">
        <f t="shared" si="79"/>
        <v>1</v>
      </c>
      <c r="N539" s="6" t="str">
        <f t="shared" si="81"/>
        <v>100PFA39-6200</v>
      </c>
      <c r="O539" s="6" t="str">
        <f t="shared" si="82"/>
        <v>SINGING THE CHICAGO BLUES</v>
      </c>
    </row>
    <row r="540" spans="1:15">
      <c r="A540">
        <v>3</v>
      </c>
      <c r="B540" t="s">
        <v>9456</v>
      </c>
      <c r="C540" t="s">
        <v>9431</v>
      </c>
      <c r="D540">
        <v>1</v>
      </c>
      <c r="E540">
        <v>10</v>
      </c>
      <c r="F540">
        <v>1</v>
      </c>
      <c r="H540">
        <f t="shared" si="75"/>
        <v>3</v>
      </c>
      <c r="I540" t="str">
        <f t="shared" si="80"/>
        <v>J75IQU96PQ83</v>
      </c>
      <c r="J540" s="6" t="str">
        <f t="shared" si="76"/>
        <v>Q PFA39 FOUL LINE 41.875 X 144</v>
      </c>
      <c r="K540" s="6">
        <f t="shared" si="77"/>
        <v>1</v>
      </c>
      <c r="L540" s="6">
        <f t="shared" si="78"/>
        <v>10</v>
      </c>
      <c r="M540" s="6">
        <f t="shared" si="79"/>
        <v>1</v>
      </c>
      <c r="N540" s="6" t="str">
        <f t="shared" si="81"/>
        <v>100PFA39-6200</v>
      </c>
      <c r="O540" s="6" t="str">
        <f t="shared" si="82"/>
        <v>SINGING THE CHICAGO BLUES</v>
      </c>
    </row>
    <row r="541" spans="1:15">
      <c r="A541">
        <v>2</v>
      </c>
      <c r="B541" t="s">
        <v>9457</v>
      </c>
      <c r="C541" t="s">
        <v>9433</v>
      </c>
      <c r="D541">
        <v>1</v>
      </c>
      <c r="E541">
        <v>10</v>
      </c>
      <c r="F541">
        <v>1</v>
      </c>
      <c r="H541">
        <f t="shared" si="75"/>
        <v>2</v>
      </c>
      <c r="I541" t="str">
        <f t="shared" si="80"/>
        <v>200IQU96-120</v>
      </c>
      <c r="J541" s="6" t="str">
        <f t="shared" si="76"/>
        <v>Q PFA39 FOUL LINE 43 X 145</v>
      </c>
      <c r="K541" s="6">
        <f t="shared" si="77"/>
        <v>1</v>
      </c>
      <c r="L541" s="6">
        <f t="shared" si="78"/>
        <v>10</v>
      </c>
      <c r="M541" s="6">
        <f t="shared" si="79"/>
        <v>1</v>
      </c>
      <c r="N541" s="6" t="str">
        <f t="shared" si="81"/>
        <v>100PFA39-6200</v>
      </c>
      <c r="O541" s="6" t="str">
        <f t="shared" si="82"/>
        <v>SINGING THE CHICAGO BLUES</v>
      </c>
    </row>
    <row r="542" spans="1:15">
      <c r="A542">
        <v>1</v>
      </c>
      <c r="B542" t="s">
        <v>9181</v>
      </c>
      <c r="C542" t="s">
        <v>9182</v>
      </c>
      <c r="D542">
        <v>1</v>
      </c>
      <c r="E542">
        <v>10</v>
      </c>
      <c r="F542">
        <v>1.1133999999999999</v>
      </c>
      <c r="H542">
        <f t="shared" si="75"/>
        <v>1</v>
      </c>
      <c r="I542" t="str">
        <f t="shared" si="80"/>
        <v>200PFA39-12L1</v>
      </c>
      <c r="J542" s="6" t="str">
        <f t="shared" si="76"/>
        <v>SING CHICAGO BLUES (L) 43X145</v>
      </c>
      <c r="K542" s="6">
        <f t="shared" si="77"/>
        <v>1</v>
      </c>
      <c r="L542" s="6">
        <f t="shared" si="78"/>
        <v>10</v>
      </c>
      <c r="M542" s="6">
        <f t="shared" si="79"/>
        <v>1.1133999999999999</v>
      </c>
      <c r="N542" s="6" t="str">
        <f t="shared" si="81"/>
        <v>100PFA39-6200</v>
      </c>
      <c r="O542" s="6" t="str">
        <f t="shared" si="82"/>
        <v>SINGING THE CHICAGO BLUES</v>
      </c>
    </row>
    <row r="543" spans="1:15">
      <c r="A543">
        <v>4</v>
      </c>
      <c r="B543" t="s">
        <v>9463</v>
      </c>
      <c r="C543" t="s">
        <v>9464</v>
      </c>
      <c r="D543">
        <v>1</v>
      </c>
      <c r="E543">
        <v>91</v>
      </c>
      <c r="F543">
        <v>1</v>
      </c>
      <c r="H543">
        <f t="shared" si="75"/>
        <v>4</v>
      </c>
      <c r="I543" t="str">
        <f t="shared" si="80"/>
        <v>QUBPFA39PPK3</v>
      </c>
      <c r="J543" s="6" t="str">
        <f t="shared" si="76"/>
        <v>Q PFA39 SING C/BLUES LEFT LP</v>
      </c>
      <c r="K543" s="6">
        <f t="shared" si="77"/>
        <v>1</v>
      </c>
      <c r="L543" s="6">
        <f t="shared" si="78"/>
        <v>91</v>
      </c>
      <c r="M543" s="6">
        <f t="shared" si="79"/>
        <v>1</v>
      </c>
      <c r="N543" s="6" t="str">
        <f t="shared" si="81"/>
        <v>100PFA39-6200</v>
      </c>
      <c r="O543" s="6" t="str">
        <f t="shared" si="82"/>
        <v>SINGING THE CHICAGO BLUES</v>
      </c>
    </row>
    <row r="544" spans="1:15">
      <c r="A544">
        <v>3</v>
      </c>
      <c r="B544" t="s">
        <v>9458</v>
      </c>
      <c r="C544" t="s">
        <v>9459</v>
      </c>
      <c r="D544">
        <v>1</v>
      </c>
      <c r="E544">
        <v>10</v>
      </c>
      <c r="F544">
        <v>1</v>
      </c>
      <c r="H544">
        <f t="shared" si="75"/>
        <v>3</v>
      </c>
      <c r="I544" t="str">
        <f t="shared" si="80"/>
        <v>J75IQU97PQ25</v>
      </c>
      <c r="J544" s="6" t="str">
        <f t="shared" si="76"/>
        <v>Q PFA39 ARROW 41.875 X 144</v>
      </c>
      <c r="K544" s="6">
        <f t="shared" si="77"/>
        <v>1</v>
      </c>
      <c r="L544" s="6">
        <f t="shared" si="78"/>
        <v>10</v>
      </c>
      <c r="M544" s="6">
        <f t="shared" si="79"/>
        <v>1</v>
      </c>
      <c r="N544" s="6" t="str">
        <f t="shared" si="81"/>
        <v>100PFA39-6200</v>
      </c>
      <c r="O544" s="6" t="str">
        <f t="shared" si="82"/>
        <v>SINGING THE CHICAGO BLUES</v>
      </c>
    </row>
    <row r="545" spans="1:15">
      <c r="A545">
        <v>2</v>
      </c>
      <c r="B545" t="s">
        <v>9460</v>
      </c>
      <c r="C545" t="s">
        <v>9437</v>
      </c>
      <c r="D545">
        <v>1</v>
      </c>
      <c r="E545">
        <v>10</v>
      </c>
      <c r="F545">
        <v>1</v>
      </c>
      <c r="H545">
        <f t="shared" si="75"/>
        <v>2</v>
      </c>
      <c r="I545" t="str">
        <f t="shared" si="80"/>
        <v>200IQU97-120</v>
      </c>
      <c r="J545" s="6" t="str">
        <f t="shared" si="76"/>
        <v>Q PFA39 ARROW  43 X 145</v>
      </c>
      <c r="K545" s="6">
        <f t="shared" si="77"/>
        <v>1</v>
      </c>
      <c r="L545" s="6">
        <f t="shared" si="78"/>
        <v>10</v>
      </c>
      <c r="M545" s="6">
        <f t="shared" si="79"/>
        <v>1</v>
      </c>
      <c r="N545" s="6" t="str">
        <f t="shared" si="81"/>
        <v>100PFA39-6200</v>
      </c>
      <c r="O545" s="6" t="str">
        <f t="shared" si="82"/>
        <v>SINGING THE CHICAGO BLUES</v>
      </c>
    </row>
    <row r="546" spans="1:15">
      <c r="A546">
        <v>1</v>
      </c>
      <c r="B546" t="s">
        <v>9181</v>
      </c>
      <c r="C546" t="s">
        <v>9182</v>
      </c>
      <c r="D546">
        <v>1</v>
      </c>
      <c r="E546">
        <v>10</v>
      </c>
      <c r="F546">
        <v>1.1133999999999999</v>
      </c>
      <c r="H546">
        <f t="shared" si="75"/>
        <v>1</v>
      </c>
      <c r="I546" t="str">
        <f t="shared" si="80"/>
        <v>200PFA39-12L1</v>
      </c>
      <c r="J546" s="6" t="str">
        <f t="shared" si="76"/>
        <v>SING CHICAGO BLUES (L) 43X145</v>
      </c>
      <c r="K546" s="6">
        <f t="shared" si="77"/>
        <v>1</v>
      </c>
      <c r="L546" s="6">
        <f t="shared" si="78"/>
        <v>10</v>
      </c>
      <c r="M546" s="6">
        <f t="shared" si="79"/>
        <v>1.1133999999999999</v>
      </c>
      <c r="N546" s="6" t="str">
        <f t="shared" si="81"/>
        <v>100PFA39-6200</v>
      </c>
      <c r="O546" s="6" t="str">
        <f t="shared" si="82"/>
        <v>SINGING THE CHICAGO BLUES</v>
      </c>
    </row>
    <row r="547" spans="1:15">
      <c r="A547">
        <v>4</v>
      </c>
      <c r="B547" t="s">
        <v>9463</v>
      </c>
      <c r="C547" t="s">
        <v>9464</v>
      </c>
      <c r="D547">
        <v>1</v>
      </c>
      <c r="E547">
        <v>91</v>
      </c>
      <c r="F547">
        <v>3</v>
      </c>
      <c r="H547">
        <f t="shared" si="75"/>
        <v>4</v>
      </c>
      <c r="I547" t="str">
        <f t="shared" si="80"/>
        <v>QUBPFA39PPK3</v>
      </c>
      <c r="J547" s="6" t="str">
        <f t="shared" si="76"/>
        <v>Q PFA39 SING C/BLUES LEFT LP</v>
      </c>
      <c r="K547" s="6">
        <f t="shared" si="77"/>
        <v>1</v>
      </c>
      <c r="L547" s="6">
        <f t="shared" si="78"/>
        <v>91</v>
      </c>
      <c r="M547" s="6">
        <f t="shared" si="79"/>
        <v>3</v>
      </c>
      <c r="N547" s="6" t="str">
        <f t="shared" si="81"/>
        <v>100PFA39-6200</v>
      </c>
      <c r="O547" s="6" t="str">
        <f t="shared" si="82"/>
        <v>SINGING THE CHICAGO BLUES</v>
      </c>
    </row>
    <row r="548" spans="1:15">
      <c r="A548">
        <v>3</v>
      </c>
      <c r="B548" t="s">
        <v>9461</v>
      </c>
      <c r="C548" t="s">
        <v>9439</v>
      </c>
      <c r="D548">
        <v>1</v>
      </c>
      <c r="E548">
        <v>10</v>
      </c>
      <c r="F548">
        <v>1</v>
      </c>
      <c r="H548">
        <f t="shared" si="75"/>
        <v>3</v>
      </c>
      <c r="I548" t="str">
        <f t="shared" si="80"/>
        <v>J75IQU98PQ25</v>
      </c>
      <c r="J548" s="6" t="str">
        <f t="shared" si="76"/>
        <v>Q PFA39 COMMON  41.875 X 144</v>
      </c>
      <c r="K548" s="6">
        <f t="shared" si="77"/>
        <v>1</v>
      </c>
      <c r="L548" s="6">
        <f t="shared" si="78"/>
        <v>10</v>
      </c>
      <c r="M548" s="6">
        <f t="shared" si="79"/>
        <v>1</v>
      </c>
      <c r="N548" s="6" t="str">
        <f t="shared" si="81"/>
        <v>100PFA39-6200</v>
      </c>
      <c r="O548" s="6" t="str">
        <f t="shared" si="82"/>
        <v>SINGING THE CHICAGO BLUES</v>
      </c>
    </row>
    <row r="549" spans="1:15">
      <c r="A549">
        <v>2</v>
      </c>
      <c r="B549" t="s">
        <v>9462</v>
      </c>
      <c r="C549" t="s">
        <v>9441</v>
      </c>
      <c r="D549">
        <v>1</v>
      </c>
      <c r="E549">
        <v>10</v>
      </c>
      <c r="F549">
        <v>1</v>
      </c>
      <c r="H549">
        <f t="shared" si="75"/>
        <v>2</v>
      </c>
      <c r="I549" t="str">
        <f t="shared" si="80"/>
        <v>200IQU98-120</v>
      </c>
      <c r="J549" s="6" t="str">
        <f t="shared" si="76"/>
        <v>Q PFA39 COMMON  43 X 145</v>
      </c>
      <c r="K549" s="6">
        <f t="shared" si="77"/>
        <v>1</v>
      </c>
      <c r="L549" s="6">
        <f t="shared" si="78"/>
        <v>10</v>
      </c>
      <c r="M549" s="6">
        <f t="shared" si="79"/>
        <v>1</v>
      </c>
      <c r="N549" s="6" t="str">
        <f t="shared" si="81"/>
        <v>100PFA39-6200</v>
      </c>
      <c r="O549" s="6" t="str">
        <f t="shared" si="82"/>
        <v>SINGING THE CHICAGO BLUES</v>
      </c>
    </row>
    <row r="550" spans="1:15">
      <c r="A550">
        <v>1</v>
      </c>
      <c r="B550" t="s">
        <v>9181</v>
      </c>
      <c r="C550" t="s">
        <v>9182</v>
      </c>
      <c r="D550">
        <v>1</v>
      </c>
      <c r="E550">
        <v>10</v>
      </c>
      <c r="F550">
        <v>1.1133999999999999</v>
      </c>
      <c r="H550">
        <f t="shared" si="75"/>
        <v>1</v>
      </c>
      <c r="I550" t="str">
        <f t="shared" si="80"/>
        <v>200PFA39-12L1</v>
      </c>
      <c r="J550" s="6" t="str">
        <f t="shared" si="76"/>
        <v>SING CHICAGO BLUES (L) 43X145</v>
      </c>
      <c r="K550" s="6">
        <f t="shared" si="77"/>
        <v>1</v>
      </c>
      <c r="L550" s="6">
        <f t="shared" si="78"/>
        <v>10</v>
      </c>
      <c r="M550" s="6">
        <f t="shared" si="79"/>
        <v>1.1133999999999999</v>
      </c>
      <c r="N550" s="6" t="str">
        <f t="shared" si="81"/>
        <v>100PFA39-6200</v>
      </c>
      <c r="O550" s="6" t="str">
        <f t="shared" si="82"/>
        <v>SINGING THE CHICAGO BLUES</v>
      </c>
    </row>
    <row r="551" spans="1:15">
      <c r="A551">
        <v>4</v>
      </c>
      <c r="B551" t="s">
        <v>9465</v>
      </c>
      <c r="C551" t="s">
        <v>9466</v>
      </c>
      <c r="D551">
        <v>1</v>
      </c>
      <c r="E551">
        <v>91</v>
      </c>
      <c r="F551">
        <v>1</v>
      </c>
      <c r="H551">
        <f t="shared" si="75"/>
        <v>4</v>
      </c>
      <c r="I551" t="str">
        <f t="shared" si="80"/>
        <v>QUBPFA39PPK4</v>
      </c>
      <c r="J551" s="6" t="str">
        <f t="shared" si="76"/>
        <v>Q PFA39 SING C/BLUES RIGHT LP</v>
      </c>
      <c r="K551" s="6">
        <f t="shared" si="77"/>
        <v>1</v>
      </c>
      <c r="L551" s="6">
        <f t="shared" si="78"/>
        <v>91</v>
      </c>
      <c r="M551" s="6">
        <f t="shared" si="79"/>
        <v>1</v>
      </c>
      <c r="N551" s="6" t="str">
        <f t="shared" si="81"/>
        <v>100PFA39-6200</v>
      </c>
      <c r="O551" s="6" t="str">
        <f t="shared" si="82"/>
        <v>SINGING THE CHICAGO BLUES</v>
      </c>
    </row>
    <row r="552" spans="1:15">
      <c r="A552">
        <v>3</v>
      </c>
      <c r="B552" t="s">
        <v>9443</v>
      </c>
      <c r="C552" t="s">
        <v>9429</v>
      </c>
      <c r="D552">
        <v>1</v>
      </c>
      <c r="E552">
        <v>10</v>
      </c>
      <c r="F552">
        <v>0.16669999999999999</v>
      </c>
      <c r="H552">
        <f t="shared" si="75"/>
        <v>3</v>
      </c>
      <c r="I552" t="str">
        <f t="shared" si="80"/>
        <v>J75IQU99NQ27</v>
      </c>
      <c r="J552" s="6" t="str">
        <f t="shared" si="76"/>
        <v>Q PFA39 RET FILL SHORT 15 X 61</v>
      </c>
      <c r="K552" s="6">
        <f t="shared" si="77"/>
        <v>1</v>
      </c>
      <c r="L552" s="6">
        <f t="shared" si="78"/>
        <v>10</v>
      </c>
      <c r="M552" s="6">
        <f t="shared" si="79"/>
        <v>0.16669999999999999</v>
      </c>
      <c r="N552" s="6" t="str">
        <f t="shared" si="81"/>
        <v>100PFA39-6200</v>
      </c>
      <c r="O552" s="6" t="str">
        <f t="shared" si="82"/>
        <v>SINGING THE CHICAGO BLUES</v>
      </c>
    </row>
    <row r="553" spans="1:15">
      <c r="A553">
        <v>2</v>
      </c>
      <c r="B553" t="s">
        <v>9444</v>
      </c>
      <c r="C553" t="s">
        <v>9401</v>
      </c>
      <c r="D553">
        <v>1</v>
      </c>
      <c r="E553">
        <v>10</v>
      </c>
      <c r="F553">
        <v>1</v>
      </c>
      <c r="H553">
        <f t="shared" si="75"/>
        <v>2</v>
      </c>
      <c r="I553" t="str">
        <f t="shared" si="80"/>
        <v>200IQU99-520</v>
      </c>
      <c r="J553" s="6" t="str">
        <f t="shared" si="76"/>
        <v>Q PFA39 RETURN FILLER 60 X 144</v>
      </c>
      <c r="K553" s="6">
        <f t="shared" si="77"/>
        <v>1</v>
      </c>
      <c r="L553" s="6">
        <f t="shared" si="78"/>
        <v>10</v>
      </c>
      <c r="M553" s="6">
        <f t="shared" si="79"/>
        <v>1</v>
      </c>
      <c r="N553" s="6" t="str">
        <f t="shared" si="81"/>
        <v>100PFA39-6200</v>
      </c>
      <c r="O553" s="6" t="str">
        <f t="shared" si="82"/>
        <v>SINGING THE CHICAGO BLUES</v>
      </c>
    </row>
    <row r="554" spans="1:15">
      <c r="A554">
        <v>1</v>
      </c>
      <c r="B554" t="s">
        <v>9151</v>
      </c>
      <c r="C554" t="s">
        <v>9152</v>
      </c>
      <c r="D554">
        <v>1</v>
      </c>
      <c r="E554">
        <v>10</v>
      </c>
      <c r="F554">
        <v>1.1133999999999999</v>
      </c>
      <c r="H554">
        <f t="shared" si="75"/>
        <v>1</v>
      </c>
      <c r="I554" t="str">
        <f t="shared" si="80"/>
        <v>200PFA39-5201</v>
      </c>
      <c r="J554" s="6" t="str">
        <f t="shared" si="76"/>
        <v>SING CHICAGO BLUES 60 X 144</v>
      </c>
      <c r="K554" s="6">
        <f t="shared" si="77"/>
        <v>1</v>
      </c>
      <c r="L554" s="6">
        <f t="shared" si="78"/>
        <v>10</v>
      </c>
      <c r="M554" s="6">
        <f t="shared" si="79"/>
        <v>1.1133999999999999</v>
      </c>
      <c r="N554" s="6" t="str">
        <f t="shared" si="81"/>
        <v>100PFA39-6200</v>
      </c>
      <c r="O554" s="6" t="str">
        <f t="shared" si="82"/>
        <v>SINGING THE CHICAGO BLUES</v>
      </c>
    </row>
    <row r="555" spans="1:15">
      <c r="A555">
        <v>4</v>
      </c>
      <c r="B555" t="s">
        <v>9465</v>
      </c>
      <c r="C555" t="s">
        <v>9466</v>
      </c>
      <c r="D555">
        <v>1</v>
      </c>
      <c r="E555">
        <v>91</v>
      </c>
      <c r="F555">
        <v>1</v>
      </c>
      <c r="H555">
        <f t="shared" si="75"/>
        <v>4</v>
      </c>
      <c r="I555" t="str">
        <f t="shared" si="80"/>
        <v>QUBPFA39PPK4</v>
      </c>
      <c r="J555" s="6" t="str">
        <f t="shared" si="76"/>
        <v>Q PFA39 SING C/BLUES RIGHT LP</v>
      </c>
      <c r="K555" s="6">
        <f t="shared" si="77"/>
        <v>1</v>
      </c>
      <c r="L555" s="6">
        <f t="shared" si="78"/>
        <v>91</v>
      </c>
      <c r="M555" s="6">
        <f t="shared" si="79"/>
        <v>1</v>
      </c>
      <c r="N555" s="6" t="str">
        <f t="shared" si="81"/>
        <v>100PFA39-6200</v>
      </c>
      <c r="O555" s="6" t="str">
        <f t="shared" si="82"/>
        <v>SINGING THE CHICAGO BLUES</v>
      </c>
    </row>
    <row r="556" spans="1:15">
      <c r="A556">
        <v>3</v>
      </c>
      <c r="B556" t="s">
        <v>9448</v>
      </c>
      <c r="C556" t="s">
        <v>9449</v>
      </c>
      <c r="D556">
        <v>1</v>
      </c>
      <c r="E556">
        <v>10</v>
      </c>
      <c r="F556">
        <v>0.5</v>
      </c>
      <c r="H556">
        <f t="shared" si="75"/>
        <v>3</v>
      </c>
      <c r="I556" t="str">
        <f t="shared" si="80"/>
        <v>J75IQU93NQ80</v>
      </c>
      <c r="J556" s="6" t="str">
        <f t="shared" si="76"/>
        <v>Q PFA39 R S\ APP 59.81 X 67.25</v>
      </c>
      <c r="K556" s="6">
        <f t="shared" si="77"/>
        <v>1</v>
      </c>
      <c r="L556" s="6">
        <f t="shared" si="78"/>
        <v>10</v>
      </c>
      <c r="M556" s="6">
        <f t="shared" si="79"/>
        <v>0.5</v>
      </c>
      <c r="N556" s="6" t="str">
        <f t="shared" si="81"/>
        <v>100PFA39-6200</v>
      </c>
      <c r="O556" s="6" t="str">
        <f t="shared" si="82"/>
        <v>SINGING THE CHICAGO BLUES</v>
      </c>
    </row>
    <row r="557" spans="1:15">
      <c r="A557">
        <v>2</v>
      </c>
      <c r="B557" t="s">
        <v>9450</v>
      </c>
      <c r="C557" t="s">
        <v>9417</v>
      </c>
      <c r="D557">
        <v>1</v>
      </c>
      <c r="E557">
        <v>10</v>
      </c>
      <c r="F557">
        <v>1</v>
      </c>
      <c r="H557">
        <f t="shared" si="75"/>
        <v>2</v>
      </c>
      <c r="I557" t="str">
        <f t="shared" si="80"/>
        <v>200IQU93-520</v>
      </c>
      <c r="J557" s="6" t="str">
        <f t="shared" si="76"/>
        <v>Q PFA39 R SHORT APPR 60 X 144</v>
      </c>
      <c r="K557" s="6">
        <f t="shared" si="77"/>
        <v>1</v>
      </c>
      <c r="L557" s="6">
        <f t="shared" si="78"/>
        <v>10</v>
      </c>
      <c r="M557" s="6">
        <f t="shared" si="79"/>
        <v>1</v>
      </c>
      <c r="N557" s="6" t="str">
        <f t="shared" si="81"/>
        <v>100PFA39-6200</v>
      </c>
      <c r="O557" s="6" t="str">
        <f t="shared" si="82"/>
        <v>SINGING THE CHICAGO BLUES</v>
      </c>
    </row>
    <row r="558" spans="1:15">
      <c r="A558">
        <v>1</v>
      </c>
      <c r="B558" t="s">
        <v>9151</v>
      </c>
      <c r="C558" t="s">
        <v>9152</v>
      </c>
      <c r="D558">
        <v>1</v>
      </c>
      <c r="E558">
        <v>10</v>
      </c>
      <c r="F558">
        <v>1.1133999999999999</v>
      </c>
      <c r="H558">
        <f t="shared" si="75"/>
        <v>1</v>
      </c>
      <c r="I558" t="str">
        <f t="shared" si="80"/>
        <v>200PFA39-5201</v>
      </c>
      <c r="J558" s="6" t="str">
        <f t="shared" si="76"/>
        <v>SING CHICAGO BLUES 60 X 144</v>
      </c>
      <c r="K558" s="6">
        <f t="shared" si="77"/>
        <v>1</v>
      </c>
      <c r="L558" s="6">
        <f t="shared" si="78"/>
        <v>10</v>
      </c>
      <c r="M558" s="6">
        <f t="shared" si="79"/>
        <v>1.1133999999999999</v>
      </c>
      <c r="N558" s="6" t="str">
        <f t="shared" si="81"/>
        <v>100PFA39-6200</v>
      </c>
      <c r="O558" s="6" t="str">
        <f t="shared" si="82"/>
        <v>SINGING THE CHICAGO BLUES</v>
      </c>
    </row>
    <row r="559" spans="1:15">
      <c r="A559">
        <v>4</v>
      </c>
      <c r="B559" t="s">
        <v>9465</v>
      </c>
      <c r="C559" t="s">
        <v>9466</v>
      </c>
      <c r="D559">
        <v>1</v>
      </c>
      <c r="E559">
        <v>91</v>
      </c>
      <c r="F559">
        <v>1</v>
      </c>
      <c r="H559">
        <f t="shared" si="75"/>
        <v>4</v>
      </c>
      <c r="I559" t="str">
        <f t="shared" si="80"/>
        <v>QUBPFA39PPK4</v>
      </c>
      <c r="J559" s="6" t="str">
        <f t="shared" si="76"/>
        <v>Q PFA39 SING C/BLUES RIGHT LP</v>
      </c>
      <c r="K559" s="6">
        <f t="shared" si="77"/>
        <v>1</v>
      </c>
      <c r="L559" s="6">
        <f t="shared" si="78"/>
        <v>91</v>
      </c>
      <c r="M559" s="6">
        <f t="shared" si="79"/>
        <v>1</v>
      </c>
      <c r="N559" s="6" t="str">
        <f t="shared" si="81"/>
        <v>100PFA39-6200</v>
      </c>
      <c r="O559" s="6" t="str">
        <f t="shared" si="82"/>
        <v>SINGING THE CHICAGO BLUES</v>
      </c>
    </row>
    <row r="560" spans="1:15">
      <c r="A560">
        <v>3</v>
      </c>
      <c r="B560" t="s">
        <v>9453</v>
      </c>
      <c r="C560" t="s">
        <v>9423</v>
      </c>
      <c r="D560">
        <v>1</v>
      </c>
      <c r="E560">
        <v>10</v>
      </c>
      <c r="F560">
        <v>1</v>
      </c>
      <c r="H560">
        <f t="shared" si="75"/>
        <v>3</v>
      </c>
      <c r="I560" t="str">
        <f t="shared" si="80"/>
        <v>J75IQU95NQ82</v>
      </c>
      <c r="J560" s="6" t="str">
        <f t="shared" si="76"/>
        <v>Q PFA39 R  APPR 59.81 X 144.00</v>
      </c>
      <c r="K560" s="6">
        <f t="shared" si="77"/>
        <v>1</v>
      </c>
      <c r="L560" s="6">
        <f t="shared" si="78"/>
        <v>10</v>
      </c>
      <c r="M560" s="6">
        <f t="shared" si="79"/>
        <v>1</v>
      </c>
      <c r="N560" s="6" t="str">
        <f t="shared" si="81"/>
        <v>100PFA39-6200</v>
      </c>
      <c r="O560" s="6" t="str">
        <f t="shared" si="82"/>
        <v>SINGING THE CHICAGO BLUES</v>
      </c>
    </row>
    <row r="561" spans="1:15">
      <c r="A561">
        <v>2</v>
      </c>
      <c r="B561" t="s">
        <v>9454</v>
      </c>
      <c r="C561" t="s">
        <v>9425</v>
      </c>
      <c r="D561">
        <v>1</v>
      </c>
      <c r="E561">
        <v>10</v>
      </c>
      <c r="F561">
        <v>1</v>
      </c>
      <c r="H561">
        <f t="shared" si="75"/>
        <v>2</v>
      </c>
      <c r="I561" t="str">
        <f t="shared" si="80"/>
        <v>200IQU95-520</v>
      </c>
      <c r="J561" s="6" t="str">
        <f t="shared" si="76"/>
        <v>Q PFA39 R LONG APPR 60 X 144</v>
      </c>
      <c r="K561" s="6">
        <f t="shared" si="77"/>
        <v>1</v>
      </c>
      <c r="L561" s="6">
        <f t="shared" si="78"/>
        <v>10</v>
      </c>
      <c r="M561" s="6">
        <f t="shared" si="79"/>
        <v>1</v>
      </c>
      <c r="N561" s="6" t="str">
        <f t="shared" si="81"/>
        <v>100PFA39-6200</v>
      </c>
      <c r="O561" s="6" t="str">
        <f t="shared" si="82"/>
        <v>SINGING THE CHICAGO BLUES</v>
      </c>
    </row>
    <row r="562" spans="1:15">
      <c r="A562">
        <v>1</v>
      </c>
      <c r="B562" t="s">
        <v>9151</v>
      </c>
      <c r="C562" t="s">
        <v>9152</v>
      </c>
      <c r="D562">
        <v>1</v>
      </c>
      <c r="E562">
        <v>10</v>
      </c>
      <c r="F562">
        <v>1.1133999999999999</v>
      </c>
      <c r="H562">
        <f t="shared" si="75"/>
        <v>1</v>
      </c>
      <c r="I562" t="str">
        <f t="shared" si="80"/>
        <v>200PFA39-5201</v>
      </c>
      <c r="J562" s="6" t="str">
        <f t="shared" si="76"/>
        <v>SING CHICAGO BLUES 60 X 144</v>
      </c>
      <c r="K562" s="6">
        <f t="shared" si="77"/>
        <v>1</v>
      </c>
      <c r="L562" s="6">
        <f t="shared" si="78"/>
        <v>10</v>
      </c>
      <c r="M562" s="6">
        <f t="shared" si="79"/>
        <v>1.1133999999999999</v>
      </c>
      <c r="N562" s="6" t="str">
        <f t="shared" si="81"/>
        <v>100PFA39-6200</v>
      </c>
      <c r="O562" s="6" t="str">
        <f t="shared" si="82"/>
        <v>SINGING THE CHICAGO BLUES</v>
      </c>
    </row>
    <row r="563" spans="1:15">
      <c r="A563">
        <v>4</v>
      </c>
      <c r="B563" t="s">
        <v>9465</v>
      </c>
      <c r="C563" t="s">
        <v>9466</v>
      </c>
      <c r="D563">
        <v>1</v>
      </c>
      <c r="E563">
        <v>91</v>
      </c>
      <c r="F563">
        <v>1</v>
      </c>
      <c r="H563">
        <f t="shared" si="75"/>
        <v>4</v>
      </c>
      <c r="I563" t="str">
        <f t="shared" si="80"/>
        <v>QUBPFA39PPK4</v>
      </c>
      <c r="J563" s="6" t="str">
        <f t="shared" si="76"/>
        <v>Q PFA39 SING C/BLUES RIGHT LP</v>
      </c>
      <c r="K563" s="6">
        <f t="shared" si="77"/>
        <v>1</v>
      </c>
      <c r="L563" s="6">
        <f t="shared" si="78"/>
        <v>91</v>
      </c>
      <c r="M563" s="6">
        <f t="shared" si="79"/>
        <v>1</v>
      </c>
      <c r="N563" s="6" t="str">
        <f t="shared" si="81"/>
        <v>100PFA39-6200</v>
      </c>
      <c r="O563" s="6" t="str">
        <f t="shared" si="82"/>
        <v>SINGING THE CHICAGO BLUES</v>
      </c>
    </row>
    <row r="564" spans="1:15">
      <c r="A564">
        <v>3</v>
      </c>
      <c r="B564" t="s">
        <v>9455</v>
      </c>
      <c r="C564" t="s">
        <v>9427</v>
      </c>
      <c r="D564">
        <v>1</v>
      </c>
      <c r="E564">
        <v>10</v>
      </c>
      <c r="F564">
        <v>0.33329999999999999</v>
      </c>
      <c r="H564">
        <f t="shared" si="75"/>
        <v>3</v>
      </c>
      <c r="I564" t="str">
        <f t="shared" si="80"/>
        <v>J75IQU99NQ26</v>
      </c>
      <c r="J564" s="6" t="str">
        <f t="shared" si="76"/>
        <v>Q PFA39 RET FILL LONG 15X144.0</v>
      </c>
      <c r="K564" s="6">
        <f t="shared" si="77"/>
        <v>1</v>
      </c>
      <c r="L564" s="6">
        <f t="shared" si="78"/>
        <v>10</v>
      </c>
      <c r="M564" s="6">
        <f t="shared" si="79"/>
        <v>0.33329999999999999</v>
      </c>
      <c r="N564" s="6" t="str">
        <f t="shared" si="81"/>
        <v>100PFA39-6200</v>
      </c>
      <c r="O564" s="6" t="str">
        <f t="shared" si="82"/>
        <v>SINGING THE CHICAGO BLUES</v>
      </c>
    </row>
    <row r="565" spans="1:15">
      <c r="A565">
        <v>2</v>
      </c>
      <c r="B565" t="s">
        <v>9444</v>
      </c>
      <c r="C565" t="s">
        <v>9401</v>
      </c>
      <c r="D565">
        <v>1</v>
      </c>
      <c r="E565">
        <v>10</v>
      </c>
      <c r="F565">
        <v>1</v>
      </c>
      <c r="H565">
        <f t="shared" si="75"/>
        <v>2</v>
      </c>
      <c r="I565" t="str">
        <f t="shared" si="80"/>
        <v>200IQU99-520</v>
      </c>
      <c r="J565" s="6" t="str">
        <f t="shared" si="76"/>
        <v>Q PFA39 RETURN FILLER 60 X 144</v>
      </c>
      <c r="K565" s="6">
        <f t="shared" si="77"/>
        <v>1</v>
      </c>
      <c r="L565" s="6">
        <f t="shared" si="78"/>
        <v>10</v>
      </c>
      <c r="M565" s="6">
        <f t="shared" si="79"/>
        <v>1</v>
      </c>
      <c r="N565" s="6" t="str">
        <f t="shared" si="81"/>
        <v>100PFA39-6200</v>
      </c>
      <c r="O565" s="6" t="str">
        <f t="shared" si="82"/>
        <v>SINGING THE CHICAGO BLUES</v>
      </c>
    </row>
    <row r="566" spans="1:15">
      <c r="A566">
        <v>1</v>
      </c>
      <c r="B566" t="s">
        <v>9151</v>
      </c>
      <c r="C566" t="s">
        <v>9152</v>
      </c>
      <c r="D566">
        <v>1</v>
      </c>
      <c r="E566">
        <v>10</v>
      </c>
      <c r="F566">
        <v>1.1133999999999999</v>
      </c>
      <c r="H566">
        <f t="shared" si="75"/>
        <v>1</v>
      </c>
      <c r="I566" t="str">
        <f t="shared" si="80"/>
        <v>200PFA39-5201</v>
      </c>
      <c r="J566" s="6" t="str">
        <f t="shared" si="76"/>
        <v>SING CHICAGO BLUES 60 X 144</v>
      </c>
      <c r="K566" s="6">
        <f t="shared" si="77"/>
        <v>1</v>
      </c>
      <c r="L566" s="6">
        <f t="shared" si="78"/>
        <v>10</v>
      </c>
      <c r="M566" s="6">
        <f t="shared" si="79"/>
        <v>1.1133999999999999</v>
      </c>
      <c r="N566" s="6" t="str">
        <f t="shared" si="81"/>
        <v>100PFA39-6200</v>
      </c>
      <c r="O566" s="6" t="str">
        <f t="shared" si="82"/>
        <v>SINGING THE CHICAGO BLUES</v>
      </c>
    </row>
    <row r="567" spans="1:15">
      <c r="A567">
        <v>4</v>
      </c>
      <c r="B567" t="s">
        <v>9465</v>
      </c>
      <c r="C567" t="s">
        <v>9466</v>
      </c>
      <c r="D567">
        <v>1</v>
      </c>
      <c r="E567">
        <v>91</v>
      </c>
      <c r="F567">
        <v>1</v>
      </c>
      <c r="H567">
        <f t="shared" si="75"/>
        <v>4</v>
      </c>
      <c r="I567" t="str">
        <f t="shared" si="80"/>
        <v>QUBPFA39PPK4</v>
      </c>
      <c r="J567" s="6" t="str">
        <f t="shared" si="76"/>
        <v>Q PFA39 SING C/BLUES RIGHT LP</v>
      </c>
      <c r="K567" s="6">
        <f t="shared" si="77"/>
        <v>1</v>
      </c>
      <c r="L567" s="6">
        <f t="shared" si="78"/>
        <v>91</v>
      </c>
      <c r="M567" s="6">
        <f t="shared" si="79"/>
        <v>1</v>
      </c>
      <c r="N567" s="6" t="str">
        <f t="shared" si="81"/>
        <v>100PFA39-6200</v>
      </c>
      <c r="O567" s="6" t="str">
        <f t="shared" si="82"/>
        <v>SINGING THE CHICAGO BLUES</v>
      </c>
    </row>
    <row r="568" spans="1:15">
      <c r="A568">
        <v>3</v>
      </c>
      <c r="B568" t="s">
        <v>9456</v>
      </c>
      <c r="C568" t="s">
        <v>9431</v>
      </c>
      <c r="D568">
        <v>1</v>
      </c>
      <c r="E568">
        <v>10</v>
      </c>
      <c r="F568">
        <v>1</v>
      </c>
      <c r="H568">
        <f t="shared" si="75"/>
        <v>3</v>
      </c>
      <c r="I568" t="str">
        <f t="shared" si="80"/>
        <v>J75IQU96PQ83</v>
      </c>
      <c r="J568" s="6" t="str">
        <f t="shared" si="76"/>
        <v>Q PFA39 FOUL LINE 41.875 X 144</v>
      </c>
      <c r="K568" s="6">
        <f t="shared" si="77"/>
        <v>1</v>
      </c>
      <c r="L568" s="6">
        <f t="shared" si="78"/>
        <v>10</v>
      </c>
      <c r="M568" s="6">
        <f t="shared" si="79"/>
        <v>1</v>
      </c>
      <c r="N568" s="6" t="str">
        <f t="shared" si="81"/>
        <v>100PFA39-6200</v>
      </c>
      <c r="O568" s="6" t="str">
        <f t="shared" si="82"/>
        <v>SINGING THE CHICAGO BLUES</v>
      </c>
    </row>
    <row r="569" spans="1:15">
      <c r="A569">
        <v>2</v>
      </c>
      <c r="B569" t="s">
        <v>9457</v>
      </c>
      <c r="C569" t="s">
        <v>9433</v>
      </c>
      <c r="D569">
        <v>1</v>
      </c>
      <c r="E569">
        <v>10</v>
      </c>
      <c r="F569">
        <v>1</v>
      </c>
      <c r="H569">
        <f t="shared" ref="H569:H632" si="83">A569</f>
        <v>2</v>
      </c>
      <c r="I569" t="str">
        <f t="shared" si="80"/>
        <v>200IQU96-120</v>
      </c>
      <c r="J569" s="6" t="str">
        <f t="shared" ref="J569:J632" si="84">C569</f>
        <v>Q PFA39 FOUL LINE 43 X 145</v>
      </c>
      <c r="K569" s="6">
        <f t="shared" ref="K569:K632" si="85">D569</f>
        <v>1</v>
      </c>
      <c r="L569" s="6">
        <f t="shared" ref="L569:L632" si="86">E569</f>
        <v>10</v>
      </c>
      <c r="M569" s="6">
        <f t="shared" ref="M569:M632" si="87">F569</f>
        <v>1</v>
      </c>
      <c r="N569" s="6" t="str">
        <f t="shared" si="81"/>
        <v>100PFA39-6200</v>
      </c>
      <c r="O569" s="6" t="str">
        <f t="shared" si="82"/>
        <v>SINGING THE CHICAGO BLUES</v>
      </c>
    </row>
    <row r="570" spans="1:15">
      <c r="A570">
        <v>1</v>
      </c>
      <c r="B570" t="s">
        <v>9181</v>
      </c>
      <c r="C570" t="s">
        <v>9182</v>
      </c>
      <c r="D570">
        <v>1</v>
      </c>
      <c r="E570">
        <v>10</v>
      </c>
      <c r="F570">
        <v>1.1133999999999999</v>
      </c>
      <c r="H570">
        <f t="shared" si="83"/>
        <v>1</v>
      </c>
      <c r="I570" t="str">
        <f t="shared" si="80"/>
        <v>200PFA39-12L1</v>
      </c>
      <c r="J570" s="6" t="str">
        <f t="shared" si="84"/>
        <v>SING CHICAGO BLUES (L) 43X145</v>
      </c>
      <c r="K570" s="6">
        <f t="shared" si="85"/>
        <v>1</v>
      </c>
      <c r="L570" s="6">
        <f t="shared" si="86"/>
        <v>10</v>
      </c>
      <c r="M570" s="6">
        <f t="shared" si="87"/>
        <v>1.1133999999999999</v>
      </c>
      <c r="N570" s="6" t="str">
        <f t="shared" si="81"/>
        <v>100PFA39-6200</v>
      </c>
      <c r="O570" s="6" t="str">
        <f t="shared" si="82"/>
        <v>SINGING THE CHICAGO BLUES</v>
      </c>
    </row>
    <row r="571" spans="1:15">
      <c r="A571">
        <v>4</v>
      </c>
      <c r="B571" t="s">
        <v>9465</v>
      </c>
      <c r="C571" t="s">
        <v>9466</v>
      </c>
      <c r="D571">
        <v>1</v>
      </c>
      <c r="E571">
        <v>91</v>
      </c>
      <c r="F571">
        <v>1</v>
      </c>
      <c r="H571">
        <f t="shared" si="83"/>
        <v>4</v>
      </c>
      <c r="I571" t="str">
        <f t="shared" si="80"/>
        <v>QUBPFA39PPK4</v>
      </c>
      <c r="J571" s="6" t="str">
        <f t="shared" si="84"/>
        <v>Q PFA39 SING C/BLUES RIGHT LP</v>
      </c>
      <c r="K571" s="6">
        <f t="shared" si="85"/>
        <v>1</v>
      </c>
      <c r="L571" s="6">
        <f t="shared" si="86"/>
        <v>91</v>
      </c>
      <c r="M571" s="6">
        <f t="shared" si="87"/>
        <v>1</v>
      </c>
      <c r="N571" s="6" t="str">
        <f t="shared" si="81"/>
        <v>100PFA39-6200</v>
      </c>
      <c r="O571" s="6" t="str">
        <f t="shared" si="82"/>
        <v>SINGING THE CHICAGO BLUES</v>
      </c>
    </row>
    <row r="572" spans="1:15">
      <c r="A572">
        <v>3</v>
      </c>
      <c r="B572" t="s">
        <v>9458</v>
      </c>
      <c r="C572" t="s">
        <v>9459</v>
      </c>
      <c r="D572">
        <v>1</v>
      </c>
      <c r="E572">
        <v>10</v>
      </c>
      <c r="F572">
        <v>1</v>
      </c>
      <c r="H572">
        <f t="shared" si="83"/>
        <v>3</v>
      </c>
      <c r="I572" t="str">
        <f t="shared" si="80"/>
        <v>J75IQU97PQ25</v>
      </c>
      <c r="J572" s="6" t="str">
        <f t="shared" si="84"/>
        <v>Q PFA39 ARROW 41.875 X 144</v>
      </c>
      <c r="K572" s="6">
        <f t="shared" si="85"/>
        <v>1</v>
      </c>
      <c r="L572" s="6">
        <f t="shared" si="86"/>
        <v>10</v>
      </c>
      <c r="M572" s="6">
        <f t="shared" si="87"/>
        <v>1</v>
      </c>
      <c r="N572" s="6" t="str">
        <f t="shared" si="81"/>
        <v>100PFA39-6200</v>
      </c>
      <c r="O572" s="6" t="str">
        <f t="shared" si="82"/>
        <v>SINGING THE CHICAGO BLUES</v>
      </c>
    </row>
    <row r="573" spans="1:15">
      <c r="A573">
        <v>2</v>
      </c>
      <c r="B573" t="s">
        <v>9460</v>
      </c>
      <c r="C573" t="s">
        <v>9437</v>
      </c>
      <c r="D573">
        <v>1</v>
      </c>
      <c r="E573">
        <v>10</v>
      </c>
      <c r="F573">
        <v>1</v>
      </c>
      <c r="H573">
        <f t="shared" si="83"/>
        <v>2</v>
      </c>
      <c r="I573" t="str">
        <f t="shared" si="80"/>
        <v>200IQU97-120</v>
      </c>
      <c r="J573" s="6" t="str">
        <f t="shared" si="84"/>
        <v>Q PFA39 ARROW  43 X 145</v>
      </c>
      <c r="K573" s="6">
        <f t="shared" si="85"/>
        <v>1</v>
      </c>
      <c r="L573" s="6">
        <f t="shared" si="86"/>
        <v>10</v>
      </c>
      <c r="M573" s="6">
        <f t="shared" si="87"/>
        <v>1</v>
      </c>
      <c r="N573" s="6" t="str">
        <f t="shared" si="81"/>
        <v>100PFA39-6200</v>
      </c>
      <c r="O573" s="6" t="str">
        <f t="shared" si="82"/>
        <v>SINGING THE CHICAGO BLUES</v>
      </c>
    </row>
    <row r="574" spans="1:15">
      <c r="A574">
        <v>1</v>
      </c>
      <c r="B574" t="s">
        <v>9181</v>
      </c>
      <c r="C574" t="s">
        <v>9182</v>
      </c>
      <c r="D574">
        <v>1</v>
      </c>
      <c r="E574">
        <v>10</v>
      </c>
      <c r="F574">
        <v>1.1133999999999999</v>
      </c>
      <c r="H574">
        <f t="shared" si="83"/>
        <v>1</v>
      </c>
      <c r="I574" t="str">
        <f t="shared" si="80"/>
        <v>200PFA39-12L1</v>
      </c>
      <c r="J574" s="6" t="str">
        <f t="shared" si="84"/>
        <v>SING CHICAGO BLUES (L) 43X145</v>
      </c>
      <c r="K574" s="6">
        <f t="shared" si="85"/>
        <v>1</v>
      </c>
      <c r="L574" s="6">
        <f t="shared" si="86"/>
        <v>10</v>
      </c>
      <c r="M574" s="6">
        <f t="shared" si="87"/>
        <v>1.1133999999999999</v>
      </c>
      <c r="N574" s="6" t="str">
        <f t="shared" si="81"/>
        <v>100PFA39-6200</v>
      </c>
      <c r="O574" s="6" t="str">
        <f t="shared" si="82"/>
        <v>SINGING THE CHICAGO BLUES</v>
      </c>
    </row>
    <row r="575" spans="1:15">
      <c r="A575">
        <v>4</v>
      </c>
      <c r="B575" t="s">
        <v>9465</v>
      </c>
      <c r="C575" t="s">
        <v>9466</v>
      </c>
      <c r="D575">
        <v>1</v>
      </c>
      <c r="E575">
        <v>91</v>
      </c>
      <c r="F575">
        <v>3</v>
      </c>
      <c r="H575">
        <f t="shared" si="83"/>
        <v>4</v>
      </c>
      <c r="I575" t="str">
        <f t="shared" si="80"/>
        <v>QUBPFA39PPK4</v>
      </c>
      <c r="J575" s="6" t="str">
        <f t="shared" si="84"/>
        <v>Q PFA39 SING C/BLUES RIGHT LP</v>
      </c>
      <c r="K575" s="6">
        <f t="shared" si="85"/>
        <v>1</v>
      </c>
      <c r="L575" s="6">
        <f t="shared" si="86"/>
        <v>91</v>
      </c>
      <c r="M575" s="6">
        <f t="shared" si="87"/>
        <v>3</v>
      </c>
      <c r="N575" s="6" t="str">
        <f t="shared" si="81"/>
        <v>100PFA39-6200</v>
      </c>
      <c r="O575" s="6" t="str">
        <f t="shared" si="82"/>
        <v>SINGING THE CHICAGO BLUES</v>
      </c>
    </row>
    <row r="576" spans="1:15">
      <c r="A576">
        <v>3</v>
      </c>
      <c r="B576" t="s">
        <v>9461</v>
      </c>
      <c r="C576" t="s">
        <v>9439</v>
      </c>
      <c r="D576">
        <v>1</v>
      </c>
      <c r="E576">
        <v>10</v>
      </c>
      <c r="F576">
        <v>1</v>
      </c>
      <c r="H576">
        <f t="shared" si="83"/>
        <v>3</v>
      </c>
      <c r="I576" t="str">
        <f t="shared" si="80"/>
        <v>J75IQU98PQ25</v>
      </c>
      <c r="J576" s="6" t="str">
        <f t="shared" si="84"/>
        <v>Q PFA39 COMMON  41.875 X 144</v>
      </c>
      <c r="K576" s="6">
        <f t="shared" si="85"/>
        <v>1</v>
      </c>
      <c r="L576" s="6">
        <f t="shared" si="86"/>
        <v>10</v>
      </c>
      <c r="M576" s="6">
        <f t="shared" si="87"/>
        <v>1</v>
      </c>
      <c r="N576" s="6" t="str">
        <f t="shared" si="81"/>
        <v>100PFA39-6200</v>
      </c>
      <c r="O576" s="6" t="str">
        <f t="shared" si="82"/>
        <v>SINGING THE CHICAGO BLUES</v>
      </c>
    </row>
    <row r="577" spans="1:15">
      <c r="A577">
        <v>2</v>
      </c>
      <c r="B577" t="s">
        <v>9462</v>
      </c>
      <c r="C577" t="s">
        <v>9441</v>
      </c>
      <c r="D577">
        <v>1</v>
      </c>
      <c r="E577">
        <v>10</v>
      </c>
      <c r="F577">
        <v>1</v>
      </c>
      <c r="H577">
        <f t="shared" si="83"/>
        <v>2</v>
      </c>
      <c r="I577" t="str">
        <f t="shared" si="80"/>
        <v>200IQU98-120</v>
      </c>
      <c r="J577" s="6" t="str">
        <f t="shared" si="84"/>
        <v>Q PFA39 COMMON  43 X 145</v>
      </c>
      <c r="K577" s="6">
        <f t="shared" si="85"/>
        <v>1</v>
      </c>
      <c r="L577" s="6">
        <f t="shared" si="86"/>
        <v>10</v>
      </c>
      <c r="M577" s="6">
        <f t="shared" si="87"/>
        <v>1</v>
      </c>
      <c r="N577" s="6" t="str">
        <f t="shared" si="81"/>
        <v>100PFA39-6200</v>
      </c>
      <c r="O577" s="6" t="str">
        <f t="shared" si="82"/>
        <v>SINGING THE CHICAGO BLUES</v>
      </c>
    </row>
    <row r="578" spans="1:15">
      <c r="A578">
        <v>1</v>
      </c>
      <c r="B578" t="s">
        <v>9181</v>
      </c>
      <c r="C578" t="s">
        <v>9182</v>
      </c>
      <c r="D578">
        <v>1</v>
      </c>
      <c r="E578">
        <v>10</v>
      </c>
      <c r="F578">
        <v>1.1133999999999999</v>
      </c>
      <c r="H578">
        <f t="shared" si="83"/>
        <v>1</v>
      </c>
      <c r="I578" t="str">
        <f t="shared" si="80"/>
        <v>200PFA39-12L1</v>
      </c>
      <c r="J578" s="6" t="str">
        <f t="shared" si="84"/>
        <v>SING CHICAGO BLUES (L) 43X145</v>
      </c>
      <c r="K578" s="6">
        <f t="shared" si="85"/>
        <v>1</v>
      </c>
      <c r="L578" s="6">
        <f t="shared" si="86"/>
        <v>10</v>
      </c>
      <c r="M578" s="6">
        <f t="shared" si="87"/>
        <v>1.1133999999999999</v>
      </c>
      <c r="N578" s="6" t="str">
        <f t="shared" si="81"/>
        <v>100PFA39-6200</v>
      </c>
      <c r="O578" s="6" t="str">
        <f t="shared" si="82"/>
        <v>SINGING THE CHICAGO BLUES</v>
      </c>
    </row>
    <row r="579" spans="1:15">
      <c r="A579">
        <v>4</v>
      </c>
      <c r="B579" t="s">
        <v>9467</v>
      </c>
      <c r="C579" t="s">
        <v>9468</v>
      </c>
      <c r="D579">
        <v>1</v>
      </c>
      <c r="E579">
        <v>91</v>
      </c>
      <c r="F579">
        <v>1</v>
      </c>
      <c r="H579">
        <f t="shared" si="83"/>
        <v>4</v>
      </c>
      <c r="I579" t="str">
        <f t="shared" si="80"/>
        <v>QUBPFA39PPK5</v>
      </c>
      <c r="J579" s="6" t="str">
        <f t="shared" si="84"/>
        <v>Q PFA39 SING C/BLUES CG 2 LP</v>
      </c>
      <c r="K579" s="6">
        <f t="shared" si="85"/>
        <v>1</v>
      </c>
      <c r="L579" s="6">
        <f t="shared" si="86"/>
        <v>91</v>
      </c>
      <c r="M579" s="6">
        <f t="shared" si="87"/>
        <v>1</v>
      </c>
      <c r="N579" s="6" t="str">
        <f t="shared" si="81"/>
        <v>100PFA39-6200</v>
      </c>
      <c r="O579" s="6" t="str">
        <f t="shared" si="82"/>
        <v>SINGING THE CHICAGO BLUES</v>
      </c>
    </row>
    <row r="580" spans="1:15">
      <c r="A580">
        <v>3</v>
      </c>
      <c r="B580" t="s">
        <v>9443</v>
      </c>
      <c r="C580" t="s">
        <v>9429</v>
      </c>
      <c r="D580">
        <v>1</v>
      </c>
      <c r="E580">
        <v>10</v>
      </c>
      <c r="F580">
        <v>0.16669999999999999</v>
      </c>
      <c r="H580">
        <f t="shared" si="83"/>
        <v>3</v>
      </c>
      <c r="I580" t="str">
        <f t="shared" si="80"/>
        <v>J75IQU99NQ27</v>
      </c>
      <c r="J580" s="6" t="str">
        <f t="shared" si="84"/>
        <v>Q PFA39 RET FILL SHORT 15 X 61</v>
      </c>
      <c r="K580" s="6">
        <f t="shared" si="85"/>
        <v>1</v>
      </c>
      <c r="L580" s="6">
        <f t="shared" si="86"/>
        <v>10</v>
      </c>
      <c r="M580" s="6">
        <f t="shared" si="87"/>
        <v>0.16669999999999999</v>
      </c>
      <c r="N580" s="6" t="str">
        <f t="shared" si="81"/>
        <v>100PFA39-6200</v>
      </c>
      <c r="O580" s="6" t="str">
        <f t="shared" si="82"/>
        <v>SINGING THE CHICAGO BLUES</v>
      </c>
    </row>
    <row r="581" spans="1:15">
      <c r="A581">
        <v>2</v>
      </c>
      <c r="B581" t="s">
        <v>9444</v>
      </c>
      <c r="C581" t="s">
        <v>9401</v>
      </c>
      <c r="D581">
        <v>1</v>
      </c>
      <c r="E581">
        <v>10</v>
      </c>
      <c r="F581">
        <v>1</v>
      </c>
      <c r="H581">
        <f t="shared" si="83"/>
        <v>2</v>
      </c>
      <c r="I581" t="str">
        <f t="shared" si="80"/>
        <v>200IQU99-520</v>
      </c>
      <c r="J581" s="6" t="str">
        <f t="shared" si="84"/>
        <v>Q PFA39 RETURN FILLER 60 X 144</v>
      </c>
      <c r="K581" s="6">
        <f t="shared" si="85"/>
        <v>1</v>
      </c>
      <c r="L581" s="6">
        <f t="shared" si="86"/>
        <v>10</v>
      </c>
      <c r="M581" s="6">
        <f t="shared" si="87"/>
        <v>1</v>
      </c>
      <c r="N581" s="6" t="str">
        <f t="shared" si="81"/>
        <v>100PFA39-6200</v>
      </c>
      <c r="O581" s="6" t="str">
        <f t="shared" si="82"/>
        <v>SINGING THE CHICAGO BLUES</v>
      </c>
    </row>
    <row r="582" spans="1:15">
      <c r="A582">
        <v>1</v>
      </c>
      <c r="B582" t="s">
        <v>9151</v>
      </c>
      <c r="C582" t="s">
        <v>9152</v>
      </c>
      <c r="D582">
        <v>1</v>
      </c>
      <c r="E582">
        <v>10</v>
      </c>
      <c r="F582">
        <v>1.1133999999999999</v>
      </c>
      <c r="H582">
        <f t="shared" si="83"/>
        <v>1</v>
      </c>
      <c r="I582" t="str">
        <f t="shared" si="80"/>
        <v>200PFA39-5201</v>
      </c>
      <c r="J582" s="6" t="str">
        <f t="shared" si="84"/>
        <v>SING CHICAGO BLUES 60 X 144</v>
      </c>
      <c r="K582" s="6">
        <f t="shared" si="85"/>
        <v>1</v>
      </c>
      <c r="L582" s="6">
        <f t="shared" si="86"/>
        <v>10</v>
      </c>
      <c r="M582" s="6">
        <f t="shared" si="87"/>
        <v>1.1133999999999999</v>
      </c>
      <c r="N582" s="6" t="str">
        <f t="shared" si="81"/>
        <v>100PFA39-6200</v>
      </c>
      <c r="O582" s="6" t="str">
        <f t="shared" si="82"/>
        <v>SINGING THE CHICAGO BLUES</v>
      </c>
    </row>
    <row r="583" spans="1:15">
      <c r="A583">
        <v>4</v>
      </c>
      <c r="B583" t="s">
        <v>9467</v>
      </c>
      <c r="C583" t="s">
        <v>9468</v>
      </c>
      <c r="D583">
        <v>1</v>
      </c>
      <c r="E583">
        <v>91</v>
      </c>
      <c r="F583">
        <v>1</v>
      </c>
      <c r="H583">
        <f t="shared" si="83"/>
        <v>4</v>
      </c>
      <c r="I583" t="str">
        <f t="shared" ref="I583:I646" si="88">IFERROR(IF(SEARCH(" &lt;-",B583,1),LEFT(B583,SEARCH(" ",B583,1)-1),""),LEFT(B583,SEARCH("View",B583,1)-1))</f>
        <v>QUBPFA39PPK5</v>
      </c>
      <c r="J583" s="6" t="str">
        <f t="shared" si="84"/>
        <v>Q PFA39 SING C/BLUES CG 2 LP</v>
      </c>
      <c r="K583" s="6">
        <f t="shared" si="85"/>
        <v>1</v>
      </c>
      <c r="L583" s="6">
        <f t="shared" si="86"/>
        <v>91</v>
      </c>
      <c r="M583" s="6">
        <f t="shared" si="87"/>
        <v>1</v>
      </c>
      <c r="N583" s="6" t="str">
        <f t="shared" ref="N583:N646" si="89">TRIM($B$1)</f>
        <v>100PFA39-6200</v>
      </c>
      <c r="O583" s="6" t="str">
        <f t="shared" ref="O583:O646" si="90">TRIM($C$1)</f>
        <v>SINGING THE CHICAGO BLUES</v>
      </c>
    </row>
    <row r="584" spans="1:15">
      <c r="A584">
        <v>3</v>
      </c>
      <c r="B584" t="s">
        <v>9445</v>
      </c>
      <c r="C584" t="s">
        <v>9446</v>
      </c>
      <c r="D584">
        <v>1</v>
      </c>
      <c r="E584">
        <v>10</v>
      </c>
      <c r="F584">
        <v>0.5</v>
      </c>
      <c r="H584">
        <f t="shared" si="83"/>
        <v>3</v>
      </c>
      <c r="I584" t="str">
        <f t="shared" si="88"/>
        <v>J75IQU92NQ79</v>
      </c>
      <c r="J584" s="6" t="str">
        <f t="shared" si="84"/>
        <v>Q PFA39 L S\APP 59.81 X 67.25</v>
      </c>
      <c r="K584" s="6">
        <f t="shared" si="85"/>
        <v>1</v>
      </c>
      <c r="L584" s="6">
        <f t="shared" si="86"/>
        <v>10</v>
      </c>
      <c r="M584" s="6">
        <f t="shared" si="87"/>
        <v>0.5</v>
      </c>
      <c r="N584" s="6" t="str">
        <f t="shared" si="89"/>
        <v>100PFA39-6200</v>
      </c>
      <c r="O584" s="6" t="str">
        <f t="shared" si="90"/>
        <v>SINGING THE CHICAGO BLUES</v>
      </c>
    </row>
    <row r="585" spans="1:15">
      <c r="A585">
        <v>2</v>
      </c>
      <c r="B585" t="s">
        <v>9447</v>
      </c>
      <c r="C585" t="s">
        <v>9413</v>
      </c>
      <c r="D585">
        <v>1</v>
      </c>
      <c r="E585">
        <v>10</v>
      </c>
      <c r="F585">
        <v>1</v>
      </c>
      <c r="H585">
        <f t="shared" si="83"/>
        <v>2</v>
      </c>
      <c r="I585" t="str">
        <f t="shared" si="88"/>
        <v>200IQU92-520</v>
      </c>
      <c r="J585" s="6" t="str">
        <f t="shared" si="84"/>
        <v>Q PFA39 L SHORT APPR 60 X 144</v>
      </c>
      <c r="K585" s="6">
        <f t="shared" si="85"/>
        <v>1</v>
      </c>
      <c r="L585" s="6">
        <f t="shared" si="86"/>
        <v>10</v>
      </c>
      <c r="M585" s="6">
        <f t="shared" si="87"/>
        <v>1</v>
      </c>
      <c r="N585" s="6" t="str">
        <f t="shared" si="89"/>
        <v>100PFA39-6200</v>
      </c>
      <c r="O585" s="6" t="str">
        <f t="shared" si="90"/>
        <v>SINGING THE CHICAGO BLUES</v>
      </c>
    </row>
    <row r="586" spans="1:15">
      <c r="A586">
        <v>1</v>
      </c>
      <c r="B586" t="s">
        <v>9151</v>
      </c>
      <c r="C586" t="s">
        <v>9152</v>
      </c>
      <c r="D586">
        <v>1</v>
      </c>
      <c r="E586">
        <v>10</v>
      </c>
      <c r="F586">
        <v>1.1133999999999999</v>
      </c>
      <c r="H586">
        <f t="shared" si="83"/>
        <v>1</v>
      </c>
      <c r="I586" t="str">
        <f t="shared" si="88"/>
        <v>200PFA39-5201</v>
      </c>
      <c r="J586" s="6" t="str">
        <f t="shared" si="84"/>
        <v>SING CHICAGO BLUES 60 X 144</v>
      </c>
      <c r="K586" s="6">
        <f t="shared" si="85"/>
        <v>1</v>
      </c>
      <c r="L586" s="6">
        <f t="shared" si="86"/>
        <v>10</v>
      </c>
      <c r="M586" s="6">
        <f t="shared" si="87"/>
        <v>1.1133999999999999</v>
      </c>
      <c r="N586" s="6" t="str">
        <f t="shared" si="89"/>
        <v>100PFA39-6200</v>
      </c>
      <c r="O586" s="6" t="str">
        <f t="shared" si="90"/>
        <v>SINGING THE CHICAGO BLUES</v>
      </c>
    </row>
    <row r="587" spans="1:15">
      <c r="A587">
        <v>4</v>
      </c>
      <c r="B587" t="s">
        <v>9467</v>
      </c>
      <c r="C587" t="s">
        <v>9468</v>
      </c>
      <c r="D587">
        <v>1</v>
      </c>
      <c r="E587">
        <v>91</v>
      </c>
      <c r="F587">
        <v>1</v>
      </c>
      <c r="H587">
        <f t="shared" si="83"/>
        <v>4</v>
      </c>
      <c r="I587" t="str">
        <f t="shared" si="88"/>
        <v>QUBPFA39PPK5</v>
      </c>
      <c r="J587" s="6" t="str">
        <f t="shared" si="84"/>
        <v>Q PFA39 SING C/BLUES CG 2 LP</v>
      </c>
      <c r="K587" s="6">
        <f t="shared" si="85"/>
        <v>1</v>
      </c>
      <c r="L587" s="6">
        <f t="shared" si="86"/>
        <v>91</v>
      </c>
      <c r="M587" s="6">
        <f t="shared" si="87"/>
        <v>1</v>
      </c>
      <c r="N587" s="6" t="str">
        <f t="shared" si="89"/>
        <v>100PFA39-6200</v>
      </c>
      <c r="O587" s="6" t="str">
        <f t="shared" si="90"/>
        <v>SINGING THE CHICAGO BLUES</v>
      </c>
    </row>
    <row r="588" spans="1:15">
      <c r="A588">
        <v>3</v>
      </c>
      <c r="B588" t="s">
        <v>9448</v>
      </c>
      <c r="C588" t="s">
        <v>9449</v>
      </c>
      <c r="D588">
        <v>1</v>
      </c>
      <c r="E588">
        <v>10</v>
      </c>
      <c r="F588">
        <v>0.5</v>
      </c>
      <c r="H588">
        <f t="shared" si="83"/>
        <v>3</v>
      </c>
      <c r="I588" t="str">
        <f t="shared" si="88"/>
        <v>J75IQU93NQ80</v>
      </c>
      <c r="J588" s="6" t="str">
        <f t="shared" si="84"/>
        <v>Q PFA39 R S\ APP 59.81 X 67.25</v>
      </c>
      <c r="K588" s="6">
        <f t="shared" si="85"/>
        <v>1</v>
      </c>
      <c r="L588" s="6">
        <f t="shared" si="86"/>
        <v>10</v>
      </c>
      <c r="M588" s="6">
        <f t="shared" si="87"/>
        <v>0.5</v>
      </c>
      <c r="N588" s="6" t="str">
        <f t="shared" si="89"/>
        <v>100PFA39-6200</v>
      </c>
      <c r="O588" s="6" t="str">
        <f t="shared" si="90"/>
        <v>SINGING THE CHICAGO BLUES</v>
      </c>
    </row>
    <row r="589" spans="1:15">
      <c r="A589">
        <v>2</v>
      </c>
      <c r="B589" t="s">
        <v>9450</v>
      </c>
      <c r="C589" t="s">
        <v>9417</v>
      </c>
      <c r="D589">
        <v>1</v>
      </c>
      <c r="E589">
        <v>10</v>
      </c>
      <c r="F589">
        <v>1</v>
      </c>
      <c r="H589">
        <f t="shared" si="83"/>
        <v>2</v>
      </c>
      <c r="I589" t="str">
        <f t="shared" si="88"/>
        <v>200IQU93-520</v>
      </c>
      <c r="J589" s="6" t="str">
        <f t="shared" si="84"/>
        <v>Q PFA39 R SHORT APPR 60 X 144</v>
      </c>
      <c r="K589" s="6">
        <f t="shared" si="85"/>
        <v>1</v>
      </c>
      <c r="L589" s="6">
        <f t="shared" si="86"/>
        <v>10</v>
      </c>
      <c r="M589" s="6">
        <f t="shared" si="87"/>
        <v>1</v>
      </c>
      <c r="N589" s="6" t="str">
        <f t="shared" si="89"/>
        <v>100PFA39-6200</v>
      </c>
      <c r="O589" s="6" t="str">
        <f t="shared" si="90"/>
        <v>SINGING THE CHICAGO BLUES</v>
      </c>
    </row>
    <row r="590" spans="1:15">
      <c r="A590">
        <v>1</v>
      </c>
      <c r="B590" t="s">
        <v>9151</v>
      </c>
      <c r="C590" t="s">
        <v>9152</v>
      </c>
      <c r="D590">
        <v>1</v>
      </c>
      <c r="E590">
        <v>10</v>
      </c>
      <c r="F590">
        <v>1.1133999999999999</v>
      </c>
      <c r="H590">
        <f t="shared" si="83"/>
        <v>1</v>
      </c>
      <c r="I590" t="str">
        <f t="shared" si="88"/>
        <v>200PFA39-5201</v>
      </c>
      <c r="J590" s="6" t="str">
        <f t="shared" si="84"/>
        <v>SING CHICAGO BLUES 60 X 144</v>
      </c>
      <c r="K590" s="6">
        <f t="shared" si="85"/>
        <v>1</v>
      </c>
      <c r="L590" s="6">
        <f t="shared" si="86"/>
        <v>10</v>
      </c>
      <c r="M590" s="6">
        <f t="shared" si="87"/>
        <v>1.1133999999999999</v>
      </c>
      <c r="N590" s="6" t="str">
        <f t="shared" si="89"/>
        <v>100PFA39-6200</v>
      </c>
      <c r="O590" s="6" t="str">
        <f t="shared" si="90"/>
        <v>SINGING THE CHICAGO BLUES</v>
      </c>
    </row>
    <row r="591" spans="1:15">
      <c r="A591">
        <v>4</v>
      </c>
      <c r="B591" t="s">
        <v>9467</v>
      </c>
      <c r="C591" t="s">
        <v>9468</v>
      </c>
      <c r="D591">
        <v>1</v>
      </c>
      <c r="E591">
        <v>91</v>
      </c>
      <c r="F591">
        <v>1</v>
      </c>
      <c r="H591">
        <f t="shared" si="83"/>
        <v>4</v>
      </c>
      <c r="I591" t="str">
        <f t="shared" si="88"/>
        <v>QUBPFA39PPK5</v>
      </c>
      <c r="J591" s="6" t="str">
        <f t="shared" si="84"/>
        <v>Q PFA39 SING C/BLUES CG 2 LP</v>
      </c>
      <c r="K591" s="6">
        <f t="shared" si="85"/>
        <v>1</v>
      </c>
      <c r="L591" s="6">
        <f t="shared" si="86"/>
        <v>91</v>
      </c>
      <c r="M591" s="6">
        <f t="shared" si="87"/>
        <v>1</v>
      </c>
      <c r="N591" s="6" t="str">
        <f t="shared" si="89"/>
        <v>100PFA39-6200</v>
      </c>
      <c r="O591" s="6" t="str">
        <f t="shared" si="90"/>
        <v>SINGING THE CHICAGO BLUES</v>
      </c>
    </row>
    <row r="592" spans="1:15">
      <c r="A592">
        <v>3</v>
      </c>
      <c r="B592" t="s">
        <v>9451</v>
      </c>
      <c r="C592" t="s">
        <v>9419</v>
      </c>
      <c r="D592">
        <v>1</v>
      </c>
      <c r="E592">
        <v>10</v>
      </c>
      <c r="F592">
        <v>1</v>
      </c>
      <c r="H592">
        <f t="shared" si="83"/>
        <v>3</v>
      </c>
      <c r="I592" t="str">
        <f t="shared" si="88"/>
        <v>J75IQU94NQ81</v>
      </c>
      <c r="J592" s="6" t="str">
        <f t="shared" si="84"/>
        <v>Q PFA39 L  APPR 59.81 X 144.00</v>
      </c>
      <c r="K592" s="6">
        <f t="shared" si="85"/>
        <v>1</v>
      </c>
      <c r="L592" s="6">
        <f t="shared" si="86"/>
        <v>10</v>
      </c>
      <c r="M592" s="6">
        <f t="shared" si="87"/>
        <v>1</v>
      </c>
      <c r="N592" s="6" t="str">
        <f t="shared" si="89"/>
        <v>100PFA39-6200</v>
      </c>
      <c r="O592" s="6" t="str">
        <f t="shared" si="90"/>
        <v>SINGING THE CHICAGO BLUES</v>
      </c>
    </row>
    <row r="593" spans="1:15">
      <c r="A593">
        <v>2</v>
      </c>
      <c r="B593" t="s">
        <v>9452</v>
      </c>
      <c r="C593" t="s">
        <v>9421</v>
      </c>
      <c r="D593">
        <v>1</v>
      </c>
      <c r="E593">
        <v>10</v>
      </c>
      <c r="F593">
        <v>1</v>
      </c>
      <c r="H593">
        <f t="shared" si="83"/>
        <v>2</v>
      </c>
      <c r="I593" t="str">
        <f t="shared" si="88"/>
        <v>200IQU94-520</v>
      </c>
      <c r="J593" s="6" t="str">
        <f t="shared" si="84"/>
        <v>Q PFA39 L LONG APPR 60 X 144</v>
      </c>
      <c r="K593" s="6">
        <f t="shared" si="85"/>
        <v>1</v>
      </c>
      <c r="L593" s="6">
        <f t="shared" si="86"/>
        <v>10</v>
      </c>
      <c r="M593" s="6">
        <f t="shared" si="87"/>
        <v>1</v>
      </c>
      <c r="N593" s="6" t="str">
        <f t="shared" si="89"/>
        <v>100PFA39-6200</v>
      </c>
      <c r="O593" s="6" t="str">
        <f t="shared" si="90"/>
        <v>SINGING THE CHICAGO BLUES</v>
      </c>
    </row>
    <row r="594" spans="1:15">
      <c r="A594">
        <v>1</v>
      </c>
      <c r="B594" t="s">
        <v>9151</v>
      </c>
      <c r="C594" t="s">
        <v>9152</v>
      </c>
      <c r="D594">
        <v>1</v>
      </c>
      <c r="E594">
        <v>10</v>
      </c>
      <c r="F594">
        <v>1.1133999999999999</v>
      </c>
      <c r="H594">
        <f t="shared" si="83"/>
        <v>1</v>
      </c>
      <c r="I594" t="str">
        <f t="shared" si="88"/>
        <v>200PFA39-5201</v>
      </c>
      <c r="J594" s="6" t="str">
        <f t="shared" si="84"/>
        <v>SING CHICAGO BLUES 60 X 144</v>
      </c>
      <c r="K594" s="6">
        <f t="shared" si="85"/>
        <v>1</v>
      </c>
      <c r="L594" s="6">
        <f t="shared" si="86"/>
        <v>10</v>
      </c>
      <c r="M594" s="6">
        <f t="shared" si="87"/>
        <v>1.1133999999999999</v>
      </c>
      <c r="N594" s="6" t="str">
        <f t="shared" si="89"/>
        <v>100PFA39-6200</v>
      </c>
      <c r="O594" s="6" t="str">
        <f t="shared" si="90"/>
        <v>SINGING THE CHICAGO BLUES</v>
      </c>
    </row>
    <row r="595" spans="1:15">
      <c r="A595">
        <v>4</v>
      </c>
      <c r="B595" t="s">
        <v>9467</v>
      </c>
      <c r="C595" t="s">
        <v>9468</v>
      </c>
      <c r="D595">
        <v>1</v>
      </c>
      <c r="E595">
        <v>91</v>
      </c>
      <c r="F595">
        <v>1</v>
      </c>
      <c r="H595">
        <f t="shared" si="83"/>
        <v>4</v>
      </c>
      <c r="I595" t="str">
        <f t="shared" si="88"/>
        <v>QUBPFA39PPK5</v>
      </c>
      <c r="J595" s="6" t="str">
        <f t="shared" si="84"/>
        <v>Q PFA39 SING C/BLUES CG 2 LP</v>
      </c>
      <c r="K595" s="6">
        <f t="shared" si="85"/>
        <v>1</v>
      </c>
      <c r="L595" s="6">
        <f t="shared" si="86"/>
        <v>91</v>
      </c>
      <c r="M595" s="6">
        <f t="shared" si="87"/>
        <v>1</v>
      </c>
      <c r="N595" s="6" t="str">
        <f t="shared" si="89"/>
        <v>100PFA39-6200</v>
      </c>
      <c r="O595" s="6" t="str">
        <f t="shared" si="90"/>
        <v>SINGING THE CHICAGO BLUES</v>
      </c>
    </row>
    <row r="596" spans="1:15">
      <c r="A596">
        <v>3</v>
      </c>
      <c r="B596" t="s">
        <v>9453</v>
      </c>
      <c r="C596" t="s">
        <v>9423</v>
      </c>
      <c r="D596">
        <v>1</v>
      </c>
      <c r="E596">
        <v>10</v>
      </c>
      <c r="F596">
        <v>1</v>
      </c>
      <c r="H596">
        <f t="shared" si="83"/>
        <v>3</v>
      </c>
      <c r="I596" t="str">
        <f t="shared" si="88"/>
        <v>J75IQU95NQ82</v>
      </c>
      <c r="J596" s="6" t="str">
        <f t="shared" si="84"/>
        <v>Q PFA39 R  APPR 59.81 X 144.00</v>
      </c>
      <c r="K596" s="6">
        <f t="shared" si="85"/>
        <v>1</v>
      </c>
      <c r="L596" s="6">
        <f t="shared" si="86"/>
        <v>10</v>
      </c>
      <c r="M596" s="6">
        <f t="shared" si="87"/>
        <v>1</v>
      </c>
      <c r="N596" s="6" t="str">
        <f t="shared" si="89"/>
        <v>100PFA39-6200</v>
      </c>
      <c r="O596" s="6" t="str">
        <f t="shared" si="90"/>
        <v>SINGING THE CHICAGO BLUES</v>
      </c>
    </row>
    <row r="597" spans="1:15">
      <c r="A597">
        <v>2</v>
      </c>
      <c r="B597" t="s">
        <v>9454</v>
      </c>
      <c r="C597" t="s">
        <v>9425</v>
      </c>
      <c r="D597">
        <v>1</v>
      </c>
      <c r="E597">
        <v>10</v>
      </c>
      <c r="F597">
        <v>1</v>
      </c>
      <c r="H597">
        <f t="shared" si="83"/>
        <v>2</v>
      </c>
      <c r="I597" t="str">
        <f t="shared" si="88"/>
        <v>200IQU95-520</v>
      </c>
      <c r="J597" s="6" t="str">
        <f t="shared" si="84"/>
        <v>Q PFA39 R LONG APPR 60 X 144</v>
      </c>
      <c r="K597" s="6">
        <f t="shared" si="85"/>
        <v>1</v>
      </c>
      <c r="L597" s="6">
        <f t="shared" si="86"/>
        <v>10</v>
      </c>
      <c r="M597" s="6">
        <f t="shared" si="87"/>
        <v>1</v>
      </c>
      <c r="N597" s="6" t="str">
        <f t="shared" si="89"/>
        <v>100PFA39-6200</v>
      </c>
      <c r="O597" s="6" t="str">
        <f t="shared" si="90"/>
        <v>SINGING THE CHICAGO BLUES</v>
      </c>
    </row>
    <row r="598" spans="1:15">
      <c r="A598">
        <v>1</v>
      </c>
      <c r="B598" t="s">
        <v>9151</v>
      </c>
      <c r="C598" t="s">
        <v>9152</v>
      </c>
      <c r="D598">
        <v>1</v>
      </c>
      <c r="E598">
        <v>10</v>
      </c>
      <c r="F598">
        <v>1.1133999999999999</v>
      </c>
      <c r="H598">
        <f t="shared" si="83"/>
        <v>1</v>
      </c>
      <c r="I598" t="str">
        <f t="shared" si="88"/>
        <v>200PFA39-5201</v>
      </c>
      <c r="J598" s="6" t="str">
        <f t="shared" si="84"/>
        <v>SING CHICAGO BLUES 60 X 144</v>
      </c>
      <c r="K598" s="6">
        <f t="shared" si="85"/>
        <v>1</v>
      </c>
      <c r="L598" s="6">
        <f t="shared" si="86"/>
        <v>10</v>
      </c>
      <c r="M598" s="6">
        <f t="shared" si="87"/>
        <v>1.1133999999999999</v>
      </c>
      <c r="N598" s="6" t="str">
        <f t="shared" si="89"/>
        <v>100PFA39-6200</v>
      </c>
      <c r="O598" s="6" t="str">
        <f t="shared" si="90"/>
        <v>SINGING THE CHICAGO BLUES</v>
      </c>
    </row>
    <row r="599" spans="1:15">
      <c r="A599">
        <v>4</v>
      </c>
      <c r="B599" t="s">
        <v>9467</v>
      </c>
      <c r="C599" t="s">
        <v>9468</v>
      </c>
      <c r="D599">
        <v>1</v>
      </c>
      <c r="E599">
        <v>91</v>
      </c>
      <c r="F599">
        <v>1</v>
      </c>
      <c r="H599">
        <f t="shared" si="83"/>
        <v>4</v>
      </c>
      <c r="I599" t="str">
        <f t="shared" si="88"/>
        <v>QUBPFA39PPK5</v>
      </c>
      <c r="J599" s="6" t="str">
        <f t="shared" si="84"/>
        <v>Q PFA39 SING C/BLUES CG 2 LP</v>
      </c>
      <c r="K599" s="6">
        <f t="shared" si="85"/>
        <v>1</v>
      </c>
      <c r="L599" s="6">
        <f t="shared" si="86"/>
        <v>91</v>
      </c>
      <c r="M599" s="6">
        <f t="shared" si="87"/>
        <v>1</v>
      </c>
      <c r="N599" s="6" t="str">
        <f t="shared" si="89"/>
        <v>100PFA39-6200</v>
      </c>
      <c r="O599" s="6" t="str">
        <f t="shared" si="90"/>
        <v>SINGING THE CHICAGO BLUES</v>
      </c>
    </row>
    <row r="600" spans="1:15">
      <c r="A600">
        <v>3</v>
      </c>
      <c r="B600" t="s">
        <v>9455</v>
      </c>
      <c r="C600" t="s">
        <v>9427</v>
      </c>
      <c r="D600">
        <v>1</v>
      </c>
      <c r="E600">
        <v>10</v>
      </c>
      <c r="F600">
        <v>0.33329999999999999</v>
      </c>
      <c r="H600">
        <f t="shared" si="83"/>
        <v>3</v>
      </c>
      <c r="I600" t="str">
        <f t="shared" si="88"/>
        <v>J75IQU99NQ26</v>
      </c>
      <c r="J600" s="6" t="str">
        <f t="shared" si="84"/>
        <v>Q PFA39 RET FILL LONG 15X144.0</v>
      </c>
      <c r="K600" s="6">
        <f t="shared" si="85"/>
        <v>1</v>
      </c>
      <c r="L600" s="6">
        <f t="shared" si="86"/>
        <v>10</v>
      </c>
      <c r="M600" s="6">
        <f t="shared" si="87"/>
        <v>0.33329999999999999</v>
      </c>
      <c r="N600" s="6" t="str">
        <f t="shared" si="89"/>
        <v>100PFA39-6200</v>
      </c>
      <c r="O600" s="6" t="str">
        <f t="shared" si="90"/>
        <v>SINGING THE CHICAGO BLUES</v>
      </c>
    </row>
    <row r="601" spans="1:15">
      <c r="A601">
        <v>2</v>
      </c>
      <c r="B601" t="s">
        <v>9444</v>
      </c>
      <c r="C601" t="s">
        <v>9401</v>
      </c>
      <c r="D601">
        <v>1</v>
      </c>
      <c r="E601">
        <v>10</v>
      </c>
      <c r="F601">
        <v>1</v>
      </c>
      <c r="H601">
        <f t="shared" si="83"/>
        <v>2</v>
      </c>
      <c r="I601" t="str">
        <f t="shared" si="88"/>
        <v>200IQU99-520</v>
      </c>
      <c r="J601" s="6" t="str">
        <f t="shared" si="84"/>
        <v>Q PFA39 RETURN FILLER 60 X 144</v>
      </c>
      <c r="K601" s="6">
        <f t="shared" si="85"/>
        <v>1</v>
      </c>
      <c r="L601" s="6">
        <f t="shared" si="86"/>
        <v>10</v>
      </c>
      <c r="M601" s="6">
        <f t="shared" si="87"/>
        <v>1</v>
      </c>
      <c r="N601" s="6" t="str">
        <f t="shared" si="89"/>
        <v>100PFA39-6200</v>
      </c>
      <c r="O601" s="6" t="str">
        <f t="shared" si="90"/>
        <v>SINGING THE CHICAGO BLUES</v>
      </c>
    </row>
    <row r="602" spans="1:15">
      <c r="A602">
        <v>1</v>
      </c>
      <c r="B602" t="s">
        <v>9151</v>
      </c>
      <c r="C602" t="s">
        <v>9152</v>
      </c>
      <c r="D602">
        <v>1</v>
      </c>
      <c r="E602">
        <v>10</v>
      </c>
      <c r="F602">
        <v>1.1133999999999999</v>
      </c>
      <c r="H602">
        <f t="shared" si="83"/>
        <v>1</v>
      </c>
      <c r="I602" t="str">
        <f t="shared" si="88"/>
        <v>200PFA39-5201</v>
      </c>
      <c r="J602" s="6" t="str">
        <f t="shared" si="84"/>
        <v>SING CHICAGO BLUES 60 X 144</v>
      </c>
      <c r="K602" s="6">
        <f t="shared" si="85"/>
        <v>1</v>
      </c>
      <c r="L602" s="6">
        <f t="shared" si="86"/>
        <v>10</v>
      </c>
      <c r="M602" s="6">
        <f t="shared" si="87"/>
        <v>1.1133999999999999</v>
      </c>
      <c r="N602" s="6" t="str">
        <f t="shared" si="89"/>
        <v>100PFA39-6200</v>
      </c>
      <c r="O602" s="6" t="str">
        <f t="shared" si="90"/>
        <v>SINGING THE CHICAGO BLUES</v>
      </c>
    </row>
    <row r="603" spans="1:15">
      <c r="A603">
        <v>4</v>
      </c>
      <c r="B603" t="s">
        <v>9467</v>
      </c>
      <c r="C603" t="s">
        <v>9468</v>
      </c>
      <c r="D603">
        <v>1</v>
      </c>
      <c r="E603">
        <v>91</v>
      </c>
      <c r="F603">
        <v>2</v>
      </c>
      <c r="H603">
        <f t="shared" si="83"/>
        <v>4</v>
      </c>
      <c r="I603" t="str">
        <f t="shared" si="88"/>
        <v>QUBPFA39PPK5</v>
      </c>
      <c r="J603" s="6" t="str">
        <f t="shared" si="84"/>
        <v>Q PFA39 SING C/BLUES CG 2 LP</v>
      </c>
      <c r="K603" s="6">
        <f t="shared" si="85"/>
        <v>1</v>
      </c>
      <c r="L603" s="6">
        <f t="shared" si="86"/>
        <v>91</v>
      </c>
      <c r="M603" s="6">
        <f t="shared" si="87"/>
        <v>2</v>
      </c>
      <c r="N603" s="6" t="str">
        <f t="shared" si="89"/>
        <v>100PFA39-6200</v>
      </c>
      <c r="O603" s="6" t="str">
        <f t="shared" si="90"/>
        <v>SINGING THE CHICAGO BLUES</v>
      </c>
    </row>
    <row r="604" spans="1:15">
      <c r="A604">
        <v>3</v>
      </c>
      <c r="B604" t="s">
        <v>9458</v>
      </c>
      <c r="C604" t="s">
        <v>9459</v>
      </c>
      <c r="D604">
        <v>1</v>
      </c>
      <c r="E604">
        <v>10</v>
      </c>
      <c r="F604">
        <v>1</v>
      </c>
      <c r="H604">
        <f t="shared" si="83"/>
        <v>3</v>
      </c>
      <c r="I604" t="str">
        <f t="shared" si="88"/>
        <v>J75IQU97PQ25</v>
      </c>
      <c r="J604" s="6" t="str">
        <f t="shared" si="84"/>
        <v>Q PFA39 ARROW 41.875 X 144</v>
      </c>
      <c r="K604" s="6">
        <f t="shared" si="85"/>
        <v>1</v>
      </c>
      <c r="L604" s="6">
        <f t="shared" si="86"/>
        <v>10</v>
      </c>
      <c r="M604" s="6">
        <f t="shared" si="87"/>
        <v>1</v>
      </c>
      <c r="N604" s="6" t="str">
        <f t="shared" si="89"/>
        <v>100PFA39-6200</v>
      </c>
      <c r="O604" s="6" t="str">
        <f t="shared" si="90"/>
        <v>SINGING THE CHICAGO BLUES</v>
      </c>
    </row>
    <row r="605" spans="1:15">
      <c r="A605">
        <v>2</v>
      </c>
      <c r="B605" t="s">
        <v>9460</v>
      </c>
      <c r="C605" t="s">
        <v>9437</v>
      </c>
      <c r="D605">
        <v>1</v>
      </c>
      <c r="E605">
        <v>10</v>
      </c>
      <c r="F605">
        <v>1</v>
      </c>
      <c r="H605">
        <f t="shared" si="83"/>
        <v>2</v>
      </c>
      <c r="I605" t="str">
        <f t="shared" si="88"/>
        <v>200IQU97-120</v>
      </c>
      <c r="J605" s="6" t="str">
        <f t="shared" si="84"/>
        <v>Q PFA39 ARROW  43 X 145</v>
      </c>
      <c r="K605" s="6">
        <f t="shared" si="85"/>
        <v>1</v>
      </c>
      <c r="L605" s="6">
        <f t="shared" si="86"/>
        <v>10</v>
      </c>
      <c r="M605" s="6">
        <f t="shared" si="87"/>
        <v>1</v>
      </c>
      <c r="N605" s="6" t="str">
        <f t="shared" si="89"/>
        <v>100PFA39-6200</v>
      </c>
      <c r="O605" s="6" t="str">
        <f t="shared" si="90"/>
        <v>SINGING THE CHICAGO BLUES</v>
      </c>
    </row>
    <row r="606" spans="1:15">
      <c r="A606">
        <v>1</v>
      </c>
      <c r="B606" t="s">
        <v>9181</v>
      </c>
      <c r="C606" t="s">
        <v>9182</v>
      </c>
      <c r="D606">
        <v>1</v>
      </c>
      <c r="E606">
        <v>10</v>
      </c>
      <c r="F606">
        <v>1.1133999999999999</v>
      </c>
      <c r="H606">
        <f t="shared" si="83"/>
        <v>1</v>
      </c>
      <c r="I606" t="str">
        <f t="shared" si="88"/>
        <v>200PFA39-12L1</v>
      </c>
      <c r="J606" s="6" t="str">
        <f t="shared" si="84"/>
        <v>SING CHICAGO BLUES (L) 43X145</v>
      </c>
      <c r="K606" s="6">
        <f t="shared" si="85"/>
        <v>1</v>
      </c>
      <c r="L606" s="6">
        <f t="shared" si="86"/>
        <v>10</v>
      </c>
      <c r="M606" s="6">
        <f t="shared" si="87"/>
        <v>1.1133999999999999</v>
      </c>
      <c r="N606" s="6" t="str">
        <f t="shared" si="89"/>
        <v>100PFA39-6200</v>
      </c>
      <c r="O606" s="6" t="str">
        <f t="shared" si="90"/>
        <v>SINGING THE CHICAGO BLUES</v>
      </c>
    </row>
    <row r="607" spans="1:15">
      <c r="A607">
        <v>4</v>
      </c>
      <c r="B607" t="s">
        <v>9467</v>
      </c>
      <c r="C607" t="s">
        <v>9468</v>
      </c>
      <c r="D607">
        <v>1</v>
      </c>
      <c r="E607">
        <v>91</v>
      </c>
      <c r="F607">
        <v>6</v>
      </c>
      <c r="H607">
        <f t="shared" si="83"/>
        <v>4</v>
      </c>
      <c r="I607" t="str">
        <f t="shared" si="88"/>
        <v>QUBPFA39PPK5</v>
      </c>
      <c r="J607" s="6" t="str">
        <f t="shared" si="84"/>
        <v>Q PFA39 SING C/BLUES CG 2 LP</v>
      </c>
      <c r="K607" s="6">
        <f t="shared" si="85"/>
        <v>1</v>
      </c>
      <c r="L607" s="6">
        <f t="shared" si="86"/>
        <v>91</v>
      </c>
      <c r="M607" s="6">
        <f t="shared" si="87"/>
        <v>6</v>
      </c>
      <c r="N607" s="6" t="str">
        <f t="shared" si="89"/>
        <v>100PFA39-6200</v>
      </c>
      <c r="O607" s="6" t="str">
        <f t="shared" si="90"/>
        <v>SINGING THE CHICAGO BLUES</v>
      </c>
    </row>
    <row r="608" spans="1:15">
      <c r="A608">
        <v>3</v>
      </c>
      <c r="B608" t="s">
        <v>9461</v>
      </c>
      <c r="C608" t="s">
        <v>9439</v>
      </c>
      <c r="D608">
        <v>1</v>
      </c>
      <c r="E608">
        <v>10</v>
      </c>
      <c r="F608">
        <v>1</v>
      </c>
      <c r="H608">
        <f t="shared" si="83"/>
        <v>3</v>
      </c>
      <c r="I608" t="str">
        <f t="shared" si="88"/>
        <v>J75IQU98PQ25</v>
      </c>
      <c r="J608" s="6" t="str">
        <f t="shared" si="84"/>
        <v>Q PFA39 COMMON  41.875 X 144</v>
      </c>
      <c r="K608" s="6">
        <f t="shared" si="85"/>
        <v>1</v>
      </c>
      <c r="L608" s="6">
        <f t="shared" si="86"/>
        <v>10</v>
      </c>
      <c r="M608" s="6">
        <f t="shared" si="87"/>
        <v>1</v>
      </c>
      <c r="N608" s="6" t="str">
        <f t="shared" si="89"/>
        <v>100PFA39-6200</v>
      </c>
      <c r="O608" s="6" t="str">
        <f t="shared" si="90"/>
        <v>SINGING THE CHICAGO BLUES</v>
      </c>
    </row>
    <row r="609" spans="1:15">
      <c r="A609">
        <v>2</v>
      </c>
      <c r="B609" t="s">
        <v>9462</v>
      </c>
      <c r="C609" t="s">
        <v>9441</v>
      </c>
      <c r="D609">
        <v>1</v>
      </c>
      <c r="E609">
        <v>10</v>
      </c>
      <c r="F609">
        <v>1</v>
      </c>
      <c r="H609">
        <f t="shared" si="83"/>
        <v>2</v>
      </c>
      <c r="I609" t="str">
        <f t="shared" si="88"/>
        <v>200IQU98-120</v>
      </c>
      <c r="J609" s="6" t="str">
        <f t="shared" si="84"/>
        <v>Q PFA39 COMMON  43 X 145</v>
      </c>
      <c r="K609" s="6">
        <f t="shared" si="85"/>
        <v>1</v>
      </c>
      <c r="L609" s="6">
        <f t="shared" si="86"/>
        <v>10</v>
      </c>
      <c r="M609" s="6">
        <f t="shared" si="87"/>
        <v>1</v>
      </c>
      <c r="N609" s="6" t="str">
        <f t="shared" si="89"/>
        <v>100PFA39-6200</v>
      </c>
      <c r="O609" s="6" t="str">
        <f t="shared" si="90"/>
        <v>SINGING THE CHICAGO BLUES</v>
      </c>
    </row>
    <row r="610" spans="1:15">
      <c r="A610">
        <v>1</v>
      </c>
      <c r="B610" t="s">
        <v>9181</v>
      </c>
      <c r="C610" t="s">
        <v>9182</v>
      </c>
      <c r="D610">
        <v>1</v>
      </c>
      <c r="E610">
        <v>10</v>
      </c>
      <c r="F610">
        <v>1.1133999999999999</v>
      </c>
      <c r="H610">
        <f t="shared" si="83"/>
        <v>1</v>
      </c>
      <c r="I610" t="str">
        <f t="shared" si="88"/>
        <v>200PFA39-12L1</v>
      </c>
      <c r="J610" s="6" t="str">
        <f t="shared" si="84"/>
        <v>SING CHICAGO BLUES (L) 43X145</v>
      </c>
      <c r="K610" s="6">
        <f t="shared" si="85"/>
        <v>1</v>
      </c>
      <c r="L610" s="6">
        <f t="shared" si="86"/>
        <v>10</v>
      </c>
      <c r="M610" s="6">
        <f t="shared" si="87"/>
        <v>1.1133999999999999</v>
      </c>
      <c r="N610" s="6" t="str">
        <f t="shared" si="89"/>
        <v>100PFA39-6200</v>
      </c>
      <c r="O610" s="6" t="str">
        <f t="shared" si="90"/>
        <v>SINGING THE CHICAGO BLUES</v>
      </c>
    </row>
    <row r="611" spans="1:15">
      <c r="A611">
        <v>4</v>
      </c>
      <c r="B611" t="s">
        <v>9467</v>
      </c>
      <c r="C611" t="s">
        <v>9468</v>
      </c>
      <c r="D611">
        <v>1</v>
      </c>
      <c r="E611">
        <v>91</v>
      </c>
      <c r="F611">
        <v>2</v>
      </c>
      <c r="H611">
        <f t="shared" si="83"/>
        <v>4</v>
      </c>
      <c r="I611" t="str">
        <f t="shared" si="88"/>
        <v>QUBPFA39PPK5</v>
      </c>
      <c r="J611" s="6" t="str">
        <f t="shared" si="84"/>
        <v>Q PFA39 SING C/BLUES CG 2 LP</v>
      </c>
      <c r="K611" s="6">
        <f t="shared" si="85"/>
        <v>1</v>
      </c>
      <c r="L611" s="6">
        <f t="shared" si="86"/>
        <v>91</v>
      </c>
      <c r="M611" s="6">
        <f t="shared" si="87"/>
        <v>2</v>
      </c>
      <c r="N611" s="6" t="str">
        <f t="shared" si="89"/>
        <v>100PFA39-6200</v>
      </c>
      <c r="O611" s="6" t="str">
        <f t="shared" si="90"/>
        <v>SINGING THE CHICAGO BLUES</v>
      </c>
    </row>
    <row r="612" spans="1:15">
      <c r="A612">
        <v>3</v>
      </c>
      <c r="B612" t="s">
        <v>9469</v>
      </c>
      <c r="C612" t="s">
        <v>9470</v>
      </c>
      <c r="D612">
        <v>1</v>
      </c>
      <c r="E612">
        <v>10</v>
      </c>
      <c r="F612">
        <v>1</v>
      </c>
      <c r="H612">
        <f t="shared" si="83"/>
        <v>3</v>
      </c>
      <c r="I612" t="str">
        <f t="shared" si="88"/>
        <v>J75IQ117PQ83</v>
      </c>
      <c r="J612" s="6" t="str">
        <f t="shared" si="84"/>
        <v>Q PFA39 CG FOUL 41.875 X 144</v>
      </c>
      <c r="K612" s="6">
        <f t="shared" si="85"/>
        <v>1</v>
      </c>
      <c r="L612" s="6">
        <f t="shared" si="86"/>
        <v>10</v>
      </c>
      <c r="M612" s="6">
        <f t="shared" si="87"/>
        <v>1</v>
      </c>
      <c r="N612" s="6" t="str">
        <f t="shared" si="89"/>
        <v>100PFA39-6200</v>
      </c>
      <c r="O612" s="6" t="str">
        <f t="shared" si="90"/>
        <v>SINGING THE CHICAGO BLUES</v>
      </c>
    </row>
    <row r="613" spans="1:15">
      <c r="A613">
        <v>2</v>
      </c>
      <c r="B613" t="s">
        <v>9471</v>
      </c>
      <c r="C613" t="s">
        <v>9472</v>
      </c>
      <c r="D613">
        <v>1</v>
      </c>
      <c r="E613">
        <v>10</v>
      </c>
      <c r="F613">
        <v>1</v>
      </c>
      <c r="H613">
        <f t="shared" si="83"/>
        <v>2</v>
      </c>
      <c r="I613" t="str">
        <f t="shared" si="88"/>
        <v>200IQ117-120</v>
      </c>
      <c r="J613" s="6" t="str">
        <f t="shared" si="84"/>
        <v>Q PFA39 CG FOUL LINE 43 X 145</v>
      </c>
      <c r="K613" s="6">
        <f t="shared" si="85"/>
        <v>1</v>
      </c>
      <c r="L613" s="6">
        <f t="shared" si="86"/>
        <v>10</v>
      </c>
      <c r="M613" s="6">
        <f t="shared" si="87"/>
        <v>1</v>
      </c>
      <c r="N613" s="6" t="str">
        <f t="shared" si="89"/>
        <v>100PFA39-6200</v>
      </c>
      <c r="O613" s="6" t="str">
        <f t="shared" si="90"/>
        <v>SINGING THE CHICAGO BLUES</v>
      </c>
    </row>
    <row r="614" spans="1:15">
      <c r="A614">
        <v>1</v>
      </c>
      <c r="B614" t="s">
        <v>9181</v>
      </c>
      <c r="C614" t="s">
        <v>9182</v>
      </c>
      <c r="D614">
        <v>1</v>
      </c>
      <c r="E614">
        <v>10</v>
      </c>
      <c r="F614">
        <v>1.1133999999999999</v>
      </c>
      <c r="H614">
        <f t="shared" si="83"/>
        <v>1</v>
      </c>
      <c r="I614" t="str">
        <f t="shared" si="88"/>
        <v>200PFA39-12L1</v>
      </c>
      <c r="J614" s="6" t="str">
        <f t="shared" si="84"/>
        <v>SING CHICAGO BLUES (L) 43X145</v>
      </c>
      <c r="K614" s="6">
        <f t="shared" si="85"/>
        <v>1</v>
      </c>
      <c r="L614" s="6">
        <f t="shared" si="86"/>
        <v>10</v>
      </c>
      <c r="M614" s="6">
        <f t="shared" si="87"/>
        <v>1.1133999999999999</v>
      </c>
      <c r="N614" s="6" t="str">
        <f t="shared" si="89"/>
        <v>100PFA39-6200</v>
      </c>
      <c r="O614" s="6" t="str">
        <f t="shared" si="90"/>
        <v>SINGING THE CHICAGO BLUES</v>
      </c>
    </row>
    <row r="615" spans="1:15">
      <c r="A615">
        <v>4</v>
      </c>
      <c r="B615" t="s">
        <v>9473</v>
      </c>
      <c r="C615" t="s">
        <v>9474</v>
      </c>
      <c r="D615">
        <v>1</v>
      </c>
      <c r="E615">
        <v>91</v>
      </c>
      <c r="F615">
        <v>1</v>
      </c>
      <c r="H615">
        <f t="shared" si="83"/>
        <v>4</v>
      </c>
      <c r="I615" t="str">
        <f t="shared" si="88"/>
        <v>QUBPFA39PPK6</v>
      </c>
      <c r="J615" s="6" t="str">
        <f t="shared" si="84"/>
        <v>Q PFA39 SING C/BLUES CG LEFT L</v>
      </c>
      <c r="K615" s="6">
        <f t="shared" si="85"/>
        <v>1</v>
      </c>
      <c r="L615" s="6">
        <f t="shared" si="86"/>
        <v>91</v>
      </c>
      <c r="M615" s="6">
        <f t="shared" si="87"/>
        <v>1</v>
      </c>
      <c r="N615" s="6" t="str">
        <f t="shared" si="89"/>
        <v>100PFA39-6200</v>
      </c>
      <c r="O615" s="6" t="str">
        <f t="shared" si="90"/>
        <v>SINGING THE CHICAGO BLUES</v>
      </c>
    </row>
    <row r="616" spans="1:15">
      <c r="A616">
        <v>3</v>
      </c>
      <c r="B616" t="s">
        <v>9455</v>
      </c>
      <c r="C616" t="s">
        <v>9427</v>
      </c>
      <c r="D616">
        <v>1</v>
      </c>
      <c r="E616">
        <v>10</v>
      </c>
      <c r="F616">
        <v>0.33329999999999999</v>
      </c>
      <c r="H616">
        <f t="shared" si="83"/>
        <v>3</v>
      </c>
      <c r="I616" t="str">
        <f t="shared" si="88"/>
        <v>J75IQU99NQ26</v>
      </c>
      <c r="J616" s="6" t="str">
        <f t="shared" si="84"/>
        <v>Q PFA39 RET FILL LONG 15X144.0</v>
      </c>
      <c r="K616" s="6">
        <f t="shared" si="85"/>
        <v>1</v>
      </c>
      <c r="L616" s="6">
        <f t="shared" si="86"/>
        <v>10</v>
      </c>
      <c r="M616" s="6">
        <f t="shared" si="87"/>
        <v>0.33329999999999999</v>
      </c>
      <c r="N616" s="6" t="str">
        <f t="shared" si="89"/>
        <v>100PFA39-6200</v>
      </c>
      <c r="O616" s="6" t="str">
        <f t="shared" si="90"/>
        <v>SINGING THE CHICAGO BLUES</v>
      </c>
    </row>
    <row r="617" spans="1:15">
      <c r="A617">
        <v>2</v>
      </c>
      <c r="B617" t="s">
        <v>9444</v>
      </c>
      <c r="C617" t="s">
        <v>9401</v>
      </c>
      <c r="D617">
        <v>1</v>
      </c>
      <c r="E617">
        <v>10</v>
      </c>
      <c r="F617">
        <v>1</v>
      </c>
      <c r="H617">
        <f t="shared" si="83"/>
        <v>2</v>
      </c>
      <c r="I617" t="str">
        <f t="shared" si="88"/>
        <v>200IQU99-520</v>
      </c>
      <c r="J617" s="6" t="str">
        <f t="shared" si="84"/>
        <v>Q PFA39 RETURN FILLER 60 X 144</v>
      </c>
      <c r="K617" s="6">
        <f t="shared" si="85"/>
        <v>1</v>
      </c>
      <c r="L617" s="6">
        <f t="shared" si="86"/>
        <v>10</v>
      </c>
      <c r="M617" s="6">
        <f t="shared" si="87"/>
        <v>1</v>
      </c>
      <c r="N617" s="6" t="str">
        <f t="shared" si="89"/>
        <v>100PFA39-6200</v>
      </c>
      <c r="O617" s="6" t="str">
        <f t="shared" si="90"/>
        <v>SINGING THE CHICAGO BLUES</v>
      </c>
    </row>
    <row r="618" spans="1:15">
      <c r="A618">
        <v>1</v>
      </c>
      <c r="B618" t="s">
        <v>9151</v>
      </c>
      <c r="C618" t="s">
        <v>9152</v>
      </c>
      <c r="D618">
        <v>1</v>
      </c>
      <c r="E618">
        <v>10</v>
      </c>
      <c r="F618">
        <v>1.1133999999999999</v>
      </c>
      <c r="H618">
        <f t="shared" si="83"/>
        <v>1</v>
      </c>
      <c r="I618" t="str">
        <f t="shared" si="88"/>
        <v>200PFA39-5201</v>
      </c>
      <c r="J618" s="6" t="str">
        <f t="shared" si="84"/>
        <v>SING CHICAGO BLUES 60 X 144</v>
      </c>
      <c r="K618" s="6">
        <f t="shared" si="85"/>
        <v>1</v>
      </c>
      <c r="L618" s="6">
        <f t="shared" si="86"/>
        <v>10</v>
      </c>
      <c r="M618" s="6">
        <f t="shared" si="87"/>
        <v>1.1133999999999999</v>
      </c>
      <c r="N618" s="6" t="str">
        <f t="shared" si="89"/>
        <v>100PFA39-6200</v>
      </c>
      <c r="O618" s="6" t="str">
        <f t="shared" si="90"/>
        <v>SINGING THE CHICAGO BLUES</v>
      </c>
    </row>
    <row r="619" spans="1:15">
      <c r="A619">
        <v>4</v>
      </c>
      <c r="B619" t="s">
        <v>9473</v>
      </c>
      <c r="C619" t="s">
        <v>9474</v>
      </c>
      <c r="D619">
        <v>1</v>
      </c>
      <c r="E619">
        <v>91</v>
      </c>
      <c r="F619">
        <v>1</v>
      </c>
      <c r="H619">
        <f t="shared" si="83"/>
        <v>4</v>
      </c>
      <c r="I619" t="str">
        <f t="shared" si="88"/>
        <v>QUBPFA39PPK6</v>
      </c>
      <c r="J619" s="6" t="str">
        <f t="shared" si="84"/>
        <v>Q PFA39 SING C/BLUES CG LEFT L</v>
      </c>
      <c r="K619" s="6">
        <f t="shared" si="85"/>
        <v>1</v>
      </c>
      <c r="L619" s="6">
        <f t="shared" si="86"/>
        <v>91</v>
      </c>
      <c r="M619" s="6">
        <f t="shared" si="87"/>
        <v>1</v>
      </c>
      <c r="N619" s="6" t="str">
        <f t="shared" si="89"/>
        <v>100PFA39-6200</v>
      </c>
      <c r="O619" s="6" t="str">
        <f t="shared" si="90"/>
        <v>SINGING THE CHICAGO BLUES</v>
      </c>
    </row>
    <row r="620" spans="1:15">
      <c r="A620">
        <v>3</v>
      </c>
      <c r="B620" t="s">
        <v>9443</v>
      </c>
      <c r="C620" t="s">
        <v>9429</v>
      </c>
      <c r="D620">
        <v>1</v>
      </c>
      <c r="E620">
        <v>10</v>
      </c>
      <c r="F620">
        <v>0.16669999999999999</v>
      </c>
      <c r="H620">
        <f t="shared" si="83"/>
        <v>3</v>
      </c>
      <c r="I620" t="str">
        <f t="shared" si="88"/>
        <v>J75IQU99NQ27</v>
      </c>
      <c r="J620" s="6" t="str">
        <f t="shared" si="84"/>
        <v>Q PFA39 RET FILL SHORT 15 X 61</v>
      </c>
      <c r="K620" s="6">
        <f t="shared" si="85"/>
        <v>1</v>
      </c>
      <c r="L620" s="6">
        <f t="shared" si="86"/>
        <v>10</v>
      </c>
      <c r="M620" s="6">
        <f t="shared" si="87"/>
        <v>0.16669999999999999</v>
      </c>
      <c r="N620" s="6" t="str">
        <f t="shared" si="89"/>
        <v>100PFA39-6200</v>
      </c>
      <c r="O620" s="6" t="str">
        <f t="shared" si="90"/>
        <v>SINGING THE CHICAGO BLUES</v>
      </c>
    </row>
    <row r="621" spans="1:15">
      <c r="A621">
        <v>2</v>
      </c>
      <c r="B621" t="s">
        <v>9444</v>
      </c>
      <c r="C621" t="s">
        <v>9401</v>
      </c>
      <c r="D621">
        <v>1</v>
      </c>
      <c r="E621">
        <v>10</v>
      </c>
      <c r="F621">
        <v>1</v>
      </c>
      <c r="H621">
        <f t="shared" si="83"/>
        <v>2</v>
      </c>
      <c r="I621" t="str">
        <f t="shared" si="88"/>
        <v>200IQU99-520</v>
      </c>
      <c r="J621" s="6" t="str">
        <f t="shared" si="84"/>
        <v>Q PFA39 RETURN FILLER 60 X 144</v>
      </c>
      <c r="K621" s="6">
        <f t="shared" si="85"/>
        <v>1</v>
      </c>
      <c r="L621" s="6">
        <f t="shared" si="86"/>
        <v>10</v>
      </c>
      <c r="M621" s="6">
        <f t="shared" si="87"/>
        <v>1</v>
      </c>
      <c r="N621" s="6" t="str">
        <f t="shared" si="89"/>
        <v>100PFA39-6200</v>
      </c>
      <c r="O621" s="6" t="str">
        <f t="shared" si="90"/>
        <v>SINGING THE CHICAGO BLUES</v>
      </c>
    </row>
    <row r="622" spans="1:15">
      <c r="A622">
        <v>1</v>
      </c>
      <c r="B622" t="s">
        <v>9151</v>
      </c>
      <c r="C622" t="s">
        <v>9152</v>
      </c>
      <c r="D622">
        <v>1</v>
      </c>
      <c r="E622">
        <v>10</v>
      </c>
      <c r="F622">
        <v>1.1133999999999999</v>
      </c>
      <c r="H622">
        <f t="shared" si="83"/>
        <v>1</v>
      </c>
      <c r="I622" t="str">
        <f t="shared" si="88"/>
        <v>200PFA39-5201</v>
      </c>
      <c r="J622" s="6" t="str">
        <f t="shared" si="84"/>
        <v>SING CHICAGO BLUES 60 X 144</v>
      </c>
      <c r="K622" s="6">
        <f t="shared" si="85"/>
        <v>1</v>
      </c>
      <c r="L622" s="6">
        <f t="shared" si="86"/>
        <v>10</v>
      </c>
      <c r="M622" s="6">
        <f t="shared" si="87"/>
        <v>1.1133999999999999</v>
      </c>
      <c r="N622" s="6" t="str">
        <f t="shared" si="89"/>
        <v>100PFA39-6200</v>
      </c>
      <c r="O622" s="6" t="str">
        <f t="shared" si="90"/>
        <v>SINGING THE CHICAGO BLUES</v>
      </c>
    </row>
    <row r="623" spans="1:15">
      <c r="A623">
        <v>4</v>
      </c>
      <c r="B623" t="s">
        <v>9473</v>
      </c>
      <c r="C623" t="s">
        <v>9474</v>
      </c>
      <c r="D623">
        <v>1</v>
      </c>
      <c r="E623">
        <v>91</v>
      </c>
      <c r="F623">
        <v>1</v>
      </c>
      <c r="H623">
        <f t="shared" si="83"/>
        <v>4</v>
      </c>
      <c r="I623" t="str">
        <f t="shared" si="88"/>
        <v>QUBPFA39PPK6</v>
      </c>
      <c r="J623" s="6" t="str">
        <f t="shared" si="84"/>
        <v>Q PFA39 SING C/BLUES CG LEFT L</v>
      </c>
      <c r="K623" s="6">
        <f t="shared" si="85"/>
        <v>1</v>
      </c>
      <c r="L623" s="6">
        <f t="shared" si="86"/>
        <v>91</v>
      </c>
      <c r="M623" s="6">
        <f t="shared" si="87"/>
        <v>1</v>
      </c>
      <c r="N623" s="6" t="str">
        <f t="shared" si="89"/>
        <v>100PFA39-6200</v>
      </c>
      <c r="O623" s="6" t="str">
        <f t="shared" si="90"/>
        <v>SINGING THE CHICAGO BLUES</v>
      </c>
    </row>
    <row r="624" spans="1:15">
      <c r="A624">
        <v>3</v>
      </c>
      <c r="B624" t="s">
        <v>9445</v>
      </c>
      <c r="C624" t="s">
        <v>9446</v>
      </c>
      <c r="D624">
        <v>1</v>
      </c>
      <c r="E624">
        <v>10</v>
      </c>
      <c r="F624">
        <v>0.5</v>
      </c>
      <c r="H624">
        <f t="shared" si="83"/>
        <v>3</v>
      </c>
      <c r="I624" t="str">
        <f t="shared" si="88"/>
        <v>J75IQU92NQ79</v>
      </c>
      <c r="J624" s="6" t="str">
        <f t="shared" si="84"/>
        <v>Q PFA39 L S\APP 59.81 X 67.25</v>
      </c>
      <c r="K624" s="6">
        <f t="shared" si="85"/>
        <v>1</v>
      </c>
      <c r="L624" s="6">
        <f t="shared" si="86"/>
        <v>10</v>
      </c>
      <c r="M624" s="6">
        <f t="shared" si="87"/>
        <v>0.5</v>
      </c>
      <c r="N624" s="6" t="str">
        <f t="shared" si="89"/>
        <v>100PFA39-6200</v>
      </c>
      <c r="O624" s="6" t="str">
        <f t="shared" si="90"/>
        <v>SINGING THE CHICAGO BLUES</v>
      </c>
    </row>
    <row r="625" spans="1:15">
      <c r="A625">
        <v>2</v>
      </c>
      <c r="B625" t="s">
        <v>9447</v>
      </c>
      <c r="C625" t="s">
        <v>9413</v>
      </c>
      <c r="D625">
        <v>1</v>
      </c>
      <c r="E625">
        <v>10</v>
      </c>
      <c r="F625">
        <v>1</v>
      </c>
      <c r="H625">
        <f t="shared" si="83"/>
        <v>2</v>
      </c>
      <c r="I625" t="str">
        <f t="shared" si="88"/>
        <v>200IQU92-520</v>
      </c>
      <c r="J625" s="6" t="str">
        <f t="shared" si="84"/>
        <v>Q PFA39 L SHORT APPR 60 X 144</v>
      </c>
      <c r="K625" s="6">
        <f t="shared" si="85"/>
        <v>1</v>
      </c>
      <c r="L625" s="6">
        <f t="shared" si="86"/>
        <v>10</v>
      </c>
      <c r="M625" s="6">
        <f t="shared" si="87"/>
        <v>1</v>
      </c>
      <c r="N625" s="6" t="str">
        <f t="shared" si="89"/>
        <v>100PFA39-6200</v>
      </c>
      <c r="O625" s="6" t="str">
        <f t="shared" si="90"/>
        <v>SINGING THE CHICAGO BLUES</v>
      </c>
    </row>
    <row r="626" spans="1:15">
      <c r="A626">
        <v>1</v>
      </c>
      <c r="B626" t="s">
        <v>9151</v>
      </c>
      <c r="C626" t="s">
        <v>9152</v>
      </c>
      <c r="D626">
        <v>1</v>
      </c>
      <c r="E626">
        <v>10</v>
      </c>
      <c r="F626">
        <v>1.1133999999999999</v>
      </c>
      <c r="H626">
        <f t="shared" si="83"/>
        <v>1</v>
      </c>
      <c r="I626" t="str">
        <f t="shared" si="88"/>
        <v>200PFA39-5201</v>
      </c>
      <c r="J626" s="6" t="str">
        <f t="shared" si="84"/>
        <v>SING CHICAGO BLUES 60 X 144</v>
      </c>
      <c r="K626" s="6">
        <f t="shared" si="85"/>
        <v>1</v>
      </c>
      <c r="L626" s="6">
        <f t="shared" si="86"/>
        <v>10</v>
      </c>
      <c r="M626" s="6">
        <f t="shared" si="87"/>
        <v>1.1133999999999999</v>
      </c>
      <c r="N626" s="6" t="str">
        <f t="shared" si="89"/>
        <v>100PFA39-6200</v>
      </c>
      <c r="O626" s="6" t="str">
        <f t="shared" si="90"/>
        <v>SINGING THE CHICAGO BLUES</v>
      </c>
    </row>
    <row r="627" spans="1:15">
      <c r="A627">
        <v>4</v>
      </c>
      <c r="B627" t="s">
        <v>9473</v>
      </c>
      <c r="C627" t="s">
        <v>9474</v>
      </c>
      <c r="D627">
        <v>1</v>
      </c>
      <c r="E627">
        <v>91</v>
      </c>
      <c r="F627">
        <v>1</v>
      </c>
      <c r="H627">
        <f t="shared" si="83"/>
        <v>4</v>
      </c>
      <c r="I627" t="str">
        <f t="shared" si="88"/>
        <v>QUBPFA39PPK6</v>
      </c>
      <c r="J627" s="6" t="str">
        <f t="shared" si="84"/>
        <v>Q PFA39 SING C/BLUES CG LEFT L</v>
      </c>
      <c r="K627" s="6">
        <f t="shared" si="85"/>
        <v>1</v>
      </c>
      <c r="L627" s="6">
        <f t="shared" si="86"/>
        <v>91</v>
      </c>
      <c r="M627" s="6">
        <f t="shared" si="87"/>
        <v>1</v>
      </c>
      <c r="N627" s="6" t="str">
        <f t="shared" si="89"/>
        <v>100PFA39-6200</v>
      </c>
      <c r="O627" s="6" t="str">
        <f t="shared" si="90"/>
        <v>SINGING THE CHICAGO BLUES</v>
      </c>
    </row>
    <row r="628" spans="1:15">
      <c r="A628">
        <v>3</v>
      </c>
      <c r="B628" t="s">
        <v>9451</v>
      </c>
      <c r="C628" t="s">
        <v>9419</v>
      </c>
      <c r="D628">
        <v>1</v>
      </c>
      <c r="E628">
        <v>10</v>
      </c>
      <c r="F628">
        <v>1</v>
      </c>
      <c r="H628">
        <f t="shared" si="83"/>
        <v>3</v>
      </c>
      <c r="I628" t="str">
        <f t="shared" si="88"/>
        <v>J75IQU94NQ81</v>
      </c>
      <c r="J628" s="6" t="str">
        <f t="shared" si="84"/>
        <v>Q PFA39 L  APPR 59.81 X 144.00</v>
      </c>
      <c r="K628" s="6">
        <f t="shared" si="85"/>
        <v>1</v>
      </c>
      <c r="L628" s="6">
        <f t="shared" si="86"/>
        <v>10</v>
      </c>
      <c r="M628" s="6">
        <f t="shared" si="87"/>
        <v>1</v>
      </c>
      <c r="N628" s="6" t="str">
        <f t="shared" si="89"/>
        <v>100PFA39-6200</v>
      </c>
      <c r="O628" s="6" t="str">
        <f t="shared" si="90"/>
        <v>SINGING THE CHICAGO BLUES</v>
      </c>
    </row>
    <row r="629" spans="1:15">
      <c r="A629">
        <v>2</v>
      </c>
      <c r="B629" t="s">
        <v>9452</v>
      </c>
      <c r="C629" t="s">
        <v>9421</v>
      </c>
      <c r="D629">
        <v>1</v>
      </c>
      <c r="E629">
        <v>10</v>
      </c>
      <c r="F629">
        <v>1</v>
      </c>
      <c r="H629">
        <f t="shared" si="83"/>
        <v>2</v>
      </c>
      <c r="I629" t="str">
        <f t="shared" si="88"/>
        <v>200IQU94-520</v>
      </c>
      <c r="J629" s="6" t="str">
        <f t="shared" si="84"/>
        <v>Q PFA39 L LONG APPR 60 X 144</v>
      </c>
      <c r="K629" s="6">
        <f t="shared" si="85"/>
        <v>1</v>
      </c>
      <c r="L629" s="6">
        <f t="shared" si="86"/>
        <v>10</v>
      </c>
      <c r="M629" s="6">
        <f t="shared" si="87"/>
        <v>1</v>
      </c>
      <c r="N629" s="6" t="str">
        <f t="shared" si="89"/>
        <v>100PFA39-6200</v>
      </c>
      <c r="O629" s="6" t="str">
        <f t="shared" si="90"/>
        <v>SINGING THE CHICAGO BLUES</v>
      </c>
    </row>
    <row r="630" spans="1:15">
      <c r="A630">
        <v>1</v>
      </c>
      <c r="B630" t="s">
        <v>9151</v>
      </c>
      <c r="C630" t="s">
        <v>9152</v>
      </c>
      <c r="D630">
        <v>1</v>
      </c>
      <c r="E630">
        <v>10</v>
      </c>
      <c r="F630">
        <v>1.1133999999999999</v>
      </c>
      <c r="H630">
        <f t="shared" si="83"/>
        <v>1</v>
      </c>
      <c r="I630" t="str">
        <f t="shared" si="88"/>
        <v>200PFA39-5201</v>
      </c>
      <c r="J630" s="6" t="str">
        <f t="shared" si="84"/>
        <v>SING CHICAGO BLUES 60 X 144</v>
      </c>
      <c r="K630" s="6">
        <f t="shared" si="85"/>
        <v>1</v>
      </c>
      <c r="L630" s="6">
        <f t="shared" si="86"/>
        <v>10</v>
      </c>
      <c r="M630" s="6">
        <f t="shared" si="87"/>
        <v>1.1133999999999999</v>
      </c>
      <c r="N630" s="6" t="str">
        <f t="shared" si="89"/>
        <v>100PFA39-6200</v>
      </c>
      <c r="O630" s="6" t="str">
        <f t="shared" si="90"/>
        <v>SINGING THE CHICAGO BLUES</v>
      </c>
    </row>
    <row r="631" spans="1:15">
      <c r="A631">
        <v>4</v>
      </c>
      <c r="B631" t="s">
        <v>9473</v>
      </c>
      <c r="C631" t="s">
        <v>9474</v>
      </c>
      <c r="D631">
        <v>1</v>
      </c>
      <c r="E631">
        <v>91</v>
      </c>
      <c r="F631">
        <v>1</v>
      </c>
      <c r="H631">
        <f t="shared" si="83"/>
        <v>4</v>
      </c>
      <c r="I631" t="str">
        <f t="shared" si="88"/>
        <v>QUBPFA39PPK6</v>
      </c>
      <c r="J631" s="6" t="str">
        <f t="shared" si="84"/>
        <v>Q PFA39 SING C/BLUES CG LEFT L</v>
      </c>
      <c r="K631" s="6">
        <f t="shared" si="85"/>
        <v>1</v>
      </c>
      <c r="L631" s="6">
        <f t="shared" si="86"/>
        <v>91</v>
      </c>
      <c r="M631" s="6">
        <f t="shared" si="87"/>
        <v>1</v>
      </c>
      <c r="N631" s="6" t="str">
        <f t="shared" si="89"/>
        <v>100PFA39-6200</v>
      </c>
      <c r="O631" s="6" t="str">
        <f t="shared" si="90"/>
        <v>SINGING THE CHICAGO BLUES</v>
      </c>
    </row>
    <row r="632" spans="1:15">
      <c r="A632">
        <v>3</v>
      </c>
      <c r="B632" t="s">
        <v>9458</v>
      </c>
      <c r="C632" t="s">
        <v>9459</v>
      </c>
      <c r="D632">
        <v>1</v>
      </c>
      <c r="E632">
        <v>10</v>
      </c>
      <c r="F632">
        <v>1</v>
      </c>
      <c r="H632">
        <f t="shared" si="83"/>
        <v>3</v>
      </c>
      <c r="I632" t="str">
        <f t="shared" si="88"/>
        <v>J75IQU97PQ25</v>
      </c>
      <c r="J632" s="6" t="str">
        <f t="shared" si="84"/>
        <v>Q PFA39 ARROW 41.875 X 144</v>
      </c>
      <c r="K632" s="6">
        <f t="shared" si="85"/>
        <v>1</v>
      </c>
      <c r="L632" s="6">
        <f t="shared" si="86"/>
        <v>10</v>
      </c>
      <c r="M632" s="6">
        <f t="shared" si="87"/>
        <v>1</v>
      </c>
      <c r="N632" s="6" t="str">
        <f t="shared" si="89"/>
        <v>100PFA39-6200</v>
      </c>
      <c r="O632" s="6" t="str">
        <f t="shared" si="90"/>
        <v>SINGING THE CHICAGO BLUES</v>
      </c>
    </row>
    <row r="633" spans="1:15">
      <c r="A633">
        <v>2</v>
      </c>
      <c r="B633" t="s">
        <v>9460</v>
      </c>
      <c r="C633" t="s">
        <v>9437</v>
      </c>
      <c r="D633">
        <v>1</v>
      </c>
      <c r="E633">
        <v>10</v>
      </c>
      <c r="F633">
        <v>1</v>
      </c>
      <c r="H633">
        <f t="shared" ref="H633:H696" si="91">A633</f>
        <v>2</v>
      </c>
      <c r="I633" t="str">
        <f t="shared" si="88"/>
        <v>200IQU97-120</v>
      </c>
      <c r="J633" s="6" t="str">
        <f t="shared" ref="J633:J696" si="92">C633</f>
        <v>Q PFA39 ARROW  43 X 145</v>
      </c>
      <c r="K633" s="6">
        <f t="shared" ref="K633:K696" si="93">D633</f>
        <v>1</v>
      </c>
      <c r="L633" s="6">
        <f t="shared" ref="L633:L696" si="94">E633</f>
        <v>10</v>
      </c>
      <c r="M633" s="6">
        <f t="shared" ref="M633:M696" si="95">F633</f>
        <v>1</v>
      </c>
      <c r="N633" s="6" t="str">
        <f t="shared" si="89"/>
        <v>100PFA39-6200</v>
      </c>
      <c r="O633" s="6" t="str">
        <f t="shared" si="90"/>
        <v>SINGING THE CHICAGO BLUES</v>
      </c>
    </row>
    <row r="634" spans="1:15">
      <c r="A634">
        <v>1</v>
      </c>
      <c r="B634" t="s">
        <v>9181</v>
      </c>
      <c r="C634" t="s">
        <v>9182</v>
      </c>
      <c r="D634">
        <v>1</v>
      </c>
      <c r="E634">
        <v>10</v>
      </c>
      <c r="F634">
        <v>1.1133999999999999</v>
      </c>
      <c r="H634">
        <f t="shared" si="91"/>
        <v>1</v>
      </c>
      <c r="I634" t="str">
        <f t="shared" si="88"/>
        <v>200PFA39-12L1</v>
      </c>
      <c r="J634" s="6" t="str">
        <f t="shared" si="92"/>
        <v>SING CHICAGO BLUES (L) 43X145</v>
      </c>
      <c r="K634" s="6">
        <f t="shared" si="93"/>
        <v>1</v>
      </c>
      <c r="L634" s="6">
        <f t="shared" si="94"/>
        <v>10</v>
      </c>
      <c r="M634" s="6">
        <f t="shared" si="95"/>
        <v>1.1133999999999999</v>
      </c>
      <c r="N634" s="6" t="str">
        <f t="shared" si="89"/>
        <v>100PFA39-6200</v>
      </c>
      <c r="O634" s="6" t="str">
        <f t="shared" si="90"/>
        <v>SINGING THE CHICAGO BLUES</v>
      </c>
    </row>
    <row r="635" spans="1:15">
      <c r="A635">
        <v>4</v>
      </c>
      <c r="B635" t="s">
        <v>9473</v>
      </c>
      <c r="C635" t="s">
        <v>9474</v>
      </c>
      <c r="D635">
        <v>1</v>
      </c>
      <c r="E635">
        <v>91</v>
      </c>
      <c r="F635">
        <v>3</v>
      </c>
      <c r="H635">
        <f t="shared" si="91"/>
        <v>4</v>
      </c>
      <c r="I635" t="str">
        <f t="shared" si="88"/>
        <v>QUBPFA39PPK6</v>
      </c>
      <c r="J635" s="6" t="str">
        <f t="shared" si="92"/>
        <v>Q PFA39 SING C/BLUES CG LEFT L</v>
      </c>
      <c r="K635" s="6">
        <f t="shared" si="93"/>
        <v>1</v>
      </c>
      <c r="L635" s="6">
        <f t="shared" si="94"/>
        <v>91</v>
      </c>
      <c r="M635" s="6">
        <f t="shared" si="95"/>
        <v>3</v>
      </c>
      <c r="N635" s="6" t="str">
        <f t="shared" si="89"/>
        <v>100PFA39-6200</v>
      </c>
      <c r="O635" s="6" t="str">
        <f t="shared" si="90"/>
        <v>SINGING THE CHICAGO BLUES</v>
      </c>
    </row>
    <row r="636" spans="1:15">
      <c r="A636">
        <v>3</v>
      </c>
      <c r="B636" t="s">
        <v>9461</v>
      </c>
      <c r="C636" t="s">
        <v>9439</v>
      </c>
      <c r="D636">
        <v>1</v>
      </c>
      <c r="E636">
        <v>10</v>
      </c>
      <c r="F636">
        <v>1</v>
      </c>
      <c r="H636">
        <f t="shared" si="91"/>
        <v>3</v>
      </c>
      <c r="I636" t="str">
        <f t="shared" si="88"/>
        <v>J75IQU98PQ25</v>
      </c>
      <c r="J636" s="6" t="str">
        <f t="shared" si="92"/>
        <v>Q PFA39 COMMON  41.875 X 144</v>
      </c>
      <c r="K636" s="6">
        <f t="shared" si="93"/>
        <v>1</v>
      </c>
      <c r="L636" s="6">
        <f t="shared" si="94"/>
        <v>10</v>
      </c>
      <c r="M636" s="6">
        <f t="shared" si="95"/>
        <v>1</v>
      </c>
      <c r="N636" s="6" t="str">
        <f t="shared" si="89"/>
        <v>100PFA39-6200</v>
      </c>
      <c r="O636" s="6" t="str">
        <f t="shared" si="90"/>
        <v>SINGING THE CHICAGO BLUES</v>
      </c>
    </row>
    <row r="637" spans="1:15">
      <c r="A637">
        <v>2</v>
      </c>
      <c r="B637" t="s">
        <v>9462</v>
      </c>
      <c r="C637" t="s">
        <v>9441</v>
      </c>
      <c r="D637">
        <v>1</v>
      </c>
      <c r="E637">
        <v>10</v>
      </c>
      <c r="F637">
        <v>1</v>
      </c>
      <c r="H637">
        <f t="shared" si="91"/>
        <v>2</v>
      </c>
      <c r="I637" t="str">
        <f t="shared" si="88"/>
        <v>200IQU98-120</v>
      </c>
      <c r="J637" s="6" t="str">
        <f t="shared" si="92"/>
        <v>Q PFA39 COMMON  43 X 145</v>
      </c>
      <c r="K637" s="6">
        <f t="shared" si="93"/>
        <v>1</v>
      </c>
      <c r="L637" s="6">
        <f t="shared" si="94"/>
        <v>10</v>
      </c>
      <c r="M637" s="6">
        <f t="shared" si="95"/>
        <v>1</v>
      </c>
      <c r="N637" s="6" t="str">
        <f t="shared" si="89"/>
        <v>100PFA39-6200</v>
      </c>
      <c r="O637" s="6" t="str">
        <f t="shared" si="90"/>
        <v>SINGING THE CHICAGO BLUES</v>
      </c>
    </row>
    <row r="638" spans="1:15">
      <c r="A638">
        <v>1</v>
      </c>
      <c r="B638" t="s">
        <v>9181</v>
      </c>
      <c r="C638" t="s">
        <v>9182</v>
      </c>
      <c r="D638">
        <v>1</v>
      </c>
      <c r="E638">
        <v>10</v>
      </c>
      <c r="F638">
        <v>1.1133999999999999</v>
      </c>
      <c r="H638">
        <f t="shared" si="91"/>
        <v>1</v>
      </c>
      <c r="I638" t="str">
        <f t="shared" si="88"/>
        <v>200PFA39-12L1</v>
      </c>
      <c r="J638" s="6" t="str">
        <f t="shared" si="92"/>
        <v>SING CHICAGO BLUES (L) 43X145</v>
      </c>
      <c r="K638" s="6">
        <f t="shared" si="93"/>
        <v>1</v>
      </c>
      <c r="L638" s="6">
        <f t="shared" si="94"/>
        <v>10</v>
      </c>
      <c r="M638" s="6">
        <f t="shared" si="95"/>
        <v>1.1133999999999999</v>
      </c>
      <c r="N638" s="6" t="str">
        <f t="shared" si="89"/>
        <v>100PFA39-6200</v>
      </c>
      <c r="O638" s="6" t="str">
        <f t="shared" si="90"/>
        <v>SINGING THE CHICAGO BLUES</v>
      </c>
    </row>
    <row r="639" spans="1:15">
      <c r="A639">
        <v>4</v>
      </c>
      <c r="B639" t="s">
        <v>9473</v>
      </c>
      <c r="C639" t="s">
        <v>9474</v>
      </c>
      <c r="D639">
        <v>1</v>
      </c>
      <c r="E639">
        <v>91</v>
      </c>
      <c r="F639">
        <v>1</v>
      </c>
      <c r="H639">
        <f t="shared" si="91"/>
        <v>4</v>
      </c>
      <c r="I639" t="str">
        <f t="shared" si="88"/>
        <v>QUBPFA39PPK6</v>
      </c>
      <c r="J639" s="6" t="str">
        <f t="shared" si="92"/>
        <v>Q PFA39 SING C/BLUES CG LEFT L</v>
      </c>
      <c r="K639" s="6">
        <f t="shared" si="93"/>
        <v>1</v>
      </c>
      <c r="L639" s="6">
        <f t="shared" si="94"/>
        <v>91</v>
      </c>
      <c r="M639" s="6">
        <f t="shared" si="95"/>
        <v>1</v>
      </c>
      <c r="N639" s="6" t="str">
        <f t="shared" si="89"/>
        <v>100PFA39-6200</v>
      </c>
      <c r="O639" s="6" t="str">
        <f t="shared" si="90"/>
        <v>SINGING THE CHICAGO BLUES</v>
      </c>
    </row>
    <row r="640" spans="1:15">
      <c r="A640">
        <v>3</v>
      </c>
      <c r="B640" t="s">
        <v>9469</v>
      </c>
      <c r="C640" t="s">
        <v>9470</v>
      </c>
      <c r="D640">
        <v>1</v>
      </c>
      <c r="E640">
        <v>10</v>
      </c>
      <c r="F640">
        <v>1</v>
      </c>
      <c r="H640">
        <f t="shared" si="91"/>
        <v>3</v>
      </c>
      <c r="I640" t="str">
        <f t="shared" si="88"/>
        <v>J75IQ117PQ83</v>
      </c>
      <c r="J640" s="6" t="str">
        <f t="shared" si="92"/>
        <v>Q PFA39 CG FOUL 41.875 X 144</v>
      </c>
      <c r="K640" s="6">
        <f t="shared" si="93"/>
        <v>1</v>
      </c>
      <c r="L640" s="6">
        <f t="shared" si="94"/>
        <v>10</v>
      </c>
      <c r="M640" s="6">
        <f t="shared" si="95"/>
        <v>1</v>
      </c>
      <c r="N640" s="6" t="str">
        <f t="shared" si="89"/>
        <v>100PFA39-6200</v>
      </c>
      <c r="O640" s="6" t="str">
        <f t="shared" si="90"/>
        <v>SINGING THE CHICAGO BLUES</v>
      </c>
    </row>
    <row r="641" spans="1:15">
      <c r="A641">
        <v>2</v>
      </c>
      <c r="B641" t="s">
        <v>9471</v>
      </c>
      <c r="C641" t="s">
        <v>9472</v>
      </c>
      <c r="D641">
        <v>1</v>
      </c>
      <c r="E641">
        <v>10</v>
      </c>
      <c r="F641">
        <v>1</v>
      </c>
      <c r="H641">
        <f t="shared" si="91"/>
        <v>2</v>
      </c>
      <c r="I641" t="str">
        <f t="shared" si="88"/>
        <v>200IQ117-120</v>
      </c>
      <c r="J641" s="6" t="str">
        <f t="shared" si="92"/>
        <v>Q PFA39 CG FOUL LINE 43 X 145</v>
      </c>
      <c r="K641" s="6">
        <f t="shared" si="93"/>
        <v>1</v>
      </c>
      <c r="L641" s="6">
        <f t="shared" si="94"/>
        <v>10</v>
      </c>
      <c r="M641" s="6">
        <f t="shared" si="95"/>
        <v>1</v>
      </c>
      <c r="N641" s="6" t="str">
        <f t="shared" si="89"/>
        <v>100PFA39-6200</v>
      </c>
      <c r="O641" s="6" t="str">
        <f t="shared" si="90"/>
        <v>SINGING THE CHICAGO BLUES</v>
      </c>
    </row>
    <row r="642" spans="1:15">
      <c r="A642">
        <v>1</v>
      </c>
      <c r="B642" t="s">
        <v>9181</v>
      </c>
      <c r="C642" t="s">
        <v>9182</v>
      </c>
      <c r="D642">
        <v>1</v>
      </c>
      <c r="E642">
        <v>10</v>
      </c>
      <c r="F642">
        <v>1.1133999999999999</v>
      </c>
      <c r="H642">
        <f t="shared" si="91"/>
        <v>1</v>
      </c>
      <c r="I642" t="str">
        <f t="shared" si="88"/>
        <v>200PFA39-12L1</v>
      </c>
      <c r="J642" s="6" t="str">
        <f t="shared" si="92"/>
        <v>SING CHICAGO BLUES (L) 43X145</v>
      </c>
      <c r="K642" s="6">
        <f t="shared" si="93"/>
        <v>1</v>
      </c>
      <c r="L642" s="6">
        <f t="shared" si="94"/>
        <v>10</v>
      </c>
      <c r="M642" s="6">
        <f t="shared" si="95"/>
        <v>1.1133999999999999</v>
      </c>
      <c r="N642" s="6" t="str">
        <f t="shared" si="89"/>
        <v>100PFA39-6200</v>
      </c>
      <c r="O642" s="6" t="str">
        <f t="shared" si="90"/>
        <v>SINGING THE CHICAGO BLUES</v>
      </c>
    </row>
    <row r="643" spans="1:15">
      <c r="A643">
        <v>4</v>
      </c>
      <c r="B643" t="s">
        <v>9475</v>
      </c>
      <c r="C643" t="s">
        <v>9476</v>
      </c>
      <c r="D643">
        <v>1</v>
      </c>
      <c r="E643">
        <v>91</v>
      </c>
      <c r="F643">
        <v>1</v>
      </c>
      <c r="H643">
        <f t="shared" si="91"/>
        <v>4</v>
      </c>
      <c r="I643" t="str">
        <f t="shared" si="88"/>
        <v>QUBPFA39PPK7</v>
      </c>
      <c r="J643" s="6" t="str">
        <f t="shared" si="92"/>
        <v>Q PFA39 SING C/BLUES CG R LP</v>
      </c>
      <c r="K643" s="6">
        <f t="shared" si="93"/>
        <v>1</v>
      </c>
      <c r="L643" s="6">
        <f t="shared" si="94"/>
        <v>91</v>
      </c>
      <c r="M643" s="6">
        <f t="shared" si="95"/>
        <v>1</v>
      </c>
      <c r="N643" s="6" t="str">
        <f t="shared" si="89"/>
        <v>100PFA39-6200</v>
      </c>
      <c r="O643" s="6" t="str">
        <f t="shared" si="90"/>
        <v>SINGING THE CHICAGO BLUES</v>
      </c>
    </row>
    <row r="644" spans="1:15">
      <c r="A644">
        <v>3</v>
      </c>
      <c r="B644" t="s">
        <v>9455</v>
      </c>
      <c r="C644" t="s">
        <v>9427</v>
      </c>
      <c r="D644">
        <v>1</v>
      </c>
      <c r="E644">
        <v>10</v>
      </c>
      <c r="F644">
        <v>0.33329999999999999</v>
      </c>
      <c r="H644">
        <f t="shared" si="91"/>
        <v>3</v>
      </c>
      <c r="I644" t="str">
        <f t="shared" si="88"/>
        <v>J75IQU99NQ26</v>
      </c>
      <c r="J644" s="6" t="str">
        <f t="shared" si="92"/>
        <v>Q PFA39 RET FILL LONG 15X144.0</v>
      </c>
      <c r="K644" s="6">
        <f t="shared" si="93"/>
        <v>1</v>
      </c>
      <c r="L644" s="6">
        <f t="shared" si="94"/>
        <v>10</v>
      </c>
      <c r="M644" s="6">
        <f t="shared" si="95"/>
        <v>0.33329999999999999</v>
      </c>
      <c r="N644" s="6" t="str">
        <f t="shared" si="89"/>
        <v>100PFA39-6200</v>
      </c>
      <c r="O644" s="6" t="str">
        <f t="shared" si="90"/>
        <v>SINGING THE CHICAGO BLUES</v>
      </c>
    </row>
    <row r="645" spans="1:15">
      <c r="A645">
        <v>2</v>
      </c>
      <c r="B645" t="s">
        <v>9444</v>
      </c>
      <c r="C645" t="s">
        <v>9401</v>
      </c>
      <c r="D645">
        <v>1</v>
      </c>
      <c r="E645">
        <v>10</v>
      </c>
      <c r="F645">
        <v>1</v>
      </c>
      <c r="H645">
        <f t="shared" si="91"/>
        <v>2</v>
      </c>
      <c r="I645" t="str">
        <f t="shared" si="88"/>
        <v>200IQU99-520</v>
      </c>
      <c r="J645" s="6" t="str">
        <f t="shared" si="92"/>
        <v>Q PFA39 RETURN FILLER 60 X 144</v>
      </c>
      <c r="K645" s="6">
        <f t="shared" si="93"/>
        <v>1</v>
      </c>
      <c r="L645" s="6">
        <f t="shared" si="94"/>
        <v>10</v>
      </c>
      <c r="M645" s="6">
        <f t="shared" si="95"/>
        <v>1</v>
      </c>
      <c r="N645" s="6" t="str">
        <f t="shared" si="89"/>
        <v>100PFA39-6200</v>
      </c>
      <c r="O645" s="6" t="str">
        <f t="shared" si="90"/>
        <v>SINGING THE CHICAGO BLUES</v>
      </c>
    </row>
    <row r="646" spans="1:15">
      <c r="A646">
        <v>1</v>
      </c>
      <c r="B646" t="s">
        <v>9151</v>
      </c>
      <c r="C646" t="s">
        <v>9152</v>
      </c>
      <c r="D646">
        <v>1</v>
      </c>
      <c r="E646">
        <v>10</v>
      </c>
      <c r="F646">
        <v>1.1133999999999999</v>
      </c>
      <c r="H646">
        <f t="shared" si="91"/>
        <v>1</v>
      </c>
      <c r="I646" t="str">
        <f t="shared" si="88"/>
        <v>200PFA39-5201</v>
      </c>
      <c r="J646" s="6" t="str">
        <f t="shared" si="92"/>
        <v>SING CHICAGO BLUES 60 X 144</v>
      </c>
      <c r="K646" s="6">
        <f t="shared" si="93"/>
        <v>1</v>
      </c>
      <c r="L646" s="6">
        <f t="shared" si="94"/>
        <v>10</v>
      </c>
      <c r="M646" s="6">
        <f t="shared" si="95"/>
        <v>1.1133999999999999</v>
      </c>
      <c r="N646" s="6" t="str">
        <f t="shared" si="89"/>
        <v>100PFA39-6200</v>
      </c>
      <c r="O646" s="6" t="str">
        <f t="shared" si="90"/>
        <v>SINGING THE CHICAGO BLUES</v>
      </c>
    </row>
    <row r="647" spans="1:15">
      <c r="A647">
        <v>4</v>
      </c>
      <c r="B647" t="s">
        <v>9475</v>
      </c>
      <c r="C647" t="s">
        <v>9476</v>
      </c>
      <c r="D647">
        <v>1</v>
      </c>
      <c r="E647">
        <v>91</v>
      </c>
      <c r="F647">
        <v>1</v>
      </c>
      <c r="H647">
        <f t="shared" si="91"/>
        <v>4</v>
      </c>
      <c r="I647" t="str">
        <f t="shared" ref="I647:I710" si="96">IFERROR(IF(SEARCH(" &lt;-",B647,1),LEFT(B647,SEARCH(" ",B647,1)-1),""),LEFT(B647,SEARCH("View",B647,1)-1))</f>
        <v>QUBPFA39PPK7</v>
      </c>
      <c r="J647" s="6" t="str">
        <f t="shared" si="92"/>
        <v>Q PFA39 SING C/BLUES CG R LP</v>
      </c>
      <c r="K647" s="6">
        <f t="shared" si="93"/>
        <v>1</v>
      </c>
      <c r="L647" s="6">
        <f t="shared" si="94"/>
        <v>91</v>
      </c>
      <c r="M647" s="6">
        <f t="shared" si="95"/>
        <v>1</v>
      </c>
      <c r="N647" s="6" t="str">
        <f t="shared" ref="N647:N710" si="97">TRIM($B$1)</f>
        <v>100PFA39-6200</v>
      </c>
      <c r="O647" s="6" t="str">
        <f t="shared" ref="O647:O710" si="98">TRIM($C$1)</f>
        <v>SINGING THE CHICAGO BLUES</v>
      </c>
    </row>
    <row r="648" spans="1:15">
      <c r="A648">
        <v>3</v>
      </c>
      <c r="B648" t="s">
        <v>9443</v>
      </c>
      <c r="C648" t="s">
        <v>9429</v>
      </c>
      <c r="D648">
        <v>1</v>
      </c>
      <c r="E648">
        <v>10</v>
      </c>
      <c r="F648">
        <v>0.16669999999999999</v>
      </c>
      <c r="H648">
        <f t="shared" si="91"/>
        <v>3</v>
      </c>
      <c r="I648" t="str">
        <f t="shared" si="96"/>
        <v>J75IQU99NQ27</v>
      </c>
      <c r="J648" s="6" t="str">
        <f t="shared" si="92"/>
        <v>Q PFA39 RET FILL SHORT 15 X 61</v>
      </c>
      <c r="K648" s="6">
        <f t="shared" si="93"/>
        <v>1</v>
      </c>
      <c r="L648" s="6">
        <f t="shared" si="94"/>
        <v>10</v>
      </c>
      <c r="M648" s="6">
        <f t="shared" si="95"/>
        <v>0.16669999999999999</v>
      </c>
      <c r="N648" s="6" t="str">
        <f t="shared" si="97"/>
        <v>100PFA39-6200</v>
      </c>
      <c r="O648" s="6" t="str">
        <f t="shared" si="98"/>
        <v>SINGING THE CHICAGO BLUES</v>
      </c>
    </row>
    <row r="649" spans="1:15">
      <c r="A649">
        <v>2</v>
      </c>
      <c r="B649" t="s">
        <v>9444</v>
      </c>
      <c r="C649" t="s">
        <v>9401</v>
      </c>
      <c r="D649">
        <v>1</v>
      </c>
      <c r="E649">
        <v>10</v>
      </c>
      <c r="F649">
        <v>1</v>
      </c>
      <c r="H649">
        <f t="shared" si="91"/>
        <v>2</v>
      </c>
      <c r="I649" t="str">
        <f t="shared" si="96"/>
        <v>200IQU99-520</v>
      </c>
      <c r="J649" s="6" t="str">
        <f t="shared" si="92"/>
        <v>Q PFA39 RETURN FILLER 60 X 144</v>
      </c>
      <c r="K649" s="6">
        <f t="shared" si="93"/>
        <v>1</v>
      </c>
      <c r="L649" s="6">
        <f t="shared" si="94"/>
        <v>10</v>
      </c>
      <c r="M649" s="6">
        <f t="shared" si="95"/>
        <v>1</v>
      </c>
      <c r="N649" s="6" t="str">
        <f t="shared" si="97"/>
        <v>100PFA39-6200</v>
      </c>
      <c r="O649" s="6" t="str">
        <f t="shared" si="98"/>
        <v>SINGING THE CHICAGO BLUES</v>
      </c>
    </row>
    <row r="650" spans="1:15">
      <c r="A650">
        <v>1</v>
      </c>
      <c r="B650" t="s">
        <v>9151</v>
      </c>
      <c r="C650" t="s">
        <v>9152</v>
      </c>
      <c r="D650">
        <v>1</v>
      </c>
      <c r="E650">
        <v>10</v>
      </c>
      <c r="F650">
        <v>1.1133999999999999</v>
      </c>
      <c r="H650">
        <f t="shared" si="91"/>
        <v>1</v>
      </c>
      <c r="I650" t="str">
        <f t="shared" si="96"/>
        <v>200PFA39-5201</v>
      </c>
      <c r="J650" s="6" t="str">
        <f t="shared" si="92"/>
        <v>SING CHICAGO BLUES 60 X 144</v>
      </c>
      <c r="K650" s="6">
        <f t="shared" si="93"/>
        <v>1</v>
      </c>
      <c r="L650" s="6">
        <f t="shared" si="94"/>
        <v>10</v>
      </c>
      <c r="M650" s="6">
        <f t="shared" si="95"/>
        <v>1.1133999999999999</v>
      </c>
      <c r="N650" s="6" t="str">
        <f t="shared" si="97"/>
        <v>100PFA39-6200</v>
      </c>
      <c r="O650" s="6" t="str">
        <f t="shared" si="98"/>
        <v>SINGING THE CHICAGO BLUES</v>
      </c>
    </row>
    <row r="651" spans="1:15">
      <c r="A651">
        <v>4</v>
      </c>
      <c r="B651" t="s">
        <v>9475</v>
      </c>
      <c r="C651" t="s">
        <v>9476</v>
      </c>
      <c r="D651">
        <v>1</v>
      </c>
      <c r="E651">
        <v>91</v>
      </c>
      <c r="F651">
        <v>1</v>
      </c>
      <c r="H651">
        <f t="shared" si="91"/>
        <v>4</v>
      </c>
      <c r="I651" t="str">
        <f t="shared" si="96"/>
        <v>QUBPFA39PPK7</v>
      </c>
      <c r="J651" s="6" t="str">
        <f t="shared" si="92"/>
        <v>Q PFA39 SING C/BLUES CG R LP</v>
      </c>
      <c r="K651" s="6">
        <f t="shared" si="93"/>
        <v>1</v>
      </c>
      <c r="L651" s="6">
        <f t="shared" si="94"/>
        <v>91</v>
      </c>
      <c r="M651" s="6">
        <f t="shared" si="95"/>
        <v>1</v>
      </c>
      <c r="N651" s="6" t="str">
        <f t="shared" si="97"/>
        <v>100PFA39-6200</v>
      </c>
      <c r="O651" s="6" t="str">
        <f t="shared" si="98"/>
        <v>SINGING THE CHICAGO BLUES</v>
      </c>
    </row>
    <row r="652" spans="1:15">
      <c r="A652">
        <v>3</v>
      </c>
      <c r="B652" t="s">
        <v>9448</v>
      </c>
      <c r="C652" t="s">
        <v>9449</v>
      </c>
      <c r="D652">
        <v>1</v>
      </c>
      <c r="E652">
        <v>10</v>
      </c>
      <c r="F652">
        <v>0.5</v>
      </c>
      <c r="H652">
        <f t="shared" si="91"/>
        <v>3</v>
      </c>
      <c r="I652" t="str">
        <f t="shared" si="96"/>
        <v>J75IQU93NQ80</v>
      </c>
      <c r="J652" s="6" t="str">
        <f t="shared" si="92"/>
        <v>Q PFA39 R S\ APP 59.81 X 67.25</v>
      </c>
      <c r="K652" s="6">
        <f t="shared" si="93"/>
        <v>1</v>
      </c>
      <c r="L652" s="6">
        <f t="shared" si="94"/>
        <v>10</v>
      </c>
      <c r="M652" s="6">
        <f t="shared" si="95"/>
        <v>0.5</v>
      </c>
      <c r="N652" s="6" t="str">
        <f t="shared" si="97"/>
        <v>100PFA39-6200</v>
      </c>
      <c r="O652" s="6" t="str">
        <f t="shared" si="98"/>
        <v>SINGING THE CHICAGO BLUES</v>
      </c>
    </row>
    <row r="653" spans="1:15">
      <c r="A653">
        <v>2</v>
      </c>
      <c r="B653" t="s">
        <v>9450</v>
      </c>
      <c r="C653" t="s">
        <v>9417</v>
      </c>
      <c r="D653">
        <v>1</v>
      </c>
      <c r="E653">
        <v>10</v>
      </c>
      <c r="F653">
        <v>1</v>
      </c>
      <c r="H653">
        <f t="shared" si="91"/>
        <v>2</v>
      </c>
      <c r="I653" t="str">
        <f t="shared" si="96"/>
        <v>200IQU93-520</v>
      </c>
      <c r="J653" s="6" t="str">
        <f t="shared" si="92"/>
        <v>Q PFA39 R SHORT APPR 60 X 144</v>
      </c>
      <c r="K653" s="6">
        <f t="shared" si="93"/>
        <v>1</v>
      </c>
      <c r="L653" s="6">
        <f t="shared" si="94"/>
        <v>10</v>
      </c>
      <c r="M653" s="6">
        <f t="shared" si="95"/>
        <v>1</v>
      </c>
      <c r="N653" s="6" t="str">
        <f t="shared" si="97"/>
        <v>100PFA39-6200</v>
      </c>
      <c r="O653" s="6" t="str">
        <f t="shared" si="98"/>
        <v>SINGING THE CHICAGO BLUES</v>
      </c>
    </row>
    <row r="654" spans="1:15">
      <c r="A654">
        <v>1</v>
      </c>
      <c r="B654" t="s">
        <v>9151</v>
      </c>
      <c r="C654" t="s">
        <v>9152</v>
      </c>
      <c r="D654">
        <v>1</v>
      </c>
      <c r="E654">
        <v>10</v>
      </c>
      <c r="F654">
        <v>1.1133999999999999</v>
      </c>
      <c r="H654">
        <f t="shared" si="91"/>
        <v>1</v>
      </c>
      <c r="I654" t="str">
        <f t="shared" si="96"/>
        <v>200PFA39-5201</v>
      </c>
      <c r="J654" s="6" t="str">
        <f t="shared" si="92"/>
        <v>SING CHICAGO BLUES 60 X 144</v>
      </c>
      <c r="K654" s="6">
        <f t="shared" si="93"/>
        <v>1</v>
      </c>
      <c r="L654" s="6">
        <f t="shared" si="94"/>
        <v>10</v>
      </c>
      <c r="M654" s="6">
        <f t="shared" si="95"/>
        <v>1.1133999999999999</v>
      </c>
      <c r="N654" s="6" t="str">
        <f t="shared" si="97"/>
        <v>100PFA39-6200</v>
      </c>
      <c r="O654" s="6" t="str">
        <f t="shared" si="98"/>
        <v>SINGING THE CHICAGO BLUES</v>
      </c>
    </row>
    <row r="655" spans="1:15">
      <c r="A655">
        <v>4</v>
      </c>
      <c r="B655" t="s">
        <v>9475</v>
      </c>
      <c r="C655" t="s">
        <v>9476</v>
      </c>
      <c r="D655">
        <v>1</v>
      </c>
      <c r="E655">
        <v>91</v>
      </c>
      <c r="F655">
        <v>1</v>
      </c>
      <c r="H655">
        <f t="shared" si="91"/>
        <v>4</v>
      </c>
      <c r="I655" t="str">
        <f t="shared" si="96"/>
        <v>QUBPFA39PPK7</v>
      </c>
      <c r="J655" s="6" t="str">
        <f t="shared" si="92"/>
        <v>Q PFA39 SING C/BLUES CG R LP</v>
      </c>
      <c r="K655" s="6">
        <f t="shared" si="93"/>
        <v>1</v>
      </c>
      <c r="L655" s="6">
        <f t="shared" si="94"/>
        <v>91</v>
      </c>
      <c r="M655" s="6">
        <f t="shared" si="95"/>
        <v>1</v>
      </c>
      <c r="N655" s="6" t="str">
        <f t="shared" si="97"/>
        <v>100PFA39-6200</v>
      </c>
      <c r="O655" s="6" t="str">
        <f t="shared" si="98"/>
        <v>SINGING THE CHICAGO BLUES</v>
      </c>
    </row>
    <row r="656" spans="1:15">
      <c r="A656">
        <v>3</v>
      </c>
      <c r="B656" t="s">
        <v>9453</v>
      </c>
      <c r="C656" t="s">
        <v>9423</v>
      </c>
      <c r="D656">
        <v>1</v>
      </c>
      <c r="E656">
        <v>10</v>
      </c>
      <c r="F656">
        <v>1</v>
      </c>
      <c r="H656">
        <f t="shared" si="91"/>
        <v>3</v>
      </c>
      <c r="I656" t="str">
        <f t="shared" si="96"/>
        <v>J75IQU95NQ82</v>
      </c>
      <c r="J656" s="6" t="str">
        <f t="shared" si="92"/>
        <v>Q PFA39 R  APPR 59.81 X 144.00</v>
      </c>
      <c r="K656" s="6">
        <f t="shared" si="93"/>
        <v>1</v>
      </c>
      <c r="L656" s="6">
        <f t="shared" si="94"/>
        <v>10</v>
      </c>
      <c r="M656" s="6">
        <f t="shared" si="95"/>
        <v>1</v>
      </c>
      <c r="N656" s="6" t="str">
        <f t="shared" si="97"/>
        <v>100PFA39-6200</v>
      </c>
      <c r="O656" s="6" t="str">
        <f t="shared" si="98"/>
        <v>SINGING THE CHICAGO BLUES</v>
      </c>
    </row>
    <row r="657" spans="1:15">
      <c r="A657">
        <v>2</v>
      </c>
      <c r="B657" t="s">
        <v>9454</v>
      </c>
      <c r="C657" t="s">
        <v>9425</v>
      </c>
      <c r="D657">
        <v>1</v>
      </c>
      <c r="E657">
        <v>10</v>
      </c>
      <c r="F657">
        <v>1</v>
      </c>
      <c r="H657">
        <f t="shared" si="91"/>
        <v>2</v>
      </c>
      <c r="I657" t="str">
        <f t="shared" si="96"/>
        <v>200IQU95-520</v>
      </c>
      <c r="J657" s="6" t="str">
        <f t="shared" si="92"/>
        <v>Q PFA39 R LONG APPR 60 X 144</v>
      </c>
      <c r="K657" s="6">
        <f t="shared" si="93"/>
        <v>1</v>
      </c>
      <c r="L657" s="6">
        <f t="shared" si="94"/>
        <v>10</v>
      </c>
      <c r="M657" s="6">
        <f t="shared" si="95"/>
        <v>1</v>
      </c>
      <c r="N657" s="6" t="str">
        <f t="shared" si="97"/>
        <v>100PFA39-6200</v>
      </c>
      <c r="O657" s="6" t="str">
        <f t="shared" si="98"/>
        <v>SINGING THE CHICAGO BLUES</v>
      </c>
    </row>
    <row r="658" spans="1:15">
      <c r="A658">
        <v>1</v>
      </c>
      <c r="B658" t="s">
        <v>9151</v>
      </c>
      <c r="C658" t="s">
        <v>9152</v>
      </c>
      <c r="D658">
        <v>1</v>
      </c>
      <c r="E658">
        <v>10</v>
      </c>
      <c r="F658">
        <v>1.1133999999999999</v>
      </c>
      <c r="H658">
        <f t="shared" si="91"/>
        <v>1</v>
      </c>
      <c r="I658" t="str">
        <f t="shared" si="96"/>
        <v>200PFA39-5201</v>
      </c>
      <c r="J658" s="6" t="str">
        <f t="shared" si="92"/>
        <v>SING CHICAGO BLUES 60 X 144</v>
      </c>
      <c r="K658" s="6">
        <f t="shared" si="93"/>
        <v>1</v>
      </c>
      <c r="L658" s="6">
        <f t="shared" si="94"/>
        <v>10</v>
      </c>
      <c r="M658" s="6">
        <f t="shared" si="95"/>
        <v>1.1133999999999999</v>
      </c>
      <c r="N658" s="6" t="str">
        <f t="shared" si="97"/>
        <v>100PFA39-6200</v>
      </c>
      <c r="O658" s="6" t="str">
        <f t="shared" si="98"/>
        <v>SINGING THE CHICAGO BLUES</v>
      </c>
    </row>
    <row r="659" spans="1:15">
      <c r="A659">
        <v>4</v>
      </c>
      <c r="B659" t="s">
        <v>9475</v>
      </c>
      <c r="C659" t="s">
        <v>9476</v>
      </c>
      <c r="D659">
        <v>1</v>
      </c>
      <c r="E659">
        <v>91</v>
      </c>
      <c r="F659">
        <v>1</v>
      </c>
      <c r="H659">
        <f t="shared" si="91"/>
        <v>4</v>
      </c>
      <c r="I659" t="str">
        <f t="shared" si="96"/>
        <v>QUBPFA39PPK7</v>
      </c>
      <c r="J659" s="6" t="str">
        <f t="shared" si="92"/>
        <v>Q PFA39 SING C/BLUES CG R LP</v>
      </c>
      <c r="K659" s="6">
        <f t="shared" si="93"/>
        <v>1</v>
      </c>
      <c r="L659" s="6">
        <f t="shared" si="94"/>
        <v>91</v>
      </c>
      <c r="M659" s="6">
        <f t="shared" si="95"/>
        <v>1</v>
      </c>
      <c r="N659" s="6" t="str">
        <f t="shared" si="97"/>
        <v>100PFA39-6200</v>
      </c>
      <c r="O659" s="6" t="str">
        <f t="shared" si="98"/>
        <v>SINGING THE CHICAGO BLUES</v>
      </c>
    </row>
    <row r="660" spans="1:15">
      <c r="A660">
        <v>3</v>
      </c>
      <c r="B660" t="s">
        <v>9458</v>
      </c>
      <c r="C660" t="s">
        <v>9459</v>
      </c>
      <c r="D660">
        <v>1</v>
      </c>
      <c r="E660">
        <v>10</v>
      </c>
      <c r="F660">
        <v>1</v>
      </c>
      <c r="H660">
        <f t="shared" si="91"/>
        <v>3</v>
      </c>
      <c r="I660" t="str">
        <f t="shared" si="96"/>
        <v>J75IQU97PQ25</v>
      </c>
      <c r="J660" s="6" t="str">
        <f t="shared" si="92"/>
        <v>Q PFA39 ARROW 41.875 X 144</v>
      </c>
      <c r="K660" s="6">
        <f t="shared" si="93"/>
        <v>1</v>
      </c>
      <c r="L660" s="6">
        <f t="shared" si="94"/>
        <v>10</v>
      </c>
      <c r="M660" s="6">
        <f t="shared" si="95"/>
        <v>1</v>
      </c>
      <c r="N660" s="6" t="str">
        <f t="shared" si="97"/>
        <v>100PFA39-6200</v>
      </c>
      <c r="O660" s="6" t="str">
        <f t="shared" si="98"/>
        <v>SINGING THE CHICAGO BLUES</v>
      </c>
    </row>
    <row r="661" spans="1:15">
      <c r="A661">
        <v>2</v>
      </c>
      <c r="B661" t="s">
        <v>9460</v>
      </c>
      <c r="C661" t="s">
        <v>9437</v>
      </c>
      <c r="D661">
        <v>1</v>
      </c>
      <c r="E661">
        <v>10</v>
      </c>
      <c r="F661">
        <v>1</v>
      </c>
      <c r="H661">
        <f t="shared" si="91"/>
        <v>2</v>
      </c>
      <c r="I661" t="str">
        <f t="shared" si="96"/>
        <v>200IQU97-120</v>
      </c>
      <c r="J661" s="6" t="str">
        <f t="shared" si="92"/>
        <v>Q PFA39 ARROW  43 X 145</v>
      </c>
      <c r="K661" s="6">
        <f t="shared" si="93"/>
        <v>1</v>
      </c>
      <c r="L661" s="6">
        <f t="shared" si="94"/>
        <v>10</v>
      </c>
      <c r="M661" s="6">
        <f t="shared" si="95"/>
        <v>1</v>
      </c>
      <c r="N661" s="6" t="str">
        <f t="shared" si="97"/>
        <v>100PFA39-6200</v>
      </c>
      <c r="O661" s="6" t="str">
        <f t="shared" si="98"/>
        <v>SINGING THE CHICAGO BLUES</v>
      </c>
    </row>
    <row r="662" spans="1:15">
      <c r="A662">
        <v>1</v>
      </c>
      <c r="B662" t="s">
        <v>9181</v>
      </c>
      <c r="C662" t="s">
        <v>9182</v>
      </c>
      <c r="D662">
        <v>1</v>
      </c>
      <c r="E662">
        <v>10</v>
      </c>
      <c r="F662">
        <v>1.1133999999999999</v>
      </c>
      <c r="H662">
        <f t="shared" si="91"/>
        <v>1</v>
      </c>
      <c r="I662" t="str">
        <f t="shared" si="96"/>
        <v>200PFA39-12L1</v>
      </c>
      <c r="J662" s="6" t="str">
        <f t="shared" si="92"/>
        <v>SING CHICAGO BLUES (L) 43X145</v>
      </c>
      <c r="K662" s="6">
        <f t="shared" si="93"/>
        <v>1</v>
      </c>
      <c r="L662" s="6">
        <f t="shared" si="94"/>
        <v>10</v>
      </c>
      <c r="M662" s="6">
        <f t="shared" si="95"/>
        <v>1.1133999999999999</v>
      </c>
      <c r="N662" s="6" t="str">
        <f t="shared" si="97"/>
        <v>100PFA39-6200</v>
      </c>
      <c r="O662" s="6" t="str">
        <f t="shared" si="98"/>
        <v>SINGING THE CHICAGO BLUES</v>
      </c>
    </row>
    <row r="663" spans="1:15">
      <c r="A663">
        <v>4</v>
      </c>
      <c r="B663" t="s">
        <v>9475</v>
      </c>
      <c r="C663" t="s">
        <v>9476</v>
      </c>
      <c r="D663">
        <v>1</v>
      </c>
      <c r="E663">
        <v>91</v>
      </c>
      <c r="F663">
        <v>3</v>
      </c>
      <c r="H663">
        <f t="shared" si="91"/>
        <v>4</v>
      </c>
      <c r="I663" t="str">
        <f t="shared" si="96"/>
        <v>QUBPFA39PPK7</v>
      </c>
      <c r="J663" s="6" t="str">
        <f t="shared" si="92"/>
        <v>Q PFA39 SING C/BLUES CG R LP</v>
      </c>
      <c r="K663" s="6">
        <f t="shared" si="93"/>
        <v>1</v>
      </c>
      <c r="L663" s="6">
        <f t="shared" si="94"/>
        <v>91</v>
      </c>
      <c r="M663" s="6">
        <f t="shared" si="95"/>
        <v>3</v>
      </c>
      <c r="N663" s="6" t="str">
        <f t="shared" si="97"/>
        <v>100PFA39-6200</v>
      </c>
      <c r="O663" s="6" t="str">
        <f t="shared" si="98"/>
        <v>SINGING THE CHICAGO BLUES</v>
      </c>
    </row>
    <row r="664" spans="1:15">
      <c r="A664">
        <v>3</v>
      </c>
      <c r="B664" t="s">
        <v>9461</v>
      </c>
      <c r="C664" t="s">
        <v>9439</v>
      </c>
      <c r="D664">
        <v>1</v>
      </c>
      <c r="E664">
        <v>10</v>
      </c>
      <c r="F664">
        <v>1</v>
      </c>
      <c r="H664">
        <f t="shared" si="91"/>
        <v>3</v>
      </c>
      <c r="I664" t="str">
        <f t="shared" si="96"/>
        <v>J75IQU98PQ25</v>
      </c>
      <c r="J664" s="6" t="str">
        <f t="shared" si="92"/>
        <v>Q PFA39 COMMON  41.875 X 144</v>
      </c>
      <c r="K664" s="6">
        <f t="shared" si="93"/>
        <v>1</v>
      </c>
      <c r="L664" s="6">
        <f t="shared" si="94"/>
        <v>10</v>
      </c>
      <c r="M664" s="6">
        <f t="shared" si="95"/>
        <v>1</v>
      </c>
      <c r="N664" s="6" t="str">
        <f t="shared" si="97"/>
        <v>100PFA39-6200</v>
      </c>
      <c r="O664" s="6" t="str">
        <f t="shared" si="98"/>
        <v>SINGING THE CHICAGO BLUES</v>
      </c>
    </row>
    <row r="665" spans="1:15">
      <c r="A665">
        <v>2</v>
      </c>
      <c r="B665" t="s">
        <v>9462</v>
      </c>
      <c r="C665" t="s">
        <v>9441</v>
      </c>
      <c r="D665">
        <v>1</v>
      </c>
      <c r="E665">
        <v>10</v>
      </c>
      <c r="F665">
        <v>1</v>
      </c>
      <c r="H665">
        <f t="shared" si="91"/>
        <v>2</v>
      </c>
      <c r="I665" t="str">
        <f t="shared" si="96"/>
        <v>200IQU98-120</v>
      </c>
      <c r="J665" s="6" t="str">
        <f t="shared" si="92"/>
        <v>Q PFA39 COMMON  43 X 145</v>
      </c>
      <c r="K665" s="6">
        <f t="shared" si="93"/>
        <v>1</v>
      </c>
      <c r="L665" s="6">
        <f t="shared" si="94"/>
        <v>10</v>
      </c>
      <c r="M665" s="6">
        <f t="shared" si="95"/>
        <v>1</v>
      </c>
      <c r="N665" s="6" t="str">
        <f t="shared" si="97"/>
        <v>100PFA39-6200</v>
      </c>
      <c r="O665" s="6" t="str">
        <f t="shared" si="98"/>
        <v>SINGING THE CHICAGO BLUES</v>
      </c>
    </row>
    <row r="666" spans="1:15">
      <c r="A666">
        <v>1</v>
      </c>
      <c r="B666" t="s">
        <v>9181</v>
      </c>
      <c r="C666" t="s">
        <v>9182</v>
      </c>
      <c r="D666">
        <v>1</v>
      </c>
      <c r="E666">
        <v>10</v>
      </c>
      <c r="F666">
        <v>1.1133999999999999</v>
      </c>
      <c r="H666">
        <f t="shared" si="91"/>
        <v>1</v>
      </c>
      <c r="I666" t="str">
        <f t="shared" si="96"/>
        <v>200PFA39-12L1</v>
      </c>
      <c r="J666" s="6" t="str">
        <f t="shared" si="92"/>
        <v>SING CHICAGO BLUES (L) 43X145</v>
      </c>
      <c r="K666" s="6">
        <f t="shared" si="93"/>
        <v>1</v>
      </c>
      <c r="L666" s="6">
        <f t="shared" si="94"/>
        <v>10</v>
      </c>
      <c r="M666" s="6">
        <f t="shared" si="95"/>
        <v>1.1133999999999999</v>
      </c>
      <c r="N666" s="6" t="str">
        <f t="shared" si="97"/>
        <v>100PFA39-6200</v>
      </c>
      <c r="O666" s="6" t="str">
        <f t="shared" si="98"/>
        <v>SINGING THE CHICAGO BLUES</v>
      </c>
    </row>
    <row r="667" spans="1:15">
      <c r="A667">
        <v>4</v>
      </c>
      <c r="B667" t="s">
        <v>9475</v>
      </c>
      <c r="C667" t="s">
        <v>9476</v>
      </c>
      <c r="D667">
        <v>1</v>
      </c>
      <c r="E667">
        <v>91</v>
      </c>
      <c r="F667">
        <v>1</v>
      </c>
      <c r="H667">
        <f t="shared" si="91"/>
        <v>4</v>
      </c>
      <c r="I667" t="str">
        <f t="shared" si="96"/>
        <v>QUBPFA39PPK7</v>
      </c>
      <c r="J667" s="6" t="str">
        <f t="shared" si="92"/>
        <v>Q PFA39 SING C/BLUES CG R LP</v>
      </c>
      <c r="K667" s="6">
        <f t="shared" si="93"/>
        <v>1</v>
      </c>
      <c r="L667" s="6">
        <f t="shared" si="94"/>
        <v>91</v>
      </c>
      <c r="M667" s="6">
        <f t="shared" si="95"/>
        <v>1</v>
      </c>
      <c r="N667" s="6" t="str">
        <f t="shared" si="97"/>
        <v>100PFA39-6200</v>
      </c>
      <c r="O667" s="6" t="str">
        <f t="shared" si="98"/>
        <v>SINGING THE CHICAGO BLUES</v>
      </c>
    </row>
    <row r="668" spans="1:15">
      <c r="A668">
        <v>3</v>
      </c>
      <c r="B668" t="s">
        <v>9469</v>
      </c>
      <c r="C668" t="s">
        <v>9470</v>
      </c>
      <c r="D668">
        <v>1</v>
      </c>
      <c r="E668">
        <v>10</v>
      </c>
      <c r="F668">
        <v>1</v>
      </c>
      <c r="H668">
        <f t="shared" si="91"/>
        <v>3</v>
      </c>
      <c r="I668" t="str">
        <f t="shared" si="96"/>
        <v>J75IQ117PQ83</v>
      </c>
      <c r="J668" s="6" t="str">
        <f t="shared" si="92"/>
        <v>Q PFA39 CG FOUL 41.875 X 144</v>
      </c>
      <c r="K668" s="6">
        <f t="shared" si="93"/>
        <v>1</v>
      </c>
      <c r="L668" s="6">
        <f t="shared" si="94"/>
        <v>10</v>
      </c>
      <c r="M668" s="6">
        <f t="shared" si="95"/>
        <v>1</v>
      </c>
      <c r="N668" s="6" t="str">
        <f t="shared" si="97"/>
        <v>100PFA39-6200</v>
      </c>
      <c r="O668" s="6" t="str">
        <f t="shared" si="98"/>
        <v>SINGING THE CHICAGO BLUES</v>
      </c>
    </row>
    <row r="669" spans="1:15">
      <c r="A669">
        <v>2</v>
      </c>
      <c r="B669" t="s">
        <v>9471</v>
      </c>
      <c r="C669" t="s">
        <v>9472</v>
      </c>
      <c r="D669">
        <v>1</v>
      </c>
      <c r="E669">
        <v>10</v>
      </c>
      <c r="F669">
        <v>1</v>
      </c>
      <c r="H669">
        <f t="shared" si="91"/>
        <v>2</v>
      </c>
      <c r="I669" t="str">
        <f t="shared" si="96"/>
        <v>200IQ117-120</v>
      </c>
      <c r="J669" s="6" t="str">
        <f t="shared" si="92"/>
        <v>Q PFA39 CG FOUL LINE 43 X 145</v>
      </c>
      <c r="K669" s="6">
        <f t="shared" si="93"/>
        <v>1</v>
      </c>
      <c r="L669" s="6">
        <f t="shared" si="94"/>
        <v>10</v>
      </c>
      <c r="M669" s="6">
        <f t="shared" si="95"/>
        <v>1</v>
      </c>
      <c r="N669" s="6" t="str">
        <f t="shared" si="97"/>
        <v>100PFA39-6200</v>
      </c>
      <c r="O669" s="6" t="str">
        <f t="shared" si="98"/>
        <v>SINGING THE CHICAGO BLUES</v>
      </c>
    </row>
    <row r="670" spans="1:15">
      <c r="A670">
        <v>1</v>
      </c>
      <c r="B670" t="s">
        <v>9181</v>
      </c>
      <c r="C670" t="s">
        <v>9182</v>
      </c>
      <c r="D670">
        <v>1</v>
      </c>
      <c r="E670">
        <v>10</v>
      </c>
      <c r="F670">
        <v>1.1133999999999999</v>
      </c>
      <c r="H670">
        <f t="shared" si="91"/>
        <v>1</v>
      </c>
      <c r="I670" t="str">
        <f t="shared" si="96"/>
        <v>200PFA39-12L1</v>
      </c>
      <c r="J670" s="6" t="str">
        <f t="shared" si="92"/>
        <v>SING CHICAGO BLUES (L) 43X145</v>
      </c>
      <c r="K670" s="6">
        <f t="shared" si="93"/>
        <v>1</v>
      </c>
      <c r="L670" s="6">
        <f t="shared" si="94"/>
        <v>10</v>
      </c>
      <c r="M670" s="6">
        <f t="shared" si="95"/>
        <v>1.1133999999999999</v>
      </c>
      <c r="N670" s="6" t="str">
        <f t="shared" si="97"/>
        <v>100PFA39-6200</v>
      </c>
      <c r="O670" s="6" t="str">
        <f t="shared" si="98"/>
        <v>SINGING THE CHICAGO BLUES</v>
      </c>
    </row>
    <row r="671" spans="1:15">
      <c r="A671">
        <v>1</v>
      </c>
      <c r="B671" t="s">
        <v>9477</v>
      </c>
      <c r="C671" t="s">
        <v>9478</v>
      </c>
      <c r="D671">
        <v>1</v>
      </c>
      <c r="E671">
        <v>10</v>
      </c>
      <c r="F671">
        <v>9.0999999999999998E-2</v>
      </c>
      <c r="H671">
        <f t="shared" si="91"/>
        <v>1</v>
      </c>
      <c r="I671" t="str">
        <f t="shared" si="96"/>
        <v>QZSPFA39NCMZ0</v>
      </c>
      <c r="J671" s="6" t="str">
        <f t="shared" si="92"/>
        <v>SING CHICAGO BLUES 61 1/2</v>
      </c>
      <c r="K671" s="6">
        <f t="shared" si="93"/>
        <v>1</v>
      </c>
      <c r="L671" s="6">
        <f t="shared" si="94"/>
        <v>10</v>
      </c>
      <c r="M671" s="6">
        <f t="shared" si="95"/>
        <v>9.0999999999999998E-2</v>
      </c>
      <c r="N671" s="6" t="str">
        <f t="shared" si="97"/>
        <v>100PFA39-6200</v>
      </c>
      <c r="O671" s="6" t="str">
        <f t="shared" si="98"/>
        <v>SINGING THE CHICAGO BLUES</v>
      </c>
    </row>
    <row r="672" spans="1:15">
      <c r="A672">
        <v>1</v>
      </c>
      <c r="B672" t="s">
        <v>9479</v>
      </c>
      <c r="C672" t="s">
        <v>9480</v>
      </c>
      <c r="D672">
        <v>1</v>
      </c>
      <c r="E672">
        <v>10</v>
      </c>
      <c r="F672">
        <v>0.83379999999999999</v>
      </c>
      <c r="H672">
        <f t="shared" si="91"/>
        <v>1</v>
      </c>
      <c r="I672" t="str">
        <f t="shared" si="96"/>
        <v>QZSPFA39NFFF0</v>
      </c>
      <c r="J672" s="6" t="str">
        <f t="shared" si="92"/>
        <v>SING CHICAGO BLUES 61 1/2X110</v>
      </c>
      <c r="K672" s="6">
        <f t="shared" si="93"/>
        <v>1</v>
      </c>
      <c r="L672" s="6">
        <f t="shared" si="94"/>
        <v>10</v>
      </c>
      <c r="M672" s="6">
        <f t="shared" si="95"/>
        <v>0.83379999999999999</v>
      </c>
      <c r="N672" s="6" t="str">
        <f t="shared" si="97"/>
        <v>100PFA39-6200</v>
      </c>
      <c r="O672" s="6" t="str">
        <f t="shared" si="98"/>
        <v>SINGING THE CHICAGO BLUES</v>
      </c>
    </row>
    <row r="673" spans="1:15">
      <c r="A673">
        <v>1</v>
      </c>
      <c r="B673" t="s">
        <v>9481</v>
      </c>
      <c r="C673" t="s">
        <v>9482</v>
      </c>
      <c r="D673">
        <v>1</v>
      </c>
      <c r="E673">
        <v>10</v>
      </c>
      <c r="F673">
        <v>0.7429</v>
      </c>
      <c r="H673">
        <f t="shared" si="91"/>
        <v>1</v>
      </c>
      <c r="I673" t="str">
        <f t="shared" si="96"/>
        <v>QZSPFA39NKRK0</v>
      </c>
      <c r="J673" s="6" t="str">
        <f t="shared" si="92"/>
        <v>SING CHICAGO BLUES 61 1/2 X 98</v>
      </c>
      <c r="K673" s="6">
        <f t="shared" si="93"/>
        <v>1</v>
      </c>
      <c r="L673" s="6">
        <f t="shared" si="94"/>
        <v>10</v>
      </c>
      <c r="M673" s="6">
        <f t="shared" si="95"/>
        <v>0.7429</v>
      </c>
      <c r="N673" s="6" t="str">
        <f t="shared" si="97"/>
        <v>100PFA39-6200</v>
      </c>
      <c r="O673" s="6" t="str">
        <f t="shared" si="98"/>
        <v>SINGING THE CHICAGO BLUES</v>
      </c>
    </row>
    <row r="674" spans="1:15">
      <c r="A674">
        <v>1</v>
      </c>
      <c r="B674" t="s">
        <v>9483</v>
      </c>
      <c r="C674" t="s">
        <v>9484</v>
      </c>
      <c r="D674">
        <v>1</v>
      </c>
      <c r="E674">
        <v>10</v>
      </c>
      <c r="F674">
        <v>0.92479999999999996</v>
      </c>
      <c r="H674">
        <f t="shared" si="91"/>
        <v>1</v>
      </c>
      <c r="I674" t="str">
        <f t="shared" si="96"/>
        <v>QZSPFA39NLVW0</v>
      </c>
      <c r="J674" s="6" t="str">
        <f t="shared" si="92"/>
        <v>SING CHICAGO BLUES 61 1/2X122</v>
      </c>
      <c r="K674" s="6">
        <f t="shared" si="93"/>
        <v>1</v>
      </c>
      <c r="L674" s="6">
        <f t="shared" si="94"/>
        <v>10</v>
      </c>
      <c r="M674" s="6">
        <f t="shared" si="95"/>
        <v>0.92479999999999996</v>
      </c>
      <c r="N674" s="6" t="str">
        <f t="shared" si="97"/>
        <v>100PFA39-6200</v>
      </c>
      <c r="O674" s="6" t="str">
        <f t="shared" si="98"/>
        <v>SINGING THE CHICAGO BLUES</v>
      </c>
    </row>
    <row r="675" spans="1:15">
      <c r="A675">
        <v>1</v>
      </c>
      <c r="B675" t="s">
        <v>9485</v>
      </c>
      <c r="C675" t="s">
        <v>9486</v>
      </c>
      <c r="D675">
        <v>1</v>
      </c>
      <c r="E675">
        <v>10</v>
      </c>
      <c r="F675">
        <v>1.6638999999999999</v>
      </c>
      <c r="H675">
        <f t="shared" si="91"/>
        <v>1</v>
      </c>
      <c r="I675" t="str">
        <f t="shared" si="96"/>
        <v>QZSPFA39NSPL0</v>
      </c>
      <c r="J675" s="6" t="str">
        <f t="shared" si="92"/>
        <v>S CHICAGO BLUES 61 1/2X219 1/2</v>
      </c>
      <c r="K675" s="6">
        <f t="shared" si="93"/>
        <v>1</v>
      </c>
      <c r="L675" s="6">
        <f t="shared" si="94"/>
        <v>10</v>
      </c>
      <c r="M675" s="6">
        <f t="shared" si="95"/>
        <v>1.6638999999999999</v>
      </c>
      <c r="N675" s="6" t="str">
        <f t="shared" si="97"/>
        <v>100PFA39-6200</v>
      </c>
      <c r="O675" s="6" t="str">
        <f t="shared" si="98"/>
        <v>SINGING THE CHICAGO BLUES</v>
      </c>
    </row>
    <row r="676" spans="1:15">
      <c r="A676">
        <v>1</v>
      </c>
      <c r="B676" t="s">
        <v>9487</v>
      </c>
      <c r="C676" t="s">
        <v>9488</v>
      </c>
      <c r="D676">
        <v>1</v>
      </c>
      <c r="E676">
        <v>10</v>
      </c>
      <c r="F676">
        <v>1.482</v>
      </c>
      <c r="H676">
        <f t="shared" si="91"/>
        <v>1</v>
      </c>
      <c r="I676" t="str">
        <f t="shared" si="96"/>
        <v>QZSPFA39NTNL0</v>
      </c>
      <c r="J676" s="6" t="str">
        <f t="shared" si="92"/>
        <v>S CHICAGO BLUES 61 1/2X195 1/2</v>
      </c>
      <c r="K676" s="6">
        <f t="shared" si="93"/>
        <v>1</v>
      </c>
      <c r="L676" s="6">
        <f t="shared" si="94"/>
        <v>10</v>
      </c>
      <c r="M676" s="6">
        <f t="shared" si="95"/>
        <v>1.482</v>
      </c>
      <c r="N676" s="6" t="str">
        <f t="shared" si="97"/>
        <v>100PFA39-6200</v>
      </c>
      <c r="O676" s="6" t="str">
        <f t="shared" si="98"/>
        <v>SINGING THE CHICAGO BLUES</v>
      </c>
    </row>
    <row r="677" spans="1:15">
      <c r="H677">
        <f t="shared" si="91"/>
        <v>0</v>
      </c>
      <c r="I677" t="e">
        <f t="shared" si="96"/>
        <v>#VALUE!</v>
      </c>
      <c r="J677" s="6">
        <f t="shared" si="92"/>
        <v>0</v>
      </c>
      <c r="K677" s="6">
        <f t="shared" si="93"/>
        <v>0</v>
      </c>
      <c r="L677" s="6">
        <f t="shared" si="94"/>
        <v>0</v>
      </c>
      <c r="M677" s="6">
        <f t="shared" si="95"/>
        <v>0</v>
      </c>
      <c r="N677" s="6" t="str">
        <f t="shared" si="97"/>
        <v>100PFA39-6200</v>
      </c>
      <c r="O677" s="6" t="str">
        <f t="shared" si="98"/>
        <v>SINGING THE CHICAGO BLUES</v>
      </c>
    </row>
    <row r="678" spans="1:15">
      <c r="H678">
        <f t="shared" si="91"/>
        <v>0</v>
      </c>
      <c r="I678" t="e">
        <f t="shared" si="96"/>
        <v>#VALUE!</v>
      </c>
      <c r="J678" s="6">
        <f t="shared" si="92"/>
        <v>0</v>
      </c>
      <c r="K678" s="6">
        <f t="shared" si="93"/>
        <v>0</v>
      </c>
      <c r="L678" s="6">
        <f t="shared" si="94"/>
        <v>0</v>
      </c>
      <c r="M678" s="6">
        <f t="shared" si="95"/>
        <v>0</v>
      </c>
      <c r="N678" s="6" t="str">
        <f t="shared" si="97"/>
        <v>100PFA39-6200</v>
      </c>
      <c r="O678" s="6" t="str">
        <f t="shared" si="98"/>
        <v>SINGING THE CHICAGO BLUES</v>
      </c>
    </row>
    <row r="679" spans="1:15">
      <c r="H679">
        <f t="shared" si="91"/>
        <v>0</v>
      </c>
      <c r="I679" t="e">
        <f t="shared" si="96"/>
        <v>#VALUE!</v>
      </c>
      <c r="J679" s="6">
        <f t="shared" si="92"/>
        <v>0</v>
      </c>
      <c r="K679" s="6">
        <f t="shared" si="93"/>
        <v>0</v>
      </c>
      <c r="L679" s="6">
        <f t="shared" si="94"/>
        <v>0</v>
      </c>
      <c r="M679" s="6">
        <f t="shared" si="95"/>
        <v>0</v>
      </c>
      <c r="N679" s="6" t="str">
        <f t="shared" si="97"/>
        <v>100PFA39-6200</v>
      </c>
      <c r="O679" s="6" t="str">
        <f t="shared" si="98"/>
        <v>SINGING THE CHICAGO BLUES</v>
      </c>
    </row>
    <row r="680" spans="1:15">
      <c r="H680">
        <f t="shared" si="91"/>
        <v>0</v>
      </c>
      <c r="I680" t="e">
        <f t="shared" si="96"/>
        <v>#VALUE!</v>
      </c>
      <c r="J680" s="6">
        <f t="shared" si="92"/>
        <v>0</v>
      </c>
      <c r="K680" s="6">
        <f t="shared" si="93"/>
        <v>0</v>
      </c>
      <c r="L680" s="6">
        <f t="shared" si="94"/>
        <v>0</v>
      </c>
      <c r="M680" s="6">
        <f t="shared" si="95"/>
        <v>0</v>
      </c>
      <c r="N680" s="6" t="str">
        <f t="shared" si="97"/>
        <v>100PFA39-6200</v>
      </c>
      <c r="O680" s="6" t="str">
        <f t="shared" si="98"/>
        <v>SINGING THE CHICAGO BLUES</v>
      </c>
    </row>
    <row r="681" spans="1:15">
      <c r="H681">
        <f t="shared" si="91"/>
        <v>0</v>
      </c>
      <c r="I681" t="e">
        <f t="shared" si="96"/>
        <v>#VALUE!</v>
      </c>
      <c r="J681" s="6">
        <f t="shared" si="92"/>
        <v>0</v>
      </c>
      <c r="K681" s="6">
        <f t="shared" si="93"/>
        <v>0</v>
      </c>
      <c r="L681" s="6">
        <f t="shared" si="94"/>
        <v>0</v>
      </c>
      <c r="M681" s="6">
        <f t="shared" si="95"/>
        <v>0</v>
      </c>
      <c r="N681" s="6" t="str">
        <f t="shared" si="97"/>
        <v>100PFA39-6200</v>
      </c>
      <c r="O681" s="6" t="str">
        <f t="shared" si="98"/>
        <v>SINGING THE CHICAGO BLUES</v>
      </c>
    </row>
    <row r="682" spans="1:15">
      <c r="H682">
        <f t="shared" si="91"/>
        <v>0</v>
      </c>
      <c r="I682" t="e">
        <f t="shared" si="96"/>
        <v>#VALUE!</v>
      </c>
      <c r="J682" s="6">
        <f t="shared" si="92"/>
        <v>0</v>
      </c>
      <c r="K682" s="6">
        <f t="shared" si="93"/>
        <v>0</v>
      </c>
      <c r="L682" s="6">
        <f t="shared" si="94"/>
        <v>0</v>
      </c>
      <c r="M682" s="6">
        <f t="shared" si="95"/>
        <v>0</v>
      </c>
      <c r="N682" s="6" t="str">
        <f t="shared" si="97"/>
        <v>100PFA39-6200</v>
      </c>
      <c r="O682" s="6" t="str">
        <f t="shared" si="98"/>
        <v>SINGING THE CHICAGO BLUES</v>
      </c>
    </row>
    <row r="683" spans="1:15">
      <c r="H683">
        <f t="shared" si="91"/>
        <v>0</v>
      </c>
      <c r="I683" t="e">
        <f t="shared" si="96"/>
        <v>#VALUE!</v>
      </c>
      <c r="J683" s="6">
        <f t="shared" si="92"/>
        <v>0</v>
      </c>
      <c r="K683" s="6">
        <f t="shared" si="93"/>
        <v>0</v>
      </c>
      <c r="L683" s="6">
        <f t="shared" si="94"/>
        <v>0</v>
      </c>
      <c r="M683" s="6">
        <f t="shared" si="95"/>
        <v>0</v>
      </c>
      <c r="N683" s="6" t="str">
        <f t="shared" si="97"/>
        <v>100PFA39-6200</v>
      </c>
      <c r="O683" s="6" t="str">
        <f t="shared" si="98"/>
        <v>SINGING THE CHICAGO BLUES</v>
      </c>
    </row>
    <row r="684" spans="1:15">
      <c r="H684">
        <f t="shared" si="91"/>
        <v>0</v>
      </c>
      <c r="I684" t="e">
        <f t="shared" si="96"/>
        <v>#VALUE!</v>
      </c>
      <c r="J684" s="6">
        <f t="shared" si="92"/>
        <v>0</v>
      </c>
      <c r="K684" s="6">
        <f t="shared" si="93"/>
        <v>0</v>
      </c>
      <c r="L684" s="6">
        <f t="shared" si="94"/>
        <v>0</v>
      </c>
      <c r="M684" s="6">
        <f t="shared" si="95"/>
        <v>0</v>
      </c>
      <c r="N684" s="6" t="str">
        <f t="shared" si="97"/>
        <v>100PFA39-6200</v>
      </c>
      <c r="O684" s="6" t="str">
        <f t="shared" si="98"/>
        <v>SINGING THE CHICAGO BLUES</v>
      </c>
    </row>
    <row r="685" spans="1:15">
      <c r="H685">
        <f t="shared" si="91"/>
        <v>0</v>
      </c>
      <c r="I685" t="e">
        <f t="shared" si="96"/>
        <v>#VALUE!</v>
      </c>
      <c r="J685" s="6">
        <f t="shared" si="92"/>
        <v>0</v>
      </c>
      <c r="K685" s="6">
        <f t="shared" si="93"/>
        <v>0</v>
      </c>
      <c r="L685" s="6">
        <f t="shared" si="94"/>
        <v>0</v>
      </c>
      <c r="M685" s="6">
        <f t="shared" si="95"/>
        <v>0</v>
      </c>
      <c r="N685" s="6" t="str">
        <f t="shared" si="97"/>
        <v>100PFA39-6200</v>
      </c>
      <c r="O685" s="6" t="str">
        <f t="shared" si="98"/>
        <v>SINGING THE CHICAGO BLUES</v>
      </c>
    </row>
    <row r="686" spans="1:15">
      <c r="H686">
        <f t="shared" si="91"/>
        <v>0</v>
      </c>
      <c r="I686" t="e">
        <f t="shared" si="96"/>
        <v>#VALUE!</v>
      </c>
      <c r="J686" s="6">
        <f t="shared" si="92"/>
        <v>0</v>
      </c>
      <c r="K686" s="6">
        <f t="shared" si="93"/>
        <v>0</v>
      </c>
      <c r="L686" s="6">
        <f t="shared" si="94"/>
        <v>0</v>
      </c>
      <c r="M686" s="6">
        <f t="shared" si="95"/>
        <v>0</v>
      </c>
      <c r="N686" s="6" t="str">
        <f t="shared" si="97"/>
        <v>100PFA39-6200</v>
      </c>
      <c r="O686" s="6" t="str">
        <f t="shared" si="98"/>
        <v>SINGING THE CHICAGO BLUES</v>
      </c>
    </row>
    <row r="687" spans="1:15">
      <c r="H687">
        <f t="shared" si="91"/>
        <v>0</v>
      </c>
      <c r="I687" t="e">
        <f t="shared" si="96"/>
        <v>#VALUE!</v>
      </c>
      <c r="J687" s="6">
        <f t="shared" si="92"/>
        <v>0</v>
      </c>
      <c r="K687" s="6">
        <f t="shared" si="93"/>
        <v>0</v>
      </c>
      <c r="L687" s="6">
        <f t="shared" si="94"/>
        <v>0</v>
      </c>
      <c r="M687" s="6">
        <f t="shared" si="95"/>
        <v>0</v>
      </c>
      <c r="N687" s="6" t="str">
        <f t="shared" si="97"/>
        <v>100PFA39-6200</v>
      </c>
      <c r="O687" s="6" t="str">
        <f t="shared" si="98"/>
        <v>SINGING THE CHICAGO BLUES</v>
      </c>
    </row>
    <row r="688" spans="1:15">
      <c r="H688">
        <f t="shared" si="91"/>
        <v>0</v>
      </c>
      <c r="I688" t="e">
        <f t="shared" si="96"/>
        <v>#VALUE!</v>
      </c>
      <c r="J688" s="6">
        <f t="shared" si="92"/>
        <v>0</v>
      </c>
      <c r="K688" s="6">
        <f t="shared" si="93"/>
        <v>0</v>
      </c>
      <c r="L688" s="6">
        <f t="shared" si="94"/>
        <v>0</v>
      </c>
      <c r="M688" s="6">
        <f t="shared" si="95"/>
        <v>0</v>
      </c>
      <c r="N688" s="6" t="str">
        <f t="shared" si="97"/>
        <v>100PFA39-6200</v>
      </c>
      <c r="O688" s="6" t="str">
        <f t="shared" si="98"/>
        <v>SINGING THE CHICAGO BLUES</v>
      </c>
    </row>
    <row r="689" spans="8:15">
      <c r="H689">
        <f t="shared" si="91"/>
        <v>0</v>
      </c>
      <c r="I689" t="e">
        <f t="shared" si="96"/>
        <v>#VALUE!</v>
      </c>
      <c r="J689" s="6">
        <f t="shared" si="92"/>
        <v>0</v>
      </c>
      <c r="K689" s="6">
        <f t="shared" si="93"/>
        <v>0</v>
      </c>
      <c r="L689" s="6">
        <f t="shared" si="94"/>
        <v>0</v>
      </c>
      <c r="M689" s="6">
        <f t="shared" si="95"/>
        <v>0</v>
      </c>
      <c r="N689" s="6" t="str">
        <f t="shared" si="97"/>
        <v>100PFA39-6200</v>
      </c>
      <c r="O689" s="6" t="str">
        <f t="shared" si="98"/>
        <v>SINGING THE CHICAGO BLUES</v>
      </c>
    </row>
    <row r="690" spans="8:15">
      <c r="H690">
        <f t="shared" si="91"/>
        <v>0</v>
      </c>
      <c r="I690" t="e">
        <f t="shared" si="96"/>
        <v>#VALUE!</v>
      </c>
      <c r="J690" s="6">
        <f t="shared" si="92"/>
        <v>0</v>
      </c>
      <c r="K690" s="6">
        <f t="shared" si="93"/>
        <v>0</v>
      </c>
      <c r="L690" s="6">
        <f t="shared" si="94"/>
        <v>0</v>
      </c>
      <c r="M690" s="6">
        <f t="shared" si="95"/>
        <v>0</v>
      </c>
      <c r="N690" s="6" t="str">
        <f t="shared" si="97"/>
        <v>100PFA39-6200</v>
      </c>
      <c r="O690" s="6" t="str">
        <f t="shared" si="98"/>
        <v>SINGING THE CHICAGO BLUES</v>
      </c>
    </row>
    <row r="691" spans="8:15">
      <c r="H691">
        <f t="shared" si="91"/>
        <v>0</v>
      </c>
      <c r="I691" t="e">
        <f t="shared" si="96"/>
        <v>#VALUE!</v>
      </c>
      <c r="J691" s="6">
        <f t="shared" si="92"/>
        <v>0</v>
      </c>
      <c r="K691" s="6">
        <f t="shared" si="93"/>
        <v>0</v>
      </c>
      <c r="L691" s="6">
        <f t="shared" si="94"/>
        <v>0</v>
      </c>
      <c r="M691" s="6">
        <f t="shared" si="95"/>
        <v>0</v>
      </c>
      <c r="N691" s="6" t="str">
        <f t="shared" si="97"/>
        <v>100PFA39-6200</v>
      </c>
      <c r="O691" s="6" t="str">
        <f t="shared" si="98"/>
        <v>SINGING THE CHICAGO BLUES</v>
      </c>
    </row>
    <row r="692" spans="8:15">
      <c r="H692">
        <f t="shared" si="91"/>
        <v>0</v>
      </c>
      <c r="I692" t="e">
        <f t="shared" si="96"/>
        <v>#VALUE!</v>
      </c>
      <c r="J692" s="6">
        <f t="shared" si="92"/>
        <v>0</v>
      </c>
      <c r="K692" s="6">
        <f t="shared" si="93"/>
        <v>0</v>
      </c>
      <c r="L692" s="6">
        <f t="shared" si="94"/>
        <v>0</v>
      </c>
      <c r="M692" s="6">
        <f t="shared" si="95"/>
        <v>0</v>
      </c>
      <c r="N692" s="6" t="str">
        <f t="shared" si="97"/>
        <v>100PFA39-6200</v>
      </c>
      <c r="O692" s="6" t="str">
        <f t="shared" si="98"/>
        <v>SINGING THE CHICAGO BLUES</v>
      </c>
    </row>
    <row r="693" spans="8:15">
      <c r="H693">
        <f t="shared" si="91"/>
        <v>0</v>
      </c>
      <c r="I693" t="e">
        <f t="shared" si="96"/>
        <v>#VALUE!</v>
      </c>
      <c r="J693" s="6">
        <f t="shared" si="92"/>
        <v>0</v>
      </c>
      <c r="K693" s="6">
        <f t="shared" si="93"/>
        <v>0</v>
      </c>
      <c r="L693" s="6">
        <f t="shared" si="94"/>
        <v>0</v>
      </c>
      <c r="M693" s="6">
        <f t="shared" si="95"/>
        <v>0</v>
      </c>
      <c r="N693" s="6" t="str">
        <f t="shared" si="97"/>
        <v>100PFA39-6200</v>
      </c>
      <c r="O693" s="6" t="str">
        <f t="shared" si="98"/>
        <v>SINGING THE CHICAGO BLUES</v>
      </c>
    </row>
    <row r="694" spans="8:15">
      <c r="H694">
        <f t="shared" si="91"/>
        <v>0</v>
      </c>
      <c r="I694" t="e">
        <f t="shared" si="96"/>
        <v>#VALUE!</v>
      </c>
      <c r="J694" s="6">
        <f t="shared" si="92"/>
        <v>0</v>
      </c>
      <c r="K694" s="6">
        <f t="shared" si="93"/>
        <v>0</v>
      </c>
      <c r="L694" s="6">
        <f t="shared" si="94"/>
        <v>0</v>
      </c>
      <c r="M694" s="6">
        <f t="shared" si="95"/>
        <v>0</v>
      </c>
      <c r="N694" s="6" t="str">
        <f t="shared" si="97"/>
        <v>100PFA39-6200</v>
      </c>
      <c r="O694" s="6" t="str">
        <f t="shared" si="98"/>
        <v>SINGING THE CHICAGO BLUES</v>
      </c>
    </row>
    <row r="695" spans="8:15">
      <c r="H695">
        <f t="shared" si="91"/>
        <v>0</v>
      </c>
      <c r="I695" t="e">
        <f t="shared" si="96"/>
        <v>#VALUE!</v>
      </c>
      <c r="J695" s="6">
        <f t="shared" si="92"/>
        <v>0</v>
      </c>
      <c r="K695" s="6">
        <f t="shared" si="93"/>
        <v>0</v>
      </c>
      <c r="L695" s="6">
        <f t="shared" si="94"/>
        <v>0</v>
      </c>
      <c r="M695" s="6">
        <f t="shared" si="95"/>
        <v>0</v>
      </c>
      <c r="N695" s="6" t="str">
        <f t="shared" si="97"/>
        <v>100PFA39-6200</v>
      </c>
      <c r="O695" s="6" t="str">
        <f t="shared" si="98"/>
        <v>SINGING THE CHICAGO BLUES</v>
      </c>
    </row>
    <row r="696" spans="8:15">
      <c r="H696">
        <f t="shared" si="91"/>
        <v>0</v>
      </c>
      <c r="I696" t="e">
        <f t="shared" si="96"/>
        <v>#VALUE!</v>
      </c>
      <c r="J696" s="6">
        <f t="shared" si="92"/>
        <v>0</v>
      </c>
      <c r="K696" s="6">
        <f t="shared" si="93"/>
        <v>0</v>
      </c>
      <c r="L696" s="6">
        <f t="shared" si="94"/>
        <v>0</v>
      </c>
      <c r="M696" s="6">
        <f t="shared" si="95"/>
        <v>0</v>
      </c>
      <c r="N696" s="6" t="str">
        <f t="shared" si="97"/>
        <v>100PFA39-6200</v>
      </c>
      <c r="O696" s="6" t="str">
        <f t="shared" si="98"/>
        <v>SINGING THE CHICAGO BLUES</v>
      </c>
    </row>
    <row r="697" spans="8:15">
      <c r="H697">
        <f t="shared" ref="H697:H760" si="99">A697</f>
        <v>0</v>
      </c>
      <c r="I697" t="e">
        <f t="shared" si="96"/>
        <v>#VALUE!</v>
      </c>
      <c r="J697" s="6">
        <f t="shared" ref="J697:J760" si="100">C697</f>
        <v>0</v>
      </c>
      <c r="K697" s="6">
        <f t="shared" ref="K697:K760" si="101">D697</f>
        <v>0</v>
      </c>
      <c r="L697" s="6">
        <f t="shared" ref="L697:L760" si="102">E697</f>
        <v>0</v>
      </c>
      <c r="M697" s="6">
        <f t="shared" ref="M697:M760" si="103">F697</f>
        <v>0</v>
      </c>
      <c r="N697" s="6" t="str">
        <f t="shared" si="97"/>
        <v>100PFA39-6200</v>
      </c>
      <c r="O697" s="6" t="str">
        <f t="shared" si="98"/>
        <v>SINGING THE CHICAGO BLUES</v>
      </c>
    </row>
    <row r="698" spans="8:15">
      <c r="H698">
        <f t="shared" si="99"/>
        <v>0</v>
      </c>
      <c r="I698" t="e">
        <f t="shared" si="96"/>
        <v>#VALUE!</v>
      </c>
      <c r="J698" s="6">
        <f t="shared" si="100"/>
        <v>0</v>
      </c>
      <c r="K698" s="6">
        <f t="shared" si="101"/>
        <v>0</v>
      </c>
      <c r="L698" s="6">
        <f t="shared" si="102"/>
        <v>0</v>
      </c>
      <c r="M698" s="6">
        <f t="shared" si="103"/>
        <v>0</v>
      </c>
      <c r="N698" s="6" t="str">
        <f t="shared" si="97"/>
        <v>100PFA39-6200</v>
      </c>
      <c r="O698" s="6" t="str">
        <f t="shared" si="98"/>
        <v>SINGING THE CHICAGO BLUES</v>
      </c>
    </row>
    <row r="699" spans="8:15">
      <c r="H699">
        <f t="shared" si="99"/>
        <v>0</v>
      </c>
      <c r="I699" t="e">
        <f t="shared" si="96"/>
        <v>#VALUE!</v>
      </c>
      <c r="J699" s="6">
        <f t="shared" si="100"/>
        <v>0</v>
      </c>
      <c r="K699" s="6">
        <f t="shared" si="101"/>
        <v>0</v>
      </c>
      <c r="L699" s="6">
        <f t="shared" si="102"/>
        <v>0</v>
      </c>
      <c r="M699" s="6">
        <f t="shared" si="103"/>
        <v>0</v>
      </c>
      <c r="N699" s="6" t="str">
        <f t="shared" si="97"/>
        <v>100PFA39-6200</v>
      </c>
      <c r="O699" s="6" t="str">
        <f t="shared" si="98"/>
        <v>SINGING THE CHICAGO BLUES</v>
      </c>
    </row>
    <row r="700" spans="8:15">
      <c r="H700">
        <f t="shared" si="99"/>
        <v>0</v>
      </c>
      <c r="I700" t="e">
        <f t="shared" si="96"/>
        <v>#VALUE!</v>
      </c>
      <c r="J700" s="6">
        <f t="shared" si="100"/>
        <v>0</v>
      </c>
      <c r="K700" s="6">
        <f t="shared" si="101"/>
        <v>0</v>
      </c>
      <c r="L700" s="6">
        <f t="shared" si="102"/>
        <v>0</v>
      </c>
      <c r="M700" s="6">
        <f t="shared" si="103"/>
        <v>0</v>
      </c>
      <c r="N700" s="6" t="str">
        <f t="shared" si="97"/>
        <v>100PFA39-6200</v>
      </c>
      <c r="O700" s="6" t="str">
        <f t="shared" si="98"/>
        <v>SINGING THE CHICAGO BLUES</v>
      </c>
    </row>
    <row r="701" spans="8:15">
      <c r="H701">
        <f t="shared" si="99"/>
        <v>0</v>
      </c>
      <c r="I701" t="e">
        <f t="shared" si="96"/>
        <v>#VALUE!</v>
      </c>
      <c r="J701" s="6">
        <f t="shared" si="100"/>
        <v>0</v>
      </c>
      <c r="K701" s="6">
        <f t="shared" si="101"/>
        <v>0</v>
      </c>
      <c r="L701" s="6">
        <f t="shared" si="102"/>
        <v>0</v>
      </c>
      <c r="M701" s="6">
        <f t="shared" si="103"/>
        <v>0</v>
      </c>
      <c r="N701" s="6" t="str">
        <f t="shared" si="97"/>
        <v>100PFA39-6200</v>
      </c>
      <c r="O701" s="6" t="str">
        <f t="shared" si="98"/>
        <v>SINGING THE CHICAGO BLUES</v>
      </c>
    </row>
    <row r="702" spans="8:15">
      <c r="H702">
        <f t="shared" si="99"/>
        <v>0</v>
      </c>
      <c r="I702" t="e">
        <f t="shared" si="96"/>
        <v>#VALUE!</v>
      </c>
      <c r="J702" s="6">
        <f t="shared" si="100"/>
        <v>0</v>
      </c>
      <c r="K702" s="6">
        <f t="shared" si="101"/>
        <v>0</v>
      </c>
      <c r="L702" s="6">
        <f t="shared" si="102"/>
        <v>0</v>
      </c>
      <c r="M702" s="6">
        <f t="shared" si="103"/>
        <v>0</v>
      </c>
      <c r="N702" s="6" t="str">
        <f t="shared" si="97"/>
        <v>100PFA39-6200</v>
      </c>
      <c r="O702" s="6" t="str">
        <f t="shared" si="98"/>
        <v>SINGING THE CHICAGO BLUES</v>
      </c>
    </row>
    <row r="703" spans="8:15">
      <c r="H703">
        <f t="shared" si="99"/>
        <v>0</v>
      </c>
      <c r="I703" t="e">
        <f t="shared" si="96"/>
        <v>#VALUE!</v>
      </c>
      <c r="J703" s="6">
        <f t="shared" si="100"/>
        <v>0</v>
      </c>
      <c r="K703" s="6">
        <f t="shared" si="101"/>
        <v>0</v>
      </c>
      <c r="L703" s="6">
        <f t="shared" si="102"/>
        <v>0</v>
      </c>
      <c r="M703" s="6">
        <f t="shared" si="103"/>
        <v>0</v>
      </c>
      <c r="N703" s="6" t="str">
        <f t="shared" si="97"/>
        <v>100PFA39-6200</v>
      </c>
      <c r="O703" s="6" t="str">
        <f t="shared" si="98"/>
        <v>SINGING THE CHICAGO BLUES</v>
      </c>
    </row>
    <row r="704" spans="8:15">
      <c r="H704">
        <f t="shared" si="99"/>
        <v>0</v>
      </c>
      <c r="I704" t="e">
        <f t="shared" si="96"/>
        <v>#VALUE!</v>
      </c>
      <c r="J704" s="6">
        <f t="shared" si="100"/>
        <v>0</v>
      </c>
      <c r="K704" s="6">
        <f t="shared" si="101"/>
        <v>0</v>
      </c>
      <c r="L704" s="6">
        <f t="shared" si="102"/>
        <v>0</v>
      </c>
      <c r="M704" s="6">
        <f t="shared" si="103"/>
        <v>0</v>
      </c>
      <c r="N704" s="6" t="str">
        <f t="shared" si="97"/>
        <v>100PFA39-6200</v>
      </c>
      <c r="O704" s="6" t="str">
        <f t="shared" si="98"/>
        <v>SINGING THE CHICAGO BLUES</v>
      </c>
    </row>
    <row r="705" spans="8:15">
      <c r="H705">
        <f t="shared" si="99"/>
        <v>0</v>
      </c>
      <c r="I705" t="e">
        <f t="shared" si="96"/>
        <v>#VALUE!</v>
      </c>
      <c r="J705" s="6">
        <f t="shared" si="100"/>
        <v>0</v>
      </c>
      <c r="K705" s="6">
        <f t="shared" si="101"/>
        <v>0</v>
      </c>
      <c r="L705" s="6">
        <f t="shared" si="102"/>
        <v>0</v>
      </c>
      <c r="M705" s="6">
        <f t="shared" si="103"/>
        <v>0</v>
      </c>
      <c r="N705" s="6" t="str">
        <f t="shared" si="97"/>
        <v>100PFA39-6200</v>
      </c>
      <c r="O705" s="6" t="str">
        <f t="shared" si="98"/>
        <v>SINGING THE CHICAGO BLUES</v>
      </c>
    </row>
    <row r="706" spans="8:15">
      <c r="H706">
        <f t="shared" si="99"/>
        <v>0</v>
      </c>
      <c r="I706" t="e">
        <f t="shared" si="96"/>
        <v>#VALUE!</v>
      </c>
      <c r="J706" s="6">
        <f t="shared" si="100"/>
        <v>0</v>
      </c>
      <c r="K706" s="6">
        <f t="shared" si="101"/>
        <v>0</v>
      </c>
      <c r="L706" s="6">
        <f t="shared" si="102"/>
        <v>0</v>
      </c>
      <c r="M706" s="6">
        <f t="shared" si="103"/>
        <v>0</v>
      </c>
      <c r="N706" s="6" t="str">
        <f t="shared" si="97"/>
        <v>100PFA39-6200</v>
      </c>
      <c r="O706" s="6" t="str">
        <f t="shared" si="98"/>
        <v>SINGING THE CHICAGO BLUES</v>
      </c>
    </row>
    <row r="707" spans="8:15">
      <c r="H707">
        <f t="shared" si="99"/>
        <v>0</v>
      </c>
      <c r="I707" t="e">
        <f t="shared" si="96"/>
        <v>#VALUE!</v>
      </c>
      <c r="J707" s="6">
        <f t="shared" si="100"/>
        <v>0</v>
      </c>
      <c r="K707" s="6">
        <f t="shared" si="101"/>
        <v>0</v>
      </c>
      <c r="L707" s="6">
        <f t="shared" si="102"/>
        <v>0</v>
      </c>
      <c r="M707" s="6">
        <f t="shared" si="103"/>
        <v>0</v>
      </c>
      <c r="N707" s="6" t="str">
        <f t="shared" si="97"/>
        <v>100PFA39-6200</v>
      </c>
      <c r="O707" s="6" t="str">
        <f t="shared" si="98"/>
        <v>SINGING THE CHICAGO BLUES</v>
      </c>
    </row>
    <row r="708" spans="8:15">
      <c r="H708">
        <f t="shared" si="99"/>
        <v>0</v>
      </c>
      <c r="I708" t="e">
        <f t="shared" si="96"/>
        <v>#VALUE!</v>
      </c>
      <c r="J708" s="6">
        <f t="shared" si="100"/>
        <v>0</v>
      </c>
      <c r="K708" s="6">
        <f t="shared" si="101"/>
        <v>0</v>
      </c>
      <c r="L708" s="6">
        <f t="shared" si="102"/>
        <v>0</v>
      </c>
      <c r="M708" s="6">
        <f t="shared" si="103"/>
        <v>0</v>
      </c>
      <c r="N708" s="6" t="str">
        <f t="shared" si="97"/>
        <v>100PFA39-6200</v>
      </c>
      <c r="O708" s="6" t="str">
        <f t="shared" si="98"/>
        <v>SINGING THE CHICAGO BLUES</v>
      </c>
    </row>
    <row r="709" spans="8:15">
      <c r="H709">
        <f t="shared" si="99"/>
        <v>0</v>
      </c>
      <c r="I709" t="e">
        <f t="shared" si="96"/>
        <v>#VALUE!</v>
      </c>
      <c r="J709" s="6">
        <f t="shared" si="100"/>
        <v>0</v>
      </c>
      <c r="K709" s="6">
        <f t="shared" si="101"/>
        <v>0</v>
      </c>
      <c r="L709" s="6">
        <f t="shared" si="102"/>
        <v>0</v>
      </c>
      <c r="M709" s="6">
        <f t="shared" si="103"/>
        <v>0</v>
      </c>
      <c r="N709" s="6" t="str">
        <f t="shared" si="97"/>
        <v>100PFA39-6200</v>
      </c>
      <c r="O709" s="6" t="str">
        <f t="shared" si="98"/>
        <v>SINGING THE CHICAGO BLUES</v>
      </c>
    </row>
    <row r="710" spans="8:15">
      <c r="H710">
        <f t="shared" si="99"/>
        <v>0</v>
      </c>
      <c r="I710" t="e">
        <f t="shared" si="96"/>
        <v>#VALUE!</v>
      </c>
      <c r="J710" s="6">
        <f t="shared" si="100"/>
        <v>0</v>
      </c>
      <c r="K710" s="6">
        <f t="shared" si="101"/>
        <v>0</v>
      </c>
      <c r="L710" s="6">
        <f t="shared" si="102"/>
        <v>0</v>
      </c>
      <c r="M710" s="6">
        <f t="shared" si="103"/>
        <v>0</v>
      </c>
      <c r="N710" s="6" t="str">
        <f t="shared" si="97"/>
        <v>100PFA39-6200</v>
      </c>
      <c r="O710" s="6" t="str">
        <f t="shared" si="98"/>
        <v>SINGING THE CHICAGO BLUES</v>
      </c>
    </row>
    <row r="711" spans="8:15">
      <c r="H711">
        <f t="shared" si="99"/>
        <v>0</v>
      </c>
      <c r="I711" t="e">
        <f t="shared" ref="I711:I774" si="104">IFERROR(IF(SEARCH(" &lt;-",B711,1),LEFT(B711,SEARCH(" ",B711,1)-1),""),LEFT(B711,SEARCH("View",B711,1)-1))</f>
        <v>#VALUE!</v>
      </c>
      <c r="J711" s="6">
        <f t="shared" si="100"/>
        <v>0</v>
      </c>
      <c r="K711" s="6">
        <f t="shared" si="101"/>
        <v>0</v>
      </c>
      <c r="L711" s="6">
        <f t="shared" si="102"/>
        <v>0</v>
      </c>
      <c r="M711" s="6">
        <f t="shared" si="103"/>
        <v>0</v>
      </c>
      <c r="N711" s="6" t="str">
        <f t="shared" ref="N711:N774" si="105">TRIM($B$1)</f>
        <v>100PFA39-6200</v>
      </c>
      <c r="O711" s="6" t="str">
        <f t="shared" ref="O711:O774" si="106">TRIM($C$1)</f>
        <v>SINGING THE CHICAGO BLUES</v>
      </c>
    </row>
    <row r="712" spans="8:15">
      <c r="H712">
        <f t="shared" si="99"/>
        <v>0</v>
      </c>
      <c r="I712" t="e">
        <f t="shared" si="104"/>
        <v>#VALUE!</v>
      </c>
      <c r="J712" s="6">
        <f t="shared" si="100"/>
        <v>0</v>
      </c>
      <c r="K712" s="6">
        <f t="shared" si="101"/>
        <v>0</v>
      </c>
      <c r="L712" s="6">
        <f t="shared" si="102"/>
        <v>0</v>
      </c>
      <c r="M712" s="6">
        <f t="shared" si="103"/>
        <v>0</v>
      </c>
      <c r="N712" s="6" t="str">
        <f t="shared" si="105"/>
        <v>100PFA39-6200</v>
      </c>
      <c r="O712" s="6" t="str">
        <f t="shared" si="106"/>
        <v>SINGING THE CHICAGO BLUES</v>
      </c>
    </row>
    <row r="713" spans="8:15">
      <c r="H713">
        <f t="shared" si="99"/>
        <v>0</v>
      </c>
      <c r="I713" t="e">
        <f t="shared" si="104"/>
        <v>#VALUE!</v>
      </c>
      <c r="J713" s="6">
        <f t="shared" si="100"/>
        <v>0</v>
      </c>
      <c r="K713" s="6">
        <f t="shared" si="101"/>
        <v>0</v>
      </c>
      <c r="L713" s="6">
        <f t="shared" si="102"/>
        <v>0</v>
      </c>
      <c r="M713" s="6">
        <f t="shared" si="103"/>
        <v>0</v>
      </c>
      <c r="N713" s="6" t="str">
        <f t="shared" si="105"/>
        <v>100PFA39-6200</v>
      </c>
      <c r="O713" s="6" t="str">
        <f t="shared" si="106"/>
        <v>SINGING THE CHICAGO BLUES</v>
      </c>
    </row>
    <row r="714" spans="8:15">
      <c r="H714">
        <f t="shared" si="99"/>
        <v>0</v>
      </c>
      <c r="I714" t="e">
        <f t="shared" si="104"/>
        <v>#VALUE!</v>
      </c>
      <c r="J714" s="6">
        <f t="shared" si="100"/>
        <v>0</v>
      </c>
      <c r="K714" s="6">
        <f t="shared" si="101"/>
        <v>0</v>
      </c>
      <c r="L714" s="6">
        <f t="shared" si="102"/>
        <v>0</v>
      </c>
      <c r="M714" s="6">
        <f t="shared" si="103"/>
        <v>0</v>
      </c>
      <c r="N714" s="6" t="str">
        <f t="shared" si="105"/>
        <v>100PFA39-6200</v>
      </c>
      <c r="O714" s="6" t="str">
        <f t="shared" si="106"/>
        <v>SINGING THE CHICAGO BLUES</v>
      </c>
    </row>
    <row r="715" spans="8:15">
      <c r="H715">
        <f t="shared" si="99"/>
        <v>0</v>
      </c>
      <c r="I715" t="e">
        <f t="shared" si="104"/>
        <v>#VALUE!</v>
      </c>
      <c r="J715" s="6">
        <f t="shared" si="100"/>
        <v>0</v>
      </c>
      <c r="K715" s="6">
        <f t="shared" si="101"/>
        <v>0</v>
      </c>
      <c r="L715" s="6">
        <f t="shared" si="102"/>
        <v>0</v>
      </c>
      <c r="M715" s="6">
        <f t="shared" si="103"/>
        <v>0</v>
      </c>
      <c r="N715" s="6" t="str">
        <f t="shared" si="105"/>
        <v>100PFA39-6200</v>
      </c>
      <c r="O715" s="6" t="str">
        <f t="shared" si="106"/>
        <v>SINGING THE CHICAGO BLUES</v>
      </c>
    </row>
    <row r="716" spans="8:15">
      <c r="H716">
        <f t="shared" si="99"/>
        <v>0</v>
      </c>
      <c r="I716" t="e">
        <f t="shared" si="104"/>
        <v>#VALUE!</v>
      </c>
      <c r="J716" s="6">
        <f t="shared" si="100"/>
        <v>0</v>
      </c>
      <c r="K716" s="6">
        <f t="shared" si="101"/>
        <v>0</v>
      </c>
      <c r="L716" s="6">
        <f t="shared" si="102"/>
        <v>0</v>
      </c>
      <c r="M716" s="6">
        <f t="shared" si="103"/>
        <v>0</v>
      </c>
      <c r="N716" s="6" t="str">
        <f t="shared" si="105"/>
        <v>100PFA39-6200</v>
      </c>
      <c r="O716" s="6" t="str">
        <f t="shared" si="106"/>
        <v>SINGING THE CHICAGO BLUES</v>
      </c>
    </row>
    <row r="717" spans="8:15">
      <c r="H717">
        <f t="shared" si="99"/>
        <v>0</v>
      </c>
      <c r="I717" t="e">
        <f t="shared" si="104"/>
        <v>#VALUE!</v>
      </c>
      <c r="J717" s="6">
        <f t="shared" si="100"/>
        <v>0</v>
      </c>
      <c r="K717" s="6">
        <f t="shared" si="101"/>
        <v>0</v>
      </c>
      <c r="L717" s="6">
        <f t="shared" si="102"/>
        <v>0</v>
      </c>
      <c r="M717" s="6">
        <f t="shared" si="103"/>
        <v>0</v>
      </c>
      <c r="N717" s="6" t="str">
        <f t="shared" si="105"/>
        <v>100PFA39-6200</v>
      </c>
      <c r="O717" s="6" t="str">
        <f t="shared" si="106"/>
        <v>SINGING THE CHICAGO BLUES</v>
      </c>
    </row>
    <row r="718" spans="8:15">
      <c r="H718">
        <f t="shared" si="99"/>
        <v>0</v>
      </c>
      <c r="I718" t="e">
        <f t="shared" si="104"/>
        <v>#VALUE!</v>
      </c>
      <c r="J718" s="6">
        <f t="shared" si="100"/>
        <v>0</v>
      </c>
      <c r="K718" s="6">
        <f t="shared" si="101"/>
        <v>0</v>
      </c>
      <c r="L718" s="6">
        <f t="shared" si="102"/>
        <v>0</v>
      </c>
      <c r="M718" s="6">
        <f t="shared" si="103"/>
        <v>0</v>
      </c>
      <c r="N718" s="6" t="str">
        <f t="shared" si="105"/>
        <v>100PFA39-6200</v>
      </c>
      <c r="O718" s="6" t="str">
        <f t="shared" si="106"/>
        <v>SINGING THE CHICAGO BLUES</v>
      </c>
    </row>
    <row r="719" spans="8:15">
      <c r="H719">
        <f t="shared" si="99"/>
        <v>0</v>
      </c>
      <c r="I719" t="e">
        <f t="shared" si="104"/>
        <v>#VALUE!</v>
      </c>
      <c r="J719" s="6">
        <f t="shared" si="100"/>
        <v>0</v>
      </c>
      <c r="K719" s="6">
        <f t="shared" si="101"/>
        <v>0</v>
      </c>
      <c r="L719" s="6">
        <f t="shared" si="102"/>
        <v>0</v>
      </c>
      <c r="M719" s="6">
        <f t="shared" si="103"/>
        <v>0</v>
      </c>
      <c r="N719" s="6" t="str">
        <f t="shared" si="105"/>
        <v>100PFA39-6200</v>
      </c>
      <c r="O719" s="6" t="str">
        <f t="shared" si="106"/>
        <v>SINGING THE CHICAGO BLUES</v>
      </c>
    </row>
    <row r="720" spans="8:15">
      <c r="H720">
        <f t="shared" si="99"/>
        <v>0</v>
      </c>
      <c r="I720" t="e">
        <f t="shared" si="104"/>
        <v>#VALUE!</v>
      </c>
      <c r="J720" s="6">
        <f t="shared" si="100"/>
        <v>0</v>
      </c>
      <c r="K720" s="6">
        <f t="shared" si="101"/>
        <v>0</v>
      </c>
      <c r="L720" s="6">
        <f t="shared" si="102"/>
        <v>0</v>
      </c>
      <c r="M720" s="6">
        <f t="shared" si="103"/>
        <v>0</v>
      </c>
      <c r="N720" s="6" t="str">
        <f t="shared" si="105"/>
        <v>100PFA39-6200</v>
      </c>
      <c r="O720" s="6" t="str">
        <f t="shared" si="106"/>
        <v>SINGING THE CHICAGO BLUES</v>
      </c>
    </row>
    <row r="721" spans="8:15">
      <c r="H721">
        <f t="shared" si="99"/>
        <v>0</v>
      </c>
      <c r="I721" t="e">
        <f t="shared" si="104"/>
        <v>#VALUE!</v>
      </c>
      <c r="J721" s="6">
        <f t="shared" si="100"/>
        <v>0</v>
      </c>
      <c r="K721" s="6">
        <f t="shared" si="101"/>
        <v>0</v>
      </c>
      <c r="L721" s="6">
        <f t="shared" si="102"/>
        <v>0</v>
      </c>
      <c r="M721" s="6">
        <f t="shared" si="103"/>
        <v>0</v>
      </c>
      <c r="N721" s="6" t="str">
        <f t="shared" si="105"/>
        <v>100PFA39-6200</v>
      </c>
      <c r="O721" s="6" t="str">
        <f t="shared" si="106"/>
        <v>SINGING THE CHICAGO BLUES</v>
      </c>
    </row>
    <row r="722" spans="8:15">
      <c r="H722">
        <f t="shared" si="99"/>
        <v>0</v>
      </c>
      <c r="I722" t="e">
        <f t="shared" si="104"/>
        <v>#VALUE!</v>
      </c>
      <c r="J722" s="6">
        <f t="shared" si="100"/>
        <v>0</v>
      </c>
      <c r="K722" s="6">
        <f t="shared" si="101"/>
        <v>0</v>
      </c>
      <c r="L722" s="6">
        <f t="shared" si="102"/>
        <v>0</v>
      </c>
      <c r="M722" s="6">
        <f t="shared" si="103"/>
        <v>0</v>
      </c>
      <c r="N722" s="6" t="str">
        <f t="shared" si="105"/>
        <v>100PFA39-6200</v>
      </c>
      <c r="O722" s="6" t="str">
        <f t="shared" si="106"/>
        <v>SINGING THE CHICAGO BLUES</v>
      </c>
    </row>
    <row r="723" spans="8:15">
      <c r="H723">
        <f t="shared" si="99"/>
        <v>0</v>
      </c>
      <c r="I723" t="e">
        <f t="shared" si="104"/>
        <v>#VALUE!</v>
      </c>
      <c r="J723" s="6">
        <f t="shared" si="100"/>
        <v>0</v>
      </c>
      <c r="K723" s="6">
        <f t="shared" si="101"/>
        <v>0</v>
      </c>
      <c r="L723" s="6">
        <f t="shared" si="102"/>
        <v>0</v>
      </c>
      <c r="M723" s="6">
        <f t="shared" si="103"/>
        <v>0</v>
      </c>
      <c r="N723" s="6" t="str">
        <f t="shared" si="105"/>
        <v>100PFA39-6200</v>
      </c>
      <c r="O723" s="6" t="str">
        <f t="shared" si="106"/>
        <v>SINGING THE CHICAGO BLUES</v>
      </c>
    </row>
    <row r="724" spans="8:15">
      <c r="H724">
        <f t="shared" si="99"/>
        <v>0</v>
      </c>
      <c r="I724" t="e">
        <f t="shared" si="104"/>
        <v>#VALUE!</v>
      </c>
      <c r="J724" s="6">
        <f t="shared" si="100"/>
        <v>0</v>
      </c>
      <c r="K724" s="6">
        <f t="shared" si="101"/>
        <v>0</v>
      </c>
      <c r="L724" s="6">
        <f t="shared" si="102"/>
        <v>0</v>
      </c>
      <c r="M724" s="6">
        <f t="shared" si="103"/>
        <v>0</v>
      </c>
      <c r="N724" s="6" t="str">
        <f t="shared" si="105"/>
        <v>100PFA39-6200</v>
      </c>
      <c r="O724" s="6" t="str">
        <f t="shared" si="106"/>
        <v>SINGING THE CHICAGO BLUES</v>
      </c>
    </row>
    <row r="725" spans="8:15">
      <c r="H725">
        <f t="shared" si="99"/>
        <v>0</v>
      </c>
      <c r="I725" t="e">
        <f t="shared" si="104"/>
        <v>#VALUE!</v>
      </c>
      <c r="J725" s="6">
        <f t="shared" si="100"/>
        <v>0</v>
      </c>
      <c r="K725" s="6">
        <f t="shared" si="101"/>
        <v>0</v>
      </c>
      <c r="L725" s="6">
        <f t="shared" si="102"/>
        <v>0</v>
      </c>
      <c r="M725" s="6">
        <f t="shared" si="103"/>
        <v>0</v>
      </c>
      <c r="N725" s="6" t="str">
        <f t="shared" si="105"/>
        <v>100PFA39-6200</v>
      </c>
      <c r="O725" s="6" t="str">
        <f t="shared" si="106"/>
        <v>SINGING THE CHICAGO BLUES</v>
      </c>
    </row>
    <row r="726" spans="8:15">
      <c r="H726">
        <f t="shared" si="99"/>
        <v>0</v>
      </c>
      <c r="I726" t="e">
        <f t="shared" si="104"/>
        <v>#VALUE!</v>
      </c>
      <c r="J726" s="6">
        <f t="shared" si="100"/>
        <v>0</v>
      </c>
      <c r="K726" s="6">
        <f t="shared" si="101"/>
        <v>0</v>
      </c>
      <c r="L726" s="6">
        <f t="shared" si="102"/>
        <v>0</v>
      </c>
      <c r="M726" s="6">
        <f t="shared" si="103"/>
        <v>0</v>
      </c>
      <c r="N726" s="6" t="str">
        <f t="shared" si="105"/>
        <v>100PFA39-6200</v>
      </c>
      <c r="O726" s="6" t="str">
        <f t="shared" si="106"/>
        <v>SINGING THE CHICAGO BLUES</v>
      </c>
    </row>
    <row r="727" spans="8:15">
      <c r="H727">
        <f t="shared" si="99"/>
        <v>0</v>
      </c>
      <c r="I727" t="e">
        <f t="shared" si="104"/>
        <v>#VALUE!</v>
      </c>
      <c r="J727" s="6">
        <f t="shared" si="100"/>
        <v>0</v>
      </c>
      <c r="K727" s="6">
        <f t="shared" si="101"/>
        <v>0</v>
      </c>
      <c r="L727" s="6">
        <f t="shared" si="102"/>
        <v>0</v>
      </c>
      <c r="M727" s="6">
        <f t="shared" si="103"/>
        <v>0</v>
      </c>
      <c r="N727" s="6" t="str">
        <f t="shared" si="105"/>
        <v>100PFA39-6200</v>
      </c>
      <c r="O727" s="6" t="str">
        <f t="shared" si="106"/>
        <v>SINGING THE CHICAGO BLUES</v>
      </c>
    </row>
    <row r="728" spans="8:15">
      <c r="H728">
        <f t="shared" si="99"/>
        <v>0</v>
      </c>
      <c r="I728" t="e">
        <f t="shared" si="104"/>
        <v>#VALUE!</v>
      </c>
      <c r="J728" s="6">
        <f t="shared" si="100"/>
        <v>0</v>
      </c>
      <c r="K728" s="6">
        <f t="shared" si="101"/>
        <v>0</v>
      </c>
      <c r="L728" s="6">
        <f t="shared" si="102"/>
        <v>0</v>
      </c>
      <c r="M728" s="6">
        <f t="shared" si="103"/>
        <v>0</v>
      </c>
      <c r="N728" s="6" t="str">
        <f t="shared" si="105"/>
        <v>100PFA39-6200</v>
      </c>
      <c r="O728" s="6" t="str">
        <f t="shared" si="106"/>
        <v>SINGING THE CHICAGO BLUES</v>
      </c>
    </row>
    <row r="729" spans="8:15">
      <c r="H729">
        <f t="shared" si="99"/>
        <v>0</v>
      </c>
      <c r="I729" t="e">
        <f t="shared" si="104"/>
        <v>#VALUE!</v>
      </c>
      <c r="J729" s="6">
        <f t="shared" si="100"/>
        <v>0</v>
      </c>
      <c r="K729" s="6">
        <f t="shared" si="101"/>
        <v>0</v>
      </c>
      <c r="L729" s="6">
        <f t="shared" si="102"/>
        <v>0</v>
      </c>
      <c r="M729" s="6">
        <f t="shared" si="103"/>
        <v>0</v>
      </c>
      <c r="N729" s="6" t="str">
        <f t="shared" si="105"/>
        <v>100PFA39-6200</v>
      </c>
      <c r="O729" s="6" t="str">
        <f t="shared" si="106"/>
        <v>SINGING THE CHICAGO BLUES</v>
      </c>
    </row>
    <row r="730" spans="8:15">
      <c r="H730">
        <f t="shared" si="99"/>
        <v>0</v>
      </c>
      <c r="I730" t="e">
        <f t="shared" si="104"/>
        <v>#VALUE!</v>
      </c>
      <c r="J730" s="6">
        <f t="shared" si="100"/>
        <v>0</v>
      </c>
      <c r="K730" s="6">
        <f t="shared" si="101"/>
        <v>0</v>
      </c>
      <c r="L730" s="6">
        <f t="shared" si="102"/>
        <v>0</v>
      </c>
      <c r="M730" s="6">
        <f t="shared" si="103"/>
        <v>0</v>
      </c>
      <c r="N730" s="6" t="str">
        <f t="shared" si="105"/>
        <v>100PFA39-6200</v>
      </c>
      <c r="O730" s="6" t="str">
        <f t="shared" si="106"/>
        <v>SINGING THE CHICAGO BLUES</v>
      </c>
    </row>
    <row r="731" spans="8:15">
      <c r="H731">
        <f t="shared" si="99"/>
        <v>0</v>
      </c>
      <c r="I731" t="e">
        <f t="shared" si="104"/>
        <v>#VALUE!</v>
      </c>
      <c r="J731" s="6">
        <f t="shared" si="100"/>
        <v>0</v>
      </c>
      <c r="K731" s="6">
        <f t="shared" si="101"/>
        <v>0</v>
      </c>
      <c r="L731" s="6">
        <f t="shared" si="102"/>
        <v>0</v>
      </c>
      <c r="M731" s="6">
        <f t="shared" si="103"/>
        <v>0</v>
      </c>
      <c r="N731" s="6" t="str">
        <f t="shared" si="105"/>
        <v>100PFA39-6200</v>
      </c>
      <c r="O731" s="6" t="str">
        <f t="shared" si="106"/>
        <v>SINGING THE CHICAGO BLUES</v>
      </c>
    </row>
    <row r="732" spans="8:15">
      <c r="H732">
        <f t="shared" si="99"/>
        <v>0</v>
      </c>
      <c r="I732" t="e">
        <f t="shared" si="104"/>
        <v>#VALUE!</v>
      </c>
      <c r="J732" s="6">
        <f t="shared" si="100"/>
        <v>0</v>
      </c>
      <c r="K732" s="6">
        <f t="shared" si="101"/>
        <v>0</v>
      </c>
      <c r="L732" s="6">
        <f t="shared" si="102"/>
        <v>0</v>
      </c>
      <c r="M732" s="6">
        <f t="shared" si="103"/>
        <v>0</v>
      </c>
      <c r="N732" s="6" t="str">
        <f t="shared" si="105"/>
        <v>100PFA39-6200</v>
      </c>
      <c r="O732" s="6" t="str">
        <f t="shared" si="106"/>
        <v>SINGING THE CHICAGO BLUES</v>
      </c>
    </row>
    <row r="733" spans="8:15">
      <c r="H733">
        <f t="shared" si="99"/>
        <v>0</v>
      </c>
      <c r="I733" t="e">
        <f t="shared" si="104"/>
        <v>#VALUE!</v>
      </c>
      <c r="J733" s="6">
        <f t="shared" si="100"/>
        <v>0</v>
      </c>
      <c r="K733" s="6">
        <f t="shared" si="101"/>
        <v>0</v>
      </c>
      <c r="L733" s="6">
        <f t="shared" si="102"/>
        <v>0</v>
      </c>
      <c r="M733" s="6">
        <f t="shared" si="103"/>
        <v>0</v>
      </c>
      <c r="N733" s="6" t="str">
        <f t="shared" si="105"/>
        <v>100PFA39-6200</v>
      </c>
      <c r="O733" s="6" t="str">
        <f t="shared" si="106"/>
        <v>SINGING THE CHICAGO BLUES</v>
      </c>
    </row>
    <row r="734" spans="8:15">
      <c r="H734">
        <f t="shared" si="99"/>
        <v>0</v>
      </c>
      <c r="I734" t="e">
        <f t="shared" si="104"/>
        <v>#VALUE!</v>
      </c>
      <c r="J734" s="6">
        <f t="shared" si="100"/>
        <v>0</v>
      </c>
      <c r="K734" s="6">
        <f t="shared" si="101"/>
        <v>0</v>
      </c>
      <c r="L734" s="6">
        <f t="shared" si="102"/>
        <v>0</v>
      </c>
      <c r="M734" s="6">
        <f t="shared" si="103"/>
        <v>0</v>
      </c>
      <c r="N734" s="6" t="str">
        <f t="shared" si="105"/>
        <v>100PFA39-6200</v>
      </c>
      <c r="O734" s="6" t="str">
        <f t="shared" si="106"/>
        <v>SINGING THE CHICAGO BLUES</v>
      </c>
    </row>
    <row r="735" spans="8:15">
      <c r="H735">
        <f t="shared" si="99"/>
        <v>0</v>
      </c>
      <c r="I735" t="e">
        <f t="shared" si="104"/>
        <v>#VALUE!</v>
      </c>
      <c r="J735" s="6">
        <f t="shared" si="100"/>
        <v>0</v>
      </c>
      <c r="K735" s="6">
        <f t="shared" si="101"/>
        <v>0</v>
      </c>
      <c r="L735" s="6">
        <f t="shared" si="102"/>
        <v>0</v>
      </c>
      <c r="M735" s="6">
        <f t="shared" si="103"/>
        <v>0</v>
      </c>
      <c r="N735" s="6" t="str">
        <f t="shared" si="105"/>
        <v>100PFA39-6200</v>
      </c>
      <c r="O735" s="6" t="str">
        <f t="shared" si="106"/>
        <v>SINGING THE CHICAGO BLUES</v>
      </c>
    </row>
    <row r="736" spans="8:15">
      <c r="H736">
        <f t="shared" si="99"/>
        <v>0</v>
      </c>
      <c r="I736" t="e">
        <f t="shared" si="104"/>
        <v>#VALUE!</v>
      </c>
      <c r="J736" s="6">
        <f t="shared" si="100"/>
        <v>0</v>
      </c>
      <c r="K736" s="6">
        <f t="shared" si="101"/>
        <v>0</v>
      </c>
      <c r="L736" s="6">
        <f t="shared" si="102"/>
        <v>0</v>
      </c>
      <c r="M736" s="6">
        <f t="shared" si="103"/>
        <v>0</v>
      </c>
      <c r="N736" s="6" t="str">
        <f t="shared" si="105"/>
        <v>100PFA39-6200</v>
      </c>
      <c r="O736" s="6" t="str">
        <f t="shared" si="106"/>
        <v>SINGING THE CHICAGO BLUES</v>
      </c>
    </row>
    <row r="737" spans="8:15">
      <c r="H737">
        <f t="shared" si="99"/>
        <v>0</v>
      </c>
      <c r="I737" t="e">
        <f t="shared" si="104"/>
        <v>#VALUE!</v>
      </c>
      <c r="J737" s="6">
        <f t="shared" si="100"/>
        <v>0</v>
      </c>
      <c r="K737" s="6">
        <f t="shared" si="101"/>
        <v>0</v>
      </c>
      <c r="L737" s="6">
        <f t="shared" si="102"/>
        <v>0</v>
      </c>
      <c r="M737" s="6">
        <f t="shared" si="103"/>
        <v>0</v>
      </c>
      <c r="N737" s="6" t="str">
        <f t="shared" si="105"/>
        <v>100PFA39-6200</v>
      </c>
      <c r="O737" s="6" t="str">
        <f t="shared" si="106"/>
        <v>SINGING THE CHICAGO BLUES</v>
      </c>
    </row>
    <row r="738" spans="8:15">
      <c r="H738">
        <f t="shared" si="99"/>
        <v>0</v>
      </c>
      <c r="I738" t="e">
        <f t="shared" si="104"/>
        <v>#VALUE!</v>
      </c>
      <c r="J738" s="6">
        <f t="shared" si="100"/>
        <v>0</v>
      </c>
      <c r="K738" s="6">
        <f t="shared" si="101"/>
        <v>0</v>
      </c>
      <c r="L738" s="6">
        <f t="shared" si="102"/>
        <v>0</v>
      </c>
      <c r="M738" s="6">
        <f t="shared" si="103"/>
        <v>0</v>
      </c>
      <c r="N738" s="6" t="str">
        <f t="shared" si="105"/>
        <v>100PFA39-6200</v>
      </c>
      <c r="O738" s="6" t="str">
        <f t="shared" si="106"/>
        <v>SINGING THE CHICAGO BLUES</v>
      </c>
    </row>
    <row r="739" spans="8:15">
      <c r="H739">
        <f t="shared" si="99"/>
        <v>0</v>
      </c>
      <c r="I739" t="e">
        <f t="shared" si="104"/>
        <v>#VALUE!</v>
      </c>
      <c r="J739" s="6">
        <f t="shared" si="100"/>
        <v>0</v>
      </c>
      <c r="K739" s="6">
        <f t="shared" si="101"/>
        <v>0</v>
      </c>
      <c r="L739" s="6">
        <f t="shared" si="102"/>
        <v>0</v>
      </c>
      <c r="M739" s="6">
        <f t="shared" si="103"/>
        <v>0</v>
      </c>
      <c r="N739" s="6" t="str">
        <f t="shared" si="105"/>
        <v>100PFA39-6200</v>
      </c>
      <c r="O739" s="6" t="str">
        <f t="shared" si="106"/>
        <v>SINGING THE CHICAGO BLUES</v>
      </c>
    </row>
    <row r="740" spans="8:15">
      <c r="H740">
        <f t="shared" si="99"/>
        <v>0</v>
      </c>
      <c r="I740" t="e">
        <f t="shared" si="104"/>
        <v>#VALUE!</v>
      </c>
      <c r="J740" s="6">
        <f t="shared" si="100"/>
        <v>0</v>
      </c>
      <c r="K740" s="6">
        <f t="shared" si="101"/>
        <v>0</v>
      </c>
      <c r="L740" s="6">
        <f t="shared" si="102"/>
        <v>0</v>
      </c>
      <c r="M740" s="6">
        <f t="shared" si="103"/>
        <v>0</v>
      </c>
      <c r="N740" s="6" t="str">
        <f t="shared" si="105"/>
        <v>100PFA39-6200</v>
      </c>
      <c r="O740" s="6" t="str">
        <f t="shared" si="106"/>
        <v>SINGING THE CHICAGO BLUES</v>
      </c>
    </row>
    <row r="741" spans="8:15">
      <c r="H741">
        <f t="shared" si="99"/>
        <v>0</v>
      </c>
      <c r="I741" t="e">
        <f t="shared" si="104"/>
        <v>#VALUE!</v>
      </c>
      <c r="J741" s="6">
        <f t="shared" si="100"/>
        <v>0</v>
      </c>
      <c r="K741" s="6">
        <f t="shared" si="101"/>
        <v>0</v>
      </c>
      <c r="L741" s="6">
        <f t="shared" si="102"/>
        <v>0</v>
      </c>
      <c r="M741" s="6">
        <f t="shared" si="103"/>
        <v>0</v>
      </c>
      <c r="N741" s="6" t="str">
        <f t="shared" si="105"/>
        <v>100PFA39-6200</v>
      </c>
      <c r="O741" s="6" t="str">
        <f t="shared" si="106"/>
        <v>SINGING THE CHICAGO BLUES</v>
      </c>
    </row>
    <row r="742" spans="8:15">
      <c r="H742">
        <f t="shared" si="99"/>
        <v>0</v>
      </c>
      <c r="I742" t="e">
        <f t="shared" si="104"/>
        <v>#VALUE!</v>
      </c>
      <c r="J742" s="6">
        <f t="shared" si="100"/>
        <v>0</v>
      </c>
      <c r="K742" s="6">
        <f t="shared" si="101"/>
        <v>0</v>
      </c>
      <c r="L742" s="6">
        <f t="shared" si="102"/>
        <v>0</v>
      </c>
      <c r="M742" s="6">
        <f t="shared" si="103"/>
        <v>0</v>
      </c>
      <c r="N742" s="6" t="str">
        <f t="shared" si="105"/>
        <v>100PFA39-6200</v>
      </c>
      <c r="O742" s="6" t="str">
        <f t="shared" si="106"/>
        <v>SINGING THE CHICAGO BLUES</v>
      </c>
    </row>
    <row r="743" spans="8:15">
      <c r="H743">
        <f t="shared" si="99"/>
        <v>0</v>
      </c>
      <c r="I743" t="e">
        <f t="shared" si="104"/>
        <v>#VALUE!</v>
      </c>
      <c r="J743" s="6">
        <f t="shared" si="100"/>
        <v>0</v>
      </c>
      <c r="K743" s="6">
        <f t="shared" si="101"/>
        <v>0</v>
      </c>
      <c r="L743" s="6">
        <f t="shared" si="102"/>
        <v>0</v>
      </c>
      <c r="M743" s="6">
        <f t="shared" si="103"/>
        <v>0</v>
      </c>
      <c r="N743" s="6" t="str">
        <f t="shared" si="105"/>
        <v>100PFA39-6200</v>
      </c>
      <c r="O743" s="6" t="str">
        <f t="shared" si="106"/>
        <v>SINGING THE CHICAGO BLUES</v>
      </c>
    </row>
    <row r="744" spans="8:15">
      <c r="H744">
        <f t="shared" si="99"/>
        <v>0</v>
      </c>
      <c r="I744" t="e">
        <f t="shared" si="104"/>
        <v>#VALUE!</v>
      </c>
      <c r="J744" s="6">
        <f t="shared" si="100"/>
        <v>0</v>
      </c>
      <c r="K744" s="6">
        <f t="shared" si="101"/>
        <v>0</v>
      </c>
      <c r="L744" s="6">
        <f t="shared" si="102"/>
        <v>0</v>
      </c>
      <c r="M744" s="6">
        <f t="shared" si="103"/>
        <v>0</v>
      </c>
      <c r="N744" s="6" t="str">
        <f t="shared" si="105"/>
        <v>100PFA39-6200</v>
      </c>
      <c r="O744" s="6" t="str">
        <f t="shared" si="106"/>
        <v>SINGING THE CHICAGO BLUES</v>
      </c>
    </row>
    <row r="745" spans="8:15">
      <c r="H745">
        <f t="shared" si="99"/>
        <v>0</v>
      </c>
      <c r="I745" t="e">
        <f t="shared" si="104"/>
        <v>#VALUE!</v>
      </c>
      <c r="J745" s="6">
        <f t="shared" si="100"/>
        <v>0</v>
      </c>
      <c r="K745" s="6">
        <f t="shared" si="101"/>
        <v>0</v>
      </c>
      <c r="L745" s="6">
        <f t="shared" si="102"/>
        <v>0</v>
      </c>
      <c r="M745" s="6">
        <f t="shared" si="103"/>
        <v>0</v>
      </c>
      <c r="N745" s="6" t="str">
        <f t="shared" si="105"/>
        <v>100PFA39-6200</v>
      </c>
      <c r="O745" s="6" t="str">
        <f t="shared" si="106"/>
        <v>SINGING THE CHICAGO BLUES</v>
      </c>
    </row>
    <row r="746" spans="8:15">
      <c r="H746">
        <f t="shared" si="99"/>
        <v>0</v>
      </c>
      <c r="I746" t="e">
        <f t="shared" si="104"/>
        <v>#VALUE!</v>
      </c>
      <c r="J746" s="6">
        <f t="shared" si="100"/>
        <v>0</v>
      </c>
      <c r="K746" s="6">
        <f t="shared" si="101"/>
        <v>0</v>
      </c>
      <c r="L746" s="6">
        <f t="shared" si="102"/>
        <v>0</v>
      </c>
      <c r="M746" s="6">
        <f t="shared" si="103"/>
        <v>0</v>
      </c>
      <c r="N746" s="6" t="str">
        <f t="shared" si="105"/>
        <v>100PFA39-6200</v>
      </c>
      <c r="O746" s="6" t="str">
        <f t="shared" si="106"/>
        <v>SINGING THE CHICAGO BLUES</v>
      </c>
    </row>
    <row r="747" spans="8:15">
      <c r="H747">
        <f t="shared" si="99"/>
        <v>0</v>
      </c>
      <c r="I747" t="e">
        <f t="shared" si="104"/>
        <v>#VALUE!</v>
      </c>
      <c r="J747" s="6">
        <f t="shared" si="100"/>
        <v>0</v>
      </c>
      <c r="K747" s="6">
        <f t="shared" si="101"/>
        <v>0</v>
      </c>
      <c r="L747" s="6">
        <f t="shared" si="102"/>
        <v>0</v>
      </c>
      <c r="M747" s="6">
        <f t="shared" si="103"/>
        <v>0</v>
      </c>
      <c r="N747" s="6" t="str">
        <f t="shared" si="105"/>
        <v>100PFA39-6200</v>
      </c>
      <c r="O747" s="6" t="str">
        <f t="shared" si="106"/>
        <v>SINGING THE CHICAGO BLUES</v>
      </c>
    </row>
    <row r="748" spans="8:15">
      <c r="H748">
        <f t="shared" si="99"/>
        <v>0</v>
      </c>
      <c r="I748" t="e">
        <f t="shared" si="104"/>
        <v>#VALUE!</v>
      </c>
      <c r="J748" s="6">
        <f t="shared" si="100"/>
        <v>0</v>
      </c>
      <c r="K748" s="6">
        <f t="shared" si="101"/>
        <v>0</v>
      </c>
      <c r="L748" s="6">
        <f t="shared" si="102"/>
        <v>0</v>
      </c>
      <c r="M748" s="6">
        <f t="shared" si="103"/>
        <v>0</v>
      </c>
      <c r="N748" s="6" t="str">
        <f t="shared" si="105"/>
        <v>100PFA39-6200</v>
      </c>
      <c r="O748" s="6" t="str">
        <f t="shared" si="106"/>
        <v>SINGING THE CHICAGO BLUES</v>
      </c>
    </row>
    <row r="749" spans="8:15">
      <c r="H749">
        <f t="shared" si="99"/>
        <v>0</v>
      </c>
      <c r="I749" t="e">
        <f t="shared" si="104"/>
        <v>#VALUE!</v>
      </c>
      <c r="J749" s="6">
        <f t="shared" si="100"/>
        <v>0</v>
      </c>
      <c r="K749" s="6">
        <f t="shared" si="101"/>
        <v>0</v>
      </c>
      <c r="L749" s="6">
        <f t="shared" si="102"/>
        <v>0</v>
      </c>
      <c r="M749" s="6">
        <f t="shared" si="103"/>
        <v>0</v>
      </c>
      <c r="N749" s="6" t="str">
        <f t="shared" si="105"/>
        <v>100PFA39-6200</v>
      </c>
      <c r="O749" s="6" t="str">
        <f t="shared" si="106"/>
        <v>SINGING THE CHICAGO BLUES</v>
      </c>
    </row>
    <row r="750" spans="8:15">
      <c r="H750">
        <f t="shared" si="99"/>
        <v>0</v>
      </c>
      <c r="I750" t="e">
        <f t="shared" si="104"/>
        <v>#VALUE!</v>
      </c>
      <c r="J750" s="6">
        <f t="shared" si="100"/>
        <v>0</v>
      </c>
      <c r="K750" s="6">
        <f t="shared" si="101"/>
        <v>0</v>
      </c>
      <c r="L750" s="6">
        <f t="shared" si="102"/>
        <v>0</v>
      </c>
      <c r="M750" s="6">
        <f t="shared" si="103"/>
        <v>0</v>
      </c>
      <c r="N750" s="6" t="str">
        <f t="shared" si="105"/>
        <v>100PFA39-6200</v>
      </c>
      <c r="O750" s="6" t="str">
        <f t="shared" si="106"/>
        <v>SINGING THE CHICAGO BLUES</v>
      </c>
    </row>
    <row r="751" spans="8:15">
      <c r="H751">
        <f t="shared" si="99"/>
        <v>0</v>
      </c>
      <c r="I751" t="e">
        <f t="shared" si="104"/>
        <v>#VALUE!</v>
      </c>
      <c r="J751" s="6">
        <f t="shared" si="100"/>
        <v>0</v>
      </c>
      <c r="K751" s="6">
        <f t="shared" si="101"/>
        <v>0</v>
      </c>
      <c r="L751" s="6">
        <f t="shared" si="102"/>
        <v>0</v>
      </c>
      <c r="M751" s="6">
        <f t="shared" si="103"/>
        <v>0</v>
      </c>
      <c r="N751" s="6" t="str">
        <f t="shared" si="105"/>
        <v>100PFA39-6200</v>
      </c>
      <c r="O751" s="6" t="str">
        <f t="shared" si="106"/>
        <v>SINGING THE CHICAGO BLUES</v>
      </c>
    </row>
    <row r="752" spans="8:15">
      <c r="H752">
        <f t="shared" si="99"/>
        <v>0</v>
      </c>
      <c r="I752" t="e">
        <f t="shared" si="104"/>
        <v>#VALUE!</v>
      </c>
      <c r="J752" s="6">
        <f t="shared" si="100"/>
        <v>0</v>
      </c>
      <c r="K752" s="6">
        <f t="shared" si="101"/>
        <v>0</v>
      </c>
      <c r="L752" s="6">
        <f t="shared" si="102"/>
        <v>0</v>
      </c>
      <c r="M752" s="6">
        <f t="shared" si="103"/>
        <v>0</v>
      </c>
      <c r="N752" s="6" t="str">
        <f t="shared" si="105"/>
        <v>100PFA39-6200</v>
      </c>
      <c r="O752" s="6" t="str">
        <f t="shared" si="106"/>
        <v>SINGING THE CHICAGO BLUES</v>
      </c>
    </row>
    <row r="753" spans="8:15">
      <c r="H753">
        <f t="shared" si="99"/>
        <v>0</v>
      </c>
      <c r="I753" t="e">
        <f t="shared" si="104"/>
        <v>#VALUE!</v>
      </c>
      <c r="J753" s="6">
        <f t="shared" si="100"/>
        <v>0</v>
      </c>
      <c r="K753" s="6">
        <f t="shared" si="101"/>
        <v>0</v>
      </c>
      <c r="L753" s="6">
        <f t="shared" si="102"/>
        <v>0</v>
      </c>
      <c r="M753" s="6">
        <f t="shared" si="103"/>
        <v>0</v>
      </c>
      <c r="N753" s="6" t="str">
        <f t="shared" si="105"/>
        <v>100PFA39-6200</v>
      </c>
      <c r="O753" s="6" t="str">
        <f t="shared" si="106"/>
        <v>SINGING THE CHICAGO BLUES</v>
      </c>
    </row>
    <row r="754" spans="8:15">
      <c r="H754">
        <f t="shared" si="99"/>
        <v>0</v>
      </c>
      <c r="I754" t="e">
        <f t="shared" si="104"/>
        <v>#VALUE!</v>
      </c>
      <c r="J754" s="6">
        <f t="shared" si="100"/>
        <v>0</v>
      </c>
      <c r="K754" s="6">
        <f t="shared" si="101"/>
        <v>0</v>
      </c>
      <c r="L754" s="6">
        <f t="shared" si="102"/>
        <v>0</v>
      </c>
      <c r="M754" s="6">
        <f t="shared" si="103"/>
        <v>0</v>
      </c>
      <c r="N754" s="6" t="str">
        <f t="shared" si="105"/>
        <v>100PFA39-6200</v>
      </c>
      <c r="O754" s="6" t="str">
        <f t="shared" si="106"/>
        <v>SINGING THE CHICAGO BLUES</v>
      </c>
    </row>
    <row r="755" spans="8:15">
      <c r="H755">
        <f t="shared" si="99"/>
        <v>0</v>
      </c>
      <c r="I755" t="e">
        <f t="shared" si="104"/>
        <v>#VALUE!</v>
      </c>
      <c r="J755" s="6">
        <f t="shared" si="100"/>
        <v>0</v>
      </c>
      <c r="K755" s="6">
        <f t="shared" si="101"/>
        <v>0</v>
      </c>
      <c r="L755" s="6">
        <f t="shared" si="102"/>
        <v>0</v>
      </c>
      <c r="M755" s="6">
        <f t="shared" si="103"/>
        <v>0</v>
      </c>
      <c r="N755" s="6" t="str">
        <f t="shared" si="105"/>
        <v>100PFA39-6200</v>
      </c>
      <c r="O755" s="6" t="str">
        <f t="shared" si="106"/>
        <v>SINGING THE CHICAGO BLUES</v>
      </c>
    </row>
    <row r="756" spans="8:15">
      <c r="H756">
        <f t="shared" si="99"/>
        <v>0</v>
      </c>
      <c r="I756" t="e">
        <f t="shared" si="104"/>
        <v>#VALUE!</v>
      </c>
      <c r="J756" s="6">
        <f t="shared" si="100"/>
        <v>0</v>
      </c>
      <c r="K756" s="6">
        <f t="shared" si="101"/>
        <v>0</v>
      </c>
      <c r="L756" s="6">
        <f t="shared" si="102"/>
        <v>0</v>
      </c>
      <c r="M756" s="6">
        <f t="shared" si="103"/>
        <v>0</v>
      </c>
      <c r="N756" s="6" t="str">
        <f t="shared" si="105"/>
        <v>100PFA39-6200</v>
      </c>
      <c r="O756" s="6" t="str">
        <f t="shared" si="106"/>
        <v>SINGING THE CHICAGO BLUES</v>
      </c>
    </row>
    <row r="757" spans="8:15">
      <c r="H757">
        <f t="shared" si="99"/>
        <v>0</v>
      </c>
      <c r="I757" t="e">
        <f t="shared" si="104"/>
        <v>#VALUE!</v>
      </c>
      <c r="J757" s="6">
        <f t="shared" si="100"/>
        <v>0</v>
      </c>
      <c r="K757" s="6">
        <f t="shared" si="101"/>
        <v>0</v>
      </c>
      <c r="L757" s="6">
        <f t="shared" si="102"/>
        <v>0</v>
      </c>
      <c r="M757" s="6">
        <f t="shared" si="103"/>
        <v>0</v>
      </c>
      <c r="N757" s="6" t="str">
        <f t="shared" si="105"/>
        <v>100PFA39-6200</v>
      </c>
      <c r="O757" s="6" t="str">
        <f t="shared" si="106"/>
        <v>SINGING THE CHICAGO BLUES</v>
      </c>
    </row>
    <row r="758" spans="8:15">
      <c r="H758">
        <f t="shared" si="99"/>
        <v>0</v>
      </c>
      <c r="I758" t="e">
        <f t="shared" si="104"/>
        <v>#VALUE!</v>
      </c>
      <c r="J758" s="6">
        <f t="shared" si="100"/>
        <v>0</v>
      </c>
      <c r="K758" s="6">
        <f t="shared" si="101"/>
        <v>0</v>
      </c>
      <c r="L758" s="6">
        <f t="shared" si="102"/>
        <v>0</v>
      </c>
      <c r="M758" s="6">
        <f t="shared" si="103"/>
        <v>0</v>
      </c>
      <c r="N758" s="6" t="str">
        <f t="shared" si="105"/>
        <v>100PFA39-6200</v>
      </c>
      <c r="O758" s="6" t="str">
        <f t="shared" si="106"/>
        <v>SINGING THE CHICAGO BLUES</v>
      </c>
    </row>
    <row r="759" spans="8:15">
      <c r="H759">
        <f t="shared" si="99"/>
        <v>0</v>
      </c>
      <c r="I759" t="e">
        <f t="shared" si="104"/>
        <v>#VALUE!</v>
      </c>
      <c r="J759" s="6">
        <f t="shared" si="100"/>
        <v>0</v>
      </c>
      <c r="K759" s="6">
        <f t="shared" si="101"/>
        <v>0</v>
      </c>
      <c r="L759" s="6">
        <f t="shared" si="102"/>
        <v>0</v>
      </c>
      <c r="M759" s="6">
        <f t="shared" si="103"/>
        <v>0</v>
      </c>
      <c r="N759" s="6" t="str">
        <f t="shared" si="105"/>
        <v>100PFA39-6200</v>
      </c>
      <c r="O759" s="6" t="str">
        <f t="shared" si="106"/>
        <v>SINGING THE CHICAGO BLUES</v>
      </c>
    </row>
    <row r="760" spans="8:15">
      <c r="H760">
        <f t="shared" si="99"/>
        <v>0</v>
      </c>
      <c r="I760" t="e">
        <f t="shared" si="104"/>
        <v>#VALUE!</v>
      </c>
      <c r="J760" s="6">
        <f t="shared" si="100"/>
        <v>0</v>
      </c>
      <c r="K760" s="6">
        <f t="shared" si="101"/>
        <v>0</v>
      </c>
      <c r="L760" s="6">
        <f t="shared" si="102"/>
        <v>0</v>
      </c>
      <c r="M760" s="6">
        <f t="shared" si="103"/>
        <v>0</v>
      </c>
      <c r="N760" s="6" t="str">
        <f t="shared" si="105"/>
        <v>100PFA39-6200</v>
      </c>
      <c r="O760" s="6" t="str">
        <f t="shared" si="106"/>
        <v>SINGING THE CHICAGO BLUES</v>
      </c>
    </row>
    <row r="761" spans="8:15">
      <c r="H761">
        <f t="shared" ref="H761:H824" si="107">A761</f>
        <v>0</v>
      </c>
      <c r="I761" t="e">
        <f t="shared" si="104"/>
        <v>#VALUE!</v>
      </c>
      <c r="J761" s="6">
        <f t="shared" ref="J761:J824" si="108">C761</f>
        <v>0</v>
      </c>
      <c r="K761" s="6">
        <f t="shared" ref="K761:K824" si="109">D761</f>
        <v>0</v>
      </c>
      <c r="L761" s="6">
        <f t="shared" ref="L761:L824" si="110">E761</f>
        <v>0</v>
      </c>
      <c r="M761" s="6">
        <f t="shared" ref="M761:M824" si="111">F761</f>
        <v>0</v>
      </c>
      <c r="N761" s="6" t="str">
        <f t="shared" si="105"/>
        <v>100PFA39-6200</v>
      </c>
      <c r="O761" s="6" t="str">
        <f t="shared" si="106"/>
        <v>SINGING THE CHICAGO BLUES</v>
      </c>
    </row>
    <row r="762" spans="8:15">
      <c r="H762">
        <f t="shared" si="107"/>
        <v>0</v>
      </c>
      <c r="I762" t="e">
        <f t="shared" si="104"/>
        <v>#VALUE!</v>
      </c>
      <c r="J762" s="6">
        <f t="shared" si="108"/>
        <v>0</v>
      </c>
      <c r="K762" s="6">
        <f t="shared" si="109"/>
        <v>0</v>
      </c>
      <c r="L762" s="6">
        <f t="shared" si="110"/>
        <v>0</v>
      </c>
      <c r="M762" s="6">
        <f t="shared" si="111"/>
        <v>0</v>
      </c>
      <c r="N762" s="6" t="str">
        <f t="shared" si="105"/>
        <v>100PFA39-6200</v>
      </c>
      <c r="O762" s="6" t="str">
        <f t="shared" si="106"/>
        <v>SINGING THE CHICAGO BLUES</v>
      </c>
    </row>
    <row r="763" spans="8:15">
      <c r="H763">
        <f t="shared" si="107"/>
        <v>0</v>
      </c>
      <c r="I763" t="e">
        <f t="shared" si="104"/>
        <v>#VALUE!</v>
      </c>
      <c r="J763" s="6">
        <f t="shared" si="108"/>
        <v>0</v>
      </c>
      <c r="K763" s="6">
        <f t="shared" si="109"/>
        <v>0</v>
      </c>
      <c r="L763" s="6">
        <f t="shared" si="110"/>
        <v>0</v>
      </c>
      <c r="M763" s="6">
        <f t="shared" si="111"/>
        <v>0</v>
      </c>
      <c r="N763" s="6" t="str">
        <f t="shared" si="105"/>
        <v>100PFA39-6200</v>
      </c>
      <c r="O763" s="6" t="str">
        <f t="shared" si="106"/>
        <v>SINGING THE CHICAGO BLUES</v>
      </c>
    </row>
    <row r="764" spans="8:15">
      <c r="H764">
        <f t="shared" si="107"/>
        <v>0</v>
      </c>
      <c r="I764" t="e">
        <f t="shared" si="104"/>
        <v>#VALUE!</v>
      </c>
      <c r="J764" s="6">
        <f t="shared" si="108"/>
        <v>0</v>
      </c>
      <c r="K764" s="6">
        <f t="shared" si="109"/>
        <v>0</v>
      </c>
      <c r="L764" s="6">
        <f t="shared" si="110"/>
        <v>0</v>
      </c>
      <c r="M764" s="6">
        <f t="shared" si="111"/>
        <v>0</v>
      </c>
      <c r="N764" s="6" t="str">
        <f t="shared" si="105"/>
        <v>100PFA39-6200</v>
      </c>
      <c r="O764" s="6" t="str">
        <f t="shared" si="106"/>
        <v>SINGING THE CHICAGO BLUES</v>
      </c>
    </row>
    <row r="765" spans="8:15">
      <c r="H765">
        <f t="shared" si="107"/>
        <v>0</v>
      </c>
      <c r="I765" t="e">
        <f t="shared" si="104"/>
        <v>#VALUE!</v>
      </c>
      <c r="J765" s="6">
        <f t="shared" si="108"/>
        <v>0</v>
      </c>
      <c r="K765" s="6">
        <f t="shared" si="109"/>
        <v>0</v>
      </c>
      <c r="L765" s="6">
        <f t="shared" si="110"/>
        <v>0</v>
      </c>
      <c r="M765" s="6">
        <f t="shared" si="111"/>
        <v>0</v>
      </c>
      <c r="N765" s="6" t="str">
        <f t="shared" si="105"/>
        <v>100PFA39-6200</v>
      </c>
      <c r="O765" s="6" t="str">
        <f t="shared" si="106"/>
        <v>SINGING THE CHICAGO BLUES</v>
      </c>
    </row>
    <row r="766" spans="8:15">
      <c r="H766">
        <f t="shared" si="107"/>
        <v>0</v>
      </c>
      <c r="I766" t="e">
        <f t="shared" si="104"/>
        <v>#VALUE!</v>
      </c>
      <c r="J766" s="6">
        <f t="shared" si="108"/>
        <v>0</v>
      </c>
      <c r="K766" s="6">
        <f t="shared" si="109"/>
        <v>0</v>
      </c>
      <c r="L766" s="6">
        <f t="shared" si="110"/>
        <v>0</v>
      </c>
      <c r="M766" s="6">
        <f t="shared" si="111"/>
        <v>0</v>
      </c>
      <c r="N766" s="6" t="str">
        <f t="shared" si="105"/>
        <v>100PFA39-6200</v>
      </c>
      <c r="O766" s="6" t="str">
        <f t="shared" si="106"/>
        <v>SINGING THE CHICAGO BLUES</v>
      </c>
    </row>
    <row r="767" spans="8:15">
      <c r="H767">
        <f t="shared" si="107"/>
        <v>0</v>
      </c>
      <c r="I767" t="e">
        <f t="shared" si="104"/>
        <v>#VALUE!</v>
      </c>
      <c r="J767" s="6">
        <f t="shared" si="108"/>
        <v>0</v>
      </c>
      <c r="K767" s="6">
        <f t="shared" si="109"/>
        <v>0</v>
      </c>
      <c r="L767" s="6">
        <f t="shared" si="110"/>
        <v>0</v>
      </c>
      <c r="M767" s="6">
        <f t="shared" si="111"/>
        <v>0</v>
      </c>
      <c r="N767" s="6" t="str">
        <f t="shared" si="105"/>
        <v>100PFA39-6200</v>
      </c>
      <c r="O767" s="6" t="str">
        <f t="shared" si="106"/>
        <v>SINGING THE CHICAGO BLUES</v>
      </c>
    </row>
    <row r="768" spans="8:15">
      <c r="H768">
        <f t="shared" si="107"/>
        <v>0</v>
      </c>
      <c r="I768" t="e">
        <f t="shared" si="104"/>
        <v>#VALUE!</v>
      </c>
      <c r="J768" s="6">
        <f t="shared" si="108"/>
        <v>0</v>
      </c>
      <c r="K768" s="6">
        <f t="shared" si="109"/>
        <v>0</v>
      </c>
      <c r="L768" s="6">
        <f t="shared" si="110"/>
        <v>0</v>
      </c>
      <c r="M768" s="6">
        <f t="shared" si="111"/>
        <v>0</v>
      </c>
      <c r="N768" s="6" t="str">
        <f t="shared" si="105"/>
        <v>100PFA39-6200</v>
      </c>
      <c r="O768" s="6" t="str">
        <f t="shared" si="106"/>
        <v>SINGING THE CHICAGO BLUES</v>
      </c>
    </row>
    <row r="769" spans="8:15">
      <c r="H769">
        <f t="shared" si="107"/>
        <v>0</v>
      </c>
      <c r="I769" t="e">
        <f t="shared" si="104"/>
        <v>#VALUE!</v>
      </c>
      <c r="J769" s="6">
        <f t="shared" si="108"/>
        <v>0</v>
      </c>
      <c r="K769" s="6">
        <f t="shared" si="109"/>
        <v>0</v>
      </c>
      <c r="L769" s="6">
        <f t="shared" si="110"/>
        <v>0</v>
      </c>
      <c r="M769" s="6">
        <f t="shared" si="111"/>
        <v>0</v>
      </c>
      <c r="N769" s="6" t="str">
        <f t="shared" si="105"/>
        <v>100PFA39-6200</v>
      </c>
      <c r="O769" s="6" t="str">
        <f t="shared" si="106"/>
        <v>SINGING THE CHICAGO BLUES</v>
      </c>
    </row>
    <row r="770" spans="8:15">
      <c r="H770">
        <f t="shared" si="107"/>
        <v>0</v>
      </c>
      <c r="I770" t="e">
        <f t="shared" si="104"/>
        <v>#VALUE!</v>
      </c>
      <c r="J770" s="6">
        <f t="shared" si="108"/>
        <v>0</v>
      </c>
      <c r="K770" s="6">
        <f t="shared" si="109"/>
        <v>0</v>
      </c>
      <c r="L770" s="6">
        <f t="shared" si="110"/>
        <v>0</v>
      </c>
      <c r="M770" s="6">
        <f t="shared" si="111"/>
        <v>0</v>
      </c>
      <c r="N770" s="6" t="str">
        <f t="shared" si="105"/>
        <v>100PFA39-6200</v>
      </c>
      <c r="O770" s="6" t="str">
        <f t="shared" si="106"/>
        <v>SINGING THE CHICAGO BLUES</v>
      </c>
    </row>
    <row r="771" spans="8:15">
      <c r="H771">
        <f t="shared" si="107"/>
        <v>0</v>
      </c>
      <c r="I771" t="e">
        <f t="shared" si="104"/>
        <v>#VALUE!</v>
      </c>
      <c r="J771" s="6">
        <f t="shared" si="108"/>
        <v>0</v>
      </c>
      <c r="K771" s="6">
        <f t="shared" si="109"/>
        <v>0</v>
      </c>
      <c r="L771" s="6">
        <f t="shared" si="110"/>
        <v>0</v>
      </c>
      <c r="M771" s="6">
        <f t="shared" si="111"/>
        <v>0</v>
      </c>
      <c r="N771" s="6" t="str">
        <f t="shared" si="105"/>
        <v>100PFA39-6200</v>
      </c>
      <c r="O771" s="6" t="str">
        <f t="shared" si="106"/>
        <v>SINGING THE CHICAGO BLUES</v>
      </c>
    </row>
    <row r="772" spans="8:15">
      <c r="H772">
        <f t="shared" si="107"/>
        <v>0</v>
      </c>
      <c r="I772" t="e">
        <f t="shared" si="104"/>
        <v>#VALUE!</v>
      </c>
      <c r="J772" s="6">
        <f t="shared" si="108"/>
        <v>0</v>
      </c>
      <c r="K772" s="6">
        <f t="shared" si="109"/>
        <v>0</v>
      </c>
      <c r="L772" s="6">
        <f t="shared" si="110"/>
        <v>0</v>
      </c>
      <c r="M772" s="6">
        <f t="shared" si="111"/>
        <v>0</v>
      </c>
      <c r="N772" s="6" t="str">
        <f t="shared" si="105"/>
        <v>100PFA39-6200</v>
      </c>
      <c r="O772" s="6" t="str">
        <f t="shared" si="106"/>
        <v>SINGING THE CHICAGO BLUES</v>
      </c>
    </row>
    <row r="773" spans="8:15">
      <c r="H773">
        <f t="shared" si="107"/>
        <v>0</v>
      </c>
      <c r="I773" t="e">
        <f t="shared" si="104"/>
        <v>#VALUE!</v>
      </c>
      <c r="J773" s="6">
        <f t="shared" si="108"/>
        <v>0</v>
      </c>
      <c r="K773" s="6">
        <f t="shared" si="109"/>
        <v>0</v>
      </c>
      <c r="L773" s="6">
        <f t="shared" si="110"/>
        <v>0</v>
      </c>
      <c r="M773" s="6">
        <f t="shared" si="111"/>
        <v>0</v>
      </c>
      <c r="N773" s="6" t="str">
        <f t="shared" si="105"/>
        <v>100PFA39-6200</v>
      </c>
      <c r="O773" s="6" t="str">
        <f t="shared" si="106"/>
        <v>SINGING THE CHICAGO BLUES</v>
      </c>
    </row>
    <row r="774" spans="8:15">
      <c r="H774">
        <f t="shared" si="107"/>
        <v>0</v>
      </c>
      <c r="I774" t="e">
        <f t="shared" si="104"/>
        <v>#VALUE!</v>
      </c>
      <c r="J774" s="6">
        <f t="shared" si="108"/>
        <v>0</v>
      </c>
      <c r="K774" s="6">
        <f t="shared" si="109"/>
        <v>0</v>
      </c>
      <c r="L774" s="6">
        <f t="shared" si="110"/>
        <v>0</v>
      </c>
      <c r="M774" s="6">
        <f t="shared" si="111"/>
        <v>0</v>
      </c>
      <c r="N774" s="6" t="str">
        <f t="shared" si="105"/>
        <v>100PFA39-6200</v>
      </c>
      <c r="O774" s="6" t="str">
        <f t="shared" si="106"/>
        <v>SINGING THE CHICAGO BLUES</v>
      </c>
    </row>
    <row r="775" spans="8:15">
      <c r="H775">
        <f t="shared" si="107"/>
        <v>0</v>
      </c>
      <c r="I775" t="e">
        <f t="shared" ref="I775:I838" si="112">IFERROR(IF(SEARCH(" &lt;-",B775,1),LEFT(B775,SEARCH(" ",B775,1)-1),""),LEFT(B775,SEARCH("View",B775,1)-1))</f>
        <v>#VALUE!</v>
      </c>
      <c r="J775" s="6">
        <f t="shared" si="108"/>
        <v>0</v>
      </c>
      <c r="K775" s="6">
        <f t="shared" si="109"/>
        <v>0</v>
      </c>
      <c r="L775" s="6">
        <f t="shared" si="110"/>
        <v>0</v>
      </c>
      <c r="M775" s="6">
        <f t="shared" si="111"/>
        <v>0</v>
      </c>
      <c r="N775" s="6" t="str">
        <f t="shared" ref="N775:N838" si="113">TRIM($B$1)</f>
        <v>100PFA39-6200</v>
      </c>
      <c r="O775" s="6" t="str">
        <f t="shared" ref="O775:O838" si="114">TRIM($C$1)</f>
        <v>SINGING THE CHICAGO BLUES</v>
      </c>
    </row>
    <row r="776" spans="8:15">
      <c r="H776">
        <f t="shared" si="107"/>
        <v>0</v>
      </c>
      <c r="I776" t="e">
        <f t="shared" si="112"/>
        <v>#VALUE!</v>
      </c>
      <c r="J776" s="6">
        <f t="shared" si="108"/>
        <v>0</v>
      </c>
      <c r="K776" s="6">
        <f t="shared" si="109"/>
        <v>0</v>
      </c>
      <c r="L776" s="6">
        <f t="shared" si="110"/>
        <v>0</v>
      </c>
      <c r="M776" s="6">
        <f t="shared" si="111"/>
        <v>0</v>
      </c>
      <c r="N776" s="6" t="str">
        <f t="shared" si="113"/>
        <v>100PFA39-6200</v>
      </c>
      <c r="O776" s="6" t="str">
        <f t="shared" si="114"/>
        <v>SINGING THE CHICAGO BLUES</v>
      </c>
    </row>
    <row r="777" spans="8:15">
      <c r="H777">
        <f t="shared" si="107"/>
        <v>0</v>
      </c>
      <c r="I777" t="e">
        <f t="shared" si="112"/>
        <v>#VALUE!</v>
      </c>
      <c r="J777" s="6">
        <f t="shared" si="108"/>
        <v>0</v>
      </c>
      <c r="K777" s="6">
        <f t="shared" si="109"/>
        <v>0</v>
      </c>
      <c r="L777" s="6">
        <f t="shared" si="110"/>
        <v>0</v>
      </c>
      <c r="M777" s="6">
        <f t="shared" si="111"/>
        <v>0</v>
      </c>
      <c r="N777" s="6" t="str">
        <f t="shared" si="113"/>
        <v>100PFA39-6200</v>
      </c>
      <c r="O777" s="6" t="str">
        <f t="shared" si="114"/>
        <v>SINGING THE CHICAGO BLUES</v>
      </c>
    </row>
    <row r="778" spans="8:15">
      <c r="H778">
        <f t="shared" si="107"/>
        <v>0</v>
      </c>
      <c r="I778" t="e">
        <f t="shared" si="112"/>
        <v>#VALUE!</v>
      </c>
      <c r="J778" s="6">
        <f t="shared" si="108"/>
        <v>0</v>
      </c>
      <c r="K778" s="6">
        <f t="shared" si="109"/>
        <v>0</v>
      </c>
      <c r="L778" s="6">
        <f t="shared" si="110"/>
        <v>0</v>
      </c>
      <c r="M778" s="6">
        <f t="shared" si="111"/>
        <v>0</v>
      </c>
      <c r="N778" s="6" t="str">
        <f t="shared" si="113"/>
        <v>100PFA39-6200</v>
      </c>
      <c r="O778" s="6" t="str">
        <f t="shared" si="114"/>
        <v>SINGING THE CHICAGO BLUES</v>
      </c>
    </row>
    <row r="779" spans="8:15">
      <c r="H779">
        <f t="shared" si="107"/>
        <v>0</v>
      </c>
      <c r="I779" t="e">
        <f t="shared" si="112"/>
        <v>#VALUE!</v>
      </c>
      <c r="J779" s="6">
        <f t="shared" si="108"/>
        <v>0</v>
      </c>
      <c r="K779" s="6">
        <f t="shared" si="109"/>
        <v>0</v>
      </c>
      <c r="L779" s="6">
        <f t="shared" si="110"/>
        <v>0</v>
      </c>
      <c r="M779" s="6">
        <f t="shared" si="111"/>
        <v>0</v>
      </c>
      <c r="N779" s="6" t="str">
        <f t="shared" si="113"/>
        <v>100PFA39-6200</v>
      </c>
      <c r="O779" s="6" t="str">
        <f t="shared" si="114"/>
        <v>SINGING THE CHICAGO BLUES</v>
      </c>
    </row>
    <row r="780" spans="8:15">
      <c r="H780">
        <f t="shared" si="107"/>
        <v>0</v>
      </c>
      <c r="I780" t="e">
        <f t="shared" si="112"/>
        <v>#VALUE!</v>
      </c>
      <c r="J780" s="6">
        <f t="shared" si="108"/>
        <v>0</v>
      </c>
      <c r="K780" s="6">
        <f t="shared" si="109"/>
        <v>0</v>
      </c>
      <c r="L780" s="6">
        <f t="shared" si="110"/>
        <v>0</v>
      </c>
      <c r="M780" s="6">
        <f t="shared" si="111"/>
        <v>0</v>
      </c>
      <c r="N780" s="6" t="str">
        <f t="shared" si="113"/>
        <v>100PFA39-6200</v>
      </c>
      <c r="O780" s="6" t="str">
        <f t="shared" si="114"/>
        <v>SINGING THE CHICAGO BLUES</v>
      </c>
    </row>
    <row r="781" spans="8:15">
      <c r="H781">
        <f t="shared" si="107"/>
        <v>0</v>
      </c>
      <c r="I781" t="e">
        <f t="shared" si="112"/>
        <v>#VALUE!</v>
      </c>
      <c r="J781" s="6">
        <f t="shared" si="108"/>
        <v>0</v>
      </c>
      <c r="K781" s="6">
        <f t="shared" si="109"/>
        <v>0</v>
      </c>
      <c r="L781" s="6">
        <f t="shared" si="110"/>
        <v>0</v>
      </c>
      <c r="M781" s="6">
        <f t="shared" si="111"/>
        <v>0</v>
      </c>
      <c r="N781" s="6" t="str">
        <f t="shared" si="113"/>
        <v>100PFA39-6200</v>
      </c>
      <c r="O781" s="6" t="str">
        <f t="shared" si="114"/>
        <v>SINGING THE CHICAGO BLUES</v>
      </c>
    </row>
    <row r="782" spans="8:15">
      <c r="H782">
        <f t="shared" si="107"/>
        <v>0</v>
      </c>
      <c r="I782" t="e">
        <f t="shared" si="112"/>
        <v>#VALUE!</v>
      </c>
      <c r="J782" s="6">
        <f t="shared" si="108"/>
        <v>0</v>
      </c>
      <c r="K782" s="6">
        <f t="shared" si="109"/>
        <v>0</v>
      </c>
      <c r="L782" s="6">
        <f t="shared" si="110"/>
        <v>0</v>
      </c>
      <c r="M782" s="6">
        <f t="shared" si="111"/>
        <v>0</v>
      </c>
      <c r="N782" s="6" t="str">
        <f t="shared" si="113"/>
        <v>100PFA39-6200</v>
      </c>
      <c r="O782" s="6" t="str">
        <f t="shared" si="114"/>
        <v>SINGING THE CHICAGO BLUES</v>
      </c>
    </row>
    <row r="783" spans="8:15">
      <c r="H783">
        <f t="shared" si="107"/>
        <v>0</v>
      </c>
      <c r="I783" t="e">
        <f t="shared" si="112"/>
        <v>#VALUE!</v>
      </c>
      <c r="J783" s="6">
        <f t="shared" si="108"/>
        <v>0</v>
      </c>
      <c r="K783" s="6">
        <f t="shared" si="109"/>
        <v>0</v>
      </c>
      <c r="L783" s="6">
        <f t="shared" si="110"/>
        <v>0</v>
      </c>
      <c r="M783" s="6">
        <f t="shared" si="111"/>
        <v>0</v>
      </c>
      <c r="N783" s="6" t="str">
        <f t="shared" si="113"/>
        <v>100PFA39-6200</v>
      </c>
      <c r="O783" s="6" t="str">
        <f t="shared" si="114"/>
        <v>SINGING THE CHICAGO BLUES</v>
      </c>
    </row>
    <row r="784" spans="8:15">
      <c r="H784">
        <f t="shared" si="107"/>
        <v>0</v>
      </c>
      <c r="I784" t="e">
        <f t="shared" si="112"/>
        <v>#VALUE!</v>
      </c>
      <c r="J784" s="6">
        <f t="shared" si="108"/>
        <v>0</v>
      </c>
      <c r="K784" s="6">
        <f t="shared" si="109"/>
        <v>0</v>
      </c>
      <c r="L784" s="6">
        <f t="shared" si="110"/>
        <v>0</v>
      </c>
      <c r="M784" s="6">
        <f t="shared" si="111"/>
        <v>0</v>
      </c>
      <c r="N784" s="6" t="str">
        <f t="shared" si="113"/>
        <v>100PFA39-6200</v>
      </c>
      <c r="O784" s="6" t="str">
        <f t="shared" si="114"/>
        <v>SINGING THE CHICAGO BLUES</v>
      </c>
    </row>
    <row r="785" spans="8:15">
      <c r="H785">
        <f t="shared" si="107"/>
        <v>0</v>
      </c>
      <c r="I785" t="e">
        <f t="shared" si="112"/>
        <v>#VALUE!</v>
      </c>
      <c r="J785" s="6">
        <f t="shared" si="108"/>
        <v>0</v>
      </c>
      <c r="K785" s="6">
        <f t="shared" si="109"/>
        <v>0</v>
      </c>
      <c r="L785" s="6">
        <f t="shared" si="110"/>
        <v>0</v>
      </c>
      <c r="M785" s="6">
        <f t="shared" si="111"/>
        <v>0</v>
      </c>
      <c r="N785" s="6" t="str">
        <f t="shared" si="113"/>
        <v>100PFA39-6200</v>
      </c>
      <c r="O785" s="6" t="str">
        <f t="shared" si="114"/>
        <v>SINGING THE CHICAGO BLUES</v>
      </c>
    </row>
    <row r="786" spans="8:15">
      <c r="H786">
        <f t="shared" si="107"/>
        <v>0</v>
      </c>
      <c r="I786" t="e">
        <f t="shared" si="112"/>
        <v>#VALUE!</v>
      </c>
      <c r="J786" s="6">
        <f t="shared" si="108"/>
        <v>0</v>
      </c>
      <c r="K786" s="6">
        <f t="shared" si="109"/>
        <v>0</v>
      </c>
      <c r="L786" s="6">
        <f t="shared" si="110"/>
        <v>0</v>
      </c>
      <c r="M786" s="6">
        <f t="shared" si="111"/>
        <v>0</v>
      </c>
      <c r="N786" s="6" t="str">
        <f t="shared" si="113"/>
        <v>100PFA39-6200</v>
      </c>
      <c r="O786" s="6" t="str">
        <f t="shared" si="114"/>
        <v>SINGING THE CHICAGO BLUES</v>
      </c>
    </row>
    <row r="787" spans="8:15">
      <c r="H787">
        <f t="shared" si="107"/>
        <v>0</v>
      </c>
      <c r="I787" t="e">
        <f t="shared" si="112"/>
        <v>#VALUE!</v>
      </c>
      <c r="J787" s="6">
        <f t="shared" si="108"/>
        <v>0</v>
      </c>
      <c r="K787" s="6">
        <f t="shared" si="109"/>
        <v>0</v>
      </c>
      <c r="L787" s="6">
        <f t="shared" si="110"/>
        <v>0</v>
      </c>
      <c r="M787" s="6">
        <f t="shared" si="111"/>
        <v>0</v>
      </c>
      <c r="N787" s="6" t="str">
        <f t="shared" si="113"/>
        <v>100PFA39-6200</v>
      </c>
      <c r="O787" s="6" t="str">
        <f t="shared" si="114"/>
        <v>SINGING THE CHICAGO BLUES</v>
      </c>
    </row>
    <row r="788" spans="8:15">
      <c r="H788">
        <f t="shared" si="107"/>
        <v>0</v>
      </c>
      <c r="I788" t="e">
        <f t="shared" si="112"/>
        <v>#VALUE!</v>
      </c>
      <c r="J788" s="6">
        <f t="shared" si="108"/>
        <v>0</v>
      </c>
      <c r="K788" s="6">
        <f t="shared" si="109"/>
        <v>0</v>
      </c>
      <c r="L788" s="6">
        <f t="shared" si="110"/>
        <v>0</v>
      </c>
      <c r="M788" s="6">
        <f t="shared" si="111"/>
        <v>0</v>
      </c>
      <c r="N788" s="6" t="str">
        <f t="shared" si="113"/>
        <v>100PFA39-6200</v>
      </c>
      <c r="O788" s="6" t="str">
        <f t="shared" si="114"/>
        <v>SINGING THE CHICAGO BLUES</v>
      </c>
    </row>
    <row r="789" spans="8:15">
      <c r="H789">
        <f t="shared" si="107"/>
        <v>0</v>
      </c>
      <c r="I789" t="e">
        <f t="shared" si="112"/>
        <v>#VALUE!</v>
      </c>
      <c r="J789" s="6">
        <f t="shared" si="108"/>
        <v>0</v>
      </c>
      <c r="K789" s="6">
        <f t="shared" si="109"/>
        <v>0</v>
      </c>
      <c r="L789" s="6">
        <f t="shared" si="110"/>
        <v>0</v>
      </c>
      <c r="M789" s="6">
        <f t="shared" si="111"/>
        <v>0</v>
      </c>
      <c r="N789" s="6" t="str">
        <f t="shared" si="113"/>
        <v>100PFA39-6200</v>
      </c>
      <c r="O789" s="6" t="str">
        <f t="shared" si="114"/>
        <v>SINGING THE CHICAGO BLUES</v>
      </c>
    </row>
    <row r="790" spans="8:15">
      <c r="H790">
        <f t="shared" si="107"/>
        <v>0</v>
      </c>
      <c r="I790" t="e">
        <f t="shared" si="112"/>
        <v>#VALUE!</v>
      </c>
      <c r="J790" s="6">
        <f t="shared" si="108"/>
        <v>0</v>
      </c>
      <c r="K790" s="6">
        <f t="shared" si="109"/>
        <v>0</v>
      </c>
      <c r="L790" s="6">
        <f t="shared" si="110"/>
        <v>0</v>
      </c>
      <c r="M790" s="6">
        <f t="shared" si="111"/>
        <v>0</v>
      </c>
      <c r="N790" s="6" t="str">
        <f t="shared" si="113"/>
        <v>100PFA39-6200</v>
      </c>
      <c r="O790" s="6" t="str">
        <f t="shared" si="114"/>
        <v>SINGING THE CHICAGO BLUES</v>
      </c>
    </row>
    <row r="791" spans="8:15">
      <c r="H791">
        <f t="shared" si="107"/>
        <v>0</v>
      </c>
      <c r="I791" t="e">
        <f t="shared" si="112"/>
        <v>#VALUE!</v>
      </c>
      <c r="J791" s="6">
        <f t="shared" si="108"/>
        <v>0</v>
      </c>
      <c r="K791" s="6">
        <f t="shared" si="109"/>
        <v>0</v>
      </c>
      <c r="L791" s="6">
        <f t="shared" si="110"/>
        <v>0</v>
      </c>
      <c r="M791" s="6">
        <f t="shared" si="111"/>
        <v>0</v>
      </c>
      <c r="N791" s="6" t="str">
        <f t="shared" si="113"/>
        <v>100PFA39-6200</v>
      </c>
      <c r="O791" s="6" t="str">
        <f t="shared" si="114"/>
        <v>SINGING THE CHICAGO BLUES</v>
      </c>
    </row>
    <row r="792" spans="8:15">
      <c r="H792">
        <f t="shared" si="107"/>
        <v>0</v>
      </c>
      <c r="I792" t="e">
        <f t="shared" si="112"/>
        <v>#VALUE!</v>
      </c>
      <c r="J792" s="6">
        <f t="shared" si="108"/>
        <v>0</v>
      </c>
      <c r="K792" s="6">
        <f t="shared" si="109"/>
        <v>0</v>
      </c>
      <c r="L792" s="6">
        <f t="shared" si="110"/>
        <v>0</v>
      </c>
      <c r="M792" s="6">
        <f t="shared" si="111"/>
        <v>0</v>
      </c>
      <c r="N792" s="6" t="str">
        <f t="shared" si="113"/>
        <v>100PFA39-6200</v>
      </c>
      <c r="O792" s="6" t="str">
        <f t="shared" si="114"/>
        <v>SINGING THE CHICAGO BLUES</v>
      </c>
    </row>
    <row r="793" spans="8:15">
      <c r="H793">
        <f t="shared" si="107"/>
        <v>0</v>
      </c>
      <c r="I793" t="e">
        <f t="shared" si="112"/>
        <v>#VALUE!</v>
      </c>
      <c r="J793" s="6">
        <f t="shared" si="108"/>
        <v>0</v>
      </c>
      <c r="K793" s="6">
        <f t="shared" si="109"/>
        <v>0</v>
      </c>
      <c r="L793" s="6">
        <f t="shared" si="110"/>
        <v>0</v>
      </c>
      <c r="M793" s="6">
        <f t="shared" si="111"/>
        <v>0</v>
      </c>
      <c r="N793" s="6" t="str">
        <f t="shared" si="113"/>
        <v>100PFA39-6200</v>
      </c>
      <c r="O793" s="6" t="str">
        <f t="shared" si="114"/>
        <v>SINGING THE CHICAGO BLUES</v>
      </c>
    </row>
    <row r="794" spans="8:15">
      <c r="H794">
        <f t="shared" si="107"/>
        <v>0</v>
      </c>
      <c r="I794" t="e">
        <f t="shared" si="112"/>
        <v>#VALUE!</v>
      </c>
      <c r="J794" s="6">
        <f t="shared" si="108"/>
        <v>0</v>
      </c>
      <c r="K794" s="6">
        <f t="shared" si="109"/>
        <v>0</v>
      </c>
      <c r="L794" s="6">
        <f t="shared" si="110"/>
        <v>0</v>
      </c>
      <c r="M794" s="6">
        <f t="shared" si="111"/>
        <v>0</v>
      </c>
      <c r="N794" s="6" t="str">
        <f t="shared" si="113"/>
        <v>100PFA39-6200</v>
      </c>
      <c r="O794" s="6" t="str">
        <f t="shared" si="114"/>
        <v>SINGING THE CHICAGO BLUES</v>
      </c>
    </row>
    <row r="795" spans="8:15">
      <c r="H795">
        <f t="shared" si="107"/>
        <v>0</v>
      </c>
      <c r="I795" t="e">
        <f t="shared" si="112"/>
        <v>#VALUE!</v>
      </c>
      <c r="J795" s="6">
        <f t="shared" si="108"/>
        <v>0</v>
      </c>
      <c r="K795" s="6">
        <f t="shared" si="109"/>
        <v>0</v>
      </c>
      <c r="L795" s="6">
        <f t="shared" si="110"/>
        <v>0</v>
      </c>
      <c r="M795" s="6">
        <f t="shared" si="111"/>
        <v>0</v>
      </c>
      <c r="N795" s="6" t="str">
        <f t="shared" si="113"/>
        <v>100PFA39-6200</v>
      </c>
      <c r="O795" s="6" t="str">
        <f t="shared" si="114"/>
        <v>SINGING THE CHICAGO BLUES</v>
      </c>
    </row>
    <row r="796" spans="8:15">
      <c r="H796">
        <f t="shared" si="107"/>
        <v>0</v>
      </c>
      <c r="I796" t="e">
        <f t="shared" si="112"/>
        <v>#VALUE!</v>
      </c>
      <c r="J796" s="6">
        <f t="shared" si="108"/>
        <v>0</v>
      </c>
      <c r="K796" s="6">
        <f t="shared" si="109"/>
        <v>0</v>
      </c>
      <c r="L796" s="6">
        <f t="shared" si="110"/>
        <v>0</v>
      </c>
      <c r="M796" s="6">
        <f t="shared" si="111"/>
        <v>0</v>
      </c>
      <c r="N796" s="6" t="str">
        <f t="shared" si="113"/>
        <v>100PFA39-6200</v>
      </c>
      <c r="O796" s="6" t="str">
        <f t="shared" si="114"/>
        <v>SINGING THE CHICAGO BLUES</v>
      </c>
    </row>
    <row r="797" spans="8:15">
      <c r="H797">
        <f t="shared" si="107"/>
        <v>0</v>
      </c>
      <c r="I797" t="e">
        <f t="shared" si="112"/>
        <v>#VALUE!</v>
      </c>
      <c r="J797" s="6">
        <f t="shared" si="108"/>
        <v>0</v>
      </c>
      <c r="K797" s="6">
        <f t="shared" si="109"/>
        <v>0</v>
      </c>
      <c r="L797" s="6">
        <f t="shared" si="110"/>
        <v>0</v>
      </c>
      <c r="M797" s="6">
        <f t="shared" si="111"/>
        <v>0</v>
      </c>
      <c r="N797" s="6" t="str">
        <f t="shared" si="113"/>
        <v>100PFA39-6200</v>
      </c>
      <c r="O797" s="6" t="str">
        <f t="shared" si="114"/>
        <v>SINGING THE CHICAGO BLUES</v>
      </c>
    </row>
    <row r="798" spans="8:15">
      <c r="H798">
        <f t="shared" si="107"/>
        <v>0</v>
      </c>
      <c r="I798" t="e">
        <f t="shared" si="112"/>
        <v>#VALUE!</v>
      </c>
      <c r="J798" s="6">
        <f t="shared" si="108"/>
        <v>0</v>
      </c>
      <c r="K798" s="6">
        <f t="shared" si="109"/>
        <v>0</v>
      </c>
      <c r="L798" s="6">
        <f t="shared" si="110"/>
        <v>0</v>
      </c>
      <c r="M798" s="6">
        <f t="shared" si="111"/>
        <v>0</v>
      </c>
      <c r="N798" s="6" t="str">
        <f t="shared" si="113"/>
        <v>100PFA39-6200</v>
      </c>
      <c r="O798" s="6" t="str">
        <f t="shared" si="114"/>
        <v>SINGING THE CHICAGO BLUES</v>
      </c>
    </row>
    <row r="799" spans="8:15">
      <c r="H799">
        <f t="shared" si="107"/>
        <v>0</v>
      </c>
      <c r="I799" t="e">
        <f t="shared" si="112"/>
        <v>#VALUE!</v>
      </c>
      <c r="J799" s="6">
        <f t="shared" si="108"/>
        <v>0</v>
      </c>
      <c r="K799" s="6">
        <f t="shared" si="109"/>
        <v>0</v>
      </c>
      <c r="L799" s="6">
        <f t="shared" si="110"/>
        <v>0</v>
      </c>
      <c r="M799" s="6">
        <f t="shared" si="111"/>
        <v>0</v>
      </c>
      <c r="N799" s="6" t="str">
        <f t="shared" si="113"/>
        <v>100PFA39-6200</v>
      </c>
      <c r="O799" s="6" t="str">
        <f t="shared" si="114"/>
        <v>SINGING THE CHICAGO BLUES</v>
      </c>
    </row>
    <row r="800" spans="8:15">
      <c r="H800">
        <f t="shared" si="107"/>
        <v>0</v>
      </c>
      <c r="I800" t="e">
        <f t="shared" si="112"/>
        <v>#VALUE!</v>
      </c>
      <c r="J800" s="6">
        <f t="shared" si="108"/>
        <v>0</v>
      </c>
      <c r="K800" s="6">
        <f t="shared" si="109"/>
        <v>0</v>
      </c>
      <c r="L800" s="6">
        <f t="shared" si="110"/>
        <v>0</v>
      </c>
      <c r="M800" s="6">
        <f t="shared" si="111"/>
        <v>0</v>
      </c>
      <c r="N800" s="6" t="str">
        <f t="shared" si="113"/>
        <v>100PFA39-6200</v>
      </c>
      <c r="O800" s="6" t="str">
        <f t="shared" si="114"/>
        <v>SINGING THE CHICAGO BLUES</v>
      </c>
    </row>
    <row r="801" spans="8:15">
      <c r="H801">
        <f t="shared" si="107"/>
        <v>0</v>
      </c>
      <c r="I801" t="e">
        <f t="shared" si="112"/>
        <v>#VALUE!</v>
      </c>
      <c r="J801" s="6">
        <f t="shared" si="108"/>
        <v>0</v>
      </c>
      <c r="K801" s="6">
        <f t="shared" si="109"/>
        <v>0</v>
      </c>
      <c r="L801" s="6">
        <f t="shared" si="110"/>
        <v>0</v>
      </c>
      <c r="M801" s="6">
        <f t="shared" si="111"/>
        <v>0</v>
      </c>
      <c r="N801" s="6" t="str">
        <f t="shared" si="113"/>
        <v>100PFA39-6200</v>
      </c>
      <c r="O801" s="6" t="str">
        <f t="shared" si="114"/>
        <v>SINGING THE CHICAGO BLUES</v>
      </c>
    </row>
    <row r="802" spans="8:15">
      <c r="H802">
        <f t="shared" si="107"/>
        <v>0</v>
      </c>
      <c r="I802" t="e">
        <f t="shared" si="112"/>
        <v>#VALUE!</v>
      </c>
      <c r="J802" s="6">
        <f t="shared" si="108"/>
        <v>0</v>
      </c>
      <c r="K802" s="6">
        <f t="shared" si="109"/>
        <v>0</v>
      </c>
      <c r="L802" s="6">
        <f t="shared" si="110"/>
        <v>0</v>
      </c>
      <c r="M802" s="6">
        <f t="shared" si="111"/>
        <v>0</v>
      </c>
      <c r="N802" s="6" t="str">
        <f t="shared" si="113"/>
        <v>100PFA39-6200</v>
      </c>
      <c r="O802" s="6" t="str">
        <f t="shared" si="114"/>
        <v>SINGING THE CHICAGO BLUES</v>
      </c>
    </row>
    <row r="803" spans="8:15">
      <c r="H803">
        <f t="shared" si="107"/>
        <v>0</v>
      </c>
      <c r="I803" t="e">
        <f t="shared" si="112"/>
        <v>#VALUE!</v>
      </c>
      <c r="J803" s="6">
        <f t="shared" si="108"/>
        <v>0</v>
      </c>
      <c r="K803" s="6">
        <f t="shared" si="109"/>
        <v>0</v>
      </c>
      <c r="L803" s="6">
        <f t="shared" si="110"/>
        <v>0</v>
      </c>
      <c r="M803" s="6">
        <f t="shared" si="111"/>
        <v>0</v>
      </c>
      <c r="N803" s="6" t="str">
        <f t="shared" si="113"/>
        <v>100PFA39-6200</v>
      </c>
      <c r="O803" s="6" t="str">
        <f t="shared" si="114"/>
        <v>SINGING THE CHICAGO BLUES</v>
      </c>
    </row>
    <row r="804" spans="8:15">
      <c r="H804">
        <f t="shared" si="107"/>
        <v>0</v>
      </c>
      <c r="I804" t="e">
        <f t="shared" si="112"/>
        <v>#VALUE!</v>
      </c>
      <c r="J804" s="6">
        <f t="shared" si="108"/>
        <v>0</v>
      </c>
      <c r="K804" s="6">
        <f t="shared" si="109"/>
        <v>0</v>
      </c>
      <c r="L804" s="6">
        <f t="shared" si="110"/>
        <v>0</v>
      </c>
      <c r="M804" s="6">
        <f t="shared" si="111"/>
        <v>0</v>
      </c>
      <c r="N804" s="6" t="str">
        <f t="shared" si="113"/>
        <v>100PFA39-6200</v>
      </c>
      <c r="O804" s="6" t="str">
        <f t="shared" si="114"/>
        <v>SINGING THE CHICAGO BLUES</v>
      </c>
    </row>
    <row r="805" spans="8:15">
      <c r="H805">
        <f t="shared" si="107"/>
        <v>0</v>
      </c>
      <c r="I805" t="e">
        <f t="shared" si="112"/>
        <v>#VALUE!</v>
      </c>
      <c r="J805" s="6">
        <f t="shared" si="108"/>
        <v>0</v>
      </c>
      <c r="K805" s="6">
        <f t="shared" si="109"/>
        <v>0</v>
      </c>
      <c r="L805" s="6">
        <f t="shared" si="110"/>
        <v>0</v>
      </c>
      <c r="M805" s="6">
        <f t="shared" si="111"/>
        <v>0</v>
      </c>
      <c r="N805" s="6" t="str">
        <f t="shared" si="113"/>
        <v>100PFA39-6200</v>
      </c>
      <c r="O805" s="6" t="str">
        <f t="shared" si="114"/>
        <v>SINGING THE CHICAGO BLUES</v>
      </c>
    </row>
    <row r="806" spans="8:15">
      <c r="H806">
        <f t="shared" si="107"/>
        <v>0</v>
      </c>
      <c r="I806" t="e">
        <f t="shared" si="112"/>
        <v>#VALUE!</v>
      </c>
      <c r="J806" s="6">
        <f t="shared" si="108"/>
        <v>0</v>
      </c>
      <c r="K806" s="6">
        <f t="shared" si="109"/>
        <v>0</v>
      </c>
      <c r="L806" s="6">
        <f t="shared" si="110"/>
        <v>0</v>
      </c>
      <c r="M806" s="6">
        <f t="shared" si="111"/>
        <v>0</v>
      </c>
      <c r="N806" s="6" t="str">
        <f t="shared" si="113"/>
        <v>100PFA39-6200</v>
      </c>
      <c r="O806" s="6" t="str">
        <f t="shared" si="114"/>
        <v>SINGING THE CHICAGO BLUES</v>
      </c>
    </row>
    <row r="807" spans="8:15">
      <c r="H807">
        <f t="shared" si="107"/>
        <v>0</v>
      </c>
      <c r="I807" t="e">
        <f t="shared" si="112"/>
        <v>#VALUE!</v>
      </c>
      <c r="J807" s="6">
        <f t="shared" si="108"/>
        <v>0</v>
      </c>
      <c r="K807" s="6">
        <f t="shared" si="109"/>
        <v>0</v>
      </c>
      <c r="L807" s="6">
        <f t="shared" si="110"/>
        <v>0</v>
      </c>
      <c r="M807" s="6">
        <f t="shared" si="111"/>
        <v>0</v>
      </c>
      <c r="N807" s="6" t="str">
        <f t="shared" si="113"/>
        <v>100PFA39-6200</v>
      </c>
      <c r="O807" s="6" t="str">
        <f t="shared" si="114"/>
        <v>SINGING THE CHICAGO BLUES</v>
      </c>
    </row>
    <row r="808" spans="8:15">
      <c r="H808">
        <f t="shared" si="107"/>
        <v>0</v>
      </c>
      <c r="I808" t="e">
        <f t="shared" si="112"/>
        <v>#VALUE!</v>
      </c>
      <c r="J808" s="6">
        <f t="shared" si="108"/>
        <v>0</v>
      </c>
      <c r="K808" s="6">
        <f t="shared" si="109"/>
        <v>0</v>
      </c>
      <c r="L808" s="6">
        <f t="shared" si="110"/>
        <v>0</v>
      </c>
      <c r="M808" s="6">
        <f t="shared" si="111"/>
        <v>0</v>
      </c>
      <c r="N808" s="6" t="str">
        <f t="shared" si="113"/>
        <v>100PFA39-6200</v>
      </c>
      <c r="O808" s="6" t="str">
        <f t="shared" si="114"/>
        <v>SINGING THE CHICAGO BLUES</v>
      </c>
    </row>
    <row r="809" spans="8:15">
      <c r="H809">
        <f t="shared" si="107"/>
        <v>0</v>
      </c>
      <c r="I809" t="e">
        <f t="shared" si="112"/>
        <v>#VALUE!</v>
      </c>
      <c r="J809" s="6">
        <f t="shared" si="108"/>
        <v>0</v>
      </c>
      <c r="K809" s="6">
        <f t="shared" si="109"/>
        <v>0</v>
      </c>
      <c r="L809" s="6">
        <f t="shared" si="110"/>
        <v>0</v>
      </c>
      <c r="M809" s="6">
        <f t="shared" si="111"/>
        <v>0</v>
      </c>
      <c r="N809" s="6" t="str">
        <f t="shared" si="113"/>
        <v>100PFA39-6200</v>
      </c>
      <c r="O809" s="6" t="str">
        <f t="shared" si="114"/>
        <v>SINGING THE CHICAGO BLUES</v>
      </c>
    </row>
    <row r="810" spans="8:15">
      <c r="H810">
        <f t="shared" si="107"/>
        <v>0</v>
      </c>
      <c r="I810" t="e">
        <f t="shared" si="112"/>
        <v>#VALUE!</v>
      </c>
      <c r="J810" s="6">
        <f t="shared" si="108"/>
        <v>0</v>
      </c>
      <c r="K810" s="6">
        <f t="shared" si="109"/>
        <v>0</v>
      </c>
      <c r="L810" s="6">
        <f t="shared" si="110"/>
        <v>0</v>
      </c>
      <c r="M810" s="6">
        <f t="shared" si="111"/>
        <v>0</v>
      </c>
      <c r="N810" s="6" t="str">
        <f t="shared" si="113"/>
        <v>100PFA39-6200</v>
      </c>
      <c r="O810" s="6" t="str">
        <f t="shared" si="114"/>
        <v>SINGING THE CHICAGO BLUES</v>
      </c>
    </row>
    <row r="811" spans="8:15">
      <c r="H811">
        <f t="shared" si="107"/>
        <v>0</v>
      </c>
      <c r="I811" t="e">
        <f t="shared" si="112"/>
        <v>#VALUE!</v>
      </c>
      <c r="J811" s="6">
        <f t="shared" si="108"/>
        <v>0</v>
      </c>
      <c r="K811" s="6">
        <f t="shared" si="109"/>
        <v>0</v>
      </c>
      <c r="L811" s="6">
        <f t="shared" si="110"/>
        <v>0</v>
      </c>
      <c r="M811" s="6">
        <f t="shared" si="111"/>
        <v>0</v>
      </c>
      <c r="N811" s="6" t="str">
        <f t="shared" si="113"/>
        <v>100PFA39-6200</v>
      </c>
      <c r="O811" s="6" t="str">
        <f t="shared" si="114"/>
        <v>SINGING THE CHICAGO BLUES</v>
      </c>
    </row>
    <row r="812" spans="8:15">
      <c r="H812">
        <f t="shared" si="107"/>
        <v>0</v>
      </c>
      <c r="I812" t="e">
        <f t="shared" si="112"/>
        <v>#VALUE!</v>
      </c>
      <c r="J812" s="6">
        <f t="shared" si="108"/>
        <v>0</v>
      </c>
      <c r="K812" s="6">
        <f t="shared" si="109"/>
        <v>0</v>
      </c>
      <c r="L812" s="6">
        <f t="shared" si="110"/>
        <v>0</v>
      </c>
      <c r="M812" s="6">
        <f t="shared" si="111"/>
        <v>0</v>
      </c>
      <c r="N812" s="6" t="str">
        <f t="shared" si="113"/>
        <v>100PFA39-6200</v>
      </c>
      <c r="O812" s="6" t="str">
        <f t="shared" si="114"/>
        <v>SINGING THE CHICAGO BLUES</v>
      </c>
    </row>
    <row r="813" spans="8:15">
      <c r="H813">
        <f t="shared" si="107"/>
        <v>0</v>
      </c>
      <c r="I813" t="e">
        <f t="shared" si="112"/>
        <v>#VALUE!</v>
      </c>
      <c r="J813" s="6">
        <f t="shared" si="108"/>
        <v>0</v>
      </c>
      <c r="K813" s="6">
        <f t="shared" si="109"/>
        <v>0</v>
      </c>
      <c r="L813" s="6">
        <f t="shared" si="110"/>
        <v>0</v>
      </c>
      <c r="M813" s="6">
        <f t="shared" si="111"/>
        <v>0</v>
      </c>
      <c r="N813" s="6" t="str">
        <f t="shared" si="113"/>
        <v>100PFA39-6200</v>
      </c>
      <c r="O813" s="6" t="str">
        <f t="shared" si="114"/>
        <v>SINGING THE CHICAGO BLUES</v>
      </c>
    </row>
    <row r="814" spans="8:15">
      <c r="H814">
        <f t="shared" si="107"/>
        <v>0</v>
      </c>
      <c r="I814" t="e">
        <f t="shared" si="112"/>
        <v>#VALUE!</v>
      </c>
      <c r="J814" s="6">
        <f t="shared" si="108"/>
        <v>0</v>
      </c>
      <c r="K814" s="6">
        <f t="shared" si="109"/>
        <v>0</v>
      </c>
      <c r="L814" s="6">
        <f t="shared" si="110"/>
        <v>0</v>
      </c>
      <c r="M814" s="6">
        <f t="shared" si="111"/>
        <v>0</v>
      </c>
      <c r="N814" s="6" t="str">
        <f t="shared" si="113"/>
        <v>100PFA39-6200</v>
      </c>
      <c r="O814" s="6" t="str">
        <f t="shared" si="114"/>
        <v>SINGING THE CHICAGO BLUES</v>
      </c>
    </row>
    <row r="815" spans="8:15">
      <c r="H815">
        <f t="shared" si="107"/>
        <v>0</v>
      </c>
      <c r="I815" t="e">
        <f t="shared" si="112"/>
        <v>#VALUE!</v>
      </c>
      <c r="J815" s="6">
        <f t="shared" si="108"/>
        <v>0</v>
      </c>
      <c r="K815" s="6">
        <f t="shared" si="109"/>
        <v>0</v>
      </c>
      <c r="L815" s="6">
        <f t="shared" si="110"/>
        <v>0</v>
      </c>
      <c r="M815" s="6">
        <f t="shared" si="111"/>
        <v>0</v>
      </c>
      <c r="N815" s="6" t="str">
        <f t="shared" si="113"/>
        <v>100PFA39-6200</v>
      </c>
      <c r="O815" s="6" t="str">
        <f t="shared" si="114"/>
        <v>SINGING THE CHICAGO BLUES</v>
      </c>
    </row>
    <row r="816" spans="8:15">
      <c r="H816">
        <f t="shared" si="107"/>
        <v>0</v>
      </c>
      <c r="I816" t="e">
        <f t="shared" si="112"/>
        <v>#VALUE!</v>
      </c>
      <c r="J816" s="6">
        <f t="shared" si="108"/>
        <v>0</v>
      </c>
      <c r="K816" s="6">
        <f t="shared" si="109"/>
        <v>0</v>
      </c>
      <c r="L816" s="6">
        <f t="shared" si="110"/>
        <v>0</v>
      </c>
      <c r="M816" s="6">
        <f t="shared" si="111"/>
        <v>0</v>
      </c>
      <c r="N816" s="6" t="str">
        <f t="shared" si="113"/>
        <v>100PFA39-6200</v>
      </c>
      <c r="O816" s="6" t="str">
        <f t="shared" si="114"/>
        <v>SINGING THE CHICAGO BLUES</v>
      </c>
    </row>
    <row r="817" spans="8:15">
      <c r="H817">
        <f t="shared" si="107"/>
        <v>0</v>
      </c>
      <c r="I817" t="e">
        <f t="shared" si="112"/>
        <v>#VALUE!</v>
      </c>
      <c r="J817" s="6">
        <f t="shared" si="108"/>
        <v>0</v>
      </c>
      <c r="K817" s="6">
        <f t="shared" si="109"/>
        <v>0</v>
      </c>
      <c r="L817" s="6">
        <f t="shared" si="110"/>
        <v>0</v>
      </c>
      <c r="M817" s="6">
        <f t="shared" si="111"/>
        <v>0</v>
      </c>
      <c r="N817" s="6" t="str">
        <f t="shared" si="113"/>
        <v>100PFA39-6200</v>
      </c>
      <c r="O817" s="6" t="str">
        <f t="shared" si="114"/>
        <v>SINGING THE CHICAGO BLUES</v>
      </c>
    </row>
    <row r="818" spans="8:15">
      <c r="H818">
        <f t="shared" si="107"/>
        <v>0</v>
      </c>
      <c r="I818" t="e">
        <f t="shared" si="112"/>
        <v>#VALUE!</v>
      </c>
      <c r="J818" s="6">
        <f t="shared" si="108"/>
        <v>0</v>
      </c>
      <c r="K818" s="6">
        <f t="shared" si="109"/>
        <v>0</v>
      </c>
      <c r="L818" s="6">
        <f t="shared" si="110"/>
        <v>0</v>
      </c>
      <c r="M818" s="6">
        <f t="shared" si="111"/>
        <v>0</v>
      </c>
      <c r="N818" s="6" t="str">
        <f t="shared" si="113"/>
        <v>100PFA39-6200</v>
      </c>
      <c r="O818" s="6" t="str">
        <f t="shared" si="114"/>
        <v>SINGING THE CHICAGO BLUES</v>
      </c>
    </row>
    <row r="819" spans="8:15">
      <c r="H819">
        <f t="shared" si="107"/>
        <v>0</v>
      </c>
      <c r="I819" t="e">
        <f t="shared" si="112"/>
        <v>#VALUE!</v>
      </c>
      <c r="J819" s="6">
        <f t="shared" si="108"/>
        <v>0</v>
      </c>
      <c r="K819" s="6">
        <f t="shared" si="109"/>
        <v>0</v>
      </c>
      <c r="L819" s="6">
        <f t="shared" si="110"/>
        <v>0</v>
      </c>
      <c r="M819" s="6">
        <f t="shared" si="111"/>
        <v>0</v>
      </c>
      <c r="N819" s="6" t="str">
        <f t="shared" si="113"/>
        <v>100PFA39-6200</v>
      </c>
      <c r="O819" s="6" t="str">
        <f t="shared" si="114"/>
        <v>SINGING THE CHICAGO BLUES</v>
      </c>
    </row>
    <row r="820" spans="8:15">
      <c r="H820">
        <f t="shared" si="107"/>
        <v>0</v>
      </c>
      <c r="I820" t="e">
        <f t="shared" si="112"/>
        <v>#VALUE!</v>
      </c>
      <c r="J820" s="6">
        <f t="shared" si="108"/>
        <v>0</v>
      </c>
      <c r="K820" s="6">
        <f t="shared" si="109"/>
        <v>0</v>
      </c>
      <c r="L820" s="6">
        <f t="shared" si="110"/>
        <v>0</v>
      </c>
      <c r="M820" s="6">
        <f t="shared" si="111"/>
        <v>0</v>
      </c>
      <c r="N820" s="6" t="str">
        <f t="shared" si="113"/>
        <v>100PFA39-6200</v>
      </c>
      <c r="O820" s="6" t="str">
        <f t="shared" si="114"/>
        <v>SINGING THE CHICAGO BLUES</v>
      </c>
    </row>
    <row r="821" spans="8:15">
      <c r="H821">
        <f t="shared" si="107"/>
        <v>0</v>
      </c>
      <c r="I821" t="e">
        <f t="shared" si="112"/>
        <v>#VALUE!</v>
      </c>
      <c r="J821" s="6">
        <f t="shared" si="108"/>
        <v>0</v>
      </c>
      <c r="K821" s="6">
        <f t="shared" si="109"/>
        <v>0</v>
      </c>
      <c r="L821" s="6">
        <f t="shared" si="110"/>
        <v>0</v>
      </c>
      <c r="M821" s="6">
        <f t="shared" si="111"/>
        <v>0</v>
      </c>
      <c r="N821" s="6" t="str">
        <f t="shared" si="113"/>
        <v>100PFA39-6200</v>
      </c>
      <c r="O821" s="6" t="str">
        <f t="shared" si="114"/>
        <v>SINGING THE CHICAGO BLUES</v>
      </c>
    </row>
    <row r="822" spans="8:15">
      <c r="H822">
        <f t="shared" si="107"/>
        <v>0</v>
      </c>
      <c r="I822" t="e">
        <f t="shared" si="112"/>
        <v>#VALUE!</v>
      </c>
      <c r="J822" s="6">
        <f t="shared" si="108"/>
        <v>0</v>
      </c>
      <c r="K822" s="6">
        <f t="shared" si="109"/>
        <v>0</v>
      </c>
      <c r="L822" s="6">
        <f t="shared" si="110"/>
        <v>0</v>
      </c>
      <c r="M822" s="6">
        <f t="shared" si="111"/>
        <v>0</v>
      </c>
      <c r="N822" s="6" t="str">
        <f t="shared" si="113"/>
        <v>100PFA39-6200</v>
      </c>
      <c r="O822" s="6" t="str">
        <f t="shared" si="114"/>
        <v>SINGING THE CHICAGO BLUES</v>
      </c>
    </row>
    <row r="823" spans="8:15">
      <c r="H823">
        <f t="shared" si="107"/>
        <v>0</v>
      </c>
      <c r="I823" t="e">
        <f t="shared" si="112"/>
        <v>#VALUE!</v>
      </c>
      <c r="J823" s="6">
        <f t="shared" si="108"/>
        <v>0</v>
      </c>
      <c r="K823" s="6">
        <f t="shared" si="109"/>
        <v>0</v>
      </c>
      <c r="L823" s="6">
        <f t="shared" si="110"/>
        <v>0</v>
      </c>
      <c r="M823" s="6">
        <f t="shared" si="111"/>
        <v>0</v>
      </c>
      <c r="N823" s="6" t="str">
        <f t="shared" si="113"/>
        <v>100PFA39-6200</v>
      </c>
      <c r="O823" s="6" t="str">
        <f t="shared" si="114"/>
        <v>SINGING THE CHICAGO BLUES</v>
      </c>
    </row>
    <row r="824" spans="8:15">
      <c r="H824">
        <f t="shared" si="107"/>
        <v>0</v>
      </c>
      <c r="I824" t="e">
        <f t="shared" si="112"/>
        <v>#VALUE!</v>
      </c>
      <c r="J824" s="6">
        <f t="shared" si="108"/>
        <v>0</v>
      </c>
      <c r="K824" s="6">
        <f t="shared" si="109"/>
        <v>0</v>
      </c>
      <c r="L824" s="6">
        <f t="shared" si="110"/>
        <v>0</v>
      </c>
      <c r="M824" s="6">
        <f t="shared" si="111"/>
        <v>0</v>
      </c>
      <c r="N824" s="6" t="str">
        <f t="shared" si="113"/>
        <v>100PFA39-6200</v>
      </c>
      <c r="O824" s="6" t="str">
        <f t="shared" si="114"/>
        <v>SINGING THE CHICAGO BLUES</v>
      </c>
    </row>
    <row r="825" spans="8:15">
      <c r="H825">
        <f t="shared" ref="H825:H888" si="115">A825</f>
        <v>0</v>
      </c>
      <c r="I825" t="e">
        <f t="shared" si="112"/>
        <v>#VALUE!</v>
      </c>
      <c r="J825" s="6">
        <f t="shared" ref="J825:J888" si="116">C825</f>
        <v>0</v>
      </c>
      <c r="K825" s="6">
        <f t="shared" ref="K825:K888" si="117">D825</f>
        <v>0</v>
      </c>
      <c r="L825" s="6">
        <f t="shared" ref="L825:L888" si="118">E825</f>
        <v>0</v>
      </c>
      <c r="M825" s="6">
        <f t="shared" ref="M825:M888" si="119">F825</f>
        <v>0</v>
      </c>
      <c r="N825" s="6" t="str">
        <f t="shared" si="113"/>
        <v>100PFA39-6200</v>
      </c>
      <c r="O825" s="6" t="str">
        <f t="shared" si="114"/>
        <v>SINGING THE CHICAGO BLUES</v>
      </c>
    </row>
    <row r="826" spans="8:15">
      <c r="H826">
        <f t="shared" si="115"/>
        <v>0</v>
      </c>
      <c r="I826" t="e">
        <f t="shared" si="112"/>
        <v>#VALUE!</v>
      </c>
      <c r="J826" s="6">
        <f t="shared" si="116"/>
        <v>0</v>
      </c>
      <c r="K826" s="6">
        <f t="shared" si="117"/>
        <v>0</v>
      </c>
      <c r="L826" s="6">
        <f t="shared" si="118"/>
        <v>0</v>
      </c>
      <c r="M826" s="6">
        <f t="shared" si="119"/>
        <v>0</v>
      </c>
      <c r="N826" s="6" t="str">
        <f t="shared" si="113"/>
        <v>100PFA39-6200</v>
      </c>
      <c r="O826" s="6" t="str">
        <f t="shared" si="114"/>
        <v>SINGING THE CHICAGO BLUES</v>
      </c>
    </row>
    <row r="827" spans="8:15">
      <c r="H827">
        <f t="shared" si="115"/>
        <v>0</v>
      </c>
      <c r="I827" t="e">
        <f t="shared" si="112"/>
        <v>#VALUE!</v>
      </c>
      <c r="J827" s="6">
        <f t="shared" si="116"/>
        <v>0</v>
      </c>
      <c r="K827" s="6">
        <f t="shared" si="117"/>
        <v>0</v>
      </c>
      <c r="L827" s="6">
        <f t="shared" si="118"/>
        <v>0</v>
      </c>
      <c r="M827" s="6">
        <f t="shared" si="119"/>
        <v>0</v>
      </c>
      <c r="N827" s="6" t="str">
        <f t="shared" si="113"/>
        <v>100PFA39-6200</v>
      </c>
      <c r="O827" s="6" t="str">
        <f t="shared" si="114"/>
        <v>SINGING THE CHICAGO BLUES</v>
      </c>
    </row>
    <row r="828" spans="8:15">
      <c r="H828">
        <f t="shared" si="115"/>
        <v>0</v>
      </c>
      <c r="I828" t="e">
        <f t="shared" si="112"/>
        <v>#VALUE!</v>
      </c>
      <c r="J828" s="6">
        <f t="shared" si="116"/>
        <v>0</v>
      </c>
      <c r="K828" s="6">
        <f t="shared" si="117"/>
        <v>0</v>
      </c>
      <c r="L828" s="6">
        <f t="shared" si="118"/>
        <v>0</v>
      </c>
      <c r="M828" s="6">
        <f t="shared" si="119"/>
        <v>0</v>
      </c>
      <c r="N828" s="6" t="str">
        <f t="shared" si="113"/>
        <v>100PFA39-6200</v>
      </c>
      <c r="O828" s="6" t="str">
        <f t="shared" si="114"/>
        <v>SINGING THE CHICAGO BLUES</v>
      </c>
    </row>
    <row r="829" spans="8:15">
      <c r="H829">
        <f t="shared" si="115"/>
        <v>0</v>
      </c>
      <c r="I829" t="e">
        <f t="shared" si="112"/>
        <v>#VALUE!</v>
      </c>
      <c r="J829" s="6">
        <f t="shared" si="116"/>
        <v>0</v>
      </c>
      <c r="K829" s="6">
        <f t="shared" si="117"/>
        <v>0</v>
      </c>
      <c r="L829" s="6">
        <f t="shared" si="118"/>
        <v>0</v>
      </c>
      <c r="M829" s="6">
        <f t="shared" si="119"/>
        <v>0</v>
      </c>
      <c r="N829" s="6" t="str">
        <f t="shared" si="113"/>
        <v>100PFA39-6200</v>
      </c>
      <c r="O829" s="6" t="str">
        <f t="shared" si="114"/>
        <v>SINGING THE CHICAGO BLUES</v>
      </c>
    </row>
    <row r="830" spans="8:15">
      <c r="H830">
        <f t="shared" si="115"/>
        <v>0</v>
      </c>
      <c r="I830" t="e">
        <f t="shared" si="112"/>
        <v>#VALUE!</v>
      </c>
      <c r="J830" s="6">
        <f t="shared" si="116"/>
        <v>0</v>
      </c>
      <c r="K830" s="6">
        <f t="shared" si="117"/>
        <v>0</v>
      </c>
      <c r="L830" s="6">
        <f t="shared" si="118"/>
        <v>0</v>
      </c>
      <c r="M830" s="6">
        <f t="shared" si="119"/>
        <v>0</v>
      </c>
      <c r="N830" s="6" t="str">
        <f t="shared" si="113"/>
        <v>100PFA39-6200</v>
      </c>
      <c r="O830" s="6" t="str">
        <f t="shared" si="114"/>
        <v>SINGING THE CHICAGO BLUES</v>
      </c>
    </row>
    <row r="831" spans="8:15">
      <c r="H831">
        <f t="shared" si="115"/>
        <v>0</v>
      </c>
      <c r="I831" t="e">
        <f t="shared" si="112"/>
        <v>#VALUE!</v>
      </c>
      <c r="J831" s="6">
        <f t="shared" si="116"/>
        <v>0</v>
      </c>
      <c r="K831" s="6">
        <f t="shared" si="117"/>
        <v>0</v>
      </c>
      <c r="L831" s="6">
        <f t="shared" si="118"/>
        <v>0</v>
      </c>
      <c r="M831" s="6">
        <f t="shared" si="119"/>
        <v>0</v>
      </c>
      <c r="N831" s="6" t="str">
        <f t="shared" si="113"/>
        <v>100PFA39-6200</v>
      </c>
      <c r="O831" s="6" t="str">
        <f t="shared" si="114"/>
        <v>SINGING THE CHICAGO BLUES</v>
      </c>
    </row>
    <row r="832" spans="8:15">
      <c r="H832">
        <f t="shared" si="115"/>
        <v>0</v>
      </c>
      <c r="I832" t="e">
        <f t="shared" si="112"/>
        <v>#VALUE!</v>
      </c>
      <c r="J832" s="6">
        <f t="shared" si="116"/>
        <v>0</v>
      </c>
      <c r="K832" s="6">
        <f t="shared" si="117"/>
        <v>0</v>
      </c>
      <c r="L832" s="6">
        <f t="shared" si="118"/>
        <v>0</v>
      </c>
      <c r="M832" s="6">
        <f t="shared" si="119"/>
        <v>0</v>
      </c>
      <c r="N832" s="6" t="str">
        <f t="shared" si="113"/>
        <v>100PFA39-6200</v>
      </c>
      <c r="O832" s="6" t="str">
        <f t="shared" si="114"/>
        <v>SINGING THE CHICAGO BLUES</v>
      </c>
    </row>
    <row r="833" spans="8:15">
      <c r="H833">
        <f t="shared" si="115"/>
        <v>0</v>
      </c>
      <c r="I833" t="e">
        <f t="shared" si="112"/>
        <v>#VALUE!</v>
      </c>
      <c r="J833" s="6">
        <f t="shared" si="116"/>
        <v>0</v>
      </c>
      <c r="K833" s="6">
        <f t="shared" si="117"/>
        <v>0</v>
      </c>
      <c r="L833" s="6">
        <f t="shared" si="118"/>
        <v>0</v>
      </c>
      <c r="M833" s="6">
        <f t="shared" si="119"/>
        <v>0</v>
      </c>
      <c r="N833" s="6" t="str">
        <f t="shared" si="113"/>
        <v>100PFA39-6200</v>
      </c>
      <c r="O833" s="6" t="str">
        <f t="shared" si="114"/>
        <v>SINGING THE CHICAGO BLUES</v>
      </c>
    </row>
    <row r="834" spans="8:15">
      <c r="H834">
        <f t="shared" si="115"/>
        <v>0</v>
      </c>
      <c r="I834" t="e">
        <f t="shared" si="112"/>
        <v>#VALUE!</v>
      </c>
      <c r="J834" s="6">
        <f t="shared" si="116"/>
        <v>0</v>
      </c>
      <c r="K834" s="6">
        <f t="shared" si="117"/>
        <v>0</v>
      </c>
      <c r="L834" s="6">
        <f t="shared" si="118"/>
        <v>0</v>
      </c>
      <c r="M834" s="6">
        <f t="shared" si="119"/>
        <v>0</v>
      </c>
      <c r="N834" s="6" t="str">
        <f t="shared" si="113"/>
        <v>100PFA39-6200</v>
      </c>
      <c r="O834" s="6" t="str">
        <f t="shared" si="114"/>
        <v>SINGING THE CHICAGO BLUES</v>
      </c>
    </row>
    <row r="835" spans="8:15">
      <c r="H835">
        <f t="shared" si="115"/>
        <v>0</v>
      </c>
      <c r="I835" t="e">
        <f t="shared" si="112"/>
        <v>#VALUE!</v>
      </c>
      <c r="J835" s="6">
        <f t="shared" si="116"/>
        <v>0</v>
      </c>
      <c r="K835" s="6">
        <f t="shared" si="117"/>
        <v>0</v>
      </c>
      <c r="L835" s="6">
        <f t="shared" si="118"/>
        <v>0</v>
      </c>
      <c r="M835" s="6">
        <f t="shared" si="119"/>
        <v>0</v>
      </c>
      <c r="N835" s="6" t="str">
        <f t="shared" si="113"/>
        <v>100PFA39-6200</v>
      </c>
      <c r="O835" s="6" t="str">
        <f t="shared" si="114"/>
        <v>SINGING THE CHICAGO BLUES</v>
      </c>
    </row>
    <row r="836" spans="8:15">
      <c r="H836">
        <f t="shared" si="115"/>
        <v>0</v>
      </c>
      <c r="I836" t="e">
        <f t="shared" si="112"/>
        <v>#VALUE!</v>
      </c>
      <c r="J836" s="6">
        <f t="shared" si="116"/>
        <v>0</v>
      </c>
      <c r="K836" s="6">
        <f t="shared" si="117"/>
        <v>0</v>
      </c>
      <c r="L836" s="6">
        <f t="shared" si="118"/>
        <v>0</v>
      </c>
      <c r="M836" s="6">
        <f t="shared" si="119"/>
        <v>0</v>
      </c>
      <c r="N836" s="6" t="str">
        <f t="shared" si="113"/>
        <v>100PFA39-6200</v>
      </c>
      <c r="O836" s="6" t="str">
        <f t="shared" si="114"/>
        <v>SINGING THE CHICAGO BLUES</v>
      </c>
    </row>
    <row r="837" spans="8:15">
      <c r="H837">
        <f t="shared" si="115"/>
        <v>0</v>
      </c>
      <c r="I837" t="e">
        <f t="shared" si="112"/>
        <v>#VALUE!</v>
      </c>
      <c r="J837" s="6">
        <f t="shared" si="116"/>
        <v>0</v>
      </c>
      <c r="K837" s="6">
        <f t="shared" si="117"/>
        <v>0</v>
      </c>
      <c r="L837" s="6">
        <f t="shared" si="118"/>
        <v>0</v>
      </c>
      <c r="M837" s="6">
        <f t="shared" si="119"/>
        <v>0</v>
      </c>
      <c r="N837" s="6" t="str">
        <f t="shared" si="113"/>
        <v>100PFA39-6200</v>
      </c>
      <c r="O837" s="6" t="str">
        <f t="shared" si="114"/>
        <v>SINGING THE CHICAGO BLUES</v>
      </c>
    </row>
    <row r="838" spans="8:15">
      <c r="H838">
        <f t="shared" si="115"/>
        <v>0</v>
      </c>
      <c r="I838" t="e">
        <f t="shared" si="112"/>
        <v>#VALUE!</v>
      </c>
      <c r="J838" s="6">
        <f t="shared" si="116"/>
        <v>0</v>
      </c>
      <c r="K838" s="6">
        <f t="shared" si="117"/>
        <v>0</v>
      </c>
      <c r="L838" s="6">
        <f t="shared" si="118"/>
        <v>0</v>
      </c>
      <c r="M838" s="6">
        <f t="shared" si="119"/>
        <v>0</v>
      </c>
      <c r="N838" s="6" t="str">
        <f t="shared" si="113"/>
        <v>100PFA39-6200</v>
      </c>
      <c r="O838" s="6" t="str">
        <f t="shared" si="114"/>
        <v>SINGING THE CHICAGO BLUES</v>
      </c>
    </row>
    <row r="839" spans="8:15">
      <c r="H839">
        <f t="shared" si="115"/>
        <v>0</v>
      </c>
      <c r="I839" t="e">
        <f t="shared" ref="I839:I902" si="120">IFERROR(IF(SEARCH(" &lt;-",B839,1),LEFT(B839,SEARCH(" ",B839,1)-1),""),LEFT(B839,SEARCH("View",B839,1)-1))</f>
        <v>#VALUE!</v>
      </c>
      <c r="J839" s="6">
        <f t="shared" si="116"/>
        <v>0</v>
      </c>
      <c r="K839" s="6">
        <f t="shared" si="117"/>
        <v>0</v>
      </c>
      <c r="L839" s="6">
        <f t="shared" si="118"/>
        <v>0</v>
      </c>
      <c r="M839" s="6">
        <f t="shared" si="119"/>
        <v>0</v>
      </c>
      <c r="N839" s="6" t="str">
        <f t="shared" ref="N839:N903" si="121">TRIM($B$1)</f>
        <v>100PFA39-6200</v>
      </c>
      <c r="O839" s="6" t="str">
        <f t="shared" ref="O839:O903" si="122">TRIM($C$1)</f>
        <v>SINGING THE CHICAGO BLUES</v>
      </c>
    </row>
    <row r="840" spans="8:15">
      <c r="H840">
        <f t="shared" si="115"/>
        <v>0</v>
      </c>
      <c r="I840" t="e">
        <f t="shared" si="120"/>
        <v>#VALUE!</v>
      </c>
      <c r="J840" s="6">
        <f t="shared" si="116"/>
        <v>0</v>
      </c>
      <c r="K840" s="6">
        <f t="shared" si="117"/>
        <v>0</v>
      </c>
      <c r="L840" s="6">
        <f t="shared" si="118"/>
        <v>0</v>
      </c>
      <c r="M840" s="6">
        <f t="shared" si="119"/>
        <v>0</v>
      </c>
      <c r="N840" s="6" t="str">
        <f t="shared" si="121"/>
        <v>100PFA39-6200</v>
      </c>
      <c r="O840" s="6" t="str">
        <f t="shared" si="122"/>
        <v>SINGING THE CHICAGO BLUES</v>
      </c>
    </row>
    <row r="841" spans="8:15">
      <c r="H841">
        <f t="shared" si="115"/>
        <v>0</v>
      </c>
      <c r="I841" t="e">
        <f t="shared" si="120"/>
        <v>#VALUE!</v>
      </c>
      <c r="J841" s="6">
        <f t="shared" si="116"/>
        <v>0</v>
      </c>
      <c r="K841" s="6">
        <f t="shared" si="117"/>
        <v>0</v>
      </c>
      <c r="L841" s="6">
        <f t="shared" si="118"/>
        <v>0</v>
      </c>
      <c r="M841" s="6">
        <f t="shared" si="119"/>
        <v>0</v>
      </c>
      <c r="N841" s="6" t="str">
        <f t="shared" si="121"/>
        <v>100PFA39-6200</v>
      </c>
      <c r="O841" s="6" t="str">
        <f t="shared" si="122"/>
        <v>SINGING THE CHICAGO BLUES</v>
      </c>
    </row>
    <row r="842" spans="8:15">
      <c r="H842">
        <f t="shared" si="115"/>
        <v>0</v>
      </c>
      <c r="I842" t="e">
        <f t="shared" si="120"/>
        <v>#VALUE!</v>
      </c>
      <c r="J842" s="6">
        <f t="shared" si="116"/>
        <v>0</v>
      </c>
      <c r="K842" s="6">
        <f t="shared" si="117"/>
        <v>0</v>
      </c>
      <c r="L842" s="6">
        <f t="shared" si="118"/>
        <v>0</v>
      </c>
      <c r="M842" s="6">
        <f t="shared" si="119"/>
        <v>0</v>
      </c>
      <c r="N842" s="6" t="str">
        <f t="shared" si="121"/>
        <v>100PFA39-6200</v>
      </c>
      <c r="O842" s="6" t="str">
        <f t="shared" si="122"/>
        <v>SINGING THE CHICAGO BLUES</v>
      </c>
    </row>
    <row r="843" spans="8:15">
      <c r="H843">
        <f t="shared" si="115"/>
        <v>0</v>
      </c>
      <c r="I843" t="e">
        <f t="shared" si="120"/>
        <v>#VALUE!</v>
      </c>
      <c r="J843" s="6">
        <f t="shared" si="116"/>
        <v>0</v>
      </c>
      <c r="K843" s="6">
        <f t="shared" si="117"/>
        <v>0</v>
      </c>
      <c r="L843" s="6">
        <f t="shared" si="118"/>
        <v>0</v>
      </c>
      <c r="M843" s="6">
        <f t="shared" si="119"/>
        <v>0</v>
      </c>
      <c r="N843" s="6" t="str">
        <f t="shared" si="121"/>
        <v>100PFA39-6200</v>
      </c>
      <c r="O843" s="6" t="str">
        <f t="shared" si="122"/>
        <v>SINGING THE CHICAGO BLUES</v>
      </c>
    </row>
    <row r="844" spans="8:15">
      <c r="H844">
        <f t="shared" si="115"/>
        <v>0</v>
      </c>
      <c r="I844" t="e">
        <f t="shared" si="120"/>
        <v>#VALUE!</v>
      </c>
      <c r="J844" s="6">
        <f t="shared" si="116"/>
        <v>0</v>
      </c>
      <c r="K844" s="6">
        <f t="shared" si="117"/>
        <v>0</v>
      </c>
      <c r="L844" s="6">
        <f t="shared" si="118"/>
        <v>0</v>
      </c>
      <c r="M844" s="6">
        <f t="shared" si="119"/>
        <v>0</v>
      </c>
      <c r="N844" s="6" t="str">
        <f t="shared" si="121"/>
        <v>100PFA39-6200</v>
      </c>
      <c r="O844" s="6" t="str">
        <f t="shared" si="122"/>
        <v>SINGING THE CHICAGO BLUES</v>
      </c>
    </row>
    <row r="845" spans="8:15">
      <c r="H845">
        <f t="shared" si="115"/>
        <v>0</v>
      </c>
      <c r="I845" t="e">
        <f t="shared" si="120"/>
        <v>#VALUE!</v>
      </c>
      <c r="J845" s="6">
        <f t="shared" si="116"/>
        <v>0</v>
      </c>
      <c r="K845" s="6">
        <f t="shared" si="117"/>
        <v>0</v>
      </c>
      <c r="L845" s="6">
        <f t="shared" si="118"/>
        <v>0</v>
      </c>
      <c r="M845" s="6">
        <f t="shared" si="119"/>
        <v>0</v>
      </c>
      <c r="N845" s="6" t="str">
        <f t="shared" si="121"/>
        <v>100PFA39-6200</v>
      </c>
      <c r="O845" s="6" t="str">
        <f t="shared" si="122"/>
        <v>SINGING THE CHICAGO BLUES</v>
      </c>
    </row>
    <row r="846" spans="8:15">
      <c r="H846">
        <f t="shared" si="115"/>
        <v>0</v>
      </c>
      <c r="I846" t="e">
        <f t="shared" si="120"/>
        <v>#VALUE!</v>
      </c>
      <c r="J846" s="6">
        <f t="shared" si="116"/>
        <v>0</v>
      </c>
      <c r="K846" s="6">
        <f t="shared" si="117"/>
        <v>0</v>
      </c>
      <c r="L846" s="6">
        <f t="shared" si="118"/>
        <v>0</v>
      </c>
      <c r="M846" s="6">
        <f t="shared" si="119"/>
        <v>0</v>
      </c>
      <c r="N846" s="6" t="str">
        <f t="shared" si="121"/>
        <v>100PFA39-6200</v>
      </c>
      <c r="O846" s="6" t="str">
        <f t="shared" si="122"/>
        <v>SINGING THE CHICAGO BLUES</v>
      </c>
    </row>
    <row r="847" spans="8:15">
      <c r="H847">
        <f t="shared" si="115"/>
        <v>0</v>
      </c>
      <c r="I847" t="e">
        <f t="shared" si="120"/>
        <v>#VALUE!</v>
      </c>
      <c r="J847" s="6">
        <f t="shared" si="116"/>
        <v>0</v>
      </c>
      <c r="K847" s="6">
        <f t="shared" si="117"/>
        <v>0</v>
      </c>
      <c r="L847" s="6">
        <f t="shared" si="118"/>
        <v>0</v>
      </c>
      <c r="M847" s="6">
        <f t="shared" si="119"/>
        <v>0</v>
      </c>
      <c r="N847" s="6" t="str">
        <f t="shared" si="121"/>
        <v>100PFA39-6200</v>
      </c>
      <c r="O847" s="6" t="str">
        <f t="shared" si="122"/>
        <v>SINGING THE CHICAGO BLUES</v>
      </c>
    </row>
    <row r="848" spans="8:15">
      <c r="H848">
        <f t="shared" si="115"/>
        <v>0</v>
      </c>
      <c r="I848" t="e">
        <f t="shared" si="120"/>
        <v>#VALUE!</v>
      </c>
      <c r="J848" s="6">
        <f t="shared" si="116"/>
        <v>0</v>
      </c>
      <c r="K848" s="6">
        <f t="shared" si="117"/>
        <v>0</v>
      </c>
      <c r="L848" s="6">
        <f t="shared" si="118"/>
        <v>0</v>
      </c>
      <c r="M848" s="6">
        <f t="shared" si="119"/>
        <v>0</v>
      </c>
      <c r="N848" s="6" t="str">
        <f t="shared" si="121"/>
        <v>100PFA39-6200</v>
      </c>
      <c r="O848" s="6" t="str">
        <f t="shared" si="122"/>
        <v>SINGING THE CHICAGO BLUES</v>
      </c>
    </row>
    <row r="849" spans="8:15">
      <c r="H849">
        <f t="shared" si="115"/>
        <v>0</v>
      </c>
      <c r="I849" t="e">
        <f t="shared" si="120"/>
        <v>#VALUE!</v>
      </c>
      <c r="J849" s="6">
        <f t="shared" si="116"/>
        <v>0</v>
      </c>
      <c r="K849" s="6">
        <f t="shared" si="117"/>
        <v>0</v>
      </c>
      <c r="L849" s="6">
        <f t="shared" si="118"/>
        <v>0</v>
      </c>
      <c r="M849" s="6">
        <f t="shared" si="119"/>
        <v>0</v>
      </c>
      <c r="N849" s="6" t="str">
        <f t="shared" si="121"/>
        <v>100PFA39-6200</v>
      </c>
      <c r="O849" s="6" t="str">
        <f t="shared" si="122"/>
        <v>SINGING THE CHICAGO BLUES</v>
      </c>
    </row>
    <row r="850" spans="8:15">
      <c r="H850">
        <f t="shared" si="115"/>
        <v>0</v>
      </c>
      <c r="I850" t="e">
        <f t="shared" si="120"/>
        <v>#VALUE!</v>
      </c>
      <c r="J850" s="6">
        <f t="shared" si="116"/>
        <v>0</v>
      </c>
      <c r="K850" s="6">
        <f t="shared" si="117"/>
        <v>0</v>
      </c>
      <c r="L850" s="6">
        <f t="shared" si="118"/>
        <v>0</v>
      </c>
      <c r="M850" s="6">
        <f t="shared" si="119"/>
        <v>0</v>
      </c>
      <c r="N850" s="6" t="str">
        <f t="shared" si="121"/>
        <v>100PFA39-6200</v>
      </c>
      <c r="O850" s="6" t="str">
        <f t="shared" si="122"/>
        <v>SINGING THE CHICAGO BLUES</v>
      </c>
    </row>
    <row r="851" spans="8:15">
      <c r="H851">
        <f t="shared" si="115"/>
        <v>0</v>
      </c>
      <c r="I851" t="e">
        <f t="shared" si="120"/>
        <v>#VALUE!</v>
      </c>
      <c r="J851" s="6">
        <f t="shared" si="116"/>
        <v>0</v>
      </c>
      <c r="K851" s="6">
        <f t="shared" si="117"/>
        <v>0</v>
      </c>
      <c r="L851" s="6">
        <f t="shared" si="118"/>
        <v>0</v>
      </c>
      <c r="M851" s="6">
        <f t="shared" si="119"/>
        <v>0</v>
      </c>
      <c r="N851" s="6" t="str">
        <f t="shared" si="121"/>
        <v>100PFA39-6200</v>
      </c>
      <c r="O851" s="6" t="str">
        <f t="shared" si="122"/>
        <v>SINGING THE CHICAGO BLUES</v>
      </c>
    </row>
    <row r="852" spans="8:15">
      <c r="H852">
        <f t="shared" si="115"/>
        <v>0</v>
      </c>
      <c r="I852" t="e">
        <f t="shared" si="120"/>
        <v>#VALUE!</v>
      </c>
      <c r="J852" s="6">
        <f t="shared" si="116"/>
        <v>0</v>
      </c>
      <c r="K852" s="6">
        <f t="shared" si="117"/>
        <v>0</v>
      </c>
      <c r="L852" s="6">
        <f t="shared" si="118"/>
        <v>0</v>
      </c>
      <c r="M852" s="6">
        <f t="shared" si="119"/>
        <v>0</v>
      </c>
      <c r="N852" s="6" t="str">
        <f t="shared" si="121"/>
        <v>100PFA39-6200</v>
      </c>
      <c r="O852" s="6" t="str">
        <f t="shared" si="122"/>
        <v>SINGING THE CHICAGO BLUES</v>
      </c>
    </row>
    <row r="853" spans="8:15">
      <c r="H853">
        <f t="shared" si="115"/>
        <v>0</v>
      </c>
      <c r="I853" t="e">
        <f t="shared" si="120"/>
        <v>#VALUE!</v>
      </c>
      <c r="J853" s="6">
        <f t="shared" si="116"/>
        <v>0</v>
      </c>
      <c r="K853" s="6">
        <f t="shared" si="117"/>
        <v>0</v>
      </c>
      <c r="L853" s="6">
        <f t="shared" si="118"/>
        <v>0</v>
      </c>
      <c r="M853" s="6">
        <f t="shared" si="119"/>
        <v>0</v>
      </c>
      <c r="N853" s="6" t="str">
        <f t="shared" si="121"/>
        <v>100PFA39-6200</v>
      </c>
      <c r="O853" s="6" t="str">
        <f t="shared" si="122"/>
        <v>SINGING THE CHICAGO BLUES</v>
      </c>
    </row>
    <row r="854" spans="8:15">
      <c r="H854">
        <f t="shared" si="115"/>
        <v>0</v>
      </c>
      <c r="I854" t="e">
        <f t="shared" si="120"/>
        <v>#VALUE!</v>
      </c>
      <c r="J854" s="6">
        <f t="shared" si="116"/>
        <v>0</v>
      </c>
      <c r="K854" s="6">
        <f t="shared" si="117"/>
        <v>0</v>
      </c>
      <c r="L854" s="6">
        <f t="shared" si="118"/>
        <v>0</v>
      </c>
      <c r="M854" s="6">
        <f t="shared" si="119"/>
        <v>0</v>
      </c>
      <c r="N854" s="6" t="str">
        <f t="shared" si="121"/>
        <v>100PFA39-6200</v>
      </c>
      <c r="O854" s="6" t="str">
        <f t="shared" si="122"/>
        <v>SINGING THE CHICAGO BLUES</v>
      </c>
    </row>
    <row r="855" spans="8:15">
      <c r="H855">
        <f t="shared" si="115"/>
        <v>0</v>
      </c>
      <c r="I855" t="e">
        <f t="shared" si="120"/>
        <v>#VALUE!</v>
      </c>
      <c r="J855" s="6">
        <f t="shared" si="116"/>
        <v>0</v>
      </c>
      <c r="K855" s="6">
        <f t="shared" si="117"/>
        <v>0</v>
      </c>
      <c r="L855" s="6">
        <f t="shared" si="118"/>
        <v>0</v>
      </c>
      <c r="M855" s="6">
        <f t="shared" si="119"/>
        <v>0</v>
      </c>
      <c r="N855" s="6" t="str">
        <f t="shared" si="121"/>
        <v>100PFA39-6200</v>
      </c>
      <c r="O855" s="6" t="str">
        <f t="shared" si="122"/>
        <v>SINGING THE CHICAGO BLUES</v>
      </c>
    </row>
    <row r="856" spans="8:15">
      <c r="H856">
        <f t="shared" si="115"/>
        <v>0</v>
      </c>
      <c r="I856" t="e">
        <f t="shared" si="120"/>
        <v>#VALUE!</v>
      </c>
      <c r="J856" s="6">
        <f t="shared" si="116"/>
        <v>0</v>
      </c>
      <c r="K856" s="6">
        <f t="shared" si="117"/>
        <v>0</v>
      </c>
      <c r="L856" s="6">
        <f t="shared" si="118"/>
        <v>0</v>
      </c>
      <c r="M856" s="6">
        <f t="shared" si="119"/>
        <v>0</v>
      </c>
      <c r="N856" s="6" t="str">
        <f t="shared" si="121"/>
        <v>100PFA39-6200</v>
      </c>
      <c r="O856" s="6" t="str">
        <f t="shared" si="122"/>
        <v>SINGING THE CHICAGO BLUES</v>
      </c>
    </row>
    <row r="857" spans="8:15">
      <c r="H857">
        <f t="shared" si="115"/>
        <v>0</v>
      </c>
      <c r="I857" t="e">
        <f t="shared" si="120"/>
        <v>#VALUE!</v>
      </c>
      <c r="J857" s="6">
        <f t="shared" si="116"/>
        <v>0</v>
      </c>
      <c r="K857" s="6">
        <f t="shared" si="117"/>
        <v>0</v>
      </c>
      <c r="L857" s="6">
        <f t="shared" si="118"/>
        <v>0</v>
      </c>
      <c r="M857" s="6">
        <f t="shared" si="119"/>
        <v>0</v>
      </c>
      <c r="N857" s="6" t="str">
        <f t="shared" si="121"/>
        <v>100PFA39-6200</v>
      </c>
      <c r="O857" s="6" t="str">
        <f t="shared" si="122"/>
        <v>SINGING THE CHICAGO BLUES</v>
      </c>
    </row>
    <row r="858" spans="8:15">
      <c r="H858">
        <f t="shared" si="115"/>
        <v>0</v>
      </c>
      <c r="I858" t="e">
        <f t="shared" si="120"/>
        <v>#VALUE!</v>
      </c>
      <c r="J858" s="6">
        <f t="shared" si="116"/>
        <v>0</v>
      </c>
      <c r="K858" s="6">
        <f t="shared" si="117"/>
        <v>0</v>
      </c>
      <c r="L858" s="6">
        <f t="shared" si="118"/>
        <v>0</v>
      </c>
      <c r="M858" s="6">
        <f t="shared" si="119"/>
        <v>0</v>
      </c>
      <c r="N858" s="6" t="str">
        <f t="shared" si="121"/>
        <v>100PFA39-6200</v>
      </c>
      <c r="O858" s="6" t="str">
        <f t="shared" si="122"/>
        <v>SINGING THE CHICAGO BLUES</v>
      </c>
    </row>
    <row r="859" spans="8:15">
      <c r="H859">
        <f t="shared" si="115"/>
        <v>0</v>
      </c>
      <c r="I859" t="e">
        <f t="shared" si="120"/>
        <v>#VALUE!</v>
      </c>
      <c r="J859" s="6">
        <f t="shared" si="116"/>
        <v>0</v>
      </c>
      <c r="K859" s="6">
        <f t="shared" si="117"/>
        <v>0</v>
      </c>
      <c r="L859" s="6">
        <f t="shared" si="118"/>
        <v>0</v>
      </c>
      <c r="M859" s="6">
        <f t="shared" si="119"/>
        <v>0</v>
      </c>
      <c r="N859" s="6" t="str">
        <f t="shared" si="121"/>
        <v>100PFA39-6200</v>
      </c>
      <c r="O859" s="6" t="str">
        <f t="shared" si="122"/>
        <v>SINGING THE CHICAGO BLUES</v>
      </c>
    </row>
    <row r="860" spans="8:15">
      <c r="H860">
        <f t="shared" si="115"/>
        <v>0</v>
      </c>
      <c r="I860" t="e">
        <f t="shared" si="120"/>
        <v>#VALUE!</v>
      </c>
      <c r="J860" s="6">
        <f t="shared" si="116"/>
        <v>0</v>
      </c>
      <c r="K860" s="6">
        <f t="shared" si="117"/>
        <v>0</v>
      </c>
      <c r="L860" s="6">
        <f t="shared" si="118"/>
        <v>0</v>
      </c>
      <c r="M860" s="6">
        <f t="shared" si="119"/>
        <v>0</v>
      </c>
      <c r="N860" s="6" t="str">
        <f t="shared" si="121"/>
        <v>100PFA39-6200</v>
      </c>
      <c r="O860" s="6" t="str">
        <f t="shared" si="122"/>
        <v>SINGING THE CHICAGO BLUES</v>
      </c>
    </row>
    <row r="861" spans="8:15">
      <c r="H861">
        <f t="shared" si="115"/>
        <v>0</v>
      </c>
      <c r="I861" t="e">
        <f t="shared" si="120"/>
        <v>#VALUE!</v>
      </c>
      <c r="J861" s="6">
        <f t="shared" si="116"/>
        <v>0</v>
      </c>
      <c r="K861" s="6">
        <f t="shared" si="117"/>
        <v>0</v>
      </c>
      <c r="L861" s="6">
        <f t="shared" si="118"/>
        <v>0</v>
      </c>
      <c r="M861" s="6">
        <f t="shared" si="119"/>
        <v>0</v>
      </c>
      <c r="N861" s="6" t="str">
        <f t="shared" si="121"/>
        <v>100PFA39-6200</v>
      </c>
      <c r="O861" s="6" t="str">
        <f t="shared" si="122"/>
        <v>SINGING THE CHICAGO BLUES</v>
      </c>
    </row>
    <row r="862" spans="8:15">
      <c r="H862">
        <f t="shared" si="115"/>
        <v>0</v>
      </c>
      <c r="I862" t="e">
        <f t="shared" si="120"/>
        <v>#VALUE!</v>
      </c>
      <c r="J862" s="6">
        <f t="shared" si="116"/>
        <v>0</v>
      </c>
      <c r="K862" s="6">
        <f t="shared" si="117"/>
        <v>0</v>
      </c>
      <c r="L862" s="6">
        <f t="shared" si="118"/>
        <v>0</v>
      </c>
      <c r="M862" s="6">
        <f t="shared" si="119"/>
        <v>0</v>
      </c>
      <c r="N862" s="6" t="str">
        <f t="shared" si="121"/>
        <v>100PFA39-6200</v>
      </c>
      <c r="O862" s="6" t="str">
        <f t="shared" si="122"/>
        <v>SINGING THE CHICAGO BLUES</v>
      </c>
    </row>
    <row r="863" spans="8:15">
      <c r="H863">
        <f t="shared" si="115"/>
        <v>0</v>
      </c>
      <c r="I863" t="e">
        <f t="shared" si="120"/>
        <v>#VALUE!</v>
      </c>
      <c r="J863" s="6">
        <f t="shared" si="116"/>
        <v>0</v>
      </c>
      <c r="K863" s="6">
        <f t="shared" si="117"/>
        <v>0</v>
      </c>
      <c r="L863" s="6">
        <f t="shared" si="118"/>
        <v>0</v>
      </c>
      <c r="M863" s="6">
        <f t="shared" si="119"/>
        <v>0</v>
      </c>
      <c r="N863" s="6" t="str">
        <f t="shared" si="121"/>
        <v>100PFA39-6200</v>
      </c>
      <c r="O863" s="6" t="str">
        <f t="shared" si="122"/>
        <v>SINGING THE CHICAGO BLUES</v>
      </c>
    </row>
    <row r="864" spans="8:15">
      <c r="H864">
        <f t="shared" si="115"/>
        <v>0</v>
      </c>
      <c r="I864" t="e">
        <f t="shared" si="120"/>
        <v>#VALUE!</v>
      </c>
      <c r="J864" s="6">
        <f t="shared" si="116"/>
        <v>0</v>
      </c>
      <c r="K864" s="6">
        <f t="shared" si="117"/>
        <v>0</v>
      </c>
      <c r="L864" s="6">
        <f t="shared" si="118"/>
        <v>0</v>
      </c>
      <c r="M864" s="6">
        <f t="shared" si="119"/>
        <v>0</v>
      </c>
      <c r="N864" s="6" t="str">
        <f t="shared" si="121"/>
        <v>100PFA39-6200</v>
      </c>
      <c r="O864" s="6" t="str">
        <f t="shared" si="122"/>
        <v>SINGING THE CHICAGO BLUES</v>
      </c>
    </row>
    <row r="865" spans="8:15">
      <c r="H865">
        <f t="shared" si="115"/>
        <v>0</v>
      </c>
      <c r="I865" t="e">
        <f t="shared" si="120"/>
        <v>#VALUE!</v>
      </c>
      <c r="J865" s="6">
        <f t="shared" si="116"/>
        <v>0</v>
      </c>
      <c r="K865" s="6">
        <f t="shared" si="117"/>
        <v>0</v>
      </c>
      <c r="L865" s="6">
        <f t="shared" si="118"/>
        <v>0</v>
      </c>
      <c r="M865" s="6">
        <f t="shared" si="119"/>
        <v>0</v>
      </c>
      <c r="N865" s="6" t="str">
        <f t="shared" si="121"/>
        <v>100PFA39-6200</v>
      </c>
      <c r="O865" s="6" t="str">
        <f t="shared" si="122"/>
        <v>SINGING THE CHICAGO BLUES</v>
      </c>
    </row>
    <row r="866" spans="8:15">
      <c r="H866">
        <f t="shared" si="115"/>
        <v>0</v>
      </c>
      <c r="I866" t="e">
        <f t="shared" si="120"/>
        <v>#VALUE!</v>
      </c>
      <c r="J866" s="6">
        <f t="shared" si="116"/>
        <v>0</v>
      </c>
      <c r="K866" s="6">
        <f t="shared" si="117"/>
        <v>0</v>
      </c>
      <c r="L866" s="6">
        <f t="shared" si="118"/>
        <v>0</v>
      </c>
      <c r="M866" s="6">
        <f t="shared" si="119"/>
        <v>0</v>
      </c>
      <c r="N866" s="6" t="str">
        <f t="shared" si="121"/>
        <v>100PFA39-6200</v>
      </c>
      <c r="O866" s="6" t="str">
        <f t="shared" si="122"/>
        <v>SINGING THE CHICAGO BLUES</v>
      </c>
    </row>
    <row r="867" spans="8:15">
      <c r="H867">
        <f t="shared" si="115"/>
        <v>0</v>
      </c>
      <c r="I867" t="e">
        <f t="shared" si="120"/>
        <v>#VALUE!</v>
      </c>
      <c r="J867" s="6">
        <f t="shared" si="116"/>
        <v>0</v>
      </c>
      <c r="K867" s="6">
        <f t="shared" si="117"/>
        <v>0</v>
      </c>
      <c r="L867" s="6">
        <f t="shared" si="118"/>
        <v>0</v>
      </c>
      <c r="M867" s="6">
        <f t="shared" si="119"/>
        <v>0</v>
      </c>
      <c r="N867" s="6" t="str">
        <f t="shared" si="121"/>
        <v>100PFA39-6200</v>
      </c>
      <c r="O867" s="6" t="str">
        <f t="shared" si="122"/>
        <v>SINGING THE CHICAGO BLUES</v>
      </c>
    </row>
    <row r="868" spans="8:15">
      <c r="H868">
        <f t="shared" si="115"/>
        <v>0</v>
      </c>
      <c r="I868" t="e">
        <f t="shared" si="120"/>
        <v>#VALUE!</v>
      </c>
      <c r="J868" s="6">
        <f t="shared" si="116"/>
        <v>0</v>
      </c>
      <c r="K868" s="6">
        <f t="shared" si="117"/>
        <v>0</v>
      </c>
      <c r="L868" s="6">
        <f t="shared" si="118"/>
        <v>0</v>
      </c>
      <c r="M868" s="6">
        <f t="shared" si="119"/>
        <v>0</v>
      </c>
      <c r="N868" s="6" t="str">
        <f t="shared" si="121"/>
        <v>100PFA39-6200</v>
      </c>
      <c r="O868" s="6" t="str">
        <f t="shared" si="122"/>
        <v>SINGING THE CHICAGO BLUES</v>
      </c>
    </row>
    <row r="869" spans="8:15">
      <c r="H869">
        <f t="shared" si="115"/>
        <v>0</v>
      </c>
      <c r="I869" t="e">
        <f t="shared" si="120"/>
        <v>#VALUE!</v>
      </c>
      <c r="J869" s="6">
        <f t="shared" si="116"/>
        <v>0</v>
      </c>
      <c r="K869" s="6">
        <f t="shared" si="117"/>
        <v>0</v>
      </c>
      <c r="L869" s="6">
        <f t="shared" si="118"/>
        <v>0</v>
      </c>
      <c r="M869" s="6">
        <f t="shared" si="119"/>
        <v>0</v>
      </c>
      <c r="N869" s="6" t="str">
        <f t="shared" si="121"/>
        <v>100PFA39-6200</v>
      </c>
      <c r="O869" s="6" t="str">
        <f t="shared" si="122"/>
        <v>SINGING THE CHICAGO BLUES</v>
      </c>
    </row>
    <row r="870" spans="8:15">
      <c r="H870">
        <f t="shared" si="115"/>
        <v>0</v>
      </c>
      <c r="I870" t="e">
        <f t="shared" si="120"/>
        <v>#VALUE!</v>
      </c>
      <c r="J870" s="6">
        <f t="shared" si="116"/>
        <v>0</v>
      </c>
      <c r="K870" s="6">
        <f t="shared" si="117"/>
        <v>0</v>
      </c>
      <c r="L870" s="6">
        <f t="shared" si="118"/>
        <v>0</v>
      </c>
      <c r="M870" s="6">
        <f t="shared" si="119"/>
        <v>0</v>
      </c>
      <c r="N870" s="6" t="str">
        <f t="shared" si="121"/>
        <v>100PFA39-6200</v>
      </c>
      <c r="O870" s="6" t="str">
        <f t="shared" si="122"/>
        <v>SINGING THE CHICAGO BLUES</v>
      </c>
    </row>
    <row r="871" spans="8:15">
      <c r="H871">
        <f t="shared" si="115"/>
        <v>0</v>
      </c>
      <c r="I871" t="e">
        <f t="shared" si="120"/>
        <v>#VALUE!</v>
      </c>
      <c r="J871" s="6">
        <f t="shared" si="116"/>
        <v>0</v>
      </c>
      <c r="K871" s="6">
        <f t="shared" si="117"/>
        <v>0</v>
      </c>
      <c r="L871" s="6">
        <f t="shared" si="118"/>
        <v>0</v>
      </c>
      <c r="M871" s="6">
        <f t="shared" si="119"/>
        <v>0</v>
      </c>
      <c r="N871" s="6" t="str">
        <f t="shared" si="121"/>
        <v>100PFA39-6200</v>
      </c>
      <c r="O871" s="6" t="str">
        <f t="shared" si="122"/>
        <v>SINGING THE CHICAGO BLUES</v>
      </c>
    </row>
    <row r="872" spans="8:15">
      <c r="H872">
        <f t="shared" si="115"/>
        <v>0</v>
      </c>
      <c r="I872" t="e">
        <f t="shared" si="120"/>
        <v>#VALUE!</v>
      </c>
      <c r="J872" s="6">
        <f t="shared" si="116"/>
        <v>0</v>
      </c>
      <c r="K872" s="6">
        <f t="shared" si="117"/>
        <v>0</v>
      </c>
      <c r="L872" s="6">
        <f t="shared" si="118"/>
        <v>0</v>
      </c>
      <c r="M872" s="6">
        <f t="shared" si="119"/>
        <v>0</v>
      </c>
      <c r="N872" s="6" t="str">
        <f t="shared" si="121"/>
        <v>100PFA39-6200</v>
      </c>
      <c r="O872" s="6" t="str">
        <f t="shared" si="122"/>
        <v>SINGING THE CHICAGO BLUES</v>
      </c>
    </row>
    <row r="873" spans="8:15">
      <c r="H873">
        <f t="shared" si="115"/>
        <v>0</v>
      </c>
      <c r="I873" t="e">
        <f t="shared" si="120"/>
        <v>#VALUE!</v>
      </c>
      <c r="J873" s="6">
        <f t="shared" si="116"/>
        <v>0</v>
      </c>
      <c r="K873" s="6">
        <f t="shared" si="117"/>
        <v>0</v>
      </c>
      <c r="L873" s="6">
        <f t="shared" si="118"/>
        <v>0</v>
      </c>
      <c r="M873" s="6">
        <f t="shared" si="119"/>
        <v>0</v>
      </c>
      <c r="N873" s="6" t="str">
        <f t="shared" si="121"/>
        <v>100PFA39-6200</v>
      </c>
      <c r="O873" s="6" t="str">
        <f t="shared" si="122"/>
        <v>SINGING THE CHICAGO BLUES</v>
      </c>
    </row>
    <row r="874" spans="8:15">
      <c r="H874">
        <f t="shared" si="115"/>
        <v>0</v>
      </c>
      <c r="I874" t="e">
        <f t="shared" si="120"/>
        <v>#VALUE!</v>
      </c>
      <c r="J874" s="6">
        <f t="shared" si="116"/>
        <v>0</v>
      </c>
      <c r="K874" s="6">
        <f t="shared" si="117"/>
        <v>0</v>
      </c>
      <c r="L874" s="6">
        <f t="shared" si="118"/>
        <v>0</v>
      </c>
      <c r="M874" s="6">
        <f t="shared" si="119"/>
        <v>0</v>
      </c>
      <c r="N874" s="6" t="str">
        <f t="shared" si="121"/>
        <v>100PFA39-6200</v>
      </c>
      <c r="O874" s="6" t="str">
        <f t="shared" si="122"/>
        <v>SINGING THE CHICAGO BLUES</v>
      </c>
    </row>
    <row r="875" spans="8:15">
      <c r="H875">
        <f t="shared" si="115"/>
        <v>0</v>
      </c>
      <c r="I875" t="e">
        <f t="shared" si="120"/>
        <v>#VALUE!</v>
      </c>
      <c r="J875" s="6">
        <f t="shared" si="116"/>
        <v>0</v>
      </c>
      <c r="K875" s="6">
        <f t="shared" si="117"/>
        <v>0</v>
      </c>
      <c r="L875" s="6">
        <f t="shared" si="118"/>
        <v>0</v>
      </c>
      <c r="M875" s="6">
        <f t="shared" si="119"/>
        <v>0</v>
      </c>
      <c r="N875" s="6" t="str">
        <f t="shared" si="121"/>
        <v>100PFA39-6200</v>
      </c>
      <c r="O875" s="6" t="str">
        <f t="shared" si="122"/>
        <v>SINGING THE CHICAGO BLUES</v>
      </c>
    </row>
    <row r="876" spans="8:15">
      <c r="H876">
        <f t="shared" si="115"/>
        <v>0</v>
      </c>
      <c r="I876" t="e">
        <f t="shared" si="120"/>
        <v>#VALUE!</v>
      </c>
      <c r="J876" s="6">
        <f t="shared" si="116"/>
        <v>0</v>
      </c>
      <c r="K876" s="6">
        <f t="shared" si="117"/>
        <v>0</v>
      </c>
      <c r="L876" s="6">
        <f t="shared" si="118"/>
        <v>0</v>
      </c>
      <c r="M876" s="6">
        <f t="shared" si="119"/>
        <v>0</v>
      </c>
      <c r="N876" s="6" t="str">
        <f t="shared" si="121"/>
        <v>100PFA39-6200</v>
      </c>
      <c r="O876" s="6" t="str">
        <f t="shared" si="122"/>
        <v>SINGING THE CHICAGO BLUES</v>
      </c>
    </row>
    <row r="877" spans="8:15">
      <c r="H877">
        <f t="shared" si="115"/>
        <v>0</v>
      </c>
      <c r="I877" t="e">
        <f t="shared" si="120"/>
        <v>#VALUE!</v>
      </c>
      <c r="J877" s="6">
        <f t="shared" si="116"/>
        <v>0</v>
      </c>
      <c r="K877" s="6">
        <f t="shared" si="117"/>
        <v>0</v>
      </c>
      <c r="L877" s="6">
        <f t="shared" si="118"/>
        <v>0</v>
      </c>
      <c r="M877" s="6">
        <f t="shared" si="119"/>
        <v>0</v>
      </c>
      <c r="N877" s="6" t="str">
        <f t="shared" si="121"/>
        <v>100PFA39-6200</v>
      </c>
      <c r="O877" s="6" t="str">
        <f t="shared" si="122"/>
        <v>SINGING THE CHICAGO BLUES</v>
      </c>
    </row>
    <row r="878" spans="8:15">
      <c r="H878">
        <f t="shared" si="115"/>
        <v>0</v>
      </c>
      <c r="I878" t="e">
        <f t="shared" si="120"/>
        <v>#VALUE!</v>
      </c>
      <c r="J878" s="6">
        <f t="shared" si="116"/>
        <v>0</v>
      </c>
      <c r="K878" s="6">
        <f t="shared" si="117"/>
        <v>0</v>
      </c>
      <c r="L878" s="6">
        <f t="shared" si="118"/>
        <v>0</v>
      </c>
      <c r="M878" s="6">
        <f t="shared" si="119"/>
        <v>0</v>
      </c>
      <c r="N878" s="6" t="str">
        <f t="shared" si="121"/>
        <v>100PFA39-6200</v>
      </c>
      <c r="O878" s="6" t="str">
        <f t="shared" si="122"/>
        <v>SINGING THE CHICAGO BLUES</v>
      </c>
    </row>
    <row r="879" spans="8:15">
      <c r="H879">
        <f t="shared" si="115"/>
        <v>0</v>
      </c>
      <c r="I879" t="e">
        <f t="shared" si="120"/>
        <v>#VALUE!</v>
      </c>
      <c r="J879" s="6">
        <f t="shared" si="116"/>
        <v>0</v>
      </c>
      <c r="K879" s="6">
        <f t="shared" si="117"/>
        <v>0</v>
      </c>
      <c r="L879" s="6">
        <f t="shared" si="118"/>
        <v>0</v>
      </c>
      <c r="M879" s="6">
        <f t="shared" si="119"/>
        <v>0</v>
      </c>
      <c r="N879" s="6" t="str">
        <f t="shared" si="121"/>
        <v>100PFA39-6200</v>
      </c>
      <c r="O879" s="6" t="str">
        <f t="shared" si="122"/>
        <v>SINGING THE CHICAGO BLUES</v>
      </c>
    </row>
    <row r="880" spans="8:15">
      <c r="H880">
        <f t="shared" si="115"/>
        <v>0</v>
      </c>
      <c r="I880" t="e">
        <f t="shared" si="120"/>
        <v>#VALUE!</v>
      </c>
      <c r="J880" s="6">
        <f t="shared" si="116"/>
        <v>0</v>
      </c>
      <c r="K880" s="6">
        <f t="shared" si="117"/>
        <v>0</v>
      </c>
      <c r="L880" s="6">
        <f t="shared" si="118"/>
        <v>0</v>
      </c>
      <c r="M880" s="6">
        <f t="shared" si="119"/>
        <v>0</v>
      </c>
      <c r="N880" s="6" t="str">
        <f t="shared" si="121"/>
        <v>100PFA39-6200</v>
      </c>
      <c r="O880" s="6" t="str">
        <f t="shared" si="122"/>
        <v>SINGING THE CHICAGO BLUES</v>
      </c>
    </row>
    <row r="881" spans="8:15">
      <c r="H881">
        <f t="shared" si="115"/>
        <v>0</v>
      </c>
      <c r="I881" t="e">
        <f t="shared" si="120"/>
        <v>#VALUE!</v>
      </c>
      <c r="J881" s="6">
        <f t="shared" si="116"/>
        <v>0</v>
      </c>
      <c r="K881" s="6">
        <f t="shared" si="117"/>
        <v>0</v>
      </c>
      <c r="L881" s="6">
        <f t="shared" si="118"/>
        <v>0</v>
      </c>
      <c r="M881" s="6">
        <f t="shared" si="119"/>
        <v>0</v>
      </c>
      <c r="N881" s="6" t="str">
        <f t="shared" si="121"/>
        <v>100PFA39-6200</v>
      </c>
      <c r="O881" s="6" t="str">
        <f t="shared" si="122"/>
        <v>SINGING THE CHICAGO BLUES</v>
      </c>
    </row>
    <row r="882" spans="8:15">
      <c r="H882">
        <f t="shared" si="115"/>
        <v>0</v>
      </c>
      <c r="I882" t="e">
        <f t="shared" si="120"/>
        <v>#VALUE!</v>
      </c>
      <c r="J882" s="6">
        <f t="shared" si="116"/>
        <v>0</v>
      </c>
      <c r="K882" s="6">
        <f t="shared" si="117"/>
        <v>0</v>
      </c>
      <c r="L882" s="6">
        <f t="shared" si="118"/>
        <v>0</v>
      </c>
      <c r="M882" s="6">
        <f t="shared" si="119"/>
        <v>0</v>
      </c>
      <c r="N882" s="6" t="str">
        <f t="shared" si="121"/>
        <v>100PFA39-6200</v>
      </c>
      <c r="O882" s="6" t="str">
        <f t="shared" si="122"/>
        <v>SINGING THE CHICAGO BLUES</v>
      </c>
    </row>
    <row r="883" spans="8:15">
      <c r="H883">
        <f t="shared" si="115"/>
        <v>0</v>
      </c>
      <c r="I883" t="e">
        <f t="shared" si="120"/>
        <v>#VALUE!</v>
      </c>
      <c r="J883" s="6">
        <f t="shared" si="116"/>
        <v>0</v>
      </c>
      <c r="K883" s="6">
        <f t="shared" si="117"/>
        <v>0</v>
      </c>
      <c r="L883" s="6">
        <f t="shared" si="118"/>
        <v>0</v>
      </c>
      <c r="M883" s="6">
        <f t="shared" si="119"/>
        <v>0</v>
      </c>
      <c r="N883" s="6" t="str">
        <f t="shared" si="121"/>
        <v>100PFA39-6200</v>
      </c>
      <c r="O883" s="6" t="str">
        <f t="shared" si="122"/>
        <v>SINGING THE CHICAGO BLUES</v>
      </c>
    </row>
    <row r="884" spans="8:15">
      <c r="H884">
        <f t="shared" si="115"/>
        <v>0</v>
      </c>
      <c r="I884" t="e">
        <f t="shared" si="120"/>
        <v>#VALUE!</v>
      </c>
      <c r="J884" s="6">
        <f t="shared" si="116"/>
        <v>0</v>
      </c>
      <c r="K884" s="6">
        <f t="shared" si="117"/>
        <v>0</v>
      </c>
      <c r="L884" s="6">
        <f t="shared" si="118"/>
        <v>0</v>
      </c>
      <c r="M884" s="6">
        <f t="shared" si="119"/>
        <v>0</v>
      </c>
      <c r="N884" s="6" t="str">
        <f t="shared" si="121"/>
        <v>100PFA39-6200</v>
      </c>
      <c r="O884" s="6" t="str">
        <f t="shared" si="122"/>
        <v>SINGING THE CHICAGO BLUES</v>
      </c>
    </row>
    <row r="885" spans="8:15">
      <c r="H885">
        <f t="shared" si="115"/>
        <v>0</v>
      </c>
      <c r="I885" t="e">
        <f t="shared" si="120"/>
        <v>#VALUE!</v>
      </c>
      <c r="J885" s="6">
        <f t="shared" si="116"/>
        <v>0</v>
      </c>
      <c r="K885" s="6">
        <f t="shared" si="117"/>
        <v>0</v>
      </c>
      <c r="L885" s="6">
        <f t="shared" si="118"/>
        <v>0</v>
      </c>
      <c r="M885" s="6">
        <f t="shared" si="119"/>
        <v>0</v>
      </c>
      <c r="N885" s="6" t="str">
        <f t="shared" si="121"/>
        <v>100PFA39-6200</v>
      </c>
      <c r="O885" s="6" t="str">
        <f t="shared" si="122"/>
        <v>SINGING THE CHICAGO BLUES</v>
      </c>
    </row>
    <row r="886" spans="8:15">
      <c r="H886">
        <f t="shared" si="115"/>
        <v>0</v>
      </c>
      <c r="I886" t="e">
        <f t="shared" si="120"/>
        <v>#VALUE!</v>
      </c>
      <c r="J886" s="6">
        <f t="shared" si="116"/>
        <v>0</v>
      </c>
      <c r="K886" s="6">
        <f t="shared" si="117"/>
        <v>0</v>
      </c>
      <c r="L886" s="6">
        <f t="shared" si="118"/>
        <v>0</v>
      </c>
      <c r="M886" s="6">
        <f t="shared" si="119"/>
        <v>0</v>
      </c>
      <c r="N886" s="6" t="str">
        <f t="shared" si="121"/>
        <v>100PFA39-6200</v>
      </c>
      <c r="O886" s="6" t="str">
        <f t="shared" si="122"/>
        <v>SINGING THE CHICAGO BLUES</v>
      </c>
    </row>
    <row r="887" spans="8:15">
      <c r="H887">
        <f t="shared" si="115"/>
        <v>0</v>
      </c>
      <c r="I887" t="e">
        <f t="shared" si="120"/>
        <v>#VALUE!</v>
      </c>
      <c r="J887" s="6">
        <f t="shared" si="116"/>
        <v>0</v>
      </c>
      <c r="K887" s="6">
        <f t="shared" si="117"/>
        <v>0</v>
      </c>
      <c r="L887" s="6">
        <f t="shared" si="118"/>
        <v>0</v>
      </c>
      <c r="M887" s="6">
        <f t="shared" si="119"/>
        <v>0</v>
      </c>
      <c r="N887" s="6" t="str">
        <f t="shared" si="121"/>
        <v>100PFA39-6200</v>
      </c>
      <c r="O887" s="6" t="str">
        <f t="shared" si="122"/>
        <v>SINGING THE CHICAGO BLUES</v>
      </c>
    </row>
    <row r="888" spans="8:15">
      <c r="H888">
        <f t="shared" si="115"/>
        <v>0</v>
      </c>
      <c r="I888" t="e">
        <f t="shared" si="120"/>
        <v>#VALUE!</v>
      </c>
      <c r="J888" s="6">
        <f t="shared" si="116"/>
        <v>0</v>
      </c>
      <c r="K888" s="6">
        <f t="shared" si="117"/>
        <v>0</v>
      </c>
      <c r="L888" s="6">
        <f t="shared" si="118"/>
        <v>0</v>
      </c>
      <c r="M888" s="6">
        <f t="shared" si="119"/>
        <v>0</v>
      </c>
      <c r="N888" s="6" t="str">
        <f t="shared" si="121"/>
        <v>100PFA39-6200</v>
      </c>
      <c r="O888" s="6" t="str">
        <f t="shared" si="122"/>
        <v>SINGING THE CHICAGO BLUES</v>
      </c>
    </row>
    <row r="889" spans="8:15">
      <c r="H889">
        <f t="shared" ref="H889:H893" si="123">A889</f>
        <v>0</v>
      </c>
      <c r="I889" t="e">
        <f t="shared" si="120"/>
        <v>#VALUE!</v>
      </c>
      <c r="J889" s="6">
        <f t="shared" ref="J889:J893" si="124">C889</f>
        <v>0</v>
      </c>
      <c r="K889" s="6">
        <f t="shared" ref="K889:K893" si="125">D889</f>
        <v>0</v>
      </c>
      <c r="L889" s="6">
        <f t="shared" ref="L889:L893" si="126">E889</f>
        <v>0</v>
      </c>
      <c r="M889" s="6">
        <f t="shared" ref="M889:M893" si="127">F889</f>
        <v>0</v>
      </c>
      <c r="N889" s="6" t="str">
        <f t="shared" si="121"/>
        <v>100PFA39-6200</v>
      </c>
      <c r="O889" s="6" t="str">
        <f t="shared" si="122"/>
        <v>SINGING THE CHICAGO BLUES</v>
      </c>
    </row>
    <row r="890" spans="8:15">
      <c r="H890">
        <f t="shared" si="123"/>
        <v>0</v>
      </c>
      <c r="I890" t="e">
        <f t="shared" si="120"/>
        <v>#VALUE!</v>
      </c>
      <c r="J890" s="6">
        <f t="shared" si="124"/>
        <v>0</v>
      </c>
      <c r="K890" s="6">
        <f t="shared" si="125"/>
        <v>0</v>
      </c>
      <c r="L890" s="6">
        <f t="shared" si="126"/>
        <v>0</v>
      </c>
      <c r="M890" s="6">
        <f t="shared" si="127"/>
        <v>0</v>
      </c>
      <c r="N890" s="6" t="str">
        <f t="shared" si="121"/>
        <v>100PFA39-6200</v>
      </c>
      <c r="O890" s="6" t="str">
        <f t="shared" si="122"/>
        <v>SINGING THE CHICAGO BLUES</v>
      </c>
    </row>
    <row r="891" spans="8:15">
      <c r="H891">
        <f t="shared" si="123"/>
        <v>0</v>
      </c>
      <c r="I891" t="e">
        <f t="shared" si="120"/>
        <v>#VALUE!</v>
      </c>
      <c r="J891" s="6">
        <f t="shared" si="124"/>
        <v>0</v>
      </c>
      <c r="K891" s="6">
        <f t="shared" si="125"/>
        <v>0</v>
      </c>
      <c r="L891" s="6">
        <f t="shared" si="126"/>
        <v>0</v>
      </c>
      <c r="M891" s="6">
        <f t="shared" si="127"/>
        <v>0</v>
      </c>
      <c r="N891" s="6" t="str">
        <f t="shared" si="121"/>
        <v>100PFA39-6200</v>
      </c>
      <c r="O891" s="6" t="str">
        <f t="shared" si="122"/>
        <v>SINGING THE CHICAGO BLUES</v>
      </c>
    </row>
    <row r="892" spans="8:15">
      <c r="H892">
        <f t="shared" si="123"/>
        <v>0</v>
      </c>
      <c r="I892" t="e">
        <f t="shared" si="120"/>
        <v>#VALUE!</v>
      </c>
      <c r="J892" s="6">
        <f t="shared" si="124"/>
        <v>0</v>
      </c>
      <c r="K892" s="6">
        <f t="shared" si="125"/>
        <v>0</v>
      </c>
      <c r="L892" s="6">
        <f t="shared" si="126"/>
        <v>0</v>
      </c>
      <c r="M892" s="6">
        <f t="shared" si="127"/>
        <v>0</v>
      </c>
      <c r="N892" s="6" t="str">
        <f t="shared" si="121"/>
        <v>100PFA39-6200</v>
      </c>
      <c r="O892" s="6" t="str">
        <f t="shared" si="122"/>
        <v>SINGING THE CHICAGO BLUES</v>
      </c>
    </row>
    <row r="893" spans="8:15">
      <c r="H893">
        <f t="shared" si="123"/>
        <v>0</v>
      </c>
      <c r="I893" t="e">
        <f t="shared" si="120"/>
        <v>#VALUE!</v>
      </c>
      <c r="J893" s="6">
        <f t="shared" si="124"/>
        <v>0</v>
      </c>
      <c r="K893" s="6">
        <f t="shared" si="125"/>
        <v>0</v>
      </c>
      <c r="L893" s="6">
        <f t="shared" si="126"/>
        <v>0</v>
      </c>
      <c r="M893" s="6">
        <f t="shared" si="127"/>
        <v>0</v>
      </c>
      <c r="N893" s="6" t="str">
        <f t="shared" si="121"/>
        <v>100PFA39-6200</v>
      </c>
      <c r="O893" s="6" t="str">
        <f t="shared" si="122"/>
        <v>SINGING THE CHICAGO BLUES</v>
      </c>
    </row>
    <row r="894" spans="8:15">
      <c r="H894">
        <f t="shared" ref="H894:H902" si="128">A894</f>
        <v>0</v>
      </c>
      <c r="I894" t="e">
        <f t="shared" si="120"/>
        <v>#VALUE!</v>
      </c>
      <c r="J894" s="6">
        <f t="shared" ref="J894:J902" si="129">C894</f>
        <v>0</v>
      </c>
      <c r="K894" s="6">
        <f t="shared" ref="K894:K902" si="130">D894</f>
        <v>0</v>
      </c>
      <c r="L894" s="6">
        <f t="shared" ref="L894:L902" si="131">E894</f>
        <v>0</v>
      </c>
      <c r="M894" s="6">
        <f t="shared" ref="M894:M902" si="132">F894</f>
        <v>0</v>
      </c>
      <c r="N894" s="6" t="str">
        <f t="shared" si="121"/>
        <v>100PFA39-6200</v>
      </c>
      <c r="O894" s="6" t="str">
        <f t="shared" si="122"/>
        <v>SINGING THE CHICAGO BLUES</v>
      </c>
    </row>
    <row r="895" spans="8:15">
      <c r="H895">
        <f t="shared" si="128"/>
        <v>0</v>
      </c>
      <c r="I895" t="e">
        <f t="shared" si="120"/>
        <v>#VALUE!</v>
      </c>
      <c r="J895" s="6">
        <f t="shared" si="129"/>
        <v>0</v>
      </c>
      <c r="K895" s="6">
        <f t="shared" si="130"/>
        <v>0</v>
      </c>
      <c r="L895" s="6">
        <f t="shared" si="131"/>
        <v>0</v>
      </c>
      <c r="M895" s="6">
        <f t="shared" si="132"/>
        <v>0</v>
      </c>
      <c r="N895" s="6" t="str">
        <f t="shared" si="121"/>
        <v>100PFA39-6200</v>
      </c>
      <c r="O895" s="6" t="str">
        <f t="shared" si="122"/>
        <v>SINGING THE CHICAGO BLUES</v>
      </c>
    </row>
    <row r="896" spans="8:15">
      <c r="H896">
        <f t="shared" si="128"/>
        <v>0</v>
      </c>
      <c r="I896" t="e">
        <f t="shared" si="120"/>
        <v>#VALUE!</v>
      </c>
      <c r="J896" s="6">
        <f t="shared" si="129"/>
        <v>0</v>
      </c>
      <c r="K896" s="6">
        <f t="shared" si="130"/>
        <v>0</v>
      </c>
      <c r="L896" s="6">
        <f t="shared" si="131"/>
        <v>0</v>
      </c>
      <c r="M896" s="6">
        <f t="shared" si="132"/>
        <v>0</v>
      </c>
      <c r="N896" s="6" t="str">
        <f t="shared" si="121"/>
        <v>100PFA39-6200</v>
      </c>
      <c r="O896" s="6" t="str">
        <f t="shared" si="122"/>
        <v>SINGING THE CHICAGO BLUES</v>
      </c>
    </row>
    <row r="897" spans="8:15">
      <c r="H897">
        <f t="shared" si="128"/>
        <v>0</v>
      </c>
      <c r="I897" t="e">
        <f t="shared" si="120"/>
        <v>#VALUE!</v>
      </c>
      <c r="J897" s="6">
        <f t="shared" si="129"/>
        <v>0</v>
      </c>
      <c r="K897" s="6">
        <f t="shared" si="130"/>
        <v>0</v>
      </c>
      <c r="L897" s="6">
        <f t="shared" si="131"/>
        <v>0</v>
      </c>
      <c r="M897" s="6">
        <f t="shared" si="132"/>
        <v>0</v>
      </c>
      <c r="N897" s="6" t="str">
        <f t="shared" si="121"/>
        <v>100PFA39-6200</v>
      </c>
      <c r="O897" s="6" t="str">
        <f t="shared" si="122"/>
        <v>SINGING THE CHICAGO BLUES</v>
      </c>
    </row>
    <row r="898" spans="8:15">
      <c r="H898">
        <f t="shared" si="128"/>
        <v>0</v>
      </c>
      <c r="I898" t="e">
        <f t="shared" si="120"/>
        <v>#VALUE!</v>
      </c>
      <c r="J898" s="6">
        <f t="shared" si="129"/>
        <v>0</v>
      </c>
      <c r="K898" s="6">
        <f t="shared" si="130"/>
        <v>0</v>
      </c>
      <c r="L898" s="6">
        <f t="shared" si="131"/>
        <v>0</v>
      </c>
      <c r="M898" s="6">
        <f t="shared" si="132"/>
        <v>0</v>
      </c>
      <c r="N898" s="6" t="str">
        <f t="shared" si="121"/>
        <v>100PFA39-6200</v>
      </c>
      <c r="O898" s="6" t="str">
        <f t="shared" si="122"/>
        <v>SINGING THE CHICAGO BLUES</v>
      </c>
    </row>
    <row r="899" spans="8:15">
      <c r="H899">
        <f t="shared" si="128"/>
        <v>0</v>
      </c>
      <c r="I899" t="e">
        <f t="shared" si="120"/>
        <v>#VALUE!</v>
      </c>
      <c r="J899" s="6">
        <f t="shared" si="129"/>
        <v>0</v>
      </c>
      <c r="K899" s="6">
        <f t="shared" si="130"/>
        <v>0</v>
      </c>
      <c r="L899" s="6">
        <f t="shared" si="131"/>
        <v>0</v>
      </c>
      <c r="M899" s="6">
        <f t="shared" si="132"/>
        <v>0</v>
      </c>
      <c r="N899" s="6" t="str">
        <f t="shared" si="121"/>
        <v>100PFA39-6200</v>
      </c>
      <c r="O899" s="6" t="str">
        <f t="shared" si="122"/>
        <v>SINGING THE CHICAGO BLUES</v>
      </c>
    </row>
    <row r="900" spans="8:15">
      <c r="H900">
        <f t="shared" si="128"/>
        <v>0</v>
      </c>
      <c r="I900" t="e">
        <f t="shared" si="120"/>
        <v>#VALUE!</v>
      </c>
      <c r="J900" s="6">
        <f t="shared" si="129"/>
        <v>0</v>
      </c>
      <c r="K900" s="6">
        <f t="shared" si="130"/>
        <v>0</v>
      </c>
      <c r="L900" s="6">
        <f t="shared" si="131"/>
        <v>0</v>
      </c>
      <c r="M900" s="6">
        <f t="shared" si="132"/>
        <v>0</v>
      </c>
      <c r="N900" s="6" t="str">
        <f t="shared" si="121"/>
        <v>100PFA39-6200</v>
      </c>
      <c r="O900" s="6" t="str">
        <f t="shared" si="122"/>
        <v>SINGING THE CHICAGO BLUES</v>
      </c>
    </row>
    <row r="901" spans="8:15">
      <c r="H901">
        <f t="shared" si="128"/>
        <v>0</v>
      </c>
      <c r="I901" t="e">
        <f t="shared" si="120"/>
        <v>#VALUE!</v>
      </c>
      <c r="J901" s="6">
        <f t="shared" si="129"/>
        <v>0</v>
      </c>
      <c r="K901" s="6">
        <f t="shared" si="130"/>
        <v>0</v>
      </c>
      <c r="L901" s="6">
        <f t="shared" si="131"/>
        <v>0</v>
      </c>
      <c r="M901" s="6">
        <f t="shared" si="132"/>
        <v>0</v>
      </c>
      <c r="N901" s="6" t="str">
        <f t="shared" si="121"/>
        <v>100PFA39-6200</v>
      </c>
      <c r="O901" s="6" t="str">
        <f t="shared" si="122"/>
        <v>SINGING THE CHICAGO BLUES</v>
      </c>
    </row>
    <row r="902" spans="8:15">
      <c r="H902">
        <f t="shared" si="128"/>
        <v>0</v>
      </c>
      <c r="I902" t="e">
        <f t="shared" si="120"/>
        <v>#VALUE!</v>
      </c>
      <c r="J902" s="6">
        <f t="shared" si="129"/>
        <v>0</v>
      </c>
      <c r="K902" s="6">
        <f t="shared" si="130"/>
        <v>0</v>
      </c>
      <c r="L902" s="6">
        <f t="shared" si="131"/>
        <v>0</v>
      </c>
      <c r="M902" s="6">
        <f t="shared" si="132"/>
        <v>0</v>
      </c>
      <c r="N902" s="6" t="str">
        <f t="shared" si="121"/>
        <v>100PFA39-6200</v>
      </c>
      <c r="O902" s="6" t="str">
        <f t="shared" si="122"/>
        <v>SINGING THE CHICAGO BLUES</v>
      </c>
    </row>
    <row r="903" spans="8:15">
      <c r="H903">
        <f t="shared" ref="H903:H966" si="133">A903</f>
        <v>0</v>
      </c>
      <c r="I903" t="e">
        <f t="shared" ref="I903:I966" si="134">IFERROR(IF(SEARCH(" &lt;-",B903,1),LEFT(B903,SEARCH(" ",B903,1)-1),""),LEFT(B903,SEARCH("View",B903,1)-1))</f>
        <v>#VALUE!</v>
      </c>
      <c r="J903" s="6">
        <f t="shared" ref="J903:J966" si="135">C903</f>
        <v>0</v>
      </c>
      <c r="K903" s="6">
        <f t="shared" ref="K903:K966" si="136">D903</f>
        <v>0</v>
      </c>
      <c r="L903" s="6">
        <f t="shared" ref="L903:L966" si="137">E903</f>
        <v>0</v>
      </c>
      <c r="M903" s="6">
        <f t="shared" ref="M903:M966" si="138">F903</f>
        <v>0</v>
      </c>
      <c r="N903" s="6" t="str">
        <f t="shared" si="121"/>
        <v>100PFA39-6200</v>
      </c>
      <c r="O903" s="6" t="str">
        <f t="shared" si="122"/>
        <v>SINGING THE CHICAGO BLUES</v>
      </c>
    </row>
    <row r="904" spans="8:15">
      <c r="H904">
        <f t="shared" si="133"/>
        <v>0</v>
      </c>
      <c r="I904" t="e">
        <f t="shared" si="134"/>
        <v>#VALUE!</v>
      </c>
      <c r="J904" s="6">
        <f t="shared" si="135"/>
        <v>0</v>
      </c>
      <c r="K904" s="6">
        <f t="shared" si="136"/>
        <v>0</v>
      </c>
      <c r="L904" s="6">
        <f t="shared" si="137"/>
        <v>0</v>
      </c>
      <c r="M904" s="6">
        <f t="shared" si="138"/>
        <v>0</v>
      </c>
      <c r="N904" s="6" t="str">
        <f t="shared" ref="N904:N967" si="139">TRIM($B$1)</f>
        <v>100PFA39-6200</v>
      </c>
      <c r="O904" s="6" t="str">
        <f t="shared" ref="O904:O967" si="140">TRIM($C$1)</f>
        <v>SINGING THE CHICAGO BLUES</v>
      </c>
    </row>
    <row r="905" spans="8:15">
      <c r="H905">
        <f t="shared" si="133"/>
        <v>0</v>
      </c>
      <c r="I905" t="e">
        <f t="shared" si="134"/>
        <v>#VALUE!</v>
      </c>
      <c r="J905" s="6">
        <f t="shared" si="135"/>
        <v>0</v>
      </c>
      <c r="K905" s="6">
        <f t="shared" si="136"/>
        <v>0</v>
      </c>
      <c r="L905" s="6">
        <f t="shared" si="137"/>
        <v>0</v>
      </c>
      <c r="M905" s="6">
        <f t="shared" si="138"/>
        <v>0</v>
      </c>
      <c r="N905" s="6" t="str">
        <f t="shared" si="139"/>
        <v>100PFA39-6200</v>
      </c>
      <c r="O905" s="6" t="str">
        <f t="shared" si="140"/>
        <v>SINGING THE CHICAGO BLUES</v>
      </c>
    </row>
    <row r="906" spans="8:15">
      <c r="H906">
        <f t="shared" si="133"/>
        <v>0</v>
      </c>
      <c r="I906" t="e">
        <f t="shared" si="134"/>
        <v>#VALUE!</v>
      </c>
      <c r="J906" s="6">
        <f t="shared" si="135"/>
        <v>0</v>
      </c>
      <c r="K906" s="6">
        <f t="shared" si="136"/>
        <v>0</v>
      </c>
      <c r="L906" s="6">
        <f t="shared" si="137"/>
        <v>0</v>
      </c>
      <c r="M906" s="6">
        <f t="shared" si="138"/>
        <v>0</v>
      </c>
      <c r="N906" s="6" t="str">
        <f t="shared" si="139"/>
        <v>100PFA39-6200</v>
      </c>
      <c r="O906" s="6" t="str">
        <f t="shared" si="140"/>
        <v>SINGING THE CHICAGO BLUES</v>
      </c>
    </row>
    <row r="907" spans="8:15">
      <c r="H907">
        <f t="shared" si="133"/>
        <v>0</v>
      </c>
      <c r="I907" t="e">
        <f t="shared" si="134"/>
        <v>#VALUE!</v>
      </c>
      <c r="J907" s="6">
        <f t="shared" si="135"/>
        <v>0</v>
      </c>
      <c r="K907" s="6">
        <f t="shared" si="136"/>
        <v>0</v>
      </c>
      <c r="L907" s="6">
        <f t="shared" si="137"/>
        <v>0</v>
      </c>
      <c r="M907" s="6">
        <f t="shared" si="138"/>
        <v>0</v>
      </c>
      <c r="N907" s="6" t="str">
        <f t="shared" si="139"/>
        <v>100PFA39-6200</v>
      </c>
      <c r="O907" s="6" t="str">
        <f t="shared" si="140"/>
        <v>SINGING THE CHICAGO BLUES</v>
      </c>
    </row>
    <row r="908" spans="8:15">
      <c r="H908">
        <f t="shared" si="133"/>
        <v>0</v>
      </c>
      <c r="I908" t="e">
        <f t="shared" si="134"/>
        <v>#VALUE!</v>
      </c>
      <c r="J908" s="6">
        <f t="shared" si="135"/>
        <v>0</v>
      </c>
      <c r="K908" s="6">
        <f t="shared" si="136"/>
        <v>0</v>
      </c>
      <c r="L908" s="6">
        <f t="shared" si="137"/>
        <v>0</v>
      </c>
      <c r="M908" s="6">
        <f t="shared" si="138"/>
        <v>0</v>
      </c>
      <c r="N908" s="6" t="str">
        <f t="shared" si="139"/>
        <v>100PFA39-6200</v>
      </c>
      <c r="O908" s="6" t="str">
        <f t="shared" si="140"/>
        <v>SINGING THE CHICAGO BLUES</v>
      </c>
    </row>
    <row r="909" spans="8:15">
      <c r="H909">
        <f t="shared" si="133"/>
        <v>0</v>
      </c>
      <c r="I909" t="e">
        <f t="shared" si="134"/>
        <v>#VALUE!</v>
      </c>
      <c r="J909" s="6">
        <f t="shared" si="135"/>
        <v>0</v>
      </c>
      <c r="K909" s="6">
        <f t="shared" si="136"/>
        <v>0</v>
      </c>
      <c r="L909" s="6">
        <f t="shared" si="137"/>
        <v>0</v>
      </c>
      <c r="M909" s="6">
        <f t="shared" si="138"/>
        <v>0</v>
      </c>
      <c r="N909" s="6" t="str">
        <f t="shared" si="139"/>
        <v>100PFA39-6200</v>
      </c>
      <c r="O909" s="6" t="str">
        <f t="shared" si="140"/>
        <v>SINGING THE CHICAGO BLUES</v>
      </c>
    </row>
    <row r="910" spans="8:15">
      <c r="H910">
        <f t="shared" si="133"/>
        <v>0</v>
      </c>
      <c r="I910" t="e">
        <f t="shared" si="134"/>
        <v>#VALUE!</v>
      </c>
      <c r="J910" s="6">
        <f t="shared" si="135"/>
        <v>0</v>
      </c>
      <c r="K910" s="6">
        <f t="shared" si="136"/>
        <v>0</v>
      </c>
      <c r="L910" s="6">
        <f t="shared" si="137"/>
        <v>0</v>
      </c>
      <c r="M910" s="6">
        <f t="shared" si="138"/>
        <v>0</v>
      </c>
      <c r="N910" s="6" t="str">
        <f t="shared" si="139"/>
        <v>100PFA39-6200</v>
      </c>
      <c r="O910" s="6" t="str">
        <f t="shared" si="140"/>
        <v>SINGING THE CHICAGO BLUES</v>
      </c>
    </row>
    <row r="911" spans="8:15">
      <c r="H911">
        <f t="shared" si="133"/>
        <v>0</v>
      </c>
      <c r="I911" t="e">
        <f t="shared" si="134"/>
        <v>#VALUE!</v>
      </c>
      <c r="J911" s="6">
        <f t="shared" si="135"/>
        <v>0</v>
      </c>
      <c r="K911" s="6">
        <f t="shared" si="136"/>
        <v>0</v>
      </c>
      <c r="L911" s="6">
        <f t="shared" si="137"/>
        <v>0</v>
      </c>
      <c r="M911" s="6">
        <f t="shared" si="138"/>
        <v>0</v>
      </c>
      <c r="N911" s="6" t="str">
        <f t="shared" si="139"/>
        <v>100PFA39-6200</v>
      </c>
      <c r="O911" s="6" t="str">
        <f t="shared" si="140"/>
        <v>SINGING THE CHICAGO BLUES</v>
      </c>
    </row>
    <row r="912" spans="8:15">
      <c r="H912">
        <f t="shared" si="133"/>
        <v>0</v>
      </c>
      <c r="I912" t="e">
        <f t="shared" si="134"/>
        <v>#VALUE!</v>
      </c>
      <c r="J912" s="6">
        <f t="shared" si="135"/>
        <v>0</v>
      </c>
      <c r="K912" s="6">
        <f t="shared" si="136"/>
        <v>0</v>
      </c>
      <c r="L912" s="6">
        <f t="shared" si="137"/>
        <v>0</v>
      </c>
      <c r="M912" s="6">
        <f t="shared" si="138"/>
        <v>0</v>
      </c>
      <c r="N912" s="6" t="str">
        <f t="shared" si="139"/>
        <v>100PFA39-6200</v>
      </c>
      <c r="O912" s="6" t="str">
        <f t="shared" si="140"/>
        <v>SINGING THE CHICAGO BLUES</v>
      </c>
    </row>
    <row r="913" spans="8:15">
      <c r="H913">
        <f t="shared" si="133"/>
        <v>0</v>
      </c>
      <c r="I913" t="e">
        <f t="shared" si="134"/>
        <v>#VALUE!</v>
      </c>
      <c r="J913" s="6">
        <f t="shared" si="135"/>
        <v>0</v>
      </c>
      <c r="K913" s="6">
        <f t="shared" si="136"/>
        <v>0</v>
      </c>
      <c r="L913" s="6">
        <f t="shared" si="137"/>
        <v>0</v>
      </c>
      <c r="M913" s="6">
        <f t="shared" si="138"/>
        <v>0</v>
      </c>
      <c r="N913" s="6" t="str">
        <f t="shared" si="139"/>
        <v>100PFA39-6200</v>
      </c>
      <c r="O913" s="6" t="str">
        <f t="shared" si="140"/>
        <v>SINGING THE CHICAGO BLUES</v>
      </c>
    </row>
    <row r="914" spans="8:15">
      <c r="H914">
        <f t="shared" si="133"/>
        <v>0</v>
      </c>
      <c r="I914" t="e">
        <f t="shared" si="134"/>
        <v>#VALUE!</v>
      </c>
      <c r="J914" s="6">
        <f t="shared" si="135"/>
        <v>0</v>
      </c>
      <c r="K914" s="6">
        <f t="shared" si="136"/>
        <v>0</v>
      </c>
      <c r="L914" s="6">
        <f t="shared" si="137"/>
        <v>0</v>
      </c>
      <c r="M914" s="6">
        <f t="shared" si="138"/>
        <v>0</v>
      </c>
      <c r="N914" s="6" t="str">
        <f t="shared" si="139"/>
        <v>100PFA39-6200</v>
      </c>
      <c r="O914" s="6" t="str">
        <f t="shared" si="140"/>
        <v>SINGING THE CHICAGO BLUES</v>
      </c>
    </row>
    <row r="915" spans="8:15">
      <c r="H915">
        <f t="shared" si="133"/>
        <v>0</v>
      </c>
      <c r="I915" t="e">
        <f t="shared" si="134"/>
        <v>#VALUE!</v>
      </c>
      <c r="J915" s="6">
        <f t="shared" si="135"/>
        <v>0</v>
      </c>
      <c r="K915" s="6">
        <f t="shared" si="136"/>
        <v>0</v>
      </c>
      <c r="L915" s="6">
        <f t="shared" si="137"/>
        <v>0</v>
      </c>
      <c r="M915" s="6">
        <f t="shared" si="138"/>
        <v>0</v>
      </c>
      <c r="N915" s="6" t="str">
        <f t="shared" si="139"/>
        <v>100PFA39-6200</v>
      </c>
      <c r="O915" s="6" t="str">
        <f t="shared" si="140"/>
        <v>SINGING THE CHICAGO BLUES</v>
      </c>
    </row>
    <row r="916" spans="8:15">
      <c r="H916">
        <f t="shared" si="133"/>
        <v>0</v>
      </c>
      <c r="I916" t="e">
        <f t="shared" si="134"/>
        <v>#VALUE!</v>
      </c>
      <c r="J916" s="6">
        <f t="shared" si="135"/>
        <v>0</v>
      </c>
      <c r="K916" s="6">
        <f t="shared" si="136"/>
        <v>0</v>
      </c>
      <c r="L916" s="6">
        <f t="shared" si="137"/>
        <v>0</v>
      </c>
      <c r="M916" s="6">
        <f t="shared" si="138"/>
        <v>0</v>
      </c>
      <c r="N916" s="6" t="str">
        <f t="shared" si="139"/>
        <v>100PFA39-6200</v>
      </c>
      <c r="O916" s="6" t="str">
        <f t="shared" si="140"/>
        <v>SINGING THE CHICAGO BLUES</v>
      </c>
    </row>
    <row r="917" spans="8:15">
      <c r="H917">
        <f t="shared" si="133"/>
        <v>0</v>
      </c>
      <c r="I917" t="e">
        <f t="shared" si="134"/>
        <v>#VALUE!</v>
      </c>
      <c r="J917" s="6">
        <f t="shared" si="135"/>
        <v>0</v>
      </c>
      <c r="K917" s="6">
        <f t="shared" si="136"/>
        <v>0</v>
      </c>
      <c r="L917" s="6">
        <f t="shared" si="137"/>
        <v>0</v>
      </c>
      <c r="M917" s="6">
        <f t="shared" si="138"/>
        <v>0</v>
      </c>
      <c r="N917" s="6" t="str">
        <f t="shared" si="139"/>
        <v>100PFA39-6200</v>
      </c>
      <c r="O917" s="6" t="str">
        <f t="shared" si="140"/>
        <v>SINGING THE CHICAGO BLUES</v>
      </c>
    </row>
    <row r="918" spans="8:15">
      <c r="H918">
        <f t="shared" si="133"/>
        <v>0</v>
      </c>
      <c r="I918" t="e">
        <f t="shared" si="134"/>
        <v>#VALUE!</v>
      </c>
      <c r="J918" s="6">
        <f t="shared" si="135"/>
        <v>0</v>
      </c>
      <c r="K918" s="6">
        <f t="shared" si="136"/>
        <v>0</v>
      </c>
      <c r="L918" s="6">
        <f t="shared" si="137"/>
        <v>0</v>
      </c>
      <c r="M918" s="6">
        <f t="shared" si="138"/>
        <v>0</v>
      </c>
      <c r="N918" s="6" t="str">
        <f t="shared" si="139"/>
        <v>100PFA39-6200</v>
      </c>
      <c r="O918" s="6" t="str">
        <f t="shared" si="140"/>
        <v>SINGING THE CHICAGO BLUES</v>
      </c>
    </row>
    <row r="919" spans="8:15">
      <c r="H919">
        <f t="shared" si="133"/>
        <v>0</v>
      </c>
      <c r="I919" t="e">
        <f t="shared" si="134"/>
        <v>#VALUE!</v>
      </c>
      <c r="J919" s="6">
        <f t="shared" si="135"/>
        <v>0</v>
      </c>
      <c r="K919" s="6">
        <f t="shared" si="136"/>
        <v>0</v>
      </c>
      <c r="L919" s="6">
        <f t="shared" si="137"/>
        <v>0</v>
      </c>
      <c r="M919" s="6">
        <f t="shared" si="138"/>
        <v>0</v>
      </c>
      <c r="N919" s="6" t="str">
        <f t="shared" si="139"/>
        <v>100PFA39-6200</v>
      </c>
      <c r="O919" s="6" t="str">
        <f t="shared" si="140"/>
        <v>SINGING THE CHICAGO BLUES</v>
      </c>
    </row>
    <row r="920" spans="8:15">
      <c r="H920">
        <f t="shared" si="133"/>
        <v>0</v>
      </c>
      <c r="I920" t="e">
        <f t="shared" si="134"/>
        <v>#VALUE!</v>
      </c>
      <c r="J920" s="6">
        <f t="shared" si="135"/>
        <v>0</v>
      </c>
      <c r="K920" s="6">
        <f t="shared" si="136"/>
        <v>0</v>
      </c>
      <c r="L920" s="6">
        <f t="shared" si="137"/>
        <v>0</v>
      </c>
      <c r="M920" s="6">
        <f t="shared" si="138"/>
        <v>0</v>
      </c>
      <c r="N920" s="6" t="str">
        <f t="shared" si="139"/>
        <v>100PFA39-6200</v>
      </c>
      <c r="O920" s="6" t="str">
        <f t="shared" si="140"/>
        <v>SINGING THE CHICAGO BLUES</v>
      </c>
    </row>
    <row r="921" spans="8:15">
      <c r="H921">
        <f t="shared" si="133"/>
        <v>0</v>
      </c>
      <c r="I921" t="e">
        <f t="shared" si="134"/>
        <v>#VALUE!</v>
      </c>
      <c r="J921" s="6">
        <f t="shared" si="135"/>
        <v>0</v>
      </c>
      <c r="K921" s="6">
        <f t="shared" si="136"/>
        <v>0</v>
      </c>
      <c r="L921" s="6">
        <f t="shared" si="137"/>
        <v>0</v>
      </c>
      <c r="M921" s="6">
        <f t="shared" si="138"/>
        <v>0</v>
      </c>
      <c r="N921" s="6" t="str">
        <f t="shared" si="139"/>
        <v>100PFA39-6200</v>
      </c>
      <c r="O921" s="6" t="str">
        <f t="shared" si="140"/>
        <v>SINGING THE CHICAGO BLUES</v>
      </c>
    </row>
    <row r="922" spans="8:15">
      <c r="H922">
        <f t="shared" si="133"/>
        <v>0</v>
      </c>
      <c r="I922" t="e">
        <f t="shared" si="134"/>
        <v>#VALUE!</v>
      </c>
      <c r="J922" s="6">
        <f t="shared" si="135"/>
        <v>0</v>
      </c>
      <c r="K922" s="6">
        <f t="shared" si="136"/>
        <v>0</v>
      </c>
      <c r="L922" s="6">
        <f t="shared" si="137"/>
        <v>0</v>
      </c>
      <c r="M922" s="6">
        <f t="shared" si="138"/>
        <v>0</v>
      </c>
      <c r="N922" s="6" t="str">
        <f t="shared" si="139"/>
        <v>100PFA39-6200</v>
      </c>
      <c r="O922" s="6" t="str">
        <f t="shared" si="140"/>
        <v>SINGING THE CHICAGO BLUES</v>
      </c>
    </row>
    <row r="923" spans="8:15">
      <c r="H923">
        <f t="shared" si="133"/>
        <v>0</v>
      </c>
      <c r="I923" t="e">
        <f t="shared" si="134"/>
        <v>#VALUE!</v>
      </c>
      <c r="J923" s="6">
        <f t="shared" si="135"/>
        <v>0</v>
      </c>
      <c r="K923" s="6">
        <f t="shared" si="136"/>
        <v>0</v>
      </c>
      <c r="L923" s="6">
        <f t="shared" si="137"/>
        <v>0</v>
      </c>
      <c r="M923" s="6">
        <f t="shared" si="138"/>
        <v>0</v>
      </c>
      <c r="N923" s="6" t="str">
        <f t="shared" si="139"/>
        <v>100PFA39-6200</v>
      </c>
      <c r="O923" s="6" t="str">
        <f t="shared" si="140"/>
        <v>SINGING THE CHICAGO BLUES</v>
      </c>
    </row>
    <row r="924" spans="8:15">
      <c r="H924">
        <f t="shared" si="133"/>
        <v>0</v>
      </c>
      <c r="I924" t="e">
        <f t="shared" si="134"/>
        <v>#VALUE!</v>
      </c>
      <c r="J924" s="6">
        <f t="shared" si="135"/>
        <v>0</v>
      </c>
      <c r="K924" s="6">
        <f t="shared" si="136"/>
        <v>0</v>
      </c>
      <c r="L924" s="6">
        <f t="shared" si="137"/>
        <v>0</v>
      </c>
      <c r="M924" s="6">
        <f t="shared" si="138"/>
        <v>0</v>
      </c>
      <c r="N924" s="6" t="str">
        <f t="shared" si="139"/>
        <v>100PFA39-6200</v>
      </c>
      <c r="O924" s="6" t="str">
        <f t="shared" si="140"/>
        <v>SINGING THE CHICAGO BLUES</v>
      </c>
    </row>
    <row r="925" spans="8:15">
      <c r="H925">
        <f t="shared" si="133"/>
        <v>0</v>
      </c>
      <c r="I925" t="e">
        <f t="shared" si="134"/>
        <v>#VALUE!</v>
      </c>
      <c r="J925" s="6">
        <f t="shared" si="135"/>
        <v>0</v>
      </c>
      <c r="K925" s="6">
        <f t="shared" si="136"/>
        <v>0</v>
      </c>
      <c r="L925" s="6">
        <f t="shared" si="137"/>
        <v>0</v>
      </c>
      <c r="M925" s="6">
        <f t="shared" si="138"/>
        <v>0</v>
      </c>
      <c r="N925" s="6" t="str">
        <f t="shared" si="139"/>
        <v>100PFA39-6200</v>
      </c>
      <c r="O925" s="6" t="str">
        <f t="shared" si="140"/>
        <v>SINGING THE CHICAGO BLUES</v>
      </c>
    </row>
    <row r="926" spans="8:15">
      <c r="H926">
        <f t="shared" si="133"/>
        <v>0</v>
      </c>
      <c r="I926" t="e">
        <f t="shared" si="134"/>
        <v>#VALUE!</v>
      </c>
      <c r="J926" s="6">
        <f t="shared" si="135"/>
        <v>0</v>
      </c>
      <c r="K926" s="6">
        <f t="shared" si="136"/>
        <v>0</v>
      </c>
      <c r="L926" s="6">
        <f t="shared" si="137"/>
        <v>0</v>
      </c>
      <c r="M926" s="6">
        <f t="shared" si="138"/>
        <v>0</v>
      </c>
      <c r="N926" s="6" t="str">
        <f t="shared" si="139"/>
        <v>100PFA39-6200</v>
      </c>
      <c r="O926" s="6" t="str">
        <f t="shared" si="140"/>
        <v>SINGING THE CHICAGO BLUES</v>
      </c>
    </row>
    <row r="927" spans="8:15">
      <c r="H927">
        <f t="shared" si="133"/>
        <v>0</v>
      </c>
      <c r="I927" t="e">
        <f t="shared" si="134"/>
        <v>#VALUE!</v>
      </c>
      <c r="J927" s="6">
        <f t="shared" si="135"/>
        <v>0</v>
      </c>
      <c r="K927" s="6">
        <f t="shared" si="136"/>
        <v>0</v>
      </c>
      <c r="L927" s="6">
        <f t="shared" si="137"/>
        <v>0</v>
      </c>
      <c r="M927" s="6">
        <f t="shared" si="138"/>
        <v>0</v>
      </c>
      <c r="N927" s="6" t="str">
        <f t="shared" si="139"/>
        <v>100PFA39-6200</v>
      </c>
      <c r="O927" s="6" t="str">
        <f t="shared" si="140"/>
        <v>SINGING THE CHICAGO BLUES</v>
      </c>
    </row>
    <row r="928" spans="8:15">
      <c r="H928">
        <f t="shared" si="133"/>
        <v>0</v>
      </c>
      <c r="I928" t="e">
        <f t="shared" si="134"/>
        <v>#VALUE!</v>
      </c>
      <c r="J928" s="6">
        <f t="shared" si="135"/>
        <v>0</v>
      </c>
      <c r="K928" s="6">
        <f t="shared" si="136"/>
        <v>0</v>
      </c>
      <c r="L928" s="6">
        <f t="shared" si="137"/>
        <v>0</v>
      </c>
      <c r="M928" s="6">
        <f t="shared" si="138"/>
        <v>0</v>
      </c>
      <c r="N928" s="6" t="str">
        <f t="shared" si="139"/>
        <v>100PFA39-6200</v>
      </c>
      <c r="O928" s="6" t="str">
        <f t="shared" si="140"/>
        <v>SINGING THE CHICAGO BLUES</v>
      </c>
    </row>
    <row r="929" spans="8:15">
      <c r="H929">
        <f t="shared" si="133"/>
        <v>0</v>
      </c>
      <c r="I929" t="e">
        <f t="shared" si="134"/>
        <v>#VALUE!</v>
      </c>
      <c r="J929" s="6">
        <f t="shared" si="135"/>
        <v>0</v>
      </c>
      <c r="K929" s="6">
        <f t="shared" si="136"/>
        <v>0</v>
      </c>
      <c r="L929" s="6">
        <f t="shared" si="137"/>
        <v>0</v>
      </c>
      <c r="M929" s="6">
        <f t="shared" si="138"/>
        <v>0</v>
      </c>
      <c r="N929" s="6" t="str">
        <f t="shared" si="139"/>
        <v>100PFA39-6200</v>
      </c>
      <c r="O929" s="6" t="str">
        <f t="shared" si="140"/>
        <v>SINGING THE CHICAGO BLUES</v>
      </c>
    </row>
    <row r="930" spans="8:15">
      <c r="H930">
        <f t="shared" si="133"/>
        <v>0</v>
      </c>
      <c r="I930" t="e">
        <f t="shared" si="134"/>
        <v>#VALUE!</v>
      </c>
      <c r="J930" s="6">
        <f t="shared" si="135"/>
        <v>0</v>
      </c>
      <c r="K930" s="6">
        <f t="shared" si="136"/>
        <v>0</v>
      </c>
      <c r="L930" s="6">
        <f t="shared" si="137"/>
        <v>0</v>
      </c>
      <c r="M930" s="6">
        <f t="shared" si="138"/>
        <v>0</v>
      </c>
      <c r="N930" s="6" t="str">
        <f t="shared" si="139"/>
        <v>100PFA39-6200</v>
      </c>
      <c r="O930" s="6" t="str">
        <f t="shared" si="140"/>
        <v>SINGING THE CHICAGO BLUES</v>
      </c>
    </row>
    <row r="931" spans="8:15">
      <c r="H931">
        <f t="shared" si="133"/>
        <v>0</v>
      </c>
      <c r="I931" t="e">
        <f t="shared" si="134"/>
        <v>#VALUE!</v>
      </c>
      <c r="J931" s="6">
        <f t="shared" si="135"/>
        <v>0</v>
      </c>
      <c r="K931" s="6">
        <f t="shared" si="136"/>
        <v>0</v>
      </c>
      <c r="L931" s="6">
        <f t="shared" si="137"/>
        <v>0</v>
      </c>
      <c r="M931" s="6">
        <f t="shared" si="138"/>
        <v>0</v>
      </c>
      <c r="N931" s="6" t="str">
        <f t="shared" si="139"/>
        <v>100PFA39-6200</v>
      </c>
      <c r="O931" s="6" t="str">
        <f t="shared" si="140"/>
        <v>SINGING THE CHICAGO BLUES</v>
      </c>
    </row>
    <row r="932" spans="8:15">
      <c r="H932">
        <f t="shared" si="133"/>
        <v>0</v>
      </c>
      <c r="I932" t="e">
        <f t="shared" si="134"/>
        <v>#VALUE!</v>
      </c>
      <c r="J932" s="6">
        <f t="shared" si="135"/>
        <v>0</v>
      </c>
      <c r="K932" s="6">
        <f t="shared" si="136"/>
        <v>0</v>
      </c>
      <c r="L932" s="6">
        <f t="shared" si="137"/>
        <v>0</v>
      </c>
      <c r="M932" s="6">
        <f t="shared" si="138"/>
        <v>0</v>
      </c>
      <c r="N932" s="6" t="str">
        <f t="shared" si="139"/>
        <v>100PFA39-6200</v>
      </c>
      <c r="O932" s="6" t="str">
        <f t="shared" si="140"/>
        <v>SINGING THE CHICAGO BLUES</v>
      </c>
    </row>
    <row r="933" spans="8:15">
      <c r="H933">
        <f t="shared" si="133"/>
        <v>0</v>
      </c>
      <c r="I933" t="e">
        <f t="shared" si="134"/>
        <v>#VALUE!</v>
      </c>
      <c r="J933" s="6">
        <f t="shared" si="135"/>
        <v>0</v>
      </c>
      <c r="K933" s="6">
        <f t="shared" si="136"/>
        <v>0</v>
      </c>
      <c r="L933" s="6">
        <f t="shared" si="137"/>
        <v>0</v>
      </c>
      <c r="M933" s="6">
        <f t="shared" si="138"/>
        <v>0</v>
      </c>
      <c r="N933" s="6" t="str">
        <f t="shared" si="139"/>
        <v>100PFA39-6200</v>
      </c>
      <c r="O933" s="6" t="str">
        <f t="shared" si="140"/>
        <v>SINGING THE CHICAGO BLUES</v>
      </c>
    </row>
    <row r="934" spans="8:15">
      <c r="H934">
        <f t="shared" si="133"/>
        <v>0</v>
      </c>
      <c r="I934" t="e">
        <f t="shared" si="134"/>
        <v>#VALUE!</v>
      </c>
      <c r="J934" s="6">
        <f t="shared" si="135"/>
        <v>0</v>
      </c>
      <c r="K934" s="6">
        <f t="shared" si="136"/>
        <v>0</v>
      </c>
      <c r="L934" s="6">
        <f t="shared" si="137"/>
        <v>0</v>
      </c>
      <c r="M934" s="6">
        <f t="shared" si="138"/>
        <v>0</v>
      </c>
      <c r="N934" s="6" t="str">
        <f t="shared" si="139"/>
        <v>100PFA39-6200</v>
      </c>
      <c r="O934" s="6" t="str">
        <f t="shared" si="140"/>
        <v>SINGING THE CHICAGO BLUES</v>
      </c>
    </row>
    <row r="935" spans="8:15">
      <c r="H935">
        <f t="shared" si="133"/>
        <v>0</v>
      </c>
      <c r="I935" t="e">
        <f t="shared" si="134"/>
        <v>#VALUE!</v>
      </c>
      <c r="J935" s="6">
        <f t="shared" si="135"/>
        <v>0</v>
      </c>
      <c r="K935" s="6">
        <f t="shared" si="136"/>
        <v>0</v>
      </c>
      <c r="L935" s="6">
        <f t="shared" si="137"/>
        <v>0</v>
      </c>
      <c r="M935" s="6">
        <f t="shared" si="138"/>
        <v>0</v>
      </c>
      <c r="N935" s="6" t="str">
        <f t="shared" si="139"/>
        <v>100PFA39-6200</v>
      </c>
      <c r="O935" s="6" t="str">
        <f t="shared" si="140"/>
        <v>SINGING THE CHICAGO BLUES</v>
      </c>
    </row>
    <row r="936" spans="8:15">
      <c r="H936">
        <f t="shared" si="133"/>
        <v>0</v>
      </c>
      <c r="I936" t="e">
        <f t="shared" si="134"/>
        <v>#VALUE!</v>
      </c>
      <c r="J936" s="6">
        <f t="shared" si="135"/>
        <v>0</v>
      </c>
      <c r="K936" s="6">
        <f t="shared" si="136"/>
        <v>0</v>
      </c>
      <c r="L936" s="6">
        <f t="shared" si="137"/>
        <v>0</v>
      </c>
      <c r="M936" s="6">
        <f t="shared" si="138"/>
        <v>0</v>
      </c>
      <c r="N936" s="6" t="str">
        <f t="shared" si="139"/>
        <v>100PFA39-6200</v>
      </c>
      <c r="O936" s="6" t="str">
        <f t="shared" si="140"/>
        <v>SINGING THE CHICAGO BLUES</v>
      </c>
    </row>
    <row r="937" spans="8:15">
      <c r="H937">
        <f t="shared" si="133"/>
        <v>0</v>
      </c>
      <c r="I937" t="e">
        <f t="shared" si="134"/>
        <v>#VALUE!</v>
      </c>
      <c r="J937" s="6">
        <f t="shared" si="135"/>
        <v>0</v>
      </c>
      <c r="K937" s="6">
        <f t="shared" si="136"/>
        <v>0</v>
      </c>
      <c r="L937" s="6">
        <f t="shared" si="137"/>
        <v>0</v>
      </c>
      <c r="M937" s="6">
        <f t="shared" si="138"/>
        <v>0</v>
      </c>
      <c r="N937" s="6" t="str">
        <f t="shared" si="139"/>
        <v>100PFA39-6200</v>
      </c>
      <c r="O937" s="6" t="str">
        <f t="shared" si="140"/>
        <v>SINGING THE CHICAGO BLUES</v>
      </c>
    </row>
    <row r="938" spans="8:15">
      <c r="H938">
        <f t="shared" si="133"/>
        <v>0</v>
      </c>
      <c r="I938" t="e">
        <f t="shared" si="134"/>
        <v>#VALUE!</v>
      </c>
      <c r="J938" s="6">
        <f t="shared" si="135"/>
        <v>0</v>
      </c>
      <c r="K938" s="6">
        <f t="shared" si="136"/>
        <v>0</v>
      </c>
      <c r="L938" s="6">
        <f t="shared" si="137"/>
        <v>0</v>
      </c>
      <c r="M938" s="6">
        <f t="shared" si="138"/>
        <v>0</v>
      </c>
      <c r="N938" s="6" t="str">
        <f t="shared" si="139"/>
        <v>100PFA39-6200</v>
      </c>
      <c r="O938" s="6" t="str">
        <f t="shared" si="140"/>
        <v>SINGING THE CHICAGO BLUES</v>
      </c>
    </row>
    <row r="939" spans="8:15">
      <c r="H939">
        <f t="shared" si="133"/>
        <v>0</v>
      </c>
      <c r="I939" t="e">
        <f t="shared" si="134"/>
        <v>#VALUE!</v>
      </c>
      <c r="J939" s="6">
        <f t="shared" si="135"/>
        <v>0</v>
      </c>
      <c r="K939" s="6">
        <f t="shared" si="136"/>
        <v>0</v>
      </c>
      <c r="L939" s="6">
        <f t="shared" si="137"/>
        <v>0</v>
      </c>
      <c r="M939" s="6">
        <f t="shared" si="138"/>
        <v>0</v>
      </c>
      <c r="N939" s="6" t="str">
        <f t="shared" si="139"/>
        <v>100PFA39-6200</v>
      </c>
      <c r="O939" s="6" t="str">
        <f t="shared" si="140"/>
        <v>SINGING THE CHICAGO BLUES</v>
      </c>
    </row>
    <row r="940" spans="8:15">
      <c r="H940">
        <f t="shared" si="133"/>
        <v>0</v>
      </c>
      <c r="I940" t="e">
        <f t="shared" si="134"/>
        <v>#VALUE!</v>
      </c>
      <c r="J940" s="6">
        <f t="shared" si="135"/>
        <v>0</v>
      </c>
      <c r="K940" s="6">
        <f t="shared" si="136"/>
        <v>0</v>
      </c>
      <c r="L940" s="6">
        <f t="shared" si="137"/>
        <v>0</v>
      </c>
      <c r="M940" s="6">
        <f t="shared" si="138"/>
        <v>0</v>
      </c>
      <c r="N940" s="6" t="str">
        <f t="shared" si="139"/>
        <v>100PFA39-6200</v>
      </c>
      <c r="O940" s="6" t="str">
        <f t="shared" si="140"/>
        <v>SINGING THE CHICAGO BLUES</v>
      </c>
    </row>
    <row r="941" spans="8:15">
      <c r="H941">
        <f t="shared" si="133"/>
        <v>0</v>
      </c>
      <c r="I941" t="e">
        <f t="shared" si="134"/>
        <v>#VALUE!</v>
      </c>
      <c r="J941" s="6">
        <f t="shared" si="135"/>
        <v>0</v>
      </c>
      <c r="K941" s="6">
        <f t="shared" si="136"/>
        <v>0</v>
      </c>
      <c r="L941" s="6">
        <f t="shared" si="137"/>
        <v>0</v>
      </c>
      <c r="M941" s="6">
        <f t="shared" si="138"/>
        <v>0</v>
      </c>
      <c r="N941" s="6" t="str">
        <f t="shared" si="139"/>
        <v>100PFA39-6200</v>
      </c>
      <c r="O941" s="6" t="str">
        <f t="shared" si="140"/>
        <v>SINGING THE CHICAGO BLUES</v>
      </c>
    </row>
    <row r="942" spans="8:15">
      <c r="H942">
        <f t="shared" si="133"/>
        <v>0</v>
      </c>
      <c r="I942" t="e">
        <f t="shared" si="134"/>
        <v>#VALUE!</v>
      </c>
      <c r="J942" s="6">
        <f t="shared" si="135"/>
        <v>0</v>
      </c>
      <c r="K942" s="6">
        <f t="shared" si="136"/>
        <v>0</v>
      </c>
      <c r="L942" s="6">
        <f t="shared" si="137"/>
        <v>0</v>
      </c>
      <c r="M942" s="6">
        <f t="shared" si="138"/>
        <v>0</v>
      </c>
      <c r="N942" s="6" t="str">
        <f t="shared" si="139"/>
        <v>100PFA39-6200</v>
      </c>
      <c r="O942" s="6" t="str">
        <f t="shared" si="140"/>
        <v>SINGING THE CHICAGO BLUES</v>
      </c>
    </row>
    <row r="943" spans="8:15">
      <c r="H943">
        <f t="shared" si="133"/>
        <v>0</v>
      </c>
      <c r="I943" t="e">
        <f t="shared" si="134"/>
        <v>#VALUE!</v>
      </c>
      <c r="J943" s="6">
        <f t="shared" si="135"/>
        <v>0</v>
      </c>
      <c r="K943" s="6">
        <f t="shared" si="136"/>
        <v>0</v>
      </c>
      <c r="L943" s="6">
        <f t="shared" si="137"/>
        <v>0</v>
      </c>
      <c r="M943" s="6">
        <f t="shared" si="138"/>
        <v>0</v>
      </c>
      <c r="N943" s="6" t="str">
        <f t="shared" si="139"/>
        <v>100PFA39-6200</v>
      </c>
      <c r="O943" s="6" t="str">
        <f t="shared" si="140"/>
        <v>SINGING THE CHICAGO BLUES</v>
      </c>
    </row>
    <row r="944" spans="8:15">
      <c r="H944">
        <f t="shared" si="133"/>
        <v>0</v>
      </c>
      <c r="I944" t="e">
        <f t="shared" si="134"/>
        <v>#VALUE!</v>
      </c>
      <c r="J944" s="6">
        <f t="shared" si="135"/>
        <v>0</v>
      </c>
      <c r="K944" s="6">
        <f t="shared" si="136"/>
        <v>0</v>
      </c>
      <c r="L944" s="6">
        <f t="shared" si="137"/>
        <v>0</v>
      </c>
      <c r="M944" s="6">
        <f t="shared" si="138"/>
        <v>0</v>
      </c>
      <c r="N944" s="6" t="str">
        <f t="shared" si="139"/>
        <v>100PFA39-6200</v>
      </c>
      <c r="O944" s="6" t="str">
        <f t="shared" si="140"/>
        <v>SINGING THE CHICAGO BLUES</v>
      </c>
    </row>
    <row r="945" spans="8:15">
      <c r="H945">
        <f t="shared" si="133"/>
        <v>0</v>
      </c>
      <c r="I945" t="e">
        <f t="shared" si="134"/>
        <v>#VALUE!</v>
      </c>
      <c r="J945" s="6">
        <f t="shared" si="135"/>
        <v>0</v>
      </c>
      <c r="K945" s="6">
        <f t="shared" si="136"/>
        <v>0</v>
      </c>
      <c r="L945" s="6">
        <f t="shared" si="137"/>
        <v>0</v>
      </c>
      <c r="M945" s="6">
        <f t="shared" si="138"/>
        <v>0</v>
      </c>
      <c r="N945" s="6" t="str">
        <f t="shared" si="139"/>
        <v>100PFA39-6200</v>
      </c>
      <c r="O945" s="6" t="str">
        <f t="shared" si="140"/>
        <v>SINGING THE CHICAGO BLUES</v>
      </c>
    </row>
    <row r="946" spans="8:15">
      <c r="H946">
        <f t="shared" si="133"/>
        <v>0</v>
      </c>
      <c r="I946" t="e">
        <f t="shared" si="134"/>
        <v>#VALUE!</v>
      </c>
      <c r="J946" s="6">
        <f t="shared" si="135"/>
        <v>0</v>
      </c>
      <c r="K946" s="6">
        <f t="shared" si="136"/>
        <v>0</v>
      </c>
      <c r="L946" s="6">
        <f t="shared" si="137"/>
        <v>0</v>
      </c>
      <c r="M946" s="6">
        <f t="shared" si="138"/>
        <v>0</v>
      </c>
      <c r="N946" s="6" t="str">
        <f t="shared" si="139"/>
        <v>100PFA39-6200</v>
      </c>
      <c r="O946" s="6" t="str">
        <f t="shared" si="140"/>
        <v>SINGING THE CHICAGO BLUES</v>
      </c>
    </row>
    <row r="947" spans="8:15">
      <c r="H947">
        <f t="shared" si="133"/>
        <v>0</v>
      </c>
      <c r="I947" t="e">
        <f t="shared" si="134"/>
        <v>#VALUE!</v>
      </c>
      <c r="J947" s="6">
        <f t="shared" si="135"/>
        <v>0</v>
      </c>
      <c r="K947" s="6">
        <f t="shared" si="136"/>
        <v>0</v>
      </c>
      <c r="L947" s="6">
        <f t="shared" si="137"/>
        <v>0</v>
      </c>
      <c r="M947" s="6">
        <f t="shared" si="138"/>
        <v>0</v>
      </c>
      <c r="N947" s="6" t="str">
        <f t="shared" si="139"/>
        <v>100PFA39-6200</v>
      </c>
      <c r="O947" s="6" t="str">
        <f t="shared" si="140"/>
        <v>SINGING THE CHICAGO BLUES</v>
      </c>
    </row>
    <row r="948" spans="8:15">
      <c r="H948">
        <f t="shared" si="133"/>
        <v>0</v>
      </c>
      <c r="I948" t="e">
        <f t="shared" si="134"/>
        <v>#VALUE!</v>
      </c>
      <c r="J948" s="6">
        <f t="shared" si="135"/>
        <v>0</v>
      </c>
      <c r="K948" s="6">
        <f t="shared" si="136"/>
        <v>0</v>
      </c>
      <c r="L948" s="6">
        <f t="shared" si="137"/>
        <v>0</v>
      </c>
      <c r="M948" s="6">
        <f t="shared" si="138"/>
        <v>0</v>
      </c>
      <c r="N948" s="6" t="str">
        <f t="shared" si="139"/>
        <v>100PFA39-6200</v>
      </c>
      <c r="O948" s="6" t="str">
        <f t="shared" si="140"/>
        <v>SINGING THE CHICAGO BLUES</v>
      </c>
    </row>
    <row r="949" spans="8:15">
      <c r="H949">
        <f t="shared" si="133"/>
        <v>0</v>
      </c>
      <c r="I949" t="e">
        <f t="shared" si="134"/>
        <v>#VALUE!</v>
      </c>
      <c r="J949" s="6">
        <f t="shared" si="135"/>
        <v>0</v>
      </c>
      <c r="K949" s="6">
        <f t="shared" si="136"/>
        <v>0</v>
      </c>
      <c r="L949" s="6">
        <f t="shared" si="137"/>
        <v>0</v>
      </c>
      <c r="M949" s="6">
        <f t="shared" si="138"/>
        <v>0</v>
      </c>
      <c r="N949" s="6" t="str">
        <f t="shared" si="139"/>
        <v>100PFA39-6200</v>
      </c>
      <c r="O949" s="6" t="str">
        <f t="shared" si="140"/>
        <v>SINGING THE CHICAGO BLUES</v>
      </c>
    </row>
    <row r="950" spans="8:15">
      <c r="H950">
        <f t="shared" si="133"/>
        <v>0</v>
      </c>
      <c r="I950" t="e">
        <f t="shared" si="134"/>
        <v>#VALUE!</v>
      </c>
      <c r="J950" s="6">
        <f t="shared" si="135"/>
        <v>0</v>
      </c>
      <c r="K950" s="6">
        <f t="shared" si="136"/>
        <v>0</v>
      </c>
      <c r="L950" s="6">
        <f t="shared" si="137"/>
        <v>0</v>
      </c>
      <c r="M950" s="6">
        <f t="shared" si="138"/>
        <v>0</v>
      </c>
      <c r="N950" s="6" t="str">
        <f t="shared" si="139"/>
        <v>100PFA39-6200</v>
      </c>
      <c r="O950" s="6" t="str">
        <f t="shared" si="140"/>
        <v>SINGING THE CHICAGO BLUES</v>
      </c>
    </row>
    <row r="951" spans="8:15">
      <c r="H951">
        <f t="shared" si="133"/>
        <v>0</v>
      </c>
      <c r="I951" t="e">
        <f t="shared" si="134"/>
        <v>#VALUE!</v>
      </c>
      <c r="J951" s="6">
        <f t="shared" si="135"/>
        <v>0</v>
      </c>
      <c r="K951" s="6">
        <f t="shared" si="136"/>
        <v>0</v>
      </c>
      <c r="L951" s="6">
        <f t="shared" si="137"/>
        <v>0</v>
      </c>
      <c r="M951" s="6">
        <f t="shared" si="138"/>
        <v>0</v>
      </c>
      <c r="N951" s="6" t="str">
        <f t="shared" si="139"/>
        <v>100PFA39-6200</v>
      </c>
      <c r="O951" s="6" t="str">
        <f t="shared" si="140"/>
        <v>SINGING THE CHICAGO BLUES</v>
      </c>
    </row>
    <row r="952" spans="8:15">
      <c r="H952">
        <f t="shared" si="133"/>
        <v>0</v>
      </c>
      <c r="I952" t="e">
        <f t="shared" si="134"/>
        <v>#VALUE!</v>
      </c>
      <c r="J952" s="6">
        <f t="shared" si="135"/>
        <v>0</v>
      </c>
      <c r="K952" s="6">
        <f t="shared" si="136"/>
        <v>0</v>
      </c>
      <c r="L952" s="6">
        <f t="shared" si="137"/>
        <v>0</v>
      </c>
      <c r="M952" s="6">
        <f t="shared" si="138"/>
        <v>0</v>
      </c>
      <c r="N952" s="6" t="str">
        <f t="shared" si="139"/>
        <v>100PFA39-6200</v>
      </c>
      <c r="O952" s="6" t="str">
        <f t="shared" si="140"/>
        <v>SINGING THE CHICAGO BLUES</v>
      </c>
    </row>
    <row r="953" spans="8:15">
      <c r="H953">
        <f t="shared" si="133"/>
        <v>0</v>
      </c>
      <c r="I953" t="e">
        <f t="shared" si="134"/>
        <v>#VALUE!</v>
      </c>
      <c r="J953" s="6">
        <f t="shared" si="135"/>
        <v>0</v>
      </c>
      <c r="K953" s="6">
        <f t="shared" si="136"/>
        <v>0</v>
      </c>
      <c r="L953" s="6">
        <f t="shared" si="137"/>
        <v>0</v>
      </c>
      <c r="M953" s="6">
        <f t="shared" si="138"/>
        <v>0</v>
      </c>
      <c r="N953" s="6" t="str">
        <f t="shared" si="139"/>
        <v>100PFA39-6200</v>
      </c>
      <c r="O953" s="6" t="str">
        <f t="shared" si="140"/>
        <v>SINGING THE CHICAGO BLUES</v>
      </c>
    </row>
    <row r="954" spans="8:15">
      <c r="H954">
        <f t="shared" si="133"/>
        <v>0</v>
      </c>
      <c r="I954" t="e">
        <f t="shared" si="134"/>
        <v>#VALUE!</v>
      </c>
      <c r="J954" s="6">
        <f t="shared" si="135"/>
        <v>0</v>
      </c>
      <c r="K954" s="6">
        <f t="shared" si="136"/>
        <v>0</v>
      </c>
      <c r="L954" s="6">
        <f t="shared" si="137"/>
        <v>0</v>
      </c>
      <c r="M954" s="6">
        <f t="shared" si="138"/>
        <v>0</v>
      </c>
      <c r="N954" s="6" t="str">
        <f t="shared" si="139"/>
        <v>100PFA39-6200</v>
      </c>
      <c r="O954" s="6" t="str">
        <f t="shared" si="140"/>
        <v>SINGING THE CHICAGO BLUES</v>
      </c>
    </row>
    <row r="955" spans="8:15">
      <c r="H955">
        <f t="shared" si="133"/>
        <v>0</v>
      </c>
      <c r="I955" t="e">
        <f t="shared" si="134"/>
        <v>#VALUE!</v>
      </c>
      <c r="J955" s="6">
        <f t="shared" si="135"/>
        <v>0</v>
      </c>
      <c r="K955" s="6">
        <f t="shared" si="136"/>
        <v>0</v>
      </c>
      <c r="L955" s="6">
        <f t="shared" si="137"/>
        <v>0</v>
      </c>
      <c r="M955" s="6">
        <f t="shared" si="138"/>
        <v>0</v>
      </c>
      <c r="N955" s="6" t="str">
        <f t="shared" si="139"/>
        <v>100PFA39-6200</v>
      </c>
      <c r="O955" s="6" t="str">
        <f t="shared" si="140"/>
        <v>SINGING THE CHICAGO BLUES</v>
      </c>
    </row>
    <row r="956" spans="8:15">
      <c r="H956">
        <f t="shared" si="133"/>
        <v>0</v>
      </c>
      <c r="I956" t="e">
        <f t="shared" si="134"/>
        <v>#VALUE!</v>
      </c>
      <c r="J956" s="6">
        <f t="shared" si="135"/>
        <v>0</v>
      </c>
      <c r="K956" s="6">
        <f t="shared" si="136"/>
        <v>0</v>
      </c>
      <c r="L956" s="6">
        <f t="shared" si="137"/>
        <v>0</v>
      </c>
      <c r="M956" s="6">
        <f t="shared" si="138"/>
        <v>0</v>
      </c>
      <c r="N956" s="6" t="str">
        <f t="shared" si="139"/>
        <v>100PFA39-6200</v>
      </c>
      <c r="O956" s="6" t="str">
        <f t="shared" si="140"/>
        <v>SINGING THE CHICAGO BLUES</v>
      </c>
    </row>
    <row r="957" spans="8:15">
      <c r="H957">
        <f t="shared" si="133"/>
        <v>0</v>
      </c>
      <c r="I957" t="e">
        <f t="shared" si="134"/>
        <v>#VALUE!</v>
      </c>
      <c r="J957" s="6">
        <f t="shared" si="135"/>
        <v>0</v>
      </c>
      <c r="K957" s="6">
        <f t="shared" si="136"/>
        <v>0</v>
      </c>
      <c r="L957" s="6">
        <f t="shared" si="137"/>
        <v>0</v>
      </c>
      <c r="M957" s="6">
        <f t="shared" si="138"/>
        <v>0</v>
      </c>
      <c r="N957" s="6" t="str">
        <f t="shared" si="139"/>
        <v>100PFA39-6200</v>
      </c>
      <c r="O957" s="6" t="str">
        <f t="shared" si="140"/>
        <v>SINGING THE CHICAGO BLUES</v>
      </c>
    </row>
    <row r="958" spans="8:15">
      <c r="H958">
        <f t="shared" si="133"/>
        <v>0</v>
      </c>
      <c r="I958" t="e">
        <f t="shared" si="134"/>
        <v>#VALUE!</v>
      </c>
      <c r="J958" s="6">
        <f t="shared" si="135"/>
        <v>0</v>
      </c>
      <c r="K958" s="6">
        <f t="shared" si="136"/>
        <v>0</v>
      </c>
      <c r="L958" s="6">
        <f t="shared" si="137"/>
        <v>0</v>
      </c>
      <c r="M958" s="6">
        <f t="shared" si="138"/>
        <v>0</v>
      </c>
      <c r="N958" s="6" t="str">
        <f t="shared" si="139"/>
        <v>100PFA39-6200</v>
      </c>
      <c r="O958" s="6" t="str">
        <f t="shared" si="140"/>
        <v>SINGING THE CHICAGO BLUES</v>
      </c>
    </row>
    <row r="959" spans="8:15">
      <c r="H959">
        <f t="shared" si="133"/>
        <v>0</v>
      </c>
      <c r="I959" t="e">
        <f t="shared" si="134"/>
        <v>#VALUE!</v>
      </c>
      <c r="J959" s="6">
        <f t="shared" si="135"/>
        <v>0</v>
      </c>
      <c r="K959" s="6">
        <f t="shared" si="136"/>
        <v>0</v>
      </c>
      <c r="L959" s="6">
        <f t="shared" si="137"/>
        <v>0</v>
      </c>
      <c r="M959" s="6">
        <f t="shared" si="138"/>
        <v>0</v>
      </c>
      <c r="N959" s="6" t="str">
        <f t="shared" si="139"/>
        <v>100PFA39-6200</v>
      </c>
      <c r="O959" s="6" t="str">
        <f t="shared" si="140"/>
        <v>SINGING THE CHICAGO BLUES</v>
      </c>
    </row>
    <row r="960" spans="8:15">
      <c r="H960">
        <f t="shared" si="133"/>
        <v>0</v>
      </c>
      <c r="I960" t="e">
        <f t="shared" si="134"/>
        <v>#VALUE!</v>
      </c>
      <c r="J960" s="6">
        <f t="shared" si="135"/>
        <v>0</v>
      </c>
      <c r="K960" s="6">
        <f t="shared" si="136"/>
        <v>0</v>
      </c>
      <c r="L960" s="6">
        <f t="shared" si="137"/>
        <v>0</v>
      </c>
      <c r="M960" s="6">
        <f t="shared" si="138"/>
        <v>0</v>
      </c>
      <c r="N960" s="6" t="str">
        <f t="shared" si="139"/>
        <v>100PFA39-6200</v>
      </c>
      <c r="O960" s="6" t="str">
        <f t="shared" si="140"/>
        <v>SINGING THE CHICAGO BLUES</v>
      </c>
    </row>
    <row r="961" spans="8:15">
      <c r="H961">
        <f t="shared" si="133"/>
        <v>0</v>
      </c>
      <c r="I961" t="e">
        <f t="shared" si="134"/>
        <v>#VALUE!</v>
      </c>
      <c r="J961" s="6">
        <f t="shared" si="135"/>
        <v>0</v>
      </c>
      <c r="K961" s="6">
        <f t="shared" si="136"/>
        <v>0</v>
      </c>
      <c r="L961" s="6">
        <f t="shared" si="137"/>
        <v>0</v>
      </c>
      <c r="M961" s="6">
        <f t="shared" si="138"/>
        <v>0</v>
      </c>
      <c r="N961" s="6" t="str">
        <f t="shared" si="139"/>
        <v>100PFA39-6200</v>
      </c>
      <c r="O961" s="6" t="str">
        <f t="shared" si="140"/>
        <v>SINGING THE CHICAGO BLUES</v>
      </c>
    </row>
    <row r="962" spans="8:15">
      <c r="H962">
        <f t="shared" si="133"/>
        <v>0</v>
      </c>
      <c r="I962" t="e">
        <f t="shared" si="134"/>
        <v>#VALUE!</v>
      </c>
      <c r="J962" s="6">
        <f t="shared" si="135"/>
        <v>0</v>
      </c>
      <c r="K962" s="6">
        <f t="shared" si="136"/>
        <v>0</v>
      </c>
      <c r="L962" s="6">
        <f t="shared" si="137"/>
        <v>0</v>
      </c>
      <c r="M962" s="6">
        <f t="shared" si="138"/>
        <v>0</v>
      </c>
      <c r="N962" s="6" t="str">
        <f t="shared" si="139"/>
        <v>100PFA39-6200</v>
      </c>
      <c r="O962" s="6" t="str">
        <f t="shared" si="140"/>
        <v>SINGING THE CHICAGO BLUES</v>
      </c>
    </row>
    <row r="963" spans="8:15">
      <c r="H963">
        <f t="shared" si="133"/>
        <v>0</v>
      </c>
      <c r="I963" t="e">
        <f t="shared" si="134"/>
        <v>#VALUE!</v>
      </c>
      <c r="J963" s="6">
        <f t="shared" si="135"/>
        <v>0</v>
      </c>
      <c r="K963" s="6">
        <f t="shared" si="136"/>
        <v>0</v>
      </c>
      <c r="L963" s="6">
        <f t="shared" si="137"/>
        <v>0</v>
      </c>
      <c r="M963" s="6">
        <f t="shared" si="138"/>
        <v>0</v>
      </c>
      <c r="N963" s="6" t="str">
        <f t="shared" si="139"/>
        <v>100PFA39-6200</v>
      </c>
      <c r="O963" s="6" t="str">
        <f t="shared" si="140"/>
        <v>SINGING THE CHICAGO BLUES</v>
      </c>
    </row>
    <row r="964" spans="8:15">
      <c r="H964">
        <f t="shared" si="133"/>
        <v>0</v>
      </c>
      <c r="I964" t="e">
        <f t="shared" si="134"/>
        <v>#VALUE!</v>
      </c>
      <c r="J964" s="6">
        <f t="shared" si="135"/>
        <v>0</v>
      </c>
      <c r="K964" s="6">
        <f t="shared" si="136"/>
        <v>0</v>
      </c>
      <c r="L964" s="6">
        <f t="shared" si="137"/>
        <v>0</v>
      </c>
      <c r="M964" s="6">
        <f t="shared" si="138"/>
        <v>0</v>
      </c>
      <c r="N964" s="6" t="str">
        <f t="shared" si="139"/>
        <v>100PFA39-6200</v>
      </c>
      <c r="O964" s="6" t="str">
        <f t="shared" si="140"/>
        <v>SINGING THE CHICAGO BLUES</v>
      </c>
    </row>
    <row r="965" spans="8:15">
      <c r="H965">
        <f t="shared" si="133"/>
        <v>0</v>
      </c>
      <c r="I965" t="e">
        <f t="shared" si="134"/>
        <v>#VALUE!</v>
      </c>
      <c r="J965" s="6">
        <f t="shared" si="135"/>
        <v>0</v>
      </c>
      <c r="K965" s="6">
        <f t="shared" si="136"/>
        <v>0</v>
      </c>
      <c r="L965" s="6">
        <f t="shared" si="137"/>
        <v>0</v>
      </c>
      <c r="M965" s="6">
        <f t="shared" si="138"/>
        <v>0</v>
      </c>
      <c r="N965" s="6" t="str">
        <f t="shared" si="139"/>
        <v>100PFA39-6200</v>
      </c>
      <c r="O965" s="6" t="str">
        <f t="shared" si="140"/>
        <v>SINGING THE CHICAGO BLUES</v>
      </c>
    </row>
    <row r="966" spans="8:15">
      <c r="H966">
        <f t="shared" si="133"/>
        <v>0</v>
      </c>
      <c r="I966" t="e">
        <f t="shared" si="134"/>
        <v>#VALUE!</v>
      </c>
      <c r="J966" s="6">
        <f t="shared" si="135"/>
        <v>0</v>
      </c>
      <c r="K966" s="6">
        <f t="shared" si="136"/>
        <v>0</v>
      </c>
      <c r="L966" s="6">
        <f t="shared" si="137"/>
        <v>0</v>
      </c>
      <c r="M966" s="6">
        <f t="shared" si="138"/>
        <v>0</v>
      </c>
      <c r="N966" s="6" t="str">
        <f t="shared" si="139"/>
        <v>100PFA39-6200</v>
      </c>
      <c r="O966" s="6" t="str">
        <f t="shared" si="140"/>
        <v>SINGING THE CHICAGO BLUES</v>
      </c>
    </row>
    <row r="967" spans="8:15">
      <c r="H967">
        <f t="shared" ref="H967:H1030" si="141">A967</f>
        <v>0</v>
      </c>
      <c r="I967" t="e">
        <f t="shared" ref="I967:I1030" si="142">IFERROR(IF(SEARCH(" &lt;-",B967,1),LEFT(B967,SEARCH(" ",B967,1)-1),""),LEFT(B967,SEARCH("View",B967,1)-1))</f>
        <v>#VALUE!</v>
      </c>
      <c r="J967" s="6">
        <f t="shared" ref="J967:J1030" si="143">C967</f>
        <v>0</v>
      </c>
      <c r="K967" s="6">
        <f t="shared" ref="K967:K1030" si="144">D967</f>
        <v>0</v>
      </c>
      <c r="L967" s="6">
        <f t="shared" ref="L967:L1030" si="145">E967</f>
        <v>0</v>
      </c>
      <c r="M967" s="6">
        <f t="shared" ref="M967:M1030" si="146">F967</f>
        <v>0</v>
      </c>
      <c r="N967" s="6" t="str">
        <f t="shared" si="139"/>
        <v>100PFA39-6200</v>
      </c>
      <c r="O967" s="6" t="str">
        <f t="shared" si="140"/>
        <v>SINGING THE CHICAGO BLUES</v>
      </c>
    </row>
    <row r="968" spans="8:15">
      <c r="H968">
        <f t="shared" si="141"/>
        <v>0</v>
      </c>
      <c r="I968" t="e">
        <f t="shared" si="142"/>
        <v>#VALUE!</v>
      </c>
      <c r="J968" s="6">
        <f t="shared" si="143"/>
        <v>0</v>
      </c>
      <c r="K968" s="6">
        <f t="shared" si="144"/>
        <v>0</v>
      </c>
      <c r="L968" s="6">
        <f t="shared" si="145"/>
        <v>0</v>
      </c>
      <c r="M968" s="6">
        <f t="shared" si="146"/>
        <v>0</v>
      </c>
      <c r="N968" s="6" t="str">
        <f t="shared" ref="N968:N1031" si="147">TRIM($B$1)</f>
        <v>100PFA39-6200</v>
      </c>
      <c r="O968" s="6" t="str">
        <f t="shared" ref="O968:O1031" si="148">TRIM($C$1)</f>
        <v>SINGING THE CHICAGO BLUES</v>
      </c>
    </row>
    <row r="969" spans="8:15">
      <c r="H969">
        <f t="shared" si="141"/>
        <v>0</v>
      </c>
      <c r="I969" t="e">
        <f t="shared" si="142"/>
        <v>#VALUE!</v>
      </c>
      <c r="J969" s="6">
        <f t="shared" si="143"/>
        <v>0</v>
      </c>
      <c r="K969" s="6">
        <f t="shared" si="144"/>
        <v>0</v>
      </c>
      <c r="L969" s="6">
        <f t="shared" si="145"/>
        <v>0</v>
      </c>
      <c r="M969" s="6">
        <f t="shared" si="146"/>
        <v>0</v>
      </c>
      <c r="N969" s="6" t="str">
        <f t="shared" si="147"/>
        <v>100PFA39-6200</v>
      </c>
      <c r="O969" s="6" t="str">
        <f t="shared" si="148"/>
        <v>SINGING THE CHICAGO BLUES</v>
      </c>
    </row>
    <row r="970" spans="8:15">
      <c r="H970">
        <f t="shared" si="141"/>
        <v>0</v>
      </c>
      <c r="I970" t="e">
        <f t="shared" si="142"/>
        <v>#VALUE!</v>
      </c>
      <c r="J970" s="6">
        <f t="shared" si="143"/>
        <v>0</v>
      </c>
      <c r="K970" s="6">
        <f t="shared" si="144"/>
        <v>0</v>
      </c>
      <c r="L970" s="6">
        <f t="shared" si="145"/>
        <v>0</v>
      </c>
      <c r="M970" s="6">
        <f t="shared" si="146"/>
        <v>0</v>
      </c>
      <c r="N970" s="6" t="str">
        <f t="shared" si="147"/>
        <v>100PFA39-6200</v>
      </c>
      <c r="O970" s="6" t="str">
        <f t="shared" si="148"/>
        <v>SINGING THE CHICAGO BLUES</v>
      </c>
    </row>
    <row r="971" spans="8:15">
      <c r="H971">
        <f t="shared" si="141"/>
        <v>0</v>
      </c>
      <c r="I971" t="e">
        <f t="shared" si="142"/>
        <v>#VALUE!</v>
      </c>
      <c r="J971" s="6">
        <f t="shared" si="143"/>
        <v>0</v>
      </c>
      <c r="K971" s="6">
        <f t="shared" si="144"/>
        <v>0</v>
      </c>
      <c r="L971" s="6">
        <f t="shared" si="145"/>
        <v>0</v>
      </c>
      <c r="M971" s="6">
        <f t="shared" si="146"/>
        <v>0</v>
      </c>
      <c r="N971" s="6" t="str">
        <f t="shared" si="147"/>
        <v>100PFA39-6200</v>
      </c>
      <c r="O971" s="6" t="str">
        <f t="shared" si="148"/>
        <v>SINGING THE CHICAGO BLUES</v>
      </c>
    </row>
    <row r="972" spans="8:15">
      <c r="H972">
        <f t="shared" si="141"/>
        <v>0</v>
      </c>
      <c r="I972" t="e">
        <f t="shared" si="142"/>
        <v>#VALUE!</v>
      </c>
      <c r="J972" s="6">
        <f t="shared" si="143"/>
        <v>0</v>
      </c>
      <c r="K972" s="6">
        <f t="shared" si="144"/>
        <v>0</v>
      </c>
      <c r="L972" s="6">
        <f t="shared" si="145"/>
        <v>0</v>
      </c>
      <c r="M972" s="6">
        <f t="shared" si="146"/>
        <v>0</v>
      </c>
      <c r="N972" s="6" t="str">
        <f t="shared" si="147"/>
        <v>100PFA39-6200</v>
      </c>
      <c r="O972" s="6" t="str">
        <f t="shared" si="148"/>
        <v>SINGING THE CHICAGO BLUES</v>
      </c>
    </row>
    <row r="973" spans="8:15">
      <c r="H973">
        <f t="shared" si="141"/>
        <v>0</v>
      </c>
      <c r="I973" t="e">
        <f t="shared" si="142"/>
        <v>#VALUE!</v>
      </c>
      <c r="J973" s="6">
        <f t="shared" si="143"/>
        <v>0</v>
      </c>
      <c r="K973" s="6">
        <f t="shared" si="144"/>
        <v>0</v>
      </c>
      <c r="L973" s="6">
        <f t="shared" si="145"/>
        <v>0</v>
      </c>
      <c r="M973" s="6">
        <f t="shared" si="146"/>
        <v>0</v>
      </c>
      <c r="N973" s="6" t="str">
        <f t="shared" si="147"/>
        <v>100PFA39-6200</v>
      </c>
      <c r="O973" s="6" t="str">
        <f t="shared" si="148"/>
        <v>SINGING THE CHICAGO BLUES</v>
      </c>
    </row>
    <row r="974" spans="8:15">
      <c r="H974">
        <f t="shared" si="141"/>
        <v>0</v>
      </c>
      <c r="I974" t="e">
        <f t="shared" si="142"/>
        <v>#VALUE!</v>
      </c>
      <c r="J974" s="6">
        <f t="shared" si="143"/>
        <v>0</v>
      </c>
      <c r="K974" s="6">
        <f t="shared" si="144"/>
        <v>0</v>
      </c>
      <c r="L974" s="6">
        <f t="shared" si="145"/>
        <v>0</v>
      </c>
      <c r="M974" s="6">
        <f t="shared" si="146"/>
        <v>0</v>
      </c>
      <c r="N974" s="6" t="str">
        <f t="shared" si="147"/>
        <v>100PFA39-6200</v>
      </c>
      <c r="O974" s="6" t="str">
        <f t="shared" si="148"/>
        <v>SINGING THE CHICAGO BLUES</v>
      </c>
    </row>
    <row r="975" spans="8:15">
      <c r="H975">
        <f t="shared" si="141"/>
        <v>0</v>
      </c>
      <c r="I975" t="e">
        <f t="shared" si="142"/>
        <v>#VALUE!</v>
      </c>
      <c r="J975" s="6">
        <f t="shared" si="143"/>
        <v>0</v>
      </c>
      <c r="K975" s="6">
        <f t="shared" si="144"/>
        <v>0</v>
      </c>
      <c r="L975" s="6">
        <f t="shared" si="145"/>
        <v>0</v>
      </c>
      <c r="M975" s="6">
        <f t="shared" si="146"/>
        <v>0</v>
      </c>
      <c r="N975" s="6" t="str">
        <f t="shared" si="147"/>
        <v>100PFA39-6200</v>
      </c>
      <c r="O975" s="6" t="str">
        <f t="shared" si="148"/>
        <v>SINGING THE CHICAGO BLUES</v>
      </c>
    </row>
    <row r="976" spans="8:15">
      <c r="H976">
        <f t="shared" si="141"/>
        <v>0</v>
      </c>
      <c r="I976" t="e">
        <f t="shared" si="142"/>
        <v>#VALUE!</v>
      </c>
      <c r="J976" s="6">
        <f t="shared" si="143"/>
        <v>0</v>
      </c>
      <c r="K976" s="6">
        <f t="shared" si="144"/>
        <v>0</v>
      </c>
      <c r="L976" s="6">
        <f t="shared" si="145"/>
        <v>0</v>
      </c>
      <c r="M976" s="6">
        <f t="shared" si="146"/>
        <v>0</v>
      </c>
      <c r="N976" s="6" t="str">
        <f t="shared" si="147"/>
        <v>100PFA39-6200</v>
      </c>
      <c r="O976" s="6" t="str">
        <f t="shared" si="148"/>
        <v>SINGING THE CHICAGO BLUES</v>
      </c>
    </row>
    <row r="977" spans="8:15">
      <c r="H977">
        <f t="shared" si="141"/>
        <v>0</v>
      </c>
      <c r="I977" t="e">
        <f t="shared" si="142"/>
        <v>#VALUE!</v>
      </c>
      <c r="J977" s="6">
        <f t="shared" si="143"/>
        <v>0</v>
      </c>
      <c r="K977" s="6">
        <f t="shared" si="144"/>
        <v>0</v>
      </c>
      <c r="L977" s="6">
        <f t="shared" si="145"/>
        <v>0</v>
      </c>
      <c r="M977" s="6">
        <f t="shared" si="146"/>
        <v>0</v>
      </c>
      <c r="N977" s="6" t="str">
        <f t="shared" si="147"/>
        <v>100PFA39-6200</v>
      </c>
      <c r="O977" s="6" t="str">
        <f t="shared" si="148"/>
        <v>SINGING THE CHICAGO BLUES</v>
      </c>
    </row>
    <row r="978" spans="8:15">
      <c r="H978">
        <f t="shared" si="141"/>
        <v>0</v>
      </c>
      <c r="I978" t="e">
        <f t="shared" si="142"/>
        <v>#VALUE!</v>
      </c>
      <c r="J978" s="6">
        <f t="shared" si="143"/>
        <v>0</v>
      </c>
      <c r="K978" s="6">
        <f t="shared" si="144"/>
        <v>0</v>
      </c>
      <c r="L978" s="6">
        <f t="shared" si="145"/>
        <v>0</v>
      </c>
      <c r="M978" s="6">
        <f t="shared" si="146"/>
        <v>0</v>
      </c>
      <c r="N978" s="6" t="str">
        <f t="shared" si="147"/>
        <v>100PFA39-6200</v>
      </c>
      <c r="O978" s="6" t="str">
        <f t="shared" si="148"/>
        <v>SINGING THE CHICAGO BLUES</v>
      </c>
    </row>
    <row r="979" spans="8:15">
      <c r="H979">
        <f t="shared" si="141"/>
        <v>0</v>
      </c>
      <c r="I979" t="e">
        <f t="shared" si="142"/>
        <v>#VALUE!</v>
      </c>
      <c r="J979" s="6">
        <f t="shared" si="143"/>
        <v>0</v>
      </c>
      <c r="K979" s="6">
        <f t="shared" si="144"/>
        <v>0</v>
      </c>
      <c r="L979" s="6">
        <f t="shared" si="145"/>
        <v>0</v>
      </c>
      <c r="M979" s="6">
        <f t="shared" si="146"/>
        <v>0</v>
      </c>
      <c r="N979" s="6" t="str">
        <f t="shared" si="147"/>
        <v>100PFA39-6200</v>
      </c>
      <c r="O979" s="6" t="str">
        <f t="shared" si="148"/>
        <v>SINGING THE CHICAGO BLUES</v>
      </c>
    </row>
    <row r="980" spans="8:15">
      <c r="H980">
        <f t="shared" si="141"/>
        <v>0</v>
      </c>
      <c r="I980" t="e">
        <f t="shared" si="142"/>
        <v>#VALUE!</v>
      </c>
      <c r="J980" s="6">
        <f t="shared" si="143"/>
        <v>0</v>
      </c>
      <c r="K980" s="6">
        <f t="shared" si="144"/>
        <v>0</v>
      </c>
      <c r="L980" s="6">
        <f t="shared" si="145"/>
        <v>0</v>
      </c>
      <c r="M980" s="6">
        <f t="shared" si="146"/>
        <v>0</v>
      </c>
      <c r="N980" s="6" t="str">
        <f t="shared" si="147"/>
        <v>100PFA39-6200</v>
      </c>
      <c r="O980" s="6" t="str">
        <f t="shared" si="148"/>
        <v>SINGING THE CHICAGO BLUES</v>
      </c>
    </row>
    <row r="981" spans="8:15">
      <c r="H981">
        <f t="shared" si="141"/>
        <v>0</v>
      </c>
      <c r="I981" t="e">
        <f t="shared" si="142"/>
        <v>#VALUE!</v>
      </c>
      <c r="J981" s="6">
        <f t="shared" si="143"/>
        <v>0</v>
      </c>
      <c r="K981" s="6">
        <f t="shared" si="144"/>
        <v>0</v>
      </c>
      <c r="L981" s="6">
        <f t="shared" si="145"/>
        <v>0</v>
      </c>
      <c r="M981" s="6">
        <f t="shared" si="146"/>
        <v>0</v>
      </c>
      <c r="N981" s="6" t="str">
        <f t="shared" si="147"/>
        <v>100PFA39-6200</v>
      </c>
      <c r="O981" s="6" t="str">
        <f t="shared" si="148"/>
        <v>SINGING THE CHICAGO BLUES</v>
      </c>
    </row>
    <row r="982" spans="8:15">
      <c r="H982">
        <f t="shared" si="141"/>
        <v>0</v>
      </c>
      <c r="I982" t="e">
        <f t="shared" si="142"/>
        <v>#VALUE!</v>
      </c>
      <c r="J982" s="6">
        <f t="shared" si="143"/>
        <v>0</v>
      </c>
      <c r="K982" s="6">
        <f t="shared" si="144"/>
        <v>0</v>
      </c>
      <c r="L982" s="6">
        <f t="shared" si="145"/>
        <v>0</v>
      </c>
      <c r="M982" s="6">
        <f t="shared" si="146"/>
        <v>0</v>
      </c>
      <c r="N982" s="6" t="str">
        <f t="shared" si="147"/>
        <v>100PFA39-6200</v>
      </c>
      <c r="O982" s="6" t="str">
        <f t="shared" si="148"/>
        <v>SINGING THE CHICAGO BLUES</v>
      </c>
    </row>
    <row r="983" spans="8:15">
      <c r="H983">
        <f t="shared" si="141"/>
        <v>0</v>
      </c>
      <c r="I983" t="e">
        <f t="shared" si="142"/>
        <v>#VALUE!</v>
      </c>
      <c r="J983" s="6">
        <f t="shared" si="143"/>
        <v>0</v>
      </c>
      <c r="K983" s="6">
        <f t="shared" si="144"/>
        <v>0</v>
      </c>
      <c r="L983" s="6">
        <f t="shared" si="145"/>
        <v>0</v>
      </c>
      <c r="M983" s="6">
        <f t="shared" si="146"/>
        <v>0</v>
      </c>
      <c r="N983" s="6" t="str">
        <f t="shared" si="147"/>
        <v>100PFA39-6200</v>
      </c>
      <c r="O983" s="6" t="str">
        <f t="shared" si="148"/>
        <v>SINGING THE CHICAGO BLUES</v>
      </c>
    </row>
    <row r="984" spans="8:15">
      <c r="H984">
        <f t="shared" si="141"/>
        <v>0</v>
      </c>
      <c r="I984" t="e">
        <f t="shared" si="142"/>
        <v>#VALUE!</v>
      </c>
      <c r="J984" s="6">
        <f t="shared" si="143"/>
        <v>0</v>
      </c>
      <c r="K984" s="6">
        <f t="shared" si="144"/>
        <v>0</v>
      </c>
      <c r="L984" s="6">
        <f t="shared" si="145"/>
        <v>0</v>
      </c>
      <c r="M984" s="6">
        <f t="shared" si="146"/>
        <v>0</v>
      </c>
      <c r="N984" s="6" t="str">
        <f t="shared" si="147"/>
        <v>100PFA39-6200</v>
      </c>
      <c r="O984" s="6" t="str">
        <f t="shared" si="148"/>
        <v>SINGING THE CHICAGO BLUES</v>
      </c>
    </row>
    <row r="985" spans="8:15">
      <c r="H985">
        <f t="shared" si="141"/>
        <v>0</v>
      </c>
      <c r="I985" t="e">
        <f t="shared" si="142"/>
        <v>#VALUE!</v>
      </c>
      <c r="J985" s="6">
        <f t="shared" si="143"/>
        <v>0</v>
      </c>
      <c r="K985" s="6">
        <f t="shared" si="144"/>
        <v>0</v>
      </c>
      <c r="L985" s="6">
        <f t="shared" si="145"/>
        <v>0</v>
      </c>
      <c r="M985" s="6">
        <f t="shared" si="146"/>
        <v>0</v>
      </c>
      <c r="N985" s="6" t="str">
        <f t="shared" si="147"/>
        <v>100PFA39-6200</v>
      </c>
      <c r="O985" s="6" t="str">
        <f t="shared" si="148"/>
        <v>SINGING THE CHICAGO BLUES</v>
      </c>
    </row>
    <row r="986" spans="8:15">
      <c r="H986">
        <f t="shared" si="141"/>
        <v>0</v>
      </c>
      <c r="I986" t="e">
        <f t="shared" si="142"/>
        <v>#VALUE!</v>
      </c>
      <c r="J986" s="6">
        <f t="shared" si="143"/>
        <v>0</v>
      </c>
      <c r="K986" s="6">
        <f t="shared" si="144"/>
        <v>0</v>
      </c>
      <c r="L986" s="6">
        <f t="shared" si="145"/>
        <v>0</v>
      </c>
      <c r="M986" s="6">
        <f t="shared" si="146"/>
        <v>0</v>
      </c>
      <c r="N986" s="6" t="str">
        <f t="shared" si="147"/>
        <v>100PFA39-6200</v>
      </c>
      <c r="O986" s="6" t="str">
        <f t="shared" si="148"/>
        <v>SINGING THE CHICAGO BLUES</v>
      </c>
    </row>
    <row r="987" spans="8:15">
      <c r="H987">
        <f t="shared" si="141"/>
        <v>0</v>
      </c>
      <c r="I987" t="e">
        <f t="shared" si="142"/>
        <v>#VALUE!</v>
      </c>
      <c r="J987" s="6">
        <f t="shared" si="143"/>
        <v>0</v>
      </c>
      <c r="K987" s="6">
        <f t="shared" si="144"/>
        <v>0</v>
      </c>
      <c r="L987" s="6">
        <f t="shared" si="145"/>
        <v>0</v>
      </c>
      <c r="M987" s="6">
        <f t="shared" si="146"/>
        <v>0</v>
      </c>
      <c r="N987" s="6" t="str">
        <f t="shared" si="147"/>
        <v>100PFA39-6200</v>
      </c>
      <c r="O987" s="6" t="str">
        <f t="shared" si="148"/>
        <v>SINGING THE CHICAGO BLUES</v>
      </c>
    </row>
    <row r="988" spans="8:15">
      <c r="H988">
        <f t="shared" si="141"/>
        <v>0</v>
      </c>
      <c r="I988" t="e">
        <f t="shared" si="142"/>
        <v>#VALUE!</v>
      </c>
      <c r="J988" s="6">
        <f t="shared" si="143"/>
        <v>0</v>
      </c>
      <c r="K988" s="6">
        <f t="shared" si="144"/>
        <v>0</v>
      </c>
      <c r="L988" s="6">
        <f t="shared" si="145"/>
        <v>0</v>
      </c>
      <c r="M988" s="6">
        <f t="shared" si="146"/>
        <v>0</v>
      </c>
      <c r="N988" s="6" t="str">
        <f t="shared" si="147"/>
        <v>100PFA39-6200</v>
      </c>
      <c r="O988" s="6" t="str">
        <f t="shared" si="148"/>
        <v>SINGING THE CHICAGO BLUES</v>
      </c>
    </row>
    <row r="989" spans="8:15">
      <c r="H989">
        <f t="shared" si="141"/>
        <v>0</v>
      </c>
      <c r="I989" t="e">
        <f t="shared" si="142"/>
        <v>#VALUE!</v>
      </c>
      <c r="J989" s="6">
        <f t="shared" si="143"/>
        <v>0</v>
      </c>
      <c r="K989" s="6">
        <f t="shared" si="144"/>
        <v>0</v>
      </c>
      <c r="L989" s="6">
        <f t="shared" si="145"/>
        <v>0</v>
      </c>
      <c r="M989" s="6">
        <f t="shared" si="146"/>
        <v>0</v>
      </c>
      <c r="N989" s="6" t="str">
        <f t="shared" si="147"/>
        <v>100PFA39-6200</v>
      </c>
      <c r="O989" s="6" t="str">
        <f t="shared" si="148"/>
        <v>SINGING THE CHICAGO BLUES</v>
      </c>
    </row>
    <row r="990" spans="8:15">
      <c r="H990">
        <f t="shared" si="141"/>
        <v>0</v>
      </c>
      <c r="I990" t="e">
        <f t="shared" si="142"/>
        <v>#VALUE!</v>
      </c>
      <c r="J990" s="6">
        <f t="shared" si="143"/>
        <v>0</v>
      </c>
      <c r="K990" s="6">
        <f t="shared" si="144"/>
        <v>0</v>
      </c>
      <c r="L990" s="6">
        <f t="shared" si="145"/>
        <v>0</v>
      </c>
      <c r="M990" s="6">
        <f t="shared" si="146"/>
        <v>0</v>
      </c>
      <c r="N990" s="6" t="str">
        <f t="shared" si="147"/>
        <v>100PFA39-6200</v>
      </c>
      <c r="O990" s="6" t="str">
        <f t="shared" si="148"/>
        <v>SINGING THE CHICAGO BLUES</v>
      </c>
    </row>
    <row r="991" spans="8:15">
      <c r="H991">
        <f t="shared" si="141"/>
        <v>0</v>
      </c>
      <c r="I991" t="e">
        <f t="shared" si="142"/>
        <v>#VALUE!</v>
      </c>
      <c r="J991" s="6">
        <f t="shared" si="143"/>
        <v>0</v>
      </c>
      <c r="K991" s="6">
        <f t="shared" si="144"/>
        <v>0</v>
      </c>
      <c r="L991" s="6">
        <f t="shared" si="145"/>
        <v>0</v>
      </c>
      <c r="M991" s="6">
        <f t="shared" si="146"/>
        <v>0</v>
      </c>
      <c r="N991" s="6" t="str">
        <f t="shared" si="147"/>
        <v>100PFA39-6200</v>
      </c>
      <c r="O991" s="6" t="str">
        <f t="shared" si="148"/>
        <v>SINGING THE CHICAGO BLUES</v>
      </c>
    </row>
    <row r="992" spans="8:15">
      <c r="H992">
        <f t="shared" si="141"/>
        <v>0</v>
      </c>
      <c r="I992" t="e">
        <f t="shared" si="142"/>
        <v>#VALUE!</v>
      </c>
      <c r="J992" s="6">
        <f t="shared" si="143"/>
        <v>0</v>
      </c>
      <c r="K992" s="6">
        <f t="shared" si="144"/>
        <v>0</v>
      </c>
      <c r="L992" s="6">
        <f t="shared" si="145"/>
        <v>0</v>
      </c>
      <c r="M992" s="6">
        <f t="shared" si="146"/>
        <v>0</v>
      </c>
      <c r="N992" s="6" t="str">
        <f t="shared" si="147"/>
        <v>100PFA39-6200</v>
      </c>
      <c r="O992" s="6" t="str">
        <f t="shared" si="148"/>
        <v>SINGING THE CHICAGO BLUES</v>
      </c>
    </row>
    <row r="993" spans="8:15">
      <c r="H993">
        <f t="shared" si="141"/>
        <v>0</v>
      </c>
      <c r="I993" t="e">
        <f t="shared" si="142"/>
        <v>#VALUE!</v>
      </c>
      <c r="J993" s="6">
        <f t="shared" si="143"/>
        <v>0</v>
      </c>
      <c r="K993" s="6">
        <f t="shared" si="144"/>
        <v>0</v>
      </c>
      <c r="L993" s="6">
        <f t="shared" si="145"/>
        <v>0</v>
      </c>
      <c r="M993" s="6">
        <f t="shared" si="146"/>
        <v>0</v>
      </c>
      <c r="N993" s="6" t="str">
        <f t="shared" si="147"/>
        <v>100PFA39-6200</v>
      </c>
      <c r="O993" s="6" t="str">
        <f t="shared" si="148"/>
        <v>SINGING THE CHICAGO BLUES</v>
      </c>
    </row>
    <row r="994" spans="8:15">
      <c r="H994">
        <f t="shared" si="141"/>
        <v>0</v>
      </c>
      <c r="I994" t="e">
        <f t="shared" si="142"/>
        <v>#VALUE!</v>
      </c>
      <c r="J994" s="6">
        <f t="shared" si="143"/>
        <v>0</v>
      </c>
      <c r="K994" s="6">
        <f t="shared" si="144"/>
        <v>0</v>
      </c>
      <c r="L994" s="6">
        <f t="shared" si="145"/>
        <v>0</v>
      </c>
      <c r="M994" s="6">
        <f t="shared" si="146"/>
        <v>0</v>
      </c>
      <c r="N994" s="6" t="str">
        <f t="shared" si="147"/>
        <v>100PFA39-6200</v>
      </c>
      <c r="O994" s="6" t="str">
        <f t="shared" si="148"/>
        <v>SINGING THE CHICAGO BLUES</v>
      </c>
    </row>
    <row r="995" spans="8:15">
      <c r="H995">
        <f t="shared" si="141"/>
        <v>0</v>
      </c>
      <c r="I995" t="e">
        <f t="shared" si="142"/>
        <v>#VALUE!</v>
      </c>
      <c r="J995" s="6">
        <f t="shared" si="143"/>
        <v>0</v>
      </c>
      <c r="K995" s="6">
        <f t="shared" si="144"/>
        <v>0</v>
      </c>
      <c r="L995" s="6">
        <f t="shared" si="145"/>
        <v>0</v>
      </c>
      <c r="M995" s="6">
        <f t="shared" si="146"/>
        <v>0</v>
      </c>
      <c r="N995" s="6" t="str">
        <f t="shared" si="147"/>
        <v>100PFA39-6200</v>
      </c>
      <c r="O995" s="6" t="str">
        <f t="shared" si="148"/>
        <v>SINGING THE CHICAGO BLUES</v>
      </c>
    </row>
    <row r="996" spans="8:15">
      <c r="H996">
        <f t="shared" si="141"/>
        <v>0</v>
      </c>
      <c r="I996" t="e">
        <f t="shared" si="142"/>
        <v>#VALUE!</v>
      </c>
      <c r="J996" s="6">
        <f t="shared" si="143"/>
        <v>0</v>
      </c>
      <c r="K996" s="6">
        <f t="shared" si="144"/>
        <v>0</v>
      </c>
      <c r="L996" s="6">
        <f t="shared" si="145"/>
        <v>0</v>
      </c>
      <c r="M996" s="6">
        <f t="shared" si="146"/>
        <v>0</v>
      </c>
      <c r="N996" s="6" t="str">
        <f t="shared" si="147"/>
        <v>100PFA39-6200</v>
      </c>
      <c r="O996" s="6" t="str">
        <f t="shared" si="148"/>
        <v>SINGING THE CHICAGO BLUES</v>
      </c>
    </row>
    <row r="997" spans="8:15">
      <c r="H997">
        <f t="shared" si="141"/>
        <v>0</v>
      </c>
      <c r="I997" t="e">
        <f t="shared" si="142"/>
        <v>#VALUE!</v>
      </c>
      <c r="J997" s="6">
        <f t="shared" si="143"/>
        <v>0</v>
      </c>
      <c r="K997" s="6">
        <f t="shared" si="144"/>
        <v>0</v>
      </c>
      <c r="L997" s="6">
        <f t="shared" si="145"/>
        <v>0</v>
      </c>
      <c r="M997" s="6">
        <f t="shared" si="146"/>
        <v>0</v>
      </c>
      <c r="N997" s="6" t="str">
        <f t="shared" si="147"/>
        <v>100PFA39-6200</v>
      </c>
      <c r="O997" s="6" t="str">
        <f t="shared" si="148"/>
        <v>SINGING THE CHICAGO BLUES</v>
      </c>
    </row>
    <row r="998" spans="8:15">
      <c r="H998">
        <f t="shared" si="141"/>
        <v>0</v>
      </c>
      <c r="I998" t="e">
        <f t="shared" si="142"/>
        <v>#VALUE!</v>
      </c>
      <c r="J998" s="6">
        <f t="shared" si="143"/>
        <v>0</v>
      </c>
      <c r="K998" s="6">
        <f t="shared" si="144"/>
        <v>0</v>
      </c>
      <c r="L998" s="6">
        <f t="shared" si="145"/>
        <v>0</v>
      </c>
      <c r="M998" s="6">
        <f t="shared" si="146"/>
        <v>0</v>
      </c>
      <c r="N998" s="6" t="str">
        <f t="shared" si="147"/>
        <v>100PFA39-6200</v>
      </c>
      <c r="O998" s="6" t="str">
        <f t="shared" si="148"/>
        <v>SINGING THE CHICAGO BLUES</v>
      </c>
    </row>
    <row r="999" spans="8:15">
      <c r="H999">
        <f t="shared" si="141"/>
        <v>0</v>
      </c>
      <c r="I999" t="e">
        <f t="shared" si="142"/>
        <v>#VALUE!</v>
      </c>
      <c r="J999" s="6">
        <f t="shared" si="143"/>
        <v>0</v>
      </c>
      <c r="K999" s="6">
        <f t="shared" si="144"/>
        <v>0</v>
      </c>
      <c r="L999" s="6">
        <f t="shared" si="145"/>
        <v>0</v>
      </c>
      <c r="M999" s="6">
        <f t="shared" si="146"/>
        <v>0</v>
      </c>
      <c r="N999" s="6" t="str">
        <f t="shared" si="147"/>
        <v>100PFA39-6200</v>
      </c>
      <c r="O999" s="6" t="str">
        <f t="shared" si="148"/>
        <v>SINGING THE CHICAGO BLUES</v>
      </c>
    </row>
    <row r="1000" spans="8:15">
      <c r="H1000">
        <f t="shared" si="141"/>
        <v>0</v>
      </c>
      <c r="I1000" t="e">
        <f t="shared" si="142"/>
        <v>#VALUE!</v>
      </c>
      <c r="J1000" s="6">
        <f t="shared" si="143"/>
        <v>0</v>
      </c>
      <c r="K1000" s="6">
        <f t="shared" si="144"/>
        <v>0</v>
      </c>
      <c r="L1000" s="6">
        <f t="shared" si="145"/>
        <v>0</v>
      </c>
      <c r="M1000" s="6">
        <f t="shared" si="146"/>
        <v>0</v>
      </c>
      <c r="N1000" s="6" t="str">
        <f t="shared" si="147"/>
        <v>100PFA39-6200</v>
      </c>
      <c r="O1000" s="6" t="str">
        <f t="shared" si="148"/>
        <v>SINGING THE CHICAGO BLUES</v>
      </c>
    </row>
    <row r="1001" spans="8:15">
      <c r="H1001">
        <f t="shared" si="141"/>
        <v>0</v>
      </c>
      <c r="I1001" t="e">
        <f t="shared" si="142"/>
        <v>#VALUE!</v>
      </c>
      <c r="J1001" s="6">
        <f t="shared" si="143"/>
        <v>0</v>
      </c>
      <c r="K1001" s="6">
        <f t="shared" si="144"/>
        <v>0</v>
      </c>
      <c r="L1001" s="6">
        <f t="shared" si="145"/>
        <v>0</v>
      </c>
      <c r="M1001" s="6">
        <f t="shared" si="146"/>
        <v>0</v>
      </c>
      <c r="N1001" s="6" t="str">
        <f t="shared" si="147"/>
        <v>100PFA39-6200</v>
      </c>
      <c r="O1001" s="6" t="str">
        <f t="shared" si="148"/>
        <v>SINGING THE CHICAGO BLUES</v>
      </c>
    </row>
    <row r="1002" spans="8:15">
      <c r="H1002">
        <f t="shared" si="141"/>
        <v>0</v>
      </c>
      <c r="I1002" t="e">
        <f t="shared" si="142"/>
        <v>#VALUE!</v>
      </c>
      <c r="J1002" s="6">
        <f t="shared" si="143"/>
        <v>0</v>
      </c>
      <c r="K1002" s="6">
        <f t="shared" si="144"/>
        <v>0</v>
      </c>
      <c r="L1002" s="6">
        <f t="shared" si="145"/>
        <v>0</v>
      </c>
      <c r="M1002" s="6">
        <f t="shared" si="146"/>
        <v>0</v>
      </c>
      <c r="N1002" s="6" t="str">
        <f t="shared" si="147"/>
        <v>100PFA39-6200</v>
      </c>
      <c r="O1002" s="6" t="str">
        <f t="shared" si="148"/>
        <v>SINGING THE CHICAGO BLUES</v>
      </c>
    </row>
    <row r="1003" spans="8:15">
      <c r="H1003">
        <f t="shared" si="141"/>
        <v>0</v>
      </c>
      <c r="I1003" t="e">
        <f t="shared" si="142"/>
        <v>#VALUE!</v>
      </c>
      <c r="J1003" s="6">
        <f t="shared" si="143"/>
        <v>0</v>
      </c>
      <c r="K1003" s="6">
        <f t="shared" si="144"/>
        <v>0</v>
      </c>
      <c r="L1003" s="6">
        <f t="shared" si="145"/>
        <v>0</v>
      </c>
      <c r="M1003" s="6">
        <f t="shared" si="146"/>
        <v>0</v>
      </c>
      <c r="N1003" s="6" t="str">
        <f t="shared" si="147"/>
        <v>100PFA39-6200</v>
      </c>
      <c r="O1003" s="6" t="str">
        <f t="shared" si="148"/>
        <v>SINGING THE CHICAGO BLUES</v>
      </c>
    </row>
    <row r="1004" spans="8:15">
      <c r="H1004">
        <f t="shared" si="141"/>
        <v>0</v>
      </c>
      <c r="I1004" t="e">
        <f t="shared" si="142"/>
        <v>#VALUE!</v>
      </c>
      <c r="J1004" s="6">
        <f t="shared" si="143"/>
        <v>0</v>
      </c>
      <c r="K1004" s="6">
        <f t="shared" si="144"/>
        <v>0</v>
      </c>
      <c r="L1004" s="6">
        <f t="shared" si="145"/>
        <v>0</v>
      </c>
      <c r="M1004" s="6">
        <f t="shared" si="146"/>
        <v>0</v>
      </c>
      <c r="N1004" s="6" t="str">
        <f t="shared" si="147"/>
        <v>100PFA39-6200</v>
      </c>
      <c r="O1004" s="6" t="str">
        <f t="shared" si="148"/>
        <v>SINGING THE CHICAGO BLUES</v>
      </c>
    </row>
    <row r="1005" spans="8:15">
      <c r="H1005">
        <f t="shared" si="141"/>
        <v>0</v>
      </c>
      <c r="I1005" t="e">
        <f t="shared" si="142"/>
        <v>#VALUE!</v>
      </c>
      <c r="J1005" s="6">
        <f t="shared" si="143"/>
        <v>0</v>
      </c>
      <c r="K1005" s="6">
        <f t="shared" si="144"/>
        <v>0</v>
      </c>
      <c r="L1005" s="6">
        <f t="shared" si="145"/>
        <v>0</v>
      </c>
      <c r="M1005" s="6">
        <f t="shared" si="146"/>
        <v>0</v>
      </c>
      <c r="N1005" s="6" t="str">
        <f t="shared" si="147"/>
        <v>100PFA39-6200</v>
      </c>
      <c r="O1005" s="6" t="str">
        <f t="shared" si="148"/>
        <v>SINGING THE CHICAGO BLUES</v>
      </c>
    </row>
    <row r="1006" spans="8:15">
      <c r="H1006">
        <f t="shared" si="141"/>
        <v>0</v>
      </c>
      <c r="I1006" t="e">
        <f t="shared" si="142"/>
        <v>#VALUE!</v>
      </c>
      <c r="J1006" s="6">
        <f t="shared" si="143"/>
        <v>0</v>
      </c>
      <c r="K1006" s="6">
        <f t="shared" si="144"/>
        <v>0</v>
      </c>
      <c r="L1006" s="6">
        <f t="shared" si="145"/>
        <v>0</v>
      </c>
      <c r="M1006" s="6">
        <f t="shared" si="146"/>
        <v>0</v>
      </c>
      <c r="N1006" s="6" t="str">
        <f t="shared" si="147"/>
        <v>100PFA39-6200</v>
      </c>
      <c r="O1006" s="6" t="str">
        <f t="shared" si="148"/>
        <v>SINGING THE CHICAGO BLUES</v>
      </c>
    </row>
    <row r="1007" spans="8:15">
      <c r="H1007">
        <f t="shared" si="141"/>
        <v>0</v>
      </c>
      <c r="I1007" t="e">
        <f t="shared" si="142"/>
        <v>#VALUE!</v>
      </c>
      <c r="J1007" s="6">
        <f t="shared" si="143"/>
        <v>0</v>
      </c>
      <c r="K1007" s="6">
        <f t="shared" si="144"/>
        <v>0</v>
      </c>
      <c r="L1007" s="6">
        <f t="shared" si="145"/>
        <v>0</v>
      </c>
      <c r="M1007" s="6">
        <f t="shared" si="146"/>
        <v>0</v>
      </c>
      <c r="N1007" s="6" t="str">
        <f t="shared" si="147"/>
        <v>100PFA39-6200</v>
      </c>
      <c r="O1007" s="6" t="str">
        <f t="shared" si="148"/>
        <v>SINGING THE CHICAGO BLUES</v>
      </c>
    </row>
    <row r="1008" spans="8:15">
      <c r="H1008">
        <f t="shared" si="141"/>
        <v>0</v>
      </c>
      <c r="I1008" t="e">
        <f t="shared" si="142"/>
        <v>#VALUE!</v>
      </c>
      <c r="J1008" s="6">
        <f t="shared" si="143"/>
        <v>0</v>
      </c>
      <c r="K1008" s="6">
        <f t="shared" si="144"/>
        <v>0</v>
      </c>
      <c r="L1008" s="6">
        <f t="shared" si="145"/>
        <v>0</v>
      </c>
      <c r="M1008" s="6">
        <f t="shared" si="146"/>
        <v>0</v>
      </c>
      <c r="N1008" s="6" t="str">
        <f t="shared" si="147"/>
        <v>100PFA39-6200</v>
      </c>
      <c r="O1008" s="6" t="str">
        <f t="shared" si="148"/>
        <v>SINGING THE CHICAGO BLUES</v>
      </c>
    </row>
    <row r="1009" spans="8:15">
      <c r="H1009">
        <f t="shared" si="141"/>
        <v>0</v>
      </c>
      <c r="I1009" t="e">
        <f t="shared" si="142"/>
        <v>#VALUE!</v>
      </c>
      <c r="J1009" s="6">
        <f t="shared" si="143"/>
        <v>0</v>
      </c>
      <c r="K1009" s="6">
        <f t="shared" si="144"/>
        <v>0</v>
      </c>
      <c r="L1009" s="6">
        <f t="shared" si="145"/>
        <v>0</v>
      </c>
      <c r="M1009" s="6">
        <f t="shared" si="146"/>
        <v>0</v>
      </c>
      <c r="N1009" s="6" t="str">
        <f t="shared" si="147"/>
        <v>100PFA39-6200</v>
      </c>
      <c r="O1009" s="6" t="str">
        <f t="shared" si="148"/>
        <v>SINGING THE CHICAGO BLUES</v>
      </c>
    </row>
    <row r="1010" spans="8:15">
      <c r="H1010">
        <f t="shared" si="141"/>
        <v>0</v>
      </c>
      <c r="I1010" t="e">
        <f t="shared" si="142"/>
        <v>#VALUE!</v>
      </c>
      <c r="J1010" s="6">
        <f t="shared" si="143"/>
        <v>0</v>
      </c>
      <c r="K1010" s="6">
        <f t="shared" si="144"/>
        <v>0</v>
      </c>
      <c r="L1010" s="6">
        <f t="shared" si="145"/>
        <v>0</v>
      </c>
      <c r="M1010" s="6">
        <f t="shared" si="146"/>
        <v>0</v>
      </c>
      <c r="N1010" s="6" t="str">
        <f t="shared" si="147"/>
        <v>100PFA39-6200</v>
      </c>
      <c r="O1010" s="6" t="str">
        <f t="shared" si="148"/>
        <v>SINGING THE CHICAGO BLUES</v>
      </c>
    </row>
    <row r="1011" spans="8:15">
      <c r="H1011">
        <f t="shared" si="141"/>
        <v>0</v>
      </c>
      <c r="I1011" t="e">
        <f t="shared" si="142"/>
        <v>#VALUE!</v>
      </c>
      <c r="J1011" s="6">
        <f t="shared" si="143"/>
        <v>0</v>
      </c>
      <c r="K1011" s="6">
        <f t="shared" si="144"/>
        <v>0</v>
      </c>
      <c r="L1011" s="6">
        <f t="shared" si="145"/>
        <v>0</v>
      </c>
      <c r="M1011" s="6">
        <f t="shared" si="146"/>
        <v>0</v>
      </c>
      <c r="N1011" s="6" t="str">
        <f t="shared" si="147"/>
        <v>100PFA39-6200</v>
      </c>
      <c r="O1011" s="6" t="str">
        <f t="shared" si="148"/>
        <v>SINGING THE CHICAGO BLUES</v>
      </c>
    </row>
    <row r="1012" spans="8:15">
      <c r="H1012">
        <f t="shared" si="141"/>
        <v>0</v>
      </c>
      <c r="I1012" t="e">
        <f t="shared" si="142"/>
        <v>#VALUE!</v>
      </c>
      <c r="J1012" s="6">
        <f t="shared" si="143"/>
        <v>0</v>
      </c>
      <c r="K1012" s="6">
        <f t="shared" si="144"/>
        <v>0</v>
      </c>
      <c r="L1012" s="6">
        <f t="shared" si="145"/>
        <v>0</v>
      </c>
      <c r="M1012" s="6">
        <f t="shared" si="146"/>
        <v>0</v>
      </c>
      <c r="N1012" s="6" t="str">
        <f t="shared" si="147"/>
        <v>100PFA39-6200</v>
      </c>
      <c r="O1012" s="6" t="str">
        <f t="shared" si="148"/>
        <v>SINGING THE CHICAGO BLUES</v>
      </c>
    </row>
    <row r="1013" spans="8:15">
      <c r="H1013">
        <f t="shared" si="141"/>
        <v>0</v>
      </c>
      <c r="I1013" t="e">
        <f t="shared" si="142"/>
        <v>#VALUE!</v>
      </c>
      <c r="J1013" s="6">
        <f t="shared" si="143"/>
        <v>0</v>
      </c>
      <c r="K1013" s="6">
        <f t="shared" si="144"/>
        <v>0</v>
      </c>
      <c r="L1013" s="6">
        <f t="shared" si="145"/>
        <v>0</v>
      </c>
      <c r="M1013" s="6">
        <f t="shared" si="146"/>
        <v>0</v>
      </c>
      <c r="N1013" s="6" t="str">
        <f t="shared" si="147"/>
        <v>100PFA39-6200</v>
      </c>
      <c r="O1013" s="6" t="str">
        <f t="shared" si="148"/>
        <v>SINGING THE CHICAGO BLUES</v>
      </c>
    </row>
    <row r="1014" spans="8:15">
      <c r="H1014">
        <f t="shared" si="141"/>
        <v>0</v>
      </c>
      <c r="I1014" t="e">
        <f t="shared" si="142"/>
        <v>#VALUE!</v>
      </c>
      <c r="J1014" s="6">
        <f t="shared" si="143"/>
        <v>0</v>
      </c>
      <c r="K1014" s="6">
        <f t="shared" si="144"/>
        <v>0</v>
      </c>
      <c r="L1014" s="6">
        <f t="shared" si="145"/>
        <v>0</v>
      </c>
      <c r="M1014" s="6">
        <f t="shared" si="146"/>
        <v>0</v>
      </c>
      <c r="N1014" s="6" t="str">
        <f t="shared" si="147"/>
        <v>100PFA39-6200</v>
      </c>
      <c r="O1014" s="6" t="str">
        <f t="shared" si="148"/>
        <v>SINGING THE CHICAGO BLUES</v>
      </c>
    </row>
    <row r="1015" spans="8:15">
      <c r="H1015">
        <f t="shared" si="141"/>
        <v>0</v>
      </c>
      <c r="I1015" t="e">
        <f t="shared" si="142"/>
        <v>#VALUE!</v>
      </c>
      <c r="J1015" s="6">
        <f t="shared" si="143"/>
        <v>0</v>
      </c>
      <c r="K1015" s="6">
        <f t="shared" si="144"/>
        <v>0</v>
      </c>
      <c r="L1015" s="6">
        <f t="shared" si="145"/>
        <v>0</v>
      </c>
      <c r="M1015" s="6">
        <f t="shared" si="146"/>
        <v>0</v>
      </c>
      <c r="N1015" s="6" t="str">
        <f t="shared" si="147"/>
        <v>100PFA39-6200</v>
      </c>
      <c r="O1015" s="6" t="str">
        <f t="shared" si="148"/>
        <v>SINGING THE CHICAGO BLUES</v>
      </c>
    </row>
    <row r="1016" spans="8:15">
      <c r="H1016">
        <f t="shared" si="141"/>
        <v>0</v>
      </c>
      <c r="I1016" t="e">
        <f t="shared" si="142"/>
        <v>#VALUE!</v>
      </c>
      <c r="J1016" s="6">
        <f t="shared" si="143"/>
        <v>0</v>
      </c>
      <c r="K1016" s="6">
        <f t="shared" si="144"/>
        <v>0</v>
      </c>
      <c r="L1016" s="6">
        <f t="shared" si="145"/>
        <v>0</v>
      </c>
      <c r="M1016" s="6">
        <f t="shared" si="146"/>
        <v>0</v>
      </c>
      <c r="N1016" s="6" t="str">
        <f t="shared" si="147"/>
        <v>100PFA39-6200</v>
      </c>
      <c r="O1016" s="6" t="str">
        <f t="shared" si="148"/>
        <v>SINGING THE CHICAGO BLUES</v>
      </c>
    </row>
    <row r="1017" spans="8:15">
      <c r="H1017">
        <f t="shared" si="141"/>
        <v>0</v>
      </c>
      <c r="I1017" t="e">
        <f t="shared" si="142"/>
        <v>#VALUE!</v>
      </c>
      <c r="J1017" s="6">
        <f t="shared" si="143"/>
        <v>0</v>
      </c>
      <c r="K1017" s="6">
        <f t="shared" si="144"/>
        <v>0</v>
      </c>
      <c r="L1017" s="6">
        <f t="shared" si="145"/>
        <v>0</v>
      </c>
      <c r="M1017" s="6">
        <f t="shared" si="146"/>
        <v>0</v>
      </c>
      <c r="N1017" s="6" t="str">
        <f t="shared" si="147"/>
        <v>100PFA39-6200</v>
      </c>
      <c r="O1017" s="6" t="str">
        <f t="shared" si="148"/>
        <v>SINGING THE CHICAGO BLUES</v>
      </c>
    </row>
    <row r="1018" spans="8:15">
      <c r="H1018">
        <f t="shared" si="141"/>
        <v>0</v>
      </c>
      <c r="I1018" t="e">
        <f t="shared" si="142"/>
        <v>#VALUE!</v>
      </c>
      <c r="J1018" s="6">
        <f t="shared" si="143"/>
        <v>0</v>
      </c>
      <c r="K1018" s="6">
        <f t="shared" si="144"/>
        <v>0</v>
      </c>
      <c r="L1018" s="6">
        <f t="shared" si="145"/>
        <v>0</v>
      </c>
      <c r="M1018" s="6">
        <f t="shared" si="146"/>
        <v>0</v>
      </c>
      <c r="N1018" s="6" t="str">
        <f t="shared" si="147"/>
        <v>100PFA39-6200</v>
      </c>
      <c r="O1018" s="6" t="str">
        <f t="shared" si="148"/>
        <v>SINGING THE CHICAGO BLUES</v>
      </c>
    </row>
    <row r="1019" spans="8:15">
      <c r="H1019">
        <f t="shared" si="141"/>
        <v>0</v>
      </c>
      <c r="I1019" t="e">
        <f t="shared" si="142"/>
        <v>#VALUE!</v>
      </c>
      <c r="J1019" s="6">
        <f t="shared" si="143"/>
        <v>0</v>
      </c>
      <c r="K1019" s="6">
        <f t="shared" si="144"/>
        <v>0</v>
      </c>
      <c r="L1019" s="6">
        <f t="shared" si="145"/>
        <v>0</v>
      </c>
      <c r="M1019" s="6">
        <f t="shared" si="146"/>
        <v>0</v>
      </c>
      <c r="N1019" s="6" t="str">
        <f t="shared" si="147"/>
        <v>100PFA39-6200</v>
      </c>
      <c r="O1019" s="6" t="str">
        <f t="shared" si="148"/>
        <v>SINGING THE CHICAGO BLUES</v>
      </c>
    </row>
    <row r="1020" spans="8:15">
      <c r="H1020">
        <f t="shared" si="141"/>
        <v>0</v>
      </c>
      <c r="I1020" t="e">
        <f t="shared" si="142"/>
        <v>#VALUE!</v>
      </c>
      <c r="J1020" s="6">
        <f t="shared" si="143"/>
        <v>0</v>
      </c>
      <c r="K1020" s="6">
        <f t="shared" si="144"/>
        <v>0</v>
      </c>
      <c r="L1020" s="6">
        <f t="shared" si="145"/>
        <v>0</v>
      </c>
      <c r="M1020" s="6">
        <f t="shared" si="146"/>
        <v>0</v>
      </c>
      <c r="N1020" s="6" t="str">
        <f t="shared" si="147"/>
        <v>100PFA39-6200</v>
      </c>
      <c r="O1020" s="6" t="str">
        <f t="shared" si="148"/>
        <v>SINGING THE CHICAGO BLUES</v>
      </c>
    </row>
    <row r="1021" spans="8:15">
      <c r="H1021">
        <f t="shared" si="141"/>
        <v>0</v>
      </c>
      <c r="I1021" t="e">
        <f t="shared" si="142"/>
        <v>#VALUE!</v>
      </c>
      <c r="J1021" s="6">
        <f t="shared" si="143"/>
        <v>0</v>
      </c>
      <c r="K1021" s="6">
        <f t="shared" si="144"/>
        <v>0</v>
      </c>
      <c r="L1021" s="6">
        <f t="shared" si="145"/>
        <v>0</v>
      </c>
      <c r="M1021" s="6">
        <f t="shared" si="146"/>
        <v>0</v>
      </c>
      <c r="N1021" s="6" t="str">
        <f t="shared" si="147"/>
        <v>100PFA39-6200</v>
      </c>
      <c r="O1021" s="6" t="str">
        <f t="shared" si="148"/>
        <v>SINGING THE CHICAGO BLUES</v>
      </c>
    </row>
    <row r="1022" spans="8:15">
      <c r="H1022">
        <f t="shared" si="141"/>
        <v>0</v>
      </c>
      <c r="I1022" t="e">
        <f t="shared" si="142"/>
        <v>#VALUE!</v>
      </c>
      <c r="J1022" s="6">
        <f t="shared" si="143"/>
        <v>0</v>
      </c>
      <c r="K1022" s="6">
        <f t="shared" si="144"/>
        <v>0</v>
      </c>
      <c r="L1022" s="6">
        <f t="shared" si="145"/>
        <v>0</v>
      </c>
      <c r="M1022" s="6">
        <f t="shared" si="146"/>
        <v>0</v>
      </c>
      <c r="N1022" s="6" t="str">
        <f t="shared" si="147"/>
        <v>100PFA39-6200</v>
      </c>
      <c r="O1022" s="6" t="str">
        <f t="shared" si="148"/>
        <v>SINGING THE CHICAGO BLUES</v>
      </c>
    </row>
    <row r="1023" spans="8:15">
      <c r="H1023">
        <f t="shared" si="141"/>
        <v>0</v>
      </c>
      <c r="I1023" t="e">
        <f t="shared" si="142"/>
        <v>#VALUE!</v>
      </c>
      <c r="J1023" s="6">
        <f t="shared" si="143"/>
        <v>0</v>
      </c>
      <c r="K1023" s="6">
        <f t="shared" si="144"/>
        <v>0</v>
      </c>
      <c r="L1023" s="6">
        <f t="shared" si="145"/>
        <v>0</v>
      </c>
      <c r="M1023" s="6">
        <f t="shared" si="146"/>
        <v>0</v>
      </c>
      <c r="N1023" s="6" t="str">
        <f t="shared" si="147"/>
        <v>100PFA39-6200</v>
      </c>
      <c r="O1023" s="6" t="str">
        <f t="shared" si="148"/>
        <v>SINGING THE CHICAGO BLUES</v>
      </c>
    </row>
    <row r="1024" spans="8:15">
      <c r="H1024">
        <f t="shared" si="141"/>
        <v>0</v>
      </c>
      <c r="I1024" t="e">
        <f t="shared" si="142"/>
        <v>#VALUE!</v>
      </c>
      <c r="J1024" s="6">
        <f t="shared" si="143"/>
        <v>0</v>
      </c>
      <c r="K1024" s="6">
        <f t="shared" si="144"/>
        <v>0</v>
      </c>
      <c r="L1024" s="6">
        <f t="shared" si="145"/>
        <v>0</v>
      </c>
      <c r="M1024" s="6">
        <f t="shared" si="146"/>
        <v>0</v>
      </c>
      <c r="N1024" s="6" t="str">
        <f t="shared" si="147"/>
        <v>100PFA39-6200</v>
      </c>
      <c r="O1024" s="6" t="str">
        <f t="shared" si="148"/>
        <v>SINGING THE CHICAGO BLUES</v>
      </c>
    </row>
    <row r="1025" spans="8:15">
      <c r="H1025">
        <f t="shared" si="141"/>
        <v>0</v>
      </c>
      <c r="I1025" t="e">
        <f t="shared" si="142"/>
        <v>#VALUE!</v>
      </c>
      <c r="J1025" s="6">
        <f t="shared" si="143"/>
        <v>0</v>
      </c>
      <c r="K1025" s="6">
        <f t="shared" si="144"/>
        <v>0</v>
      </c>
      <c r="L1025" s="6">
        <f t="shared" si="145"/>
        <v>0</v>
      </c>
      <c r="M1025" s="6">
        <f t="shared" si="146"/>
        <v>0</v>
      </c>
      <c r="N1025" s="6" t="str">
        <f t="shared" si="147"/>
        <v>100PFA39-6200</v>
      </c>
      <c r="O1025" s="6" t="str">
        <f t="shared" si="148"/>
        <v>SINGING THE CHICAGO BLUES</v>
      </c>
    </row>
    <row r="1026" spans="8:15">
      <c r="H1026">
        <f t="shared" si="141"/>
        <v>0</v>
      </c>
      <c r="I1026" t="e">
        <f t="shared" si="142"/>
        <v>#VALUE!</v>
      </c>
      <c r="J1026" s="6">
        <f t="shared" si="143"/>
        <v>0</v>
      </c>
      <c r="K1026" s="6">
        <f t="shared" si="144"/>
        <v>0</v>
      </c>
      <c r="L1026" s="6">
        <f t="shared" si="145"/>
        <v>0</v>
      </c>
      <c r="M1026" s="6">
        <f t="shared" si="146"/>
        <v>0</v>
      </c>
      <c r="N1026" s="6" t="str">
        <f t="shared" si="147"/>
        <v>100PFA39-6200</v>
      </c>
      <c r="O1026" s="6" t="str">
        <f t="shared" si="148"/>
        <v>SINGING THE CHICAGO BLUES</v>
      </c>
    </row>
    <row r="1027" spans="8:15">
      <c r="H1027">
        <f t="shared" si="141"/>
        <v>0</v>
      </c>
      <c r="I1027" t="e">
        <f t="shared" si="142"/>
        <v>#VALUE!</v>
      </c>
      <c r="J1027" s="6">
        <f t="shared" si="143"/>
        <v>0</v>
      </c>
      <c r="K1027" s="6">
        <f t="shared" si="144"/>
        <v>0</v>
      </c>
      <c r="L1027" s="6">
        <f t="shared" si="145"/>
        <v>0</v>
      </c>
      <c r="M1027" s="6">
        <f t="shared" si="146"/>
        <v>0</v>
      </c>
      <c r="N1027" s="6" t="str">
        <f t="shared" si="147"/>
        <v>100PFA39-6200</v>
      </c>
      <c r="O1027" s="6" t="str">
        <f t="shared" si="148"/>
        <v>SINGING THE CHICAGO BLUES</v>
      </c>
    </row>
    <row r="1028" spans="8:15">
      <c r="H1028">
        <f t="shared" si="141"/>
        <v>0</v>
      </c>
      <c r="I1028" t="e">
        <f t="shared" si="142"/>
        <v>#VALUE!</v>
      </c>
      <c r="J1028" s="6">
        <f t="shared" si="143"/>
        <v>0</v>
      </c>
      <c r="K1028" s="6">
        <f t="shared" si="144"/>
        <v>0</v>
      </c>
      <c r="L1028" s="6">
        <f t="shared" si="145"/>
        <v>0</v>
      </c>
      <c r="M1028" s="6">
        <f t="shared" si="146"/>
        <v>0</v>
      </c>
      <c r="N1028" s="6" t="str">
        <f t="shared" si="147"/>
        <v>100PFA39-6200</v>
      </c>
      <c r="O1028" s="6" t="str">
        <f t="shared" si="148"/>
        <v>SINGING THE CHICAGO BLUES</v>
      </c>
    </row>
    <row r="1029" spans="8:15">
      <c r="H1029">
        <f t="shared" si="141"/>
        <v>0</v>
      </c>
      <c r="I1029" t="e">
        <f t="shared" si="142"/>
        <v>#VALUE!</v>
      </c>
      <c r="J1029" s="6">
        <f t="shared" si="143"/>
        <v>0</v>
      </c>
      <c r="K1029" s="6">
        <f t="shared" si="144"/>
        <v>0</v>
      </c>
      <c r="L1029" s="6">
        <f t="shared" si="145"/>
        <v>0</v>
      </c>
      <c r="M1029" s="6">
        <f t="shared" si="146"/>
        <v>0</v>
      </c>
      <c r="N1029" s="6" t="str">
        <f t="shared" si="147"/>
        <v>100PFA39-6200</v>
      </c>
      <c r="O1029" s="6" t="str">
        <f t="shared" si="148"/>
        <v>SINGING THE CHICAGO BLUES</v>
      </c>
    </row>
    <row r="1030" spans="8:15">
      <c r="H1030">
        <f t="shared" si="141"/>
        <v>0</v>
      </c>
      <c r="I1030" t="e">
        <f t="shared" si="142"/>
        <v>#VALUE!</v>
      </c>
      <c r="J1030" s="6">
        <f t="shared" si="143"/>
        <v>0</v>
      </c>
      <c r="K1030" s="6">
        <f t="shared" si="144"/>
        <v>0</v>
      </c>
      <c r="L1030" s="6">
        <f t="shared" si="145"/>
        <v>0</v>
      </c>
      <c r="M1030" s="6">
        <f t="shared" si="146"/>
        <v>0</v>
      </c>
      <c r="N1030" s="6" t="str">
        <f t="shared" si="147"/>
        <v>100PFA39-6200</v>
      </c>
      <c r="O1030" s="6" t="str">
        <f t="shared" si="148"/>
        <v>SINGING THE CHICAGO BLUES</v>
      </c>
    </row>
    <row r="1031" spans="8:15">
      <c r="H1031">
        <f t="shared" ref="H1031:H1094" si="149">A1031</f>
        <v>0</v>
      </c>
      <c r="I1031" t="e">
        <f t="shared" ref="I1031:I1094" si="150">IFERROR(IF(SEARCH(" &lt;-",B1031,1),LEFT(B1031,SEARCH(" ",B1031,1)-1),""),LEFT(B1031,SEARCH("View",B1031,1)-1))</f>
        <v>#VALUE!</v>
      </c>
      <c r="J1031" s="6">
        <f t="shared" ref="J1031:J1094" si="151">C1031</f>
        <v>0</v>
      </c>
      <c r="K1031" s="6">
        <f t="shared" ref="K1031:K1094" si="152">D1031</f>
        <v>0</v>
      </c>
      <c r="L1031" s="6">
        <f t="shared" ref="L1031:L1094" si="153">E1031</f>
        <v>0</v>
      </c>
      <c r="M1031" s="6">
        <f t="shared" ref="M1031:M1094" si="154">F1031</f>
        <v>0</v>
      </c>
      <c r="N1031" s="6" t="str">
        <f t="shared" si="147"/>
        <v>100PFA39-6200</v>
      </c>
      <c r="O1031" s="6" t="str">
        <f t="shared" si="148"/>
        <v>SINGING THE CHICAGO BLUES</v>
      </c>
    </row>
    <row r="1032" spans="8:15">
      <c r="H1032">
        <f t="shared" si="149"/>
        <v>0</v>
      </c>
      <c r="I1032" t="e">
        <f t="shared" si="150"/>
        <v>#VALUE!</v>
      </c>
      <c r="J1032" s="6">
        <f t="shared" si="151"/>
        <v>0</v>
      </c>
      <c r="K1032" s="6">
        <f t="shared" si="152"/>
        <v>0</v>
      </c>
      <c r="L1032" s="6">
        <f t="shared" si="153"/>
        <v>0</v>
      </c>
      <c r="M1032" s="6">
        <f t="shared" si="154"/>
        <v>0</v>
      </c>
      <c r="N1032" s="6" t="str">
        <f t="shared" ref="N1032:N1095" si="155">TRIM($B$1)</f>
        <v>100PFA39-6200</v>
      </c>
      <c r="O1032" s="6" t="str">
        <f t="shared" ref="O1032:O1095" si="156">TRIM($C$1)</f>
        <v>SINGING THE CHICAGO BLUES</v>
      </c>
    </row>
    <row r="1033" spans="8:15">
      <c r="H1033">
        <f t="shared" si="149"/>
        <v>0</v>
      </c>
      <c r="I1033" t="e">
        <f t="shared" si="150"/>
        <v>#VALUE!</v>
      </c>
      <c r="J1033" s="6">
        <f t="shared" si="151"/>
        <v>0</v>
      </c>
      <c r="K1033" s="6">
        <f t="shared" si="152"/>
        <v>0</v>
      </c>
      <c r="L1033" s="6">
        <f t="shared" si="153"/>
        <v>0</v>
      </c>
      <c r="M1033" s="6">
        <f t="shared" si="154"/>
        <v>0</v>
      </c>
      <c r="N1033" s="6" t="str">
        <f t="shared" si="155"/>
        <v>100PFA39-6200</v>
      </c>
      <c r="O1033" s="6" t="str">
        <f t="shared" si="156"/>
        <v>SINGING THE CHICAGO BLUES</v>
      </c>
    </row>
    <row r="1034" spans="8:15">
      <c r="H1034">
        <f t="shared" si="149"/>
        <v>0</v>
      </c>
      <c r="I1034" t="e">
        <f t="shared" si="150"/>
        <v>#VALUE!</v>
      </c>
      <c r="J1034" s="6">
        <f t="shared" si="151"/>
        <v>0</v>
      </c>
      <c r="K1034" s="6">
        <f t="shared" si="152"/>
        <v>0</v>
      </c>
      <c r="L1034" s="6">
        <f t="shared" si="153"/>
        <v>0</v>
      </c>
      <c r="M1034" s="6">
        <f t="shared" si="154"/>
        <v>0</v>
      </c>
      <c r="N1034" s="6" t="str">
        <f t="shared" si="155"/>
        <v>100PFA39-6200</v>
      </c>
      <c r="O1034" s="6" t="str">
        <f t="shared" si="156"/>
        <v>SINGING THE CHICAGO BLUES</v>
      </c>
    </row>
    <row r="1035" spans="8:15">
      <c r="H1035">
        <f t="shared" si="149"/>
        <v>0</v>
      </c>
      <c r="I1035" t="e">
        <f t="shared" si="150"/>
        <v>#VALUE!</v>
      </c>
      <c r="J1035" s="6">
        <f t="shared" si="151"/>
        <v>0</v>
      </c>
      <c r="K1035" s="6">
        <f t="shared" si="152"/>
        <v>0</v>
      </c>
      <c r="L1035" s="6">
        <f t="shared" si="153"/>
        <v>0</v>
      </c>
      <c r="M1035" s="6">
        <f t="shared" si="154"/>
        <v>0</v>
      </c>
      <c r="N1035" s="6" t="str">
        <f t="shared" si="155"/>
        <v>100PFA39-6200</v>
      </c>
      <c r="O1035" s="6" t="str">
        <f t="shared" si="156"/>
        <v>SINGING THE CHICAGO BLUES</v>
      </c>
    </row>
    <row r="1036" spans="8:15">
      <c r="H1036">
        <f t="shared" si="149"/>
        <v>0</v>
      </c>
      <c r="I1036" t="e">
        <f t="shared" si="150"/>
        <v>#VALUE!</v>
      </c>
      <c r="J1036" s="6">
        <f t="shared" si="151"/>
        <v>0</v>
      </c>
      <c r="K1036" s="6">
        <f t="shared" si="152"/>
        <v>0</v>
      </c>
      <c r="L1036" s="6">
        <f t="shared" si="153"/>
        <v>0</v>
      </c>
      <c r="M1036" s="6">
        <f t="shared" si="154"/>
        <v>0</v>
      </c>
      <c r="N1036" s="6" t="str">
        <f t="shared" si="155"/>
        <v>100PFA39-6200</v>
      </c>
      <c r="O1036" s="6" t="str">
        <f t="shared" si="156"/>
        <v>SINGING THE CHICAGO BLUES</v>
      </c>
    </row>
    <row r="1037" spans="8:15">
      <c r="H1037">
        <f t="shared" si="149"/>
        <v>0</v>
      </c>
      <c r="I1037" t="e">
        <f t="shared" si="150"/>
        <v>#VALUE!</v>
      </c>
      <c r="J1037" s="6">
        <f t="shared" si="151"/>
        <v>0</v>
      </c>
      <c r="K1037" s="6">
        <f t="shared" si="152"/>
        <v>0</v>
      </c>
      <c r="L1037" s="6">
        <f t="shared" si="153"/>
        <v>0</v>
      </c>
      <c r="M1037" s="6">
        <f t="shared" si="154"/>
        <v>0</v>
      </c>
      <c r="N1037" s="6" t="str">
        <f t="shared" si="155"/>
        <v>100PFA39-6200</v>
      </c>
      <c r="O1037" s="6" t="str">
        <f t="shared" si="156"/>
        <v>SINGING THE CHICAGO BLUES</v>
      </c>
    </row>
    <row r="1038" spans="8:15">
      <c r="H1038">
        <f t="shared" si="149"/>
        <v>0</v>
      </c>
      <c r="I1038" t="e">
        <f t="shared" si="150"/>
        <v>#VALUE!</v>
      </c>
      <c r="J1038" s="6">
        <f t="shared" si="151"/>
        <v>0</v>
      </c>
      <c r="K1038" s="6">
        <f t="shared" si="152"/>
        <v>0</v>
      </c>
      <c r="L1038" s="6">
        <f t="shared" si="153"/>
        <v>0</v>
      </c>
      <c r="M1038" s="6">
        <f t="shared" si="154"/>
        <v>0</v>
      </c>
      <c r="N1038" s="6" t="str">
        <f t="shared" si="155"/>
        <v>100PFA39-6200</v>
      </c>
      <c r="O1038" s="6" t="str">
        <f t="shared" si="156"/>
        <v>SINGING THE CHICAGO BLUES</v>
      </c>
    </row>
    <row r="1039" spans="8:15">
      <c r="H1039">
        <f t="shared" si="149"/>
        <v>0</v>
      </c>
      <c r="I1039" t="e">
        <f t="shared" si="150"/>
        <v>#VALUE!</v>
      </c>
      <c r="J1039" s="6">
        <f t="shared" si="151"/>
        <v>0</v>
      </c>
      <c r="K1039" s="6">
        <f t="shared" si="152"/>
        <v>0</v>
      </c>
      <c r="L1039" s="6">
        <f t="shared" si="153"/>
        <v>0</v>
      </c>
      <c r="M1039" s="6">
        <f t="shared" si="154"/>
        <v>0</v>
      </c>
      <c r="N1039" s="6" t="str">
        <f t="shared" si="155"/>
        <v>100PFA39-6200</v>
      </c>
      <c r="O1039" s="6" t="str">
        <f t="shared" si="156"/>
        <v>SINGING THE CHICAGO BLUES</v>
      </c>
    </row>
    <row r="1040" spans="8:15">
      <c r="H1040">
        <f t="shared" si="149"/>
        <v>0</v>
      </c>
      <c r="I1040" t="e">
        <f t="shared" si="150"/>
        <v>#VALUE!</v>
      </c>
      <c r="J1040" s="6">
        <f t="shared" si="151"/>
        <v>0</v>
      </c>
      <c r="K1040" s="6">
        <f t="shared" si="152"/>
        <v>0</v>
      </c>
      <c r="L1040" s="6">
        <f t="shared" si="153"/>
        <v>0</v>
      </c>
      <c r="M1040" s="6">
        <f t="shared" si="154"/>
        <v>0</v>
      </c>
      <c r="N1040" s="6" t="str">
        <f t="shared" si="155"/>
        <v>100PFA39-6200</v>
      </c>
      <c r="O1040" s="6" t="str">
        <f t="shared" si="156"/>
        <v>SINGING THE CHICAGO BLUES</v>
      </c>
    </row>
    <row r="1041" spans="8:15">
      <c r="H1041">
        <f t="shared" si="149"/>
        <v>0</v>
      </c>
      <c r="I1041" t="e">
        <f t="shared" si="150"/>
        <v>#VALUE!</v>
      </c>
      <c r="J1041" s="6">
        <f t="shared" si="151"/>
        <v>0</v>
      </c>
      <c r="K1041" s="6">
        <f t="shared" si="152"/>
        <v>0</v>
      </c>
      <c r="L1041" s="6">
        <f t="shared" si="153"/>
        <v>0</v>
      </c>
      <c r="M1041" s="6">
        <f t="shared" si="154"/>
        <v>0</v>
      </c>
      <c r="N1041" s="6" t="str">
        <f t="shared" si="155"/>
        <v>100PFA39-6200</v>
      </c>
      <c r="O1041" s="6" t="str">
        <f t="shared" si="156"/>
        <v>SINGING THE CHICAGO BLUES</v>
      </c>
    </row>
    <row r="1042" spans="8:15">
      <c r="H1042">
        <f t="shared" si="149"/>
        <v>0</v>
      </c>
      <c r="I1042" t="e">
        <f t="shared" si="150"/>
        <v>#VALUE!</v>
      </c>
      <c r="J1042" s="6">
        <f t="shared" si="151"/>
        <v>0</v>
      </c>
      <c r="K1042" s="6">
        <f t="shared" si="152"/>
        <v>0</v>
      </c>
      <c r="L1042" s="6">
        <f t="shared" si="153"/>
        <v>0</v>
      </c>
      <c r="M1042" s="6">
        <f t="shared" si="154"/>
        <v>0</v>
      </c>
      <c r="N1042" s="6" t="str">
        <f t="shared" si="155"/>
        <v>100PFA39-6200</v>
      </c>
      <c r="O1042" s="6" t="str">
        <f t="shared" si="156"/>
        <v>SINGING THE CHICAGO BLUES</v>
      </c>
    </row>
    <row r="1043" spans="8:15">
      <c r="H1043">
        <f t="shared" si="149"/>
        <v>0</v>
      </c>
      <c r="I1043" t="e">
        <f t="shared" si="150"/>
        <v>#VALUE!</v>
      </c>
      <c r="J1043" s="6">
        <f t="shared" si="151"/>
        <v>0</v>
      </c>
      <c r="K1043" s="6">
        <f t="shared" si="152"/>
        <v>0</v>
      </c>
      <c r="L1043" s="6">
        <f t="shared" si="153"/>
        <v>0</v>
      </c>
      <c r="M1043" s="6">
        <f t="shared" si="154"/>
        <v>0</v>
      </c>
      <c r="N1043" s="6" t="str">
        <f t="shared" si="155"/>
        <v>100PFA39-6200</v>
      </c>
      <c r="O1043" s="6" t="str">
        <f t="shared" si="156"/>
        <v>SINGING THE CHICAGO BLUES</v>
      </c>
    </row>
    <row r="1044" spans="8:15">
      <c r="H1044">
        <f t="shared" si="149"/>
        <v>0</v>
      </c>
      <c r="I1044" t="e">
        <f t="shared" si="150"/>
        <v>#VALUE!</v>
      </c>
      <c r="J1044" s="6">
        <f t="shared" si="151"/>
        <v>0</v>
      </c>
      <c r="K1044" s="6">
        <f t="shared" si="152"/>
        <v>0</v>
      </c>
      <c r="L1044" s="6">
        <f t="shared" si="153"/>
        <v>0</v>
      </c>
      <c r="M1044" s="6">
        <f t="shared" si="154"/>
        <v>0</v>
      </c>
      <c r="N1044" s="6" t="str">
        <f t="shared" si="155"/>
        <v>100PFA39-6200</v>
      </c>
      <c r="O1044" s="6" t="str">
        <f t="shared" si="156"/>
        <v>SINGING THE CHICAGO BLUES</v>
      </c>
    </row>
    <row r="1045" spans="8:15">
      <c r="H1045">
        <f t="shared" si="149"/>
        <v>0</v>
      </c>
      <c r="I1045" t="e">
        <f t="shared" si="150"/>
        <v>#VALUE!</v>
      </c>
      <c r="J1045" s="6">
        <f t="shared" si="151"/>
        <v>0</v>
      </c>
      <c r="K1045" s="6">
        <f t="shared" si="152"/>
        <v>0</v>
      </c>
      <c r="L1045" s="6">
        <f t="shared" si="153"/>
        <v>0</v>
      </c>
      <c r="M1045" s="6">
        <f t="shared" si="154"/>
        <v>0</v>
      </c>
      <c r="N1045" s="6" t="str">
        <f t="shared" si="155"/>
        <v>100PFA39-6200</v>
      </c>
      <c r="O1045" s="6" t="str">
        <f t="shared" si="156"/>
        <v>SINGING THE CHICAGO BLUES</v>
      </c>
    </row>
    <row r="1046" spans="8:15">
      <c r="H1046">
        <f t="shared" si="149"/>
        <v>0</v>
      </c>
      <c r="I1046" t="e">
        <f t="shared" si="150"/>
        <v>#VALUE!</v>
      </c>
      <c r="J1046" s="6">
        <f t="shared" si="151"/>
        <v>0</v>
      </c>
      <c r="K1046" s="6">
        <f t="shared" si="152"/>
        <v>0</v>
      </c>
      <c r="L1046" s="6">
        <f t="shared" si="153"/>
        <v>0</v>
      </c>
      <c r="M1046" s="6">
        <f t="shared" si="154"/>
        <v>0</v>
      </c>
      <c r="N1046" s="6" t="str">
        <f t="shared" si="155"/>
        <v>100PFA39-6200</v>
      </c>
      <c r="O1046" s="6" t="str">
        <f t="shared" si="156"/>
        <v>SINGING THE CHICAGO BLUES</v>
      </c>
    </row>
    <row r="1047" spans="8:15">
      <c r="H1047">
        <f t="shared" si="149"/>
        <v>0</v>
      </c>
      <c r="I1047" t="e">
        <f t="shared" si="150"/>
        <v>#VALUE!</v>
      </c>
      <c r="J1047" s="6">
        <f t="shared" si="151"/>
        <v>0</v>
      </c>
      <c r="K1047" s="6">
        <f t="shared" si="152"/>
        <v>0</v>
      </c>
      <c r="L1047" s="6">
        <f t="shared" si="153"/>
        <v>0</v>
      </c>
      <c r="M1047" s="6">
        <f t="shared" si="154"/>
        <v>0</v>
      </c>
      <c r="N1047" s="6" t="str">
        <f t="shared" si="155"/>
        <v>100PFA39-6200</v>
      </c>
      <c r="O1047" s="6" t="str">
        <f t="shared" si="156"/>
        <v>SINGING THE CHICAGO BLUES</v>
      </c>
    </row>
    <row r="1048" spans="8:15">
      <c r="H1048">
        <f t="shared" si="149"/>
        <v>0</v>
      </c>
      <c r="I1048" t="e">
        <f t="shared" si="150"/>
        <v>#VALUE!</v>
      </c>
      <c r="J1048" s="6">
        <f t="shared" si="151"/>
        <v>0</v>
      </c>
      <c r="K1048" s="6">
        <f t="shared" si="152"/>
        <v>0</v>
      </c>
      <c r="L1048" s="6">
        <f t="shared" si="153"/>
        <v>0</v>
      </c>
      <c r="M1048" s="6">
        <f t="shared" si="154"/>
        <v>0</v>
      </c>
      <c r="N1048" s="6" t="str">
        <f t="shared" si="155"/>
        <v>100PFA39-6200</v>
      </c>
      <c r="O1048" s="6" t="str">
        <f t="shared" si="156"/>
        <v>SINGING THE CHICAGO BLUES</v>
      </c>
    </row>
    <row r="1049" spans="8:15">
      <c r="H1049">
        <f t="shared" si="149"/>
        <v>0</v>
      </c>
      <c r="I1049" t="e">
        <f t="shared" si="150"/>
        <v>#VALUE!</v>
      </c>
      <c r="J1049" s="6">
        <f t="shared" si="151"/>
        <v>0</v>
      </c>
      <c r="K1049" s="6">
        <f t="shared" si="152"/>
        <v>0</v>
      </c>
      <c r="L1049" s="6">
        <f t="shared" si="153"/>
        <v>0</v>
      </c>
      <c r="M1049" s="6">
        <f t="shared" si="154"/>
        <v>0</v>
      </c>
      <c r="N1049" s="6" t="str">
        <f t="shared" si="155"/>
        <v>100PFA39-6200</v>
      </c>
      <c r="O1049" s="6" t="str">
        <f t="shared" si="156"/>
        <v>SINGING THE CHICAGO BLUES</v>
      </c>
    </row>
    <row r="1050" spans="8:15">
      <c r="H1050">
        <f t="shared" si="149"/>
        <v>0</v>
      </c>
      <c r="I1050" t="e">
        <f t="shared" si="150"/>
        <v>#VALUE!</v>
      </c>
      <c r="J1050" s="6">
        <f t="shared" si="151"/>
        <v>0</v>
      </c>
      <c r="K1050" s="6">
        <f t="shared" si="152"/>
        <v>0</v>
      </c>
      <c r="L1050" s="6">
        <f t="shared" si="153"/>
        <v>0</v>
      </c>
      <c r="M1050" s="6">
        <f t="shared" si="154"/>
        <v>0</v>
      </c>
      <c r="N1050" s="6" t="str">
        <f t="shared" si="155"/>
        <v>100PFA39-6200</v>
      </c>
      <c r="O1050" s="6" t="str">
        <f t="shared" si="156"/>
        <v>SINGING THE CHICAGO BLUES</v>
      </c>
    </row>
    <row r="1051" spans="8:15">
      <c r="H1051">
        <f t="shared" si="149"/>
        <v>0</v>
      </c>
      <c r="I1051" t="e">
        <f t="shared" si="150"/>
        <v>#VALUE!</v>
      </c>
      <c r="J1051" s="6">
        <f t="shared" si="151"/>
        <v>0</v>
      </c>
      <c r="K1051" s="6">
        <f t="shared" si="152"/>
        <v>0</v>
      </c>
      <c r="L1051" s="6">
        <f t="shared" si="153"/>
        <v>0</v>
      </c>
      <c r="M1051" s="6">
        <f t="shared" si="154"/>
        <v>0</v>
      </c>
      <c r="N1051" s="6" t="str">
        <f t="shared" si="155"/>
        <v>100PFA39-6200</v>
      </c>
      <c r="O1051" s="6" t="str">
        <f t="shared" si="156"/>
        <v>SINGING THE CHICAGO BLUES</v>
      </c>
    </row>
    <row r="1052" spans="8:15">
      <c r="H1052">
        <f t="shared" si="149"/>
        <v>0</v>
      </c>
      <c r="I1052" t="e">
        <f t="shared" si="150"/>
        <v>#VALUE!</v>
      </c>
      <c r="J1052" s="6">
        <f t="shared" si="151"/>
        <v>0</v>
      </c>
      <c r="K1052" s="6">
        <f t="shared" si="152"/>
        <v>0</v>
      </c>
      <c r="L1052" s="6">
        <f t="shared" si="153"/>
        <v>0</v>
      </c>
      <c r="M1052" s="6">
        <f t="shared" si="154"/>
        <v>0</v>
      </c>
      <c r="N1052" s="6" t="str">
        <f t="shared" si="155"/>
        <v>100PFA39-6200</v>
      </c>
      <c r="O1052" s="6" t="str">
        <f t="shared" si="156"/>
        <v>SINGING THE CHICAGO BLUES</v>
      </c>
    </row>
    <row r="1053" spans="8:15">
      <c r="H1053">
        <f t="shared" si="149"/>
        <v>0</v>
      </c>
      <c r="I1053" t="e">
        <f t="shared" si="150"/>
        <v>#VALUE!</v>
      </c>
      <c r="J1053" s="6">
        <f t="shared" si="151"/>
        <v>0</v>
      </c>
      <c r="K1053" s="6">
        <f t="shared" si="152"/>
        <v>0</v>
      </c>
      <c r="L1053" s="6">
        <f t="shared" si="153"/>
        <v>0</v>
      </c>
      <c r="M1053" s="6">
        <f t="shared" si="154"/>
        <v>0</v>
      </c>
      <c r="N1053" s="6" t="str">
        <f t="shared" si="155"/>
        <v>100PFA39-6200</v>
      </c>
      <c r="O1053" s="6" t="str">
        <f t="shared" si="156"/>
        <v>SINGING THE CHICAGO BLUES</v>
      </c>
    </row>
    <row r="1054" spans="8:15">
      <c r="H1054">
        <f t="shared" si="149"/>
        <v>0</v>
      </c>
      <c r="I1054" t="e">
        <f t="shared" si="150"/>
        <v>#VALUE!</v>
      </c>
      <c r="J1054" s="6">
        <f t="shared" si="151"/>
        <v>0</v>
      </c>
      <c r="K1054" s="6">
        <f t="shared" si="152"/>
        <v>0</v>
      </c>
      <c r="L1054" s="6">
        <f t="shared" si="153"/>
        <v>0</v>
      </c>
      <c r="M1054" s="6">
        <f t="shared" si="154"/>
        <v>0</v>
      </c>
      <c r="N1054" s="6" t="str">
        <f t="shared" si="155"/>
        <v>100PFA39-6200</v>
      </c>
      <c r="O1054" s="6" t="str">
        <f t="shared" si="156"/>
        <v>SINGING THE CHICAGO BLUES</v>
      </c>
    </row>
    <row r="1055" spans="8:15">
      <c r="H1055">
        <f t="shared" si="149"/>
        <v>0</v>
      </c>
      <c r="I1055" t="e">
        <f t="shared" si="150"/>
        <v>#VALUE!</v>
      </c>
      <c r="J1055" s="6">
        <f t="shared" si="151"/>
        <v>0</v>
      </c>
      <c r="K1055" s="6">
        <f t="shared" si="152"/>
        <v>0</v>
      </c>
      <c r="L1055" s="6">
        <f t="shared" si="153"/>
        <v>0</v>
      </c>
      <c r="M1055" s="6">
        <f t="shared" si="154"/>
        <v>0</v>
      </c>
      <c r="N1055" s="6" t="str">
        <f t="shared" si="155"/>
        <v>100PFA39-6200</v>
      </c>
      <c r="O1055" s="6" t="str">
        <f t="shared" si="156"/>
        <v>SINGING THE CHICAGO BLUES</v>
      </c>
    </row>
    <row r="1056" spans="8:15">
      <c r="H1056">
        <f t="shared" si="149"/>
        <v>0</v>
      </c>
      <c r="I1056" t="e">
        <f t="shared" si="150"/>
        <v>#VALUE!</v>
      </c>
      <c r="J1056" s="6">
        <f t="shared" si="151"/>
        <v>0</v>
      </c>
      <c r="K1056" s="6">
        <f t="shared" si="152"/>
        <v>0</v>
      </c>
      <c r="L1056" s="6">
        <f t="shared" si="153"/>
        <v>0</v>
      </c>
      <c r="M1056" s="6">
        <f t="shared" si="154"/>
        <v>0</v>
      </c>
      <c r="N1056" s="6" t="str">
        <f t="shared" si="155"/>
        <v>100PFA39-6200</v>
      </c>
      <c r="O1056" s="6" t="str">
        <f t="shared" si="156"/>
        <v>SINGING THE CHICAGO BLUES</v>
      </c>
    </row>
    <row r="1057" spans="8:15">
      <c r="H1057">
        <f t="shared" si="149"/>
        <v>0</v>
      </c>
      <c r="I1057" t="e">
        <f t="shared" si="150"/>
        <v>#VALUE!</v>
      </c>
      <c r="J1057" s="6">
        <f t="shared" si="151"/>
        <v>0</v>
      </c>
      <c r="K1057" s="6">
        <f t="shared" si="152"/>
        <v>0</v>
      </c>
      <c r="L1057" s="6">
        <f t="shared" si="153"/>
        <v>0</v>
      </c>
      <c r="M1057" s="6">
        <f t="shared" si="154"/>
        <v>0</v>
      </c>
      <c r="N1057" s="6" t="str">
        <f t="shared" si="155"/>
        <v>100PFA39-6200</v>
      </c>
      <c r="O1057" s="6" t="str">
        <f t="shared" si="156"/>
        <v>SINGING THE CHICAGO BLUES</v>
      </c>
    </row>
    <row r="1058" spans="8:15">
      <c r="H1058">
        <f t="shared" si="149"/>
        <v>0</v>
      </c>
      <c r="I1058" t="e">
        <f t="shared" si="150"/>
        <v>#VALUE!</v>
      </c>
      <c r="J1058" s="6">
        <f t="shared" si="151"/>
        <v>0</v>
      </c>
      <c r="K1058" s="6">
        <f t="shared" si="152"/>
        <v>0</v>
      </c>
      <c r="L1058" s="6">
        <f t="shared" si="153"/>
        <v>0</v>
      </c>
      <c r="M1058" s="6">
        <f t="shared" si="154"/>
        <v>0</v>
      </c>
      <c r="N1058" s="6" t="str">
        <f t="shared" si="155"/>
        <v>100PFA39-6200</v>
      </c>
      <c r="O1058" s="6" t="str">
        <f t="shared" si="156"/>
        <v>SINGING THE CHICAGO BLUES</v>
      </c>
    </row>
    <row r="1059" spans="8:15">
      <c r="H1059">
        <f t="shared" si="149"/>
        <v>0</v>
      </c>
      <c r="I1059" t="e">
        <f t="shared" si="150"/>
        <v>#VALUE!</v>
      </c>
      <c r="J1059" s="6">
        <f t="shared" si="151"/>
        <v>0</v>
      </c>
      <c r="K1059" s="6">
        <f t="shared" si="152"/>
        <v>0</v>
      </c>
      <c r="L1059" s="6">
        <f t="shared" si="153"/>
        <v>0</v>
      </c>
      <c r="M1059" s="6">
        <f t="shared" si="154"/>
        <v>0</v>
      </c>
      <c r="N1059" s="6" t="str">
        <f t="shared" si="155"/>
        <v>100PFA39-6200</v>
      </c>
      <c r="O1059" s="6" t="str">
        <f t="shared" si="156"/>
        <v>SINGING THE CHICAGO BLUES</v>
      </c>
    </row>
    <row r="1060" spans="8:15">
      <c r="H1060">
        <f t="shared" si="149"/>
        <v>0</v>
      </c>
      <c r="I1060" t="e">
        <f t="shared" si="150"/>
        <v>#VALUE!</v>
      </c>
      <c r="J1060" s="6">
        <f t="shared" si="151"/>
        <v>0</v>
      </c>
      <c r="K1060" s="6">
        <f t="shared" si="152"/>
        <v>0</v>
      </c>
      <c r="L1060" s="6">
        <f t="shared" si="153"/>
        <v>0</v>
      </c>
      <c r="M1060" s="6">
        <f t="shared" si="154"/>
        <v>0</v>
      </c>
      <c r="N1060" s="6" t="str">
        <f t="shared" si="155"/>
        <v>100PFA39-6200</v>
      </c>
      <c r="O1060" s="6" t="str">
        <f t="shared" si="156"/>
        <v>SINGING THE CHICAGO BLUES</v>
      </c>
    </row>
    <row r="1061" spans="8:15">
      <c r="H1061">
        <f t="shared" si="149"/>
        <v>0</v>
      </c>
      <c r="I1061" t="e">
        <f t="shared" si="150"/>
        <v>#VALUE!</v>
      </c>
      <c r="J1061" s="6">
        <f t="shared" si="151"/>
        <v>0</v>
      </c>
      <c r="K1061" s="6">
        <f t="shared" si="152"/>
        <v>0</v>
      </c>
      <c r="L1061" s="6">
        <f t="shared" si="153"/>
        <v>0</v>
      </c>
      <c r="M1061" s="6">
        <f t="shared" si="154"/>
        <v>0</v>
      </c>
      <c r="N1061" s="6" t="str">
        <f t="shared" si="155"/>
        <v>100PFA39-6200</v>
      </c>
      <c r="O1061" s="6" t="str">
        <f t="shared" si="156"/>
        <v>SINGING THE CHICAGO BLUES</v>
      </c>
    </row>
    <row r="1062" spans="8:15">
      <c r="H1062">
        <f t="shared" si="149"/>
        <v>0</v>
      </c>
      <c r="I1062" t="e">
        <f t="shared" si="150"/>
        <v>#VALUE!</v>
      </c>
      <c r="J1062" s="6">
        <f t="shared" si="151"/>
        <v>0</v>
      </c>
      <c r="K1062" s="6">
        <f t="shared" si="152"/>
        <v>0</v>
      </c>
      <c r="L1062" s="6">
        <f t="shared" si="153"/>
        <v>0</v>
      </c>
      <c r="M1062" s="6">
        <f t="shared" si="154"/>
        <v>0</v>
      </c>
      <c r="N1062" s="6" t="str">
        <f t="shared" si="155"/>
        <v>100PFA39-6200</v>
      </c>
      <c r="O1062" s="6" t="str">
        <f t="shared" si="156"/>
        <v>SINGING THE CHICAGO BLUES</v>
      </c>
    </row>
    <row r="1063" spans="8:15">
      <c r="H1063">
        <f t="shared" si="149"/>
        <v>0</v>
      </c>
      <c r="I1063" t="e">
        <f t="shared" si="150"/>
        <v>#VALUE!</v>
      </c>
      <c r="J1063" s="6">
        <f t="shared" si="151"/>
        <v>0</v>
      </c>
      <c r="K1063" s="6">
        <f t="shared" si="152"/>
        <v>0</v>
      </c>
      <c r="L1063" s="6">
        <f t="shared" si="153"/>
        <v>0</v>
      </c>
      <c r="M1063" s="6">
        <f t="shared" si="154"/>
        <v>0</v>
      </c>
      <c r="N1063" s="6" t="str">
        <f t="shared" si="155"/>
        <v>100PFA39-6200</v>
      </c>
      <c r="O1063" s="6" t="str">
        <f t="shared" si="156"/>
        <v>SINGING THE CHICAGO BLUES</v>
      </c>
    </row>
    <row r="1064" spans="8:15">
      <c r="H1064">
        <f t="shared" si="149"/>
        <v>0</v>
      </c>
      <c r="I1064" t="e">
        <f t="shared" si="150"/>
        <v>#VALUE!</v>
      </c>
      <c r="J1064" s="6">
        <f t="shared" si="151"/>
        <v>0</v>
      </c>
      <c r="K1064" s="6">
        <f t="shared" si="152"/>
        <v>0</v>
      </c>
      <c r="L1064" s="6">
        <f t="shared" si="153"/>
        <v>0</v>
      </c>
      <c r="M1064" s="6">
        <f t="shared" si="154"/>
        <v>0</v>
      </c>
      <c r="N1064" s="6" t="str">
        <f t="shared" si="155"/>
        <v>100PFA39-6200</v>
      </c>
      <c r="O1064" s="6" t="str">
        <f t="shared" si="156"/>
        <v>SINGING THE CHICAGO BLUES</v>
      </c>
    </row>
    <row r="1065" spans="8:15">
      <c r="H1065">
        <f t="shared" si="149"/>
        <v>0</v>
      </c>
      <c r="I1065" t="e">
        <f t="shared" si="150"/>
        <v>#VALUE!</v>
      </c>
      <c r="J1065" s="6">
        <f t="shared" si="151"/>
        <v>0</v>
      </c>
      <c r="K1065" s="6">
        <f t="shared" si="152"/>
        <v>0</v>
      </c>
      <c r="L1065" s="6">
        <f t="shared" si="153"/>
        <v>0</v>
      </c>
      <c r="M1065" s="6">
        <f t="shared" si="154"/>
        <v>0</v>
      </c>
      <c r="N1065" s="6" t="str">
        <f t="shared" si="155"/>
        <v>100PFA39-6200</v>
      </c>
      <c r="O1065" s="6" t="str">
        <f t="shared" si="156"/>
        <v>SINGING THE CHICAGO BLUES</v>
      </c>
    </row>
    <row r="1066" spans="8:15">
      <c r="H1066">
        <f t="shared" si="149"/>
        <v>0</v>
      </c>
      <c r="I1066" t="e">
        <f t="shared" si="150"/>
        <v>#VALUE!</v>
      </c>
      <c r="J1066" s="6">
        <f t="shared" si="151"/>
        <v>0</v>
      </c>
      <c r="K1066" s="6">
        <f t="shared" si="152"/>
        <v>0</v>
      </c>
      <c r="L1066" s="6">
        <f t="shared" si="153"/>
        <v>0</v>
      </c>
      <c r="M1066" s="6">
        <f t="shared" si="154"/>
        <v>0</v>
      </c>
      <c r="N1066" s="6" t="str">
        <f t="shared" si="155"/>
        <v>100PFA39-6200</v>
      </c>
      <c r="O1066" s="6" t="str">
        <f t="shared" si="156"/>
        <v>SINGING THE CHICAGO BLUES</v>
      </c>
    </row>
    <row r="1067" spans="8:15">
      <c r="H1067">
        <f t="shared" si="149"/>
        <v>0</v>
      </c>
      <c r="I1067" t="e">
        <f t="shared" si="150"/>
        <v>#VALUE!</v>
      </c>
      <c r="J1067" s="6">
        <f t="shared" si="151"/>
        <v>0</v>
      </c>
      <c r="K1067" s="6">
        <f t="shared" si="152"/>
        <v>0</v>
      </c>
      <c r="L1067" s="6">
        <f t="shared" si="153"/>
        <v>0</v>
      </c>
      <c r="M1067" s="6">
        <f t="shared" si="154"/>
        <v>0</v>
      </c>
      <c r="N1067" s="6" t="str">
        <f t="shared" si="155"/>
        <v>100PFA39-6200</v>
      </c>
      <c r="O1067" s="6" t="str">
        <f t="shared" si="156"/>
        <v>SINGING THE CHICAGO BLUES</v>
      </c>
    </row>
    <row r="1068" spans="8:15">
      <c r="H1068">
        <f t="shared" si="149"/>
        <v>0</v>
      </c>
      <c r="I1068" t="e">
        <f t="shared" si="150"/>
        <v>#VALUE!</v>
      </c>
      <c r="J1068" s="6">
        <f t="shared" si="151"/>
        <v>0</v>
      </c>
      <c r="K1068" s="6">
        <f t="shared" si="152"/>
        <v>0</v>
      </c>
      <c r="L1068" s="6">
        <f t="shared" si="153"/>
        <v>0</v>
      </c>
      <c r="M1068" s="6">
        <f t="shared" si="154"/>
        <v>0</v>
      </c>
      <c r="N1068" s="6" t="str">
        <f t="shared" si="155"/>
        <v>100PFA39-6200</v>
      </c>
      <c r="O1068" s="6" t="str">
        <f t="shared" si="156"/>
        <v>SINGING THE CHICAGO BLUES</v>
      </c>
    </row>
    <row r="1069" spans="8:15">
      <c r="H1069">
        <f t="shared" si="149"/>
        <v>0</v>
      </c>
      <c r="I1069" t="e">
        <f t="shared" si="150"/>
        <v>#VALUE!</v>
      </c>
      <c r="J1069" s="6">
        <f t="shared" si="151"/>
        <v>0</v>
      </c>
      <c r="K1069" s="6">
        <f t="shared" si="152"/>
        <v>0</v>
      </c>
      <c r="L1069" s="6">
        <f t="shared" si="153"/>
        <v>0</v>
      </c>
      <c r="M1069" s="6">
        <f t="shared" si="154"/>
        <v>0</v>
      </c>
      <c r="N1069" s="6" t="str">
        <f t="shared" si="155"/>
        <v>100PFA39-6200</v>
      </c>
      <c r="O1069" s="6" t="str">
        <f t="shared" si="156"/>
        <v>SINGING THE CHICAGO BLUES</v>
      </c>
    </row>
    <row r="1070" spans="8:15">
      <c r="H1070">
        <f t="shared" si="149"/>
        <v>0</v>
      </c>
      <c r="I1070" t="e">
        <f t="shared" si="150"/>
        <v>#VALUE!</v>
      </c>
      <c r="J1070" s="6">
        <f t="shared" si="151"/>
        <v>0</v>
      </c>
      <c r="K1070" s="6">
        <f t="shared" si="152"/>
        <v>0</v>
      </c>
      <c r="L1070" s="6">
        <f t="shared" si="153"/>
        <v>0</v>
      </c>
      <c r="M1070" s="6">
        <f t="shared" si="154"/>
        <v>0</v>
      </c>
      <c r="N1070" s="6" t="str">
        <f t="shared" si="155"/>
        <v>100PFA39-6200</v>
      </c>
      <c r="O1070" s="6" t="str">
        <f t="shared" si="156"/>
        <v>SINGING THE CHICAGO BLUES</v>
      </c>
    </row>
    <row r="1071" spans="8:15">
      <c r="H1071">
        <f t="shared" si="149"/>
        <v>0</v>
      </c>
      <c r="I1071" t="e">
        <f t="shared" si="150"/>
        <v>#VALUE!</v>
      </c>
      <c r="J1071" s="6">
        <f t="shared" si="151"/>
        <v>0</v>
      </c>
      <c r="K1071" s="6">
        <f t="shared" si="152"/>
        <v>0</v>
      </c>
      <c r="L1071" s="6">
        <f t="shared" si="153"/>
        <v>0</v>
      </c>
      <c r="M1071" s="6">
        <f t="shared" si="154"/>
        <v>0</v>
      </c>
      <c r="N1071" s="6" t="str">
        <f t="shared" si="155"/>
        <v>100PFA39-6200</v>
      </c>
      <c r="O1071" s="6" t="str">
        <f t="shared" si="156"/>
        <v>SINGING THE CHICAGO BLUES</v>
      </c>
    </row>
    <row r="1072" spans="8:15">
      <c r="H1072">
        <f t="shared" si="149"/>
        <v>0</v>
      </c>
      <c r="I1072" t="e">
        <f t="shared" si="150"/>
        <v>#VALUE!</v>
      </c>
      <c r="J1072" s="6">
        <f t="shared" si="151"/>
        <v>0</v>
      </c>
      <c r="K1072" s="6">
        <f t="shared" si="152"/>
        <v>0</v>
      </c>
      <c r="L1072" s="6">
        <f t="shared" si="153"/>
        <v>0</v>
      </c>
      <c r="M1072" s="6">
        <f t="shared" si="154"/>
        <v>0</v>
      </c>
      <c r="N1072" s="6" t="str">
        <f t="shared" si="155"/>
        <v>100PFA39-6200</v>
      </c>
      <c r="O1072" s="6" t="str">
        <f t="shared" si="156"/>
        <v>SINGING THE CHICAGO BLUES</v>
      </c>
    </row>
    <row r="1073" spans="8:15">
      <c r="H1073">
        <f t="shared" si="149"/>
        <v>0</v>
      </c>
      <c r="I1073" t="e">
        <f t="shared" si="150"/>
        <v>#VALUE!</v>
      </c>
      <c r="J1073" s="6">
        <f t="shared" si="151"/>
        <v>0</v>
      </c>
      <c r="K1073" s="6">
        <f t="shared" si="152"/>
        <v>0</v>
      </c>
      <c r="L1073" s="6">
        <f t="shared" si="153"/>
        <v>0</v>
      </c>
      <c r="M1073" s="6">
        <f t="shared" si="154"/>
        <v>0</v>
      </c>
      <c r="N1073" s="6" t="str">
        <f t="shared" si="155"/>
        <v>100PFA39-6200</v>
      </c>
      <c r="O1073" s="6" t="str">
        <f t="shared" si="156"/>
        <v>SINGING THE CHICAGO BLUES</v>
      </c>
    </row>
    <row r="1074" spans="8:15">
      <c r="H1074">
        <f t="shared" si="149"/>
        <v>0</v>
      </c>
      <c r="I1074" t="e">
        <f t="shared" si="150"/>
        <v>#VALUE!</v>
      </c>
      <c r="J1074" s="6">
        <f t="shared" si="151"/>
        <v>0</v>
      </c>
      <c r="K1074" s="6">
        <f t="shared" si="152"/>
        <v>0</v>
      </c>
      <c r="L1074" s="6">
        <f t="shared" si="153"/>
        <v>0</v>
      </c>
      <c r="M1074" s="6">
        <f t="shared" si="154"/>
        <v>0</v>
      </c>
      <c r="N1074" s="6" t="str">
        <f t="shared" si="155"/>
        <v>100PFA39-6200</v>
      </c>
      <c r="O1074" s="6" t="str">
        <f t="shared" si="156"/>
        <v>SINGING THE CHICAGO BLUES</v>
      </c>
    </row>
    <row r="1075" spans="8:15">
      <c r="H1075">
        <f t="shared" si="149"/>
        <v>0</v>
      </c>
      <c r="I1075" t="e">
        <f t="shared" si="150"/>
        <v>#VALUE!</v>
      </c>
      <c r="J1075" s="6">
        <f t="shared" si="151"/>
        <v>0</v>
      </c>
      <c r="K1075" s="6">
        <f t="shared" si="152"/>
        <v>0</v>
      </c>
      <c r="L1075" s="6">
        <f t="shared" si="153"/>
        <v>0</v>
      </c>
      <c r="M1075" s="6">
        <f t="shared" si="154"/>
        <v>0</v>
      </c>
      <c r="N1075" s="6" t="str">
        <f t="shared" si="155"/>
        <v>100PFA39-6200</v>
      </c>
      <c r="O1075" s="6" t="str">
        <f t="shared" si="156"/>
        <v>SINGING THE CHICAGO BLUES</v>
      </c>
    </row>
    <row r="1076" spans="8:15">
      <c r="H1076">
        <f t="shared" si="149"/>
        <v>0</v>
      </c>
      <c r="I1076" t="e">
        <f t="shared" si="150"/>
        <v>#VALUE!</v>
      </c>
      <c r="J1076" s="6">
        <f t="shared" si="151"/>
        <v>0</v>
      </c>
      <c r="K1076" s="6">
        <f t="shared" si="152"/>
        <v>0</v>
      </c>
      <c r="L1076" s="6">
        <f t="shared" si="153"/>
        <v>0</v>
      </c>
      <c r="M1076" s="6">
        <f t="shared" si="154"/>
        <v>0</v>
      </c>
      <c r="N1076" s="6" t="str">
        <f t="shared" si="155"/>
        <v>100PFA39-6200</v>
      </c>
      <c r="O1076" s="6" t="str">
        <f t="shared" si="156"/>
        <v>SINGING THE CHICAGO BLUES</v>
      </c>
    </row>
    <row r="1077" spans="8:15">
      <c r="H1077">
        <f t="shared" si="149"/>
        <v>0</v>
      </c>
      <c r="I1077" t="e">
        <f t="shared" si="150"/>
        <v>#VALUE!</v>
      </c>
      <c r="J1077" s="6">
        <f t="shared" si="151"/>
        <v>0</v>
      </c>
      <c r="K1077" s="6">
        <f t="shared" si="152"/>
        <v>0</v>
      </c>
      <c r="L1077" s="6">
        <f t="shared" si="153"/>
        <v>0</v>
      </c>
      <c r="M1077" s="6">
        <f t="shared" si="154"/>
        <v>0</v>
      </c>
      <c r="N1077" s="6" t="str">
        <f t="shared" si="155"/>
        <v>100PFA39-6200</v>
      </c>
      <c r="O1077" s="6" t="str">
        <f t="shared" si="156"/>
        <v>SINGING THE CHICAGO BLUES</v>
      </c>
    </row>
    <row r="1078" spans="8:15">
      <c r="H1078">
        <f t="shared" si="149"/>
        <v>0</v>
      </c>
      <c r="I1078" t="e">
        <f t="shared" si="150"/>
        <v>#VALUE!</v>
      </c>
      <c r="J1078" s="6">
        <f t="shared" si="151"/>
        <v>0</v>
      </c>
      <c r="K1078" s="6">
        <f t="shared" si="152"/>
        <v>0</v>
      </c>
      <c r="L1078" s="6">
        <f t="shared" si="153"/>
        <v>0</v>
      </c>
      <c r="M1078" s="6">
        <f t="shared" si="154"/>
        <v>0</v>
      </c>
      <c r="N1078" s="6" t="str">
        <f t="shared" si="155"/>
        <v>100PFA39-6200</v>
      </c>
      <c r="O1078" s="6" t="str">
        <f t="shared" si="156"/>
        <v>SINGING THE CHICAGO BLUES</v>
      </c>
    </row>
    <row r="1079" spans="8:15">
      <c r="H1079">
        <f t="shared" si="149"/>
        <v>0</v>
      </c>
      <c r="I1079" t="e">
        <f t="shared" si="150"/>
        <v>#VALUE!</v>
      </c>
      <c r="J1079" s="6">
        <f t="shared" si="151"/>
        <v>0</v>
      </c>
      <c r="K1079" s="6">
        <f t="shared" si="152"/>
        <v>0</v>
      </c>
      <c r="L1079" s="6">
        <f t="shared" si="153"/>
        <v>0</v>
      </c>
      <c r="M1079" s="6">
        <f t="shared" si="154"/>
        <v>0</v>
      </c>
      <c r="N1079" s="6" t="str">
        <f t="shared" si="155"/>
        <v>100PFA39-6200</v>
      </c>
      <c r="O1079" s="6" t="str">
        <f t="shared" si="156"/>
        <v>SINGING THE CHICAGO BLUES</v>
      </c>
    </row>
    <row r="1080" spans="8:15">
      <c r="H1080">
        <f t="shared" si="149"/>
        <v>0</v>
      </c>
      <c r="I1080" t="e">
        <f t="shared" si="150"/>
        <v>#VALUE!</v>
      </c>
      <c r="J1080" s="6">
        <f t="shared" si="151"/>
        <v>0</v>
      </c>
      <c r="K1080" s="6">
        <f t="shared" si="152"/>
        <v>0</v>
      </c>
      <c r="L1080" s="6">
        <f t="shared" si="153"/>
        <v>0</v>
      </c>
      <c r="M1080" s="6">
        <f t="shared" si="154"/>
        <v>0</v>
      </c>
      <c r="N1080" s="6" t="str">
        <f t="shared" si="155"/>
        <v>100PFA39-6200</v>
      </c>
      <c r="O1080" s="6" t="str">
        <f t="shared" si="156"/>
        <v>SINGING THE CHICAGO BLUES</v>
      </c>
    </row>
    <row r="1081" spans="8:15">
      <c r="H1081">
        <f t="shared" si="149"/>
        <v>0</v>
      </c>
      <c r="I1081" t="e">
        <f t="shared" si="150"/>
        <v>#VALUE!</v>
      </c>
      <c r="J1081" s="6">
        <f t="shared" si="151"/>
        <v>0</v>
      </c>
      <c r="K1081" s="6">
        <f t="shared" si="152"/>
        <v>0</v>
      </c>
      <c r="L1081" s="6">
        <f t="shared" si="153"/>
        <v>0</v>
      </c>
      <c r="M1081" s="6">
        <f t="shared" si="154"/>
        <v>0</v>
      </c>
      <c r="N1081" s="6" t="str">
        <f t="shared" si="155"/>
        <v>100PFA39-6200</v>
      </c>
      <c r="O1081" s="6" t="str">
        <f t="shared" si="156"/>
        <v>SINGING THE CHICAGO BLUES</v>
      </c>
    </row>
    <row r="1082" spans="8:15">
      <c r="H1082">
        <f t="shared" si="149"/>
        <v>0</v>
      </c>
      <c r="I1082" t="e">
        <f t="shared" si="150"/>
        <v>#VALUE!</v>
      </c>
      <c r="J1082" s="6">
        <f t="shared" si="151"/>
        <v>0</v>
      </c>
      <c r="K1082" s="6">
        <f t="shared" si="152"/>
        <v>0</v>
      </c>
      <c r="L1082" s="6">
        <f t="shared" si="153"/>
        <v>0</v>
      </c>
      <c r="M1082" s="6">
        <f t="shared" si="154"/>
        <v>0</v>
      </c>
      <c r="N1082" s="6" t="str">
        <f t="shared" si="155"/>
        <v>100PFA39-6200</v>
      </c>
      <c r="O1082" s="6" t="str">
        <f t="shared" si="156"/>
        <v>SINGING THE CHICAGO BLUES</v>
      </c>
    </row>
    <row r="1083" spans="8:15">
      <c r="H1083">
        <f t="shared" si="149"/>
        <v>0</v>
      </c>
      <c r="I1083" t="e">
        <f t="shared" si="150"/>
        <v>#VALUE!</v>
      </c>
      <c r="J1083" s="6">
        <f t="shared" si="151"/>
        <v>0</v>
      </c>
      <c r="K1083" s="6">
        <f t="shared" si="152"/>
        <v>0</v>
      </c>
      <c r="L1083" s="6">
        <f t="shared" si="153"/>
        <v>0</v>
      </c>
      <c r="M1083" s="6">
        <f t="shared" si="154"/>
        <v>0</v>
      </c>
      <c r="N1083" s="6" t="str">
        <f t="shared" si="155"/>
        <v>100PFA39-6200</v>
      </c>
      <c r="O1083" s="6" t="str">
        <f t="shared" si="156"/>
        <v>SINGING THE CHICAGO BLUES</v>
      </c>
    </row>
    <row r="1084" spans="8:15">
      <c r="H1084">
        <f t="shared" si="149"/>
        <v>0</v>
      </c>
      <c r="I1084" t="e">
        <f t="shared" si="150"/>
        <v>#VALUE!</v>
      </c>
      <c r="J1084" s="6">
        <f t="shared" si="151"/>
        <v>0</v>
      </c>
      <c r="K1084" s="6">
        <f t="shared" si="152"/>
        <v>0</v>
      </c>
      <c r="L1084" s="6">
        <f t="shared" si="153"/>
        <v>0</v>
      </c>
      <c r="M1084" s="6">
        <f t="shared" si="154"/>
        <v>0</v>
      </c>
      <c r="N1084" s="6" t="str">
        <f t="shared" si="155"/>
        <v>100PFA39-6200</v>
      </c>
      <c r="O1084" s="6" t="str">
        <f t="shared" si="156"/>
        <v>SINGING THE CHICAGO BLUES</v>
      </c>
    </row>
    <row r="1085" spans="8:15">
      <c r="H1085">
        <f t="shared" si="149"/>
        <v>0</v>
      </c>
      <c r="I1085" t="e">
        <f t="shared" si="150"/>
        <v>#VALUE!</v>
      </c>
      <c r="J1085" s="6">
        <f t="shared" si="151"/>
        <v>0</v>
      </c>
      <c r="K1085" s="6">
        <f t="shared" si="152"/>
        <v>0</v>
      </c>
      <c r="L1085" s="6">
        <f t="shared" si="153"/>
        <v>0</v>
      </c>
      <c r="M1085" s="6">
        <f t="shared" si="154"/>
        <v>0</v>
      </c>
      <c r="N1085" s="6" t="str">
        <f t="shared" si="155"/>
        <v>100PFA39-6200</v>
      </c>
      <c r="O1085" s="6" t="str">
        <f t="shared" si="156"/>
        <v>SINGING THE CHICAGO BLUES</v>
      </c>
    </row>
    <row r="1086" spans="8:15">
      <c r="H1086">
        <f t="shared" si="149"/>
        <v>0</v>
      </c>
      <c r="I1086" t="e">
        <f t="shared" si="150"/>
        <v>#VALUE!</v>
      </c>
      <c r="J1086" s="6">
        <f t="shared" si="151"/>
        <v>0</v>
      </c>
      <c r="K1086" s="6">
        <f t="shared" si="152"/>
        <v>0</v>
      </c>
      <c r="L1086" s="6">
        <f t="shared" si="153"/>
        <v>0</v>
      </c>
      <c r="M1086" s="6">
        <f t="shared" si="154"/>
        <v>0</v>
      </c>
      <c r="N1086" s="6" t="str">
        <f t="shared" si="155"/>
        <v>100PFA39-6200</v>
      </c>
      <c r="O1086" s="6" t="str">
        <f t="shared" si="156"/>
        <v>SINGING THE CHICAGO BLUES</v>
      </c>
    </row>
    <row r="1087" spans="8:15">
      <c r="H1087">
        <f t="shared" si="149"/>
        <v>0</v>
      </c>
      <c r="I1087" t="e">
        <f t="shared" si="150"/>
        <v>#VALUE!</v>
      </c>
      <c r="J1087" s="6">
        <f t="shared" si="151"/>
        <v>0</v>
      </c>
      <c r="K1087" s="6">
        <f t="shared" si="152"/>
        <v>0</v>
      </c>
      <c r="L1087" s="6">
        <f t="shared" si="153"/>
        <v>0</v>
      </c>
      <c r="M1087" s="6">
        <f t="shared" si="154"/>
        <v>0</v>
      </c>
      <c r="N1087" s="6" t="str">
        <f t="shared" si="155"/>
        <v>100PFA39-6200</v>
      </c>
      <c r="O1087" s="6" t="str">
        <f t="shared" si="156"/>
        <v>SINGING THE CHICAGO BLUES</v>
      </c>
    </row>
    <row r="1088" spans="8:15">
      <c r="H1088">
        <f t="shared" si="149"/>
        <v>0</v>
      </c>
      <c r="I1088" t="e">
        <f t="shared" si="150"/>
        <v>#VALUE!</v>
      </c>
      <c r="J1088" s="6">
        <f t="shared" si="151"/>
        <v>0</v>
      </c>
      <c r="K1088" s="6">
        <f t="shared" si="152"/>
        <v>0</v>
      </c>
      <c r="L1088" s="6">
        <f t="shared" si="153"/>
        <v>0</v>
      </c>
      <c r="M1088" s="6">
        <f t="shared" si="154"/>
        <v>0</v>
      </c>
      <c r="N1088" s="6" t="str">
        <f t="shared" si="155"/>
        <v>100PFA39-6200</v>
      </c>
      <c r="O1088" s="6" t="str">
        <f t="shared" si="156"/>
        <v>SINGING THE CHICAGO BLUES</v>
      </c>
    </row>
    <row r="1089" spans="8:15">
      <c r="H1089">
        <f t="shared" si="149"/>
        <v>0</v>
      </c>
      <c r="I1089" t="e">
        <f t="shared" si="150"/>
        <v>#VALUE!</v>
      </c>
      <c r="J1089" s="6">
        <f t="shared" si="151"/>
        <v>0</v>
      </c>
      <c r="K1089" s="6">
        <f t="shared" si="152"/>
        <v>0</v>
      </c>
      <c r="L1089" s="6">
        <f t="shared" si="153"/>
        <v>0</v>
      </c>
      <c r="M1089" s="6">
        <f t="shared" si="154"/>
        <v>0</v>
      </c>
      <c r="N1089" s="6" t="str">
        <f t="shared" si="155"/>
        <v>100PFA39-6200</v>
      </c>
      <c r="O1089" s="6" t="str">
        <f t="shared" si="156"/>
        <v>SINGING THE CHICAGO BLUES</v>
      </c>
    </row>
    <row r="1090" spans="8:15">
      <c r="H1090">
        <f t="shared" si="149"/>
        <v>0</v>
      </c>
      <c r="I1090" t="e">
        <f t="shared" si="150"/>
        <v>#VALUE!</v>
      </c>
      <c r="J1090" s="6">
        <f t="shared" si="151"/>
        <v>0</v>
      </c>
      <c r="K1090" s="6">
        <f t="shared" si="152"/>
        <v>0</v>
      </c>
      <c r="L1090" s="6">
        <f t="shared" si="153"/>
        <v>0</v>
      </c>
      <c r="M1090" s="6">
        <f t="shared" si="154"/>
        <v>0</v>
      </c>
      <c r="N1090" s="6" t="str">
        <f t="shared" si="155"/>
        <v>100PFA39-6200</v>
      </c>
      <c r="O1090" s="6" t="str">
        <f t="shared" si="156"/>
        <v>SINGING THE CHICAGO BLUES</v>
      </c>
    </row>
    <row r="1091" spans="8:15">
      <c r="H1091">
        <f t="shared" si="149"/>
        <v>0</v>
      </c>
      <c r="I1091" t="e">
        <f t="shared" si="150"/>
        <v>#VALUE!</v>
      </c>
      <c r="J1091" s="6">
        <f t="shared" si="151"/>
        <v>0</v>
      </c>
      <c r="K1091" s="6">
        <f t="shared" si="152"/>
        <v>0</v>
      </c>
      <c r="L1091" s="6">
        <f t="shared" si="153"/>
        <v>0</v>
      </c>
      <c r="M1091" s="6">
        <f t="shared" si="154"/>
        <v>0</v>
      </c>
      <c r="N1091" s="6" t="str">
        <f t="shared" si="155"/>
        <v>100PFA39-6200</v>
      </c>
      <c r="O1091" s="6" t="str">
        <f t="shared" si="156"/>
        <v>SINGING THE CHICAGO BLUES</v>
      </c>
    </row>
    <row r="1092" spans="8:15">
      <c r="H1092">
        <f t="shared" si="149"/>
        <v>0</v>
      </c>
      <c r="I1092" t="e">
        <f t="shared" si="150"/>
        <v>#VALUE!</v>
      </c>
      <c r="J1092" s="6">
        <f t="shared" si="151"/>
        <v>0</v>
      </c>
      <c r="K1092" s="6">
        <f t="shared" si="152"/>
        <v>0</v>
      </c>
      <c r="L1092" s="6">
        <f t="shared" si="153"/>
        <v>0</v>
      </c>
      <c r="M1092" s="6">
        <f t="shared" si="154"/>
        <v>0</v>
      </c>
      <c r="N1092" s="6" t="str">
        <f t="shared" si="155"/>
        <v>100PFA39-6200</v>
      </c>
      <c r="O1092" s="6" t="str">
        <f t="shared" si="156"/>
        <v>SINGING THE CHICAGO BLUES</v>
      </c>
    </row>
    <row r="1093" spans="8:15">
      <c r="H1093">
        <f t="shared" si="149"/>
        <v>0</v>
      </c>
      <c r="I1093" t="e">
        <f t="shared" si="150"/>
        <v>#VALUE!</v>
      </c>
      <c r="J1093" s="6">
        <f t="shared" si="151"/>
        <v>0</v>
      </c>
      <c r="K1093" s="6">
        <f t="shared" si="152"/>
        <v>0</v>
      </c>
      <c r="L1093" s="6">
        <f t="shared" si="153"/>
        <v>0</v>
      </c>
      <c r="M1093" s="6">
        <f t="shared" si="154"/>
        <v>0</v>
      </c>
      <c r="N1093" s="6" t="str">
        <f t="shared" si="155"/>
        <v>100PFA39-6200</v>
      </c>
      <c r="O1093" s="6" t="str">
        <f t="shared" si="156"/>
        <v>SINGING THE CHICAGO BLUES</v>
      </c>
    </row>
    <row r="1094" spans="8:15">
      <c r="H1094">
        <f t="shared" si="149"/>
        <v>0</v>
      </c>
      <c r="I1094" t="e">
        <f t="shared" si="150"/>
        <v>#VALUE!</v>
      </c>
      <c r="J1094" s="6">
        <f t="shared" si="151"/>
        <v>0</v>
      </c>
      <c r="K1094" s="6">
        <f t="shared" si="152"/>
        <v>0</v>
      </c>
      <c r="L1094" s="6">
        <f t="shared" si="153"/>
        <v>0</v>
      </c>
      <c r="M1094" s="6">
        <f t="shared" si="154"/>
        <v>0</v>
      </c>
      <c r="N1094" s="6" t="str">
        <f t="shared" si="155"/>
        <v>100PFA39-6200</v>
      </c>
      <c r="O1094" s="6" t="str">
        <f t="shared" si="156"/>
        <v>SINGING THE CHICAGO BLUES</v>
      </c>
    </row>
    <row r="1095" spans="8:15">
      <c r="H1095">
        <f t="shared" ref="H1095:H1106" si="157">A1095</f>
        <v>0</v>
      </c>
      <c r="I1095" t="e">
        <f t="shared" ref="I1095:I1106" si="158">IFERROR(IF(SEARCH(" &lt;-",B1095,1),LEFT(B1095,SEARCH(" ",B1095,1)-1),""),LEFT(B1095,SEARCH("View",B1095,1)-1))</f>
        <v>#VALUE!</v>
      </c>
      <c r="J1095" s="6">
        <f t="shared" ref="J1095:J1106" si="159">C1095</f>
        <v>0</v>
      </c>
      <c r="K1095" s="6">
        <f t="shared" ref="K1095:K1106" si="160">D1095</f>
        <v>0</v>
      </c>
      <c r="L1095" s="6">
        <f t="shared" ref="L1095:L1106" si="161">E1095</f>
        <v>0</v>
      </c>
      <c r="M1095" s="6">
        <f t="shared" ref="M1095:M1106" si="162">F1095</f>
        <v>0</v>
      </c>
      <c r="N1095" s="6" t="str">
        <f t="shared" si="155"/>
        <v>100PFA39-6200</v>
      </c>
      <c r="O1095" s="6" t="str">
        <f t="shared" si="156"/>
        <v>SINGING THE CHICAGO BLUES</v>
      </c>
    </row>
    <row r="1096" spans="8:15">
      <c r="H1096">
        <f t="shared" si="157"/>
        <v>0</v>
      </c>
      <c r="I1096" t="e">
        <f t="shared" si="158"/>
        <v>#VALUE!</v>
      </c>
      <c r="J1096" s="6">
        <f t="shared" si="159"/>
        <v>0</v>
      </c>
      <c r="K1096" s="6">
        <f t="shared" si="160"/>
        <v>0</v>
      </c>
      <c r="L1096" s="6">
        <f t="shared" si="161"/>
        <v>0</v>
      </c>
      <c r="M1096" s="6">
        <f t="shared" si="162"/>
        <v>0</v>
      </c>
      <c r="N1096" s="6" t="str">
        <f t="shared" ref="N1096:N1106" si="163">TRIM($B$1)</f>
        <v>100PFA39-6200</v>
      </c>
      <c r="O1096" s="6" t="str">
        <f t="shared" ref="O1096:O1106" si="164">TRIM($C$1)</f>
        <v>SINGING THE CHICAGO BLUES</v>
      </c>
    </row>
    <row r="1097" spans="8:15">
      <c r="H1097">
        <f t="shared" si="157"/>
        <v>0</v>
      </c>
      <c r="I1097" t="e">
        <f t="shared" si="158"/>
        <v>#VALUE!</v>
      </c>
      <c r="J1097" s="6">
        <f t="shared" si="159"/>
        <v>0</v>
      </c>
      <c r="K1097" s="6">
        <f t="shared" si="160"/>
        <v>0</v>
      </c>
      <c r="L1097" s="6">
        <f t="shared" si="161"/>
        <v>0</v>
      </c>
      <c r="M1097" s="6">
        <f t="shared" si="162"/>
        <v>0</v>
      </c>
      <c r="N1097" s="6" t="str">
        <f t="shared" si="163"/>
        <v>100PFA39-6200</v>
      </c>
      <c r="O1097" s="6" t="str">
        <f t="shared" si="164"/>
        <v>SINGING THE CHICAGO BLUES</v>
      </c>
    </row>
    <row r="1098" spans="8:15">
      <c r="H1098">
        <f t="shared" si="157"/>
        <v>0</v>
      </c>
      <c r="I1098" t="e">
        <f t="shared" si="158"/>
        <v>#VALUE!</v>
      </c>
      <c r="J1098" s="6">
        <f t="shared" si="159"/>
        <v>0</v>
      </c>
      <c r="K1098" s="6">
        <f t="shared" si="160"/>
        <v>0</v>
      </c>
      <c r="L1098" s="6">
        <f t="shared" si="161"/>
        <v>0</v>
      </c>
      <c r="M1098" s="6">
        <f t="shared" si="162"/>
        <v>0</v>
      </c>
      <c r="N1098" s="6" t="str">
        <f t="shared" si="163"/>
        <v>100PFA39-6200</v>
      </c>
      <c r="O1098" s="6" t="str">
        <f t="shared" si="164"/>
        <v>SINGING THE CHICAGO BLUES</v>
      </c>
    </row>
    <row r="1099" spans="8:15">
      <c r="H1099">
        <f t="shared" si="157"/>
        <v>0</v>
      </c>
      <c r="I1099" t="e">
        <f t="shared" si="158"/>
        <v>#VALUE!</v>
      </c>
      <c r="J1099" s="6">
        <f t="shared" si="159"/>
        <v>0</v>
      </c>
      <c r="K1099" s="6">
        <f t="shared" si="160"/>
        <v>0</v>
      </c>
      <c r="L1099" s="6">
        <f t="shared" si="161"/>
        <v>0</v>
      </c>
      <c r="M1099" s="6">
        <f t="shared" si="162"/>
        <v>0</v>
      </c>
      <c r="N1099" s="6" t="str">
        <f t="shared" si="163"/>
        <v>100PFA39-6200</v>
      </c>
      <c r="O1099" s="6" t="str">
        <f t="shared" si="164"/>
        <v>SINGING THE CHICAGO BLUES</v>
      </c>
    </row>
    <row r="1100" spans="8:15">
      <c r="H1100">
        <f t="shared" si="157"/>
        <v>0</v>
      </c>
      <c r="I1100" t="e">
        <f t="shared" si="158"/>
        <v>#VALUE!</v>
      </c>
      <c r="J1100" s="6">
        <f t="shared" si="159"/>
        <v>0</v>
      </c>
      <c r="K1100" s="6">
        <f t="shared" si="160"/>
        <v>0</v>
      </c>
      <c r="L1100" s="6">
        <f t="shared" si="161"/>
        <v>0</v>
      </c>
      <c r="M1100" s="6">
        <f t="shared" si="162"/>
        <v>0</v>
      </c>
      <c r="N1100" s="6" t="str">
        <f t="shared" si="163"/>
        <v>100PFA39-6200</v>
      </c>
      <c r="O1100" s="6" t="str">
        <f t="shared" si="164"/>
        <v>SINGING THE CHICAGO BLUES</v>
      </c>
    </row>
    <row r="1101" spans="8:15">
      <c r="H1101">
        <f t="shared" si="157"/>
        <v>0</v>
      </c>
      <c r="I1101" t="e">
        <f t="shared" si="158"/>
        <v>#VALUE!</v>
      </c>
      <c r="J1101" s="6">
        <f t="shared" si="159"/>
        <v>0</v>
      </c>
      <c r="K1101" s="6">
        <f t="shared" si="160"/>
        <v>0</v>
      </c>
      <c r="L1101" s="6">
        <f t="shared" si="161"/>
        <v>0</v>
      </c>
      <c r="M1101" s="6">
        <f t="shared" si="162"/>
        <v>0</v>
      </c>
      <c r="N1101" s="6" t="str">
        <f t="shared" si="163"/>
        <v>100PFA39-6200</v>
      </c>
      <c r="O1101" s="6" t="str">
        <f t="shared" si="164"/>
        <v>SINGING THE CHICAGO BLUES</v>
      </c>
    </row>
    <row r="1102" spans="8:15">
      <c r="H1102">
        <f t="shared" si="157"/>
        <v>0</v>
      </c>
      <c r="I1102" t="e">
        <f t="shared" si="158"/>
        <v>#VALUE!</v>
      </c>
      <c r="J1102" s="6">
        <f t="shared" si="159"/>
        <v>0</v>
      </c>
      <c r="K1102" s="6">
        <f t="shared" si="160"/>
        <v>0</v>
      </c>
      <c r="L1102" s="6">
        <f t="shared" si="161"/>
        <v>0</v>
      </c>
      <c r="M1102" s="6">
        <f t="shared" si="162"/>
        <v>0</v>
      </c>
      <c r="N1102" s="6" t="str">
        <f t="shared" si="163"/>
        <v>100PFA39-6200</v>
      </c>
      <c r="O1102" s="6" t="str">
        <f t="shared" si="164"/>
        <v>SINGING THE CHICAGO BLUES</v>
      </c>
    </row>
    <row r="1103" spans="8:15">
      <c r="H1103">
        <f t="shared" si="157"/>
        <v>0</v>
      </c>
      <c r="I1103" t="e">
        <f t="shared" si="158"/>
        <v>#VALUE!</v>
      </c>
      <c r="J1103" s="6">
        <f t="shared" si="159"/>
        <v>0</v>
      </c>
      <c r="K1103" s="6">
        <f t="shared" si="160"/>
        <v>0</v>
      </c>
      <c r="L1103" s="6">
        <f t="shared" si="161"/>
        <v>0</v>
      </c>
      <c r="M1103" s="6">
        <f t="shared" si="162"/>
        <v>0</v>
      </c>
      <c r="N1103" s="6" t="str">
        <f t="shared" si="163"/>
        <v>100PFA39-6200</v>
      </c>
      <c r="O1103" s="6" t="str">
        <f t="shared" si="164"/>
        <v>SINGING THE CHICAGO BLUES</v>
      </c>
    </row>
    <row r="1104" spans="8:15">
      <c r="H1104">
        <f t="shared" si="157"/>
        <v>0</v>
      </c>
      <c r="I1104" t="e">
        <f t="shared" si="158"/>
        <v>#VALUE!</v>
      </c>
      <c r="J1104" s="6">
        <f t="shared" si="159"/>
        <v>0</v>
      </c>
      <c r="K1104" s="6">
        <f t="shared" si="160"/>
        <v>0</v>
      </c>
      <c r="L1104" s="6">
        <f t="shared" si="161"/>
        <v>0</v>
      </c>
      <c r="M1104" s="6">
        <f t="shared" si="162"/>
        <v>0</v>
      </c>
      <c r="N1104" s="6" t="str">
        <f t="shared" si="163"/>
        <v>100PFA39-6200</v>
      </c>
      <c r="O1104" s="6" t="str">
        <f t="shared" si="164"/>
        <v>SINGING THE CHICAGO BLUES</v>
      </c>
    </row>
    <row r="1105" spans="8:15">
      <c r="H1105">
        <f t="shared" si="157"/>
        <v>0</v>
      </c>
      <c r="I1105" t="e">
        <f t="shared" si="158"/>
        <v>#VALUE!</v>
      </c>
      <c r="J1105" s="6">
        <f t="shared" si="159"/>
        <v>0</v>
      </c>
      <c r="K1105" s="6">
        <f t="shared" si="160"/>
        <v>0</v>
      </c>
      <c r="L1105" s="6">
        <f t="shared" si="161"/>
        <v>0</v>
      </c>
      <c r="M1105" s="6">
        <f t="shared" si="162"/>
        <v>0</v>
      </c>
      <c r="N1105" s="6" t="str">
        <f t="shared" si="163"/>
        <v>100PFA39-6200</v>
      </c>
      <c r="O1105" s="6" t="str">
        <f t="shared" si="164"/>
        <v>SINGING THE CHICAGO BLUES</v>
      </c>
    </row>
    <row r="1106" spans="8:15">
      <c r="H1106">
        <f t="shared" si="157"/>
        <v>0</v>
      </c>
      <c r="I1106" t="e">
        <f t="shared" si="158"/>
        <v>#VALUE!</v>
      </c>
      <c r="J1106" s="6">
        <f t="shared" si="159"/>
        <v>0</v>
      </c>
      <c r="K1106" s="6">
        <f t="shared" si="160"/>
        <v>0</v>
      </c>
      <c r="L1106" s="6">
        <f t="shared" si="161"/>
        <v>0</v>
      </c>
      <c r="M1106" s="6">
        <f t="shared" si="162"/>
        <v>0</v>
      </c>
      <c r="N1106" s="6" t="str">
        <f t="shared" si="163"/>
        <v>100PFA39-6200</v>
      </c>
      <c r="O1106" s="6" t="str">
        <f t="shared" si="164"/>
        <v>SINGING THE CHICAGO BLUES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39F0-77E4-4AB1-A747-13BF66B7427D}">
  <sheetPr>
    <tabColor theme="1" tint="0.34998626667073579"/>
  </sheetPr>
  <dimension ref="A1:O1106"/>
  <sheetViews>
    <sheetView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2.5703125" bestFit="1" customWidth="1"/>
    <col min="2" max="2" width="19.5703125" bestFit="1" customWidth="1"/>
    <col min="3" max="3" width="34.42578125" bestFit="1" customWidth="1"/>
    <col min="4" max="4" width="10.140625" bestFit="1" customWidth="1"/>
    <col min="5" max="5" width="7.5703125" bestFit="1" customWidth="1"/>
    <col min="6" max="6" width="8" bestFit="1" customWidth="1"/>
    <col min="7" max="7" width="5.28515625" customWidth="1"/>
    <col min="8" max="8" width="2.5703125" bestFit="1" customWidth="1"/>
    <col min="9" max="9" width="17.28515625" bestFit="1" customWidth="1"/>
    <col min="10" max="10" width="34.42578125" bestFit="1" customWidth="1"/>
    <col min="11" max="11" width="10.140625" bestFit="1" customWidth="1"/>
    <col min="12" max="12" width="7.5703125" bestFit="1" customWidth="1"/>
    <col min="13" max="13" width="8" bestFit="1" customWidth="1"/>
    <col min="14" max="14" width="15.140625" bestFit="1" customWidth="1"/>
    <col min="15" max="15" width="42" customWidth="1"/>
  </cols>
  <sheetData>
    <row r="1" spans="1:15">
      <c r="B1" s="16"/>
      <c r="C1" s="16"/>
    </row>
    <row r="5" spans="1:15">
      <c r="A5" t="s">
        <v>418</v>
      </c>
      <c r="B5" t="s">
        <v>200</v>
      </c>
      <c r="C5" t="s">
        <v>201</v>
      </c>
      <c r="D5" t="s">
        <v>202</v>
      </c>
      <c r="E5" t="s">
        <v>419</v>
      </c>
      <c r="F5" t="s">
        <v>204</v>
      </c>
      <c r="H5" s="17" t="str">
        <f t="shared" ref="H5:M5" si="0">A5</f>
        <v>lvl</v>
      </c>
      <c r="I5" s="17" t="str">
        <f t="shared" si="0"/>
        <v>Item ID</v>
      </c>
      <c r="J5" s="18" t="str">
        <f t="shared" si="0"/>
        <v>Description</v>
      </c>
      <c r="K5" s="18" t="str">
        <f t="shared" si="0"/>
        <v>BOM Code</v>
      </c>
      <c r="L5" s="18" t="str">
        <f t="shared" si="0"/>
        <v>OP Seq</v>
      </c>
      <c r="M5" s="18" t="str">
        <f t="shared" si="0"/>
        <v>Quantity</v>
      </c>
      <c r="N5" s="18" t="s">
        <v>432</v>
      </c>
      <c r="O5" s="18" t="s">
        <v>431</v>
      </c>
    </row>
    <row r="6" spans="1:15">
      <c r="A6" s="4"/>
      <c r="B6" s="5"/>
      <c r="C6" s="4"/>
      <c r="D6" s="4"/>
      <c r="E6" s="4"/>
      <c r="F6" s="6"/>
      <c r="H6">
        <f>A6</f>
        <v>0</v>
      </c>
      <c r="I6" t="e">
        <f>LEFT(B6,SEARCH(" ",B6,1)-1)</f>
        <v>#VALUE!</v>
      </c>
      <c r="J6" s="6">
        <f>C6</f>
        <v>0</v>
      </c>
      <c r="K6" s="6">
        <f>D6</f>
        <v>0</v>
      </c>
      <c r="L6" s="6">
        <f>E6</f>
        <v>0</v>
      </c>
      <c r="M6" s="6">
        <f>F6</f>
        <v>0</v>
      </c>
      <c r="N6" s="6" t="str">
        <f>TRIM($B$1)</f>
        <v/>
      </c>
      <c r="O6" s="6" t="str">
        <f>TRIM($C$1)</f>
        <v/>
      </c>
    </row>
    <row r="7" spans="1:15">
      <c r="A7" s="4"/>
      <c r="B7" s="5"/>
      <c r="C7" s="4"/>
      <c r="D7" s="4"/>
      <c r="E7" s="4"/>
      <c r="F7" s="6"/>
      <c r="H7">
        <f t="shared" ref="H7:H70" si="1">A7</f>
        <v>0</v>
      </c>
      <c r="I7" t="e">
        <f t="shared" ref="I7:I70" si="2">LEFT(B7,SEARCH(" ",B7,1)-1)</f>
        <v>#VALUE!</v>
      </c>
      <c r="J7" s="6">
        <f t="shared" ref="J7:M22" si="3">C7</f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 t="str">
        <f t="shared" ref="N7:N70" si="4">TRIM($B$1)</f>
        <v/>
      </c>
      <c r="O7" s="6" t="str">
        <f t="shared" ref="O7:O70" si="5">TRIM($C$1)</f>
        <v/>
      </c>
    </row>
    <row r="8" spans="1:15">
      <c r="A8" s="4"/>
      <c r="B8" s="5"/>
      <c r="C8" s="4"/>
      <c r="D8" s="4"/>
      <c r="E8" s="4"/>
      <c r="F8" s="6"/>
      <c r="H8">
        <f t="shared" si="1"/>
        <v>0</v>
      </c>
      <c r="I8" t="e">
        <f t="shared" si="2"/>
        <v>#VALUE!</v>
      </c>
      <c r="J8" s="6">
        <f t="shared" si="3"/>
        <v>0</v>
      </c>
      <c r="K8" s="6">
        <f t="shared" si="3"/>
        <v>0</v>
      </c>
      <c r="L8" s="6">
        <f t="shared" si="3"/>
        <v>0</v>
      </c>
      <c r="M8" s="6">
        <f t="shared" si="3"/>
        <v>0</v>
      </c>
      <c r="N8" s="6" t="str">
        <f t="shared" si="4"/>
        <v/>
      </c>
      <c r="O8" s="6" t="str">
        <f t="shared" si="5"/>
        <v/>
      </c>
    </row>
    <row r="9" spans="1:15">
      <c r="A9" s="4"/>
      <c r="B9" s="5"/>
      <c r="C9" s="4"/>
      <c r="D9" s="4"/>
      <c r="E9" s="4"/>
      <c r="F9" s="6"/>
      <c r="H9">
        <f t="shared" si="1"/>
        <v>0</v>
      </c>
      <c r="I9" t="e">
        <f t="shared" si="2"/>
        <v>#VALUE!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 t="str">
        <f t="shared" si="4"/>
        <v/>
      </c>
      <c r="O9" s="6" t="str">
        <f t="shared" si="5"/>
        <v/>
      </c>
    </row>
    <row r="10" spans="1:15">
      <c r="A10" s="4"/>
      <c r="B10" s="5"/>
      <c r="C10" s="4"/>
      <c r="D10" s="4"/>
      <c r="E10" s="4"/>
      <c r="F10" s="6"/>
      <c r="H10">
        <f t="shared" si="1"/>
        <v>0</v>
      </c>
      <c r="I10" t="e">
        <f t="shared" si="2"/>
        <v>#VALUE!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 t="str">
        <f t="shared" si="4"/>
        <v/>
      </c>
      <c r="O10" s="6" t="str">
        <f t="shared" si="5"/>
        <v/>
      </c>
    </row>
    <row r="11" spans="1:15">
      <c r="A11" s="4"/>
      <c r="B11" s="5"/>
      <c r="C11" s="4"/>
      <c r="D11" s="4"/>
      <c r="E11" s="4"/>
      <c r="F11" s="6"/>
      <c r="H11">
        <f t="shared" si="1"/>
        <v>0</v>
      </c>
      <c r="I11" t="e">
        <f t="shared" si="2"/>
        <v>#VALUE!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 t="str">
        <f t="shared" si="4"/>
        <v/>
      </c>
      <c r="O11" s="6" t="str">
        <f t="shared" si="5"/>
        <v/>
      </c>
    </row>
    <row r="12" spans="1:15">
      <c r="A12" s="4"/>
      <c r="B12" s="5"/>
      <c r="C12" s="4"/>
      <c r="D12" s="4"/>
      <c r="E12" s="4"/>
      <c r="F12" s="6"/>
      <c r="H12">
        <f t="shared" si="1"/>
        <v>0</v>
      </c>
      <c r="I12" t="e">
        <f t="shared" si="2"/>
        <v>#VALUE!</v>
      </c>
      <c r="J12" s="6">
        <f t="shared" si="3"/>
        <v>0</v>
      </c>
      <c r="K12" s="6">
        <f t="shared" si="3"/>
        <v>0</v>
      </c>
      <c r="L12" s="6">
        <f t="shared" si="3"/>
        <v>0</v>
      </c>
      <c r="M12" s="6">
        <f t="shared" si="3"/>
        <v>0</v>
      </c>
      <c r="N12" s="6" t="str">
        <f t="shared" si="4"/>
        <v/>
      </c>
      <c r="O12" s="6" t="str">
        <f t="shared" si="5"/>
        <v/>
      </c>
    </row>
    <row r="13" spans="1:15">
      <c r="A13" s="4"/>
      <c r="B13" s="5"/>
      <c r="C13" s="4"/>
      <c r="D13" s="4"/>
      <c r="E13" s="4"/>
      <c r="F13" s="6"/>
      <c r="H13">
        <f t="shared" si="1"/>
        <v>0</v>
      </c>
      <c r="I13" t="e">
        <f t="shared" si="2"/>
        <v>#VALUE!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 t="str">
        <f t="shared" si="4"/>
        <v/>
      </c>
      <c r="O13" s="6" t="str">
        <f t="shared" si="5"/>
        <v/>
      </c>
    </row>
    <row r="14" spans="1:15">
      <c r="A14" s="4"/>
      <c r="B14" s="5"/>
      <c r="C14" s="4"/>
      <c r="D14" s="4"/>
      <c r="E14" s="4"/>
      <c r="F14" s="6"/>
      <c r="H14">
        <f t="shared" si="1"/>
        <v>0</v>
      </c>
      <c r="I14" t="e">
        <f t="shared" si="2"/>
        <v>#VALUE!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 t="str">
        <f t="shared" si="4"/>
        <v/>
      </c>
      <c r="O14" s="6" t="str">
        <f t="shared" si="5"/>
        <v/>
      </c>
    </row>
    <row r="15" spans="1:15">
      <c r="A15" s="4"/>
      <c r="B15" s="5"/>
      <c r="C15" s="4"/>
      <c r="D15" s="4"/>
      <c r="E15" s="4"/>
      <c r="F15" s="6"/>
      <c r="H15">
        <f t="shared" si="1"/>
        <v>0</v>
      </c>
      <c r="I15" t="e">
        <f t="shared" si="2"/>
        <v>#VALUE!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 t="str">
        <f t="shared" si="4"/>
        <v/>
      </c>
      <c r="O15" s="6" t="str">
        <f t="shared" si="5"/>
        <v/>
      </c>
    </row>
    <row r="16" spans="1:15">
      <c r="A16" s="4"/>
      <c r="B16" s="5"/>
      <c r="C16" s="4"/>
      <c r="D16" s="4"/>
      <c r="E16" s="4"/>
      <c r="F16" s="6"/>
      <c r="H16">
        <f t="shared" si="1"/>
        <v>0</v>
      </c>
      <c r="I16" t="e">
        <f t="shared" si="2"/>
        <v>#VALUE!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 t="str">
        <f t="shared" si="4"/>
        <v/>
      </c>
      <c r="O16" s="6" t="str">
        <f t="shared" si="5"/>
        <v/>
      </c>
    </row>
    <row r="17" spans="1:15">
      <c r="A17" s="4"/>
      <c r="B17" s="5"/>
      <c r="C17" s="4"/>
      <c r="D17" s="4"/>
      <c r="E17" s="4"/>
      <c r="F17" s="6"/>
      <c r="H17">
        <f t="shared" si="1"/>
        <v>0</v>
      </c>
      <c r="I17" t="e">
        <f t="shared" si="2"/>
        <v>#VALUE!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 t="str">
        <f t="shared" si="4"/>
        <v/>
      </c>
      <c r="O17" s="6" t="str">
        <f t="shared" si="5"/>
        <v/>
      </c>
    </row>
    <row r="18" spans="1:15">
      <c r="A18" s="4"/>
      <c r="B18" s="5"/>
      <c r="C18" s="4"/>
      <c r="D18" s="4"/>
      <c r="E18" s="4"/>
      <c r="F18" s="6"/>
      <c r="H18">
        <f t="shared" si="1"/>
        <v>0</v>
      </c>
      <c r="I18" t="e">
        <f t="shared" si="2"/>
        <v>#VALUE!</v>
      </c>
      <c r="J18" s="6">
        <f t="shared" si="3"/>
        <v>0</v>
      </c>
      <c r="K18" s="6">
        <f t="shared" si="3"/>
        <v>0</v>
      </c>
      <c r="L18" s="6">
        <f t="shared" si="3"/>
        <v>0</v>
      </c>
      <c r="M18" s="6">
        <f t="shared" si="3"/>
        <v>0</v>
      </c>
      <c r="N18" s="6" t="str">
        <f t="shared" si="4"/>
        <v/>
      </c>
      <c r="O18" s="6" t="str">
        <f t="shared" si="5"/>
        <v/>
      </c>
    </row>
    <row r="19" spans="1:15">
      <c r="A19" s="4"/>
      <c r="B19" s="5"/>
      <c r="C19" s="4"/>
      <c r="D19" s="4"/>
      <c r="E19" s="4"/>
      <c r="F19" s="6"/>
      <c r="H19">
        <f t="shared" si="1"/>
        <v>0</v>
      </c>
      <c r="I19" t="e">
        <f t="shared" si="2"/>
        <v>#VALUE!</v>
      </c>
      <c r="J19" s="6">
        <f t="shared" si="3"/>
        <v>0</v>
      </c>
      <c r="K19" s="6">
        <f t="shared" si="3"/>
        <v>0</v>
      </c>
      <c r="L19" s="6">
        <f t="shared" si="3"/>
        <v>0</v>
      </c>
      <c r="M19" s="6">
        <f t="shared" si="3"/>
        <v>0</v>
      </c>
      <c r="N19" s="6" t="str">
        <f t="shared" si="4"/>
        <v/>
      </c>
      <c r="O19" s="6" t="str">
        <f t="shared" si="5"/>
        <v/>
      </c>
    </row>
    <row r="20" spans="1:15">
      <c r="A20" s="4"/>
      <c r="B20" s="5"/>
      <c r="C20" s="4"/>
      <c r="D20" s="4"/>
      <c r="E20" s="4"/>
      <c r="F20" s="6"/>
      <c r="H20">
        <f t="shared" si="1"/>
        <v>0</v>
      </c>
      <c r="I20" t="e">
        <f t="shared" si="2"/>
        <v>#VALUE!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 t="str">
        <f t="shared" si="4"/>
        <v/>
      </c>
      <c r="O20" s="6" t="str">
        <f t="shared" si="5"/>
        <v/>
      </c>
    </row>
    <row r="21" spans="1:15">
      <c r="A21" s="4"/>
      <c r="B21" s="5"/>
      <c r="C21" s="4"/>
      <c r="D21" s="4"/>
      <c r="E21" s="4"/>
      <c r="F21" s="6"/>
      <c r="H21">
        <f t="shared" si="1"/>
        <v>0</v>
      </c>
      <c r="I21" t="e">
        <f t="shared" si="2"/>
        <v>#VALUE!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 t="str">
        <f t="shared" si="4"/>
        <v/>
      </c>
      <c r="O21" s="6" t="str">
        <f t="shared" si="5"/>
        <v/>
      </c>
    </row>
    <row r="22" spans="1:15">
      <c r="A22" s="4"/>
      <c r="B22" s="5"/>
      <c r="C22" s="4"/>
      <c r="D22" s="4"/>
      <c r="E22" s="4"/>
      <c r="F22" s="6"/>
      <c r="H22">
        <f t="shared" si="1"/>
        <v>0</v>
      </c>
      <c r="I22" t="e">
        <f t="shared" si="2"/>
        <v>#VALUE!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 t="str">
        <f t="shared" si="4"/>
        <v/>
      </c>
      <c r="O22" s="6" t="str">
        <f t="shared" si="5"/>
        <v/>
      </c>
    </row>
    <row r="23" spans="1:15">
      <c r="A23" s="4"/>
      <c r="B23" s="5"/>
      <c r="C23" s="4"/>
      <c r="D23" s="4"/>
      <c r="E23" s="4"/>
      <c r="F23" s="6"/>
      <c r="H23">
        <f t="shared" si="1"/>
        <v>0</v>
      </c>
      <c r="I23" t="e">
        <f t="shared" si="2"/>
        <v>#VALUE!</v>
      </c>
      <c r="J23" s="6">
        <f t="shared" ref="J23:M41" si="6">C23</f>
        <v>0</v>
      </c>
      <c r="K23" s="6">
        <f t="shared" si="6"/>
        <v>0</v>
      </c>
      <c r="L23" s="6">
        <f t="shared" si="6"/>
        <v>0</v>
      </c>
      <c r="M23" s="6">
        <f t="shared" si="6"/>
        <v>0</v>
      </c>
      <c r="N23" s="6" t="str">
        <f t="shared" si="4"/>
        <v/>
      </c>
      <c r="O23" s="6" t="str">
        <f t="shared" si="5"/>
        <v/>
      </c>
    </row>
    <row r="24" spans="1:15">
      <c r="A24" s="4"/>
      <c r="B24" s="5"/>
      <c r="C24" s="4"/>
      <c r="D24" s="4"/>
      <c r="E24" s="4"/>
      <c r="F24" s="6"/>
      <c r="H24">
        <f t="shared" si="1"/>
        <v>0</v>
      </c>
      <c r="I24" t="e">
        <f t="shared" si="2"/>
        <v>#VALUE!</v>
      </c>
      <c r="J24" s="6">
        <f t="shared" si="6"/>
        <v>0</v>
      </c>
      <c r="K24" s="6">
        <f t="shared" si="6"/>
        <v>0</v>
      </c>
      <c r="L24" s="6">
        <f t="shared" si="6"/>
        <v>0</v>
      </c>
      <c r="M24" s="6">
        <f t="shared" si="6"/>
        <v>0</v>
      </c>
      <c r="N24" s="6" t="str">
        <f t="shared" si="4"/>
        <v/>
      </c>
      <c r="O24" s="6" t="str">
        <f t="shared" si="5"/>
        <v/>
      </c>
    </row>
    <row r="25" spans="1:15">
      <c r="A25" s="4"/>
      <c r="B25" s="5"/>
      <c r="C25" s="4"/>
      <c r="D25" s="4"/>
      <c r="E25" s="4"/>
      <c r="F25" s="6"/>
      <c r="H25">
        <f t="shared" si="1"/>
        <v>0</v>
      </c>
      <c r="I25" t="e">
        <f t="shared" si="2"/>
        <v>#VALUE!</v>
      </c>
      <c r="J25" s="6">
        <f t="shared" si="6"/>
        <v>0</v>
      </c>
      <c r="K25" s="6">
        <f t="shared" si="6"/>
        <v>0</v>
      </c>
      <c r="L25" s="6">
        <f t="shared" si="6"/>
        <v>0</v>
      </c>
      <c r="M25" s="6">
        <f t="shared" si="6"/>
        <v>0</v>
      </c>
      <c r="N25" s="6" t="str">
        <f t="shared" si="4"/>
        <v/>
      </c>
      <c r="O25" s="6" t="str">
        <f t="shared" si="5"/>
        <v/>
      </c>
    </row>
    <row r="26" spans="1:15">
      <c r="A26" s="4"/>
      <c r="B26" s="5"/>
      <c r="C26" s="4"/>
      <c r="D26" s="4"/>
      <c r="E26" s="4"/>
      <c r="F26" s="6"/>
      <c r="H26">
        <f t="shared" si="1"/>
        <v>0</v>
      </c>
      <c r="I26" t="e">
        <f t="shared" si="2"/>
        <v>#VALUE!</v>
      </c>
      <c r="J26" s="6">
        <f t="shared" si="6"/>
        <v>0</v>
      </c>
      <c r="K26" s="6">
        <f t="shared" si="6"/>
        <v>0</v>
      </c>
      <c r="L26" s="6">
        <f t="shared" si="6"/>
        <v>0</v>
      </c>
      <c r="M26" s="6">
        <f t="shared" si="6"/>
        <v>0</v>
      </c>
      <c r="N26" s="6" t="str">
        <f t="shared" si="4"/>
        <v/>
      </c>
      <c r="O26" s="6" t="str">
        <f t="shared" si="5"/>
        <v/>
      </c>
    </row>
    <row r="27" spans="1:15">
      <c r="A27" s="4"/>
      <c r="B27" s="5"/>
      <c r="C27" s="4"/>
      <c r="D27" s="4"/>
      <c r="E27" s="4"/>
      <c r="F27" s="6"/>
      <c r="H27">
        <f t="shared" si="1"/>
        <v>0</v>
      </c>
      <c r="I27" t="e">
        <f t="shared" si="2"/>
        <v>#VALUE!</v>
      </c>
      <c r="J27" s="6">
        <f t="shared" si="6"/>
        <v>0</v>
      </c>
      <c r="K27" s="6">
        <f t="shared" si="6"/>
        <v>0</v>
      </c>
      <c r="L27" s="6">
        <f t="shared" si="6"/>
        <v>0</v>
      </c>
      <c r="M27" s="6">
        <f t="shared" si="6"/>
        <v>0</v>
      </c>
      <c r="N27" s="6" t="str">
        <f t="shared" si="4"/>
        <v/>
      </c>
      <c r="O27" s="6" t="str">
        <f t="shared" si="5"/>
        <v/>
      </c>
    </row>
    <row r="28" spans="1:15">
      <c r="A28" s="4"/>
      <c r="B28" s="5"/>
      <c r="C28" s="4"/>
      <c r="D28" s="4"/>
      <c r="E28" s="4"/>
      <c r="F28" s="6"/>
      <c r="H28">
        <f t="shared" si="1"/>
        <v>0</v>
      </c>
      <c r="I28" t="e">
        <f t="shared" si="2"/>
        <v>#VALUE!</v>
      </c>
      <c r="J28" s="6">
        <f t="shared" si="6"/>
        <v>0</v>
      </c>
      <c r="K28" s="6">
        <f t="shared" si="6"/>
        <v>0</v>
      </c>
      <c r="L28" s="6">
        <f t="shared" si="6"/>
        <v>0</v>
      </c>
      <c r="M28" s="6">
        <f t="shared" si="6"/>
        <v>0</v>
      </c>
      <c r="N28" s="6" t="str">
        <f t="shared" si="4"/>
        <v/>
      </c>
      <c r="O28" s="6" t="str">
        <f t="shared" si="5"/>
        <v/>
      </c>
    </row>
    <row r="29" spans="1:15">
      <c r="A29" s="4"/>
      <c r="B29" s="5"/>
      <c r="C29" s="4"/>
      <c r="D29" s="4"/>
      <c r="E29" s="4"/>
      <c r="F29" s="6"/>
      <c r="H29">
        <f t="shared" si="1"/>
        <v>0</v>
      </c>
      <c r="I29" t="e">
        <f t="shared" si="2"/>
        <v>#VALUE!</v>
      </c>
      <c r="J29" s="6">
        <f t="shared" si="6"/>
        <v>0</v>
      </c>
      <c r="K29" s="6">
        <f t="shared" si="6"/>
        <v>0</v>
      </c>
      <c r="L29" s="6">
        <f t="shared" si="6"/>
        <v>0</v>
      </c>
      <c r="M29" s="6">
        <f t="shared" si="6"/>
        <v>0</v>
      </c>
      <c r="N29" s="6" t="str">
        <f t="shared" si="4"/>
        <v/>
      </c>
      <c r="O29" s="6" t="str">
        <f t="shared" si="5"/>
        <v/>
      </c>
    </row>
    <row r="30" spans="1:15">
      <c r="A30" s="4"/>
      <c r="B30" s="5"/>
      <c r="C30" s="4"/>
      <c r="D30" s="4"/>
      <c r="E30" s="4"/>
      <c r="F30" s="6"/>
      <c r="H30">
        <f t="shared" si="1"/>
        <v>0</v>
      </c>
      <c r="I30" t="e">
        <f t="shared" si="2"/>
        <v>#VALUE!</v>
      </c>
      <c r="J30" s="6">
        <f t="shared" si="6"/>
        <v>0</v>
      </c>
      <c r="K30" s="6">
        <f t="shared" si="6"/>
        <v>0</v>
      </c>
      <c r="L30" s="6">
        <f t="shared" si="6"/>
        <v>0</v>
      </c>
      <c r="M30" s="6">
        <f t="shared" si="6"/>
        <v>0</v>
      </c>
      <c r="N30" s="6" t="str">
        <f t="shared" si="4"/>
        <v/>
      </c>
      <c r="O30" s="6" t="str">
        <f t="shared" si="5"/>
        <v/>
      </c>
    </row>
    <row r="31" spans="1:15">
      <c r="A31" s="4"/>
      <c r="B31" s="5"/>
      <c r="C31" s="4"/>
      <c r="D31" s="4"/>
      <c r="E31" s="4"/>
      <c r="F31" s="6"/>
      <c r="H31">
        <f t="shared" si="1"/>
        <v>0</v>
      </c>
      <c r="I31" t="e">
        <f t="shared" si="2"/>
        <v>#VALUE!</v>
      </c>
      <c r="J31" s="6">
        <f t="shared" si="6"/>
        <v>0</v>
      </c>
      <c r="K31" s="6">
        <f t="shared" si="6"/>
        <v>0</v>
      </c>
      <c r="L31" s="6">
        <f t="shared" si="6"/>
        <v>0</v>
      </c>
      <c r="M31" s="6">
        <f t="shared" si="6"/>
        <v>0</v>
      </c>
      <c r="N31" s="6" t="str">
        <f t="shared" si="4"/>
        <v/>
      </c>
      <c r="O31" s="6" t="str">
        <f t="shared" si="5"/>
        <v/>
      </c>
    </row>
    <row r="32" spans="1:15">
      <c r="A32" s="4"/>
      <c r="B32" s="5"/>
      <c r="C32" s="4"/>
      <c r="D32" s="4"/>
      <c r="E32" s="4"/>
      <c r="F32" s="6"/>
      <c r="H32">
        <f t="shared" si="1"/>
        <v>0</v>
      </c>
      <c r="I32" t="e">
        <f t="shared" si="2"/>
        <v>#VALUE!</v>
      </c>
      <c r="J32" s="6">
        <f t="shared" si="6"/>
        <v>0</v>
      </c>
      <c r="K32" s="6">
        <f t="shared" si="6"/>
        <v>0</v>
      </c>
      <c r="L32" s="6">
        <f t="shared" si="6"/>
        <v>0</v>
      </c>
      <c r="M32" s="6">
        <f t="shared" si="6"/>
        <v>0</v>
      </c>
      <c r="N32" s="6" t="str">
        <f t="shared" si="4"/>
        <v/>
      </c>
      <c r="O32" s="6" t="str">
        <f t="shared" si="5"/>
        <v/>
      </c>
    </row>
    <row r="33" spans="1:15">
      <c r="A33" s="4"/>
      <c r="B33" s="5"/>
      <c r="C33" s="4"/>
      <c r="D33" s="4"/>
      <c r="E33" s="4"/>
      <c r="F33" s="6"/>
      <c r="H33">
        <f t="shared" si="1"/>
        <v>0</v>
      </c>
      <c r="I33" t="e">
        <f t="shared" si="2"/>
        <v>#VALUE!</v>
      </c>
      <c r="J33" s="6">
        <f t="shared" si="6"/>
        <v>0</v>
      </c>
      <c r="K33" s="6">
        <f t="shared" si="6"/>
        <v>0</v>
      </c>
      <c r="L33" s="6">
        <f t="shared" si="6"/>
        <v>0</v>
      </c>
      <c r="M33" s="6">
        <f t="shared" si="6"/>
        <v>0</v>
      </c>
      <c r="N33" s="6" t="str">
        <f t="shared" si="4"/>
        <v/>
      </c>
      <c r="O33" s="6" t="str">
        <f t="shared" si="5"/>
        <v/>
      </c>
    </row>
    <row r="34" spans="1:15">
      <c r="A34" s="4"/>
      <c r="B34" s="5"/>
      <c r="C34" s="4"/>
      <c r="D34" s="4"/>
      <c r="E34" s="4"/>
      <c r="F34" s="6"/>
      <c r="H34">
        <f t="shared" si="1"/>
        <v>0</v>
      </c>
      <c r="I34" t="e">
        <f t="shared" si="2"/>
        <v>#VALUE!</v>
      </c>
      <c r="J34" s="6">
        <f t="shared" si="6"/>
        <v>0</v>
      </c>
      <c r="K34" s="6">
        <f t="shared" si="6"/>
        <v>0</v>
      </c>
      <c r="L34" s="6">
        <f t="shared" si="6"/>
        <v>0</v>
      </c>
      <c r="M34" s="6">
        <f t="shared" si="6"/>
        <v>0</v>
      </c>
      <c r="N34" s="6" t="str">
        <f t="shared" si="4"/>
        <v/>
      </c>
      <c r="O34" s="6" t="str">
        <f t="shared" si="5"/>
        <v/>
      </c>
    </row>
    <row r="35" spans="1:15">
      <c r="A35" s="4"/>
      <c r="B35" s="5"/>
      <c r="C35" s="4"/>
      <c r="D35" s="4"/>
      <c r="E35" s="4"/>
      <c r="F35" s="6"/>
      <c r="H35">
        <f t="shared" si="1"/>
        <v>0</v>
      </c>
      <c r="I35" t="e">
        <f t="shared" si="2"/>
        <v>#VALUE!</v>
      </c>
      <c r="J35" s="6">
        <f t="shared" si="6"/>
        <v>0</v>
      </c>
      <c r="K35" s="6">
        <f t="shared" si="6"/>
        <v>0</v>
      </c>
      <c r="L35" s="6">
        <f t="shared" si="6"/>
        <v>0</v>
      </c>
      <c r="M35" s="6">
        <f t="shared" si="6"/>
        <v>0</v>
      </c>
      <c r="N35" s="6" t="str">
        <f t="shared" si="4"/>
        <v/>
      </c>
      <c r="O35" s="6" t="str">
        <f t="shared" si="5"/>
        <v/>
      </c>
    </row>
    <row r="36" spans="1:15">
      <c r="A36" s="4"/>
      <c r="B36" s="5"/>
      <c r="C36" s="4"/>
      <c r="D36" s="4"/>
      <c r="E36" s="4"/>
      <c r="F36" s="6"/>
      <c r="H36">
        <f t="shared" si="1"/>
        <v>0</v>
      </c>
      <c r="I36" t="e">
        <f t="shared" si="2"/>
        <v>#VALUE!</v>
      </c>
      <c r="J36" s="6">
        <f t="shared" si="6"/>
        <v>0</v>
      </c>
      <c r="K36" s="6">
        <f t="shared" si="6"/>
        <v>0</v>
      </c>
      <c r="L36" s="6">
        <f t="shared" si="6"/>
        <v>0</v>
      </c>
      <c r="M36" s="6">
        <f t="shared" si="6"/>
        <v>0</v>
      </c>
      <c r="N36" s="6" t="str">
        <f t="shared" si="4"/>
        <v/>
      </c>
      <c r="O36" s="6" t="str">
        <f t="shared" si="5"/>
        <v/>
      </c>
    </row>
    <row r="37" spans="1:15">
      <c r="A37" s="4"/>
      <c r="B37" s="5"/>
      <c r="C37" s="4"/>
      <c r="D37" s="4"/>
      <c r="E37" s="4"/>
      <c r="F37" s="6"/>
      <c r="H37">
        <f t="shared" si="1"/>
        <v>0</v>
      </c>
      <c r="I37" t="e">
        <f t="shared" si="2"/>
        <v>#VALUE!</v>
      </c>
      <c r="J37" s="6">
        <f t="shared" si="6"/>
        <v>0</v>
      </c>
      <c r="K37" s="6">
        <f t="shared" si="6"/>
        <v>0</v>
      </c>
      <c r="L37" s="6">
        <f t="shared" si="6"/>
        <v>0</v>
      </c>
      <c r="M37" s="6">
        <f t="shared" si="6"/>
        <v>0</v>
      </c>
      <c r="N37" s="6" t="str">
        <f t="shared" si="4"/>
        <v/>
      </c>
      <c r="O37" s="6" t="str">
        <f t="shared" si="5"/>
        <v/>
      </c>
    </row>
    <row r="38" spans="1:15">
      <c r="A38" s="4"/>
      <c r="B38" s="5"/>
      <c r="C38" s="4"/>
      <c r="D38" s="4"/>
      <c r="E38" s="4"/>
      <c r="F38" s="6"/>
      <c r="H38">
        <f t="shared" si="1"/>
        <v>0</v>
      </c>
      <c r="I38" t="e">
        <f t="shared" si="2"/>
        <v>#VALUE!</v>
      </c>
      <c r="J38" s="6">
        <f t="shared" si="6"/>
        <v>0</v>
      </c>
      <c r="K38" s="6">
        <f t="shared" si="6"/>
        <v>0</v>
      </c>
      <c r="L38" s="6">
        <f t="shared" si="6"/>
        <v>0</v>
      </c>
      <c r="M38" s="6">
        <f t="shared" si="6"/>
        <v>0</v>
      </c>
      <c r="N38" s="6" t="str">
        <f t="shared" si="4"/>
        <v/>
      </c>
      <c r="O38" s="6" t="str">
        <f t="shared" si="5"/>
        <v/>
      </c>
    </row>
    <row r="39" spans="1:15">
      <c r="A39" s="4"/>
      <c r="B39" s="5"/>
      <c r="C39" s="4"/>
      <c r="D39" s="4"/>
      <c r="E39" s="4"/>
      <c r="F39" s="6"/>
      <c r="H39">
        <f t="shared" si="1"/>
        <v>0</v>
      </c>
      <c r="I39" t="e">
        <f t="shared" si="2"/>
        <v>#VALUE!</v>
      </c>
      <c r="J39" s="6">
        <f t="shared" si="6"/>
        <v>0</v>
      </c>
      <c r="K39" s="6">
        <f t="shared" si="6"/>
        <v>0</v>
      </c>
      <c r="L39" s="6">
        <f t="shared" si="6"/>
        <v>0</v>
      </c>
      <c r="M39" s="6">
        <f t="shared" si="6"/>
        <v>0</v>
      </c>
      <c r="N39" s="6" t="str">
        <f t="shared" si="4"/>
        <v/>
      </c>
      <c r="O39" s="6" t="str">
        <f t="shared" si="5"/>
        <v/>
      </c>
    </row>
    <row r="40" spans="1:15">
      <c r="A40" s="4"/>
      <c r="B40" s="5"/>
      <c r="C40" s="4"/>
      <c r="D40" s="4"/>
      <c r="E40" s="4"/>
      <c r="F40" s="6"/>
      <c r="H40">
        <f t="shared" si="1"/>
        <v>0</v>
      </c>
      <c r="I40" t="e">
        <f t="shared" si="2"/>
        <v>#VALUE!</v>
      </c>
      <c r="J40" s="6">
        <f t="shared" si="6"/>
        <v>0</v>
      </c>
      <c r="K40" s="6">
        <f t="shared" si="6"/>
        <v>0</v>
      </c>
      <c r="L40" s="6">
        <f t="shared" si="6"/>
        <v>0</v>
      </c>
      <c r="M40" s="6">
        <f t="shared" si="6"/>
        <v>0</v>
      </c>
      <c r="N40" s="6" t="str">
        <f t="shared" si="4"/>
        <v/>
      </c>
      <c r="O40" s="6" t="str">
        <f t="shared" si="5"/>
        <v/>
      </c>
    </row>
    <row r="41" spans="1:15">
      <c r="A41" s="4"/>
      <c r="B41" s="5"/>
      <c r="C41" s="4"/>
      <c r="D41" s="4"/>
      <c r="E41" s="4"/>
      <c r="F41" s="6"/>
      <c r="H41">
        <f t="shared" si="1"/>
        <v>0</v>
      </c>
      <c r="I41" t="e">
        <f t="shared" si="2"/>
        <v>#VALUE!</v>
      </c>
      <c r="J41" s="6">
        <f t="shared" si="6"/>
        <v>0</v>
      </c>
      <c r="K41" s="6">
        <f t="shared" si="6"/>
        <v>0</v>
      </c>
      <c r="L41" s="6">
        <f t="shared" si="6"/>
        <v>0</v>
      </c>
      <c r="M41" s="6">
        <f t="shared" si="6"/>
        <v>0</v>
      </c>
      <c r="N41" s="6" t="str">
        <f t="shared" si="4"/>
        <v/>
      </c>
      <c r="O41" s="6" t="str">
        <f t="shared" si="5"/>
        <v/>
      </c>
    </row>
    <row r="42" spans="1:15">
      <c r="A42" s="4"/>
      <c r="B42" s="5"/>
      <c r="C42" s="4"/>
      <c r="D42" s="4"/>
      <c r="E42" s="4"/>
      <c r="F42" s="6"/>
      <c r="H42">
        <f t="shared" si="1"/>
        <v>0</v>
      </c>
      <c r="I42" t="e">
        <f t="shared" si="2"/>
        <v>#VALUE!</v>
      </c>
      <c r="J42" s="6">
        <f t="shared" ref="J42:M104" si="7">C42</f>
        <v>0</v>
      </c>
      <c r="K42" s="6">
        <f t="shared" si="7"/>
        <v>0</v>
      </c>
      <c r="L42" s="6">
        <f t="shared" si="7"/>
        <v>0</v>
      </c>
      <c r="M42" s="6">
        <f t="shared" si="7"/>
        <v>0</v>
      </c>
      <c r="N42" s="6" t="str">
        <f t="shared" si="4"/>
        <v/>
      </c>
      <c r="O42" s="6" t="str">
        <f t="shared" si="5"/>
        <v/>
      </c>
    </row>
    <row r="43" spans="1:15">
      <c r="A43" s="4"/>
      <c r="B43" s="5"/>
      <c r="C43" s="4"/>
      <c r="D43" s="4"/>
      <c r="E43" s="4"/>
      <c r="F43" s="6"/>
      <c r="H43">
        <f t="shared" si="1"/>
        <v>0</v>
      </c>
      <c r="I43" t="e">
        <f t="shared" si="2"/>
        <v>#VALUE!</v>
      </c>
      <c r="J43" s="6">
        <f t="shared" si="7"/>
        <v>0</v>
      </c>
      <c r="K43" s="6">
        <f t="shared" si="7"/>
        <v>0</v>
      </c>
      <c r="L43" s="6">
        <f t="shared" si="7"/>
        <v>0</v>
      </c>
      <c r="M43" s="6">
        <f t="shared" si="7"/>
        <v>0</v>
      </c>
      <c r="N43" s="6" t="str">
        <f t="shared" si="4"/>
        <v/>
      </c>
      <c r="O43" s="6" t="str">
        <f t="shared" si="5"/>
        <v/>
      </c>
    </row>
    <row r="44" spans="1:15">
      <c r="A44" s="4"/>
      <c r="B44" s="5"/>
      <c r="C44" s="4"/>
      <c r="D44" s="4"/>
      <c r="E44" s="4"/>
      <c r="F44" s="6"/>
      <c r="H44">
        <f t="shared" si="1"/>
        <v>0</v>
      </c>
      <c r="I44" t="e">
        <f t="shared" si="2"/>
        <v>#VALUE!</v>
      </c>
      <c r="J44" s="6">
        <f t="shared" si="7"/>
        <v>0</v>
      </c>
      <c r="K44" s="6">
        <f t="shared" si="7"/>
        <v>0</v>
      </c>
      <c r="L44" s="6">
        <f t="shared" si="7"/>
        <v>0</v>
      </c>
      <c r="M44" s="6">
        <f t="shared" si="7"/>
        <v>0</v>
      </c>
      <c r="N44" s="6" t="str">
        <f t="shared" si="4"/>
        <v/>
      </c>
      <c r="O44" s="6" t="str">
        <f t="shared" si="5"/>
        <v/>
      </c>
    </row>
    <row r="45" spans="1:15">
      <c r="A45" s="4"/>
      <c r="B45" s="5"/>
      <c r="C45" s="4"/>
      <c r="D45" s="4"/>
      <c r="E45" s="4"/>
      <c r="F45" s="6"/>
      <c r="H45">
        <f t="shared" si="1"/>
        <v>0</v>
      </c>
      <c r="I45" t="e">
        <f t="shared" si="2"/>
        <v>#VALUE!</v>
      </c>
      <c r="J45" s="6">
        <f t="shared" si="7"/>
        <v>0</v>
      </c>
      <c r="K45" s="6">
        <f t="shared" si="7"/>
        <v>0</v>
      </c>
      <c r="L45" s="6">
        <f t="shared" si="7"/>
        <v>0</v>
      </c>
      <c r="M45" s="6">
        <f t="shared" si="7"/>
        <v>0</v>
      </c>
      <c r="N45" s="6" t="str">
        <f t="shared" si="4"/>
        <v/>
      </c>
      <c r="O45" s="6" t="str">
        <f t="shared" si="5"/>
        <v/>
      </c>
    </row>
    <row r="46" spans="1:15">
      <c r="A46" s="4"/>
      <c r="B46" s="5"/>
      <c r="C46" s="4"/>
      <c r="D46" s="4"/>
      <c r="E46" s="4"/>
      <c r="F46" s="6"/>
      <c r="H46">
        <f t="shared" si="1"/>
        <v>0</v>
      </c>
      <c r="I46" t="e">
        <f t="shared" si="2"/>
        <v>#VALUE!</v>
      </c>
      <c r="J46" s="6">
        <f t="shared" si="7"/>
        <v>0</v>
      </c>
      <c r="K46" s="6">
        <f t="shared" si="7"/>
        <v>0</v>
      </c>
      <c r="L46" s="6">
        <f t="shared" si="7"/>
        <v>0</v>
      </c>
      <c r="M46" s="6">
        <f t="shared" si="7"/>
        <v>0</v>
      </c>
      <c r="N46" s="6" t="str">
        <f t="shared" si="4"/>
        <v/>
      </c>
      <c r="O46" s="6" t="str">
        <f t="shared" si="5"/>
        <v/>
      </c>
    </row>
    <row r="47" spans="1:15">
      <c r="A47" s="4"/>
      <c r="B47" s="5"/>
      <c r="C47" s="4"/>
      <c r="D47" s="4"/>
      <c r="E47" s="4"/>
      <c r="F47" s="6"/>
      <c r="H47">
        <f t="shared" si="1"/>
        <v>0</v>
      </c>
      <c r="I47" t="e">
        <f t="shared" si="2"/>
        <v>#VALUE!</v>
      </c>
      <c r="J47" s="6">
        <f t="shared" si="7"/>
        <v>0</v>
      </c>
      <c r="K47" s="6">
        <f t="shared" si="7"/>
        <v>0</v>
      </c>
      <c r="L47" s="6">
        <f t="shared" si="7"/>
        <v>0</v>
      </c>
      <c r="M47" s="6">
        <f t="shared" si="7"/>
        <v>0</v>
      </c>
      <c r="N47" s="6" t="str">
        <f t="shared" si="4"/>
        <v/>
      </c>
      <c r="O47" s="6" t="str">
        <f t="shared" si="5"/>
        <v/>
      </c>
    </row>
    <row r="48" spans="1:15">
      <c r="A48" s="4"/>
      <c r="B48" s="5"/>
      <c r="C48" s="4"/>
      <c r="D48" s="4"/>
      <c r="E48" s="4"/>
      <c r="F48" s="6"/>
      <c r="H48">
        <f t="shared" si="1"/>
        <v>0</v>
      </c>
      <c r="I48" t="e">
        <f t="shared" si="2"/>
        <v>#VALUE!</v>
      </c>
      <c r="J48" s="6">
        <f t="shared" si="7"/>
        <v>0</v>
      </c>
      <c r="K48" s="6">
        <f t="shared" si="7"/>
        <v>0</v>
      </c>
      <c r="L48" s="6">
        <f t="shared" si="7"/>
        <v>0</v>
      </c>
      <c r="M48" s="6">
        <f t="shared" si="7"/>
        <v>0</v>
      </c>
      <c r="N48" s="6" t="str">
        <f t="shared" si="4"/>
        <v/>
      </c>
      <c r="O48" s="6" t="str">
        <f t="shared" si="5"/>
        <v/>
      </c>
    </row>
    <row r="49" spans="1:15">
      <c r="A49" s="4"/>
      <c r="B49" s="5"/>
      <c r="C49" s="4"/>
      <c r="D49" s="4"/>
      <c r="E49" s="4"/>
      <c r="F49" s="6"/>
      <c r="H49">
        <f t="shared" si="1"/>
        <v>0</v>
      </c>
      <c r="I49" t="e">
        <f t="shared" si="2"/>
        <v>#VALUE!</v>
      </c>
      <c r="J49" s="6">
        <f t="shared" si="7"/>
        <v>0</v>
      </c>
      <c r="K49" s="6">
        <f t="shared" si="7"/>
        <v>0</v>
      </c>
      <c r="L49" s="6">
        <f t="shared" si="7"/>
        <v>0</v>
      </c>
      <c r="M49" s="6">
        <f t="shared" si="7"/>
        <v>0</v>
      </c>
      <c r="N49" s="6" t="str">
        <f t="shared" si="4"/>
        <v/>
      </c>
      <c r="O49" s="6" t="str">
        <f t="shared" si="5"/>
        <v/>
      </c>
    </row>
    <row r="50" spans="1:15">
      <c r="A50" s="4"/>
      <c r="B50" s="5"/>
      <c r="C50" s="4"/>
      <c r="D50" s="4"/>
      <c r="E50" s="4"/>
      <c r="F50" s="6"/>
      <c r="H50">
        <f t="shared" si="1"/>
        <v>0</v>
      </c>
      <c r="I50" t="e">
        <f t="shared" si="2"/>
        <v>#VALUE!</v>
      </c>
      <c r="J50" s="6">
        <f t="shared" si="7"/>
        <v>0</v>
      </c>
      <c r="K50" s="6">
        <f t="shared" si="7"/>
        <v>0</v>
      </c>
      <c r="L50" s="6">
        <f t="shared" si="7"/>
        <v>0</v>
      </c>
      <c r="M50" s="6">
        <f t="shared" si="7"/>
        <v>0</v>
      </c>
      <c r="N50" s="6" t="str">
        <f t="shared" si="4"/>
        <v/>
      </c>
      <c r="O50" s="6" t="str">
        <f t="shared" si="5"/>
        <v/>
      </c>
    </row>
    <row r="51" spans="1:15">
      <c r="A51" s="4"/>
      <c r="B51" s="5"/>
      <c r="C51" s="4"/>
      <c r="D51" s="4"/>
      <c r="E51" s="4"/>
      <c r="F51" s="6"/>
      <c r="H51">
        <f t="shared" si="1"/>
        <v>0</v>
      </c>
      <c r="I51" t="e">
        <f t="shared" si="2"/>
        <v>#VALUE!</v>
      </c>
      <c r="J51" s="6">
        <f t="shared" si="7"/>
        <v>0</v>
      </c>
      <c r="K51" s="6">
        <f t="shared" si="7"/>
        <v>0</v>
      </c>
      <c r="L51" s="6">
        <f t="shared" si="7"/>
        <v>0</v>
      </c>
      <c r="M51" s="6">
        <f t="shared" si="7"/>
        <v>0</v>
      </c>
      <c r="N51" s="6" t="str">
        <f t="shared" si="4"/>
        <v/>
      </c>
      <c r="O51" s="6" t="str">
        <f t="shared" si="5"/>
        <v/>
      </c>
    </row>
    <row r="52" spans="1:15">
      <c r="A52" s="4"/>
      <c r="B52" s="5"/>
      <c r="C52" s="4"/>
      <c r="D52" s="4"/>
      <c r="E52" s="4"/>
      <c r="F52" s="6"/>
      <c r="H52">
        <f t="shared" si="1"/>
        <v>0</v>
      </c>
      <c r="I52" t="e">
        <f t="shared" si="2"/>
        <v>#VALUE!</v>
      </c>
      <c r="J52" s="6">
        <f t="shared" si="7"/>
        <v>0</v>
      </c>
      <c r="K52" s="6">
        <f t="shared" si="7"/>
        <v>0</v>
      </c>
      <c r="L52" s="6">
        <f t="shared" si="7"/>
        <v>0</v>
      </c>
      <c r="M52" s="6">
        <f t="shared" si="7"/>
        <v>0</v>
      </c>
      <c r="N52" s="6" t="str">
        <f t="shared" si="4"/>
        <v/>
      </c>
      <c r="O52" s="6" t="str">
        <f t="shared" si="5"/>
        <v/>
      </c>
    </row>
    <row r="53" spans="1:15">
      <c r="A53" s="4"/>
      <c r="B53" s="5"/>
      <c r="C53" s="4"/>
      <c r="D53" s="4"/>
      <c r="E53" s="4"/>
      <c r="F53" s="6"/>
      <c r="H53">
        <f t="shared" si="1"/>
        <v>0</v>
      </c>
      <c r="I53" t="e">
        <f t="shared" si="2"/>
        <v>#VALUE!</v>
      </c>
      <c r="J53" s="6">
        <f t="shared" si="7"/>
        <v>0</v>
      </c>
      <c r="K53" s="6">
        <f t="shared" si="7"/>
        <v>0</v>
      </c>
      <c r="L53" s="6">
        <f t="shared" si="7"/>
        <v>0</v>
      </c>
      <c r="M53" s="6">
        <f t="shared" si="7"/>
        <v>0</v>
      </c>
      <c r="N53" s="6" t="str">
        <f t="shared" si="4"/>
        <v/>
      </c>
      <c r="O53" s="6" t="str">
        <f t="shared" si="5"/>
        <v/>
      </c>
    </row>
    <row r="54" spans="1:15">
      <c r="A54" s="4"/>
      <c r="B54" s="5"/>
      <c r="C54" s="4"/>
      <c r="D54" s="4"/>
      <c r="E54" s="4"/>
      <c r="F54" s="6"/>
      <c r="H54">
        <f t="shared" si="1"/>
        <v>0</v>
      </c>
      <c r="I54" t="e">
        <f t="shared" si="2"/>
        <v>#VALUE!</v>
      </c>
      <c r="J54" s="6">
        <f t="shared" si="7"/>
        <v>0</v>
      </c>
      <c r="K54" s="6">
        <f t="shared" si="7"/>
        <v>0</v>
      </c>
      <c r="L54" s="6">
        <f t="shared" si="7"/>
        <v>0</v>
      </c>
      <c r="M54" s="6">
        <f t="shared" si="7"/>
        <v>0</v>
      </c>
      <c r="N54" s="6" t="str">
        <f t="shared" si="4"/>
        <v/>
      </c>
      <c r="O54" s="6" t="str">
        <f t="shared" si="5"/>
        <v/>
      </c>
    </row>
    <row r="55" spans="1:15">
      <c r="A55" s="4"/>
      <c r="B55" s="5"/>
      <c r="C55" s="4"/>
      <c r="D55" s="4"/>
      <c r="E55" s="4"/>
      <c r="F55" s="6"/>
      <c r="H55">
        <f t="shared" si="1"/>
        <v>0</v>
      </c>
      <c r="I55" t="e">
        <f t="shared" si="2"/>
        <v>#VALUE!</v>
      </c>
      <c r="J55" s="6">
        <f t="shared" si="7"/>
        <v>0</v>
      </c>
      <c r="K55" s="6">
        <f t="shared" si="7"/>
        <v>0</v>
      </c>
      <c r="L55" s="6">
        <f t="shared" si="7"/>
        <v>0</v>
      </c>
      <c r="M55" s="6">
        <f t="shared" si="7"/>
        <v>0</v>
      </c>
      <c r="N55" s="6" t="str">
        <f t="shared" si="4"/>
        <v/>
      </c>
      <c r="O55" s="6" t="str">
        <f t="shared" si="5"/>
        <v/>
      </c>
    </row>
    <row r="56" spans="1:15">
      <c r="A56" s="4"/>
      <c r="B56" s="5"/>
      <c r="C56" s="4"/>
      <c r="D56" s="4"/>
      <c r="E56" s="4"/>
      <c r="F56" s="6"/>
      <c r="H56">
        <f t="shared" si="1"/>
        <v>0</v>
      </c>
      <c r="I56" t="e">
        <f t="shared" si="2"/>
        <v>#VALUE!</v>
      </c>
      <c r="J56" s="6">
        <f t="shared" si="7"/>
        <v>0</v>
      </c>
      <c r="K56" s="6">
        <f t="shared" si="7"/>
        <v>0</v>
      </c>
      <c r="L56" s="6">
        <f t="shared" si="7"/>
        <v>0</v>
      </c>
      <c r="M56" s="6">
        <f t="shared" si="7"/>
        <v>0</v>
      </c>
      <c r="N56" s="6" t="str">
        <f t="shared" si="4"/>
        <v/>
      </c>
      <c r="O56" s="6" t="str">
        <f t="shared" si="5"/>
        <v/>
      </c>
    </row>
    <row r="57" spans="1:15">
      <c r="A57" s="4"/>
      <c r="B57" s="5"/>
      <c r="C57" s="4"/>
      <c r="D57" s="4"/>
      <c r="E57" s="4"/>
      <c r="F57" s="6"/>
      <c r="H57">
        <f t="shared" si="1"/>
        <v>0</v>
      </c>
      <c r="I57" t="e">
        <f t="shared" si="2"/>
        <v>#VALUE!</v>
      </c>
      <c r="J57" s="6">
        <f t="shared" si="7"/>
        <v>0</v>
      </c>
      <c r="K57" s="6">
        <f t="shared" si="7"/>
        <v>0</v>
      </c>
      <c r="L57" s="6">
        <f t="shared" si="7"/>
        <v>0</v>
      </c>
      <c r="M57" s="6">
        <f t="shared" si="7"/>
        <v>0</v>
      </c>
      <c r="N57" s="6" t="str">
        <f t="shared" si="4"/>
        <v/>
      </c>
      <c r="O57" s="6" t="str">
        <f t="shared" si="5"/>
        <v/>
      </c>
    </row>
    <row r="58" spans="1:15">
      <c r="A58" s="4"/>
      <c r="B58" s="5"/>
      <c r="C58" s="4"/>
      <c r="D58" s="4"/>
      <c r="E58" s="4"/>
      <c r="F58" s="6"/>
      <c r="H58">
        <f t="shared" si="1"/>
        <v>0</v>
      </c>
      <c r="I58" t="e">
        <f t="shared" si="2"/>
        <v>#VALUE!</v>
      </c>
      <c r="J58" s="6">
        <f t="shared" si="7"/>
        <v>0</v>
      </c>
      <c r="K58" s="6">
        <f t="shared" si="7"/>
        <v>0</v>
      </c>
      <c r="L58" s="6">
        <f t="shared" si="7"/>
        <v>0</v>
      </c>
      <c r="M58" s="6">
        <f t="shared" si="7"/>
        <v>0</v>
      </c>
      <c r="N58" s="6" t="str">
        <f t="shared" si="4"/>
        <v/>
      </c>
      <c r="O58" s="6" t="str">
        <f t="shared" si="5"/>
        <v/>
      </c>
    </row>
    <row r="59" spans="1:15">
      <c r="A59" s="4"/>
      <c r="B59" s="5"/>
      <c r="C59" s="4"/>
      <c r="D59" s="4"/>
      <c r="E59" s="4"/>
      <c r="F59" s="6"/>
      <c r="H59">
        <f t="shared" si="1"/>
        <v>0</v>
      </c>
      <c r="I59" t="e">
        <f t="shared" si="2"/>
        <v>#VALUE!</v>
      </c>
      <c r="J59" s="6">
        <f t="shared" si="7"/>
        <v>0</v>
      </c>
      <c r="K59" s="6">
        <f t="shared" si="7"/>
        <v>0</v>
      </c>
      <c r="L59" s="6">
        <f t="shared" si="7"/>
        <v>0</v>
      </c>
      <c r="M59" s="6">
        <f t="shared" si="7"/>
        <v>0</v>
      </c>
      <c r="N59" s="6" t="str">
        <f t="shared" si="4"/>
        <v/>
      </c>
      <c r="O59" s="6" t="str">
        <f t="shared" si="5"/>
        <v/>
      </c>
    </row>
    <row r="60" spans="1:15">
      <c r="A60" s="4"/>
      <c r="B60" s="5"/>
      <c r="C60" s="4"/>
      <c r="D60" s="4"/>
      <c r="E60" s="4"/>
      <c r="F60" s="6"/>
      <c r="H60">
        <f t="shared" si="1"/>
        <v>0</v>
      </c>
      <c r="I60" t="e">
        <f t="shared" si="2"/>
        <v>#VALUE!</v>
      </c>
      <c r="J60" s="6">
        <f t="shared" si="7"/>
        <v>0</v>
      </c>
      <c r="K60" s="6">
        <f t="shared" si="7"/>
        <v>0</v>
      </c>
      <c r="L60" s="6">
        <f t="shared" si="7"/>
        <v>0</v>
      </c>
      <c r="M60" s="6">
        <f t="shared" si="7"/>
        <v>0</v>
      </c>
      <c r="N60" s="6" t="str">
        <f t="shared" si="4"/>
        <v/>
      </c>
      <c r="O60" s="6" t="str">
        <f t="shared" si="5"/>
        <v/>
      </c>
    </row>
    <row r="61" spans="1:15">
      <c r="A61" s="4"/>
      <c r="B61" s="5"/>
      <c r="C61" s="4"/>
      <c r="D61" s="4"/>
      <c r="E61" s="4"/>
      <c r="F61" s="6"/>
      <c r="H61">
        <f t="shared" si="1"/>
        <v>0</v>
      </c>
      <c r="I61" t="e">
        <f t="shared" si="2"/>
        <v>#VALUE!</v>
      </c>
      <c r="J61" s="6">
        <f t="shared" si="7"/>
        <v>0</v>
      </c>
      <c r="K61" s="6">
        <f t="shared" si="7"/>
        <v>0</v>
      </c>
      <c r="L61" s="6">
        <f t="shared" si="7"/>
        <v>0</v>
      </c>
      <c r="M61" s="6">
        <f t="shared" si="7"/>
        <v>0</v>
      </c>
      <c r="N61" s="6" t="str">
        <f t="shared" si="4"/>
        <v/>
      </c>
      <c r="O61" s="6" t="str">
        <f t="shared" si="5"/>
        <v/>
      </c>
    </row>
    <row r="62" spans="1:15">
      <c r="A62" s="4"/>
      <c r="B62" s="5"/>
      <c r="C62" s="4"/>
      <c r="D62" s="4"/>
      <c r="E62" s="4"/>
      <c r="F62" s="6"/>
      <c r="H62">
        <f t="shared" si="1"/>
        <v>0</v>
      </c>
      <c r="I62" t="e">
        <f t="shared" si="2"/>
        <v>#VALUE!</v>
      </c>
      <c r="J62" s="6">
        <f t="shared" si="7"/>
        <v>0</v>
      </c>
      <c r="K62" s="6">
        <f t="shared" si="7"/>
        <v>0</v>
      </c>
      <c r="L62" s="6">
        <f t="shared" si="7"/>
        <v>0</v>
      </c>
      <c r="M62" s="6">
        <f t="shared" si="7"/>
        <v>0</v>
      </c>
      <c r="N62" s="6" t="str">
        <f t="shared" si="4"/>
        <v/>
      </c>
      <c r="O62" s="6" t="str">
        <f t="shared" si="5"/>
        <v/>
      </c>
    </row>
    <row r="63" spans="1:15">
      <c r="A63" s="4"/>
      <c r="B63" s="5"/>
      <c r="C63" s="4"/>
      <c r="D63" s="4"/>
      <c r="E63" s="4"/>
      <c r="F63" s="6"/>
      <c r="H63">
        <f t="shared" si="1"/>
        <v>0</v>
      </c>
      <c r="I63" t="e">
        <f t="shared" si="2"/>
        <v>#VALUE!</v>
      </c>
      <c r="J63" s="6">
        <f t="shared" si="7"/>
        <v>0</v>
      </c>
      <c r="K63" s="6">
        <f t="shared" si="7"/>
        <v>0</v>
      </c>
      <c r="L63" s="6">
        <f t="shared" si="7"/>
        <v>0</v>
      </c>
      <c r="M63" s="6">
        <f t="shared" si="7"/>
        <v>0</v>
      </c>
      <c r="N63" s="6" t="str">
        <f t="shared" si="4"/>
        <v/>
      </c>
      <c r="O63" s="6" t="str">
        <f t="shared" si="5"/>
        <v/>
      </c>
    </row>
    <row r="64" spans="1:15">
      <c r="A64" s="4"/>
      <c r="B64" s="5"/>
      <c r="C64" s="4"/>
      <c r="D64" s="4"/>
      <c r="E64" s="4"/>
      <c r="F64" s="6"/>
      <c r="H64">
        <f t="shared" si="1"/>
        <v>0</v>
      </c>
      <c r="I64" t="e">
        <f t="shared" si="2"/>
        <v>#VALUE!</v>
      </c>
      <c r="J64" s="6">
        <f t="shared" si="7"/>
        <v>0</v>
      </c>
      <c r="K64" s="6">
        <f t="shared" si="7"/>
        <v>0</v>
      </c>
      <c r="L64" s="6">
        <f t="shared" si="7"/>
        <v>0</v>
      </c>
      <c r="M64" s="6">
        <f t="shared" si="7"/>
        <v>0</v>
      </c>
      <c r="N64" s="6" t="str">
        <f t="shared" si="4"/>
        <v/>
      </c>
      <c r="O64" s="6" t="str">
        <f t="shared" si="5"/>
        <v/>
      </c>
    </row>
    <row r="65" spans="1:15">
      <c r="A65" s="4"/>
      <c r="B65" s="5"/>
      <c r="C65" s="4"/>
      <c r="D65" s="4"/>
      <c r="E65" s="4"/>
      <c r="F65" s="6"/>
      <c r="H65">
        <f t="shared" si="1"/>
        <v>0</v>
      </c>
      <c r="I65" t="e">
        <f t="shared" si="2"/>
        <v>#VALUE!</v>
      </c>
      <c r="J65" s="6">
        <f t="shared" si="7"/>
        <v>0</v>
      </c>
      <c r="K65" s="6">
        <f t="shared" si="7"/>
        <v>0</v>
      </c>
      <c r="L65" s="6">
        <f t="shared" si="7"/>
        <v>0</v>
      </c>
      <c r="M65" s="6">
        <f t="shared" si="7"/>
        <v>0</v>
      </c>
      <c r="N65" s="6" t="str">
        <f t="shared" si="4"/>
        <v/>
      </c>
      <c r="O65" s="6" t="str">
        <f t="shared" si="5"/>
        <v/>
      </c>
    </row>
    <row r="66" spans="1:15">
      <c r="A66" s="4"/>
      <c r="B66" s="5"/>
      <c r="C66" s="4"/>
      <c r="D66" s="4"/>
      <c r="E66" s="4"/>
      <c r="F66" s="6"/>
      <c r="H66">
        <f t="shared" si="1"/>
        <v>0</v>
      </c>
      <c r="I66" t="e">
        <f t="shared" si="2"/>
        <v>#VALUE!</v>
      </c>
      <c r="J66" s="6">
        <f t="shared" si="7"/>
        <v>0</v>
      </c>
      <c r="K66" s="6">
        <f t="shared" si="7"/>
        <v>0</v>
      </c>
      <c r="L66" s="6">
        <f t="shared" si="7"/>
        <v>0</v>
      </c>
      <c r="M66" s="6">
        <f t="shared" si="7"/>
        <v>0</v>
      </c>
      <c r="N66" s="6" t="str">
        <f t="shared" si="4"/>
        <v/>
      </c>
      <c r="O66" s="6" t="str">
        <f t="shared" si="5"/>
        <v/>
      </c>
    </row>
    <row r="67" spans="1:15">
      <c r="A67" s="4"/>
      <c r="B67" s="5"/>
      <c r="C67" s="4"/>
      <c r="D67" s="4"/>
      <c r="E67" s="4"/>
      <c r="F67" s="6"/>
      <c r="H67">
        <f t="shared" si="1"/>
        <v>0</v>
      </c>
      <c r="I67" t="e">
        <f t="shared" si="2"/>
        <v>#VALUE!</v>
      </c>
      <c r="J67" s="6">
        <f t="shared" si="7"/>
        <v>0</v>
      </c>
      <c r="K67" s="6">
        <f t="shared" si="7"/>
        <v>0</v>
      </c>
      <c r="L67" s="6">
        <f t="shared" si="7"/>
        <v>0</v>
      </c>
      <c r="M67" s="6">
        <f t="shared" si="7"/>
        <v>0</v>
      </c>
      <c r="N67" s="6" t="str">
        <f t="shared" si="4"/>
        <v/>
      </c>
      <c r="O67" s="6" t="str">
        <f t="shared" si="5"/>
        <v/>
      </c>
    </row>
    <row r="68" spans="1:15">
      <c r="A68" s="4"/>
      <c r="B68" s="5"/>
      <c r="C68" s="4"/>
      <c r="D68" s="4"/>
      <c r="E68" s="4"/>
      <c r="F68" s="6"/>
      <c r="H68">
        <f t="shared" si="1"/>
        <v>0</v>
      </c>
      <c r="I68" t="e">
        <f t="shared" si="2"/>
        <v>#VALUE!</v>
      </c>
      <c r="J68" s="6">
        <f t="shared" si="7"/>
        <v>0</v>
      </c>
      <c r="K68" s="6">
        <f t="shared" si="7"/>
        <v>0</v>
      </c>
      <c r="L68" s="6">
        <f t="shared" si="7"/>
        <v>0</v>
      </c>
      <c r="M68" s="6">
        <f t="shared" si="7"/>
        <v>0</v>
      </c>
      <c r="N68" s="6" t="str">
        <f t="shared" si="4"/>
        <v/>
      </c>
      <c r="O68" s="6" t="str">
        <f t="shared" si="5"/>
        <v/>
      </c>
    </row>
    <row r="69" spans="1:15">
      <c r="A69" s="4"/>
      <c r="B69" s="5"/>
      <c r="C69" s="4"/>
      <c r="D69" s="4"/>
      <c r="E69" s="4"/>
      <c r="F69" s="6"/>
      <c r="H69">
        <f t="shared" si="1"/>
        <v>0</v>
      </c>
      <c r="I69" t="e">
        <f t="shared" si="2"/>
        <v>#VALUE!</v>
      </c>
      <c r="J69" s="6">
        <f t="shared" si="7"/>
        <v>0</v>
      </c>
      <c r="K69" s="6">
        <f t="shared" si="7"/>
        <v>0</v>
      </c>
      <c r="L69" s="6">
        <f t="shared" si="7"/>
        <v>0</v>
      </c>
      <c r="M69" s="6">
        <f t="shared" si="7"/>
        <v>0</v>
      </c>
      <c r="N69" s="6" t="str">
        <f t="shared" si="4"/>
        <v/>
      </c>
      <c r="O69" s="6" t="str">
        <f t="shared" si="5"/>
        <v/>
      </c>
    </row>
    <row r="70" spans="1:15">
      <c r="A70" s="4"/>
      <c r="B70" s="5"/>
      <c r="C70" s="4"/>
      <c r="D70" s="4"/>
      <c r="E70" s="4"/>
      <c r="F70" s="6"/>
      <c r="H70">
        <f t="shared" si="1"/>
        <v>0</v>
      </c>
      <c r="I70" t="e">
        <f t="shared" si="2"/>
        <v>#VALUE!</v>
      </c>
      <c r="J70" s="6">
        <f t="shared" si="7"/>
        <v>0</v>
      </c>
      <c r="K70" s="6">
        <f t="shared" si="7"/>
        <v>0</v>
      </c>
      <c r="L70" s="6">
        <f t="shared" si="7"/>
        <v>0</v>
      </c>
      <c r="M70" s="6">
        <f t="shared" si="7"/>
        <v>0</v>
      </c>
      <c r="N70" s="6" t="str">
        <f t="shared" si="4"/>
        <v/>
      </c>
      <c r="O70" s="6" t="str">
        <f t="shared" si="5"/>
        <v/>
      </c>
    </row>
    <row r="71" spans="1:15">
      <c r="A71" s="4"/>
      <c r="B71" s="5"/>
      <c r="C71" s="4"/>
      <c r="D71" s="4"/>
      <c r="E71" s="4"/>
      <c r="F71" s="6"/>
      <c r="H71">
        <f t="shared" ref="H71:H134" si="8">A71</f>
        <v>0</v>
      </c>
      <c r="I71" t="e">
        <f t="shared" ref="I71:I134" si="9">LEFT(B71,SEARCH(" ",B71,1)-1)</f>
        <v>#VALUE!</v>
      </c>
      <c r="J71" s="6">
        <f t="shared" si="7"/>
        <v>0</v>
      </c>
      <c r="K71" s="6">
        <f t="shared" si="7"/>
        <v>0</v>
      </c>
      <c r="L71" s="6">
        <f t="shared" si="7"/>
        <v>0</v>
      </c>
      <c r="M71" s="6">
        <f t="shared" si="7"/>
        <v>0</v>
      </c>
      <c r="N71" s="6" t="str">
        <f t="shared" ref="N71:N134" si="10">TRIM($B$1)</f>
        <v/>
      </c>
      <c r="O71" s="6" t="str">
        <f t="shared" ref="O71:O134" si="11">TRIM($C$1)</f>
        <v/>
      </c>
    </row>
    <row r="72" spans="1:15">
      <c r="A72" s="4"/>
      <c r="B72" s="5"/>
      <c r="C72" s="4"/>
      <c r="D72" s="4"/>
      <c r="E72" s="4"/>
      <c r="F72" s="6"/>
      <c r="H72">
        <f t="shared" si="8"/>
        <v>0</v>
      </c>
      <c r="I72" t="e">
        <f t="shared" si="9"/>
        <v>#VALUE!</v>
      </c>
      <c r="J72" s="6">
        <f t="shared" si="7"/>
        <v>0</v>
      </c>
      <c r="K72" s="6">
        <f t="shared" si="7"/>
        <v>0</v>
      </c>
      <c r="L72" s="6">
        <f t="shared" si="7"/>
        <v>0</v>
      </c>
      <c r="M72" s="6">
        <f t="shared" si="7"/>
        <v>0</v>
      </c>
      <c r="N72" s="6" t="str">
        <f t="shared" si="10"/>
        <v/>
      </c>
      <c r="O72" s="6" t="str">
        <f t="shared" si="11"/>
        <v/>
      </c>
    </row>
    <row r="73" spans="1:15">
      <c r="A73" s="4"/>
      <c r="B73" s="5"/>
      <c r="C73" s="4"/>
      <c r="D73" s="4"/>
      <c r="E73" s="4"/>
      <c r="F73" s="6"/>
      <c r="H73">
        <f t="shared" si="8"/>
        <v>0</v>
      </c>
      <c r="I73" t="e">
        <f t="shared" si="9"/>
        <v>#VALUE!</v>
      </c>
      <c r="J73" s="6">
        <f t="shared" si="7"/>
        <v>0</v>
      </c>
      <c r="K73" s="6">
        <f t="shared" si="7"/>
        <v>0</v>
      </c>
      <c r="L73" s="6">
        <f t="shared" si="7"/>
        <v>0</v>
      </c>
      <c r="M73" s="6">
        <f t="shared" si="7"/>
        <v>0</v>
      </c>
      <c r="N73" s="6" t="str">
        <f t="shared" si="10"/>
        <v/>
      </c>
      <c r="O73" s="6" t="str">
        <f t="shared" si="11"/>
        <v/>
      </c>
    </row>
    <row r="74" spans="1:15">
      <c r="A74" s="4"/>
      <c r="B74" s="5"/>
      <c r="C74" s="4"/>
      <c r="D74" s="4"/>
      <c r="E74" s="4"/>
      <c r="F74" s="6"/>
      <c r="H74">
        <f t="shared" si="8"/>
        <v>0</v>
      </c>
      <c r="I74" t="e">
        <f t="shared" si="9"/>
        <v>#VALUE!</v>
      </c>
      <c r="J74" s="6">
        <f t="shared" si="7"/>
        <v>0</v>
      </c>
      <c r="K74" s="6">
        <f t="shared" si="7"/>
        <v>0</v>
      </c>
      <c r="L74" s="6">
        <f t="shared" si="7"/>
        <v>0</v>
      </c>
      <c r="M74" s="6">
        <f t="shared" si="7"/>
        <v>0</v>
      </c>
      <c r="N74" s="6" t="str">
        <f t="shared" si="10"/>
        <v/>
      </c>
      <c r="O74" s="6" t="str">
        <f t="shared" si="11"/>
        <v/>
      </c>
    </row>
    <row r="75" spans="1:15">
      <c r="A75" s="4"/>
      <c r="B75" s="5"/>
      <c r="C75" s="4"/>
      <c r="D75" s="4"/>
      <c r="E75" s="4"/>
      <c r="F75" s="6"/>
      <c r="H75">
        <f t="shared" si="8"/>
        <v>0</v>
      </c>
      <c r="I75" t="e">
        <f t="shared" si="9"/>
        <v>#VALUE!</v>
      </c>
      <c r="J75" s="6">
        <f t="shared" si="7"/>
        <v>0</v>
      </c>
      <c r="K75" s="6">
        <f t="shared" si="7"/>
        <v>0</v>
      </c>
      <c r="L75" s="6">
        <f t="shared" si="7"/>
        <v>0</v>
      </c>
      <c r="M75" s="6">
        <f t="shared" si="7"/>
        <v>0</v>
      </c>
      <c r="N75" s="6" t="str">
        <f t="shared" si="10"/>
        <v/>
      </c>
      <c r="O75" s="6" t="str">
        <f t="shared" si="11"/>
        <v/>
      </c>
    </row>
    <row r="76" spans="1:15">
      <c r="A76" s="4"/>
      <c r="B76" s="5"/>
      <c r="C76" s="4"/>
      <c r="D76" s="4"/>
      <c r="E76" s="4"/>
      <c r="F76" s="6"/>
      <c r="H76">
        <f t="shared" si="8"/>
        <v>0</v>
      </c>
      <c r="I76" t="e">
        <f t="shared" si="9"/>
        <v>#VALUE!</v>
      </c>
      <c r="J76" s="6">
        <f t="shared" si="7"/>
        <v>0</v>
      </c>
      <c r="K76" s="6">
        <f t="shared" si="7"/>
        <v>0</v>
      </c>
      <c r="L76" s="6">
        <f t="shared" si="7"/>
        <v>0</v>
      </c>
      <c r="M76" s="6">
        <f t="shared" si="7"/>
        <v>0</v>
      </c>
      <c r="N76" s="6" t="str">
        <f t="shared" si="10"/>
        <v/>
      </c>
      <c r="O76" s="6" t="str">
        <f t="shared" si="11"/>
        <v/>
      </c>
    </row>
    <row r="77" spans="1:15">
      <c r="A77" s="4"/>
      <c r="B77" s="5"/>
      <c r="C77" s="4"/>
      <c r="D77" s="4"/>
      <c r="E77" s="4"/>
      <c r="F77" s="6"/>
      <c r="H77">
        <f t="shared" si="8"/>
        <v>0</v>
      </c>
      <c r="I77" t="e">
        <f t="shared" si="9"/>
        <v>#VALUE!</v>
      </c>
      <c r="J77" s="6">
        <f t="shared" si="7"/>
        <v>0</v>
      </c>
      <c r="K77" s="6">
        <f t="shared" si="7"/>
        <v>0</v>
      </c>
      <c r="L77" s="6">
        <f t="shared" si="7"/>
        <v>0</v>
      </c>
      <c r="M77" s="6">
        <f t="shared" si="7"/>
        <v>0</v>
      </c>
      <c r="N77" s="6" t="str">
        <f t="shared" si="10"/>
        <v/>
      </c>
      <c r="O77" s="6" t="str">
        <f t="shared" si="11"/>
        <v/>
      </c>
    </row>
    <row r="78" spans="1:15">
      <c r="A78" s="4"/>
      <c r="B78" s="5"/>
      <c r="C78" s="4"/>
      <c r="D78" s="4"/>
      <c r="E78" s="4"/>
      <c r="F78" s="6"/>
      <c r="H78">
        <f t="shared" si="8"/>
        <v>0</v>
      </c>
      <c r="I78" t="e">
        <f t="shared" si="9"/>
        <v>#VALUE!</v>
      </c>
      <c r="J78" s="6">
        <f t="shared" si="7"/>
        <v>0</v>
      </c>
      <c r="K78" s="6">
        <f t="shared" si="7"/>
        <v>0</v>
      </c>
      <c r="L78" s="6">
        <f t="shared" si="7"/>
        <v>0</v>
      </c>
      <c r="M78" s="6">
        <f t="shared" si="7"/>
        <v>0</v>
      </c>
      <c r="N78" s="6" t="str">
        <f t="shared" si="10"/>
        <v/>
      </c>
      <c r="O78" s="6" t="str">
        <f t="shared" si="11"/>
        <v/>
      </c>
    </row>
    <row r="79" spans="1:15">
      <c r="A79" s="4"/>
      <c r="B79" s="5"/>
      <c r="C79" s="4"/>
      <c r="D79" s="4"/>
      <c r="E79" s="4"/>
      <c r="F79" s="6"/>
      <c r="H79">
        <f t="shared" si="8"/>
        <v>0</v>
      </c>
      <c r="I79" t="e">
        <f t="shared" si="9"/>
        <v>#VALUE!</v>
      </c>
      <c r="J79" s="6">
        <f t="shared" si="7"/>
        <v>0</v>
      </c>
      <c r="K79" s="6">
        <f t="shared" si="7"/>
        <v>0</v>
      </c>
      <c r="L79" s="6">
        <f t="shared" si="7"/>
        <v>0</v>
      </c>
      <c r="M79" s="6">
        <f t="shared" si="7"/>
        <v>0</v>
      </c>
      <c r="N79" s="6" t="str">
        <f t="shared" si="10"/>
        <v/>
      </c>
      <c r="O79" s="6" t="str">
        <f t="shared" si="11"/>
        <v/>
      </c>
    </row>
    <row r="80" spans="1:15">
      <c r="A80" s="4"/>
      <c r="B80" s="5"/>
      <c r="C80" s="4"/>
      <c r="D80" s="4"/>
      <c r="E80" s="4"/>
      <c r="F80" s="6"/>
      <c r="H80">
        <f t="shared" si="8"/>
        <v>0</v>
      </c>
      <c r="I80" t="e">
        <f t="shared" si="9"/>
        <v>#VALUE!</v>
      </c>
      <c r="J80" s="6">
        <f t="shared" si="7"/>
        <v>0</v>
      </c>
      <c r="K80" s="6">
        <f t="shared" si="7"/>
        <v>0</v>
      </c>
      <c r="L80" s="6">
        <f t="shared" si="7"/>
        <v>0</v>
      </c>
      <c r="M80" s="6">
        <f t="shared" si="7"/>
        <v>0</v>
      </c>
      <c r="N80" s="6" t="str">
        <f t="shared" si="10"/>
        <v/>
      </c>
      <c r="O80" s="6" t="str">
        <f t="shared" si="11"/>
        <v/>
      </c>
    </row>
    <row r="81" spans="1:15">
      <c r="A81" s="4"/>
      <c r="B81" s="5"/>
      <c r="C81" s="4"/>
      <c r="D81" s="4"/>
      <c r="E81" s="4"/>
      <c r="F81" s="6"/>
      <c r="H81">
        <f t="shared" si="8"/>
        <v>0</v>
      </c>
      <c r="I81" t="e">
        <f t="shared" si="9"/>
        <v>#VALUE!</v>
      </c>
      <c r="J81" s="6">
        <f t="shared" si="7"/>
        <v>0</v>
      </c>
      <c r="K81" s="6">
        <f t="shared" si="7"/>
        <v>0</v>
      </c>
      <c r="L81" s="6">
        <f t="shared" si="7"/>
        <v>0</v>
      </c>
      <c r="M81" s="6">
        <f t="shared" si="7"/>
        <v>0</v>
      </c>
      <c r="N81" s="6" t="str">
        <f t="shared" si="10"/>
        <v/>
      </c>
      <c r="O81" s="6" t="str">
        <f t="shared" si="11"/>
        <v/>
      </c>
    </row>
    <row r="82" spans="1:15">
      <c r="A82" s="4"/>
      <c r="B82" s="5"/>
      <c r="C82" s="4"/>
      <c r="D82" s="4"/>
      <c r="E82" s="4"/>
      <c r="F82" s="6"/>
      <c r="H82">
        <f t="shared" si="8"/>
        <v>0</v>
      </c>
      <c r="I82" t="e">
        <f t="shared" si="9"/>
        <v>#VALUE!</v>
      </c>
      <c r="J82" s="6">
        <f t="shared" si="7"/>
        <v>0</v>
      </c>
      <c r="K82" s="6">
        <f t="shared" si="7"/>
        <v>0</v>
      </c>
      <c r="L82" s="6">
        <f t="shared" si="7"/>
        <v>0</v>
      </c>
      <c r="M82" s="6">
        <f t="shared" si="7"/>
        <v>0</v>
      </c>
      <c r="N82" s="6" t="str">
        <f t="shared" si="10"/>
        <v/>
      </c>
      <c r="O82" s="6" t="str">
        <f t="shared" si="11"/>
        <v/>
      </c>
    </row>
    <row r="83" spans="1:15">
      <c r="A83" s="4"/>
      <c r="B83" s="5"/>
      <c r="C83" s="4"/>
      <c r="D83" s="4"/>
      <c r="E83" s="4"/>
      <c r="F83" s="6"/>
      <c r="H83">
        <f t="shared" si="8"/>
        <v>0</v>
      </c>
      <c r="I83" t="e">
        <f t="shared" si="9"/>
        <v>#VALUE!</v>
      </c>
      <c r="J83" s="6">
        <f t="shared" si="7"/>
        <v>0</v>
      </c>
      <c r="K83" s="6">
        <f t="shared" si="7"/>
        <v>0</v>
      </c>
      <c r="L83" s="6">
        <f t="shared" si="7"/>
        <v>0</v>
      </c>
      <c r="M83" s="6">
        <f t="shared" si="7"/>
        <v>0</v>
      </c>
      <c r="N83" s="6" t="str">
        <f t="shared" si="10"/>
        <v/>
      </c>
      <c r="O83" s="6" t="str">
        <f t="shared" si="11"/>
        <v/>
      </c>
    </row>
    <row r="84" spans="1:15">
      <c r="A84" s="4"/>
      <c r="B84" s="5"/>
      <c r="C84" s="4"/>
      <c r="D84" s="4"/>
      <c r="E84" s="4"/>
      <c r="F84" s="6"/>
      <c r="H84">
        <f t="shared" si="8"/>
        <v>0</v>
      </c>
      <c r="I84" t="e">
        <f t="shared" si="9"/>
        <v>#VALUE!</v>
      </c>
      <c r="J84" s="6">
        <f t="shared" si="7"/>
        <v>0</v>
      </c>
      <c r="K84" s="6">
        <f t="shared" si="7"/>
        <v>0</v>
      </c>
      <c r="L84" s="6">
        <f t="shared" si="7"/>
        <v>0</v>
      </c>
      <c r="M84" s="6">
        <f t="shared" si="7"/>
        <v>0</v>
      </c>
      <c r="N84" s="6" t="str">
        <f t="shared" si="10"/>
        <v/>
      </c>
      <c r="O84" s="6" t="str">
        <f t="shared" si="11"/>
        <v/>
      </c>
    </row>
    <row r="85" spans="1:15">
      <c r="A85" s="4"/>
      <c r="B85" s="5"/>
      <c r="C85" s="4"/>
      <c r="D85" s="4"/>
      <c r="E85" s="4"/>
      <c r="F85" s="6"/>
      <c r="H85">
        <f t="shared" si="8"/>
        <v>0</v>
      </c>
      <c r="I85" t="e">
        <f t="shared" si="9"/>
        <v>#VALUE!</v>
      </c>
      <c r="J85" s="6">
        <f t="shared" si="7"/>
        <v>0</v>
      </c>
      <c r="K85" s="6">
        <f t="shared" si="7"/>
        <v>0</v>
      </c>
      <c r="L85" s="6">
        <f t="shared" si="7"/>
        <v>0</v>
      </c>
      <c r="M85" s="6">
        <f t="shared" si="7"/>
        <v>0</v>
      </c>
      <c r="N85" s="6" t="str">
        <f t="shared" si="10"/>
        <v/>
      </c>
      <c r="O85" s="6" t="str">
        <f t="shared" si="11"/>
        <v/>
      </c>
    </row>
    <row r="86" spans="1:15">
      <c r="A86" s="4"/>
      <c r="B86" s="5"/>
      <c r="C86" s="4"/>
      <c r="D86" s="4"/>
      <c r="E86" s="4"/>
      <c r="F86" s="6"/>
      <c r="H86">
        <f t="shared" si="8"/>
        <v>0</v>
      </c>
      <c r="I86" t="e">
        <f t="shared" si="9"/>
        <v>#VALUE!</v>
      </c>
      <c r="J86" s="6">
        <f t="shared" si="7"/>
        <v>0</v>
      </c>
      <c r="K86" s="6">
        <f t="shared" si="7"/>
        <v>0</v>
      </c>
      <c r="L86" s="6">
        <f t="shared" si="7"/>
        <v>0</v>
      </c>
      <c r="M86" s="6">
        <f t="shared" si="7"/>
        <v>0</v>
      </c>
      <c r="N86" s="6" t="str">
        <f t="shared" si="10"/>
        <v/>
      </c>
      <c r="O86" s="6" t="str">
        <f t="shared" si="11"/>
        <v/>
      </c>
    </row>
    <row r="87" spans="1:15">
      <c r="A87" s="4"/>
      <c r="B87" s="5"/>
      <c r="C87" s="4"/>
      <c r="D87" s="4"/>
      <c r="E87" s="4"/>
      <c r="F87" s="6"/>
      <c r="H87">
        <f t="shared" si="8"/>
        <v>0</v>
      </c>
      <c r="I87" t="e">
        <f t="shared" si="9"/>
        <v>#VALUE!</v>
      </c>
      <c r="J87" s="6">
        <f t="shared" si="7"/>
        <v>0</v>
      </c>
      <c r="K87" s="6">
        <f t="shared" si="7"/>
        <v>0</v>
      </c>
      <c r="L87" s="6">
        <f t="shared" si="7"/>
        <v>0</v>
      </c>
      <c r="M87" s="6">
        <f t="shared" si="7"/>
        <v>0</v>
      </c>
      <c r="N87" s="6" t="str">
        <f t="shared" si="10"/>
        <v/>
      </c>
      <c r="O87" s="6" t="str">
        <f t="shared" si="11"/>
        <v/>
      </c>
    </row>
    <row r="88" spans="1:15">
      <c r="A88" s="4"/>
      <c r="B88" s="5"/>
      <c r="C88" s="4"/>
      <c r="D88" s="4"/>
      <c r="E88" s="4"/>
      <c r="F88" s="6"/>
      <c r="H88">
        <f t="shared" si="8"/>
        <v>0</v>
      </c>
      <c r="I88" t="e">
        <f t="shared" si="9"/>
        <v>#VALUE!</v>
      </c>
      <c r="J88" s="6">
        <f t="shared" si="7"/>
        <v>0</v>
      </c>
      <c r="K88" s="6">
        <f t="shared" si="7"/>
        <v>0</v>
      </c>
      <c r="L88" s="6">
        <f t="shared" si="7"/>
        <v>0</v>
      </c>
      <c r="M88" s="6">
        <f t="shared" si="7"/>
        <v>0</v>
      </c>
      <c r="N88" s="6" t="str">
        <f t="shared" si="10"/>
        <v/>
      </c>
      <c r="O88" s="6" t="str">
        <f t="shared" si="11"/>
        <v/>
      </c>
    </row>
    <row r="89" spans="1:15">
      <c r="A89" s="4"/>
      <c r="B89" s="5"/>
      <c r="C89" s="4"/>
      <c r="D89" s="4"/>
      <c r="E89" s="4"/>
      <c r="F89" s="6"/>
      <c r="H89">
        <f t="shared" si="8"/>
        <v>0</v>
      </c>
      <c r="I89" t="e">
        <f t="shared" si="9"/>
        <v>#VALUE!</v>
      </c>
      <c r="J89" s="6">
        <f t="shared" si="7"/>
        <v>0</v>
      </c>
      <c r="K89" s="6">
        <f t="shared" si="7"/>
        <v>0</v>
      </c>
      <c r="L89" s="6">
        <f t="shared" si="7"/>
        <v>0</v>
      </c>
      <c r="M89" s="6">
        <f t="shared" si="7"/>
        <v>0</v>
      </c>
      <c r="N89" s="6" t="str">
        <f t="shared" si="10"/>
        <v/>
      </c>
      <c r="O89" s="6" t="str">
        <f t="shared" si="11"/>
        <v/>
      </c>
    </row>
    <row r="90" spans="1:15">
      <c r="A90" s="4"/>
      <c r="B90" s="5"/>
      <c r="C90" s="4"/>
      <c r="D90" s="4"/>
      <c r="E90" s="4"/>
      <c r="F90" s="6"/>
      <c r="H90">
        <f t="shared" si="8"/>
        <v>0</v>
      </c>
      <c r="I90" t="e">
        <f t="shared" si="9"/>
        <v>#VALUE!</v>
      </c>
      <c r="J90" s="6">
        <f t="shared" si="7"/>
        <v>0</v>
      </c>
      <c r="K90" s="6">
        <f t="shared" si="7"/>
        <v>0</v>
      </c>
      <c r="L90" s="6">
        <f t="shared" si="7"/>
        <v>0</v>
      </c>
      <c r="M90" s="6">
        <f t="shared" si="7"/>
        <v>0</v>
      </c>
      <c r="N90" s="6" t="str">
        <f t="shared" si="10"/>
        <v/>
      </c>
      <c r="O90" s="6" t="str">
        <f t="shared" si="11"/>
        <v/>
      </c>
    </row>
    <row r="91" spans="1:15">
      <c r="A91" s="4"/>
      <c r="B91" s="5"/>
      <c r="C91" s="4"/>
      <c r="D91" s="4"/>
      <c r="E91" s="4"/>
      <c r="F91" s="6"/>
      <c r="H91">
        <f t="shared" si="8"/>
        <v>0</v>
      </c>
      <c r="I91" t="e">
        <f t="shared" si="9"/>
        <v>#VALUE!</v>
      </c>
      <c r="J91" s="6">
        <f t="shared" si="7"/>
        <v>0</v>
      </c>
      <c r="K91" s="6">
        <f t="shared" si="7"/>
        <v>0</v>
      </c>
      <c r="L91" s="6">
        <f t="shared" si="7"/>
        <v>0</v>
      </c>
      <c r="M91" s="6">
        <f t="shared" si="7"/>
        <v>0</v>
      </c>
      <c r="N91" s="6" t="str">
        <f t="shared" si="10"/>
        <v/>
      </c>
      <c r="O91" s="6" t="str">
        <f t="shared" si="11"/>
        <v/>
      </c>
    </row>
    <row r="92" spans="1:15">
      <c r="A92" s="4"/>
      <c r="B92" s="5"/>
      <c r="C92" s="4"/>
      <c r="D92" s="4"/>
      <c r="E92" s="4"/>
      <c r="F92" s="6"/>
      <c r="H92">
        <f t="shared" si="8"/>
        <v>0</v>
      </c>
      <c r="I92" t="e">
        <f t="shared" si="9"/>
        <v>#VALUE!</v>
      </c>
      <c r="J92" s="6">
        <f t="shared" si="7"/>
        <v>0</v>
      </c>
      <c r="K92" s="6">
        <f t="shared" si="7"/>
        <v>0</v>
      </c>
      <c r="L92" s="6">
        <f t="shared" si="7"/>
        <v>0</v>
      </c>
      <c r="M92" s="6">
        <f t="shared" si="7"/>
        <v>0</v>
      </c>
      <c r="N92" s="6" t="str">
        <f t="shared" si="10"/>
        <v/>
      </c>
      <c r="O92" s="6" t="str">
        <f t="shared" si="11"/>
        <v/>
      </c>
    </row>
    <row r="93" spans="1:15">
      <c r="A93" s="4"/>
      <c r="B93" s="5"/>
      <c r="C93" s="4"/>
      <c r="D93" s="4"/>
      <c r="E93" s="4"/>
      <c r="F93" s="6"/>
      <c r="H93">
        <f t="shared" si="8"/>
        <v>0</v>
      </c>
      <c r="I93" t="e">
        <f t="shared" si="9"/>
        <v>#VALUE!</v>
      </c>
      <c r="J93" s="6">
        <f t="shared" si="7"/>
        <v>0</v>
      </c>
      <c r="K93" s="6">
        <f t="shared" si="7"/>
        <v>0</v>
      </c>
      <c r="L93" s="6">
        <f t="shared" si="7"/>
        <v>0</v>
      </c>
      <c r="M93" s="6">
        <f t="shared" si="7"/>
        <v>0</v>
      </c>
      <c r="N93" s="6" t="str">
        <f t="shared" si="10"/>
        <v/>
      </c>
      <c r="O93" s="6" t="str">
        <f t="shared" si="11"/>
        <v/>
      </c>
    </row>
    <row r="94" spans="1:15">
      <c r="A94" s="4"/>
      <c r="B94" s="5"/>
      <c r="C94" s="4"/>
      <c r="D94" s="4"/>
      <c r="E94" s="4"/>
      <c r="F94" s="6"/>
      <c r="H94">
        <f t="shared" si="8"/>
        <v>0</v>
      </c>
      <c r="I94" t="e">
        <f t="shared" si="9"/>
        <v>#VALUE!</v>
      </c>
      <c r="J94" s="6">
        <f t="shared" si="7"/>
        <v>0</v>
      </c>
      <c r="K94" s="6">
        <f t="shared" si="7"/>
        <v>0</v>
      </c>
      <c r="L94" s="6">
        <f t="shared" si="7"/>
        <v>0</v>
      </c>
      <c r="M94" s="6">
        <f t="shared" si="7"/>
        <v>0</v>
      </c>
      <c r="N94" s="6" t="str">
        <f t="shared" si="10"/>
        <v/>
      </c>
      <c r="O94" s="6" t="str">
        <f t="shared" si="11"/>
        <v/>
      </c>
    </row>
    <row r="95" spans="1:15">
      <c r="A95" s="4"/>
      <c r="B95" s="5"/>
      <c r="C95" s="4"/>
      <c r="D95" s="4"/>
      <c r="E95" s="4"/>
      <c r="F95" s="6"/>
      <c r="H95">
        <f t="shared" si="8"/>
        <v>0</v>
      </c>
      <c r="I95" t="e">
        <f t="shared" si="9"/>
        <v>#VALUE!</v>
      </c>
      <c r="J95" s="6">
        <f t="shared" si="7"/>
        <v>0</v>
      </c>
      <c r="K95" s="6">
        <f t="shared" si="7"/>
        <v>0</v>
      </c>
      <c r="L95" s="6">
        <f t="shared" si="7"/>
        <v>0</v>
      </c>
      <c r="M95" s="6">
        <f t="shared" si="7"/>
        <v>0</v>
      </c>
      <c r="N95" s="6" t="str">
        <f t="shared" si="10"/>
        <v/>
      </c>
      <c r="O95" s="6" t="str">
        <f t="shared" si="11"/>
        <v/>
      </c>
    </row>
    <row r="96" spans="1:15">
      <c r="A96" s="4"/>
      <c r="B96" s="5"/>
      <c r="C96" s="4"/>
      <c r="D96" s="4"/>
      <c r="E96" s="4"/>
      <c r="F96" s="6"/>
      <c r="H96">
        <f t="shared" si="8"/>
        <v>0</v>
      </c>
      <c r="I96" t="e">
        <f t="shared" si="9"/>
        <v>#VALUE!</v>
      </c>
      <c r="J96" s="6">
        <f t="shared" si="7"/>
        <v>0</v>
      </c>
      <c r="K96" s="6">
        <f t="shared" si="7"/>
        <v>0</v>
      </c>
      <c r="L96" s="6">
        <f t="shared" si="7"/>
        <v>0</v>
      </c>
      <c r="M96" s="6">
        <f t="shared" si="7"/>
        <v>0</v>
      </c>
      <c r="N96" s="6" t="str">
        <f t="shared" si="10"/>
        <v/>
      </c>
      <c r="O96" s="6" t="str">
        <f t="shared" si="11"/>
        <v/>
      </c>
    </row>
    <row r="97" spans="1:15">
      <c r="A97" s="4"/>
      <c r="B97" s="5"/>
      <c r="C97" s="4"/>
      <c r="D97" s="4"/>
      <c r="E97" s="4"/>
      <c r="F97" s="6"/>
      <c r="H97">
        <f t="shared" si="8"/>
        <v>0</v>
      </c>
      <c r="I97" t="e">
        <f t="shared" si="9"/>
        <v>#VALUE!</v>
      </c>
      <c r="J97" s="6">
        <f t="shared" si="7"/>
        <v>0</v>
      </c>
      <c r="K97" s="6">
        <f t="shared" si="7"/>
        <v>0</v>
      </c>
      <c r="L97" s="6">
        <f t="shared" si="7"/>
        <v>0</v>
      </c>
      <c r="M97" s="6">
        <f t="shared" si="7"/>
        <v>0</v>
      </c>
      <c r="N97" s="6" t="str">
        <f t="shared" si="10"/>
        <v/>
      </c>
      <c r="O97" s="6" t="str">
        <f t="shared" si="11"/>
        <v/>
      </c>
    </row>
    <row r="98" spans="1:15">
      <c r="A98" s="4"/>
      <c r="B98" s="5"/>
      <c r="C98" s="4"/>
      <c r="D98" s="4"/>
      <c r="E98" s="4"/>
      <c r="F98" s="6"/>
      <c r="H98">
        <f t="shared" si="8"/>
        <v>0</v>
      </c>
      <c r="I98" t="e">
        <f t="shared" si="9"/>
        <v>#VALUE!</v>
      </c>
      <c r="J98" s="6">
        <f t="shared" si="7"/>
        <v>0</v>
      </c>
      <c r="K98" s="6">
        <f t="shared" si="7"/>
        <v>0</v>
      </c>
      <c r="L98" s="6">
        <f t="shared" si="7"/>
        <v>0</v>
      </c>
      <c r="M98" s="6">
        <f t="shared" si="7"/>
        <v>0</v>
      </c>
      <c r="N98" s="6" t="str">
        <f t="shared" si="10"/>
        <v/>
      </c>
      <c r="O98" s="6" t="str">
        <f t="shared" si="11"/>
        <v/>
      </c>
    </row>
    <row r="99" spans="1:15">
      <c r="A99" s="4"/>
      <c r="B99" s="5"/>
      <c r="C99" s="4"/>
      <c r="D99" s="4"/>
      <c r="E99" s="4"/>
      <c r="F99" s="6"/>
      <c r="H99">
        <f t="shared" si="8"/>
        <v>0</v>
      </c>
      <c r="I99" t="e">
        <f t="shared" si="9"/>
        <v>#VALUE!</v>
      </c>
      <c r="J99" s="6">
        <f t="shared" si="7"/>
        <v>0</v>
      </c>
      <c r="K99" s="6">
        <f t="shared" si="7"/>
        <v>0</v>
      </c>
      <c r="L99" s="6">
        <f t="shared" si="7"/>
        <v>0</v>
      </c>
      <c r="M99" s="6">
        <f t="shared" si="7"/>
        <v>0</v>
      </c>
      <c r="N99" s="6" t="str">
        <f t="shared" si="10"/>
        <v/>
      </c>
      <c r="O99" s="6" t="str">
        <f t="shared" si="11"/>
        <v/>
      </c>
    </row>
    <row r="100" spans="1:15">
      <c r="A100" s="4"/>
      <c r="B100" s="5"/>
      <c r="C100" s="4"/>
      <c r="D100" s="4"/>
      <c r="E100" s="4"/>
      <c r="F100" s="6"/>
      <c r="H100">
        <f t="shared" si="8"/>
        <v>0</v>
      </c>
      <c r="I100" t="e">
        <f t="shared" si="9"/>
        <v>#VALUE!</v>
      </c>
      <c r="J100" s="6">
        <f t="shared" si="7"/>
        <v>0</v>
      </c>
      <c r="K100" s="6">
        <f t="shared" si="7"/>
        <v>0</v>
      </c>
      <c r="L100" s="6">
        <f t="shared" si="7"/>
        <v>0</v>
      </c>
      <c r="M100" s="6">
        <f t="shared" si="7"/>
        <v>0</v>
      </c>
      <c r="N100" s="6" t="str">
        <f t="shared" si="10"/>
        <v/>
      </c>
      <c r="O100" s="6" t="str">
        <f t="shared" si="11"/>
        <v/>
      </c>
    </row>
    <row r="101" spans="1:15">
      <c r="A101" s="4"/>
      <c r="B101" s="5"/>
      <c r="C101" s="4"/>
      <c r="D101" s="4"/>
      <c r="E101" s="4"/>
      <c r="F101" s="6"/>
      <c r="H101">
        <f t="shared" si="8"/>
        <v>0</v>
      </c>
      <c r="I101" t="e">
        <f t="shared" si="9"/>
        <v>#VALUE!</v>
      </c>
      <c r="J101" s="6">
        <f t="shared" si="7"/>
        <v>0</v>
      </c>
      <c r="K101" s="6">
        <f t="shared" si="7"/>
        <v>0</v>
      </c>
      <c r="L101" s="6">
        <f t="shared" si="7"/>
        <v>0</v>
      </c>
      <c r="M101" s="6">
        <f t="shared" si="7"/>
        <v>0</v>
      </c>
      <c r="N101" s="6" t="str">
        <f t="shared" si="10"/>
        <v/>
      </c>
      <c r="O101" s="6" t="str">
        <f t="shared" si="11"/>
        <v/>
      </c>
    </row>
    <row r="102" spans="1:15">
      <c r="A102" s="4"/>
      <c r="B102" s="5"/>
      <c r="C102" s="4"/>
      <c r="D102" s="4"/>
      <c r="E102" s="4"/>
      <c r="F102" s="6"/>
      <c r="H102">
        <f t="shared" si="8"/>
        <v>0</v>
      </c>
      <c r="I102" t="e">
        <f t="shared" si="9"/>
        <v>#VALUE!</v>
      </c>
      <c r="J102" s="6">
        <f t="shared" si="7"/>
        <v>0</v>
      </c>
      <c r="K102" s="6">
        <f t="shared" si="7"/>
        <v>0</v>
      </c>
      <c r="L102" s="6">
        <f t="shared" si="7"/>
        <v>0</v>
      </c>
      <c r="M102" s="6">
        <f t="shared" si="7"/>
        <v>0</v>
      </c>
      <c r="N102" s="6" t="str">
        <f t="shared" si="10"/>
        <v/>
      </c>
      <c r="O102" s="6" t="str">
        <f t="shared" si="11"/>
        <v/>
      </c>
    </row>
    <row r="103" spans="1:15">
      <c r="A103" s="4"/>
      <c r="B103" s="5"/>
      <c r="C103" s="4"/>
      <c r="D103" s="4"/>
      <c r="E103" s="4"/>
      <c r="F103" s="6"/>
      <c r="H103">
        <f t="shared" si="8"/>
        <v>0</v>
      </c>
      <c r="I103" t="e">
        <f t="shared" si="9"/>
        <v>#VALUE!</v>
      </c>
      <c r="J103" s="6">
        <f t="shared" si="7"/>
        <v>0</v>
      </c>
      <c r="K103" s="6">
        <f t="shared" si="7"/>
        <v>0</v>
      </c>
      <c r="L103" s="6">
        <f t="shared" si="7"/>
        <v>0</v>
      </c>
      <c r="M103" s="6">
        <f t="shared" si="7"/>
        <v>0</v>
      </c>
      <c r="N103" s="6" t="str">
        <f t="shared" si="10"/>
        <v/>
      </c>
      <c r="O103" s="6" t="str">
        <f t="shared" si="11"/>
        <v/>
      </c>
    </row>
    <row r="104" spans="1:15">
      <c r="A104" s="4"/>
      <c r="B104" s="5"/>
      <c r="C104" s="4"/>
      <c r="D104" s="4"/>
      <c r="E104" s="4"/>
      <c r="F104" s="6"/>
      <c r="H104">
        <f t="shared" si="8"/>
        <v>0</v>
      </c>
      <c r="I104" t="e">
        <f t="shared" si="9"/>
        <v>#VALUE!</v>
      </c>
      <c r="J104" s="6">
        <f t="shared" si="7"/>
        <v>0</v>
      </c>
      <c r="K104" s="6">
        <f t="shared" si="7"/>
        <v>0</v>
      </c>
      <c r="L104" s="6">
        <f t="shared" si="7"/>
        <v>0</v>
      </c>
      <c r="M104" s="6">
        <f t="shared" si="7"/>
        <v>0</v>
      </c>
      <c r="N104" s="6" t="str">
        <f t="shared" si="10"/>
        <v/>
      </c>
      <c r="O104" s="6" t="str">
        <f t="shared" si="11"/>
        <v/>
      </c>
    </row>
    <row r="105" spans="1:15">
      <c r="A105" s="4"/>
      <c r="B105" s="5"/>
      <c r="C105" s="4"/>
      <c r="D105" s="4"/>
      <c r="E105" s="4"/>
      <c r="F105" s="6"/>
      <c r="H105">
        <f t="shared" si="8"/>
        <v>0</v>
      </c>
      <c r="I105" t="e">
        <f t="shared" si="9"/>
        <v>#VALUE!</v>
      </c>
      <c r="J105" s="6">
        <f t="shared" ref="J105:M168" si="12">C105</f>
        <v>0</v>
      </c>
      <c r="K105" s="6">
        <f t="shared" si="12"/>
        <v>0</v>
      </c>
      <c r="L105" s="6">
        <f t="shared" si="12"/>
        <v>0</v>
      </c>
      <c r="M105" s="6">
        <f t="shared" si="12"/>
        <v>0</v>
      </c>
      <c r="N105" s="6" t="str">
        <f t="shared" si="10"/>
        <v/>
      </c>
      <c r="O105" s="6" t="str">
        <f t="shared" si="11"/>
        <v/>
      </c>
    </row>
    <row r="106" spans="1:15">
      <c r="A106" s="4"/>
      <c r="B106" s="5"/>
      <c r="C106" s="4"/>
      <c r="D106" s="4"/>
      <c r="E106" s="4"/>
      <c r="F106" s="6"/>
      <c r="H106">
        <f t="shared" si="8"/>
        <v>0</v>
      </c>
      <c r="I106" t="e">
        <f t="shared" si="9"/>
        <v>#VALUE!</v>
      </c>
      <c r="J106" s="6">
        <f t="shared" si="12"/>
        <v>0</v>
      </c>
      <c r="K106" s="6">
        <f t="shared" si="12"/>
        <v>0</v>
      </c>
      <c r="L106" s="6">
        <f t="shared" si="12"/>
        <v>0</v>
      </c>
      <c r="M106" s="6">
        <f t="shared" si="12"/>
        <v>0</v>
      </c>
      <c r="N106" s="6" t="str">
        <f t="shared" si="10"/>
        <v/>
      </c>
      <c r="O106" s="6" t="str">
        <f t="shared" si="11"/>
        <v/>
      </c>
    </row>
    <row r="107" spans="1:15">
      <c r="A107" s="4"/>
      <c r="B107" s="5"/>
      <c r="C107" s="4"/>
      <c r="D107" s="4"/>
      <c r="E107" s="4"/>
      <c r="F107" s="6"/>
      <c r="H107">
        <f t="shared" si="8"/>
        <v>0</v>
      </c>
      <c r="I107" t="e">
        <f t="shared" si="9"/>
        <v>#VALUE!</v>
      </c>
      <c r="J107" s="6">
        <f t="shared" si="12"/>
        <v>0</v>
      </c>
      <c r="K107" s="6">
        <f t="shared" si="12"/>
        <v>0</v>
      </c>
      <c r="L107" s="6">
        <f t="shared" si="12"/>
        <v>0</v>
      </c>
      <c r="M107" s="6">
        <f t="shared" si="12"/>
        <v>0</v>
      </c>
      <c r="N107" s="6" t="str">
        <f t="shared" si="10"/>
        <v/>
      </c>
      <c r="O107" s="6" t="str">
        <f t="shared" si="11"/>
        <v/>
      </c>
    </row>
    <row r="108" spans="1:15">
      <c r="A108" s="4"/>
      <c r="B108" s="5"/>
      <c r="C108" s="4"/>
      <c r="D108" s="4"/>
      <c r="E108" s="4"/>
      <c r="F108" s="6"/>
      <c r="H108">
        <f t="shared" si="8"/>
        <v>0</v>
      </c>
      <c r="I108" t="e">
        <f t="shared" si="9"/>
        <v>#VALUE!</v>
      </c>
      <c r="J108" s="6">
        <f t="shared" si="12"/>
        <v>0</v>
      </c>
      <c r="K108" s="6">
        <f t="shared" si="12"/>
        <v>0</v>
      </c>
      <c r="L108" s="6">
        <f t="shared" si="12"/>
        <v>0</v>
      </c>
      <c r="M108" s="6">
        <f t="shared" si="12"/>
        <v>0</v>
      </c>
      <c r="N108" s="6" t="str">
        <f t="shared" si="10"/>
        <v/>
      </c>
      <c r="O108" s="6" t="str">
        <f t="shared" si="11"/>
        <v/>
      </c>
    </row>
    <row r="109" spans="1:15">
      <c r="A109" s="4"/>
      <c r="B109" s="5"/>
      <c r="C109" s="4"/>
      <c r="D109" s="4"/>
      <c r="E109" s="4"/>
      <c r="F109" s="6"/>
      <c r="H109">
        <f t="shared" si="8"/>
        <v>0</v>
      </c>
      <c r="I109" t="e">
        <f t="shared" si="9"/>
        <v>#VALUE!</v>
      </c>
      <c r="J109" s="6">
        <f t="shared" si="12"/>
        <v>0</v>
      </c>
      <c r="K109" s="6">
        <f t="shared" si="12"/>
        <v>0</v>
      </c>
      <c r="L109" s="6">
        <f t="shared" si="12"/>
        <v>0</v>
      </c>
      <c r="M109" s="6">
        <f t="shared" si="12"/>
        <v>0</v>
      </c>
      <c r="N109" s="6" t="str">
        <f t="shared" si="10"/>
        <v/>
      </c>
      <c r="O109" s="6" t="str">
        <f t="shared" si="11"/>
        <v/>
      </c>
    </row>
    <row r="110" spans="1:15">
      <c r="A110" s="4"/>
      <c r="B110" s="5"/>
      <c r="C110" s="4"/>
      <c r="D110" s="4"/>
      <c r="E110" s="4"/>
      <c r="F110" s="6"/>
      <c r="H110">
        <f t="shared" si="8"/>
        <v>0</v>
      </c>
      <c r="I110" t="e">
        <f t="shared" si="9"/>
        <v>#VALUE!</v>
      </c>
      <c r="J110" s="6">
        <f t="shared" si="12"/>
        <v>0</v>
      </c>
      <c r="K110" s="6">
        <f t="shared" si="12"/>
        <v>0</v>
      </c>
      <c r="L110" s="6">
        <f t="shared" si="12"/>
        <v>0</v>
      </c>
      <c r="M110" s="6">
        <f t="shared" si="12"/>
        <v>0</v>
      </c>
      <c r="N110" s="6" t="str">
        <f t="shared" si="10"/>
        <v/>
      </c>
      <c r="O110" s="6" t="str">
        <f t="shared" si="11"/>
        <v/>
      </c>
    </row>
    <row r="111" spans="1:15">
      <c r="A111" s="4"/>
      <c r="B111" s="5"/>
      <c r="C111" s="4"/>
      <c r="D111" s="4"/>
      <c r="E111" s="4"/>
      <c r="F111" s="6"/>
      <c r="H111">
        <f t="shared" si="8"/>
        <v>0</v>
      </c>
      <c r="I111" t="e">
        <f t="shared" si="9"/>
        <v>#VALUE!</v>
      </c>
      <c r="J111" s="6">
        <f t="shared" si="12"/>
        <v>0</v>
      </c>
      <c r="K111" s="6">
        <f t="shared" si="12"/>
        <v>0</v>
      </c>
      <c r="L111" s="6">
        <f t="shared" si="12"/>
        <v>0</v>
      </c>
      <c r="M111" s="6">
        <f t="shared" si="12"/>
        <v>0</v>
      </c>
      <c r="N111" s="6" t="str">
        <f t="shared" si="10"/>
        <v/>
      </c>
      <c r="O111" s="6" t="str">
        <f t="shared" si="11"/>
        <v/>
      </c>
    </row>
    <row r="112" spans="1:15">
      <c r="A112" s="4"/>
      <c r="B112" s="5"/>
      <c r="C112" s="4"/>
      <c r="D112" s="4"/>
      <c r="E112" s="4"/>
      <c r="F112" s="6"/>
      <c r="H112">
        <f t="shared" si="8"/>
        <v>0</v>
      </c>
      <c r="I112" t="e">
        <f t="shared" si="9"/>
        <v>#VALUE!</v>
      </c>
      <c r="J112" s="6">
        <f t="shared" si="12"/>
        <v>0</v>
      </c>
      <c r="K112" s="6">
        <f t="shared" si="12"/>
        <v>0</v>
      </c>
      <c r="L112" s="6">
        <f t="shared" si="12"/>
        <v>0</v>
      </c>
      <c r="M112" s="6">
        <f t="shared" si="12"/>
        <v>0</v>
      </c>
      <c r="N112" s="6" t="str">
        <f t="shared" si="10"/>
        <v/>
      </c>
      <c r="O112" s="6" t="str">
        <f t="shared" si="11"/>
        <v/>
      </c>
    </row>
    <row r="113" spans="1:15">
      <c r="A113" s="4"/>
      <c r="B113" s="5"/>
      <c r="C113" s="4"/>
      <c r="D113" s="4"/>
      <c r="E113" s="4"/>
      <c r="F113" s="6"/>
      <c r="H113">
        <f t="shared" si="8"/>
        <v>0</v>
      </c>
      <c r="I113" t="e">
        <f t="shared" si="9"/>
        <v>#VALUE!</v>
      </c>
      <c r="J113" s="6">
        <f t="shared" si="12"/>
        <v>0</v>
      </c>
      <c r="K113" s="6">
        <f t="shared" si="12"/>
        <v>0</v>
      </c>
      <c r="L113" s="6">
        <f t="shared" si="12"/>
        <v>0</v>
      </c>
      <c r="M113" s="6">
        <f t="shared" si="12"/>
        <v>0</v>
      </c>
      <c r="N113" s="6" t="str">
        <f t="shared" si="10"/>
        <v/>
      </c>
      <c r="O113" s="6" t="str">
        <f t="shared" si="11"/>
        <v/>
      </c>
    </row>
    <row r="114" spans="1:15">
      <c r="A114" s="4"/>
      <c r="B114" s="5"/>
      <c r="C114" s="4"/>
      <c r="D114" s="4"/>
      <c r="E114" s="4"/>
      <c r="F114" s="6"/>
      <c r="H114">
        <f t="shared" si="8"/>
        <v>0</v>
      </c>
      <c r="I114" t="e">
        <f t="shared" si="9"/>
        <v>#VALUE!</v>
      </c>
      <c r="J114" s="6">
        <f t="shared" si="12"/>
        <v>0</v>
      </c>
      <c r="K114" s="6">
        <f t="shared" si="12"/>
        <v>0</v>
      </c>
      <c r="L114" s="6">
        <f t="shared" si="12"/>
        <v>0</v>
      </c>
      <c r="M114" s="6">
        <f t="shared" si="12"/>
        <v>0</v>
      </c>
      <c r="N114" s="6" t="str">
        <f t="shared" si="10"/>
        <v/>
      </c>
      <c r="O114" s="6" t="str">
        <f t="shared" si="11"/>
        <v/>
      </c>
    </row>
    <row r="115" spans="1:15">
      <c r="A115" s="4"/>
      <c r="B115" s="5"/>
      <c r="C115" s="4"/>
      <c r="D115" s="4"/>
      <c r="E115" s="4"/>
      <c r="F115" s="6"/>
      <c r="H115">
        <f t="shared" si="8"/>
        <v>0</v>
      </c>
      <c r="I115" t="e">
        <f t="shared" si="9"/>
        <v>#VALUE!</v>
      </c>
      <c r="J115" s="6">
        <f t="shared" si="12"/>
        <v>0</v>
      </c>
      <c r="K115" s="6">
        <f t="shared" si="12"/>
        <v>0</v>
      </c>
      <c r="L115" s="6">
        <f t="shared" si="12"/>
        <v>0</v>
      </c>
      <c r="M115" s="6">
        <f t="shared" si="12"/>
        <v>0</v>
      </c>
      <c r="N115" s="6" t="str">
        <f t="shared" si="10"/>
        <v/>
      </c>
      <c r="O115" s="6" t="str">
        <f t="shared" si="11"/>
        <v/>
      </c>
    </row>
    <row r="116" spans="1:15">
      <c r="A116" s="4"/>
      <c r="B116" s="5"/>
      <c r="C116" s="4"/>
      <c r="D116" s="4"/>
      <c r="E116" s="4"/>
      <c r="F116" s="6"/>
      <c r="H116">
        <f t="shared" si="8"/>
        <v>0</v>
      </c>
      <c r="I116" t="e">
        <f t="shared" si="9"/>
        <v>#VALUE!</v>
      </c>
      <c r="J116" s="6">
        <f t="shared" si="12"/>
        <v>0</v>
      </c>
      <c r="K116" s="6">
        <f t="shared" si="12"/>
        <v>0</v>
      </c>
      <c r="L116" s="6">
        <f t="shared" si="12"/>
        <v>0</v>
      </c>
      <c r="M116" s="6">
        <f t="shared" si="12"/>
        <v>0</v>
      </c>
      <c r="N116" s="6" t="str">
        <f t="shared" si="10"/>
        <v/>
      </c>
      <c r="O116" s="6" t="str">
        <f t="shared" si="11"/>
        <v/>
      </c>
    </row>
    <row r="117" spans="1:15">
      <c r="A117" s="4"/>
      <c r="B117" s="5"/>
      <c r="C117" s="4"/>
      <c r="D117" s="4"/>
      <c r="E117" s="4"/>
      <c r="F117" s="6"/>
      <c r="H117">
        <f t="shared" si="8"/>
        <v>0</v>
      </c>
      <c r="I117" t="e">
        <f t="shared" si="9"/>
        <v>#VALUE!</v>
      </c>
      <c r="J117" s="6">
        <f t="shared" si="12"/>
        <v>0</v>
      </c>
      <c r="K117" s="6">
        <f t="shared" si="12"/>
        <v>0</v>
      </c>
      <c r="L117" s="6">
        <f t="shared" si="12"/>
        <v>0</v>
      </c>
      <c r="M117" s="6">
        <f t="shared" si="12"/>
        <v>0</v>
      </c>
      <c r="N117" s="6" t="str">
        <f t="shared" si="10"/>
        <v/>
      </c>
      <c r="O117" s="6" t="str">
        <f t="shared" si="11"/>
        <v/>
      </c>
    </row>
    <row r="118" spans="1:15">
      <c r="A118" s="4"/>
      <c r="B118" s="5"/>
      <c r="C118" s="4"/>
      <c r="D118" s="4"/>
      <c r="E118" s="4"/>
      <c r="F118" s="6"/>
      <c r="H118">
        <f t="shared" si="8"/>
        <v>0</v>
      </c>
      <c r="I118" t="e">
        <f t="shared" si="9"/>
        <v>#VALUE!</v>
      </c>
      <c r="J118" s="6">
        <f t="shared" si="12"/>
        <v>0</v>
      </c>
      <c r="K118" s="6">
        <f t="shared" si="12"/>
        <v>0</v>
      </c>
      <c r="L118" s="6">
        <f t="shared" si="12"/>
        <v>0</v>
      </c>
      <c r="M118" s="6">
        <f t="shared" si="12"/>
        <v>0</v>
      </c>
      <c r="N118" s="6" t="str">
        <f t="shared" si="10"/>
        <v/>
      </c>
      <c r="O118" s="6" t="str">
        <f t="shared" si="11"/>
        <v/>
      </c>
    </row>
    <row r="119" spans="1:15">
      <c r="A119" s="4"/>
      <c r="B119" s="5"/>
      <c r="C119" s="4"/>
      <c r="D119" s="4"/>
      <c r="E119" s="4"/>
      <c r="F119" s="6"/>
      <c r="H119">
        <f t="shared" si="8"/>
        <v>0</v>
      </c>
      <c r="I119" t="e">
        <f t="shared" si="9"/>
        <v>#VALUE!</v>
      </c>
      <c r="J119" s="6">
        <f t="shared" si="12"/>
        <v>0</v>
      </c>
      <c r="K119" s="6">
        <f t="shared" si="12"/>
        <v>0</v>
      </c>
      <c r="L119" s="6">
        <f t="shared" si="12"/>
        <v>0</v>
      </c>
      <c r="M119" s="6">
        <f t="shared" si="12"/>
        <v>0</v>
      </c>
      <c r="N119" s="6" t="str">
        <f t="shared" si="10"/>
        <v/>
      </c>
      <c r="O119" s="6" t="str">
        <f t="shared" si="11"/>
        <v/>
      </c>
    </row>
    <row r="120" spans="1:15">
      <c r="A120" s="4"/>
      <c r="B120" s="5"/>
      <c r="C120" s="4"/>
      <c r="D120" s="4"/>
      <c r="E120" s="4"/>
      <c r="F120" s="6"/>
      <c r="H120">
        <f t="shared" si="8"/>
        <v>0</v>
      </c>
      <c r="I120" t="e">
        <f t="shared" si="9"/>
        <v>#VALUE!</v>
      </c>
      <c r="J120" s="6">
        <f t="shared" si="12"/>
        <v>0</v>
      </c>
      <c r="K120" s="6">
        <f t="shared" si="12"/>
        <v>0</v>
      </c>
      <c r="L120" s="6">
        <f t="shared" si="12"/>
        <v>0</v>
      </c>
      <c r="M120" s="6">
        <f t="shared" si="12"/>
        <v>0</v>
      </c>
      <c r="N120" s="6" t="str">
        <f t="shared" si="10"/>
        <v/>
      </c>
      <c r="O120" s="6" t="str">
        <f t="shared" si="11"/>
        <v/>
      </c>
    </row>
    <row r="121" spans="1:15">
      <c r="A121" s="4"/>
      <c r="B121" s="5"/>
      <c r="C121" s="4"/>
      <c r="D121" s="4"/>
      <c r="E121" s="4"/>
      <c r="F121" s="6"/>
      <c r="H121">
        <f t="shared" si="8"/>
        <v>0</v>
      </c>
      <c r="I121" t="e">
        <f t="shared" si="9"/>
        <v>#VALUE!</v>
      </c>
      <c r="J121" s="6">
        <f t="shared" si="12"/>
        <v>0</v>
      </c>
      <c r="K121" s="6">
        <f t="shared" si="12"/>
        <v>0</v>
      </c>
      <c r="L121" s="6">
        <f t="shared" si="12"/>
        <v>0</v>
      </c>
      <c r="M121" s="6">
        <f t="shared" si="12"/>
        <v>0</v>
      </c>
      <c r="N121" s="6" t="str">
        <f t="shared" si="10"/>
        <v/>
      </c>
      <c r="O121" s="6" t="str">
        <f t="shared" si="11"/>
        <v/>
      </c>
    </row>
    <row r="122" spans="1:15">
      <c r="A122" s="4"/>
      <c r="B122" s="5"/>
      <c r="C122" s="4"/>
      <c r="D122" s="4"/>
      <c r="E122" s="4"/>
      <c r="F122" s="6"/>
      <c r="H122">
        <f t="shared" si="8"/>
        <v>0</v>
      </c>
      <c r="I122" t="e">
        <f t="shared" si="9"/>
        <v>#VALUE!</v>
      </c>
      <c r="J122" s="6">
        <f t="shared" si="12"/>
        <v>0</v>
      </c>
      <c r="K122" s="6">
        <f t="shared" si="12"/>
        <v>0</v>
      </c>
      <c r="L122" s="6">
        <f t="shared" si="12"/>
        <v>0</v>
      </c>
      <c r="M122" s="6">
        <f t="shared" si="12"/>
        <v>0</v>
      </c>
      <c r="N122" s="6" t="str">
        <f t="shared" si="10"/>
        <v/>
      </c>
      <c r="O122" s="6" t="str">
        <f t="shared" si="11"/>
        <v/>
      </c>
    </row>
    <row r="123" spans="1:15">
      <c r="A123" s="4"/>
      <c r="B123" s="5"/>
      <c r="C123" s="4"/>
      <c r="D123" s="4"/>
      <c r="E123" s="4"/>
      <c r="F123" s="6"/>
      <c r="H123">
        <f t="shared" si="8"/>
        <v>0</v>
      </c>
      <c r="I123" t="e">
        <f t="shared" si="9"/>
        <v>#VALUE!</v>
      </c>
      <c r="J123" s="6">
        <f t="shared" si="12"/>
        <v>0</v>
      </c>
      <c r="K123" s="6">
        <f t="shared" si="12"/>
        <v>0</v>
      </c>
      <c r="L123" s="6">
        <f t="shared" si="12"/>
        <v>0</v>
      </c>
      <c r="M123" s="6">
        <f t="shared" si="12"/>
        <v>0</v>
      </c>
      <c r="N123" s="6" t="str">
        <f t="shared" si="10"/>
        <v/>
      </c>
      <c r="O123" s="6" t="str">
        <f t="shared" si="11"/>
        <v/>
      </c>
    </row>
    <row r="124" spans="1:15">
      <c r="A124" s="4"/>
      <c r="B124" s="5"/>
      <c r="C124" s="4"/>
      <c r="D124" s="4"/>
      <c r="E124" s="4"/>
      <c r="F124" s="6"/>
      <c r="H124">
        <f t="shared" si="8"/>
        <v>0</v>
      </c>
      <c r="I124" t="e">
        <f t="shared" si="9"/>
        <v>#VALUE!</v>
      </c>
      <c r="J124" s="6">
        <f t="shared" si="12"/>
        <v>0</v>
      </c>
      <c r="K124" s="6">
        <f t="shared" si="12"/>
        <v>0</v>
      </c>
      <c r="L124" s="6">
        <f t="shared" si="12"/>
        <v>0</v>
      </c>
      <c r="M124" s="6">
        <f t="shared" si="12"/>
        <v>0</v>
      </c>
      <c r="N124" s="6" t="str">
        <f t="shared" si="10"/>
        <v/>
      </c>
      <c r="O124" s="6" t="str">
        <f t="shared" si="11"/>
        <v/>
      </c>
    </row>
    <row r="125" spans="1:15">
      <c r="A125" s="4"/>
      <c r="B125" s="5"/>
      <c r="C125" s="4"/>
      <c r="D125" s="4"/>
      <c r="E125" s="4"/>
      <c r="F125" s="6"/>
      <c r="H125">
        <f t="shared" si="8"/>
        <v>0</v>
      </c>
      <c r="I125" t="e">
        <f t="shared" si="9"/>
        <v>#VALUE!</v>
      </c>
      <c r="J125" s="6">
        <f t="shared" si="12"/>
        <v>0</v>
      </c>
      <c r="K125" s="6">
        <f t="shared" si="12"/>
        <v>0</v>
      </c>
      <c r="L125" s="6">
        <f t="shared" si="12"/>
        <v>0</v>
      </c>
      <c r="M125" s="6">
        <f t="shared" si="12"/>
        <v>0</v>
      </c>
      <c r="N125" s="6" t="str">
        <f t="shared" si="10"/>
        <v/>
      </c>
      <c r="O125" s="6" t="str">
        <f t="shared" si="11"/>
        <v/>
      </c>
    </row>
    <row r="126" spans="1:15">
      <c r="A126" s="4"/>
      <c r="B126" s="5"/>
      <c r="C126" s="4"/>
      <c r="D126" s="4"/>
      <c r="E126" s="4"/>
      <c r="F126" s="6"/>
      <c r="H126">
        <f t="shared" si="8"/>
        <v>0</v>
      </c>
      <c r="I126" t="e">
        <f t="shared" si="9"/>
        <v>#VALUE!</v>
      </c>
      <c r="J126" s="6">
        <f t="shared" si="12"/>
        <v>0</v>
      </c>
      <c r="K126" s="6">
        <f t="shared" si="12"/>
        <v>0</v>
      </c>
      <c r="L126" s="6">
        <f t="shared" si="12"/>
        <v>0</v>
      </c>
      <c r="M126" s="6">
        <f t="shared" si="12"/>
        <v>0</v>
      </c>
      <c r="N126" s="6" t="str">
        <f t="shared" si="10"/>
        <v/>
      </c>
      <c r="O126" s="6" t="str">
        <f t="shared" si="11"/>
        <v/>
      </c>
    </row>
    <row r="127" spans="1:15">
      <c r="A127" s="4"/>
      <c r="B127" s="5"/>
      <c r="C127" s="4"/>
      <c r="D127" s="4"/>
      <c r="E127" s="4"/>
      <c r="F127" s="6"/>
      <c r="H127">
        <f t="shared" si="8"/>
        <v>0</v>
      </c>
      <c r="I127" t="e">
        <f t="shared" si="9"/>
        <v>#VALUE!</v>
      </c>
      <c r="J127" s="6">
        <f t="shared" si="12"/>
        <v>0</v>
      </c>
      <c r="K127" s="6">
        <f t="shared" si="12"/>
        <v>0</v>
      </c>
      <c r="L127" s="6">
        <f t="shared" si="12"/>
        <v>0</v>
      </c>
      <c r="M127" s="6">
        <f t="shared" si="12"/>
        <v>0</v>
      </c>
      <c r="N127" s="6" t="str">
        <f t="shared" si="10"/>
        <v/>
      </c>
      <c r="O127" s="6" t="str">
        <f t="shared" si="11"/>
        <v/>
      </c>
    </row>
    <row r="128" spans="1:15">
      <c r="A128" s="4"/>
      <c r="B128" s="5"/>
      <c r="C128" s="4"/>
      <c r="D128" s="4"/>
      <c r="E128" s="4"/>
      <c r="F128" s="6"/>
      <c r="H128">
        <f t="shared" si="8"/>
        <v>0</v>
      </c>
      <c r="I128" t="e">
        <f t="shared" si="9"/>
        <v>#VALUE!</v>
      </c>
      <c r="J128" s="6">
        <f t="shared" si="12"/>
        <v>0</v>
      </c>
      <c r="K128" s="6">
        <f t="shared" si="12"/>
        <v>0</v>
      </c>
      <c r="L128" s="6">
        <f t="shared" si="12"/>
        <v>0</v>
      </c>
      <c r="M128" s="6">
        <f t="shared" si="12"/>
        <v>0</v>
      </c>
      <c r="N128" s="6" t="str">
        <f t="shared" si="10"/>
        <v/>
      </c>
      <c r="O128" s="6" t="str">
        <f t="shared" si="11"/>
        <v/>
      </c>
    </row>
    <row r="129" spans="1:15">
      <c r="A129" s="4"/>
      <c r="B129" s="5"/>
      <c r="C129" s="4"/>
      <c r="D129" s="4"/>
      <c r="E129" s="4"/>
      <c r="F129" s="6"/>
      <c r="H129">
        <f t="shared" si="8"/>
        <v>0</v>
      </c>
      <c r="I129" t="e">
        <f t="shared" si="9"/>
        <v>#VALUE!</v>
      </c>
      <c r="J129" s="6">
        <f t="shared" si="12"/>
        <v>0</v>
      </c>
      <c r="K129" s="6">
        <f t="shared" si="12"/>
        <v>0</v>
      </c>
      <c r="L129" s="6">
        <f t="shared" si="12"/>
        <v>0</v>
      </c>
      <c r="M129" s="6">
        <f t="shared" si="12"/>
        <v>0</v>
      </c>
      <c r="N129" s="6" t="str">
        <f t="shared" si="10"/>
        <v/>
      </c>
      <c r="O129" s="6" t="str">
        <f t="shared" si="11"/>
        <v/>
      </c>
    </row>
    <row r="130" spans="1:15">
      <c r="A130" s="4"/>
      <c r="B130" s="5"/>
      <c r="C130" s="4"/>
      <c r="D130" s="4"/>
      <c r="E130" s="4"/>
      <c r="F130" s="6"/>
      <c r="H130">
        <f t="shared" si="8"/>
        <v>0</v>
      </c>
      <c r="I130" t="e">
        <f t="shared" si="9"/>
        <v>#VALUE!</v>
      </c>
      <c r="J130" s="6">
        <f t="shared" si="12"/>
        <v>0</v>
      </c>
      <c r="K130" s="6">
        <f t="shared" si="12"/>
        <v>0</v>
      </c>
      <c r="L130" s="6">
        <f t="shared" si="12"/>
        <v>0</v>
      </c>
      <c r="M130" s="6">
        <f t="shared" si="12"/>
        <v>0</v>
      </c>
      <c r="N130" s="6" t="str">
        <f t="shared" si="10"/>
        <v/>
      </c>
      <c r="O130" s="6" t="str">
        <f t="shared" si="11"/>
        <v/>
      </c>
    </row>
    <row r="131" spans="1:15">
      <c r="A131" s="4"/>
      <c r="B131" s="5"/>
      <c r="C131" s="4"/>
      <c r="D131" s="4"/>
      <c r="E131" s="4"/>
      <c r="F131" s="6"/>
      <c r="H131">
        <f t="shared" si="8"/>
        <v>0</v>
      </c>
      <c r="I131" t="e">
        <f t="shared" si="9"/>
        <v>#VALUE!</v>
      </c>
      <c r="J131" s="6">
        <f t="shared" si="12"/>
        <v>0</v>
      </c>
      <c r="K131" s="6">
        <f t="shared" si="12"/>
        <v>0</v>
      </c>
      <c r="L131" s="6">
        <f t="shared" si="12"/>
        <v>0</v>
      </c>
      <c r="M131" s="6">
        <f t="shared" si="12"/>
        <v>0</v>
      </c>
      <c r="N131" s="6" t="str">
        <f t="shared" si="10"/>
        <v/>
      </c>
      <c r="O131" s="6" t="str">
        <f t="shared" si="11"/>
        <v/>
      </c>
    </row>
    <row r="132" spans="1:15">
      <c r="A132" s="4"/>
      <c r="B132" s="5"/>
      <c r="C132" s="4"/>
      <c r="D132" s="4"/>
      <c r="E132" s="4"/>
      <c r="F132" s="6"/>
      <c r="H132">
        <f t="shared" si="8"/>
        <v>0</v>
      </c>
      <c r="I132" t="e">
        <f t="shared" si="9"/>
        <v>#VALUE!</v>
      </c>
      <c r="J132" s="6">
        <f t="shared" si="12"/>
        <v>0</v>
      </c>
      <c r="K132" s="6">
        <f t="shared" si="12"/>
        <v>0</v>
      </c>
      <c r="L132" s="6">
        <f t="shared" si="12"/>
        <v>0</v>
      </c>
      <c r="M132" s="6">
        <f t="shared" si="12"/>
        <v>0</v>
      </c>
      <c r="N132" s="6" t="str">
        <f t="shared" si="10"/>
        <v/>
      </c>
      <c r="O132" s="6" t="str">
        <f t="shared" si="11"/>
        <v/>
      </c>
    </row>
    <row r="133" spans="1:15">
      <c r="A133" s="4"/>
      <c r="B133" s="5"/>
      <c r="C133" s="4"/>
      <c r="D133" s="4"/>
      <c r="E133" s="4"/>
      <c r="F133" s="6"/>
      <c r="H133">
        <f t="shared" si="8"/>
        <v>0</v>
      </c>
      <c r="I133" t="e">
        <f t="shared" si="9"/>
        <v>#VALUE!</v>
      </c>
      <c r="J133" s="6">
        <f t="shared" si="12"/>
        <v>0</v>
      </c>
      <c r="K133" s="6">
        <f t="shared" si="12"/>
        <v>0</v>
      </c>
      <c r="L133" s="6">
        <f t="shared" si="12"/>
        <v>0</v>
      </c>
      <c r="M133" s="6">
        <f t="shared" si="12"/>
        <v>0</v>
      </c>
      <c r="N133" s="6" t="str">
        <f t="shared" si="10"/>
        <v/>
      </c>
      <c r="O133" s="6" t="str">
        <f t="shared" si="11"/>
        <v/>
      </c>
    </row>
    <row r="134" spans="1:15">
      <c r="A134" s="4"/>
      <c r="B134" s="5"/>
      <c r="C134" s="4"/>
      <c r="D134" s="4"/>
      <c r="E134" s="4"/>
      <c r="F134" s="6"/>
      <c r="H134">
        <f t="shared" si="8"/>
        <v>0</v>
      </c>
      <c r="I134" t="e">
        <f t="shared" si="9"/>
        <v>#VALUE!</v>
      </c>
      <c r="J134" s="6">
        <f t="shared" si="12"/>
        <v>0</v>
      </c>
      <c r="K134" s="6">
        <f t="shared" si="12"/>
        <v>0</v>
      </c>
      <c r="L134" s="6">
        <f t="shared" si="12"/>
        <v>0</v>
      </c>
      <c r="M134" s="6">
        <f t="shared" si="12"/>
        <v>0</v>
      </c>
      <c r="N134" s="6" t="str">
        <f t="shared" si="10"/>
        <v/>
      </c>
      <c r="O134" s="6" t="str">
        <f t="shared" si="11"/>
        <v/>
      </c>
    </row>
    <row r="135" spans="1:15">
      <c r="A135" s="4"/>
      <c r="B135" s="5"/>
      <c r="C135" s="4"/>
      <c r="D135" s="4"/>
      <c r="E135" s="4"/>
      <c r="F135" s="6"/>
      <c r="H135">
        <f t="shared" ref="H135:H198" si="13">A135</f>
        <v>0</v>
      </c>
      <c r="I135" t="e">
        <f t="shared" ref="I135:I198" si="14">LEFT(B135,SEARCH(" ",B135,1)-1)</f>
        <v>#VALUE!</v>
      </c>
      <c r="J135" s="6">
        <f t="shared" si="12"/>
        <v>0</v>
      </c>
      <c r="K135" s="6">
        <f t="shared" si="12"/>
        <v>0</v>
      </c>
      <c r="L135" s="6">
        <f t="shared" si="12"/>
        <v>0</v>
      </c>
      <c r="M135" s="6">
        <f t="shared" si="12"/>
        <v>0</v>
      </c>
      <c r="N135" s="6" t="str">
        <f t="shared" ref="N135:N198" si="15">TRIM($B$1)</f>
        <v/>
      </c>
      <c r="O135" s="6" t="str">
        <f t="shared" ref="O135:O198" si="16">TRIM($C$1)</f>
        <v/>
      </c>
    </row>
    <row r="136" spans="1:15">
      <c r="A136" s="4"/>
      <c r="B136" s="5"/>
      <c r="C136" s="4"/>
      <c r="D136" s="4"/>
      <c r="E136" s="4"/>
      <c r="F136" s="6"/>
      <c r="H136">
        <f t="shared" si="13"/>
        <v>0</v>
      </c>
      <c r="I136" t="e">
        <f t="shared" si="14"/>
        <v>#VALUE!</v>
      </c>
      <c r="J136" s="6">
        <f t="shared" si="12"/>
        <v>0</v>
      </c>
      <c r="K136" s="6">
        <f t="shared" si="12"/>
        <v>0</v>
      </c>
      <c r="L136" s="6">
        <f t="shared" si="12"/>
        <v>0</v>
      </c>
      <c r="M136" s="6">
        <f t="shared" si="12"/>
        <v>0</v>
      </c>
      <c r="N136" s="6" t="str">
        <f t="shared" si="15"/>
        <v/>
      </c>
      <c r="O136" s="6" t="str">
        <f t="shared" si="16"/>
        <v/>
      </c>
    </row>
    <row r="137" spans="1:15">
      <c r="A137" s="4"/>
      <c r="B137" s="5"/>
      <c r="C137" s="4"/>
      <c r="D137" s="4"/>
      <c r="E137" s="4"/>
      <c r="F137" s="6"/>
      <c r="H137">
        <f t="shared" si="13"/>
        <v>0</v>
      </c>
      <c r="I137" t="e">
        <f t="shared" si="14"/>
        <v>#VALUE!</v>
      </c>
      <c r="J137" s="6">
        <f t="shared" si="12"/>
        <v>0</v>
      </c>
      <c r="K137" s="6">
        <f t="shared" si="12"/>
        <v>0</v>
      </c>
      <c r="L137" s="6">
        <f t="shared" si="12"/>
        <v>0</v>
      </c>
      <c r="M137" s="6">
        <f t="shared" si="12"/>
        <v>0</v>
      </c>
      <c r="N137" s="6" t="str">
        <f t="shared" si="15"/>
        <v/>
      </c>
      <c r="O137" s="6" t="str">
        <f t="shared" si="16"/>
        <v/>
      </c>
    </row>
    <row r="138" spans="1:15">
      <c r="A138" s="4"/>
      <c r="B138" s="5"/>
      <c r="C138" s="4"/>
      <c r="D138" s="4"/>
      <c r="E138" s="4"/>
      <c r="F138" s="6"/>
      <c r="H138">
        <f t="shared" si="13"/>
        <v>0</v>
      </c>
      <c r="I138" t="e">
        <f t="shared" si="14"/>
        <v>#VALUE!</v>
      </c>
      <c r="J138" s="6">
        <f t="shared" si="12"/>
        <v>0</v>
      </c>
      <c r="K138" s="6">
        <f t="shared" si="12"/>
        <v>0</v>
      </c>
      <c r="L138" s="6">
        <f t="shared" si="12"/>
        <v>0</v>
      </c>
      <c r="M138" s="6">
        <f t="shared" si="12"/>
        <v>0</v>
      </c>
      <c r="N138" s="6" t="str">
        <f t="shared" si="15"/>
        <v/>
      </c>
      <c r="O138" s="6" t="str">
        <f t="shared" si="16"/>
        <v/>
      </c>
    </row>
    <row r="139" spans="1:15">
      <c r="A139" s="4"/>
      <c r="B139" s="5"/>
      <c r="C139" s="4"/>
      <c r="D139" s="4"/>
      <c r="E139" s="4"/>
      <c r="F139" s="6"/>
      <c r="H139">
        <f t="shared" si="13"/>
        <v>0</v>
      </c>
      <c r="I139" t="e">
        <f t="shared" si="14"/>
        <v>#VALUE!</v>
      </c>
      <c r="J139" s="6">
        <f t="shared" si="12"/>
        <v>0</v>
      </c>
      <c r="K139" s="6">
        <f t="shared" si="12"/>
        <v>0</v>
      </c>
      <c r="L139" s="6">
        <f t="shared" si="12"/>
        <v>0</v>
      </c>
      <c r="M139" s="6">
        <f t="shared" si="12"/>
        <v>0</v>
      </c>
      <c r="N139" s="6" t="str">
        <f t="shared" si="15"/>
        <v/>
      </c>
      <c r="O139" s="6" t="str">
        <f t="shared" si="16"/>
        <v/>
      </c>
    </row>
    <row r="140" spans="1:15">
      <c r="A140" s="4"/>
      <c r="B140" s="5"/>
      <c r="C140" s="4"/>
      <c r="D140" s="4"/>
      <c r="E140" s="4"/>
      <c r="F140" s="6"/>
      <c r="H140">
        <f t="shared" si="13"/>
        <v>0</v>
      </c>
      <c r="I140" t="e">
        <f t="shared" si="14"/>
        <v>#VALUE!</v>
      </c>
      <c r="J140" s="6">
        <f t="shared" si="12"/>
        <v>0</v>
      </c>
      <c r="K140" s="6">
        <f t="shared" si="12"/>
        <v>0</v>
      </c>
      <c r="L140" s="6">
        <f t="shared" si="12"/>
        <v>0</v>
      </c>
      <c r="M140" s="6">
        <f t="shared" si="12"/>
        <v>0</v>
      </c>
      <c r="N140" s="6" t="str">
        <f t="shared" si="15"/>
        <v/>
      </c>
      <c r="O140" s="6" t="str">
        <f t="shared" si="16"/>
        <v/>
      </c>
    </row>
    <row r="141" spans="1:15">
      <c r="A141" s="4"/>
      <c r="B141" s="5"/>
      <c r="C141" s="4"/>
      <c r="D141" s="4"/>
      <c r="E141" s="4"/>
      <c r="F141" s="6"/>
      <c r="H141">
        <f t="shared" si="13"/>
        <v>0</v>
      </c>
      <c r="I141" t="e">
        <f t="shared" si="14"/>
        <v>#VALUE!</v>
      </c>
      <c r="J141" s="6">
        <f t="shared" si="12"/>
        <v>0</v>
      </c>
      <c r="K141" s="6">
        <f t="shared" si="12"/>
        <v>0</v>
      </c>
      <c r="L141" s="6">
        <f t="shared" si="12"/>
        <v>0</v>
      </c>
      <c r="M141" s="6">
        <f t="shared" si="12"/>
        <v>0</v>
      </c>
      <c r="N141" s="6" t="str">
        <f t="shared" si="15"/>
        <v/>
      </c>
      <c r="O141" s="6" t="str">
        <f t="shared" si="16"/>
        <v/>
      </c>
    </row>
    <row r="142" spans="1:15">
      <c r="A142" s="4"/>
      <c r="B142" s="5"/>
      <c r="C142" s="4"/>
      <c r="D142" s="4"/>
      <c r="E142" s="4"/>
      <c r="F142" s="6"/>
      <c r="H142">
        <f t="shared" si="13"/>
        <v>0</v>
      </c>
      <c r="I142" t="e">
        <f t="shared" si="14"/>
        <v>#VALUE!</v>
      </c>
      <c r="J142" s="6">
        <f t="shared" si="12"/>
        <v>0</v>
      </c>
      <c r="K142" s="6">
        <f t="shared" si="12"/>
        <v>0</v>
      </c>
      <c r="L142" s="6">
        <f t="shared" si="12"/>
        <v>0</v>
      </c>
      <c r="M142" s="6">
        <f t="shared" si="12"/>
        <v>0</v>
      </c>
      <c r="N142" s="6" t="str">
        <f t="shared" si="15"/>
        <v/>
      </c>
      <c r="O142" s="6" t="str">
        <f t="shared" si="16"/>
        <v/>
      </c>
    </row>
    <row r="143" spans="1:15">
      <c r="A143" s="4"/>
      <c r="B143" s="5"/>
      <c r="C143" s="4"/>
      <c r="D143" s="4"/>
      <c r="E143" s="4"/>
      <c r="F143" s="6"/>
      <c r="H143">
        <f t="shared" si="13"/>
        <v>0</v>
      </c>
      <c r="I143" t="e">
        <f t="shared" si="14"/>
        <v>#VALUE!</v>
      </c>
      <c r="J143" s="6">
        <f t="shared" si="12"/>
        <v>0</v>
      </c>
      <c r="K143" s="6">
        <f t="shared" si="12"/>
        <v>0</v>
      </c>
      <c r="L143" s="6">
        <f t="shared" si="12"/>
        <v>0</v>
      </c>
      <c r="M143" s="6">
        <f t="shared" si="12"/>
        <v>0</v>
      </c>
      <c r="N143" s="6" t="str">
        <f t="shared" si="15"/>
        <v/>
      </c>
      <c r="O143" s="6" t="str">
        <f t="shared" si="16"/>
        <v/>
      </c>
    </row>
    <row r="144" spans="1:15">
      <c r="A144" s="4"/>
      <c r="B144" s="5"/>
      <c r="C144" s="4"/>
      <c r="D144" s="4"/>
      <c r="E144" s="4"/>
      <c r="F144" s="6"/>
      <c r="H144">
        <f t="shared" si="13"/>
        <v>0</v>
      </c>
      <c r="I144" t="e">
        <f t="shared" si="14"/>
        <v>#VALUE!</v>
      </c>
      <c r="J144" s="6">
        <f t="shared" si="12"/>
        <v>0</v>
      </c>
      <c r="K144" s="6">
        <f t="shared" si="12"/>
        <v>0</v>
      </c>
      <c r="L144" s="6">
        <f t="shared" si="12"/>
        <v>0</v>
      </c>
      <c r="M144" s="6">
        <f t="shared" si="12"/>
        <v>0</v>
      </c>
      <c r="N144" s="6" t="str">
        <f t="shared" si="15"/>
        <v/>
      </c>
      <c r="O144" s="6" t="str">
        <f t="shared" si="16"/>
        <v/>
      </c>
    </row>
    <row r="145" spans="1:15">
      <c r="A145" s="4"/>
      <c r="B145" s="5"/>
      <c r="C145" s="4"/>
      <c r="D145" s="4"/>
      <c r="E145" s="4"/>
      <c r="F145" s="6"/>
      <c r="H145">
        <f t="shared" si="13"/>
        <v>0</v>
      </c>
      <c r="I145" t="e">
        <f t="shared" si="14"/>
        <v>#VALUE!</v>
      </c>
      <c r="J145" s="6">
        <f t="shared" si="12"/>
        <v>0</v>
      </c>
      <c r="K145" s="6">
        <f t="shared" si="12"/>
        <v>0</v>
      </c>
      <c r="L145" s="6">
        <f t="shared" si="12"/>
        <v>0</v>
      </c>
      <c r="M145" s="6">
        <f t="shared" si="12"/>
        <v>0</v>
      </c>
      <c r="N145" s="6" t="str">
        <f t="shared" si="15"/>
        <v/>
      </c>
      <c r="O145" s="6" t="str">
        <f t="shared" si="16"/>
        <v/>
      </c>
    </row>
    <row r="146" spans="1:15">
      <c r="A146" s="4"/>
      <c r="B146" s="5"/>
      <c r="C146" s="4"/>
      <c r="D146" s="4"/>
      <c r="E146" s="4"/>
      <c r="F146" s="6"/>
      <c r="H146">
        <f t="shared" si="13"/>
        <v>0</v>
      </c>
      <c r="I146" t="e">
        <f t="shared" si="14"/>
        <v>#VALUE!</v>
      </c>
      <c r="J146" s="6">
        <f t="shared" si="12"/>
        <v>0</v>
      </c>
      <c r="K146" s="6">
        <f t="shared" si="12"/>
        <v>0</v>
      </c>
      <c r="L146" s="6">
        <f t="shared" si="12"/>
        <v>0</v>
      </c>
      <c r="M146" s="6">
        <f t="shared" si="12"/>
        <v>0</v>
      </c>
      <c r="N146" s="6" t="str">
        <f t="shared" si="15"/>
        <v/>
      </c>
      <c r="O146" s="6" t="str">
        <f t="shared" si="16"/>
        <v/>
      </c>
    </row>
    <row r="147" spans="1:15">
      <c r="A147" s="4"/>
      <c r="B147" s="5"/>
      <c r="C147" s="4"/>
      <c r="D147" s="4"/>
      <c r="E147" s="4"/>
      <c r="F147" s="6"/>
      <c r="H147">
        <f t="shared" si="13"/>
        <v>0</v>
      </c>
      <c r="I147" t="e">
        <f t="shared" si="14"/>
        <v>#VALUE!</v>
      </c>
      <c r="J147" s="6">
        <f t="shared" si="12"/>
        <v>0</v>
      </c>
      <c r="K147" s="6">
        <f t="shared" si="12"/>
        <v>0</v>
      </c>
      <c r="L147" s="6">
        <f t="shared" si="12"/>
        <v>0</v>
      </c>
      <c r="M147" s="6">
        <f t="shared" si="12"/>
        <v>0</v>
      </c>
      <c r="N147" s="6" t="str">
        <f t="shared" si="15"/>
        <v/>
      </c>
      <c r="O147" s="6" t="str">
        <f t="shared" si="16"/>
        <v/>
      </c>
    </row>
    <row r="148" spans="1:15">
      <c r="A148" s="4"/>
      <c r="B148" s="5"/>
      <c r="C148" s="4"/>
      <c r="D148" s="4"/>
      <c r="E148" s="4"/>
      <c r="F148" s="6"/>
      <c r="H148">
        <f t="shared" si="13"/>
        <v>0</v>
      </c>
      <c r="I148" t="e">
        <f t="shared" si="14"/>
        <v>#VALUE!</v>
      </c>
      <c r="J148" s="6">
        <f t="shared" si="12"/>
        <v>0</v>
      </c>
      <c r="K148" s="6">
        <f t="shared" si="12"/>
        <v>0</v>
      </c>
      <c r="L148" s="6">
        <f t="shared" si="12"/>
        <v>0</v>
      </c>
      <c r="M148" s="6">
        <f t="shared" si="12"/>
        <v>0</v>
      </c>
      <c r="N148" s="6" t="str">
        <f t="shared" si="15"/>
        <v/>
      </c>
      <c r="O148" s="6" t="str">
        <f t="shared" si="16"/>
        <v/>
      </c>
    </row>
    <row r="149" spans="1:15">
      <c r="A149" s="4"/>
      <c r="B149" s="5"/>
      <c r="C149" s="4"/>
      <c r="D149" s="4"/>
      <c r="E149" s="4"/>
      <c r="F149" s="6"/>
      <c r="H149">
        <f t="shared" si="13"/>
        <v>0</v>
      </c>
      <c r="I149" t="e">
        <f t="shared" si="14"/>
        <v>#VALUE!</v>
      </c>
      <c r="J149" s="6">
        <f t="shared" si="12"/>
        <v>0</v>
      </c>
      <c r="K149" s="6">
        <f t="shared" si="12"/>
        <v>0</v>
      </c>
      <c r="L149" s="6">
        <f t="shared" si="12"/>
        <v>0</v>
      </c>
      <c r="M149" s="6">
        <f t="shared" si="12"/>
        <v>0</v>
      </c>
      <c r="N149" s="6" t="str">
        <f t="shared" si="15"/>
        <v/>
      </c>
      <c r="O149" s="6" t="str">
        <f t="shared" si="16"/>
        <v/>
      </c>
    </row>
    <row r="150" spans="1:15">
      <c r="A150" s="4"/>
      <c r="B150" s="5"/>
      <c r="C150" s="4"/>
      <c r="D150" s="4"/>
      <c r="E150" s="4"/>
      <c r="F150" s="6"/>
      <c r="H150">
        <f t="shared" si="13"/>
        <v>0</v>
      </c>
      <c r="I150" t="e">
        <f t="shared" si="14"/>
        <v>#VALUE!</v>
      </c>
      <c r="J150" s="6">
        <f t="shared" si="12"/>
        <v>0</v>
      </c>
      <c r="K150" s="6">
        <f t="shared" si="12"/>
        <v>0</v>
      </c>
      <c r="L150" s="6">
        <f t="shared" si="12"/>
        <v>0</v>
      </c>
      <c r="M150" s="6">
        <f t="shared" si="12"/>
        <v>0</v>
      </c>
      <c r="N150" s="6" t="str">
        <f t="shared" si="15"/>
        <v/>
      </c>
      <c r="O150" s="6" t="str">
        <f t="shared" si="16"/>
        <v/>
      </c>
    </row>
    <row r="151" spans="1:15">
      <c r="A151" s="4"/>
      <c r="B151" s="5"/>
      <c r="C151" s="4"/>
      <c r="D151" s="4"/>
      <c r="E151" s="4"/>
      <c r="F151" s="6"/>
      <c r="H151">
        <f t="shared" si="13"/>
        <v>0</v>
      </c>
      <c r="I151" t="e">
        <f t="shared" si="14"/>
        <v>#VALUE!</v>
      </c>
      <c r="J151" s="6">
        <f t="shared" si="12"/>
        <v>0</v>
      </c>
      <c r="K151" s="6">
        <f t="shared" si="12"/>
        <v>0</v>
      </c>
      <c r="L151" s="6">
        <f t="shared" si="12"/>
        <v>0</v>
      </c>
      <c r="M151" s="6">
        <f t="shared" si="12"/>
        <v>0</v>
      </c>
      <c r="N151" s="6" t="str">
        <f t="shared" si="15"/>
        <v/>
      </c>
      <c r="O151" s="6" t="str">
        <f t="shared" si="16"/>
        <v/>
      </c>
    </row>
    <row r="152" spans="1:15">
      <c r="A152" s="4"/>
      <c r="B152" s="5"/>
      <c r="C152" s="4"/>
      <c r="D152" s="4"/>
      <c r="E152" s="4"/>
      <c r="F152" s="6"/>
      <c r="H152">
        <f t="shared" si="13"/>
        <v>0</v>
      </c>
      <c r="I152" t="e">
        <f t="shared" si="14"/>
        <v>#VALUE!</v>
      </c>
      <c r="J152" s="6">
        <f t="shared" si="12"/>
        <v>0</v>
      </c>
      <c r="K152" s="6">
        <f t="shared" si="12"/>
        <v>0</v>
      </c>
      <c r="L152" s="6">
        <f t="shared" si="12"/>
        <v>0</v>
      </c>
      <c r="M152" s="6">
        <f t="shared" si="12"/>
        <v>0</v>
      </c>
      <c r="N152" s="6" t="str">
        <f t="shared" si="15"/>
        <v/>
      </c>
      <c r="O152" s="6" t="str">
        <f t="shared" si="16"/>
        <v/>
      </c>
    </row>
    <row r="153" spans="1:15">
      <c r="A153" s="4"/>
      <c r="B153" s="5"/>
      <c r="C153" s="4"/>
      <c r="D153" s="4"/>
      <c r="E153" s="4"/>
      <c r="F153" s="6"/>
      <c r="H153">
        <f t="shared" si="13"/>
        <v>0</v>
      </c>
      <c r="I153" t="e">
        <f t="shared" si="14"/>
        <v>#VALUE!</v>
      </c>
      <c r="J153" s="6">
        <f t="shared" si="12"/>
        <v>0</v>
      </c>
      <c r="K153" s="6">
        <f t="shared" si="12"/>
        <v>0</v>
      </c>
      <c r="L153" s="6">
        <f t="shared" si="12"/>
        <v>0</v>
      </c>
      <c r="M153" s="6">
        <f t="shared" si="12"/>
        <v>0</v>
      </c>
      <c r="N153" s="6" t="str">
        <f t="shared" si="15"/>
        <v/>
      </c>
      <c r="O153" s="6" t="str">
        <f t="shared" si="16"/>
        <v/>
      </c>
    </row>
    <row r="154" spans="1:15">
      <c r="A154" s="4"/>
      <c r="B154" s="5"/>
      <c r="C154" s="4"/>
      <c r="D154" s="4"/>
      <c r="E154" s="4"/>
      <c r="F154" s="6"/>
      <c r="H154">
        <f t="shared" si="13"/>
        <v>0</v>
      </c>
      <c r="I154" t="e">
        <f t="shared" si="14"/>
        <v>#VALUE!</v>
      </c>
      <c r="J154" s="6">
        <f t="shared" si="12"/>
        <v>0</v>
      </c>
      <c r="K154" s="6">
        <f t="shared" si="12"/>
        <v>0</v>
      </c>
      <c r="L154" s="6">
        <f t="shared" si="12"/>
        <v>0</v>
      </c>
      <c r="M154" s="6">
        <f t="shared" si="12"/>
        <v>0</v>
      </c>
      <c r="N154" s="6" t="str">
        <f t="shared" si="15"/>
        <v/>
      </c>
      <c r="O154" s="6" t="str">
        <f t="shared" si="16"/>
        <v/>
      </c>
    </row>
    <row r="155" spans="1:15">
      <c r="A155" s="4"/>
      <c r="B155" s="5"/>
      <c r="C155" s="4"/>
      <c r="D155" s="4"/>
      <c r="E155" s="4"/>
      <c r="F155" s="6"/>
      <c r="H155">
        <f t="shared" si="13"/>
        <v>0</v>
      </c>
      <c r="I155" t="e">
        <f t="shared" si="14"/>
        <v>#VALUE!</v>
      </c>
      <c r="J155" s="6">
        <f t="shared" si="12"/>
        <v>0</v>
      </c>
      <c r="K155" s="6">
        <f t="shared" si="12"/>
        <v>0</v>
      </c>
      <c r="L155" s="6">
        <f t="shared" si="12"/>
        <v>0</v>
      </c>
      <c r="M155" s="6">
        <f t="shared" si="12"/>
        <v>0</v>
      </c>
      <c r="N155" s="6" t="str">
        <f t="shared" si="15"/>
        <v/>
      </c>
      <c r="O155" s="6" t="str">
        <f t="shared" si="16"/>
        <v/>
      </c>
    </row>
    <row r="156" spans="1:15">
      <c r="A156" s="4"/>
      <c r="B156" s="5"/>
      <c r="C156" s="4"/>
      <c r="D156" s="4"/>
      <c r="E156" s="4"/>
      <c r="F156" s="6"/>
      <c r="H156">
        <f t="shared" si="13"/>
        <v>0</v>
      </c>
      <c r="I156" t="e">
        <f t="shared" si="14"/>
        <v>#VALUE!</v>
      </c>
      <c r="J156" s="6">
        <f t="shared" si="12"/>
        <v>0</v>
      </c>
      <c r="K156" s="6">
        <f t="shared" si="12"/>
        <v>0</v>
      </c>
      <c r="L156" s="6">
        <f t="shared" si="12"/>
        <v>0</v>
      </c>
      <c r="M156" s="6">
        <f t="shared" si="12"/>
        <v>0</v>
      </c>
      <c r="N156" s="6" t="str">
        <f t="shared" si="15"/>
        <v/>
      </c>
      <c r="O156" s="6" t="str">
        <f t="shared" si="16"/>
        <v/>
      </c>
    </row>
    <row r="157" spans="1:15">
      <c r="A157" s="4"/>
      <c r="B157" s="5"/>
      <c r="C157" s="4"/>
      <c r="D157" s="4"/>
      <c r="E157" s="4"/>
      <c r="F157" s="6"/>
      <c r="H157">
        <f t="shared" si="13"/>
        <v>0</v>
      </c>
      <c r="I157" t="e">
        <f t="shared" si="14"/>
        <v>#VALUE!</v>
      </c>
      <c r="J157" s="6">
        <f t="shared" si="12"/>
        <v>0</v>
      </c>
      <c r="K157" s="6">
        <f t="shared" si="12"/>
        <v>0</v>
      </c>
      <c r="L157" s="6">
        <f t="shared" si="12"/>
        <v>0</v>
      </c>
      <c r="M157" s="6">
        <f t="shared" si="12"/>
        <v>0</v>
      </c>
      <c r="N157" s="6" t="str">
        <f t="shared" si="15"/>
        <v/>
      </c>
      <c r="O157" s="6" t="str">
        <f t="shared" si="16"/>
        <v/>
      </c>
    </row>
    <row r="158" spans="1:15">
      <c r="A158" s="4"/>
      <c r="B158" s="5"/>
      <c r="C158" s="4"/>
      <c r="D158" s="4"/>
      <c r="E158" s="4"/>
      <c r="F158" s="6"/>
      <c r="H158">
        <f t="shared" si="13"/>
        <v>0</v>
      </c>
      <c r="I158" t="e">
        <f t="shared" si="14"/>
        <v>#VALUE!</v>
      </c>
      <c r="J158" s="6">
        <f t="shared" si="12"/>
        <v>0</v>
      </c>
      <c r="K158" s="6">
        <f t="shared" si="12"/>
        <v>0</v>
      </c>
      <c r="L158" s="6">
        <f t="shared" si="12"/>
        <v>0</v>
      </c>
      <c r="M158" s="6">
        <f t="shared" si="12"/>
        <v>0</v>
      </c>
      <c r="N158" s="6" t="str">
        <f t="shared" si="15"/>
        <v/>
      </c>
      <c r="O158" s="6" t="str">
        <f t="shared" si="16"/>
        <v/>
      </c>
    </row>
    <row r="159" spans="1:15">
      <c r="A159" s="4"/>
      <c r="B159" s="5"/>
      <c r="C159" s="4"/>
      <c r="D159" s="4"/>
      <c r="E159" s="4"/>
      <c r="F159" s="6"/>
      <c r="H159">
        <f t="shared" si="13"/>
        <v>0</v>
      </c>
      <c r="I159" t="e">
        <f t="shared" si="14"/>
        <v>#VALUE!</v>
      </c>
      <c r="J159" s="6">
        <f t="shared" si="12"/>
        <v>0</v>
      </c>
      <c r="K159" s="6">
        <f t="shared" si="12"/>
        <v>0</v>
      </c>
      <c r="L159" s="6">
        <f t="shared" si="12"/>
        <v>0</v>
      </c>
      <c r="M159" s="6">
        <f t="shared" si="12"/>
        <v>0</v>
      </c>
      <c r="N159" s="6" t="str">
        <f t="shared" si="15"/>
        <v/>
      </c>
      <c r="O159" s="6" t="str">
        <f t="shared" si="16"/>
        <v/>
      </c>
    </row>
    <row r="160" spans="1:15">
      <c r="A160" s="4"/>
      <c r="B160" s="5"/>
      <c r="C160" s="4"/>
      <c r="D160" s="4"/>
      <c r="E160" s="4"/>
      <c r="F160" s="6"/>
      <c r="H160">
        <f t="shared" si="13"/>
        <v>0</v>
      </c>
      <c r="I160" t="e">
        <f t="shared" si="14"/>
        <v>#VALUE!</v>
      </c>
      <c r="J160" s="6">
        <f t="shared" si="12"/>
        <v>0</v>
      </c>
      <c r="K160" s="6">
        <f t="shared" si="12"/>
        <v>0</v>
      </c>
      <c r="L160" s="6">
        <f t="shared" si="12"/>
        <v>0</v>
      </c>
      <c r="M160" s="6">
        <f t="shared" si="12"/>
        <v>0</v>
      </c>
      <c r="N160" s="6" t="str">
        <f t="shared" si="15"/>
        <v/>
      </c>
      <c r="O160" s="6" t="str">
        <f t="shared" si="16"/>
        <v/>
      </c>
    </row>
    <row r="161" spans="1:15">
      <c r="A161" s="4"/>
      <c r="B161" s="5"/>
      <c r="C161" s="4"/>
      <c r="D161" s="4"/>
      <c r="E161" s="4"/>
      <c r="F161" s="6"/>
      <c r="H161">
        <f t="shared" si="13"/>
        <v>0</v>
      </c>
      <c r="I161" t="e">
        <f t="shared" si="14"/>
        <v>#VALUE!</v>
      </c>
      <c r="J161" s="6">
        <f t="shared" si="12"/>
        <v>0</v>
      </c>
      <c r="K161" s="6">
        <f t="shared" si="12"/>
        <v>0</v>
      </c>
      <c r="L161" s="6">
        <f t="shared" si="12"/>
        <v>0</v>
      </c>
      <c r="M161" s="6">
        <f t="shared" si="12"/>
        <v>0</v>
      </c>
      <c r="N161" s="6" t="str">
        <f t="shared" si="15"/>
        <v/>
      </c>
      <c r="O161" s="6" t="str">
        <f t="shared" si="16"/>
        <v/>
      </c>
    </row>
    <row r="162" spans="1:15">
      <c r="A162" s="4"/>
      <c r="B162" s="5"/>
      <c r="C162" s="4"/>
      <c r="D162" s="4"/>
      <c r="E162" s="4"/>
      <c r="F162" s="6"/>
      <c r="H162">
        <f t="shared" si="13"/>
        <v>0</v>
      </c>
      <c r="I162" t="e">
        <f t="shared" si="14"/>
        <v>#VALUE!</v>
      </c>
      <c r="J162" s="6">
        <f t="shared" si="12"/>
        <v>0</v>
      </c>
      <c r="K162" s="6">
        <f t="shared" si="12"/>
        <v>0</v>
      </c>
      <c r="L162" s="6">
        <f t="shared" si="12"/>
        <v>0</v>
      </c>
      <c r="M162" s="6">
        <f t="shared" si="12"/>
        <v>0</v>
      </c>
      <c r="N162" s="6" t="str">
        <f t="shared" si="15"/>
        <v/>
      </c>
      <c r="O162" s="6" t="str">
        <f t="shared" si="16"/>
        <v/>
      </c>
    </row>
    <row r="163" spans="1:15">
      <c r="A163" s="4"/>
      <c r="B163" s="5"/>
      <c r="C163" s="4"/>
      <c r="D163" s="4"/>
      <c r="E163" s="4"/>
      <c r="F163" s="6"/>
      <c r="H163">
        <f t="shared" si="13"/>
        <v>0</v>
      </c>
      <c r="I163" t="e">
        <f t="shared" si="14"/>
        <v>#VALUE!</v>
      </c>
      <c r="J163" s="6">
        <f t="shared" si="12"/>
        <v>0</v>
      </c>
      <c r="K163" s="6">
        <f t="shared" si="12"/>
        <v>0</v>
      </c>
      <c r="L163" s="6">
        <f t="shared" si="12"/>
        <v>0</v>
      </c>
      <c r="M163" s="6">
        <f t="shared" si="12"/>
        <v>0</v>
      </c>
      <c r="N163" s="6" t="str">
        <f t="shared" si="15"/>
        <v/>
      </c>
      <c r="O163" s="6" t="str">
        <f t="shared" si="16"/>
        <v/>
      </c>
    </row>
    <row r="164" spans="1:15">
      <c r="A164" s="4"/>
      <c r="B164" s="5"/>
      <c r="C164" s="4"/>
      <c r="D164" s="4"/>
      <c r="E164" s="4"/>
      <c r="F164" s="6"/>
      <c r="H164">
        <f t="shared" si="13"/>
        <v>0</v>
      </c>
      <c r="I164" t="e">
        <f t="shared" si="14"/>
        <v>#VALUE!</v>
      </c>
      <c r="J164" s="6">
        <f t="shared" si="12"/>
        <v>0</v>
      </c>
      <c r="K164" s="6">
        <f t="shared" si="12"/>
        <v>0</v>
      </c>
      <c r="L164" s="6">
        <f t="shared" si="12"/>
        <v>0</v>
      </c>
      <c r="M164" s="6">
        <f t="shared" si="12"/>
        <v>0</v>
      </c>
      <c r="N164" s="6" t="str">
        <f t="shared" si="15"/>
        <v/>
      </c>
      <c r="O164" s="6" t="str">
        <f t="shared" si="16"/>
        <v/>
      </c>
    </row>
    <row r="165" spans="1:15">
      <c r="A165" s="4"/>
      <c r="B165" s="5"/>
      <c r="C165" s="4"/>
      <c r="D165" s="4"/>
      <c r="E165" s="4"/>
      <c r="F165" s="6"/>
      <c r="H165">
        <f t="shared" si="13"/>
        <v>0</v>
      </c>
      <c r="I165" t="e">
        <f t="shared" si="14"/>
        <v>#VALUE!</v>
      </c>
      <c r="J165" s="6">
        <f t="shared" si="12"/>
        <v>0</v>
      </c>
      <c r="K165" s="6">
        <f t="shared" si="12"/>
        <v>0</v>
      </c>
      <c r="L165" s="6">
        <f t="shared" si="12"/>
        <v>0</v>
      </c>
      <c r="M165" s="6">
        <f t="shared" si="12"/>
        <v>0</v>
      </c>
      <c r="N165" s="6" t="str">
        <f t="shared" si="15"/>
        <v/>
      </c>
      <c r="O165" s="6" t="str">
        <f t="shared" si="16"/>
        <v/>
      </c>
    </row>
    <row r="166" spans="1:15">
      <c r="A166" s="4"/>
      <c r="B166" s="5"/>
      <c r="C166" s="4"/>
      <c r="D166" s="4"/>
      <c r="E166" s="4"/>
      <c r="F166" s="6"/>
      <c r="H166">
        <f t="shared" si="13"/>
        <v>0</v>
      </c>
      <c r="I166" t="e">
        <f t="shared" si="14"/>
        <v>#VALUE!</v>
      </c>
      <c r="J166" s="6">
        <f t="shared" si="12"/>
        <v>0</v>
      </c>
      <c r="K166" s="6">
        <f t="shared" si="12"/>
        <v>0</v>
      </c>
      <c r="L166" s="6">
        <f t="shared" si="12"/>
        <v>0</v>
      </c>
      <c r="M166" s="6">
        <f t="shared" si="12"/>
        <v>0</v>
      </c>
      <c r="N166" s="6" t="str">
        <f t="shared" si="15"/>
        <v/>
      </c>
      <c r="O166" s="6" t="str">
        <f t="shared" si="16"/>
        <v/>
      </c>
    </row>
    <row r="167" spans="1:15">
      <c r="A167" s="4"/>
      <c r="B167" s="5"/>
      <c r="C167" s="4"/>
      <c r="D167" s="4"/>
      <c r="E167" s="4"/>
      <c r="F167" s="6"/>
      <c r="H167">
        <f t="shared" si="13"/>
        <v>0</v>
      </c>
      <c r="I167" t="e">
        <f t="shared" si="14"/>
        <v>#VALUE!</v>
      </c>
      <c r="J167" s="6">
        <f t="shared" si="12"/>
        <v>0</v>
      </c>
      <c r="K167" s="6">
        <f t="shared" si="12"/>
        <v>0</v>
      </c>
      <c r="L167" s="6">
        <f t="shared" si="12"/>
        <v>0</v>
      </c>
      <c r="M167" s="6">
        <f t="shared" si="12"/>
        <v>0</v>
      </c>
      <c r="N167" s="6" t="str">
        <f t="shared" si="15"/>
        <v/>
      </c>
      <c r="O167" s="6" t="str">
        <f t="shared" si="16"/>
        <v/>
      </c>
    </row>
    <row r="168" spans="1:15">
      <c r="A168" s="4"/>
      <c r="B168" s="5"/>
      <c r="C168" s="4"/>
      <c r="D168" s="4"/>
      <c r="E168" s="4"/>
      <c r="F168" s="6"/>
      <c r="H168">
        <f t="shared" si="13"/>
        <v>0</v>
      </c>
      <c r="I168" t="e">
        <f t="shared" si="14"/>
        <v>#VALUE!</v>
      </c>
      <c r="J168" s="6">
        <f t="shared" si="12"/>
        <v>0</v>
      </c>
      <c r="K168" s="6">
        <f t="shared" si="12"/>
        <v>0</v>
      </c>
      <c r="L168" s="6">
        <f t="shared" si="12"/>
        <v>0</v>
      </c>
      <c r="M168" s="6">
        <f t="shared" ref="M168:M231" si="17">F168</f>
        <v>0</v>
      </c>
      <c r="N168" s="6" t="str">
        <f t="shared" si="15"/>
        <v/>
      </c>
      <c r="O168" s="6" t="str">
        <f t="shared" si="16"/>
        <v/>
      </c>
    </row>
    <row r="169" spans="1:15">
      <c r="A169" s="4"/>
      <c r="B169" s="5"/>
      <c r="C169" s="4"/>
      <c r="D169" s="4"/>
      <c r="E169" s="4"/>
      <c r="F169" s="6"/>
      <c r="H169">
        <f t="shared" si="13"/>
        <v>0</v>
      </c>
      <c r="I169" t="e">
        <f t="shared" si="14"/>
        <v>#VALUE!</v>
      </c>
      <c r="J169" s="6">
        <f t="shared" ref="J169:M232" si="18">C169</f>
        <v>0</v>
      </c>
      <c r="K169" s="6">
        <f t="shared" si="18"/>
        <v>0</v>
      </c>
      <c r="L169" s="6">
        <f t="shared" si="18"/>
        <v>0</v>
      </c>
      <c r="M169" s="6">
        <f t="shared" si="17"/>
        <v>0</v>
      </c>
      <c r="N169" s="6" t="str">
        <f t="shared" si="15"/>
        <v/>
      </c>
      <c r="O169" s="6" t="str">
        <f t="shared" si="16"/>
        <v/>
      </c>
    </row>
    <row r="170" spans="1:15">
      <c r="A170" s="4"/>
      <c r="B170" s="5"/>
      <c r="C170" s="4"/>
      <c r="D170" s="4"/>
      <c r="E170" s="4"/>
      <c r="F170" s="6"/>
      <c r="H170">
        <f t="shared" si="13"/>
        <v>0</v>
      </c>
      <c r="I170" t="e">
        <f t="shared" si="14"/>
        <v>#VALUE!</v>
      </c>
      <c r="J170" s="6">
        <f t="shared" si="18"/>
        <v>0</v>
      </c>
      <c r="K170" s="6">
        <f t="shared" si="18"/>
        <v>0</v>
      </c>
      <c r="L170" s="6">
        <f t="shared" si="18"/>
        <v>0</v>
      </c>
      <c r="M170" s="6">
        <f t="shared" si="17"/>
        <v>0</v>
      </c>
      <c r="N170" s="6" t="str">
        <f t="shared" si="15"/>
        <v/>
      </c>
      <c r="O170" s="6" t="str">
        <f t="shared" si="16"/>
        <v/>
      </c>
    </row>
    <row r="171" spans="1:15">
      <c r="A171" s="4"/>
      <c r="B171" s="5"/>
      <c r="C171" s="4"/>
      <c r="D171" s="4"/>
      <c r="E171" s="4"/>
      <c r="F171" s="6"/>
      <c r="H171">
        <f t="shared" si="13"/>
        <v>0</v>
      </c>
      <c r="I171" t="e">
        <f t="shared" si="14"/>
        <v>#VALUE!</v>
      </c>
      <c r="J171" s="6">
        <f t="shared" si="18"/>
        <v>0</v>
      </c>
      <c r="K171" s="6">
        <f t="shared" si="18"/>
        <v>0</v>
      </c>
      <c r="L171" s="6">
        <f t="shared" si="18"/>
        <v>0</v>
      </c>
      <c r="M171" s="6">
        <f t="shared" si="17"/>
        <v>0</v>
      </c>
      <c r="N171" s="6" t="str">
        <f t="shared" si="15"/>
        <v/>
      </c>
      <c r="O171" s="6" t="str">
        <f t="shared" si="16"/>
        <v/>
      </c>
    </row>
    <row r="172" spans="1:15">
      <c r="A172" s="4"/>
      <c r="B172" s="5"/>
      <c r="C172" s="4"/>
      <c r="D172" s="4"/>
      <c r="E172" s="4"/>
      <c r="F172" s="6"/>
      <c r="H172">
        <f t="shared" si="13"/>
        <v>0</v>
      </c>
      <c r="I172" t="e">
        <f t="shared" si="14"/>
        <v>#VALUE!</v>
      </c>
      <c r="J172" s="6">
        <f t="shared" si="18"/>
        <v>0</v>
      </c>
      <c r="K172" s="6">
        <f t="shared" si="18"/>
        <v>0</v>
      </c>
      <c r="L172" s="6">
        <f t="shared" si="18"/>
        <v>0</v>
      </c>
      <c r="M172" s="6">
        <f t="shared" si="17"/>
        <v>0</v>
      </c>
      <c r="N172" s="6" t="str">
        <f t="shared" si="15"/>
        <v/>
      </c>
      <c r="O172" s="6" t="str">
        <f t="shared" si="16"/>
        <v/>
      </c>
    </row>
    <row r="173" spans="1:15">
      <c r="A173" s="4"/>
      <c r="B173" s="5"/>
      <c r="C173" s="4"/>
      <c r="D173" s="4"/>
      <c r="E173" s="4"/>
      <c r="F173" s="6"/>
      <c r="H173">
        <f t="shared" si="13"/>
        <v>0</v>
      </c>
      <c r="I173" t="e">
        <f t="shared" si="14"/>
        <v>#VALUE!</v>
      </c>
      <c r="J173" s="6">
        <f t="shared" si="18"/>
        <v>0</v>
      </c>
      <c r="K173" s="6">
        <f t="shared" si="18"/>
        <v>0</v>
      </c>
      <c r="L173" s="6">
        <f t="shared" si="18"/>
        <v>0</v>
      </c>
      <c r="M173" s="6">
        <f t="shared" si="17"/>
        <v>0</v>
      </c>
      <c r="N173" s="6" t="str">
        <f t="shared" si="15"/>
        <v/>
      </c>
      <c r="O173" s="6" t="str">
        <f t="shared" si="16"/>
        <v/>
      </c>
    </row>
    <row r="174" spans="1:15">
      <c r="A174" s="4"/>
      <c r="B174" s="5"/>
      <c r="C174" s="4"/>
      <c r="D174" s="4"/>
      <c r="E174" s="4"/>
      <c r="F174" s="6"/>
      <c r="H174">
        <f t="shared" si="13"/>
        <v>0</v>
      </c>
      <c r="I174" t="e">
        <f t="shared" si="14"/>
        <v>#VALUE!</v>
      </c>
      <c r="J174" s="6">
        <f t="shared" si="18"/>
        <v>0</v>
      </c>
      <c r="K174" s="6">
        <f t="shared" si="18"/>
        <v>0</v>
      </c>
      <c r="L174" s="6">
        <f t="shared" si="18"/>
        <v>0</v>
      </c>
      <c r="M174" s="6">
        <f t="shared" si="17"/>
        <v>0</v>
      </c>
      <c r="N174" s="6" t="str">
        <f t="shared" si="15"/>
        <v/>
      </c>
      <c r="O174" s="6" t="str">
        <f t="shared" si="16"/>
        <v/>
      </c>
    </row>
    <row r="175" spans="1:15">
      <c r="A175" s="4"/>
      <c r="B175" s="5"/>
      <c r="C175" s="4"/>
      <c r="D175" s="4"/>
      <c r="E175" s="4"/>
      <c r="F175" s="6"/>
      <c r="H175">
        <f t="shared" si="13"/>
        <v>0</v>
      </c>
      <c r="I175" t="e">
        <f t="shared" si="14"/>
        <v>#VALUE!</v>
      </c>
      <c r="J175" s="6">
        <f t="shared" si="18"/>
        <v>0</v>
      </c>
      <c r="K175" s="6">
        <f t="shared" si="18"/>
        <v>0</v>
      </c>
      <c r="L175" s="6">
        <f t="shared" si="18"/>
        <v>0</v>
      </c>
      <c r="M175" s="6">
        <f t="shared" si="17"/>
        <v>0</v>
      </c>
      <c r="N175" s="6" t="str">
        <f t="shared" si="15"/>
        <v/>
      </c>
      <c r="O175" s="6" t="str">
        <f t="shared" si="16"/>
        <v/>
      </c>
    </row>
    <row r="176" spans="1:15">
      <c r="A176" s="4"/>
      <c r="B176" s="5"/>
      <c r="C176" s="4"/>
      <c r="D176" s="4"/>
      <c r="E176" s="4"/>
      <c r="F176" s="6"/>
      <c r="H176">
        <f t="shared" si="13"/>
        <v>0</v>
      </c>
      <c r="I176" t="e">
        <f t="shared" si="14"/>
        <v>#VALUE!</v>
      </c>
      <c r="J176" s="6">
        <f t="shared" si="18"/>
        <v>0</v>
      </c>
      <c r="K176" s="6">
        <f t="shared" si="18"/>
        <v>0</v>
      </c>
      <c r="L176" s="6">
        <f t="shared" si="18"/>
        <v>0</v>
      </c>
      <c r="M176" s="6">
        <f t="shared" si="17"/>
        <v>0</v>
      </c>
      <c r="N176" s="6" t="str">
        <f t="shared" si="15"/>
        <v/>
      </c>
      <c r="O176" s="6" t="str">
        <f t="shared" si="16"/>
        <v/>
      </c>
    </row>
    <row r="177" spans="1:15">
      <c r="A177" s="4"/>
      <c r="B177" s="5"/>
      <c r="C177" s="4"/>
      <c r="D177" s="4"/>
      <c r="E177" s="4"/>
      <c r="F177" s="6"/>
      <c r="H177">
        <f t="shared" si="13"/>
        <v>0</v>
      </c>
      <c r="I177" t="e">
        <f t="shared" si="14"/>
        <v>#VALUE!</v>
      </c>
      <c r="J177" s="6">
        <f t="shared" si="18"/>
        <v>0</v>
      </c>
      <c r="K177" s="6">
        <f t="shared" si="18"/>
        <v>0</v>
      </c>
      <c r="L177" s="6">
        <f t="shared" si="18"/>
        <v>0</v>
      </c>
      <c r="M177" s="6">
        <f t="shared" si="17"/>
        <v>0</v>
      </c>
      <c r="N177" s="6" t="str">
        <f t="shared" si="15"/>
        <v/>
      </c>
      <c r="O177" s="6" t="str">
        <f t="shared" si="16"/>
        <v/>
      </c>
    </row>
    <row r="178" spans="1:15">
      <c r="A178" s="4"/>
      <c r="B178" s="5"/>
      <c r="C178" s="4"/>
      <c r="D178" s="4"/>
      <c r="E178" s="4"/>
      <c r="F178" s="6"/>
      <c r="H178">
        <f t="shared" si="13"/>
        <v>0</v>
      </c>
      <c r="I178" t="e">
        <f t="shared" si="14"/>
        <v>#VALUE!</v>
      </c>
      <c r="J178" s="6">
        <f t="shared" si="18"/>
        <v>0</v>
      </c>
      <c r="K178" s="6">
        <f t="shared" si="18"/>
        <v>0</v>
      </c>
      <c r="L178" s="6">
        <f t="shared" si="18"/>
        <v>0</v>
      </c>
      <c r="M178" s="6">
        <f t="shared" si="17"/>
        <v>0</v>
      </c>
      <c r="N178" s="6" t="str">
        <f t="shared" si="15"/>
        <v/>
      </c>
      <c r="O178" s="6" t="str">
        <f t="shared" si="16"/>
        <v/>
      </c>
    </row>
    <row r="179" spans="1:15">
      <c r="A179" s="4"/>
      <c r="B179" s="5"/>
      <c r="C179" s="4"/>
      <c r="D179" s="4"/>
      <c r="E179" s="4"/>
      <c r="F179" s="6"/>
      <c r="H179">
        <f t="shared" si="13"/>
        <v>0</v>
      </c>
      <c r="I179" t="e">
        <f t="shared" si="14"/>
        <v>#VALUE!</v>
      </c>
      <c r="J179" s="6">
        <f t="shared" si="18"/>
        <v>0</v>
      </c>
      <c r="K179" s="6">
        <f t="shared" si="18"/>
        <v>0</v>
      </c>
      <c r="L179" s="6">
        <f t="shared" si="18"/>
        <v>0</v>
      </c>
      <c r="M179" s="6">
        <f t="shared" si="17"/>
        <v>0</v>
      </c>
      <c r="N179" s="6" t="str">
        <f t="shared" si="15"/>
        <v/>
      </c>
      <c r="O179" s="6" t="str">
        <f t="shared" si="16"/>
        <v/>
      </c>
    </row>
    <row r="180" spans="1:15">
      <c r="A180" s="4"/>
      <c r="B180" s="5"/>
      <c r="C180" s="4"/>
      <c r="D180" s="4"/>
      <c r="E180" s="4"/>
      <c r="F180" s="6"/>
      <c r="H180">
        <f t="shared" si="13"/>
        <v>0</v>
      </c>
      <c r="I180" t="e">
        <f t="shared" si="14"/>
        <v>#VALUE!</v>
      </c>
      <c r="J180" s="6">
        <f t="shared" si="18"/>
        <v>0</v>
      </c>
      <c r="K180" s="6">
        <f t="shared" si="18"/>
        <v>0</v>
      </c>
      <c r="L180" s="6">
        <f t="shared" si="18"/>
        <v>0</v>
      </c>
      <c r="M180" s="6">
        <f t="shared" si="17"/>
        <v>0</v>
      </c>
      <c r="N180" s="6" t="str">
        <f t="shared" si="15"/>
        <v/>
      </c>
      <c r="O180" s="6" t="str">
        <f t="shared" si="16"/>
        <v/>
      </c>
    </row>
    <row r="181" spans="1:15">
      <c r="A181" s="4"/>
      <c r="B181" s="5"/>
      <c r="C181" s="4"/>
      <c r="D181" s="4"/>
      <c r="E181" s="4"/>
      <c r="F181" s="6"/>
      <c r="H181">
        <f t="shared" si="13"/>
        <v>0</v>
      </c>
      <c r="I181" t="e">
        <f t="shared" si="14"/>
        <v>#VALUE!</v>
      </c>
      <c r="J181" s="6">
        <f t="shared" si="18"/>
        <v>0</v>
      </c>
      <c r="K181" s="6">
        <f t="shared" si="18"/>
        <v>0</v>
      </c>
      <c r="L181" s="6">
        <f t="shared" si="18"/>
        <v>0</v>
      </c>
      <c r="M181" s="6">
        <f t="shared" si="17"/>
        <v>0</v>
      </c>
      <c r="N181" s="6" t="str">
        <f t="shared" si="15"/>
        <v/>
      </c>
      <c r="O181" s="6" t="str">
        <f t="shared" si="16"/>
        <v/>
      </c>
    </row>
    <row r="182" spans="1:15">
      <c r="A182" s="4"/>
      <c r="B182" s="5"/>
      <c r="C182" s="4"/>
      <c r="D182" s="4"/>
      <c r="E182" s="4"/>
      <c r="F182" s="6"/>
      <c r="H182">
        <f t="shared" si="13"/>
        <v>0</v>
      </c>
      <c r="I182" t="e">
        <f t="shared" si="14"/>
        <v>#VALUE!</v>
      </c>
      <c r="J182" s="6">
        <f t="shared" si="18"/>
        <v>0</v>
      </c>
      <c r="K182" s="6">
        <f t="shared" si="18"/>
        <v>0</v>
      </c>
      <c r="L182" s="6">
        <f t="shared" si="18"/>
        <v>0</v>
      </c>
      <c r="M182" s="6">
        <f t="shared" si="17"/>
        <v>0</v>
      </c>
      <c r="N182" s="6" t="str">
        <f t="shared" si="15"/>
        <v/>
      </c>
      <c r="O182" s="6" t="str">
        <f t="shared" si="16"/>
        <v/>
      </c>
    </row>
    <row r="183" spans="1:15">
      <c r="A183" s="4"/>
      <c r="B183" s="5"/>
      <c r="C183" s="4"/>
      <c r="D183" s="4"/>
      <c r="E183" s="4"/>
      <c r="F183" s="6"/>
      <c r="H183">
        <f t="shared" si="13"/>
        <v>0</v>
      </c>
      <c r="I183" t="e">
        <f t="shared" si="14"/>
        <v>#VALUE!</v>
      </c>
      <c r="J183" s="6">
        <f t="shared" si="18"/>
        <v>0</v>
      </c>
      <c r="K183" s="6">
        <f t="shared" si="18"/>
        <v>0</v>
      </c>
      <c r="L183" s="6">
        <f t="shared" si="18"/>
        <v>0</v>
      </c>
      <c r="M183" s="6">
        <f t="shared" si="17"/>
        <v>0</v>
      </c>
      <c r="N183" s="6" t="str">
        <f t="shared" si="15"/>
        <v/>
      </c>
      <c r="O183" s="6" t="str">
        <f t="shared" si="16"/>
        <v/>
      </c>
    </row>
    <row r="184" spans="1:15">
      <c r="A184" s="4"/>
      <c r="B184" s="5"/>
      <c r="C184" s="4"/>
      <c r="D184" s="4"/>
      <c r="E184" s="4"/>
      <c r="F184" s="6"/>
      <c r="H184">
        <f t="shared" si="13"/>
        <v>0</v>
      </c>
      <c r="I184" t="e">
        <f t="shared" si="14"/>
        <v>#VALUE!</v>
      </c>
      <c r="J184" s="6">
        <f t="shared" si="18"/>
        <v>0</v>
      </c>
      <c r="K184" s="6">
        <f t="shared" si="18"/>
        <v>0</v>
      </c>
      <c r="L184" s="6">
        <f t="shared" si="18"/>
        <v>0</v>
      </c>
      <c r="M184" s="6">
        <f t="shared" si="17"/>
        <v>0</v>
      </c>
      <c r="N184" s="6" t="str">
        <f t="shared" si="15"/>
        <v/>
      </c>
      <c r="O184" s="6" t="str">
        <f t="shared" si="16"/>
        <v/>
      </c>
    </row>
    <row r="185" spans="1:15">
      <c r="A185" s="4"/>
      <c r="B185" s="5"/>
      <c r="C185" s="4"/>
      <c r="D185" s="4"/>
      <c r="E185" s="4"/>
      <c r="F185" s="6"/>
      <c r="H185">
        <f t="shared" si="13"/>
        <v>0</v>
      </c>
      <c r="I185" t="e">
        <f t="shared" si="14"/>
        <v>#VALUE!</v>
      </c>
      <c r="J185" s="6">
        <f t="shared" si="18"/>
        <v>0</v>
      </c>
      <c r="K185" s="6">
        <f t="shared" si="18"/>
        <v>0</v>
      </c>
      <c r="L185" s="6">
        <f t="shared" si="18"/>
        <v>0</v>
      </c>
      <c r="M185" s="6">
        <f t="shared" si="17"/>
        <v>0</v>
      </c>
      <c r="N185" s="6" t="str">
        <f t="shared" si="15"/>
        <v/>
      </c>
      <c r="O185" s="6" t="str">
        <f t="shared" si="16"/>
        <v/>
      </c>
    </row>
    <row r="186" spans="1:15">
      <c r="A186" s="4"/>
      <c r="B186" s="5"/>
      <c r="C186" s="4"/>
      <c r="D186" s="4"/>
      <c r="E186" s="4"/>
      <c r="F186" s="6"/>
      <c r="H186">
        <f t="shared" si="13"/>
        <v>0</v>
      </c>
      <c r="I186" t="e">
        <f t="shared" si="14"/>
        <v>#VALUE!</v>
      </c>
      <c r="J186" s="6">
        <f t="shared" si="18"/>
        <v>0</v>
      </c>
      <c r="K186" s="6">
        <f t="shared" si="18"/>
        <v>0</v>
      </c>
      <c r="L186" s="6">
        <f t="shared" si="18"/>
        <v>0</v>
      </c>
      <c r="M186" s="6">
        <f t="shared" si="17"/>
        <v>0</v>
      </c>
      <c r="N186" s="6" t="str">
        <f t="shared" si="15"/>
        <v/>
      </c>
      <c r="O186" s="6" t="str">
        <f t="shared" si="16"/>
        <v/>
      </c>
    </row>
    <row r="187" spans="1:15">
      <c r="A187" s="4"/>
      <c r="B187" s="5"/>
      <c r="C187" s="4"/>
      <c r="D187" s="4"/>
      <c r="E187" s="4"/>
      <c r="F187" s="6"/>
      <c r="H187">
        <f t="shared" si="13"/>
        <v>0</v>
      </c>
      <c r="I187" t="e">
        <f t="shared" si="14"/>
        <v>#VALUE!</v>
      </c>
      <c r="J187" s="6">
        <f t="shared" si="18"/>
        <v>0</v>
      </c>
      <c r="K187" s="6">
        <f t="shared" si="18"/>
        <v>0</v>
      </c>
      <c r="L187" s="6">
        <f t="shared" si="18"/>
        <v>0</v>
      </c>
      <c r="M187" s="6">
        <f t="shared" si="17"/>
        <v>0</v>
      </c>
      <c r="N187" s="6" t="str">
        <f t="shared" si="15"/>
        <v/>
      </c>
      <c r="O187" s="6" t="str">
        <f t="shared" si="16"/>
        <v/>
      </c>
    </row>
    <row r="188" spans="1:15">
      <c r="A188" s="4"/>
      <c r="B188" s="5"/>
      <c r="C188" s="4"/>
      <c r="D188" s="4"/>
      <c r="E188" s="4"/>
      <c r="F188" s="6"/>
      <c r="H188">
        <f t="shared" si="13"/>
        <v>0</v>
      </c>
      <c r="I188" t="e">
        <f t="shared" si="14"/>
        <v>#VALUE!</v>
      </c>
      <c r="J188" s="6">
        <f t="shared" si="18"/>
        <v>0</v>
      </c>
      <c r="K188" s="6">
        <f t="shared" si="18"/>
        <v>0</v>
      </c>
      <c r="L188" s="6">
        <f t="shared" si="18"/>
        <v>0</v>
      </c>
      <c r="M188" s="6">
        <f t="shared" si="17"/>
        <v>0</v>
      </c>
      <c r="N188" s="6" t="str">
        <f t="shared" si="15"/>
        <v/>
      </c>
      <c r="O188" s="6" t="str">
        <f t="shared" si="16"/>
        <v/>
      </c>
    </row>
    <row r="189" spans="1:15">
      <c r="A189" s="4"/>
      <c r="B189" s="5"/>
      <c r="C189" s="4"/>
      <c r="D189" s="4"/>
      <c r="E189" s="4"/>
      <c r="F189" s="6"/>
      <c r="H189">
        <f t="shared" si="13"/>
        <v>0</v>
      </c>
      <c r="I189" t="e">
        <f t="shared" si="14"/>
        <v>#VALUE!</v>
      </c>
      <c r="J189" s="6">
        <f t="shared" si="18"/>
        <v>0</v>
      </c>
      <c r="K189" s="6">
        <f t="shared" si="18"/>
        <v>0</v>
      </c>
      <c r="L189" s="6">
        <f t="shared" si="18"/>
        <v>0</v>
      </c>
      <c r="M189" s="6">
        <f t="shared" si="17"/>
        <v>0</v>
      </c>
      <c r="N189" s="6" t="str">
        <f t="shared" si="15"/>
        <v/>
      </c>
      <c r="O189" s="6" t="str">
        <f t="shared" si="16"/>
        <v/>
      </c>
    </row>
    <row r="190" spans="1:15">
      <c r="A190" s="4"/>
      <c r="B190" s="5"/>
      <c r="C190" s="4"/>
      <c r="D190" s="4"/>
      <c r="E190" s="4"/>
      <c r="F190" s="6"/>
      <c r="H190">
        <f t="shared" si="13"/>
        <v>0</v>
      </c>
      <c r="I190" t="e">
        <f t="shared" si="14"/>
        <v>#VALUE!</v>
      </c>
      <c r="J190" s="6">
        <f t="shared" si="18"/>
        <v>0</v>
      </c>
      <c r="K190" s="6">
        <f t="shared" si="18"/>
        <v>0</v>
      </c>
      <c r="L190" s="6">
        <f t="shared" si="18"/>
        <v>0</v>
      </c>
      <c r="M190" s="6">
        <f t="shared" si="17"/>
        <v>0</v>
      </c>
      <c r="N190" s="6" t="str">
        <f t="shared" si="15"/>
        <v/>
      </c>
      <c r="O190" s="6" t="str">
        <f t="shared" si="16"/>
        <v/>
      </c>
    </row>
    <row r="191" spans="1:15">
      <c r="A191" s="4"/>
      <c r="B191" s="5"/>
      <c r="C191" s="4"/>
      <c r="D191" s="4"/>
      <c r="E191" s="4"/>
      <c r="F191" s="6"/>
      <c r="H191">
        <f t="shared" si="13"/>
        <v>0</v>
      </c>
      <c r="I191" t="e">
        <f t="shared" si="14"/>
        <v>#VALUE!</v>
      </c>
      <c r="J191" s="6">
        <f t="shared" si="18"/>
        <v>0</v>
      </c>
      <c r="K191" s="6">
        <f t="shared" si="18"/>
        <v>0</v>
      </c>
      <c r="L191" s="6">
        <f t="shared" si="18"/>
        <v>0</v>
      </c>
      <c r="M191" s="6">
        <f t="shared" si="17"/>
        <v>0</v>
      </c>
      <c r="N191" s="6" t="str">
        <f t="shared" si="15"/>
        <v/>
      </c>
      <c r="O191" s="6" t="str">
        <f t="shared" si="16"/>
        <v/>
      </c>
    </row>
    <row r="192" spans="1:15">
      <c r="A192" s="4"/>
      <c r="B192" s="5"/>
      <c r="C192" s="4"/>
      <c r="D192" s="4"/>
      <c r="E192" s="4"/>
      <c r="F192" s="6"/>
      <c r="H192">
        <f t="shared" si="13"/>
        <v>0</v>
      </c>
      <c r="I192" t="e">
        <f t="shared" si="14"/>
        <v>#VALUE!</v>
      </c>
      <c r="J192" s="6">
        <f t="shared" si="18"/>
        <v>0</v>
      </c>
      <c r="K192" s="6">
        <f t="shared" si="18"/>
        <v>0</v>
      </c>
      <c r="L192" s="6">
        <f t="shared" si="18"/>
        <v>0</v>
      </c>
      <c r="M192" s="6">
        <f t="shared" si="17"/>
        <v>0</v>
      </c>
      <c r="N192" s="6" t="str">
        <f t="shared" si="15"/>
        <v/>
      </c>
      <c r="O192" s="6" t="str">
        <f t="shared" si="16"/>
        <v/>
      </c>
    </row>
    <row r="193" spans="1:15">
      <c r="A193" s="4"/>
      <c r="B193" s="5"/>
      <c r="C193" s="4"/>
      <c r="D193" s="4"/>
      <c r="E193" s="4"/>
      <c r="F193" s="6"/>
      <c r="H193">
        <f t="shared" si="13"/>
        <v>0</v>
      </c>
      <c r="I193" t="e">
        <f t="shared" si="14"/>
        <v>#VALUE!</v>
      </c>
      <c r="J193" s="6">
        <f t="shared" si="18"/>
        <v>0</v>
      </c>
      <c r="K193" s="6">
        <f t="shared" si="18"/>
        <v>0</v>
      </c>
      <c r="L193" s="6">
        <f t="shared" si="18"/>
        <v>0</v>
      </c>
      <c r="M193" s="6">
        <f t="shared" si="17"/>
        <v>0</v>
      </c>
      <c r="N193" s="6" t="str">
        <f t="shared" si="15"/>
        <v/>
      </c>
      <c r="O193" s="6" t="str">
        <f t="shared" si="16"/>
        <v/>
      </c>
    </row>
    <row r="194" spans="1:15">
      <c r="A194" s="4"/>
      <c r="B194" s="5"/>
      <c r="C194" s="4"/>
      <c r="D194" s="4"/>
      <c r="E194" s="4"/>
      <c r="F194" s="6"/>
      <c r="H194">
        <f t="shared" si="13"/>
        <v>0</v>
      </c>
      <c r="I194" t="e">
        <f t="shared" si="14"/>
        <v>#VALUE!</v>
      </c>
      <c r="J194" s="6">
        <f t="shared" si="18"/>
        <v>0</v>
      </c>
      <c r="K194" s="6">
        <f t="shared" si="18"/>
        <v>0</v>
      </c>
      <c r="L194" s="6">
        <f t="shared" si="18"/>
        <v>0</v>
      </c>
      <c r="M194" s="6">
        <f t="shared" si="17"/>
        <v>0</v>
      </c>
      <c r="N194" s="6" t="str">
        <f t="shared" si="15"/>
        <v/>
      </c>
      <c r="O194" s="6" t="str">
        <f t="shared" si="16"/>
        <v/>
      </c>
    </row>
    <row r="195" spans="1:15">
      <c r="A195" s="4"/>
      <c r="B195" s="5"/>
      <c r="C195" s="4"/>
      <c r="D195" s="4"/>
      <c r="E195" s="4"/>
      <c r="F195" s="6"/>
      <c r="H195">
        <f t="shared" si="13"/>
        <v>0</v>
      </c>
      <c r="I195" t="e">
        <f t="shared" si="14"/>
        <v>#VALUE!</v>
      </c>
      <c r="J195" s="6">
        <f t="shared" si="18"/>
        <v>0</v>
      </c>
      <c r="K195" s="6">
        <f t="shared" si="18"/>
        <v>0</v>
      </c>
      <c r="L195" s="6">
        <f t="shared" si="18"/>
        <v>0</v>
      </c>
      <c r="M195" s="6">
        <f t="shared" si="17"/>
        <v>0</v>
      </c>
      <c r="N195" s="6" t="str">
        <f t="shared" si="15"/>
        <v/>
      </c>
      <c r="O195" s="6" t="str">
        <f t="shared" si="16"/>
        <v/>
      </c>
    </row>
    <row r="196" spans="1:15">
      <c r="A196" s="4"/>
      <c r="B196" s="5"/>
      <c r="C196" s="4"/>
      <c r="D196" s="4"/>
      <c r="E196" s="4"/>
      <c r="F196" s="6"/>
      <c r="H196">
        <f t="shared" si="13"/>
        <v>0</v>
      </c>
      <c r="I196" t="e">
        <f t="shared" si="14"/>
        <v>#VALUE!</v>
      </c>
      <c r="J196" s="6">
        <f t="shared" si="18"/>
        <v>0</v>
      </c>
      <c r="K196" s="6">
        <f t="shared" si="18"/>
        <v>0</v>
      </c>
      <c r="L196" s="6">
        <f t="shared" si="18"/>
        <v>0</v>
      </c>
      <c r="M196" s="6">
        <f t="shared" si="17"/>
        <v>0</v>
      </c>
      <c r="N196" s="6" t="str">
        <f t="shared" si="15"/>
        <v/>
      </c>
      <c r="O196" s="6" t="str">
        <f t="shared" si="16"/>
        <v/>
      </c>
    </row>
    <row r="197" spans="1:15">
      <c r="A197" s="4"/>
      <c r="B197" s="5"/>
      <c r="C197" s="4"/>
      <c r="D197" s="4"/>
      <c r="E197" s="4"/>
      <c r="F197" s="6"/>
      <c r="H197">
        <f t="shared" si="13"/>
        <v>0</v>
      </c>
      <c r="I197" t="e">
        <f t="shared" si="14"/>
        <v>#VALUE!</v>
      </c>
      <c r="J197" s="6">
        <f t="shared" si="18"/>
        <v>0</v>
      </c>
      <c r="K197" s="6">
        <f t="shared" si="18"/>
        <v>0</v>
      </c>
      <c r="L197" s="6">
        <f t="shared" si="18"/>
        <v>0</v>
      </c>
      <c r="M197" s="6">
        <f t="shared" si="17"/>
        <v>0</v>
      </c>
      <c r="N197" s="6" t="str">
        <f t="shared" si="15"/>
        <v/>
      </c>
      <c r="O197" s="6" t="str">
        <f t="shared" si="16"/>
        <v/>
      </c>
    </row>
    <row r="198" spans="1:15">
      <c r="A198" s="4"/>
      <c r="B198" s="5"/>
      <c r="C198" s="4"/>
      <c r="D198" s="4"/>
      <c r="E198" s="4"/>
      <c r="F198" s="6"/>
      <c r="H198">
        <f t="shared" si="13"/>
        <v>0</v>
      </c>
      <c r="I198" t="e">
        <f t="shared" si="14"/>
        <v>#VALUE!</v>
      </c>
      <c r="J198" s="6">
        <f t="shared" si="18"/>
        <v>0</v>
      </c>
      <c r="K198" s="6">
        <f t="shared" si="18"/>
        <v>0</v>
      </c>
      <c r="L198" s="6">
        <f t="shared" si="18"/>
        <v>0</v>
      </c>
      <c r="M198" s="6">
        <f t="shared" si="17"/>
        <v>0</v>
      </c>
      <c r="N198" s="6" t="str">
        <f t="shared" si="15"/>
        <v/>
      </c>
      <c r="O198" s="6" t="str">
        <f t="shared" si="16"/>
        <v/>
      </c>
    </row>
    <row r="199" spans="1:15">
      <c r="A199" s="4"/>
      <c r="B199" s="5"/>
      <c r="C199" s="4"/>
      <c r="D199" s="4"/>
      <c r="E199" s="4"/>
      <c r="F199" s="6"/>
      <c r="H199">
        <f t="shared" ref="H199:H262" si="19">A199</f>
        <v>0</v>
      </c>
      <c r="I199" t="e">
        <f t="shared" ref="I199:I262" si="20">LEFT(B199,SEARCH(" ",B199,1)-1)</f>
        <v>#VALUE!</v>
      </c>
      <c r="J199" s="6">
        <f t="shared" si="18"/>
        <v>0</v>
      </c>
      <c r="K199" s="6">
        <f t="shared" si="18"/>
        <v>0</v>
      </c>
      <c r="L199" s="6">
        <f t="shared" si="18"/>
        <v>0</v>
      </c>
      <c r="M199" s="6">
        <f t="shared" si="17"/>
        <v>0</v>
      </c>
      <c r="N199" s="6" t="str">
        <f t="shared" ref="N199:N262" si="21">TRIM($B$1)</f>
        <v/>
      </c>
      <c r="O199" s="6" t="str">
        <f t="shared" ref="O199:O262" si="22">TRIM($C$1)</f>
        <v/>
      </c>
    </row>
    <row r="200" spans="1:15">
      <c r="A200" s="4"/>
      <c r="B200" s="5"/>
      <c r="C200" s="4"/>
      <c r="D200" s="4"/>
      <c r="E200" s="4"/>
      <c r="F200" s="6"/>
      <c r="H200">
        <f t="shared" si="19"/>
        <v>0</v>
      </c>
      <c r="I200" t="e">
        <f t="shared" si="20"/>
        <v>#VALUE!</v>
      </c>
      <c r="J200" s="6">
        <f t="shared" si="18"/>
        <v>0</v>
      </c>
      <c r="K200" s="6">
        <f t="shared" si="18"/>
        <v>0</v>
      </c>
      <c r="L200" s="6">
        <f t="shared" si="18"/>
        <v>0</v>
      </c>
      <c r="M200" s="6">
        <f t="shared" si="17"/>
        <v>0</v>
      </c>
      <c r="N200" s="6" t="str">
        <f t="shared" si="21"/>
        <v/>
      </c>
      <c r="O200" s="6" t="str">
        <f t="shared" si="22"/>
        <v/>
      </c>
    </row>
    <row r="201" spans="1:15">
      <c r="A201" s="4"/>
      <c r="B201" s="5"/>
      <c r="C201" s="4"/>
      <c r="D201" s="4"/>
      <c r="E201" s="4"/>
      <c r="F201" s="6"/>
      <c r="H201">
        <f t="shared" si="19"/>
        <v>0</v>
      </c>
      <c r="I201" t="e">
        <f t="shared" si="20"/>
        <v>#VALUE!</v>
      </c>
      <c r="J201" s="6">
        <f t="shared" si="18"/>
        <v>0</v>
      </c>
      <c r="K201" s="6">
        <f t="shared" si="18"/>
        <v>0</v>
      </c>
      <c r="L201" s="6">
        <f t="shared" si="18"/>
        <v>0</v>
      </c>
      <c r="M201" s="6">
        <f t="shared" si="17"/>
        <v>0</v>
      </c>
      <c r="N201" s="6" t="str">
        <f t="shared" si="21"/>
        <v/>
      </c>
      <c r="O201" s="6" t="str">
        <f t="shared" si="22"/>
        <v/>
      </c>
    </row>
    <row r="202" spans="1:15">
      <c r="A202" s="4"/>
      <c r="B202" s="5"/>
      <c r="C202" s="4"/>
      <c r="D202" s="4"/>
      <c r="E202" s="4"/>
      <c r="F202" s="6"/>
      <c r="H202">
        <f t="shared" si="19"/>
        <v>0</v>
      </c>
      <c r="I202" t="e">
        <f t="shared" si="20"/>
        <v>#VALUE!</v>
      </c>
      <c r="J202" s="6">
        <f t="shared" si="18"/>
        <v>0</v>
      </c>
      <c r="K202" s="6">
        <f t="shared" si="18"/>
        <v>0</v>
      </c>
      <c r="L202" s="6">
        <f t="shared" si="18"/>
        <v>0</v>
      </c>
      <c r="M202" s="6">
        <f t="shared" si="17"/>
        <v>0</v>
      </c>
      <c r="N202" s="6" t="str">
        <f t="shared" si="21"/>
        <v/>
      </c>
      <c r="O202" s="6" t="str">
        <f t="shared" si="22"/>
        <v/>
      </c>
    </row>
    <row r="203" spans="1:15">
      <c r="A203" s="4"/>
      <c r="B203" s="5"/>
      <c r="C203" s="4"/>
      <c r="D203" s="4"/>
      <c r="E203" s="4"/>
      <c r="F203" s="6"/>
      <c r="H203">
        <f t="shared" si="19"/>
        <v>0</v>
      </c>
      <c r="I203" t="e">
        <f t="shared" si="20"/>
        <v>#VALUE!</v>
      </c>
      <c r="J203" s="6">
        <f t="shared" si="18"/>
        <v>0</v>
      </c>
      <c r="K203" s="6">
        <f t="shared" si="18"/>
        <v>0</v>
      </c>
      <c r="L203" s="6">
        <f t="shared" si="18"/>
        <v>0</v>
      </c>
      <c r="M203" s="6">
        <f t="shared" si="17"/>
        <v>0</v>
      </c>
      <c r="N203" s="6" t="str">
        <f t="shared" si="21"/>
        <v/>
      </c>
      <c r="O203" s="6" t="str">
        <f t="shared" si="22"/>
        <v/>
      </c>
    </row>
    <row r="204" spans="1:15">
      <c r="A204" s="4"/>
      <c r="B204" s="5"/>
      <c r="C204" s="4"/>
      <c r="D204" s="4"/>
      <c r="E204" s="4"/>
      <c r="F204" s="6"/>
      <c r="H204">
        <f t="shared" si="19"/>
        <v>0</v>
      </c>
      <c r="I204" t="e">
        <f t="shared" si="20"/>
        <v>#VALUE!</v>
      </c>
      <c r="J204" s="6">
        <f t="shared" si="18"/>
        <v>0</v>
      </c>
      <c r="K204" s="6">
        <f t="shared" si="18"/>
        <v>0</v>
      </c>
      <c r="L204" s="6">
        <f t="shared" si="18"/>
        <v>0</v>
      </c>
      <c r="M204" s="6">
        <f t="shared" si="17"/>
        <v>0</v>
      </c>
      <c r="N204" s="6" t="str">
        <f t="shared" si="21"/>
        <v/>
      </c>
      <c r="O204" s="6" t="str">
        <f t="shared" si="22"/>
        <v/>
      </c>
    </row>
    <row r="205" spans="1:15">
      <c r="A205" s="4"/>
      <c r="B205" s="5"/>
      <c r="C205" s="4"/>
      <c r="D205" s="4"/>
      <c r="E205" s="4"/>
      <c r="F205" s="6"/>
      <c r="H205">
        <f t="shared" si="19"/>
        <v>0</v>
      </c>
      <c r="I205" t="e">
        <f t="shared" si="20"/>
        <v>#VALUE!</v>
      </c>
      <c r="J205" s="6">
        <f t="shared" si="18"/>
        <v>0</v>
      </c>
      <c r="K205" s="6">
        <f t="shared" si="18"/>
        <v>0</v>
      </c>
      <c r="L205" s="6">
        <f t="shared" si="18"/>
        <v>0</v>
      </c>
      <c r="M205" s="6">
        <f t="shared" si="17"/>
        <v>0</v>
      </c>
      <c r="N205" s="6" t="str">
        <f t="shared" si="21"/>
        <v/>
      </c>
      <c r="O205" s="6" t="str">
        <f t="shared" si="22"/>
        <v/>
      </c>
    </row>
    <row r="206" spans="1:15">
      <c r="A206" s="4"/>
      <c r="B206" s="5"/>
      <c r="C206" s="4"/>
      <c r="D206" s="4"/>
      <c r="E206" s="4"/>
      <c r="F206" s="6"/>
      <c r="H206">
        <f t="shared" si="19"/>
        <v>0</v>
      </c>
      <c r="I206" t="e">
        <f t="shared" si="20"/>
        <v>#VALUE!</v>
      </c>
      <c r="J206" s="6">
        <f t="shared" si="18"/>
        <v>0</v>
      </c>
      <c r="K206" s="6">
        <f t="shared" si="18"/>
        <v>0</v>
      </c>
      <c r="L206" s="6">
        <f t="shared" si="18"/>
        <v>0</v>
      </c>
      <c r="M206" s="6">
        <f t="shared" si="17"/>
        <v>0</v>
      </c>
      <c r="N206" s="6" t="str">
        <f t="shared" si="21"/>
        <v/>
      </c>
      <c r="O206" s="6" t="str">
        <f t="shared" si="22"/>
        <v/>
      </c>
    </row>
    <row r="207" spans="1:15">
      <c r="A207" s="4"/>
      <c r="B207" s="5"/>
      <c r="C207" s="4"/>
      <c r="D207" s="4"/>
      <c r="E207" s="4"/>
      <c r="F207" s="6"/>
      <c r="H207">
        <f t="shared" si="19"/>
        <v>0</v>
      </c>
      <c r="I207" t="e">
        <f t="shared" si="20"/>
        <v>#VALUE!</v>
      </c>
      <c r="J207" s="6">
        <f t="shared" si="18"/>
        <v>0</v>
      </c>
      <c r="K207" s="6">
        <f t="shared" si="18"/>
        <v>0</v>
      </c>
      <c r="L207" s="6">
        <f t="shared" si="18"/>
        <v>0</v>
      </c>
      <c r="M207" s="6">
        <f t="shared" si="17"/>
        <v>0</v>
      </c>
      <c r="N207" s="6" t="str">
        <f t="shared" si="21"/>
        <v/>
      </c>
      <c r="O207" s="6" t="str">
        <f t="shared" si="22"/>
        <v/>
      </c>
    </row>
    <row r="208" spans="1:15">
      <c r="A208" s="4"/>
      <c r="B208" s="5"/>
      <c r="C208" s="4"/>
      <c r="D208" s="4"/>
      <c r="E208" s="4"/>
      <c r="F208" s="6"/>
      <c r="H208">
        <f t="shared" si="19"/>
        <v>0</v>
      </c>
      <c r="I208" t="e">
        <f t="shared" si="20"/>
        <v>#VALUE!</v>
      </c>
      <c r="J208" s="6">
        <f t="shared" si="18"/>
        <v>0</v>
      </c>
      <c r="K208" s="6">
        <f t="shared" si="18"/>
        <v>0</v>
      </c>
      <c r="L208" s="6">
        <f t="shared" si="18"/>
        <v>0</v>
      </c>
      <c r="M208" s="6">
        <f t="shared" si="17"/>
        <v>0</v>
      </c>
      <c r="N208" s="6" t="str">
        <f t="shared" si="21"/>
        <v/>
      </c>
      <c r="O208" s="6" t="str">
        <f t="shared" si="22"/>
        <v/>
      </c>
    </row>
    <row r="209" spans="1:15">
      <c r="A209" s="4"/>
      <c r="B209" s="5"/>
      <c r="C209" s="4"/>
      <c r="D209" s="4"/>
      <c r="E209" s="4"/>
      <c r="F209" s="6"/>
      <c r="H209">
        <f t="shared" si="19"/>
        <v>0</v>
      </c>
      <c r="I209" t="e">
        <f t="shared" si="20"/>
        <v>#VALUE!</v>
      </c>
      <c r="J209" s="6">
        <f t="shared" si="18"/>
        <v>0</v>
      </c>
      <c r="K209" s="6">
        <f t="shared" si="18"/>
        <v>0</v>
      </c>
      <c r="L209" s="6">
        <f t="shared" si="18"/>
        <v>0</v>
      </c>
      <c r="M209" s="6">
        <f t="shared" si="17"/>
        <v>0</v>
      </c>
      <c r="N209" s="6" t="str">
        <f t="shared" si="21"/>
        <v/>
      </c>
      <c r="O209" s="6" t="str">
        <f t="shared" si="22"/>
        <v/>
      </c>
    </row>
    <row r="210" spans="1:15">
      <c r="A210" s="4"/>
      <c r="B210" s="5"/>
      <c r="C210" s="4"/>
      <c r="D210" s="4"/>
      <c r="E210" s="4"/>
      <c r="F210" s="6"/>
      <c r="H210">
        <f t="shared" si="19"/>
        <v>0</v>
      </c>
      <c r="I210" t="e">
        <f t="shared" si="20"/>
        <v>#VALUE!</v>
      </c>
      <c r="J210" s="6">
        <f t="shared" si="18"/>
        <v>0</v>
      </c>
      <c r="K210" s="6">
        <f t="shared" si="18"/>
        <v>0</v>
      </c>
      <c r="L210" s="6">
        <f t="shared" si="18"/>
        <v>0</v>
      </c>
      <c r="M210" s="6">
        <f t="shared" si="17"/>
        <v>0</v>
      </c>
      <c r="N210" s="6" t="str">
        <f t="shared" si="21"/>
        <v/>
      </c>
      <c r="O210" s="6" t="str">
        <f t="shared" si="22"/>
        <v/>
      </c>
    </row>
    <row r="211" spans="1:15">
      <c r="A211" s="4"/>
      <c r="B211" s="5"/>
      <c r="C211" s="4"/>
      <c r="D211" s="4"/>
      <c r="E211" s="4"/>
      <c r="F211" s="6"/>
      <c r="H211">
        <f t="shared" si="19"/>
        <v>0</v>
      </c>
      <c r="I211" t="e">
        <f t="shared" si="20"/>
        <v>#VALUE!</v>
      </c>
      <c r="J211" s="6">
        <f t="shared" si="18"/>
        <v>0</v>
      </c>
      <c r="K211" s="6">
        <f t="shared" si="18"/>
        <v>0</v>
      </c>
      <c r="L211" s="6">
        <f t="shared" si="18"/>
        <v>0</v>
      </c>
      <c r="M211" s="6">
        <f t="shared" si="17"/>
        <v>0</v>
      </c>
      <c r="N211" s="6" t="str">
        <f t="shared" si="21"/>
        <v/>
      </c>
      <c r="O211" s="6" t="str">
        <f t="shared" si="22"/>
        <v/>
      </c>
    </row>
    <row r="212" spans="1:15">
      <c r="A212" s="4"/>
      <c r="B212" s="5"/>
      <c r="C212" s="4"/>
      <c r="D212" s="4"/>
      <c r="E212" s="4"/>
      <c r="F212" s="6"/>
      <c r="H212">
        <f t="shared" si="19"/>
        <v>0</v>
      </c>
      <c r="I212" t="e">
        <f t="shared" si="20"/>
        <v>#VALUE!</v>
      </c>
      <c r="J212" s="6">
        <f t="shared" si="18"/>
        <v>0</v>
      </c>
      <c r="K212" s="6">
        <f t="shared" si="18"/>
        <v>0</v>
      </c>
      <c r="L212" s="6">
        <f t="shared" si="18"/>
        <v>0</v>
      </c>
      <c r="M212" s="6">
        <f t="shared" si="17"/>
        <v>0</v>
      </c>
      <c r="N212" s="6" t="str">
        <f t="shared" si="21"/>
        <v/>
      </c>
      <c r="O212" s="6" t="str">
        <f t="shared" si="22"/>
        <v/>
      </c>
    </row>
    <row r="213" spans="1:15">
      <c r="A213" s="4"/>
      <c r="B213" s="5"/>
      <c r="C213" s="4"/>
      <c r="D213" s="4"/>
      <c r="E213" s="4"/>
      <c r="F213" s="6"/>
      <c r="H213">
        <f t="shared" si="19"/>
        <v>0</v>
      </c>
      <c r="I213" t="e">
        <f t="shared" si="20"/>
        <v>#VALUE!</v>
      </c>
      <c r="J213" s="6">
        <f t="shared" si="18"/>
        <v>0</v>
      </c>
      <c r="K213" s="6">
        <f t="shared" si="18"/>
        <v>0</v>
      </c>
      <c r="L213" s="6">
        <f t="shared" si="18"/>
        <v>0</v>
      </c>
      <c r="M213" s="6">
        <f t="shared" si="17"/>
        <v>0</v>
      </c>
      <c r="N213" s="6" t="str">
        <f t="shared" si="21"/>
        <v/>
      </c>
      <c r="O213" s="6" t="str">
        <f t="shared" si="22"/>
        <v/>
      </c>
    </row>
    <row r="214" spans="1:15">
      <c r="A214" s="4"/>
      <c r="B214" s="5"/>
      <c r="C214" s="4"/>
      <c r="D214" s="4"/>
      <c r="E214" s="4"/>
      <c r="F214" s="6"/>
      <c r="H214">
        <f t="shared" si="19"/>
        <v>0</v>
      </c>
      <c r="I214" t="e">
        <f t="shared" si="20"/>
        <v>#VALUE!</v>
      </c>
      <c r="J214" s="6">
        <f t="shared" si="18"/>
        <v>0</v>
      </c>
      <c r="K214" s="6">
        <f t="shared" si="18"/>
        <v>0</v>
      </c>
      <c r="L214" s="6">
        <f t="shared" si="18"/>
        <v>0</v>
      </c>
      <c r="M214" s="6">
        <f t="shared" si="17"/>
        <v>0</v>
      </c>
      <c r="N214" s="6" t="str">
        <f t="shared" si="21"/>
        <v/>
      </c>
      <c r="O214" s="6" t="str">
        <f t="shared" si="22"/>
        <v/>
      </c>
    </row>
    <row r="215" spans="1:15">
      <c r="A215" s="4"/>
      <c r="B215" s="5"/>
      <c r="C215" s="4"/>
      <c r="D215" s="4"/>
      <c r="E215" s="4"/>
      <c r="F215" s="6"/>
      <c r="H215">
        <f t="shared" si="19"/>
        <v>0</v>
      </c>
      <c r="I215" t="e">
        <f t="shared" si="20"/>
        <v>#VALUE!</v>
      </c>
      <c r="J215" s="6">
        <f t="shared" si="18"/>
        <v>0</v>
      </c>
      <c r="K215" s="6">
        <f t="shared" si="18"/>
        <v>0</v>
      </c>
      <c r="L215" s="6">
        <f t="shared" si="18"/>
        <v>0</v>
      </c>
      <c r="M215" s="6">
        <f t="shared" si="17"/>
        <v>0</v>
      </c>
      <c r="N215" s="6" t="str">
        <f t="shared" si="21"/>
        <v/>
      </c>
      <c r="O215" s="6" t="str">
        <f t="shared" si="22"/>
        <v/>
      </c>
    </row>
    <row r="216" spans="1:15">
      <c r="A216" s="4"/>
      <c r="B216" s="5"/>
      <c r="C216" s="4"/>
      <c r="D216" s="4"/>
      <c r="E216" s="4"/>
      <c r="F216" s="6"/>
      <c r="H216">
        <f t="shared" si="19"/>
        <v>0</v>
      </c>
      <c r="I216" t="e">
        <f t="shared" si="20"/>
        <v>#VALUE!</v>
      </c>
      <c r="J216" s="6">
        <f t="shared" si="18"/>
        <v>0</v>
      </c>
      <c r="K216" s="6">
        <f t="shared" si="18"/>
        <v>0</v>
      </c>
      <c r="L216" s="6">
        <f t="shared" si="18"/>
        <v>0</v>
      </c>
      <c r="M216" s="6">
        <f t="shared" si="17"/>
        <v>0</v>
      </c>
      <c r="N216" s="6" t="str">
        <f t="shared" si="21"/>
        <v/>
      </c>
      <c r="O216" s="6" t="str">
        <f t="shared" si="22"/>
        <v/>
      </c>
    </row>
    <row r="217" spans="1:15">
      <c r="A217" s="4"/>
      <c r="B217" s="5"/>
      <c r="C217" s="4"/>
      <c r="D217" s="4"/>
      <c r="E217" s="4"/>
      <c r="F217" s="6"/>
      <c r="H217">
        <f t="shared" si="19"/>
        <v>0</v>
      </c>
      <c r="I217" t="e">
        <f t="shared" si="20"/>
        <v>#VALUE!</v>
      </c>
      <c r="J217" s="6">
        <f t="shared" si="18"/>
        <v>0</v>
      </c>
      <c r="K217" s="6">
        <f t="shared" si="18"/>
        <v>0</v>
      </c>
      <c r="L217" s="6">
        <f t="shared" si="18"/>
        <v>0</v>
      </c>
      <c r="M217" s="6">
        <f t="shared" si="17"/>
        <v>0</v>
      </c>
      <c r="N217" s="6" t="str">
        <f t="shared" si="21"/>
        <v/>
      </c>
      <c r="O217" s="6" t="str">
        <f t="shared" si="22"/>
        <v/>
      </c>
    </row>
    <row r="218" spans="1:15">
      <c r="A218" s="4"/>
      <c r="B218" s="5"/>
      <c r="C218" s="4"/>
      <c r="D218" s="4"/>
      <c r="E218" s="4"/>
      <c r="F218" s="6"/>
      <c r="H218">
        <f t="shared" si="19"/>
        <v>0</v>
      </c>
      <c r="I218" t="e">
        <f t="shared" si="20"/>
        <v>#VALUE!</v>
      </c>
      <c r="J218" s="6">
        <f t="shared" si="18"/>
        <v>0</v>
      </c>
      <c r="K218" s="6">
        <f t="shared" si="18"/>
        <v>0</v>
      </c>
      <c r="L218" s="6">
        <f t="shared" si="18"/>
        <v>0</v>
      </c>
      <c r="M218" s="6">
        <f t="shared" si="17"/>
        <v>0</v>
      </c>
      <c r="N218" s="6" t="str">
        <f t="shared" si="21"/>
        <v/>
      </c>
      <c r="O218" s="6" t="str">
        <f t="shared" si="22"/>
        <v/>
      </c>
    </row>
    <row r="219" spans="1:15">
      <c r="A219" s="4"/>
      <c r="B219" s="5"/>
      <c r="C219" s="4"/>
      <c r="D219" s="4"/>
      <c r="E219" s="4"/>
      <c r="F219" s="6"/>
      <c r="H219">
        <f t="shared" si="19"/>
        <v>0</v>
      </c>
      <c r="I219" t="e">
        <f t="shared" si="20"/>
        <v>#VALUE!</v>
      </c>
      <c r="J219" s="6">
        <f t="shared" si="18"/>
        <v>0</v>
      </c>
      <c r="K219" s="6">
        <f t="shared" si="18"/>
        <v>0</v>
      </c>
      <c r="L219" s="6">
        <f t="shared" si="18"/>
        <v>0</v>
      </c>
      <c r="M219" s="6">
        <f t="shared" si="17"/>
        <v>0</v>
      </c>
      <c r="N219" s="6" t="str">
        <f t="shared" si="21"/>
        <v/>
      </c>
      <c r="O219" s="6" t="str">
        <f t="shared" si="22"/>
        <v/>
      </c>
    </row>
    <row r="220" spans="1:15">
      <c r="A220" s="4"/>
      <c r="B220" s="5"/>
      <c r="C220" s="4"/>
      <c r="D220" s="4"/>
      <c r="E220" s="4"/>
      <c r="F220" s="6"/>
      <c r="H220">
        <f t="shared" si="19"/>
        <v>0</v>
      </c>
      <c r="I220" t="e">
        <f t="shared" si="20"/>
        <v>#VALUE!</v>
      </c>
      <c r="J220" s="6">
        <f t="shared" si="18"/>
        <v>0</v>
      </c>
      <c r="K220" s="6">
        <f t="shared" si="18"/>
        <v>0</v>
      </c>
      <c r="L220" s="6">
        <f t="shared" si="18"/>
        <v>0</v>
      </c>
      <c r="M220" s="6">
        <f t="shared" si="17"/>
        <v>0</v>
      </c>
      <c r="N220" s="6" t="str">
        <f t="shared" si="21"/>
        <v/>
      </c>
      <c r="O220" s="6" t="str">
        <f t="shared" si="22"/>
        <v/>
      </c>
    </row>
    <row r="221" spans="1:15">
      <c r="A221" s="4"/>
      <c r="B221" s="5"/>
      <c r="C221" s="4"/>
      <c r="D221" s="4"/>
      <c r="E221" s="4"/>
      <c r="F221" s="6"/>
      <c r="H221">
        <f t="shared" si="19"/>
        <v>0</v>
      </c>
      <c r="I221" t="e">
        <f t="shared" si="20"/>
        <v>#VALUE!</v>
      </c>
      <c r="J221" s="6">
        <f t="shared" si="18"/>
        <v>0</v>
      </c>
      <c r="K221" s="6">
        <f t="shared" si="18"/>
        <v>0</v>
      </c>
      <c r="L221" s="6">
        <f t="shared" si="18"/>
        <v>0</v>
      </c>
      <c r="M221" s="6">
        <f t="shared" si="17"/>
        <v>0</v>
      </c>
      <c r="N221" s="6" t="str">
        <f t="shared" si="21"/>
        <v/>
      </c>
      <c r="O221" s="6" t="str">
        <f t="shared" si="22"/>
        <v/>
      </c>
    </row>
    <row r="222" spans="1:15">
      <c r="A222" s="4"/>
      <c r="B222" s="5"/>
      <c r="C222" s="4"/>
      <c r="D222" s="4"/>
      <c r="E222" s="4"/>
      <c r="F222" s="6"/>
      <c r="H222">
        <f t="shared" si="19"/>
        <v>0</v>
      </c>
      <c r="I222" t="e">
        <f t="shared" si="20"/>
        <v>#VALUE!</v>
      </c>
      <c r="J222" s="6">
        <f t="shared" si="18"/>
        <v>0</v>
      </c>
      <c r="K222" s="6">
        <f t="shared" si="18"/>
        <v>0</v>
      </c>
      <c r="L222" s="6">
        <f t="shared" si="18"/>
        <v>0</v>
      </c>
      <c r="M222" s="6">
        <f t="shared" si="17"/>
        <v>0</v>
      </c>
      <c r="N222" s="6" t="str">
        <f t="shared" si="21"/>
        <v/>
      </c>
      <c r="O222" s="6" t="str">
        <f t="shared" si="22"/>
        <v/>
      </c>
    </row>
    <row r="223" spans="1:15">
      <c r="A223" s="4"/>
      <c r="B223" s="5"/>
      <c r="C223" s="4"/>
      <c r="D223" s="4"/>
      <c r="E223" s="4"/>
      <c r="F223" s="6"/>
      <c r="H223">
        <f t="shared" si="19"/>
        <v>0</v>
      </c>
      <c r="I223" t="e">
        <f t="shared" si="20"/>
        <v>#VALUE!</v>
      </c>
      <c r="J223" s="6">
        <f t="shared" si="18"/>
        <v>0</v>
      </c>
      <c r="K223" s="6">
        <f t="shared" si="18"/>
        <v>0</v>
      </c>
      <c r="L223" s="6">
        <f t="shared" si="18"/>
        <v>0</v>
      </c>
      <c r="M223" s="6">
        <f t="shared" si="17"/>
        <v>0</v>
      </c>
      <c r="N223" s="6" t="str">
        <f t="shared" si="21"/>
        <v/>
      </c>
      <c r="O223" s="6" t="str">
        <f t="shared" si="22"/>
        <v/>
      </c>
    </row>
    <row r="224" spans="1:15">
      <c r="A224" s="4"/>
      <c r="B224" s="5"/>
      <c r="C224" s="4"/>
      <c r="D224" s="4"/>
      <c r="E224" s="4"/>
      <c r="F224" s="6"/>
      <c r="H224">
        <f t="shared" si="19"/>
        <v>0</v>
      </c>
      <c r="I224" t="e">
        <f t="shared" si="20"/>
        <v>#VALUE!</v>
      </c>
      <c r="J224" s="6">
        <f t="shared" si="18"/>
        <v>0</v>
      </c>
      <c r="K224" s="6">
        <f t="shared" si="18"/>
        <v>0</v>
      </c>
      <c r="L224" s="6">
        <f t="shared" si="18"/>
        <v>0</v>
      </c>
      <c r="M224" s="6">
        <f t="shared" si="17"/>
        <v>0</v>
      </c>
      <c r="N224" s="6" t="str">
        <f t="shared" si="21"/>
        <v/>
      </c>
      <c r="O224" s="6" t="str">
        <f t="shared" si="22"/>
        <v/>
      </c>
    </row>
    <row r="225" spans="1:15">
      <c r="A225" s="4"/>
      <c r="B225" s="5"/>
      <c r="C225" s="4"/>
      <c r="D225" s="4"/>
      <c r="E225" s="4"/>
      <c r="F225" s="6"/>
      <c r="H225">
        <f t="shared" si="19"/>
        <v>0</v>
      </c>
      <c r="I225" t="e">
        <f t="shared" si="20"/>
        <v>#VALUE!</v>
      </c>
      <c r="J225" s="6">
        <f t="shared" si="18"/>
        <v>0</v>
      </c>
      <c r="K225" s="6">
        <f t="shared" si="18"/>
        <v>0</v>
      </c>
      <c r="L225" s="6">
        <f t="shared" si="18"/>
        <v>0</v>
      </c>
      <c r="M225" s="6">
        <f t="shared" si="17"/>
        <v>0</v>
      </c>
      <c r="N225" s="6" t="str">
        <f t="shared" si="21"/>
        <v/>
      </c>
      <c r="O225" s="6" t="str">
        <f t="shared" si="22"/>
        <v/>
      </c>
    </row>
    <row r="226" spans="1:15">
      <c r="A226" s="4"/>
      <c r="B226" s="5"/>
      <c r="C226" s="4"/>
      <c r="D226" s="4"/>
      <c r="E226" s="4"/>
      <c r="F226" s="6"/>
      <c r="H226">
        <f t="shared" si="19"/>
        <v>0</v>
      </c>
      <c r="I226" t="e">
        <f t="shared" si="20"/>
        <v>#VALUE!</v>
      </c>
      <c r="J226" s="6">
        <f t="shared" si="18"/>
        <v>0</v>
      </c>
      <c r="K226" s="6">
        <f t="shared" si="18"/>
        <v>0</v>
      </c>
      <c r="L226" s="6">
        <f t="shared" si="18"/>
        <v>0</v>
      </c>
      <c r="M226" s="6">
        <f t="shared" si="17"/>
        <v>0</v>
      </c>
      <c r="N226" s="6" t="str">
        <f t="shared" si="21"/>
        <v/>
      </c>
      <c r="O226" s="6" t="str">
        <f t="shared" si="22"/>
        <v/>
      </c>
    </row>
    <row r="227" spans="1:15">
      <c r="A227" s="4"/>
      <c r="B227" s="5"/>
      <c r="C227" s="4"/>
      <c r="D227" s="4"/>
      <c r="E227" s="4"/>
      <c r="F227" s="6"/>
      <c r="H227">
        <f t="shared" si="19"/>
        <v>0</v>
      </c>
      <c r="I227" t="e">
        <f t="shared" si="20"/>
        <v>#VALUE!</v>
      </c>
      <c r="J227" s="6">
        <f t="shared" si="18"/>
        <v>0</v>
      </c>
      <c r="K227" s="6">
        <f t="shared" si="18"/>
        <v>0</v>
      </c>
      <c r="L227" s="6">
        <f t="shared" si="18"/>
        <v>0</v>
      </c>
      <c r="M227" s="6">
        <f t="shared" si="17"/>
        <v>0</v>
      </c>
      <c r="N227" s="6" t="str">
        <f t="shared" si="21"/>
        <v/>
      </c>
      <c r="O227" s="6" t="str">
        <f t="shared" si="22"/>
        <v/>
      </c>
    </row>
    <row r="228" spans="1:15">
      <c r="A228" s="4"/>
      <c r="B228" s="5"/>
      <c r="C228" s="4"/>
      <c r="D228" s="4"/>
      <c r="E228" s="4"/>
      <c r="F228" s="6"/>
      <c r="H228">
        <f t="shared" si="19"/>
        <v>0</v>
      </c>
      <c r="I228" t="e">
        <f t="shared" si="20"/>
        <v>#VALUE!</v>
      </c>
      <c r="J228" s="6">
        <f t="shared" si="18"/>
        <v>0</v>
      </c>
      <c r="K228" s="6">
        <f t="shared" si="18"/>
        <v>0</v>
      </c>
      <c r="L228" s="6">
        <f t="shared" si="18"/>
        <v>0</v>
      </c>
      <c r="M228" s="6">
        <f t="shared" si="17"/>
        <v>0</v>
      </c>
      <c r="N228" s="6" t="str">
        <f t="shared" si="21"/>
        <v/>
      </c>
      <c r="O228" s="6" t="str">
        <f t="shared" si="22"/>
        <v/>
      </c>
    </row>
    <row r="229" spans="1:15">
      <c r="A229" s="4"/>
      <c r="B229" s="5"/>
      <c r="C229" s="4"/>
      <c r="D229" s="4"/>
      <c r="E229" s="4"/>
      <c r="F229" s="6"/>
      <c r="H229">
        <f t="shared" si="19"/>
        <v>0</v>
      </c>
      <c r="I229" t="e">
        <f t="shared" si="20"/>
        <v>#VALUE!</v>
      </c>
      <c r="J229" s="6">
        <f t="shared" si="18"/>
        <v>0</v>
      </c>
      <c r="K229" s="6">
        <f t="shared" si="18"/>
        <v>0</v>
      </c>
      <c r="L229" s="6">
        <f t="shared" si="18"/>
        <v>0</v>
      </c>
      <c r="M229" s="6">
        <f t="shared" si="17"/>
        <v>0</v>
      </c>
      <c r="N229" s="6" t="str">
        <f t="shared" si="21"/>
        <v/>
      </c>
      <c r="O229" s="6" t="str">
        <f t="shared" si="22"/>
        <v/>
      </c>
    </row>
    <row r="230" spans="1:15">
      <c r="A230" s="4"/>
      <c r="B230" s="5"/>
      <c r="C230" s="4"/>
      <c r="D230" s="4"/>
      <c r="E230" s="4"/>
      <c r="F230" s="6"/>
      <c r="H230">
        <f t="shared" si="19"/>
        <v>0</v>
      </c>
      <c r="I230" t="e">
        <f t="shared" si="20"/>
        <v>#VALUE!</v>
      </c>
      <c r="J230" s="6">
        <f t="shared" si="18"/>
        <v>0</v>
      </c>
      <c r="K230" s="6">
        <f t="shared" si="18"/>
        <v>0</v>
      </c>
      <c r="L230" s="6">
        <f t="shared" si="18"/>
        <v>0</v>
      </c>
      <c r="M230" s="6">
        <f t="shared" si="17"/>
        <v>0</v>
      </c>
      <c r="N230" s="6" t="str">
        <f t="shared" si="21"/>
        <v/>
      </c>
      <c r="O230" s="6" t="str">
        <f t="shared" si="22"/>
        <v/>
      </c>
    </row>
    <row r="231" spans="1:15">
      <c r="A231" s="4"/>
      <c r="B231" s="5"/>
      <c r="C231" s="4"/>
      <c r="D231" s="4"/>
      <c r="E231" s="4"/>
      <c r="F231" s="6"/>
      <c r="H231">
        <f t="shared" si="19"/>
        <v>0</v>
      </c>
      <c r="I231" t="e">
        <f t="shared" si="20"/>
        <v>#VALUE!</v>
      </c>
      <c r="J231" s="6">
        <f t="shared" si="18"/>
        <v>0</v>
      </c>
      <c r="K231" s="6">
        <f t="shared" si="18"/>
        <v>0</v>
      </c>
      <c r="L231" s="6">
        <f t="shared" si="18"/>
        <v>0</v>
      </c>
      <c r="M231" s="6">
        <f t="shared" si="17"/>
        <v>0</v>
      </c>
      <c r="N231" s="6" t="str">
        <f t="shared" si="21"/>
        <v/>
      </c>
      <c r="O231" s="6" t="str">
        <f t="shared" si="22"/>
        <v/>
      </c>
    </row>
    <row r="232" spans="1:15">
      <c r="A232" s="4"/>
      <c r="B232" s="5"/>
      <c r="C232" s="4"/>
      <c r="D232" s="4"/>
      <c r="E232" s="4"/>
      <c r="F232" s="6"/>
      <c r="H232">
        <f t="shared" si="19"/>
        <v>0</v>
      </c>
      <c r="I232" t="e">
        <f t="shared" si="20"/>
        <v>#VALUE!</v>
      </c>
      <c r="J232" s="6">
        <f t="shared" si="18"/>
        <v>0</v>
      </c>
      <c r="K232" s="6">
        <f t="shared" si="18"/>
        <v>0</v>
      </c>
      <c r="L232" s="6">
        <f t="shared" si="18"/>
        <v>0</v>
      </c>
      <c r="M232" s="6">
        <f t="shared" si="18"/>
        <v>0</v>
      </c>
      <c r="N232" s="6" t="str">
        <f t="shared" si="21"/>
        <v/>
      </c>
      <c r="O232" s="6" t="str">
        <f t="shared" si="22"/>
        <v/>
      </c>
    </row>
    <row r="233" spans="1:15">
      <c r="A233" s="4"/>
      <c r="B233" s="5"/>
      <c r="C233" s="4"/>
      <c r="D233" s="4"/>
      <c r="E233" s="4"/>
      <c r="F233" s="6"/>
      <c r="H233">
        <f t="shared" si="19"/>
        <v>0</v>
      </c>
      <c r="I233" t="e">
        <f t="shared" si="20"/>
        <v>#VALUE!</v>
      </c>
      <c r="J233" s="6">
        <f t="shared" ref="J233:M296" si="23">C233</f>
        <v>0</v>
      </c>
      <c r="K233" s="6">
        <f t="shared" si="23"/>
        <v>0</v>
      </c>
      <c r="L233" s="6">
        <f t="shared" si="23"/>
        <v>0</v>
      </c>
      <c r="M233" s="6">
        <f t="shared" si="23"/>
        <v>0</v>
      </c>
      <c r="N233" s="6" t="str">
        <f t="shared" si="21"/>
        <v/>
      </c>
      <c r="O233" s="6" t="str">
        <f t="shared" si="22"/>
        <v/>
      </c>
    </row>
    <row r="234" spans="1:15">
      <c r="A234" s="4"/>
      <c r="B234" s="5"/>
      <c r="C234" s="4"/>
      <c r="D234" s="4"/>
      <c r="E234" s="4"/>
      <c r="F234" s="6"/>
      <c r="H234">
        <f t="shared" si="19"/>
        <v>0</v>
      </c>
      <c r="I234" t="e">
        <f t="shared" si="20"/>
        <v>#VALUE!</v>
      </c>
      <c r="J234" s="6">
        <f t="shared" si="23"/>
        <v>0</v>
      </c>
      <c r="K234" s="6">
        <f t="shared" si="23"/>
        <v>0</v>
      </c>
      <c r="L234" s="6">
        <f t="shared" si="23"/>
        <v>0</v>
      </c>
      <c r="M234" s="6">
        <f t="shared" si="23"/>
        <v>0</v>
      </c>
      <c r="N234" s="6" t="str">
        <f t="shared" si="21"/>
        <v/>
      </c>
      <c r="O234" s="6" t="str">
        <f t="shared" si="22"/>
        <v/>
      </c>
    </row>
    <row r="235" spans="1:15">
      <c r="A235" s="4"/>
      <c r="B235" s="5"/>
      <c r="C235" s="4"/>
      <c r="D235" s="4"/>
      <c r="E235" s="4"/>
      <c r="F235" s="6"/>
      <c r="H235">
        <f t="shared" si="19"/>
        <v>0</v>
      </c>
      <c r="I235" t="e">
        <f t="shared" si="20"/>
        <v>#VALUE!</v>
      </c>
      <c r="J235" s="6">
        <f t="shared" si="23"/>
        <v>0</v>
      </c>
      <c r="K235" s="6">
        <f t="shared" si="23"/>
        <v>0</v>
      </c>
      <c r="L235" s="6">
        <f t="shared" si="23"/>
        <v>0</v>
      </c>
      <c r="M235" s="6">
        <f t="shared" si="23"/>
        <v>0</v>
      </c>
      <c r="N235" s="6" t="str">
        <f t="shared" si="21"/>
        <v/>
      </c>
      <c r="O235" s="6" t="str">
        <f t="shared" si="22"/>
        <v/>
      </c>
    </row>
    <row r="236" spans="1:15">
      <c r="A236" s="4"/>
      <c r="B236" s="5"/>
      <c r="C236" s="4"/>
      <c r="D236" s="4"/>
      <c r="E236" s="4"/>
      <c r="F236" s="6"/>
      <c r="H236">
        <f t="shared" si="19"/>
        <v>0</v>
      </c>
      <c r="I236" t="e">
        <f t="shared" si="20"/>
        <v>#VALUE!</v>
      </c>
      <c r="J236" s="6">
        <f t="shared" si="23"/>
        <v>0</v>
      </c>
      <c r="K236" s="6">
        <f t="shared" si="23"/>
        <v>0</v>
      </c>
      <c r="L236" s="6">
        <f t="shared" si="23"/>
        <v>0</v>
      </c>
      <c r="M236" s="6">
        <f t="shared" si="23"/>
        <v>0</v>
      </c>
      <c r="N236" s="6" t="str">
        <f t="shared" si="21"/>
        <v/>
      </c>
      <c r="O236" s="6" t="str">
        <f t="shared" si="22"/>
        <v/>
      </c>
    </row>
    <row r="237" spans="1:15">
      <c r="A237" s="4"/>
      <c r="B237" s="5"/>
      <c r="C237" s="4"/>
      <c r="D237" s="4"/>
      <c r="E237" s="4"/>
      <c r="F237" s="6"/>
      <c r="H237">
        <f t="shared" si="19"/>
        <v>0</v>
      </c>
      <c r="I237" t="e">
        <f t="shared" si="20"/>
        <v>#VALUE!</v>
      </c>
      <c r="J237" s="6">
        <f t="shared" si="23"/>
        <v>0</v>
      </c>
      <c r="K237" s="6">
        <f t="shared" si="23"/>
        <v>0</v>
      </c>
      <c r="L237" s="6">
        <f t="shared" si="23"/>
        <v>0</v>
      </c>
      <c r="M237" s="6">
        <f t="shared" si="23"/>
        <v>0</v>
      </c>
      <c r="N237" s="6" t="str">
        <f t="shared" si="21"/>
        <v/>
      </c>
      <c r="O237" s="6" t="str">
        <f t="shared" si="22"/>
        <v/>
      </c>
    </row>
    <row r="238" spans="1:15">
      <c r="A238" s="4"/>
      <c r="B238" s="5"/>
      <c r="C238" s="4"/>
      <c r="D238" s="4"/>
      <c r="E238" s="4"/>
      <c r="F238" s="6"/>
      <c r="H238">
        <f t="shared" si="19"/>
        <v>0</v>
      </c>
      <c r="I238" t="e">
        <f t="shared" si="20"/>
        <v>#VALUE!</v>
      </c>
      <c r="J238" s="6">
        <f t="shared" si="23"/>
        <v>0</v>
      </c>
      <c r="K238" s="6">
        <f t="shared" si="23"/>
        <v>0</v>
      </c>
      <c r="L238" s="6">
        <f t="shared" si="23"/>
        <v>0</v>
      </c>
      <c r="M238" s="6">
        <f t="shared" si="23"/>
        <v>0</v>
      </c>
      <c r="N238" s="6" t="str">
        <f t="shared" si="21"/>
        <v/>
      </c>
      <c r="O238" s="6" t="str">
        <f t="shared" si="22"/>
        <v/>
      </c>
    </row>
    <row r="239" spans="1:15">
      <c r="A239" s="4"/>
      <c r="B239" s="5"/>
      <c r="C239" s="4"/>
      <c r="D239" s="4"/>
      <c r="E239" s="4"/>
      <c r="F239" s="6"/>
      <c r="H239">
        <f t="shared" si="19"/>
        <v>0</v>
      </c>
      <c r="I239" t="e">
        <f t="shared" si="20"/>
        <v>#VALUE!</v>
      </c>
      <c r="J239" s="6">
        <f t="shared" si="23"/>
        <v>0</v>
      </c>
      <c r="K239" s="6">
        <f t="shared" si="23"/>
        <v>0</v>
      </c>
      <c r="L239" s="6">
        <f t="shared" si="23"/>
        <v>0</v>
      </c>
      <c r="M239" s="6">
        <f t="shared" si="23"/>
        <v>0</v>
      </c>
      <c r="N239" s="6" t="str">
        <f t="shared" si="21"/>
        <v/>
      </c>
      <c r="O239" s="6" t="str">
        <f t="shared" si="22"/>
        <v/>
      </c>
    </row>
    <row r="240" spans="1:15">
      <c r="A240" s="4"/>
      <c r="B240" s="5"/>
      <c r="C240" s="4"/>
      <c r="D240" s="4"/>
      <c r="E240" s="4"/>
      <c r="F240" s="6"/>
      <c r="H240">
        <f t="shared" si="19"/>
        <v>0</v>
      </c>
      <c r="I240" t="e">
        <f t="shared" si="20"/>
        <v>#VALUE!</v>
      </c>
      <c r="J240" s="6">
        <f t="shared" si="23"/>
        <v>0</v>
      </c>
      <c r="K240" s="6">
        <f t="shared" si="23"/>
        <v>0</v>
      </c>
      <c r="L240" s="6">
        <f t="shared" si="23"/>
        <v>0</v>
      </c>
      <c r="M240" s="6">
        <f t="shared" si="23"/>
        <v>0</v>
      </c>
      <c r="N240" s="6" t="str">
        <f t="shared" si="21"/>
        <v/>
      </c>
      <c r="O240" s="6" t="str">
        <f t="shared" si="22"/>
        <v/>
      </c>
    </row>
    <row r="241" spans="1:15">
      <c r="A241" s="4"/>
      <c r="B241" s="5"/>
      <c r="C241" s="4"/>
      <c r="D241" s="4"/>
      <c r="E241" s="4"/>
      <c r="F241" s="6"/>
      <c r="H241">
        <f t="shared" si="19"/>
        <v>0</v>
      </c>
      <c r="I241" t="e">
        <f t="shared" si="20"/>
        <v>#VALUE!</v>
      </c>
      <c r="J241" s="6">
        <f t="shared" si="23"/>
        <v>0</v>
      </c>
      <c r="K241" s="6">
        <f t="shared" si="23"/>
        <v>0</v>
      </c>
      <c r="L241" s="6">
        <f t="shared" si="23"/>
        <v>0</v>
      </c>
      <c r="M241" s="6">
        <f t="shared" si="23"/>
        <v>0</v>
      </c>
      <c r="N241" s="6" t="str">
        <f t="shared" si="21"/>
        <v/>
      </c>
      <c r="O241" s="6" t="str">
        <f t="shared" si="22"/>
        <v/>
      </c>
    </row>
    <row r="242" spans="1:15">
      <c r="A242" s="4"/>
      <c r="B242" s="5"/>
      <c r="C242" s="4"/>
      <c r="D242" s="4"/>
      <c r="E242" s="4"/>
      <c r="F242" s="6"/>
      <c r="H242">
        <f t="shared" si="19"/>
        <v>0</v>
      </c>
      <c r="I242" t="e">
        <f t="shared" si="20"/>
        <v>#VALUE!</v>
      </c>
      <c r="J242" s="6">
        <f t="shared" si="23"/>
        <v>0</v>
      </c>
      <c r="K242" s="6">
        <f t="shared" si="23"/>
        <v>0</v>
      </c>
      <c r="L242" s="6">
        <f t="shared" si="23"/>
        <v>0</v>
      </c>
      <c r="M242" s="6">
        <f t="shared" si="23"/>
        <v>0</v>
      </c>
      <c r="N242" s="6" t="str">
        <f t="shared" si="21"/>
        <v/>
      </c>
      <c r="O242" s="6" t="str">
        <f t="shared" si="22"/>
        <v/>
      </c>
    </row>
    <row r="243" spans="1:15">
      <c r="A243" s="4"/>
      <c r="B243" s="5"/>
      <c r="C243" s="4"/>
      <c r="D243" s="4"/>
      <c r="E243" s="4"/>
      <c r="F243" s="6"/>
      <c r="H243">
        <f t="shared" si="19"/>
        <v>0</v>
      </c>
      <c r="I243" t="e">
        <f t="shared" si="20"/>
        <v>#VALUE!</v>
      </c>
      <c r="J243" s="6">
        <f t="shared" si="23"/>
        <v>0</v>
      </c>
      <c r="K243" s="6">
        <f t="shared" si="23"/>
        <v>0</v>
      </c>
      <c r="L243" s="6">
        <f t="shared" si="23"/>
        <v>0</v>
      </c>
      <c r="M243" s="6">
        <f t="shared" si="23"/>
        <v>0</v>
      </c>
      <c r="N243" s="6" t="str">
        <f t="shared" si="21"/>
        <v/>
      </c>
      <c r="O243" s="6" t="str">
        <f t="shared" si="22"/>
        <v/>
      </c>
    </row>
    <row r="244" spans="1:15">
      <c r="A244" s="4"/>
      <c r="B244" s="5"/>
      <c r="C244" s="4"/>
      <c r="D244" s="4"/>
      <c r="E244" s="4"/>
      <c r="F244" s="6"/>
      <c r="H244">
        <f t="shared" si="19"/>
        <v>0</v>
      </c>
      <c r="I244" t="e">
        <f t="shared" si="20"/>
        <v>#VALUE!</v>
      </c>
      <c r="J244" s="6">
        <f t="shared" si="23"/>
        <v>0</v>
      </c>
      <c r="K244" s="6">
        <f t="shared" si="23"/>
        <v>0</v>
      </c>
      <c r="L244" s="6">
        <f t="shared" si="23"/>
        <v>0</v>
      </c>
      <c r="M244" s="6">
        <f t="shared" si="23"/>
        <v>0</v>
      </c>
      <c r="N244" s="6" t="str">
        <f t="shared" si="21"/>
        <v/>
      </c>
      <c r="O244" s="6" t="str">
        <f t="shared" si="22"/>
        <v/>
      </c>
    </row>
    <row r="245" spans="1:15">
      <c r="A245" s="4"/>
      <c r="B245" s="5"/>
      <c r="C245" s="4"/>
      <c r="D245" s="4"/>
      <c r="E245" s="4"/>
      <c r="F245" s="6"/>
      <c r="H245">
        <f t="shared" si="19"/>
        <v>0</v>
      </c>
      <c r="I245" t="e">
        <f t="shared" si="20"/>
        <v>#VALUE!</v>
      </c>
      <c r="J245" s="6">
        <f t="shared" si="23"/>
        <v>0</v>
      </c>
      <c r="K245" s="6">
        <f t="shared" si="23"/>
        <v>0</v>
      </c>
      <c r="L245" s="6">
        <f t="shared" si="23"/>
        <v>0</v>
      </c>
      <c r="M245" s="6">
        <f t="shared" si="23"/>
        <v>0</v>
      </c>
      <c r="N245" s="6" t="str">
        <f t="shared" si="21"/>
        <v/>
      </c>
      <c r="O245" s="6" t="str">
        <f t="shared" si="22"/>
        <v/>
      </c>
    </row>
    <row r="246" spans="1:15">
      <c r="A246" s="4"/>
      <c r="B246" s="5"/>
      <c r="C246" s="4"/>
      <c r="D246" s="4"/>
      <c r="E246" s="4"/>
      <c r="F246" s="6"/>
      <c r="H246">
        <f t="shared" si="19"/>
        <v>0</v>
      </c>
      <c r="I246" t="e">
        <f t="shared" si="20"/>
        <v>#VALUE!</v>
      </c>
      <c r="J246" s="6">
        <f t="shared" si="23"/>
        <v>0</v>
      </c>
      <c r="K246" s="6">
        <f t="shared" si="23"/>
        <v>0</v>
      </c>
      <c r="L246" s="6">
        <f t="shared" si="23"/>
        <v>0</v>
      </c>
      <c r="M246" s="6">
        <f t="shared" si="23"/>
        <v>0</v>
      </c>
      <c r="N246" s="6" t="str">
        <f t="shared" si="21"/>
        <v/>
      </c>
      <c r="O246" s="6" t="str">
        <f t="shared" si="22"/>
        <v/>
      </c>
    </row>
    <row r="247" spans="1:15">
      <c r="A247" s="4"/>
      <c r="B247" s="5"/>
      <c r="C247" s="4"/>
      <c r="D247" s="4"/>
      <c r="E247" s="4"/>
      <c r="F247" s="6"/>
      <c r="H247">
        <f t="shared" si="19"/>
        <v>0</v>
      </c>
      <c r="I247" t="e">
        <f t="shared" si="20"/>
        <v>#VALUE!</v>
      </c>
      <c r="J247" s="6">
        <f t="shared" si="23"/>
        <v>0</v>
      </c>
      <c r="K247" s="6">
        <f t="shared" si="23"/>
        <v>0</v>
      </c>
      <c r="L247" s="6">
        <f t="shared" si="23"/>
        <v>0</v>
      </c>
      <c r="M247" s="6">
        <f t="shared" si="23"/>
        <v>0</v>
      </c>
      <c r="N247" s="6" t="str">
        <f t="shared" si="21"/>
        <v/>
      </c>
      <c r="O247" s="6" t="str">
        <f t="shared" si="22"/>
        <v/>
      </c>
    </row>
    <row r="248" spans="1:15">
      <c r="A248" s="4"/>
      <c r="B248" s="5"/>
      <c r="C248" s="4"/>
      <c r="D248" s="4"/>
      <c r="E248" s="4"/>
      <c r="F248" s="6"/>
      <c r="H248">
        <f t="shared" si="19"/>
        <v>0</v>
      </c>
      <c r="I248" t="e">
        <f t="shared" si="20"/>
        <v>#VALUE!</v>
      </c>
      <c r="J248" s="6">
        <f t="shared" si="23"/>
        <v>0</v>
      </c>
      <c r="K248" s="6">
        <f t="shared" si="23"/>
        <v>0</v>
      </c>
      <c r="L248" s="6">
        <f t="shared" si="23"/>
        <v>0</v>
      </c>
      <c r="M248" s="6">
        <f t="shared" si="23"/>
        <v>0</v>
      </c>
      <c r="N248" s="6" t="str">
        <f t="shared" si="21"/>
        <v/>
      </c>
      <c r="O248" s="6" t="str">
        <f t="shared" si="22"/>
        <v/>
      </c>
    </row>
    <row r="249" spans="1:15">
      <c r="A249" s="4"/>
      <c r="B249" s="5"/>
      <c r="C249" s="4"/>
      <c r="D249" s="4"/>
      <c r="E249" s="4"/>
      <c r="F249" s="6"/>
      <c r="H249">
        <f t="shared" si="19"/>
        <v>0</v>
      </c>
      <c r="I249" t="e">
        <f t="shared" si="20"/>
        <v>#VALUE!</v>
      </c>
      <c r="J249" s="6">
        <f t="shared" si="23"/>
        <v>0</v>
      </c>
      <c r="K249" s="6">
        <f t="shared" si="23"/>
        <v>0</v>
      </c>
      <c r="L249" s="6">
        <f t="shared" si="23"/>
        <v>0</v>
      </c>
      <c r="M249" s="6">
        <f t="shared" si="23"/>
        <v>0</v>
      </c>
      <c r="N249" s="6" t="str">
        <f t="shared" si="21"/>
        <v/>
      </c>
      <c r="O249" s="6" t="str">
        <f t="shared" si="22"/>
        <v/>
      </c>
    </row>
    <row r="250" spans="1:15">
      <c r="A250" s="4"/>
      <c r="B250" s="5"/>
      <c r="C250" s="4"/>
      <c r="D250" s="4"/>
      <c r="E250" s="4"/>
      <c r="F250" s="6"/>
      <c r="H250">
        <f t="shared" si="19"/>
        <v>0</v>
      </c>
      <c r="I250" t="e">
        <f t="shared" si="20"/>
        <v>#VALUE!</v>
      </c>
      <c r="J250" s="6">
        <f t="shared" si="23"/>
        <v>0</v>
      </c>
      <c r="K250" s="6">
        <f t="shared" si="23"/>
        <v>0</v>
      </c>
      <c r="L250" s="6">
        <f t="shared" si="23"/>
        <v>0</v>
      </c>
      <c r="M250" s="6">
        <f t="shared" si="23"/>
        <v>0</v>
      </c>
      <c r="N250" s="6" t="str">
        <f t="shared" si="21"/>
        <v/>
      </c>
      <c r="O250" s="6" t="str">
        <f t="shared" si="22"/>
        <v/>
      </c>
    </row>
    <row r="251" spans="1:15">
      <c r="A251" s="4"/>
      <c r="B251" s="5"/>
      <c r="C251" s="4"/>
      <c r="D251" s="4"/>
      <c r="E251" s="4"/>
      <c r="F251" s="6"/>
      <c r="H251">
        <f t="shared" si="19"/>
        <v>0</v>
      </c>
      <c r="I251" t="e">
        <f t="shared" si="20"/>
        <v>#VALUE!</v>
      </c>
      <c r="J251" s="6">
        <f t="shared" si="23"/>
        <v>0</v>
      </c>
      <c r="K251" s="6">
        <f t="shared" si="23"/>
        <v>0</v>
      </c>
      <c r="L251" s="6">
        <f t="shared" si="23"/>
        <v>0</v>
      </c>
      <c r="M251" s="6">
        <f t="shared" si="23"/>
        <v>0</v>
      </c>
      <c r="N251" s="6" t="str">
        <f t="shared" si="21"/>
        <v/>
      </c>
      <c r="O251" s="6" t="str">
        <f t="shared" si="22"/>
        <v/>
      </c>
    </row>
    <row r="252" spans="1:15">
      <c r="A252" s="4"/>
      <c r="B252" s="5"/>
      <c r="C252" s="4"/>
      <c r="D252" s="4"/>
      <c r="E252" s="4"/>
      <c r="F252" s="6"/>
      <c r="H252">
        <f t="shared" si="19"/>
        <v>0</v>
      </c>
      <c r="I252" t="e">
        <f t="shared" si="20"/>
        <v>#VALUE!</v>
      </c>
      <c r="J252" s="6">
        <f t="shared" si="23"/>
        <v>0</v>
      </c>
      <c r="K252" s="6">
        <f t="shared" si="23"/>
        <v>0</v>
      </c>
      <c r="L252" s="6">
        <f t="shared" si="23"/>
        <v>0</v>
      </c>
      <c r="M252" s="6">
        <f t="shared" si="23"/>
        <v>0</v>
      </c>
      <c r="N252" s="6" t="str">
        <f t="shared" si="21"/>
        <v/>
      </c>
      <c r="O252" s="6" t="str">
        <f t="shared" si="22"/>
        <v/>
      </c>
    </row>
    <row r="253" spans="1:15">
      <c r="A253" s="4"/>
      <c r="B253" s="5"/>
      <c r="C253" s="4"/>
      <c r="D253" s="4"/>
      <c r="E253" s="4"/>
      <c r="F253" s="6"/>
      <c r="H253">
        <f t="shared" si="19"/>
        <v>0</v>
      </c>
      <c r="I253" t="e">
        <f t="shared" si="20"/>
        <v>#VALUE!</v>
      </c>
      <c r="J253" s="6">
        <f t="shared" si="23"/>
        <v>0</v>
      </c>
      <c r="K253" s="6">
        <f t="shared" si="23"/>
        <v>0</v>
      </c>
      <c r="L253" s="6">
        <f t="shared" si="23"/>
        <v>0</v>
      </c>
      <c r="M253" s="6">
        <f t="shared" si="23"/>
        <v>0</v>
      </c>
      <c r="N253" s="6" t="str">
        <f t="shared" si="21"/>
        <v/>
      </c>
      <c r="O253" s="6" t="str">
        <f t="shared" si="22"/>
        <v/>
      </c>
    </row>
    <row r="254" spans="1:15">
      <c r="A254" s="4"/>
      <c r="B254" s="5"/>
      <c r="C254" s="4"/>
      <c r="D254" s="4"/>
      <c r="E254" s="4"/>
      <c r="F254" s="6"/>
      <c r="H254">
        <f t="shared" si="19"/>
        <v>0</v>
      </c>
      <c r="I254" t="e">
        <f t="shared" si="20"/>
        <v>#VALUE!</v>
      </c>
      <c r="J254" s="6">
        <f t="shared" si="23"/>
        <v>0</v>
      </c>
      <c r="K254" s="6">
        <f t="shared" si="23"/>
        <v>0</v>
      </c>
      <c r="L254" s="6">
        <f t="shared" si="23"/>
        <v>0</v>
      </c>
      <c r="M254" s="6">
        <f t="shared" si="23"/>
        <v>0</v>
      </c>
      <c r="N254" s="6" t="str">
        <f t="shared" si="21"/>
        <v/>
      </c>
      <c r="O254" s="6" t="str">
        <f t="shared" si="22"/>
        <v/>
      </c>
    </row>
    <row r="255" spans="1:15">
      <c r="A255" s="4"/>
      <c r="B255" s="5"/>
      <c r="C255" s="4"/>
      <c r="D255" s="4"/>
      <c r="E255" s="4"/>
      <c r="F255" s="6"/>
      <c r="H255">
        <f t="shared" si="19"/>
        <v>0</v>
      </c>
      <c r="I255" t="e">
        <f t="shared" si="20"/>
        <v>#VALUE!</v>
      </c>
      <c r="J255" s="6">
        <f t="shared" si="23"/>
        <v>0</v>
      </c>
      <c r="K255" s="6">
        <f t="shared" si="23"/>
        <v>0</v>
      </c>
      <c r="L255" s="6">
        <f t="shared" si="23"/>
        <v>0</v>
      </c>
      <c r="M255" s="6">
        <f t="shared" si="23"/>
        <v>0</v>
      </c>
      <c r="N255" s="6" t="str">
        <f t="shared" si="21"/>
        <v/>
      </c>
      <c r="O255" s="6" t="str">
        <f t="shared" si="22"/>
        <v/>
      </c>
    </row>
    <row r="256" spans="1:15">
      <c r="A256" s="4"/>
      <c r="B256" s="5"/>
      <c r="C256" s="4"/>
      <c r="D256" s="4"/>
      <c r="E256" s="4"/>
      <c r="F256" s="6"/>
      <c r="H256">
        <f t="shared" si="19"/>
        <v>0</v>
      </c>
      <c r="I256" t="e">
        <f t="shared" si="20"/>
        <v>#VALUE!</v>
      </c>
      <c r="J256" s="6">
        <f t="shared" si="23"/>
        <v>0</v>
      </c>
      <c r="K256" s="6">
        <f t="shared" si="23"/>
        <v>0</v>
      </c>
      <c r="L256" s="6">
        <f t="shared" si="23"/>
        <v>0</v>
      </c>
      <c r="M256" s="6">
        <f t="shared" si="23"/>
        <v>0</v>
      </c>
      <c r="N256" s="6" t="str">
        <f t="shared" si="21"/>
        <v/>
      </c>
      <c r="O256" s="6" t="str">
        <f t="shared" si="22"/>
        <v/>
      </c>
    </row>
    <row r="257" spans="1:15">
      <c r="A257" s="4"/>
      <c r="B257" s="5"/>
      <c r="C257" s="4"/>
      <c r="D257" s="4"/>
      <c r="E257" s="4"/>
      <c r="F257" s="6"/>
      <c r="H257">
        <f t="shared" si="19"/>
        <v>0</v>
      </c>
      <c r="I257" t="e">
        <f t="shared" si="20"/>
        <v>#VALUE!</v>
      </c>
      <c r="J257" s="6">
        <f t="shared" si="23"/>
        <v>0</v>
      </c>
      <c r="K257" s="6">
        <f t="shared" si="23"/>
        <v>0</v>
      </c>
      <c r="L257" s="6">
        <f t="shared" si="23"/>
        <v>0</v>
      </c>
      <c r="M257" s="6">
        <f t="shared" si="23"/>
        <v>0</v>
      </c>
      <c r="N257" s="6" t="str">
        <f t="shared" si="21"/>
        <v/>
      </c>
      <c r="O257" s="6" t="str">
        <f t="shared" si="22"/>
        <v/>
      </c>
    </row>
    <row r="258" spans="1:15">
      <c r="A258" s="4"/>
      <c r="B258" s="5"/>
      <c r="C258" s="4"/>
      <c r="D258" s="4"/>
      <c r="E258" s="4"/>
      <c r="F258" s="6"/>
      <c r="H258">
        <f t="shared" si="19"/>
        <v>0</v>
      </c>
      <c r="I258" t="e">
        <f t="shared" si="20"/>
        <v>#VALUE!</v>
      </c>
      <c r="J258" s="6">
        <f t="shared" si="23"/>
        <v>0</v>
      </c>
      <c r="K258" s="6">
        <f t="shared" si="23"/>
        <v>0</v>
      </c>
      <c r="L258" s="6">
        <f t="shared" si="23"/>
        <v>0</v>
      </c>
      <c r="M258" s="6">
        <f t="shared" si="23"/>
        <v>0</v>
      </c>
      <c r="N258" s="6" t="str">
        <f t="shared" si="21"/>
        <v/>
      </c>
      <c r="O258" s="6" t="str">
        <f t="shared" si="22"/>
        <v/>
      </c>
    </row>
    <row r="259" spans="1:15">
      <c r="A259" s="4"/>
      <c r="B259" s="5"/>
      <c r="C259" s="4"/>
      <c r="D259" s="4"/>
      <c r="E259" s="4"/>
      <c r="F259" s="6"/>
      <c r="H259">
        <f t="shared" si="19"/>
        <v>0</v>
      </c>
      <c r="I259" t="e">
        <f t="shared" si="20"/>
        <v>#VALUE!</v>
      </c>
      <c r="J259" s="6">
        <f t="shared" si="23"/>
        <v>0</v>
      </c>
      <c r="K259" s="6">
        <f t="shared" si="23"/>
        <v>0</v>
      </c>
      <c r="L259" s="6">
        <f t="shared" si="23"/>
        <v>0</v>
      </c>
      <c r="M259" s="6">
        <f t="shared" si="23"/>
        <v>0</v>
      </c>
      <c r="N259" s="6" t="str">
        <f t="shared" si="21"/>
        <v/>
      </c>
      <c r="O259" s="6" t="str">
        <f t="shared" si="22"/>
        <v/>
      </c>
    </row>
    <row r="260" spans="1:15">
      <c r="A260" s="4"/>
      <c r="B260" s="5"/>
      <c r="C260" s="4"/>
      <c r="D260" s="4"/>
      <c r="E260" s="4"/>
      <c r="F260" s="6"/>
      <c r="H260">
        <f t="shared" si="19"/>
        <v>0</v>
      </c>
      <c r="I260" t="e">
        <f t="shared" si="20"/>
        <v>#VALUE!</v>
      </c>
      <c r="J260" s="6">
        <f t="shared" si="23"/>
        <v>0</v>
      </c>
      <c r="K260" s="6">
        <f t="shared" si="23"/>
        <v>0</v>
      </c>
      <c r="L260" s="6">
        <f t="shared" si="23"/>
        <v>0</v>
      </c>
      <c r="M260" s="6">
        <f t="shared" si="23"/>
        <v>0</v>
      </c>
      <c r="N260" s="6" t="str">
        <f t="shared" si="21"/>
        <v/>
      </c>
      <c r="O260" s="6" t="str">
        <f t="shared" si="22"/>
        <v/>
      </c>
    </row>
    <row r="261" spans="1:15">
      <c r="A261" s="4"/>
      <c r="B261" s="5"/>
      <c r="C261" s="4"/>
      <c r="D261" s="4"/>
      <c r="E261" s="4"/>
      <c r="F261" s="6"/>
      <c r="H261">
        <f t="shared" si="19"/>
        <v>0</v>
      </c>
      <c r="I261" t="e">
        <f t="shared" si="20"/>
        <v>#VALUE!</v>
      </c>
      <c r="J261" s="6">
        <f t="shared" si="23"/>
        <v>0</v>
      </c>
      <c r="K261" s="6">
        <f t="shared" si="23"/>
        <v>0</v>
      </c>
      <c r="L261" s="6">
        <f t="shared" si="23"/>
        <v>0</v>
      </c>
      <c r="M261" s="6">
        <f t="shared" si="23"/>
        <v>0</v>
      </c>
      <c r="N261" s="6" t="str">
        <f t="shared" si="21"/>
        <v/>
      </c>
      <c r="O261" s="6" t="str">
        <f t="shared" si="22"/>
        <v/>
      </c>
    </row>
    <row r="262" spans="1:15">
      <c r="A262" s="4"/>
      <c r="B262" s="5"/>
      <c r="C262" s="4"/>
      <c r="D262" s="4"/>
      <c r="E262" s="4"/>
      <c r="F262" s="6"/>
      <c r="H262">
        <f t="shared" si="19"/>
        <v>0</v>
      </c>
      <c r="I262" t="e">
        <f t="shared" si="20"/>
        <v>#VALUE!</v>
      </c>
      <c r="J262" s="6">
        <f t="shared" si="23"/>
        <v>0</v>
      </c>
      <c r="K262" s="6">
        <f t="shared" si="23"/>
        <v>0</v>
      </c>
      <c r="L262" s="6">
        <f t="shared" si="23"/>
        <v>0</v>
      </c>
      <c r="M262" s="6">
        <f t="shared" si="23"/>
        <v>0</v>
      </c>
      <c r="N262" s="6" t="str">
        <f t="shared" si="21"/>
        <v/>
      </c>
      <c r="O262" s="6" t="str">
        <f t="shared" si="22"/>
        <v/>
      </c>
    </row>
    <row r="263" spans="1:15">
      <c r="A263" s="4"/>
      <c r="B263" s="5"/>
      <c r="C263" s="4"/>
      <c r="D263" s="4"/>
      <c r="E263" s="4"/>
      <c r="F263" s="6"/>
      <c r="H263">
        <f t="shared" ref="H263:H326" si="24">A263</f>
        <v>0</v>
      </c>
      <c r="I263" t="e">
        <f t="shared" ref="I263:I326" si="25">LEFT(B263,SEARCH(" ",B263,1)-1)</f>
        <v>#VALUE!</v>
      </c>
      <c r="J263" s="6">
        <f t="shared" si="23"/>
        <v>0</v>
      </c>
      <c r="K263" s="6">
        <f t="shared" si="23"/>
        <v>0</v>
      </c>
      <c r="L263" s="6">
        <f t="shared" si="23"/>
        <v>0</v>
      </c>
      <c r="M263" s="6">
        <f t="shared" si="23"/>
        <v>0</v>
      </c>
      <c r="N263" s="6" t="str">
        <f t="shared" ref="N263:N326" si="26">TRIM($B$1)</f>
        <v/>
      </c>
      <c r="O263" s="6" t="str">
        <f t="shared" ref="O263:O326" si="27">TRIM($C$1)</f>
        <v/>
      </c>
    </row>
    <row r="264" spans="1:15">
      <c r="A264" s="4"/>
      <c r="B264" s="5"/>
      <c r="C264" s="4"/>
      <c r="D264" s="4"/>
      <c r="E264" s="4"/>
      <c r="F264" s="6"/>
      <c r="H264">
        <f t="shared" si="24"/>
        <v>0</v>
      </c>
      <c r="I264" t="e">
        <f t="shared" si="25"/>
        <v>#VALUE!</v>
      </c>
      <c r="J264" s="6">
        <f t="shared" si="23"/>
        <v>0</v>
      </c>
      <c r="K264" s="6">
        <f t="shared" si="23"/>
        <v>0</v>
      </c>
      <c r="L264" s="6">
        <f t="shared" si="23"/>
        <v>0</v>
      </c>
      <c r="M264" s="6">
        <f t="shared" si="23"/>
        <v>0</v>
      </c>
      <c r="N264" s="6" t="str">
        <f t="shared" si="26"/>
        <v/>
      </c>
      <c r="O264" s="6" t="str">
        <f t="shared" si="27"/>
        <v/>
      </c>
    </row>
    <row r="265" spans="1:15">
      <c r="A265" s="4"/>
      <c r="B265" s="5"/>
      <c r="C265" s="4"/>
      <c r="D265" s="4"/>
      <c r="E265" s="4"/>
      <c r="F265" s="6"/>
      <c r="H265">
        <f t="shared" si="24"/>
        <v>0</v>
      </c>
      <c r="I265" t="e">
        <f t="shared" si="25"/>
        <v>#VALUE!</v>
      </c>
      <c r="J265" s="6">
        <f t="shared" si="23"/>
        <v>0</v>
      </c>
      <c r="K265" s="6">
        <f t="shared" si="23"/>
        <v>0</v>
      </c>
      <c r="L265" s="6">
        <f t="shared" si="23"/>
        <v>0</v>
      </c>
      <c r="M265" s="6">
        <f t="shared" si="23"/>
        <v>0</v>
      </c>
      <c r="N265" s="6" t="str">
        <f t="shared" si="26"/>
        <v/>
      </c>
      <c r="O265" s="6" t="str">
        <f t="shared" si="27"/>
        <v/>
      </c>
    </row>
    <row r="266" spans="1:15">
      <c r="A266" s="4"/>
      <c r="B266" s="5"/>
      <c r="C266" s="4"/>
      <c r="D266" s="4"/>
      <c r="E266" s="4"/>
      <c r="F266" s="6"/>
      <c r="H266">
        <f t="shared" si="24"/>
        <v>0</v>
      </c>
      <c r="I266" t="e">
        <f t="shared" si="25"/>
        <v>#VALUE!</v>
      </c>
      <c r="J266" s="6">
        <f t="shared" si="23"/>
        <v>0</v>
      </c>
      <c r="K266" s="6">
        <f t="shared" si="23"/>
        <v>0</v>
      </c>
      <c r="L266" s="6">
        <f t="shared" si="23"/>
        <v>0</v>
      </c>
      <c r="M266" s="6">
        <f t="shared" si="23"/>
        <v>0</v>
      </c>
      <c r="N266" s="6" t="str">
        <f t="shared" si="26"/>
        <v/>
      </c>
      <c r="O266" s="6" t="str">
        <f t="shared" si="27"/>
        <v/>
      </c>
    </row>
    <row r="267" spans="1:15">
      <c r="A267" s="4"/>
      <c r="B267" s="5"/>
      <c r="C267" s="4"/>
      <c r="D267" s="4"/>
      <c r="E267" s="4"/>
      <c r="F267" s="6"/>
      <c r="H267">
        <f t="shared" si="24"/>
        <v>0</v>
      </c>
      <c r="I267" t="e">
        <f t="shared" si="25"/>
        <v>#VALUE!</v>
      </c>
      <c r="J267" s="6">
        <f t="shared" si="23"/>
        <v>0</v>
      </c>
      <c r="K267" s="6">
        <f t="shared" si="23"/>
        <v>0</v>
      </c>
      <c r="L267" s="6">
        <f t="shared" si="23"/>
        <v>0</v>
      </c>
      <c r="M267" s="6">
        <f t="shared" si="23"/>
        <v>0</v>
      </c>
      <c r="N267" s="6" t="str">
        <f t="shared" si="26"/>
        <v/>
      </c>
      <c r="O267" s="6" t="str">
        <f t="shared" si="27"/>
        <v/>
      </c>
    </row>
    <row r="268" spans="1:15">
      <c r="A268" s="4"/>
      <c r="B268" s="5"/>
      <c r="C268" s="4"/>
      <c r="D268" s="4"/>
      <c r="E268" s="4"/>
      <c r="F268" s="6"/>
      <c r="H268">
        <f t="shared" si="24"/>
        <v>0</v>
      </c>
      <c r="I268" t="e">
        <f t="shared" si="25"/>
        <v>#VALUE!</v>
      </c>
      <c r="J268" s="6">
        <f t="shared" si="23"/>
        <v>0</v>
      </c>
      <c r="K268" s="6">
        <f t="shared" si="23"/>
        <v>0</v>
      </c>
      <c r="L268" s="6">
        <f t="shared" si="23"/>
        <v>0</v>
      </c>
      <c r="M268" s="6">
        <f t="shared" si="23"/>
        <v>0</v>
      </c>
      <c r="N268" s="6" t="str">
        <f t="shared" si="26"/>
        <v/>
      </c>
      <c r="O268" s="6" t="str">
        <f t="shared" si="27"/>
        <v/>
      </c>
    </row>
    <row r="269" spans="1:15">
      <c r="A269" s="4"/>
      <c r="B269" s="5"/>
      <c r="C269" s="4"/>
      <c r="D269" s="4"/>
      <c r="E269" s="4"/>
      <c r="F269" s="6"/>
      <c r="H269">
        <f t="shared" si="24"/>
        <v>0</v>
      </c>
      <c r="I269" t="e">
        <f t="shared" si="25"/>
        <v>#VALUE!</v>
      </c>
      <c r="J269" s="6">
        <f t="shared" si="23"/>
        <v>0</v>
      </c>
      <c r="K269" s="6">
        <f t="shared" si="23"/>
        <v>0</v>
      </c>
      <c r="L269" s="6">
        <f t="shared" si="23"/>
        <v>0</v>
      </c>
      <c r="M269" s="6">
        <f t="shared" si="23"/>
        <v>0</v>
      </c>
      <c r="N269" s="6" t="str">
        <f t="shared" si="26"/>
        <v/>
      </c>
      <c r="O269" s="6" t="str">
        <f t="shared" si="27"/>
        <v/>
      </c>
    </row>
    <row r="270" spans="1:15">
      <c r="A270" s="4"/>
      <c r="B270" s="5"/>
      <c r="C270" s="4"/>
      <c r="D270" s="4"/>
      <c r="E270" s="4"/>
      <c r="F270" s="6"/>
      <c r="H270">
        <f t="shared" si="24"/>
        <v>0</v>
      </c>
      <c r="I270" t="e">
        <f t="shared" si="25"/>
        <v>#VALUE!</v>
      </c>
      <c r="J270" s="6">
        <f t="shared" si="23"/>
        <v>0</v>
      </c>
      <c r="K270" s="6">
        <f t="shared" si="23"/>
        <v>0</v>
      </c>
      <c r="L270" s="6">
        <f t="shared" si="23"/>
        <v>0</v>
      </c>
      <c r="M270" s="6">
        <f t="shared" si="23"/>
        <v>0</v>
      </c>
      <c r="N270" s="6" t="str">
        <f t="shared" si="26"/>
        <v/>
      </c>
      <c r="O270" s="6" t="str">
        <f t="shared" si="27"/>
        <v/>
      </c>
    </row>
    <row r="271" spans="1:15">
      <c r="A271" s="4"/>
      <c r="B271" s="5"/>
      <c r="C271" s="4"/>
      <c r="D271" s="4"/>
      <c r="E271" s="4"/>
      <c r="F271" s="6"/>
      <c r="H271">
        <f t="shared" si="24"/>
        <v>0</v>
      </c>
      <c r="I271" t="e">
        <f t="shared" si="25"/>
        <v>#VALUE!</v>
      </c>
      <c r="J271" s="6">
        <f t="shared" si="23"/>
        <v>0</v>
      </c>
      <c r="K271" s="6">
        <f t="shared" si="23"/>
        <v>0</v>
      </c>
      <c r="L271" s="6">
        <f t="shared" si="23"/>
        <v>0</v>
      </c>
      <c r="M271" s="6">
        <f t="shared" si="23"/>
        <v>0</v>
      </c>
      <c r="N271" s="6" t="str">
        <f t="shared" si="26"/>
        <v/>
      </c>
      <c r="O271" s="6" t="str">
        <f t="shared" si="27"/>
        <v/>
      </c>
    </row>
    <row r="272" spans="1:15">
      <c r="A272" s="4"/>
      <c r="B272" s="5"/>
      <c r="C272" s="4"/>
      <c r="D272" s="4"/>
      <c r="E272" s="4"/>
      <c r="F272" s="6"/>
      <c r="H272">
        <f t="shared" si="24"/>
        <v>0</v>
      </c>
      <c r="I272" t="e">
        <f t="shared" si="25"/>
        <v>#VALUE!</v>
      </c>
      <c r="J272" s="6">
        <f t="shared" si="23"/>
        <v>0</v>
      </c>
      <c r="K272" s="6">
        <f t="shared" si="23"/>
        <v>0</v>
      </c>
      <c r="L272" s="6">
        <f t="shared" si="23"/>
        <v>0</v>
      </c>
      <c r="M272" s="6">
        <f t="shared" si="23"/>
        <v>0</v>
      </c>
      <c r="N272" s="6" t="str">
        <f t="shared" si="26"/>
        <v/>
      </c>
      <c r="O272" s="6" t="str">
        <f t="shared" si="27"/>
        <v/>
      </c>
    </row>
    <row r="273" spans="1:15">
      <c r="A273" s="4"/>
      <c r="B273" s="5"/>
      <c r="C273" s="4"/>
      <c r="D273" s="4"/>
      <c r="E273" s="4"/>
      <c r="F273" s="6"/>
      <c r="H273">
        <f t="shared" si="24"/>
        <v>0</v>
      </c>
      <c r="I273" t="e">
        <f t="shared" si="25"/>
        <v>#VALUE!</v>
      </c>
      <c r="J273" s="6">
        <f t="shared" si="23"/>
        <v>0</v>
      </c>
      <c r="K273" s="6">
        <f t="shared" si="23"/>
        <v>0</v>
      </c>
      <c r="L273" s="6">
        <f t="shared" si="23"/>
        <v>0</v>
      </c>
      <c r="M273" s="6">
        <f t="shared" si="23"/>
        <v>0</v>
      </c>
      <c r="N273" s="6" t="str">
        <f t="shared" si="26"/>
        <v/>
      </c>
      <c r="O273" s="6" t="str">
        <f t="shared" si="27"/>
        <v/>
      </c>
    </row>
    <row r="274" spans="1:15">
      <c r="A274" s="4"/>
      <c r="B274" s="5"/>
      <c r="C274" s="4"/>
      <c r="D274" s="4"/>
      <c r="E274" s="4"/>
      <c r="F274" s="6"/>
      <c r="H274">
        <f t="shared" si="24"/>
        <v>0</v>
      </c>
      <c r="I274" t="e">
        <f t="shared" si="25"/>
        <v>#VALUE!</v>
      </c>
      <c r="J274" s="6">
        <f t="shared" si="23"/>
        <v>0</v>
      </c>
      <c r="K274" s="6">
        <f t="shared" si="23"/>
        <v>0</v>
      </c>
      <c r="L274" s="6">
        <f t="shared" si="23"/>
        <v>0</v>
      </c>
      <c r="M274" s="6">
        <f t="shared" si="23"/>
        <v>0</v>
      </c>
      <c r="N274" s="6" t="str">
        <f t="shared" si="26"/>
        <v/>
      </c>
      <c r="O274" s="6" t="str">
        <f t="shared" si="27"/>
        <v/>
      </c>
    </row>
    <row r="275" spans="1:15">
      <c r="A275" s="4"/>
      <c r="B275" s="5"/>
      <c r="C275" s="4"/>
      <c r="D275" s="4"/>
      <c r="E275" s="4"/>
      <c r="F275" s="6"/>
      <c r="H275">
        <f t="shared" si="24"/>
        <v>0</v>
      </c>
      <c r="I275" t="e">
        <f t="shared" si="25"/>
        <v>#VALUE!</v>
      </c>
      <c r="J275" s="6">
        <f t="shared" si="23"/>
        <v>0</v>
      </c>
      <c r="K275" s="6">
        <f t="shared" si="23"/>
        <v>0</v>
      </c>
      <c r="L275" s="6">
        <f t="shared" si="23"/>
        <v>0</v>
      </c>
      <c r="M275" s="6">
        <f t="shared" si="23"/>
        <v>0</v>
      </c>
      <c r="N275" s="6" t="str">
        <f t="shared" si="26"/>
        <v/>
      </c>
      <c r="O275" s="6" t="str">
        <f t="shared" si="27"/>
        <v/>
      </c>
    </row>
    <row r="276" spans="1:15">
      <c r="A276" s="4"/>
      <c r="B276" s="5"/>
      <c r="C276" s="4"/>
      <c r="D276" s="4"/>
      <c r="E276" s="4"/>
      <c r="F276" s="6"/>
      <c r="H276">
        <f t="shared" si="24"/>
        <v>0</v>
      </c>
      <c r="I276" t="e">
        <f t="shared" si="25"/>
        <v>#VALUE!</v>
      </c>
      <c r="J276" s="6">
        <f t="shared" si="23"/>
        <v>0</v>
      </c>
      <c r="K276" s="6">
        <f t="shared" si="23"/>
        <v>0</v>
      </c>
      <c r="L276" s="6">
        <f t="shared" si="23"/>
        <v>0</v>
      </c>
      <c r="M276" s="6">
        <f t="shared" si="23"/>
        <v>0</v>
      </c>
      <c r="N276" s="6" t="str">
        <f t="shared" si="26"/>
        <v/>
      </c>
      <c r="O276" s="6" t="str">
        <f t="shared" si="27"/>
        <v/>
      </c>
    </row>
    <row r="277" spans="1:15">
      <c r="A277" s="4"/>
      <c r="B277" s="5"/>
      <c r="C277" s="4"/>
      <c r="D277" s="4"/>
      <c r="E277" s="4"/>
      <c r="F277" s="6"/>
      <c r="H277">
        <f t="shared" si="24"/>
        <v>0</v>
      </c>
      <c r="I277" t="e">
        <f t="shared" si="25"/>
        <v>#VALUE!</v>
      </c>
      <c r="J277" s="6">
        <f t="shared" si="23"/>
        <v>0</v>
      </c>
      <c r="K277" s="6">
        <f t="shared" si="23"/>
        <v>0</v>
      </c>
      <c r="L277" s="6">
        <f t="shared" si="23"/>
        <v>0</v>
      </c>
      <c r="M277" s="6">
        <f t="shared" si="23"/>
        <v>0</v>
      </c>
      <c r="N277" s="6" t="str">
        <f t="shared" si="26"/>
        <v/>
      </c>
      <c r="O277" s="6" t="str">
        <f t="shared" si="27"/>
        <v/>
      </c>
    </row>
    <row r="278" spans="1:15">
      <c r="A278" s="4"/>
      <c r="B278" s="5"/>
      <c r="C278" s="4"/>
      <c r="D278" s="4"/>
      <c r="E278" s="4"/>
      <c r="F278" s="6"/>
      <c r="H278">
        <f t="shared" si="24"/>
        <v>0</v>
      </c>
      <c r="I278" t="e">
        <f t="shared" si="25"/>
        <v>#VALUE!</v>
      </c>
      <c r="J278" s="6">
        <f t="shared" si="23"/>
        <v>0</v>
      </c>
      <c r="K278" s="6">
        <f t="shared" si="23"/>
        <v>0</v>
      </c>
      <c r="L278" s="6">
        <f t="shared" si="23"/>
        <v>0</v>
      </c>
      <c r="M278" s="6">
        <f t="shared" si="23"/>
        <v>0</v>
      </c>
      <c r="N278" s="6" t="str">
        <f t="shared" si="26"/>
        <v/>
      </c>
      <c r="O278" s="6" t="str">
        <f t="shared" si="27"/>
        <v/>
      </c>
    </row>
    <row r="279" spans="1:15">
      <c r="A279" s="4"/>
      <c r="B279" s="5"/>
      <c r="C279" s="4"/>
      <c r="D279" s="4"/>
      <c r="E279" s="4"/>
      <c r="F279" s="6"/>
      <c r="H279">
        <f t="shared" si="24"/>
        <v>0</v>
      </c>
      <c r="I279" t="e">
        <f t="shared" si="25"/>
        <v>#VALUE!</v>
      </c>
      <c r="J279" s="6">
        <f t="shared" si="23"/>
        <v>0</v>
      </c>
      <c r="K279" s="6">
        <f t="shared" si="23"/>
        <v>0</v>
      </c>
      <c r="L279" s="6">
        <f t="shared" si="23"/>
        <v>0</v>
      </c>
      <c r="M279" s="6">
        <f t="shared" si="23"/>
        <v>0</v>
      </c>
      <c r="N279" s="6" t="str">
        <f t="shared" si="26"/>
        <v/>
      </c>
      <c r="O279" s="6" t="str">
        <f t="shared" si="27"/>
        <v/>
      </c>
    </row>
    <row r="280" spans="1:15">
      <c r="A280" s="4"/>
      <c r="B280" s="5"/>
      <c r="C280" s="4"/>
      <c r="D280" s="4"/>
      <c r="E280" s="4"/>
      <c r="F280" s="6"/>
      <c r="H280">
        <f t="shared" si="24"/>
        <v>0</v>
      </c>
      <c r="I280" t="e">
        <f t="shared" si="25"/>
        <v>#VALUE!</v>
      </c>
      <c r="J280" s="6">
        <f t="shared" si="23"/>
        <v>0</v>
      </c>
      <c r="K280" s="6">
        <f t="shared" si="23"/>
        <v>0</v>
      </c>
      <c r="L280" s="6">
        <f t="shared" si="23"/>
        <v>0</v>
      </c>
      <c r="M280" s="6">
        <f t="shared" si="23"/>
        <v>0</v>
      </c>
      <c r="N280" s="6" t="str">
        <f t="shared" si="26"/>
        <v/>
      </c>
      <c r="O280" s="6" t="str">
        <f t="shared" si="27"/>
        <v/>
      </c>
    </row>
    <row r="281" spans="1:15">
      <c r="A281" s="4"/>
      <c r="B281" s="5"/>
      <c r="C281" s="4"/>
      <c r="D281" s="4"/>
      <c r="E281" s="4"/>
      <c r="F281" s="6"/>
      <c r="H281">
        <f t="shared" si="24"/>
        <v>0</v>
      </c>
      <c r="I281" t="e">
        <f t="shared" si="25"/>
        <v>#VALUE!</v>
      </c>
      <c r="J281" s="6">
        <f t="shared" si="23"/>
        <v>0</v>
      </c>
      <c r="K281" s="6">
        <f t="shared" si="23"/>
        <v>0</v>
      </c>
      <c r="L281" s="6">
        <f t="shared" si="23"/>
        <v>0</v>
      </c>
      <c r="M281" s="6">
        <f t="shared" si="23"/>
        <v>0</v>
      </c>
      <c r="N281" s="6" t="str">
        <f t="shared" si="26"/>
        <v/>
      </c>
      <c r="O281" s="6" t="str">
        <f t="shared" si="27"/>
        <v/>
      </c>
    </row>
    <row r="282" spans="1:15">
      <c r="A282" s="4"/>
      <c r="B282" s="5"/>
      <c r="C282" s="4"/>
      <c r="D282" s="4"/>
      <c r="E282" s="4"/>
      <c r="F282" s="6"/>
      <c r="H282">
        <f t="shared" si="24"/>
        <v>0</v>
      </c>
      <c r="I282" t="e">
        <f t="shared" si="25"/>
        <v>#VALUE!</v>
      </c>
      <c r="J282" s="6">
        <f t="shared" si="23"/>
        <v>0</v>
      </c>
      <c r="K282" s="6">
        <f t="shared" si="23"/>
        <v>0</v>
      </c>
      <c r="L282" s="6">
        <f t="shared" si="23"/>
        <v>0</v>
      </c>
      <c r="M282" s="6">
        <f t="shared" si="23"/>
        <v>0</v>
      </c>
      <c r="N282" s="6" t="str">
        <f t="shared" si="26"/>
        <v/>
      </c>
      <c r="O282" s="6" t="str">
        <f t="shared" si="27"/>
        <v/>
      </c>
    </row>
    <row r="283" spans="1:15">
      <c r="A283" s="4"/>
      <c r="B283" s="5"/>
      <c r="C283" s="4"/>
      <c r="D283" s="4"/>
      <c r="E283" s="4"/>
      <c r="F283" s="6"/>
      <c r="H283">
        <f t="shared" si="24"/>
        <v>0</v>
      </c>
      <c r="I283" t="e">
        <f t="shared" si="25"/>
        <v>#VALUE!</v>
      </c>
      <c r="J283" s="6">
        <f t="shared" si="23"/>
        <v>0</v>
      </c>
      <c r="K283" s="6">
        <f t="shared" si="23"/>
        <v>0</v>
      </c>
      <c r="L283" s="6">
        <f t="shared" si="23"/>
        <v>0</v>
      </c>
      <c r="M283" s="6">
        <f t="shared" si="23"/>
        <v>0</v>
      </c>
      <c r="N283" s="6" t="str">
        <f t="shared" si="26"/>
        <v/>
      </c>
      <c r="O283" s="6" t="str">
        <f t="shared" si="27"/>
        <v/>
      </c>
    </row>
    <row r="284" spans="1:15">
      <c r="A284" s="4"/>
      <c r="B284" s="5"/>
      <c r="C284" s="4"/>
      <c r="D284" s="4"/>
      <c r="E284" s="4"/>
      <c r="F284" s="6"/>
      <c r="H284">
        <f t="shared" si="24"/>
        <v>0</v>
      </c>
      <c r="I284" t="e">
        <f t="shared" si="25"/>
        <v>#VALUE!</v>
      </c>
      <c r="J284" s="6">
        <f t="shared" si="23"/>
        <v>0</v>
      </c>
      <c r="K284" s="6">
        <f t="shared" si="23"/>
        <v>0</v>
      </c>
      <c r="L284" s="6">
        <f t="shared" si="23"/>
        <v>0</v>
      </c>
      <c r="M284" s="6">
        <f t="shared" si="23"/>
        <v>0</v>
      </c>
      <c r="N284" s="6" t="str">
        <f t="shared" si="26"/>
        <v/>
      </c>
      <c r="O284" s="6" t="str">
        <f t="shared" si="27"/>
        <v/>
      </c>
    </row>
    <row r="285" spans="1:15">
      <c r="A285" s="4"/>
      <c r="B285" s="5"/>
      <c r="C285" s="4"/>
      <c r="D285" s="4"/>
      <c r="E285" s="4"/>
      <c r="F285" s="6"/>
      <c r="H285">
        <f t="shared" si="24"/>
        <v>0</v>
      </c>
      <c r="I285" t="e">
        <f t="shared" si="25"/>
        <v>#VALUE!</v>
      </c>
      <c r="J285" s="6">
        <f t="shared" si="23"/>
        <v>0</v>
      </c>
      <c r="K285" s="6">
        <f t="shared" si="23"/>
        <v>0</v>
      </c>
      <c r="L285" s="6">
        <f t="shared" si="23"/>
        <v>0</v>
      </c>
      <c r="M285" s="6">
        <f t="shared" si="23"/>
        <v>0</v>
      </c>
      <c r="N285" s="6" t="str">
        <f t="shared" si="26"/>
        <v/>
      </c>
      <c r="O285" s="6" t="str">
        <f t="shared" si="27"/>
        <v/>
      </c>
    </row>
    <row r="286" spans="1:15">
      <c r="A286" s="4"/>
      <c r="B286" s="5"/>
      <c r="C286" s="4"/>
      <c r="D286" s="4"/>
      <c r="E286" s="4"/>
      <c r="F286" s="6"/>
      <c r="H286">
        <f t="shared" si="24"/>
        <v>0</v>
      </c>
      <c r="I286" t="e">
        <f t="shared" si="25"/>
        <v>#VALUE!</v>
      </c>
      <c r="J286" s="6">
        <f t="shared" si="23"/>
        <v>0</v>
      </c>
      <c r="K286" s="6">
        <f t="shared" si="23"/>
        <v>0</v>
      </c>
      <c r="L286" s="6">
        <f t="shared" si="23"/>
        <v>0</v>
      </c>
      <c r="M286" s="6">
        <f t="shared" si="23"/>
        <v>0</v>
      </c>
      <c r="N286" s="6" t="str">
        <f t="shared" si="26"/>
        <v/>
      </c>
      <c r="O286" s="6" t="str">
        <f t="shared" si="27"/>
        <v/>
      </c>
    </row>
    <row r="287" spans="1:15">
      <c r="A287" s="4"/>
      <c r="B287" s="5"/>
      <c r="C287" s="4"/>
      <c r="D287" s="4"/>
      <c r="E287" s="4"/>
      <c r="F287" s="6"/>
      <c r="H287">
        <f t="shared" si="24"/>
        <v>0</v>
      </c>
      <c r="I287" t="e">
        <f t="shared" si="25"/>
        <v>#VALUE!</v>
      </c>
      <c r="J287" s="6">
        <f t="shared" si="23"/>
        <v>0</v>
      </c>
      <c r="K287" s="6">
        <f t="shared" si="23"/>
        <v>0</v>
      </c>
      <c r="L287" s="6">
        <f t="shared" si="23"/>
        <v>0</v>
      </c>
      <c r="M287" s="6">
        <f t="shared" si="23"/>
        <v>0</v>
      </c>
      <c r="N287" s="6" t="str">
        <f t="shared" si="26"/>
        <v/>
      </c>
      <c r="O287" s="6" t="str">
        <f t="shared" si="27"/>
        <v/>
      </c>
    </row>
    <row r="288" spans="1:15">
      <c r="A288" s="4"/>
      <c r="B288" s="5"/>
      <c r="C288" s="4"/>
      <c r="D288" s="4"/>
      <c r="E288" s="4"/>
      <c r="F288" s="6"/>
      <c r="H288">
        <f t="shared" si="24"/>
        <v>0</v>
      </c>
      <c r="I288" t="e">
        <f t="shared" si="25"/>
        <v>#VALUE!</v>
      </c>
      <c r="J288" s="6">
        <f t="shared" si="23"/>
        <v>0</v>
      </c>
      <c r="K288" s="6">
        <f t="shared" si="23"/>
        <v>0</v>
      </c>
      <c r="L288" s="6">
        <f t="shared" si="23"/>
        <v>0</v>
      </c>
      <c r="M288" s="6">
        <f t="shared" si="23"/>
        <v>0</v>
      </c>
      <c r="N288" s="6" t="str">
        <f t="shared" si="26"/>
        <v/>
      </c>
      <c r="O288" s="6" t="str">
        <f t="shared" si="27"/>
        <v/>
      </c>
    </row>
    <row r="289" spans="1:15">
      <c r="A289" s="4"/>
      <c r="B289" s="5"/>
      <c r="C289" s="4"/>
      <c r="D289" s="4"/>
      <c r="E289" s="4"/>
      <c r="F289" s="6"/>
      <c r="H289">
        <f t="shared" si="24"/>
        <v>0</v>
      </c>
      <c r="I289" t="e">
        <f t="shared" si="25"/>
        <v>#VALUE!</v>
      </c>
      <c r="J289" s="6">
        <f t="shared" si="23"/>
        <v>0</v>
      </c>
      <c r="K289" s="6">
        <f t="shared" si="23"/>
        <v>0</v>
      </c>
      <c r="L289" s="6">
        <f t="shared" si="23"/>
        <v>0</v>
      </c>
      <c r="M289" s="6">
        <f t="shared" si="23"/>
        <v>0</v>
      </c>
      <c r="N289" s="6" t="str">
        <f t="shared" si="26"/>
        <v/>
      </c>
      <c r="O289" s="6" t="str">
        <f t="shared" si="27"/>
        <v/>
      </c>
    </row>
    <row r="290" spans="1:15">
      <c r="A290" s="4"/>
      <c r="B290" s="5"/>
      <c r="C290" s="4"/>
      <c r="D290" s="4"/>
      <c r="E290" s="4"/>
      <c r="F290" s="6"/>
      <c r="H290">
        <f t="shared" si="24"/>
        <v>0</v>
      </c>
      <c r="I290" t="e">
        <f t="shared" si="25"/>
        <v>#VALUE!</v>
      </c>
      <c r="J290" s="6">
        <f t="shared" si="23"/>
        <v>0</v>
      </c>
      <c r="K290" s="6">
        <f t="shared" si="23"/>
        <v>0</v>
      </c>
      <c r="L290" s="6">
        <f t="shared" si="23"/>
        <v>0</v>
      </c>
      <c r="M290" s="6">
        <f t="shared" si="23"/>
        <v>0</v>
      </c>
      <c r="N290" s="6" t="str">
        <f t="shared" si="26"/>
        <v/>
      </c>
      <c r="O290" s="6" t="str">
        <f t="shared" si="27"/>
        <v/>
      </c>
    </row>
    <row r="291" spans="1:15">
      <c r="A291" s="4"/>
      <c r="B291" s="5"/>
      <c r="C291" s="4"/>
      <c r="D291" s="4"/>
      <c r="E291" s="4"/>
      <c r="F291" s="6"/>
      <c r="H291">
        <f t="shared" si="24"/>
        <v>0</v>
      </c>
      <c r="I291" t="e">
        <f t="shared" si="25"/>
        <v>#VALUE!</v>
      </c>
      <c r="J291" s="6">
        <f t="shared" si="23"/>
        <v>0</v>
      </c>
      <c r="K291" s="6">
        <f t="shared" si="23"/>
        <v>0</v>
      </c>
      <c r="L291" s="6">
        <f t="shared" si="23"/>
        <v>0</v>
      </c>
      <c r="M291" s="6">
        <f t="shared" si="23"/>
        <v>0</v>
      </c>
      <c r="N291" s="6" t="str">
        <f t="shared" si="26"/>
        <v/>
      </c>
      <c r="O291" s="6" t="str">
        <f t="shared" si="27"/>
        <v/>
      </c>
    </row>
    <row r="292" spans="1:15">
      <c r="A292" s="4"/>
      <c r="B292" s="5"/>
      <c r="C292" s="4"/>
      <c r="D292" s="4"/>
      <c r="E292" s="4"/>
      <c r="F292" s="6"/>
      <c r="H292">
        <f t="shared" si="24"/>
        <v>0</v>
      </c>
      <c r="I292" t="e">
        <f t="shared" si="25"/>
        <v>#VALUE!</v>
      </c>
      <c r="J292" s="6">
        <f t="shared" si="23"/>
        <v>0</v>
      </c>
      <c r="K292" s="6">
        <f t="shared" si="23"/>
        <v>0</v>
      </c>
      <c r="L292" s="6">
        <f t="shared" si="23"/>
        <v>0</v>
      </c>
      <c r="M292" s="6">
        <f t="shared" si="23"/>
        <v>0</v>
      </c>
      <c r="N292" s="6" t="str">
        <f t="shared" si="26"/>
        <v/>
      </c>
      <c r="O292" s="6" t="str">
        <f t="shared" si="27"/>
        <v/>
      </c>
    </row>
    <row r="293" spans="1:15">
      <c r="A293" s="4"/>
      <c r="B293" s="5"/>
      <c r="C293" s="4"/>
      <c r="D293" s="4"/>
      <c r="E293" s="4"/>
      <c r="F293" s="6"/>
      <c r="H293">
        <f t="shared" si="24"/>
        <v>0</v>
      </c>
      <c r="I293" t="e">
        <f t="shared" si="25"/>
        <v>#VALUE!</v>
      </c>
      <c r="J293" s="6">
        <f t="shared" si="23"/>
        <v>0</v>
      </c>
      <c r="K293" s="6">
        <f t="shared" si="23"/>
        <v>0</v>
      </c>
      <c r="L293" s="6">
        <f t="shared" si="23"/>
        <v>0</v>
      </c>
      <c r="M293" s="6">
        <f t="shared" si="23"/>
        <v>0</v>
      </c>
      <c r="N293" s="6" t="str">
        <f t="shared" si="26"/>
        <v/>
      </c>
      <c r="O293" s="6" t="str">
        <f t="shared" si="27"/>
        <v/>
      </c>
    </row>
    <row r="294" spans="1:15">
      <c r="A294" s="4"/>
      <c r="B294" s="5"/>
      <c r="C294" s="4"/>
      <c r="D294" s="4"/>
      <c r="E294" s="4"/>
      <c r="F294" s="6"/>
      <c r="H294">
        <f t="shared" si="24"/>
        <v>0</v>
      </c>
      <c r="I294" t="e">
        <f t="shared" si="25"/>
        <v>#VALUE!</v>
      </c>
      <c r="J294" s="6">
        <f t="shared" si="23"/>
        <v>0</v>
      </c>
      <c r="K294" s="6">
        <f t="shared" si="23"/>
        <v>0</v>
      </c>
      <c r="L294" s="6">
        <f t="shared" si="23"/>
        <v>0</v>
      </c>
      <c r="M294" s="6">
        <f t="shared" si="23"/>
        <v>0</v>
      </c>
      <c r="N294" s="6" t="str">
        <f t="shared" si="26"/>
        <v/>
      </c>
      <c r="O294" s="6" t="str">
        <f t="shared" si="27"/>
        <v/>
      </c>
    </row>
    <row r="295" spans="1:15">
      <c r="A295" s="4"/>
      <c r="B295" s="5"/>
      <c r="C295" s="4"/>
      <c r="D295" s="4"/>
      <c r="E295" s="4"/>
      <c r="F295" s="6"/>
      <c r="H295">
        <f t="shared" si="24"/>
        <v>0</v>
      </c>
      <c r="I295" t="e">
        <f t="shared" si="25"/>
        <v>#VALUE!</v>
      </c>
      <c r="J295" s="6">
        <f t="shared" si="23"/>
        <v>0</v>
      </c>
      <c r="K295" s="6">
        <f t="shared" si="23"/>
        <v>0</v>
      </c>
      <c r="L295" s="6">
        <f t="shared" si="23"/>
        <v>0</v>
      </c>
      <c r="M295" s="6">
        <f t="shared" si="23"/>
        <v>0</v>
      </c>
      <c r="N295" s="6" t="str">
        <f t="shared" si="26"/>
        <v/>
      </c>
      <c r="O295" s="6" t="str">
        <f t="shared" si="27"/>
        <v/>
      </c>
    </row>
    <row r="296" spans="1:15">
      <c r="A296" s="4"/>
      <c r="B296" s="5"/>
      <c r="C296" s="4"/>
      <c r="D296" s="4"/>
      <c r="E296" s="4"/>
      <c r="F296" s="6"/>
      <c r="H296">
        <f t="shared" si="24"/>
        <v>0</v>
      </c>
      <c r="I296" t="e">
        <f t="shared" si="25"/>
        <v>#VALUE!</v>
      </c>
      <c r="J296" s="6">
        <f t="shared" si="23"/>
        <v>0</v>
      </c>
      <c r="K296" s="6">
        <f t="shared" si="23"/>
        <v>0</v>
      </c>
      <c r="L296" s="6">
        <f t="shared" si="23"/>
        <v>0</v>
      </c>
      <c r="M296" s="6">
        <f t="shared" ref="M296:M359" si="28">F296</f>
        <v>0</v>
      </c>
      <c r="N296" s="6" t="str">
        <f t="shared" si="26"/>
        <v/>
      </c>
      <c r="O296" s="6" t="str">
        <f t="shared" si="27"/>
        <v/>
      </c>
    </row>
    <row r="297" spans="1:15">
      <c r="A297" s="4"/>
      <c r="B297" s="5"/>
      <c r="C297" s="4"/>
      <c r="D297" s="4"/>
      <c r="E297" s="4"/>
      <c r="F297" s="6"/>
      <c r="H297">
        <f t="shared" si="24"/>
        <v>0</v>
      </c>
      <c r="I297" t="e">
        <f t="shared" si="25"/>
        <v>#VALUE!</v>
      </c>
      <c r="J297" s="6">
        <f t="shared" ref="J297:M360" si="29">C297</f>
        <v>0</v>
      </c>
      <c r="K297" s="6">
        <f t="shared" si="29"/>
        <v>0</v>
      </c>
      <c r="L297" s="6">
        <f t="shared" si="29"/>
        <v>0</v>
      </c>
      <c r="M297" s="6">
        <f t="shared" si="28"/>
        <v>0</v>
      </c>
      <c r="N297" s="6" t="str">
        <f t="shared" si="26"/>
        <v/>
      </c>
      <c r="O297" s="6" t="str">
        <f t="shared" si="27"/>
        <v/>
      </c>
    </row>
    <row r="298" spans="1:15">
      <c r="A298" s="4"/>
      <c r="B298" s="5"/>
      <c r="C298" s="4"/>
      <c r="D298" s="4"/>
      <c r="E298" s="4"/>
      <c r="F298" s="6"/>
      <c r="H298">
        <f t="shared" si="24"/>
        <v>0</v>
      </c>
      <c r="I298" t="e">
        <f t="shared" si="25"/>
        <v>#VALUE!</v>
      </c>
      <c r="J298" s="6">
        <f t="shared" si="29"/>
        <v>0</v>
      </c>
      <c r="K298" s="6">
        <f t="shared" si="29"/>
        <v>0</v>
      </c>
      <c r="L298" s="6">
        <f t="shared" si="29"/>
        <v>0</v>
      </c>
      <c r="M298" s="6">
        <f t="shared" si="28"/>
        <v>0</v>
      </c>
      <c r="N298" s="6" t="str">
        <f t="shared" si="26"/>
        <v/>
      </c>
      <c r="O298" s="6" t="str">
        <f t="shared" si="27"/>
        <v/>
      </c>
    </row>
    <row r="299" spans="1:15">
      <c r="A299" s="4"/>
      <c r="B299" s="5"/>
      <c r="C299" s="4"/>
      <c r="D299" s="4"/>
      <c r="E299" s="4"/>
      <c r="F299" s="6"/>
      <c r="H299">
        <f t="shared" si="24"/>
        <v>0</v>
      </c>
      <c r="I299" t="e">
        <f t="shared" si="25"/>
        <v>#VALUE!</v>
      </c>
      <c r="J299" s="6">
        <f t="shared" si="29"/>
        <v>0</v>
      </c>
      <c r="K299" s="6">
        <f t="shared" si="29"/>
        <v>0</v>
      </c>
      <c r="L299" s="6">
        <f t="shared" si="29"/>
        <v>0</v>
      </c>
      <c r="M299" s="6">
        <f t="shared" si="28"/>
        <v>0</v>
      </c>
      <c r="N299" s="6" t="str">
        <f t="shared" si="26"/>
        <v/>
      </c>
      <c r="O299" s="6" t="str">
        <f t="shared" si="27"/>
        <v/>
      </c>
    </row>
    <row r="300" spans="1:15">
      <c r="A300" s="4"/>
      <c r="B300" s="5"/>
      <c r="C300" s="4"/>
      <c r="D300" s="4"/>
      <c r="E300" s="4"/>
      <c r="F300" s="6"/>
      <c r="H300">
        <f t="shared" si="24"/>
        <v>0</v>
      </c>
      <c r="I300" t="e">
        <f t="shared" si="25"/>
        <v>#VALUE!</v>
      </c>
      <c r="J300" s="6">
        <f t="shared" si="29"/>
        <v>0</v>
      </c>
      <c r="K300" s="6">
        <f t="shared" si="29"/>
        <v>0</v>
      </c>
      <c r="L300" s="6">
        <f t="shared" si="29"/>
        <v>0</v>
      </c>
      <c r="M300" s="6">
        <f t="shared" si="28"/>
        <v>0</v>
      </c>
      <c r="N300" s="6" t="str">
        <f t="shared" si="26"/>
        <v/>
      </c>
      <c r="O300" s="6" t="str">
        <f t="shared" si="27"/>
        <v/>
      </c>
    </row>
    <row r="301" spans="1:15">
      <c r="A301" s="4"/>
      <c r="B301" s="5"/>
      <c r="C301" s="4"/>
      <c r="D301" s="4"/>
      <c r="E301" s="4"/>
      <c r="F301" s="6"/>
      <c r="H301">
        <f t="shared" si="24"/>
        <v>0</v>
      </c>
      <c r="I301" t="e">
        <f t="shared" si="25"/>
        <v>#VALUE!</v>
      </c>
      <c r="J301" s="6">
        <f t="shared" si="29"/>
        <v>0</v>
      </c>
      <c r="K301" s="6">
        <f t="shared" si="29"/>
        <v>0</v>
      </c>
      <c r="L301" s="6">
        <f t="shared" si="29"/>
        <v>0</v>
      </c>
      <c r="M301" s="6">
        <f t="shared" si="28"/>
        <v>0</v>
      </c>
      <c r="N301" s="6" t="str">
        <f t="shared" si="26"/>
        <v/>
      </c>
      <c r="O301" s="6" t="str">
        <f t="shared" si="27"/>
        <v/>
      </c>
    </row>
    <row r="302" spans="1:15">
      <c r="A302" s="4"/>
      <c r="B302" s="5"/>
      <c r="C302" s="4"/>
      <c r="D302" s="4"/>
      <c r="E302" s="4"/>
      <c r="F302" s="6"/>
      <c r="H302">
        <f t="shared" si="24"/>
        <v>0</v>
      </c>
      <c r="I302" t="e">
        <f t="shared" si="25"/>
        <v>#VALUE!</v>
      </c>
      <c r="J302" s="6">
        <f t="shared" si="29"/>
        <v>0</v>
      </c>
      <c r="K302" s="6">
        <f t="shared" si="29"/>
        <v>0</v>
      </c>
      <c r="L302" s="6">
        <f t="shared" si="29"/>
        <v>0</v>
      </c>
      <c r="M302" s="6">
        <f t="shared" si="28"/>
        <v>0</v>
      </c>
      <c r="N302" s="6" t="str">
        <f t="shared" si="26"/>
        <v/>
      </c>
      <c r="O302" s="6" t="str">
        <f t="shared" si="27"/>
        <v/>
      </c>
    </row>
    <row r="303" spans="1:15">
      <c r="A303" s="4"/>
      <c r="B303" s="5"/>
      <c r="C303" s="4"/>
      <c r="D303" s="4"/>
      <c r="E303" s="4"/>
      <c r="F303" s="6"/>
      <c r="H303">
        <f t="shared" si="24"/>
        <v>0</v>
      </c>
      <c r="I303" t="e">
        <f t="shared" si="25"/>
        <v>#VALUE!</v>
      </c>
      <c r="J303" s="6">
        <f t="shared" si="29"/>
        <v>0</v>
      </c>
      <c r="K303" s="6">
        <f t="shared" si="29"/>
        <v>0</v>
      </c>
      <c r="L303" s="6">
        <f t="shared" si="29"/>
        <v>0</v>
      </c>
      <c r="M303" s="6">
        <f t="shared" si="28"/>
        <v>0</v>
      </c>
      <c r="N303" s="6" t="str">
        <f t="shared" si="26"/>
        <v/>
      </c>
      <c r="O303" s="6" t="str">
        <f t="shared" si="27"/>
        <v/>
      </c>
    </row>
    <row r="304" spans="1:15">
      <c r="A304" s="4"/>
      <c r="B304" s="5"/>
      <c r="C304" s="4"/>
      <c r="D304" s="4"/>
      <c r="E304" s="4"/>
      <c r="F304" s="6"/>
      <c r="H304">
        <f t="shared" si="24"/>
        <v>0</v>
      </c>
      <c r="I304" t="e">
        <f t="shared" si="25"/>
        <v>#VALUE!</v>
      </c>
      <c r="J304" s="6">
        <f t="shared" si="29"/>
        <v>0</v>
      </c>
      <c r="K304" s="6">
        <f t="shared" si="29"/>
        <v>0</v>
      </c>
      <c r="L304" s="6">
        <f t="shared" si="29"/>
        <v>0</v>
      </c>
      <c r="M304" s="6">
        <f t="shared" si="28"/>
        <v>0</v>
      </c>
      <c r="N304" s="6" t="str">
        <f t="shared" si="26"/>
        <v/>
      </c>
      <c r="O304" s="6" t="str">
        <f t="shared" si="27"/>
        <v/>
      </c>
    </row>
    <row r="305" spans="1:15">
      <c r="A305" s="4"/>
      <c r="B305" s="5"/>
      <c r="C305" s="4"/>
      <c r="D305" s="4"/>
      <c r="E305" s="4"/>
      <c r="F305" s="6"/>
      <c r="H305">
        <f t="shared" si="24"/>
        <v>0</v>
      </c>
      <c r="I305" t="e">
        <f t="shared" si="25"/>
        <v>#VALUE!</v>
      </c>
      <c r="J305" s="6">
        <f t="shared" si="29"/>
        <v>0</v>
      </c>
      <c r="K305" s="6">
        <f t="shared" si="29"/>
        <v>0</v>
      </c>
      <c r="L305" s="6">
        <f t="shared" si="29"/>
        <v>0</v>
      </c>
      <c r="M305" s="6">
        <f t="shared" si="28"/>
        <v>0</v>
      </c>
      <c r="N305" s="6" t="str">
        <f t="shared" si="26"/>
        <v/>
      </c>
      <c r="O305" s="6" t="str">
        <f t="shared" si="27"/>
        <v/>
      </c>
    </row>
    <row r="306" spans="1:15">
      <c r="A306" s="4"/>
      <c r="B306" s="5"/>
      <c r="C306" s="4"/>
      <c r="D306" s="4"/>
      <c r="E306" s="4"/>
      <c r="F306" s="6"/>
      <c r="H306">
        <f t="shared" si="24"/>
        <v>0</v>
      </c>
      <c r="I306" t="e">
        <f t="shared" si="25"/>
        <v>#VALUE!</v>
      </c>
      <c r="J306" s="6">
        <f t="shared" si="29"/>
        <v>0</v>
      </c>
      <c r="K306" s="6">
        <f t="shared" si="29"/>
        <v>0</v>
      </c>
      <c r="L306" s="6">
        <f t="shared" si="29"/>
        <v>0</v>
      </c>
      <c r="M306" s="6">
        <f t="shared" si="28"/>
        <v>0</v>
      </c>
      <c r="N306" s="6" t="str">
        <f t="shared" si="26"/>
        <v/>
      </c>
      <c r="O306" s="6" t="str">
        <f t="shared" si="27"/>
        <v/>
      </c>
    </row>
    <row r="307" spans="1:15">
      <c r="A307" s="4"/>
      <c r="B307" s="5"/>
      <c r="C307" s="4"/>
      <c r="D307" s="4"/>
      <c r="E307" s="4"/>
      <c r="F307" s="6"/>
      <c r="H307">
        <f t="shared" si="24"/>
        <v>0</v>
      </c>
      <c r="I307" t="e">
        <f t="shared" si="25"/>
        <v>#VALUE!</v>
      </c>
      <c r="J307" s="6">
        <f t="shared" si="29"/>
        <v>0</v>
      </c>
      <c r="K307" s="6">
        <f t="shared" si="29"/>
        <v>0</v>
      </c>
      <c r="L307" s="6">
        <f t="shared" si="29"/>
        <v>0</v>
      </c>
      <c r="M307" s="6">
        <f t="shared" si="28"/>
        <v>0</v>
      </c>
      <c r="N307" s="6" t="str">
        <f t="shared" si="26"/>
        <v/>
      </c>
      <c r="O307" s="6" t="str">
        <f t="shared" si="27"/>
        <v/>
      </c>
    </row>
    <row r="308" spans="1:15">
      <c r="A308" s="4"/>
      <c r="B308" s="5"/>
      <c r="C308" s="4"/>
      <c r="D308" s="4"/>
      <c r="E308" s="4"/>
      <c r="F308" s="6"/>
      <c r="H308">
        <f t="shared" si="24"/>
        <v>0</v>
      </c>
      <c r="I308" t="e">
        <f t="shared" si="25"/>
        <v>#VALUE!</v>
      </c>
      <c r="J308" s="6">
        <f t="shared" si="29"/>
        <v>0</v>
      </c>
      <c r="K308" s="6">
        <f t="shared" si="29"/>
        <v>0</v>
      </c>
      <c r="L308" s="6">
        <f t="shared" si="29"/>
        <v>0</v>
      </c>
      <c r="M308" s="6">
        <f t="shared" si="28"/>
        <v>0</v>
      </c>
      <c r="N308" s="6" t="str">
        <f t="shared" si="26"/>
        <v/>
      </c>
      <c r="O308" s="6" t="str">
        <f t="shared" si="27"/>
        <v/>
      </c>
    </row>
    <row r="309" spans="1:15">
      <c r="A309" s="4"/>
      <c r="B309" s="5"/>
      <c r="C309" s="4"/>
      <c r="D309" s="4"/>
      <c r="E309" s="4"/>
      <c r="F309" s="6"/>
      <c r="H309">
        <f t="shared" si="24"/>
        <v>0</v>
      </c>
      <c r="I309" t="e">
        <f t="shared" si="25"/>
        <v>#VALUE!</v>
      </c>
      <c r="J309" s="6">
        <f t="shared" si="29"/>
        <v>0</v>
      </c>
      <c r="K309" s="6">
        <f t="shared" si="29"/>
        <v>0</v>
      </c>
      <c r="L309" s="6">
        <f t="shared" si="29"/>
        <v>0</v>
      </c>
      <c r="M309" s="6">
        <f t="shared" si="28"/>
        <v>0</v>
      </c>
      <c r="N309" s="6" t="str">
        <f t="shared" si="26"/>
        <v/>
      </c>
      <c r="O309" s="6" t="str">
        <f t="shared" si="27"/>
        <v/>
      </c>
    </row>
    <row r="310" spans="1:15">
      <c r="A310" s="4"/>
      <c r="B310" s="5"/>
      <c r="C310" s="4"/>
      <c r="D310" s="4"/>
      <c r="E310" s="4"/>
      <c r="F310" s="6"/>
      <c r="H310">
        <f t="shared" si="24"/>
        <v>0</v>
      </c>
      <c r="I310" t="e">
        <f t="shared" si="25"/>
        <v>#VALUE!</v>
      </c>
      <c r="J310" s="6">
        <f t="shared" si="29"/>
        <v>0</v>
      </c>
      <c r="K310" s="6">
        <f t="shared" si="29"/>
        <v>0</v>
      </c>
      <c r="L310" s="6">
        <f t="shared" si="29"/>
        <v>0</v>
      </c>
      <c r="M310" s="6">
        <f t="shared" si="28"/>
        <v>0</v>
      </c>
      <c r="N310" s="6" t="str">
        <f t="shared" si="26"/>
        <v/>
      </c>
      <c r="O310" s="6" t="str">
        <f t="shared" si="27"/>
        <v/>
      </c>
    </row>
    <row r="311" spans="1:15">
      <c r="A311" s="4"/>
      <c r="B311" s="5"/>
      <c r="C311" s="4"/>
      <c r="D311" s="4"/>
      <c r="E311" s="4"/>
      <c r="F311" s="6"/>
      <c r="H311">
        <f t="shared" si="24"/>
        <v>0</v>
      </c>
      <c r="I311" t="e">
        <f t="shared" si="25"/>
        <v>#VALUE!</v>
      </c>
      <c r="J311" s="6">
        <f t="shared" si="29"/>
        <v>0</v>
      </c>
      <c r="K311" s="6">
        <f t="shared" si="29"/>
        <v>0</v>
      </c>
      <c r="L311" s="6">
        <f t="shared" si="29"/>
        <v>0</v>
      </c>
      <c r="M311" s="6">
        <f t="shared" si="28"/>
        <v>0</v>
      </c>
      <c r="N311" s="6" t="str">
        <f t="shared" si="26"/>
        <v/>
      </c>
      <c r="O311" s="6" t="str">
        <f t="shared" si="27"/>
        <v/>
      </c>
    </row>
    <row r="312" spans="1:15">
      <c r="H312">
        <f t="shared" si="24"/>
        <v>0</v>
      </c>
      <c r="I312" t="e">
        <f t="shared" si="25"/>
        <v>#VALUE!</v>
      </c>
      <c r="J312" s="6">
        <f t="shared" si="29"/>
        <v>0</v>
      </c>
      <c r="K312" s="6">
        <f t="shared" si="29"/>
        <v>0</v>
      </c>
      <c r="L312" s="6">
        <f t="shared" si="29"/>
        <v>0</v>
      </c>
      <c r="M312" s="6">
        <f t="shared" si="28"/>
        <v>0</v>
      </c>
      <c r="N312" s="6" t="str">
        <f t="shared" si="26"/>
        <v/>
      </c>
      <c r="O312" s="6" t="str">
        <f t="shared" si="27"/>
        <v/>
      </c>
    </row>
    <row r="313" spans="1:15">
      <c r="H313">
        <f t="shared" si="24"/>
        <v>0</v>
      </c>
      <c r="I313" t="e">
        <f t="shared" si="25"/>
        <v>#VALUE!</v>
      </c>
      <c r="J313" s="6">
        <f t="shared" si="29"/>
        <v>0</v>
      </c>
      <c r="K313" s="6">
        <f t="shared" si="29"/>
        <v>0</v>
      </c>
      <c r="L313" s="6">
        <f t="shared" si="29"/>
        <v>0</v>
      </c>
      <c r="M313" s="6">
        <f t="shared" si="28"/>
        <v>0</v>
      </c>
      <c r="N313" s="6" t="str">
        <f t="shared" si="26"/>
        <v/>
      </c>
      <c r="O313" s="6" t="str">
        <f t="shared" si="27"/>
        <v/>
      </c>
    </row>
    <row r="314" spans="1:15">
      <c r="H314">
        <f t="shared" si="24"/>
        <v>0</v>
      </c>
      <c r="I314" t="e">
        <f t="shared" si="25"/>
        <v>#VALUE!</v>
      </c>
      <c r="J314" s="6">
        <f t="shared" si="29"/>
        <v>0</v>
      </c>
      <c r="K314" s="6">
        <f t="shared" si="29"/>
        <v>0</v>
      </c>
      <c r="L314" s="6">
        <f t="shared" si="29"/>
        <v>0</v>
      </c>
      <c r="M314" s="6">
        <f t="shared" si="28"/>
        <v>0</v>
      </c>
      <c r="N314" s="6" t="str">
        <f t="shared" si="26"/>
        <v/>
      </c>
      <c r="O314" s="6" t="str">
        <f t="shared" si="27"/>
        <v/>
      </c>
    </row>
    <row r="315" spans="1:15">
      <c r="H315">
        <f t="shared" si="24"/>
        <v>0</v>
      </c>
      <c r="I315" t="e">
        <f t="shared" si="25"/>
        <v>#VALUE!</v>
      </c>
      <c r="J315" s="6">
        <f t="shared" si="29"/>
        <v>0</v>
      </c>
      <c r="K315" s="6">
        <f t="shared" si="29"/>
        <v>0</v>
      </c>
      <c r="L315" s="6">
        <f t="shared" si="29"/>
        <v>0</v>
      </c>
      <c r="M315" s="6">
        <f t="shared" si="28"/>
        <v>0</v>
      </c>
      <c r="N315" s="6" t="str">
        <f t="shared" si="26"/>
        <v/>
      </c>
      <c r="O315" s="6" t="str">
        <f t="shared" si="27"/>
        <v/>
      </c>
    </row>
    <row r="316" spans="1:15">
      <c r="H316">
        <f t="shared" si="24"/>
        <v>0</v>
      </c>
      <c r="I316" t="e">
        <f t="shared" si="25"/>
        <v>#VALUE!</v>
      </c>
      <c r="J316" s="6">
        <f t="shared" si="29"/>
        <v>0</v>
      </c>
      <c r="K316" s="6">
        <f t="shared" si="29"/>
        <v>0</v>
      </c>
      <c r="L316" s="6">
        <f t="shared" si="29"/>
        <v>0</v>
      </c>
      <c r="M316" s="6">
        <f t="shared" si="28"/>
        <v>0</v>
      </c>
      <c r="N316" s="6" t="str">
        <f t="shared" si="26"/>
        <v/>
      </c>
      <c r="O316" s="6" t="str">
        <f t="shared" si="27"/>
        <v/>
      </c>
    </row>
    <row r="317" spans="1:15">
      <c r="H317">
        <f t="shared" si="24"/>
        <v>0</v>
      </c>
      <c r="I317" t="e">
        <f t="shared" si="25"/>
        <v>#VALUE!</v>
      </c>
      <c r="J317" s="6">
        <f t="shared" si="29"/>
        <v>0</v>
      </c>
      <c r="K317" s="6">
        <f t="shared" si="29"/>
        <v>0</v>
      </c>
      <c r="L317" s="6">
        <f t="shared" si="29"/>
        <v>0</v>
      </c>
      <c r="M317" s="6">
        <f t="shared" si="28"/>
        <v>0</v>
      </c>
      <c r="N317" s="6" t="str">
        <f t="shared" si="26"/>
        <v/>
      </c>
      <c r="O317" s="6" t="str">
        <f t="shared" si="27"/>
        <v/>
      </c>
    </row>
    <row r="318" spans="1:15">
      <c r="H318">
        <f t="shared" si="24"/>
        <v>0</v>
      </c>
      <c r="I318" t="e">
        <f t="shared" si="25"/>
        <v>#VALUE!</v>
      </c>
      <c r="J318" s="6">
        <f t="shared" si="29"/>
        <v>0</v>
      </c>
      <c r="K318" s="6">
        <f t="shared" si="29"/>
        <v>0</v>
      </c>
      <c r="L318" s="6">
        <f t="shared" si="29"/>
        <v>0</v>
      </c>
      <c r="M318" s="6">
        <f t="shared" si="28"/>
        <v>0</v>
      </c>
      <c r="N318" s="6" t="str">
        <f t="shared" si="26"/>
        <v/>
      </c>
      <c r="O318" s="6" t="str">
        <f t="shared" si="27"/>
        <v/>
      </c>
    </row>
    <row r="319" spans="1:15">
      <c r="H319">
        <f t="shared" si="24"/>
        <v>0</v>
      </c>
      <c r="I319" t="e">
        <f t="shared" si="25"/>
        <v>#VALUE!</v>
      </c>
      <c r="J319" s="6">
        <f t="shared" si="29"/>
        <v>0</v>
      </c>
      <c r="K319" s="6">
        <f t="shared" si="29"/>
        <v>0</v>
      </c>
      <c r="L319" s="6">
        <f t="shared" si="29"/>
        <v>0</v>
      </c>
      <c r="M319" s="6">
        <f t="shared" si="28"/>
        <v>0</v>
      </c>
      <c r="N319" s="6" t="str">
        <f t="shared" si="26"/>
        <v/>
      </c>
      <c r="O319" s="6" t="str">
        <f t="shared" si="27"/>
        <v/>
      </c>
    </row>
    <row r="320" spans="1:15">
      <c r="H320">
        <f t="shared" si="24"/>
        <v>0</v>
      </c>
      <c r="I320" t="e">
        <f t="shared" si="25"/>
        <v>#VALUE!</v>
      </c>
      <c r="J320" s="6">
        <f t="shared" si="29"/>
        <v>0</v>
      </c>
      <c r="K320" s="6">
        <f t="shared" si="29"/>
        <v>0</v>
      </c>
      <c r="L320" s="6">
        <f t="shared" si="29"/>
        <v>0</v>
      </c>
      <c r="M320" s="6">
        <f t="shared" si="28"/>
        <v>0</v>
      </c>
      <c r="N320" s="6" t="str">
        <f t="shared" si="26"/>
        <v/>
      </c>
      <c r="O320" s="6" t="str">
        <f t="shared" si="27"/>
        <v/>
      </c>
    </row>
    <row r="321" spans="8:15">
      <c r="H321">
        <f t="shared" si="24"/>
        <v>0</v>
      </c>
      <c r="I321" t="e">
        <f t="shared" si="25"/>
        <v>#VALUE!</v>
      </c>
      <c r="J321" s="6">
        <f t="shared" si="29"/>
        <v>0</v>
      </c>
      <c r="K321" s="6">
        <f t="shared" si="29"/>
        <v>0</v>
      </c>
      <c r="L321" s="6">
        <f t="shared" si="29"/>
        <v>0</v>
      </c>
      <c r="M321" s="6">
        <f t="shared" si="28"/>
        <v>0</v>
      </c>
      <c r="N321" s="6" t="str">
        <f t="shared" si="26"/>
        <v/>
      </c>
      <c r="O321" s="6" t="str">
        <f t="shared" si="27"/>
        <v/>
      </c>
    </row>
    <row r="322" spans="8:15">
      <c r="H322">
        <f t="shared" si="24"/>
        <v>0</v>
      </c>
      <c r="I322" t="e">
        <f t="shared" si="25"/>
        <v>#VALUE!</v>
      </c>
      <c r="J322" s="6">
        <f t="shared" si="29"/>
        <v>0</v>
      </c>
      <c r="K322" s="6">
        <f t="shared" si="29"/>
        <v>0</v>
      </c>
      <c r="L322" s="6">
        <f t="shared" si="29"/>
        <v>0</v>
      </c>
      <c r="M322" s="6">
        <f t="shared" si="28"/>
        <v>0</v>
      </c>
      <c r="N322" s="6" t="str">
        <f t="shared" si="26"/>
        <v/>
      </c>
      <c r="O322" s="6" t="str">
        <f t="shared" si="27"/>
        <v/>
      </c>
    </row>
    <row r="323" spans="8:15">
      <c r="H323">
        <f t="shared" si="24"/>
        <v>0</v>
      </c>
      <c r="I323" t="e">
        <f t="shared" si="25"/>
        <v>#VALUE!</v>
      </c>
      <c r="J323" s="6">
        <f t="shared" si="29"/>
        <v>0</v>
      </c>
      <c r="K323" s="6">
        <f t="shared" si="29"/>
        <v>0</v>
      </c>
      <c r="L323" s="6">
        <f t="shared" si="29"/>
        <v>0</v>
      </c>
      <c r="M323" s="6">
        <f t="shared" si="28"/>
        <v>0</v>
      </c>
      <c r="N323" s="6" t="str">
        <f t="shared" si="26"/>
        <v/>
      </c>
      <c r="O323" s="6" t="str">
        <f t="shared" si="27"/>
        <v/>
      </c>
    </row>
    <row r="324" spans="8:15">
      <c r="H324">
        <f t="shared" si="24"/>
        <v>0</v>
      </c>
      <c r="I324" t="e">
        <f t="shared" si="25"/>
        <v>#VALUE!</v>
      </c>
      <c r="J324" s="6">
        <f t="shared" si="29"/>
        <v>0</v>
      </c>
      <c r="K324" s="6">
        <f t="shared" si="29"/>
        <v>0</v>
      </c>
      <c r="L324" s="6">
        <f t="shared" si="29"/>
        <v>0</v>
      </c>
      <c r="M324" s="6">
        <f t="shared" si="28"/>
        <v>0</v>
      </c>
      <c r="N324" s="6" t="str">
        <f t="shared" si="26"/>
        <v/>
      </c>
      <c r="O324" s="6" t="str">
        <f t="shared" si="27"/>
        <v/>
      </c>
    </row>
    <row r="325" spans="8:15">
      <c r="H325">
        <f t="shared" si="24"/>
        <v>0</v>
      </c>
      <c r="I325" t="e">
        <f t="shared" si="25"/>
        <v>#VALUE!</v>
      </c>
      <c r="J325" s="6">
        <f t="shared" si="29"/>
        <v>0</v>
      </c>
      <c r="K325" s="6">
        <f t="shared" si="29"/>
        <v>0</v>
      </c>
      <c r="L325" s="6">
        <f t="shared" si="29"/>
        <v>0</v>
      </c>
      <c r="M325" s="6">
        <f t="shared" si="28"/>
        <v>0</v>
      </c>
      <c r="N325" s="6" t="str">
        <f t="shared" si="26"/>
        <v/>
      </c>
      <c r="O325" s="6" t="str">
        <f t="shared" si="27"/>
        <v/>
      </c>
    </row>
    <row r="326" spans="8:15">
      <c r="H326">
        <f t="shared" si="24"/>
        <v>0</v>
      </c>
      <c r="I326" t="e">
        <f t="shared" si="25"/>
        <v>#VALUE!</v>
      </c>
      <c r="J326" s="6">
        <f t="shared" si="29"/>
        <v>0</v>
      </c>
      <c r="K326" s="6">
        <f t="shared" si="29"/>
        <v>0</v>
      </c>
      <c r="L326" s="6">
        <f t="shared" si="29"/>
        <v>0</v>
      </c>
      <c r="M326" s="6">
        <f t="shared" si="28"/>
        <v>0</v>
      </c>
      <c r="N326" s="6" t="str">
        <f t="shared" si="26"/>
        <v/>
      </c>
      <c r="O326" s="6" t="str">
        <f t="shared" si="27"/>
        <v/>
      </c>
    </row>
    <row r="327" spans="8:15">
      <c r="H327">
        <f t="shared" ref="H327:H390" si="30">A327</f>
        <v>0</v>
      </c>
      <c r="I327" t="e">
        <f t="shared" ref="I327:I390" si="31">LEFT(B327,SEARCH(" ",B327,1)-1)</f>
        <v>#VALUE!</v>
      </c>
      <c r="J327" s="6">
        <f t="shared" si="29"/>
        <v>0</v>
      </c>
      <c r="K327" s="6">
        <f t="shared" si="29"/>
        <v>0</v>
      </c>
      <c r="L327" s="6">
        <f t="shared" si="29"/>
        <v>0</v>
      </c>
      <c r="M327" s="6">
        <f t="shared" si="28"/>
        <v>0</v>
      </c>
      <c r="N327" s="6" t="str">
        <f t="shared" ref="N327:N390" si="32">TRIM($B$1)</f>
        <v/>
      </c>
      <c r="O327" s="6" t="str">
        <f t="shared" ref="O327:O390" si="33">TRIM($C$1)</f>
        <v/>
      </c>
    </row>
    <row r="328" spans="8:15">
      <c r="H328">
        <f t="shared" si="30"/>
        <v>0</v>
      </c>
      <c r="I328" t="e">
        <f t="shared" si="31"/>
        <v>#VALUE!</v>
      </c>
      <c r="J328" s="6">
        <f t="shared" si="29"/>
        <v>0</v>
      </c>
      <c r="K328" s="6">
        <f t="shared" si="29"/>
        <v>0</v>
      </c>
      <c r="L328" s="6">
        <f t="shared" si="29"/>
        <v>0</v>
      </c>
      <c r="M328" s="6">
        <f t="shared" si="28"/>
        <v>0</v>
      </c>
      <c r="N328" s="6" t="str">
        <f t="shared" si="32"/>
        <v/>
      </c>
      <c r="O328" s="6" t="str">
        <f t="shared" si="33"/>
        <v/>
      </c>
    </row>
    <row r="329" spans="8:15">
      <c r="H329">
        <f t="shared" si="30"/>
        <v>0</v>
      </c>
      <c r="I329" t="e">
        <f t="shared" si="31"/>
        <v>#VALUE!</v>
      </c>
      <c r="J329" s="6">
        <f t="shared" si="29"/>
        <v>0</v>
      </c>
      <c r="K329" s="6">
        <f t="shared" si="29"/>
        <v>0</v>
      </c>
      <c r="L329" s="6">
        <f t="shared" si="29"/>
        <v>0</v>
      </c>
      <c r="M329" s="6">
        <f t="shared" si="28"/>
        <v>0</v>
      </c>
      <c r="N329" s="6" t="str">
        <f t="shared" si="32"/>
        <v/>
      </c>
      <c r="O329" s="6" t="str">
        <f t="shared" si="33"/>
        <v/>
      </c>
    </row>
    <row r="330" spans="8:15">
      <c r="H330">
        <f t="shared" si="30"/>
        <v>0</v>
      </c>
      <c r="I330" t="e">
        <f t="shared" si="31"/>
        <v>#VALUE!</v>
      </c>
      <c r="J330" s="6">
        <f t="shared" si="29"/>
        <v>0</v>
      </c>
      <c r="K330" s="6">
        <f t="shared" si="29"/>
        <v>0</v>
      </c>
      <c r="L330" s="6">
        <f t="shared" si="29"/>
        <v>0</v>
      </c>
      <c r="M330" s="6">
        <f t="shared" si="28"/>
        <v>0</v>
      </c>
      <c r="N330" s="6" t="str">
        <f t="shared" si="32"/>
        <v/>
      </c>
      <c r="O330" s="6" t="str">
        <f t="shared" si="33"/>
        <v/>
      </c>
    </row>
    <row r="331" spans="8:15">
      <c r="H331">
        <f t="shared" si="30"/>
        <v>0</v>
      </c>
      <c r="I331" t="e">
        <f t="shared" si="31"/>
        <v>#VALUE!</v>
      </c>
      <c r="J331" s="6">
        <f t="shared" si="29"/>
        <v>0</v>
      </c>
      <c r="K331" s="6">
        <f t="shared" si="29"/>
        <v>0</v>
      </c>
      <c r="L331" s="6">
        <f t="shared" si="29"/>
        <v>0</v>
      </c>
      <c r="M331" s="6">
        <f t="shared" si="28"/>
        <v>0</v>
      </c>
      <c r="N331" s="6" t="str">
        <f t="shared" si="32"/>
        <v/>
      </c>
      <c r="O331" s="6" t="str">
        <f t="shared" si="33"/>
        <v/>
      </c>
    </row>
    <row r="332" spans="8:15">
      <c r="H332">
        <f t="shared" si="30"/>
        <v>0</v>
      </c>
      <c r="I332" t="e">
        <f t="shared" si="31"/>
        <v>#VALUE!</v>
      </c>
      <c r="J332" s="6">
        <f t="shared" si="29"/>
        <v>0</v>
      </c>
      <c r="K332" s="6">
        <f t="shared" si="29"/>
        <v>0</v>
      </c>
      <c r="L332" s="6">
        <f t="shared" si="29"/>
        <v>0</v>
      </c>
      <c r="M332" s="6">
        <f t="shared" si="28"/>
        <v>0</v>
      </c>
      <c r="N332" s="6" t="str">
        <f t="shared" si="32"/>
        <v/>
      </c>
      <c r="O332" s="6" t="str">
        <f t="shared" si="33"/>
        <v/>
      </c>
    </row>
    <row r="333" spans="8:15">
      <c r="H333">
        <f t="shared" si="30"/>
        <v>0</v>
      </c>
      <c r="I333" t="e">
        <f t="shared" si="31"/>
        <v>#VALUE!</v>
      </c>
      <c r="J333" s="6">
        <f t="shared" si="29"/>
        <v>0</v>
      </c>
      <c r="K333" s="6">
        <f t="shared" si="29"/>
        <v>0</v>
      </c>
      <c r="L333" s="6">
        <f t="shared" si="29"/>
        <v>0</v>
      </c>
      <c r="M333" s="6">
        <f t="shared" si="28"/>
        <v>0</v>
      </c>
      <c r="N333" s="6" t="str">
        <f t="shared" si="32"/>
        <v/>
      </c>
      <c r="O333" s="6" t="str">
        <f t="shared" si="33"/>
        <v/>
      </c>
    </row>
    <row r="334" spans="8:15">
      <c r="H334">
        <f t="shared" si="30"/>
        <v>0</v>
      </c>
      <c r="I334" t="e">
        <f t="shared" si="31"/>
        <v>#VALUE!</v>
      </c>
      <c r="J334" s="6">
        <f t="shared" si="29"/>
        <v>0</v>
      </c>
      <c r="K334" s="6">
        <f t="shared" si="29"/>
        <v>0</v>
      </c>
      <c r="L334" s="6">
        <f t="shared" si="29"/>
        <v>0</v>
      </c>
      <c r="M334" s="6">
        <f t="shared" si="28"/>
        <v>0</v>
      </c>
      <c r="N334" s="6" t="str">
        <f t="shared" si="32"/>
        <v/>
      </c>
      <c r="O334" s="6" t="str">
        <f t="shared" si="33"/>
        <v/>
      </c>
    </row>
    <row r="335" spans="8:15">
      <c r="H335">
        <f t="shared" si="30"/>
        <v>0</v>
      </c>
      <c r="I335" t="e">
        <f t="shared" si="31"/>
        <v>#VALUE!</v>
      </c>
      <c r="J335" s="6">
        <f t="shared" si="29"/>
        <v>0</v>
      </c>
      <c r="K335" s="6">
        <f t="shared" si="29"/>
        <v>0</v>
      </c>
      <c r="L335" s="6">
        <f t="shared" si="29"/>
        <v>0</v>
      </c>
      <c r="M335" s="6">
        <f t="shared" si="28"/>
        <v>0</v>
      </c>
      <c r="N335" s="6" t="str">
        <f t="shared" si="32"/>
        <v/>
      </c>
      <c r="O335" s="6" t="str">
        <f t="shared" si="33"/>
        <v/>
      </c>
    </row>
    <row r="336" spans="8:15">
      <c r="H336">
        <f t="shared" si="30"/>
        <v>0</v>
      </c>
      <c r="I336" t="e">
        <f t="shared" si="31"/>
        <v>#VALUE!</v>
      </c>
      <c r="J336" s="6">
        <f t="shared" si="29"/>
        <v>0</v>
      </c>
      <c r="K336" s="6">
        <f t="shared" si="29"/>
        <v>0</v>
      </c>
      <c r="L336" s="6">
        <f t="shared" si="29"/>
        <v>0</v>
      </c>
      <c r="M336" s="6">
        <f t="shared" si="28"/>
        <v>0</v>
      </c>
      <c r="N336" s="6" t="str">
        <f t="shared" si="32"/>
        <v/>
      </c>
      <c r="O336" s="6" t="str">
        <f t="shared" si="33"/>
        <v/>
      </c>
    </row>
    <row r="337" spans="8:15">
      <c r="H337">
        <f t="shared" si="30"/>
        <v>0</v>
      </c>
      <c r="I337" t="e">
        <f t="shared" si="31"/>
        <v>#VALUE!</v>
      </c>
      <c r="J337" s="6">
        <f t="shared" si="29"/>
        <v>0</v>
      </c>
      <c r="K337" s="6">
        <f t="shared" si="29"/>
        <v>0</v>
      </c>
      <c r="L337" s="6">
        <f t="shared" si="29"/>
        <v>0</v>
      </c>
      <c r="M337" s="6">
        <f t="shared" si="28"/>
        <v>0</v>
      </c>
      <c r="N337" s="6" t="str">
        <f t="shared" si="32"/>
        <v/>
      </c>
      <c r="O337" s="6" t="str">
        <f t="shared" si="33"/>
        <v/>
      </c>
    </row>
    <row r="338" spans="8:15">
      <c r="H338">
        <f t="shared" si="30"/>
        <v>0</v>
      </c>
      <c r="I338" t="e">
        <f t="shared" si="31"/>
        <v>#VALUE!</v>
      </c>
      <c r="J338" s="6">
        <f t="shared" si="29"/>
        <v>0</v>
      </c>
      <c r="K338" s="6">
        <f t="shared" si="29"/>
        <v>0</v>
      </c>
      <c r="L338" s="6">
        <f t="shared" si="29"/>
        <v>0</v>
      </c>
      <c r="M338" s="6">
        <f t="shared" si="28"/>
        <v>0</v>
      </c>
      <c r="N338" s="6" t="str">
        <f t="shared" si="32"/>
        <v/>
      </c>
      <c r="O338" s="6" t="str">
        <f t="shared" si="33"/>
        <v/>
      </c>
    </row>
    <row r="339" spans="8:15">
      <c r="H339">
        <f t="shared" si="30"/>
        <v>0</v>
      </c>
      <c r="I339" t="e">
        <f t="shared" si="31"/>
        <v>#VALUE!</v>
      </c>
      <c r="J339" s="6">
        <f t="shared" si="29"/>
        <v>0</v>
      </c>
      <c r="K339" s="6">
        <f t="shared" si="29"/>
        <v>0</v>
      </c>
      <c r="L339" s="6">
        <f t="shared" si="29"/>
        <v>0</v>
      </c>
      <c r="M339" s="6">
        <f t="shared" si="28"/>
        <v>0</v>
      </c>
      <c r="N339" s="6" t="str">
        <f t="shared" si="32"/>
        <v/>
      </c>
      <c r="O339" s="6" t="str">
        <f t="shared" si="33"/>
        <v/>
      </c>
    </row>
    <row r="340" spans="8:15">
      <c r="H340">
        <f t="shared" si="30"/>
        <v>0</v>
      </c>
      <c r="I340" t="e">
        <f t="shared" si="31"/>
        <v>#VALUE!</v>
      </c>
      <c r="J340" s="6">
        <f t="shared" si="29"/>
        <v>0</v>
      </c>
      <c r="K340" s="6">
        <f t="shared" si="29"/>
        <v>0</v>
      </c>
      <c r="L340" s="6">
        <f t="shared" si="29"/>
        <v>0</v>
      </c>
      <c r="M340" s="6">
        <f t="shared" si="28"/>
        <v>0</v>
      </c>
      <c r="N340" s="6" t="str">
        <f t="shared" si="32"/>
        <v/>
      </c>
      <c r="O340" s="6" t="str">
        <f t="shared" si="33"/>
        <v/>
      </c>
    </row>
    <row r="341" spans="8:15">
      <c r="H341">
        <f t="shared" si="30"/>
        <v>0</v>
      </c>
      <c r="I341" t="e">
        <f t="shared" si="31"/>
        <v>#VALUE!</v>
      </c>
      <c r="J341" s="6">
        <f t="shared" si="29"/>
        <v>0</v>
      </c>
      <c r="K341" s="6">
        <f t="shared" si="29"/>
        <v>0</v>
      </c>
      <c r="L341" s="6">
        <f t="shared" si="29"/>
        <v>0</v>
      </c>
      <c r="M341" s="6">
        <f t="shared" si="28"/>
        <v>0</v>
      </c>
      <c r="N341" s="6" t="str">
        <f t="shared" si="32"/>
        <v/>
      </c>
      <c r="O341" s="6" t="str">
        <f t="shared" si="33"/>
        <v/>
      </c>
    </row>
    <row r="342" spans="8:15">
      <c r="H342">
        <f t="shared" si="30"/>
        <v>0</v>
      </c>
      <c r="I342" t="e">
        <f t="shared" si="31"/>
        <v>#VALUE!</v>
      </c>
      <c r="J342" s="6">
        <f t="shared" si="29"/>
        <v>0</v>
      </c>
      <c r="K342" s="6">
        <f t="shared" si="29"/>
        <v>0</v>
      </c>
      <c r="L342" s="6">
        <f t="shared" si="29"/>
        <v>0</v>
      </c>
      <c r="M342" s="6">
        <f t="shared" si="28"/>
        <v>0</v>
      </c>
      <c r="N342" s="6" t="str">
        <f t="shared" si="32"/>
        <v/>
      </c>
      <c r="O342" s="6" t="str">
        <f t="shared" si="33"/>
        <v/>
      </c>
    </row>
    <row r="343" spans="8:15">
      <c r="H343">
        <f t="shared" si="30"/>
        <v>0</v>
      </c>
      <c r="I343" t="e">
        <f t="shared" si="31"/>
        <v>#VALUE!</v>
      </c>
      <c r="J343" s="6">
        <f t="shared" si="29"/>
        <v>0</v>
      </c>
      <c r="K343" s="6">
        <f t="shared" si="29"/>
        <v>0</v>
      </c>
      <c r="L343" s="6">
        <f t="shared" si="29"/>
        <v>0</v>
      </c>
      <c r="M343" s="6">
        <f t="shared" si="28"/>
        <v>0</v>
      </c>
      <c r="N343" s="6" t="str">
        <f t="shared" si="32"/>
        <v/>
      </c>
      <c r="O343" s="6" t="str">
        <f t="shared" si="33"/>
        <v/>
      </c>
    </row>
    <row r="344" spans="8:15">
      <c r="H344">
        <f t="shared" si="30"/>
        <v>0</v>
      </c>
      <c r="I344" t="e">
        <f t="shared" si="31"/>
        <v>#VALUE!</v>
      </c>
      <c r="J344" s="6">
        <f t="shared" si="29"/>
        <v>0</v>
      </c>
      <c r="K344" s="6">
        <f t="shared" si="29"/>
        <v>0</v>
      </c>
      <c r="L344" s="6">
        <f t="shared" si="29"/>
        <v>0</v>
      </c>
      <c r="M344" s="6">
        <f t="shared" si="28"/>
        <v>0</v>
      </c>
      <c r="N344" s="6" t="str">
        <f t="shared" si="32"/>
        <v/>
      </c>
      <c r="O344" s="6" t="str">
        <f t="shared" si="33"/>
        <v/>
      </c>
    </row>
    <row r="345" spans="8:15">
      <c r="H345">
        <f t="shared" si="30"/>
        <v>0</v>
      </c>
      <c r="I345" t="e">
        <f t="shared" si="31"/>
        <v>#VALUE!</v>
      </c>
      <c r="J345" s="6">
        <f t="shared" si="29"/>
        <v>0</v>
      </c>
      <c r="K345" s="6">
        <f t="shared" si="29"/>
        <v>0</v>
      </c>
      <c r="L345" s="6">
        <f t="shared" si="29"/>
        <v>0</v>
      </c>
      <c r="M345" s="6">
        <f t="shared" si="28"/>
        <v>0</v>
      </c>
      <c r="N345" s="6" t="str">
        <f t="shared" si="32"/>
        <v/>
      </c>
      <c r="O345" s="6" t="str">
        <f t="shared" si="33"/>
        <v/>
      </c>
    </row>
    <row r="346" spans="8:15">
      <c r="H346">
        <f t="shared" si="30"/>
        <v>0</v>
      </c>
      <c r="I346" t="e">
        <f t="shared" si="31"/>
        <v>#VALUE!</v>
      </c>
      <c r="J346" s="6">
        <f t="shared" si="29"/>
        <v>0</v>
      </c>
      <c r="K346" s="6">
        <f t="shared" si="29"/>
        <v>0</v>
      </c>
      <c r="L346" s="6">
        <f t="shared" si="29"/>
        <v>0</v>
      </c>
      <c r="M346" s="6">
        <f t="shared" si="28"/>
        <v>0</v>
      </c>
      <c r="N346" s="6" t="str">
        <f t="shared" si="32"/>
        <v/>
      </c>
      <c r="O346" s="6" t="str">
        <f t="shared" si="33"/>
        <v/>
      </c>
    </row>
    <row r="347" spans="8:15">
      <c r="H347">
        <f t="shared" si="30"/>
        <v>0</v>
      </c>
      <c r="I347" t="e">
        <f t="shared" si="31"/>
        <v>#VALUE!</v>
      </c>
      <c r="J347" s="6">
        <f t="shared" si="29"/>
        <v>0</v>
      </c>
      <c r="K347" s="6">
        <f t="shared" si="29"/>
        <v>0</v>
      </c>
      <c r="L347" s="6">
        <f t="shared" si="29"/>
        <v>0</v>
      </c>
      <c r="M347" s="6">
        <f t="shared" si="28"/>
        <v>0</v>
      </c>
      <c r="N347" s="6" t="str">
        <f t="shared" si="32"/>
        <v/>
      </c>
      <c r="O347" s="6" t="str">
        <f t="shared" si="33"/>
        <v/>
      </c>
    </row>
    <row r="348" spans="8:15">
      <c r="H348">
        <f t="shared" si="30"/>
        <v>0</v>
      </c>
      <c r="I348" t="e">
        <f t="shared" si="31"/>
        <v>#VALUE!</v>
      </c>
      <c r="J348" s="6">
        <f t="shared" si="29"/>
        <v>0</v>
      </c>
      <c r="K348" s="6">
        <f t="shared" si="29"/>
        <v>0</v>
      </c>
      <c r="L348" s="6">
        <f t="shared" si="29"/>
        <v>0</v>
      </c>
      <c r="M348" s="6">
        <f t="shared" si="28"/>
        <v>0</v>
      </c>
      <c r="N348" s="6" t="str">
        <f t="shared" si="32"/>
        <v/>
      </c>
      <c r="O348" s="6" t="str">
        <f t="shared" si="33"/>
        <v/>
      </c>
    </row>
    <row r="349" spans="8:15">
      <c r="H349">
        <f t="shared" si="30"/>
        <v>0</v>
      </c>
      <c r="I349" t="e">
        <f t="shared" si="31"/>
        <v>#VALUE!</v>
      </c>
      <c r="J349" s="6">
        <f t="shared" si="29"/>
        <v>0</v>
      </c>
      <c r="K349" s="6">
        <f t="shared" si="29"/>
        <v>0</v>
      </c>
      <c r="L349" s="6">
        <f t="shared" si="29"/>
        <v>0</v>
      </c>
      <c r="M349" s="6">
        <f t="shared" si="28"/>
        <v>0</v>
      </c>
      <c r="N349" s="6" t="str">
        <f t="shared" si="32"/>
        <v/>
      </c>
      <c r="O349" s="6" t="str">
        <f t="shared" si="33"/>
        <v/>
      </c>
    </row>
    <row r="350" spans="8:15">
      <c r="H350">
        <f t="shared" si="30"/>
        <v>0</v>
      </c>
      <c r="I350" t="e">
        <f t="shared" si="31"/>
        <v>#VALUE!</v>
      </c>
      <c r="J350" s="6">
        <f t="shared" si="29"/>
        <v>0</v>
      </c>
      <c r="K350" s="6">
        <f t="shared" si="29"/>
        <v>0</v>
      </c>
      <c r="L350" s="6">
        <f t="shared" si="29"/>
        <v>0</v>
      </c>
      <c r="M350" s="6">
        <f t="shared" si="28"/>
        <v>0</v>
      </c>
      <c r="N350" s="6" t="str">
        <f t="shared" si="32"/>
        <v/>
      </c>
      <c r="O350" s="6" t="str">
        <f t="shared" si="33"/>
        <v/>
      </c>
    </row>
    <row r="351" spans="8:15">
      <c r="H351">
        <f t="shared" si="30"/>
        <v>0</v>
      </c>
      <c r="I351" t="e">
        <f t="shared" si="31"/>
        <v>#VALUE!</v>
      </c>
      <c r="J351" s="6">
        <f t="shared" si="29"/>
        <v>0</v>
      </c>
      <c r="K351" s="6">
        <f t="shared" si="29"/>
        <v>0</v>
      </c>
      <c r="L351" s="6">
        <f t="shared" si="29"/>
        <v>0</v>
      </c>
      <c r="M351" s="6">
        <f t="shared" si="28"/>
        <v>0</v>
      </c>
      <c r="N351" s="6" t="str">
        <f t="shared" si="32"/>
        <v/>
      </c>
      <c r="O351" s="6" t="str">
        <f t="shared" si="33"/>
        <v/>
      </c>
    </row>
    <row r="352" spans="8:15">
      <c r="H352">
        <f t="shared" si="30"/>
        <v>0</v>
      </c>
      <c r="I352" t="e">
        <f t="shared" si="31"/>
        <v>#VALUE!</v>
      </c>
      <c r="J352" s="6">
        <f t="shared" si="29"/>
        <v>0</v>
      </c>
      <c r="K352" s="6">
        <f t="shared" si="29"/>
        <v>0</v>
      </c>
      <c r="L352" s="6">
        <f t="shared" si="29"/>
        <v>0</v>
      </c>
      <c r="M352" s="6">
        <f t="shared" si="28"/>
        <v>0</v>
      </c>
      <c r="N352" s="6" t="str">
        <f t="shared" si="32"/>
        <v/>
      </c>
      <c r="O352" s="6" t="str">
        <f t="shared" si="33"/>
        <v/>
      </c>
    </row>
    <row r="353" spans="8:15">
      <c r="H353">
        <f t="shared" si="30"/>
        <v>0</v>
      </c>
      <c r="I353" t="e">
        <f t="shared" si="31"/>
        <v>#VALUE!</v>
      </c>
      <c r="J353" s="6">
        <f t="shared" si="29"/>
        <v>0</v>
      </c>
      <c r="K353" s="6">
        <f t="shared" si="29"/>
        <v>0</v>
      </c>
      <c r="L353" s="6">
        <f t="shared" si="29"/>
        <v>0</v>
      </c>
      <c r="M353" s="6">
        <f t="shared" si="28"/>
        <v>0</v>
      </c>
      <c r="N353" s="6" t="str">
        <f t="shared" si="32"/>
        <v/>
      </c>
      <c r="O353" s="6" t="str">
        <f t="shared" si="33"/>
        <v/>
      </c>
    </row>
    <row r="354" spans="8:15">
      <c r="H354">
        <f t="shared" si="30"/>
        <v>0</v>
      </c>
      <c r="I354" t="e">
        <f t="shared" si="31"/>
        <v>#VALUE!</v>
      </c>
      <c r="J354" s="6">
        <f t="shared" si="29"/>
        <v>0</v>
      </c>
      <c r="K354" s="6">
        <f t="shared" si="29"/>
        <v>0</v>
      </c>
      <c r="L354" s="6">
        <f t="shared" si="29"/>
        <v>0</v>
      </c>
      <c r="M354" s="6">
        <f t="shared" si="28"/>
        <v>0</v>
      </c>
      <c r="N354" s="6" t="str">
        <f t="shared" si="32"/>
        <v/>
      </c>
      <c r="O354" s="6" t="str">
        <f t="shared" si="33"/>
        <v/>
      </c>
    </row>
    <row r="355" spans="8:15">
      <c r="H355">
        <f t="shared" si="30"/>
        <v>0</v>
      </c>
      <c r="I355" t="e">
        <f t="shared" si="31"/>
        <v>#VALUE!</v>
      </c>
      <c r="J355" s="6">
        <f t="shared" si="29"/>
        <v>0</v>
      </c>
      <c r="K355" s="6">
        <f t="shared" si="29"/>
        <v>0</v>
      </c>
      <c r="L355" s="6">
        <f t="shared" si="29"/>
        <v>0</v>
      </c>
      <c r="M355" s="6">
        <f t="shared" si="28"/>
        <v>0</v>
      </c>
      <c r="N355" s="6" t="str">
        <f t="shared" si="32"/>
        <v/>
      </c>
      <c r="O355" s="6" t="str">
        <f t="shared" si="33"/>
        <v/>
      </c>
    </row>
    <row r="356" spans="8:15">
      <c r="H356">
        <f t="shared" si="30"/>
        <v>0</v>
      </c>
      <c r="I356" t="e">
        <f t="shared" si="31"/>
        <v>#VALUE!</v>
      </c>
      <c r="J356" s="6">
        <f t="shared" si="29"/>
        <v>0</v>
      </c>
      <c r="K356" s="6">
        <f t="shared" si="29"/>
        <v>0</v>
      </c>
      <c r="L356" s="6">
        <f t="shared" si="29"/>
        <v>0</v>
      </c>
      <c r="M356" s="6">
        <f t="shared" si="28"/>
        <v>0</v>
      </c>
      <c r="N356" s="6" t="str">
        <f t="shared" si="32"/>
        <v/>
      </c>
      <c r="O356" s="6" t="str">
        <f t="shared" si="33"/>
        <v/>
      </c>
    </row>
    <row r="357" spans="8:15">
      <c r="H357">
        <f t="shared" si="30"/>
        <v>0</v>
      </c>
      <c r="I357" t="e">
        <f t="shared" si="31"/>
        <v>#VALUE!</v>
      </c>
      <c r="J357" s="6">
        <f t="shared" si="29"/>
        <v>0</v>
      </c>
      <c r="K357" s="6">
        <f t="shared" si="29"/>
        <v>0</v>
      </c>
      <c r="L357" s="6">
        <f t="shared" si="29"/>
        <v>0</v>
      </c>
      <c r="M357" s="6">
        <f t="shared" si="28"/>
        <v>0</v>
      </c>
      <c r="N357" s="6" t="str">
        <f t="shared" si="32"/>
        <v/>
      </c>
      <c r="O357" s="6" t="str">
        <f t="shared" si="33"/>
        <v/>
      </c>
    </row>
    <row r="358" spans="8:15">
      <c r="H358">
        <f t="shared" si="30"/>
        <v>0</v>
      </c>
      <c r="I358" t="e">
        <f t="shared" si="31"/>
        <v>#VALUE!</v>
      </c>
      <c r="J358" s="6">
        <f t="shared" si="29"/>
        <v>0</v>
      </c>
      <c r="K358" s="6">
        <f t="shared" si="29"/>
        <v>0</v>
      </c>
      <c r="L358" s="6">
        <f t="shared" si="29"/>
        <v>0</v>
      </c>
      <c r="M358" s="6">
        <f t="shared" si="28"/>
        <v>0</v>
      </c>
      <c r="N358" s="6" t="str">
        <f t="shared" si="32"/>
        <v/>
      </c>
      <c r="O358" s="6" t="str">
        <f t="shared" si="33"/>
        <v/>
      </c>
    </row>
    <row r="359" spans="8:15">
      <c r="H359">
        <f t="shared" si="30"/>
        <v>0</v>
      </c>
      <c r="I359" t="e">
        <f t="shared" si="31"/>
        <v>#VALUE!</v>
      </c>
      <c r="J359" s="6">
        <f t="shared" si="29"/>
        <v>0</v>
      </c>
      <c r="K359" s="6">
        <f t="shared" si="29"/>
        <v>0</v>
      </c>
      <c r="L359" s="6">
        <f t="shared" si="29"/>
        <v>0</v>
      </c>
      <c r="M359" s="6">
        <f t="shared" si="28"/>
        <v>0</v>
      </c>
      <c r="N359" s="6" t="str">
        <f t="shared" si="32"/>
        <v/>
      </c>
      <c r="O359" s="6" t="str">
        <f t="shared" si="33"/>
        <v/>
      </c>
    </row>
    <row r="360" spans="8:15">
      <c r="H360">
        <f t="shared" si="30"/>
        <v>0</v>
      </c>
      <c r="I360" t="e">
        <f t="shared" si="31"/>
        <v>#VALUE!</v>
      </c>
      <c r="J360" s="6">
        <f t="shared" si="29"/>
        <v>0</v>
      </c>
      <c r="K360" s="6">
        <f t="shared" si="29"/>
        <v>0</v>
      </c>
      <c r="L360" s="6">
        <f t="shared" si="29"/>
        <v>0</v>
      </c>
      <c r="M360" s="6">
        <f t="shared" si="29"/>
        <v>0</v>
      </c>
      <c r="N360" s="6" t="str">
        <f t="shared" si="32"/>
        <v/>
      </c>
      <c r="O360" s="6" t="str">
        <f t="shared" si="33"/>
        <v/>
      </c>
    </row>
    <row r="361" spans="8:15">
      <c r="H361">
        <f t="shared" si="30"/>
        <v>0</v>
      </c>
      <c r="I361" t="e">
        <f t="shared" si="31"/>
        <v>#VALUE!</v>
      </c>
      <c r="J361" s="6">
        <f t="shared" ref="J361:M424" si="34">C361</f>
        <v>0</v>
      </c>
      <c r="K361" s="6">
        <f t="shared" si="34"/>
        <v>0</v>
      </c>
      <c r="L361" s="6">
        <f t="shared" si="34"/>
        <v>0</v>
      </c>
      <c r="M361" s="6">
        <f t="shared" si="34"/>
        <v>0</v>
      </c>
      <c r="N361" s="6" t="str">
        <f t="shared" si="32"/>
        <v/>
      </c>
      <c r="O361" s="6" t="str">
        <f t="shared" si="33"/>
        <v/>
      </c>
    </row>
    <row r="362" spans="8:15">
      <c r="H362">
        <f t="shared" si="30"/>
        <v>0</v>
      </c>
      <c r="I362" t="e">
        <f t="shared" si="31"/>
        <v>#VALUE!</v>
      </c>
      <c r="J362" s="6">
        <f t="shared" si="34"/>
        <v>0</v>
      </c>
      <c r="K362" s="6">
        <f t="shared" si="34"/>
        <v>0</v>
      </c>
      <c r="L362" s="6">
        <f t="shared" si="34"/>
        <v>0</v>
      </c>
      <c r="M362" s="6">
        <f t="shared" si="34"/>
        <v>0</v>
      </c>
      <c r="N362" s="6" t="str">
        <f t="shared" si="32"/>
        <v/>
      </c>
      <c r="O362" s="6" t="str">
        <f t="shared" si="33"/>
        <v/>
      </c>
    </row>
    <row r="363" spans="8:15">
      <c r="H363">
        <f t="shared" si="30"/>
        <v>0</v>
      </c>
      <c r="I363" t="e">
        <f t="shared" si="31"/>
        <v>#VALUE!</v>
      </c>
      <c r="J363" s="6">
        <f t="shared" si="34"/>
        <v>0</v>
      </c>
      <c r="K363" s="6">
        <f t="shared" si="34"/>
        <v>0</v>
      </c>
      <c r="L363" s="6">
        <f t="shared" si="34"/>
        <v>0</v>
      </c>
      <c r="M363" s="6">
        <f t="shared" si="34"/>
        <v>0</v>
      </c>
      <c r="N363" s="6" t="str">
        <f t="shared" si="32"/>
        <v/>
      </c>
      <c r="O363" s="6" t="str">
        <f t="shared" si="33"/>
        <v/>
      </c>
    </row>
    <row r="364" spans="8:15">
      <c r="H364">
        <f t="shared" si="30"/>
        <v>0</v>
      </c>
      <c r="I364" t="e">
        <f t="shared" si="31"/>
        <v>#VALUE!</v>
      </c>
      <c r="J364" s="6">
        <f t="shared" si="34"/>
        <v>0</v>
      </c>
      <c r="K364" s="6">
        <f t="shared" si="34"/>
        <v>0</v>
      </c>
      <c r="L364" s="6">
        <f t="shared" si="34"/>
        <v>0</v>
      </c>
      <c r="M364" s="6">
        <f t="shared" si="34"/>
        <v>0</v>
      </c>
      <c r="N364" s="6" t="str">
        <f t="shared" si="32"/>
        <v/>
      </c>
      <c r="O364" s="6" t="str">
        <f t="shared" si="33"/>
        <v/>
      </c>
    </row>
    <row r="365" spans="8:15">
      <c r="H365">
        <f t="shared" si="30"/>
        <v>0</v>
      </c>
      <c r="I365" t="e">
        <f t="shared" si="31"/>
        <v>#VALUE!</v>
      </c>
      <c r="J365" s="6">
        <f t="shared" si="34"/>
        <v>0</v>
      </c>
      <c r="K365" s="6">
        <f t="shared" si="34"/>
        <v>0</v>
      </c>
      <c r="L365" s="6">
        <f t="shared" si="34"/>
        <v>0</v>
      </c>
      <c r="M365" s="6">
        <f t="shared" si="34"/>
        <v>0</v>
      </c>
      <c r="N365" s="6" t="str">
        <f t="shared" si="32"/>
        <v/>
      </c>
      <c r="O365" s="6" t="str">
        <f t="shared" si="33"/>
        <v/>
      </c>
    </row>
    <row r="366" spans="8:15">
      <c r="H366">
        <f t="shared" si="30"/>
        <v>0</v>
      </c>
      <c r="I366" t="e">
        <f t="shared" si="31"/>
        <v>#VALUE!</v>
      </c>
      <c r="J366" s="6">
        <f t="shared" si="34"/>
        <v>0</v>
      </c>
      <c r="K366" s="6">
        <f t="shared" si="34"/>
        <v>0</v>
      </c>
      <c r="L366" s="6">
        <f t="shared" si="34"/>
        <v>0</v>
      </c>
      <c r="M366" s="6">
        <f t="shared" si="34"/>
        <v>0</v>
      </c>
      <c r="N366" s="6" t="str">
        <f t="shared" si="32"/>
        <v/>
      </c>
      <c r="O366" s="6" t="str">
        <f t="shared" si="33"/>
        <v/>
      </c>
    </row>
    <row r="367" spans="8:15">
      <c r="H367">
        <f t="shared" si="30"/>
        <v>0</v>
      </c>
      <c r="I367" t="e">
        <f t="shared" si="31"/>
        <v>#VALUE!</v>
      </c>
      <c r="J367" s="6">
        <f t="shared" si="34"/>
        <v>0</v>
      </c>
      <c r="K367" s="6">
        <f t="shared" si="34"/>
        <v>0</v>
      </c>
      <c r="L367" s="6">
        <f t="shared" si="34"/>
        <v>0</v>
      </c>
      <c r="M367" s="6">
        <f t="shared" si="34"/>
        <v>0</v>
      </c>
      <c r="N367" s="6" t="str">
        <f t="shared" si="32"/>
        <v/>
      </c>
      <c r="O367" s="6" t="str">
        <f t="shared" si="33"/>
        <v/>
      </c>
    </row>
    <row r="368" spans="8:15">
      <c r="H368">
        <f t="shared" si="30"/>
        <v>0</v>
      </c>
      <c r="I368" t="e">
        <f t="shared" si="31"/>
        <v>#VALUE!</v>
      </c>
      <c r="J368" s="6">
        <f t="shared" si="34"/>
        <v>0</v>
      </c>
      <c r="K368" s="6">
        <f t="shared" si="34"/>
        <v>0</v>
      </c>
      <c r="L368" s="6">
        <f t="shared" si="34"/>
        <v>0</v>
      </c>
      <c r="M368" s="6">
        <f t="shared" si="34"/>
        <v>0</v>
      </c>
      <c r="N368" s="6" t="str">
        <f t="shared" si="32"/>
        <v/>
      </c>
      <c r="O368" s="6" t="str">
        <f t="shared" si="33"/>
        <v/>
      </c>
    </row>
    <row r="369" spans="8:15">
      <c r="H369">
        <f t="shared" si="30"/>
        <v>0</v>
      </c>
      <c r="I369" t="e">
        <f t="shared" si="31"/>
        <v>#VALUE!</v>
      </c>
      <c r="J369" s="6">
        <f t="shared" si="34"/>
        <v>0</v>
      </c>
      <c r="K369" s="6">
        <f t="shared" si="34"/>
        <v>0</v>
      </c>
      <c r="L369" s="6">
        <f t="shared" si="34"/>
        <v>0</v>
      </c>
      <c r="M369" s="6">
        <f t="shared" si="34"/>
        <v>0</v>
      </c>
      <c r="N369" s="6" t="str">
        <f t="shared" si="32"/>
        <v/>
      </c>
      <c r="O369" s="6" t="str">
        <f t="shared" si="33"/>
        <v/>
      </c>
    </row>
    <row r="370" spans="8:15">
      <c r="H370">
        <f t="shared" si="30"/>
        <v>0</v>
      </c>
      <c r="I370" t="e">
        <f t="shared" si="31"/>
        <v>#VALUE!</v>
      </c>
      <c r="J370" s="6">
        <f t="shared" si="34"/>
        <v>0</v>
      </c>
      <c r="K370" s="6">
        <f t="shared" si="34"/>
        <v>0</v>
      </c>
      <c r="L370" s="6">
        <f t="shared" si="34"/>
        <v>0</v>
      </c>
      <c r="M370" s="6">
        <f t="shared" si="34"/>
        <v>0</v>
      </c>
      <c r="N370" s="6" t="str">
        <f t="shared" si="32"/>
        <v/>
      </c>
      <c r="O370" s="6" t="str">
        <f t="shared" si="33"/>
        <v/>
      </c>
    </row>
    <row r="371" spans="8:15">
      <c r="H371">
        <f t="shared" si="30"/>
        <v>0</v>
      </c>
      <c r="I371" t="e">
        <f t="shared" si="31"/>
        <v>#VALUE!</v>
      </c>
      <c r="J371" s="6">
        <f t="shared" si="34"/>
        <v>0</v>
      </c>
      <c r="K371" s="6">
        <f t="shared" si="34"/>
        <v>0</v>
      </c>
      <c r="L371" s="6">
        <f t="shared" si="34"/>
        <v>0</v>
      </c>
      <c r="M371" s="6">
        <f t="shared" si="34"/>
        <v>0</v>
      </c>
      <c r="N371" s="6" t="str">
        <f t="shared" si="32"/>
        <v/>
      </c>
      <c r="O371" s="6" t="str">
        <f t="shared" si="33"/>
        <v/>
      </c>
    </row>
    <row r="372" spans="8:15">
      <c r="H372">
        <f t="shared" si="30"/>
        <v>0</v>
      </c>
      <c r="I372" t="e">
        <f t="shared" si="31"/>
        <v>#VALUE!</v>
      </c>
      <c r="J372" s="6">
        <f t="shared" si="34"/>
        <v>0</v>
      </c>
      <c r="K372" s="6">
        <f t="shared" si="34"/>
        <v>0</v>
      </c>
      <c r="L372" s="6">
        <f t="shared" si="34"/>
        <v>0</v>
      </c>
      <c r="M372" s="6">
        <f t="shared" si="34"/>
        <v>0</v>
      </c>
      <c r="N372" s="6" t="str">
        <f t="shared" si="32"/>
        <v/>
      </c>
      <c r="O372" s="6" t="str">
        <f t="shared" si="33"/>
        <v/>
      </c>
    </row>
    <row r="373" spans="8:15">
      <c r="H373">
        <f t="shared" si="30"/>
        <v>0</v>
      </c>
      <c r="I373" t="e">
        <f t="shared" si="31"/>
        <v>#VALUE!</v>
      </c>
      <c r="J373" s="6">
        <f t="shared" si="34"/>
        <v>0</v>
      </c>
      <c r="K373" s="6">
        <f t="shared" si="34"/>
        <v>0</v>
      </c>
      <c r="L373" s="6">
        <f t="shared" si="34"/>
        <v>0</v>
      </c>
      <c r="M373" s="6">
        <f t="shared" si="34"/>
        <v>0</v>
      </c>
      <c r="N373" s="6" t="str">
        <f t="shared" si="32"/>
        <v/>
      </c>
      <c r="O373" s="6" t="str">
        <f t="shared" si="33"/>
        <v/>
      </c>
    </row>
    <row r="374" spans="8:15">
      <c r="H374">
        <f t="shared" si="30"/>
        <v>0</v>
      </c>
      <c r="I374" t="e">
        <f t="shared" si="31"/>
        <v>#VALUE!</v>
      </c>
      <c r="J374" s="6">
        <f t="shared" si="34"/>
        <v>0</v>
      </c>
      <c r="K374" s="6">
        <f t="shared" si="34"/>
        <v>0</v>
      </c>
      <c r="L374" s="6">
        <f t="shared" si="34"/>
        <v>0</v>
      </c>
      <c r="M374" s="6">
        <f t="shared" si="34"/>
        <v>0</v>
      </c>
      <c r="N374" s="6" t="str">
        <f t="shared" si="32"/>
        <v/>
      </c>
      <c r="O374" s="6" t="str">
        <f t="shared" si="33"/>
        <v/>
      </c>
    </row>
    <row r="375" spans="8:15">
      <c r="H375">
        <f t="shared" si="30"/>
        <v>0</v>
      </c>
      <c r="I375" t="e">
        <f t="shared" si="31"/>
        <v>#VALUE!</v>
      </c>
      <c r="J375" s="6">
        <f t="shared" si="34"/>
        <v>0</v>
      </c>
      <c r="K375" s="6">
        <f t="shared" si="34"/>
        <v>0</v>
      </c>
      <c r="L375" s="6">
        <f t="shared" si="34"/>
        <v>0</v>
      </c>
      <c r="M375" s="6">
        <f t="shared" si="34"/>
        <v>0</v>
      </c>
      <c r="N375" s="6" t="str">
        <f t="shared" si="32"/>
        <v/>
      </c>
      <c r="O375" s="6" t="str">
        <f t="shared" si="33"/>
        <v/>
      </c>
    </row>
    <row r="376" spans="8:15">
      <c r="H376">
        <f t="shared" si="30"/>
        <v>0</v>
      </c>
      <c r="I376" t="e">
        <f t="shared" si="31"/>
        <v>#VALUE!</v>
      </c>
      <c r="J376" s="6">
        <f t="shared" si="34"/>
        <v>0</v>
      </c>
      <c r="K376" s="6">
        <f t="shared" si="34"/>
        <v>0</v>
      </c>
      <c r="L376" s="6">
        <f t="shared" si="34"/>
        <v>0</v>
      </c>
      <c r="M376" s="6">
        <f t="shared" si="34"/>
        <v>0</v>
      </c>
      <c r="N376" s="6" t="str">
        <f t="shared" si="32"/>
        <v/>
      </c>
      <c r="O376" s="6" t="str">
        <f t="shared" si="33"/>
        <v/>
      </c>
    </row>
    <row r="377" spans="8:15">
      <c r="H377">
        <f t="shared" si="30"/>
        <v>0</v>
      </c>
      <c r="I377" t="e">
        <f t="shared" si="31"/>
        <v>#VALUE!</v>
      </c>
      <c r="J377" s="6">
        <f t="shared" si="34"/>
        <v>0</v>
      </c>
      <c r="K377" s="6">
        <f t="shared" si="34"/>
        <v>0</v>
      </c>
      <c r="L377" s="6">
        <f t="shared" si="34"/>
        <v>0</v>
      </c>
      <c r="M377" s="6">
        <f t="shared" si="34"/>
        <v>0</v>
      </c>
      <c r="N377" s="6" t="str">
        <f t="shared" si="32"/>
        <v/>
      </c>
      <c r="O377" s="6" t="str">
        <f t="shared" si="33"/>
        <v/>
      </c>
    </row>
    <row r="378" spans="8:15">
      <c r="H378">
        <f t="shared" si="30"/>
        <v>0</v>
      </c>
      <c r="I378" t="e">
        <f t="shared" si="31"/>
        <v>#VALUE!</v>
      </c>
      <c r="J378" s="6">
        <f t="shared" si="34"/>
        <v>0</v>
      </c>
      <c r="K378" s="6">
        <f t="shared" si="34"/>
        <v>0</v>
      </c>
      <c r="L378" s="6">
        <f t="shared" si="34"/>
        <v>0</v>
      </c>
      <c r="M378" s="6">
        <f t="shared" si="34"/>
        <v>0</v>
      </c>
      <c r="N378" s="6" t="str">
        <f t="shared" si="32"/>
        <v/>
      </c>
      <c r="O378" s="6" t="str">
        <f t="shared" si="33"/>
        <v/>
      </c>
    </row>
    <row r="379" spans="8:15">
      <c r="H379">
        <f t="shared" si="30"/>
        <v>0</v>
      </c>
      <c r="I379" t="e">
        <f t="shared" si="31"/>
        <v>#VALUE!</v>
      </c>
      <c r="J379" s="6">
        <f t="shared" si="34"/>
        <v>0</v>
      </c>
      <c r="K379" s="6">
        <f t="shared" si="34"/>
        <v>0</v>
      </c>
      <c r="L379" s="6">
        <f t="shared" si="34"/>
        <v>0</v>
      </c>
      <c r="M379" s="6">
        <f t="shared" si="34"/>
        <v>0</v>
      </c>
      <c r="N379" s="6" t="str">
        <f t="shared" si="32"/>
        <v/>
      </c>
      <c r="O379" s="6" t="str">
        <f t="shared" si="33"/>
        <v/>
      </c>
    </row>
    <row r="380" spans="8:15">
      <c r="H380">
        <f t="shared" si="30"/>
        <v>0</v>
      </c>
      <c r="I380" t="e">
        <f t="shared" si="31"/>
        <v>#VALUE!</v>
      </c>
      <c r="J380" s="6">
        <f t="shared" si="34"/>
        <v>0</v>
      </c>
      <c r="K380" s="6">
        <f t="shared" si="34"/>
        <v>0</v>
      </c>
      <c r="L380" s="6">
        <f t="shared" si="34"/>
        <v>0</v>
      </c>
      <c r="M380" s="6">
        <f t="shared" si="34"/>
        <v>0</v>
      </c>
      <c r="N380" s="6" t="str">
        <f t="shared" si="32"/>
        <v/>
      </c>
      <c r="O380" s="6" t="str">
        <f t="shared" si="33"/>
        <v/>
      </c>
    </row>
    <row r="381" spans="8:15">
      <c r="H381">
        <f t="shared" si="30"/>
        <v>0</v>
      </c>
      <c r="I381" t="e">
        <f t="shared" si="31"/>
        <v>#VALUE!</v>
      </c>
      <c r="J381" s="6">
        <f t="shared" si="34"/>
        <v>0</v>
      </c>
      <c r="K381" s="6">
        <f t="shared" si="34"/>
        <v>0</v>
      </c>
      <c r="L381" s="6">
        <f t="shared" si="34"/>
        <v>0</v>
      </c>
      <c r="M381" s="6">
        <f t="shared" si="34"/>
        <v>0</v>
      </c>
      <c r="N381" s="6" t="str">
        <f t="shared" si="32"/>
        <v/>
      </c>
      <c r="O381" s="6" t="str">
        <f t="shared" si="33"/>
        <v/>
      </c>
    </row>
    <row r="382" spans="8:15">
      <c r="H382">
        <f t="shared" si="30"/>
        <v>0</v>
      </c>
      <c r="I382" t="e">
        <f t="shared" si="31"/>
        <v>#VALUE!</v>
      </c>
      <c r="J382" s="6">
        <f t="shared" si="34"/>
        <v>0</v>
      </c>
      <c r="K382" s="6">
        <f t="shared" si="34"/>
        <v>0</v>
      </c>
      <c r="L382" s="6">
        <f t="shared" si="34"/>
        <v>0</v>
      </c>
      <c r="M382" s="6">
        <f t="shared" si="34"/>
        <v>0</v>
      </c>
      <c r="N382" s="6" t="str">
        <f t="shared" si="32"/>
        <v/>
      </c>
      <c r="O382" s="6" t="str">
        <f t="shared" si="33"/>
        <v/>
      </c>
    </row>
    <row r="383" spans="8:15">
      <c r="H383">
        <f t="shared" si="30"/>
        <v>0</v>
      </c>
      <c r="I383" t="e">
        <f t="shared" si="31"/>
        <v>#VALUE!</v>
      </c>
      <c r="J383" s="6">
        <f t="shared" si="34"/>
        <v>0</v>
      </c>
      <c r="K383" s="6">
        <f t="shared" si="34"/>
        <v>0</v>
      </c>
      <c r="L383" s="6">
        <f t="shared" si="34"/>
        <v>0</v>
      </c>
      <c r="M383" s="6">
        <f t="shared" si="34"/>
        <v>0</v>
      </c>
      <c r="N383" s="6" t="str">
        <f t="shared" si="32"/>
        <v/>
      </c>
      <c r="O383" s="6" t="str">
        <f t="shared" si="33"/>
        <v/>
      </c>
    </row>
    <row r="384" spans="8:15">
      <c r="H384">
        <f t="shared" si="30"/>
        <v>0</v>
      </c>
      <c r="I384" t="e">
        <f t="shared" si="31"/>
        <v>#VALUE!</v>
      </c>
      <c r="J384" s="6">
        <f t="shared" si="34"/>
        <v>0</v>
      </c>
      <c r="K384" s="6">
        <f t="shared" si="34"/>
        <v>0</v>
      </c>
      <c r="L384" s="6">
        <f t="shared" si="34"/>
        <v>0</v>
      </c>
      <c r="M384" s="6">
        <f t="shared" si="34"/>
        <v>0</v>
      </c>
      <c r="N384" s="6" t="str">
        <f t="shared" si="32"/>
        <v/>
      </c>
      <c r="O384" s="6" t="str">
        <f t="shared" si="33"/>
        <v/>
      </c>
    </row>
    <row r="385" spans="8:15">
      <c r="H385">
        <f t="shared" si="30"/>
        <v>0</v>
      </c>
      <c r="I385" t="e">
        <f t="shared" si="31"/>
        <v>#VALUE!</v>
      </c>
      <c r="J385" s="6">
        <f t="shared" si="34"/>
        <v>0</v>
      </c>
      <c r="K385" s="6">
        <f t="shared" si="34"/>
        <v>0</v>
      </c>
      <c r="L385" s="6">
        <f t="shared" si="34"/>
        <v>0</v>
      </c>
      <c r="M385" s="6">
        <f t="shared" si="34"/>
        <v>0</v>
      </c>
      <c r="N385" s="6" t="str">
        <f t="shared" si="32"/>
        <v/>
      </c>
      <c r="O385" s="6" t="str">
        <f t="shared" si="33"/>
        <v/>
      </c>
    </row>
    <row r="386" spans="8:15">
      <c r="H386">
        <f t="shared" si="30"/>
        <v>0</v>
      </c>
      <c r="I386" t="e">
        <f t="shared" si="31"/>
        <v>#VALUE!</v>
      </c>
      <c r="J386" s="6">
        <f t="shared" si="34"/>
        <v>0</v>
      </c>
      <c r="K386" s="6">
        <f t="shared" si="34"/>
        <v>0</v>
      </c>
      <c r="L386" s="6">
        <f t="shared" si="34"/>
        <v>0</v>
      </c>
      <c r="M386" s="6">
        <f t="shared" si="34"/>
        <v>0</v>
      </c>
      <c r="N386" s="6" t="str">
        <f t="shared" si="32"/>
        <v/>
      </c>
      <c r="O386" s="6" t="str">
        <f t="shared" si="33"/>
        <v/>
      </c>
    </row>
    <row r="387" spans="8:15">
      <c r="H387">
        <f t="shared" si="30"/>
        <v>0</v>
      </c>
      <c r="I387" t="e">
        <f t="shared" si="31"/>
        <v>#VALUE!</v>
      </c>
      <c r="J387" s="6">
        <f t="shared" si="34"/>
        <v>0</v>
      </c>
      <c r="K387" s="6">
        <f t="shared" si="34"/>
        <v>0</v>
      </c>
      <c r="L387" s="6">
        <f t="shared" si="34"/>
        <v>0</v>
      </c>
      <c r="M387" s="6">
        <f t="shared" si="34"/>
        <v>0</v>
      </c>
      <c r="N387" s="6" t="str">
        <f t="shared" si="32"/>
        <v/>
      </c>
      <c r="O387" s="6" t="str">
        <f t="shared" si="33"/>
        <v/>
      </c>
    </row>
    <row r="388" spans="8:15">
      <c r="H388">
        <f t="shared" si="30"/>
        <v>0</v>
      </c>
      <c r="I388" t="e">
        <f t="shared" si="31"/>
        <v>#VALUE!</v>
      </c>
      <c r="J388" s="6">
        <f t="shared" si="34"/>
        <v>0</v>
      </c>
      <c r="K388" s="6">
        <f t="shared" si="34"/>
        <v>0</v>
      </c>
      <c r="L388" s="6">
        <f t="shared" si="34"/>
        <v>0</v>
      </c>
      <c r="M388" s="6">
        <f t="shared" si="34"/>
        <v>0</v>
      </c>
      <c r="N388" s="6" t="str">
        <f t="shared" si="32"/>
        <v/>
      </c>
      <c r="O388" s="6" t="str">
        <f t="shared" si="33"/>
        <v/>
      </c>
    </row>
    <row r="389" spans="8:15">
      <c r="H389">
        <f t="shared" si="30"/>
        <v>0</v>
      </c>
      <c r="I389" t="e">
        <f t="shared" si="31"/>
        <v>#VALUE!</v>
      </c>
      <c r="J389" s="6">
        <f t="shared" si="34"/>
        <v>0</v>
      </c>
      <c r="K389" s="6">
        <f t="shared" si="34"/>
        <v>0</v>
      </c>
      <c r="L389" s="6">
        <f t="shared" si="34"/>
        <v>0</v>
      </c>
      <c r="M389" s="6">
        <f t="shared" si="34"/>
        <v>0</v>
      </c>
      <c r="N389" s="6" t="str">
        <f t="shared" si="32"/>
        <v/>
      </c>
      <c r="O389" s="6" t="str">
        <f t="shared" si="33"/>
        <v/>
      </c>
    </row>
    <row r="390" spans="8:15">
      <c r="H390">
        <f t="shared" si="30"/>
        <v>0</v>
      </c>
      <c r="I390" t="e">
        <f t="shared" si="31"/>
        <v>#VALUE!</v>
      </c>
      <c r="J390" s="6">
        <f t="shared" si="34"/>
        <v>0</v>
      </c>
      <c r="K390" s="6">
        <f t="shared" si="34"/>
        <v>0</v>
      </c>
      <c r="L390" s="6">
        <f t="shared" si="34"/>
        <v>0</v>
      </c>
      <c r="M390" s="6">
        <f t="shared" si="34"/>
        <v>0</v>
      </c>
      <c r="N390" s="6" t="str">
        <f t="shared" si="32"/>
        <v/>
      </c>
      <c r="O390" s="6" t="str">
        <f t="shared" si="33"/>
        <v/>
      </c>
    </row>
    <row r="391" spans="8:15">
      <c r="H391">
        <f t="shared" ref="H391:H454" si="35">A391</f>
        <v>0</v>
      </c>
      <c r="I391" t="e">
        <f t="shared" ref="I391:I454" si="36">LEFT(B391,SEARCH(" ",B391,1)-1)</f>
        <v>#VALUE!</v>
      </c>
      <c r="J391" s="6">
        <f t="shared" si="34"/>
        <v>0</v>
      </c>
      <c r="K391" s="6">
        <f t="shared" si="34"/>
        <v>0</v>
      </c>
      <c r="L391" s="6">
        <f t="shared" si="34"/>
        <v>0</v>
      </c>
      <c r="M391" s="6">
        <f t="shared" si="34"/>
        <v>0</v>
      </c>
      <c r="N391" s="6" t="str">
        <f t="shared" ref="N391:N454" si="37">TRIM($B$1)</f>
        <v/>
      </c>
      <c r="O391" s="6" t="str">
        <f t="shared" ref="O391:O454" si="38">TRIM($C$1)</f>
        <v/>
      </c>
    </row>
    <row r="392" spans="8:15">
      <c r="H392">
        <f t="shared" si="35"/>
        <v>0</v>
      </c>
      <c r="I392" t="e">
        <f t="shared" si="36"/>
        <v>#VALUE!</v>
      </c>
      <c r="J392" s="6">
        <f t="shared" si="34"/>
        <v>0</v>
      </c>
      <c r="K392" s="6">
        <f t="shared" si="34"/>
        <v>0</v>
      </c>
      <c r="L392" s="6">
        <f t="shared" si="34"/>
        <v>0</v>
      </c>
      <c r="M392" s="6">
        <f t="shared" si="34"/>
        <v>0</v>
      </c>
      <c r="N392" s="6" t="str">
        <f t="shared" si="37"/>
        <v/>
      </c>
      <c r="O392" s="6" t="str">
        <f t="shared" si="38"/>
        <v/>
      </c>
    </row>
    <row r="393" spans="8:15">
      <c r="H393">
        <f t="shared" si="35"/>
        <v>0</v>
      </c>
      <c r="I393" t="e">
        <f t="shared" si="36"/>
        <v>#VALUE!</v>
      </c>
      <c r="J393" s="6">
        <f t="shared" si="34"/>
        <v>0</v>
      </c>
      <c r="K393" s="6">
        <f t="shared" si="34"/>
        <v>0</v>
      </c>
      <c r="L393" s="6">
        <f t="shared" si="34"/>
        <v>0</v>
      </c>
      <c r="M393" s="6">
        <f t="shared" si="34"/>
        <v>0</v>
      </c>
      <c r="N393" s="6" t="str">
        <f t="shared" si="37"/>
        <v/>
      </c>
      <c r="O393" s="6" t="str">
        <f t="shared" si="38"/>
        <v/>
      </c>
    </row>
    <row r="394" spans="8:15">
      <c r="H394">
        <f t="shared" si="35"/>
        <v>0</v>
      </c>
      <c r="I394" t="e">
        <f t="shared" si="36"/>
        <v>#VALUE!</v>
      </c>
      <c r="J394" s="6">
        <f t="shared" si="34"/>
        <v>0</v>
      </c>
      <c r="K394" s="6">
        <f t="shared" si="34"/>
        <v>0</v>
      </c>
      <c r="L394" s="6">
        <f t="shared" si="34"/>
        <v>0</v>
      </c>
      <c r="M394" s="6">
        <f t="shared" si="34"/>
        <v>0</v>
      </c>
      <c r="N394" s="6" t="str">
        <f t="shared" si="37"/>
        <v/>
      </c>
      <c r="O394" s="6" t="str">
        <f t="shared" si="38"/>
        <v/>
      </c>
    </row>
    <row r="395" spans="8:15">
      <c r="H395">
        <f t="shared" si="35"/>
        <v>0</v>
      </c>
      <c r="I395" t="e">
        <f t="shared" si="36"/>
        <v>#VALUE!</v>
      </c>
      <c r="J395" s="6">
        <f t="shared" si="34"/>
        <v>0</v>
      </c>
      <c r="K395" s="6">
        <f t="shared" si="34"/>
        <v>0</v>
      </c>
      <c r="L395" s="6">
        <f t="shared" si="34"/>
        <v>0</v>
      </c>
      <c r="M395" s="6">
        <f t="shared" si="34"/>
        <v>0</v>
      </c>
      <c r="N395" s="6" t="str">
        <f t="shared" si="37"/>
        <v/>
      </c>
      <c r="O395" s="6" t="str">
        <f t="shared" si="38"/>
        <v/>
      </c>
    </row>
    <row r="396" spans="8:15">
      <c r="H396">
        <f t="shared" si="35"/>
        <v>0</v>
      </c>
      <c r="I396" t="e">
        <f t="shared" si="36"/>
        <v>#VALUE!</v>
      </c>
      <c r="J396" s="6">
        <f t="shared" si="34"/>
        <v>0</v>
      </c>
      <c r="K396" s="6">
        <f t="shared" si="34"/>
        <v>0</v>
      </c>
      <c r="L396" s="6">
        <f t="shared" si="34"/>
        <v>0</v>
      </c>
      <c r="M396" s="6">
        <f t="shared" si="34"/>
        <v>0</v>
      </c>
      <c r="N396" s="6" t="str">
        <f t="shared" si="37"/>
        <v/>
      </c>
      <c r="O396" s="6" t="str">
        <f t="shared" si="38"/>
        <v/>
      </c>
    </row>
    <row r="397" spans="8:15">
      <c r="H397">
        <f t="shared" si="35"/>
        <v>0</v>
      </c>
      <c r="I397" t="e">
        <f t="shared" si="36"/>
        <v>#VALUE!</v>
      </c>
      <c r="J397" s="6">
        <f t="shared" si="34"/>
        <v>0</v>
      </c>
      <c r="K397" s="6">
        <f t="shared" si="34"/>
        <v>0</v>
      </c>
      <c r="L397" s="6">
        <f t="shared" si="34"/>
        <v>0</v>
      </c>
      <c r="M397" s="6">
        <f t="shared" si="34"/>
        <v>0</v>
      </c>
      <c r="N397" s="6" t="str">
        <f t="shared" si="37"/>
        <v/>
      </c>
      <c r="O397" s="6" t="str">
        <f t="shared" si="38"/>
        <v/>
      </c>
    </row>
    <row r="398" spans="8:15">
      <c r="H398">
        <f t="shared" si="35"/>
        <v>0</v>
      </c>
      <c r="I398" t="e">
        <f t="shared" si="36"/>
        <v>#VALUE!</v>
      </c>
      <c r="J398" s="6">
        <f t="shared" si="34"/>
        <v>0</v>
      </c>
      <c r="K398" s="6">
        <f t="shared" si="34"/>
        <v>0</v>
      </c>
      <c r="L398" s="6">
        <f t="shared" si="34"/>
        <v>0</v>
      </c>
      <c r="M398" s="6">
        <f t="shared" si="34"/>
        <v>0</v>
      </c>
      <c r="N398" s="6" t="str">
        <f t="shared" si="37"/>
        <v/>
      </c>
      <c r="O398" s="6" t="str">
        <f t="shared" si="38"/>
        <v/>
      </c>
    </row>
    <row r="399" spans="8:15">
      <c r="H399">
        <f t="shared" si="35"/>
        <v>0</v>
      </c>
      <c r="I399" t="e">
        <f t="shared" si="36"/>
        <v>#VALUE!</v>
      </c>
      <c r="J399" s="6">
        <f t="shared" si="34"/>
        <v>0</v>
      </c>
      <c r="K399" s="6">
        <f t="shared" si="34"/>
        <v>0</v>
      </c>
      <c r="L399" s="6">
        <f t="shared" si="34"/>
        <v>0</v>
      </c>
      <c r="M399" s="6">
        <f t="shared" si="34"/>
        <v>0</v>
      </c>
      <c r="N399" s="6" t="str">
        <f t="shared" si="37"/>
        <v/>
      </c>
      <c r="O399" s="6" t="str">
        <f t="shared" si="38"/>
        <v/>
      </c>
    </row>
    <row r="400" spans="8:15">
      <c r="H400">
        <f t="shared" si="35"/>
        <v>0</v>
      </c>
      <c r="I400" t="e">
        <f t="shared" si="36"/>
        <v>#VALUE!</v>
      </c>
      <c r="J400" s="6">
        <f t="shared" si="34"/>
        <v>0</v>
      </c>
      <c r="K400" s="6">
        <f t="shared" si="34"/>
        <v>0</v>
      </c>
      <c r="L400" s="6">
        <f t="shared" si="34"/>
        <v>0</v>
      </c>
      <c r="M400" s="6">
        <f t="shared" si="34"/>
        <v>0</v>
      </c>
      <c r="N400" s="6" t="str">
        <f t="shared" si="37"/>
        <v/>
      </c>
      <c r="O400" s="6" t="str">
        <f t="shared" si="38"/>
        <v/>
      </c>
    </row>
    <row r="401" spans="8:15">
      <c r="H401">
        <f t="shared" si="35"/>
        <v>0</v>
      </c>
      <c r="I401" t="e">
        <f t="shared" si="36"/>
        <v>#VALUE!</v>
      </c>
      <c r="J401" s="6">
        <f t="shared" si="34"/>
        <v>0</v>
      </c>
      <c r="K401" s="6">
        <f t="shared" si="34"/>
        <v>0</v>
      </c>
      <c r="L401" s="6">
        <f t="shared" si="34"/>
        <v>0</v>
      </c>
      <c r="M401" s="6">
        <f t="shared" si="34"/>
        <v>0</v>
      </c>
      <c r="N401" s="6" t="str">
        <f t="shared" si="37"/>
        <v/>
      </c>
      <c r="O401" s="6" t="str">
        <f t="shared" si="38"/>
        <v/>
      </c>
    </row>
    <row r="402" spans="8:15">
      <c r="H402">
        <f t="shared" si="35"/>
        <v>0</v>
      </c>
      <c r="I402" t="e">
        <f t="shared" si="36"/>
        <v>#VALUE!</v>
      </c>
      <c r="J402" s="6">
        <f t="shared" si="34"/>
        <v>0</v>
      </c>
      <c r="K402" s="6">
        <f t="shared" si="34"/>
        <v>0</v>
      </c>
      <c r="L402" s="6">
        <f t="shared" si="34"/>
        <v>0</v>
      </c>
      <c r="M402" s="6">
        <f t="shared" si="34"/>
        <v>0</v>
      </c>
      <c r="N402" s="6" t="str">
        <f t="shared" si="37"/>
        <v/>
      </c>
      <c r="O402" s="6" t="str">
        <f t="shared" si="38"/>
        <v/>
      </c>
    </row>
    <row r="403" spans="8:15">
      <c r="H403">
        <f t="shared" si="35"/>
        <v>0</v>
      </c>
      <c r="I403" t="e">
        <f t="shared" si="36"/>
        <v>#VALUE!</v>
      </c>
      <c r="J403" s="6">
        <f t="shared" si="34"/>
        <v>0</v>
      </c>
      <c r="K403" s="6">
        <f t="shared" si="34"/>
        <v>0</v>
      </c>
      <c r="L403" s="6">
        <f t="shared" si="34"/>
        <v>0</v>
      </c>
      <c r="M403" s="6">
        <f t="shared" si="34"/>
        <v>0</v>
      </c>
      <c r="N403" s="6" t="str">
        <f t="shared" si="37"/>
        <v/>
      </c>
      <c r="O403" s="6" t="str">
        <f t="shared" si="38"/>
        <v/>
      </c>
    </row>
    <row r="404" spans="8:15">
      <c r="H404">
        <f t="shared" si="35"/>
        <v>0</v>
      </c>
      <c r="I404" t="e">
        <f t="shared" si="36"/>
        <v>#VALUE!</v>
      </c>
      <c r="J404" s="6">
        <f t="shared" si="34"/>
        <v>0</v>
      </c>
      <c r="K404" s="6">
        <f t="shared" si="34"/>
        <v>0</v>
      </c>
      <c r="L404" s="6">
        <f t="shared" si="34"/>
        <v>0</v>
      </c>
      <c r="M404" s="6">
        <f t="shared" si="34"/>
        <v>0</v>
      </c>
      <c r="N404" s="6" t="str">
        <f t="shared" si="37"/>
        <v/>
      </c>
      <c r="O404" s="6" t="str">
        <f t="shared" si="38"/>
        <v/>
      </c>
    </row>
    <row r="405" spans="8:15">
      <c r="H405">
        <f t="shared" si="35"/>
        <v>0</v>
      </c>
      <c r="I405" t="e">
        <f t="shared" si="36"/>
        <v>#VALUE!</v>
      </c>
      <c r="J405" s="6">
        <f t="shared" si="34"/>
        <v>0</v>
      </c>
      <c r="K405" s="6">
        <f t="shared" si="34"/>
        <v>0</v>
      </c>
      <c r="L405" s="6">
        <f t="shared" si="34"/>
        <v>0</v>
      </c>
      <c r="M405" s="6">
        <f t="shared" si="34"/>
        <v>0</v>
      </c>
      <c r="N405" s="6" t="str">
        <f t="shared" si="37"/>
        <v/>
      </c>
      <c r="O405" s="6" t="str">
        <f t="shared" si="38"/>
        <v/>
      </c>
    </row>
    <row r="406" spans="8:15">
      <c r="H406">
        <f t="shared" si="35"/>
        <v>0</v>
      </c>
      <c r="I406" t="e">
        <f t="shared" si="36"/>
        <v>#VALUE!</v>
      </c>
      <c r="J406" s="6">
        <f t="shared" si="34"/>
        <v>0</v>
      </c>
      <c r="K406" s="6">
        <f t="shared" si="34"/>
        <v>0</v>
      </c>
      <c r="L406" s="6">
        <f t="shared" si="34"/>
        <v>0</v>
      </c>
      <c r="M406" s="6">
        <f t="shared" si="34"/>
        <v>0</v>
      </c>
      <c r="N406" s="6" t="str">
        <f t="shared" si="37"/>
        <v/>
      </c>
      <c r="O406" s="6" t="str">
        <f t="shared" si="38"/>
        <v/>
      </c>
    </row>
    <row r="407" spans="8:15">
      <c r="H407">
        <f t="shared" si="35"/>
        <v>0</v>
      </c>
      <c r="I407" t="e">
        <f t="shared" si="36"/>
        <v>#VALUE!</v>
      </c>
      <c r="J407" s="6">
        <f t="shared" si="34"/>
        <v>0</v>
      </c>
      <c r="K407" s="6">
        <f t="shared" si="34"/>
        <v>0</v>
      </c>
      <c r="L407" s="6">
        <f t="shared" si="34"/>
        <v>0</v>
      </c>
      <c r="M407" s="6">
        <f t="shared" si="34"/>
        <v>0</v>
      </c>
      <c r="N407" s="6" t="str">
        <f t="shared" si="37"/>
        <v/>
      </c>
      <c r="O407" s="6" t="str">
        <f t="shared" si="38"/>
        <v/>
      </c>
    </row>
    <row r="408" spans="8:15">
      <c r="H408">
        <f t="shared" si="35"/>
        <v>0</v>
      </c>
      <c r="I408" t="e">
        <f t="shared" si="36"/>
        <v>#VALUE!</v>
      </c>
      <c r="J408" s="6">
        <f t="shared" si="34"/>
        <v>0</v>
      </c>
      <c r="K408" s="6">
        <f t="shared" si="34"/>
        <v>0</v>
      </c>
      <c r="L408" s="6">
        <f t="shared" si="34"/>
        <v>0</v>
      </c>
      <c r="M408" s="6">
        <f t="shared" si="34"/>
        <v>0</v>
      </c>
      <c r="N408" s="6" t="str">
        <f t="shared" si="37"/>
        <v/>
      </c>
      <c r="O408" s="6" t="str">
        <f t="shared" si="38"/>
        <v/>
      </c>
    </row>
    <row r="409" spans="8:15">
      <c r="H409">
        <f t="shared" si="35"/>
        <v>0</v>
      </c>
      <c r="I409" t="e">
        <f t="shared" si="36"/>
        <v>#VALUE!</v>
      </c>
      <c r="J409" s="6">
        <f t="shared" si="34"/>
        <v>0</v>
      </c>
      <c r="K409" s="6">
        <f t="shared" si="34"/>
        <v>0</v>
      </c>
      <c r="L409" s="6">
        <f t="shared" si="34"/>
        <v>0</v>
      </c>
      <c r="M409" s="6">
        <f t="shared" si="34"/>
        <v>0</v>
      </c>
      <c r="N409" s="6" t="str">
        <f t="shared" si="37"/>
        <v/>
      </c>
      <c r="O409" s="6" t="str">
        <f t="shared" si="38"/>
        <v/>
      </c>
    </row>
    <row r="410" spans="8:15">
      <c r="H410">
        <f t="shared" si="35"/>
        <v>0</v>
      </c>
      <c r="I410" t="e">
        <f t="shared" si="36"/>
        <v>#VALUE!</v>
      </c>
      <c r="J410" s="6">
        <f t="shared" si="34"/>
        <v>0</v>
      </c>
      <c r="K410" s="6">
        <f t="shared" si="34"/>
        <v>0</v>
      </c>
      <c r="L410" s="6">
        <f t="shared" si="34"/>
        <v>0</v>
      </c>
      <c r="M410" s="6">
        <f t="shared" si="34"/>
        <v>0</v>
      </c>
      <c r="N410" s="6" t="str">
        <f t="shared" si="37"/>
        <v/>
      </c>
      <c r="O410" s="6" t="str">
        <f t="shared" si="38"/>
        <v/>
      </c>
    </row>
    <row r="411" spans="8:15">
      <c r="H411">
        <f t="shared" si="35"/>
        <v>0</v>
      </c>
      <c r="I411" t="e">
        <f t="shared" si="36"/>
        <v>#VALUE!</v>
      </c>
      <c r="J411" s="6">
        <f t="shared" si="34"/>
        <v>0</v>
      </c>
      <c r="K411" s="6">
        <f t="shared" si="34"/>
        <v>0</v>
      </c>
      <c r="L411" s="6">
        <f t="shared" si="34"/>
        <v>0</v>
      </c>
      <c r="M411" s="6">
        <f t="shared" si="34"/>
        <v>0</v>
      </c>
      <c r="N411" s="6" t="str">
        <f t="shared" si="37"/>
        <v/>
      </c>
      <c r="O411" s="6" t="str">
        <f t="shared" si="38"/>
        <v/>
      </c>
    </row>
    <row r="412" spans="8:15">
      <c r="H412">
        <f t="shared" si="35"/>
        <v>0</v>
      </c>
      <c r="I412" t="e">
        <f t="shared" si="36"/>
        <v>#VALUE!</v>
      </c>
      <c r="J412" s="6">
        <f t="shared" si="34"/>
        <v>0</v>
      </c>
      <c r="K412" s="6">
        <f t="shared" si="34"/>
        <v>0</v>
      </c>
      <c r="L412" s="6">
        <f t="shared" si="34"/>
        <v>0</v>
      </c>
      <c r="M412" s="6">
        <f t="shared" si="34"/>
        <v>0</v>
      </c>
      <c r="N412" s="6" t="str">
        <f t="shared" si="37"/>
        <v/>
      </c>
      <c r="O412" s="6" t="str">
        <f t="shared" si="38"/>
        <v/>
      </c>
    </row>
    <row r="413" spans="8:15">
      <c r="H413">
        <f t="shared" si="35"/>
        <v>0</v>
      </c>
      <c r="I413" t="e">
        <f t="shared" si="36"/>
        <v>#VALUE!</v>
      </c>
      <c r="J413" s="6">
        <f t="shared" si="34"/>
        <v>0</v>
      </c>
      <c r="K413" s="6">
        <f t="shared" si="34"/>
        <v>0</v>
      </c>
      <c r="L413" s="6">
        <f t="shared" si="34"/>
        <v>0</v>
      </c>
      <c r="M413" s="6">
        <f t="shared" si="34"/>
        <v>0</v>
      </c>
      <c r="N413" s="6" t="str">
        <f t="shared" si="37"/>
        <v/>
      </c>
      <c r="O413" s="6" t="str">
        <f t="shared" si="38"/>
        <v/>
      </c>
    </row>
    <row r="414" spans="8:15">
      <c r="H414">
        <f t="shared" si="35"/>
        <v>0</v>
      </c>
      <c r="I414" t="e">
        <f t="shared" si="36"/>
        <v>#VALUE!</v>
      </c>
      <c r="J414" s="6">
        <f t="shared" si="34"/>
        <v>0</v>
      </c>
      <c r="K414" s="6">
        <f t="shared" si="34"/>
        <v>0</v>
      </c>
      <c r="L414" s="6">
        <f t="shared" si="34"/>
        <v>0</v>
      </c>
      <c r="M414" s="6">
        <f t="shared" si="34"/>
        <v>0</v>
      </c>
      <c r="N414" s="6" t="str">
        <f t="shared" si="37"/>
        <v/>
      </c>
      <c r="O414" s="6" t="str">
        <f t="shared" si="38"/>
        <v/>
      </c>
    </row>
    <row r="415" spans="8:15">
      <c r="H415">
        <f t="shared" si="35"/>
        <v>0</v>
      </c>
      <c r="I415" t="e">
        <f t="shared" si="36"/>
        <v>#VALUE!</v>
      </c>
      <c r="J415" s="6">
        <f t="shared" si="34"/>
        <v>0</v>
      </c>
      <c r="K415" s="6">
        <f t="shared" si="34"/>
        <v>0</v>
      </c>
      <c r="L415" s="6">
        <f t="shared" si="34"/>
        <v>0</v>
      </c>
      <c r="M415" s="6">
        <f t="shared" si="34"/>
        <v>0</v>
      </c>
      <c r="N415" s="6" t="str">
        <f t="shared" si="37"/>
        <v/>
      </c>
      <c r="O415" s="6" t="str">
        <f t="shared" si="38"/>
        <v/>
      </c>
    </row>
    <row r="416" spans="8:15">
      <c r="H416">
        <f t="shared" si="35"/>
        <v>0</v>
      </c>
      <c r="I416" t="e">
        <f t="shared" si="36"/>
        <v>#VALUE!</v>
      </c>
      <c r="J416" s="6">
        <f t="shared" si="34"/>
        <v>0</v>
      </c>
      <c r="K416" s="6">
        <f t="shared" si="34"/>
        <v>0</v>
      </c>
      <c r="L416" s="6">
        <f t="shared" si="34"/>
        <v>0</v>
      </c>
      <c r="M416" s="6">
        <f t="shared" si="34"/>
        <v>0</v>
      </c>
      <c r="N416" s="6" t="str">
        <f t="shared" si="37"/>
        <v/>
      </c>
      <c r="O416" s="6" t="str">
        <f t="shared" si="38"/>
        <v/>
      </c>
    </row>
    <row r="417" spans="8:15">
      <c r="H417">
        <f t="shared" si="35"/>
        <v>0</v>
      </c>
      <c r="I417" t="e">
        <f t="shared" si="36"/>
        <v>#VALUE!</v>
      </c>
      <c r="J417" s="6">
        <f t="shared" si="34"/>
        <v>0</v>
      </c>
      <c r="K417" s="6">
        <f t="shared" si="34"/>
        <v>0</v>
      </c>
      <c r="L417" s="6">
        <f t="shared" si="34"/>
        <v>0</v>
      </c>
      <c r="M417" s="6">
        <f t="shared" si="34"/>
        <v>0</v>
      </c>
      <c r="N417" s="6" t="str">
        <f t="shared" si="37"/>
        <v/>
      </c>
      <c r="O417" s="6" t="str">
        <f t="shared" si="38"/>
        <v/>
      </c>
    </row>
    <row r="418" spans="8:15">
      <c r="H418">
        <f t="shared" si="35"/>
        <v>0</v>
      </c>
      <c r="I418" t="e">
        <f t="shared" si="36"/>
        <v>#VALUE!</v>
      </c>
      <c r="J418" s="6">
        <f t="shared" si="34"/>
        <v>0</v>
      </c>
      <c r="K418" s="6">
        <f t="shared" si="34"/>
        <v>0</v>
      </c>
      <c r="L418" s="6">
        <f t="shared" si="34"/>
        <v>0</v>
      </c>
      <c r="M418" s="6">
        <f t="shared" si="34"/>
        <v>0</v>
      </c>
      <c r="N418" s="6" t="str">
        <f t="shared" si="37"/>
        <v/>
      </c>
      <c r="O418" s="6" t="str">
        <f t="shared" si="38"/>
        <v/>
      </c>
    </row>
    <row r="419" spans="8:15">
      <c r="H419">
        <f t="shared" si="35"/>
        <v>0</v>
      </c>
      <c r="I419" t="e">
        <f t="shared" si="36"/>
        <v>#VALUE!</v>
      </c>
      <c r="J419" s="6">
        <f t="shared" si="34"/>
        <v>0</v>
      </c>
      <c r="K419" s="6">
        <f t="shared" si="34"/>
        <v>0</v>
      </c>
      <c r="L419" s="6">
        <f t="shared" si="34"/>
        <v>0</v>
      </c>
      <c r="M419" s="6">
        <f t="shared" si="34"/>
        <v>0</v>
      </c>
      <c r="N419" s="6" t="str">
        <f t="shared" si="37"/>
        <v/>
      </c>
      <c r="O419" s="6" t="str">
        <f t="shared" si="38"/>
        <v/>
      </c>
    </row>
    <row r="420" spans="8:15">
      <c r="H420">
        <f t="shared" si="35"/>
        <v>0</v>
      </c>
      <c r="I420" t="e">
        <f t="shared" si="36"/>
        <v>#VALUE!</v>
      </c>
      <c r="J420" s="6">
        <f t="shared" si="34"/>
        <v>0</v>
      </c>
      <c r="K420" s="6">
        <f t="shared" si="34"/>
        <v>0</v>
      </c>
      <c r="L420" s="6">
        <f t="shared" si="34"/>
        <v>0</v>
      </c>
      <c r="M420" s="6">
        <f t="shared" si="34"/>
        <v>0</v>
      </c>
      <c r="N420" s="6" t="str">
        <f t="shared" si="37"/>
        <v/>
      </c>
      <c r="O420" s="6" t="str">
        <f t="shared" si="38"/>
        <v/>
      </c>
    </row>
    <row r="421" spans="8:15">
      <c r="H421">
        <f t="shared" si="35"/>
        <v>0</v>
      </c>
      <c r="I421" t="e">
        <f t="shared" si="36"/>
        <v>#VALUE!</v>
      </c>
      <c r="J421" s="6">
        <f t="shared" si="34"/>
        <v>0</v>
      </c>
      <c r="K421" s="6">
        <f t="shared" si="34"/>
        <v>0</v>
      </c>
      <c r="L421" s="6">
        <f t="shared" si="34"/>
        <v>0</v>
      </c>
      <c r="M421" s="6">
        <f t="shared" si="34"/>
        <v>0</v>
      </c>
      <c r="N421" s="6" t="str">
        <f t="shared" si="37"/>
        <v/>
      </c>
      <c r="O421" s="6" t="str">
        <f t="shared" si="38"/>
        <v/>
      </c>
    </row>
    <row r="422" spans="8:15">
      <c r="H422">
        <f t="shared" si="35"/>
        <v>0</v>
      </c>
      <c r="I422" t="e">
        <f t="shared" si="36"/>
        <v>#VALUE!</v>
      </c>
      <c r="J422" s="6">
        <f t="shared" si="34"/>
        <v>0</v>
      </c>
      <c r="K422" s="6">
        <f t="shared" si="34"/>
        <v>0</v>
      </c>
      <c r="L422" s="6">
        <f t="shared" si="34"/>
        <v>0</v>
      </c>
      <c r="M422" s="6">
        <f t="shared" si="34"/>
        <v>0</v>
      </c>
      <c r="N422" s="6" t="str">
        <f t="shared" si="37"/>
        <v/>
      </c>
      <c r="O422" s="6" t="str">
        <f t="shared" si="38"/>
        <v/>
      </c>
    </row>
    <row r="423" spans="8:15">
      <c r="H423">
        <f t="shared" si="35"/>
        <v>0</v>
      </c>
      <c r="I423" t="e">
        <f t="shared" si="36"/>
        <v>#VALUE!</v>
      </c>
      <c r="J423" s="6">
        <f t="shared" si="34"/>
        <v>0</v>
      </c>
      <c r="K423" s="6">
        <f t="shared" si="34"/>
        <v>0</v>
      </c>
      <c r="L423" s="6">
        <f t="shared" si="34"/>
        <v>0</v>
      </c>
      <c r="M423" s="6">
        <f t="shared" si="34"/>
        <v>0</v>
      </c>
      <c r="N423" s="6" t="str">
        <f t="shared" si="37"/>
        <v/>
      </c>
      <c r="O423" s="6" t="str">
        <f t="shared" si="38"/>
        <v/>
      </c>
    </row>
    <row r="424" spans="8:15">
      <c r="H424">
        <f t="shared" si="35"/>
        <v>0</v>
      </c>
      <c r="I424" t="e">
        <f t="shared" si="36"/>
        <v>#VALUE!</v>
      </c>
      <c r="J424" s="6">
        <f t="shared" si="34"/>
        <v>0</v>
      </c>
      <c r="K424" s="6">
        <f t="shared" si="34"/>
        <v>0</v>
      </c>
      <c r="L424" s="6">
        <f t="shared" si="34"/>
        <v>0</v>
      </c>
      <c r="M424" s="6">
        <f t="shared" ref="M424:M487" si="39">F424</f>
        <v>0</v>
      </c>
      <c r="N424" s="6" t="str">
        <f t="shared" si="37"/>
        <v/>
      </c>
      <c r="O424" s="6" t="str">
        <f t="shared" si="38"/>
        <v/>
      </c>
    </row>
    <row r="425" spans="8:15">
      <c r="H425">
        <f t="shared" si="35"/>
        <v>0</v>
      </c>
      <c r="I425" t="e">
        <f t="shared" si="36"/>
        <v>#VALUE!</v>
      </c>
      <c r="J425" s="6">
        <f t="shared" ref="J425:M488" si="40">C425</f>
        <v>0</v>
      </c>
      <c r="K425" s="6">
        <f t="shared" si="40"/>
        <v>0</v>
      </c>
      <c r="L425" s="6">
        <f t="shared" si="40"/>
        <v>0</v>
      </c>
      <c r="M425" s="6">
        <f t="shared" si="39"/>
        <v>0</v>
      </c>
      <c r="N425" s="6" t="str">
        <f t="shared" si="37"/>
        <v/>
      </c>
      <c r="O425" s="6" t="str">
        <f t="shared" si="38"/>
        <v/>
      </c>
    </row>
    <row r="426" spans="8:15">
      <c r="H426">
        <f t="shared" si="35"/>
        <v>0</v>
      </c>
      <c r="I426" t="e">
        <f t="shared" si="36"/>
        <v>#VALUE!</v>
      </c>
      <c r="J426" s="6">
        <f t="shared" si="40"/>
        <v>0</v>
      </c>
      <c r="K426" s="6">
        <f t="shared" si="40"/>
        <v>0</v>
      </c>
      <c r="L426" s="6">
        <f t="shared" si="40"/>
        <v>0</v>
      </c>
      <c r="M426" s="6">
        <f t="shared" si="39"/>
        <v>0</v>
      </c>
      <c r="N426" s="6" t="str">
        <f t="shared" si="37"/>
        <v/>
      </c>
      <c r="O426" s="6" t="str">
        <f t="shared" si="38"/>
        <v/>
      </c>
    </row>
    <row r="427" spans="8:15">
      <c r="H427">
        <f t="shared" si="35"/>
        <v>0</v>
      </c>
      <c r="I427" t="e">
        <f t="shared" si="36"/>
        <v>#VALUE!</v>
      </c>
      <c r="J427" s="6">
        <f t="shared" si="40"/>
        <v>0</v>
      </c>
      <c r="K427" s="6">
        <f t="shared" si="40"/>
        <v>0</v>
      </c>
      <c r="L427" s="6">
        <f t="shared" si="40"/>
        <v>0</v>
      </c>
      <c r="M427" s="6">
        <f t="shared" si="39"/>
        <v>0</v>
      </c>
      <c r="N427" s="6" t="str">
        <f t="shared" si="37"/>
        <v/>
      </c>
      <c r="O427" s="6" t="str">
        <f t="shared" si="38"/>
        <v/>
      </c>
    </row>
    <row r="428" spans="8:15">
      <c r="H428">
        <f t="shared" si="35"/>
        <v>0</v>
      </c>
      <c r="I428" t="e">
        <f t="shared" si="36"/>
        <v>#VALUE!</v>
      </c>
      <c r="J428" s="6">
        <f t="shared" si="40"/>
        <v>0</v>
      </c>
      <c r="K428" s="6">
        <f t="shared" si="40"/>
        <v>0</v>
      </c>
      <c r="L428" s="6">
        <f t="shared" si="40"/>
        <v>0</v>
      </c>
      <c r="M428" s="6">
        <f t="shared" si="39"/>
        <v>0</v>
      </c>
      <c r="N428" s="6" t="str">
        <f t="shared" si="37"/>
        <v/>
      </c>
      <c r="O428" s="6" t="str">
        <f t="shared" si="38"/>
        <v/>
      </c>
    </row>
    <row r="429" spans="8:15">
      <c r="H429">
        <f t="shared" si="35"/>
        <v>0</v>
      </c>
      <c r="I429" t="e">
        <f t="shared" si="36"/>
        <v>#VALUE!</v>
      </c>
      <c r="J429" s="6">
        <f t="shared" si="40"/>
        <v>0</v>
      </c>
      <c r="K429" s="6">
        <f t="shared" si="40"/>
        <v>0</v>
      </c>
      <c r="L429" s="6">
        <f t="shared" si="40"/>
        <v>0</v>
      </c>
      <c r="M429" s="6">
        <f t="shared" si="39"/>
        <v>0</v>
      </c>
      <c r="N429" s="6" t="str">
        <f t="shared" si="37"/>
        <v/>
      </c>
      <c r="O429" s="6" t="str">
        <f t="shared" si="38"/>
        <v/>
      </c>
    </row>
    <row r="430" spans="8:15">
      <c r="H430">
        <f t="shared" si="35"/>
        <v>0</v>
      </c>
      <c r="I430" t="e">
        <f t="shared" si="36"/>
        <v>#VALUE!</v>
      </c>
      <c r="J430" s="6">
        <f t="shared" si="40"/>
        <v>0</v>
      </c>
      <c r="K430" s="6">
        <f t="shared" si="40"/>
        <v>0</v>
      </c>
      <c r="L430" s="6">
        <f t="shared" si="40"/>
        <v>0</v>
      </c>
      <c r="M430" s="6">
        <f t="shared" si="39"/>
        <v>0</v>
      </c>
      <c r="N430" s="6" t="str">
        <f t="shared" si="37"/>
        <v/>
      </c>
      <c r="O430" s="6" t="str">
        <f t="shared" si="38"/>
        <v/>
      </c>
    </row>
    <row r="431" spans="8:15">
      <c r="H431">
        <f t="shared" si="35"/>
        <v>0</v>
      </c>
      <c r="I431" t="e">
        <f t="shared" si="36"/>
        <v>#VALUE!</v>
      </c>
      <c r="J431" s="6">
        <f t="shared" si="40"/>
        <v>0</v>
      </c>
      <c r="K431" s="6">
        <f t="shared" si="40"/>
        <v>0</v>
      </c>
      <c r="L431" s="6">
        <f t="shared" si="40"/>
        <v>0</v>
      </c>
      <c r="M431" s="6">
        <f t="shared" si="39"/>
        <v>0</v>
      </c>
      <c r="N431" s="6" t="str">
        <f t="shared" si="37"/>
        <v/>
      </c>
      <c r="O431" s="6" t="str">
        <f t="shared" si="38"/>
        <v/>
      </c>
    </row>
    <row r="432" spans="8:15">
      <c r="H432">
        <f t="shared" si="35"/>
        <v>0</v>
      </c>
      <c r="I432" t="e">
        <f t="shared" si="36"/>
        <v>#VALUE!</v>
      </c>
      <c r="J432" s="6">
        <f t="shared" si="40"/>
        <v>0</v>
      </c>
      <c r="K432" s="6">
        <f t="shared" si="40"/>
        <v>0</v>
      </c>
      <c r="L432" s="6">
        <f t="shared" si="40"/>
        <v>0</v>
      </c>
      <c r="M432" s="6">
        <f t="shared" si="39"/>
        <v>0</v>
      </c>
      <c r="N432" s="6" t="str">
        <f t="shared" si="37"/>
        <v/>
      </c>
      <c r="O432" s="6" t="str">
        <f t="shared" si="38"/>
        <v/>
      </c>
    </row>
    <row r="433" spans="8:15">
      <c r="H433">
        <f t="shared" si="35"/>
        <v>0</v>
      </c>
      <c r="I433" t="e">
        <f t="shared" si="36"/>
        <v>#VALUE!</v>
      </c>
      <c r="J433" s="6">
        <f t="shared" si="40"/>
        <v>0</v>
      </c>
      <c r="K433" s="6">
        <f t="shared" si="40"/>
        <v>0</v>
      </c>
      <c r="L433" s="6">
        <f t="shared" si="40"/>
        <v>0</v>
      </c>
      <c r="M433" s="6">
        <f t="shared" si="39"/>
        <v>0</v>
      </c>
      <c r="N433" s="6" t="str">
        <f t="shared" si="37"/>
        <v/>
      </c>
      <c r="O433" s="6" t="str">
        <f t="shared" si="38"/>
        <v/>
      </c>
    </row>
    <row r="434" spans="8:15">
      <c r="H434">
        <f t="shared" si="35"/>
        <v>0</v>
      </c>
      <c r="I434" t="e">
        <f t="shared" si="36"/>
        <v>#VALUE!</v>
      </c>
      <c r="J434" s="6">
        <f t="shared" si="40"/>
        <v>0</v>
      </c>
      <c r="K434" s="6">
        <f t="shared" si="40"/>
        <v>0</v>
      </c>
      <c r="L434" s="6">
        <f t="shared" si="40"/>
        <v>0</v>
      </c>
      <c r="M434" s="6">
        <f t="shared" si="39"/>
        <v>0</v>
      </c>
      <c r="N434" s="6" t="str">
        <f t="shared" si="37"/>
        <v/>
      </c>
      <c r="O434" s="6" t="str">
        <f t="shared" si="38"/>
        <v/>
      </c>
    </row>
    <row r="435" spans="8:15">
      <c r="H435">
        <f t="shared" si="35"/>
        <v>0</v>
      </c>
      <c r="I435" t="e">
        <f t="shared" si="36"/>
        <v>#VALUE!</v>
      </c>
      <c r="J435" s="6">
        <f t="shared" si="40"/>
        <v>0</v>
      </c>
      <c r="K435" s="6">
        <f t="shared" si="40"/>
        <v>0</v>
      </c>
      <c r="L435" s="6">
        <f t="shared" si="40"/>
        <v>0</v>
      </c>
      <c r="M435" s="6">
        <f t="shared" si="39"/>
        <v>0</v>
      </c>
      <c r="N435" s="6" t="str">
        <f t="shared" si="37"/>
        <v/>
      </c>
      <c r="O435" s="6" t="str">
        <f t="shared" si="38"/>
        <v/>
      </c>
    </row>
    <row r="436" spans="8:15">
      <c r="H436">
        <f t="shared" si="35"/>
        <v>0</v>
      </c>
      <c r="I436" t="e">
        <f t="shared" si="36"/>
        <v>#VALUE!</v>
      </c>
      <c r="J436" s="6">
        <f t="shared" si="40"/>
        <v>0</v>
      </c>
      <c r="K436" s="6">
        <f t="shared" si="40"/>
        <v>0</v>
      </c>
      <c r="L436" s="6">
        <f t="shared" si="40"/>
        <v>0</v>
      </c>
      <c r="M436" s="6">
        <f t="shared" si="39"/>
        <v>0</v>
      </c>
      <c r="N436" s="6" t="str">
        <f t="shared" si="37"/>
        <v/>
      </c>
      <c r="O436" s="6" t="str">
        <f t="shared" si="38"/>
        <v/>
      </c>
    </row>
    <row r="437" spans="8:15">
      <c r="H437">
        <f t="shared" si="35"/>
        <v>0</v>
      </c>
      <c r="I437" t="e">
        <f t="shared" si="36"/>
        <v>#VALUE!</v>
      </c>
      <c r="J437" s="6">
        <f t="shared" si="40"/>
        <v>0</v>
      </c>
      <c r="K437" s="6">
        <f t="shared" si="40"/>
        <v>0</v>
      </c>
      <c r="L437" s="6">
        <f t="shared" si="40"/>
        <v>0</v>
      </c>
      <c r="M437" s="6">
        <f t="shared" si="39"/>
        <v>0</v>
      </c>
      <c r="N437" s="6" t="str">
        <f t="shared" si="37"/>
        <v/>
      </c>
      <c r="O437" s="6" t="str">
        <f t="shared" si="38"/>
        <v/>
      </c>
    </row>
    <row r="438" spans="8:15">
      <c r="H438">
        <f t="shared" si="35"/>
        <v>0</v>
      </c>
      <c r="I438" t="e">
        <f t="shared" si="36"/>
        <v>#VALUE!</v>
      </c>
      <c r="J438" s="6">
        <f t="shared" si="40"/>
        <v>0</v>
      </c>
      <c r="K438" s="6">
        <f t="shared" si="40"/>
        <v>0</v>
      </c>
      <c r="L438" s="6">
        <f t="shared" si="40"/>
        <v>0</v>
      </c>
      <c r="M438" s="6">
        <f t="shared" si="39"/>
        <v>0</v>
      </c>
      <c r="N438" s="6" t="str">
        <f t="shared" si="37"/>
        <v/>
      </c>
      <c r="O438" s="6" t="str">
        <f t="shared" si="38"/>
        <v/>
      </c>
    </row>
    <row r="439" spans="8:15">
      <c r="H439">
        <f t="shared" si="35"/>
        <v>0</v>
      </c>
      <c r="I439" t="e">
        <f t="shared" si="36"/>
        <v>#VALUE!</v>
      </c>
      <c r="J439" s="6">
        <f t="shared" si="40"/>
        <v>0</v>
      </c>
      <c r="K439" s="6">
        <f t="shared" si="40"/>
        <v>0</v>
      </c>
      <c r="L439" s="6">
        <f t="shared" si="40"/>
        <v>0</v>
      </c>
      <c r="M439" s="6">
        <f t="shared" si="39"/>
        <v>0</v>
      </c>
      <c r="N439" s="6" t="str">
        <f t="shared" si="37"/>
        <v/>
      </c>
      <c r="O439" s="6" t="str">
        <f t="shared" si="38"/>
        <v/>
      </c>
    </row>
    <row r="440" spans="8:15">
      <c r="H440">
        <f t="shared" si="35"/>
        <v>0</v>
      </c>
      <c r="I440" t="e">
        <f t="shared" si="36"/>
        <v>#VALUE!</v>
      </c>
      <c r="J440" s="6">
        <f t="shared" si="40"/>
        <v>0</v>
      </c>
      <c r="K440" s="6">
        <f t="shared" si="40"/>
        <v>0</v>
      </c>
      <c r="L440" s="6">
        <f t="shared" si="40"/>
        <v>0</v>
      </c>
      <c r="M440" s="6">
        <f t="shared" si="39"/>
        <v>0</v>
      </c>
      <c r="N440" s="6" t="str">
        <f t="shared" si="37"/>
        <v/>
      </c>
      <c r="O440" s="6" t="str">
        <f t="shared" si="38"/>
        <v/>
      </c>
    </row>
    <row r="441" spans="8:15">
      <c r="H441">
        <f t="shared" si="35"/>
        <v>0</v>
      </c>
      <c r="I441" t="e">
        <f t="shared" si="36"/>
        <v>#VALUE!</v>
      </c>
      <c r="J441" s="6">
        <f t="shared" si="40"/>
        <v>0</v>
      </c>
      <c r="K441" s="6">
        <f t="shared" si="40"/>
        <v>0</v>
      </c>
      <c r="L441" s="6">
        <f t="shared" si="40"/>
        <v>0</v>
      </c>
      <c r="M441" s="6">
        <f t="shared" si="39"/>
        <v>0</v>
      </c>
      <c r="N441" s="6" t="str">
        <f t="shared" si="37"/>
        <v/>
      </c>
      <c r="O441" s="6" t="str">
        <f t="shared" si="38"/>
        <v/>
      </c>
    </row>
    <row r="442" spans="8:15">
      <c r="H442">
        <f t="shared" si="35"/>
        <v>0</v>
      </c>
      <c r="I442" t="e">
        <f t="shared" si="36"/>
        <v>#VALUE!</v>
      </c>
      <c r="J442" s="6">
        <f t="shared" si="40"/>
        <v>0</v>
      </c>
      <c r="K442" s="6">
        <f t="shared" si="40"/>
        <v>0</v>
      </c>
      <c r="L442" s="6">
        <f t="shared" si="40"/>
        <v>0</v>
      </c>
      <c r="M442" s="6">
        <f t="shared" si="39"/>
        <v>0</v>
      </c>
      <c r="N442" s="6" t="str">
        <f t="shared" si="37"/>
        <v/>
      </c>
      <c r="O442" s="6" t="str">
        <f t="shared" si="38"/>
        <v/>
      </c>
    </row>
    <row r="443" spans="8:15">
      <c r="H443">
        <f t="shared" si="35"/>
        <v>0</v>
      </c>
      <c r="I443" t="e">
        <f t="shared" si="36"/>
        <v>#VALUE!</v>
      </c>
      <c r="J443" s="6">
        <f t="shared" si="40"/>
        <v>0</v>
      </c>
      <c r="K443" s="6">
        <f t="shared" si="40"/>
        <v>0</v>
      </c>
      <c r="L443" s="6">
        <f t="shared" si="40"/>
        <v>0</v>
      </c>
      <c r="M443" s="6">
        <f t="shared" si="39"/>
        <v>0</v>
      </c>
      <c r="N443" s="6" t="str">
        <f t="shared" si="37"/>
        <v/>
      </c>
      <c r="O443" s="6" t="str">
        <f t="shared" si="38"/>
        <v/>
      </c>
    </row>
    <row r="444" spans="8:15">
      <c r="H444">
        <f t="shared" si="35"/>
        <v>0</v>
      </c>
      <c r="I444" t="e">
        <f t="shared" si="36"/>
        <v>#VALUE!</v>
      </c>
      <c r="J444" s="6">
        <f t="shared" si="40"/>
        <v>0</v>
      </c>
      <c r="K444" s="6">
        <f t="shared" si="40"/>
        <v>0</v>
      </c>
      <c r="L444" s="6">
        <f t="shared" si="40"/>
        <v>0</v>
      </c>
      <c r="M444" s="6">
        <f t="shared" si="39"/>
        <v>0</v>
      </c>
      <c r="N444" s="6" t="str">
        <f t="shared" si="37"/>
        <v/>
      </c>
      <c r="O444" s="6" t="str">
        <f t="shared" si="38"/>
        <v/>
      </c>
    </row>
    <row r="445" spans="8:15">
      <c r="H445">
        <f t="shared" si="35"/>
        <v>0</v>
      </c>
      <c r="I445" t="e">
        <f t="shared" si="36"/>
        <v>#VALUE!</v>
      </c>
      <c r="J445" s="6">
        <f t="shared" si="40"/>
        <v>0</v>
      </c>
      <c r="K445" s="6">
        <f t="shared" si="40"/>
        <v>0</v>
      </c>
      <c r="L445" s="6">
        <f t="shared" si="40"/>
        <v>0</v>
      </c>
      <c r="M445" s="6">
        <f t="shared" si="39"/>
        <v>0</v>
      </c>
      <c r="N445" s="6" t="str">
        <f t="shared" si="37"/>
        <v/>
      </c>
      <c r="O445" s="6" t="str">
        <f t="shared" si="38"/>
        <v/>
      </c>
    </row>
    <row r="446" spans="8:15">
      <c r="H446">
        <f t="shared" si="35"/>
        <v>0</v>
      </c>
      <c r="I446" t="e">
        <f t="shared" si="36"/>
        <v>#VALUE!</v>
      </c>
      <c r="J446" s="6">
        <f t="shared" si="40"/>
        <v>0</v>
      </c>
      <c r="K446" s="6">
        <f t="shared" si="40"/>
        <v>0</v>
      </c>
      <c r="L446" s="6">
        <f t="shared" si="40"/>
        <v>0</v>
      </c>
      <c r="M446" s="6">
        <f t="shared" si="39"/>
        <v>0</v>
      </c>
      <c r="N446" s="6" t="str">
        <f t="shared" si="37"/>
        <v/>
      </c>
      <c r="O446" s="6" t="str">
        <f t="shared" si="38"/>
        <v/>
      </c>
    </row>
    <row r="447" spans="8:15">
      <c r="H447">
        <f t="shared" si="35"/>
        <v>0</v>
      </c>
      <c r="I447" t="e">
        <f t="shared" si="36"/>
        <v>#VALUE!</v>
      </c>
      <c r="J447" s="6">
        <f t="shared" si="40"/>
        <v>0</v>
      </c>
      <c r="K447" s="6">
        <f t="shared" si="40"/>
        <v>0</v>
      </c>
      <c r="L447" s="6">
        <f t="shared" si="40"/>
        <v>0</v>
      </c>
      <c r="M447" s="6">
        <f t="shared" si="39"/>
        <v>0</v>
      </c>
      <c r="N447" s="6" t="str">
        <f t="shared" si="37"/>
        <v/>
      </c>
      <c r="O447" s="6" t="str">
        <f t="shared" si="38"/>
        <v/>
      </c>
    </row>
    <row r="448" spans="8:15">
      <c r="H448">
        <f t="shared" si="35"/>
        <v>0</v>
      </c>
      <c r="I448" t="e">
        <f t="shared" si="36"/>
        <v>#VALUE!</v>
      </c>
      <c r="J448" s="6">
        <f t="shared" si="40"/>
        <v>0</v>
      </c>
      <c r="K448" s="6">
        <f t="shared" si="40"/>
        <v>0</v>
      </c>
      <c r="L448" s="6">
        <f t="shared" si="40"/>
        <v>0</v>
      </c>
      <c r="M448" s="6">
        <f t="shared" si="39"/>
        <v>0</v>
      </c>
      <c r="N448" s="6" t="str">
        <f t="shared" si="37"/>
        <v/>
      </c>
      <c r="O448" s="6" t="str">
        <f t="shared" si="38"/>
        <v/>
      </c>
    </row>
    <row r="449" spans="8:15">
      <c r="H449">
        <f t="shared" si="35"/>
        <v>0</v>
      </c>
      <c r="I449" t="e">
        <f t="shared" si="36"/>
        <v>#VALUE!</v>
      </c>
      <c r="J449" s="6">
        <f t="shared" si="40"/>
        <v>0</v>
      </c>
      <c r="K449" s="6">
        <f t="shared" si="40"/>
        <v>0</v>
      </c>
      <c r="L449" s="6">
        <f t="shared" si="40"/>
        <v>0</v>
      </c>
      <c r="M449" s="6">
        <f t="shared" si="39"/>
        <v>0</v>
      </c>
      <c r="N449" s="6" t="str">
        <f t="shared" si="37"/>
        <v/>
      </c>
      <c r="O449" s="6" t="str">
        <f t="shared" si="38"/>
        <v/>
      </c>
    </row>
    <row r="450" spans="8:15">
      <c r="H450">
        <f t="shared" si="35"/>
        <v>0</v>
      </c>
      <c r="I450" t="e">
        <f t="shared" si="36"/>
        <v>#VALUE!</v>
      </c>
      <c r="J450" s="6">
        <f t="shared" si="40"/>
        <v>0</v>
      </c>
      <c r="K450" s="6">
        <f t="shared" si="40"/>
        <v>0</v>
      </c>
      <c r="L450" s="6">
        <f t="shared" si="40"/>
        <v>0</v>
      </c>
      <c r="M450" s="6">
        <f t="shared" si="39"/>
        <v>0</v>
      </c>
      <c r="N450" s="6" t="str">
        <f t="shared" si="37"/>
        <v/>
      </c>
      <c r="O450" s="6" t="str">
        <f t="shared" si="38"/>
        <v/>
      </c>
    </row>
    <row r="451" spans="8:15">
      <c r="H451">
        <f t="shared" si="35"/>
        <v>0</v>
      </c>
      <c r="I451" t="e">
        <f t="shared" si="36"/>
        <v>#VALUE!</v>
      </c>
      <c r="J451" s="6">
        <f t="shared" si="40"/>
        <v>0</v>
      </c>
      <c r="K451" s="6">
        <f t="shared" si="40"/>
        <v>0</v>
      </c>
      <c r="L451" s="6">
        <f t="shared" si="40"/>
        <v>0</v>
      </c>
      <c r="M451" s="6">
        <f t="shared" si="39"/>
        <v>0</v>
      </c>
      <c r="N451" s="6" t="str">
        <f t="shared" si="37"/>
        <v/>
      </c>
      <c r="O451" s="6" t="str">
        <f t="shared" si="38"/>
        <v/>
      </c>
    </row>
    <row r="452" spans="8:15">
      <c r="H452">
        <f t="shared" si="35"/>
        <v>0</v>
      </c>
      <c r="I452" t="e">
        <f t="shared" si="36"/>
        <v>#VALUE!</v>
      </c>
      <c r="J452" s="6">
        <f t="shared" si="40"/>
        <v>0</v>
      </c>
      <c r="K452" s="6">
        <f t="shared" si="40"/>
        <v>0</v>
      </c>
      <c r="L452" s="6">
        <f t="shared" si="40"/>
        <v>0</v>
      </c>
      <c r="M452" s="6">
        <f t="shared" si="39"/>
        <v>0</v>
      </c>
      <c r="N452" s="6" t="str">
        <f t="shared" si="37"/>
        <v/>
      </c>
      <c r="O452" s="6" t="str">
        <f t="shared" si="38"/>
        <v/>
      </c>
    </row>
    <row r="453" spans="8:15">
      <c r="H453">
        <f t="shared" si="35"/>
        <v>0</v>
      </c>
      <c r="I453" t="e">
        <f t="shared" si="36"/>
        <v>#VALUE!</v>
      </c>
      <c r="J453" s="6">
        <f t="shared" si="40"/>
        <v>0</v>
      </c>
      <c r="K453" s="6">
        <f t="shared" si="40"/>
        <v>0</v>
      </c>
      <c r="L453" s="6">
        <f t="shared" si="40"/>
        <v>0</v>
      </c>
      <c r="M453" s="6">
        <f t="shared" si="39"/>
        <v>0</v>
      </c>
      <c r="N453" s="6" t="str">
        <f t="shared" si="37"/>
        <v/>
      </c>
      <c r="O453" s="6" t="str">
        <f t="shared" si="38"/>
        <v/>
      </c>
    </row>
    <row r="454" spans="8:15">
      <c r="H454">
        <f t="shared" si="35"/>
        <v>0</v>
      </c>
      <c r="I454" t="e">
        <f t="shared" si="36"/>
        <v>#VALUE!</v>
      </c>
      <c r="J454" s="6">
        <f t="shared" si="40"/>
        <v>0</v>
      </c>
      <c r="K454" s="6">
        <f t="shared" si="40"/>
        <v>0</v>
      </c>
      <c r="L454" s="6">
        <f t="shared" si="40"/>
        <v>0</v>
      </c>
      <c r="M454" s="6">
        <f t="shared" si="39"/>
        <v>0</v>
      </c>
      <c r="N454" s="6" t="str">
        <f t="shared" si="37"/>
        <v/>
      </c>
      <c r="O454" s="6" t="str">
        <f t="shared" si="38"/>
        <v/>
      </c>
    </row>
    <row r="455" spans="8:15">
      <c r="H455">
        <f t="shared" ref="H455:H518" si="41">A455</f>
        <v>0</v>
      </c>
      <c r="I455" t="e">
        <f t="shared" ref="I455:I518" si="42">LEFT(B455,SEARCH(" ",B455,1)-1)</f>
        <v>#VALUE!</v>
      </c>
      <c r="J455" s="6">
        <f t="shared" si="40"/>
        <v>0</v>
      </c>
      <c r="K455" s="6">
        <f t="shared" si="40"/>
        <v>0</v>
      </c>
      <c r="L455" s="6">
        <f t="shared" si="40"/>
        <v>0</v>
      </c>
      <c r="M455" s="6">
        <f t="shared" si="39"/>
        <v>0</v>
      </c>
      <c r="N455" s="6" t="str">
        <f t="shared" ref="N455:N518" si="43">TRIM($B$1)</f>
        <v/>
      </c>
      <c r="O455" s="6" t="str">
        <f t="shared" ref="O455:O518" si="44">TRIM($C$1)</f>
        <v/>
      </c>
    </row>
    <row r="456" spans="8:15">
      <c r="H456">
        <f t="shared" si="41"/>
        <v>0</v>
      </c>
      <c r="I456" t="e">
        <f t="shared" si="42"/>
        <v>#VALUE!</v>
      </c>
      <c r="J456" s="6">
        <f t="shared" si="40"/>
        <v>0</v>
      </c>
      <c r="K456" s="6">
        <f t="shared" si="40"/>
        <v>0</v>
      </c>
      <c r="L456" s="6">
        <f t="shared" si="40"/>
        <v>0</v>
      </c>
      <c r="M456" s="6">
        <f t="shared" si="39"/>
        <v>0</v>
      </c>
      <c r="N456" s="6" t="str">
        <f t="shared" si="43"/>
        <v/>
      </c>
      <c r="O456" s="6" t="str">
        <f t="shared" si="44"/>
        <v/>
      </c>
    </row>
    <row r="457" spans="8:15">
      <c r="H457">
        <f t="shared" si="41"/>
        <v>0</v>
      </c>
      <c r="I457" t="e">
        <f t="shared" si="42"/>
        <v>#VALUE!</v>
      </c>
      <c r="J457" s="6">
        <f t="shared" si="40"/>
        <v>0</v>
      </c>
      <c r="K457" s="6">
        <f t="shared" si="40"/>
        <v>0</v>
      </c>
      <c r="L457" s="6">
        <f t="shared" si="40"/>
        <v>0</v>
      </c>
      <c r="M457" s="6">
        <f t="shared" si="39"/>
        <v>0</v>
      </c>
      <c r="N457" s="6" t="str">
        <f t="shared" si="43"/>
        <v/>
      </c>
      <c r="O457" s="6" t="str">
        <f t="shared" si="44"/>
        <v/>
      </c>
    </row>
    <row r="458" spans="8:15">
      <c r="H458">
        <f t="shared" si="41"/>
        <v>0</v>
      </c>
      <c r="I458" t="e">
        <f t="shared" si="42"/>
        <v>#VALUE!</v>
      </c>
      <c r="J458" s="6">
        <f t="shared" si="40"/>
        <v>0</v>
      </c>
      <c r="K458" s="6">
        <f t="shared" si="40"/>
        <v>0</v>
      </c>
      <c r="L458" s="6">
        <f t="shared" si="40"/>
        <v>0</v>
      </c>
      <c r="M458" s="6">
        <f t="shared" si="39"/>
        <v>0</v>
      </c>
      <c r="N458" s="6" t="str">
        <f t="shared" si="43"/>
        <v/>
      </c>
      <c r="O458" s="6" t="str">
        <f t="shared" si="44"/>
        <v/>
      </c>
    </row>
    <row r="459" spans="8:15">
      <c r="H459">
        <f t="shared" si="41"/>
        <v>0</v>
      </c>
      <c r="I459" t="e">
        <f t="shared" si="42"/>
        <v>#VALUE!</v>
      </c>
      <c r="J459" s="6">
        <f t="shared" si="40"/>
        <v>0</v>
      </c>
      <c r="K459" s="6">
        <f t="shared" si="40"/>
        <v>0</v>
      </c>
      <c r="L459" s="6">
        <f t="shared" si="40"/>
        <v>0</v>
      </c>
      <c r="M459" s="6">
        <f t="shared" si="39"/>
        <v>0</v>
      </c>
      <c r="N459" s="6" t="str">
        <f t="shared" si="43"/>
        <v/>
      </c>
      <c r="O459" s="6" t="str">
        <f t="shared" si="44"/>
        <v/>
      </c>
    </row>
    <row r="460" spans="8:15">
      <c r="H460">
        <f t="shared" si="41"/>
        <v>0</v>
      </c>
      <c r="I460" t="e">
        <f t="shared" si="42"/>
        <v>#VALUE!</v>
      </c>
      <c r="J460" s="6">
        <f t="shared" si="40"/>
        <v>0</v>
      </c>
      <c r="K460" s="6">
        <f t="shared" si="40"/>
        <v>0</v>
      </c>
      <c r="L460" s="6">
        <f t="shared" si="40"/>
        <v>0</v>
      </c>
      <c r="M460" s="6">
        <f t="shared" si="39"/>
        <v>0</v>
      </c>
      <c r="N460" s="6" t="str">
        <f t="shared" si="43"/>
        <v/>
      </c>
      <c r="O460" s="6" t="str">
        <f t="shared" si="44"/>
        <v/>
      </c>
    </row>
    <row r="461" spans="8:15">
      <c r="H461">
        <f t="shared" si="41"/>
        <v>0</v>
      </c>
      <c r="I461" t="e">
        <f t="shared" si="42"/>
        <v>#VALUE!</v>
      </c>
      <c r="J461" s="6">
        <f t="shared" si="40"/>
        <v>0</v>
      </c>
      <c r="K461" s="6">
        <f t="shared" si="40"/>
        <v>0</v>
      </c>
      <c r="L461" s="6">
        <f t="shared" si="40"/>
        <v>0</v>
      </c>
      <c r="M461" s="6">
        <f t="shared" si="39"/>
        <v>0</v>
      </c>
      <c r="N461" s="6" t="str">
        <f t="shared" si="43"/>
        <v/>
      </c>
      <c r="O461" s="6" t="str">
        <f t="shared" si="44"/>
        <v/>
      </c>
    </row>
    <row r="462" spans="8:15">
      <c r="H462">
        <f t="shared" si="41"/>
        <v>0</v>
      </c>
      <c r="I462" t="e">
        <f t="shared" si="42"/>
        <v>#VALUE!</v>
      </c>
      <c r="J462" s="6">
        <f t="shared" si="40"/>
        <v>0</v>
      </c>
      <c r="K462" s="6">
        <f t="shared" si="40"/>
        <v>0</v>
      </c>
      <c r="L462" s="6">
        <f t="shared" si="40"/>
        <v>0</v>
      </c>
      <c r="M462" s="6">
        <f t="shared" si="39"/>
        <v>0</v>
      </c>
      <c r="N462" s="6" t="str">
        <f t="shared" si="43"/>
        <v/>
      </c>
      <c r="O462" s="6" t="str">
        <f t="shared" si="44"/>
        <v/>
      </c>
    </row>
    <row r="463" spans="8:15">
      <c r="H463">
        <f t="shared" si="41"/>
        <v>0</v>
      </c>
      <c r="I463" t="e">
        <f t="shared" si="42"/>
        <v>#VALUE!</v>
      </c>
      <c r="J463" s="6">
        <f t="shared" si="40"/>
        <v>0</v>
      </c>
      <c r="K463" s="6">
        <f t="shared" si="40"/>
        <v>0</v>
      </c>
      <c r="L463" s="6">
        <f t="shared" si="40"/>
        <v>0</v>
      </c>
      <c r="M463" s="6">
        <f t="shared" si="39"/>
        <v>0</v>
      </c>
      <c r="N463" s="6" t="str">
        <f t="shared" si="43"/>
        <v/>
      </c>
      <c r="O463" s="6" t="str">
        <f t="shared" si="44"/>
        <v/>
      </c>
    </row>
    <row r="464" spans="8:15">
      <c r="H464">
        <f t="shared" si="41"/>
        <v>0</v>
      </c>
      <c r="I464" t="e">
        <f t="shared" si="42"/>
        <v>#VALUE!</v>
      </c>
      <c r="J464" s="6">
        <f t="shared" si="40"/>
        <v>0</v>
      </c>
      <c r="K464" s="6">
        <f t="shared" si="40"/>
        <v>0</v>
      </c>
      <c r="L464" s="6">
        <f t="shared" si="40"/>
        <v>0</v>
      </c>
      <c r="M464" s="6">
        <f t="shared" si="39"/>
        <v>0</v>
      </c>
      <c r="N464" s="6" t="str">
        <f t="shared" si="43"/>
        <v/>
      </c>
      <c r="O464" s="6" t="str">
        <f t="shared" si="44"/>
        <v/>
      </c>
    </row>
    <row r="465" spans="8:15">
      <c r="H465">
        <f t="shared" si="41"/>
        <v>0</v>
      </c>
      <c r="I465" t="e">
        <f t="shared" si="42"/>
        <v>#VALUE!</v>
      </c>
      <c r="J465" s="6">
        <f t="shared" si="40"/>
        <v>0</v>
      </c>
      <c r="K465" s="6">
        <f t="shared" si="40"/>
        <v>0</v>
      </c>
      <c r="L465" s="6">
        <f t="shared" si="40"/>
        <v>0</v>
      </c>
      <c r="M465" s="6">
        <f t="shared" si="39"/>
        <v>0</v>
      </c>
      <c r="N465" s="6" t="str">
        <f t="shared" si="43"/>
        <v/>
      </c>
      <c r="O465" s="6" t="str">
        <f t="shared" si="44"/>
        <v/>
      </c>
    </row>
    <row r="466" spans="8:15">
      <c r="H466">
        <f t="shared" si="41"/>
        <v>0</v>
      </c>
      <c r="I466" t="e">
        <f t="shared" si="42"/>
        <v>#VALUE!</v>
      </c>
      <c r="J466" s="6">
        <f t="shared" si="40"/>
        <v>0</v>
      </c>
      <c r="K466" s="6">
        <f t="shared" si="40"/>
        <v>0</v>
      </c>
      <c r="L466" s="6">
        <f t="shared" si="40"/>
        <v>0</v>
      </c>
      <c r="M466" s="6">
        <f t="shared" si="39"/>
        <v>0</v>
      </c>
      <c r="N466" s="6" t="str">
        <f t="shared" si="43"/>
        <v/>
      </c>
      <c r="O466" s="6" t="str">
        <f t="shared" si="44"/>
        <v/>
      </c>
    </row>
    <row r="467" spans="8:15">
      <c r="H467">
        <f t="shared" si="41"/>
        <v>0</v>
      </c>
      <c r="I467" t="e">
        <f t="shared" si="42"/>
        <v>#VALUE!</v>
      </c>
      <c r="J467" s="6">
        <f t="shared" si="40"/>
        <v>0</v>
      </c>
      <c r="K467" s="6">
        <f t="shared" si="40"/>
        <v>0</v>
      </c>
      <c r="L467" s="6">
        <f t="shared" si="40"/>
        <v>0</v>
      </c>
      <c r="M467" s="6">
        <f t="shared" si="39"/>
        <v>0</v>
      </c>
      <c r="N467" s="6" t="str">
        <f t="shared" si="43"/>
        <v/>
      </c>
      <c r="O467" s="6" t="str">
        <f t="shared" si="44"/>
        <v/>
      </c>
    </row>
    <row r="468" spans="8:15">
      <c r="H468">
        <f t="shared" si="41"/>
        <v>0</v>
      </c>
      <c r="I468" t="e">
        <f t="shared" si="42"/>
        <v>#VALUE!</v>
      </c>
      <c r="J468" s="6">
        <f t="shared" si="40"/>
        <v>0</v>
      </c>
      <c r="K468" s="6">
        <f t="shared" si="40"/>
        <v>0</v>
      </c>
      <c r="L468" s="6">
        <f t="shared" si="40"/>
        <v>0</v>
      </c>
      <c r="M468" s="6">
        <f t="shared" si="39"/>
        <v>0</v>
      </c>
      <c r="N468" s="6" t="str">
        <f t="shared" si="43"/>
        <v/>
      </c>
      <c r="O468" s="6" t="str">
        <f t="shared" si="44"/>
        <v/>
      </c>
    </row>
    <row r="469" spans="8:15">
      <c r="H469">
        <f t="shared" si="41"/>
        <v>0</v>
      </c>
      <c r="I469" t="e">
        <f t="shared" si="42"/>
        <v>#VALUE!</v>
      </c>
      <c r="J469" s="6">
        <f t="shared" si="40"/>
        <v>0</v>
      </c>
      <c r="K469" s="6">
        <f t="shared" si="40"/>
        <v>0</v>
      </c>
      <c r="L469" s="6">
        <f t="shared" si="40"/>
        <v>0</v>
      </c>
      <c r="M469" s="6">
        <f t="shared" si="39"/>
        <v>0</v>
      </c>
      <c r="N469" s="6" t="str">
        <f t="shared" si="43"/>
        <v/>
      </c>
      <c r="O469" s="6" t="str">
        <f t="shared" si="44"/>
        <v/>
      </c>
    </row>
    <row r="470" spans="8:15">
      <c r="H470">
        <f t="shared" si="41"/>
        <v>0</v>
      </c>
      <c r="I470" t="e">
        <f t="shared" si="42"/>
        <v>#VALUE!</v>
      </c>
      <c r="J470" s="6">
        <f t="shared" si="40"/>
        <v>0</v>
      </c>
      <c r="K470" s="6">
        <f t="shared" si="40"/>
        <v>0</v>
      </c>
      <c r="L470" s="6">
        <f t="shared" si="40"/>
        <v>0</v>
      </c>
      <c r="M470" s="6">
        <f t="shared" si="39"/>
        <v>0</v>
      </c>
      <c r="N470" s="6" t="str">
        <f t="shared" si="43"/>
        <v/>
      </c>
      <c r="O470" s="6" t="str">
        <f t="shared" si="44"/>
        <v/>
      </c>
    </row>
    <row r="471" spans="8:15">
      <c r="H471">
        <f t="shared" si="41"/>
        <v>0</v>
      </c>
      <c r="I471" t="e">
        <f t="shared" si="42"/>
        <v>#VALUE!</v>
      </c>
      <c r="J471" s="6">
        <f t="shared" si="40"/>
        <v>0</v>
      </c>
      <c r="K471" s="6">
        <f t="shared" si="40"/>
        <v>0</v>
      </c>
      <c r="L471" s="6">
        <f t="shared" si="40"/>
        <v>0</v>
      </c>
      <c r="M471" s="6">
        <f t="shared" si="39"/>
        <v>0</v>
      </c>
      <c r="N471" s="6" t="str">
        <f t="shared" si="43"/>
        <v/>
      </c>
      <c r="O471" s="6" t="str">
        <f t="shared" si="44"/>
        <v/>
      </c>
    </row>
    <row r="472" spans="8:15">
      <c r="H472">
        <f t="shared" si="41"/>
        <v>0</v>
      </c>
      <c r="I472" t="e">
        <f t="shared" si="42"/>
        <v>#VALUE!</v>
      </c>
      <c r="J472" s="6">
        <f t="shared" si="40"/>
        <v>0</v>
      </c>
      <c r="K472" s="6">
        <f t="shared" si="40"/>
        <v>0</v>
      </c>
      <c r="L472" s="6">
        <f t="shared" si="40"/>
        <v>0</v>
      </c>
      <c r="M472" s="6">
        <f t="shared" si="39"/>
        <v>0</v>
      </c>
      <c r="N472" s="6" t="str">
        <f t="shared" si="43"/>
        <v/>
      </c>
      <c r="O472" s="6" t="str">
        <f t="shared" si="44"/>
        <v/>
      </c>
    </row>
    <row r="473" spans="8:15">
      <c r="H473">
        <f t="shared" si="41"/>
        <v>0</v>
      </c>
      <c r="I473" t="e">
        <f t="shared" si="42"/>
        <v>#VALUE!</v>
      </c>
      <c r="J473" s="6">
        <f t="shared" si="40"/>
        <v>0</v>
      </c>
      <c r="K473" s="6">
        <f t="shared" si="40"/>
        <v>0</v>
      </c>
      <c r="L473" s="6">
        <f t="shared" si="40"/>
        <v>0</v>
      </c>
      <c r="M473" s="6">
        <f t="shared" si="39"/>
        <v>0</v>
      </c>
      <c r="N473" s="6" t="str">
        <f t="shared" si="43"/>
        <v/>
      </c>
      <c r="O473" s="6" t="str">
        <f t="shared" si="44"/>
        <v/>
      </c>
    </row>
    <row r="474" spans="8:15">
      <c r="H474">
        <f t="shared" si="41"/>
        <v>0</v>
      </c>
      <c r="I474" t="e">
        <f t="shared" si="42"/>
        <v>#VALUE!</v>
      </c>
      <c r="J474" s="6">
        <f t="shared" si="40"/>
        <v>0</v>
      </c>
      <c r="K474" s="6">
        <f t="shared" si="40"/>
        <v>0</v>
      </c>
      <c r="L474" s="6">
        <f t="shared" si="40"/>
        <v>0</v>
      </c>
      <c r="M474" s="6">
        <f t="shared" si="39"/>
        <v>0</v>
      </c>
      <c r="N474" s="6" t="str">
        <f t="shared" si="43"/>
        <v/>
      </c>
      <c r="O474" s="6" t="str">
        <f t="shared" si="44"/>
        <v/>
      </c>
    </row>
    <row r="475" spans="8:15">
      <c r="H475">
        <f t="shared" si="41"/>
        <v>0</v>
      </c>
      <c r="I475" t="e">
        <f t="shared" si="42"/>
        <v>#VALUE!</v>
      </c>
      <c r="J475" s="6">
        <f t="shared" si="40"/>
        <v>0</v>
      </c>
      <c r="K475" s="6">
        <f t="shared" si="40"/>
        <v>0</v>
      </c>
      <c r="L475" s="6">
        <f t="shared" si="40"/>
        <v>0</v>
      </c>
      <c r="M475" s="6">
        <f t="shared" si="39"/>
        <v>0</v>
      </c>
      <c r="N475" s="6" t="str">
        <f t="shared" si="43"/>
        <v/>
      </c>
      <c r="O475" s="6" t="str">
        <f t="shared" si="44"/>
        <v/>
      </c>
    </row>
    <row r="476" spans="8:15">
      <c r="H476">
        <f t="shared" si="41"/>
        <v>0</v>
      </c>
      <c r="I476" t="e">
        <f t="shared" si="42"/>
        <v>#VALUE!</v>
      </c>
      <c r="J476" s="6">
        <f t="shared" si="40"/>
        <v>0</v>
      </c>
      <c r="K476" s="6">
        <f t="shared" si="40"/>
        <v>0</v>
      </c>
      <c r="L476" s="6">
        <f t="shared" si="40"/>
        <v>0</v>
      </c>
      <c r="M476" s="6">
        <f t="shared" si="39"/>
        <v>0</v>
      </c>
      <c r="N476" s="6" t="str">
        <f t="shared" si="43"/>
        <v/>
      </c>
      <c r="O476" s="6" t="str">
        <f t="shared" si="44"/>
        <v/>
      </c>
    </row>
    <row r="477" spans="8:15">
      <c r="H477">
        <f t="shared" si="41"/>
        <v>0</v>
      </c>
      <c r="I477" t="e">
        <f t="shared" si="42"/>
        <v>#VALUE!</v>
      </c>
      <c r="J477" s="6">
        <f t="shared" si="40"/>
        <v>0</v>
      </c>
      <c r="K477" s="6">
        <f t="shared" si="40"/>
        <v>0</v>
      </c>
      <c r="L477" s="6">
        <f t="shared" si="40"/>
        <v>0</v>
      </c>
      <c r="M477" s="6">
        <f t="shared" si="39"/>
        <v>0</v>
      </c>
      <c r="N477" s="6" t="str">
        <f t="shared" si="43"/>
        <v/>
      </c>
      <c r="O477" s="6" t="str">
        <f t="shared" si="44"/>
        <v/>
      </c>
    </row>
    <row r="478" spans="8:15">
      <c r="H478">
        <f t="shared" si="41"/>
        <v>0</v>
      </c>
      <c r="I478" t="e">
        <f t="shared" si="42"/>
        <v>#VALUE!</v>
      </c>
      <c r="J478" s="6">
        <f t="shared" si="40"/>
        <v>0</v>
      </c>
      <c r="K478" s="6">
        <f t="shared" si="40"/>
        <v>0</v>
      </c>
      <c r="L478" s="6">
        <f t="shared" si="40"/>
        <v>0</v>
      </c>
      <c r="M478" s="6">
        <f t="shared" si="39"/>
        <v>0</v>
      </c>
      <c r="N478" s="6" t="str">
        <f t="shared" si="43"/>
        <v/>
      </c>
      <c r="O478" s="6" t="str">
        <f t="shared" si="44"/>
        <v/>
      </c>
    </row>
    <row r="479" spans="8:15">
      <c r="H479">
        <f t="shared" si="41"/>
        <v>0</v>
      </c>
      <c r="I479" t="e">
        <f t="shared" si="42"/>
        <v>#VALUE!</v>
      </c>
      <c r="J479" s="6">
        <f t="shared" si="40"/>
        <v>0</v>
      </c>
      <c r="K479" s="6">
        <f t="shared" si="40"/>
        <v>0</v>
      </c>
      <c r="L479" s="6">
        <f t="shared" si="40"/>
        <v>0</v>
      </c>
      <c r="M479" s="6">
        <f t="shared" si="39"/>
        <v>0</v>
      </c>
      <c r="N479" s="6" t="str">
        <f t="shared" si="43"/>
        <v/>
      </c>
      <c r="O479" s="6" t="str">
        <f t="shared" si="44"/>
        <v/>
      </c>
    </row>
    <row r="480" spans="8:15">
      <c r="H480">
        <f t="shared" si="41"/>
        <v>0</v>
      </c>
      <c r="I480" t="e">
        <f t="shared" si="42"/>
        <v>#VALUE!</v>
      </c>
      <c r="J480" s="6">
        <f t="shared" si="40"/>
        <v>0</v>
      </c>
      <c r="K480" s="6">
        <f t="shared" si="40"/>
        <v>0</v>
      </c>
      <c r="L480" s="6">
        <f t="shared" si="40"/>
        <v>0</v>
      </c>
      <c r="M480" s="6">
        <f t="shared" si="39"/>
        <v>0</v>
      </c>
      <c r="N480" s="6" t="str">
        <f t="shared" si="43"/>
        <v/>
      </c>
      <c r="O480" s="6" t="str">
        <f t="shared" si="44"/>
        <v/>
      </c>
    </row>
    <row r="481" spans="8:15">
      <c r="H481">
        <f t="shared" si="41"/>
        <v>0</v>
      </c>
      <c r="I481" t="e">
        <f t="shared" si="42"/>
        <v>#VALUE!</v>
      </c>
      <c r="J481" s="6">
        <f t="shared" si="40"/>
        <v>0</v>
      </c>
      <c r="K481" s="6">
        <f t="shared" si="40"/>
        <v>0</v>
      </c>
      <c r="L481" s="6">
        <f t="shared" si="40"/>
        <v>0</v>
      </c>
      <c r="M481" s="6">
        <f t="shared" si="39"/>
        <v>0</v>
      </c>
      <c r="N481" s="6" t="str">
        <f t="shared" si="43"/>
        <v/>
      </c>
      <c r="O481" s="6" t="str">
        <f t="shared" si="44"/>
        <v/>
      </c>
    </row>
    <row r="482" spans="8:15">
      <c r="H482">
        <f t="shared" si="41"/>
        <v>0</v>
      </c>
      <c r="I482" t="e">
        <f t="shared" si="42"/>
        <v>#VALUE!</v>
      </c>
      <c r="J482" s="6">
        <f t="shared" si="40"/>
        <v>0</v>
      </c>
      <c r="K482" s="6">
        <f t="shared" si="40"/>
        <v>0</v>
      </c>
      <c r="L482" s="6">
        <f t="shared" si="40"/>
        <v>0</v>
      </c>
      <c r="M482" s="6">
        <f t="shared" si="39"/>
        <v>0</v>
      </c>
      <c r="N482" s="6" t="str">
        <f t="shared" si="43"/>
        <v/>
      </c>
      <c r="O482" s="6" t="str">
        <f t="shared" si="44"/>
        <v/>
      </c>
    </row>
    <row r="483" spans="8:15">
      <c r="H483">
        <f t="shared" si="41"/>
        <v>0</v>
      </c>
      <c r="I483" t="e">
        <f t="shared" si="42"/>
        <v>#VALUE!</v>
      </c>
      <c r="J483" s="6">
        <f t="shared" si="40"/>
        <v>0</v>
      </c>
      <c r="K483" s="6">
        <f t="shared" si="40"/>
        <v>0</v>
      </c>
      <c r="L483" s="6">
        <f t="shared" si="40"/>
        <v>0</v>
      </c>
      <c r="M483" s="6">
        <f t="shared" si="39"/>
        <v>0</v>
      </c>
      <c r="N483" s="6" t="str">
        <f t="shared" si="43"/>
        <v/>
      </c>
      <c r="O483" s="6" t="str">
        <f t="shared" si="44"/>
        <v/>
      </c>
    </row>
    <row r="484" spans="8:15">
      <c r="H484">
        <f t="shared" si="41"/>
        <v>0</v>
      </c>
      <c r="I484" t="e">
        <f t="shared" si="42"/>
        <v>#VALUE!</v>
      </c>
      <c r="J484" s="6">
        <f t="shared" si="40"/>
        <v>0</v>
      </c>
      <c r="K484" s="6">
        <f t="shared" si="40"/>
        <v>0</v>
      </c>
      <c r="L484" s="6">
        <f t="shared" si="40"/>
        <v>0</v>
      </c>
      <c r="M484" s="6">
        <f t="shared" si="39"/>
        <v>0</v>
      </c>
      <c r="N484" s="6" t="str">
        <f t="shared" si="43"/>
        <v/>
      </c>
      <c r="O484" s="6" t="str">
        <f t="shared" si="44"/>
        <v/>
      </c>
    </row>
    <row r="485" spans="8:15">
      <c r="H485">
        <f t="shared" si="41"/>
        <v>0</v>
      </c>
      <c r="I485" t="e">
        <f t="shared" si="42"/>
        <v>#VALUE!</v>
      </c>
      <c r="J485" s="6">
        <f t="shared" si="40"/>
        <v>0</v>
      </c>
      <c r="K485" s="6">
        <f t="shared" si="40"/>
        <v>0</v>
      </c>
      <c r="L485" s="6">
        <f t="shared" si="40"/>
        <v>0</v>
      </c>
      <c r="M485" s="6">
        <f t="shared" si="39"/>
        <v>0</v>
      </c>
      <c r="N485" s="6" t="str">
        <f t="shared" si="43"/>
        <v/>
      </c>
      <c r="O485" s="6" t="str">
        <f t="shared" si="44"/>
        <v/>
      </c>
    </row>
    <row r="486" spans="8:15">
      <c r="H486">
        <f t="shared" si="41"/>
        <v>0</v>
      </c>
      <c r="I486" t="e">
        <f t="shared" si="42"/>
        <v>#VALUE!</v>
      </c>
      <c r="J486" s="6">
        <f t="shared" si="40"/>
        <v>0</v>
      </c>
      <c r="K486" s="6">
        <f t="shared" si="40"/>
        <v>0</v>
      </c>
      <c r="L486" s="6">
        <f t="shared" si="40"/>
        <v>0</v>
      </c>
      <c r="M486" s="6">
        <f t="shared" si="39"/>
        <v>0</v>
      </c>
      <c r="N486" s="6" t="str">
        <f t="shared" si="43"/>
        <v/>
      </c>
      <c r="O486" s="6" t="str">
        <f t="shared" si="44"/>
        <v/>
      </c>
    </row>
    <row r="487" spans="8:15">
      <c r="H487">
        <f t="shared" si="41"/>
        <v>0</v>
      </c>
      <c r="I487" t="e">
        <f t="shared" si="42"/>
        <v>#VALUE!</v>
      </c>
      <c r="J487" s="6">
        <f t="shared" si="40"/>
        <v>0</v>
      </c>
      <c r="K487" s="6">
        <f t="shared" si="40"/>
        <v>0</v>
      </c>
      <c r="L487" s="6">
        <f t="shared" si="40"/>
        <v>0</v>
      </c>
      <c r="M487" s="6">
        <f t="shared" si="39"/>
        <v>0</v>
      </c>
      <c r="N487" s="6" t="str">
        <f t="shared" si="43"/>
        <v/>
      </c>
      <c r="O487" s="6" t="str">
        <f t="shared" si="44"/>
        <v/>
      </c>
    </row>
    <row r="488" spans="8:15">
      <c r="H488">
        <f t="shared" si="41"/>
        <v>0</v>
      </c>
      <c r="I488" t="e">
        <f t="shared" si="42"/>
        <v>#VALUE!</v>
      </c>
      <c r="J488" s="6">
        <f t="shared" si="40"/>
        <v>0</v>
      </c>
      <c r="K488" s="6">
        <f t="shared" si="40"/>
        <v>0</v>
      </c>
      <c r="L488" s="6">
        <f t="shared" si="40"/>
        <v>0</v>
      </c>
      <c r="M488" s="6">
        <f t="shared" si="40"/>
        <v>0</v>
      </c>
      <c r="N488" s="6" t="str">
        <f t="shared" si="43"/>
        <v/>
      </c>
      <c r="O488" s="6" t="str">
        <f t="shared" si="44"/>
        <v/>
      </c>
    </row>
    <row r="489" spans="8:15">
      <c r="H489">
        <f t="shared" si="41"/>
        <v>0</v>
      </c>
      <c r="I489" t="e">
        <f t="shared" si="42"/>
        <v>#VALUE!</v>
      </c>
      <c r="J489" s="6">
        <f t="shared" ref="J489:M514" si="45">C489</f>
        <v>0</v>
      </c>
      <c r="K489" s="6">
        <f t="shared" si="45"/>
        <v>0</v>
      </c>
      <c r="L489" s="6">
        <f t="shared" si="45"/>
        <v>0</v>
      </c>
      <c r="M489" s="6">
        <f t="shared" si="45"/>
        <v>0</v>
      </c>
      <c r="N489" s="6" t="str">
        <f t="shared" si="43"/>
        <v/>
      </c>
      <c r="O489" s="6" t="str">
        <f t="shared" si="44"/>
        <v/>
      </c>
    </row>
    <row r="490" spans="8:15">
      <c r="H490">
        <f t="shared" si="41"/>
        <v>0</v>
      </c>
      <c r="I490" t="e">
        <f t="shared" si="42"/>
        <v>#VALUE!</v>
      </c>
      <c r="J490" s="6">
        <f t="shared" si="45"/>
        <v>0</v>
      </c>
      <c r="K490" s="6">
        <f t="shared" si="45"/>
        <v>0</v>
      </c>
      <c r="L490" s="6">
        <f t="shared" si="45"/>
        <v>0</v>
      </c>
      <c r="M490" s="6">
        <f t="shared" si="45"/>
        <v>0</v>
      </c>
      <c r="N490" s="6" t="str">
        <f t="shared" si="43"/>
        <v/>
      </c>
      <c r="O490" s="6" t="str">
        <f t="shared" si="44"/>
        <v/>
      </c>
    </row>
    <row r="491" spans="8:15">
      <c r="H491">
        <f t="shared" si="41"/>
        <v>0</v>
      </c>
      <c r="I491" t="e">
        <f t="shared" si="42"/>
        <v>#VALUE!</v>
      </c>
      <c r="J491" s="6">
        <f t="shared" si="45"/>
        <v>0</v>
      </c>
      <c r="K491" s="6">
        <f t="shared" si="45"/>
        <v>0</v>
      </c>
      <c r="L491" s="6">
        <f t="shared" si="45"/>
        <v>0</v>
      </c>
      <c r="M491" s="6">
        <f t="shared" si="45"/>
        <v>0</v>
      </c>
      <c r="N491" s="6" t="str">
        <f t="shared" si="43"/>
        <v/>
      </c>
      <c r="O491" s="6" t="str">
        <f t="shared" si="44"/>
        <v/>
      </c>
    </row>
    <row r="492" spans="8:15">
      <c r="H492">
        <f t="shared" si="41"/>
        <v>0</v>
      </c>
      <c r="I492" t="e">
        <f t="shared" si="42"/>
        <v>#VALUE!</v>
      </c>
      <c r="J492" s="6">
        <f t="shared" si="45"/>
        <v>0</v>
      </c>
      <c r="K492" s="6">
        <f t="shared" si="45"/>
        <v>0</v>
      </c>
      <c r="L492" s="6">
        <f t="shared" si="45"/>
        <v>0</v>
      </c>
      <c r="M492" s="6">
        <f t="shared" si="45"/>
        <v>0</v>
      </c>
      <c r="N492" s="6" t="str">
        <f t="shared" si="43"/>
        <v/>
      </c>
      <c r="O492" s="6" t="str">
        <f t="shared" si="44"/>
        <v/>
      </c>
    </row>
    <row r="493" spans="8:15">
      <c r="H493">
        <f t="shared" si="41"/>
        <v>0</v>
      </c>
      <c r="I493" t="e">
        <f t="shared" si="42"/>
        <v>#VALUE!</v>
      </c>
      <c r="J493" s="6">
        <f t="shared" si="45"/>
        <v>0</v>
      </c>
      <c r="K493" s="6">
        <f t="shared" si="45"/>
        <v>0</v>
      </c>
      <c r="L493" s="6">
        <f t="shared" si="45"/>
        <v>0</v>
      </c>
      <c r="M493" s="6">
        <f t="shared" si="45"/>
        <v>0</v>
      </c>
      <c r="N493" s="6" t="str">
        <f t="shared" si="43"/>
        <v/>
      </c>
      <c r="O493" s="6" t="str">
        <f t="shared" si="44"/>
        <v/>
      </c>
    </row>
    <row r="494" spans="8:15">
      <c r="H494">
        <f t="shared" si="41"/>
        <v>0</v>
      </c>
      <c r="I494" t="e">
        <f t="shared" si="42"/>
        <v>#VALUE!</v>
      </c>
      <c r="J494" s="6">
        <f t="shared" si="45"/>
        <v>0</v>
      </c>
      <c r="K494" s="6">
        <f t="shared" si="45"/>
        <v>0</v>
      </c>
      <c r="L494" s="6">
        <f t="shared" si="45"/>
        <v>0</v>
      </c>
      <c r="M494" s="6">
        <f t="shared" si="45"/>
        <v>0</v>
      </c>
      <c r="N494" s="6" t="str">
        <f t="shared" si="43"/>
        <v/>
      </c>
      <c r="O494" s="6" t="str">
        <f t="shared" si="44"/>
        <v/>
      </c>
    </row>
    <row r="495" spans="8:15">
      <c r="H495">
        <f t="shared" si="41"/>
        <v>0</v>
      </c>
      <c r="I495" t="e">
        <f t="shared" si="42"/>
        <v>#VALUE!</v>
      </c>
      <c r="J495" s="6">
        <f t="shared" si="45"/>
        <v>0</v>
      </c>
      <c r="K495" s="6">
        <f t="shared" si="45"/>
        <v>0</v>
      </c>
      <c r="L495" s="6">
        <f t="shared" si="45"/>
        <v>0</v>
      </c>
      <c r="M495" s="6">
        <f t="shared" si="45"/>
        <v>0</v>
      </c>
      <c r="N495" s="6" t="str">
        <f t="shared" si="43"/>
        <v/>
      </c>
      <c r="O495" s="6" t="str">
        <f t="shared" si="44"/>
        <v/>
      </c>
    </row>
    <row r="496" spans="8:15">
      <c r="H496">
        <f t="shared" si="41"/>
        <v>0</v>
      </c>
      <c r="I496" t="e">
        <f t="shared" si="42"/>
        <v>#VALUE!</v>
      </c>
      <c r="J496" s="6">
        <f t="shared" si="45"/>
        <v>0</v>
      </c>
      <c r="K496" s="6">
        <f t="shared" si="45"/>
        <v>0</v>
      </c>
      <c r="L496" s="6">
        <f t="shared" si="45"/>
        <v>0</v>
      </c>
      <c r="M496" s="6">
        <f t="shared" si="45"/>
        <v>0</v>
      </c>
      <c r="N496" s="6" t="str">
        <f t="shared" si="43"/>
        <v/>
      </c>
      <c r="O496" s="6" t="str">
        <f t="shared" si="44"/>
        <v/>
      </c>
    </row>
    <row r="497" spans="8:15">
      <c r="H497">
        <f t="shared" si="41"/>
        <v>0</v>
      </c>
      <c r="I497" t="e">
        <f t="shared" si="42"/>
        <v>#VALUE!</v>
      </c>
      <c r="J497" s="6">
        <f t="shared" si="45"/>
        <v>0</v>
      </c>
      <c r="K497" s="6">
        <f t="shared" si="45"/>
        <v>0</v>
      </c>
      <c r="L497" s="6">
        <f t="shared" si="45"/>
        <v>0</v>
      </c>
      <c r="M497" s="6">
        <f t="shared" si="45"/>
        <v>0</v>
      </c>
      <c r="N497" s="6" t="str">
        <f t="shared" si="43"/>
        <v/>
      </c>
      <c r="O497" s="6" t="str">
        <f t="shared" si="44"/>
        <v/>
      </c>
    </row>
    <row r="498" spans="8:15">
      <c r="H498">
        <f t="shared" si="41"/>
        <v>0</v>
      </c>
      <c r="I498" t="e">
        <f t="shared" si="42"/>
        <v>#VALUE!</v>
      </c>
      <c r="J498" s="6">
        <f t="shared" si="45"/>
        <v>0</v>
      </c>
      <c r="K498" s="6">
        <f t="shared" si="45"/>
        <v>0</v>
      </c>
      <c r="L498" s="6">
        <f t="shared" si="45"/>
        <v>0</v>
      </c>
      <c r="M498" s="6">
        <f t="shared" si="45"/>
        <v>0</v>
      </c>
      <c r="N498" s="6" t="str">
        <f t="shared" si="43"/>
        <v/>
      </c>
      <c r="O498" s="6" t="str">
        <f t="shared" si="44"/>
        <v/>
      </c>
    </row>
    <row r="499" spans="8:15">
      <c r="H499">
        <f t="shared" si="41"/>
        <v>0</v>
      </c>
      <c r="I499" t="e">
        <f t="shared" si="42"/>
        <v>#VALUE!</v>
      </c>
      <c r="J499" s="6">
        <f t="shared" si="45"/>
        <v>0</v>
      </c>
      <c r="K499" s="6">
        <f t="shared" si="45"/>
        <v>0</v>
      </c>
      <c r="L499" s="6">
        <f t="shared" si="45"/>
        <v>0</v>
      </c>
      <c r="M499" s="6">
        <f t="shared" si="45"/>
        <v>0</v>
      </c>
      <c r="N499" s="6" t="str">
        <f t="shared" si="43"/>
        <v/>
      </c>
      <c r="O499" s="6" t="str">
        <f t="shared" si="44"/>
        <v/>
      </c>
    </row>
    <row r="500" spans="8:15">
      <c r="H500">
        <f t="shared" si="41"/>
        <v>0</v>
      </c>
      <c r="I500" t="e">
        <f t="shared" si="42"/>
        <v>#VALUE!</v>
      </c>
      <c r="J500" s="6">
        <f t="shared" si="45"/>
        <v>0</v>
      </c>
      <c r="K500" s="6">
        <f t="shared" si="45"/>
        <v>0</v>
      </c>
      <c r="L500" s="6">
        <f t="shared" si="45"/>
        <v>0</v>
      </c>
      <c r="M500" s="6">
        <f t="shared" si="45"/>
        <v>0</v>
      </c>
      <c r="N500" s="6" t="str">
        <f t="shared" si="43"/>
        <v/>
      </c>
      <c r="O500" s="6" t="str">
        <f t="shared" si="44"/>
        <v/>
      </c>
    </row>
    <row r="501" spans="8:15">
      <c r="H501">
        <f t="shared" si="41"/>
        <v>0</v>
      </c>
      <c r="I501" t="e">
        <f t="shared" si="42"/>
        <v>#VALUE!</v>
      </c>
      <c r="J501" s="6">
        <f t="shared" si="45"/>
        <v>0</v>
      </c>
      <c r="K501" s="6">
        <f t="shared" si="45"/>
        <v>0</v>
      </c>
      <c r="L501" s="6">
        <f t="shared" si="45"/>
        <v>0</v>
      </c>
      <c r="M501" s="6">
        <f t="shared" si="45"/>
        <v>0</v>
      </c>
      <c r="N501" s="6" t="str">
        <f t="shared" si="43"/>
        <v/>
      </c>
      <c r="O501" s="6" t="str">
        <f t="shared" si="44"/>
        <v/>
      </c>
    </row>
    <row r="502" spans="8:15">
      <c r="H502">
        <f t="shared" si="41"/>
        <v>0</v>
      </c>
      <c r="I502" t="e">
        <f t="shared" si="42"/>
        <v>#VALUE!</v>
      </c>
      <c r="J502" s="6">
        <f t="shared" si="45"/>
        <v>0</v>
      </c>
      <c r="K502" s="6">
        <f t="shared" si="45"/>
        <v>0</v>
      </c>
      <c r="L502" s="6">
        <f t="shared" si="45"/>
        <v>0</v>
      </c>
      <c r="M502" s="6">
        <f t="shared" si="45"/>
        <v>0</v>
      </c>
      <c r="N502" s="6" t="str">
        <f t="shared" si="43"/>
        <v/>
      </c>
      <c r="O502" s="6" t="str">
        <f t="shared" si="44"/>
        <v/>
      </c>
    </row>
    <row r="503" spans="8:15">
      <c r="H503">
        <f t="shared" si="41"/>
        <v>0</v>
      </c>
      <c r="I503" t="e">
        <f t="shared" si="42"/>
        <v>#VALUE!</v>
      </c>
      <c r="J503" s="6">
        <f t="shared" si="45"/>
        <v>0</v>
      </c>
      <c r="K503" s="6">
        <f t="shared" si="45"/>
        <v>0</v>
      </c>
      <c r="L503" s="6">
        <f t="shared" si="45"/>
        <v>0</v>
      </c>
      <c r="M503" s="6">
        <f t="shared" si="45"/>
        <v>0</v>
      </c>
      <c r="N503" s="6" t="str">
        <f t="shared" si="43"/>
        <v/>
      </c>
      <c r="O503" s="6" t="str">
        <f t="shared" si="44"/>
        <v/>
      </c>
    </row>
    <row r="504" spans="8:15">
      <c r="H504">
        <f t="shared" si="41"/>
        <v>0</v>
      </c>
      <c r="I504" t="e">
        <f t="shared" si="42"/>
        <v>#VALUE!</v>
      </c>
      <c r="J504" s="6">
        <f t="shared" si="45"/>
        <v>0</v>
      </c>
      <c r="K504" s="6">
        <f t="shared" si="45"/>
        <v>0</v>
      </c>
      <c r="L504" s="6">
        <f t="shared" si="45"/>
        <v>0</v>
      </c>
      <c r="M504" s="6">
        <f t="shared" si="45"/>
        <v>0</v>
      </c>
      <c r="N504" s="6" t="str">
        <f t="shared" si="43"/>
        <v/>
      </c>
      <c r="O504" s="6" t="str">
        <f t="shared" si="44"/>
        <v/>
      </c>
    </row>
    <row r="505" spans="8:15">
      <c r="H505">
        <f t="shared" si="41"/>
        <v>0</v>
      </c>
      <c r="I505" t="e">
        <f t="shared" si="42"/>
        <v>#VALUE!</v>
      </c>
      <c r="J505" s="6">
        <f t="shared" si="45"/>
        <v>0</v>
      </c>
      <c r="K505" s="6">
        <f t="shared" si="45"/>
        <v>0</v>
      </c>
      <c r="L505" s="6">
        <f t="shared" si="45"/>
        <v>0</v>
      </c>
      <c r="M505" s="6">
        <f t="shared" si="45"/>
        <v>0</v>
      </c>
      <c r="N505" s="6" t="str">
        <f t="shared" si="43"/>
        <v/>
      </c>
      <c r="O505" s="6" t="str">
        <f t="shared" si="44"/>
        <v/>
      </c>
    </row>
    <row r="506" spans="8:15">
      <c r="H506">
        <f t="shared" si="41"/>
        <v>0</v>
      </c>
      <c r="I506" t="e">
        <f t="shared" si="42"/>
        <v>#VALUE!</v>
      </c>
      <c r="J506" s="6">
        <f t="shared" si="45"/>
        <v>0</v>
      </c>
      <c r="K506" s="6">
        <f t="shared" si="45"/>
        <v>0</v>
      </c>
      <c r="L506" s="6">
        <f t="shared" si="45"/>
        <v>0</v>
      </c>
      <c r="M506" s="6">
        <f t="shared" si="45"/>
        <v>0</v>
      </c>
      <c r="N506" s="6" t="str">
        <f t="shared" si="43"/>
        <v/>
      </c>
      <c r="O506" s="6" t="str">
        <f t="shared" si="44"/>
        <v/>
      </c>
    </row>
    <row r="507" spans="8:15">
      <c r="H507">
        <f t="shared" si="41"/>
        <v>0</v>
      </c>
      <c r="I507" t="e">
        <f t="shared" si="42"/>
        <v>#VALUE!</v>
      </c>
      <c r="J507" s="6">
        <f t="shared" si="45"/>
        <v>0</v>
      </c>
      <c r="K507" s="6">
        <f t="shared" si="45"/>
        <v>0</v>
      </c>
      <c r="L507" s="6">
        <f t="shared" si="45"/>
        <v>0</v>
      </c>
      <c r="M507" s="6">
        <f t="shared" si="45"/>
        <v>0</v>
      </c>
      <c r="N507" s="6" t="str">
        <f t="shared" si="43"/>
        <v/>
      </c>
      <c r="O507" s="6" t="str">
        <f t="shared" si="44"/>
        <v/>
      </c>
    </row>
    <row r="508" spans="8:15">
      <c r="H508">
        <f t="shared" si="41"/>
        <v>0</v>
      </c>
      <c r="I508" t="e">
        <f t="shared" si="42"/>
        <v>#VALUE!</v>
      </c>
      <c r="J508" s="6">
        <f t="shared" si="45"/>
        <v>0</v>
      </c>
      <c r="K508" s="6">
        <f t="shared" si="45"/>
        <v>0</v>
      </c>
      <c r="L508" s="6">
        <f t="shared" si="45"/>
        <v>0</v>
      </c>
      <c r="M508" s="6">
        <f t="shared" si="45"/>
        <v>0</v>
      </c>
      <c r="N508" s="6" t="str">
        <f t="shared" si="43"/>
        <v/>
      </c>
      <c r="O508" s="6" t="str">
        <f t="shared" si="44"/>
        <v/>
      </c>
    </row>
    <row r="509" spans="8:15">
      <c r="H509">
        <f t="shared" si="41"/>
        <v>0</v>
      </c>
      <c r="I509" t="e">
        <f t="shared" si="42"/>
        <v>#VALUE!</v>
      </c>
      <c r="J509" s="6">
        <f t="shared" si="45"/>
        <v>0</v>
      </c>
      <c r="K509" s="6">
        <f t="shared" si="45"/>
        <v>0</v>
      </c>
      <c r="L509" s="6">
        <f t="shared" si="45"/>
        <v>0</v>
      </c>
      <c r="M509" s="6">
        <f t="shared" si="45"/>
        <v>0</v>
      </c>
      <c r="N509" s="6" t="str">
        <f t="shared" si="43"/>
        <v/>
      </c>
      <c r="O509" s="6" t="str">
        <f t="shared" si="44"/>
        <v/>
      </c>
    </row>
    <row r="510" spans="8:15">
      <c r="H510">
        <f t="shared" si="41"/>
        <v>0</v>
      </c>
      <c r="I510" t="e">
        <f t="shared" si="42"/>
        <v>#VALUE!</v>
      </c>
      <c r="J510" s="6">
        <f t="shared" si="45"/>
        <v>0</v>
      </c>
      <c r="K510" s="6">
        <f t="shared" si="45"/>
        <v>0</v>
      </c>
      <c r="L510" s="6">
        <f t="shared" si="45"/>
        <v>0</v>
      </c>
      <c r="M510" s="6">
        <f t="shared" si="45"/>
        <v>0</v>
      </c>
      <c r="N510" s="6" t="str">
        <f t="shared" si="43"/>
        <v/>
      </c>
      <c r="O510" s="6" t="str">
        <f t="shared" si="44"/>
        <v/>
      </c>
    </row>
    <row r="511" spans="8:15">
      <c r="H511">
        <f t="shared" si="41"/>
        <v>0</v>
      </c>
      <c r="I511" t="e">
        <f t="shared" si="42"/>
        <v>#VALUE!</v>
      </c>
      <c r="J511" s="6">
        <f t="shared" si="45"/>
        <v>0</v>
      </c>
      <c r="K511" s="6">
        <f t="shared" si="45"/>
        <v>0</v>
      </c>
      <c r="L511" s="6">
        <f t="shared" si="45"/>
        <v>0</v>
      </c>
      <c r="M511" s="6">
        <f t="shared" si="45"/>
        <v>0</v>
      </c>
      <c r="N511" s="6" t="str">
        <f t="shared" si="43"/>
        <v/>
      </c>
      <c r="O511" s="6" t="str">
        <f t="shared" si="44"/>
        <v/>
      </c>
    </row>
    <row r="512" spans="8:15">
      <c r="H512">
        <f t="shared" si="41"/>
        <v>0</v>
      </c>
      <c r="I512" t="e">
        <f t="shared" si="42"/>
        <v>#VALUE!</v>
      </c>
      <c r="J512" s="6">
        <f t="shared" si="45"/>
        <v>0</v>
      </c>
      <c r="K512" s="6">
        <f t="shared" si="45"/>
        <v>0</v>
      </c>
      <c r="L512" s="6">
        <f t="shared" si="45"/>
        <v>0</v>
      </c>
      <c r="M512" s="6">
        <f t="shared" si="45"/>
        <v>0</v>
      </c>
      <c r="N512" s="6" t="str">
        <f t="shared" si="43"/>
        <v/>
      </c>
      <c r="O512" s="6" t="str">
        <f t="shared" si="44"/>
        <v/>
      </c>
    </row>
    <row r="513" spans="8:15">
      <c r="H513">
        <f t="shared" si="41"/>
        <v>0</v>
      </c>
      <c r="I513" t="e">
        <f t="shared" si="42"/>
        <v>#VALUE!</v>
      </c>
      <c r="J513" s="6">
        <f t="shared" si="45"/>
        <v>0</v>
      </c>
      <c r="K513" s="6">
        <f t="shared" si="45"/>
        <v>0</v>
      </c>
      <c r="L513" s="6">
        <f t="shared" si="45"/>
        <v>0</v>
      </c>
      <c r="M513" s="6">
        <f t="shared" si="45"/>
        <v>0</v>
      </c>
      <c r="N513" s="6" t="str">
        <f t="shared" si="43"/>
        <v/>
      </c>
      <c r="O513" s="6" t="str">
        <f t="shared" si="44"/>
        <v/>
      </c>
    </row>
    <row r="514" spans="8:15">
      <c r="H514">
        <f t="shared" si="41"/>
        <v>0</v>
      </c>
      <c r="I514" t="e">
        <f t="shared" si="42"/>
        <v>#VALUE!</v>
      </c>
      <c r="J514" s="6">
        <f t="shared" si="45"/>
        <v>0</v>
      </c>
      <c r="K514" s="6">
        <f t="shared" si="45"/>
        <v>0</v>
      </c>
      <c r="L514" s="6">
        <f t="shared" si="45"/>
        <v>0</v>
      </c>
      <c r="M514" s="6">
        <f t="shared" si="45"/>
        <v>0</v>
      </c>
      <c r="N514" s="6" t="str">
        <f t="shared" si="43"/>
        <v/>
      </c>
      <c r="O514" s="6" t="str">
        <f t="shared" si="44"/>
        <v/>
      </c>
    </row>
    <row r="515" spans="8:15">
      <c r="H515">
        <f t="shared" si="41"/>
        <v>0</v>
      </c>
      <c r="I515" t="e">
        <f t="shared" si="42"/>
        <v>#VALUE!</v>
      </c>
      <c r="J515" s="6">
        <f t="shared" ref="J515:M577" si="46">C515</f>
        <v>0</v>
      </c>
      <c r="K515" s="6">
        <f t="shared" si="46"/>
        <v>0</v>
      </c>
      <c r="L515" s="6">
        <f t="shared" si="46"/>
        <v>0</v>
      </c>
      <c r="M515" s="6">
        <f t="shared" si="46"/>
        <v>0</v>
      </c>
      <c r="N515" s="6" t="str">
        <f t="shared" si="43"/>
        <v/>
      </c>
      <c r="O515" s="6" t="str">
        <f t="shared" si="44"/>
        <v/>
      </c>
    </row>
    <row r="516" spans="8:15">
      <c r="H516">
        <f t="shared" si="41"/>
        <v>0</v>
      </c>
      <c r="I516" t="e">
        <f t="shared" si="42"/>
        <v>#VALUE!</v>
      </c>
      <c r="J516" s="6">
        <f t="shared" si="46"/>
        <v>0</v>
      </c>
      <c r="K516" s="6">
        <f t="shared" si="46"/>
        <v>0</v>
      </c>
      <c r="L516" s="6">
        <f t="shared" si="46"/>
        <v>0</v>
      </c>
      <c r="M516" s="6">
        <f t="shared" si="46"/>
        <v>0</v>
      </c>
      <c r="N516" s="6" t="str">
        <f t="shared" si="43"/>
        <v/>
      </c>
      <c r="O516" s="6" t="str">
        <f t="shared" si="44"/>
        <v/>
      </c>
    </row>
    <row r="517" spans="8:15">
      <c r="H517">
        <f t="shared" si="41"/>
        <v>0</v>
      </c>
      <c r="I517" t="e">
        <f t="shared" si="42"/>
        <v>#VALUE!</v>
      </c>
      <c r="J517" s="6">
        <f t="shared" si="46"/>
        <v>0</v>
      </c>
      <c r="K517" s="6">
        <f t="shared" si="46"/>
        <v>0</v>
      </c>
      <c r="L517" s="6">
        <f t="shared" si="46"/>
        <v>0</v>
      </c>
      <c r="M517" s="6">
        <f t="shared" si="46"/>
        <v>0</v>
      </c>
      <c r="N517" s="6" t="str">
        <f t="shared" si="43"/>
        <v/>
      </c>
      <c r="O517" s="6" t="str">
        <f t="shared" si="44"/>
        <v/>
      </c>
    </row>
    <row r="518" spans="8:15">
      <c r="H518">
        <f t="shared" si="41"/>
        <v>0</v>
      </c>
      <c r="I518" t="e">
        <f t="shared" si="42"/>
        <v>#VALUE!</v>
      </c>
      <c r="J518" s="6">
        <f t="shared" si="46"/>
        <v>0</v>
      </c>
      <c r="K518" s="6">
        <f t="shared" si="46"/>
        <v>0</v>
      </c>
      <c r="L518" s="6">
        <f t="shared" si="46"/>
        <v>0</v>
      </c>
      <c r="M518" s="6">
        <f t="shared" si="46"/>
        <v>0</v>
      </c>
      <c r="N518" s="6" t="str">
        <f t="shared" si="43"/>
        <v/>
      </c>
      <c r="O518" s="6" t="str">
        <f t="shared" si="44"/>
        <v/>
      </c>
    </row>
    <row r="519" spans="8:15">
      <c r="H519">
        <f t="shared" ref="H519:H582" si="47">A519</f>
        <v>0</v>
      </c>
      <c r="I519" t="e">
        <f t="shared" ref="I519:I582" si="48">LEFT(B519,SEARCH(" ",B519,1)-1)</f>
        <v>#VALUE!</v>
      </c>
      <c r="J519" s="6">
        <f t="shared" si="46"/>
        <v>0</v>
      </c>
      <c r="K519" s="6">
        <f t="shared" si="46"/>
        <v>0</v>
      </c>
      <c r="L519" s="6">
        <f t="shared" si="46"/>
        <v>0</v>
      </c>
      <c r="M519" s="6">
        <f t="shared" si="46"/>
        <v>0</v>
      </c>
      <c r="N519" s="6" t="str">
        <f t="shared" ref="N519:N582" si="49">TRIM($B$1)</f>
        <v/>
      </c>
      <c r="O519" s="6" t="str">
        <f t="shared" ref="O519:O582" si="50">TRIM($C$1)</f>
        <v/>
      </c>
    </row>
    <row r="520" spans="8:15">
      <c r="H520">
        <f t="shared" si="47"/>
        <v>0</v>
      </c>
      <c r="I520" t="e">
        <f t="shared" si="48"/>
        <v>#VALUE!</v>
      </c>
      <c r="J520" s="6">
        <f t="shared" si="46"/>
        <v>0</v>
      </c>
      <c r="K520" s="6">
        <f t="shared" si="46"/>
        <v>0</v>
      </c>
      <c r="L520" s="6">
        <f t="shared" si="46"/>
        <v>0</v>
      </c>
      <c r="M520" s="6">
        <f t="shared" si="46"/>
        <v>0</v>
      </c>
      <c r="N520" s="6" t="str">
        <f t="shared" si="49"/>
        <v/>
      </c>
      <c r="O520" s="6" t="str">
        <f t="shared" si="50"/>
        <v/>
      </c>
    </row>
    <row r="521" spans="8:15">
      <c r="H521">
        <f t="shared" si="47"/>
        <v>0</v>
      </c>
      <c r="I521" t="e">
        <f t="shared" si="48"/>
        <v>#VALUE!</v>
      </c>
      <c r="J521" s="6">
        <f t="shared" si="46"/>
        <v>0</v>
      </c>
      <c r="K521" s="6">
        <f t="shared" si="46"/>
        <v>0</v>
      </c>
      <c r="L521" s="6">
        <f t="shared" si="46"/>
        <v>0</v>
      </c>
      <c r="M521" s="6">
        <f t="shared" si="46"/>
        <v>0</v>
      </c>
      <c r="N521" s="6" t="str">
        <f t="shared" si="49"/>
        <v/>
      </c>
      <c r="O521" s="6" t="str">
        <f t="shared" si="50"/>
        <v/>
      </c>
    </row>
    <row r="522" spans="8:15">
      <c r="H522">
        <f t="shared" si="47"/>
        <v>0</v>
      </c>
      <c r="I522" t="e">
        <f t="shared" si="48"/>
        <v>#VALUE!</v>
      </c>
      <c r="J522" s="6">
        <f t="shared" si="46"/>
        <v>0</v>
      </c>
      <c r="K522" s="6">
        <f t="shared" si="46"/>
        <v>0</v>
      </c>
      <c r="L522" s="6">
        <f t="shared" si="46"/>
        <v>0</v>
      </c>
      <c r="M522" s="6">
        <f t="shared" si="46"/>
        <v>0</v>
      </c>
      <c r="N522" s="6" t="str">
        <f t="shared" si="49"/>
        <v/>
      </c>
      <c r="O522" s="6" t="str">
        <f t="shared" si="50"/>
        <v/>
      </c>
    </row>
    <row r="523" spans="8:15">
      <c r="H523">
        <f t="shared" si="47"/>
        <v>0</v>
      </c>
      <c r="I523" t="e">
        <f t="shared" si="48"/>
        <v>#VALUE!</v>
      </c>
      <c r="J523" s="6">
        <f t="shared" si="46"/>
        <v>0</v>
      </c>
      <c r="K523" s="6">
        <f t="shared" si="46"/>
        <v>0</v>
      </c>
      <c r="L523" s="6">
        <f t="shared" si="46"/>
        <v>0</v>
      </c>
      <c r="M523" s="6">
        <f t="shared" si="46"/>
        <v>0</v>
      </c>
      <c r="N523" s="6" t="str">
        <f t="shared" si="49"/>
        <v/>
      </c>
      <c r="O523" s="6" t="str">
        <f t="shared" si="50"/>
        <v/>
      </c>
    </row>
    <row r="524" spans="8:15">
      <c r="H524">
        <f t="shared" si="47"/>
        <v>0</v>
      </c>
      <c r="I524" t="e">
        <f t="shared" si="48"/>
        <v>#VALUE!</v>
      </c>
      <c r="J524" s="6">
        <f t="shared" si="46"/>
        <v>0</v>
      </c>
      <c r="K524" s="6">
        <f t="shared" si="46"/>
        <v>0</v>
      </c>
      <c r="L524" s="6">
        <f t="shared" si="46"/>
        <v>0</v>
      </c>
      <c r="M524" s="6">
        <f t="shared" si="46"/>
        <v>0</v>
      </c>
      <c r="N524" s="6" t="str">
        <f t="shared" si="49"/>
        <v/>
      </c>
      <c r="O524" s="6" t="str">
        <f t="shared" si="50"/>
        <v/>
      </c>
    </row>
    <row r="525" spans="8:15">
      <c r="H525">
        <f t="shared" si="47"/>
        <v>0</v>
      </c>
      <c r="I525" t="e">
        <f t="shared" si="48"/>
        <v>#VALUE!</v>
      </c>
      <c r="J525" s="6">
        <f t="shared" si="46"/>
        <v>0</v>
      </c>
      <c r="K525" s="6">
        <f t="shared" si="46"/>
        <v>0</v>
      </c>
      <c r="L525" s="6">
        <f t="shared" si="46"/>
        <v>0</v>
      </c>
      <c r="M525" s="6">
        <f t="shared" si="46"/>
        <v>0</v>
      </c>
      <c r="N525" s="6" t="str">
        <f t="shared" si="49"/>
        <v/>
      </c>
      <c r="O525" s="6" t="str">
        <f t="shared" si="50"/>
        <v/>
      </c>
    </row>
    <row r="526" spans="8:15">
      <c r="H526">
        <f t="shared" si="47"/>
        <v>0</v>
      </c>
      <c r="I526" t="e">
        <f t="shared" si="48"/>
        <v>#VALUE!</v>
      </c>
      <c r="J526" s="6">
        <f t="shared" si="46"/>
        <v>0</v>
      </c>
      <c r="K526" s="6">
        <f t="shared" si="46"/>
        <v>0</v>
      </c>
      <c r="L526" s="6">
        <f t="shared" si="46"/>
        <v>0</v>
      </c>
      <c r="M526" s="6">
        <f t="shared" si="46"/>
        <v>0</v>
      </c>
      <c r="N526" s="6" t="str">
        <f t="shared" si="49"/>
        <v/>
      </c>
      <c r="O526" s="6" t="str">
        <f t="shared" si="50"/>
        <v/>
      </c>
    </row>
    <row r="527" spans="8:15">
      <c r="H527">
        <f t="shared" si="47"/>
        <v>0</v>
      </c>
      <c r="I527" t="e">
        <f t="shared" si="48"/>
        <v>#VALUE!</v>
      </c>
      <c r="J527" s="6">
        <f t="shared" si="46"/>
        <v>0</v>
      </c>
      <c r="K527" s="6">
        <f t="shared" si="46"/>
        <v>0</v>
      </c>
      <c r="L527" s="6">
        <f t="shared" si="46"/>
        <v>0</v>
      </c>
      <c r="M527" s="6">
        <f t="shared" si="46"/>
        <v>0</v>
      </c>
      <c r="N527" s="6" t="str">
        <f t="shared" si="49"/>
        <v/>
      </c>
      <c r="O527" s="6" t="str">
        <f t="shared" si="50"/>
        <v/>
      </c>
    </row>
    <row r="528" spans="8:15">
      <c r="H528">
        <f t="shared" si="47"/>
        <v>0</v>
      </c>
      <c r="I528" t="e">
        <f t="shared" si="48"/>
        <v>#VALUE!</v>
      </c>
      <c r="J528" s="6">
        <f t="shared" si="46"/>
        <v>0</v>
      </c>
      <c r="K528" s="6">
        <f t="shared" si="46"/>
        <v>0</v>
      </c>
      <c r="L528" s="6">
        <f t="shared" si="46"/>
        <v>0</v>
      </c>
      <c r="M528" s="6">
        <f t="shared" si="46"/>
        <v>0</v>
      </c>
      <c r="N528" s="6" t="str">
        <f t="shared" si="49"/>
        <v/>
      </c>
      <c r="O528" s="6" t="str">
        <f t="shared" si="50"/>
        <v/>
      </c>
    </row>
    <row r="529" spans="8:15">
      <c r="H529">
        <f t="shared" si="47"/>
        <v>0</v>
      </c>
      <c r="I529" t="e">
        <f t="shared" si="48"/>
        <v>#VALUE!</v>
      </c>
      <c r="J529" s="6">
        <f t="shared" si="46"/>
        <v>0</v>
      </c>
      <c r="K529" s="6">
        <f t="shared" si="46"/>
        <v>0</v>
      </c>
      <c r="L529" s="6">
        <f t="shared" si="46"/>
        <v>0</v>
      </c>
      <c r="M529" s="6">
        <f t="shared" si="46"/>
        <v>0</v>
      </c>
      <c r="N529" s="6" t="str">
        <f t="shared" si="49"/>
        <v/>
      </c>
      <c r="O529" s="6" t="str">
        <f t="shared" si="50"/>
        <v/>
      </c>
    </row>
    <row r="530" spans="8:15">
      <c r="H530">
        <f t="shared" si="47"/>
        <v>0</v>
      </c>
      <c r="I530" t="e">
        <f t="shared" si="48"/>
        <v>#VALUE!</v>
      </c>
      <c r="J530" s="6">
        <f t="shared" si="46"/>
        <v>0</v>
      </c>
      <c r="K530" s="6">
        <f t="shared" si="46"/>
        <v>0</v>
      </c>
      <c r="L530" s="6">
        <f t="shared" si="46"/>
        <v>0</v>
      </c>
      <c r="M530" s="6">
        <f t="shared" si="46"/>
        <v>0</v>
      </c>
      <c r="N530" s="6" t="str">
        <f t="shared" si="49"/>
        <v/>
      </c>
      <c r="O530" s="6" t="str">
        <f t="shared" si="50"/>
        <v/>
      </c>
    </row>
    <row r="531" spans="8:15">
      <c r="H531">
        <f t="shared" si="47"/>
        <v>0</v>
      </c>
      <c r="I531" t="e">
        <f t="shared" si="48"/>
        <v>#VALUE!</v>
      </c>
      <c r="J531" s="6">
        <f t="shared" si="46"/>
        <v>0</v>
      </c>
      <c r="K531" s="6">
        <f t="shared" si="46"/>
        <v>0</v>
      </c>
      <c r="L531" s="6">
        <f t="shared" si="46"/>
        <v>0</v>
      </c>
      <c r="M531" s="6">
        <f t="shared" si="46"/>
        <v>0</v>
      </c>
      <c r="N531" s="6" t="str">
        <f t="shared" si="49"/>
        <v/>
      </c>
      <c r="O531" s="6" t="str">
        <f t="shared" si="50"/>
        <v/>
      </c>
    </row>
    <row r="532" spans="8:15">
      <c r="H532">
        <f t="shared" si="47"/>
        <v>0</v>
      </c>
      <c r="I532" t="e">
        <f t="shared" si="48"/>
        <v>#VALUE!</v>
      </c>
      <c r="J532" s="6">
        <f t="shared" si="46"/>
        <v>0</v>
      </c>
      <c r="K532" s="6">
        <f t="shared" si="46"/>
        <v>0</v>
      </c>
      <c r="L532" s="6">
        <f t="shared" si="46"/>
        <v>0</v>
      </c>
      <c r="M532" s="6">
        <f t="shared" si="46"/>
        <v>0</v>
      </c>
      <c r="N532" s="6" t="str">
        <f t="shared" si="49"/>
        <v/>
      </c>
      <c r="O532" s="6" t="str">
        <f t="shared" si="50"/>
        <v/>
      </c>
    </row>
    <row r="533" spans="8:15">
      <c r="H533">
        <f t="shared" si="47"/>
        <v>0</v>
      </c>
      <c r="I533" t="e">
        <f t="shared" si="48"/>
        <v>#VALUE!</v>
      </c>
      <c r="J533" s="6">
        <f t="shared" si="46"/>
        <v>0</v>
      </c>
      <c r="K533" s="6">
        <f t="shared" si="46"/>
        <v>0</v>
      </c>
      <c r="L533" s="6">
        <f t="shared" si="46"/>
        <v>0</v>
      </c>
      <c r="M533" s="6">
        <f t="shared" si="46"/>
        <v>0</v>
      </c>
      <c r="N533" s="6" t="str">
        <f t="shared" si="49"/>
        <v/>
      </c>
      <c r="O533" s="6" t="str">
        <f t="shared" si="50"/>
        <v/>
      </c>
    </row>
    <row r="534" spans="8:15">
      <c r="H534">
        <f t="shared" si="47"/>
        <v>0</v>
      </c>
      <c r="I534" t="e">
        <f t="shared" si="48"/>
        <v>#VALUE!</v>
      </c>
      <c r="J534" s="6">
        <f t="shared" si="46"/>
        <v>0</v>
      </c>
      <c r="K534" s="6">
        <f t="shared" si="46"/>
        <v>0</v>
      </c>
      <c r="L534" s="6">
        <f t="shared" si="46"/>
        <v>0</v>
      </c>
      <c r="M534" s="6">
        <f t="shared" si="46"/>
        <v>0</v>
      </c>
      <c r="N534" s="6" t="str">
        <f t="shared" si="49"/>
        <v/>
      </c>
      <c r="O534" s="6" t="str">
        <f t="shared" si="50"/>
        <v/>
      </c>
    </row>
    <row r="535" spans="8:15">
      <c r="H535">
        <f t="shared" si="47"/>
        <v>0</v>
      </c>
      <c r="I535" t="e">
        <f t="shared" si="48"/>
        <v>#VALUE!</v>
      </c>
      <c r="J535" s="6">
        <f t="shared" si="46"/>
        <v>0</v>
      </c>
      <c r="K535" s="6">
        <f t="shared" si="46"/>
        <v>0</v>
      </c>
      <c r="L535" s="6">
        <f t="shared" si="46"/>
        <v>0</v>
      </c>
      <c r="M535" s="6">
        <f t="shared" si="46"/>
        <v>0</v>
      </c>
      <c r="N535" s="6" t="str">
        <f t="shared" si="49"/>
        <v/>
      </c>
      <c r="O535" s="6" t="str">
        <f t="shared" si="50"/>
        <v/>
      </c>
    </row>
    <row r="536" spans="8:15">
      <c r="H536">
        <f t="shared" si="47"/>
        <v>0</v>
      </c>
      <c r="I536" t="e">
        <f t="shared" si="48"/>
        <v>#VALUE!</v>
      </c>
      <c r="J536" s="6">
        <f t="shared" si="46"/>
        <v>0</v>
      </c>
      <c r="K536" s="6">
        <f t="shared" si="46"/>
        <v>0</v>
      </c>
      <c r="L536" s="6">
        <f t="shared" si="46"/>
        <v>0</v>
      </c>
      <c r="M536" s="6">
        <f t="shared" si="46"/>
        <v>0</v>
      </c>
      <c r="N536" s="6" t="str">
        <f t="shared" si="49"/>
        <v/>
      </c>
      <c r="O536" s="6" t="str">
        <f t="shared" si="50"/>
        <v/>
      </c>
    </row>
    <row r="537" spans="8:15">
      <c r="H537">
        <f t="shared" si="47"/>
        <v>0</v>
      </c>
      <c r="I537" t="e">
        <f t="shared" si="48"/>
        <v>#VALUE!</v>
      </c>
      <c r="J537" s="6">
        <f t="shared" si="46"/>
        <v>0</v>
      </c>
      <c r="K537" s="6">
        <f t="shared" si="46"/>
        <v>0</v>
      </c>
      <c r="L537" s="6">
        <f t="shared" si="46"/>
        <v>0</v>
      </c>
      <c r="M537" s="6">
        <f t="shared" si="46"/>
        <v>0</v>
      </c>
      <c r="N537" s="6" t="str">
        <f t="shared" si="49"/>
        <v/>
      </c>
      <c r="O537" s="6" t="str">
        <f t="shared" si="50"/>
        <v/>
      </c>
    </row>
    <row r="538" spans="8:15">
      <c r="H538">
        <f t="shared" si="47"/>
        <v>0</v>
      </c>
      <c r="I538" t="e">
        <f t="shared" si="48"/>
        <v>#VALUE!</v>
      </c>
      <c r="J538" s="6">
        <f t="shared" si="46"/>
        <v>0</v>
      </c>
      <c r="K538" s="6">
        <f t="shared" si="46"/>
        <v>0</v>
      </c>
      <c r="L538" s="6">
        <f t="shared" si="46"/>
        <v>0</v>
      </c>
      <c r="M538" s="6">
        <f t="shared" si="46"/>
        <v>0</v>
      </c>
      <c r="N538" s="6" t="str">
        <f t="shared" si="49"/>
        <v/>
      </c>
      <c r="O538" s="6" t="str">
        <f t="shared" si="50"/>
        <v/>
      </c>
    </row>
    <row r="539" spans="8:15">
      <c r="H539">
        <f t="shared" si="47"/>
        <v>0</v>
      </c>
      <c r="I539" t="e">
        <f t="shared" si="48"/>
        <v>#VALUE!</v>
      </c>
      <c r="J539" s="6">
        <f t="shared" si="46"/>
        <v>0</v>
      </c>
      <c r="K539" s="6">
        <f t="shared" si="46"/>
        <v>0</v>
      </c>
      <c r="L539" s="6">
        <f t="shared" si="46"/>
        <v>0</v>
      </c>
      <c r="M539" s="6">
        <f t="shared" si="46"/>
        <v>0</v>
      </c>
      <c r="N539" s="6" t="str">
        <f t="shared" si="49"/>
        <v/>
      </c>
      <c r="O539" s="6" t="str">
        <f t="shared" si="50"/>
        <v/>
      </c>
    </row>
    <row r="540" spans="8:15">
      <c r="H540">
        <f t="shared" si="47"/>
        <v>0</v>
      </c>
      <c r="I540" t="e">
        <f t="shared" si="48"/>
        <v>#VALUE!</v>
      </c>
      <c r="J540" s="6">
        <f t="shared" si="46"/>
        <v>0</v>
      </c>
      <c r="K540" s="6">
        <f t="shared" si="46"/>
        <v>0</v>
      </c>
      <c r="L540" s="6">
        <f t="shared" si="46"/>
        <v>0</v>
      </c>
      <c r="M540" s="6">
        <f t="shared" si="46"/>
        <v>0</v>
      </c>
      <c r="N540" s="6" t="str">
        <f t="shared" si="49"/>
        <v/>
      </c>
      <c r="O540" s="6" t="str">
        <f t="shared" si="50"/>
        <v/>
      </c>
    </row>
    <row r="541" spans="8:15">
      <c r="H541">
        <f t="shared" si="47"/>
        <v>0</v>
      </c>
      <c r="I541" t="e">
        <f t="shared" si="48"/>
        <v>#VALUE!</v>
      </c>
      <c r="J541" s="6">
        <f t="shared" si="46"/>
        <v>0</v>
      </c>
      <c r="K541" s="6">
        <f t="shared" si="46"/>
        <v>0</v>
      </c>
      <c r="L541" s="6">
        <f t="shared" si="46"/>
        <v>0</v>
      </c>
      <c r="M541" s="6">
        <f t="shared" si="46"/>
        <v>0</v>
      </c>
      <c r="N541" s="6" t="str">
        <f t="shared" si="49"/>
        <v/>
      </c>
      <c r="O541" s="6" t="str">
        <f t="shared" si="50"/>
        <v/>
      </c>
    </row>
    <row r="542" spans="8:15">
      <c r="H542">
        <f t="shared" si="47"/>
        <v>0</v>
      </c>
      <c r="I542" t="e">
        <f t="shared" si="48"/>
        <v>#VALUE!</v>
      </c>
      <c r="J542" s="6">
        <f t="shared" si="46"/>
        <v>0</v>
      </c>
      <c r="K542" s="6">
        <f t="shared" si="46"/>
        <v>0</v>
      </c>
      <c r="L542" s="6">
        <f t="shared" si="46"/>
        <v>0</v>
      </c>
      <c r="M542" s="6">
        <f t="shared" si="46"/>
        <v>0</v>
      </c>
      <c r="N542" s="6" t="str">
        <f t="shared" si="49"/>
        <v/>
      </c>
      <c r="O542" s="6" t="str">
        <f t="shared" si="50"/>
        <v/>
      </c>
    </row>
    <row r="543" spans="8:15">
      <c r="H543">
        <f t="shared" si="47"/>
        <v>0</v>
      </c>
      <c r="I543" t="e">
        <f t="shared" si="48"/>
        <v>#VALUE!</v>
      </c>
      <c r="J543" s="6">
        <f t="shared" si="46"/>
        <v>0</v>
      </c>
      <c r="K543" s="6">
        <f t="shared" si="46"/>
        <v>0</v>
      </c>
      <c r="L543" s="6">
        <f t="shared" si="46"/>
        <v>0</v>
      </c>
      <c r="M543" s="6">
        <f t="shared" si="46"/>
        <v>0</v>
      </c>
      <c r="N543" s="6" t="str">
        <f t="shared" si="49"/>
        <v/>
      </c>
      <c r="O543" s="6" t="str">
        <f t="shared" si="50"/>
        <v/>
      </c>
    </row>
    <row r="544" spans="8:15">
      <c r="H544">
        <f t="shared" si="47"/>
        <v>0</v>
      </c>
      <c r="I544" t="e">
        <f t="shared" si="48"/>
        <v>#VALUE!</v>
      </c>
      <c r="J544" s="6">
        <f t="shared" si="46"/>
        <v>0</v>
      </c>
      <c r="K544" s="6">
        <f t="shared" si="46"/>
        <v>0</v>
      </c>
      <c r="L544" s="6">
        <f t="shared" si="46"/>
        <v>0</v>
      </c>
      <c r="M544" s="6">
        <f t="shared" si="46"/>
        <v>0</v>
      </c>
      <c r="N544" s="6" t="str">
        <f t="shared" si="49"/>
        <v/>
      </c>
      <c r="O544" s="6" t="str">
        <f t="shared" si="50"/>
        <v/>
      </c>
    </row>
    <row r="545" spans="8:15">
      <c r="H545">
        <f t="shared" si="47"/>
        <v>0</v>
      </c>
      <c r="I545" t="e">
        <f t="shared" si="48"/>
        <v>#VALUE!</v>
      </c>
      <c r="J545" s="6">
        <f t="shared" si="46"/>
        <v>0</v>
      </c>
      <c r="K545" s="6">
        <f t="shared" si="46"/>
        <v>0</v>
      </c>
      <c r="L545" s="6">
        <f t="shared" si="46"/>
        <v>0</v>
      </c>
      <c r="M545" s="6">
        <f t="shared" si="46"/>
        <v>0</v>
      </c>
      <c r="N545" s="6" t="str">
        <f t="shared" si="49"/>
        <v/>
      </c>
      <c r="O545" s="6" t="str">
        <f t="shared" si="50"/>
        <v/>
      </c>
    </row>
    <row r="546" spans="8:15">
      <c r="H546">
        <f t="shared" si="47"/>
        <v>0</v>
      </c>
      <c r="I546" t="e">
        <f t="shared" si="48"/>
        <v>#VALUE!</v>
      </c>
      <c r="J546" s="6">
        <f t="shared" si="46"/>
        <v>0</v>
      </c>
      <c r="K546" s="6">
        <f t="shared" si="46"/>
        <v>0</v>
      </c>
      <c r="L546" s="6">
        <f t="shared" si="46"/>
        <v>0</v>
      </c>
      <c r="M546" s="6">
        <f t="shared" si="46"/>
        <v>0</v>
      </c>
      <c r="N546" s="6" t="str">
        <f t="shared" si="49"/>
        <v/>
      </c>
      <c r="O546" s="6" t="str">
        <f t="shared" si="50"/>
        <v/>
      </c>
    </row>
    <row r="547" spans="8:15">
      <c r="H547">
        <f t="shared" si="47"/>
        <v>0</v>
      </c>
      <c r="I547" t="e">
        <f t="shared" si="48"/>
        <v>#VALUE!</v>
      </c>
      <c r="J547" s="6">
        <f t="shared" si="46"/>
        <v>0</v>
      </c>
      <c r="K547" s="6">
        <f t="shared" si="46"/>
        <v>0</v>
      </c>
      <c r="L547" s="6">
        <f t="shared" si="46"/>
        <v>0</v>
      </c>
      <c r="M547" s="6">
        <f t="shared" si="46"/>
        <v>0</v>
      </c>
      <c r="N547" s="6" t="str">
        <f t="shared" si="49"/>
        <v/>
      </c>
      <c r="O547" s="6" t="str">
        <f t="shared" si="50"/>
        <v/>
      </c>
    </row>
    <row r="548" spans="8:15">
      <c r="H548">
        <f t="shared" si="47"/>
        <v>0</v>
      </c>
      <c r="I548" t="e">
        <f t="shared" si="48"/>
        <v>#VALUE!</v>
      </c>
      <c r="J548" s="6">
        <f t="shared" si="46"/>
        <v>0</v>
      </c>
      <c r="K548" s="6">
        <f t="shared" si="46"/>
        <v>0</v>
      </c>
      <c r="L548" s="6">
        <f t="shared" si="46"/>
        <v>0</v>
      </c>
      <c r="M548" s="6">
        <f t="shared" si="46"/>
        <v>0</v>
      </c>
      <c r="N548" s="6" t="str">
        <f t="shared" si="49"/>
        <v/>
      </c>
      <c r="O548" s="6" t="str">
        <f t="shared" si="50"/>
        <v/>
      </c>
    </row>
    <row r="549" spans="8:15">
      <c r="H549">
        <f t="shared" si="47"/>
        <v>0</v>
      </c>
      <c r="I549" t="e">
        <f t="shared" si="48"/>
        <v>#VALUE!</v>
      </c>
      <c r="J549" s="6">
        <f t="shared" si="46"/>
        <v>0</v>
      </c>
      <c r="K549" s="6">
        <f t="shared" si="46"/>
        <v>0</v>
      </c>
      <c r="L549" s="6">
        <f t="shared" si="46"/>
        <v>0</v>
      </c>
      <c r="M549" s="6">
        <f t="shared" si="46"/>
        <v>0</v>
      </c>
      <c r="N549" s="6" t="str">
        <f t="shared" si="49"/>
        <v/>
      </c>
      <c r="O549" s="6" t="str">
        <f t="shared" si="50"/>
        <v/>
      </c>
    </row>
    <row r="550" spans="8:15">
      <c r="H550">
        <f t="shared" si="47"/>
        <v>0</v>
      </c>
      <c r="I550" t="e">
        <f t="shared" si="48"/>
        <v>#VALUE!</v>
      </c>
      <c r="J550" s="6">
        <f t="shared" si="46"/>
        <v>0</v>
      </c>
      <c r="K550" s="6">
        <f t="shared" si="46"/>
        <v>0</v>
      </c>
      <c r="L550" s="6">
        <f t="shared" si="46"/>
        <v>0</v>
      </c>
      <c r="M550" s="6">
        <f t="shared" si="46"/>
        <v>0</v>
      </c>
      <c r="N550" s="6" t="str">
        <f t="shared" si="49"/>
        <v/>
      </c>
      <c r="O550" s="6" t="str">
        <f t="shared" si="50"/>
        <v/>
      </c>
    </row>
    <row r="551" spans="8:15">
      <c r="H551">
        <f t="shared" si="47"/>
        <v>0</v>
      </c>
      <c r="I551" t="e">
        <f t="shared" si="48"/>
        <v>#VALUE!</v>
      </c>
      <c r="J551" s="6">
        <f t="shared" si="46"/>
        <v>0</v>
      </c>
      <c r="K551" s="6">
        <f t="shared" si="46"/>
        <v>0</v>
      </c>
      <c r="L551" s="6">
        <f t="shared" si="46"/>
        <v>0</v>
      </c>
      <c r="M551" s="6">
        <f t="shared" si="46"/>
        <v>0</v>
      </c>
      <c r="N551" s="6" t="str">
        <f t="shared" si="49"/>
        <v/>
      </c>
      <c r="O551" s="6" t="str">
        <f t="shared" si="50"/>
        <v/>
      </c>
    </row>
    <row r="552" spans="8:15">
      <c r="H552">
        <f t="shared" si="47"/>
        <v>0</v>
      </c>
      <c r="I552" t="e">
        <f t="shared" si="48"/>
        <v>#VALUE!</v>
      </c>
      <c r="J552" s="6">
        <f t="shared" si="46"/>
        <v>0</v>
      </c>
      <c r="K552" s="6">
        <f t="shared" si="46"/>
        <v>0</v>
      </c>
      <c r="L552" s="6">
        <f t="shared" si="46"/>
        <v>0</v>
      </c>
      <c r="M552" s="6">
        <f t="shared" si="46"/>
        <v>0</v>
      </c>
      <c r="N552" s="6" t="str">
        <f t="shared" si="49"/>
        <v/>
      </c>
      <c r="O552" s="6" t="str">
        <f t="shared" si="50"/>
        <v/>
      </c>
    </row>
    <row r="553" spans="8:15">
      <c r="H553">
        <f t="shared" si="47"/>
        <v>0</v>
      </c>
      <c r="I553" t="e">
        <f t="shared" si="48"/>
        <v>#VALUE!</v>
      </c>
      <c r="J553" s="6">
        <f t="shared" si="46"/>
        <v>0</v>
      </c>
      <c r="K553" s="6">
        <f t="shared" si="46"/>
        <v>0</v>
      </c>
      <c r="L553" s="6">
        <f t="shared" si="46"/>
        <v>0</v>
      </c>
      <c r="M553" s="6">
        <f t="shared" si="46"/>
        <v>0</v>
      </c>
      <c r="N553" s="6" t="str">
        <f t="shared" si="49"/>
        <v/>
      </c>
      <c r="O553" s="6" t="str">
        <f t="shared" si="50"/>
        <v/>
      </c>
    </row>
    <row r="554" spans="8:15">
      <c r="H554">
        <f t="shared" si="47"/>
        <v>0</v>
      </c>
      <c r="I554" t="e">
        <f t="shared" si="48"/>
        <v>#VALUE!</v>
      </c>
      <c r="J554" s="6">
        <f t="shared" si="46"/>
        <v>0</v>
      </c>
      <c r="K554" s="6">
        <f t="shared" si="46"/>
        <v>0</v>
      </c>
      <c r="L554" s="6">
        <f t="shared" si="46"/>
        <v>0</v>
      </c>
      <c r="M554" s="6">
        <f t="shared" si="46"/>
        <v>0</v>
      </c>
      <c r="N554" s="6" t="str">
        <f t="shared" si="49"/>
        <v/>
      </c>
      <c r="O554" s="6" t="str">
        <f t="shared" si="50"/>
        <v/>
      </c>
    </row>
    <row r="555" spans="8:15">
      <c r="H555">
        <f t="shared" si="47"/>
        <v>0</v>
      </c>
      <c r="I555" t="e">
        <f t="shared" si="48"/>
        <v>#VALUE!</v>
      </c>
      <c r="J555" s="6">
        <f t="shared" si="46"/>
        <v>0</v>
      </c>
      <c r="K555" s="6">
        <f t="shared" si="46"/>
        <v>0</v>
      </c>
      <c r="L555" s="6">
        <f t="shared" si="46"/>
        <v>0</v>
      </c>
      <c r="M555" s="6">
        <f t="shared" si="46"/>
        <v>0</v>
      </c>
      <c r="N555" s="6" t="str">
        <f t="shared" si="49"/>
        <v/>
      </c>
      <c r="O555" s="6" t="str">
        <f t="shared" si="50"/>
        <v/>
      </c>
    </row>
    <row r="556" spans="8:15">
      <c r="H556">
        <f t="shared" si="47"/>
        <v>0</v>
      </c>
      <c r="I556" t="e">
        <f t="shared" si="48"/>
        <v>#VALUE!</v>
      </c>
      <c r="J556" s="6">
        <f t="shared" si="46"/>
        <v>0</v>
      </c>
      <c r="K556" s="6">
        <f t="shared" si="46"/>
        <v>0</v>
      </c>
      <c r="L556" s="6">
        <f t="shared" si="46"/>
        <v>0</v>
      </c>
      <c r="M556" s="6">
        <f t="shared" si="46"/>
        <v>0</v>
      </c>
      <c r="N556" s="6" t="str">
        <f t="shared" si="49"/>
        <v/>
      </c>
      <c r="O556" s="6" t="str">
        <f t="shared" si="50"/>
        <v/>
      </c>
    </row>
    <row r="557" spans="8:15">
      <c r="H557">
        <f t="shared" si="47"/>
        <v>0</v>
      </c>
      <c r="I557" t="e">
        <f t="shared" si="48"/>
        <v>#VALUE!</v>
      </c>
      <c r="J557" s="6">
        <f t="shared" si="46"/>
        <v>0</v>
      </c>
      <c r="K557" s="6">
        <f t="shared" si="46"/>
        <v>0</v>
      </c>
      <c r="L557" s="6">
        <f t="shared" si="46"/>
        <v>0</v>
      </c>
      <c r="M557" s="6">
        <f t="shared" si="46"/>
        <v>0</v>
      </c>
      <c r="N557" s="6" t="str">
        <f t="shared" si="49"/>
        <v/>
      </c>
      <c r="O557" s="6" t="str">
        <f t="shared" si="50"/>
        <v/>
      </c>
    </row>
    <row r="558" spans="8:15">
      <c r="H558">
        <f t="shared" si="47"/>
        <v>0</v>
      </c>
      <c r="I558" t="e">
        <f t="shared" si="48"/>
        <v>#VALUE!</v>
      </c>
      <c r="J558" s="6">
        <f t="shared" si="46"/>
        <v>0</v>
      </c>
      <c r="K558" s="6">
        <f t="shared" si="46"/>
        <v>0</v>
      </c>
      <c r="L558" s="6">
        <f t="shared" si="46"/>
        <v>0</v>
      </c>
      <c r="M558" s="6">
        <f t="shared" si="46"/>
        <v>0</v>
      </c>
      <c r="N558" s="6" t="str">
        <f t="shared" si="49"/>
        <v/>
      </c>
      <c r="O558" s="6" t="str">
        <f t="shared" si="50"/>
        <v/>
      </c>
    </row>
    <row r="559" spans="8:15">
      <c r="H559">
        <f t="shared" si="47"/>
        <v>0</v>
      </c>
      <c r="I559" t="e">
        <f t="shared" si="48"/>
        <v>#VALUE!</v>
      </c>
      <c r="J559" s="6">
        <f t="shared" si="46"/>
        <v>0</v>
      </c>
      <c r="K559" s="6">
        <f t="shared" si="46"/>
        <v>0</v>
      </c>
      <c r="L559" s="6">
        <f t="shared" si="46"/>
        <v>0</v>
      </c>
      <c r="M559" s="6">
        <f t="shared" si="46"/>
        <v>0</v>
      </c>
      <c r="N559" s="6" t="str">
        <f t="shared" si="49"/>
        <v/>
      </c>
      <c r="O559" s="6" t="str">
        <f t="shared" si="50"/>
        <v/>
      </c>
    </row>
    <row r="560" spans="8:15">
      <c r="H560">
        <f t="shared" si="47"/>
        <v>0</v>
      </c>
      <c r="I560" t="e">
        <f t="shared" si="48"/>
        <v>#VALUE!</v>
      </c>
      <c r="J560" s="6">
        <f t="shared" si="46"/>
        <v>0</v>
      </c>
      <c r="K560" s="6">
        <f t="shared" si="46"/>
        <v>0</v>
      </c>
      <c r="L560" s="6">
        <f t="shared" si="46"/>
        <v>0</v>
      </c>
      <c r="M560" s="6">
        <f t="shared" si="46"/>
        <v>0</v>
      </c>
      <c r="N560" s="6" t="str">
        <f t="shared" si="49"/>
        <v/>
      </c>
      <c r="O560" s="6" t="str">
        <f t="shared" si="50"/>
        <v/>
      </c>
    </row>
    <row r="561" spans="8:15">
      <c r="H561">
        <f t="shared" si="47"/>
        <v>0</v>
      </c>
      <c r="I561" t="e">
        <f t="shared" si="48"/>
        <v>#VALUE!</v>
      </c>
      <c r="J561" s="6">
        <f t="shared" si="46"/>
        <v>0</v>
      </c>
      <c r="K561" s="6">
        <f t="shared" si="46"/>
        <v>0</v>
      </c>
      <c r="L561" s="6">
        <f t="shared" si="46"/>
        <v>0</v>
      </c>
      <c r="M561" s="6">
        <f t="shared" si="46"/>
        <v>0</v>
      </c>
      <c r="N561" s="6" t="str">
        <f t="shared" si="49"/>
        <v/>
      </c>
      <c r="O561" s="6" t="str">
        <f t="shared" si="50"/>
        <v/>
      </c>
    </row>
    <row r="562" spans="8:15">
      <c r="H562">
        <f t="shared" si="47"/>
        <v>0</v>
      </c>
      <c r="I562" t="e">
        <f t="shared" si="48"/>
        <v>#VALUE!</v>
      </c>
      <c r="J562" s="6">
        <f t="shared" si="46"/>
        <v>0</v>
      </c>
      <c r="K562" s="6">
        <f t="shared" si="46"/>
        <v>0</v>
      </c>
      <c r="L562" s="6">
        <f t="shared" si="46"/>
        <v>0</v>
      </c>
      <c r="M562" s="6">
        <f t="shared" si="46"/>
        <v>0</v>
      </c>
      <c r="N562" s="6" t="str">
        <f t="shared" si="49"/>
        <v/>
      </c>
      <c r="O562" s="6" t="str">
        <f t="shared" si="50"/>
        <v/>
      </c>
    </row>
    <row r="563" spans="8:15">
      <c r="H563">
        <f t="shared" si="47"/>
        <v>0</v>
      </c>
      <c r="I563" t="e">
        <f t="shared" si="48"/>
        <v>#VALUE!</v>
      </c>
      <c r="J563" s="6">
        <f t="shared" si="46"/>
        <v>0</v>
      </c>
      <c r="K563" s="6">
        <f t="shared" si="46"/>
        <v>0</v>
      </c>
      <c r="L563" s="6">
        <f t="shared" si="46"/>
        <v>0</v>
      </c>
      <c r="M563" s="6">
        <f t="shared" si="46"/>
        <v>0</v>
      </c>
      <c r="N563" s="6" t="str">
        <f t="shared" si="49"/>
        <v/>
      </c>
      <c r="O563" s="6" t="str">
        <f t="shared" si="50"/>
        <v/>
      </c>
    </row>
    <row r="564" spans="8:15">
      <c r="H564">
        <f t="shared" si="47"/>
        <v>0</v>
      </c>
      <c r="I564" t="e">
        <f t="shared" si="48"/>
        <v>#VALUE!</v>
      </c>
      <c r="J564" s="6">
        <f t="shared" si="46"/>
        <v>0</v>
      </c>
      <c r="K564" s="6">
        <f t="shared" si="46"/>
        <v>0</v>
      </c>
      <c r="L564" s="6">
        <f t="shared" si="46"/>
        <v>0</v>
      </c>
      <c r="M564" s="6">
        <f t="shared" si="46"/>
        <v>0</v>
      </c>
      <c r="N564" s="6" t="str">
        <f t="shared" si="49"/>
        <v/>
      </c>
      <c r="O564" s="6" t="str">
        <f t="shared" si="50"/>
        <v/>
      </c>
    </row>
    <row r="565" spans="8:15">
      <c r="H565">
        <f t="shared" si="47"/>
        <v>0</v>
      </c>
      <c r="I565" t="e">
        <f t="shared" si="48"/>
        <v>#VALUE!</v>
      </c>
      <c r="J565" s="6">
        <f t="shared" si="46"/>
        <v>0</v>
      </c>
      <c r="K565" s="6">
        <f t="shared" si="46"/>
        <v>0</v>
      </c>
      <c r="L565" s="6">
        <f t="shared" si="46"/>
        <v>0</v>
      </c>
      <c r="M565" s="6">
        <f t="shared" si="46"/>
        <v>0</v>
      </c>
      <c r="N565" s="6" t="str">
        <f t="shared" si="49"/>
        <v/>
      </c>
      <c r="O565" s="6" t="str">
        <f t="shared" si="50"/>
        <v/>
      </c>
    </row>
    <row r="566" spans="8:15">
      <c r="H566">
        <f t="shared" si="47"/>
        <v>0</v>
      </c>
      <c r="I566" t="e">
        <f t="shared" si="48"/>
        <v>#VALUE!</v>
      </c>
      <c r="J566" s="6">
        <f t="shared" si="46"/>
        <v>0</v>
      </c>
      <c r="K566" s="6">
        <f t="shared" si="46"/>
        <v>0</v>
      </c>
      <c r="L566" s="6">
        <f t="shared" si="46"/>
        <v>0</v>
      </c>
      <c r="M566" s="6">
        <f t="shared" si="46"/>
        <v>0</v>
      </c>
      <c r="N566" s="6" t="str">
        <f t="shared" si="49"/>
        <v/>
      </c>
      <c r="O566" s="6" t="str">
        <f t="shared" si="50"/>
        <v/>
      </c>
    </row>
    <row r="567" spans="8:15">
      <c r="H567">
        <f t="shared" si="47"/>
        <v>0</v>
      </c>
      <c r="I567" t="e">
        <f t="shared" si="48"/>
        <v>#VALUE!</v>
      </c>
      <c r="J567" s="6">
        <f t="shared" si="46"/>
        <v>0</v>
      </c>
      <c r="K567" s="6">
        <f t="shared" si="46"/>
        <v>0</v>
      </c>
      <c r="L567" s="6">
        <f t="shared" si="46"/>
        <v>0</v>
      </c>
      <c r="M567" s="6">
        <f t="shared" si="46"/>
        <v>0</v>
      </c>
      <c r="N567" s="6" t="str">
        <f t="shared" si="49"/>
        <v/>
      </c>
      <c r="O567" s="6" t="str">
        <f t="shared" si="50"/>
        <v/>
      </c>
    </row>
    <row r="568" spans="8:15">
      <c r="H568">
        <f t="shared" si="47"/>
        <v>0</v>
      </c>
      <c r="I568" t="e">
        <f t="shared" si="48"/>
        <v>#VALUE!</v>
      </c>
      <c r="J568" s="6">
        <f t="shared" si="46"/>
        <v>0</v>
      </c>
      <c r="K568" s="6">
        <f t="shared" si="46"/>
        <v>0</v>
      </c>
      <c r="L568" s="6">
        <f t="shared" si="46"/>
        <v>0</v>
      </c>
      <c r="M568" s="6">
        <f t="shared" si="46"/>
        <v>0</v>
      </c>
      <c r="N568" s="6" t="str">
        <f t="shared" si="49"/>
        <v/>
      </c>
      <c r="O568" s="6" t="str">
        <f t="shared" si="50"/>
        <v/>
      </c>
    </row>
    <row r="569" spans="8:15">
      <c r="H569">
        <f t="shared" si="47"/>
        <v>0</v>
      </c>
      <c r="I569" t="e">
        <f t="shared" si="48"/>
        <v>#VALUE!</v>
      </c>
      <c r="J569" s="6">
        <f t="shared" si="46"/>
        <v>0</v>
      </c>
      <c r="K569" s="6">
        <f t="shared" si="46"/>
        <v>0</v>
      </c>
      <c r="L569" s="6">
        <f t="shared" si="46"/>
        <v>0</v>
      </c>
      <c r="M569" s="6">
        <f t="shared" si="46"/>
        <v>0</v>
      </c>
      <c r="N569" s="6" t="str">
        <f t="shared" si="49"/>
        <v/>
      </c>
      <c r="O569" s="6" t="str">
        <f t="shared" si="50"/>
        <v/>
      </c>
    </row>
    <row r="570" spans="8:15">
      <c r="H570">
        <f t="shared" si="47"/>
        <v>0</v>
      </c>
      <c r="I570" t="e">
        <f t="shared" si="48"/>
        <v>#VALUE!</v>
      </c>
      <c r="J570" s="6">
        <f t="shared" si="46"/>
        <v>0</v>
      </c>
      <c r="K570" s="6">
        <f t="shared" si="46"/>
        <v>0</v>
      </c>
      <c r="L570" s="6">
        <f t="shared" si="46"/>
        <v>0</v>
      </c>
      <c r="M570" s="6">
        <f t="shared" si="46"/>
        <v>0</v>
      </c>
      <c r="N570" s="6" t="str">
        <f t="shared" si="49"/>
        <v/>
      </c>
      <c r="O570" s="6" t="str">
        <f t="shared" si="50"/>
        <v/>
      </c>
    </row>
    <row r="571" spans="8:15">
      <c r="H571">
        <f t="shared" si="47"/>
        <v>0</v>
      </c>
      <c r="I571" t="e">
        <f t="shared" si="48"/>
        <v>#VALUE!</v>
      </c>
      <c r="J571" s="6">
        <f t="shared" si="46"/>
        <v>0</v>
      </c>
      <c r="K571" s="6">
        <f t="shared" si="46"/>
        <v>0</v>
      </c>
      <c r="L571" s="6">
        <f t="shared" si="46"/>
        <v>0</v>
      </c>
      <c r="M571" s="6">
        <f t="shared" si="46"/>
        <v>0</v>
      </c>
      <c r="N571" s="6" t="str">
        <f t="shared" si="49"/>
        <v/>
      </c>
      <c r="O571" s="6" t="str">
        <f t="shared" si="50"/>
        <v/>
      </c>
    </row>
    <row r="572" spans="8:15">
      <c r="H572">
        <f t="shared" si="47"/>
        <v>0</v>
      </c>
      <c r="I572" t="e">
        <f t="shared" si="48"/>
        <v>#VALUE!</v>
      </c>
      <c r="J572" s="6">
        <f t="shared" si="46"/>
        <v>0</v>
      </c>
      <c r="K572" s="6">
        <f t="shared" si="46"/>
        <v>0</v>
      </c>
      <c r="L572" s="6">
        <f t="shared" si="46"/>
        <v>0</v>
      </c>
      <c r="M572" s="6">
        <f t="shared" si="46"/>
        <v>0</v>
      </c>
      <c r="N572" s="6" t="str">
        <f t="shared" si="49"/>
        <v/>
      </c>
      <c r="O572" s="6" t="str">
        <f t="shared" si="50"/>
        <v/>
      </c>
    </row>
    <row r="573" spans="8:15">
      <c r="H573">
        <f t="shared" si="47"/>
        <v>0</v>
      </c>
      <c r="I573" t="e">
        <f t="shared" si="48"/>
        <v>#VALUE!</v>
      </c>
      <c r="J573" s="6">
        <f t="shared" si="46"/>
        <v>0</v>
      </c>
      <c r="K573" s="6">
        <f t="shared" si="46"/>
        <v>0</v>
      </c>
      <c r="L573" s="6">
        <f t="shared" si="46"/>
        <v>0</v>
      </c>
      <c r="M573" s="6">
        <f t="shared" si="46"/>
        <v>0</v>
      </c>
      <c r="N573" s="6" t="str">
        <f t="shared" si="49"/>
        <v/>
      </c>
      <c r="O573" s="6" t="str">
        <f t="shared" si="50"/>
        <v/>
      </c>
    </row>
    <row r="574" spans="8:15">
      <c r="H574">
        <f t="shared" si="47"/>
        <v>0</v>
      </c>
      <c r="I574" t="e">
        <f t="shared" si="48"/>
        <v>#VALUE!</v>
      </c>
      <c r="J574" s="6">
        <f t="shared" si="46"/>
        <v>0</v>
      </c>
      <c r="K574" s="6">
        <f t="shared" si="46"/>
        <v>0</v>
      </c>
      <c r="L574" s="6">
        <f t="shared" si="46"/>
        <v>0</v>
      </c>
      <c r="M574" s="6">
        <f t="shared" si="46"/>
        <v>0</v>
      </c>
      <c r="N574" s="6" t="str">
        <f t="shared" si="49"/>
        <v/>
      </c>
      <c r="O574" s="6" t="str">
        <f t="shared" si="50"/>
        <v/>
      </c>
    </row>
    <row r="575" spans="8:15">
      <c r="H575">
        <f t="shared" si="47"/>
        <v>0</v>
      </c>
      <c r="I575" t="e">
        <f t="shared" si="48"/>
        <v>#VALUE!</v>
      </c>
      <c r="J575" s="6">
        <f t="shared" si="46"/>
        <v>0</v>
      </c>
      <c r="K575" s="6">
        <f t="shared" si="46"/>
        <v>0</v>
      </c>
      <c r="L575" s="6">
        <f t="shared" si="46"/>
        <v>0</v>
      </c>
      <c r="M575" s="6">
        <f t="shared" si="46"/>
        <v>0</v>
      </c>
      <c r="N575" s="6" t="str">
        <f t="shared" si="49"/>
        <v/>
      </c>
      <c r="O575" s="6" t="str">
        <f t="shared" si="50"/>
        <v/>
      </c>
    </row>
    <row r="576" spans="8:15">
      <c r="H576">
        <f t="shared" si="47"/>
        <v>0</v>
      </c>
      <c r="I576" t="e">
        <f t="shared" si="48"/>
        <v>#VALUE!</v>
      </c>
      <c r="J576" s="6">
        <f t="shared" si="46"/>
        <v>0</v>
      </c>
      <c r="K576" s="6">
        <f t="shared" si="46"/>
        <v>0</v>
      </c>
      <c r="L576" s="6">
        <f t="shared" si="46"/>
        <v>0</v>
      </c>
      <c r="M576" s="6">
        <f t="shared" si="46"/>
        <v>0</v>
      </c>
      <c r="N576" s="6" t="str">
        <f t="shared" si="49"/>
        <v/>
      </c>
      <c r="O576" s="6" t="str">
        <f t="shared" si="50"/>
        <v/>
      </c>
    </row>
    <row r="577" spans="8:15">
      <c r="H577">
        <f t="shared" si="47"/>
        <v>0</v>
      </c>
      <c r="I577" t="e">
        <f t="shared" si="48"/>
        <v>#VALUE!</v>
      </c>
      <c r="J577" s="6">
        <f t="shared" si="46"/>
        <v>0</v>
      </c>
      <c r="K577" s="6">
        <f t="shared" si="46"/>
        <v>0</v>
      </c>
      <c r="L577" s="6">
        <f t="shared" si="46"/>
        <v>0</v>
      </c>
      <c r="M577" s="6">
        <f t="shared" si="46"/>
        <v>0</v>
      </c>
      <c r="N577" s="6" t="str">
        <f t="shared" si="49"/>
        <v/>
      </c>
      <c r="O577" s="6" t="str">
        <f t="shared" si="50"/>
        <v/>
      </c>
    </row>
    <row r="578" spans="8:15">
      <c r="H578">
        <f t="shared" si="47"/>
        <v>0</v>
      </c>
      <c r="I578" t="e">
        <f t="shared" si="48"/>
        <v>#VALUE!</v>
      </c>
      <c r="J578" s="6">
        <f t="shared" ref="J578:M641" si="51">C578</f>
        <v>0</v>
      </c>
      <c r="K578" s="6">
        <f t="shared" si="51"/>
        <v>0</v>
      </c>
      <c r="L578" s="6">
        <f t="shared" si="51"/>
        <v>0</v>
      </c>
      <c r="M578" s="6">
        <f t="shared" si="51"/>
        <v>0</v>
      </c>
      <c r="N578" s="6" t="str">
        <f t="shared" si="49"/>
        <v/>
      </c>
      <c r="O578" s="6" t="str">
        <f t="shared" si="50"/>
        <v/>
      </c>
    </row>
    <row r="579" spans="8:15">
      <c r="H579">
        <f t="shared" si="47"/>
        <v>0</v>
      </c>
      <c r="I579" t="e">
        <f t="shared" si="48"/>
        <v>#VALUE!</v>
      </c>
      <c r="J579" s="6">
        <f t="shared" si="51"/>
        <v>0</v>
      </c>
      <c r="K579" s="6">
        <f t="shared" si="51"/>
        <v>0</v>
      </c>
      <c r="L579" s="6">
        <f t="shared" si="51"/>
        <v>0</v>
      </c>
      <c r="M579" s="6">
        <f t="shared" si="51"/>
        <v>0</v>
      </c>
      <c r="N579" s="6" t="str">
        <f t="shared" si="49"/>
        <v/>
      </c>
      <c r="O579" s="6" t="str">
        <f t="shared" si="50"/>
        <v/>
      </c>
    </row>
    <row r="580" spans="8:15">
      <c r="H580">
        <f t="shared" si="47"/>
        <v>0</v>
      </c>
      <c r="I580" t="e">
        <f t="shared" si="48"/>
        <v>#VALUE!</v>
      </c>
      <c r="J580" s="6">
        <f t="shared" si="51"/>
        <v>0</v>
      </c>
      <c r="K580" s="6">
        <f t="shared" si="51"/>
        <v>0</v>
      </c>
      <c r="L580" s="6">
        <f t="shared" si="51"/>
        <v>0</v>
      </c>
      <c r="M580" s="6">
        <f t="shared" si="51"/>
        <v>0</v>
      </c>
      <c r="N580" s="6" t="str">
        <f t="shared" si="49"/>
        <v/>
      </c>
      <c r="O580" s="6" t="str">
        <f t="shared" si="50"/>
        <v/>
      </c>
    </row>
    <row r="581" spans="8:15">
      <c r="H581">
        <f t="shared" si="47"/>
        <v>0</v>
      </c>
      <c r="I581" t="e">
        <f t="shared" si="48"/>
        <v>#VALUE!</v>
      </c>
      <c r="J581" s="6">
        <f t="shared" si="51"/>
        <v>0</v>
      </c>
      <c r="K581" s="6">
        <f t="shared" si="51"/>
        <v>0</v>
      </c>
      <c r="L581" s="6">
        <f t="shared" si="51"/>
        <v>0</v>
      </c>
      <c r="M581" s="6">
        <f t="shared" si="51"/>
        <v>0</v>
      </c>
      <c r="N581" s="6" t="str">
        <f t="shared" si="49"/>
        <v/>
      </c>
      <c r="O581" s="6" t="str">
        <f t="shared" si="50"/>
        <v/>
      </c>
    </row>
    <row r="582" spans="8:15">
      <c r="H582">
        <f t="shared" si="47"/>
        <v>0</v>
      </c>
      <c r="I582" t="e">
        <f t="shared" si="48"/>
        <v>#VALUE!</v>
      </c>
      <c r="J582" s="6">
        <f t="shared" si="51"/>
        <v>0</v>
      </c>
      <c r="K582" s="6">
        <f t="shared" si="51"/>
        <v>0</v>
      </c>
      <c r="L582" s="6">
        <f t="shared" si="51"/>
        <v>0</v>
      </c>
      <c r="M582" s="6">
        <f t="shared" si="51"/>
        <v>0</v>
      </c>
      <c r="N582" s="6" t="str">
        <f t="shared" si="49"/>
        <v/>
      </c>
      <c r="O582" s="6" t="str">
        <f t="shared" si="50"/>
        <v/>
      </c>
    </row>
    <row r="583" spans="8:15">
      <c r="H583">
        <f t="shared" ref="H583:H646" si="52">A583</f>
        <v>0</v>
      </c>
      <c r="I583" t="e">
        <f t="shared" ref="I583:I646" si="53">LEFT(B583,SEARCH(" ",B583,1)-1)</f>
        <v>#VALUE!</v>
      </c>
      <c r="J583" s="6">
        <f t="shared" si="51"/>
        <v>0</v>
      </c>
      <c r="K583" s="6">
        <f t="shared" si="51"/>
        <v>0</v>
      </c>
      <c r="L583" s="6">
        <f t="shared" si="51"/>
        <v>0</v>
      </c>
      <c r="M583" s="6">
        <f t="shared" si="51"/>
        <v>0</v>
      </c>
      <c r="N583" s="6" t="str">
        <f t="shared" ref="N583:N646" si="54">TRIM($B$1)</f>
        <v/>
      </c>
      <c r="O583" s="6" t="str">
        <f t="shared" ref="O583:O646" si="55">TRIM($C$1)</f>
        <v/>
      </c>
    </row>
    <row r="584" spans="8:15">
      <c r="H584">
        <f t="shared" si="52"/>
        <v>0</v>
      </c>
      <c r="I584" t="e">
        <f t="shared" si="53"/>
        <v>#VALUE!</v>
      </c>
      <c r="J584" s="6">
        <f t="shared" si="51"/>
        <v>0</v>
      </c>
      <c r="K584" s="6">
        <f t="shared" si="51"/>
        <v>0</v>
      </c>
      <c r="L584" s="6">
        <f t="shared" si="51"/>
        <v>0</v>
      </c>
      <c r="M584" s="6">
        <f t="shared" si="51"/>
        <v>0</v>
      </c>
      <c r="N584" s="6" t="str">
        <f t="shared" si="54"/>
        <v/>
      </c>
      <c r="O584" s="6" t="str">
        <f t="shared" si="55"/>
        <v/>
      </c>
    </row>
    <row r="585" spans="8:15">
      <c r="H585">
        <f t="shared" si="52"/>
        <v>0</v>
      </c>
      <c r="I585" t="e">
        <f t="shared" si="53"/>
        <v>#VALUE!</v>
      </c>
      <c r="J585" s="6">
        <f t="shared" si="51"/>
        <v>0</v>
      </c>
      <c r="K585" s="6">
        <f t="shared" si="51"/>
        <v>0</v>
      </c>
      <c r="L585" s="6">
        <f t="shared" si="51"/>
        <v>0</v>
      </c>
      <c r="M585" s="6">
        <f t="shared" si="51"/>
        <v>0</v>
      </c>
      <c r="N585" s="6" t="str">
        <f t="shared" si="54"/>
        <v/>
      </c>
      <c r="O585" s="6" t="str">
        <f t="shared" si="55"/>
        <v/>
      </c>
    </row>
    <row r="586" spans="8:15">
      <c r="H586">
        <f t="shared" si="52"/>
        <v>0</v>
      </c>
      <c r="I586" t="e">
        <f t="shared" si="53"/>
        <v>#VALUE!</v>
      </c>
      <c r="J586" s="6">
        <f t="shared" si="51"/>
        <v>0</v>
      </c>
      <c r="K586" s="6">
        <f t="shared" si="51"/>
        <v>0</v>
      </c>
      <c r="L586" s="6">
        <f t="shared" si="51"/>
        <v>0</v>
      </c>
      <c r="M586" s="6">
        <f t="shared" si="51"/>
        <v>0</v>
      </c>
      <c r="N586" s="6" t="str">
        <f t="shared" si="54"/>
        <v/>
      </c>
      <c r="O586" s="6" t="str">
        <f t="shared" si="55"/>
        <v/>
      </c>
    </row>
    <row r="587" spans="8:15">
      <c r="H587">
        <f t="shared" si="52"/>
        <v>0</v>
      </c>
      <c r="I587" t="e">
        <f t="shared" si="53"/>
        <v>#VALUE!</v>
      </c>
      <c r="J587" s="6">
        <f t="shared" si="51"/>
        <v>0</v>
      </c>
      <c r="K587" s="6">
        <f t="shared" si="51"/>
        <v>0</v>
      </c>
      <c r="L587" s="6">
        <f t="shared" si="51"/>
        <v>0</v>
      </c>
      <c r="M587" s="6">
        <f t="shared" si="51"/>
        <v>0</v>
      </c>
      <c r="N587" s="6" t="str">
        <f t="shared" si="54"/>
        <v/>
      </c>
      <c r="O587" s="6" t="str">
        <f t="shared" si="55"/>
        <v/>
      </c>
    </row>
    <row r="588" spans="8:15">
      <c r="H588">
        <f t="shared" si="52"/>
        <v>0</v>
      </c>
      <c r="I588" t="e">
        <f t="shared" si="53"/>
        <v>#VALUE!</v>
      </c>
      <c r="J588" s="6">
        <f t="shared" si="51"/>
        <v>0</v>
      </c>
      <c r="K588" s="6">
        <f t="shared" si="51"/>
        <v>0</v>
      </c>
      <c r="L588" s="6">
        <f t="shared" si="51"/>
        <v>0</v>
      </c>
      <c r="M588" s="6">
        <f t="shared" si="51"/>
        <v>0</v>
      </c>
      <c r="N588" s="6" t="str">
        <f t="shared" si="54"/>
        <v/>
      </c>
      <c r="O588" s="6" t="str">
        <f t="shared" si="55"/>
        <v/>
      </c>
    </row>
    <row r="589" spans="8:15">
      <c r="H589">
        <f t="shared" si="52"/>
        <v>0</v>
      </c>
      <c r="I589" t="e">
        <f t="shared" si="53"/>
        <v>#VALUE!</v>
      </c>
      <c r="J589" s="6">
        <f t="shared" si="51"/>
        <v>0</v>
      </c>
      <c r="K589" s="6">
        <f t="shared" si="51"/>
        <v>0</v>
      </c>
      <c r="L589" s="6">
        <f t="shared" si="51"/>
        <v>0</v>
      </c>
      <c r="M589" s="6">
        <f t="shared" si="51"/>
        <v>0</v>
      </c>
      <c r="N589" s="6" t="str">
        <f t="shared" si="54"/>
        <v/>
      </c>
      <c r="O589" s="6" t="str">
        <f t="shared" si="55"/>
        <v/>
      </c>
    </row>
    <row r="590" spans="8:15">
      <c r="H590">
        <f t="shared" si="52"/>
        <v>0</v>
      </c>
      <c r="I590" t="e">
        <f t="shared" si="53"/>
        <v>#VALUE!</v>
      </c>
      <c r="J590" s="6">
        <f t="shared" si="51"/>
        <v>0</v>
      </c>
      <c r="K590" s="6">
        <f t="shared" si="51"/>
        <v>0</v>
      </c>
      <c r="L590" s="6">
        <f t="shared" si="51"/>
        <v>0</v>
      </c>
      <c r="M590" s="6">
        <f t="shared" si="51"/>
        <v>0</v>
      </c>
      <c r="N590" s="6" t="str">
        <f t="shared" si="54"/>
        <v/>
      </c>
      <c r="O590" s="6" t="str">
        <f t="shared" si="55"/>
        <v/>
      </c>
    </row>
    <row r="591" spans="8:15">
      <c r="H591">
        <f t="shared" si="52"/>
        <v>0</v>
      </c>
      <c r="I591" t="e">
        <f t="shared" si="53"/>
        <v>#VALUE!</v>
      </c>
      <c r="J591" s="6">
        <f t="shared" si="51"/>
        <v>0</v>
      </c>
      <c r="K591" s="6">
        <f t="shared" si="51"/>
        <v>0</v>
      </c>
      <c r="L591" s="6">
        <f t="shared" si="51"/>
        <v>0</v>
      </c>
      <c r="M591" s="6">
        <f t="shared" si="51"/>
        <v>0</v>
      </c>
      <c r="N591" s="6" t="str">
        <f t="shared" si="54"/>
        <v/>
      </c>
      <c r="O591" s="6" t="str">
        <f t="shared" si="55"/>
        <v/>
      </c>
    </row>
    <row r="592" spans="8:15">
      <c r="H592">
        <f t="shared" si="52"/>
        <v>0</v>
      </c>
      <c r="I592" t="e">
        <f t="shared" si="53"/>
        <v>#VALUE!</v>
      </c>
      <c r="J592" s="6">
        <f t="shared" si="51"/>
        <v>0</v>
      </c>
      <c r="K592" s="6">
        <f t="shared" si="51"/>
        <v>0</v>
      </c>
      <c r="L592" s="6">
        <f t="shared" si="51"/>
        <v>0</v>
      </c>
      <c r="M592" s="6">
        <f t="shared" si="51"/>
        <v>0</v>
      </c>
      <c r="N592" s="6" t="str">
        <f t="shared" si="54"/>
        <v/>
      </c>
      <c r="O592" s="6" t="str">
        <f t="shared" si="55"/>
        <v/>
      </c>
    </row>
    <row r="593" spans="8:15">
      <c r="H593">
        <f t="shared" si="52"/>
        <v>0</v>
      </c>
      <c r="I593" t="e">
        <f t="shared" si="53"/>
        <v>#VALUE!</v>
      </c>
      <c r="J593" s="6">
        <f t="shared" si="51"/>
        <v>0</v>
      </c>
      <c r="K593" s="6">
        <f t="shared" si="51"/>
        <v>0</v>
      </c>
      <c r="L593" s="6">
        <f t="shared" si="51"/>
        <v>0</v>
      </c>
      <c r="M593" s="6">
        <f t="shared" si="51"/>
        <v>0</v>
      </c>
      <c r="N593" s="6" t="str">
        <f t="shared" si="54"/>
        <v/>
      </c>
      <c r="O593" s="6" t="str">
        <f t="shared" si="55"/>
        <v/>
      </c>
    </row>
    <row r="594" spans="8:15">
      <c r="H594">
        <f t="shared" si="52"/>
        <v>0</v>
      </c>
      <c r="I594" t="e">
        <f t="shared" si="53"/>
        <v>#VALUE!</v>
      </c>
      <c r="J594" s="6">
        <f t="shared" si="51"/>
        <v>0</v>
      </c>
      <c r="K594" s="6">
        <f t="shared" si="51"/>
        <v>0</v>
      </c>
      <c r="L594" s="6">
        <f t="shared" si="51"/>
        <v>0</v>
      </c>
      <c r="M594" s="6">
        <f t="shared" si="51"/>
        <v>0</v>
      </c>
      <c r="N594" s="6" t="str">
        <f t="shared" si="54"/>
        <v/>
      </c>
      <c r="O594" s="6" t="str">
        <f t="shared" si="55"/>
        <v/>
      </c>
    </row>
    <row r="595" spans="8:15">
      <c r="H595">
        <f t="shared" si="52"/>
        <v>0</v>
      </c>
      <c r="I595" t="e">
        <f t="shared" si="53"/>
        <v>#VALUE!</v>
      </c>
      <c r="J595" s="6">
        <f t="shared" si="51"/>
        <v>0</v>
      </c>
      <c r="K595" s="6">
        <f t="shared" si="51"/>
        <v>0</v>
      </c>
      <c r="L595" s="6">
        <f t="shared" si="51"/>
        <v>0</v>
      </c>
      <c r="M595" s="6">
        <f t="shared" si="51"/>
        <v>0</v>
      </c>
      <c r="N595" s="6" t="str">
        <f t="shared" si="54"/>
        <v/>
      </c>
      <c r="O595" s="6" t="str">
        <f t="shared" si="55"/>
        <v/>
      </c>
    </row>
    <row r="596" spans="8:15">
      <c r="H596">
        <f t="shared" si="52"/>
        <v>0</v>
      </c>
      <c r="I596" t="e">
        <f t="shared" si="53"/>
        <v>#VALUE!</v>
      </c>
      <c r="J596" s="6">
        <f t="shared" si="51"/>
        <v>0</v>
      </c>
      <c r="K596" s="6">
        <f t="shared" si="51"/>
        <v>0</v>
      </c>
      <c r="L596" s="6">
        <f t="shared" si="51"/>
        <v>0</v>
      </c>
      <c r="M596" s="6">
        <f t="shared" si="51"/>
        <v>0</v>
      </c>
      <c r="N596" s="6" t="str">
        <f t="shared" si="54"/>
        <v/>
      </c>
      <c r="O596" s="6" t="str">
        <f t="shared" si="55"/>
        <v/>
      </c>
    </row>
    <row r="597" spans="8:15">
      <c r="H597">
        <f t="shared" si="52"/>
        <v>0</v>
      </c>
      <c r="I597" t="e">
        <f t="shared" si="53"/>
        <v>#VALUE!</v>
      </c>
      <c r="J597" s="6">
        <f t="shared" si="51"/>
        <v>0</v>
      </c>
      <c r="K597" s="6">
        <f t="shared" si="51"/>
        <v>0</v>
      </c>
      <c r="L597" s="6">
        <f t="shared" si="51"/>
        <v>0</v>
      </c>
      <c r="M597" s="6">
        <f t="shared" si="51"/>
        <v>0</v>
      </c>
      <c r="N597" s="6" t="str">
        <f t="shared" si="54"/>
        <v/>
      </c>
      <c r="O597" s="6" t="str">
        <f t="shared" si="55"/>
        <v/>
      </c>
    </row>
    <row r="598" spans="8:15">
      <c r="H598">
        <f t="shared" si="52"/>
        <v>0</v>
      </c>
      <c r="I598" t="e">
        <f t="shared" si="53"/>
        <v>#VALUE!</v>
      </c>
      <c r="J598" s="6">
        <f t="shared" si="51"/>
        <v>0</v>
      </c>
      <c r="K598" s="6">
        <f t="shared" si="51"/>
        <v>0</v>
      </c>
      <c r="L598" s="6">
        <f t="shared" si="51"/>
        <v>0</v>
      </c>
      <c r="M598" s="6">
        <f t="shared" si="51"/>
        <v>0</v>
      </c>
      <c r="N598" s="6" t="str">
        <f t="shared" si="54"/>
        <v/>
      </c>
      <c r="O598" s="6" t="str">
        <f t="shared" si="55"/>
        <v/>
      </c>
    </row>
    <row r="599" spans="8:15">
      <c r="H599">
        <f t="shared" si="52"/>
        <v>0</v>
      </c>
      <c r="I599" t="e">
        <f t="shared" si="53"/>
        <v>#VALUE!</v>
      </c>
      <c r="J599" s="6">
        <f t="shared" si="51"/>
        <v>0</v>
      </c>
      <c r="K599" s="6">
        <f t="shared" si="51"/>
        <v>0</v>
      </c>
      <c r="L599" s="6">
        <f t="shared" si="51"/>
        <v>0</v>
      </c>
      <c r="M599" s="6">
        <f t="shared" si="51"/>
        <v>0</v>
      </c>
      <c r="N599" s="6" t="str">
        <f t="shared" si="54"/>
        <v/>
      </c>
      <c r="O599" s="6" t="str">
        <f t="shared" si="55"/>
        <v/>
      </c>
    </row>
    <row r="600" spans="8:15">
      <c r="H600">
        <f t="shared" si="52"/>
        <v>0</v>
      </c>
      <c r="I600" t="e">
        <f t="shared" si="53"/>
        <v>#VALUE!</v>
      </c>
      <c r="J600" s="6">
        <f t="shared" si="51"/>
        <v>0</v>
      </c>
      <c r="K600" s="6">
        <f t="shared" si="51"/>
        <v>0</v>
      </c>
      <c r="L600" s="6">
        <f t="shared" si="51"/>
        <v>0</v>
      </c>
      <c r="M600" s="6">
        <f t="shared" si="51"/>
        <v>0</v>
      </c>
      <c r="N600" s="6" t="str">
        <f t="shared" si="54"/>
        <v/>
      </c>
      <c r="O600" s="6" t="str">
        <f t="shared" si="55"/>
        <v/>
      </c>
    </row>
    <row r="601" spans="8:15">
      <c r="H601">
        <f t="shared" si="52"/>
        <v>0</v>
      </c>
      <c r="I601" t="e">
        <f t="shared" si="53"/>
        <v>#VALUE!</v>
      </c>
      <c r="J601" s="6">
        <f t="shared" si="51"/>
        <v>0</v>
      </c>
      <c r="K601" s="6">
        <f t="shared" si="51"/>
        <v>0</v>
      </c>
      <c r="L601" s="6">
        <f t="shared" si="51"/>
        <v>0</v>
      </c>
      <c r="M601" s="6">
        <f t="shared" si="51"/>
        <v>0</v>
      </c>
      <c r="N601" s="6" t="str">
        <f t="shared" si="54"/>
        <v/>
      </c>
      <c r="O601" s="6" t="str">
        <f t="shared" si="55"/>
        <v/>
      </c>
    </row>
    <row r="602" spans="8:15">
      <c r="H602">
        <f t="shared" si="52"/>
        <v>0</v>
      </c>
      <c r="I602" t="e">
        <f t="shared" si="53"/>
        <v>#VALUE!</v>
      </c>
      <c r="J602" s="6">
        <f t="shared" si="51"/>
        <v>0</v>
      </c>
      <c r="K602" s="6">
        <f t="shared" si="51"/>
        <v>0</v>
      </c>
      <c r="L602" s="6">
        <f t="shared" si="51"/>
        <v>0</v>
      </c>
      <c r="M602" s="6">
        <f t="shared" si="51"/>
        <v>0</v>
      </c>
      <c r="N602" s="6" t="str">
        <f t="shared" si="54"/>
        <v/>
      </c>
      <c r="O602" s="6" t="str">
        <f t="shared" si="55"/>
        <v/>
      </c>
    </row>
    <row r="603" spans="8:15">
      <c r="H603">
        <f t="shared" si="52"/>
        <v>0</v>
      </c>
      <c r="I603" t="e">
        <f t="shared" si="53"/>
        <v>#VALUE!</v>
      </c>
      <c r="J603" s="6">
        <f t="shared" si="51"/>
        <v>0</v>
      </c>
      <c r="K603" s="6">
        <f t="shared" si="51"/>
        <v>0</v>
      </c>
      <c r="L603" s="6">
        <f t="shared" si="51"/>
        <v>0</v>
      </c>
      <c r="M603" s="6">
        <f t="shared" si="51"/>
        <v>0</v>
      </c>
      <c r="N603" s="6" t="str">
        <f t="shared" si="54"/>
        <v/>
      </c>
      <c r="O603" s="6" t="str">
        <f t="shared" si="55"/>
        <v/>
      </c>
    </row>
    <row r="604" spans="8:15">
      <c r="H604">
        <f t="shared" si="52"/>
        <v>0</v>
      </c>
      <c r="I604" t="e">
        <f t="shared" si="53"/>
        <v>#VALUE!</v>
      </c>
      <c r="J604" s="6">
        <f t="shared" si="51"/>
        <v>0</v>
      </c>
      <c r="K604" s="6">
        <f t="shared" si="51"/>
        <v>0</v>
      </c>
      <c r="L604" s="6">
        <f t="shared" si="51"/>
        <v>0</v>
      </c>
      <c r="M604" s="6">
        <f t="shared" si="51"/>
        <v>0</v>
      </c>
      <c r="N604" s="6" t="str">
        <f t="shared" si="54"/>
        <v/>
      </c>
      <c r="O604" s="6" t="str">
        <f t="shared" si="55"/>
        <v/>
      </c>
    </row>
    <row r="605" spans="8:15">
      <c r="H605">
        <f t="shared" si="52"/>
        <v>0</v>
      </c>
      <c r="I605" t="e">
        <f t="shared" si="53"/>
        <v>#VALUE!</v>
      </c>
      <c r="J605" s="6">
        <f t="shared" si="51"/>
        <v>0</v>
      </c>
      <c r="K605" s="6">
        <f t="shared" si="51"/>
        <v>0</v>
      </c>
      <c r="L605" s="6">
        <f t="shared" si="51"/>
        <v>0</v>
      </c>
      <c r="M605" s="6">
        <f t="shared" si="51"/>
        <v>0</v>
      </c>
      <c r="N605" s="6" t="str">
        <f t="shared" si="54"/>
        <v/>
      </c>
      <c r="O605" s="6" t="str">
        <f t="shared" si="55"/>
        <v/>
      </c>
    </row>
    <row r="606" spans="8:15">
      <c r="H606">
        <f t="shared" si="52"/>
        <v>0</v>
      </c>
      <c r="I606" t="e">
        <f t="shared" si="53"/>
        <v>#VALUE!</v>
      </c>
      <c r="J606" s="6">
        <f t="shared" si="51"/>
        <v>0</v>
      </c>
      <c r="K606" s="6">
        <f t="shared" si="51"/>
        <v>0</v>
      </c>
      <c r="L606" s="6">
        <f t="shared" si="51"/>
        <v>0</v>
      </c>
      <c r="M606" s="6">
        <f t="shared" si="51"/>
        <v>0</v>
      </c>
      <c r="N606" s="6" t="str">
        <f t="shared" si="54"/>
        <v/>
      </c>
      <c r="O606" s="6" t="str">
        <f t="shared" si="55"/>
        <v/>
      </c>
    </row>
    <row r="607" spans="8:15">
      <c r="H607">
        <f t="shared" si="52"/>
        <v>0</v>
      </c>
      <c r="I607" t="e">
        <f t="shared" si="53"/>
        <v>#VALUE!</v>
      </c>
      <c r="J607" s="6">
        <f t="shared" si="51"/>
        <v>0</v>
      </c>
      <c r="K607" s="6">
        <f t="shared" si="51"/>
        <v>0</v>
      </c>
      <c r="L607" s="6">
        <f t="shared" si="51"/>
        <v>0</v>
      </c>
      <c r="M607" s="6">
        <f t="shared" si="51"/>
        <v>0</v>
      </c>
      <c r="N607" s="6" t="str">
        <f t="shared" si="54"/>
        <v/>
      </c>
      <c r="O607" s="6" t="str">
        <f t="shared" si="55"/>
        <v/>
      </c>
    </row>
    <row r="608" spans="8:15">
      <c r="H608">
        <f t="shared" si="52"/>
        <v>0</v>
      </c>
      <c r="I608" t="e">
        <f t="shared" si="53"/>
        <v>#VALUE!</v>
      </c>
      <c r="J608" s="6">
        <f t="shared" si="51"/>
        <v>0</v>
      </c>
      <c r="K608" s="6">
        <f t="shared" si="51"/>
        <v>0</v>
      </c>
      <c r="L608" s="6">
        <f t="shared" si="51"/>
        <v>0</v>
      </c>
      <c r="M608" s="6">
        <f t="shared" si="51"/>
        <v>0</v>
      </c>
      <c r="N608" s="6" t="str">
        <f t="shared" si="54"/>
        <v/>
      </c>
      <c r="O608" s="6" t="str">
        <f t="shared" si="55"/>
        <v/>
      </c>
    </row>
    <row r="609" spans="8:15">
      <c r="H609">
        <f t="shared" si="52"/>
        <v>0</v>
      </c>
      <c r="I609" t="e">
        <f t="shared" si="53"/>
        <v>#VALUE!</v>
      </c>
      <c r="J609" s="6">
        <f t="shared" si="51"/>
        <v>0</v>
      </c>
      <c r="K609" s="6">
        <f t="shared" si="51"/>
        <v>0</v>
      </c>
      <c r="L609" s="6">
        <f t="shared" si="51"/>
        <v>0</v>
      </c>
      <c r="M609" s="6">
        <f t="shared" si="51"/>
        <v>0</v>
      </c>
      <c r="N609" s="6" t="str">
        <f t="shared" si="54"/>
        <v/>
      </c>
      <c r="O609" s="6" t="str">
        <f t="shared" si="55"/>
        <v/>
      </c>
    </row>
    <row r="610" spans="8:15">
      <c r="H610">
        <f t="shared" si="52"/>
        <v>0</v>
      </c>
      <c r="I610" t="e">
        <f t="shared" si="53"/>
        <v>#VALUE!</v>
      </c>
      <c r="J610" s="6">
        <f t="shared" si="51"/>
        <v>0</v>
      </c>
      <c r="K610" s="6">
        <f t="shared" si="51"/>
        <v>0</v>
      </c>
      <c r="L610" s="6">
        <f t="shared" si="51"/>
        <v>0</v>
      </c>
      <c r="M610" s="6">
        <f t="shared" si="51"/>
        <v>0</v>
      </c>
      <c r="N610" s="6" t="str">
        <f t="shared" si="54"/>
        <v/>
      </c>
      <c r="O610" s="6" t="str">
        <f t="shared" si="55"/>
        <v/>
      </c>
    </row>
    <row r="611" spans="8:15">
      <c r="H611">
        <f t="shared" si="52"/>
        <v>0</v>
      </c>
      <c r="I611" t="e">
        <f t="shared" si="53"/>
        <v>#VALUE!</v>
      </c>
      <c r="J611" s="6">
        <f t="shared" si="51"/>
        <v>0</v>
      </c>
      <c r="K611" s="6">
        <f t="shared" si="51"/>
        <v>0</v>
      </c>
      <c r="L611" s="6">
        <f t="shared" si="51"/>
        <v>0</v>
      </c>
      <c r="M611" s="6">
        <f t="shared" si="51"/>
        <v>0</v>
      </c>
      <c r="N611" s="6" t="str">
        <f t="shared" si="54"/>
        <v/>
      </c>
      <c r="O611" s="6" t="str">
        <f t="shared" si="55"/>
        <v/>
      </c>
    </row>
    <row r="612" spans="8:15">
      <c r="H612">
        <f t="shared" si="52"/>
        <v>0</v>
      </c>
      <c r="I612" t="e">
        <f t="shared" si="53"/>
        <v>#VALUE!</v>
      </c>
      <c r="J612" s="6">
        <f t="shared" si="51"/>
        <v>0</v>
      </c>
      <c r="K612" s="6">
        <f t="shared" si="51"/>
        <v>0</v>
      </c>
      <c r="L612" s="6">
        <f t="shared" si="51"/>
        <v>0</v>
      </c>
      <c r="M612" s="6">
        <f t="shared" si="51"/>
        <v>0</v>
      </c>
      <c r="N612" s="6" t="str">
        <f t="shared" si="54"/>
        <v/>
      </c>
      <c r="O612" s="6" t="str">
        <f t="shared" si="55"/>
        <v/>
      </c>
    </row>
    <row r="613" spans="8:15">
      <c r="H613">
        <f t="shared" si="52"/>
        <v>0</v>
      </c>
      <c r="I613" t="e">
        <f t="shared" si="53"/>
        <v>#VALUE!</v>
      </c>
      <c r="J613" s="6">
        <f t="shared" si="51"/>
        <v>0</v>
      </c>
      <c r="K613" s="6">
        <f t="shared" si="51"/>
        <v>0</v>
      </c>
      <c r="L613" s="6">
        <f t="shared" si="51"/>
        <v>0</v>
      </c>
      <c r="M613" s="6">
        <f t="shared" si="51"/>
        <v>0</v>
      </c>
      <c r="N613" s="6" t="str">
        <f t="shared" si="54"/>
        <v/>
      </c>
      <c r="O613" s="6" t="str">
        <f t="shared" si="55"/>
        <v/>
      </c>
    </row>
    <row r="614" spans="8:15">
      <c r="H614">
        <f t="shared" si="52"/>
        <v>0</v>
      </c>
      <c r="I614" t="e">
        <f t="shared" si="53"/>
        <v>#VALUE!</v>
      </c>
      <c r="J614" s="6">
        <f t="shared" si="51"/>
        <v>0</v>
      </c>
      <c r="K614" s="6">
        <f t="shared" si="51"/>
        <v>0</v>
      </c>
      <c r="L614" s="6">
        <f t="shared" si="51"/>
        <v>0</v>
      </c>
      <c r="M614" s="6">
        <f t="shared" si="51"/>
        <v>0</v>
      </c>
      <c r="N614" s="6" t="str">
        <f t="shared" si="54"/>
        <v/>
      </c>
      <c r="O614" s="6" t="str">
        <f t="shared" si="55"/>
        <v/>
      </c>
    </row>
    <row r="615" spans="8:15">
      <c r="H615">
        <f t="shared" si="52"/>
        <v>0</v>
      </c>
      <c r="I615" t="e">
        <f t="shared" si="53"/>
        <v>#VALUE!</v>
      </c>
      <c r="J615" s="6">
        <f t="shared" si="51"/>
        <v>0</v>
      </c>
      <c r="K615" s="6">
        <f t="shared" si="51"/>
        <v>0</v>
      </c>
      <c r="L615" s="6">
        <f t="shared" si="51"/>
        <v>0</v>
      </c>
      <c r="M615" s="6">
        <f t="shared" si="51"/>
        <v>0</v>
      </c>
      <c r="N615" s="6" t="str">
        <f t="shared" si="54"/>
        <v/>
      </c>
      <c r="O615" s="6" t="str">
        <f t="shared" si="55"/>
        <v/>
      </c>
    </row>
    <row r="616" spans="8:15">
      <c r="H616">
        <f t="shared" si="52"/>
        <v>0</v>
      </c>
      <c r="I616" t="e">
        <f t="shared" si="53"/>
        <v>#VALUE!</v>
      </c>
      <c r="J616" s="6">
        <f t="shared" si="51"/>
        <v>0</v>
      </c>
      <c r="K616" s="6">
        <f t="shared" si="51"/>
        <v>0</v>
      </c>
      <c r="L616" s="6">
        <f t="shared" si="51"/>
        <v>0</v>
      </c>
      <c r="M616" s="6">
        <f t="shared" si="51"/>
        <v>0</v>
      </c>
      <c r="N616" s="6" t="str">
        <f t="shared" si="54"/>
        <v/>
      </c>
      <c r="O616" s="6" t="str">
        <f t="shared" si="55"/>
        <v/>
      </c>
    </row>
    <row r="617" spans="8:15">
      <c r="H617">
        <f t="shared" si="52"/>
        <v>0</v>
      </c>
      <c r="I617" t="e">
        <f t="shared" si="53"/>
        <v>#VALUE!</v>
      </c>
      <c r="J617" s="6">
        <f t="shared" si="51"/>
        <v>0</v>
      </c>
      <c r="K617" s="6">
        <f t="shared" si="51"/>
        <v>0</v>
      </c>
      <c r="L617" s="6">
        <f t="shared" si="51"/>
        <v>0</v>
      </c>
      <c r="M617" s="6">
        <f t="shared" si="51"/>
        <v>0</v>
      </c>
      <c r="N617" s="6" t="str">
        <f t="shared" si="54"/>
        <v/>
      </c>
      <c r="O617" s="6" t="str">
        <f t="shared" si="55"/>
        <v/>
      </c>
    </row>
    <row r="618" spans="8:15">
      <c r="H618">
        <f t="shared" si="52"/>
        <v>0</v>
      </c>
      <c r="I618" t="e">
        <f t="shared" si="53"/>
        <v>#VALUE!</v>
      </c>
      <c r="J618" s="6">
        <f t="shared" si="51"/>
        <v>0</v>
      </c>
      <c r="K618" s="6">
        <f t="shared" si="51"/>
        <v>0</v>
      </c>
      <c r="L618" s="6">
        <f t="shared" si="51"/>
        <v>0</v>
      </c>
      <c r="M618" s="6">
        <f t="shared" si="51"/>
        <v>0</v>
      </c>
      <c r="N618" s="6" t="str">
        <f t="shared" si="54"/>
        <v/>
      </c>
      <c r="O618" s="6" t="str">
        <f t="shared" si="55"/>
        <v/>
      </c>
    </row>
    <row r="619" spans="8:15">
      <c r="H619">
        <f t="shared" si="52"/>
        <v>0</v>
      </c>
      <c r="I619" t="e">
        <f t="shared" si="53"/>
        <v>#VALUE!</v>
      </c>
      <c r="J619" s="6">
        <f t="shared" si="51"/>
        <v>0</v>
      </c>
      <c r="K619" s="6">
        <f t="shared" si="51"/>
        <v>0</v>
      </c>
      <c r="L619" s="6">
        <f t="shared" si="51"/>
        <v>0</v>
      </c>
      <c r="M619" s="6">
        <f t="shared" si="51"/>
        <v>0</v>
      </c>
      <c r="N619" s="6" t="str">
        <f t="shared" si="54"/>
        <v/>
      </c>
      <c r="O619" s="6" t="str">
        <f t="shared" si="55"/>
        <v/>
      </c>
    </row>
    <row r="620" spans="8:15">
      <c r="H620">
        <f t="shared" si="52"/>
        <v>0</v>
      </c>
      <c r="I620" t="e">
        <f t="shared" si="53"/>
        <v>#VALUE!</v>
      </c>
      <c r="J620" s="6">
        <f t="shared" si="51"/>
        <v>0</v>
      </c>
      <c r="K620" s="6">
        <f t="shared" si="51"/>
        <v>0</v>
      </c>
      <c r="L620" s="6">
        <f t="shared" si="51"/>
        <v>0</v>
      </c>
      <c r="M620" s="6">
        <f t="shared" si="51"/>
        <v>0</v>
      </c>
      <c r="N620" s="6" t="str">
        <f t="shared" si="54"/>
        <v/>
      </c>
      <c r="O620" s="6" t="str">
        <f t="shared" si="55"/>
        <v/>
      </c>
    </row>
    <row r="621" spans="8:15">
      <c r="H621">
        <f t="shared" si="52"/>
        <v>0</v>
      </c>
      <c r="I621" t="e">
        <f t="shared" si="53"/>
        <v>#VALUE!</v>
      </c>
      <c r="J621" s="6">
        <f t="shared" si="51"/>
        <v>0</v>
      </c>
      <c r="K621" s="6">
        <f t="shared" si="51"/>
        <v>0</v>
      </c>
      <c r="L621" s="6">
        <f t="shared" si="51"/>
        <v>0</v>
      </c>
      <c r="M621" s="6">
        <f t="shared" si="51"/>
        <v>0</v>
      </c>
      <c r="N621" s="6" t="str">
        <f t="shared" si="54"/>
        <v/>
      </c>
      <c r="O621" s="6" t="str">
        <f t="shared" si="55"/>
        <v/>
      </c>
    </row>
    <row r="622" spans="8:15">
      <c r="H622">
        <f t="shared" si="52"/>
        <v>0</v>
      </c>
      <c r="I622" t="e">
        <f t="shared" si="53"/>
        <v>#VALUE!</v>
      </c>
      <c r="J622" s="6">
        <f t="shared" si="51"/>
        <v>0</v>
      </c>
      <c r="K622" s="6">
        <f t="shared" si="51"/>
        <v>0</v>
      </c>
      <c r="L622" s="6">
        <f t="shared" si="51"/>
        <v>0</v>
      </c>
      <c r="M622" s="6">
        <f t="shared" si="51"/>
        <v>0</v>
      </c>
      <c r="N622" s="6" t="str">
        <f t="shared" si="54"/>
        <v/>
      </c>
      <c r="O622" s="6" t="str">
        <f t="shared" si="55"/>
        <v/>
      </c>
    </row>
    <row r="623" spans="8:15">
      <c r="H623">
        <f t="shared" si="52"/>
        <v>0</v>
      </c>
      <c r="I623" t="e">
        <f t="shared" si="53"/>
        <v>#VALUE!</v>
      </c>
      <c r="J623" s="6">
        <f t="shared" si="51"/>
        <v>0</v>
      </c>
      <c r="K623" s="6">
        <f t="shared" si="51"/>
        <v>0</v>
      </c>
      <c r="L623" s="6">
        <f t="shared" si="51"/>
        <v>0</v>
      </c>
      <c r="M623" s="6">
        <f t="shared" si="51"/>
        <v>0</v>
      </c>
      <c r="N623" s="6" t="str">
        <f t="shared" si="54"/>
        <v/>
      </c>
      <c r="O623" s="6" t="str">
        <f t="shared" si="55"/>
        <v/>
      </c>
    </row>
    <row r="624" spans="8:15">
      <c r="H624">
        <f t="shared" si="52"/>
        <v>0</v>
      </c>
      <c r="I624" t="e">
        <f t="shared" si="53"/>
        <v>#VALUE!</v>
      </c>
      <c r="J624" s="6">
        <f t="shared" si="51"/>
        <v>0</v>
      </c>
      <c r="K624" s="6">
        <f t="shared" si="51"/>
        <v>0</v>
      </c>
      <c r="L624" s="6">
        <f t="shared" si="51"/>
        <v>0</v>
      </c>
      <c r="M624" s="6">
        <f t="shared" si="51"/>
        <v>0</v>
      </c>
      <c r="N624" s="6" t="str">
        <f t="shared" si="54"/>
        <v/>
      </c>
      <c r="O624" s="6" t="str">
        <f t="shared" si="55"/>
        <v/>
      </c>
    </row>
    <row r="625" spans="8:15">
      <c r="H625">
        <f t="shared" si="52"/>
        <v>0</v>
      </c>
      <c r="I625" t="e">
        <f t="shared" si="53"/>
        <v>#VALUE!</v>
      </c>
      <c r="J625" s="6">
        <f t="shared" si="51"/>
        <v>0</v>
      </c>
      <c r="K625" s="6">
        <f t="shared" si="51"/>
        <v>0</v>
      </c>
      <c r="L625" s="6">
        <f t="shared" si="51"/>
        <v>0</v>
      </c>
      <c r="M625" s="6">
        <f t="shared" si="51"/>
        <v>0</v>
      </c>
      <c r="N625" s="6" t="str">
        <f t="shared" si="54"/>
        <v/>
      </c>
      <c r="O625" s="6" t="str">
        <f t="shared" si="55"/>
        <v/>
      </c>
    </row>
    <row r="626" spans="8:15">
      <c r="H626">
        <f t="shared" si="52"/>
        <v>0</v>
      </c>
      <c r="I626" t="e">
        <f t="shared" si="53"/>
        <v>#VALUE!</v>
      </c>
      <c r="J626" s="6">
        <f t="shared" si="51"/>
        <v>0</v>
      </c>
      <c r="K626" s="6">
        <f t="shared" si="51"/>
        <v>0</v>
      </c>
      <c r="L626" s="6">
        <f t="shared" si="51"/>
        <v>0</v>
      </c>
      <c r="M626" s="6">
        <f t="shared" si="51"/>
        <v>0</v>
      </c>
      <c r="N626" s="6" t="str">
        <f t="shared" si="54"/>
        <v/>
      </c>
      <c r="O626" s="6" t="str">
        <f t="shared" si="55"/>
        <v/>
      </c>
    </row>
    <row r="627" spans="8:15">
      <c r="H627">
        <f t="shared" si="52"/>
        <v>0</v>
      </c>
      <c r="I627" t="e">
        <f t="shared" si="53"/>
        <v>#VALUE!</v>
      </c>
      <c r="J627" s="6">
        <f t="shared" si="51"/>
        <v>0</v>
      </c>
      <c r="K627" s="6">
        <f t="shared" si="51"/>
        <v>0</v>
      </c>
      <c r="L627" s="6">
        <f t="shared" si="51"/>
        <v>0</v>
      </c>
      <c r="M627" s="6">
        <f t="shared" si="51"/>
        <v>0</v>
      </c>
      <c r="N627" s="6" t="str">
        <f t="shared" si="54"/>
        <v/>
      </c>
      <c r="O627" s="6" t="str">
        <f t="shared" si="55"/>
        <v/>
      </c>
    </row>
    <row r="628" spans="8:15">
      <c r="H628">
        <f t="shared" si="52"/>
        <v>0</v>
      </c>
      <c r="I628" t="e">
        <f t="shared" si="53"/>
        <v>#VALUE!</v>
      </c>
      <c r="J628" s="6">
        <f t="shared" si="51"/>
        <v>0</v>
      </c>
      <c r="K628" s="6">
        <f t="shared" si="51"/>
        <v>0</v>
      </c>
      <c r="L628" s="6">
        <f t="shared" si="51"/>
        <v>0</v>
      </c>
      <c r="M628" s="6">
        <f t="shared" si="51"/>
        <v>0</v>
      </c>
      <c r="N628" s="6" t="str">
        <f t="shared" si="54"/>
        <v/>
      </c>
      <c r="O628" s="6" t="str">
        <f t="shared" si="55"/>
        <v/>
      </c>
    </row>
    <row r="629" spans="8:15">
      <c r="H629">
        <f t="shared" si="52"/>
        <v>0</v>
      </c>
      <c r="I629" t="e">
        <f t="shared" si="53"/>
        <v>#VALUE!</v>
      </c>
      <c r="J629" s="6">
        <f t="shared" si="51"/>
        <v>0</v>
      </c>
      <c r="K629" s="6">
        <f t="shared" si="51"/>
        <v>0</v>
      </c>
      <c r="L629" s="6">
        <f t="shared" si="51"/>
        <v>0</v>
      </c>
      <c r="M629" s="6">
        <f t="shared" si="51"/>
        <v>0</v>
      </c>
      <c r="N629" s="6" t="str">
        <f t="shared" si="54"/>
        <v/>
      </c>
      <c r="O629" s="6" t="str">
        <f t="shared" si="55"/>
        <v/>
      </c>
    </row>
    <row r="630" spans="8:15">
      <c r="H630">
        <f t="shared" si="52"/>
        <v>0</v>
      </c>
      <c r="I630" t="e">
        <f t="shared" si="53"/>
        <v>#VALUE!</v>
      </c>
      <c r="J630" s="6">
        <f t="shared" si="51"/>
        <v>0</v>
      </c>
      <c r="K630" s="6">
        <f t="shared" si="51"/>
        <v>0</v>
      </c>
      <c r="L630" s="6">
        <f t="shared" si="51"/>
        <v>0</v>
      </c>
      <c r="M630" s="6">
        <f t="shared" si="51"/>
        <v>0</v>
      </c>
      <c r="N630" s="6" t="str">
        <f t="shared" si="54"/>
        <v/>
      </c>
      <c r="O630" s="6" t="str">
        <f t="shared" si="55"/>
        <v/>
      </c>
    </row>
    <row r="631" spans="8:15">
      <c r="H631">
        <f t="shared" si="52"/>
        <v>0</v>
      </c>
      <c r="I631" t="e">
        <f t="shared" si="53"/>
        <v>#VALUE!</v>
      </c>
      <c r="J631" s="6">
        <f t="shared" si="51"/>
        <v>0</v>
      </c>
      <c r="K631" s="6">
        <f t="shared" si="51"/>
        <v>0</v>
      </c>
      <c r="L631" s="6">
        <f t="shared" si="51"/>
        <v>0</v>
      </c>
      <c r="M631" s="6">
        <f t="shared" si="51"/>
        <v>0</v>
      </c>
      <c r="N631" s="6" t="str">
        <f t="shared" si="54"/>
        <v/>
      </c>
      <c r="O631" s="6" t="str">
        <f t="shared" si="55"/>
        <v/>
      </c>
    </row>
    <row r="632" spans="8:15">
      <c r="H632">
        <f t="shared" si="52"/>
        <v>0</v>
      </c>
      <c r="I632" t="e">
        <f t="shared" si="53"/>
        <v>#VALUE!</v>
      </c>
      <c r="J632" s="6">
        <f t="shared" si="51"/>
        <v>0</v>
      </c>
      <c r="K632" s="6">
        <f t="shared" si="51"/>
        <v>0</v>
      </c>
      <c r="L632" s="6">
        <f t="shared" si="51"/>
        <v>0</v>
      </c>
      <c r="M632" s="6">
        <f t="shared" si="51"/>
        <v>0</v>
      </c>
      <c r="N632" s="6" t="str">
        <f t="shared" si="54"/>
        <v/>
      </c>
      <c r="O632" s="6" t="str">
        <f t="shared" si="55"/>
        <v/>
      </c>
    </row>
    <row r="633" spans="8:15">
      <c r="H633">
        <f t="shared" si="52"/>
        <v>0</v>
      </c>
      <c r="I633" t="e">
        <f t="shared" si="53"/>
        <v>#VALUE!</v>
      </c>
      <c r="J633" s="6">
        <f t="shared" si="51"/>
        <v>0</v>
      </c>
      <c r="K633" s="6">
        <f t="shared" si="51"/>
        <v>0</v>
      </c>
      <c r="L633" s="6">
        <f t="shared" si="51"/>
        <v>0</v>
      </c>
      <c r="M633" s="6">
        <f t="shared" si="51"/>
        <v>0</v>
      </c>
      <c r="N633" s="6" t="str">
        <f t="shared" si="54"/>
        <v/>
      </c>
      <c r="O633" s="6" t="str">
        <f t="shared" si="55"/>
        <v/>
      </c>
    </row>
    <row r="634" spans="8:15">
      <c r="H634">
        <f t="shared" si="52"/>
        <v>0</v>
      </c>
      <c r="I634" t="e">
        <f t="shared" si="53"/>
        <v>#VALUE!</v>
      </c>
      <c r="J634" s="6">
        <f t="shared" si="51"/>
        <v>0</v>
      </c>
      <c r="K634" s="6">
        <f t="shared" si="51"/>
        <v>0</v>
      </c>
      <c r="L634" s="6">
        <f t="shared" si="51"/>
        <v>0</v>
      </c>
      <c r="M634" s="6">
        <f t="shared" si="51"/>
        <v>0</v>
      </c>
      <c r="N634" s="6" t="str">
        <f t="shared" si="54"/>
        <v/>
      </c>
      <c r="O634" s="6" t="str">
        <f t="shared" si="55"/>
        <v/>
      </c>
    </row>
    <row r="635" spans="8:15">
      <c r="H635">
        <f t="shared" si="52"/>
        <v>0</v>
      </c>
      <c r="I635" t="e">
        <f t="shared" si="53"/>
        <v>#VALUE!</v>
      </c>
      <c r="J635" s="6">
        <f t="shared" si="51"/>
        <v>0</v>
      </c>
      <c r="K635" s="6">
        <f t="shared" si="51"/>
        <v>0</v>
      </c>
      <c r="L635" s="6">
        <f t="shared" si="51"/>
        <v>0</v>
      </c>
      <c r="M635" s="6">
        <f t="shared" si="51"/>
        <v>0</v>
      </c>
      <c r="N635" s="6" t="str">
        <f t="shared" si="54"/>
        <v/>
      </c>
      <c r="O635" s="6" t="str">
        <f t="shared" si="55"/>
        <v/>
      </c>
    </row>
    <row r="636" spans="8:15">
      <c r="H636">
        <f t="shared" si="52"/>
        <v>0</v>
      </c>
      <c r="I636" t="e">
        <f t="shared" si="53"/>
        <v>#VALUE!</v>
      </c>
      <c r="J636" s="6">
        <f t="shared" si="51"/>
        <v>0</v>
      </c>
      <c r="K636" s="6">
        <f t="shared" si="51"/>
        <v>0</v>
      </c>
      <c r="L636" s="6">
        <f t="shared" si="51"/>
        <v>0</v>
      </c>
      <c r="M636" s="6">
        <f t="shared" si="51"/>
        <v>0</v>
      </c>
      <c r="N636" s="6" t="str">
        <f t="shared" si="54"/>
        <v/>
      </c>
      <c r="O636" s="6" t="str">
        <f t="shared" si="55"/>
        <v/>
      </c>
    </row>
    <row r="637" spans="8:15">
      <c r="H637">
        <f t="shared" si="52"/>
        <v>0</v>
      </c>
      <c r="I637" t="e">
        <f t="shared" si="53"/>
        <v>#VALUE!</v>
      </c>
      <c r="J637" s="6">
        <f t="shared" si="51"/>
        <v>0</v>
      </c>
      <c r="K637" s="6">
        <f t="shared" si="51"/>
        <v>0</v>
      </c>
      <c r="L637" s="6">
        <f t="shared" si="51"/>
        <v>0</v>
      </c>
      <c r="M637" s="6">
        <f t="shared" si="51"/>
        <v>0</v>
      </c>
      <c r="N637" s="6" t="str">
        <f t="shared" si="54"/>
        <v/>
      </c>
      <c r="O637" s="6" t="str">
        <f t="shared" si="55"/>
        <v/>
      </c>
    </row>
    <row r="638" spans="8:15">
      <c r="H638">
        <f t="shared" si="52"/>
        <v>0</v>
      </c>
      <c r="I638" t="e">
        <f t="shared" si="53"/>
        <v>#VALUE!</v>
      </c>
      <c r="J638" s="6">
        <f t="shared" si="51"/>
        <v>0</v>
      </c>
      <c r="K638" s="6">
        <f t="shared" si="51"/>
        <v>0</v>
      </c>
      <c r="L638" s="6">
        <f t="shared" si="51"/>
        <v>0</v>
      </c>
      <c r="M638" s="6">
        <f t="shared" si="51"/>
        <v>0</v>
      </c>
      <c r="N638" s="6" t="str">
        <f t="shared" si="54"/>
        <v/>
      </c>
      <c r="O638" s="6" t="str">
        <f t="shared" si="55"/>
        <v/>
      </c>
    </row>
    <row r="639" spans="8:15">
      <c r="H639">
        <f t="shared" si="52"/>
        <v>0</v>
      </c>
      <c r="I639" t="e">
        <f t="shared" si="53"/>
        <v>#VALUE!</v>
      </c>
      <c r="J639" s="6">
        <f t="shared" si="51"/>
        <v>0</v>
      </c>
      <c r="K639" s="6">
        <f t="shared" si="51"/>
        <v>0</v>
      </c>
      <c r="L639" s="6">
        <f t="shared" si="51"/>
        <v>0</v>
      </c>
      <c r="M639" s="6">
        <f t="shared" si="51"/>
        <v>0</v>
      </c>
      <c r="N639" s="6" t="str">
        <f t="shared" si="54"/>
        <v/>
      </c>
      <c r="O639" s="6" t="str">
        <f t="shared" si="55"/>
        <v/>
      </c>
    </row>
    <row r="640" spans="8:15">
      <c r="H640">
        <f t="shared" si="52"/>
        <v>0</v>
      </c>
      <c r="I640" t="e">
        <f t="shared" si="53"/>
        <v>#VALUE!</v>
      </c>
      <c r="J640" s="6">
        <f t="shared" si="51"/>
        <v>0</v>
      </c>
      <c r="K640" s="6">
        <f t="shared" si="51"/>
        <v>0</v>
      </c>
      <c r="L640" s="6">
        <f t="shared" si="51"/>
        <v>0</v>
      </c>
      <c r="M640" s="6">
        <f t="shared" si="51"/>
        <v>0</v>
      </c>
      <c r="N640" s="6" t="str">
        <f t="shared" si="54"/>
        <v/>
      </c>
      <c r="O640" s="6" t="str">
        <f t="shared" si="55"/>
        <v/>
      </c>
    </row>
    <row r="641" spans="8:15">
      <c r="H641">
        <f t="shared" si="52"/>
        <v>0</v>
      </c>
      <c r="I641" t="e">
        <f t="shared" si="53"/>
        <v>#VALUE!</v>
      </c>
      <c r="J641" s="6">
        <f t="shared" si="51"/>
        <v>0</v>
      </c>
      <c r="K641" s="6">
        <f t="shared" si="51"/>
        <v>0</v>
      </c>
      <c r="L641" s="6">
        <f t="shared" si="51"/>
        <v>0</v>
      </c>
      <c r="M641" s="6">
        <f t="shared" ref="M641:M704" si="56">F641</f>
        <v>0</v>
      </c>
      <c r="N641" s="6" t="str">
        <f t="shared" si="54"/>
        <v/>
      </c>
      <c r="O641" s="6" t="str">
        <f t="shared" si="55"/>
        <v/>
      </c>
    </row>
    <row r="642" spans="8:15">
      <c r="H642">
        <f t="shared" si="52"/>
        <v>0</v>
      </c>
      <c r="I642" t="e">
        <f t="shared" si="53"/>
        <v>#VALUE!</v>
      </c>
      <c r="J642" s="6">
        <f t="shared" ref="J642:M705" si="57">C642</f>
        <v>0</v>
      </c>
      <c r="K642" s="6">
        <f t="shared" si="57"/>
        <v>0</v>
      </c>
      <c r="L642" s="6">
        <f t="shared" si="57"/>
        <v>0</v>
      </c>
      <c r="M642" s="6">
        <f t="shared" si="56"/>
        <v>0</v>
      </c>
      <c r="N642" s="6" t="str">
        <f t="shared" si="54"/>
        <v/>
      </c>
      <c r="O642" s="6" t="str">
        <f t="shared" si="55"/>
        <v/>
      </c>
    </row>
    <row r="643" spans="8:15">
      <c r="H643">
        <f t="shared" si="52"/>
        <v>0</v>
      </c>
      <c r="I643" t="e">
        <f t="shared" si="53"/>
        <v>#VALUE!</v>
      </c>
      <c r="J643" s="6">
        <f t="shared" si="57"/>
        <v>0</v>
      </c>
      <c r="K643" s="6">
        <f t="shared" si="57"/>
        <v>0</v>
      </c>
      <c r="L643" s="6">
        <f t="shared" si="57"/>
        <v>0</v>
      </c>
      <c r="M643" s="6">
        <f t="shared" si="56"/>
        <v>0</v>
      </c>
      <c r="N643" s="6" t="str">
        <f t="shared" si="54"/>
        <v/>
      </c>
      <c r="O643" s="6" t="str">
        <f t="shared" si="55"/>
        <v/>
      </c>
    </row>
    <row r="644" spans="8:15">
      <c r="H644">
        <f t="shared" si="52"/>
        <v>0</v>
      </c>
      <c r="I644" t="e">
        <f t="shared" si="53"/>
        <v>#VALUE!</v>
      </c>
      <c r="J644" s="6">
        <f t="shared" si="57"/>
        <v>0</v>
      </c>
      <c r="K644" s="6">
        <f t="shared" si="57"/>
        <v>0</v>
      </c>
      <c r="L644" s="6">
        <f t="shared" si="57"/>
        <v>0</v>
      </c>
      <c r="M644" s="6">
        <f t="shared" si="56"/>
        <v>0</v>
      </c>
      <c r="N644" s="6" t="str">
        <f t="shared" si="54"/>
        <v/>
      </c>
      <c r="O644" s="6" t="str">
        <f t="shared" si="55"/>
        <v/>
      </c>
    </row>
    <row r="645" spans="8:15">
      <c r="H645">
        <f t="shared" si="52"/>
        <v>0</v>
      </c>
      <c r="I645" t="e">
        <f t="shared" si="53"/>
        <v>#VALUE!</v>
      </c>
      <c r="J645" s="6">
        <f t="shared" si="57"/>
        <v>0</v>
      </c>
      <c r="K645" s="6">
        <f t="shared" si="57"/>
        <v>0</v>
      </c>
      <c r="L645" s="6">
        <f t="shared" si="57"/>
        <v>0</v>
      </c>
      <c r="M645" s="6">
        <f t="shared" si="56"/>
        <v>0</v>
      </c>
      <c r="N645" s="6" t="str">
        <f t="shared" si="54"/>
        <v/>
      </c>
      <c r="O645" s="6" t="str">
        <f t="shared" si="55"/>
        <v/>
      </c>
    </row>
    <row r="646" spans="8:15">
      <c r="H646">
        <f t="shared" si="52"/>
        <v>0</v>
      </c>
      <c r="I646" t="e">
        <f t="shared" si="53"/>
        <v>#VALUE!</v>
      </c>
      <c r="J646" s="6">
        <f t="shared" si="57"/>
        <v>0</v>
      </c>
      <c r="K646" s="6">
        <f t="shared" si="57"/>
        <v>0</v>
      </c>
      <c r="L646" s="6">
        <f t="shared" si="57"/>
        <v>0</v>
      </c>
      <c r="M646" s="6">
        <f t="shared" si="56"/>
        <v>0</v>
      </c>
      <c r="N646" s="6" t="str">
        <f t="shared" si="54"/>
        <v/>
      </c>
      <c r="O646" s="6" t="str">
        <f t="shared" si="55"/>
        <v/>
      </c>
    </row>
    <row r="647" spans="8:15">
      <c r="H647">
        <f t="shared" ref="H647:H710" si="58">A647</f>
        <v>0</v>
      </c>
      <c r="I647" t="e">
        <f t="shared" ref="I647:I710" si="59">LEFT(B647,SEARCH(" ",B647,1)-1)</f>
        <v>#VALUE!</v>
      </c>
      <c r="J647" s="6">
        <f t="shared" si="57"/>
        <v>0</v>
      </c>
      <c r="K647" s="6">
        <f t="shared" si="57"/>
        <v>0</v>
      </c>
      <c r="L647" s="6">
        <f t="shared" si="57"/>
        <v>0</v>
      </c>
      <c r="M647" s="6">
        <f t="shared" si="56"/>
        <v>0</v>
      </c>
      <c r="N647" s="6" t="str">
        <f t="shared" ref="N647:N710" si="60">TRIM($B$1)</f>
        <v/>
      </c>
      <c r="O647" s="6" t="str">
        <f t="shared" ref="O647:O710" si="61">TRIM($C$1)</f>
        <v/>
      </c>
    </row>
    <row r="648" spans="8:15">
      <c r="H648">
        <f t="shared" si="58"/>
        <v>0</v>
      </c>
      <c r="I648" t="e">
        <f t="shared" si="59"/>
        <v>#VALUE!</v>
      </c>
      <c r="J648" s="6">
        <f t="shared" si="57"/>
        <v>0</v>
      </c>
      <c r="K648" s="6">
        <f t="shared" si="57"/>
        <v>0</v>
      </c>
      <c r="L648" s="6">
        <f t="shared" si="57"/>
        <v>0</v>
      </c>
      <c r="M648" s="6">
        <f t="shared" si="56"/>
        <v>0</v>
      </c>
      <c r="N648" s="6" t="str">
        <f t="shared" si="60"/>
        <v/>
      </c>
      <c r="O648" s="6" t="str">
        <f t="shared" si="61"/>
        <v/>
      </c>
    </row>
    <row r="649" spans="8:15">
      <c r="H649">
        <f t="shared" si="58"/>
        <v>0</v>
      </c>
      <c r="I649" t="e">
        <f t="shared" si="59"/>
        <v>#VALUE!</v>
      </c>
      <c r="J649" s="6">
        <f t="shared" si="57"/>
        <v>0</v>
      </c>
      <c r="K649" s="6">
        <f t="shared" si="57"/>
        <v>0</v>
      </c>
      <c r="L649" s="6">
        <f t="shared" si="57"/>
        <v>0</v>
      </c>
      <c r="M649" s="6">
        <f t="shared" si="56"/>
        <v>0</v>
      </c>
      <c r="N649" s="6" t="str">
        <f t="shared" si="60"/>
        <v/>
      </c>
      <c r="O649" s="6" t="str">
        <f t="shared" si="61"/>
        <v/>
      </c>
    </row>
    <row r="650" spans="8:15">
      <c r="H650">
        <f t="shared" si="58"/>
        <v>0</v>
      </c>
      <c r="I650" t="e">
        <f t="shared" si="59"/>
        <v>#VALUE!</v>
      </c>
      <c r="J650" s="6">
        <f t="shared" si="57"/>
        <v>0</v>
      </c>
      <c r="K650" s="6">
        <f t="shared" si="57"/>
        <v>0</v>
      </c>
      <c r="L650" s="6">
        <f t="shared" si="57"/>
        <v>0</v>
      </c>
      <c r="M650" s="6">
        <f t="shared" si="56"/>
        <v>0</v>
      </c>
      <c r="N650" s="6" t="str">
        <f t="shared" si="60"/>
        <v/>
      </c>
      <c r="O650" s="6" t="str">
        <f t="shared" si="61"/>
        <v/>
      </c>
    </row>
    <row r="651" spans="8:15">
      <c r="H651">
        <f t="shared" si="58"/>
        <v>0</v>
      </c>
      <c r="I651" t="e">
        <f t="shared" si="59"/>
        <v>#VALUE!</v>
      </c>
      <c r="J651" s="6">
        <f t="shared" si="57"/>
        <v>0</v>
      </c>
      <c r="K651" s="6">
        <f t="shared" si="57"/>
        <v>0</v>
      </c>
      <c r="L651" s="6">
        <f t="shared" si="57"/>
        <v>0</v>
      </c>
      <c r="M651" s="6">
        <f t="shared" si="56"/>
        <v>0</v>
      </c>
      <c r="N651" s="6" t="str">
        <f t="shared" si="60"/>
        <v/>
      </c>
      <c r="O651" s="6" t="str">
        <f t="shared" si="61"/>
        <v/>
      </c>
    </row>
    <row r="652" spans="8:15">
      <c r="H652">
        <f t="shared" si="58"/>
        <v>0</v>
      </c>
      <c r="I652" t="e">
        <f t="shared" si="59"/>
        <v>#VALUE!</v>
      </c>
      <c r="J652" s="6">
        <f t="shared" si="57"/>
        <v>0</v>
      </c>
      <c r="K652" s="6">
        <f t="shared" si="57"/>
        <v>0</v>
      </c>
      <c r="L652" s="6">
        <f t="shared" si="57"/>
        <v>0</v>
      </c>
      <c r="M652" s="6">
        <f t="shared" si="56"/>
        <v>0</v>
      </c>
      <c r="N652" s="6" t="str">
        <f t="shared" si="60"/>
        <v/>
      </c>
      <c r="O652" s="6" t="str">
        <f t="shared" si="61"/>
        <v/>
      </c>
    </row>
    <row r="653" spans="8:15">
      <c r="H653">
        <f t="shared" si="58"/>
        <v>0</v>
      </c>
      <c r="I653" t="e">
        <f t="shared" si="59"/>
        <v>#VALUE!</v>
      </c>
      <c r="J653" s="6">
        <f t="shared" si="57"/>
        <v>0</v>
      </c>
      <c r="K653" s="6">
        <f t="shared" si="57"/>
        <v>0</v>
      </c>
      <c r="L653" s="6">
        <f t="shared" si="57"/>
        <v>0</v>
      </c>
      <c r="M653" s="6">
        <f t="shared" si="56"/>
        <v>0</v>
      </c>
      <c r="N653" s="6" t="str">
        <f t="shared" si="60"/>
        <v/>
      </c>
      <c r="O653" s="6" t="str">
        <f t="shared" si="61"/>
        <v/>
      </c>
    </row>
    <row r="654" spans="8:15">
      <c r="H654">
        <f t="shared" si="58"/>
        <v>0</v>
      </c>
      <c r="I654" t="e">
        <f t="shared" si="59"/>
        <v>#VALUE!</v>
      </c>
      <c r="J654" s="6">
        <f t="shared" si="57"/>
        <v>0</v>
      </c>
      <c r="K654" s="6">
        <f t="shared" si="57"/>
        <v>0</v>
      </c>
      <c r="L654" s="6">
        <f t="shared" si="57"/>
        <v>0</v>
      </c>
      <c r="M654" s="6">
        <f t="shared" si="56"/>
        <v>0</v>
      </c>
      <c r="N654" s="6" t="str">
        <f t="shared" si="60"/>
        <v/>
      </c>
      <c r="O654" s="6" t="str">
        <f t="shared" si="61"/>
        <v/>
      </c>
    </row>
    <row r="655" spans="8:15">
      <c r="H655">
        <f t="shared" si="58"/>
        <v>0</v>
      </c>
      <c r="I655" t="e">
        <f t="shared" si="59"/>
        <v>#VALUE!</v>
      </c>
      <c r="J655" s="6">
        <f t="shared" si="57"/>
        <v>0</v>
      </c>
      <c r="K655" s="6">
        <f t="shared" si="57"/>
        <v>0</v>
      </c>
      <c r="L655" s="6">
        <f t="shared" si="57"/>
        <v>0</v>
      </c>
      <c r="M655" s="6">
        <f t="shared" si="56"/>
        <v>0</v>
      </c>
      <c r="N655" s="6" t="str">
        <f t="shared" si="60"/>
        <v/>
      </c>
      <c r="O655" s="6" t="str">
        <f t="shared" si="61"/>
        <v/>
      </c>
    </row>
    <row r="656" spans="8:15">
      <c r="H656">
        <f t="shared" si="58"/>
        <v>0</v>
      </c>
      <c r="I656" t="e">
        <f t="shared" si="59"/>
        <v>#VALUE!</v>
      </c>
      <c r="J656" s="6">
        <f t="shared" si="57"/>
        <v>0</v>
      </c>
      <c r="K656" s="6">
        <f t="shared" si="57"/>
        <v>0</v>
      </c>
      <c r="L656" s="6">
        <f t="shared" si="57"/>
        <v>0</v>
      </c>
      <c r="M656" s="6">
        <f t="shared" si="56"/>
        <v>0</v>
      </c>
      <c r="N656" s="6" t="str">
        <f t="shared" si="60"/>
        <v/>
      </c>
      <c r="O656" s="6" t="str">
        <f t="shared" si="61"/>
        <v/>
      </c>
    </row>
    <row r="657" spans="8:15">
      <c r="H657">
        <f t="shared" si="58"/>
        <v>0</v>
      </c>
      <c r="I657" t="e">
        <f t="shared" si="59"/>
        <v>#VALUE!</v>
      </c>
      <c r="J657" s="6">
        <f t="shared" si="57"/>
        <v>0</v>
      </c>
      <c r="K657" s="6">
        <f t="shared" si="57"/>
        <v>0</v>
      </c>
      <c r="L657" s="6">
        <f t="shared" si="57"/>
        <v>0</v>
      </c>
      <c r="M657" s="6">
        <f t="shared" si="56"/>
        <v>0</v>
      </c>
      <c r="N657" s="6" t="str">
        <f t="shared" si="60"/>
        <v/>
      </c>
      <c r="O657" s="6" t="str">
        <f t="shared" si="61"/>
        <v/>
      </c>
    </row>
    <row r="658" spans="8:15">
      <c r="H658">
        <f t="shared" si="58"/>
        <v>0</v>
      </c>
      <c r="I658" t="e">
        <f t="shared" si="59"/>
        <v>#VALUE!</v>
      </c>
      <c r="J658" s="6">
        <f t="shared" si="57"/>
        <v>0</v>
      </c>
      <c r="K658" s="6">
        <f t="shared" si="57"/>
        <v>0</v>
      </c>
      <c r="L658" s="6">
        <f t="shared" si="57"/>
        <v>0</v>
      </c>
      <c r="M658" s="6">
        <f t="shared" si="56"/>
        <v>0</v>
      </c>
      <c r="N658" s="6" t="str">
        <f t="shared" si="60"/>
        <v/>
      </c>
      <c r="O658" s="6" t="str">
        <f t="shared" si="61"/>
        <v/>
      </c>
    </row>
    <row r="659" spans="8:15">
      <c r="H659">
        <f t="shared" si="58"/>
        <v>0</v>
      </c>
      <c r="I659" t="e">
        <f t="shared" si="59"/>
        <v>#VALUE!</v>
      </c>
      <c r="J659" s="6">
        <f t="shared" si="57"/>
        <v>0</v>
      </c>
      <c r="K659" s="6">
        <f t="shared" si="57"/>
        <v>0</v>
      </c>
      <c r="L659" s="6">
        <f t="shared" si="57"/>
        <v>0</v>
      </c>
      <c r="M659" s="6">
        <f t="shared" si="56"/>
        <v>0</v>
      </c>
      <c r="N659" s="6" t="str">
        <f t="shared" si="60"/>
        <v/>
      </c>
      <c r="O659" s="6" t="str">
        <f t="shared" si="61"/>
        <v/>
      </c>
    </row>
    <row r="660" spans="8:15">
      <c r="H660">
        <f t="shared" si="58"/>
        <v>0</v>
      </c>
      <c r="I660" t="e">
        <f t="shared" si="59"/>
        <v>#VALUE!</v>
      </c>
      <c r="J660" s="6">
        <f t="shared" si="57"/>
        <v>0</v>
      </c>
      <c r="K660" s="6">
        <f t="shared" si="57"/>
        <v>0</v>
      </c>
      <c r="L660" s="6">
        <f t="shared" si="57"/>
        <v>0</v>
      </c>
      <c r="M660" s="6">
        <f t="shared" si="56"/>
        <v>0</v>
      </c>
      <c r="N660" s="6" t="str">
        <f t="shared" si="60"/>
        <v/>
      </c>
      <c r="O660" s="6" t="str">
        <f t="shared" si="61"/>
        <v/>
      </c>
    </row>
    <row r="661" spans="8:15">
      <c r="H661">
        <f t="shared" si="58"/>
        <v>0</v>
      </c>
      <c r="I661" t="e">
        <f t="shared" si="59"/>
        <v>#VALUE!</v>
      </c>
      <c r="J661" s="6">
        <f t="shared" si="57"/>
        <v>0</v>
      </c>
      <c r="K661" s="6">
        <f t="shared" si="57"/>
        <v>0</v>
      </c>
      <c r="L661" s="6">
        <f t="shared" si="57"/>
        <v>0</v>
      </c>
      <c r="M661" s="6">
        <f t="shared" si="56"/>
        <v>0</v>
      </c>
      <c r="N661" s="6" t="str">
        <f t="shared" si="60"/>
        <v/>
      </c>
      <c r="O661" s="6" t="str">
        <f t="shared" si="61"/>
        <v/>
      </c>
    </row>
    <row r="662" spans="8:15">
      <c r="H662">
        <f t="shared" si="58"/>
        <v>0</v>
      </c>
      <c r="I662" t="e">
        <f t="shared" si="59"/>
        <v>#VALUE!</v>
      </c>
      <c r="J662" s="6">
        <f t="shared" si="57"/>
        <v>0</v>
      </c>
      <c r="K662" s="6">
        <f t="shared" si="57"/>
        <v>0</v>
      </c>
      <c r="L662" s="6">
        <f t="shared" si="57"/>
        <v>0</v>
      </c>
      <c r="M662" s="6">
        <f t="shared" si="56"/>
        <v>0</v>
      </c>
      <c r="N662" s="6" t="str">
        <f t="shared" si="60"/>
        <v/>
      </c>
      <c r="O662" s="6" t="str">
        <f t="shared" si="61"/>
        <v/>
      </c>
    </row>
    <row r="663" spans="8:15">
      <c r="H663">
        <f t="shared" si="58"/>
        <v>0</v>
      </c>
      <c r="I663" t="e">
        <f t="shared" si="59"/>
        <v>#VALUE!</v>
      </c>
      <c r="J663" s="6">
        <f t="shared" si="57"/>
        <v>0</v>
      </c>
      <c r="K663" s="6">
        <f t="shared" si="57"/>
        <v>0</v>
      </c>
      <c r="L663" s="6">
        <f t="shared" si="57"/>
        <v>0</v>
      </c>
      <c r="M663" s="6">
        <f t="shared" si="56"/>
        <v>0</v>
      </c>
      <c r="N663" s="6" t="str">
        <f t="shared" si="60"/>
        <v/>
      </c>
      <c r="O663" s="6" t="str">
        <f t="shared" si="61"/>
        <v/>
      </c>
    </row>
    <row r="664" spans="8:15">
      <c r="H664">
        <f t="shared" si="58"/>
        <v>0</v>
      </c>
      <c r="I664" t="e">
        <f t="shared" si="59"/>
        <v>#VALUE!</v>
      </c>
      <c r="J664" s="6">
        <f t="shared" si="57"/>
        <v>0</v>
      </c>
      <c r="K664" s="6">
        <f t="shared" si="57"/>
        <v>0</v>
      </c>
      <c r="L664" s="6">
        <f t="shared" si="57"/>
        <v>0</v>
      </c>
      <c r="M664" s="6">
        <f t="shared" si="56"/>
        <v>0</v>
      </c>
      <c r="N664" s="6" t="str">
        <f t="shared" si="60"/>
        <v/>
      </c>
      <c r="O664" s="6" t="str">
        <f t="shared" si="61"/>
        <v/>
      </c>
    </row>
    <row r="665" spans="8:15">
      <c r="H665">
        <f t="shared" si="58"/>
        <v>0</v>
      </c>
      <c r="I665" t="e">
        <f t="shared" si="59"/>
        <v>#VALUE!</v>
      </c>
      <c r="J665" s="6">
        <f t="shared" si="57"/>
        <v>0</v>
      </c>
      <c r="K665" s="6">
        <f t="shared" si="57"/>
        <v>0</v>
      </c>
      <c r="L665" s="6">
        <f t="shared" si="57"/>
        <v>0</v>
      </c>
      <c r="M665" s="6">
        <f t="shared" si="56"/>
        <v>0</v>
      </c>
      <c r="N665" s="6" t="str">
        <f t="shared" si="60"/>
        <v/>
      </c>
      <c r="O665" s="6" t="str">
        <f t="shared" si="61"/>
        <v/>
      </c>
    </row>
    <row r="666" spans="8:15">
      <c r="H666">
        <f t="shared" si="58"/>
        <v>0</v>
      </c>
      <c r="I666" t="e">
        <f t="shared" si="59"/>
        <v>#VALUE!</v>
      </c>
      <c r="J666" s="6">
        <f t="shared" si="57"/>
        <v>0</v>
      </c>
      <c r="K666" s="6">
        <f t="shared" si="57"/>
        <v>0</v>
      </c>
      <c r="L666" s="6">
        <f t="shared" si="57"/>
        <v>0</v>
      </c>
      <c r="M666" s="6">
        <f t="shared" si="56"/>
        <v>0</v>
      </c>
      <c r="N666" s="6" t="str">
        <f t="shared" si="60"/>
        <v/>
      </c>
      <c r="O666" s="6" t="str">
        <f t="shared" si="61"/>
        <v/>
      </c>
    </row>
    <row r="667" spans="8:15">
      <c r="H667">
        <f t="shared" si="58"/>
        <v>0</v>
      </c>
      <c r="I667" t="e">
        <f t="shared" si="59"/>
        <v>#VALUE!</v>
      </c>
      <c r="J667" s="6">
        <f t="shared" si="57"/>
        <v>0</v>
      </c>
      <c r="K667" s="6">
        <f t="shared" si="57"/>
        <v>0</v>
      </c>
      <c r="L667" s="6">
        <f t="shared" si="57"/>
        <v>0</v>
      </c>
      <c r="M667" s="6">
        <f t="shared" si="56"/>
        <v>0</v>
      </c>
      <c r="N667" s="6" t="str">
        <f t="shared" si="60"/>
        <v/>
      </c>
      <c r="O667" s="6" t="str">
        <f t="shared" si="61"/>
        <v/>
      </c>
    </row>
    <row r="668" spans="8:15">
      <c r="H668">
        <f t="shared" si="58"/>
        <v>0</v>
      </c>
      <c r="I668" t="e">
        <f t="shared" si="59"/>
        <v>#VALUE!</v>
      </c>
      <c r="J668" s="6">
        <f t="shared" si="57"/>
        <v>0</v>
      </c>
      <c r="K668" s="6">
        <f t="shared" si="57"/>
        <v>0</v>
      </c>
      <c r="L668" s="6">
        <f t="shared" si="57"/>
        <v>0</v>
      </c>
      <c r="M668" s="6">
        <f t="shared" si="56"/>
        <v>0</v>
      </c>
      <c r="N668" s="6" t="str">
        <f t="shared" si="60"/>
        <v/>
      </c>
      <c r="O668" s="6" t="str">
        <f t="shared" si="61"/>
        <v/>
      </c>
    </row>
    <row r="669" spans="8:15">
      <c r="H669">
        <f t="shared" si="58"/>
        <v>0</v>
      </c>
      <c r="I669" t="e">
        <f t="shared" si="59"/>
        <v>#VALUE!</v>
      </c>
      <c r="J669" s="6">
        <f t="shared" si="57"/>
        <v>0</v>
      </c>
      <c r="K669" s="6">
        <f t="shared" si="57"/>
        <v>0</v>
      </c>
      <c r="L669" s="6">
        <f t="shared" si="57"/>
        <v>0</v>
      </c>
      <c r="M669" s="6">
        <f t="shared" si="56"/>
        <v>0</v>
      </c>
      <c r="N669" s="6" t="str">
        <f t="shared" si="60"/>
        <v/>
      </c>
      <c r="O669" s="6" t="str">
        <f t="shared" si="61"/>
        <v/>
      </c>
    </row>
    <row r="670" spans="8:15">
      <c r="H670">
        <f t="shared" si="58"/>
        <v>0</v>
      </c>
      <c r="I670" t="e">
        <f t="shared" si="59"/>
        <v>#VALUE!</v>
      </c>
      <c r="J670" s="6">
        <f t="shared" si="57"/>
        <v>0</v>
      </c>
      <c r="K670" s="6">
        <f t="shared" si="57"/>
        <v>0</v>
      </c>
      <c r="L670" s="6">
        <f t="shared" si="57"/>
        <v>0</v>
      </c>
      <c r="M670" s="6">
        <f t="shared" si="56"/>
        <v>0</v>
      </c>
      <c r="N670" s="6" t="str">
        <f t="shared" si="60"/>
        <v/>
      </c>
      <c r="O670" s="6" t="str">
        <f t="shared" si="61"/>
        <v/>
      </c>
    </row>
    <row r="671" spans="8:15">
      <c r="H671">
        <f t="shared" si="58"/>
        <v>0</v>
      </c>
      <c r="I671" t="e">
        <f t="shared" si="59"/>
        <v>#VALUE!</v>
      </c>
      <c r="J671" s="6">
        <f t="shared" si="57"/>
        <v>0</v>
      </c>
      <c r="K671" s="6">
        <f t="shared" si="57"/>
        <v>0</v>
      </c>
      <c r="L671" s="6">
        <f t="shared" si="57"/>
        <v>0</v>
      </c>
      <c r="M671" s="6">
        <f t="shared" si="56"/>
        <v>0</v>
      </c>
      <c r="N671" s="6" t="str">
        <f t="shared" si="60"/>
        <v/>
      </c>
      <c r="O671" s="6" t="str">
        <f t="shared" si="61"/>
        <v/>
      </c>
    </row>
    <row r="672" spans="8:15">
      <c r="H672">
        <f t="shared" si="58"/>
        <v>0</v>
      </c>
      <c r="I672" t="e">
        <f t="shared" si="59"/>
        <v>#VALUE!</v>
      </c>
      <c r="J672" s="6">
        <f t="shared" si="57"/>
        <v>0</v>
      </c>
      <c r="K672" s="6">
        <f t="shared" si="57"/>
        <v>0</v>
      </c>
      <c r="L672" s="6">
        <f t="shared" si="57"/>
        <v>0</v>
      </c>
      <c r="M672" s="6">
        <f t="shared" si="56"/>
        <v>0</v>
      </c>
      <c r="N672" s="6" t="str">
        <f t="shared" si="60"/>
        <v/>
      </c>
      <c r="O672" s="6" t="str">
        <f t="shared" si="61"/>
        <v/>
      </c>
    </row>
    <row r="673" spans="8:15">
      <c r="H673">
        <f t="shared" si="58"/>
        <v>0</v>
      </c>
      <c r="I673" t="e">
        <f t="shared" si="59"/>
        <v>#VALUE!</v>
      </c>
      <c r="J673" s="6">
        <f t="shared" si="57"/>
        <v>0</v>
      </c>
      <c r="K673" s="6">
        <f t="shared" si="57"/>
        <v>0</v>
      </c>
      <c r="L673" s="6">
        <f t="shared" si="57"/>
        <v>0</v>
      </c>
      <c r="M673" s="6">
        <f t="shared" si="56"/>
        <v>0</v>
      </c>
      <c r="N673" s="6" t="str">
        <f t="shared" si="60"/>
        <v/>
      </c>
      <c r="O673" s="6" t="str">
        <f t="shared" si="61"/>
        <v/>
      </c>
    </row>
    <row r="674" spans="8:15">
      <c r="H674">
        <f t="shared" si="58"/>
        <v>0</v>
      </c>
      <c r="I674" t="e">
        <f t="shared" si="59"/>
        <v>#VALUE!</v>
      </c>
      <c r="J674" s="6">
        <f t="shared" si="57"/>
        <v>0</v>
      </c>
      <c r="K674" s="6">
        <f t="shared" si="57"/>
        <v>0</v>
      </c>
      <c r="L674" s="6">
        <f t="shared" si="57"/>
        <v>0</v>
      </c>
      <c r="M674" s="6">
        <f t="shared" si="56"/>
        <v>0</v>
      </c>
      <c r="N674" s="6" t="str">
        <f t="shared" si="60"/>
        <v/>
      </c>
      <c r="O674" s="6" t="str">
        <f t="shared" si="61"/>
        <v/>
      </c>
    </row>
    <row r="675" spans="8:15">
      <c r="H675">
        <f t="shared" si="58"/>
        <v>0</v>
      </c>
      <c r="I675" t="e">
        <f t="shared" si="59"/>
        <v>#VALUE!</v>
      </c>
      <c r="J675" s="6">
        <f t="shared" si="57"/>
        <v>0</v>
      </c>
      <c r="K675" s="6">
        <f t="shared" si="57"/>
        <v>0</v>
      </c>
      <c r="L675" s="6">
        <f t="shared" si="57"/>
        <v>0</v>
      </c>
      <c r="M675" s="6">
        <f t="shared" si="56"/>
        <v>0</v>
      </c>
      <c r="N675" s="6" t="str">
        <f t="shared" si="60"/>
        <v/>
      </c>
      <c r="O675" s="6" t="str">
        <f t="shared" si="61"/>
        <v/>
      </c>
    </row>
    <row r="676" spans="8:15">
      <c r="H676">
        <f t="shared" si="58"/>
        <v>0</v>
      </c>
      <c r="I676" t="e">
        <f t="shared" si="59"/>
        <v>#VALUE!</v>
      </c>
      <c r="J676" s="6">
        <f t="shared" si="57"/>
        <v>0</v>
      </c>
      <c r="K676" s="6">
        <f t="shared" si="57"/>
        <v>0</v>
      </c>
      <c r="L676" s="6">
        <f t="shared" si="57"/>
        <v>0</v>
      </c>
      <c r="M676" s="6">
        <f t="shared" si="56"/>
        <v>0</v>
      </c>
      <c r="N676" s="6" t="str">
        <f t="shared" si="60"/>
        <v/>
      </c>
      <c r="O676" s="6" t="str">
        <f t="shared" si="61"/>
        <v/>
      </c>
    </row>
    <row r="677" spans="8:15">
      <c r="H677">
        <f t="shared" si="58"/>
        <v>0</v>
      </c>
      <c r="I677" t="e">
        <f t="shared" si="59"/>
        <v>#VALUE!</v>
      </c>
      <c r="J677" s="6">
        <f t="shared" si="57"/>
        <v>0</v>
      </c>
      <c r="K677" s="6">
        <f t="shared" si="57"/>
        <v>0</v>
      </c>
      <c r="L677" s="6">
        <f t="shared" si="57"/>
        <v>0</v>
      </c>
      <c r="M677" s="6">
        <f t="shared" si="56"/>
        <v>0</v>
      </c>
      <c r="N677" s="6" t="str">
        <f t="shared" si="60"/>
        <v/>
      </c>
      <c r="O677" s="6" t="str">
        <f t="shared" si="61"/>
        <v/>
      </c>
    </row>
    <row r="678" spans="8:15">
      <c r="H678">
        <f t="shared" si="58"/>
        <v>0</v>
      </c>
      <c r="I678" t="e">
        <f t="shared" si="59"/>
        <v>#VALUE!</v>
      </c>
      <c r="J678" s="6">
        <f t="shared" si="57"/>
        <v>0</v>
      </c>
      <c r="K678" s="6">
        <f t="shared" si="57"/>
        <v>0</v>
      </c>
      <c r="L678" s="6">
        <f t="shared" si="57"/>
        <v>0</v>
      </c>
      <c r="M678" s="6">
        <f t="shared" si="56"/>
        <v>0</v>
      </c>
      <c r="N678" s="6" t="str">
        <f t="shared" si="60"/>
        <v/>
      </c>
      <c r="O678" s="6" t="str">
        <f t="shared" si="61"/>
        <v/>
      </c>
    </row>
    <row r="679" spans="8:15">
      <c r="H679">
        <f t="shared" si="58"/>
        <v>0</v>
      </c>
      <c r="I679" t="e">
        <f t="shared" si="59"/>
        <v>#VALUE!</v>
      </c>
      <c r="J679" s="6">
        <f t="shared" si="57"/>
        <v>0</v>
      </c>
      <c r="K679" s="6">
        <f t="shared" si="57"/>
        <v>0</v>
      </c>
      <c r="L679" s="6">
        <f t="shared" si="57"/>
        <v>0</v>
      </c>
      <c r="M679" s="6">
        <f t="shared" si="56"/>
        <v>0</v>
      </c>
      <c r="N679" s="6" t="str">
        <f t="shared" si="60"/>
        <v/>
      </c>
      <c r="O679" s="6" t="str">
        <f t="shared" si="61"/>
        <v/>
      </c>
    </row>
    <row r="680" spans="8:15">
      <c r="H680">
        <f t="shared" si="58"/>
        <v>0</v>
      </c>
      <c r="I680" t="e">
        <f t="shared" si="59"/>
        <v>#VALUE!</v>
      </c>
      <c r="J680" s="6">
        <f t="shared" si="57"/>
        <v>0</v>
      </c>
      <c r="K680" s="6">
        <f t="shared" si="57"/>
        <v>0</v>
      </c>
      <c r="L680" s="6">
        <f t="shared" si="57"/>
        <v>0</v>
      </c>
      <c r="M680" s="6">
        <f t="shared" si="56"/>
        <v>0</v>
      </c>
      <c r="N680" s="6" t="str">
        <f t="shared" si="60"/>
        <v/>
      </c>
      <c r="O680" s="6" t="str">
        <f t="shared" si="61"/>
        <v/>
      </c>
    </row>
    <row r="681" spans="8:15">
      <c r="H681">
        <f t="shared" si="58"/>
        <v>0</v>
      </c>
      <c r="I681" t="e">
        <f t="shared" si="59"/>
        <v>#VALUE!</v>
      </c>
      <c r="J681" s="6">
        <f t="shared" si="57"/>
        <v>0</v>
      </c>
      <c r="K681" s="6">
        <f t="shared" si="57"/>
        <v>0</v>
      </c>
      <c r="L681" s="6">
        <f t="shared" si="57"/>
        <v>0</v>
      </c>
      <c r="M681" s="6">
        <f t="shared" si="56"/>
        <v>0</v>
      </c>
      <c r="N681" s="6" t="str">
        <f t="shared" si="60"/>
        <v/>
      </c>
      <c r="O681" s="6" t="str">
        <f t="shared" si="61"/>
        <v/>
      </c>
    </row>
    <row r="682" spans="8:15">
      <c r="H682">
        <f t="shared" si="58"/>
        <v>0</v>
      </c>
      <c r="I682" t="e">
        <f t="shared" si="59"/>
        <v>#VALUE!</v>
      </c>
      <c r="J682" s="6">
        <f t="shared" si="57"/>
        <v>0</v>
      </c>
      <c r="K682" s="6">
        <f t="shared" si="57"/>
        <v>0</v>
      </c>
      <c r="L682" s="6">
        <f t="shared" si="57"/>
        <v>0</v>
      </c>
      <c r="M682" s="6">
        <f t="shared" si="56"/>
        <v>0</v>
      </c>
      <c r="N682" s="6" t="str">
        <f t="shared" si="60"/>
        <v/>
      </c>
      <c r="O682" s="6" t="str">
        <f t="shared" si="61"/>
        <v/>
      </c>
    </row>
    <row r="683" spans="8:15">
      <c r="H683">
        <f t="shared" si="58"/>
        <v>0</v>
      </c>
      <c r="I683" t="e">
        <f t="shared" si="59"/>
        <v>#VALUE!</v>
      </c>
      <c r="J683" s="6">
        <f t="shared" si="57"/>
        <v>0</v>
      </c>
      <c r="K683" s="6">
        <f t="shared" si="57"/>
        <v>0</v>
      </c>
      <c r="L683" s="6">
        <f t="shared" si="57"/>
        <v>0</v>
      </c>
      <c r="M683" s="6">
        <f t="shared" si="56"/>
        <v>0</v>
      </c>
      <c r="N683" s="6" t="str">
        <f t="shared" si="60"/>
        <v/>
      </c>
      <c r="O683" s="6" t="str">
        <f t="shared" si="61"/>
        <v/>
      </c>
    </row>
    <row r="684" spans="8:15">
      <c r="H684">
        <f t="shared" si="58"/>
        <v>0</v>
      </c>
      <c r="I684" t="e">
        <f t="shared" si="59"/>
        <v>#VALUE!</v>
      </c>
      <c r="J684" s="6">
        <f t="shared" si="57"/>
        <v>0</v>
      </c>
      <c r="K684" s="6">
        <f t="shared" si="57"/>
        <v>0</v>
      </c>
      <c r="L684" s="6">
        <f t="shared" si="57"/>
        <v>0</v>
      </c>
      <c r="M684" s="6">
        <f t="shared" si="56"/>
        <v>0</v>
      </c>
      <c r="N684" s="6" t="str">
        <f t="shared" si="60"/>
        <v/>
      </c>
      <c r="O684" s="6" t="str">
        <f t="shared" si="61"/>
        <v/>
      </c>
    </row>
    <row r="685" spans="8:15">
      <c r="H685">
        <f t="shared" si="58"/>
        <v>0</v>
      </c>
      <c r="I685" t="e">
        <f t="shared" si="59"/>
        <v>#VALUE!</v>
      </c>
      <c r="J685" s="6">
        <f t="shared" si="57"/>
        <v>0</v>
      </c>
      <c r="K685" s="6">
        <f t="shared" si="57"/>
        <v>0</v>
      </c>
      <c r="L685" s="6">
        <f t="shared" si="57"/>
        <v>0</v>
      </c>
      <c r="M685" s="6">
        <f t="shared" si="56"/>
        <v>0</v>
      </c>
      <c r="N685" s="6" t="str">
        <f t="shared" si="60"/>
        <v/>
      </c>
      <c r="O685" s="6" t="str">
        <f t="shared" si="61"/>
        <v/>
      </c>
    </row>
    <row r="686" spans="8:15">
      <c r="H686">
        <f t="shared" si="58"/>
        <v>0</v>
      </c>
      <c r="I686" t="e">
        <f t="shared" si="59"/>
        <v>#VALUE!</v>
      </c>
      <c r="J686" s="6">
        <f t="shared" si="57"/>
        <v>0</v>
      </c>
      <c r="K686" s="6">
        <f t="shared" si="57"/>
        <v>0</v>
      </c>
      <c r="L686" s="6">
        <f t="shared" si="57"/>
        <v>0</v>
      </c>
      <c r="M686" s="6">
        <f t="shared" si="56"/>
        <v>0</v>
      </c>
      <c r="N686" s="6" t="str">
        <f t="shared" si="60"/>
        <v/>
      </c>
      <c r="O686" s="6" t="str">
        <f t="shared" si="61"/>
        <v/>
      </c>
    </row>
    <row r="687" spans="8:15">
      <c r="H687">
        <f t="shared" si="58"/>
        <v>0</v>
      </c>
      <c r="I687" t="e">
        <f t="shared" si="59"/>
        <v>#VALUE!</v>
      </c>
      <c r="J687" s="6">
        <f t="shared" si="57"/>
        <v>0</v>
      </c>
      <c r="K687" s="6">
        <f t="shared" si="57"/>
        <v>0</v>
      </c>
      <c r="L687" s="6">
        <f t="shared" si="57"/>
        <v>0</v>
      </c>
      <c r="M687" s="6">
        <f t="shared" si="56"/>
        <v>0</v>
      </c>
      <c r="N687" s="6" t="str">
        <f t="shared" si="60"/>
        <v/>
      </c>
      <c r="O687" s="6" t="str">
        <f t="shared" si="61"/>
        <v/>
      </c>
    </row>
    <row r="688" spans="8:15">
      <c r="H688">
        <f t="shared" si="58"/>
        <v>0</v>
      </c>
      <c r="I688" t="e">
        <f t="shared" si="59"/>
        <v>#VALUE!</v>
      </c>
      <c r="J688" s="6">
        <f t="shared" si="57"/>
        <v>0</v>
      </c>
      <c r="K688" s="6">
        <f t="shared" si="57"/>
        <v>0</v>
      </c>
      <c r="L688" s="6">
        <f t="shared" si="57"/>
        <v>0</v>
      </c>
      <c r="M688" s="6">
        <f t="shared" si="56"/>
        <v>0</v>
      </c>
      <c r="N688" s="6" t="str">
        <f t="shared" si="60"/>
        <v/>
      </c>
      <c r="O688" s="6" t="str">
        <f t="shared" si="61"/>
        <v/>
      </c>
    </row>
    <row r="689" spans="8:15">
      <c r="H689">
        <f t="shared" si="58"/>
        <v>0</v>
      </c>
      <c r="I689" t="e">
        <f t="shared" si="59"/>
        <v>#VALUE!</v>
      </c>
      <c r="J689" s="6">
        <f t="shared" si="57"/>
        <v>0</v>
      </c>
      <c r="K689" s="6">
        <f t="shared" si="57"/>
        <v>0</v>
      </c>
      <c r="L689" s="6">
        <f t="shared" si="57"/>
        <v>0</v>
      </c>
      <c r="M689" s="6">
        <f t="shared" si="56"/>
        <v>0</v>
      </c>
      <c r="N689" s="6" t="str">
        <f t="shared" si="60"/>
        <v/>
      </c>
      <c r="O689" s="6" t="str">
        <f t="shared" si="61"/>
        <v/>
      </c>
    </row>
    <row r="690" spans="8:15">
      <c r="H690">
        <f t="shared" si="58"/>
        <v>0</v>
      </c>
      <c r="I690" t="e">
        <f t="shared" si="59"/>
        <v>#VALUE!</v>
      </c>
      <c r="J690" s="6">
        <f t="shared" si="57"/>
        <v>0</v>
      </c>
      <c r="K690" s="6">
        <f t="shared" si="57"/>
        <v>0</v>
      </c>
      <c r="L690" s="6">
        <f t="shared" si="57"/>
        <v>0</v>
      </c>
      <c r="M690" s="6">
        <f t="shared" si="56"/>
        <v>0</v>
      </c>
      <c r="N690" s="6" t="str">
        <f t="shared" si="60"/>
        <v/>
      </c>
      <c r="O690" s="6" t="str">
        <f t="shared" si="61"/>
        <v/>
      </c>
    </row>
    <row r="691" spans="8:15">
      <c r="H691">
        <f t="shared" si="58"/>
        <v>0</v>
      </c>
      <c r="I691" t="e">
        <f t="shared" si="59"/>
        <v>#VALUE!</v>
      </c>
      <c r="J691" s="6">
        <f t="shared" si="57"/>
        <v>0</v>
      </c>
      <c r="K691" s="6">
        <f t="shared" si="57"/>
        <v>0</v>
      </c>
      <c r="L691" s="6">
        <f t="shared" si="57"/>
        <v>0</v>
      </c>
      <c r="M691" s="6">
        <f t="shared" si="56"/>
        <v>0</v>
      </c>
      <c r="N691" s="6" t="str">
        <f t="shared" si="60"/>
        <v/>
      </c>
      <c r="O691" s="6" t="str">
        <f t="shared" si="61"/>
        <v/>
      </c>
    </row>
    <row r="692" spans="8:15">
      <c r="H692">
        <f t="shared" si="58"/>
        <v>0</v>
      </c>
      <c r="I692" t="e">
        <f t="shared" si="59"/>
        <v>#VALUE!</v>
      </c>
      <c r="J692" s="6">
        <f t="shared" si="57"/>
        <v>0</v>
      </c>
      <c r="K692" s="6">
        <f t="shared" si="57"/>
        <v>0</v>
      </c>
      <c r="L692" s="6">
        <f t="shared" si="57"/>
        <v>0</v>
      </c>
      <c r="M692" s="6">
        <f t="shared" si="56"/>
        <v>0</v>
      </c>
      <c r="N692" s="6" t="str">
        <f t="shared" si="60"/>
        <v/>
      </c>
      <c r="O692" s="6" t="str">
        <f t="shared" si="61"/>
        <v/>
      </c>
    </row>
    <row r="693" spans="8:15">
      <c r="H693">
        <f t="shared" si="58"/>
        <v>0</v>
      </c>
      <c r="I693" t="e">
        <f t="shared" si="59"/>
        <v>#VALUE!</v>
      </c>
      <c r="J693" s="6">
        <f t="shared" si="57"/>
        <v>0</v>
      </c>
      <c r="K693" s="6">
        <f t="shared" si="57"/>
        <v>0</v>
      </c>
      <c r="L693" s="6">
        <f t="shared" si="57"/>
        <v>0</v>
      </c>
      <c r="M693" s="6">
        <f t="shared" si="56"/>
        <v>0</v>
      </c>
      <c r="N693" s="6" t="str">
        <f t="shared" si="60"/>
        <v/>
      </c>
      <c r="O693" s="6" t="str">
        <f t="shared" si="61"/>
        <v/>
      </c>
    </row>
    <row r="694" spans="8:15">
      <c r="H694">
        <f t="shared" si="58"/>
        <v>0</v>
      </c>
      <c r="I694" t="e">
        <f t="shared" si="59"/>
        <v>#VALUE!</v>
      </c>
      <c r="J694" s="6">
        <f t="shared" si="57"/>
        <v>0</v>
      </c>
      <c r="K694" s="6">
        <f t="shared" si="57"/>
        <v>0</v>
      </c>
      <c r="L694" s="6">
        <f t="shared" si="57"/>
        <v>0</v>
      </c>
      <c r="M694" s="6">
        <f t="shared" si="56"/>
        <v>0</v>
      </c>
      <c r="N694" s="6" t="str">
        <f t="shared" si="60"/>
        <v/>
      </c>
      <c r="O694" s="6" t="str">
        <f t="shared" si="61"/>
        <v/>
      </c>
    </row>
    <row r="695" spans="8:15">
      <c r="H695">
        <f t="shared" si="58"/>
        <v>0</v>
      </c>
      <c r="I695" t="e">
        <f t="shared" si="59"/>
        <v>#VALUE!</v>
      </c>
      <c r="J695" s="6">
        <f t="shared" si="57"/>
        <v>0</v>
      </c>
      <c r="K695" s="6">
        <f t="shared" si="57"/>
        <v>0</v>
      </c>
      <c r="L695" s="6">
        <f t="shared" si="57"/>
        <v>0</v>
      </c>
      <c r="M695" s="6">
        <f t="shared" si="56"/>
        <v>0</v>
      </c>
      <c r="N695" s="6" t="str">
        <f t="shared" si="60"/>
        <v/>
      </c>
      <c r="O695" s="6" t="str">
        <f t="shared" si="61"/>
        <v/>
      </c>
    </row>
    <row r="696" spans="8:15">
      <c r="H696">
        <f t="shared" si="58"/>
        <v>0</v>
      </c>
      <c r="I696" t="e">
        <f t="shared" si="59"/>
        <v>#VALUE!</v>
      </c>
      <c r="J696" s="6">
        <f t="shared" si="57"/>
        <v>0</v>
      </c>
      <c r="K696" s="6">
        <f t="shared" si="57"/>
        <v>0</v>
      </c>
      <c r="L696" s="6">
        <f t="shared" si="57"/>
        <v>0</v>
      </c>
      <c r="M696" s="6">
        <f t="shared" si="56"/>
        <v>0</v>
      </c>
      <c r="N696" s="6" t="str">
        <f t="shared" si="60"/>
        <v/>
      </c>
      <c r="O696" s="6" t="str">
        <f t="shared" si="61"/>
        <v/>
      </c>
    </row>
    <row r="697" spans="8:15">
      <c r="H697">
        <f t="shared" si="58"/>
        <v>0</v>
      </c>
      <c r="I697" t="e">
        <f t="shared" si="59"/>
        <v>#VALUE!</v>
      </c>
      <c r="J697" s="6">
        <f t="shared" si="57"/>
        <v>0</v>
      </c>
      <c r="K697" s="6">
        <f t="shared" si="57"/>
        <v>0</v>
      </c>
      <c r="L697" s="6">
        <f t="shared" si="57"/>
        <v>0</v>
      </c>
      <c r="M697" s="6">
        <f t="shared" si="56"/>
        <v>0</v>
      </c>
      <c r="N697" s="6" t="str">
        <f t="shared" si="60"/>
        <v/>
      </c>
      <c r="O697" s="6" t="str">
        <f t="shared" si="61"/>
        <v/>
      </c>
    </row>
    <row r="698" spans="8:15">
      <c r="H698">
        <f t="shared" si="58"/>
        <v>0</v>
      </c>
      <c r="I698" t="e">
        <f t="shared" si="59"/>
        <v>#VALUE!</v>
      </c>
      <c r="J698" s="6">
        <f t="shared" si="57"/>
        <v>0</v>
      </c>
      <c r="K698" s="6">
        <f t="shared" si="57"/>
        <v>0</v>
      </c>
      <c r="L698" s="6">
        <f t="shared" si="57"/>
        <v>0</v>
      </c>
      <c r="M698" s="6">
        <f t="shared" si="56"/>
        <v>0</v>
      </c>
      <c r="N698" s="6" t="str">
        <f t="shared" si="60"/>
        <v/>
      </c>
      <c r="O698" s="6" t="str">
        <f t="shared" si="61"/>
        <v/>
      </c>
    </row>
    <row r="699" spans="8:15">
      <c r="H699">
        <f t="shared" si="58"/>
        <v>0</v>
      </c>
      <c r="I699" t="e">
        <f t="shared" si="59"/>
        <v>#VALUE!</v>
      </c>
      <c r="J699" s="6">
        <f t="shared" si="57"/>
        <v>0</v>
      </c>
      <c r="K699" s="6">
        <f t="shared" si="57"/>
        <v>0</v>
      </c>
      <c r="L699" s="6">
        <f t="shared" si="57"/>
        <v>0</v>
      </c>
      <c r="M699" s="6">
        <f t="shared" si="56"/>
        <v>0</v>
      </c>
      <c r="N699" s="6" t="str">
        <f t="shared" si="60"/>
        <v/>
      </c>
      <c r="O699" s="6" t="str">
        <f t="shared" si="61"/>
        <v/>
      </c>
    </row>
    <row r="700" spans="8:15">
      <c r="H700">
        <f t="shared" si="58"/>
        <v>0</v>
      </c>
      <c r="I700" t="e">
        <f t="shared" si="59"/>
        <v>#VALUE!</v>
      </c>
      <c r="J700" s="6">
        <f t="shared" si="57"/>
        <v>0</v>
      </c>
      <c r="K700" s="6">
        <f t="shared" si="57"/>
        <v>0</v>
      </c>
      <c r="L700" s="6">
        <f t="shared" si="57"/>
        <v>0</v>
      </c>
      <c r="M700" s="6">
        <f t="shared" si="56"/>
        <v>0</v>
      </c>
      <c r="N700" s="6" t="str">
        <f t="shared" si="60"/>
        <v/>
      </c>
      <c r="O700" s="6" t="str">
        <f t="shared" si="61"/>
        <v/>
      </c>
    </row>
    <row r="701" spans="8:15">
      <c r="H701">
        <f t="shared" si="58"/>
        <v>0</v>
      </c>
      <c r="I701" t="e">
        <f t="shared" si="59"/>
        <v>#VALUE!</v>
      </c>
      <c r="J701" s="6">
        <f t="shared" si="57"/>
        <v>0</v>
      </c>
      <c r="K701" s="6">
        <f t="shared" si="57"/>
        <v>0</v>
      </c>
      <c r="L701" s="6">
        <f t="shared" si="57"/>
        <v>0</v>
      </c>
      <c r="M701" s="6">
        <f t="shared" si="56"/>
        <v>0</v>
      </c>
      <c r="N701" s="6" t="str">
        <f t="shared" si="60"/>
        <v/>
      </c>
      <c r="O701" s="6" t="str">
        <f t="shared" si="61"/>
        <v/>
      </c>
    </row>
    <row r="702" spans="8:15">
      <c r="H702">
        <f t="shared" si="58"/>
        <v>0</v>
      </c>
      <c r="I702" t="e">
        <f t="shared" si="59"/>
        <v>#VALUE!</v>
      </c>
      <c r="J702" s="6">
        <f t="shared" si="57"/>
        <v>0</v>
      </c>
      <c r="K702" s="6">
        <f t="shared" si="57"/>
        <v>0</v>
      </c>
      <c r="L702" s="6">
        <f t="shared" si="57"/>
        <v>0</v>
      </c>
      <c r="M702" s="6">
        <f t="shared" si="56"/>
        <v>0</v>
      </c>
      <c r="N702" s="6" t="str">
        <f t="shared" si="60"/>
        <v/>
      </c>
      <c r="O702" s="6" t="str">
        <f t="shared" si="61"/>
        <v/>
      </c>
    </row>
    <row r="703" spans="8:15">
      <c r="H703">
        <f t="shared" si="58"/>
        <v>0</v>
      </c>
      <c r="I703" t="e">
        <f t="shared" si="59"/>
        <v>#VALUE!</v>
      </c>
      <c r="J703" s="6">
        <f t="shared" si="57"/>
        <v>0</v>
      </c>
      <c r="K703" s="6">
        <f t="shared" si="57"/>
        <v>0</v>
      </c>
      <c r="L703" s="6">
        <f t="shared" si="57"/>
        <v>0</v>
      </c>
      <c r="M703" s="6">
        <f t="shared" si="56"/>
        <v>0</v>
      </c>
      <c r="N703" s="6" t="str">
        <f t="shared" si="60"/>
        <v/>
      </c>
      <c r="O703" s="6" t="str">
        <f t="shared" si="61"/>
        <v/>
      </c>
    </row>
    <row r="704" spans="8:15">
      <c r="H704">
        <f t="shared" si="58"/>
        <v>0</v>
      </c>
      <c r="I704" t="e">
        <f t="shared" si="59"/>
        <v>#VALUE!</v>
      </c>
      <c r="J704" s="6">
        <f t="shared" si="57"/>
        <v>0</v>
      </c>
      <c r="K704" s="6">
        <f t="shared" si="57"/>
        <v>0</v>
      </c>
      <c r="L704" s="6">
        <f t="shared" si="57"/>
        <v>0</v>
      </c>
      <c r="M704" s="6">
        <f t="shared" si="56"/>
        <v>0</v>
      </c>
      <c r="N704" s="6" t="str">
        <f t="shared" si="60"/>
        <v/>
      </c>
      <c r="O704" s="6" t="str">
        <f t="shared" si="61"/>
        <v/>
      </c>
    </row>
    <row r="705" spans="8:15">
      <c r="H705">
        <f t="shared" si="58"/>
        <v>0</v>
      </c>
      <c r="I705" t="e">
        <f t="shared" si="59"/>
        <v>#VALUE!</v>
      </c>
      <c r="J705" s="6">
        <f t="shared" si="57"/>
        <v>0</v>
      </c>
      <c r="K705" s="6">
        <f t="shared" si="57"/>
        <v>0</v>
      </c>
      <c r="L705" s="6">
        <f t="shared" si="57"/>
        <v>0</v>
      </c>
      <c r="M705" s="6">
        <f t="shared" si="57"/>
        <v>0</v>
      </c>
      <c r="N705" s="6" t="str">
        <f t="shared" si="60"/>
        <v/>
      </c>
      <c r="O705" s="6" t="str">
        <f t="shared" si="61"/>
        <v/>
      </c>
    </row>
    <row r="706" spans="8:15">
      <c r="H706">
        <f t="shared" si="58"/>
        <v>0</v>
      </c>
      <c r="I706" t="e">
        <f t="shared" si="59"/>
        <v>#VALUE!</v>
      </c>
      <c r="J706" s="6">
        <f t="shared" ref="J706:M769" si="62">C706</f>
        <v>0</v>
      </c>
      <c r="K706" s="6">
        <f t="shared" si="62"/>
        <v>0</v>
      </c>
      <c r="L706" s="6">
        <f t="shared" si="62"/>
        <v>0</v>
      </c>
      <c r="M706" s="6">
        <f t="shared" si="62"/>
        <v>0</v>
      </c>
      <c r="N706" s="6" t="str">
        <f t="shared" si="60"/>
        <v/>
      </c>
      <c r="O706" s="6" t="str">
        <f t="shared" si="61"/>
        <v/>
      </c>
    </row>
    <row r="707" spans="8:15">
      <c r="H707">
        <f t="shared" si="58"/>
        <v>0</v>
      </c>
      <c r="I707" t="e">
        <f t="shared" si="59"/>
        <v>#VALUE!</v>
      </c>
      <c r="J707" s="6">
        <f t="shared" si="62"/>
        <v>0</v>
      </c>
      <c r="K707" s="6">
        <f t="shared" si="62"/>
        <v>0</v>
      </c>
      <c r="L707" s="6">
        <f t="shared" si="62"/>
        <v>0</v>
      </c>
      <c r="M707" s="6">
        <f t="shared" si="62"/>
        <v>0</v>
      </c>
      <c r="N707" s="6" t="str">
        <f t="shared" si="60"/>
        <v/>
      </c>
      <c r="O707" s="6" t="str">
        <f t="shared" si="61"/>
        <v/>
      </c>
    </row>
    <row r="708" spans="8:15">
      <c r="H708">
        <f t="shared" si="58"/>
        <v>0</v>
      </c>
      <c r="I708" t="e">
        <f t="shared" si="59"/>
        <v>#VALUE!</v>
      </c>
      <c r="J708" s="6">
        <f t="shared" si="62"/>
        <v>0</v>
      </c>
      <c r="K708" s="6">
        <f t="shared" si="62"/>
        <v>0</v>
      </c>
      <c r="L708" s="6">
        <f t="shared" si="62"/>
        <v>0</v>
      </c>
      <c r="M708" s="6">
        <f t="shared" si="62"/>
        <v>0</v>
      </c>
      <c r="N708" s="6" t="str">
        <f t="shared" si="60"/>
        <v/>
      </c>
      <c r="O708" s="6" t="str">
        <f t="shared" si="61"/>
        <v/>
      </c>
    </row>
    <row r="709" spans="8:15">
      <c r="H709">
        <f t="shared" si="58"/>
        <v>0</v>
      </c>
      <c r="I709" t="e">
        <f t="shared" si="59"/>
        <v>#VALUE!</v>
      </c>
      <c r="J709" s="6">
        <f t="shared" si="62"/>
        <v>0</v>
      </c>
      <c r="K709" s="6">
        <f t="shared" si="62"/>
        <v>0</v>
      </c>
      <c r="L709" s="6">
        <f t="shared" si="62"/>
        <v>0</v>
      </c>
      <c r="M709" s="6">
        <f t="shared" si="62"/>
        <v>0</v>
      </c>
      <c r="N709" s="6" t="str">
        <f t="shared" si="60"/>
        <v/>
      </c>
      <c r="O709" s="6" t="str">
        <f t="shared" si="61"/>
        <v/>
      </c>
    </row>
    <row r="710" spans="8:15">
      <c r="H710">
        <f t="shared" si="58"/>
        <v>0</v>
      </c>
      <c r="I710" t="e">
        <f t="shared" si="59"/>
        <v>#VALUE!</v>
      </c>
      <c r="J710" s="6">
        <f t="shared" si="62"/>
        <v>0</v>
      </c>
      <c r="K710" s="6">
        <f t="shared" si="62"/>
        <v>0</v>
      </c>
      <c r="L710" s="6">
        <f t="shared" si="62"/>
        <v>0</v>
      </c>
      <c r="M710" s="6">
        <f t="shared" si="62"/>
        <v>0</v>
      </c>
      <c r="N710" s="6" t="str">
        <f t="shared" si="60"/>
        <v/>
      </c>
      <c r="O710" s="6" t="str">
        <f t="shared" si="61"/>
        <v/>
      </c>
    </row>
    <row r="711" spans="8:15">
      <c r="H711">
        <f t="shared" ref="H711:H774" si="63">A711</f>
        <v>0</v>
      </c>
      <c r="I711" t="e">
        <f t="shared" ref="I711:I774" si="64">LEFT(B711,SEARCH(" ",B711,1)-1)</f>
        <v>#VALUE!</v>
      </c>
      <c r="J711" s="6">
        <f t="shared" si="62"/>
        <v>0</v>
      </c>
      <c r="K711" s="6">
        <f t="shared" si="62"/>
        <v>0</v>
      </c>
      <c r="L711" s="6">
        <f t="shared" si="62"/>
        <v>0</v>
      </c>
      <c r="M711" s="6">
        <f t="shared" si="62"/>
        <v>0</v>
      </c>
      <c r="N711" s="6" t="str">
        <f t="shared" ref="N711:N774" si="65">TRIM($B$1)</f>
        <v/>
      </c>
      <c r="O711" s="6" t="str">
        <f t="shared" ref="O711:O774" si="66">TRIM($C$1)</f>
        <v/>
      </c>
    </row>
    <row r="712" spans="8:15">
      <c r="H712">
        <f t="shared" si="63"/>
        <v>0</v>
      </c>
      <c r="I712" t="e">
        <f t="shared" si="64"/>
        <v>#VALUE!</v>
      </c>
      <c r="J712" s="6">
        <f t="shared" si="62"/>
        <v>0</v>
      </c>
      <c r="K712" s="6">
        <f t="shared" si="62"/>
        <v>0</v>
      </c>
      <c r="L712" s="6">
        <f t="shared" si="62"/>
        <v>0</v>
      </c>
      <c r="M712" s="6">
        <f t="shared" si="62"/>
        <v>0</v>
      </c>
      <c r="N712" s="6" t="str">
        <f t="shared" si="65"/>
        <v/>
      </c>
      <c r="O712" s="6" t="str">
        <f t="shared" si="66"/>
        <v/>
      </c>
    </row>
    <row r="713" spans="8:15">
      <c r="H713">
        <f t="shared" si="63"/>
        <v>0</v>
      </c>
      <c r="I713" t="e">
        <f t="shared" si="64"/>
        <v>#VALUE!</v>
      </c>
      <c r="J713" s="6">
        <f t="shared" si="62"/>
        <v>0</v>
      </c>
      <c r="K713" s="6">
        <f t="shared" si="62"/>
        <v>0</v>
      </c>
      <c r="L713" s="6">
        <f t="shared" si="62"/>
        <v>0</v>
      </c>
      <c r="M713" s="6">
        <f t="shared" si="62"/>
        <v>0</v>
      </c>
      <c r="N713" s="6" t="str">
        <f t="shared" si="65"/>
        <v/>
      </c>
      <c r="O713" s="6" t="str">
        <f t="shared" si="66"/>
        <v/>
      </c>
    </row>
    <row r="714" spans="8:15">
      <c r="H714">
        <f t="shared" si="63"/>
        <v>0</v>
      </c>
      <c r="I714" t="e">
        <f t="shared" si="64"/>
        <v>#VALUE!</v>
      </c>
      <c r="J714" s="6">
        <f t="shared" si="62"/>
        <v>0</v>
      </c>
      <c r="K714" s="6">
        <f t="shared" si="62"/>
        <v>0</v>
      </c>
      <c r="L714" s="6">
        <f t="shared" si="62"/>
        <v>0</v>
      </c>
      <c r="M714" s="6">
        <f t="shared" si="62"/>
        <v>0</v>
      </c>
      <c r="N714" s="6" t="str">
        <f t="shared" si="65"/>
        <v/>
      </c>
      <c r="O714" s="6" t="str">
        <f t="shared" si="66"/>
        <v/>
      </c>
    </row>
    <row r="715" spans="8:15">
      <c r="H715">
        <f t="shared" si="63"/>
        <v>0</v>
      </c>
      <c r="I715" t="e">
        <f t="shared" si="64"/>
        <v>#VALUE!</v>
      </c>
      <c r="J715" s="6">
        <f t="shared" si="62"/>
        <v>0</v>
      </c>
      <c r="K715" s="6">
        <f t="shared" si="62"/>
        <v>0</v>
      </c>
      <c r="L715" s="6">
        <f t="shared" si="62"/>
        <v>0</v>
      </c>
      <c r="M715" s="6">
        <f t="shared" si="62"/>
        <v>0</v>
      </c>
      <c r="N715" s="6" t="str">
        <f t="shared" si="65"/>
        <v/>
      </c>
      <c r="O715" s="6" t="str">
        <f t="shared" si="66"/>
        <v/>
      </c>
    </row>
    <row r="716" spans="8:15">
      <c r="H716">
        <f t="shared" si="63"/>
        <v>0</v>
      </c>
      <c r="I716" t="e">
        <f t="shared" si="64"/>
        <v>#VALUE!</v>
      </c>
      <c r="J716" s="6">
        <f t="shared" si="62"/>
        <v>0</v>
      </c>
      <c r="K716" s="6">
        <f t="shared" si="62"/>
        <v>0</v>
      </c>
      <c r="L716" s="6">
        <f t="shared" si="62"/>
        <v>0</v>
      </c>
      <c r="M716" s="6">
        <f t="shared" si="62"/>
        <v>0</v>
      </c>
      <c r="N716" s="6" t="str">
        <f t="shared" si="65"/>
        <v/>
      </c>
      <c r="O716" s="6" t="str">
        <f t="shared" si="66"/>
        <v/>
      </c>
    </row>
    <row r="717" spans="8:15">
      <c r="H717">
        <f t="shared" si="63"/>
        <v>0</v>
      </c>
      <c r="I717" t="e">
        <f t="shared" si="64"/>
        <v>#VALUE!</v>
      </c>
      <c r="J717" s="6">
        <f t="shared" si="62"/>
        <v>0</v>
      </c>
      <c r="K717" s="6">
        <f t="shared" si="62"/>
        <v>0</v>
      </c>
      <c r="L717" s="6">
        <f t="shared" si="62"/>
        <v>0</v>
      </c>
      <c r="M717" s="6">
        <f t="shared" si="62"/>
        <v>0</v>
      </c>
      <c r="N717" s="6" t="str">
        <f t="shared" si="65"/>
        <v/>
      </c>
      <c r="O717" s="6" t="str">
        <f t="shared" si="66"/>
        <v/>
      </c>
    </row>
    <row r="718" spans="8:15">
      <c r="H718">
        <f t="shared" si="63"/>
        <v>0</v>
      </c>
      <c r="I718" t="e">
        <f t="shared" si="64"/>
        <v>#VALUE!</v>
      </c>
      <c r="J718" s="6">
        <f t="shared" si="62"/>
        <v>0</v>
      </c>
      <c r="K718" s="6">
        <f t="shared" si="62"/>
        <v>0</v>
      </c>
      <c r="L718" s="6">
        <f t="shared" si="62"/>
        <v>0</v>
      </c>
      <c r="M718" s="6">
        <f t="shared" si="62"/>
        <v>0</v>
      </c>
      <c r="N718" s="6" t="str">
        <f t="shared" si="65"/>
        <v/>
      </c>
      <c r="O718" s="6" t="str">
        <f t="shared" si="66"/>
        <v/>
      </c>
    </row>
    <row r="719" spans="8:15">
      <c r="H719">
        <f t="shared" si="63"/>
        <v>0</v>
      </c>
      <c r="I719" t="e">
        <f t="shared" si="64"/>
        <v>#VALUE!</v>
      </c>
      <c r="J719" s="6">
        <f t="shared" si="62"/>
        <v>0</v>
      </c>
      <c r="K719" s="6">
        <f t="shared" si="62"/>
        <v>0</v>
      </c>
      <c r="L719" s="6">
        <f t="shared" si="62"/>
        <v>0</v>
      </c>
      <c r="M719" s="6">
        <f t="shared" si="62"/>
        <v>0</v>
      </c>
      <c r="N719" s="6" t="str">
        <f t="shared" si="65"/>
        <v/>
      </c>
      <c r="O719" s="6" t="str">
        <f t="shared" si="66"/>
        <v/>
      </c>
    </row>
    <row r="720" spans="8:15">
      <c r="H720">
        <f t="shared" si="63"/>
        <v>0</v>
      </c>
      <c r="I720" t="e">
        <f t="shared" si="64"/>
        <v>#VALUE!</v>
      </c>
      <c r="J720" s="6">
        <f t="shared" si="62"/>
        <v>0</v>
      </c>
      <c r="K720" s="6">
        <f t="shared" si="62"/>
        <v>0</v>
      </c>
      <c r="L720" s="6">
        <f t="shared" si="62"/>
        <v>0</v>
      </c>
      <c r="M720" s="6">
        <f t="shared" si="62"/>
        <v>0</v>
      </c>
      <c r="N720" s="6" t="str">
        <f t="shared" si="65"/>
        <v/>
      </c>
      <c r="O720" s="6" t="str">
        <f t="shared" si="66"/>
        <v/>
      </c>
    </row>
    <row r="721" spans="8:15">
      <c r="H721">
        <f t="shared" si="63"/>
        <v>0</v>
      </c>
      <c r="I721" t="e">
        <f t="shared" si="64"/>
        <v>#VALUE!</v>
      </c>
      <c r="J721" s="6">
        <f t="shared" si="62"/>
        <v>0</v>
      </c>
      <c r="K721" s="6">
        <f t="shared" si="62"/>
        <v>0</v>
      </c>
      <c r="L721" s="6">
        <f t="shared" si="62"/>
        <v>0</v>
      </c>
      <c r="M721" s="6">
        <f t="shared" si="62"/>
        <v>0</v>
      </c>
      <c r="N721" s="6" t="str">
        <f t="shared" si="65"/>
        <v/>
      </c>
      <c r="O721" s="6" t="str">
        <f t="shared" si="66"/>
        <v/>
      </c>
    </row>
    <row r="722" spans="8:15">
      <c r="H722">
        <f t="shared" si="63"/>
        <v>0</v>
      </c>
      <c r="I722" t="e">
        <f t="shared" si="64"/>
        <v>#VALUE!</v>
      </c>
      <c r="J722" s="6">
        <f t="shared" si="62"/>
        <v>0</v>
      </c>
      <c r="K722" s="6">
        <f t="shared" si="62"/>
        <v>0</v>
      </c>
      <c r="L722" s="6">
        <f t="shared" si="62"/>
        <v>0</v>
      </c>
      <c r="M722" s="6">
        <f t="shared" si="62"/>
        <v>0</v>
      </c>
      <c r="N722" s="6" t="str">
        <f t="shared" si="65"/>
        <v/>
      </c>
      <c r="O722" s="6" t="str">
        <f t="shared" si="66"/>
        <v/>
      </c>
    </row>
    <row r="723" spans="8:15">
      <c r="H723">
        <f t="shared" si="63"/>
        <v>0</v>
      </c>
      <c r="I723" t="e">
        <f t="shared" si="64"/>
        <v>#VALUE!</v>
      </c>
      <c r="J723" s="6">
        <f t="shared" si="62"/>
        <v>0</v>
      </c>
      <c r="K723" s="6">
        <f t="shared" si="62"/>
        <v>0</v>
      </c>
      <c r="L723" s="6">
        <f t="shared" si="62"/>
        <v>0</v>
      </c>
      <c r="M723" s="6">
        <f t="shared" si="62"/>
        <v>0</v>
      </c>
      <c r="N723" s="6" t="str">
        <f t="shared" si="65"/>
        <v/>
      </c>
      <c r="O723" s="6" t="str">
        <f t="shared" si="66"/>
        <v/>
      </c>
    </row>
    <row r="724" spans="8:15">
      <c r="H724">
        <f t="shared" si="63"/>
        <v>0</v>
      </c>
      <c r="I724" t="e">
        <f t="shared" si="64"/>
        <v>#VALUE!</v>
      </c>
      <c r="J724" s="6">
        <f t="shared" si="62"/>
        <v>0</v>
      </c>
      <c r="K724" s="6">
        <f t="shared" si="62"/>
        <v>0</v>
      </c>
      <c r="L724" s="6">
        <f t="shared" si="62"/>
        <v>0</v>
      </c>
      <c r="M724" s="6">
        <f t="shared" si="62"/>
        <v>0</v>
      </c>
      <c r="N724" s="6" t="str">
        <f t="shared" si="65"/>
        <v/>
      </c>
      <c r="O724" s="6" t="str">
        <f t="shared" si="66"/>
        <v/>
      </c>
    </row>
    <row r="725" spans="8:15">
      <c r="H725">
        <f t="shared" si="63"/>
        <v>0</v>
      </c>
      <c r="I725" t="e">
        <f t="shared" si="64"/>
        <v>#VALUE!</v>
      </c>
      <c r="J725" s="6">
        <f t="shared" si="62"/>
        <v>0</v>
      </c>
      <c r="K725" s="6">
        <f t="shared" si="62"/>
        <v>0</v>
      </c>
      <c r="L725" s="6">
        <f t="shared" si="62"/>
        <v>0</v>
      </c>
      <c r="M725" s="6">
        <f t="shared" si="62"/>
        <v>0</v>
      </c>
      <c r="N725" s="6" t="str">
        <f t="shared" si="65"/>
        <v/>
      </c>
      <c r="O725" s="6" t="str">
        <f t="shared" si="66"/>
        <v/>
      </c>
    </row>
    <row r="726" spans="8:15">
      <c r="H726">
        <f t="shared" si="63"/>
        <v>0</v>
      </c>
      <c r="I726" t="e">
        <f t="shared" si="64"/>
        <v>#VALUE!</v>
      </c>
      <c r="J726" s="6">
        <f t="shared" si="62"/>
        <v>0</v>
      </c>
      <c r="K726" s="6">
        <f t="shared" si="62"/>
        <v>0</v>
      </c>
      <c r="L726" s="6">
        <f t="shared" si="62"/>
        <v>0</v>
      </c>
      <c r="M726" s="6">
        <f t="shared" si="62"/>
        <v>0</v>
      </c>
      <c r="N726" s="6" t="str">
        <f t="shared" si="65"/>
        <v/>
      </c>
      <c r="O726" s="6" t="str">
        <f t="shared" si="66"/>
        <v/>
      </c>
    </row>
    <row r="727" spans="8:15">
      <c r="H727">
        <f t="shared" si="63"/>
        <v>0</v>
      </c>
      <c r="I727" t="e">
        <f t="shared" si="64"/>
        <v>#VALUE!</v>
      </c>
      <c r="J727" s="6">
        <f t="shared" si="62"/>
        <v>0</v>
      </c>
      <c r="K727" s="6">
        <f t="shared" si="62"/>
        <v>0</v>
      </c>
      <c r="L727" s="6">
        <f t="shared" si="62"/>
        <v>0</v>
      </c>
      <c r="M727" s="6">
        <f t="shared" si="62"/>
        <v>0</v>
      </c>
      <c r="N727" s="6" t="str">
        <f t="shared" si="65"/>
        <v/>
      </c>
      <c r="O727" s="6" t="str">
        <f t="shared" si="66"/>
        <v/>
      </c>
    </row>
    <row r="728" spans="8:15">
      <c r="H728">
        <f t="shared" si="63"/>
        <v>0</v>
      </c>
      <c r="I728" t="e">
        <f t="shared" si="64"/>
        <v>#VALUE!</v>
      </c>
      <c r="J728" s="6">
        <f t="shared" si="62"/>
        <v>0</v>
      </c>
      <c r="K728" s="6">
        <f t="shared" si="62"/>
        <v>0</v>
      </c>
      <c r="L728" s="6">
        <f t="shared" si="62"/>
        <v>0</v>
      </c>
      <c r="M728" s="6">
        <f t="shared" si="62"/>
        <v>0</v>
      </c>
      <c r="N728" s="6" t="str">
        <f t="shared" si="65"/>
        <v/>
      </c>
      <c r="O728" s="6" t="str">
        <f t="shared" si="66"/>
        <v/>
      </c>
    </row>
    <row r="729" spans="8:15">
      <c r="H729">
        <f t="shared" si="63"/>
        <v>0</v>
      </c>
      <c r="I729" t="e">
        <f t="shared" si="64"/>
        <v>#VALUE!</v>
      </c>
      <c r="J729" s="6">
        <f t="shared" si="62"/>
        <v>0</v>
      </c>
      <c r="K729" s="6">
        <f t="shared" si="62"/>
        <v>0</v>
      </c>
      <c r="L729" s="6">
        <f t="shared" si="62"/>
        <v>0</v>
      </c>
      <c r="M729" s="6">
        <f t="shared" si="62"/>
        <v>0</v>
      </c>
      <c r="N729" s="6" t="str">
        <f t="shared" si="65"/>
        <v/>
      </c>
      <c r="O729" s="6" t="str">
        <f t="shared" si="66"/>
        <v/>
      </c>
    </row>
    <row r="730" spans="8:15">
      <c r="H730">
        <f t="shared" si="63"/>
        <v>0</v>
      </c>
      <c r="I730" t="e">
        <f t="shared" si="64"/>
        <v>#VALUE!</v>
      </c>
      <c r="J730" s="6">
        <f t="shared" si="62"/>
        <v>0</v>
      </c>
      <c r="K730" s="6">
        <f t="shared" si="62"/>
        <v>0</v>
      </c>
      <c r="L730" s="6">
        <f t="shared" si="62"/>
        <v>0</v>
      </c>
      <c r="M730" s="6">
        <f t="shared" si="62"/>
        <v>0</v>
      </c>
      <c r="N730" s="6" t="str">
        <f t="shared" si="65"/>
        <v/>
      </c>
      <c r="O730" s="6" t="str">
        <f t="shared" si="66"/>
        <v/>
      </c>
    </row>
    <row r="731" spans="8:15">
      <c r="H731">
        <f t="shared" si="63"/>
        <v>0</v>
      </c>
      <c r="I731" t="e">
        <f t="shared" si="64"/>
        <v>#VALUE!</v>
      </c>
      <c r="J731" s="6">
        <f t="shared" si="62"/>
        <v>0</v>
      </c>
      <c r="K731" s="6">
        <f t="shared" si="62"/>
        <v>0</v>
      </c>
      <c r="L731" s="6">
        <f t="shared" si="62"/>
        <v>0</v>
      </c>
      <c r="M731" s="6">
        <f t="shared" si="62"/>
        <v>0</v>
      </c>
      <c r="N731" s="6" t="str">
        <f t="shared" si="65"/>
        <v/>
      </c>
      <c r="O731" s="6" t="str">
        <f t="shared" si="66"/>
        <v/>
      </c>
    </row>
    <row r="732" spans="8:15">
      <c r="H732">
        <f t="shared" si="63"/>
        <v>0</v>
      </c>
      <c r="I732" t="e">
        <f t="shared" si="64"/>
        <v>#VALUE!</v>
      </c>
      <c r="J732" s="6">
        <f t="shared" si="62"/>
        <v>0</v>
      </c>
      <c r="K732" s="6">
        <f t="shared" si="62"/>
        <v>0</v>
      </c>
      <c r="L732" s="6">
        <f t="shared" si="62"/>
        <v>0</v>
      </c>
      <c r="M732" s="6">
        <f t="shared" si="62"/>
        <v>0</v>
      </c>
      <c r="N732" s="6" t="str">
        <f t="shared" si="65"/>
        <v/>
      </c>
      <c r="O732" s="6" t="str">
        <f t="shared" si="66"/>
        <v/>
      </c>
    </row>
    <row r="733" spans="8:15">
      <c r="H733">
        <f t="shared" si="63"/>
        <v>0</v>
      </c>
      <c r="I733" t="e">
        <f t="shared" si="64"/>
        <v>#VALUE!</v>
      </c>
      <c r="J733" s="6">
        <f t="shared" si="62"/>
        <v>0</v>
      </c>
      <c r="K733" s="6">
        <f t="shared" si="62"/>
        <v>0</v>
      </c>
      <c r="L733" s="6">
        <f t="shared" si="62"/>
        <v>0</v>
      </c>
      <c r="M733" s="6">
        <f t="shared" si="62"/>
        <v>0</v>
      </c>
      <c r="N733" s="6" t="str">
        <f t="shared" si="65"/>
        <v/>
      </c>
      <c r="O733" s="6" t="str">
        <f t="shared" si="66"/>
        <v/>
      </c>
    </row>
    <row r="734" spans="8:15">
      <c r="H734">
        <f t="shared" si="63"/>
        <v>0</v>
      </c>
      <c r="I734" t="e">
        <f t="shared" si="64"/>
        <v>#VALUE!</v>
      </c>
      <c r="J734" s="6">
        <f t="shared" si="62"/>
        <v>0</v>
      </c>
      <c r="K734" s="6">
        <f t="shared" si="62"/>
        <v>0</v>
      </c>
      <c r="L734" s="6">
        <f t="shared" si="62"/>
        <v>0</v>
      </c>
      <c r="M734" s="6">
        <f t="shared" si="62"/>
        <v>0</v>
      </c>
      <c r="N734" s="6" t="str">
        <f t="shared" si="65"/>
        <v/>
      </c>
      <c r="O734" s="6" t="str">
        <f t="shared" si="66"/>
        <v/>
      </c>
    </row>
    <row r="735" spans="8:15">
      <c r="H735">
        <f t="shared" si="63"/>
        <v>0</v>
      </c>
      <c r="I735" t="e">
        <f t="shared" si="64"/>
        <v>#VALUE!</v>
      </c>
      <c r="J735" s="6">
        <f t="shared" si="62"/>
        <v>0</v>
      </c>
      <c r="K735" s="6">
        <f t="shared" si="62"/>
        <v>0</v>
      </c>
      <c r="L735" s="6">
        <f t="shared" si="62"/>
        <v>0</v>
      </c>
      <c r="M735" s="6">
        <f t="shared" si="62"/>
        <v>0</v>
      </c>
      <c r="N735" s="6" t="str">
        <f t="shared" si="65"/>
        <v/>
      </c>
      <c r="O735" s="6" t="str">
        <f t="shared" si="66"/>
        <v/>
      </c>
    </row>
    <row r="736" spans="8:15">
      <c r="H736">
        <f t="shared" si="63"/>
        <v>0</v>
      </c>
      <c r="I736" t="e">
        <f t="shared" si="64"/>
        <v>#VALUE!</v>
      </c>
      <c r="J736" s="6">
        <f t="shared" si="62"/>
        <v>0</v>
      </c>
      <c r="K736" s="6">
        <f t="shared" si="62"/>
        <v>0</v>
      </c>
      <c r="L736" s="6">
        <f t="shared" si="62"/>
        <v>0</v>
      </c>
      <c r="M736" s="6">
        <f t="shared" si="62"/>
        <v>0</v>
      </c>
      <c r="N736" s="6" t="str">
        <f t="shared" si="65"/>
        <v/>
      </c>
      <c r="O736" s="6" t="str">
        <f t="shared" si="66"/>
        <v/>
      </c>
    </row>
    <row r="737" spans="8:15">
      <c r="H737">
        <f t="shared" si="63"/>
        <v>0</v>
      </c>
      <c r="I737" t="e">
        <f t="shared" si="64"/>
        <v>#VALUE!</v>
      </c>
      <c r="J737" s="6">
        <f t="shared" si="62"/>
        <v>0</v>
      </c>
      <c r="K737" s="6">
        <f t="shared" si="62"/>
        <v>0</v>
      </c>
      <c r="L737" s="6">
        <f t="shared" si="62"/>
        <v>0</v>
      </c>
      <c r="M737" s="6">
        <f t="shared" si="62"/>
        <v>0</v>
      </c>
      <c r="N737" s="6" t="str">
        <f t="shared" si="65"/>
        <v/>
      </c>
      <c r="O737" s="6" t="str">
        <f t="shared" si="66"/>
        <v/>
      </c>
    </row>
    <row r="738" spans="8:15">
      <c r="H738">
        <f t="shared" si="63"/>
        <v>0</v>
      </c>
      <c r="I738" t="e">
        <f t="shared" si="64"/>
        <v>#VALUE!</v>
      </c>
      <c r="J738" s="6">
        <f t="shared" si="62"/>
        <v>0</v>
      </c>
      <c r="K738" s="6">
        <f t="shared" si="62"/>
        <v>0</v>
      </c>
      <c r="L738" s="6">
        <f t="shared" si="62"/>
        <v>0</v>
      </c>
      <c r="M738" s="6">
        <f t="shared" si="62"/>
        <v>0</v>
      </c>
      <c r="N738" s="6" t="str">
        <f t="shared" si="65"/>
        <v/>
      </c>
      <c r="O738" s="6" t="str">
        <f t="shared" si="66"/>
        <v/>
      </c>
    </row>
    <row r="739" spans="8:15">
      <c r="H739">
        <f t="shared" si="63"/>
        <v>0</v>
      </c>
      <c r="I739" t="e">
        <f t="shared" si="64"/>
        <v>#VALUE!</v>
      </c>
      <c r="J739" s="6">
        <f t="shared" si="62"/>
        <v>0</v>
      </c>
      <c r="K739" s="6">
        <f t="shared" si="62"/>
        <v>0</v>
      </c>
      <c r="L739" s="6">
        <f t="shared" si="62"/>
        <v>0</v>
      </c>
      <c r="M739" s="6">
        <f t="shared" si="62"/>
        <v>0</v>
      </c>
      <c r="N739" s="6" t="str">
        <f t="shared" si="65"/>
        <v/>
      </c>
      <c r="O739" s="6" t="str">
        <f t="shared" si="66"/>
        <v/>
      </c>
    </row>
    <row r="740" spans="8:15">
      <c r="H740">
        <f t="shared" si="63"/>
        <v>0</v>
      </c>
      <c r="I740" t="e">
        <f t="shared" si="64"/>
        <v>#VALUE!</v>
      </c>
      <c r="J740" s="6">
        <f t="shared" si="62"/>
        <v>0</v>
      </c>
      <c r="K740" s="6">
        <f t="shared" si="62"/>
        <v>0</v>
      </c>
      <c r="L740" s="6">
        <f t="shared" si="62"/>
        <v>0</v>
      </c>
      <c r="M740" s="6">
        <f t="shared" si="62"/>
        <v>0</v>
      </c>
      <c r="N740" s="6" t="str">
        <f t="shared" si="65"/>
        <v/>
      </c>
      <c r="O740" s="6" t="str">
        <f t="shared" si="66"/>
        <v/>
      </c>
    </row>
    <row r="741" spans="8:15">
      <c r="H741">
        <f t="shared" si="63"/>
        <v>0</v>
      </c>
      <c r="I741" t="e">
        <f t="shared" si="64"/>
        <v>#VALUE!</v>
      </c>
      <c r="J741" s="6">
        <f t="shared" si="62"/>
        <v>0</v>
      </c>
      <c r="K741" s="6">
        <f t="shared" si="62"/>
        <v>0</v>
      </c>
      <c r="L741" s="6">
        <f t="shared" si="62"/>
        <v>0</v>
      </c>
      <c r="M741" s="6">
        <f t="shared" si="62"/>
        <v>0</v>
      </c>
      <c r="N741" s="6" t="str">
        <f t="shared" si="65"/>
        <v/>
      </c>
      <c r="O741" s="6" t="str">
        <f t="shared" si="66"/>
        <v/>
      </c>
    </row>
    <row r="742" spans="8:15">
      <c r="H742">
        <f t="shared" si="63"/>
        <v>0</v>
      </c>
      <c r="I742" t="e">
        <f t="shared" si="64"/>
        <v>#VALUE!</v>
      </c>
      <c r="J742" s="6">
        <f t="shared" si="62"/>
        <v>0</v>
      </c>
      <c r="K742" s="6">
        <f t="shared" si="62"/>
        <v>0</v>
      </c>
      <c r="L742" s="6">
        <f t="shared" si="62"/>
        <v>0</v>
      </c>
      <c r="M742" s="6">
        <f t="shared" si="62"/>
        <v>0</v>
      </c>
      <c r="N742" s="6" t="str">
        <f t="shared" si="65"/>
        <v/>
      </c>
      <c r="O742" s="6" t="str">
        <f t="shared" si="66"/>
        <v/>
      </c>
    </row>
    <row r="743" spans="8:15">
      <c r="H743">
        <f t="shared" si="63"/>
        <v>0</v>
      </c>
      <c r="I743" t="e">
        <f t="shared" si="64"/>
        <v>#VALUE!</v>
      </c>
      <c r="J743" s="6">
        <f t="shared" si="62"/>
        <v>0</v>
      </c>
      <c r="K743" s="6">
        <f t="shared" si="62"/>
        <v>0</v>
      </c>
      <c r="L743" s="6">
        <f t="shared" si="62"/>
        <v>0</v>
      </c>
      <c r="M743" s="6">
        <f t="shared" si="62"/>
        <v>0</v>
      </c>
      <c r="N743" s="6" t="str">
        <f t="shared" si="65"/>
        <v/>
      </c>
      <c r="O743" s="6" t="str">
        <f t="shared" si="66"/>
        <v/>
      </c>
    </row>
    <row r="744" spans="8:15">
      <c r="H744">
        <f t="shared" si="63"/>
        <v>0</v>
      </c>
      <c r="I744" t="e">
        <f t="shared" si="64"/>
        <v>#VALUE!</v>
      </c>
      <c r="J744" s="6">
        <f t="shared" si="62"/>
        <v>0</v>
      </c>
      <c r="K744" s="6">
        <f t="shared" si="62"/>
        <v>0</v>
      </c>
      <c r="L744" s="6">
        <f t="shared" si="62"/>
        <v>0</v>
      </c>
      <c r="M744" s="6">
        <f t="shared" si="62"/>
        <v>0</v>
      </c>
      <c r="N744" s="6" t="str">
        <f t="shared" si="65"/>
        <v/>
      </c>
      <c r="O744" s="6" t="str">
        <f t="shared" si="66"/>
        <v/>
      </c>
    </row>
    <row r="745" spans="8:15">
      <c r="H745">
        <f t="shared" si="63"/>
        <v>0</v>
      </c>
      <c r="I745" t="e">
        <f t="shared" si="64"/>
        <v>#VALUE!</v>
      </c>
      <c r="J745" s="6">
        <f t="shared" si="62"/>
        <v>0</v>
      </c>
      <c r="K745" s="6">
        <f t="shared" si="62"/>
        <v>0</v>
      </c>
      <c r="L745" s="6">
        <f t="shared" si="62"/>
        <v>0</v>
      </c>
      <c r="M745" s="6">
        <f t="shared" si="62"/>
        <v>0</v>
      </c>
      <c r="N745" s="6" t="str">
        <f t="shared" si="65"/>
        <v/>
      </c>
      <c r="O745" s="6" t="str">
        <f t="shared" si="66"/>
        <v/>
      </c>
    </row>
    <row r="746" spans="8:15">
      <c r="H746">
        <f t="shared" si="63"/>
        <v>0</v>
      </c>
      <c r="I746" t="e">
        <f t="shared" si="64"/>
        <v>#VALUE!</v>
      </c>
      <c r="J746" s="6">
        <f t="shared" si="62"/>
        <v>0</v>
      </c>
      <c r="K746" s="6">
        <f t="shared" si="62"/>
        <v>0</v>
      </c>
      <c r="L746" s="6">
        <f t="shared" si="62"/>
        <v>0</v>
      </c>
      <c r="M746" s="6">
        <f t="shared" si="62"/>
        <v>0</v>
      </c>
      <c r="N746" s="6" t="str">
        <f t="shared" si="65"/>
        <v/>
      </c>
      <c r="O746" s="6" t="str">
        <f t="shared" si="66"/>
        <v/>
      </c>
    </row>
    <row r="747" spans="8:15">
      <c r="H747">
        <f t="shared" si="63"/>
        <v>0</v>
      </c>
      <c r="I747" t="e">
        <f t="shared" si="64"/>
        <v>#VALUE!</v>
      </c>
      <c r="J747" s="6">
        <f t="shared" si="62"/>
        <v>0</v>
      </c>
      <c r="K747" s="6">
        <f t="shared" si="62"/>
        <v>0</v>
      </c>
      <c r="L747" s="6">
        <f t="shared" si="62"/>
        <v>0</v>
      </c>
      <c r="M747" s="6">
        <f t="shared" si="62"/>
        <v>0</v>
      </c>
      <c r="N747" s="6" t="str">
        <f t="shared" si="65"/>
        <v/>
      </c>
      <c r="O747" s="6" t="str">
        <f t="shared" si="66"/>
        <v/>
      </c>
    </row>
    <row r="748" spans="8:15">
      <c r="H748">
        <f t="shared" si="63"/>
        <v>0</v>
      </c>
      <c r="I748" t="e">
        <f t="shared" si="64"/>
        <v>#VALUE!</v>
      </c>
      <c r="J748" s="6">
        <f t="shared" si="62"/>
        <v>0</v>
      </c>
      <c r="K748" s="6">
        <f t="shared" si="62"/>
        <v>0</v>
      </c>
      <c r="L748" s="6">
        <f t="shared" si="62"/>
        <v>0</v>
      </c>
      <c r="M748" s="6">
        <f t="shared" si="62"/>
        <v>0</v>
      </c>
      <c r="N748" s="6" t="str">
        <f t="shared" si="65"/>
        <v/>
      </c>
      <c r="O748" s="6" t="str">
        <f t="shared" si="66"/>
        <v/>
      </c>
    </row>
    <row r="749" spans="8:15">
      <c r="H749">
        <f t="shared" si="63"/>
        <v>0</v>
      </c>
      <c r="I749" t="e">
        <f t="shared" si="64"/>
        <v>#VALUE!</v>
      </c>
      <c r="J749" s="6">
        <f t="shared" si="62"/>
        <v>0</v>
      </c>
      <c r="K749" s="6">
        <f t="shared" si="62"/>
        <v>0</v>
      </c>
      <c r="L749" s="6">
        <f t="shared" si="62"/>
        <v>0</v>
      </c>
      <c r="M749" s="6">
        <f t="shared" si="62"/>
        <v>0</v>
      </c>
      <c r="N749" s="6" t="str">
        <f t="shared" si="65"/>
        <v/>
      </c>
      <c r="O749" s="6" t="str">
        <f t="shared" si="66"/>
        <v/>
      </c>
    </row>
    <row r="750" spans="8:15">
      <c r="H750">
        <f t="shared" si="63"/>
        <v>0</v>
      </c>
      <c r="I750" t="e">
        <f t="shared" si="64"/>
        <v>#VALUE!</v>
      </c>
      <c r="J750" s="6">
        <f t="shared" si="62"/>
        <v>0</v>
      </c>
      <c r="K750" s="6">
        <f t="shared" si="62"/>
        <v>0</v>
      </c>
      <c r="L750" s="6">
        <f t="shared" si="62"/>
        <v>0</v>
      </c>
      <c r="M750" s="6">
        <f t="shared" si="62"/>
        <v>0</v>
      </c>
      <c r="N750" s="6" t="str">
        <f t="shared" si="65"/>
        <v/>
      </c>
      <c r="O750" s="6" t="str">
        <f t="shared" si="66"/>
        <v/>
      </c>
    </row>
    <row r="751" spans="8:15">
      <c r="H751">
        <f t="shared" si="63"/>
        <v>0</v>
      </c>
      <c r="I751" t="e">
        <f t="shared" si="64"/>
        <v>#VALUE!</v>
      </c>
      <c r="J751" s="6">
        <f t="shared" si="62"/>
        <v>0</v>
      </c>
      <c r="K751" s="6">
        <f t="shared" si="62"/>
        <v>0</v>
      </c>
      <c r="L751" s="6">
        <f t="shared" si="62"/>
        <v>0</v>
      </c>
      <c r="M751" s="6">
        <f t="shared" si="62"/>
        <v>0</v>
      </c>
      <c r="N751" s="6" t="str">
        <f t="shared" si="65"/>
        <v/>
      </c>
      <c r="O751" s="6" t="str">
        <f t="shared" si="66"/>
        <v/>
      </c>
    </row>
    <row r="752" spans="8:15">
      <c r="H752">
        <f t="shared" si="63"/>
        <v>0</v>
      </c>
      <c r="I752" t="e">
        <f t="shared" si="64"/>
        <v>#VALUE!</v>
      </c>
      <c r="J752" s="6">
        <f t="shared" si="62"/>
        <v>0</v>
      </c>
      <c r="K752" s="6">
        <f t="shared" si="62"/>
        <v>0</v>
      </c>
      <c r="L752" s="6">
        <f t="shared" si="62"/>
        <v>0</v>
      </c>
      <c r="M752" s="6">
        <f t="shared" si="62"/>
        <v>0</v>
      </c>
      <c r="N752" s="6" t="str">
        <f t="shared" si="65"/>
        <v/>
      </c>
      <c r="O752" s="6" t="str">
        <f t="shared" si="66"/>
        <v/>
      </c>
    </row>
    <row r="753" spans="8:15">
      <c r="H753">
        <f t="shared" si="63"/>
        <v>0</v>
      </c>
      <c r="I753" t="e">
        <f t="shared" si="64"/>
        <v>#VALUE!</v>
      </c>
      <c r="J753" s="6">
        <f t="shared" si="62"/>
        <v>0</v>
      </c>
      <c r="K753" s="6">
        <f t="shared" si="62"/>
        <v>0</v>
      </c>
      <c r="L753" s="6">
        <f t="shared" si="62"/>
        <v>0</v>
      </c>
      <c r="M753" s="6">
        <f t="shared" si="62"/>
        <v>0</v>
      </c>
      <c r="N753" s="6" t="str">
        <f t="shared" si="65"/>
        <v/>
      </c>
      <c r="O753" s="6" t="str">
        <f t="shared" si="66"/>
        <v/>
      </c>
    </row>
    <row r="754" spans="8:15">
      <c r="H754">
        <f t="shared" si="63"/>
        <v>0</v>
      </c>
      <c r="I754" t="e">
        <f t="shared" si="64"/>
        <v>#VALUE!</v>
      </c>
      <c r="J754" s="6">
        <f t="shared" si="62"/>
        <v>0</v>
      </c>
      <c r="K754" s="6">
        <f t="shared" si="62"/>
        <v>0</v>
      </c>
      <c r="L754" s="6">
        <f t="shared" si="62"/>
        <v>0</v>
      </c>
      <c r="M754" s="6">
        <f t="shared" si="62"/>
        <v>0</v>
      </c>
      <c r="N754" s="6" t="str">
        <f t="shared" si="65"/>
        <v/>
      </c>
      <c r="O754" s="6" t="str">
        <f t="shared" si="66"/>
        <v/>
      </c>
    </row>
    <row r="755" spans="8:15">
      <c r="H755">
        <f t="shared" si="63"/>
        <v>0</v>
      </c>
      <c r="I755" t="e">
        <f t="shared" si="64"/>
        <v>#VALUE!</v>
      </c>
      <c r="J755" s="6">
        <f t="shared" si="62"/>
        <v>0</v>
      </c>
      <c r="K755" s="6">
        <f t="shared" si="62"/>
        <v>0</v>
      </c>
      <c r="L755" s="6">
        <f t="shared" si="62"/>
        <v>0</v>
      </c>
      <c r="M755" s="6">
        <f t="shared" si="62"/>
        <v>0</v>
      </c>
      <c r="N755" s="6" t="str">
        <f t="shared" si="65"/>
        <v/>
      </c>
      <c r="O755" s="6" t="str">
        <f t="shared" si="66"/>
        <v/>
      </c>
    </row>
    <row r="756" spans="8:15">
      <c r="H756">
        <f t="shared" si="63"/>
        <v>0</v>
      </c>
      <c r="I756" t="e">
        <f t="shared" si="64"/>
        <v>#VALUE!</v>
      </c>
      <c r="J756" s="6">
        <f t="shared" si="62"/>
        <v>0</v>
      </c>
      <c r="K756" s="6">
        <f t="shared" si="62"/>
        <v>0</v>
      </c>
      <c r="L756" s="6">
        <f t="shared" si="62"/>
        <v>0</v>
      </c>
      <c r="M756" s="6">
        <f t="shared" si="62"/>
        <v>0</v>
      </c>
      <c r="N756" s="6" t="str">
        <f t="shared" si="65"/>
        <v/>
      </c>
      <c r="O756" s="6" t="str">
        <f t="shared" si="66"/>
        <v/>
      </c>
    </row>
    <row r="757" spans="8:15">
      <c r="H757">
        <f t="shared" si="63"/>
        <v>0</v>
      </c>
      <c r="I757" t="e">
        <f t="shared" si="64"/>
        <v>#VALUE!</v>
      </c>
      <c r="J757" s="6">
        <f t="shared" si="62"/>
        <v>0</v>
      </c>
      <c r="K757" s="6">
        <f t="shared" si="62"/>
        <v>0</v>
      </c>
      <c r="L757" s="6">
        <f t="shared" si="62"/>
        <v>0</v>
      </c>
      <c r="M757" s="6">
        <f t="shared" si="62"/>
        <v>0</v>
      </c>
      <c r="N757" s="6" t="str">
        <f t="shared" si="65"/>
        <v/>
      </c>
      <c r="O757" s="6" t="str">
        <f t="shared" si="66"/>
        <v/>
      </c>
    </row>
    <row r="758" spans="8:15">
      <c r="H758">
        <f t="shared" si="63"/>
        <v>0</v>
      </c>
      <c r="I758" t="e">
        <f t="shared" si="64"/>
        <v>#VALUE!</v>
      </c>
      <c r="J758" s="6">
        <f t="shared" si="62"/>
        <v>0</v>
      </c>
      <c r="K758" s="6">
        <f t="shared" si="62"/>
        <v>0</v>
      </c>
      <c r="L758" s="6">
        <f t="shared" si="62"/>
        <v>0</v>
      </c>
      <c r="M758" s="6">
        <f t="shared" si="62"/>
        <v>0</v>
      </c>
      <c r="N758" s="6" t="str">
        <f t="shared" si="65"/>
        <v/>
      </c>
      <c r="O758" s="6" t="str">
        <f t="shared" si="66"/>
        <v/>
      </c>
    </row>
    <row r="759" spans="8:15">
      <c r="H759">
        <f t="shared" si="63"/>
        <v>0</v>
      </c>
      <c r="I759" t="e">
        <f t="shared" si="64"/>
        <v>#VALUE!</v>
      </c>
      <c r="J759" s="6">
        <f t="shared" si="62"/>
        <v>0</v>
      </c>
      <c r="K759" s="6">
        <f t="shared" si="62"/>
        <v>0</v>
      </c>
      <c r="L759" s="6">
        <f t="shared" si="62"/>
        <v>0</v>
      </c>
      <c r="M759" s="6">
        <f t="shared" si="62"/>
        <v>0</v>
      </c>
      <c r="N759" s="6" t="str">
        <f t="shared" si="65"/>
        <v/>
      </c>
      <c r="O759" s="6" t="str">
        <f t="shared" si="66"/>
        <v/>
      </c>
    </row>
    <row r="760" spans="8:15">
      <c r="H760">
        <f t="shared" si="63"/>
        <v>0</v>
      </c>
      <c r="I760" t="e">
        <f t="shared" si="64"/>
        <v>#VALUE!</v>
      </c>
      <c r="J760" s="6">
        <f t="shared" si="62"/>
        <v>0</v>
      </c>
      <c r="K760" s="6">
        <f t="shared" si="62"/>
        <v>0</v>
      </c>
      <c r="L760" s="6">
        <f t="shared" si="62"/>
        <v>0</v>
      </c>
      <c r="M760" s="6">
        <f t="shared" si="62"/>
        <v>0</v>
      </c>
      <c r="N760" s="6" t="str">
        <f t="shared" si="65"/>
        <v/>
      </c>
      <c r="O760" s="6" t="str">
        <f t="shared" si="66"/>
        <v/>
      </c>
    </row>
    <row r="761" spans="8:15">
      <c r="H761">
        <f t="shared" si="63"/>
        <v>0</v>
      </c>
      <c r="I761" t="e">
        <f t="shared" si="64"/>
        <v>#VALUE!</v>
      </c>
      <c r="J761" s="6">
        <f t="shared" si="62"/>
        <v>0</v>
      </c>
      <c r="K761" s="6">
        <f t="shared" si="62"/>
        <v>0</v>
      </c>
      <c r="L761" s="6">
        <f t="shared" si="62"/>
        <v>0</v>
      </c>
      <c r="M761" s="6">
        <f t="shared" si="62"/>
        <v>0</v>
      </c>
      <c r="N761" s="6" t="str">
        <f t="shared" si="65"/>
        <v/>
      </c>
      <c r="O761" s="6" t="str">
        <f t="shared" si="66"/>
        <v/>
      </c>
    </row>
    <row r="762" spans="8:15">
      <c r="H762">
        <f t="shared" si="63"/>
        <v>0</v>
      </c>
      <c r="I762" t="e">
        <f t="shared" si="64"/>
        <v>#VALUE!</v>
      </c>
      <c r="J762" s="6">
        <f t="shared" si="62"/>
        <v>0</v>
      </c>
      <c r="K762" s="6">
        <f t="shared" si="62"/>
        <v>0</v>
      </c>
      <c r="L762" s="6">
        <f t="shared" si="62"/>
        <v>0</v>
      </c>
      <c r="M762" s="6">
        <f t="shared" si="62"/>
        <v>0</v>
      </c>
      <c r="N762" s="6" t="str">
        <f t="shared" si="65"/>
        <v/>
      </c>
      <c r="O762" s="6" t="str">
        <f t="shared" si="66"/>
        <v/>
      </c>
    </row>
    <row r="763" spans="8:15">
      <c r="H763">
        <f t="shared" si="63"/>
        <v>0</v>
      </c>
      <c r="I763" t="e">
        <f t="shared" si="64"/>
        <v>#VALUE!</v>
      </c>
      <c r="J763" s="6">
        <f t="shared" si="62"/>
        <v>0</v>
      </c>
      <c r="K763" s="6">
        <f t="shared" si="62"/>
        <v>0</v>
      </c>
      <c r="L763" s="6">
        <f t="shared" si="62"/>
        <v>0</v>
      </c>
      <c r="M763" s="6">
        <f t="shared" si="62"/>
        <v>0</v>
      </c>
      <c r="N763" s="6" t="str">
        <f t="shared" si="65"/>
        <v/>
      </c>
      <c r="O763" s="6" t="str">
        <f t="shared" si="66"/>
        <v/>
      </c>
    </row>
    <row r="764" spans="8:15">
      <c r="H764">
        <f t="shared" si="63"/>
        <v>0</v>
      </c>
      <c r="I764" t="e">
        <f t="shared" si="64"/>
        <v>#VALUE!</v>
      </c>
      <c r="J764" s="6">
        <f t="shared" si="62"/>
        <v>0</v>
      </c>
      <c r="K764" s="6">
        <f t="shared" si="62"/>
        <v>0</v>
      </c>
      <c r="L764" s="6">
        <f t="shared" si="62"/>
        <v>0</v>
      </c>
      <c r="M764" s="6">
        <f t="shared" si="62"/>
        <v>0</v>
      </c>
      <c r="N764" s="6" t="str">
        <f t="shared" si="65"/>
        <v/>
      </c>
      <c r="O764" s="6" t="str">
        <f t="shared" si="66"/>
        <v/>
      </c>
    </row>
    <row r="765" spans="8:15">
      <c r="H765">
        <f t="shared" si="63"/>
        <v>0</v>
      </c>
      <c r="I765" t="e">
        <f t="shared" si="64"/>
        <v>#VALUE!</v>
      </c>
      <c r="J765" s="6">
        <f t="shared" si="62"/>
        <v>0</v>
      </c>
      <c r="K765" s="6">
        <f t="shared" si="62"/>
        <v>0</v>
      </c>
      <c r="L765" s="6">
        <f t="shared" si="62"/>
        <v>0</v>
      </c>
      <c r="M765" s="6">
        <f t="shared" si="62"/>
        <v>0</v>
      </c>
      <c r="N765" s="6" t="str">
        <f t="shared" si="65"/>
        <v/>
      </c>
      <c r="O765" s="6" t="str">
        <f t="shared" si="66"/>
        <v/>
      </c>
    </row>
    <row r="766" spans="8:15">
      <c r="H766">
        <f t="shared" si="63"/>
        <v>0</v>
      </c>
      <c r="I766" t="e">
        <f t="shared" si="64"/>
        <v>#VALUE!</v>
      </c>
      <c r="J766" s="6">
        <f t="shared" si="62"/>
        <v>0</v>
      </c>
      <c r="K766" s="6">
        <f t="shared" si="62"/>
        <v>0</v>
      </c>
      <c r="L766" s="6">
        <f t="shared" si="62"/>
        <v>0</v>
      </c>
      <c r="M766" s="6">
        <f t="shared" si="62"/>
        <v>0</v>
      </c>
      <c r="N766" s="6" t="str">
        <f t="shared" si="65"/>
        <v/>
      </c>
      <c r="O766" s="6" t="str">
        <f t="shared" si="66"/>
        <v/>
      </c>
    </row>
    <row r="767" spans="8:15">
      <c r="H767">
        <f t="shared" si="63"/>
        <v>0</v>
      </c>
      <c r="I767" t="e">
        <f t="shared" si="64"/>
        <v>#VALUE!</v>
      </c>
      <c r="J767" s="6">
        <f t="shared" si="62"/>
        <v>0</v>
      </c>
      <c r="K767" s="6">
        <f t="shared" si="62"/>
        <v>0</v>
      </c>
      <c r="L767" s="6">
        <f t="shared" si="62"/>
        <v>0</v>
      </c>
      <c r="M767" s="6">
        <f t="shared" si="62"/>
        <v>0</v>
      </c>
      <c r="N767" s="6" t="str">
        <f t="shared" si="65"/>
        <v/>
      </c>
      <c r="O767" s="6" t="str">
        <f t="shared" si="66"/>
        <v/>
      </c>
    </row>
    <row r="768" spans="8:15">
      <c r="H768">
        <f t="shared" si="63"/>
        <v>0</v>
      </c>
      <c r="I768" t="e">
        <f t="shared" si="64"/>
        <v>#VALUE!</v>
      </c>
      <c r="J768" s="6">
        <f t="shared" si="62"/>
        <v>0</v>
      </c>
      <c r="K768" s="6">
        <f t="shared" si="62"/>
        <v>0</v>
      </c>
      <c r="L768" s="6">
        <f t="shared" si="62"/>
        <v>0</v>
      </c>
      <c r="M768" s="6">
        <f t="shared" si="62"/>
        <v>0</v>
      </c>
      <c r="N768" s="6" t="str">
        <f t="shared" si="65"/>
        <v/>
      </c>
      <c r="O768" s="6" t="str">
        <f t="shared" si="66"/>
        <v/>
      </c>
    </row>
    <row r="769" spans="8:15">
      <c r="H769">
        <f t="shared" si="63"/>
        <v>0</v>
      </c>
      <c r="I769" t="e">
        <f t="shared" si="64"/>
        <v>#VALUE!</v>
      </c>
      <c r="J769" s="6">
        <f t="shared" si="62"/>
        <v>0</v>
      </c>
      <c r="K769" s="6">
        <f t="shared" si="62"/>
        <v>0</v>
      </c>
      <c r="L769" s="6">
        <f t="shared" si="62"/>
        <v>0</v>
      </c>
      <c r="M769" s="6">
        <f t="shared" ref="M769:M832" si="67">F769</f>
        <v>0</v>
      </c>
      <c r="N769" s="6" t="str">
        <f t="shared" si="65"/>
        <v/>
      </c>
      <c r="O769" s="6" t="str">
        <f t="shared" si="66"/>
        <v/>
      </c>
    </row>
    <row r="770" spans="8:15">
      <c r="H770">
        <f t="shared" si="63"/>
        <v>0</v>
      </c>
      <c r="I770" t="e">
        <f t="shared" si="64"/>
        <v>#VALUE!</v>
      </c>
      <c r="J770" s="6">
        <f t="shared" ref="J770:M833" si="68">C770</f>
        <v>0</v>
      </c>
      <c r="K770" s="6">
        <f t="shared" si="68"/>
        <v>0</v>
      </c>
      <c r="L770" s="6">
        <f t="shared" si="68"/>
        <v>0</v>
      </c>
      <c r="M770" s="6">
        <f t="shared" si="67"/>
        <v>0</v>
      </c>
      <c r="N770" s="6" t="str">
        <f t="shared" si="65"/>
        <v/>
      </c>
      <c r="O770" s="6" t="str">
        <f t="shared" si="66"/>
        <v/>
      </c>
    </row>
    <row r="771" spans="8:15">
      <c r="H771">
        <f t="shared" si="63"/>
        <v>0</v>
      </c>
      <c r="I771" t="e">
        <f t="shared" si="64"/>
        <v>#VALUE!</v>
      </c>
      <c r="J771" s="6">
        <f t="shared" si="68"/>
        <v>0</v>
      </c>
      <c r="K771" s="6">
        <f t="shared" si="68"/>
        <v>0</v>
      </c>
      <c r="L771" s="6">
        <f t="shared" si="68"/>
        <v>0</v>
      </c>
      <c r="M771" s="6">
        <f t="shared" si="67"/>
        <v>0</v>
      </c>
      <c r="N771" s="6" t="str">
        <f t="shared" si="65"/>
        <v/>
      </c>
      <c r="O771" s="6" t="str">
        <f t="shared" si="66"/>
        <v/>
      </c>
    </row>
    <row r="772" spans="8:15">
      <c r="H772">
        <f t="shared" si="63"/>
        <v>0</v>
      </c>
      <c r="I772" t="e">
        <f t="shared" si="64"/>
        <v>#VALUE!</v>
      </c>
      <c r="J772" s="6">
        <f t="shared" si="68"/>
        <v>0</v>
      </c>
      <c r="K772" s="6">
        <f t="shared" si="68"/>
        <v>0</v>
      </c>
      <c r="L772" s="6">
        <f t="shared" si="68"/>
        <v>0</v>
      </c>
      <c r="M772" s="6">
        <f t="shared" si="67"/>
        <v>0</v>
      </c>
      <c r="N772" s="6" t="str">
        <f t="shared" si="65"/>
        <v/>
      </c>
      <c r="O772" s="6" t="str">
        <f t="shared" si="66"/>
        <v/>
      </c>
    </row>
    <row r="773" spans="8:15">
      <c r="H773">
        <f t="shared" si="63"/>
        <v>0</v>
      </c>
      <c r="I773" t="e">
        <f t="shared" si="64"/>
        <v>#VALUE!</v>
      </c>
      <c r="J773" s="6">
        <f t="shared" si="68"/>
        <v>0</v>
      </c>
      <c r="K773" s="6">
        <f t="shared" si="68"/>
        <v>0</v>
      </c>
      <c r="L773" s="6">
        <f t="shared" si="68"/>
        <v>0</v>
      </c>
      <c r="M773" s="6">
        <f t="shared" si="67"/>
        <v>0</v>
      </c>
      <c r="N773" s="6" t="str">
        <f t="shared" si="65"/>
        <v/>
      </c>
      <c r="O773" s="6" t="str">
        <f t="shared" si="66"/>
        <v/>
      </c>
    </row>
    <row r="774" spans="8:15">
      <c r="H774">
        <f t="shared" si="63"/>
        <v>0</v>
      </c>
      <c r="I774" t="e">
        <f t="shared" si="64"/>
        <v>#VALUE!</v>
      </c>
      <c r="J774" s="6">
        <f t="shared" si="68"/>
        <v>0</v>
      </c>
      <c r="K774" s="6">
        <f t="shared" si="68"/>
        <v>0</v>
      </c>
      <c r="L774" s="6">
        <f t="shared" si="68"/>
        <v>0</v>
      </c>
      <c r="M774" s="6">
        <f t="shared" si="67"/>
        <v>0</v>
      </c>
      <c r="N774" s="6" t="str">
        <f t="shared" si="65"/>
        <v/>
      </c>
      <c r="O774" s="6" t="str">
        <f t="shared" si="66"/>
        <v/>
      </c>
    </row>
    <row r="775" spans="8:15">
      <c r="H775">
        <f t="shared" ref="H775:H838" si="69">A775</f>
        <v>0</v>
      </c>
      <c r="I775" t="e">
        <f t="shared" ref="I775:I838" si="70">LEFT(B775,SEARCH(" ",B775,1)-1)</f>
        <v>#VALUE!</v>
      </c>
      <c r="J775" s="6">
        <f t="shared" si="68"/>
        <v>0</v>
      </c>
      <c r="K775" s="6">
        <f t="shared" si="68"/>
        <v>0</v>
      </c>
      <c r="L775" s="6">
        <f t="shared" si="68"/>
        <v>0</v>
      </c>
      <c r="M775" s="6">
        <f t="shared" si="67"/>
        <v>0</v>
      </c>
      <c r="N775" s="6" t="str">
        <f t="shared" ref="N775:N838" si="71">TRIM($B$1)</f>
        <v/>
      </c>
      <c r="O775" s="6" t="str">
        <f t="shared" ref="O775:O838" si="72">TRIM($C$1)</f>
        <v/>
      </c>
    </row>
    <row r="776" spans="8:15">
      <c r="H776">
        <f t="shared" si="69"/>
        <v>0</v>
      </c>
      <c r="I776" t="e">
        <f t="shared" si="70"/>
        <v>#VALUE!</v>
      </c>
      <c r="J776" s="6">
        <f t="shared" si="68"/>
        <v>0</v>
      </c>
      <c r="K776" s="6">
        <f t="shared" si="68"/>
        <v>0</v>
      </c>
      <c r="L776" s="6">
        <f t="shared" si="68"/>
        <v>0</v>
      </c>
      <c r="M776" s="6">
        <f t="shared" si="67"/>
        <v>0</v>
      </c>
      <c r="N776" s="6" t="str">
        <f t="shared" si="71"/>
        <v/>
      </c>
      <c r="O776" s="6" t="str">
        <f t="shared" si="72"/>
        <v/>
      </c>
    </row>
    <row r="777" spans="8:15">
      <c r="H777">
        <f t="shared" si="69"/>
        <v>0</v>
      </c>
      <c r="I777" t="e">
        <f t="shared" si="70"/>
        <v>#VALUE!</v>
      </c>
      <c r="J777" s="6">
        <f t="shared" si="68"/>
        <v>0</v>
      </c>
      <c r="K777" s="6">
        <f t="shared" si="68"/>
        <v>0</v>
      </c>
      <c r="L777" s="6">
        <f t="shared" si="68"/>
        <v>0</v>
      </c>
      <c r="M777" s="6">
        <f t="shared" si="67"/>
        <v>0</v>
      </c>
      <c r="N777" s="6" t="str">
        <f t="shared" si="71"/>
        <v/>
      </c>
      <c r="O777" s="6" t="str">
        <f t="shared" si="72"/>
        <v/>
      </c>
    </row>
    <row r="778" spans="8:15">
      <c r="H778">
        <f t="shared" si="69"/>
        <v>0</v>
      </c>
      <c r="I778" t="e">
        <f t="shared" si="70"/>
        <v>#VALUE!</v>
      </c>
      <c r="J778" s="6">
        <f t="shared" si="68"/>
        <v>0</v>
      </c>
      <c r="K778" s="6">
        <f t="shared" si="68"/>
        <v>0</v>
      </c>
      <c r="L778" s="6">
        <f t="shared" si="68"/>
        <v>0</v>
      </c>
      <c r="M778" s="6">
        <f t="shared" si="67"/>
        <v>0</v>
      </c>
      <c r="N778" s="6" t="str">
        <f t="shared" si="71"/>
        <v/>
      </c>
      <c r="O778" s="6" t="str">
        <f t="shared" si="72"/>
        <v/>
      </c>
    </row>
    <row r="779" spans="8:15">
      <c r="H779">
        <f t="shared" si="69"/>
        <v>0</v>
      </c>
      <c r="I779" t="e">
        <f t="shared" si="70"/>
        <v>#VALUE!</v>
      </c>
      <c r="J779" s="6">
        <f t="shared" si="68"/>
        <v>0</v>
      </c>
      <c r="K779" s="6">
        <f t="shared" si="68"/>
        <v>0</v>
      </c>
      <c r="L779" s="6">
        <f t="shared" si="68"/>
        <v>0</v>
      </c>
      <c r="M779" s="6">
        <f t="shared" si="67"/>
        <v>0</v>
      </c>
      <c r="N779" s="6" t="str">
        <f t="shared" si="71"/>
        <v/>
      </c>
      <c r="O779" s="6" t="str">
        <f t="shared" si="72"/>
        <v/>
      </c>
    </row>
    <row r="780" spans="8:15">
      <c r="H780">
        <f t="shared" si="69"/>
        <v>0</v>
      </c>
      <c r="I780" t="e">
        <f t="shared" si="70"/>
        <v>#VALUE!</v>
      </c>
      <c r="J780" s="6">
        <f t="shared" si="68"/>
        <v>0</v>
      </c>
      <c r="K780" s="6">
        <f t="shared" si="68"/>
        <v>0</v>
      </c>
      <c r="L780" s="6">
        <f t="shared" si="68"/>
        <v>0</v>
      </c>
      <c r="M780" s="6">
        <f t="shared" si="67"/>
        <v>0</v>
      </c>
      <c r="N780" s="6" t="str">
        <f t="shared" si="71"/>
        <v/>
      </c>
      <c r="O780" s="6" t="str">
        <f t="shared" si="72"/>
        <v/>
      </c>
    </row>
    <row r="781" spans="8:15">
      <c r="H781">
        <f t="shared" si="69"/>
        <v>0</v>
      </c>
      <c r="I781" t="e">
        <f t="shared" si="70"/>
        <v>#VALUE!</v>
      </c>
      <c r="J781" s="6">
        <f t="shared" si="68"/>
        <v>0</v>
      </c>
      <c r="K781" s="6">
        <f t="shared" si="68"/>
        <v>0</v>
      </c>
      <c r="L781" s="6">
        <f t="shared" si="68"/>
        <v>0</v>
      </c>
      <c r="M781" s="6">
        <f t="shared" si="67"/>
        <v>0</v>
      </c>
      <c r="N781" s="6" t="str">
        <f t="shared" si="71"/>
        <v/>
      </c>
      <c r="O781" s="6" t="str">
        <f t="shared" si="72"/>
        <v/>
      </c>
    </row>
    <row r="782" spans="8:15">
      <c r="H782">
        <f t="shared" si="69"/>
        <v>0</v>
      </c>
      <c r="I782" t="e">
        <f t="shared" si="70"/>
        <v>#VALUE!</v>
      </c>
      <c r="J782" s="6">
        <f t="shared" si="68"/>
        <v>0</v>
      </c>
      <c r="K782" s="6">
        <f t="shared" si="68"/>
        <v>0</v>
      </c>
      <c r="L782" s="6">
        <f t="shared" si="68"/>
        <v>0</v>
      </c>
      <c r="M782" s="6">
        <f t="shared" si="67"/>
        <v>0</v>
      </c>
      <c r="N782" s="6" t="str">
        <f t="shared" si="71"/>
        <v/>
      </c>
      <c r="O782" s="6" t="str">
        <f t="shared" si="72"/>
        <v/>
      </c>
    </row>
    <row r="783" spans="8:15">
      <c r="H783">
        <f t="shared" si="69"/>
        <v>0</v>
      </c>
      <c r="I783" t="e">
        <f t="shared" si="70"/>
        <v>#VALUE!</v>
      </c>
      <c r="J783" s="6">
        <f t="shared" si="68"/>
        <v>0</v>
      </c>
      <c r="K783" s="6">
        <f t="shared" si="68"/>
        <v>0</v>
      </c>
      <c r="L783" s="6">
        <f t="shared" si="68"/>
        <v>0</v>
      </c>
      <c r="M783" s="6">
        <f t="shared" si="67"/>
        <v>0</v>
      </c>
      <c r="N783" s="6" t="str">
        <f t="shared" si="71"/>
        <v/>
      </c>
      <c r="O783" s="6" t="str">
        <f t="shared" si="72"/>
        <v/>
      </c>
    </row>
    <row r="784" spans="8:15">
      <c r="H784">
        <f t="shared" si="69"/>
        <v>0</v>
      </c>
      <c r="I784" t="e">
        <f t="shared" si="70"/>
        <v>#VALUE!</v>
      </c>
      <c r="J784" s="6">
        <f t="shared" si="68"/>
        <v>0</v>
      </c>
      <c r="K784" s="6">
        <f t="shared" si="68"/>
        <v>0</v>
      </c>
      <c r="L784" s="6">
        <f t="shared" si="68"/>
        <v>0</v>
      </c>
      <c r="M784" s="6">
        <f t="shared" si="67"/>
        <v>0</v>
      </c>
      <c r="N784" s="6" t="str">
        <f t="shared" si="71"/>
        <v/>
      </c>
      <c r="O784" s="6" t="str">
        <f t="shared" si="72"/>
        <v/>
      </c>
    </row>
    <row r="785" spans="8:15">
      <c r="H785">
        <f t="shared" si="69"/>
        <v>0</v>
      </c>
      <c r="I785" t="e">
        <f t="shared" si="70"/>
        <v>#VALUE!</v>
      </c>
      <c r="J785" s="6">
        <f t="shared" si="68"/>
        <v>0</v>
      </c>
      <c r="K785" s="6">
        <f t="shared" si="68"/>
        <v>0</v>
      </c>
      <c r="L785" s="6">
        <f t="shared" si="68"/>
        <v>0</v>
      </c>
      <c r="M785" s="6">
        <f t="shared" si="67"/>
        <v>0</v>
      </c>
      <c r="N785" s="6" t="str">
        <f t="shared" si="71"/>
        <v/>
      </c>
      <c r="O785" s="6" t="str">
        <f t="shared" si="72"/>
        <v/>
      </c>
    </row>
    <row r="786" spans="8:15">
      <c r="H786">
        <f t="shared" si="69"/>
        <v>0</v>
      </c>
      <c r="I786" t="e">
        <f t="shared" si="70"/>
        <v>#VALUE!</v>
      </c>
      <c r="J786" s="6">
        <f t="shared" si="68"/>
        <v>0</v>
      </c>
      <c r="K786" s="6">
        <f t="shared" si="68"/>
        <v>0</v>
      </c>
      <c r="L786" s="6">
        <f t="shared" si="68"/>
        <v>0</v>
      </c>
      <c r="M786" s="6">
        <f t="shared" si="67"/>
        <v>0</v>
      </c>
      <c r="N786" s="6" t="str">
        <f t="shared" si="71"/>
        <v/>
      </c>
      <c r="O786" s="6" t="str">
        <f t="shared" si="72"/>
        <v/>
      </c>
    </row>
    <row r="787" spans="8:15">
      <c r="H787">
        <f t="shared" si="69"/>
        <v>0</v>
      </c>
      <c r="I787" t="e">
        <f t="shared" si="70"/>
        <v>#VALUE!</v>
      </c>
      <c r="J787" s="6">
        <f t="shared" si="68"/>
        <v>0</v>
      </c>
      <c r="K787" s="6">
        <f t="shared" si="68"/>
        <v>0</v>
      </c>
      <c r="L787" s="6">
        <f t="shared" si="68"/>
        <v>0</v>
      </c>
      <c r="M787" s="6">
        <f t="shared" si="67"/>
        <v>0</v>
      </c>
      <c r="N787" s="6" t="str">
        <f t="shared" si="71"/>
        <v/>
      </c>
      <c r="O787" s="6" t="str">
        <f t="shared" si="72"/>
        <v/>
      </c>
    </row>
    <row r="788" spans="8:15">
      <c r="H788">
        <f t="shared" si="69"/>
        <v>0</v>
      </c>
      <c r="I788" t="e">
        <f t="shared" si="70"/>
        <v>#VALUE!</v>
      </c>
      <c r="J788" s="6">
        <f t="shared" si="68"/>
        <v>0</v>
      </c>
      <c r="K788" s="6">
        <f t="shared" si="68"/>
        <v>0</v>
      </c>
      <c r="L788" s="6">
        <f t="shared" si="68"/>
        <v>0</v>
      </c>
      <c r="M788" s="6">
        <f t="shared" si="67"/>
        <v>0</v>
      </c>
      <c r="N788" s="6" t="str">
        <f t="shared" si="71"/>
        <v/>
      </c>
      <c r="O788" s="6" t="str">
        <f t="shared" si="72"/>
        <v/>
      </c>
    </row>
    <row r="789" spans="8:15">
      <c r="H789">
        <f t="shared" si="69"/>
        <v>0</v>
      </c>
      <c r="I789" t="e">
        <f t="shared" si="70"/>
        <v>#VALUE!</v>
      </c>
      <c r="J789" s="6">
        <f t="shared" si="68"/>
        <v>0</v>
      </c>
      <c r="K789" s="6">
        <f t="shared" si="68"/>
        <v>0</v>
      </c>
      <c r="L789" s="6">
        <f t="shared" si="68"/>
        <v>0</v>
      </c>
      <c r="M789" s="6">
        <f t="shared" si="67"/>
        <v>0</v>
      </c>
      <c r="N789" s="6" t="str">
        <f t="shared" si="71"/>
        <v/>
      </c>
      <c r="O789" s="6" t="str">
        <f t="shared" si="72"/>
        <v/>
      </c>
    </row>
    <row r="790" spans="8:15">
      <c r="H790">
        <f t="shared" si="69"/>
        <v>0</v>
      </c>
      <c r="I790" t="e">
        <f t="shared" si="70"/>
        <v>#VALUE!</v>
      </c>
      <c r="J790" s="6">
        <f t="shared" si="68"/>
        <v>0</v>
      </c>
      <c r="K790" s="6">
        <f t="shared" si="68"/>
        <v>0</v>
      </c>
      <c r="L790" s="6">
        <f t="shared" si="68"/>
        <v>0</v>
      </c>
      <c r="M790" s="6">
        <f t="shared" si="67"/>
        <v>0</v>
      </c>
      <c r="N790" s="6" t="str">
        <f t="shared" si="71"/>
        <v/>
      </c>
      <c r="O790" s="6" t="str">
        <f t="shared" si="72"/>
        <v/>
      </c>
    </row>
    <row r="791" spans="8:15">
      <c r="H791">
        <f t="shared" si="69"/>
        <v>0</v>
      </c>
      <c r="I791" t="e">
        <f t="shared" si="70"/>
        <v>#VALUE!</v>
      </c>
      <c r="J791" s="6">
        <f t="shared" si="68"/>
        <v>0</v>
      </c>
      <c r="K791" s="6">
        <f t="shared" si="68"/>
        <v>0</v>
      </c>
      <c r="L791" s="6">
        <f t="shared" si="68"/>
        <v>0</v>
      </c>
      <c r="M791" s="6">
        <f t="shared" si="67"/>
        <v>0</v>
      </c>
      <c r="N791" s="6" t="str">
        <f t="shared" si="71"/>
        <v/>
      </c>
      <c r="O791" s="6" t="str">
        <f t="shared" si="72"/>
        <v/>
      </c>
    </row>
    <row r="792" spans="8:15">
      <c r="H792">
        <f t="shared" si="69"/>
        <v>0</v>
      </c>
      <c r="I792" t="e">
        <f t="shared" si="70"/>
        <v>#VALUE!</v>
      </c>
      <c r="J792" s="6">
        <f t="shared" si="68"/>
        <v>0</v>
      </c>
      <c r="K792" s="6">
        <f t="shared" si="68"/>
        <v>0</v>
      </c>
      <c r="L792" s="6">
        <f t="shared" si="68"/>
        <v>0</v>
      </c>
      <c r="M792" s="6">
        <f t="shared" si="67"/>
        <v>0</v>
      </c>
      <c r="N792" s="6" t="str">
        <f t="shared" si="71"/>
        <v/>
      </c>
      <c r="O792" s="6" t="str">
        <f t="shared" si="72"/>
        <v/>
      </c>
    </row>
    <row r="793" spans="8:15">
      <c r="H793">
        <f t="shared" si="69"/>
        <v>0</v>
      </c>
      <c r="I793" t="e">
        <f t="shared" si="70"/>
        <v>#VALUE!</v>
      </c>
      <c r="J793" s="6">
        <f t="shared" si="68"/>
        <v>0</v>
      </c>
      <c r="K793" s="6">
        <f t="shared" si="68"/>
        <v>0</v>
      </c>
      <c r="L793" s="6">
        <f t="shared" si="68"/>
        <v>0</v>
      </c>
      <c r="M793" s="6">
        <f t="shared" si="67"/>
        <v>0</v>
      </c>
      <c r="N793" s="6" t="str">
        <f t="shared" si="71"/>
        <v/>
      </c>
      <c r="O793" s="6" t="str">
        <f t="shared" si="72"/>
        <v/>
      </c>
    </row>
    <row r="794" spans="8:15">
      <c r="H794">
        <f t="shared" si="69"/>
        <v>0</v>
      </c>
      <c r="I794" t="e">
        <f t="shared" si="70"/>
        <v>#VALUE!</v>
      </c>
      <c r="J794" s="6">
        <f t="shared" si="68"/>
        <v>0</v>
      </c>
      <c r="K794" s="6">
        <f t="shared" si="68"/>
        <v>0</v>
      </c>
      <c r="L794" s="6">
        <f t="shared" si="68"/>
        <v>0</v>
      </c>
      <c r="M794" s="6">
        <f t="shared" si="67"/>
        <v>0</v>
      </c>
      <c r="N794" s="6" t="str">
        <f t="shared" si="71"/>
        <v/>
      </c>
      <c r="O794" s="6" t="str">
        <f t="shared" si="72"/>
        <v/>
      </c>
    </row>
    <row r="795" spans="8:15">
      <c r="H795">
        <f t="shared" si="69"/>
        <v>0</v>
      </c>
      <c r="I795" t="e">
        <f t="shared" si="70"/>
        <v>#VALUE!</v>
      </c>
      <c r="J795" s="6">
        <f t="shared" si="68"/>
        <v>0</v>
      </c>
      <c r="K795" s="6">
        <f t="shared" si="68"/>
        <v>0</v>
      </c>
      <c r="L795" s="6">
        <f t="shared" si="68"/>
        <v>0</v>
      </c>
      <c r="M795" s="6">
        <f t="shared" si="67"/>
        <v>0</v>
      </c>
      <c r="N795" s="6" t="str">
        <f t="shared" si="71"/>
        <v/>
      </c>
      <c r="O795" s="6" t="str">
        <f t="shared" si="72"/>
        <v/>
      </c>
    </row>
    <row r="796" spans="8:15">
      <c r="H796">
        <f t="shared" si="69"/>
        <v>0</v>
      </c>
      <c r="I796" t="e">
        <f t="shared" si="70"/>
        <v>#VALUE!</v>
      </c>
      <c r="J796" s="6">
        <f t="shared" si="68"/>
        <v>0</v>
      </c>
      <c r="K796" s="6">
        <f t="shared" si="68"/>
        <v>0</v>
      </c>
      <c r="L796" s="6">
        <f t="shared" si="68"/>
        <v>0</v>
      </c>
      <c r="M796" s="6">
        <f t="shared" si="67"/>
        <v>0</v>
      </c>
      <c r="N796" s="6" t="str">
        <f t="shared" si="71"/>
        <v/>
      </c>
      <c r="O796" s="6" t="str">
        <f t="shared" si="72"/>
        <v/>
      </c>
    </row>
    <row r="797" spans="8:15">
      <c r="H797">
        <f t="shared" si="69"/>
        <v>0</v>
      </c>
      <c r="I797" t="e">
        <f t="shared" si="70"/>
        <v>#VALUE!</v>
      </c>
      <c r="J797" s="6">
        <f t="shared" si="68"/>
        <v>0</v>
      </c>
      <c r="K797" s="6">
        <f t="shared" si="68"/>
        <v>0</v>
      </c>
      <c r="L797" s="6">
        <f t="shared" si="68"/>
        <v>0</v>
      </c>
      <c r="M797" s="6">
        <f t="shared" si="67"/>
        <v>0</v>
      </c>
      <c r="N797" s="6" t="str">
        <f t="shared" si="71"/>
        <v/>
      </c>
      <c r="O797" s="6" t="str">
        <f t="shared" si="72"/>
        <v/>
      </c>
    </row>
    <row r="798" spans="8:15">
      <c r="H798">
        <f t="shared" si="69"/>
        <v>0</v>
      </c>
      <c r="I798" t="e">
        <f t="shared" si="70"/>
        <v>#VALUE!</v>
      </c>
      <c r="J798" s="6">
        <f t="shared" si="68"/>
        <v>0</v>
      </c>
      <c r="K798" s="6">
        <f t="shared" si="68"/>
        <v>0</v>
      </c>
      <c r="L798" s="6">
        <f t="shared" si="68"/>
        <v>0</v>
      </c>
      <c r="M798" s="6">
        <f t="shared" si="67"/>
        <v>0</v>
      </c>
      <c r="N798" s="6" t="str">
        <f t="shared" si="71"/>
        <v/>
      </c>
      <c r="O798" s="6" t="str">
        <f t="shared" si="72"/>
        <v/>
      </c>
    </row>
    <row r="799" spans="8:15">
      <c r="H799">
        <f t="shared" si="69"/>
        <v>0</v>
      </c>
      <c r="I799" t="e">
        <f t="shared" si="70"/>
        <v>#VALUE!</v>
      </c>
      <c r="J799" s="6">
        <f t="shared" si="68"/>
        <v>0</v>
      </c>
      <c r="K799" s="6">
        <f t="shared" si="68"/>
        <v>0</v>
      </c>
      <c r="L799" s="6">
        <f t="shared" si="68"/>
        <v>0</v>
      </c>
      <c r="M799" s="6">
        <f t="shared" si="67"/>
        <v>0</v>
      </c>
      <c r="N799" s="6" t="str">
        <f t="shared" si="71"/>
        <v/>
      </c>
      <c r="O799" s="6" t="str">
        <f t="shared" si="72"/>
        <v/>
      </c>
    </row>
    <row r="800" spans="8:15">
      <c r="H800">
        <f t="shared" si="69"/>
        <v>0</v>
      </c>
      <c r="I800" t="e">
        <f t="shared" si="70"/>
        <v>#VALUE!</v>
      </c>
      <c r="J800" s="6">
        <f t="shared" si="68"/>
        <v>0</v>
      </c>
      <c r="K800" s="6">
        <f t="shared" si="68"/>
        <v>0</v>
      </c>
      <c r="L800" s="6">
        <f t="shared" si="68"/>
        <v>0</v>
      </c>
      <c r="M800" s="6">
        <f t="shared" si="67"/>
        <v>0</v>
      </c>
      <c r="N800" s="6" t="str">
        <f t="shared" si="71"/>
        <v/>
      </c>
      <c r="O800" s="6" t="str">
        <f t="shared" si="72"/>
        <v/>
      </c>
    </row>
    <row r="801" spans="8:15">
      <c r="H801">
        <f t="shared" si="69"/>
        <v>0</v>
      </c>
      <c r="I801" t="e">
        <f t="shared" si="70"/>
        <v>#VALUE!</v>
      </c>
      <c r="J801" s="6">
        <f t="shared" si="68"/>
        <v>0</v>
      </c>
      <c r="K801" s="6">
        <f t="shared" si="68"/>
        <v>0</v>
      </c>
      <c r="L801" s="6">
        <f t="shared" si="68"/>
        <v>0</v>
      </c>
      <c r="M801" s="6">
        <f t="shared" si="67"/>
        <v>0</v>
      </c>
      <c r="N801" s="6" t="str">
        <f t="shared" si="71"/>
        <v/>
      </c>
      <c r="O801" s="6" t="str">
        <f t="shared" si="72"/>
        <v/>
      </c>
    </row>
    <row r="802" spans="8:15">
      <c r="H802">
        <f t="shared" si="69"/>
        <v>0</v>
      </c>
      <c r="I802" t="e">
        <f t="shared" si="70"/>
        <v>#VALUE!</v>
      </c>
      <c r="J802" s="6">
        <f t="shared" si="68"/>
        <v>0</v>
      </c>
      <c r="K802" s="6">
        <f t="shared" si="68"/>
        <v>0</v>
      </c>
      <c r="L802" s="6">
        <f t="shared" si="68"/>
        <v>0</v>
      </c>
      <c r="M802" s="6">
        <f t="shared" si="67"/>
        <v>0</v>
      </c>
      <c r="N802" s="6" t="str">
        <f t="shared" si="71"/>
        <v/>
      </c>
      <c r="O802" s="6" t="str">
        <f t="shared" si="72"/>
        <v/>
      </c>
    </row>
    <row r="803" spans="8:15">
      <c r="H803">
        <f t="shared" si="69"/>
        <v>0</v>
      </c>
      <c r="I803" t="e">
        <f t="shared" si="70"/>
        <v>#VALUE!</v>
      </c>
      <c r="J803" s="6">
        <f t="shared" si="68"/>
        <v>0</v>
      </c>
      <c r="K803" s="6">
        <f t="shared" si="68"/>
        <v>0</v>
      </c>
      <c r="L803" s="6">
        <f t="shared" si="68"/>
        <v>0</v>
      </c>
      <c r="M803" s="6">
        <f t="shared" si="67"/>
        <v>0</v>
      </c>
      <c r="N803" s="6" t="str">
        <f t="shared" si="71"/>
        <v/>
      </c>
      <c r="O803" s="6" t="str">
        <f t="shared" si="72"/>
        <v/>
      </c>
    </row>
    <row r="804" spans="8:15">
      <c r="H804">
        <f t="shared" si="69"/>
        <v>0</v>
      </c>
      <c r="I804" t="e">
        <f t="shared" si="70"/>
        <v>#VALUE!</v>
      </c>
      <c r="J804" s="6">
        <f t="shared" si="68"/>
        <v>0</v>
      </c>
      <c r="K804" s="6">
        <f t="shared" si="68"/>
        <v>0</v>
      </c>
      <c r="L804" s="6">
        <f t="shared" si="68"/>
        <v>0</v>
      </c>
      <c r="M804" s="6">
        <f t="shared" si="67"/>
        <v>0</v>
      </c>
      <c r="N804" s="6" t="str">
        <f t="shared" si="71"/>
        <v/>
      </c>
      <c r="O804" s="6" t="str">
        <f t="shared" si="72"/>
        <v/>
      </c>
    </row>
    <row r="805" spans="8:15">
      <c r="H805">
        <f t="shared" si="69"/>
        <v>0</v>
      </c>
      <c r="I805" t="e">
        <f t="shared" si="70"/>
        <v>#VALUE!</v>
      </c>
      <c r="J805" s="6">
        <f t="shared" si="68"/>
        <v>0</v>
      </c>
      <c r="K805" s="6">
        <f t="shared" si="68"/>
        <v>0</v>
      </c>
      <c r="L805" s="6">
        <f t="shared" si="68"/>
        <v>0</v>
      </c>
      <c r="M805" s="6">
        <f t="shared" si="67"/>
        <v>0</v>
      </c>
      <c r="N805" s="6" t="str">
        <f t="shared" si="71"/>
        <v/>
      </c>
      <c r="O805" s="6" t="str">
        <f t="shared" si="72"/>
        <v/>
      </c>
    </row>
    <row r="806" spans="8:15">
      <c r="H806">
        <f t="shared" si="69"/>
        <v>0</v>
      </c>
      <c r="I806" t="e">
        <f t="shared" si="70"/>
        <v>#VALUE!</v>
      </c>
      <c r="J806" s="6">
        <f t="shared" si="68"/>
        <v>0</v>
      </c>
      <c r="K806" s="6">
        <f t="shared" si="68"/>
        <v>0</v>
      </c>
      <c r="L806" s="6">
        <f t="shared" si="68"/>
        <v>0</v>
      </c>
      <c r="M806" s="6">
        <f t="shared" si="67"/>
        <v>0</v>
      </c>
      <c r="N806" s="6" t="str">
        <f t="shared" si="71"/>
        <v/>
      </c>
      <c r="O806" s="6" t="str">
        <f t="shared" si="72"/>
        <v/>
      </c>
    </row>
    <row r="807" spans="8:15">
      <c r="H807">
        <f t="shared" si="69"/>
        <v>0</v>
      </c>
      <c r="I807" t="e">
        <f t="shared" si="70"/>
        <v>#VALUE!</v>
      </c>
      <c r="J807" s="6">
        <f t="shared" si="68"/>
        <v>0</v>
      </c>
      <c r="K807" s="6">
        <f t="shared" si="68"/>
        <v>0</v>
      </c>
      <c r="L807" s="6">
        <f t="shared" si="68"/>
        <v>0</v>
      </c>
      <c r="M807" s="6">
        <f t="shared" si="67"/>
        <v>0</v>
      </c>
      <c r="N807" s="6" t="str">
        <f t="shared" si="71"/>
        <v/>
      </c>
      <c r="O807" s="6" t="str">
        <f t="shared" si="72"/>
        <v/>
      </c>
    </row>
    <row r="808" spans="8:15">
      <c r="H808">
        <f t="shared" si="69"/>
        <v>0</v>
      </c>
      <c r="I808" t="e">
        <f t="shared" si="70"/>
        <v>#VALUE!</v>
      </c>
      <c r="J808" s="6">
        <f t="shared" si="68"/>
        <v>0</v>
      </c>
      <c r="K808" s="6">
        <f t="shared" si="68"/>
        <v>0</v>
      </c>
      <c r="L808" s="6">
        <f t="shared" si="68"/>
        <v>0</v>
      </c>
      <c r="M808" s="6">
        <f t="shared" si="67"/>
        <v>0</v>
      </c>
      <c r="N808" s="6" t="str">
        <f t="shared" si="71"/>
        <v/>
      </c>
      <c r="O808" s="6" t="str">
        <f t="shared" si="72"/>
        <v/>
      </c>
    </row>
    <row r="809" spans="8:15">
      <c r="H809">
        <f t="shared" si="69"/>
        <v>0</v>
      </c>
      <c r="I809" t="e">
        <f t="shared" si="70"/>
        <v>#VALUE!</v>
      </c>
      <c r="J809" s="6">
        <f t="shared" si="68"/>
        <v>0</v>
      </c>
      <c r="K809" s="6">
        <f t="shared" si="68"/>
        <v>0</v>
      </c>
      <c r="L809" s="6">
        <f t="shared" si="68"/>
        <v>0</v>
      </c>
      <c r="M809" s="6">
        <f t="shared" si="67"/>
        <v>0</v>
      </c>
      <c r="N809" s="6" t="str">
        <f t="shared" si="71"/>
        <v/>
      </c>
      <c r="O809" s="6" t="str">
        <f t="shared" si="72"/>
        <v/>
      </c>
    </row>
    <row r="810" spans="8:15">
      <c r="H810">
        <f t="shared" si="69"/>
        <v>0</v>
      </c>
      <c r="I810" t="e">
        <f t="shared" si="70"/>
        <v>#VALUE!</v>
      </c>
      <c r="J810" s="6">
        <f t="shared" si="68"/>
        <v>0</v>
      </c>
      <c r="K810" s="6">
        <f t="shared" si="68"/>
        <v>0</v>
      </c>
      <c r="L810" s="6">
        <f t="shared" si="68"/>
        <v>0</v>
      </c>
      <c r="M810" s="6">
        <f t="shared" si="67"/>
        <v>0</v>
      </c>
      <c r="N810" s="6" t="str">
        <f t="shared" si="71"/>
        <v/>
      </c>
      <c r="O810" s="6" t="str">
        <f t="shared" si="72"/>
        <v/>
      </c>
    </row>
    <row r="811" spans="8:15">
      <c r="H811">
        <f t="shared" si="69"/>
        <v>0</v>
      </c>
      <c r="I811" t="e">
        <f t="shared" si="70"/>
        <v>#VALUE!</v>
      </c>
      <c r="J811" s="6">
        <f t="shared" si="68"/>
        <v>0</v>
      </c>
      <c r="K811" s="6">
        <f t="shared" si="68"/>
        <v>0</v>
      </c>
      <c r="L811" s="6">
        <f t="shared" si="68"/>
        <v>0</v>
      </c>
      <c r="M811" s="6">
        <f t="shared" si="67"/>
        <v>0</v>
      </c>
      <c r="N811" s="6" t="str">
        <f t="shared" si="71"/>
        <v/>
      </c>
      <c r="O811" s="6" t="str">
        <f t="shared" si="72"/>
        <v/>
      </c>
    </row>
    <row r="812" spans="8:15">
      <c r="H812">
        <f t="shared" si="69"/>
        <v>0</v>
      </c>
      <c r="I812" t="e">
        <f t="shared" si="70"/>
        <v>#VALUE!</v>
      </c>
      <c r="J812" s="6">
        <f t="shared" si="68"/>
        <v>0</v>
      </c>
      <c r="K812" s="6">
        <f t="shared" si="68"/>
        <v>0</v>
      </c>
      <c r="L812" s="6">
        <f t="shared" si="68"/>
        <v>0</v>
      </c>
      <c r="M812" s="6">
        <f t="shared" si="67"/>
        <v>0</v>
      </c>
      <c r="N812" s="6" t="str">
        <f t="shared" si="71"/>
        <v/>
      </c>
      <c r="O812" s="6" t="str">
        <f t="shared" si="72"/>
        <v/>
      </c>
    </row>
    <row r="813" spans="8:15">
      <c r="H813">
        <f t="shared" si="69"/>
        <v>0</v>
      </c>
      <c r="I813" t="e">
        <f t="shared" si="70"/>
        <v>#VALUE!</v>
      </c>
      <c r="J813" s="6">
        <f t="shared" si="68"/>
        <v>0</v>
      </c>
      <c r="K813" s="6">
        <f t="shared" si="68"/>
        <v>0</v>
      </c>
      <c r="L813" s="6">
        <f t="shared" si="68"/>
        <v>0</v>
      </c>
      <c r="M813" s="6">
        <f t="shared" si="67"/>
        <v>0</v>
      </c>
      <c r="N813" s="6" t="str">
        <f t="shared" si="71"/>
        <v/>
      </c>
      <c r="O813" s="6" t="str">
        <f t="shared" si="72"/>
        <v/>
      </c>
    </row>
    <row r="814" spans="8:15">
      <c r="H814">
        <f t="shared" si="69"/>
        <v>0</v>
      </c>
      <c r="I814" t="e">
        <f t="shared" si="70"/>
        <v>#VALUE!</v>
      </c>
      <c r="J814" s="6">
        <f t="shared" si="68"/>
        <v>0</v>
      </c>
      <c r="K814" s="6">
        <f t="shared" si="68"/>
        <v>0</v>
      </c>
      <c r="L814" s="6">
        <f t="shared" si="68"/>
        <v>0</v>
      </c>
      <c r="M814" s="6">
        <f t="shared" si="67"/>
        <v>0</v>
      </c>
      <c r="N814" s="6" t="str">
        <f t="shared" si="71"/>
        <v/>
      </c>
      <c r="O814" s="6" t="str">
        <f t="shared" si="72"/>
        <v/>
      </c>
    </row>
    <row r="815" spans="8:15">
      <c r="H815">
        <f t="shared" si="69"/>
        <v>0</v>
      </c>
      <c r="I815" t="e">
        <f t="shared" si="70"/>
        <v>#VALUE!</v>
      </c>
      <c r="J815" s="6">
        <f t="shared" si="68"/>
        <v>0</v>
      </c>
      <c r="K815" s="6">
        <f t="shared" si="68"/>
        <v>0</v>
      </c>
      <c r="L815" s="6">
        <f t="shared" si="68"/>
        <v>0</v>
      </c>
      <c r="M815" s="6">
        <f t="shared" si="67"/>
        <v>0</v>
      </c>
      <c r="N815" s="6" t="str">
        <f t="shared" si="71"/>
        <v/>
      </c>
      <c r="O815" s="6" t="str">
        <f t="shared" si="72"/>
        <v/>
      </c>
    </row>
    <row r="816" spans="8:15">
      <c r="H816">
        <f t="shared" si="69"/>
        <v>0</v>
      </c>
      <c r="I816" t="e">
        <f t="shared" si="70"/>
        <v>#VALUE!</v>
      </c>
      <c r="J816" s="6">
        <f t="shared" si="68"/>
        <v>0</v>
      </c>
      <c r="K816" s="6">
        <f t="shared" si="68"/>
        <v>0</v>
      </c>
      <c r="L816" s="6">
        <f t="shared" si="68"/>
        <v>0</v>
      </c>
      <c r="M816" s="6">
        <f t="shared" si="67"/>
        <v>0</v>
      </c>
      <c r="N816" s="6" t="str">
        <f t="shared" si="71"/>
        <v/>
      </c>
      <c r="O816" s="6" t="str">
        <f t="shared" si="72"/>
        <v/>
      </c>
    </row>
    <row r="817" spans="8:15">
      <c r="H817">
        <f t="shared" si="69"/>
        <v>0</v>
      </c>
      <c r="I817" t="e">
        <f t="shared" si="70"/>
        <v>#VALUE!</v>
      </c>
      <c r="J817" s="6">
        <f t="shared" si="68"/>
        <v>0</v>
      </c>
      <c r="K817" s="6">
        <f t="shared" si="68"/>
        <v>0</v>
      </c>
      <c r="L817" s="6">
        <f t="shared" si="68"/>
        <v>0</v>
      </c>
      <c r="M817" s="6">
        <f t="shared" si="67"/>
        <v>0</v>
      </c>
      <c r="N817" s="6" t="str">
        <f t="shared" si="71"/>
        <v/>
      </c>
      <c r="O817" s="6" t="str">
        <f t="shared" si="72"/>
        <v/>
      </c>
    </row>
    <row r="818" spans="8:15">
      <c r="H818">
        <f t="shared" si="69"/>
        <v>0</v>
      </c>
      <c r="I818" t="e">
        <f t="shared" si="70"/>
        <v>#VALUE!</v>
      </c>
      <c r="J818" s="6">
        <f t="shared" si="68"/>
        <v>0</v>
      </c>
      <c r="K818" s="6">
        <f t="shared" si="68"/>
        <v>0</v>
      </c>
      <c r="L818" s="6">
        <f t="shared" si="68"/>
        <v>0</v>
      </c>
      <c r="M818" s="6">
        <f t="shared" si="67"/>
        <v>0</v>
      </c>
      <c r="N818" s="6" t="str">
        <f t="shared" si="71"/>
        <v/>
      </c>
      <c r="O818" s="6" t="str">
        <f t="shared" si="72"/>
        <v/>
      </c>
    </row>
    <row r="819" spans="8:15">
      <c r="H819">
        <f t="shared" si="69"/>
        <v>0</v>
      </c>
      <c r="I819" t="e">
        <f t="shared" si="70"/>
        <v>#VALUE!</v>
      </c>
      <c r="J819" s="6">
        <f t="shared" si="68"/>
        <v>0</v>
      </c>
      <c r="K819" s="6">
        <f t="shared" si="68"/>
        <v>0</v>
      </c>
      <c r="L819" s="6">
        <f t="shared" si="68"/>
        <v>0</v>
      </c>
      <c r="M819" s="6">
        <f t="shared" si="67"/>
        <v>0</v>
      </c>
      <c r="N819" s="6" t="str">
        <f t="shared" si="71"/>
        <v/>
      </c>
      <c r="O819" s="6" t="str">
        <f t="shared" si="72"/>
        <v/>
      </c>
    </row>
    <row r="820" spans="8:15">
      <c r="H820">
        <f t="shared" si="69"/>
        <v>0</v>
      </c>
      <c r="I820" t="e">
        <f t="shared" si="70"/>
        <v>#VALUE!</v>
      </c>
      <c r="J820" s="6">
        <f t="shared" si="68"/>
        <v>0</v>
      </c>
      <c r="K820" s="6">
        <f t="shared" si="68"/>
        <v>0</v>
      </c>
      <c r="L820" s="6">
        <f t="shared" si="68"/>
        <v>0</v>
      </c>
      <c r="M820" s="6">
        <f t="shared" si="67"/>
        <v>0</v>
      </c>
      <c r="N820" s="6" t="str">
        <f t="shared" si="71"/>
        <v/>
      </c>
      <c r="O820" s="6" t="str">
        <f t="shared" si="72"/>
        <v/>
      </c>
    </row>
    <row r="821" spans="8:15">
      <c r="H821">
        <f t="shared" si="69"/>
        <v>0</v>
      </c>
      <c r="I821" t="e">
        <f t="shared" si="70"/>
        <v>#VALUE!</v>
      </c>
      <c r="J821" s="6">
        <f t="shared" si="68"/>
        <v>0</v>
      </c>
      <c r="K821" s="6">
        <f t="shared" si="68"/>
        <v>0</v>
      </c>
      <c r="L821" s="6">
        <f t="shared" si="68"/>
        <v>0</v>
      </c>
      <c r="M821" s="6">
        <f t="shared" si="67"/>
        <v>0</v>
      </c>
      <c r="N821" s="6" t="str">
        <f t="shared" si="71"/>
        <v/>
      </c>
      <c r="O821" s="6" t="str">
        <f t="shared" si="72"/>
        <v/>
      </c>
    </row>
    <row r="822" spans="8:15">
      <c r="H822">
        <f t="shared" si="69"/>
        <v>0</v>
      </c>
      <c r="I822" t="e">
        <f t="shared" si="70"/>
        <v>#VALUE!</v>
      </c>
      <c r="J822" s="6">
        <f t="shared" si="68"/>
        <v>0</v>
      </c>
      <c r="K822" s="6">
        <f t="shared" si="68"/>
        <v>0</v>
      </c>
      <c r="L822" s="6">
        <f t="shared" si="68"/>
        <v>0</v>
      </c>
      <c r="M822" s="6">
        <f t="shared" si="67"/>
        <v>0</v>
      </c>
      <c r="N822" s="6" t="str">
        <f t="shared" si="71"/>
        <v/>
      </c>
      <c r="O822" s="6" t="str">
        <f t="shared" si="72"/>
        <v/>
      </c>
    </row>
    <row r="823" spans="8:15">
      <c r="H823">
        <f t="shared" si="69"/>
        <v>0</v>
      </c>
      <c r="I823" t="e">
        <f t="shared" si="70"/>
        <v>#VALUE!</v>
      </c>
      <c r="J823" s="6">
        <f t="shared" si="68"/>
        <v>0</v>
      </c>
      <c r="K823" s="6">
        <f t="shared" si="68"/>
        <v>0</v>
      </c>
      <c r="L823" s="6">
        <f t="shared" si="68"/>
        <v>0</v>
      </c>
      <c r="M823" s="6">
        <f t="shared" si="67"/>
        <v>0</v>
      </c>
      <c r="N823" s="6" t="str">
        <f t="shared" si="71"/>
        <v/>
      </c>
      <c r="O823" s="6" t="str">
        <f t="shared" si="72"/>
        <v/>
      </c>
    </row>
    <row r="824" spans="8:15">
      <c r="H824">
        <f t="shared" si="69"/>
        <v>0</v>
      </c>
      <c r="I824" t="e">
        <f t="shared" si="70"/>
        <v>#VALUE!</v>
      </c>
      <c r="J824" s="6">
        <f t="shared" si="68"/>
        <v>0</v>
      </c>
      <c r="K824" s="6">
        <f t="shared" si="68"/>
        <v>0</v>
      </c>
      <c r="L824" s="6">
        <f t="shared" si="68"/>
        <v>0</v>
      </c>
      <c r="M824" s="6">
        <f t="shared" si="67"/>
        <v>0</v>
      </c>
      <c r="N824" s="6" t="str">
        <f t="shared" si="71"/>
        <v/>
      </c>
      <c r="O824" s="6" t="str">
        <f t="shared" si="72"/>
        <v/>
      </c>
    </row>
    <row r="825" spans="8:15">
      <c r="H825">
        <f t="shared" si="69"/>
        <v>0</v>
      </c>
      <c r="I825" t="e">
        <f t="shared" si="70"/>
        <v>#VALUE!</v>
      </c>
      <c r="J825" s="6">
        <f t="shared" si="68"/>
        <v>0</v>
      </c>
      <c r="K825" s="6">
        <f t="shared" si="68"/>
        <v>0</v>
      </c>
      <c r="L825" s="6">
        <f t="shared" si="68"/>
        <v>0</v>
      </c>
      <c r="M825" s="6">
        <f t="shared" si="67"/>
        <v>0</v>
      </c>
      <c r="N825" s="6" t="str">
        <f t="shared" si="71"/>
        <v/>
      </c>
      <c r="O825" s="6" t="str">
        <f t="shared" si="72"/>
        <v/>
      </c>
    </row>
    <row r="826" spans="8:15">
      <c r="H826">
        <f t="shared" si="69"/>
        <v>0</v>
      </c>
      <c r="I826" t="e">
        <f t="shared" si="70"/>
        <v>#VALUE!</v>
      </c>
      <c r="J826" s="6">
        <f t="shared" si="68"/>
        <v>0</v>
      </c>
      <c r="K826" s="6">
        <f t="shared" si="68"/>
        <v>0</v>
      </c>
      <c r="L826" s="6">
        <f t="shared" si="68"/>
        <v>0</v>
      </c>
      <c r="M826" s="6">
        <f t="shared" si="67"/>
        <v>0</v>
      </c>
      <c r="N826" s="6" t="str">
        <f t="shared" si="71"/>
        <v/>
      </c>
      <c r="O826" s="6" t="str">
        <f t="shared" si="72"/>
        <v/>
      </c>
    </row>
    <row r="827" spans="8:15">
      <c r="H827">
        <f t="shared" si="69"/>
        <v>0</v>
      </c>
      <c r="I827" t="e">
        <f t="shared" si="70"/>
        <v>#VALUE!</v>
      </c>
      <c r="J827" s="6">
        <f t="shared" si="68"/>
        <v>0</v>
      </c>
      <c r="K827" s="6">
        <f t="shared" si="68"/>
        <v>0</v>
      </c>
      <c r="L827" s="6">
        <f t="shared" si="68"/>
        <v>0</v>
      </c>
      <c r="M827" s="6">
        <f t="shared" si="67"/>
        <v>0</v>
      </c>
      <c r="N827" s="6" t="str">
        <f t="shared" si="71"/>
        <v/>
      </c>
      <c r="O827" s="6" t="str">
        <f t="shared" si="72"/>
        <v/>
      </c>
    </row>
    <row r="828" spans="8:15">
      <c r="H828">
        <f t="shared" si="69"/>
        <v>0</v>
      </c>
      <c r="I828" t="e">
        <f t="shared" si="70"/>
        <v>#VALUE!</v>
      </c>
      <c r="J828" s="6">
        <f t="shared" si="68"/>
        <v>0</v>
      </c>
      <c r="K828" s="6">
        <f t="shared" si="68"/>
        <v>0</v>
      </c>
      <c r="L828" s="6">
        <f t="shared" si="68"/>
        <v>0</v>
      </c>
      <c r="M828" s="6">
        <f t="shared" si="67"/>
        <v>0</v>
      </c>
      <c r="N828" s="6" t="str">
        <f t="shared" si="71"/>
        <v/>
      </c>
      <c r="O828" s="6" t="str">
        <f t="shared" si="72"/>
        <v/>
      </c>
    </row>
    <row r="829" spans="8:15">
      <c r="H829">
        <f t="shared" si="69"/>
        <v>0</v>
      </c>
      <c r="I829" t="e">
        <f t="shared" si="70"/>
        <v>#VALUE!</v>
      </c>
      <c r="J829" s="6">
        <f t="shared" si="68"/>
        <v>0</v>
      </c>
      <c r="K829" s="6">
        <f t="shared" si="68"/>
        <v>0</v>
      </c>
      <c r="L829" s="6">
        <f t="shared" si="68"/>
        <v>0</v>
      </c>
      <c r="M829" s="6">
        <f t="shared" si="67"/>
        <v>0</v>
      </c>
      <c r="N829" s="6" t="str">
        <f t="shared" si="71"/>
        <v/>
      </c>
      <c r="O829" s="6" t="str">
        <f t="shared" si="72"/>
        <v/>
      </c>
    </row>
    <row r="830" spans="8:15">
      <c r="H830">
        <f t="shared" si="69"/>
        <v>0</v>
      </c>
      <c r="I830" t="e">
        <f t="shared" si="70"/>
        <v>#VALUE!</v>
      </c>
      <c r="J830" s="6">
        <f t="shared" si="68"/>
        <v>0</v>
      </c>
      <c r="K830" s="6">
        <f t="shared" si="68"/>
        <v>0</v>
      </c>
      <c r="L830" s="6">
        <f t="shared" si="68"/>
        <v>0</v>
      </c>
      <c r="M830" s="6">
        <f t="shared" si="67"/>
        <v>0</v>
      </c>
      <c r="N830" s="6" t="str">
        <f t="shared" si="71"/>
        <v/>
      </c>
      <c r="O830" s="6" t="str">
        <f t="shared" si="72"/>
        <v/>
      </c>
    </row>
    <row r="831" spans="8:15">
      <c r="H831">
        <f t="shared" si="69"/>
        <v>0</v>
      </c>
      <c r="I831" t="e">
        <f t="shared" si="70"/>
        <v>#VALUE!</v>
      </c>
      <c r="J831" s="6">
        <f t="shared" si="68"/>
        <v>0</v>
      </c>
      <c r="K831" s="6">
        <f t="shared" si="68"/>
        <v>0</v>
      </c>
      <c r="L831" s="6">
        <f t="shared" si="68"/>
        <v>0</v>
      </c>
      <c r="M831" s="6">
        <f t="shared" si="67"/>
        <v>0</v>
      </c>
      <c r="N831" s="6" t="str">
        <f t="shared" si="71"/>
        <v/>
      </c>
      <c r="O831" s="6" t="str">
        <f t="shared" si="72"/>
        <v/>
      </c>
    </row>
    <row r="832" spans="8:15">
      <c r="H832">
        <f t="shared" si="69"/>
        <v>0</v>
      </c>
      <c r="I832" t="e">
        <f t="shared" si="70"/>
        <v>#VALUE!</v>
      </c>
      <c r="J832" s="6">
        <f t="shared" si="68"/>
        <v>0</v>
      </c>
      <c r="K832" s="6">
        <f t="shared" si="68"/>
        <v>0</v>
      </c>
      <c r="L832" s="6">
        <f t="shared" si="68"/>
        <v>0</v>
      </c>
      <c r="M832" s="6">
        <f t="shared" si="67"/>
        <v>0</v>
      </c>
      <c r="N832" s="6" t="str">
        <f t="shared" si="71"/>
        <v/>
      </c>
      <c r="O832" s="6" t="str">
        <f t="shared" si="72"/>
        <v/>
      </c>
    </row>
    <row r="833" spans="8:15">
      <c r="H833">
        <f t="shared" si="69"/>
        <v>0</v>
      </c>
      <c r="I833" t="e">
        <f t="shared" si="70"/>
        <v>#VALUE!</v>
      </c>
      <c r="J833" s="6">
        <f t="shared" si="68"/>
        <v>0</v>
      </c>
      <c r="K833" s="6">
        <f t="shared" si="68"/>
        <v>0</v>
      </c>
      <c r="L833" s="6">
        <f t="shared" si="68"/>
        <v>0</v>
      </c>
      <c r="M833" s="6">
        <f t="shared" si="68"/>
        <v>0</v>
      </c>
      <c r="N833" s="6" t="str">
        <f t="shared" si="71"/>
        <v/>
      </c>
      <c r="O833" s="6" t="str">
        <f t="shared" si="72"/>
        <v/>
      </c>
    </row>
    <row r="834" spans="8:15">
      <c r="H834">
        <f t="shared" si="69"/>
        <v>0</v>
      </c>
      <c r="I834" t="e">
        <f t="shared" si="70"/>
        <v>#VALUE!</v>
      </c>
      <c r="J834" s="6">
        <f t="shared" ref="J834:M897" si="73">C834</f>
        <v>0</v>
      </c>
      <c r="K834" s="6">
        <f t="shared" si="73"/>
        <v>0</v>
      </c>
      <c r="L834" s="6">
        <f t="shared" si="73"/>
        <v>0</v>
      </c>
      <c r="M834" s="6">
        <f t="shared" si="73"/>
        <v>0</v>
      </c>
      <c r="N834" s="6" t="str">
        <f t="shared" si="71"/>
        <v/>
      </c>
      <c r="O834" s="6" t="str">
        <f t="shared" si="72"/>
        <v/>
      </c>
    </row>
    <row r="835" spans="8:15">
      <c r="H835">
        <f t="shared" si="69"/>
        <v>0</v>
      </c>
      <c r="I835" t="e">
        <f t="shared" si="70"/>
        <v>#VALUE!</v>
      </c>
      <c r="J835" s="6">
        <f t="shared" si="73"/>
        <v>0</v>
      </c>
      <c r="K835" s="6">
        <f t="shared" si="73"/>
        <v>0</v>
      </c>
      <c r="L835" s="6">
        <f t="shared" si="73"/>
        <v>0</v>
      </c>
      <c r="M835" s="6">
        <f t="shared" si="73"/>
        <v>0</v>
      </c>
      <c r="N835" s="6" t="str">
        <f t="shared" si="71"/>
        <v/>
      </c>
      <c r="O835" s="6" t="str">
        <f t="shared" si="72"/>
        <v/>
      </c>
    </row>
    <row r="836" spans="8:15">
      <c r="H836">
        <f t="shared" si="69"/>
        <v>0</v>
      </c>
      <c r="I836" t="e">
        <f t="shared" si="70"/>
        <v>#VALUE!</v>
      </c>
      <c r="J836" s="6">
        <f t="shared" si="73"/>
        <v>0</v>
      </c>
      <c r="K836" s="6">
        <f t="shared" si="73"/>
        <v>0</v>
      </c>
      <c r="L836" s="6">
        <f t="shared" si="73"/>
        <v>0</v>
      </c>
      <c r="M836" s="6">
        <f t="shared" si="73"/>
        <v>0</v>
      </c>
      <c r="N836" s="6" t="str">
        <f t="shared" si="71"/>
        <v/>
      </c>
      <c r="O836" s="6" t="str">
        <f t="shared" si="72"/>
        <v/>
      </c>
    </row>
    <row r="837" spans="8:15">
      <c r="H837">
        <f t="shared" si="69"/>
        <v>0</v>
      </c>
      <c r="I837" t="e">
        <f t="shared" si="70"/>
        <v>#VALUE!</v>
      </c>
      <c r="J837" s="6">
        <f t="shared" si="73"/>
        <v>0</v>
      </c>
      <c r="K837" s="6">
        <f t="shared" si="73"/>
        <v>0</v>
      </c>
      <c r="L837" s="6">
        <f t="shared" si="73"/>
        <v>0</v>
      </c>
      <c r="M837" s="6">
        <f t="shared" si="73"/>
        <v>0</v>
      </c>
      <c r="N837" s="6" t="str">
        <f t="shared" si="71"/>
        <v/>
      </c>
      <c r="O837" s="6" t="str">
        <f t="shared" si="72"/>
        <v/>
      </c>
    </row>
    <row r="838" spans="8:15">
      <c r="H838">
        <f t="shared" si="69"/>
        <v>0</v>
      </c>
      <c r="I838" t="e">
        <f t="shared" si="70"/>
        <v>#VALUE!</v>
      </c>
      <c r="J838" s="6">
        <f t="shared" si="73"/>
        <v>0</v>
      </c>
      <c r="K838" s="6">
        <f t="shared" si="73"/>
        <v>0</v>
      </c>
      <c r="L838" s="6">
        <f t="shared" si="73"/>
        <v>0</v>
      </c>
      <c r="M838" s="6">
        <f t="shared" si="73"/>
        <v>0</v>
      </c>
      <c r="N838" s="6" t="str">
        <f t="shared" si="71"/>
        <v/>
      </c>
      <c r="O838" s="6" t="str">
        <f t="shared" si="72"/>
        <v/>
      </c>
    </row>
    <row r="839" spans="8:15">
      <c r="H839">
        <f t="shared" ref="H839:H902" si="74">A839</f>
        <v>0</v>
      </c>
      <c r="I839" t="e">
        <f t="shared" ref="I839:I902" si="75">LEFT(B839,SEARCH(" ",B839,1)-1)</f>
        <v>#VALUE!</v>
      </c>
      <c r="J839" s="6">
        <f t="shared" si="73"/>
        <v>0</v>
      </c>
      <c r="K839" s="6">
        <f t="shared" si="73"/>
        <v>0</v>
      </c>
      <c r="L839" s="6">
        <f t="shared" si="73"/>
        <v>0</v>
      </c>
      <c r="M839" s="6">
        <f t="shared" si="73"/>
        <v>0</v>
      </c>
      <c r="N839" s="6" t="str">
        <f t="shared" ref="N839:N903" si="76">TRIM($B$1)</f>
        <v/>
      </c>
      <c r="O839" s="6" t="str">
        <f t="shared" ref="O839:O903" si="77">TRIM($C$1)</f>
        <v/>
      </c>
    </row>
    <row r="840" spans="8:15">
      <c r="H840">
        <f t="shared" si="74"/>
        <v>0</v>
      </c>
      <c r="I840" t="e">
        <f t="shared" si="75"/>
        <v>#VALUE!</v>
      </c>
      <c r="J840" s="6">
        <f t="shared" si="73"/>
        <v>0</v>
      </c>
      <c r="K840" s="6">
        <f t="shared" si="73"/>
        <v>0</v>
      </c>
      <c r="L840" s="6">
        <f t="shared" si="73"/>
        <v>0</v>
      </c>
      <c r="M840" s="6">
        <f t="shared" si="73"/>
        <v>0</v>
      </c>
      <c r="N840" s="6" t="str">
        <f t="shared" si="76"/>
        <v/>
      </c>
      <c r="O840" s="6" t="str">
        <f t="shared" si="77"/>
        <v/>
      </c>
    </row>
    <row r="841" spans="8:15">
      <c r="H841">
        <f t="shared" si="74"/>
        <v>0</v>
      </c>
      <c r="I841" t="e">
        <f t="shared" si="75"/>
        <v>#VALUE!</v>
      </c>
      <c r="J841" s="6">
        <f t="shared" si="73"/>
        <v>0</v>
      </c>
      <c r="K841" s="6">
        <f t="shared" si="73"/>
        <v>0</v>
      </c>
      <c r="L841" s="6">
        <f t="shared" si="73"/>
        <v>0</v>
      </c>
      <c r="M841" s="6">
        <f t="shared" si="73"/>
        <v>0</v>
      </c>
      <c r="N841" s="6" t="str">
        <f t="shared" si="76"/>
        <v/>
      </c>
      <c r="O841" s="6" t="str">
        <f t="shared" si="77"/>
        <v/>
      </c>
    </row>
    <row r="842" spans="8:15">
      <c r="H842">
        <f t="shared" si="74"/>
        <v>0</v>
      </c>
      <c r="I842" t="e">
        <f t="shared" si="75"/>
        <v>#VALUE!</v>
      </c>
      <c r="J842" s="6">
        <f t="shared" si="73"/>
        <v>0</v>
      </c>
      <c r="K842" s="6">
        <f t="shared" si="73"/>
        <v>0</v>
      </c>
      <c r="L842" s="6">
        <f t="shared" si="73"/>
        <v>0</v>
      </c>
      <c r="M842" s="6">
        <f t="shared" si="73"/>
        <v>0</v>
      </c>
      <c r="N842" s="6" t="str">
        <f t="shared" si="76"/>
        <v/>
      </c>
      <c r="O842" s="6" t="str">
        <f t="shared" si="77"/>
        <v/>
      </c>
    </row>
    <row r="843" spans="8:15">
      <c r="H843">
        <f t="shared" si="74"/>
        <v>0</v>
      </c>
      <c r="I843" t="e">
        <f t="shared" si="75"/>
        <v>#VALUE!</v>
      </c>
      <c r="J843" s="6">
        <f t="shared" si="73"/>
        <v>0</v>
      </c>
      <c r="K843" s="6">
        <f t="shared" si="73"/>
        <v>0</v>
      </c>
      <c r="L843" s="6">
        <f t="shared" si="73"/>
        <v>0</v>
      </c>
      <c r="M843" s="6">
        <f t="shared" si="73"/>
        <v>0</v>
      </c>
      <c r="N843" s="6" t="str">
        <f t="shared" si="76"/>
        <v/>
      </c>
      <c r="O843" s="6" t="str">
        <f t="shared" si="77"/>
        <v/>
      </c>
    </row>
    <row r="844" spans="8:15">
      <c r="H844">
        <f t="shared" si="74"/>
        <v>0</v>
      </c>
      <c r="I844" t="e">
        <f t="shared" si="75"/>
        <v>#VALUE!</v>
      </c>
      <c r="J844" s="6">
        <f t="shared" si="73"/>
        <v>0</v>
      </c>
      <c r="K844" s="6">
        <f t="shared" si="73"/>
        <v>0</v>
      </c>
      <c r="L844" s="6">
        <f t="shared" si="73"/>
        <v>0</v>
      </c>
      <c r="M844" s="6">
        <f t="shared" si="73"/>
        <v>0</v>
      </c>
      <c r="N844" s="6" t="str">
        <f t="shared" si="76"/>
        <v/>
      </c>
      <c r="O844" s="6" t="str">
        <f t="shared" si="77"/>
        <v/>
      </c>
    </row>
    <row r="845" spans="8:15">
      <c r="H845">
        <f t="shared" si="74"/>
        <v>0</v>
      </c>
      <c r="I845" t="e">
        <f t="shared" si="75"/>
        <v>#VALUE!</v>
      </c>
      <c r="J845" s="6">
        <f t="shared" si="73"/>
        <v>0</v>
      </c>
      <c r="K845" s="6">
        <f t="shared" si="73"/>
        <v>0</v>
      </c>
      <c r="L845" s="6">
        <f t="shared" si="73"/>
        <v>0</v>
      </c>
      <c r="M845" s="6">
        <f t="shared" si="73"/>
        <v>0</v>
      </c>
      <c r="N845" s="6" t="str">
        <f t="shared" si="76"/>
        <v/>
      </c>
      <c r="O845" s="6" t="str">
        <f t="shared" si="77"/>
        <v/>
      </c>
    </row>
    <row r="846" spans="8:15">
      <c r="H846">
        <f t="shared" si="74"/>
        <v>0</v>
      </c>
      <c r="I846" t="e">
        <f t="shared" si="75"/>
        <v>#VALUE!</v>
      </c>
      <c r="J846" s="6">
        <f t="shared" si="73"/>
        <v>0</v>
      </c>
      <c r="K846" s="6">
        <f t="shared" si="73"/>
        <v>0</v>
      </c>
      <c r="L846" s="6">
        <f t="shared" si="73"/>
        <v>0</v>
      </c>
      <c r="M846" s="6">
        <f t="shared" si="73"/>
        <v>0</v>
      </c>
      <c r="N846" s="6" t="str">
        <f t="shared" si="76"/>
        <v/>
      </c>
      <c r="O846" s="6" t="str">
        <f t="shared" si="77"/>
        <v/>
      </c>
    </row>
    <row r="847" spans="8:15">
      <c r="H847">
        <f t="shared" si="74"/>
        <v>0</v>
      </c>
      <c r="I847" t="e">
        <f t="shared" si="75"/>
        <v>#VALUE!</v>
      </c>
      <c r="J847" s="6">
        <f t="shared" si="73"/>
        <v>0</v>
      </c>
      <c r="K847" s="6">
        <f t="shared" si="73"/>
        <v>0</v>
      </c>
      <c r="L847" s="6">
        <f t="shared" si="73"/>
        <v>0</v>
      </c>
      <c r="M847" s="6">
        <f t="shared" si="73"/>
        <v>0</v>
      </c>
      <c r="N847" s="6" t="str">
        <f t="shared" si="76"/>
        <v/>
      </c>
      <c r="O847" s="6" t="str">
        <f t="shared" si="77"/>
        <v/>
      </c>
    </row>
    <row r="848" spans="8:15">
      <c r="H848">
        <f t="shared" si="74"/>
        <v>0</v>
      </c>
      <c r="I848" t="e">
        <f t="shared" si="75"/>
        <v>#VALUE!</v>
      </c>
      <c r="J848" s="6">
        <f t="shared" si="73"/>
        <v>0</v>
      </c>
      <c r="K848" s="6">
        <f t="shared" si="73"/>
        <v>0</v>
      </c>
      <c r="L848" s="6">
        <f t="shared" si="73"/>
        <v>0</v>
      </c>
      <c r="M848" s="6">
        <f t="shared" si="73"/>
        <v>0</v>
      </c>
      <c r="N848" s="6" t="str">
        <f t="shared" si="76"/>
        <v/>
      </c>
      <c r="O848" s="6" t="str">
        <f t="shared" si="77"/>
        <v/>
      </c>
    </row>
    <row r="849" spans="8:15">
      <c r="H849">
        <f t="shared" si="74"/>
        <v>0</v>
      </c>
      <c r="I849" t="e">
        <f t="shared" si="75"/>
        <v>#VALUE!</v>
      </c>
      <c r="J849" s="6">
        <f t="shared" si="73"/>
        <v>0</v>
      </c>
      <c r="K849" s="6">
        <f t="shared" si="73"/>
        <v>0</v>
      </c>
      <c r="L849" s="6">
        <f t="shared" si="73"/>
        <v>0</v>
      </c>
      <c r="M849" s="6">
        <f t="shared" si="73"/>
        <v>0</v>
      </c>
      <c r="N849" s="6" t="str">
        <f t="shared" si="76"/>
        <v/>
      </c>
      <c r="O849" s="6" t="str">
        <f t="shared" si="77"/>
        <v/>
      </c>
    </row>
    <row r="850" spans="8:15">
      <c r="H850">
        <f t="shared" si="74"/>
        <v>0</v>
      </c>
      <c r="I850" t="e">
        <f t="shared" si="75"/>
        <v>#VALUE!</v>
      </c>
      <c r="J850" s="6">
        <f t="shared" si="73"/>
        <v>0</v>
      </c>
      <c r="K850" s="6">
        <f t="shared" si="73"/>
        <v>0</v>
      </c>
      <c r="L850" s="6">
        <f t="shared" si="73"/>
        <v>0</v>
      </c>
      <c r="M850" s="6">
        <f t="shared" si="73"/>
        <v>0</v>
      </c>
      <c r="N850" s="6" t="str">
        <f t="shared" si="76"/>
        <v/>
      </c>
      <c r="O850" s="6" t="str">
        <f t="shared" si="77"/>
        <v/>
      </c>
    </row>
    <row r="851" spans="8:15">
      <c r="H851">
        <f t="shared" si="74"/>
        <v>0</v>
      </c>
      <c r="I851" t="e">
        <f t="shared" si="75"/>
        <v>#VALUE!</v>
      </c>
      <c r="J851" s="6">
        <f t="shared" si="73"/>
        <v>0</v>
      </c>
      <c r="K851" s="6">
        <f t="shared" si="73"/>
        <v>0</v>
      </c>
      <c r="L851" s="6">
        <f t="shared" si="73"/>
        <v>0</v>
      </c>
      <c r="M851" s="6">
        <f t="shared" si="73"/>
        <v>0</v>
      </c>
      <c r="N851" s="6" t="str">
        <f t="shared" si="76"/>
        <v/>
      </c>
      <c r="O851" s="6" t="str">
        <f t="shared" si="77"/>
        <v/>
      </c>
    </row>
    <row r="852" spans="8:15">
      <c r="H852">
        <f t="shared" si="74"/>
        <v>0</v>
      </c>
      <c r="I852" t="e">
        <f t="shared" si="75"/>
        <v>#VALUE!</v>
      </c>
      <c r="J852" s="6">
        <f t="shared" si="73"/>
        <v>0</v>
      </c>
      <c r="K852" s="6">
        <f t="shared" si="73"/>
        <v>0</v>
      </c>
      <c r="L852" s="6">
        <f t="shared" si="73"/>
        <v>0</v>
      </c>
      <c r="M852" s="6">
        <f t="shared" si="73"/>
        <v>0</v>
      </c>
      <c r="N852" s="6" t="str">
        <f t="shared" si="76"/>
        <v/>
      </c>
      <c r="O852" s="6" t="str">
        <f t="shared" si="77"/>
        <v/>
      </c>
    </row>
    <row r="853" spans="8:15">
      <c r="H853">
        <f t="shared" si="74"/>
        <v>0</v>
      </c>
      <c r="I853" t="e">
        <f t="shared" si="75"/>
        <v>#VALUE!</v>
      </c>
      <c r="J853" s="6">
        <f t="shared" si="73"/>
        <v>0</v>
      </c>
      <c r="K853" s="6">
        <f t="shared" si="73"/>
        <v>0</v>
      </c>
      <c r="L853" s="6">
        <f t="shared" si="73"/>
        <v>0</v>
      </c>
      <c r="M853" s="6">
        <f t="shared" si="73"/>
        <v>0</v>
      </c>
      <c r="N853" s="6" t="str">
        <f t="shared" si="76"/>
        <v/>
      </c>
      <c r="O853" s="6" t="str">
        <f t="shared" si="77"/>
        <v/>
      </c>
    </row>
    <row r="854" spans="8:15">
      <c r="H854">
        <f t="shared" si="74"/>
        <v>0</v>
      </c>
      <c r="I854" t="e">
        <f t="shared" si="75"/>
        <v>#VALUE!</v>
      </c>
      <c r="J854" s="6">
        <f t="shared" si="73"/>
        <v>0</v>
      </c>
      <c r="K854" s="6">
        <f t="shared" si="73"/>
        <v>0</v>
      </c>
      <c r="L854" s="6">
        <f t="shared" si="73"/>
        <v>0</v>
      </c>
      <c r="M854" s="6">
        <f t="shared" si="73"/>
        <v>0</v>
      </c>
      <c r="N854" s="6" t="str">
        <f t="shared" si="76"/>
        <v/>
      </c>
      <c r="O854" s="6" t="str">
        <f t="shared" si="77"/>
        <v/>
      </c>
    </row>
    <row r="855" spans="8:15">
      <c r="H855">
        <f t="shared" si="74"/>
        <v>0</v>
      </c>
      <c r="I855" t="e">
        <f t="shared" si="75"/>
        <v>#VALUE!</v>
      </c>
      <c r="J855" s="6">
        <f t="shared" si="73"/>
        <v>0</v>
      </c>
      <c r="K855" s="6">
        <f t="shared" si="73"/>
        <v>0</v>
      </c>
      <c r="L855" s="6">
        <f t="shared" si="73"/>
        <v>0</v>
      </c>
      <c r="M855" s="6">
        <f t="shared" si="73"/>
        <v>0</v>
      </c>
      <c r="N855" s="6" t="str">
        <f t="shared" si="76"/>
        <v/>
      </c>
      <c r="O855" s="6" t="str">
        <f t="shared" si="77"/>
        <v/>
      </c>
    </row>
    <row r="856" spans="8:15">
      <c r="H856">
        <f t="shared" si="74"/>
        <v>0</v>
      </c>
      <c r="I856" t="e">
        <f t="shared" si="75"/>
        <v>#VALUE!</v>
      </c>
      <c r="J856" s="6">
        <f t="shared" si="73"/>
        <v>0</v>
      </c>
      <c r="K856" s="6">
        <f t="shared" si="73"/>
        <v>0</v>
      </c>
      <c r="L856" s="6">
        <f t="shared" si="73"/>
        <v>0</v>
      </c>
      <c r="M856" s="6">
        <f t="shared" si="73"/>
        <v>0</v>
      </c>
      <c r="N856" s="6" t="str">
        <f t="shared" si="76"/>
        <v/>
      </c>
      <c r="O856" s="6" t="str">
        <f t="shared" si="77"/>
        <v/>
      </c>
    </row>
    <row r="857" spans="8:15">
      <c r="H857">
        <f t="shared" si="74"/>
        <v>0</v>
      </c>
      <c r="I857" t="e">
        <f t="shared" si="75"/>
        <v>#VALUE!</v>
      </c>
      <c r="J857" s="6">
        <f t="shared" si="73"/>
        <v>0</v>
      </c>
      <c r="K857" s="6">
        <f t="shared" si="73"/>
        <v>0</v>
      </c>
      <c r="L857" s="6">
        <f t="shared" si="73"/>
        <v>0</v>
      </c>
      <c r="M857" s="6">
        <f t="shared" si="73"/>
        <v>0</v>
      </c>
      <c r="N857" s="6" t="str">
        <f t="shared" si="76"/>
        <v/>
      </c>
      <c r="O857" s="6" t="str">
        <f t="shared" si="77"/>
        <v/>
      </c>
    </row>
    <row r="858" spans="8:15">
      <c r="H858">
        <f t="shared" si="74"/>
        <v>0</v>
      </c>
      <c r="I858" t="e">
        <f t="shared" si="75"/>
        <v>#VALUE!</v>
      </c>
      <c r="J858" s="6">
        <f t="shared" si="73"/>
        <v>0</v>
      </c>
      <c r="K858" s="6">
        <f t="shared" si="73"/>
        <v>0</v>
      </c>
      <c r="L858" s="6">
        <f t="shared" si="73"/>
        <v>0</v>
      </c>
      <c r="M858" s="6">
        <f t="shared" si="73"/>
        <v>0</v>
      </c>
      <c r="N858" s="6" t="str">
        <f t="shared" si="76"/>
        <v/>
      </c>
      <c r="O858" s="6" t="str">
        <f t="shared" si="77"/>
        <v/>
      </c>
    </row>
    <row r="859" spans="8:15">
      <c r="H859">
        <f t="shared" si="74"/>
        <v>0</v>
      </c>
      <c r="I859" t="e">
        <f t="shared" si="75"/>
        <v>#VALUE!</v>
      </c>
      <c r="J859" s="6">
        <f t="shared" si="73"/>
        <v>0</v>
      </c>
      <c r="K859" s="6">
        <f t="shared" si="73"/>
        <v>0</v>
      </c>
      <c r="L859" s="6">
        <f t="shared" si="73"/>
        <v>0</v>
      </c>
      <c r="M859" s="6">
        <f t="shared" si="73"/>
        <v>0</v>
      </c>
      <c r="N859" s="6" t="str">
        <f t="shared" si="76"/>
        <v/>
      </c>
      <c r="O859" s="6" t="str">
        <f t="shared" si="77"/>
        <v/>
      </c>
    </row>
    <row r="860" spans="8:15">
      <c r="H860">
        <f t="shared" si="74"/>
        <v>0</v>
      </c>
      <c r="I860" t="e">
        <f t="shared" si="75"/>
        <v>#VALUE!</v>
      </c>
      <c r="J860" s="6">
        <f t="shared" si="73"/>
        <v>0</v>
      </c>
      <c r="K860" s="6">
        <f t="shared" si="73"/>
        <v>0</v>
      </c>
      <c r="L860" s="6">
        <f t="shared" si="73"/>
        <v>0</v>
      </c>
      <c r="M860" s="6">
        <f t="shared" si="73"/>
        <v>0</v>
      </c>
      <c r="N860" s="6" t="str">
        <f t="shared" si="76"/>
        <v/>
      </c>
      <c r="O860" s="6" t="str">
        <f t="shared" si="77"/>
        <v/>
      </c>
    </row>
    <row r="861" spans="8:15">
      <c r="H861">
        <f t="shared" si="74"/>
        <v>0</v>
      </c>
      <c r="I861" t="e">
        <f t="shared" si="75"/>
        <v>#VALUE!</v>
      </c>
      <c r="J861" s="6">
        <f t="shared" si="73"/>
        <v>0</v>
      </c>
      <c r="K861" s="6">
        <f t="shared" si="73"/>
        <v>0</v>
      </c>
      <c r="L861" s="6">
        <f t="shared" si="73"/>
        <v>0</v>
      </c>
      <c r="M861" s="6">
        <f t="shared" si="73"/>
        <v>0</v>
      </c>
      <c r="N861" s="6" t="str">
        <f t="shared" si="76"/>
        <v/>
      </c>
      <c r="O861" s="6" t="str">
        <f t="shared" si="77"/>
        <v/>
      </c>
    </row>
    <row r="862" spans="8:15">
      <c r="H862">
        <f t="shared" si="74"/>
        <v>0</v>
      </c>
      <c r="I862" t="e">
        <f t="shared" si="75"/>
        <v>#VALUE!</v>
      </c>
      <c r="J862" s="6">
        <f t="shared" si="73"/>
        <v>0</v>
      </c>
      <c r="K862" s="6">
        <f t="shared" si="73"/>
        <v>0</v>
      </c>
      <c r="L862" s="6">
        <f t="shared" si="73"/>
        <v>0</v>
      </c>
      <c r="M862" s="6">
        <f t="shared" si="73"/>
        <v>0</v>
      </c>
      <c r="N862" s="6" t="str">
        <f t="shared" si="76"/>
        <v/>
      </c>
      <c r="O862" s="6" t="str">
        <f t="shared" si="77"/>
        <v/>
      </c>
    </row>
    <row r="863" spans="8:15">
      <c r="H863">
        <f t="shared" si="74"/>
        <v>0</v>
      </c>
      <c r="I863" t="e">
        <f t="shared" si="75"/>
        <v>#VALUE!</v>
      </c>
      <c r="J863" s="6">
        <f t="shared" si="73"/>
        <v>0</v>
      </c>
      <c r="K863" s="6">
        <f t="shared" si="73"/>
        <v>0</v>
      </c>
      <c r="L863" s="6">
        <f t="shared" si="73"/>
        <v>0</v>
      </c>
      <c r="M863" s="6">
        <f t="shared" si="73"/>
        <v>0</v>
      </c>
      <c r="N863" s="6" t="str">
        <f t="shared" si="76"/>
        <v/>
      </c>
      <c r="O863" s="6" t="str">
        <f t="shared" si="77"/>
        <v/>
      </c>
    </row>
    <row r="864" spans="8:15">
      <c r="H864">
        <f t="shared" si="74"/>
        <v>0</v>
      </c>
      <c r="I864" t="e">
        <f t="shared" si="75"/>
        <v>#VALUE!</v>
      </c>
      <c r="J864" s="6">
        <f t="shared" si="73"/>
        <v>0</v>
      </c>
      <c r="K864" s="6">
        <f t="shared" si="73"/>
        <v>0</v>
      </c>
      <c r="L864" s="6">
        <f t="shared" si="73"/>
        <v>0</v>
      </c>
      <c r="M864" s="6">
        <f t="shared" si="73"/>
        <v>0</v>
      </c>
      <c r="N864" s="6" t="str">
        <f t="shared" si="76"/>
        <v/>
      </c>
      <c r="O864" s="6" t="str">
        <f t="shared" si="77"/>
        <v/>
      </c>
    </row>
    <row r="865" spans="8:15">
      <c r="H865">
        <f t="shared" si="74"/>
        <v>0</v>
      </c>
      <c r="I865" t="e">
        <f t="shared" si="75"/>
        <v>#VALUE!</v>
      </c>
      <c r="J865" s="6">
        <f t="shared" si="73"/>
        <v>0</v>
      </c>
      <c r="K865" s="6">
        <f t="shared" si="73"/>
        <v>0</v>
      </c>
      <c r="L865" s="6">
        <f t="shared" si="73"/>
        <v>0</v>
      </c>
      <c r="M865" s="6">
        <f t="shared" si="73"/>
        <v>0</v>
      </c>
      <c r="N865" s="6" t="str">
        <f t="shared" si="76"/>
        <v/>
      </c>
      <c r="O865" s="6" t="str">
        <f t="shared" si="77"/>
        <v/>
      </c>
    </row>
    <row r="866" spans="8:15">
      <c r="H866">
        <f t="shared" si="74"/>
        <v>0</v>
      </c>
      <c r="I866" t="e">
        <f t="shared" si="75"/>
        <v>#VALUE!</v>
      </c>
      <c r="J866" s="6">
        <f t="shared" si="73"/>
        <v>0</v>
      </c>
      <c r="K866" s="6">
        <f t="shared" si="73"/>
        <v>0</v>
      </c>
      <c r="L866" s="6">
        <f t="shared" si="73"/>
        <v>0</v>
      </c>
      <c r="M866" s="6">
        <f t="shared" si="73"/>
        <v>0</v>
      </c>
      <c r="N866" s="6" t="str">
        <f t="shared" si="76"/>
        <v/>
      </c>
      <c r="O866" s="6" t="str">
        <f t="shared" si="77"/>
        <v/>
      </c>
    </row>
    <row r="867" spans="8:15">
      <c r="H867">
        <f t="shared" si="74"/>
        <v>0</v>
      </c>
      <c r="I867" t="e">
        <f t="shared" si="75"/>
        <v>#VALUE!</v>
      </c>
      <c r="J867" s="6">
        <f t="shared" si="73"/>
        <v>0</v>
      </c>
      <c r="K867" s="6">
        <f t="shared" si="73"/>
        <v>0</v>
      </c>
      <c r="L867" s="6">
        <f t="shared" si="73"/>
        <v>0</v>
      </c>
      <c r="M867" s="6">
        <f t="shared" si="73"/>
        <v>0</v>
      </c>
      <c r="N867" s="6" t="str">
        <f t="shared" si="76"/>
        <v/>
      </c>
      <c r="O867" s="6" t="str">
        <f t="shared" si="77"/>
        <v/>
      </c>
    </row>
    <row r="868" spans="8:15">
      <c r="H868">
        <f t="shared" si="74"/>
        <v>0</v>
      </c>
      <c r="I868" t="e">
        <f t="shared" si="75"/>
        <v>#VALUE!</v>
      </c>
      <c r="J868" s="6">
        <f t="shared" si="73"/>
        <v>0</v>
      </c>
      <c r="K868" s="6">
        <f t="shared" si="73"/>
        <v>0</v>
      </c>
      <c r="L868" s="6">
        <f t="shared" si="73"/>
        <v>0</v>
      </c>
      <c r="M868" s="6">
        <f t="shared" si="73"/>
        <v>0</v>
      </c>
      <c r="N868" s="6" t="str">
        <f t="shared" si="76"/>
        <v/>
      </c>
      <c r="O868" s="6" t="str">
        <f t="shared" si="77"/>
        <v/>
      </c>
    </row>
    <row r="869" spans="8:15">
      <c r="H869">
        <f t="shared" si="74"/>
        <v>0</v>
      </c>
      <c r="I869" t="e">
        <f t="shared" si="75"/>
        <v>#VALUE!</v>
      </c>
      <c r="J869" s="6">
        <f t="shared" si="73"/>
        <v>0</v>
      </c>
      <c r="K869" s="6">
        <f t="shared" si="73"/>
        <v>0</v>
      </c>
      <c r="L869" s="6">
        <f t="shared" si="73"/>
        <v>0</v>
      </c>
      <c r="M869" s="6">
        <f t="shared" si="73"/>
        <v>0</v>
      </c>
      <c r="N869" s="6" t="str">
        <f t="shared" si="76"/>
        <v/>
      </c>
      <c r="O869" s="6" t="str">
        <f t="shared" si="77"/>
        <v/>
      </c>
    </row>
    <row r="870" spans="8:15">
      <c r="H870">
        <f t="shared" si="74"/>
        <v>0</v>
      </c>
      <c r="I870" t="e">
        <f t="shared" si="75"/>
        <v>#VALUE!</v>
      </c>
      <c r="J870" s="6">
        <f t="shared" si="73"/>
        <v>0</v>
      </c>
      <c r="K870" s="6">
        <f t="shared" si="73"/>
        <v>0</v>
      </c>
      <c r="L870" s="6">
        <f t="shared" si="73"/>
        <v>0</v>
      </c>
      <c r="M870" s="6">
        <f t="shared" si="73"/>
        <v>0</v>
      </c>
      <c r="N870" s="6" t="str">
        <f t="shared" si="76"/>
        <v/>
      </c>
      <c r="O870" s="6" t="str">
        <f t="shared" si="77"/>
        <v/>
      </c>
    </row>
    <row r="871" spans="8:15">
      <c r="H871">
        <f t="shared" si="74"/>
        <v>0</v>
      </c>
      <c r="I871" t="e">
        <f t="shared" si="75"/>
        <v>#VALUE!</v>
      </c>
      <c r="J871" s="6">
        <f t="shared" si="73"/>
        <v>0</v>
      </c>
      <c r="K871" s="6">
        <f t="shared" si="73"/>
        <v>0</v>
      </c>
      <c r="L871" s="6">
        <f t="shared" si="73"/>
        <v>0</v>
      </c>
      <c r="M871" s="6">
        <f t="shared" si="73"/>
        <v>0</v>
      </c>
      <c r="N871" s="6" t="str">
        <f t="shared" si="76"/>
        <v/>
      </c>
      <c r="O871" s="6" t="str">
        <f t="shared" si="77"/>
        <v/>
      </c>
    </row>
    <row r="872" spans="8:15">
      <c r="H872">
        <f t="shared" si="74"/>
        <v>0</v>
      </c>
      <c r="I872" t="e">
        <f t="shared" si="75"/>
        <v>#VALUE!</v>
      </c>
      <c r="J872" s="6">
        <f t="shared" si="73"/>
        <v>0</v>
      </c>
      <c r="K872" s="6">
        <f t="shared" si="73"/>
        <v>0</v>
      </c>
      <c r="L872" s="6">
        <f t="shared" si="73"/>
        <v>0</v>
      </c>
      <c r="M872" s="6">
        <f t="shared" si="73"/>
        <v>0</v>
      </c>
      <c r="N872" s="6" t="str">
        <f t="shared" si="76"/>
        <v/>
      </c>
      <c r="O872" s="6" t="str">
        <f t="shared" si="77"/>
        <v/>
      </c>
    </row>
    <row r="873" spans="8:15">
      <c r="H873">
        <f t="shared" si="74"/>
        <v>0</v>
      </c>
      <c r="I873" t="e">
        <f t="shared" si="75"/>
        <v>#VALUE!</v>
      </c>
      <c r="J873" s="6">
        <f t="shared" si="73"/>
        <v>0</v>
      </c>
      <c r="K873" s="6">
        <f t="shared" si="73"/>
        <v>0</v>
      </c>
      <c r="L873" s="6">
        <f t="shared" si="73"/>
        <v>0</v>
      </c>
      <c r="M873" s="6">
        <f t="shared" si="73"/>
        <v>0</v>
      </c>
      <c r="N873" s="6" t="str">
        <f t="shared" si="76"/>
        <v/>
      </c>
      <c r="O873" s="6" t="str">
        <f t="shared" si="77"/>
        <v/>
      </c>
    </row>
    <row r="874" spans="8:15">
      <c r="H874">
        <f t="shared" si="74"/>
        <v>0</v>
      </c>
      <c r="I874" t="e">
        <f t="shared" si="75"/>
        <v>#VALUE!</v>
      </c>
      <c r="J874" s="6">
        <f t="shared" si="73"/>
        <v>0</v>
      </c>
      <c r="K874" s="6">
        <f t="shared" si="73"/>
        <v>0</v>
      </c>
      <c r="L874" s="6">
        <f t="shared" si="73"/>
        <v>0</v>
      </c>
      <c r="M874" s="6">
        <f t="shared" si="73"/>
        <v>0</v>
      </c>
      <c r="N874" s="6" t="str">
        <f t="shared" si="76"/>
        <v/>
      </c>
      <c r="O874" s="6" t="str">
        <f t="shared" si="77"/>
        <v/>
      </c>
    </row>
    <row r="875" spans="8:15">
      <c r="H875">
        <f t="shared" si="74"/>
        <v>0</v>
      </c>
      <c r="I875" t="e">
        <f t="shared" si="75"/>
        <v>#VALUE!</v>
      </c>
      <c r="J875" s="6">
        <f t="shared" si="73"/>
        <v>0</v>
      </c>
      <c r="K875" s="6">
        <f t="shared" si="73"/>
        <v>0</v>
      </c>
      <c r="L875" s="6">
        <f t="shared" si="73"/>
        <v>0</v>
      </c>
      <c r="M875" s="6">
        <f t="shared" si="73"/>
        <v>0</v>
      </c>
      <c r="N875" s="6" t="str">
        <f t="shared" si="76"/>
        <v/>
      </c>
      <c r="O875" s="6" t="str">
        <f t="shared" si="77"/>
        <v/>
      </c>
    </row>
    <row r="876" spans="8:15">
      <c r="H876">
        <f t="shared" si="74"/>
        <v>0</v>
      </c>
      <c r="I876" t="e">
        <f t="shared" si="75"/>
        <v>#VALUE!</v>
      </c>
      <c r="J876" s="6">
        <f t="shared" si="73"/>
        <v>0</v>
      </c>
      <c r="K876" s="6">
        <f t="shared" si="73"/>
        <v>0</v>
      </c>
      <c r="L876" s="6">
        <f t="shared" si="73"/>
        <v>0</v>
      </c>
      <c r="M876" s="6">
        <f t="shared" si="73"/>
        <v>0</v>
      </c>
      <c r="N876" s="6" t="str">
        <f t="shared" si="76"/>
        <v/>
      </c>
      <c r="O876" s="6" t="str">
        <f t="shared" si="77"/>
        <v/>
      </c>
    </row>
    <row r="877" spans="8:15">
      <c r="H877">
        <f t="shared" si="74"/>
        <v>0</v>
      </c>
      <c r="I877" t="e">
        <f t="shared" si="75"/>
        <v>#VALUE!</v>
      </c>
      <c r="J877" s="6">
        <f t="shared" si="73"/>
        <v>0</v>
      </c>
      <c r="K877" s="6">
        <f t="shared" si="73"/>
        <v>0</v>
      </c>
      <c r="L877" s="6">
        <f t="shared" si="73"/>
        <v>0</v>
      </c>
      <c r="M877" s="6">
        <f t="shared" si="73"/>
        <v>0</v>
      </c>
      <c r="N877" s="6" t="str">
        <f t="shared" si="76"/>
        <v/>
      </c>
      <c r="O877" s="6" t="str">
        <f t="shared" si="77"/>
        <v/>
      </c>
    </row>
    <row r="878" spans="8:15">
      <c r="H878">
        <f t="shared" si="74"/>
        <v>0</v>
      </c>
      <c r="I878" t="e">
        <f t="shared" si="75"/>
        <v>#VALUE!</v>
      </c>
      <c r="J878" s="6">
        <f t="shared" si="73"/>
        <v>0</v>
      </c>
      <c r="K878" s="6">
        <f t="shared" si="73"/>
        <v>0</v>
      </c>
      <c r="L878" s="6">
        <f t="shared" si="73"/>
        <v>0</v>
      </c>
      <c r="M878" s="6">
        <f t="shared" si="73"/>
        <v>0</v>
      </c>
      <c r="N878" s="6" t="str">
        <f t="shared" si="76"/>
        <v/>
      </c>
      <c r="O878" s="6" t="str">
        <f t="shared" si="77"/>
        <v/>
      </c>
    </row>
    <row r="879" spans="8:15">
      <c r="H879">
        <f t="shared" si="74"/>
        <v>0</v>
      </c>
      <c r="I879" t="e">
        <f t="shared" si="75"/>
        <v>#VALUE!</v>
      </c>
      <c r="J879" s="6">
        <f t="shared" si="73"/>
        <v>0</v>
      </c>
      <c r="K879" s="6">
        <f t="shared" si="73"/>
        <v>0</v>
      </c>
      <c r="L879" s="6">
        <f t="shared" si="73"/>
        <v>0</v>
      </c>
      <c r="M879" s="6">
        <f t="shared" si="73"/>
        <v>0</v>
      </c>
      <c r="N879" s="6" t="str">
        <f t="shared" si="76"/>
        <v/>
      </c>
      <c r="O879" s="6" t="str">
        <f t="shared" si="77"/>
        <v/>
      </c>
    </row>
    <row r="880" spans="8:15">
      <c r="H880">
        <f t="shared" si="74"/>
        <v>0</v>
      </c>
      <c r="I880" t="e">
        <f t="shared" si="75"/>
        <v>#VALUE!</v>
      </c>
      <c r="J880" s="6">
        <f t="shared" si="73"/>
        <v>0</v>
      </c>
      <c r="K880" s="6">
        <f t="shared" si="73"/>
        <v>0</v>
      </c>
      <c r="L880" s="6">
        <f t="shared" si="73"/>
        <v>0</v>
      </c>
      <c r="M880" s="6">
        <f t="shared" si="73"/>
        <v>0</v>
      </c>
      <c r="N880" s="6" t="str">
        <f t="shared" si="76"/>
        <v/>
      </c>
      <c r="O880" s="6" t="str">
        <f t="shared" si="77"/>
        <v/>
      </c>
    </row>
    <row r="881" spans="8:15">
      <c r="H881">
        <f t="shared" si="74"/>
        <v>0</v>
      </c>
      <c r="I881" t="e">
        <f t="shared" si="75"/>
        <v>#VALUE!</v>
      </c>
      <c r="J881" s="6">
        <f t="shared" si="73"/>
        <v>0</v>
      </c>
      <c r="K881" s="6">
        <f t="shared" si="73"/>
        <v>0</v>
      </c>
      <c r="L881" s="6">
        <f t="shared" si="73"/>
        <v>0</v>
      </c>
      <c r="M881" s="6">
        <f t="shared" si="73"/>
        <v>0</v>
      </c>
      <c r="N881" s="6" t="str">
        <f t="shared" si="76"/>
        <v/>
      </c>
      <c r="O881" s="6" t="str">
        <f t="shared" si="77"/>
        <v/>
      </c>
    </row>
    <row r="882" spans="8:15">
      <c r="H882">
        <f t="shared" si="74"/>
        <v>0</v>
      </c>
      <c r="I882" t="e">
        <f t="shared" si="75"/>
        <v>#VALUE!</v>
      </c>
      <c r="J882" s="6">
        <f t="shared" si="73"/>
        <v>0</v>
      </c>
      <c r="K882" s="6">
        <f t="shared" si="73"/>
        <v>0</v>
      </c>
      <c r="L882" s="6">
        <f t="shared" si="73"/>
        <v>0</v>
      </c>
      <c r="M882" s="6">
        <f t="shared" si="73"/>
        <v>0</v>
      </c>
      <c r="N882" s="6" t="str">
        <f t="shared" si="76"/>
        <v/>
      </c>
      <c r="O882" s="6" t="str">
        <f t="shared" si="77"/>
        <v/>
      </c>
    </row>
    <row r="883" spans="8:15">
      <c r="H883">
        <f t="shared" si="74"/>
        <v>0</v>
      </c>
      <c r="I883" t="e">
        <f t="shared" si="75"/>
        <v>#VALUE!</v>
      </c>
      <c r="J883" s="6">
        <f t="shared" si="73"/>
        <v>0</v>
      </c>
      <c r="K883" s="6">
        <f t="shared" si="73"/>
        <v>0</v>
      </c>
      <c r="L883" s="6">
        <f t="shared" si="73"/>
        <v>0</v>
      </c>
      <c r="M883" s="6">
        <f t="shared" si="73"/>
        <v>0</v>
      </c>
      <c r="N883" s="6" t="str">
        <f t="shared" si="76"/>
        <v/>
      </c>
      <c r="O883" s="6" t="str">
        <f t="shared" si="77"/>
        <v/>
      </c>
    </row>
    <row r="884" spans="8:15">
      <c r="H884">
        <f t="shared" si="74"/>
        <v>0</v>
      </c>
      <c r="I884" t="e">
        <f t="shared" si="75"/>
        <v>#VALUE!</v>
      </c>
      <c r="J884" s="6">
        <f t="shared" si="73"/>
        <v>0</v>
      </c>
      <c r="K884" s="6">
        <f t="shared" si="73"/>
        <v>0</v>
      </c>
      <c r="L884" s="6">
        <f t="shared" si="73"/>
        <v>0</v>
      </c>
      <c r="M884" s="6">
        <f t="shared" si="73"/>
        <v>0</v>
      </c>
      <c r="N884" s="6" t="str">
        <f t="shared" si="76"/>
        <v/>
      </c>
      <c r="O884" s="6" t="str">
        <f t="shared" si="77"/>
        <v/>
      </c>
    </row>
    <row r="885" spans="8:15">
      <c r="H885">
        <f t="shared" si="74"/>
        <v>0</v>
      </c>
      <c r="I885" t="e">
        <f t="shared" si="75"/>
        <v>#VALUE!</v>
      </c>
      <c r="J885" s="6">
        <f t="shared" si="73"/>
        <v>0</v>
      </c>
      <c r="K885" s="6">
        <f t="shared" si="73"/>
        <v>0</v>
      </c>
      <c r="L885" s="6">
        <f t="shared" si="73"/>
        <v>0</v>
      </c>
      <c r="M885" s="6">
        <f t="shared" si="73"/>
        <v>0</v>
      </c>
      <c r="N885" s="6" t="str">
        <f t="shared" si="76"/>
        <v/>
      </c>
      <c r="O885" s="6" t="str">
        <f t="shared" si="77"/>
        <v/>
      </c>
    </row>
    <row r="886" spans="8:15">
      <c r="H886">
        <f t="shared" si="74"/>
        <v>0</v>
      </c>
      <c r="I886" t="e">
        <f t="shared" si="75"/>
        <v>#VALUE!</v>
      </c>
      <c r="J886" s="6">
        <f t="shared" si="73"/>
        <v>0</v>
      </c>
      <c r="K886" s="6">
        <f t="shared" si="73"/>
        <v>0</v>
      </c>
      <c r="L886" s="6">
        <f t="shared" si="73"/>
        <v>0</v>
      </c>
      <c r="M886" s="6">
        <f t="shared" si="73"/>
        <v>0</v>
      </c>
      <c r="N886" s="6" t="str">
        <f t="shared" si="76"/>
        <v/>
      </c>
      <c r="O886" s="6" t="str">
        <f t="shared" si="77"/>
        <v/>
      </c>
    </row>
    <row r="887" spans="8:15">
      <c r="H887">
        <f t="shared" si="74"/>
        <v>0</v>
      </c>
      <c r="I887" t="e">
        <f t="shared" si="75"/>
        <v>#VALUE!</v>
      </c>
      <c r="J887" s="6">
        <f t="shared" si="73"/>
        <v>0</v>
      </c>
      <c r="K887" s="6">
        <f t="shared" si="73"/>
        <v>0</v>
      </c>
      <c r="L887" s="6">
        <f t="shared" si="73"/>
        <v>0</v>
      </c>
      <c r="M887" s="6">
        <f t="shared" si="73"/>
        <v>0</v>
      </c>
      <c r="N887" s="6" t="str">
        <f t="shared" si="76"/>
        <v/>
      </c>
      <c r="O887" s="6" t="str">
        <f t="shared" si="77"/>
        <v/>
      </c>
    </row>
    <row r="888" spans="8:15">
      <c r="H888">
        <f t="shared" si="74"/>
        <v>0</v>
      </c>
      <c r="I888" t="e">
        <f t="shared" si="75"/>
        <v>#VALUE!</v>
      </c>
      <c r="J888" s="6">
        <f t="shared" si="73"/>
        <v>0</v>
      </c>
      <c r="K888" s="6">
        <f t="shared" si="73"/>
        <v>0</v>
      </c>
      <c r="L888" s="6">
        <f t="shared" si="73"/>
        <v>0</v>
      </c>
      <c r="M888" s="6">
        <f t="shared" si="73"/>
        <v>0</v>
      </c>
      <c r="N888" s="6" t="str">
        <f t="shared" si="76"/>
        <v/>
      </c>
      <c r="O888" s="6" t="str">
        <f t="shared" si="77"/>
        <v/>
      </c>
    </row>
    <row r="889" spans="8:15">
      <c r="H889">
        <f t="shared" si="74"/>
        <v>0</v>
      </c>
      <c r="I889" t="e">
        <f t="shared" si="75"/>
        <v>#VALUE!</v>
      </c>
      <c r="J889" s="6">
        <f t="shared" si="73"/>
        <v>0</v>
      </c>
      <c r="K889" s="6">
        <f t="shared" si="73"/>
        <v>0</v>
      </c>
      <c r="L889" s="6">
        <f t="shared" si="73"/>
        <v>0</v>
      </c>
      <c r="M889" s="6">
        <f t="shared" si="73"/>
        <v>0</v>
      </c>
      <c r="N889" s="6" t="str">
        <f t="shared" si="76"/>
        <v/>
      </c>
      <c r="O889" s="6" t="str">
        <f t="shared" si="77"/>
        <v/>
      </c>
    </row>
    <row r="890" spans="8:15">
      <c r="H890">
        <f t="shared" si="74"/>
        <v>0</v>
      </c>
      <c r="I890" t="e">
        <f t="shared" si="75"/>
        <v>#VALUE!</v>
      </c>
      <c r="J890" s="6">
        <f t="shared" si="73"/>
        <v>0</v>
      </c>
      <c r="K890" s="6">
        <f t="shared" si="73"/>
        <v>0</v>
      </c>
      <c r="L890" s="6">
        <f t="shared" si="73"/>
        <v>0</v>
      </c>
      <c r="M890" s="6">
        <f t="shared" si="73"/>
        <v>0</v>
      </c>
      <c r="N890" s="6" t="str">
        <f t="shared" si="76"/>
        <v/>
      </c>
      <c r="O890" s="6" t="str">
        <f t="shared" si="77"/>
        <v/>
      </c>
    </row>
    <row r="891" spans="8:15">
      <c r="H891">
        <f t="shared" si="74"/>
        <v>0</v>
      </c>
      <c r="I891" t="e">
        <f t="shared" si="75"/>
        <v>#VALUE!</v>
      </c>
      <c r="J891" s="6">
        <f t="shared" si="73"/>
        <v>0</v>
      </c>
      <c r="K891" s="6">
        <f t="shared" si="73"/>
        <v>0</v>
      </c>
      <c r="L891" s="6">
        <f t="shared" si="73"/>
        <v>0</v>
      </c>
      <c r="M891" s="6">
        <f t="shared" si="73"/>
        <v>0</v>
      </c>
      <c r="N891" s="6" t="str">
        <f t="shared" si="76"/>
        <v/>
      </c>
      <c r="O891" s="6" t="str">
        <f t="shared" si="77"/>
        <v/>
      </c>
    </row>
    <row r="892" spans="8:15">
      <c r="H892">
        <f t="shared" si="74"/>
        <v>0</v>
      </c>
      <c r="I892" t="e">
        <f t="shared" si="75"/>
        <v>#VALUE!</v>
      </c>
      <c r="J892" s="6">
        <f t="shared" si="73"/>
        <v>0</v>
      </c>
      <c r="K892" s="6">
        <f t="shared" si="73"/>
        <v>0</v>
      </c>
      <c r="L892" s="6">
        <f t="shared" si="73"/>
        <v>0</v>
      </c>
      <c r="M892" s="6">
        <f t="shared" si="73"/>
        <v>0</v>
      </c>
      <c r="N892" s="6" t="str">
        <f t="shared" si="76"/>
        <v/>
      </c>
      <c r="O892" s="6" t="str">
        <f t="shared" si="77"/>
        <v/>
      </c>
    </row>
    <row r="893" spans="8:15">
      <c r="H893">
        <f t="shared" si="74"/>
        <v>0</v>
      </c>
      <c r="I893" t="e">
        <f t="shared" si="75"/>
        <v>#VALUE!</v>
      </c>
      <c r="J893" s="6">
        <f t="shared" si="73"/>
        <v>0</v>
      </c>
      <c r="K893" s="6">
        <f t="shared" si="73"/>
        <v>0</v>
      </c>
      <c r="L893" s="6">
        <f t="shared" si="73"/>
        <v>0</v>
      </c>
      <c r="M893" s="6">
        <f t="shared" si="73"/>
        <v>0</v>
      </c>
      <c r="N893" s="6" t="str">
        <f t="shared" si="76"/>
        <v/>
      </c>
      <c r="O893" s="6" t="str">
        <f t="shared" si="77"/>
        <v/>
      </c>
    </row>
    <row r="894" spans="8:15">
      <c r="H894">
        <f t="shared" si="74"/>
        <v>0</v>
      </c>
      <c r="I894" t="e">
        <f t="shared" si="75"/>
        <v>#VALUE!</v>
      </c>
      <c r="J894" s="6">
        <f t="shared" si="73"/>
        <v>0</v>
      </c>
      <c r="K894" s="6">
        <f t="shared" si="73"/>
        <v>0</v>
      </c>
      <c r="L894" s="6">
        <f t="shared" si="73"/>
        <v>0</v>
      </c>
      <c r="M894" s="6">
        <f t="shared" si="73"/>
        <v>0</v>
      </c>
      <c r="N894" s="6" t="str">
        <f t="shared" si="76"/>
        <v/>
      </c>
      <c r="O894" s="6" t="str">
        <f t="shared" si="77"/>
        <v/>
      </c>
    </row>
    <row r="895" spans="8:15">
      <c r="H895">
        <f t="shared" si="74"/>
        <v>0</v>
      </c>
      <c r="I895" t="e">
        <f t="shared" si="75"/>
        <v>#VALUE!</v>
      </c>
      <c r="J895" s="6">
        <f t="shared" si="73"/>
        <v>0</v>
      </c>
      <c r="K895" s="6">
        <f t="shared" si="73"/>
        <v>0</v>
      </c>
      <c r="L895" s="6">
        <f t="shared" si="73"/>
        <v>0</v>
      </c>
      <c r="M895" s="6">
        <f t="shared" si="73"/>
        <v>0</v>
      </c>
      <c r="N895" s="6" t="str">
        <f t="shared" si="76"/>
        <v/>
      </c>
      <c r="O895" s="6" t="str">
        <f t="shared" si="77"/>
        <v/>
      </c>
    </row>
    <row r="896" spans="8:15">
      <c r="H896">
        <f t="shared" si="74"/>
        <v>0</v>
      </c>
      <c r="I896" t="e">
        <f t="shared" si="75"/>
        <v>#VALUE!</v>
      </c>
      <c r="J896" s="6">
        <f t="shared" si="73"/>
        <v>0</v>
      </c>
      <c r="K896" s="6">
        <f t="shared" si="73"/>
        <v>0</v>
      </c>
      <c r="L896" s="6">
        <f t="shared" si="73"/>
        <v>0</v>
      </c>
      <c r="M896" s="6">
        <f t="shared" si="73"/>
        <v>0</v>
      </c>
      <c r="N896" s="6" t="str">
        <f t="shared" si="76"/>
        <v/>
      </c>
      <c r="O896" s="6" t="str">
        <f t="shared" si="77"/>
        <v/>
      </c>
    </row>
    <row r="897" spans="8:15">
      <c r="H897">
        <f t="shared" si="74"/>
        <v>0</v>
      </c>
      <c r="I897" t="e">
        <f t="shared" si="75"/>
        <v>#VALUE!</v>
      </c>
      <c r="J897" s="6">
        <f t="shared" si="73"/>
        <v>0</v>
      </c>
      <c r="K897" s="6">
        <f t="shared" si="73"/>
        <v>0</v>
      </c>
      <c r="L897" s="6">
        <f t="shared" si="73"/>
        <v>0</v>
      </c>
      <c r="M897" s="6">
        <f t="shared" ref="M897:M960" si="78">F897</f>
        <v>0</v>
      </c>
      <c r="N897" s="6" t="str">
        <f t="shared" si="76"/>
        <v/>
      </c>
      <c r="O897" s="6" t="str">
        <f t="shared" si="77"/>
        <v/>
      </c>
    </row>
    <row r="898" spans="8:15">
      <c r="H898">
        <f t="shared" si="74"/>
        <v>0</v>
      </c>
      <c r="I898" t="e">
        <f t="shared" si="75"/>
        <v>#VALUE!</v>
      </c>
      <c r="J898" s="6">
        <f t="shared" ref="J898:L913" si="79">C898</f>
        <v>0</v>
      </c>
      <c r="K898" s="6">
        <f t="shared" si="79"/>
        <v>0</v>
      </c>
      <c r="L898" s="6">
        <f t="shared" si="79"/>
        <v>0</v>
      </c>
      <c r="M898" s="6">
        <f t="shared" si="78"/>
        <v>0</v>
      </c>
      <c r="N898" s="6" t="str">
        <f t="shared" si="76"/>
        <v/>
      </c>
      <c r="O898" s="6" t="str">
        <f t="shared" si="77"/>
        <v/>
      </c>
    </row>
    <row r="899" spans="8:15">
      <c r="H899">
        <f t="shared" si="74"/>
        <v>0</v>
      </c>
      <c r="I899" t="e">
        <f t="shared" si="75"/>
        <v>#VALUE!</v>
      </c>
      <c r="J899" s="6">
        <f t="shared" si="79"/>
        <v>0</v>
      </c>
      <c r="K899" s="6">
        <f t="shared" si="79"/>
        <v>0</v>
      </c>
      <c r="L899" s="6">
        <f t="shared" si="79"/>
        <v>0</v>
      </c>
      <c r="M899" s="6">
        <f t="shared" si="78"/>
        <v>0</v>
      </c>
      <c r="N899" s="6" t="str">
        <f t="shared" si="76"/>
        <v/>
      </c>
      <c r="O899" s="6" t="str">
        <f t="shared" si="77"/>
        <v/>
      </c>
    </row>
    <row r="900" spans="8:15">
      <c r="H900">
        <f t="shared" si="74"/>
        <v>0</v>
      </c>
      <c r="I900" t="e">
        <f t="shared" si="75"/>
        <v>#VALUE!</v>
      </c>
      <c r="J900" s="6">
        <f t="shared" si="79"/>
        <v>0</v>
      </c>
      <c r="K900" s="6">
        <f t="shared" si="79"/>
        <v>0</v>
      </c>
      <c r="L900" s="6">
        <f t="shared" si="79"/>
        <v>0</v>
      </c>
      <c r="M900" s="6">
        <f t="shared" si="78"/>
        <v>0</v>
      </c>
      <c r="N900" s="6" t="str">
        <f t="shared" si="76"/>
        <v/>
      </c>
      <c r="O900" s="6" t="str">
        <f t="shared" si="77"/>
        <v/>
      </c>
    </row>
    <row r="901" spans="8:15">
      <c r="H901">
        <f t="shared" si="74"/>
        <v>0</v>
      </c>
      <c r="I901" t="e">
        <f t="shared" si="75"/>
        <v>#VALUE!</v>
      </c>
      <c r="J901" s="6">
        <f t="shared" si="79"/>
        <v>0</v>
      </c>
      <c r="K901" s="6">
        <f t="shared" si="79"/>
        <v>0</v>
      </c>
      <c r="L901" s="6">
        <f t="shared" si="79"/>
        <v>0</v>
      </c>
      <c r="M901" s="6">
        <f t="shared" si="78"/>
        <v>0</v>
      </c>
      <c r="N901" s="6" t="str">
        <f t="shared" si="76"/>
        <v/>
      </c>
      <c r="O901" s="6" t="str">
        <f t="shared" si="77"/>
        <v/>
      </c>
    </row>
    <row r="902" spans="8:15">
      <c r="H902">
        <f t="shared" si="74"/>
        <v>0</v>
      </c>
      <c r="I902" t="e">
        <f t="shared" si="75"/>
        <v>#VALUE!</v>
      </c>
      <c r="J902" s="6">
        <f t="shared" si="79"/>
        <v>0</v>
      </c>
      <c r="K902" s="6">
        <f t="shared" si="79"/>
        <v>0</v>
      </c>
      <c r="L902" s="6">
        <f t="shared" si="79"/>
        <v>0</v>
      </c>
      <c r="M902" s="6">
        <f t="shared" si="78"/>
        <v>0</v>
      </c>
      <c r="N902" s="6" t="str">
        <f t="shared" si="76"/>
        <v/>
      </c>
      <c r="O902" s="6" t="str">
        <f t="shared" si="77"/>
        <v/>
      </c>
    </row>
    <row r="903" spans="8:15">
      <c r="H903">
        <f t="shared" ref="H903:H966" si="80">A903</f>
        <v>0</v>
      </c>
      <c r="I903" t="e">
        <f t="shared" ref="I903:I966" si="81">LEFT(B903,SEARCH(" ",B903,1)-1)</f>
        <v>#VALUE!</v>
      </c>
      <c r="J903" s="6">
        <f t="shared" si="79"/>
        <v>0</v>
      </c>
      <c r="K903" s="6">
        <f t="shared" si="79"/>
        <v>0</v>
      </c>
      <c r="L903" s="6">
        <f t="shared" si="79"/>
        <v>0</v>
      </c>
      <c r="M903" s="6">
        <f t="shared" si="78"/>
        <v>0</v>
      </c>
      <c r="N903" s="6" t="str">
        <f t="shared" si="76"/>
        <v/>
      </c>
      <c r="O903" s="6" t="str">
        <f t="shared" si="77"/>
        <v/>
      </c>
    </row>
    <row r="904" spans="8:15">
      <c r="H904">
        <f t="shared" si="80"/>
        <v>0</v>
      </c>
      <c r="I904" t="e">
        <f t="shared" si="81"/>
        <v>#VALUE!</v>
      </c>
      <c r="J904" s="6">
        <f t="shared" si="79"/>
        <v>0</v>
      </c>
      <c r="K904" s="6">
        <f t="shared" si="79"/>
        <v>0</v>
      </c>
      <c r="L904" s="6">
        <f t="shared" si="79"/>
        <v>0</v>
      </c>
      <c r="M904" s="6">
        <f t="shared" si="78"/>
        <v>0</v>
      </c>
      <c r="N904" s="6" t="str">
        <f t="shared" ref="N904:N967" si="82">TRIM($B$1)</f>
        <v/>
      </c>
      <c r="O904" s="6" t="str">
        <f t="shared" ref="O904:O967" si="83">TRIM($C$1)</f>
        <v/>
      </c>
    </row>
    <row r="905" spans="8:15">
      <c r="H905">
        <f t="shared" si="80"/>
        <v>0</v>
      </c>
      <c r="I905" t="e">
        <f t="shared" si="81"/>
        <v>#VALUE!</v>
      </c>
      <c r="J905" s="6">
        <f t="shared" si="79"/>
        <v>0</v>
      </c>
      <c r="K905" s="6">
        <f t="shared" si="79"/>
        <v>0</v>
      </c>
      <c r="L905" s="6">
        <f t="shared" si="79"/>
        <v>0</v>
      </c>
      <c r="M905" s="6">
        <f t="shared" si="78"/>
        <v>0</v>
      </c>
      <c r="N905" s="6" t="str">
        <f t="shared" si="82"/>
        <v/>
      </c>
      <c r="O905" s="6" t="str">
        <f t="shared" si="83"/>
        <v/>
      </c>
    </row>
    <row r="906" spans="8:15">
      <c r="H906">
        <f t="shared" si="80"/>
        <v>0</v>
      </c>
      <c r="I906" t="e">
        <f t="shared" si="81"/>
        <v>#VALUE!</v>
      </c>
      <c r="J906" s="6">
        <f t="shared" si="79"/>
        <v>0</v>
      </c>
      <c r="K906" s="6">
        <f t="shared" si="79"/>
        <v>0</v>
      </c>
      <c r="L906" s="6">
        <f t="shared" si="79"/>
        <v>0</v>
      </c>
      <c r="M906" s="6">
        <f t="shared" si="78"/>
        <v>0</v>
      </c>
      <c r="N906" s="6" t="str">
        <f t="shared" si="82"/>
        <v/>
      </c>
      <c r="O906" s="6" t="str">
        <f t="shared" si="83"/>
        <v/>
      </c>
    </row>
    <row r="907" spans="8:15">
      <c r="H907">
        <f t="shared" si="80"/>
        <v>0</v>
      </c>
      <c r="I907" t="e">
        <f t="shared" si="81"/>
        <v>#VALUE!</v>
      </c>
      <c r="J907" s="6">
        <f t="shared" si="79"/>
        <v>0</v>
      </c>
      <c r="K907" s="6">
        <f t="shared" si="79"/>
        <v>0</v>
      </c>
      <c r="L907" s="6">
        <f t="shared" si="79"/>
        <v>0</v>
      </c>
      <c r="M907" s="6">
        <f t="shared" si="78"/>
        <v>0</v>
      </c>
      <c r="N907" s="6" t="str">
        <f t="shared" si="82"/>
        <v/>
      </c>
      <c r="O907" s="6" t="str">
        <f t="shared" si="83"/>
        <v/>
      </c>
    </row>
    <row r="908" spans="8:15">
      <c r="H908">
        <f t="shared" si="80"/>
        <v>0</v>
      </c>
      <c r="I908" t="e">
        <f t="shared" si="81"/>
        <v>#VALUE!</v>
      </c>
      <c r="J908" s="6">
        <f t="shared" si="79"/>
        <v>0</v>
      </c>
      <c r="K908" s="6">
        <f t="shared" si="79"/>
        <v>0</v>
      </c>
      <c r="L908" s="6">
        <f t="shared" si="79"/>
        <v>0</v>
      </c>
      <c r="M908" s="6">
        <f t="shared" si="78"/>
        <v>0</v>
      </c>
      <c r="N908" s="6" t="str">
        <f t="shared" si="82"/>
        <v/>
      </c>
      <c r="O908" s="6" t="str">
        <f t="shared" si="83"/>
        <v/>
      </c>
    </row>
    <row r="909" spans="8:15">
      <c r="H909">
        <f t="shared" si="80"/>
        <v>0</v>
      </c>
      <c r="I909" t="e">
        <f t="shared" si="81"/>
        <v>#VALUE!</v>
      </c>
      <c r="J909" s="6">
        <f t="shared" si="79"/>
        <v>0</v>
      </c>
      <c r="K909" s="6">
        <f t="shared" si="79"/>
        <v>0</v>
      </c>
      <c r="L909" s="6">
        <f t="shared" si="79"/>
        <v>0</v>
      </c>
      <c r="M909" s="6">
        <f t="shared" si="78"/>
        <v>0</v>
      </c>
      <c r="N909" s="6" t="str">
        <f t="shared" si="82"/>
        <v/>
      </c>
      <c r="O909" s="6" t="str">
        <f t="shared" si="83"/>
        <v/>
      </c>
    </row>
    <row r="910" spans="8:15">
      <c r="H910">
        <f t="shared" si="80"/>
        <v>0</v>
      </c>
      <c r="I910" t="e">
        <f t="shared" si="81"/>
        <v>#VALUE!</v>
      </c>
      <c r="J910" s="6">
        <f t="shared" si="79"/>
        <v>0</v>
      </c>
      <c r="K910" s="6">
        <f t="shared" si="79"/>
        <v>0</v>
      </c>
      <c r="L910" s="6">
        <f t="shared" si="79"/>
        <v>0</v>
      </c>
      <c r="M910" s="6">
        <f t="shared" si="78"/>
        <v>0</v>
      </c>
      <c r="N910" s="6" t="str">
        <f t="shared" si="82"/>
        <v/>
      </c>
      <c r="O910" s="6" t="str">
        <f t="shared" si="83"/>
        <v/>
      </c>
    </row>
    <row r="911" spans="8:15">
      <c r="H911">
        <f t="shared" si="80"/>
        <v>0</v>
      </c>
      <c r="I911" t="e">
        <f t="shared" si="81"/>
        <v>#VALUE!</v>
      </c>
      <c r="J911" s="6">
        <f t="shared" si="79"/>
        <v>0</v>
      </c>
      <c r="K911" s="6">
        <f t="shared" si="79"/>
        <v>0</v>
      </c>
      <c r="L911" s="6">
        <f t="shared" si="79"/>
        <v>0</v>
      </c>
      <c r="M911" s="6">
        <f t="shared" si="78"/>
        <v>0</v>
      </c>
      <c r="N911" s="6" t="str">
        <f t="shared" si="82"/>
        <v/>
      </c>
      <c r="O911" s="6" t="str">
        <f t="shared" si="83"/>
        <v/>
      </c>
    </row>
    <row r="912" spans="8:15">
      <c r="H912">
        <f t="shared" si="80"/>
        <v>0</v>
      </c>
      <c r="I912" t="e">
        <f t="shared" si="81"/>
        <v>#VALUE!</v>
      </c>
      <c r="J912" s="6">
        <f t="shared" si="79"/>
        <v>0</v>
      </c>
      <c r="K912" s="6">
        <f t="shared" si="79"/>
        <v>0</v>
      </c>
      <c r="L912" s="6">
        <f t="shared" si="79"/>
        <v>0</v>
      </c>
      <c r="M912" s="6">
        <f t="shared" si="78"/>
        <v>0</v>
      </c>
      <c r="N912" s="6" t="str">
        <f t="shared" si="82"/>
        <v/>
      </c>
      <c r="O912" s="6" t="str">
        <f t="shared" si="83"/>
        <v/>
      </c>
    </row>
    <row r="913" spans="8:15">
      <c r="H913">
        <f t="shared" si="80"/>
        <v>0</v>
      </c>
      <c r="I913" t="e">
        <f t="shared" si="81"/>
        <v>#VALUE!</v>
      </c>
      <c r="J913" s="6">
        <f t="shared" si="79"/>
        <v>0</v>
      </c>
      <c r="K913" s="6">
        <f t="shared" si="79"/>
        <v>0</v>
      </c>
      <c r="L913" s="6">
        <f t="shared" si="79"/>
        <v>0</v>
      </c>
      <c r="M913" s="6">
        <f t="shared" si="78"/>
        <v>0</v>
      </c>
      <c r="N913" s="6" t="str">
        <f t="shared" si="82"/>
        <v/>
      </c>
      <c r="O913" s="6" t="str">
        <f t="shared" si="83"/>
        <v/>
      </c>
    </row>
    <row r="914" spans="8:15">
      <c r="H914">
        <f t="shared" si="80"/>
        <v>0</v>
      </c>
      <c r="I914" t="e">
        <f t="shared" si="81"/>
        <v>#VALUE!</v>
      </c>
      <c r="J914" s="6">
        <f t="shared" ref="J914:M977" si="84">C914</f>
        <v>0</v>
      </c>
      <c r="K914" s="6">
        <f t="shared" si="84"/>
        <v>0</v>
      </c>
      <c r="L914" s="6">
        <f t="shared" si="84"/>
        <v>0</v>
      </c>
      <c r="M914" s="6">
        <f t="shared" si="78"/>
        <v>0</v>
      </c>
      <c r="N914" s="6" t="str">
        <f t="shared" si="82"/>
        <v/>
      </c>
      <c r="O914" s="6" t="str">
        <f t="shared" si="83"/>
        <v/>
      </c>
    </row>
    <row r="915" spans="8:15">
      <c r="H915">
        <f t="shared" si="80"/>
        <v>0</v>
      </c>
      <c r="I915" t="e">
        <f t="shared" si="81"/>
        <v>#VALUE!</v>
      </c>
      <c r="J915" s="6">
        <f t="shared" si="84"/>
        <v>0</v>
      </c>
      <c r="K915" s="6">
        <f t="shared" si="84"/>
        <v>0</v>
      </c>
      <c r="L915" s="6">
        <f t="shared" si="84"/>
        <v>0</v>
      </c>
      <c r="M915" s="6">
        <f t="shared" si="78"/>
        <v>0</v>
      </c>
      <c r="N915" s="6" t="str">
        <f t="shared" si="82"/>
        <v/>
      </c>
      <c r="O915" s="6" t="str">
        <f t="shared" si="83"/>
        <v/>
      </c>
    </row>
    <row r="916" spans="8:15">
      <c r="H916">
        <f t="shared" si="80"/>
        <v>0</v>
      </c>
      <c r="I916" t="e">
        <f t="shared" si="81"/>
        <v>#VALUE!</v>
      </c>
      <c r="J916" s="6">
        <f t="shared" si="84"/>
        <v>0</v>
      </c>
      <c r="K916" s="6">
        <f t="shared" si="84"/>
        <v>0</v>
      </c>
      <c r="L916" s="6">
        <f t="shared" si="84"/>
        <v>0</v>
      </c>
      <c r="M916" s="6">
        <f t="shared" si="78"/>
        <v>0</v>
      </c>
      <c r="N916" s="6" t="str">
        <f t="shared" si="82"/>
        <v/>
      </c>
      <c r="O916" s="6" t="str">
        <f t="shared" si="83"/>
        <v/>
      </c>
    </row>
    <row r="917" spans="8:15">
      <c r="H917">
        <f t="shared" si="80"/>
        <v>0</v>
      </c>
      <c r="I917" t="e">
        <f t="shared" si="81"/>
        <v>#VALUE!</v>
      </c>
      <c r="J917" s="6">
        <f t="shared" si="84"/>
        <v>0</v>
      </c>
      <c r="K917" s="6">
        <f t="shared" si="84"/>
        <v>0</v>
      </c>
      <c r="L917" s="6">
        <f t="shared" si="84"/>
        <v>0</v>
      </c>
      <c r="M917" s="6">
        <f t="shared" si="78"/>
        <v>0</v>
      </c>
      <c r="N917" s="6" t="str">
        <f t="shared" si="82"/>
        <v/>
      </c>
      <c r="O917" s="6" t="str">
        <f t="shared" si="83"/>
        <v/>
      </c>
    </row>
    <row r="918" spans="8:15">
      <c r="H918">
        <f t="shared" si="80"/>
        <v>0</v>
      </c>
      <c r="I918" t="e">
        <f t="shared" si="81"/>
        <v>#VALUE!</v>
      </c>
      <c r="J918" s="6">
        <f t="shared" si="84"/>
        <v>0</v>
      </c>
      <c r="K918" s="6">
        <f t="shared" si="84"/>
        <v>0</v>
      </c>
      <c r="L918" s="6">
        <f t="shared" si="84"/>
        <v>0</v>
      </c>
      <c r="M918" s="6">
        <f t="shared" si="78"/>
        <v>0</v>
      </c>
      <c r="N918" s="6" t="str">
        <f t="shared" si="82"/>
        <v/>
      </c>
      <c r="O918" s="6" t="str">
        <f t="shared" si="83"/>
        <v/>
      </c>
    </row>
    <row r="919" spans="8:15">
      <c r="H919">
        <f t="shared" si="80"/>
        <v>0</v>
      </c>
      <c r="I919" t="e">
        <f t="shared" si="81"/>
        <v>#VALUE!</v>
      </c>
      <c r="J919" s="6">
        <f t="shared" si="84"/>
        <v>0</v>
      </c>
      <c r="K919" s="6">
        <f t="shared" si="84"/>
        <v>0</v>
      </c>
      <c r="L919" s="6">
        <f t="shared" si="84"/>
        <v>0</v>
      </c>
      <c r="M919" s="6">
        <f t="shared" si="78"/>
        <v>0</v>
      </c>
      <c r="N919" s="6" t="str">
        <f t="shared" si="82"/>
        <v/>
      </c>
      <c r="O919" s="6" t="str">
        <f t="shared" si="83"/>
        <v/>
      </c>
    </row>
    <row r="920" spans="8:15">
      <c r="H920">
        <f t="shared" si="80"/>
        <v>0</v>
      </c>
      <c r="I920" t="e">
        <f t="shared" si="81"/>
        <v>#VALUE!</v>
      </c>
      <c r="J920" s="6">
        <f t="shared" si="84"/>
        <v>0</v>
      </c>
      <c r="K920" s="6">
        <f t="shared" si="84"/>
        <v>0</v>
      </c>
      <c r="L920" s="6">
        <f t="shared" si="84"/>
        <v>0</v>
      </c>
      <c r="M920" s="6">
        <f t="shared" si="78"/>
        <v>0</v>
      </c>
      <c r="N920" s="6" t="str">
        <f t="shared" si="82"/>
        <v/>
      </c>
      <c r="O920" s="6" t="str">
        <f t="shared" si="83"/>
        <v/>
      </c>
    </row>
    <row r="921" spans="8:15">
      <c r="H921">
        <f t="shared" si="80"/>
        <v>0</v>
      </c>
      <c r="I921" t="e">
        <f t="shared" si="81"/>
        <v>#VALUE!</v>
      </c>
      <c r="J921" s="6">
        <f t="shared" si="84"/>
        <v>0</v>
      </c>
      <c r="K921" s="6">
        <f t="shared" si="84"/>
        <v>0</v>
      </c>
      <c r="L921" s="6">
        <f t="shared" si="84"/>
        <v>0</v>
      </c>
      <c r="M921" s="6">
        <f t="shared" si="78"/>
        <v>0</v>
      </c>
      <c r="N921" s="6" t="str">
        <f t="shared" si="82"/>
        <v/>
      </c>
      <c r="O921" s="6" t="str">
        <f t="shared" si="83"/>
        <v/>
      </c>
    </row>
    <row r="922" spans="8:15">
      <c r="H922">
        <f t="shared" si="80"/>
        <v>0</v>
      </c>
      <c r="I922" t="e">
        <f t="shared" si="81"/>
        <v>#VALUE!</v>
      </c>
      <c r="J922" s="6">
        <f t="shared" si="84"/>
        <v>0</v>
      </c>
      <c r="K922" s="6">
        <f t="shared" si="84"/>
        <v>0</v>
      </c>
      <c r="L922" s="6">
        <f t="shared" si="84"/>
        <v>0</v>
      </c>
      <c r="M922" s="6">
        <f t="shared" si="78"/>
        <v>0</v>
      </c>
      <c r="N922" s="6" t="str">
        <f t="shared" si="82"/>
        <v/>
      </c>
      <c r="O922" s="6" t="str">
        <f t="shared" si="83"/>
        <v/>
      </c>
    </row>
    <row r="923" spans="8:15">
      <c r="H923">
        <f t="shared" si="80"/>
        <v>0</v>
      </c>
      <c r="I923" t="e">
        <f t="shared" si="81"/>
        <v>#VALUE!</v>
      </c>
      <c r="J923" s="6">
        <f t="shared" si="84"/>
        <v>0</v>
      </c>
      <c r="K923" s="6">
        <f t="shared" si="84"/>
        <v>0</v>
      </c>
      <c r="L923" s="6">
        <f t="shared" si="84"/>
        <v>0</v>
      </c>
      <c r="M923" s="6">
        <f t="shared" si="78"/>
        <v>0</v>
      </c>
      <c r="N923" s="6" t="str">
        <f t="shared" si="82"/>
        <v/>
      </c>
      <c r="O923" s="6" t="str">
        <f t="shared" si="83"/>
        <v/>
      </c>
    </row>
    <row r="924" spans="8:15">
      <c r="H924">
        <f t="shared" si="80"/>
        <v>0</v>
      </c>
      <c r="I924" t="e">
        <f t="shared" si="81"/>
        <v>#VALUE!</v>
      </c>
      <c r="J924" s="6">
        <f t="shared" si="84"/>
        <v>0</v>
      </c>
      <c r="K924" s="6">
        <f t="shared" si="84"/>
        <v>0</v>
      </c>
      <c r="L924" s="6">
        <f t="shared" si="84"/>
        <v>0</v>
      </c>
      <c r="M924" s="6">
        <f t="shared" si="78"/>
        <v>0</v>
      </c>
      <c r="N924" s="6" t="str">
        <f t="shared" si="82"/>
        <v/>
      </c>
      <c r="O924" s="6" t="str">
        <f t="shared" si="83"/>
        <v/>
      </c>
    </row>
    <row r="925" spans="8:15">
      <c r="H925">
        <f t="shared" si="80"/>
        <v>0</v>
      </c>
      <c r="I925" t="e">
        <f t="shared" si="81"/>
        <v>#VALUE!</v>
      </c>
      <c r="J925" s="6">
        <f t="shared" si="84"/>
        <v>0</v>
      </c>
      <c r="K925" s="6">
        <f t="shared" si="84"/>
        <v>0</v>
      </c>
      <c r="L925" s="6">
        <f t="shared" si="84"/>
        <v>0</v>
      </c>
      <c r="M925" s="6">
        <f t="shared" si="78"/>
        <v>0</v>
      </c>
      <c r="N925" s="6" t="str">
        <f t="shared" si="82"/>
        <v/>
      </c>
      <c r="O925" s="6" t="str">
        <f t="shared" si="83"/>
        <v/>
      </c>
    </row>
    <row r="926" spans="8:15">
      <c r="H926">
        <f t="shared" si="80"/>
        <v>0</v>
      </c>
      <c r="I926" t="e">
        <f t="shared" si="81"/>
        <v>#VALUE!</v>
      </c>
      <c r="J926" s="6">
        <f t="shared" si="84"/>
        <v>0</v>
      </c>
      <c r="K926" s="6">
        <f t="shared" si="84"/>
        <v>0</v>
      </c>
      <c r="L926" s="6">
        <f t="shared" si="84"/>
        <v>0</v>
      </c>
      <c r="M926" s="6">
        <f t="shared" si="78"/>
        <v>0</v>
      </c>
      <c r="N926" s="6" t="str">
        <f t="shared" si="82"/>
        <v/>
      </c>
      <c r="O926" s="6" t="str">
        <f t="shared" si="83"/>
        <v/>
      </c>
    </row>
    <row r="927" spans="8:15">
      <c r="H927">
        <f t="shared" si="80"/>
        <v>0</v>
      </c>
      <c r="I927" t="e">
        <f t="shared" si="81"/>
        <v>#VALUE!</v>
      </c>
      <c r="J927" s="6">
        <f t="shared" si="84"/>
        <v>0</v>
      </c>
      <c r="K927" s="6">
        <f t="shared" si="84"/>
        <v>0</v>
      </c>
      <c r="L927" s="6">
        <f t="shared" si="84"/>
        <v>0</v>
      </c>
      <c r="M927" s="6">
        <f t="shared" si="78"/>
        <v>0</v>
      </c>
      <c r="N927" s="6" t="str">
        <f t="shared" si="82"/>
        <v/>
      </c>
      <c r="O927" s="6" t="str">
        <f t="shared" si="83"/>
        <v/>
      </c>
    </row>
    <row r="928" spans="8:15">
      <c r="H928">
        <f t="shared" si="80"/>
        <v>0</v>
      </c>
      <c r="I928" t="e">
        <f t="shared" si="81"/>
        <v>#VALUE!</v>
      </c>
      <c r="J928" s="6">
        <f t="shared" si="84"/>
        <v>0</v>
      </c>
      <c r="K928" s="6">
        <f t="shared" si="84"/>
        <v>0</v>
      </c>
      <c r="L928" s="6">
        <f t="shared" si="84"/>
        <v>0</v>
      </c>
      <c r="M928" s="6">
        <f t="shared" si="78"/>
        <v>0</v>
      </c>
      <c r="N928" s="6" t="str">
        <f t="shared" si="82"/>
        <v/>
      </c>
      <c r="O928" s="6" t="str">
        <f t="shared" si="83"/>
        <v/>
      </c>
    </row>
    <row r="929" spans="8:15">
      <c r="H929">
        <f t="shared" si="80"/>
        <v>0</v>
      </c>
      <c r="I929" t="e">
        <f t="shared" si="81"/>
        <v>#VALUE!</v>
      </c>
      <c r="J929" s="6">
        <f t="shared" si="84"/>
        <v>0</v>
      </c>
      <c r="K929" s="6">
        <f t="shared" si="84"/>
        <v>0</v>
      </c>
      <c r="L929" s="6">
        <f t="shared" si="84"/>
        <v>0</v>
      </c>
      <c r="M929" s="6">
        <f t="shared" si="78"/>
        <v>0</v>
      </c>
      <c r="N929" s="6" t="str">
        <f t="shared" si="82"/>
        <v/>
      </c>
      <c r="O929" s="6" t="str">
        <f t="shared" si="83"/>
        <v/>
      </c>
    </row>
    <row r="930" spans="8:15">
      <c r="H930">
        <f t="shared" si="80"/>
        <v>0</v>
      </c>
      <c r="I930" t="e">
        <f t="shared" si="81"/>
        <v>#VALUE!</v>
      </c>
      <c r="J930" s="6">
        <f t="shared" si="84"/>
        <v>0</v>
      </c>
      <c r="K930" s="6">
        <f t="shared" si="84"/>
        <v>0</v>
      </c>
      <c r="L930" s="6">
        <f t="shared" si="84"/>
        <v>0</v>
      </c>
      <c r="M930" s="6">
        <f t="shared" si="78"/>
        <v>0</v>
      </c>
      <c r="N930" s="6" t="str">
        <f t="shared" si="82"/>
        <v/>
      </c>
      <c r="O930" s="6" t="str">
        <f t="shared" si="83"/>
        <v/>
      </c>
    </row>
    <row r="931" spans="8:15">
      <c r="H931">
        <f t="shared" si="80"/>
        <v>0</v>
      </c>
      <c r="I931" t="e">
        <f t="shared" si="81"/>
        <v>#VALUE!</v>
      </c>
      <c r="J931" s="6">
        <f t="shared" si="84"/>
        <v>0</v>
      </c>
      <c r="K931" s="6">
        <f t="shared" si="84"/>
        <v>0</v>
      </c>
      <c r="L931" s="6">
        <f t="shared" si="84"/>
        <v>0</v>
      </c>
      <c r="M931" s="6">
        <f t="shared" si="78"/>
        <v>0</v>
      </c>
      <c r="N931" s="6" t="str">
        <f t="shared" si="82"/>
        <v/>
      </c>
      <c r="O931" s="6" t="str">
        <f t="shared" si="83"/>
        <v/>
      </c>
    </row>
    <row r="932" spans="8:15">
      <c r="H932">
        <f t="shared" si="80"/>
        <v>0</v>
      </c>
      <c r="I932" t="e">
        <f t="shared" si="81"/>
        <v>#VALUE!</v>
      </c>
      <c r="J932" s="6">
        <f t="shared" si="84"/>
        <v>0</v>
      </c>
      <c r="K932" s="6">
        <f t="shared" si="84"/>
        <v>0</v>
      </c>
      <c r="L932" s="6">
        <f t="shared" si="84"/>
        <v>0</v>
      </c>
      <c r="M932" s="6">
        <f t="shared" si="78"/>
        <v>0</v>
      </c>
      <c r="N932" s="6" t="str">
        <f t="shared" si="82"/>
        <v/>
      </c>
      <c r="O932" s="6" t="str">
        <f t="shared" si="83"/>
        <v/>
      </c>
    </row>
    <row r="933" spans="8:15">
      <c r="H933">
        <f t="shared" si="80"/>
        <v>0</v>
      </c>
      <c r="I933" t="e">
        <f t="shared" si="81"/>
        <v>#VALUE!</v>
      </c>
      <c r="J933" s="6">
        <f t="shared" si="84"/>
        <v>0</v>
      </c>
      <c r="K933" s="6">
        <f t="shared" si="84"/>
        <v>0</v>
      </c>
      <c r="L933" s="6">
        <f t="shared" si="84"/>
        <v>0</v>
      </c>
      <c r="M933" s="6">
        <f t="shared" si="78"/>
        <v>0</v>
      </c>
      <c r="N933" s="6" t="str">
        <f t="shared" si="82"/>
        <v/>
      </c>
      <c r="O933" s="6" t="str">
        <f t="shared" si="83"/>
        <v/>
      </c>
    </row>
    <row r="934" spans="8:15">
      <c r="H934">
        <f t="shared" si="80"/>
        <v>0</v>
      </c>
      <c r="I934" t="e">
        <f t="shared" si="81"/>
        <v>#VALUE!</v>
      </c>
      <c r="J934" s="6">
        <f t="shared" si="84"/>
        <v>0</v>
      </c>
      <c r="K934" s="6">
        <f t="shared" si="84"/>
        <v>0</v>
      </c>
      <c r="L934" s="6">
        <f t="shared" si="84"/>
        <v>0</v>
      </c>
      <c r="M934" s="6">
        <f t="shared" si="78"/>
        <v>0</v>
      </c>
      <c r="N934" s="6" t="str">
        <f t="shared" si="82"/>
        <v/>
      </c>
      <c r="O934" s="6" t="str">
        <f t="shared" si="83"/>
        <v/>
      </c>
    </row>
    <row r="935" spans="8:15">
      <c r="H935">
        <f t="shared" si="80"/>
        <v>0</v>
      </c>
      <c r="I935" t="e">
        <f t="shared" si="81"/>
        <v>#VALUE!</v>
      </c>
      <c r="J935" s="6">
        <f t="shared" si="84"/>
        <v>0</v>
      </c>
      <c r="K935" s="6">
        <f t="shared" si="84"/>
        <v>0</v>
      </c>
      <c r="L935" s="6">
        <f t="shared" si="84"/>
        <v>0</v>
      </c>
      <c r="M935" s="6">
        <f t="shared" si="78"/>
        <v>0</v>
      </c>
      <c r="N935" s="6" t="str">
        <f t="shared" si="82"/>
        <v/>
      </c>
      <c r="O935" s="6" t="str">
        <f t="shared" si="83"/>
        <v/>
      </c>
    </row>
    <row r="936" spans="8:15">
      <c r="H936">
        <f t="shared" si="80"/>
        <v>0</v>
      </c>
      <c r="I936" t="e">
        <f t="shared" si="81"/>
        <v>#VALUE!</v>
      </c>
      <c r="J936" s="6">
        <f t="shared" si="84"/>
        <v>0</v>
      </c>
      <c r="K936" s="6">
        <f t="shared" si="84"/>
        <v>0</v>
      </c>
      <c r="L936" s="6">
        <f t="shared" si="84"/>
        <v>0</v>
      </c>
      <c r="M936" s="6">
        <f t="shared" si="78"/>
        <v>0</v>
      </c>
      <c r="N936" s="6" t="str">
        <f t="shared" si="82"/>
        <v/>
      </c>
      <c r="O936" s="6" t="str">
        <f t="shared" si="83"/>
        <v/>
      </c>
    </row>
    <row r="937" spans="8:15">
      <c r="H937">
        <f t="shared" si="80"/>
        <v>0</v>
      </c>
      <c r="I937" t="e">
        <f t="shared" si="81"/>
        <v>#VALUE!</v>
      </c>
      <c r="J937" s="6">
        <f t="shared" si="84"/>
        <v>0</v>
      </c>
      <c r="K937" s="6">
        <f t="shared" si="84"/>
        <v>0</v>
      </c>
      <c r="L937" s="6">
        <f t="shared" si="84"/>
        <v>0</v>
      </c>
      <c r="M937" s="6">
        <f t="shared" si="78"/>
        <v>0</v>
      </c>
      <c r="N937" s="6" t="str">
        <f t="shared" si="82"/>
        <v/>
      </c>
      <c r="O937" s="6" t="str">
        <f t="shared" si="83"/>
        <v/>
      </c>
    </row>
    <row r="938" spans="8:15">
      <c r="H938">
        <f t="shared" si="80"/>
        <v>0</v>
      </c>
      <c r="I938" t="e">
        <f t="shared" si="81"/>
        <v>#VALUE!</v>
      </c>
      <c r="J938" s="6">
        <f t="shared" si="84"/>
        <v>0</v>
      </c>
      <c r="K938" s="6">
        <f t="shared" si="84"/>
        <v>0</v>
      </c>
      <c r="L938" s="6">
        <f t="shared" si="84"/>
        <v>0</v>
      </c>
      <c r="M938" s="6">
        <f t="shared" si="78"/>
        <v>0</v>
      </c>
      <c r="N938" s="6" t="str">
        <f t="shared" si="82"/>
        <v/>
      </c>
      <c r="O938" s="6" t="str">
        <f t="shared" si="83"/>
        <v/>
      </c>
    </row>
    <row r="939" spans="8:15">
      <c r="H939">
        <f t="shared" si="80"/>
        <v>0</v>
      </c>
      <c r="I939" t="e">
        <f t="shared" si="81"/>
        <v>#VALUE!</v>
      </c>
      <c r="J939" s="6">
        <f t="shared" si="84"/>
        <v>0</v>
      </c>
      <c r="K939" s="6">
        <f t="shared" si="84"/>
        <v>0</v>
      </c>
      <c r="L939" s="6">
        <f t="shared" si="84"/>
        <v>0</v>
      </c>
      <c r="M939" s="6">
        <f t="shared" si="78"/>
        <v>0</v>
      </c>
      <c r="N939" s="6" t="str">
        <f t="shared" si="82"/>
        <v/>
      </c>
      <c r="O939" s="6" t="str">
        <f t="shared" si="83"/>
        <v/>
      </c>
    </row>
    <row r="940" spans="8:15">
      <c r="H940">
        <f t="shared" si="80"/>
        <v>0</v>
      </c>
      <c r="I940" t="e">
        <f t="shared" si="81"/>
        <v>#VALUE!</v>
      </c>
      <c r="J940" s="6">
        <f t="shared" si="84"/>
        <v>0</v>
      </c>
      <c r="K940" s="6">
        <f t="shared" si="84"/>
        <v>0</v>
      </c>
      <c r="L940" s="6">
        <f t="shared" si="84"/>
        <v>0</v>
      </c>
      <c r="M940" s="6">
        <f t="shared" si="78"/>
        <v>0</v>
      </c>
      <c r="N940" s="6" t="str">
        <f t="shared" si="82"/>
        <v/>
      </c>
      <c r="O940" s="6" t="str">
        <f t="shared" si="83"/>
        <v/>
      </c>
    </row>
    <row r="941" spans="8:15">
      <c r="H941">
        <f t="shared" si="80"/>
        <v>0</v>
      </c>
      <c r="I941" t="e">
        <f t="shared" si="81"/>
        <v>#VALUE!</v>
      </c>
      <c r="J941" s="6">
        <f t="shared" si="84"/>
        <v>0</v>
      </c>
      <c r="K941" s="6">
        <f t="shared" si="84"/>
        <v>0</v>
      </c>
      <c r="L941" s="6">
        <f t="shared" si="84"/>
        <v>0</v>
      </c>
      <c r="M941" s="6">
        <f t="shared" si="78"/>
        <v>0</v>
      </c>
      <c r="N941" s="6" t="str">
        <f t="shared" si="82"/>
        <v/>
      </c>
      <c r="O941" s="6" t="str">
        <f t="shared" si="83"/>
        <v/>
      </c>
    </row>
    <row r="942" spans="8:15">
      <c r="H942">
        <f t="shared" si="80"/>
        <v>0</v>
      </c>
      <c r="I942" t="e">
        <f t="shared" si="81"/>
        <v>#VALUE!</v>
      </c>
      <c r="J942" s="6">
        <f t="shared" si="84"/>
        <v>0</v>
      </c>
      <c r="K942" s="6">
        <f t="shared" si="84"/>
        <v>0</v>
      </c>
      <c r="L942" s="6">
        <f t="shared" si="84"/>
        <v>0</v>
      </c>
      <c r="M942" s="6">
        <f t="shared" si="78"/>
        <v>0</v>
      </c>
      <c r="N942" s="6" t="str">
        <f t="shared" si="82"/>
        <v/>
      </c>
      <c r="O942" s="6" t="str">
        <f t="shared" si="83"/>
        <v/>
      </c>
    </row>
    <row r="943" spans="8:15">
      <c r="H943">
        <f t="shared" si="80"/>
        <v>0</v>
      </c>
      <c r="I943" t="e">
        <f t="shared" si="81"/>
        <v>#VALUE!</v>
      </c>
      <c r="J943" s="6">
        <f t="shared" si="84"/>
        <v>0</v>
      </c>
      <c r="K943" s="6">
        <f t="shared" si="84"/>
        <v>0</v>
      </c>
      <c r="L943" s="6">
        <f t="shared" si="84"/>
        <v>0</v>
      </c>
      <c r="M943" s="6">
        <f t="shared" si="78"/>
        <v>0</v>
      </c>
      <c r="N943" s="6" t="str">
        <f t="shared" si="82"/>
        <v/>
      </c>
      <c r="O943" s="6" t="str">
        <f t="shared" si="83"/>
        <v/>
      </c>
    </row>
    <row r="944" spans="8:15">
      <c r="H944">
        <f t="shared" si="80"/>
        <v>0</v>
      </c>
      <c r="I944" t="e">
        <f t="shared" si="81"/>
        <v>#VALUE!</v>
      </c>
      <c r="J944" s="6">
        <f t="shared" si="84"/>
        <v>0</v>
      </c>
      <c r="K944" s="6">
        <f t="shared" si="84"/>
        <v>0</v>
      </c>
      <c r="L944" s="6">
        <f t="shared" si="84"/>
        <v>0</v>
      </c>
      <c r="M944" s="6">
        <f t="shared" si="78"/>
        <v>0</v>
      </c>
      <c r="N944" s="6" t="str">
        <f t="shared" si="82"/>
        <v/>
      </c>
      <c r="O944" s="6" t="str">
        <f t="shared" si="83"/>
        <v/>
      </c>
    </row>
    <row r="945" spans="8:15">
      <c r="H945">
        <f t="shared" si="80"/>
        <v>0</v>
      </c>
      <c r="I945" t="e">
        <f t="shared" si="81"/>
        <v>#VALUE!</v>
      </c>
      <c r="J945" s="6">
        <f t="shared" si="84"/>
        <v>0</v>
      </c>
      <c r="K945" s="6">
        <f t="shared" si="84"/>
        <v>0</v>
      </c>
      <c r="L945" s="6">
        <f t="shared" si="84"/>
        <v>0</v>
      </c>
      <c r="M945" s="6">
        <f t="shared" si="78"/>
        <v>0</v>
      </c>
      <c r="N945" s="6" t="str">
        <f t="shared" si="82"/>
        <v/>
      </c>
      <c r="O945" s="6" t="str">
        <f t="shared" si="83"/>
        <v/>
      </c>
    </row>
    <row r="946" spans="8:15">
      <c r="H946">
        <f t="shared" si="80"/>
        <v>0</v>
      </c>
      <c r="I946" t="e">
        <f t="shared" si="81"/>
        <v>#VALUE!</v>
      </c>
      <c r="J946" s="6">
        <f t="shared" si="84"/>
        <v>0</v>
      </c>
      <c r="K946" s="6">
        <f t="shared" si="84"/>
        <v>0</v>
      </c>
      <c r="L946" s="6">
        <f t="shared" si="84"/>
        <v>0</v>
      </c>
      <c r="M946" s="6">
        <f t="shared" si="78"/>
        <v>0</v>
      </c>
      <c r="N946" s="6" t="str">
        <f t="shared" si="82"/>
        <v/>
      </c>
      <c r="O946" s="6" t="str">
        <f t="shared" si="83"/>
        <v/>
      </c>
    </row>
    <row r="947" spans="8:15">
      <c r="H947">
        <f t="shared" si="80"/>
        <v>0</v>
      </c>
      <c r="I947" t="e">
        <f t="shared" si="81"/>
        <v>#VALUE!</v>
      </c>
      <c r="J947" s="6">
        <f t="shared" si="84"/>
        <v>0</v>
      </c>
      <c r="K947" s="6">
        <f t="shared" si="84"/>
        <v>0</v>
      </c>
      <c r="L947" s="6">
        <f t="shared" si="84"/>
        <v>0</v>
      </c>
      <c r="M947" s="6">
        <f t="shared" si="78"/>
        <v>0</v>
      </c>
      <c r="N947" s="6" t="str">
        <f t="shared" si="82"/>
        <v/>
      </c>
      <c r="O947" s="6" t="str">
        <f t="shared" si="83"/>
        <v/>
      </c>
    </row>
    <row r="948" spans="8:15">
      <c r="H948">
        <f t="shared" si="80"/>
        <v>0</v>
      </c>
      <c r="I948" t="e">
        <f t="shared" si="81"/>
        <v>#VALUE!</v>
      </c>
      <c r="J948" s="6">
        <f t="shared" si="84"/>
        <v>0</v>
      </c>
      <c r="K948" s="6">
        <f t="shared" si="84"/>
        <v>0</v>
      </c>
      <c r="L948" s="6">
        <f t="shared" si="84"/>
        <v>0</v>
      </c>
      <c r="M948" s="6">
        <f t="shared" si="78"/>
        <v>0</v>
      </c>
      <c r="N948" s="6" t="str">
        <f t="shared" si="82"/>
        <v/>
      </c>
      <c r="O948" s="6" t="str">
        <f t="shared" si="83"/>
        <v/>
      </c>
    </row>
    <row r="949" spans="8:15">
      <c r="H949">
        <f t="shared" si="80"/>
        <v>0</v>
      </c>
      <c r="I949" t="e">
        <f t="shared" si="81"/>
        <v>#VALUE!</v>
      </c>
      <c r="J949" s="6">
        <f t="shared" si="84"/>
        <v>0</v>
      </c>
      <c r="K949" s="6">
        <f t="shared" si="84"/>
        <v>0</v>
      </c>
      <c r="L949" s="6">
        <f t="shared" si="84"/>
        <v>0</v>
      </c>
      <c r="M949" s="6">
        <f t="shared" si="78"/>
        <v>0</v>
      </c>
      <c r="N949" s="6" t="str">
        <f t="shared" si="82"/>
        <v/>
      </c>
      <c r="O949" s="6" t="str">
        <f t="shared" si="83"/>
        <v/>
      </c>
    </row>
    <row r="950" spans="8:15">
      <c r="H950">
        <f t="shared" si="80"/>
        <v>0</v>
      </c>
      <c r="I950" t="e">
        <f t="shared" si="81"/>
        <v>#VALUE!</v>
      </c>
      <c r="J950" s="6">
        <f t="shared" si="84"/>
        <v>0</v>
      </c>
      <c r="K950" s="6">
        <f t="shared" si="84"/>
        <v>0</v>
      </c>
      <c r="L950" s="6">
        <f t="shared" si="84"/>
        <v>0</v>
      </c>
      <c r="M950" s="6">
        <f t="shared" si="78"/>
        <v>0</v>
      </c>
      <c r="N950" s="6" t="str">
        <f t="shared" si="82"/>
        <v/>
      </c>
      <c r="O950" s="6" t="str">
        <f t="shared" si="83"/>
        <v/>
      </c>
    </row>
    <row r="951" spans="8:15">
      <c r="H951">
        <f t="shared" si="80"/>
        <v>0</v>
      </c>
      <c r="I951" t="e">
        <f t="shared" si="81"/>
        <v>#VALUE!</v>
      </c>
      <c r="J951" s="6">
        <f t="shared" si="84"/>
        <v>0</v>
      </c>
      <c r="K951" s="6">
        <f t="shared" si="84"/>
        <v>0</v>
      </c>
      <c r="L951" s="6">
        <f t="shared" si="84"/>
        <v>0</v>
      </c>
      <c r="M951" s="6">
        <f t="shared" si="78"/>
        <v>0</v>
      </c>
      <c r="N951" s="6" t="str">
        <f t="shared" si="82"/>
        <v/>
      </c>
      <c r="O951" s="6" t="str">
        <f t="shared" si="83"/>
        <v/>
      </c>
    </row>
    <row r="952" spans="8:15">
      <c r="H952">
        <f t="shared" si="80"/>
        <v>0</v>
      </c>
      <c r="I952" t="e">
        <f t="shared" si="81"/>
        <v>#VALUE!</v>
      </c>
      <c r="J952" s="6">
        <f t="shared" si="84"/>
        <v>0</v>
      </c>
      <c r="K952" s="6">
        <f t="shared" si="84"/>
        <v>0</v>
      </c>
      <c r="L952" s="6">
        <f t="shared" si="84"/>
        <v>0</v>
      </c>
      <c r="M952" s="6">
        <f t="shared" si="78"/>
        <v>0</v>
      </c>
      <c r="N952" s="6" t="str">
        <f t="shared" si="82"/>
        <v/>
      </c>
      <c r="O952" s="6" t="str">
        <f t="shared" si="83"/>
        <v/>
      </c>
    </row>
    <row r="953" spans="8:15">
      <c r="H953">
        <f t="shared" si="80"/>
        <v>0</v>
      </c>
      <c r="I953" t="e">
        <f t="shared" si="81"/>
        <v>#VALUE!</v>
      </c>
      <c r="J953" s="6">
        <f t="shared" si="84"/>
        <v>0</v>
      </c>
      <c r="K953" s="6">
        <f t="shared" si="84"/>
        <v>0</v>
      </c>
      <c r="L953" s="6">
        <f t="shared" si="84"/>
        <v>0</v>
      </c>
      <c r="M953" s="6">
        <f t="shared" si="78"/>
        <v>0</v>
      </c>
      <c r="N953" s="6" t="str">
        <f t="shared" si="82"/>
        <v/>
      </c>
      <c r="O953" s="6" t="str">
        <f t="shared" si="83"/>
        <v/>
      </c>
    </row>
    <row r="954" spans="8:15">
      <c r="H954">
        <f t="shared" si="80"/>
        <v>0</v>
      </c>
      <c r="I954" t="e">
        <f t="shared" si="81"/>
        <v>#VALUE!</v>
      </c>
      <c r="J954" s="6">
        <f t="shared" si="84"/>
        <v>0</v>
      </c>
      <c r="K954" s="6">
        <f t="shared" si="84"/>
        <v>0</v>
      </c>
      <c r="L954" s="6">
        <f t="shared" si="84"/>
        <v>0</v>
      </c>
      <c r="M954" s="6">
        <f t="shared" si="78"/>
        <v>0</v>
      </c>
      <c r="N954" s="6" t="str">
        <f t="shared" si="82"/>
        <v/>
      </c>
      <c r="O954" s="6" t="str">
        <f t="shared" si="83"/>
        <v/>
      </c>
    </row>
    <row r="955" spans="8:15">
      <c r="H955">
        <f t="shared" si="80"/>
        <v>0</v>
      </c>
      <c r="I955" t="e">
        <f t="shared" si="81"/>
        <v>#VALUE!</v>
      </c>
      <c r="J955" s="6">
        <f t="shared" si="84"/>
        <v>0</v>
      </c>
      <c r="K955" s="6">
        <f t="shared" si="84"/>
        <v>0</v>
      </c>
      <c r="L955" s="6">
        <f t="shared" si="84"/>
        <v>0</v>
      </c>
      <c r="M955" s="6">
        <f t="shared" si="78"/>
        <v>0</v>
      </c>
      <c r="N955" s="6" t="str">
        <f t="shared" si="82"/>
        <v/>
      </c>
      <c r="O955" s="6" t="str">
        <f t="shared" si="83"/>
        <v/>
      </c>
    </row>
    <row r="956" spans="8:15">
      <c r="H956">
        <f t="shared" si="80"/>
        <v>0</v>
      </c>
      <c r="I956" t="e">
        <f t="shared" si="81"/>
        <v>#VALUE!</v>
      </c>
      <c r="J956" s="6">
        <f t="shared" si="84"/>
        <v>0</v>
      </c>
      <c r="K956" s="6">
        <f t="shared" si="84"/>
        <v>0</v>
      </c>
      <c r="L956" s="6">
        <f t="shared" si="84"/>
        <v>0</v>
      </c>
      <c r="M956" s="6">
        <f t="shared" si="78"/>
        <v>0</v>
      </c>
      <c r="N956" s="6" t="str">
        <f t="shared" si="82"/>
        <v/>
      </c>
      <c r="O956" s="6" t="str">
        <f t="shared" si="83"/>
        <v/>
      </c>
    </row>
    <row r="957" spans="8:15">
      <c r="H957">
        <f t="shared" si="80"/>
        <v>0</v>
      </c>
      <c r="I957" t="e">
        <f t="shared" si="81"/>
        <v>#VALUE!</v>
      </c>
      <c r="J957" s="6">
        <f t="shared" si="84"/>
        <v>0</v>
      </c>
      <c r="K957" s="6">
        <f t="shared" si="84"/>
        <v>0</v>
      </c>
      <c r="L957" s="6">
        <f t="shared" si="84"/>
        <v>0</v>
      </c>
      <c r="M957" s="6">
        <f t="shared" si="78"/>
        <v>0</v>
      </c>
      <c r="N957" s="6" t="str">
        <f t="shared" si="82"/>
        <v/>
      </c>
      <c r="O957" s="6" t="str">
        <f t="shared" si="83"/>
        <v/>
      </c>
    </row>
    <row r="958" spans="8:15">
      <c r="H958">
        <f t="shared" si="80"/>
        <v>0</v>
      </c>
      <c r="I958" t="e">
        <f t="shared" si="81"/>
        <v>#VALUE!</v>
      </c>
      <c r="J958" s="6">
        <f t="shared" si="84"/>
        <v>0</v>
      </c>
      <c r="K958" s="6">
        <f t="shared" si="84"/>
        <v>0</v>
      </c>
      <c r="L958" s="6">
        <f t="shared" si="84"/>
        <v>0</v>
      </c>
      <c r="M958" s="6">
        <f t="shared" si="78"/>
        <v>0</v>
      </c>
      <c r="N958" s="6" t="str">
        <f t="shared" si="82"/>
        <v/>
      </c>
      <c r="O958" s="6" t="str">
        <f t="shared" si="83"/>
        <v/>
      </c>
    </row>
    <row r="959" spans="8:15">
      <c r="H959">
        <f t="shared" si="80"/>
        <v>0</v>
      </c>
      <c r="I959" t="e">
        <f t="shared" si="81"/>
        <v>#VALUE!</v>
      </c>
      <c r="J959" s="6">
        <f t="shared" si="84"/>
        <v>0</v>
      </c>
      <c r="K959" s="6">
        <f t="shared" si="84"/>
        <v>0</v>
      </c>
      <c r="L959" s="6">
        <f t="shared" si="84"/>
        <v>0</v>
      </c>
      <c r="M959" s="6">
        <f t="shared" si="78"/>
        <v>0</v>
      </c>
      <c r="N959" s="6" t="str">
        <f t="shared" si="82"/>
        <v/>
      </c>
      <c r="O959" s="6" t="str">
        <f t="shared" si="83"/>
        <v/>
      </c>
    </row>
    <row r="960" spans="8:15">
      <c r="H960">
        <f t="shared" si="80"/>
        <v>0</v>
      </c>
      <c r="I960" t="e">
        <f t="shared" si="81"/>
        <v>#VALUE!</v>
      </c>
      <c r="J960" s="6">
        <f t="shared" si="84"/>
        <v>0</v>
      </c>
      <c r="K960" s="6">
        <f t="shared" si="84"/>
        <v>0</v>
      </c>
      <c r="L960" s="6">
        <f t="shared" si="84"/>
        <v>0</v>
      </c>
      <c r="M960" s="6">
        <f t="shared" si="78"/>
        <v>0</v>
      </c>
      <c r="N960" s="6" t="str">
        <f t="shared" si="82"/>
        <v/>
      </c>
      <c r="O960" s="6" t="str">
        <f t="shared" si="83"/>
        <v/>
      </c>
    </row>
    <row r="961" spans="8:15">
      <c r="H961">
        <f t="shared" si="80"/>
        <v>0</v>
      </c>
      <c r="I961" t="e">
        <f t="shared" si="81"/>
        <v>#VALUE!</v>
      </c>
      <c r="J961" s="6">
        <f t="shared" si="84"/>
        <v>0</v>
      </c>
      <c r="K961" s="6">
        <f t="shared" si="84"/>
        <v>0</v>
      </c>
      <c r="L961" s="6">
        <f t="shared" si="84"/>
        <v>0</v>
      </c>
      <c r="M961" s="6">
        <f t="shared" si="84"/>
        <v>0</v>
      </c>
      <c r="N961" s="6" t="str">
        <f t="shared" si="82"/>
        <v/>
      </c>
      <c r="O961" s="6" t="str">
        <f t="shared" si="83"/>
        <v/>
      </c>
    </row>
    <row r="962" spans="8:15">
      <c r="H962">
        <f t="shared" si="80"/>
        <v>0</v>
      </c>
      <c r="I962" t="e">
        <f t="shared" si="81"/>
        <v>#VALUE!</v>
      </c>
      <c r="J962" s="6">
        <f t="shared" si="84"/>
        <v>0</v>
      </c>
      <c r="K962" s="6">
        <f t="shared" si="84"/>
        <v>0</v>
      </c>
      <c r="L962" s="6">
        <f t="shared" si="84"/>
        <v>0</v>
      </c>
      <c r="M962" s="6">
        <f t="shared" si="84"/>
        <v>0</v>
      </c>
      <c r="N962" s="6" t="str">
        <f t="shared" si="82"/>
        <v/>
      </c>
      <c r="O962" s="6" t="str">
        <f t="shared" si="83"/>
        <v/>
      </c>
    </row>
    <row r="963" spans="8:15">
      <c r="H963">
        <f t="shared" si="80"/>
        <v>0</v>
      </c>
      <c r="I963" t="e">
        <f t="shared" si="81"/>
        <v>#VALUE!</v>
      </c>
      <c r="J963" s="6">
        <f t="shared" si="84"/>
        <v>0</v>
      </c>
      <c r="K963" s="6">
        <f t="shared" si="84"/>
        <v>0</v>
      </c>
      <c r="L963" s="6">
        <f t="shared" si="84"/>
        <v>0</v>
      </c>
      <c r="M963" s="6">
        <f t="shared" si="84"/>
        <v>0</v>
      </c>
      <c r="N963" s="6" t="str">
        <f t="shared" si="82"/>
        <v/>
      </c>
      <c r="O963" s="6" t="str">
        <f t="shared" si="83"/>
        <v/>
      </c>
    </row>
    <row r="964" spans="8:15">
      <c r="H964">
        <f t="shared" si="80"/>
        <v>0</v>
      </c>
      <c r="I964" t="e">
        <f t="shared" si="81"/>
        <v>#VALUE!</v>
      </c>
      <c r="J964" s="6">
        <f t="shared" si="84"/>
        <v>0</v>
      </c>
      <c r="K964" s="6">
        <f t="shared" si="84"/>
        <v>0</v>
      </c>
      <c r="L964" s="6">
        <f t="shared" si="84"/>
        <v>0</v>
      </c>
      <c r="M964" s="6">
        <f t="shared" si="84"/>
        <v>0</v>
      </c>
      <c r="N964" s="6" t="str">
        <f t="shared" si="82"/>
        <v/>
      </c>
      <c r="O964" s="6" t="str">
        <f t="shared" si="83"/>
        <v/>
      </c>
    </row>
    <row r="965" spans="8:15">
      <c r="H965">
        <f t="shared" si="80"/>
        <v>0</v>
      </c>
      <c r="I965" t="e">
        <f t="shared" si="81"/>
        <v>#VALUE!</v>
      </c>
      <c r="J965" s="6">
        <f t="shared" si="84"/>
        <v>0</v>
      </c>
      <c r="K965" s="6">
        <f t="shared" si="84"/>
        <v>0</v>
      </c>
      <c r="L965" s="6">
        <f t="shared" si="84"/>
        <v>0</v>
      </c>
      <c r="M965" s="6">
        <f t="shared" si="84"/>
        <v>0</v>
      </c>
      <c r="N965" s="6" t="str">
        <f t="shared" si="82"/>
        <v/>
      </c>
      <c r="O965" s="6" t="str">
        <f t="shared" si="83"/>
        <v/>
      </c>
    </row>
    <row r="966" spans="8:15">
      <c r="H966">
        <f t="shared" si="80"/>
        <v>0</v>
      </c>
      <c r="I966" t="e">
        <f t="shared" si="81"/>
        <v>#VALUE!</v>
      </c>
      <c r="J966" s="6">
        <f t="shared" si="84"/>
        <v>0</v>
      </c>
      <c r="K966" s="6">
        <f t="shared" si="84"/>
        <v>0</v>
      </c>
      <c r="L966" s="6">
        <f t="shared" si="84"/>
        <v>0</v>
      </c>
      <c r="M966" s="6">
        <f t="shared" si="84"/>
        <v>0</v>
      </c>
      <c r="N966" s="6" t="str">
        <f t="shared" si="82"/>
        <v/>
      </c>
      <c r="O966" s="6" t="str">
        <f t="shared" si="83"/>
        <v/>
      </c>
    </row>
    <row r="967" spans="8:15">
      <c r="H967">
        <f t="shared" ref="H967:H1030" si="85">A967</f>
        <v>0</v>
      </c>
      <c r="I967" t="e">
        <f t="shared" ref="I967:I1030" si="86">LEFT(B967,SEARCH(" ",B967,1)-1)</f>
        <v>#VALUE!</v>
      </c>
      <c r="J967" s="6">
        <f t="shared" si="84"/>
        <v>0</v>
      </c>
      <c r="K967" s="6">
        <f t="shared" si="84"/>
        <v>0</v>
      </c>
      <c r="L967" s="6">
        <f t="shared" si="84"/>
        <v>0</v>
      </c>
      <c r="M967" s="6">
        <f t="shared" si="84"/>
        <v>0</v>
      </c>
      <c r="N967" s="6" t="str">
        <f t="shared" si="82"/>
        <v/>
      </c>
      <c r="O967" s="6" t="str">
        <f t="shared" si="83"/>
        <v/>
      </c>
    </row>
    <row r="968" spans="8:15">
      <c r="H968">
        <f t="shared" si="85"/>
        <v>0</v>
      </c>
      <c r="I968" t="e">
        <f t="shared" si="86"/>
        <v>#VALUE!</v>
      </c>
      <c r="J968" s="6">
        <f t="shared" si="84"/>
        <v>0</v>
      </c>
      <c r="K968" s="6">
        <f t="shared" si="84"/>
        <v>0</v>
      </c>
      <c r="L968" s="6">
        <f t="shared" si="84"/>
        <v>0</v>
      </c>
      <c r="M968" s="6">
        <f t="shared" si="84"/>
        <v>0</v>
      </c>
      <c r="N968" s="6" t="str">
        <f t="shared" ref="N968:N1031" si="87">TRIM($B$1)</f>
        <v/>
      </c>
      <c r="O968" s="6" t="str">
        <f t="shared" ref="O968:O1031" si="88">TRIM($C$1)</f>
        <v/>
      </c>
    </row>
    <row r="969" spans="8:15">
      <c r="H969">
        <f t="shared" si="85"/>
        <v>0</v>
      </c>
      <c r="I969" t="e">
        <f t="shared" si="86"/>
        <v>#VALUE!</v>
      </c>
      <c r="J969" s="6">
        <f t="shared" si="84"/>
        <v>0</v>
      </c>
      <c r="K969" s="6">
        <f t="shared" si="84"/>
        <v>0</v>
      </c>
      <c r="L969" s="6">
        <f t="shared" si="84"/>
        <v>0</v>
      </c>
      <c r="M969" s="6">
        <f t="shared" si="84"/>
        <v>0</v>
      </c>
      <c r="N969" s="6" t="str">
        <f t="shared" si="87"/>
        <v/>
      </c>
      <c r="O969" s="6" t="str">
        <f t="shared" si="88"/>
        <v/>
      </c>
    </row>
    <row r="970" spans="8:15">
      <c r="H970">
        <f t="shared" si="85"/>
        <v>0</v>
      </c>
      <c r="I970" t="e">
        <f t="shared" si="86"/>
        <v>#VALUE!</v>
      </c>
      <c r="J970" s="6">
        <f t="shared" si="84"/>
        <v>0</v>
      </c>
      <c r="K970" s="6">
        <f t="shared" si="84"/>
        <v>0</v>
      </c>
      <c r="L970" s="6">
        <f t="shared" si="84"/>
        <v>0</v>
      </c>
      <c r="M970" s="6">
        <f t="shared" si="84"/>
        <v>0</v>
      </c>
      <c r="N970" s="6" t="str">
        <f t="shared" si="87"/>
        <v/>
      </c>
      <c r="O970" s="6" t="str">
        <f t="shared" si="88"/>
        <v/>
      </c>
    </row>
    <row r="971" spans="8:15">
      <c r="H971">
        <f t="shared" si="85"/>
        <v>0</v>
      </c>
      <c r="I971" t="e">
        <f t="shared" si="86"/>
        <v>#VALUE!</v>
      </c>
      <c r="J971" s="6">
        <f t="shared" si="84"/>
        <v>0</v>
      </c>
      <c r="K971" s="6">
        <f t="shared" si="84"/>
        <v>0</v>
      </c>
      <c r="L971" s="6">
        <f t="shared" si="84"/>
        <v>0</v>
      </c>
      <c r="M971" s="6">
        <f t="shared" si="84"/>
        <v>0</v>
      </c>
      <c r="N971" s="6" t="str">
        <f t="shared" si="87"/>
        <v/>
      </c>
      <c r="O971" s="6" t="str">
        <f t="shared" si="88"/>
        <v/>
      </c>
    </row>
    <row r="972" spans="8:15">
      <c r="H972">
        <f t="shared" si="85"/>
        <v>0</v>
      </c>
      <c r="I972" t="e">
        <f t="shared" si="86"/>
        <v>#VALUE!</v>
      </c>
      <c r="J972" s="6">
        <f t="shared" si="84"/>
        <v>0</v>
      </c>
      <c r="K972" s="6">
        <f t="shared" si="84"/>
        <v>0</v>
      </c>
      <c r="L972" s="6">
        <f t="shared" si="84"/>
        <v>0</v>
      </c>
      <c r="M972" s="6">
        <f t="shared" si="84"/>
        <v>0</v>
      </c>
      <c r="N972" s="6" t="str">
        <f t="shared" si="87"/>
        <v/>
      </c>
      <c r="O972" s="6" t="str">
        <f t="shared" si="88"/>
        <v/>
      </c>
    </row>
    <row r="973" spans="8:15">
      <c r="H973">
        <f t="shared" si="85"/>
        <v>0</v>
      </c>
      <c r="I973" t="e">
        <f t="shared" si="86"/>
        <v>#VALUE!</v>
      </c>
      <c r="J973" s="6">
        <f t="shared" si="84"/>
        <v>0</v>
      </c>
      <c r="K973" s="6">
        <f t="shared" si="84"/>
        <v>0</v>
      </c>
      <c r="L973" s="6">
        <f t="shared" si="84"/>
        <v>0</v>
      </c>
      <c r="M973" s="6">
        <f t="shared" si="84"/>
        <v>0</v>
      </c>
      <c r="N973" s="6" t="str">
        <f t="shared" si="87"/>
        <v/>
      </c>
      <c r="O973" s="6" t="str">
        <f t="shared" si="88"/>
        <v/>
      </c>
    </row>
    <row r="974" spans="8:15">
      <c r="H974">
        <f t="shared" si="85"/>
        <v>0</v>
      </c>
      <c r="I974" t="e">
        <f t="shared" si="86"/>
        <v>#VALUE!</v>
      </c>
      <c r="J974" s="6">
        <f t="shared" si="84"/>
        <v>0</v>
      </c>
      <c r="K974" s="6">
        <f t="shared" si="84"/>
        <v>0</v>
      </c>
      <c r="L974" s="6">
        <f t="shared" si="84"/>
        <v>0</v>
      </c>
      <c r="M974" s="6">
        <f t="shared" si="84"/>
        <v>0</v>
      </c>
      <c r="N974" s="6" t="str">
        <f t="shared" si="87"/>
        <v/>
      </c>
      <c r="O974" s="6" t="str">
        <f t="shared" si="88"/>
        <v/>
      </c>
    </row>
    <row r="975" spans="8:15">
      <c r="H975">
        <f t="shared" si="85"/>
        <v>0</v>
      </c>
      <c r="I975" t="e">
        <f t="shared" si="86"/>
        <v>#VALUE!</v>
      </c>
      <c r="J975" s="6">
        <f t="shared" si="84"/>
        <v>0</v>
      </c>
      <c r="K975" s="6">
        <f t="shared" si="84"/>
        <v>0</v>
      </c>
      <c r="L975" s="6">
        <f t="shared" si="84"/>
        <v>0</v>
      </c>
      <c r="M975" s="6">
        <f t="shared" si="84"/>
        <v>0</v>
      </c>
      <c r="N975" s="6" t="str">
        <f t="shared" si="87"/>
        <v/>
      </c>
      <c r="O975" s="6" t="str">
        <f t="shared" si="88"/>
        <v/>
      </c>
    </row>
    <row r="976" spans="8:15">
      <c r="H976">
        <f t="shared" si="85"/>
        <v>0</v>
      </c>
      <c r="I976" t="e">
        <f t="shared" si="86"/>
        <v>#VALUE!</v>
      </c>
      <c r="J976" s="6">
        <f t="shared" si="84"/>
        <v>0</v>
      </c>
      <c r="K976" s="6">
        <f t="shared" si="84"/>
        <v>0</v>
      </c>
      <c r="L976" s="6">
        <f t="shared" si="84"/>
        <v>0</v>
      </c>
      <c r="M976" s="6">
        <f t="shared" si="84"/>
        <v>0</v>
      </c>
      <c r="N976" s="6" t="str">
        <f t="shared" si="87"/>
        <v/>
      </c>
      <c r="O976" s="6" t="str">
        <f t="shared" si="88"/>
        <v/>
      </c>
    </row>
    <row r="977" spans="8:15">
      <c r="H977">
        <f t="shared" si="85"/>
        <v>0</v>
      </c>
      <c r="I977" t="e">
        <f t="shared" si="86"/>
        <v>#VALUE!</v>
      </c>
      <c r="J977" s="6">
        <f t="shared" si="84"/>
        <v>0</v>
      </c>
      <c r="K977" s="6">
        <f t="shared" si="84"/>
        <v>0</v>
      </c>
      <c r="L977" s="6">
        <f t="shared" si="84"/>
        <v>0</v>
      </c>
      <c r="M977" s="6">
        <f t="shared" si="84"/>
        <v>0</v>
      </c>
      <c r="N977" s="6" t="str">
        <f t="shared" si="87"/>
        <v/>
      </c>
      <c r="O977" s="6" t="str">
        <f t="shared" si="88"/>
        <v/>
      </c>
    </row>
    <row r="978" spans="8:15">
      <c r="H978">
        <f t="shared" si="85"/>
        <v>0</v>
      </c>
      <c r="I978" t="e">
        <f t="shared" si="86"/>
        <v>#VALUE!</v>
      </c>
      <c r="J978" s="6">
        <f t="shared" ref="J978:M1041" si="89">C978</f>
        <v>0</v>
      </c>
      <c r="K978" s="6">
        <f t="shared" si="89"/>
        <v>0</v>
      </c>
      <c r="L978" s="6">
        <f t="shared" si="89"/>
        <v>0</v>
      </c>
      <c r="M978" s="6">
        <f t="shared" si="89"/>
        <v>0</v>
      </c>
      <c r="N978" s="6" t="str">
        <f t="shared" si="87"/>
        <v/>
      </c>
      <c r="O978" s="6" t="str">
        <f t="shared" si="88"/>
        <v/>
      </c>
    </row>
    <row r="979" spans="8:15">
      <c r="H979">
        <f t="shared" si="85"/>
        <v>0</v>
      </c>
      <c r="I979" t="e">
        <f t="shared" si="86"/>
        <v>#VALUE!</v>
      </c>
      <c r="J979" s="6">
        <f t="shared" si="89"/>
        <v>0</v>
      </c>
      <c r="K979" s="6">
        <f t="shared" si="89"/>
        <v>0</v>
      </c>
      <c r="L979" s="6">
        <f t="shared" si="89"/>
        <v>0</v>
      </c>
      <c r="M979" s="6">
        <f t="shared" si="89"/>
        <v>0</v>
      </c>
      <c r="N979" s="6" t="str">
        <f t="shared" si="87"/>
        <v/>
      </c>
      <c r="O979" s="6" t="str">
        <f t="shared" si="88"/>
        <v/>
      </c>
    </row>
    <row r="980" spans="8:15">
      <c r="H980">
        <f t="shared" si="85"/>
        <v>0</v>
      </c>
      <c r="I980" t="e">
        <f t="shared" si="86"/>
        <v>#VALUE!</v>
      </c>
      <c r="J980" s="6">
        <f t="shared" si="89"/>
        <v>0</v>
      </c>
      <c r="K980" s="6">
        <f t="shared" si="89"/>
        <v>0</v>
      </c>
      <c r="L980" s="6">
        <f t="shared" si="89"/>
        <v>0</v>
      </c>
      <c r="M980" s="6">
        <f t="shared" si="89"/>
        <v>0</v>
      </c>
      <c r="N980" s="6" t="str">
        <f t="shared" si="87"/>
        <v/>
      </c>
      <c r="O980" s="6" t="str">
        <f t="shared" si="88"/>
        <v/>
      </c>
    </row>
    <row r="981" spans="8:15">
      <c r="H981">
        <f t="shared" si="85"/>
        <v>0</v>
      </c>
      <c r="I981" t="e">
        <f t="shared" si="86"/>
        <v>#VALUE!</v>
      </c>
      <c r="J981" s="6">
        <f t="shared" si="89"/>
        <v>0</v>
      </c>
      <c r="K981" s="6">
        <f t="shared" si="89"/>
        <v>0</v>
      </c>
      <c r="L981" s="6">
        <f t="shared" si="89"/>
        <v>0</v>
      </c>
      <c r="M981" s="6">
        <f t="shared" si="89"/>
        <v>0</v>
      </c>
      <c r="N981" s="6" t="str">
        <f t="shared" si="87"/>
        <v/>
      </c>
      <c r="O981" s="6" t="str">
        <f t="shared" si="88"/>
        <v/>
      </c>
    </row>
    <row r="982" spans="8:15">
      <c r="H982">
        <f t="shared" si="85"/>
        <v>0</v>
      </c>
      <c r="I982" t="e">
        <f t="shared" si="86"/>
        <v>#VALUE!</v>
      </c>
      <c r="J982" s="6">
        <f t="shared" si="89"/>
        <v>0</v>
      </c>
      <c r="K982" s="6">
        <f t="shared" si="89"/>
        <v>0</v>
      </c>
      <c r="L982" s="6">
        <f t="shared" si="89"/>
        <v>0</v>
      </c>
      <c r="M982" s="6">
        <f t="shared" si="89"/>
        <v>0</v>
      </c>
      <c r="N982" s="6" t="str">
        <f t="shared" si="87"/>
        <v/>
      </c>
      <c r="O982" s="6" t="str">
        <f t="shared" si="88"/>
        <v/>
      </c>
    </row>
    <row r="983" spans="8:15">
      <c r="H983">
        <f t="shared" si="85"/>
        <v>0</v>
      </c>
      <c r="I983" t="e">
        <f t="shared" si="86"/>
        <v>#VALUE!</v>
      </c>
      <c r="J983" s="6">
        <f t="shared" si="89"/>
        <v>0</v>
      </c>
      <c r="K983" s="6">
        <f t="shared" si="89"/>
        <v>0</v>
      </c>
      <c r="L983" s="6">
        <f t="shared" si="89"/>
        <v>0</v>
      </c>
      <c r="M983" s="6">
        <f t="shared" si="89"/>
        <v>0</v>
      </c>
      <c r="N983" s="6" t="str">
        <f t="shared" si="87"/>
        <v/>
      </c>
      <c r="O983" s="6" t="str">
        <f t="shared" si="88"/>
        <v/>
      </c>
    </row>
    <row r="984" spans="8:15">
      <c r="H984">
        <f t="shared" si="85"/>
        <v>0</v>
      </c>
      <c r="I984" t="e">
        <f t="shared" si="86"/>
        <v>#VALUE!</v>
      </c>
      <c r="J984" s="6">
        <f t="shared" si="89"/>
        <v>0</v>
      </c>
      <c r="K984" s="6">
        <f t="shared" si="89"/>
        <v>0</v>
      </c>
      <c r="L984" s="6">
        <f t="shared" si="89"/>
        <v>0</v>
      </c>
      <c r="M984" s="6">
        <f t="shared" si="89"/>
        <v>0</v>
      </c>
      <c r="N984" s="6" t="str">
        <f t="shared" si="87"/>
        <v/>
      </c>
      <c r="O984" s="6" t="str">
        <f t="shared" si="88"/>
        <v/>
      </c>
    </row>
    <row r="985" spans="8:15">
      <c r="H985">
        <f t="shared" si="85"/>
        <v>0</v>
      </c>
      <c r="I985" t="e">
        <f t="shared" si="86"/>
        <v>#VALUE!</v>
      </c>
      <c r="J985" s="6">
        <f t="shared" si="89"/>
        <v>0</v>
      </c>
      <c r="K985" s="6">
        <f t="shared" si="89"/>
        <v>0</v>
      </c>
      <c r="L985" s="6">
        <f t="shared" si="89"/>
        <v>0</v>
      </c>
      <c r="M985" s="6">
        <f t="shared" si="89"/>
        <v>0</v>
      </c>
      <c r="N985" s="6" t="str">
        <f t="shared" si="87"/>
        <v/>
      </c>
      <c r="O985" s="6" t="str">
        <f t="shared" si="88"/>
        <v/>
      </c>
    </row>
    <row r="986" spans="8:15">
      <c r="H986">
        <f t="shared" si="85"/>
        <v>0</v>
      </c>
      <c r="I986" t="e">
        <f t="shared" si="86"/>
        <v>#VALUE!</v>
      </c>
      <c r="J986" s="6">
        <f t="shared" si="89"/>
        <v>0</v>
      </c>
      <c r="K986" s="6">
        <f t="shared" si="89"/>
        <v>0</v>
      </c>
      <c r="L986" s="6">
        <f t="shared" si="89"/>
        <v>0</v>
      </c>
      <c r="M986" s="6">
        <f t="shared" si="89"/>
        <v>0</v>
      </c>
      <c r="N986" s="6" t="str">
        <f t="shared" si="87"/>
        <v/>
      </c>
      <c r="O986" s="6" t="str">
        <f t="shared" si="88"/>
        <v/>
      </c>
    </row>
    <row r="987" spans="8:15">
      <c r="H987">
        <f t="shared" si="85"/>
        <v>0</v>
      </c>
      <c r="I987" t="e">
        <f t="shared" si="86"/>
        <v>#VALUE!</v>
      </c>
      <c r="J987" s="6">
        <f t="shared" si="89"/>
        <v>0</v>
      </c>
      <c r="K987" s="6">
        <f t="shared" si="89"/>
        <v>0</v>
      </c>
      <c r="L987" s="6">
        <f t="shared" si="89"/>
        <v>0</v>
      </c>
      <c r="M987" s="6">
        <f t="shared" si="89"/>
        <v>0</v>
      </c>
      <c r="N987" s="6" t="str">
        <f t="shared" si="87"/>
        <v/>
      </c>
      <c r="O987" s="6" t="str">
        <f t="shared" si="88"/>
        <v/>
      </c>
    </row>
    <row r="988" spans="8:15">
      <c r="H988">
        <f t="shared" si="85"/>
        <v>0</v>
      </c>
      <c r="I988" t="e">
        <f t="shared" si="86"/>
        <v>#VALUE!</v>
      </c>
      <c r="J988" s="6">
        <f t="shared" si="89"/>
        <v>0</v>
      </c>
      <c r="K988" s="6">
        <f t="shared" si="89"/>
        <v>0</v>
      </c>
      <c r="L988" s="6">
        <f t="shared" si="89"/>
        <v>0</v>
      </c>
      <c r="M988" s="6">
        <f t="shared" si="89"/>
        <v>0</v>
      </c>
      <c r="N988" s="6" t="str">
        <f t="shared" si="87"/>
        <v/>
      </c>
      <c r="O988" s="6" t="str">
        <f t="shared" si="88"/>
        <v/>
      </c>
    </row>
    <row r="989" spans="8:15">
      <c r="H989">
        <f t="shared" si="85"/>
        <v>0</v>
      </c>
      <c r="I989" t="e">
        <f t="shared" si="86"/>
        <v>#VALUE!</v>
      </c>
      <c r="J989" s="6">
        <f t="shared" si="89"/>
        <v>0</v>
      </c>
      <c r="K989" s="6">
        <f t="shared" si="89"/>
        <v>0</v>
      </c>
      <c r="L989" s="6">
        <f t="shared" si="89"/>
        <v>0</v>
      </c>
      <c r="M989" s="6">
        <f t="shared" si="89"/>
        <v>0</v>
      </c>
      <c r="N989" s="6" t="str">
        <f t="shared" si="87"/>
        <v/>
      </c>
      <c r="O989" s="6" t="str">
        <f t="shared" si="88"/>
        <v/>
      </c>
    </row>
    <row r="990" spans="8:15">
      <c r="H990">
        <f t="shared" si="85"/>
        <v>0</v>
      </c>
      <c r="I990" t="e">
        <f t="shared" si="86"/>
        <v>#VALUE!</v>
      </c>
      <c r="J990" s="6">
        <f t="shared" si="89"/>
        <v>0</v>
      </c>
      <c r="K990" s="6">
        <f t="shared" si="89"/>
        <v>0</v>
      </c>
      <c r="L990" s="6">
        <f t="shared" si="89"/>
        <v>0</v>
      </c>
      <c r="M990" s="6">
        <f t="shared" si="89"/>
        <v>0</v>
      </c>
      <c r="N990" s="6" t="str">
        <f t="shared" si="87"/>
        <v/>
      </c>
      <c r="O990" s="6" t="str">
        <f t="shared" si="88"/>
        <v/>
      </c>
    </row>
    <row r="991" spans="8:15">
      <c r="H991">
        <f t="shared" si="85"/>
        <v>0</v>
      </c>
      <c r="I991" t="e">
        <f t="shared" si="86"/>
        <v>#VALUE!</v>
      </c>
      <c r="J991" s="6">
        <f t="shared" si="89"/>
        <v>0</v>
      </c>
      <c r="K991" s="6">
        <f t="shared" si="89"/>
        <v>0</v>
      </c>
      <c r="L991" s="6">
        <f t="shared" si="89"/>
        <v>0</v>
      </c>
      <c r="M991" s="6">
        <f t="shared" si="89"/>
        <v>0</v>
      </c>
      <c r="N991" s="6" t="str">
        <f t="shared" si="87"/>
        <v/>
      </c>
      <c r="O991" s="6" t="str">
        <f t="shared" si="88"/>
        <v/>
      </c>
    </row>
    <row r="992" spans="8:15">
      <c r="H992">
        <f t="shared" si="85"/>
        <v>0</v>
      </c>
      <c r="I992" t="e">
        <f t="shared" si="86"/>
        <v>#VALUE!</v>
      </c>
      <c r="J992" s="6">
        <f t="shared" si="89"/>
        <v>0</v>
      </c>
      <c r="K992" s="6">
        <f t="shared" si="89"/>
        <v>0</v>
      </c>
      <c r="L992" s="6">
        <f t="shared" si="89"/>
        <v>0</v>
      </c>
      <c r="M992" s="6">
        <f t="shared" si="89"/>
        <v>0</v>
      </c>
      <c r="N992" s="6" t="str">
        <f t="shared" si="87"/>
        <v/>
      </c>
      <c r="O992" s="6" t="str">
        <f t="shared" si="88"/>
        <v/>
      </c>
    </row>
    <row r="993" spans="8:15">
      <c r="H993">
        <f t="shared" si="85"/>
        <v>0</v>
      </c>
      <c r="I993" t="e">
        <f t="shared" si="86"/>
        <v>#VALUE!</v>
      </c>
      <c r="J993" s="6">
        <f t="shared" si="89"/>
        <v>0</v>
      </c>
      <c r="K993" s="6">
        <f t="shared" si="89"/>
        <v>0</v>
      </c>
      <c r="L993" s="6">
        <f t="shared" si="89"/>
        <v>0</v>
      </c>
      <c r="M993" s="6">
        <f t="shared" si="89"/>
        <v>0</v>
      </c>
      <c r="N993" s="6" t="str">
        <f t="shared" si="87"/>
        <v/>
      </c>
      <c r="O993" s="6" t="str">
        <f t="shared" si="88"/>
        <v/>
      </c>
    </row>
    <row r="994" spans="8:15">
      <c r="H994">
        <f t="shared" si="85"/>
        <v>0</v>
      </c>
      <c r="I994" t="e">
        <f t="shared" si="86"/>
        <v>#VALUE!</v>
      </c>
      <c r="J994" s="6">
        <f t="shared" si="89"/>
        <v>0</v>
      </c>
      <c r="K994" s="6">
        <f t="shared" si="89"/>
        <v>0</v>
      </c>
      <c r="L994" s="6">
        <f t="shared" si="89"/>
        <v>0</v>
      </c>
      <c r="M994" s="6">
        <f t="shared" si="89"/>
        <v>0</v>
      </c>
      <c r="N994" s="6" t="str">
        <f t="shared" si="87"/>
        <v/>
      </c>
      <c r="O994" s="6" t="str">
        <f t="shared" si="88"/>
        <v/>
      </c>
    </row>
    <row r="995" spans="8:15">
      <c r="H995">
        <f t="shared" si="85"/>
        <v>0</v>
      </c>
      <c r="I995" t="e">
        <f t="shared" si="86"/>
        <v>#VALUE!</v>
      </c>
      <c r="J995" s="6">
        <f t="shared" si="89"/>
        <v>0</v>
      </c>
      <c r="K995" s="6">
        <f t="shared" si="89"/>
        <v>0</v>
      </c>
      <c r="L995" s="6">
        <f t="shared" si="89"/>
        <v>0</v>
      </c>
      <c r="M995" s="6">
        <f t="shared" si="89"/>
        <v>0</v>
      </c>
      <c r="N995" s="6" t="str">
        <f t="shared" si="87"/>
        <v/>
      </c>
      <c r="O995" s="6" t="str">
        <f t="shared" si="88"/>
        <v/>
      </c>
    </row>
    <row r="996" spans="8:15">
      <c r="H996">
        <f t="shared" si="85"/>
        <v>0</v>
      </c>
      <c r="I996" t="e">
        <f t="shared" si="86"/>
        <v>#VALUE!</v>
      </c>
      <c r="J996" s="6">
        <f t="shared" si="89"/>
        <v>0</v>
      </c>
      <c r="K996" s="6">
        <f t="shared" si="89"/>
        <v>0</v>
      </c>
      <c r="L996" s="6">
        <f t="shared" si="89"/>
        <v>0</v>
      </c>
      <c r="M996" s="6">
        <f t="shared" si="89"/>
        <v>0</v>
      </c>
      <c r="N996" s="6" t="str">
        <f t="shared" si="87"/>
        <v/>
      </c>
      <c r="O996" s="6" t="str">
        <f t="shared" si="88"/>
        <v/>
      </c>
    </row>
    <row r="997" spans="8:15">
      <c r="H997">
        <f t="shared" si="85"/>
        <v>0</v>
      </c>
      <c r="I997" t="e">
        <f t="shared" si="86"/>
        <v>#VALUE!</v>
      </c>
      <c r="J997" s="6">
        <f t="shared" si="89"/>
        <v>0</v>
      </c>
      <c r="K997" s="6">
        <f t="shared" si="89"/>
        <v>0</v>
      </c>
      <c r="L997" s="6">
        <f t="shared" si="89"/>
        <v>0</v>
      </c>
      <c r="M997" s="6">
        <f t="shared" si="89"/>
        <v>0</v>
      </c>
      <c r="N997" s="6" t="str">
        <f t="shared" si="87"/>
        <v/>
      </c>
      <c r="O997" s="6" t="str">
        <f t="shared" si="88"/>
        <v/>
      </c>
    </row>
    <row r="998" spans="8:15">
      <c r="H998">
        <f t="shared" si="85"/>
        <v>0</v>
      </c>
      <c r="I998" t="e">
        <f t="shared" si="86"/>
        <v>#VALUE!</v>
      </c>
      <c r="J998" s="6">
        <f t="shared" si="89"/>
        <v>0</v>
      </c>
      <c r="K998" s="6">
        <f t="shared" si="89"/>
        <v>0</v>
      </c>
      <c r="L998" s="6">
        <f t="shared" si="89"/>
        <v>0</v>
      </c>
      <c r="M998" s="6">
        <f t="shared" si="89"/>
        <v>0</v>
      </c>
      <c r="N998" s="6" t="str">
        <f t="shared" si="87"/>
        <v/>
      </c>
      <c r="O998" s="6" t="str">
        <f t="shared" si="88"/>
        <v/>
      </c>
    </row>
    <row r="999" spans="8:15">
      <c r="H999">
        <f t="shared" si="85"/>
        <v>0</v>
      </c>
      <c r="I999" t="e">
        <f t="shared" si="86"/>
        <v>#VALUE!</v>
      </c>
      <c r="J999" s="6">
        <f t="shared" si="89"/>
        <v>0</v>
      </c>
      <c r="K999" s="6">
        <f t="shared" si="89"/>
        <v>0</v>
      </c>
      <c r="L999" s="6">
        <f t="shared" si="89"/>
        <v>0</v>
      </c>
      <c r="M999" s="6">
        <f t="shared" si="89"/>
        <v>0</v>
      </c>
      <c r="N999" s="6" t="str">
        <f t="shared" si="87"/>
        <v/>
      </c>
      <c r="O999" s="6" t="str">
        <f t="shared" si="88"/>
        <v/>
      </c>
    </row>
    <row r="1000" spans="8:15">
      <c r="H1000">
        <f t="shared" si="85"/>
        <v>0</v>
      </c>
      <c r="I1000" t="e">
        <f t="shared" si="86"/>
        <v>#VALUE!</v>
      </c>
      <c r="J1000" s="6">
        <f t="shared" si="89"/>
        <v>0</v>
      </c>
      <c r="K1000" s="6">
        <f t="shared" si="89"/>
        <v>0</v>
      </c>
      <c r="L1000" s="6">
        <f t="shared" si="89"/>
        <v>0</v>
      </c>
      <c r="M1000" s="6">
        <f t="shared" si="89"/>
        <v>0</v>
      </c>
      <c r="N1000" s="6" t="str">
        <f t="shared" si="87"/>
        <v/>
      </c>
      <c r="O1000" s="6" t="str">
        <f t="shared" si="88"/>
        <v/>
      </c>
    </row>
    <row r="1001" spans="8:15">
      <c r="H1001">
        <f t="shared" si="85"/>
        <v>0</v>
      </c>
      <c r="I1001" t="e">
        <f t="shared" si="86"/>
        <v>#VALUE!</v>
      </c>
      <c r="J1001" s="6">
        <f t="shared" si="89"/>
        <v>0</v>
      </c>
      <c r="K1001" s="6">
        <f t="shared" si="89"/>
        <v>0</v>
      </c>
      <c r="L1001" s="6">
        <f t="shared" si="89"/>
        <v>0</v>
      </c>
      <c r="M1001" s="6">
        <f t="shared" si="89"/>
        <v>0</v>
      </c>
      <c r="N1001" s="6" t="str">
        <f t="shared" si="87"/>
        <v/>
      </c>
      <c r="O1001" s="6" t="str">
        <f t="shared" si="88"/>
        <v/>
      </c>
    </row>
    <row r="1002" spans="8:15">
      <c r="H1002">
        <f t="shared" si="85"/>
        <v>0</v>
      </c>
      <c r="I1002" t="e">
        <f t="shared" si="86"/>
        <v>#VALUE!</v>
      </c>
      <c r="J1002" s="6">
        <f t="shared" si="89"/>
        <v>0</v>
      </c>
      <c r="K1002" s="6">
        <f t="shared" si="89"/>
        <v>0</v>
      </c>
      <c r="L1002" s="6">
        <f t="shared" si="89"/>
        <v>0</v>
      </c>
      <c r="M1002" s="6">
        <f t="shared" si="89"/>
        <v>0</v>
      </c>
      <c r="N1002" s="6" t="str">
        <f t="shared" si="87"/>
        <v/>
      </c>
      <c r="O1002" s="6" t="str">
        <f t="shared" si="88"/>
        <v/>
      </c>
    </row>
    <row r="1003" spans="8:15">
      <c r="H1003">
        <f t="shared" si="85"/>
        <v>0</v>
      </c>
      <c r="I1003" t="e">
        <f t="shared" si="86"/>
        <v>#VALUE!</v>
      </c>
      <c r="J1003" s="6">
        <f t="shared" si="89"/>
        <v>0</v>
      </c>
      <c r="K1003" s="6">
        <f t="shared" si="89"/>
        <v>0</v>
      </c>
      <c r="L1003" s="6">
        <f t="shared" si="89"/>
        <v>0</v>
      </c>
      <c r="M1003" s="6">
        <f t="shared" si="89"/>
        <v>0</v>
      </c>
      <c r="N1003" s="6" t="str">
        <f t="shared" si="87"/>
        <v/>
      </c>
      <c r="O1003" s="6" t="str">
        <f t="shared" si="88"/>
        <v/>
      </c>
    </row>
    <row r="1004" spans="8:15">
      <c r="H1004">
        <f t="shared" si="85"/>
        <v>0</v>
      </c>
      <c r="I1004" t="e">
        <f t="shared" si="86"/>
        <v>#VALUE!</v>
      </c>
      <c r="J1004" s="6">
        <f t="shared" si="89"/>
        <v>0</v>
      </c>
      <c r="K1004" s="6">
        <f t="shared" si="89"/>
        <v>0</v>
      </c>
      <c r="L1004" s="6">
        <f t="shared" si="89"/>
        <v>0</v>
      </c>
      <c r="M1004" s="6">
        <f t="shared" si="89"/>
        <v>0</v>
      </c>
      <c r="N1004" s="6" t="str">
        <f t="shared" si="87"/>
        <v/>
      </c>
      <c r="O1004" s="6" t="str">
        <f t="shared" si="88"/>
        <v/>
      </c>
    </row>
    <row r="1005" spans="8:15">
      <c r="H1005">
        <f t="shared" si="85"/>
        <v>0</v>
      </c>
      <c r="I1005" t="e">
        <f t="shared" si="86"/>
        <v>#VALUE!</v>
      </c>
      <c r="J1005" s="6">
        <f t="shared" si="89"/>
        <v>0</v>
      </c>
      <c r="K1005" s="6">
        <f t="shared" si="89"/>
        <v>0</v>
      </c>
      <c r="L1005" s="6">
        <f t="shared" si="89"/>
        <v>0</v>
      </c>
      <c r="M1005" s="6">
        <f t="shared" si="89"/>
        <v>0</v>
      </c>
      <c r="N1005" s="6" t="str">
        <f t="shared" si="87"/>
        <v/>
      </c>
      <c r="O1005" s="6" t="str">
        <f t="shared" si="88"/>
        <v/>
      </c>
    </row>
    <row r="1006" spans="8:15">
      <c r="H1006">
        <f t="shared" si="85"/>
        <v>0</v>
      </c>
      <c r="I1006" t="e">
        <f t="shared" si="86"/>
        <v>#VALUE!</v>
      </c>
      <c r="J1006" s="6">
        <f t="shared" si="89"/>
        <v>0</v>
      </c>
      <c r="K1006" s="6">
        <f t="shared" si="89"/>
        <v>0</v>
      </c>
      <c r="L1006" s="6">
        <f t="shared" si="89"/>
        <v>0</v>
      </c>
      <c r="M1006" s="6">
        <f t="shared" si="89"/>
        <v>0</v>
      </c>
      <c r="N1006" s="6" t="str">
        <f t="shared" si="87"/>
        <v/>
      </c>
      <c r="O1006" s="6" t="str">
        <f t="shared" si="88"/>
        <v/>
      </c>
    </row>
    <row r="1007" spans="8:15">
      <c r="H1007">
        <f t="shared" si="85"/>
        <v>0</v>
      </c>
      <c r="I1007" t="e">
        <f t="shared" si="86"/>
        <v>#VALUE!</v>
      </c>
      <c r="J1007" s="6">
        <f t="shared" si="89"/>
        <v>0</v>
      </c>
      <c r="K1007" s="6">
        <f t="shared" si="89"/>
        <v>0</v>
      </c>
      <c r="L1007" s="6">
        <f t="shared" si="89"/>
        <v>0</v>
      </c>
      <c r="M1007" s="6">
        <f t="shared" si="89"/>
        <v>0</v>
      </c>
      <c r="N1007" s="6" t="str">
        <f t="shared" si="87"/>
        <v/>
      </c>
      <c r="O1007" s="6" t="str">
        <f t="shared" si="88"/>
        <v/>
      </c>
    </row>
    <row r="1008" spans="8:15">
      <c r="H1008">
        <f t="shared" si="85"/>
        <v>0</v>
      </c>
      <c r="I1008" t="e">
        <f t="shared" si="86"/>
        <v>#VALUE!</v>
      </c>
      <c r="J1008" s="6">
        <f t="shared" si="89"/>
        <v>0</v>
      </c>
      <c r="K1008" s="6">
        <f t="shared" si="89"/>
        <v>0</v>
      </c>
      <c r="L1008" s="6">
        <f t="shared" si="89"/>
        <v>0</v>
      </c>
      <c r="M1008" s="6">
        <f t="shared" si="89"/>
        <v>0</v>
      </c>
      <c r="N1008" s="6" t="str">
        <f t="shared" si="87"/>
        <v/>
      </c>
      <c r="O1008" s="6" t="str">
        <f t="shared" si="88"/>
        <v/>
      </c>
    </row>
    <row r="1009" spans="8:15">
      <c r="H1009">
        <f t="shared" si="85"/>
        <v>0</v>
      </c>
      <c r="I1009" t="e">
        <f t="shared" si="86"/>
        <v>#VALUE!</v>
      </c>
      <c r="J1009" s="6">
        <f t="shared" si="89"/>
        <v>0</v>
      </c>
      <c r="K1009" s="6">
        <f t="shared" si="89"/>
        <v>0</v>
      </c>
      <c r="L1009" s="6">
        <f t="shared" si="89"/>
        <v>0</v>
      </c>
      <c r="M1009" s="6">
        <f t="shared" si="89"/>
        <v>0</v>
      </c>
      <c r="N1009" s="6" t="str">
        <f t="shared" si="87"/>
        <v/>
      </c>
      <c r="O1009" s="6" t="str">
        <f t="shared" si="88"/>
        <v/>
      </c>
    </row>
    <row r="1010" spans="8:15">
      <c r="H1010">
        <f t="shared" si="85"/>
        <v>0</v>
      </c>
      <c r="I1010" t="e">
        <f t="shared" si="86"/>
        <v>#VALUE!</v>
      </c>
      <c r="J1010" s="6">
        <f t="shared" si="89"/>
        <v>0</v>
      </c>
      <c r="K1010" s="6">
        <f t="shared" si="89"/>
        <v>0</v>
      </c>
      <c r="L1010" s="6">
        <f t="shared" si="89"/>
        <v>0</v>
      </c>
      <c r="M1010" s="6">
        <f t="shared" si="89"/>
        <v>0</v>
      </c>
      <c r="N1010" s="6" t="str">
        <f t="shared" si="87"/>
        <v/>
      </c>
      <c r="O1010" s="6" t="str">
        <f t="shared" si="88"/>
        <v/>
      </c>
    </row>
    <row r="1011" spans="8:15">
      <c r="H1011">
        <f t="shared" si="85"/>
        <v>0</v>
      </c>
      <c r="I1011" t="e">
        <f t="shared" si="86"/>
        <v>#VALUE!</v>
      </c>
      <c r="J1011" s="6">
        <f t="shared" si="89"/>
        <v>0</v>
      </c>
      <c r="K1011" s="6">
        <f t="shared" si="89"/>
        <v>0</v>
      </c>
      <c r="L1011" s="6">
        <f t="shared" si="89"/>
        <v>0</v>
      </c>
      <c r="M1011" s="6">
        <f t="shared" si="89"/>
        <v>0</v>
      </c>
      <c r="N1011" s="6" t="str">
        <f t="shared" si="87"/>
        <v/>
      </c>
      <c r="O1011" s="6" t="str">
        <f t="shared" si="88"/>
        <v/>
      </c>
    </row>
    <row r="1012" spans="8:15">
      <c r="H1012">
        <f t="shared" si="85"/>
        <v>0</v>
      </c>
      <c r="I1012" t="e">
        <f t="shared" si="86"/>
        <v>#VALUE!</v>
      </c>
      <c r="J1012" s="6">
        <f t="shared" si="89"/>
        <v>0</v>
      </c>
      <c r="K1012" s="6">
        <f t="shared" si="89"/>
        <v>0</v>
      </c>
      <c r="L1012" s="6">
        <f t="shared" si="89"/>
        <v>0</v>
      </c>
      <c r="M1012" s="6">
        <f t="shared" si="89"/>
        <v>0</v>
      </c>
      <c r="N1012" s="6" t="str">
        <f t="shared" si="87"/>
        <v/>
      </c>
      <c r="O1012" s="6" t="str">
        <f t="shared" si="88"/>
        <v/>
      </c>
    </row>
    <row r="1013" spans="8:15">
      <c r="H1013">
        <f t="shared" si="85"/>
        <v>0</v>
      </c>
      <c r="I1013" t="e">
        <f t="shared" si="86"/>
        <v>#VALUE!</v>
      </c>
      <c r="J1013" s="6">
        <f t="shared" si="89"/>
        <v>0</v>
      </c>
      <c r="K1013" s="6">
        <f t="shared" si="89"/>
        <v>0</v>
      </c>
      <c r="L1013" s="6">
        <f t="shared" si="89"/>
        <v>0</v>
      </c>
      <c r="M1013" s="6">
        <f t="shared" si="89"/>
        <v>0</v>
      </c>
      <c r="N1013" s="6" t="str">
        <f t="shared" si="87"/>
        <v/>
      </c>
      <c r="O1013" s="6" t="str">
        <f t="shared" si="88"/>
        <v/>
      </c>
    </row>
    <row r="1014" spans="8:15">
      <c r="H1014">
        <f t="shared" si="85"/>
        <v>0</v>
      </c>
      <c r="I1014" t="e">
        <f t="shared" si="86"/>
        <v>#VALUE!</v>
      </c>
      <c r="J1014" s="6">
        <f t="shared" si="89"/>
        <v>0</v>
      </c>
      <c r="K1014" s="6">
        <f t="shared" si="89"/>
        <v>0</v>
      </c>
      <c r="L1014" s="6">
        <f t="shared" si="89"/>
        <v>0</v>
      </c>
      <c r="M1014" s="6">
        <f t="shared" si="89"/>
        <v>0</v>
      </c>
      <c r="N1014" s="6" t="str">
        <f t="shared" si="87"/>
        <v/>
      </c>
      <c r="O1014" s="6" t="str">
        <f t="shared" si="88"/>
        <v/>
      </c>
    </row>
    <row r="1015" spans="8:15">
      <c r="H1015">
        <f t="shared" si="85"/>
        <v>0</v>
      </c>
      <c r="I1015" t="e">
        <f t="shared" si="86"/>
        <v>#VALUE!</v>
      </c>
      <c r="J1015" s="6">
        <f t="shared" si="89"/>
        <v>0</v>
      </c>
      <c r="K1015" s="6">
        <f t="shared" si="89"/>
        <v>0</v>
      </c>
      <c r="L1015" s="6">
        <f t="shared" si="89"/>
        <v>0</v>
      </c>
      <c r="M1015" s="6">
        <f t="shared" si="89"/>
        <v>0</v>
      </c>
      <c r="N1015" s="6" t="str">
        <f t="shared" si="87"/>
        <v/>
      </c>
      <c r="O1015" s="6" t="str">
        <f t="shared" si="88"/>
        <v/>
      </c>
    </row>
    <row r="1016" spans="8:15">
      <c r="H1016">
        <f t="shared" si="85"/>
        <v>0</v>
      </c>
      <c r="I1016" t="e">
        <f t="shared" si="86"/>
        <v>#VALUE!</v>
      </c>
      <c r="J1016" s="6">
        <f t="shared" si="89"/>
        <v>0</v>
      </c>
      <c r="K1016" s="6">
        <f t="shared" si="89"/>
        <v>0</v>
      </c>
      <c r="L1016" s="6">
        <f t="shared" si="89"/>
        <v>0</v>
      </c>
      <c r="M1016" s="6">
        <f t="shared" si="89"/>
        <v>0</v>
      </c>
      <c r="N1016" s="6" t="str">
        <f t="shared" si="87"/>
        <v/>
      </c>
      <c r="O1016" s="6" t="str">
        <f t="shared" si="88"/>
        <v/>
      </c>
    </row>
    <row r="1017" spans="8:15">
      <c r="H1017">
        <f t="shared" si="85"/>
        <v>0</v>
      </c>
      <c r="I1017" t="e">
        <f t="shared" si="86"/>
        <v>#VALUE!</v>
      </c>
      <c r="J1017" s="6">
        <f t="shared" si="89"/>
        <v>0</v>
      </c>
      <c r="K1017" s="6">
        <f t="shared" si="89"/>
        <v>0</v>
      </c>
      <c r="L1017" s="6">
        <f t="shared" si="89"/>
        <v>0</v>
      </c>
      <c r="M1017" s="6">
        <f t="shared" si="89"/>
        <v>0</v>
      </c>
      <c r="N1017" s="6" t="str">
        <f t="shared" si="87"/>
        <v/>
      </c>
      <c r="O1017" s="6" t="str">
        <f t="shared" si="88"/>
        <v/>
      </c>
    </row>
    <row r="1018" spans="8:15">
      <c r="H1018">
        <f t="shared" si="85"/>
        <v>0</v>
      </c>
      <c r="I1018" t="e">
        <f t="shared" si="86"/>
        <v>#VALUE!</v>
      </c>
      <c r="J1018" s="6">
        <f t="shared" si="89"/>
        <v>0</v>
      </c>
      <c r="K1018" s="6">
        <f t="shared" si="89"/>
        <v>0</v>
      </c>
      <c r="L1018" s="6">
        <f t="shared" si="89"/>
        <v>0</v>
      </c>
      <c r="M1018" s="6">
        <f t="shared" si="89"/>
        <v>0</v>
      </c>
      <c r="N1018" s="6" t="str">
        <f t="shared" si="87"/>
        <v/>
      </c>
      <c r="O1018" s="6" t="str">
        <f t="shared" si="88"/>
        <v/>
      </c>
    </row>
    <row r="1019" spans="8:15">
      <c r="H1019">
        <f t="shared" si="85"/>
        <v>0</v>
      </c>
      <c r="I1019" t="e">
        <f t="shared" si="86"/>
        <v>#VALUE!</v>
      </c>
      <c r="J1019" s="6">
        <f t="shared" si="89"/>
        <v>0</v>
      </c>
      <c r="K1019" s="6">
        <f t="shared" si="89"/>
        <v>0</v>
      </c>
      <c r="L1019" s="6">
        <f t="shared" si="89"/>
        <v>0</v>
      </c>
      <c r="M1019" s="6">
        <f t="shared" si="89"/>
        <v>0</v>
      </c>
      <c r="N1019" s="6" t="str">
        <f t="shared" si="87"/>
        <v/>
      </c>
      <c r="O1019" s="6" t="str">
        <f t="shared" si="88"/>
        <v/>
      </c>
    </row>
    <row r="1020" spans="8:15">
      <c r="H1020">
        <f t="shared" si="85"/>
        <v>0</v>
      </c>
      <c r="I1020" t="e">
        <f t="shared" si="86"/>
        <v>#VALUE!</v>
      </c>
      <c r="J1020" s="6">
        <f t="shared" si="89"/>
        <v>0</v>
      </c>
      <c r="K1020" s="6">
        <f t="shared" si="89"/>
        <v>0</v>
      </c>
      <c r="L1020" s="6">
        <f t="shared" si="89"/>
        <v>0</v>
      </c>
      <c r="M1020" s="6">
        <f t="shared" si="89"/>
        <v>0</v>
      </c>
      <c r="N1020" s="6" t="str">
        <f t="shared" si="87"/>
        <v/>
      </c>
      <c r="O1020" s="6" t="str">
        <f t="shared" si="88"/>
        <v/>
      </c>
    </row>
    <row r="1021" spans="8:15">
      <c r="H1021">
        <f t="shared" si="85"/>
        <v>0</v>
      </c>
      <c r="I1021" t="e">
        <f t="shared" si="86"/>
        <v>#VALUE!</v>
      </c>
      <c r="J1021" s="6">
        <f t="shared" si="89"/>
        <v>0</v>
      </c>
      <c r="K1021" s="6">
        <f t="shared" si="89"/>
        <v>0</v>
      </c>
      <c r="L1021" s="6">
        <f t="shared" si="89"/>
        <v>0</v>
      </c>
      <c r="M1021" s="6">
        <f t="shared" si="89"/>
        <v>0</v>
      </c>
      <c r="N1021" s="6" t="str">
        <f t="shared" si="87"/>
        <v/>
      </c>
      <c r="O1021" s="6" t="str">
        <f t="shared" si="88"/>
        <v/>
      </c>
    </row>
    <row r="1022" spans="8:15">
      <c r="H1022">
        <f t="shared" si="85"/>
        <v>0</v>
      </c>
      <c r="I1022" t="e">
        <f t="shared" si="86"/>
        <v>#VALUE!</v>
      </c>
      <c r="J1022" s="6">
        <f t="shared" si="89"/>
        <v>0</v>
      </c>
      <c r="K1022" s="6">
        <f t="shared" si="89"/>
        <v>0</v>
      </c>
      <c r="L1022" s="6">
        <f t="shared" si="89"/>
        <v>0</v>
      </c>
      <c r="M1022" s="6">
        <f t="shared" si="89"/>
        <v>0</v>
      </c>
      <c r="N1022" s="6" t="str">
        <f t="shared" si="87"/>
        <v/>
      </c>
      <c r="O1022" s="6" t="str">
        <f t="shared" si="88"/>
        <v/>
      </c>
    </row>
    <row r="1023" spans="8:15">
      <c r="H1023">
        <f t="shared" si="85"/>
        <v>0</v>
      </c>
      <c r="I1023" t="e">
        <f t="shared" si="86"/>
        <v>#VALUE!</v>
      </c>
      <c r="J1023" s="6">
        <f t="shared" si="89"/>
        <v>0</v>
      </c>
      <c r="K1023" s="6">
        <f t="shared" si="89"/>
        <v>0</v>
      </c>
      <c r="L1023" s="6">
        <f t="shared" si="89"/>
        <v>0</v>
      </c>
      <c r="M1023" s="6">
        <f t="shared" si="89"/>
        <v>0</v>
      </c>
      <c r="N1023" s="6" t="str">
        <f t="shared" si="87"/>
        <v/>
      </c>
      <c r="O1023" s="6" t="str">
        <f t="shared" si="88"/>
        <v/>
      </c>
    </row>
    <row r="1024" spans="8:15">
      <c r="H1024">
        <f t="shared" si="85"/>
        <v>0</v>
      </c>
      <c r="I1024" t="e">
        <f t="shared" si="86"/>
        <v>#VALUE!</v>
      </c>
      <c r="J1024" s="6">
        <f t="shared" si="89"/>
        <v>0</v>
      </c>
      <c r="K1024" s="6">
        <f t="shared" si="89"/>
        <v>0</v>
      </c>
      <c r="L1024" s="6">
        <f t="shared" si="89"/>
        <v>0</v>
      </c>
      <c r="M1024" s="6">
        <f t="shared" si="89"/>
        <v>0</v>
      </c>
      <c r="N1024" s="6" t="str">
        <f t="shared" si="87"/>
        <v/>
      </c>
      <c r="O1024" s="6" t="str">
        <f t="shared" si="88"/>
        <v/>
      </c>
    </row>
    <row r="1025" spans="8:15">
      <c r="H1025">
        <f t="shared" si="85"/>
        <v>0</v>
      </c>
      <c r="I1025" t="e">
        <f t="shared" si="86"/>
        <v>#VALUE!</v>
      </c>
      <c r="J1025" s="6">
        <f t="shared" si="89"/>
        <v>0</v>
      </c>
      <c r="K1025" s="6">
        <f t="shared" si="89"/>
        <v>0</v>
      </c>
      <c r="L1025" s="6">
        <f t="shared" si="89"/>
        <v>0</v>
      </c>
      <c r="M1025" s="6">
        <f t="shared" si="89"/>
        <v>0</v>
      </c>
      <c r="N1025" s="6" t="str">
        <f t="shared" si="87"/>
        <v/>
      </c>
      <c r="O1025" s="6" t="str">
        <f t="shared" si="88"/>
        <v/>
      </c>
    </row>
    <row r="1026" spans="8:15">
      <c r="H1026">
        <f t="shared" si="85"/>
        <v>0</v>
      </c>
      <c r="I1026" t="e">
        <f t="shared" si="86"/>
        <v>#VALUE!</v>
      </c>
      <c r="J1026" s="6">
        <f t="shared" si="89"/>
        <v>0</v>
      </c>
      <c r="K1026" s="6">
        <f t="shared" si="89"/>
        <v>0</v>
      </c>
      <c r="L1026" s="6">
        <f t="shared" si="89"/>
        <v>0</v>
      </c>
      <c r="M1026" s="6">
        <f t="shared" si="89"/>
        <v>0</v>
      </c>
      <c r="N1026" s="6" t="str">
        <f t="shared" si="87"/>
        <v/>
      </c>
      <c r="O1026" s="6" t="str">
        <f t="shared" si="88"/>
        <v/>
      </c>
    </row>
    <row r="1027" spans="8:15">
      <c r="H1027">
        <f t="shared" si="85"/>
        <v>0</v>
      </c>
      <c r="I1027" t="e">
        <f t="shared" si="86"/>
        <v>#VALUE!</v>
      </c>
      <c r="J1027" s="6">
        <f t="shared" si="89"/>
        <v>0</v>
      </c>
      <c r="K1027" s="6">
        <f t="shared" si="89"/>
        <v>0</v>
      </c>
      <c r="L1027" s="6">
        <f t="shared" si="89"/>
        <v>0</v>
      </c>
      <c r="M1027" s="6">
        <f t="shared" si="89"/>
        <v>0</v>
      </c>
      <c r="N1027" s="6" t="str">
        <f t="shared" si="87"/>
        <v/>
      </c>
      <c r="O1027" s="6" t="str">
        <f t="shared" si="88"/>
        <v/>
      </c>
    </row>
    <row r="1028" spans="8:15">
      <c r="H1028">
        <f t="shared" si="85"/>
        <v>0</v>
      </c>
      <c r="I1028" t="e">
        <f t="shared" si="86"/>
        <v>#VALUE!</v>
      </c>
      <c r="J1028" s="6">
        <f t="shared" si="89"/>
        <v>0</v>
      </c>
      <c r="K1028" s="6">
        <f t="shared" si="89"/>
        <v>0</v>
      </c>
      <c r="L1028" s="6">
        <f t="shared" si="89"/>
        <v>0</v>
      </c>
      <c r="M1028" s="6">
        <f t="shared" si="89"/>
        <v>0</v>
      </c>
      <c r="N1028" s="6" t="str">
        <f t="shared" si="87"/>
        <v/>
      </c>
      <c r="O1028" s="6" t="str">
        <f t="shared" si="88"/>
        <v/>
      </c>
    </row>
    <row r="1029" spans="8:15">
      <c r="H1029">
        <f t="shared" si="85"/>
        <v>0</v>
      </c>
      <c r="I1029" t="e">
        <f t="shared" si="86"/>
        <v>#VALUE!</v>
      </c>
      <c r="J1029" s="6">
        <f t="shared" si="89"/>
        <v>0</v>
      </c>
      <c r="K1029" s="6">
        <f t="shared" si="89"/>
        <v>0</v>
      </c>
      <c r="L1029" s="6">
        <f t="shared" si="89"/>
        <v>0</v>
      </c>
      <c r="M1029" s="6">
        <f t="shared" si="89"/>
        <v>0</v>
      </c>
      <c r="N1029" s="6" t="str">
        <f t="shared" si="87"/>
        <v/>
      </c>
      <c r="O1029" s="6" t="str">
        <f t="shared" si="88"/>
        <v/>
      </c>
    </row>
    <row r="1030" spans="8:15">
      <c r="H1030">
        <f t="shared" si="85"/>
        <v>0</v>
      </c>
      <c r="I1030" t="e">
        <f t="shared" si="86"/>
        <v>#VALUE!</v>
      </c>
      <c r="J1030" s="6">
        <f t="shared" si="89"/>
        <v>0</v>
      </c>
      <c r="K1030" s="6">
        <f t="shared" si="89"/>
        <v>0</v>
      </c>
      <c r="L1030" s="6">
        <f t="shared" si="89"/>
        <v>0</v>
      </c>
      <c r="M1030" s="6">
        <f t="shared" si="89"/>
        <v>0</v>
      </c>
      <c r="N1030" s="6" t="str">
        <f t="shared" si="87"/>
        <v/>
      </c>
      <c r="O1030" s="6" t="str">
        <f t="shared" si="88"/>
        <v/>
      </c>
    </row>
    <row r="1031" spans="8:15">
      <c r="H1031">
        <f t="shared" ref="H1031:H1094" si="90">A1031</f>
        <v>0</v>
      </c>
      <c r="I1031" t="e">
        <f t="shared" ref="I1031:I1094" si="91">LEFT(B1031,SEARCH(" ",B1031,1)-1)</f>
        <v>#VALUE!</v>
      </c>
      <c r="J1031" s="6">
        <f t="shared" si="89"/>
        <v>0</v>
      </c>
      <c r="K1031" s="6">
        <f t="shared" si="89"/>
        <v>0</v>
      </c>
      <c r="L1031" s="6">
        <f t="shared" si="89"/>
        <v>0</v>
      </c>
      <c r="M1031" s="6">
        <f t="shared" si="89"/>
        <v>0</v>
      </c>
      <c r="N1031" s="6" t="str">
        <f t="shared" si="87"/>
        <v/>
      </c>
      <c r="O1031" s="6" t="str">
        <f t="shared" si="88"/>
        <v/>
      </c>
    </row>
    <row r="1032" spans="8:15">
      <c r="H1032">
        <f t="shared" si="90"/>
        <v>0</v>
      </c>
      <c r="I1032" t="e">
        <f t="shared" si="91"/>
        <v>#VALUE!</v>
      </c>
      <c r="J1032" s="6">
        <f t="shared" si="89"/>
        <v>0</v>
      </c>
      <c r="K1032" s="6">
        <f t="shared" si="89"/>
        <v>0</v>
      </c>
      <c r="L1032" s="6">
        <f t="shared" si="89"/>
        <v>0</v>
      </c>
      <c r="M1032" s="6">
        <f t="shared" si="89"/>
        <v>0</v>
      </c>
      <c r="N1032" s="6" t="str">
        <f t="shared" ref="N1032:N1095" si="92">TRIM($B$1)</f>
        <v/>
      </c>
      <c r="O1032" s="6" t="str">
        <f t="shared" ref="O1032:O1095" si="93">TRIM($C$1)</f>
        <v/>
      </c>
    </row>
    <row r="1033" spans="8:15">
      <c r="H1033">
        <f t="shared" si="90"/>
        <v>0</v>
      </c>
      <c r="I1033" t="e">
        <f t="shared" si="91"/>
        <v>#VALUE!</v>
      </c>
      <c r="J1033" s="6">
        <f t="shared" si="89"/>
        <v>0</v>
      </c>
      <c r="K1033" s="6">
        <f t="shared" si="89"/>
        <v>0</v>
      </c>
      <c r="L1033" s="6">
        <f t="shared" si="89"/>
        <v>0</v>
      </c>
      <c r="M1033" s="6">
        <f t="shared" si="89"/>
        <v>0</v>
      </c>
      <c r="N1033" s="6" t="str">
        <f t="shared" si="92"/>
        <v/>
      </c>
      <c r="O1033" s="6" t="str">
        <f t="shared" si="93"/>
        <v/>
      </c>
    </row>
    <row r="1034" spans="8:15">
      <c r="H1034">
        <f t="shared" si="90"/>
        <v>0</v>
      </c>
      <c r="I1034" t="e">
        <f t="shared" si="91"/>
        <v>#VALUE!</v>
      </c>
      <c r="J1034" s="6">
        <f t="shared" si="89"/>
        <v>0</v>
      </c>
      <c r="K1034" s="6">
        <f t="shared" si="89"/>
        <v>0</v>
      </c>
      <c r="L1034" s="6">
        <f t="shared" si="89"/>
        <v>0</v>
      </c>
      <c r="M1034" s="6">
        <f t="shared" si="89"/>
        <v>0</v>
      </c>
      <c r="N1034" s="6" t="str">
        <f t="shared" si="92"/>
        <v/>
      </c>
      <c r="O1034" s="6" t="str">
        <f t="shared" si="93"/>
        <v/>
      </c>
    </row>
    <row r="1035" spans="8:15">
      <c r="H1035">
        <f t="shared" si="90"/>
        <v>0</v>
      </c>
      <c r="I1035" t="e">
        <f t="shared" si="91"/>
        <v>#VALUE!</v>
      </c>
      <c r="J1035" s="6">
        <f t="shared" si="89"/>
        <v>0</v>
      </c>
      <c r="K1035" s="6">
        <f t="shared" si="89"/>
        <v>0</v>
      </c>
      <c r="L1035" s="6">
        <f t="shared" si="89"/>
        <v>0</v>
      </c>
      <c r="M1035" s="6">
        <f t="shared" si="89"/>
        <v>0</v>
      </c>
      <c r="N1035" s="6" t="str">
        <f t="shared" si="92"/>
        <v/>
      </c>
      <c r="O1035" s="6" t="str">
        <f t="shared" si="93"/>
        <v/>
      </c>
    </row>
    <row r="1036" spans="8:15">
      <c r="H1036">
        <f t="shared" si="90"/>
        <v>0</v>
      </c>
      <c r="I1036" t="e">
        <f t="shared" si="91"/>
        <v>#VALUE!</v>
      </c>
      <c r="J1036" s="6">
        <f t="shared" si="89"/>
        <v>0</v>
      </c>
      <c r="K1036" s="6">
        <f t="shared" si="89"/>
        <v>0</v>
      </c>
      <c r="L1036" s="6">
        <f t="shared" si="89"/>
        <v>0</v>
      </c>
      <c r="M1036" s="6">
        <f t="shared" si="89"/>
        <v>0</v>
      </c>
      <c r="N1036" s="6" t="str">
        <f t="shared" si="92"/>
        <v/>
      </c>
      <c r="O1036" s="6" t="str">
        <f t="shared" si="93"/>
        <v/>
      </c>
    </row>
    <row r="1037" spans="8:15">
      <c r="H1037">
        <f t="shared" si="90"/>
        <v>0</v>
      </c>
      <c r="I1037" t="e">
        <f t="shared" si="91"/>
        <v>#VALUE!</v>
      </c>
      <c r="J1037" s="6">
        <f t="shared" si="89"/>
        <v>0</v>
      </c>
      <c r="K1037" s="6">
        <f t="shared" si="89"/>
        <v>0</v>
      </c>
      <c r="L1037" s="6">
        <f t="shared" si="89"/>
        <v>0</v>
      </c>
      <c r="M1037" s="6">
        <f t="shared" si="89"/>
        <v>0</v>
      </c>
      <c r="N1037" s="6" t="str">
        <f t="shared" si="92"/>
        <v/>
      </c>
      <c r="O1037" s="6" t="str">
        <f t="shared" si="93"/>
        <v/>
      </c>
    </row>
    <row r="1038" spans="8:15">
      <c r="H1038">
        <f t="shared" si="90"/>
        <v>0</v>
      </c>
      <c r="I1038" t="e">
        <f t="shared" si="91"/>
        <v>#VALUE!</v>
      </c>
      <c r="J1038" s="6">
        <f t="shared" si="89"/>
        <v>0</v>
      </c>
      <c r="K1038" s="6">
        <f t="shared" si="89"/>
        <v>0</v>
      </c>
      <c r="L1038" s="6">
        <f t="shared" si="89"/>
        <v>0</v>
      </c>
      <c r="M1038" s="6">
        <f t="shared" si="89"/>
        <v>0</v>
      </c>
      <c r="N1038" s="6" t="str">
        <f t="shared" si="92"/>
        <v/>
      </c>
      <c r="O1038" s="6" t="str">
        <f t="shared" si="93"/>
        <v/>
      </c>
    </row>
    <row r="1039" spans="8:15">
      <c r="H1039">
        <f t="shared" si="90"/>
        <v>0</v>
      </c>
      <c r="I1039" t="e">
        <f t="shared" si="91"/>
        <v>#VALUE!</v>
      </c>
      <c r="J1039" s="6">
        <f t="shared" si="89"/>
        <v>0</v>
      </c>
      <c r="K1039" s="6">
        <f t="shared" si="89"/>
        <v>0</v>
      </c>
      <c r="L1039" s="6">
        <f t="shared" si="89"/>
        <v>0</v>
      </c>
      <c r="M1039" s="6">
        <f t="shared" si="89"/>
        <v>0</v>
      </c>
      <c r="N1039" s="6" t="str">
        <f t="shared" si="92"/>
        <v/>
      </c>
      <c r="O1039" s="6" t="str">
        <f t="shared" si="93"/>
        <v/>
      </c>
    </row>
    <row r="1040" spans="8:15">
      <c r="H1040">
        <f t="shared" si="90"/>
        <v>0</v>
      </c>
      <c r="I1040" t="e">
        <f t="shared" si="91"/>
        <v>#VALUE!</v>
      </c>
      <c r="J1040" s="6">
        <f t="shared" si="89"/>
        <v>0</v>
      </c>
      <c r="K1040" s="6">
        <f t="shared" si="89"/>
        <v>0</v>
      </c>
      <c r="L1040" s="6">
        <f t="shared" si="89"/>
        <v>0</v>
      </c>
      <c r="M1040" s="6">
        <f t="shared" si="89"/>
        <v>0</v>
      </c>
      <c r="N1040" s="6" t="str">
        <f t="shared" si="92"/>
        <v/>
      </c>
      <c r="O1040" s="6" t="str">
        <f t="shared" si="93"/>
        <v/>
      </c>
    </row>
    <row r="1041" spans="8:15">
      <c r="H1041">
        <f t="shared" si="90"/>
        <v>0</v>
      </c>
      <c r="I1041" t="e">
        <f t="shared" si="91"/>
        <v>#VALUE!</v>
      </c>
      <c r="J1041" s="6">
        <f t="shared" si="89"/>
        <v>0</v>
      </c>
      <c r="K1041" s="6">
        <f t="shared" si="89"/>
        <v>0</v>
      </c>
      <c r="L1041" s="6">
        <f t="shared" si="89"/>
        <v>0</v>
      </c>
      <c r="M1041" s="6">
        <f t="shared" ref="M1041:M1104" si="94">F1041</f>
        <v>0</v>
      </c>
      <c r="N1041" s="6" t="str">
        <f t="shared" si="92"/>
        <v/>
      </c>
      <c r="O1041" s="6" t="str">
        <f t="shared" si="93"/>
        <v/>
      </c>
    </row>
    <row r="1042" spans="8:15">
      <c r="H1042">
        <f t="shared" si="90"/>
        <v>0</v>
      </c>
      <c r="I1042" t="e">
        <f t="shared" si="91"/>
        <v>#VALUE!</v>
      </c>
      <c r="J1042" s="6">
        <f t="shared" ref="J1042:M1105" si="95">C1042</f>
        <v>0</v>
      </c>
      <c r="K1042" s="6">
        <f t="shared" si="95"/>
        <v>0</v>
      </c>
      <c r="L1042" s="6">
        <f t="shared" si="95"/>
        <v>0</v>
      </c>
      <c r="M1042" s="6">
        <f t="shared" si="94"/>
        <v>0</v>
      </c>
      <c r="N1042" s="6" t="str">
        <f t="shared" si="92"/>
        <v/>
      </c>
      <c r="O1042" s="6" t="str">
        <f t="shared" si="93"/>
        <v/>
      </c>
    </row>
    <row r="1043" spans="8:15">
      <c r="H1043">
        <f t="shared" si="90"/>
        <v>0</v>
      </c>
      <c r="I1043" t="e">
        <f t="shared" si="91"/>
        <v>#VALUE!</v>
      </c>
      <c r="J1043" s="6">
        <f t="shared" si="95"/>
        <v>0</v>
      </c>
      <c r="K1043" s="6">
        <f t="shared" si="95"/>
        <v>0</v>
      </c>
      <c r="L1043" s="6">
        <f t="shared" si="95"/>
        <v>0</v>
      </c>
      <c r="M1043" s="6">
        <f t="shared" si="94"/>
        <v>0</v>
      </c>
      <c r="N1043" s="6" t="str">
        <f t="shared" si="92"/>
        <v/>
      </c>
      <c r="O1043" s="6" t="str">
        <f t="shared" si="93"/>
        <v/>
      </c>
    </row>
    <row r="1044" spans="8:15">
      <c r="H1044">
        <f t="shared" si="90"/>
        <v>0</v>
      </c>
      <c r="I1044" t="e">
        <f t="shared" si="91"/>
        <v>#VALUE!</v>
      </c>
      <c r="J1044" s="6">
        <f t="shared" si="95"/>
        <v>0</v>
      </c>
      <c r="K1044" s="6">
        <f t="shared" si="95"/>
        <v>0</v>
      </c>
      <c r="L1044" s="6">
        <f t="shared" si="95"/>
        <v>0</v>
      </c>
      <c r="M1044" s="6">
        <f t="shared" si="94"/>
        <v>0</v>
      </c>
      <c r="N1044" s="6" t="str">
        <f t="shared" si="92"/>
        <v/>
      </c>
      <c r="O1044" s="6" t="str">
        <f t="shared" si="93"/>
        <v/>
      </c>
    </row>
    <row r="1045" spans="8:15">
      <c r="H1045">
        <f t="shared" si="90"/>
        <v>0</v>
      </c>
      <c r="I1045" t="e">
        <f t="shared" si="91"/>
        <v>#VALUE!</v>
      </c>
      <c r="J1045" s="6">
        <f t="shared" si="95"/>
        <v>0</v>
      </c>
      <c r="K1045" s="6">
        <f t="shared" si="95"/>
        <v>0</v>
      </c>
      <c r="L1045" s="6">
        <f t="shared" si="95"/>
        <v>0</v>
      </c>
      <c r="M1045" s="6">
        <f t="shared" si="94"/>
        <v>0</v>
      </c>
      <c r="N1045" s="6" t="str">
        <f t="shared" si="92"/>
        <v/>
      </c>
      <c r="O1045" s="6" t="str">
        <f t="shared" si="93"/>
        <v/>
      </c>
    </row>
    <row r="1046" spans="8:15">
      <c r="H1046">
        <f t="shared" si="90"/>
        <v>0</v>
      </c>
      <c r="I1046" t="e">
        <f t="shared" si="91"/>
        <v>#VALUE!</v>
      </c>
      <c r="J1046" s="6">
        <f t="shared" si="95"/>
        <v>0</v>
      </c>
      <c r="K1046" s="6">
        <f t="shared" si="95"/>
        <v>0</v>
      </c>
      <c r="L1046" s="6">
        <f t="shared" si="95"/>
        <v>0</v>
      </c>
      <c r="M1046" s="6">
        <f t="shared" si="94"/>
        <v>0</v>
      </c>
      <c r="N1046" s="6" t="str">
        <f t="shared" si="92"/>
        <v/>
      </c>
      <c r="O1046" s="6" t="str">
        <f t="shared" si="93"/>
        <v/>
      </c>
    </row>
    <row r="1047" spans="8:15">
      <c r="H1047">
        <f t="shared" si="90"/>
        <v>0</v>
      </c>
      <c r="I1047" t="e">
        <f t="shared" si="91"/>
        <v>#VALUE!</v>
      </c>
      <c r="J1047" s="6">
        <f t="shared" si="95"/>
        <v>0</v>
      </c>
      <c r="K1047" s="6">
        <f t="shared" si="95"/>
        <v>0</v>
      </c>
      <c r="L1047" s="6">
        <f t="shared" si="95"/>
        <v>0</v>
      </c>
      <c r="M1047" s="6">
        <f t="shared" si="94"/>
        <v>0</v>
      </c>
      <c r="N1047" s="6" t="str">
        <f t="shared" si="92"/>
        <v/>
      </c>
      <c r="O1047" s="6" t="str">
        <f t="shared" si="93"/>
        <v/>
      </c>
    </row>
    <row r="1048" spans="8:15">
      <c r="H1048">
        <f t="shared" si="90"/>
        <v>0</v>
      </c>
      <c r="I1048" t="e">
        <f t="shared" si="91"/>
        <v>#VALUE!</v>
      </c>
      <c r="J1048" s="6">
        <f t="shared" si="95"/>
        <v>0</v>
      </c>
      <c r="K1048" s="6">
        <f t="shared" si="95"/>
        <v>0</v>
      </c>
      <c r="L1048" s="6">
        <f t="shared" si="95"/>
        <v>0</v>
      </c>
      <c r="M1048" s="6">
        <f t="shared" si="94"/>
        <v>0</v>
      </c>
      <c r="N1048" s="6" t="str">
        <f t="shared" si="92"/>
        <v/>
      </c>
      <c r="O1048" s="6" t="str">
        <f t="shared" si="93"/>
        <v/>
      </c>
    </row>
    <row r="1049" spans="8:15">
      <c r="H1049">
        <f t="shared" si="90"/>
        <v>0</v>
      </c>
      <c r="I1049" t="e">
        <f t="shared" si="91"/>
        <v>#VALUE!</v>
      </c>
      <c r="J1049" s="6">
        <f t="shared" si="95"/>
        <v>0</v>
      </c>
      <c r="K1049" s="6">
        <f t="shared" si="95"/>
        <v>0</v>
      </c>
      <c r="L1049" s="6">
        <f t="shared" si="95"/>
        <v>0</v>
      </c>
      <c r="M1049" s="6">
        <f t="shared" si="94"/>
        <v>0</v>
      </c>
      <c r="N1049" s="6" t="str">
        <f t="shared" si="92"/>
        <v/>
      </c>
      <c r="O1049" s="6" t="str">
        <f t="shared" si="93"/>
        <v/>
      </c>
    </row>
    <row r="1050" spans="8:15">
      <c r="H1050">
        <f t="shared" si="90"/>
        <v>0</v>
      </c>
      <c r="I1050" t="e">
        <f t="shared" si="91"/>
        <v>#VALUE!</v>
      </c>
      <c r="J1050" s="6">
        <f t="shared" si="95"/>
        <v>0</v>
      </c>
      <c r="K1050" s="6">
        <f t="shared" si="95"/>
        <v>0</v>
      </c>
      <c r="L1050" s="6">
        <f t="shared" si="95"/>
        <v>0</v>
      </c>
      <c r="M1050" s="6">
        <f t="shared" si="94"/>
        <v>0</v>
      </c>
      <c r="N1050" s="6" t="str">
        <f t="shared" si="92"/>
        <v/>
      </c>
      <c r="O1050" s="6" t="str">
        <f t="shared" si="93"/>
        <v/>
      </c>
    </row>
    <row r="1051" spans="8:15">
      <c r="H1051">
        <f t="shared" si="90"/>
        <v>0</v>
      </c>
      <c r="I1051" t="e">
        <f t="shared" si="91"/>
        <v>#VALUE!</v>
      </c>
      <c r="J1051" s="6">
        <f t="shared" si="95"/>
        <v>0</v>
      </c>
      <c r="K1051" s="6">
        <f t="shared" si="95"/>
        <v>0</v>
      </c>
      <c r="L1051" s="6">
        <f t="shared" si="95"/>
        <v>0</v>
      </c>
      <c r="M1051" s="6">
        <f t="shared" si="94"/>
        <v>0</v>
      </c>
      <c r="N1051" s="6" t="str">
        <f t="shared" si="92"/>
        <v/>
      </c>
      <c r="O1051" s="6" t="str">
        <f t="shared" si="93"/>
        <v/>
      </c>
    </row>
    <row r="1052" spans="8:15">
      <c r="H1052">
        <f t="shared" si="90"/>
        <v>0</v>
      </c>
      <c r="I1052" t="e">
        <f t="shared" si="91"/>
        <v>#VALUE!</v>
      </c>
      <c r="J1052" s="6">
        <f t="shared" si="95"/>
        <v>0</v>
      </c>
      <c r="K1052" s="6">
        <f t="shared" si="95"/>
        <v>0</v>
      </c>
      <c r="L1052" s="6">
        <f t="shared" si="95"/>
        <v>0</v>
      </c>
      <c r="M1052" s="6">
        <f t="shared" si="94"/>
        <v>0</v>
      </c>
      <c r="N1052" s="6" t="str">
        <f t="shared" si="92"/>
        <v/>
      </c>
      <c r="O1052" s="6" t="str">
        <f t="shared" si="93"/>
        <v/>
      </c>
    </row>
    <row r="1053" spans="8:15">
      <c r="H1053">
        <f t="shared" si="90"/>
        <v>0</v>
      </c>
      <c r="I1053" t="e">
        <f t="shared" si="91"/>
        <v>#VALUE!</v>
      </c>
      <c r="J1053" s="6">
        <f t="shared" si="95"/>
        <v>0</v>
      </c>
      <c r="K1053" s="6">
        <f t="shared" si="95"/>
        <v>0</v>
      </c>
      <c r="L1053" s="6">
        <f t="shared" si="95"/>
        <v>0</v>
      </c>
      <c r="M1053" s="6">
        <f t="shared" si="94"/>
        <v>0</v>
      </c>
      <c r="N1053" s="6" t="str">
        <f t="shared" si="92"/>
        <v/>
      </c>
      <c r="O1053" s="6" t="str">
        <f t="shared" si="93"/>
        <v/>
      </c>
    </row>
    <row r="1054" spans="8:15">
      <c r="H1054">
        <f t="shared" si="90"/>
        <v>0</v>
      </c>
      <c r="I1054" t="e">
        <f t="shared" si="91"/>
        <v>#VALUE!</v>
      </c>
      <c r="J1054" s="6">
        <f t="shared" si="95"/>
        <v>0</v>
      </c>
      <c r="K1054" s="6">
        <f t="shared" si="95"/>
        <v>0</v>
      </c>
      <c r="L1054" s="6">
        <f t="shared" si="95"/>
        <v>0</v>
      </c>
      <c r="M1054" s="6">
        <f t="shared" si="94"/>
        <v>0</v>
      </c>
      <c r="N1054" s="6" t="str">
        <f t="shared" si="92"/>
        <v/>
      </c>
      <c r="O1054" s="6" t="str">
        <f t="shared" si="93"/>
        <v/>
      </c>
    </row>
    <row r="1055" spans="8:15">
      <c r="H1055">
        <f t="shared" si="90"/>
        <v>0</v>
      </c>
      <c r="I1055" t="e">
        <f t="shared" si="91"/>
        <v>#VALUE!</v>
      </c>
      <c r="J1055" s="6">
        <f t="shared" si="95"/>
        <v>0</v>
      </c>
      <c r="K1055" s="6">
        <f t="shared" si="95"/>
        <v>0</v>
      </c>
      <c r="L1055" s="6">
        <f t="shared" si="95"/>
        <v>0</v>
      </c>
      <c r="M1055" s="6">
        <f t="shared" si="94"/>
        <v>0</v>
      </c>
      <c r="N1055" s="6" t="str">
        <f t="shared" si="92"/>
        <v/>
      </c>
      <c r="O1055" s="6" t="str">
        <f t="shared" si="93"/>
        <v/>
      </c>
    </row>
    <row r="1056" spans="8:15">
      <c r="H1056">
        <f t="shared" si="90"/>
        <v>0</v>
      </c>
      <c r="I1056" t="e">
        <f t="shared" si="91"/>
        <v>#VALUE!</v>
      </c>
      <c r="J1056" s="6">
        <f t="shared" si="95"/>
        <v>0</v>
      </c>
      <c r="K1056" s="6">
        <f t="shared" si="95"/>
        <v>0</v>
      </c>
      <c r="L1056" s="6">
        <f t="shared" si="95"/>
        <v>0</v>
      </c>
      <c r="M1056" s="6">
        <f t="shared" si="94"/>
        <v>0</v>
      </c>
      <c r="N1056" s="6" t="str">
        <f t="shared" si="92"/>
        <v/>
      </c>
      <c r="O1056" s="6" t="str">
        <f t="shared" si="93"/>
        <v/>
      </c>
    </row>
    <row r="1057" spans="8:15">
      <c r="H1057">
        <f t="shared" si="90"/>
        <v>0</v>
      </c>
      <c r="I1057" t="e">
        <f t="shared" si="91"/>
        <v>#VALUE!</v>
      </c>
      <c r="J1057" s="6">
        <f t="shared" si="95"/>
        <v>0</v>
      </c>
      <c r="K1057" s="6">
        <f t="shared" si="95"/>
        <v>0</v>
      </c>
      <c r="L1057" s="6">
        <f t="shared" si="95"/>
        <v>0</v>
      </c>
      <c r="M1057" s="6">
        <f t="shared" si="94"/>
        <v>0</v>
      </c>
      <c r="N1057" s="6" t="str">
        <f t="shared" si="92"/>
        <v/>
      </c>
      <c r="O1057" s="6" t="str">
        <f t="shared" si="93"/>
        <v/>
      </c>
    </row>
    <row r="1058" spans="8:15">
      <c r="H1058">
        <f t="shared" si="90"/>
        <v>0</v>
      </c>
      <c r="I1058" t="e">
        <f t="shared" si="91"/>
        <v>#VALUE!</v>
      </c>
      <c r="J1058" s="6">
        <f t="shared" si="95"/>
        <v>0</v>
      </c>
      <c r="K1058" s="6">
        <f t="shared" si="95"/>
        <v>0</v>
      </c>
      <c r="L1058" s="6">
        <f t="shared" si="95"/>
        <v>0</v>
      </c>
      <c r="M1058" s="6">
        <f t="shared" si="94"/>
        <v>0</v>
      </c>
      <c r="N1058" s="6" t="str">
        <f t="shared" si="92"/>
        <v/>
      </c>
      <c r="O1058" s="6" t="str">
        <f t="shared" si="93"/>
        <v/>
      </c>
    </row>
    <row r="1059" spans="8:15">
      <c r="H1059">
        <f t="shared" si="90"/>
        <v>0</v>
      </c>
      <c r="I1059" t="e">
        <f t="shared" si="91"/>
        <v>#VALUE!</v>
      </c>
      <c r="J1059" s="6">
        <f t="shared" si="95"/>
        <v>0</v>
      </c>
      <c r="K1059" s="6">
        <f t="shared" si="95"/>
        <v>0</v>
      </c>
      <c r="L1059" s="6">
        <f t="shared" si="95"/>
        <v>0</v>
      </c>
      <c r="M1059" s="6">
        <f t="shared" si="94"/>
        <v>0</v>
      </c>
      <c r="N1059" s="6" t="str">
        <f t="shared" si="92"/>
        <v/>
      </c>
      <c r="O1059" s="6" t="str">
        <f t="shared" si="93"/>
        <v/>
      </c>
    </row>
    <row r="1060" spans="8:15">
      <c r="H1060">
        <f t="shared" si="90"/>
        <v>0</v>
      </c>
      <c r="I1060" t="e">
        <f t="shared" si="91"/>
        <v>#VALUE!</v>
      </c>
      <c r="J1060" s="6">
        <f t="shared" si="95"/>
        <v>0</v>
      </c>
      <c r="K1060" s="6">
        <f t="shared" si="95"/>
        <v>0</v>
      </c>
      <c r="L1060" s="6">
        <f t="shared" si="95"/>
        <v>0</v>
      </c>
      <c r="M1060" s="6">
        <f t="shared" si="94"/>
        <v>0</v>
      </c>
      <c r="N1060" s="6" t="str">
        <f t="shared" si="92"/>
        <v/>
      </c>
      <c r="O1060" s="6" t="str">
        <f t="shared" si="93"/>
        <v/>
      </c>
    </row>
    <row r="1061" spans="8:15">
      <c r="H1061">
        <f t="shared" si="90"/>
        <v>0</v>
      </c>
      <c r="I1061" t="e">
        <f t="shared" si="91"/>
        <v>#VALUE!</v>
      </c>
      <c r="J1061" s="6">
        <f t="shared" si="95"/>
        <v>0</v>
      </c>
      <c r="K1061" s="6">
        <f t="shared" si="95"/>
        <v>0</v>
      </c>
      <c r="L1061" s="6">
        <f t="shared" si="95"/>
        <v>0</v>
      </c>
      <c r="M1061" s="6">
        <f t="shared" si="94"/>
        <v>0</v>
      </c>
      <c r="N1061" s="6" t="str">
        <f t="shared" si="92"/>
        <v/>
      </c>
      <c r="O1061" s="6" t="str">
        <f t="shared" si="93"/>
        <v/>
      </c>
    </row>
    <row r="1062" spans="8:15">
      <c r="H1062">
        <f t="shared" si="90"/>
        <v>0</v>
      </c>
      <c r="I1062" t="e">
        <f t="shared" si="91"/>
        <v>#VALUE!</v>
      </c>
      <c r="J1062" s="6">
        <f t="shared" si="95"/>
        <v>0</v>
      </c>
      <c r="K1062" s="6">
        <f t="shared" si="95"/>
        <v>0</v>
      </c>
      <c r="L1062" s="6">
        <f t="shared" si="95"/>
        <v>0</v>
      </c>
      <c r="M1062" s="6">
        <f t="shared" si="94"/>
        <v>0</v>
      </c>
      <c r="N1062" s="6" t="str">
        <f t="shared" si="92"/>
        <v/>
      </c>
      <c r="O1062" s="6" t="str">
        <f t="shared" si="93"/>
        <v/>
      </c>
    </row>
    <row r="1063" spans="8:15">
      <c r="H1063">
        <f t="shared" si="90"/>
        <v>0</v>
      </c>
      <c r="I1063" t="e">
        <f t="shared" si="91"/>
        <v>#VALUE!</v>
      </c>
      <c r="J1063" s="6">
        <f t="shared" si="95"/>
        <v>0</v>
      </c>
      <c r="K1063" s="6">
        <f t="shared" si="95"/>
        <v>0</v>
      </c>
      <c r="L1063" s="6">
        <f t="shared" si="95"/>
        <v>0</v>
      </c>
      <c r="M1063" s="6">
        <f t="shared" si="94"/>
        <v>0</v>
      </c>
      <c r="N1063" s="6" t="str">
        <f t="shared" si="92"/>
        <v/>
      </c>
      <c r="O1063" s="6" t="str">
        <f t="shared" si="93"/>
        <v/>
      </c>
    </row>
    <row r="1064" spans="8:15">
      <c r="H1064">
        <f t="shared" si="90"/>
        <v>0</v>
      </c>
      <c r="I1064" t="e">
        <f t="shared" si="91"/>
        <v>#VALUE!</v>
      </c>
      <c r="J1064" s="6">
        <f t="shared" si="95"/>
        <v>0</v>
      </c>
      <c r="K1064" s="6">
        <f t="shared" si="95"/>
        <v>0</v>
      </c>
      <c r="L1064" s="6">
        <f t="shared" si="95"/>
        <v>0</v>
      </c>
      <c r="M1064" s="6">
        <f t="shared" si="94"/>
        <v>0</v>
      </c>
      <c r="N1064" s="6" t="str">
        <f t="shared" si="92"/>
        <v/>
      </c>
      <c r="O1064" s="6" t="str">
        <f t="shared" si="93"/>
        <v/>
      </c>
    </row>
    <row r="1065" spans="8:15">
      <c r="H1065">
        <f t="shared" si="90"/>
        <v>0</v>
      </c>
      <c r="I1065" t="e">
        <f t="shared" si="91"/>
        <v>#VALUE!</v>
      </c>
      <c r="J1065" s="6">
        <f t="shared" si="95"/>
        <v>0</v>
      </c>
      <c r="K1065" s="6">
        <f t="shared" si="95"/>
        <v>0</v>
      </c>
      <c r="L1065" s="6">
        <f t="shared" si="95"/>
        <v>0</v>
      </c>
      <c r="M1065" s="6">
        <f t="shared" si="94"/>
        <v>0</v>
      </c>
      <c r="N1065" s="6" t="str">
        <f t="shared" si="92"/>
        <v/>
      </c>
      <c r="O1065" s="6" t="str">
        <f t="shared" si="93"/>
        <v/>
      </c>
    </row>
    <row r="1066" spans="8:15">
      <c r="H1066">
        <f t="shared" si="90"/>
        <v>0</v>
      </c>
      <c r="I1066" t="e">
        <f t="shared" si="91"/>
        <v>#VALUE!</v>
      </c>
      <c r="J1066" s="6">
        <f t="shared" si="95"/>
        <v>0</v>
      </c>
      <c r="K1066" s="6">
        <f t="shared" si="95"/>
        <v>0</v>
      </c>
      <c r="L1066" s="6">
        <f t="shared" si="95"/>
        <v>0</v>
      </c>
      <c r="M1066" s="6">
        <f t="shared" si="94"/>
        <v>0</v>
      </c>
      <c r="N1066" s="6" t="str">
        <f t="shared" si="92"/>
        <v/>
      </c>
      <c r="O1066" s="6" t="str">
        <f t="shared" si="93"/>
        <v/>
      </c>
    </row>
    <row r="1067" spans="8:15">
      <c r="H1067">
        <f t="shared" si="90"/>
        <v>0</v>
      </c>
      <c r="I1067" t="e">
        <f t="shared" si="91"/>
        <v>#VALUE!</v>
      </c>
      <c r="J1067" s="6">
        <f t="shared" si="95"/>
        <v>0</v>
      </c>
      <c r="K1067" s="6">
        <f t="shared" si="95"/>
        <v>0</v>
      </c>
      <c r="L1067" s="6">
        <f t="shared" si="95"/>
        <v>0</v>
      </c>
      <c r="M1067" s="6">
        <f t="shared" si="94"/>
        <v>0</v>
      </c>
      <c r="N1067" s="6" t="str">
        <f t="shared" si="92"/>
        <v/>
      </c>
      <c r="O1067" s="6" t="str">
        <f t="shared" si="93"/>
        <v/>
      </c>
    </row>
    <row r="1068" spans="8:15">
      <c r="H1068">
        <f t="shared" si="90"/>
        <v>0</v>
      </c>
      <c r="I1068" t="e">
        <f t="shared" si="91"/>
        <v>#VALUE!</v>
      </c>
      <c r="J1068" s="6">
        <f t="shared" si="95"/>
        <v>0</v>
      </c>
      <c r="K1068" s="6">
        <f t="shared" si="95"/>
        <v>0</v>
      </c>
      <c r="L1068" s="6">
        <f t="shared" si="95"/>
        <v>0</v>
      </c>
      <c r="M1068" s="6">
        <f t="shared" si="94"/>
        <v>0</v>
      </c>
      <c r="N1068" s="6" t="str">
        <f t="shared" si="92"/>
        <v/>
      </c>
      <c r="O1068" s="6" t="str">
        <f t="shared" si="93"/>
        <v/>
      </c>
    </row>
    <row r="1069" spans="8:15">
      <c r="H1069">
        <f t="shared" si="90"/>
        <v>0</v>
      </c>
      <c r="I1069" t="e">
        <f t="shared" si="91"/>
        <v>#VALUE!</v>
      </c>
      <c r="J1069" s="6">
        <f t="shared" si="95"/>
        <v>0</v>
      </c>
      <c r="K1069" s="6">
        <f t="shared" si="95"/>
        <v>0</v>
      </c>
      <c r="L1069" s="6">
        <f t="shared" si="95"/>
        <v>0</v>
      </c>
      <c r="M1069" s="6">
        <f t="shared" si="94"/>
        <v>0</v>
      </c>
      <c r="N1069" s="6" t="str">
        <f t="shared" si="92"/>
        <v/>
      </c>
      <c r="O1069" s="6" t="str">
        <f t="shared" si="93"/>
        <v/>
      </c>
    </row>
    <row r="1070" spans="8:15">
      <c r="H1070">
        <f t="shared" si="90"/>
        <v>0</v>
      </c>
      <c r="I1070" t="e">
        <f t="shared" si="91"/>
        <v>#VALUE!</v>
      </c>
      <c r="J1070" s="6">
        <f t="shared" si="95"/>
        <v>0</v>
      </c>
      <c r="K1070" s="6">
        <f t="shared" si="95"/>
        <v>0</v>
      </c>
      <c r="L1070" s="6">
        <f t="shared" si="95"/>
        <v>0</v>
      </c>
      <c r="M1070" s="6">
        <f t="shared" si="94"/>
        <v>0</v>
      </c>
      <c r="N1070" s="6" t="str">
        <f t="shared" si="92"/>
        <v/>
      </c>
      <c r="O1070" s="6" t="str">
        <f t="shared" si="93"/>
        <v/>
      </c>
    </row>
    <row r="1071" spans="8:15">
      <c r="H1071">
        <f t="shared" si="90"/>
        <v>0</v>
      </c>
      <c r="I1071" t="e">
        <f t="shared" si="91"/>
        <v>#VALUE!</v>
      </c>
      <c r="J1071" s="6">
        <f t="shared" si="95"/>
        <v>0</v>
      </c>
      <c r="K1071" s="6">
        <f t="shared" si="95"/>
        <v>0</v>
      </c>
      <c r="L1071" s="6">
        <f t="shared" si="95"/>
        <v>0</v>
      </c>
      <c r="M1071" s="6">
        <f t="shared" si="94"/>
        <v>0</v>
      </c>
      <c r="N1071" s="6" t="str">
        <f t="shared" si="92"/>
        <v/>
      </c>
      <c r="O1071" s="6" t="str">
        <f t="shared" si="93"/>
        <v/>
      </c>
    </row>
    <row r="1072" spans="8:15">
      <c r="H1072">
        <f t="shared" si="90"/>
        <v>0</v>
      </c>
      <c r="I1072" t="e">
        <f t="shared" si="91"/>
        <v>#VALUE!</v>
      </c>
      <c r="J1072" s="6">
        <f t="shared" si="95"/>
        <v>0</v>
      </c>
      <c r="K1072" s="6">
        <f t="shared" si="95"/>
        <v>0</v>
      </c>
      <c r="L1072" s="6">
        <f t="shared" si="95"/>
        <v>0</v>
      </c>
      <c r="M1072" s="6">
        <f t="shared" si="94"/>
        <v>0</v>
      </c>
      <c r="N1072" s="6" t="str">
        <f t="shared" si="92"/>
        <v/>
      </c>
      <c r="O1072" s="6" t="str">
        <f t="shared" si="93"/>
        <v/>
      </c>
    </row>
    <row r="1073" spans="8:15">
      <c r="H1073">
        <f t="shared" si="90"/>
        <v>0</v>
      </c>
      <c r="I1073" t="e">
        <f t="shared" si="91"/>
        <v>#VALUE!</v>
      </c>
      <c r="J1073" s="6">
        <f t="shared" si="95"/>
        <v>0</v>
      </c>
      <c r="K1073" s="6">
        <f t="shared" si="95"/>
        <v>0</v>
      </c>
      <c r="L1073" s="6">
        <f t="shared" si="95"/>
        <v>0</v>
      </c>
      <c r="M1073" s="6">
        <f t="shared" si="94"/>
        <v>0</v>
      </c>
      <c r="N1073" s="6" t="str">
        <f t="shared" si="92"/>
        <v/>
      </c>
      <c r="O1073" s="6" t="str">
        <f t="shared" si="93"/>
        <v/>
      </c>
    </row>
    <row r="1074" spans="8:15">
      <c r="H1074">
        <f t="shared" si="90"/>
        <v>0</v>
      </c>
      <c r="I1074" t="e">
        <f t="shared" si="91"/>
        <v>#VALUE!</v>
      </c>
      <c r="J1074" s="6">
        <f t="shared" si="95"/>
        <v>0</v>
      </c>
      <c r="K1074" s="6">
        <f t="shared" si="95"/>
        <v>0</v>
      </c>
      <c r="L1074" s="6">
        <f t="shared" si="95"/>
        <v>0</v>
      </c>
      <c r="M1074" s="6">
        <f t="shared" si="94"/>
        <v>0</v>
      </c>
      <c r="N1074" s="6" t="str">
        <f t="shared" si="92"/>
        <v/>
      </c>
      <c r="O1074" s="6" t="str">
        <f t="shared" si="93"/>
        <v/>
      </c>
    </row>
    <row r="1075" spans="8:15">
      <c r="H1075">
        <f t="shared" si="90"/>
        <v>0</v>
      </c>
      <c r="I1075" t="e">
        <f t="shared" si="91"/>
        <v>#VALUE!</v>
      </c>
      <c r="J1075" s="6">
        <f t="shared" si="95"/>
        <v>0</v>
      </c>
      <c r="K1075" s="6">
        <f t="shared" si="95"/>
        <v>0</v>
      </c>
      <c r="L1075" s="6">
        <f t="shared" si="95"/>
        <v>0</v>
      </c>
      <c r="M1075" s="6">
        <f t="shared" si="94"/>
        <v>0</v>
      </c>
      <c r="N1075" s="6" t="str">
        <f t="shared" si="92"/>
        <v/>
      </c>
      <c r="O1075" s="6" t="str">
        <f t="shared" si="93"/>
        <v/>
      </c>
    </row>
    <row r="1076" spans="8:15">
      <c r="H1076">
        <f t="shared" si="90"/>
        <v>0</v>
      </c>
      <c r="I1076" t="e">
        <f t="shared" si="91"/>
        <v>#VALUE!</v>
      </c>
      <c r="J1076" s="6">
        <f t="shared" si="95"/>
        <v>0</v>
      </c>
      <c r="K1076" s="6">
        <f t="shared" si="95"/>
        <v>0</v>
      </c>
      <c r="L1076" s="6">
        <f t="shared" si="95"/>
        <v>0</v>
      </c>
      <c r="M1076" s="6">
        <f t="shared" si="94"/>
        <v>0</v>
      </c>
      <c r="N1076" s="6" t="str">
        <f t="shared" si="92"/>
        <v/>
      </c>
      <c r="O1076" s="6" t="str">
        <f t="shared" si="93"/>
        <v/>
      </c>
    </row>
    <row r="1077" spans="8:15">
      <c r="H1077">
        <f t="shared" si="90"/>
        <v>0</v>
      </c>
      <c r="I1077" t="e">
        <f t="shared" si="91"/>
        <v>#VALUE!</v>
      </c>
      <c r="J1077" s="6">
        <f t="shared" si="95"/>
        <v>0</v>
      </c>
      <c r="K1077" s="6">
        <f t="shared" si="95"/>
        <v>0</v>
      </c>
      <c r="L1077" s="6">
        <f t="shared" si="95"/>
        <v>0</v>
      </c>
      <c r="M1077" s="6">
        <f t="shared" si="94"/>
        <v>0</v>
      </c>
      <c r="N1077" s="6" t="str">
        <f t="shared" si="92"/>
        <v/>
      </c>
      <c r="O1077" s="6" t="str">
        <f t="shared" si="93"/>
        <v/>
      </c>
    </row>
    <row r="1078" spans="8:15">
      <c r="H1078">
        <f t="shared" si="90"/>
        <v>0</v>
      </c>
      <c r="I1078" t="e">
        <f t="shared" si="91"/>
        <v>#VALUE!</v>
      </c>
      <c r="J1078" s="6">
        <f t="shared" si="95"/>
        <v>0</v>
      </c>
      <c r="K1078" s="6">
        <f t="shared" si="95"/>
        <v>0</v>
      </c>
      <c r="L1078" s="6">
        <f t="shared" si="95"/>
        <v>0</v>
      </c>
      <c r="M1078" s="6">
        <f t="shared" si="94"/>
        <v>0</v>
      </c>
      <c r="N1078" s="6" t="str">
        <f t="shared" si="92"/>
        <v/>
      </c>
      <c r="O1078" s="6" t="str">
        <f t="shared" si="93"/>
        <v/>
      </c>
    </row>
    <row r="1079" spans="8:15">
      <c r="H1079">
        <f t="shared" si="90"/>
        <v>0</v>
      </c>
      <c r="I1079" t="e">
        <f t="shared" si="91"/>
        <v>#VALUE!</v>
      </c>
      <c r="J1079" s="6">
        <f t="shared" si="95"/>
        <v>0</v>
      </c>
      <c r="K1079" s="6">
        <f t="shared" si="95"/>
        <v>0</v>
      </c>
      <c r="L1079" s="6">
        <f t="shared" si="95"/>
        <v>0</v>
      </c>
      <c r="M1079" s="6">
        <f t="shared" si="94"/>
        <v>0</v>
      </c>
      <c r="N1079" s="6" t="str">
        <f t="shared" si="92"/>
        <v/>
      </c>
      <c r="O1079" s="6" t="str">
        <f t="shared" si="93"/>
        <v/>
      </c>
    </row>
    <row r="1080" spans="8:15">
      <c r="H1080">
        <f t="shared" si="90"/>
        <v>0</v>
      </c>
      <c r="I1080" t="e">
        <f t="shared" si="91"/>
        <v>#VALUE!</v>
      </c>
      <c r="J1080" s="6">
        <f t="shared" si="95"/>
        <v>0</v>
      </c>
      <c r="K1080" s="6">
        <f t="shared" si="95"/>
        <v>0</v>
      </c>
      <c r="L1080" s="6">
        <f t="shared" si="95"/>
        <v>0</v>
      </c>
      <c r="M1080" s="6">
        <f t="shared" si="94"/>
        <v>0</v>
      </c>
      <c r="N1080" s="6" t="str">
        <f t="shared" si="92"/>
        <v/>
      </c>
      <c r="O1080" s="6" t="str">
        <f t="shared" si="93"/>
        <v/>
      </c>
    </row>
    <row r="1081" spans="8:15">
      <c r="H1081">
        <f t="shared" si="90"/>
        <v>0</v>
      </c>
      <c r="I1081" t="e">
        <f t="shared" si="91"/>
        <v>#VALUE!</v>
      </c>
      <c r="J1081" s="6">
        <f t="shared" si="95"/>
        <v>0</v>
      </c>
      <c r="K1081" s="6">
        <f t="shared" si="95"/>
        <v>0</v>
      </c>
      <c r="L1081" s="6">
        <f t="shared" si="95"/>
        <v>0</v>
      </c>
      <c r="M1081" s="6">
        <f t="shared" si="94"/>
        <v>0</v>
      </c>
      <c r="N1081" s="6" t="str">
        <f t="shared" si="92"/>
        <v/>
      </c>
      <c r="O1081" s="6" t="str">
        <f t="shared" si="93"/>
        <v/>
      </c>
    </row>
    <row r="1082" spans="8:15">
      <c r="H1082">
        <f t="shared" si="90"/>
        <v>0</v>
      </c>
      <c r="I1082" t="e">
        <f t="shared" si="91"/>
        <v>#VALUE!</v>
      </c>
      <c r="J1082" s="6">
        <f t="shared" si="95"/>
        <v>0</v>
      </c>
      <c r="K1082" s="6">
        <f t="shared" si="95"/>
        <v>0</v>
      </c>
      <c r="L1082" s="6">
        <f t="shared" si="95"/>
        <v>0</v>
      </c>
      <c r="M1082" s="6">
        <f t="shared" si="94"/>
        <v>0</v>
      </c>
      <c r="N1082" s="6" t="str">
        <f t="shared" si="92"/>
        <v/>
      </c>
      <c r="O1082" s="6" t="str">
        <f t="shared" si="93"/>
        <v/>
      </c>
    </row>
    <row r="1083" spans="8:15">
      <c r="H1083">
        <f t="shared" si="90"/>
        <v>0</v>
      </c>
      <c r="I1083" t="e">
        <f t="shared" si="91"/>
        <v>#VALUE!</v>
      </c>
      <c r="J1083" s="6">
        <f t="shared" si="95"/>
        <v>0</v>
      </c>
      <c r="K1083" s="6">
        <f t="shared" si="95"/>
        <v>0</v>
      </c>
      <c r="L1083" s="6">
        <f t="shared" si="95"/>
        <v>0</v>
      </c>
      <c r="M1083" s="6">
        <f t="shared" si="94"/>
        <v>0</v>
      </c>
      <c r="N1083" s="6" t="str">
        <f t="shared" si="92"/>
        <v/>
      </c>
      <c r="O1083" s="6" t="str">
        <f t="shared" si="93"/>
        <v/>
      </c>
    </row>
    <row r="1084" spans="8:15">
      <c r="H1084">
        <f t="shared" si="90"/>
        <v>0</v>
      </c>
      <c r="I1084" t="e">
        <f t="shared" si="91"/>
        <v>#VALUE!</v>
      </c>
      <c r="J1084" s="6">
        <f t="shared" si="95"/>
        <v>0</v>
      </c>
      <c r="K1084" s="6">
        <f t="shared" si="95"/>
        <v>0</v>
      </c>
      <c r="L1084" s="6">
        <f t="shared" si="95"/>
        <v>0</v>
      </c>
      <c r="M1084" s="6">
        <f t="shared" si="94"/>
        <v>0</v>
      </c>
      <c r="N1084" s="6" t="str">
        <f t="shared" si="92"/>
        <v/>
      </c>
      <c r="O1084" s="6" t="str">
        <f t="shared" si="93"/>
        <v/>
      </c>
    </row>
    <row r="1085" spans="8:15">
      <c r="H1085">
        <f t="shared" si="90"/>
        <v>0</v>
      </c>
      <c r="I1085" t="e">
        <f t="shared" si="91"/>
        <v>#VALUE!</v>
      </c>
      <c r="J1085" s="6">
        <f t="shared" si="95"/>
        <v>0</v>
      </c>
      <c r="K1085" s="6">
        <f t="shared" si="95"/>
        <v>0</v>
      </c>
      <c r="L1085" s="6">
        <f t="shared" si="95"/>
        <v>0</v>
      </c>
      <c r="M1085" s="6">
        <f t="shared" si="94"/>
        <v>0</v>
      </c>
      <c r="N1085" s="6" t="str">
        <f t="shared" si="92"/>
        <v/>
      </c>
      <c r="O1085" s="6" t="str">
        <f t="shared" si="93"/>
        <v/>
      </c>
    </row>
    <row r="1086" spans="8:15">
      <c r="H1086">
        <f t="shared" si="90"/>
        <v>0</v>
      </c>
      <c r="I1086" t="e">
        <f t="shared" si="91"/>
        <v>#VALUE!</v>
      </c>
      <c r="J1086" s="6">
        <f t="shared" si="95"/>
        <v>0</v>
      </c>
      <c r="K1086" s="6">
        <f t="shared" si="95"/>
        <v>0</v>
      </c>
      <c r="L1086" s="6">
        <f t="shared" si="95"/>
        <v>0</v>
      </c>
      <c r="M1086" s="6">
        <f t="shared" si="94"/>
        <v>0</v>
      </c>
      <c r="N1086" s="6" t="str">
        <f t="shared" si="92"/>
        <v/>
      </c>
      <c r="O1086" s="6" t="str">
        <f t="shared" si="93"/>
        <v/>
      </c>
    </row>
    <row r="1087" spans="8:15">
      <c r="H1087">
        <f t="shared" si="90"/>
        <v>0</v>
      </c>
      <c r="I1087" t="e">
        <f t="shared" si="91"/>
        <v>#VALUE!</v>
      </c>
      <c r="J1087" s="6">
        <f t="shared" si="95"/>
        <v>0</v>
      </c>
      <c r="K1087" s="6">
        <f t="shared" si="95"/>
        <v>0</v>
      </c>
      <c r="L1087" s="6">
        <f t="shared" si="95"/>
        <v>0</v>
      </c>
      <c r="M1087" s="6">
        <f t="shared" si="94"/>
        <v>0</v>
      </c>
      <c r="N1087" s="6" t="str">
        <f t="shared" si="92"/>
        <v/>
      </c>
      <c r="O1087" s="6" t="str">
        <f t="shared" si="93"/>
        <v/>
      </c>
    </row>
    <row r="1088" spans="8:15">
      <c r="H1088">
        <f t="shared" si="90"/>
        <v>0</v>
      </c>
      <c r="I1088" t="e">
        <f t="shared" si="91"/>
        <v>#VALUE!</v>
      </c>
      <c r="J1088" s="6">
        <f t="shared" si="95"/>
        <v>0</v>
      </c>
      <c r="K1088" s="6">
        <f t="shared" si="95"/>
        <v>0</v>
      </c>
      <c r="L1088" s="6">
        <f t="shared" si="95"/>
        <v>0</v>
      </c>
      <c r="M1088" s="6">
        <f t="shared" si="94"/>
        <v>0</v>
      </c>
      <c r="N1088" s="6" t="str">
        <f t="shared" si="92"/>
        <v/>
      </c>
      <c r="O1088" s="6" t="str">
        <f t="shared" si="93"/>
        <v/>
      </c>
    </row>
    <row r="1089" spans="8:15">
      <c r="H1089">
        <f t="shared" si="90"/>
        <v>0</v>
      </c>
      <c r="I1089" t="e">
        <f t="shared" si="91"/>
        <v>#VALUE!</v>
      </c>
      <c r="J1089" s="6">
        <f t="shared" si="95"/>
        <v>0</v>
      </c>
      <c r="K1089" s="6">
        <f t="shared" si="95"/>
        <v>0</v>
      </c>
      <c r="L1089" s="6">
        <f t="shared" si="95"/>
        <v>0</v>
      </c>
      <c r="M1089" s="6">
        <f t="shared" si="94"/>
        <v>0</v>
      </c>
      <c r="N1089" s="6" t="str">
        <f t="shared" si="92"/>
        <v/>
      </c>
      <c r="O1089" s="6" t="str">
        <f t="shared" si="93"/>
        <v/>
      </c>
    </row>
    <row r="1090" spans="8:15">
      <c r="H1090">
        <f t="shared" si="90"/>
        <v>0</v>
      </c>
      <c r="I1090" t="e">
        <f t="shared" si="91"/>
        <v>#VALUE!</v>
      </c>
      <c r="J1090" s="6">
        <f t="shared" si="95"/>
        <v>0</v>
      </c>
      <c r="K1090" s="6">
        <f t="shared" si="95"/>
        <v>0</v>
      </c>
      <c r="L1090" s="6">
        <f t="shared" si="95"/>
        <v>0</v>
      </c>
      <c r="M1090" s="6">
        <f t="shared" si="94"/>
        <v>0</v>
      </c>
      <c r="N1090" s="6" t="str">
        <f t="shared" si="92"/>
        <v/>
      </c>
      <c r="O1090" s="6" t="str">
        <f t="shared" si="93"/>
        <v/>
      </c>
    </row>
    <row r="1091" spans="8:15">
      <c r="H1091">
        <f t="shared" si="90"/>
        <v>0</v>
      </c>
      <c r="I1091" t="e">
        <f t="shared" si="91"/>
        <v>#VALUE!</v>
      </c>
      <c r="J1091" s="6">
        <f t="shared" si="95"/>
        <v>0</v>
      </c>
      <c r="K1091" s="6">
        <f t="shared" si="95"/>
        <v>0</v>
      </c>
      <c r="L1091" s="6">
        <f t="shared" si="95"/>
        <v>0</v>
      </c>
      <c r="M1091" s="6">
        <f t="shared" si="94"/>
        <v>0</v>
      </c>
      <c r="N1091" s="6" t="str">
        <f t="shared" si="92"/>
        <v/>
      </c>
      <c r="O1091" s="6" t="str">
        <f t="shared" si="93"/>
        <v/>
      </c>
    </row>
    <row r="1092" spans="8:15">
      <c r="H1092">
        <f t="shared" si="90"/>
        <v>0</v>
      </c>
      <c r="I1092" t="e">
        <f t="shared" si="91"/>
        <v>#VALUE!</v>
      </c>
      <c r="J1092" s="6">
        <f t="shared" si="95"/>
        <v>0</v>
      </c>
      <c r="K1092" s="6">
        <f t="shared" si="95"/>
        <v>0</v>
      </c>
      <c r="L1092" s="6">
        <f t="shared" si="95"/>
        <v>0</v>
      </c>
      <c r="M1092" s="6">
        <f t="shared" si="94"/>
        <v>0</v>
      </c>
      <c r="N1092" s="6" t="str">
        <f t="shared" si="92"/>
        <v/>
      </c>
      <c r="O1092" s="6" t="str">
        <f t="shared" si="93"/>
        <v/>
      </c>
    </row>
    <row r="1093" spans="8:15">
      <c r="H1093">
        <f t="shared" si="90"/>
        <v>0</v>
      </c>
      <c r="I1093" t="e">
        <f t="shared" si="91"/>
        <v>#VALUE!</v>
      </c>
      <c r="J1093" s="6">
        <f t="shared" si="95"/>
        <v>0</v>
      </c>
      <c r="K1093" s="6">
        <f t="shared" si="95"/>
        <v>0</v>
      </c>
      <c r="L1093" s="6">
        <f t="shared" si="95"/>
        <v>0</v>
      </c>
      <c r="M1093" s="6">
        <f t="shared" si="94"/>
        <v>0</v>
      </c>
      <c r="N1093" s="6" t="str">
        <f t="shared" si="92"/>
        <v/>
      </c>
      <c r="O1093" s="6" t="str">
        <f t="shared" si="93"/>
        <v/>
      </c>
    </row>
    <row r="1094" spans="8:15">
      <c r="H1094">
        <f t="shared" si="90"/>
        <v>0</v>
      </c>
      <c r="I1094" t="e">
        <f t="shared" si="91"/>
        <v>#VALUE!</v>
      </c>
      <c r="J1094" s="6">
        <f t="shared" si="95"/>
        <v>0</v>
      </c>
      <c r="K1094" s="6">
        <f t="shared" si="95"/>
        <v>0</v>
      </c>
      <c r="L1094" s="6">
        <f t="shared" si="95"/>
        <v>0</v>
      </c>
      <c r="M1094" s="6">
        <f t="shared" si="94"/>
        <v>0</v>
      </c>
      <c r="N1094" s="6" t="str">
        <f t="shared" si="92"/>
        <v/>
      </c>
      <c r="O1094" s="6" t="str">
        <f t="shared" si="93"/>
        <v/>
      </c>
    </row>
    <row r="1095" spans="8:15">
      <c r="H1095">
        <f t="shared" ref="H1095:H1106" si="96">A1095</f>
        <v>0</v>
      </c>
      <c r="I1095" t="e">
        <f t="shared" ref="I1095:I1106" si="97">LEFT(B1095,SEARCH(" ",B1095,1)-1)</f>
        <v>#VALUE!</v>
      </c>
      <c r="J1095" s="6">
        <f t="shared" si="95"/>
        <v>0</v>
      </c>
      <c r="K1095" s="6">
        <f t="shared" si="95"/>
        <v>0</v>
      </c>
      <c r="L1095" s="6">
        <f t="shared" si="95"/>
        <v>0</v>
      </c>
      <c r="M1095" s="6">
        <f t="shared" si="94"/>
        <v>0</v>
      </c>
      <c r="N1095" s="6" t="str">
        <f t="shared" si="92"/>
        <v/>
      </c>
      <c r="O1095" s="6" t="str">
        <f t="shared" si="93"/>
        <v/>
      </c>
    </row>
    <row r="1096" spans="8:15">
      <c r="H1096">
        <f t="shared" si="96"/>
        <v>0</v>
      </c>
      <c r="I1096" t="e">
        <f t="shared" si="97"/>
        <v>#VALUE!</v>
      </c>
      <c r="J1096" s="6">
        <f t="shared" si="95"/>
        <v>0</v>
      </c>
      <c r="K1096" s="6">
        <f t="shared" si="95"/>
        <v>0</v>
      </c>
      <c r="L1096" s="6">
        <f t="shared" si="95"/>
        <v>0</v>
      </c>
      <c r="M1096" s="6">
        <f t="shared" si="94"/>
        <v>0</v>
      </c>
      <c r="N1096" s="6" t="str">
        <f t="shared" ref="N1096:N1106" si="98">TRIM($B$1)</f>
        <v/>
      </c>
      <c r="O1096" s="6" t="str">
        <f t="shared" ref="O1096:O1106" si="99">TRIM($C$1)</f>
        <v/>
      </c>
    </row>
    <row r="1097" spans="8:15">
      <c r="H1097">
        <f t="shared" si="96"/>
        <v>0</v>
      </c>
      <c r="I1097" t="e">
        <f t="shared" si="97"/>
        <v>#VALUE!</v>
      </c>
      <c r="J1097" s="6">
        <f t="shared" si="95"/>
        <v>0</v>
      </c>
      <c r="K1097" s="6">
        <f t="shared" si="95"/>
        <v>0</v>
      </c>
      <c r="L1097" s="6">
        <f t="shared" si="95"/>
        <v>0</v>
      </c>
      <c r="M1097" s="6">
        <f t="shared" si="94"/>
        <v>0</v>
      </c>
      <c r="N1097" s="6" t="str">
        <f t="shared" si="98"/>
        <v/>
      </c>
      <c r="O1097" s="6" t="str">
        <f t="shared" si="99"/>
        <v/>
      </c>
    </row>
    <row r="1098" spans="8:15">
      <c r="H1098">
        <f t="shared" si="96"/>
        <v>0</v>
      </c>
      <c r="I1098" t="e">
        <f t="shared" si="97"/>
        <v>#VALUE!</v>
      </c>
      <c r="J1098" s="6">
        <f t="shared" si="95"/>
        <v>0</v>
      </c>
      <c r="K1098" s="6">
        <f t="shared" si="95"/>
        <v>0</v>
      </c>
      <c r="L1098" s="6">
        <f t="shared" si="95"/>
        <v>0</v>
      </c>
      <c r="M1098" s="6">
        <f t="shared" si="94"/>
        <v>0</v>
      </c>
      <c r="N1098" s="6" t="str">
        <f t="shared" si="98"/>
        <v/>
      </c>
      <c r="O1098" s="6" t="str">
        <f t="shared" si="99"/>
        <v/>
      </c>
    </row>
    <row r="1099" spans="8:15">
      <c r="H1099">
        <f t="shared" si="96"/>
        <v>0</v>
      </c>
      <c r="I1099" t="e">
        <f t="shared" si="97"/>
        <v>#VALUE!</v>
      </c>
      <c r="J1099" s="6">
        <f t="shared" si="95"/>
        <v>0</v>
      </c>
      <c r="K1099" s="6">
        <f t="shared" si="95"/>
        <v>0</v>
      </c>
      <c r="L1099" s="6">
        <f t="shared" si="95"/>
        <v>0</v>
      </c>
      <c r="M1099" s="6">
        <f t="shared" si="94"/>
        <v>0</v>
      </c>
      <c r="N1099" s="6" t="str">
        <f t="shared" si="98"/>
        <v/>
      </c>
      <c r="O1099" s="6" t="str">
        <f t="shared" si="99"/>
        <v/>
      </c>
    </row>
    <row r="1100" spans="8:15">
      <c r="H1100">
        <f t="shared" si="96"/>
        <v>0</v>
      </c>
      <c r="I1100" t="e">
        <f t="shared" si="97"/>
        <v>#VALUE!</v>
      </c>
      <c r="J1100" s="6">
        <f t="shared" si="95"/>
        <v>0</v>
      </c>
      <c r="K1100" s="6">
        <f t="shared" si="95"/>
        <v>0</v>
      </c>
      <c r="L1100" s="6">
        <f t="shared" si="95"/>
        <v>0</v>
      </c>
      <c r="M1100" s="6">
        <f t="shared" si="94"/>
        <v>0</v>
      </c>
      <c r="N1100" s="6" t="str">
        <f t="shared" si="98"/>
        <v/>
      </c>
      <c r="O1100" s="6" t="str">
        <f t="shared" si="99"/>
        <v/>
      </c>
    </row>
    <row r="1101" spans="8:15">
      <c r="H1101">
        <f t="shared" si="96"/>
        <v>0</v>
      </c>
      <c r="I1101" t="e">
        <f t="shared" si="97"/>
        <v>#VALUE!</v>
      </c>
      <c r="J1101" s="6">
        <f t="shared" si="95"/>
        <v>0</v>
      </c>
      <c r="K1101" s="6">
        <f t="shared" si="95"/>
        <v>0</v>
      </c>
      <c r="L1101" s="6">
        <f t="shared" si="95"/>
        <v>0</v>
      </c>
      <c r="M1101" s="6">
        <f t="shared" si="94"/>
        <v>0</v>
      </c>
      <c r="N1101" s="6" t="str">
        <f t="shared" si="98"/>
        <v/>
      </c>
      <c r="O1101" s="6" t="str">
        <f t="shared" si="99"/>
        <v/>
      </c>
    </row>
    <row r="1102" spans="8:15">
      <c r="H1102">
        <f t="shared" si="96"/>
        <v>0</v>
      </c>
      <c r="I1102" t="e">
        <f t="shared" si="97"/>
        <v>#VALUE!</v>
      </c>
      <c r="J1102" s="6">
        <f t="shared" si="95"/>
        <v>0</v>
      </c>
      <c r="K1102" s="6">
        <f t="shared" si="95"/>
        <v>0</v>
      </c>
      <c r="L1102" s="6">
        <f t="shared" si="95"/>
        <v>0</v>
      </c>
      <c r="M1102" s="6">
        <f t="shared" si="94"/>
        <v>0</v>
      </c>
      <c r="N1102" s="6" t="str">
        <f t="shared" si="98"/>
        <v/>
      </c>
      <c r="O1102" s="6" t="str">
        <f t="shared" si="99"/>
        <v/>
      </c>
    </row>
    <row r="1103" spans="8:15">
      <c r="H1103">
        <f t="shared" si="96"/>
        <v>0</v>
      </c>
      <c r="I1103" t="e">
        <f t="shared" si="97"/>
        <v>#VALUE!</v>
      </c>
      <c r="J1103" s="6">
        <f t="shared" si="95"/>
        <v>0</v>
      </c>
      <c r="K1103" s="6">
        <f t="shared" si="95"/>
        <v>0</v>
      </c>
      <c r="L1103" s="6">
        <f t="shared" si="95"/>
        <v>0</v>
      </c>
      <c r="M1103" s="6">
        <f t="shared" si="94"/>
        <v>0</v>
      </c>
      <c r="N1103" s="6" t="str">
        <f t="shared" si="98"/>
        <v/>
      </c>
      <c r="O1103" s="6" t="str">
        <f t="shared" si="99"/>
        <v/>
      </c>
    </row>
    <row r="1104" spans="8:15">
      <c r="H1104">
        <f t="shared" si="96"/>
        <v>0</v>
      </c>
      <c r="I1104" t="e">
        <f t="shared" si="97"/>
        <v>#VALUE!</v>
      </c>
      <c r="J1104" s="6">
        <f t="shared" si="95"/>
        <v>0</v>
      </c>
      <c r="K1104" s="6">
        <f t="shared" si="95"/>
        <v>0</v>
      </c>
      <c r="L1104" s="6">
        <f t="shared" si="95"/>
        <v>0</v>
      </c>
      <c r="M1104" s="6">
        <f t="shared" si="94"/>
        <v>0</v>
      </c>
      <c r="N1104" s="6" t="str">
        <f t="shared" si="98"/>
        <v/>
      </c>
      <c r="O1104" s="6" t="str">
        <f t="shared" si="99"/>
        <v/>
      </c>
    </row>
    <row r="1105" spans="8:15">
      <c r="H1105">
        <f t="shared" si="96"/>
        <v>0</v>
      </c>
      <c r="I1105" t="e">
        <f t="shared" si="97"/>
        <v>#VALUE!</v>
      </c>
      <c r="J1105" s="6">
        <f t="shared" si="95"/>
        <v>0</v>
      </c>
      <c r="K1105" s="6">
        <f t="shared" si="95"/>
        <v>0</v>
      </c>
      <c r="L1105" s="6">
        <f t="shared" si="95"/>
        <v>0</v>
      </c>
      <c r="M1105" s="6">
        <f t="shared" si="95"/>
        <v>0</v>
      </c>
      <c r="N1105" s="6" t="str">
        <f t="shared" si="98"/>
        <v/>
      </c>
      <c r="O1105" s="6" t="str">
        <f t="shared" si="99"/>
        <v/>
      </c>
    </row>
    <row r="1106" spans="8:15">
      <c r="H1106">
        <f t="shared" si="96"/>
        <v>0</v>
      </c>
      <c r="I1106" t="e">
        <f t="shared" si="97"/>
        <v>#VALUE!</v>
      </c>
      <c r="J1106" s="6">
        <f t="shared" ref="J1106:M1106" si="100">C1106</f>
        <v>0</v>
      </c>
      <c r="K1106" s="6">
        <f t="shared" si="100"/>
        <v>0</v>
      </c>
      <c r="L1106" s="6">
        <f t="shared" si="100"/>
        <v>0</v>
      </c>
      <c r="M1106" s="6">
        <f t="shared" si="100"/>
        <v>0</v>
      </c>
      <c r="N1106" s="6" t="str">
        <f t="shared" si="98"/>
        <v/>
      </c>
      <c r="O1106" s="6" t="str">
        <f t="shared" si="99"/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Doc Info</vt:lpstr>
      <vt:lpstr>Result</vt:lpstr>
      <vt:lpstr>Review</vt:lpstr>
      <vt:lpstr>Reference_Table</vt:lpstr>
      <vt:lpstr>Brun</vt:lpstr>
      <vt:lpstr>AMF</vt:lpstr>
      <vt:lpstr>Formatter</vt:lpstr>
      <vt:lpstr>Cleaner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Lepkowski</dc:creator>
  <cp:lastModifiedBy>Jennifer Lepkowski</cp:lastModifiedBy>
  <dcterms:created xsi:type="dcterms:W3CDTF">2022-12-02T19:43:23Z</dcterms:created>
  <dcterms:modified xsi:type="dcterms:W3CDTF">2022-12-21T17:24:53Z</dcterms:modified>
</cp:coreProperties>
</file>